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be4f2c9f614143" /></Relationships>
</file>

<file path=xl/workbook.xml><?xml version="1.0" encoding="utf-8"?>
<x:workbook xmlns:x="http://schemas.openxmlformats.org/spreadsheetml/2006/main">
  <x:sheets>
    <x:sheet xmlns:r="http://schemas.openxmlformats.org/officeDocument/2006/relationships" name="00 Read Me" sheetId="1" r:id="R12dd2d51f14048b6"/>
    <x:sheet xmlns:r="http://schemas.openxmlformats.org/officeDocument/2006/relationships" name="01 Registration" sheetId="2" r:id="R3b9e01df5501435a"/>
    <x:sheet xmlns:r="http://schemas.openxmlformats.org/officeDocument/2006/relationships" name="02 Sources" sheetId="3" r:id="Re8f955c3673442fb"/>
    <x:sheet xmlns:r="http://schemas.openxmlformats.org/officeDocument/2006/relationships" name="03 Method" sheetId="4" r:id="Reaa69a323be94eeb"/>
    <x:sheet xmlns:r="http://schemas.openxmlformats.org/officeDocument/2006/relationships" name="04 Source Validation" sheetId="5" r:id="Re60b264250754d74"/>
    <x:sheet xmlns:r="http://schemas.openxmlformats.org/officeDocument/2006/relationships" name="05 Target Definitions" sheetId="6" r:id="R328a27a52ebb4b10"/>
    <x:sheet xmlns:r="http://schemas.openxmlformats.org/officeDocument/2006/relationships" name="06 Covariance Cases" sheetId="7" r:id="Rfc6a5b022f594756"/>
    <x:sheet xmlns:r="http://schemas.openxmlformats.org/officeDocument/2006/relationships" name="07 Constraints" sheetId="8" r:id="R2a558035fdde4577"/>
    <x:sheet xmlns:r="http://schemas.openxmlformats.org/officeDocument/2006/relationships" name="08 Convergence" sheetId="9" r:id="R954e63f8ba924b40"/>
    <x:sheet xmlns:r="http://schemas.openxmlformats.org/officeDocument/2006/relationships" name="09 Projection Summary" sheetId="10" r:id="R49808a4103ff415d"/>
    <x:sheet xmlns:r="http://schemas.openxmlformats.org/officeDocument/2006/relationships" name="10 Rejected Rows" sheetId="11" r:id="R3843b9ed7b60496f"/>
    <x:sheet xmlns:r="http://schemas.openxmlformats.org/officeDocument/2006/relationships" name="11 Distribution Summary" sheetId="12" r:id="Rca8c06c82bb64749"/>
    <x:sheet xmlns:r="http://schemas.openxmlformats.org/officeDocument/2006/relationships" name="12 Failure Injections" sheetId="13" r:id="Ra88c4fa7ef3140a9"/>
    <x:sheet xmlns:r="http://schemas.openxmlformats.org/officeDocument/2006/relationships" name="13 Target Integrity" sheetId="14" r:id="Re6c7aaf8d1504b10"/>
    <x:sheet xmlns:r="http://schemas.openxmlformats.org/officeDocument/2006/relationships" name="14 Candidate T0" sheetId="15" r:id="R89bcd571540a4832"/>
    <x:sheet xmlns:r="http://schemas.openxmlformats.org/officeDocument/2006/relationships" name="15 Candidate T1" sheetId="16" r:id="R0ca98abb444e4cbf"/>
    <x:sheet xmlns:r="http://schemas.openxmlformats.org/officeDocument/2006/relationships" name="16 Candidate T2" sheetId="17" r:id="Rbc17673bbb3b4d38"/>
    <x:sheet xmlns:r="http://schemas.openxmlformats.org/officeDocument/2006/relationships" name="17 Empty Outputs" sheetId="18" r:id="R0562837a94a14937"/>
    <x:sheet xmlns:r="http://schemas.openxmlformats.org/officeDocument/2006/relationships" name="18 Integrity" sheetId="19" r:id="Reeb055d832174bf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0%"/>
    <x:numFmt numFmtId="201" formatCode="#,##0"/>
    <x:numFmt numFmtId="202" formatCode="0.0000000000"/>
    <x:numFmt numFmtId="203" formatCode="0.000"/>
    <x:numFmt numFmtId="204" formatCode="#,##0.00"/>
  </x:numFmts>
  <x:fonts count="9">
    <x:font>
      <x:sz val="11"/>
      <x:name val="Carlito"/>
    </x:font>
    <x:font>
      <x:b/>
      <x:sz val="17"/>
      <x:color rgb="FF1F2933"/>
      <x:name val="Arial"/>
    </x:font>
    <x:font>
      <x:i/>
      <x:sz val="9"/>
      <x:color rgb="FF65737E"/>
      <x:name val="Arial"/>
    </x:font>
    <x:font>
      <x:b/>
      <x:sz val="9"/>
      <x:color rgb="FF17365D"/>
      <x:name val="Arial"/>
    </x:font>
    <x:font>
      <x:b/>
      <x:sz val="14"/>
      <x:color rgb="FF9C2F22"/>
      <x:name val="Arial"/>
    </x:font>
    <x:font>
      <x:b/>
      <x:sz val="9"/>
      <x:color rgb="FFFFFFFF"/>
      <x:name val="Arial"/>
    </x:font>
    <x:font>
      <x:sz val="9"/>
      <x:color rgb="FF1F2933"/>
      <x:name val="Arial"/>
    </x:font>
    <x:font>
      <x:sz val="11"/>
      <x:name val="Arial"/>
    </x:font>
    <x:font>
      <x:sz val="8"/>
      <x:color rgb="FF1F2933"/>
      <x:name val="Arial"/>
    </x:font>
  </x:fonts>
  <x:fills count="6">
    <x:fill>
      <x:patternFill patternType="none"/>
    </x:fill>
    <x:fill>
      <x:patternFill patternType="gray125"/>
    </x:fill>
    <x:fill>
      <x:patternFill patternType="solid">
        <x:fgColor rgb="FFD9EAF7"/>
      </x:patternFill>
    </x:fill>
    <x:fill>
      <x:patternFill patternType="solid">
        <x:fgColor rgb="FFFCE8E6"/>
      </x:patternFill>
    </x:fill>
    <x:fill>
      <x:patternFill patternType="solid">
        <x:fgColor rgb="FF17365D"/>
      </x:patternFill>
    </x:fill>
    <x:fill>
      <x:patternFill patternType="solid">
        <x:fgColor rgb="FFFFF2CC"/>
      </x:patternFill>
    </x:fill>
  </x:fills>
  <x:borders count="8">
    <x:border/>
    <x:border>
      <x:bottom style="thin">
        <x:color rgb="FFB8C6D1"/>
      </x:bottom>
    </x:border>
    <x:border>
      <x:left style="thin">
        <x:color rgb="FFB8C6D1"/>
      </x:left>
      <x:top style="thin">
        <x:color rgb="FFB8C6D1"/>
      </x:top>
      <x:bottom style="thin">
        <x:color rgb="FFB8C6D1"/>
      </x:bottom>
    </x:border>
    <x:border>
      <x:top style="thin">
        <x:color rgb="FFB8C6D1"/>
      </x:top>
      <x:bottom style="thin">
        <x:color rgb="FFB8C6D1"/>
      </x:bottom>
    </x:border>
    <x:border>
      <x:right style="thin">
        <x:color rgb="FFB8C6D1"/>
      </x:right>
      <x:top style="thin">
        <x:color rgb="FFB8C6D1"/>
      </x:top>
      <x:bottom style="thin">
        <x:color rgb="FFB8C6D1"/>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58">
    <x:xf numFmtId="0" fontId="0" fillId="0" borderId="0" xfId="0"/>
    <x:xf numFmtId="0" fontId="1" fillId="0" borderId="0" xfId="0" applyNumberFormat="1" applyFont="1" applyFill="1" applyBorder="1"/>
    <x:xf numFmtId="0" fontId="2"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4"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5" fillId="4" borderId="0"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vertical="top"/>
    </x:xf>
    <x:xf numFmtId="0" fontId="6" fillId="0" borderId="5" xfId="0" applyNumberFormat="1" applyFont="1" applyFill="1" applyBorder="1" applyAlignment="1">
      <x:alignment vertical="top"/>
    </x:xf>
    <x:xf numFmtId="0" fontId="6" fillId="0" borderId="6" xfId="0" applyNumberFormat="1" applyFont="1" applyFill="1" applyBorder="1" applyAlignment="1">
      <x:alignment vertical="top"/>
    </x:xf>
    <x:xf numFmtId="0" fontId="6" fillId="0" borderId="7" xfId="0" applyNumberFormat="1" applyFont="1" applyFill="1" applyBorder="1" applyAlignment="1">
      <x:alignment vertical="top"/>
    </x:xf>
    <x:xf numFmtId="200" fontId="6" fillId="0" borderId="5" xfId="0" applyNumberFormat="1" applyFont="1" applyFill="1" applyBorder="1" applyAlignment="1">
      <x:alignment vertical="top"/>
    </x:xf>
    <x:xf numFmtId="200" fontId="6" fillId="0" borderId="6" xfId="0" applyNumberFormat="1" applyFont="1" applyFill="1" applyBorder="1" applyAlignment="1">
      <x:alignment vertical="top"/>
    </x:xf>
    <x:xf numFmtId="200" fontId="6" fillId="0" borderId="7" xfId="0" applyNumberFormat="1" applyFont="1" applyFill="1" applyBorder="1" applyAlignment="1">
      <x:alignment vertical="top"/>
    </x:xf>
    <x:xf numFmtId="201" fontId="6" fillId="0" borderId="5" xfId="0" applyNumberFormat="1" applyFont="1" applyFill="1" applyBorder="1" applyAlignment="1">
      <x:alignment vertical="top"/>
    </x:xf>
    <x:xf numFmtId="201" fontId="6" fillId="0" borderId="6" xfId="0" applyNumberFormat="1" applyFont="1" applyFill="1" applyBorder="1" applyAlignment="1">
      <x:alignment vertical="top"/>
    </x:xf>
    <x:xf numFmtId="201" fontId="6" fillId="0" borderId="7" xfId="0" applyNumberFormat="1" applyFont="1" applyFill="1" applyBorder="1" applyAlignment="1">
      <x:alignment vertical="top"/>
    </x:xf>
    <x:xf numFmtId="0" fontId="7" fillId="0" borderId="0" xfId="0" applyNumberFormat="1" applyFont="1" applyFill="1" applyBorder="1"/>
    <x:xf numFmtId="0" fontId="7" fillId="0" borderId="1" xfId="0" applyNumberFormat="1" applyFont="1" applyFill="1" applyBorder="1"/>
    <x:xf numFmtId="0" fontId="7" fillId="3" borderId="0" xfId="0" applyNumberFormat="1" applyFont="1" applyFill="1" applyBorder="1" applyAlignment="1">
      <x:alignment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3" borderId="7" xfId="0" applyNumberFormat="1" applyFont="1" applyFill="1" applyBorder="1" applyAlignment="1">
      <x:alignment vertical="top"/>
    </x:xf>
    <x:xf numFmtId="0" fontId="6" fillId="3" borderId="7" xfId="0" applyNumberFormat="1" applyFont="1" applyFill="1" applyBorder="1" applyAlignment="1">
      <x:alignment vertical="top" wrapText="1"/>
    </x:xf>
    <x:xf numFmtId="0" fontId="0" fillId="5" borderId="0" xfId="0" applyNumberFormat="1" applyFont="1" applyFill="1" applyBorder="1" applyAlignment="1">
      <x:alignment wrapText="1"/>
    </x:xf>
    <x:xf numFmtId="0" fontId="7" fillId="5" borderId="0" xfId="0" applyNumberFormat="1" applyFont="1" applyFill="1" applyBorder="1" applyAlignment="1">
      <x:alignment wrapText="1"/>
    </x:xf>
    <x:xf numFmtId="202" fontId="6" fillId="0" borderId="5" xfId="0" applyNumberFormat="1" applyFont="1" applyFill="1" applyBorder="1" applyAlignment="1">
      <x:alignment vertical="top"/>
    </x:xf>
    <x:xf numFmtId="202" fontId="6" fillId="0" borderId="6" xfId="0" applyNumberFormat="1" applyFont="1" applyFill="1" applyBorder="1" applyAlignment="1">
      <x:alignment vertical="top"/>
    </x:xf>
    <x:xf numFmtId="202" fontId="6" fillId="0" borderId="7" xfId="0" applyNumberFormat="1" applyFont="1" applyFill="1" applyBorder="1" applyAlignment="1">
      <x:alignment vertical="top"/>
    </x:xf>
    <x:xf numFmtId="203" fontId="6" fillId="0" borderId="5" xfId="0" applyNumberFormat="1" applyFont="1" applyFill="1" applyBorder="1" applyAlignment="1">
      <x:alignment vertical="top"/>
    </x:xf>
    <x:xf numFmtId="203" fontId="6" fillId="0" borderId="6" xfId="0" applyNumberFormat="1" applyFont="1" applyFill="1" applyBorder="1" applyAlignment="1">
      <x:alignment vertical="top"/>
    </x:xf>
    <x:xf numFmtId="203" fontId="6" fillId="0" borderId="7" xfId="0" applyNumberFormat="1" applyFont="1" applyFill="1" applyBorder="1" applyAlignment="1">
      <x:alignment vertical="top"/>
    </x:xf>
    <x:xf numFmtId="0" fontId="6" fillId="3" borderId="5" xfId="0" applyNumberFormat="1" applyFont="1" applyFill="1" applyBorder="1" applyAlignment="1">
      <x:alignment vertical="top"/>
    </x:xf>
    <x:xf numFmtId="203" fontId="6" fillId="3" borderId="5" xfId="0" applyNumberFormat="1" applyFont="1" applyFill="1" applyBorder="1" applyAlignment="1">
      <x:alignment vertical="top"/>
    </x:xf>
    <x:xf numFmtId="0" fontId="6" fillId="3" borderId="6" xfId="0" applyNumberFormat="1" applyFont="1" applyFill="1" applyBorder="1" applyAlignment="1">
      <x:alignment vertical="top"/>
    </x:xf>
    <x:xf numFmtId="203" fontId="6" fillId="3" borderId="6" xfId="0" applyNumberFormat="1" applyFont="1" applyFill="1" applyBorder="1" applyAlignment="1">
      <x:alignment vertical="top"/>
    </x:xf>
    <x:xf numFmtId="203" fontId="6" fillId="3" borderId="7" xfId="0" applyNumberFormat="1" applyFont="1" applyFill="1" applyBorder="1" applyAlignment="1">
      <x:alignment vertical="top"/>
    </x:xf>
    <x:xf numFmtId="204" fontId="6" fillId="0" borderId="5" xfId="0" applyNumberFormat="1" applyFont="1" applyFill="1" applyBorder="1" applyAlignment="1">
      <x:alignment vertical="top"/>
    </x:xf>
    <x:xf numFmtId="204" fontId="6" fillId="0" borderId="6" xfId="0" applyNumberFormat="1" applyFont="1" applyFill="1" applyBorder="1" applyAlignment="1">
      <x:alignment vertical="top"/>
    </x:xf>
    <x:xf numFmtId="204" fontId="6" fillId="0" borderId="7" xfId="0" applyNumberFormat="1" applyFont="1" applyFill="1" applyBorder="1" applyAlignment="1">
      <x:alignment vertical="top"/>
    </x:xf>
    <x:xf numFmtId="0" fontId="8" fillId="0" borderId="5" xfId="0" applyNumberFormat="1" applyFont="1" applyFill="1" applyBorder="1" applyAlignment="1">
      <x:alignment vertical="top"/>
    </x:xf>
    <x:xf numFmtId="201" fontId="8" fillId="0" borderId="5" xfId="0" applyNumberFormat="1" applyFont="1" applyFill="1" applyBorder="1" applyAlignment="1">
      <x:alignment vertical="top"/>
    </x:xf>
    <x:xf numFmtId="0" fontId="8" fillId="0" borderId="6" xfId="0" applyNumberFormat="1" applyFont="1" applyFill="1" applyBorder="1" applyAlignment="1">
      <x:alignment vertical="top"/>
    </x:xf>
    <x:xf numFmtId="201" fontId="8" fillId="0" borderId="6" xfId="0" applyNumberFormat="1" applyFont="1" applyFill="1" applyBorder="1" applyAlignment="1">
      <x:alignment vertical="top"/>
    </x:xf>
    <x:xf numFmtId="0" fontId="8" fillId="0" borderId="7" xfId="0" applyNumberFormat="1" applyFont="1" applyFill="1" applyBorder="1" applyAlignment="1">
      <x:alignment vertical="top"/>
    </x:xf>
    <x:xf numFmtId="201" fontId="8" fillId="0" borderId="7"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06870e2a4d4098" /><Relationship Type="http://schemas.openxmlformats.org/officeDocument/2006/relationships/theme" Target="/xl/theme/theme1.xml" Id="R2cec2137e5054142" /><Relationship Type="http://schemas.openxmlformats.org/officeDocument/2006/relationships/sharedStrings" Target="/xl/sharedStrings.xml" Id="R71cac2d406b541ee" /><Relationship Type="http://schemas.openxmlformats.org/officeDocument/2006/relationships/worksheet" Target="/xl/worksheets/sheet1.xml" Id="R12dd2d51f14048b6" /><Relationship Type="http://schemas.openxmlformats.org/officeDocument/2006/relationships/worksheet" Target="/xl/worksheets/sheet2.xml" Id="R3b9e01df5501435a" /><Relationship Type="http://schemas.openxmlformats.org/officeDocument/2006/relationships/worksheet" Target="/xl/worksheets/sheet3.xml" Id="Re8f955c3673442fb" /><Relationship Type="http://schemas.openxmlformats.org/officeDocument/2006/relationships/worksheet" Target="/xl/worksheets/sheet4.xml" Id="Reaa69a323be94eeb" /><Relationship Type="http://schemas.openxmlformats.org/officeDocument/2006/relationships/worksheet" Target="/xl/worksheets/sheet5.xml" Id="Re60b264250754d74" /><Relationship Type="http://schemas.openxmlformats.org/officeDocument/2006/relationships/worksheet" Target="/xl/worksheets/sheet6.xml" Id="R328a27a52ebb4b10" /><Relationship Type="http://schemas.openxmlformats.org/officeDocument/2006/relationships/worksheet" Target="/xl/worksheets/sheet7.xml" Id="Rfc6a5b022f594756" /><Relationship Type="http://schemas.openxmlformats.org/officeDocument/2006/relationships/worksheet" Target="/xl/worksheets/sheet8.xml" Id="R2a558035fdde4577" /><Relationship Type="http://schemas.openxmlformats.org/officeDocument/2006/relationships/worksheet" Target="/xl/worksheets/sheet9.xml" Id="R954e63f8ba924b40" /><Relationship Type="http://schemas.openxmlformats.org/officeDocument/2006/relationships/worksheet" Target="/xl/worksheets/sheet10.xml" Id="R49808a4103ff415d" /><Relationship Type="http://schemas.openxmlformats.org/officeDocument/2006/relationships/worksheet" Target="/xl/worksheets/sheet11.xml" Id="R3843b9ed7b60496f" /><Relationship Type="http://schemas.openxmlformats.org/officeDocument/2006/relationships/worksheet" Target="/xl/worksheets/sheet12.xml" Id="Rca8c06c82bb64749" /><Relationship Type="http://schemas.openxmlformats.org/officeDocument/2006/relationships/worksheet" Target="/xl/worksheets/sheet13.xml" Id="Ra88c4fa7ef3140a9" /><Relationship Type="http://schemas.openxmlformats.org/officeDocument/2006/relationships/worksheet" Target="/xl/worksheets/sheet14.xml" Id="Re6c7aaf8d1504b10" /><Relationship Type="http://schemas.openxmlformats.org/officeDocument/2006/relationships/worksheet" Target="/xl/worksheets/sheet15.xml" Id="R89bcd571540a4832" /><Relationship Type="http://schemas.openxmlformats.org/officeDocument/2006/relationships/worksheet" Target="/xl/worksheets/sheet16.xml" Id="R0ca98abb444e4cbf" /><Relationship Type="http://schemas.openxmlformats.org/officeDocument/2006/relationships/worksheet" Target="/xl/worksheets/sheet17.xml" Id="Rbc17673bbb3b4d38" /><Relationship Type="http://schemas.openxmlformats.org/officeDocument/2006/relationships/worksheet" Target="/xl/worksheets/sheet18.xml" Id="R0562837a94a14937" /><Relationship Type="http://schemas.openxmlformats.org/officeDocument/2006/relationships/worksheet" Target="/xl/worksheets/sheet19.xml" Id="Reeb055d832174bf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24" hidden="0" customWidth="1"/>
    <x:col min="4" max="4" width="20" hidden="0" customWidth="1"/>
    <x:col min="5" max="5" width="16" hidden="0" customWidth="1"/>
    <x:col min="6" max="6" width="16" hidden="0" customWidth="1"/>
    <x:col min="7" max="7" width="20" hidden="0" customWidth="1"/>
    <x:col min="8" max="8" width="18" hidden="0" customWidth="1"/>
  </x:cols>
  <x:sheetData>
    <x:row r="1">
      <x:c r="A1" s="1" t="str">
        <x:v>Read Me</x:v>
      </x:c>
      <x:c r="B1" s="28"/>
      <x:c r="C1" s="28"/>
      <x:c r="D1" s="28"/>
      <x:c r="E1" s="28"/>
      <x:c r="F1" s="28"/>
      <x:c r="G1" s="28"/>
      <x:c r="H1" s="28"/>
    </x:row>
    <x:row r="2">
      <x:c r="A2" s="2" t="str">
        <x:v>Registered New York civil-state target engine; ceiling failure before donor fitting or synthesis</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Decision</x:v>
      </x:c>
      <x:c r="B5" s="7"/>
      <x:c r="C5" s="7"/>
      <x:c r="D5" s="7"/>
      <x:c r="E5" s="7"/>
      <x:c r="F5" s="7"/>
      <x:c r="G5" s="7"/>
      <x:c r="H5" s="8"/>
    </x:row>
    <x:row r="6">
      <x:c r="A6" s="9" t="str">
        <x:v>No target ensemble is admitted.</x:v>
      </x:c>
      <x:c r="B6" s="28"/>
      <x:c r="C6" s="28"/>
      <x:c r="D6" s="28"/>
      <x:c r="E6" s="28"/>
      <x:c r="F6" s="28"/>
      <x:c r="G6" s="28"/>
      <x:c r="H6" s="28"/>
    </x:row>
    <x:row r="7">
      <x:c r="A7" s="28"/>
      <x:c r="B7" s="28"/>
      <x:c r="C7" s="28"/>
      <x:c r="D7" s="28"/>
      <x:c r="E7" s="28"/>
      <x:c r="F7" s="28"/>
      <x:c r="G7" s="28"/>
      <x:c r="H7" s="28"/>
    </x:row>
    <x:row r="8" ht="36" customHeight="1">
      <x:c r="A8" s="30" t="str">
        <x:v>Reason</x:v>
      </x:c>
      <x:c r="B8" s="30" t="str">
        <x:v>All three covariance cases exceed the registered 0.005 selected-quantile stability limit at K=1,000. T0 has 8 rejected projection rows, T1 has 4 and T2 has 1. The donor solver, synthetic records, building assignment and architecture models remain inaccessible.</x:v>
      </x:c>
      <x:c r="C8" s="30"/>
      <x:c r="D8" s="30"/>
      <x:c r="E8" s="30"/>
      <x:c r="F8" s="30"/>
      <x:c r="G8" s="30"/>
      <x:c r="H8" s="30"/>
    </x:row>
    <x:row r="9" ht="36" customHeight="1">
      <x:c r="A9" s="30"/>
      <x:c r="B9" s="30"/>
      <x:c r="C9" s="30"/>
      <x:c r="D9" s="30"/>
      <x:c r="E9" s="30"/>
      <x:c r="F9" s="30"/>
      <x:c r="G9" s="30"/>
      <x:c r="H9" s="30"/>
    </x:row>
    <x:row r="10" ht="36" customHeight="1">
      <x:c r="A10" s="30"/>
      <x:c r="B10" s="30"/>
      <x:c r="C10" s="30"/>
      <x:c r="D10" s="30"/>
      <x:c r="E10" s="30"/>
      <x:c r="F10" s="30"/>
      <x:c r="G10" s="30"/>
      <x:c r="H10" s="30"/>
    </x:row>
    <x:row r="11">
      <x:c r="A11" s="28"/>
      <x:c r="B11" s="28"/>
      <x:c r="C11" s="28"/>
      <x:c r="D11" s="28"/>
      <x:c r="E11" s="28"/>
      <x:c r="F11" s="28"/>
      <x:c r="G11" s="28"/>
      <x:c r="H11" s="28"/>
    </x:row>
    <x:row r="12">
      <x:c r="A12" s="6" t="str">
        <x:v>Ceiling result</x:v>
      </x:c>
      <x:c r="B12" s="7"/>
      <x:c r="C12" s="7"/>
      <x:c r="D12" s="7"/>
      <x:c r="E12" s="7"/>
      <x:c r="F12" s="7"/>
      <x:c r="G12" s="7"/>
      <x:c r="H12" s="8"/>
    </x:row>
    <x:row r="13" ht="34" customHeight="1">
      <x:c r="A13" s="16" t="str">
        <x:v>Case</x:v>
      </x:c>
      <x:c r="B13" s="16" t="str">
        <x:v>K</x:v>
      </x:c>
      <x:c r="C13" s="16" t="str">
        <x:v>Mean-share change</x:v>
      </x:c>
      <x:c r="D13" s="16" t="str">
        <x:v>Quantile change</x:v>
      </x:c>
      <x:c r="E13" s="16" t="str">
        <x:v>Limit</x:v>
      </x:c>
      <x:c r="F13" s="16" t="str">
        <x:v>Rejected rows</x:v>
      </x:c>
      <x:c r="G13" s="16" t="str">
        <x:v>Target-only gate</x:v>
      </x:c>
      <x:c r="H13" s="28"/>
    </x:row>
    <x:row r="14">
      <x:c r="A14" s="19" t="str">
        <x:v>T0_TABLE_BLOCK</x:v>
      </x:c>
      <x:c r="B14" s="19" t="n">
        <x:v>1000</x:v>
      </x:c>
      <x:c r="C14" s="22" t="n">
        <x:v>0.0017965918754494492</x:v>
      </x:c>
      <x:c r="D14" s="22" t="n">
        <x:v>0.008906260221102857</x:v>
      </x:c>
      <x:c r="E14" s="22" t="n">
        <x:v>0.005</x:v>
      </x:c>
      <x:c r="F14" s="19" t="n">
        <x:v>8</x:v>
      </x:c>
      <x:c r="G14" s="19" t="str">
        <x:v>Not met</x:v>
      </x:c>
      <x:c r="H14" s="28"/>
    </x:row>
    <x:row r="15">
      <x:c r="A15" s="20" t="str">
        <x:v>T1_SHARED_CATCHMENT</x:v>
      </x:c>
      <x:c r="B15" s="20" t="n">
        <x:v>1000</x:v>
      </x:c>
      <x:c r="C15" s="23" t="n">
        <x:v>0.0014942107673188154</x:v>
      </x:c>
      <x:c r="D15" s="23" t="n">
        <x:v>0.009637811700009435</x:v>
      </x:c>
      <x:c r="E15" s="23" t="n">
        <x:v>0.005</x:v>
      </x:c>
      <x:c r="F15" s="20" t="n">
        <x:v>4</x:v>
      </x:c>
      <x:c r="G15" s="20" t="str">
        <x:v>Not met</x:v>
      </x:c>
      <x:c r="H15" s="28"/>
    </x:row>
    <x:row r="16">
      <x:c r="A16" s="21" t="str">
        <x:v>T2_CONCORDANT_DOMAIN</x:v>
      </x:c>
      <x:c r="B16" s="21" t="n">
        <x:v>1000</x:v>
      </x:c>
      <x:c r="C16" s="24" t="n">
        <x:v>0.0013523909203900786</x:v>
      </x:c>
      <x:c r="D16" s="24" t="n">
        <x:v>0.007737809157707054</x:v>
      </x:c>
      <x:c r="E16" s="24" t="n">
        <x:v>0.005</x:v>
      </x:c>
      <x:c r="F16" s="21" t="n">
        <x:v>1</x:v>
      </x:c>
      <x:c r="G16" s="21" t="str">
        <x:v>Not met</x:v>
      </x:c>
      <x:c r="H16" s="28"/>
    </x:row>
    <x:row r="17">
      <x:c r="A17" s="28"/>
      <x:c r="B17" s="28"/>
      <x:c r="C17" s="28"/>
      <x:c r="D17" s="28"/>
      <x:c r="E17" s="28"/>
      <x:c r="F17" s="28"/>
      <x:c r="G17" s="28"/>
      <x:c r="H17" s="28"/>
    </x:row>
    <x:row r="18">
      <x:c r="A18" s="28"/>
      <x:c r="B18" s="28"/>
      <x:c r="C18" s="28"/>
      <x:c r="D18" s="28"/>
      <x:c r="E18" s="28"/>
      <x:c r="F18" s="28"/>
      <x:c r="G18" s="28"/>
      <x:c r="H18" s="28"/>
    </x:row>
    <x:row r="19">
      <x:c r="A19" s="6" t="str">
        <x:v>What remains sealed</x:v>
      </x:c>
      <x:c r="B19" s="7"/>
      <x:c r="C19" s="7"/>
      <x:c r="D19" s="7"/>
      <x:c r="E19" s="7"/>
      <x:c r="F19" s="7"/>
      <x:c r="G19" s="7"/>
      <x:c r="H19" s="8"/>
    </x:row>
    <x:row r="20" ht="34" customHeight="1">
      <x:c r="A20" s="16" t="str">
        <x:v>Object</x:v>
      </x:c>
      <x:c r="B20" s="16" t="str">
        <x:v>Rows</x:v>
      </x:c>
      <x:c r="C20" s="16" t="str">
        <x:v>Reason</x:v>
      </x:c>
      <x:c r="D20" s="28"/>
      <x:c r="E20" s="28"/>
      <x:c r="F20" s="28"/>
      <x:c r="G20" s="28"/>
      <x:c r="H20" s="28"/>
    </x:row>
    <x:row r="21">
      <x:c r="A21" s="19" t="str">
        <x:v>continuous donor weights</x:v>
      </x:c>
      <x:c r="B21" s="25" t="n">
        <x:v>0</x:v>
      </x:c>
      <x:c r="C21" s="19" t="str">
        <x:v>target ensemble not admitted</x:v>
      </x:c>
      <x:c r="D21" s="28"/>
      <x:c r="E21" s="28"/>
      <x:c r="F21" s="28"/>
      <x:c r="G21" s="28"/>
      <x:c r="H21" s="28"/>
    </x:row>
    <x:row r="22">
      <x:c r="A22" s="20" t="str">
        <x:v>integer donor-class counts</x:v>
      </x:c>
      <x:c r="B22" s="26" t="n">
        <x:v>0</x:v>
      </x:c>
      <x:c r="C22" s="20" t="str">
        <x:v>donor fit not executed</x:v>
      </x:c>
      <x:c r="D22" s="28"/>
      <x:c r="E22" s="28"/>
      <x:c r="F22" s="28"/>
      <x:c r="G22" s="28"/>
      <x:c r="H22" s="28"/>
    </x:row>
    <x:row r="23">
      <x:c r="A23" s="20" t="str">
        <x:v>synthetic households and persons</x:v>
      </x:c>
      <x:c r="B23" s="26" t="n">
        <x:v>0</x:v>
      </x:c>
      <x:c r="C23" s="20" t="str">
        <x:v>compiler not executed</x:v>
      </x:c>
      <x:c r="D23" s="28"/>
      <x:c r="E23" s="28"/>
      <x:c r="F23" s="28"/>
      <x:c r="G23" s="28"/>
      <x:c r="H23" s="28"/>
    </x:row>
    <x:row r="24">
      <x:c r="A24" s="20" t="str">
        <x:v>public building-class assignments</x:v>
      </x:c>
      <x:c r="B24" s="26" t="n">
        <x:v>0</x:v>
      </x:c>
      <x:c r="C24" s="20" t="str">
        <x:v>compiler not executed</x:v>
      </x:c>
      <x:c r="D24" s="28"/>
      <x:c r="E24" s="28"/>
      <x:c r="F24" s="28"/>
      <x:c r="G24" s="28"/>
      <x:c r="H24" s="28"/>
    </x:row>
    <x:row r="25">
      <x:c r="A25" s="21" t="str">
        <x:v>architecture and campaign outcomes</x:v>
      </x:c>
      <x:c r="B25" s="27" t="n">
        <x:v>0</x:v>
      </x:c>
      <x:c r="C25" s="21" t="str">
        <x:v>formal L0 remains open</x:v>
      </x:c>
      <x:c r="D25" s="28"/>
      <x:c r="E25" s="28"/>
      <x:c r="F25" s="28"/>
      <x:c r="G25" s="28"/>
      <x:c r="H25" s="28"/>
    </x:row>
    <x:row r="26">
      <x:c r="A26" s="28"/>
      <x:c r="B26" s="28"/>
      <x:c r="C26" s="28"/>
      <x:c r="D26" s="28"/>
      <x:c r="E26" s="28"/>
      <x:c r="F26" s="28"/>
      <x:c r="G26" s="28"/>
      <x:c r="H26" s="28"/>
    </x:row>
    <x:row r="27">
      <x:c r="A27" s="28"/>
      <x:c r="B27" s="28"/>
      <x:c r="C27" s="28"/>
      <x:c r="D27" s="28"/>
      <x:c r="E27" s="28"/>
      <x:c r="F27" s="28"/>
      <x:c r="G27" s="28"/>
      <x:c r="H27" s="28"/>
    </x:row>
    <x:row r="28">
      <x:c r="A28" s="6" t="str">
        <x:v>Reading order</x:v>
      </x:c>
      <x:c r="B28" s="7"/>
      <x:c r="C28" s="7"/>
      <x:c r="D28" s="7"/>
      <x:c r="E28" s="7"/>
      <x:c r="F28" s="7"/>
      <x:c r="G28" s="7"/>
      <x:c r="H28" s="8"/>
    </x:row>
    <x:row r="29" ht="34" customHeight="1">
      <x:c r="A29" s="16" t="str">
        <x:v>Step</x:v>
      </x:c>
      <x:c r="B29" s="16" t="str">
        <x:v>Sheets</x:v>
      </x:c>
      <x:c r="C29" s="16" t="str">
        <x:v>Purpose</x:v>
      </x:c>
      <x:c r="D29" s="28"/>
      <x:c r="E29" s="28"/>
      <x:c r="F29" s="28"/>
      <x:c r="G29" s="28"/>
      <x:c r="H29" s="28"/>
    </x:row>
    <x:row r="30">
      <x:c r="A30" s="19" t="n">
        <x:v>1</x:v>
      </x:c>
      <x:c r="B30" s="19" t="str">
        <x:v>01 Registration / 03 Method</x:v>
      </x:c>
      <x:c r="C30" s="19" t="str">
        <x:v>Confirm authority, algorithm and stop boundary</x:v>
      </x:c>
      <x:c r="D30" s="28"/>
      <x:c r="E30" s="28"/>
      <x:c r="F30" s="28"/>
      <x:c r="G30" s="28"/>
      <x:c r="H30" s="28"/>
    </x:row>
    <x:row r="31">
      <x:c r="A31" s="20" t="n">
        <x:v>2</x:v>
      </x:c>
      <x:c r="B31" s="20" t="str">
        <x:v>02 Sources / 04 Source Validation</x:v>
      </x:c>
      <x:c r="C31" s="20" t="str">
        <x:v>Audit source lineage and replicate reconstruction</x:v>
      </x:c>
      <x:c r="D31" s="28"/>
      <x:c r="E31" s="28"/>
      <x:c r="F31" s="28"/>
      <x:c r="G31" s="28"/>
      <x:c r="H31" s="28"/>
    </x:row>
    <x:row r="32">
      <x:c r="A32" s="20" t="n">
        <x:v>3</x:v>
      </x:c>
      <x:c r="B32" s="20" t="str">
        <x:v>05–07 Definitions, cases and constraints</x:v>
      </x:c>
      <x:c r="C32" s="20" t="str">
        <x:v>Inspect the statistical and feasibility system</x:v>
      </x:c>
      <x:c r="D32" s="28"/>
      <x:c r="E32" s="28"/>
      <x:c r="F32" s="28"/>
      <x:c r="G32" s="28"/>
      <x:c r="H32" s="28"/>
    </x:row>
    <x:row r="33">
      <x:c r="A33" s="20" t="n">
        <x:v>4</x:v>
      </x:c>
      <x:c r="B33" s="20" t="str">
        <x:v>08–13 Diagnostics</x:v>
      </x:c>
      <x:c r="C33" s="20" t="str">
        <x:v>Understand convergence, projection, rejection and failure tests</x:v>
      </x:c>
      <x:c r="D33" s="28"/>
      <x:c r="E33" s="28"/>
      <x:c r="F33" s="28"/>
      <x:c r="G33" s="28"/>
      <x:c r="H33" s="28"/>
    </x:row>
    <x:row r="34">
      <x:c r="A34" s="20" t="n">
        <x:v>5</x:v>
      </x:c>
      <x:c r="B34" s="20" t="str">
        <x:v>14–16 Candidate targets</x:v>
      </x:c>
      <x:c r="C34" s="20" t="str">
        <x:v>Inspect the 1,000-member NYC-V2-R01 focal diagnostic; full cases are hash-committed</x:v>
      </x:c>
      <x:c r="D34" s="28"/>
      <x:c r="E34" s="28"/>
      <x:c r="F34" s="28"/>
      <x:c r="G34" s="28"/>
      <x:c r="H34" s="28"/>
    </x:row>
    <x:row r="35">
      <x:c r="A35" s="21" t="n">
        <x:v>6</x:v>
      </x:c>
      <x:c r="B35" s="21" t="str">
        <x:v>17 Empty Outputs / 18 Integrity</x:v>
      </x:c>
      <x:c r="C35" s="21" t="str">
        <x:v>Confirm downstream work remains sealed</x:v>
      </x:c>
      <x:c r="D35" s="28"/>
      <x:c r="E35" s="28"/>
      <x:c r="F35" s="28"/>
      <x:c r="G35" s="28"/>
      <x:c r="H35" s="28"/>
    </x:row>
  </x:sheetData>
  <x:mergeCells>
    <x:mergeCell ref="A8:A10"/>
    <x:mergeCell ref="B8: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00" hidden="0" customWidth="1"/>
    <x:col min="3" max="3" width="16" hidden="0" customWidth="1"/>
    <x:col min="4" max="4" width="16" hidden="0" customWidth="1"/>
    <x:col min="5" max="5" width="16" hidden="0" customWidth="1"/>
    <x:col min="6" max="6" width="16" hidden="0" customWidth="1"/>
  </x:cols>
  <x:sheetData>
    <x:row r="1">
      <x:c r="A1" s="1" t="str">
        <x:v>Registration</x:v>
      </x:c>
      <x:c r="B1" s="28"/>
      <x:c r="C1" s="28"/>
      <x:c r="D1" s="28"/>
      <x:c r="E1" s="28"/>
      <x:c r="F1" s="28"/>
    </x:row>
    <x:row r="2">
      <x:c r="A2" s="2" t="str">
        <x:v>Identity, parent lineage and registered decision boundary</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Registration</x:v>
      </x:c>
      <x:c r="B5" s="7"/>
      <x:c r="C5" s="7"/>
      <x:c r="D5" s="7"/>
      <x:c r="E5" s="7"/>
      <x:c r="F5" s="8"/>
    </x:row>
    <x:row r="6" ht="34" customHeight="1">
      <x:c r="A6" s="16" t="str">
        <x:v>Field</x:v>
      </x:c>
      <x:c r="B6" s="16" t="str">
        <x:v>Value</x:v>
      </x:c>
      <x:c r="C6" s="28"/>
      <x:c r="D6" s="28"/>
      <x:c r="E6" s="28"/>
      <x:c r="F6" s="28"/>
    </x:row>
    <x:row r="7">
      <x:c r="A7" s="19" t="str">
        <x:v>registration_id</x:v>
      </x:c>
      <x:c r="B7" s="31" t="str">
        <x:v>DF-NYC-L0-PR49-TARGETS-v1</x:v>
      </x:c>
      <x:c r="C7" s="28"/>
      <x:c r="D7" s="28"/>
      <x:c r="E7" s="28"/>
      <x:c r="F7" s="28"/>
    </x:row>
    <x:row r="8">
      <x:c r="A8" s="20" t="str">
        <x:v>parent_inputs</x:v>
      </x:c>
      <x:c r="B8" s="32" t="str">
        <x:v>DF-NYC-L0-PR44-INPUTS-v1</x:v>
      </x:c>
      <x:c r="C8" s="28"/>
      <x:c r="D8" s="28"/>
      <x:c r="E8" s="28"/>
      <x:c r="F8" s="28"/>
    </x:row>
    <x:row r="9">
      <x:c r="A9" s="20" t="str">
        <x:v>parent_compiler</x:v>
      </x:c>
      <x:c r="B9" s="32" t="str">
        <x:v>DF-NYC-L0-PR46-COMPILER-v1</x:v>
      </x:c>
      <x:c r="C9" s="28"/>
      <x:c r="D9" s="28"/>
      <x:c r="E9" s="28"/>
      <x:c r="F9" s="28"/>
    </x:row>
    <x:row r="10">
      <x:c r="A10" s="20" t="str">
        <x:v>parent_donors</x:v>
      </x:c>
      <x:c r="B10" s="32" t="str">
        <x:v>DF-NYC-L0-PR48-DONORS-v1</x:v>
      </x:c>
      <x:c r="C10" s="28"/>
      <x:c r="D10" s="28"/>
      <x:c r="E10" s="28"/>
      <x:c r="F10" s="28"/>
    </x:row>
    <x:row r="11">
      <x:c r="A11" s="20" t="str">
        <x:v>state</x:v>
      </x:c>
      <x:c r="B11" s="32" t="str">
        <x:v>TARGET_ENGINE_CEILING_FAILED_NO_DONOR_FIT_NO_SYNTHESIS</x:v>
      </x:c>
      <x:c r="C11" s="28"/>
      <x:c r="D11" s="28"/>
      <x:c r="E11" s="28"/>
      <x:c r="F11" s="28"/>
    </x:row>
    <x:row r="12">
      <x:c r="A12" s="20" t="str">
        <x:v>access_date</x:v>
      </x:c>
      <x:c r="B12" s="32" t="str">
        <x:v>2026-09-05</x:v>
      </x:c>
      <x:c r="C12" s="28"/>
      <x:c r="D12" s="28"/>
      <x:c r="E12" s="28"/>
      <x:c r="F12" s="28"/>
    </x:row>
    <x:row r="13">
      <x:c r="A13" s="20" t="str">
        <x:v>ensemble_members</x:v>
      </x:c>
      <x:c r="B13" s="32" t="n">
        <x:v>1000</x:v>
      </x:c>
      <x:c r="C13" s="28"/>
      <x:c r="D13" s="28"/>
      <x:c r="E13" s="28"/>
      <x:c r="F13" s="28"/>
    </x:row>
    <x:row r="14">
      <x:c r="A14" s="20" t="str">
        <x:v>catchments</x:v>
      </x:c>
      <x:c r="B14" s="32" t="n">
        <x:v>12</x:v>
      </x:c>
      <x:c r="C14" s="28"/>
      <x:c r="D14" s="28"/>
      <x:c r="E14" s="28"/>
      <x:c r="F14" s="28"/>
    </x:row>
    <x:row r="15">
      <x:c r="A15" s="20" t="str">
        <x:v>target_metrics</x:v>
      </x:c>
      <x:c r="B15" s="32" t="n">
        <x:v>38</x:v>
      </x:c>
      <x:c r="C15" s="28"/>
      <x:c r="D15" s="28"/>
      <x:c r="E15" s="28"/>
      <x:c r="F15" s="28"/>
    </x:row>
    <x:row r="16">
      <x:c r="A16" s="20" t="str">
        <x:v>covariance_cases</x:v>
      </x:c>
      <x:c r="B16" s="32" t="n">
        <x:v>3</x:v>
      </x:c>
      <x:c r="C16" s="28"/>
      <x:c r="D16" s="28"/>
      <x:c r="E16" s="28"/>
      <x:c r="F16" s="28"/>
    </x:row>
    <x:row r="17">
      <x:c r="A17" s="20" t="str">
        <x:v>target_rows</x:v>
      </x:c>
      <x:c r="B17" s="32" t="n">
        <x:v>36000</x:v>
      </x:c>
      <x:c r="C17" s="28"/>
      <x:c r="D17" s="28"/>
      <x:c r="E17" s="28"/>
      <x:c r="F17" s="28"/>
    </x:row>
    <x:row r="18">
      <x:c r="A18" s="20" t="str">
        <x:v>candidate_target_rows</x:v>
      </x:c>
      <x:c r="B18" s="32" t="n">
        <x:v>36000</x:v>
      </x:c>
      <x:c r="C18" s="28"/>
      <x:c r="D18" s="28"/>
      <x:c r="E18" s="28"/>
      <x:c r="F18" s="28"/>
    </x:row>
    <x:row r="19">
      <x:c r="A19" s="20" t="str">
        <x:v>admitted_target_ensemble</x:v>
      </x:c>
      <x:c r="B19" s="32" t="str">
        <x:v>No</x:v>
      </x:c>
      <x:c r="C19" s="28"/>
      <x:c r="D19" s="28"/>
      <x:c r="E19" s="28"/>
      <x:c r="F19" s="28"/>
    </x:row>
    <x:row r="20">
      <x:c r="A20" s="20" t="str">
        <x:v>failure_reason</x:v>
      </x:c>
      <x:c r="B20" s="32" t="str">
        <x:v>All three covariance cases exceed the registered 0.005 selected-quantile convergence limit at K=1000; T0 and T1 also contain rejected projection rows.</x:v>
      </x:c>
      <x:c r="C20" s="28"/>
      <x:c r="D20" s="28"/>
      <x:c r="E20" s="28"/>
      <x:c r="F20" s="28"/>
    </x:row>
    <x:row r="21">
      <x:c r="A21" s="20" t="str">
        <x:v>latent_design</x:v>
      </x:c>
      <x:c r="B21" s="32" t="str">
        <x:v>first 1000 members of a deterministic 1,000-point nested Latin hypercube exactly stratified at K=125, 250, 500 and 1,000</x:v>
      </x:c>
      <x:c r="C21" s="28"/>
      <x:c r="D21" s="28"/>
      <x:c r="E21" s="28"/>
      <x:c r="F21" s="28"/>
    </x:row>
    <x:row r="22">
      <x:c r="A22" s="20" t="str">
        <x:v>projection</x:v>
      </x:c>
      <x:c r="B22" s="32" t="str">
        <x:v>integer weighted-L1 MILP with one joint solve per case-member-catchment</x:v>
      </x:c>
      <x:c r="C22" s="28"/>
      <x:c r="D22" s="28"/>
      <x:c r="E22" s="28"/>
      <x:c r="F22" s="28"/>
    </x:row>
    <x:row r="23">
      <x:c r="A23" s="21" t="str">
        <x:v>admission_boundary</x:v>
      </x:c>
      <x:c r="B23" s="33" t="str">
        <x:v>target-only convergence can be evaluated; donor fit, privacy and compiler admission remain unavailable</x:v>
      </x:c>
      <x:c r="C23" s="28"/>
      <x:c r="D23" s="28"/>
      <x:c r="E23" s="28"/>
      <x:c r="F23" s="28"/>
    </x:row>
    <x:row r="24">
      <x:c r="A24" s="6" t="str">
        <x:v>Parent commitments</x:v>
      </x:c>
      <x:c r="B24" s="7"/>
      <x:c r="C24" s="7"/>
      <x:c r="D24" s="7"/>
      <x:c r="E24" s="7"/>
      <x:c r="F24" s="8"/>
    </x:row>
    <x:row r="25" ht="34" customHeight="1">
      <x:c r="A25" s="16" t="str">
        <x:v>Parent</x:v>
      </x:c>
      <x:c r="B25" s="16" t="str">
        <x:v>Registration</x:v>
      </x:c>
      <x:c r="C25" s="28"/>
      <x:c r="D25" s="28"/>
      <x:c r="E25" s="28"/>
      <x:c r="F25" s="28"/>
    </x:row>
    <x:row r="26">
      <x:c r="A26" s="19" t="str">
        <x:v>official input surface</x:v>
      </x:c>
      <x:c r="B26" s="19" t="str">
        <x:v>DF-NYC-L0-PR44-INPUTS-v1</x:v>
      </x:c>
      <x:c r="C26" s="28"/>
      <x:c r="D26" s="28"/>
      <x:c r="E26" s="28"/>
      <x:c r="F26" s="28"/>
    </x:row>
    <x:row r="27">
      <x:c r="A27" s="20" t="str">
        <x:v>civil-state compiler</x:v>
      </x:c>
      <x:c r="B27" s="20" t="str">
        <x:v>DF-NYC-L0-PR46-COMPILER-v1</x:v>
      </x:c>
      <x:c r="C27" s="28"/>
      <x:c r="D27" s="28"/>
      <x:c r="E27" s="28"/>
      <x:c r="F27" s="28"/>
    </x:row>
    <x:row r="28">
      <x:c r="A28" s="21" t="str">
        <x:v>PUMS donor support audit</x:v>
      </x:c>
      <x:c r="B28" s="21" t="str">
        <x:v>DF-NYC-L0-PR48-DONORS-v1</x:v>
      </x:c>
      <x:c r="C28" s="28"/>
      <x:c r="D28" s="28"/>
      <x:c r="E28" s="28"/>
      <x:c r="F28" s="28"/>
    </x:row>
    <x:row r="29">
      <x:c r="A29" s="28"/>
      <x:c r="B29" s="28"/>
      <x:c r="C29" s="28"/>
      <x:c r="D29" s="28"/>
      <x:c r="E29" s="28"/>
      <x:c r="F29" s="28"/>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28" hidden="0" customWidth="1"/>
    <x:col min="3" max="3" width="24" hidden="0" customWidth="1"/>
    <x:col min="4" max="4" width="36" hidden="0" customWidth="1"/>
    <x:col min="5" max="5" width="54" hidden="0" customWidth="1"/>
    <x:col min="6" max="6" width="92" hidden="0" customWidth="1"/>
    <x:col min="7" max="7" width="66" hidden="0" customWidth="1"/>
  </x:cols>
  <x:sheetData>
    <x:row r="1">
      <x:c r="A1" s="1" t="str">
        <x:v>Sources</x:v>
      </x:c>
      <x:c r="B1" s="28"/>
      <x:c r="C1" s="28"/>
      <x:c r="D1" s="28"/>
      <x:c r="E1" s="28"/>
      <x:c r="F1" s="28"/>
      <x:c r="G1" s="28"/>
    </x:row>
    <x:row r="2">
      <x:c r="A2" s="2" t="str">
        <x:v>Official ACS inputs and implementation references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Source ID</x:v>
      </x:c>
      <x:c r="B6" s="16" t="str">
        <x:v>Kind</x:v>
      </x:c>
      <x:c r="C6" s="16" t="str">
        <x:v>Release</x:v>
      </x:c>
      <x:c r="D6" s="16" t="str">
        <x:v>Geography</x:v>
      </x:c>
      <x:c r="E6" s="16" t="str">
        <x:v>Use</x:v>
      </x:c>
      <x:c r="F6" s="16" t="str">
        <x:v>URL</x:v>
      </x:c>
      <x:c r="G6" s="16" t="str">
        <x:v>SHA-256</x:v>
      </x:c>
    </x:row>
    <x:row r="7">
      <x:c r="A7" s="19" t="str">
        <x:v>ACS-VRE-B01001-36</x:v>
      </x:c>
      <x:c r="B7" s="19" t="str">
        <x:v>variance replicate data</x:v>
      </x:c>
      <x:c r="C7" s="19" t="str">
        <x:v>2020–2024 ACS 5-year</x:v>
      </x:c>
      <x:c r="D7" s="31" t="str">
        <x:v>all census tracts, New York State</x:v>
      </x:c>
      <x:c r="E7" s="31" t="str">
        <x:v>selected tract estimates, published 90% MOEs, and 80 replicates</x:v>
      </x:c>
      <x:c r="F7" s="31" t="str">
        <x:v>https://www2.census.gov/programs-surveys/acs/replicate_estimates/2024/data/5-year/140/B01001_36.csv.zip?download=1</x:v>
      </x:c>
      <x:c r="G7" s="31" t="str">
        <x:v>aa6dc4d33db9ae8131e98c9ddbfd6eb78bd8447cab6ff4c7b76ca95db1623d3b</x:v>
      </x:c>
    </x:row>
    <x:row r="8">
      <x:c r="A8" s="20" t="str">
        <x:v>ACS-VRE-B18101-36</x:v>
      </x:c>
      <x:c r="B8" s="20" t="str">
        <x:v>variance replicate data</x:v>
      </x:c>
      <x:c r="C8" s="20" t="str">
        <x:v>2020–2024 ACS 5-year</x:v>
      </x:c>
      <x:c r="D8" s="32" t="str">
        <x:v>all census tracts, New York State</x:v>
      </x:c>
      <x:c r="E8" s="32" t="str">
        <x:v>selected tract estimates, published 90% MOEs, and 80 replicates</x:v>
      </x:c>
      <x:c r="F8" s="32" t="str">
        <x:v>https://www2.census.gov/programs-surveys/acs/replicate_estimates/2024/data/5-year/140/B18101_36.csv.zip?download=1</x:v>
      </x:c>
      <x:c r="G8" s="32" t="str">
        <x:v>51f22e4bb1fa2670036d669fac1913cd5c8768dc6b50c1b89466c849677255c6</x:v>
      </x:c>
    </x:row>
    <x:row r="9">
      <x:c r="A9" s="20" t="str">
        <x:v>ACS-TABLE-B18102-5YR</x:v>
      </x:c>
      <x:c r="B9" s="20" t="str">
        <x:v>table-based summary data</x:v>
      </x:c>
      <x:c r="C9" s="20" t="str">
        <x:v>2020–2024 ACS 5-year</x:v>
      </x:c>
      <x:c r="D9" s="32" t="str">
        <x:v>all published geographies, United States</x:v>
      </x:c>
      <x:c r="E9" s="32" t="str">
        <x:v>selected tract estimates and published 90% MOEs; no variance replicates</x:v>
      </x:c>
      <x:c r="F9" s="32" t="str">
        <x:v>https://www2.census.gov/programs-surveys/acs/summary_file/2024/table-based-SF/data/5YRData/acsdt5y2024-b18102.dat?download=1</x:v>
      </x:c>
      <x:c r="G9" s="32" t="str">
        <x:v>b004ee3a921ec69981c2c462d364b164ace0b870f78dc9bbc21bd243e6f0ab36</x:v>
      </x:c>
    </x:row>
    <x:row r="10">
      <x:c r="A10" s="20" t="str">
        <x:v>ACS-TABLE-B18103-5YR</x:v>
      </x:c>
      <x:c r="B10" s="20" t="str">
        <x:v>table-based summary data</x:v>
      </x:c>
      <x:c r="C10" s="20" t="str">
        <x:v>2020–2024 ACS 5-year</x:v>
      </x:c>
      <x:c r="D10" s="32" t="str">
        <x:v>all published geographies, United States</x:v>
      </x:c>
      <x:c r="E10" s="32" t="str">
        <x:v>selected tract estimates and published 90% MOEs; no variance replicates</x:v>
      </x:c>
      <x:c r="F10" s="32" t="str">
        <x:v>https://www2.census.gov/programs-surveys/acs/summary_file/2024/table-based-SF/data/5YRData/acsdt5y2024-b18103.dat?download=1</x:v>
      </x:c>
      <x:c r="G10" s="32" t="str">
        <x:v>ffcfad4dc93a95c21f1f757c1b5db5fa44cf61f59b4a621818438a5b4d2ffccb</x:v>
      </x:c>
    </x:row>
    <x:row r="11">
      <x:c r="A11" s="20" t="str">
        <x:v>ACS-TABLE-B18104-5YR</x:v>
      </x:c>
      <x:c r="B11" s="20" t="str">
        <x:v>table-based summary data</x:v>
      </x:c>
      <x:c r="C11" s="20" t="str">
        <x:v>2020–2024 ACS 5-year</x:v>
      </x:c>
      <x:c r="D11" s="32" t="str">
        <x:v>all published geographies, United States</x:v>
      </x:c>
      <x:c r="E11" s="32" t="str">
        <x:v>selected tract estimates and published 90% MOEs; no variance replicates</x:v>
      </x:c>
      <x:c r="F11" s="32" t="str">
        <x:v>https://www2.census.gov/programs-surveys/acs/summary_file/2024/table-based-SF/data/5YRData/acsdt5y2024-b18104.dat?download=1</x:v>
      </x:c>
      <x:c r="G11" s="32" t="str">
        <x:v>9214f31293d7c05c9b4c96e6be52ff994f541f389f7556a5678dfab16726fbf3</x:v>
      </x:c>
    </x:row>
    <x:row r="12">
      <x:c r="A12" s="20" t="str">
        <x:v>ACS-TABLE-B18105-5YR</x:v>
      </x:c>
      <x:c r="B12" s="20" t="str">
        <x:v>table-based summary data</x:v>
      </x:c>
      <x:c r="C12" s="20" t="str">
        <x:v>2020–2024 ACS 5-year</x:v>
      </x:c>
      <x:c r="D12" s="32" t="str">
        <x:v>all published geographies, United States</x:v>
      </x:c>
      <x:c r="E12" s="32" t="str">
        <x:v>selected tract estimates and published 90% MOEs; no variance replicates</x:v>
      </x:c>
      <x:c r="F12" s="32" t="str">
        <x:v>https://www2.census.gov/programs-surveys/acs/summary_file/2024/table-based-SF/data/5YRData/acsdt5y2024-b18105.dat?download=1</x:v>
      </x:c>
      <x:c r="G12" s="32" t="str">
        <x:v>67b37e93cfa0607b9870936e6d11cba3c4defd5b264e2ffb40092f91d9fed746</x:v>
      </x:c>
    </x:row>
    <x:row r="13">
      <x:c r="A13" s="20" t="str">
        <x:v>ACS-TABLE-B18106-5YR</x:v>
      </x:c>
      <x:c r="B13" s="20" t="str">
        <x:v>table-based summary data</x:v>
      </x:c>
      <x:c r="C13" s="20" t="str">
        <x:v>2020–2024 ACS 5-year</x:v>
      </x:c>
      <x:c r="D13" s="32" t="str">
        <x:v>all published geographies, United States</x:v>
      </x:c>
      <x:c r="E13" s="32" t="str">
        <x:v>selected tract estimates and published 90% MOEs; no variance replicates</x:v>
      </x:c>
      <x:c r="F13" s="32" t="str">
        <x:v>https://www2.census.gov/programs-surveys/acs/summary_file/2024/table-based-SF/data/5YRData/acsdt5y2024-b18106.dat?download=1</x:v>
      </x:c>
      <x:c r="G13" s="32" t="str">
        <x:v>592ddabd57f928cfcdf7e33fee357b70d4c2eb2dc2de81de434368ed43d9f5f3</x:v>
      </x:c>
    </x:row>
    <x:row r="14">
      <x:c r="A14" s="20" t="str">
        <x:v>ACS-TABLE-B18107-5YR</x:v>
      </x:c>
      <x:c r="B14" s="20" t="str">
        <x:v>table-based summary data</x:v>
      </x:c>
      <x:c r="C14" s="20" t="str">
        <x:v>2020–2024 ACS 5-year</x:v>
      </x:c>
      <x:c r="D14" s="32" t="str">
        <x:v>all published geographies, United States</x:v>
      </x:c>
      <x:c r="E14" s="32" t="str">
        <x:v>selected tract estimates and published 90% MOEs; no variance replicates</x:v>
      </x:c>
      <x:c r="F14" s="32" t="str">
        <x:v>https://www2.census.gov/programs-surveys/acs/summary_file/2024/table-based-SF/data/5YRData/acsdt5y2024-b18107.dat?download=1</x:v>
      </x:c>
      <x:c r="G14" s="32" t="str">
        <x:v>9e460e57b7d33294fcb848538e8ad6d7c4fb24e8bbed10040e45eccbd1f5de09</x:v>
      </x:c>
    </x:row>
    <x:row r="15">
      <x:c r="A15" s="20" t="str">
        <x:v>ACS-VRE-B11001-36</x:v>
      </x:c>
      <x:c r="B15" s="20" t="str">
        <x:v>variance replicate data</x:v>
      </x:c>
      <x:c r="C15" s="20" t="str">
        <x:v>2020–2024 ACS 5-year</x:v>
      </x:c>
      <x:c r="D15" s="32" t="str">
        <x:v>all census tracts, New York State</x:v>
      </x:c>
      <x:c r="E15" s="32" t="str">
        <x:v>selected tract estimates, published 90% MOEs, and 80 replicates</x:v>
      </x:c>
      <x:c r="F15" s="32" t="str">
        <x:v>https://www2.census.gov/programs-surveys/acs/replicate_estimates/2024/data/5-year/140/B11001_36.csv.zip?download=1</x:v>
      </x:c>
      <x:c r="G15" s="32" t="str">
        <x:v>c1cb8a4b103be345848553b0fbc5ef2fc89243029fc3c1085d1be42253ade606</x:v>
      </x:c>
    </x:row>
    <x:row r="16">
      <x:c r="A16" s="20" t="str">
        <x:v>ACS-VRE-B11005-36</x:v>
      </x:c>
      <x:c r="B16" s="20" t="str">
        <x:v>variance replicate data</x:v>
      </x:c>
      <x:c r="C16" s="20" t="str">
        <x:v>2020–2024 ACS 5-year</x:v>
      </x:c>
      <x:c r="D16" s="32" t="str">
        <x:v>all census tracts, New York State</x:v>
      </x:c>
      <x:c r="E16" s="32" t="str">
        <x:v>selected tract estimates, published 90% MOEs, and 80 replicates</x:v>
      </x:c>
      <x:c r="F16" s="32" t="str">
        <x:v>https://www2.census.gov/programs-surveys/acs/replicate_estimates/2024/data/5-year/140/B11005_36.csv.zip?download=1</x:v>
      </x:c>
      <x:c r="G16" s="32" t="str">
        <x:v>23c807007397c0e9d2aa739fc4051253ac760e8698858011f9c527f7812f8268</x:v>
      </x:c>
    </x:row>
    <x:row r="17">
      <x:c r="A17" s="20" t="str">
        <x:v>ACS-VRE-B11007-36</x:v>
      </x:c>
      <x:c r="B17" s="20" t="str">
        <x:v>variance replicate data</x:v>
      </x:c>
      <x:c r="C17" s="20" t="str">
        <x:v>2020–2024 ACS 5-year</x:v>
      </x:c>
      <x:c r="D17" s="32" t="str">
        <x:v>all census tracts, New York State</x:v>
      </x:c>
      <x:c r="E17" s="32" t="str">
        <x:v>selected tract estimates, published 90% MOEs, and 80 replicates</x:v>
      </x:c>
      <x:c r="F17" s="32" t="str">
        <x:v>https://www2.census.gov/programs-surveys/acs/replicate_estimates/2024/data/5-year/140/B11007_36.csv.zip?download=1</x:v>
      </x:c>
      <x:c r="G17" s="32" t="str">
        <x:v>e5297f0a04f479646dabaa0810c3b607e1e0845e9e1c8118ee35871a194438d7</x:v>
      </x:c>
    </x:row>
    <x:row r="18">
      <x:c r="A18" s="20" t="str">
        <x:v>ACS-TABLE-B08201-5YR</x:v>
      </x:c>
      <x:c r="B18" s="20" t="str">
        <x:v>table-based summary data</x:v>
      </x:c>
      <x:c r="C18" s="20" t="str">
        <x:v>2020–2024 ACS 5-year</x:v>
      </x:c>
      <x:c r="D18" s="32" t="str">
        <x:v>all published geographies, United States</x:v>
      </x:c>
      <x:c r="E18" s="32" t="str">
        <x:v>selected tract estimates and published 90% MOEs; no variance replicates</x:v>
      </x:c>
      <x:c r="F18" s="32" t="str">
        <x:v>https://www2.census.gov/programs-surveys/acs/summary_file/2024/table-based-SF/data/5YRData/acsdt5y2024-b08201.dat?download=1</x:v>
      </x:c>
      <x:c r="G18" s="32" t="str">
        <x:v>2f64e698223ba83f97b67dde4a34961a02f230e0359ffc69b9657b89a3df6b4d</x:v>
      </x:c>
    </x:row>
    <x:row r="19">
      <x:c r="A19" s="20" t="str">
        <x:v>ACS-TABLE-C16002-5YR</x:v>
      </x:c>
      <x:c r="B19" s="20" t="str">
        <x:v>table-based summary data</x:v>
      </x:c>
      <x:c r="C19" s="20" t="str">
        <x:v>2020–2024 ACS 5-year</x:v>
      </x:c>
      <x:c r="D19" s="32" t="str">
        <x:v>all published geographies, United States</x:v>
      </x:c>
      <x:c r="E19" s="32" t="str">
        <x:v>selected tract estimates and published 90% MOEs; no variance replicates</x:v>
      </x:c>
      <x:c r="F19" s="32" t="str">
        <x:v>https://www2.census.gov/programs-surveys/acs/summary_file/2024/table-based-SF/data/5YRData/acsdt5y2024-c16002.dat?download=1</x:v>
      </x:c>
      <x:c r="G19" s="32" t="str">
        <x:v>00a4427940568a454995afb64aaf34a29156943d659453bf5b7e066299a7d1f0</x:v>
      </x:c>
    </x:row>
    <x:row r="20">
      <x:c r="A20" s="20" t="str">
        <x:v>ACS-VRE-B25002-36</x:v>
      </x:c>
      <x:c r="B20" s="20" t="str">
        <x:v>variance replicate data</x:v>
      </x:c>
      <x:c r="C20" s="20" t="str">
        <x:v>2020–2024 ACS 5-year</x:v>
      </x:c>
      <x:c r="D20" s="32" t="str">
        <x:v>all census tracts, New York State</x:v>
      </x:c>
      <x:c r="E20" s="32" t="str">
        <x:v>selected tract estimates, published 90% MOEs, and 80 replicates</x:v>
      </x:c>
      <x:c r="F20" s="32" t="str">
        <x:v>https://www2.census.gov/programs-surveys/acs/replicate_estimates/2024/data/5-year/140/B25002_36.csv.zip?download=1</x:v>
      </x:c>
      <x:c r="G20" s="32" t="str">
        <x:v>92e71331b10d11aa69d3f1bfdc30aa279bcb67a1492f78b5e24456cc558dcfa4</x:v>
      </x:c>
    </x:row>
    <x:row r="21">
      <x:c r="A21" s="20" t="str">
        <x:v>ACS-TABLE-B25032-5YR</x:v>
      </x:c>
      <x:c r="B21" s="20" t="str">
        <x:v>table-based summary data</x:v>
      </x:c>
      <x:c r="C21" s="20" t="str">
        <x:v>2020–2024 ACS 5-year</x:v>
      </x:c>
      <x:c r="D21" s="32" t="str">
        <x:v>all published geographies, United States</x:v>
      </x:c>
      <x:c r="E21" s="32" t="str">
        <x:v>selected tract estimates and published 90% MOEs; no variance replicates</x:v>
      </x:c>
      <x:c r="F21" s="32" t="str">
        <x:v>https://www2.census.gov/programs-surveys/acs/summary_file/2024/table-based-SF/data/5YRData/acsdt5y2024-b25032.dat?download=1</x:v>
      </x:c>
      <x:c r="G21" s="32" t="str">
        <x:v>b2fc3d65dc9ef405cf16f26d16bfc3bad14a5cc72b9dafbd7607850f54a4dd13</x:v>
      </x:c>
    </x:row>
    <x:row r="22">
      <x:c r="A22" s="20" t="str">
        <x:v>ACS-VRE-B25040-36</x:v>
      </x:c>
      <x:c r="B22" s="20" t="str">
        <x:v>variance replicate data</x:v>
      </x:c>
      <x:c r="C22" s="20" t="str">
        <x:v>2020–2024 ACS 5-year</x:v>
      </x:c>
      <x:c r="D22" s="32" t="str">
        <x:v>all census tracts, New York State</x:v>
      </x:c>
      <x:c r="E22" s="32" t="str">
        <x:v>selected tract estimates, published 90% MOEs, and 80 replicates</x:v>
      </x:c>
      <x:c r="F22" s="32" t="str">
        <x:v>https://www2.census.gov/programs-surveys/acs/replicate_estimates/2024/data/5-year/140/B25040_36.csv.zip?download=1</x:v>
      </x:c>
      <x:c r="G22" s="32" t="str">
        <x:v>f68ac6a815f32819e433abaf06986121e7cc71634504fcbd81a108d2010da59b</x:v>
      </x:c>
    </x:row>
    <x:row r="23">
      <x:c r="A23" s="20" t="str">
        <x:v>ACS-VRE-B26001-36</x:v>
      </x:c>
      <x:c r="B23" s="20" t="str">
        <x:v>variance replicate data</x:v>
      </x:c>
      <x:c r="C23" s="20" t="str">
        <x:v>2020–2024 ACS 5-year</x:v>
      </x:c>
      <x:c r="D23" s="32" t="str">
        <x:v>all census tracts, New York State</x:v>
      </x:c>
      <x:c r="E23" s="32" t="str">
        <x:v>selected tract estimates, published 90% MOEs, and 80 replicates</x:v>
      </x:c>
      <x:c r="F23" s="32" t="str">
        <x:v>https://www2.census.gov/programs-surveys/acs/replicate_estimates/2024/data/5-year/140/B26001_36.csv.zip?download=1</x:v>
      </x:c>
      <x:c r="G23" s="32" t="str">
        <x:v>ab45da65f1fed43879dfe0717a053b41f120b4801375506916759dd3dbbd056f</x:v>
      </x:c>
    </x:row>
    <x:row r="24">
      <x:c r="A24" s="20" t="str">
        <x:v>ACS-VRE-2024</x:v>
      </x:c>
      <x:c r="B24" s="20" t="str">
        <x:v>method documentation</x:v>
      </x:c>
      <x:c r="C24" s="20" t="str">
        <x:v>2020–2024 ACS</x:v>
      </x:c>
      <x:c r="D24" s="32" t="str">
        <x:v>not applicable</x:v>
      </x:c>
      <x:c r="E24" s="32" t="str">
        <x:v>variance-replicate scope and exact covariance-aware aggregation</x:v>
      </x:c>
      <x:c r="F24" s="32" t="str">
        <x:v>https://www.census.gov/programs-surveys/acs/data/variance-tables/2024.html</x:v>
      </x:c>
      <x:c r="G24" s="32" t="str"/>
    </x:row>
    <x:row r="25">
      <x:c r="A25" s="20" t="str">
        <x:v>ACS-ACCURACY-2024</x:v>
      </x:c>
      <x:c r="B25" s="20" t="str">
        <x:v>method documentation</x:v>
      </x:c>
      <x:c r="C25" s="20" t="str">
        <x:v>2020–2024 ACS</x:v>
      </x:c>
      <x:c r="D25" s="32" t="str">
        <x:v>not applicable</x:v>
      </x:c>
      <x:c r="E25" s="32" t="str">
        <x:v>sampling error, replicate variance and approximation boundary</x:v>
      </x:c>
      <x:c r="F25" s="32" t="str">
        <x:v>https://www2.census.gov/programs-surveys/acs/tech_docs/accuracy/MultiyearACSAccuracyofData2024.pdf</x:v>
      </x:c>
      <x:c r="G25" s="32" t="str"/>
    </x:row>
    <x:row r="26">
      <x:c r="A26" s="21" t="str">
        <x:v>SCIPY-MILP-1.15.3</x:v>
      </x:c>
      <x:c r="B26" s="21" t="str">
        <x:v>implementation documentation</x:v>
      </x:c>
      <x:c r="C26" s="21" t="str">
        <x:v>SciPy 1.15.3</x:v>
      </x:c>
      <x:c r="D26" s="33" t="str">
        <x:v>not applicable</x:v>
      </x:c>
      <x:c r="E26" s="33" t="str">
        <x:v>deterministic mixed-integer linear projection</x:v>
      </x:c>
      <x:c r="F26" s="33" t="str">
        <x:v>https://docs.scipy.org/doc/scipy-1.15.3/reference/generated/scipy.optimize.milp.html</x:v>
      </x:c>
      <x:c r="G26" s="33"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0" hidden="0" customWidth="1"/>
    <x:col min="2" max="2" width="34" hidden="0" customWidth="1"/>
    <x:col min="3" max="3" width="118" hidden="0" customWidth="1"/>
    <x:col min="4" max="4" width="18" hidden="0" customWidth="1"/>
    <x:col min="5" max="5" width="18" hidden="0" customWidth="1"/>
    <x:col min="6" max="6" width="18" hidden="0" customWidth="1"/>
  </x:cols>
  <x:sheetData>
    <x:row r="1">
      <x:c r="A1" s="1" t="str">
        <x:v>Method</x:v>
      </x:c>
      <x:c r="B1" s="28"/>
      <x:c r="C1" s="28"/>
      <x:c r="D1" s="28"/>
      <x:c r="E1" s="28"/>
      <x:c r="F1" s="28"/>
    </x:row>
    <x:row r="2">
      <x:c r="A2" s="2" t="str">
        <x:v>From published uncertainty to constrained integer candidate targets</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Stage</x:v>
      </x:c>
      <x:c r="B6" s="16" t="str">
        <x:v>Operation</x:v>
      </x:c>
      <x:c r="C6" s="16" t="str">
        <x:v>Registered rule</x:v>
      </x:c>
      <x:c r="D6" s="28"/>
      <x:c r="E6" s="28"/>
      <x:c r="F6" s="28"/>
    </x:row>
    <x:row r="7">
      <x:c r="A7" s="19" t="n">
        <x:v>1</x:v>
      </x:c>
      <x:c r="B7" s="31" t="str">
        <x:v>Verify parents</x:v>
      </x:c>
      <x:c r="C7" s="31" t="str">
        <x:v>Match the Pass 44 input, Pass 46 compiler and Pass 48 donor-support commitments.</x:v>
      </x:c>
      <x:c r="D7" s="28"/>
      <x:c r="E7" s="28"/>
      <x:c r="F7" s="28"/>
    </x:row>
    <x:row r="8">
      <x:c r="A8" s="20" t="n">
        <x:v>2</x:v>
      </x:c>
      <x:c r="B8" s="32" t="str">
        <x:v>Reconstruct replicate vectors</x:v>
      </x:c>
      <x:c r="C8" s="32" t="str">
        <x:v>For eight ACS tables, sum components and tracts separately for every one of the 80 published variance replicates.</x:v>
      </x:c>
      <x:c r="D8" s="28"/>
      <x:c r="E8" s="28"/>
      <x:c r="F8" s="28"/>
    </x:row>
    <x:row r="9">
      <x:c r="A9" s="20" t="n">
        <x:v>3</x:v>
      </x:c>
      <x:c r="B9" s="32" t="str">
        <x:v>Declare missing covariance</x:v>
      </x:c>
      <x:c r="C9" s="32" t="str">
        <x:v>Sixteen metrics without VRE data retain published/RSS standard errors. Cross-table covariance is unknown, not zero truth.</x:v>
      </x:c>
      <x:c r="D9" s="28"/>
      <x:c r="E9" s="28"/>
      <x:c r="F9" s="28"/>
    </x:row>
    <x:row r="10">
      <x:c r="A10" s="20" t="n">
        <x:v>4</x:v>
      </x:c>
      <x:c r="B10" s="32" t="str">
        <x:v>Build nested latent design</x:v>
      </x:c>
      <x:c r="C10" s="32" t="str">
        <x:v>Use one deterministic 1,000-member Latin hypercube exactly stratified at prefixes 125, 250, 500 and 1,000 across 849 latent dimensions.</x:v>
      </x:c>
      <x:c r="D10" s="28"/>
      <x:c r="E10" s="28"/>
      <x:c r="F10" s="28"/>
    </x:row>
    <x:row r="11">
      <x:c r="A11" s="20" t="n">
        <x:v>5</x:v>
      </x:c>
      <x:c r="B11" s="32" t="str">
        <x:v>Apply covariance cases</x:v>
      </x:c>
      <x:c r="C11" s="32" t="str">
        <x:v>T0 preserves published-table blocks; T1 adds metropolitan and catchment factors; T2 adds stronger metropolitan, catchment and domain concordance.</x:v>
      </x:c>
      <x:c r="D11" s="28"/>
      <x:c r="E11" s="28"/>
      <x:c r="F11" s="28"/>
    </x:row>
    <x:row r="12">
      <x:c r="A12" s="20" t="n">
        <x:v>6</x:v>
      </x:c>
      <x:c r="B12" s="32" t="str">
        <x:v>Condition RSS compositions</x:v>
      </x:c>
      <x:c r="C12" s="32" t="str">
        <x:v>Condition tenure and occupied-structure categories on their registered occupied-unit total before global projection.</x:v>
      </x:c>
      <x:c r="D12" s="28"/>
      <x:c r="E12" s="28"/>
      <x:c r="F12" s="28"/>
    </x:row>
    <x:row r="13">
      <x:c r="A13" s="20" t="n">
        <x:v>7</x:v>
      </x:c>
      <x:c r="B13" s="32" t="str">
        <x:v>Draw candidate margins</x:v>
      </x:c>
      <x:c r="C13" s="32" t="str">
        <x:v>Transform the nested uniform design to Gaussian coordinates and apply each metric's registered standard error.</x:v>
      </x:c>
      <x:c r="D13" s="28"/>
      <x:c r="E13" s="28"/>
      <x:c r="F13" s="28"/>
    </x:row>
    <x:row r="14">
      <x:c r="A14" s="20" t="n">
        <x:v>8</x:v>
      </x:c>
      <x:c r="B14" s="32" t="str">
        <x:v>Project jointly</x:v>
      </x:c>
      <x:c r="C14" s="32" t="str">
        <x:v>Solve one nonnegative integer weighted-L1 MILP for all 38 metrics under 6 equalities and 27 inequalities.</x:v>
      </x:c>
      <x:c r="D14" s="28"/>
      <x:c r="E14" s="28"/>
      <x:c r="F14" s="28"/>
    </x:row>
    <x:row r="15">
      <x:c r="A15" s="20" t="n">
        <x:v>9</x:v>
      </x:c>
      <x:c r="B15" s="32" t="str">
        <x:v>Reject excessive repair</x:v>
      </x:c>
      <x:c r="C15" s="32" t="str">
        <x:v>Reject a row if mean shift exceeds 0.50 SE, a screen-precision cell exceeds 5 SE, or any cell exceeds 8 SE.</x:v>
      </x:c>
      <x:c r="D15" s="28"/>
      <x:c r="E15" s="28"/>
      <x:c r="F15" s="28"/>
    </x:row>
    <x:row r="16">
      <x:c r="A16" s="20" t="n">
        <x:v>10</x:v>
      </x:c>
      <x:c r="B16" s="32" t="str">
        <x:v>Evaluate nested convergence</x:v>
      </x:c>
      <x:c r="C16" s="32" t="str">
        <x:v>Compare K with K/2; require maximum mean-share change &lt;=0.0025 and selected-quantile change &lt;=0.0050 with no rejected rows.</x:v>
      </x:c>
      <x:c r="D16" s="28"/>
      <x:c r="E16" s="28"/>
      <x:c r="F16" s="28"/>
    </x:row>
    <x:row r="17">
      <x:c r="A17" s="34" t="n">
        <x:v>11</x:v>
      </x:c>
      <x:c r="B17" s="35" t="str">
        <x:v>Stop before donor fit</x:v>
      </x:c>
      <x:c r="C17" s="35" t="str">
        <x:v>At K=1,000 every case fails the quantile rule; T0 and T1 also contain rejected rows. No target ensemble advances.</x:v>
      </x:c>
      <x:c r="D17" s="28"/>
      <x:c r="E17" s="28"/>
      <x:c r="F17" s="28"/>
    </x:row>
    <x:row r="18">
      <x:c r="A18" s="28"/>
      <x:c r="B18" s="28"/>
      <x:c r="C18" s="28"/>
      <x:c r="D18" s="28"/>
      <x:c r="E18" s="28"/>
      <x:c r="F18" s="28"/>
    </x:row>
    <x:row r="19">
      <x:c r="A19" s="28"/>
      <x:c r="B19" s="28"/>
      <x:c r="C19" s="28"/>
      <x:c r="D19" s="28"/>
      <x:c r="E19" s="28"/>
      <x:c r="F19" s="28"/>
    </x:row>
    <x:row r="20">
      <x:c r="A20" s="6" t="str">
        <x:v>Interpretation</x:v>
      </x:c>
      <x:c r="B20" s="7"/>
      <x:c r="C20" s="7"/>
      <x:c r="D20" s="7"/>
      <x:c r="E20" s="7"/>
      <x:c r="F20" s="8"/>
    </x:row>
    <x:row r="21">
      <x:c r="A21" s="37" t="str">
        <x:v>The 36,000 rows are candidate targets and remain useful for diagnosis. Feasibility alone does not admit them: every row is integer and satisfies all hard identities, yet the ensemble tails do not stabilize at the preregistered ceiling. Increasing K beyond the registered ladder would be a new method version, not an automatic continuation.</x:v>
      </x:c>
      <x:c r="B21" s="37"/>
      <x:c r="C21" s="37"/>
      <x:c r="D21" s="37"/>
      <x:c r="E21" s="37"/>
      <x:c r="F21" s="37"/>
    </x:row>
    <x:row r="22">
      <x:c r="A22" s="37"/>
      <x:c r="B22" s="37"/>
      <x:c r="C22" s="37"/>
      <x:c r="D22" s="37"/>
      <x:c r="E22" s="37"/>
      <x:c r="F22" s="37"/>
    </x:row>
    <x:row r="23">
      <x:c r="A23" s="37"/>
      <x:c r="B23" s="37"/>
      <x:c r="C23" s="37"/>
      <x:c r="D23" s="37"/>
      <x:c r="E23" s="37"/>
      <x:c r="F23" s="37"/>
    </x:row>
    <x:row r="24">
      <x:c r="A24" s="37"/>
      <x:c r="B24" s="37"/>
      <x:c r="C24" s="37"/>
      <x:c r="D24" s="37"/>
      <x:c r="E24" s="37"/>
      <x:c r="F24" s="37"/>
    </x:row>
  </x:sheetData>
  <x:mergeCells>
    <x:mergeCell ref="A21:F24"/>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18" hidden="0" customWidth="1"/>
    <x:col min="3" max="3" width="38" hidden="0" customWidth="1"/>
    <x:col min="4" max="4" width="22" hidden="0" customWidth="1"/>
    <x:col min="5" max="5" width="22" hidden="0" customWidth="1"/>
    <x:col min="6" max="6" width="18" hidden="0" customWidth="1"/>
    <x:col min="7" max="7" width="16" hidden="0" customWidth="1"/>
  </x:cols>
  <x:sheetData>
    <x:row r="1">
      <x:c r="A1" s="1" t="str">
        <x:v>Source Validation</x:v>
      </x:c>
      <x:c r="B1" s="28"/>
      <x:c r="C1" s="28"/>
      <x:c r="D1" s="28"/>
      <x:c r="E1" s="28"/>
      <x:c r="F1" s="28"/>
      <x:c r="G1" s="28"/>
    </x:row>
    <x:row r="2">
      <x:c r="A2" s="2" t="str">
        <x:v>Independent reconstruction of 264 catchment-metric estimates and standard errors from published VRE files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Table</x:v>
      </x:c>
      <x:c r="B6" s="16" t="str">
        <x:v>Catchment</x:v>
      </x:c>
      <x:c r="C6" s="16" t="str">
        <x:v>Metric</x:v>
      </x:c>
      <x:c r="D6" s="16" t="str">
        <x:v>Estimate difference</x:v>
      </x:c>
      <x:c r="E6" s="16" t="str">
        <x:v>SE difference</x:v>
      </x:c>
      <x:c r="F6" s="16" t="str">
        <x:v>Estimate check</x:v>
      </x:c>
      <x:c r="G6" s="16" t="str">
        <x:v>SE check</x:v>
      </x:c>
    </x:row>
    <x:row r="7">
      <x:c r="A7" s="19" t="str">
        <x:v>B01001</x:v>
      </x:c>
      <x:c r="B7" s="19" t="str">
        <x:v>NYC-V1-R01</x:v>
      </x:c>
      <x:c r="C7" s="19" t="str">
        <x:v>acs_population</x:v>
      </x:c>
      <x:c r="D7" s="38" t="n">
        <x:v>0</x:v>
      </x:c>
      <x:c r="E7" s="38" t="n">
        <x:v>2.2737367544323206e-13</x:v>
      </x:c>
      <x:c r="F7" s="19" t="str">
        <x:v>Exact</x:v>
      </x:c>
      <x:c r="G7" s="19" t="str">
        <x:v>Exact</x:v>
      </x:c>
    </x:row>
    <x:row r="8">
      <x:c r="A8" s="20" t="str">
        <x:v>B01001</x:v>
      </x:c>
      <x:c r="B8" s="20" t="str">
        <x:v>NYC-V1-R01</x:v>
      </x:c>
      <x:c r="C8" s="20" t="str">
        <x:v>age_under_18</x:v>
      </x:c>
      <x:c r="D8" s="39" t="n">
        <x:v>0</x:v>
      </x:c>
      <x:c r="E8" s="39" t="n">
        <x:v>0</x:v>
      </x:c>
      <x:c r="F8" s="20" t="str">
        <x:v>Exact</x:v>
      </x:c>
      <x:c r="G8" s="20" t="str">
        <x:v>Exact</x:v>
      </x:c>
    </x:row>
    <x:row r="9">
      <x:c r="A9" s="20" t="str">
        <x:v>B01001</x:v>
      </x:c>
      <x:c r="B9" s="20" t="str">
        <x:v>NYC-V1-R01</x:v>
      </x:c>
      <x:c r="C9" s="20" t="str">
        <x:v>age_65_plus</x:v>
      </x:c>
      <x:c r="D9" s="39" t="n">
        <x:v>0</x:v>
      </x:c>
      <x:c r="E9" s="39" t="n">
        <x:v>0</x:v>
      </x:c>
      <x:c r="F9" s="20" t="str">
        <x:v>Exact</x:v>
      </x:c>
      <x:c r="G9" s="20" t="str">
        <x:v>Exact</x:v>
      </x:c>
    </x:row>
    <x:row r="10">
      <x:c r="A10" s="20" t="str">
        <x:v>B01001</x:v>
      </x:c>
      <x:c r="B10" s="20" t="str">
        <x:v>NYC-V1-R01</x:v>
      </x:c>
      <x:c r="C10" s="20" t="str">
        <x:v>age_75_plus</x:v>
      </x:c>
      <x:c r="D10" s="39" t="n">
        <x:v>0</x:v>
      </x:c>
      <x:c r="E10" s="39" t="n">
        <x:v>0</x:v>
      </x:c>
      <x:c r="F10" s="20" t="str">
        <x:v>Exact</x:v>
      </x:c>
      <x:c r="G10" s="20" t="str">
        <x:v>Exact</x:v>
      </x:c>
    </x:row>
    <x:row r="11">
      <x:c r="A11" s="20" t="str">
        <x:v>B01001</x:v>
      </x:c>
      <x:c r="B11" s="20" t="str">
        <x:v>NYC-V1-R01</x:v>
      </x:c>
      <x:c r="C11" s="20" t="str">
        <x:v>age_85_plus</x:v>
      </x:c>
      <x:c r="D11" s="39" t="n">
        <x:v>0</x:v>
      </x:c>
      <x:c r="E11" s="39" t="n">
        <x:v>0</x:v>
      </x:c>
      <x:c r="F11" s="20" t="str">
        <x:v>Exact</x:v>
      </x:c>
      <x:c r="G11" s="20" t="str">
        <x:v>Exact</x:v>
      </x:c>
    </x:row>
    <x:row r="12">
      <x:c r="A12" s="20" t="str">
        <x:v>B01001</x:v>
      </x:c>
      <x:c r="B12" s="20" t="str">
        <x:v>NYC-V1-R02</x:v>
      </x:c>
      <x:c r="C12" s="20" t="str">
        <x:v>acs_population</x:v>
      </x:c>
      <x:c r="D12" s="39" t="n">
        <x:v>0</x:v>
      </x:c>
      <x:c r="E12" s="39" t="n">
        <x:v>0</x:v>
      </x:c>
      <x:c r="F12" s="20" t="str">
        <x:v>Exact</x:v>
      </x:c>
      <x:c r="G12" s="20" t="str">
        <x:v>Exact</x:v>
      </x:c>
    </x:row>
    <x:row r="13">
      <x:c r="A13" s="20" t="str">
        <x:v>B01001</x:v>
      </x:c>
      <x:c r="B13" s="20" t="str">
        <x:v>NYC-V1-R02</x:v>
      </x:c>
      <x:c r="C13" s="20" t="str">
        <x:v>age_under_18</x:v>
      </x:c>
      <x:c r="D13" s="39" t="n">
        <x:v>0</x:v>
      </x:c>
      <x:c r="E13" s="39" t="n">
        <x:v>0</x:v>
      </x:c>
      <x:c r="F13" s="20" t="str">
        <x:v>Exact</x:v>
      </x:c>
      <x:c r="G13" s="20" t="str">
        <x:v>Exact</x:v>
      </x:c>
    </x:row>
    <x:row r="14">
      <x:c r="A14" s="20" t="str">
        <x:v>B01001</x:v>
      </x:c>
      <x:c r="B14" s="20" t="str">
        <x:v>NYC-V1-R02</x:v>
      </x:c>
      <x:c r="C14" s="20" t="str">
        <x:v>age_65_plus</x:v>
      </x:c>
      <x:c r="D14" s="39" t="n">
        <x:v>0</x:v>
      </x:c>
      <x:c r="E14" s="39" t="n">
        <x:v>0</x:v>
      </x:c>
      <x:c r="F14" s="20" t="str">
        <x:v>Exact</x:v>
      </x:c>
      <x:c r="G14" s="20" t="str">
        <x:v>Exact</x:v>
      </x:c>
    </x:row>
    <x:row r="15">
      <x:c r="A15" s="20" t="str">
        <x:v>B01001</x:v>
      </x:c>
      <x:c r="B15" s="20" t="str">
        <x:v>NYC-V1-R02</x:v>
      </x:c>
      <x:c r="C15" s="20" t="str">
        <x:v>age_75_plus</x:v>
      </x:c>
      <x:c r="D15" s="39" t="n">
        <x:v>0</x:v>
      </x:c>
      <x:c r="E15" s="39" t="n">
        <x:v>0</x:v>
      </x:c>
      <x:c r="F15" s="20" t="str">
        <x:v>Exact</x:v>
      </x:c>
      <x:c r="G15" s="20" t="str">
        <x:v>Exact</x:v>
      </x:c>
    </x:row>
    <x:row r="16">
      <x:c r="A16" s="20" t="str">
        <x:v>B01001</x:v>
      </x:c>
      <x:c r="B16" s="20" t="str">
        <x:v>NYC-V1-R02</x:v>
      </x:c>
      <x:c r="C16" s="20" t="str">
        <x:v>age_85_plus</x:v>
      </x:c>
      <x:c r="D16" s="39" t="n">
        <x:v>0</x:v>
      </x:c>
      <x:c r="E16" s="39" t="n">
        <x:v>0</x:v>
      </x:c>
      <x:c r="F16" s="20" t="str">
        <x:v>Exact</x:v>
      </x:c>
      <x:c r="G16" s="20" t="str">
        <x:v>Exact</x:v>
      </x:c>
    </x:row>
    <x:row r="17">
      <x:c r="A17" s="20" t="str">
        <x:v>B01001</x:v>
      </x:c>
      <x:c r="B17" s="20" t="str">
        <x:v>NYC-V1-R03</x:v>
      </x:c>
      <x:c r="C17" s="20" t="str">
        <x:v>acs_population</x:v>
      </x:c>
      <x:c r="D17" s="39" t="n">
        <x:v>0</x:v>
      </x:c>
      <x:c r="E17" s="39" t="n">
        <x:v>0</x:v>
      </x:c>
      <x:c r="F17" s="20" t="str">
        <x:v>Exact</x:v>
      </x:c>
      <x:c r="G17" s="20" t="str">
        <x:v>Exact</x:v>
      </x:c>
    </x:row>
    <x:row r="18">
      <x:c r="A18" s="20" t="str">
        <x:v>B01001</x:v>
      </x:c>
      <x:c r="B18" s="20" t="str">
        <x:v>NYC-V1-R03</x:v>
      </x:c>
      <x:c r="C18" s="20" t="str">
        <x:v>age_under_18</x:v>
      </x:c>
      <x:c r="D18" s="39" t="n">
        <x:v>0</x:v>
      </x:c>
      <x:c r="E18" s="39" t="n">
        <x:v>0</x:v>
      </x:c>
      <x:c r="F18" s="20" t="str">
        <x:v>Exact</x:v>
      </x:c>
      <x:c r="G18" s="20" t="str">
        <x:v>Exact</x:v>
      </x:c>
    </x:row>
    <x:row r="19">
      <x:c r="A19" s="20" t="str">
        <x:v>B01001</x:v>
      </x:c>
      <x:c r="B19" s="20" t="str">
        <x:v>NYC-V1-R03</x:v>
      </x:c>
      <x:c r="C19" s="20" t="str">
        <x:v>age_65_plus</x:v>
      </x:c>
      <x:c r="D19" s="39" t="n">
        <x:v>0</x:v>
      </x:c>
      <x:c r="E19" s="39" t="n">
        <x:v>0</x:v>
      </x:c>
      <x:c r="F19" s="20" t="str">
        <x:v>Exact</x:v>
      </x:c>
      <x:c r="G19" s="20" t="str">
        <x:v>Exact</x:v>
      </x:c>
    </x:row>
    <x:row r="20">
      <x:c r="A20" s="20" t="str">
        <x:v>B01001</x:v>
      </x:c>
      <x:c r="B20" s="20" t="str">
        <x:v>NYC-V1-R03</x:v>
      </x:c>
      <x:c r="C20" s="20" t="str">
        <x:v>age_75_plus</x:v>
      </x:c>
      <x:c r="D20" s="39" t="n">
        <x:v>0</x:v>
      </x:c>
      <x:c r="E20" s="39" t="n">
        <x:v>0</x:v>
      </x:c>
      <x:c r="F20" s="20" t="str">
        <x:v>Exact</x:v>
      </x:c>
      <x:c r="G20" s="20" t="str">
        <x:v>Exact</x:v>
      </x:c>
    </x:row>
    <x:row r="21">
      <x:c r="A21" s="20" t="str">
        <x:v>B01001</x:v>
      </x:c>
      <x:c r="B21" s="20" t="str">
        <x:v>NYC-V1-R03</x:v>
      </x:c>
      <x:c r="C21" s="20" t="str">
        <x:v>age_85_plus</x:v>
      </x:c>
      <x:c r="D21" s="39" t="n">
        <x:v>0</x:v>
      </x:c>
      <x:c r="E21" s="39" t="n">
        <x:v>0</x:v>
      </x:c>
      <x:c r="F21" s="20" t="str">
        <x:v>Exact</x:v>
      </x:c>
      <x:c r="G21" s="20" t="str">
        <x:v>Exact</x:v>
      </x:c>
    </x:row>
    <x:row r="22">
      <x:c r="A22" s="20" t="str">
        <x:v>B01001</x:v>
      </x:c>
      <x:c r="B22" s="20" t="str">
        <x:v>NYC-V1-R04</x:v>
      </x:c>
      <x:c r="C22" s="20" t="str">
        <x:v>acs_population</x:v>
      </x:c>
      <x:c r="D22" s="39" t="n">
        <x:v>0</x:v>
      </x:c>
      <x:c r="E22" s="39" t="n">
        <x:v>0</x:v>
      </x:c>
      <x:c r="F22" s="20" t="str">
        <x:v>Exact</x:v>
      </x:c>
      <x:c r="G22" s="20" t="str">
        <x:v>Exact</x:v>
      </x:c>
    </x:row>
    <x:row r="23">
      <x:c r="A23" s="20" t="str">
        <x:v>B01001</x:v>
      </x:c>
      <x:c r="B23" s="20" t="str">
        <x:v>NYC-V1-R04</x:v>
      </x:c>
      <x:c r="C23" s="20" t="str">
        <x:v>age_under_18</x:v>
      </x:c>
      <x:c r="D23" s="39" t="n">
        <x:v>0</x:v>
      </x:c>
      <x:c r="E23" s="39" t="n">
        <x:v>0</x:v>
      </x:c>
      <x:c r="F23" s="20" t="str">
        <x:v>Exact</x:v>
      </x:c>
      <x:c r="G23" s="20" t="str">
        <x:v>Exact</x:v>
      </x:c>
    </x:row>
    <x:row r="24">
      <x:c r="A24" s="20" t="str">
        <x:v>B01001</x:v>
      </x:c>
      <x:c r="B24" s="20" t="str">
        <x:v>NYC-V1-R04</x:v>
      </x:c>
      <x:c r="C24" s="20" t="str">
        <x:v>age_65_plus</x:v>
      </x:c>
      <x:c r="D24" s="39" t="n">
        <x:v>0</x:v>
      </x:c>
      <x:c r="E24" s="39" t="n">
        <x:v>0</x:v>
      </x:c>
      <x:c r="F24" s="20" t="str">
        <x:v>Exact</x:v>
      </x:c>
      <x:c r="G24" s="20" t="str">
        <x:v>Exact</x:v>
      </x:c>
    </x:row>
    <x:row r="25">
      <x:c r="A25" s="20" t="str">
        <x:v>B01001</x:v>
      </x:c>
      <x:c r="B25" s="20" t="str">
        <x:v>NYC-V1-R04</x:v>
      </x:c>
      <x:c r="C25" s="20" t="str">
        <x:v>age_75_plus</x:v>
      </x:c>
      <x:c r="D25" s="39" t="n">
        <x:v>0</x:v>
      </x:c>
      <x:c r="E25" s="39" t="n">
        <x:v>0</x:v>
      </x:c>
      <x:c r="F25" s="20" t="str">
        <x:v>Exact</x:v>
      </x:c>
      <x:c r="G25" s="20" t="str">
        <x:v>Exact</x:v>
      </x:c>
    </x:row>
    <x:row r="26">
      <x:c r="A26" s="20" t="str">
        <x:v>B01001</x:v>
      </x:c>
      <x:c r="B26" s="20" t="str">
        <x:v>NYC-V1-R04</x:v>
      </x:c>
      <x:c r="C26" s="20" t="str">
        <x:v>age_85_plus</x:v>
      </x:c>
      <x:c r="D26" s="39" t="n">
        <x:v>0</x:v>
      </x:c>
      <x:c r="E26" s="39" t="n">
        <x:v>0</x:v>
      </x:c>
      <x:c r="F26" s="20" t="str">
        <x:v>Exact</x:v>
      </x:c>
      <x:c r="G26" s="20" t="str">
        <x:v>Exact</x:v>
      </x:c>
    </x:row>
    <x:row r="27">
      <x:c r="A27" s="20" t="str">
        <x:v>B01001</x:v>
      </x:c>
      <x:c r="B27" s="20" t="str">
        <x:v>NYC-V2-R01</x:v>
      </x:c>
      <x:c r="C27" s="20" t="str">
        <x:v>acs_population</x:v>
      </x:c>
      <x:c r="D27" s="39" t="n">
        <x:v>0</x:v>
      </x:c>
      <x:c r="E27" s="39" t="n">
        <x:v>-2.2737367544323206e-13</x:v>
      </x:c>
      <x:c r="F27" s="20" t="str">
        <x:v>Exact</x:v>
      </x:c>
      <x:c r="G27" s="20" t="str">
        <x:v>Exact</x:v>
      </x:c>
    </x:row>
    <x:row r="28">
      <x:c r="A28" s="20" t="str">
        <x:v>B01001</x:v>
      </x:c>
      <x:c r="B28" s="20" t="str">
        <x:v>NYC-V2-R01</x:v>
      </x:c>
      <x:c r="C28" s="20" t="str">
        <x:v>age_under_18</x:v>
      </x:c>
      <x:c r="D28" s="39" t="n">
        <x:v>0</x:v>
      </x:c>
      <x:c r="E28" s="39" t="n">
        <x:v>0</x:v>
      </x:c>
      <x:c r="F28" s="20" t="str">
        <x:v>Exact</x:v>
      </x:c>
      <x:c r="G28" s="20" t="str">
        <x:v>Exact</x:v>
      </x:c>
    </x:row>
    <x:row r="29">
      <x:c r="A29" s="20" t="str">
        <x:v>B01001</x:v>
      </x:c>
      <x:c r="B29" s="20" t="str">
        <x:v>NYC-V2-R01</x:v>
      </x:c>
      <x:c r="C29" s="20" t="str">
        <x:v>age_65_plus</x:v>
      </x:c>
      <x:c r="D29" s="39" t="n">
        <x:v>0</x:v>
      </x:c>
      <x:c r="E29" s="39" t="n">
        <x:v>0</x:v>
      </x:c>
      <x:c r="F29" s="20" t="str">
        <x:v>Exact</x:v>
      </x:c>
      <x:c r="G29" s="20" t="str">
        <x:v>Exact</x:v>
      </x:c>
    </x:row>
    <x:row r="30">
      <x:c r="A30" s="20" t="str">
        <x:v>B01001</x:v>
      </x:c>
      <x:c r="B30" s="20" t="str">
        <x:v>NYC-V2-R01</x:v>
      </x:c>
      <x:c r="C30" s="20" t="str">
        <x:v>age_75_plus</x:v>
      </x:c>
      <x:c r="D30" s="39" t="n">
        <x:v>0</x:v>
      </x:c>
      <x:c r="E30" s="39" t="n">
        <x:v>0</x:v>
      </x:c>
      <x:c r="F30" s="20" t="str">
        <x:v>Exact</x:v>
      </x:c>
      <x:c r="G30" s="20" t="str">
        <x:v>Exact</x:v>
      </x:c>
    </x:row>
    <x:row r="31">
      <x:c r="A31" s="20" t="str">
        <x:v>B01001</x:v>
      </x:c>
      <x:c r="B31" s="20" t="str">
        <x:v>NYC-V2-R01</x:v>
      </x:c>
      <x:c r="C31" s="20" t="str">
        <x:v>age_85_plus</x:v>
      </x:c>
      <x:c r="D31" s="39" t="n">
        <x:v>0</x:v>
      </x:c>
      <x:c r="E31" s="39" t="n">
        <x:v>0</x:v>
      </x:c>
      <x:c r="F31" s="20" t="str">
        <x:v>Exact</x:v>
      </x:c>
      <x:c r="G31" s="20" t="str">
        <x:v>Exact</x:v>
      </x:c>
    </x:row>
    <x:row r="32">
      <x:c r="A32" s="20" t="str">
        <x:v>B01001</x:v>
      </x:c>
      <x:c r="B32" s="20" t="str">
        <x:v>NYC-V2-R02</x:v>
      </x:c>
      <x:c r="C32" s="20" t="str">
        <x:v>acs_population</x:v>
      </x:c>
      <x:c r="D32" s="39" t="n">
        <x:v>0</x:v>
      </x:c>
      <x:c r="E32" s="39" t="n">
        <x:v>0</x:v>
      </x:c>
      <x:c r="F32" s="20" t="str">
        <x:v>Exact</x:v>
      </x:c>
      <x:c r="G32" s="20" t="str">
        <x:v>Exact</x:v>
      </x:c>
    </x:row>
    <x:row r="33">
      <x:c r="A33" s="20" t="str">
        <x:v>B01001</x:v>
      </x:c>
      <x:c r="B33" s="20" t="str">
        <x:v>NYC-V2-R02</x:v>
      </x:c>
      <x:c r="C33" s="20" t="str">
        <x:v>age_under_18</x:v>
      </x:c>
      <x:c r="D33" s="39" t="n">
        <x:v>0</x:v>
      </x:c>
      <x:c r="E33" s="39" t="n">
        <x:v>0</x:v>
      </x:c>
      <x:c r="F33" s="20" t="str">
        <x:v>Exact</x:v>
      </x:c>
      <x:c r="G33" s="20" t="str">
        <x:v>Exact</x:v>
      </x:c>
    </x:row>
    <x:row r="34">
      <x:c r="A34" s="20" t="str">
        <x:v>B01001</x:v>
      </x:c>
      <x:c r="B34" s="20" t="str">
        <x:v>NYC-V2-R02</x:v>
      </x:c>
      <x:c r="C34" s="20" t="str">
        <x:v>age_65_plus</x:v>
      </x:c>
      <x:c r="D34" s="39" t="n">
        <x:v>0</x:v>
      </x:c>
      <x:c r="E34" s="39" t="n">
        <x:v>5.684341886080802e-14</x:v>
      </x:c>
      <x:c r="F34" s="20" t="str">
        <x:v>Exact</x:v>
      </x:c>
      <x:c r="G34" s="20" t="str">
        <x:v>Exact</x:v>
      </x:c>
    </x:row>
    <x:row r="35">
      <x:c r="A35" s="20" t="str">
        <x:v>B01001</x:v>
      </x:c>
      <x:c r="B35" s="20" t="str">
        <x:v>NYC-V2-R02</x:v>
      </x:c>
      <x:c r="C35" s="20" t="str">
        <x:v>age_75_plus</x:v>
      </x:c>
      <x:c r="D35" s="39" t="n">
        <x:v>0</x:v>
      </x:c>
      <x:c r="E35" s="39" t="n">
        <x:v>0</x:v>
      </x:c>
      <x:c r="F35" s="20" t="str">
        <x:v>Exact</x:v>
      </x:c>
      <x:c r="G35" s="20" t="str">
        <x:v>Exact</x:v>
      </x:c>
    </x:row>
    <x:row r="36">
      <x:c r="A36" s="20" t="str">
        <x:v>B01001</x:v>
      </x:c>
      <x:c r="B36" s="20" t="str">
        <x:v>NYC-V2-R02</x:v>
      </x:c>
      <x:c r="C36" s="20" t="str">
        <x:v>age_85_plus</x:v>
      </x:c>
      <x:c r="D36" s="39" t="n">
        <x:v>0</x:v>
      </x:c>
      <x:c r="E36" s="39" t="n">
        <x:v>0</x:v>
      </x:c>
      <x:c r="F36" s="20" t="str">
        <x:v>Exact</x:v>
      </x:c>
      <x:c r="G36" s="20" t="str">
        <x:v>Exact</x:v>
      </x:c>
    </x:row>
    <x:row r="37">
      <x:c r="A37" s="20" t="str">
        <x:v>B01001</x:v>
      </x:c>
      <x:c r="B37" s="20" t="str">
        <x:v>NYC-V2-R03</x:v>
      </x:c>
      <x:c r="C37" s="20" t="str">
        <x:v>acs_population</x:v>
      </x:c>
      <x:c r="D37" s="39" t="n">
        <x:v>0</x:v>
      </x:c>
      <x:c r="E37" s="39" t="n">
        <x:v>2.2737367544323206e-13</x:v>
      </x:c>
      <x:c r="F37" s="20" t="str">
        <x:v>Exact</x:v>
      </x:c>
      <x:c r="G37" s="20" t="str">
        <x:v>Exact</x:v>
      </x:c>
    </x:row>
    <x:row r="38">
      <x:c r="A38" s="20" t="str">
        <x:v>B01001</x:v>
      </x:c>
      <x:c r="B38" s="20" t="str">
        <x:v>NYC-V2-R03</x:v>
      </x:c>
      <x:c r="C38" s="20" t="str">
        <x:v>age_under_18</x:v>
      </x:c>
      <x:c r="D38" s="39" t="n">
        <x:v>0</x:v>
      </x:c>
      <x:c r="E38" s="39" t="n">
        <x:v>0</x:v>
      </x:c>
      <x:c r="F38" s="20" t="str">
        <x:v>Exact</x:v>
      </x:c>
      <x:c r="G38" s="20" t="str">
        <x:v>Exact</x:v>
      </x:c>
    </x:row>
    <x:row r="39">
      <x:c r="A39" s="20" t="str">
        <x:v>B01001</x:v>
      </x:c>
      <x:c r="B39" s="20" t="str">
        <x:v>NYC-V2-R03</x:v>
      </x:c>
      <x:c r="C39" s="20" t="str">
        <x:v>age_65_plus</x:v>
      </x:c>
      <x:c r="D39" s="39" t="n">
        <x:v>0</x:v>
      </x:c>
      <x:c r="E39" s="39" t="n">
        <x:v>0</x:v>
      </x:c>
      <x:c r="F39" s="20" t="str">
        <x:v>Exact</x:v>
      </x:c>
      <x:c r="G39" s="20" t="str">
        <x:v>Exact</x:v>
      </x:c>
    </x:row>
    <x:row r="40">
      <x:c r="A40" s="20" t="str">
        <x:v>B01001</x:v>
      </x:c>
      <x:c r="B40" s="20" t="str">
        <x:v>NYC-V2-R03</x:v>
      </x:c>
      <x:c r="C40" s="20" t="str">
        <x:v>age_75_plus</x:v>
      </x:c>
      <x:c r="D40" s="39" t="n">
        <x:v>0</x:v>
      </x:c>
      <x:c r="E40" s="39" t="n">
        <x:v>0</x:v>
      </x:c>
      <x:c r="F40" s="20" t="str">
        <x:v>Exact</x:v>
      </x:c>
      <x:c r="G40" s="20" t="str">
        <x:v>Exact</x:v>
      </x:c>
    </x:row>
    <x:row r="41">
      <x:c r="A41" s="20" t="str">
        <x:v>B01001</x:v>
      </x:c>
      <x:c r="B41" s="20" t="str">
        <x:v>NYC-V2-R03</x:v>
      </x:c>
      <x:c r="C41" s="20" t="str">
        <x:v>age_85_plus</x:v>
      </x:c>
      <x:c r="D41" s="39" t="n">
        <x:v>0</x:v>
      </x:c>
      <x:c r="E41" s="39" t="n">
        <x:v>0</x:v>
      </x:c>
      <x:c r="F41" s="20" t="str">
        <x:v>Exact</x:v>
      </x:c>
      <x:c r="G41" s="20" t="str">
        <x:v>Exact</x:v>
      </x:c>
    </x:row>
    <x:row r="42">
      <x:c r="A42" s="20" t="str">
        <x:v>B01001</x:v>
      </x:c>
      <x:c r="B42" s="20" t="str">
        <x:v>NYC-V2-R04</x:v>
      </x:c>
      <x:c r="C42" s="20" t="str">
        <x:v>acs_population</x:v>
      </x:c>
      <x:c r="D42" s="39" t="n">
        <x:v>0</x:v>
      </x:c>
      <x:c r="E42" s="39" t="n">
        <x:v>0</x:v>
      </x:c>
      <x:c r="F42" s="20" t="str">
        <x:v>Exact</x:v>
      </x:c>
      <x:c r="G42" s="20" t="str">
        <x:v>Exact</x:v>
      </x:c>
    </x:row>
    <x:row r="43">
      <x:c r="A43" s="20" t="str">
        <x:v>B01001</x:v>
      </x:c>
      <x:c r="B43" s="20" t="str">
        <x:v>NYC-V2-R04</x:v>
      </x:c>
      <x:c r="C43" s="20" t="str">
        <x:v>age_under_18</x:v>
      </x:c>
      <x:c r="D43" s="39" t="n">
        <x:v>0</x:v>
      </x:c>
      <x:c r="E43" s="39" t="n">
        <x:v>0</x:v>
      </x:c>
      <x:c r="F43" s="20" t="str">
        <x:v>Exact</x:v>
      </x:c>
      <x:c r="G43" s="20" t="str">
        <x:v>Exact</x:v>
      </x:c>
    </x:row>
    <x:row r="44">
      <x:c r="A44" s="20" t="str">
        <x:v>B01001</x:v>
      </x:c>
      <x:c r="B44" s="20" t="str">
        <x:v>NYC-V2-R04</x:v>
      </x:c>
      <x:c r="C44" s="20" t="str">
        <x:v>age_65_plus</x:v>
      </x:c>
      <x:c r="D44" s="39" t="n">
        <x:v>0</x:v>
      </x:c>
      <x:c r="E44" s="39" t="n">
        <x:v>0</x:v>
      </x:c>
      <x:c r="F44" s="20" t="str">
        <x:v>Exact</x:v>
      </x:c>
      <x:c r="G44" s="20" t="str">
        <x:v>Exact</x:v>
      </x:c>
    </x:row>
    <x:row r="45">
      <x:c r="A45" s="20" t="str">
        <x:v>B01001</x:v>
      </x:c>
      <x:c r="B45" s="20" t="str">
        <x:v>NYC-V2-R04</x:v>
      </x:c>
      <x:c r="C45" s="20" t="str">
        <x:v>age_75_plus</x:v>
      </x:c>
      <x:c r="D45" s="39" t="n">
        <x:v>0</x:v>
      </x:c>
      <x:c r="E45" s="39" t="n">
        <x:v>0</x:v>
      </x:c>
      <x:c r="F45" s="20" t="str">
        <x:v>Exact</x:v>
      </x:c>
      <x:c r="G45" s="20" t="str">
        <x:v>Exact</x:v>
      </x:c>
    </x:row>
    <x:row r="46">
      <x:c r="A46" s="20" t="str">
        <x:v>B01001</x:v>
      </x:c>
      <x:c r="B46" s="20" t="str">
        <x:v>NYC-V2-R04</x:v>
      </x:c>
      <x:c r="C46" s="20" t="str">
        <x:v>age_85_plus</x:v>
      </x:c>
      <x:c r="D46" s="39" t="n">
        <x:v>0</x:v>
      </x:c>
      <x:c r="E46" s="39" t="n">
        <x:v>0</x:v>
      </x:c>
      <x:c r="F46" s="20" t="str">
        <x:v>Exact</x:v>
      </x:c>
      <x:c r="G46" s="20" t="str">
        <x:v>Exact</x:v>
      </x:c>
    </x:row>
    <x:row r="47">
      <x:c r="A47" s="20" t="str">
        <x:v>B01001</x:v>
      </x:c>
      <x:c r="B47" s="20" t="str">
        <x:v>NYC-V3-R01</x:v>
      </x:c>
      <x:c r="C47" s="20" t="str">
        <x:v>acs_population</x:v>
      </x:c>
      <x:c r="D47" s="39" t="n">
        <x:v>0</x:v>
      </x:c>
      <x:c r="E47" s="39" t="n">
        <x:v>0</x:v>
      </x:c>
      <x:c r="F47" s="20" t="str">
        <x:v>Exact</x:v>
      </x:c>
      <x:c r="G47" s="20" t="str">
        <x:v>Exact</x:v>
      </x:c>
    </x:row>
    <x:row r="48">
      <x:c r="A48" s="20" t="str">
        <x:v>B01001</x:v>
      </x:c>
      <x:c r="B48" s="20" t="str">
        <x:v>NYC-V3-R01</x:v>
      </x:c>
      <x:c r="C48" s="20" t="str">
        <x:v>age_under_18</x:v>
      </x:c>
      <x:c r="D48" s="39" t="n">
        <x:v>0</x:v>
      </x:c>
      <x:c r="E48" s="39" t="n">
        <x:v>0</x:v>
      </x:c>
      <x:c r="F48" s="20" t="str">
        <x:v>Exact</x:v>
      </x:c>
      <x:c r="G48" s="20" t="str">
        <x:v>Exact</x:v>
      </x:c>
    </x:row>
    <x:row r="49">
      <x:c r="A49" s="20" t="str">
        <x:v>B01001</x:v>
      </x:c>
      <x:c r="B49" s="20" t="str">
        <x:v>NYC-V3-R01</x:v>
      </x:c>
      <x:c r="C49" s="20" t="str">
        <x:v>age_65_plus</x:v>
      </x:c>
      <x:c r="D49" s="39" t="n">
        <x:v>0</x:v>
      </x:c>
      <x:c r="E49" s="39" t="n">
        <x:v>0</x:v>
      </x:c>
      <x:c r="F49" s="20" t="str">
        <x:v>Exact</x:v>
      </x:c>
      <x:c r="G49" s="20" t="str">
        <x:v>Exact</x:v>
      </x:c>
    </x:row>
    <x:row r="50">
      <x:c r="A50" s="20" t="str">
        <x:v>B01001</x:v>
      </x:c>
      <x:c r="B50" s="20" t="str">
        <x:v>NYC-V3-R01</x:v>
      </x:c>
      <x:c r="C50" s="20" t="str">
        <x:v>age_75_plus</x:v>
      </x:c>
      <x:c r="D50" s="39" t="n">
        <x:v>0</x:v>
      </x:c>
      <x:c r="E50" s="39" t="n">
        <x:v>0</x:v>
      </x:c>
      <x:c r="F50" s="20" t="str">
        <x:v>Exact</x:v>
      </x:c>
      <x:c r="G50" s="20" t="str">
        <x:v>Exact</x:v>
      </x:c>
    </x:row>
    <x:row r="51">
      <x:c r="A51" s="20" t="str">
        <x:v>B01001</x:v>
      </x:c>
      <x:c r="B51" s="20" t="str">
        <x:v>NYC-V3-R01</x:v>
      </x:c>
      <x:c r="C51" s="20" t="str">
        <x:v>age_85_plus</x:v>
      </x:c>
      <x:c r="D51" s="39" t="n">
        <x:v>0</x:v>
      </x:c>
      <x:c r="E51" s="39" t="n">
        <x:v>0</x:v>
      </x:c>
      <x:c r="F51" s="20" t="str">
        <x:v>Exact</x:v>
      </x:c>
      <x:c r="G51" s="20" t="str">
        <x:v>Exact</x:v>
      </x:c>
    </x:row>
    <x:row r="52">
      <x:c r="A52" s="20" t="str">
        <x:v>B01001</x:v>
      </x:c>
      <x:c r="B52" s="20" t="str">
        <x:v>NYC-V3-R02</x:v>
      </x:c>
      <x:c r="C52" s="20" t="str">
        <x:v>acs_population</x:v>
      </x:c>
      <x:c r="D52" s="39" t="n">
        <x:v>0</x:v>
      </x:c>
      <x:c r="E52" s="39" t="n">
        <x:v>0</x:v>
      </x:c>
      <x:c r="F52" s="20" t="str">
        <x:v>Exact</x:v>
      </x:c>
      <x:c r="G52" s="20" t="str">
        <x:v>Exact</x:v>
      </x:c>
    </x:row>
    <x:row r="53">
      <x:c r="A53" s="20" t="str">
        <x:v>B01001</x:v>
      </x:c>
      <x:c r="B53" s="20" t="str">
        <x:v>NYC-V3-R02</x:v>
      </x:c>
      <x:c r="C53" s="20" t="str">
        <x:v>age_under_18</x:v>
      </x:c>
      <x:c r="D53" s="39" t="n">
        <x:v>0</x:v>
      </x:c>
      <x:c r="E53" s="39" t="n">
        <x:v>0</x:v>
      </x:c>
      <x:c r="F53" s="20" t="str">
        <x:v>Exact</x:v>
      </x:c>
      <x:c r="G53" s="20" t="str">
        <x:v>Exact</x:v>
      </x:c>
    </x:row>
    <x:row r="54">
      <x:c r="A54" s="20" t="str">
        <x:v>B01001</x:v>
      </x:c>
      <x:c r="B54" s="20" t="str">
        <x:v>NYC-V3-R02</x:v>
      </x:c>
      <x:c r="C54" s="20" t="str">
        <x:v>age_65_plus</x:v>
      </x:c>
      <x:c r="D54" s="39" t="n">
        <x:v>0</x:v>
      </x:c>
      <x:c r="E54" s="39" t="n">
        <x:v>0</x:v>
      </x:c>
      <x:c r="F54" s="20" t="str">
        <x:v>Exact</x:v>
      </x:c>
      <x:c r="G54" s="20" t="str">
        <x:v>Exact</x:v>
      </x:c>
    </x:row>
    <x:row r="55">
      <x:c r="A55" s="20" t="str">
        <x:v>B01001</x:v>
      </x:c>
      <x:c r="B55" s="20" t="str">
        <x:v>NYC-V3-R02</x:v>
      </x:c>
      <x:c r="C55" s="20" t="str">
        <x:v>age_75_plus</x:v>
      </x:c>
      <x:c r="D55" s="39" t="n">
        <x:v>0</x:v>
      </x:c>
      <x:c r="E55" s="39" t="n">
        <x:v>0</x:v>
      </x:c>
      <x:c r="F55" s="20" t="str">
        <x:v>Exact</x:v>
      </x:c>
      <x:c r="G55" s="20" t="str">
        <x:v>Exact</x:v>
      </x:c>
    </x:row>
    <x:row r="56">
      <x:c r="A56" s="20" t="str">
        <x:v>B01001</x:v>
      </x:c>
      <x:c r="B56" s="20" t="str">
        <x:v>NYC-V3-R02</x:v>
      </x:c>
      <x:c r="C56" s="20" t="str">
        <x:v>age_85_plus</x:v>
      </x:c>
      <x:c r="D56" s="39" t="n">
        <x:v>0</x:v>
      </x:c>
      <x:c r="E56" s="39" t="n">
        <x:v>0</x:v>
      </x:c>
      <x:c r="F56" s="20" t="str">
        <x:v>Exact</x:v>
      </x:c>
      <x:c r="G56" s="20" t="str">
        <x:v>Exact</x:v>
      </x:c>
    </x:row>
    <x:row r="57">
      <x:c r="A57" s="20" t="str">
        <x:v>B01001</x:v>
      </x:c>
      <x:c r="B57" s="20" t="str">
        <x:v>NYC-V3-R03</x:v>
      </x:c>
      <x:c r="C57" s="20" t="str">
        <x:v>acs_population</x:v>
      </x:c>
      <x:c r="D57" s="39" t="n">
        <x:v>0</x:v>
      </x:c>
      <x:c r="E57" s="39" t="n">
        <x:v>0</x:v>
      </x:c>
      <x:c r="F57" s="20" t="str">
        <x:v>Exact</x:v>
      </x:c>
      <x:c r="G57" s="20" t="str">
        <x:v>Exact</x:v>
      </x:c>
    </x:row>
    <x:row r="58">
      <x:c r="A58" s="20" t="str">
        <x:v>B01001</x:v>
      </x:c>
      <x:c r="B58" s="20" t="str">
        <x:v>NYC-V3-R03</x:v>
      </x:c>
      <x:c r="C58" s="20" t="str">
        <x:v>age_under_18</x:v>
      </x:c>
      <x:c r="D58" s="39" t="n">
        <x:v>0</x:v>
      </x:c>
      <x:c r="E58" s="39" t="n">
        <x:v>0</x:v>
      </x:c>
      <x:c r="F58" s="20" t="str">
        <x:v>Exact</x:v>
      </x:c>
      <x:c r="G58" s="20" t="str">
        <x:v>Exact</x:v>
      </x:c>
    </x:row>
    <x:row r="59">
      <x:c r="A59" s="20" t="str">
        <x:v>B01001</x:v>
      </x:c>
      <x:c r="B59" s="20" t="str">
        <x:v>NYC-V3-R03</x:v>
      </x:c>
      <x:c r="C59" s="20" t="str">
        <x:v>age_65_plus</x:v>
      </x:c>
      <x:c r="D59" s="39" t="n">
        <x:v>0</x:v>
      </x:c>
      <x:c r="E59" s="39" t="n">
        <x:v>0</x:v>
      </x:c>
      <x:c r="F59" s="20" t="str">
        <x:v>Exact</x:v>
      </x:c>
      <x:c r="G59" s="20" t="str">
        <x:v>Exact</x:v>
      </x:c>
    </x:row>
    <x:row r="60">
      <x:c r="A60" s="20" t="str">
        <x:v>B01001</x:v>
      </x:c>
      <x:c r="B60" s="20" t="str">
        <x:v>NYC-V3-R03</x:v>
      </x:c>
      <x:c r="C60" s="20" t="str">
        <x:v>age_75_plus</x:v>
      </x:c>
      <x:c r="D60" s="39" t="n">
        <x:v>0</x:v>
      </x:c>
      <x:c r="E60" s="39" t="n">
        <x:v>0</x:v>
      </x:c>
      <x:c r="F60" s="20" t="str">
        <x:v>Exact</x:v>
      </x:c>
      <x:c r="G60" s="20" t="str">
        <x:v>Exact</x:v>
      </x:c>
    </x:row>
    <x:row r="61">
      <x:c r="A61" s="20" t="str">
        <x:v>B01001</x:v>
      </x:c>
      <x:c r="B61" s="20" t="str">
        <x:v>NYC-V3-R03</x:v>
      </x:c>
      <x:c r="C61" s="20" t="str">
        <x:v>age_85_plus</x:v>
      </x:c>
      <x:c r="D61" s="39" t="n">
        <x:v>0</x:v>
      </x:c>
      <x:c r="E61" s="39" t="n">
        <x:v>0</x:v>
      </x:c>
      <x:c r="F61" s="20" t="str">
        <x:v>Exact</x:v>
      </x:c>
      <x:c r="G61" s="20" t="str">
        <x:v>Exact</x:v>
      </x:c>
    </x:row>
    <x:row r="62">
      <x:c r="A62" s="20" t="str">
        <x:v>B01001</x:v>
      </x:c>
      <x:c r="B62" s="20" t="str">
        <x:v>NYC-V3-R04</x:v>
      </x:c>
      <x:c r="C62" s="20" t="str">
        <x:v>acs_population</x:v>
      </x:c>
      <x:c r="D62" s="39" t="n">
        <x:v>0</x:v>
      </x:c>
      <x:c r="E62" s="39" t="n">
        <x:v>-2.2737367544323206e-13</x:v>
      </x:c>
      <x:c r="F62" s="20" t="str">
        <x:v>Exact</x:v>
      </x:c>
      <x:c r="G62" s="20" t="str">
        <x:v>Exact</x:v>
      </x:c>
    </x:row>
    <x:row r="63">
      <x:c r="A63" s="20" t="str">
        <x:v>B01001</x:v>
      </x:c>
      <x:c r="B63" s="20" t="str">
        <x:v>NYC-V3-R04</x:v>
      </x:c>
      <x:c r="C63" s="20" t="str">
        <x:v>age_under_18</x:v>
      </x:c>
      <x:c r="D63" s="39" t="n">
        <x:v>0</x:v>
      </x:c>
      <x:c r="E63" s="39" t="n">
        <x:v>-1.1368683772161603e-13</x:v>
      </x:c>
      <x:c r="F63" s="20" t="str">
        <x:v>Exact</x:v>
      </x:c>
      <x:c r="G63" s="20" t="str">
        <x:v>Exact</x:v>
      </x:c>
    </x:row>
    <x:row r="64">
      <x:c r="A64" s="20" t="str">
        <x:v>B01001</x:v>
      </x:c>
      <x:c r="B64" s="20" t="str">
        <x:v>NYC-V3-R04</x:v>
      </x:c>
      <x:c r="C64" s="20" t="str">
        <x:v>age_65_plus</x:v>
      </x:c>
      <x:c r="D64" s="39" t="n">
        <x:v>0</x:v>
      </x:c>
      <x:c r="E64" s="39" t="n">
        <x:v>0</x:v>
      </x:c>
      <x:c r="F64" s="20" t="str">
        <x:v>Exact</x:v>
      </x:c>
      <x:c r="G64" s="20" t="str">
        <x:v>Exact</x:v>
      </x:c>
    </x:row>
    <x:row r="65">
      <x:c r="A65" s="20" t="str">
        <x:v>B01001</x:v>
      </x:c>
      <x:c r="B65" s="20" t="str">
        <x:v>NYC-V3-R04</x:v>
      </x:c>
      <x:c r="C65" s="20" t="str">
        <x:v>age_75_plus</x:v>
      </x:c>
      <x:c r="D65" s="39" t="n">
        <x:v>0</x:v>
      </x:c>
      <x:c r="E65" s="39" t="n">
        <x:v>5.684341886080802e-14</x:v>
      </x:c>
      <x:c r="F65" s="20" t="str">
        <x:v>Exact</x:v>
      </x:c>
      <x:c r="G65" s="20" t="str">
        <x:v>Exact</x:v>
      </x:c>
    </x:row>
    <x:row r="66">
      <x:c r="A66" s="20" t="str">
        <x:v>B01001</x:v>
      </x:c>
      <x:c r="B66" s="20" t="str">
        <x:v>NYC-V3-R04</x:v>
      </x:c>
      <x:c r="C66" s="20" t="str">
        <x:v>age_85_plus</x:v>
      </x:c>
      <x:c r="D66" s="39" t="n">
        <x:v>0</x:v>
      </x:c>
      <x:c r="E66" s="39" t="n">
        <x:v>0</x:v>
      </x:c>
      <x:c r="F66" s="20" t="str">
        <x:v>Exact</x:v>
      </x:c>
      <x:c r="G66" s="20" t="str">
        <x:v>Exact</x:v>
      </x:c>
    </x:row>
    <x:row r="67">
      <x:c r="A67" s="20" t="str">
        <x:v>B11001</x:v>
      </x:c>
      <x:c r="B67" s="20" t="str">
        <x:v>NYC-V1-R01</x:v>
      </x:c>
      <x:c r="C67" s="20" t="str">
        <x:v>households</x:v>
      </x:c>
      <x:c r="D67" s="39" t="n">
        <x:v>0</x:v>
      </x:c>
      <x:c r="E67" s="39" t="n">
        <x:v>0</x:v>
      </x:c>
      <x:c r="F67" s="20" t="str">
        <x:v>Exact</x:v>
      </x:c>
      <x:c r="G67" s="20" t="str">
        <x:v>Exact</x:v>
      </x:c>
    </x:row>
    <x:row r="68">
      <x:c r="A68" s="20" t="str">
        <x:v>B11001</x:v>
      </x:c>
      <x:c r="B68" s="20" t="str">
        <x:v>NYC-V1-R01</x:v>
      </x:c>
      <x:c r="C68" s="20" t="str">
        <x:v>family_households</x:v>
      </x:c>
      <x:c r="D68" s="39" t="n">
        <x:v>0</x:v>
      </x:c>
      <x:c r="E68" s="39" t="n">
        <x:v>0</x:v>
      </x:c>
      <x:c r="F68" s="20" t="str">
        <x:v>Exact</x:v>
      </x:c>
      <x:c r="G68" s="20" t="str">
        <x:v>Exact</x:v>
      </x:c>
    </x:row>
    <x:row r="69">
      <x:c r="A69" s="20" t="str">
        <x:v>B11001</x:v>
      </x:c>
      <x:c r="B69" s="20" t="str">
        <x:v>NYC-V1-R01</x:v>
      </x:c>
      <x:c r="C69" s="20" t="str">
        <x:v>nonfamily_households</x:v>
      </x:c>
      <x:c r="D69" s="39" t="n">
        <x:v>0</x:v>
      </x:c>
      <x:c r="E69" s="39" t="n">
        <x:v>0</x:v>
      </x:c>
      <x:c r="F69" s="20" t="str">
        <x:v>Exact</x:v>
      </x:c>
      <x:c r="G69" s="20" t="str">
        <x:v>Exact</x:v>
      </x:c>
    </x:row>
    <x:row r="70">
      <x:c r="A70" s="20" t="str">
        <x:v>B11001</x:v>
      </x:c>
      <x:c r="B70" s="20" t="str">
        <x:v>NYC-V1-R01</x:v>
      </x:c>
      <x:c r="C70" s="20" t="str">
        <x:v>living_alone_households</x:v>
      </x:c>
      <x:c r="D70" s="39" t="n">
        <x:v>0</x:v>
      </x:c>
      <x:c r="E70" s="39" t="n">
        <x:v>0</x:v>
      </x:c>
      <x:c r="F70" s="20" t="str">
        <x:v>Exact</x:v>
      </x:c>
      <x:c r="G70" s="20" t="str">
        <x:v>Exact</x:v>
      </x:c>
    </x:row>
    <x:row r="71">
      <x:c r="A71" s="20" t="str">
        <x:v>B11001</x:v>
      </x:c>
      <x:c r="B71" s="20" t="str">
        <x:v>NYC-V1-R02</x:v>
      </x:c>
      <x:c r="C71" s="20" t="str">
        <x:v>households</x:v>
      </x:c>
      <x:c r="D71" s="39" t="n">
        <x:v>0</x:v>
      </x:c>
      <x:c r="E71" s="39" t="n">
        <x:v>0</x:v>
      </x:c>
      <x:c r="F71" s="20" t="str">
        <x:v>Exact</x:v>
      </x:c>
      <x:c r="G71" s="20" t="str">
        <x:v>Exact</x:v>
      </x:c>
    </x:row>
    <x:row r="72">
      <x:c r="A72" s="20" t="str">
        <x:v>B11001</x:v>
      </x:c>
      <x:c r="B72" s="20" t="str">
        <x:v>NYC-V1-R02</x:v>
      </x:c>
      <x:c r="C72" s="20" t="str">
        <x:v>family_households</x:v>
      </x:c>
      <x:c r="D72" s="39" t="n">
        <x:v>0</x:v>
      </x:c>
      <x:c r="E72" s="39" t="n">
        <x:v>0</x:v>
      </x:c>
      <x:c r="F72" s="20" t="str">
        <x:v>Exact</x:v>
      </x:c>
      <x:c r="G72" s="20" t="str">
        <x:v>Exact</x:v>
      </x:c>
    </x:row>
    <x:row r="73">
      <x:c r="A73" s="20" t="str">
        <x:v>B11001</x:v>
      </x:c>
      <x:c r="B73" s="20" t="str">
        <x:v>NYC-V1-R02</x:v>
      </x:c>
      <x:c r="C73" s="20" t="str">
        <x:v>nonfamily_households</x:v>
      </x:c>
      <x:c r="D73" s="39" t="n">
        <x:v>0</x:v>
      </x:c>
      <x:c r="E73" s="39" t="n">
        <x:v>0</x:v>
      </x:c>
      <x:c r="F73" s="20" t="str">
        <x:v>Exact</x:v>
      </x:c>
      <x:c r="G73" s="20" t="str">
        <x:v>Exact</x:v>
      </x:c>
    </x:row>
    <x:row r="74">
      <x:c r="A74" s="20" t="str">
        <x:v>B11001</x:v>
      </x:c>
      <x:c r="B74" s="20" t="str">
        <x:v>NYC-V1-R02</x:v>
      </x:c>
      <x:c r="C74" s="20" t="str">
        <x:v>living_alone_households</x:v>
      </x:c>
      <x:c r="D74" s="39" t="n">
        <x:v>0</x:v>
      </x:c>
      <x:c r="E74" s="39" t="n">
        <x:v>0</x:v>
      </x:c>
      <x:c r="F74" s="20" t="str">
        <x:v>Exact</x:v>
      </x:c>
      <x:c r="G74" s="20" t="str">
        <x:v>Exact</x:v>
      </x:c>
    </x:row>
    <x:row r="75">
      <x:c r="A75" s="20" t="str">
        <x:v>B11001</x:v>
      </x:c>
      <x:c r="B75" s="20" t="str">
        <x:v>NYC-V1-R03</x:v>
      </x:c>
      <x:c r="C75" s="20" t="str">
        <x:v>households</x:v>
      </x:c>
      <x:c r="D75" s="39" t="n">
        <x:v>0</x:v>
      </x:c>
      <x:c r="E75" s="39" t="n">
        <x:v>0</x:v>
      </x:c>
      <x:c r="F75" s="20" t="str">
        <x:v>Exact</x:v>
      </x:c>
      <x:c r="G75" s="20" t="str">
        <x:v>Exact</x:v>
      </x:c>
    </x:row>
    <x:row r="76">
      <x:c r="A76" s="20" t="str">
        <x:v>B11001</x:v>
      </x:c>
      <x:c r="B76" s="20" t="str">
        <x:v>NYC-V1-R03</x:v>
      </x:c>
      <x:c r="C76" s="20" t="str">
        <x:v>family_households</x:v>
      </x:c>
      <x:c r="D76" s="39" t="n">
        <x:v>0</x:v>
      </x:c>
      <x:c r="E76" s="39" t="n">
        <x:v>0</x:v>
      </x:c>
      <x:c r="F76" s="20" t="str">
        <x:v>Exact</x:v>
      </x:c>
      <x:c r="G76" s="20" t="str">
        <x:v>Exact</x:v>
      </x:c>
    </x:row>
    <x:row r="77">
      <x:c r="A77" s="20" t="str">
        <x:v>B11001</x:v>
      </x:c>
      <x:c r="B77" s="20" t="str">
        <x:v>NYC-V1-R03</x:v>
      </x:c>
      <x:c r="C77" s="20" t="str">
        <x:v>nonfamily_households</x:v>
      </x:c>
      <x:c r="D77" s="39" t="n">
        <x:v>0</x:v>
      </x:c>
      <x:c r="E77" s="39" t="n">
        <x:v>0</x:v>
      </x:c>
      <x:c r="F77" s="20" t="str">
        <x:v>Exact</x:v>
      </x:c>
      <x:c r="G77" s="20" t="str">
        <x:v>Exact</x:v>
      </x:c>
    </x:row>
    <x:row r="78">
      <x:c r="A78" s="20" t="str">
        <x:v>B11001</x:v>
      </x:c>
      <x:c r="B78" s="20" t="str">
        <x:v>NYC-V1-R03</x:v>
      </x:c>
      <x:c r="C78" s="20" t="str">
        <x:v>living_alone_households</x:v>
      </x:c>
      <x:c r="D78" s="39" t="n">
        <x:v>0</x:v>
      </x:c>
      <x:c r="E78" s="39" t="n">
        <x:v>0</x:v>
      </x:c>
      <x:c r="F78" s="20" t="str">
        <x:v>Exact</x:v>
      </x:c>
      <x:c r="G78" s="20" t="str">
        <x:v>Exact</x:v>
      </x:c>
    </x:row>
    <x:row r="79">
      <x:c r="A79" s="20" t="str">
        <x:v>B11001</x:v>
      </x:c>
      <x:c r="B79" s="20" t="str">
        <x:v>NYC-V1-R04</x:v>
      </x:c>
      <x:c r="C79" s="20" t="str">
        <x:v>households</x:v>
      </x:c>
      <x:c r="D79" s="39" t="n">
        <x:v>0</x:v>
      </x:c>
      <x:c r="E79" s="39" t="n">
        <x:v>0</x:v>
      </x:c>
      <x:c r="F79" s="20" t="str">
        <x:v>Exact</x:v>
      </x:c>
      <x:c r="G79" s="20" t="str">
        <x:v>Exact</x:v>
      </x:c>
    </x:row>
    <x:row r="80">
      <x:c r="A80" s="20" t="str">
        <x:v>B11001</x:v>
      </x:c>
      <x:c r="B80" s="20" t="str">
        <x:v>NYC-V1-R04</x:v>
      </x:c>
      <x:c r="C80" s="20" t="str">
        <x:v>family_households</x:v>
      </x:c>
      <x:c r="D80" s="39" t="n">
        <x:v>0</x:v>
      </x:c>
      <x:c r="E80" s="39" t="n">
        <x:v>0</x:v>
      </x:c>
      <x:c r="F80" s="20" t="str">
        <x:v>Exact</x:v>
      </x:c>
      <x:c r="G80" s="20" t="str">
        <x:v>Exact</x:v>
      </x:c>
    </x:row>
    <x:row r="81">
      <x:c r="A81" s="20" t="str">
        <x:v>B11001</x:v>
      </x:c>
      <x:c r="B81" s="20" t="str">
        <x:v>NYC-V1-R04</x:v>
      </x:c>
      <x:c r="C81" s="20" t="str">
        <x:v>nonfamily_households</x:v>
      </x:c>
      <x:c r="D81" s="39" t="n">
        <x:v>0</x:v>
      </x:c>
      <x:c r="E81" s="39" t="n">
        <x:v>0</x:v>
      </x:c>
      <x:c r="F81" s="20" t="str">
        <x:v>Exact</x:v>
      </x:c>
      <x:c r="G81" s="20" t="str">
        <x:v>Exact</x:v>
      </x:c>
    </x:row>
    <x:row r="82">
      <x:c r="A82" s="20" t="str">
        <x:v>B11001</x:v>
      </x:c>
      <x:c r="B82" s="20" t="str">
        <x:v>NYC-V1-R04</x:v>
      </x:c>
      <x:c r="C82" s="20" t="str">
        <x:v>living_alone_households</x:v>
      </x:c>
      <x:c r="D82" s="39" t="n">
        <x:v>0</x:v>
      </x:c>
      <x:c r="E82" s="39" t="n">
        <x:v>5.684341886080802e-14</x:v>
      </x:c>
      <x:c r="F82" s="20" t="str">
        <x:v>Exact</x:v>
      </x:c>
      <x:c r="G82" s="20" t="str">
        <x:v>Exact</x:v>
      </x:c>
    </x:row>
    <x:row r="83">
      <x:c r="A83" s="20" t="str">
        <x:v>B11001</x:v>
      </x:c>
      <x:c r="B83" s="20" t="str">
        <x:v>NYC-V2-R01</x:v>
      </x:c>
      <x:c r="C83" s="20" t="str">
        <x:v>households</x:v>
      </x:c>
      <x:c r="D83" s="39" t="n">
        <x:v>0</x:v>
      </x:c>
      <x:c r="E83" s="39" t="n">
        <x:v>5.684341886080802e-14</x:v>
      </x:c>
      <x:c r="F83" s="20" t="str">
        <x:v>Exact</x:v>
      </x:c>
      <x:c r="G83" s="20" t="str">
        <x:v>Exact</x:v>
      </x:c>
    </x:row>
    <x:row r="84">
      <x:c r="A84" s="20" t="str">
        <x:v>B11001</x:v>
      </x:c>
      <x:c r="B84" s="20" t="str">
        <x:v>NYC-V2-R01</x:v>
      </x:c>
      <x:c r="C84" s="20" t="str">
        <x:v>family_households</x:v>
      </x:c>
      <x:c r="D84" s="39" t="n">
        <x:v>0</x:v>
      </x:c>
      <x:c r="E84" s="39" t="n">
        <x:v>0</x:v>
      </x:c>
      <x:c r="F84" s="20" t="str">
        <x:v>Exact</x:v>
      </x:c>
      <x:c r="G84" s="20" t="str">
        <x:v>Exact</x:v>
      </x:c>
    </x:row>
    <x:row r="85">
      <x:c r="A85" s="20" t="str">
        <x:v>B11001</x:v>
      </x:c>
      <x:c r="B85" s="20" t="str">
        <x:v>NYC-V2-R01</x:v>
      </x:c>
      <x:c r="C85" s="20" t="str">
        <x:v>nonfamily_households</x:v>
      </x:c>
      <x:c r="D85" s="39" t="n">
        <x:v>0</x:v>
      </x:c>
      <x:c r="E85" s="39" t="n">
        <x:v>0</x:v>
      </x:c>
      <x:c r="F85" s="20" t="str">
        <x:v>Exact</x:v>
      </x:c>
      <x:c r="G85" s="20" t="str">
        <x:v>Exact</x:v>
      </x:c>
    </x:row>
    <x:row r="86">
      <x:c r="A86" s="20" t="str">
        <x:v>B11001</x:v>
      </x:c>
      <x:c r="B86" s="20" t="str">
        <x:v>NYC-V2-R01</x:v>
      </x:c>
      <x:c r="C86" s="20" t="str">
        <x:v>living_alone_households</x:v>
      </x:c>
      <x:c r="D86" s="39" t="n">
        <x:v>0</x:v>
      </x:c>
      <x:c r="E86" s="39" t="n">
        <x:v>0</x:v>
      </x:c>
      <x:c r="F86" s="20" t="str">
        <x:v>Exact</x:v>
      </x:c>
      <x:c r="G86" s="20" t="str">
        <x:v>Exact</x:v>
      </x:c>
    </x:row>
    <x:row r="87">
      <x:c r="A87" s="20" t="str">
        <x:v>B11001</x:v>
      </x:c>
      <x:c r="B87" s="20" t="str">
        <x:v>NYC-V2-R02</x:v>
      </x:c>
      <x:c r="C87" s="20" t="str">
        <x:v>households</x:v>
      </x:c>
      <x:c r="D87" s="39" t="n">
        <x:v>0</x:v>
      </x:c>
      <x:c r="E87" s="39" t="n">
        <x:v>0</x:v>
      </x:c>
      <x:c r="F87" s="20" t="str">
        <x:v>Exact</x:v>
      </x:c>
      <x:c r="G87" s="20" t="str">
        <x:v>Exact</x:v>
      </x:c>
    </x:row>
    <x:row r="88">
      <x:c r="A88" s="20" t="str">
        <x:v>B11001</x:v>
      </x:c>
      <x:c r="B88" s="20" t="str">
        <x:v>NYC-V2-R02</x:v>
      </x:c>
      <x:c r="C88" s="20" t="str">
        <x:v>family_households</x:v>
      </x:c>
      <x:c r="D88" s="39" t="n">
        <x:v>0</x:v>
      </x:c>
      <x:c r="E88" s="39" t="n">
        <x:v>0</x:v>
      </x:c>
      <x:c r="F88" s="20" t="str">
        <x:v>Exact</x:v>
      </x:c>
      <x:c r="G88" s="20" t="str">
        <x:v>Exact</x:v>
      </x:c>
    </x:row>
    <x:row r="89">
      <x:c r="A89" s="20" t="str">
        <x:v>B11001</x:v>
      </x:c>
      <x:c r="B89" s="20" t="str">
        <x:v>NYC-V2-R02</x:v>
      </x:c>
      <x:c r="C89" s="20" t="str">
        <x:v>nonfamily_households</x:v>
      </x:c>
      <x:c r="D89" s="39" t="n">
        <x:v>0</x:v>
      </x:c>
      <x:c r="E89" s="39" t="n">
        <x:v>0</x:v>
      </x:c>
      <x:c r="F89" s="20" t="str">
        <x:v>Exact</x:v>
      </x:c>
      <x:c r="G89" s="20" t="str">
        <x:v>Exact</x:v>
      </x:c>
    </x:row>
    <x:row r="90">
      <x:c r="A90" s="20" t="str">
        <x:v>B11001</x:v>
      </x:c>
      <x:c r="B90" s="20" t="str">
        <x:v>NYC-V2-R02</x:v>
      </x:c>
      <x:c r="C90" s="20" t="str">
        <x:v>living_alone_households</x:v>
      </x:c>
      <x:c r="D90" s="39" t="n">
        <x:v>0</x:v>
      </x:c>
      <x:c r="E90" s="39" t="n">
        <x:v>0</x:v>
      </x:c>
      <x:c r="F90" s="20" t="str">
        <x:v>Exact</x:v>
      </x:c>
      <x:c r="G90" s="20" t="str">
        <x:v>Exact</x:v>
      </x:c>
    </x:row>
    <x:row r="91">
      <x:c r="A91" s="20" t="str">
        <x:v>B11001</x:v>
      </x:c>
      <x:c r="B91" s="20" t="str">
        <x:v>NYC-V2-R03</x:v>
      </x:c>
      <x:c r="C91" s="20" t="str">
        <x:v>households</x:v>
      </x:c>
      <x:c r="D91" s="39" t="n">
        <x:v>0</x:v>
      </x:c>
      <x:c r="E91" s="39" t="n">
        <x:v>0</x:v>
      </x:c>
      <x:c r="F91" s="20" t="str">
        <x:v>Exact</x:v>
      </x:c>
      <x:c r="G91" s="20" t="str">
        <x:v>Exact</x:v>
      </x:c>
    </x:row>
    <x:row r="92">
      <x:c r="A92" s="20" t="str">
        <x:v>B11001</x:v>
      </x:c>
      <x:c r="B92" s="20" t="str">
        <x:v>NYC-V2-R03</x:v>
      </x:c>
      <x:c r="C92" s="20" t="str">
        <x:v>family_households</x:v>
      </x:c>
      <x:c r="D92" s="39" t="n">
        <x:v>0</x:v>
      </x:c>
      <x:c r="E92" s="39" t="n">
        <x:v>0</x:v>
      </x:c>
      <x:c r="F92" s="20" t="str">
        <x:v>Exact</x:v>
      </x:c>
      <x:c r="G92" s="20" t="str">
        <x:v>Exact</x:v>
      </x:c>
    </x:row>
    <x:row r="93">
      <x:c r="A93" s="20" t="str">
        <x:v>B11001</x:v>
      </x:c>
      <x:c r="B93" s="20" t="str">
        <x:v>NYC-V2-R03</x:v>
      </x:c>
      <x:c r="C93" s="20" t="str">
        <x:v>nonfamily_households</x:v>
      </x:c>
      <x:c r="D93" s="39" t="n">
        <x:v>0</x:v>
      </x:c>
      <x:c r="E93" s="39" t="n">
        <x:v>0</x:v>
      </x:c>
      <x:c r="F93" s="20" t="str">
        <x:v>Exact</x:v>
      </x:c>
      <x:c r="G93" s="20" t="str">
        <x:v>Exact</x:v>
      </x:c>
    </x:row>
    <x:row r="94">
      <x:c r="A94" s="20" t="str">
        <x:v>B11001</x:v>
      </x:c>
      <x:c r="B94" s="20" t="str">
        <x:v>NYC-V2-R03</x:v>
      </x:c>
      <x:c r="C94" s="20" t="str">
        <x:v>living_alone_households</x:v>
      </x:c>
      <x:c r="D94" s="39" t="n">
        <x:v>0</x:v>
      </x:c>
      <x:c r="E94" s="39" t="n">
        <x:v>0</x:v>
      </x:c>
      <x:c r="F94" s="20" t="str">
        <x:v>Exact</x:v>
      </x:c>
      <x:c r="G94" s="20" t="str">
        <x:v>Exact</x:v>
      </x:c>
    </x:row>
    <x:row r="95">
      <x:c r="A95" s="20" t="str">
        <x:v>B11001</x:v>
      </x:c>
      <x:c r="B95" s="20" t="str">
        <x:v>NYC-V2-R04</x:v>
      </x:c>
      <x:c r="C95" s="20" t="str">
        <x:v>households</x:v>
      </x:c>
      <x:c r="D95" s="39" t="n">
        <x:v>0</x:v>
      </x:c>
      <x:c r="E95" s="39" t="n">
        <x:v>0</x:v>
      </x:c>
      <x:c r="F95" s="20" t="str">
        <x:v>Exact</x:v>
      </x:c>
      <x:c r="G95" s="20" t="str">
        <x:v>Exact</x:v>
      </x:c>
    </x:row>
    <x:row r="96">
      <x:c r="A96" s="20" t="str">
        <x:v>B11001</x:v>
      </x:c>
      <x:c r="B96" s="20" t="str">
        <x:v>NYC-V2-R04</x:v>
      </x:c>
      <x:c r="C96" s="20" t="str">
        <x:v>family_households</x:v>
      </x:c>
      <x:c r="D96" s="39" t="n">
        <x:v>0</x:v>
      </x:c>
      <x:c r="E96" s="39" t="n">
        <x:v>0</x:v>
      </x:c>
      <x:c r="F96" s="20" t="str">
        <x:v>Exact</x:v>
      </x:c>
      <x:c r="G96" s="20" t="str">
        <x:v>Exact</x:v>
      </x:c>
    </x:row>
    <x:row r="97">
      <x:c r="A97" s="20" t="str">
        <x:v>B11001</x:v>
      </x:c>
      <x:c r="B97" s="20" t="str">
        <x:v>NYC-V2-R04</x:v>
      </x:c>
      <x:c r="C97" s="20" t="str">
        <x:v>nonfamily_households</x:v>
      </x:c>
      <x:c r="D97" s="39" t="n">
        <x:v>0</x:v>
      </x:c>
      <x:c r="E97" s="39" t="n">
        <x:v>5.684341886080802e-14</x:v>
      </x:c>
      <x:c r="F97" s="20" t="str">
        <x:v>Exact</x:v>
      </x:c>
      <x:c r="G97" s="20" t="str">
        <x:v>Exact</x:v>
      </x:c>
    </x:row>
    <x:row r="98">
      <x:c r="A98" s="20" t="str">
        <x:v>B11001</x:v>
      </x:c>
      <x:c r="B98" s="20" t="str">
        <x:v>NYC-V2-R04</x:v>
      </x:c>
      <x:c r="C98" s="20" t="str">
        <x:v>living_alone_households</x:v>
      </x:c>
      <x:c r="D98" s="39" t="n">
        <x:v>0</x:v>
      </x:c>
      <x:c r="E98" s="39" t="n">
        <x:v>0</x:v>
      </x:c>
      <x:c r="F98" s="20" t="str">
        <x:v>Exact</x:v>
      </x:c>
      <x:c r="G98" s="20" t="str">
        <x:v>Exact</x:v>
      </x:c>
    </x:row>
    <x:row r="99">
      <x:c r="A99" s="20" t="str">
        <x:v>B11001</x:v>
      </x:c>
      <x:c r="B99" s="20" t="str">
        <x:v>NYC-V3-R01</x:v>
      </x:c>
      <x:c r="C99" s="20" t="str">
        <x:v>households</x:v>
      </x:c>
      <x:c r="D99" s="39" t="n">
        <x:v>0</x:v>
      </x:c>
      <x:c r="E99" s="39" t="n">
        <x:v>5.684341886080802e-14</x:v>
      </x:c>
      <x:c r="F99" s="20" t="str">
        <x:v>Exact</x:v>
      </x:c>
      <x:c r="G99" s="20" t="str">
        <x:v>Exact</x:v>
      </x:c>
    </x:row>
    <x:row r="100">
      <x:c r="A100" s="20" t="str">
        <x:v>B11001</x:v>
      </x:c>
      <x:c r="B100" s="20" t="str">
        <x:v>NYC-V3-R01</x:v>
      </x:c>
      <x:c r="C100" s="20" t="str">
        <x:v>family_households</x:v>
      </x:c>
      <x:c r="D100" s="39" t="n">
        <x:v>0</x:v>
      </x:c>
      <x:c r="E100" s="39" t="n">
        <x:v>0</x:v>
      </x:c>
      <x:c r="F100" s="20" t="str">
        <x:v>Exact</x:v>
      </x:c>
      <x:c r="G100" s="20" t="str">
        <x:v>Exact</x:v>
      </x:c>
    </x:row>
    <x:row r="101">
      <x:c r="A101" s="20" t="str">
        <x:v>B11001</x:v>
      </x:c>
      <x:c r="B101" s="20" t="str">
        <x:v>NYC-V3-R01</x:v>
      </x:c>
      <x:c r="C101" s="20" t="str">
        <x:v>nonfamily_households</x:v>
      </x:c>
      <x:c r="D101" s="39" t="n">
        <x:v>0</x:v>
      </x:c>
      <x:c r="E101" s="39" t="n">
        <x:v>0</x:v>
      </x:c>
      <x:c r="F101" s="20" t="str">
        <x:v>Exact</x:v>
      </x:c>
      <x:c r="G101" s="20" t="str">
        <x:v>Exact</x:v>
      </x:c>
    </x:row>
    <x:row r="102">
      <x:c r="A102" s="20" t="str">
        <x:v>B11001</x:v>
      </x:c>
      <x:c r="B102" s="20" t="str">
        <x:v>NYC-V3-R01</x:v>
      </x:c>
      <x:c r="C102" s="20" t="str">
        <x:v>living_alone_households</x:v>
      </x:c>
      <x:c r="D102" s="39" t="n">
        <x:v>0</x:v>
      </x:c>
      <x:c r="E102" s="39" t="n">
        <x:v>0</x:v>
      </x:c>
      <x:c r="F102" s="20" t="str">
        <x:v>Exact</x:v>
      </x:c>
      <x:c r="G102" s="20" t="str">
        <x:v>Exact</x:v>
      </x:c>
    </x:row>
    <x:row r="103">
      <x:c r="A103" s="20" t="str">
        <x:v>B11001</x:v>
      </x:c>
      <x:c r="B103" s="20" t="str">
        <x:v>NYC-V3-R02</x:v>
      </x:c>
      <x:c r="C103" s="20" t="str">
        <x:v>households</x:v>
      </x:c>
      <x:c r="D103" s="39" t="n">
        <x:v>0</x:v>
      </x:c>
      <x:c r="E103" s="39" t="n">
        <x:v>0</x:v>
      </x:c>
      <x:c r="F103" s="20" t="str">
        <x:v>Exact</x:v>
      </x:c>
      <x:c r="G103" s="20" t="str">
        <x:v>Exact</x:v>
      </x:c>
    </x:row>
    <x:row r="104">
      <x:c r="A104" s="20" t="str">
        <x:v>B11001</x:v>
      </x:c>
      <x:c r="B104" s="20" t="str">
        <x:v>NYC-V3-R02</x:v>
      </x:c>
      <x:c r="C104" s="20" t="str">
        <x:v>family_households</x:v>
      </x:c>
      <x:c r="D104" s="39" t="n">
        <x:v>0</x:v>
      </x:c>
      <x:c r="E104" s="39" t="n">
        <x:v>0</x:v>
      </x:c>
      <x:c r="F104" s="20" t="str">
        <x:v>Exact</x:v>
      </x:c>
      <x:c r="G104" s="20" t="str">
        <x:v>Exact</x:v>
      </x:c>
    </x:row>
    <x:row r="105">
      <x:c r="A105" s="20" t="str">
        <x:v>B11001</x:v>
      </x:c>
      <x:c r="B105" s="20" t="str">
        <x:v>NYC-V3-R02</x:v>
      </x:c>
      <x:c r="C105" s="20" t="str">
        <x:v>nonfamily_households</x:v>
      </x:c>
      <x:c r="D105" s="39" t="n">
        <x:v>0</x:v>
      </x:c>
      <x:c r="E105" s="39" t="n">
        <x:v>-5.684341886080802e-14</x:v>
      </x:c>
      <x:c r="F105" s="20" t="str">
        <x:v>Exact</x:v>
      </x:c>
      <x:c r="G105" s="20" t="str">
        <x:v>Exact</x:v>
      </x:c>
    </x:row>
    <x:row r="106">
      <x:c r="A106" s="20" t="str">
        <x:v>B11001</x:v>
      </x:c>
      <x:c r="B106" s="20" t="str">
        <x:v>NYC-V3-R02</x:v>
      </x:c>
      <x:c r="C106" s="20" t="str">
        <x:v>living_alone_households</x:v>
      </x:c>
      <x:c r="D106" s="39" t="n">
        <x:v>0</x:v>
      </x:c>
      <x:c r="E106" s="39" t="n">
        <x:v>0</x:v>
      </x:c>
      <x:c r="F106" s="20" t="str">
        <x:v>Exact</x:v>
      </x:c>
      <x:c r="G106" s="20" t="str">
        <x:v>Exact</x:v>
      </x:c>
    </x:row>
    <x:row r="107">
      <x:c r="A107" s="20" t="str">
        <x:v>B11001</x:v>
      </x:c>
      <x:c r="B107" s="20" t="str">
        <x:v>NYC-V3-R03</x:v>
      </x:c>
      <x:c r="C107" s="20" t="str">
        <x:v>households</x:v>
      </x:c>
      <x:c r="D107" s="39" t="n">
        <x:v>0</x:v>
      </x:c>
      <x:c r="E107" s="39" t="n">
        <x:v>-5.684341886080802e-14</x:v>
      </x:c>
      <x:c r="F107" s="20" t="str">
        <x:v>Exact</x:v>
      </x:c>
      <x:c r="G107" s="20" t="str">
        <x:v>Exact</x:v>
      </x:c>
    </x:row>
    <x:row r="108">
      <x:c r="A108" s="20" t="str">
        <x:v>B11001</x:v>
      </x:c>
      <x:c r="B108" s="20" t="str">
        <x:v>NYC-V3-R03</x:v>
      </x:c>
      <x:c r="C108" s="20" t="str">
        <x:v>family_households</x:v>
      </x:c>
      <x:c r="D108" s="39" t="n">
        <x:v>0</x:v>
      </x:c>
      <x:c r="E108" s="39" t="n">
        <x:v>0</x:v>
      </x:c>
      <x:c r="F108" s="20" t="str">
        <x:v>Exact</x:v>
      </x:c>
      <x:c r="G108" s="20" t="str">
        <x:v>Exact</x:v>
      </x:c>
    </x:row>
    <x:row r="109">
      <x:c r="A109" s="20" t="str">
        <x:v>B11001</x:v>
      </x:c>
      <x:c r="B109" s="20" t="str">
        <x:v>NYC-V3-R03</x:v>
      </x:c>
      <x:c r="C109" s="20" t="str">
        <x:v>nonfamily_households</x:v>
      </x:c>
      <x:c r="D109" s="39" t="n">
        <x:v>0</x:v>
      </x:c>
      <x:c r="E109" s="39" t="n">
        <x:v>0</x:v>
      </x:c>
      <x:c r="F109" s="20" t="str">
        <x:v>Exact</x:v>
      </x:c>
      <x:c r="G109" s="20" t="str">
        <x:v>Exact</x:v>
      </x:c>
    </x:row>
    <x:row r="110">
      <x:c r="A110" s="20" t="str">
        <x:v>B11001</x:v>
      </x:c>
      <x:c r="B110" s="20" t="str">
        <x:v>NYC-V3-R03</x:v>
      </x:c>
      <x:c r="C110" s="20" t="str">
        <x:v>living_alone_households</x:v>
      </x:c>
      <x:c r="D110" s="39" t="n">
        <x:v>0</x:v>
      </x:c>
      <x:c r="E110" s="39" t="n">
        <x:v>-5.684341886080802e-14</x:v>
      </x:c>
      <x:c r="F110" s="20" t="str">
        <x:v>Exact</x:v>
      </x:c>
      <x:c r="G110" s="20" t="str">
        <x:v>Exact</x:v>
      </x:c>
    </x:row>
    <x:row r="111">
      <x:c r="A111" s="20" t="str">
        <x:v>B11001</x:v>
      </x:c>
      <x:c r="B111" s="20" t="str">
        <x:v>NYC-V3-R04</x:v>
      </x:c>
      <x:c r="C111" s="20" t="str">
        <x:v>households</x:v>
      </x:c>
      <x:c r="D111" s="39" t="n">
        <x:v>0</x:v>
      </x:c>
      <x:c r="E111" s="39" t="n">
        <x:v>0</x:v>
      </x:c>
      <x:c r="F111" s="20" t="str">
        <x:v>Exact</x:v>
      </x:c>
      <x:c r="G111" s="20" t="str">
        <x:v>Exact</x:v>
      </x:c>
    </x:row>
    <x:row r="112">
      <x:c r="A112" s="20" t="str">
        <x:v>B11001</x:v>
      </x:c>
      <x:c r="B112" s="20" t="str">
        <x:v>NYC-V3-R04</x:v>
      </x:c>
      <x:c r="C112" s="20" t="str">
        <x:v>family_households</x:v>
      </x:c>
      <x:c r="D112" s="39" t="n">
        <x:v>0</x:v>
      </x:c>
      <x:c r="E112" s="39" t="n">
        <x:v>0</x:v>
      </x:c>
      <x:c r="F112" s="20" t="str">
        <x:v>Exact</x:v>
      </x:c>
      <x:c r="G112" s="20" t="str">
        <x:v>Exact</x:v>
      </x:c>
    </x:row>
    <x:row r="113">
      <x:c r="A113" s="20" t="str">
        <x:v>B11001</x:v>
      </x:c>
      <x:c r="B113" s="20" t="str">
        <x:v>NYC-V3-R04</x:v>
      </x:c>
      <x:c r="C113" s="20" t="str">
        <x:v>nonfamily_households</x:v>
      </x:c>
      <x:c r="D113" s="39" t="n">
        <x:v>0</x:v>
      </x:c>
      <x:c r="E113" s="39" t="n">
        <x:v>0</x:v>
      </x:c>
      <x:c r="F113" s="20" t="str">
        <x:v>Exact</x:v>
      </x:c>
      <x:c r="G113" s="20" t="str">
        <x:v>Exact</x:v>
      </x:c>
    </x:row>
    <x:row r="114">
      <x:c r="A114" s="20" t="str">
        <x:v>B11001</x:v>
      </x:c>
      <x:c r="B114" s="20" t="str">
        <x:v>NYC-V3-R04</x:v>
      </x:c>
      <x:c r="C114" s="20" t="str">
        <x:v>living_alone_households</x:v>
      </x:c>
      <x:c r="D114" s="39" t="n">
        <x:v>0</x:v>
      </x:c>
      <x:c r="E114" s="39" t="n">
        <x:v>0</x:v>
      </x:c>
      <x:c r="F114" s="20" t="str">
        <x:v>Exact</x:v>
      </x:c>
      <x:c r="G114" s="20" t="str">
        <x:v>Exact</x:v>
      </x:c>
    </x:row>
    <x:row r="115">
      <x:c r="A115" s="20" t="str">
        <x:v>B11005</x:v>
      </x:c>
      <x:c r="B115" s="20" t="str">
        <x:v>NYC-V1-R01</x:v>
      </x:c>
      <x:c r="C115" s="20" t="str">
        <x:v>households_with_children</x:v>
      </x:c>
      <x:c r="D115" s="39" t="n">
        <x:v>0</x:v>
      </x:c>
      <x:c r="E115" s="39" t="n">
        <x:v>-5.684341886080802e-14</x:v>
      </x:c>
      <x:c r="F115" s="20" t="str">
        <x:v>Exact</x:v>
      </x:c>
      <x:c r="G115" s="20" t="str">
        <x:v>Exact</x:v>
      </x:c>
    </x:row>
    <x:row r="116">
      <x:c r="A116" s="20" t="str">
        <x:v>B11005</x:v>
      </x:c>
      <x:c r="B116" s="20" t="str">
        <x:v>NYC-V1-R02</x:v>
      </x:c>
      <x:c r="C116" s="20" t="str">
        <x:v>households_with_children</x:v>
      </x:c>
      <x:c r="D116" s="39" t="n">
        <x:v>0</x:v>
      </x:c>
      <x:c r="E116" s="39" t="n">
        <x:v>0</x:v>
      </x:c>
      <x:c r="F116" s="20" t="str">
        <x:v>Exact</x:v>
      </x:c>
      <x:c r="G116" s="20" t="str">
        <x:v>Exact</x:v>
      </x:c>
    </x:row>
    <x:row r="117">
      <x:c r="A117" s="20" t="str">
        <x:v>B11005</x:v>
      </x:c>
      <x:c r="B117" s="20" t="str">
        <x:v>NYC-V1-R03</x:v>
      </x:c>
      <x:c r="C117" s="20" t="str">
        <x:v>households_with_children</x:v>
      </x:c>
      <x:c r="D117" s="39" t="n">
        <x:v>0</x:v>
      </x:c>
      <x:c r="E117" s="39" t="n">
        <x:v>0</x:v>
      </x:c>
      <x:c r="F117" s="20" t="str">
        <x:v>Exact</x:v>
      </x:c>
      <x:c r="G117" s="20" t="str">
        <x:v>Exact</x:v>
      </x:c>
    </x:row>
    <x:row r="118">
      <x:c r="A118" s="20" t="str">
        <x:v>B11005</x:v>
      </x:c>
      <x:c r="B118" s="20" t="str">
        <x:v>NYC-V1-R04</x:v>
      </x:c>
      <x:c r="C118" s="20" t="str">
        <x:v>households_with_children</x:v>
      </x:c>
      <x:c r="D118" s="39" t="n">
        <x:v>0</x:v>
      </x:c>
      <x:c r="E118" s="39" t="n">
        <x:v>0</x:v>
      </x:c>
      <x:c r="F118" s="20" t="str">
        <x:v>Exact</x:v>
      </x:c>
      <x:c r="G118" s="20" t="str">
        <x:v>Exact</x:v>
      </x:c>
    </x:row>
    <x:row r="119">
      <x:c r="A119" s="20" t="str">
        <x:v>B11005</x:v>
      </x:c>
      <x:c r="B119" s="20" t="str">
        <x:v>NYC-V2-R01</x:v>
      </x:c>
      <x:c r="C119" s="20" t="str">
        <x:v>households_with_children</x:v>
      </x:c>
      <x:c r="D119" s="39" t="n">
        <x:v>0</x:v>
      </x:c>
      <x:c r="E119" s="39" t="n">
        <x:v>0</x:v>
      </x:c>
      <x:c r="F119" s="20" t="str">
        <x:v>Exact</x:v>
      </x:c>
      <x:c r="G119" s="20" t="str">
        <x:v>Exact</x:v>
      </x:c>
    </x:row>
    <x:row r="120">
      <x:c r="A120" s="20" t="str">
        <x:v>B11005</x:v>
      </x:c>
      <x:c r="B120" s="20" t="str">
        <x:v>NYC-V2-R02</x:v>
      </x:c>
      <x:c r="C120" s="20" t="str">
        <x:v>households_with_children</x:v>
      </x:c>
      <x:c r="D120" s="39" t="n">
        <x:v>0</x:v>
      </x:c>
      <x:c r="E120" s="39" t="n">
        <x:v>-5.684341886080802e-14</x:v>
      </x:c>
      <x:c r="F120" s="20" t="str">
        <x:v>Exact</x:v>
      </x:c>
      <x:c r="G120" s="20" t="str">
        <x:v>Exact</x:v>
      </x:c>
    </x:row>
    <x:row r="121">
      <x:c r="A121" s="20" t="str">
        <x:v>B11005</x:v>
      </x:c>
      <x:c r="B121" s="20" t="str">
        <x:v>NYC-V2-R03</x:v>
      </x:c>
      <x:c r="C121" s="20" t="str">
        <x:v>households_with_children</x:v>
      </x:c>
      <x:c r="D121" s="39" t="n">
        <x:v>0</x:v>
      </x:c>
      <x:c r="E121" s="39" t="n">
        <x:v>-5.684341886080802e-14</x:v>
      </x:c>
      <x:c r="F121" s="20" t="str">
        <x:v>Exact</x:v>
      </x:c>
      <x:c r="G121" s="20" t="str">
        <x:v>Exact</x:v>
      </x:c>
    </x:row>
    <x:row r="122">
      <x:c r="A122" s="20" t="str">
        <x:v>B11005</x:v>
      </x:c>
      <x:c r="B122" s="20" t="str">
        <x:v>NYC-V2-R04</x:v>
      </x:c>
      <x:c r="C122" s="20" t="str">
        <x:v>households_with_children</x:v>
      </x:c>
      <x:c r="D122" s="39" t="n">
        <x:v>0</x:v>
      </x:c>
      <x:c r="E122" s="39" t="n">
        <x:v>0</x:v>
      </x:c>
      <x:c r="F122" s="20" t="str">
        <x:v>Exact</x:v>
      </x:c>
      <x:c r="G122" s="20" t="str">
        <x:v>Exact</x:v>
      </x:c>
    </x:row>
    <x:row r="123">
      <x:c r="A123" s="20" t="str">
        <x:v>B11005</x:v>
      </x:c>
      <x:c r="B123" s="20" t="str">
        <x:v>NYC-V3-R01</x:v>
      </x:c>
      <x:c r="C123" s="20" t="str">
        <x:v>households_with_children</x:v>
      </x:c>
      <x:c r="D123" s="39" t="n">
        <x:v>0</x:v>
      </x:c>
      <x:c r="E123" s="39" t="n">
        <x:v>0</x:v>
      </x:c>
      <x:c r="F123" s="20" t="str">
        <x:v>Exact</x:v>
      </x:c>
      <x:c r="G123" s="20" t="str">
        <x:v>Exact</x:v>
      </x:c>
    </x:row>
    <x:row r="124">
      <x:c r="A124" s="20" t="str">
        <x:v>B11005</x:v>
      </x:c>
      <x:c r="B124" s="20" t="str">
        <x:v>NYC-V3-R02</x:v>
      </x:c>
      <x:c r="C124" s="20" t="str">
        <x:v>households_with_children</x:v>
      </x:c>
      <x:c r="D124" s="39" t="n">
        <x:v>0</x:v>
      </x:c>
      <x:c r="E124" s="39" t="n">
        <x:v>0</x:v>
      </x:c>
      <x:c r="F124" s="20" t="str">
        <x:v>Exact</x:v>
      </x:c>
      <x:c r="G124" s="20" t="str">
        <x:v>Exact</x:v>
      </x:c>
    </x:row>
    <x:row r="125">
      <x:c r="A125" s="20" t="str">
        <x:v>B11005</x:v>
      </x:c>
      <x:c r="B125" s="20" t="str">
        <x:v>NYC-V3-R03</x:v>
      </x:c>
      <x:c r="C125" s="20" t="str">
        <x:v>households_with_children</x:v>
      </x:c>
      <x:c r="D125" s="39" t="n">
        <x:v>0</x:v>
      </x:c>
      <x:c r="E125" s="39" t="n">
        <x:v>-5.684341886080802e-14</x:v>
      </x:c>
      <x:c r="F125" s="20" t="str">
        <x:v>Exact</x:v>
      </x:c>
      <x:c r="G125" s="20" t="str">
        <x:v>Exact</x:v>
      </x:c>
    </x:row>
    <x:row r="126">
      <x:c r="A126" s="20" t="str">
        <x:v>B11005</x:v>
      </x:c>
      <x:c r="B126" s="20" t="str">
        <x:v>NYC-V3-R04</x:v>
      </x:c>
      <x:c r="C126" s="20" t="str">
        <x:v>households_with_children</x:v>
      </x:c>
      <x:c r="D126" s="39" t="n">
        <x:v>0</x:v>
      </x:c>
      <x:c r="E126" s="39" t="n">
        <x:v>0</x:v>
      </x:c>
      <x:c r="F126" s="20" t="str">
        <x:v>Exact</x:v>
      </x:c>
      <x:c r="G126" s="20" t="str">
        <x:v>Exact</x:v>
      </x:c>
    </x:row>
    <x:row r="127">
      <x:c r="A127" s="20" t="str">
        <x:v>B11007</x:v>
      </x:c>
      <x:c r="B127" s="20" t="str">
        <x:v>NYC-V1-R01</x:v>
      </x:c>
      <x:c r="C127" s="20" t="str">
        <x:v>households_with_age65</x:v>
      </x:c>
      <x:c r="D127" s="39" t="n">
        <x:v>0</x:v>
      </x:c>
      <x:c r="E127" s="39" t="n">
        <x:v>0</x:v>
      </x:c>
      <x:c r="F127" s="20" t="str">
        <x:v>Exact</x:v>
      </x:c>
      <x:c r="G127" s="20" t="str">
        <x:v>Exact</x:v>
      </x:c>
    </x:row>
    <x:row r="128">
      <x:c r="A128" s="20" t="str">
        <x:v>B11007</x:v>
      </x:c>
      <x:c r="B128" s="20" t="str">
        <x:v>NYC-V1-R01</x:v>
      </x:c>
      <x:c r="C128" s="20" t="str">
        <x:v>age65_one_person_households</x:v>
      </x:c>
      <x:c r="D128" s="39" t="n">
        <x:v>0</x:v>
      </x:c>
      <x:c r="E128" s="39" t="n">
        <x:v>0</x:v>
      </x:c>
      <x:c r="F128" s="20" t="str">
        <x:v>Exact</x:v>
      </x:c>
      <x:c r="G128" s="20" t="str">
        <x:v>Exact</x:v>
      </x:c>
    </x:row>
    <x:row r="129">
      <x:c r="A129" s="20" t="str">
        <x:v>B11007</x:v>
      </x:c>
      <x:c r="B129" s="20" t="str">
        <x:v>NYC-V1-R02</x:v>
      </x:c>
      <x:c r="C129" s="20" t="str">
        <x:v>households_with_age65</x:v>
      </x:c>
      <x:c r="D129" s="39" t="n">
        <x:v>0</x:v>
      </x:c>
      <x:c r="E129" s="39" t="n">
        <x:v>5.684341886080802e-14</x:v>
      </x:c>
      <x:c r="F129" s="20" t="str">
        <x:v>Exact</x:v>
      </x:c>
      <x:c r="G129" s="20" t="str">
        <x:v>Exact</x:v>
      </x:c>
    </x:row>
    <x:row r="130">
      <x:c r="A130" s="20" t="str">
        <x:v>B11007</x:v>
      </x:c>
      <x:c r="B130" s="20" t="str">
        <x:v>NYC-V1-R02</x:v>
      </x:c>
      <x:c r="C130" s="20" t="str">
        <x:v>age65_one_person_households</x:v>
      </x:c>
      <x:c r="D130" s="39" t="n">
        <x:v>0</x:v>
      </x:c>
      <x:c r="E130" s="39" t="n">
        <x:v>0</x:v>
      </x:c>
      <x:c r="F130" s="20" t="str">
        <x:v>Exact</x:v>
      </x:c>
      <x:c r="G130" s="20" t="str">
        <x:v>Exact</x:v>
      </x:c>
    </x:row>
    <x:row r="131">
      <x:c r="A131" s="20" t="str">
        <x:v>B11007</x:v>
      </x:c>
      <x:c r="B131" s="20" t="str">
        <x:v>NYC-V1-R03</x:v>
      </x:c>
      <x:c r="C131" s="20" t="str">
        <x:v>households_with_age65</x:v>
      </x:c>
      <x:c r="D131" s="39" t="n">
        <x:v>0</x:v>
      </x:c>
      <x:c r="E131" s="39" t="n">
        <x:v>0</x:v>
      </x:c>
      <x:c r="F131" s="20" t="str">
        <x:v>Exact</x:v>
      </x:c>
      <x:c r="G131" s="20" t="str">
        <x:v>Exact</x:v>
      </x:c>
    </x:row>
    <x:row r="132">
      <x:c r="A132" s="20" t="str">
        <x:v>B11007</x:v>
      </x:c>
      <x:c r="B132" s="20" t="str">
        <x:v>NYC-V1-R03</x:v>
      </x:c>
      <x:c r="C132" s="20" t="str">
        <x:v>age65_one_person_households</x:v>
      </x:c>
      <x:c r="D132" s="39" t="n">
        <x:v>0</x:v>
      </x:c>
      <x:c r="E132" s="39" t="n">
        <x:v>0</x:v>
      </x:c>
      <x:c r="F132" s="20" t="str">
        <x:v>Exact</x:v>
      </x:c>
      <x:c r="G132" s="20" t="str">
        <x:v>Exact</x:v>
      </x:c>
    </x:row>
    <x:row r="133">
      <x:c r="A133" s="20" t="str">
        <x:v>B11007</x:v>
      </x:c>
      <x:c r="B133" s="20" t="str">
        <x:v>NYC-V1-R04</x:v>
      </x:c>
      <x:c r="C133" s="20" t="str">
        <x:v>households_with_age65</x:v>
      </x:c>
      <x:c r="D133" s="39" t="n">
        <x:v>0</x:v>
      </x:c>
      <x:c r="E133" s="39" t="n">
        <x:v>0</x:v>
      </x:c>
      <x:c r="F133" s="20" t="str">
        <x:v>Exact</x:v>
      </x:c>
      <x:c r="G133" s="20" t="str">
        <x:v>Exact</x:v>
      </x:c>
    </x:row>
    <x:row r="134">
      <x:c r="A134" s="20" t="str">
        <x:v>B11007</x:v>
      </x:c>
      <x:c r="B134" s="20" t="str">
        <x:v>NYC-V1-R04</x:v>
      </x:c>
      <x:c r="C134" s="20" t="str">
        <x:v>age65_one_person_households</x:v>
      </x:c>
      <x:c r="D134" s="39" t="n">
        <x:v>0</x:v>
      </x:c>
      <x:c r="E134" s="39" t="n">
        <x:v>0</x:v>
      </x:c>
      <x:c r="F134" s="20" t="str">
        <x:v>Exact</x:v>
      </x:c>
      <x:c r="G134" s="20" t="str">
        <x:v>Exact</x:v>
      </x:c>
    </x:row>
    <x:row r="135">
      <x:c r="A135" s="20" t="str">
        <x:v>B11007</x:v>
      </x:c>
      <x:c r="B135" s="20" t="str">
        <x:v>NYC-V2-R01</x:v>
      </x:c>
      <x:c r="C135" s="20" t="str">
        <x:v>households_with_age65</x:v>
      </x:c>
      <x:c r="D135" s="39" t="n">
        <x:v>0</x:v>
      </x:c>
      <x:c r="E135" s="39" t="n">
        <x:v>0</x:v>
      </x:c>
      <x:c r="F135" s="20" t="str">
        <x:v>Exact</x:v>
      </x:c>
      <x:c r="G135" s="20" t="str">
        <x:v>Exact</x:v>
      </x:c>
    </x:row>
    <x:row r="136">
      <x:c r="A136" s="20" t="str">
        <x:v>B11007</x:v>
      </x:c>
      <x:c r="B136" s="20" t="str">
        <x:v>NYC-V2-R01</x:v>
      </x:c>
      <x:c r="C136" s="20" t="str">
        <x:v>age65_one_person_households</x:v>
      </x:c>
      <x:c r="D136" s="39" t="n">
        <x:v>0</x:v>
      </x:c>
      <x:c r="E136" s="39" t="n">
        <x:v>0</x:v>
      </x:c>
      <x:c r="F136" s="20" t="str">
        <x:v>Exact</x:v>
      </x:c>
      <x:c r="G136" s="20" t="str">
        <x:v>Exact</x:v>
      </x:c>
    </x:row>
    <x:row r="137">
      <x:c r="A137" s="20" t="str">
        <x:v>B11007</x:v>
      </x:c>
      <x:c r="B137" s="20" t="str">
        <x:v>NYC-V2-R02</x:v>
      </x:c>
      <x:c r="C137" s="20" t="str">
        <x:v>households_with_age65</x:v>
      </x:c>
      <x:c r="D137" s="39" t="n">
        <x:v>0</x:v>
      </x:c>
      <x:c r="E137" s="39" t="n">
        <x:v>0</x:v>
      </x:c>
      <x:c r="F137" s="20" t="str">
        <x:v>Exact</x:v>
      </x:c>
      <x:c r="G137" s="20" t="str">
        <x:v>Exact</x:v>
      </x:c>
    </x:row>
    <x:row r="138">
      <x:c r="A138" s="20" t="str">
        <x:v>B11007</x:v>
      </x:c>
      <x:c r="B138" s="20" t="str">
        <x:v>NYC-V2-R02</x:v>
      </x:c>
      <x:c r="C138" s="20" t="str">
        <x:v>age65_one_person_households</x:v>
      </x:c>
      <x:c r="D138" s="39" t="n">
        <x:v>0</x:v>
      </x:c>
      <x:c r="E138" s="39" t="n">
        <x:v>0</x:v>
      </x:c>
      <x:c r="F138" s="20" t="str">
        <x:v>Exact</x:v>
      </x:c>
      <x:c r="G138" s="20" t="str">
        <x:v>Exact</x:v>
      </x:c>
    </x:row>
    <x:row r="139">
      <x:c r="A139" s="20" t="str">
        <x:v>B11007</x:v>
      </x:c>
      <x:c r="B139" s="20" t="str">
        <x:v>NYC-V2-R03</x:v>
      </x:c>
      <x:c r="C139" s="20" t="str">
        <x:v>households_with_age65</x:v>
      </x:c>
      <x:c r="D139" s="39" t="n">
        <x:v>0</x:v>
      </x:c>
      <x:c r="E139" s="39" t="n">
        <x:v>0</x:v>
      </x:c>
      <x:c r="F139" s="20" t="str">
        <x:v>Exact</x:v>
      </x:c>
      <x:c r="G139" s="20" t="str">
        <x:v>Exact</x:v>
      </x:c>
    </x:row>
    <x:row r="140">
      <x:c r="A140" s="20" t="str">
        <x:v>B11007</x:v>
      </x:c>
      <x:c r="B140" s="20" t="str">
        <x:v>NYC-V2-R03</x:v>
      </x:c>
      <x:c r="C140" s="20" t="str">
        <x:v>age65_one_person_households</x:v>
      </x:c>
      <x:c r="D140" s="39" t="n">
        <x:v>0</x:v>
      </x:c>
      <x:c r="E140" s="39" t="n">
        <x:v>0</x:v>
      </x:c>
      <x:c r="F140" s="20" t="str">
        <x:v>Exact</x:v>
      </x:c>
      <x:c r="G140" s="20" t="str">
        <x:v>Exact</x:v>
      </x:c>
    </x:row>
    <x:row r="141">
      <x:c r="A141" s="20" t="str">
        <x:v>B11007</x:v>
      </x:c>
      <x:c r="B141" s="20" t="str">
        <x:v>NYC-V2-R04</x:v>
      </x:c>
      <x:c r="C141" s="20" t="str">
        <x:v>households_with_age65</x:v>
      </x:c>
      <x:c r="D141" s="39" t="n">
        <x:v>0</x:v>
      </x:c>
      <x:c r="E141" s="39" t="n">
        <x:v>0</x:v>
      </x:c>
      <x:c r="F141" s="20" t="str">
        <x:v>Exact</x:v>
      </x:c>
      <x:c r="G141" s="20" t="str">
        <x:v>Exact</x:v>
      </x:c>
    </x:row>
    <x:row r="142">
      <x:c r="A142" s="20" t="str">
        <x:v>B11007</x:v>
      </x:c>
      <x:c r="B142" s="20" t="str">
        <x:v>NYC-V2-R04</x:v>
      </x:c>
      <x:c r="C142" s="20" t="str">
        <x:v>age65_one_person_households</x:v>
      </x:c>
      <x:c r="D142" s="39" t="n">
        <x:v>0</x:v>
      </x:c>
      <x:c r="E142" s="39" t="n">
        <x:v>0</x:v>
      </x:c>
      <x:c r="F142" s="20" t="str">
        <x:v>Exact</x:v>
      </x:c>
      <x:c r="G142" s="20" t="str">
        <x:v>Exact</x:v>
      </x:c>
    </x:row>
    <x:row r="143">
      <x:c r="A143" s="20" t="str">
        <x:v>B11007</x:v>
      </x:c>
      <x:c r="B143" s="20" t="str">
        <x:v>NYC-V3-R01</x:v>
      </x:c>
      <x:c r="C143" s="20" t="str">
        <x:v>households_with_age65</x:v>
      </x:c>
      <x:c r="D143" s="39" t="n">
        <x:v>0</x:v>
      </x:c>
      <x:c r="E143" s="39" t="n">
        <x:v>0</x:v>
      </x:c>
      <x:c r="F143" s="20" t="str">
        <x:v>Exact</x:v>
      </x:c>
      <x:c r="G143" s="20" t="str">
        <x:v>Exact</x:v>
      </x:c>
    </x:row>
    <x:row r="144">
      <x:c r="A144" s="20" t="str">
        <x:v>B11007</x:v>
      </x:c>
      <x:c r="B144" s="20" t="str">
        <x:v>NYC-V3-R01</x:v>
      </x:c>
      <x:c r="C144" s="20" t="str">
        <x:v>age65_one_person_households</x:v>
      </x:c>
      <x:c r="D144" s="39" t="n">
        <x:v>0</x:v>
      </x:c>
      <x:c r="E144" s="39" t="n">
        <x:v>-2.842170943040401e-14</x:v>
      </x:c>
      <x:c r="F144" s="20" t="str">
        <x:v>Exact</x:v>
      </x:c>
      <x:c r="G144" s="20" t="str">
        <x:v>Exact</x:v>
      </x:c>
    </x:row>
    <x:row r="145">
      <x:c r="A145" s="20" t="str">
        <x:v>B11007</x:v>
      </x:c>
      <x:c r="B145" s="20" t="str">
        <x:v>NYC-V3-R02</x:v>
      </x:c>
      <x:c r="C145" s="20" t="str">
        <x:v>households_with_age65</x:v>
      </x:c>
      <x:c r="D145" s="39" t="n">
        <x:v>0</x:v>
      </x:c>
      <x:c r="E145" s="39" t="n">
        <x:v>0</x:v>
      </x:c>
      <x:c r="F145" s="20" t="str">
        <x:v>Exact</x:v>
      </x:c>
      <x:c r="G145" s="20" t="str">
        <x:v>Exact</x:v>
      </x:c>
    </x:row>
    <x:row r="146">
      <x:c r="A146" s="20" t="str">
        <x:v>B11007</x:v>
      </x:c>
      <x:c r="B146" s="20" t="str">
        <x:v>NYC-V3-R02</x:v>
      </x:c>
      <x:c r="C146" s="20" t="str">
        <x:v>age65_one_person_households</x:v>
      </x:c>
      <x:c r="D146" s="39" t="n">
        <x:v>0</x:v>
      </x:c>
      <x:c r="E146" s="39" t="n">
        <x:v>0</x:v>
      </x:c>
      <x:c r="F146" s="20" t="str">
        <x:v>Exact</x:v>
      </x:c>
      <x:c r="G146" s="20" t="str">
        <x:v>Exact</x:v>
      </x:c>
    </x:row>
    <x:row r="147">
      <x:c r="A147" s="20" t="str">
        <x:v>B11007</x:v>
      </x:c>
      <x:c r="B147" s="20" t="str">
        <x:v>NYC-V3-R03</x:v>
      </x:c>
      <x:c r="C147" s="20" t="str">
        <x:v>households_with_age65</x:v>
      </x:c>
      <x:c r="D147" s="39" t="n">
        <x:v>0</x:v>
      </x:c>
      <x:c r="E147" s="39" t="n">
        <x:v>0</x:v>
      </x:c>
      <x:c r="F147" s="20" t="str">
        <x:v>Exact</x:v>
      </x:c>
      <x:c r="G147" s="20" t="str">
        <x:v>Exact</x:v>
      </x:c>
    </x:row>
    <x:row r="148">
      <x:c r="A148" s="20" t="str">
        <x:v>B11007</x:v>
      </x:c>
      <x:c r="B148" s="20" t="str">
        <x:v>NYC-V3-R03</x:v>
      </x:c>
      <x:c r="C148" s="20" t="str">
        <x:v>age65_one_person_households</x:v>
      </x:c>
      <x:c r="D148" s="39" t="n">
        <x:v>0</x:v>
      </x:c>
      <x:c r="E148" s="39" t="n">
        <x:v>0</x:v>
      </x:c>
      <x:c r="F148" s="20" t="str">
        <x:v>Exact</x:v>
      </x:c>
      <x:c r="G148" s="20" t="str">
        <x:v>Exact</x:v>
      </x:c>
    </x:row>
    <x:row r="149">
      <x:c r="A149" s="20" t="str">
        <x:v>B11007</x:v>
      </x:c>
      <x:c r="B149" s="20" t="str">
        <x:v>NYC-V3-R04</x:v>
      </x:c>
      <x:c r="C149" s="20" t="str">
        <x:v>households_with_age65</x:v>
      </x:c>
      <x:c r="D149" s="39" t="n">
        <x:v>0</x:v>
      </x:c>
      <x:c r="E149" s="39" t="n">
        <x:v>0</x:v>
      </x:c>
      <x:c r="F149" s="20" t="str">
        <x:v>Exact</x:v>
      </x:c>
      <x:c r="G149" s="20" t="str">
        <x:v>Exact</x:v>
      </x:c>
    </x:row>
    <x:row r="150">
      <x:c r="A150" s="20" t="str">
        <x:v>B11007</x:v>
      </x:c>
      <x:c r="B150" s="20" t="str">
        <x:v>NYC-V3-R04</x:v>
      </x:c>
      <x:c r="C150" s="20" t="str">
        <x:v>age65_one_person_households</x:v>
      </x:c>
      <x:c r="D150" s="39" t="n">
        <x:v>0</x:v>
      </x:c>
      <x:c r="E150" s="39" t="n">
        <x:v>0</x:v>
      </x:c>
      <x:c r="F150" s="20" t="str">
        <x:v>Exact</x:v>
      </x:c>
      <x:c r="G150" s="20" t="str">
        <x:v>Exact</x:v>
      </x:c>
    </x:row>
    <x:row r="151">
      <x:c r="A151" s="20" t="str">
        <x:v>B18101</x:v>
      </x:c>
      <x:c r="B151" s="20" t="str">
        <x:v>NYC-V1-R01</x:v>
      </x:c>
      <x:c r="C151" s="20" t="str">
        <x:v>civilian_noninstitutionalized</x:v>
      </x:c>
      <x:c r="D151" s="39" t="n">
        <x:v>0</x:v>
      </x:c>
      <x:c r="E151" s="39" t="n">
        <x:v>0</x:v>
      </x:c>
      <x:c r="F151" s="20" t="str">
        <x:v>Exact</x:v>
      </x:c>
      <x:c r="G151" s="20" t="str">
        <x:v>Exact</x:v>
      </x:c>
    </x:row>
    <x:row r="152">
      <x:c r="A152" s="20" t="str">
        <x:v>B18101</x:v>
      </x:c>
      <x:c r="B152" s="20" t="str">
        <x:v>NYC-V1-R01</x:v>
      </x:c>
      <x:c r="C152" s="20" t="str">
        <x:v>any_disability</x:v>
      </x:c>
      <x:c r="D152" s="39" t="n">
        <x:v>0</x:v>
      </x:c>
      <x:c r="E152" s="39" t="n">
        <x:v>0</x:v>
      </x:c>
      <x:c r="F152" s="20" t="str">
        <x:v>Exact</x:v>
      </x:c>
      <x:c r="G152" s="20" t="str">
        <x:v>Exact</x:v>
      </x:c>
    </x:row>
    <x:row r="153">
      <x:c r="A153" s="20" t="str">
        <x:v>B18101</x:v>
      </x:c>
      <x:c r="B153" s="20" t="str">
        <x:v>NYC-V1-R01</x:v>
      </x:c>
      <x:c r="C153" s="20" t="str">
        <x:v>disability_under_18</x:v>
      </x:c>
      <x:c r="D153" s="39" t="n">
        <x:v>0</x:v>
      </x:c>
      <x:c r="E153" s="39" t="n">
        <x:v>0</x:v>
      </x:c>
      <x:c r="F153" s="20" t="str">
        <x:v>Exact</x:v>
      </x:c>
      <x:c r="G153" s="20" t="str">
        <x:v>Exact</x:v>
      </x:c>
    </x:row>
    <x:row r="154">
      <x:c r="A154" s="20" t="str">
        <x:v>B18101</x:v>
      </x:c>
      <x:c r="B154" s="20" t="str">
        <x:v>NYC-V1-R01</x:v>
      </x:c>
      <x:c r="C154" s="20" t="str">
        <x:v>disability_18_64</x:v>
      </x:c>
      <x:c r="D154" s="39" t="n">
        <x:v>0</x:v>
      </x:c>
      <x:c r="E154" s="39" t="n">
        <x:v>5.684341886080802e-14</x:v>
      </x:c>
      <x:c r="F154" s="20" t="str">
        <x:v>Exact</x:v>
      </x:c>
      <x:c r="G154" s="20" t="str">
        <x:v>Exact</x:v>
      </x:c>
    </x:row>
    <x:row r="155">
      <x:c r="A155" s="20" t="str">
        <x:v>B18101</x:v>
      </x:c>
      <x:c r="B155" s="20" t="str">
        <x:v>NYC-V1-R01</x:v>
      </x:c>
      <x:c r="C155" s="20" t="str">
        <x:v>disability_65_plus</x:v>
      </x:c>
      <x:c r="D155" s="39" t="n">
        <x:v>0</x:v>
      </x:c>
      <x:c r="E155" s="39" t="n">
        <x:v>0</x:v>
      </x:c>
      <x:c r="F155" s="20" t="str">
        <x:v>Exact</x:v>
      </x:c>
      <x:c r="G155" s="20" t="str">
        <x:v>Exact</x:v>
      </x:c>
    </x:row>
    <x:row r="156">
      <x:c r="A156" s="20" t="str">
        <x:v>B18101</x:v>
      </x:c>
      <x:c r="B156" s="20" t="str">
        <x:v>NYC-V1-R02</x:v>
      </x:c>
      <x:c r="C156" s="20" t="str">
        <x:v>civilian_noninstitutionalized</x:v>
      </x:c>
      <x:c r="D156" s="39" t="n">
        <x:v>0</x:v>
      </x:c>
      <x:c r="E156" s="39" t="n">
        <x:v>0</x:v>
      </x:c>
      <x:c r="F156" s="20" t="str">
        <x:v>Exact</x:v>
      </x:c>
      <x:c r="G156" s="20" t="str">
        <x:v>Exact</x:v>
      </x:c>
    </x:row>
    <x:row r="157">
      <x:c r="A157" s="20" t="str">
        <x:v>B18101</x:v>
      </x:c>
      <x:c r="B157" s="20" t="str">
        <x:v>NYC-V1-R02</x:v>
      </x:c>
      <x:c r="C157" s="20" t="str">
        <x:v>any_disability</x:v>
      </x:c>
      <x:c r="D157" s="39" t="n">
        <x:v>0</x:v>
      </x:c>
      <x:c r="E157" s="39" t="n">
        <x:v>0</x:v>
      </x:c>
      <x:c r="F157" s="20" t="str">
        <x:v>Exact</x:v>
      </x:c>
      <x:c r="G157" s="20" t="str">
        <x:v>Exact</x:v>
      </x:c>
    </x:row>
    <x:row r="158">
      <x:c r="A158" s="20" t="str">
        <x:v>B18101</x:v>
      </x:c>
      <x:c r="B158" s="20" t="str">
        <x:v>NYC-V1-R02</x:v>
      </x:c>
      <x:c r="C158" s="20" t="str">
        <x:v>disability_under_18</x:v>
      </x:c>
      <x:c r="D158" s="39" t="n">
        <x:v>0</x:v>
      </x:c>
      <x:c r="E158" s="39" t="n">
        <x:v>0</x:v>
      </x:c>
      <x:c r="F158" s="20" t="str">
        <x:v>Exact</x:v>
      </x:c>
      <x:c r="G158" s="20" t="str">
        <x:v>Exact</x:v>
      </x:c>
    </x:row>
    <x:row r="159">
      <x:c r="A159" s="20" t="str">
        <x:v>B18101</x:v>
      </x:c>
      <x:c r="B159" s="20" t="str">
        <x:v>NYC-V1-R02</x:v>
      </x:c>
      <x:c r="C159" s="20" t="str">
        <x:v>disability_18_64</x:v>
      </x:c>
      <x:c r="D159" s="39" t="n">
        <x:v>0</x:v>
      </x:c>
      <x:c r="E159" s="39" t="n">
        <x:v>0</x:v>
      </x:c>
      <x:c r="F159" s="20" t="str">
        <x:v>Exact</x:v>
      </x:c>
      <x:c r="G159" s="20" t="str">
        <x:v>Exact</x:v>
      </x:c>
    </x:row>
    <x:row r="160">
      <x:c r="A160" s="20" t="str">
        <x:v>B18101</x:v>
      </x:c>
      <x:c r="B160" s="20" t="str">
        <x:v>NYC-V1-R02</x:v>
      </x:c>
      <x:c r="C160" s="20" t="str">
        <x:v>disability_65_plus</x:v>
      </x:c>
      <x:c r="D160" s="39" t="n">
        <x:v>0</x:v>
      </x:c>
      <x:c r="E160" s="39" t="n">
        <x:v>-2.842170943040401e-14</x:v>
      </x:c>
      <x:c r="F160" s="20" t="str">
        <x:v>Exact</x:v>
      </x:c>
      <x:c r="G160" s="20" t="str">
        <x:v>Exact</x:v>
      </x:c>
    </x:row>
    <x:row r="161">
      <x:c r="A161" s="20" t="str">
        <x:v>B18101</x:v>
      </x:c>
      <x:c r="B161" s="20" t="str">
        <x:v>NYC-V1-R03</x:v>
      </x:c>
      <x:c r="C161" s="20" t="str">
        <x:v>civilian_noninstitutionalized</x:v>
      </x:c>
      <x:c r="D161" s="39" t="n">
        <x:v>0</x:v>
      </x:c>
      <x:c r="E161" s="39" t="n">
        <x:v>0</x:v>
      </x:c>
      <x:c r="F161" s="20" t="str">
        <x:v>Exact</x:v>
      </x:c>
      <x:c r="G161" s="20" t="str">
        <x:v>Exact</x:v>
      </x:c>
    </x:row>
    <x:row r="162">
      <x:c r="A162" s="20" t="str">
        <x:v>B18101</x:v>
      </x:c>
      <x:c r="B162" s="20" t="str">
        <x:v>NYC-V1-R03</x:v>
      </x:c>
      <x:c r="C162" s="20" t="str">
        <x:v>any_disability</x:v>
      </x:c>
      <x:c r="D162" s="39" t="n">
        <x:v>0</x:v>
      </x:c>
      <x:c r="E162" s="39" t="n">
        <x:v>0</x:v>
      </x:c>
      <x:c r="F162" s="20" t="str">
        <x:v>Exact</x:v>
      </x:c>
      <x:c r="G162" s="20" t="str">
        <x:v>Exact</x:v>
      </x:c>
    </x:row>
    <x:row r="163">
      <x:c r="A163" s="20" t="str">
        <x:v>B18101</x:v>
      </x:c>
      <x:c r="B163" s="20" t="str">
        <x:v>NYC-V1-R03</x:v>
      </x:c>
      <x:c r="C163" s="20" t="str">
        <x:v>disability_under_18</x:v>
      </x:c>
      <x:c r="D163" s="39" t="n">
        <x:v>0</x:v>
      </x:c>
      <x:c r="E163" s="39" t="n">
        <x:v>-7.105427357601002e-15</x:v>
      </x:c>
      <x:c r="F163" s="20" t="str">
        <x:v>Exact</x:v>
      </x:c>
      <x:c r="G163" s="20" t="str">
        <x:v>Exact</x:v>
      </x:c>
    </x:row>
    <x:row r="164">
      <x:c r="A164" s="20" t="str">
        <x:v>B18101</x:v>
      </x:c>
      <x:c r="B164" s="20" t="str">
        <x:v>NYC-V1-R03</x:v>
      </x:c>
      <x:c r="C164" s="20" t="str">
        <x:v>disability_18_64</x:v>
      </x:c>
      <x:c r="D164" s="39" t="n">
        <x:v>0</x:v>
      </x:c>
      <x:c r="E164" s="39" t="n">
        <x:v>0</x:v>
      </x:c>
      <x:c r="F164" s="20" t="str">
        <x:v>Exact</x:v>
      </x:c>
      <x:c r="G164" s="20" t="str">
        <x:v>Exact</x:v>
      </x:c>
    </x:row>
    <x:row r="165">
      <x:c r="A165" s="20" t="str">
        <x:v>B18101</x:v>
      </x:c>
      <x:c r="B165" s="20" t="str">
        <x:v>NYC-V1-R03</x:v>
      </x:c>
      <x:c r="C165" s="20" t="str">
        <x:v>disability_65_plus</x:v>
      </x:c>
      <x:c r="D165" s="39" t="n">
        <x:v>0</x:v>
      </x:c>
      <x:c r="E165" s="39" t="n">
        <x:v>-2.842170943040401e-14</x:v>
      </x:c>
      <x:c r="F165" s="20" t="str">
        <x:v>Exact</x:v>
      </x:c>
      <x:c r="G165" s="20" t="str">
        <x:v>Exact</x:v>
      </x:c>
    </x:row>
    <x:row r="166">
      <x:c r="A166" s="20" t="str">
        <x:v>B18101</x:v>
      </x:c>
      <x:c r="B166" s="20" t="str">
        <x:v>NYC-V1-R04</x:v>
      </x:c>
      <x:c r="C166" s="20" t="str">
        <x:v>civilian_noninstitutionalized</x:v>
      </x:c>
      <x:c r="D166" s="39" t="n">
        <x:v>0</x:v>
      </x:c>
      <x:c r="E166" s="39" t="n">
        <x:v>0</x:v>
      </x:c>
      <x:c r="F166" s="20" t="str">
        <x:v>Exact</x:v>
      </x:c>
      <x:c r="G166" s="20" t="str">
        <x:v>Exact</x:v>
      </x:c>
    </x:row>
    <x:row r="167">
      <x:c r="A167" s="20" t="str">
        <x:v>B18101</x:v>
      </x:c>
      <x:c r="B167" s="20" t="str">
        <x:v>NYC-V1-R04</x:v>
      </x:c>
      <x:c r="C167" s="20" t="str">
        <x:v>any_disability</x:v>
      </x:c>
      <x:c r="D167" s="39" t="n">
        <x:v>0</x:v>
      </x:c>
      <x:c r="E167" s="39" t="n">
        <x:v>0</x:v>
      </x:c>
      <x:c r="F167" s="20" t="str">
        <x:v>Exact</x:v>
      </x:c>
      <x:c r="G167" s="20" t="str">
        <x:v>Exact</x:v>
      </x:c>
    </x:row>
    <x:row r="168">
      <x:c r="A168" s="20" t="str">
        <x:v>B18101</x:v>
      </x:c>
      <x:c r="B168" s="20" t="str">
        <x:v>NYC-V1-R04</x:v>
      </x:c>
      <x:c r="C168" s="20" t="str">
        <x:v>disability_under_18</x:v>
      </x:c>
      <x:c r="D168" s="39" t="n">
        <x:v>0</x:v>
      </x:c>
      <x:c r="E168" s="39" t="n">
        <x:v>0</x:v>
      </x:c>
      <x:c r="F168" s="20" t="str">
        <x:v>Exact</x:v>
      </x:c>
      <x:c r="G168" s="20" t="str">
        <x:v>Exact</x:v>
      </x:c>
    </x:row>
    <x:row r="169">
      <x:c r="A169" s="20" t="str">
        <x:v>B18101</x:v>
      </x:c>
      <x:c r="B169" s="20" t="str">
        <x:v>NYC-V1-R04</x:v>
      </x:c>
      <x:c r="C169" s="20" t="str">
        <x:v>disability_18_64</x:v>
      </x:c>
      <x:c r="D169" s="39" t="n">
        <x:v>0</x:v>
      </x:c>
      <x:c r="E169" s="39" t="n">
        <x:v>0</x:v>
      </x:c>
      <x:c r="F169" s="20" t="str">
        <x:v>Exact</x:v>
      </x:c>
      <x:c r="G169" s="20" t="str">
        <x:v>Exact</x:v>
      </x:c>
    </x:row>
    <x:row r="170">
      <x:c r="A170" s="20" t="str">
        <x:v>B18101</x:v>
      </x:c>
      <x:c r="B170" s="20" t="str">
        <x:v>NYC-V1-R04</x:v>
      </x:c>
      <x:c r="C170" s="20" t="str">
        <x:v>disability_65_plus</x:v>
      </x:c>
      <x:c r="D170" s="39" t="n">
        <x:v>0</x:v>
      </x:c>
      <x:c r="E170" s="39" t="n">
        <x:v>0</x:v>
      </x:c>
      <x:c r="F170" s="20" t="str">
        <x:v>Exact</x:v>
      </x:c>
      <x:c r="G170" s="20" t="str">
        <x:v>Exact</x:v>
      </x:c>
    </x:row>
    <x:row r="171">
      <x:c r="A171" s="20" t="str">
        <x:v>B18101</x:v>
      </x:c>
      <x:c r="B171" s="20" t="str">
        <x:v>NYC-V2-R01</x:v>
      </x:c>
      <x:c r="C171" s="20" t="str">
        <x:v>civilian_noninstitutionalized</x:v>
      </x:c>
      <x:c r="D171" s="39" t="n">
        <x:v>0</x:v>
      </x:c>
      <x:c r="E171" s="39" t="n">
        <x:v>0</x:v>
      </x:c>
      <x:c r="F171" s="20" t="str">
        <x:v>Exact</x:v>
      </x:c>
      <x:c r="G171" s="20" t="str">
        <x:v>Exact</x:v>
      </x:c>
    </x:row>
    <x:row r="172">
      <x:c r="A172" s="20" t="str">
        <x:v>B18101</x:v>
      </x:c>
      <x:c r="B172" s="20" t="str">
        <x:v>NYC-V2-R01</x:v>
      </x:c>
      <x:c r="C172" s="20" t="str">
        <x:v>any_disability</x:v>
      </x:c>
      <x:c r="D172" s="39" t="n">
        <x:v>0</x:v>
      </x:c>
      <x:c r="E172" s="39" t="n">
        <x:v>0</x:v>
      </x:c>
      <x:c r="F172" s="20" t="str">
        <x:v>Exact</x:v>
      </x:c>
      <x:c r="G172" s="20" t="str">
        <x:v>Exact</x:v>
      </x:c>
    </x:row>
    <x:row r="173">
      <x:c r="A173" s="20" t="str">
        <x:v>B18101</x:v>
      </x:c>
      <x:c r="B173" s="20" t="str">
        <x:v>NYC-V2-R01</x:v>
      </x:c>
      <x:c r="C173" s="20" t="str">
        <x:v>disability_under_18</x:v>
      </x:c>
      <x:c r="D173" s="39" t="n">
        <x:v>0</x:v>
      </x:c>
      <x:c r="E173" s="39" t="n">
        <x:v>0</x:v>
      </x:c>
      <x:c r="F173" s="20" t="str">
        <x:v>Exact</x:v>
      </x:c>
      <x:c r="G173" s="20" t="str">
        <x:v>Exact</x:v>
      </x:c>
    </x:row>
    <x:row r="174">
      <x:c r="A174" s="20" t="str">
        <x:v>B18101</x:v>
      </x:c>
      <x:c r="B174" s="20" t="str">
        <x:v>NYC-V2-R01</x:v>
      </x:c>
      <x:c r="C174" s="20" t="str">
        <x:v>disability_18_64</x:v>
      </x:c>
      <x:c r="D174" s="39" t="n">
        <x:v>0</x:v>
      </x:c>
      <x:c r="E174" s="39" t="n">
        <x:v>-5.684341886080802e-14</x:v>
      </x:c>
      <x:c r="F174" s="20" t="str">
        <x:v>Exact</x:v>
      </x:c>
      <x:c r="G174" s="20" t="str">
        <x:v>Exact</x:v>
      </x:c>
    </x:row>
    <x:row r="175">
      <x:c r="A175" s="20" t="str">
        <x:v>B18101</x:v>
      </x:c>
      <x:c r="B175" s="20" t="str">
        <x:v>NYC-V2-R01</x:v>
      </x:c>
      <x:c r="C175" s="20" t="str">
        <x:v>disability_65_plus</x:v>
      </x:c>
      <x:c r="D175" s="39" t="n">
        <x:v>0</x:v>
      </x:c>
      <x:c r="E175" s="39" t="n">
        <x:v>0</x:v>
      </x:c>
      <x:c r="F175" s="20" t="str">
        <x:v>Exact</x:v>
      </x:c>
      <x:c r="G175" s="20" t="str">
        <x:v>Exact</x:v>
      </x:c>
    </x:row>
    <x:row r="176">
      <x:c r="A176" s="20" t="str">
        <x:v>B18101</x:v>
      </x:c>
      <x:c r="B176" s="20" t="str">
        <x:v>NYC-V2-R02</x:v>
      </x:c>
      <x:c r="C176" s="20" t="str">
        <x:v>civilian_noninstitutionalized</x:v>
      </x:c>
      <x:c r="D176" s="39" t="n">
        <x:v>0</x:v>
      </x:c>
      <x:c r="E176" s="39" t="n">
        <x:v>2.2737367544323206e-13</x:v>
      </x:c>
      <x:c r="F176" s="20" t="str">
        <x:v>Exact</x:v>
      </x:c>
      <x:c r="G176" s="20" t="str">
        <x:v>Exact</x:v>
      </x:c>
    </x:row>
    <x:row r="177">
      <x:c r="A177" s="20" t="str">
        <x:v>B18101</x:v>
      </x:c>
      <x:c r="B177" s="20" t="str">
        <x:v>NYC-V2-R02</x:v>
      </x:c>
      <x:c r="C177" s="20" t="str">
        <x:v>any_disability</x:v>
      </x:c>
      <x:c r="D177" s="39" t="n">
        <x:v>0</x:v>
      </x:c>
      <x:c r="E177" s="39" t="n">
        <x:v>0</x:v>
      </x:c>
      <x:c r="F177" s="20" t="str">
        <x:v>Exact</x:v>
      </x:c>
      <x:c r="G177" s="20" t="str">
        <x:v>Exact</x:v>
      </x:c>
    </x:row>
    <x:row r="178">
      <x:c r="A178" s="20" t="str">
        <x:v>B18101</x:v>
      </x:c>
      <x:c r="B178" s="20" t="str">
        <x:v>NYC-V2-R02</x:v>
      </x:c>
      <x:c r="C178" s="20" t="str">
        <x:v>disability_under_18</x:v>
      </x:c>
      <x:c r="D178" s="39" t="n">
        <x:v>0</x:v>
      </x:c>
      <x:c r="E178" s="39" t="n">
        <x:v>0</x:v>
      </x:c>
      <x:c r="F178" s="20" t="str">
        <x:v>Exact</x:v>
      </x:c>
      <x:c r="G178" s="20" t="str">
        <x:v>Exact</x:v>
      </x:c>
    </x:row>
    <x:row r="179">
      <x:c r="A179" s="20" t="str">
        <x:v>B18101</x:v>
      </x:c>
      <x:c r="B179" s="20" t="str">
        <x:v>NYC-V2-R02</x:v>
      </x:c>
      <x:c r="C179" s="20" t="str">
        <x:v>disability_18_64</x:v>
      </x:c>
      <x:c r="D179" s="39" t="n">
        <x:v>0</x:v>
      </x:c>
      <x:c r="E179" s="39" t="n">
        <x:v>0</x:v>
      </x:c>
      <x:c r="F179" s="20" t="str">
        <x:v>Exact</x:v>
      </x:c>
      <x:c r="G179" s="20" t="str">
        <x:v>Exact</x:v>
      </x:c>
    </x:row>
    <x:row r="180">
      <x:c r="A180" s="20" t="str">
        <x:v>B18101</x:v>
      </x:c>
      <x:c r="B180" s="20" t="str">
        <x:v>NYC-V2-R02</x:v>
      </x:c>
      <x:c r="C180" s="20" t="str">
        <x:v>disability_65_plus</x:v>
      </x:c>
      <x:c r="D180" s="39" t="n">
        <x:v>0</x:v>
      </x:c>
      <x:c r="E180" s="39" t="n">
        <x:v>0</x:v>
      </x:c>
      <x:c r="F180" s="20" t="str">
        <x:v>Exact</x:v>
      </x:c>
      <x:c r="G180" s="20" t="str">
        <x:v>Exact</x:v>
      </x:c>
    </x:row>
    <x:row r="181">
      <x:c r="A181" s="20" t="str">
        <x:v>B18101</x:v>
      </x:c>
      <x:c r="B181" s="20" t="str">
        <x:v>NYC-V2-R03</x:v>
      </x:c>
      <x:c r="C181" s="20" t="str">
        <x:v>civilian_noninstitutionalized</x:v>
      </x:c>
      <x:c r="D181" s="39" t="n">
        <x:v>0</x:v>
      </x:c>
      <x:c r="E181" s="39" t="n">
        <x:v>0</x:v>
      </x:c>
      <x:c r="F181" s="20" t="str">
        <x:v>Exact</x:v>
      </x:c>
      <x:c r="G181" s="20" t="str">
        <x:v>Exact</x:v>
      </x:c>
    </x:row>
    <x:row r="182">
      <x:c r="A182" s="20" t="str">
        <x:v>B18101</x:v>
      </x:c>
      <x:c r="B182" s="20" t="str">
        <x:v>NYC-V2-R03</x:v>
      </x:c>
      <x:c r="C182" s="20" t="str">
        <x:v>any_disability</x:v>
      </x:c>
      <x:c r="D182" s="39" t="n">
        <x:v>0</x:v>
      </x:c>
      <x:c r="E182" s="39" t="n">
        <x:v>0</x:v>
      </x:c>
      <x:c r="F182" s="20" t="str">
        <x:v>Exact</x:v>
      </x:c>
      <x:c r="G182" s="20" t="str">
        <x:v>Exact</x:v>
      </x:c>
    </x:row>
    <x:row r="183">
      <x:c r="A183" s="20" t="str">
        <x:v>B18101</x:v>
      </x:c>
      <x:c r="B183" s="20" t="str">
        <x:v>NYC-V2-R03</x:v>
      </x:c>
      <x:c r="C183" s="20" t="str">
        <x:v>disability_under_18</x:v>
      </x:c>
      <x:c r="D183" s="39" t="n">
        <x:v>0</x:v>
      </x:c>
      <x:c r="E183" s="39" t="n">
        <x:v>0</x:v>
      </x:c>
      <x:c r="F183" s="20" t="str">
        <x:v>Exact</x:v>
      </x:c>
      <x:c r="G183" s="20" t="str">
        <x:v>Exact</x:v>
      </x:c>
    </x:row>
    <x:row r="184">
      <x:c r="A184" s="20" t="str">
        <x:v>B18101</x:v>
      </x:c>
      <x:c r="B184" s="20" t="str">
        <x:v>NYC-V2-R03</x:v>
      </x:c>
      <x:c r="C184" s="20" t="str">
        <x:v>disability_18_64</x:v>
      </x:c>
      <x:c r="D184" s="39" t="n">
        <x:v>0</x:v>
      </x:c>
      <x:c r="E184" s="39" t="n">
        <x:v>0</x:v>
      </x:c>
      <x:c r="F184" s="20" t="str">
        <x:v>Exact</x:v>
      </x:c>
      <x:c r="G184" s="20" t="str">
        <x:v>Exact</x:v>
      </x:c>
    </x:row>
    <x:row r="185">
      <x:c r="A185" s="20" t="str">
        <x:v>B18101</x:v>
      </x:c>
      <x:c r="B185" s="20" t="str">
        <x:v>NYC-V2-R03</x:v>
      </x:c>
      <x:c r="C185" s="20" t="str">
        <x:v>disability_65_plus</x:v>
      </x:c>
      <x:c r="D185" s="39" t="n">
        <x:v>0</x:v>
      </x:c>
      <x:c r="E185" s="39" t="n">
        <x:v>0</x:v>
      </x:c>
      <x:c r="F185" s="20" t="str">
        <x:v>Exact</x:v>
      </x:c>
      <x:c r="G185" s="20" t="str">
        <x:v>Exact</x:v>
      </x:c>
    </x:row>
    <x:row r="186">
      <x:c r="A186" s="20" t="str">
        <x:v>B18101</x:v>
      </x:c>
      <x:c r="B186" s="20" t="str">
        <x:v>NYC-V2-R04</x:v>
      </x:c>
      <x:c r="C186" s="20" t="str">
        <x:v>civilian_noninstitutionalized</x:v>
      </x:c>
      <x:c r="D186" s="39" t="n">
        <x:v>0</x:v>
      </x:c>
      <x:c r="E186" s="39" t="n">
        <x:v>-2.2737367544323206e-13</x:v>
      </x:c>
      <x:c r="F186" s="20" t="str">
        <x:v>Exact</x:v>
      </x:c>
      <x:c r="G186" s="20" t="str">
        <x:v>Exact</x:v>
      </x:c>
    </x:row>
    <x:row r="187">
      <x:c r="A187" s="20" t="str">
        <x:v>B18101</x:v>
      </x:c>
      <x:c r="B187" s="20" t="str">
        <x:v>NYC-V2-R04</x:v>
      </x:c>
      <x:c r="C187" s="20" t="str">
        <x:v>any_disability</x:v>
      </x:c>
      <x:c r="D187" s="39" t="n">
        <x:v>0</x:v>
      </x:c>
      <x:c r="E187" s="39" t="n">
        <x:v>0</x:v>
      </x:c>
      <x:c r="F187" s="20" t="str">
        <x:v>Exact</x:v>
      </x:c>
      <x:c r="G187" s="20" t="str">
        <x:v>Exact</x:v>
      </x:c>
    </x:row>
    <x:row r="188">
      <x:c r="A188" s="20" t="str">
        <x:v>B18101</x:v>
      </x:c>
      <x:c r="B188" s="20" t="str">
        <x:v>NYC-V2-R04</x:v>
      </x:c>
      <x:c r="C188" s="20" t="str">
        <x:v>disability_under_18</x:v>
      </x:c>
      <x:c r="D188" s="39" t="n">
        <x:v>0</x:v>
      </x:c>
      <x:c r="E188" s="39" t="n">
        <x:v>0</x:v>
      </x:c>
      <x:c r="F188" s="20" t="str">
        <x:v>Exact</x:v>
      </x:c>
      <x:c r="G188" s="20" t="str">
        <x:v>Exact</x:v>
      </x:c>
    </x:row>
    <x:row r="189">
      <x:c r="A189" s="20" t="str">
        <x:v>B18101</x:v>
      </x:c>
      <x:c r="B189" s="20" t="str">
        <x:v>NYC-V2-R04</x:v>
      </x:c>
      <x:c r="C189" s="20" t="str">
        <x:v>disability_18_64</x:v>
      </x:c>
      <x:c r="D189" s="39" t="n">
        <x:v>0</x:v>
      </x:c>
      <x:c r="E189" s="39" t="n">
        <x:v>0</x:v>
      </x:c>
      <x:c r="F189" s="20" t="str">
        <x:v>Exact</x:v>
      </x:c>
      <x:c r="G189" s="20" t="str">
        <x:v>Exact</x:v>
      </x:c>
    </x:row>
    <x:row r="190">
      <x:c r="A190" s="20" t="str">
        <x:v>B18101</x:v>
      </x:c>
      <x:c r="B190" s="20" t="str">
        <x:v>NYC-V2-R04</x:v>
      </x:c>
      <x:c r="C190" s="20" t="str">
        <x:v>disability_65_plus</x:v>
      </x:c>
      <x:c r="D190" s="39" t="n">
        <x:v>0</x:v>
      </x:c>
      <x:c r="E190" s="39" t="n">
        <x:v>0</x:v>
      </x:c>
      <x:c r="F190" s="20" t="str">
        <x:v>Exact</x:v>
      </x:c>
      <x:c r="G190" s="20" t="str">
        <x:v>Exact</x:v>
      </x:c>
    </x:row>
    <x:row r="191">
      <x:c r="A191" s="20" t="str">
        <x:v>B18101</x:v>
      </x:c>
      <x:c r="B191" s="20" t="str">
        <x:v>NYC-V3-R01</x:v>
      </x:c>
      <x:c r="C191" s="20" t="str">
        <x:v>civilian_noninstitutionalized</x:v>
      </x:c>
      <x:c r="D191" s="39" t="n">
        <x:v>0</x:v>
      </x:c>
      <x:c r="E191" s="39" t="n">
        <x:v>0</x:v>
      </x:c>
      <x:c r="F191" s="20" t="str">
        <x:v>Exact</x:v>
      </x:c>
      <x:c r="G191" s="20" t="str">
        <x:v>Exact</x:v>
      </x:c>
    </x:row>
    <x:row r="192">
      <x:c r="A192" s="20" t="str">
        <x:v>B18101</x:v>
      </x:c>
      <x:c r="B192" s="20" t="str">
        <x:v>NYC-V3-R01</x:v>
      </x:c>
      <x:c r="C192" s="20" t="str">
        <x:v>any_disability</x:v>
      </x:c>
      <x:c r="D192" s="39" t="n">
        <x:v>0</x:v>
      </x:c>
      <x:c r="E192" s="39" t="n">
        <x:v>0</x:v>
      </x:c>
      <x:c r="F192" s="20" t="str">
        <x:v>Exact</x:v>
      </x:c>
      <x:c r="G192" s="20" t="str">
        <x:v>Exact</x:v>
      </x:c>
    </x:row>
    <x:row r="193">
      <x:c r="A193" s="20" t="str">
        <x:v>B18101</x:v>
      </x:c>
      <x:c r="B193" s="20" t="str">
        <x:v>NYC-V3-R01</x:v>
      </x:c>
      <x:c r="C193" s="20" t="str">
        <x:v>disability_under_18</x:v>
      </x:c>
      <x:c r="D193" s="39" t="n">
        <x:v>0</x:v>
      </x:c>
      <x:c r="E193" s="39" t="n">
        <x:v>-1.4210854715202004e-14</x:v>
      </x:c>
      <x:c r="F193" s="20" t="str">
        <x:v>Exact</x:v>
      </x:c>
      <x:c r="G193" s="20" t="str">
        <x:v>Exact</x:v>
      </x:c>
    </x:row>
    <x:row r="194">
      <x:c r="A194" s="20" t="str">
        <x:v>B18101</x:v>
      </x:c>
      <x:c r="B194" s="20" t="str">
        <x:v>NYC-V3-R01</x:v>
      </x:c>
      <x:c r="C194" s="20" t="str">
        <x:v>disability_18_64</x:v>
      </x:c>
      <x:c r="D194" s="39" t="n">
        <x:v>0</x:v>
      </x:c>
      <x:c r="E194" s="39" t="n">
        <x:v>0</x:v>
      </x:c>
      <x:c r="F194" s="20" t="str">
        <x:v>Exact</x:v>
      </x:c>
      <x:c r="G194" s="20" t="str">
        <x:v>Exact</x:v>
      </x:c>
    </x:row>
    <x:row r="195">
      <x:c r="A195" s="20" t="str">
        <x:v>B18101</x:v>
      </x:c>
      <x:c r="B195" s="20" t="str">
        <x:v>NYC-V3-R01</x:v>
      </x:c>
      <x:c r="C195" s="20" t="str">
        <x:v>disability_65_plus</x:v>
      </x:c>
      <x:c r="D195" s="39" t="n">
        <x:v>0</x:v>
      </x:c>
      <x:c r="E195" s="39" t="n">
        <x:v>0</x:v>
      </x:c>
      <x:c r="F195" s="20" t="str">
        <x:v>Exact</x:v>
      </x:c>
      <x:c r="G195" s="20" t="str">
        <x:v>Exact</x:v>
      </x:c>
    </x:row>
    <x:row r="196">
      <x:c r="A196" s="20" t="str">
        <x:v>B18101</x:v>
      </x:c>
      <x:c r="B196" s="20" t="str">
        <x:v>NYC-V3-R02</x:v>
      </x:c>
      <x:c r="C196" s="20" t="str">
        <x:v>civilian_noninstitutionalized</x:v>
      </x:c>
      <x:c r="D196" s="39" t="n">
        <x:v>0</x:v>
      </x:c>
      <x:c r="E196" s="39" t="n">
        <x:v>0</x:v>
      </x:c>
      <x:c r="F196" s="20" t="str">
        <x:v>Exact</x:v>
      </x:c>
      <x:c r="G196" s="20" t="str">
        <x:v>Exact</x:v>
      </x:c>
    </x:row>
    <x:row r="197">
      <x:c r="A197" s="20" t="str">
        <x:v>B18101</x:v>
      </x:c>
      <x:c r="B197" s="20" t="str">
        <x:v>NYC-V3-R02</x:v>
      </x:c>
      <x:c r="C197" s="20" t="str">
        <x:v>any_disability</x:v>
      </x:c>
      <x:c r="D197" s="39" t="n">
        <x:v>0</x:v>
      </x:c>
      <x:c r="E197" s="39" t="n">
        <x:v>-5.684341886080802e-14</x:v>
      </x:c>
      <x:c r="F197" s="20" t="str">
        <x:v>Exact</x:v>
      </x:c>
      <x:c r="G197" s="20" t="str">
        <x:v>Exact</x:v>
      </x:c>
    </x:row>
    <x:row r="198">
      <x:c r="A198" s="20" t="str">
        <x:v>B18101</x:v>
      </x:c>
      <x:c r="B198" s="20" t="str">
        <x:v>NYC-V3-R02</x:v>
      </x:c>
      <x:c r="C198" s="20" t="str">
        <x:v>disability_under_18</x:v>
      </x:c>
      <x:c r="D198" s="39" t="n">
        <x:v>0</x:v>
      </x:c>
      <x:c r="E198" s="39" t="n">
        <x:v>0</x:v>
      </x:c>
      <x:c r="F198" s="20" t="str">
        <x:v>Exact</x:v>
      </x:c>
      <x:c r="G198" s="20" t="str">
        <x:v>Exact</x:v>
      </x:c>
    </x:row>
    <x:row r="199">
      <x:c r="A199" s="20" t="str">
        <x:v>B18101</x:v>
      </x:c>
      <x:c r="B199" s="20" t="str">
        <x:v>NYC-V3-R02</x:v>
      </x:c>
      <x:c r="C199" s="20" t="str">
        <x:v>disability_18_64</x:v>
      </x:c>
      <x:c r="D199" s="39" t="n">
        <x:v>0</x:v>
      </x:c>
      <x:c r="E199" s="39" t="n">
        <x:v>0</x:v>
      </x:c>
      <x:c r="F199" s="20" t="str">
        <x:v>Exact</x:v>
      </x:c>
      <x:c r="G199" s="20" t="str">
        <x:v>Exact</x:v>
      </x:c>
    </x:row>
    <x:row r="200">
      <x:c r="A200" s="20" t="str">
        <x:v>B18101</x:v>
      </x:c>
      <x:c r="B200" s="20" t="str">
        <x:v>NYC-V3-R02</x:v>
      </x:c>
      <x:c r="C200" s="20" t="str">
        <x:v>disability_65_plus</x:v>
      </x:c>
      <x:c r="D200" s="39" t="n">
        <x:v>0</x:v>
      </x:c>
      <x:c r="E200" s="39" t="n">
        <x:v>0</x:v>
      </x:c>
      <x:c r="F200" s="20" t="str">
        <x:v>Exact</x:v>
      </x:c>
      <x:c r="G200" s="20" t="str">
        <x:v>Exact</x:v>
      </x:c>
    </x:row>
    <x:row r="201">
      <x:c r="A201" s="20" t="str">
        <x:v>B18101</x:v>
      </x:c>
      <x:c r="B201" s="20" t="str">
        <x:v>NYC-V3-R03</x:v>
      </x:c>
      <x:c r="C201" s="20" t="str">
        <x:v>civilian_noninstitutionalized</x:v>
      </x:c>
      <x:c r="D201" s="39" t="n">
        <x:v>0</x:v>
      </x:c>
      <x:c r="E201" s="39" t="n">
        <x:v>0</x:v>
      </x:c>
      <x:c r="F201" s="20" t="str">
        <x:v>Exact</x:v>
      </x:c>
      <x:c r="G201" s="20" t="str">
        <x:v>Exact</x:v>
      </x:c>
    </x:row>
    <x:row r="202">
      <x:c r="A202" s="20" t="str">
        <x:v>B18101</x:v>
      </x:c>
      <x:c r="B202" s="20" t="str">
        <x:v>NYC-V3-R03</x:v>
      </x:c>
      <x:c r="C202" s="20" t="str">
        <x:v>any_disability</x:v>
      </x:c>
      <x:c r="D202" s="39" t="n">
        <x:v>0</x:v>
      </x:c>
      <x:c r="E202" s="39" t="n">
        <x:v>0</x:v>
      </x:c>
      <x:c r="F202" s="20" t="str">
        <x:v>Exact</x:v>
      </x:c>
      <x:c r="G202" s="20" t="str">
        <x:v>Exact</x:v>
      </x:c>
    </x:row>
    <x:row r="203">
      <x:c r="A203" s="20" t="str">
        <x:v>B18101</x:v>
      </x:c>
      <x:c r="B203" s="20" t="str">
        <x:v>NYC-V3-R03</x:v>
      </x:c>
      <x:c r="C203" s="20" t="str">
        <x:v>disability_under_18</x:v>
      </x:c>
      <x:c r="D203" s="39" t="n">
        <x:v>0</x:v>
      </x:c>
      <x:c r="E203" s="39" t="n">
        <x:v>0</x:v>
      </x:c>
      <x:c r="F203" s="20" t="str">
        <x:v>Exact</x:v>
      </x:c>
      <x:c r="G203" s="20" t="str">
        <x:v>Exact</x:v>
      </x:c>
    </x:row>
    <x:row r="204">
      <x:c r="A204" s="20" t="str">
        <x:v>B18101</x:v>
      </x:c>
      <x:c r="B204" s="20" t="str">
        <x:v>NYC-V3-R03</x:v>
      </x:c>
      <x:c r="C204" s="20" t="str">
        <x:v>disability_18_64</x:v>
      </x:c>
      <x:c r="D204" s="39" t="n">
        <x:v>0</x:v>
      </x:c>
      <x:c r="E204" s="39" t="n">
        <x:v>0</x:v>
      </x:c>
      <x:c r="F204" s="20" t="str">
        <x:v>Exact</x:v>
      </x:c>
      <x:c r="G204" s="20" t="str">
        <x:v>Exact</x:v>
      </x:c>
    </x:row>
    <x:row r="205">
      <x:c r="A205" s="20" t="str">
        <x:v>B18101</x:v>
      </x:c>
      <x:c r="B205" s="20" t="str">
        <x:v>NYC-V3-R03</x:v>
      </x:c>
      <x:c r="C205" s="20" t="str">
        <x:v>disability_65_plus</x:v>
      </x:c>
      <x:c r="D205" s="39" t="n">
        <x:v>0</x:v>
      </x:c>
      <x:c r="E205" s="39" t="n">
        <x:v>0</x:v>
      </x:c>
      <x:c r="F205" s="20" t="str">
        <x:v>Exact</x:v>
      </x:c>
      <x:c r="G205" s="20" t="str">
        <x:v>Exact</x:v>
      </x:c>
    </x:row>
    <x:row r="206">
      <x:c r="A206" s="20" t="str">
        <x:v>B18101</x:v>
      </x:c>
      <x:c r="B206" s="20" t="str">
        <x:v>NYC-V3-R04</x:v>
      </x:c>
      <x:c r="C206" s="20" t="str">
        <x:v>civilian_noninstitutionalized</x:v>
      </x:c>
      <x:c r="D206" s="39" t="n">
        <x:v>0</x:v>
      </x:c>
      <x:c r="E206" s="39" t="n">
        <x:v>0</x:v>
      </x:c>
      <x:c r="F206" s="20" t="str">
        <x:v>Exact</x:v>
      </x:c>
      <x:c r="G206" s="20" t="str">
        <x:v>Exact</x:v>
      </x:c>
    </x:row>
    <x:row r="207">
      <x:c r="A207" s="20" t="str">
        <x:v>B18101</x:v>
      </x:c>
      <x:c r="B207" s="20" t="str">
        <x:v>NYC-V3-R04</x:v>
      </x:c>
      <x:c r="C207" s="20" t="str">
        <x:v>any_disability</x:v>
      </x:c>
      <x:c r="D207" s="39" t="n">
        <x:v>0</x:v>
      </x:c>
      <x:c r="E207" s="39" t="n">
        <x:v>0</x:v>
      </x:c>
      <x:c r="F207" s="20" t="str">
        <x:v>Exact</x:v>
      </x:c>
      <x:c r="G207" s="20" t="str">
        <x:v>Exact</x:v>
      </x:c>
    </x:row>
    <x:row r="208">
      <x:c r="A208" s="20" t="str">
        <x:v>B18101</x:v>
      </x:c>
      <x:c r="B208" s="20" t="str">
        <x:v>NYC-V3-R04</x:v>
      </x:c>
      <x:c r="C208" s="20" t="str">
        <x:v>disability_under_18</x:v>
      </x:c>
      <x:c r="D208" s="39" t="n">
        <x:v>0</x:v>
      </x:c>
      <x:c r="E208" s="39" t="n">
        <x:v>0</x:v>
      </x:c>
      <x:c r="F208" s="20" t="str">
        <x:v>Exact</x:v>
      </x:c>
      <x:c r="G208" s="20" t="str">
        <x:v>Exact</x:v>
      </x:c>
    </x:row>
    <x:row r="209">
      <x:c r="A209" s="20" t="str">
        <x:v>B18101</x:v>
      </x:c>
      <x:c r="B209" s="20" t="str">
        <x:v>NYC-V3-R04</x:v>
      </x:c>
      <x:c r="C209" s="20" t="str">
        <x:v>disability_18_64</x:v>
      </x:c>
      <x:c r="D209" s="39" t="n">
        <x:v>0</x:v>
      </x:c>
      <x:c r="E209" s="39" t="n">
        <x:v>0</x:v>
      </x:c>
      <x:c r="F209" s="20" t="str">
        <x:v>Exact</x:v>
      </x:c>
      <x:c r="G209" s="20" t="str">
        <x:v>Exact</x:v>
      </x:c>
    </x:row>
    <x:row r="210">
      <x:c r="A210" s="20" t="str">
        <x:v>B18101</x:v>
      </x:c>
      <x:c r="B210" s="20" t="str">
        <x:v>NYC-V3-R04</x:v>
      </x:c>
      <x:c r="C210" s="20" t="str">
        <x:v>disability_65_plus</x:v>
      </x:c>
      <x:c r="D210" s="39" t="n">
        <x:v>0</x:v>
      </x:c>
      <x:c r="E210" s="39" t="n">
        <x:v>0</x:v>
      </x:c>
      <x:c r="F210" s="20" t="str">
        <x:v>Exact</x:v>
      </x:c>
      <x:c r="G210" s="20" t="str">
        <x:v>Exact</x:v>
      </x:c>
    </x:row>
    <x:row r="211">
      <x:c r="A211" s="20" t="str">
        <x:v>B25002</x:v>
      </x:c>
      <x:c r="B211" s="20" t="str">
        <x:v>NYC-V1-R01</x:v>
      </x:c>
      <x:c r="C211" s="20" t="str">
        <x:v>housing_units</x:v>
      </x:c>
      <x:c r="D211" s="39" t="n">
        <x:v>0</x:v>
      </x:c>
      <x:c r="E211" s="39" t="n">
        <x:v>0</x:v>
      </x:c>
      <x:c r="F211" s="20" t="str">
        <x:v>Exact</x:v>
      </x:c>
      <x:c r="G211" s="20" t="str">
        <x:v>Exact</x:v>
      </x:c>
    </x:row>
    <x:row r="212">
      <x:c r="A212" s="20" t="str">
        <x:v>B25002</x:v>
      </x:c>
      <x:c r="B212" s="20" t="str">
        <x:v>NYC-V1-R01</x:v>
      </x:c>
      <x:c r="C212" s="20" t="str">
        <x:v>occupied_housing_units</x:v>
      </x:c>
      <x:c r="D212" s="39" t="n">
        <x:v>0</x:v>
      </x:c>
      <x:c r="E212" s="39" t="n">
        <x:v>0</x:v>
      </x:c>
      <x:c r="F212" s="20" t="str">
        <x:v>Exact</x:v>
      </x:c>
      <x:c r="G212" s="20" t="str">
        <x:v>Exact</x:v>
      </x:c>
    </x:row>
    <x:row r="213">
      <x:c r="A213" s="20" t="str">
        <x:v>B25002</x:v>
      </x:c>
      <x:c r="B213" s="20" t="str">
        <x:v>NYC-V1-R01</x:v>
      </x:c>
      <x:c r="C213" s="20" t="str">
        <x:v>vacant_housing_units</x:v>
      </x:c>
      <x:c r="D213" s="39" t="n">
        <x:v>0</x:v>
      </x:c>
      <x:c r="E213" s="39" t="n">
        <x:v>0</x:v>
      </x:c>
      <x:c r="F213" s="20" t="str">
        <x:v>Exact</x:v>
      </x:c>
      <x:c r="G213" s="20" t="str">
        <x:v>Exact</x:v>
      </x:c>
    </x:row>
    <x:row r="214">
      <x:c r="A214" s="20" t="str">
        <x:v>B25002</x:v>
      </x:c>
      <x:c r="B214" s="20" t="str">
        <x:v>NYC-V1-R02</x:v>
      </x:c>
      <x:c r="C214" s="20" t="str">
        <x:v>housing_units</x:v>
      </x:c>
      <x:c r="D214" s="39" t="n">
        <x:v>0</x:v>
      </x:c>
      <x:c r="E214" s="39" t="n">
        <x:v>0</x:v>
      </x:c>
      <x:c r="F214" s="20" t="str">
        <x:v>Exact</x:v>
      </x:c>
      <x:c r="G214" s="20" t="str">
        <x:v>Exact</x:v>
      </x:c>
    </x:row>
    <x:row r="215">
      <x:c r="A215" s="20" t="str">
        <x:v>B25002</x:v>
      </x:c>
      <x:c r="B215" s="20" t="str">
        <x:v>NYC-V1-R02</x:v>
      </x:c>
      <x:c r="C215" s="20" t="str">
        <x:v>occupied_housing_units</x:v>
      </x:c>
      <x:c r="D215" s="39" t="n">
        <x:v>0</x:v>
      </x:c>
      <x:c r="E215" s="39" t="n">
        <x:v>0</x:v>
      </x:c>
      <x:c r="F215" s="20" t="str">
        <x:v>Exact</x:v>
      </x:c>
      <x:c r="G215" s="20" t="str">
        <x:v>Exact</x:v>
      </x:c>
    </x:row>
    <x:row r="216">
      <x:c r="A216" s="20" t="str">
        <x:v>B25002</x:v>
      </x:c>
      <x:c r="B216" s="20" t="str">
        <x:v>NYC-V1-R02</x:v>
      </x:c>
      <x:c r="C216" s="20" t="str">
        <x:v>vacant_housing_units</x:v>
      </x:c>
      <x:c r="D216" s="39" t="n">
        <x:v>0</x:v>
      </x:c>
      <x:c r="E216" s="39" t="n">
        <x:v>0</x:v>
      </x:c>
      <x:c r="F216" s="20" t="str">
        <x:v>Exact</x:v>
      </x:c>
      <x:c r="G216" s="20" t="str">
        <x:v>Exact</x:v>
      </x:c>
    </x:row>
    <x:row r="217">
      <x:c r="A217" s="20" t="str">
        <x:v>B25002</x:v>
      </x:c>
      <x:c r="B217" s="20" t="str">
        <x:v>NYC-V1-R03</x:v>
      </x:c>
      <x:c r="C217" s="20" t="str">
        <x:v>housing_units</x:v>
      </x:c>
      <x:c r="D217" s="39" t="n">
        <x:v>0</x:v>
      </x:c>
      <x:c r="E217" s="39" t="n">
        <x:v>0</x:v>
      </x:c>
      <x:c r="F217" s="20" t="str">
        <x:v>Exact</x:v>
      </x:c>
      <x:c r="G217" s="20" t="str">
        <x:v>Exact</x:v>
      </x:c>
    </x:row>
    <x:row r="218">
      <x:c r="A218" s="20" t="str">
        <x:v>B25002</x:v>
      </x:c>
      <x:c r="B218" s="20" t="str">
        <x:v>NYC-V1-R03</x:v>
      </x:c>
      <x:c r="C218" s="20" t="str">
        <x:v>occupied_housing_units</x:v>
      </x:c>
      <x:c r="D218" s="39" t="n">
        <x:v>0</x:v>
      </x:c>
      <x:c r="E218" s="39" t="n">
        <x:v>0</x:v>
      </x:c>
      <x:c r="F218" s="20" t="str">
        <x:v>Exact</x:v>
      </x:c>
      <x:c r="G218" s="20" t="str">
        <x:v>Exact</x:v>
      </x:c>
    </x:row>
    <x:row r="219">
      <x:c r="A219" s="20" t="str">
        <x:v>B25002</x:v>
      </x:c>
      <x:c r="B219" s="20" t="str">
        <x:v>NYC-V1-R03</x:v>
      </x:c>
      <x:c r="C219" s="20" t="str">
        <x:v>vacant_housing_units</x:v>
      </x:c>
      <x:c r="D219" s="39" t="n">
        <x:v>0</x:v>
      </x:c>
      <x:c r="E219" s="39" t="n">
        <x:v>0</x:v>
      </x:c>
      <x:c r="F219" s="20" t="str">
        <x:v>Exact</x:v>
      </x:c>
      <x:c r="G219" s="20" t="str">
        <x:v>Exact</x:v>
      </x:c>
    </x:row>
    <x:row r="220">
      <x:c r="A220" s="20" t="str">
        <x:v>B25002</x:v>
      </x:c>
      <x:c r="B220" s="20" t="str">
        <x:v>NYC-V1-R04</x:v>
      </x:c>
      <x:c r="C220" s="20" t="str">
        <x:v>housing_units</x:v>
      </x:c>
      <x:c r="D220" s="39" t="n">
        <x:v>0</x:v>
      </x:c>
      <x:c r="E220" s="39" t="n">
        <x:v>0</x:v>
      </x:c>
      <x:c r="F220" s="20" t="str">
        <x:v>Exact</x:v>
      </x:c>
      <x:c r="G220" s="20" t="str">
        <x:v>Exact</x:v>
      </x:c>
    </x:row>
    <x:row r="221">
      <x:c r="A221" s="20" t="str">
        <x:v>B25002</x:v>
      </x:c>
      <x:c r="B221" s="20" t="str">
        <x:v>NYC-V1-R04</x:v>
      </x:c>
      <x:c r="C221" s="20" t="str">
        <x:v>occupied_housing_units</x:v>
      </x:c>
      <x:c r="D221" s="39" t="n">
        <x:v>0</x:v>
      </x:c>
      <x:c r="E221" s="39" t="n">
        <x:v>0</x:v>
      </x:c>
      <x:c r="F221" s="20" t="str">
        <x:v>Exact</x:v>
      </x:c>
      <x:c r="G221" s="20" t="str">
        <x:v>Exact</x:v>
      </x:c>
    </x:row>
    <x:row r="222">
      <x:c r="A222" s="20" t="str">
        <x:v>B25002</x:v>
      </x:c>
      <x:c r="B222" s="20" t="str">
        <x:v>NYC-V1-R04</x:v>
      </x:c>
      <x:c r="C222" s="20" t="str">
        <x:v>vacant_housing_units</x:v>
      </x:c>
      <x:c r="D222" s="39" t="n">
        <x:v>0</x:v>
      </x:c>
      <x:c r="E222" s="39" t="n">
        <x:v>-2.842170943040401e-14</x:v>
      </x:c>
      <x:c r="F222" s="20" t="str">
        <x:v>Exact</x:v>
      </x:c>
      <x:c r="G222" s="20" t="str">
        <x:v>Exact</x:v>
      </x:c>
    </x:row>
    <x:row r="223">
      <x:c r="A223" s="20" t="str">
        <x:v>B25002</x:v>
      </x:c>
      <x:c r="B223" s="20" t="str">
        <x:v>NYC-V2-R01</x:v>
      </x:c>
      <x:c r="C223" s="20" t="str">
        <x:v>housing_units</x:v>
      </x:c>
      <x:c r="D223" s="39" t="n">
        <x:v>0</x:v>
      </x:c>
      <x:c r="E223" s="39" t="n">
        <x:v>5.684341886080802e-14</x:v>
      </x:c>
      <x:c r="F223" s="20" t="str">
        <x:v>Exact</x:v>
      </x:c>
      <x:c r="G223" s="20" t="str">
        <x:v>Exact</x:v>
      </x:c>
    </x:row>
    <x:row r="224">
      <x:c r="A224" s="20" t="str">
        <x:v>B25002</x:v>
      </x:c>
      <x:c r="B224" s="20" t="str">
        <x:v>NYC-V2-R01</x:v>
      </x:c>
      <x:c r="C224" s="20" t="str">
        <x:v>occupied_housing_units</x:v>
      </x:c>
      <x:c r="D224" s="39" t="n">
        <x:v>0</x:v>
      </x:c>
      <x:c r="E224" s="39" t="n">
        <x:v>5.684341886080802e-14</x:v>
      </x:c>
      <x:c r="F224" s="20" t="str">
        <x:v>Exact</x:v>
      </x:c>
      <x:c r="G224" s="20" t="str">
        <x:v>Exact</x:v>
      </x:c>
    </x:row>
    <x:row r="225">
      <x:c r="A225" s="20" t="str">
        <x:v>B25002</x:v>
      </x:c>
      <x:c r="B225" s="20" t="str">
        <x:v>NYC-V2-R01</x:v>
      </x:c>
      <x:c r="C225" s="20" t="str">
        <x:v>vacant_housing_units</x:v>
      </x:c>
      <x:c r="D225" s="39" t="n">
        <x:v>0</x:v>
      </x:c>
      <x:c r="E225" s="39" t="n">
        <x:v>-7.105427357601002e-15</x:v>
      </x:c>
      <x:c r="F225" s="20" t="str">
        <x:v>Exact</x:v>
      </x:c>
      <x:c r="G225" s="20" t="str">
        <x:v>Exact</x:v>
      </x:c>
    </x:row>
    <x:row r="226">
      <x:c r="A226" s="20" t="str">
        <x:v>B25002</x:v>
      </x:c>
      <x:c r="B226" s="20" t="str">
        <x:v>NYC-V2-R02</x:v>
      </x:c>
      <x:c r="C226" s="20" t="str">
        <x:v>housing_units</x:v>
      </x:c>
      <x:c r="D226" s="39" t="n">
        <x:v>0</x:v>
      </x:c>
      <x:c r="E226" s="39" t="n">
        <x:v>0</x:v>
      </x:c>
      <x:c r="F226" s="20" t="str">
        <x:v>Exact</x:v>
      </x:c>
      <x:c r="G226" s="20" t="str">
        <x:v>Exact</x:v>
      </x:c>
    </x:row>
    <x:row r="227">
      <x:c r="A227" s="20" t="str">
        <x:v>B25002</x:v>
      </x:c>
      <x:c r="B227" s="20" t="str">
        <x:v>NYC-V2-R02</x:v>
      </x:c>
      <x:c r="C227" s="20" t="str">
        <x:v>occupied_housing_units</x:v>
      </x:c>
      <x:c r="D227" s="39" t="n">
        <x:v>0</x:v>
      </x:c>
      <x:c r="E227" s="39" t="n">
        <x:v>0</x:v>
      </x:c>
      <x:c r="F227" s="20" t="str">
        <x:v>Exact</x:v>
      </x:c>
      <x:c r="G227" s="20" t="str">
        <x:v>Exact</x:v>
      </x:c>
    </x:row>
    <x:row r="228">
      <x:c r="A228" s="20" t="str">
        <x:v>B25002</x:v>
      </x:c>
      <x:c r="B228" s="20" t="str">
        <x:v>NYC-V2-R02</x:v>
      </x:c>
      <x:c r="C228" s="20" t="str">
        <x:v>vacant_housing_units</x:v>
      </x:c>
      <x:c r="D228" s="39" t="n">
        <x:v>0</x:v>
      </x:c>
      <x:c r="E228" s="39" t="n">
        <x:v>2.842170943040401e-14</x:v>
      </x:c>
      <x:c r="F228" s="20" t="str">
        <x:v>Exact</x:v>
      </x:c>
      <x:c r="G228" s="20" t="str">
        <x:v>Exact</x:v>
      </x:c>
    </x:row>
    <x:row r="229">
      <x:c r="A229" s="20" t="str">
        <x:v>B25002</x:v>
      </x:c>
      <x:c r="B229" s="20" t="str">
        <x:v>NYC-V2-R03</x:v>
      </x:c>
      <x:c r="C229" s="20" t="str">
        <x:v>housing_units</x:v>
      </x:c>
      <x:c r="D229" s="39" t="n">
        <x:v>0</x:v>
      </x:c>
      <x:c r="E229" s="39" t="n">
        <x:v>0</x:v>
      </x:c>
      <x:c r="F229" s="20" t="str">
        <x:v>Exact</x:v>
      </x:c>
      <x:c r="G229" s="20" t="str">
        <x:v>Exact</x:v>
      </x:c>
    </x:row>
    <x:row r="230">
      <x:c r="A230" s="20" t="str">
        <x:v>B25002</x:v>
      </x:c>
      <x:c r="B230" s="20" t="str">
        <x:v>NYC-V2-R03</x:v>
      </x:c>
      <x:c r="C230" s="20" t="str">
        <x:v>occupied_housing_units</x:v>
      </x:c>
      <x:c r="D230" s="39" t="n">
        <x:v>0</x:v>
      </x:c>
      <x:c r="E230" s="39" t="n">
        <x:v>0</x:v>
      </x:c>
      <x:c r="F230" s="20" t="str">
        <x:v>Exact</x:v>
      </x:c>
      <x:c r="G230" s="20" t="str">
        <x:v>Exact</x:v>
      </x:c>
    </x:row>
    <x:row r="231">
      <x:c r="A231" s="20" t="str">
        <x:v>B25002</x:v>
      </x:c>
      <x:c r="B231" s="20" t="str">
        <x:v>NYC-V2-R03</x:v>
      </x:c>
      <x:c r="C231" s="20" t="str">
        <x:v>vacant_housing_units</x:v>
      </x:c>
      <x:c r="D231" s="39" t="n">
        <x:v>0</x:v>
      </x:c>
      <x:c r="E231" s="39" t="n">
        <x:v>0</x:v>
      </x:c>
      <x:c r="F231" s="20" t="str">
        <x:v>Exact</x:v>
      </x:c>
      <x:c r="G231" s="20" t="str">
        <x:v>Exact</x:v>
      </x:c>
    </x:row>
    <x:row r="232">
      <x:c r="A232" s="20" t="str">
        <x:v>B25002</x:v>
      </x:c>
      <x:c r="B232" s="20" t="str">
        <x:v>NYC-V2-R04</x:v>
      </x:c>
      <x:c r="C232" s="20" t="str">
        <x:v>housing_units</x:v>
      </x:c>
      <x:c r="D232" s="39" t="n">
        <x:v>0</x:v>
      </x:c>
      <x:c r="E232" s="39" t="n">
        <x:v>0</x:v>
      </x:c>
      <x:c r="F232" s="20" t="str">
        <x:v>Exact</x:v>
      </x:c>
      <x:c r="G232" s="20" t="str">
        <x:v>Exact</x:v>
      </x:c>
    </x:row>
    <x:row r="233">
      <x:c r="A233" s="20" t="str">
        <x:v>B25002</x:v>
      </x:c>
      <x:c r="B233" s="20" t="str">
        <x:v>NYC-V2-R04</x:v>
      </x:c>
      <x:c r="C233" s="20" t="str">
        <x:v>occupied_housing_units</x:v>
      </x:c>
      <x:c r="D233" s="39" t="n">
        <x:v>0</x:v>
      </x:c>
      <x:c r="E233" s="39" t="n">
        <x:v>0</x:v>
      </x:c>
      <x:c r="F233" s="20" t="str">
        <x:v>Exact</x:v>
      </x:c>
      <x:c r="G233" s="20" t="str">
        <x:v>Exact</x:v>
      </x:c>
    </x:row>
    <x:row r="234">
      <x:c r="A234" s="20" t="str">
        <x:v>B25002</x:v>
      </x:c>
      <x:c r="B234" s="20" t="str">
        <x:v>NYC-V2-R04</x:v>
      </x:c>
      <x:c r="C234" s="20" t="str">
        <x:v>vacant_housing_units</x:v>
      </x:c>
      <x:c r="D234" s="39" t="n">
        <x:v>0</x:v>
      </x:c>
      <x:c r="E234" s="39" t="n">
        <x:v>0</x:v>
      </x:c>
      <x:c r="F234" s="20" t="str">
        <x:v>Exact</x:v>
      </x:c>
      <x:c r="G234" s="20" t="str">
        <x:v>Exact</x:v>
      </x:c>
    </x:row>
    <x:row r="235">
      <x:c r="A235" s="20" t="str">
        <x:v>B25002</x:v>
      </x:c>
      <x:c r="B235" s="20" t="str">
        <x:v>NYC-V3-R01</x:v>
      </x:c>
      <x:c r="C235" s="20" t="str">
        <x:v>housing_units</x:v>
      </x:c>
      <x:c r="D235" s="39" t="n">
        <x:v>0</x:v>
      </x:c>
      <x:c r="E235" s="39" t="n">
        <x:v>0</x:v>
      </x:c>
      <x:c r="F235" s="20" t="str">
        <x:v>Exact</x:v>
      </x:c>
      <x:c r="G235" s="20" t="str">
        <x:v>Exact</x:v>
      </x:c>
    </x:row>
    <x:row r="236">
      <x:c r="A236" s="20" t="str">
        <x:v>B25002</x:v>
      </x:c>
      <x:c r="B236" s="20" t="str">
        <x:v>NYC-V3-R01</x:v>
      </x:c>
      <x:c r="C236" s="20" t="str">
        <x:v>occupied_housing_units</x:v>
      </x:c>
      <x:c r="D236" s="39" t="n">
        <x:v>0</x:v>
      </x:c>
      <x:c r="E236" s="39" t="n">
        <x:v>5.684341886080802e-14</x:v>
      </x:c>
      <x:c r="F236" s="20" t="str">
        <x:v>Exact</x:v>
      </x:c>
      <x:c r="G236" s="20" t="str">
        <x:v>Exact</x:v>
      </x:c>
    </x:row>
    <x:row r="237">
      <x:c r="A237" s="20" t="str">
        <x:v>B25002</x:v>
      </x:c>
      <x:c r="B237" s="20" t="str">
        <x:v>NYC-V3-R01</x:v>
      </x:c>
      <x:c r="C237" s="20" t="str">
        <x:v>vacant_housing_units</x:v>
      </x:c>
      <x:c r="D237" s="39" t="n">
        <x:v>0</x:v>
      </x:c>
      <x:c r="E237" s="39" t="n">
        <x:v>0</x:v>
      </x:c>
      <x:c r="F237" s="20" t="str">
        <x:v>Exact</x:v>
      </x:c>
      <x:c r="G237" s="20" t="str">
        <x:v>Exact</x:v>
      </x:c>
    </x:row>
    <x:row r="238">
      <x:c r="A238" s="20" t="str">
        <x:v>B25002</x:v>
      </x:c>
      <x:c r="B238" s="20" t="str">
        <x:v>NYC-V3-R02</x:v>
      </x:c>
      <x:c r="C238" s="20" t="str">
        <x:v>housing_units</x:v>
      </x:c>
      <x:c r="D238" s="39" t="n">
        <x:v>0</x:v>
      </x:c>
      <x:c r="E238" s="39" t="n">
        <x:v>5.684341886080802e-14</x:v>
      </x:c>
      <x:c r="F238" s="20" t="str">
        <x:v>Exact</x:v>
      </x:c>
      <x:c r="G238" s="20" t="str">
        <x:v>Exact</x:v>
      </x:c>
    </x:row>
    <x:row r="239">
      <x:c r="A239" s="20" t="str">
        <x:v>B25002</x:v>
      </x:c>
      <x:c r="B239" s="20" t="str">
        <x:v>NYC-V3-R02</x:v>
      </x:c>
      <x:c r="C239" s="20" t="str">
        <x:v>occupied_housing_units</x:v>
      </x:c>
      <x:c r="D239" s="39" t="n">
        <x:v>0</x:v>
      </x:c>
      <x:c r="E239" s="39" t="n">
        <x:v>0</x:v>
      </x:c>
      <x:c r="F239" s="20" t="str">
        <x:v>Exact</x:v>
      </x:c>
      <x:c r="G239" s="20" t="str">
        <x:v>Exact</x:v>
      </x:c>
    </x:row>
    <x:row r="240">
      <x:c r="A240" s="20" t="str">
        <x:v>B25002</x:v>
      </x:c>
      <x:c r="B240" s="20" t="str">
        <x:v>NYC-V3-R02</x:v>
      </x:c>
      <x:c r="C240" s="20" t="str">
        <x:v>vacant_housing_units</x:v>
      </x:c>
      <x:c r="D240" s="39" t="n">
        <x:v>0</x:v>
      </x:c>
      <x:c r="E240" s="39" t="n">
        <x:v>0</x:v>
      </x:c>
      <x:c r="F240" s="20" t="str">
        <x:v>Exact</x:v>
      </x:c>
      <x:c r="G240" s="20" t="str">
        <x:v>Exact</x:v>
      </x:c>
    </x:row>
    <x:row r="241">
      <x:c r="A241" s="20" t="str">
        <x:v>B25002</x:v>
      </x:c>
      <x:c r="B241" s="20" t="str">
        <x:v>NYC-V3-R03</x:v>
      </x:c>
      <x:c r="C241" s="20" t="str">
        <x:v>housing_units</x:v>
      </x:c>
      <x:c r="D241" s="39" t="n">
        <x:v>0</x:v>
      </x:c>
      <x:c r="E241" s="39" t="n">
        <x:v>0</x:v>
      </x:c>
      <x:c r="F241" s="20" t="str">
        <x:v>Exact</x:v>
      </x:c>
      <x:c r="G241" s="20" t="str">
        <x:v>Exact</x:v>
      </x:c>
    </x:row>
    <x:row r="242">
      <x:c r="A242" s="20" t="str">
        <x:v>B25002</x:v>
      </x:c>
      <x:c r="B242" s="20" t="str">
        <x:v>NYC-V3-R03</x:v>
      </x:c>
      <x:c r="C242" s="20" t="str">
        <x:v>occupied_housing_units</x:v>
      </x:c>
      <x:c r="D242" s="39" t="n">
        <x:v>0</x:v>
      </x:c>
      <x:c r="E242" s="39" t="n">
        <x:v>-5.684341886080802e-14</x:v>
      </x:c>
      <x:c r="F242" s="20" t="str">
        <x:v>Exact</x:v>
      </x:c>
      <x:c r="G242" s="20" t="str">
        <x:v>Exact</x:v>
      </x:c>
    </x:row>
    <x:row r="243">
      <x:c r="A243" s="20" t="str">
        <x:v>B25002</x:v>
      </x:c>
      <x:c r="B243" s="20" t="str">
        <x:v>NYC-V3-R03</x:v>
      </x:c>
      <x:c r="C243" s="20" t="str">
        <x:v>vacant_housing_units</x:v>
      </x:c>
      <x:c r="D243" s="39" t="n">
        <x:v>0</x:v>
      </x:c>
      <x:c r="E243" s="39" t="n">
        <x:v>0</x:v>
      </x:c>
      <x:c r="F243" s="20" t="str">
        <x:v>Exact</x:v>
      </x:c>
      <x:c r="G243" s="20" t="str">
        <x:v>Exact</x:v>
      </x:c>
    </x:row>
    <x:row r="244">
      <x:c r="A244" s="20" t="str">
        <x:v>B25002</x:v>
      </x:c>
      <x:c r="B244" s="20" t="str">
        <x:v>NYC-V3-R04</x:v>
      </x:c>
      <x:c r="C244" s="20" t="str">
        <x:v>housing_units</x:v>
      </x:c>
      <x:c r="D244" s="39" t="n">
        <x:v>0</x:v>
      </x:c>
      <x:c r="E244" s="39" t="n">
        <x:v>0</x:v>
      </x:c>
      <x:c r="F244" s="20" t="str">
        <x:v>Exact</x:v>
      </x:c>
      <x:c r="G244" s="20" t="str">
        <x:v>Exact</x:v>
      </x:c>
    </x:row>
    <x:row r="245">
      <x:c r="A245" s="20" t="str">
        <x:v>B25002</x:v>
      </x:c>
      <x:c r="B245" s="20" t="str">
        <x:v>NYC-V3-R04</x:v>
      </x:c>
      <x:c r="C245" s="20" t="str">
        <x:v>occupied_housing_units</x:v>
      </x:c>
      <x:c r="D245" s="39" t="n">
        <x:v>0</x:v>
      </x:c>
      <x:c r="E245" s="39" t="n">
        <x:v>0</x:v>
      </x:c>
      <x:c r="F245" s="20" t="str">
        <x:v>Exact</x:v>
      </x:c>
      <x:c r="G245" s="20" t="str">
        <x:v>Exact</x:v>
      </x:c>
    </x:row>
    <x:row r="246">
      <x:c r="A246" s="20" t="str">
        <x:v>B25002</x:v>
      </x:c>
      <x:c r="B246" s="20" t="str">
        <x:v>NYC-V3-R04</x:v>
      </x:c>
      <x:c r="C246" s="20" t="str">
        <x:v>vacant_housing_units</x:v>
      </x:c>
      <x:c r="D246" s="39" t="n">
        <x:v>0</x:v>
      </x:c>
      <x:c r="E246" s="39" t="n">
        <x:v>0</x:v>
      </x:c>
      <x:c r="F246" s="20" t="str">
        <x:v>Exact</x:v>
      </x:c>
      <x:c r="G246" s="20" t="str">
        <x:v>Exact</x:v>
      </x:c>
    </x:row>
    <x:row r="247">
      <x:c r="A247" s="20" t="str">
        <x:v>B25040</x:v>
      </x:c>
      <x:c r="B247" s="20" t="str">
        <x:v>NYC-V1-R01</x:v>
      </x:c>
      <x:c r="C247" s="20" t="str">
        <x:v>electric_heat_households</x:v>
      </x:c>
      <x:c r="D247" s="39" t="n">
        <x:v>0</x:v>
      </x:c>
      <x:c r="E247" s="39" t="n">
        <x:v>0</x:v>
      </x:c>
      <x:c r="F247" s="20" t="str">
        <x:v>Exact</x:v>
      </x:c>
      <x:c r="G247" s="20" t="str">
        <x:v>Exact</x:v>
      </x:c>
    </x:row>
    <x:row r="248">
      <x:c r="A248" s="20" t="str">
        <x:v>B25040</x:v>
      </x:c>
      <x:c r="B248" s="20" t="str">
        <x:v>NYC-V1-R02</x:v>
      </x:c>
      <x:c r="C248" s="20" t="str">
        <x:v>electric_heat_households</x:v>
      </x:c>
      <x:c r="D248" s="39" t="n">
        <x:v>0</x:v>
      </x:c>
      <x:c r="E248" s="39" t="n">
        <x:v>0</x:v>
      </x:c>
      <x:c r="F248" s="20" t="str">
        <x:v>Exact</x:v>
      </x:c>
      <x:c r="G248" s="20" t="str">
        <x:v>Exact</x:v>
      </x:c>
    </x:row>
    <x:row r="249">
      <x:c r="A249" s="20" t="str">
        <x:v>B25040</x:v>
      </x:c>
      <x:c r="B249" s="20" t="str">
        <x:v>NYC-V1-R03</x:v>
      </x:c>
      <x:c r="C249" s="20" t="str">
        <x:v>electric_heat_households</x:v>
      </x:c>
      <x:c r="D249" s="39" t="n">
        <x:v>0</x:v>
      </x:c>
      <x:c r="E249" s="39" t="n">
        <x:v>0</x:v>
      </x:c>
      <x:c r="F249" s="20" t="str">
        <x:v>Exact</x:v>
      </x:c>
      <x:c r="G249" s="20" t="str">
        <x:v>Exact</x:v>
      </x:c>
    </x:row>
    <x:row r="250">
      <x:c r="A250" s="20" t="str">
        <x:v>B25040</x:v>
      </x:c>
      <x:c r="B250" s="20" t="str">
        <x:v>NYC-V1-R04</x:v>
      </x:c>
      <x:c r="C250" s="20" t="str">
        <x:v>electric_heat_households</x:v>
      </x:c>
      <x:c r="D250" s="39" t="n">
        <x:v>0</x:v>
      </x:c>
      <x:c r="E250" s="39" t="n">
        <x:v>0</x:v>
      </x:c>
      <x:c r="F250" s="20" t="str">
        <x:v>Exact</x:v>
      </x:c>
      <x:c r="G250" s="20" t="str">
        <x:v>Exact</x:v>
      </x:c>
    </x:row>
    <x:row r="251">
      <x:c r="A251" s="20" t="str">
        <x:v>B25040</x:v>
      </x:c>
      <x:c r="B251" s="20" t="str">
        <x:v>NYC-V2-R01</x:v>
      </x:c>
      <x:c r="C251" s="20" t="str">
        <x:v>electric_heat_households</x:v>
      </x:c>
      <x:c r="D251" s="39" t="n">
        <x:v>0</x:v>
      </x:c>
      <x:c r="E251" s="39" t="n">
        <x:v>0</x:v>
      </x:c>
      <x:c r="F251" s="20" t="str">
        <x:v>Exact</x:v>
      </x:c>
      <x:c r="G251" s="20" t="str">
        <x:v>Exact</x:v>
      </x:c>
    </x:row>
    <x:row r="252">
      <x:c r="A252" s="20" t="str">
        <x:v>B25040</x:v>
      </x:c>
      <x:c r="B252" s="20" t="str">
        <x:v>NYC-V2-R02</x:v>
      </x:c>
      <x:c r="C252" s="20" t="str">
        <x:v>electric_heat_households</x:v>
      </x:c>
      <x:c r="D252" s="39" t="n">
        <x:v>0</x:v>
      </x:c>
      <x:c r="E252" s="39" t="n">
        <x:v>0</x:v>
      </x:c>
      <x:c r="F252" s="20" t="str">
        <x:v>Exact</x:v>
      </x:c>
      <x:c r="G252" s="20" t="str">
        <x:v>Exact</x:v>
      </x:c>
    </x:row>
    <x:row r="253">
      <x:c r="A253" s="20" t="str">
        <x:v>B25040</x:v>
      </x:c>
      <x:c r="B253" s="20" t="str">
        <x:v>NYC-V2-R03</x:v>
      </x:c>
      <x:c r="C253" s="20" t="str">
        <x:v>electric_heat_households</x:v>
      </x:c>
      <x:c r="D253" s="39" t="n">
        <x:v>0</x:v>
      </x:c>
      <x:c r="E253" s="39" t="n">
        <x:v>0</x:v>
      </x:c>
      <x:c r="F253" s="20" t="str">
        <x:v>Exact</x:v>
      </x:c>
      <x:c r="G253" s="20" t="str">
        <x:v>Exact</x:v>
      </x:c>
    </x:row>
    <x:row r="254">
      <x:c r="A254" s="20" t="str">
        <x:v>B25040</x:v>
      </x:c>
      <x:c r="B254" s="20" t="str">
        <x:v>NYC-V2-R04</x:v>
      </x:c>
      <x:c r="C254" s="20" t="str">
        <x:v>electric_heat_households</x:v>
      </x:c>
      <x:c r="D254" s="39" t="n">
        <x:v>0</x:v>
      </x:c>
      <x:c r="E254" s="39" t="n">
        <x:v>0</x:v>
      </x:c>
      <x:c r="F254" s="20" t="str">
        <x:v>Exact</x:v>
      </x:c>
      <x:c r="G254" s="20" t="str">
        <x:v>Exact</x:v>
      </x:c>
    </x:row>
    <x:row r="255">
      <x:c r="A255" s="20" t="str">
        <x:v>B25040</x:v>
      </x:c>
      <x:c r="B255" s="20" t="str">
        <x:v>NYC-V3-R01</x:v>
      </x:c>
      <x:c r="C255" s="20" t="str">
        <x:v>electric_heat_households</x:v>
      </x:c>
      <x:c r="D255" s="39" t="n">
        <x:v>0</x:v>
      </x:c>
      <x:c r="E255" s="39" t="n">
        <x:v>0</x:v>
      </x:c>
      <x:c r="F255" s="20" t="str">
        <x:v>Exact</x:v>
      </x:c>
      <x:c r="G255" s="20" t="str">
        <x:v>Exact</x:v>
      </x:c>
    </x:row>
    <x:row r="256">
      <x:c r="A256" s="20" t="str">
        <x:v>B25040</x:v>
      </x:c>
      <x:c r="B256" s="20" t="str">
        <x:v>NYC-V3-R02</x:v>
      </x:c>
      <x:c r="C256" s="20" t="str">
        <x:v>electric_heat_households</x:v>
      </x:c>
      <x:c r="D256" s="39" t="n">
        <x:v>0</x:v>
      </x:c>
      <x:c r="E256" s="39" t="n">
        <x:v>0</x:v>
      </x:c>
      <x:c r="F256" s="20" t="str">
        <x:v>Exact</x:v>
      </x:c>
      <x:c r="G256" s="20" t="str">
        <x:v>Exact</x:v>
      </x:c>
    </x:row>
    <x:row r="257">
      <x:c r="A257" s="20" t="str">
        <x:v>B25040</x:v>
      </x:c>
      <x:c r="B257" s="20" t="str">
        <x:v>NYC-V3-R03</x:v>
      </x:c>
      <x:c r="C257" s="20" t="str">
        <x:v>electric_heat_households</x:v>
      </x:c>
      <x:c r="D257" s="39" t="n">
        <x:v>0</x:v>
      </x:c>
      <x:c r="E257" s="39" t="n">
        <x:v>0</x:v>
      </x:c>
      <x:c r="F257" s="20" t="str">
        <x:v>Exact</x:v>
      </x:c>
      <x:c r="G257" s="20" t="str">
        <x:v>Exact</x:v>
      </x:c>
    </x:row>
    <x:row r="258">
      <x:c r="A258" s="20" t="str">
        <x:v>B25040</x:v>
      </x:c>
      <x:c r="B258" s="20" t="str">
        <x:v>NYC-V3-R04</x:v>
      </x:c>
      <x:c r="C258" s="20" t="str">
        <x:v>electric_heat_households</x:v>
      </x:c>
      <x:c r="D258" s="39" t="n">
        <x:v>0</x:v>
      </x:c>
      <x:c r="E258" s="39" t="n">
        <x:v>0</x:v>
      </x:c>
      <x:c r="F258" s="20" t="str">
        <x:v>Exact</x:v>
      </x:c>
      <x:c r="G258" s="20" t="str">
        <x:v>Exact</x:v>
      </x:c>
    </x:row>
    <x:row r="259">
      <x:c r="A259" s="20" t="str">
        <x:v>B26001</x:v>
      </x:c>
      <x:c r="B259" s="20" t="str">
        <x:v>NYC-V1-R01</x:v>
      </x:c>
      <x:c r="C259" s="20" t="str">
        <x:v>group_quarters_population</x:v>
      </x:c>
      <x:c r="D259" s="39" t="n">
        <x:v>0</x:v>
      </x:c>
      <x:c r="E259" s="39" t="n">
        <x:v>8.881784197001252e-16</x:v>
      </x:c>
      <x:c r="F259" s="20" t="str">
        <x:v>Exact</x:v>
      </x:c>
      <x:c r="G259" s="20" t="str">
        <x:v>Exact</x:v>
      </x:c>
    </x:row>
    <x:row r="260">
      <x:c r="A260" s="20" t="str">
        <x:v>B26001</x:v>
      </x:c>
      <x:c r="B260" s="20" t="str">
        <x:v>NYC-V1-R02</x:v>
      </x:c>
      <x:c r="C260" s="20" t="str">
        <x:v>group_quarters_population</x:v>
      </x:c>
      <x:c r="D260" s="39" t="n">
        <x:v>0</x:v>
      </x:c>
      <x:c r="E260" s="39" t="n">
        <x:v>0</x:v>
      </x:c>
      <x:c r="F260" s="20" t="str">
        <x:v>Exact</x:v>
      </x:c>
      <x:c r="G260" s="20" t="str">
        <x:v>Exact</x:v>
      </x:c>
    </x:row>
    <x:row r="261">
      <x:c r="A261" s="20" t="str">
        <x:v>B26001</x:v>
      </x:c>
      <x:c r="B261" s="20" t="str">
        <x:v>NYC-V1-R03</x:v>
      </x:c>
      <x:c r="C261" s="20" t="str">
        <x:v>group_quarters_population</x:v>
      </x:c>
      <x:c r="D261" s="39" t="n">
        <x:v>0</x:v>
      </x:c>
      <x:c r="E261" s="39" t="n">
        <x:v>1.7763568394002505e-15</x:v>
      </x:c>
      <x:c r="F261" s="20" t="str">
        <x:v>Exact</x:v>
      </x:c>
      <x:c r="G261" s="20" t="str">
        <x:v>Exact</x:v>
      </x:c>
    </x:row>
    <x:row r="262">
      <x:c r="A262" s="20" t="str">
        <x:v>B26001</x:v>
      </x:c>
      <x:c r="B262" s="20" t="str">
        <x:v>NYC-V1-R04</x:v>
      </x:c>
      <x:c r="C262" s="20" t="str">
        <x:v>group_quarters_population</x:v>
      </x:c>
      <x:c r="D262" s="39" t="n">
        <x:v>0</x:v>
      </x:c>
      <x:c r="E262" s="39" t="n">
        <x:v>0</x:v>
      </x:c>
      <x:c r="F262" s="20" t="str">
        <x:v>Exact</x:v>
      </x:c>
      <x:c r="G262" s="20" t="str">
        <x:v>Exact</x:v>
      </x:c>
    </x:row>
    <x:row r="263">
      <x:c r="A263" s="20" t="str">
        <x:v>B26001</x:v>
      </x:c>
      <x:c r="B263" s="20" t="str">
        <x:v>NYC-V2-R01</x:v>
      </x:c>
      <x:c r="C263" s="20" t="str">
        <x:v>group_quarters_population</x:v>
      </x:c>
      <x:c r="D263" s="39" t="n">
        <x:v>0</x:v>
      </x:c>
      <x:c r="E263" s="39" t="n">
        <x:v>0</x:v>
      </x:c>
      <x:c r="F263" s="20" t="str">
        <x:v>Exact</x:v>
      </x:c>
      <x:c r="G263" s="20" t="str">
        <x:v>Exact</x:v>
      </x:c>
    </x:row>
    <x:row r="264">
      <x:c r="A264" s="20" t="str">
        <x:v>B26001</x:v>
      </x:c>
      <x:c r="B264" s="20" t="str">
        <x:v>NYC-V2-R02</x:v>
      </x:c>
      <x:c r="C264" s="20" t="str">
        <x:v>group_quarters_population</x:v>
      </x:c>
      <x:c r="D264" s="39" t="n">
        <x:v>0</x:v>
      </x:c>
      <x:c r="E264" s="39" t="n">
        <x:v>0</x:v>
      </x:c>
      <x:c r="F264" s="20" t="str">
        <x:v>Exact</x:v>
      </x:c>
      <x:c r="G264" s="20" t="str">
        <x:v>Exact</x:v>
      </x:c>
    </x:row>
    <x:row r="265">
      <x:c r="A265" s="20" t="str">
        <x:v>B26001</x:v>
      </x:c>
      <x:c r="B265" s="20" t="str">
        <x:v>NYC-V2-R03</x:v>
      </x:c>
      <x:c r="C265" s="20" t="str">
        <x:v>group_quarters_population</x:v>
      </x:c>
      <x:c r="D265" s="39" t="n">
        <x:v>0</x:v>
      </x:c>
      <x:c r="E265" s="39" t="n">
        <x:v>1.7763568394002505e-15</x:v>
      </x:c>
      <x:c r="F265" s="20" t="str">
        <x:v>Exact</x:v>
      </x:c>
      <x:c r="G265" s="20" t="str">
        <x:v>Exact</x:v>
      </x:c>
    </x:row>
    <x:row r="266">
      <x:c r="A266" s="20" t="str">
        <x:v>B26001</x:v>
      </x:c>
      <x:c r="B266" s="20" t="str">
        <x:v>NYC-V2-R04</x:v>
      </x:c>
      <x:c r="C266" s="20" t="str">
        <x:v>group_quarters_population</x:v>
      </x:c>
      <x:c r="D266" s="39" t="n">
        <x:v>0</x:v>
      </x:c>
      <x:c r="E266" s="39" t="n">
        <x:v>0</x:v>
      </x:c>
      <x:c r="F266" s="20" t="str">
        <x:v>Exact</x:v>
      </x:c>
      <x:c r="G266" s="20" t="str">
        <x:v>Exact</x:v>
      </x:c>
    </x:row>
    <x:row r="267">
      <x:c r="A267" s="20" t="str">
        <x:v>B26001</x:v>
      </x:c>
      <x:c r="B267" s="20" t="str">
        <x:v>NYC-V3-R01</x:v>
      </x:c>
      <x:c r="C267" s="20" t="str">
        <x:v>group_quarters_population</x:v>
      </x:c>
      <x:c r="D267" s="39" t="n">
        <x:v>0</x:v>
      </x:c>
      <x:c r="E267" s="39" t="n">
        <x:v>0</x:v>
      </x:c>
      <x:c r="F267" s="20" t="str">
        <x:v>Exact</x:v>
      </x:c>
      <x:c r="G267" s="20" t="str">
        <x:v>Exact</x:v>
      </x:c>
    </x:row>
    <x:row r="268">
      <x:c r="A268" s="20" t="str">
        <x:v>B26001</x:v>
      </x:c>
      <x:c r="B268" s="20" t="str">
        <x:v>NYC-V3-R02</x:v>
      </x:c>
      <x:c r="C268" s="20" t="str">
        <x:v>group_quarters_population</x:v>
      </x:c>
      <x:c r="D268" s="39" t="n">
        <x:v>0</x:v>
      </x:c>
      <x:c r="E268" s="39" t="n">
        <x:v>0</x:v>
      </x:c>
      <x:c r="F268" s="20" t="str">
        <x:v>Exact</x:v>
      </x:c>
      <x:c r="G268" s="20" t="str">
        <x:v>Exact</x:v>
      </x:c>
    </x:row>
    <x:row r="269">
      <x:c r="A269" s="20" t="str">
        <x:v>B26001</x:v>
      </x:c>
      <x:c r="B269" s="20" t="str">
        <x:v>NYC-V3-R03</x:v>
      </x:c>
      <x:c r="C269" s="20" t="str">
        <x:v>group_quarters_population</x:v>
      </x:c>
      <x:c r="D269" s="39" t="n">
        <x:v>0</x:v>
      </x:c>
      <x:c r="E269" s="39" t="n">
        <x:v>0</x:v>
      </x:c>
      <x:c r="F269" s="20" t="str">
        <x:v>Exact</x:v>
      </x:c>
      <x:c r="G269" s="20" t="str">
        <x:v>Exact</x:v>
      </x:c>
    </x:row>
    <x:row r="270">
      <x:c r="A270" s="21" t="str">
        <x:v>B26001</x:v>
      </x:c>
      <x:c r="B270" s="21" t="str">
        <x:v>NYC-V3-R04</x:v>
      </x:c>
      <x:c r="C270" s="21" t="str">
        <x:v>group_quarters_population</x:v>
      </x:c>
      <x:c r="D270" s="40" t="n">
        <x:v>0</x:v>
      </x:c>
      <x:c r="E270" s="40" t="n">
        <x:v>0</x:v>
      </x:c>
      <x:c r="F270" s="21" t="str">
        <x:v>Exact</x:v>
      </x:c>
      <x:c r="G270" s="21" t="str">
        <x:v>Exact</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8" hidden="0" customWidth="1"/>
    <x:col min="2" max="2" width="18" hidden="0" customWidth="1"/>
    <x:col min="3" max="3" width="46" hidden="0" customWidth="1"/>
    <x:col min="4" max="4" width="14" hidden="0" customWidth="1"/>
    <x:col min="5" max="5" width="82" hidden="0" customWidth="1"/>
    <x:col min="6" max="6" width="34" hidden="0" customWidth="1"/>
    <x:col min="7" max="7" width="60" hidden="0" customWidth="1"/>
  </x:cols>
  <x:sheetData>
    <x:row r="1">
      <x:c r="A1" s="1" t="str">
        <x:v>Target Definitions</x:v>
      </x:c>
      <x:c r="B1" s="28"/>
      <x:c r="C1" s="28"/>
      <x:c r="D1" s="28"/>
      <x:c r="E1" s="28"/>
      <x:c r="F1" s="28"/>
      <x:c r="G1" s="28"/>
    </x:row>
    <x:row r="2">
      <x:c r="A2" s="2" t="str">
        <x:v>All 38 target metrics; denominators retain their registered authority</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Metric ID</x:v>
      </x:c>
      <x:c r="B6" s="16" t="str">
        <x:v>Domain</x:v>
      </x:c>
      <x:c r="C6" s="16" t="str">
        <x:v>Label</x:v>
      </x:c>
      <x:c r="D6" s="16" t="str">
        <x:v>ACS table</x:v>
      </x:c>
      <x:c r="E6" s="16" t="str">
        <x:v>Components</x:v>
      </x:c>
      <x:c r="F6" s="16" t="str">
        <x:v>Denominator</x:v>
      </x:c>
      <x:c r="G6" s="16" t="str">
        <x:v>Interpretation</x:v>
      </x:c>
    </x:row>
    <x:row r="7">
      <x:c r="A7" s="19" t="str">
        <x:v>acs_population</x:v>
      </x:c>
      <x:c r="B7" s="19" t="str">
        <x:v>population</x:v>
      </x:c>
      <x:c r="C7" s="31" t="str">
        <x:v>ACS population</x:v>
      </x:c>
      <x:c r="D7" s="31" t="str">
        <x:v>B01001</x:v>
      </x:c>
      <x:c r="E7" s="31" t="str">
        <x:v>B01001_001</x:v>
      </x:c>
      <x:c r="F7" s="31" t="str">
        <x:v>None</x:v>
      </x:c>
      <x:c r="G7" s="31" t="str"/>
    </x:row>
    <x:row r="8">
      <x:c r="A8" s="20" t="str">
        <x:v>age_under_18</x:v>
      </x:c>
      <x:c r="B8" s="20" t="str">
        <x:v>population</x:v>
      </x:c>
      <x:c r="C8" s="32" t="str">
        <x:v>People under age 18</x:v>
      </x:c>
      <x:c r="D8" s="32" t="str">
        <x:v>B01001</x:v>
      </x:c>
      <x:c r="E8" s="32" t="str">
        <x:v>B01001_003, B01001_004, B01001_005, B01001_006, B01001_027, B01001_028, B01001_029, B01001_030</x:v>
      </x:c>
      <x:c r="F8" s="32" t="str">
        <x:v>acs_population</x:v>
      </x:c>
      <x:c r="G8" s="32" t="str"/>
    </x:row>
    <x:row r="9">
      <x:c r="A9" s="20" t="str">
        <x:v>age_65_plus</x:v>
      </x:c>
      <x:c r="B9" s="20" t="str">
        <x:v>population</x:v>
      </x:c>
      <x:c r="C9" s="32" t="str">
        <x:v>People age 65 and over</x:v>
      </x:c>
      <x:c r="D9" s="32" t="str">
        <x:v>B01001</x:v>
      </x:c>
      <x:c r="E9" s="32" t="str">
        <x:v>B01001_020, B01001_021, B01001_022, B01001_023, B01001_024, B01001_025, B01001_044, B01001_045, B01001_046, B01001_047, B01001_048, B01001_049</x:v>
      </x:c>
      <x:c r="F9" s="32" t="str">
        <x:v>acs_population</x:v>
      </x:c>
      <x:c r="G9" s="32" t="str"/>
    </x:row>
    <x:row r="10">
      <x:c r="A10" s="20" t="str">
        <x:v>age_75_plus</x:v>
      </x:c>
      <x:c r="B10" s="20" t="str">
        <x:v>population</x:v>
      </x:c>
      <x:c r="C10" s="32" t="str">
        <x:v>People age 75 and over</x:v>
      </x:c>
      <x:c r="D10" s="32" t="str">
        <x:v>B01001</x:v>
      </x:c>
      <x:c r="E10" s="32" t="str">
        <x:v>B01001_023, B01001_024, B01001_025, B01001_047, B01001_048, B01001_049</x:v>
      </x:c>
      <x:c r="F10" s="32" t="str">
        <x:v>acs_population</x:v>
      </x:c>
      <x:c r="G10" s="32" t="str"/>
    </x:row>
    <x:row r="11">
      <x:c r="A11" s="20" t="str">
        <x:v>age_85_plus</x:v>
      </x:c>
      <x:c r="B11" s="20" t="str">
        <x:v>population</x:v>
      </x:c>
      <x:c r="C11" s="32" t="str">
        <x:v>People age 85 and over</x:v>
      </x:c>
      <x:c r="D11" s="32" t="str">
        <x:v>B01001</x:v>
      </x:c>
      <x:c r="E11" s="32" t="str">
        <x:v>B01001_025, B01001_049</x:v>
      </x:c>
      <x:c r="F11" s="32" t="str">
        <x:v>acs_population</x:v>
      </x:c>
      <x:c r="G11" s="32" t="str"/>
    </x:row>
    <x:row r="12">
      <x:c r="A12" s="20" t="str">
        <x:v>civilian_noninstitutionalized</x:v>
      </x:c>
      <x:c r="B12" s="20" t="str">
        <x:v>disability</x:v>
      </x:c>
      <x:c r="C12" s="32" t="str">
        <x:v>Civilian noninstitutionalized population</x:v>
      </x:c>
      <x:c r="D12" s="32" t="str">
        <x:v>B18101</x:v>
      </x:c>
      <x:c r="E12" s="32" t="str">
        <x:v>B18101_001</x:v>
      </x:c>
      <x:c r="F12" s="32" t="str">
        <x:v>None</x:v>
      </x:c>
      <x:c r="G12" s="32" t="str"/>
    </x:row>
    <x:row r="13">
      <x:c r="A13" s="20" t="str">
        <x:v>any_disability</x:v>
      </x:c>
      <x:c r="B13" s="20" t="str">
        <x:v>disability</x:v>
      </x:c>
      <x:c r="C13" s="32" t="str">
        <x:v>People with any disability</x:v>
      </x:c>
      <x:c r="D13" s="32" t="str">
        <x:v>B18101</x:v>
      </x:c>
      <x:c r="E13" s="32" t="str">
        <x:v>B18101_004, B18101_007, B18101_010, B18101_013, B18101_016, B18101_019, B18101_023, B18101_026, B18101_029, B18101_032, B18101_035, B18101_038</x:v>
      </x:c>
      <x:c r="F13" s="32" t="str">
        <x:v>civilian_noninstitutionalized</x:v>
      </x:c>
      <x:c r="G13" s="32" t="str"/>
    </x:row>
    <x:row r="14">
      <x:c r="A14" s="20" t="str">
        <x:v>disability_under_18</x:v>
      </x:c>
      <x:c r="B14" s="20" t="str">
        <x:v>disability</x:v>
      </x:c>
      <x:c r="C14" s="32" t="str">
        <x:v>People under 18 with a disability</x:v>
      </x:c>
      <x:c r="D14" s="32" t="str">
        <x:v>B18101</x:v>
      </x:c>
      <x:c r="E14" s="32" t="str">
        <x:v>B18101_004, B18101_007, B18101_023, B18101_026</x:v>
      </x:c>
      <x:c r="F14" s="32" t="str">
        <x:v>civilian_noninstitutionalized</x:v>
      </x:c>
      <x:c r="G14" s="32" t="str"/>
    </x:row>
    <x:row r="15">
      <x:c r="A15" s="20" t="str">
        <x:v>disability_18_64</x:v>
      </x:c>
      <x:c r="B15" s="20" t="str">
        <x:v>disability</x:v>
      </x:c>
      <x:c r="C15" s="32" t="str">
        <x:v>People age 18–64 with a disability</x:v>
      </x:c>
      <x:c r="D15" s="32" t="str">
        <x:v>B18101</x:v>
      </x:c>
      <x:c r="E15" s="32" t="str">
        <x:v>B18101_010, B18101_013, B18101_029, B18101_032</x:v>
      </x:c>
      <x:c r="F15" s="32" t="str">
        <x:v>civilian_noninstitutionalized</x:v>
      </x:c>
      <x:c r="G15" s="32" t="str"/>
    </x:row>
    <x:row r="16">
      <x:c r="A16" s="20" t="str">
        <x:v>disability_65_plus</x:v>
      </x:c>
      <x:c r="B16" s="20" t="str">
        <x:v>disability</x:v>
      </x:c>
      <x:c r="C16" s="32" t="str">
        <x:v>People age 65+ with a disability</x:v>
      </x:c>
      <x:c r="D16" s="32" t="str">
        <x:v>B18101</x:v>
      </x:c>
      <x:c r="E16" s="32" t="str">
        <x:v>B18101_016, B18101_019, B18101_035, B18101_038</x:v>
      </x:c>
      <x:c r="F16" s="32" t="str">
        <x:v>civilian_noninstitutionalized</x:v>
      </x:c>
      <x:c r="G16" s="32" t="str"/>
    </x:row>
    <x:row r="17">
      <x:c r="A17" s="20" t="str">
        <x:v>hearing_difficulty</x:v>
      </x:c>
      <x:c r="B17" s="20" t="str">
        <x:v>disability</x:v>
      </x:c>
      <x:c r="C17" s="32" t="str">
        <x:v>People with hearing difficulty</x:v>
      </x:c>
      <x:c r="D17" s="32" t="str">
        <x:v>B18102</x:v>
      </x:c>
      <x:c r="E17" s="32" t="str">
        <x:v>B18102_004, B18102_007, B18102_010, B18102_013, B18102_016, B18102_019, B18102_023, B18102_026, B18102_029, B18102_032, B18102_035, B18102_038</x:v>
      </x:c>
      <x:c r="F17" s="32" t="str">
        <x:v>civilian_noninstitutionalized</x:v>
      </x:c>
      <x:c r="G17" s="32" t="str"/>
    </x:row>
    <x:row r="18">
      <x:c r="A18" s="20" t="str">
        <x:v>vision_difficulty</x:v>
      </x:c>
      <x:c r="B18" s="20" t="str">
        <x:v>disability</x:v>
      </x:c>
      <x:c r="C18" s="32" t="str">
        <x:v>People with vision difficulty</x:v>
      </x:c>
      <x:c r="D18" s="32" t="str">
        <x:v>B18103</x:v>
      </x:c>
      <x:c r="E18" s="32" t="str">
        <x:v>B18103_004, B18103_007, B18103_010, B18103_013, B18103_016, B18103_019, B18103_023, B18103_026, B18103_029, B18103_032, B18103_035, B18103_038</x:v>
      </x:c>
      <x:c r="F18" s="32" t="str">
        <x:v>civilian_noninstitutionalized</x:v>
      </x:c>
      <x:c r="G18" s="32" t="str"/>
    </x:row>
    <x:row r="19">
      <x:c r="A19" s="20" t="str">
        <x:v>cognitive_difficulty</x:v>
      </x:c>
      <x:c r="B19" s="20" t="str">
        <x:v>disability</x:v>
      </x:c>
      <x:c r="C19" s="32" t="str">
        <x:v>People with cognitive difficulty</x:v>
      </x:c>
      <x:c r="D19" s="32" t="str">
        <x:v>B18104</x:v>
      </x:c>
      <x:c r="E19" s="32" t="str">
        <x:v>B18104_004, B18104_007, B18104_010, B18104_013, B18104_016, B18104_020, B18104_023, B18104_026, B18104_029, B18104_032</x:v>
      </x:c>
      <x:c r="F19" s="32" t="str">
        <x:v>civilian_noninstitutionalized</x:v>
      </x:c>
      <x:c r="G19" s="32" t="str"/>
    </x:row>
    <x:row r="20">
      <x:c r="A20" s="20" t="str">
        <x:v>ambulatory_difficulty</x:v>
      </x:c>
      <x:c r="B20" s="20" t="str">
        <x:v>disability</x:v>
      </x:c>
      <x:c r="C20" s="32" t="str">
        <x:v>People with ambulatory difficulty</x:v>
      </x:c>
      <x:c r="D20" s="32" t="str">
        <x:v>B18105</x:v>
      </x:c>
      <x:c r="E20" s="32" t="str">
        <x:v>B18105_004, B18105_007, B18105_010, B18105_013, B18105_016, B18105_020, B18105_023, B18105_026, B18105_029, B18105_032</x:v>
      </x:c>
      <x:c r="F20" s="32" t="str">
        <x:v>civilian_noninstitutionalized</x:v>
      </x:c>
      <x:c r="G20" s="32" t="str"/>
    </x:row>
    <x:row r="21">
      <x:c r="A21" s="20" t="str">
        <x:v>self_care_difficulty</x:v>
      </x:c>
      <x:c r="B21" s="20" t="str">
        <x:v>disability</x:v>
      </x:c>
      <x:c r="C21" s="32" t="str">
        <x:v>People with self-care difficulty</x:v>
      </x:c>
      <x:c r="D21" s="32" t="str">
        <x:v>B18106</x:v>
      </x:c>
      <x:c r="E21" s="32" t="str">
        <x:v>B18106_004, B18106_007, B18106_010, B18106_013, B18106_016, B18106_020, B18106_023, B18106_026, B18106_029, B18106_032</x:v>
      </x:c>
      <x:c r="F21" s="32" t="str">
        <x:v>civilian_noninstitutionalized</x:v>
      </x:c>
      <x:c r="G21" s="32" t="str"/>
    </x:row>
    <x:row r="22">
      <x:c r="A22" s="20" t="str">
        <x:v>independent_living_difficulty</x:v>
      </x:c>
      <x:c r="B22" s="20" t="str">
        <x:v>disability</x:v>
      </x:c>
      <x:c r="C22" s="32" t="str">
        <x:v>People with independent-living difficulty</x:v>
      </x:c>
      <x:c r="D22" s="32" t="str">
        <x:v>B18107</x:v>
      </x:c>
      <x:c r="E22" s="32" t="str">
        <x:v>B18107_004, B18107_007, B18107_010, B18107_013, B18107_017, B18107_020, B18107_023, B18107_026</x:v>
      </x:c>
      <x:c r="F22" s="32" t="str">
        <x:v>civilian_noninstitutionalized</x:v>
      </x:c>
      <x:c r="G22" s="32" t="str"/>
    </x:row>
    <x:row r="23">
      <x:c r="A23" s="20" t="str">
        <x:v>households</x:v>
      </x:c>
      <x:c r="B23" s="20" t="str">
        <x:v>household</x:v>
      </x:c>
      <x:c r="C23" s="32" t="str">
        <x:v>Households</x:v>
      </x:c>
      <x:c r="D23" s="32" t="str">
        <x:v>B11001</x:v>
      </x:c>
      <x:c r="E23" s="32" t="str">
        <x:v>B11001_001</x:v>
      </x:c>
      <x:c r="F23" s="32" t="str">
        <x:v>None</x:v>
      </x:c>
      <x:c r="G23" s="32" t="str"/>
    </x:row>
    <x:row r="24">
      <x:c r="A24" s="20" t="str">
        <x:v>family_households</x:v>
      </x:c>
      <x:c r="B24" s="20" t="str">
        <x:v>household</x:v>
      </x:c>
      <x:c r="C24" s="32" t="str">
        <x:v>Family households</x:v>
      </x:c>
      <x:c r="D24" s="32" t="str">
        <x:v>B11001</x:v>
      </x:c>
      <x:c r="E24" s="32" t="str">
        <x:v>B11001_002</x:v>
      </x:c>
      <x:c r="F24" s="32" t="str">
        <x:v>households</x:v>
      </x:c>
      <x:c r="G24" s="32" t="str"/>
    </x:row>
    <x:row r="25">
      <x:c r="A25" s="20" t="str">
        <x:v>nonfamily_households</x:v>
      </x:c>
      <x:c r="B25" s="20" t="str">
        <x:v>household</x:v>
      </x:c>
      <x:c r="C25" s="32" t="str">
        <x:v>Nonfamily households</x:v>
      </x:c>
      <x:c r="D25" s="32" t="str">
        <x:v>B11001</x:v>
      </x:c>
      <x:c r="E25" s="32" t="str">
        <x:v>B11001_007</x:v>
      </x:c>
      <x:c r="F25" s="32" t="str">
        <x:v>households</x:v>
      </x:c>
      <x:c r="G25" s="32" t="str"/>
    </x:row>
    <x:row r="26">
      <x:c r="A26" s="20" t="str">
        <x:v>living_alone_households</x:v>
      </x:c>
      <x:c r="B26" s="20" t="str">
        <x:v>household</x:v>
      </x:c>
      <x:c r="C26" s="32" t="str">
        <x:v>One-person households</x:v>
      </x:c>
      <x:c r="D26" s="32" t="str">
        <x:v>B11001</x:v>
      </x:c>
      <x:c r="E26" s="32" t="str">
        <x:v>B11001_008</x:v>
      </x:c>
      <x:c r="F26" s="32" t="str">
        <x:v>households</x:v>
      </x:c>
      <x:c r="G26" s="32" t="str"/>
    </x:row>
    <x:row r="27">
      <x:c r="A27" s="20" t="str">
        <x:v>households_with_children</x:v>
      </x:c>
      <x:c r="B27" s="20" t="str">
        <x:v>household</x:v>
      </x:c>
      <x:c r="C27" s="32" t="str">
        <x:v>Households with one or more people under 18</x:v>
      </x:c>
      <x:c r="D27" s="32" t="str">
        <x:v>B11005</x:v>
      </x:c>
      <x:c r="E27" s="32" t="str">
        <x:v>B11005_002</x:v>
      </x:c>
      <x:c r="F27" s="32" t="str">
        <x:v>households</x:v>
      </x:c>
      <x:c r="G27" s="32" t="str"/>
    </x:row>
    <x:row r="28">
      <x:c r="A28" s="20" t="str">
        <x:v>households_with_age65</x:v>
      </x:c>
      <x:c r="B28" s="20" t="str">
        <x:v>household</x:v>
      </x:c>
      <x:c r="C28" s="32" t="str">
        <x:v>Households with one or more people age 65+</x:v>
      </x:c>
      <x:c r="D28" s="32" t="str">
        <x:v>B11007</x:v>
      </x:c>
      <x:c r="E28" s="32" t="str">
        <x:v>B11007_002</x:v>
      </x:c>
      <x:c r="F28" s="32" t="str">
        <x:v>households</x:v>
      </x:c>
      <x:c r="G28" s="32" t="str"/>
    </x:row>
    <x:row r="29">
      <x:c r="A29" s="20" t="str">
        <x:v>age65_one_person_households</x:v>
      </x:c>
      <x:c r="B29" s="20" t="str">
        <x:v>household</x:v>
      </x:c>
      <x:c r="C29" s="32" t="str">
        <x:v>One-person households age 65+</x:v>
      </x:c>
      <x:c r="D29" s="32" t="str">
        <x:v>B11007</x:v>
      </x:c>
      <x:c r="E29" s="32" t="str">
        <x:v>B11007_003</x:v>
      </x:c>
      <x:c r="F29" s="32" t="str">
        <x:v>households</x:v>
      </x:c>
      <x:c r="G29" s="32" t="str"/>
    </x:row>
    <x:row r="30">
      <x:c r="A30" s="20" t="str">
        <x:v>no_vehicle_households</x:v>
      </x:c>
      <x:c r="B30" s="20" t="str">
        <x:v>household</x:v>
      </x:c>
      <x:c r="C30" s="32" t="str">
        <x:v>Households with no vehicle available</x:v>
      </x:c>
      <x:c r="D30" s="32" t="str">
        <x:v>B08201</x:v>
      </x:c>
      <x:c r="E30" s="32" t="str">
        <x:v>B08201_002</x:v>
      </x:c>
      <x:c r="F30" s="32" t="str">
        <x:v>households</x:v>
      </x:c>
      <x:c r="G30" s="32" t="str"/>
    </x:row>
    <x:row r="31">
      <x:c r="A31" s="20" t="str">
        <x:v>limited_english_households</x:v>
      </x:c>
      <x:c r="B31" s="20" t="str">
        <x:v>household</x:v>
      </x:c>
      <x:c r="C31" s="32" t="str">
        <x:v>Limited-English-speaking households</x:v>
      </x:c>
      <x:c r="D31" s="32" t="str">
        <x:v>C16002</x:v>
      </x:c>
      <x:c r="E31" s="32" t="str">
        <x:v>C16002_004, C16002_007, C16002_010, C16002_013</x:v>
      </x:c>
      <x:c r="F31" s="32" t="str">
        <x:v>households</x:v>
      </x:c>
      <x:c r="G31" s="32" t="str"/>
    </x:row>
    <x:row r="32">
      <x:c r="A32" s="20" t="str">
        <x:v>housing_units</x:v>
      </x:c>
      <x:c r="B32" s="20" t="str">
        <x:v>housing</x:v>
      </x:c>
      <x:c r="C32" s="32" t="str">
        <x:v>Housing units</x:v>
      </x:c>
      <x:c r="D32" s="32" t="str">
        <x:v>B25002</x:v>
      </x:c>
      <x:c r="E32" s="32" t="str">
        <x:v>B25002_001</x:v>
      </x:c>
      <x:c r="F32" s="32" t="str">
        <x:v>None</x:v>
      </x:c>
      <x:c r="G32" s="32" t="str"/>
    </x:row>
    <x:row r="33">
      <x:c r="A33" s="20" t="str">
        <x:v>occupied_housing_units</x:v>
      </x:c>
      <x:c r="B33" s="20" t="str">
        <x:v>housing</x:v>
      </x:c>
      <x:c r="C33" s="32" t="str">
        <x:v>Occupied housing units</x:v>
      </x:c>
      <x:c r="D33" s="32" t="str">
        <x:v>B25002</x:v>
      </x:c>
      <x:c r="E33" s="32" t="str">
        <x:v>B25002_002</x:v>
      </x:c>
      <x:c r="F33" s="32" t="str">
        <x:v>housing_units</x:v>
      </x:c>
      <x:c r="G33" s="32" t="str"/>
    </x:row>
    <x:row r="34">
      <x:c r="A34" s="20" t="str">
        <x:v>vacant_housing_units</x:v>
      </x:c>
      <x:c r="B34" s="20" t="str">
        <x:v>housing</x:v>
      </x:c>
      <x:c r="C34" s="32" t="str">
        <x:v>Vacant housing units</x:v>
      </x:c>
      <x:c r="D34" s="32" t="str">
        <x:v>B25002</x:v>
      </x:c>
      <x:c r="E34" s="32" t="str">
        <x:v>B25002_003</x:v>
      </x:c>
      <x:c r="F34" s="32" t="str">
        <x:v>housing_units</x:v>
      </x:c>
      <x:c r="G34" s="32" t="str"/>
    </x:row>
    <x:row r="35">
      <x:c r="A35" s="20" t="str">
        <x:v>owner_occupied_units</x:v>
      </x:c>
      <x:c r="B35" s="20" t="str">
        <x:v>housing</x:v>
      </x:c>
      <x:c r="C35" s="32" t="str">
        <x:v>Owner-occupied housing units</x:v>
      </x:c>
      <x:c r="D35" s="32" t="str">
        <x:v>B25032</x:v>
      </x:c>
      <x:c r="E35" s="32" t="str">
        <x:v>B25032_002</x:v>
      </x:c>
      <x:c r="F35" s="32" t="str">
        <x:v>occupied_housing_units</x:v>
      </x:c>
      <x:c r="G35" s="32" t="str"/>
    </x:row>
    <x:row r="36">
      <x:c r="A36" s="20" t="str">
        <x:v>renter_occupied_units</x:v>
      </x:c>
      <x:c r="B36" s="20" t="str">
        <x:v>housing</x:v>
      </x:c>
      <x:c r="C36" s="32" t="str">
        <x:v>Renter-occupied housing units</x:v>
      </x:c>
      <x:c r="D36" s="32" t="str">
        <x:v>B25032</x:v>
      </x:c>
      <x:c r="E36" s="32" t="str">
        <x:v>B25032_013</x:v>
      </x:c>
      <x:c r="F36" s="32" t="str">
        <x:v>occupied_housing_units</x:v>
      </x:c>
      <x:c r="G36" s="32" t="str"/>
    </x:row>
    <x:row r="37">
      <x:c r="A37" s="20" t="str">
        <x:v>one_unit_structures</x:v>
      </x:c>
      <x:c r="B37" s="20" t="str">
        <x:v>housing</x:v>
      </x:c>
      <x:c r="C37" s="32" t="str">
        <x:v>Occupied units in 1-unit structures</x:v>
      </x:c>
      <x:c r="D37" s="32" t="str">
        <x:v>B25032</x:v>
      </x:c>
      <x:c r="E37" s="32" t="str">
        <x:v>B25032_003, B25032_004, B25032_014, B25032_015</x:v>
      </x:c>
      <x:c r="F37" s="32" t="str">
        <x:v>occupied_housing_units</x:v>
      </x:c>
      <x:c r="G37" s="32" t="str"/>
    </x:row>
    <x:row r="38">
      <x:c r="A38" s="20" t="str">
        <x:v>two_to_four_unit_structures</x:v>
      </x:c>
      <x:c r="B38" s="20" t="str">
        <x:v>housing</x:v>
      </x:c>
      <x:c r="C38" s="32" t="str">
        <x:v>Occupied units in 2–4-unit structures</x:v>
      </x:c>
      <x:c r="D38" s="32" t="str">
        <x:v>B25032</x:v>
      </x:c>
      <x:c r="E38" s="32" t="str">
        <x:v>B25032_005, B25032_006, B25032_016, B25032_017</x:v>
      </x:c>
      <x:c r="F38" s="32" t="str">
        <x:v>occupied_housing_units</x:v>
      </x:c>
      <x:c r="G38" s="32" t="str"/>
    </x:row>
    <x:row r="39">
      <x:c r="A39" s="20" t="str">
        <x:v>five_to_nineteen_unit_structures</x:v>
      </x:c>
      <x:c r="B39" s="20" t="str">
        <x:v>housing</x:v>
      </x:c>
      <x:c r="C39" s="32" t="str">
        <x:v>Occupied units in 5–19-unit structures</x:v>
      </x:c>
      <x:c r="D39" s="32" t="str">
        <x:v>B25032</x:v>
      </x:c>
      <x:c r="E39" s="32" t="str">
        <x:v>B25032_007, B25032_008, B25032_018, B25032_019</x:v>
      </x:c>
      <x:c r="F39" s="32" t="str">
        <x:v>occupied_housing_units</x:v>
      </x:c>
      <x:c r="G39" s="32" t="str"/>
    </x:row>
    <x:row r="40">
      <x:c r="A40" s="20" t="str">
        <x:v>twenty_to_forty_nine_unit_structures</x:v>
      </x:c>
      <x:c r="B40" s="20" t="str">
        <x:v>housing</x:v>
      </x:c>
      <x:c r="C40" s="32" t="str">
        <x:v>Occupied units in 20–49-unit structures</x:v>
      </x:c>
      <x:c r="D40" s="32" t="str">
        <x:v>B25032</x:v>
      </x:c>
      <x:c r="E40" s="32" t="str">
        <x:v>B25032_009, B25032_020</x:v>
      </x:c>
      <x:c r="F40" s="32" t="str">
        <x:v>occupied_housing_units</x:v>
      </x:c>
      <x:c r="G40" s="32" t="str"/>
    </x:row>
    <x:row r="41">
      <x:c r="A41" s="20" t="str">
        <x:v>fifty_plus_unit_structures</x:v>
      </x:c>
      <x:c r="B41" s="20" t="str">
        <x:v>housing</x:v>
      </x:c>
      <x:c r="C41" s="32" t="str">
        <x:v>Occupied units in 50+-unit structures</x:v>
      </x:c>
      <x:c r="D41" s="32" t="str">
        <x:v>B25032</x:v>
      </x:c>
      <x:c r="E41" s="32" t="str">
        <x:v>B25032_010, B25032_021</x:v>
      </x:c>
      <x:c r="F41" s="32" t="str">
        <x:v>occupied_housing_units</x:v>
      </x:c>
      <x:c r="G41" s="32" t="str"/>
    </x:row>
    <x:row r="42">
      <x:c r="A42" s="20" t="str">
        <x:v>mobile_or_other_units</x:v>
      </x:c>
      <x:c r="B42" s="20" t="str">
        <x:v>housing</x:v>
      </x:c>
      <x:c r="C42" s="32" t="str">
        <x:v>Occupied mobile-home or other units</x:v>
      </x:c>
      <x:c r="D42" s="32" t="str">
        <x:v>B25032</x:v>
      </x:c>
      <x:c r="E42" s="32" t="str">
        <x:v>B25032_011, B25032_012, B25032_022, B25032_023</x:v>
      </x:c>
      <x:c r="F42" s="32" t="str">
        <x:v>occupied_housing_units</x:v>
      </x:c>
      <x:c r="G42" s="32" t="str"/>
    </x:row>
    <x:row r="43">
      <x:c r="A43" s="20" t="str">
        <x:v>electric_heat_households</x:v>
      </x:c>
      <x:c r="B43" s="20" t="str">
        <x:v>housing</x:v>
      </x:c>
      <x:c r="C43" s="32" t="str">
        <x:v>Occupied housing units using electricity as heating fuel</x:v>
      </x:c>
      <x:c r="D43" s="32" t="str">
        <x:v>B25040</x:v>
      </x:c>
      <x:c r="E43" s="32" t="str">
        <x:v>B25040_004</x:v>
      </x:c>
      <x:c r="F43" s="32" t="str">
        <x:v>households</x:v>
      </x:c>
      <x:c r="G43" s="32" t="str">
        <x:v>Heating fuel is not backup-power, cooling, pump, or outage-operability evidence.</x:v>
      </x:c>
    </x:row>
    <x:row r="44">
      <x:c r="A44" s="21" t="str">
        <x:v>group_quarters_population</x:v>
      </x:c>
      <x:c r="B44" s="21" t="str">
        <x:v>population</x:v>
      </x:c>
      <x:c r="C44" s="33" t="str">
        <x:v>Group-quarters population</x:v>
      </x:c>
      <x:c r="D44" s="33" t="str">
        <x:v>B26001</x:v>
      </x:c>
      <x:c r="E44" s="33" t="str">
        <x:v>B26001_001</x:v>
      </x:c>
      <x:c r="F44" s="33" t="str">
        <x:v>acs_population</x:v>
      </x:c>
      <x:c r="G44" s="33"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8" hidden="0" customWidth="1"/>
    <x:col min="4" max="4" width="22" hidden="0" customWidth="1"/>
    <x:col min="5" max="5" width="18" hidden="0" customWidth="1"/>
    <x:col min="6" max="6" width="18" hidden="0" customWidth="1"/>
    <x:col min="7" max="7" width="90" hidden="0" customWidth="1"/>
  </x:cols>
  <x:sheetData>
    <x:row r="1">
      <x:c r="A1" s="1" t="str">
        <x:v>Covariance Cases</x:v>
      </x:c>
      <x:c r="B1" s="28"/>
      <x:c r="C1" s="28"/>
      <x:c r="D1" s="28"/>
      <x:c r="E1" s="28"/>
      <x:c r="F1" s="28"/>
      <x:c r="G1" s="28"/>
    </x:row>
    <x:row r="2">
      <x:c r="A2" s="2" t="str">
        <x:v>Structural sensitivity where cross-table and RSS covariance is not published</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Case</x:v>
      </x:c>
      <x:c r="B6" s="16" t="str">
        <x:v>Label</x:v>
      </x:c>
      <x:c r="C6" s="16" t="str">
        <x:v>Metro loading</x:v>
      </x:c>
      <x:c r="D6" s="16" t="str">
        <x:v>Catchment loading</x:v>
      </x:c>
      <x:c r="E6" s="16" t="str">
        <x:v>Domain loading</x:v>
      </x:c>
      <x:c r="F6" s="16" t="str">
        <x:v>Residual loading</x:v>
      </x:c>
      <x:c r="G6" s="16" t="str">
        <x:v>Interpretation</x:v>
      </x:c>
    </x:row>
    <x:row r="7">
      <x:c r="A7" s="19" t="str">
        <x:v>T0_TABLE_BLOCK</x:v>
      </x:c>
      <x:c r="B7" s="19" t="str">
        <x:v>Published-table blocks</x:v>
      </x:c>
      <x:c r="C7" s="41" t="n">
        <x:v>0</x:v>
      </x:c>
      <x:c r="D7" s="41" t="n">
        <x:v>0</x:v>
      </x:c>
      <x:c r="E7" s="41" t="n">
        <x:v>0</x:v>
      </x:c>
      <x:c r="F7" s="41" t="n">
        <x:v>1</x:v>
      </x:c>
      <x:c r="G7" s="31" t="str">
        <x:v>Preserves published VRE covariance within each available ACS table and across its registered geographies. Treats cross-table and RSS covariance as unresolved rather than known.</x:v>
      </x:c>
    </x:row>
    <x:row r="8">
      <x:c r="A8" s="20" t="str">
        <x:v>T1_SHARED_CATCHMENT</x:v>
      </x:c>
      <x:c r="B8" s="20" t="str">
        <x:v>Moderate shared catchment</x:v>
      </x:c>
      <x:c r="C8" s="42" t="n">
        <x:v>0.15</x:v>
      </x:c>
      <x:c r="D8" s="42" t="n">
        <x:v>0.35</x:v>
      </x:c>
      <x:c r="E8" s="42" t="n">
        <x:v>0</x:v>
      </x:c>
      <x:c r="F8" s="42" t="n">
        <x:v>0.9246621004453465</x:v>
      </x:c>
      <x:c r="G8" s="32" t="str">
        <x:v>Adds moderate positive metropolitan and catchment co-movement while retaining most within-table and RSS-specific variation.</x:v>
      </x:c>
    </x:row>
    <x:row r="9">
      <x:c r="A9" s="21" t="str">
        <x:v>T2_CONCORDANT_DOMAIN</x:v>
      </x:c>
      <x:c r="B9" s="21" t="str">
        <x:v>Strong concordant domain</x:v>
      </x:c>
      <x:c r="C9" s="43" t="n">
        <x:v>0.3</x:v>
      </x:c>
      <x:c r="D9" s="43" t="n">
        <x:v>0.45</x:v>
      </x:c>
      <x:c r="E9" s="43" t="n">
        <x:v>0.35</x:v>
      </x:c>
      <x:c r="F9" s="43" t="n">
        <x:v>0.7648529270389178</x:v>
      </x:c>
      <x:c r="G9" s="33" t="str">
        <x:v>Stress case with stronger metropolitan, catchment and domain co-movement. It is a structural sensitivity, not an estimated probability model.</x:v>
      </x:c>
    </x:row>
    <x:row r="10">
      <x:c r="A10" s="28"/>
      <x:c r="B10" s="28"/>
      <x:c r="C10" s="28"/>
      <x:c r="D10" s="28"/>
      <x:c r="E10" s="28"/>
      <x:c r="F10" s="28"/>
      <x:c r="G10" s="28"/>
    </x:row>
    <x:row r="11">
      <x:c r="A11" s="28"/>
      <x:c r="B11" s="28"/>
      <x:c r="C11" s="28"/>
      <x:c r="D11" s="28"/>
      <x:c r="E11" s="28"/>
      <x:c r="F11" s="28"/>
      <x:c r="G11" s="28"/>
    </x:row>
    <x:row r="12">
      <x:c r="A12" s="6" t="str">
        <x:v>Boundary</x:v>
      </x:c>
      <x:c r="B12" s="7"/>
      <x:c r="C12" s="7"/>
      <x:c r="D12" s="7"/>
      <x:c r="E12" s="7"/>
      <x:c r="F12" s="7"/>
      <x:c r="G12" s="8"/>
    </x:row>
    <x:row r="13">
      <x:c r="A13" s="37" t="str">
        <x:v>These cases are not fitted probability models. T0 preserves covariance only inside each VRE table. T1 and T2 are preregistered-style dependence sensitivities that retain marginal standard errors while changing common movement. None may be selected because it produces a preferred architecture result.</x:v>
      </x:c>
      <x:c r="B13" s="37"/>
      <x:c r="C13" s="37"/>
      <x:c r="D13" s="37"/>
      <x:c r="E13" s="37"/>
      <x:c r="F13" s="37"/>
      <x:c r="G13" s="37"/>
    </x:row>
    <x:row r="14">
      <x:c r="A14" s="37"/>
      <x:c r="B14" s="37"/>
      <x:c r="C14" s="37"/>
      <x:c r="D14" s="37"/>
      <x:c r="E14" s="37"/>
      <x:c r="F14" s="37"/>
      <x:c r="G14" s="37"/>
    </x:row>
    <x:row r="15">
      <x:c r="A15" s="37"/>
      <x:c r="B15" s="37"/>
      <x:c r="C15" s="37"/>
      <x:c r="D15" s="37"/>
      <x:c r="E15" s="37"/>
      <x:c r="F15" s="37"/>
      <x:c r="G15" s="37"/>
    </x:row>
  </x:sheetData>
  <x:mergeCells>
    <x:mergeCell ref="A13:G15"/>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8" hidden="0" customWidth="1"/>
    <x:col min="2" max="2" width="24" hidden="0" customWidth="1"/>
    <x:col min="3" max="3" width="64" hidden="0" customWidth="1"/>
    <x:col min="4" max="4" width="118" hidden="0" customWidth="1"/>
  </x:cols>
  <x:sheetData>
    <x:row r="1">
      <x:c r="A1" s="1" t="str">
        <x:v>Constraints</x:v>
      </x:c>
      <x:c r="B1" s="28"/>
      <x:c r="C1" s="28"/>
      <x:c r="D1" s="28"/>
    </x:row>
    <x:row r="2">
      <x:c r="A2" s="2" t="str">
        <x:v>Hard nonnegative integer identities and feasibility inequalities</x:v>
      </x:c>
      <x:c r="B2" s="28"/>
      <x:c r="C2" s="28"/>
      <x:c r="D2" s="28"/>
    </x:row>
    <x:row r="3">
      <x:c r="A3" s="28"/>
      <x:c r="B3" s="28"/>
      <x:c r="C3" s="28"/>
      <x:c r="D3" s="28"/>
    </x:row>
    <x:row r="4">
      <x:c r="A4" s="29"/>
      <x:c r="B4" s="29"/>
      <x:c r="C4" s="29"/>
      <x:c r="D4" s="29"/>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row>
    <x:row r="6" ht="34" customHeight="1">
      <x:c r="A6" s="16" t="str">
        <x:v>Constraint ID</x:v>
      </x:c>
      <x:c r="B6" s="16" t="str">
        <x:v>Type</x:v>
      </x:c>
      <x:c r="C6" s="16" t="str">
        <x:v>Rule</x:v>
      </x:c>
      <x:c r="D6" s="16" t="str">
        <x:v>Coefficients</x:v>
      </x:c>
    </x:row>
    <x:row r="7">
      <x:c r="A7" s="19" t="str">
        <x:v>EQ-01</x:v>
      </x:c>
      <x:c r="B7" s="19" t="str">
        <x:v>equality</x:v>
      </x:c>
      <x:c r="C7" s="31" t="str">
        <x:v>family + nonfamily = households</x:v>
      </x:c>
      <x:c r="D7" s="31" t="str">
        <x:v>{"family_households":1,"nonfamily_households":1,"households":-1}</x:v>
      </x:c>
    </x:row>
    <x:row r="8">
      <x:c r="A8" s="20" t="str">
        <x:v>EQ-02</x:v>
      </x:c>
      <x:c r="B8" s="20" t="str">
        <x:v>equality</x:v>
      </x:c>
      <x:c r="C8" s="32" t="str">
        <x:v>occupied units = households</x:v>
      </x:c>
      <x:c r="D8" s="32" t="str">
        <x:v>{"occupied_housing_units":1,"households":-1}</x:v>
      </x:c>
    </x:row>
    <x:row r="9">
      <x:c r="A9" s="20" t="str">
        <x:v>EQ-03</x:v>
      </x:c>
      <x:c r="B9" s="20" t="str">
        <x:v>equality</x:v>
      </x:c>
      <x:c r="C9" s="32" t="str">
        <x:v>occupied + vacant = housing units</x:v>
      </x:c>
      <x:c r="D9" s="32" t="str">
        <x:v>{"occupied_housing_units":1,"vacant_housing_units":1,"housing_units":-1}</x:v>
      </x:c>
    </x:row>
    <x:row r="10">
      <x:c r="A10" s="20" t="str">
        <x:v>EQ-04</x:v>
      </x:c>
      <x:c r="B10" s="20" t="str">
        <x:v>equality</x:v>
      </x:c>
      <x:c r="C10" s="32" t="str">
        <x:v>owner + renter = occupied</x:v>
      </x:c>
      <x:c r="D10" s="32" t="str">
        <x:v>{"owner_occupied_units":1,"renter_occupied_units":1,"occupied_housing_units":-1}</x:v>
      </x:c>
    </x:row>
    <x:row r="11">
      <x:c r="A11" s="20" t="str">
        <x:v>EQ-05</x:v>
      </x:c>
      <x:c r="B11" s="20" t="str">
        <x:v>equality</x:v>
      </x:c>
      <x:c r="C11" s="32" t="str">
        <x:v>structure classes = occupied</x:v>
      </x:c>
      <x:c r="D11" s="32" t="str">
        <x:v>{"one_unit_structures":1,"two_to_four_unit_structures":1,"five_to_nineteen_unit_structures":1,"twenty_to_forty_nine_unit_structures":1,"fifty_plus_unit_structures":1,"mobile_or_other_units":1,"occupied_housing_units":-1}</x:v>
      </x:c>
    </x:row>
    <x:row r="12">
      <x:c r="A12" s="20" t="str">
        <x:v>EQ-06</x:v>
      </x:c>
      <x:c r="B12" s="20" t="str">
        <x:v>equality</x:v>
      </x:c>
      <x:c r="C12" s="32" t="str">
        <x:v>age disability classes = any disability</x:v>
      </x:c>
      <x:c r="D12" s="32" t="str">
        <x:v>{"disability_under_18":1,"disability_18_64":1,"disability_65_plus":1,"any_disability":-1}</x:v>
      </x:c>
    </x:row>
    <x:row r="13">
      <x:c r="A13" s="20" t="str">
        <x:v>LE-01</x:v>
      </x:c>
      <x:c r="B13" s="20" t="str">
        <x:v>less_than_or_equal</x:v>
      </x:c>
      <x:c r="C13" s="32" t="str">
        <x:v>age 85+ &lt;= age 75+</x:v>
      </x:c>
      <x:c r="D13" s="32" t="str">
        <x:v>{"age_85_plus":1,"age_75_plus":-1}</x:v>
      </x:c>
    </x:row>
    <x:row r="14">
      <x:c r="A14" s="20" t="str">
        <x:v>LE-02</x:v>
      </x:c>
      <x:c r="B14" s="20" t="str">
        <x:v>less_than_or_equal</x:v>
      </x:c>
      <x:c r="C14" s="32" t="str">
        <x:v>age 75+ &lt;= age 65+</x:v>
      </x:c>
      <x:c r="D14" s="32" t="str">
        <x:v>{"age_75_plus":1,"age_65_plus":-1}</x:v>
      </x:c>
    </x:row>
    <x:row r="15">
      <x:c r="A15" s="20" t="str">
        <x:v>LE-03</x:v>
      </x:c>
      <x:c r="B15" s="20" t="str">
        <x:v>less_than_or_equal</x:v>
      </x:c>
      <x:c r="C15" s="32" t="str">
        <x:v>under 18 + age 65+ &lt;= population</x:v>
      </x:c>
      <x:c r="D15" s="32" t="str">
        <x:v>{"age_under_18":1,"age_65_plus":1,"acs_population":-1}</x:v>
      </x:c>
    </x:row>
    <x:row r="16">
      <x:c r="A16" s="20" t="str">
        <x:v>LE-04</x:v>
      </x:c>
      <x:c r="B16" s="20" t="str">
        <x:v>less_than_or_equal</x:v>
      </x:c>
      <x:c r="C16" s="32" t="str">
        <x:v>group quarters &lt;= population</x:v>
      </x:c>
      <x:c r="D16" s="32" t="str">
        <x:v>{"group_quarters_population":1,"acs_population":-1}</x:v>
      </x:c>
    </x:row>
    <x:row r="17">
      <x:c r="A17" s="20" t="str">
        <x:v>LE-05</x:v>
      </x:c>
      <x:c r="B17" s="20" t="str">
        <x:v>less_than_or_equal</x:v>
      </x:c>
      <x:c r="C17" s="32" t="str">
        <x:v>civilian noninstitutionalized &lt;= population</x:v>
      </x:c>
      <x:c r="D17" s="32" t="str">
        <x:v>{"civilian_noninstitutionalized":1,"acs_population":-1}</x:v>
      </x:c>
    </x:row>
    <x:row r="18">
      <x:c r="A18" s="20" t="str">
        <x:v>LE-06</x:v>
      </x:c>
      <x:c r="B18" s="20" t="str">
        <x:v>less_than_or_equal</x:v>
      </x:c>
      <x:c r="C18" s="32" t="str">
        <x:v>any disability &lt;= civilian noninstitutionalized</x:v>
      </x:c>
      <x:c r="D18" s="32" t="str">
        <x:v>{"any_disability":1,"civilian_noninstitutionalized":-1}</x:v>
      </x:c>
    </x:row>
    <x:row r="19">
      <x:c r="A19" s="20" t="str">
        <x:v>LE-07</x:v>
      </x:c>
      <x:c r="B19" s="20" t="str">
        <x:v>less_than_or_equal</x:v>
      </x:c>
      <x:c r="C19" s="32" t="str">
        <x:v>under-18 disability &lt;= under-18 population</x:v>
      </x:c>
      <x:c r="D19" s="32" t="str">
        <x:v>{"disability_under_18":1,"age_under_18":-1}</x:v>
      </x:c>
    </x:row>
    <x:row r="20">
      <x:c r="A20" s="20" t="str">
        <x:v>LE-08</x:v>
      </x:c>
      <x:c r="B20" s="20" t="str">
        <x:v>less_than_or_equal</x:v>
      </x:c>
      <x:c r="C20" s="32" t="str">
        <x:v>age-65+ disability &lt;= age-65+ population</x:v>
      </x:c>
      <x:c r="D20" s="32" t="str">
        <x:v>{"disability_65_plus":1,"age_65_plus":-1}</x:v>
      </x:c>
    </x:row>
    <x:row r="21">
      <x:c r="A21" s="20" t="str">
        <x:v>LE-09</x:v>
      </x:c>
      <x:c r="B21" s="20" t="str">
        <x:v>less_than_or_equal</x:v>
      </x:c>
      <x:c r="C21" s="32" t="str">
        <x:v>age-18-64 disability &lt;= age-18-64 population</x:v>
      </x:c>
      <x:c r="D21" s="32" t="str">
        <x:v>{"disability_18_64":1,"age_under_18":1,"age_65_plus":1,"acs_population":-1}</x:v>
      </x:c>
    </x:row>
    <x:row r="22">
      <x:c r="A22" s="20" t="str">
        <x:v>LE-10</x:v>
      </x:c>
      <x:c r="B22" s="20" t="str">
        <x:v>less_than_or_equal</x:v>
      </x:c>
      <x:c r="C22" s="32" t="str">
        <x:v>households + group quarters &lt;= population</x:v>
      </x:c>
      <x:c r="D22" s="32" t="str">
        <x:v>{"households":1,"group_quarters_population":1,"acs_population":-1}</x:v>
      </x:c>
    </x:row>
    <x:row r="23">
      <x:c r="A23" s="20" t="str">
        <x:v>LE-11</x:v>
      </x:c>
      <x:c r="B23" s="20" t="str">
        <x:v>less_than_or_equal</x:v>
      </x:c>
      <x:c r="C23" s="32" t="str">
        <x:v>minimum household persons &lt;= household population</x:v>
      </x:c>
      <x:c r="D23" s="32" t="str">
        <x:v>{"family_households":2,"nonfamily_households":1,"group_quarters_population":1,"acs_population":-1}</x:v>
      </x:c>
    </x:row>
    <x:row r="24">
      <x:c r="A24" s="20" t="str">
        <x:v>LE-12</x:v>
      </x:c>
      <x:c r="B24" s="20" t="str">
        <x:v>less_than_or_equal</x:v>
      </x:c>
      <x:c r="C24" s="32" t="str">
        <x:v>living alone &lt;= nonfamily households</x:v>
      </x:c>
      <x:c r="D24" s="32" t="str">
        <x:v>{"living_alone_households":1,"nonfamily_households":-1}</x:v>
      </x:c>
    </x:row>
    <x:row r="25">
      <x:c r="A25" s="20" t="str">
        <x:v>LE-13</x:v>
      </x:c>
      <x:c r="B25" s="20" t="str">
        <x:v>less_than_or_equal</x:v>
      </x:c>
      <x:c r="C25" s="32" t="str">
        <x:v>households with children &lt;= households</x:v>
      </x:c>
      <x:c r="D25" s="32" t="str">
        <x:v>{"households_with_children":1,"households":-1}</x:v>
      </x:c>
    </x:row>
    <x:row r="26">
      <x:c r="A26" s="20" t="str">
        <x:v>LE-14</x:v>
      </x:c>
      <x:c r="B26" s="20" t="str">
        <x:v>less_than_or_equal</x:v>
      </x:c>
      <x:c r="C26" s="32" t="str">
        <x:v>households with children &lt;= people under 18</x:v>
      </x:c>
      <x:c r="D26" s="32" t="str">
        <x:v>{"households_with_children":1,"age_under_18":-1}</x:v>
      </x:c>
    </x:row>
    <x:row r="27">
      <x:c r="A27" s="20" t="str">
        <x:v>LE-15</x:v>
      </x:c>
      <x:c r="B27" s="20" t="str">
        <x:v>less_than_or_equal</x:v>
      </x:c>
      <x:c r="C27" s="32" t="str">
        <x:v>households with age 65+ &lt;= households</x:v>
      </x:c>
      <x:c r="D27" s="32" t="str">
        <x:v>{"households_with_age65":1,"households":-1}</x:v>
      </x:c>
    </x:row>
    <x:row r="28">
      <x:c r="A28" s="20" t="str">
        <x:v>LE-16</x:v>
      </x:c>
      <x:c r="B28" s="20" t="str">
        <x:v>less_than_or_equal</x:v>
      </x:c>
      <x:c r="C28" s="32" t="str">
        <x:v>households with age 65+ &lt;= people age 65+</x:v>
      </x:c>
      <x:c r="D28" s="32" t="str">
        <x:v>{"households_with_age65":1,"age_65_plus":-1}</x:v>
      </x:c>
    </x:row>
    <x:row r="29">
      <x:c r="A29" s="20" t="str">
        <x:v>LE-17</x:v>
      </x:c>
      <x:c r="B29" s="20" t="str">
        <x:v>less_than_or_equal</x:v>
      </x:c>
      <x:c r="C29" s="32" t="str">
        <x:v>age-65+ one-person households &lt;= living alone</x:v>
      </x:c>
      <x:c r="D29" s="32" t="str">
        <x:v>{"age65_one_person_households":1,"living_alone_households":-1}</x:v>
      </x:c>
    </x:row>
    <x:row r="30">
      <x:c r="A30" s="20" t="str">
        <x:v>LE-18</x:v>
      </x:c>
      <x:c r="B30" s="20" t="str">
        <x:v>less_than_or_equal</x:v>
      </x:c>
      <x:c r="C30" s="32" t="str">
        <x:v>age-65+ one-person households &lt;= households with age 65+</x:v>
      </x:c>
      <x:c r="D30" s="32" t="str">
        <x:v>{"age65_one_person_households":1,"households_with_age65":-1}</x:v>
      </x:c>
    </x:row>
    <x:row r="31">
      <x:c r="A31" s="20" t="str">
        <x:v>LE-19</x:v>
      </x:c>
      <x:c r="B31" s="20" t="str">
        <x:v>less_than_or_equal</x:v>
      </x:c>
      <x:c r="C31" s="32" t="str">
        <x:v>no-vehicle households &lt;= households</x:v>
      </x:c>
      <x:c r="D31" s="32" t="str">
        <x:v>{"no_vehicle_households":1,"households":-1}</x:v>
      </x:c>
    </x:row>
    <x:row r="32">
      <x:c r="A32" s="20" t="str">
        <x:v>LE-20</x:v>
      </x:c>
      <x:c r="B32" s="20" t="str">
        <x:v>less_than_or_equal</x:v>
      </x:c>
      <x:c r="C32" s="32" t="str">
        <x:v>limited-English households &lt;= households</x:v>
      </x:c>
      <x:c r="D32" s="32" t="str">
        <x:v>{"limited_english_households":1,"households":-1}</x:v>
      </x:c>
    </x:row>
    <x:row r="33">
      <x:c r="A33" s="20" t="str">
        <x:v>LE-21</x:v>
      </x:c>
      <x:c r="B33" s="20" t="str">
        <x:v>less_than_or_equal</x:v>
      </x:c>
      <x:c r="C33" s="32" t="str">
        <x:v>electric-heat households &lt;= households</x:v>
      </x:c>
      <x:c r="D33" s="32" t="str">
        <x:v>{"electric_heat_households":1,"households":-1}</x:v>
      </x:c>
    </x:row>
    <x:row r="34">
      <x:c r="A34" s="20" t="str">
        <x:v>LE-22</x:v>
      </x:c>
      <x:c r="B34" s="20" t="str">
        <x:v>less_than_or_equal</x:v>
      </x:c>
      <x:c r="C34" s="32" t="str">
        <x:v>hearing_difficulty &lt;= any disability</x:v>
      </x:c>
      <x:c r="D34" s="32" t="str">
        <x:v>{"hearing_difficulty":1,"any_disability":-1}</x:v>
      </x:c>
    </x:row>
    <x:row r="35">
      <x:c r="A35" s="20" t="str">
        <x:v>LE-23</x:v>
      </x:c>
      <x:c r="B35" s="20" t="str">
        <x:v>less_than_or_equal</x:v>
      </x:c>
      <x:c r="C35" s="32" t="str">
        <x:v>vision_difficulty &lt;= any disability</x:v>
      </x:c>
      <x:c r="D35" s="32" t="str">
        <x:v>{"vision_difficulty":1,"any_disability":-1}</x:v>
      </x:c>
    </x:row>
    <x:row r="36">
      <x:c r="A36" s="20" t="str">
        <x:v>LE-24</x:v>
      </x:c>
      <x:c r="B36" s="20" t="str">
        <x:v>less_than_or_equal</x:v>
      </x:c>
      <x:c r="C36" s="32" t="str">
        <x:v>cognitive_difficulty &lt;= any disability</x:v>
      </x:c>
      <x:c r="D36" s="32" t="str">
        <x:v>{"cognitive_difficulty":1,"any_disability":-1}</x:v>
      </x:c>
    </x:row>
    <x:row r="37">
      <x:c r="A37" s="20" t="str">
        <x:v>LE-25</x:v>
      </x:c>
      <x:c r="B37" s="20" t="str">
        <x:v>less_than_or_equal</x:v>
      </x:c>
      <x:c r="C37" s="32" t="str">
        <x:v>ambulatory_difficulty &lt;= any disability</x:v>
      </x:c>
      <x:c r="D37" s="32" t="str">
        <x:v>{"ambulatory_difficulty":1,"any_disability":-1}</x:v>
      </x:c>
    </x:row>
    <x:row r="38">
      <x:c r="A38" s="20" t="str">
        <x:v>LE-26</x:v>
      </x:c>
      <x:c r="B38" s="20" t="str">
        <x:v>less_than_or_equal</x:v>
      </x:c>
      <x:c r="C38" s="32" t="str">
        <x:v>self_care_difficulty &lt;= any disability</x:v>
      </x:c>
      <x:c r="D38" s="32" t="str">
        <x:v>{"self_care_difficulty":1,"any_disability":-1}</x:v>
      </x:c>
    </x:row>
    <x:row r="39">
      <x:c r="A39" s="21" t="str">
        <x:v>LE-27</x:v>
      </x:c>
      <x:c r="B39" s="21" t="str">
        <x:v>less_than_or_equal</x:v>
      </x:c>
      <x:c r="C39" s="33" t="str">
        <x:v>independent_living_difficulty &lt;= any disability</x:v>
      </x:c>
      <x:c r="D39" s="33" t="str">
        <x:v>{"independent_living_difficulty":1,"any_disability":-1}</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10" hidden="0" customWidth="1"/>
    <x:col min="3" max="3" width="12" hidden="0" customWidth="1"/>
    <x:col min="4" max="4" width="22" hidden="0" customWidth="1"/>
    <x:col min="5" max="5" width="20" hidden="0" customWidth="1"/>
    <x:col min="6" max="6" width="60" hidden="0" customWidth="1"/>
    <x:col min="7" max="7" width="76" hidden="0" customWidth="1"/>
    <x:col min="8" max="8" width="16" hidden="0" customWidth="1"/>
    <x:col min="9" max="9" width="20" hidden="0" customWidth="1"/>
  </x:cols>
  <x:sheetData>
    <x:row r="1">
      <x:c r="A1" s="1" t="str">
        <x:v>Convergence</x:v>
      </x:c>
      <x:c r="B1" s="28"/>
      <x:c r="C1" s="28"/>
      <x:c r="D1" s="28"/>
      <x:c r="E1" s="28"/>
      <x:c r="F1" s="28"/>
      <x:c r="G1" s="28"/>
      <x:c r="H1" s="28"/>
      <x:c r="I1" s="28"/>
    </x:row>
    <x:row r="2">
      <x:c r="A2" s="2" t="str">
        <x:v>Nested K-to-K/2 target diagnostics; mean and tail thresholds co-govern admission</x:v>
      </x:c>
      <x:c r="B2" s="28"/>
      <x:c r="C2" s="28"/>
      <x:c r="D2" s="28"/>
      <x:c r="E2" s="28"/>
      <x:c r="F2" s="28"/>
      <x:c r="G2" s="28"/>
      <x:c r="H2" s="28"/>
      <x:c r="I2" s="28"/>
    </x:row>
    <x:row r="3">
      <x:c r="A3" s="28"/>
      <x:c r="B3" s="28"/>
      <x:c r="C3" s="28"/>
      <x:c r="D3" s="28"/>
      <x:c r="E3" s="28"/>
      <x:c r="F3" s="28"/>
      <x:c r="G3" s="28"/>
      <x:c r="H3" s="28"/>
      <x:c r="I3" s="28"/>
    </x:row>
    <x:row r="4">
      <x:c r="A4" s="29"/>
      <x:c r="B4" s="29"/>
      <x:c r="C4" s="29"/>
      <x:c r="D4" s="29"/>
      <x:c r="E4" s="29"/>
      <x:c r="F4" s="29"/>
      <x:c r="G4" s="29"/>
      <x:c r="H4" s="29"/>
      <x:c r="I4" s="29"/>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row>
    <x:row r="6" ht="34" customHeight="1">
      <x:c r="A6" s="16" t="str">
        <x:v>Case</x:v>
      </x:c>
      <x:c r="B6" s="16" t="str">
        <x:v>K</x:v>
      </x:c>
      <x:c r="C6" s="16" t="str">
        <x:v>Compared K</x:v>
      </x:c>
      <x:c r="D6" s="16" t="str">
        <x:v>Max mean-share change</x:v>
      </x:c>
      <x:c r="E6" s="16" t="str">
        <x:v>Max quantile change</x:v>
      </x:c>
      <x:c r="F6" s="16" t="str">
        <x:v>Worst mean</x:v>
      </x:c>
      <x:c r="G6" s="16" t="str">
        <x:v>Worst quantile</x:v>
      </x:c>
      <x:c r="H6" s="16" t="str">
        <x:v>Rejected rows</x:v>
      </x:c>
      <x:c r="I6" s="16" t="str">
        <x:v>Target-only gate</x:v>
      </x:c>
    </x:row>
    <x:row r="7">
      <x:c r="A7" s="19" t="str">
        <x:v>T0_TABLE_BLOCK</x:v>
      </x:c>
      <x:c r="B7" s="19" t="n">
        <x:v>125</x:v>
      </x:c>
      <x:c r="C7" s="19"/>
      <x:c r="D7" s="22"/>
      <x:c r="E7" s="22"/>
      <x:c r="F7" s="31" t="str">
        <x:v>Baseline</x:v>
      </x:c>
      <x:c r="G7" s="31" t="str">
        <x:v>Baseline</x:v>
      </x:c>
      <x:c r="H7" s="19" t="n">
        <x:v>1</x:v>
      </x:c>
      <x:c r="I7" s="19" t="str">
        <x:v>Baseline</x:v>
      </x:c>
    </x:row>
    <x:row r="8">
      <x:c r="A8" s="20" t="str">
        <x:v>T0_TABLE_BLOCK</x:v>
      </x:c>
      <x:c r="B8" s="20" t="n">
        <x:v>250</x:v>
      </x:c>
      <x:c r="C8" s="20" t="n">
        <x:v>125</x:v>
      </x:c>
      <x:c r="D8" s="23" t="n">
        <x:v>0.0012946058091285462</x:v>
      </x:c>
      <x:c r="E8" s="23" t="n">
        <x:v>0.013422253074176993</x:v>
      </x:c>
      <x:c r="F8" s="32" t="str">
        <x:v>NYC-V1-R01 / acs_population: 1.019618 to 1.020913</x:v>
      </x:c>
      <x:c r="G8" s="32" t="str">
        <x:v>NYC-V3-R03 / civilian_noninstitutionalized / q95: 1.051517 to 1.064940</x:v>
      </x:c>
      <x:c r="H8" s="20" t="n">
        <x:v>3</x:v>
      </x:c>
      <x:c r="I8" s="20" t="str">
        <x:v>Not met</x:v>
      </x:c>
    </x:row>
    <x:row r="9">
      <x:c r="A9" s="20" t="str">
        <x:v>T0_TABLE_BLOCK</x:v>
      </x:c>
      <x:c r="B9" s="20" t="n">
        <x:v>500</x:v>
      </x:c>
      <x:c r="C9" s="20" t="n">
        <x:v>250</x:v>
      </x:c>
      <x:c r="D9" s="23" t="n">
        <x:v>0.0018627633653433007</x:v>
      </x:c>
      <x:c r="E9" s="23" t="n">
        <x:v>0.009543211841476995</x:v>
      </x:c>
      <x:c r="F9" s="32" t="str">
        <x:v>NYC-V1-R03 / civilian_noninstitutionalized: 0.976326 to 0.974463</x:v>
      </x:c>
      <x:c r="G9" s="32" t="str">
        <x:v>NYC-V1-R02 / civilian_noninstitutionalized / q05: 0.906298 to 0.896755</x:v>
      </x:c>
      <x:c r="H9" s="20" t="n">
        <x:v>4</x:v>
      </x:c>
      <x:c r="I9" s="20" t="str">
        <x:v>Not met</x:v>
      </x:c>
    </x:row>
    <x:row r="10">
      <x:c r="A10" s="20" t="str">
        <x:v>T0_TABLE_BLOCK</x:v>
      </x:c>
      <x:c r="B10" s="20" t="n">
        <x:v>1000</x:v>
      </x:c>
      <x:c r="C10" s="20" t="n">
        <x:v>500</x:v>
      </x:c>
      <x:c r="D10" s="23" t="n">
        <x:v>0.0017965918754494492</x:v>
      </x:c>
      <x:c r="E10" s="23" t="n">
        <x:v>0.008906260221102857</x:v>
      </x:c>
      <x:c r="F10" s="32" t="str">
        <x:v>NYC-V2-R01 / acs_population: 1.029342 to 1.031138</x:v>
      </x:c>
      <x:c r="G10" s="32" t="str">
        <x:v>NYC-V2-R01 / acs_population / q05: 0.955464 to 0.964370</x:v>
      </x:c>
      <x:c r="H10" s="20" t="n">
        <x:v>8</x:v>
      </x:c>
      <x:c r="I10" s="20" t="str">
        <x:v>Not met</x:v>
      </x:c>
    </x:row>
    <x:row r="11">
      <x:c r="A11" s="20" t="str">
        <x:v>T1_SHARED_CATCHMENT</x:v>
      </x:c>
      <x:c r="B11" s="20" t="n">
        <x:v>125</x:v>
      </x:c>
      <x:c r="C11" s="20"/>
      <x:c r="D11" s="23"/>
      <x:c r="E11" s="23"/>
      <x:c r="F11" s="32" t="str">
        <x:v>Baseline</x:v>
      </x:c>
      <x:c r="G11" s="32" t="str">
        <x:v>Baseline</x:v>
      </x:c>
      <x:c r="H11" s="20" t="n">
        <x:v>0</x:v>
      </x:c>
      <x:c r="I11" s="20" t="str">
        <x:v>Baseline</x:v>
      </x:c>
    </x:row>
    <x:row r="12">
      <x:c r="A12" s="20" t="str">
        <x:v>T1_SHARED_CATCHMENT</x:v>
      </x:c>
      <x:c r="B12" s="20" t="n">
        <x:v>250</x:v>
      </x:c>
      <x:c r="C12" s="20" t="n">
        <x:v>125</x:v>
      </x:c>
      <x:c r="D12" s="23" t="n">
        <x:v>0.0015038921959833473</x:v>
      </x:c>
      <x:c r="E12" s="23" t="n">
        <x:v>0.013609038321443334</x:v>
      </x:c>
      <x:c r="F12" s="32" t="str">
        <x:v>NYC-V2-R01 / acs_population: 1.025421 to 1.026925</x:v>
      </x:c>
      <x:c r="G12" s="32" t="str">
        <x:v>NYC-V1-R01 / no_vehicle_households / q95: 0.684735 to 0.698344</x:v>
      </x:c>
      <x:c r="H12" s="20" t="n">
        <x:v>1</x:v>
      </x:c>
      <x:c r="I12" s="20" t="str">
        <x:v>Not met</x:v>
      </x:c>
    </x:row>
    <x:row r="13">
      <x:c r="A13" s="20" t="str">
        <x:v>T1_SHARED_CATCHMENT</x:v>
      </x:c>
      <x:c r="B13" s="20" t="n">
        <x:v>500</x:v>
      </x:c>
      <x:c r="C13" s="20" t="n">
        <x:v>250</x:v>
      </x:c>
      <x:c r="D13" s="23" t="n">
        <x:v>0.001713200515980895</x:v>
      </x:c>
      <x:c r="E13" s="23" t="n">
        <x:v>0.01155343299205136</x:v>
      </x:c>
      <x:c r="F13" s="32" t="str">
        <x:v>NYC-V1-R03 / civilian_noninstitutionalized: 0.978103 to 0.976390</x:v>
      </x:c>
      <x:c r="G13" s="32" t="str">
        <x:v>NYC-V2-R01 / civilian_noninstitutionalized / q05: 0.919154 to 0.907600</x:v>
      </x:c>
      <x:c r="H13" s="20" t="n">
        <x:v>1</x:v>
      </x:c>
      <x:c r="I13" s="20" t="str">
        <x:v>Not met</x:v>
      </x:c>
    </x:row>
    <x:row r="14">
      <x:c r="A14" s="20" t="str">
        <x:v>T1_SHARED_CATCHMENT</x:v>
      </x:c>
      <x:c r="B14" s="20" t="n">
        <x:v>1000</x:v>
      </x:c>
      <x:c r="C14" s="20" t="n">
        <x:v>500</x:v>
      </x:c>
      <x:c r="D14" s="23" t="n">
        <x:v>0.0014942107673188154</x:v>
      </x:c>
      <x:c r="E14" s="23" t="n">
        <x:v>0.009637811700009435</x:v>
      </x:c>
      <x:c r="F14" s="32" t="str">
        <x:v>NYC-V2-R01 / acs_population: 1.027348 to 1.028842</x:v>
      </x:c>
      <x:c r="G14" s="32" t="str">
        <x:v>NYC-V2-R01 / housing_units / q05: 0.926993 to 0.936631</x:v>
      </x:c>
      <x:c r="H14" s="20" t="n">
        <x:v>4</x:v>
      </x:c>
      <x:c r="I14" s="20" t="str">
        <x:v>Not met</x:v>
      </x:c>
    </x:row>
    <x:row r="15">
      <x:c r="A15" s="20" t="str">
        <x:v>T2_CONCORDANT_DOMAIN</x:v>
      </x:c>
      <x:c r="B15" s="20" t="n">
        <x:v>125</x:v>
      </x:c>
      <x:c r="C15" s="20"/>
      <x:c r="D15" s="23"/>
      <x:c r="E15" s="23"/>
      <x:c r="F15" s="32" t="str">
        <x:v>Baseline</x:v>
      </x:c>
      <x:c r="G15" s="32" t="str">
        <x:v>Baseline</x:v>
      </x:c>
      <x:c r="H15" s="20" t="n">
        <x:v>0</x:v>
      </x:c>
      <x:c r="I15" s="20" t="str">
        <x:v>Baseline</x:v>
      </x:c>
    </x:row>
    <x:row r="16">
      <x:c r="A16" s="20" t="str">
        <x:v>T2_CONCORDANT_DOMAIN</x:v>
      </x:c>
      <x:c r="B16" s="20" t="n">
        <x:v>250</x:v>
      </x:c>
      <x:c r="C16" s="20" t="n">
        <x:v>125</x:v>
      </x:c>
      <x:c r="D16" s="23" t="n">
        <x:v>0.00150775966282235</x:v>
      </x:c>
      <x:c r="E16" s="23" t="n">
        <x:v>0.01153589049816961</x:v>
      </x:c>
      <x:c r="F16" s="32" t="str">
        <x:v>NYC-V1-R01 / acs_population: 1.014648 to 1.016155</x:v>
      </x:c>
      <x:c r="G16" s="32" t="str">
        <x:v>NYC-V1-R02 / civilian_noninstitutionalized / q05: 0.903836 to 0.892300</x:v>
      </x:c>
      <x:c r="H16" s="20" t="n">
        <x:v>0</x:v>
      </x:c>
      <x:c r="I16" s="20" t="str">
        <x:v>Not met</x:v>
      </x:c>
    </x:row>
    <x:row r="17">
      <x:c r="A17" s="20" t="str">
        <x:v>T2_CONCORDANT_DOMAIN</x:v>
      </x:c>
      <x:c r="B17" s="20" t="n">
        <x:v>500</x:v>
      </x:c>
      <x:c r="C17" s="20" t="n">
        <x:v>250</x:v>
      </x:c>
      <x:c r="D17" s="23" t="n">
        <x:v>0.0013229915500061473</x:v>
      </x:c>
      <x:c r="E17" s="23" t="n">
        <x:v>0.009029940881062903</x:v>
      </x:c>
      <x:c r="F17" s="32" t="str">
        <x:v>NYC-V3-R02 / acs_population: 1.022170 to 1.020847</x:v>
      </x:c>
      <x:c r="G17" s="32" t="str">
        <x:v>NYC-V1-R02 / acs_population / q05: 0.934465 to 0.943495</x:v>
      </x:c>
      <x:c r="H17" s="20" t="n">
        <x:v>1</x:v>
      </x:c>
      <x:c r="I17" s="20" t="str">
        <x:v>Not met</x:v>
      </x:c>
    </x:row>
    <x:row r="18">
      <x:c r="A18" s="21" t="str">
        <x:v>T2_CONCORDANT_DOMAIN</x:v>
      </x:c>
      <x:c r="B18" s="21" t="n">
        <x:v>1000</x:v>
      </x:c>
      <x:c r="C18" s="21" t="n">
        <x:v>500</x:v>
      </x:c>
      <x:c r="D18" s="24" t="n">
        <x:v>0.0013523909203900786</x:v>
      </x:c>
      <x:c r="E18" s="24" t="n">
        <x:v>0.007737809157707054</x:v>
      </x:c>
      <x:c r="F18" s="33" t="str">
        <x:v>NYC-V2-R01 / acs_population: 1.025163 to 1.026515</x:v>
      </x:c>
      <x:c r="G18" s="33" t="str">
        <x:v>NYC-V2-R01 / no_vehicle_households / q05: 0.714479 to 0.706741</x:v>
      </x:c>
      <x:c r="H18" s="21" t="n">
        <x:v>1</x:v>
      </x:c>
      <x:c r="I18" s="21" t="str">
        <x:v>Not met</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18" hidden="0" customWidth="1"/>
    <x:col min="4" max="4" width="18" hidden="0" customWidth="1"/>
    <x:col min="5" max="5" width="18" hidden="0" customWidth="1"/>
    <x:col min="6" max="6" width="18" hidden="0" customWidth="1"/>
  </x:cols>
  <x:sheetData>
    <x:row r="1">
      <x:c r="A1" s="1" t="str">
        <x:v>Projection Summary</x:v>
      </x:c>
      <x:c r="B1" s="28"/>
      <x:c r="C1" s="28"/>
      <x:c r="D1" s="28"/>
      <x:c r="E1" s="28"/>
      <x:c r="F1" s="28"/>
    </x:row>
    <x:row r="2">
      <x:c r="A2" s="2" t="str">
        <x:v>Distribution of repair required to make candidate margins integer and feasible</x:v>
      </x:c>
      <x:c r="B2" s="28"/>
      <x:c r="C2" s="28"/>
      <x:c r="D2" s="28"/>
      <x:c r="E2" s="28"/>
      <x:c r="F2" s="28"/>
    </x:row>
    <x:row r="3">
      <x:c r="A3" s="28"/>
      <x:c r="B3" s="28"/>
      <x:c r="C3" s="28"/>
      <x:c r="D3" s="28"/>
      <x:c r="E3" s="28"/>
      <x:c r="F3" s="28"/>
    </x:row>
    <x:row r="4">
      <x:c r="A4" s="29"/>
      <x:c r="B4" s="29"/>
      <x:c r="C4" s="29"/>
      <x:c r="D4" s="29"/>
      <x:c r="E4" s="29"/>
      <x:c r="F4" s="29"/>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row>
    <x:row r="6" ht="34" customHeight="1">
      <x:c r="A6" s="16" t="str">
        <x:v>Case</x:v>
      </x:c>
      <x:c r="B6" s="16" t="str">
        <x:v>Measure</x:v>
      </x:c>
      <x:c r="C6" s="16" t="str">
        <x:v>Minimum</x:v>
      </x:c>
      <x:c r="D6" s="16" t="str">
        <x:v>Median</x:v>
      </x:c>
      <x:c r="E6" s="16" t="str">
        <x:v>P95</x:v>
      </x:c>
      <x:c r="F6" s="16" t="str">
        <x:v>Maximum</x:v>
      </x:c>
    </x:row>
    <x:row r="7">
      <x:c r="A7" s="19" t="str">
        <x:v>T0_TABLE_BLOCK</x:v>
      </x:c>
      <x:c r="B7" s="19" t="str">
        <x:v>mean_standardized_shift</x:v>
      </x:c>
      <x:c r="C7" s="41" t="n">
        <x:v>0.0010028305302681516</x:v>
      </x:c>
      <x:c r="D7" s="41" t="n">
        <x:v>0.07718658060699105</x:v>
      </x:c>
      <x:c r="E7" s="41" t="n">
        <x:v>0.18449387955327795</x:v>
      </x:c>
      <x:c r="F7" s="41" t="n">
        <x:v>0.3390881339478531</x:v>
      </x:c>
    </x:row>
    <x:row r="8">
      <x:c r="A8" s="20" t="str">
        <x:v>T0_TABLE_BLOCK</x:v>
      </x:c>
      <x:c r="B8" s="20" t="str">
        <x:v>max_screen_precision_shift</x:v>
      </x:c>
      <x:c r="C8" s="42" t="n">
        <x:v>0.0046295271872880805</x:v>
      </x:c>
      <x:c r="D8" s="42" t="n">
        <x:v>1.230716291714133</x:v>
      </x:c>
      <x:c r="E8" s="42" t="n">
        <x:v>3.0256002854119064</x:v>
      </x:c>
      <x:c r="F8" s="42" t="n">
        <x:v>6.477600615033353</x:v>
      </x:c>
    </x:row>
    <x:row r="9">
      <x:c r="A9" s="20" t="str">
        <x:v>T0_TABLE_BLOCK</x:v>
      </x:c>
      <x:c r="B9" s="20" t="str">
        <x:v>max_standardized_shift</x:v>
      </x:c>
      <x:c r="C9" s="42" t="n">
        <x:v>0.0046295271872880805</x:v>
      </x:c>
      <x:c r="D9" s="42" t="n">
        <x:v>1.317646540361498</x:v>
      </x:c>
      <x:c r="E9" s="42" t="n">
        <x:v>3.0341985875192394</x:v>
      </x:c>
      <x:c r="F9" s="42" t="n">
        <x:v>6.477600615033353</x:v>
      </x:c>
    </x:row>
    <x:row r="10">
      <x:c r="A10" s="20" t="str">
        <x:v>T0_TABLE_BLOCK</x:v>
      </x:c>
      <x:c r="B10" s="20" t="str">
        <x:v>changed_metrics</x:v>
      </x:c>
      <x:c r="C10" s="42" t="n">
        <x:v>0</x:v>
      </x:c>
      <x:c r="D10" s="42" t="n">
        <x:v>6</x:v>
      </x:c>
      <x:c r="E10" s="42" t="n">
        <x:v>11</x:v>
      </x:c>
      <x:c r="F10" s="42" t="n">
        <x:v>16</x:v>
      </x:c>
    </x:row>
    <x:row r="11">
      <x:c r="A11" s="20" t="str">
        <x:v>T1_SHARED_CATCHMENT</x:v>
      </x:c>
      <x:c r="B11" s="20" t="str">
        <x:v>mean_standardized_shift</x:v>
      </x:c>
      <x:c r="C11" s="42" t="n">
        <x:v>0.0010672688998717747</x:v>
      </x:c>
      <x:c r="D11" s="42" t="n">
        <x:v>0.08151643405505296</x:v>
      </x:c>
      <x:c r="E11" s="42" t="n">
        <x:v>0.18387516166024967</x:v>
      </x:c>
      <x:c r="F11" s="42" t="n">
        <x:v>0.3767861807028017</x:v>
      </x:c>
    </x:row>
    <x:row r="12">
      <x:c r="A12" s="20" t="str">
        <x:v>T1_SHARED_CATCHMENT</x:v>
      </x:c>
      <x:c r="B12" s="20" t="str">
        <x:v>max_screen_precision_shift</x:v>
      </x:c>
      <x:c r="C12" s="42" t="n">
        <x:v>0.0038733904762335123</x:v>
      </x:c>
      <x:c r="D12" s="42" t="n">
        <x:v>1.1869575574875104</x:v>
      </x:c>
      <x:c r="E12" s="42" t="n">
        <x:v>2.840689443536351</x:v>
      </x:c>
      <x:c r="F12" s="42" t="n">
        <x:v>5.317819901449541</x:v>
      </x:c>
    </x:row>
    <x:row r="13">
      <x:c r="A13" s="20" t="str">
        <x:v>T1_SHARED_CATCHMENT</x:v>
      </x:c>
      <x:c r="B13" s="20" t="str">
        <x:v>max_standardized_shift</x:v>
      </x:c>
      <x:c r="C13" s="42" t="n">
        <x:v>0.0038733904762335123</x:v>
      </x:c>
      <x:c r="D13" s="42" t="n">
        <x:v>1.2778417574934968</x:v>
      </x:c>
      <x:c r="E13" s="42" t="n">
        <x:v>2.8577242604657895</x:v>
      </x:c>
      <x:c r="F13" s="42" t="n">
        <x:v>5.317819901449541</x:v>
      </x:c>
    </x:row>
    <x:row r="14">
      <x:c r="A14" s="20" t="str">
        <x:v>T1_SHARED_CATCHMENT</x:v>
      </x:c>
      <x:c r="B14" s="20" t="str">
        <x:v>changed_metrics</x:v>
      </x:c>
      <x:c r="C14" s="42" t="n">
        <x:v>3</x:v>
      </x:c>
      <x:c r="D14" s="42" t="n">
        <x:v>9</x:v>
      </x:c>
      <x:c r="E14" s="42" t="n">
        <x:v>13</x:v>
      </x:c>
      <x:c r="F14" s="42" t="n">
        <x:v>19</x:v>
      </x:c>
    </x:row>
    <x:row r="15">
      <x:c r="A15" s="20" t="str">
        <x:v>T2_CONCORDANT_DOMAIN</x:v>
      </x:c>
      <x:c r="B15" s="20" t="str">
        <x:v>mean_standardized_shift</x:v>
      </x:c>
      <x:c r="C15" s="42" t="n">
        <x:v>0.0053090966401425615</x:v>
      </x:c>
      <x:c r="D15" s="42" t="n">
        <x:v>0.08388518025475858</x:v>
      </x:c>
      <x:c r="E15" s="42" t="n">
        <x:v>0.18047723487023642</x:v>
      </x:c>
      <x:c r="F15" s="42" t="n">
        <x:v>0.3510694098064517</x:v>
      </x:c>
    </x:row>
    <x:row r="16">
      <x:c r="A16" s="20" t="str">
        <x:v>T2_CONCORDANT_DOMAIN</x:v>
      </x:c>
      <x:c r="B16" s="20" t="str">
        <x:v>max_screen_precision_shift</x:v>
      </x:c>
      <x:c r="C16" s="42" t="n">
        <x:v>0.057554770494876485</x:v>
      </x:c>
      <x:c r="D16" s="42" t="n">
        <x:v>1.1809403641999816</x:v>
      </x:c>
      <x:c r="E16" s="42" t="n">
        <x:v>2.7307800500720623</x:v>
      </x:c>
      <x:c r="F16" s="42" t="n">
        <x:v>5.139160224812601</x:v>
      </x:c>
    </x:row>
    <x:row r="17">
      <x:c r="A17" s="20" t="str">
        <x:v>T2_CONCORDANT_DOMAIN</x:v>
      </x:c>
      <x:c r="B17" s="20" t="str">
        <x:v>max_standardized_shift</x:v>
      </x:c>
      <x:c r="C17" s="42" t="n">
        <x:v>0.06947499073353866</x:v>
      </x:c>
      <x:c r="D17" s="42" t="n">
        <x:v>1.2547090065286204</x:v>
      </x:c>
      <x:c r="E17" s="42" t="n">
        <x:v>2.7446188924680333</x:v>
      </x:c>
      <x:c r="F17" s="42" t="n">
        <x:v>5.139160224812601</x:v>
      </x:c>
    </x:row>
    <x:row r="18">
      <x:c r="A18" s="21" t="str">
        <x:v>T2_CONCORDANT_DOMAIN</x:v>
      </x:c>
      <x:c r="B18" s="21" t="str">
        <x:v>changed_metrics</x:v>
      </x:c>
      <x:c r="C18" s="43" t="n">
        <x:v>3</x:v>
      </x:c>
      <x:c r="D18" s="43" t="n">
        <x:v>9</x:v>
      </x:c>
      <x:c r="E18" s="43" t="n">
        <x:v>13</x:v>
      </x:c>
      <x:c r="F18" s="43" t="n">
        <x:v>18</x:v>
      </x:c>
    </x:row>
    <x:row r="19">
      <x:c r="A19" s="28"/>
      <x:c r="B19" s="28"/>
      <x:c r="C19" s="28"/>
      <x:c r="D19" s="28"/>
      <x:c r="E19" s="28"/>
      <x:c r="F19" s="28"/>
    </x:row>
    <x:row r="20">
      <x:c r="A20" s="28"/>
      <x:c r="B20" s="28"/>
      <x:c r="C20" s="28"/>
      <x:c r="D20" s="28"/>
      <x:c r="E20" s="28"/>
      <x:c r="F20" s="28"/>
    </x:row>
    <x:row r="21">
      <x:c r="A21" s="6" t="str">
        <x:v>Distance rule</x:v>
      </x:c>
      <x:c r="B21" s="7"/>
      <x:c r="C21" s="7"/>
      <x:c r="D21" s="7"/>
      <x:c r="E21" s="7"/>
      <x:c r="F21" s="8"/>
    </x:row>
    <x:row r="22">
      <x:c r="A22" s="37" t="str">
        <x:v>A candidate row is rejected when mean standardized repair exceeds 0.50, the largest repair among screen-precision cells exceeds 5 standard errors, or any repair exceeds 8 standard errors. A feasible integer solution can still be rejected because excessive repair means the sampled margins were not a credible coherent target.</x:v>
      </x:c>
      <x:c r="B22" s="37"/>
      <x:c r="C22" s="37"/>
      <x:c r="D22" s="37"/>
      <x:c r="E22" s="37"/>
      <x:c r="F22" s="37"/>
    </x:row>
    <x:row r="23">
      <x:c r="A23" s="37"/>
      <x:c r="B23" s="37"/>
      <x:c r="C23" s="37"/>
      <x:c r="D23" s="37"/>
      <x:c r="E23" s="37"/>
      <x:c r="F23" s="37"/>
    </x:row>
    <x:row r="24">
      <x:c r="A24" s="37"/>
      <x:c r="B24" s="37"/>
      <x:c r="C24" s="37"/>
      <x:c r="D24" s="37"/>
      <x:c r="E24" s="37"/>
      <x:c r="F24" s="37"/>
    </x:row>
  </x:sheetData>
  <x:mergeCells>
    <x:mergeCell ref="A22:F24"/>
  </x:mergeCells>
  <x:pageMargins left="0.7" right="0.7" top="0.75" bottom="0.75" header="0.3" footer="0.3"/>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12" hidden="0" customWidth="1"/>
    <x:col min="3" max="3" width="18" hidden="0" customWidth="1"/>
    <x:col min="4" max="4" width="12" hidden="0" customWidth="1"/>
    <x:col min="5" max="5" width="38" hidden="0" customWidth="1"/>
    <x:col min="6" max="6" width="16" hidden="0" customWidth="1"/>
    <x:col min="7" max="7" width="16" hidden="0" customWidth="1"/>
    <x:col min="8" max="8" width="16" hidden="0" customWidth="1"/>
    <x:col min="9" max="9" width="18" hidden="0" customWidth="1"/>
    <x:col min="10" max="10" width="34" hidden="0" customWidth="1"/>
  </x:cols>
  <x:sheetData>
    <x:row r="1">
      <x:c r="A1" s="1" t="str">
        <x:v>Rejected Rows</x:v>
      </x:c>
      <x:c r="B1" s="28"/>
      <x:c r="C1" s="28"/>
      <x:c r="D1" s="28"/>
      <x:c r="E1" s="28"/>
      <x:c r="F1" s="28"/>
      <x:c r="G1" s="28"/>
      <x:c r="H1" s="28"/>
      <x:c r="I1" s="28"/>
      <x:c r="J1" s="28"/>
    </x:row>
    <x:row r="2">
      <x:c r="A2" s="2" t="str">
        <x:v>Candidate catchment targets rejected for excessive feasibility repair</x:v>
      </x:c>
      <x:c r="B2" s="28"/>
      <x:c r="C2" s="28"/>
      <x:c r="D2" s="28"/>
      <x:c r="E2" s="28"/>
      <x:c r="F2" s="28"/>
      <x:c r="G2" s="28"/>
      <x:c r="H2" s="28"/>
      <x:c r="I2" s="28"/>
      <x:c r="J2" s="28"/>
    </x:row>
    <x:row r="3">
      <x:c r="A3" s="28"/>
      <x:c r="B3" s="28"/>
      <x:c r="C3" s="28"/>
      <x:c r="D3" s="28"/>
      <x:c r="E3" s="28"/>
      <x:c r="F3" s="28"/>
      <x:c r="G3" s="28"/>
      <x:c r="H3" s="28"/>
      <x:c r="I3" s="28"/>
      <x:c r="J3" s="28"/>
    </x:row>
    <x:row r="4">
      <x:c r="A4" s="29"/>
      <x:c r="B4" s="29"/>
      <x:c r="C4" s="29"/>
      <x:c r="D4" s="29"/>
      <x:c r="E4" s="29"/>
      <x:c r="F4" s="29"/>
      <x:c r="G4" s="29"/>
      <x:c r="H4" s="29"/>
      <x:c r="I4" s="29"/>
      <x:c r="J4" s="29"/>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c r="J5" s="28"/>
    </x:row>
    <x:row r="6" ht="34" customHeight="1">
      <x:c r="A6" s="16" t="str">
        <x:v>Case</x:v>
      </x:c>
      <x:c r="B6" s="16" t="str">
        <x:v>Member</x:v>
      </x:c>
      <x:c r="C6" s="16" t="str">
        <x:v>Catchment</x:v>
      </x:c>
      <x:c r="D6" s="16" t="str">
        <x:v>Archetype</x:v>
      </x:c>
      <x:c r="E6" s="16" t="str">
        <x:v>Largest-shift metric</x:v>
      </x:c>
      <x:c r="F6" s="16" t="str">
        <x:v>Mean shift</x:v>
      </x:c>
      <x:c r="G6" s="16" t="str">
        <x:v>Screen max</x:v>
      </x:c>
      <x:c r="H6" s="16" t="str">
        <x:v>Any max</x:v>
      </x:c>
      <x:c r="I6" s="16" t="str">
        <x:v>Changed metrics</x:v>
      </x:c>
      <x:c r="J6" s="16" t="str">
        <x:v>Status</x:v>
      </x:c>
    </x:row>
    <x:row r="7">
      <x:c r="A7" s="44" t="str">
        <x:v>T0_TABLE_BLOCK</x:v>
      </x:c>
      <x:c r="B7" s="44" t="n">
        <x:v>58</x:v>
      </x:c>
      <x:c r="C7" s="44" t="str">
        <x:v>NYC-V3-R03</x:v>
      </x:c>
      <x:c r="D7" s="44" t="str">
        <x:v>V3</x:v>
      </x:c>
      <x:c r="E7" s="44" t="str">
        <x:v>households</x:v>
      </x:c>
      <x:c r="F7" s="45" t="n">
        <x:v>0.2898666119323146</x:v>
      </x:c>
      <x:c r="G7" s="45" t="n">
        <x:v>5.296792519611592</x:v>
      </x:c>
      <x:c r="H7" s="45" t="n">
        <x:v>5.296792519611592</x:v>
      </x:c>
      <x:c r="I7" s="44" t="n">
        <x:v>4</x:v>
      </x:c>
      <x:c r="J7" s="44" t="str">
        <x:v>REJECTED_PROJECTION_DISTANCE</x:v>
      </x:c>
    </x:row>
    <x:row r="8">
      <x:c r="A8" s="46" t="str">
        <x:v>T0_TABLE_BLOCK</x:v>
      </x:c>
      <x:c r="B8" s="46" t="n">
        <x:v>150</x:v>
      </x:c>
      <x:c r="C8" s="46" t="str">
        <x:v>NYC-V1-R01</x:v>
      </x:c>
      <x:c r="D8" s="46" t="str">
        <x:v>V1</x:v>
      </x:c>
      <x:c r="E8" s="46" t="str">
        <x:v>family_households</x:v>
      </x:c>
      <x:c r="F8" s="47" t="n">
        <x:v>0.3155456101837682</x:v>
      </x:c>
      <x:c r="G8" s="47" t="n">
        <x:v>5.391396293301839</x:v>
      </x:c>
      <x:c r="H8" s="47" t="n">
        <x:v>5.391396293301839</x:v>
      </x:c>
      <x:c r="I8" s="46" t="n">
        <x:v>5</x:v>
      </x:c>
      <x:c r="J8" s="46" t="str">
        <x:v>REJECTED_PROJECTION_DISTANCE</x:v>
      </x:c>
    </x:row>
    <x:row r="9">
      <x:c r="A9" s="46" t="str">
        <x:v>T0_TABLE_BLOCK</x:v>
      </x:c>
      <x:c r="B9" s="46" t="n">
        <x:v>200</x:v>
      </x:c>
      <x:c r="C9" s="46" t="str">
        <x:v>NYC-V3-R02</x:v>
      </x:c>
      <x:c r="D9" s="46" t="str">
        <x:v>V3</x:v>
      </x:c>
      <x:c r="E9" s="46" t="str">
        <x:v>family_households</x:v>
      </x:c>
      <x:c r="F9" s="47" t="n">
        <x:v>0.2771152134142287</x:v>
      </x:c>
      <x:c r="G9" s="47" t="n">
        <x:v>5.652373353443817</x:v>
      </x:c>
      <x:c r="H9" s="47" t="n">
        <x:v>5.652373353443817</x:v>
      </x:c>
      <x:c r="I9" s="46" t="n">
        <x:v>4</x:v>
      </x:c>
      <x:c r="J9" s="46" t="str">
        <x:v>REJECTED_PROJECTION_DISTANCE</x:v>
      </x:c>
    </x:row>
    <x:row r="10">
      <x:c r="A10" s="46" t="str">
        <x:v>T0_TABLE_BLOCK</x:v>
      </x:c>
      <x:c r="B10" s="46" t="n">
        <x:v>306</x:v>
      </x:c>
      <x:c r="C10" s="46" t="str">
        <x:v>NYC-V3-R01</x:v>
      </x:c>
      <x:c r="D10" s="46" t="str">
        <x:v>V3</x:v>
      </x:c>
      <x:c r="E10" s="46" t="str">
        <x:v>households</x:v>
      </x:c>
      <x:c r="F10" s="47" t="n">
        <x:v>0.294369151454396</x:v>
      </x:c>
      <x:c r="G10" s="47" t="n">
        <x:v>5.222337198063681</x:v>
      </x:c>
      <x:c r="H10" s="47" t="n">
        <x:v>5.222337198063681</x:v>
      </x:c>
      <x:c r="I10" s="46" t="n">
        <x:v>7</x:v>
      </x:c>
      <x:c r="J10" s="46" t="str">
        <x:v>REJECTED_PROJECTION_DISTANCE</x:v>
      </x:c>
    </x:row>
    <x:row r="11">
      <x:c r="A11" s="46" t="str">
        <x:v>T0_TABLE_BLOCK</x:v>
      </x:c>
      <x:c r="B11" s="46" t="n">
        <x:v>524</x:v>
      </x:c>
      <x:c r="C11" s="46" t="str">
        <x:v>NYC-V1-R03</x:v>
      </x:c>
      <x:c r="D11" s="46" t="str">
        <x:v>V1</x:v>
      </x:c>
      <x:c r="E11" s="46" t="str">
        <x:v>civilian_noninstitutionalized</x:v>
      </x:c>
      <x:c r="F11" s="47" t="n">
        <x:v>0.2647993013256291</x:v>
      </x:c>
      <x:c r="G11" s="47" t="n">
        <x:v>5.528744833431853</x:v>
      </x:c>
      <x:c r="H11" s="47" t="n">
        <x:v>5.528744833431853</x:v>
      </x:c>
      <x:c r="I11" s="46" t="n">
        <x:v>7</x:v>
      </x:c>
      <x:c r="J11" s="46" t="str">
        <x:v>REJECTED_PROJECTION_DISTANCE</x:v>
      </x:c>
    </x:row>
    <x:row r="12">
      <x:c r="A12" s="46" t="str">
        <x:v>T0_TABLE_BLOCK</x:v>
      </x:c>
      <x:c r="B12" s="46" t="n">
        <x:v>650</x:v>
      </x:c>
      <x:c r="C12" s="46" t="str">
        <x:v>NYC-V3-R02</x:v>
      </x:c>
      <x:c r="D12" s="46" t="str">
        <x:v>V3</x:v>
      </x:c>
      <x:c r="E12" s="46" t="str">
        <x:v>family_households</x:v>
      </x:c>
      <x:c r="F12" s="47" t="n">
        <x:v>0.2607569290465445</x:v>
      </x:c>
      <x:c r="G12" s="47" t="n">
        <x:v>5.11131549123917</x:v>
      </x:c>
      <x:c r="H12" s="47" t="n">
        <x:v>5.11131549123917</x:v>
      </x:c>
      <x:c r="I12" s="46" t="n">
        <x:v>10</x:v>
      </x:c>
      <x:c r="J12" s="46" t="str">
        <x:v>REJECTED_PROJECTION_DISTANCE</x:v>
      </x:c>
    </x:row>
    <x:row r="13">
      <x:c r="A13" s="46" t="str">
        <x:v>T0_TABLE_BLOCK</x:v>
      </x:c>
      <x:c r="B13" s="46" t="n">
        <x:v>844</x:v>
      </x:c>
      <x:c r="C13" s="46" t="str">
        <x:v>NYC-V3-R02</x:v>
      </x:c>
      <x:c r="D13" s="46" t="str">
        <x:v>V3</x:v>
      </x:c>
      <x:c r="E13" s="46" t="str">
        <x:v>family_households</x:v>
      </x:c>
      <x:c r="F13" s="47" t="n">
        <x:v>0.3390881339478531</x:v>
      </x:c>
      <x:c r="G13" s="47" t="n">
        <x:v>6.477600615033353</x:v>
      </x:c>
      <x:c r="H13" s="47" t="n">
        <x:v>6.477600615033353</x:v>
      </x:c>
      <x:c r="I13" s="46" t="n">
        <x:v>9</x:v>
      </x:c>
      <x:c r="J13" s="46" t="str">
        <x:v>REJECTED_PROJECTION_DISTANCE</x:v>
      </x:c>
    </x:row>
    <x:row r="14">
      <x:c r="A14" s="46" t="str">
        <x:v>T0_TABLE_BLOCK</x:v>
      </x:c>
      <x:c r="B14" s="46" t="n">
        <x:v>851</x:v>
      </x:c>
      <x:c r="C14" s="46" t="str">
        <x:v>NYC-V3-R04</x:v>
      </x:c>
      <x:c r="D14" s="46" t="str">
        <x:v>V3</x:v>
      </x:c>
      <x:c r="E14" s="46" t="str">
        <x:v>family_households</x:v>
      </x:c>
      <x:c r="F14" s="47" t="n">
        <x:v>0.2623184002813563</x:v>
      </x:c>
      <x:c r="G14" s="47" t="n">
        <x:v>5.060272529362398</x:v>
      </x:c>
      <x:c r="H14" s="47" t="n">
        <x:v>5.060272529362398</x:v>
      </x:c>
      <x:c r="I14" s="46" t="n">
        <x:v>6</x:v>
      </x:c>
      <x:c r="J14" s="46" t="str">
        <x:v>REJECTED_PROJECTION_DISTANCE</x:v>
      </x:c>
    </x:row>
    <x:row r="15">
      <x:c r="A15" s="46" t="str">
        <x:v>T1_SHARED_CATCHMENT</x:v>
      </x:c>
      <x:c r="B15" s="46" t="n">
        <x:v>200</x:v>
      </x:c>
      <x:c r="C15" s="46" t="str">
        <x:v>NYC-V3-R02</x:v>
      </x:c>
      <x:c r="D15" s="46" t="str">
        <x:v>V3</x:v>
      </x:c>
      <x:c r="E15" s="46" t="str">
        <x:v>family_households</x:v>
      </x:c>
      <x:c r="F15" s="47" t="n">
        <x:v>0.2631163149030795</x:v>
      </x:c>
      <x:c r="G15" s="47" t="n">
        <x:v>5.317819901449541</x:v>
      </x:c>
      <x:c r="H15" s="47" t="n">
        <x:v>5.317819901449541</x:v>
      </x:c>
      <x:c r="I15" s="46" t="n">
        <x:v>5</x:v>
      </x:c>
      <x:c r="J15" s="46" t="str">
        <x:v>REJECTED_PROJECTION_DISTANCE</x:v>
      </x:c>
    </x:row>
    <x:row r="16">
      <x:c r="A16" s="46" t="str">
        <x:v>T1_SHARED_CATCHMENT</x:v>
      </x:c>
      <x:c r="B16" s="46" t="n">
        <x:v>524</x:v>
      </x:c>
      <x:c r="C16" s="46" t="str">
        <x:v>NYC-V1-R03</x:v>
      </x:c>
      <x:c r="D16" s="46" t="str">
        <x:v>V1</x:v>
      </x:c>
      <x:c r="E16" s="46" t="str">
        <x:v>civilian_noninstitutionalized</x:v>
      </x:c>
      <x:c r="F16" s="47" t="n">
        <x:v>0.24917392918938602</x:v>
      </x:c>
      <x:c r="G16" s="47" t="n">
        <x:v>5.111704750929463</x:v>
      </x:c>
      <x:c r="H16" s="47" t="n">
        <x:v>5.111704750929463</x:v>
      </x:c>
      <x:c r="I16" s="46" t="n">
        <x:v>11</x:v>
      </x:c>
      <x:c r="J16" s="46" t="str">
        <x:v>REJECTED_PROJECTION_DISTANCE</x:v>
      </x:c>
    </x:row>
    <x:row r="17">
      <x:c r="A17" s="46" t="str">
        <x:v>T1_SHARED_CATCHMENT</x:v>
      </x:c>
      <x:c r="B17" s="46" t="n">
        <x:v>650</x:v>
      </x:c>
      <x:c r="C17" s="46" t="str">
        <x:v>NYC-V3-R02</x:v>
      </x:c>
      <x:c r="D17" s="46" t="str">
        <x:v>V3</x:v>
      </x:c>
      <x:c r="E17" s="46" t="str">
        <x:v>family_households</x:v>
      </x:c>
      <x:c r="F17" s="47" t="n">
        <x:v>0.2719257896352587</x:v>
      </x:c>
      <x:c r="G17" s="47" t="n">
        <x:v>5.0174926837887135</x:v>
      </x:c>
      <x:c r="H17" s="47" t="n">
        <x:v>5.0174926837887135</x:v>
      </x:c>
      <x:c r="I17" s="46" t="n">
        <x:v>10</x:v>
      </x:c>
      <x:c r="J17" s="46" t="str">
        <x:v>REJECTED_PROJECTION_DISTANCE</x:v>
      </x:c>
    </x:row>
    <x:row r="18">
      <x:c r="A18" s="46" t="str">
        <x:v>T1_SHARED_CATCHMENT</x:v>
      </x:c>
      <x:c r="B18" s="46" t="n">
        <x:v>844</x:v>
      </x:c>
      <x:c r="C18" s="46" t="str">
        <x:v>NYC-V3-R02</x:v>
      </x:c>
      <x:c r="D18" s="46" t="str">
        <x:v>V3</x:v>
      </x:c>
      <x:c r="E18" s="46" t="str">
        <x:v>family_households</x:v>
      </x:c>
      <x:c r="F18" s="47" t="n">
        <x:v>0.3360558891593961</x:v>
      </x:c>
      <x:c r="G18" s="47" t="n">
        <x:v>5.003502198482168</x:v>
      </x:c>
      <x:c r="H18" s="47" t="n">
        <x:v>5.003502198482168</x:v>
      </x:c>
      <x:c r="I18" s="46" t="n">
        <x:v>9</x:v>
      </x:c>
      <x:c r="J18" s="46" t="str">
        <x:v>REJECTED_PROJECTION_DISTANCE</x:v>
      </x:c>
    </x:row>
    <x:row r="19">
      <x:c r="A19" s="34" t="str">
        <x:v>T2_CONCORDANT_DOMAIN</x:v>
      </x:c>
      <x:c r="B19" s="34" t="n">
        <x:v>284</x:v>
      </x:c>
      <x:c r="C19" s="34" t="str">
        <x:v>NYC-V3-R04</x:v>
      </x:c>
      <x:c r="D19" s="34" t="str">
        <x:v>V3</x:v>
      </x:c>
      <x:c r="E19" s="34" t="str">
        <x:v>family_households</x:v>
      </x:c>
      <x:c r="F19" s="48" t="n">
        <x:v>0.2715441445361692</x:v>
      </x:c>
      <x:c r="G19" s="48" t="n">
        <x:v>5.139160224812601</x:v>
      </x:c>
      <x:c r="H19" s="48" t="n">
        <x:v>5.139160224812601</x:v>
      </x:c>
      <x:c r="I19" s="34" t="n">
        <x:v>6</x:v>
      </x:c>
      <x:c r="J19" s="34" t="str">
        <x:v>REJECTED_PROJECTION_DISTANCE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xSplit="4" ySplit="6" topLeftCell="E7" activePane="bottomRight" state="frozen"/>
    </x:sheetView>
  </x:sheetViews>
  <x:sheetFormatPr defaultRowHeight="15"/>
  <x:cols>
    <x:col min="1" max="1" width="30" hidden="0" customWidth="1"/>
    <x:col min="2" max="2" width="18" hidden="0" customWidth="1"/>
    <x:col min="3" max="3" width="12" hidden="0" customWidth="1"/>
    <x:col min="4" max="4" width="38" hidden="0" customWidth="1"/>
    <x:col min="5" max="5" width="18" hidden="0" customWidth="1"/>
    <x:col min="6" max="6" width="14" hidden="0" customWidth="1"/>
    <x:col min="7" max="7" width="14" hidden="0" customWidth="1"/>
    <x:col min="8" max="8" width="16" hidden="0" customWidth="1"/>
    <x:col min="9" max="9" width="14" hidden="0" customWidth="1"/>
    <x:col min="10" max="10" width="14" hidden="0" customWidth="1"/>
    <x:col min="11" max="11" width="18" hidden="0" customWidth="1"/>
    <x:col min="12" max="12" width="14" hidden="0" customWidth="1"/>
    <x:col min="13" max="13" width="14" hidden="0" customWidth="1"/>
    <x:col min="14" max="14" width="14" hidden="0" customWidth="1"/>
  </x:cols>
  <x:sheetData>
    <x:row r="1">
      <x:c r="A1" s="1" t="str">
        <x:v>Distribution Summary</x:v>
      </x:c>
      <x:c r="B1" s="28"/>
      <x:c r="C1" s="28"/>
      <x:c r="D1" s="28"/>
      <x:c r="E1" s="28"/>
      <x:c r="F1" s="28"/>
      <x:c r="G1" s="28"/>
      <x:c r="H1" s="28"/>
      <x:c r="I1" s="28"/>
      <x:c r="J1" s="28"/>
      <x:c r="K1" s="28"/>
      <x:c r="L1" s="28"/>
      <x:c r="M1" s="28"/>
      <x:c r="N1" s="28"/>
    </x:row>
    <x:row r="2">
      <x:c r="A2" s="2" t="str">
        <x:v>Point, standard-error, mean, dispersion and quantile diagnostics for every case-catchment-metric</x:v>
      </x:c>
      <x:c r="B2" s="28"/>
      <x:c r="C2" s="28"/>
      <x:c r="D2" s="28"/>
      <x:c r="E2" s="28"/>
      <x:c r="F2" s="28"/>
      <x:c r="G2" s="28"/>
      <x:c r="H2" s="28"/>
      <x:c r="I2" s="28"/>
      <x:c r="J2" s="28"/>
      <x:c r="K2" s="28"/>
      <x:c r="L2" s="28"/>
      <x:c r="M2" s="28"/>
      <x:c r="N2" s="28"/>
    </x:row>
    <x:row r="3">
      <x:c r="A3" s="28"/>
      <x:c r="B3" s="28"/>
      <x:c r="C3" s="28"/>
      <x:c r="D3" s="28"/>
      <x:c r="E3" s="28"/>
      <x:c r="F3" s="28"/>
      <x:c r="G3" s="28"/>
      <x:c r="H3" s="28"/>
      <x:c r="I3" s="28"/>
      <x:c r="J3" s="28"/>
      <x:c r="K3" s="28"/>
      <x:c r="L3" s="28"/>
      <x:c r="M3" s="28"/>
      <x:c r="N3" s="28"/>
    </x:row>
    <x:row r="4">
      <x:c r="A4" s="29"/>
      <x:c r="B4" s="29"/>
      <x:c r="C4" s="29"/>
      <x:c r="D4" s="29"/>
      <x:c r="E4" s="29"/>
      <x:c r="F4" s="29"/>
      <x:c r="G4" s="29"/>
      <x:c r="H4" s="29"/>
      <x:c r="I4" s="29"/>
      <x:c r="J4" s="29"/>
      <x:c r="K4" s="29"/>
      <x:c r="L4" s="29"/>
      <x:c r="M4" s="29"/>
      <x:c r="N4" s="29"/>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c r="I5" s="28"/>
      <x:c r="J5" s="28"/>
      <x:c r="K5" s="28"/>
      <x:c r="L5" s="28"/>
      <x:c r="M5" s="28"/>
      <x:c r="N5" s="28"/>
    </x:row>
    <x:row r="6" ht="34" customHeight="1">
      <x:c r="A6" s="16" t="str">
        <x:v>Case</x:v>
      </x:c>
      <x:c r="B6" s="16" t="str">
        <x:v>Catchment</x:v>
      </x:c>
      <x:c r="C6" s="16" t="str">
        <x:v>Archetype</x:v>
      </x:c>
      <x:c r="D6" s="16" t="str">
        <x:v>Metric</x:v>
      </x:c>
      <x:c r="E6" s="16" t="str">
        <x:v>Domain</x:v>
      </x:c>
      <x:c r="F6" s="16" t="str">
        <x:v>Point</x:v>
      </x:c>
      <x:c r="G6" s="16" t="str">
        <x:v>Input SE</x:v>
      </x:c>
      <x:c r="H6" s="16" t="str">
        <x:v>Target mean</x:v>
      </x:c>
      <x:c r="I6" s="16" t="str">
        <x:v>Target SD</x:v>
      </x:c>
      <x:c r="J6" s="16" t="str">
        <x:v>SD ratio</x:v>
      </x:c>
      <x:c r="K6" s="16" t="str">
        <x:v>Mean bias / SE</x:v>
      </x:c>
      <x:c r="L6" s="16" t="str">
        <x:v>P05</x:v>
      </x:c>
      <x:c r="M6" s="16" t="str">
        <x:v>P50</x:v>
      </x:c>
      <x:c r="N6" s="16" t="str">
        <x:v>P95</x:v>
      </x:c>
    </x:row>
    <x:row r="7">
      <x:c r="A7" s="19" t="str">
        <x:v>T0_TABLE_BLOCK</x:v>
      </x:c>
      <x:c r="B7" s="19" t="str">
        <x:v>NYC-V1-R01</x:v>
      </x:c>
      <x:c r="C7" s="19" t="str">
        <x:v>V1</x:v>
      </x:c>
      <x:c r="D7" s="19" t="str">
        <x:v>acs_population</x:v>
      </x:c>
      <x:c r="E7" s="19" t="str">
        <x:v>population</x:v>
      </x:c>
      <x:c r="F7" s="49" t="n">
        <x:v>30607</x:v>
      </x:c>
      <x:c r="G7" s="49" t="n">
        <x:v>1414.36977131159</x:v>
      </x:c>
      <x:c r="H7" s="49" t="n">
        <x:v>31235.005</x:v>
      </x:c>
      <x:c r="I7" s="49" t="n">
        <x:v>1185.6867909111331</x:v>
      </x:c>
      <x:c r="J7" s="41" t="n">
        <x:v>0.8383145730070348</x:v>
      </x:c>
      <x:c r="K7" s="41" t="n">
        <x:v>0.44401754953913647</x:v>
      </x:c>
      <x:c r="L7" s="25" t="n">
        <x:v>29356</x:v>
      </x:c>
      <x:c r="M7" s="25" t="n">
        <x:v>31173</x:v>
      </x:c>
      <x:c r="N7" s="25" t="n">
        <x:v>33369</x:v>
      </x:c>
    </x:row>
    <x:row r="8">
      <x:c r="A8" s="20" t="str">
        <x:v>T0_TABLE_BLOCK</x:v>
      </x:c>
      <x:c r="B8" s="20" t="str">
        <x:v>NYC-V1-R01</x:v>
      </x:c>
      <x:c r="C8" s="20" t="str">
        <x:v>V1</x:v>
      </x:c>
      <x:c r="D8" s="20" t="str">
        <x:v>age_under_18</x:v>
      </x:c>
      <x:c r="E8" s="20" t="str">
        <x:v>population</x:v>
      </x:c>
      <x:c r="F8" s="50" t="n">
        <x:v>3951</x:v>
      </x:c>
      <x:c r="G8" s="50" t="n">
        <x:v>484.098388759971</x:v>
      </x:c>
      <x:c r="H8" s="50" t="n">
        <x:v>3952.482</x:v>
      </x:c>
      <x:c r="I8" s="50" t="n">
        <x:v>479.2414924483105</x:v>
      </x:c>
      <x:c r="J8" s="42" t="n">
        <x:v>0.9899671297727275</x:v>
      </x:c>
      <x:c r="K8" s="42" t="n">
        <x:v>0.0030613611497368283</x:v>
      </x:c>
      <x:c r="L8" s="26" t="n">
        <x:v>3179</x:v>
      </x:c>
      <x:c r="M8" s="26" t="n">
        <x:v>3925</x:v>
      </x:c>
      <x:c r="N8" s="26" t="n">
        <x:v>4740</x:v>
      </x:c>
    </x:row>
    <x:row r="9">
      <x:c r="A9" s="20" t="str">
        <x:v>T0_TABLE_BLOCK</x:v>
      </x:c>
      <x:c r="B9" s="20" t="str">
        <x:v>NYC-V1-R01</x:v>
      </x:c>
      <x:c r="C9" s="20" t="str">
        <x:v>V1</x:v>
      </x:c>
      <x:c r="D9" s="20" t="str">
        <x:v>age_65_plus</x:v>
      </x:c>
      <x:c r="E9" s="20" t="str">
        <x:v>population</x:v>
      </x:c>
      <x:c r="F9" s="50" t="n">
        <x:v>8039</x:v>
      </x:c>
      <x:c r="G9" s="50" t="n">
        <x:v>572.8060753867752</x:v>
      </x:c>
      <x:c r="H9" s="50" t="n">
        <x:v>8039.097</x:v>
      </x:c>
      <x:c r="I9" s="50" t="n">
        <x:v>570.0747045429746</x:v>
      </x:c>
      <x:c r="J9" s="42" t="n">
        <x:v>0.9952315958905353</x:v>
      </x:c>
      <x:c r="K9" s="42" t="n">
        <x:v>0.0001693417792998362</x:v>
      </x:c>
      <x:c r="L9" s="26" t="n">
        <x:v>7097</x:v>
      </x:c>
      <x:c r="M9" s="26" t="n">
        <x:v>8042</x:v>
      </x:c>
      <x:c r="N9" s="26" t="n">
        <x:v>8963</x:v>
      </x:c>
    </x:row>
    <x:row r="10">
      <x:c r="A10" s="20" t="str">
        <x:v>T0_TABLE_BLOCK</x:v>
      </x:c>
      <x:c r="B10" s="20" t="str">
        <x:v>NYC-V1-R01</x:v>
      </x:c>
      <x:c r="C10" s="20" t="str">
        <x:v>V1</x:v>
      </x:c>
      <x:c r="D10" s="20" t="str">
        <x:v>age_75_plus</x:v>
      </x:c>
      <x:c r="E10" s="20" t="str">
        <x:v>population</x:v>
      </x:c>
      <x:c r="F10" s="50" t="n">
        <x:v>3848</x:v>
      </x:c>
      <x:c r="G10" s="50" t="n">
        <x:v>513.4498028045195</x:v>
      </x:c>
      <x:c r="H10" s="50" t="n">
        <x:v>3848.226</x:v>
      </x:c>
      <x:c r="I10" s="50" t="n">
        <x:v>519.3993228534098</x:v>
      </x:c>
      <x:c r="J10" s="42" t="n">
        <x:v>1.0115873450849397</x:v>
      </x:c>
      <x:c r="K10" s="42" t="n">
        <x:v>0.00044015987301129696</x:v>
      </x:c>
      <x:c r="L10" s="26" t="n">
        <x:v>2997</x:v>
      </x:c>
      <x:c r="M10" s="26" t="n">
        <x:v>3852</x:v>
      </x:c>
      <x:c r="N10" s="26" t="n">
        <x:v>4691</x:v>
      </x:c>
    </x:row>
    <x:row r="11">
      <x:c r="A11" s="20" t="str">
        <x:v>T0_TABLE_BLOCK</x:v>
      </x:c>
      <x:c r="B11" s="20" t="str">
        <x:v>NYC-V1-R01</x:v>
      </x:c>
      <x:c r="C11" s="20" t="str">
        <x:v>V1</x:v>
      </x:c>
      <x:c r="D11" s="20" t="str">
        <x:v>age_85_plus</x:v>
      </x:c>
      <x:c r="E11" s="20" t="str">
        <x:v>population</x:v>
      </x:c>
      <x:c r="F11" s="50" t="n">
        <x:v>1452</x:v>
      </x:c>
      <x:c r="G11" s="50" t="n">
        <x:v>371.14572609690657</x:v>
      </x:c>
      <x:c r="H11" s="50" t="n">
        <x:v>1452.261</x:v>
      </x:c>
      <x:c r="I11" s="50" t="n">
        <x:v>371.2696783377994</x:v>
      </x:c>
      <x:c r="J11" s="42" t="n">
        <x:v>1.0003339718934563</x:v>
      </x:c>
      <x:c r="K11" s="42" t="n">
        <x:v>0.0007032278203624521</x:v>
      </x:c>
      <x:c r="L11" s="26" t="n">
        <x:v>843</x:v>
      </x:c>
      <x:c r="M11" s="26" t="n">
        <x:v>1456</x:v>
      </x:c>
      <x:c r="N11" s="26" t="n">
        <x:v>2088</x:v>
      </x:c>
    </x:row>
    <x:row r="12">
      <x:c r="A12" s="20" t="str">
        <x:v>T0_TABLE_BLOCK</x:v>
      </x:c>
      <x:c r="B12" s="20" t="str">
        <x:v>NYC-V1-R01</x:v>
      </x:c>
      <x:c r="C12" s="20" t="str">
        <x:v>V1</x:v>
      </x:c>
      <x:c r="D12" s="20" t="str">
        <x:v>civilian_noninstitutionalized</x:v>
      </x:c>
      <x:c r="E12" s="20" t="str">
        <x:v>disability</x:v>
      </x:c>
      <x:c r="F12" s="50" t="n">
        <x:v>30295</x:v>
      </x:c>
      <x:c r="G12" s="50" t="n">
        <x:v>1412.1072905413384</x:v>
      </x:c>
      <x:c r="H12" s="50" t="n">
        <x:v>30294.491</x:v>
      </x:c>
      <x:c r="I12" s="50" t="n">
        <x:v>1422.724951002549</x:v>
      </x:c>
      <x:c r="J12" s="42" t="n">
        <x:v>1.0075190182306475</x:v>
      </x:c>
      <x:c r="K12" s="42" t="n">
        <x:v>-0.00036045419735993847</x:v>
      </x:c>
      <x:c r="L12" s="26" t="n">
        <x:v>28046</x:v>
      </x:c>
      <x:c r="M12" s="26" t="n">
        <x:v>30278</x:v>
      </x:c>
      <x:c r="N12" s="26" t="n">
        <x:v>32638</x:v>
      </x:c>
    </x:row>
    <x:row r="13">
      <x:c r="A13" s="20" t="str">
        <x:v>T0_TABLE_BLOCK</x:v>
      </x:c>
      <x:c r="B13" s="20" t="str">
        <x:v>NYC-V1-R01</x:v>
      </x:c>
      <x:c r="C13" s="20" t="str">
        <x:v>V1</x:v>
      </x:c>
      <x:c r="D13" s="20" t="str">
        <x:v>any_disability</x:v>
      </x:c>
      <x:c r="E13" s="20" t="str">
        <x:v>disability</x:v>
      </x:c>
      <x:c r="F13" s="50" t="n">
        <x:v>4872</x:v>
      </x:c>
      <x:c r="G13" s="50" t="n">
        <x:v>511.8813339046463</x:v>
      </x:c>
      <x:c r="H13" s="50" t="n">
        <x:v>4872.817</x:v>
      </x:c>
      <x:c r="I13" s="50" t="n">
        <x:v>504.34158260344043</x:v>
      </x:c>
      <x:c r="J13" s="42" t="n">
        <x:v>0.9852705093899549</x:v>
      </x:c>
      <x:c r="K13" s="42" t="n">
        <x:v>0.001596073046399068</x:v>
      </x:c>
      <x:c r="L13" s="26" t="n">
        <x:v>4016</x:v>
      </x:c>
      <x:c r="M13" s="26" t="n">
        <x:v>4857</x:v>
      </x:c>
      <x:c r="N13" s="26" t="n">
        <x:v>5709</x:v>
      </x:c>
    </x:row>
    <x:row r="14">
      <x:c r="A14" s="20" t="str">
        <x:v>T0_TABLE_BLOCK</x:v>
      </x:c>
      <x:c r="B14" s="20" t="str">
        <x:v>NYC-V1-R01</x:v>
      </x:c>
      <x:c r="C14" s="20" t="str">
        <x:v>V1</x:v>
      </x:c>
      <x:c r="D14" s="20" t="str">
        <x:v>disability_under_18</x:v>
      </x:c>
      <x:c r="E14" s="20" t="str">
        <x:v>disability</x:v>
      </x:c>
      <x:c r="F14" s="50" t="n">
        <x:v>120</x:v>
      </x:c>
      <x:c r="G14" s="50" t="n">
        <x:v>62.30690170438585</x:v>
      </x:c>
      <x:c r="H14" s="50" t="n">
        <x:v>120.836</x:v>
      </x:c>
      <x:c r="I14" s="50" t="n">
        <x:v>62.53707692233456</x:v>
      </x:c>
      <x:c r="J14" s="42" t="n">
        <x:v>1.0036942170394023</x:v>
      </x:c>
      <x:c r="K14" s="42" t="n">
        <x:v>0.01341745420060185</x:v>
      </x:c>
      <x:c r="L14" s="26" t="n">
        <x:v>18</x:v>
      </x:c>
      <x:c r="M14" s="26" t="n">
        <x:v>120</x:v>
      </x:c>
      <x:c r="N14" s="26" t="n">
        <x:v>227</x:v>
      </x:c>
    </x:row>
    <x:row r="15">
      <x:c r="A15" s="20" t="str">
        <x:v>T0_TABLE_BLOCK</x:v>
      </x:c>
      <x:c r="B15" s="20" t="str">
        <x:v>NYC-V1-R01</x:v>
      </x:c>
      <x:c r="C15" s="20" t="str">
        <x:v>V1</x:v>
      </x:c>
      <x:c r="D15" s="20" t="str">
        <x:v>disability_18_64</x:v>
      </x:c>
      <x:c r="E15" s="20" t="str">
        <x:v>disability</x:v>
      </x:c>
      <x:c r="F15" s="50" t="n">
        <x:v>1591</x:v>
      </x:c>
      <x:c r="G15" s="50" t="n">
        <x:v>335.43889160322476</x:v>
      </x:c>
      <x:c r="H15" s="50" t="n">
        <x:v>1591.024</x:v>
      </x:c>
      <x:c r="I15" s="50" t="n">
        <x:v>343.2798194745191</x:v>
      </x:c>
      <x:c r="J15" s="42" t="n">
        <x:v>1.0233751305157812</x:v>
      </x:c>
      <x:c r="K15" s="42" t="n">
        <x:v>0.00007154805420796501</x:v>
      </x:c>
      <x:c r="L15" s="26" t="n">
        <x:v>1034</x:v>
      </x:c>
      <x:c r="M15" s="26" t="n">
        <x:v>1592</x:v>
      </x:c>
      <x:c r="N15" s="26" t="n">
        <x:v>2134</x:v>
      </x:c>
    </x:row>
    <x:row r="16">
      <x:c r="A16" s="20" t="str">
        <x:v>T0_TABLE_BLOCK</x:v>
      </x:c>
      <x:c r="B16" s="20" t="str">
        <x:v>NYC-V1-R01</x:v>
      </x:c>
      <x:c r="C16" s="20" t="str">
        <x:v>V1</x:v>
      </x:c>
      <x:c r="D16" s="20" t="str">
        <x:v>disability_65_plus</x:v>
      </x:c>
      <x:c r="E16" s="20" t="str">
        <x:v>disability</x:v>
      </x:c>
      <x:c r="F16" s="50" t="n">
        <x:v>3161</x:v>
      </x:c>
      <x:c r="G16" s="50" t="n">
        <x:v>373.59724303051274</x:v>
      </x:c>
      <x:c r="H16" s="50" t="n">
        <x:v>3160.957</x:v>
      </x:c>
      <x:c r="I16" s="50" t="n">
        <x:v>379.39289413366606</x:v>
      </x:c>
      <x:c r="J16" s="42" t="n">
        <x:v>1.0155130992299104</x:v>
      </x:c>
      <x:c r="K16" s="42" t="n">
        <x:v>-0.00011509720909960817</x:v>
      </x:c>
      <x:c r="L16" s="26" t="n">
        <x:v>2542</x:v>
      </x:c>
      <x:c r="M16" s="26" t="n">
        <x:v>3165</x:v>
      </x:c>
      <x:c r="N16" s="26" t="n">
        <x:v>3815</x:v>
      </x:c>
    </x:row>
    <x:row r="17">
      <x:c r="A17" s="20" t="str">
        <x:v>T0_TABLE_BLOCK</x:v>
      </x:c>
      <x:c r="B17" s="20" t="str">
        <x:v>NYC-V1-R01</x:v>
      </x:c>
      <x:c r="C17" s="20" t="str">
        <x:v>V1</x:v>
      </x:c>
      <x:c r="D17" s="20" t="str">
        <x:v>hearing_difficulty</x:v>
      </x:c>
      <x:c r="E17" s="20" t="str">
        <x:v>disability</x:v>
      </x:c>
      <x:c r="F17" s="50" t="n">
        <x:v>830</x:v>
      </x:c>
      <x:c r="G17" s="50" t="n">
        <x:v>174.05668322462455</x:v>
      </x:c>
      <x:c r="H17" s="50" t="n">
        <x:v>830.126</x:v>
      </x:c>
      <x:c r="I17" s="50" t="n">
        <x:v>174.25706197353279</x:v>
      </x:c>
      <x:c r="J17" s="42" t="n">
        <x:v>1.0011512269750058</x:v>
      </x:c>
      <x:c r="K17" s="42" t="n">
        <x:v>0.0007239021085870639</x:v>
      </x:c>
      <x:c r="L17" s="26" t="n">
        <x:v>545</x:v>
      </x:c>
      <x:c r="M17" s="26" t="n">
        <x:v>830</x:v>
      </x:c>
      <x:c r="N17" s="26" t="n">
        <x:v>1115</x:v>
      </x:c>
    </x:row>
    <x:row r="18">
      <x:c r="A18" s="20" t="str">
        <x:v>T0_TABLE_BLOCK</x:v>
      </x:c>
      <x:c r="B18" s="20" t="str">
        <x:v>NYC-V1-R01</x:v>
      </x:c>
      <x:c r="C18" s="20" t="str">
        <x:v>V1</x:v>
      </x:c>
      <x:c r="D18" s="20" t="str">
        <x:v>vision_difficulty</x:v>
      </x:c>
      <x:c r="E18" s="20" t="str">
        <x:v>disability</x:v>
      </x:c>
      <x:c r="F18" s="50" t="n">
        <x:v>1215</x:v>
      </x:c>
      <x:c r="G18" s="50" t="n">
        <x:v>318.444148703849</x:v>
      </x:c>
      <x:c r="H18" s="50" t="n">
        <x:v>1215.041</x:v>
      </x:c>
      <x:c r="I18" s="50" t="n">
        <x:v>318.4533778638136</x:v>
      </x:c>
      <x:c r="J18" s="42" t="n">
        <x:v>1.0000289820365742</x:v>
      </x:c>
      <x:c r="K18" s="42" t="n">
        <x:v>0.0001287509918672417</x:v>
      </x:c>
      <x:c r="L18" s="26" t="n">
        <x:v>693</x:v>
      </x:c>
      <x:c r="M18" s="26" t="n">
        <x:v>1216</x:v>
      </x:c>
      <x:c r="N18" s="26" t="n">
        <x:v>1737</x:v>
      </x:c>
    </x:row>
    <x:row r="19">
      <x:c r="A19" s="20" t="str">
        <x:v>T0_TABLE_BLOCK</x:v>
      </x:c>
      <x:c r="B19" s="20" t="str">
        <x:v>NYC-V1-R01</x:v>
      </x:c>
      <x:c r="C19" s="20" t="str">
        <x:v>V1</x:v>
      </x:c>
      <x:c r="D19" s="20" t="str">
        <x:v>cognitive_difficulty</x:v>
      </x:c>
      <x:c r="E19" s="20" t="str">
        <x:v>disability</x:v>
      </x:c>
      <x:c r="F19" s="50" t="n">
        <x:v>2325</x:v>
      </x:c>
      <x:c r="G19" s="50" t="n">
        <x:v>378.09057864089414</x:v>
      </x:c>
      <x:c r="H19" s="50" t="n">
        <x:v>2325.049</x:v>
      </x:c>
      <x:c r="I19" s="50" t="n">
        <x:v>377.8869979004069</x:v>
      </x:c>
      <x:c r="J19" s="42" t="n">
        <x:v>0.9994615556377549</x:v>
      </x:c>
      <x:c r="K19" s="42" t="n">
        <x:v>0.000129598574437153</x:v>
      </x:c>
      <x:c r="L19" s="26" t="n">
        <x:v>1705</x:v>
      </x:c>
      <x:c r="M19" s="26" t="n">
        <x:v>2325</x:v>
      </x:c>
      <x:c r="N19" s="26" t="n">
        <x:v>2944</x:v>
      </x:c>
    </x:row>
    <x:row r="20">
      <x:c r="A20" s="20" t="str">
        <x:v>T0_TABLE_BLOCK</x:v>
      </x:c>
      <x:c r="B20" s="20" t="str">
        <x:v>NYC-V1-R01</x:v>
      </x:c>
      <x:c r="C20" s="20" t="str">
        <x:v>V1</x:v>
      </x:c>
      <x:c r="D20" s="20" t="str">
        <x:v>ambulatory_difficulty</x:v>
      </x:c>
      <x:c r="E20" s="20" t="str">
        <x:v>disability</x:v>
      </x:c>
      <x:c r="F20" s="50" t="n">
        <x:v>3212</x:v>
      </x:c>
      <x:c r="G20" s="50" t="n">
        <x:v>451.9236596300989</x:v>
      </x:c>
      <x:c r="H20" s="50" t="n">
        <x:v>3210.986</x:v>
      </x:c>
      <x:c r="I20" s="50" t="n">
        <x:v>449.8120481742154</x:v>
      </x:c>
      <x:c r="J20" s="42" t="n">
        <x:v>0.9953275040797558</x:v>
      </x:c>
      <x:c r="K20" s="42" t="n">
        <x:v>-0.0022437417877835524</x:v>
      </x:c>
      <x:c r="L20" s="26" t="n">
        <x:v>2471</x:v>
      </x:c>
      <x:c r="M20" s="26" t="n">
        <x:v>3212</x:v>
      </x:c>
      <x:c r="N20" s="26" t="n">
        <x:v>3941</x:v>
      </x:c>
    </x:row>
    <x:row r="21">
      <x:c r="A21" s="20" t="str">
        <x:v>T0_TABLE_BLOCK</x:v>
      </x:c>
      <x:c r="B21" s="20" t="str">
        <x:v>NYC-V1-R01</x:v>
      </x:c>
      <x:c r="C21" s="20" t="str">
        <x:v>V1</x:v>
      </x:c>
      <x:c r="D21" s="20" t="str">
        <x:v>self_care_difficulty</x:v>
      </x:c>
      <x:c r="E21" s="20" t="str">
        <x:v>disability</x:v>
      </x:c>
      <x:c r="F21" s="50" t="n">
        <x:v>1877</x:v>
      </x:c>
      <x:c r="G21" s="50" t="n">
        <x:v>418.90674105005246</x:v>
      </x:c>
      <x:c r="H21" s="50" t="n">
        <x:v>1877.281</x:v>
      </x:c>
      <x:c r="I21" s="50" t="n">
        <x:v>419.23413899908286</x:v>
      </x:c>
      <x:c r="J21" s="42" t="n">
        <x:v>1.0007815533075686</x:v>
      </x:c>
      <x:c r="K21" s="42" t="n">
        <x:v>0.0006707936933542308</x:v>
      </x:c>
      <x:c r="L21" s="26" t="n">
        <x:v>1189</x:v>
      </x:c>
      <x:c r="M21" s="26" t="n">
        <x:v>1878</x:v>
      </x:c>
      <x:c r="N21" s="26" t="n">
        <x:v>2562</x:v>
      </x:c>
    </x:row>
    <x:row r="22">
      <x:c r="A22" s="20" t="str">
        <x:v>T0_TABLE_BLOCK</x:v>
      </x:c>
      <x:c r="B22" s="20" t="str">
        <x:v>NYC-V1-R01</x:v>
      </x:c>
      <x:c r="C22" s="20" t="str">
        <x:v>V1</x:v>
      </x:c>
      <x:c r="D22" s="20" t="str">
        <x:v>independent_living_difficulty</x:v>
      </x:c>
      <x:c r="E22" s="20" t="str">
        <x:v>disability</x:v>
      </x:c>
      <x:c r="F22" s="50" t="n">
        <x:v>2673</x:v>
      </x:c>
      <x:c r="G22" s="50" t="n">
        <x:v>439.57000820352414</x:v>
      </x:c>
      <x:c r="H22" s="50" t="n">
        <x:v>2672.865</x:v>
      </x:c>
      <x:c r="I22" s="50" t="n">
        <x:v>440.14668222863713</x:v>
      </x:c>
      <x:c r="J22" s="42" t="n">
        <x:v>1.0013119048487176</x:v>
      </x:c>
      <x:c r="K22" s="42" t="n">
        <x:v>-0.0003071183144454029</x:v>
      </x:c>
      <x:c r="L22" s="26" t="n">
        <x:v>1953</x:v>
      </x:c>
      <x:c r="M22" s="26" t="n">
        <x:v>2673</x:v>
      </x:c>
      <x:c r="N22" s="26" t="n">
        <x:v>3392</x:v>
      </x:c>
    </x:row>
    <x:row r="23">
      <x:c r="A23" s="20" t="str">
        <x:v>T0_TABLE_BLOCK</x:v>
      </x:c>
      <x:c r="B23" s="20" t="str">
        <x:v>NYC-V1-R01</x:v>
      </x:c>
      <x:c r="C23" s="20" t="str">
        <x:v>V1</x:v>
      </x:c>
      <x:c r="D23" s="20" t="str">
        <x:v>households</x:v>
      </x:c>
      <x:c r="E23" s="20" t="str">
        <x:v>household</x:v>
      </x:c>
      <x:c r="F23" s="50" t="n">
        <x:v>13224</x:v>
      </x:c>
      <x:c r="G23" s="50" t="n">
        <x:v>575.0797770744508</x:v>
      </x:c>
      <x:c r="H23" s="50" t="n">
        <x:v>13223.79</x:v>
      </x:c>
      <x:c r="I23" s="50" t="n">
        <x:v>551.782291848513</x:v>
      </x:c>
      <x:c r="J23" s="42" t="n">
        <x:v>0.959488255100089</x:v>
      </x:c>
      <x:c r="K23" s="42" t="n">
        <x:v>-0.000365166727071225</x:v>
      </x:c>
      <x:c r="L23" s="26" t="n">
        <x:v>12293</x:v>
      </x:c>
      <x:c r="M23" s="26" t="n">
        <x:v>13222</x:v>
      </x:c>
      <x:c r="N23" s="26" t="n">
        <x:v>14082</x:v>
      </x:c>
    </x:row>
    <x:row r="24">
      <x:c r="A24" s="20" t="str">
        <x:v>T0_TABLE_BLOCK</x:v>
      </x:c>
      <x:c r="B24" s="20" t="str">
        <x:v>NYC-V1-R01</x:v>
      </x:c>
      <x:c r="C24" s="20" t="str">
        <x:v>V1</x:v>
      </x:c>
      <x:c r="D24" s="20" t="str">
        <x:v>family_households</x:v>
      </x:c>
      <x:c r="E24" s="20" t="str">
        <x:v>household</x:v>
      </x:c>
      <x:c r="F24" s="50" t="n">
        <x:v>8588</x:v>
      </x:c>
      <x:c r="G24" s="50" t="n">
        <x:v>525.5356315227351</x:v>
      </x:c>
      <x:c r="H24" s="50" t="n">
        <x:v>8587.872</x:v>
      </x:c>
      <x:c r="I24" s="50" t="n">
        <x:v>663.9504196668421</x:v>
      </x:c>
      <x:c r="J24" s="42" t="n">
        <x:v>1.2633785034576082</x:v>
      </x:c>
      <x:c r="K24" s="42" t="n">
        <x:v>-0.00024356103054274788</x:v>
      </x:c>
      <x:c r="L24" s="26" t="n">
        <x:v>7504</x:v>
      </x:c>
      <x:c r="M24" s="26" t="n">
        <x:v>8616</x:v>
      </x:c>
      <x:c r="N24" s="26" t="n">
        <x:v>9651</x:v>
      </x:c>
    </x:row>
    <x:row r="25">
      <x:c r="A25" s="20" t="str">
        <x:v>T0_TABLE_BLOCK</x:v>
      </x:c>
      <x:c r="B25" s="20" t="str">
        <x:v>NYC-V1-R01</x:v>
      </x:c>
      <x:c r="C25" s="20" t="str">
        <x:v>V1</x:v>
      </x:c>
      <x:c r="D25" s="20" t="str">
        <x:v>nonfamily_households</x:v>
      </x:c>
      <x:c r="E25" s="20" t="str">
        <x:v>household</x:v>
      </x:c>
      <x:c r="F25" s="50" t="n">
        <x:v>4636</x:v>
      </x:c>
      <x:c r="G25" s="50" t="n">
        <x:v>351.178942990607</x:v>
      </x:c>
      <x:c r="H25" s="50" t="n">
        <x:v>4635.918</x:v>
      </x:c>
      <x:c r="I25" s="50" t="n">
        <x:v>361.10408393624607</x:v>
      </x:c>
      <x:c r="J25" s="42" t="n">
        <x:v>1.0282623464297644</x:v>
      </x:c>
      <x:c r="K25" s="42" t="n">
        <x:v>-0.00023349919360776694</x:v>
      </x:c>
      <x:c r="L25" s="26" t="n">
        <x:v>4063</x:v>
      </x:c>
      <x:c r="M25" s="26" t="n">
        <x:v>4636</x:v>
      </x:c>
      <x:c r="N25" s="26" t="n">
        <x:v>5193</x:v>
      </x:c>
    </x:row>
    <x:row r="26">
      <x:c r="A26" s="20" t="str">
        <x:v>T0_TABLE_BLOCK</x:v>
      </x:c>
      <x:c r="B26" s="20" t="str">
        <x:v>NYC-V1-R01</x:v>
      </x:c>
      <x:c r="C26" s="20" t="str">
        <x:v>V1</x:v>
      </x:c>
      <x:c r="D26" s="20" t="str">
        <x:v>living_alone_households</x:v>
      </x:c>
      <x:c r="E26" s="20" t="str">
        <x:v>household</x:v>
      </x:c>
      <x:c r="F26" s="50" t="n">
        <x:v>4174</x:v>
      </x:c>
      <x:c r="G26" s="50" t="n">
        <x:v>368.5016282189266</x:v>
      </x:c>
      <x:c r="H26" s="50" t="n">
        <x:v>4173.928</x:v>
      </x:c>
      <x:c r="I26" s="50" t="n">
        <x:v>369.76266339808194</x:v>
      </x:c>
      <x:c r="J26" s="42" t="n">
        <x:v>1.0034220613494986</x:v>
      </x:c>
      <x:c r="K26" s="42" t="n">
        <x:v>-0.00019538583953648437</x:v>
      </x:c>
      <x:c r="L26" s="26" t="n">
        <x:v>3552</x:v>
      </x:c>
      <x:c r="M26" s="26" t="n">
        <x:v>4185</x:v>
      </x:c>
      <x:c r="N26" s="26" t="n">
        <x:v>4758</x:v>
      </x:c>
    </x:row>
    <x:row r="27">
      <x:c r="A27" s="20" t="str">
        <x:v>T0_TABLE_BLOCK</x:v>
      </x:c>
      <x:c r="B27" s="20" t="str">
        <x:v>NYC-V1-R01</x:v>
      </x:c>
      <x:c r="C27" s="20" t="str">
        <x:v>V1</x:v>
      </x:c>
      <x:c r="D27" s="20" t="str">
        <x:v>households_with_children</x:v>
      </x:c>
      <x:c r="E27" s="20" t="str">
        <x:v>household</x:v>
      </x:c>
      <x:c r="F27" s="50" t="n">
        <x:v>2422</x:v>
      </x:c>
      <x:c r="G27" s="50" t="n">
        <x:v>313.107649219881</x:v>
      </x:c>
      <x:c r="H27" s="50" t="n">
        <x:v>2422.043</x:v>
      </x:c>
      <x:c r="I27" s="50" t="n">
        <x:v>315.64563249998616</x:v>
      </x:c>
      <x:c r="J27" s="42" t="n">
        <x:v>1.008105784979794</x:v>
      </x:c>
      <x:c r="K27" s="42" t="n">
        <x:v>0.00013733295915080996</x:v>
      </x:c>
      <x:c r="L27" s="26" t="n">
        <x:v>1891</x:v>
      </x:c>
      <x:c r="M27" s="26" t="n">
        <x:v>2429</x:v>
      </x:c>
      <x:c r="N27" s="26" t="n">
        <x:v>2917</x:v>
      </x:c>
    </x:row>
    <x:row r="28">
      <x:c r="A28" s="20" t="str">
        <x:v>T0_TABLE_BLOCK</x:v>
      </x:c>
      <x:c r="B28" s="20" t="str">
        <x:v>NYC-V1-R01</x:v>
      </x:c>
      <x:c r="C28" s="20" t="str">
        <x:v>V1</x:v>
      </x:c>
      <x:c r="D28" s="20" t="str">
        <x:v>households_with_age65</x:v>
      </x:c>
      <x:c r="E28" s="20" t="str">
        <x:v>household</x:v>
      </x:c>
      <x:c r="F28" s="50" t="n">
        <x:v>5563</x:v>
      </x:c>
      <x:c r="G28" s="50" t="n">
        <x:v>419.9719038221486</x:v>
      </x:c>
      <x:c r="H28" s="50" t="n">
        <x:v>5563.231</x:v>
      </x:c>
      <x:c r="I28" s="50" t="n">
        <x:v>408.92826505997965</x:v>
      </x:c>
      <x:c r="J28" s="42" t="n">
        <x:v>0.9737038628973481</x:v>
      </x:c>
      <x:c r="K28" s="42" t="n">
        <x:v>0.0005500367950747295</x:v>
      </x:c>
      <x:c r="L28" s="26" t="n">
        <x:v>4907</x:v>
      </x:c>
      <x:c r="M28" s="26" t="n">
        <x:v>5560</x:v>
      </x:c>
      <x:c r="N28" s="26" t="n">
        <x:v>6225</x:v>
      </x:c>
    </x:row>
    <x:row r="29">
      <x:c r="A29" s="20" t="str">
        <x:v>T0_TABLE_BLOCK</x:v>
      </x:c>
      <x:c r="B29" s="20" t="str">
        <x:v>NYC-V1-R01</x:v>
      </x:c>
      <x:c r="C29" s="20" t="str">
        <x:v>V1</x:v>
      </x:c>
      <x:c r="D29" s="20" t="str">
        <x:v>age65_one_person_households</x:v>
      </x:c>
      <x:c r="E29" s="20" t="str">
        <x:v>household</x:v>
      </x:c>
      <x:c r="F29" s="50" t="n">
        <x:v>1388</x:v>
      </x:c>
      <x:c r="G29" s="50" t="n">
        <x:v>197.14905528558842</x:v>
      </x:c>
      <x:c r="H29" s="50" t="n">
        <x:v>1387.972</x:v>
      </x:c>
      <x:c r="I29" s="50" t="n">
        <x:v>193.0932371011844</x:v>
      </x:c>
      <x:c r="J29" s="42" t="n">
        <x:v>0.9794276560010455</x:v>
      </x:c>
      <x:c r="K29" s="42" t="n">
        <x:v>-0.0001420245202771043</x:v>
      </x:c>
      <x:c r="L29" s="26" t="n">
        <x:v>1058</x:v>
      </x:c>
      <x:c r="M29" s="26" t="n">
        <x:v>1389</x:v>
      </x:c>
      <x:c r="N29" s="26" t="n">
        <x:v>1700</x:v>
      </x:c>
    </x:row>
    <x:row r="30">
      <x:c r="A30" s="20" t="str">
        <x:v>T0_TABLE_BLOCK</x:v>
      </x:c>
      <x:c r="B30" s="20" t="str">
        <x:v>NYC-V1-R01</x:v>
      </x:c>
      <x:c r="C30" s="20" t="str">
        <x:v>V1</x:v>
      </x:c>
      <x:c r="D30" s="20" t="str">
        <x:v>no_vehicle_households</x:v>
      </x:c>
      <x:c r="E30" s="20" t="str">
        <x:v>household</x:v>
      </x:c>
      <x:c r="F30" s="50" t="n">
        <x:v>8128</x:v>
      </x:c>
      <x:c r="G30" s="50" t="n">
        <x:v>566.0619102478963</x:v>
      </x:c>
      <x:c r="H30" s="50" t="n">
        <x:v>8128.228</x:v>
      </x:c>
      <x:c r="I30" s="50" t="n">
        <x:v>565.9330722428741</x:v>
      </x:c>
      <x:c r="J30" s="42" t="n">
        <x:v>0.9997723959116667</x:v>
      </x:c>
      <x:c r="K30" s="42" t="n">
        <x:v>0.0004027827979102447</x:v>
      </x:c>
      <x:c r="L30" s="26" t="n">
        <x:v>7202</x:v>
      </x:c>
      <x:c r="M30" s="26" t="n">
        <x:v>8129</x:v>
      </x:c>
      <x:c r="N30" s="26" t="n">
        <x:v>9057</x:v>
      </x:c>
    </x:row>
    <x:row r="31">
      <x:c r="A31" s="20" t="str">
        <x:v>T0_TABLE_BLOCK</x:v>
      </x:c>
      <x:c r="B31" s="20" t="str">
        <x:v>NYC-V1-R01</x:v>
      </x:c>
      <x:c r="C31" s="20" t="str">
        <x:v>V1</x:v>
      </x:c>
      <x:c r="D31" s="20" t="str">
        <x:v>limited_english_households</x:v>
      </x:c>
      <x:c r="E31" s="20" t="str">
        <x:v>household</x:v>
      </x:c>
      <x:c r="F31" s="50" t="n">
        <x:v>6661</x:v>
      </x:c>
      <x:c r="G31" s="50" t="n">
        <x:v>530.6008954584992</x:v>
      </x:c>
      <x:c r="H31" s="50" t="n">
        <x:v>6661.249</x:v>
      </x:c>
      <x:c r="I31" s="50" t="n">
        <x:v>531.439600564399</x:v>
      </x:c>
      <x:c r="J31" s="42" t="n">
        <x:v>1.0015806703552115</x:v>
      </x:c>
      <x:c r="K31" s="42" t="n">
        <x:v>0.0004692792683371409</x:v>
      </x:c>
      <x:c r="L31" s="26" t="n">
        <x:v>5789</x:v>
      </x:c>
      <x:c r="M31" s="26" t="n">
        <x:v>6662</x:v>
      </x:c>
      <x:c r="N31" s="26" t="n">
        <x:v>7529</x:v>
      </x:c>
    </x:row>
    <x:row r="32">
      <x:c r="A32" s="20" t="str">
        <x:v>T0_TABLE_BLOCK</x:v>
      </x:c>
      <x:c r="B32" s="20" t="str">
        <x:v>NYC-V1-R01</x:v>
      </x:c>
      <x:c r="C32" s="20" t="str">
        <x:v>V1</x:v>
      </x:c>
      <x:c r="D32" s="20" t="str">
        <x:v>housing_units</x:v>
      </x:c>
      <x:c r="E32" s="20" t="str">
        <x:v>housing</x:v>
      </x:c>
      <x:c r="F32" s="50" t="n">
        <x:v>13683</x:v>
      </x:c>
      <x:c r="G32" s="50" t="n">
        <x:v>568.4572543296462</x:v>
      </x:c>
      <x:c r="H32" s="50" t="n">
        <x:v>13682.748</x:v>
      </x:c>
      <x:c r="I32" s="50" t="n">
        <x:v>543.8470963057174</x:v>
      </x:c>
      <x:c r="J32" s="42" t="n">
        <x:v>0.9567071088696892</x:v>
      </x:c>
      <x:c r="K32" s="42" t="n">
        <x:v>-0.00044330510004235717</x:v>
      </x:c>
      <x:c r="L32" s="26" t="n">
        <x:v>12772</x:v>
      </x:c>
      <x:c r="M32" s="26" t="n">
        <x:v>13678</x:v>
      </x:c>
      <x:c r="N32" s="26" t="n">
        <x:v>14562</x:v>
      </x:c>
    </x:row>
    <x:row r="33">
      <x:c r="A33" s="20" t="str">
        <x:v>T0_TABLE_BLOCK</x:v>
      </x:c>
      <x:c r="B33" s="20" t="str">
        <x:v>NYC-V1-R01</x:v>
      </x:c>
      <x:c r="C33" s="20" t="str">
        <x:v>V1</x:v>
      </x:c>
      <x:c r="D33" s="20" t="str">
        <x:v>occupied_housing_units</x:v>
      </x:c>
      <x:c r="E33" s="20" t="str">
        <x:v>housing</x:v>
      </x:c>
      <x:c r="F33" s="50" t="n">
        <x:v>13224</x:v>
      </x:c>
      <x:c r="G33" s="50" t="n">
        <x:v>575.0797770744508</x:v>
      </x:c>
      <x:c r="H33" s="50" t="n">
        <x:v>13223.79</x:v>
      </x:c>
      <x:c r="I33" s="50" t="n">
        <x:v>551.782291848513</x:v>
      </x:c>
      <x:c r="J33" s="42" t="n">
        <x:v>0.959488255100089</x:v>
      </x:c>
      <x:c r="K33" s="42" t="n">
        <x:v>-0.000365166727071225</x:v>
      </x:c>
      <x:c r="L33" s="26" t="n">
        <x:v>12293</x:v>
      </x:c>
      <x:c r="M33" s="26" t="n">
        <x:v>13222</x:v>
      </x:c>
      <x:c r="N33" s="26" t="n">
        <x:v>14082</x:v>
      </x:c>
    </x:row>
    <x:row r="34">
      <x:c r="A34" s="20" t="str">
        <x:v>T0_TABLE_BLOCK</x:v>
      </x:c>
      <x:c r="B34" s="20" t="str">
        <x:v>NYC-V1-R01</x:v>
      </x:c>
      <x:c r="C34" s="20" t="str">
        <x:v>V1</x:v>
      </x:c>
      <x:c r="D34" s="20" t="str">
        <x:v>vacant_housing_units</x:v>
      </x:c>
      <x:c r="E34" s="20" t="str">
        <x:v>housing</x:v>
      </x:c>
      <x:c r="F34" s="50" t="n">
        <x:v>459</x:v>
      </x:c>
      <x:c r="G34" s="50" t="n">
        <x:v>115.48246620158405</x:v>
      </x:c>
      <x:c r="H34" s="50" t="n">
        <x:v>458.958</x:v>
      </x:c>
      <x:c r="I34" s="50" t="n">
        <x:v>112.7547953742096</x:v>
      </x:c>
      <x:c r="J34" s="42" t="n">
        <x:v>0.9763802166935622</x:v>
      </x:c>
      <x:c r="K34" s="42" t="n">
        <x:v>-0.0003636915748461654</x:v>
      </x:c>
      <x:c r="L34" s="26" t="n">
        <x:v>278</x:v>
      </x:c>
      <x:c r="M34" s="26" t="n">
        <x:v>462</x:v>
      </x:c>
      <x:c r="N34" s="26" t="n">
        <x:v>643</x:v>
      </x:c>
    </x:row>
    <x:row r="35">
      <x:c r="A35" s="20" t="str">
        <x:v>T0_TABLE_BLOCK</x:v>
      </x:c>
      <x:c r="B35" s="20" t="str">
        <x:v>NYC-V1-R01</x:v>
      </x:c>
      <x:c r="C35" s="20" t="str">
        <x:v>V1</x:v>
      </x:c>
      <x:c r="D35" s="20" t="str">
        <x:v>owner_occupied_units</x:v>
      </x:c>
      <x:c r="E35" s="20" t="str">
        <x:v>housing</x:v>
      </x:c>
      <x:c r="F35" s="50" t="n">
        <x:v>4525</x:v>
      </x:c>
      <x:c r="G35" s="50" t="n">
        <x:v>418.4473211601426</x:v>
      </x:c>
      <x:c r="H35" s="50" t="n">
        <x:v>4524.995</x:v>
      </x:c>
      <x:c r="I35" s="50" t="n">
        <x:v>390.3335076856997</x:v>
      </x:c>
      <x:c r="J35" s="42" t="n">
        <x:v>0.9328139719081066</x:v>
      </x:c>
      <x:c r="K35" s="42" t="n">
        <x:v>-0.000011948935379121726</x:v>
      </x:c>
      <x:c r="L35" s="26" t="n">
        <x:v>3884</x:v>
      </x:c>
      <x:c r="M35" s="26" t="n">
        <x:v>4533</x:v>
      </x:c>
      <x:c r="N35" s="26" t="n">
        <x:v>5177</x:v>
      </x:c>
    </x:row>
    <x:row r="36">
      <x:c r="A36" s="20" t="str">
        <x:v>T0_TABLE_BLOCK</x:v>
      </x:c>
      <x:c r="B36" s="20" t="str">
        <x:v>NYC-V1-R01</x:v>
      </x:c>
      <x:c r="C36" s="20" t="str">
        <x:v>V1</x:v>
      </x:c>
      <x:c r="D36" s="20" t="str">
        <x:v>renter_occupied_units</x:v>
      </x:c>
      <x:c r="E36" s="20" t="str">
        <x:v>housing</x:v>
      </x:c>
      <x:c r="F36" s="50" t="n">
        <x:v>8699</x:v>
      </x:c>
      <x:c r="G36" s="50" t="n">
        <x:v>522.1969420174196</x:v>
      </x:c>
      <x:c r="H36" s="50" t="n">
        <x:v>8698.795</x:v>
      </x:c>
      <x:c r="I36" s="50" t="n">
        <x:v>478.5996956159121</x:v>
      </x:c>
      <x:c r="J36" s="42" t="n">
        <x:v>0.9165118695772577</x:v>
      </x:c>
      <x:c r="K36" s="42" t="n">
        <x:v>-0.0003925721954784806</x:v>
      </x:c>
      <x:c r="L36" s="26" t="n">
        <x:v>7904</x:v>
      </x:c>
      <x:c r="M36" s="26" t="n">
        <x:v>8714</x:v>
      </x:c>
      <x:c r="N36" s="26" t="n">
        <x:v>9452</x:v>
      </x:c>
    </x:row>
    <x:row r="37">
      <x:c r="A37" s="20" t="str">
        <x:v>T0_TABLE_BLOCK</x:v>
      </x:c>
      <x:c r="B37" s="20" t="str">
        <x:v>NYC-V1-R01</x:v>
      </x:c>
      <x:c r="C37" s="20" t="str">
        <x:v>V1</x:v>
      </x:c>
      <x:c r="D37" s="20" t="str">
        <x:v>one_unit_structures</x:v>
      </x:c>
      <x:c r="E37" s="20" t="str">
        <x:v>housing</x:v>
      </x:c>
      <x:c r="F37" s="50" t="n">
        <x:v>471</x:v>
      </x:c>
      <x:c r="G37" s="50" t="n">
        <x:v>121.7809897861934</x:v>
      </x:c>
      <x:c r="H37" s="50" t="n">
        <x:v>470.832</x:v>
      </x:c>
      <x:c r="I37" s="50" t="n">
        <x:v>120.04894637407496</x:v>
      </x:c>
      <x:c r="J37" s="42" t="n">
        <x:v>0.985777390911674</x:v>
      </x:c>
      <x:c r="K37" s="42" t="n">
        <x:v>-0.001379525657452432</x:v>
      </x:c>
      <x:c r="L37" s="26" t="n">
        <x:v>281</x:v>
      </x:c>
      <x:c r="M37" s="26" t="n">
        <x:v>468</x:v>
      </x:c>
      <x:c r="N37" s="26" t="n">
        <x:v>667</x:v>
      </x:c>
    </x:row>
    <x:row r="38">
      <x:c r="A38" s="20" t="str">
        <x:v>T0_TABLE_BLOCK</x:v>
      </x:c>
      <x:c r="B38" s="20" t="str">
        <x:v>NYC-V1-R01</x:v>
      </x:c>
      <x:c r="C38" s="20" t="str">
        <x:v>V1</x:v>
      </x:c>
      <x:c r="D38" s="20" t="str">
        <x:v>two_to_four_unit_structures</x:v>
      </x:c>
      <x:c r="E38" s="20" t="str">
        <x:v>housing</x:v>
      </x:c>
      <x:c r="F38" s="50" t="n">
        <x:v>685</x:v>
      </x:c>
      <x:c r="G38" s="50" t="n">
        <x:v>178.5599815253613</x:v>
      </x:c>
      <x:c r="H38" s="50" t="n">
        <x:v>684.914</x:v>
      </x:c>
      <x:c r="I38" s="50" t="n">
        <x:v>174.55061879730627</x:v>
      </x:c>
      <x:c r="J38" s="42" t="n">
        <x:v>0.9775461293521382</x:v>
      </x:c>
      <x:c r="K38" s="42" t="n">
        <x:v>-0.00048163087420457617</x:v>
      </x:c>
      <x:c r="L38" s="26" t="n">
        <x:v>406</x:v>
      </x:c>
      <x:c r="M38" s="26" t="n">
        <x:v>684</x:v>
      </x:c>
      <x:c r="N38" s="26" t="n">
        <x:v>970</x:v>
      </x:c>
    </x:row>
    <x:row r="39">
      <x:c r="A39" s="20" t="str">
        <x:v>T0_TABLE_BLOCK</x:v>
      </x:c>
      <x:c r="B39" s="20" t="str">
        <x:v>NYC-V1-R01</x:v>
      </x:c>
      <x:c r="C39" s="20" t="str">
        <x:v>V1</x:v>
      </x:c>
      <x:c r="D39" s="20" t="str">
        <x:v>five_to_nineteen_unit_structures</x:v>
      </x:c>
      <x:c r="E39" s="20" t="str">
        <x:v>housing</x:v>
      </x:c>
      <x:c r="F39" s="50" t="n">
        <x:v>418</x:v>
      </x:c>
      <x:c r="G39" s="50" t="n">
        <x:v>142.3453290404149</x:v>
      </x:c>
      <x:c r="H39" s="50" t="n">
        <x:v>417.995</x:v>
      </x:c>
      <x:c r="I39" s="50" t="n">
        <x:v>140.53472518912892</x:v>
      </x:c>
      <x:c r="J39" s="42" t="n">
        <x:v>0.987280201861967</x:v>
      </x:c>
      <x:c r="K39" s="42" t="n">
        <x:v>-0.000035125845250432106</x:v>
      </x:c>
      <x:c r="L39" s="26" t="n">
        <x:v>196</x:v>
      </x:c>
      <x:c r="M39" s="26" t="n">
        <x:v>419</x:v>
      </x:c>
      <x:c r="N39" s="26" t="n">
        <x:v>655</x:v>
      </x:c>
    </x:row>
    <x:row r="40">
      <x:c r="A40" s="20" t="str">
        <x:v>T0_TABLE_BLOCK</x:v>
      </x:c>
      <x:c r="B40" s="20" t="str">
        <x:v>NYC-V1-R01</x:v>
      </x:c>
      <x:c r="C40" s="20" t="str">
        <x:v>V1</x:v>
      </x:c>
      <x:c r="D40" s="20" t="str">
        <x:v>twenty_to_forty_nine_unit_structures</x:v>
      </x:c>
      <x:c r="E40" s="20" t="str">
        <x:v>housing</x:v>
      </x:c>
      <x:c r="F40" s="50" t="n">
        <x:v>2661</x:v>
      </x:c>
      <x:c r="G40" s="50" t="n">
        <x:v>338.91272635885014</x:v>
      </x:c>
      <x:c r="H40" s="50" t="n">
        <x:v>2660.814</x:v>
      </x:c>
      <x:c r="I40" s="50" t="n">
        <x:v>326.23669902049306</x:v>
      </x:c>
      <x:c r="J40" s="42" t="n">
        <x:v>0.9625979600278116</x:v>
      </x:c>
      <x:c r="K40" s="42" t="n">
        <x:v>-0.0005488138554089209</x:v>
      </x:c>
      <x:c r="L40" s="26" t="n">
        <x:v>2127</x:v>
      </x:c>
      <x:c r="M40" s="26" t="n">
        <x:v>2665</x:v>
      </x:c>
      <x:c r="N40" s="26" t="n">
        <x:v>3197</x:v>
      </x:c>
    </x:row>
    <x:row r="41">
      <x:c r="A41" s="20" t="str">
        <x:v>T0_TABLE_BLOCK</x:v>
      </x:c>
      <x:c r="B41" s="20" t="str">
        <x:v>NYC-V1-R01</x:v>
      </x:c>
      <x:c r="C41" s="20" t="str">
        <x:v>V1</x:v>
      </x:c>
      <x:c r="D41" s="20" t="str">
        <x:v>fifty_plus_unit_structures</x:v>
      </x:c>
      <x:c r="E41" s="20" t="str">
        <x:v>housing</x:v>
      </x:c>
      <x:c r="F41" s="50" t="n">
        <x:v>8970</x:v>
      </x:c>
      <x:c r="G41" s="50" t="n">
        <x:v>612.9121864407799</x:v>
      </x:c>
      <x:c r="H41" s="50" t="n">
        <x:v>8956.925</x:v>
      </x:c>
      <x:c r="I41" s="50" t="n">
        <x:v>505.3614147662389</x:v>
      </x:c>
      <x:c r="J41" s="42" t="n">
        <x:v>0.8245249906041269</x:v>
      </x:c>
      <x:c r="K41" s="42" t="n">
        <x:v>-0.021332582854859006</x:v>
      </x:c>
      <x:c r="L41" s="26" t="n">
        <x:v>8124</x:v>
      </x:c>
      <x:c r="M41" s="26" t="n">
        <x:v>8959</x:v>
      </x:c>
      <x:c r="N41" s="26" t="n">
        <x:v>9786</x:v>
      </x:c>
    </x:row>
    <x:row r="42">
      <x:c r="A42" s="20" t="str">
        <x:v>T0_TABLE_BLOCK</x:v>
      </x:c>
      <x:c r="B42" s="20" t="str">
        <x:v>NYC-V1-R01</x:v>
      </x:c>
      <x:c r="C42" s="20" t="str">
        <x:v>V1</x:v>
      </x:c>
      <x:c r="D42" s="20" t="str">
        <x:v>mobile_or_other_units</x:v>
      </x:c>
      <x:c r="E42" s="20" t="str">
        <x:v>housing</x:v>
      </x:c>
      <x:c r="F42" s="50" t="n">
        <x:v>19</x:v>
      </x:c>
      <x:c r="G42" s="50" t="n">
        <x:v>53.97341045489283</x:v>
      </x:c>
      <x:c r="H42" s="50" t="n">
        <x:v>32.31</x:v>
      </x:c>
      <x:c r="I42" s="50" t="n">
        <x:v>37.75554769012603</x:v>
      </x:c>
      <x:c r="J42" s="42" t="n">
        <x:v>0.699521252630116</x:v>
      </x:c>
      <x:c r="K42" s="42" t="n">
        <x:v>0.24660290850294816</x:v>
      </x:c>
      <x:c r="L42" s="26" t="n">
        <x:v>0</x:v>
      </x:c>
      <x:c r="M42" s="26" t="n">
        <x:v>20</x:v>
      </x:c>
      <x:c r="N42" s="26" t="n">
        <x:v>109</x:v>
      </x:c>
    </x:row>
    <x:row r="43">
      <x:c r="A43" s="20" t="str">
        <x:v>T0_TABLE_BLOCK</x:v>
      </x:c>
      <x:c r="B43" s="20" t="str">
        <x:v>NYC-V1-R01</x:v>
      </x:c>
      <x:c r="C43" s="20" t="str">
        <x:v>V1</x:v>
      </x:c>
      <x:c r="D43" s="20" t="str">
        <x:v>electric_heat_households</x:v>
      </x:c>
      <x:c r="E43" s="20" t="str">
        <x:v>housing</x:v>
      </x:c>
      <x:c r="F43" s="50" t="n">
        <x:v>1721</x:v>
      </x:c>
      <x:c r="G43" s="50" t="n">
        <x:v>229.36270403010164</x:v>
      </x:c>
      <x:c r="H43" s="50" t="n">
        <x:v>1721.011</x:v>
      </x:c>
      <x:c r="I43" s="50" t="n">
        <x:v>230.12073881646006</x:v>
      </x:c>
      <x:c r="J43" s="42" t="n">
        <x:v>1.0033049609768245</x:v>
      </x:c>
      <x:c r="K43" s="42" t="n">
        <x:v>0.000047958974177962315</x:v>
      </x:c>
      <x:c r="L43" s="26" t="n">
        <x:v>1348</x:v>
      </x:c>
      <x:c r="M43" s="26" t="n">
        <x:v>1717</x:v>
      </x:c>
      <x:c r="N43" s="26" t="n">
        <x:v>2119</x:v>
      </x:c>
    </x:row>
    <x:row r="44">
      <x:c r="A44" s="20" t="str">
        <x:v>T0_TABLE_BLOCK</x:v>
      </x:c>
      <x:c r="B44" s="20" t="str">
        <x:v>NYC-V1-R01</x:v>
      </x:c>
      <x:c r="C44" s="20" t="str">
        <x:v>V1</x:v>
      </x:c>
      <x:c r="D44" s="20" t="str">
        <x:v>group_quarters_population</x:v>
      </x:c>
      <x:c r="E44" s="20" t="str">
        <x:v>population</x:v>
      </x:c>
      <x:c r="F44" s="50" t="n">
        <x:v>441</x:v>
      </x:c>
      <x:c r="G44" s="50" t="n">
        <x:v>6.1359595826569775</x:v>
      </x:c>
      <x:c r="H44" s="50" t="n">
        <x:v>441.001</x:v>
      </x:c>
      <x:c r="I44" s="50" t="n">
        <x:v>6.1119845676633835</x:v>
      </x:c>
      <x:c r="J44" s="42" t="n">
        <x:v>0.9960927032405236</x:v>
      </x:c>
      <x:c r="K44" s="42" t="n">
        <x:v>0.00016297369409062106</x:v>
      </x:c>
      <x:c r="L44" s="26" t="n">
        <x:v>431</x:v>
      </x:c>
      <x:c r="M44" s="26" t="n">
        <x:v>441</x:v>
      </x:c>
      <x:c r="N44" s="26" t="n">
        <x:v>451</x:v>
      </x:c>
    </x:row>
    <x:row r="45">
      <x:c r="A45" s="20" t="str">
        <x:v>T0_TABLE_BLOCK</x:v>
      </x:c>
      <x:c r="B45" s="20" t="str">
        <x:v>NYC-V1-R02</x:v>
      </x:c>
      <x:c r="C45" s="20" t="str">
        <x:v>V1</x:v>
      </x:c>
      <x:c r="D45" s="20" t="str">
        <x:v>acs_population</x:v>
      </x:c>
      <x:c r="E45" s="20" t="str">
        <x:v>population</x:v>
      </x:c>
      <x:c r="F45" s="50" t="n">
        <x:v>31462</x:v>
      </x:c>
      <x:c r="G45" s="50" t="n">
        <x:v>1902.066323764763</x:v>
      </x:c>
      <x:c r="H45" s="50" t="n">
        <x:v>32489.218</x:v>
      </x:c>
      <x:c r="I45" s="50" t="n">
        <x:v>1533.8457064278425</x:v>
      </x:c>
      <x:c r="J45" s="42" t="n">
        <x:v>0.8064102114966734</x:v>
      </x:c>
      <x:c r="K45" s="42" t="n">
        <x:v>0.5400537232407472</x:v>
      </x:c>
      <x:c r="L45" s="26" t="n">
        <x:v>30169</x:v>
      </x:c>
      <x:c r="M45" s="26" t="n">
        <x:v>32412</x:v>
      </x:c>
      <x:c r="N45" s="26" t="n">
        <x:v>35080</x:v>
      </x:c>
    </x:row>
    <x:row r="46">
      <x:c r="A46" s="20" t="str">
        <x:v>T0_TABLE_BLOCK</x:v>
      </x:c>
      <x:c r="B46" s="20" t="str">
        <x:v>NYC-V1-R02</x:v>
      </x:c>
      <x:c r="C46" s="20" t="str">
        <x:v>V1</x:v>
      </x:c>
      <x:c r="D46" s="20" t="str">
        <x:v>age_under_18</x:v>
      </x:c>
      <x:c r="E46" s="20" t="str">
        <x:v>population</x:v>
      </x:c>
      <x:c r="F46" s="50" t="n">
        <x:v>4335</x:v>
      </x:c>
      <x:c r="G46" s="50" t="n">
        <x:v>583.8060465599856</x:v>
      </x:c>
      <x:c r="H46" s="50" t="n">
        <x:v>4336.591</x:v>
      </x:c>
      <x:c r="I46" s="50" t="n">
        <x:v>577.7141415512938</x:v>
      </x:c>
      <x:c r="J46" s="42" t="n">
        <x:v>0.9895651902809371</x:v>
      </x:c>
      <x:c r="K46" s="42" t="n">
        <x:v>0.0027252201469565892</x:v>
      </x:c>
      <x:c r="L46" s="26" t="n">
        <x:v>3387</x:v>
      </x:c>
      <x:c r="M46" s="26" t="n">
        <x:v>4361</x:v>
      </x:c>
      <x:c r="N46" s="26" t="n">
        <x:v>5283</x:v>
      </x:c>
    </x:row>
    <x:row r="47">
      <x:c r="A47" s="20" t="str">
        <x:v>T0_TABLE_BLOCK</x:v>
      </x:c>
      <x:c r="B47" s="20" t="str">
        <x:v>NYC-V1-R02</x:v>
      </x:c>
      <x:c r="C47" s="20" t="str">
        <x:v>V1</x:v>
      </x:c>
      <x:c r="D47" s="20" t="str">
        <x:v>age_65_plus</x:v>
      </x:c>
      <x:c r="E47" s="20" t="str">
        <x:v>population</x:v>
      </x:c>
      <x:c r="F47" s="50" t="n">
        <x:v>7247</x:v>
      </x:c>
      <x:c r="G47" s="50" t="n">
        <x:v>528.4720427799374</x:v>
      </x:c>
      <x:c r="H47" s="50" t="n">
        <x:v>7252.294</x:v>
      </x:c>
      <x:c r="I47" s="50" t="n">
        <x:v>521.8443514028786</x:v>
      </x:c>
      <x:c r="J47" s="42" t="n">
        <x:v>0.9874587663290665</x:v>
      </x:c>
      <x:c r="K47" s="42" t="n">
        <x:v>0.010017559249022298</x:v>
      </x:c>
      <x:c r="L47" s="26" t="n">
        <x:v>6425</x:v>
      </x:c>
      <x:c r="M47" s="26" t="n">
        <x:v>7248</x:v>
      </x:c>
      <x:c r="N47" s="26" t="n">
        <x:v>8140</x:v>
      </x:c>
    </x:row>
    <x:row r="48">
      <x:c r="A48" s="20" t="str">
        <x:v>T0_TABLE_BLOCK</x:v>
      </x:c>
      <x:c r="B48" s="20" t="str">
        <x:v>NYC-V1-R02</x:v>
      </x:c>
      <x:c r="C48" s="20" t="str">
        <x:v>V1</x:v>
      </x:c>
      <x:c r="D48" s="20" t="str">
        <x:v>age_75_plus</x:v>
      </x:c>
      <x:c r="E48" s="20" t="str">
        <x:v>population</x:v>
      </x:c>
      <x:c r="F48" s="50" t="n">
        <x:v>3662</x:v>
      </x:c>
      <x:c r="G48" s="50" t="n">
        <x:v>421.7290599425181</x:v>
      </x:c>
      <x:c r="H48" s="50" t="n">
        <x:v>3661.874</x:v>
      </x:c>
      <x:c r="I48" s="50" t="n">
        <x:v>423.6283336712608</x:v>
      </x:c>
      <x:c r="J48" s="42" t="n">
        <x:v>1.0045035400904114</x:v>
      </x:c>
      <x:c r="K48" s="42" t="n">
        <x:v>-0.0002987700207744223</x:v>
      </x:c>
      <x:c r="L48" s="26" t="n">
        <x:v>2933</x:v>
      </x:c>
      <x:c r="M48" s="26" t="n">
        <x:v>3679</x:v>
      </x:c>
      <x:c r="N48" s="26" t="n">
        <x:v>4328</x:v>
      </x:c>
    </x:row>
    <x:row r="49">
      <x:c r="A49" s="20" t="str">
        <x:v>T0_TABLE_BLOCK</x:v>
      </x:c>
      <x:c r="B49" s="20" t="str">
        <x:v>NYC-V1-R02</x:v>
      </x:c>
      <x:c r="C49" s="20" t="str">
        <x:v>V1</x:v>
      </x:c>
      <x:c r="D49" s="20" t="str">
        <x:v>age_85_plus</x:v>
      </x:c>
      <x:c r="E49" s="20" t="str">
        <x:v>population</x:v>
      </x:c>
      <x:c r="F49" s="50" t="n">
        <x:v>1218</x:v>
      </x:c>
      <x:c r="G49" s="50" t="n">
        <x:v>296.73860550996733</x:v>
      </x:c>
      <x:c r="H49" s="50" t="n">
        <x:v>1217.901</x:v>
      </x:c>
      <x:c r="I49" s="50" t="n">
        <x:v>292.95094035085884</x:v>
      </x:c>
      <x:c r="J49" s="42" t="n">
        <x:v>0.9872356845763324</x:v>
      </x:c>
      <x:c r="K49" s="42" t="n">
        <x:v>-0.00033362696380470565</x:v>
      </x:c>
      <x:c r="L49" s="26" t="n">
        <x:v>753</x:v>
      </x:c>
      <x:c r="M49" s="26" t="n">
        <x:v>1211</x:v>
      </x:c>
      <x:c r="N49" s="26" t="n">
        <x:v>1706</x:v>
      </x:c>
    </x:row>
    <x:row r="50">
      <x:c r="A50" s="20" t="str">
        <x:v>T0_TABLE_BLOCK</x:v>
      </x:c>
      <x:c r="B50" s="20" t="str">
        <x:v>NYC-V1-R02</x:v>
      </x:c>
      <x:c r="C50" s="20" t="str">
        <x:v>V1</x:v>
      </x:c>
      <x:c r="D50" s="20" t="str">
        <x:v>civilian_noninstitutionalized</x:v>
      </x:c>
      <x:c r="E50" s="20" t="str">
        <x:v>disability</x:v>
      </x:c>
      <x:c r="F50" s="50" t="n">
        <x:v>31415</x:v>
      </x:c>
      <x:c r="G50" s="50" t="n">
        <x:v>1901.7794693391766</x:v>
      </x:c>
      <x:c r="H50" s="50" t="n">
        <x:v>31414.831</x:v>
      </x:c>
      <x:c r="I50" s="50" t="n">
        <x:v>1870.179340920599</x:v>
      </x:c>
      <x:c r="J50" s="42" t="n">
        <x:v>0.9833839154707261</x:v>
      </x:c>
      <x:c r="K50" s="42" t="n">
        <x:v>-0.00008886414157179409</x:v>
      </x:c>
      <x:c r="L50" s="26" t="n">
        <x:v>28214</x:v>
      </x:c>
      <x:c r="M50" s="26" t="n">
        <x:v>31447</x:v>
      </x:c>
      <x:c r="N50" s="26" t="n">
        <x:v>34454</x:v>
      </x:c>
    </x:row>
    <x:row r="51">
      <x:c r="A51" s="20" t="str">
        <x:v>T0_TABLE_BLOCK</x:v>
      </x:c>
      <x:c r="B51" s="20" t="str">
        <x:v>NYC-V1-R02</x:v>
      </x:c>
      <x:c r="C51" s="20" t="str">
        <x:v>V1</x:v>
      </x:c>
      <x:c r="D51" s="20" t="str">
        <x:v>any_disability</x:v>
      </x:c>
      <x:c r="E51" s="20" t="str">
        <x:v>disability</x:v>
      </x:c>
      <x:c r="F51" s="50" t="n">
        <x:v>3619</x:v>
      </x:c>
      <x:c r="G51" s="50" t="n">
        <x:v>391.2781619257584</x:v>
      </x:c>
      <x:c r="H51" s="50" t="n">
        <x:v>3619.681</x:v>
      </x:c>
      <x:c r="I51" s="50" t="n">
        <x:v>395.85076362950986</x:v>
      </x:c>
      <x:c r="J51" s="42" t="n">
        <x:v>1.0116863197303074</x:v>
      </x:c>
      <x:c r="K51" s="42" t="n">
        <x:v>0.0017404498034041924</x:v>
      </x:c>
      <x:c r="L51" s="26" t="n">
        <x:v>2952</x:v>
      </x:c>
      <x:c r="M51" s="26" t="n">
        <x:v>3638</x:v>
      </x:c>
      <x:c r="N51" s="26" t="n">
        <x:v>4242</x:v>
      </x:c>
    </x:row>
    <x:row r="52">
      <x:c r="A52" s="20" t="str">
        <x:v>T0_TABLE_BLOCK</x:v>
      </x:c>
      <x:c r="B52" s="20" t="str">
        <x:v>NYC-V1-R02</x:v>
      </x:c>
      <x:c r="C52" s="20" t="str">
        <x:v>V1</x:v>
      </x:c>
      <x:c r="D52" s="20" t="str">
        <x:v>disability_under_18</x:v>
      </x:c>
      <x:c r="E52" s="20" t="str">
        <x:v>disability</x:v>
      </x:c>
      <x:c r="F52" s="50" t="n">
        <x:v>61</x:v>
      </x:c>
      <x:c r="G52" s="50" t="n">
        <x:v>36.54449342924321</x:v>
      </x:c>
      <x:c r="H52" s="50" t="n">
        <x:v>61.698</x:v>
      </x:c>
      <x:c r="I52" s="50" t="n">
        <x:v>34.8891107087304</x:v>
      </x:c>
      <x:c r="J52" s="42" t="n">
        <x:v>0.9547022666022739</x:v>
      </x:c>
      <x:c r="K52" s="42" t="n">
        <x:v>0.01910000480240492</x:v>
      </x:c>
      <x:c r="L52" s="26" t="n">
        <x:v>0</x:v>
      </x:c>
      <x:c r="M52" s="26" t="n">
        <x:v>61</x:v>
      </x:c>
      <x:c r="N52" s="26" t="n">
        <x:v>121</x:v>
      </x:c>
    </x:row>
    <x:row r="53">
      <x:c r="A53" s="20" t="str">
        <x:v>T0_TABLE_BLOCK</x:v>
      </x:c>
      <x:c r="B53" s="20" t="str">
        <x:v>NYC-V1-R02</x:v>
      </x:c>
      <x:c r="C53" s="20" t="str">
        <x:v>V1</x:v>
      </x:c>
      <x:c r="D53" s="20" t="str">
        <x:v>disability_18_64</x:v>
      </x:c>
      <x:c r="E53" s="20" t="str">
        <x:v>disability</x:v>
      </x:c>
      <x:c r="F53" s="50" t="n">
        <x:v>1399</x:v>
      </x:c>
      <x:c r="G53" s="50" t="n">
        <x:v>259.8615977785098</x:v>
      </x:c>
      <x:c r="H53" s="50" t="n">
        <x:v>1399.032</x:v>
      </x:c>
      <x:c r="I53" s="50" t="n">
        <x:v>256.99554799195977</x:v>
      </x:c>
      <x:c r="J53" s="42" t="n">
        <x:v>0.988970860600215</x:v>
      </x:c>
      <x:c r="K53" s="42" t="n">
        <x:v>0.00012314247381485074</x:v>
      </x:c>
      <x:c r="L53" s="26" t="n">
        <x:v>978</x:v>
      </x:c>
      <x:c r="M53" s="26" t="n">
        <x:v>1392</x:v>
      </x:c>
      <x:c r="N53" s="26" t="n">
        <x:v>1809</x:v>
      </x:c>
    </x:row>
    <x:row r="54">
      <x:c r="A54" s="20" t="str">
        <x:v>T0_TABLE_BLOCK</x:v>
      </x:c>
      <x:c r="B54" s="20" t="str">
        <x:v>NYC-V1-R02</x:v>
      </x:c>
      <x:c r="C54" s="20" t="str">
        <x:v>V1</x:v>
      </x:c>
      <x:c r="D54" s="20" t="str">
        <x:v>disability_65_plus</x:v>
      </x:c>
      <x:c r="E54" s="20" t="str">
        <x:v>disability</x:v>
      </x:c>
      <x:c r="F54" s="50" t="n">
        <x:v>2159</x:v>
      </x:c>
      <x:c r="G54" s="50" t="n">
        <x:v>254.18034935848212</x:v>
      </x:c>
      <x:c r="H54" s="50" t="n">
        <x:v>2158.951</x:v>
      </x:c>
      <x:c r="I54" s="50" t="n">
        <x:v>259.6267525692405</x:v>
      </x:c>
      <x:c r="J54" s="42" t="n">
        <x:v>1.0214273181404636</x:v>
      </x:c>
      <x:c r="K54" s="42" t="n">
        <x:v>-0.00019277650740369092</x:v>
      </x:c>
      <x:c r="L54" s="26" t="n">
        <x:v>1706</x:v>
      </x:c>
      <x:c r="M54" s="26" t="n">
        <x:v>2165</x:v>
      </x:c>
      <x:c r="N54" s="26" t="n">
        <x:v>2582</x:v>
      </x:c>
    </x:row>
    <x:row r="55">
      <x:c r="A55" s="20" t="str">
        <x:v>T0_TABLE_BLOCK</x:v>
      </x:c>
      <x:c r="B55" s="20" t="str">
        <x:v>NYC-V1-R02</x:v>
      </x:c>
      <x:c r="C55" s="20" t="str">
        <x:v>V1</x:v>
      </x:c>
      <x:c r="D55" s="20" t="str">
        <x:v>hearing_difficulty</x:v>
      </x:c>
      <x:c r="E55" s="20" t="str">
        <x:v>disability</x:v>
      </x:c>
      <x:c r="F55" s="50" t="n">
        <x:v>610</x:v>
      </x:c>
      <x:c r="G55" s="50" t="n">
        <x:v>159.3261927327932</x:v>
      </x:c>
      <x:c r="H55" s="50" t="n">
        <x:v>609.981</x:v>
      </x:c>
      <x:c r="I55" s="50" t="n">
        <x:v>159.1970487771031</x:v>
      </x:c>
      <x:c r="J55" s="42" t="n">
        <x:v>0.9991894367556583</x:v>
      </x:c>
      <x:c r="K55" s="42" t="n">
        <x:v>-0.00011925220627012947</x:v>
      </x:c>
      <x:c r="L55" s="26" t="n">
        <x:v>349</x:v>
      </x:c>
      <x:c r="M55" s="26" t="n">
        <x:v>610</x:v>
      </x:c>
      <x:c r="N55" s="26" t="n">
        <x:v>872</x:v>
      </x:c>
    </x:row>
    <x:row r="56">
      <x:c r="A56" s="20" t="str">
        <x:v>T0_TABLE_BLOCK</x:v>
      </x:c>
      <x:c r="B56" s="20" t="str">
        <x:v>NYC-V1-R02</x:v>
      </x:c>
      <x:c r="C56" s="20" t="str">
        <x:v>V1</x:v>
      </x:c>
      <x:c r="D56" s="20" t="str">
        <x:v>vision_difficulty</x:v>
      </x:c>
      <x:c r="E56" s="20" t="str">
        <x:v>disability</x:v>
      </x:c>
      <x:c r="F56" s="50" t="n">
        <x:v>531</x:v>
      </x:c>
      <x:c r="G56" s="50" t="n">
        <x:v>160.76240414410304</x:v>
      </x:c>
      <x:c r="H56" s="50" t="n">
        <x:v>531.003</x:v>
      </x:c>
      <x:c r="I56" s="50" t="n">
        <x:v>160.62432307768384</x:v>
      </x:c>
      <x:c r="J56" s="42" t="n">
        <x:v>0.999141086081946</x:v>
      </x:c>
      <x:c r="K56" s="42" t="n">
        <x:v>0.000018661079473243185</x:v>
      </x:c>
      <x:c r="L56" s="26" t="n">
        <x:v>267</x:v>
      </x:c>
      <x:c r="M56" s="26" t="n">
        <x:v>531</x:v>
      </x:c>
      <x:c r="N56" s="26" t="n">
        <x:v>795</x:v>
      </x:c>
    </x:row>
    <x:row r="57">
      <x:c r="A57" s="20" t="str">
        <x:v>T0_TABLE_BLOCK</x:v>
      </x:c>
      <x:c r="B57" s="20" t="str">
        <x:v>NYC-V1-R02</x:v>
      </x:c>
      <x:c r="C57" s="20" t="str">
        <x:v>V1</x:v>
      </x:c>
      <x:c r="D57" s="20" t="str">
        <x:v>cognitive_difficulty</x:v>
      </x:c>
      <x:c r="E57" s="20" t="str">
        <x:v>disability</x:v>
      </x:c>
      <x:c r="F57" s="50" t="n">
        <x:v>1429</x:v>
      </x:c>
      <x:c r="G57" s="50" t="n">
        <x:v>243.67953849735702</x:v>
      </x:c>
      <x:c r="H57" s="50" t="n">
        <x:v>1429.028</x:v>
      </x:c>
      <x:c r="I57" s="50" t="n">
        <x:v>243.85424767698862</x:v>
      </x:c>
      <x:c r="J57" s="42" t="n">
        <x:v>1.00071696286323</x:v>
      </x:c>
      <x:c r="K57" s="42" t="n">
        <x:v>0.00011490501078868262</x:v>
      </x:c>
      <x:c r="L57" s="26" t="n">
        <x:v>1030</x:v>
      </x:c>
      <x:c r="M57" s="26" t="n">
        <x:v>1430</x:v>
      </x:c>
      <x:c r="N57" s="26" t="n">
        <x:v>1829</x:v>
      </x:c>
    </x:row>
    <x:row r="58">
      <x:c r="A58" s="20" t="str">
        <x:v>T0_TABLE_BLOCK</x:v>
      </x:c>
      <x:c r="B58" s="20" t="str">
        <x:v>NYC-V1-R02</x:v>
      </x:c>
      <x:c r="C58" s="20" t="str">
        <x:v>V1</x:v>
      </x:c>
      <x:c r="D58" s="20" t="str">
        <x:v>ambulatory_difficulty</x:v>
      </x:c>
      <x:c r="E58" s="20" t="str">
        <x:v>disability</x:v>
      </x:c>
      <x:c r="F58" s="50" t="n">
        <x:v>1588</x:v>
      </x:c>
      <x:c r="G58" s="50" t="n">
        <x:v>252.55414076402417</x:v>
      </x:c>
      <x:c r="H58" s="50" t="n">
        <x:v>1588.198</x:v>
      </x:c>
      <x:c r="I58" s="50" t="n">
        <x:v>252.9909825136723</x:v>
      </x:c>
      <x:c r="J58" s="42" t="n">
        <x:v>1.0017296954558994</x:v>
      </x:c>
      <x:c r="K58" s="42" t="n">
        <x:v>0.000783990313526855</x:v>
      </x:c>
      <x:c r="L58" s="26" t="n">
        <x:v>1174</x:v>
      </x:c>
      <x:c r="M58" s="26" t="n">
        <x:v>1589</x:v>
      </x:c>
      <x:c r="N58" s="26" t="n">
        <x:v>2002</x:v>
      </x:c>
    </x:row>
    <x:row r="59">
      <x:c r="A59" s="20" t="str">
        <x:v>T0_TABLE_BLOCK</x:v>
      </x:c>
      <x:c r="B59" s="20" t="str">
        <x:v>NYC-V1-R02</x:v>
      </x:c>
      <x:c r="C59" s="20" t="str">
        <x:v>V1</x:v>
      </x:c>
      <x:c r="D59" s="20" t="str">
        <x:v>self_care_difficulty</x:v>
      </x:c>
      <x:c r="E59" s="20" t="str">
        <x:v>disability</x:v>
      </x:c>
      <x:c r="F59" s="50" t="n">
        <x:v>962</x:v>
      </x:c>
      <x:c r="G59" s="50" t="n">
        <x:v>226.3644013415805</x:v>
      </x:c>
      <x:c r="H59" s="50" t="n">
        <x:v>962.083</x:v>
      </x:c>
      <x:c r="I59" s="50" t="n">
        <x:v>226.4094020316478</x:v>
      </x:c>
      <x:c r="J59" s="42" t="n">
        <x:v>1.0001987975573925</x:v>
      </x:c>
      <x:c r="K59" s="42" t="n">
        <x:v>0.0003666654275498214</x:v>
      </x:c>
      <x:c r="L59" s="26" t="n">
        <x:v>590</x:v>
      </x:c>
      <x:c r="M59" s="26" t="n">
        <x:v>962</x:v>
      </x:c>
      <x:c r="N59" s="26" t="n">
        <x:v>1333</x:v>
      </x:c>
    </x:row>
    <x:row r="60">
      <x:c r="A60" s="20" t="str">
        <x:v>T0_TABLE_BLOCK</x:v>
      </x:c>
      <x:c r="B60" s="20" t="str">
        <x:v>NYC-V1-R02</x:v>
      </x:c>
      <x:c r="C60" s="20" t="str">
        <x:v>V1</x:v>
      </x:c>
      <x:c r="D60" s="20" t="str">
        <x:v>independent_living_difficulty</x:v>
      </x:c>
      <x:c r="E60" s="20" t="str">
        <x:v>disability</x:v>
      </x:c>
      <x:c r="F60" s="50" t="n">
        <x:v>1341</x:v>
      </x:c>
      <x:c r="G60" s="50" t="n">
        <x:v>248.67383217578617</x:v>
      </x:c>
      <x:c r="H60" s="50" t="n">
        <x:v>1340.976</x:v>
      </x:c>
      <x:c r="I60" s="50" t="n">
        <x:v>248.96602078095617</x:v>
      </x:c>
      <x:c r="J60" s="42" t="n">
        <x:v>1.0011749873423088</x:v>
      </x:c>
      <x:c r="K60" s="42" t="n">
        <x:v>-0.00009651196424608825</x:v>
      </x:c>
      <x:c r="L60" s="26" t="n">
        <x:v>934</x:v>
      </x:c>
      <x:c r="M60" s="26" t="n">
        <x:v>1341</x:v>
      </x:c>
      <x:c r="N60" s="26" t="n">
        <x:v>1750</x:v>
      </x:c>
    </x:row>
    <x:row r="61">
      <x:c r="A61" s="20" t="str">
        <x:v>T0_TABLE_BLOCK</x:v>
      </x:c>
      <x:c r="B61" s="20" t="str">
        <x:v>NYC-V1-R02</x:v>
      </x:c>
      <x:c r="C61" s="20" t="str">
        <x:v>V1</x:v>
      </x:c>
      <x:c r="D61" s="20" t="str">
        <x:v>households</x:v>
      </x:c>
      <x:c r="E61" s="20" t="str">
        <x:v>household</x:v>
      </x:c>
      <x:c r="F61" s="50" t="n">
        <x:v>14621</x:v>
      </x:c>
      <x:c r="G61" s="50" t="n">
        <x:v>510.4494098341186</x:v>
      </x:c>
      <x:c r="H61" s="50" t="n">
        <x:v>14621.165</x:v>
      </x:c>
      <x:c r="I61" s="50" t="n">
        <x:v>517.155362965951</x:v>
      </x:c>
      <x:c r="J61" s="42" t="n">
        <x:v>1.0131373511314503</x:v>
      </x:c>
      <x:c r="K61" s="42" t="n">
        <x:v>0.00032324457002407616</x:v>
      </x:c>
      <x:c r="L61" s="26" t="n">
        <x:v>13799</x:v>
      </x:c>
      <x:c r="M61" s="26" t="n">
        <x:v>14620</x:v>
      </x:c>
      <x:c r="N61" s="26" t="n">
        <x:v>15445</x:v>
      </x:c>
    </x:row>
    <x:row r="62">
      <x:c r="A62" s="20" t="str">
        <x:v>T0_TABLE_BLOCK</x:v>
      </x:c>
      <x:c r="B62" s="20" t="str">
        <x:v>NYC-V1-R02</x:v>
      </x:c>
      <x:c r="C62" s="20" t="str">
        <x:v>V1</x:v>
      </x:c>
      <x:c r="D62" s="20" t="str">
        <x:v>family_households</x:v>
      </x:c>
      <x:c r="E62" s="20" t="str">
        <x:v>household</x:v>
      </x:c>
      <x:c r="F62" s="50" t="n">
        <x:v>6590</x:v>
      </x:c>
      <x:c r="G62" s="50" t="n">
        <x:v>458.1431544833995</x:v>
      </x:c>
      <x:c r="H62" s="50" t="n">
        <x:v>6582.659</x:v>
      </x:c>
      <x:c r="I62" s="50" t="n">
        <x:v>458.88689227183085</x:v>
      </x:c>
      <x:c r="J62" s="42" t="n">
        <x:v>1.0016233742251808</x:v>
      </x:c>
      <x:c r="K62" s="42" t="n">
        <x:v>-0.016023375943001992</x:v>
      </x:c>
      <x:c r="L62" s="26" t="n">
        <x:v>5802</x:v>
      </x:c>
      <x:c r="M62" s="26" t="n">
        <x:v>6586</x:v>
      </x:c>
      <x:c r="N62" s="26" t="n">
        <x:v>7354</x:v>
      </x:c>
    </x:row>
    <x:row r="63">
      <x:c r="A63" s="20" t="str">
        <x:v>T0_TABLE_BLOCK</x:v>
      </x:c>
      <x:c r="B63" s="20" t="str">
        <x:v>NYC-V1-R02</x:v>
      </x:c>
      <x:c r="C63" s="20" t="str">
        <x:v>V1</x:v>
      </x:c>
      <x:c r="D63" s="20" t="str">
        <x:v>nonfamily_households</x:v>
      </x:c>
      <x:c r="E63" s="20" t="str">
        <x:v>household</x:v>
      </x:c>
      <x:c r="F63" s="50" t="n">
        <x:v>8031</x:v>
      </x:c>
      <x:c r="G63" s="50" t="n">
        <x:v>538.7815420000949</x:v>
      </x:c>
      <x:c r="H63" s="50" t="n">
        <x:v>8038.506</x:v>
      </x:c>
      <x:c r="I63" s="50" t="n">
        <x:v>669.7163010468596</x:v>
      </x:c>
      <x:c r="J63" s="42" t="n">
        <x:v>1.243020127528314</x:v>
      </x:c>
      <x:c r="K63" s="42" t="n">
        <x:v>0.013931434941397808</x:v>
      </x:c>
      <x:c r="L63" s="26" t="n">
        <x:v>6887</x:v>
      </x:c>
      <x:c r="M63" s="26" t="n">
        <x:v>8072</x:v>
      </x:c>
      <x:c r="N63" s="26" t="n">
        <x:v>9117</x:v>
      </x:c>
    </x:row>
    <x:row r="64">
      <x:c r="A64" s="20" t="str">
        <x:v>T0_TABLE_BLOCK</x:v>
      </x:c>
      <x:c r="B64" s="20" t="str">
        <x:v>NYC-V1-R02</x:v>
      </x:c>
      <x:c r="C64" s="20" t="str">
        <x:v>V1</x:v>
      </x:c>
      <x:c r="D64" s="20" t="str">
        <x:v>living_alone_households</x:v>
      </x:c>
      <x:c r="E64" s="20" t="str">
        <x:v>household</x:v>
      </x:c>
      <x:c r="F64" s="50" t="n">
        <x:v>6602</x:v>
      </x:c>
      <x:c r="G64" s="50" t="n">
        <x:v>512.4839021862052</x:v>
      </x:c>
      <x:c r="H64" s="50" t="n">
        <x:v>6602.46</x:v>
      </x:c>
      <x:c r="I64" s="50" t="n">
        <x:v>493.0383283206217</x:v>
      </x:c>
      <x:c r="J64" s="42" t="n">
        <x:v>0.962056225019692</x:v>
      </x:c>
      <x:c r="K64" s="42" t="n">
        <x:v>0.0008975891692162861</x:v>
      </x:c>
      <x:c r="L64" s="26" t="n">
        <x:v>5802</x:v>
      </x:c>
      <x:c r="M64" s="26" t="n">
        <x:v>6613</x:v>
      </x:c>
      <x:c r="N64" s="26" t="n">
        <x:v>7428</x:v>
      </x:c>
    </x:row>
    <x:row r="65">
      <x:c r="A65" s="20" t="str">
        <x:v>T0_TABLE_BLOCK</x:v>
      </x:c>
      <x:c r="B65" s="20" t="str">
        <x:v>NYC-V1-R02</x:v>
      </x:c>
      <x:c r="C65" s="20" t="str">
        <x:v>V1</x:v>
      </x:c>
      <x:c r="D65" s="20" t="str">
        <x:v>households_with_children</x:v>
      </x:c>
      <x:c r="E65" s="20" t="str">
        <x:v>household</x:v>
      </x:c>
      <x:c r="F65" s="50" t="n">
        <x:v>2617</x:v>
      </x:c>
      <x:c r="G65" s="50" t="n">
        <x:v>342.0109647365125</x:v>
      </x:c>
      <x:c r="H65" s="50" t="n">
        <x:v>2616.911</x:v>
      </x:c>
      <x:c r="I65" s="50" t="n">
        <x:v>341.04239765166443</x:v>
      </x:c>
      <x:c r="J65" s="42" t="n">
        <x:v>0.9971680232954102</x:v>
      </x:c>
      <x:c r="K65" s="42" t="n">
        <x:v>-0.00026022557513180307</x:v>
      </x:c>
      <x:c r="L65" s="26" t="n">
        <x:v>2065</x:v>
      </x:c>
      <x:c r="M65" s="26" t="n">
        <x:v>2619</x:v>
      </x:c>
      <x:c r="N65" s="26" t="n">
        <x:v>3180</x:v>
      </x:c>
    </x:row>
    <x:row r="66">
      <x:c r="A66" s="20" t="str">
        <x:v>T0_TABLE_BLOCK</x:v>
      </x:c>
      <x:c r="B66" s="20" t="str">
        <x:v>NYC-V1-R02</x:v>
      </x:c>
      <x:c r="C66" s="20" t="str">
        <x:v>V1</x:v>
      </x:c>
      <x:c r="D66" s="20" t="str">
        <x:v>households_with_age65</x:v>
      </x:c>
      <x:c r="E66" s="20" t="str">
        <x:v>household</x:v>
      </x:c>
      <x:c r="F66" s="50" t="n">
        <x:v>5726</x:v>
      </x:c>
      <x:c r="G66" s="50" t="n">
        <x:v>463.8448016308903</x:v>
      </x:c>
      <x:c r="H66" s="50" t="n">
        <x:v>5725.714</x:v>
      </x:c>
      <x:c r="I66" s="50" t="n">
        <x:v>470.2187723793021</x:v>
      </x:c>
      <x:c r="J66" s="42" t="n">
        <x:v>1.0137416022040147</x:v>
      </x:c>
      <x:c r="K66" s="42" t="n">
        <x:v>-0.0006165855454119025</x:v>
      </x:c>
      <x:c r="L66" s="26" t="n">
        <x:v>4988</x:v>
      </x:c>
      <x:c r="M66" s="26" t="n">
        <x:v>5721</x:v>
      </x:c>
      <x:c r="N66" s="26" t="n">
        <x:v>6487</x:v>
      </x:c>
    </x:row>
    <x:row r="67">
      <x:c r="A67" s="20" t="str">
        <x:v>T0_TABLE_BLOCK</x:v>
      </x:c>
      <x:c r="B67" s="20" t="str">
        <x:v>NYC-V1-R02</x:v>
      </x:c>
      <x:c r="C67" s="20" t="str">
        <x:v>V1</x:v>
      </x:c>
      <x:c r="D67" s="20" t="str">
        <x:v>age65_one_person_households</x:v>
      </x:c>
      <x:c r="E67" s="20" t="str">
        <x:v>household</x:v>
      </x:c>
      <x:c r="F67" s="50" t="n">
        <x:v>3253</x:v>
      </x:c>
      <x:c r="G67" s="50" t="n">
        <x:v>408.5268045061426</x:v>
      </x:c>
      <x:c r="H67" s="50" t="n">
        <x:v>3252.725</x:v>
      </x:c>
      <x:c r="I67" s="50" t="n">
        <x:v>409.06981493198504</x:v>
      </x:c>
      <x:c r="J67" s="42" t="n">
        <x:v>1.0013291916707863</x:v>
      </x:c>
      <x:c r="K67" s="42" t="n">
        <x:v>-0.0006731504443938049</x:v>
      </x:c>
      <x:c r="L67" s="26" t="n">
        <x:v>2567</x:v>
      </x:c>
      <x:c r="M67" s="26" t="n">
        <x:v>3244</x:v>
      </x:c>
      <x:c r="N67" s="26" t="n">
        <x:v>3916</x:v>
      </x:c>
    </x:row>
    <x:row r="68">
      <x:c r="A68" s="20" t="str">
        <x:v>T0_TABLE_BLOCK</x:v>
      </x:c>
      <x:c r="B68" s="20" t="str">
        <x:v>NYC-V1-R02</x:v>
      </x:c>
      <x:c r="C68" s="20" t="str">
        <x:v>V1</x:v>
      </x:c>
      <x:c r="D68" s="20" t="str">
        <x:v>no_vehicle_households</x:v>
      </x:c>
      <x:c r="E68" s="20" t="str">
        <x:v>household</x:v>
      </x:c>
      <x:c r="F68" s="50" t="n">
        <x:v>10894</x:v>
      </x:c>
      <x:c r="G68" s="50" t="n">
        <x:v>556.9533735095523</x:v>
      </x:c>
      <x:c r="H68" s="50" t="n">
        <x:v>10894.135</x:v>
      </x:c>
      <x:c r="I68" s="50" t="n">
        <x:v>557.0079807917168</x:v>
      </x:c>
      <x:c r="J68" s="42" t="n">
        <x:v>1.000098046416023</x:v>
      </x:c>
      <x:c r="K68" s="42" t="n">
        <x:v>0.00024239012890708866</x:v>
      </x:c>
      <x:c r="L68" s="26" t="n">
        <x:v>9982</x:v>
      </x:c>
      <x:c r="M68" s="26" t="n">
        <x:v>10894</x:v>
      </x:c>
      <x:c r="N68" s="26" t="n">
        <x:v>11809</x:v>
      </x:c>
    </x:row>
    <x:row r="69">
      <x:c r="A69" s="20" t="str">
        <x:v>T0_TABLE_BLOCK</x:v>
      </x:c>
      <x:c r="B69" s="20" t="str">
        <x:v>NYC-V1-R02</x:v>
      </x:c>
      <x:c r="C69" s="20" t="str">
        <x:v>V1</x:v>
      </x:c>
      <x:c r="D69" s="20" t="str">
        <x:v>limited_english_households</x:v>
      </x:c>
      <x:c r="E69" s="20" t="str">
        <x:v>household</x:v>
      </x:c>
      <x:c r="F69" s="50" t="n">
        <x:v>820</x:v>
      </x:c>
      <x:c r="G69" s="50" t="n">
        <x:v>204.64032321155315</x:v>
      </x:c>
      <x:c r="H69" s="50" t="n">
        <x:v>820.084</x:v>
      </x:c>
      <x:c r="I69" s="50" t="n">
        <x:v>204.66437513756625</x:v>
      </x:c>
      <x:c r="J69" s="42" t="n">
        <x:v>1.0001175326819056</x:v>
      </x:c>
      <x:c r="K69" s="42" t="n">
        <x:v>0.000410476286792749</x:v>
      </x:c>
      <x:c r="L69" s="26" t="n">
        <x:v>484</x:v>
      </x:c>
      <x:c r="M69" s="26" t="n">
        <x:v>820</x:v>
      </x:c>
      <x:c r="N69" s="26" t="n">
        <x:v>1156</x:v>
      </x:c>
    </x:row>
    <x:row r="70">
      <x:c r="A70" s="20" t="str">
        <x:v>T0_TABLE_BLOCK</x:v>
      </x:c>
      <x:c r="B70" s="20" t="str">
        <x:v>NYC-V1-R02</x:v>
      </x:c>
      <x:c r="C70" s="20" t="str">
        <x:v>V1</x:v>
      </x:c>
      <x:c r="D70" s="20" t="str">
        <x:v>housing_units</x:v>
      </x:c>
      <x:c r="E70" s="20" t="str">
        <x:v>housing</x:v>
      </x:c>
      <x:c r="F70" s="50" t="n">
        <x:v>17007</x:v>
      </x:c>
      <x:c r="G70" s="50" t="n">
        <x:v>460.6189857137893</x:v>
      </x:c>
      <x:c r="H70" s="50" t="n">
        <x:v>17007.165</x:v>
      </x:c>
      <x:c r="I70" s="50" t="n">
        <x:v>463.94394462990755</x:v>
      </x:c>
      <x:c r="J70" s="42" t="n">
        <x:v>1.0072184582469301</x:v>
      </x:c>
      <x:c r="K70" s="42" t="n">
        <x:v>0.0003582136323477506</x:v>
      </x:c>
      <x:c r="L70" s="26" t="n">
        <x:v>16247</x:v>
      </x:c>
      <x:c r="M70" s="26" t="n">
        <x:v>17004</x:v>
      </x:c>
      <x:c r="N70" s="26" t="n">
        <x:v>17757</x:v>
      </x:c>
    </x:row>
    <x:row r="71">
      <x:c r="A71" s="20" t="str">
        <x:v>T0_TABLE_BLOCK</x:v>
      </x:c>
      <x:c r="B71" s="20" t="str">
        <x:v>NYC-V1-R02</x:v>
      </x:c>
      <x:c r="C71" s="20" t="str">
        <x:v>V1</x:v>
      </x:c>
      <x:c r="D71" s="20" t="str">
        <x:v>occupied_housing_units</x:v>
      </x:c>
      <x:c r="E71" s="20" t="str">
        <x:v>housing</x:v>
      </x:c>
      <x:c r="F71" s="50" t="n">
        <x:v>14621</x:v>
      </x:c>
      <x:c r="G71" s="50" t="n">
        <x:v>510.4494098341186</x:v>
      </x:c>
      <x:c r="H71" s="50" t="n">
        <x:v>14621.165</x:v>
      </x:c>
      <x:c r="I71" s="50" t="n">
        <x:v>517.155362965951</x:v>
      </x:c>
      <x:c r="J71" s="42" t="n">
        <x:v>1.0131373511314503</x:v>
      </x:c>
      <x:c r="K71" s="42" t="n">
        <x:v>0.00032324457002407616</x:v>
      </x:c>
      <x:c r="L71" s="26" t="n">
        <x:v>13799</x:v>
      </x:c>
      <x:c r="M71" s="26" t="n">
        <x:v>14620</x:v>
      </x:c>
      <x:c r="N71" s="26" t="n">
        <x:v>15445</x:v>
      </x:c>
    </x:row>
    <x:row r="72">
      <x:c r="A72" s="20" t="str">
        <x:v>T0_TABLE_BLOCK</x:v>
      </x:c>
      <x:c r="B72" s="20" t="str">
        <x:v>NYC-V1-R02</x:v>
      </x:c>
      <x:c r="C72" s="20" t="str">
        <x:v>V1</x:v>
      </x:c>
      <x:c r="D72" s="20" t="str">
        <x:v>vacant_housing_units</x:v>
      </x:c>
      <x:c r="E72" s="20" t="str">
        <x:v>housing</x:v>
      </x:c>
      <x:c r="F72" s="50" t="n">
        <x:v>2386</x:v>
      </x:c>
      <x:c r="G72" s="50" t="n">
        <x:v>387.47148282163937</x:v>
      </x:c>
      <x:c r="H72" s="50" t="n">
        <x:v>2386</x:v>
      </x:c>
      <x:c r="I72" s="50" t="n">
        <x:v>377.6347706713724</x:v>
      </x:c>
      <x:c r="J72" s="42" t="n">
        <x:v>0.9746130680930782</x:v>
      </x:c>
      <x:c r="K72" s="42" t="n">
        <x:v>0</x:v>
      </x:c>
      <x:c r="L72" s="26" t="n">
        <x:v>1769</x:v>
      </x:c>
      <x:c r="M72" s="26" t="n">
        <x:v>2381</x:v>
      </x:c>
      <x:c r="N72" s="26" t="n">
        <x:v>3008</x:v>
      </x:c>
    </x:row>
    <x:row r="73">
      <x:c r="A73" s="20" t="str">
        <x:v>T0_TABLE_BLOCK</x:v>
      </x:c>
      <x:c r="B73" s="20" t="str">
        <x:v>NYC-V1-R02</x:v>
      </x:c>
      <x:c r="C73" s="20" t="str">
        <x:v>V1</x:v>
      </x:c>
      <x:c r="D73" s="20" t="str">
        <x:v>owner_occupied_units</x:v>
      </x:c>
      <x:c r="E73" s="20" t="str">
        <x:v>housing</x:v>
      </x:c>
      <x:c r="F73" s="50" t="n">
        <x:v>5055</x:v>
      </x:c>
      <x:c r="G73" s="50" t="n">
        <x:v>490.0913965399911</x:v>
      </x:c>
      <x:c r="H73" s="50" t="n">
        <x:v>5054.984</x:v>
      </x:c>
      <x:c r="I73" s="50" t="n">
        <x:v>442.0828893149169</x:v>
      </x:c>
      <x:c r="J73" s="42" t="n">
        <x:v>0.902041726167791</x:v>
      </x:c>
      <x:c r="K73" s="42" t="n">
        <x:v>-0.000032646971794609057</x:v>
      </x:c>
      <x:c r="L73" s="26" t="n">
        <x:v>4337</x:v>
      </x:c>
      <x:c r="M73" s="26" t="n">
        <x:v>5043</x:v>
      </x:c>
      <x:c r="N73" s="26" t="n">
        <x:v>5786</x:v>
      </x:c>
    </x:row>
    <x:row r="74">
      <x:c r="A74" s="20" t="str">
        <x:v>T0_TABLE_BLOCK</x:v>
      </x:c>
      <x:c r="B74" s="20" t="str">
        <x:v>NYC-V1-R02</x:v>
      </x:c>
      <x:c r="C74" s="20" t="str">
        <x:v>V1</x:v>
      </x:c>
      <x:c r="D74" s="20" t="str">
        <x:v>renter_occupied_units</x:v>
      </x:c>
      <x:c r="E74" s="20" t="str">
        <x:v>housing</x:v>
      </x:c>
      <x:c r="F74" s="50" t="n">
        <x:v>9566</x:v>
      </x:c>
      <x:c r="G74" s="50" t="n">
        <x:v>447.24747372158976</x:v>
      </x:c>
      <x:c r="H74" s="50" t="n">
        <x:v>9566.181</x:v>
      </x:c>
      <x:c r="I74" s="50" t="n">
        <x:v>395.8559588779474</x:v>
      </x:c>
      <x:c r="J74" s="42" t="n">
        <x:v>0.8850937839491667</x:v>
      </x:c>
      <x:c r="K74" s="42" t="n">
        <x:v>0.0004046976464604174</x:v>
      </x:c>
      <x:c r="L74" s="26" t="n">
        <x:v>8921</x:v>
      </x:c>
      <x:c r="M74" s="26" t="n">
        <x:v>9560</x:v>
      </x:c>
      <x:c r="N74" s="26" t="n">
        <x:v>10215</x:v>
      </x:c>
    </x:row>
    <x:row r="75">
      <x:c r="A75" s="20" t="str">
        <x:v>T0_TABLE_BLOCK</x:v>
      </x:c>
      <x:c r="B75" s="20" t="str">
        <x:v>NYC-V1-R02</x:v>
      </x:c>
      <x:c r="C75" s="20" t="str">
        <x:v>V1</x:v>
      </x:c>
      <x:c r="D75" s="20" t="str">
        <x:v>one_unit_structures</x:v>
      </x:c>
      <x:c r="E75" s="20" t="str">
        <x:v>housing</x:v>
      </x:c>
      <x:c r="F75" s="50" t="n">
        <x:v>322</x:v>
      </x:c>
      <x:c r="G75" s="50" t="n">
        <x:v>168.4329439261361</x:v>
      </x:c>
      <x:c r="H75" s="50" t="n">
        <x:v>323.796</x:v>
      </x:c>
      <x:c r="I75" s="50" t="n">
        <x:v>163.86701554242936</x:v>
      </x:c>
      <x:c r="J75" s="42" t="n">
        <x:v>0.972891714190372</x:v>
      </x:c>
      <x:c r="K75" s="42" t="n">
        <x:v>0.010662997143763057</x:v>
      </x:c>
      <x:c r="L75" s="26" t="n">
        <x:v>55</x:v>
      </x:c>
      <x:c r="M75" s="26" t="n">
        <x:v>322</x:v>
      </x:c>
      <x:c r="N75" s="26" t="n">
        <x:v>599</x:v>
      </x:c>
    </x:row>
    <x:row r="76">
      <x:c r="A76" s="20" t="str">
        <x:v>T0_TABLE_BLOCK</x:v>
      </x:c>
      <x:c r="B76" s="20" t="str">
        <x:v>NYC-V1-R02</x:v>
      </x:c>
      <x:c r="C76" s="20" t="str">
        <x:v>V1</x:v>
      </x:c>
      <x:c r="D76" s="20" t="str">
        <x:v>two_to_four_unit_structures</x:v>
      </x:c>
      <x:c r="E76" s="20" t="str">
        <x:v>housing</x:v>
      </x:c>
      <x:c r="F76" s="50" t="n">
        <x:v>112</x:v>
      </x:c>
      <x:c r="G76" s="50" t="n">
        <x:v>64.85498875229969</x:v>
      </x:c>
      <x:c r="H76" s="50" t="n">
        <x:v>113.11</x:v>
      </x:c>
      <x:c r="I76" s="50" t="n">
        <x:v>62.557456272896324</x:v>
      </x:c>
      <x:c r="J76" s="42" t="n">
        <x:v>0.9645743138098702</x:v>
      </x:c>
      <x:c r="K76" s="42" t="n">
        <x:v>0.017115105890148506</x:v>
      </x:c>
      <x:c r="L76" s="26" t="n">
        <x:v>5</x:v>
      </x:c>
      <x:c r="M76" s="26" t="n">
        <x:v>113</x:v>
      </x:c>
      <x:c r="N76" s="26" t="n">
        <x:v>217</x:v>
      </x:c>
    </x:row>
    <x:row r="77">
      <x:c r="A77" s="20" t="str">
        <x:v>T0_TABLE_BLOCK</x:v>
      </x:c>
      <x:c r="B77" s="20" t="str">
        <x:v>NYC-V1-R02</x:v>
      </x:c>
      <x:c r="C77" s="20" t="str">
        <x:v>V1</x:v>
      </x:c>
      <x:c r="D77" s="20" t="str">
        <x:v>five_to_nineteen_unit_structures</x:v>
      </x:c>
      <x:c r="E77" s="20" t="str">
        <x:v>housing</x:v>
      </x:c>
      <x:c r="F77" s="50" t="n">
        <x:v>1335</x:v>
      </x:c>
      <x:c r="G77" s="50" t="n">
        <x:v>217.7564960151678</x:v>
      </x:c>
      <x:c r="H77" s="50" t="n">
        <x:v>1334.952</x:v>
      </x:c>
      <x:c r="I77" s="50" t="n">
        <x:v>215.22841114723903</x:v>
      </x:c>
      <x:c r="J77" s="42" t="n">
        <x:v>0.988390312508736</x:v>
      </x:c>
      <x:c r="K77" s="42" t="n">
        <x:v>-0.00022042970418048233</x:v>
      </x:c>
      <x:c r="L77" s="26" t="n">
        <x:v>984</x:v>
      </x:c>
      <x:c r="M77" s="26" t="n">
        <x:v>1336</x:v>
      </x:c>
      <x:c r="N77" s="26" t="n">
        <x:v>1697</x:v>
      </x:c>
    </x:row>
    <x:row r="78">
      <x:c r="A78" s="20" t="str">
        <x:v>T0_TABLE_BLOCK</x:v>
      </x:c>
      <x:c r="B78" s="20" t="str">
        <x:v>NYC-V1-R02</x:v>
      </x:c>
      <x:c r="C78" s="20" t="str">
        <x:v>V1</x:v>
      </x:c>
      <x:c r="D78" s="20" t="str">
        <x:v>twenty_to_forty_nine_unit_structures</x:v>
      </x:c>
      <x:c r="E78" s="20" t="str">
        <x:v>housing</x:v>
      </x:c>
      <x:c r="F78" s="50" t="n">
        <x:v>2999</x:v>
      </x:c>
      <x:c r="G78" s="50" t="n">
        <x:v>370.76834550384757</x:v>
      </x:c>
      <x:c r="H78" s="50" t="n">
        <x:v>2998.816</x:v>
      </x:c>
      <x:c r="I78" s="50" t="n">
        <x:v>345.1031879805725</x:v>
      </x:c>
      <x:c r="J78" s="42" t="n">
        <x:v>0.9307784555113572</x:v>
      </x:c>
      <x:c r="K78" s="42" t="n">
        <x:v>-0.0004962667450754289</x:v>
      </x:c>
      <x:c r="L78" s="26" t="n">
        <x:v>2427</x:v>
      </x:c>
      <x:c r="M78" s="26" t="n">
        <x:v>3009</x:v>
      </x:c>
      <x:c r="N78" s="26" t="n">
        <x:v>3527</x:v>
      </x:c>
    </x:row>
    <x:row r="79">
      <x:c r="A79" s="20" t="str">
        <x:v>T0_TABLE_BLOCK</x:v>
      </x:c>
      <x:c r="B79" s="20" t="str">
        <x:v>NYC-V1-R02</x:v>
      </x:c>
      <x:c r="C79" s="20" t="str">
        <x:v>V1</x:v>
      </x:c>
      <x:c r="D79" s="20" t="str">
        <x:v>fifty_plus_unit_structures</x:v>
      </x:c>
      <x:c r="E79" s="20" t="str">
        <x:v>housing</x:v>
      </x:c>
      <x:c r="F79" s="50" t="n">
        <x:v>9853</x:v>
      </x:c>
      <x:c r="G79" s="50" t="n">
        <x:v>577.9262600209345</x:v>
      </x:c>
      <x:c r="H79" s="50" t="n">
        <x:v>9832.056</x:v>
      </x:c>
      <x:c r="I79" s="50" t="n">
        <x:v>463.7684681563162</x:v>
      </x:c>
      <x:c r="J79" s="42" t="n">
        <x:v>0.8024699693340063</x:v>
      </x:c>
      <x:c r="K79" s="42" t="n">
        <x:v>-0.03623991752726523</x:v>
      </x:c>
      <x:c r="L79" s="26" t="n">
        <x:v>9042</x:v>
      </x:c>
      <x:c r="M79" s="26" t="n">
        <x:v>9857</x:v>
      </x:c>
      <x:c r="N79" s="26" t="n">
        <x:v>10567</x:v>
      </x:c>
    </x:row>
    <x:row r="80">
      <x:c r="A80" s="20" t="str">
        <x:v>T0_TABLE_BLOCK</x:v>
      </x:c>
      <x:c r="B80" s="20" t="str">
        <x:v>NYC-V1-R02</x:v>
      </x:c>
      <x:c r="C80" s="20" t="str">
        <x:v>V1</x:v>
      </x:c>
      <x:c r="D80" s="20" t="str">
        <x:v>mobile_or_other_units</x:v>
      </x:c>
      <x:c r="E80" s="20" t="str">
        <x:v>housing</x:v>
      </x:c>
      <x:c r="F80" s="50" t="n">
        <x:v>0</x:v>
      </x:c>
      <x:c r="G80" s="50" t="n">
        <x:v>46.20060790273556</x:v>
      </x:c>
      <x:c r="H80" s="50" t="n">
        <x:v>18.435</x:v>
      </x:c>
      <x:c r="I80" s="50" t="n">
        <x:v>26.955971497970523</x:v>
      </x:c>
      <x:c r="J80" s="42" t="n">
        <x:v>0.583454909396862</x:v>
      </x:c>
      <x:c r="K80" s="42" t="n">
        <x:v>0.3990207236842105</x:v>
      </x:c>
      <x:c r="L80" s="26" t="n">
        <x:v>0</x:v>
      </x:c>
      <x:c r="M80" s="26" t="n">
        <x:v>0</x:v>
      </x:c>
      <x:c r="N80" s="26" t="n">
        <x:v>75</x:v>
      </x:c>
    </x:row>
    <x:row r="81">
      <x:c r="A81" s="20" t="str">
        <x:v>T0_TABLE_BLOCK</x:v>
      </x:c>
      <x:c r="B81" s="20" t="str">
        <x:v>NYC-V1-R02</x:v>
      </x:c>
      <x:c r="C81" s="20" t="str">
        <x:v>V1</x:v>
      </x:c>
      <x:c r="D81" s="20" t="str">
        <x:v>electric_heat_households</x:v>
      </x:c>
      <x:c r="E81" s="20" t="str">
        <x:v>housing</x:v>
      </x:c>
      <x:c r="F81" s="50" t="n">
        <x:v>1670</x:v>
      </x:c>
      <x:c r="G81" s="50" t="n">
        <x:v>249.15707896826854</x:v>
      </x:c>
      <x:c r="H81" s="50" t="n">
        <x:v>1670.145</x:v>
      </x:c>
      <x:c r="I81" s="50" t="n">
        <x:v>242.449899832788</x:v>
      </x:c>
      <x:c r="J81" s="42" t="n">
        <x:v>0.9730805194728794</x:v>
      </x:c>
      <x:c r="K81" s="42" t="n">
        <x:v>0.0005819621926874826</x:v>
      </x:c>
      <x:c r="L81" s="26" t="n">
        <x:v>1257</x:v>
      </x:c>
      <x:c r="M81" s="26" t="n">
        <x:v>1683</x:v>
      </x:c>
      <x:c r="N81" s="26" t="n">
        <x:v>2079</x:v>
      </x:c>
    </x:row>
    <x:row r="82">
      <x:c r="A82" s="20" t="str">
        <x:v>T0_TABLE_BLOCK</x:v>
      </x:c>
      <x:c r="B82" s="20" t="str">
        <x:v>NYC-V1-R02</x:v>
      </x:c>
      <x:c r="C82" s="20" t="str">
        <x:v>V1</x:v>
      </x:c>
      <x:c r="D82" s="20" t="str">
        <x:v>group_quarters_population</x:v>
      </x:c>
      <x:c r="E82" s="20" t="str">
        <x:v>population</x:v>
      </x:c>
      <x:c r="F82" s="50" t="n">
        <x:v>1123</x:v>
      </x:c>
      <x:c r="G82" s="50" t="n">
        <x:v>24.761865842460256</x:v>
      </x:c>
      <x:c r="H82" s="50" t="n">
        <x:v>1123.003</x:v>
      </x:c>
      <x:c r="I82" s="50" t="n">
        <x:v>24.96910986494007</x:v>
      </x:c>
      <x:c r="J82" s="42" t="n">
        <x:v>1.0083694832933163</x:v>
      </x:c>
      <x:c r="K82" s="42" t="n">
        <x:v>0.00012115403657445021</x:v>
      </x:c>
      <x:c r="L82" s="26" t="n">
        <x:v>1083</x:v>
      </x:c>
      <x:c r="M82" s="26" t="n">
        <x:v>1123</x:v>
      </x:c>
      <x:c r="N82" s="26" t="n">
        <x:v>1164</x:v>
      </x:c>
    </x:row>
    <x:row r="83">
      <x:c r="A83" s="20" t="str">
        <x:v>T0_TABLE_BLOCK</x:v>
      </x:c>
      <x:c r="B83" s="20" t="str">
        <x:v>NYC-V1-R03</x:v>
      </x:c>
      <x:c r="C83" s="20" t="str">
        <x:v>V1</x:v>
      </x:c>
      <x:c r="D83" s="20" t="str">
        <x:v>acs_population</x:v>
      </x:c>
      <x:c r="E83" s="20" t="str">
        <x:v>population</x:v>
      </x:c>
      <x:c r="F83" s="50" t="n">
        <x:v>27923</x:v>
      </x:c>
      <x:c r="G83" s="50" t="n">
        <x:v>1294.5028196184046</x:v>
      </x:c>
      <x:c r="H83" s="50" t="n">
        <x:v>27923.269</x:v>
      </x:c>
      <x:c r="I83" s="50" t="n">
        <x:v>1252.8997759148524</x:v>
      </x:c>
      <x:c r="J83" s="42" t="n">
        <x:v>0.9678617589138848</x:v>
      </x:c>
      <x:c r="K83" s="42" t="n">
        <x:v>0.0002078017876233974</x:v>
      </x:c>
      <x:c r="L83" s="26" t="n">
        <x:v>25940</x:v>
      </x:c>
      <x:c r="M83" s="26" t="n">
        <x:v>27940</x:v>
      </x:c>
      <x:c r="N83" s="26" t="n">
        <x:v>29946</x:v>
      </x:c>
    </x:row>
    <x:row r="84">
      <x:c r="A84" s="20" t="str">
        <x:v>T0_TABLE_BLOCK</x:v>
      </x:c>
      <x:c r="B84" s="20" t="str">
        <x:v>NYC-V1-R03</x:v>
      </x:c>
      <x:c r="C84" s="20" t="str">
        <x:v>V1</x:v>
      </x:c>
      <x:c r="D84" s="20" t="str">
        <x:v>age_under_18</x:v>
      </x:c>
      <x:c r="E84" s="20" t="str">
        <x:v>population</x:v>
      </x:c>
      <x:c r="F84" s="50" t="n">
        <x:v>2587</x:v>
      </x:c>
      <x:c r="G84" s="50" t="n">
        <x:v>385.9863339549731</x:v>
      </x:c>
      <x:c r="H84" s="50" t="n">
        <x:v>2588.702</x:v>
      </x:c>
      <x:c r="I84" s="50" t="n">
        <x:v>372.50247689282725</x:v>
      </x:c>
      <x:c r="J84" s="42" t="n">
        <x:v>0.9650664910231802</x:v>
      </x:c>
      <x:c r="K84" s="42" t="n">
        <x:v>0.004409482539344958</x:v>
      </x:c>
      <x:c r="L84" s="26" t="n">
        <x:v>1995</x:v>
      </x:c>
      <x:c r="M84" s="26" t="n">
        <x:v>2571</x:v>
      </x:c>
      <x:c r="N84" s="26" t="n">
        <x:v>3227</x:v>
      </x:c>
    </x:row>
    <x:row r="85">
      <x:c r="A85" s="20" t="str">
        <x:v>T0_TABLE_BLOCK</x:v>
      </x:c>
      <x:c r="B85" s="20" t="str">
        <x:v>NYC-V1-R03</x:v>
      </x:c>
      <x:c r="C85" s="20" t="str">
        <x:v>V1</x:v>
      </x:c>
      <x:c r="D85" s="20" t="str">
        <x:v>age_65_plus</x:v>
      </x:c>
      <x:c r="E85" s="20" t="str">
        <x:v>population</x:v>
      </x:c>
      <x:c r="F85" s="50" t="n">
        <x:v>3991</x:v>
      </x:c>
      <x:c r="G85" s="50" t="n">
        <x:v>482.6947793378337</x:v>
      </x:c>
      <x:c r="H85" s="50" t="n">
        <x:v>4035.42</x:v>
      </x:c>
      <x:c r="I85" s="50" t="n">
        <x:v>451.2453500768357</x:v>
      </x:c>
      <x:c r="J85" s="42" t="n">
        <x:v>0.9348461375444318</x:v>
      </x:c>
      <x:c r="K85" s="42" t="n">
        <x:v>0.09202502679008864</x:v>
      </x:c>
      <x:c r="L85" s="26" t="n">
        <x:v>3312</x:v>
      </x:c>
      <x:c r="M85" s="26" t="n">
        <x:v>4027</x:v>
      </x:c>
      <x:c r="N85" s="26" t="n">
        <x:v>4811</x:v>
      </x:c>
    </x:row>
    <x:row r="86">
      <x:c r="A86" s="20" t="str">
        <x:v>T0_TABLE_BLOCK</x:v>
      </x:c>
      <x:c r="B86" s="20" t="str">
        <x:v>NYC-V1-R03</x:v>
      </x:c>
      <x:c r="C86" s="20" t="str">
        <x:v>V1</x:v>
      </x:c>
      <x:c r="D86" s="20" t="str">
        <x:v>age_75_plus</x:v>
      </x:c>
      <x:c r="E86" s="20" t="str">
        <x:v>population</x:v>
      </x:c>
      <x:c r="F86" s="50" t="n">
        <x:v>2191</x:v>
      </x:c>
      <x:c r="G86" s="50" t="n">
        <x:v>397.9192129063386</x:v>
      </x:c>
      <x:c r="H86" s="50" t="n">
        <x:v>2191</x:v>
      </x:c>
      <x:c r="I86" s="50" t="n">
        <x:v>392.20975828565827</x:v>
      </x:c>
      <x:c r="J86" s="42" t="n">
        <x:v>0.9856517241804451</x:v>
      </x:c>
      <x:c r="K86" s="42" t="n">
        <x:v>0</x:v>
      </x:c>
      <x:c r="L86" s="26" t="n">
        <x:v>1548</x:v>
      </x:c>
      <x:c r="M86" s="26" t="n">
        <x:v>2202</x:v>
      </x:c>
      <x:c r="N86" s="26" t="n">
        <x:v>2843</x:v>
      </x:c>
    </x:row>
    <x:row r="87">
      <x:c r="A87" s="20" t="str">
        <x:v>T0_TABLE_BLOCK</x:v>
      </x:c>
      <x:c r="B87" s="20" t="str">
        <x:v>NYC-V1-R03</x:v>
      </x:c>
      <x:c r="C87" s="20" t="str">
        <x:v>V1</x:v>
      </x:c>
      <x:c r="D87" s="20" t="str">
        <x:v>age_85_plus</x:v>
      </x:c>
      <x:c r="E87" s="20" t="str">
        <x:v>population</x:v>
      </x:c>
      <x:c r="F87" s="50" t="n">
        <x:v>1125</x:v>
      </x:c>
      <x:c r="G87" s="50" t="n">
        <x:v>331.8523014836571</x:v>
      </x:c>
      <x:c r="H87" s="50" t="n">
        <x:v>1125.02</x:v>
      </x:c>
      <x:c r="I87" s="50" t="n">
        <x:v>328.6709634303009</x:v>
      </x:c>
      <x:c r="J87" s="42" t="n">
        <x:v>0.990413391622921</x:v>
      </x:c>
      <x:c r="K87" s="42" t="n">
        <x:v>0.00006026777548495249</x:v>
      </x:c>
      <x:c r="L87" s="26" t="n">
        <x:v>562</x:v>
      </x:c>
      <x:c r="M87" s="26" t="n">
        <x:v>1131</x:v>
      </x:c>
      <x:c r="N87" s="26" t="n">
        <x:v>1647</x:v>
      </x:c>
    </x:row>
    <x:row r="88">
      <x:c r="A88" s="20" t="str">
        <x:v>T0_TABLE_BLOCK</x:v>
      </x:c>
      <x:c r="B88" s="20" t="str">
        <x:v>NYC-V1-R03</x:v>
      </x:c>
      <x:c r="C88" s="20" t="str">
        <x:v>V1</x:v>
      </x:c>
      <x:c r="D88" s="20" t="str">
        <x:v>civilian_noninstitutionalized</x:v>
      </x:c>
      <x:c r="E88" s="20" t="str">
        <x:v>disability</x:v>
      </x:c>
      <x:c r="F88" s="50" t="n">
        <x:v>27908</x:v>
      </x:c>
      <x:c r="G88" s="50" t="n">
        <x:v>1294.6642614979376</x:v>
      </x:c>
      <x:c r="H88" s="50" t="n">
        <x:v>27201.792</x:v>
      </x:c>
      <x:c r="I88" s="50" t="n">
        <x:v>1057.3816494949629</x:v>
      </x:c>
      <x:c r="J88" s="42" t="n">
        <x:v>0.8167226677529226</x:v>
      </x:c>
      <x:c r="K88" s="42" t="n">
        <x:v>-0.5454757816384844</x:v>
      </x:c>
      <x:c r="L88" s="26" t="n">
        <x:v>25441</x:v>
      </x:c>
      <x:c r="M88" s="26" t="n">
        <x:v>27235</x:v>
      </x:c>
      <x:c r="N88" s="26" t="n">
        <x:v>28934</x:v>
      </x:c>
    </x:row>
    <x:row r="89">
      <x:c r="A89" s="20" t="str">
        <x:v>T0_TABLE_BLOCK</x:v>
      </x:c>
      <x:c r="B89" s="20" t="str">
        <x:v>NYC-V1-R03</x:v>
      </x:c>
      <x:c r="C89" s="20" t="str">
        <x:v>V1</x:v>
      </x:c>
      <x:c r="D89" s="20" t="str">
        <x:v>any_disability</x:v>
      </x:c>
      <x:c r="E89" s="20" t="str">
        <x:v>disability</x:v>
      </x:c>
      <x:c r="F89" s="50" t="n">
        <x:v>1575</x:v>
      </x:c>
      <x:c r="G89" s="50" t="n">
        <x:v>268.2469011936578</x:v>
      </x:c>
      <x:c r="H89" s="50" t="n">
        <x:v>1577.303</x:v>
      </x:c>
      <x:c r="I89" s="50" t="n">
        <x:v>265.2531930956675</x:v>
      </x:c>
      <x:c r="J89" s="42" t="n">
        <x:v>0.9888397290530897</x:v>
      </x:c>
      <x:c r="K89" s="42" t="n">
        <x:v>0.008585374107779483</x:v>
      </x:c>
      <x:c r="L89" s="26" t="n">
        <x:v>1123</x:v>
      </x:c>
      <x:c r="M89" s="26" t="n">
        <x:v>1582</x:v>
      </x:c>
      <x:c r="N89" s="26" t="n">
        <x:v>2001</x:v>
      </x:c>
    </x:row>
    <x:row r="90">
      <x:c r="A90" s="20" t="str">
        <x:v>T0_TABLE_BLOCK</x:v>
      </x:c>
      <x:c r="B90" s="20" t="str">
        <x:v>NYC-V1-R03</x:v>
      </x:c>
      <x:c r="C90" s="20" t="str">
        <x:v>V1</x:v>
      </x:c>
      <x:c r="D90" s="20" t="str">
        <x:v>disability_under_18</x:v>
      </x:c>
      <x:c r="E90" s="20" t="str">
        <x:v>disability</x:v>
      </x:c>
      <x:c r="F90" s="50" t="n">
        <x:v>81</x:v>
      </x:c>
      <x:c r="G90" s="50" t="n">
        <x:v>56.507079202521176</x:v>
      </x:c>
      <x:c r="H90" s="50" t="n">
        <x:v>83.104</x:v>
      </x:c>
      <x:c r="I90" s="50" t="n">
        <x:v>53.651819183525376</x:v>
      </x:c>
      <x:c r="J90" s="42" t="n">
        <x:v>0.9494707555355576</x:v>
      </x:c>
      <x:c r="K90" s="42" t="n">
        <x:v>0.03723427276181221</x:v>
      </x:c>
      <x:c r="L90" s="26" t="n">
        <x:v>0</x:v>
      </x:c>
      <x:c r="M90" s="26" t="n">
        <x:v>83</x:v>
      </x:c>
      <x:c r="N90" s="26" t="n">
        <x:v>176</x:v>
      </x:c>
    </x:row>
    <x:row r="91">
      <x:c r="A91" s="20" t="str">
        <x:v>T0_TABLE_BLOCK</x:v>
      </x:c>
      <x:c r="B91" s="20" t="str">
        <x:v>NYC-V1-R03</x:v>
      </x:c>
      <x:c r="C91" s="20" t="str">
        <x:v>V1</x:v>
      </x:c>
      <x:c r="D91" s="20" t="str">
        <x:v>disability_18_64</x:v>
      </x:c>
      <x:c r="E91" s="20" t="str">
        <x:v>disability</x:v>
      </x:c>
      <x:c r="F91" s="50" t="n">
        <x:v>641</x:v>
      </x:c>
      <x:c r="G91" s="50" t="n">
        <x:v>148.07616283521128</x:v>
      </x:c>
      <x:c r="H91" s="50" t="n">
        <x:v>641.071</x:v>
      </x:c>
      <x:c r="I91" s="50" t="n">
        <x:v>149.64952702878796</x:v>
      </x:c>
      <x:c r="J91" s="42" t="n">
        <x:v>1.0106253711836632</x:v>
      </x:c>
      <x:c r="K91" s="42" t="n">
        <x:v>0.0004794829811942099</x:v>
      </x:c>
      <x:c r="L91" s="26" t="n">
        <x:v>402</x:v>
      </x:c>
      <x:c r="M91" s="26" t="n">
        <x:v>641</x:v>
      </x:c>
      <x:c r="N91" s="26" t="n">
        <x:v>891</x:v>
      </x:c>
    </x:row>
    <x:row r="92">
      <x:c r="A92" s="20" t="str">
        <x:v>T0_TABLE_BLOCK</x:v>
      </x:c>
      <x:c r="B92" s="20" t="str">
        <x:v>NYC-V1-R03</x:v>
      </x:c>
      <x:c r="C92" s="20" t="str">
        <x:v>V1</x:v>
      </x:c>
      <x:c r="D92" s="20" t="str">
        <x:v>disability_65_plus</x:v>
      </x:c>
      <x:c r="E92" s="20" t="str">
        <x:v>disability</x:v>
      </x:c>
      <x:c r="F92" s="50" t="n">
        <x:v>853</x:v>
      </x:c>
      <x:c r="G92" s="50" t="n">
        <x:v>202.96255812341352</x:v>
      </x:c>
      <x:c r="H92" s="50" t="n">
        <x:v>853.128</x:v>
      </x:c>
      <x:c r="I92" s="50" t="n">
        <x:v>200.71689238050416</x:v>
      </x:c>
      <x:c r="J92" s="42" t="n">
        <x:v>0.988935566423321</x:v>
      </x:c>
      <x:c r="K92" s="42" t="n">
        <x:v>0.0006306581922475129</x:v>
      </x:c>
      <x:c r="L92" s="26" t="n">
        <x:v>521</x:v>
      </x:c>
      <x:c r="M92" s="26" t="n">
        <x:v>853</x:v>
      </x:c>
      <x:c r="N92" s="26" t="n">
        <x:v>1193</x:v>
      </x:c>
    </x:row>
    <x:row r="93">
      <x:c r="A93" s="20" t="str">
        <x:v>T0_TABLE_BLOCK</x:v>
      </x:c>
      <x:c r="B93" s="20" t="str">
        <x:v>NYC-V1-R03</x:v>
      </x:c>
      <x:c r="C93" s="20" t="str">
        <x:v>V1</x:v>
      </x:c>
      <x:c r="D93" s="20" t="str">
        <x:v>hearing_difficulty</x:v>
      </x:c>
      <x:c r="E93" s="20" t="str">
        <x:v>disability</x:v>
      </x:c>
      <x:c r="F93" s="50" t="n">
        <x:v>386</x:v>
      </x:c>
      <x:c r="G93" s="50" t="n">
        <x:v>172.27474451061414</x:v>
      </x:c>
      <x:c r="H93" s="50" t="n">
        <x:v>386.789</x:v>
      </x:c>
      <x:c r="I93" s="50" t="n">
        <x:v>170.58544449299558</x:v>
      </x:c>
      <x:c r="J93" s="42" t="n">
        <x:v>0.990194151659215</x:v>
      </x:c>
      <x:c r="K93" s="42" t="n">
        <x:v>0.00457989360101112</x:v>
      </x:c>
      <x:c r="L93" s="26" t="n">
        <x:v>104</x:v>
      </x:c>
      <x:c r="M93" s="26" t="n">
        <x:v>386</x:v>
      </x:c>
      <x:c r="N93" s="26" t="n">
        <x:v>669</x:v>
      </x:c>
    </x:row>
    <x:row r="94">
      <x:c r="A94" s="20" t="str">
        <x:v>T0_TABLE_BLOCK</x:v>
      </x:c>
      <x:c r="B94" s="20" t="str">
        <x:v>NYC-V1-R03</x:v>
      </x:c>
      <x:c r="C94" s="20" t="str">
        <x:v>V1</x:v>
      </x:c>
      <x:c r="D94" s="20" t="str">
        <x:v>vision_difficulty</x:v>
      </x:c>
      <x:c r="E94" s="20" t="str">
        <x:v>disability</x:v>
      </x:c>
      <x:c r="F94" s="50" t="n">
        <x:v>255</x:v>
      </x:c>
      <x:c r="G94" s="50" t="n">
        <x:v>112.55069205055119</x:v>
      </x:c>
      <x:c r="H94" s="50" t="n">
        <x:v>255.448</x:v>
      </x:c>
      <x:c r="I94" s="50" t="n">
        <x:v>111.39545881338361</x:v>
      </x:c>
      <x:c r="J94" s="42" t="n">
        <x:v>0.9897358850832413</x:v>
      </x:c>
      <x:c r="K94" s="42" t="n">
        <x:v>0.00398042865697167</x:v>
      </x:c>
      <x:c r="L94" s="26" t="n">
        <x:v>71</x:v>
      </x:c>
      <x:c r="M94" s="26" t="n">
        <x:v>255</x:v>
      </x:c>
      <x:c r="N94" s="26" t="n">
        <x:v>439</x:v>
      </x:c>
    </x:row>
    <x:row r="95">
      <x:c r="A95" s="20" t="str">
        <x:v>T0_TABLE_BLOCK</x:v>
      </x:c>
      <x:c r="B95" s="20" t="str">
        <x:v>NYC-V1-R03</x:v>
      </x:c>
      <x:c r="C95" s="20" t="str">
        <x:v>V1</x:v>
      </x:c>
      <x:c r="D95" s="20" t="str">
        <x:v>cognitive_difficulty</x:v>
      </x:c>
      <x:c r="E95" s="20" t="str">
        <x:v>disability</x:v>
      </x:c>
      <x:c r="F95" s="50" t="n">
        <x:v>575</x:v>
      </x:c>
      <x:c r="G95" s="50" t="n">
        <x:v>140.34261160538108</x:v>
      </x:c>
      <x:c r="H95" s="50" t="n">
        <x:v>574.992</x:v>
      </x:c>
      <x:c r="I95" s="50" t="n">
        <x:v>140.65273238414932</x:v>
      </x:c>
      <x:c r="J95" s="42" t="n">
        <x:v>1.0022097406854609</x:v>
      </x:c>
      <x:c r="K95" s="42" t="n">
        <x:v>-0.00005700335705974178</x:v>
      </x:c>
      <x:c r="L95" s="26" t="n">
        <x:v>345</x:v>
      </x:c>
      <x:c r="M95" s="26" t="n">
        <x:v>575</x:v>
      </x:c>
      <x:c r="N95" s="26" t="n">
        <x:v>805</x:v>
      </x:c>
    </x:row>
    <x:row r="96">
      <x:c r="A96" s="20" t="str">
        <x:v>T0_TABLE_BLOCK</x:v>
      </x:c>
      <x:c r="B96" s="20" t="str">
        <x:v>NYC-V1-R03</x:v>
      </x:c>
      <x:c r="C96" s="20" t="str">
        <x:v>V1</x:v>
      </x:c>
      <x:c r="D96" s="20" t="str">
        <x:v>ambulatory_difficulty</x:v>
      </x:c>
      <x:c r="E96" s="20" t="str">
        <x:v>disability</x:v>
      </x:c>
      <x:c r="F96" s="50" t="n">
        <x:v>786</x:v>
      </x:c>
      <x:c r="G96" s="50" t="n">
        <x:v>208.07863299724175</x:v>
      </x:c>
      <x:c r="H96" s="50" t="n">
        <x:v>784.882</x:v>
      </x:c>
      <x:c r="I96" s="50" t="n">
        <x:v>206.5766879490617</x:v>
      </x:c>
      <x:c r="J96" s="42" t="n">
        <x:v>0.9927818391223284</x:v>
      </x:c>
      <x:c r="K96" s="42" t="n">
        <x:v>-0.005372968785386397</x:v>
      </x:c>
      <x:c r="L96" s="26" t="n">
        <x:v>446</x:v>
      </x:c>
      <x:c r="M96" s="26" t="n">
        <x:v>786</x:v>
      </x:c>
      <x:c r="N96" s="26" t="n">
        <x:v>1119</x:v>
      </x:c>
    </x:row>
    <x:row r="97">
      <x:c r="A97" s="20" t="str">
        <x:v>T0_TABLE_BLOCK</x:v>
      </x:c>
      <x:c r="B97" s="20" t="str">
        <x:v>NYC-V1-R03</x:v>
      </x:c>
      <x:c r="C97" s="20" t="str">
        <x:v>V1</x:v>
      </x:c>
      <x:c r="D97" s="20" t="str">
        <x:v>self_care_difficulty</x:v>
      </x:c>
      <x:c r="E97" s="20" t="str">
        <x:v>disability</x:v>
      </x:c>
      <x:c r="F97" s="50" t="n">
        <x:v>505</x:v>
      </x:c>
      <x:c r="G97" s="50" t="n">
        <x:v>184.7024205464741</x:v>
      </x:c>
      <x:c r="H97" s="50" t="n">
        <x:v>505.191</x:v>
      </x:c>
      <x:c r="I97" s="50" t="n">
        <x:v>184.29394123458258</x:v>
      </x:c>
      <x:c r="J97" s="42" t="n">
        <x:v>0.9977884463523382</x:v>
      </x:c>
      <x:c r="K97" s="42" t="n">
        <x:v>0.0010340958144179568</x:v>
      </x:c>
      <x:c r="L97" s="26" t="n">
        <x:v>203</x:v>
      </x:c>
      <x:c r="M97" s="26" t="n">
        <x:v>505</x:v>
      </x:c>
      <x:c r="N97" s="26" t="n">
        <x:v>807</x:v>
      </x:c>
    </x:row>
    <x:row r="98">
      <x:c r="A98" s="20" t="str">
        <x:v>T0_TABLE_BLOCK</x:v>
      </x:c>
      <x:c r="B98" s="20" t="str">
        <x:v>NYC-V1-R03</x:v>
      </x:c>
      <x:c r="C98" s="20" t="str">
        <x:v>V1</x:v>
      </x:c>
      <x:c r="D98" s="20" t="str">
        <x:v>independent_living_difficulty</x:v>
      </x:c>
      <x:c r="E98" s="20" t="str">
        <x:v>disability</x:v>
      </x:c>
      <x:c r="F98" s="50" t="n">
        <x:v>574</x:v>
      </x:c>
      <x:c r="G98" s="50" t="n">
        <x:v>158.44469073753095</x:v>
      </x:c>
      <x:c r="H98" s="50" t="n">
        <x:v>573.806</x:v>
      </x:c>
      <x:c r="I98" s="50" t="n">
        <x:v>158.47643719223734</x:v>
      </x:c>
      <x:c r="J98" s="42" t="n">
        <x:v>1.0002003630071707</x:v>
      </x:c>
      <x:c r="K98" s="42" t="n">
        <x:v>-0.001224402023803547</x:v>
      </x:c>
      <x:c r="L98" s="26" t="n">
        <x:v>314</x:v>
      </x:c>
      <x:c r="M98" s="26" t="n">
        <x:v>574</x:v>
      </x:c>
      <x:c r="N98" s="26" t="n">
        <x:v>833</x:v>
      </x:c>
    </x:row>
    <x:row r="99">
      <x:c r="A99" s="20" t="str">
        <x:v>T0_TABLE_BLOCK</x:v>
      </x:c>
      <x:c r="B99" s="20" t="str">
        <x:v>NYC-V1-R03</x:v>
      </x:c>
      <x:c r="C99" s="20" t="str">
        <x:v>V1</x:v>
      </x:c>
      <x:c r="D99" s="20" t="str">
        <x:v>households</x:v>
      </x:c>
      <x:c r="E99" s="20" t="str">
        <x:v>household</x:v>
      </x:c>
      <x:c r="F99" s="50" t="n">
        <x:v>15988</x:v>
      </x:c>
      <x:c r="G99" s="50" t="n">
        <x:v>623.0899614020435</x:v>
      </x:c>
      <x:c r="H99" s="50" t="n">
        <x:v>15988.219</x:v>
      </x:c>
      <x:c r="I99" s="50" t="n">
        <x:v>652.7917601510616</x:v>
      </x:c>
      <x:c r="J99" s="42" t="n">
        <x:v>1.0476685560495704</x:v>
      </x:c>
      <x:c r="K99" s="42" t="n">
        <x:v>0.0003514741266355173</x:v>
      </x:c>
      <x:c r="L99" s="26" t="n">
        <x:v>14899</x:v>
      </x:c>
      <x:c r="M99" s="26" t="n">
        <x:v>15993</x:v>
      </x:c>
      <x:c r="N99" s="26" t="n">
        <x:v>17061</x:v>
      </x:c>
    </x:row>
    <x:row r="100">
      <x:c r="A100" s="20" t="str">
        <x:v>T0_TABLE_BLOCK</x:v>
      </x:c>
      <x:c r="B100" s="20" t="str">
        <x:v>NYC-V1-R03</x:v>
      </x:c>
      <x:c r="C100" s="20" t="str">
        <x:v>V1</x:v>
      </x:c>
      <x:c r="D100" s="20" t="str">
        <x:v>family_households</x:v>
      </x:c>
      <x:c r="E100" s="20" t="str">
        <x:v>household</x:v>
      </x:c>
      <x:c r="F100" s="50" t="n">
        <x:v>4357</x:v>
      </x:c>
      <x:c r="G100" s="50" t="n">
        <x:v>388.86167206347295</x:v>
      </x:c>
      <x:c r="H100" s="50" t="n">
        <x:v>4356.843</x:v>
      </x:c>
      <x:c r="I100" s="50" t="n">
        <x:v>408.19983274672524</x:v>
      </x:c>
      <x:c r="J100" s="42" t="n">
        <x:v>1.0497301793222136</x:v>
      </x:c>
      <x:c r="K100" s="42" t="n">
        <x:v>-0.000403742542089687</x:v>
      </x:c>
      <x:c r="L100" s="26" t="n">
        <x:v>3682</x:v>
      </x:c>
      <x:c r="M100" s="26" t="n">
        <x:v>4359</x:v>
      </x:c>
      <x:c r="N100" s="26" t="n">
        <x:v>4980</x:v>
      </x:c>
    </x:row>
    <x:row r="101">
      <x:c r="A101" s="20" t="str">
        <x:v>T0_TABLE_BLOCK</x:v>
      </x:c>
      <x:c r="B101" s="20" t="str">
        <x:v>NYC-V1-R03</x:v>
      </x:c>
      <x:c r="C101" s="20" t="str">
        <x:v>V1</x:v>
      </x:c>
      <x:c r="D101" s="20" t="str">
        <x:v>nonfamily_households</x:v>
      </x:c>
      <x:c r="E101" s="20" t="str">
        <x:v>household</x:v>
      </x:c>
      <x:c r="F101" s="50" t="n">
        <x:v>11631</x:v>
      </x:c>
      <x:c r="G101" s="50" t="n">
        <x:v>609.3476019481819</x:v>
      </x:c>
      <x:c r="H101" s="50" t="n">
        <x:v>11631.376</x:v>
      </x:c>
      <x:c r="I101" s="50" t="n">
        <x:v>759.4518297467625</x:v>
      </x:c>
      <x:c r="J101" s="42" t="n">
        <x:v>1.246335962131751</x:v>
      </x:c>
      <x:c r="K101" s="42" t="n">
        <x:v>0.000617053384304905</x:v>
      </x:c>
      <x:c r="L101" s="26" t="n">
        <x:v>10369</x:v>
      </x:c>
      <x:c r="M101" s="26" t="n">
        <x:v>11646</x:v>
      </x:c>
      <x:c r="N101" s="26" t="n">
        <x:v>12848</x:v>
      </x:c>
    </x:row>
    <x:row r="102">
      <x:c r="A102" s="20" t="str">
        <x:v>T0_TABLE_BLOCK</x:v>
      </x:c>
      <x:c r="B102" s="20" t="str">
        <x:v>NYC-V1-R03</x:v>
      </x:c>
      <x:c r="C102" s="20" t="str">
        <x:v>V1</x:v>
      </x:c>
      <x:c r="D102" s="20" t="str">
        <x:v>living_alone_households</x:v>
      </x:c>
      <x:c r="E102" s="20" t="str">
        <x:v>household</x:v>
      </x:c>
      <x:c r="F102" s="50" t="n">
        <x:v>9147</x:v>
      </x:c>
      <x:c r="G102" s="50" t="n">
        <x:v>621.7712601913987</x:v>
      </x:c>
      <x:c r="H102" s="50" t="n">
        <x:v>9147.148</x:v>
      </x:c>
      <x:c r="I102" s="50" t="n">
        <x:v>616.779368076531</x:v>
      </x:c>
      <x:c r="J102" s="42" t="n">
        <x:v>0.991971497503228</x:v>
      </x:c>
      <x:c r="K102" s="42" t="n">
        <x:v>0.00023802965732714983</x:v>
      </x:c>
      <x:c r="L102" s="26" t="n">
        <x:v>8109</x:v>
      </x:c>
      <x:c r="M102" s="26" t="n">
        <x:v>9132</x:v>
      </x:c>
      <x:c r="N102" s="26" t="n">
        <x:v>10167</x:v>
      </x:c>
    </x:row>
    <x:row r="103">
      <x:c r="A103" s="20" t="str">
        <x:v>T0_TABLE_BLOCK</x:v>
      </x:c>
      <x:c r="B103" s="20" t="str">
        <x:v>NYC-V1-R03</x:v>
      </x:c>
      <x:c r="C103" s="20" t="str">
        <x:v>V1</x:v>
      </x:c>
      <x:c r="D103" s="20" t="str">
        <x:v>households_with_children</x:v>
      </x:c>
      <x:c r="E103" s="20" t="str">
        <x:v>household</x:v>
      </x:c>
      <x:c r="F103" s="50" t="n">
        <x:v>1635</x:v>
      </x:c>
      <x:c r="G103" s="50" t="n">
        <x:v>202.8717575218394</x:v>
      </x:c>
      <x:c r="H103" s="50" t="n">
        <x:v>1634.884</x:v>
      </x:c>
      <x:c r="I103" s="50" t="n">
        <x:v>201.08194969836177</x:v>
      </x:c>
      <x:c r="J103" s="42" t="n">
        <x:v>0.9911776392863113</x:v>
      </x:c>
      <x:c r="K103" s="42" t="n">
        <x:v>-0.0005717897918220474</x:v>
      </x:c>
      <x:c r="L103" s="26" t="n">
        <x:v>1304</x:v>
      </x:c>
      <x:c r="M103" s="26" t="n">
        <x:v>1634</x:v>
      </x:c>
      <x:c r="N103" s="26" t="n">
        <x:v>1958</x:v>
      </x:c>
    </x:row>
    <x:row r="104">
      <x:c r="A104" s="20" t="str">
        <x:v>T0_TABLE_BLOCK</x:v>
      </x:c>
      <x:c r="B104" s="20" t="str">
        <x:v>NYC-V1-R03</x:v>
      </x:c>
      <x:c r="C104" s="20" t="str">
        <x:v>V1</x:v>
      </x:c>
      <x:c r="D104" s="20" t="str">
        <x:v>households_with_age65</x:v>
      </x:c>
      <x:c r="E104" s="20" t="str">
        <x:v>household</x:v>
      </x:c>
      <x:c r="F104" s="50" t="n">
        <x:v>3281</x:v>
      </x:c>
      <x:c r="G104" s="50" t="n">
        <x:v>439.7300308143623</x:v>
      </x:c>
      <x:c r="H104" s="50" t="n">
        <x:v>3280.976</x:v>
      </x:c>
      <x:c r="I104" s="50" t="n">
        <x:v>444.3890199195127</x:v>
      </x:c>
      <x:c r="J104" s="42" t="n">
        <x:v>1.0105951124068604</x:v>
      </x:c>
      <x:c r="K104" s="42" t="n">
        <x:v>-0.00005457894234660342</x:v>
      </x:c>
      <x:c r="L104" s="26" t="n">
        <x:v>2574</x:v>
      </x:c>
      <x:c r="M104" s="26" t="n">
        <x:v>3265</x:v>
      </x:c>
      <x:c r="N104" s="26" t="n">
        <x:v>3990</x:v>
      </x:c>
    </x:row>
    <x:row r="105">
      <x:c r="A105" s="20" t="str">
        <x:v>T0_TABLE_BLOCK</x:v>
      </x:c>
      <x:c r="B105" s="20" t="str">
        <x:v>NYC-V1-R03</x:v>
      </x:c>
      <x:c r="C105" s="20" t="str">
        <x:v>V1</x:v>
      </x:c>
      <x:c r="D105" s="20" t="str">
        <x:v>age65_one_person_households</x:v>
      </x:c>
      <x:c r="E105" s="20" t="str">
        <x:v>household</x:v>
      </x:c>
      <x:c r="F105" s="50" t="n">
        <x:v>2208</x:v>
      </x:c>
      <x:c r="G105" s="50" t="n">
        <x:v>385.16801528683555</x:v>
      </x:c>
      <x:c r="H105" s="50" t="n">
        <x:v>2208.099</x:v>
      </x:c>
      <x:c r="I105" s="50" t="n">
        <x:v>379.86727727898244</x:v>
      </x:c>
      <x:c r="J105" s="42" t="n">
        <x:v>0.9862378551762517</x:v>
      </x:c>
      <x:c r="K105" s="42" t="n">
        <x:v>0.0002570306880918825</x:v>
      </x:c>
      <x:c r="L105" s="26" t="n">
        <x:v>1573</x:v>
      </x:c>
      <x:c r="M105" s="26" t="n">
        <x:v>2198</x:v>
      </x:c>
      <x:c r="N105" s="26" t="n">
        <x:v>2848</x:v>
      </x:c>
    </x:row>
    <x:row r="106">
      <x:c r="A106" s="20" t="str">
        <x:v>T0_TABLE_BLOCK</x:v>
      </x:c>
      <x:c r="B106" s="20" t="str">
        <x:v>NYC-V1-R03</x:v>
      </x:c>
      <x:c r="C106" s="20" t="str">
        <x:v>V1</x:v>
      </x:c>
      <x:c r="D106" s="20" t="str">
        <x:v>no_vehicle_households</x:v>
      </x:c>
      <x:c r="E106" s="20" t="str">
        <x:v>household</x:v>
      </x:c>
      <x:c r="F106" s="50" t="n">
        <x:v>13735</x:v>
      </x:c>
      <x:c r="G106" s="50" t="n">
        <x:v>592.8713039700183</x:v>
      </x:c>
      <x:c r="H106" s="50" t="n">
        <x:v>13733.46</x:v>
      </x:c>
      <x:c r="I106" s="50" t="n">
        <x:v>590.8391077537533</x:v>
      </x:c>
      <x:c r="J106" s="42" t="n">
        <x:v>0.9965722810285185</x:v>
      </x:c>
      <x:c r="K106" s="42" t="n">
        <x:v>-0.002597528316328752</x:v>
      </x:c>
      <x:c r="L106" s="26" t="n">
        <x:v>12760</x:v>
      </x:c>
      <x:c r="M106" s="26" t="n">
        <x:v>13735</x:v>
      </x:c>
      <x:c r="N106" s="26" t="n">
        <x:v>14708</x:v>
      </x:c>
    </x:row>
    <x:row r="107">
      <x:c r="A107" s="20" t="str">
        <x:v>T0_TABLE_BLOCK</x:v>
      </x:c>
      <x:c r="B107" s="20" t="str">
        <x:v>NYC-V1-R03</x:v>
      </x:c>
      <x:c r="C107" s="20" t="str">
        <x:v>V1</x:v>
      </x:c>
      <x:c r="D107" s="20" t="str">
        <x:v>limited_english_households</x:v>
      </x:c>
      <x:c r="E107" s="20" t="str">
        <x:v>household</x:v>
      </x:c>
      <x:c r="F107" s="50" t="n">
        <x:v>645</x:v>
      </x:c>
      <x:c r="G107" s="50" t="n">
        <x:v>218.718301732596</x:v>
      </x:c>
      <x:c r="H107" s="50" t="n">
        <x:v>645.197</x:v>
      </x:c>
      <x:c r="I107" s="50" t="n">
        <x:v>218.7876143917</x:v>
      </x:c>
      <x:c r="J107" s="42" t="n">
        <x:v>1.0003169037915665</x:v>
      </x:c>
      <x:c r="K107" s="42" t="n">
        <x:v>0.0009007019460166349</x:v>
      </x:c>
      <x:c r="L107" s="26" t="n">
        <x:v>286</x:v>
      </x:c>
      <x:c r="M107" s="26" t="n">
        <x:v>646</x:v>
      </x:c>
      <x:c r="N107" s="26" t="n">
        <x:v>1005</x:v>
      </x:c>
    </x:row>
    <x:row r="108">
      <x:c r="A108" s="20" t="str">
        <x:v>T0_TABLE_BLOCK</x:v>
      </x:c>
      <x:c r="B108" s="20" t="str">
        <x:v>NYC-V1-R03</x:v>
      </x:c>
      <x:c r="C108" s="20" t="str">
        <x:v>V1</x:v>
      </x:c>
      <x:c r="D108" s="20" t="str">
        <x:v>housing_units</x:v>
      </x:c>
      <x:c r="E108" s="20" t="str">
        <x:v>housing</x:v>
      </x:c>
      <x:c r="F108" s="50" t="n">
        <x:v>19433</x:v>
      </x:c>
      <x:c r="G108" s="50" t="n">
        <x:v>530.0162733350742</x:v>
      </x:c>
      <x:c r="H108" s="50" t="n">
        <x:v>19433.387</x:v>
      </x:c>
      <x:c r="I108" s="50" t="n">
        <x:v>554.2893015933655</x:v>
      </x:c>
      <x:c r="J108" s="42" t="n">
        <x:v>1.0457967603627634</x:v>
      </x:c>
      <x:c r="K108" s="42" t="n">
        <x:v>0.0007301662599218852</x:v>
      </x:c>
      <x:c r="L108" s="26" t="n">
        <x:v>18525</x:v>
      </x:c>
      <x:c r="M108" s="26" t="n">
        <x:v>19430</x:v>
      </x:c>
      <x:c r="N108" s="26" t="n">
        <x:v>20349</x:v>
      </x:c>
    </x:row>
    <x:row r="109">
      <x:c r="A109" s="20" t="str">
        <x:v>T0_TABLE_BLOCK</x:v>
      </x:c>
      <x:c r="B109" s="20" t="str">
        <x:v>NYC-V1-R03</x:v>
      </x:c>
      <x:c r="C109" s="20" t="str">
        <x:v>V1</x:v>
      </x:c>
      <x:c r="D109" s="20" t="str">
        <x:v>occupied_housing_units</x:v>
      </x:c>
      <x:c r="E109" s="20" t="str">
        <x:v>housing</x:v>
      </x:c>
      <x:c r="F109" s="50" t="n">
        <x:v>15988</x:v>
      </x:c>
      <x:c r="G109" s="50" t="n">
        <x:v>623.0899614020435</x:v>
      </x:c>
      <x:c r="H109" s="50" t="n">
        <x:v>15988.219</x:v>
      </x:c>
      <x:c r="I109" s="50" t="n">
        <x:v>652.7917601510616</x:v>
      </x:c>
      <x:c r="J109" s="42" t="n">
        <x:v>1.0476685560495704</x:v>
      </x:c>
      <x:c r="K109" s="42" t="n">
        <x:v>0.0003514741266355173</x:v>
      </x:c>
      <x:c r="L109" s="26" t="n">
        <x:v>14899</x:v>
      </x:c>
      <x:c r="M109" s="26" t="n">
        <x:v>15993</x:v>
      </x:c>
      <x:c r="N109" s="26" t="n">
        <x:v>17061</x:v>
      </x:c>
    </x:row>
    <x:row r="110">
      <x:c r="A110" s="20" t="str">
        <x:v>T0_TABLE_BLOCK</x:v>
      </x:c>
      <x:c r="B110" s="20" t="str">
        <x:v>NYC-V1-R03</x:v>
      </x:c>
      <x:c r="C110" s="20" t="str">
        <x:v>V1</x:v>
      </x:c>
      <x:c r="D110" s="20" t="str">
        <x:v>vacant_housing_units</x:v>
      </x:c>
      <x:c r="E110" s="20" t="str">
        <x:v>housing</x:v>
      </x:c>
      <x:c r="F110" s="50" t="n">
        <x:v>3445</x:v>
      </x:c>
      <x:c r="G110" s="50" t="n">
        <x:v>386.74545892615214</x:v>
      </x:c>
      <x:c r="H110" s="50" t="n">
        <x:v>3445.168</x:v>
      </x:c>
      <x:c r="I110" s="50" t="n">
        <x:v>396.4565266880514</x:v>
      </x:c>
      <x:c r="J110" s="42" t="n">
        <x:v>1.0251097137348768</x:v>
      </x:c>
      <x:c r="K110" s="42" t="n">
        <x:v>0.00043439424076650667</x:v>
      </x:c>
      <x:c r="L110" s="26" t="n">
        <x:v>2812</x:v>
      </x:c>
      <x:c r="M110" s="26" t="n">
        <x:v>3435</x:v>
      </x:c>
      <x:c r="N110" s="26" t="n">
        <x:v>4109</x:v>
      </x:c>
    </x:row>
    <x:row r="111">
      <x:c r="A111" s="20" t="str">
        <x:v>T0_TABLE_BLOCK</x:v>
      </x:c>
      <x:c r="B111" s="20" t="str">
        <x:v>NYC-V1-R03</x:v>
      </x:c>
      <x:c r="C111" s="20" t="str">
        <x:v>V1</x:v>
      </x:c>
      <x:c r="D111" s="20" t="str">
        <x:v>owner_occupied_units</x:v>
      </x:c>
      <x:c r="E111" s="20" t="str">
        <x:v>housing</x:v>
      </x:c>
      <x:c r="F111" s="50" t="n">
        <x:v>4099</x:v>
      </x:c>
      <x:c r="G111" s="50" t="n">
        <x:v>395.09843162072275</x:v>
      </x:c>
      <x:c r="H111" s="50" t="n">
        <x:v>4098.96</x:v>
      </x:c>
      <x:c r="I111" s="50" t="n">
        <x:v>378.97783655591337</x:v>
      </x:c>
      <x:c r="J111" s="42" t="n">
        <x:v>0.9591985344039926</x:v>
      </x:c>
      <x:c r="K111" s="42" t="n">
        <x:v>-0.00010124059423845518</x:v>
      </x:c>
      <x:c r="L111" s="26" t="n">
        <x:v>3481</x:v>
      </x:c>
      <x:c r="M111" s="26" t="n">
        <x:v>4110</x:v>
      </x:c>
      <x:c r="N111" s="26" t="n">
        <x:v>4683</x:v>
      </x:c>
    </x:row>
    <x:row r="112">
      <x:c r="A112" s="20" t="str">
        <x:v>T0_TABLE_BLOCK</x:v>
      </x:c>
      <x:c r="B112" s="20" t="str">
        <x:v>NYC-V1-R03</x:v>
      </x:c>
      <x:c r="C112" s="20" t="str">
        <x:v>V1</x:v>
      </x:c>
      <x:c r="D112" s="20" t="str">
        <x:v>renter_occupied_units</x:v>
      </x:c>
      <x:c r="E112" s="20" t="str">
        <x:v>housing</x:v>
      </x:c>
      <x:c r="F112" s="50" t="n">
        <x:v>11889</x:v>
      </x:c>
      <x:c r="G112" s="50" t="n">
        <x:v>570.3235775439423</x:v>
      </x:c>
      <x:c r="H112" s="50" t="n">
        <x:v>11889.259</x:v>
      </x:c>
      <x:c r="I112" s="50" t="n">
        <x:v>560.9583033854987</x:v>
      </x:c>
      <x:c r="J112" s="42" t="n">
        <x:v>0.9835790163212706</x:v>
      </x:c>
      <x:c r="K112" s="42" t="n">
        <x:v>0.00045412816547998864</x:v>
      </x:c>
      <x:c r="L112" s="26" t="n">
        <x:v>10984</x:v>
      </x:c>
      <x:c r="M112" s="26" t="n">
        <x:v>11885</x:v>
      </x:c>
      <x:c r="N112" s="26" t="n">
        <x:v>12805</x:v>
      </x:c>
    </x:row>
    <x:row r="113">
      <x:c r="A113" s="20" t="str">
        <x:v>T0_TABLE_BLOCK</x:v>
      </x:c>
      <x:c r="B113" s="20" t="str">
        <x:v>NYC-V1-R03</x:v>
      </x:c>
      <x:c r="C113" s="20" t="str">
        <x:v>V1</x:v>
      </x:c>
      <x:c r="D113" s="20" t="str">
        <x:v>one_unit_structures</x:v>
      </x:c>
      <x:c r="E113" s="20" t="str">
        <x:v>housing</x:v>
      </x:c>
      <x:c r="F113" s="50" t="n">
        <x:v>275</x:v>
      </x:c>
      <x:c r="G113" s="50" t="n">
        <x:v>123.75860604532915</x:v>
      </x:c>
      <x:c r="H113" s="50" t="n">
        <x:v>275.472</x:v>
      </x:c>
      <x:c r="I113" s="50" t="n">
        <x:v>122.48064632718398</x:v>
      </x:c>
      <x:c r="J113" s="42" t="n">
        <x:v>0.9896737709078827</x:v>
      </x:c>
      <x:c r="K113" s="42" t="n">
        <x:v>0.003813876182696339</x:v>
      </x:c>
      <x:c r="L113" s="26" t="n">
        <x:v>68</x:v>
      </x:c>
      <x:c r="M113" s="26" t="n">
        <x:v>277</x:v>
      </x:c>
      <x:c r="N113" s="26" t="n">
        <x:v>473</x:v>
      </x:c>
    </x:row>
    <x:row r="114">
      <x:c r="A114" s="20" t="str">
        <x:v>T0_TABLE_BLOCK</x:v>
      </x:c>
      <x:c r="B114" s="20" t="str">
        <x:v>NYC-V1-R03</x:v>
      </x:c>
      <x:c r="C114" s="20" t="str">
        <x:v>V1</x:v>
      </x:c>
      <x:c r="D114" s="20" t="str">
        <x:v>two_to_four_unit_structures</x:v>
      </x:c>
      <x:c r="E114" s="20" t="str">
        <x:v>housing</x:v>
      </x:c>
      <x:c r="F114" s="50" t="n">
        <x:v>374</x:v>
      </x:c>
      <x:c r="G114" s="50" t="n">
        <x:v>129.11029802135823</x:v>
      </x:c>
      <x:c r="H114" s="50" t="n">
        <x:v>373.963</x:v>
      </x:c>
      <x:c r="I114" s="50" t="n">
        <x:v>128.38743304531002</x:v>
      </x:c>
      <x:c r="J114" s="42" t="n">
        <x:v>0.9944011826544724</x:v>
      </x:c>
      <x:c r="K114" s="42" t="n">
        <x:v>-0.0002865766756564759</x:v>
      </x:c>
      <x:c r="L114" s="26" t="n">
        <x:v>169</x:v>
      </x:c>
      <x:c r="M114" s="26" t="n">
        <x:v>374</x:v>
      </x:c>
      <x:c r="N114" s="26" t="n">
        <x:v>585</x:v>
      </x:c>
    </x:row>
    <x:row r="115">
      <x:c r="A115" s="20" t="str">
        <x:v>T0_TABLE_BLOCK</x:v>
      </x:c>
      <x:c r="B115" s="20" t="str">
        <x:v>NYC-V1-R03</x:v>
      </x:c>
      <x:c r="C115" s="20" t="str">
        <x:v>V1</x:v>
      </x:c>
      <x:c r="D115" s="20" t="str">
        <x:v>five_to_nineteen_unit_structures</x:v>
      </x:c>
      <x:c r="E115" s="20" t="str">
        <x:v>housing</x:v>
      </x:c>
      <x:c r="F115" s="50" t="n">
        <x:v>1745</x:v>
      </x:c>
      <x:c r="G115" s="50" t="n">
        <x:v>252.14996484400996</x:v>
      </x:c>
      <x:c r="H115" s="50" t="n">
        <x:v>1744.809</x:v>
      </x:c>
      <x:c r="I115" s="50" t="n">
        <x:v>247.95706326746216</x:v>
      </x:c>
      <x:c r="J115" s="42" t="n">
        <x:v>0.9833713973383194</x:v>
      </x:c>
      <x:c r="K115" s="42" t="n">
        <x:v>-0.0007574857292492234</x:v>
      </x:c>
      <x:c r="L115" s="26" t="n">
        <x:v>1338</x:v>
      </x:c>
      <x:c r="M115" s="26" t="n">
        <x:v>1744</x:v>
      </x:c>
      <x:c r="N115" s="26" t="n">
        <x:v>2142</x:v>
      </x:c>
    </x:row>
    <x:row r="116">
      <x:c r="A116" s="20" t="str">
        <x:v>T0_TABLE_BLOCK</x:v>
      </x:c>
      <x:c r="B116" s="20" t="str">
        <x:v>NYC-V1-R03</x:v>
      </x:c>
      <x:c r="C116" s="20" t="str">
        <x:v>V1</x:v>
      </x:c>
      <x:c r="D116" s="20" t="str">
        <x:v>twenty_to_forty_nine_unit_structures</x:v>
      </x:c>
      <x:c r="E116" s="20" t="str">
        <x:v>housing</x:v>
      </x:c>
      <x:c r="F116" s="50" t="n">
        <x:v>2909</x:v>
      </x:c>
      <x:c r="G116" s="50" t="n">
        <x:v>338.54070050158253</x:v>
      </x:c>
      <x:c r="H116" s="50" t="n">
        <x:v>2909.156</x:v>
      </x:c>
      <x:c r="I116" s="50" t="n">
        <x:v>323.75154165613594</x:v>
      </x:c>
      <x:c r="J116" s="42" t="n">
        <x:v>0.9563149753529341</x:v>
      </x:c>
      <x:c r="K116" s="42" t="n">
        <x:v>0.00046080131508211323</x:v>
      </x:c>
      <x:c r="L116" s="26" t="n">
        <x:v>2391</x:v>
      </x:c>
      <x:c r="M116" s="26" t="n">
        <x:v>2914</x:v>
      </x:c>
      <x:c r="N116" s="26" t="n">
        <x:v>3431</x:v>
      </x:c>
    </x:row>
    <x:row r="117">
      <x:c r="A117" s="20" t="str">
        <x:v>T0_TABLE_BLOCK</x:v>
      </x:c>
      <x:c r="B117" s="20" t="str">
        <x:v>NYC-V1-R03</x:v>
      </x:c>
      <x:c r="C117" s="20" t="str">
        <x:v>V1</x:v>
      </x:c>
      <x:c r="D117" s="20" t="str">
        <x:v>fifty_plus_unit_structures</x:v>
      </x:c>
      <x:c r="E117" s="20" t="str">
        <x:v>housing</x:v>
      </x:c>
      <x:c r="F117" s="50" t="n">
        <x:v>10685</x:v>
      </x:c>
      <x:c r="G117" s="50" t="n">
        <x:v>629.7957422762645</x:v>
      </x:c>
      <x:c r="H117" s="50" t="n">
        <x:v>10666.227</x:v>
      </x:c>
      <x:c r="I117" s="50" t="n">
        <x:v>579.8985150513482</x:v>
      </x:c>
      <x:c r="J117" s="42" t="n">
        <x:v>0.920772364950304</x:v>
      </x:c>
      <x:c r="K117" s="42" t="n">
        <x:v>-0.029808077031686753</x:v>
      </x:c>
      <x:c r="L117" s="26" t="n">
        <x:v>9697</x:v>
      </x:c>
      <x:c r="M117" s="26" t="n">
        <x:v>10665</x:v>
      </x:c>
      <x:c r="N117" s="26" t="n">
        <x:v>11671</x:v>
      </x:c>
    </x:row>
    <x:row r="118">
      <x:c r="A118" s="20" t="str">
        <x:v>T0_TABLE_BLOCK</x:v>
      </x:c>
      <x:c r="B118" s="20" t="str">
        <x:v>NYC-V1-R03</x:v>
      </x:c>
      <x:c r="C118" s="20" t="str">
        <x:v>V1</x:v>
      </x:c>
      <x:c r="D118" s="20" t="str">
        <x:v>mobile_or_other_units</x:v>
      </x:c>
      <x:c r="E118" s="20" t="str">
        <x:v>housing</x:v>
      </x:c>
      <x:c r="F118" s="50" t="n">
        <x:v>0</x:v>
      </x:c>
      <x:c r="G118" s="50" t="n">
        <x:v>46.69389512382133</x:v>
      </x:c>
      <x:c r="H118" s="50" t="n">
        <x:v>18.592</x:v>
      </x:c>
      <x:c r="I118" s="50" t="n">
        <x:v>27.291103684906926</x:v>
      </x:c>
      <x:c r="J118" s="42" t="n">
        <x:v>0.5844683467193577</x:v>
      </x:c>
      <x:c r="K118" s="42" t="n">
        <x:v>0.398167682321176</x:v>
      </x:c>
      <x:c r="L118" s="26" t="n">
        <x:v>0</x:v>
      </x:c>
      <x:c r="M118" s="26" t="n">
        <x:v>0</x:v>
      </x:c>
      <x:c r="N118" s="26" t="n">
        <x:v>74</x:v>
      </x:c>
    </x:row>
    <x:row r="119">
      <x:c r="A119" s="20" t="str">
        <x:v>T0_TABLE_BLOCK</x:v>
      </x:c>
      <x:c r="B119" s="20" t="str">
        <x:v>NYC-V1-R03</x:v>
      </x:c>
      <x:c r="C119" s="20" t="str">
        <x:v>V1</x:v>
      </x:c>
      <x:c r="D119" s="20" t="str">
        <x:v>electric_heat_households</x:v>
      </x:c>
      <x:c r="E119" s="20" t="str">
        <x:v>housing</x:v>
      </x:c>
      <x:c r="F119" s="50" t="n">
        <x:v>5818</x:v>
      </x:c>
      <x:c r="G119" s="50" t="n">
        <x:v>537.7573802375938</x:v>
      </x:c>
      <x:c r="H119" s="50" t="n">
        <x:v>5818.059</x:v>
      </x:c>
      <x:c r="I119" s="50" t="n">
        <x:v>530.0374507694888</x:v>
      </x:c>
      <x:c r="J119" s="42" t="n">
        <x:v>0.985644214748491</x:v>
      </x:c>
      <x:c r="K119" s="42" t="n">
        <x:v>0.0001097149052126981</x:v>
      </x:c>
      <x:c r="L119" s="26" t="n">
        <x:v>4960</x:v>
      </x:c>
      <x:c r="M119" s="26" t="n">
        <x:v>5823</x:v>
      </x:c>
      <x:c r="N119" s="26" t="n">
        <x:v>6685</x:v>
      </x:c>
    </x:row>
    <x:row r="120">
      <x:c r="A120" s="20" t="str">
        <x:v>T0_TABLE_BLOCK</x:v>
      </x:c>
      <x:c r="B120" s="20" t="str">
        <x:v>NYC-V1-R03</x:v>
      </x:c>
      <x:c r="C120" s="20" t="str">
        <x:v>V1</x:v>
      </x:c>
      <x:c r="D120" s="20" t="str">
        <x:v>group_quarters_population</x:v>
      </x:c>
      <x:c r="E120" s="20" t="str">
        <x:v>population</x:v>
      </x:c>
      <x:c r="F120" s="50" t="n">
        <x:v>837</x:v>
      </x:c>
      <x:c r="G120" s="50" t="n">
        <x:v>13.796738745080301</x:v>
      </x:c>
      <x:c r="H120" s="50" t="n">
        <x:v>837.002</x:v>
      </x:c>
      <x:c r="I120" s="50" t="n">
        <x:v>14.201608418826428</x:v>
      </x:c>
      <x:c r="J120" s="42" t="n">
        <x:v>1.0293453171236209</x:v>
      </x:c>
      <x:c r="K120" s="42" t="n">
        <x:v>0.00014496179400844817</x:v>
      </x:c>
      <x:c r="L120" s="26" t="n">
        <x:v>814</x:v>
      </x:c>
      <x:c r="M120" s="26" t="n">
        <x:v>837</x:v>
      </x:c>
      <x:c r="N120" s="26" t="n">
        <x:v>860</x:v>
      </x:c>
    </x:row>
    <x:row r="121">
      <x:c r="A121" s="20" t="str">
        <x:v>T0_TABLE_BLOCK</x:v>
      </x:c>
      <x:c r="B121" s="20" t="str">
        <x:v>NYC-V1-R04</x:v>
      </x:c>
      <x:c r="C121" s="20" t="str">
        <x:v>V1</x:v>
      </x:c>
      <x:c r="D121" s="20" t="str">
        <x:v>acs_population</x:v>
      </x:c>
      <x:c r="E121" s="20" t="str">
        <x:v>population</x:v>
      </x:c>
      <x:c r="F121" s="50" t="n">
        <x:v>35433</x:v>
      </x:c>
      <x:c r="G121" s="50" t="n">
        <x:v>1407.7052248251407</x:v>
      </x:c>
      <x:c r="H121" s="50" t="n">
        <x:v>35433.453</x:v>
      </x:c>
      <x:c r="I121" s="50" t="n">
        <x:v>1410.5330968851488</x:v>
      </x:c>
      <x:c r="J121" s="42" t="n">
        <x:v>1.0020088524288595</x:v>
      </x:c>
      <x:c r="K121" s="42" t="n">
        <x:v>0.0003218003258158032</x:v>
      </x:c>
      <x:c r="L121" s="26" t="n">
        <x:v>33108</x:v>
      </x:c>
      <x:c r="M121" s="26" t="n">
        <x:v>35451</x:v>
      </x:c>
      <x:c r="N121" s="26" t="n">
        <x:v>37701</x:v>
      </x:c>
    </x:row>
    <x:row r="122">
      <x:c r="A122" s="20" t="str">
        <x:v>T0_TABLE_BLOCK</x:v>
      </x:c>
      <x:c r="B122" s="20" t="str">
        <x:v>NYC-V1-R04</x:v>
      </x:c>
      <x:c r="C122" s="20" t="str">
        <x:v>V1</x:v>
      </x:c>
      <x:c r="D122" s="20" t="str">
        <x:v>age_under_18</x:v>
      </x:c>
      <x:c r="E122" s="20" t="str">
        <x:v>population</x:v>
      </x:c>
      <x:c r="F122" s="50" t="n">
        <x:v>8026</x:v>
      </x:c>
      <x:c r="G122" s="50" t="n">
        <x:v>803.9552537299573</x:v>
      </x:c>
      <x:c r="H122" s="50" t="n">
        <x:v>8026.432</x:v>
      </x:c>
      <x:c r="I122" s="50" t="n">
        <x:v>796.6816811481716</x:v>
      </x:c>
      <x:c r="J122" s="42" t="n">
        <x:v>0.9909527644131437</x:v>
      </x:c>
      <x:c r="K122" s="42" t="n">
        <x:v>0.00053734333844517</x:v>
      </x:c>
      <x:c r="L122" s="26" t="n">
        <x:v>6665</x:v>
      </x:c>
      <x:c r="M122" s="26" t="n">
        <x:v>8026</x:v>
      </x:c>
      <x:c r="N122" s="26" t="n">
        <x:v>9347</x:v>
      </x:c>
    </x:row>
    <x:row r="123">
      <x:c r="A123" s="20" t="str">
        <x:v>T0_TABLE_BLOCK</x:v>
      </x:c>
      <x:c r="B123" s="20" t="str">
        <x:v>NYC-V1-R04</x:v>
      </x:c>
      <x:c r="C123" s="20" t="str">
        <x:v>V1</x:v>
      </x:c>
      <x:c r="D123" s="20" t="str">
        <x:v>age_65_plus</x:v>
      </x:c>
      <x:c r="E123" s="20" t="str">
        <x:v>population</x:v>
      </x:c>
      <x:c r="F123" s="50" t="n">
        <x:v>4213</x:v>
      </x:c>
      <x:c r="G123" s="50" t="n">
        <x:v>293.967004951236</x:v>
      </x:c>
      <x:c r="H123" s="50" t="n">
        <x:v>4235.098</x:v>
      </x:c>
      <x:c r="I123" s="50" t="n">
        <x:v>262.59683069582445</x:v>
      </x:c>
      <x:c r="J123" s="42" t="n">
        <x:v>0.8932867508017939</x:v>
      </x:c>
      <x:c r="K123" s="42" t="n">
        <x:v>0.07517170168014478</x:v>
      </x:c>
      <x:c r="L123" s="26" t="n">
        <x:v>3821</x:v>
      </x:c>
      <x:c r="M123" s="26" t="n">
        <x:v>4226</x:v>
      </x:c>
      <x:c r="N123" s="26" t="n">
        <x:v>4687</x:v>
      </x:c>
    </x:row>
    <x:row r="124">
      <x:c r="A124" s="20" t="str">
        <x:v>T0_TABLE_BLOCK</x:v>
      </x:c>
      <x:c r="B124" s="20" t="str">
        <x:v>NYC-V1-R04</x:v>
      </x:c>
      <x:c r="C124" s="20" t="str">
        <x:v>V1</x:v>
      </x:c>
      <x:c r="D124" s="20" t="str">
        <x:v>age_75_plus</x:v>
      </x:c>
      <x:c r="E124" s="20" t="str">
        <x:v>population</x:v>
      </x:c>
      <x:c r="F124" s="50" t="n">
        <x:v>1891</x:v>
      </x:c>
      <x:c r="G124" s="50" t="n">
        <x:v>275.36793567879323</x:v>
      </x:c>
      <x:c r="H124" s="50" t="n">
        <x:v>1890.911</x:v>
      </x:c>
      <x:c r="I124" s="50" t="n">
        <x:v>279.82776605915586</x:v>
      </x:c>
      <x:c r="J124" s="42" t="n">
        <x:v>1.0161958957544166</x:v>
      </x:c>
      <x:c r="K124" s="42" t="n">
        <x:v>-0.00032320393360451774</x:v>
      </x:c>
      <x:c r="L124" s="26" t="n">
        <x:v>1399</x:v>
      </x:c>
      <x:c r="M124" s="26" t="n">
        <x:v>1893</x:v>
      </x:c>
      <x:c r="N124" s="26" t="n">
        <x:v>2352</x:v>
      </x:c>
    </x:row>
    <x:row r="125">
      <x:c r="A125" s="20" t="str">
        <x:v>T0_TABLE_BLOCK</x:v>
      </x:c>
      <x:c r="B125" s="20" t="str">
        <x:v>NYC-V1-R04</x:v>
      </x:c>
      <x:c r="C125" s="20" t="str">
        <x:v>V1</x:v>
      </x:c>
      <x:c r="D125" s="20" t="str">
        <x:v>age_85_plus</x:v>
      </x:c>
      <x:c r="E125" s="20" t="str">
        <x:v>population</x:v>
      </x:c>
      <x:c r="F125" s="50" t="n">
        <x:v>629</x:v>
      </x:c>
      <x:c r="G125" s="50" t="n">
        <x:v>141.50371019870823</x:v>
      </x:c>
      <x:c r="H125" s="50" t="n">
        <x:v>628.965</x:v>
      </x:c>
      <x:c r="I125" s="50" t="n">
        <x:v>143.30735072483816</x:v>
      </x:c>
      <x:c r="J125" s="42" t="n">
        <x:v>1.0127462419437423</x:v>
      </x:c>
      <x:c r="K125" s="42" t="n">
        <x:v>-0.0002473433378589085</x:v>
      </x:c>
      <x:c r="L125" s="26" t="n">
        <x:v>394</x:v>
      </x:c>
      <x:c r="M125" s="26" t="n">
        <x:v>626</x:v>
      </x:c>
      <x:c r="N125" s="26" t="n">
        <x:v>865</x:v>
      </x:c>
    </x:row>
    <x:row r="126">
      <x:c r="A126" s="20" t="str">
        <x:v>T0_TABLE_BLOCK</x:v>
      </x:c>
      <x:c r="B126" s="20" t="str">
        <x:v>NYC-V1-R04</x:v>
      </x:c>
      <x:c r="C126" s="20" t="str">
        <x:v>V1</x:v>
      </x:c>
      <x:c r="D126" s="20" t="str">
        <x:v>civilian_noninstitutionalized</x:v>
      </x:c>
      <x:c r="E126" s="20" t="str">
        <x:v>disability</x:v>
      </x:c>
      <x:c r="F126" s="50" t="n">
        <x:v>35387</x:v>
      </x:c>
      <x:c r="G126" s="50" t="n">
        <x:v>1408.0104403022017</x:v>
      </x:c>
      <x:c r="H126" s="50" t="n">
        <x:v>34612.116</x:v>
      </x:c>
      <x:c r="I126" s="50" t="n">
        <x:v>1165.863657814503</x:v>
      </x:c>
      <x:c r="J126" s="42" t="n">
        <x:v>0.8280220262885788</x:v>
      </x:c>
      <x:c r="K126" s="42" t="n">
        <x:v>-0.5503396692383081</x:v>
      </x:c>
      <x:c r="L126" s="26" t="n">
        <x:v>32696</x:v>
      </x:c>
      <x:c r="M126" s="26" t="n">
        <x:v>34642</x:v>
      </x:c>
      <x:c r="N126" s="26" t="n">
        <x:v>36473</x:v>
      </x:c>
    </x:row>
    <x:row r="127">
      <x:c r="A127" s="20" t="str">
        <x:v>T0_TABLE_BLOCK</x:v>
      </x:c>
      <x:c r="B127" s="20" t="str">
        <x:v>NYC-V1-R04</x:v>
      </x:c>
      <x:c r="C127" s="20" t="str">
        <x:v>V1</x:v>
      </x:c>
      <x:c r="D127" s="20" t="str">
        <x:v>any_disability</x:v>
      </x:c>
      <x:c r="E127" s="20" t="str">
        <x:v>disability</x:v>
      </x:c>
      <x:c r="F127" s="50" t="n">
        <x:v>6981</x:v>
      </x:c>
      <x:c r="G127" s="50" t="n">
        <x:v>442.7134513429652</x:v>
      </x:c>
      <x:c r="H127" s="50" t="n">
        <x:v>6980.842</x:v>
      </x:c>
      <x:c r="I127" s="50" t="n">
        <x:v>422.52431389427977</x:v>
      </x:c>
      <x:c r="J127" s="42" t="n">
        <x:v>0.9543968284960804</x:v>
      </x:c>
      <x:c r="K127" s="42" t="n">
        <x:v>-0.0003568899917566672</x:v>
      </x:c>
      <x:c r="L127" s="26" t="n">
        <x:v>6300</x:v>
      </x:c>
      <x:c r="M127" s="26" t="n">
        <x:v>6966</x:v>
      </x:c>
      <x:c r="N127" s="26" t="n">
        <x:v>7715</x:v>
      </x:c>
    </x:row>
    <x:row r="128">
      <x:c r="A128" s="20" t="str">
        <x:v>T0_TABLE_BLOCK</x:v>
      </x:c>
      <x:c r="B128" s="20" t="str">
        <x:v>NYC-V1-R04</x:v>
      </x:c>
      <x:c r="C128" s="20" t="str">
        <x:v>V1</x:v>
      </x:c>
      <x:c r="D128" s="20" t="str">
        <x:v>disability_under_18</x:v>
      </x:c>
      <x:c r="E128" s="20" t="str">
        <x:v>disability</x:v>
      </x:c>
      <x:c r="F128" s="50" t="n">
        <x:v>946</x:v>
      </x:c>
      <x:c r="G128" s="50" t="n">
        <x:v>210.22000380553703</x:v>
      </x:c>
      <x:c r="H128" s="50" t="n">
        <x:v>945.969</x:v>
      </x:c>
      <x:c r="I128" s="50" t="n">
        <x:v>204.2934111439643</x:v>
      </x:c>
      <x:c r="J128" s="42" t="n">
        <x:v>0.9718076655204749</x:v>
      </x:c>
      <x:c r="K128" s="42" t="n">
        <x:v>-0.00014746455826642198</x:v>
      </x:c>
      <x:c r="L128" s="26" t="n">
        <x:v>613</x:v>
      </x:c>
      <x:c r="M128" s="26" t="n">
        <x:v>955</x:v>
      </x:c>
      <x:c r="N128" s="26" t="n">
        <x:v>1283</x:v>
      </x:c>
    </x:row>
    <x:row r="129">
      <x:c r="A129" s="20" t="str">
        <x:v>T0_TABLE_BLOCK</x:v>
      </x:c>
      <x:c r="B129" s="20" t="str">
        <x:v>NYC-V1-R04</x:v>
      </x:c>
      <x:c r="C129" s="20" t="str">
        <x:v>V1</x:v>
      </x:c>
      <x:c r="D129" s="20" t="str">
        <x:v>disability_18_64</x:v>
      </x:c>
      <x:c r="E129" s="20" t="str">
        <x:v>disability</x:v>
      </x:c>
      <x:c r="F129" s="50" t="n">
        <x:v>3675</x:v>
      </x:c>
      <x:c r="G129" s="50" t="n">
        <x:v>309.68524343274737</x:v>
      </x:c>
      <x:c r="H129" s="50" t="n">
        <x:v>3674.968</x:v>
      </x:c>
      <x:c r="I129" s="50" t="n">
        <x:v>308.5114200030078</x:v>
      </x:c>
      <x:c r="J129" s="42" t="n">
        <x:v>0.9962096242729289</x:v>
      </x:c>
      <x:c r="K129" s="42" t="n">
        <x:v>-0.00010333072265712285</x:v>
      </x:c>
      <x:c r="L129" s="26" t="n">
        <x:v>3179</x:v>
      </x:c>
      <x:c r="M129" s="26" t="n">
        <x:v>3667</x:v>
      </x:c>
      <x:c r="N129" s="26" t="n">
        <x:v>4235</x:v>
      </x:c>
    </x:row>
    <x:row r="130">
      <x:c r="A130" s="20" t="str">
        <x:v>T0_TABLE_BLOCK</x:v>
      </x:c>
      <x:c r="B130" s="20" t="str">
        <x:v>NYC-V1-R04</x:v>
      </x:c>
      <x:c r="C130" s="20" t="str">
        <x:v>V1</x:v>
      </x:c>
      <x:c r="D130" s="20" t="str">
        <x:v>disability_65_plus</x:v>
      </x:c>
      <x:c r="E130" s="20" t="str">
        <x:v>disability</x:v>
      </x:c>
      <x:c r="F130" s="50" t="n">
        <x:v>2360</x:v>
      </x:c>
      <x:c r="G130" s="50" t="n">
        <x:v>248.4854120466632</x:v>
      </x:c>
      <x:c r="H130" s="50" t="n">
        <x:v>2359.905</x:v>
      </x:c>
      <x:c r="I130" s="50" t="n">
        <x:v>245.9390574817164</x:v>
      </x:c>
      <x:c r="J130" s="42" t="n">
        <x:v>0.9897524987725692</x:v>
      </x:c>
      <x:c r="K130" s="42" t="n">
        <x:v>-0.0003823162060795738</x:v>
      </x:c>
      <x:c r="L130" s="26" t="n">
        <x:v>1936</x:v>
      </x:c>
      <x:c r="M130" s="26" t="n">
        <x:v>2355</x:v>
      </x:c>
      <x:c r="N130" s="26" t="n">
        <x:v>2774</x:v>
      </x:c>
    </x:row>
    <x:row r="131">
      <x:c r="A131" s="20" t="str">
        <x:v>T0_TABLE_BLOCK</x:v>
      </x:c>
      <x:c r="B131" s="20" t="str">
        <x:v>NYC-V1-R04</x:v>
      </x:c>
      <x:c r="C131" s="20" t="str">
        <x:v>V1</x:v>
      </x:c>
      <x:c r="D131" s="20" t="str">
        <x:v>hearing_difficulty</x:v>
      </x:c>
      <x:c r="E131" s="20" t="str">
        <x:v>disability</x:v>
      </x:c>
      <x:c r="F131" s="50" t="n">
        <x:v>738</x:v>
      </x:c>
      <x:c r="G131" s="50" t="n">
        <x:v>202.9175324754149</x:v>
      </x:c>
      <x:c r="H131" s="50" t="n">
        <x:v>737.958</x:v>
      </x:c>
      <x:c r="I131" s="50" t="n">
        <x:v>202.986836745371</x:v>
      </x:c>
      <x:c r="J131" s="42" t="n">
        <x:v>1.000341539092806</x:v>
      </x:c>
      <x:c r="K131" s="42" t="n">
        <x:v>-0.00020698063635836225</x:v>
      </x:c>
      <x:c r="L131" s="26" t="n">
        <x:v>405</x:v>
      </x:c>
      <x:c r="M131" s="26" t="n">
        <x:v>738</x:v>
      </x:c>
      <x:c r="N131" s="26" t="n">
        <x:v>1070</x:v>
      </x:c>
    </x:row>
    <x:row r="132">
      <x:c r="A132" s="20" t="str">
        <x:v>T0_TABLE_BLOCK</x:v>
      </x:c>
      <x:c r="B132" s="20" t="str">
        <x:v>NYC-V1-R04</x:v>
      </x:c>
      <x:c r="C132" s="20" t="str">
        <x:v>V1</x:v>
      </x:c>
      <x:c r="D132" s="20" t="str">
        <x:v>vision_difficulty</x:v>
      </x:c>
      <x:c r="E132" s="20" t="str">
        <x:v>disability</x:v>
      </x:c>
      <x:c r="F132" s="50" t="n">
        <x:v>1336</x:v>
      </x:c>
      <x:c r="G132" s="50" t="n">
        <x:v>226.7917197790649</x:v>
      </x:c>
      <x:c r="H132" s="50" t="n">
        <x:v>1336.044</x:v>
      </x:c>
      <x:c r="I132" s="50" t="n">
        <x:v>226.67908035253157</x:v>
      </x:c>
      <x:c r="J132" s="42" t="n">
        <x:v>0.9995033353658456</x:v>
      </x:c>
      <x:c r="K132" s="42" t="n">
        <x:v>0.00019401061045332767</x:v>
      </x:c>
      <x:c r="L132" s="26" t="n">
        <x:v>964</x:v>
      </x:c>
      <x:c r="M132" s="26" t="n">
        <x:v>1336</x:v>
      </x:c>
      <x:c r="N132" s="26" t="n">
        <x:v>1707</x:v>
      </x:c>
    </x:row>
    <x:row r="133">
      <x:c r="A133" s="20" t="str">
        <x:v>T0_TABLE_BLOCK</x:v>
      </x:c>
      <x:c r="B133" s="20" t="str">
        <x:v>NYC-V1-R04</x:v>
      </x:c>
      <x:c r="C133" s="20" t="str">
        <x:v>V1</x:v>
      </x:c>
      <x:c r="D133" s="20" t="str">
        <x:v>cognitive_difficulty</x:v>
      </x:c>
      <x:c r="E133" s="20" t="str">
        <x:v>disability</x:v>
      </x:c>
      <x:c r="F133" s="50" t="n">
        <x:v>3322</x:v>
      </x:c>
      <x:c r="G133" s="50" t="n">
        <x:v>378.91655683297336</x:v>
      </x:c>
      <x:c r="H133" s="50" t="n">
        <x:v>3321.987</x:v>
      </x:c>
      <x:c r="I133" s="50" t="n">
        <x:v>378.4054723871373</x:v>
      </x:c>
      <x:c r="J133" s="42" t="n">
        <x:v>0.9986511952655018</x:v>
      </x:c>
      <x:c r="K133" s="42" t="n">
        <x:v>-0.00003430834511053148</x:v>
      </x:c>
      <x:c r="L133" s="26" t="n">
        <x:v>2699</x:v>
      </x:c>
      <x:c r="M133" s="26" t="n">
        <x:v>3323</x:v>
      </x:c>
      <x:c r="N133" s="26" t="n">
        <x:v>3942</x:v>
      </x:c>
    </x:row>
    <x:row r="134">
      <x:c r="A134" s="20" t="str">
        <x:v>T0_TABLE_BLOCK</x:v>
      </x:c>
      <x:c r="B134" s="20" t="str">
        <x:v>NYC-V1-R04</x:v>
      </x:c>
      <x:c r="C134" s="20" t="str">
        <x:v>V1</x:v>
      </x:c>
      <x:c r="D134" s="20" t="str">
        <x:v>ambulatory_difficulty</x:v>
      </x:c>
      <x:c r="E134" s="20" t="str">
        <x:v>disability</x:v>
      </x:c>
      <x:c r="F134" s="50" t="n">
        <x:v>4250</x:v>
      </x:c>
      <x:c r="G134" s="50" t="n">
        <x:v>417.4229547066256</x:v>
      </x:c>
      <x:c r="H134" s="50" t="n">
        <x:v>4249.803</x:v>
      </x:c>
      <x:c r="I134" s="50" t="n">
        <x:v>417.26426837276716</x:v>
      </x:c>
      <x:c r="J134" s="42" t="n">
        <x:v>0.9996198428187305</x:v>
      </x:c>
      <x:c r="K134" s="42" t="n">
        <x:v>-0.0004719433796796645</x:v>
      </x:c>
      <x:c r="L134" s="26" t="n">
        <x:v>3565</x:v>
      </x:c>
      <x:c r="M134" s="26" t="n">
        <x:v>4251</x:v>
      </x:c>
      <x:c r="N134" s="26" t="n">
        <x:v>4933</x:v>
      </x:c>
    </x:row>
    <x:row r="135">
      <x:c r="A135" s="20" t="str">
        <x:v>T0_TABLE_BLOCK</x:v>
      </x:c>
      <x:c r="B135" s="20" t="str">
        <x:v>NYC-V1-R04</x:v>
      </x:c>
      <x:c r="C135" s="20" t="str">
        <x:v>V1</x:v>
      </x:c>
      <x:c r="D135" s="20" t="str">
        <x:v>self_care_difficulty</x:v>
      </x:c>
      <x:c r="E135" s="20" t="str">
        <x:v>disability</x:v>
      </x:c>
      <x:c r="F135" s="50" t="n">
        <x:v>1897</x:v>
      </x:c>
      <x:c r="G135" s="50" t="n">
        <x:v>294.5362466572979</x:v>
      </x:c>
      <x:c r="H135" s="50" t="n">
        <x:v>1897.021</x:v>
      </x:c>
      <x:c r="I135" s="50" t="n">
        <x:v>294.7152823602072</x:v>
      </x:c>
      <x:c r="J135" s="42" t="n">
        <x:v>1.0006078562653702</x:v>
      </x:c>
      <x:c r="K135" s="42" t="n">
        <x:v>0.0000712985251842104</x:v>
      </x:c>
      <x:c r="L135" s="26" t="n">
        <x:v>1414</x:v>
      </x:c>
      <x:c r="M135" s="26" t="n">
        <x:v>1897</x:v>
      </x:c>
      <x:c r="N135" s="26" t="n">
        <x:v>2381</x:v>
      </x:c>
    </x:row>
    <x:row r="136">
      <x:c r="A136" s="20" t="str">
        <x:v>T0_TABLE_BLOCK</x:v>
      </x:c>
      <x:c r="B136" s="20" t="str">
        <x:v>NYC-V1-R04</x:v>
      </x:c>
      <x:c r="C136" s="20" t="str">
        <x:v>V1</x:v>
      </x:c>
      <x:c r="D136" s="20" t="str">
        <x:v>independent_living_difficulty</x:v>
      </x:c>
      <x:c r="E136" s="20" t="str">
        <x:v>disability</x:v>
      </x:c>
      <x:c r="F136" s="50" t="n">
        <x:v>2693</x:v>
      </x:c>
      <x:c r="G136" s="50" t="n">
        <x:v>337.84847409557983</x:v>
      </x:c>
      <x:c r="H136" s="50" t="n">
        <x:v>2693.079</x:v>
      </x:c>
      <x:c r="I136" s="50" t="n">
        <x:v>337.37851001214943</x:v>
      </x:c>
      <x:c r="J136" s="42" t="n">
        <x:v>0.998608950107919</x:v>
      </x:c>
      <x:c r="K136" s="42" t="n">
        <x:v>0.0002338326381720717</x:v>
      </x:c>
      <x:c r="L136" s="26" t="n">
        <x:v>2137</x:v>
      </x:c>
      <x:c r="M136" s="26" t="n">
        <x:v>2694</x:v>
      </x:c>
      <x:c r="N136" s="26" t="n">
        <x:v>3246</x:v>
      </x:c>
    </x:row>
    <x:row r="137">
      <x:c r="A137" s="20" t="str">
        <x:v>T0_TABLE_BLOCK</x:v>
      </x:c>
      <x:c r="B137" s="20" t="str">
        <x:v>NYC-V1-R04</x:v>
      </x:c>
      <x:c r="C137" s="20" t="str">
        <x:v>V1</x:v>
      </x:c>
      <x:c r="D137" s="20" t="str">
        <x:v>households</x:v>
      </x:c>
      <x:c r="E137" s="20" t="str">
        <x:v>household</x:v>
      </x:c>
      <x:c r="F137" s="50" t="n">
        <x:v>14422</x:v>
      </x:c>
      <x:c r="G137" s="50" t="n">
        <x:v>406.926344686603</x:v>
      </x:c>
      <x:c r="H137" s="50" t="n">
        <x:v>14422.011</x:v>
      </x:c>
      <x:c r="I137" s="50" t="n">
        <x:v>401.7702629902109</x:v>
      </x:c>
      <x:c r="J137" s="42" t="n">
        <x:v>0.9873292015527697</x:v>
      </x:c>
      <x:c r="K137" s="42" t="n">
        <x:v>0.00002703191902921333</x:v>
      </x:c>
      <x:c r="L137" s="26" t="n">
        <x:v>13752</x:v>
      </x:c>
      <x:c r="M137" s="26" t="n">
        <x:v>14430</x:v>
      </x:c>
      <x:c r="N137" s="26" t="n">
        <x:v>15069</x:v>
      </x:c>
    </x:row>
    <x:row r="138">
      <x:c r="A138" s="20" t="str">
        <x:v>T0_TABLE_BLOCK</x:v>
      </x:c>
      <x:c r="B138" s="20" t="str">
        <x:v>NYC-V1-R04</x:v>
      </x:c>
      <x:c r="C138" s="20" t="str">
        <x:v>V1</x:v>
      </x:c>
      <x:c r="D138" s="20" t="str">
        <x:v>family_households</x:v>
      </x:c>
      <x:c r="E138" s="20" t="str">
        <x:v>household</x:v>
      </x:c>
      <x:c r="F138" s="50" t="n">
        <x:v>7709</x:v>
      </x:c>
      <x:c r="G138" s="50" t="n">
        <x:v>401.6298669172899</x:v>
      </x:c>
      <x:c r="H138" s="50" t="n">
        <x:v>7708.933</x:v>
      </x:c>
      <x:c r="I138" s="50" t="n">
        <x:v>545.7843099833707</x:v>
      </x:c>
      <x:c r="J138" s="42" t="n">
        <x:v>1.3589236133570897</x:v>
      </x:c>
      <x:c r="K138" s="42" t="n">
        <x:v>-0.00016682026293080688</x:v>
      </x:c>
      <x:c r="L138" s="26" t="n">
        <x:v>6802</x:v>
      </x:c>
      <x:c r="M138" s="26" t="n">
        <x:v>7728</x:v>
      </x:c>
      <x:c r="N138" s="26" t="n">
        <x:v>8601</x:v>
      </x:c>
    </x:row>
    <x:row r="139">
      <x:c r="A139" s="20" t="str">
        <x:v>T0_TABLE_BLOCK</x:v>
      </x:c>
      <x:c r="B139" s="20" t="str">
        <x:v>NYC-V1-R04</x:v>
      </x:c>
      <x:c r="C139" s="20" t="str">
        <x:v>V1</x:v>
      </x:c>
      <x:c r="D139" s="20" t="str">
        <x:v>nonfamily_households</x:v>
      </x:c>
      <x:c r="E139" s="20" t="str">
        <x:v>household</x:v>
      </x:c>
      <x:c r="F139" s="50" t="n">
        <x:v>6713</x:v>
      </x:c>
      <x:c r="G139" s="50" t="n">
        <x:v>377.83792821790666</x:v>
      </x:c>
      <x:c r="H139" s="50" t="n">
        <x:v>6713.078</x:v>
      </x:c>
      <x:c r="I139" s="50" t="n">
        <x:v>379.48307118673597</x:v>
      </x:c>
      <x:c r="J139" s="42" t="n">
        <x:v>1.0043540969446576</x:v>
      </x:c>
      <x:c r="K139" s="42" t="n">
        <x:v>0.0002064377188608898</x:v>
      </x:c>
      <x:c r="L139" s="26" t="n">
        <x:v>6112</x:v>
      </x:c>
      <x:c r="M139" s="26" t="n">
        <x:v>6710</x:v>
      </x:c>
      <x:c r="N139" s="26" t="n">
        <x:v>7335</x:v>
      </x:c>
    </x:row>
    <x:row r="140">
      <x:c r="A140" s="20" t="str">
        <x:v>T0_TABLE_BLOCK</x:v>
      </x:c>
      <x:c r="B140" s="20" t="str">
        <x:v>NYC-V1-R04</x:v>
      </x:c>
      <x:c r="C140" s="20" t="str">
        <x:v>V1</x:v>
      </x:c>
      <x:c r="D140" s="20" t="str">
        <x:v>living_alone_households</x:v>
      </x:c>
      <x:c r="E140" s="20" t="str">
        <x:v>household</x:v>
      </x:c>
      <x:c r="F140" s="50" t="n">
        <x:v>5992</x:v>
      </x:c>
      <x:c r="G140" s="50" t="n">
        <x:v>351.0147432801078</x:v>
      </x:c>
      <x:c r="H140" s="50" t="n">
        <x:v>5992.052</x:v>
      </x:c>
      <x:c r="I140" s="50" t="n">
        <x:v>354.10875208656495</x:v>
      </x:c>
      <x:c r="J140" s="42" t="n">
        <x:v>1.0088144696645638</x:v>
      </x:c>
      <x:c r="K140" s="42" t="n">
        <x:v>0.00014814192564608077</x:v>
      </x:c>
      <x:c r="L140" s="26" t="n">
        <x:v>5418</x:v>
      </x:c>
      <x:c r="M140" s="26" t="n">
        <x:v>5997</x:v>
      </x:c>
      <x:c r="N140" s="26" t="n">
        <x:v>6573</x:v>
      </x:c>
    </x:row>
    <x:row r="141">
      <x:c r="A141" s="20" t="str">
        <x:v>T0_TABLE_BLOCK</x:v>
      </x:c>
      <x:c r="B141" s="20" t="str">
        <x:v>NYC-V1-R04</x:v>
      </x:c>
      <x:c r="C141" s="20" t="str">
        <x:v>V1</x:v>
      </x:c>
      <x:c r="D141" s="20" t="str">
        <x:v>households_with_children</x:v>
      </x:c>
      <x:c r="E141" s="20" t="str">
        <x:v>household</x:v>
      </x:c>
      <x:c r="F141" s="50" t="n">
        <x:v>4521</x:v>
      </x:c>
      <x:c r="G141" s="50" t="n">
        <x:v>457.9813314972566</x:v>
      </x:c>
      <x:c r="H141" s="50" t="n">
        <x:v>4521.127</x:v>
      </x:c>
      <x:c r="I141" s="50" t="n">
        <x:v>458.51295619862475</x:v>
      </x:c>
      <x:c r="J141" s="42" t="n">
        <x:v>1.0011607999383516</x:v>
      </x:c>
      <x:c r="K141" s="42" t="n">
        <x:v>0.0002773038795821926</x:v>
      </x:c>
      <x:c r="L141" s="26" t="n">
        <x:v>3759</x:v>
      </x:c>
      <x:c r="M141" s="26" t="n">
        <x:v>4533</x:v>
      </x:c>
      <x:c r="N141" s="26" t="n">
        <x:v>5269</x:v>
      </x:c>
    </x:row>
    <x:row r="142">
      <x:c r="A142" s="20" t="str">
        <x:v>T0_TABLE_BLOCK</x:v>
      </x:c>
      <x:c r="B142" s="20" t="str">
        <x:v>NYC-V1-R04</x:v>
      </x:c>
      <x:c r="C142" s="20" t="str">
        <x:v>V1</x:v>
      </x:c>
      <x:c r="D142" s="20" t="str">
        <x:v>households_with_age65</x:v>
      </x:c>
      <x:c r="E142" s="20" t="str">
        <x:v>household</x:v>
      </x:c>
      <x:c r="F142" s="50" t="n">
        <x:v>3740</x:v>
      </x:c>
      <x:c r="G142" s="50" t="n">
        <x:v>266.7009561287698</x:v>
      </x:c>
      <x:c r="H142" s="50" t="n">
        <x:v>3739.904</x:v>
      </x:c>
      <x:c r="I142" s="50" t="n">
        <x:v>273.9399384424876</x:v>
      </x:c>
      <x:c r="J142" s="42" t="n">
        <x:v>1.0271426935200885</x:v>
      </x:c>
      <x:c r="K142" s="42" t="n">
        <x:v>-0.0003599537151777306</x:v>
      </x:c>
      <x:c r="L142" s="26" t="n">
        <x:v>3287</x:v>
      </x:c>
      <x:c r="M142" s="26" t="n">
        <x:v>3741</x:v>
      </x:c>
      <x:c r="N142" s="26" t="n">
        <x:v>4174</x:v>
      </x:c>
    </x:row>
    <x:row r="143">
      <x:c r="A143" s="20" t="str">
        <x:v>T0_TABLE_BLOCK</x:v>
      </x:c>
      <x:c r="B143" s="20" t="str">
        <x:v>NYC-V1-R04</x:v>
      </x:c>
      <x:c r="C143" s="20" t="str">
        <x:v>V1</x:v>
      </x:c>
      <x:c r="D143" s="20" t="str">
        <x:v>age65_one_person_households</x:v>
      </x:c>
      <x:c r="E143" s="20" t="str">
        <x:v>household</x:v>
      </x:c>
      <x:c r="F143" s="50" t="n">
        <x:v>2144</x:v>
      </x:c>
      <x:c r="G143" s="50" t="n">
        <x:v>246.10323037294737</x:v>
      </x:c>
      <x:c r="H143" s="50" t="n">
        <x:v>2144.124</x:v>
      </x:c>
      <x:c r="I143" s="50" t="n">
        <x:v>255.33409902738435</x:v>
      </x:c>
      <x:c r="J143" s="42" t="n">
        <x:v>1.0375081165755056</x:v>
      </x:c>
      <x:c r="K143" s="42" t="n">
        <x:v>0.0005038536057080006</x:v>
      </x:c>
      <x:c r="L143" s="26" t="n">
        <x:v>1720</x:v>
      </x:c>
      <x:c r="M143" s="26" t="n">
        <x:v>2139</x:v>
      </x:c>
      <x:c r="N143" s="26" t="n">
        <x:v>2560</x:v>
      </x:c>
    </x:row>
    <x:row r="144">
      <x:c r="A144" s="20" t="str">
        <x:v>T0_TABLE_BLOCK</x:v>
      </x:c>
      <x:c r="B144" s="20" t="str">
        <x:v>NYC-V1-R04</x:v>
      </x:c>
      <x:c r="C144" s="20" t="str">
        <x:v>V1</x:v>
      </x:c>
      <x:c r="D144" s="20" t="str">
        <x:v>no_vehicle_households</x:v>
      </x:c>
      <x:c r="E144" s="20" t="str">
        <x:v>household</x:v>
      </x:c>
      <x:c r="F144" s="50" t="n">
        <x:v>11951</x:v>
      </x:c>
      <x:c r="G144" s="50" t="n">
        <x:v>449.7506671942774</x:v>
      </x:c>
      <x:c r="H144" s="50" t="n">
        <x:v>11950.888</x:v>
      </x:c>
      <x:c r="I144" s="50" t="n">
        <x:v>449.59950307931746</x:v>
      </x:c>
      <x:c r="J144" s="42" t="n">
        <x:v>0.9996638935170392</x:v>
      </x:c>
      <x:c r="K144" s="42" t="n">
        <x:v>-0.00024902686792633536</x:v>
      </x:c>
      <x:c r="L144" s="26" t="n">
        <x:v>11212</x:v>
      </x:c>
      <x:c r="M144" s="26" t="n">
        <x:v>11951</x:v>
      </x:c>
      <x:c r="N144" s="26" t="n">
        <x:v>12687</x:v>
      </x:c>
    </x:row>
    <x:row r="145">
      <x:c r="A145" s="20" t="str">
        <x:v>T0_TABLE_BLOCK</x:v>
      </x:c>
      <x:c r="B145" s="20" t="str">
        <x:v>NYC-V1-R04</x:v>
      </x:c>
      <x:c r="C145" s="20" t="str">
        <x:v>V1</x:v>
      </x:c>
      <x:c r="D145" s="20" t="str">
        <x:v>limited_english_households</x:v>
      </x:c>
      <x:c r="E145" s="20" t="str">
        <x:v>household</x:v>
      </x:c>
      <x:c r="F145" s="50" t="n">
        <x:v>1754</x:v>
      </x:c>
      <x:c r="G145" s="50" t="n">
        <x:v>262.8263803913474</x:v>
      </x:c>
      <x:c r="H145" s="50" t="n">
        <x:v>1753.905</x:v>
      </x:c>
      <x:c r="I145" s="50" t="n">
        <x:v>263.7563143668192</x:v>
      </x:c>
      <x:c r="J145" s="42" t="n">
        <x:v>1.0035382063782452</x:v>
      </x:c>
      <x:c r="K145" s="42" t="n">
        <x:v>-0.0003614553450021747</x:v>
      </x:c>
      <x:c r="L145" s="26" t="n">
        <x:v>1324</x:v>
      </x:c>
      <x:c r="M145" s="26" t="n">
        <x:v>1755</x:v>
      </x:c>
      <x:c r="N145" s="26" t="n">
        <x:v>2184</x:v>
      </x:c>
    </x:row>
    <x:row r="146">
      <x:c r="A146" s="20" t="str">
        <x:v>T0_TABLE_BLOCK</x:v>
      </x:c>
      <x:c r="B146" s="20" t="str">
        <x:v>NYC-V1-R04</x:v>
      </x:c>
      <x:c r="C146" s="20" t="str">
        <x:v>V1</x:v>
      </x:c>
      <x:c r="D146" s="20" t="str">
        <x:v>housing_units</x:v>
      </x:c>
      <x:c r="E146" s="20" t="str">
        <x:v>housing</x:v>
      </x:c>
      <x:c r="F146" s="50" t="n">
        <x:v>15534</x:v>
      </x:c>
      <x:c r="G146" s="50" t="n">
        <x:v>395.74170869394095</x:v>
      </x:c>
      <x:c r="H146" s="50" t="n">
        <x:v>15533.851</x:v>
      </x:c>
      <x:c r="I146" s="50" t="n">
        <x:v>391.62652889856315</x:v>
      </x:c>
      <x:c r="J146" s="42" t="n">
        <x:v>0.9896013493018994</x:v>
      </x:c>
      <x:c r="K146" s="42" t="n">
        <x:v>-0.00037650820402826483</x:v>
      </x:c>
      <x:c r="L146" s="26" t="n">
        <x:v>14879</x:v>
      </x:c>
      <x:c r="M146" s="26" t="n">
        <x:v>15539</x:v>
      </x:c>
      <x:c r="N146" s="26" t="n">
        <x:v>16157</x:v>
      </x:c>
    </x:row>
    <x:row r="147">
      <x:c r="A147" s="20" t="str">
        <x:v>T0_TABLE_BLOCK</x:v>
      </x:c>
      <x:c r="B147" s="20" t="str">
        <x:v>NYC-V1-R04</x:v>
      </x:c>
      <x:c r="C147" s="20" t="str">
        <x:v>V1</x:v>
      </x:c>
      <x:c r="D147" s="20" t="str">
        <x:v>occupied_housing_units</x:v>
      </x:c>
      <x:c r="E147" s="20" t="str">
        <x:v>housing</x:v>
      </x:c>
      <x:c r="F147" s="50" t="n">
        <x:v>14422</x:v>
      </x:c>
      <x:c r="G147" s="50" t="n">
        <x:v>406.926344686603</x:v>
      </x:c>
      <x:c r="H147" s="50" t="n">
        <x:v>14422.011</x:v>
      </x:c>
      <x:c r="I147" s="50" t="n">
        <x:v>401.7702629902109</x:v>
      </x:c>
      <x:c r="J147" s="42" t="n">
        <x:v>0.9873292015527697</x:v>
      </x:c>
      <x:c r="K147" s="42" t="n">
        <x:v>0.00002703191902921333</x:v>
      </x:c>
      <x:c r="L147" s="26" t="n">
        <x:v>13752</x:v>
      </x:c>
      <x:c r="M147" s="26" t="n">
        <x:v>14430</x:v>
      </x:c>
      <x:c r="N147" s="26" t="n">
        <x:v>15069</x:v>
      </x:c>
    </x:row>
    <x:row r="148">
      <x:c r="A148" s="20" t="str">
        <x:v>T0_TABLE_BLOCK</x:v>
      </x:c>
      <x:c r="B148" s="20" t="str">
        <x:v>NYC-V1-R04</x:v>
      </x:c>
      <x:c r="C148" s="20" t="str">
        <x:v>V1</x:v>
      </x:c>
      <x:c r="D148" s="20" t="str">
        <x:v>vacant_housing_units</x:v>
      </x:c>
      <x:c r="E148" s="20" t="str">
        <x:v>housing</x:v>
      </x:c>
      <x:c r="F148" s="50" t="n">
        <x:v>1112</x:v>
      </x:c>
      <x:c r="G148" s="50" t="n">
        <x:v>204.29892314938914</x:v>
      </x:c>
      <x:c r="H148" s="50" t="n">
        <x:v>1111.84</x:v>
      </x:c>
      <x:c r="I148" s="50" t="n">
        <x:v>203.9291384120805</x:v>
      </x:c>
      <x:c r="J148" s="42" t="n">
        <x:v>0.9981899819558117</x:v>
      </x:c>
      <x:c r="K148" s="42" t="n">
        <x:v>-0.0007831661446550325</x:v>
      </x:c>
      <x:c r="L148" s="26" t="n">
        <x:v>774</x:v>
      </x:c>
      <x:c r="M148" s="26" t="n">
        <x:v>1113</x:v>
      </x:c>
      <x:c r="N148" s="26" t="n">
        <x:v>1441</x:v>
      </x:c>
    </x:row>
    <x:row r="149">
      <x:c r="A149" s="20" t="str">
        <x:v>T0_TABLE_BLOCK</x:v>
      </x:c>
      <x:c r="B149" s="20" t="str">
        <x:v>NYC-V1-R04</x:v>
      </x:c>
      <x:c r="C149" s="20" t="str">
        <x:v>V1</x:v>
      </x:c>
      <x:c r="D149" s="20" t="str">
        <x:v>owner_occupied_units</x:v>
      </x:c>
      <x:c r="E149" s="20" t="str">
        <x:v>housing</x:v>
      </x:c>
      <x:c r="F149" s="50" t="n">
        <x:v>1357</x:v>
      </x:c>
      <x:c r="G149" s="50" t="n">
        <x:v>195.72296883493016</x:v>
      </x:c>
      <x:c r="H149" s="50" t="n">
        <x:v>1357.076</x:v>
      </x:c>
      <x:c r="I149" s="50" t="n">
        <x:v>194.02799562714418</x:v>
      </x:c>
      <x:c r="J149" s="42" t="n">
        <x:v>0.9913399371679494</x:v>
      </x:c>
      <x:c r="K149" s="42" t="n">
        <x:v>0.0003883039402703885</x:v>
      </x:c>
      <x:c r="L149" s="26" t="n">
        <x:v>1032</x:v>
      </x:c>
      <x:c r="M149" s="26" t="n">
        <x:v>1361</x:v>
      </x:c>
      <x:c r="N149" s="26" t="n">
        <x:v>1673</x:v>
      </x:c>
    </x:row>
    <x:row r="150">
      <x:c r="A150" s="20" t="str">
        <x:v>T0_TABLE_BLOCK</x:v>
      </x:c>
      <x:c r="B150" s="20" t="str">
        <x:v>NYC-V1-R04</x:v>
      </x:c>
      <x:c r="C150" s="20" t="str">
        <x:v>V1</x:v>
      </x:c>
      <x:c r="D150" s="20" t="str">
        <x:v>renter_occupied_units</x:v>
      </x:c>
      <x:c r="E150" s="20" t="str">
        <x:v>housing</x:v>
      </x:c>
      <x:c r="F150" s="50" t="n">
        <x:v>13065</x:v>
      </x:c>
      <x:c r="G150" s="50" t="n">
        <x:v>417.4154295644799</x:v>
      </x:c>
      <x:c r="H150" s="50" t="n">
        <x:v>13064.935</x:v>
      </x:c>
      <x:c r="I150" s="50" t="n">
        <x:v>378.7446716474059</x:v>
      </x:c>
      <x:c r="J150" s="42" t="n">
        <x:v>0.9073566639416707</x:v>
      </x:c>
      <x:c r="K150" s="42" t="n">
        <x:v>-0.0001557201660425648</x:v>
      </x:c>
      <x:c r="L150" s="26" t="n">
        <x:v>12457</x:v>
      </x:c>
      <x:c r="M150" s="26" t="n">
        <x:v>13088</x:v>
      </x:c>
      <x:c r="N150" s="26" t="n">
        <x:v>13682</x:v>
      </x:c>
    </x:row>
    <x:row r="151">
      <x:c r="A151" s="20" t="str">
        <x:v>T0_TABLE_BLOCK</x:v>
      </x:c>
      <x:c r="B151" s="20" t="str">
        <x:v>NYC-V1-R04</x:v>
      </x:c>
      <x:c r="C151" s="20" t="str">
        <x:v>V1</x:v>
      </x:c>
      <x:c r="D151" s="20" t="str">
        <x:v>one_unit_structures</x:v>
      </x:c>
      <x:c r="E151" s="20" t="str">
        <x:v>housing</x:v>
      </x:c>
      <x:c r="F151" s="50" t="n">
        <x:v>123</x:v>
      </x:c>
      <x:c r="G151" s="50" t="n">
        <x:v>90.86671765451966</x:v>
      </x:c>
      <x:c r="H151" s="50" t="n">
        <x:v>126.345</x:v>
      </x:c>
      <x:c r="I151" s="50" t="n">
        <x:v>83.66187473565414</x:v>
      </x:c>
      <x:c r="J151" s="42" t="n">
        <x:v>0.9207097702564899</x:v>
      </x:c>
      <x:c r="K151" s="42" t="n">
        <x:v>0.036812158360532796</x:v>
      </x:c>
      <x:c r="L151" s="26" t="n">
        <x:v>0</x:v>
      </x:c>
      <x:c r="M151" s="26" t="n">
        <x:v>122</x:v>
      </x:c>
      <x:c r="N151" s="26" t="n">
        <x:v>269</x:v>
      </x:c>
    </x:row>
    <x:row r="152">
      <x:c r="A152" s="20" t="str">
        <x:v>T0_TABLE_BLOCK</x:v>
      </x:c>
      <x:c r="B152" s="20" t="str">
        <x:v>NYC-V1-R04</x:v>
      </x:c>
      <x:c r="C152" s="20" t="str">
        <x:v>V1</x:v>
      </x:c>
      <x:c r="D152" s="20" t="str">
        <x:v>two_to_four_unit_structures</x:v>
      </x:c>
      <x:c r="E152" s="20" t="str">
        <x:v>housing</x:v>
      </x:c>
      <x:c r="F152" s="50" t="n">
        <x:v>521</x:v>
      </x:c>
      <x:c r="G152" s="50" t="n">
        <x:v>158.51697656256852</x:v>
      </x:c>
      <x:c r="H152" s="50" t="n">
        <x:v>520.921</x:v>
      </x:c>
      <x:c r="I152" s="50" t="n">
        <x:v>155.99438774522628</x:v>
      </x:c>
      <x:c r="J152" s="42" t="n">
        <x:v>0.9840863176169239</x:v>
      </x:c>
      <x:c r="K152" s="42" t="n">
        <x:v>-0.0004983693337651356</x:v>
      </x:c>
      <x:c r="L152" s="26" t="n">
        <x:v>258</x:v>
      </x:c>
      <x:c r="M152" s="26" t="n">
        <x:v>522</x:v>
      </x:c>
      <x:c r="N152" s="26" t="n">
        <x:v>783</x:v>
      </x:c>
    </x:row>
    <x:row r="153">
      <x:c r="A153" s="20" t="str">
        <x:v>T0_TABLE_BLOCK</x:v>
      </x:c>
      <x:c r="B153" s="20" t="str">
        <x:v>NYC-V1-R04</x:v>
      </x:c>
      <x:c r="C153" s="20" t="str">
        <x:v>V1</x:v>
      </x:c>
      <x:c r="D153" s="20" t="str">
        <x:v>five_to_nineteen_unit_structures</x:v>
      </x:c>
      <x:c r="E153" s="20" t="str">
        <x:v>housing</x:v>
      </x:c>
      <x:c r="F153" s="50" t="n">
        <x:v>2270</x:v>
      </x:c>
      <x:c r="G153" s="50" t="n">
        <x:v>286.8231731145651</x:v>
      </x:c>
      <x:c r="H153" s="50" t="n">
        <x:v>2269.75</x:v>
      </x:c>
      <x:c r="I153" s="50" t="n">
        <x:v>270.8322203719336</x:v>
      </x:c>
      <x:c r="J153" s="42" t="n">
        <x:v>0.944248044643714</x:v>
      </x:c>
      <x:c r="K153" s="42" t="n">
        <x:v>-0.0008716171614911431</x:v>
      </x:c>
      <x:c r="L153" s="26" t="n">
        <x:v>1832</x:v>
      </x:c>
      <x:c r="M153" s="26" t="n">
        <x:v>2269</x:v>
      </x:c>
      <x:c r="N153" s="26" t="n">
        <x:v>2716</x:v>
      </x:c>
    </x:row>
    <x:row r="154">
      <x:c r="A154" s="20" t="str">
        <x:v>T0_TABLE_BLOCK</x:v>
      </x:c>
      <x:c r="B154" s="20" t="str">
        <x:v>NYC-V1-R04</x:v>
      </x:c>
      <x:c r="C154" s="20" t="str">
        <x:v>V1</x:v>
      </x:c>
      <x:c r="D154" s="20" t="str">
        <x:v>twenty_to_forty_nine_unit_structures</x:v>
      </x:c>
      <x:c r="E154" s="20" t="str">
        <x:v>housing</x:v>
      </x:c>
      <x:c r="F154" s="50" t="n">
        <x:v>2860</x:v>
      </x:c>
      <x:c r="G154" s="50" t="n">
        <x:v>331.33208683289763</x:v>
      </x:c>
      <x:c r="H154" s="50" t="n">
        <x:v>2859.706</x:v>
      </x:c>
      <x:c r="I154" s="50" t="n">
        <x:v>310.82949431889267</x:v>
      </x:c>
      <x:c r="J154" s="42" t="n">
        <x:v>0.9381207153524339</x:v>
      </x:c>
      <x:c r="K154" s="42" t="n">
        <x:v>-0.0008873272818522509</x:v>
      </x:c>
      <x:c r="L154" s="26" t="n">
        <x:v>2355</x:v>
      </x:c>
      <x:c r="M154" s="26" t="n">
        <x:v>2858</x:v>
      </x:c>
      <x:c r="N154" s="26" t="n">
        <x:v>3376</x:v>
      </x:c>
    </x:row>
    <x:row r="155">
      <x:c r="A155" s="20" t="str">
        <x:v>T0_TABLE_BLOCK</x:v>
      </x:c>
      <x:c r="B155" s="20" t="str">
        <x:v>NYC-V1-R04</x:v>
      </x:c>
      <x:c r="C155" s="20" t="str">
        <x:v>V1</x:v>
      </x:c>
      <x:c r="D155" s="20" t="str">
        <x:v>fifty_plus_unit_structures</x:v>
      </x:c>
      <x:c r="E155" s="20" t="str">
        <x:v>housing</x:v>
      </x:c>
      <x:c r="F155" s="50" t="n">
        <x:v>8648</x:v>
      </x:c>
      <x:c r="G155" s="50" t="n">
        <x:v>471.44728630894997</x:v>
      </x:c>
      <x:c r="H155" s="50" t="n">
        <x:v>8623.675</x:v>
      </x:c>
      <x:c r="I155" s="50" t="n">
        <x:v>390.1836011643975</x:v>
      </x:c>
      <x:c r="J155" s="42" t="n">
        <x:v>0.8276293288677484</x:v>
      </x:c>
      <x:c r="K155" s="42" t="n">
        <x:v>-0.051596436561223535</x:v>
      </x:c>
      <x:c r="L155" s="26" t="n">
        <x:v>8013</x:v>
      </x:c>
      <x:c r="M155" s="26" t="n">
        <x:v>8623</x:v>
      </x:c>
      <x:c r="N155" s="26" t="n">
        <x:v>9261</x:v>
      </x:c>
    </x:row>
    <x:row r="156">
      <x:c r="A156" s="20" t="str">
        <x:v>T0_TABLE_BLOCK</x:v>
      </x:c>
      <x:c r="B156" s="20" t="str">
        <x:v>NYC-V1-R04</x:v>
      </x:c>
      <x:c r="C156" s="20" t="str">
        <x:v>V1</x:v>
      </x:c>
      <x:c r="D156" s="20" t="str">
        <x:v>mobile_or_other_units</x:v>
      </x:c>
      <x:c r="E156" s="20" t="str">
        <x:v>housing</x:v>
      </x:c>
      <x:c r="F156" s="50" t="n">
        <x:v>0</x:v>
      </x:c>
      <x:c r="G156" s="50" t="n">
        <x:v>54.38606503670527</x:v>
      </x:c>
      <x:c r="H156" s="50" t="n">
        <x:v>21.614</x:v>
      </x:c>
      <x:c r="I156" s="50" t="n">
        <x:v>31.577621033734477</x:v>
      </x:c>
      <x:c r="J156" s="42" t="n">
        <x:v>0.5806197049266696</x:v>
      </x:c>
      <x:c r="K156" s="42" t="n">
        <x:v>0.39741797803192175</x:v>
      </x:c>
      <x:c r="L156" s="26" t="n">
        <x:v>0</x:v>
      </x:c>
      <x:c r="M156" s="26" t="n">
        <x:v>0</x:v>
      </x:c>
      <x:c r="N156" s="26" t="n">
        <x:v>89</x:v>
      </x:c>
    </x:row>
    <x:row r="157">
      <x:c r="A157" s="20" t="str">
        <x:v>T0_TABLE_BLOCK</x:v>
      </x:c>
      <x:c r="B157" s="20" t="str">
        <x:v>NYC-V1-R04</x:v>
      </x:c>
      <x:c r="C157" s="20" t="str">
        <x:v>V1</x:v>
      </x:c>
      <x:c r="D157" s="20" t="str">
        <x:v>electric_heat_households</x:v>
      </x:c>
      <x:c r="E157" s="20" t="str">
        <x:v>housing</x:v>
      </x:c>
      <x:c r="F157" s="50" t="n">
        <x:v>2858</x:v>
      </x:c>
      <x:c r="G157" s="50" t="n">
        <x:v>252.70684596979166</x:v>
      </x:c>
      <x:c r="H157" s="50" t="n">
        <x:v>2857.892</x:v>
      </x:c>
      <x:c r="I157" s="50" t="n">
        <x:v>249.23742019935057</x:v>
      </x:c>
      <x:c r="J157" s="42" t="n">
        <x:v>0.9862709466491627</x:v>
      </x:c>
      <x:c r="K157" s="42" t="n">
        <x:v>-0.00042737267202125914</x:v>
      </x:c>
      <x:c r="L157" s="26" t="n">
        <x:v>2445</x:v>
      </x:c>
      <x:c r="M157" s="26" t="n">
        <x:v>2856</x:v>
      </x:c>
      <x:c r="N157" s="26" t="n">
        <x:v>3263</x:v>
      </x:c>
    </x:row>
    <x:row r="158">
      <x:c r="A158" s="20" t="str">
        <x:v>T0_TABLE_BLOCK</x:v>
      </x:c>
      <x:c r="B158" s="20" t="str">
        <x:v>NYC-V1-R04</x:v>
      </x:c>
      <x:c r="C158" s="20" t="str">
        <x:v>V1</x:v>
      </x:c>
      <x:c r="D158" s="20" t="str">
        <x:v>group_quarters_population</x:v>
      </x:c>
      <x:c r="E158" s="20" t="str">
        <x:v>population</x:v>
      </x:c>
      <x:c r="F158" s="50" t="n">
        <x:v>1116</x:v>
      </x:c>
      <x:c r="G158" s="50" t="n">
        <x:v>26.646763405712147</x:v>
      </x:c>
      <x:c r="H158" s="50" t="n">
        <x:v>1116.011</x:v>
      </x:c>
      <x:c r="I158" s="50" t="n">
        <x:v>25.875711225615255</x:v>
      </x:c>
      <x:c r="J158" s="42" t="n">
        <x:v>0.9710639461777334</x:v>
      </x:c>
      <x:c r="K158" s="42" t="n">
        <x:v>0.00041280810853033047</x:v>
      </x:c>
      <x:c r="L158" s="26" t="n">
        <x:v>1075</x:v>
      </x:c>
      <x:c r="M158" s="26" t="n">
        <x:v>1115</x:v>
      </x:c>
      <x:c r="N158" s="26" t="n">
        <x:v>1159</x:v>
      </x:c>
    </x:row>
    <x:row r="159">
      <x:c r="A159" s="20" t="str">
        <x:v>T0_TABLE_BLOCK</x:v>
      </x:c>
      <x:c r="B159" s="20" t="str">
        <x:v>NYC-V2-R01</x:v>
      </x:c>
      <x:c r="C159" s="20" t="str">
        <x:v>V2</x:v>
      </x:c>
      <x:c r="D159" s="20" t="str">
        <x:v>acs_population</x:v>
      </x:c>
      <x:c r="E159" s="20" t="str">
        <x:v>population</x:v>
      </x:c>
      <x:c r="F159" s="50" t="n">
        <x:v>30574</x:v>
      </x:c>
      <x:c r="G159" s="50" t="n">
        <x:v>1614.1890688516016</x:v>
      </x:c>
      <x:c r="H159" s="50" t="n">
        <x:v>31526.023</x:v>
      </x:c>
      <x:c r="I159" s="50" t="n">
        <x:v>1320.664616585339</x:v>
      </x:c>
      <x:c r="J159" s="42" t="n">
        <x:v>0.8181598067225869</x:v>
      </x:c>
      <x:c r="K159" s="42" t="n">
        <x:v>0.5897840707577757</x:v>
      </x:c>
      <x:c r="L159" s="26" t="n">
        <x:v>29485</x:v>
      </x:c>
      <x:c r="M159" s="26" t="n">
        <x:v>31494</x:v>
      </x:c>
      <x:c r="N159" s="26" t="n">
        <x:v>33805</x:v>
      </x:c>
    </x:row>
    <x:row r="160">
      <x:c r="A160" s="20" t="str">
        <x:v>T0_TABLE_BLOCK</x:v>
      </x:c>
      <x:c r="B160" s="20" t="str">
        <x:v>NYC-V2-R01</x:v>
      </x:c>
      <x:c r="C160" s="20" t="str">
        <x:v>V2</x:v>
      </x:c>
      <x:c r="D160" s="20" t="str">
        <x:v>age_under_18</x:v>
      </x:c>
      <x:c r="E160" s="20" t="str">
        <x:v>population</x:v>
      </x:c>
      <x:c r="F160" s="50" t="n">
        <x:v>7722</x:v>
      </x:c>
      <x:c r="G160" s="50" t="n">
        <x:v>870.5698995485659</x:v>
      </x:c>
      <x:c r="H160" s="50" t="n">
        <x:v>7721.587</x:v>
      </x:c>
      <x:c r="I160" s="50" t="n">
        <x:v>899.5742839384212</x:v>
      </x:c>
      <x:c r="J160" s="42" t="n">
        <x:v>1.0333165486250966</x:v>
      </x:c>
      <x:c r="K160" s="42" t="n">
        <x:v>-0.00047440188342569317</x:v>
      </x:c>
      <x:c r="L160" s="26" t="n">
        <x:v>6241</x:v>
      </x:c>
      <x:c r="M160" s="26" t="n">
        <x:v>7739</x:v>
      </x:c>
      <x:c r="N160" s="26" t="n">
        <x:v>9239</x:v>
      </x:c>
    </x:row>
    <x:row r="161">
      <x:c r="A161" s="20" t="str">
        <x:v>T0_TABLE_BLOCK</x:v>
      </x:c>
      <x:c r="B161" s="20" t="str">
        <x:v>NYC-V2-R01</x:v>
      </x:c>
      <x:c r="C161" s="20" t="str">
        <x:v>V2</x:v>
      </x:c>
      <x:c r="D161" s="20" t="str">
        <x:v>age_65_plus</x:v>
      </x:c>
      <x:c r="E161" s="20" t="str">
        <x:v>population</x:v>
      </x:c>
      <x:c r="F161" s="50" t="n">
        <x:v>3199</x:v>
      </x:c>
      <x:c r="G161" s="50" t="n">
        <x:v>337.42169461965545</x:v>
      </x:c>
      <x:c r="H161" s="50" t="n">
        <x:v>3335.073</x:v>
      </x:c>
      <x:c r="I161" s="50" t="n">
        <x:v>278.01717072551156</x:v>
      </x:c>
      <x:c r="J161" s="42" t="n">
        <x:v>0.8239457484762348</x:v>
      </x:c>
      <x:c r="K161" s="42" t="n">
        <x:v>0.4032728249835343</x:v>
      </x:c>
      <x:c r="L161" s="26" t="n">
        <x:v>2895</x:v>
      </x:c>
      <x:c r="M161" s="26" t="n">
        <x:v>3313</x:v>
      </x:c>
      <x:c r="N161" s="26" t="n">
        <x:v>3813</x:v>
      </x:c>
    </x:row>
    <x:row r="162">
      <x:c r="A162" s="20" t="str">
        <x:v>T0_TABLE_BLOCK</x:v>
      </x:c>
      <x:c r="B162" s="20" t="str">
        <x:v>NYC-V2-R01</x:v>
      </x:c>
      <x:c r="C162" s="20" t="str">
        <x:v>V2</x:v>
      </x:c>
      <x:c r="D162" s="20" t="str">
        <x:v>age_75_plus</x:v>
      </x:c>
      <x:c r="E162" s="20" t="str">
        <x:v>population</x:v>
      </x:c>
      <x:c r="F162" s="50" t="n">
        <x:v>1273</x:v>
      </x:c>
      <x:c r="G162" s="50" t="n">
        <x:v>285.10594522036894</x:v>
      </x:c>
      <x:c r="H162" s="50" t="n">
        <x:v>1272.939</x:v>
      </x:c>
      <x:c r="I162" s="50" t="n">
        <x:v>274.1959531059853</x:v>
      </x:c>
      <x:c r="J162" s="42" t="n">
        <x:v>0.9617335509929444</x:v>
      </x:c>
      <x:c r="K162" s="42" t="n">
        <x:v>-0.000213955552392191</x:v>
      </x:c>
      <x:c r="L162" s="26" t="n">
        <x:v>822</x:v>
      </x:c>
      <x:c r="M162" s="26" t="n">
        <x:v>1275</x:v>
      </x:c>
      <x:c r="N162" s="26" t="n">
        <x:v>1723</x:v>
      </x:c>
    </x:row>
    <x:row r="163">
      <x:c r="A163" s="20" t="str">
        <x:v>T0_TABLE_BLOCK</x:v>
      </x:c>
      <x:c r="B163" s="20" t="str">
        <x:v>NYC-V2-R01</x:v>
      </x:c>
      <x:c r="C163" s="20" t="str">
        <x:v>V2</x:v>
      </x:c>
      <x:c r="D163" s="20" t="str">
        <x:v>age_85_plus</x:v>
      </x:c>
      <x:c r="E163" s="20" t="str">
        <x:v>population</x:v>
      </x:c>
      <x:c r="F163" s="50" t="n">
        <x:v>217</x:v>
      </x:c>
      <x:c r="G163" s="50" t="n">
        <x:v>120.80956087992374</x:v>
      </x:c>
      <x:c r="H163" s="50" t="n">
        <x:v>218.339</x:v>
      </x:c>
      <x:c r="I163" s="50" t="n">
        <x:v>116.44574569597074</x:v>
      </x:c>
      <x:c r="J163" s="42" t="n">
        <x:v>0.9638785609999003</x:v>
      </x:c>
      <x:c r="K163" s="42" t="n">
        <x:v>0.01108355986270715</x:v>
      </x:c>
      <x:c r="L163" s="26" t="n">
        <x:v>20</x:v>
      </x:c>
      <x:c r="M163" s="26" t="n">
        <x:v>215</x:v>
      </x:c>
      <x:c r="N163" s="26" t="n">
        <x:v>415</x:v>
      </x:c>
    </x:row>
    <x:row r="164">
      <x:c r="A164" s="20" t="str">
        <x:v>T0_TABLE_BLOCK</x:v>
      </x:c>
      <x:c r="B164" s="20" t="str">
        <x:v>NYC-V2-R01</x:v>
      </x:c>
      <x:c r="C164" s="20" t="str">
        <x:v>V2</x:v>
      </x:c>
      <x:c r="D164" s="20" t="str">
        <x:v>civilian_noninstitutionalized</x:v>
      </x:c>
      <x:c r="E164" s="20" t="str">
        <x:v>disability</x:v>
      </x:c>
      <x:c r="F164" s="50" t="n">
        <x:v>30571</x:v>
      </x:c>
      <x:c r="G164" s="50" t="n">
        <x:v>1613.9651018531968</x:v>
      </x:c>
      <x:c r="H164" s="50" t="n">
        <x:v>30566.464</x:v>
      </x:c>
      <x:c r="I164" s="50" t="n">
        <x:v>1638.4602872260334</x:v>
      </x:c>
      <x:c r="J164" s="42" t="n">
        <x:v>1.0151770229385448</x:v>
      </x:c>
      <x:c r="K164" s="42" t="n">
        <x:v>-0.0028104696903245956</x:v>
      </x:c>
      <x:c r="L164" s="26" t="n">
        <x:v>27849</x:v>
      </x:c>
      <x:c r="M164" s="26" t="n">
        <x:v>30621</x:v>
      </x:c>
      <x:c r="N164" s="26" t="n">
        <x:v>33125</x:v>
      </x:c>
    </x:row>
    <x:row r="165">
      <x:c r="A165" s="20" t="str">
        <x:v>T0_TABLE_BLOCK</x:v>
      </x:c>
      <x:c r="B165" s="20" t="str">
        <x:v>NYC-V2-R01</x:v>
      </x:c>
      <x:c r="C165" s="20" t="str">
        <x:v>V2</x:v>
      </x:c>
      <x:c r="D165" s="20" t="str">
        <x:v>any_disability</x:v>
      </x:c>
      <x:c r="E165" s="20" t="str">
        <x:v>disability</x:v>
      </x:c>
      <x:c r="F165" s="50" t="n">
        <x:v>5709</x:v>
      </x:c>
      <x:c r="G165" s="50" t="n">
        <x:v>804.5654417137241</x:v>
      </x:c>
      <x:c r="H165" s="50" t="n">
        <x:v>5720.733</x:v>
      </x:c>
      <x:c r="I165" s="50" t="n">
        <x:v>784.2037434380317</x:v>
      </x:c>
      <x:c r="J165" s="42" t="n">
        <x:v>0.9746923031738449</x:v>
      </x:c>
      <x:c r="K165" s="42" t="n">
        <x:v>0.014583027547155007</x:v>
      </x:c>
      <x:c r="L165" s="26" t="n">
        <x:v>4434</x:v>
      </x:c>
      <x:c r="M165" s="26" t="n">
        <x:v>5685</x:v>
      </x:c>
      <x:c r="N165" s="26" t="n">
        <x:v>7031</x:v>
      </x:c>
    </x:row>
    <x:row r="166">
      <x:c r="A166" s="20" t="str">
        <x:v>T0_TABLE_BLOCK</x:v>
      </x:c>
      <x:c r="B166" s="20" t="str">
        <x:v>NYC-V2-R01</x:v>
      </x:c>
      <x:c r="C166" s="20" t="str">
        <x:v>V2</x:v>
      </x:c>
      <x:c r="D166" s="20" t="str">
        <x:v>disability_under_18</x:v>
      </x:c>
      <x:c r="E166" s="20" t="str">
        <x:v>disability</x:v>
      </x:c>
      <x:c r="F166" s="50" t="n">
        <x:v>1281</x:v>
      </x:c>
      <x:c r="G166" s="50" t="n">
        <x:v>683.9411158864482</x:v>
      </x:c>
      <x:c r="H166" s="50" t="n">
        <x:v>1292.513</x:v>
      </x:c>
      <x:c r="I166" s="50" t="n">
        <x:v>652.3456650409333</x:v>
      </x:c>
      <x:c r="J166" s="42" t="n">
        <x:v>0.9538038434718692</x:v>
      </x:c>
      <x:c r="K166" s="42" t="n">
        <x:v>0.016833320489992847</x:v>
      </x:c>
      <x:c r="L166" s="26" t="n">
        <x:v>84</x:v>
      </x:c>
      <x:c r="M166" s="26" t="n">
        <x:v>1281</x:v>
      </x:c>
      <x:c r="N166" s="26" t="n">
        <x:v>2348</x:v>
      </x:c>
    </x:row>
    <x:row r="167">
      <x:c r="A167" s="20" t="str">
        <x:v>T0_TABLE_BLOCK</x:v>
      </x:c>
      <x:c r="B167" s="20" t="str">
        <x:v>NYC-V2-R01</x:v>
      </x:c>
      <x:c r="C167" s="20" t="str">
        <x:v>V2</x:v>
      </x:c>
      <x:c r="D167" s="20" t="str">
        <x:v>disability_18_64</x:v>
      </x:c>
      <x:c r="E167" s="20" t="str">
        <x:v>disability</x:v>
      </x:c>
      <x:c r="F167" s="50" t="n">
        <x:v>2681</x:v>
      </x:c>
      <x:c r="G167" s="50" t="n">
        <x:v>386.61654129123866</x:v>
      </x:c>
      <x:c r="H167" s="50" t="n">
        <x:v>2681.084</x:v>
      </x:c>
      <x:c r="I167" s="50" t="n">
        <x:v>378.51291255249004</x:v>
      </x:c>
      <x:c r="J167" s="42" t="n">
        <x:v>0.9790396222787474</x:v>
      </x:c>
      <x:c r="K167" s="42" t="n">
        <x:v>0.0002172695449586451</x:v>
      </x:c>
      <x:c r="L167" s="26" t="n">
        <x:v>2060</x:v>
      </x:c>
      <x:c r="M167" s="26" t="n">
        <x:v>2672</x:v>
      </x:c>
      <x:c r="N167" s="26" t="n">
        <x:v>3311</x:v>
      </x:c>
    </x:row>
    <x:row r="168">
      <x:c r="A168" s="20" t="str">
        <x:v>T0_TABLE_BLOCK</x:v>
      </x:c>
      <x:c r="B168" s="20" t="str">
        <x:v>NYC-V2-R01</x:v>
      </x:c>
      <x:c r="C168" s="20" t="str">
        <x:v>V2</x:v>
      </x:c>
      <x:c r="D168" s="20" t="str">
        <x:v>disability_65_plus</x:v>
      </x:c>
      <x:c r="E168" s="20" t="str">
        <x:v>disability</x:v>
      </x:c>
      <x:c r="F168" s="50" t="n">
        <x:v>1747</x:v>
      </x:c>
      <x:c r="G168" s="50" t="n">
        <x:v>287.791330654695</x:v>
      </x:c>
      <x:c r="H168" s="50" t="n">
        <x:v>1747.136</x:v>
      </x:c>
      <x:c r="I168" s="50" t="n">
        <x:v>291.6997776212115</x:v>
      </x:c>
      <x:c r="J168" s="42" t="n">
        <x:v>1.013580836356763</x:v>
      </x:c>
      <x:c r="K168" s="42" t="n">
        <x:v>0.0004725646171848942</x:v>
      </x:c>
      <x:c r="L168" s="26" t="n">
        <x:v>1276</x:v>
      </x:c>
      <x:c r="M168" s="26" t="n">
        <x:v>1744</x:v>
      </x:c>
      <x:c r="N168" s="26" t="n">
        <x:v>2235</x:v>
      </x:c>
    </x:row>
    <x:row r="169">
      <x:c r="A169" s="20" t="str">
        <x:v>T0_TABLE_BLOCK</x:v>
      </x:c>
      <x:c r="B169" s="20" t="str">
        <x:v>NYC-V2-R01</x:v>
      </x:c>
      <x:c r="C169" s="20" t="str">
        <x:v>V2</x:v>
      </x:c>
      <x:c r="D169" s="20" t="str">
        <x:v>hearing_difficulty</x:v>
      </x:c>
      <x:c r="E169" s="20" t="str">
        <x:v>disability</x:v>
      </x:c>
      <x:c r="F169" s="50" t="n">
        <x:v>811</x:v>
      </x:c>
      <x:c r="G169" s="50" t="n">
        <x:v>243.67726370155503</x:v>
      </x:c>
      <x:c r="H169" s="50" t="n">
        <x:v>810.977</x:v>
      </x:c>
      <x:c r="I169" s="50" t="n">
        <x:v>243.72580236351206</x:v>
      </x:c>
      <x:c r="J169" s="42" t="n">
        <x:v>1.0001991924122082</x:v>
      </x:c>
      <x:c r="K169" s="42" t="n">
        <x:v>-0.00009438713998444239</x:v>
      </x:c>
      <x:c r="L169" s="26" t="n">
        <x:v>411</x:v>
      </x:c>
      <x:c r="M169" s="26" t="n">
        <x:v>811</x:v>
      </x:c>
      <x:c r="N169" s="26" t="n">
        <x:v>1210</x:v>
      </x:c>
    </x:row>
    <x:row r="170">
      <x:c r="A170" s="20" t="str">
        <x:v>T0_TABLE_BLOCK</x:v>
      </x:c>
      <x:c r="B170" s="20" t="str">
        <x:v>NYC-V2-R01</x:v>
      </x:c>
      <x:c r="C170" s="20" t="str">
        <x:v>V2</x:v>
      </x:c>
      <x:c r="D170" s="20" t="str">
        <x:v>vision_difficulty</x:v>
      </x:c>
      <x:c r="E170" s="20" t="str">
        <x:v>disability</x:v>
      </x:c>
      <x:c r="F170" s="50" t="n">
        <x:v>2372</x:v>
      </x:c>
      <x:c r="G170" s="50" t="n">
        <x:v>554.3336350576411</x:v>
      </x:c>
      <x:c r="H170" s="50" t="n">
        <x:v>2371.726</x:v>
      </x:c>
      <x:c r="I170" s="50" t="n">
        <x:v>554.862275766761</x:v>
      </x:c>
      <x:c r="J170" s="42" t="n">
        <x:v>1.0009536507902228</x:v>
      </x:c>
      <x:c r="K170" s="42" t="n">
        <x:v>-0.0004942871633098647</x:v>
      </x:c>
      <x:c r="L170" s="26" t="n">
        <x:v>1462</x:v>
      </x:c>
      <x:c r="M170" s="26" t="n">
        <x:v>2372</x:v>
      </x:c>
      <x:c r="N170" s="26" t="n">
        <x:v>3283</x:v>
      </x:c>
    </x:row>
    <x:row r="171">
      <x:c r="A171" s="20" t="str">
        <x:v>T0_TABLE_BLOCK</x:v>
      </x:c>
      <x:c r="B171" s="20" t="str">
        <x:v>NYC-V2-R01</x:v>
      </x:c>
      <x:c r="C171" s="20" t="str">
        <x:v>V2</x:v>
      </x:c>
      <x:c r="D171" s="20" t="str">
        <x:v>cognitive_difficulty</x:v>
      </x:c>
      <x:c r="E171" s="20" t="str">
        <x:v>disability</x:v>
      </x:c>
      <x:c r="F171" s="50" t="n">
        <x:v>1877</x:v>
      </x:c>
      <x:c r="G171" s="50" t="n">
        <x:v>313.48218493970666</x:v>
      </x:c>
      <x:c r="H171" s="50" t="n">
        <x:v>1876.971</x:v>
      </x:c>
      <x:c r="I171" s="50" t="n">
        <x:v>313.2445375410389</x:v>
      </x:c>
      <x:c r="J171" s="42" t="n">
        <x:v>0.9992419109918049</x:v>
      </x:c>
      <x:c r="K171" s="42" t="n">
        <x:v>-0.0000925092442033797</x:v>
      </x:c>
      <x:c r="L171" s="26" t="n">
        <x:v>1363</x:v>
      </x:c>
      <x:c r="M171" s="26" t="n">
        <x:v>1878</x:v>
      </x:c>
      <x:c r="N171" s="26" t="n">
        <x:v>2391</x:v>
      </x:c>
    </x:row>
    <x:row r="172">
      <x:c r="A172" s="20" t="str">
        <x:v>T0_TABLE_BLOCK</x:v>
      </x:c>
      <x:c r="B172" s="20" t="str">
        <x:v>NYC-V2-R01</x:v>
      </x:c>
      <x:c r="C172" s="20" t="str">
        <x:v>V2</x:v>
      </x:c>
      <x:c r="D172" s="20" t="str">
        <x:v>ambulatory_difficulty</x:v>
      </x:c>
      <x:c r="E172" s="20" t="str">
        <x:v>disability</x:v>
      </x:c>
      <x:c r="F172" s="50" t="n">
        <x:v>2757</x:v>
      </x:c>
      <x:c r="G172" s="50" t="n">
        <x:v>406.09358763915225</x:v>
      </x:c>
      <x:c r="H172" s="50" t="n">
        <x:v>2756.809</x:v>
      </x:c>
      <x:c r="I172" s="50" t="n">
        <x:v>406.7761194199216</x:v>
      </x:c>
      <x:c r="J172" s="42" t="n">
        <x:v>1.0016807253341213</x:v>
      </x:c>
      <x:c r="K172" s="42" t="n">
        <x:v>-0.0004703349321770696</x:v>
      </x:c>
      <x:c r="L172" s="26" t="n">
        <x:v>2090</x:v>
      </x:c>
      <x:c r="M172" s="26" t="n">
        <x:v>2758</x:v>
      </x:c>
      <x:c r="N172" s="26" t="n">
        <x:v>3423</x:v>
      </x:c>
    </x:row>
    <x:row r="173">
      <x:c r="A173" s="20" t="str">
        <x:v>T0_TABLE_BLOCK</x:v>
      </x:c>
      <x:c r="B173" s="20" t="str">
        <x:v>NYC-V2-R01</x:v>
      </x:c>
      <x:c r="C173" s="20" t="str">
        <x:v>V2</x:v>
      </x:c>
      <x:c r="D173" s="20" t="str">
        <x:v>self_care_difficulty</x:v>
      </x:c>
      <x:c r="E173" s="20" t="str">
        <x:v>disability</x:v>
      </x:c>
      <x:c r="F173" s="50" t="n">
        <x:v>1217</x:v>
      </x:c>
      <x:c r="G173" s="50" t="n">
        <x:v>268.5403023678302</x:v>
      </x:c>
      <x:c r="H173" s="50" t="n">
        <x:v>1217.057</x:v>
      </x:c>
      <x:c r="I173" s="50" t="n">
        <x:v>269.37744887232293</x:v>
      </x:c>
      <x:c r="J173" s="42" t="n">
        <x:v>1.0031173961491489</x:v>
      </x:c>
      <x:c r="K173" s="42" t="n">
        <x:v>0.0002122586423617757</x:v>
      </x:c>
      <x:c r="L173" s="26" t="n">
        <x:v>777</x:v>
      </x:c>
      <x:c r="M173" s="26" t="n">
        <x:v>1218</x:v>
      </x:c>
      <x:c r="N173" s="26" t="n">
        <x:v>1658</x:v>
      </x:c>
    </x:row>
    <x:row r="174">
      <x:c r="A174" s="20" t="str">
        <x:v>T0_TABLE_BLOCK</x:v>
      </x:c>
      <x:c r="B174" s="20" t="str">
        <x:v>NYC-V2-R01</x:v>
      </x:c>
      <x:c r="C174" s="20" t="str">
        <x:v>V2</x:v>
      </x:c>
      <x:c r="D174" s="20" t="str">
        <x:v>independent_living_difficulty</x:v>
      </x:c>
      <x:c r="E174" s="20" t="str">
        <x:v>disability</x:v>
      </x:c>
      <x:c r="F174" s="50" t="n">
        <x:v>2028</x:v>
      </x:c>
      <x:c r="G174" s="50" t="n">
        <x:v>351.46978462815844</x:v>
      </x:c>
      <x:c r="H174" s="50" t="n">
        <x:v>2028.022</x:v>
      </x:c>
      <x:c r="I174" s="50" t="n">
        <x:v>350.9680927351062</x:v>
      </x:c>
      <x:c r="J174" s="42" t="n">
        <x:v>0.9985725888397974</x:v>
      </x:c>
      <x:c r="K174" s="42" t="n">
        <x:v>0.00006259428537565376</x:v>
      </x:c>
      <x:c r="L174" s="26" t="n">
        <x:v>1451</x:v>
      </x:c>
      <x:c r="M174" s="26" t="n">
        <x:v>2028</x:v>
      </x:c>
      <x:c r="N174" s="26" t="n">
        <x:v>2603</x:v>
      </x:c>
    </x:row>
    <x:row r="175">
      <x:c r="A175" s="20" t="str">
        <x:v>T0_TABLE_BLOCK</x:v>
      </x:c>
      <x:c r="B175" s="20" t="str">
        <x:v>NYC-V2-R01</x:v>
      </x:c>
      <x:c r="C175" s="20" t="str">
        <x:v>V2</x:v>
      </x:c>
      <x:c r="D175" s="20" t="str">
        <x:v>households</x:v>
      </x:c>
      <x:c r="E175" s="20" t="str">
        <x:v>household</x:v>
      </x:c>
      <x:c r="F175" s="50" t="n">
        <x:v>10462</x:v>
      </x:c>
      <x:c r="G175" s="50" t="n">
        <x:v>410.5093177992431</x:v>
      </x:c>
      <x:c r="H175" s="50" t="n">
        <x:v>10462.074</x:v>
      </x:c>
      <x:c r="I175" s="50" t="n">
        <x:v>416.804038044415</x:v>
      </x:c>
      <x:c r="J175" s="42" t="n">
        <x:v>1.0153339278117197</x:v>
      </x:c>
      <x:c r="K175" s="42" t="n">
        <x:v>0.00018026387414843794</x:v>
      </x:c>
      <x:c r="L175" s="26" t="n">
        <x:v>9769</x:v>
      </x:c>
      <x:c r="M175" s="26" t="n">
        <x:v>10458</x:v>
      </x:c>
      <x:c r="N175" s="26" t="n">
        <x:v>11149</x:v>
      </x:c>
    </x:row>
    <x:row r="176">
      <x:c r="A176" s="20" t="str">
        <x:v>T0_TABLE_BLOCK</x:v>
      </x:c>
      <x:c r="B176" s="20" t="str">
        <x:v>NYC-V2-R01</x:v>
      </x:c>
      <x:c r="C176" s="20" t="str">
        <x:v>V2</x:v>
      </x:c>
      <x:c r="D176" s="20" t="str">
        <x:v>family_households</x:v>
      </x:c>
      <x:c r="E176" s="20" t="str">
        <x:v>household</x:v>
      </x:c>
      <x:c r="F176" s="50" t="n">
        <x:v>7409</x:v>
      </x:c>
      <x:c r="G176" s="50" t="n">
        <x:v>460.35513465149927</x:v>
      </x:c>
      <x:c r="H176" s="50" t="n">
        <x:v>7409.189</x:v>
      </x:c>
      <x:c r="I176" s="50" t="n">
        <x:v>499.04975898295044</x:v>
      </x:c>
      <x:c r="J176" s="42" t="n">
        <x:v>1.0840538562923687</x:v>
      </x:c>
      <x:c r="K176" s="42" t="n">
        <x:v>0.00041055260553004034</x:v>
      </x:c>
      <x:c r="L176" s="26" t="n">
        <x:v>6586</x:v>
      </x:c>
      <x:c r="M176" s="26" t="n">
        <x:v>7404</x:v>
      </x:c>
      <x:c r="N176" s="26" t="n">
        <x:v>8226</x:v>
      </x:c>
    </x:row>
    <x:row r="177">
      <x:c r="A177" s="20" t="str">
        <x:v>T0_TABLE_BLOCK</x:v>
      </x:c>
      <x:c r="B177" s="20" t="str">
        <x:v>NYC-V2-R01</x:v>
      </x:c>
      <x:c r="C177" s="20" t="str">
        <x:v>V2</x:v>
      </x:c>
      <x:c r="D177" s="20" t="str">
        <x:v>nonfamily_households</x:v>
      </x:c>
      <x:c r="E177" s="20" t="str">
        <x:v>household</x:v>
      </x:c>
      <x:c r="F177" s="50" t="n">
        <x:v>3053</x:v>
      </x:c>
      <x:c r="G177" s="50" t="n">
        <x:v>273.25821122154775</x:v>
      </x:c>
      <x:c r="H177" s="50" t="n">
        <x:v>3052.885</x:v>
      </x:c>
      <x:c r="I177" s="50" t="n">
        <x:v>267.1114079916455</x:v>
      </x:c>
      <x:c r="J177" s="42" t="n">
        <x:v>0.9775055131832117</x:v>
      </x:c>
      <x:c r="K177" s="42" t="n">
        <x:v>-0.00042084737174299925</x:v>
      </x:c>
      <x:c r="L177" s="26" t="n">
        <x:v>2616</x:v>
      </x:c>
      <x:c r="M177" s="26" t="n">
        <x:v>3049</x:v>
      </x:c>
      <x:c r="N177" s="26" t="n">
        <x:v>3508</x:v>
      </x:c>
    </x:row>
    <x:row r="178">
      <x:c r="A178" s="20" t="str">
        <x:v>T0_TABLE_BLOCK</x:v>
      </x:c>
      <x:c r="B178" s="20" t="str">
        <x:v>NYC-V2-R01</x:v>
      </x:c>
      <x:c r="C178" s="20" t="str">
        <x:v>V2</x:v>
      </x:c>
      <x:c r="D178" s="20" t="str">
        <x:v>living_alone_households</x:v>
      </x:c>
      <x:c r="E178" s="20" t="str">
        <x:v>household</x:v>
      </x:c>
      <x:c r="F178" s="50" t="n">
        <x:v>2641</x:v>
      </x:c>
      <x:c r="G178" s="50" t="n">
        <x:v>273.2109990465245</x:v>
      </x:c>
      <x:c r="H178" s="50" t="n">
        <x:v>2640.92</x:v>
      </x:c>
      <x:c r="I178" s="50" t="n">
        <x:v>263.2050959281042</x:v>
      </x:c>
      <x:c r="J178" s="42" t="n">
        <x:v>0.9633766460598594</x:v>
      </x:c>
      <x:c r="K178" s="42" t="n">
        <x:v>-0.000292813979960976</x:v>
      </x:c>
      <x:c r="L178" s="26" t="n">
        <x:v>2213</x:v>
      </x:c>
      <x:c r="M178" s="26" t="n">
        <x:v>2644</x:v>
      </x:c>
      <x:c r="N178" s="26" t="n">
        <x:v>3067</x:v>
      </x:c>
    </x:row>
    <x:row r="179">
      <x:c r="A179" s="20" t="str">
        <x:v>T0_TABLE_BLOCK</x:v>
      </x:c>
      <x:c r="B179" s="20" t="str">
        <x:v>NYC-V2-R01</x:v>
      </x:c>
      <x:c r="C179" s="20" t="str">
        <x:v>V2</x:v>
      </x:c>
      <x:c r="D179" s="20" t="str">
        <x:v>households_with_children</x:v>
      </x:c>
      <x:c r="E179" s="20" t="str">
        <x:v>household</x:v>
      </x:c>
      <x:c r="F179" s="50" t="n">
        <x:v>3714</x:v>
      </x:c>
      <x:c r="G179" s="50" t="n">
        <x:v>328.80875900742063</x:v>
      </x:c>
      <x:c r="H179" s="50" t="n">
        <x:v>3713.928</x:v>
      </x:c>
      <x:c r="I179" s="50" t="n">
        <x:v>328.82187372594393</x:v>
      </x:c>
      <x:c r="J179" s="42" t="n">
        <x:v>1.0000398855509898</x:v>
      </x:c>
      <x:c r="K179" s="42" t="n">
        <x:v>-0.00021897226891845513</x:v>
      </x:c>
      <x:c r="L179" s="26" t="n">
        <x:v>3183</x:v>
      </x:c>
      <x:c r="M179" s="26" t="n">
        <x:v>3706</x:v>
      </x:c>
      <x:c r="N179" s="26" t="n">
        <x:v>4284</x:v>
      </x:c>
    </x:row>
    <x:row r="180">
      <x:c r="A180" s="20" t="str">
        <x:v>T0_TABLE_BLOCK</x:v>
      </x:c>
      <x:c r="B180" s="20" t="str">
        <x:v>NYC-V2-R01</x:v>
      </x:c>
      <x:c r="C180" s="20" t="str">
        <x:v>V2</x:v>
      </x:c>
      <x:c r="D180" s="20" t="str">
        <x:v>households_with_age65</x:v>
      </x:c>
      <x:c r="E180" s="20" t="str">
        <x:v>household</x:v>
      </x:c>
      <x:c r="F180" s="50" t="n">
        <x:v>3079</x:v>
      </x:c>
      <x:c r="G180" s="50" t="n">
        <x:v>334.2229794613171</x:v>
      </x:c>
      <x:c r="H180" s="50" t="n">
        <x:v>3078.749</x:v>
      </x:c>
      <x:c r="I180" s="50" t="n">
        <x:v>339.58679183411743</x:v>
      </x:c>
      <x:c r="J180" s="42" t="n">
        <x:v>1.0160486043821566</x:v>
      </x:c>
      <x:c r="K180" s="42" t="n">
        <x:v>-0.0007509956389137343</x:v>
      </x:c>
      <x:c r="L180" s="26" t="n">
        <x:v>2517</x:v>
      </x:c>
      <x:c r="M180" s="26" t="n">
        <x:v>3082</x:v>
      </x:c>
      <x:c r="N180" s="26" t="n">
        <x:v>3633</x:v>
      </x:c>
    </x:row>
    <x:row r="181">
      <x:c r="A181" s="20" t="str">
        <x:v>T0_TABLE_BLOCK</x:v>
      </x:c>
      <x:c r="B181" s="20" t="str">
        <x:v>NYC-V2-R01</x:v>
      </x:c>
      <x:c r="C181" s="20" t="str">
        <x:v>V2</x:v>
      </x:c>
      <x:c r="D181" s="20" t="str">
        <x:v>age65_one_person_households</x:v>
      </x:c>
      <x:c r="E181" s="20" t="str">
        <x:v>household</x:v>
      </x:c>
      <x:c r="F181" s="50" t="n">
        <x:v>1092</x:v>
      </x:c>
      <x:c r="G181" s="50" t="n">
        <x:v>218.41451416973186</x:v>
      </x:c>
      <x:c r="H181" s="50" t="n">
        <x:v>1091.935</x:v>
      </x:c>
      <x:c r="I181" s="50" t="n">
        <x:v>224.22988609196773</x:v>
      </x:c>
      <x:c r="J181" s="42" t="n">
        <x:v>1.0266253913772263</x:v>
      </x:c>
      <x:c r="K181" s="42" t="n">
        <x:v>-0.00029759927011783886</x:v>
      </x:c>
      <x:c r="L181" s="26" t="n">
        <x:v>723</x:v>
      </x:c>
      <x:c r="M181" s="26" t="n">
        <x:v>1083</x:v>
      </x:c>
      <x:c r="N181" s="26" t="n">
        <x:v>1454</x:v>
      </x:c>
    </x:row>
    <x:row r="182">
      <x:c r="A182" s="20" t="str">
        <x:v>T0_TABLE_BLOCK</x:v>
      </x:c>
      <x:c r="B182" s="20" t="str">
        <x:v>NYC-V2-R01</x:v>
      </x:c>
      <x:c r="C182" s="20" t="str">
        <x:v>V2</x:v>
      </x:c>
      <x:c r="D182" s="20" t="str">
        <x:v>no_vehicle_households</x:v>
      </x:c>
      <x:c r="E182" s="20" t="str">
        <x:v>household</x:v>
      </x:c>
      <x:c r="F182" s="50" t="n">
        <x:v>8040</x:v>
      </x:c>
      <x:c r="G182" s="50" t="n">
        <x:v>371.7507892531437</x:v>
      </x:c>
      <x:c r="H182" s="50" t="n">
        <x:v>8040.181</x:v>
      </x:c>
      <x:c r="I182" s="50" t="n">
        <x:v>372.0005384937496</x:v>
      </x:c>
      <x:c r="J182" s="42" t="n">
        <x:v>1.0006718189922548</x:v>
      </x:c>
      <x:c r="K182" s="42" t="n">
        <x:v>0.000486885314657216</x:v>
      </x:c>
      <x:c r="L182" s="26" t="n">
        <x:v>7430</x:v>
      </x:c>
      <x:c r="M182" s="26" t="n">
        <x:v>8041</x:v>
      </x:c>
      <x:c r="N182" s="26" t="n">
        <x:v>8651</x:v>
      </x:c>
    </x:row>
    <x:row r="183">
      <x:c r="A183" s="20" t="str">
        <x:v>T0_TABLE_BLOCK</x:v>
      </x:c>
      <x:c r="B183" s="20" t="str">
        <x:v>NYC-V2-R01</x:v>
      </x:c>
      <x:c r="C183" s="20" t="str">
        <x:v>V2</x:v>
      </x:c>
      <x:c r="D183" s="20" t="str">
        <x:v>limited_english_households</x:v>
      </x:c>
      <x:c r="E183" s="20" t="str">
        <x:v>household</x:v>
      </x:c>
      <x:c r="F183" s="50" t="n">
        <x:v>2896</x:v>
      </x:c>
      <x:c r="G183" s="50" t="n">
        <x:v>377.7273000131568</x:v>
      </x:c>
      <x:c r="H183" s="50" t="n">
        <x:v>2896.023</x:v>
      </x:c>
      <x:c r="I183" s="50" t="n">
        <x:v>377.28722761726664</x:v>
      </x:c>
      <x:c r="J183" s="42" t="n">
        <x:v>0.9988349468098418</x:v>
      </x:c>
      <x:c r="K183" s="42" t="n">
        <x:v>0.00006089048898328799</x:v>
      </x:c>
      <x:c r="L183" s="26" t="n">
        <x:v>2276</x:v>
      </x:c>
      <x:c r="M183" s="26" t="n">
        <x:v>2897</x:v>
      </x:c>
      <x:c r="N183" s="26" t="n">
        <x:v>3516</x:v>
      </x:c>
    </x:row>
    <x:row r="184">
      <x:c r="A184" s="20" t="str">
        <x:v>T0_TABLE_BLOCK</x:v>
      </x:c>
      <x:c r="B184" s="20" t="str">
        <x:v>NYC-V2-R01</x:v>
      </x:c>
      <x:c r="C184" s="20" t="str">
        <x:v>V2</x:v>
      </x:c>
      <x:c r="D184" s="20" t="str">
        <x:v>housing_units</x:v>
      </x:c>
      <x:c r="E184" s="20" t="str">
        <x:v>housing</x:v>
      </x:c>
      <x:c r="F184" s="50" t="n">
        <x:v>10547</x:v>
      </x:c>
      <x:c r="G184" s="50" t="n">
        <x:v>402.9718972831728</x:v>
      </x:c>
      <x:c r="H184" s="50" t="n">
        <x:v>10547.538</x:v>
      </x:c>
      <x:c r="I184" s="50" t="n">
        <x:v>409.0956315970531</x:v>
      </x:c>
      <x:c r="J184" s="42" t="n">
        <x:v>1.0151964302105592</x:v>
      </x:c>
      <x:c r="K184" s="42" t="n">
        <x:v>0.0013350806932881654</x:v>
      </x:c>
      <x:c r="L184" s="26" t="n">
        <x:v>9868</x:v>
      </x:c>
      <x:c r="M184" s="26" t="n">
        <x:v>10537</x:v>
      </x:c>
      <x:c r="N184" s="26" t="n">
        <x:v>11226</x:v>
      </x:c>
    </x:row>
    <x:row r="185">
      <x:c r="A185" s="20" t="str">
        <x:v>T0_TABLE_BLOCK</x:v>
      </x:c>
      <x:c r="B185" s="20" t="str">
        <x:v>NYC-V2-R01</x:v>
      </x:c>
      <x:c r="C185" s="20" t="str">
        <x:v>V2</x:v>
      </x:c>
      <x:c r="D185" s="20" t="str">
        <x:v>occupied_housing_units</x:v>
      </x:c>
      <x:c r="E185" s="20" t="str">
        <x:v>housing</x:v>
      </x:c>
      <x:c r="F185" s="50" t="n">
        <x:v>10462</x:v>
      </x:c>
      <x:c r="G185" s="50" t="n">
        <x:v>410.5093177992431</x:v>
      </x:c>
      <x:c r="H185" s="50" t="n">
        <x:v>10462.074</x:v>
      </x:c>
      <x:c r="I185" s="50" t="n">
        <x:v>416.804038044415</x:v>
      </x:c>
      <x:c r="J185" s="42" t="n">
        <x:v>1.0153339278117197</x:v>
      </x:c>
      <x:c r="K185" s="42" t="n">
        <x:v>0.00018026387414843794</x:v>
      </x:c>
      <x:c r="L185" s="26" t="n">
        <x:v>9769</x:v>
      </x:c>
      <x:c r="M185" s="26" t="n">
        <x:v>10458</x:v>
      </x:c>
      <x:c r="N185" s="26" t="n">
        <x:v>11149</x:v>
      </x:c>
    </x:row>
    <x:row r="186">
      <x:c r="A186" s="20" t="str">
        <x:v>T0_TABLE_BLOCK</x:v>
      </x:c>
      <x:c r="B186" s="20" t="str">
        <x:v>NYC-V2-R01</x:v>
      </x:c>
      <x:c r="C186" s="20" t="str">
        <x:v>V2</x:v>
      </x:c>
      <x:c r="D186" s="20" t="str">
        <x:v>vacant_housing_units</x:v>
      </x:c>
      <x:c r="E186" s="20" t="str">
        <x:v>housing</x:v>
      </x:c>
      <x:c r="F186" s="50" t="n">
        <x:v>85</x:v>
      </x:c>
      <x:c r="G186" s="50" t="n">
        <x:v>47.14074670600797</x:v>
      </x:c>
      <x:c r="H186" s="50" t="n">
        <x:v>85.464</x:v>
      </x:c>
      <x:c r="I186" s="50" t="n">
        <x:v>45.43510815496155</x:v>
      </x:c>
      <x:c r="J186" s="42" t="n">
        <x:v>0.9638181685647962</x:v>
      </x:c>
      <x:c r="K186" s="42" t="n">
        <x:v>0.009842864876403476</x:v>
      </x:c>
      <x:c r="L186" s="26" t="n">
        <x:v>13</x:v>
      </x:c>
      <x:c r="M186" s="26" t="n">
        <x:v>84</x:v>
      </x:c>
      <x:c r="N186" s="26" t="n">
        <x:v>163</x:v>
      </x:c>
    </x:row>
    <x:row r="187">
      <x:c r="A187" s="20" t="str">
        <x:v>T0_TABLE_BLOCK</x:v>
      </x:c>
      <x:c r="B187" s="20" t="str">
        <x:v>NYC-V2-R01</x:v>
      </x:c>
      <x:c r="C187" s="20" t="str">
        <x:v>V2</x:v>
      </x:c>
      <x:c r="D187" s="20" t="str">
        <x:v>owner_occupied_units</x:v>
      </x:c>
      <x:c r="E187" s="20" t="str">
        <x:v>housing</x:v>
      </x:c>
      <x:c r="F187" s="50" t="n">
        <x:v>429</x:v>
      </x:c>
      <x:c r="G187" s="50" t="n">
        <x:v>140.9941251160037</x:v>
      </x:c>
      <x:c r="H187" s="50" t="n">
        <x:v>429.141</x:v>
      </x:c>
      <x:c r="I187" s="50" t="n">
        <x:v>144.53733136860927</x:v>
      </x:c>
      <x:c r="J187" s="42" t="n">
        <x:v>1.0251301694286226</x:v>
      </x:c>
      <x:c r="K187" s="42" t="n">
        <x:v>0.0010000416675801991</x:v>
      </x:c>
      <x:c r="L187" s="26" t="n">
        <x:v>193</x:v>
      </x:c>
      <x:c r="M187" s="26" t="n">
        <x:v>429</x:v>
      </x:c>
      <x:c r="N187" s="26" t="n">
        <x:v>673</x:v>
      </x:c>
    </x:row>
    <x:row r="188">
      <x:c r="A188" s="20" t="str">
        <x:v>T0_TABLE_BLOCK</x:v>
      </x:c>
      <x:c r="B188" s="20" t="str">
        <x:v>NYC-V2-R01</x:v>
      </x:c>
      <x:c r="C188" s="20" t="str">
        <x:v>V2</x:v>
      </x:c>
      <x:c r="D188" s="20" t="str">
        <x:v>renter_occupied_units</x:v>
      </x:c>
      <x:c r="E188" s="20" t="str">
        <x:v>housing</x:v>
      </x:c>
      <x:c r="F188" s="50" t="n">
        <x:v>10033</x:v>
      </x:c>
      <x:c r="G188" s="50" t="n">
        <x:v>386.38232835492084</x:v>
      </x:c>
      <x:c r="H188" s="50" t="n">
        <x:v>10032.933</x:v>
      </x:c>
      <x:c r="I188" s="50" t="n">
        <x:v>384.6622044372471</x:v>
      </x:c>
      <x:c r="J188" s="42" t="n">
        <x:v>0.9955481299442513</x:v>
      </x:c>
      <x:c r="K188" s="42" t="n">
        <x:v>-0.00017340337557455088</x:v>
      </x:c>
      <x:c r="L188" s="26" t="n">
        <x:v>9403</x:v>
      </x:c>
      <x:c r="M188" s="26" t="n">
        <x:v>10032</x:v>
      </x:c>
      <x:c r="N188" s="26" t="n">
        <x:v>10666</x:v>
      </x:c>
    </x:row>
    <x:row r="189">
      <x:c r="A189" s="20" t="str">
        <x:v>T0_TABLE_BLOCK</x:v>
      </x:c>
      <x:c r="B189" s="20" t="str">
        <x:v>NYC-V2-R01</x:v>
      </x:c>
      <x:c r="C189" s="20" t="str">
        <x:v>V2</x:v>
      </x:c>
      <x:c r="D189" s="20" t="str">
        <x:v>one_unit_structures</x:v>
      </x:c>
      <x:c r="E189" s="20" t="str">
        <x:v>housing</x:v>
      </x:c>
      <x:c r="F189" s="50" t="n">
        <x:v>330</x:v>
      </x:c>
      <x:c r="G189" s="50" t="n">
        <x:v>113.64204693968678</x:v>
      </x:c>
      <x:c r="H189" s="50" t="n">
        <x:v>330.029</x:v>
      </x:c>
      <x:c r="I189" s="50" t="n">
        <x:v>113.51507314374963</x:v>
      </x:c>
      <x:c r="J189" s="42" t="n">
        <x:v>0.9988826864760317</x:v>
      </x:c>
      <x:c r="K189" s="42" t="n">
        <x:v>0.00025518723730299863</x:v>
      </x:c>
      <x:c r="L189" s="26" t="n">
        <x:v>144</x:v>
      </x:c>
      <x:c r="M189" s="26" t="n">
        <x:v>329</x:v>
      </x:c>
      <x:c r="N189" s="26" t="n">
        <x:v>515</x:v>
      </x:c>
    </x:row>
    <x:row r="190">
      <x:c r="A190" s="20" t="str">
        <x:v>T0_TABLE_BLOCK</x:v>
      </x:c>
      <x:c r="B190" s="20" t="str">
        <x:v>NYC-V2-R01</x:v>
      </x:c>
      <x:c r="C190" s="20" t="str">
        <x:v>V2</x:v>
      </x:c>
      <x:c r="D190" s="20" t="str">
        <x:v>two_to_four_unit_structures</x:v>
      </x:c>
      <x:c r="E190" s="20" t="str">
        <x:v>housing</x:v>
      </x:c>
      <x:c r="F190" s="50" t="n">
        <x:v>995</x:v>
      </x:c>
      <x:c r="G190" s="50" t="n">
        <x:v>220.3075075029853</x:v>
      </x:c>
      <x:c r="H190" s="50" t="n">
        <x:v>994.917</x:v>
      </x:c>
      <x:c r="I190" s="50" t="n">
        <x:v>216.33868016500318</x:v>
      </x:c>
      <x:c r="J190" s="42" t="n">
        <x:v>0.981985056328921</x:v>
      </x:c>
      <x:c r="K190" s="42" t="n">
        <x:v>-0.00037674612608853237</x:v>
      </x:c>
      <x:c r="L190" s="26" t="n">
        <x:v>639</x:v>
      </x:c>
      <x:c r="M190" s="26" t="n">
        <x:v>991</x:v>
      </x:c>
      <x:c r="N190" s="26" t="n">
        <x:v>1349</x:v>
      </x:c>
    </x:row>
    <x:row r="191">
      <x:c r="A191" s="20" t="str">
        <x:v>T0_TABLE_BLOCK</x:v>
      </x:c>
      <x:c r="B191" s="20" t="str">
        <x:v>NYC-V2-R01</x:v>
      </x:c>
      <x:c r="C191" s="20" t="str">
        <x:v>V2</x:v>
      </x:c>
      <x:c r="D191" s="20" t="str">
        <x:v>five_to_nineteen_unit_structures</x:v>
      </x:c>
      <x:c r="E191" s="20" t="str">
        <x:v>housing</x:v>
      </x:c>
      <x:c r="F191" s="50" t="n">
        <x:v>1569</x:v>
      </x:c>
      <x:c r="G191" s="50" t="n">
        <x:v>291.96993135018386</x:v>
      </x:c>
      <x:c r="H191" s="50" t="n">
        <x:v>1568.755</x:v>
      </x:c>
      <x:c r="I191" s="50" t="n">
        <x:v>276.6951376048632</x:v>
      </x:c>
      <x:c r="J191" s="42" t="n">
        <x:v>0.9476836752514753</x:v>
      </x:c>
      <x:c r="K191" s="42" t="n">
        <x:v>-0.0008391275049006398</x:v>
      </x:c>
      <x:c r="L191" s="26" t="n">
        <x:v>1125</x:v>
      </x:c>
      <x:c r="M191" s="26" t="n">
        <x:v>1566</x:v>
      </x:c>
      <x:c r="N191" s="26" t="n">
        <x:v>2043</x:v>
      </x:c>
    </x:row>
    <x:row r="192">
      <x:c r="A192" s="20" t="str">
        <x:v>T0_TABLE_BLOCK</x:v>
      </x:c>
      <x:c r="B192" s="20" t="str">
        <x:v>NYC-V2-R01</x:v>
      </x:c>
      <x:c r="C192" s="20" t="str">
        <x:v>V2</x:v>
      </x:c>
      <x:c r="D192" s="20" t="str">
        <x:v>twenty_to_forty_nine_unit_structures</x:v>
      </x:c>
      <x:c r="E192" s="20" t="str">
        <x:v>housing</x:v>
      </x:c>
      <x:c r="F192" s="50" t="n">
        <x:v>4903</x:v>
      </x:c>
      <x:c r="G192" s="50" t="n">
        <x:v>404.0765653653645</x:v>
      </x:c>
      <x:c r="H192" s="50" t="n">
        <x:v>4888.018</x:v>
      </x:c>
      <x:c r="I192" s="50" t="n">
        <x:v>365.2222788782045</x:v>
      </x:c>
      <x:c r="J192" s="42" t="n">
        <x:v>0.9038442468148875</x:v>
      </x:c>
      <x:c r="K192" s="42" t="n">
        <x:v>-0.037077131623441964</x:v>
      </x:c>
      <x:c r="L192" s="26" t="n">
        <x:v>4273</x:v>
      </x:c>
      <x:c r="M192" s="26" t="n">
        <x:v>4901</x:v>
      </x:c>
      <x:c r="N192" s="26" t="n">
        <x:v>5459</x:v>
      </x:c>
    </x:row>
    <x:row r="193">
      <x:c r="A193" s="20" t="str">
        <x:v>T0_TABLE_BLOCK</x:v>
      </x:c>
      <x:c r="B193" s="20" t="str">
        <x:v>NYC-V2-R01</x:v>
      </x:c>
      <x:c r="C193" s="20" t="str">
        <x:v>V2</x:v>
      </x:c>
      <x:c r="D193" s="20" t="str">
        <x:v>fifty_plus_unit_structures</x:v>
      </x:c>
      <x:c r="E193" s="20" t="str">
        <x:v>housing</x:v>
      </x:c>
      <x:c r="F193" s="50" t="n">
        <x:v>2654</x:v>
      </x:c>
      <x:c r="G193" s="50" t="n">
        <x:v>383.03516735601954</x:v>
      </x:c>
      <x:c r="H193" s="50" t="n">
        <x:v>2653.98</x:v>
      </x:c>
      <x:c r="I193" s="50" t="n">
        <x:v>346.7872994084862</x:v>
      </x:c>
      <x:c r="J193" s="42" t="n">
        <x:v>0.9053667364337801</x:v>
      </x:c>
      <x:c r="K193" s="42" t="n">
        <x:v>-0.00005221452677057305</x:v>
      </x:c>
      <x:c r="L193" s="26" t="n">
        <x:v>2091</x:v>
      </x:c>
      <x:c r="M193" s="26" t="n">
        <x:v>2655</x:v>
      </x:c>
      <x:c r="N193" s="26" t="n">
        <x:v>3217</x:v>
      </x:c>
    </x:row>
    <x:row r="194">
      <x:c r="A194" s="20" t="str">
        <x:v>T0_TABLE_BLOCK</x:v>
      </x:c>
      <x:c r="B194" s="20" t="str">
        <x:v>NYC-V2-R01</x:v>
      </x:c>
      <x:c r="C194" s="20" t="str">
        <x:v>V2</x:v>
      </x:c>
      <x:c r="D194" s="20" t="str">
        <x:v>mobile_or_other_units</x:v>
      </x:c>
      <x:c r="E194" s="20" t="str">
        <x:v>housing</x:v>
      </x:c>
      <x:c r="F194" s="50" t="n">
        <x:v>11</x:v>
      </x:c>
      <x:c r="G194" s="50" t="n">
        <x:v>51.005901430767246</x:v>
      </x:c>
      <x:c r="H194" s="50" t="n">
        <x:v>26.375</x:v>
      </x:c>
      <x:c r="I194" s="50" t="n">
        <x:v>33.445342963796406</x:v>
      </x:c>
      <x:c r="J194" s="42" t="n">
        <x:v>0.6557151628658768</x:v>
      </x:c>
      <x:c r="K194" s="42" t="n">
        <x:v>0.3014357078046983</x:v>
      </x:c>
      <x:c r="L194" s="26" t="n">
        <x:v>0</x:v>
      </x:c>
      <x:c r="M194" s="26" t="n">
        <x:v>12</x:v>
      </x:c>
      <x:c r="N194" s="26" t="n">
        <x:v>94</x:v>
      </x:c>
    </x:row>
    <x:row r="195">
      <x:c r="A195" s="20" t="str">
        <x:v>T0_TABLE_BLOCK</x:v>
      </x:c>
      <x:c r="B195" s="20" t="str">
        <x:v>NYC-V2-R01</x:v>
      </x:c>
      <x:c r="C195" s="20" t="str">
        <x:v>V2</x:v>
      </x:c>
      <x:c r="D195" s="20" t="str">
        <x:v>electric_heat_households</x:v>
      </x:c>
      <x:c r="E195" s="20" t="str">
        <x:v>housing</x:v>
      </x:c>
      <x:c r="F195" s="50" t="n">
        <x:v>2354</x:v>
      </x:c>
      <x:c r="G195" s="50" t="n">
        <x:v>278.36298245276794</x:v>
      </x:c>
      <x:c r="H195" s="50" t="n">
        <x:v>2353.957</x:v>
      </x:c>
      <x:c r="I195" s="50" t="n">
        <x:v>282.64034162467624</x:v>
      </x:c>
      <x:c r="J195" s="42" t="n">
        <x:v>1.01536612064657</x:v>
      </x:c>
      <x:c r="K195" s="42" t="n">
        <x:v>-0.00015447456274979453</x:v>
      </x:c>
      <x:c r="L195" s="26" t="n">
        <x:v>1870</x:v>
      </x:c>
      <x:c r="M195" s="26" t="n">
        <x:v>2342</x:v>
      </x:c>
      <x:c r="N195" s="26" t="n">
        <x:v>2835</x:v>
      </x:c>
    </x:row>
    <x:row r="196">
      <x:c r="A196" s="20" t="str">
        <x:v>T0_TABLE_BLOCK</x:v>
      </x:c>
      <x:c r="B196" s="20" t="str">
        <x:v>NYC-V2-R01</x:v>
      </x:c>
      <x:c r="C196" s="20" t="str">
        <x:v>V2</x:v>
      </x:c>
      <x:c r="D196" s="20" t="str">
        <x:v>group_quarters_population</x:v>
      </x:c>
      <x:c r="E196" s="20" t="str">
        <x:v>population</x:v>
      </x:c>
      <x:c r="F196" s="50" t="n">
        <x:v>958</x:v>
      </x:c>
      <x:c r="G196" s="50" t="n">
        <x:v>28.324018076537094</x:v>
      </x:c>
      <x:c r="H196" s="50" t="n">
        <x:v>957.993</x:v>
      </x:c>
      <x:c r="I196" s="50" t="n">
        <x:v>27.56168713264117</x:v>
      </x:c>
      <x:c r="J196" s="42" t="n">
        <x:v>0.9730853531502502</x:v>
      </x:c>
      <x:c r="K196" s="42" t="n">
        <x:v>-0.00024714007670213935</x:v>
      </x:c>
      <x:c r="L196" s="26" t="n">
        <x:v>913</x:v>
      </x:c>
      <x:c r="M196" s="26" t="n">
        <x:v>958</x:v>
      </x:c>
      <x:c r="N196" s="26" t="n">
        <x:v>1005</x:v>
      </x:c>
    </x:row>
    <x:row r="197">
      <x:c r="A197" s="20" t="str">
        <x:v>T0_TABLE_BLOCK</x:v>
      </x:c>
      <x:c r="B197" s="20" t="str">
        <x:v>NYC-V2-R02</x:v>
      </x:c>
      <x:c r="C197" s="20" t="str">
        <x:v>V2</x:v>
      </x:c>
      <x:c r="D197" s="20" t="str">
        <x:v>acs_population</x:v>
      </x:c>
      <x:c r="E197" s="20" t="str">
        <x:v>population</x:v>
      </x:c>
      <x:c r="F197" s="50" t="n">
        <x:v>29733</x:v>
      </x:c>
      <x:c r="G197" s="50" t="n">
        <x:v>1298.049844959738</x:v>
      </x:c>
      <x:c r="H197" s="50" t="n">
        <x:v>29733.531</x:v>
      </x:c>
      <x:c r="I197" s="50" t="n">
        <x:v>1332.493683457995</x:v>
      </x:c>
      <x:c r="J197" s="42" t="n">
        <x:v>1.0265350661471135</x:v>
      </x:c>
      <x:c r="K197" s="42" t="n">
        <x:v>0.00040907520004789167</x:v>
      </x:c>
      <x:c r="L197" s="26" t="n">
        <x:v>27538</x:v>
      </x:c>
      <x:c r="M197" s="26" t="n">
        <x:v>29763</x:v>
      </x:c>
      <x:c r="N197" s="26" t="n">
        <x:v>31840</x:v>
      </x:c>
    </x:row>
    <x:row r="198">
      <x:c r="A198" s="20" t="str">
        <x:v>T0_TABLE_BLOCK</x:v>
      </x:c>
      <x:c r="B198" s="20" t="str">
        <x:v>NYC-V2-R02</x:v>
      </x:c>
      <x:c r="C198" s="20" t="str">
        <x:v>V2</x:v>
      </x:c>
      <x:c r="D198" s="20" t="str">
        <x:v>age_under_18</x:v>
      </x:c>
      <x:c r="E198" s="20" t="str">
        <x:v>population</x:v>
      </x:c>
      <x:c r="F198" s="50" t="n">
        <x:v>5104</x:v>
      </x:c>
      <x:c r="G198" s="50" t="n">
        <x:v>531.2096102293332</x:v>
      </x:c>
      <x:c r="H198" s="50" t="n">
        <x:v>5104.295</x:v>
      </x:c>
      <x:c r="I198" s="50" t="n">
        <x:v>534.4461794172485</x:v>
      </x:c>
      <x:c r="J198" s="42" t="n">
        <x:v>1.0060928287545814</x:v>
      </x:c>
      <x:c r="K198" s="42" t="n">
        <x:v>0.000555336338649287</x:v>
      </x:c>
      <x:c r="L198" s="26" t="n">
        <x:v>4164</x:v>
      </x:c>
      <x:c r="M198" s="26" t="n">
        <x:v>5107</x:v>
      </x:c>
      <x:c r="N198" s="26" t="n">
        <x:v>5960</x:v>
      </x:c>
    </x:row>
    <x:row r="199">
      <x:c r="A199" s="20" t="str">
        <x:v>T0_TABLE_BLOCK</x:v>
      </x:c>
      <x:c r="B199" s="20" t="str">
        <x:v>NYC-V2-R02</x:v>
      </x:c>
      <x:c r="C199" s="20" t="str">
        <x:v>V2</x:v>
      </x:c>
      <x:c r="D199" s="20" t="str">
        <x:v>age_65_plus</x:v>
      </x:c>
      <x:c r="E199" s="20" t="str">
        <x:v>population</x:v>
      </x:c>
      <x:c r="F199" s="50" t="n">
        <x:v>5759</x:v>
      </x:c>
      <x:c r="G199" s="50" t="n">
        <x:v>343.94141943069314</x:v>
      </x:c>
      <x:c r="H199" s="50" t="n">
        <x:v>5760.561</x:v>
      </x:c>
      <x:c r="I199" s="50" t="n">
        <x:v>337.379725766618</x:v>
      </x:c>
      <x:c r="J199" s="42" t="n">
        <x:v>0.9809220602888237</x:v>
      </x:c>
      <x:c r="K199" s="42" t="n">
        <x:v>0.004538563580343216</x:v>
      </x:c>
      <x:c r="L199" s="26" t="n">
        <x:v>5223</x:v>
      </x:c>
      <x:c r="M199" s="26" t="n">
        <x:v>5752</x:v>
      </x:c>
      <x:c r="N199" s="26" t="n">
        <x:v>6339</x:v>
      </x:c>
    </x:row>
    <x:row r="200">
      <x:c r="A200" s="20" t="str">
        <x:v>T0_TABLE_BLOCK</x:v>
      </x:c>
      <x:c r="B200" s="20" t="str">
        <x:v>NYC-V2-R02</x:v>
      </x:c>
      <x:c r="C200" s="20" t="str">
        <x:v>V2</x:v>
      </x:c>
      <x:c r="D200" s="20" t="str">
        <x:v>age_75_plus</x:v>
      </x:c>
      <x:c r="E200" s="20" t="str">
        <x:v>population</x:v>
      </x:c>
      <x:c r="F200" s="50" t="n">
        <x:v>2055</x:v>
      </x:c>
      <x:c r="G200" s="50" t="n">
        <x:v>195.34418343017023</x:v>
      </x:c>
      <x:c r="H200" s="50" t="n">
        <x:v>2054.959</x:v>
      </x:c>
      <x:c r="I200" s="50" t="n">
        <x:v>193.22289306757986</x:v>
      </x:c>
      <x:c r="J200" s="42" t="n">
        <x:v>0.989140754921179</x:v>
      </x:c>
      <x:c r="K200" s="42" t="n">
        <x:v>-0.00020988595247743139</x:v>
      </x:c>
      <x:c r="L200" s="26" t="n">
        <x:v>1739</x:v>
      </x:c>
      <x:c r="M200" s="26" t="n">
        <x:v>2058</x:v>
      </x:c>
      <x:c r="N200" s="26" t="n">
        <x:v>2369</x:v>
      </x:c>
    </x:row>
    <x:row r="201">
      <x:c r="A201" s="20" t="str">
        <x:v>T0_TABLE_BLOCK</x:v>
      </x:c>
      <x:c r="B201" s="20" t="str">
        <x:v>NYC-V2-R02</x:v>
      </x:c>
      <x:c r="C201" s="20" t="str">
        <x:v>V2</x:v>
      </x:c>
      <x:c r="D201" s="20" t="str">
        <x:v>age_85_plus</x:v>
      </x:c>
      <x:c r="E201" s="20" t="str">
        <x:v>population</x:v>
      </x:c>
      <x:c r="F201" s="50" t="n">
        <x:v>552</x:v>
      </x:c>
      <x:c r="G201" s="50" t="n">
        <x:v>105.49099487634004</x:v>
      </x:c>
      <x:c r="H201" s="50" t="n">
        <x:v>552.012</x:v>
      </x:c>
      <x:c r="I201" s="50" t="n">
        <x:v>108.11877508335694</x:v>
      </x:c>
      <x:c r="J201" s="42" t="n">
        <x:v>1.0249099954939023</x:v>
      </x:c>
      <x:c r="K201" s="42" t="n">
        <x:v>0.00011375378546775865</x:v>
      </x:c>
      <x:c r="L201" s="26" t="n">
        <x:v>367</x:v>
      </x:c>
      <x:c r="M201" s="26" t="n">
        <x:v>552</x:v>
      </x:c>
      <x:c r="N201" s="26" t="n">
        <x:v>727</x:v>
      </x:c>
    </x:row>
    <x:row r="202">
      <x:c r="A202" s="20" t="str">
        <x:v>T0_TABLE_BLOCK</x:v>
      </x:c>
      <x:c r="B202" s="20" t="str">
        <x:v>NYC-V2-R02</x:v>
      </x:c>
      <x:c r="C202" s="20" t="str">
        <x:v>V2</x:v>
      </x:c>
      <x:c r="D202" s="20" t="str">
        <x:v>civilian_noninstitutionalized</x:v>
      </x:c>
      <x:c r="E202" s="20" t="str">
        <x:v>disability</x:v>
      </x:c>
      <x:c r="F202" s="50" t="n">
        <x:v>29472</x:v>
      </x:c>
      <x:c r="G202" s="50" t="n">
        <x:v>1298.8511654535325</x:v>
      </x:c>
      <x:c r="H202" s="50" t="n">
        <x:v>28856.836</x:v>
      </x:c>
      <x:c r="I202" s="50" t="n">
        <x:v>1095.9552632489354</x:v>
      </x:c>
      <x:c r="J202" s="42" t="n">
        <x:v>0.8437881817400148</x:v>
      </x:c>
      <x:c r="K202" s="42" t="n">
        <x:v>-0.473621625296227</x:v>
      </x:c>
      <x:c r="L202" s="26" t="n">
        <x:v>27067</x:v>
      </x:c>
      <x:c r="M202" s="26" t="n">
        <x:v>28882</x:v>
      </x:c>
      <x:c r="N202" s="26" t="n">
        <x:v>30578</x:v>
      </x:c>
    </x:row>
    <x:row r="203">
      <x:c r="A203" s="20" t="str">
        <x:v>T0_TABLE_BLOCK</x:v>
      </x:c>
      <x:c r="B203" s="20" t="str">
        <x:v>NYC-V2-R02</x:v>
      </x:c>
      <x:c r="C203" s="20" t="str">
        <x:v>V2</x:v>
      </x:c>
      <x:c r="D203" s="20" t="str">
        <x:v>any_disability</x:v>
      </x:c>
      <x:c r="E203" s="20" t="str">
        <x:v>disability</x:v>
      </x:c>
      <x:c r="F203" s="50" t="n">
        <x:v>3715</x:v>
      </x:c>
      <x:c r="G203" s="50" t="n">
        <x:v>295.7860713421104</x:v>
      </x:c>
      <x:c r="H203" s="50" t="n">
        <x:v>3715.304</x:v>
      </x:c>
      <x:c r="I203" s="50" t="n">
        <x:v>301.1496117757296</x:v>
      </x:c>
      <x:c r="J203" s="42" t="n">
        <x:v>1.0181331744570747</x:v>
      </x:c>
      <x:c r="K203" s="42" t="n">
        <x:v>0.0010277698291224692</x:v>
      </x:c>
      <x:c r="L203" s="26" t="n">
        <x:v>3212</x:v>
      </x:c>
      <x:c r="M203" s="26" t="n">
        <x:v>3705</x:v>
      </x:c>
      <x:c r="N203" s="26" t="n">
        <x:v>4209</x:v>
      </x:c>
    </x:row>
    <x:row r="204">
      <x:c r="A204" s="20" t="str">
        <x:v>T0_TABLE_BLOCK</x:v>
      </x:c>
      <x:c r="B204" s="20" t="str">
        <x:v>NYC-V2-R02</x:v>
      </x:c>
      <x:c r="C204" s="20" t="str">
        <x:v>V2</x:v>
      </x:c>
      <x:c r="D204" s="20" t="str">
        <x:v>disability_under_18</x:v>
      </x:c>
      <x:c r="E204" s="20" t="str">
        <x:v>disability</x:v>
      </x:c>
      <x:c r="F204" s="50" t="n">
        <x:v>387</x:v>
      </x:c>
      <x:c r="G204" s="50" t="n">
        <x:v>114.48537024441158</x:v>
      </x:c>
      <x:c r="H204" s="50" t="n">
        <x:v>387.125</x:v>
      </x:c>
      <x:c r="I204" s="50" t="n">
        <x:v>111.78188836106486</x:v>
      </x:c>
      <x:c r="J204" s="42" t="n">
        <x:v>0.976385787305617</x:v>
      </x:c>
      <x:c r="K204" s="42" t="n">
        <x:v>0.001091842562356579</x:v>
      </x:c>
      <x:c r="L204" s="26" t="n">
        <x:v>204</x:v>
      </x:c>
      <x:c r="M204" s="26" t="n">
        <x:v>389</x:v>
      </x:c>
      <x:c r="N204" s="26" t="n">
        <x:v>567</x:v>
      </x:c>
    </x:row>
    <x:row r="205">
      <x:c r="A205" s="20" t="str">
        <x:v>T0_TABLE_BLOCK</x:v>
      </x:c>
      <x:c r="B205" s="20" t="str">
        <x:v>NYC-V2-R02</x:v>
      </x:c>
      <x:c r="C205" s="20" t="str">
        <x:v>V2</x:v>
      </x:c>
      <x:c r="D205" s="20" t="str">
        <x:v>disability_18_64</x:v>
      </x:c>
      <x:c r="E205" s="20" t="str">
        <x:v>disability</x:v>
      </x:c>
      <x:c r="F205" s="50" t="n">
        <x:v>1482</x:v>
      </x:c>
      <x:c r="G205" s="50" t="n">
        <x:v>195.66246446367785</x:v>
      </x:c>
      <x:c r="H205" s="50" t="n">
        <x:v>1482.05</x:v>
      </x:c>
      <x:c r="I205" s="50" t="n">
        <x:v>201.52011278246115</x:v>
      </x:c>
      <x:c r="J205" s="42" t="n">
        <x:v>1.0299375168090592</x:v>
      </x:c>
      <x:c r="K205" s="42" t="n">
        <x:v>0.0002555421150245011</x:v>
      </x:c>
      <x:c r="L205" s="26" t="n">
        <x:v>1136</x:v>
      </x:c>
      <x:c r="M205" s="26" t="n">
        <x:v>1485</x:v>
      </x:c>
      <x:c r="N205" s="26" t="n">
        <x:v>1816</x:v>
      </x:c>
    </x:row>
    <x:row r="206">
      <x:c r="A206" s="20" t="str">
        <x:v>T0_TABLE_BLOCK</x:v>
      </x:c>
      <x:c r="B206" s="20" t="str">
        <x:v>NYC-V2-R02</x:v>
      </x:c>
      <x:c r="C206" s="20" t="str">
        <x:v>V2</x:v>
      </x:c>
      <x:c r="D206" s="20" t="str">
        <x:v>disability_65_plus</x:v>
      </x:c>
      <x:c r="E206" s="20" t="str">
        <x:v>disability</x:v>
      </x:c>
      <x:c r="F206" s="50" t="n">
        <x:v>1846</x:v>
      </x:c>
      <x:c r="G206" s="50" t="n">
        <x:v>188.32870200795205</x:v>
      </x:c>
      <x:c r="H206" s="50" t="n">
        <x:v>1846.129</x:v>
      </x:c>
      <x:c r="I206" s="50" t="n">
        <x:v>194.65604366249286</x:v>
      </x:c>
      <x:c r="J206" s="42" t="n">
        <x:v>1.0335973305559853</x:v>
      </x:c>
      <x:c r="K206" s="42" t="n">
        <x:v>0.0006849725964471336</x:v>
      </x:c>
      <x:c r="L206" s="26" t="n">
        <x:v>1535</x:v>
      </x:c>
      <x:c r="M206" s="26" t="n">
        <x:v>1841</x:v>
      </x:c>
      <x:c r="N206" s="26" t="n">
        <x:v>2162</x:v>
      </x:c>
    </x:row>
    <x:row r="207">
      <x:c r="A207" s="20" t="str">
        <x:v>T0_TABLE_BLOCK</x:v>
      </x:c>
      <x:c r="B207" s="20" t="str">
        <x:v>NYC-V2-R02</x:v>
      </x:c>
      <x:c r="C207" s="20" t="str">
        <x:v>V2</x:v>
      </x:c>
      <x:c r="D207" s="20" t="str">
        <x:v>hearing_difficulty</x:v>
      </x:c>
      <x:c r="E207" s="20" t="str">
        <x:v>disability</x:v>
      </x:c>
      <x:c r="F207" s="50" t="n">
        <x:v>512</x:v>
      </x:c>
      <x:c r="G207" s="50" t="n">
        <x:v>132.73455655919363</x:v>
      </x:c>
      <x:c r="H207" s="50" t="n">
        <x:v>511.983</x:v>
      </x:c>
      <x:c r="I207" s="50" t="n">
        <x:v>132.7214816926887</x:v>
      </x:c>
      <x:c r="J207" s="42" t="n">
        <x:v>0.9999014961375254</x:v>
      </x:c>
      <x:c r="K207" s="42" t="n">
        <x:v>-0.0001280751632481981</x:v>
      </x:c>
      <x:c r="L207" s="26" t="n">
        <x:v>294</x:v>
      </x:c>
      <x:c r="M207" s="26" t="n">
        <x:v>512</x:v>
      </x:c>
      <x:c r="N207" s="26" t="n">
        <x:v>730</x:v>
      </x:c>
    </x:row>
    <x:row r="208">
      <x:c r="A208" s="20" t="str">
        <x:v>T0_TABLE_BLOCK</x:v>
      </x:c>
      <x:c r="B208" s="20" t="str">
        <x:v>NYC-V2-R02</x:v>
      </x:c>
      <x:c r="C208" s="20" t="str">
        <x:v>V2</x:v>
      </x:c>
      <x:c r="D208" s="20" t="str">
        <x:v>vision_difficulty</x:v>
      </x:c>
      <x:c r="E208" s="20" t="str">
        <x:v>disability</x:v>
      </x:c>
      <x:c r="F208" s="50" t="n">
        <x:v>720</x:v>
      </x:c>
      <x:c r="G208" s="50" t="n">
        <x:v>140.66743201248528</x:v>
      </x:c>
      <x:c r="H208" s="50" t="n">
        <x:v>720.032</x:v>
      </x:c>
      <x:c r="I208" s="50" t="n">
        <x:v>140.61422878690954</x:v>
      </x:c>
      <x:c r="J208" s="42" t="n">
        <x:v>0.9996217800750709</x:v>
      </x:c>
      <x:c r="K208" s="42" t="n">
        <x:v>0.0002274869139375408</x:v>
      </x:c>
      <x:c r="L208" s="26" t="n">
        <x:v>490</x:v>
      </x:c>
      <x:c r="M208" s="26" t="n">
        <x:v>720</x:v>
      </x:c>
      <x:c r="N208" s="26" t="n">
        <x:v>950</x:v>
      </x:c>
    </x:row>
    <x:row r="209">
      <x:c r="A209" s="20" t="str">
        <x:v>T0_TABLE_BLOCK</x:v>
      </x:c>
      <x:c r="B209" s="20" t="str">
        <x:v>NYC-V2-R02</x:v>
      </x:c>
      <x:c r="C209" s="20" t="str">
        <x:v>V2</x:v>
      </x:c>
      <x:c r="D209" s="20" t="str">
        <x:v>cognitive_difficulty</x:v>
      </x:c>
      <x:c r="E209" s="20" t="str">
        <x:v>disability</x:v>
      </x:c>
      <x:c r="F209" s="50" t="n">
        <x:v>1322</x:v>
      </x:c>
      <x:c r="G209" s="50" t="n">
        <x:v>200.606981668697</x:v>
      </x:c>
      <x:c r="H209" s="50" t="n">
        <x:v>1322.052</x:v>
      </x:c>
      <x:c r="I209" s="50" t="n">
        <x:v>200.53631119602284</x:v>
      </x:c>
      <x:c r="J209" s="42" t="n">
        <x:v>0.9996477167839011</x:v>
      </x:c>
      <x:c r="K209" s="42" t="n">
        <x:v>0.00025921331135815296</x:v>
      </x:c>
      <x:c r="L209" s="26" t="n">
        <x:v>994</x:v>
      </x:c>
      <x:c r="M209" s="26" t="n">
        <x:v>1322</x:v>
      </x:c>
      <x:c r="N209" s="26" t="n">
        <x:v>1651</x:v>
      </x:c>
    </x:row>
    <x:row r="210">
      <x:c r="A210" s="20" t="str">
        <x:v>T0_TABLE_BLOCK</x:v>
      </x:c>
      <x:c r="B210" s="20" t="str">
        <x:v>NYC-V2-R02</x:v>
      </x:c>
      <x:c r="C210" s="20" t="str">
        <x:v>V2</x:v>
      </x:c>
      <x:c r="D210" s="20" t="str">
        <x:v>ambulatory_difficulty</x:v>
      </x:c>
      <x:c r="E210" s="20" t="str">
        <x:v>disability</x:v>
      </x:c>
      <x:c r="F210" s="50" t="n">
        <x:v>2506</x:v>
      </x:c>
      <x:c r="G210" s="50" t="n">
        <x:v>256.26038692582466</x:v>
      </x:c>
      <x:c r="H210" s="50" t="n">
        <x:v>2505.769</x:v>
      </x:c>
      <x:c r="I210" s="50" t="n">
        <x:v>255.62327534459357</x:v>
      </x:c>
      <x:c r="J210" s="42" t="n">
        <x:v>0.9975138116785272</x:v>
      </x:c>
      <x:c r="K210" s="42" t="n">
        <x:v>-0.0009014268758873199</x:v>
      </x:c>
      <x:c r="L210" s="26" t="n">
        <x:v>2086</x:v>
      </x:c>
      <x:c r="M210" s="26" t="n">
        <x:v>2507</x:v>
      </x:c>
      <x:c r="N210" s="26" t="n">
        <x:v>2925</x:v>
      </x:c>
    </x:row>
    <x:row r="211">
      <x:c r="A211" s="20" t="str">
        <x:v>T0_TABLE_BLOCK</x:v>
      </x:c>
      <x:c r="B211" s="20" t="str">
        <x:v>NYC-V2-R02</x:v>
      </x:c>
      <x:c r="C211" s="20" t="str">
        <x:v>V2</x:v>
      </x:c>
      <x:c r="D211" s="20" t="str">
        <x:v>self_care_difficulty</x:v>
      </x:c>
      <x:c r="E211" s="20" t="str">
        <x:v>disability</x:v>
      </x:c>
      <x:c r="F211" s="50" t="n">
        <x:v>828</x:v>
      </x:c>
      <x:c r="G211" s="50" t="n">
        <x:v>170.2127659574468</x:v>
      </x:c>
      <x:c r="H211" s="50" t="n">
        <x:v>828.02</x:v>
      </x:c>
      <x:c r="I211" s="50" t="n">
        <x:v>170.28485702649115</x:v>
      </x:c>
      <x:c r="J211" s="42" t="n">
        <x:v>1.0004235350306356</x:v>
      </x:c>
      <x:c r="K211" s="42" t="n">
        <x:v>0.00011749999999989313</x:v>
      </x:c>
      <x:c r="L211" s="26" t="n">
        <x:v>549</x:v>
      </x:c>
      <x:c r="M211" s="26" t="n">
        <x:v>828</x:v>
      </x:c>
      <x:c r="N211" s="26" t="n">
        <x:v>1107</x:v>
      </x:c>
    </x:row>
    <x:row r="212">
      <x:c r="A212" s="20" t="str">
        <x:v>T0_TABLE_BLOCK</x:v>
      </x:c>
      <x:c r="B212" s="20" t="str">
        <x:v>NYC-V2-R02</x:v>
      </x:c>
      <x:c r="C212" s="20" t="str">
        <x:v>V2</x:v>
      </x:c>
      <x:c r="D212" s="20" t="str">
        <x:v>independent_living_difficulty</x:v>
      </x:c>
      <x:c r="E212" s="20" t="str">
        <x:v>disability</x:v>
      </x:c>
      <x:c r="F212" s="50" t="n">
        <x:v>1257</x:v>
      </x:c>
      <x:c r="G212" s="50" t="n">
        <x:v>185.50000323103495</x:v>
      </x:c>
      <x:c r="H212" s="50" t="n">
        <x:v>1257.002</x:v>
      </x:c>
      <x:c r="I212" s="50" t="n">
        <x:v>185.29500326299743</x:v>
      </x:c>
      <x:c r="J212" s="42" t="n">
        <x:v>0.9988948788977529</x:v>
      </x:c>
      <x:c r="K212" s="42" t="n">
        <x:v>0.000010781670970979787</x:v>
      </x:c>
      <x:c r="L212" s="26" t="n">
        <x:v>952</x:v>
      </x:c>
      <x:c r="M212" s="26" t="n">
        <x:v>1257</x:v>
      </x:c>
      <x:c r="N212" s="26" t="n">
        <x:v>1561</x:v>
      </x:c>
    </x:row>
    <x:row r="213">
      <x:c r="A213" s="20" t="str">
        <x:v>T0_TABLE_BLOCK</x:v>
      </x:c>
      <x:c r="B213" s="20" t="str">
        <x:v>NYC-V2-R02</x:v>
      </x:c>
      <x:c r="C213" s="20" t="str">
        <x:v>V2</x:v>
      </x:c>
      <x:c r="D213" s="20" t="str">
        <x:v>households</x:v>
      </x:c>
      <x:c r="E213" s="20" t="str">
        <x:v>household</x:v>
      </x:c>
      <x:c r="F213" s="50" t="n">
        <x:v>11727</x:v>
      </x:c>
      <x:c r="G213" s="50" t="n">
        <x:v>401.0303604466874</x:v>
      </x:c>
      <x:c r="H213" s="50" t="n">
        <x:v>11733.587</x:v>
      </x:c>
      <x:c r="I213" s="50" t="n">
        <x:v>398.12969203851486</x:v>
      </x:c>
      <x:c r="J213" s="42" t="n">
        <x:v>0.9927669605739037</x:v>
      </x:c>
      <x:c r="K213" s="42" t="n">
        <x:v>0.016425190333875492</x:v>
      </x:c>
      <x:c r="L213" s="26" t="n">
        <x:v>11051</x:v>
      </x:c>
      <x:c r="M213" s="26" t="n">
        <x:v>11739</x:v>
      </x:c>
      <x:c r="N213" s="26" t="n">
        <x:v>12396</x:v>
      </x:c>
    </x:row>
    <x:row r="214">
      <x:c r="A214" s="20" t="str">
        <x:v>T0_TABLE_BLOCK</x:v>
      </x:c>
      <x:c r="B214" s="20" t="str">
        <x:v>NYC-V2-R02</x:v>
      </x:c>
      <x:c r="C214" s="20" t="str">
        <x:v>V2</x:v>
      </x:c>
      <x:c r="D214" s="20" t="str">
        <x:v>family_households</x:v>
      </x:c>
      <x:c r="E214" s="20" t="str">
        <x:v>household</x:v>
      </x:c>
      <x:c r="F214" s="50" t="n">
        <x:v>7655</x:v>
      </x:c>
      <x:c r="G214" s="50" t="n">
        <x:v>424.5146640576742</x:v>
      </x:c>
      <x:c r="H214" s="50" t="n">
        <x:v>7661.741</x:v>
      </x:c>
      <x:c r="I214" s="50" t="n">
        <x:v>490.2041860929618</x:v>
      </x:c>
      <x:c r="J214" s="42" t="n">
        <x:v>1.1547402895518422</x:v>
      </x:c>
      <x:c r="K214" s="42" t="n">
        <x:v>0.015879310117504347</x:v>
      </x:c>
      <x:c r="L214" s="26" t="n">
        <x:v>6829</x:v>
      </x:c>
      <x:c r="M214" s="26" t="n">
        <x:v>7668</x:v>
      </x:c>
      <x:c r="N214" s="26" t="n">
        <x:v>8466</x:v>
      </x:c>
    </x:row>
    <x:row r="215">
      <x:c r="A215" s="20" t="str">
        <x:v>T0_TABLE_BLOCK</x:v>
      </x:c>
      <x:c r="B215" s="20" t="str">
        <x:v>NYC-V2-R02</x:v>
      </x:c>
      <x:c r="C215" s="20" t="str">
        <x:v>V2</x:v>
      </x:c>
      <x:c r="D215" s="20" t="str">
        <x:v>nonfamily_households</x:v>
      </x:c>
      <x:c r="E215" s="20" t="str">
        <x:v>household</x:v>
      </x:c>
      <x:c r="F215" s="50" t="n">
        <x:v>4072</x:v>
      </x:c>
      <x:c r="G215" s="50" t="n">
        <x:v>306.7437855931233</x:v>
      </x:c>
      <x:c r="H215" s="50" t="n">
        <x:v>4071.846</x:v>
      </x:c>
      <x:c r="I215" s="50" t="n">
        <x:v>293.3725715702641</x:v>
      </x:c>
      <x:c r="J215" s="42" t="n">
        <x:v>0.9564091771345767</x:v>
      </x:c>
      <x:c r="K215" s="42" t="n">
        <x:v>-0.0005020476607283835</x:v>
      </x:c>
      <x:c r="L215" s="26" t="n">
        <x:v>3614</x:v>
      </x:c>
      <x:c r="M215" s="26" t="n">
        <x:v>4066</x:v>
      </x:c>
      <x:c r="N215" s="26" t="n">
        <x:v>4579</x:v>
      </x:c>
    </x:row>
    <x:row r="216">
      <x:c r="A216" s="20" t="str">
        <x:v>T0_TABLE_BLOCK</x:v>
      </x:c>
      <x:c r="B216" s="20" t="str">
        <x:v>NYC-V2-R02</x:v>
      </x:c>
      <x:c r="C216" s="20" t="str">
        <x:v>V2</x:v>
      </x:c>
      <x:c r="D216" s="20" t="str">
        <x:v>living_alone_households</x:v>
      </x:c>
      <x:c r="E216" s="20" t="str">
        <x:v>household</x:v>
      </x:c>
      <x:c r="F216" s="50" t="n">
        <x:v>3663</x:v>
      </x:c>
      <x:c r="G216" s="50" t="n">
        <x:v>297.7568639007336</x:v>
      </x:c>
      <x:c r="H216" s="50" t="n">
        <x:v>3662.865</x:v>
      </x:c>
      <x:c r="I216" s="50" t="n">
        <x:v>286.1085368699611</x:v>
      </x:c>
      <x:c r="J216" s="42" t="n">
        <x:v>0.9608797363117855</x:v>
      </x:c>
      <x:c r="K216" s="42" t="n">
        <x:v>-0.00045339005197618103</x:v>
      </x:c>
      <x:c r="L216" s="26" t="n">
        <x:v>3213</x:v>
      </x:c>
      <x:c r="M216" s="26" t="n">
        <x:v>3661</x:v>
      </x:c>
      <x:c r="N216" s="26" t="n">
        <x:v>4147</x:v>
      </x:c>
    </x:row>
    <x:row r="217">
      <x:c r="A217" s="20" t="str">
        <x:v>T0_TABLE_BLOCK</x:v>
      </x:c>
      <x:c r="B217" s="20" t="str">
        <x:v>NYC-V2-R02</x:v>
      </x:c>
      <x:c r="C217" s="20" t="str">
        <x:v>V2</x:v>
      </x:c>
      <x:c r="D217" s="20" t="str">
        <x:v>households_with_children</x:v>
      </x:c>
      <x:c r="E217" s="20" t="str">
        <x:v>household</x:v>
      </x:c>
      <x:c r="F217" s="50" t="n">
        <x:v>3031</x:v>
      </x:c>
      <x:c r="G217" s="50" t="n">
        <x:v>311.79376196453967</x:v>
      </x:c>
      <x:c r="H217" s="50" t="n">
        <x:v>3030.929</x:v>
      </x:c>
      <x:c r="I217" s="50" t="n">
        <x:v>319.9321718013891</x:v>
      </x:c>
      <x:c r="J217" s="42" t="n">
        <x:v>1.0261019007743168</x:v>
      </x:c>
      <x:c r="K217" s="42" t="n">
        <x:v>-0.0002277146263368397</x:v>
      </x:c>
      <x:c r="L217" s="26" t="n">
        <x:v>2493</x:v>
      </x:c>
      <x:c r="M217" s="26" t="n">
        <x:v>3032</x:v>
      </x:c>
      <x:c r="N217" s="26" t="n">
        <x:v>3544</x:v>
      </x:c>
    </x:row>
    <x:row r="218">
      <x:c r="A218" s="20" t="str">
        <x:v>T0_TABLE_BLOCK</x:v>
      </x:c>
      <x:c r="B218" s="20" t="str">
        <x:v>NYC-V2-R02</x:v>
      </x:c>
      <x:c r="C218" s="20" t="str">
        <x:v>V2</x:v>
      </x:c>
      <x:c r="D218" s="20" t="str">
        <x:v>households_with_age65</x:v>
      </x:c>
      <x:c r="E218" s="20" t="str">
        <x:v>household</x:v>
      </x:c>
      <x:c r="F218" s="50" t="n">
        <x:v>4698</x:v>
      </x:c>
      <x:c r="G218" s="50" t="n">
        <x:v>292.9354877784527</x:v>
      </x:c>
      <x:c r="H218" s="50" t="n">
        <x:v>4697.91</x:v>
      </x:c>
      <x:c r="I218" s="50" t="n">
        <x:v>297.57054647617616</x:v>
      </x:c>
      <x:c r="J218" s="42" t="n">
        <x:v>1.0158227967969145</x:v>
      </x:c>
      <x:c r="K218" s="42" t="n">
        <x:v>-0.0003072348819280393</x:v>
      </x:c>
      <x:c r="L218" s="26" t="n">
        <x:v>4206</x:v>
      </x:c>
      <x:c r="M218" s="26" t="n">
        <x:v>4700</x:v>
      </x:c>
      <x:c r="N218" s="26" t="n">
        <x:v>5190</x:v>
      </x:c>
    </x:row>
    <x:row r="219">
      <x:c r="A219" s="20" t="str">
        <x:v>T0_TABLE_BLOCK</x:v>
      </x:c>
      <x:c r="B219" s="20" t="str">
        <x:v>NYC-V2-R02</x:v>
      </x:c>
      <x:c r="C219" s="20" t="str">
        <x:v>V2</x:v>
      </x:c>
      <x:c r="D219" s="20" t="str">
        <x:v>age65_one_person_households</x:v>
      </x:c>
      <x:c r="E219" s="20" t="str">
        <x:v>household</x:v>
      </x:c>
      <x:c r="F219" s="50" t="n">
        <x:v>1335</x:v>
      </x:c>
      <x:c r="G219" s="50" t="n">
        <x:v>176.08350291835973</x:v>
      </x:c>
      <x:c r="H219" s="50" t="n">
        <x:v>1334.963</x:v>
      </x:c>
      <x:c r="I219" s="50" t="n">
        <x:v>172.05293907645066</x:v>
      </x:c>
      <x:c r="J219" s="42" t="n">
        <x:v>0.9771099292375061</x:v>
      </x:c>
      <x:c r="K219" s="42" t="n">
        <x:v>-0.0002101275780343229</x:v>
      </x:c>
      <x:c r="L219" s="26" t="n">
        <x:v>1045</x:v>
      </x:c>
      <x:c r="M219" s="26" t="n">
        <x:v>1343</x:v>
      </x:c>
      <x:c r="N219" s="26" t="n">
        <x:v>1618</x:v>
      </x:c>
    </x:row>
    <x:row r="220">
      <x:c r="A220" s="20" t="str">
        <x:v>T0_TABLE_BLOCK</x:v>
      </x:c>
      <x:c r="B220" s="20" t="str">
        <x:v>NYC-V2-R02</x:v>
      </x:c>
      <x:c r="C220" s="20" t="str">
        <x:v>V2</x:v>
      </x:c>
      <x:c r="D220" s="20" t="str">
        <x:v>no_vehicle_households</x:v>
      </x:c>
      <x:c r="E220" s="20" t="str">
        <x:v>household</x:v>
      </x:c>
      <x:c r="F220" s="50" t="n">
        <x:v>6252</x:v>
      </x:c>
      <x:c r="G220" s="50" t="n">
        <x:v>379.7037568307391</x:v>
      </x:c>
      <x:c r="H220" s="50" t="n">
        <x:v>6252.07</x:v>
      </x:c>
      <x:c r="I220" s="50" t="n">
        <x:v>379.4903160819786</x:v>
      </x:c>
      <x:c r="J220" s="42" t="n">
        <x:v>0.9994378755940104</x:v>
      </x:c>
      <x:c r="K220" s="42" t="n">
        <x:v>0.00018435424654202967</x:v>
      </x:c>
      <x:c r="L220" s="26" t="n">
        <x:v>5629</x:v>
      </x:c>
      <x:c r="M220" s="26" t="n">
        <x:v>6252</x:v>
      </x:c>
      <x:c r="N220" s="26" t="n">
        <x:v>6875</x:v>
      </x:c>
    </x:row>
    <x:row r="221">
      <x:c r="A221" s="20" t="str">
        <x:v>T0_TABLE_BLOCK</x:v>
      </x:c>
      <x:c r="B221" s="20" t="str">
        <x:v>NYC-V2-R02</x:v>
      </x:c>
      <x:c r="C221" s="20" t="str">
        <x:v>V2</x:v>
      </x:c>
      <x:c r="D221" s="20" t="str">
        <x:v>limited_english_households</x:v>
      </x:c>
      <x:c r="E221" s="20" t="str">
        <x:v>household</x:v>
      </x:c>
      <x:c r="F221" s="50" t="n">
        <x:v>827</x:v>
      </x:c>
      <x:c r="G221" s="50" t="n">
        <x:v>147.05216177318388</x:v>
      </x:c>
      <x:c r="H221" s="50" t="n">
        <x:v>827.091</x:v>
      </x:c>
      <x:c r="I221" s="50" t="n">
        <x:v>147.3115861784891</x:v>
      </x:c>
      <x:c r="J221" s="42" t="n">
        <x:v>1.001764165872688</x:v>
      </x:c>
      <x:c r="K221" s="42" t="n">
        <x:v>0.0006188280328742691</x:v>
      </x:c>
      <x:c r="L221" s="26" t="n">
        <x:v>586</x:v>
      </x:c>
      <x:c r="M221" s="26" t="n">
        <x:v>827</x:v>
      </x:c>
      <x:c r="N221" s="26" t="n">
        <x:v>1068</x:v>
      </x:c>
    </x:row>
    <x:row r="222">
      <x:c r="A222" s="20" t="str">
        <x:v>T0_TABLE_BLOCK</x:v>
      </x:c>
      <x:c r="B222" s="20" t="str">
        <x:v>NYC-V2-R02</x:v>
      </x:c>
      <x:c r="C222" s="20" t="str">
        <x:v>V2</x:v>
      </x:c>
      <x:c r="D222" s="20" t="str">
        <x:v>housing_units</x:v>
      </x:c>
      <x:c r="E222" s="20" t="str">
        <x:v>housing</x:v>
      </x:c>
      <x:c r="F222" s="50" t="n">
        <x:v>13573</x:v>
      </x:c>
      <x:c r="G222" s="50" t="n">
        <x:v>377.41813681909883</x:v>
      </x:c>
      <x:c r="H222" s="50" t="n">
        <x:v>13579.416</x:v>
      </x:c>
      <x:c r="I222" s="50" t="n">
        <x:v>383.8714084198017</x:v>
      </x:c>
      <x:c r="J222" s="42" t="n">
        <x:v>1.017098467114197</x:v>
      </x:c>
      <x:c r="K222" s="42" t="n">
        <x:v>0.016999712981664486</x:v>
      </x:c>
      <x:c r="L222" s="26" t="n">
        <x:v>12939</x:v>
      </x:c>
      <x:c r="M222" s="26" t="n">
        <x:v>13574</x:v>
      </x:c>
      <x:c r="N222" s="26" t="n">
        <x:v>14232</x:v>
      </x:c>
    </x:row>
    <x:row r="223">
      <x:c r="A223" s="20" t="str">
        <x:v>T0_TABLE_BLOCK</x:v>
      </x:c>
      <x:c r="B223" s="20" t="str">
        <x:v>NYC-V2-R02</x:v>
      </x:c>
      <x:c r="C223" s="20" t="str">
        <x:v>V2</x:v>
      </x:c>
      <x:c r="D223" s="20" t="str">
        <x:v>occupied_housing_units</x:v>
      </x:c>
      <x:c r="E223" s="20" t="str">
        <x:v>housing</x:v>
      </x:c>
      <x:c r="F223" s="50" t="n">
        <x:v>11727</x:v>
      </x:c>
      <x:c r="G223" s="50" t="n">
        <x:v>401.0303604466874</x:v>
      </x:c>
      <x:c r="H223" s="50" t="n">
        <x:v>11733.587</x:v>
      </x:c>
      <x:c r="I223" s="50" t="n">
        <x:v>398.12969203851486</x:v>
      </x:c>
      <x:c r="J223" s="42" t="n">
        <x:v>0.9927669605739037</x:v>
      </x:c>
      <x:c r="K223" s="42" t="n">
        <x:v>0.016425190333875492</x:v>
      </x:c>
      <x:c r="L223" s="26" t="n">
        <x:v>11051</x:v>
      </x:c>
      <x:c r="M223" s="26" t="n">
        <x:v>11739</x:v>
      </x:c>
      <x:c r="N223" s="26" t="n">
        <x:v>12396</x:v>
      </x:c>
    </x:row>
    <x:row r="224">
      <x:c r="A224" s="20" t="str">
        <x:v>T0_TABLE_BLOCK</x:v>
      </x:c>
      <x:c r="B224" s="20" t="str">
        <x:v>NYC-V2-R02</x:v>
      </x:c>
      <x:c r="C224" s="20" t="str">
        <x:v>V2</x:v>
      </x:c>
      <x:c r="D224" s="20" t="str">
        <x:v>vacant_housing_units</x:v>
      </x:c>
      <x:c r="E224" s="20" t="str">
        <x:v>housing</x:v>
      </x:c>
      <x:c r="F224" s="50" t="n">
        <x:v>1846</x:v>
      </x:c>
      <x:c r="G224" s="50" t="n">
        <x:v>179.9285969489008</x:v>
      </x:c>
      <x:c r="H224" s="50" t="n">
        <x:v>1845.829</x:v>
      </x:c>
      <x:c r="I224" s="50" t="n">
        <x:v>176.5976344221051</x:v>
      </x:c>
      <x:c r="J224" s="42" t="n">
        <x:v>0.9814873089476617</x:v>
      </x:c>
      <x:c r="K224" s="42" t="n">
        <x:v>-0.0009503769989859511</x:v>
      </x:c>
      <x:c r="L224" s="26" t="n">
        <x:v>1563</x:v>
      </x:c>
      <x:c r="M224" s="26" t="n">
        <x:v>1838</x:v>
      </x:c>
      <x:c r="N224" s="26" t="n">
        <x:v>2139</x:v>
      </x:c>
    </x:row>
    <x:row r="225">
      <x:c r="A225" s="20" t="str">
        <x:v>T0_TABLE_BLOCK</x:v>
      </x:c>
      <x:c r="B225" s="20" t="str">
        <x:v>NYC-V2-R02</x:v>
      </x:c>
      <x:c r="C225" s="20" t="str">
        <x:v>V2</x:v>
      </x:c>
      <x:c r="D225" s="20" t="str">
        <x:v>owner_occupied_units</x:v>
      </x:c>
      <x:c r="E225" s="20" t="str">
        <x:v>housing</x:v>
      </x:c>
      <x:c r="F225" s="50" t="n">
        <x:v>3365</x:v>
      </x:c>
      <x:c r="G225" s="50" t="n">
        <x:v>247.30511376058348</x:v>
      </x:c>
      <x:c r="H225" s="50" t="n">
        <x:v>3365.031</x:v>
      </x:c>
      <x:c r="I225" s="50" t="n">
        <x:v>239.90283326465408</x:v>
      </x:c>
      <x:c r="J225" s="42" t="n">
        <x:v>0.9700682271249127</x:v>
      </x:c>
      <x:c r="K225" s="42" t="n">
        <x:v>0.0001253512292105703</x:v>
      </x:c>
      <x:c r="L225" s="26" t="n">
        <x:v>2969</x:v>
      </x:c>
      <x:c r="M225" s="26" t="n">
        <x:v>3369</x:v>
      </x:c>
      <x:c r="N225" s="26" t="n">
        <x:v>3749</x:v>
      </x:c>
    </x:row>
    <x:row r="226">
      <x:c r="A226" s="20" t="str">
        <x:v>T0_TABLE_BLOCK</x:v>
      </x:c>
      <x:c r="B226" s="20" t="str">
        <x:v>NYC-V2-R02</x:v>
      </x:c>
      <x:c r="C226" s="20" t="str">
        <x:v>V2</x:v>
      </x:c>
      <x:c r="D226" s="20" t="str">
        <x:v>renter_occupied_units</x:v>
      </x:c>
      <x:c r="E226" s="20" t="str">
        <x:v>housing</x:v>
      </x:c>
      <x:c r="F226" s="50" t="n">
        <x:v>8362</x:v>
      </x:c>
      <x:c r="G226" s="50" t="n">
        <x:v>382.6239491517273</x:v>
      </x:c>
      <x:c r="H226" s="50" t="n">
        <x:v>8368.556</x:v>
      </x:c>
      <x:c r="I226" s="50" t="n">
        <x:v>349.60758333641206</x:v>
      </x:c>
      <x:c r="J226" s="42" t="n">
        <x:v>0.9137106658155818</x:v>
      </x:c>
      <x:c r="K226" s="42" t="n">
        <x:v>0.01713431690445689</x:v>
      </x:c>
      <x:c r="L226" s="26" t="n">
        <x:v>7799</x:v>
      </x:c>
      <x:c r="M226" s="26" t="n">
        <x:v>8369</x:v>
      </x:c>
      <x:c r="N226" s="26" t="n">
        <x:v>8929</x:v>
      </x:c>
    </x:row>
    <x:row r="227">
      <x:c r="A227" s="20" t="str">
        <x:v>T0_TABLE_BLOCK</x:v>
      </x:c>
      <x:c r="B227" s="20" t="str">
        <x:v>NYC-V2-R02</x:v>
      </x:c>
      <x:c r="C227" s="20" t="str">
        <x:v>V2</x:v>
      </x:c>
      <x:c r="D227" s="20" t="str">
        <x:v>one_unit_structures</x:v>
      </x:c>
      <x:c r="E227" s="20" t="str">
        <x:v>housing</x:v>
      </x:c>
      <x:c r="F227" s="50" t="n">
        <x:v>2708</x:v>
      </x:c>
      <x:c r="G227" s="50" t="n">
        <x:v>237.24022469937137</x:v>
      </x:c>
      <x:c r="H227" s="50" t="n">
        <x:v>2707.873</x:v>
      </x:c>
      <x:c r="I227" s="50" t="n">
        <x:v>233.23776865620997</x:v>
      </x:c>
      <x:c r="J227" s="42" t="n">
        <x:v>0.9831291002685852</x:v>
      </x:c>
      <x:c r="K227" s="42" t="n">
        <x:v>-0.0005353223727590291</x:v>
      </x:c>
      <x:c r="L227" s="26" t="n">
        <x:v>2322</x:v>
      </x:c>
      <x:c r="M227" s="26" t="n">
        <x:v>2703</x:v>
      </x:c>
      <x:c r="N227" s="26" t="n">
        <x:v>3089</x:v>
      </x:c>
    </x:row>
    <x:row r="228">
      <x:c r="A228" s="20" t="str">
        <x:v>T0_TABLE_BLOCK</x:v>
      </x:c>
      <x:c r="B228" s="20" t="str">
        <x:v>NYC-V2-R02</x:v>
      </x:c>
      <x:c r="C228" s="20" t="str">
        <x:v>V2</x:v>
      </x:c>
      <x:c r="D228" s="20" t="str">
        <x:v>two_to_four_unit_structures</x:v>
      </x:c>
      <x:c r="E228" s="20" t="str">
        <x:v>housing</x:v>
      </x:c>
      <x:c r="F228" s="50" t="n">
        <x:v>2494</x:v>
      </x:c>
      <x:c r="G228" s="50" t="n">
        <x:v>274.9689963046367</x:v>
      </x:c>
      <x:c r="H228" s="50" t="n">
        <x:v>2493.843</x:v>
      </x:c>
      <x:c r="I228" s="50" t="n">
        <x:v>256.38016135835886</x:v>
      </x:c>
      <x:c r="J228" s="42" t="n">
        <x:v>0.9323966149053279</x:v>
      </x:c>
      <x:c r="K228" s="42" t="n">
        <x:v>-0.0005709734628634762</x:v>
      </x:c>
      <x:c r="L228" s="26" t="n">
        <x:v>2097</x:v>
      </x:c>
      <x:c r="M228" s="26" t="n">
        <x:v>2489</x:v>
      </x:c>
      <x:c r="N228" s="26" t="n">
        <x:v>2933</x:v>
      </x:c>
    </x:row>
    <x:row r="229">
      <x:c r="A229" s="20" t="str">
        <x:v>T0_TABLE_BLOCK</x:v>
      </x:c>
      <x:c r="B229" s="20" t="str">
        <x:v>NYC-V2-R02</x:v>
      </x:c>
      <x:c r="C229" s="20" t="str">
        <x:v>V2</x:v>
      </x:c>
      <x:c r="D229" s="20" t="str">
        <x:v>five_to_nineteen_unit_structures</x:v>
      </x:c>
      <x:c r="E229" s="20" t="str">
        <x:v>housing</x:v>
      </x:c>
      <x:c r="F229" s="50" t="n">
        <x:v>1372</x:v>
      </x:c>
      <x:c r="G229" s="50" t="n">
        <x:v>217.65125289221675</x:v>
      </x:c>
      <x:c r="H229" s="50" t="n">
        <x:v>1371.841</x:v>
      </x:c>
      <x:c r="I229" s="50" t="n">
        <x:v>211.9242119027238</x:v>
      </x:c>
      <x:c r="J229" s="42" t="n">
        <x:v>0.9736870754779021</x:v>
      </x:c>
      <x:c r="K229" s="42" t="n">
        <x:v>-0.0007305264632629706</x:v>
      </x:c>
      <x:c r="L229" s="26" t="n">
        <x:v>1029</x:v>
      </x:c>
      <x:c r="M229" s="26" t="n">
        <x:v>1372</x:v>
      </x:c>
      <x:c r="N229" s="26" t="n">
        <x:v>1713</x:v>
      </x:c>
    </x:row>
    <x:row r="230">
      <x:c r="A230" s="20" t="str">
        <x:v>T0_TABLE_BLOCK</x:v>
      </x:c>
      <x:c r="B230" s="20" t="str">
        <x:v>NYC-V2-R02</x:v>
      </x:c>
      <x:c r="C230" s="20" t="str">
        <x:v>V2</x:v>
      </x:c>
      <x:c r="D230" s="20" t="str">
        <x:v>twenty_to_forty_nine_unit_structures</x:v>
      </x:c>
      <x:c r="E230" s="20" t="str">
        <x:v>housing</x:v>
      </x:c>
      <x:c r="F230" s="50" t="n">
        <x:v>2896</x:v>
      </x:c>
      <x:c r="G230" s="50" t="n">
        <x:v>283.7245598021828</x:v>
      </x:c>
      <x:c r="H230" s="50" t="n">
        <x:v>2888.284</x:v>
      </x:c>
      <x:c r="I230" s="50" t="n">
        <x:v>257.441471902752</x:v>
      </x:c>
      <x:c r="J230" s="42" t="n">
        <x:v>0.9073640719796843</x:v>
      </x:c>
      <x:c r="K230" s="42" t="n">
        <x:v>-0.027195389801219924</x:v>
      </x:c>
      <x:c r="L230" s="26" t="n">
        <x:v>2473</x:v>
      </x:c>
      <x:c r="M230" s="26" t="n">
        <x:v>2884</x:v>
      </x:c>
      <x:c r="N230" s="26" t="n">
        <x:v>3314</x:v>
      </x:c>
    </x:row>
    <x:row r="231">
      <x:c r="A231" s="20" t="str">
        <x:v>T0_TABLE_BLOCK</x:v>
      </x:c>
      <x:c r="B231" s="20" t="str">
        <x:v>NYC-V2-R02</x:v>
      </x:c>
      <x:c r="C231" s="20" t="str">
        <x:v>V2</x:v>
      </x:c>
      <x:c r="D231" s="20" t="str">
        <x:v>fifty_plus_unit_structures</x:v>
      </x:c>
      <x:c r="E231" s="20" t="str">
        <x:v>housing</x:v>
      </x:c>
      <x:c r="F231" s="50" t="n">
        <x:v>2238</x:v>
      </x:c>
      <x:c r="G231" s="50" t="n">
        <x:v>250.06166034068377</x:v>
      </x:c>
      <x:c r="H231" s="50" t="n">
        <x:v>2237.844</x:v>
      </x:c>
      <x:c r="I231" s="50" t="n">
        <x:v>238.5721533128633</x:v>
      </x:c>
      <x:c r="J231" s="42" t="n">
        <x:v>0.9540533042443724</x:v>
      </x:c>
      <x:c r="K231" s="42" t="n">
        <x:v>-0.0006238461337392338</x:v>
      </x:c>
      <x:c r="L231" s="26" t="n">
        <x:v>1859</x:v>
      </x:c>
      <x:c r="M231" s="26" t="n">
        <x:v>2242</x:v>
      </x:c>
      <x:c r="N231" s="26" t="n">
        <x:v>2619</x:v>
      </x:c>
    </x:row>
    <x:row r="232">
      <x:c r="A232" s="20" t="str">
        <x:v>T0_TABLE_BLOCK</x:v>
      </x:c>
      <x:c r="B232" s="20" t="str">
        <x:v>NYC-V2-R02</x:v>
      </x:c>
      <x:c r="C232" s="20" t="str">
        <x:v>V2</x:v>
      </x:c>
      <x:c r="D232" s="20" t="str">
        <x:v>mobile_or_other_units</x:v>
      </x:c>
      <x:c r="E232" s="20" t="str">
        <x:v>housing</x:v>
      </x:c>
      <x:c r="F232" s="50" t="n">
        <x:v>19</x:v>
      </x:c>
      <x:c r="G232" s="50" t="n">
        <x:v>58.51359878824627</x:v>
      </x:c>
      <x:c r="H232" s="50" t="n">
        <x:v>33.902</x:v>
      </x:c>
      <x:c r="I232" s="50" t="n">
        <x:v>40.134638221680596</x:v>
      </x:c>
      <x:c r="J232" s="42" t="n">
        <x:v>0.6859027482982727</x:v>
      </x:c>
      <x:c r="K232" s="42" t="n">
        <x:v>0.25467584131901644</x:v>
      </x:c>
      <x:c r="L232" s="26" t="n">
        <x:v>0</x:v>
      </x:c>
      <x:c r="M232" s="26" t="n">
        <x:v>21</x:v>
      </x:c>
      <x:c r="N232" s="26" t="n">
        <x:v>113</x:v>
      </x:c>
    </x:row>
    <x:row r="233">
      <x:c r="A233" s="20" t="str">
        <x:v>T0_TABLE_BLOCK</x:v>
      </x:c>
      <x:c r="B233" s="20" t="str">
        <x:v>NYC-V2-R02</x:v>
      </x:c>
      <x:c r="C233" s="20" t="str">
        <x:v>V2</x:v>
      </x:c>
      <x:c r="D233" s="20" t="str">
        <x:v>electric_heat_households</x:v>
      </x:c>
      <x:c r="E233" s="20" t="str">
        <x:v>housing</x:v>
      </x:c>
      <x:c r="F233" s="50" t="n">
        <x:v>1098</x:v>
      </x:c>
      <x:c r="G233" s="50" t="n">
        <x:v>147.60826535123297</x:v>
      </x:c>
      <x:c r="H233" s="50" t="n">
        <x:v>1097.982</x:v>
      </x:c>
      <x:c r="I233" s="50" t="n">
        <x:v>149.0192148764796</x:v>
      </x:c>
      <x:c r="J233" s="42" t="n">
        <x:v>1.0095587433528148</x:v>
      </x:c>
      <x:c r="K233" s="42" t="n">
        <x:v>-0.00012194439083203242</x:v>
      </x:c>
      <x:c r="L233" s="26" t="n">
        <x:v>853</x:v>
      </x:c>
      <x:c r="M233" s="26" t="n">
        <x:v>1102</x:v>
      </x:c>
      <x:c r="N233" s="26" t="n">
        <x:v>1336</x:v>
      </x:c>
    </x:row>
    <x:row r="234">
      <x:c r="A234" s="20" t="str">
        <x:v>T0_TABLE_BLOCK</x:v>
      </x:c>
      <x:c r="B234" s="20" t="str">
        <x:v>NYC-V2-R02</x:v>
      </x:c>
      <x:c r="C234" s="20" t="str">
        <x:v>V2</x:v>
      </x:c>
      <x:c r="D234" s="20" t="str">
        <x:v>group_quarters_population</x:v>
      </x:c>
      <x:c r="E234" s="20" t="str">
        <x:v>population</x:v>
      </x:c>
      <x:c r="F234" s="50" t="n">
        <x:v>333</x:v>
      </x:c>
      <x:c r="G234" s="50" t="n">
        <x:v>21.473239159474755</x:v>
      </x:c>
      <x:c r="H234" s="50" t="n">
        <x:v>332.991</x:v>
      </x:c>
      <x:c r="I234" s="50" t="n">
        <x:v>21.82827048559717</x:v>
      </x:c>
      <x:c r="J234" s="42" t="n">
        <x:v>1.0165336642267015</x:v>
      </x:c>
      <x:c r="K234" s="42" t="n">
        <x:v>-0.0004191263336273807</x:v>
      </x:c>
      <x:c r="L234" s="26" t="n">
        <x:v>295</x:v>
      </x:c>
      <x:c r="M234" s="26" t="n">
        <x:v>334</x:v>
      </x:c>
      <x:c r="N234" s="26" t="n">
        <x:v>370</x:v>
      </x:c>
    </x:row>
    <x:row r="235">
      <x:c r="A235" s="20" t="str">
        <x:v>T0_TABLE_BLOCK</x:v>
      </x:c>
      <x:c r="B235" s="20" t="str">
        <x:v>NYC-V2-R03</x:v>
      </x:c>
      <x:c r="C235" s="20" t="str">
        <x:v>V2</x:v>
      </x:c>
      <x:c r="D235" s="20" t="str">
        <x:v>acs_population</x:v>
      </x:c>
      <x:c r="E235" s="20" t="str">
        <x:v>population</x:v>
      </x:c>
      <x:c r="F235" s="50" t="n">
        <x:v>38764</x:v>
      </x:c>
      <x:c r="G235" s="50" t="n">
        <x:v>1372.3163629425976</x:v>
      </x:c>
      <x:c r="H235" s="50" t="n">
        <x:v>39480.984</x:v>
      </x:c>
      <x:c r="I235" s="50" t="n">
        <x:v>1125.8984328193308</x:v>
      </x:c>
      <x:c r="J235" s="42" t="n">
        <x:v>0.820436499354359</x:v>
      </x:c>
      <x:c r="K235" s="42" t="n">
        <x:v>0.5224626182133393</x:v>
      </x:c>
      <x:c r="L235" s="26" t="n">
        <x:v>37709</x:v>
      </x:c>
      <x:c r="M235" s="26" t="n">
        <x:v>39476</x:v>
      </x:c>
      <x:c r="N235" s="26" t="n">
        <x:v>41408</x:v>
      </x:c>
    </x:row>
    <x:row r="236">
      <x:c r="A236" s="20" t="str">
        <x:v>T0_TABLE_BLOCK</x:v>
      </x:c>
      <x:c r="B236" s="20" t="str">
        <x:v>NYC-V2-R03</x:v>
      </x:c>
      <x:c r="C236" s="20" t="str">
        <x:v>V2</x:v>
      </x:c>
      <x:c r="D236" s="20" t="str">
        <x:v>age_under_18</x:v>
      </x:c>
      <x:c r="E236" s="20" t="str">
        <x:v>population</x:v>
      </x:c>
      <x:c r="F236" s="50" t="n">
        <x:v>7977</x:v>
      </x:c>
      <x:c r="G236" s="50" t="n">
        <x:v>702.6615116825454</x:v>
      </x:c>
      <x:c r="H236" s="50" t="n">
        <x:v>7976.746</x:v>
      </x:c>
      <x:c r="I236" s="50" t="n">
        <x:v>714.1825454267222</x:v>
      </x:c>
      <x:c r="J236" s="42" t="n">
        <x:v>1.0163962783682134</x:v>
      </x:c>
      <x:c r="K236" s="42" t="n">
        <x:v>-0.0003614827278524112</x:v>
      </x:c>
      <x:c r="L236" s="26" t="n">
        <x:v>6831</x:v>
      </x:c>
      <x:c r="M236" s="26" t="n">
        <x:v>7969</x:v>
      </x:c>
      <x:c r="N236" s="26" t="n">
        <x:v>9116</x:v>
      </x:c>
    </x:row>
    <x:row r="237">
      <x:c r="A237" s="20" t="str">
        <x:v>T0_TABLE_BLOCK</x:v>
      </x:c>
      <x:c r="B237" s="20" t="str">
        <x:v>NYC-V2-R03</x:v>
      </x:c>
      <x:c r="C237" s="20" t="str">
        <x:v>V2</x:v>
      </x:c>
      <x:c r="D237" s="20" t="str">
        <x:v>age_65_plus</x:v>
      </x:c>
      <x:c r="E237" s="20" t="str">
        <x:v>population</x:v>
      </x:c>
      <x:c r="F237" s="50" t="n">
        <x:v>4703</x:v>
      </x:c>
      <x:c r="G237" s="50" t="n">
        <x:v>311.46685216889455</x:v>
      </x:c>
      <x:c r="H237" s="50" t="n">
        <x:v>4703.766</x:v>
      </x:c>
      <x:c r="I237" s="50" t="n">
        <x:v>311.6942902501978</x:v>
      </x:c>
      <x:c r="J237" s="42" t="n">
        <x:v>1.000730216007641</x:v>
      </x:c>
      <x:c r="K237" s="42" t="n">
        <x:v>0.002459330727060015</x:v>
      </x:c>
      <x:c r="L237" s="26" t="n">
        <x:v>4187</x:v>
      </x:c>
      <x:c r="M237" s="26" t="n">
        <x:v>4703</x:v>
      </x:c>
      <x:c r="N237" s="26" t="n">
        <x:v>5240</x:v>
      </x:c>
    </x:row>
    <x:row r="238">
      <x:c r="A238" s="20" t="str">
        <x:v>T0_TABLE_BLOCK</x:v>
      </x:c>
      <x:c r="B238" s="20" t="str">
        <x:v>NYC-V2-R03</x:v>
      </x:c>
      <x:c r="C238" s="20" t="str">
        <x:v>V2</x:v>
      </x:c>
      <x:c r="D238" s="20" t="str">
        <x:v>age_75_plus</x:v>
      </x:c>
      <x:c r="E238" s="20" t="str">
        <x:v>population</x:v>
      </x:c>
      <x:c r="F238" s="50" t="n">
        <x:v>1719</x:v>
      </x:c>
      <x:c r="G238" s="50" t="n">
        <x:v>207.76501149134808</x:v>
      </x:c>
      <x:c r="H238" s="50" t="n">
        <x:v>1719.085</x:v>
      </x:c>
      <x:c r="I238" s="50" t="n">
        <x:v>207.46233005872028</x:v>
      </x:c>
      <x:c r="J238" s="42" t="n">
        <x:v>0.998543154930394</x:v>
      </x:c>
      <x:c r="K238" s="42" t="n">
        <x:v>0.00040911604600746753</x:v>
      </x:c>
      <x:c r="L238" s="26" t="n">
        <x:v>1387</x:v>
      </x:c>
      <x:c r="M238" s="26" t="n">
        <x:v>1717</x:v>
      </x:c>
      <x:c r="N238" s="26" t="n">
        <x:v>2081</x:v>
      </x:c>
    </x:row>
    <x:row r="239">
      <x:c r="A239" s="20" t="str">
        <x:v>T0_TABLE_BLOCK</x:v>
      </x:c>
      <x:c r="B239" s="20" t="str">
        <x:v>NYC-V2-R03</x:v>
      </x:c>
      <x:c r="C239" s="20" t="str">
        <x:v>V2</x:v>
      </x:c>
      <x:c r="D239" s="20" t="str">
        <x:v>age_85_plus</x:v>
      </x:c>
      <x:c r="E239" s="20" t="str">
        <x:v>population</x:v>
      </x:c>
      <x:c r="F239" s="50" t="n">
        <x:v>558</x:v>
      </x:c>
      <x:c r="G239" s="50" t="n">
        <x:v>119.77645845490675</x:v>
      </x:c>
      <x:c r="H239" s="50" t="n">
        <x:v>558.039</x:v>
      </x:c>
      <x:c r="I239" s="50" t="n">
        <x:v>119.8179194144716</x:v>
      </x:c>
      <x:c r="J239" s="42" t="n">
        <x:v>1.0003461528258533</x:v>
      </x:c>
      <x:c r="K239" s="42" t="n">
        <x:v>0.0003256065549364187</x:v>
      </x:c>
      <x:c r="L239" s="26" t="n">
        <x:v>363</x:v>
      </x:c>
      <x:c r="M239" s="26" t="n">
        <x:v>561</x:v>
      </x:c>
      <x:c r="N239" s="26" t="n">
        <x:v>748</x:v>
      </x:c>
    </x:row>
    <x:row r="240">
      <x:c r="A240" s="20" t="str">
        <x:v>T0_TABLE_BLOCK</x:v>
      </x:c>
      <x:c r="B240" s="20" t="str">
        <x:v>NYC-V2-R03</x:v>
      </x:c>
      <x:c r="C240" s="20" t="str">
        <x:v>V2</x:v>
      </x:c>
      <x:c r="D240" s="20" t="str">
        <x:v>civilian_noninstitutionalized</x:v>
      </x:c>
      <x:c r="E240" s="20" t="str">
        <x:v>disability</x:v>
      </x:c>
      <x:c r="F240" s="50" t="n">
        <x:v>38606</x:v>
      </x:c>
      <x:c r="G240" s="50" t="n">
        <x:v>1370.8796263713311</x:v>
      </x:c>
      <x:c r="H240" s="50" t="n">
        <x:v>38605.118</x:v>
      </x:c>
      <x:c r="I240" s="50" t="n">
        <x:v>1387.0784674093786</x:v>
      </x:c>
      <x:c r="J240" s="42" t="n">
        <x:v>1.0118163846966821</x:v>
      </x:c>
      <x:c r="K240" s="42" t="n">
        <x:v>-0.0006433825282912769</x:v>
      </x:c>
      <x:c r="L240" s="26" t="n">
        <x:v>36293</x:v>
      </x:c>
      <x:c r="M240" s="26" t="n">
        <x:v>38613</x:v>
      </x:c>
      <x:c r="N240" s="26" t="n">
        <x:v>40796</x:v>
      </x:c>
    </x:row>
    <x:row r="241">
      <x:c r="A241" s="20" t="str">
        <x:v>T0_TABLE_BLOCK</x:v>
      </x:c>
      <x:c r="B241" s="20" t="str">
        <x:v>NYC-V2-R03</x:v>
      </x:c>
      <x:c r="C241" s="20" t="str">
        <x:v>V2</x:v>
      </x:c>
      <x:c r="D241" s="20" t="str">
        <x:v>any_disability</x:v>
      </x:c>
      <x:c r="E241" s="20" t="str">
        <x:v>disability</x:v>
      </x:c>
      <x:c r="F241" s="50" t="n">
        <x:v>4799</x:v>
      </x:c>
      <x:c r="G241" s="50" t="n">
        <x:v>368.2411573955307</x:v>
      </x:c>
      <x:c r="H241" s="50" t="n">
        <x:v>4798.907</x:v>
      </x:c>
      <x:c r="I241" s="50" t="n">
        <x:v>376.94717869553887</x:v>
      </x:c>
      <x:c r="J241" s="42" t="n">
        <x:v>1.023642173410445</x:v>
      </x:c>
      <x:c r="K241" s="42" t="n">
        <x:v>-0.00025255188924999813</x:v>
      </x:c>
      <x:c r="L241" s="26" t="n">
        <x:v>4188</x:v>
      </x:c>
      <x:c r="M241" s="26" t="n">
        <x:v>4800</x:v>
      </x:c>
      <x:c r="N241" s="26" t="n">
        <x:v>5430</x:v>
      </x:c>
    </x:row>
    <x:row r="242">
      <x:c r="A242" s="20" t="str">
        <x:v>T0_TABLE_BLOCK</x:v>
      </x:c>
      <x:c r="B242" s="20" t="str">
        <x:v>NYC-V2-R03</x:v>
      </x:c>
      <x:c r="C242" s="20" t="str">
        <x:v>V2</x:v>
      </x:c>
      <x:c r="D242" s="20" t="str">
        <x:v>disability_under_18</x:v>
      </x:c>
      <x:c r="E242" s="20" t="str">
        <x:v>disability</x:v>
      </x:c>
      <x:c r="F242" s="50" t="n">
        <x:v>363</x:v>
      </x:c>
      <x:c r="G242" s="50" t="n">
        <x:v>137.37667196434774</x:v>
      </x:c>
      <x:c r="H242" s="50" t="n">
        <x:v>362.96</x:v>
      </x:c>
      <x:c r="I242" s="50" t="n">
        <x:v>137.3937824337457</x:v>
      </x:c>
      <x:c r="J242" s="42" t="n">
        <x:v>1.0001245514915547</x:v>
      </x:c>
      <x:c r="K242" s="42" t="n">
        <x:v>-0.00029117025058229205</x:v>
      </x:c>
      <x:c r="L242" s="26" t="n">
        <x:v>142</x:v>
      </x:c>
      <x:c r="M242" s="26" t="n">
        <x:v>364</x:v>
      </x:c>
      <x:c r="N242" s="26" t="n">
        <x:v>587</x:v>
      </x:c>
    </x:row>
    <x:row r="243">
      <x:c r="A243" s="20" t="str">
        <x:v>T0_TABLE_BLOCK</x:v>
      </x:c>
      <x:c r="B243" s="20" t="str">
        <x:v>NYC-V2-R03</x:v>
      </x:c>
      <x:c r="C243" s="20" t="str">
        <x:v>V2</x:v>
      </x:c>
      <x:c r="D243" s="20" t="str">
        <x:v>disability_18_64</x:v>
      </x:c>
      <x:c r="E243" s="20" t="str">
        <x:v>disability</x:v>
      </x:c>
      <x:c r="F243" s="50" t="n">
        <x:v>2617</x:v>
      </x:c>
      <x:c r="G243" s="50" t="n">
        <x:v>263.2219595702456</x:v>
      </x:c>
      <x:c r="H243" s="50" t="n">
        <x:v>2616.988</x:v>
      </x:c>
      <x:c r="I243" s="50" t="n">
        <x:v>264.69433493550054</x:v>
      </x:c>
      <x:c r="J243" s="42" t="n">
        <x:v>1.0055936646306367</x:v>
      </x:c>
      <x:c r="K243" s="42" t="n">
        <x:v>-0.000045588901548195355</x:v>
      </x:c>
      <x:c r="L243" s="26" t="n">
        <x:v>2197</x:v>
      </x:c>
      <x:c r="M243" s="26" t="n">
        <x:v>2620</x:v>
      </x:c>
      <x:c r="N243" s="26" t="n">
        <x:v>3033</x:v>
      </x:c>
    </x:row>
    <x:row r="244">
      <x:c r="A244" s="20" t="str">
        <x:v>T0_TABLE_BLOCK</x:v>
      </x:c>
      <x:c r="B244" s="20" t="str">
        <x:v>NYC-V2-R03</x:v>
      </x:c>
      <x:c r="C244" s="20" t="str">
        <x:v>V2</x:v>
      </x:c>
      <x:c r="D244" s="20" t="str">
        <x:v>disability_65_plus</x:v>
      </x:c>
      <x:c r="E244" s="20" t="str">
        <x:v>disability</x:v>
      </x:c>
      <x:c r="F244" s="50" t="n">
        <x:v>1819</x:v>
      </x:c>
      <x:c r="G244" s="50" t="n">
        <x:v>212.02028204867574</x:v>
      </x:c>
      <x:c r="H244" s="50" t="n">
        <x:v>1818.959</x:v>
      </x:c>
      <x:c r="I244" s="50" t="n">
        <x:v>215.74088961170634</x:v>
      </x:c>
      <x:c r="J244" s="42" t="n">
        <x:v>1.0175483568226573</x:v>
      </x:c>
      <x:c r="K244" s="42" t="n">
        <x:v>-0.00019337772595985495</x:v>
      </x:c>
      <x:c r="L244" s="26" t="n">
        <x:v>1465</x:v>
      </x:c>
      <x:c r="M244" s="26" t="n">
        <x:v>1810</x:v>
      </x:c>
      <x:c r="N244" s="26" t="n">
        <x:v>2171</x:v>
      </x:c>
    </x:row>
    <x:row r="245">
      <x:c r="A245" s="20" t="str">
        <x:v>T0_TABLE_BLOCK</x:v>
      </x:c>
      <x:c r="B245" s="20" t="str">
        <x:v>NYC-V2-R03</x:v>
      </x:c>
      <x:c r="C245" s="20" t="str">
        <x:v>V2</x:v>
      </x:c>
      <x:c r="D245" s="20" t="str">
        <x:v>hearing_difficulty</x:v>
      </x:c>
      <x:c r="E245" s="20" t="str">
        <x:v>disability</x:v>
      </x:c>
      <x:c r="F245" s="50" t="n">
        <x:v>590</x:v>
      </x:c>
      <x:c r="G245" s="50" t="n">
        <x:v>166.00976718490733</x:v>
      </x:c>
      <x:c r="H245" s="50" t="n">
        <x:v>589.934</x:v>
      </x:c>
      <x:c r="I245" s="50" t="n">
        <x:v>165.9471304183778</x:v>
      </x:c>
      <x:c r="J245" s="42" t="n">
        <x:v>0.9996226922813538</x:v>
      </x:c>
      <x:c r="K245" s="42" t="n">
        <x:v>-0.000397566969216443</x:v>
      </x:c>
      <x:c r="L245" s="26" t="n">
        <x:v>318</x:v>
      </x:c>
      <x:c r="M245" s="26" t="n">
        <x:v>590</x:v>
      </x:c>
      <x:c r="N245" s="26" t="n">
        <x:v>862</x:v>
      </x:c>
    </x:row>
    <x:row r="246">
      <x:c r="A246" s="20" t="str">
        <x:v>T0_TABLE_BLOCK</x:v>
      </x:c>
      <x:c r="B246" s="20" t="str">
        <x:v>NYC-V2-R03</x:v>
      </x:c>
      <x:c r="C246" s="20" t="str">
        <x:v>V2</x:v>
      </x:c>
      <x:c r="D246" s="20" t="str">
        <x:v>vision_difficulty</x:v>
      </x:c>
      <x:c r="E246" s="20" t="str">
        <x:v>disability</x:v>
      </x:c>
      <x:c r="F246" s="50" t="n">
        <x:v>1163</x:v>
      </x:c>
      <x:c r="G246" s="50" t="n">
        <x:v>203.67917005083936</x:v>
      </x:c>
      <x:c r="H246" s="50" t="n">
        <x:v>1162.957</x:v>
      </x:c>
      <x:c r="I246" s="50" t="n">
        <x:v>203.72951397837738</x:v>
      </x:c>
      <x:c r="J246" s="42" t="n">
        <x:v>1.000247172685972</x:v>
      </x:c>
      <x:c r="K246" s="42" t="n">
        <x:v>-0.00021111633550529324</x:v>
      </x:c>
      <x:c r="L246" s="26" t="n">
        <x:v>829</x:v>
      </x:c>
      <x:c r="M246" s="26" t="n">
        <x:v>1163</x:v>
      </x:c>
      <x:c r="N246" s="26" t="n">
        <x:v>1497</x:v>
      </x:c>
    </x:row>
    <x:row r="247">
      <x:c r="A247" s="20" t="str">
        <x:v>T0_TABLE_BLOCK</x:v>
      </x:c>
      <x:c r="B247" s="20" t="str">
        <x:v>NYC-V2-R03</x:v>
      </x:c>
      <x:c r="C247" s="20" t="str">
        <x:v>V2</x:v>
      </x:c>
      <x:c r="D247" s="20" t="str">
        <x:v>cognitive_difficulty</x:v>
      </x:c>
      <x:c r="E247" s="20" t="str">
        <x:v>disability</x:v>
      </x:c>
      <x:c r="F247" s="50" t="n">
        <x:v>1801</x:v>
      </x:c>
      <x:c r="G247" s="50" t="n">
        <x:v>226.2125254884308</x:v>
      </x:c>
      <x:c r="H247" s="50" t="n">
        <x:v>1801.001</x:v>
      </x:c>
      <x:c r="I247" s="50" t="n">
        <x:v>226.14979267672948</x:v>
      </x:c>
      <x:c r="J247" s="42" t="n">
        <x:v>0.9997226819710099</x:v>
      </x:c>
      <x:c r="K247" s="42" t="n">
        <x:v>0.000004420621704378152</x:v>
      </x:c>
      <x:c r="L247" s="26" t="n">
        <x:v>1431</x:v>
      </x:c>
      <x:c r="M247" s="26" t="n">
        <x:v>1801</x:v>
      </x:c>
      <x:c r="N247" s="26" t="n">
        <x:v>2172</x:v>
      </x:c>
    </x:row>
    <x:row r="248">
      <x:c r="A248" s="20" t="str">
        <x:v>T0_TABLE_BLOCK</x:v>
      </x:c>
      <x:c r="B248" s="20" t="str">
        <x:v>NYC-V2-R03</x:v>
      </x:c>
      <x:c r="C248" s="20" t="str">
        <x:v>V2</x:v>
      </x:c>
      <x:c r="D248" s="20" t="str">
        <x:v>ambulatory_difficulty</x:v>
      </x:c>
      <x:c r="E248" s="20" t="str">
        <x:v>disability</x:v>
      </x:c>
      <x:c r="F248" s="50" t="n">
        <x:v>2820</x:v>
      </x:c>
      <x:c r="G248" s="50" t="n">
        <x:v>289.0806021413726</x:v>
      </x:c>
      <x:c r="H248" s="50" t="n">
        <x:v>2820.095</x:v>
      </x:c>
      <x:c r="I248" s="50" t="n">
        <x:v>289.2014755641272</x:v>
      </x:c>
      <x:c r="J248" s="42" t="n">
        <x:v>1.000418130520897</x:v>
      </x:c>
      <x:c r="K248" s="42" t="n">
        <x:v>0.0003286280687672738</x:v>
      </x:c>
      <x:c r="L248" s="26" t="n">
        <x:v>2346</x:v>
      </x:c>
      <x:c r="M248" s="26" t="n">
        <x:v>2820</x:v>
      </x:c>
      <x:c r="N248" s="26" t="n">
        <x:v>3294</x:v>
      </x:c>
    </x:row>
    <x:row r="249">
      <x:c r="A249" s="20" t="str">
        <x:v>T0_TABLE_BLOCK</x:v>
      </x:c>
      <x:c r="B249" s="20" t="str">
        <x:v>NYC-V2-R03</x:v>
      </x:c>
      <x:c r="C249" s="20" t="str">
        <x:v>V2</x:v>
      </x:c>
      <x:c r="D249" s="20" t="str">
        <x:v>self_care_difficulty</x:v>
      </x:c>
      <x:c r="E249" s="20" t="str">
        <x:v>disability</x:v>
      </x:c>
      <x:c r="F249" s="50" t="n">
        <x:v>931</x:v>
      </x:c>
      <x:c r="G249" s="50" t="n">
        <x:v>178.47303762899713</x:v>
      </x:c>
      <x:c r="H249" s="50" t="n">
        <x:v>931.107</x:v>
      </x:c>
      <x:c r="I249" s="50" t="n">
        <x:v>178.48504829106403</x:v>
      </x:c>
      <x:c r="J249" s="42" t="n">
        <x:v>1.000067296787383</x:v>
      </x:c>
      <x:c r="K249" s="42" t="n">
        <x:v>0.0005995303347859096</x:v>
      </x:c>
      <x:c r="L249" s="26" t="n">
        <x:v>638</x:v>
      </x:c>
      <x:c r="M249" s="26" t="n">
        <x:v>931</x:v>
      </x:c>
      <x:c r="N249" s="26" t="n">
        <x:v>1224</x:v>
      </x:c>
    </x:row>
    <x:row r="250">
      <x:c r="A250" s="20" t="str">
        <x:v>T0_TABLE_BLOCK</x:v>
      </x:c>
      <x:c r="B250" s="20" t="str">
        <x:v>NYC-V2-R03</x:v>
      </x:c>
      <x:c r="C250" s="20" t="str">
        <x:v>V2</x:v>
      </x:c>
      <x:c r="D250" s="20" t="str">
        <x:v>independent_living_difficulty</x:v>
      </x:c>
      <x:c r="E250" s="20" t="str">
        <x:v>disability</x:v>
      </x:c>
      <x:c r="F250" s="50" t="n">
        <x:v>1682</x:v>
      </x:c>
      <x:c r="G250" s="50" t="n">
        <x:v>217.07746201256452</x:v>
      </x:c>
      <x:c r="H250" s="50" t="n">
        <x:v>1682.058</x:v>
      </x:c>
      <x:c r="I250" s="50" t="n">
        <x:v>217.526620132954</x:v>
      </x:c>
      <x:c r="J250" s="42" t="n">
        <x:v>1.0020691144821081</x:v>
      </x:c>
      <x:c r="K250" s="42" t="n">
        <x:v>0.00026718572928881795</x:v>
      </x:c>
      <x:c r="L250" s="26" t="n">
        <x:v>1327</x:v>
      </x:c>
      <x:c r="M250" s="26" t="n">
        <x:v>1682</x:v>
      </x:c>
      <x:c r="N250" s="26" t="n">
        <x:v>2037</x:v>
      </x:c>
    </x:row>
    <x:row r="251">
      <x:c r="A251" s="20" t="str">
        <x:v>T0_TABLE_BLOCK</x:v>
      </x:c>
      <x:c r="B251" s="20" t="str">
        <x:v>NYC-V2-R03</x:v>
      </x:c>
      <x:c r="C251" s="20" t="str">
        <x:v>V2</x:v>
      </x:c>
      <x:c r="D251" s="20" t="str">
        <x:v>households</x:v>
      </x:c>
      <x:c r="E251" s="20" t="str">
        <x:v>household</x:v>
      </x:c>
      <x:c r="F251" s="50" t="n">
        <x:v>15397</x:v>
      </x:c>
      <x:c r="G251" s="50" t="n">
        <x:v>332.22033351376916</x:v>
      </x:c>
      <x:c r="H251" s="50" t="n">
        <x:v>15397.019</x:v>
      </x:c>
      <x:c r="I251" s="50" t="n">
        <x:v>341.8699368073956</x:v>
      </x:c>
      <x:c r="J251" s="42" t="n">
        <x:v>1.0290457937705566</x:v>
      </x:c>
      <x:c r="K251" s="42" t="n">
        <x:v>0.00005719096058714106</x:v>
      </x:c>
      <x:c r="L251" s="26" t="n">
        <x:v>14828</x:v>
      </x:c>
      <x:c r="M251" s="26" t="n">
        <x:v>15391</x:v>
      </x:c>
      <x:c r="N251" s="26" t="n">
        <x:v>15965</x:v>
      </x:c>
    </x:row>
    <x:row r="252">
      <x:c r="A252" s="20" t="str">
        <x:v>T0_TABLE_BLOCK</x:v>
      </x:c>
      <x:c r="B252" s="20" t="str">
        <x:v>NYC-V2-R03</x:v>
      </x:c>
      <x:c r="C252" s="20" t="str">
        <x:v>V2</x:v>
      </x:c>
      <x:c r="D252" s="20" t="str">
        <x:v>family_households</x:v>
      </x:c>
      <x:c r="E252" s="20" t="str">
        <x:v>household</x:v>
      </x:c>
      <x:c r="F252" s="50" t="n">
        <x:v>7836</x:v>
      </x:c>
      <x:c r="G252" s="50" t="n">
        <x:v>353.01593448454986</x:v>
      </x:c>
      <x:c r="H252" s="50" t="n">
        <x:v>7835.963</x:v>
      </x:c>
      <x:c r="I252" s="50" t="n">
        <x:v>459.78701344071123</x:v>
      </x:c>
      <x:c r="J252" s="42" t="n">
        <x:v>1.3024539929396142</x:v>
      </x:c>
      <x:c r="K252" s="42" t="n">
        <x:v>-0.00010481113282970314</x:v>
      </x:c>
      <x:c r="L252" s="26" t="n">
        <x:v>7112</x:v>
      </x:c>
      <x:c r="M252" s="26" t="n">
        <x:v>7828</x:v>
      </x:c>
      <x:c r="N252" s="26" t="n">
        <x:v>8560</x:v>
      </x:c>
    </x:row>
    <x:row r="253">
      <x:c r="A253" s="20" t="str">
        <x:v>T0_TABLE_BLOCK</x:v>
      </x:c>
      <x:c r="B253" s="20" t="str">
        <x:v>NYC-V2-R03</x:v>
      </x:c>
      <x:c r="C253" s="20" t="str">
        <x:v>V2</x:v>
      </x:c>
      <x:c r="D253" s="20" t="str">
        <x:v>nonfamily_households</x:v>
      </x:c>
      <x:c r="E253" s="20" t="str">
        <x:v>household</x:v>
      </x:c>
      <x:c r="F253" s="50" t="n">
        <x:v>7561</x:v>
      </x:c>
      <x:c r="G253" s="50" t="n">
        <x:v>300.52304404155103</x:v>
      </x:c>
      <x:c r="H253" s="50" t="n">
        <x:v>7561.056</x:v>
      </x:c>
      <x:c r="I253" s="50" t="n">
        <x:v>296.9172691655518</x:v>
      </x:c>
      <x:c r="J253" s="42" t="n">
        <x:v>0.988001669264668</x:v>
      </x:c>
      <x:c r="K253" s="42" t="n">
        <x:v>0.0001863417834668365</x:v>
      </x:c>
      <x:c r="L253" s="26" t="n">
        <x:v>7106</x:v>
      </x:c>
      <x:c r="M253" s="26" t="n">
        <x:v>7558</x:v>
      </x:c>
      <x:c r="N253" s="26" t="n">
        <x:v>8082</x:v>
      </x:c>
    </x:row>
    <x:row r="254">
      <x:c r="A254" s="20" t="str">
        <x:v>T0_TABLE_BLOCK</x:v>
      </x:c>
      <x:c r="B254" s="20" t="str">
        <x:v>NYC-V2-R03</x:v>
      </x:c>
      <x:c r="C254" s="20" t="str">
        <x:v>V2</x:v>
      </x:c>
      <x:c r="D254" s="20" t="str">
        <x:v>living_alone_households</x:v>
      </x:c>
      <x:c r="E254" s="20" t="str">
        <x:v>household</x:v>
      </x:c>
      <x:c r="F254" s="50" t="n">
        <x:v>4933</x:v>
      </x:c>
      <x:c r="G254" s="50" t="n">
        <x:v>322.9971362102147</x:v>
      </x:c>
      <x:c r="H254" s="50" t="n">
        <x:v>4933.034</x:v>
      </x:c>
      <x:c r="I254" s="50" t="n">
        <x:v>316.57570820109214</x:v>
      </x:c>
      <x:c r="J254" s="42" t="n">
        <x:v>0.9801192416611912</x:v>
      </x:c>
      <x:c r="K254" s="42" t="n">
        <x:v>0.00010526409118848253</x:v>
      </x:c>
      <x:c r="L254" s="26" t="n">
        <x:v>4422</x:v>
      </x:c>
      <x:c r="M254" s="26" t="n">
        <x:v>4926</x:v>
      </x:c>
      <x:c r="N254" s="26" t="n">
        <x:v>5481</x:v>
      </x:c>
    </x:row>
    <x:row r="255">
      <x:c r="A255" s="20" t="str">
        <x:v>T0_TABLE_BLOCK</x:v>
      </x:c>
      <x:c r="B255" s="20" t="str">
        <x:v>NYC-V2-R03</x:v>
      </x:c>
      <x:c r="C255" s="20" t="str">
        <x:v>V2</x:v>
      </x:c>
      <x:c r="D255" s="20" t="str">
        <x:v>households_with_children</x:v>
      </x:c>
      <x:c r="E255" s="20" t="str">
        <x:v>household</x:v>
      </x:c>
      <x:c r="F255" s="50" t="n">
        <x:v>4145</x:v>
      </x:c>
      <x:c r="G255" s="50" t="n">
        <x:v>321.27005773959087</x:v>
      </x:c>
      <x:c r="H255" s="50" t="n">
        <x:v>4145.03</x:v>
      </x:c>
      <x:c r="I255" s="50" t="n">
        <x:v>330.78374655806016</x:v>
      </x:c>
      <x:c r="J255" s="42" t="n">
        <x:v>1.0296127466263312</x:v>
      </x:c>
      <x:c r="K255" s="42" t="n">
        <x:v>0.00009337938372103815</x:v>
      </x:c>
      <x:c r="L255" s="26" t="n">
        <x:v>3614</x:v>
      </x:c>
      <x:c r="M255" s="26" t="n">
        <x:v>4139</x:v>
      </x:c>
      <x:c r="N255" s="26" t="n">
        <x:v>4685</x:v>
      </x:c>
    </x:row>
    <x:row r="256">
      <x:c r="A256" s="20" t="str">
        <x:v>T0_TABLE_BLOCK</x:v>
      </x:c>
      <x:c r="B256" s="20" t="str">
        <x:v>NYC-V2-R03</x:v>
      </x:c>
      <x:c r="C256" s="20" t="str">
        <x:v>V2</x:v>
      </x:c>
      <x:c r="D256" s="20" t="str">
        <x:v>households_with_age65</x:v>
      </x:c>
      <x:c r="E256" s="20" t="str">
        <x:v>household</x:v>
      </x:c>
      <x:c r="F256" s="50" t="n">
        <x:v>3626</x:v>
      </x:c>
      <x:c r="G256" s="50" t="n">
        <x:v>217.12922419609941</x:v>
      </x:c>
      <x:c r="H256" s="50" t="n">
        <x:v>3625.981</x:v>
      </x:c>
      <x:c r="I256" s="50" t="n">
        <x:v>221.10997322431945</x:v>
      </x:c>
      <x:c r="J256" s="42" t="n">
        <x:v>1.01833354788126</x:v>
      </x:c>
      <x:c r="K256" s="42" t="n">
        <x:v>-0.0000875054938833029</x:v>
      </x:c>
      <x:c r="L256" s="26" t="n">
        <x:v>3251</x:v>
      </x:c>
      <x:c r="M256" s="26" t="n">
        <x:v>3629</x:v>
      </x:c>
      <x:c r="N256" s="26" t="n">
        <x:v>3992</x:v>
      </x:c>
    </x:row>
    <x:row r="257">
      <x:c r="A257" s="20" t="str">
        <x:v>T0_TABLE_BLOCK</x:v>
      </x:c>
      <x:c r="B257" s="20" t="str">
        <x:v>NYC-V2-R03</x:v>
      </x:c>
      <x:c r="C257" s="20" t="str">
        <x:v>V2</x:v>
      </x:c>
      <x:c r="D257" s="20" t="str">
        <x:v>age65_one_person_households</x:v>
      </x:c>
      <x:c r="E257" s="20" t="str">
        <x:v>household</x:v>
      </x:c>
      <x:c r="F257" s="50" t="n">
        <x:v>1187</x:v>
      </x:c>
      <x:c r="G257" s="50" t="n">
        <x:v>144.60981986020175</x:v>
      </x:c>
      <x:c r="H257" s="50" t="n">
        <x:v>1187.004</x:v>
      </x:c>
      <x:c r="I257" s="50" t="n">
        <x:v>148.512821136904</x:v>
      </x:c>
      <x:c r="J257" s="42" t="n">
        <x:v>1.0269898771776036</x:v>
      </x:c>
      <x:c r="K257" s="42" t="n">
        <x:v>0.000027660638840241425</x:v>
      </x:c>
      <x:c r="L257" s="26" t="n">
        <x:v>938</x:v>
      </x:c>
      <x:c r="M257" s="26" t="n">
        <x:v>1192</x:v>
      </x:c>
      <x:c r="N257" s="26" t="n">
        <x:v>1428</x:v>
      </x:c>
    </x:row>
    <x:row r="258">
      <x:c r="A258" s="20" t="str">
        <x:v>T0_TABLE_BLOCK</x:v>
      </x:c>
      <x:c r="B258" s="20" t="str">
        <x:v>NYC-V2-R03</x:v>
      </x:c>
      <x:c r="C258" s="20" t="str">
        <x:v>V2</x:v>
      </x:c>
      <x:c r="D258" s="20" t="str">
        <x:v>no_vehicle_households</x:v>
      </x:c>
      <x:c r="E258" s="20" t="str">
        <x:v>household</x:v>
      </x:c>
      <x:c r="F258" s="50" t="n">
        <x:v>8729</x:v>
      </x:c>
      <x:c r="G258" s="50" t="n">
        <x:v>357.2068752039655</x:v>
      </x:c>
      <x:c r="H258" s="50" t="n">
        <x:v>8729.109</x:v>
      </x:c>
      <x:c r="I258" s="50" t="n">
        <x:v>358.47158743476166</x:v>
      </x:c>
      <x:c r="J258" s="42" t="n">
        <x:v>1.003540559598899</x:v>
      </x:c>
      <x:c r="K258" s="42" t="n">
        <x:v>0.0003051453025313111</x:v>
      </x:c>
      <x:c r="L258" s="26" t="n">
        <x:v>8141</x:v>
      </x:c>
      <x:c r="M258" s="26" t="n">
        <x:v>8729</x:v>
      </x:c>
      <x:c r="N258" s="26" t="n">
        <x:v>9315</x:v>
      </x:c>
    </x:row>
    <x:row r="259">
      <x:c r="A259" s="20" t="str">
        <x:v>T0_TABLE_BLOCK</x:v>
      </x:c>
      <x:c r="B259" s="20" t="str">
        <x:v>NYC-V2-R03</x:v>
      </x:c>
      <x:c r="C259" s="20" t="str">
        <x:v>V2</x:v>
      </x:c>
      <x:c r="D259" s="20" t="str">
        <x:v>limited_english_households</x:v>
      </x:c>
      <x:c r="E259" s="20" t="str">
        <x:v>household</x:v>
      </x:c>
      <x:c r="F259" s="50" t="n">
        <x:v>183</x:v>
      </x:c>
      <x:c r="G259" s="50" t="n">
        <x:v>88.41171532011109</x:v>
      </x:c>
      <x:c r="H259" s="50" t="n">
        <x:v>183.616</x:v>
      </x:c>
      <x:c r="I259" s="50" t="n">
        <x:v>86.86716553709145</x:v>
      </x:c>
      <x:c r="J259" s="42" t="n">
        <x:v>0.9825300326158439</x:v>
      </x:c>
      <x:c r="K259" s="42" t="n">
        <x:v>0.0069674024281699675</x:v>
      </x:c>
      <x:c r="L259" s="26" t="n">
        <x:v>38</x:v>
      </x:c>
      <x:c r="M259" s="26" t="n">
        <x:v>183</x:v>
      </x:c>
      <x:c r="N259" s="26" t="n">
        <x:v>328</x:v>
      </x:c>
    </x:row>
    <x:row r="260">
      <x:c r="A260" s="20" t="str">
        <x:v>T0_TABLE_BLOCK</x:v>
      </x:c>
      <x:c r="B260" s="20" t="str">
        <x:v>NYC-V2-R03</x:v>
      </x:c>
      <x:c r="C260" s="20" t="str">
        <x:v>V2</x:v>
      </x:c>
      <x:c r="D260" s="20" t="str">
        <x:v>housing_units</x:v>
      </x:c>
      <x:c r="E260" s="20" t="str">
        <x:v>housing</x:v>
      </x:c>
      <x:c r="F260" s="50" t="n">
        <x:v>17030</x:v>
      </x:c>
      <x:c r="G260" s="50" t="n">
        <x:v>281.80880043036274</x:v>
      </x:c>
      <x:c r="H260" s="50" t="n">
        <x:v>17030.05</x:v>
      </x:c>
      <x:c r="I260" s="50" t="n">
        <x:v>287.60125866203015</x:v>
      </x:c>
      <x:c r="J260" s="42" t="n">
        <x:v>1.020554568284672</x:v>
      </x:c>
      <x:c r="K260" s="42" t="n">
        <x:v>0.0001774252611093592</x:v>
      </x:c>
      <x:c r="L260" s="26" t="n">
        <x:v>16559</x:v>
      </x:c>
      <x:c r="M260" s="26" t="n">
        <x:v>17032</x:v>
      </x:c>
      <x:c r="N260" s="26" t="n">
        <x:v>17501</x:v>
      </x:c>
    </x:row>
    <x:row r="261">
      <x:c r="A261" s="20" t="str">
        <x:v>T0_TABLE_BLOCK</x:v>
      </x:c>
      <x:c r="B261" s="20" t="str">
        <x:v>NYC-V2-R03</x:v>
      </x:c>
      <x:c r="C261" s="20" t="str">
        <x:v>V2</x:v>
      </x:c>
      <x:c r="D261" s="20" t="str">
        <x:v>occupied_housing_units</x:v>
      </x:c>
      <x:c r="E261" s="20" t="str">
        <x:v>housing</x:v>
      </x:c>
      <x:c r="F261" s="50" t="n">
        <x:v>15397</x:v>
      </x:c>
      <x:c r="G261" s="50" t="n">
        <x:v>332.22033351376916</x:v>
      </x:c>
      <x:c r="H261" s="50" t="n">
        <x:v>15397.019</x:v>
      </x:c>
      <x:c r="I261" s="50" t="n">
        <x:v>341.8699368073956</x:v>
      </x:c>
      <x:c r="J261" s="42" t="n">
        <x:v>1.0290457937705566</x:v>
      </x:c>
      <x:c r="K261" s="42" t="n">
        <x:v>0.00005719096058714106</x:v>
      </x:c>
      <x:c r="L261" s="26" t="n">
        <x:v>14828</x:v>
      </x:c>
      <x:c r="M261" s="26" t="n">
        <x:v>15391</x:v>
      </x:c>
      <x:c r="N261" s="26" t="n">
        <x:v>15965</x:v>
      </x:c>
    </x:row>
    <x:row r="262">
      <x:c r="A262" s="20" t="str">
        <x:v>T0_TABLE_BLOCK</x:v>
      </x:c>
      <x:c r="B262" s="20" t="str">
        <x:v>NYC-V2-R03</x:v>
      </x:c>
      <x:c r="C262" s="20" t="str">
        <x:v>V2</x:v>
      </x:c>
      <x:c r="D262" s="20" t="str">
        <x:v>vacant_housing_units</x:v>
      </x:c>
      <x:c r="E262" s="20" t="str">
        <x:v>housing</x:v>
      </x:c>
      <x:c r="F262" s="50" t="n">
        <x:v>1633</x:v>
      </x:c>
      <x:c r="G262" s="50" t="n">
        <x:v>167.9138171801237</x:v>
      </x:c>
      <x:c r="H262" s="50" t="n">
        <x:v>1633.031</x:v>
      </x:c>
      <x:c r="I262" s="50" t="n">
        <x:v>169.2875965017205</x:v>
      </x:c>
      <x:c r="J262" s="42" t="n">
        <x:v>1.0081814548955381</x:v>
      </x:c>
      <x:c r="K262" s="42" t="n">
        <x:v>0.00018461851752613604</x:v>
      </x:c>
      <x:c r="L262" s="26" t="n">
        <x:v>1355</x:v>
      </x:c>
      <x:c r="M262" s="26" t="n">
        <x:v>1641</x:v>
      </x:c>
      <x:c r="N262" s="26" t="n">
        <x:v>1901</x:v>
      </x:c>
    </x:row>
    <x:row r="263">
      <x:c r="A263" s="20" t="str">
        <x:v>T0_TABLE_BLOCK</x:v>
      </x:c>
      <x:c r="B263" s="20" t="str">
        <x:v>NYC-V2-R03</x:v>
      </x:c>
      <x:c r="C263" s="20" t="str">
        <x:v>V2</x:v>
      </x:c>
      <x:c r="D263" s="20" t="str">
        <x:v>owner_occupied_units</x:v>
      </x:c>
      <x:c r="E263" s="20" t="str">
        <x:v>housing</x:v>
      </x:c>
      <x:c r="F263" s="50" t="n">
        <x:v>4446</x:v>
      </x:c>
      <x:c r="G263" s="50" t="n">
        <x:v>279.64384815669155</x:v>
      </x:c>
      <x:c r="H263" s="50" t="n">
        <x:v>4445.918</x:v>
      </x:c>
      <x:c r="I263" s="50" t="n">
        <x:v>255.06904456145497</x:v>
      </x:c>
      <x:c r="J263" s="42" t="n">
        <x:v>0.9121210648572298</x:v>
      </x:c>
      <x:c r="K263" s="42" t="n">
        <x:v>-0.000293230123032737</x:v>
      </x:c>
      <x:c r="L263" s="26" t="n">
        <x:v>4037</x:v>
      </x:c>
      <x:c r="M263" s="26" t="n">
        <x:v>4446</x:v>
      </x:c>
      <x:c r="N263" s="26" t="n">
        <x:v>4872</x:v>
      </x:c>
    </x:row>
    <x:row r="264">
      <x:c r="A264" s="20" t="str">
        <x:v>T0_TABLE_BLOCK</x:v>
      </x:c>
      <x:c r="B264" s="20" t="str">
        <x:v>NYC-V2-R03</x:v>
      </x:c>
      <x:c r="C264" s="20" t="str">
        <x:v>V2</x:v>
      </x:c>
      <x:c r="D264" s="20" t="str">
        <x:v>renter_occupied_units</x:v>
      </x:c>
      <x:c r="E264" s="20" t="str">
        <x:v>housing</x:v>
      </x:c>
      <x:c r="F264" s="50" t="n">
        <x:v>10951</x:v>
      </x:c>
      <x:c r="G264" s="50" t="n">
        <x:v>394.6436015113587</x:v>
      </x:c>
      <x:c r="H264" s="50" t="n">
        <x:v>10951.101</x:v>
      </x:c>
      <x:c r="I264" s="50" t="n">
        <x:v>328.63146142211707</x:v>
      </x:c>
      <x:c r="J264" s="42" t="n">
        <x:v>0.8327297342806617</x:v>
      </x:c>
      <x:c r="K264" s="42" t="n">
        <x:v>0.0002559271190861067</x:v>
      </x:c>
      <x:c r="L264" s="26" t="n">
        <x:v>10421</x:v>
      </x:c>
      <x:c r="M264" s="26" t="n">
        <x:v>10951</x:v>
      </x:c>
      <x:c r="N264" s="26" t="n">
        <x:v>11491</x:v>
      </x:c>
    </x:row>
    <x:row r="265">
      <x:c r="A265" s="20" t="str">
        <x:v>T0_TABLE_BLOCK</x:v>
      </x:c>
      <x:c r="B265" s="20" t="str">
        <x:v>NYC-V2-R03</x:v>
      </x:c>
      <x:c r="C265" s="20" t="str">
        <x:v>V2</x:v>
      </x:c>
      <x:c r="D265" s="20" t="str">
        <x:v>one_unit_structures</x:v>
      </x:c>
      <x:c r="E265" s="20" t="str">
        <x:v>housing</x:v>
      </x:c>
      <x:c r="F265" s="50" t="n">
        <x:v>1672</x:v>
      </x:c>
      <x:c r="G265" s="50" t="n">
        <x:v>215.3280390298036</x:v>
      </x:c>
      <x:c r="H265" s="50" t="n">
        <x:v>1671.912</x:v>
      </x:c>
      <x:c r="I265" s="50" t="n">
        <x:v>205.5472985664077</x:v>
      </x:c>
      <x:c r="J265" s="42" t="n">
        <x:v>0.9545774878763368</x:v>
      </x:c>
      <x:c r="K265" s="42" t="n">
        <x:v>-0.0004086787786507699</x:v>
      </x:c>
      <x:c r="L265" s="26" t="n">
        <x:v>1334</x:v>
      </x:c>
      <x:c r="M265" s="26" t="n">
        <x:v>1671</x:v>
      </x:c>
      <x:c r="N265" s="26" t="n">
        <x:v>2018</x:v>
      </x:c>
    </x:row>
    <x:row r="266">
      <x:c r="A266" s="20" t="str">
        <x:v>T0_TABLE_BLOCK</x:v>
      </x:c>
      <x:c r="B266" s="20" t="str">
        <x:v>NYC-V2-R03</x:v>
      </x:c>
      <x:c r="C266" s="20" t="str">
        <x:v>V2</x:v>
      </x:c>
      <x:c r="D266" s="20" t="str">
        <x:v>two_to_four_unit_structures</x:v>
      </x:c>
      <x:c r="E266" s="20" t="str">
        <x:v>housing</x:v>
      </x:c>
      <x:c r="F266" s="50" t="n">
        <x:v>6938</x:v>
      </x:c>
      <x:c r="G266" s="50" t="n">
        <x:v>386.53532607054063</x:v>
      </x:c>
      <x:c r="H266" s="50" t="n">
        <x:v>6916.356</x:v>
      </x:c>
      <x:c r="I266" s="50" t="n">
        <x:v>329.7382091152776</x:v>
      </x:c>
      <x:c r="J266" s="42" t="n">
        <x:v>0.8530609930723437</x:v>
      </x:c>
      <x:c r="K266" s="42" t="n">
        <x:v>-0.0559948820720472</x:v>
      </x:c>
      <x:c r="L266" s="26" t="n">
        <x:v>6389</x:v>
      </x:c>
      <x:c r="M266" s="26" t="n">
        <x:v>6920</x:v>
      </x:c>
      <x:c r="N266" s="26" t="n">
        <x:v>7431</x:v>
      </x:c>
    </x:row>
    <x:row r="267">
      <x:c r="A267" s="20" t="str">
        <x:v>T0_TABLE_BLOCK</x:v>
      </x:c>
      <x:c r="B267" s="20" t="str">
        <x:v>NYC-V2-R03</x:v>
      </x:c>
      <x:c r="C267" s="20" t="str">
        <x:v>V2</x:v>
      </x:c>
      <x:c r="D267" s="20" t="str">
        <x:v>five_to_nineteen_unit_structures</x:v>
      </x:c>
      <x:c r="E267" s="20" t="str">
        <x:v>housing</x:v>
      </x:c>
      <x:c r="F267" s="50" t="n">
        <x:v>3263</x:v>
      </x:c>
      <x:c r="G267" s="50" t="n">
        <x:v>294.0238957541901</x:v>
      </x:c>
      <x:c r="H267" s="50" t="n">
        <x:v>3262.673</x:v>
      </x:c>
      <x:c r="I267" s="50" t="n">
        <x:v>271.2363272428976</x:v>
      </x:c>
      <x:c r="J267" s="42" t="n">
        <x:v>0.9224975628159713</x:v>
      </x:c>
      <x:c r="K267" s="42" t="n">
        <x:v>-0.0011121545041822183</x:v>
      </x:c>
      <x:c r="L267" s="26" t="n">
        <x:v>2811</x:v>
      </x:c>
      <x:c r="M267" s="26" t="n">
        <x:v>3261</x:v>
      </x:c>
      <x:c r="N267" s="26" t="n">
        <x:v>3688</x:v>
      </x:c>
    </x:row>
    <x:row r="268">
      <x:c r="A268" s="20" t="str">
        <x:v>T0_TABLE_BLOCK</x:v>
      </x:c>
      <x:c r="B268" s="20" t="str">
        <x:v>NYC-V2-R03</x:v>
      </x:c>
      <x:c r="C268" s="20" t="str">
        <x:v>V2</x:v>
      </x:c>
      <x:c r="D268" s="20" t="str">
        <x:v>twenty_to_forty_nine_unit_structures</x:v>
      </x:c>
      <x:c r="E268" s="20" t="str">
        <x:v>housing</x:v>
      </x:c>
      <x:c r="F268" s="50" t="n">
        <x:v>1613</x:v>
      </x:c>
      <x:c r="G268" s="50" t="n">
        <x:v>205.62573992379473</x:v>
      </x:c>
      <x:c r="H268" s="50" t="n">
        <x:v>1612.923</x:v>
      </x:c>
      <x:c r="I268" s="50" t="n">
        <x:v>198.78373183699676</x:v>
      </x:c>
      <x:c r="J268" s="42" t="n">
        <x:v>0.9667259162722837</x:v>
      </x:c>
      <x:c r="K268" s="42" t="n">
        <x:v>-0.000374466737620176</x:v>
      </x:c>
      <x:c r="L268" s="26" t="n">
        <x:v>1288</x:v>
      </x:c>
      <x:c r="M268" s="26" t="n">
        <x:v>1614</x:v>
      </x:c>
      <x:c r="N268" s="26" t="n">
        <x:v>1944</x:v>
      </x:c>
    </x:row>
    <x:row r="269">
      <x:c r="A269" s="20" t="str">
        <x:v>T0_TABLE_BLOCK</x:v>
      </x:c>
      <x:c r="B269" s="20" t="str">
        <x:v>NYC-V2-R03</x:v>
      </x:c>
      <x:c r="C269" s="20" t="str">
        <x:v>V2</x:v>
      </x:c>
      <x:c r="D269" s="20" t="str">
        <x:v>fifty_plus_unit_structures</x:v>
      </x:c>
      <x:c r="E269" s="20" t="str">
        <x:v>housing</x:v>
      </x:c>
      <x:c r="F269" s="50" t="n">
        <x:v>1911</x:v>
      </x:c>
      <x:c r="G269" s="50" t="n">
        <x:v>194.5773115990532</x:v>
      </x:c>
      <x:c r="H269" s="50" t="n">
        <x:v>1910.865</x:v>
      </x:c>
      <x:c r="I269" s="50" t="n">
        <x:v>185.81260209710777</x:v>
      </x:c>
      <x:c r="J269" s="42" t="n">
        <x:v>0.9549551310483413</x:v>
      </x:c>
      <x:c r="K269" s="42" t="n">
        <x:v>-0.0006938116211522773</x:v>
      </x:c>
      <x:c r="L269" s="26" t="n">
        <x:v>1597</x:v>
      </x:c>
      <x:c r="M269" s="26" t="n">
        <x:v>1913</x:v>
      </x:c>
      <x:c r="N269" s="26" t="n">
        <x:v>2221</x:v>
      </x:c>
    </x:row>
    <x:row r="270">
      <x:c r="A270" s="20" t="str">
        <x:v>T0_TABLE_BLOCK</x:v>
      </x:c>
      <x:c r="B270" s="20" t="str">
        <x:v>NYC-V2-R03</x:v>
      </x:c>
      <x:c r="C270" s="20" t="str">
        <x:v>V2</x:v>
      </x:c>
      <x:c r="D270" s="20" t="str">
        <x:v>mobile_or_other_units</x:v>
      </x:c>
      <x:c r="E270" s="20" t="str">
        <x:v>housing</x:v>
      </x:c>
      <x:c r="F270" s="50" t="n">
        <x:v>0</x:v>
      </x:c>
      <x:c r="G270" s="50" t="n">
        <x:v>56.045862962266796</x:v>
      </x:c>
      <x:c r="H270" s="50" t="n">
        <x:v>22.29</x:v>
      </x:c>
      <x:c r="I270" s="50" t="n">
        <x:v>32.65786944116895</x:v>
      </x:c>
      <x:c r="J270" s="42" t="n">
        <x:v>0.5826990203211975</x:v>
      </x:c>
      <x:c r="K270" s="42" t="n">
        <x:v>0.3977099971679778</x:v>
      </x:c>
      <x:c r="L270" s="26" t="n">
        <x:v>0</x:v>
      </x:c>
      <x:c r="M270" s="26" t="n">
        <x:v>0</x:v>
      </x:c>
      <x:c r="N270" s="26" t="n">
        <x:v>91</x:v>
      </x:c>
    </x:row>
    <x:row r="271">
      <x:c r="A271" s="20" t="str">
        <x:v>T0_TABLE_BLOCK</x:v>
      </x:c>
      <x:c r="B271" s="20" t="str">
        <x:v>NYC-V2-R03</x:v>
      </x:c>
      <x:c r="C271" s="20" t="str">
        <x:v>V2</x:v>
      </x:c>
      <x:c r="D271" s="20" t="str">
        <x:v>electric_heat_households</x:v>
      </x:c>
      <x:c r="E271" s="20" t="str">
        <x:v>housing</x:v>
      </x:c>
      <x:c r="F271" s="50" t="n">
        <x:v>2701</x:v>
      </x:c>
      <x:c r="G271" s="50" t="n">
        <x:v>208.2869415013817</x:v>
      </x:c>
      <x:c r="H271" s="50" t="n">
        <x:v>2701.02</x:v>
      </x:c>
      <x:c r="I271" s="50" t="n">
        <x:v>212.59838586798742</x:v>
      </x:c>
      <x:c r="J271" s="42" t="n">
        <x:v>1.0206995423502203</x:v>
      </x:c>
      <x:c r="K271" s="42" t="n">
        <x:v>0.00009602138211746288</x:v>
      </x:c>
      <x:c r="L271" s="26" t="n">
        <x:v>2356</x:v>
      </x:c>
      <x:c r="M271" s="26" t="n">
        <x:v>2703</x:v>
      </x:c>
      <x:c r="N271" s="26" t="n">
        <x:v>3060</x:v>
      </x:c>
    </x:row>
    <x:row r="272">
      <x:c r="A272" s="20" t="str">
        <x:v>T0_TABLE_BLOCK</x:v>
      </x:c>
      <x:c r="B272" s="20" t="str">
        <x:v>NYC-V2-R03</x:v>
      </x:c>
      <x:c r="C272" s="20" t="str">
        <x:v>V2</x:v>
      </x:c>
      <x:c r="D272" s="20" t="str">
        <x:v>group_quarters_population</x:v>
      </x:c>
      <x:c r="E272" s="20" t="str">
        <x:v>population</x:v>
      </x:c>
      <x:c r="F272" s="50" t="n">
        <x:v>561</x:v>
      </x:c>
      <x:c r="G272" s="50" t="n">
        <x:v>12.77106103657797</x:v>
      </x:c>
      <x:c r="H272" s="50" t="n">
        <x:v>561.005</x:v>
      </x:c>
      <x:c r="I272" s="50" t="n">
        <x:v>12.830494791573573</x:v>
      </x:c>
      <x:c r="J272" s="42" t="n">
        <x:v>1.004653783646118</x:v>
      </x:c>
      <x:c r="K272" s="42" t="n">
        <x:v>0.000391510148269968</x:v>
      </x:c>
      <x:c r="L272" s="26" t="n">
        <x:v>541</x:v>
      </x:c>
      <x:c r="M272" s="26" t="n">
        <x:v>561</x:v>
      </x:c>
      <x:c r="N272" s="26" t="n">
        <x:v>582</x:v>
      </x:c>
    </x:row>
    <x:row r="273">
      <x:c r="A273" s="20" t="str">
        <x:v>T0_TABLE_BLOCK</x:v>
      </x:c>
      <x:c r="B273" s="20" t="str">
        <x:v>NYC-V2-R04</x:v>
      </x:c>
      <x:c r="C273" s="20" t="str">
        <x:v>V2</x:v>
      </x:c>
      <x:c r="D273" s="20" t="str">
        <x:v>acs_population</x:v>
      </x:c>
      <x:c r="E273" s="20" t="str">
        <x:v>population</x:v>
      </x:c>
      <x:c r="F273" s="50" t="n">
        <x:v>35397</x:v>
      </x:c>
      <x:c r="G273" s="50" t="n">
        <x:v>1482.3410538739051</x:v>
      </x:c>
      <x:c r="H273" s="50" t="n">
        <x:v>35397.928</x:v>
      </x:c>
      <x:c r="I273" s="50" t="n">
        <x:v>1457.8478346950772</x:v>
      </x:c>
      <x:c r="J273" s="42" t="n">
        <x:v>0.9834766640815769</x:v>
      </x:c>
      <x:c r="K273" s="42" t="n">
        <x:v>0.0006260367663532468</x:v>
      </x:c>
      <x:c r="L273" s="26" t="n">
        <x:v>33099</x:v>
      </x:c>
      <x:c r="M273" s="26" t="n">
        <x:v>35355</x:v>
      </x:c>
      <x:c r="N273" s="26" t="n">
        <x:v>37860</x:v>
      </x:c>
    </x:row>
    <x:row r="274">
      <x:c r="A274" s="20" t="str">
        <x:v>T0_TABLE_BLOCK</x:v>
      </x:c>
      <x:c r="B274" s="20" t="str">
        <x:v>NYC-V2-R04</x:v>
      </x:c>
      <x:c r="C274" s="20" t="str">
        <x:v>V2</x:v>
      </x:c>
      <x:c r="D274" s="20" t="str">
        <x:v>age_under_18</x:v>
      </x:c>
      <x:c r="E274" s="20" t="str">
        <x:v>population</x:v>
      </x:c>
      <x:c r="F274" s="50" t="n">
        <x:v>9778</x:v>
      </x:c>
      <x:c r="G274" s="50" t="n">
        <x:v>867.2309092738797</x:v>
      </x:c>
      <x:c r="H274" s="50" t="n">
        <x:v>9778.313</x:v>
      </x:c>
      <x:c r="I274" s="50" t="n">
        <x:v>846.3638974329411</x:v>
      </x:c>
      <x:c r="J274" s="42" t="n">
        <x:v>0.9759383439660723</x:v>
      </x:c>
      <x:c r="K274" s="42" t="n">
        <x:v>0.0003609188702258922</x:v>
      </x:c>
      <x:c r="L274" s="26" t="n">
        <x:v>8404</x:v>
      </x:c>
      <x:c r="M274" s="26" t="n">
        <x:v>9785</x:v>
      </x:c>
      <x:c r="N274" s="26" t="n">
        <x:v>11190</x:v>
      </x:c>
    </x:row>
    <x:row r="275">
      <x:c r="A275" s="20" t="str">
        <x:v>T0_TABLE_BLOCK</x:v>
      </x:c>
      <x:c r="B275" s="20" t="str">
        <x:v>NYC-V2-R04</x:v>
      </x:c>
      <x:c r="C275" s="20" t="str">
        <x:v>V2</x:v>
      </x:c>
      <x:c r="D275" s="20" t="str">
        <x:v>age_65_plus</x:v>
      </x:c>
      <x:c r="E275" s="20" t="str">
        <x:v>population</x:v>
      </x:c>
      <x:c r="F275" s="50" t="n">
        <x:v>4484</x:v>
      </x:c>
      <x:c r="G275" s="50" t="n">
        <x:v>520.930753555595</x:v>
      </x:c>
      <x:c r="H275" s="50" t="n">
        <x:v>4489.526</x:v>
      </x:c>
      <x:c r="I275" s="50" t="n">
        <x:v>508.1120045158677</x:v>
      </x:c>
      <x:c r="J275" s="42" t="n">
        <x:v>0.9753926045789516</x:v>
      </x:c>
      <x:c r="K275" s="42" t="n">
        <x:v>0.010607935819266412</x:v>
      </x:c>
      <x:c r="L275" s="26" t="n">
        <x:v>3647</x:v>
      </x:c>
      <x:c r="M275" s="26" t="n">
        <x:v>4503</x:v>
      </x:c>
      <x:c r="N275" s="26" t="n">
        <x:v>5327</x:v>
      </x:c>
    </x:row>
    <x:row r="276">
      <x:c r="A276" s="20" t="str">
        <x:v>T0_TABLE_BLOCK</x:v>
      </x:c>
      <x:c r="B276" s="20" t="str">
        <x:v>NYC-V2-R04</x:v>
      </x:c>
      <x:c r="C276" s="20" t="str">
        <x:v>V2</x:v>
      </x:c>
      <x:c r="D276" s="20" t="str">
        <x:v>age_75_plus</x:v>
      </x:c>
      <x:c r="E276" s="20" t="str">
        <x:v>population</x:v>
      </x:c>
      <x:c r="F276" s="50" t="n">
        <x:v>1499</x:v>
      </x:c>
      <x:c r="G276" s="50" t="n">
        <x:v>258.93020295052486</x:v>
      </x:c>
      <x:c r="H276" s="50" t="n">
        <x:v>1499.046</x:v>
      </x:c>
      <x:c r="I276" s="50" t="n">
        <x:v>256.1958043648923</x:v>
      </x:c>
      <x:c r="J276" s="42" t="n">
        <x:v>0.9894396306244929</x:v>
      </x:c>
      <x:c r="K276" s="42" t="n">
        <x:v>0.00017765405300685828</x:v>
      </x:c>
      <x:c r="L276" s="26" t="n">
        <x:v>1076</x:v>
      </x:c>
      <x:c r="M276" s="26" t="n">
        <x:v>1500</x:v>
      </x:c>
      <x:c r="N276" s="26" t="n">
        <x:v>1913</x:v>
      </x:c>
    </x:row>
    <x:row r="277">
      <x:c r="A277" s="20" t="str">
        <x:v>T0_TABLE_BLOCK</x:v>
      </x:c>
      <x:c r="B277" s="20" t="str">
        <x:v>NYC-V2-R04</x:v>
      </x:c>
      <x:c r="C277" s="20" t="str">
        <x:v>V2</x:v>
      </x:c>
      <x:c r="D277" s="20" t="str">
        <x:v>age_85_plus</x:v>
      </x:c>
      <x:c r="E277" s="20" t="str">
        <x:v>population</x:v>
      </x:c>
      <x:c r="F277" s="50" t="n">
        <x:v>436</x:v>
      </x:c>
      <x:c r="G277" s="50" t="n">
        <x:v>121.58392163440034</x:v>
      </x:c>
      <x:c r="H277" s="50" t="n">
        <x:v>436.006</x:v>
      </x:c>
      <x:c r="I277" s="50" t="n">
        <x:v>122.57563685639472</x:v>
      </x:c>
      <x:c r="J277" s="42" t="n">
        <x:v>1.0081566313099888</x:v>
      </x:c>
      <x:c r="K277" s="42" t="n">
        <x:v>0.00004934863030667532</x:v>
      </x:c>
      <x:c r="L277" s="26" t="n">
        <x:v>241</x:v>
      </x:c>
      <x:c r="M277" s="26" t="n">
        <x:v>436</x:v>
      </x:c>
      <x:c r="N277" s="26" t="n">
        <x:v>641</x:v>
      </x:c>
    </x:row>
    <x:row r="278">
      <x:c r="A278" s="20" t="str">
        <x:v>T0_TABLE_BLOCK</x:v>
      </x:c>
      <x:c r="B278" s="20" t="str">
        <x:v>NYC-V2-R04</x:v>
      </x:c>
      <x:c r="C278" s="20" t="str">
        <x:v>V2</x:v>
      </x:c>
      <x:c r="D278" s="20" t="str">
        <x:v>civilian_noninstitutionalized</x:v>
      </x:c>
      <x:c r="E278" s="20" t="str">
        <x:v>disability</x:v>
      </x:c>
      <x:c r="F278" s="50" t="n">
        <x:v>35165</x:v>
      </x:c>
      <x:c r="G278" s="50" t="n">
        <x:v>1482.7961592882552</x:v>
      </x:c>
      <x:c r="H278" s="50" t="n">
        <x:v>34445.716</x:v>
      </x:c>
      <x:c r="I278" s="50" t="n">
        <x:v>1203.050505116831</x:v>
      </x:c>
      <x:c r="J278" s="42" t="n">
        <x:v>0.8113391025333497</x:v>
      </x:c>
      <x:c r="K278" s="42" t="n">
        <x:v>-0.48508623083111924</x:v>
      </x:c>
      <x:c r="L278" s="26" t="n">
        <x:v>32340</x:v>
      </x:c>
      <x:c r="M278" s="26" t="n">
        <x:v>34476</x:v>
      </x:c>
      <x:c r="N278" s="26" t="n">
        <x:v>36352</x:v>
      </x:c>
    </x:row>
    <x:row r="279">
      <x:c r="A279" s="20" t="str">
        <x:v>T0_TABLE_BLOCK</x:v>
      </x:c>
      <x:c r="B279" s="20" t="str">
        <x:v>NYC-V2-R04</x:v>
      </x:c>
      <x:c r="C279" s="20" t="str">
        <x:v>V2</x:v>
      </x:c>
      <x:c r="D279" s="20" t="str">
        <x:v>any_disability</x:v>
      </x:c>
      <x:c r="E279" s="20" t="str">
        <x:v>disability</x:v>
      </x:c>
      <x:c r="F279" s="50" t="n">
        <x:v>3985</x:v>
      </x:c>
      <x:c r="G279" s="50" t="n">
        <x:v>371.7736542575334</x:v>
      </x:c>
      <x:c r="H279" s="50" t="n">
        <x:v>3985.02</x:v>
      </x:c>
      <x:c r="I279" s="50" t="n">
        <x:v>372.9964556881955</x:v>
      </x:c>
      <x:c r="J279" s="42" t="n">
        <x:v>1.0032891018948187</x:v>
      </x:c>
      <x:c r="K279" s="42" t="n">
        <x:v>0.00005379617348067246</x:v>
      </x:c>
      <x:c r="L279" s="26" t="n">
        <x:v>3375</x:v>
      </x:c>
      <x:c r="M279" s="26" t="n">
        <x:v>3974</x:v>
      </x:c>
      <x:c r="N279" s="26" t="n">
        <x:v>4608</x:v>
      </x:c>
    </x:row>
    <x:row r="280">
      <x:c r="A280" s="20" t="str">
        <x:v>T0_TABLE_BLOCK</x:v>
      </x:c>
      <x:c r="B280" s="20" t="str">
        <x:v>NYC-V2-R04</x:v>
      </x:c>
      <x:c r="C280" s="20" t="str">
        <x:v>V2</x:v>
      </x:c>
      <x:c r="D280" s="20" t="str">
        <x:v>disability_under_18</x:v>
      </x:c>
      <x:c r="E280" s="20" t="str">
        <x:v>disability</x:v>
      </x:c>
      <x:c r="F280" s="50" t="n">
        <x:v>460</x:v>
      </x:c>
      <x:c r="G280" s="50" t="n">
        <x:v>117.97330206449254</x:v>
      </x:c>
      <x:c r="H280" s="50" t="n">
        <x:v>459.98</x:v>
      </x:c>
      <x:c r="I280" s="50" t="n">
        <x:v>117.00083245342657</x:v>
      </x:c>
      <x:c r="J280" s="42" t="n">
        <x:v>0.9917568670703618</x:v>
      </x:c>
      <x:c r="K280" s="42" t="n">
        <x:v>-0.00016952988218510995</x:v>
      </x:c>
      <x:c r="L280" s="26" t="n">
        <x:v>267</x:v>
      </x:c>
      <x:c r="M280" s="26" t="n">
        <x:v>457</x:v>
      </x:c>
      <x:c r="N280" s="26" t="n">
        <x:v>663</x:v>
      </x:c>
    </x:row>
    <x:row r="281">
      <x:c r="A281" s="20" t="str">
        <x:v>T0_TABLE_BLOCK</x:v>
      </x:c>
      <x:c r="B281" s="20" t="str">
        <x:v>NYC-V2-R04</x:v>
      </x:c>
      <x:c r="C281" s="20" t="str">
        <x:v>V2</x:v>
      </x:c>
      <x:c r="D281" s="20" t="str">
        <x:v>disability_18_64</x:v>
      </x:c>
      <x:c r="E281" s="20" t="str">
        <x:v>disability</x:v>
      </x:c>
      <x:c r="F281" s="50" t="n">
        <x:v>1777</x:v>
      </x:c>
      <x:c r="G281" s="50" t="n">
        <x:v>235.50774934171488</x:v>
      </x:c>
      <x:c r="H281" s="50" t="n">
        <x:v>1777.079</x:v>
      </x:c>
      <x:c r="I281" s="50" t="n">
        <x:v>230.11581442188418</x:v>
      </x:c>
      <x:c r="J281" s="42" t="n">
        <x:v>0.9771050636978948</x:v>
      </x:c>
      <x:c r="K281" s="42" t="n">
        <x:v>0.0003354454374464094</x:v>
      </x:c>
      <x:c r="L281" s="26" t="n">
        <x:v>1379</x:v>
      </x:c>
      <x:c r="M281" s="26" t="n">
        <x:v>1781</x:v>
      </x:c>
      <x:c r="N281" s="26" t="n">
        <x:v>2140</x:v>
      </x:c>
    </x:row>
    <x:row r="282">
      <x:c r="A282" s="20" t="str">
        <x:v>T0_TABLE_BLOCK</x:v>
      </x:c>
      <x:c r="B282" s="20" t="str">
        <x:v>NYC-V2-R04</x:v>
      </x:c>
      <x:c r="C282" s="20" t="str">
        <x:v>V2</x:v>
      </x:c>
      <x:c r="D282" s="20" t="str">
        <x:v>disability_65_plus</x:v>
      </x:c>
      <x:c r="E282" s="20" t="str">
        <x:v>disability</x:v>
      </x:c>
      <x:c r="F282" s="50" t="n">
        <x:v>1748</x:v>
      </x:c>
      <x:c r="G282" s="50" t="n">
        <x:v>267.32143572859997</x:v>
      </x:c>
      <x:c r="H282" s="50" t="n">
        <x:v>1747.961</x:v>
      </x:c>
      <x:c r="I282" s="50" t="n">
        <x:v>264.92806260824347</x:v>
      </x:c>
      <x:c r="J282" s="42" t="n">
        <x:v>0.9910468342584154</x:v>
      </x:c>
      <x:c r="K282" s="42" t="n">
        <x:v>-0.00014589177966103063</x:v>
      </x:c>
      <x:c r="L282" s="26" t="n">
        <x:v>1315</x:v>
      </x:c>
      <x:c r="M282" s="26" t="n">
        <x:v>1741</x:v>
      </x:c>
      <x:c r="N282" s="26" t="n">
        <x:v>2191</x:v>
      </x:c>
    </x:row>
    <x:row r="283">
      <x:c r="A283" s="20" t="str">
        <x:v>T0_TABLE_BLOCK</x:v>
      </x:c>
      <x:c r="B283" s="20" t="str">
        <x:v>NYC-V2-R04</x:v>
      </x:c>
      <x:c r="C283" s="20" t="str">
        <x:v>V2</x:v>
      </x:c>
      <x:c r="D283" s="20" t="str">
        <x:v>hearing_difficulty</x:v>
      </x:c>
      <x:c r="E283" s="20" t="str">
        <x:v>disability</x:v>
      </x:c>
      <x:c r="F283" s="50" t="n">
        <x:v>445</x:v>
      </x:c>
      <x:c r="G283" s="50" t="n">
        <x:v>137.06420603556114</x:v>
      </x:c>
      <x:c r="H283" s="50" t="n">
        <x:v>445.019</x:v>
      </x:c>
      <x:c r="I283" s="50" t="n">
        <x:v>136.9578551711916</x:v>
      </x:c>
      <x:c r="J283" s="42" t="n">
        <x:v>0.9992240799589795</x:v>
      </x:c>
      <x:c r="K283" s="42" t="n">
        <x:v>0.00013862116558042826</x:v>
      </x:c>
      <x:c r="L283" s="26" t="n">
        <x:v>220</x:v>
      </x:c>
      <x:c r="M283" s="26" t="n">
        <x:v>445</x:v>
      </x:c>
      <x:c r="N283" s="26" t="n">
        <x:v>670</x:v>
      </x:c>
    </x:row>
    <x:row r="284">
      <x:c r="A284" s="20" t="str">
        <x:v>T0_TABLE_BLOCK</x:v>
      </x:c>
      <x:c r="B284" s="20" t="str">
        <x:v>NYC-V2-R04</x:v>
      </x:c>
      <x:c r="C284" s="20" t="str">
        <x:v>V2</x:v>
      </x:c>
      <x:c r="D284" s="20" t="str">
        <x:v>vision_difficulty</x:v>
      </x:c>
      <x:c r="E284" s="20" t="str">
        <x:v>disability</x:v>
      </x:c>
      <x:c r="F284" s="50" t="n">
        <x:v>570</x:v>
      </x:c>
      <x:c r="G284" s="50" t="n">
        <x:v>149.057701175634</x:v>
      </x:c>
      <x:c r="H284" s="50" t="n">
        <x:v>570.023</x:v>
      </x:c>
      <x:c r="I284" s="50" t="n">
        <x:v>149.04249775529507</x:v>
      </x:c>
      <x:c r="J284" s="42" t="n">
        <x:v>0.9998980031208115</x:v>
      </x:c>
      <x:c r="K284" s="42" t="n">
        <x:v>0.00015430266144332764</x:v>
      </x:c>
      <x:c r="L284" s="26" t="n">
        <x:v>326</x:v>
      </x:c>
      <x:c r="M284" s="26" t="n">
        <x:v>570</x:v>
      </x:c>
      <x:c r="N284" s="26" t="n">
        <x:v>815</x:v>
      </x:c>
    </x:row>
    <x:row r="285">
      <x:c r="A285" s="20" t="str">
        <x:v>T0_TABLE_BLOCK</x:v>
      </x:c>
      <x:c r="B285" s="20" t="str">
        <x:v>NYC-V2-R04</x:v>
      </x:c>
      <x:c r="C285" s="20" t="str">
        <x:v>V2</x:v>
      </x:c>
      <x:c r="D285" s="20" t="str">
        <x:v>cognitive_difficulty</x:v>
      </x:c>
      <x:c r="E285" s="20" t="str">
        <x:v>disability</x:v>
      </x:c>
      <x:c r="F285" s="50" t="n">
        <x:v>1192</x:v>
      </x:c>
      <x:c r="G285" s="50" t="n">
        <x:v>202.80732223434802</x:v>
      </x:c>
      <x:c r="H285" s="50" t="n">
        <x:v>1192.102</x:v>
      </x:c>
      <x:c r="I285" s="50" t="n">
        <x:v>202.94100287188553</x:v>
      </x:c>
      <x:c r="J285" s="42" t="n">
        <x:v>1.0006591509422083</x:v>
      </x:c>
      <x:c r="K285" s="42" t="n">
        <x:v>0.0005029404208701402</x:v>
      </x:c>
      <x:c r="L285" s="26" t="n">
        <x:v>859</x:v>
      </x:c>
      <x:c r="M285" s="26" t="n">
        <x:v>1192</x:v>
      </x:c>
      <x:c r="N285" s="26" t="n">
        <x:v>1525</x:v>
      </x:c>
    </x:row>
    <x:row r="286">
      <x:c r="A286" s="20" t="str">
        <x:v>T0_TABLE_BLOCK</x:v>
      </x:c>
      <x:c r="B286" s="20" t="str">
        <x:v>NYC-V2-R04</x:v>
      </x:c>
      <x:c r="C286" s="20" t="str">
        <x:v>V2</x:v>
      </x:c>
      <x:c r="D286" s="20" t="str">
        <x:v>ambulatory_difficulty</x:v>
      </x:c>
      <x:c r="E286" s="20" t="str">
        <x:v>disability</x:v>
      </x:c>
      <x:c r="F286" s="50" t="n">
        <x:v>2512</x:v>
      </x:c>
      <x:c r="G286" s="50" t="n">
        <x:v>309.37411914892334</x:v>
      </x:c>
      <x:c r="H286" s="50" t="n">
        <x:v>2512.24</x:v>
      </x:c>
      <x:c r="I286" s="50" t="n">
        <x:v>309.76481504625514</x:v>
      </x:c>
      <x:c r="J286" s="42" t="n">
        <x:v>1.0012628590213253</x:v>
      </x:c>
      <x:c r="K286" s="42" t="n">
        <x:v>0.0007757597844965596</x:v>
      </x:c>
      <x:c r="L286" s="26" t="n">
        <x:v>2004</x:v>
      </x:c>
      <x:c r="M286" s="26" t="n">
        <x:v>2512</x:v>
      </x:c>
      <x:c r="N286" s="26" t="n">
        <x:v>3021</x:v>
      </x:c>
    </x:row>
    <x:row r="287">
      <x:c r="A287" s="20" t="str">
        <x:v>T0_TABLE_BLOCK</x:v>
      </x:c>
      <x:c r="B287" s="20" t="str">
        <x:v>NYC-V2-R04</x:v>
      </x:c>
      <x:c r="C287" s="20" t="str">
        <x:v>V2</x:v>
      </x:c>
      <x:c r="D287" s="20" t="str">
        <x:v>self_care_difficulty</x:v>
      </x:c>
      <x:c r="E287" s="20" t="str">
        <x:v>disability</x:v>
      </x:c>
      <x:c r="F287" s="50" t="n">
        <x:v>1027</x:v>
      </x:c>
      <x:c r="G287" s="50" t="n">
        <x:v>201.01276268873735</x:v>
      </x:c>
      <x:c r="H287" s="50" t="n">
        <x:v>1027.097</x:v>
      </x:c>
      <x:c r="I287" s="50" t="n">
        <x:v>201.928459345615</x:v>
      </x:c>
      <x:c r="J287" s="42" t="n">
        <x:v>1.0045554155100866</x:v>
      </x:c>
      <x:c r="K287" s="42" t="n">
        <x:v>0.00048255642429123656</x:v>
      </x:c>
      <x:c r="L287" s="26" t="n">
        <x:v>698</x:v>
      </x:c>
      <x:c r="M287" s="26" t="n">
        <x:v>1027</x:v>
      </x:c>
      <x:c r="N287" s="26" t="n">
        <x:v>1357</x:v>
      </x:c>
    </x:row>
    <x:row r="288">
      <x:c r="A288" s="20" t="str">
        <x:v>T0_TABLE_BLOCK</x:v>
      </x:c>
      <x:c r="B288" s="20" t="str">
        <x:v>NYC-V2-R04</x:v>
      </x:c>
      <x:c r="C288" s="20" t="str">
        <x:v>V2</x:v>
      </x:c>
      <x:c r="D288" s="20" t="str">
        <x:v>independent_living_difficulty</x:v>
      </x:c>
      <x:c r="E288" s="20" t="str">
        <x:v>disability</x:v>
      </x:c>
      <x:c r="F288" s="50" t="n">
        <x:v>2186</x:v>
      </x:c>
      <x:c r="G288" s="50" t="n">
        <x:v>289.9957294852893</x:v>
      </x:c>
      <x:c r="H288" s="50" t="n">
        <x:v>2185.972</x:v>
      </x:c>
      <x:c r="I288" s="50" t="n">
        <x:v>289.8889870982353</x:v>
      </x:c>
      <x:c r="J288" s="42" t="n">
        <x:v>0.9996319173829096</x:v>
      </x:c>
      <x:c r="K288" s="42" t="n">
        <x:v>-0.00009655314597042368</x:v>
      </x:c>
      <x:c r="L288" s="26" t="n">
        <x:v>1711</x:v>
      </x:c>
      <x:c r="M288" s="26" t="n">
        <x:v>2186</x:v>
      </x:c>
      <x:c r="N288" s="26" t="n">
        <x:v>2662</x:v>
      </x:c>
    </x:row>
    <x:row r="289">
      <x:c r="A289" s="20" t="str">
        <x:v>T0_TABLE_BLOCK</x:v>
      </x:c>
      <x:c r="B289" s="20" t="str">
        <x:v>NYC-V2-R04</x:v>
      </x:c>
      <x:c r="C289" s="20" t="str">
        <x:v>V2</x:v>
      </x:c>
      <x:c r="D289" s="20" t="str">
        <x:v>households</x:v>
      </x:c>
      <x:c r="E289" s="20" t="str">
        <x:v>household</x:v>
      </x:c>
      <x:c r="F289" s="50" t="n">
        <x:v>12042</x:v>
      </x:c>
      <x:c r="G289" s="50" t="n">
        <x:v>472.6580687981535</x:v>
      </x:c>
      <x:c r="H289" s="50" t="n">
        <x:v>12044.187</x:v>
      </x:c>
      <x:c r="I289" s="50" t="n">
        <x:v>475.1144954795789</x:v>
      </x:c>
      <x:c r="J289" s="42" t="n">
        <x:v>1.0051970480217791</x:v>
      </x:c>
      <x:c r="K289" s="42" t="n">
        <x:v>0.0046270235173618635</x:v>
      </x:c>
      <x:c r="L289" s="26" t="n">
        <x:v>11274</x:v>
      </x:c>
      <x:c r="M289" s="26" t="n">
        <x:v>12047</x:v>
      </x:c>
      <x:c r="N289" s="26" t="n">
        <x:v>12839</x:v>
      </x:c>
    </x:row>
    <x:row r="290">
      <x:c r="A290" s="20" t="str">
        <x:v>T0_TABLE_BLOCK</x:v>
      </x:c>
      <x:c r="B290" s="20" t="str">
        <x:v>NYC-V2-R04</x:v>
      </x:c>
      <x:c r="C290" s="20" t="str">
        <x:v>V2</x:v>
      </x:c>
      <x:c r="D290" s="20" t="str">
        <x:v>family_households</x:v>
      </x:c>
      <x:c r="E290" s="20" t="str">
        <x:v>household</x:v>
      </x:c>
      <x:c r="F290" s="50" t="n">
        <x:v>7936</x:v>
      </x:c>
      <x:c r="G290" s="50" t="n">
        <x:v>402.79957795409865</x:v>
      </x:c>
      <x:c r="H290" s="50" t="n">
        <x:v>7888.879</x:v>
      </x:c>
      <x:c r="I290" s="50" t="n">
        <x:v>402.9047885389644</x:v>
      </x:c>
      <x:c r="J290" s="42" t="n">
        <x:v>1.0002611983493135</x:v>
      </x:c>
      <x:c r="K290" s="42" t="n">
        <x:v>-0.11698373727037471</x:v>
      </x:c>
      <x:c r="L290" s="26" t="n">
        <x:v>7234</x:v>
      </x:c>
      <x:c r="M290" s="26" t="n">
        <x:v>7886</x:v>
      </x:c>
      <x:c r="N290" s="26" t="n">
        <x:v>8553</x:v>
      </x:c>
    </x:row>
    <x:row r="291">
      <x:c r="A291" s="20" t="str">
        <x:v>T0_TABLE_BLOCK</x:v>
      </x:c>
      <x:c r="B291" s="20" t="str">
        <x:v>NYC-V2-R04</x:v>
      </x:c>
      <x:c r="C291" s="20" t="str">
        <x:v>V2</x:v>
      </x:c>
      <x:c r="D291" s="20" t="str">
        <x:v>nonfamily_households</x:v>
      </x:c>
      <x:c r="E291" s="20" t="str">
        <x:v>household</x:v>
      </x:c>
      <x:c r="F291" s="50" t="n">
        <x:v>4106</x:v>
      </x:c>
      <x:c r="G291" s="50" t="n">
        <x:v>448.4646585852669</x:v>
      </x:c>
      <x:c r="H291" s="50" t="n">
        <x:v>4155.308</x:v>
      </x:c>
      <x:c r="I291" s="50" t="n">
        <x:v>561.4331503556931</x:v>
      </x:c>
      <x:c r="J291" s="42" t="n">
        <x:v>1.2519005446868394</x:v>
      </x:c>
      <x:c r="K291" s="42" t="n">
        <x:v>0.10994846317555484</x:v>
      </x:c>
      <x:c r="L291" s="26" t="n">
        <x:v>3264</x:v>
      </x:c>
      <x:c r="M291" s="26" t="n">
        <x:v>4150</x:v>
      </x:c>
      <x:c r="N291" s="26" t="n">
        <x:v>5079</x:v>
      </x:c>
    </x:row>
    <x:row r="292">
      <x:c r="A292" s="20" t="str">
        <x:v>T0_TABLE_BLOCK</x:v>
      </x:c>
      <x:c r="B292" s="20" t="str">
        <x:v>NYC-V2-R04</x:v>
      </x:c>
      <x:c r="C292" s="20" t="str">
        <x:v>V2</x:v>
      </x:c>
      <x:c r="D292" s="20" t="str">
        <x:v>living_alone_households</x:v>
      </x:c>
      <x:c r="E292" s="20" t="str">
        <x:v>household</x:v>
      </x:c>
      <x:c r="F292" s="50" t="n">
        <x:v>3340</x:v>
      </x:c>
      <x:c r="G292" s="50" t="n">
        <x:v>448.1658175273969</x:v>
      </x:c>
      <x:c r="H292" s="50" t="n">
        <x:v>3339.815</x:v>
      </x:c>
      <x:c r="I292" s="50" t="n">
        <x:v>468.8657098027417</x:v>
      </x:c>
      <x:c r="J292" s="42" t="n">
        <x:v>1.0461880211872236</x:v>
      </x:c>
      <x:c r="K292" s="42" t="n">
        <x:v>-0.0004127936419172267</x:v>
      </x:c>
      <x:c r="L292" s="26" t="n">
        <x:v>2580</x:v>
      </x:c>
      <x:c r="M292" s="26" t="n">
        <x:v>3349</x:v>
      </x:c>
      <x:c r="N292" s="26" t="n">
        <x:v>4104</x:v>
      </x:c>
    </x:row>
    <x:row r="293">
      <x:c r="A293" s="20" t="str">
        <x:v>T0_TABLE_BLOCK</x:v>
      </x:c>
      <x:c r="B293" s="20" t="str">
        <x:v>NYC-V2-R04</x:v>
      </x:c>
      <x:c r="C293" s="20" t="str">
        <x:v>V2</x:v>
      </x:c>
      <x:c r="D293" s="20" t="str">
        <x:v>households_with_children</x:v>
      </x:c>
      <x:c r="E293" s="20" t="str">
        <x:v>household</x:v>
      </x:c>
      <x:c r="F293" s="50" t="n">
        <x:v>4875</x:v>
      </x:c>
      <x:c r="G293" s="50" t="n">
        <x:v>322.88364777424084</x:v>
      </x:c>
      <x:c r="H293" s="50" t="n">
        <x:v>4874.966</x:v>
      </x:c>
      <x:c r="I293" s="50" t="n">
        <x:v>321.8485814064641</x:v>
      </x:c>
      <x:c r="J293" s="42" t="n">
        <x:v>0.9967943053948014</x:v>
      </x:c>
      <x:c r="K293" s="42" t="n">
        <x:v>-0.00010530108983228361</x:v>
      </x:c>
      <x:c r="L293" s="26" t="n">
        <x:v>4351</x:v>
      </x:c>
      <x:c r="M293" s="26" t="n">
        <x:v>4860</x:v>
      </x:c>
      <x:c r="N293" s="26" t="n">
        <x:v>5416</x:v>
      </x:c>
    </x:row>
    <x:row r="294">
      <x:c r="A294" s="20" t="str">
        <x:v>T0_TABLE_BLOCK</x:v>
      </x:c>
      <x:c r="B294" s="20" t="str">
        <x:v>NYC-V2-R04</x:v>
      </x:c>
      <x:c r="C294" s="20" t="str">
        <x:v>V2</x:v>
      </x:c>
      <x:c r="D294" s="20" t="str">
        <x:v>households_with_age65</x:v>
      </x:c>
      <x:c r="E294" s="20" t="str">
        <x:v>household</x:v>
      </x:c>
      <x:c r="F294" s="50" t="n">
        <x:v>3302</x:v>
      </x:c>
      <x:c r="G294" s="50" t="n">
        <x:v>324.50030816626355</x:v>
      </x:c>
      <x:c r="H294" s="50" t="n">
        <x:v>3302.139</x:v>
      </x:c>
      <x:c r="I294" s="50" t="n">
        <x:v>320.95609122042146</x:v>
      </x:c>
      <x:c r="J294" s="42" t="n">
        <x:v>0.9890779242526138</x:v>
      </x:c>
      <x:c r="K294" s="42" t="n">
        <x:v>0.0004283509029178011</x:v>
      </x:c>
      <x:c r="L294" s="26" t="n">
        <x:v>2781</x:v>
      </x:c>
      <x:c r="M294" s="26" t="n">
        <x:v>3298</x:v>
      </x:c>
      <x:c r="N294" s="26" t="n">
        <x:v>3823</x:v>
      </x:c>
    </x:row>
    <x:row r="295">
      <x:c r="A295" s="20" t="str">
        <x:v>T0_TABLE_BLOCK</x:v>
      </x:c>
      <x:c r="B295" s="20" t="str">
        <x:v>NYC-V2-R04</x:v>
      </x:c>
      <x:c r="C295" s="20" t="str">
        <x:v>V2</x:v>
      </x:c>
      <x:c r="D295" s="20" t="str">
        <x:v>age65_one_person_households</x:v>
      </x:c>
      <x:c r="E295" s="20" t="str">
        <x:v>household</x:v>
      </x:c>
      <x:c r="F295" s="50" t="n">
        <x:v>1136</x:v>
      </x:c>
      <x:c r="G295" s="50" t="n">
        <x:v>217.43803715081683</x:v>
      </x:c>
      <x:c r="H295" s="50" t="n">
        <x:v>1136.023</x:v>
      </x:c>
      <x:c r="I295" s="50" t="n">
        <x:v>214.58525415857983</x:v>
      </x:c>
      <x:c r="J295" s="42" t="n">
        <x:v>0.9868800186498268</x:v>
      </x:c>
      <x:c r="K295" s="42" t="n">
        <x:v>0.00010577726096726066</x:v>
      </x:c>
      <x:c r="L295" s="26" t="n">
        <x:v>788</x:v>
      </x:c>
      <x:c r="M295" s="26" t="n">
        <x:v>1137</x:v>
      </x:c>
      <x:c r="N295" s="26" t="n">
        <x:v>1501</x:v>
      </x:c>
    </x:row>
    <x:row r="296">
      <x:c r="A296" s="20" t="str">
        <x:v>T0_TABLE_BLOCK</x:v>
      </x:c>
      <x:c r="B296" s="20" t="str">
        <x:v>NYC-V2-R04</x:v>
      </x:c>
      <x:c r="C296" s="20" t="str">
        <x:v>V2</x:v>
      </x:c>
      <x:c r="D296" s="20" t="str">
        <x:v>no_vehicle_households</x:v>
      </x:c>
      <x:c r="E296" s="20" t="str">
        <x:v>household</x:v>
      </x:c>
      <x:c r="F296" s="50" t="n">
        <x:v>7986</x:v>
      </x:c>
      <x:c r="G296" s="50" t="n">
        <x:v>455.833019685223</x:v>
      </x:c>
      <x:c r="H296" s="50" t="n">
        <x:v>7986.193</x:v>
      </x:c>
      <x:c r="I296" s="50" t="n">
        <x:v>456.47492714289365</x:v>
      </x:c>
      <x:c r="J296" s="42" t="n">
        <x:v>1.0014082074574455</x:v>
      </x:c>
      <x:c r="K296" s="42" t="n">
        <x:v>0.0004234006569631305</x:v>
      </x:c>
      <x:c r="L296" s="26" t="n">
        <x:v>7237</x:v>
      </x:c>
      <x:c r="M296" s="26" t="n">
        <x:v>7987</x:v>
      </x:c>
      <x:c r="N296" s="26" t="n">
        <x:v>8733</x:v>
      </x:c>
    </x:row>
    <x:row r="297">
      <x:c r="A297" s="20" t="str">
        <x:v>T0_TABLE_BLOCK</x:v>
      </x:c>
      <x:c r="B297" s="20" t="str">
        <x:v>NYC-V2-R04</x:v>
      </x:c>
      <x:c r="C297" s="20" t="str">
        <x:v>V2</x:v>
      </x:c>
      <x:c r="D297" s="20" t="str">
        <x:v>limited_english_households</x:v>
      </x:c>
      <x:c r="E297" s="20" t="str">
        <x:v>household</x:v>
      </x:c>
      <x:c r="F297" s="50" t="n">
        <x:v>1859</x:v>
      </x:c>
      <x:c r="G297" s="50" t="n">
        <x:v>337.51031418894877</x:v>
      </x:c>
      <x:c r="H297" s="50" t="n">
        <x:v>1859.07</x:v>
      </x:c>
      <x:c r="I297" s="50" t="n">
        <x:v>337.56934719278667</x:v>
      </x:c>
      <x:c r="J297" s="42" t="n">
        <x:v>1.0001749072587003</x:v>
      </x:c>
      <x:c r="K297" s="42" t="n">
        <x:v>0.0002074010691144335</x:v>
      </x:c>
      <x:c r="L297" s="26" t="n">
        <x:v>1307</x:v>
      </x:c>
      <x:c r="M297" s="26" t="n">
        <x:v>1859</x:v>
      </x:c>
      <x:c r="N297" s="26" t="n">
        <x:v>2414</x:v>
      </x:c>
    </x:row>
    <x:row r="298">
      <x:c r="A298" s="20" t="str">
        <x:v>T0_TABLE_BLOCK</x:v>
      </x:c>
      <x:c r="B298" s="20" t="str">
        <x:v>NYC-V2-R04</x:v>
      </x:c>
      <x:c r="C298" s="20" t="str">
        <x:v>V2</x:v>
      </x:c>
      <x:c r="D298" s="20" t="str">
        <x:v>housing_units</x:v>
      </x:c>
      <x:c r="E298" s="20" t="str">
        <x:v>housing</x:v>
      </x:c>
      <x:c r="F298" s="50" t="n">
        <x:v>12656</x:v>
      </x:c>
      <x:c r="G298" s="50" t="n">
        <x:v>446.9353980163129</x:v>
      </x:c>
      <x:c r="H298" s="50" t="n">
        <x:v>12658.184</x:v>
      </x:c>
      <x:c r="I298" s="50" t="n">
        <x:v>450.4975295916373</x:v>
      </x:c>
      <x:c r="J298" s="42" t="n">
        <x:v>1.0079701263116205</x:v>
      </x:c>
      <x:c r="K298" s="42" t="n">
        <x:v>0.004886612270347788</x:v>
      </x:c>
      <x:c r="L298" s="26" t="n">
        <x:v>11913</x:v>
      </x:c>
      <x:c r="M298" s="26" t="n">
        <x:v>12669</x:v>
      </x:c>
      <x:c r="N298" s="26" t="n">
        <x:v>13371</x:v>
      </x:c>
    </x:row>
    <x:row r="299">
      <x:c r="A299" s="20" t="str">
        <x:v>T0_TABLE_BLOCK</x:v>
      </x:c>
      <x:c r="B299" s="20" t="str">
        <x:v>NYC-V2-R04</x:v>
      </x:c>
      <x:c r="C299" s="20" t="str">
        <x:v>V2</x:v>
      </x:c>
      <x:c r="D299" s="20" t="str">
        <x:v>occupied_housing_units</x:v>
      </x:c>
      <x:c r="E299" s="20" t="str">
        <x:v>housing</x:v>
      </x:c>
      <x:c r="F299" s="50" t="n">
        <x:v>12042</x:v>
      </x:c>
      <x:c r="G299" s="50" t="n">
        <x:v>472.6580687981535</x:v>
      </x:c>
      <x:c r="H299" s="50" t="n">
        <x:v>12044.187</x:v>
      </x:c>
      <x:c r="I299" s="50" t="n">
        <x:v>475.1144954795789</x:v>
      </x:c>
      <x:c r="J299" s="42" t="n">
        <x:v>1.0051970480217791</x:v>
      </x:c>
      <x:c r="K299" s="42" t="n">
        <x:v>0.0046270235173618635</x:v>
      </x:c>
      <x:c r="L299" s="26" t="n">
        <x:v>11274</x:v>
      </x:c>
      <x:c r="M299" s="26" t="n">
        <x:v>12047</x:v>
      </x:c>
      <x:c r="N299" s="26" t="n">
        <x:v>12839</x:v>
      </x:c>
    </x:row>
    <x:row r="300">
      <x:c r="A300" s="20" t="str">
        <x:v>T0_TABLE_BLOCK</x:v>
      </x:c>
      <x:c r="B300" s="20" t="str">
        <x:v>NYC-V2-R04</x:v>
      </x:c>
      <x:c r="C300" s="20" t="str">
        <x:v>V2</x:v>
      </x:c>
      <x:c r="D300" s="20" t="str">
        <x:v>vacant_housing_units</x:v>
      </x:c>
      <x:c r="E300" s="20" t="str">
        <x:v>housing</x:v>
      </x:c>
      <x:c r="F300" s="50" t="n">
        <x:v>614</x:v>
      </x:c>
      <x:c r="G300" s="50" t="n">
        <x:v>121.57096692878609</x:v>
      </x:c>
      <x:c r="H300" s="50" t="n">
        <x:v>613.997</x:v>
      </x:c>
      <x:c r="I300" s="50" t="n">
        <x:v>120.28292053309968</x:v>
      </x:c>
      <x:c r="J300" s="42" t="n">
        <x:v>0.9894049835398535</x:v>
      </x:c>
      <x:c r="K300" s="42" t="n">
        <x:v>-0.000024676944469809868</x:v>
      </x:c>
      <x:c r="L300" s="26" t="n">
        <x:v>420</x:v>
      </x:c>
      <x:c r="M300" s="26" t="n">
        <x:v>615</x:v>
      </x:c>
      <x:c r="N300" s="26" t="n">
        <x:v>812</x:v>
      </x:c>
    </x:row>
    <x:row r="301">
      <x:c r="A301" s="20" t="str">
        <x:v>T0_TABLE_BLOCK</x:v>
      </x:c>
      <x:c r="B301" s="20" t="str">
        <x:v>NYC-V2-R04</x:v>
      </x:c>
      <x:c r="C301" s="20" t="str">
        <x:v>V2</x:v>
      </x:c>
      <x:c r="D301" s="20" t="str">
        <x:v>owner_occupied_units</x:v>
      </x:c>
      <x:c r="E301" s="20" t="str">
        <x:v>housing</x:v>
      </x:c>
      <x:c r="F301" s="50" t="n">
        <x:v>1927</x:v>
      </x:c>
      <x:c r="G301" s="50" t="n">
        <x:v>216.37665751855764</x:v>
      </x:c>
      <x:c r="H301" s="50" t="n">
        <x:v>1927.045</x:v>
      </x:c>
      <x:c r="I301" s="50" t="n">
        <x:v>215.47292999019285</x:v>
      </x:c>
      <x:c r="J301" s="42" t="n">
        <x:v>0.9958233594199629</x:v>
      </x:c>
      <x:c r="K301" s="42" t="n">
        <x:v>0.00020797067722618515</x:v>
      </x:c>
      <x:c r="L301" s="26" t="n">
        <x:v>1569</x:v>
      </x:c>
      <x:c r="M301" s="26" t="n">
        <x:v>1924</x:v>
      </x:c>
      <x:c r="N301" s="26" t="n">
        <x:v>2278</x:v>
      </x:c>
    </x:row>
    <x:row r="302">
      <x:c r="A302" s="20" t="str">
        <x:v>T0_TABLE_BLOCK</x:v>
      </x:c>
      <x:c r="B302" s="20" t="str">
        <x:v>NYC-V2-R04</x:v>
      </x:c>
      <x:c r="C302" s="20" t="str">
        <x:v>V2</x:v>
      </x:c>
      <x:c r="D302" s="20" t="str">
        <x:v>renter_occupied_units</x:v>
      </x:c>
      <x:c r="E302" s="20" t="str">
        <x:v>housing</x:v>
      </x:c>
      <x:c r="F302" s="50" t="n">
        <x:v>10115</x:v>
      </x:c>
      <x:c r="G302" s="50" t="n">
        <x:v>465.1111462230554</x:v>
      </x:c>
      <x:c r="H302" s="50" t="n">
        <x:v>10117.142</x:v>
      </x:c>
      <x:c r="I302" s="50" t="n">
        <x:v>428.10986427772474</x:v>
      </x:c>
      <x:c r="J302" s="42" t="n">
        <x:v>0.9204463658938291</x:v>
      </x:c>
      <x:c r="K302" s="42" t="n">
        <x:v>0.004605350822903257</x:v>
      </x:c>
      <x:c r="L302" s="26" t="n">
        <x:v>9379</x:v>
      </x:c>
      <x:c r="M302" s="26" t="n">
        <x:v>10129</x:v>
      </x:c>
      <x:c r="N302" s="26" t="n">
        <x:v>10803</x:v>
      </x:c>
    </x:row>
    <x:row r="303">
      <x:c r="A303" s="20" t="str">
        <x:v>T0_TABLE_BLOCK</x:v>
      </x:c>
      <x:c r="B303" s="20" t="str">
        <x:v>NYC-V2-R04</x:v>
      </x:c>
      <x:c r="C303" s="20" t="str">
        <x:v>V2</x:v>
      </x:c>
      <x:c r="D303" s="20" t="str">
        <x:v>one_unit_structures</x:v>
      </x:c>
      <x:c r="E303" s="20" t="str">
        <x:v>housing</x:v>
      </x:c>
      <x:c r="F303" s="50" t="n">
        <x:v>1258</x:v>
      </x:c>
      <x:c r="G303" s="50" t="n">
        <x:v>195.3411990652606</x:v>
      </x:c>
      <x:c r="H303" s="50" t="n">
        <x:v>1257.788</x:v>
      </x:c>
      <x:c r="I303" s="50" t="n">
        <x:v>190.81049158707103</x:v>
      </x:c>
      <x:c r="J303" s="42" t="n">
        <x:v>0.9768061857925018</x:v>
      </x:c>
      <x:c r="K303" s="42" t="n">
        <x:v>-0.00108528052973179</x:v>
      </x:c>
      <x:c r="L303" s="26" t="n">
        <x:v>939</x:v>
      </x:c>
      <x:c r="M303" s="26" t="n">
        <x:v>1262</x:v>
      </x:c>
      <x:c r="N303" s="26" t="n">
        <x:v>1575</x:v>
      </x:c>
    </x:row>
    <x:row r="304">
      <x:c r="A304" s="20" t="str">
        <x:v>T0_TABLE_BLOCK</x:v>
      </x:c>
      <x:c r="B304" s="20" t="str">
        <x:v>NYC-V2-R04</x:v>
      </x:c>
      <x:c r="C304" s="20" t="str">
        <x:v>V2</x:v>
      </x:c>
      <x:c r="D304" s="20" t="str">
        <x:v>two_to_four_unit_structures</x:v>
      </x:c>
      <x:c r="E304" s="20" t="str">
        <x:v>housing</x:v>
      </x:c>
      <x:c r="F304" s="50" t="n">
        <x:v>4732</x:v>
      </x:c>
      <x:c r="G304" s="50" t="n">
        <x:v>465.8359892222641</x:v>
      </x:c>
      <x:c r="H304" s="50" t="n">
        <x:v>4712.55</x:v>
      </x:c>
      <x:c r="I304" s="50" t="n">
        <x:v>408.0347777823355</x:v>
      </x:c>
      <x:c r="J304" s="42" t="n">
        <x:v>0.875919394857339</x:v>
      </x:c>
      <x:c r="K304" s="42" t="n">
        <x:v>-0.041752892541584305</x:v>
      </x:c>
      <x:c r="L304" s="26" t="n">
        <x:v>4064</x:v>
      </x:c>
      <x:c r="M304" s="26" t="n">
        <x:v>4710</x:v>
      </x:c>
      <x:c r="N304" s="26" t="n">
        <x:v>5392</x:v>
      </x:c>
    </x:row>
    <x:row r="305">
      <x:c r="A305" s="20" t="str">
        <x:v>T0_TABLE_BLOCK</x:v>
      </x:c>
      <x:c r="B305" s="20" t="str">
        <x:v>NYC-V2-R04</x:v>
      </x:c>
      <x:c r="C305" s="20" t="str">
        <x:v>V2</x:v>
      </x:c>
      <x:c r="D305" s="20" t="str">
        <x:v>five_to_nineteen_unit_structures</x:v>
      </x:c>
      <x:c r="E305" s="20" t="str">
        <x:v>housing</x:v>
      </x:c>
      <x:c r="F305" s="50" t="n">
        <x:v>1049</x:v>
      </x:c>
      <x:c r="G305" s="50" t="n">
        <x:v>177.17210248560423</x:v>
      </x:c>
      <x:c r="H305" s="50" t="n">
        <x:v>1049.062</x:v>
      </x:c>
      <x:c r="I305" s="50" t="n">
        <x:v>176.08904994209468</x:v>
      </x:c>
      <x:c r="J305" s="42" t="n">
        <x:v>0.9938870029292701</x:v>
      </x:c>
      <x:c r="K305" s="42" t="n">
        <x:v>0.00034994222640065935</x:v>
      </x:c>
      <x:c r="L305" s="26" t="n">
        <x:v>760</x:v>
      </x:c>
      <x:c r="M305" s="26" t="n">
        <x:v>1053</x:v>
      </x:c>
      <x:c r="N305" s="26" t="n">
        <x:v>1338</x:v>
      </x:c>
    </x:row>
    <x:row r="306">
      <x:c r="A306" s="20" t="str">
        <x:v>T0_TABLE_BLOCK</x:v>
      </x:c>
      <x:c r="B306" s="20" t="str">
        <x:v>NYC-V2-R04</x:v>
      </x:c>
      <x:c r="C306" s="20" t="str">
        <x:v>V2</x:v>
      </x:c>
      <x:c r="D306" s="20" t="str">
        <x:v>twenty_to_forty_nine_unit_structures</x:v>
      </x:c>
      <x:c r="E306" s="20" t="str">
        <x:v>housing</x:v>
      </x:c>
      <x:c r="F306" s="50" t="n">
        <x:v>949</x:v>
      </x:c>
      <x:c r="G306" s="50" t="n">
        <x:v>160.24551335613415</x:v>
      </x:c>
      <x:c r="H306" s="50" t="n">
        <x:v>948.872</x:v>
      </x:c>
      <x:c r="I306" s="50" t="n">
        <x:v>159.93227926203625</x:v>
      </x:c>
      <x:c r="J306" s="42" t="n">
        <x:v>0.9980452863388333</x:v>
      </x:c>
      <x:c r="K306" s="42" t="n">
        <x:v>-0.0007987743139838925</x:v>
      </x:c>
      <x:c r="L306" s="26" t="n">
        <x:v>690</x:v>
      </x:c>
      <x:c r="M306" s="26" t="n">
        <x:v>949</x:v>
      </x:c>
      <x:c r="N306" s="26" t="n">
        <x:v>1206</x:v>
      </x:c>
    </x:row>
    <x:row r="307">
      <x:c r="A307" s="20" t="str">
        <x:v>T0_TABLE_BLOCK</x:v>
      </x:c>
      <x:c r="B307" s="20" t="str">
        <x:v>NYC-V2-R04</x:v>
      </x:c>
      <x:c r="C307" s="20" t="str">
        <x:v>V2</x:v>
      </x:c>
      <x:c r="D307" s="20" t="str">
        <x:v>fifty_plus_unit_structures</x:v>
      </x:c>
      <x:c r="E307" s="20" t="str">
        <x:v>housing</x:v>
      </x:c>
      <x:c r="F307" s="50" t="n">
        <x:v>4054</x:v>
      </x:c>
      <x:c r="G307" s="50" t="n">
        <x:v>290.7491449188039</x:v>
      </x:c>
      <x:c r="H307" s="50" t="n">
        <x:v>4053.726</x:v>
      </x:c>
      <x:c r="I307" s="50" t="n">
        <x:v>274.6584464133339</x:v>
      </x:c>
      <x:c r="J307" s="42" t="n">
        <x:v>0.9446577959499637</x:v>
      </x:c>
      <x:c r="K307" s="42" t="n">
        <x:v>-0.0009423931412641158</x:v>
      </x:c>
      <x:c r="L307" s="26" t="n">
        <x:v>3584</x:v>
      </x:c>
      <x:c r="M307" s="26" t="n">
        <x:v>4052</x:v>
      </x:c>
      <x:c r="N307" s="26" t="n">
        <x:v>4506</x:v>
      </x:c>
    </x:row>
    <x:row r="308">
      <x:c r="A308" s="20" t="str">
        <x:v>T0_TABLE_BLOCK</x:v>
      </x:c>
      <x:c r="B308" s="20" t="str">
        <x:v>NYC-V2-R04</x:v>
      </x:c>
      <x:c r="C308" s="20" t="str">
        <x:v>V2</x:v>
      </x:c>
      <x:c r="D308" s="20" t="str">
        <x:v>mobile_or_other_units</x:v>
      </x:c>
      <x:c r="E308" s="20" t="str">
        <x:v>housing</x:v>
      </x:c>
      <x:c r="F308" s="50" t="n">
        <x:v>0</x:v>
      </x:c>
      <x:c r="G308" s="50" t="n">
        <x:v>55.635555932632464</x:v>
      </x:c>
      <x:c r="H308" s="50" t="n">
        <x:v>22.189</x:v>
      </x:c>
      <x:c r="I308" s="50" t="n">
        <x:v>32.6575227595847</x:v>
      </x:c>
      <x:c r="J308" s="42" t="n">
        <x:v>0.5869901398869597</x:v>
      </x:c>
      <x:c r="K308" s="42" t="n">
        <x:v>0.3988276854259898</x:v>
      </x:c>
      <x:c r="L308" s="26" t="n">
        <x:v>0</x:v>
      </x:c>
      <x:c r="M308" s="26" t="n">
        <x:v>0</x:v>
      </x:c>
      <x:c r="N308" s="26" t="n">
        <x:v>90</x:v>
      </x:c>
    </x:row>
    <x:row r="309">
      <x:c r="A309" s="20" t="str">
        <x:v>T0_TABLE_BLOCK</x:v>
      </x:c>
      <x:c r="B309" s="20" t="str">
        <x:v>NYC-V2-R04</x:v>
      </x:c>
      <x:c r="C309" s="20" t="str">
        <x:v>V2</x:v>
      </x:c>
      <x:c r="D309" s="20" t="str">
        <x:v>electric_heat_households</x:v>
      </x:c>
      <x:c r="E309" s="20" t="str">
        <x:v>housing</x:v>
      </x:c>
      <x:c r="F309" s="50" t="n">
        <x:v>795</x:v>
      </x:c>
      <x:c r="G309" s="50" t="n">
        <x:v>196.44413964280025</x:v>
      </x:c>
      <x:c r="H309" s="50" t="n">
        <x:v>794.906</x:v>
      </x:c>
      <x:c r="I309" s="50" t="n">
        <x:v>200.7821970560504</x:v>
      </x:c>
      <x:c r="J309" s="42" t="n">
        <x:v>1.022082905711202</x:v>
      </x:c>
      <x:c r="K309" s="42" t="n">
        <x:v>-0.0004785075297790695</x:v>
      </x:c>
      <x:c r="L309" s="26" t="n">
        <x:v>474</x:v>
      </x:c>
      <x:c r="M309" s="26" t="n">
        <x:v>795</x:v>
      </x:c>
      <x:c r="N309" s="26" t="n">
        <x:v>1127</x:v>
      </x:c>
    </x:row>
    <x:row r="310">
      <x:c r="A310" s="20" t="str">
        <x:v>T0_TABLE_BLOCK</x:v>
      </x:c>
      <x:c r="B310" s="20" t="str">
        <x:v>NYC-V2-R04</x:v>
      </x:c>
      <x:c r="C310" s="20" t="str">
        <x:v>V2</x:v>
      </x:c>
      <x:c r="D310" s="20" t="str">
        <x:v>group_quarters_population</x:v>
      </x:c>
      <x:c r="E310" s="20" t="str">
        <x:v>population</x:v>
      </x:c>
      <x:c r="F310" s="50" t="n">
        <x:v>420</x:v>
      </x:c>
      <x:c r="G310" s="50" t="n">
        <x:v>9.518403227432636</x:v>
      </x:c>
      <x:c r="H310" s="50" t="n">
        <x:v>420.004</x:v>
      </x:c>
      <x:c r="I310" s="50" t="n">
        <x:v>9.16121781816762</x:v>
      </x:c>
      <x:c r="J310" s="42" t="n">
        <x:v>0.9624742301066228</x:v>
      </x:c>
      <x:c r="K310" s="42" t="n">
        <x:v>0.0004202385530895401</x:v>
      </x:c>
      <x:c r="L310" s="26" t="n">
        <x:v>405</x:v>
      </x:c>
      <x:c r="M310" s="26" t="n">
        <x:v>420</x:v>
      </x:c>
      <x:c r="N310" s="26" t="n">
        <x:v>435</x:v>
      </x:c>
    </x:row>
    <x:row r="311">
      <x:c r="A311" s="20" t="str">
        <x:v>T0_TABLE_BLOCK</x:v>
      </x:c>
      <x:c r="B311" s="20" t="str">
        <x:v>NYC-V3-R01</x:v>
      </x:c>
      <x:c r="C311" s="20" t="str">
        <x:v>V3</x:v>
      </x:c>
      <x:c r="D311" s="20" t="str">
        <x:v>acs_population</x:v>
      </x:c>
      <x:c r="E311" s="20" t="str">
        <x:v>population</x:v>
      </x:c>
      <x:c r="F311" s="50" t="n">
        <x:v>34085</x:v>
      </x:c>
      <x:c r="G311" s="50" t="n">
        <x:v>1244.7103277469823</x:v>
      </x:c>
      <x:c r="H311" s="50" t="n">
        <x:v>34757.614</x:v>
      </x:c>
      <x:c r="I311" s="50" t="n">
        <x:v>1020.8518371818103</x:v>
      </x:c>
      <x:c r="J311" s="42" t="n">
        <x:v>0.8201521385538976</x:v>
      </x:c>
      <x:c r="K311" s="42" t="n">
        <x:v>0.5403779377467547</x:v>
      </x:c>
      <x:c r="L311" s="26" t="n">
        <x:v>33147</x:v>
      </x:c>
      <x:c r="M311" s="26" t="n">
        <x:v>34729</x:v>
      </x:c>
      <x:c r="N311" s="26" t="n">
        <x:v>36506</x:v>
      </x:c>
    </x:row>
    <x:row r="312">
      <x:c r="A312" s="20" t="str">
        <x:v>T0_TABLE_BLOCK</x:v>
      </x:c>
      <x:c r="B312" s="20" t="str">
        <x:v>NYC-V3-R01</x:v>
      </x:c>
      <x:c r="C312" s="20" t="str">
        <x:v>V3</x:v>
      </x:c>
      <x:c r="D312" s="20" t="str">
        <x:v>age_under_18</x:v>
      </x:c>
      <x:c r="E312" s="20" t="str">
        <x:v>population</x:v>
      </x:c>
      <x:c r="F312" s="50" t="n">
        <x:v>4833</x:v>
      </x:c>
      <x:c r="G312" s="50" t="n">
        <x:v>567.5816681324371</x:v>
      </x:c>
      <x:c r="H312" s="50" t="n">
        <x:v>4833.399</x:v>
      </x:c>
      <x:c r="I312" s="50" t="n">
        <x:v>564.9559797524565</x:v>
      </x:c>
      <x:c r="J312" s="42" t="n">
        <x:v>0.9953739020701283</x:v>
      </x:c>
      <x:c r="K312" s="42" t="n">
        <x:v>0.0007029825352062657</x:v>
      </x:c>
      <x:c r="L312" s="26" t="n">
        <x:v>3912</x:v>
      </x:c>
      <x:c r="M312" s="26" t="n">
        <x:v>4825</x:v>
      </x:c>
      <x:c r="N312" s="26" t="n">
        <x:v>5752</x:v>
      </x:c>
    </x:row>
    <x:row r="313">
      <x:c r="A313" s="20" t="str">
        <x:v>T0_TABLE_BLOCK</x:v>
      </x:c>
      <x:c r="B313" s="20" t="str">
        <x:v>NYC-V3-R01</x:v>
      </x:c>
      <x:c r="C313" s="20" t="str">
        <x:v>V3</x:v>
      </x:c>
      <x:c r="D313" s="20" t="str">
        <x:v>age_65_plus</x:v>
      </x:c>
      <x:c r="E313" s="20" t="str">
        <x:v>population</x:v>
      </x:c>
      <x:c r="F313" s="50" t="n">
        <x:v>5397</x:v>
      </x:c>
      <x:c r="G313" s="50" t="n">
        <x:v>396.21010840209516</x:v>
      </x:c>
      <x:c r="H313" s="50" t="n">
        <x:v>5398.386</x:v>
      </x:c>
      <x:c r="I313" s="50" t="n">
        <x:v>377.3051021973386</x:v>
      </x:c>
      <x:c r="J313" s="42" t="n">
        <x:v>0.9522854015991669</x:v>
      </x:c>
      <x:c r="K313" s="42" t="n">
        <x:v>0.0034981439660641753</x:v>
      </x:c>
      <x:c r="L313" s="26" t="n">
        <x:v>4772</x:v>
      </x:c>
      <x:c r="M313" s="26" t="n">
        <x:v>5411</x:v>
      </x:c>
      <x:c r="N313" s="26" t="n">
        <x:v>6000</x:v>
      </x:c>
    </x:row>
    <x:row r="314">
      <x:c r="A314" s="20" t="str">
        <x:v>T0_TABLE_BLOCK</x:v>
      </x:c>
      <x:c r="B314" s="20" t="str">
        <x:v>NYC-V3-R01</x:v>
      </x:c>
      <x:c r="C314" s="20" t="str">
        <x:v>V3</x:v>
      </x:c>
      <x:c r="D314" s="20" t="str">
        <x:v>age_75_plus</x:v>
      </x:c>
      <x:c r="E314" s="20" t="str">
        <x:v>population</x:v>
      </x:c>
      <x:c r="F314" s="50" t="n">
        <x:v>2200</x:v>
      </x:c>
      <x:c r="G314" s="50" t="n">
        <x:v>257.18087020616446</x:v>
      </x:c>
      <x:c r="H314" s="50" t="n">
        <x:v>2200.036</x:v>
      </x:c>
      <x:c r="I314" s="50" t="n">
        <x:v>250.9215262115156</x:v>
      </x:c>
      <x:c r="J314" s="42" t="n">
        <x:v>0.9756617045831163</x:v>
      </x:c>
      <x:c r="K314" s="42" t="n">
        <x:v>0.00013997930705810058</x:v>
      </x:c>
      <x:c r="L314" s="26" t="n">
        <x:v>1785</x:v>
      </x:c>
      <x:c r="M314" s="26" t="n">
        <x:v>2207</x:v>
      </x:c>
      <x:c r="N314" s="26" t="n">
        <x:v>2616</x:v>
      </x:c>
    </x:row>
    <x:row r="315">
      <x:c r="A315" s="20" t="str">
        <x:v>T0_TABLE_BLOCK</x:v>
      </x:c>
      <x:c r="B315" s="20" t="str">
        <x:v>NYC-V3-R01</x:v>
      </x:c>
      <x:c r="C315" s="20" t="str">
        <x:v>V3</x:v>
      </x:c>
      <x:c r="D315" s="20" t="str">
        <x:v>age_85_plus</x:v>
      </x:c>
      <x:c r="E315" s="20" t="str">
        <x:v>population</x:v>
      </x:c>
      <x:c r="F315" s="50" t="n">
        <x:v>678</x:v>
      </x:c>
      <x:c r="G315" s="50" t="n">
        <x:v>108.72810124342281</x:v>
      </x:c>
      <x:c r="H315" s="50" t="n">
        <x:v>677.934</x:v>
      </x:c>
      <x:c r="I315" s="50" t="n">
        <x:v>109.91091872081707</x:v>
      </x:c>
      <x:c r="J315" s="42" t="n">
        <x:v>1.010878673166067</x:v>
      </x:c>
      <x:c r="K315" s="42" t="n">
        <x:v>-0.0006070187858083598</x:v>
      </x:c>
      <x:c r="L315" s="26" t="n">
        <x:v>493</x:v>
      </x:c>
      <x:c r="M315" s="26" t="n">
        <x:v>680</x:v>
      </x:c>
      <x:c r="N315" s="26" t="n">
        <x:v>858</x:v>
      </x:c>
    </x:row>
    <x:row r="316">
      <x:c r="A316" s="20" t="str">
        <x:v>T0_TABLE_BLOCK</x:v>
      </x:c>
      <x:c r="B316" s="20" t="str">
        <x:v>NYC-V3-R01</x:v>
      </x:c>
      <x:c r="C316" s="20" t="str">
        <x:v>V3</x:v>
      </x:c>
      <x:c r="D316" s="20" t="str">
        <x:v>civilian_noninstitutionalized</x:v>
      </x:c>
      <x:c r="E316" s="20" t="str">
        <x:v>disability</x:v>
      </x:c>
      <x:c r="F316" s="50" t="n">
        <x:v>34054</x:v>
      </x:c>
      <x:c r="G316" s="50" t="n">
        <x:v>1239.3902129676512</x:v>
      </x:c>
      <x:c r="H316" s="50" t="n">
        <x:v>34054.502</x:v>
      </x:c>
      <x:c r="I316" s="50" t="n">
        <x:v>1221.3056363799578</x:v>
      </x:c>
      <x:c r="J316" s="42" t="n">
        <x:v>0.9854084884659603</x:v>
      </x:c>
      <x:c r="K316" s="42" t="n">
        <x:v>0.0004050378926249516</x:v>
      </x:c>
      <x:c r="L316" s="26" t="n">
        <x:v>32109</x:v>
      </x:c>
      <x:c r="M316" s="26" t="n">
        <x:v>34048</x:v>
      </x:c>
      <x:c r="N316" s="26" t="n">
        <x:v>36164</x:v>
      </x:c>
    </x:row>
    <x:row r="317">
      <x:c r="A317" s="20" t="str">
        <x:v>T0_TABLE_BLOCK</x:v>
      </x:c>
      <x:c r="B317" s="20" t="str">
        <x:v>NYC-V3-R01</x:v>
      </x:c>
      <x:c r="C317" s="20" t="str">
        <x:v>V3</x:v>
      </x:c>
      <x:c r="D317" s="20" t="str">
        <x:v>any_disability</x:v>
      </x:c>
      <x:c r="E317" s="20" t="str">
        <x:v>disability</x:v>
      </x:c>
      <x:c r="F317" s="50" t="n">
        <x:v>3265</x:v>
      </x:c>
      <x:c r="G317" s="50" t="n">
        <x:v>265.1135605735776</x:v>
      </x:c>
      <x:c r="H317" s="50" t="n">
        <x:v>3265.384</x:v>
      </x:c>
      <x:c r="I317" s="50" t="n">
        <x:v>255.98953335084852</x:v>
      </x:c>
      <x:c r="J317" s="42" t="n">
        <x:v>0.9655844567022935</x:v>
      </x:c>
      <x:c r="K317" s="42" t="n">
        <x:v>0.0014484359048598803</x:v>
      </x:c>
      <x:c r="L317" s="26" t="n">
        <x:v>2867</x:v>
      </x:c>
      <x:c r="M317" s="26" t="n">
        <x:v>3263</x:v>
      </x:c>
      <x:c r="N317" s="26" t="n">
        <x:v>3712</x:v>
      </x:c>
    </x:row>
    <x:row r="318">
      <x:c r="A318" s="20" t="str">
        <x:v>T0_TABLE_BLOCK</x:v>
      </x:c>
      <x:c r="B318" s="20" t="str">
        <x:v>NYC-V3-R01</x:v>
      </x:c>
      <x:c r="C318" s="20" t="str">
        <x:v>V3</x:v>
      </x:c>
      <x:c r="D318" s="20" t="str">
        <x:v>disability_under_18</x:v>
      </x:c>
      <x:c r="E318" s="20" t="str">
        <x:v>disability</x:v>
      </x:c>
      <x:c r="F318" s="50" t="n">
        <x:v>230</x:v>
      </x:c>
      <x:c r="G318" s="50" t="n">
        <x:v>101.90706550578328</x:v>
      </x:c>
      <x:c r="H318" s="50" t="n">
        <x:v>230.329</x:v>
      </x:c>
      <x:c r="I318" s="50" t="n">
        <x:v>98.21851982511565</x:v>
      </x:c>
      <x:c r="J318" s="42" t="n">
        <x:v>0.963804809191976</x:v>
      </x:c>
      <x:c r="K318" s="42" t="n">
        <x:v>0.0032284316928087465</x:v>
      </x:c>
      <x:c r="L318" s="26" t="n">
        <x:v>69</x:v>
      </x:c>
      <x:c r="M318" s="26" t="n">
        <x:v>228</x:v>
      </x:c>
      <x:c r="N318" s="26" t="n">
        <x:v>393</x:v>
      </x:c>
    </x:row>
    <x:row r="319">
      <x:c r="A319" s="20" t="str">
        <x:v>T0_TABLE_BLOCK</x:v>
      </x:c>
      <x:c r="B319" s="20" t="str">
        <x:v>NYC-V3-R01</x:v>
      </x:c>
      <x:c r="C319" s="20" t="str">
        <x:v>V3</x:v>
      </x:c>
      <x:c r="D319" s="20" t="str">
        <x:v>disability_18_64</x:v>
      </x:c>
      <x:c r="E319" s="20" t="str">
        <x:v>disability</x:v>
      </x:c>
      <x:c r="F319" s="50" t="n">
        <x:v>1422</x:v>
      </x:c>
      <x:c r="G319" s="50" t="n">
        <x:v>194.2244835235764</x:v>
      </x:c>
      <x:c r="H319" s="50" t="n">
        <x:v>1422.048</x:v>
      </x:c>
      <x:c r="I319" s="50" t="n">
        <x:v>193.98932845792203</x:v>
      </x:c>
      <x:c r="J319" s="42" t="n">
        <x:v>0.9987892614700874</x:v>
      </x:c>
      <x:c r="K319" s="42" t="n">
        <x:v>0.0002471367107235748</x:v>
      </x:c>
      <x:c r="L319" s="26" t="n">
        <x:v>1099</x:v>
      </x:c>
      <x:c r="M319" s="26" t="n">
        <x:v>1422</x:v>
      </x:c>
      <x:c r="N319" s="26" t="n">
        <x:v>1725</x:v>
      </x:c>
    </x:row>
    <x:row r="320">
      <x:c r="A320" s="20" t="str">
        <x:v>T0_TABLE_BLOCK</x:v>
      </x:c>
      <x:c r="B320" s="20" t="str">
        <x:v>NYC-V3-R01</x:v>
      </x:c>
      <x:c r="C320" s="20" t="str">
        <x:v>V3</x:v>
      </x:c>
      <x:c r="D320" s="20" t="str">
        <x:v>disability_65_plus</x:v>
      </x:c>
      <x:c r="E320" s="20" t="str">
        <x:v>disability</x:v>
      </x:c>
      <x:c r="F320" s="50" t="n">
        <x:v>1613</x:v>
      </x:c>
      <x:c r="G320" s="50" t="n">
        <x:v>185.045129630585</x:v>
      </x:c>
      <x:c r="H320" s="50" t="n">
        <x:v>1613.007</x:v>
      </x:c>
      <x:c r="I320" s="50" t="n">
        <x:v>182.84100684689082</x:v>
      </x:c>
      <x:c r="J320" s="42" t="n">
        <x:v>0.9880887284734574</x:v>
      </x:c>
      <x:c r="K320" s="42" t="n">
        <x:v>0.00003782860977771369</x:v>
      </x:c>
      <x:c r="L320" s="26" t="n">
        <x:v>1314</x:v>
      </x:c>
      <x:c r="M320" s="26" t="n">
        <x:v>1610</x:v>
      </x:c>
      <x:c r="N320" s="26" t="n">
        <x:v>1902</x:v>
      </x:c>
    </x:row>
    <x:row r="321">
      <x:c r="A321" s="20" t="str">
        <x:v>T0_TABLE_BLOCK</x:v>
      </x:c>
      <x:c r="B321" s="20" t="str">
        <x:v>NYC-V3-R01</x:v>
      </x:c>
      <x:c r="C321" s="20" t="str">
        <x:v>V3</x:v>
      </x:c>
      <x:c r="D321" s="20" t="str">
        <x:v>hearing_difficulty</x:v>
      </x:c>
      <x:c r="E321" s="20" t="str">
        <x:v>disability</x:v>
      </x:c>
      <x:c r="F321" s="50" t="n">
        <x:v>720</x:v>
      </x:c>
      <x:c r="G321" s="50" t="n">
        <x:v>159.06620460011186</x:v>
      </x:c>
      <x:c r="H321" s="50" t="n">
        <x:v>720.029</x:v>
      </x:c>
      <x:c r="I321" s="50" t="n">
        <x:v>159.0641806711133</x:v>
      </x:c>
      <x:c r="J321" s="42" t="n">
        <x:v>0.999987276184758</x:v>
      </x:c>
      <x:c r="K321" s="42" t="n">
        <x:v>0.00018231402498664992</x:v>
      </x:c>
      <x:c r="L321" s="26" t="n">
        <x:v>460</x:v>
      </x:c>
      <x:c r="M321" s="26" t="n">
        <x:v>720</x:v>
      </x:c>
      <x:c r="N321" s="26" t="n">
        <x:v>980</x:v>
      </x:c>
    </x:row>
    <x:row r="322">
      <x:c r="A322" s="20" t="str">
        <x:v>T0_TABLE_BLOCK</x:v>
      </x:c>
      <x:c r="B322" s="20" t="str">
        <x:v>NYC-V3-R01</x:v>
      </x:c>
      <x:c r="C322" s="20" t="str">
        <x:v>V3</x:v>
      </x:c>
      <x:c r="D322" s="20" t="str">
        <x:v>vision_difficulty</x:v>
      </x:c>
      <x:c r="E322" s="20" t="str">
        <x:v>disability</x:v>
      </x:c>
      <x:c r="F322" s="50" t="n">
        <x:v>541</x:v>
      </x:c>
      <x:c r="G322" s="50" t="n">
        <x:v>140.9076055387275</x:v>
      </x:c>
      <x:c r="H322" s="50" t="n">
        <x:v>540.96</x:v>
      </x:c>
      <x:c r="I322" s="50" t="n">
        <x:v>140.83539686104842</x:v>
      </x:c>
      <x:c r="J322" s="42" t="n">
        <x:v>0.9994875459177451</x:v>
      </x:c>
      <x:c r="K322" s="42" t="n">
        <x:v>-0.00028387396015305854</x:v>
      </x:c>
      <x:c r="L322" s="26" t="n">
        <x:v>310</x:v>
      </x:c>
      <x:c r="M322" s="26" t="n">
        <x:v>541</x:v>
      </x:c>
      <x:c r="N322" s="26" t="n">
        <x:v>772</x:v>
      </x:c>
    </x:row>
    <x:row r="323">
      <x:c r="A323" s="20" t="str">
        <x:v>T0_TABLE_BLOCK</x:v>
      </x:c>
      <x:c r="B323" s="20" t="str">
        <x:v>NYC-V3-R01</x:v>
      </x:c>
      <x:c r="C323" s="20" t="str">
        <x:v>V3</x:v>
      </x:c>
      <x:c r="D323" s="20" t="str">
        <x:v>cognitive_difficulty</x:v>
      </x:c>
      <x:c r="E323" s="20" t="str">
        <x:v>disability</x:v>
      </x:c>
      <x:c r="F323" s="50" t="n">
        <x:v>1327</x:v>
      </x:c>
      <x:c r="G323" s="50" t="n">
        <x:v>183.32778306430754</x:v>
      </x:c>
      <x:c r="H323" s="50" t="n">
        <x:v>1326.993</x:v>
      </x:c>
      <x:c r="I323" s="50" t="n">
        <x:v>183.2474572308756</x:v>
      </x:c>
      <x:c r="J323" s="42" t="n">
        <x:v>0.9995618458256065</x:v>
      </x:c>
      <x:c r="K323" s="42" t="n">
        <x:v>-0.00003818297414094836</x:v>
      </x:c>
      <x:c r="L323" s="26" t="n">
        <x:v>1026</x:v>
      </x:c>
      <x:c r="M323" s="26" t="n">
        <x:v>1327</x:v>
      </x:c>
      <x:c r="N323" s="26" t="n">
        <x:v>1628</x:v>
      </x:c>
    </x:row>
    <x:row r="324">
      <x:c r="A324" s="20" t="str">
        <x:v>T0_TABLE_BLOCK</x:v>
      </x:c>
      <x:c r="B324" s="20" t="str">
        <x:v>NYC-V3-R01</x:v>
      </x:c>
      <x:c r="C324" s="20" t="str">
        <x:v>V3</x:v>
      </x:c>
      <x:c r="D324" s="20" t="str">
        <x:v>ambulatory_difficulty</x:v>
      </x:c>
      <x:c r="E324" s="20" t="str">
        <x:v>disability</x:v>
      </x:c>
      <x:c r="F324" s="50" t="n">
        <x:v>1715</x:v>
      </x:c>
      <x:c r="G324" s="50" t="n">
        <x:v>191.92404948828334</x:v>
      </x:c>
      <x:c r="H324" s="50" t="n">
        <x:v>1714.986</x:v>
      </x:c>
      <x:c r="I324" s="50" t="n">
        <x:v>191.72836401943653</x:v>
      </x:c>
      <x:c r="J324" s="42" t="n">
        <x:v>0.9989804015214948</x:v>
      </x:c>
      <x:c r="K324" s="42" t="n">
        <x:v>-0.00007294552213348852</x:v>
      </x:c>
      <x:c r="L324" s="26" t="n">
        <x:v>1399</x:v>
      </x:c>
      <x:c r="M324" s="26" t="n">
        <x:v>1715</x:v>
      </x:c>
      <x:c r="N324" s="26" t="n">
        <x:v>2030</x:v>
      </x:c>
    </x:row>
    <x:row r="325">
      <x:c r="A325" s="20" t="str">
        <x:v>T0_TABLE_BLOCK</x:v>
      </x:c>
      <x:c r="B325" s="20" t="str">
        <x:v>NYC-V3-R01</x:v>
      </x:c>
      <x:c r="C325" s="20" t="str">
        <x:v>V3</x:v>
      </x:c>
      <x:c r="D325" s="20" t="str">
        <x:v>self_care_difficulty</x:v>
      </x:c>
      <x:c r="E325" s="20" t="str">
        <x:v>disability</x:v>
      </x:c>
      <x:c r="F325" s="50" t="n">
        <x:v>694</x:v>
      </x:c>
      <x:c r="G325" s="50" t="n">
        <x:v>141.54999206989226</x:v>
      </x:c>
      <x:c r="H325" s="50" t="n">
        <x:v>694.064</x:v>
      </x:c>
      <x:c r="I325" s="50" t="n">
        <x:v>141.64735040189026</x:v>
      </x:c>
      <x:c r="J325" s="42" t="n">
        <x:v>1.0006878017481622</x:v>
      </x:c>
      <x:c r="K325" s="42" t="n">
        <x:v>0.00045213707937449864</x:v>
      </x:c>
      <x:c r="L325" s="26" t="n">
        <x:v>462</x:v>
      </x:c>
      <x:c r="M325" s="26" t="n">
        <x:v>694</x:v>
      </x:c>
      <x:c r="N325" s="26" t="n">
        <x:v>926</x:v>
      </x:c>
    </x:row>
    <x:row r="326">
      <x:c r="A326" s="20" t="str">
        <x:v>T0_TABLE_BLOCK</x:v>
      </x:c>
      <x:c r="B326" s="20" t="str">
        <x:v>NYC-V3-R01</x:v>
      </x:c>
      <x:c r="C326" s="20" t="str">
        <x:v>V3</x:v>
      </x:c>
      <x:c r="D326" s="20" t="str">
        <x:v>independent_living_difficulty</x:v>
      </x:c>
      <x:c r="E326" s="20" t="str">
        <x:v>disability</x:v>
      </x:c>
      <x:c r="F326" s="50" t="n">
        <x:v>1238</x:v>
      </x:c>
      <x:c r="G326" s="50" t="n">
        <x:v>175.45656878411353</x:v>
      </x:c>
      <x:c r="H326" s="50" t="n">
        <x:v>1237.91</x:v>
      </x:c>
      <x:c r="I326" s="50" t="n">
        <x:v>175.643834667365</x:v>
      </x:c>
      <x:c r="J326" s="42" t="n">
        <x:v>1.001067306197478</x:v>
      </x:c>
      <x:c r="K326" s="42" t="n">
        <x:v>-0.0005129474526009714</x:v>
      </x:c>
      <x:c r="L326" s="26" t="n">
        <x:v>950</x:v>
      </x:c>
      <x:c r="M326" s="26" t="n">
        <x:v>1238</x:v>
      </x:c>
      <x:c r="N326" s="26" t="n">
        <x:v>1526</x:v>
      </x:c>
    </x:row>
    <x:row r="327">
      <x:c r="A327" s="20" t="str">
        <x:v>T0_TABLE_BLOCK</x:v>
      </x:c>
      <x:c r="B327" s="20" t="str">
        <x:v>NYC-V3-R01</x:v>
      </x:c>
      <x:c r="C327" s="20" t="str">
        <x:v>V3</x:v>
      </x:c>
      <x:c r="D327" s="20" t="str">
        <x:v>households</x:v>
      </x:c>
      <x:c r="E327" s="20" t="str">
        <x:v>household</x:v>
      </x:c>
      <x:c r="F327" s="50" t="n">
        <x:v>16993</x:v>
      </x:c>
      <x:c r="G327" s="50" t="n">
        <x:v>417.34050845802153</x:v>
      </x:c>
      <x:c r="H327" s="50" t="n">
        <x:v>16996.056</x:v>
      </x:c>
      <x:c r="I327" s="50" t="n">
        <x:v>423.0517505549973</x:v>
      </x:c>
      <x:c r="J327" s="42" t="n">
        <x:v>1.0136848496161504</x:v>
      </x:c>
      <x:c r="K327" s="42" t="n">
        <x:v>0.007322557810867009</x:v>
      </x:c>
      <x:c r="L327" s="26" t="n">
        <x:v>16306</x:v>
      </x:c>
      <x:c r="M327" s="26" t="n">
        <x:v>16999</x:v>
      </x:c>
      <x:c r="N327" s="26" t="n">
        <x:v>17651</x:v>
      </x:c>
    </x:row>
    <x:row r="328">
      <x:c r="A328" s="20" t="str">
        <x:v>T0_TABLE_BLOCK</x:v>
      </x:c>
      <x:c r="B328" s="20" t="str">
        <x:v>NYC-V3-R01</x:v>
      </x:c>
      <x:c r="C328" s="20" t="str">
        <x:v>V3</x:v>
      </x:c>
      <x:c r="D328" s="20" t="str">
        <x:v>family_households</x:v>
      </x:c>
      <x:c r="E328" s="20" t="str">
        <x:v>household</x:v>
      </x:c>
      <x:c r="F328" s="50" t="n">
        <x:v>7085</x:v>
      </x:c>
      <x:c r="G328" s="50" t="n">
        <x:v>376.2040005103614</x:v>
      </x:c>
      <x:c r="H328" s="50" t="n">
        <x:v>7085.189</x:v>
      </x:c>
      <x:c r="I328" s="50" t="n">
        <x:v>368.35129693942565</x:v>
      </x:c>
      <x:c r="J328" s="42" t="n">
        <x:v>0.9791264751031814</x:v>
      </x:c>
      <x:c r="K328" s="42" t="n">
        <x:v>0.0005023870021156251</x:v>
      </x:c>
      <x:c r="L328" s="26" t="n">
        <x:v>6500</x:v>
      </x:c>
      <x:c r="M328" s="26" t="n">
        <x:v>7084</x:v>
      </x:c>
      <x:c r="N328" s="26" t="n">
        <x:v>7693</x:v>
      </x:c>
    </x:row>
    <x:row r="329">
      <x:c r="A329" s="20" t="str">
        <x:v>T0_TABLE_BLOCK</x:v>
      </x:c>
      <x:c r="B329" s="20" t="str">
        <x:v>NYC-V3-R01</x:v>
      </x:c>
      <x:c r="C329" s="20" t="str">
        <x:v>V3</x:v>
      </x:c>
      <x:c r="D329" s="20" t="str">
        <x:v>nonfamily_households</x:v>
      </x:c>
      <x:c r="E329" s="20" t="str">
        <x:v>household</x:v>
      </x:c>
      <x:c r="F329" s="50" t="n">
        <x:v>9908</x:v>
      </x:c>
      <x:c r="G329" s="50" t="n">
        <x:v>444.23073959373863</x:v>
      </x:c>
      <x:c r="H329" s="50" t="n">
        <x:v>9910.867</x:v>
      </x:c>
      <x:c r="I329" s="50" t="n">
        <x:v>561.1488406228176</x:v>
      </x:c>
      <x:c r="J329" s="42" t="n">
        <x:v>1.2631922796157777</x:v>
      </x:c>
      <x:c r="K329" s="42" t="n">
        <x:v>0.0064538532444245985</x:v>
      </x:c>
      <x:c r="L329" s="26" t="n">
        <x:v>8979</x:v>
      </x:c>
      <x:c r="M329" s="26" t="n">
        <x:v>9925</x:v>
      </x:c>
      <x:c r="N329" s="26" t="n">
        <x:v>10800</x:v>
      </x:c>
    </x:row>
    <x:row r="330">
      <x:c r="A330" s="20" t="str">
        <x:v>T0_TABLE_BLOCK</x:v>
      </x:c>
      <x:c r="B330" s="20" t="str">
        <x:v>NYC-V3-R01</x:v>
      </x:c>
      <x:c r="C330" s="20" t="str">
        <x:v>V3</x:v>
      </x:c>
      <x:c r="D330" s="20" t="str">
        <x:v>living_alone_households</x:v>
      </x:c>
      <x:c r="E330" s="20" t="str">
        <x:v>household</x:v>
      </x:c>
      <x:c r="F330" s="50" t="n">
        <x:v>7241</x:v>
      </x:c>
      <x:c r="G330" s="50" t="n">
        <x:v>354.817276918698</x:v>
      </x:c>
      <x:c r="H330" s="50" t="n">
        <x:v>7241.021</x:v>
      </x:c>
      <x:c r="I330" s="50" t="n">
        <x:v>352.14155709776037</x:v>
      </x:c>
      <x:c r="J330" s="42" t="n">
        <x:v>0.99245887955577</x:v>
      </x:c>
      <x:c r="K330" s="42" t="n">
        <x:v>0.00005918539306230762</x:v>
      </x:c>
      <x:c r="L330" s="26" t="n">
        <x:v>6659</x:v>
      </x:c>
      <x:c r="M330" s="26" t="n">
        <x:v>7250</x:v>
      </x:c>
      <x:c r="N330" s="26" t="n">
        <x:v>7795</x:v>
      </x:c>
    </x:row>
    <x:row r="331">
      <x:c r="A331" s="20" t="str">
        <x:v>T0_TABLE_BLOCK</x:v>
      </x:c>
      <x:c r="B331" s="20" t="str">
        <x:v>NYC-V3-R01</x:v>
      </x:c>
      <x:c r="C331" s="20" t="str">
        <x:v>V3</x:v>
      </x:c>
      <x:c r="D331" s="20" t="str">
        <x:v>households_with_children</x:v>
      </x:c>
      <x:c r="E331" s="20" t="str">
        <x:v>household</x:v>
      </x:c>
      <x:c r="F331" s="50" t="n">
        <x:v>2520</x:v>
      </x:c>
      <x:c r="G331" s="50" t="n">
        <x:v>216.2481213791232</x:v>
      </x:c>
      <x:c r="H331" s="50" t="n">
        <x:v>2519.968</x:v>
      </x:c>
      <x:c r="I331" s="50" t="n">
        <x:v>212.4223015839208</x:v>
      </x:c>
      <x:c r="J331" s="42" t="n">
        <x:v>0.9823081940744585</x:v>
      </x:c>
      <x:c r="K331" s="42" t="n">
        <x:v>-0.0001479781641388266</x:v>
      </x:c>
      <x:c r="L331" s="26" t="n">
        <x:v>2174</x:v>
      </x:c>
      <x:c r="M331" s="26" t="n">
        <x:v>2520</x:v>
      </x:c>
      <x:c r="N331" s="26" t="n">
        <x:v>2867</x:v>
      </x:c>
    </x:row>
    <x:row r="332">
      <x:c r="A332" s="20" t="str">
        <x:v>T0_TABLE_BLOCK</x:v>
      </x:c>
      <x:c r="B332" s="20" t="str">
        <x:v>NYC-V3-R01</x:v>
      </x:c>
      <x:c r="C332" s="20" t="str">
        <x:v>V3</x:v>
      </x:c>
      <x:c r="D332" s="20" t="str">
        <x:v>households_with_age65</x:v>
      </x:c>
      <x:c r="E332" s="20" t="str">
        <x:v>household</x:v>
      </x:c>
      <x:c r="F332" s="50" t="n">
        <x:v>4226</x:v>
      </x:c>
      <x:c r="G332" s="50" t="n">
        <x:v>283.0042402509192</x:v>
      </x:c>
      <x:c r="H332" s="50" t="n">
        <x:v>4226.068</x:v>
      </x:c>
      <x:c r="I332" s="50" t="n">
        <x:v>285.5611923398741</x:v>
      </x:c>
      <x:c r="J332" s="42" t="n">
        <x:v>1.0090350310182201</x:v>
      </x:c>
      <x:c r="K332" s="42" t="n">
        <x:v>0.00024027908535900508</x:v>
      </x:c>
      <x:c r="L332" s="26" t="n">
        <x:v>3754</x:v>
      </x:c>
      <x:c r="M332" s="26" t="n">
        <x:v>4225</x:v>
      </x:c>
      <x:c r="N332" s="26" t="n">
        <x:v>4699</x:v>
      </x:c>
    </x:row>
    <x:row r="333">
      <x:c r="A333" s="20" t="str">
        <x:v>T0_TABLE_BLOCK</x:v>
      </x:c>
      <x:c r="B333" s="20" t="str">
        <x:v>NYC-V3-R01</x:v>
      </x:c>
      <x:c r="C333" s="20" t="str">
        <x:v>V3</x:v>
      </x:c>
      <x:c r="D333" s="20" t="str">
        <x:v>age65_one_person_households</x:v>
      </x:c>
      <x:c r="E333" s="20" t="str">
        <x:v>household</x:v>
      </x:c>
      <x:c r="F333" s="50" t="n">
        <x:v>1899</x:v>
      </x:c>
      <x:c r="G333" s="50" t="n">
        <x:v>170.8314959250782</x:v>
      </x:c>
      <x:c r="H333" s="50" t="n">
        <x:v>1899.05</x:v>
      </x:c>
      <x:c r="I333" s="50" t="n">
        <x:v>164.91619341608285</x:v>
      </x:c>
      <x:c r="J333" s="42" t="n">
        <x:v>0.9653734665439584</x:v>
      </x:c>
      <x:c r="K333" s="42" t="n">
        <x:v>0.0002926860748317927</x:v>
      </x:c>
      <x:c r="L333" s="26" t="n">
        <x:v>1618</x:v>
      </x:c>
      <x:c r="M333" s="26" t="n">
        <x:v>1896</x:v>
      </x:c>
      <x:c r="N333" s="26" t="n">
        <x:v>2163</x:v>
      </x:c>
    </x:row>
    <x:row r="334">
      <x:c r="A334" s="20" t="str">
        <x:v>T0_TABLE_BLOCK</x:v>
      </x:c>
      <x:c r="B334" s="20" t="str">
        <x:v>NYC-V3-R01</x:v>
      </x:c>
      <x:c r="C334" s="20" t="str">
        <x:v>V3</x:v>
      </x:c>
      <x:c r="D334" s="20" t="str">
        <x:v>no_vehicle_households</x:v>
      </x:c>
      <x:c r="E334" s="20" t="str">
        <x:v>household</x:v>
      </x:c>
      <x:c r="F334" s="50" t="n">
        <x:v>11582</x:v>
      </x:c>
      <x:c r="G334" s="50" t="n">
        <x:v>447.6686714535275</x:v>
      </x:c>
      <x:c r="H334" s="50" t="n">
        <x:v>11582.023</x:v>
      </x:c>
      <x:c r="I334" s="50" t="n">
        <x:v>447.8860394959586</x:v>
      </x:c>
      <x:c r="J334" s="42" t="n">
        <x:v>1.0004855556269445</x:v>
      </x:c>
      <x:c r="K334" s="42" t="n">
        <x:v>0.00005137728294577875</x:v>
      </x:c>
      <x:c r="L334" s="26" t="n">
        <x:v>10847</x:v>
      </x:c>
      <x:c r="M334" s="26" t="n">
        <x:v>11583</x:v>
      </x:c>
      <x:c r="N334" s="26" t="n">
        <x:v>12315</x:v>
      </x:c>
    </x:row>
    <x:row r="335">
      <x:c r="A335" s="20" t="str">
        <x:v>T0_TABLE_BLOCK</x:v>
      </x:c>
      <x:c r="B335" s="20" t="str">
        <x:v>NYC-V3-R01</x:v>
      </x:c>
      <x:c r="C335" s="20" t="str">
        <x:v>V3</x:v>
      </x:c>
      <x:c r="D335" s="20" t="str">
        <x:v>limited_english_households</x:v>
      </x:c>
      <x:c r="E335" s="20" t="str">
        <x:v>household</x:v>
      </x:c>
      <x:c r="F335" s="50" t="n">
        <x:v>1726</x:v>
      </x:c>
      <x:c r="G335" s="50" t="n">
        <x:v>236.08002721927718</x:v>
      </x:c>
      <x:c r="H335" s="50" t="n">
        <x:v>1725.96</x:v>
      </x:c>
      <x:c r="I335" s="50" t="n">
        <x:v>236.5153100581269</x:v>
      </x:c>
      <x:c r="J335" s="42" t="n">
        <x:v>1.0018437935812563</x:v>
      </x:c>
      <x:c r="K335" s="42" t="n">
        <x:v>-0.0001694340706035695</x:v>
      </x:c>
      <x:c r="L335" s="26" t="n">
        <x:v>1340</x:v>
      </x:c>
      <x:c r="M335" s="26" t="n">
        <x:v>1726</x:v>
      </x:c>
      <x:c r="N335" s="26" t="n">
        <x:v>2113</x:v>
      </x:c>
    </x:row>
    <x:row r="336">
      <x:c r="A336" s="20" t="str">
        <x:v>T0_TABLE_BLOCK</x:v>
      </x:c>
      <x:c r="B336" s="20" t="str">
        <x:v>NYC-V3-R01</x:v>
      </x:c>
      <x:c r="C336" s="20" t="str">
        <x:v>V3</x:v>
      </x:c>
      <x:c r="D336" s="20" t="str">
        <x:v>housing_units</x:v>
      </x:c>
      <x:c r="E336" s="20" t="str">
        <x:v>housing</x:v>
      </x:c>
      <x:c r="F336" s="50" t="n">
        <x:v>19738</x:v>
      </x:c>
      <x:c r="G336" s="50" t="n">
        <x:v>451.6783700820751</x:v>
      </x:c>
      <x:c r="H336" s="50" t="n">
        <x:v>19740.983</x:v>
      </x:c>
      <x:c r="I336" s="50" t="n">
        <x:v>452.0101745634814</x:v>
      </x:c>
      <x:c r="J336" s="42" t="n">
        <x:v>1.0007346034332927</x:v>
      </x:c>
      <x:c r="K336" s="42" t="n">
        <x:v>0.006604256917279722</x:v>
      </x:c>
      <x:c r="L336" s="26" t="n">
        <x:v>18979</x:v>
      </x:c>
      <x:c r="M336" s="26" t="n">
        <x:v>19749</x:v>
      </x:c>
      <x:c r="N336" s="26" t="n">
        <x:v>20497</x:v>
      </x:c>
    </x:row>
    <x:row r="337">
      <x:c r="A337" s="20" t="str">
        <x:v>T0_TABLE_BLOCK</x:v>
      </x:c>
      <x:c r="B337" s="20" t="str">
        <x:v>NYC-V3-R01</x:v>
      </x:c>
      <x:c r="C337" s="20" t="str">
        <x:v>V3</x:v>
      </x:c>
      <x:c r="D337" s="20" t="str">
        <x:v>occupied_housing_units</x:v>
      </x:c>
      <x:c r="E337" s="20" t="str">
        <x:v>housing</x:v>
      </x:c>
      <x:c r="F337" s="50" t="n">
        <x:v>16993</x:v>
      </x:c>
      <x:c r="G337" s="50" t="n">
        <x:v>417.34050845802153</x:v>
      </x:c>
      <x:c r="H337" s="50" t="n">
        <x:v>16996.056</x:v>
      </x:c>
      <x:c r="I337" s="50" t="n">
        <x:v>423.0517505549973</x:v>
      </x:c>
      <x:c r="J337" s="42" t="n">
        <x:v>1.0136848496161504</x:v>
      </x:c>
      <x:c r="K337" s="42" t="n">
        <x:v>0.007322557810867009</x:v>
      </x:c>
      <x:c r="L337" s="26" t="n">
        <x:v>16306</x:v>
      </x:c>
      <x:c r="M337" s="26" t="n">
        <x:v>16999</x:v>
      </x:c>
      <x:c r="N337" s="26" t="n">
        <x:v>17651</x:v>
      </x:c>
    </x:row>
    <x:row r="338">
      <x:c r="A338" s="20" t="str">
        <x:v>T0_TABLE_BLOCK</x:v>
      </x:c>
      <x:c r="B338" s="20" t="str">
        <x:v>NYC-V3-R01</x:v>
      </x:c>
      <x:c r="C338" s="20" t="str">
        <x:v>V3</x:v>
      </x:c>
      <x:c r="D338" s="20" t="str">
        <x:v>vacant_housing_units</x:v>
      </x:c>
      <x:c r="E338" s="20" t="str">
        <x:v>housing</x:v>
      </x:c>
      <x:c r="F338" s="50" t="n">
        <x:v>2745</x:v>
      </x:c>
      <x:c r="G338" s="50" t="n">
        <x:v>288.16861383571944</x:v>
      </x:c>
      <x:c r="H338" s="50" t="n">
        <x:v>2744.927</x:v>
      </x:c>
      <x:c r="I338" s="50" t="n">
        <x:v>282.5958281239712</x:v>
      </x:c>
      <x:c r="J338" s="42" t="n">
        <x:v>0.9806613716963458</x:v>
      </x:c>
      <x:c r="K338" s="42" t="n">
        <x:v>-0.00025332391001291204</x:v>
      </x:c>
      <x:c r="L338" s="26" t="n">
        <x:v>2290</x:v>
      </x:c>
      <x:c r="M338" s="26" t="n">
        <x:v>2738</x:v>
      </x:c>
      <x:c r="N338" s="26" t="n">
        <x:v>3211</x:v>
      </x:c>
    </x:row>
    <x:row r="339">
      <x:c r="A339" s="20" t="str">
        <x:v>T0_TABLE_BLOCK</x:v>
      </x:c>
      <x:c r="B339" s="20" t="str">
        <x:v>NYC-V3-R01</x:v>
      </x:c>
      <x:c r="C339" s="20" t="str">
        <x:v>V3</x:v>
      </x:c>
      <x:c r="D339" s="20" t="str">
        <x:v>owner_occupied_units</x:v>
      </x:c>
      <x:c r="E339" s="20" t="str">
        <x:v>housing</x:v>
      </x:c>
      <x:c r="F339" s="50" t="n">
        <x:v>2897</x:v>
      </x:c>
      <x:c r="G339" s="50" t="n">
        <x:v>216.06902011620662</x:v>
      </x:c>
      <x:c r="H339" s="50" t="n">
        <x:v>2896.898</x:v>
      </x:c>
      <x:c r="I339" s="50" t="n">
        <x:v>210.89856756697472</x:v>
      </x:c>
      <x:c r="J339" s="42" t="n">
        <x:v>0.9760703660966707</x:v>
      </x:c>
      <x:c r="K339" s="42" t="n">
        <x:v>-0.0004720713776783175</x:v>
      </x:c>
      <x:c r="L339" s="26" t="n">
        <x:v>2548</x:v>
      </x:c>
      <x:c r="M339" s="26" t="n">
        <x:v>2906</x:v>
      </x:c>
      <x:c r="N339" s="26" t="n">
        <x:v>3243</x:v>
      </x:c>
    </x:row>
    <x:row r="340">
      <x:c r="A340" s="20" t="str">
        <x:v>T0_TABLE_BLOCK</x:v>
      </x:c>
      <x:c r="B340" s="20" t="str">
        <x:v>NYC-V3-R01</x:v>
      </x:c>
      <x:c r="C340" s="20" t="str">
        <x:v>V3</x:v>
      </x:c>
      <x:c r="D340" s="20" t="str">
        <x:v>renter_occupied_units</x:v>
      </x:c>
      <x:c r="E340" s="20" t="str">
        <x:v>housing</x:v>
      </x:c>
      <x:c r="F340" s="50" t="n">
        <x:v>14096</x:v>
      </x:c>
      <x:c r="G340" s="50" t="n">
        <x:v>444.97732815487757</x:v>
      </x:c>
      <x:c r="H340" s="50" t="n">
        <x:v>14099.158</x:v>
      </x:c>
      <x:c r="I340" s="50" t="n">
        <x:v>388.39470320986806</x:v>
      </x:c>
      <x:c r="J340" s="42" t="n">
        <x:v>0.8728415553672534</x:v>
      </x:c>
      <x:c r="K340" s="42" t="n">
        <x:v>0.007096990790731438</x:v>
      </x:c>
      <x:c r="L340" s="26" t="n">
        <x:v>13465</x:v>
      </x:c>
      <x:c r="M340" s="26" t="n">
        <x:v>14092</x:v>
      </x:c>
      <x:c r="N340" s="26" t="n">
        <x:v>14719</x:v>
      </x:c>
    </x:row>
    <x:row r="341">
      <x:c r="A341" s="20" t="str">
        <x:v>T0_TABLE_BLOCK</x:v>
      </x:c>
      <x:c r="B341" s="20" t="str">
        <x:v>NYC-V3-R01</x:v>
      </x:c>
      <x:c r="C341" s="20" t="str">
        <x:v>V3</x:v>
      </x:c>
      <x:c r="D341" s="20" t="str">
        <x:v>one_unit_structures</x:v>
      </x:c>
      <x:c r="E341" s="20" t="str">
        <x:v>housing</x:v>
      </x:c>
      <x:c r="F341" s="50" t="n">
        <x:v>547</x:v>
      </x:c>
      <x:c r="G341" s="50" t="n">
        <x:v>105.79778256088589</x:v>
      </x:c>
      <x:c r="H341" s="50" t="n">
        <x:v>546.952</x:v>
      </x:c>
      <x:c r="I341" s="50" t="n">
        <x:v>105.02463458574788</x:v>
      </x:c>
      <x:c r="J341" s="42" t="n">
        <x:v>0.9926922100215751</x:v>
      </x:c>
      <x:c r="K341" s="42" t="n">
        <x:v>-0.00045369570928746215</x:v>
      </x:c>
      <x:c r="L341" s="26" t="n">
        <x:v>370</x:v>
      </x:c>
      <x:c r="M341" s="26" t="n">
        <x:v>546</x:v>
      </x:c>
      <x:c r="N341" s="26" t="n">
        <x:v>713</x:v>
      </x:c>
    </x:row>
    <x:row r="342">
      <x:c r="A342" s="20" t="str">
        <x:v>T0_TABLE_BLOCK</x:v>
      </x:c>
      <x:c r="B342" s="20" t="str">
        <x:v>NYC-V3-R01</x:v>
      </x:c>
      <x:c r="C342" s="20" t="str">
        <x:v>V3</x:v>
      </x:c>
      <x:c r="D342" s="20" t="str">
        <x:v>two_to_four_unit_structures</x:v>
      </x:c>
      <x:c r="E342" s="20" t="str">
        <x:v>housing</x:v>
      </x:c>
      <x:c r="F342" s="50" t="n">
        <x:v>3223</x:v>
      </x:c>
      <x:c r="G342" s="50" t="n">
        <x:v>308.64521597961806</x:v>
      </x:c>
      <x:c r="H342" s="50" t="n">
        <x:v>3222.783</x:v>
      </x:c>
      <x:c r="I342" s="50" t="n">
        <x:v>287.70678668760337</x:v>
      </x:c>
      <x:c r="J342" s="42" t="n">
        <x:v>0.9321602013964234</x:v>
      </x:c>
      <x:c r="K342" s="42" t="n">
        <x:v>-0.0007030726178967511</x:v>
      </x:c>
      <x:c r="L342" s="26" t="n">
        <x:v>2750</x:v>
      </x:c>
      <x:c r="M342" s="26" t="n">
        <x:v>3235</x:v>
      </x:c>
      <x:c r="N342" s="26" t="n">
        <x:v>3698</x:v>
      </x:c>
    </x:row>
    <x:row r="343">
      <x:c r="A343" s="20" t="str">
        <x:v>T0_TABLE_BLOCK</x:v>
      </x:c>
      <x:c r="B343" s="20" t="str">
        <x:v>NYC-V3-R01</x:v>
      </x:c>
      <x:c r="C343" s="20" t="str">
        <x:v>V3</x:v>
      </x:c>
      <x:c r="D343" s="20" t="str">
        <x:v>five_to_nineteen_unit_structures</x:v>
      </x:c>
      <x:c r="E343" s="20" t="str">
        <x:v>housing</x:v>
      </x:c>
      <x:c r="F343" s="50" t="n">
        <x:v>3304</x:v>
      </x:c>
      <x:c r="G343" s="50" t="n">
        <x:v>272.5899855271965</x:v>
      </x:c>
      <x:c r="H343" s="50" t="n">
        <x:v>3304.01</x:v>
      </x:c>
      <x:c r="I343" s="50" t="n">
        <x:v>262.0554119626972</x:v>
      </x:c>
      <x:c r="J343" s="42" t="n">
        <x:v>0.9613537762800597</x:v>
      </x:c>
      <x:c r="K343" s="42" t="n">
        <x:v>0.00003668513346474561</x:v>
      </x:c>
      <x:c r="L343" s="26" t="n">
        <x:v>2882</x:v>
      </x:c>
      <x:c r="M343" s="26" t="n">
        <x:v>3293</x:v>
      </x:c>
      <x:c r="N343" s="26" t="n">
        <x:v>3724</x:v>
      </x:c>
    </x:row>
    <x:row r="344">
      <x:c r="A344" s="20" t="str">
        <x:v>T0_TABLE_BLOCK</x:v>
      </x:c>
      <x:c r="B344" s="20" t="str">
        <x:v>NYC-V3-R01</x:v>
      </x:c>
      <x:c r="C344" s="20" t="str">
        <x:v>V3</x:v>
      </x:c>
      <x:c r="D344" s="20" t="str">
        <x:v>twenty_to_forty_nine_unit_structures</x:v>
      </x:c>
      <x:c r="E344" s="20" t="str">
        <x:v>housing</x:v>
      </x:c>
      <x:c r="F344" s="50" t="n">
        <x:v>4332</x:v>
      </x:c>
      <x:c r="G344" s="50" t="n">
        <x:v>317.0875677819216</x:v>
      </x:c>
      <x:c r="H344" s="50" t="n">
        <x:v>4331.771</x:v>
      </x:c>
      <x:c r="I344" s="50" t="n">
        <x:v>291.9302276517744</x:v>
      </x:c>
      <x:c r="J344" s="42" t="n">
        <x:v>0.9206612220525489</x:v>
      </x:c>
      <x:c r="K344" s="42" t="n">
        <x:v>-0.0007221979770514528</x:v>
      </x:c>
      <x:c r="L344" s="26" t="n">
        <x:v>3846</x:v>
      </x:c>
      <x:c r="M344" s="26" t="n">
        <x:v>4341</x:v>
      </x:c>
      <x:c r="N344" s="26" t="n">
        <x:v>4789</x:v>
      </x:c>
    </x:row>
    <x:row r="345">
      <x:c r="A345" s="20" t="str">
        <x:v>T0_TABLE_BLOCK</x:v>
      </x:c>
      <x:c r="B345" s="20" t="str">
        <x:v>NYC-V3-R01</x:v>
      </x:c>
      <x:c r="C345" s="20" t="str">
        <x:v>V3</x:v>
      </x:c>
      <x:c r="D345" s="20" t="str">
        <x:v>fifty_plus_unit_structures</x:v>
      </x:c>
      <x:c r="E345" s="20" t="str">
        <x:v>housing</x:v>
      </x:c>
      <x:c r="F345" s="50" t="n">
        <x:v>5543</x:v>
      </x:c>
      <x:c r="G345" s="50" t="n">
        <x:v>371.05030509916344</x:v>
      </x:c>
      <x:c r="H345" s="50" t="n">
        <x:v>5538.295</x:v>
      </x:c>
      <x:c r="I345" s="50" t="n">
        <x:v>333.1484922566706</x:v>
      </x:c>
      <x:c r="J345" s="42" t="n">
        <x:v>0.89785262989512</x:v>
      </x:c>
      <x:c r="K345" s="42" t="n">
        <x:v>-0.012680221348268432</x:v>
      </x:c>
      <x:c r="L345" s="26" t="n">
        <x:v>4984</x:v>
      </x:c>
      <x:c r="M345" s="26" t="n">
        <x:v>5538</x:v>
      </x:c>
      <x:c r="N345" s="26" t="n">
        <x:v>6085</x:v>
      </x:c>
    </x:row>
    <x:row r="346">
      <x:c r="A346" s="20" t="str">
        <x:v>T0_TABLE_BLOCK</x:v>
      </x:c>
      <x:c r="B346" s="20" t="str">
        <x:v>NYC-V3-R01</x:v>
      </x:c>
      <x:c r="C346" s="20" t="str">
        <x:v>V3</x:v>
      </x:c>
      <x:c r="D346" s="20" t="str">
        <x:v>mobile_or_other_units</x:v>
      </x:c>
      <x:c r="E346" s="20" t="str">
        <x:v>housing</x:v>
      </x:c>
      <x:c r="F346" s="50" t="n">
        <x:v>44</x:v>
      </x:c>
      <x:c r="G346" s="50" t="n">
        <x:v>61.15392748916372</x:v>
      </x:c>
      <x:c r="H346" s="50" t="n">
        <x:v>52.245</x:v>
      </x:c>
      <x:c r="I346" s="50" t="n">
        <x:v>48.76458715051282</x:v>
      </x:c>
      <x:c r="J346" s="42" t="n">
        <x:v>0.7974072827808769</x:v>
      </x:c>
      <x:c r="K346" s="42" t="n">
        <x:v>0.1348237200539734</x:v>
      </x:c>
      <x:c r="L346" s="26" t="n">
        <x:v>0</x:v>
      </x:c>
      <x:c r="M346" s="26" t="n">
        <x:v>44</x:v>
      </x:c>
      <x:c r="N346" s="26" t="n">
        <x:v>141</x:v>
      </x:c>
    </x:row>
    <x:row r="347">
      <x:c r="A347" s="20" t="str">
        <x:v>T0_TABLE_BLOCK</x:v>
      </x:c>
      <x:c r="B347" s="20" t="str">
        <x:v>NYC-V3-R01</x:v>
      </x:c>
      <x:c r="C347" s="20" t="str">
        <x:v>V3</x:v>
      </x:c>
      <x:c r="D347" s="20" t="str">
        <x:v>electric_heat_households</x:v>
      </x:c>
      <x:c r="E347" s="20" t="str">
        <x:v>housing</x:v>
      </x:c>
      <x:c r="F347" s="50" t="n">
        <x:v>2376</x:v>
      </x:c>
      <x:c r="G347" s="50" t="n">
        <x:v>218.07406998540657</x:v>
      </x:c>
      <x:c r="H347" s="50" t="n">
        <x:v>2376.126</x:v>
      </x:c>
      <x:c r="I347" s="50" t="n">
        <x:v>226.34272498393483</x:v>
      </x:c>
      <x:c r="J347" s="42" t="n">
        <x:v>1.0379167270968144</x:v>
      </x:c>
      <x:c r="K347" s="42" t="n">
        <x:v>0.0005777853369207793</x:v>
      </x:c>
      <x:c r="L347" s="26" t="n">
        <x:v>1998</x:v>
      </x:c>
      <x:c r="M347" s="26" t="n">
        <x:v>2376</x:v>
      </x:c>
      <x:c r="N347" s="26" t="n">
        <x:v>2734</x:v>
      </x:c>
    </x:row>
    <x:row r="348">
      <x:c r="A348" s="20" t="str">
        <x:v>T0_TABLE_BLOCK</x:v>
      </x:c>
      <x:c r="B348" s="20" t="str">
        <x:v>NYC-V3-R01</x:v>
      </x:c>
      <x:c r="C348" s="20" t="str">
        <x:v>V3</x:v>
      </x:c>
      <x:c r="D348" s="20" t="str">
        <x:v>group_quarters_population</x:v>
      </x:c>
      <x:c r="E348" s="20" t="str">
        <x:v>population</x:v>
      </x:c>
      <x:c r="F348" s="50" t="n">
        <x:v>57</x:v>
      </x:c>
      <x:c r="G348" s="50" t="n">
        <x:v>4.09878030638384</x:v>
      </x:c>
      <x:c r="H348" s="50" t="n">
        <x:v>56.989</x:v>
      </x:c>
      <x:c r="I348" s="50" t="n">
        <x:v>4.082345470993917</x:v>
      </x:c>
      <x:c r="J348" s="42" t="n">
        <x:v>0.9959903107360193</x:v>
      </x:c>
      <x:c r="K348" s="42" t="n">
        <x:v>-0.0026837252006091457</x:v>
      </x:c>
      <x:c r="L348" s="26" t="n">
        <x:v>50</x:v>
      </x:c>
      <x:c r="M348" s="26" t="n">
        <x:v>57</x:v>
      </x:c>
      <x:c r="N348" s="26" t="n">
        <x:v>64</x:v>
      </x:c>
    </x:row>
    <x:row r="349">
      <x:c r="A349" s="20" t="str">
        <x:v>T0_TABLE_BLOCK</x:v>
      </x:c>
      <x:c r="B349" s="20" t="str">
        <x:v>NYC-V3-R02</x:v>
      </x:c>
      <x:c r="C349" s="20" t="str">
        <x:v>V3</x:v>
      </x:c>
      <x:c r="D349" s="20" t="str">
        <x:v>acs_population</x:v>
      </x:c>
      <x:c r="E349" s="20" t="str">
        <x:v>population</x:v>
      </x:c>
      <x:c r="F349" s="50" t="n">
        <x:v>31716</x:v>
      </x:c>
      <x:c r="G349" s="50" t="n">
        <x:v>1402.858153912932</x:v>
      </x:c>
      <x:c r="H349" s="50" t="n">
        <x:v>32488.405</x:v>
      </x:c>
      <x:c r="I349" s="50" t="n">
        <x:v>1187.1866007498568</x:v>
      </x:c>
      <x:c r="J349" s="42" t="n">
        <x:v>0.846262751111713</x:v>
      </x:c>
      <x:c r="K349" s="42" t="n">
        <x:v>0.5505937986998634</x:v>
      </x:c>
      <x:c r="L349" s="26" t="n">
        <x:v>30649</x:v>
      </x:c>
      <x:c r="M349" s="26" t="n">
        <x:v>32452</x:v>
      </x:c>
      <x:c r="N349" s="26" t="n">
        <x:v>34475</x:v>
      </x:c>
    </x:row>
    <x:row r="350">
      <x:c r="A350" s="20" t="str">
        <x:v>T0_TABLE_BLOCK</x:v>
      </x:c>
      <x:c r="B350" s="20" t="str">
        <x:v>NYC-V3-R02</x:v>
      </x:c>
      <x:c r="C350" s="20" t="str">
        <x:v>V3</x:v>
      </x:c>
      <x:c r="D350" s="20" t="str">
        <x:v>age_under_18</x:v>
      </x:c>
      <x:c r="E350" s="20" t="str">
        <x:v>population</x:v>
      </x:c>
      <x:c r="F350" s="50" t="n">
        <x:v>7492</x:v>
      </x:c>
      <x:c r="G350" s="50" t="n">
        <x:v>746.476824824455</x:v>
      </x:c>
      <x:c r="H350" s="50" t="n">
        <x:v>7491.808</x:v>
      </x:c>
      <x:c r="I350" s="50" t="n">
        <x:v>751.760529044342</x:v>
      </x:c>
      <x:c r="J350" s="42" t="n">
        <x:v>1.0070781892272804</x:v>
      </x:c>
      <x:c r="K350" s="42" t="n">
        <x:v>-0.0002572082529757825</x:v>
      </x:c>
      <x:c r="L350" s="26" t="n">
        <x:v>6284</x:v>
      </x:c>
      <x:c r="M350" s="26" t="n">
        <x:v>7455</x:v>
      </x:c>
      <x:c r="N350" s="26" t="n">
        <x:v>8690</x:v>
      </x:c>
    </x:row>
    <x:row r="351">
      <x:c r="A351" s="20" t="str">
        <x:v>T0_TABLE_BLOCK</x:v>
      </x:c>
      <x:c r="B351" s="20" t="str">
        <x:v>NYC-V3-R02</x:v>
      </x:c>
      <x:c r="C351" s="20" t="str">
        <x:v>V3</x:v>
      </x:c>
      <x:c r="D351" s="20" t="str">
        <x:v>age_65_plus</x:v>
      </x:c>
      <x:c r="E351" s="20" t="str">
        <x:v>population</x:v>
      </x:c>
      <x:c r="F351" s="50" t="n">
        <x:v>4736</x:v>
      </x:c>
      <x:c r="G351" s="50" t="n">
        <x:v>375.0183328852071</x:v>
      </x:c>
      <x:c r="H351" s="50" t="n">
        <x:v>4770.726</x:v>
      </x:c>
      <x:c r="I351" s="50" t="n">
        <x:v>341.1305013377475</x:v>
      </x:c>
      <x:c r="J351" s="42" t="n">
        <x:v>0.9096368668519663</x:v>
      </x:c>
      <x:c r="K351" s="42" t="n">
        <x:v>0.09259813975715493</x:v>
      </x:c>
      <x:c r="L351" s="26" t="n">
        <x:v>4204</x:v>
      </x:c>
      <x:c r="M351" s="26" t="n">
        <x:v>4761</x:v>
      </x:c>
      <x:c r="N351" s="26" t="n">
        <x:v>5336</x:v>
      </x:c>
    </x:row>
    <x:row r="352">
      <x:c r="A352" s="20" t="str">
        <x:v>T0_TABLE_BLOCK</x:v>
      </x:c>
      <x:c r="B352" s="20" t="str">
        <x:v>NYC-V3-R02</x:v>
      </x:c>
      <x:c r="C352" s="20" t="str">
        <x:v>V3</x:v>
      </x:c>
      <x:c r="D352" s="20" t="str">
        <x:v>age_75_plus</x:v>
      </x:c>
      <x:c r="E352" s="20" t="str">
        <x:v>population</x:v>
      </x:c>
      <x:c r="F352" s="50" t="n">
        <x:v>1977</x:v>
      </x:c>
      <x:c r="G352" s="50" t="n">
        <x:v>255.81497219670314</x:v>
      </x:c>
      <x:c r="H352" s="50" t="n">
        <x:v>1976.981</x:v>
      </x:c>
      <x:c r="I352" s="50" t="n">
        <x:v>254.47037511429656</x:v>
      </x:c>
      <x:c r="J352" s="42" t="n">
        <x:v>0.9947438686998638</x:v>
      </x:c>
      <x:c r="K352" s="42" t="n">
        <x:v>-0.00007427243150332826</x:v>
      </x:c>
      <x:c r="L352" s="26" t="n">
        <x:v>1543</x:v>
      </x:c>
      <x:c r="M352" s="26" t="n">
        <x:v>1986</x:v>
      </x:c>
      <x:c r="N352" s="26" t="n">
        <x:v>2386</x:v>
      </x:c>
    </x:row>
    <x:row r="353">
      <x:c r="A353" s="20" t="str">
        <x:v>T0_TABLE_BLOCK</x:v>
      </x:c>
      <x:c r="B353" s="20" t="str">
        <x:v>NYC-V3-R02</x:v>
      </x:c>
      <x:c r="C353" s="20" t="str">
        <x:v>V3</x:v>
      </x:c>
      <x:c r="D353" s="20" t="str">
        <x:v>age_85_plus</x:v>
      </x:c>
      <x:c r="E353" s="20" t="str">
        <x:v>population</x:v>
      </x:c>
      <x:c r="F353" s="50" t="n">
        <x:v>655</x:v>
      </x:c>
      <x:c r="G353" s="50" t="n">
        <x:v>156.26099961282725</x:v>
      </x:c>
      <x:c r="H353" s="50" t="n">
        <x:v>654.998</x:v>
      </x:c>
      <x:c r="I353" s="50" t="n">
        <x:v>162.85728873001813</x:v>
      </x:c>
      <x:c r="J353" s="42" t="n">
        <x:v>1.042213278639806</x:v>
      </x:c>
      <x:c r="K353" s="42" t="n">
        <x:v>-0.000012799098974844451</x:v>
      </x:c>
      <x:c r="L353" s="26" t="n">
        <x:v>387</x:v>
      </x:c>
      <x:c r="M353" s="26" t="n">
        <x:v>660</x:v>
      </x:c>
      <x:c r="N353" s="26" t="n">
        <x:v>913</x:v>
      </x:c>
    </x:row>
    <x:row r="354">
      <x:c r="A354" s="20" t="str">
        <x:v>T0_TABLE_BLOCK</x:v>
      </x:c>
      <x:c r="B354" s="20" t="str">
        <x:v>NYC-V3-R02</x:v>
      </x:c>
      <x:c r="C354" s="20" t="str">
        <x:v>V3</x:v>
      </x:c>
      <x:c r="D354" s="20" t="str">
        <x:v>civilian_noninstitutionalized</x:v>
      </x:c>
      <x:c r="E354" s="20" t="str">
        <x:v>disability</x:v>
      </x:c>
      <x:c r="F354" s="50" t="n">
        <x:v>31676</x:v>
      </x:c>
      <x:c r="G354" s="50" t="n">
        <x:v>1401.3263895324317</x:v>
      </x:c>
      <x:c r="H354" s="50" t="n">
        <x:v>31675.4</x:v>
      </x:c>
      <x:c r="I354" s="50" t="n">
        <x:v>1431.8967743424707</x:v>
      </x:c>
      <x:c r="J354" s="42" t="n">
        <x:v>1.0218153208548646</x:v>
      </x:c>
      <x:c r="K354" s="42" t="n">
        <x:v>-0.0004281657752829029</x:v>
      </x:c>
      <x:c r="L354" s="26" t="n">
        <x:v>29281</x:v>
      </x:c>
      <x:c r="M354" s="26" t="n">
        <x:v>31650</x:v>
      </x:c>
      <x:c r="N354" s="26" t="n">
        <x:v>34095</x:v>
      </x:c>
    </x:row>
    <x:row r="355">
      <x:c r="A355" s="20" t="str">
        <x:v>T0_TABLE_BLOCK</x:v>
      </x:c>
      <x:c r="B355" s="20" t="str">
        <x:v>NYC-V3-R02</x:v>
      </x:c>
      <x:c r="C355" s="20" t="str">
        <x:v>V3</x:v>
      </x:c>
      <x:c r="D355" s="20" t="str">
        <x:v>any_disability</x:v>
      </x:c>
      <x:c r="E355" s="20" t="str">
        <x:v>disability</x:v>
      </x:c>
      <x:c r="F355" s="50" t="n">
        <x:v>4358</x:v>
      </x:c>
      <x:c r="G355" s="50" t="n">
        <x:v>345.61575484922565</x:v>
      </x:c>
      <x:c r="H355" s="50" t="n">
        <x:v>4358.298</x:v>
      </x:c>
      <x:c r="I355" s="50" t="n">
        <x:v>353.42259793161037</x:v>
      </x:c>
      <x:c r="J355" s="42" t="n">
        <x:v>1.022588215302252</x:v>
      </x:c>
      <x:c r="K355" s="42" t="n">
        <x:v>0.0008622292121196167</x:v>
      </x:c>
      <x:c r="L355" s="26" t="n">
        <x:v>3808</x:v>
      </x:c>
      <x:c r="M355" s="26" t="n">
        <x:v>4357</x:v>
      </x:c>
      <x:c r="N355" s="26" t="n">
        <x:v>4936</x:v>
      </x:c>
    </x:row>
    <x:row r="356">
      <x:c r="A356" s="20" t="str">
        <x:v>T0_TABLE_BLOCK</x:v>
      </x:c>
      <x:c r="B356" s="20" t="str">
        <x:v>NYC-V3-R02</x:v>
      </x:c>
      <x:c r="C356" s="20" t="str">
        <x:v>V3</x:v>
      </x:c>
      <x:c r="D356" s="20" t="str">
        <x:v>disability_under_18</x:v>
      </x:c>
      <x:c r="E356" s="20" t="str">
        <x:v>disability</x:v>
      </x:c>
      <x:c r="F356" s="50" t="n">
        <x:v>324</x:v>
      </x:c>
      <x:c r="G356" s="50" t="n">
        <x:v>124.74694385034049</x:v>
      </x:c>
      <x:c r="H356" s="50" t="n">
        <x:v>324.306</x:v>
      </x:c>
      <x:c r="I356" s="50" t="n">
        <x:v>126.07300570211994</x:v>
      </x:c>
      <x:c r="J356" s="42" t="n">
        <x:v>1.0106300147390412</x:v>
      </x:c>
      <x:c r="K356" s="42" t="n">
        <x:v>0.0024529659048568987</x:v>
      </x:c>
      <x:c r="L356" s="26" t="n">
        <x:v>108</x:v>
      </x:c>
      <x:c r="M356" s="26" t="n">
        <x:v>323</x:v>
      </x:c>
      <x:c r="N356" s="26" t="n">
        <x:v>532</x:v>
      </x:c>
    </x:row>
    <x:row r="357">
      <x:c r="A357" s="20" t="str">
        <x:v>T0_TABLE_BLOCK</x:v>
      </x:c>
      <x:c r="B357" s="20" t="str">
        <x:v>NYC-V3-R02</x:v>
      </x:c>
      <x:c r="C357" s="20" t="str">
        <x:v>V3</x:v>
      </x:c>
      <x:c r="D357" s="20" t="str">
        <x:v>disability_18_64</x:v>
      </x:c>
      <x:c r="E357" s="20" t="str">
        <x:v>disability</x:v>
      </x:c>
      <x:c r="F357" s="50" t="n">
        <x:v>1947</x:v>
      </x:c>
      <x:c r="G357" s="50" t="n">
        <x:v>228.7737965764436</x:v>
      </x:c>
      <x:c r="H357" s="50" t="n">
        <x:v>1946.966</x:v>
      </x:c>
      <x:c r="I357" s="50" t="n">
        <x:v>229.5315524662733</x:v>
      </x:c>
      <x:c r="J357" s="42" t="n">
        <x:v>1.0033122494847284</x:v>
      </x:c>
      <x:c r="K357" s="42" t="n">
        <x:v>-0.00014861841919358354</x:v>
      </x:c>
      <x:c r="L357" s="26" t="n">
        <x:v>1569</x:v>
      </x:c>
      <x:c r="M357" s="26" t="n">
        <x:v>1947</x:v>
      </x:c>
      <x:c r="N357" s="26" t="n">
        <x:v>2309</x:v>
      </x:c>
    </x:row>
    <x:row r="358">
      <x:c r="A358" s="20" t="str">
        <x:v>T0_TABLE_BLOCK</x:v>
      </x:c>
      <x:c r="B358" s="20" t="str">
        <x:v>NYC-V3-R02</x:v>
      </x:c>
      <x:c r="C358" s="20" t="str">
        <x:v>V3</x:v>
      </x:c>
      <x:c r="D358" s="20" t="str">
        <x:v>disability_65_plus</x:v>
      </x:c>
      <x:c r="E358" s="20" t="str">
        <x:v>disability</x:v>
      </x:c>
      <x:c r="F358" s="50" t="n">
        <x:v>2087</x:v>
      </x:c>
      <x:c r="G358" s="50" t="n">
        <x:v>225.21989254948153</x:v>
      </x:c>
      <x:c r="H358" s="50" t="n">
        <x:v>2087.026</x:v>
      </x:c>
      <x:c r="I358" s="50" t="n">
        <x:v>224.26406242127538</x:v>
      </x:c>
      <x:c r="J358" s="42" t="n">
        <x:v>0.9957560137455613</x:v>
      </x:c>
      <x:c r="K358" s="42" t="n">
        <x:v>0.000115442733346157</x:v>
      </x:c>
      <x:c r="L358" s="26" t="n">
        <x:v>1710</x:v>
      </x:c>
      <x:c r="M358" s="26" t="n">
        <x:v>2085</x:v>
      </x:c>
      <x:c r="N358" s="26" t="n">
        <x:v>2467</x:v>
      </x:c>
    </x:row>
    <x:row r="359">
      <x:c r="A359" s="20" t="str">
        <x:v>T0_TABLE_BLOCK</x:v>
      </x:c>
      <x:c r="B359" s="20" t="str">
        <x:v>NYC-V3-R02</x:v>
      </x:c>
      <x:c r="C359" s="20" t="str">
        <x:v>V3</x:v>
      </x:c>
      <x:c r="D359" s="20" t="str">
        <x:v>hearing_difficulty</x:v>
      </x:c>
      <x:c r="E359" s="20" t="str">
        <x:v>disability</x:v>
      </x:c>
      <x:c r="F359" s="50" t="n">
        <x:v>711</x:v>
      </x:c>
      <x:c r="G359" s="50" t="n">
        <x:v>143.59378078631187</x:v>
      </x:c>
      <x:c r="H359" s="50" t="n">
        <x:v>711.085</x:v>
      </x:c>
      <x:c r="I359" s="50" t="n">
        <x:v>143.55900864788654</x:v>
      </x:c>
      <x:c r="J359" s="42" t="n">
        <x:v>0.9997578437016219</x:v>
      </x:c>
      <x:c r="K359" s="42" t="n">
        <x:v>0.0005919476424019266</x:v>
      </x:c>
      <x:c r="L359" s="26" t="n">
        <x:v>476</x:v>
      </x:c>
      <x:c r="M359" s="26" t="n">
        <x:v>711</x:v>
      </x:c>
      <x:c r="N359" s="26" t="n">
        <x:v>947</x:v>
      </x:c>
    </x:row>
    <x:row r="360">
      <x:c r="A360" s="20" t="str">
        <x:v>T0_TABLE_BLOCK</x:v>
      </x:c>
      <x:c r="B360" s="20" t="str">
        <x:v>NYC-V3-R02</x:v>
      </x:c>
      <x:c r="C360" s="20" t="str">
        <x:v>V3</x:v>
      </x:c>
      <x:c r="D360" s="20" t="str">
        <x:v>vision_difficulty</x:v>
      </x:c>
      <x:c r="E360" s="20" t="str">
        <x:v>disability</x:v>
      </x:c>
      <x:c r="F360" s="50" t="n">
        <x:v>823</x:v>
      </x:c>
      <x:c r="G360" s="50" t="n">
        <x:v>155.83074103653917</x:v>
      </x:c>
      <x:c r="H360" s="50" t="n">
        <x:v>822.972</x:v>
      </x:c>
      <x:c r="I360" s="50" t="n">
        <x:v>155.68745549914996</x:v>
      </x:c>
      <x:c r="J360" s="42" t="n">
        <x:v>0.9990805053198354</x:v>
      </x:c>
      <x:c r="K360" s="42" t="n">
        <x:v>-0.00017968213340816092</x:v>
      </x:c>
      <x:c r="L360" s="26" t="n">
        <x:v>568</x:v>
      </x:c>
      <x:c r="M360" s="26" t="n">
        <x:v>823</x:v>
      </x:c>
      <x:c r="N360" s="26" t="n">
        <x:v>1079</x:v>
      </x:c>
    </x:row>
    <x:row r="361">
      <x:c r="A361" s="20" t="str">
        <x:v>T0_TABLE_BLOCK</x:v>
      </x:c>
      <x:c r="B361" s="20" t="str">
        <x:v>NYC-V3-R02</x:v>
      </x:c>
      <x:c r="C361" s="20" t="str">
        <x:v>V3</x:v>
      </x:c>
      <x:c r="D361" s="20" t="str">
        <x:v>cognitive_difficulty</x:v>
      </x:c>
      <x:c r="E361" s="20" t="str">
        <x:v>disability</x:v>
      </x:c>
      <x:c r="F361" s="50" t="n">
        <x:v>1919</x:v>
      </x:c>
      <x:c r="G361" s="50" t="n">
        <x:v>238.4900905792062</x:v>
      </x:c>
      <x:c r="H361" s="50" t="n">
        <x:v>1919.036</x:v>
      </x:c>
      <x:c r="I361" s="50" t="n">
        <x:v>238.6697675910419</x:v>
      </x:c>
      <x:c r="J361" s="42" t="n">
        <x:v>1.000753394035783</x:v>
      </x:c>
      <x:c r="K361" s="42" t="n">
        <x:v>0.00015094966802447525</x:v>
      </x:c>
      <x:c r="L361" s="26" t="n">
        <x:v>1528</x:v>
      </x:c>
      <x:c r="M361" s="26" t="n">
        <x:v>1919</x:v>
      </x:c>
      <x:c r="N361" s="26" t="n">
        <x:v>2310</x:v>
      </x:c>
    </x:row>
    <x:row r="362">
      <x:c r="A362" s="20" t="str">
        <x:v>T0_TABLE_BLOCK</x:v>
      </x:c>
      <x:c r="B362" s="20" t="str">
        <x:v>NYC-V3-R02</x:v>
      </x:c>
      <x:c r="C362" s="20" t="str">
        <x:v>V3</x:v>
      </x:c>
      <x:c r="D362" s="20" t="str">
        <x:v>ambulatory_difficulty</x:v>
      </x:c>
      <x:c r="E362" s="20" t="str">
        <x:v>disability</x:v>
      </x:c>
      <x:c r="F362" s="50" t="n">
        <x:v>2796</x:v>
      </x:c>
      <x:c r="G362" s="50" t="n">
        <x:v>281.51804378452533</x:v>
      </x:c>
      <x:c r="H362" s="50" t="n">
        <x:v>2796.02</x:v>
      </x:c>
      <x:c r="I362" s="50" t="n">
        <x:v>281.1464047447538</x:v>
      </x:c>
      <x:c r="J362" s="42" t="n">
        <x:v>0.9986798748855473</x:v>
      </x:c>
      <x:c r="K362" s="42" t="n">
        <x:v>0.00007104340358122786</x:v>
      </x:c>
      <x:c r="L362" s="26" t="n">
        <x:v>2333</x:v>
      </x:c>
      <x:c r="M362" s="26" t="n">
        <x:v>2797</x:v>
      </x:c>
      <x:c r="N362" s="26" t="n">
        <x:v>3257</x:v>
      </x:c>
    </x:row>
    <x:row r="363">
      <x:c r="A363" s="20" t="str">
        <x:v>T0_TABLE_BLOCK</x:v>
      </x:c>
      <x:c r="B363" s="20" t="str">
        <x:v>NYC-V3-R02</x:v>
      </x:c>
      <x:c r="C363" s="20" t="str">
        <x:v>V3</x:v>
      </x:c>
      <x:c r="D363" s="20" t="str">
        <x:v>self_care_difficulty</x:v>
      </x:c>
      <x:c r="E363" s="20" t="str">
        <x:v>disability</x:v>
      </x:c>
      <x:c r="F363" s="50" t="n">
        <x:v>1397</x:v>
      </x:c>
      <x:c r="G363" s="50" t="n">
        <x:v>200.98794249628318</x:v>
      </x:c>
      <x:c r="H363" s="50" t="n">
        <x:v>1396.905</x:v>
      </x:c>
      <x:c r="I363" s="50" t="n">
        <x:v>201.1526494067711</x:v>
      </x:c>
      <x:c r="J363" s="42" t="n">
        <x:v>1.0008194865246256</x:v>
      </x:c>
      <x:c r="K363" s="42" t="n">
        <x:v>-0.0004726651699605517</x:v>
      </x:c>
      <x:c r="L363" s="26" t="n">
        <x:v>1067</x:v>
      </x:c>
      <x:c r="M363" s="26" t="n">
        <x:v>1397</x:v>
      </x:c>
      <x:c r="N363" s="26" t="n">
        <x:v>1727</x:v>
      </x:c>
    </x:row>
    <x:row r="364">
      <x:c r="A364" s="20" t="str">
        <x:v>T0_TABLE_BLOCK</x:v>
      </x:c>
      <x:c r="B364" s="20" t="str">
        <x:v>NYC-V3-R02</x:v>
      </x:c>
      <x:c r="C364" s="20" t="str">
        <x:v>V3</x:v>
      </x:c>
      <x:c r="D364" s="20" t="str">
        <x:v>independent_living_difficulty</x:v>
      </x:c>
      <x:c r="E364" s="20" t="str">
        <x:v>disability</x:v>
      </x:c>
      <x:c r="F364" s="50" t="n">
        <x:v>2095</x:v>
      </x:c>
      <x:c r="G364" s="50" t="n">
        <x:v>227.35481039465947</x:v>
      </x:c>
      <x:c r="H364" s="50" t="n">
        <x:v>2094.968</x:v>
      </x:c>
      <x:c r="I364" s="50" t="n">
        <x:v>227.06989609746535</x:v>
      </x:c>
      <x:c r="J364" s="42" t="n">
        <x:v>0.9987468296945222</x:v>
      </x:c>
      <x:c r="K364" s="42" t="n">
        <x:v>-0.00014074916622439088</x:v>
      </x:c>
      <x:c r="L364" s="26" t="n">
        <x:v>1722</x:v>
      </x:c>
      <x:c r="M364" s="26" t="n">
        <x:v>2095</x:v>
      </x:c>
      <x:c r="N364" s="26" t="n">
        <x:v>2468</x:v>
      </x:c>
    </x:row>
    <x:row r="365">
      <x:c r="A365" s="20" t="str">
        <x:v>T0_TABLE_BLOCK</x:v>
      </x:c>
      <x:c r="B365" s="20" t="str">
        <x:v>NYC-V3-R02</x:v>
      </x:c>
      <x:c r="C365" s="20" t="str">
        <x:v>V3</x:v>
      </x:c>
      <x:c r="D365" s="20" t="str">
        <x:v>households</x:v>
      </x:c>
      <x:c r="E365" s="20" t="str">
        <x:v>household</x:v>
      </x:c>
      <x:c r="F365" s="50" t="n">
        <x:v>13035</x:v>
      </x:c>
      <x:c r="G365" s="50" t="n">
        <x:v>478.17172647491407</x:v>
      </x:c>
      <x:c r="H365" s="50" t="n">
        <x:v>13044.933</x:v>
      </x:c>
      <x:c r="I365" s="50" t="n">
        <x:v>462.7298211682476</x:v>
      </x:c>
      <x:c r="J365" s="42" t="n">
        <x:v>0.967706360598724</x:v>
      </x:c>
      <x:c r="K365" s="42" t="n">
        <x:v>0.020772871857621236</x:v>
      </x:c>
      <x:c r="L365" s="26" t="n">
        <x:v>12307</x:v>
      </x:c>
      <x:c r="M365" s="26" t="n">
        <x:v>13034</x:v>
      </x:c>
      <x:c r="N365" s="26" t="n">
        <x:v>13790</x:v>
      </x:c>
    </x:row>
    <x:row r="366">
      <x:c r="A366" s="20" t="str">
        <x:v>T0_TABLE_BLOCK</x:v>
      </x:c>
      <x:c r="B366" s="20" t="str">
        <x:v>NYC-V3-R02</x:v>
      </x:c>
      <x:c r="C366" s="20" t="str">
        <x:v>V3</x:v>
      </x:c>
      <x:c r="D366" s="20" t="str">
        <x:v>family_households</x:v>
      </x:c>
      <x:c r="E366" s="20" t="str">
        <x:v>household</x:v>
      </x:c>
      <x:c r="F366" s="50" t="n">
        <x:v>7652</x:v>
      </x:c>
      <x:c r="G366" s="50" t="n">
        <x:v>404.54085084203797</x:v>
      </x:c>
      <x:c r="H366" s="50" t="n">
        <x:v>7661.816</x:v>
      </x:c>
      <x:c r="I366" s="50" t="n">
        <x:v>579.850098111814</x:v>
      </x:c>
      <x:c r="J366" s="42" t="n">
        <x:v>1.4333536326550849</x:v>
      </x:c>
      <x:c r="K366" s="42" t="n">
        <x:v>0.02426454579202109</x:v>
      </x:c>
      <x:c r="L366" s="26" t="n">
        <x:v>6713</x:v>
      </x:c>
      <x:c r="M366" s="26" t="n">
        <x:v>7674</x:v>
      </x:c>
      <x:c r="N366" s="26" t="n">
        <x:v>8586</x:v>
      </x:c>
    </x:row>
    <x:row r="367">
      <x:c r="A367" s="20" t="str">
        <x:v>T0_TABLE_BLOCK</x:v>
      </x:c>
      <x:c r="B367" s="20" t="str">
        <x:v>NYC-V3-R02</x:v>
      </x:c>
      <x:c r="C367" s="20" t="str">
        <x:v>V3</x:v>
      </x:c>
      <x:c r="D367" s="20" t="str">
        <x:v>nonfamily_households</x:v>
      </x:c>
      <x:c r="E367" s="20" t="str">
        <x:v>household</x:v>
      </x:c>
      <x:c r="F367" s="50" t="n">
        <x:v>5383</x:v>
      </x:c>
      <x:c r="G367" s="50" t="n">
        <x:v>365.525922473359</x:v>
      </x:c>
      <x:c r="H367" s="50" t="n">
        <x:v>5383.117</x:v>
      </x:c>
      <x:c r="I367" s="50" t="n">
        <x:v>359.9893020752264</x:v>
      </x:c>
      <x:c r="J367" s="42" t="n">
        <x:v>0.9848530020506655</x:v>
      </x:c>
      <x:c r="K367" s="42" t="n">
        <x:v>0.0003200867375109808</x:v>
      </x:c>
      <x:c r="L367" s="26" t="n">
        <x:v>4792</x:v>
      </x:c>
      <x:c r="M367" s="26" t="n">
        <x:v>5378</x:v>
      </x:c>
      <x:c r="N367" s="26" t="n">
        <x:v>5976</x:v>
      </x:c>
    </x:row>
    <x:row r="368">
      <x:c r="A368" s="20" t="str">
        <x:v>T0_TABLE_BLOCK</x:v>
      </x:c>
      <x:c r="B368" s="20" t="str">
        <x:v>NYC-V3-R02</x:v>
      </x:c>
      <x:c r="C368" s="20" t="str">
        <x:v>V3</x:v>
      </x:c>
      <x:c r="D368" s="20" t="str">
        <x:v>living_alone_households</x:v>
      </x:c>
      <x:c r="E368" s="20" t="str">
        <x:v>household</x:v>
      </x:c>
      <x:c r="F368" s="50" t="n">
        <x:v>4853</x:v>
      </x:c>
      <x:c r="G368" s="50" t="n">
        <x:v>333.8818653356304</x:v>
      </x:c>
      <x:c r="H368" s="50" t="n">
        <x:v>4853.083</x:v>
      </x:c>
      <x:c r="I368" s="50" t="n">
        <x:v>320.9541956521315</x:v>
      </x:c>
      <x:c r="J368" s="42" t="n">
        <x:v>0.961280707263021</x:v>
      </x:c>
      <x:c r="K368" s="42" t="n">
        <x:v>0.00024859091977395733</x:v>
      </x:c>
      <x:c r="L368" s="26" t="n">
        <x:v>4322</x:v>
      </x:c>
      <x:c r="M368" s="26" t="n">
        <x:v>4844</x:v>
      </x:c>
      <x:c r="N368" s="26" t="n">
        <x:v>5386</x:v>
      </x:c>
    </x:row>
    <x:row r="369">
      <x:c r="A369" s="20" t="str">
        <x:v>T0_TABLE_BLOCK</x:v>
      </x:c>
      <x:c r="B369" s="20" t="str">
        <x:v>NYC-V3-R02</x:v>
      </x:c>
      <x:c r="C369" s="20" t="str">
        <x:v>V3</x:v>
      </x:c>
      <x:c r="D369" s="20" t="str">
        <x:v>households_with_children</x:v>
      </x:c>
      <x:c r="E369" s="20" t="str">
        <x:v>household</x:v>
      </x:c>
      <x:c r="F369" s="50" t="n">
        <x:v>4143</x:v>
      </x:c>
      <x:c r="G369" s="50" t="n">
        <x:v>379.94499601916067</x:v>
      </x:c>
      <x:c r="H369" s="50" t="n">
        <x:v>4143.173</x:v>
      </x:c>
      <x:c r="I369" s="50" t="n">
        <x:v>379.4225435283696</x:v>
      </x:c>
      <x:c r="J369" s="42" t="n">
        <x:v>0.9986249259859584</x:v>
      </x:c>
      <x:c r="K369" s="42" t="n">
        <x:v>0.000455329065555189</x:v>
      </x:c>
      <x:c r="L369" s="26" t="n">
        <x:v>3508</x:v>
      </x:c>
      <x:c r="M369" s="26" t="n">
        <x:v>4150</x:v>
      </x:c>
      <x:c r="N369" s="26" t="n">
        <x:v>4782</x:v>
      </x:c>
    </x:row>
    <x:row r="370">
      <x:c r="A370" s="20" t="str">
        <x:v>T0_TABLE_BLOCK</x:v>
      </x:c>
      <x:c r="B370" s="20" t="str">
        <x:v>NYC-V3-R02</x:v>
      </x:c>
      <x:c r="C370" s="20" t="str">
        <x:v>V3</x:v>
      </x:c>
      <x:c r="D370" s="20" t="str">
        <x:v>households_with_age65</x:v>
      </x:c>
      <x:c r="E370" s="20" t="str">
        <x:v>household</x:v>
      </x:c>
      <x:c r="F370" s="50" t="n">
        <x:v>4181</x:v>
      </x:c>
      <x:c r="G370" s="50" t="n">
        <x:v>318.22531326090325</x:v>
      </x:c>
      <x:c r="H370" s="50" t="n">
        <x:v>4181.034</x:v>
      </x:c>
      <x:c r="I370" s="50" t="n">
        <x:v>316.8555353379112</x:v>
      </x:c>
      <x:c r="J370" s="42" t="n">
        <x:v>0.9956955720808136</x:v>
      </x:c>
      <x:c r="K370" s="42" t="n">
        <x:v>0.00010684253760723048</x:v>
      </x:c>
      <x:c r="L370" s="26" t="n">
        <x:v>3663</x:v>
      </x:c>
      <x:c r="M370" s="26" t="n">
        <x:v>4167</x:v>
      </x:c>
      <x:c r="N370" s="26" t="n">
        <x:v>4717</x:v>
      </x:c>
    </x:row>
    <x:row r="371">
      <x:c r="A371" s="20" t="str">
        <x:v>T0_TABLE_BLOCK</x:v>
      </x:c>
      <x:c r="B371" s="20" t="str">
        <x:v>NYC-V3-R02</x:v>
      </x:c>
      <x:c r="C371" s="20" t="str">
        <x:v>V3</x:v>
      </x:c>
      <x:c r="D371" s="20" t="str">
        <x:v>age65_one_person_households</x:v>
      </x:c>
      <x:c r="E371" s="20" t="str">
        <x:v>household</x:v>
      </x:c>
      <x:c r="F371" s="50" t="n">
        <x:v>1947</x:v>
      </x:c>
      <x:c r="G371" s="50" t="n">
        <x:v>189.0428522848722</x:v>
      </x:c>
      <x:c r="H371" s="50" t="n">
        <x:v>1947.093</x:v>
      </x:c>
      <x:c r="I371" s="50" t="n">
        <x:v>189.70038108972153</x:v>
      </x:c>
      <x:c r="J371" s="42" t="n">
        <x:v>1.0034781997674183</x:v>
      </x:c>
      <x:c r="K371" s="42" t="n">
        <x:v>0.0004919519509784541</x:v>
      </x:c>
      <x:c r="L371" s="26" t="n">
        <x:v>1637</x:v>
      </x:c>
      <x:c r="M371" s="26" t="n">
        <x:v>1945</x:v>
      </x:c>
      <x:c r="N371" s="26" t="n">
        <x:v>2263</x:v>
      </x:c>
    </x:row>
    <x:row r="372">
      <x:c r="A372" s="20" t="str">
        <x:v>T0_TABLE_BLOCK</x:v>
      </x:c>
      <x:c r="B372" s="20" t="str">
        <x:v>NYC-V3-R02</x:v>
      </x:c>
      <x:c r="C372" s="20" t="str">
        <x:v>V3</x:v>
      </x:c>
      <x:c r="D372" s="20" t="str">
        <x:v>no_vehicle_households</x:v>
      </x:c>
      <x:c r="E372" s="20" t="str">
        <x:v>household</x:v>
      </x:c>
      <x:c r="F372" s="50" t="n">
        <x:v>8423</x:v>
      </x:c>
      <x:c r="G372" s="50" t="n">
        <x:v>409.94825920554155</x:v>
      </x:c>
      <x:c r="H372" s="50" t="n">
        <x:v>8422.355</x:v>
      </x:c>
      <x:c r="I372" s="50" t="n">
        <x:v>412.7143080571294</x:v>
      </x:c>
      <x:c r="J372" s="42" t="n">
        <x:v>1.0067473121045771</x:v>
      </x:c>
      <x:c r="K372" s="42" t="n">
        <x:v>-0.0015733692862860622</x:v>
      </x:c>
      <x:c r="L372" s="26" t="n">
        <x:v>7751</x:v>
      </x:c>
      <x:c r="M372" s="26" t="n">
        <x:v>8424</x:v>
      </x:c>
      <x:c r="N372" s="26" t="n">
        <x:v>9097</x:v>
      </x:c>
    </x:row>
    <x:row r="373">
      <x:c r="A373" s="20" t="str">
        <x:v>T0_TABLE_BLOCK</x:v>
      </x:c>
      <x:c r="B373" s="20" t="str">
        <x:v>NYC-V3-R02</x:v>
      </x:c>
      <x:c r="C373" s="20" t="str">
        <x:v>V3</x:v>
      </x:c>
      <x:c r="D373" s="20" t="str">
        <x:v>limited_english_households</x:v>
      </x:c>
      <x:c r="E373" s="20" t="str">
        <x:v>household</x:v>
      </x:c>
      <x:c r="F373" s="50" t="n">
        <x:v>2085</x:v>
      </x:c>
      <x:c r="G373" s="50" t="n">
        <x:v>248.351890480714</x:v>
      </x:c>
      <x:c r="H373" s="50" t="n">
        <x:v>2084.948</x:v>
      </x:c>
      <x:c r="I373" s="50" t="n">
        <x:v>248.50080471891022</x:v>
      </x:c>
      <x:c r="J373" s="42" t="n">
        <x:v>1.000599609843549</x:v>
      </x:c>
      <x:c r="K373" s="42" t="n">
        <x:v>-0.000209380326839802</x:v>
      </x:c>
      <x:c r="L373" s="26" t="n">
        <x:v>1679</x:v>
      </x:c>
      <x:c r="M373" s="26" t="n">
        <x:v>2086</x:v>
      </x:c>
      <x:c r="N373" s="26" t="n">
        <x:v>2493</x:v>
      </x:c>
    </x:row>
    <x:row r="374">
      <x:c r="A374" s="20" t="str">
        <x:v>T0_TABLE_BLOCK</x:v>
      </x:c>
      <x:c r="B374" s="20" t="str">
        <x:v>NYC-V3-R02</x:v>
      </x:c>
      <x:c r="C374" s="20" t="str">
        <x:v>V3</x:v>
      </x:c>
      <x:c r="D374" s="20" t="str">
        <x:v>housing_units</x:v>
      </x:c>
      <x:c r="E374" s="20" t="str">
        <x:v>housing</x:v>
      </x:c>
      <x:c r="F374" s="50" t="n">
        <x:v>14139</x:v>
      </x:c>
      <x:c r="G374" s="50" t="n">
        <x:v>438.7449145004418</x:v>
      </x:c>
      <x:c r="H374" s="50" t="n">
        <x:v>14148.929</x:v>
      </x:c>
      <x:c r="I374" s="50" t="n">
        <x:v>417.2259621146106</x:v>
      </x:c>
      <x:c r="J374" s="42" t="n">
        <x:v>0.9509533861826459</x:v>
      </x:c>
      <x:c r="K374" s="42" t="n">
        <x:v>0.022630461737215394</x:v>
      </x:c>
      <x:c r="L374" s="26" t="n">
        <x:v>13482</x:v>
      </x:c>
      <x:c r="M374" s="26" t="n">
        <x:v>14148</x:v>
      </x:c>
      <x:c r="N374" s="26" t="n">
        <x:v>14811</x:v>
      </x:c>
    </x:row>
    <x:row r="375">
      <x:c r="A375" s="20" t="str">
        <x:v>T0_TABLE_BLOCK</x:v>
      </x:c>
      <x:c r="B375" s="20" t="str">
        <x:v>NYC-V3-R02</x:v>
      </x:c>
      <x:c r="C375" s="20" t="str">
        <x:v>V3</x:v>
      </x:c>
      <x:c r="D375" s="20" t="str">
        <x:v>occupied_housing_units</x:v>
      </x:c>
      <x:c r="E375" s="20" t="str">
        <x:v>housing</x:v>
      </x:c>
      <x:c r="F375" s="50" t="n">
        <x:v>13035</x:v>
      </x:c>
      <x:c r="G375" s="50" t="n">
        <x:v>478.17172647491407</x:v>
      </x:c>
      <x:c r="H375" s="50" t="n">
        <x:v>13044.933</x:v>
      </x:c>
      <x:c r="I375" s="50" t="n">
        <x:v>462.7298211682476</x:v>
      </x:c>
      <x:c r="J375" s="42" t="n">
        <x:v>0.967706360598724</x:v>
      </x:c>
      <x:c r="K375" s="42" t="n">
        <x:v>0.020772871857621236</x:v>
      </x:c>
      <x:c r="L375" s="26" t="n">
        <x:v>12307</x:v>
      </x:c>
      <x:c r="M375" s="26" t="n">
        <x:v>13034</x:v>
      </x:c>
      <x:c r="N375" s="26" t="n">
        <x:v>13790</x:v>
      </x:c>
    </x:row>
    <x:row r="376">
      <x:c r="A376" s="20" t="str">
        <x:v>T0_TABLE_BLOCK</x:v>
      </x:c>
      <x:c r="B376" s="20" t="str">
        <x:v>NYC-V3-R02</x:v>
      </x:c>
      <x:c r="C376" s="20" t="str">
        <x:v>V3</x:v>
      </x:c>
      <x:c r="D376" s="20" t="str">
        <x:v>vacant_housing_units</x:v>
      </x:c>
      <x:c r="E376" s="20" t="str">
        <x:v>housing</x:v>
      </x:c>
      <x:c r="F376" s="50" t="n">
        <x:v>1104</x:v>
      </x:c>
      <x:c r="G376" s="50" t="n">
        <x:v>198.37439350883974</x:v>
      </x:c>
      <x:c r="H376" s="50" t="n">
        <x:v>1103.996</x:v>
      </x:c>
      <x:c r="I376" s="50" t="n">
        <x:v>194.83983819164536</x:v>
      </x:c>
      <x:c r="J376" s="42" t="n">
        <x:v>0.9821824013942763</x:v>
      </x:c>
      <x:c r="K376" s="42" t="n">
        <x:v>-0.00002016389277443295</x:v>
      </x:c>
      <x:c r="L376" s="26" t="n">
        <x:v>805</x:v>
      </x:c>
      <x:c r="M376" s="26" t="n">
        <x:v>1099</x:v>
      </x:c>
      <x:c r="N376" s="26" t="n">
        <x:v>1436</x:v>
      </x:c>
    </x:row>
    <x:row r="377">
      <x:c r="A377" s="20" t="str">
        <x:v>T0_TABLE_BLOCK</x:v>
      </x:c>
      <x:c r="B377" s="20" t="str">
        <x:v>NYC-V3-R02</x:v>
      </x:c>
      <x:c r="C377" s="20" t="str">
        <x:v>V3</x:v>
      </x:c>
      <x:c r="D377" s="20" t="str">
        <x:v>owner_occupied_units</x:v>
      </x:c>
      <x:c r="E377" s="20" t="str">
        <x:v>housing</x:v>
      </x:c>
      <x:c r="F377" s="50" t="n">
        <x:v>3347</x:v>
      </x:c>
      <x:c r="G377" s="50" t="n">
        <x:v>331.4658998172509</x:v>
      </x:c>
      <x:c r="H377" s="50" t="n">
        <x:v>3346.845</x:v>
      </x:c>
      <x:c r="I377" s="50" t="n">
        <x:v>306.1680483800503</x:v>
      </x:c>
      <x:c r="J377" s="42" t="n">
        <x:v>0.9236788717899845</x:v>
      </x:c>
      <x:c r="K377" s="42" t="n">
        <x:v>-0.0004676197463620155</x:v>
      </x:c>
      <x:c r="L377" s="26" t="n">
        <x:v>2840</x:v>
      </x:c>
      <x:c r="M377" s="26" t="n">
        <x:v>3343</x:v>
      </x:c>
      <x:c r="N377" s="26" t="n">
        <x:v>3839</x:v>
      </x:c>
    </x:row>
    <x:row r="378">
      <x:c r="A378" s="20" t="str">
        <x:v>T0_TABLE_BLOCK</x:v>
      </x:c>
      <x:c r="B378" s="20" t="str">
        <x:v>NYC-V3-R02</x:v>
      </x:c>
      <x:c r="C378" s="20" t="str">
        <x:v>V3</x:v>
      </x:c>
      <x:c r="D378" s="20" t="str">
        <x:v>renter_occupied_units</x:v>
      </x:c>
      <x:c r="E378" s="20" t="str">
        <x:v>housing</x:v>
      </x:c>
      <x:c r="F378" s="50" t="n">
        <x:v>9688</x:v>
      </x:c>
      <x:c r="G378" s="50" t="n">
        <x:v>463.7026918574268</x:v>
      </x:c>
      <x:c r="H378" s="50" t="n">
        <x:v>9698.088</x:v>
      </x:c>
      <x:c r="I378" s="50" t="n">
        <x:v>423.46992222710577</x:v>
      </x:c>
      <x:c r="J378" s="42" t="n">
        <x:v>0.9132358506068554</x:v>
      </x:c>
      <x:c r="K378" s="42" t="n">
        <x:v>0.021755319037702423</x:v>
      </x:c>
      <x:c r="L378" s="26" t="n">
        <x:v>9000</x:v>
      </x:c>
      <x:c r="M378" s="26" t="n">
        <x:v>9708</x:v>
      </x:c>
      <x:c r="N378" s="26" t="n">
        <x:v>10400</x:v>
      </x:c>
    </x:row>
    <x:row r="379">
      <x:c r="A379" s="20" t="str">
        <x:v>T0_TABLE_BLOCK</x:v>
      </x:c>
      <x:c r="B379" s="20" t="str">
        <x:v>NYC-V3-R02</x:v>
      </x:c>
      <x:c r="C379" s="20" t="str">
        <x:v>V3</x:v>
      </x:c>
      <x:c r="D379" s="20" t="str">
        <x:v>one_unit_structures</x:v>
      </x:c>
      <x:c r="E379" s="20" t="str">
        <x:v>housing</x:v>
      </x:c>
      <x:c r="F379" s="50" t="n">
        <x:v>823</x:v>
      </x:c>
      <x:c r="G379" s="50" t="n">
        <x:v>196.21420401684762</x:v>
      </x:c>
      <x:c r="H379" s="50" t="n">
        <x:v>822.939</x:v>
      </x:c>
      <x:c r="I379" s="50" t="n">
        <x:v>191.6193812386061</x:v>
      </x:c>
      <x:c r="J379" s="42" t="n">
        <x:v>0.9765826189736653</x:v>
      </x:c>
      <x:c r="K379" s="42" t="n">
        <x:v>-0.00031088473082610166</x:v>
      </x:c>
      <x:c r="L379" s="26" t="n">
        <x:v>503</x:v>
      </x:c>
      <x:c r="M379" s="26" t="n">
        <x:v>830</x:v>
      </x:c>
      <x:c r="N379" s="26" t="n">
        <x:v>1134</x:v>
      </x:c>
    </x:row>
    <x:row r="380">
      <x:c r="A380" s="20" t="str">
        <x:v>T0_TABLE_BLOCK</x:v>
      </x:c>
      <x:c r="B380" s="20" t="str">
        <x:v>NYC-V3-R02</x:v>
      </x:c>
      <x:c r="C380" s="20" t="str">
        <x:v>V3</x:v>
      </x:c>
      <x:c r="D380" s="20" t="str">
        <x:v>two_to_four_unit_structures</x:v>
      </x:c>
      <x:c r="E380" s="20" t="str">
        <x:v>housing</x:v>
      </x:c>
      <x:c r="F380" s="50" t="n">
        <x:v>1584</x:v>
      </x:c>
      <x:c r="G380" s="50" t="n">
        <x:v>200.0461878836865</x:v>
      </x:c>
      <x:c r="H380" s="50" t="n">
        <x:v>1583.893</x:v>
      </x:c>
      <x:c r="I380" s="50" t="n">
        <x:v>197.30220909232798</x:v>
      </x:c>
      <x:c r="J380" s="42" t="n">
        <x:v>0.9862832737759843</x:v>
      </x:c>
      <x:c r="K380" s="42" t="n">
        <x:v>-0.0005348764759375682</x:v>
      </x:c>
      <x:c r="L380" s="26" t="n">
        <x:v>1272</x:v>
      </x:c>
      <x:c r="M380" s="26" t="n">
        <x:v>1584</x:v>
      </x:c>
      <x:c r="N380" s="26" t="n">
        <x:v>1913</x:v>
      </x:c>
    </x:row>
    <x:row r="381">
      <x:c r="A381" s="20" t="str">
        <x:v>T0_TABLE_BLOCK</x:v>
      </x:c>
      <x:c r="B381" s="20" t="str">
        <x:v>NYC-V3-R02</x:v>
      </x:c>
      <x:c r="C381" s="20" t="str">
        <x:v>V3</x:v>
      </x:c>
      <x:c r="D381" s="20" t="str">
        <x:v>five_to_nineteen_unit_structures</x:v>
      </x:c>
      <x:c r="E381" s="20" t="str">
        <x:v>housing</x:v>
      </x:c>
      <x:c r="F381" s="50" t="n">
        <x:v>1284</x:v>
      </x:c>
      <x:c r="G381" s="50" t="n">
        <x:v>193.65399770024894</x:v>
      </x:c>
      <x:c r="H381" s="50" t="n">
        <x:v>1284.007</x:v>
      </x:c>
      <x:c r="I381" s="50" t="n">
        <x:v>190.65099200306238</x:v>
      </x:c>
      <x:c r="J381" s="42" t="n">
        <x:v>0.9844929320703474</x:v>
      </x:c>
      <x:c r="K381" s="42" t="n">
        <x:v>0.000036146942914635466</x:v>
      </x:c>
      <x:c r="L381" s="26" t="n">
        <x:v>984</x:v>
      </x:c>
      <x:c r="M381" s="26" t="n">
        <x:v>1277</x:v>
      </x:c>
      <x:c r="N381" s="26" t="n">
        <x:v>1579</x:v>
      </x:c>
    </x:row>
    <x:row r="382">
      <x:c r="A382" s="20" t="str">
        <x:v>T0_TABLE_BLOCK</x:v>
      </x:c>
      <x:c r="B382" s="20" t="str">
        <x:v>NYC-V3-R02</x:v>
      </x:c>
      <x:c r="C382" s="20" t="str">
        <x:v>V3</x:v>
      </x:c>
      <x:c r="D382" s="20" t="str">
        <x:v>twenty_to_forty_nine_unit_structures</x:v>
      </x:c>
      <x:c r="E382" s="20" t="str">
        <x:v>housing</x:v>
      </x:c>
      <x:c r="F382" s="50" t="n">
        <x:v>3364</x:v>
      </x:c>
      <x:c r="G382" s="50" t="n">
        <x:v>318.80427184358047</x:v>
      </x:c>
      <x:c r="H382" s="50" t="n">
        <x:v>3363.875</x:v>
      </x:c>
      <x:c r="I382" s="50" t="n">
        <x:v>299.0094078804227</x:v>
      </x:c>
      <x:c r="J382" s="42" t="n">
        <x:v>0.9379090378912175</x:v>
      </x:c>
      <x:c r="K382" s="42" t="n">
        <x:v>-0.00039209010367756474</x:v>
      </x:c>
      <x:c r="L382" s="26" t="n">
        <x:v>2859</x:v>
      </x:c>
      <x:c r="M382" s="26" t="n">
        <x:v>3362</x:v>
      </x:c>
      <x:c r="N382" s="26" t="n">
        <x:v>3837</x:v>
      </x:c>
    </x:row>
    <x:row r="383">
      <x:c r="A383" s="20" t="str">
        <x:v>T0_TABLE_BLOCK</x:v>
      </x:c>
      <x:c r="B383" s="20" t="str">
        <x:v>NYC-V3-R02</x:v>
      </x:c>
      <x:c r="C383" s="20" t="str">
        <x:v>V3</x:v>
      </x:c>
      <x:c r="D383" s="20" t="str">
        <x:v>fifty_plus_unit_structures</x:v>
      </x:c>
      <x:c r="E383" s="20" t="str">
        <x:v>housing</x:v>
      </x:c>
      <x:c r="F383" s="50" t="n">
        <x:v>5980</x:v>
      </x:c>
      <x:c r="G383" s="50" t="n">
        <x:v>468.6725087076537</x:v>
      </x:c>
      <x:c r="H383" s="50" t="n">
        <x:v>5969.344</x:v>
      </x:c>
      <x:c r="I383" s="50" t="n">
        <x:v>393.907060658268</x:v>
      </x:c>
      <x:c r="J383" s="42" t="n">
        <x:v>0.8404740054936259</x:v>
      </x:c>
      <x:c r="K383" s="42" t="n">
        <x:v>-0.02273655868867465</x:v>
      </x:c>
      <x:c r="L383" s="26" t="n">
        <x:v>5362</x:v>
      </x:c>
      <x:c r="M383" s="26" t="n">
        <x:v>5975</x:v>
      </x:c>
      <x:c r="N383" s="26" t="n">
        <x:v>6604</x:v>
      </x:c>
    </x:row>
    <x:row r="384">
      <x:c r="A384" s="20" t="str">
        <x:v>T0_TABLE_BLOCK</x:v>
      </x:c>
      <x:c r="B384" s="20" t="str">
        <x:v>NYC-V3-R02</x:v>
      </x:c>
      <x:c r="C384" s="20" t="str">
        <x:v>V3</x:v>
      </x:c>
      <x:c r="D384" s="20" t="str">
        <x:v>mobile_or_other_units</x:v>
      </x:c>
      <x:c r="E384" s="20" t="str">
        <x:v>housing</x:v>
      </x:c>
      <x:c r="F384" s="50" t="n">
        <x:v>0</x:v>
      </x:c>
      <x:c r="G384" s="50" t="n">
        <x:v>52.53348984916304</x:v>
      </x:c>
      <x:c r="H384" s="50" t="n">
        <x:v>20.875</x:v>
      </x:c>
      <x:c r="I384" s="50" t="n">
        <x:v>30.571260637680236</x:v>
      </x:c>
      <x:c r="J384" s="42" t="n">
        <x:v>0.5819385067593658</x:v>
      </x:c>
      <x:c r="K384" s="42" t="n">
        <x:v>0.3973655673730684</x:v>
      </x:c>
      <x:c r="L384" s="26" t="n">
        <x:v>0</x:v>
      </x:c>
      <x:c r="M384" s="26" t="n">
        <x:v>1</x:v>
      </x:c>
      <x:c r="N384" s="26" t="n">
        <x:v>84</x:v>
      </x:c>
    </x:row>
    <x:row r="385">
      <x:c r="A385" s="20" t="str">
        <x:v>T0_TABLE_BLOCK</x:v>
      </x:c>
      <x:c r="B385" s="20" t="str">
        <x:v>NYC-V3-R02</x:v>
      </x:c>
      <x:c r="C385" s="20" t="str">
        <x:v>V3</x:v>
      </x:c>
      <x:c r="D385" s="20" t="str">
        <x:v>electric_heat_households</x:v>
      </x:c>
      <x:c r="E385" s="20" t="str">
        <x:v>housing</x:v>
      </x:c>
      <x:c r="F385" s="50" t="n">
        <x:v>1952</x:v>
      </x:c>
      <x:c r="G385" s="50" t="n">
        <x:v>264.2669105279736</x:v>
      </x:c>
      <x:c r="H385" s="50" t="n">
        <x:v>1952.042</x:v>
      </x:c>
      <x:c r="I385" s="50" t="n">
        <x:v>263.308103546764</x:v>
      </x:c>
      <x:c r="J385" s="42" t="n">
        <x:v>0.9963718235503113</x:v>
      </x:c>
      <x:c r="K385" s="42" t="n">
        <x:v>0.00015893022670150175</x:v>
      </x:c>
      <x:c r="L385" s="26" t="n">
        <x:v>1512</x:v>
      </x:c>
      <x:c r="M385" s="26" t="n">
        <x:v>1961</x:v>
      </x:c>
      <x:c r="N385" s="26" t="n">
        <x:v>2391</x:v>
      </x:c>
    </x:row>
    <x:row r="386">
      <x:c r="A386" s="20" t="str">
        <x:v>T0_TABLE_BLOCK</x:v>
      </x:c>
      <x:c r="B386" s="20" t="str">
        <x:v>NYC-V3-R02</x:v>
      </x:c>
      <x:c r="C386" s="20" t="str">
        <x:v>V3</x:v>
      </x:c>
      <x:c r="D386" s="20" t="str">
        <x:v>group_quarters_population</x:v>
      </x:c>
      <x:c r="E386" s="20" t="str">
        <x:v>population</x:v>
      </x:c>
      <x:c r="F386" s="50" t="n">
        <x:v>195</x:v>
      </x:c>
      <x:c r="G386" s="50" t="n">
        <x:v>7.700649323271382</x:v>
      </x:c>
      <x:c r="H386" s="50" t="n">
        <x:v>194.995</x:v>
      </x:c>
      <x:c r="I386" s="50" t="n">
        <x:v>7.463959116024531</x:v>
      </x:c>
      <x:c r="J386" s="42" t="n">
        <x:v>0.9692636039753723</x:v>
      </x:c>
      <x:c r="K386" s="42" t="n">
        <x:v>-0.000649295895722123</x:v>
      </x:c>
      <x:c r="L386" s="26" t="n">
        <x:v>182</x:v>
      </x:c>
      <x:c r="M386" s="26" t="n">
        <x:v>195</x:v>
      </x:c>
      <x:c r="N386" s="26" t="n">
        <x:v>207</x:v>
      </x:c>
    </x:row>
    <x:row r="387">
      <x:c r="A387" s="20" t="str">
        <x:v>T0_TABLE_BLOCK</x:v>
      </x:c>
      <x:c r="B387" s="20" t="str">
        <x:v>NYC-V3-R03</x:v>
      </x:c>
      <x:c r="C387" s="20" t="str">
        <x:v>V3</x:v>
      </x:c>
      <x:c r="D387" s="20" t="str">
        <x:v>acs_population</x:v>
      </x:c>
      <x:c r="E387" s="20" t="str">
        <x:v>population</x:v>
      </x:c>
      <x:c r="F387" s="50" t="n">
        <x:v>41146</x:v>
      </x:c>
      <x:c r="G387" s="50" t="n">
        <x:v>1454.1482214684995</x:v>
      </x:c>
      <x:c r="H387" s="50" t="n">
        <x:v>41620.079</x:v>
      </x:c>
      <x:c r="I387" s="50" t="n">
        <x:v>1273.5851938543433</x:v>
      </x:c>
      <x:c r="J387" s="42" t="n">
        <x:v>0.8758290076978459</x:v>
      </x:c>
      <x:c r="K387" s="42" t="n">
        <x:v>0.3260183473739975</x:v>
      </x:c>
      <x:c r="L387" s="26" t="n">
        <x:v>39569</x:v>
      </x:c>
      <x:c r="M387" s="26" t="n">
        <x:v>41625</x:v>
      </x:c>
      <x:c r="N387" s="26" t="n">
        <x:v>43767</x:v>
      </x:c>
    </x:row>
    <x:row r="388">
      <x:c r="A388" s="20" t="str">
        <x:v>T0_TABLE_BLOCK</x:v>
      </x:c>
      <x:c r="B388" s="20" t="str">
        <x:v>NYC-V3-R03</x:v>
      </x:c>
      <x:c r="C388" s="20" t="str">
        <x:v>V3</x:v>
      </x:c>
      <x:c r="D388" s="20" t="str">
        <x:v>age_under_18</x:v>
      </x:c>
      <x:c r="E388" s="20" t="str">
        <x:v>population</x:v>
      </x:c>
      <x:c r="F388" s="50" t="n">
        <x:v>10108</x:v>
      </x:c>
      <x:c r="G388" s="50" t="n">
        <x:v>813.3160517289697</x:v>
      </x:c>
      <x:c r="H388" s="50" t="n">
        <x:v>10108.398</x:v>
      </x:c>
      <x:c r="I388" s="50" t="n">
        <x:v>838.1702195335461</x:v>
      </x:c>
      <x:c r="J388" s="42" t="n">
        <x:v>1.0305590523533141</x:v>
      </x:c>
      <x:c r="K388" s="42" t="n">
        <x:v>0.000489354660040398</x:v>
      </x:c>
      <x:c r="L388" s="26" t="n">
        <x:v>8723</x:v>
      </x:c>
      <x:c r="M388" s="26" t="n">
        <x:v>10117</x:v>
      </x:c>
      <x:c r="N388" s="26" t="n">
        <x:v>11515</x:v>
      </x:c>
    </x:row>
    <x:row r="389">
      <x:c r="A389" s="20" t="str">
        <x:v>T0_TABLE_BLOCK</x:v>
      </x:c>
      <x:c r="B389" s="20" t="str">
        <x:v>NYC-V3-R03</x:v>
      </x:c>
      <x:c r="C389" s="20" t="str">
        <x:v>V3</x:v>
      </x:c>
      <x:c r="D389" s="20" t="str">
        <x:v>age_65_plus</x:v>
      </x:c>
      <x:c r="E389" s="20" t="str">
        <x:v>population</x:v>
      </x:c>
      <x:c r="F389" s="50" t="n">
        <x:v>8067</x:v>
      </x:c>
      <x:c r="G389" s="50" t="n">
        <x:v>446.3000112032264</x:v>
      </x:c>
      <x:c r="H389" s="50" t="n">
        <x:v>8066.989</x:v>
      </x:c>
      <x:c r="I389" s="50" t="n">
        <x:v>462.46019970946185</x:v>
      </x:c>
      <x:c r="J389" s="42" t="n">
        <x:v>1.0362092496091755</x:v>
      </x:c>
      <x:c r="K389" s="42" t="n">
        <x:v>-0.00002464709774657179</x:v>
      </x:c>
      <x:c r="L389" s="26" t="n">
        <x:v>7321</x:v>
      </x:c>
      <x:c r="M389" s="26" t="n">
        <x:v>8073</x:v>
      </x:c>
      <x:c r="N389" s="26" t="n">
        <x:v>8828</x:v>
      </x:c>
    </x:row>
    <x:row r="390">
      <x:c r="A390" s="20" t="str">
        <x:v>T0_TABLE_BLOCK</x:v>
      </x:c>
      <x:c r="B390" s="20" t="str">
        <x:v>NYC-V3-R03</x:v>
      </x:c>
      <x:c r="C390" s="20" t="str">
        <x:v>V3</x:v>
      </x:c>
      <x:c r="D390" s="20" t="str">
        <x:v>age_75_plus</x:v>
      </x:c>
      <x:c r="E390" s="20" t="str">
        <x:v>population</x:v>
      </x:c>
      <x:c r="F390" s="50" t="n">
        <x:v>3343</x:v>
      </x:c>
      <x:c r="G390" s="50" t="n">
        <x:v>319.74177080888256</x:v>
      </x:c>
      <x:c r="H390" s="50" t="n">
        <x:v>3343.042</x:v>
      </x:c>
      <x:c r="I390" s="50" t="n">
        <x:v>324.4871957045088</x:v>
      </x:c>
      <x:c r="J390" s="42" t="n">
        <x:v>1.014841429330992</x:v>
      </x:c>
      <x:c r="K390" s="42" t="n">
        <x:v>0.00013135599985471009</x:v>
      </x:c>
      <x:c r="L390" s="26" t="n">
        <x:v>2802</x:v>
      </x:c>
      <x:c r="M390" s="26" t="n">
        <x:v>3359</x:v>
      </x:c>
      <x:c r="N390" s="26" t="n">
        <x:v>3855</x:v>
      </x:c>
    </x:row>
    <x:row r="391">
      <x:c r="A391" s="20" t="str">
        <x:v>T0_TABLE_BLOCK</x:v>
      </x:c>
      <x:c r="B391" s="20" t="str">
        <x:v>NYC-V3-R03</x:v>
      </x:c>
      <x:c r="C391" s="20" t="str">
        <x:v>V3</x:v>
      </x:c>
      <x:c r="D391" s="20" t="str">
        <x:v>age_85_plus</x:v>
      </x:c>
      <x:c r="E391" s="20" t="str">
        <x:v>population</x:v>
      </x:c>
      <x:c r="F391" s="50" t="n">
        <x:v>943</x:v>
      </x:c>
      <x:c r="G391" s="50" t="n">
        <x:v>179.3863149741362</x:v>
      </x:c>
      <x:c r="H391" s="50" t="n">
        <x:v>942.944</x:v>
      </x:c>
      <x:c r="I391" s="50" t="n">
        <x:v>174.0643250446606</x:v>
      </x:c>
      <x:c r="J391" s="42" t="n">
        <x:v>0.9703322411732302</x:v>
      </x:c>
      <x:c r="K391" s="42" t="n">
        <x:v>-0.0003121754299268261</x:v>
      </x:c>
      <x:c r="L391" s="26" t="n">
        <x:v>657</x:v>
      </x:c>
      <x:c r="M391" s="26" t="n">
        <x:v>950</x:v>
      </x:c>
      <x:c r="N391" s="26" t="n">
        <x:v>1220</x:v>
      </x:c>
    </x:row>
    <x:row r="392">
      <x:c r="A392" s="20" t="str">
        <x:v>T0_TABLE_BLOCK</x:v>
      </x:c>
      <x:c r="B392" s="20" t="str">
        <x:v>NYC-V3-R03</x:v>
      </x:c>
      <x:c r="C392" s="20" t="str">
        <x:v>V3</x:v>
      </x:c>
      <x:c r="D392" s="20" t="str">
        <x:v>civilian_noninstitutionalized</x:v>
      </x:c>
      <x:c r="E392" s="20" t="str">
        <x:v>disability</x:v>
      </x:c>
      <x:c r="F392" s="50" t="n">
        <x:v>40336</x:v>
      </x:c>
      <x:c r="G392" s="50" t="n">
        <x:v>1446.3572172876243</x:v>
      </x:c>
      <x:c r="H392" s="50" t="n">
        <x:v>40334.517</x:v>
      </x:c>
      <x:c r="I392" s="50" t="n">
        <x:v>1469.9516146664355</x:v>
      </x:c>
      <x:c r="J392" s="42" t="n">
        <x:v>1.0163129807054567</x:v>
      </x:c>
      <x:c r="K392" s="42" t="n">
        <x:v>-0.0010253345316596596</x:v>
      </x:c>
      <x:c r="L392" s="26" t="n">
        <x:v>37890</x:v>
      </x:c>
      <x:c r="M392" s="26" t="n">
        <x:v>40304</x:v>
      </x:c>
      <x:c r="N392" s="26" t="n">
        <x:v>42757</x:v>
      </x:c>
    </x:row>
    <x:row r="393">
      <x:c r="A393" s="20" t="str">
        <x:v>T0_TABLE_BLOCK</x:v>
      </x:c>
      <x:c r="B393" s="20" t="str">
        <x:v>NYC-V3-R03</x:v>
      </x:c>
      <x:c r="C393" s="20" t="str">
        <x:v>V3</x:v>
      </x:c>
      <x:c r="D393" s="20" t="str">
        <x:v>any_disability</x:v>
      </x:c>
      <x:c r="E393" s="20" t="str">
        <x:v>disability</x:v>
      </x:c>
      <x:c r="F393" s="50" t="n">
        <x:v>5833</x:v>
      </x:c>
      <x:c r="G393" s="50" t="n">
        <x:v>514.2412371640377</x:v>
      </x:c>
      <x:c r="H393" s="50" t="n">
        <x:v>5833.089</x:v>
      </x:c>
      <x:c r="I393" s="50" t="n">
        <x:v>519.8343070496461</x:v>
      </x:c>
      <x:c r="J393" s="42" t="n">
        <x:v>1.0108763542893864</x:v>
      </x:c>
      <x:c r="K393" s="42" t="n">
        <x:v>0.0001730705232640682</x:v>
      </x:c>
      <x:c r="L393" s="26" t="n">
        <x:v>4971</x:v>
      </x:c>
      <x:c r="M393" s="26" t="n">
        <x:v>5832</x:v>
      </x:c>
      <x:c r="N393" s="26" t="n">
        <x:v>6686</x:v>
      </x:c>
    </x:row>
    <x:row r="394">
      <x:c r="A394" s="20" t="str">
        <x:v>T0_TABLE_BLOCK</x:v>
      </x:c>
      <x:c r="B394" s="20" t="str">
        <x:v>NYC-V3-R03</x:v>
      </x:c>
      <x:c r="C394" s="20" t="str">
        <x:v>V3</x:v>
      </x:c>
      <x:c r="D394" s="20" t="str">
        <x:v>disability_under_18</x:v>
      </x:c>
      <x:c r="E394" s="20" t="str">
        <x:v>disability</x:v>
      </x:c>
      <x:c r="F394" s="50" t="n">
        <x:v>938</x:v>
      </x:c>
      <x:c r="G394" s="50" t="n">
        <x:v>292.0101881784264</x:v>
      </x:c>
      <x:c r="H394" s="50" t="n">
        <x:v>937.881</x:v>
      </x:c>
      <x:c r="I394" s="50" t="n">
        <x:v>299.27326530501574</x:v>
      </x:c>
      <x:c r="J394" s="42" t="n">
        <x:v>1.0248726839700244</x:v>
      </x:c>
      <x:c r="K394" s="42" t="n">
        <x:v>-0.00040752002778518076</x:v>
      </x:c>
      <x:c r="L394" s="26" t="n">
        <x:v>457</x:v>
      </x:c>
      <x:c r="M394" s="26" t="n">
        <x:v>932</x:v>
      </x:c>
      <x:c r="N394" s="26" t="n">
        <x:v>1441</x:v>
      </x:c>
    </x:row>
    <x:row r="395">
      <x:c r="A395" s="20" t="str">
        <x:v>T0_TABLE_BLOCK</x:v>
      </x:c>
      <x:c r="B395" s="20" t="str">
        <x:v>NYC-V3-R03</x:v>
      </x:c>
      <x:c r="C395" s="20" t="str">
        <x:v>V3</x:v>
      </x:c>
      <x:c r="D395" s="20" t="str">
        <x:v>disability_18_64</x:v>
      </x:c>
      <x:c r="E395" s="20" t="str">
        <x:v>disability</x:v>
      </x:c>
      <x:c r="F395" s="50" t="n">
        <x:v>2622</x:v>
      </x:c>
      <x:c r="G395" s="50" t="n">
        <x:v>297.20565270532796</x:v>
      </x:c>
      <x:c r="H395" s="50" t="n">
        <x:v>2622.095</x:v>
      </x:c>
      <x:c r="I395" s="50" t="n">
        <x:v>293.7825559238757</x:v>
      </x:c>
      <x:c r="J395" s="42" t="n">
        <x:v>0.9884823967838654</x:v>
      </x:c>
      <x:c r="K395" s="42" t="n">
        <x:v>0.00031964398770702407</x:v>
      </x:c>
      <x:c r="L395" s="26" t="n">
        <x:v>2120</x:v>
      </x:c>
      <x:c r="M395" s="26" t="n">
        <x:v>2610</x:v>
      </x:c>
      <x:c r="N395" s="26" t="n">
        <x:v>3103</x:v>
      </x:c>
    </x:row>
    <x:row r="396">
      <x:c r="A396" s="20" t="str">
        <x:v>T0_TABLE_BLOCK</x:v>
      </x:c>
      <x:c r="B396" s="20" t="str">
        <x:v>NYC-V3-R03</x:v>
      </x:c>
      <x:c r="C396" s="20" t="str">
        <x:v>V3</x:v>
      </x:c>
      <x:c r="D396" s="20" t="str">
        <x:v>disability_65_plus</x:v>
      </x:c>
      <x:c r="E396" s="20" t="str">
        <x:v>disability</x:v>
      </x:c>
      <x:c r="F396" s="50" t="n">
        <x:v>2273</x:v>
      </x:c>
      <x:c r="G396" s="50" t="n">
        <x:v>256.72086007958137</x:v>
      </x:c>
      <x:c r="H396" s="50" t="n">
        <x:v>2273.113</x:v>
      </x:c>
      <x:c r="I396" s="50" t="n">
        <x:v>256.1963637677315</x:v>
      </x:c>
      <x:c r="J396" s="42" t="n">
        <x:v>0.9979569392542262</x:v>
      </x:c>
      <x:c r="K396" s="42" t="n">
        <x:v>0.00044016680204639363</x:v>
      </x:c>
      <x:c r="L396" s="26" t="n">
        <x:v>1872</x:v>
      </x:c>
      <x:c r="M396" s="26" t="n">
        <x:v>2274</x:v>
      </x:c>
      <x:c r="N396" s="26" t="n">
        <x:v>2698</x:v>
      </x:c>
    </x:row>
    <x:row r="397">
      <x:c r="A397" s="20" t="str">
        <x:v>T0_TABLE_BLOCK</x:v>
      </x:c>
      <x:c r="B397" s="20" t="str">
        <x:v>NYC-V3-R03</x:v>
      </x:c>
      <x:c r="C397" s="20" t="str">
        <x:v>V3</x:v>
      </x:c>
      <x:c r="D397" s="20" t="str">
        <x:v>hearing_difficulty</x:v>
      </x:c>
      <x:c r="E397" s="20" t="str">
        <x:v>disability</x:v>
      </x:c>
      <x:c r="F397" s="50" t="n">
        <x:v>1110</x:v>
      </x:c>
      <x:c r="G397" s="50" t="n">
        <x:v>253.17306186750068</x:v>
      </x:c>
      <x:c r="H397" s="50" t="n">
        <x:v>1110.024</x:v>
      </x:c>
      <x:c r="I397" s="50" t="n">
        <x:v>253.22014506327466</x:v>
      </x:c>
      <x:c r="J397" s="42" t="n">
        <x:v>1.0001859723756812</x:v>
      </x:c>
      <x:c r="K397" s="42" t="n">
        <x:v>0.00009479681535963623</x:v>
      </x:c>
      <x:c r="L397" s="26" t="n">
        <x:v>694</x:v>
      </x:c>
      <x:c r="M397" s="26" t="n">
        <x:v>1110</x:v>
      </x:c>
      <x:c r="N397" s="26" t="n">
        <x:v>1524</x:v>
      </x:c>
    </x:row>
    <x:row r="398">
      <x:c r="A398" s="20" t="str">
        <x:v>T0_TABLE_BLOCK</x:v>
      </x:c>
      <x:c r="B398" s="20" t="str">
        <x:v>NYC-V3-R03</x:v>
      </x:c>
      <x:c r="C398" s="20" t="str">
        <x:v>V3</x:v>
      </x:c>
      <x:c r="D398" s="20" t="str">
        <x:v>vision_difficulty</x:v>
      </x:c>
      <x:c r="E398" s="20" t="str">
        <x:v>disability</x:v>
      </x:c>
      <x:c r="F398" s="50" t="n">
        <x:v>1279</x:v>
      </x:c>
      <x:c r="G398" s="50" t="n">
        <x:v>306.603023215739</x:v>
      </x:c>
      <x:c r="H398" s="50" t="n">
        <x:v>1278.948</x:v>
      </x:c>
      <x:c r="I398" s="50" t="n">
        <x:v>306.18259760979083</x:v>
      </x:c>
      <x:c r="J398" s="42" t="n">
        <x:v>0.9986287623600753</x:v>
      </x:c>
      <x:c r="K398" s="42" t="n">
        <x:v>-0.00016960041507261268</x:v>
      </x:c>
      <x:c r="L398" s="26" t="n">
        <x:v>777</x:v>
      </x:c>
      <x:c r="M398" s="26" t="n">
        <x:v>1279</x:v>
      </x:c>
      <x:c r="N398" s="26" t="n">
        <x:v>1782</x:v>
      </x:c>
    </x:row>
    <x:row r="399">
      <x:c r="A399" s="20" t="str">
        <x:v>T0_TABLE_BLOCK</x:v>
      </x:c>
      <x:c r="B399" s="20" t="str">
        <x:v>NYC-V3-R03</x:v>
      </x:c>
      <x:c r="C399" s="20" t="str">
        <x:v>V3</x:v>
      </x:c>
      <x:c r="D399" s="20" t="str">
        <x:v>cognitive_difficulty</x:v>
      </x:c>
      <x:c r="E399" s="20" t="str">
        <x:v>disability</x:v>
      </x:c>
      <x:c r="F399" s="50" t="n">
        <x:v>2202</x:v>
      </x:c>
      <x:c r="G399" s="50" t="n">
        <x:v>274.5157101201676</x:v>
      </x:c>
      <x:c r="H399" s="50" t="n">
        <x:v>2202.234</x:v>
      </x:c>
      <x:c r="I399" s="50" t="n">
        <x:v>274.89898270945764</x:v>
      </x:c>
      <x:c r="J399" s="42" t="n">
        <x:v>1.0013961772501918</x:v>
      </x:c>
      <x:c r="K399" s="42" t="n">
        <x:v>0.0008524102314490179</x:v>
      </x:c>
      <x:c r="L399" s="26" t="n">
        <x:v>1751</x:v>
      </x:c>
      <x:c r="M399" s="26" t="n">
        <x:v>2202</x:v>
      </x:c>
      <x:c r="N399" s="26" t="n">
        <x:v>2651</x:v>
      </x:c>
    </x:row>
    <x:row r="400">
      <x:c r="A400" s="20" t="str">
        <x:v>T0_TABLE_BLOCK</x:v>
      </x:c>
      <x:c r="B400" s="20" t="str">
        <x:v>NYC-V3-R03</x:v>
      </x:c>
      <x:c r="C400" s="20" t="str">
        <x:v>V3</x:v>
      </x:c>
      <x:c r="D400" s="20" t="str">
        <x:v>ambulatory_difficulty</x:v>
      </x:c>
      <x:c r="E400" s="20" t="str">
        <x:v>disability</x:v>
      </x:c>
      <x:c r="F400" s="50" t="n">
        <x:v>2988</x:v>
      </x:c>
      <x:c r="G400" s="50" t="n">
        <x:v>318.88250566637026</x:v>
      </x:c>
      <x:c r="H400" s="50" t="n">
        <x:v>2988.03</x:v>
      </x:c>
      <x:c r="I400" s="50" t="n">
        <x:v>318.4711493573209</x:v>
      </x:c>
      <x:c r="J400" s="42" t="n">
        <x:v>0.9987100066584407</x:v>
      </x:c>
      <x:c r="K400" s="42" t="n">
        <x:v>0.00009407853822996326</x:v>
      </x:c>
      <x:c r="L400" s="26" t="n">
        <x:v>2465</x:v>
      </x:c>
      <x:c r="M400" s="26" t="n">
        <x:v>2988</x:v>
      </x:c>
      <x:c r="N400" s="26" t="n">
        <x:v>3510</x:v>
      </x:c>
    </x:row>
    <x:row r="401">
      <x:c r="A401" s="20" t="str">
        <x:v>T0_TABLE_BLOCK</x:v>
      </x:c>
      <x:c r="B401" s="20" t="str">
        <x:v>NYC-V3-R03</x:v>
      </x:c>
      <x:c r="C401" s="20" t="str">
        <x:v>V3</x:v>
      </x:c>
      <x:c r="D401" s="20" t="str">
        <x:v>self_care_difficulty</x:v>
      </x:c>
      <x:c r="E401" s="20" t="str">
        <x:v>disability</x:v>
      </x:c>
      <x:c r="F401" s="50" t="n">
        <x:v>1376</x:v>
      </x:c>
      <x:c r="G401" s="50" t="n">
        <x:v>231.93381511246267</x:v>
      </x:c>
      <x:c r="H401" s="50" t="n">
        <x:v>1375.998</x:v>
      </x:c>
      <x:c r="I401" s="50" t="n">
        <x:v>231.7994930991028</x:v>
      </x:c>
      <x:c r="J401" s="42" t="n">
        <x:v>0.9994208605877727</x:v>
      </x:c>
      <x:c r="K401" s="42" t="n">
        <x:v>-0.000008623149664411478</x:v>
      </x:c>
      <x:c r="L401" s="26" t="n">
        <x:v>996</x:v>
      </x:c>
      <x:c r="M401" s="26" t="n">
        <x:v>1377</x:v>
      </x:c>
      <x:c r="N401" s="26" t="n">
        <x:v>1756</x:v>
      </x:c>
    </x:row>
    <x:row r="402">
      <x:c r="A402" s="20" t="str">
        <x:v>T0_TABLE_BLOCK</x:v>
      </x:c>
      <x:c r="B402" s="20" t="str">
        <x:v>NYC-V3-R03</x:v>
      </x:c>
      <x:c r="C402" s="20" t="str">
        <x:v>V3</x:v>
      </x:c>
      <x:c r="D402" s="20" t="str">
        <x:v>independent_living_difficulty</x:v>
      </x:c>
      <x:c r="E402" s="20" t="str">
        <x:v>disability</x:v>
      </x:c>
      <x:c r="F402" s="50" t="n">
        <x:v>2068</x:v>
      </x:c>
      <x:c r="G402" s="50" t="n">
        <x:v>241.8742545140352</x:v>
      </x:c>
      <x:c r="H402" s="50" t="n">
        <x:v>2068.084</x:v>
      </x:c>
      <x:c r="I402" s="50" t="n">
        <x:v>241.9488131241238</x:v>
      </x:c>
      <x:c r="J402" s="42" t="n">
        <x:v>1.0003082536016015</x:v>
      </x:c>
      <x:c r="K402" s="42" t="n">
        <x:v>0.00034728789208509335</x:v>
      </x:c>
      <x:c r="L402" s="26" t="n">
        <x:v>1672</x:v>
      </x:c>
      <x:c r="M402" s="26" t="n">
        <x:v>2068</x:v>
      </x:c>
      <x:c r="N402" s="26" t="n">
        <x:v>2464</x:v>
      </x:c>
    </x:row>
    <x:row r="403">
      <x:c r="A403" s="20" t="str">
        <x:v>T0_TABLE_BLOCK</x:v>
      </x:c>
      <x:c r="B403" s="20" t="str">
        <x:v>NYC-V3-R03</x:v>
      </x:c>
      <x:c r="C403" s="20" t="str">
        <x:v>V3</x:v>
      </x:c>
      <x:c r="D403" s="20" t="str">
        <x:v>households</x:v>
      </x:c>
      <x:c r="E403" s="20" t="str">
        <x:v>household</x:v>
      </x:c>
      <x:c r="F403" s="50" t="n">
        <x:v>15672</x:v>
      </x:c>
      <x:c r="G403" s="50" t="n">
        <x:v>376.3787985527347</x:v>
      </x:c>
      <x:c r="H403" s="50" t="n">
        <x:v>15671.887</x:v>
      </x:c>
      <x:c r="I403" s="50" t="n">
        <x:v>356.8979158714062</x:v>
      </x:c>
      <x:c r="J403" s="42" t="n">
        <x:v>0.948241285757229</x:v>
      </x:c>
      <x:c r="K403" s="42" t="n">
        <x:v>-0.0003002294508454938</x:v>
      </x:c>
      <x:c r="L403" s="26" t="n">
        <x:v>15098</x:v>
      </x:c>
      <x:c r="M403" s="26" t="n">
        <x:v>15665</x:v>
      </x:c>
      <x:c r="N403" s="26" t="n">
        <x:v>16233</x:v>
      </x:c>
    </x:row>
    <x:row r="404">
      <x:c r="A404" s="20" t="str">
        <x:v>T0_TABLE_BLOCK</x:v>
      </x:c>
      <x:c r="B404" s="20" t="str">
        <x:v>NYC-V3-R03</x:v>
      </x:c>
      <x:c r="C404" s="20" t="str">
        <x:v>V3</x:v>
      </x:c>
      <x:c r="D404" s="20" t="str">
        <x:v>family_households</x:v>
      </x:c>
      <x:c r="E404" s="20" t="str">
        <x:v>household</x:v>
      </x:c>
      <x:c r="F404" s="50" t="n">
        <x:v>9534</x:v>
      </x:c>
      <x:c r="G404" s="50" t="n">
        <x:v>418.88172555030377</x:v>
      </x:c>
      <x:c r="H404" s="50" t="n">
        <x:v>9533.7</x:v>
      </x:c>
      <x:c r="I404" s="50" t="n">
        <x:v>521.1865226494172</x:v>
      </x:c>
      <x:c r="J404" s="42" t="n">
        <x:v>1.2442331351760714</x:v>
      </x:c>
      <x:c r="K404" s="42" t="n">
        <x:v>-0.0007161926188237239</x:v>
      </x:c>
      <x:c r="L404" s="26" t="n">
        <x:v>8657</x:v>
      </x:c>
      <x:c r="M404" s="26" t="n">
        <x:v>9521</x:v>
      </x:c>
      <x:c r="N404" s="26" t="n">
        <x:v>10400</x:v>
      </x:c>
    </x:row>
    <x:row r="405">
      <x:c r="A405" s="20" t="str">
        <x:v>T0_TABLE_BLOCK</x:v>
      </x:c>
      <x:c r="B405" s="20" t="str">
        <x:v>NYC-V3-R03</x:v>
      </x:c>
      <x:c r="C405" s="20" t="str">
        <x:v>V3</x:v>
      </x:c>
      <x:c r="D405" s="20" t="str">
        <x:v>nonfamily_households</x:v>
      </x:c>
      <x:c r="E405" s="20" t="str">
        <x:v>household</x:v>
      </x:c>
      <x:c r="F405" s="50" t="n">
        <x:v>6138</x:v>
      </x:c>
      <x:c r="G405" s="50" t="n">
        <x:v>369.4073632184394</x:v>
      </x:c>
      <x:c r="H405" s="50" t="n">
        <x:v>6138.187</x:v>
      </x:c>
      <x:c r="I405" s="50" t="n">
        <x:v>364.95297876261776</x:v>
      </x:c>
      <x:c r="J405" s="42" t="n">
        <x:v>0.9879418092346263</x:v>
      </x:c>
      <x:c r="K405" s="42" t="n">
        <x:v>0.0005062162225751861</x:v>
      </x:c>
      <x:c r="L405" s="26" t="n">
        <x:v>5561</x:v>
      </x:c>
      <x:c r="M405" s="26" t="n">
        <x:v>6137</x:v>
      </x:c>
      <x:c r="N405" s="26" t="n">
        <x:v>6738</x:v>
      </x:c>
    </x:row>
    <x:row r="406">
      <x:c r="A406" s="20" t="str">
        <x:v>T0_TABLE_BLOCK</x:v>
      </x:c>
      <x:c r="B406" s="20" t="str">
        <x:v>NYC-V3-R03</x:v>
      </x:c>
      <x:c r="C406" s="20" t="str">
        <x:v>V3</x:v>
      </x:c>
      <x:c r="D406" s="20" t="str">
        <x:v>living_alone_households</x:v>
      </x:c>
      <x:c r="E406" s="20" t="str">
        <x:v>household</x:v>
      </x:c>
      <x:c r="F406" s="50" t="n">
        <x:v>5489</x:v>
      </x:c>
      <x:c r="G406" s="50" t="n">
        <x:v>372.8668663209431</x:v>
      </x:c>
      <x:c r="H406" s="50" t="n">
        <x:v>5489.181</x:v>
      </x:c>
      <x:c r="I406" s="50" t="n">
        <x:v>369.37454947085456</x:v>
      </x:c>
      <x:c r="J406" s="42" t="n">
        <x:v>0.9906338772212532</x:v>
      </x:c>
      <x:c r="K406" s="42" t="n">
        <x:v>0.0004854279539115458</x:v>
      </x:c>
      <x:c r="L406" s="26" t="n">
        <x:v>4906</x:v>
      </x:c>
      <x:c r="M406" s="26" t="n">
        <x:v>5490</x:v>
      </x:c>
      <x:c r="N406" s="26" t="n">
        <x:v>6103</x:v>
      </x:c>
    </x:row>
    <x:row r="407">
      <x:c r="A407" s="20" t="str">
        <x:v>T0_TABLE_BLOCK</x:v>
      </x:c>
      <x:c r="B407" s="20" t="str">
        <x:v>NYC-V3-R03</x:v>
      </x:c>
      <x:c r="C407" s="20" t="str">
        <x:v>V3</x:v>
      </x:c>
      <x:c r="D407" s="20" t="str">
        <x:v>households_with_children</x:v>
      </x:c>
      <x:c r="E407" s="20" t="str">
        <x:v>household</x:v>
      </x:c>
      <x:c r="F407" s="50" t="n">
        <x:v>4530</x:v>
      </x:c>
      <x:c r="G407" s="50" t="n">
        <x:v>328.87816893190103</x:v>
      </x:c>
      <x:c r="H407" s="50" t="n">
        <x:v>4530.035</x:v>
      </x:c>
      <x:c r="I407" s="50" t="n">
        <x:v>331.10016776814854</x:v>
      </x:c>
      <x:c r="J407" s="42" t="n">
        <x:v>1.0067562977605473</x:v>
      </x:c>
      <x:c r="K407" s="42" t="n">
        <x:v>0.00010642238769914136</x:v>
      </x:c>
      <x:c r="L407" s="26" t="n">
        <x:v>3988</x:v>
      </x:c>
      <x:c r="M407" s="26" t="n">
        <x:v>4535</x:v>
      </x:c>
      <x:c r="N407" s="26" t="n">
        <x:v>5083</x:v>
      </x:c>
    </x:row>
    <x:row r="408">
      <x:c r="A408" s="20" t="str">
        <x:v>T0_TABLE_BLOCK</x:v>
      </x:c>
      <x:c r="B408" s="20" t="str">
        <x:v>NYC-V3-R03</x:v>
      </x:c>
      <x:c r="C408" s="20" t="str">
        <x:v>V3</x:v>
      </x:c>
      <x:c r="D408" s="20" t="str">
        <x:v>households_with_age65</x:v>
      </x:c>
      <x:c r="E408" s="20" t="str">
        <x:v>household</x:v>
      </x:c>
      <x:c r="F408" s="50" t="n">
        <x:v>5862</x:v>
      </x:c>
      <x:c r="G408" s="50" t="n">
        <x:v>375.81717629719907</x:v>
      </x:c>
      <x:c r="H408" s="50" t="n">
        <x:v>5862.202</x:v>
      </x:c>
      <x:c r="I408" s="50" t="n">
        <x:v>383.6011509876359</x:v>
      </x:c>
      <x:c r="J408" s="42" t="n">
        <x:v>1.0207121312738543</x:v>
      </x:c>
      <x:c r="K408" s="42" t="n">
        <x:v>0.0005374953906856094</x:v>
      </x:c>
      <x:c r="L408" s="26" t="n">
        <x:v>5233</x:v>
      </x:c>
      <x:c r="M408" s="26" t="n">
        <x:v>5861</x:v>
      </x:c>
      <x:c r="N408" s="26" t="n">
        <x:v>6470</x:v>
      </x:c>
    </x:row>
    <x:row r="409">
      <x:c r="A409" s="20" t="str">
        <x:v>T0_TABLE_BLOCK</x:v>
      </x:c>
      <x:c r="B409" s="20" t="str">
        <x:v>NYC-V3-R03</x:v>
      </x:c>
      <x:c r="C409" s="20" t="str">
        <x:v>V3</x:v>
      </x:c>
      <x:c r="D409" s="20" t="str">
        <x:v>age65_one_person_households</x:v>
      </x:c>
      <x:c r="E409" s="20" t="str">
        <x:v>household</x:v>
      </x:c>
      <x:c r="F409" s="50" t="n">
        <x:v>2434</x:v>
      </x:c>
      <x:c r="G409" s="50" t="n">
        <x:v>294.8548795594199</x:v>
      </x:c>
      <x:c r="H409" s="50" t="n">
        <x:v>2433.841</x:v>
      </x:c>
      <x:c r="I409" s="50" t="n">
        <x:v>282.44626677053566</x:v>
      </x:c>
      <x:c r="J409" s="42" t="n">
        <x:v>0.9579162033627339</x:v>
      </x:c>
      <x:c r="K409" s="42" t="n">
        <x:v>-0.0005392483252700026</x:v>
      </x:c>
      <x:c r="L409" s="26" t="n">
        <x:v>1973</x:v>
      </x:c>
      <x:c r="M409" s="26" t="n">
        <x:v>2431</x:v>
      </x:c>
      <x:c r="N409" s="26" t="n">
        <x:v>2898</x:v>
      </x:c>
    </x:row>
    <x:row r="410">
      <x:c r="A410" s="20" t="str">
        <x:v>T0_TABLE_BLOCK</x:v>
      </x:c>
      <x:c r="B410" s="20" t="str">
        <x:v>NYC-V3-R03</x:v>
      </x:c>
      <x:c r="C410" s="20" t="str">
        <x:v>V3</x:v>
      </x:c>
      <x:c r="D410" s="20" t="str">
        <x:v>no_vehicle_households</x:v>
      </x:c>
      <x:c r="E410" s="20" t="str">
        <x:v>household</x:v>
      </x:c>
      <x:c r="F410" s="50" t="n">
        <x:v>4684</x:v>
      </x:c>
      <x:c r="G410" s="50" t="n">
        <x:v>387.6012821556878</x:v>
      </x:c>
      <x:c r="H410" s="50" t="n">
        <x:v>4683.874</x:v>
      </x:c>
      <x:c r="I410" s="50" t="n">
        <x:v>388.24668912382964</x:v>
      </x:c>
      <x:c r="J410" s="42" t="n">
        <x:v>1.0016651311485667</x:v>
      </x:c>
      <x:c r="K410" s="42" t="n">
        <x:v>-0.000325076324049912</x:v>
      </x:c>
      <x:c r="L410" s="26" t="n">
        <x:v>4050</x:v>
      </x:c>
      <x:c r="M410" s="26" t="n">
        <x:v>4684</x:v>
      </x:c>
      <x:c r="N410" s="26" t="n">
        <x:v>5321</x:v>
      </x:c>
    </x:row>
    <x:row r="411">
      <x:c r="A411" s="20" t="str">
        <x:v>T0_TABLE_BLOCK</x:v>
      </x:c>
      <x:c r="B411" s="20" t="str">
        <x:v>NYC-V3-R03</x:v>
      </x:c>
      <x:c r="C411" s="20" t="str">
        <x:v>V3</x:v>
      </x:c>
      <x:c r="D411" s="20" t="str">
        <x:v>limited_english_households</x:v>
      </x:c>
      <x:c r="E411" s="20" t="str">
        <x:v>household</x:v>
      </x:c>
      <x:c r="F411" s="50" t="n">
        <x:v>1191</x:v>
      </x:c>
      <x:c r="G411" s="50" t="n">
        <x:v>184.08113917364267</x:v>
      </x:c>
      <x:c r="H411" s="50" t="n">
        <x:v>1191.003</x:v>
      </x:c>
      <x:c r="I411" s="50" t="n">
        <x:v>184.12180704856996</x:v>
      </x:c>
      <x:c r="J411" s="42" t="n">
        <x:v>1.000220923637858</x:v>
      </x:c>
      <x:c r="K411" s="42" t="n">
        <x:v>0.000016297161205087812</x:v>
      </x:c>
      <x:c r="L411" s="26" t="n">
        <x:v>889</x:v>
      </x:c>
      <x:c r="M411" s="26" t="n">
        <x:v>1191</x:v>
      </x:c>
      <x:c r="N411" s="26" t="n">
        <x:v>1493</x:v>
      </x:c>
    </x:row>
    <x:row r="412">
      <x:c r="A412" s="20" t="str">
        <x:v>T0_TABLE_BLOCK</x:v>
      </x:c>
      <x:c r="B412" s="20" t="str">
        <x:v>NYC-V3-R03</x:v>
      </x:c>
      <x:c r="C412" s="20" t="str">
        <x:v>V3</x:v>
      </x:c>
      <x:c r="D412" s="20" t="str">
        <x:v>housing_units</x:v>
      </x:c>
      <x:c r="E412" s="20" t="str">
        <x:v>housing</x:v>
      </x:c>
      <x:c r="F412" s="50" t="n">
        <x:v>17049</x:v>
      </x:c>
      <x:c r="G412" s="50" t="n">
        <x:v>388.57303045888295</x:v>
      </x:c>
      <x:c r="H412" s="50" t="n">
        <x:v>17048.966</x:v>
      </x:c>
      <x:c r="I412" s="50" t="n">
        <x:v>369.6200425028651</x:v>
      </x:c>
      <x:c r="J412" s="42" t="n">
        <x:v>0.9512241291331118</x:v>
      </x:c>
      <x:c r="K412" s="42" t="n">
        <x:v>-0.00008749963928144642</x:v>
      </x:c>
      <x:c r="L412" s="26" t="n">
        <x:v>16446</x:v>
      </x:c>
      <x:c r="M412" s="26" t="n">
        <x:v>17055</x:v>
      </x:c>
      <x:c r="N412" s="26" t="n">
        <x:v>17675</x:v>
      </x:c>
    </x:row>
    <x:row r="413">
      <x:c r="A413" s="20" t="str">
        <x:v>T0_TABLE_BLOCK</x:v>
      </x:c>
      <x:c r="B413" s="20" t="str">
        <x:v>NYC-V3-R03</x:v>
      </x:c>
      <x:c r="C413" s="20" t="str">
        <x:v>V3</x:v>
      </x:c>
      <x:c r="D413" s="20" t="str">
        <x:v>occupied_housing_units</x:v>
      </x:c>
      <x:c r="E413" s="20" t="str">
        <x:v>housing</x:v>
      </x:c>
      <x:c r="F413" s="50" t="n">
        <x:v>15672</x:v>
      </x:c>
      <x:c r="G413" s="50" t="n">
        <x:v>376.3787985527347</x:v>
      </x:c>
      <x:c r="H413" s="50" t="n">
        <x:v>15671.887</x:v>
      </x:c>
      <x:c r="I413" s="50" t="n">
        <x:v>356.8979158714062</x:v>
      </x:c>
      <x:c r="J413" s="42" t="n">
        <x:v>0.948241285757229</x:v>
      </x:c>
      <x:c r="K413" s="42" t="n">
        <x:v>-0.0003002294508454938</x:v>
      </x:c>
      <x:c r="L413" s="26" t="n">
        <x:v>15098</x:v>
      </x:c>
      <x:c r="M413" s="26" t="n">
        <x:v>15665</x:v>
      </x:c>
      <x:c r="N413" s="26" t="n">
        <x:v>16233</x:v>
      </x:c>
    </x:row>
    <x:row r="414">
      <x:c r="A414" s="20" t="str">
        <x:v>T0_TABLE_BLOCK</x:v>
      </x:c>
      <x:c r="B414" s="20" t="str">
        <x:v>NYC-V3-R03</x:v>
      </x:c>
      <x:c r="C414" s="20" t="str">
        <x:v>V3</x:v>
      </x:c>
      <x:c r="D414" s="20" t="str">
        <x:v>vacant_housing_units</x:v>
      </x:c>
      <x:c r="E414" s="20" t="str">
        <x:v>housing</x:v>
      </x:c>
      <x:c r="F414" s="50" t="n">
        <x:v>1377</x:v>
      </x:c>
      <x:c r="G414" s="50" t="n">
        <x:v>223.23216614099323</x:v>
      </x:c>
      <x:c r="H414" s="50" t="n">
        <x:v>1377.079</x:v>
      </x:c>
      <x:c r="I414" s="50" t="n">
        <x:v>221.8014441784355</x:v>
      </x:c>
      <x:c r="J414" s="42" t="n">
        <x:v>0.9935908790059669</x:v>
      </x:c>
      <x:c r="K414" s="42" t="n">
        <x:v>0.00035389165175261775</x:v>
      </x:c>
      <x:c r="L414" s="26" t="n">
        <x:v>1008</x:v>
      </x:c>
      <x:c r="M414" s="26" t="n">
        <x:v>1376</x:v>
      </x:c>
      <x:c r="N414" s="26" t="n">
        <x:v>1741</x:v>
      </x:c>
    </x:row>
    <x:row r="415">
      <x:c r="A415" s="20" t="str">
        <x:v>T0_TABLE_BLOCK</x:v>
      </x:c>
      <x:c r="B415" s="20" t="str">
        <x:v>NYC-V3-R03</x:v>
      </x:c>
      <x:c r="C415" s="20" t="str">
        <x:v>V3</x:v>
      </x:c>
      <x:c r="D415" s="20" t="str">
        <x:v>owner_occupied_units</x:v>
      </x:c>
      <x:c r="E415" s="20" t="str">
        <x:v>housing</x:v>
      </x:c>
      <x:c r="F415" s="50" t="n">
        <x:v>7561</x:v>
      </x:c>
      <x:c r="G415" s="50" t="n">
        <x:v>381.9206690121956</x:v>
      </x:c>
      <x:c r="H415" s="50" t="n">
        <x:v>7560.927</x:v>
      </x:c>
      <x:c r="I415" s="50" t="n">
        <x:v>329.03961271819196</x:v>
      </x:c>
      <x:c r="J415" s="42" t="n">
        <x:v>0.8615391609184812</x:v>
      </x:c>
      <x:c r="K415" s="42" t="n">
        <x:v>-0.0001911391708365202</x:v>
      </x:c>
      <x:c r="L415" s="26" t="n">
        <x:v>7038</x:v>
      </x:c>
      <x:c r="M415" s="26" t="n">
        <x:v>7556</x:v>
      </x:c>
      <x:c r="N415" s="26" t="n">
        <x:v>8092</x:v>
      </x:c>
    </x:row>
    <x:row r="416">
      <x:c r="A416" s="20" t="str">
        <x:v>T0_TABLE_BLOCK</x:v>
      </x:c>
      <x:c r="B416" s="20" t="str">
        <x:v>NYC-V3-R03</x:v>
      </x:c>
      <x:c r="C416" s="20" t="str">
        <x:v>V3</x:v>
      </x:c>
      <x:c r="D416" s="20" t="str">
        <x:v>renter_occupied_units</x:v>
      </x:c>
      <x:c r="E416" s="20" t="str">
        <x:v>housing</x:v>
      </x:c>
      <x:c r="F416" s="50" t="n">
        <x:v>8111</x:v>
      </x:c>
      <x:c r="G416" s="50" t="n">
        <x:v>401.8494581782876</x:v>
      </x:c>
      <x:c r="H416" s="50" t="n">
        <x:v>8110.96</x:v>
      </x:c>
      <x:c r="I416" s="50" t="n">
        <x:v>334.6024764062831</x:v>
      </x:c>
      <x:c r="J416" s="42" t="n">
        <x:v>0.8326562835822732</x:v>
      </x:c>
      <x:c r="K416" s="42" t="n">
        <x:v>-0.00009953976342607612</x:v>
      </x:c>
      <x:c r="L416" s="26" t="n">
        <x:v>7593</x:v>
      </x:c>
      <x:c r="M416" s="26" t="n">
        <x:v>8105</x:v>
      </x:c>
      <x:c r="N416" s="26" t="n">
        <x:v>8669</x:v>
      </x:c>
    </x:row>
    <x:row r="417">
      <x:c r="A417" s="20" t="str">
        <x:v>T0_TABLE_BLOCK</x:v>
      </x:c>
      <x:c r="B417" s="20" t="str">
        <x:v>NYC-V3-R03</x:v>
      </x:c>
      <x:c r="C417" s="20" t="str">
        <x:v>V3</x:v>
      </x:c>
      <x:c r="D417" s="20" t="str">
        <x:v>one_unit_structures</x:v>
      </x:c>
      <x:c r="E417" s="20" t="str">
        <x:v>housing</x:v>
      </x:c>
      <x:c r="F417" s="50" t="n">
        <x:v>4303</x:v>
      </x:c>
      <x:c r="G417" s="50" t="n">
        <x:v>315.86499785647584</x:v>
      </x:c>
      <x:c r="H417" s="50" t="n">
        <x:v>4302.867</x:v>
      </x:c>
      <x:c r="I417" s="50" t="n">
        <x:v>290.6284091123633</x:v>
      </x:c>
      <x:c r="J417" s="42" t="n">
        <x:v>0.9201032437421899</x:v>
      </x:c>
      <x:c r="K417" s="42" t="n">
        <x:v>-0.0004210659645809947</x:v>
      </x:c>
      <x:c r="L417" s="26" t="n">
        <x:v>3827</x:v>
      </x:c>
      <x:c r="M417" s="26" t="n">
        <x:v>4304</x:v>
      </x:c>
      <x:c r="N417" s="26" t="n">
        <x:v>4766</x:v>
      </x:c>
    </x:row>
    <x:row r="418">
      <x:c r="A418" s="20" t="str">
        <x:v>T0_TABLE_BLOCK</x:v>
      </x:c>
      <x:c r="B418" s="20" t="str">
        <x:v>NYC-V3-R03</x:v>
      </x:c>
      <x:c r="C418" s="20" t="str">
        <x:v>V3</x:v>
      </x:c>
      <x:c r="D418" s="20" t="str">
        <x:v>two_to_four_unit_structures</x:v>
      </x:c>
      <x:c r="E418" s="20" t="str">
        <x:v>housing</x:v>
      </x:c>
      <x:c r="F418" s="50" t="n">
        <x:v>3731</x:v>
      </x:c>
      <x:c r="G418" s="50" t="n">
        <x:v>310.8452251862967</x:v>
      </x:c>
      <x:c r="H418" s="50" t="n">
        <x:v>3730.995</x:v>
      </x:c>
      <x:c r="I418" s="50" t="n">
        <x:v>287.1924241052738</x:v>
      </x:c>
      <x:c r="J418" s="42" t="n">
        <x:v>0.9239081087160105</x:v>
      </x:c>
      <x:c r="K418" s="42" t="n">
        <x:v>-0.000016085175498875763</x:v>
      </x:c>
      <x:c r="L418" s="26" t="n">
        <x:v>3245</x:v>
      </x:c>
      <x:c r="M418" s="26" t="n">
        <x:v>3731</x:v>
      </x:c>
      <x:c r="N418" s="26" t="n">
        <x:v>4199</x:v>
      </x:c>
    </x:row>
    <x:row r="419">
      <x:c r="A419" s="20" t="str">
        <x:v>T0_TABLE_BLOCK</x:v>
      </x:c>
      <x:c r="B419" s="20" t="str">
        <x:v>NYC-V3-R03</x:v>
      </x:c>
      <x:c r="C419" s="20" t="str">
        <x:v>V3</x:v>
      </x:c>
      <x:c r="D419" s="20" t="str">
        <x:v>five_to_nineteen_unit_structures</x:v>
      </x:c>
      <x:c r="E419" s="20" t="str">
        <x:v>housing</x:v>
      </x:c>
      <x:c r="F419" s="50" t="n">
        <x:v>994</x:v>
      </x:c>
      <x:c r="G419" s="50" t="n">
        <x:v>197.12927586925218</x:v>
      </x:c>
      <x:c r="H419" s="50" t="n">
        <x:v>993.882</x:v>
      </x:c>
      <x:c r="I419" s="50" t="n">
        <x:v>193.63171051074076</x:v>
      </x:c>
      <x:c r="J419" s="42" t="n">
        <x:v>0.9822575041525987</x:v>
      </x:c>
      <x:c r="K419" s="42" t="n">
        <x:v>-0.0005985919619484446</x:v>
      </x:c>
      <x:c r="L419" s="26" t="n">
        <x:v>676</x:v>
      </x:c>
      <x:c r="M419" s="26" t="n">
        <x:v>994</x:v>
      </x:c>
      <x:c r="N419" s="26" t="n">
        <x:v>1319</x:v>
      </x:c>
    </x:row>
    <x:row r="420">
      <x:c r="A420" s="20" t="str">
        <x:v>T0_TABLE_BLOCK</x:v>
      </x:c>
      <x:c r="B420" s="20" t="str">
        <x:v>NYC-V3-R03</x:v>
      </x:c>
      <x:c r="C420" s="20" t="str">
        <x:v>V3</x:v>
      </x:c>
      <x:c r="D420" s="20" t="str">
        <x:v>twenty_to_forty_nine_unit_structures</x:v>
      </x:c>
      <x:c r="E420" s="20" t="str">
        <x:v>housing</x:v>
      </x:c>
      <x:c r="F420" s="50" t="n">
        <x:v>1126</x:v>
      </x:c>
      <x:c r="G420" s="50" t="n">
        <x:v>183.66410732384753</x:v>
      </x:c>
      <x:c r="H420" s="50" t="n">
        <x:v>1125.93</x:v>
      </x:c>
      <x:c r="I420" s="50" t="n">
        <x:v>179.09033041023307</x:v>
      </x:c>
      <x:c r="J420" s="42" t="n">
        <x:v>0.9750970563587054</x:v>
      </x:c>
      <x:c r="K420" s="42" t="n">
        <x:v>-0.00038113053780567015</x:v>
      </x:c>
      <x:c r="L420" s="26" t="n">
        <x:v>836</x:v>
      </x:c>
      <x:c r="M420" s="26" t="n">
        <x:v>1124</x:v>
      </x:c>
      <x:c r="N420" s="26" t="n">
        <x:v>1427</x:v>
      </x:c>
    </x:row>
    <x:row r="421">
      <x:c r="A421" s="20" t="str">
        <x:v>T0_TABLE_BLOCK</x:v>
      </x:c>
      <x:c r="B421" s="20" t="str">
        <x:v>NYC-V3-R03</x:v>
      </x:c>
      <x:c r="C421" s="20" t="str">
        <x:v>V3</x:v>
      </x:c>
      <x:c r="D421" s="20" t="str">
        <x:v>fifty_plus_unit_structures</x:v>
      </x:c>
      <x:c r="E421" s="20" t="str">
        <x:v>housing</x:v>
      </x:c>
      <x:c r="F421" s="50" t="n">
        <x:v>5383</x:v>
      </x:c>
      <x:c r="G421" s="50" t="n">
        <x:v>383.9279980414092</x:v>
      </x:c>
      <x:c r="H421" s="50" t="n">
        <x:v>5375.657</x:v>
      </x:c>
      <x:c r="I421" s="50" t="n">
        <x:v>335.84958581974655</x:v>
      </x:c>
      <x:c r="J421" s="42" t="n">
        <x:v>0.8747723206774906</x:v>
      </x:c>
      <x:c r="K421" s="42" t="n">
        <x:v>-0.019125982052519794</x:v>
      </x:c>
      <x:c r="L421" s="26" t="n">
        <x:v>4824</x:v>
      </x:c>
      <x:c r="M421" s="26" t="n">
        <x:v>5382</x:v>
      </x:c>
      <x:c r="N421" s="26" t="n">
        <x:v>5905</x:v>
      </x:c>
    </x:row>
    <x:row r="422">
      <x:c r="A422" s="20" t="str">
        <x:v>T0_TABLE_BLOCK</x:v>
      </x:c>
      <x:c r="B422" s="20" t="str">
        <x:v>NYC-V3-R03</x:v>
      </x:c>
      <x:c r="C422" s="20" t="str">
        <x:v>V3</x:v>
      </x:c>
      <x:c r="D422" s="20" t="str">
        <x:v>mobile_or_other_units</x:v>
      </x:c>
      <x:c r="E422" s="20" t="str">
        <x:v>housing</x:v>
      </x:c>
      <x:c r="F422" s="50" t="n">
        <x:v>135</x:v>
      </x:c>
      <x:c r="G422" s="50" t="n">
        <x:v>122.05227634104897</x:v>
      </x:c>
      <x:c r="H422" s="50" t="n">
        <x:v>142.556</x:v>
      </x:c>
      <x:c r="I422" s="50" t="n">
        <x:v>106.46045600453105</x:v>
      </x:c>
      <x:c r="J422" s="42" t="n">
        <x:v>0.8722529328912317</x:v>
      </x:c>
      <x:c r="K422" s="42" t="n">
        <x:v>0.0619078990291536</x:v>
      </x:c>
      <x:c r="L422" s="26" t="n">
        <x:v>0</x:v>
      </x:c>
      <x:c r="M422" s="26" t="n">
        <x:v>136</x:v>
      </x:c>
      <x:c r="N422" s="26" t="n">
        <x:v>329</x:v>
      </x:c>
    </x:row>
    <x:row r="423">
      <x:c r="A423" s="20" t="str">
        <x:v>T0_TABLE_BLOCK</x:v>
      </x:c>
      <x:c r="B423" s="20" t="str">
        <x:v>NYC-V3-R03</x:v>
      </x:c>
      <x:c r="C423" s="20" t="str">
        <x:v>V3</x:v>
      </x:c>
      <x:c r="D423" s="20" t="str">
        <x:v>electric_heat_households</x:v>
      </x:c>
      <x:c r="E423" s="20" t="str">
        <x:v>housing</x:v>
      </x:c>
      <x:c r="F423" s="50" t="n">
        <x:v>1657</x:v>
      </x:c>
      <x:c r="G423" s="50" t="n">
        <x:v>228.49354476658635</x:v>
      </x:c>
      <x:c r="H423" s="50" t="n">
        <x:v>1657.04</x:v>
      </x:c>
      <x:c r="I423" s="50" t="n">
        <x:v>226.95052972606814</x:v>
      </x:c>
      <x:c r="J423" s="42" t="n">
        <x:v>0.9932470081721807</x:v>
      </x:c>
      <x:c r="K423" s="42" t="n">
        <x:v>0.00017505965011320094</x:v>
      </x:c>
      <x:c r="L423" s="26" t="n">
        <x:v>1285</x:v>
      </x:c>
      <x:c r="M423" s="26" t="n">
        <x:v>1655</x:v>
      </x:c>
      <x:c r="N423" s="26" t="n">
        <x:v>2027</x:v>
      </x:c>
    </x:row>
    <x:row r="424">
      <x:c r="A424" s="20" t="str">
        <x:v>T0_TABLE_BLOCK</x:v>
      </x:c>
      <x:c r="B424" s="20" t="str">
        <x:v>NYC-V3-R03</x:v>
      </x:c>
      <x:c r="C424" s="20" t="str">
        <x:v>V3</x:v>
      </x:c>
      <x:c r="D424" s="20" t="str">
        <x:v>group_quarters_population</x:v>
      </x:c>
      <x:c r="E424" s="20" t="str">
        <x:v>population</x:v>
      </x:c>
      <x:c r="F424" s="50" t="n">
        <x:v>1686</x:v>
      </x:c>
      <x:c r="G424" s="50" t="n">
        <x:v>36.341436405293614</x:v>
      </x:c>
      <x:c r="H424" s="50" t="n">
        <x:v>1685.988</x:v>
      </x:c>
      <x:c r="I424" s="50" t="n">
        <x:v>36.51362897742569</x:v>
      </x:c>
      <x:c r="J424" s="42" t="n">
        <x:v>1.0047381883922175</x:v>
      </x:c>
      <x:c r="K424" s="42" t="n">
        <x:v>-0.00033020158768946325</x:v>
      </x:c>
      <x:c r="L424" s="26" t="n">
        <x:v>1626</x:v>
      </x:c>
      <x:c r="M424" s="26" t="n">
        <x:v>1686</x:v>
      </x:c>
      <x:c r="N424" s="26" t="n">
        <x:v>1746</x:v>
      </x:c>
    </x:row>
    <x:row r="425">
      <x:c r="A425" s="20" t="str">
        <x:v>T0_TABLE_BLOCK</x:v>
      </x:c>
      <x:c r="B425" s="20" t="str">
        <x:v>NYC-V3-R04</x:v>
      </x:c>
      <x:c r="C425" s="20" t="str">
        <x:v>V3</x:v>
      </x:c>
      <x:c r="D425" s="20" t="str">
        <x:v>acs_population</x:v>
      </x:c>
      <x:c r="E425" s="20" t="str">
        <x:v>population</x:v>
      </x:c>
      <x:c r="F425" s="50" t="n">
        <x:v>36480</x:v>
      </x:c>
      <x:c r="G425" s="50" t="n">
        <x:v>1357.0544020045772</x:v>
      </x:c>
      <x:c r="H425" s="50" t="n">
        <x:v>36480.225</x:v>
      </x:c>
      <x:c r="I425" s="50" t="n">
        <x:v>1340.7175182859507</x:v>
      </x:c>
      <x:c r="J425" s="42" t="n">
        <x:v>0.9879615115691055</x:v>
      </x:c>
      <x:c r="K425" s="42" t="n">
        <x:v>0.00016580028012597384</x:v>
      </x:c>
      <x:c r="L425" s="26" t="n">
        <x:v>34258</x:v>
      </x:c>
      <x:c r="M425" s="26" t="n">
        <x:v>36485</x:v>
      </x:c>
      <x:c r="N425" s="26" t="n">
        <x:v>38674</x:v>
      </x:c>
    </x:row>
    <x:row r="426">
      <x:c r="A426" s="20" t="str">
        <x:v>T0_TABLE_BLOCK</x:v>
      </x:c>
      <x:c r="B426" s="20" t="str">
        <x:v>NYC-V3-R04</x:v>
      </x:c>
      <x:c r="C426" s="20" t="str">
        <x:v>V3</x:v>
      </x:c>
      <x:c r="D426" s="20" t="str">
        <x:v>age_under_18</x:v>
      </x:c>
      <x:c r="E426" s="20" t="str">
        <x:v>population</x:v>
      </x:c>
      <x:c r="F426" s="50" t="n">
        <x:v>6688</x:v>
      </x:c>
      <x:c r="G426" s="50" t="n">
        <x:v>689.4024223920309</x:v>
      </x:c>
      <x:c r="H426" s="50" t="n">
        <x:v>6687.992</x:v>
      </x:c>
      <x:c r="I426" s="50" t="n">
        <x:v>704.2836668696921</x:v>
      </x:c>
      <x:c r="J426" s="42" t="n">
        <x:v>1.0215857153881582</x:v>
      </x:c>
      <x:c r="K426" s="42" t="n">
        <x:v>-0.00001160425281369493</x:v>
      </x:c>
      <x:c r="L426" s="26" t="n">
        <x:v>5544</x:v>
      </x:c>
      <x:c r="M426" s="26" t="n">
        <x:v>6678</x:v>
      </x:c>
      <x:c r="N426" s="26" t="n">
        <x:v>7791</x:v>
      </x:c>
    </x:row>
    <x:row r="427">
      <x:c r="A427" s="20" t="str">
        <x:v>T0_TABLE_BLOCK</x:v>
      </x:c>
      <x:c r="B427" s="20" t="str">
        <x:v>NYC-V3-R04</x:v>
      </x:c>
      <x:c r="C427" s="20" t="str">
        <x:v>V3</x:v>
      </x:c>
      <x:c r="D427" s="20" t="str">
        <x:v>age_65_plus</x:v>
      </x:c>
      <x:c r="E427" s="20" t="str">
        <x:v>population</x:v>
      </x:c>
      <x:c r="F427" s="50" t="n">
        <x:v>7404</x:v>
      </x:c>
      <x:c r="G427" s="50" t="n">
        <x:v>387.11800526454465</x:v>
      </x:c>
      <x:c r="H427" s="50" t="n">
        <x:v>7404.319</x:v>
      </x:c>
      <x:c r="I427" s="50" t="n">
        <x:v>385.35210065663387</x:v>
      </x:c>
      <x:c r="J427" s="42" t="n">
        <x:v>0.9954383299565103</x:v>
      </x:c>
      <x:c r="K427" s="42" t="n">
        <x:v>0.0008240381373695595</x:v>
      </x:c>
      <x:c r="L427" s="26" t="n">
        <x:v>6791</x:v>
      </x:c>
      <x:c r="M427" s="26" t="n">
        <x:v>7396</x:v>
      </x:c>
      <x:c r="N427" s="26" t="n">
        <x:v>8015</x:v>
      </x:c>
    </x:row>
    <x:row r="428">
      <x:c r="A428" s="20" t="str">
        <x:v>T0_TABLE_BLOCK</x:v>
      </x:c>
      <x:c r="B428" s="20" t="str">
        <x:v>NYC-V3-R04</x:v>
      </x:c>
      <x:c r="C428" s="20" t="str">
        <x:v>V3</x:v>
      </x:c>
      <x:c r="D428" s="20" t="str">
        <x:v>age_75_plus</x:v>
      </x:c>
      <x:c r="E428" s="20" t="str">
        <x:v>population</x:v>
      </x:c>
      <x:c r="F428" s="50" t="n">
        <x:v>3209</x:v>
      </x:c>
      <x:c r="G428" s="50" t="n">
        <x:v>327.73739487583646</x:v>
      </x:c>
      <x:c r="H428" s="50" t="n">
        <x:v>3209.042</x:v>
      </x:c>
      <x:c r="I428" s="50" t="n">
        <x:v>325.59720480338245</x:v>
      </x:c>
      <x:c r="J428" s="42" t="n">
        <x:v>0.9934698020246825</x:v>
      </x:c>
      <x:c r="K428" s="42" t="n">
        <x:v>0.0001281513817360636</x:v>
      </x:c>
      <x:c r="L428" s="26" t="n">
        <x:v>2675</x:v>
      </x:c>
      <x:c r="M428" s="26" t="n">
        <x:v>3210</x:v>
      </x:c>
      <x:c r="N428" s="26" t="n">
        <x:v>3734</x:v>
      </x:c>
    </x:row>
    <x:row r="429">
      <x:c r="A429" s="20" t="str">
        <x:v>T0_TABLE_BLOCK</x:v>
      </x:c>
      <x:c r="B429" s="20" t="str">
        <x:v>NYC-V3-R04</x:v>
      </x:c>
      <x:c r="C429" s="20" t="str">
        <x:v>V3</x:v>
      </x:c>
      <x:c r="D429" s="20" t="str">
        <x:v>age_85_plus</x:v>
      </x:c>
      <x:c r="E429" s="20" t="str">
        <x:v>population</x:v>
      </x:c>
      <x:c r="F429" s="50" t="n">
        <x:v>1038</x:v>
      </x:c>
      <x:c r="G429" s="50" t="n">
        <x:v>193.0237032076631</x:v>
      </x:c>
      <x:c r="H429" s="50" t="n">
        <x:v>1038.018</x:v>
      </x:c>
      <x:c r="I429" s="50" t="n">
        <x:v>191.5619734333139</x:v>
      </x:c>
      <x:c r="J429" s="42" t="n">
        <x:v>0.9924272006491525</x:v>
      </x:c>
      <x:c r="K429" s="42" t="n">
        <x:v>0.00009325279590488397</x:v>
      </x:c>
      <x:c r="L429" s="26" t="n">
        <x:v>714</x:v>
      </x:c>
      <x:c r="M429" s="26" t="n">
        <x:v>1042</x:v>
      </x:c>
      <x:c r="N429" s="26" t="n">
        <x:v>1338</x:v>
      </x:c>
    </x:row>
    <x:row r="430">
      <x:c r="A430" s="20" t="str">
        <x:v>T0_TABLE_BLOCK</x:v>
      </x:c>
      <x:c r="B430" s="20" t="str">
        <x:v>NYC-V3-R04</x:v>
      </x:c>
      <x:c r="C430" s="20" t="str">
        <x:v>V3</x:v>
      </x:c>
      <x:c r="D430" s="20" t="str">
        <x:v>civilian_noninstitutionalized</x:v>
      </x:c>
      <x:c r="E430" s="20" t="str">
        <x:v>disability</x:v>
      </x:c>
      <x:c r="F430" s="50" t="n">
        <x:v>36364</x:v>
      </x:c>
      <x:c r="G430" s="50" t="n">
        <x:v>1358.3734206763618</x:v>
      </x:c>
      <x:c r="H430" s="50" t="n">
        <x:v>35675.287</x:v>
      </x:c>
      <x:c r="I430" s="50" t="n">
        <x:v>1110.6842378043848</x:v>
      </x:c>
      <x:c r="J430" s="42" t="n">
        <x:v>0.8176575166284927</x:v>
      </x:c>
      <x:c r="K430" s="42" t="n">
        <x:v>-0.5070130124138318</x:v>
      </x:c>
      <x:c r="L430" s="26" t="n">
        <x:v>33856</x:v>
      </x:c>
      <x:c r="M430" s="26" t="n">
        <x:v>35694</x:v>
      </x:c>
      <x:c r="N430" s="26" t="n">
        <x:v>37442</x:v>
      </x:c>
    </x:row>
    <x:row r="431">
      <x:c r="A431" s="20" t="str">
        <x:v>T0_TABLE_BLOCK</x:v>
      </x:c>
      <x:c r="B431" s="20" t="str">
        <x:v>NYC-V3-R04</x:v>
      </x:c>
      <x:c r="C431" s="20" t="str">
        <x:v>V3</x:v>
      </x:c>
      <x:c r="D431" s="20" t="str">
        <x:v>any_disability</x:v>
      </x:c>
      <x:c r="E431" s="20" t="str">
        <x:v>disability</x:v>
      </x:c>
      <x:c r="F431" s="50" t="n">
        <x:v>4401</x:v>
      </x:c>
      <x:c r="G431" s="50" t="n">
        <x:v>470.8874069244154</x:v>
      </x:c>
      <x:c r="H431" s="50" t="n">
        <x:v>4405.72</x:v>
      </x:c>
      <x:c r="I431" s="50" t="n">
        <x:v>475.4595559975521</x:v>
      </x:c>
      <x:c r="J431" s="42" t="n">
        <x:v>1.0097096439741287</x:v>
      </x:c>
      <x:c r="K431" s="42" t="n">
        <x:v>0.010023627581864567</x:v>
      </x:c>
      <x:c r="L431" s="26" t="n">
        <x:v>3651</x:v>
      </x:c>
      <x:c r="M431" s="26" t="n">
        <x:v>4409</x:v>
      </x:c>
      <x:c r="N431" s="26" t="n">
        <x:v>5215</x:v>
      </x:c>
    </x:row>
    <x:row r="432">
      <x:c r="A432" s="20" t="str">
        <x:v>T0_TABLE_BLOCK</x:v>
      </x:c>
      <x:c r="B432" s="20" t="str">
        <x:v>NYC-V3-R04</x:v>
      </x:c>
      <x:c r="C432" s="20" t="str">
        <x:v>V3</x:v>
      </x:c>
      <x:c r="D432" s="20" t="str">
        <x:v>disability_under_18</x:v>
      </x:c>
      <x:c r="E432" s="20" t="str">
        <x:v>disability</x:v>
      </x:c>
      <x:c r="F432" s="50" t="n">
        <x:v>247</x:v>
      </x:c>
      <x:c r="G432" s="50" t="n">
        <x:v>151.8719855667924</x:v>
      </x:c>
      <x:c r="H432" s="50" t="n">
        <x:v>251.425</x:v>
      </x:c>
      <x:c r="I432" s="50" t="n">
        <x:v>152.5882024749441</x:v>
      </x:c>
      <x:c r="J432" s="42" t="n">
        <x:v>1.0047159250962496</x:v>
      </x:c>
      <x:c r="K432" s="42" t="n">
        <x:v>0.029136380771514456</x:v>
      </x:c>
      <x:c r="L432" s="26" t="n">
        <x:v>0</x:v>
      </x:c>
      <x:c r="M432" s="26" t="n">
        <x:v>247</x:v>
      </x:c>
      <x:c r="N432" s="26" t="n">
        <x:v>510</x:v>
      </x:c>
    </x:row>
    <x:row r="433">
      <x:c r="A433" s="20" t="str">
        <x:v>T0_TABLE_BLOCK</x:v>
      </x:c>
      <x:c r="B433" s="20" t="str">
        <x:v>NYC-V3-R04</x:v>
      </x:c>
      <x:c r="C433" s="20" t="str">
        <x:v>V3</x:v>
      </x:c>
      <x:c r="D433" s="20" t="str">
        <x:v>disability_18_64</x:v>
      </x:c>
      <x:c r="E433" s="20" t="str">
        <x:v>disability</x:v>
      </x:c>
      <x:c r="F433" s="50" t="n">
        <x:v>1718</x:v>
      </x:c>
      <x:c r="G433" s="50" t="n">
        <x:v>280.1007854326724</x:v>
      </x:c>
      <x:c r="H433" s="50" t="n">
        <x:v>1718.168</x:v>
      </x:c>
      <x:c r="I433" s="50" t="n">
        <x:v>277.38213104420157</x:v>
      </x:c>
      <x:c r="J433" s="42" t="n">
        <x:v>0.9902940136912814</x:v>
      </x:c>
      <x:c r="K433" s="42" t="n">
        <x:v>0.0005997841089248738</x:v>
      </x:c>
      <x:c r="L433" s="26" t="n">
        <x:v>1258</x:v>
      </x:c>
      <x:c r="M433" s="26" t="n">
        <x:v>1722</x:v>
      </x:c>
      <x:c r="N433" s="26" t="n">
        <x:v>2163</x:v>
      </x:c>
    </x:row>
    <x:row r="434">
      <x:c r="A434" s="20" t="str">
        <x:v>T0_TABLE_BLOCK</x:v>
      </x:c>
      <x:c r="B434" s="20" t="str">
        <x:v>NYC-V3-R04</x:v>
      </x:c>
      <x:c r="C434" s="20" t="str">
        <x:v>V3</x:v>
      </x:c>
      <x:c r="D434" s="20" t="str">
        <x:v>disability_65_plus</x:v>
      </x:c>
      <x:c r="E434" s="20" t="str">
        <x:v>disability</x:v>
      </x:c>
      <x:c r="F434" s="50" t="n">
        <x:v>2436</x:v>
      </x:c>
      <x:c r="G434" s="50" t="n">
        <x:v>281.75645511682603</x:v>
      </x:c>
      <x:c r="H434" s="50" t="n">
        <x:v>2436.127</x:v>
      </x:c>
      <x:c r="I434" s="50" t="n">
        <x:v>278.02345208796845</x:v>
      </x:c>
      <x:c r="J434" s="42" t="n">
        <x:v>0.9867509582795193</x:v>
      </x:c>
      <x:c r="K434" s="42" t="n">
        <x:v>0.00045074388782785505</x:v>
      </x:c>
      <x:c r="L434" s="26" t="n">
        <x:v>1989</x:v>
      </x:c>
      <x:c r="M434" s="26" t="n">
        <x:v>2430</x:v>
      </x:c>
      <x:c r="N434" s="26" t="n">
        <x:v>2910</x:v>
      </x:c>
    </x:row>
    <x:row r="435">
      <x:c r="A435" s="20" t="str">
        <x:v>T0_TABLE_BLOCK</x:v>
      </x:c>
      <x:c r="B435" s="20" t="str">
        <x:v>NYC-V3-R04</x:v>
      </x:c>
      <x:c r="C435" s="20" t="str">
        <x:v>V3</x:v>
      </x:c>
      <x:c r="D435" s="20" t="str">
        <x:v>hearing_difficulty</x:v>
      </x:c>
      <x:c r="E435" s="20" t="str">
        <x:v>disability</x:v>
      </x:c>
      <x:c r="F435" s="50" t="n">
        <x:v>1130</x:v>
      </x:c>
      <x:c r="G435" s="50" t="n">
        <x:v>230.5739095173458</x:v>
      </x:c>
      <x:c r="H435" s="50" t="n">
        <x:v>1130.035</x:v>
      </x:c>
      <x:c r="I435" s="50" t="n">
        <x:v>230.70681266145655</x:v>
      </x:c>
      <x:c r="J435" s="42" t="n">
        <x:v>1.0005764014861394</x:v>
      </x:c>
      <x:c r="K435" s="42" t="n">
        <x:v>0.00015179514487717374</x:v>
      </x:c>
      <x:c r="L435" s="26" t="n">
        <x:v>752</x:v>
      </x:c>
      <x:c r="M435" s="26" t="n">
        <x:v>1131</x:v>
      </x:c>
      <x:c r="N435" s="26" t="n">
        <x:v>1507</x:v>
      </x:c>
    </x:row>
    <x:row r="436">
      <x:c r="A436" s="20" t="str">
        <x:v>T0_TABLE_BLOCK</x:v>
      </x:c>
      <x:c r="B436" s="20" t="str">
        <x:v>NYC-V3-R04</x:v>
      </x:c>
      <x:c r="C436" s="20" t="str">
        <x:v>V3</x:v>
      </x:c>
      <x:c r="D436" s="20" t="str">
        <x:v>vision_difficulty</x:v>
      </x:c>
      <x:c r="E436" s="20" t="str">
        <x:v>disability</x:v>
      </x:c>
      <x:c r="F436" s="50" t="n">
        <x:v>703</x:v>
      </x:c>
      <x:c r="G436" s="50" t="n">
        <x:v>197.06459029708594</x:v>
      </x:c>
      <x:c r="H436" s="50" t="n">
        <x:v>702.94</x:v>
      </x:c>
      <x:c r="I436" s="50" t="n">
        <x:v>197.13738242035058</x:v>
      </x:c>
      <x:c r="J436" s="42" t="n">
        <x:v>1.0003693820546598</x:v>
      </x:c>
      <x:c r="K436" s="42" t="n">
        <x:v>-0.00030446870190881103</x:v>
      </x:c>
      <x:c r="L436" s="26" t="n">
        <x:v>380</x:v>
      </x:c>
      <x:c r="M436" s="26" t="n">
        <x:v>703</x:v>
      </x:c>
      <x:c r="N436" s="26" t="n">
        <x:v>1026</x:v>
      </x:c>
    </x:row>
    <x:row r="437">
      <x:c r="A437" s="20" t="str">
        <x:v>T0_TABLE_BLOCK</x:v>
      </x:c>
      <x:c r="B437" s="20" t="str">
        <x:v>NYC-V3-R04</x:v>
      </x:c>
      <x:c r="C437" s="20" t="str">
        <x:v>V3</x:v>
      </x:c>
      <x:c r="D437" s="20" t="str">
        <x:v>cognitive_difficulty</x:v>
      </x:c>
      <x:c r="E437" s="20" t="str">
        <x:v>disability</x:v>
      </x:c>
      <x:c r="F437" s="50" t="n">
        <x:v>1932</x:v>
      </x:c>
      <x:c r="G437" s="50" t="n">
        <x:v>294.71372896122347</x:v>
      </x:c>
      <x:c r="H437" s="50" t="n">
        <x:v>1932.103</x:v>
      </x:c>
      <x:c r="I437" s="50" t="n">
        <x:v>294.7874217381315</x:v>
      </x:c>
      <x:c r="J437" s="42" t="n">
        <x:v>1.0002500486732253</x:v>
      </x:c>
      <x:c r="K437" s="42" t="n">
        <x:v>0.0003494916927118029</x:v>
      </x:c>
      <x:c r="L437" s="26" t="n">
        <x:v>1449</x:v>
      </x:c>
      <x:c r="M437" s="26" t="n">
        <x:v>1933</x:v>
      </x:c>
      <x:c r="N437" s="26" t="n">
        <x:v>2416</x:v>
      </x:c>
    </x:row>
    <x:row r="438">
      <x:c r="A438" s="20" t="str">
        <x:v>T0_TABLE_BLOCK</x:v>
      </x:c>
      <x:c r="B438" s="20" t="str">
        <x:v>NYC-V3-R04</x:v>
      </x:c>
      <x:c r="C438" s="20" t="str">
        <x:v>V3</x:v>
      </x:c>
      <x:c r="D438" s="20" t="str">
        <x:v>ambulatory_difficulty</x:v>
      </x:c>
      <x:c r="E438" s="20" t="str">
        <x:v>disability</x:v>
      </x:c>
      <x:c r="F438" s="50" t="n">
        <x:v>2438</x:v>
      </x:c>
      <x:c r="G438" s="50" t="n">
        <x:v>297.8196095005031</x:v>
      </x:c>
      <x:c r="H438" s="50" t="n">
        <x:v>2437.94</x:v>
      </x:c>
      <x:c r="I438" s="50" t="n">
        <x:v>297.75961645123937</x:v>
      </x:c>
      <x:c r="J438" s="42" t="n">
        <x:v>0.9997985591030614</x:v>
      </x:c>
      <x:c r="K438" s="42" t="n">
        <x:v>-0.00020146423568473613</x:v>
      </x:c>
      <x:c r="L438" s="26" t="n">
        <x:v>1948</x:v>
      </x:c>
      <x:c r="M438" s="26" t="n">
        <x:v>2438</x:v>
      </x:c>
      <x:c r="N438" s="26" t="n">
        <x:v>2926</x:v>
      </x:c>
    </x:row>
    <x:row r="439">
      <x:c r="A439" s="20" t="str">
        <x:v>T0_TABLE_BLOCK</x:v>
      </x:c>
      <x:c r="B439" s="20" t="str">
        <x:v>NYC-V3-R04</x:v>
      </x:c>
      <x:c r="C439" s="20" t="str">
        <x:v>V3</x:v>
      </x:c>
      <x:c r="D439" s="20" t="str">
        <x:v>self_care_difficulty</x:v>
      </x:c>
      <x:c r="E439" s="20" t="str">
        <x:v>disability</x:v>
      </x:c>
      <x:c r="F439" s="50" t="n">
        <x:v>1014</x:v>
      </x:c>
      <x:c r="G439" s="50" t="n">
        <x:v>199.59401148816585</x:v>
      </x:c>
      <x:c r="H439" s="50" t="n">
        <x:v>1013.988</x:v>
      </x:c>
      <x:c r="I439" s="50" t="n">
        <x:v>199.40438803087048</x:v>
      </x:c>
      <x:c r="J439" s="42" t="n">
        <x:v>0.9990499541750699</x:v>
      </x:c>
      <x:c r="K439" s="42" t="n">
        <x:v>-0.000060122044296179224</x:v>
      </x:c>
      <x:c r="L439" s="26" t="n">
        <x:v>687</x:v>
      </x:c>
      <x:c r="M439" s="26" t="n">
        <x:v>1014</x:v>
      </x:c>
      <x:c r="N439" s="26" t="n">
        <x:v>1340</x:v>
      </x:c>
    </x:row>
    <x:row r="440">
      <x:c r="A440" s="20" t="str">
        <x:v>T0_TABLE_BLOCK</x:v>
      </x:c>
      <x:c r="B440" s="20" t="str">
        <x:v>NYC-V3-R04</x:v>
      </x:c>
      <x:c r="C440" s="20" t="str">
        <x:v>V3</x:v>
      </x:c>
      <x:c r="D440" s="20" t="str">
        <x:v>independent_living_difficulty</x:v>
      </x:c>
      <x:c r="E440" s="20" t="str">
        <x:v>disability</x:v>
      </x:c>
      <x:c r="F440" s="50" t="n">
        <x:v>1858</x:v>
      </x:c>
      <x:c r="G440" s="50" t="n">
        <x:v>268.3909509858976</x:v>
      </x:c>
      <x:c r="H440" s="50" t="n">
        <x:v>1857.837</x:v>
      </x:c>
      <x:c r="I440" s="50" t="n">
        <x:v>269.4361487797606</x:v>
      </x:c>
      <x:c r="J440" s="42" t="n">
        <x:v>1.0038943108552043</x:v>
      </x:c>
      <x:c r="K440" s="42" t="n">
        <x:v>-0.0006073230092193966</x:v>
      </x:c>
      <x:c r="L440" s="26" t="n">
        <x:v>1418</x:v>
      </x:c>
      <x:c r="M440" s="26" t="n">
        <x:v>1858</x:v>
      </x:c>
      <x:c r="N440" s="26" t="n">
        <x:v>2299</x:v>
      </x:c>
    </x:row>
    <x:row r="441">
      <x:c r="A441" s="20" t="str">
        <x:v>T0_TABLE_BLOCK</x:v>
      </x:c>
      <x:c r="B441" s="20" t="str">
        <x:v>NYC-V3-R04</x:v>
      </x:c>
      <x:c r="C441" s="20" t="str">
        <x:v>V3</x:v>
      </x:c>
      <x:c r="D441" s="20" t="str">
        <x:v>households</x:v>
      </x:c>
      <x:c r="E441" s="20" t="str">
        <x:v>household</x:v>
      </x:c>
      <x:c r="F441" s="50" t="n">
        <x:v>17095</x:v>
      </x:c>
      <x:c r="G441" s="50" t="n">
        <x:v>423.33633201037685</x:v>
      </x:c>
      <x:c r="H441" s="50" t="n">
        <x:v>17095.326</x:v>
      </x:c>
      <x:c r="I441" s="50" t="n">
        <x:v>418.04455381331417</x:v>
      </x:c>
      <x:c r="J441" s="42" t="n">
        <x:v>0.9874998250872241</x:v>
      </x:c>
      <x:c r="K441" s="42" t="n">
        <x:v>0.0007700732853539733</x:v>
      </x:c>
      <x:c r="L441" s="26" t="n">
        <x:v>16401</x:v>
      </x:c>
      <x:c r="M441" s="26" t="n">
        <x:v>17096</x:v>
      </x:c>
      <x:c r="N441" s="26" t="n">
        <x:v>17795</x:v>
      </x:c>
    </x:row>
    <x:row r="442">
      <x:c r="A442" s="20" t="str">
        <x:v>T0_TABLE_BLOCK</x:v>
      </x:c>
      <x:c r="B442" s="20" t="str">
        <x:v>NYC-V3-R04</x:v>
      </x:c>
      <x:c r="C442" s="20" t="str">
        <x:v>V3</x:v>
      </x:c>
      <x:c r="D442" s="20" t="str">
        <x:v>family_households</x:v>
      </x:c>
      <x:c r="E442" s="20" t="str">
        <x:v>household</x:v>
      </x:c>
      <x:c r="F442" s="50" t="n">
        <x:v>9492</x:v>
      </x:c>
      <x:c r="G442" s="50" t="n">
        <x:v>405.0580822548786</x:v>
      </x:c>
      <x:c r="H442" s="50" t="n">
        <x:v>9492.146</x:v>
      </x:c>
      <x:c r="I442" s="50" t="n">
        <x:v>598.1476132621874</x:v>
      </x:c>
      <x:c r="J442" s="42" t="n">
        <x:v>1.476695909713534</x:v>
      </x:c>
      <x:c r="K442" s="42" t="n">
        <x:v>0.00036044213508316394</x:v>
      </x:c>
      <x:c r="L442" s="26" t="n">
        <x:v>8580</x:v>
      </x:c>
      <x:c r="M442" s="26" t="n">
        <x:v>9476</x:v>
      </x:c>
      <x:c r="N442" s="26" t="n">
        <x:v>10480</x:v>
      </x:c>
    </x:row>
    <x:row r="443">
      <x:c r="A443" s="20" t="str">
        <x:v>T0_TABLE_BLOCK</x:v>
      </x:c>
      <x:c r="B443" s="20" t="str">
        <x:v>NYC-V3-R04</x:v>
      </x:c>
      <x:c r="C443" s="20" t="str">
        <x:v>V3</x:v>
      </x:c>
      <x:c r="D443" s="20" t="str">
        <x:v>nonfamily_households</x:v>
      </x:c>
      <x:c r="E443" s="20" t="str">
        <x:v>household</x:v>
      </x:c>
      <x:c r="F443" s="50" t="n">
        <x:v>7603</x:v>
      </x:c>
      <x:c r="G443" s="50" t="n">
        <x:v>390.5181173774144</x:v>
      </x:c>
      <x:c r="H443" s="50" t="n">
        <x:v>7603.18</x:v>
      </x:c>
      <x:c r="I443" s="50" t="n">
        <x:v>427.5793700796587</x:v>
      </x:c>
      <x:c r="J443" s="42" t="n">
        <x:v>1.0949027741686734</x:v>
      </x:c>
      <x:c r="K443" s="42" t="n">
        <x:v>0.00046092611838116307</x:v>
      </x:c>
      <x:c r="L443" s="26" t="n">
        <x:v>6901</x:v>
      </x:c>
      <x:c r="M443" s="26" t="n">
        <x:v>7604</x:v>
      </x:c>
      <x:c r="N443" s="26" t="n">
        <x:v>8265</x:v>
      </x:c>
    </x:row>
    <x:row r="444">
      <x:c r="A444" s="20" t="str">
        <x:v>T0_TABLE_BLOCK</x:v>
      </x:c>
      <x:c r="B444" s="20" t="str">
        <x:v>NYC-V3-R04</x:v>
      </x:c>
      <x:c r="C444" s="20" t="str">
        <x:v>V3</x:v>
      </x:c>
      <x:c r="D444" s="20" t="str">
        <x:v>living_alone_households</x:v>
      </x:c>
      <x:c r="E444" s="20" t="str">
        <x:v>household</x:v>
      </x:c>
      <x:c r="F444" s="50" t="n">
        <x:v>6688</x:v>
      </x:c>
      <x:c r="G444" s="50" t="n">
        <x:v>379.8412826431587</x:v>
      </x:c>
      <x:c r="H444" s="50" t="n">
        <x:v>6688.083</x:v>
      </x:c>
      <x:c r="I444" s="50" t="n">
        <x:v>408.5807464104707</x:v>
      </x:c>
      <x:c r="J444" s="42" t="n">
        <x:v>1.0756617700091098</x:v>
      </x:c>
      <x:c r="K444" s="42" t="n">
        <x:v>0.00021851232025667716</x:v>
      </x:c>
      <x:c r="L444" s="26" t="n">
        <x:v>6010</x:v>
      </x:c>
      <x:c r="M444" s="26" t="n">
        <x:v>6707</x:v>
      </x:c>
      <x:c r="N444" s="26" t="n">
        <x:v>7322</x:v>
      </x:c>
    </x:row>
    <x:row r="445">
      <x:c r="A445" s="20" t="str">
        <x:v>T0_TABLE_BLOCK</x:v>
      </x:c>
      <x:c r="B445" s="20" t="str">
        <x:v>NYC-V3-R04</x:v>
      </x:c>
      <x:c r="C445" s="20" t="str">
        <x:v>V3</x:v>
      </x:c>
      <x:c r="D445" s="20" t="str">
        <x:v>households_with_children</x:v>
      </x:c>
      <x:c r="E445" s="20" t="str">
        <x:v>household</x:v>
      </x:c>
      <x:c r="F445" s="50" t="n">
        <x:v>3498</x:v>
      </x:c>
      <x:c r="G445" s="50" t="n">
        <x:v>331.1649136004598</x:v>
      </x:c>
      <x:c r="H445" s="50" t="n">
        <x:v>3497.904</x:v>
      </x:c>
      <x:c r="I445" s="50" t="n">
        <x:v>341.3599117842829</x:v>
      </x:c>
      <x:c r="J445" s="42" t="n">
        <x:v>1.0307852606515044</x:v>
      </x:c>
      <x:c r="K445" s="42" t="n">
        <x:v>-0.00028988578215089736</x:v>
      </x:c>
      <x:c r="L445" s="26" t="n">
        <x:v>2947</x:v>
      </x:c>
      <x:c r="M445" s="26" t="n">
        <x:v>3489</x:v>
      </x:c>
      <x:c r="N445" s="26" t="n">
        <x:v>4053</x:v>
      </x:c>
    </x:row>
    <x:row r="446">
      <x:c r="A446" s="20" t="str">
        <x:v>T0_TABLE_BLOCK</x:v>
      </x:c>
      <x:c r="B446" s="20" t="str">
        <x:v>NYC-V3-R04</x:v>
      </x:c>
      <x:c r="C446" s="20" t="str">
        <x:v>V3</x:v>
      </x:c>
      <x:c r="D446" s="20" t="str">
        <x:v>households_with_age65</x:v>
      </x:c>
      <x:c r="E446" s="20" t="str">
        <x:v>household</x:v>
      </x:c>
      <x:c r="F446" s="50" t="n">
        <x:v>5916</x:v>
      </x:c>
      <x:c r="G446" s="50" t="n">
        <x:v>316.95812026196774</x:v>
      </x:c>
      <x:c r="H446" s="50" t="n">
        <x:v>5915.954</x:v>
      </x:c>
      <x:c r="I446" s="50" t="n">
        <x:v>328.1495116345383</x:v>
      </x:c>
      <x:c r="J446" s="42" t="n">
        <x:v>1.03530873846463</x:v>
      </x:c>
      <x:c r="K446" s="42" t="n">
        <x:v>-0.00014512958356219813</x:v>
      </x:c>
      <x:c r="L446" s="26" t="n">
        <x:v>5396</x:v>
      </x:c>
      <x:c r="M446" s="26" t="n">
        <x:v>5917</x:v>
      </x:c>
      <x:c r="N446" s="26" t="n">
        <x:v>6473</x:v>
      </x:c>
    </x:row>
    <x:row r="447">
      <x:c r="A447" s="20" t="str">
        <x:v>T0_TABLE_BLOCK</x:v>
      </x:c>
      <x:c r="B447" s="20" t="str">
        <x:v>NYC-V3-R04</x:v>
      </x:c>
      <x:c r="C447" s="20" t="str">
        <x:v>V3</x:v>
      </x:c>
      <x:c r="D447" s="20" t="str">
        <x:v>age65_one_person_households</x:v>
      </x:c>
      <x:c r="E447" s="20" t="str">
        <x:v>household</x:v>
      </x:c>
      <x:c r="F447" s="50" t="n">
        <x:v>2571</x:v>
      </x:c>
      <x:c r="G447" s="50" t="n">
        <x:v>248.24191829745436</x:v>
      </x:c>
      <x:c r="H447" s="50" t="n">
        <x:v>2571.035</x:v>
      </x:c>
      <x:c r="I447" s="50" t="n">
        <x:v>243.29653301676532</x:v>
      </x:c>
      <x:c r="J447" s="42" t="n">
        <x:v>0.980078363418207</x:v>
      </x:c>
      <x:c r="K447" s="42" t="n">
        <x:v>0.00014099149829287068</x:v>
      </x:c>
      <x:c r="L447" s="26" t="n">
        <x:v>2159</x:v>
      </x:c>
      <x:c r="M447" s="26" t="n">
        <x:v>2576</x:v>
      </x:c>
      <x:c r="N447" s="26" t="n">
        <x:v>2971</x:v>
      </x:c>
    </x:row>
    <x:row r="448">
      <x:c r="A448" s="20" t="str">
        <x:v>T0_TABLE_BLOCK</x:v>
      </x:c>
      <x:c r="B448" s="20" t="str">
        <x:v>NYC-V3-R04</x:v>
      </x:c>
      <x:c r="C448" s="20" t="str">
        <x:v>V3</x:v>
      </x:c>
      <x:c r="D448" s="20" t="str">
        <x:v>no_vehicle_households</x:v>
      </x:c>
      <x:c r="E448" s="20" t="str">
        <x:v>household</x:v>
      </x:c>
      <x:c r="F448" s="50" t="n">
        <x:v>8333</x:v>
      </x:c>
      <x:c r="G448" s="50" t="n">
        <x:v>430.77533736770937</x:v>
      </x:c>
      <x:c r="H448" s="50" t="n">
        <x:v>8333.019</x:v>
      </x:c>
      <x:c r="I448" s="50" t="n">
        <x:v>430.5658527944275</x:v>
      </x:c>
      <x:c r="J448" s="42" t="n">
        <x:v>0.9995137034200658</x:v>
      </x:c>
      <x:c r="K448" s="42" t="n">
        <x:v>0.00004410651760227037</x:v>
      </x:c>
      <x:c r="L448" s="26" t="n">
        <x:v>7627</x:v>
      </x:c>
      <x:c r="M448" s="26" t="n">
        <x:v>8333</x:v>
      </x:c>
      <x:c r="N448" s="26" t="n">
        <x:v>9038</x:v>
      </x:c>
    </x:row>
    <x:row r="449">
      <x:c r="A449" s="20" t="str">
        <x:v>T0_TABLE_BLOCK</x:v>
      </x:c>
      <x:c r="B449" s="20" t="str">
        <x:v>NYC-V3-R04</x:v>
      </x:c>
      <x:c r="C449" s="20" t="str">
        <x:v>V3</x:v>
      </x:c>
      <x:c r="D449" s="20" t="str">
        <x:v>limited_english_households</x:v>
      </x:c>
      <x:c r="E449" s="20" t="str">
        <x:v>household</x:v>
      </x:c>
      <x:c r="F449" s="50" t="n">
        <x:v>2033</x:v>
      </x:c>
      <x:c r="G449" s="50" t="n">
        <x:v>227.56358026652447</x:v>
      </x:c>
      <x:c r="H449" s="50" t="n">
        <x:v>2033.017</x:v>
      </x:c>
      <x:c r="I449" s="50" t="n">
        <x:v>227.4486966782193</x:v>
      </x:c>
      <x:c r="J449" s="42" t="n">
        <x:v>0.9994951582842447</x:v>
      </x:c>
      <x:c r="K449" s="42" t="n">
        <x:v>0.00007470439681139751</x:v>
      </x:c>
      <x:c r="L449" s="26" t="n">
        <x:v>1659</x:v>
      </x:c>
      <x:c r="M449" s="26" t="n">
        <x:v>2033</x:v>
      </x:c>
      <x:c r="N449" s="26" t="n">
        <x:v>2406</x:v>
      </x:c>
    </x:row>
    <x:row r="450">
      <x:c r="A450" s="20" t="str">
        <x:v>T0_TABLE_BLOCK</x:v>
      </x:c>
      <x:c r="B450" s="20" t="str">
        <x:v>NYC-V3-R04</x:v>
      </x:c>
      <x:c r="C450" s="20" t="str">
        <x:v>V3</x:v>
      </x:c>
      <x:c r="D450" s="20" t="str">
        <x:v>housing_units</x:v>
      </x:c>
      <x:c r="E450" s="20" t="str">
        <x:v>housing</x:v>
      </x:c>
      <x:c r="F450" s="50" t="n">
        <x:v>17672</x:v>
      </x:c>
      <x:c r="G450" s="50" t="n">
        <x:v>404.64867477850464</x:v>
      </x:c>
      <x:c r="H450" s="50" t="n">
        <x:v>17672.349</x:v>
      </x:c>
      <x:c r="I450" s="50" t="n">
        <x:v>407.9354416124242</x:v>
      </x:c>
      <x:c r="J450" s="42" t="n">
        <x:v>1.008122519703589</x:v>
      </x:c>
      <x:c r="K450" s="42" t="n">
        <x:v>0.0008624765673318357</x:v>
      </x:c>
      <x:c r="L450" s="26" t="n">
        <x:v>16990</x:v>
      </x:c>
      <x:c r="M450" s="26" t="n">
        <x:v>17688</x:v>
      </x:c>
      <x:c r="N450" s="26" t="n">
        <x:v>18365</x:v>
      </x:c>
    </x:row>
    <x:row r="451">
      <x:c r="A451" s="20" t="str">
        <x:v>T0_TABLE_BLOCK</x:v>
      </x:c>
      <x:c r="B451" s="20" t="str">
        <x:v>NYC-V3-R04</x:v>
      </x:c>
      <x:c r="C451" s="20" t="str">
        <x:v>V3</x:v>
      </x:c>
      <x:c r="D451" s="20" t="str">
        <x:v>occupied_housing_units</x:v>
      </x:c>
      <x:c r="E451" s="20" t="str">
        <x:v>housing</x:v>
      </x:c>
      <x:c r="F451" s="50" t="n">
        <x:v>17095</x:v>
      </x:c>
      <x:c r="G451" s="50" t="n">
        <x:v>423.33633201037685</x:v>
      </x:c>
      <x:c r="H451" s="50" t="n">
        <x:v>17095.326</x:v>
      </x:c>
      <x:c r="I451" s="50" t="n">
        <x:v>418.04455381331417</x:v>
      </x:c>
      <x:c r="J451" s="42" t="n">
        <x:v>0.9874998250872241</x:v>
      </x:c>
      <x:c r="K451" s="42" t="n">
        <x:v>0.0007700732853539733</x:v>
      </x:c>
      <x:c r="L451" s="26" t="n">
        <x:v>16401</x:v>
      </x:c>
      <x:c r="M451" s="26" t="n">
        <x:v>17096</x:v>
      </x:c>
      <x:c r="N451" s="26" t="n">
        <x:v>17795</x:v>
      </x:c>
    </x:row>
    <x:row r="452">
      <x:c r="A452" s="20" t="str">
        <x:v>T0_TABLE_BLOCK</x:v>
      </x:c>
      <x:c r="B452" s="20" t="str">
        <x:v>NYC-V3-R04</x:v>
      </x:c>
      <x:c r="C452" s="20" t="str">
        <x:v>V3</x:v>
      </x:c>
      <x:c r="D452" s="20" t="str">
        <x:v>vacant_housing_units</x:v>
      </x:c>
      <x:c r="E452" s="20" t="str">
        <x:v>housing</x:v>
      </x:c>
      <x:c r="F452" s="50" t="n">
        <x:v>577</x:v>
      </x:c>
      <x:c r="G452" s="50" t="n">
        <x:v>144.01145787748973</x:v>
      </x:c>
      <x:c r="H452" s="50" t="n">
        <x:v>577.023</x:v>
      </x:c>
      <x:c r="I452" s="50" t="n">
        <x:v>145.00402973586506</x:v>
      </x:c>
      <x:c r="J452" s="42" t="n">
        <x:v>1.006892311716056</x:v>
      </x:c>
      <x:c r="K452" s="42" t="n">
        <x:v>0.00015970951436093794</x:v>
      </x:c>
      <x:c r="L452" s="26" t="n">
        <x:v>340</x:v>
      </x:c>
      <x:c r="M452" s="26" t="n">
        <x:v>576</x:v>
      </x:c>
      <x:c r="N452" s="26" t="n">
        <x:v>819</x:v>
      </x:c>
    </x:row>
    <x:row r="453">
      <x:c r="A453" s="20" t="str">
        <x:v>T0_TABLE_BLOCK</x:v>
      </x:c>
      <x:c r="B453" s="20" t="str">
        <x:v>NYC-V3-R04</x:v>
      </x:c>
      <x:c r="C453" s="20" t="str">
        <x:v>V3</x:v>
      </x:c>
      <x:c r="D453" s="20" t="str">
        <x:v>owner_occupied_units</x:v>
      </x:c>
      <x:c r="E453" s="20" t="str">
        <x:v>housing</x:v>
      </x:c>
      <x:c r="F453" s="50" t="n">
        <x:v>7231</x:v>
      </x:c>
      <x:c r="G453" s="50" t="n">
        <x:v>385.0141309656408</x:v>
      </x:c>
      <x:c r="H453" s="50" t="n">
        <x:v>7231.274</x:v>
      </x:c>
      <x:c r="I453" s="50" t="n">
        <x:v>340.9230256721206</x:v>
      </x:c>
      <x:c r="J453" s="42" t="n">
        <x:v>0.8854818518402512</x:v>
      </x:c>
      <x:c r="K453" s="42" t="n">
        <x:v>0.0007116621909775933</x:v>
      </x:c>
      <x:c r="L453" s="26" t="n">
        <x:v>6664</x:v>
      </x:c>
      <x:c r="M453" s="26" t="n">
        <x:v>7235</x:v>
      </x:c>
      <x:c r="N453" s="26" t="n">
        <x:v>7795</x:v>
      </x:c>
    </x:row>
    <x:row r="454">
      <x:c r="A454" s="20" t="str">
        <x:v>T0_TABLE_BLOCK</x:v>
      </x:c>
      <x:c r="B454" s="20" t="str">
        <x:v>NYC-V3-R04</x:v>
      </x:c>
      <x:c r="C454" s="20" t="str">
        <x:v>V3</x:v>
      </x:c>
      <x:c r="D454" s="20" t="str">
        <x:v>renter_occupied_units</x:v>
      </x:c>
      <x:c r="E454" s="20" t="str">
        <x:v>housing</x:v>
      </x:c>
      <x:c r="F454" s="50" t="n">
        <x:v>9864</x:v>
      </x:c>
      <x:c r="G454" s="50" t="n">
        <x:v>429.7438102249084</x:v>
      </x:c>
      <x:c r="H454" s="50" t="n">
        <x:v>9864.052</x:v>
      </x:c>
      <x:c r="I454" s="50" t="n">
        <x:v>374.30024040329704</x:v>
      </x:c>
      <x:c r="J454" s="42" t="n">
        <x:v>0.8709845994230966</x:v>
      </x:c>
      <x:c r="K454" s="42" t="n">
        <x:v>0.00012100232455347157</x:v>
      </x:c>
      <x:c r="L454" s="26" t="n">
        <x:v>9246</x:v>
      </x:c>
      <x:c r="M454" s="26" t="n">
        <x:v>9848</x:v>
      </x:c>
      <x:c r="N454" s="26" t="n">
        <x:v>10489</x:v>
      </x:c>
    </x:row>
    <x:row r="455">
      <x:c r="A455" s="20" t="str">
        <x:v>T0_TABLE_BLOCK</x:v>
      </x:c>
      <x:c r="B455" s="20" t="str">
        <x:v>NYC-V3-R04</x:v>
      </x:c>
      <x:c r="C455" s="20" t="str">
        <x:v>V3</x:v>
      </x:c>
      <x:c r="D455" s="20" t="str">
        <x:v>one_unit_structures</x:v>
      </x:c>
      <x:c r="E455" s="20" t="str">
        <x:v>housing</x:v>
      </x:c>
      <x:c r="F455" s="50" t="n">
        <x:v>1836</x:v>
      </x:c>
      <x:c r="G455" s="50" t="n">
        <x:v>275.77954996292146</x:v>
      </x:c>
      <x:c r="H455" s="50" t="n">
        <x:v>1835.812</x:v>
      </x:c>
      <x:c r="I455" s="50" t="n">
        <x:v>263.60768134799423</x:v>
      </x:c>
      <x:c r="J455" s="42" t="n">
        <x:v>0.9558637737404251</x:v>
      </x:c>
      <x:c r="K455" s="42" t="n">
        <x:v>-0.0006817039190374284</x:v>
      </x:c>
      <x:c r="L455" s="26" t="n">
        <x:v>1391</x:v>
      </x:c>
      <x:c r="M455" s="26" t="n">
        <x:v>1835</x:v>
      </x:c>
      <x:c r="N455" s="26" t="n">
        <x:v>2261</x:v>
      </x:c>
    </x:row>
    <x:row r="456">
      <x:c r="A456" s="20" t="str">
        <x:v>T0_TABLE_BLOCK</x:v>
      </x:c>
      <x:c r="B456" s="20" t="str">
        <x:v>NYC-V3-R04</x:v>
      </x:c>
      <x:c r="C456" s="20" t="str">
        <x:v>V3</x:v>
      </x:c>
      <x:c r="D456" s="20" t="str">
        <x:v>two_to_four_unit_structures</x:v>
      </x:c>
      <x:c r="E456" s="20" t="str">
        <x:v>housing</x:v>
      </x:c>
      <x:c r="F456" s="50" t="n">
        <x:v>974</x:v>
      </x:c>
      <x:c r="G456" s="50" t="n">
        <x:v>246.60704191189794</x:v>
      </x:c>
      <x:c r="H456" s="50" t="n">
        <x:v>973.778</x:v>
      </x:c>
      <x:c r="I456" s="50" t="n">
        <x:v>239.96677013029694</x:v>
      </x:c>
      <x:c r="J456" s="42" t="n">
        <x:v>0.9730734705297942</x:v>
      </x:c>
      <x:c r="K456" s="42" t="n">
        <x:v>-0.0009002176023801097</x:v>
      </x:c>
      <x:c r="L456" s="26" t="n">
        <x:v>586</x:v>
      </x:c>
      <x:c r="M456" s="26" t="n">
        <x:v>968</x:v>
      </x:c>
      <x:c r="N456" s="26" t="n">
        <x:v>1365</x:v>
      </x:c>
    </x:row>
    <x:row r="457">
      <x:c r="A457" s="20" t="str">
        <x:v>T0_TABLE_BLOCK</x:v>
      </x:c>
      <x:c r="B457" s="20" t="str">
        <x:v>NYC-V3-R04</x:v>
      </x:c>
      <x:c r="C457" s="20" t="str">
        <x:v>V3</x:v>
      </x:c>
      <x:c r="D457" s="20" t="str">
        <x:v>five_to_nineteen_unit_structures</x:v>
      </x:c>
      <x:c r="E457" s="20" t="str">
        <x:v>housing</x:v>
      </x:c>
      <x:c r="F457" s="50" t="n">
        <x:v>818</x:v>
      </x:c>
      <x:c r="G457" s="50" t="n">
        <x:v>178.99509981324354</x:v>
      </x:c>
      <x:c r="H457" s="50" t="n">
        <x:v>818</x:v>
      </x:c>
      <x:c r="I457" s="50" t="n">
        <x:v>174.54385568549114</x:v>
      </x:c>
      <x:c r="J457" s="42" t="n">
        <x:v>0.9751320336009385</x:v>
      </x:c>
      <x:c r="K457" s="42" t="n">
        <x:v>0</x:v>
      </x:c>
      <x:c r="L457" s="26" t="n">
        <x:v>529</x:v>
      </x:c>
      <x:c r="M457" s="26" t="n">
        <x:v>818</x:v>
      </x:c>
      <x:c r="N457" s="26" t="n">
        <x:v>1097</x:v>
      </x:c>
    </x:row>
    <x:row r="458">
      <x:c r="A458" s="20" t="str">
        <x:v>T0_TABLE_BLOCK</x:v>
      </x:c>
      <x:c r="B458" s="20" t="str">
        <x:v>NYC-V3-R04</x:v>
      </x:c>
      <x:c r="C458" s="20" t="str">
        <x:v>V3</x:v>
      </x:c>
      <x:c r="D458" s="20" t="str">
        <x:v>twenty_to_forty_nine_unit_structures</x:v>
      </x:c>
      <x:c r="E458" s="20" t="str">
        <x:v>housing</x:v>
      </x:c>
      <x:c r="F458" s="50" t="n">
        <x:v>3048</x:v>
      </x:c>
      <x:c r="G458" s="50" t="n">
        <x:v>309.55025697172977</x:v>
      </x:c>
      <x:c r="H458" s="50" t="n">
        <x:v>3047.842</x:v>
      </x:c>
      <x:c r="I458" s="50" t="n">
        <x:v>284.89836804747785</x:v>
      </x:c>
      <x:c r="J458" s="42" t="n">
        <x:v>0.9203622404794085</x:v>
      </x:c>
      <x:c r="K458" s="42" t="n">
        <x:v>-0.0005104179254948297</x:v>
      </x:c>
      <x:c r="L458" s="26" t="n">
        <x:v>2572</x:v>
      </x:c>
      <x:c r="M458" s="26" t="n">
        <x:v>3048</x:v>
      </x:c>
      <x:c r="N458" s="26" t="n">
        <x:v>3522</x:v>
      </x:c>
    </x:row>
    <x:row r="459">
      <x:c r="A459" s="20" t="str">
        <x:v>T0_TABLE_BLOCK</x:v>
      </x:c>
      <x:c r="B459" s="20" t="str">
        <x:v>NYC-V3-R04</x:v>
      </x:c>
      <x:c r="C459" s="20" t="str">
        <x:v>V3</x:v>
      </x:c>
      <x:c r="D459" s="20" t="str">
        <x:v>fifty_plus_unit_structures</x:v>
      </x:c>
      <x:c r="E459" s="20" t="str">
        <x:v>housing</x:v>
      </x:c>
      <x:c r="F459" s="50" t="n">
        <x:v>10419</x:v>
      </x:c>
      <x:c r="G459" s="50" t="n">
        <x:v>494.1692151481855</x:v>
      </x:c>
      <x:c r="H459" s="50" t="n">
        <x:v>10397.4</x:v>
      </x:c>
      <x:c r="I459" s="50" t="n">
        <x:v>420.7789287819756</x:v>
      </x:c>
      <x:c r="J459" s="42" t="n">
        <x:v>0.8514875388500222</x:v>
      </x:c>
      <x:c r="K459" s="42" t="n">
        <x:v>-0.043709723993072325</x:v>
      </x:c>
      <x:c r="L459" s="26" t="n">
        <x:v>9728</x:v>
      </x:c>
      <x:c r="M459" s="26" t="n">
        <x:v>10402</x:v>
      </x:c>
      <x:c r="N459" s="26" t="n">
        <x:v>11143</x:v>
      </x:c>
    </x:row>
    <x:row r="460">
      <x:c r="A460" s="20" t="str">
        <x:v>T0_TABLE_BLOCK</x:v>
      </x:c>
      <x:c r="B460" s="20" t="str">
        <x:v>NYC-V3-R04</x:v>
      </x:c>
      <x:c r="C460" s="20" t="str">
        <x:v>V3</x:v>
      </x:c>
      <x:c r="D460" s="20" t="str">
        <x:v>mobile_or_other_units</x:v>
      </x:c>
      <x:c r="E460" s="20" t="str">
        <x:v>housing</x:v>
      </x:c>
      <x:c r="F460" s="50" t="n">
        <x:v>0</x:v>
      </x:c>
      <x:c r="G460" s="50" t="n">
        <x:v>56.987436572683116</x:v>
      </x:c>
      <x:c r="H460" s="50" t="n">
        <x:v>22.494</x:v>
      </x:c>
      <x:c r="I460" s="50" t="n">
        <x:v>33.118314975052506</x:v>
      </x:c>
      <x:c r="J460" s="42" t="n">
        <x:v>0.5811511618497286</x:v>
      </x:c>
      <x:c r="K460" s="42" t="n">
        <x:v>0.39471857926633747</x:v>
      </x:c>
      <x:c r="L460" s="26" t="n">
        <x:v>0</x:v>
      </x:c>
      <x:c r="M460" s="26" t="n">
        <x:v>0</x:v>
      </x:c>
      <x:c r="N460" s="26" t="n">
        <x:v>92</x:v>
      </x:c>
    </x:row>
    <x:row r="461">
      <x:c r="A461" s="20" t="str">
        <x:v>T0_TABLE_BLOCK</x:v>
      </x:c>
      <x:c r="B461" s="20" t="str">
        <x:v>NYC-V3-R04</x:v>
      </x:c>
      <x:c r="C461" s="20" t="str">
        <x:v>V3</x:v>
      </x:c>
      <x:c r="D461" s="20" t="str">
        <x:v>electric_heat_households</x:v>
      </x:c>
      <x:c r="E461" s="20" t="str">
        <x:v>housing</x:v>
      </x:c>
      <x:c r="F461" s="50" t="n">
        <x:v>1225</x:v>
      </x:c>
      <x:c r="G461" s="50" t="n">
        <x:v>176.13872373785387</x:v>
      </x:c>
      <x:c r="H461" s="50" t="n">
        <x:v>1224.962</x:v>
      </x:c>
      <x:c r="I461" s="50" t="n">
        <x:v>171.27671256848745</x:v>
      </x:c>
      <x:c r="J461" s="42" t="n">
        <x:v>0.9723966935481916</x:v>
      </x:c>
      <x:c r="K461" s="42" t="n">
        <x:v>-0.00021573904473479706</x:v>
      </x:c>
      <x:c r="L461" s="26" t="n">
        <x:v>937</x:v>
      </x:c>
      <x:c r="M461" s="26" t="n">
        <x:v>1234</x:v>
      </x:c>
      <x:c r="N461" s="26" t="n">
        <x:v>1505</x:v>
      </x:c>
    </x:row>
    <x:row r="462">
      <x:c r="A462" s="20" t="str">
        <x:v>T0_TABLE_BLOCK</x:v>
      </x:c>
      <x:c r="B462" s="20" t="str">
        <x:v>NYC-V3-R04</x:v>
      </x:c>
      <x:c r="C462" s="20" t="str">
        <x:v>V3</x:v>
      </x:c>
      <x:c r="D462" s="20" t="str">
        <x:v>group_quarters_population</x:v>
      </x:c>
      <x:c r="E462" s="20" t="str">
        <x:v>population</x:v>
      </x:c>
      <x:c r="F462" s="50" t="n">
        <x:v>81</x:v>
      </x:c>
      <x:c r="G462" s="50" t="n">
        <x:v>1.8439088914585775</x:v>
      </x:c>
      <x:c r="H462" s="50" t="n">
        <x:v>81.011</x:v>
      </x:c>
      <x:c r="I462" s="50" t="n">
        <x:v>1.953636531112094</x:v>
      </x:c>
      <x:c r="J462" s="42" t="n">
        <x:v>1.0595081677634948</x:v>
      </x:c>
      <x:c r="K462" s="42" t="n">
        <x:v>0.005965587590010701</x:v>
      </x:c>
      <x:c r="L462" s="26" t="n">
        <x:v>78</x:v>
      </x:c>
      <x:c r="M462" s="26" t="n">
        <x:v>81</x:v>
      </x:c>
      <x:c r="N462" s="26" t="n">
        <x:v>84</x:v>
      </x:c>
    </x:row>
    <x:row r="463">
      <x:c r="A463" s="20" t="str">
        <x:v>T1_SHARED_CATCHMENT</x:v>
      </x:c>
      <x:c r="B463" s="20" t="str">
        <x:v>NYC-V1-R01</x:v>
      </x:c>
      <x:c r="C463" s="20" t="str">
        <x:v>V1</x:v>
      </x:c>
      <x:c r="D463" s="20" t="str">
        <x:v>acs_population</x:v>
      </x:c>
      <x:c r="E463" s="20" t="str">
        <x:v>population</x:v>
      </x:c>
      <x:c r="F463" s="50" t="n">
        <x:v>30607</x:v>
      </x:c>
      <x:c r="G463" s="50" t="n">
        <x:v>1414.36977131159</x:v>
      </x:c>
      <x:c r="H463" s="50" t="n">
        <x:v>31177.538</x:v>
      </x:c>
      <x:c r="I463" s="50" t="n">
        <x:v>1236.724680958738</x:v>
      </x:c>
      <x:c r="J463" s="42" t="n">
        <x:v>0.8743998253100983</x:v>
      </x:c>
      <x:c r="K463" s="42" t="n">
        <x:v>0.40338673207850195</x:v>
      </x:c>
      <x:c r="L463" s="26" t="n">
        <x:v>29176</x:v>
      </x:c>
      <x:c r="M463" s="26" t="n">
        <x:v>31138</x:v>
      </x:c>
      <x:c r="N463" s="26" t="n">
        <x:v>33333</x:v>
      </x:c>
    </x:row>
    <x:row r="464">
      <x:c r="A464" s="20" t="str">
        <x:v>T1_SHARED_CATCHMENT</x:v>
      </x:c>
      <x:c r="B464" s="20" t="str">
        <x:v>NYC-V1-R01</x:v>
      </x:c>
      <x:c r="C464" s="20" t="str">
        <x:v>V1</x:v>
      </x:c>
      <x:c r="D464" s="20" t="str">
        <x:v>age_under_18</x:v>
      </x:c>
      <x:c r="E464" s="20" t="str">
        <x:v>population</x:v>
      </x:c>
      <x:c r="F464" s="50" t="n">
        <x:v>3951</x:v>
      </x:c>
      <x:c r="G464" s="50" t="n">
        <x:v>484.098388759971</x:v>
      </x:c>
      <x:c r="H464" s="50" t="n">
        <x:v>3951.806</x:v>
      </x:c>
      <x:c r="I464" s="50" t="n">
        <x:v>485.02803275332093</x:v>
      </x:c>
      <x:c r="J464" s="42" t="n">
        <x:v>1.0019203616763346</x:v>
      </x:c>
      <x:c r="K464" s="42" t="n">
        <x:v>0.0016649508007341798</x:v>
      </x:c>
      <x:c r="L464" s="26" t="n">
        <x:v>3148</x:v>
      </x:c>
      <x:c r="M464" s="26" t="n">
        <x:v>3945</x:v>
      </x:c>
      <x:c r="N464" s="26" t="n">
        <x:v>4735</x:v>
      </x:c>
    </x:row>
    <x:row r="465">
      <x:c r="A465" s="20" t="str">
        <x:v>T1_SHARED_CATCHMENT</x:v>
      </x:c>
      <x:c r="B465" s="20" t="str">
        <x:v>NYC-V1-R01</x:v>
      </x:c>
      <x:c r="C465" s="20" t="str">
        <x:v>V1</x:v>
      </x:c>
      <x:c r="D465" s="20" t="str">
        <x:v>age_65_plus</x:v>
      </x:c>
      <x:c r="E465" s="20" t="str">
        <x:v>population</x:v>
      </x:c>
      <x:c r="F465" s="50" t="n">
        <x:v>8039</x:v>
      </x:c>
      <x:c r="G465" s="50" t="n">
        <x:v>572.8060753867752</x:v>
      </x:c>
      <x:c r="H465" s="50" t="n">
        <x:v>8039.102</x:v>
      </x:c>
      <x:c r="I465" s="50" t="n">
        <x:v>577.4960357156291</x:v>
      </x:c>
      <x:c r="J465" s="42" t="n">
        <x:v>1.0081876930611937</x:v>
      </x:c>
      <x:c r="K465" s="42" t="n">
        <x:v>0.00017807073699591683</x:v>
      </x:c>
      <x:c r="L465" s="26" t="n">
        <x:v>7099</x:v>
      </x:c>
      <x:c r="M465" s="26" t="n">
        <x:v>8036</x:v>
      </x:c>
      <x:c r="N465" s="26" t="n">
        <x:v>8960</x:v>
      </x:c>
    </x:row>
    <x:row r="466">
      <x:c r="A466" s="20" t="str">
        <x:v>T1_SHARED_CATCHMENT</x:v>
      </x:c>
      <x:c r="B466" s="20" t="str">
        <x:v>NYC-V1-R01</x:v>
      </x:c>
      <x:c r="C466" s="20" t="str">
        <x:v>V1</x:v>
      </x:c>
      <x:c r="D466" s="20" t="str">
        <x:v>age_75_plus</x:v>
      </x:c>
      <x:c r="E466" s="20" t="str">
        <x:v>population</x:v>
      </x:c>
      <x:c r="F466" s="50" t="n">
        <x:v>3848</x:v>
      </x:c>
      <x:c r="G466" s="50" t="n">
        <x:v>513.4498028045195</x:v>
      </x:c>
      <x:c r="H466" s="50" t="n">
        <x:v>3848.239</x:v>
      </x:c>
      <x:c r="I466" s="50" t="n">
        <x:v>524.3007640373702</x:v>
      </x:c>
      <x:c r="J466" s="42" t="n">
        <x:v>1.0211334412314144</x:v>
      </x:c>
      <x:c r="K466" s="42" t="n">
        <x:v>0.00046547880375956587</x:v>
      </x:c>
      <x:c r="L466" s="26" t="n">
        <x:v>3013</x:v>
      </x:c>
      <x:c r="M466" s="26" t="n">
        <x:v>3859</x:v>
      </x:c>
      <x:c r="N466" s="26" t="n">
        <x:v>4708</x:v>
      </x:c>
    </x:row>
    <x:row r="467">
      <x:c r="A467" s="20" t="str">
        <x:v>T1_SHARED_CATCHMENT</x:v>
      </x:c>
      <x:c r="B467" s="20" t="str">
        <x:v>NYC-V1-R01</x:v>
      </x:c>
      <x:c r="C467" s="20" t="str">
        <x:v>V1</x:v>
      </x:c>
      <x:c r="D467" s="20" t="str">
        <x:v>age_85_plus</x:v>
      </x:c>
      <x:c r="E467" s="20" t="str">
        <x:v>population</x:v>
      </x:c>
      <x:c r="F467" s="50" t="n">
        <x:v>1452</x:v>
      </x:c>
      <x:c r="G467" s="50" t="n">
        <x:v>371.14572609690657</x:v>
      </x:c>
      <x:c r="H467" s="50" t="n">
        <x:v>1452.232</x:v>
      </x:c>
      <x:c r="I467" s="50" t="n">
        <x:v>374.5201563648124</x:v>
      </x:c>
      <x:c r="J467" s="42" t="n">
        <x:v>1.0090919281312827</x:v>
      </x:c>
      <x:c r="K467" s="42" t="n">
        <x:v>0.0006250913958777351</x:v>
      </x:c>
      <x:c r="L467" s="26" t="n">
        <x:v>814</x:v>
      </x:c>
      <x:c r="M467" s="26" t="n">
        <x:v>1461</x:v>
      </x:c>
      <x:c r="N467" s="26" t="n">
        <x:v>2056</x:v>
      </x:c>
    </x:row>
    <x:row r="468">
      <x:c r="A468" s="20" t="str">
        <x:v>T1_SHARED_CATCHMENT</x:v>
      </x:c>
      <x:c r="B468" s="20" t="str">
        <x:v>NYC-V1-R01</x:v>
      </x:c>
      <x:c r="C468" s="20" t="str">
        <x:v>V1</x:v>
      </x:c>
      <x:c r="D468" s="20" t="str">
        <x:v>civilian_noninstitutionalized</x:v>
      </x:c>
      <x:c r="E468" s="20" t="str">
        <x:v>disability</x:v>
      </x:c>
      <x:c r="F468" s="50" t="n">
        <x:v>30295</x:v>
      </x:c>
      <x:c r="G468" s="50" t="n">
        <x:v>1412.1072905413384</x:v>
      </x:c>
      <x:c r="H468" s="50" t="n">
        <x:v>30294.552</x:v>
      </x:c>
      <x:c r="I468" s="50" t="n">
        <x:v>1441.0875589805946</x:v>
      </x:c>
      <x:c r="J468" s="42" t="n">
        <x:v>1.0205227100188303</x:v>
      </x:c>
      <x:c r="K468" s="42" t="n">
        <x:v>-0.0003172563465971322</x:v>
      </x:c>
      <x:c r="L468" s="26" t="n">
        <x:v>28053</x:v>
      </x:c>
      <x:c r="M468" s="26" t="n">
        <x:v>30315</x:v>
      </x:c>
      <x:c r="N468" s="26" t="n">
        <x:v>32625</x:v>
      </x:c>
    </x:row>
    <x:row r="469">
      <x:c r="A469" s="20" t="str">
        <x:v>T1_SHARED_CATCHMENT</x:v>
      </x:c>
      <x:c r="B469" s="20" t="str">
        <x:v>NYC-V1-R01</x:v>
      </x:c>
      <x:c r="C469" s="20" t="str">
        <x:v>V1</x:v>
      </x:c>
      <x:c r="D469" s="20" t="str">
        <x:v>any_disability</x:v>
      </x:c>
      <x:c r="E469" s="20" t="str">
        <x:v>disability</x:v>
      </x:c>
      <x:c r="F469" s="50" t="n">
        <x:v>4872</x:v>
      </x:c>
      <x:c r="G469" s="50" t="n">
        <x:v>511.8813339046463</x:v>
      </x:c>
      <x:c r="H469" s="50" t="n">
        <x:v>4872.853</x:v>
      </x:c>
      <x:c r="I469" s="50" t="n">
        <x:v>564.9542093388186</x:v>
      </x:c>
      <x:c r="J469" s="42" t="n">
        <x:v>1.10368199017794</x:v>
      </x:c>
      <x:c r="K469" s="42" t="n">
        <x:v>0.0016664018464853088</x:v>
      </x:c>
      <x:c r="L469" s="26" t="n">
        <x:v>3929</x:v>
      </x:c>
      <x:c r="M469" s="26" t="n">
        <x:v>4878</x:v>
      </x:c>
      <x:c r="N469" s="26" t="n">
        <x:v>5820</x:v>
      </x:c>
    </x:row>
    <x:row r="470">
      <x:c r="A470" s="20" t="str">
        <x:v>T1_SHARED_CATCHMENT</x:v>
      </x:c>
      <x:c r="B470" s="20" t="str">
        <x:v>NYC-V1-R01</x:v>
      </x:c>
      <x:c r="C470" s="20" t="str">
        <x:v>V1</x:v>
      </x:c>
      <x:c r="D470" s="20" t="str">
        <x:v>disability_under_18</x:v>
      </x:c>
      <x:c r="E470" s="20" t="str">
        <x:v>disability</x:v>
      </x:c>
      <x:c r="F470" s="50" t="n">
        <x:v>120</x:v>
      </x:c>
      <x:c r="G470" s="50" t="n">
        <x:v>62.30690170438585</x:v>
      </x:c>
      <x:c r="H470" s="50" t="n">
        <x:v>120.846</x:v>
      </x:c>
      <x:c r="I470" s="50" t="n">
        <x:v>63.731326409905876</x:v>
      </x:c>
      <x:c r="J470" s="42" t="n">
        <x:v>1.0228614273307663</x:v>
      </x:c>
      <x:c r="K470" s="42" t="n">
        <x:v>0.013577950064245496</x:v>
      </x:c>
      <x:c r="L470" s="26" t="n">
        <x:v>13</x:v>
      </x:c>
      <x:c r="M470" s="26" t="n">
        <x:v>122</x:v>
      </x:c>
      <x:c r="N470" s="26" t="n">
        <x:v>228</x:v>
      </x:c>
    </x:row>
    <x:row r="471">
      <x:c r="A471" s="20" t="str">
        <x:v>T1_SHARED_CATCHMENT</x:v>
      </x:c>
      <x:c r="B471" s="20" t="str">
        <x:v>NYC-V1-R01</x:v>
      </x:c>
      <x:c r="C471" s="20" t="str">
        <x:v>V1</x:v>
      </x:c>
      <x:c r="D471" s="20" t="str">
        <x:v>disability_18_64</x:v>
      </x:c>
      <x:c r="E471" s="20" t="str">
        <x:v>disability</x:v>
      </x:c>
      <x:c r="F471" s="50" t="n">
        <x:v>1591</x:v>
      </x:c>
      <x:c r="G471" s="50" t="n">
        <x:v>335.43889160322476</x:v>
      </x:c>
      <x:c r="H471" s="50" t="n">
        <x:v>1591.037</x:v>
      </x:c>
      <x:c r="I471" s="50" t="n">
        <x:v>345.21563908442573</x:v>
      </x:c>
      <x:c r="J471" s="42" t="n">
        <x:v>1.02914613578191</x:v>
      </x:c>
      <x:c r="K471" s="42" t="n">
        <x:v>0.00011030325023790073</x:v>
      </x:c>
      <x:c r="L471" s="26" t="n">
        <x:v>1035</x:v>
      </x:c>
      <x:c r="M471" s="26" t="n">
        <x:v>1599</x:v>
      </x:c>
      <x:c r="N471" s="26" t="n">
        <x:v>2142</x:v>
      </x:c>
    </x:row>
    <x:row r="472">
      <x:c r="A472" s="20" t="str">
        <x:v>T1_SHARED_CATCHMENT</x:v>
      </x:c>
      <x:c r="B472" s="20" t="str">
        <x:v>NYC-V1-R01</x:v>
      </x:c>
      <x:c r="C472" s="20" t="str">
        <x:v>V1</x:v>
      </x:c>
      <x:c r="D472" s="20" t="str">
        <x:v>disability_65_plus</x:v>
      </x:c>
      <x:c r="E472" s="20" t="str">
        <x:v>disability</x:v>
      </x:c>
      <x:c r="F472" s="50" t="n">
        <x:v>3161</x:v>
      </x:c>
      <x:c r="G472" s="50" t="n">
        <x:v>373.59724303051274</x:v>
      </x:c>
      <x:c r="H472" s="50" t="n">
        <x:v>3160.97</x:v>
      </x:c>
      <x:c r="I472" s="50" t="n">
        <x:v>384.02320883629534</x:v>
      </x:c>
      <x:c r="J472" s="42" t="n">
        <x:v>1.0279069666607017</x:v>
      </x:c>
      <x:c r="K472" s="42" t="n">
        <x:v>-0.00008030037844189847</x:v>
      </x:c>
      <x:c r="L472" s="26" t="n">
        <x:v>2545</x:v>
      </x:c>
      <x:c r="M472" s="26" t="n">
        <x:v>3160</x:v>
      </x:c>
      <x:c r="N472" s="26" t="n">
        <x:v>3801</x:v>
      </x:c>
    </x:row>
    <x:row r="473">
      <x:c r="A473" s="20" t="str">
        <x:v>T1_SHARED_CATCHMENT</x:v>
      </x:c>
      <x:c r="B473" s="20" t="str">
        <x:v>NYC-V1-R01</x:v>
      </x:c>
      <x:c r="C473" s="20" t="str">
        <x:v>V1</x:v>
      </x:c>
      <x:c r="D473" s="20" t="str">
        <x:v>hearing_difficulty</x:v>
      </x:c>
      <x:c r="E473" s="20" t="str">
        <x:v>disability</x:v>
      </x:c>
      <x:c r="F473" s="50" t="n">
        <x:v>830</x:v>
      </x:c>
      <x:c r="G473" s="50" t="n">
        <x:v>174.05668322462455</x:v>
      </x:c>
      <x:c r="H473" s="50" t="n">
        <x:v>830.103</x:v>
      </x:c>
      <x:c r="I473" s="50" t="n">
        <x:v>175.65403704934235</x:v>
      </x:c>
      <x:c r="J473" s="42" t="n">
        <x:v>1.0091772047767702</x:v>
      </x:c>
      <x:c r="K473" s="42" t="n">
        <x:v>0.0005917612474956086</x:v>
      </x:c>
      <x:c r="L473" s="26" t="n">
        <x:v>539</x:v>
      </x:c>
      <x:c r="M473" s="26" t="n">
        <x:v>830</x:v>
      </x:c>
      <x:c r="N473" s="26" t="n">
        <x:v>1110</x:v>
      </x:c>
    </x:row>
    <x:row r="474">
      <x:c r="A474" s="20" t="str">
        <x:v>T1_SHARED_CATCHMENT</x:v>
      </x:c>
      <x:c r="B474" s="20" t="str">
        <x:v>NYC-V1-R01</x:v>
      </x:c>
      <x:c r="C474" s="20" t="str">
        <x:v>V1</x:v>
      </x:c>
      <x:c r="D474" s="20" t="str">
        <x:v>vision_difficulty</x:v>
      </x:c>
      <x:c r="E474" s="20" t="str">
        <x:v>disability</x:v>
      </x:c>
      <x:c r="F474" s="50" t="n">
        <x:v>1215</x:v>
      </x:c>
      <x:c r="G474" s="50" t="n">
        <x:v>318.444148703849</x:v>
      </x:c>
      <x:c r="H474" s="50" t="n">
        <x:v>1215.018</x:v>
      </x:c>
      <x:c r="I474" s="50" t="n">
        <x:v>321.4315322209473</x:v>
      </x:c>
      <x:c r="J474" s="42" t="n">
        <x:v>1.0093811851442638</x:v>
      </x:c>
      <x:c r="K474" s="42" t="n">
        <x:v>0.000056524825697987586</x:v>
      </x:c>
      <x:c r="L474" s="26" t="n">
        <x:v>691</x:v>
      </x:c>
      <x:c r="M474" s="26" t="n">
        <x:v>1215</x:v>
      </x:c>
      <x:c r="N474" s="26" t="n">
        <x:v>1730</x:v>
      </x:c>
    </x:row>
    <x:row r="475">
      <x:c r="A475" s="20" t="str">
        <x:v>T1_SHARED_CATCHMENT</x:v>
      </x:c>
      <x:c r="B475" s="20" t="str">
        <x:v>NYC-V1-R01</x:v>
      </x:c>
      <x:c r="C475" s="20" t="str">
        <x:v>V1</x:v>
      </x:c>
      <x:c r="D475" s="20" t="str">
        <x:v>cognitive_difficulty</x:v>
      </x:c>
      <x:c r="E475" s="20" t="str">
        <x:v>disability</x:v>
      </x:c>
      <x:c r="F475" s="50" t="n">
        <x:v>2325</x:v>
      </x:c>
      <x:c r="G475" s="50" t="n">
        <x:v>378.09057864089414</x:v>
      </x:c>
      <x:c r="H475" s="50" t="n">
        <x:v>2325.047</x:v>
      </x:c>
      <x:c r="I475" s="50" t="n">
        <x:v>377.6671143219121</x:v>
      </x:c>
      <x:c r="J475" s="42" t="n">
        <x:v>0.9988799924068348</x:v>
      </x:c>
      <x:c r="K475" s="42" t="n">
        <x:v>0.00012430883670514704</x:v>
      </x:c>
      <x:c r="L475" s="26" t="n">
        <x:v>1715</x:v>
      </x:c>
      <x:c r="M475" s="26" t="n">
        <x:v>2329</x:v>
      </x:c>
      <x:c r="N475" s="26" t="n">
        <x:v>2931</x:v>
      </x:c>
    </x:row>
    <x:row r="476">
      <x:c r="A476" s="20" t="str">
        <x:v>T1_SHARED_CATCHMENT</x:v>
      </x:c>
      <x:c r="B476" s="20" t="str">
        <x:v>NYC-V1-R01</x:v>
      </x:c>
      <x:c r="C476" s="20" t="str">
        <x:v>V1</x:v>
      </x:c>
      <x:c r="D476" s="20" t="str">
        <x:v>ambulatory_difficulty</x:v>
      </x:c>
      <x:c r="E476" s="20" t="str">
        <x:v>disability</x:v>
      </x:c>
      <x:c r="F476" s="50" t="n">
        <x:v>3212</x:v>
      </x:c>
      <x:c r="G476" s="50" t="n">
        <x:v>451.9236596300989</x:v>
      </x:c>
      <x:c r="H476" s="50" t="n">
        <x:v>3211.777</x:v>
      </x:c>
      <x:c r="I476" s="50" t="n">
        <x:v>452.9461573879311</x:v>
      </x:c>
      <x:c r="J476" s="42" t="n">
        <x:v>1.002262545312784</x:v>
      </x:c>
      <x:c r="K476" s="42" t="n">
        <x:v>-0.0004934461722638789</x:v>
      </x:c>
      <x:c r="L476" s="26" t="n">
        <x:v>2484</x:v>
      </x:c>
      <x:c r="M476" s="26" t="n">
        <x:v>3214</x:v>
      </x:c>
      <x:c r="N476" s="26" t="n">
        <x:v>3936</x:v>
      </x:c>
    </x:row>
    <x:row r="477">
      <x:c r="A477" s="20" t="str">
        <x:v>T1_SHARED_CATCHMENT</x:v>
      </x:c>
      <x:c r="B477" s="20" t="str">
        <x:v>NYC-V1-R01</x:v>
      </x:c>
      <x:c r="C477" s="20" t="str">
        <x:v>V1</x:v>
      </x:c>
      <x:c r="D477" s="20" t="str">
        <x:v>self_care_difficulty</x:v>
      </x:c>
      <x:c r="E477" s="20" t="str">
        <x:v>disability</x:v>
      </x:c>
      <x:c r="F477" s="50" t="n">
        <x:v>1877</x:v>
      </x:c>
      <x:c r="G477" s="50" t="n">
        <x:v>418.90674105005246</x:v>
      </x:c>
      <x:c r="H477" s="50" t="n">
        <x:v>1877.27</x:v>
      </x:c>
      <x:c r="I477" s="50" t="n">
        <x:v>419.4320903059021</x:v>
      </x:c>
      <x:c r="J477" s="42" t="n">
        <x:v>1.0012540959702219</x:v>
      </x:c>
      <x:c r="K477" s="42" t="n">
        <x:v>0.0006445348655005798</x:v>
      </x:c>
      <x:c r="L477" s="26" t="n">
        <x:v>1190</x:v>
      </x:c>
      <x:c r="M477" s="26" t="n">
        <x:v>1877</x:v>
      </x:c>
      <x:c r="N477" s="26" t="n">
        <x:v>2567</x:v>
      </x:c>
    </x:row>
    <x:row r="478">
      <x:c r="A478" s="20" t="str">
        <x:v>T1_SHARED_CATCHMENT</x:v>
      </x:c>
      <x:c r="B478" s="20" t="str">
        <x:v>NYC-V1-R01</x:v>
      </x:c>
      <x:c r="C478" s="20" t="str">
        <x:v>V1</x:v>
      </x:c>
      <x:c r="D478" s="20" t="str">
        <x:v>independent_living_difficulty</x:v>
      </x:c>
      <x:c r="E478" s="20" t="str">
        <x:v>disability</x:v>
      </x:c>
      <x:c r="F478" s="50" t="n">
        <x:v>2673</x:v>
      </x:c>
      <x:c r="G478" s="50" t="n">
        <x:v>439.57000820352414</x:v>
      </x:c>
      <x:c r="H478" s="50" t="n">
        <x:v>2672.882</x:v>
      </x:c>
      <x:c r="I478" s="50" t="n">
        <x:v>434.2359922587866</x:v>
      </x:c>
      <x:c r="J478" s="42" t="n">
        <x:v>0.9878653778802219</x:v>
      </x:c>
      <x:c r="K478" s="42" t="n">
        <x:v>-0.00026844415632948116</x:v>
      </x:c>
      <x:c r="L478" s="26" t="n">
        <x:v>1959</x:v>
      </x:c>
      <x:c r="M478" s="26" t="n">
        <x:v>2673</x:v>
      </x:c>
      <x:c r="N478" s="26" t="n">
        <x:v>3364</x:v>
      </x:c>
    </x:row>
    <x:row r="479">
      <x:c r="A479" s="20" t="str">
        <x:v>T1_SHARED_CATCHMENT</x:v>
      </x:c>
      <x:c r="B479" s="20" t="str">
        <x:v>NYC-V1-R01</x:v>
      </x:c>
      <x:c r="C479" s="20" t="str">
        <x:v>V1</x:v>
      </x:c>
      <x:c r="D479" s="20" t="str">
        <x:v>households</x:v>
      </x:c>
      <x:c r="E479" s="20" t="str">
        <x:v>household</x:v>
      </x:c>
      <x:c r="F479" s="50" t="n">
        <x:v>13224</x:v>
      </x:c>
      <x:c r="G479" s="50" t="n">
        <x:v>575.0797770744508</x:v>
      </x:c>
      <x:c r="H479" s="50" t="n">
        <x:v>13224.386</x:v>
      </x:c>
      <x:c r="I479" s="50" t="n">
        <x:v>541.042443741644</x:v>
      </x:c>
      <x:c r="J479" s="42" t="n">
        <x:v>0.9408128494694045</x:v>
      </x:c>
      <x:c r="K479" s="42" t="n">
        <x:v>0.0006712112221439666</x:v>
      </x:c>
      <x:c r="L479" s="26" t="n">
        <x:v>12313</x:v>
      </x:c>
      <x:c r="M479" s="26" t="n">
        <x:v>13216</x:v>
      </x:c>
      <x:c r="N479" s="26" t="n">
        <x:v>14089</x:v>
      </x:c>
    </x:row>
    <x:row r="480">
      <x:c r="A480" s="20" t="str">
        <x:v>T1_SHARED_CATCHMENT</x:v>
      </x:c>
      <x:c r="B480" s="20" t="str">
        <x:v>NYC-V1-R01</x:v>
      </x:c>
      <x:c r="C480" s="20" t="str">
        <x:v>V1</x:v>
      </x:c>
      <x:c r="D480" s="20" t="str">
        <x:v>family_households</x:v>
      </x:c>
      <x:c r="E480" s="20" t="str">
        <x:v>household</x:v>
      </x:c>
      <x:c r="F480" s="50" t="n">
        <x:v>8588</x:v>
      </x:c>
      <x:c r="G480" s="50" t="n">
        <x:v>525.5356315227351</x:v>
      </x:c>
      <x:c r="H480" s="50" t="n">
        <x:v>8588.441</x:v>
      </x:c>
      <x:c r="I480" s="50" t="n">
        <x:v>605.8124835989138</x:v>
      </x:c>
      <x:c r="J480" s="42" t="n">
        <x:v>1.1527524439086598</x:v>
      </x:c>
      <x:c r="K480" s="42" t="n">
        <x:v>0.0008391438630391611</x:v>
      </x:c>
      <x:c r="L480" s="26" t="n">
        <x:v>7585</x:v>
      </x:c>
      <x:c r="M480" s="26" t="n">
        <x:v>8615</x:v>
      </x:c>
      <x:c r="N480" s="26" t="n">
        <x:v>9544</x:v>
      </x:c>
    </x:row>
    <x:row r="481">
      <x:c r="A481" s="20" t="str">
        <x:v>T1_SHARED_CATCHMENT</x:v>
      </x:c>
      <x:c r="B481" s="20" t="str">
        <x:v>NYC-V1-R01</x:v>
      </x:c>
      <x:c r="C481" s="20" t="str">
        <x:v>V1</x:v>
      </x:c>
      <x:c r="D481" s="20" t="str">
        <x:v>nonfamily_households</x:v>
      </x:c>
      <x:c r="E481" s="20" t="str">
        <x:v>household</x:v>
      </x:c>
      <x:c r="F481" s="50" t="n">
        <x:v>4636</x:v>
      </x:c>
      <x:c r="G481" s="50" t="n">
        <x:v>351.178942990607</x:v>
      </x:c>
      <x:c r="H481" s="50" t="n">
        <x:v>4635.945</x:v>
      </x:c>
      <x:c r="I481" s="50" t="n">
        <x:v>364.0685950709247</x:v>
      </x:c>
      <x:c r="J481" s="42" t="n">
        <x:v>1.036703943495446</x:v>
      </x:c>
      <x:c r="K481" s="42" t="n">
        <x:v>-0.00015661531278588682</x:v>
      </x:c>
      <x:c r="L481" s="26" t="n">
        <x:v>4045</x:v>
      </x:c>
      <x:c r="M481" s="26" t="n">
        <x:v>4640</x:v>
      </x:c>
      <x:c r="N481" s="26" t="n">
        <x:v>5223</x:v>
      </x:c>
    </x:row>
    <x:row r="482">
      <x:c r="A482" s="20" t="str">
        <x:v>T1_SHARED_CATCHMENT</x:v>
      </x:c>
      <x:c r="B482" s="20" t="str">
        <x:v>NYC-V1-R01</x:v>
      </x:c>
      <x:c r="C482" s="20" t="str">
        <x:v>V1</x:v>
      </x:c>
      <x:c r="D482" s="20" t="str">
        <x:v>living_alone_households</x:v>
      </x:c>
      <x:c r="E482" s="20" t="str">
        <x:v>household</x:v>
      </x:c>
      <x:c r="F482" s="50" t="n">
        <x:v>4174</x:v>
      </x:c>
      <x:c r="G482" s="50" t="n">
        <x:v>368.5016282189266</x:v>
      </x:c>
      <x:c r="H482" s="50" t="n">
        <x:v>4173.927</x:v>
      </x:c>
      <x:c r="I482" s="50" t="n">
        <x:v>374.1570327498284</x:v>
      </x:c>
      <x:c r="J482" s="42" t="n">
        <x:v>1.0153470272525957</x:v>
      </x:c>
      <x:c r="K482" s="42" t="n">
        <x:v>-0.00019809953175281734</x:v>
      </x:c>
      <x:c r="L482" s="26" t="n">
        <x:v>3566</x:v>
      </x:c>
      <x:c r="M482" s="26" t="n">
        <x:v>4185</x:v>
      </x:c>
      <x:c r="N482" s="26" t="n">
        <x:v>4769</x:v>
      </x:c>
    </x:row>
    <x:row r="483">
      <x:c r="A483" s="20" t="str">
        <x:v>T1_SHARED_CATCHMENT</x:v>
      </x:c>
      <x:c r="B483" s="20" t="str">
        <x:v>NYC-V1-R01</x:v>
      </x:c>
      <x:c r="C483" s="20" t="str">
        <x:v>V1</x:v>
      </x:c>
      <x:c r="D483" s="20" t="str">
        <x:v>households_with_children</x:v>
      </x:c>
      <x:c r="E483" s="20" t="str">
        <x:v>household</x:v>
      </x:c>
      <x:c r="F483" s="50" t="n">
        <x:v>2422</x:v>
      </x:c>
      <x:c r="G483" s="50" t="n">
        <x:v>313.107649219881</x:v>
      </x:c>
      <x:c r="H483" s="50" t="n">
        <x:v>2422.039</x:v>
      </x:c>
      <x:c r="I483" s="50" t="n">
        <x:v>318.5243589527279</x:v>
      </x:c>
      <x:c r="J483" s="42" t="n">
        <x:v>1.0172998320109483</x:v>
      </x:c>
      <x:c r="K483" s="42" t="n">
        <x:v>0.0001245578001603747</x:v>
      </x:c>
      <x:c r="L483" s="26" t="n">
        <x:v>1890</x:v>
      </x:c>
      <x:c r="M483" s="26" t="n">
        <x:v>2421</x:v>
      </x:c>
      <x:c r="N483" s="26" t="n">
        <x:v>2959</x:v>
      </x:c>
    </x:row>
    <x:row r="484">
      <x:c r="A484" s="20" t="str">
        <x:v>T1_SHARED_CATCHMENT</x:v>
      </x:c>
      <x:c r="B484" s="20" t="str">
        <x:v>NYC-V1-R01</x:v>
      </x:c>
      <x:c r="C484" s="20" t="str">
        <x:v>V1</x:v>
      </x:c>
      <x:c r="D484" s="20" t="str">
        <x:v>households_with_age65</x:v>
      </x:c>
      <x:c r="E484" s="20" t="str">
        <x:v>household</x:v>
      </x:c>
      <x:c r="F484" s="50" t="n">
        <x:v>5563</x:v>
      </x:c>
      <x:c r="G484" s="50" t="n">
        <x:v>419.9719038221486</x:v>
      </x:c>
      <x:c r="H484" s="50" t="n">
        <x:v>5563.219</x:v>
      </x:c>
      <x:c r="I484" s="50" t="n">
        <x:v>417.48324433239026</x:v>
      </x:c>
      <x:c r="J484" s="42" t="n">
        <x:v>0.9940742238537646</x:v>
      </x:c>
      <x:c r="K484" s="42" t="n">
        <x:v>0.0005214634550714944</x:v>
      </x:c>
      <x:c r="L484" s="26" t="n">
        <x:v>4864</x:v>
      </x:c>
      <x:c r="M484" s="26" t="n">
        <x:v>5558</x:v>
      </x:c>
      <x:c r="N484" s="26" t="n">
        <x:v>6263</x:v>
      </x:c>
    </x:row>
    <x:row r="485">
      <x:c r="A485" s="20" t="str">
        <x:v>T1_SHARED_CATCHMENT</x:v>
      </x:c>
      <x:c r="B485" s="20" t="str">
        <x:v>NYC-V1-R01</x:v>
      </x:c>
      <x:c r="C485" s="20" t="str">
        <x:v>V1</x:v>
      </x:c>
      <x:c r="D485" s="20" t="str">
        <x:v>age65_one_person_households</x:v>
      </x:c>
      <x:c r="E485" s="20" t="str">
        <x:v>household</x:v>
      </x:c>
      <x:c r="F485" s="50" t="n">
        <x:v>1388</x:v>
      </x:c>
      <x:c r="G485" s="50" t="n">
        <x:v>197.14905528558842</x:v>
      </x:c>
      <x:c r="H485" s="50" t="n">
        <x:v>1387.978</x:v>
      </x:c>
      <x:c r="I485" s="50" t="n">
        <x:v>194.8477229816945</x:v>
      </x:c>
      <x:c r="J485" s="42" t="n">
        <x:v>0.9883269422693391</x:v>
      </x:c>
      <x:c r="K485" s="42" t="n">
        <x:v>-0.0001115906945030272</x:v>
      </x:c>
      <x:c r="L485" s="26" t="n">
        <x:v>1045</x:v>
      </x:c>
      <x:c r="M485" s="26" t="n">
        <x:v>1391</x:v>
      </x:c>
      <x:c r="N485" s="26" t="n">
        <x:v>1700</x:v>
      </x:c>
    </x:row>
    <x:row r="486">
      <x:c r="A486" s="20" t="str">
        <x:v>T1_SHARED_CATCHMENT</x:v>
      </x:c>
      <x:c r="B486" s="20" t="str">
        <x:v>NYC-V1-R01</x:v>
      </x:c>
      <x:c r="C486" s="20" t="str">
        <x:v>V1</x:v>
      </x:c>
      <x:c r="D486" s="20" t="str">
        <x:v>no_vehicle_households</x:v>
      </x:c>
      <x:c r="E486" s="20" t="str">
        <x:v>household</x:v>
      </x:c>
      <x:c r="F486" s="50" t="n">
        <x:v>8128</x:v>
      </x:c>
      <x:c r="G486" s="50" t="n">
        <x:v>566.0619102478963</x:v>
      </x:c>
      <x:c r="H486" s="50" t="n">
        <x:v>8128.242</x:v>
      </x:c>
      <x:c r="I486" s="50" t="n">
        <x:v>566.526168270571</x:v>
      </x:c>
      <x:c r="J486" s="42" t="n">
        <x:v>1.000820154146163</x:v>
      </x:c>
      <x:c r="K486" s="42" t="n">
        <x:v>0.00042751507497512024</x:v>
      </x:c>
      <x:c r="L486" s="26" t="n">
        <x:v>7214</x:v>
      </x:c>
      <x:c r="M486" s="26" t="n">
        <x:v>8138</x:v>
      </x:c>
      <x:c r="N486" s="26" t="n">
        <x:v>9094</x:v>
      </x:c>
    </x:row>
    <x:row r="487">
      <x:c r="A487" s="20" t="str">
        <x:v>T1_SHARED_CATCHMENT</x:v>
      </x:c>
      <x:c r="B487" s="20" t="str">
        <x:v>NYC-V1-R01</x:v>
      </x:c>
      <x:c r="C487" s="20" t="str">
        <x:v>V1</x:v>
      </x:c>
      <x:c r="D487" s="20" t="str">
        <x:v>limited_english_households</x:v>
      </x:c>
      <x:c r="E487" s="20" t="str">
        <x:v>household</x:v>
      </x:c>
      <x:c r="F487" s="50" t="n">
        <x:v>6661</x:v>
      </x:c>
      <x:c r="G487" s="50" t="n">
        <x:v>530.6008954584992</x:v>
      </x:c>
      <x:c r="H487" s="50" t="n">
        <x:v>6661.245</x:v>
      </x:c>
      <x:c r="I487" s="50" t="n">
        <x:v>541.7415554375425</x:v>
      </x:c>
      <x:c r="J487" s="42" t="n">
        <x:v>1.0209963082882032</x:v>
      </x:c>
      <x:c r="K487" s="42" t="n">
        <x:v>0.0004617406455527806</x:v>
      </x:c>
      <x:c r="L487" s="26" t="n">
        <x:v>5756</x:v>
      </x:c>
      <x:c r="M487" s="26" t="n">
        <x:v>6664</x:v>
      </x:c>
      <x:c r="N487" s="26" t="n">
        <x:v>7501</x:v>
      </x:c>
    </x:row>
    <x:row r="488">
      <x:c r="A488" s="20" t="str">
        <x:v>T1_SHARED_CATCHMENT</x:v>
      </x:c>
      <x:c r="B488" s="20" t="str">
        <x:v>NYC-V1-R01</x:v>
      </x:c>
      <x:c r="C488" s="20" t="str">
        <x:v>V1</x:v>
      </x:c>
      <x:c r="D488" s="20" t="str">
        <x:v>housing_units</x:v>
      </x:c>
      <x:c r="E488" s="20" t="str">
        <x:v>housing</x:v>
      </x:c>
      <x:c r="F488" s="50" t="n">
        <x:v>13683</x:v>
      </x:c>
      <x:c r="G488" s="50" t="n">
        <x:v>568.4572543296462</x:v>
      </x:c>
      <x:c r="H488" s="50" t="n">
        <x:v>13683.357</x:v>
      </x:c>
      <x:c r="I488" s="50" t="n">
        <x:v>555.4258072671618</x:v>
      </x:c>
      <x:c r="J488" s="42" t="n">
        <x:v>0.9770757660963413</x:v>
      </x:c>
      <x:c r="K488" s="42" t="n">
        <x:v>0.0006280155583922726</x:v>
      </x:c>
      <x:c r="L488" s="26" t="n">
        <x:v>12754</x:v>
      </x:c>
      <x:c r="M488" s="26" t="n">
        <x:v>13694</x:v>
      </x:c>
      <x:c r="N488" s="26" t="n">
        <x:v>14580</x:v>
      </x:c>
    </x:row>
    <x:row r="489">
      <x:c r="A489" s="20" t="str">
        <x:v>T1_SHARED_CATCHMENT</x:v>
      </x:c>
      <x:c r="B489" s="20" t="str">
        <x:v>NYC-V1-R01</x:v>
      </x:c>
      <x:c r="C489" s="20" t="str">
        <x:v>V1</x:v>
      </x:c>
      <x:c r="D489" s="20" t="str">
        <x:v>occupied_housing_units</x:v>
      </x:c>
      <x:c r="E489" s="20" t="str">
        <x:v>housing</x:v>
      </x:c>
      <x:c r="F489" s="50" t="n">
        <x:v>13224</x:v>
      </x:c>
      <x:c r="G489" s="50" t="n">
        <x:v>575.0797770744508</x:v>
      </x:c>
      <x:c r="H489" s="50" t="n">
        <x:v>13224.386</x:v>
      </x:c>
      <x:c r="I489" s="50" t="n">
        <x:v>541.042443741644</x:v>
      </x:c>
      <x:c r="J489" s="42" t="n">
        <x:v>0.9408128494694045</x:v>
      </x:c>
      <x:c r="K489" s="42" t="n">
        <x:v>0.0006712112221439666</x:v>
      </x:c>
      <x:c r="L489" s="26" t="n">
        <x:v>12313</x:v>
      </x:c>
      <x:c r="M489" s="26" t="n">
        <x:v>13216</x:v>
      </x:c>
      <x:c r="N489" s="26" t="n">
        <x:v>14089</x:v>
      </x:c>
    </x:row>
    <x:row r="490">
      <x:c r="A490" s="20" t="str">
        <x:v>T1_SHARED_CATCHMENT</x:v>
      </x:c>
      <x:c r="B490" s="20" t="str">
        <x:v>NYC-V1-R01</x:v>
      </x:c>
      <x:c r="C490" s="20" t="str">
        <x:v>V1</x:v>
      </x:c>
      <x:c r="D490" s="20" t="str">
        <x:v>vacant_housing_units</x:v>
      </x:c>
      <x:c r="E490" s="20" t="str">
        <x:v>housing</x:v>
      </x:c>
      <x:c r="F490" s="50" t="n">
        <x:v>459</x:v>
      </x:c>
      <x:c r="G490" s="50" t="n">
        <x:v>115.48246620158405</x:v>
      </x:c>
      <x:c r="H490" s="50" t="n">
        <x:v>458.971</x:v>
      </x:c>
      <x:c r="I490" s="50" t="n">
        <x:v>115.38077344983384</x:v>
      </x:c>
      <x:c r="J490" s="42" t="n">
        <x:v>0.9991194095944167</x:v>
      </x:c>
      <x:c r="K490" s="42" t="n">
        <x:v>-0.0002511203731081955</x:v>
      </x:c>
      <x:c r="L490" s="26" t="n">
        <x:v>267</x:v>
      </x:c>
      <x:c r="M490" s="26" t="n">
        <x:v>461</x:v>
      </x:c>
      <x:c r="N490" s="26" t="n">
        <x:v>648</x:v>
      </x:c>
    </x:row>
    <x:row r="491">
      <x:c r="A491" s="20" t="str">
        <x:v>T1_SHARED_CATCHMENT</x:v>
      </x:c>
      <x:c r="B491" s="20" t="str">
        <x:v>NYC-V1-R01</x:v>
      </x:c>
      <x:c r="C491" s="20" t="str">
        <x:v>V1</x:v>
      </x:c>
      <x:c r="D491" s="20" t="str">
        <x:v>owner_occupied_units</x:v>
      </x:c>
      <x:c r="E491" s="20" t="str">
        <x:v>housing</x:v>
      </x:c>
      <x:c r="F491" s="50" t="n">
        <x:v>4525</x:v>
      </x:c>
      <x:c r="G491" s="50" t="n">
        <x:v>418.4473211601426</x:v>
      </x:c>
      <x:c r="H491" s="50" t="n">
        <x:v>4524.984</x:v>
      </x:c>
      <x:c r="I491" s="50" t="n">
        <x:v>377.7067011532839</x:v>
      </x:c>
      <x:c r="J491" s="42" t="n">
        <x:v>0.9026385928486635</x:v>
      </x:c>
      <x:c r="K491" s="42" t="n">
        <x:v>-0.00003823659321145072</x:v>
      </x:c>
      <x:c r="L491" s="26" t="n">
        <x:v>3907</x:v>
      </x:c>
      <x:c r="M491" s="26" t="n">
        <x:v>4537</x:v>
      </x:c>
      <x:c r="N491" s="26" t="n">
        <x:v>5153</x:v>
      </x:c>
    </x:row>
    <x:row r="492">
      <x:c r="A492" s="20" t="str">
        <x:v>T1_SHARED_CATCHMENT</x:v>
      </x:c>
      <x:c r="B492" s="20" t="str">
        <x:v>NYC-V1-R01</x:v>
      </x:c>
      <x:c r="C492" s="20" t="str">
        <x:v>V1</x:v>
      </x:c>
      <x:c r="D492" s="20" t="str">
        <x:v>renter_occupied_units</x:v>
      </x:c>
      <x:c r="E492" s="20" t="str">
        <x:v>housing</x:v>
      </x:c>
      <x:c r="F492" s="50" t="n">
        <x:v>8699</x:v>
      </x:c>
      <x:c r="G492" s="50" t="n">
        <x:v>522.1969420174196</x:v>
      </x:c>
      <x:c r="H492" s="50" t="n">
        <x:v>8699.402</x:v>
      </x:c>
      <x:c r="I492" s="50" t="n">
        <x:v>446.04452705544554</x:v>
      </x:c>
      <x:c r="J492" s="42" t="n">
        <x:v>0.8541691671579461</x:v>
      </x:c>
      <x:c r="K492" s="42" t="n">
        <x:v>0.0007698245004020603</x:v>
      </x:c>
      <x:c r="L492" s="26" t="n">
        <x:v>7957</x:v>
      </x:c>
      <x:c r="M492" s="26" t="n">
        <x:v>8705</x:v>
      </x:c>
      <x:c r="N492" s="26" t="n">
        <x:v>9397</x:v>
      </x:c>
    </x:row>
    <x:row r="493">
      <x:c r="A493" s="20" t="str">
        <x:v>T1_SHARED_CATCHMENT</x:v>
      </x:c>
      <x:c r="B493" s="20" t="str">
        <x:v>NYC-V1-R01</x:v>
      </x:c>
      <x:c r="C493" s="20" t="str">
        <x:v>V1</x:v>
      </x:c>
      <x:c r="D493" s="20" t="str">
        <x:v>one_unit_structures</x:v>
      </x:c>
      <x:c r="E493" s="20" t="str">
        <x:v>housing</x:v>
      </x:c>
      <x:c r="F493" s="50" t="n">
        <x:v>471</x:v>
      </x:c>
      <x:c r="G493" s="50" t="n">
        <x:v>121.7809897861934</x:v>
      </x:c>
      <x:c r="H493" s="50" t="n">
        <x:v>470.852</x:v>
      </x:c>
      <x:c r="I493" s="50" t="n">
        <x:v>118.47608483858116</x:v>
      </x:c>
      <x:c r="J493" s="42" t="n">
        <x:v>0.9728618977936166</x:v>
      </x:c>
      <x:c r="K493" s="42" t="n">
        <x:v>-0.0012152964125177743</x:v>
      </x:c>
      <x:c r="L493" s="26" t="n">
        <x:v>281</x:v>
      </x:c>
      <x:c r="M493" s="26" t="n">
        <x:v>469</x:v>
      </x:c>
      <x:c r="N493" s="26" t="n">
        <x:v>669</x:v>
      </x:c>
    </x:row>
    <x:row r="494">
      <x:c r="A494" s="20" t="str">
        <x:v>T1_SHARED_CATCHMENT</x:v>
      </x:c>
      <x:c r="B494" s="20" t="str">
        <x:v>NYC-V1-R01</x:v>
      </x:c>
      <x:c r="C494" s="20" t="str">
        <x:v>V1</x:v>
      </x:c>
      <x:c r="D494" s="20" t="str">
        <x:v>two_to_four_unit_structures</x:v>
      </x:c>
      <x:c r="E494" s="20" t="str">
        <x:v>housing</x:v>
      </x:c>
      <x:c r="F494" s="50" t="n">
        <x:v>685</x:v>
      </x:c>
      <x:c r="G494" s="50" t="n">
        <x:v>178.5599815253613</x:v>
      </x:c>
      <x:c r="H494" s="50" t="n">
        <x:v>684.937</x:v>
      </x:c>
      <x:c r="I494" s="50" t="n">
        <x:v>170.53028355283</x:v>
      </x:c>
      <x:c r="J494" s="42" t="n">
        <x:v>0.9550308086731583</x:v>
      </x:c>
      <x:c r="K494" s="42" t="n">
        <x:v>-0.00035282261714974546</x:v>
      </x:c>
      <x:c r="L494" s="26" t="n">
        <x:v>410</x:v>
      </x:c>
      <x:c r="M494" s="26" t="n">
        <x:v>686</x:v>
      </x:c>
      <x:c r="N494" s="26" t="n">
        <x:v>961</x:v>
      </x:c>
    </x:row>
    <x:row r="495">
      <x:c r="A495" s="20" t="str">
        <x:v>T1_SHARED_CATCHMENT</x:v>
      </x:c>
      <x:c r="B495" s="20" t="str">
        <x:v>NYC-V1-R01</x:v>
      </x:c>
      <x:c r="C495" s="20" t="str">
        <x:v>V1</x:v>
      </x:c>
      <x:c r="D495" s="20" t="str">
        <x:v>five_to_nineteen_unit_structures</x:v>
      </x:c>
      <x:c r="E495" s="20" t="str">
        <x:v>housing</x:v>
      </x:c>
      <x:c r="F495" s="50" t="n">
        <x:v>418</x:v>
      </x:c>
      <x:c r="G495" s="50" t="n">
        <x:v>142.3453290404149</x:v>
      </x:c>
      <x:c r="H495" s="50" t="n">
        <x:v>417.944</x:v>
      </x:c>
      <x:c r="I495" s="50" t="n">
        <x:v>135.46475395306177</x:v>
      </x:c>
      <x:c r="J495" s="42" t="n">
        <x:v>0.9516627968494872</x:v>
      </x:c>
      <x:c r="K495" s="42" t="n">
        <x:v>-0.0003934094668050792</x:v>
      </x:c>
      <x:c r="L495" s="26" t="n">
        <x:v>195</x:v>
      </x:c>
      <x:c r="M495" s="26" t="n">
        <x:v>418</x:v>
      </x:c>
      <x:c r="N495" s="26" t="n">
        <x:v>634</x:v>
      </x:c>
    </x:row>
    <x:row r="496">
      <x:c r="A496" s="20" t="str">
        <x:v>T1_SHARED_CATCHMENT</x:v>
      </x:c>
      <x:c r="B496" s="20" t="str">
        <x:v>NYC-V1-R01</x:v>
      </x:c>
      <x:c r="C496" s="20" t="str">
        <x:v>V1</x:v>
      </x:c>
      <x:c r="D496" s="20" t="str">
        <x:v>twenty_to_forty_nine_unit_structures</x:v>
      </x:c>
      <x:c r="E496" s="20" t="str">
        <x:v>housing</x:v>
      </x:c>
      <x:c r="F496" s="50" t="n">
        <x:v>2661</x:v>
      </x:c>
      <x:c r="G496" s="50" t="n">
        <x:v>338.91272635885014</x:v>
      </x:c>
      <x:c r="H496" s="50" t="n">
        <x:v>2660.856</x:v>
      </x:c>
      <x:c r="I496" s="50" t="n">
        <x:v>308.4046508934207</x:v>
      </x:c>
      <x:c r="J496" s="42" t="n">
        <x:v>0.9099825025952946</x:v>
      </x:c>
      <x:c r="K496" s="42" t="n">
        <x:v>-0.00042488814612204003</x:v>
      </x:c>
      <x:c r="L496" s="26" t="n">
        <x:v>2166</x:v>
      </x:c>
      <x:c r="M496" s="26" t="n">
        <x:v>2660</x:v>
      </x:c>
      <x:c r="N496" s="26" t="n">
        <x:v>3161</x:v>
      </x:c>
    </x:row>
    <x:row r="497">
      <x:c r="A497" s="20" t="str">
        <x:v>T1_SHARED_CATCHMENT</x:v>
      </x:c>
      <x:c r="B497" s="20" t="str">
        <x:v>NYC-V1-R01</x:v>
      </x:c>
      <x:c r="C497" s="20" t="str">
        <x:v>V1</x:v>
      </x:c>
      <x:c r="D497" s="20" t="str">
        <x:v>fifty_plus_unit_structures</x:v>
      </x:c>
      <x:c r="E497" s="20" t="str">
        <x:v>housing</x:v>
      </x:c>
      <x:c r="F497" s="50" t="n">
        <x:v>8970</x:v>
      </x:c>
      <x:c r="G497" s="50" t="n">
        <x:v>612.9121864407799</x:v>
      </x:c>
      <x:c r="H497" s="50" t="n">
        <x:v>8957.475</x:v>
      </x:c>
      <x:c r="I497" s="50" t="n">
        <x:v>460.4210887372058</x:v>
      </x:c>
      <x:c r="J497" s="42" t="n">
        <x:v>0.7512023727426606</x:v>
      </x:c>
      <x:c r="K497" s="42" t="n">
        <x:v>-0.020435227553123242</x:v>
      </x:c>
      <x:c r="L497" s="26" t="n">
        <x:v>8206</x:v>
      </x:c>
      <x:c r="M497" s="26" t="n">
        <x:v>8968</x:v>
      </x:c>
      <x:c r="N497" s="26" t="n">
        <x:v>9740</x:v>
      </x:c>
    </x:row>
    <x:row r="498">
      <x:c r="A498" s="20" t="str">
        <x:v>T1_SHARED_CATCHMENT</x:v>
      </x:c>
      <x:c r="B498" s="20" t="str">
        <x:v>NYC-V1-R01</x:v>
      </x:c>
      <x:c r="C498" s="20" t="str">
        <x:v>V1</x:v>
      </x:c>
      <x:c r="D498" s="20" t="str">
        <x:v>mobile_or_other_units</x:v>
      </x:c>
      <x:c r="E498" s="20" t="str">
        <x:v>housing</x:v>
      </x:c>
      <x:c r="F498" s="50" t="n">
        <x:v>19</x:v>
      </x:c>
      <x:c r="G498" s="50" t="n">
        <x:v>53.97341045489283</x:v>
      </x:c>
      <x:c r="H498" s="50" t="n">
        <x:v>32.322</x:v>
      </x:c>
      <x:c r="I498" s="50" t="n">
        <x:v>37.39685602882736</x:v>
      </x:c>
      <x:c r="J498" s="42" t="n">
        <x:v>0.6928755421168172</x:v>
      </x:c>
      <x:c r="K498" s="42" t="n">
        <x:v>0.24682524020107255</x:v>
      </x:c>
      <x:c r="L498" s="26" t="n">
        <x:v>0</x:v>
      </x:c>
      <x:c r="M498" s="26" t="n">
        <x:v>20</x:v>
      </x:c>
      <x:c r="N498" s="26" t="n">
        <x:v>107</x:v>
      </x:c>
    </x:row>
    <x:row r="499">
      <x:c r="A499" s="20" t="str">
        <x:v>T1_SHARED_CATCHMENT</x:v>
      </x:c>
      <x:c r="B499" s="20" t="str">
        <x:v>NYC-V1-R01</x:v>
      </x:c>
      <x:c r="C499" s="20" t="str">
        <x:v>V1</x:v>
      </x:c>
      <x:c r="D499" s="20" t="str">
        <x:v>electric_heat_households</x:v>
      </x:c>
      <x:c r="E499" s="20" t="str">
        <x:v>housing</x:v>
      </x:c>
      <x:c r="F499" s="50" t="n">
        <x:v>1721</x:v>
      </x:c>
      <x:c r="G499" s="50" t="n">
        <x:v>229.36270403010164</x:v>
      </x:c>
      <x:c r="H499" s="50" t="n">
        <x:v>1721.029</x:v>
      </x:c>
      <x:c r="I499" s="50" t="n">
        <x:v>234.0406143560732</x:v>
      </x:c>
      <x:c r="J499" s="42" t="n">
        <x:v>1.0203952527755238</x:v>
      </x:c>
      <x:c r="K499" s="42" t="n">
        <x:v>0.00012643729556044295</x:v>
      </x:c>
      <x:c r="L499" s="26" t="n">
        <x:v>1339</x:v>
      </x:c>
      <x:c r="M499" s="26" t="n">
        <x:v>1720</x:v>
      </x:c>
      <x:c r="N499" s="26" t="n">
        <x:v>2100</x:v>
      </x:c>
    </x:row>
    <x:row r="500">
      <x:c r="A500" s="20" t="str">
        <x:v>T1_SHARED_CATCHMENT</x:v>
      </x:c>
      <x:c r="B500" s="20" t="str">
        <x:v>NYC-V1-R01</x:v>
      </x:c>
      <x:c r="C500" s="20" t="str">
        <x:v>V1</x:v>
      </x:c>
      <x:c r="D500" s="20" t="str">
        <x:v>group_quarters_population</x:v>
      </x:c>
      <x:c r="E500" s="20" t="str">
        <x:v>population</x:v>
      </x:c>
      <x:c r="F500" s="50" t="n">
        <x:v>441</x:v>
      </x:c>
      <x:c r="G500" s="50" t="n">
        <x:v>6.1359595826569775</x:v>
      </x:c>
      <x:c r="H500" s="50" t="n">
        <x:v>440.994</x:v>
      </x:c>
      <x:c r="I500" s="50" t="n">
        <x:v>6.256125246756422</x:v>
      </x:c>
      <x:c r="J500" s="42" t="n">
        <x:v>1.0195838421816024</x:v>
      </x:c>
      <x:c r="K500" s="42" t="n">
        <x:v>-0.0009778421645622543</x:v>
      </x:c>
      <x:c r="L500" s="26" t="n">
        <x:v>431</x:v>
      </x:c>
      <x:c r="M500" s="26" t="n">
        <x:v>441</x:v>
      </x:c>
      <x:c r="N500" s="26" t="n">
        <x:v>451</x:v>
      </x:c>
    </x:row>
    <x:row r="501">
      <x:c r="A501" s="20" t="str">
        <x:v>T1_SHARED_CATCHMENT</x:v>
      </x:c>
      <x:c r="B501" s="20" t="str">
        <x:v>NYC-V1-R02</x:v>
      </x:c>
      <x:c r="C501" s="20" t="str">
        <x:v>V1</x:v>
      </x:c>
      <x:c r="D501" s="20" t="str">
        <x:v>acs_population</x:v>
      </x:c>
      <x:c r="E501" s="20" t="str">
        <x:v>population</x:v>
      </x:c>
      <x:c r="F501" s="50" t="n">
        <x:v>31462</x:v>
      </x:c>
      <x:c r="G501" s="50" t="n">
        <x:v>1902.066323764763</x:v>
      </x:c>
      <x:c r="H501" s="50" t="n">
        <x:v>32409.419</x:v>
      </x:c>
      <x:c r="I501" s="50" t="n">
        <x:v>1600.4475398358943</x:v>
      </x:c>
      <x:c r="J501" s="42" t="n">
        <x:v>0.84142572729437</x:v>
      </x:c>
      <x:c r="K501" s="42" t="n">
        <x:v>0.49809987599421546</x:v>
      </x:c>
      <x:c r="L501" s="26" t="n">
        <x:v>29907</x:v>
      </x:c>
      <x:c r="M501" s="26" t="n">
        <x:v>32322</x:v>
      </x:c>
      <x:c r="N501" s="26" t="n">
        <x:v>35111</x:v>
      </x:c>
    </x:row>
    <x:row r="502">
      <x:c r="A502" s="20" t="str">
        <x:v>T1_SHARED_CATCHMENT</x:v>
      </x:c>
      <x:c r="B502" s="20" t="str">
        <x:v>NYC-V1-R02</x:v>
      </x:c>
      <x:c r="C502" s="20" t="str">
        <x:v>V1</x:v>
      </x:c>
      <x:c r="D502" s="20" t="str">
        <x:v>age_under_18</x:v>
      </x:c>
      <x:c r="E502" s="20" t="str">
        <x:v>population</x:v>
      </x:c>
      <x:c r="F502" s="50" t="n">
        <x:v>4335</x:v>
      </x:c>
      <x:c r="G502" s="50" t="n">
        <x:v>583.8060465599856</x:v>
      </x:c>
      <x:c r="H502" s="50" t="n">
        <x:v>4336.067</x:v>
      </x:c>
      <x:c r="I502" s="50" t="n">
        <x:v>585.3163450090342</x:v>
      </x:c>
      <x:c r="J502" s="42" t="n">
        <x:v>1.0025869866507</x:v>
      </x:c>
      <x:c r="K502" s="42" t="n">
        <x:v>0.0018276617830308374</x:v>
      </x:c>
      <x:c r="L502" s="26" t="n">
        <x:v>3369</x:v>
      </x:c>
      <x:c r="M502" s="26" t="n">
        <x:v>4343</x:v>
      </x:c>
      <x:c r="N502" s="26" t="n">
        <x:v>5279</x:v>
      </x:c>
    </x:row>
    <x:row r="503">
      <x:c r="A503" s="20" t="str">
        <x:v>T1_SHARED_CATCHMENT</x:v>
      </x:c>
      <x:c r="B503" s="20" t="str">
        <x:v>NYC-V1-R02</x:v>
      </x:c>
      <x:c r="C503" s="20" t="str">
        <x:v>V1</x:v>
      </x:c>
      <x:c r="D503" s="20" t="str">
        <x:v>age_65_plus</x:v>
      </x:c>
      <x:c r="E503" s="20" t="str">
        <x:v>population</x:v>
      </x:c>
      <x:c r="F503" s="50" t="n">
        <x:v>7247</x:v>
      </x:c>
      <x:c r="G503" s="50" t="n">
        <x:v>528.4720427799374</x:v>
      </x:c>
      <x:c r="H503" s="50" t="n">
        <x:v>7250.449</x:v>
      </x:c>
      <x:c r="I503" s="50" t="n">
        <x:v>535.0683147977467</x:v>
      </x:c>
      <x:c r="J503" s="42" t="n">
        <x:v>1.012481780461102</x:v>
      </x:c>
      <x:c r="K503" s="42" t="n">
        <x:v>0.006526362268582338</x:v>
      </x:c>
      <x:c r="L503" s="26" t="n">
        <x:v>6373</x:v>
      </x:c>
      <x:c r="M503" s="26" t="n">
        <x:v>7253</x:v>
      </x:c>
      <x:c r="N503" s="26" t="n">
        <x:v>8141</x:v>
      </x:c>
    </x:row>
    <x:row r="504">
      <x:c r="A504" s="20" t="str">
        <x:v>T1_SHARED_CATCHMENT</x:v>
      </x:c>
      <x:c r="B504" s="20" t="str">
        <x:v>NYC-V1-R02</x:v>
      </x:c>
      <x:c r="C504" s="20" t="str">
        <x:v>V1</x:v>
      </x:c>
      <x:c r="D504" s="20" t="str">
        <x:v>age_75_plus</x:v>
      </x:c>
      <x:c r="E504" s="20" t="str">
        <x:v>population</x:v>
      </x:c>
      <x:c r="F504" s="50" t="n">
        <x:v>3662</x:v>
      </x:c>
      <x:c r="G504" s="50" t="n">
        <x:v>421.7290599425181</x:v>
      </x:c>
      <x:c r="H504" s="50" t="n">
        <x:v>3661.931</x:v>
      </x:c>
      <x:c r="I504" s="50" t="n">
        <x:v>429.52713511348594</x:v>
      </x:c>
      <x:c r="J504" s="42" t="n">
        <x:v>1.0184907228637048</x:v>
      </x:c>
      <x:c r="K504" s="42" t="n">
        <x:v>-0.0001636121542332528</x:v>
      </x:c>
      <x:c r="L504" s="26" t="n">
        <x:v>2962</x:v>
      </x:c>
      <x:c r="M504" s="26" t="n">
        <x:v>3684</x:v>
      </x:c>
      <x:c r="N504" s="26" t="n">
        <x:v>4370</x:v>
      </x:c>
    </x:row>
    <x:row r="505">
      <x:c r="A505" s="20" t="str">
        <x:v>T1_SHARED_CATCHMENT</x:v>
      </x:c>
      <x:c r="B505" s="20" t="str">
        <x:v>NYC-V1-R02</x:v>
      </x:c>
      <x:c r="C505" s="20" t="str">
        <x:v>V1</x:v>
      </x:c>
      <x:c r="D505" s="20" t="str">
        <x:v>age_85_plus</x:v>
      </x:c>
      <x:c r="E505" s="20" t="str">
        <x:v>population</x:v>
      </x:c>
      <x:c r="F505" s="50" t="n">
        <x:v>1218</x:v>
      </x:c>
      <x:c r="G505" s="50" t="n">
        <x:v>296.73860550996733</x:v>
      </x:c>
      <x:c r="H505" s="50" t="n">
        <x:v>1217.931</x:v>
      </x:c>
      <x:c r="I505" s="50" t="n">
        <x:v>295.37026904350887</x:v>
      </x:c>
      <x:c r="J505" s="42" t="n">
        <x:v>0.9953887480730494</x:v>
      </x:c>
      <x:c r="K505" s="42" t="n">
        <x:v>-0.00023252788386390896</x:v>
      </x:c>
      <x:c r="L505" s="26" t="n">
        <x:v>721</x:v>
      </x:c>
      <x:c r="M505" s="26" t="n">
        <x:v>1215</x:v>
      </x:c>
      <x:c r="N505" s="26" t="n">
        <x:v>1722</x:v>
      </x:c>
    </x:row>
    <x:row r="506">
      <x:c r="A506" s="20" t="str">
        <x:v>T1_SHARED_CATCHMENT</x:v>
      </x:c>
      <x:c r="B506" s="20" t="str">
        <x:v>NYC-V1-R02</x:v>
      </x:c>
      <x:c r="C506" s="20" t="str">
        <x:v>V1</x:v>
      </x:c>
      <x:c r="D506" s="20" t="str">
        <x:v>civilian_noninstitutionalized</x:v>
      </x:c>
      <x:c r="E506" s="20" t="str">
        <x:v>disability</x:v>
      </x:c>
      <x:c r="F506" s="50" t="n">
        <x:v>31415</x:v>
      </x:c>
      <x:c r="G506" s="50" t="n">
        <x:v>1901.7794693391766</x:v>
      </x:c>
      <x:c r="H506" s="50" t="n">
        <x:v>31414.169</x:v>
      </x:c>
      <x:c r="I506" s="50" t="n">
        <x:v>1875.8543498846016</x:v>
      </x:c>
      <x:c r="J506" s="42" t="n">
        <x:v>0.9863679675416922</x:v>
      </x:c>
      <x:c r="K506" s="42" t="n">
        <x:v>-0.00043695918133297804</x:v>
      </x:c>
      <x:c r="L506" s="26" t="n">
        <x:v>28155</x:v>
      </x:c>
      <x:c r="M506" s="26" t="n">
        <x:v>31428</x:v>
      </x:c>
      <x:c r="N506" s="26" t="n">
        <x:v>34473</x:v>
      </x:c>
    </x:row>
    <x:row r="507">
      <x:c r="A507" s="20" t="str">
        <x:v>T1_SHARED_CATCHMENT</x:v>
      </x:c>
      <x:c r="B507" s="20" t="str">
        <x:v>NYC-V1-R02</x:v>
      </x:c>
      <x:c r="C507" s="20" t="str">
        <x:v>V1</x:v>
      </x:c>
      <x:c r="D507" s="20" t="str">
        <x:v>any_disability</x:v>
      </x:c>
      <x:c r="E507" s="20" t="str">
        <x:v>disability</x:v>
      </x:c>
      <x:c r="F507" s="50" t="n">
        <x:v>3619</x:v>
      </x:c>
      <x:c r="G507" s="50" t="n">
        <x:v>391.2781619257584</x:v>
      </x:c>
      <x:c r="H507" s="50" t="n">
        <x:v>3619.834</x:v>
      </x:c>
      <x:c r="I507" s="50" t="n">
        <x:v>416.98055737555586</x:v>
      </x:c>
      <x:c r="J507" s="42" t="n">
        <x:v>1.0656882953122087</x:v>
      </x:c>
      <x:c r="K507" s="42" t="n">
        <x:v>0.002131475970688282</x:v>
      </x:c>
      <x:c r="L507" s="26" t="n">
        <x:v>2914</x:v>
      </x:c>
      <x:c r="M507" s="26" t="n">
        <x:v>3629</x:v>
      </x:c>
      <x:c r="N507" s="26" t="n">
        <x:v>4279</x:v>
      </x:c>
    </x:row>
    <x:row r="508">
      <x:c r="A508" s="20" t="str">
        <x:v>T1_SHARED_CATCHMENT</x:v>
      </x:c>
      <x:c r="B508" s="20" t="str">
        <x:v>NYC-V1-R02</x:v>
      </x:c>
      <x:c r="C508" s="20" t="str">
        <x:v>V1</x:v>
      </x:c>
      <x:c r="D508" s="20" t="str">
        <x:v>disability_under_18</x:v>
      </x:c>
      <x:c r="E508" s="20" t="str">
        <x:v>disability</x:v>
      </x:c>
      <x:c r="F508" s="50" t="n">
        <x:v>61</x:v>
      </x:c>
      <x:c r="G508" s="50" t="n">
        <x:v>36.54449342924321</x:v>
      </x:c>
      <x:c r="H508" s="50" t="n">
        <x:v>61.82</x:v>
      </x:c>
      <x:c r="I508" s="50" t="n">
        <x:v>34.939581771600736</x:v>
      </x:c>
      <x:c r="J508" s="42" t="n">
        <x:v>0.9560833519077265</x:v>
      </x:c>
      <x:c r="K508" s="42" t="n">
        <x:v>0.02243840105726652</x:v>
      </x:c>
      <x:c r="L508" s="26" t="n">
        <x:v>0</x:v>
      </x:c>
      <x:c r="M508" s="26" t="n">
        <x:v>60</x:v>
      </x:c>
      <x:c r="N508" s="26" t="n">
        <x:v>124</x:v>
      </x:c>
    </x:row>
    <x:row r="509">
      <x:c r="A509" s="20" t="str">
        <x:v>T1_SHARED_CATCHMENT</x:v>
      </x:c>
      <x:c r="B509" s="20" t="str">
        <x:v>NYC-V1-R02</x:v>
      </x:c>
      <x:c r="C509" s="20" t="str">
        <x:v>V1</x:v>
      </x:c>
      <x:c r="D509" s="20" t="str">
        <x:v>disability_18_64</x:v>
      </x:c>
      <x:c r="E509" s="20" t="str">
        <x:v>disability</x:v>
      </x:c>
      <x:c r="F509" s="50" t="n">
        <x:v>1399</x:v>
      </x:c>
      <x:c r="G509" s="50" t="n">
        <x:v>259.8615977785098</x:v>
      </x:c>
      <x:c r="H509" s="50" t="n">
        <x:v>1399.048</x:v>
      </x:c>
      <x:c r="I509" s="50" t="n">
        <x:v>256.4003097010899</x:v>
      </x:c>
      <x:c r="J509" s="42" t="n">
        <x:v>0.9866802632362397</x:v>
      </x:c>
      <x:c r="K509" s="42" t="n">
        <x:v>0.00018471371072271362</x:v>
      </x:c>
      <x:c r="L509" s="26" t="n">
        <x:v>962</x:v>
      </x:c>
      <x:c r="M509" s="26" t="n">
        <x:v>1401</x:v>
      </x:c>
      <x:c r="N509" s="26" t="n">
        <x:v>1828</x:v>
      </x:c>
    </x:row>
    <x:row r="510">
      <x:c r="A510" s="20" t="str">
        <x:v>T1_SHARED_CATCHMENT</x:v>
      </x:c>
      <x:c r="B510" s="20" t="str">
        <x:v>NYC-V1-R02</x:v>
      </x:c>
      <x:c r="C510" s="20" t="str">
        <x:v>V1</x:v>
      </x:c>
      <x:c r="D510" s="20" t="str">
        <x:v>disability_65_plus</x:v>
      </x:c>
      <x:c r="E510" s="20" t="str">
        <x:v>disability</x:v>
      </x:c>
      <x:c r="F510" s="50" t="n">
        <x:v>2159</x:v>
      </x:c>
      <x:c r="G510" s="50" t="n">
        <x:v>254.18034935848212</x:v>
      </x:c>
      <x:c r="H510" s="50" t="n">
        <x:v>2158.966</x:v>
      </x:c>
      <x:c r="I510" s="50" t="n">
        <x:v>256.2302065775282</x:v>
      </x:c>
      <x:c r="J510" s="42" t="n">
        <x:v>1.0080645778645738</x:v>
      </x:c>
      <x:c r="K510" s="42" t="n">
        <x:v>-0.00013376329085201528</x:v>
      </x:c>
      <x:c r="L510" s="26" t="n">
        <x:v>1732</x:v>
      </x:c>
      <x:c r="M510" s="26" t="n">
        <x:v>2163</x:v>
      </x:c>
      <x:c r="N510" s="26" t="n">
        <x:v>2577</x:v>
      </x:c>
    </x:row>
    <x:row r="511">
      <x:c r="A511" s="20" t="str">
        <x:v>T1_SHARED_CATCHMENT</x:v>
      </x:c>
      <x:c r="B511" s="20" t="str">
        <x:v>NYC-V1-R02</x:v>
      </x:c>
      <x:c r="C511" s="20" t="str">
        <x:v>V1</x:v>
      </x:c>
      <x:c r="D511" s="20" t="str">
        <x:v>hearing_difficulty</x:v>
      </x:c>
      <x:c r="E511" s="20" t="str">
        <x:v>disability</x:v>
      </x:c>
      <x:c r="F511" s="50" t="n">
        <x:v>610</x:v>
      </x:c>
      <x:c r="G511" s="50" t="n">
        <x:v>159.3261927327932</x:v>
      </x:c>
      <x:c r="H511" s="50" t="n">
        <x:v>610.01</x:v>
      </x:c>
      <x:c r="I511" s="50" t="n">
        <x:v>160.87968228515425</x:v>
      </x:c>
      <x:c r="J511" s="42" t="n">
        <x:v>1.009750371396663</x:v>
      </x:c>
      <x:c r="K511" s="42" t="n">
        <x:v>0.0000627643190894667</x:v>
      </x:c>
      <x:c r="L511" s="26" t="n">
        <x:v>343</x:v>
      </x:c>
      <x:c r="M511" s="26" t="n">
        <x:v>615</x:v>
      </x:c>
      <x:c r="N511" s="26" t="n">
        <x:v>871</x:v>
      </x:c>
    </x:row>
    <x:row r="512">
      <x:c r="A512" s="20" t="str">
        <x:v>T1_SHARED_CATCHMENT</x:v>
      </x:c>
      <x:c r="B512" s="20" t="str">
        <x:v>NYC-V1-R02</x:v>
      </x:c>
      <x:c r="C512" s="20" t="str">
        <x:v>V1</x:v>
      </x:c>
      <x:c r="D512" s="20" t="str">
        <x:v>vision_difficulty</x:v>
      </x:c>
      <x:c r="E512" s="20" t="str">
        <x:v>disability</x:v>
      </x:c>
      <x:c r="F512" s="50" t="n">
        <x:v>531</x:v>
      </x:c>
      <x:c r="G512" s="50" t="n">
        <x:v>160.76240414410304</x:v>
      </x:c>
      <x:c r="H512" s="50" t="n">
        <x:v>531.011</x:v>
      </x:c>
      <x:c r="I512" s="50" t="n">
        <x:v>161.40306635510007</x:v>
      </x:c>
      <x:c r="J512" s="42" t="n">
        <x:v>1.0039851494782497</x:v>
      </x:c>
      <x:c r="K512" s="42" t="n">
        <x:v>0.00006842395806737972</x:v>
      </x:c>
      <x:c r="L512" s="26" t="n">
        <x:v>261</x:v>
      </x:c>
      <x:c r="M512" s="26" t="n">
        <x:v>531</x:v>
      </x:c>
      <x:c r="N512" s="26" t="n">
        <x:v>795</x:v>
      </x:c>
    </x:row>
    <x:row r="513">
      <x:c r="A513" s="20" t="str">
        <x:v>T1_SHARED_CATCHMENT</x:v>
      </x:c>
      <x:c r="B513" s="20" t="str">
        <x:v>NYC-V1-R02</x:v>
      </x:c>
      <x:c r="C513" s="20" t="str">
        <x:v>V1</x:v>
      </x:c>
      <x:c r="D513" s="20" t="str">
        <x:v>cognitive_difficulty</x:v>
      </x:c>
      <x:c r="E513" s="20" t="str">
        <x:v>disability</x:v>
      </x:c>
      <x:c r="F513" s="50" t="n">
        <x:v>1429</x:v>
      </x:c>
      <x:c r="G513" s="50" t="n">
        <x:v>243.67953849735702</x:v>
      </x:c>
      <x:c r="H513" s="50" t="n">
        <x:v>1429.06</x:v>
      </x:c>
      <x:c r="I513" s="50" t="n">
        <x:v>247.09779788926028</x:v>
      </x:c>
      <x:c r="J513" s="42" t="n">
        <x:v>1.0140276832966029</x:v>
      </x:c>
      <x:c r="K513" s="42" t="n">
        <x:v>0.00024622502311820574</x:v>
      </x:c>
      <x:c r="L513" s="26" t="n">
        <x:v>1041</x:v>
      </x:c>
      <x:c r="M513" s="26" t="n">
        <x:v>1428</x:v>
      </x:c>
      <x:c r="N513" s="26" t="n">
        <x:v>1835</x:v>
      </x:c>
    </x:row>
    <x:row r="514">
      <x:c r="A514" s="20" t="str">
        <x:v>T1_SHARED_CATCHMENT</x:v>
      </x:c>
      <x:c r="B514" s="20" t="str">
        <x:v>NYC-V1-R02</x:v>
      </x:c>
      <x:c r="C514" s="20" t="str">
        <x:v>V1</x:v>
      </x:c>
      <x:c r="D514" s="20" t="str">
        <x:v>ambulatory_difficulty</x:v>
      </x:c>
      <x:c r="E514" s="20" t="str">
        <x:v>disability</x:v>
      </x:c>
      <x:c r="F514" s="50" t="n">
        <x:v>1588</x:v>
      </x:c>
      <x:c r="G514" s="50" t="n">
        <x:v>252.55414076402417</x:v>
      </x:c>
      <x:c r="H514" s="50" t="n">
        <x:v>1588.209</x:v>
      </x:c>
      <x:c r="I514" s="50" t="n">
        <x:v>257.0979670936425</x:v>
      </x:c>
      <x:c r="J514" s="42" t="n">
        <x:v>1.017991494084684</x:v>
      </x:c>
      <x:c r="K514" s="42" t="n">
        <x:v>0.0008275453309448635</x:v>
      </x:c>
      <x:c r="L514" s="26" t="n">
        <x:v>1171</x:v>
      </x:c>
      <x:c r="M514" s="26" t="n">
        <x:v>1594</x:v>
      </x:c>
      <x:c r="N514" s="26" t="n">
        <x:v>2012</x:v>
      </x:c>
    </x:row>
    <x:row r="515">
      <x:c r="A515" s="20" t="str">
        <x:v>T1_SHARED_CATCHMENT</x:v>
      </x:c>
      <x:c r="B515" s="20" t="str">
        <x:v>NYC-V1-R02</x:v>
      </x:c>
      <x:c r="C515" s="20" t="str">
        <x:v>V1</x:v>
      </x:c>
      <x:c r="D515" s="20" t="str">
        <x:v>self_care_difficulty</x:v>
      </x:c>
      <x:c r="E515" s="20" t="str">
        <x:v>disability</x:v>
      </x:c>
      <x:c r="F515" s="50" t="n">
        <x:v>962</x:v>
      </x:c>
      <x:c r="G515" s="50" t="n">
        <x:v>226.3644013415805</x:v>
      </x:c>
      <x:c r="H515" s="50" t="n">
        <x:v>962.082</x:v>
      </x:c>
      <x:c r="I515" s="50" t="n">
        <x:v>220.55044723549253</x:v>
      </x:c>
      <x:c r="J515" s="42" t="n">
        <x:v>0.9743159521919933</x:v>
      </x:c>
      <x:c r="K515" s="42" t="n">
        <x:v>0.000362247771796312</x:v>
      </x:c>
      <x:c r="L515" s="26" t="n">
        <x:v>605</x:v>
      </x:c>
      <x:c r="M515" s="26" t="n">
        <x:v>974</x:v>
      </x:c>
      <x:c r="N515" s="26" t="n">
        <x:v>1310</x:v>
      </x:c>
    </x:row>
    <x:row r="516">
      <x:c r="A516" s="20" t="str">
        <x:v>T1_SHARED_CATCHMENT</x:v>
      </x:c>
      <x:c r="B516" s="20" t="str">
        <x:v>NYC-V1-R02</x:v>
      </x:c>
      <x:c r="C516" s="20" t="str">
        <x:v>V1</x:v>
      </x:c>
      <x:c r="D516" s="20" t="str">
        <x:v>independent_living_difficulty</x:v>
      </x:c>
      <x:c r="E516" s="20" t="str">
        <x:v>disability</x:v>
      </x:c>
      <x:c r="F516" s="50" t="n">
        <x:v>1341</x:v>
      </x:c>
      <x:c r="G516" s="50" t="n">
        <x:v>248.67383217578617</x:v>
      </x:c>
      <x:c r="H516" s="50" t="n">
        <x:v>1341.017</x:v>
      </x:c>
      <x:c r="I516" s="50" t="n">
        <x:v>251.1473585501283</x:v>
      </x:c>
      <x:c r="J516" s="42" t="n">
        <x:v>1.009946870375141</x:v>
      </x:c>
      <x:c r="K516" s="42" t="n">
        <x:v>0.00006836264134151254</x:v>
      </x:c>
      <x:c r="L516" s="26" t="n">
        <x:v>952</x:v>
      </x:c>
      <x:c r="M516" s="26" t="n">
        <x:v>1341</x:v>
      </x:c>
      <x:c r="N516" s="26" t="n">
        <x:v>1716</x:v>
      </x:c>
    </x:row>
    <x:row r="517">
      <x:c r="A517" s="20" t="str">
        <x:v>T1_SHARED_CATCHMENT</x:v>
      </x:c>
      <x:c r="B517" s="20" t="str">
        <x:v>NYC-V1-R02</x:v>
      </x:c>
      <x:c r="C517" s="20" t="str">
        <x:v>V1</x:v>
      </x:c>
      <x:c r="D517" s="20" t="str">
        <x:v>households</x:v>
      </x:c>
      <x:c r="E517" s="20" t="str">
        <x:v>household</x:v>
      </x:c>
      <x:c r="F517" s="50" t="n">
        <x:v>14621</x:v>
      </x:c>
      <x:c r="G517" s="50" t="n">
        <x:v>510.4494098341186</x:v>
      </x:c>
      <x:c r="H517" s="50" t="n">
        <x:v>14620.203</x:v>
      </x:c>
      <x:c r="I517" s="50" t="n">
        <x:v>473.3693994961856</x:v>
      </x:c>
      <x:c r="J517" s="42" t="n">
        <x:v>0.9273581091023635</x:v>
      </x:c>
      <x:c r="K517" s="42" t="n">
        <x:v>-0.0015613692261089737</x:v>
      </x:c>
      <x:c r="L517" s="26" t="n">
        <x:v>13860</x:v>
      </x:c>
      <x:c r="M517" s="26" t="n">
        <x:v>14635</x:v>
      </x:c>
      <x:c r="N517" s="26" t="n">
        <x:v>15358</x:v>
      </x:c>
    </x:row>
    <x:row r="518">
      <x:c r="A518" s="20" t="str">
        <x:v>T1_SHARED_CATCHMENT</x:v>
      </x:c>
      <x:c r="B518" s="20" t="str">
        <x:v>NYC-V1-R02</x:v>
      </x:c>
      <x:c r="C518" s="20" t="str">
        <x:v>V1</x:v>
      </x:c>
      <x:c r="D518" s="20" t="str">
        <x:v>family_households</x:v>
      </x:c>
      <x:c r="E518" s="20" t="str">
        <x:v>household</x:v>
      </x:c>
      <x:c r="F518" s="50" t="n">
        <x:v>6590</x:v>
      </x:c>
      <x:c r="G518" s="50" t="n">
        <x:v>458.1431544833995</x:v>
      </x:c>
      <x:c r="H518" s="50" t="n">
        <x:v>6584.123</x:v>
      </x:c>
      <x:c r="I518" s="50" t="n">
        <x:v>458.8773455829883</x:v>
      </x:c>
      <x:c r="J518" s="42" t="n">
        <x:v>1.0016025364395473</x:v>
      </x:c>
      <x:c r="K518" s="42" t="n">
        <x:v>-0.012827868194663502</x:v>
      </x:c>
      <x:c r="L518" s="26" t="n">
        <x:v>5824</x:v>
      </x:c>
      <x:c r="M518" s="26" t="n">
        <x:v>6580</x:v>
      </x:c>
      <x:c r="N518" s="26" t="n">
        <x:v>7321</x:v>
      </x:c>
    </x:row>
    <x:row r="519">
      <x:c r="A519" s="20" t="str">
        <x:v>T1_SHARED_CATCHMENT</x:v>
      </x:c>
      <x:c r="B519" s="20" t="str">
        <x:v>NYC-V1-R02</x:v>
      </x:c>
      <x:c r="C519" s="20" t="str">
        <x:v>V1</x:v>
      </x:c>
      <x:c r="D519" s="20" t="str">
        <x:v>nonfamily_households</x:v>
      </x:c>
      <x:c r="E519" s="20" t="str">
        <x:v>household</x:v>
      </x:c>
      <x:c r="F519" s="50" t="n">
        <x:v>8031</x:v>
      </x:c>
      <x:c r="G519" s="50" t="n">
        <x:v>538.7815420000949</x:v>
      </x:c>
      <x:c r="H519" s="50" t="n">
        <x:v>8036.08</x:v>
      </x:c>
      <x:c r="I519" s="50" t="n">
        <x:v>591.7746097871966</x:v>
      </x:c>
      <x:c r="J519" s="42" t="n">
        <x:v>1.0983572443673142</x:v>
      </x:c>
      <x:c r="K519" s="42" t="n">
        <x:v>0.009428682321116029</x:v>
      </x:c>
      <x:c r="L519" s="26" t="n">
        <x:v>7057</x:v>
      </x:c>
      <x:c r="M519" s="26" t="n">
        <x:v>8076</x:v>
      </x:c>
      <x:c r="N519" s="26" t="n">
        <x:v>8965</x:v>
      </x:c>
    </x:row>
    <x:row r="520">
      <x:c r="A520" s="20" t="str">
        <x:v>T1_SHARED_CATCHMENT</x:v>
      </x:c>
      <x:c r="B520" s="20" t="str">
        <x:v>NYC-V1-R02</x:v>
      </x:c>
      <x:c r="C520" s="20" t="str">
        <x:v>V1</x:v>
      </x:c>
      <x:c r="D520" s="20" t="str">
        <x:v>living_alone_households</x:v>
      </x:c>
      <x:c r="E520" s="20" t="str">
        <x:v>household</x:v>
      </x:c>
      <x:c r="F520" s="50" t="n">
        <x:v>6602</x:v>
      </x:c>
      <x:c r="G520" s="50" t="n">
        <x:v>512.4839021862052</x:v>
      </x:c>
      <x:c r="H520" s="50" t="n">
        <x:v>6602.498</x:v>
      </x:c>
      <x:c r="I520" s="50" t="n">
        <x:v>491.417402071863</x:v>
      </x:c>
      <x:c r="J520" s="42" t="n">
        <x:v>0.9588933427479875</x:v>
      </x:c>
      <x:c r="K520" s="42" t="n">
        <x:v>0.00097173783971589</x:v>
      </x:c>
      <x:c r="L520" s="26" t="n">
        <x:v>5834</x:v>
      </x:c>
      <x:c r="M520" s="26" t="n">
        <x:v>6613</x:v>
      </x:c>
      <x:c r="N520" s="26" t="n">
        <x:v>7388</x:v>
      </x:c>
    </x:row>
    <x:row r="521">
      <x:c r="A521" s="20" t="str">
        <x:v>T1_SHARED_CATCHMENT</x:v>
      </x:c>
      <x:c r="B521" s="20" t="str">
        <x:v>NYC-V1-R02</x:v>
      </x:c>
      <x:c r="C521" s="20" t="str">
        <x:v>V1</x:v>
      </x:c>
      <x:c r="D521" s="20" t="str">
        <x:v>households_with_children</x:v>
      </x:c>
      <x:c r="E521" s="20" t="str">
        <x:v>household</x:v>
      </x:c>
      <x:c r="F521" s="50" t="n">
        <x:v>2617</x:v>
      </x:c>
      <x:c r="G521" s="50" t="n">
        <x:v>342.0109647365125</x:v>
      </x:c>
      <x:c r="H521" s="50" t="n">
        <x:v>2616.937</x:v>
      </x:c>
      <x:c r="I521" s="50" t="n">
        <x:v>338.87786773443946</x:v>
      </x:c>
      <x:c r="J521" s="42" t="n">
        <x:v>0.9908391913560818</x:v>
      </x:c>
      <x:c r="K521" s="42" t="n">
        <x:v>-0.0001842046205993351</x:v>
      </x:c>
      <x:c r="L521" s="26" t="n">
        <x:v>2079</x:v>
      </x:c>
      <x:c r="M521" s="26" t="n">
        <x:v>2623</x:v>
      </x:c>
      <x:c r="N521" s="26" t="n">
        <x:v>3161</x:v>
      </x:c>
    </x:row>
    <x:row r="522">
      <x:c r="A522" s="20" t="str">
        <x:v>T1_SHARED_CATCHMENT</x:v>
      </x:c>
      <x:c r="B522" s="20" t="str">
        <x:v>NYC-V1-R02</x:v>
      </x:c>
      <x:c r="C522" s="20" t="str">
        <x:v>V1</x:v>
      </x:c>
      <x:c r="D522" s="20" t="str">
        <x:v>households_with_age65</x:v>
      </x:c>
      <x:c r="E522" s="20" t="str">
        <x:v>household</x:v>
      </x:c>
      <x:c r="F522" s="50" t="n">
        <x:v>5726</x:v>
      </x:c>
      <x:c r="G522" s="50" t="n">
        <x:v>463.8448016308903</x:v>
      </x:c>
      <x:c r="H522" s="50" t="n">
        <x:v>5725.773</x:v>
      </x:c>
      <x:c r="I522" s="50" t="n">
        <x:v>477.2283776090808</x:v>
      </x:c>
      <x:c r="J522" s="42" t="n">
        <x:v>1.0288535646645893</x:v>
      </x:c>
      <x:c r="K522" s="42" t="n">
        <x:v>-0.0004893878280013571</x:v>
      </x:c>
      <x:c r="L522" s="26" t="n">
        <x:v>4970</x:v>
      </x:c>
      <x:c r="M522" s="26" t="n">
        <x:v>5733</x:v>
      </x:c>
      <x:c r="N522" s="26" t="n">
        <x:v>6522</x:v>
      </x:c>
    </x:row>
    <x:row r="523">
      <x:c r="A523" s="20" t="str">
        <x:v>T1_SHARED_CATCHMENT</x:v>
      </x:c>
      <x:c r="B523" s="20" t="str">
        <x:v>NYC-V1-R02</x:v>
      </x:c>
      <x:c r="C523" s="20" t="str">
        <x:v>V1</x:v>
      </x:c>
      <x:c r="D523" s="20" t="str">
        <x:v>age65_one_person_households</x:v>
      </x:c>
      <x:c r="E523" s="20" t="str">
        <x:v>household</x:v>
      </x:c>
      <x:c r="F523" s="50" t="n">
        <x:v>3253</x:v>
      </x:c>
      <x:c r="G523" s="50" t="n">
        <x:v>408.5268045061426</x:v>
      </x:c>
      <x:c r="H523" s="50" t="n">
        <x:v>3252.802</x:v>
      </x:c>
      <x:c r="I523" s="50" t="n">
        <x:v>415.37688037341314</x:v>
      </x:c>
      <x:c r="J523" s="42" t="n">
        <x:v>1.0167677513243016</x:v>
      </x:c>
      <x:c r="K523" s="42" t="n">
        <x:v>-0.00048466831996304976</x:v>
      </x:c>
      <x:c r="L523" s="26" t="n">
        <x:v>2554</x:v>
      </x:c>
      <x:c r="M523" s="26" t="n">
        <x:v>3258</x:v>
      </x:c>
      <x:c r="N523" s="26" t="n">
        <x:v>3916</x:v>
      </x:c>
    </x:row>
    <x:row r="524">
      <x:c r="A524" s="20" t="str">
        <x:v>T1_SHARED_CATCHMENT</x:v>
      </x:c>
      <x:c r="B524" s="20" t="str">
        <x:v>NYC-V1-R02</x:v>
      </x:c>
      <x:c r="C524" s="20" t="str">
        <x:v>V1</x:v>
      </x:c>
      <x:c r="D524" s="20" t="str">
        <x:v>no_vehicle_households</x:v>
      </x:c>
      <x:c r="E524" s="20" t="str">
        <x:v>household</x:v>
      </x:c>
      <x:c r="F524" s="50" t="n">
        <x:v>10894</x:v>
      </x:c>
      <x:c r="G524" s="50" t="n">
        <x:v>556.9533735095523</x:v>
      </x:c>
      <x:c r="H524" s="50" t="n">
        <x:v>10894.197</x:v>
      </x:c>
      <x:c r="I524" s="50" t="n">
        <x:v>553.3616261363633</x:v>
      </x:c>
      <x:c r="J524" s="42" t="n">
        <x:v>0.9935510806756476</x:v>
      </x:c>
      <x:c r="K524" s="42" t="n">
        <x:v>0.0003537100399603517</x:v>
      </x:c>
      <x:c r="L524" s="26" t="n">
        <x:v>9976</x:v>
      </x:c>
      <x:c r="M524" s="26" t="n">
        <x:v>10888</x:v>
      </x:c>
      <x:c r="N524" s="26" t="n">
        <x:v>11804</x:v>
      </x:c>
    </x:row>
    <x:row r="525">
      <x:c r="A525" s="20" t="str">
        <x:v>T1_SHARED_CATCHMENT</x:v>
      </x:c>
      <x:c r="B525" s="20" t="str">
        <x:v>NYC-V1-R02</x:v>
      </x:c>
      <x:c r="C525" s="20" t="str">
        <x:v>V1</x:v>
      </x:c>
      <x:c r="D525" s="20" t="str">
        <x:v>limited_english_households</x:v>
      </x:c>
      <x:c r="E525" s="20" t="str">
        <x:v>household</x:v>
      </x:c>
      <x:c r="F525" s="50" t="n">
        <x:v>820</x:v>
      </x:c>
      <x:c r="G525" s="50" t="n">
        <x:v>204.64032321155315</x:v>
      </x:c>
      <x:c r="H525" s="50" t="n">
        <x:v>820.129</x:v>
      </x:c>
      <x:c r="I525" s="50" t="n">
        <x:v>206.5314591112032</x:v>
      </x:c>
      <x:c r="J525" s="42" t="n">
        <x:v>1.009241267165587</x:v>
      </x:c>
      <x:c r="K525" s="42" t="n">
        <x:v>0.0006303742975750748</x:v>
      </x:c>
      <x:c r="L525" s="26" t="n">
        <x:v>469</x:v>
      </x:c>
      <x:c r="M525" s="26" t="n">
        <x:v>819</x:v>
      </x:c>
      <x:c r="N525" s="26" t="n">
        <x:v>1161</x:v>
      </x:c>
    </x:row>
    <x:row r="526">
      <x:c r="A526" s="20" t="str">
        <x:v>T1_SHARED_CATCHMENT</x:v>
      </x:c>
      <x:c r="B526" s="20" t="str">
        <x:v>NYC-V1-R02</x:v>
      </x:c>
      <x:c r="C526" s="20" t="str">
        <x:v>V1</x:v>
      </x:c>
      <x:c r="D526" s="20" t="str">
        <x:v>housing_units</x:v>
      </x:c>
      <x:c r="E526" s="20" t="str">
        <x:v>housing</x:v>
      </x:c>
      <x:c r="F526" s="50" t="n">
        <x:v>17007</x:v>
      </x:c>
      <x:c r="G526" s="50" t="n">
        <x:v>460.6189857137893</x:v>
      </x:c>
      <x:c r="H526" s="50" t="n">
        <x:v>17006.275</x:v>
      </x:c>
      <x:c r="I526" s="50" t="n">
        <x:v>505.7393158838164</x:v>
      </x:c>
      <x:c r="J526" s="42" t="n">
        <x:v>1.0979558628051496</x:v>
      </x:c>
      <x:c r="K526" s="42" t="n">
        <x:v>-0.0015739689906074162</x:v>
      </x:c>
      <x:c r="L526" s="26" t="n">
        <x:v>16208</x:v>
      </x:c>
      <x:c r="M526" s="26" t="n">
        <x:v>16994</x:v>
      </x:c>
      <x:c r="N526" s="26" t="n">
        <x:v>17832</x:v>
      </x:c>
    </x:row>
    <x:row r="527">
      <x:c r="A527" s="20" t="str">
        <x:v>T1_SHARED_CATCHMENT</x:v>
      </x:c>
      <x:c r="B527" s="20" t="str">
        <x:v>NYC-V1-R02</x:v>
      </x:c>
      <x:c r="C527" s="20" t="str">
        <x:v>V1</x:v>
      </x:c>
      <x:c r="D527" s="20" t="str">
        <x:v>occupied_housing_units</x:v>
      </x:c>
      <x:c r="E527" s="20" t="str">
        <x:v>housing</x:v>
      </x:c>
      <x:c r="F527" s="50" t="n">
        <x:v>14621</x:v>
      </x:c>
      <x:c r="G527" s="50" t="n">
        <x:v>510.4494098341186</x:v>
      </x:c>
      <x:c r="H527" s="50" t="n">
        <x:v>14620.203</x:v>
      </x:c>
      <x:c r="I527" s="50" t="n">
        <x:v>473.3693994961856</x:v>
      </x:c>
      <x:c r="J527" s="42" t="n">
        <x:v>0.9273581091023635</x:v>
      </x:c>
      <x:c r="K527" s="42" t="n">
        <x:v>-0.0015613692261089737</x:v>
      </x:c>
      <x:c r="L527" s="26" t="n">
        <x:v>13860</x:v>
      </x:c>
      <x:c r="M527" s="26" t="n">
        <x:v>14635</x:v>
      </x:c>
      <x:c r="N527" s="26" t="n">
        <x:v>15358</x:v>
      </x:c>
    </x:row>
    <x:row r="528">
      <x:c r="A528" s="20" t="str">
        <x:v>T1_SHARED_CATCHMENT</x:v>
      </x:c>
      <x:c r="B528" s="20" t="str">
        <x:v>NYC-V1-R02</x:v>
      </x:c>
      <x:c r="C528" s="20" t="str">
        <x:v>V1</x:v>
      </x:c>
      <x:c r="D528" s="20" t="str">
        <x:v>vacant_housing_units</x:v>
      </x:c>
      <x:c r="E528" s="20" t="str">
        <x:v>housing</x:v>
      </x:c>
      <x:c r="F528" s="50" t="n">
        <x:v>2386</x:v>
      </x:c>
      <x:c r="G528" s="50" t="n">
        <x:v>387.47148282163937</x:v>
      </x:c>
      <x:c r="H528" s="50" t="n">
        <x:v>2386.072</x:v>
      </x:c>
      <x:c r="I528" s="50" t="n">
        <x:v>379.0742963300705</x:v>
      </x:c>
      <x:c r="J528" s="42" t="n">
        <x:v>0.9783282464288237</x:v>
      </x:c>
      <x:c r="K528" s="42" t="n">
        <x:v>0.00018582012662144587</x:v>
      </x:c>
      <x:c r="L528" s="26" t="n">
        <x:v>1762</x:v>
      </x:c>
      <x:c r="M528" s="26" t="n">
        <x:v>2396</x:v>
      </x:c>
      <x:c r="N528" s="26" t="n">
        <x:v>2995</x:v>
      </x:c>
    </x:row>
    <x:row r="529">
      <x:c r="A529" s="20" t="str">
        <x:v>T1_SHARED_CATCHMENT</x:v>
      </x:c>
      <x:c r="B529" s="20" t="str">
        <x:v>NYC-V1-R02</x:v>
      </x:c>
      <x:c r="C529" s="20" t="str">
        <x:v>V1</x:v>
      </x:c>
      <x:c r="D529" s="20" t="str">
        <x:v>owner_occupied_units</x:v>
      </x:c>
      <x:c r="E529" s="20" t="str">
        <x:v>housing</x:v>
      </x:c>
      <x:c r="F529" s="50" t="n">
        <x:v>5055</x:v>
      </x:c>
      <x:c r="G529" s="50" t="n">
        <x:v>490.0913965399911</x:v>
      </x:c>
      <x:c r="H529" s="50" t="n">
        <x:v>5054.022</x:v>
      </x:c>
      <x:c r="I529" s="50" t="n">
        <x:v>396.55471647574586</x:v>
      </x:c>
      <x:c r="J529" s="42" t="n">
        <x:v>0.8091444152568128</x:v>
      </x:c>
      <x:c r="K529" s="42" t="n">
        <x:v>-0.0019955461509928002</x:v>
      </x:c>
      <x:c r="L529" s="26" t="n">
        <x:v>4418</x:v>
      </x:c>
      <x:c r="M529" s="26" t="n">
        <x:v>5042</x:v>
      </x:c>
      <x:c r="N529" s="26" t="n">
        <x:v>5729</x:v>
      </x:c>
    </x:row>
    <x:row r="530">
      <x:c r="A530" s="20" t="str">
        <x:v>T1_SHARED_CATCHMENT</x:v>
      </x:c>
      <x:c r="B530" s="20" t="str">
        <x:v>NYC-V1-R02</x:v>
      </x:c>
      <x:c r="C530" s="20" t="str">
        <x:v>V1</x:v>
      </x:c>
      <x:c r="D530" s="20" t="str">
        <x:v>renter_occupied_units</x:v>
      </x:c>
      <x:c r="E530" s="20" t="str">
        <x:v>housing</x:v>
      </x:c>
      <x:c r="F530" s="50" t="n">
        <x:v>9566</x:v>
      </x:c>
      <x:c r="G530" s="50" t="n">
        <x:v>447.24747372158976</x:v>
      </x:c>
      <x:c r="H530" s="50" t="n">
        <x:v>9566.181</x:v>
      </x:c>
      <x:c r="I530" s="50" t="n">
        <x:v>376.8940665178697</x:v>
      </x:c>
      <x:c r="J530" s="42" t="n">
        <x:v>0.8426969153826571</x:v>
      </x:c>
      <x:c r="K530" s="42" t="n">
        <x:v>0.0004046976464604174</x:v>
      </x:c>
      <x:c r="L530" s="26" t="n">
        <x:v>8927</x:v>
      </x:c>
      <x:c r="M530" s="26" t="n">
        <x:v>9563</x:v>
      </x:c>
      <x:c r="N530" s="26" t="n">
        <x:v>10187</x:v>
      </x:c>
    </x:row>
    <x:row r="531">
      <x:c r="A531" s="20" t="str">
        <x:v>T1_SHARED_CATCHMENT</x:v>
      </x:c>
      <x:c r="B531" s="20" t="str">
        <x:v>NYC-V1-R02</x:v>
      </x:c>
      <x:c r="C531" s="20" t="str">
        <x:v>V1</x:v>
      </x:c>
      <x:c r="D531" s="20" t="str">
        <x:v>one_unit_structures</x:v>
      </x:c>
      <x:c r="E531" s="20" t="str">
        <x:v>housing</x:v>
      </x:c>
      <x:c r="F531" s="50" t="n">
        <x:v>322</x:v>
      </x:c>
      <x:c r="G531" s="50" t="n">
        <x:v>168.4329439261361</x:v>
      </x:c>
      <x:c r="H531" s="50" t="n">
        <x:v>323.653</x:v>
      </x:c>
      <x:c r="I531" s="50" t="n">
        <x:v>158.81430216946325</x:v>
      </x:c>
      <x:c r="J531" s="42" t="n">
        <x:v>0.942893346559976</x:v>
      </x:c>
      <x:c r="K531" s="42" t="n">
        <x:v>0.009813994587216383</x:v>
      </x:c>
      <x:c r="L531" s="26" t="n">
        <x:v>60</x:v>
      </x:c>
      <x:c r="M531" s="26" t="n">
        <x:v>327</x:v>
      </x:c>
      <x:c r="N531" s="26" t="n">
        <x:v>590</x:v>
      </x:c>
    </x:row>
    <x:row r="532">
      <x:c r="A532" s="20" t="str">
        <x:v>T1_SHARED_CATCHMENT</x:v>
      </x:c>
      <x:c r="B532" s="20" t="str">
        <x:v>NYC-V1-R02</x:v>
      </x:c>
      <x:c r="C532" s="20" t="str">
        <x:v>V1</x:v>
      </x:c>
      <x:c r="D532" s="20" t="str">
        <x:v>two_to_four_unit_structures</x:v>
      </x:c>
      <x:c r="E532" s="20" t="str">
        <x:v>housing</x:v>
      </x:c>
      <x:c r="F532" s="50" t="n">
        <x:v>112</x:v>
      </x:c>
      <x:c r="G532" s="50" t="n">
        <x:v>64.85498875229969</x:v>
      </x:c>
      <x:c r="H532" s="50" t="n">
        <x:v>112.932</x:v>
      </x:c>
      <x:c r="I532" s="50" t="n">
        <x:v>61.52170589553167</x:v>
      </x:c>
      <x:c r="J532" s="42" t="n">
        <x:v>0.9486040639140527</x:v>
      </x:c>
      <x:c r="K532" s="42" t="n">
        <x:v>0.014370521341998605</x:v>
      </x:c>
      <x:c r="L532" s="26" t="n">
        <x:v>9</x:v>
      </x:c>
      <x:c r="M532" s="26" t="n">
        <x:v>112</x:v>
      </x:c>
      <x:c r="N532" s="26" t="n">
        <x:v>211</x:v>
      </x:c>
    </x:row>
    <x:row r="533">
      <x:c r="A533" s="20" t="str">
        <x:v>T1_SHARED_CATCHMENT</x:v>
      </x:c>
      <x:c r="B533" s="20" t="str">
        <x:v>NYC-V1-R02</x:v>
      </x:c>
      <x:c r="C533" s="20" t="str">
        <x:v>V1</x:v>
      </x:c>
      <x:c r="D533" s="20" t="str">
        <x:v>five_to_nineteen_unit_structures</x:v>
      </x:c>
      <x:c r="E533" s="20" t="str">
        <x:v>housing</x:v>
      </x:c>
      <x:c r="F533" s="50" t="n">
        <x:v>1335</x:v>
      </x:c>
      <x:c r="G533" s="50" t="n">
        <x:v>217.7564960151678</x:v>
      </x:c>
      <x:c r="H533" s="50" t="n">
        <x:v>1334.983</x:v>
      </x:c>
      <x:c r="I533" s="50" t="n">
        <x:v>204.52662381912737</x:v>
      </x:c>
      <x:c r="J533" s="42" t="n">
        <x:v>0.9392446496975276</x:v>
      </x:c>
      <x:c r="K533" s="42" t="n">
        <x:v>-0.0000780688535641601</x:v>
      </x:c>
      <x:c r="L533" s="26" t="n">
        <x:v>1001</x:v>
      </x:c>
      <x:c r="M533" s="26" t="n">
        <x:v>1334</x:v>
      </x:c>
      <x:c r="N533" s="26" t="n">
        <x:v>1667</x:v>
      </x:c>
    </x:row>
    <x:row r="534">
      <x:c r="A534" s="20" t="str">
        <x:v>T1_SHARED_CATCHMENT</x:v>
      </x:c>
      <x:c r="B534" s="20" t="str">
        <x:v>NYC-V1-R02</x:v>
      </x:c>
      <x:c r="C534" s="20" t="str">
        <x:v>V1</x:v>
      </x:c>
      <x:c r="D534" s="20" t="str">
        <x:v>twenty_to_forty_nine_unit_structures</x:v>
      </x:c>
      <x:c r="E534" s="20" t="str">
        <x:v>housing</x:v>
      </x:c>
      <x:c r="F534" s="50" t="n">
        <x:v>2999</x:v>
      </x:c>
      <x:c r="G534" s="50" t="n">
        <x:v>370.76834550384757</x:v>
      </x:c>
      <x:c r="H534" s="50" t="n">
        <x:v>2998.874</x:v>
      </x:c>
      <x:c r="I534" s="50" t="n">
        <x:v>321.6281187501658</x:v>
      </x:c>
      <x:c r="J534" s="42" t="n">
        <x:v>0.8674638022647168</x:v>
      </x:c>
      <x:c r="K534" s="42" t="n">
        <x:v>-0.000339834836301839</x:v>
      </x:c>
      <x:c r="L534" s="26" t="n">
        <x:v>2453</x:v>
      </x:c>
      <x:c r="M534" s="26" t="n">
        <x:v>3019</x:v>
      </x:c>
      <x:c r="N534" s="26" t="n">
        <x:v>3497</x:v>
      </x:c>
    </x:row>
    <x:row r="535">
      <x:c r="A535" s="20" t="str">
        <x:v>T1_SHARED_CATCHMENT</x:v>
      </x:c>
      <x:c r="B535" s="20" t="str">
        <x:v>NYC-V1-R02</x:v>
      </x:c>
      <x:c r="C535" s="20" t="str">
        <x:v>V1</x:v>
      </x:c>
      <x:c r="D535" s="20" t="str">
        <x:v>fifty_plus_unit_structures</x:v>
      </x:c>
      <x:c r="E535" s="20" t="str">
        <x:v>housing</x:v>
      </x:c>
      <x:c r="F535" s="50" t="n">
        <x:v>9853</x:v>
      </x:c>
      <x:c r="G535" s="50" t="n">
        <x:v>577.9262600209345</x:v>
      </x:c>
      <x:c r="H535" s="50" t="n">
        <x:v>9831.397</x:v>
      </x:c>
      <x:c r="I535" s="50" t="n">
        <x:v>415.1956367880181</x:v>
      </x:c>
      <x:c r="J535" s="42" t="n">
        <x:v>0.7184232064017618</x:v>
      </x:c>
      <x:c r="K535" s="42" t="n">
        <x:v>-0.03738020141049936</x:v>
      </x:c>
      <x:c r="L535" s="26" t="n">
        <x:v>9119</x:v>
      </x:c>
      <x:c r="M535" s="26" t="n">
        <x:v>9850</x:v>
      </x:c>
      <x:c r="N535" s="26" t="n">
        <x:v>10474</x:v>
      </x:c>
    </x:row>
    <x:row r="536">
      <x:c r="A536" s="20" t="str">
        <x:v>T1_SHARED_CATCHMENT</x:v>
      </x:c>
      <x:c r="B536" s="20" t="str">
        <x:v>NYC-V1-R02</x:v>
      </x:c>
      <x:c r="C536" s="20" t="str">
        <x:v>V1</x:v>
      </x:c>
      <x:c r="D536" s="20" t="str">
        <x:v>mobile_or_other_units</x:v>
      </x:c>
      <x:c r="E536" s="20" t="str">
        <x:v>housing</x:v>
      </x:c>
      <x:c r="F536" s="50" t="n">
        <x:v>0</x:v>
      </x:c>
      <x:c r="G536" s="50" t="n">
        <x:v>46.20060790273556</x:v>
      </x:c>
      <x:c r="H536" s="50" t="n">
        <x:v>18.364</x:v>
      </x:c>
      <x:c r="I536" s="50" t="n">
        <x:v>26.95771173935618</x:v>
      </x:c>
      <x:c r="J536" s="42" t="n">
        <x:v>0.5834925764636963</x:v>
      </x:c>
      <x:c r="K536" s="42" t="n">
        <x:v>0.3974839473684211</x:v>
      </x:c>
      <x:c r="L536" s="26" t="n">
        <x:v>0</x:v>
      </x:c>
      <x:c r="M536" s="26" t="n">
        <x:v>0</x:v>
      </x:c>
      <x:c r="N536" s="26" t="n">
        <x:v>74</x:v>
      </x:c>
    </x:row>
    <x:row r="537">
      <x:c r="A537" s="20" t="str">
        <x:v>T1_SHARED_CATCHMENT</x:v>
      </x:c>
      <x:c r="B537" s="20" t="str">
        <x:v>NYC-V1-R02</x:v>
      </x:c>
      <x:c r="C537" s="20" t="str">
        <x:v>V1</x:v>
      </x:c>
      <x:c r="D537" s="20" t="str">
        <x:v>electric_heat_households</x:v>
      </x:c>
      <x:c r="E537" s="20" t="str">
        <x:v>housing</x:v>
      </x:c>
      <x:c r="F537" s="50" t="n">
        <x:v>1670</x:v>
      </x:c>
      <x:c r="G537" s="50" t="n">
        <x:v>249.15707896826854</x:v>
      </x:c>
      <x:c r="H537" s="50" t="n">
        <x:v>1670.129</x:v>
      </x:c>
      <x:c r="I537" s="50" t="n">
        <x:v>251.42267543067933</x:v>
      </x:c>
      <x:c r="J537" s="42" t="n">
        <x:v>1.0090930447242052</x:v>
      </x:c>
      <x:c r="K537" s="42" t="n">
        <x:v>0.0005177456748733767</x:v>
      </x:c>
      <x:c r="L537" s="26" t="n">
        <x:v>1246</x:v>
      </x:c>
      <x:c r="M537" s="26" t="n">
        <x:v>1672</x:v>
      </x:c>
      <x:c r="N537" s="26" t="n">
        <x:v>2083</x:v>
      </x:c>
    </x:row>
    <x:row r="538">
      <x:c r="A538" s="20" t="str">
        <x:v>T1_SHARED_CATCHMENT</x:v>
      </x:c>
      <x:c r="B538" s="20" t="str">
        <x:v>NYC-V1-R02</x:v>
      </x:c>
      <x:c r="C538" s="20" t="str">
        <x:v>V1</x:v>
      </x:c>
      <x:c r="D538" s="20" t="str">
        <x:v>group_quarters_population</x:v>
      </x:c>
      <x:c r="E538" s="20" t="str">
        <x:v>population</x:v>
      </x:c>
      <x:c r="F538" s="50" t="n">
        <x:v>1123</x:v>
      </x:c>
      <x:c r="G538" s="50" t="n">
        <x:v>24.761865842460256</x:v>
      </x:c>
      <x:c r="H538" s="50" t="n">
        <x:v>1123.026</x:v>
      </x:c>
      <x:c r="I538" s="50" t="n">
        <x:v>24.248821194633962</x:v>
      </x:c>
      <x:c r="J538" s="42" t="n">
        <x:v>0.9792808566571525</x:v>
      </x:c>
      <x:c r="K538" s="42" t="n">
        <x:v>0.001050001650339449</x:v>
      </x:c>
      <x:c r="L538" s="26" t="n">
        <x:v>1084</x:v>
      </x:c>
      <x:c r="M538" s="26" t="n">
        <x:v>1124</x:v>
      </x:c>
      <x:c r="N538" s="26" t="n">
        <x:v>1162</x:v>
      </x:c>
    </x:row>
    <x:row r="539">
      <x:c r="A539" s="20" t="str">
        <x:v>T1_SHARED_CATCHMENT</x:v>
      </x:c>
      <x:c r="B539" s="20" t="str">
        <x:v>NYC-V1-R03</x:v>
      </x:c>
      <x:c r="C539" s="20" t="str">
        <x:v>V1</x:v>
      </x:c>
      <x:c r="D539" s="20" t="str">
        <x:v>acs_population</x:v>
      </x:c>
      <x:c r="E539" s="20" t="str">
        <x:v>population</x:v>
      </x:c>
      <x:c r="F539" s="50" t="n">
        <x:v>27923</x:v>
      </x:c>
      <x:c r="G539" s="50" t="n">
        <x:v>1294.5028196184046</x:v>
      </x:c>
      <x:c r="H539" s="50" t="n">
        <x:v>27923.322</x:v>
      </x:c>
      <x:c r="I539" s="50" t="n">
        <x:v>1236.618525533923</x:v>
      </x:c>
      <x:c r="J539" s="42" t="n">
        <x:v>0.9552845361112888</x:v>
      </x:c>
      <x:c r="K539" s="42" t="n">
        <x:v>0.00024874414726654365</x:v>
      </x:c>
      <x:c r="L539" s="26" t="n">
        <x:v>25975</x:v>
      </x:c>
      <x:c r="M539" s="26" t="n">
        <x:v>27947</x:v>
      </x:c>
      <x:c r="N539" s="26" t="n">
        <x:v>30043</x:v>
      </x:c>
    </x:row>
    <x:row r="540">
      <x:c r="A540" s="20" t="str">
        <x:v>T1_SHARED_CATCHMENT</x:v>
      </x:c>
      <x:c r="B540" s="20" t="str">
        <x:v>NYC-V1-R03</x:v>
      </x:c>
      <x:c r="C540" s="20" t="str">
        <x:v>V1</x:v>
      </x:c>
      <x:c r="D540" s="20" t="str">
        <x:v>age_under_18</x:v>
      </x:c>
      <x:c r="E540" s="20" t="str">
        <x:v>population</x:v>
      </x:c>
      <x:c r="F540" s="50" t="n">
        <x:v>2587</x:v>
      </x:c>
      <x:c r="G540" s="50" t="n">
        <x:v>385.9863339549731</x:v>
      </x:c>
      <x:c r="H540" s="50" t="n">
        <x:v>2588.146</x:v>
      </x:c>
      <x:c r="I540" s="50" t="n">
        <x:v>373.5676879783656</x:v>
      </x:c>
      <x:c r="J540" s="42" t="n">
        <x:v>0.9678262029399824</x:v>
      </x:c>
      <x:c r="K540" s="42" t="n">
        <x:v>0.0029690170329550354</x:v>
      </x:c>
      <x:c r="L540" s="26" t="n">
        <x:v>2019</x:v>
      </x:c>
      <x:c r="M540" s="26" t="n">
        <x:v>2572</x:v>
      </x:c>
      <x:c r="N540" s="26" t="n">
        <x:v>3242</x:v>
      </x:c>
    </x:row>
    <x:row r="541">
      <x:c r="A541" s="20" t="str">
        <x:v>T1_SHARED_CATCHMENT</x:v>
      </x:c>
      <x:c r="B541" s="20" t="str">
        <x:v>NYC-V1-R03</x:v>
      </x:c>
      <x:c r="C541" s="20" t="str">
        <x:v>V1</x:v>
      </x:c>
      <x:c r="D541" s="20" t="str">
        <x:v>age_65_plus</x:v>
      </x:c>
      <x:c r="E541" s="20" t="str">
        <x:v>population</x:v>
      </x:c>
      <x:c r="F541" s="50" t="n">
        <x:v>3991</x:v>
      </x:c>
      <x:c r="G541" s="50" t="n">
        <x:v>482.6947793378337</x:v>
      </x:c>
      <x:c r="H541" s="50" t="n">
        <x:v>4025.195</x:v>
      </x:c>
      <x:c r="I541" s="50" t="n">
        <x:v>454.8658284559271</x:v>
      </x:c>
      <x:c r="J541" s="42" t="n">
        <x:v>0.9423466917954184</x:v>
      </x:c>
      <x:c r="K541" s="42" t="n">
        <x:v>0.07084186832703941</x:v>
      </x:c>
      <x:c r="L541" s="26" t="n">
        <x:v>3320</x:v>
      </x:c>
      <x:c r="M541" s="26" t="n">
        <x:v>4007</x:v>
      </x:c>
      <x:c r="N541" s="26" t="n">
        <x:v>4803</x:v>
      </x:c>
    </x:row>
    <x:row r="542">
      <x:c r="A542" s="20" t="str">
        <x:v>T1_SHARED_CATCHMENT</x:v>
      </x:c>
      <x:c r="B542" s="20" t="str">
        <x:v>NYC-V1-R03</x:v>
      </x:c>
      <x:c r="C542" s="20" t="str">
        <x:v>V1</x:v>
      </x:c>
      <x:c r="D542" s="20" t="str">
        <x:v>age_75_plus</x:v>
      </x:c>
      <x:c r="E542" s="20" t="str">
        <x:v>population</x:v>
      </x:c>
      <x:c r="F542" s="50" t="n">
        <x:v>2191</x:v>
      </x:c>
      <x:c r="G542" s="50" t="n">
        <x:v>397.9192129063386</x:v>
      </x:c>
      <x:c r="H542" s="50" t="n">
        <x:v>2191.005</x:v>
      </x:c>
      <x:c r="I542" s="50" t="n">
        <x:v>392.97990302199827</x:v>
      </x:c>
      <x:c r="J542" s="42" t="n">
        <x:v>0.9875871540651069</x:v>
      </x:c>
      <x:c r="K542" s="42" t="n">
        <x:v>0.000012565364621602297</x:v>
      </x:c>
      <x:c r="L542" s="26" t="n">
        <x:v>1543</x:v>
      </x:c>
      <x:c r="M542" s="26" t="n">
        <x:v>2191</x:v>
      </x:c>
      <x:c r="N542" s="26" t="n">
        <x:v>2828</x:v>
      </x:c>
    </x:row>
    <x:row r="543">
      <x:c r="A543" s="20" t="str">
        <x:v>T1_SHARED_CATCHMENT</x:v>
      </x:c>
      <x:c r="B543" s="20" t="str">
        <x:v>NYC-V1-R03</x:v>
      </x:c>
      <x:c r="C543" s="20" t="str">
        <x:v>V1</x:v>
      </x:c>
      <x:c r="D543" s="20" t="str">
        <x:v>age_85_plus</x:v>
      </x:c>
      <x:c r="E543" s="20" t="str">
        <x:v>population</x:v>
      </x:c>
      <x:c r="F543" s="50" t="n">
        <x:v>1125</x:v>
      </x:c>
      <x:c r="G543" s="50" t="n">
        <x:v>331.8523014836571</x:v>
      </x:c>
      <x:c r="H543" s="50" t="n">
        <x:v>1125.034</x:v>
      </x:c>
      <x:c r="I543" s="50" t="n">
        <x:v>333.8470918320612</x:v>
      </x:c>
      <x:c r="J543" s="42" t="n">
        <x:v>1.006011078842864</x:v>
      </x:c>
      <x:c r="K543" s="42" t="n">
        <x:v>0.00010245521832483034</x:v>
      </x:c>
      <x:c r="L543" s="26" t="n">
        <x:v>560</x:v>
      </x:c>
      <x:c r="M543" s="26" t="n">
        <x:v>1130</x:v>
      </x:c>
      <x:c r="N543" s="26" t="n">
        <x:v>1670</x:v>
      </x:c>
    </x:row>
    <x:row r="544">
      <x:c r="A544" s="20" t="str">
        <x:v>T1_SHARED_CATCHMENT</x:v>
      </x:c>
      <x:c r="B544" s="20" t="str">
        <x:v>NYC-V1-R03</x:v>
      </x:c>
      <x:c r="C544" s="20" t="str">
        <x:v>V1</x:v>
      </x:c>
      <x:c r="D544" s="20" t="str">
        <x:v>civilian_noninstitutionalized</x:v>
      </x:c>
      <x:c r="E544" s="20" t="str">
        <x:v>disability</x:v>
      </x:c>
      <x:c r="F544" s="50" t="n">
        <x:v>27908</x:v>
      </x:c>
      <x:c r="G544" s="50" t="n">
        <x:v>1294.6642614979376</x:v>
      </x:c>
      <x:c r="H544" s="50" t="n">
        <x:v>27255.649</x:v>
      </x:c>
      <x:c r="I544" s="50" t="n">
        <x:v>1063.8716071949639</x:v>
      </x:c>
      <x:c r="J544" s="42" t="n">
        <x:v>0.821735517719517</x:v>
      </x:c>
      <x:c r="K544" s="42" t="n">
        <x:v>-0.5038765797437114</x:v>
      </x:c>
      <x:c r="L544" s="26" t="n">
        <x:v>25522</x:v>
      </x:c>
      <x:c r="M544" s="26" t="n">
        <x:v>27283</x:v>
      </x:c>
      <x:c r="N544" s="26" t="n">
        <x:v>28993</x:v>
      </x:c>
    </x:row>
    <x:row r="545">
      <x:c r="A545" s="20" t="str">
        <x:v>T1_SHARED_CATCHMENT</x:v>
      </x:c>
      <x:c r="B545" s="20" t="str">
        <x:v>NYC-V1-R03</x:v>
      </x:c>
      <x:c r="C545" s="20" t="str">
        <x:v>V1</x:v>
      </x:c>
      <x:c r="D545" s="20" t="str">
        <x:v>any_disability</x:v>
      </x:c>
      <x:c r="E545" s="20" t="str">
        <x:v>disability</x:v>
      </x:c>
      <x:c r="F545" s="50" t="n">
        <x:v>1575</x:v>
      </x:c>
      <x:c r="G545" s="50" t="n">
        <x:v>268.2469011936578</x:v>
      </x:c>
      <x:c r="H545" s="50" t="n">
        <x:v>1577.598</x:v>
      </x:c>
      <x:c r="I545" s="50" t="n">
        <x:v>291.3927008387514</x:v>
      </x:c>
      <x:c r="J545" s="42" t="n">
        <x:v>1.086285431600881</x:v>
      </x:c>
      <x:c r="K545" s="42" t="n">
        <x:v>0.009685107221888688</x:v>
      </x:c>
      <x:c r="L545" s="26" t="n">
        <x:v>1098</x:v>
      </x:c>
      <x:c r="M545" s="26" t="n">
        <x:v>1580</x:v>
      </x:c>
      <x:c r="N545" s="26" t="n">
        <x:v>2049</x:v>
      </x:c>
    </x:row>
    <x:row r="546">
      <x:c r="A546" s="20" t="str">
        <x:v>T1_SHARED_CATCHMENT</x:v>
      </x:c>
      <x:c r="B546" s="20" t="str">
        <x:v>NYC-V1-R03</x:v>
      </x:c>
      <x:c r="C546" s="20" t="str">
        <x:v>V1</x:v>
      </x:c>
      <x:c r="D546" s="20" t="str">
        <x:v>disability_under_18</x:v>
      </x:c>
      <x:c r="E546" s="20" t="str">
        <x:v>disability</x:v>
      </x:c>
      <x:c r="F546" s="50" t="n">
        <x:v>81</x:v>
      </x:c>
      <x:c r="G546" s="50" t="n">
        <x:v>56.507079202521176</x:v>
      </x:c>
      <x:c r="H546" s="50" t="n">
        <x:v>83.209</x:v>
      </x:c>
      <x:c r="I546" s="50" t="n">
        <x:v>53.717472817379324</x:v>
      </x:c>
      <x:c r="J546" s="42" t="n">
        <x:v>0.9506326211775358</x:v>
      </x:c>
      <x:c r="K546" s="42" t="n">
        <x:v>0.03909244702036279</x:v>
      </x:c>
      <x:c r="L546" s="26" t="n">
        <x:v>0</x:v>
      </x:c>
      <x:c r="M546" s="26" t="n">
        <x:v>83</x:v>
      </x:c>
      <x:c r="N546" s="26" t="n">
        <x:v>176</x:v>
      </x:c>
    </x:row>
    <x:row r="547">
      <x:c r="A547" s="20" t="str">
        <x:v>T1_SHARED_CATCHMENT</x:v>
      </x:c>
      <x:c r="B547" s="20" t="str">
        <x:v>NYC-V1-R03</x:v>
      </x:c>
      <x:c r="C547" s="20" t="str">
        <x:v>V1</x:v>
      </x:c>
      <x:c r="D547" s="20" t="str">
        <x:v>disability_18_64</x:v>
      </x:c>
      <x:c r="E547" s="20" t="str">
        <x:v>disability</x:v>
      </x:c>
      <x:c r="F547" s="50" t="n">
        <x:v>641</x:v>
      </x:c>
      <x:c r="G547" s="50" t="n">
        <x:v>148.07616283521128</x:v>
      </x:c>
      <x:c r="H547" s="50" t="n">
        <x:v>641.078</x:v>
      </x:c>
      <x:c r="I547" s="50" t="n">
        <x:v>149.83406208923978</x:v>
      </x:c>
      <x:c r="J547" s="42" t="n">
        <x:v>1.0118715883797234</x:v>
      </x:c>
      <x:c r="K547" s="42" t="n">
        <x:v>0.0005267559511707362</x:v>
      </x:c>
      <x:c r="L547" s="26" t="n">
        <x:v>392</x:v>
      </x:c>
      <x:c r="M547" s="26" t="n">
        <x:v>645</x:v>
      </x:c>
      <x:c r="N547" s="26" t="n">
        <x:v>890</x:v>
      </x:c>
    </x:row>
    <x:row r="548">
      <x:c r="A548" s="20" t="str">
        <x:v>T1_SHARED_CATCHMENT</x:v>
      </x:c>
      <x:c r="B548" s="20" t="str">
        <x:v>NYC-V1-R03</x:v>
      </x:c>
      <x:c r="C548" s="20" t="str">
        <x:v>V1</x:v>
      </x:c>
      <x:c r="D548" s="20" t="str">
        <x:v>disability_65_plus</x:v>
      </x:c>
      <x:c r="E548" s="20" t="str">
        <x:v>disability</x:v>
      </x:c>
      <x:c r="F548" s="50" t="n">
        <x:v>853</x:v>
      </x:c>
      <x:c r="G548" s="50" t="n">
        <x:v>202.96255812341352</x:v>
      </x:c>
      <x:c r="H548" s="50" t="n">
        <x:v>853.311</x:v>
      </x:c>
      <x:c r="I548" s="50" t="n">
        <x:v>201.97467675193602</x:v>
      </x:c>
      <x:c r="J548" s="42" t="n">
        <x:v>0.9951326915633533</x:v>
      </x:c>
      <x:c r="K548" s="42" t="n">
        <x:v>0.0015323023264760423</x:v>
      </x:c>
      <x:c r="L548" s="26" t="n">
        <x:v>523</x:v>
      </x:c>
      <x:c r="M548" s="26" t="n">
        <x:v>853</x:v>
      </x:c>
      <x:c r="N548" s="26" t="n">
        <x:v>1197</x:v>
      </x:c>
    </x:row>
    <x:row r="549">
      <x:c r="A549" s="20" t="str">
        <x:v>T1_SHARED_CATCHMENT</x:v>
      </x:c>
      <x:c r="B549" s="20" t="str">
        <x:v>NYC-V1-R03</x:v>
      </x:c>
      <x:c r="C549" s="20" t="str">
        <x:v>V1</x:v>
      </x:c>
      <x:c r="D549" s="20" t="str">
        <x:v>hearing_difficulty</x:v>
      </x:c>
      <x:c r="E549" s="20" t="str">
        <x:v>disability</x:v>
      </x:c>
      <x:c r="F549" s="50" t="n">
        <x:v>386</x:v>
      </x:c>
      <x:c r="G549" s="50" t="n">
        <x:v>172.27474451061414</x:v>
      </x:c>
      <x:c r="H549" s="50" t="n">
        <x:v>386.644</x:v>
      </x:c>
      <x:c r="I549" s="50" t="n">
        <x:v>170.02255418894558</x:v>
      </x:c>
      <x:c r="J549" s="42" t="n">
        <x:v>0.9869267527978844</x:v>
      </x:c>
      <x:c r="K549" s="42" t="n">
        <x:v>0.003738214802346304</x:v>
      </x:c>
      <x:c r="L549" s="26" t="n">
        <x:v>104</x:v>
      </x:c>
      <x:c r="M549" s="26" t="n">
        <x:v>387</x:v>
      </x:c>
      <x:c r="N549" s="26" t="n">
        <x:v>675</x:v>
      </x:c>
    </x:row>
    <x:row r="550">
      <x:c r="A550" s="20" t="str">
        <x:v>T1_SHARED_CATCHMENT</x:v>
      </x:c>
      <x:c r="B550" s="20" t="str">
        <x:v>NYC-V1-R03</x:v>
      </x:c>
      <x:c r="C550" s="20" t="str">
        <x:v>V1</x:v>
      </x:c>
      <x:c r="D550" s="20" t="str">
        <x:v>vision_difficulty</x:v>
      </x:c>
      <x:c r="E550" s="20" t="str">
        <x:v>disability</x:v>
      </x:c>
      <x:c r="F550" s="50" t="n">
        <x:v>255</x:v>
      </x:c>
      <x:c r="G550" s="50" t="n">
        <x:v>112.55069205055119</x:v>
      </x:c>
      <x:c r="H550" s="50" t="n">
        <x:v>255.387</x:v>
      </x:c>
      <x:c r="I550" s="50" t="n">
        <x:v>108.70312599277263</x:v>
      </x:c>
      <x:c r="J550" s="42" t="n">
        <x:v>0.9658148165268459</x:v>
      </x:c>
      <x:c r="K550" s="42" t="n">
        <x:v>0.0034384506478750275</x:v>
      </x:c>
      <x:c r="L550" s="26" t="n">
        <x:v>79</x:v>
      </x:c>
      <x:c r="M550" s="26" t="n">
        <x:v>255</x:v>
      </x:c>
      <x:c r="N550" s="26" t="n">
        <x:v>438</x:v>
      </x:c>
    </x:row>
    <x:row r="551">
      <x:c r="A551" s="20" t="str">
        <x:v>T1_SHARED_CATCHMENT</x:v>
      </x:c>
      <x:c r="B551" s="20" t="str">
        <x:v>NYC-V1-R03</x:v>
      </x:c>
      <x:c r="C551" s="20" t="str">
        <x:v>V1</x:v>
      </x:c>
      <x:c r="D551" s="20" t="str">
        <x:v>cognitive_difficulty</x:v>
      </x:c>
      <x:c r="E551" s="20" t="str">
        <x:v>disability</x:v>
      </x:c>
      <x:c r="F551" s="50" t="n">
        <x:v>575</x:v>
      </x:c>
      <x:c r="G551" s="50" t="n">
        <x:v>140.34261160538108</x:v>
      </x:c>
      <x:c r="H551" s="50" t="n">
        <x:v>575.025</x:v>
      </x:c>
      <x:c r="I551" s="50" t="n">
        <x:v>138.59163039309053</x:v>
      </x:c>
      <x:c r="J551" s="42" t="n">
        <x:v>0.9875235240939223</x:v>
      </x:c>
      <x:c r="K551" s="42" t="n">
        <x:v>0.00017813549081068048</x:v>
      </x:c>
      <x:c r="L551" s="26" t="n">
        <x:v>349</x:v>
      </x:c>
      <x:c r="M551" s="26" t="n">
        <x:v>571</x:v>
      </x:c>
      <x:c r="N551" s="26" t="n">
        <x:v>802</x:v>
      </x:c>
    </x:row>
    <x:row r="552">
      <x:c r="A552" s="20" t="str">
        <x:v>T1_SHARED_CATCHMENT</x:v>
      </x:c>
      <x:c r="B552" s="20" t="str">
        <x:v>NYC-V1-R03</x:v>
      </x:c>
      <x:c r="C552" s="20" t="str">
        <x:v>V1</x:v>
      </x:c>
      <x:c r="D552" s="20" t="str">
        <x:v>ambulatory_difficulty</x:v>
      </x:c>
      <x:c r="E552" s="20" t="str">
        <x:v>disability</x:v>
      </x:c>
      <x:c r="F552" s="50" t="n">
        <x:v>786</x:v>
      </x:c>
      <x:c r="G552" s="50" t="n">
        <x:v>208.07863299724175</x:v>
      </x:c>
      <x:c r="H552" s="50" t="n">
        <x:v>785.487</x:v>
      </x:c>
      <x:c r="I552" s="50" t="n">
        <x:v>204.92807359253231</x:v>
      </x:c>
      <x:c r="J552" s="42" t="n">
        <x:v>0.9848588038121568</x:v>
      </x:c>
      <x:c r="K552" s="42" t="n">
        <x:v>-0.0024654141206648253</x:v>
      </x:c>
      <x:c r="L552" s="26" t="n">
        <x:v>444</x:v>
      </x:c>
      <x:c r="M552" s="26" t="n">
        <x:v>783</x:v>
      </x:c>
      <x:c r="N552" s="26" t="n">
        <x:v>1114</x:v>
      </x:c>
    </x:row>
    <x:row r="553">
      <x:c r="A553" s="20" t="str">
        <x:v>T1_SHARED_CATCHMENT</x:v>
      </x:c>
      <x:c r="B553" s="20" t="str">
        <x:v>NYC-V1-R03</x:v>
      </x:c>
      <x:c r="C553" s="20" t="str">
        <x:v>V1</x:v>
      </x:c>
      <x:c r="D553" s="20" t="str">
        <x:v>self_care_difficulty</x:v>
      </x:c>
      <x:c r="E553" s="20" t="str">
        <x:v>disability</x:v>
      </x:c>
      <x:c r="F553" s="50" t="n">
        <x:v>505</x:v>
      </x:c>
      <x:c r="G553" s="50" t="n">
        <x:v>184.7024205464741</x:v>
      </x:c>
      <x:c r="H553" s="50" t="n">
        <x:v>505.339</x:v>
      </x:c>
      <x:c r="I553" s="50" t="n">
        <x:v>186.448768358019</x:v>
      </x:c>
      <x:c r="J553" s="42" t="n">
        <x:v>1.0094549265049046</x:v>
      </x:c>
      <x:c r="K553" s="42" t="n">
        <x:v>0.0018353847177368246</x:v>
      </x:c>
      <x:c r="L553" s="26" t="n">
        <x:v>209</x:v>
      </x:c>
      <x:c r="M553" s="26" t="n">
        <x:v>503</x:v>
      </x:c>
      <x:c r="N553" s="26" t="n">
        <x:v>816</x:v>
      </x:c>
    </x:row>
    <x:row r="554">
      <x:c r="A554" s="20" t="str">
        <x:v>T1_SHARED_CATCHMENT</x:v>
      </x:c>
      <x:c r="B554" s="20" t="str">
        <x:v>NYC-V1-R03</x:v>
      </x:c>
      <x:c r="C554" s="20" t="str">
        <x:v>V1</x:v>
      </x:c>
      <x:c r="D554" s="20" t="str">
        <x:v>independent_living_difficulty</x:v>
      </x:c>
      <x:c r="E554" s="20" t="str">
        <x:v>disability</x:v>
      </x:c>
      <x:c r="F554" s="50" t="n">
        <x:v>574</x:v>
      </x:c>
      <x:c r="G554" s="50" t="n">
        <x:v>158.44469073753095</x:v>
      </x:c>
      <x:c r="H554" s="50" t="n">
        <x:v>573.918</x:v>
      </x:c>
      <x:c r="I554" s="50" t="n">
        <x:v>158.5223094665183</x:v>
      </x:c>
      <x:c r="J554" s="42" t="n">
        <x:v>1.0004898790147279</x:v>
      </x:c>
      <x:c r="K554" s="42" t="n">
        <x:v>-0.0005175307523294008</x:v>
      </x:c>
      <x:c r="L554" s="26" t="n">
        <x:v>312</x:v>
      </x:c>
      <x:c r="M554" s="26" t="n">
        <x:v>571</x:v>
      </x:c>
      <x:c r="N554" s="26" t="n">
        <x:v>838</x:v>
      </x:c>
    </x:row>
    <x:row r="555">
      <x:c r="A555" s="20" t="str">
        <x:v>T1_SHARED_CATCHMENT</x:v>
      </x:c>
      <x:c r="B555" s="20" t="str">
        <x:v>NYC-V1-R03</x:v>
      </x:c>
      <x:c r="C555" s="20" t="str">
        <x:v>V1</x:v>
      </x:c>
      <x:c r="D555" s="20" t="str">
        <x:v>households</x:v>
      </x:c>
      <x:c r="E555" s="20" t="str">
        <x:v>household</x:v>
      </x:c>
      <x:c r="F555" s="50" t="n">
        <x:v>15988</x:v>
      </x:c>
      <x:c r="G555" s="50" t="n">
        <x:v>623.0899614020435</x:v>
      </x:c>
      <x:c r="H555" s="50" t="n">
        <x:v>15988.376</x:v>
      </x:c>
      <x:c r="I555" s="50" t="n">
        <x:v>595.3608982988582</x:v>
      </x:c>
      <x:c r="J555" s="42" t="n">
        <x:v>0.9554974966362948</x:v>
      </x:c>
      <x:c r="K555" s="42" t="n">
        <x:v>0.0006034441626280557</x:v>
      </x:c>
      <x:c r="L555" s="26" t="n">
        <x:v>15007</x:v>
      </x:c>
      <x:c r="M555" s="26" t="n">
        <x:v>15974</x:v>
      </x:c>
      <x:c r="N555" s="26" t="n">
        <x:v>16950</x:v>
      </x:c>
    </x:row>
    <x:row r="556">
      <x:c r="A556" s="20" t="str">
        <x:v>T1_SHARED_CATCHMENT</x:v>
      </x:c>
      <x:c r="B556" s="20" t="str">
        <x:v>NYC-V1-R03</x:v>
      </x:c>
      <x:c r="C556" s="20" t="str">
        <x:v>V1</x:v>
      </x:c>
      <x:c r="D556" s="20" t="str">
        <x:v>family_households</x:v>
      </x:c>
      <x:c r="E556" s="20" t="str">
        <x:v>household</x:v>
      </x:c>
      <x:c r="F556" s="50" t="n">
        <x:v>4357</x:v>
      </x:c>
      <x:c r="G556" s="50" t="n">
        <x:v>388.86167206347295</x:v>
      </x:c>
      <x:c r="H556" s="50" t="n">
        <x:v>4357.067</x:v>
      </x:c>
      <x:c r="I556" s="50" t="n">
        <x:v>392.74867540582875</x:v>
      </x:c>
      <x:c r="J556" s="42" t="n">
        <x:v>1.0099958510226261</x:v>
      </x:c>
      <x:c r="K556" s="42" t="n">
        <x:v>0.00017229777273876205</x:v>
      </x:c>
      <x:c r="L556" s="26" t="n">
        <x:v>3703</x:v>
      </x:c>
      <x:c r="M556" s="26" t="n">
        <x:v>4373</x:v>
      </x:c>
      <x:c r="N556" s="26" t="n">
        <x:v>4958</x:v>
      </x:c>
    </x:row>
    <x:row r="557">
      <x:c r="A557" s="20" t="str">
        <x:v>T1_SHARED_CATCHMENT</x:v>
      </x:c>
      <x:c r="B557" s="20" t="str">
        <x:v>NYC-V1-R03</x:v>
      </x:c>
      <x:c r="C557" s="20" t="str">
        <x:v>V1</x:v>
      </x:c>
      <x:c r="D557" s="20" t="str">
        <x:v>nonfamily_households</x:v>
      </x:c>
      <x:c r="E557" s="20" t="str">
        <x:v>household</x:v>
      </x:c>
      <x:c r="F557" s="50" t="n">
        <x:v>11631</x:v>
      </x:c>
      <x:c r="G557" s="50" t="n">
        <x:v>609.3476019481819</x:v>
      </x:c>
      <x:c r="H557" s="50" t="n">
        <x:v>11631.309</x:v>
      </x:c>
      <x:c r="I557" s="50" t="n">
        <x:v>667.4237049438093</x:v>
      </x:c>
      <x:c r="J557" s="42" t="n">
        <x:v>1.0953086593102996</x:v>
      </x:c>
      <x:c r="K557" s="42" t="n">
        <x:v>0.0005070997227384903</x:v>
      </x:c>
      <x:c r="L557" s="26" t="n">
        <x:v>10546</x:v>
      </x:c>
      <x:c r="M557" s="26" t="n">
        <x:v>11628</x:v>
      </x:c>
      <x:c r="N557" s="26" t="n">
        <x:v>12703</x:v>
      </x:c>
    </x:row>
    <x:row r="558">
      <x:c r="A558" s="20" t="str">
        <x:v>T1_SHARED_CATCHMENT</x:v>
      </x:c>
      <x:c r="B558" s="20" t="str">
        <x:v>NYC-V1-R03</x:v>
      </x:c>
      <x:c r="C558" s="20" t="str">
        <x:v>V1</x:v>
      </x:c>
      <x:c r="D558" s="20" t="str">
        <x:v>living_alone_households</x:v>
      </x:c>
      <x:c r="E558" s="20" t="str">
        <x:v>household</x:v>
      </x:c>
      <x:c r="F558" s="50" t="n">
        <x:v>9147</x:v>
      </x:c>
      <x:c r="G558" s="50" t="n">
        <x:v>621.7712601913987</x:v>
      </x:c>
      <x:c r="H558" s="50" t="n">
        <x:v>9147.134</x:v>
      </x:c>
      <x:c r="I558" s="50" t="n">
        <x:v>624.8127359449381</x:v>
      </x:c>
      <x:c r="J558" s="42" t="n">
        <x:v>1.0048916312931595</x:v>
      </x:c>
      <x:c r="K558" s="42" t="n">
        <x:v>0.0002155133383919443</x:v>
      </x:c>
      <x:c r="L558" s="26" t="n">
        <x:v>8124</x:v>
      </x:c>
      <x:c r="M558" s="26" t="n">
        <x:v>9161</x:v>
      </x:c>
      <x:c r="N558" s="26" t="n">
        <x:v>10159</x:v>
      </x:c>
    </x:row>
    <x:row r="559">
      <x:c r="A559" s="20" t="str">
        <x:v>T1_SHARED_CATCHMENT</x:v>
      </x:c>
      <x:c r="B559" s="20" t="str">
        <x:v>NYC-V1-R03</x:v>
      </x:c>
      <x:c r="C559" s="20" t="str">
        <x:v>V1</x:v>
      </x:c>
      <x:c r="D559" s="20" t="str">
        <x:v>households_with_children</x:v>
      </x:c>
      <x:c r="E559" s="20" t="str">
        <x:v>household</x:v>
      </x:c>
      <x:c r="F559" s="50" t="n">
        <x:v>1635</x:v>
      </x:c>
      <x:c r="G559" s="50" t="n">
        <x:v>202.8717575218394</x:v>
      </x:c>
      <x:c r="H559" s="50" t="n">
        <x:v>1634.907</x:v>
      </x:c>
      <x:c r="I559" s="50" t="n">
        <x:v>197.14496820738157</x:v>
      </x:c>
      <x:c r="J559" s="42" t="n">
        <x:v>0.9717713821558362</x:v>
      </x:c>
      <x:c r="K559" s="42" t="n">
        <x:v>-0.0004584176779267218</x:v>
      </x:c>
      <x:c r="L559" s="26" t="n">
        <x:v>1326</x:v>
      </x:c>
      <x:c r="M559" s="26" t="n">
        <x:v>1632</x:v>
      </x:c>
      <x:c r="N559" s="26" t="n">
        <x:v>1969</x:v>
      </x:c>
    </x:row>
    <x:row r="560">
      <x:c r="A560" s="20" t="str">
        <x:v>T1_SHARED_CATCHMENT</x:v>
      </x:c>
      <x:c r="B560" s="20" t="str">
        <x:v>NYC-V1-R03</x:v>
      </x:c>
      <x:c r="C560" s="20" t="str">
        <x:v>V1</x:v>
      </x:c>
      <x:c r="D560" s="20" t="str">
        <x:v>households_with_age65</x:v>
      </x:c>
      <x:c r="E560" s="20" t="str">
        <x:v>household</x:v>
      </x:c>
      <x:c r="F560" s="50" t="n">
        <x:v>3281</x:v>
      </x:c>
      <x:c r="G560" s="50" t="n">
        <x:v>439.7300308143623</x:v>
      </x:c>
      <x:c r="H560" s="50" t="n">
        <x:v>3280.997</x:v>
      </x:c>
      <x:c r="I560" s="50" t="n">
        <x:v>435.24263939341483</x:v>
      </x:c>
      <x:c r="J560" s="42" t="n">
        <x:v>0.9897951217645131</x:v>
      </x:c>
      <x:c r="K560" s="42" t="n">
        <x:v>-0.0000068223677937132336</x:v>
      </x:c>
      <x:c r="L560" s="26" t="n">
        <x:v>2580</x:v>
      </x:c>
      <x:c r="M560" s="26" t="n">
        <x:v>3282</x:v>
      </x:c>
      <x:c r="N560" s="26" t="n">
        <x:v>4015</x:v>
      </x:c>
    </x:row>
    <x:row r="561">
      <x:c r="A561" s="20" t="str">
        <x:v>T1_SHARED_CATCHMENT</x:v>
      </x:c>
      <x:c r="B561" s="20" t="str">
        <x:v>NYC-V1-R03</x:v>
      </x:c>
      <x:c r="C561" s="20" t="str">
        <x:v>V1</x:v>
      </x:c>
      <x:c r="D561" s="20" t="str">
        <x:v>age65_one_person_households</x:v>
      </x:c>
      <x:c r="E561" s="20" t="str">
        <x:v>household</x:v>
      </x:c>
      <x:c r="F561" s="50" t="n">
        <x:v>2208</x:v>
      </x:c>
      <x:c r="G561" s="50" t="n">
        <x:v>385.16801528683555</x:v>
      </x:c>
      <x:c r="H561" s="50" t="n">
        <x:v>2208.118</x:v>
      </x:c>
      <x:c r="I561" s="50" t="n">
        <x:v>372.6404983586956</x:v>
      </x:c>
      <x:c r="J561" s="42" t="n">
        <x:v>0.9674751889281079</x:v>
      </x:c>
      <x:c r="K561" s="42" t="n">
        <x:v>0.0003063598100482546</x:v>
      </x:c>
      <x:c r="L561" s="26" t="n">
        <x:v>1592</x:v>
      </x:c>
      <x:c r="M561" s="26" t="n">
        <x:v>2212</x:v>
      </x:c>
      <x:c r="N561" s="26" t="n">
        <x:v>2831</x:v>
      </x:c>
    </x:row>
    <x:row r="562">
      <x:c r="A562" s="20" t="str">
        <x:v>T1_SHARED_CATCHMENT</x:v>
      </x:c>
      <x:c r="B562" s="20" t="str">
        <x:v>NYC-V1-R03</x:v>
      </x:c>
      <x:c r="C562" s="20" t="str">
        <x:v>V1</x:v>
      </x:c>
      <x:c r="D562" s="20" t="str">
        <x:v>no_vehicle_households</x:v>
      </x:c>
      <x:c r="E562" s="20" t="str">
        <x:v>household</x:v>
      </x:c>
      <x:c r="F562" s="50" t="n">
        <x:v>13735</x:v>
      </x:c>
      <x:c r="G562" s="50" t="n">
        <x:v>592.8713039700183</x:v>
      </x:c>
      <x:c r="H562" s="50" t="n">
        <x:v>13734.534</x:v>
      </x:c>
      <x:c r="I562" s="50" t="n">
        <x:v>592.0295954476312</x:v>
      </x:c>
      <x:c r="J562" s="42" t="n">
        <x:v>0.9985802845967569</x:v>
      </x:c>
      <x:c r="K562" s="42" t="n">
        <x:v>-0.000786005321694428</x:v>
      </x:c>
      <x:c r="L562" s="26" t="n">
        <x:v>12748</x:v>
      </x:c>
      <x:c r="M562" s="26" t="n">
        <x:v>13732</x:v>
      </x:c>
      <x:c r="N562" s="26" t="n">
        <x:v>14688</x:v>
      </x:c>
    </x:row>
    <x:row r="563">
      <x:c r="A563" s="20" t="str">
        <x:v>T1_SHARED_CATCHMENT</x:v>
      </x:c>
      <x:c r="B563" s="20" t="str">
        <x:v>NYC-V1-R03</x:v>
      </x:c>
      <x:c r="C563" s="20" t="str">
        <x:v>V1</x:v>
      </x:c>
      <x:c r="D563" s="20" t="str">
        <x:v>limited_english_households</x:v>
      </x:c>
      <x:c r="E563" s="20" t="str">
        <x:v>household</x:v>
      </x:c>
      <x:c r="F563" s="50" t="n">
        <x:v>645</x:v>
      </x:c>
      <x:c r="G563" s="50" t="n">
        <x:v>218.718301732596</x:v>
      </x:c>
      <x:c r="H563" s="50" t="n">
        <x:v>645.197</x:v>
      </x:c>
      <x:c r="I563" s="50" t="n">
        <x:v>219.70072963374884</x:v>
      </x:c>
      <x:c r="J563" s="42" t="n">
        <x:v>1.0044917498598447</x:v>
      </x:c>
      <x:c r="K563" s="42" t="n">
        <x:v>0.0009007019460166349</x:v>
      </x:c>
      <x:c r="L563" s="26" t="n">
        <x:v>278</x:v>
      </x:c>
      <x:c r="M563" s="26" t="n">
        <x:v>649</x:v>
      </x:c>
      <x:c r="N563" s="26" t="n">
        <x:v>1017</x:v>
      </x:c>
    </x:row>
    <x:row r="564">
      <x:c r="A564" s="20" t="str">
        <x:v>T1_SHARED_CATCHMENT</x:v>
      </x:c>
      <x:c r="B564" s="20" t="str">
        <x:v>NYC-V1-R03</x:v>
      </x:c>
      <x:c r="C564" s="20" t="str">
        <x:v>V1</x:v>
      </x:c>
      <x:c r="D564" s="20" t="str">
        <x:v>housing_units</x:v>
      </x:c>
      <x:c r="E564" s="20" t="str">
        <x:v>housing</x:v>
      </x:c>
      <x:c r="F564" s="50" t="n">
        <x:v>19433</x:v>
      </x:c>
      <x:c r="G564" s="50" t="n">
        <x:v>530.0162733350742</x:v>
      </x:c>
      <x:c r="H564" s="50" t="n">
        <x:v>19433.585</x:v>
      </x:c>
      <x:c r="I564" s="50" t="n">
        <x:v>585.8032094271721</x:v>
      </x:c>
      <x:c r="J564" s="42" t="n">
        <x:v>1.1052551381886149</x:v>
      </x:c>
      <x:c r="K564" s="42" t="n">
        <x:v>0.0011037396952325127</x:v>
      </x:c>
      <x:c r="L564" s="26" t="n">
        <x:v>18504</x:v>
      </x:c>
      <x:c r="M564" s="26" t="n">
        <x:v>19435</x:v>
      </x:c>
      <x:c r="N564" s="26" t="n">
        <x:v>20396</x:v>
      </x:c>
    </x:row>
    <x:row r="565">
      <x:c r="A565" s="20" t="str">
        <x:v>T1_SHARED_CATCHMENT</x:v>
      </x:c>
      <x:c r="B565" s="20" t="str">
        <x:v>NYC-V1-R03</x:v>
      </x:c>
      <x:c r="C565" s="20" t="str">
        <x:v>V1</x:v>
      </x:c>
      <x:c r="D565" s="20" t="str">
        <x:v>occupied_housing_units</x:v>
      </x:c>
      <x:c r="E565" s="20" t="str">
        <x:v>housing</x:v>
      </x:c>
      <x:c r="F565" s="50" t="n">
        <x:v>15988</x:v>
      </x:c>
      <x:c r="G565" s="50" t="n">
        <x:v>623.0899614020435</x:v>
      </x:c>
      <x:c r="H565" s="50" t="n">
        <x:v>15988.376</x:v>
      </x:c>
      <x:c r="I565" s="50" t="n">
        <x:v>595.3608982988582</x:v>
      </x:c>
      <x:c r="J565" s="42" t="n">
        <x:v>0.9554974966362948</x:v>
      </x:c>
      <x:c r="K565" s="42" t="n">
        <x:v>0.0006034441626280557</x:v>
      </x:c>
      <x:c r="L565" s="26" t="n">
        <x:v>15007</x:v>
      </x:c>
      <x:c r="M565" s="26" t="n">
        <x:v>15974</x:v>
      </x:c>
      <x:c r="N565" s="26" t="n">
        <x:v>16950</x:v>
      </x:c>
    </x:row>
    <x:row r="566">
      <x:c r="A566" s="20" t="str">
        <x:v>T1_SHARED_CATCHMENT</x:v>
      </x:c>
      <x:c r="B566" s="20" t="str">
        <x:v>NYC-V1-R03</x:v>
      </x:c>
      <x:c r="C566" s="20" t="str">
        <x:v>V1</x:v>
      </x:c>
      <x:c r="D566" s="20" t="str">
        <x:v>vacant_housing_units</x:v>
      </x:c>
      <x:c r="E566" s="20" t="str">
        <x:v>housing</x:v>
      </x:c>
      <x:c r="F566" s="50" t="n">
        <x:v>3445</x:v>
      </x:c>
      <x:c r="G566" s="50" t="n">
        <x:v>386.74545892615214</x:v>
      </x:c>
      <x:c r="H566" s="50" t="n">
        <x:v>3445.209</x:v>
      </x:c>
      <x:c r="I566" s="50" t="n">
        <x:v>394.11430245856644</x:v>
      </x:c>
      <x:c r="J566" s="42" t="n">
        <x:v>1.0190534713785</x:v>
      </x:c>
      <x:c r="K566" s="42" t="n">
        <x:v>0.000540407120952752</x:v>
      </x:c>
      <x:c r="L566" s="26" t="n">
        <x:v>2825</x:v>
      </x:c>
      <x:c r="M566" s="26" t="n">
        <x:v>3437</x:v>
      </x:c>
      <x:c r="N566" s="26" t="n">
        <x:v>4117</x:v>
      </x:c>
    </x:row>
    <x:row r="567">
      <x:c r="A567" s="20" t="str">
        <x:v>T1_SHARED_CATCHMENT</x:v>
      </x:c>
      <x:c r="B567" s="20" t="str">
        <x:v>NYC-V1-R03</x:v>
      </x:c>
      <x:c r="C567" s="20" t="str">
        <x:v>V1</x:v>
      </x:c>
      <x:c r="D567" s="20" t="str">
        <x:v>owner_occupied_units</x:v>
      </x:c>
      <x:c r="E567" s="20" t="str">
        <x:v>housing</x:v>
      </x:c>
      <x:c r="F567" s="50" t="n">
        <x:v>4099</x:v>
      </x:c>
      <x:c r="G567" s="50" t="n">
        <x:v>395.09843162072275</x:v>
      </x:c>
      <x:c r="H567" s="50" t="n">
        <x:v>4098.977</x:v>
      </x:c>
      <x:c r="I567" s="50" t="n">
        <x:v>367.376501650507</x:v>
      </x:c>
      <x:c r="J567" s="42" t="n">
        <x:v>0.9298353834093992</x:v>
      </x:c>
      <x:c r="K567" s="42" t="n">
        <x:v>-0.000058213341687514566</x:v>
      </x:c>
      <x:c r="L567" s="26" t="n">
        <x:v>3496</x:v>
      </x:c>
      <x:c r="M567" s="26" t="n">
        <x:v>4122</x:v>
      </x:c>
      <x:c r="N567" s="26" t="n">
        <x:v>4676</x:v>
      </x:c>
    </x:row>
    <x:row r="568">
      <x:c r="A568" s="20" t="str">
        <x:v>T1_SHARED_CATCHMENT</x:v>
      </x:c>
      <x:c r="B568" s="20" t="str">
        <x:v>NYC-V1-R03</x:v>
      </x:c>
      <x:c r="C568" s="20" t="str">
        <x:v>V1</x:v>
      </x:c>
      <x:c r="D568" s="20" t="str">
        <x:v>renter_occupied_units</x:v>
      </x:c>
      <x:c r="E568" s="20" t="str">
        <x:v>housing</x:v>
      </x:c>
      <x:c r="F568" s="50" t="n">
        <x:v>11889</x:v>
      </x:c>
      <x:c r="G568" s="50" t="n">
        <x:v>570.3235775439423</x:v>
      </x:c>
      <x:c r="H568" s="50" t="n">
        <x:v>11889.399</x:v>
      </x:c>
      <x:c r="I568" s="50" t="n">
        <x:v>496.1798446503417</x:v>
      </x:c>
      <x:c r="J568" s="42" t="n">
        <x:v>0.8699970756725589</x:v>
      </x:c>
      <x:c r="K568" s="42" t="n">
        <x:v>0.0006996028495221913</x:v>
      </x:c>
      <x:c r="L568" s="26" t="n">
        <x:v>11119</x:v>
      </x:c>
      <x:c r="M568" s="26" t="n">
        <x:v>11897</x:v>
      </x:c>
      <x:c r="N568" s="26" t="n">
        <x:v>12683</x:v>
      </x:c>
    </x:row>
    <x:row r="569">
      <x:c r="A569" s="20" t="str">
        <x:v>T1_SHARED_CATCHMENT</x:v>
      </x:c>
      <x:c r="B569" s="20" t="str">
        <x:v>NYC-V1-R03</x:v>
      </x:c>
      <x:c r="C569" s="20" t="str">
        <x:v>V1</x:v>
      </x:c>
      <x:c r="D569" s="20" t="str">
        <x:v>one_unit_structures</x:v>
      </x:c>
      <x:c r="E569" s="20" t="str">
        <x:v>housing</x:v>
      </x:c>
      <x:c r="F569" s="50" t="n">
        <x:v>275</x:v>
      </x:c>
      <x:c r="G569" s="50" t="n">
        <x:v>123.75860604532915</x:v>
      </x:c>
      <x:c r="H569" s="50" t="n">
        <x:v>275.376</x:v>
      </x:c>
      <x:c r="I569" s="50" t="n">
        <x:v>120.56346948464189</x:v>
      </x:c>
      <x:c r="J569" s="42" t="n">
        <x:v>0.9741825101074831</x:v>
      </x:c>
      <x:c r="K569" s="42" t="n">
        <x:v>0.0030381725523173603</x:v>
      </x:c>
      <x:c r="L569" s="26" t="n">
        <x:v>66</x:v>
      </x:c>
      <x:c r="M569" s="26" t="n">
        <x:v>276</x:v>
      </x:c>
      <x:c r="N569" s="26" t="n">
        <x:v>474</x:v>
      </x:c>
    </x:row>
    <x:row r="570">
      <x:c r="A570" s="20" t="str">
        <x:v>T1_SHARED_CATCHMENT</x:v>
      </x:c>
      <x:c r="B570" s="20" t="str">
        <x:v>NYC-V1-R03</x:v>
      </x:c>
      <x:c r="C570" s="20" t="str">
        <x:v>V1</x:v>
      </x:c>
      <x:c r="D570" s="20" t="str">
        <x:v>two_to_four_unit_structures</x:v>
      </x:c>
      <x:c r="E570" s="20" t="str">
        <x:v>housing</x:v>
      </x:c>
      <x:c r="F570" s="50" t="n">
        <x:v>374</x:v>
      </x:c>
      <x:c r="G570" s="50" t="n">
        <x:v>129.11029802135823</x:v>
      </x:c>
      <x:c r="H570" s="50" t="n">
        <x:v>373.995</x:v>
      </x:c>
      <x:c r="I570" s="50" t="n">
        <x:v>123.78246674741166</x:v>
      </x:c>
      <x:c r="J570" s="42" t="n">
        <x:v>0.9587342655419693</x:v>
      </x:c>
      <x:c r="K570" s="42" t="n">
        <x:v>-0.00003872657779140376</x:v>
      </x:c>
      <x:c r="L570" s="26" t="n">
        <x:v>176</x:v>
      </x:c>
      <x:c r="M570" s="26" t="n">
        <x:v>378</x:v>
      </x:c>
      <x:c r="N570" s="26" t="n">
        <x:v>572</x:v>
      </x:c>
    </x:row>
    <x:row r="571">
      <x:c r="A571" s="20" t="str">
        <x:v>T1_SHARED_CATCHMENT</x:v>
      </x:c>
      <x:c r="B571" s="20" t="str">
        <x:v>NYC-V1-R03</x:v>
      </x:c>
      <x:c r="C571" s="20" t="str">
        <x:v>V1</x:v>
      </x:c>
      <x:c r="D571" s="20" t="str">
        <x:v>five_to_nineteen_unit_structures</x:v>
      </x:c>
      <x:c r="E571" s="20" t="str">
        <x:v>housing</x:v>
      </x:c>
      <x:c r="F571" s="50" t="n">
        <x:v>1745</x:v>
      </x:c>
      <x:c r="G571" s="50" t="n">
        <x:v>252.14996484400996</x:v>
      </x:c>
      <x:c r="H571" s="50" t="n">
        <x:v>1744.864</x:v>
      </x:c>
      <x:c r="I571" s="50" t="n">
        <x:v>235.56824468060609</x:v>
      </x:c>
      <x:c r="J571" s="42" t="n">
        <x:v>0.934238657643034</x:v>
      </x:c>
      <x:c r="K571" s="42" t="n">
        <x:v>-0.0005393615663761932</x:v>
      </x:c>
      <x:c r="L571" s="26" t="n">
        <x:v>1359</x:v>
      </x:c>
      <x:c r="M571" s="26" t="n">
        <x:v>1749</x:v>
      </x:c>
      <x:c r="N571" s="26" t="n">
        <x:v>2141</x:v>
      </x:c>
    </x:row>
    <x:row r="572">
      <x:c r="A572" s="20" t="str">
        <x:v>T1_SHARED_CATCHMENT</x:v>
      </x:c>
      <x:c r="B572" s="20" t="str">
        <x:v>NYC-V1-R03</x:v>
      </x:c>
      <x:c r="C572" s="20" t="str">
        <x:v>V1</x:v>
      </x:c>
      <x:c r="D572" s="20" t="str">
        <x:v>twenty_to_forty_nine_unit_structures</x:v>
      </x:c>
      <x:c r="E572" s="20" t="str">
        <x:v>housing</x:v>
      </x:c>
      <x:c r="F572" s="50" t="n">
        <x:v>2909</x:v>
      </x:c>
      <x:c r="G572" s="50" t="n">
        <x:v>338.54070050158253</x:v>
      </x:c>
      <x:c r="H572" s="50" t="n">
        <x:v>2909.212</x:v>
      </x:c>
      <x:c r="I572" s="50" t="n">
        <x:v>305.9004022751721</x:v>
      </x:c>
      <x:c r="J572" s="42" t="n">
        <x:v>0.9035853054653384</x:v>
      </x:c>
      <x:c r="K572" s="42" t="n">
        <x:v>0.0006262171717784287</x:v>
      </x:c>
      <x:c r="L572" s="26" t="n">
        <x:v>2430</x:v>
      </x:c>
      <x:c r="M572" s="26" t="n">
        <x:v>2908</x:v>
      </x:c>
      <x:c r="N572" s="26" t="n">
        <x:v>3401</x:v>
      </x:c>
    </x:row>
    <x:row r="573">
      <x:c r="A573" s="20" t="str">
        <x:v>T1_SHARED_CATCHMENT</x:v>
      </x:c>
      <x:c r="B573" s="20" t="str">
        <x:v>NYC-V1-R03</x:v>
      </x:c>
      <x:c r="C573" s="20" t="str">
        <x:v>V1</x:v>
      </x:c>
      <x:c r="D573" s="20" t="str">
        <x:v>fifty_plus_unit_structures</x:v>
      </x:c>
      <x:c r="E573" s="20" t="str">
        <x:v>housing</x:v>
      </x:c>
      <x:c r="F573" s="50" t="n">
        <x:v>10685</x:v>
      </x:c>
      <x:c r="G573" s="50" t="n">
        <x:v>629.7957422762645</x:v>
      </x:c>
      <x:c r="H573" s="50" t="n">
        <x:v>10666.597</x:v>
      </x:c>
      <x:c r="I573" s="50" t="n">
        <x:v>509.6765688118258</x:v>
      </x:c>
      <x:c r="J573" s="42" t="n">
        <x:v>0.8092728079896299</x:v>
      </x:c>
      <x:c r="K573" s="42" t="n">
        <x:v>-0.029220584968527204</x:v>
      </x:c>
      <x:c r="L573" s="26" t="n">
        <x:v>9822</x:v>
      </x:c>
      <x:c r="M573" s="26" t="n">
        <x:v>10671</x:v>
      </x:c>
      <x:c r="N573" s="26" t="n">
        <x:v>11537</x:v>
      </x:c>
    </x:row>
    <x:row r="574">
      <x:c r="A574" s="20" t="str">
        <x:v>T1_SHARED_CATCHMENT</x:v>
      </x:c>
      <x:c r="B574" s="20" t="str">
        <x:v>NYC-V1-R03</x:v>
      </x:c>
      <x:c r="C574" s="20" t="str">
        <x:v>V1</x:v>
      </x:c>
      <x:c r="D574" s="20" t="str">
        <x:v>mobile_or_other_units</x:v>
      </x:c>
      <x:c r="E574" s="20" t="str">
        <x:v>housing</x:v>
      </x:c>
      <x:c r="F574" s="50" t="n">
        <x:v>0</x:v>
      </x:c>
      <x:c r="G574" s="50" t="n">
        <x:v>46.69389512382133</x:v>
      </x:c>
      <x:c r="H574" s="50" t="n">
        <x:v>18.332</x:v>
      </x:c>
      <x:c r="I574" s="50" t="n">
        <x:v>26.69450078897098</x:v>
      </x:c>
      <x:c r="J574" s="42" t="n">
        <x:v>0.571691453843878</x:v>
      </x:c>
      <x:c r="K574" s="42" t="n">
        <x:v>0.39259950259852616</x:v>
      </x:c>
      <x:c r="L574" s="26" t="n">
        <x:v>0</x:v>
      </x:c>
      <x:c r="M574" s="26" t="n">
        <x:v>0</x:v>
      </x:c>
      <x:c r="N574" s="26" t="n">
        <x:v>75</x:v>
      </x:c>
    </x:row>
    <x:row r="575">
      <x:c r="A575" s="20" t="str">
        <x:v>T1_SHARED_CATCHMENT</x:v>
      </x:c>
      <x:c r="B575" s="20" t="str">
        <x:v>NYC-V1-R03</x:v>
      </x:c>
      <x:c r="C575" s="20" t="str">
        <x:v>V1</x:v>
      </x:c>
      <x:c r="D575" s="20" t="str">
        <x:v>electric_heat_households</x:v>
      </x:c>
      <x:c r="E575" s="20" t="str">
        <x:v>housing</x:v>
      </x:c>
      <x:c r="F575" s="50" t="n">
        <x:v>5818</x:v>
      </x:c>
      <x:c r="G575" s="50" t="n">
        <x:v>537.7573802375938</x:v>
      </x:c>
      <x:c r="H575" s="50" t="n">
        <x:v>5818.053</x:v>
      </x:c>
      <x:c r="I575" s="50" t="n">
        <x:v>528.6877234246128</x:v>
      </x:c>
      <x:c r="J575" s="42" t="n">
        <x:v>0.9831342959738204</x:v>
      </x:c>
      <x:c r="K575" s="42" t="n">
        <x:v>0.00009855745722442144</x:v>
      </x:c>
      <x:c r="L575" s="26" t="n">
        <x:v>4957</x:v>
      </x:c>
      <x:c r="M575" s="26" t="n">
        <x:v>5812</x:v>
      </x:c>
      <x:c r="N575" s="26" t="n">
        <x:v>6631</x:v>
      </x:c>
    </x:row>
    <x:row r="576">
      <x:c r="A576" s="20" t="str">
        <x:v>T1_SHARED_CATCHMENT</x:v>
      </x:c>
      <x:c r="B576" s="20" t="str">
        <x:v>NYC-V1-R03</x:v>
      </x:c>
      <x:c r="C576" s="20" t="str">
        <x:v>V1</x:v>
      </x:c>
      <x:c r="D576" s="20" t="str">
        <x:v>group_quarters_population</x:v>
      </x:c>
      <x:c r="E576" s="20" t="str">
        <x:v>population</x:v>
      </x:c>
      <x:c r="F576" s="50" t="n">
        <x:v>837</x:v>
      </x:c>
      <x:c r="G576" s="50" t="n">
        <x:v>13.796738745080301</x:v>
      </x:c>
      <x:c r="H576" s="50" t="n">
        <x:v>836.995</x:v>
      </x:c>
      <x:c r="I576" s="50" t="n">
        <x:v>14.278755473004567</x:v>
      </x:c>
      <x:c r="J576" s="42" t="n">
        <x:v>1.034937004811818</x:v>
      </x:c>
      <x:c r="K576" s="42" t="n">
        <x:v>-0.00036240448502936057</x:v>
      </x:c>
      <x:c r="L576" s="26" t="n">
        <x:v>814</x:v>
      </x:c>
      <x:c r="M576" s="26" t="n">
        <x:v>837</x:v>
      </x:c>
      <x:c r="N576" s="26" t="n">
        <x:v>860</x:v>
      </x:c>
    </x:row>
    <x:row r="577">
      <x:c r="A577" s="20" t="str">
        <x:v>T1_SHARED_CATCHMENT</x:v>
      </x:c>
      <x:c r="B577" s="20" t="str">
        <x:v>NYC-V1-R04</x:v>
      </x:c>
      <x:c r="C577" s="20" t="str">
        <x:v>V1</x:v>
      </x:c>
      <x:c r="D577" s="20" t="str">
        <x:v>acs_population</x:v>
      </x:c>
      <x:c r="E577" s="20" t="str">
        <x:v>population</x:v>
      </x:c>
      <x:c r="F577" s="50" t="n">
        <x:v>35433</x:v>
      </x:c>
      <x:c r="G577" s="50" t="n">
        <x:v>1407.7052248251407</x:v>
      </x:c>
      <x:c r="H577" s="50" t="n">
        <x:v>35433.245</x:v>
      </x:c>
      <x:c r="I577" s="50" t="n">
        <x:v>1405.7140117598094</x:v>
      </x:c>
      <x:c r="J577" s="42" t="n">
        <x:v>0.9985854900371073</x:v>
      </x:c>
      <x:c r="K577" s="42" t="n">
        <x:v>0.00017404211882004786</x:v>
      </x:c>
      <x:c r="L577" s="26" t="n">
        <x:v>33167</x:v>
      </x:c>
      <x:c r="M577" s="26" t="n">
        <x:v>35467</x:v>
      </x:c>
      <x:c r="N577" s="26" t="n">
        <x:v>37624</x:v>
      </x:c>
    </x:row>
    <x:row r="578">
      <x:c r="A578" s="20" t="str">
        <x:v>T1_SHARED_CATCHMENT</x:v>
      </x:c>
      <x:c r="B578" s="20" t="str">
        <x:v>NYC-V1-R04</x:v>
      </x:c>
      <x:c r="C578" s="20" t="str">
        <x:v>V1</x:v>
      </x:c>
      <x:c r="D578" s="20" t="str">
        <x:v>age_under_18</x:v>
      </x:c>
      <x:c r="E578" s="20" t="str">
        <x:v>population</x:v>
      </x:c>
      <x:c r="F578" s="50" t="n">
        <x:v>8026</x:v>
      </x:c>
      <x:c r="G578" s="50" t="n">
        <x:v>803.9552537299573</x:v>
      </x:c>
      <x:c r="H578" s="50" t="n">
        <x:v>8026.278</x:v>
      </x:c>
      <x:c r="I578" s="50" t="n">
        <x:v>800.1620998910797</x:v>
      </x:c>
      <x:c r="J578" s="42" t="n">
        <x:v>0.995281884381899</x:v>
      </x:c>
      <x:c r="K578" s="42" t="n">
        <x:v>0.0003457903890925073</x:v>
      </x:c>
      <x:c r="L578" s="26" t="n">
        <x:v>6716</x:v>
      </x:c>
      <x:c r="M578" s="26" t="n">
        <x:v>8013</x:v>
      </x:c>
      <x:c r="N578" s="26" t="n">
        <x:v>9351</x:v>
      </x:c>
    </x:row>
    <x:row r="579">
      <x:c r="A579" s="20" t="str">
        <x:v>T1_SHARED_CATCHMENT</x:v>
      </x:c>
      <x:c r="B579" s="20" t="str">
        <x:v>NYC-V1-R04</x:v>
      </x:c>
      <x:c r="C579" s="20" t="str">
        <x:v>V1</x:v>
      </x:c>
      <x:c r="D579" s="20" t="str">
        <x:v>age_65_plus</x:v>
      </x:c>
      <x:c r="E579" s="20" t="str">
        <x:v>population</x:v>
      </x:c>
      <x:c r="F579" s="50" t="n">
        <x:v>4213</x:v>
      </x:c>
      <x:c r="G579" s="50" t="n">
        <x:v>293.967004951236</x:v>
      </x:c>
      <x:c r="H579" s="50" t="n">
        <x:v>4229.478</x:v>
      </x:c>
      <x:c r="I579" s="50" t="n">
        <x:v>265.71278252805</x:v>
      </x:c>
      <x:c r="J579" s="42" t="n">
        <x:v>0.9038864160014392</x:v>
      </x:c>
      <x:c r="K579" s="42" t="n">
        <x:v>0.05605390986901227</x:v>
      </x:c>
      <x:c r="L579" s="26" t="n">
        <x:v>3806</x:v>
      </x:c>
      <x:c r="M579" s="26" t="n">
        <x:v>4223</x:v>
      </x:c>
      <x:c r="N579" s="26" t="n">
        <x:v>4657</x:v>
      </x:c>
    </x:row>
    <x:row r="580">
      <x:c r="A580" s="20" t="str">
        <x:v>T1_SHARED_CATCHMENT</x:v>
      </x:c>
      <x:c r="B580" s="20" t="str">
        <x:v>NYC-V1-R04</x:v>
      </x:c>
      <x:c r="C580" s="20" t="str">
        <x:v>V1</x:v>
      </x:c>
      <x:c r="D580" s="20" t="str">
        <x:v>age_75_plus</x:v>
      </x:c>
      <x:c r="E580" s="20" t="str">
        <x:v>population</x:v>
      </x:c>
      <x:c r="F580" s="50" t="n">
        <x:v>1891</x:v>
      </x:c>
      <x:c r="G580" s="50" t="n">
        <x:v>275.36793567879323</x:v>
      </x:c>
      <x:c r="H580" s="50" t="n">
        <x:v>1890.895</x:v>
      </x:c>
      <x:c r="I580" s="50" t="n">
        <x:v>278.22798706777826</x:v>
      </x:c>
      <x:c r="J580" s="42" t="n">
        <x:v>1.0103862905531644</x:v>
      </x:c>
      <x:c r="K580" s="42" t="n">
        <x:v>-0.0003813080115562071</x:v>
      </x:c>
      <x:c r="L580" s="26" t="n">
        <x:v>1411</x:v>
      </x:c>
      <x:c r="M580" s="26" t="n">
        <x:v>1896</x:v>
      </x:c>
      <x:c r="N580" s="26" t="n">
        <x:v>2334</x:v>
      </x:c>
    </x:row>
    <x:row r="581">
      <x:c r="A581" s="20" t="str">
        <x:v>T1_SHARED_CATCHMENT</x:v>
      </x:c>
      <x:c r="B581" s="20" t="str">
        <x:v>NYC-V1-R04</x:v>
      </x:c>
      <x:c r="C581" s="20" t="str">
        <x:v>V1</x:v>
      </x:c>
      <x:c r="D581" s="20" t="str">
        <x:v>age_85_plus</x:v>
      </x:c>
      <x:c r="E581" s="20" t="str">
        <x:v>population</x:v>
      </x:c>
      <x:c r="F581" s="50" t="n">
        <x:v>629</x:v>
      </x:c>
      <x:c r="G581" s="50" t="n">
        <x:v>141.50371019870823</x:v>
      </x:c>
      <x:c r="H581" s="50" t="n">
        <x:v>628.948</x:v>
      </x:c>
      <x:c r="I581" s="50" t="n">
        <x:v>142.88692021304107</x:v>
      </x:c>
      <x:c r="J581" s="42" t="n">
        <x:v>1.0097750794830076</x:v>
      </x:c>
      <x:c r="K581" s="42" t="n">
        <x:v>-0.00036748153053371756</x:v>
      </x:c>
      <x:c r="L581" s="26" t="n">
        <x:v>391</x:v>
      </x:c>
      <x:c r="M581" s="26" t="n">
        <x:v>633</x:v>
      </x:c>
      <x:c r="N581" s="26" t="n">
        <x:v>851</x:v>
      </x:c>
    </x:row>
    <x:row r="582">
      <x:c r="A582" s="20" t="str">
        <x:v>T1_SHARED_CATCHMENT</x:v>
      </x:c>
      <x:c r="B582" s="20" t="str">
        <x:v>NYC-V1-R04</x:v>
      </x:c>
      <x:c r="C582" s="20" t="str">
        <x:v>V1</x:v>
      </x:c>
      <x:c r="D582" s="20" t="str">
        <x:v>civilian_noninstitutionalized</x:v>
      </x:c>
      <x:c r="E582" s="20" t="str">
        <x:v>disability</x:v>
      </x:c>
      <x:c r="F582" s="50" t="n">
        <x:v>35387</x:v>
      </x:c>
      <x:c r="G582" s="50" t="n">
        <x:v>1408.0104403022017</x:v>
      </x:c>
      <x:c r="H582" s="50" t="n">
        <x:v>34671.981</x:v>
      </x:c>
      <x:c r="I582" s="50" t="n">
        <x:v>1194.6841318163617</x:v>
      </x:c>
      <x:c r="J582" s="42" t="n">
        <x:v>0.8484909611607329</x:v>
      </x:c>
      <x:c r="K582" s="42" t="n">
        <x:v>-0.5078222288227746</x:v>
      </x:c>
      <x:c r="L582" s="26" t="n">
        <x:v>32831</x:v>
      </x:c>
      <x:c r="M582" s="26" t="n">
        <x:v>34658</x:v>
      </x:c>
      <x:c r="N582" s="26" t="n">
        <x:v>36600</x:v>
      </x:c>
    </x:row>
    <x:row r="583">
      <x:c r="A583" s="20" t="str">
        <x:v>T1_SHARED_CATCHMENT</x:v>
      </x:c>
      <x:c r="B583" s="20" t="str">
        <x:v>NYC-V1-R04</x:v>
      </x:c>
      <x:c r="C583" s="20" t="str">
        <x:v>V1</x:v>
      </x:c>
      <x:c r="D583" s="20" t="str">
        <x:v>any_disability</x:v>
      </x:c>
      <x:c r="E583" s="20" t="str">
        <x:v>disability</x:v>
      </x:c>
      <x:c r="F583" s="50" t="n">
        <x:v>6981</x:v>
      </x:c>
      <x:c r="G583" s="50" t="n">
        <x:v>442.7134513429652</x:v>
      </x:c>
      <x:c r="H583" s="50" t="n">
        <x:v>6980.771</x:v>
      </x:c>
      <x:c r="I583" s="50" t="n">
        <x:v>495.8994160006541</x:v>
      </x:c>
      <x:c r="J583" s="42" t="n">
        <x:v>1.120136319545634</x:v>
      </x:c>
      <x:c r="K583" s="42" t="n">
        <x:v>-0.0005172646083049902</x:v>
      </x:c>
      <x:c r="L583" s="26" t="n">
        <x:v>6209</x:v>
      </x:c>
      <x:c r="M583" s="26" t="n">
        <x:v>6979</x:v>
      </x:c>
      <x:c r="N583" s="26" t="n">
        <x:v>7785</x:v>
      </x:c>
    </x:row>
    <x:row r="584">
      <x:c r="A584" s="20" t="str">
        <x:v>T1_SHARED_CATCHMENT</x:v>
      </x:c>
      <x:c r="B584" s="20" t="str">
        <x:v>NYC-V1-R04</x:v>
      </x:c>
      <x:c r="C584" s="20" t="str">
        <x:v>V1</x:v>
      </x:c>
      <x:c r="D584" s="20" t="str">
        <x:v>disability_under_18</x:v>
      </x:c>
      <x:c r="E584" s="20" t="str">
        <x:v>disability</x:v>
      </x:c>
      <x:c r="F584" s="50" t="n">
        <x:v>946</x:v>
      </x:c>
      <x:c r="G584" s="50" t="n">
        <x:v>210.22000380553703</x:v>
      </x:c>
      <x:c r="H584" s="50" t="n">
        <x:v>945.96</x:v>
      </x:c>
      <x:c r="I584" s="50" t="n">
        <x:v>208.98765571258087</x:v>
      </x:c>
      <x:c r="J584" s="42" t="n">
        <x:v>0.994137817188434</x:v>
      </x:c>
      <x:c r="K584" s="42" t="n">
        <x:v>-0.00019027684937616794</x:v>
      </x:c>
      <x:c r="L584" s="26" t="n">
        <x:v>600</x:v>
      </x:c>
      <x:c r="M584" s="26" t="n">
        <x:v>955</x:v>
      </x:c>
      <x:c r="N584" s="26" t="n">
        <x:v>1284</x:v>
      </x:c>
    </x:row>
    <x:row r="585">
      <x:c r="A585" s="20" t="str">
        <x:v>T1_SHARED_CATCHMENT</x:v>
      </x:c>
      <x:c r="B585" s="20" t="str">
        <x:v>NYC-V1-R04</x:v>
      </x:c>
      <x:c r="C585" s="20" t="str">
        <x:v>V1</x:v>
      </x:c>
      <x:c r="D585" s="20" t="str">
        <x:v>disability_18_64</x:v>
      </x:c>
      <x:c r="E585" s="20" t="str">
        <x:v>disability</x:v>
      </x:c>
      <x:c r="F585" s="50" t="n">
        <x:v>3675</x:v>
      </x:c>
      <x:c r="G585" s="50" t="n">
        <x:v>309.68524343274737</x:v>
      </x:c>
      <x:c r="H585" s="50" t="n">
        <x:v>3674.938</x:v>
      </x:c>
      <x:c r="I585" s="50" t="n">
        <x:v>314.1135200201664</x:v>
      </x:c>
      <x:c r="J585" s="42" t="n">
        <x:v>1.01429928187192</x:v>
      </x:c>
      <x:c r="K585" s="42" t="n">
        <x:v>-0.00020020327514689066</x:v>
      </x:c>
      <x:c r="L585" s="26" t="n">
        <x:v>3190</x:v>
      </x:c>
      <x:c r="M585" s="26" t="n">
        <x:v>3669</x:v>
      </x:c>
      <x:c r="N585" s="26" t="n">
        <x:v>4224</x:v>
      </x:c>
    </x:row>
    <x:row r="586">
      <x:c r="A586" s="20" t="str">
        <x:v>T1_SHARED_CATCHMENT</x:v>
      </x:c>
      <x:c r="B586" s="20" t="str">
        <x:v>NYC-V1-R04</x:v>
      </x:c>
      <x:c r="C586" s="20" t="str">
        <x:v>V1</x:v>
      </x:c>
      <x:c r="D586" s="20" t="str">
        <x:v>disability_65_plus</x:v>
      </x:c>
      <x:c r="E586" s="20" t="str">
        <x:v>disability</x:v>
      </x:c>
      <x:c r="F586" s="50" t="n">
        <x:v>2360</x:v>
      </x:c>
      <x:c r="G586" s="50" t="n">
        <x:v>248.4854120466632</x:v>
      </x:c>
      <x:c r="H586" s="50" t="n">
        <x:v>2359.873</x:v>
      </x:c>
      <x:c r="I586" s="50" t="n">
        <x:v>242.00365832284777</x:v>
      </x:c>
      <x:c r="J586" s="42" t="n">
        <x:v>0.9739149527111949</x:v>
      </x:c>
      <x:c r="K586" s="42" t="n">
        <x:v>-0.000511096401812527</x:v>
      </x:c>
      <x:c r="L586" s="26" t="n">
        <x:v>1970</x:v>
      </x:c>
      <x:c r="M586" s="26" t="n">
        <x:v>2362</x:v>
      </x:c>
      <x:c r="N586" s="26" t="n">
        <x:v>2751</x:v>
      </x:c>
    </x:row>
    <x:row r="587">
      <x:c r="A587" s="20" t="str">
        <x:v>T1_SHARED_CATCHMENT</x:v>
      </x:c>
      <x:c r="B587" s="20" t="str">
        <x:v>NYC-V1-R04</x:v>
      </x:c>
      <x:c r="C587" s="20" t="str">
        <x:v>V1</x:v>
      </x:c>
      <x:c r="D587" s="20" t="str">
        <x:v>hearing_difficulty</x:v>
      </x:c>
      <x:c r="E587" s="20" t="str">
        <x:v>disability</x:v>
      </x:c>
      <x:c r="F587" s="50" t="n">
        <x:v>738</x:v>
      </x:c>
      <x:c r="G587" s="50" t="n">
        <x:v>202.9175324754149</x:v>
      </x:c>
      <x:c r="H587" s="50" t="n">
        <x:v>738.031</x:v>
      </x:c>
      <x:c r="I587" s="50" t="n">
        <x:v>202.9595837393042</x:v>
      </x:c>
      <x:c r="J587" s="42" t="n">
        <x:v>1.0002072332704637</x:v>
      </x:c>
      <x:c r="K587" s="42" t="n">
        <x:v>0.0001527714220736691</x:v>
      </x:c>
      <x:c r="L587" s="26" t="n">
        <x:v>414</x:v>
      </x:c>
      <x:c r="M587" s="26" t="n">
        <x:v>738</x:v>
      </x:c>
      <x:c r="N587" s="26" t="n">
        <x:v>1074</x:v>
      </x:c>
    </x:row>
    <x:row r="588">
      <x:c r="A588" s="20" t="str">
        <x:v>T1_SHARED_CATCHMENT</x:v>
      </x:c>
      <x:c r="B588" s="20" t="str">
        <x:v>NYC-V1-R04</x:v>
      </x:c>
      <x:c r="C588" s="20" t="str">
        <x:v>V1</x:v>
      </x:c>
      <x:c r="D588" s="20" t="str">
        <x:v>vision_difficulty</x:v>
      </x:c>
      <x:c r="E588" s="20" t="str">
        <x:v>disability</x:v>
      </x:c>
      <x:c r="F588" s="50" t="n">
        <x:v>1336</x:v>
      </x:c>
      <x:c r="G588" s="50" t="n">
        <x:v>226.7917197790649</x:v>
      </x:c>
      <x:c r="H588" s="50" t="n">
        <x:v>1336.006</x:v>
      </x:c>
      <x:c r="I588" s="50" t="n">
        <x:v>227.52964576886174</x:v>
      </x:c>
      <x:c r="J588" s="42" t="n">
        <x:v>1.0032537607215806</x:v>
      </x:c>
      <x:c r="K588" s="42" t="n">
        <x:v>0.00002645599233486368</x:v>
      </x:c>
      <x:c r="L588" s="26" t="n">
        <x:v>958</x:v>
      </x:c>
      <x:c r="M588" s="26" t="n">
        <x:v>1333</x:v>
      </x:c>
      <x:c r="N588" s="26" t="n">
        <x:v>1713</x:v>
      </x:c>
    </x:row>
    <x:row r="589">
      <x:c r="A589" s="20" t="str">
        <x:v>T1_SHARED_CATCHMENT</x:v>
      </x:c>
      <x:c r="B589" s="20" t="str">
        <x:v>NYC-V1-R04</x:v>
      </x:c>
      <x:c r="C589" s="20" t="str">
        <x:v>V1</x:v>
      </x:c>
      <x:c r="D589" s="20" t="str">
        <x:v>cognitive_difficulty</x:v>
      </x:c>
      <x:c r="E589" s="20" t="str">
        <x:v>disability</x:v>
      </x:c>
      <x:c r="F589" s="50" t="n">
        <x:v>3322</x:v>
      </x:c>
      <x:c r="G589" s="50" t="n">
        <x:v>378.91655683297336</x:v>
      </x:c>
      <x:c r="H589" s="50" t="n">
        <x:v>3321.935</x:v>
      </x:c>
      <x:c r="I589" s="50" t="n">
        <x:v>368.93986962973025</x:v>
      </x:c>
      <x:c r="J589" s="42" t="n">
        <x:v>0.9736704901822466</x:v>
      </x:c>
      <x:c r="K589" s="42" t="n">
        <x:v>-0.00017154172555385752</x:v>
      </x:c>
      <x:c r="L589" s="26" t="n">
        <x:v>2721</x:v>
      </x:c>
      <x:c r="M589" s="26" t="n">
        <x:v>3324</x:v>
      </x:c>
      <x:c r="N589" s="26" t="n">
        <x:v>3924</x:v>
      </x:c>
    </x:row>
    <x:row r="590">
      <x:c r="A590" s="20" t="str">
        <x:v>T1_SHARED_CATCHMENT</x:v>
      </x:c>
      <x:c r="B590" s="20" t="str">
        <x:v>NYC-V1-R04</x:v>
      </x:c>
      <x:c r="C590" s="20" t="str">
        <x:v>V1</x:v>
      </x:c>
      <x:c r="D590" s="20" t="str">
        <x:v>ambulatory_difficulty</x:v>
      </x:c>
      <x:c r="E590" s="20" t="str">
        <x:v>disability</x:v>
      </x:c>
      <x:c r="F590" s="50" t="n">
        <x:v>4250</x:v>
      </x:c>
      <x:c r="G590" s="50" t="n">
        <x:v>417.4229547066256</x:v>
      </x:c>
      <x:c r="H590" s="50" t="n">
        <x:v>4249.74</x:v>
      </x:c>
      <x:c r="I590" s="50" t="n">
        <x:v>413.980644927241</x:v>
      </x:c>
      <x:c r="J590" s="42" t="n">
        <x:v>0.9917534248163138</x:v>
      </x:c>
      <x:c r="K590" s="42" t="n">
        <x:v>-0.000622869435110372</x:v>
      </x:c>
      <x:c r="L590" s="26" t="n">
        <x:v>3579</x:v>
      </x:c>
      <x:c r="M590" s="26" t="n">
        <x:v>4253</x:v>
      </x:c>
      <x:c r="N590" s="26" t="n">
        <x:v>4929</x:v>
      </x:c>
    </x:row>
    <x:row r="591">
      <x:c r="A591" s="20" t="str">
        <x:v>T1_SHARED_CATCHMENT</x:v>
      </x:c>
      <x:c r="B591" s="20" t="str">
        <x:v>NYC-V1-R04</x:v>
      </x:c>
      <x:c r="C591" s="20" t="str">
        <x:v>V1</x:v>
      </x:c>
      <x:c r="D591" s="20" t="str">
        <x:v>self_care_difficulty</x:v>
      </x:c>
      <x:c r="E591" s="20" t="str">
        <x:v>disability</x:v>
      </x:c>
      <x:c r="F591" s="50" t="n">
        <x:v>1897</x:v>
      </x:c>
      <x:c r="G591" s="50" t="n">
        <x:v>294.5362466572979</x:v>
      </x:c>
      <x:c r="H591" s="50" t="n">
        <x:v>1896.972</x:v>
      </x:c>
      <x:c r="I591" s="50" t="n">
        <x:v>289.32255487043653</x:v>
      </x:c>
      <x:c r="J591" s="42" t="n">
        <x:v>0.9822986411824292</x:v>
      </x:c>
      <x:c r="K591" s="42" t="n">
        <x:v>-0.0000950647002458712</x:v>
      </x:c>
      <x:c r="L591" s="26" t="n">
        <x:v>1417</x:v>
      </x:c>
      <x:c r="M591" s="26" t="n">
        <x:v>1909</x:v>
      </x:c>
      <x:c r="N591" s="26" t="n">
        <x:v>2351</x:v>
      </x:c>
    </x:row>
    <x:row r="592">
      <x:c r="A592" s="20" t="str">
        <x:v>T1_SHARED_CATCHMENT</x:v>
      </x:c>
      <x:c r="B592" s="20" t="str">
        <x:v>NYC-V1-R04</x:v>
      </x:c>
      <x:c r="C592" s="20" t="str">
        <x:v>V1</x:v>
      </x:c>
      <x:c r="D592" s="20" t="str">
        <x:v>independent_living_difficulty</x:v>
      </x:c>
      <x:c r="E592" s="20" t="str">
        <x:v>disability</x:v>
      </x:c>
      <x:c r="F592" s="50" t="n">
        <x:v>2693</x:v>
      </x:c>
      <x:c r="G592" s="50" t="n">
        <x:v>337.84847409557983</x:v>
      </x:c>
      <x:c r="H592" s="50" t="n">
        <x:v>2693.025</x:v>
      </x:c>
      <x:c r="I592" s="50" t="n">
        <x:v>339.1867598138716</x:v>
      </x:c>
      <x:c r="J592" s="42" t="n">
        <x:v>1.003961201014373</x:v>
      </x:c>
      <x:c r="K592" s="42" t="n">
        <x:v>0.00007399767030771986</x:v>
      </x:c>
      <x:c r="L592" s="26" t="n">
        <x:v>2146</x:v>
      </x:c>
      <x:c r="M592" s="26" t="n">
        <x:v>2691</x:v>
      </x:c>
      <x:c r="N592" s="26" t="n">
        <x:v>3250</x:v>
      </x:c>
    </x:row>
    <x:row r="593">
      <x:c r="A593" s="20" t="str">
        <x:v>T1_SHARED_CATCHMENT</x:v>
      </x:c>
      <x:c r="B593" s="20" t="str">
        <x:v>NYC-V1-R04</x:v>
      </x:c>
      <x:c r="C593" s="20" t="str">
        <x:v>V1</x:v>
      </x:c>
      <x:c r="D593" s="20" t="str">
        <x:v>households</x:v>
      </x:c>
      <x:c r="E593" s="20" t="str">
        <x:v>household</x:v>
      </x:c>
      <x:c r="F593" s="50" t="n">
        <x:v>14422</x:v>
      </x:c>
      <x:c r="G593" s="50" t="n">
        <x:v>406.926344686603</x:v>
      </x:c>
      <x:c r="H593" s="50" t="n">
        <x:v>14422.61</x:v>
      </x:c>
      <x:c r="I593" s="50" t="n">
        <x:v>368.73223531630833</x:v>
      </x:c>
      <x:c r="J593" s="42" t="n">
        <x:v>0.9061399934680806</x:v>
      </x:c>
      <x:c r="K593" s="42" t="n">
        <x:v>0.0014990427824730238</x:v>
      </x:c>
      <x:c r="L593" s="26" t="n">
        <x:v>13821</x:v>
      </x:c>
      <x:c r="M593" s="26" t="n">
        <x:v>14431</x:v>
      </x:c>
      <x:c r="N593" s="26" t="n">
        <x:v>14994</x:v>
      </x:c>
    </x:row>
    <x:row r="594">
      <x:c r="A594" s="20" t="str">
        <x:v>T1_SHARED_CATCHMENT</x:v>
      </x:c>
      <x:c r="B594" s="20" t="str">
        <x:v>NYC-V1-R04</x:v>
      </x:c>
      <x:c r="C594" s="20" t="str">
        <x:v>V1</x:v>
      </x:c>
      <x:c r="D594" s="20" t="str">
        <x:v>family_households</x:v>
      </x:c>
      <x:c r="E594" s="20" t="str">
        <x:v>household</x:v>
      </x:c>
      <x:c r="F594" s="50" t="n">
        <x:v>7709</x:v>
      </x:c>
      <x:c r="G594" s="50" t="n">
        <x:v>401.6298669172899</x:v>
      </x:c>
      <x:c r="H594" s="50" t="n">
        <x:v>7709.582</x:v>
      </x:c>
      <x:c r="I594" s="50" t="n">
        <x:v>489.35526752437625</x:v>
      </x:c>
      <x:c r="J594" s="42" t="n">
        <x:v>1.2184234984325808</x:v>
      </x:c>
      <x:c r="K594" s="42" t="n">
        <x:v>0.0014490954182951475</x:v>
      </x:c>
      <x:c r="L594" s="26" t="n">
        <x:v>6884</x:v>
      </x:c>
      <x:c r="M594" s="26" t="n">
        <x:v>7733</x:v>
      </x:c>
      <x:c r="N594" s="26" t="n">
        <x:v>8520</x:v>
      </x:c>
    </x:row>
    <x:row r="595">
      <x:c r="A595" s="20" t="str">
        <x:v>T1_SHARED_CATCHMENT</x:v>
      </x:c>
      <x:c r="B595" s="20" t="str">
        <x:v>NYC-V1-R04</x:v>
      </x:c>
      <x:c r="C595" s="20" t="str">
        <x:v>V1</x:v>
      </x:c>
      <x:c r="D595" s="20" t="str">
        <x:v>nonfamily_households</x:v>
      </x:c>
      <x:c r="E595" s="20" t="str">
        <x:v>household</x:v>
      </x:c>
      <x:c r="F595" s="50" t="n">
        <x:v>6713</x:v>
      </x:c>
      <x:c r="G595" s="50" t="n">
        <x:v>377.83792821790666</x:v>
      </x:c>
      <x:c r="H595" s="50" t="n">
        <x:v>6713.028</x:v>
      </x:c>
      <x:c r="I595" s="50" t="n">
        <x:v>378.28497821185124</x:v>
      </x:c>
      <x:c r="J595" s="42" t="n">
        <x:v>1.0011831792431563</x:v>
      </x:c>
      <x:c r="K595" s="42" t="n">
        <x:v>0.00007410584779646374</x:v>
      </x:c>
      <x:c r="L595" s="26" t="n">
        <x:v>6073</x:v>
      </x:c>
      <x:c r="M595" s="26" t="n">
        <x:v>6726</x:v>
      </x:c>
      <x:c r="N595" s="26" t="n">
        <x:v>7339</x:v>
      </x:c>
    </x:row>
    <x:row r="596">
      <x:c r="A596" s="20" t="str">
        <x:v>T1_SHARED_CATCHMENT</x:v>
      </x:c>
      <x:c r="B596" s="20" t="str">
        <x:v>NYC-V1-R04</x:v>
      </x:c>
      <x:c r="C596" s="20" t="str">
        <x:v>V1</x:v>
      </x:c>
      <x:c r="D596" s="20" t="str">
        <x:v>living_alone_households</x:v>
      </x:c>
      <x:c r="E596" s="20" t="str">
        <x:v>household</x:v>
      </x:c>
      <x:c r="F596" s="50" t="n">
        <x:v>5992</x:v>
      </x:c>
      <x:c r="G596" s="50" t="n">
        <x:v>351.0147432801078</x:v>
      </x:c>
      <x:c r="H596" s="50" t="n">
        <x:v>5991.993</x:v>
      </x:c>
      <x:c r="I596" s="50" t="n">
        <x:v>349.80001572613173</x:v>
      </x:c>
      <x:c r="J596" s="42" t="n">
        <x:v>0.9965393830964909</x:v>
      </x:c>
      <x:c r="K596" s="42" t="n">
        <x:v>-0.000019942182297514317</x:v>
      </x:c>
      <x:c r="L596" s="26" t="n">
        <x:v>5396</x:v>
      </x:c>
      <x:c r="M596" s="26" t="n">
        <x:v>6002</x:v>
      </x:c>
      <x:c r="N596" s="26" t="n">
        <x:v>6541</x:v>
      </x:c>
    </x:row>
    <x:row r="597">
      <x:c r="A597" s="20" t="str">
        <x:v>T1_SHARED_CATCHMENT</x:v>
      </x:c>
      <x:c r="B597" s="20" t="str">
        <x:v>NYC-V1-R04</x:v>
      </x:c>
      <x:c r="C597" s="20" t="str">
        <x:v>V1</x:v>
      </x:c>
      <x:c r="D597" s="20" t="str">
        <x:v>households_with_children</x:v>
      </x:c>
      <x:c r="E597" s="20" t="str">
        <x:v>household</x:v>
      </x:c>
      <x:c r="F597" s="50" t="n">
        <x:v>4521</x:v>
      </x:c>
      <x:c r="G597" s="50" t="n">
        <x:v>457.9813314972566</x:v>
      </x:c>
      <x:c r="H597" s="50" t="n">
        <x:v>4521.053</x:v>
      </x:c>
      <x:c r="I597" s="50" t="n">
        <x:v>459.6701347964906</x:v>
      </x:c>
      <x:c r="J597" s="42" t="n">
        <x:v>1.003687493753758</x:v>
      </x:c>
      <x:c r="K597" s="42" t="n">
        <x:v>0.00011572524108485646</x:v>
      </x:c>
      <x:c r="L597" s="26" t="n">
        <x:v>3746</x:v>
      </x:c>
      <x:c r="M597" s="26" t="n">
        <x:v>4527</x:v>
      </x:c>
      <x:c r="N597" s="26" t="n">
        <x:v>5266</x:v>
      </x:c>
    </x:row>
    <x:row r="598">
      <x:c r="A598" s="20" t="str">
        <x:v>T1_SHARED_CATCHMENT</x:v>
      </x:c>
      <x:c r="B598" s="20" t="str">
        <x:v>NYC-V1-R04</x:v>
      </x:c>
      <x:c r="C598" s="20" t="str">
        <x:v>V1</x:v>
      </x:c>
      <x:c r="D598" s="20" t="str">
        <x:v>households_with_age65</x:v>
      </x:c>
      <x:c r="E598" s="20" t="str">
        <x:v>household</x:v>
      </x:c>
      <x:c r="F598" s="50" t="n">
        <x:v>3740</x:v>
      </x:c>
      <x:c r="G598" s="50" t="n">
        <x:v>266.7009561287698</x:v>
      </x:c>
      <x:c r="H598" s="50" t="n">
        <x:v>3739.887</x:v>
      </x:c>
      <x:c r="I598" s="50" t="n">
        <x:v>274.2948010241333</x:v>
      </x:c>
      <x:c r="J598" s="42" t="n">
        <x:v>1.028473257110098</x:v>
      </x:c>
      <x:c r="K598" s="42" t="n">
        <x:v>-0.00042369551890646324</x:v>
      </x:c>
      <x:c r="L598" s="26" t="n">
        <x:v>3294</x:v>
      </x:c>
      <x:c r="M598" s="26" t="n">
        <x:v>3734</x:v>
      </x:c>
      <x:c r="N598" s="26" t="n">
        <x:v>4172</x:v>
      </x:c>
    </x:row>
    <x:row r="599">
      <x:c r="A599" s="20" t="str">
        <x:v>T1_SHARED_CATCHMENT</x:v>
      </x:c>
      <x:c r="B599" s="20" t="str">
        <x:v>NYC-V1-R04</x:v>
      </x:c>
      <x:c r="C599" s="20" t="str">
        <x:v>V1</x:v>
      </x:c>
      <x:c r="D599" s="20" t="str">
        <x:v>age65_one_person_households</x:v>
      </x:c>
      <x:c r="E599" s="20" t="str">
        <x:v>household</x:v>
      </x:c>
      <x:c r="F599" s="50" t="n">
        <x:v>2144</x:v>
      </x:c>
      <x:c r="G599" s="50" t="n">
        <x:v>246.10323037294737</x:v>
      </x:c>
      <x:c r="H599" s="50" t="n">
        <x:v>2144.063</x:v>
      </x:c>
      <x:c r="I599" s="50" t="n">
        <x:v>261.40079074938626</x:v>
      </x:c>
      <x:c r="J599" s="42" t="n">
        <x:v>1.0621591205985261</x:v>
      </x:c>
      <x:c r="K599" s="42" t="n">
        <x:v>0.00025599013838473807</x:v>
      </x:c>
      <x:c r="L599" s="26" t="n">
        <x:v>1714</x:v>
      </x:c>
      <x:c r="M599" s="26" t="n">
        <x:v>2144</x:v>
      </x:c>
      <x:c r="N599" s="26" t="n">
        <x:v>2569</x:v>
      </x:c>
    </x:row>
    <x:row r="600">
      <x:c r="A600" s="20" t="str">
        <x:v>T1_SHARED_CATCHMENT</x:v>
      </x:c>
      <x:c r="B600" s="20" t="str">
        <x:v>NYC-V1-R04</x:v>
      </x:c>
      <x:c r="C600" s="20" t="str">
        <x:v>V1</x:v>
      </x:c>
      <x:c r="D600" s="20" t="str">
        <x:v>no_vehicle_households</x:v>
      </x:c>
      <x:c r="E600" s="20" t="str">
        <x:v>household</x:v>
      </x:c>
      <x:c r="F600" s="50" t="n">
        <x:v>11951</x:v>
      </x:c>
      <x:c r="G600" s="50" t="n">
        <x:v>449.7506671942774</x:v>
      </x:c>
      <x:c r="H600" s="50" t="n">
        <x:v>11950.845</x:v>
      </x:c>
      <x:c r="I600" s="50" t="n">
        <x:v>444.17440028987806</x:v>
      </x:c>
      <x:c r="J600" s="42" t="n">
        <x:v>0.9876014260541595</x:v>
      </x:c>
      <x:c r="K600" s="42" t="n">
        <x:v>-0.00034463539758063317</x:v>
      </x:c>
      <x:c r="L600" s="26" t="n">
        <x:v>11219</x:v>
      </x:c>
      <x:c r="M600" s="26" t="n">
        <x:v>11941</x:v>
      </x:c>
      <x:c r="N600" s="26" t="n">
        <x:v>12693</x:v>
      </x:c>
    </x:row>
    <x:row r="601">
      <x:c r="A601" s="20" t="str">
        <x:v>T1_SHARED_CATCHMENT</x:v>
      </x:c>
      <x:c r="B601" s="20" t="str">
        <x:v>NYC-V1-R04</x:v>
      </x:c>
      <x:c r="C601" s="20" t="str">
        <x:v>V1</x:v>
      </x:c>
      <x:c r="D601" s="20" t="str">
        <x:v>limited_english_households</x:v>
      </x:c>
      <x:c r="E601" s="20" t="str">
        <x:v>household</x:v>
      </x:c>
      <x:c r="F601" s="50" t="n">
        <x:v>1754</x:v>
      </x:c>
      <x:c r="G601" s="50" t="n">
        <x:v>262.8263803913474</x:v>
      </x:c>
      <x:c r="H601" s="50" t="n">
        <x:v>1753.863</x:v>
      </x:c>
      <x:c r="I601" s="50" t="n">
        <x:v>261.31145383795734</x:v>
      </x:c>
      <x:c r="J601" s="42" t="n">
        <x:v>0.9942360178946483</x:v>
      </x:c>
      <x:c r="K601" s="42" t="n">
        <x:v>-0.0005212566554238245</x:v>
      </x:c>
      <x:c r="L601" s="26" t="n">
        <x:v>1332</x:v>
      </x:c>
      <x:c r="M601" s="26" t="n">
        <x:v>1762</x:v>
      </x:c>
      <x:c r="N601" s="26" t="n">
        <x:v>2162</x:v>
      </x:c>
    </x:row>
    <x:row r="602">
      <x:c r="A602" s="20" t="str">
        <x:v>T1_SHARED_CATCHMENT</x:v>
      </x:c>
      <x:c r="B602" s="20" t="str">
        <x:v>NYC-V1-R04</x:v>
      </x:c>
      <x:c r="C602" s="20" t="str">
        <x:v>V1</x:v>
      </x:c>
      <x:c r="D602" s="20" t="str">
        <x:v>housing_units</x:v>
      </x:c>
      <x:c r="E602" s="20" t="str">
        <x:v>housing</x:v>
      </x:c>
      <x:c r="F602" s="50" t="n">
        <x:v>15534</x:v>
      </x:c>
      <x:c r="G602" s="50" t="n">
        <x:v>395.74170869394095</x:v>
      </x:c>
      <x:c r="H602" s="50" t="n">
        <x:v>15534.471</x:v>
      </x:c>
      <x:c r="I602" s="50" t="n">
        <x:v>386.97715756809146</x:v>
      </x:c>
      <x:c r="J602" s="42" t="n">
        <x:v>0.9778528496408049</x:v>
      </x:c>
      <x:c r="K602" s="42" t="n">
        <x:v>0.0011901702288444184</x:v>
      </x:c>
      <x:c r="L602" s="26" t="n">
        <x:v>14920</x:v>
      </x:c>
      <x:c r="M602" s="26" t="n">
        <x:v>15527</x:v>
      </x:c>
      <x:c r="N602" s="26" t="n">
        <x:v>16164</x:v>
      </x:c>
    </x:row>
    <x:row r="603">
      <x:c r="A603" s="20" t="str">
        <x:v>T1_SHARED_CATCHMENT</x:v>
      </x:c>
      <x:c r="B603" s="20" t="str">
        <x:v>NYC-V1-R04</x:v>
      </x:c>
      <x:c r="C603" s="20" t="str">
        <x:v>V1</x:v>
      </x:c>
      <x:c r="D603" s="20" t="str">
        <x:v>occupied_housing_units</x:v>
      </x:c>
      <x:c r="E603" s="20" t="str">
        <x:v>housing</x:v>
      </x:c>
      <x:c r="F603" s="50" t="n">
        <x:v>14422</x:v>
      </x:c>
      <x:c r="G603" s="50" t="n">
        <x:v>406.926344686603</x:v>
      </x:c>
      <x:c r="H603" s="50" t="n">
        <x:v>14422.61</x:v>
      </x:c>
      <x:c r="I603" s="50" t="n">
        <x:v>368.73223531630833</x:v>
      </x:c>
      <x:c r="J603" s="42" t="n">
        <x:v>0.9061399934680806</x:v>
      </x:c>
      <x:c r="K603" s="42" t="n">
        <x:v>0.0014990427824730238</x:v>
      </x:c>
      <x:c r="L603" s="26" t="n">
        <x:v>13821</x:v>
      </x:c>
      <x:c r="M603" s="26" t="n">
        <x:v>14431</x:v>
      </x:c>
      <x:c r="N603" s="26" t="n">
        <x:v>14994</x:v>
      </x:c>
    </x:row>
    <x:row r="604">
      <x:c r="A604" s="20" t="str">
        <x:v>T1_SHARED_CATCHMENT</x:v>
      </x:c>
      <x:c r="B604" s="20" t="str">
        <x:v>NYC-V1-R04</x:v>
      </x:c>
      <x:c r="C604" s="20" t="str">
        <x:v>V1</x:v>
      </x:c>
      <x:c r="D604" s="20" t="str">
        <x:v>vacant_housing_units</x:v>
      </x:c>
      <x:c r="E604" s="20" t="str">
        <x:v>housing</x:v>
      </x:c>
      <x:c r="F604" s="50" t="n">
        <x:v>1112</x:v>
      </x:c>
      <x:c r="G604" s="50" t="n">
        <x:v>204.29892314938914</x:v>
      </x:c>
      <x:c r="H604" s="50" t="n">
        <x:v>1111.861</x:v>
      </x:c>
      <x:c r="I604" s="50" t="n">
        <x:v>201.72146447076037</x:v>
      </x:c>
      <x:c r="J604" s="42" t="n">
        <x:v>0.987383885147823</x:v>
      </x:c>
      <x:c r="K604" s="42" t="n">
        <x:v>-0.0006803755881682039</x:v>
      </x:c>
      <x:c r="L604" s="26" t="n">
        <x:v>784</x:v>
      </x:c>
      <x:c r="M604" s="26" t="n">
        <x:v>1117</x:v>
      </x:c>
      <x:c r="N604" s="26" t="n">
        <x:v>1448</x:v>
      </x:c>
    </x:row>
    <x:row r="605">
      <x:c r="A605" s="20" t="str">
        <x:v>T1_SHARED_CATCHMENT</x:v>
      </x:c>
      <x:c r="B605" s="20" t="str">
        <x:v>NYC-V1-R04</x:v>
      </x:c>
      <x:c r="C605" s="20" t="str">
        <x:v>V1</x:v>
      </x:c>
      <x:c r="D605" s="20" t="str">
        <x:v>owner_occupied_units</x:v>
      </x:c>
      <x:c r="E605" s="20" t="str">
        <x:v>housing</x:v>
      </x:c>
      <x:c r="F605" s="50" t="n">
        <x:v>1357</x:v>
      </x:c>
      <x:c r="G605" s="50" t="n">
        <x:v>195.72296883493016</x:v>
      </x:c>
      <x:c r="H605" s="50" t="n">
        <x:v>1357.047</x:v>
      </x:c>
      <x:c r="I605" s="50" t="n">
        <x:v>186.6588232774098</x:v>
      </x:c>
      <x:c r="J605" s="42" t="n">
        <x:v>0.9536889021688357</x:v>
      </x:c>
      <x:c r="K605" s="42" t="n">
        <x:v>0.00024013533148306454</x:v>
      </x:c>
      <x:c r="L605" s="26" t="n">
        <x:v>1048</x:v>
      </x:c>
      <x:c r="M605" s="26" t="n">
        <x:v>1365</x:v>
      </x:c>
      <x:c r="N605" s="26" t="n">
        <x:v>1639</x:v>
      </x:c>
    </x:row>
    <x:row r="606">
      <x:c r="A606" s="20" t="str">
        <x:v>T1_SHARED_CATCHMENT</x:v>
      </x:c>
      <x:c r="B606" s="20" t="str">
        <x:v>NYC-V1-R04</x:v>
      </x:c>
      <x:c r="C606" s="20" t="str">
        <x:v>V1</x:v>
      </x:c>
      <x:c r="D606" s="20" t="str">
        <x:v>renter_occupied_units</x:v>
      </x:c>
      <x:c r="E606" s="20" t="str">
        <x:v>housing</x:v>
      </x:c>
      <x:c r="F606" s="50" t="n">
        <x:v>13065</x:v>
      </x:c>
      <x:c r="G606" s="50" t="n">
        <x:v>417.4154295644799</x:v>
      </x:c>
      <x:c r="H606" s="50" t="n">
        <x:v>13065.563</x:v>
      </x:c>
      <x:c r="I606" s="50" t="n">
        <x:v>340.10251653398973</x:v>
      </x:c>
      <x:c r="J606" s="42" t="n">
        <x:v>0.8147818514731082</x:v>
      </x:c>
      <x:c r="K606" s="42" t="n">
        <x:v>0.001348776207404506</x:v>
      </x:c>
      <x:c r="L606" s="26" t="n">
        <x:v>12516</x:v>
      </x:c>
      <x:c r="M606" s="26" t="n">
        <x:v>13070</x:v>
      </x:c>
      <x:c r="N606" s="26" t="n">
        <x:v>13615</x:v>
      </x:c>
    </x:row>
    <x:row r="607">
      <x:c r="A607" s="20" t="str">
        <x:v>T1_SHARED_CATCHMENT</x:v>
      </x:c>
      <x:c r="B607" s="20" t="str">
        <x:v>NYC-V1-R04</x:v>
      </x:c>
      <x:c r="C607" s="20" t="str">
        <x:v>V1</x:v>
      </x:c>
      <x:c r="D607" s="20" t="str">
        <x:v>one_unit_structures</x:v>
      </x:c>
      <x:c r="E607" s="20" t="str">
        <x:v>housing</x:v>
      </x:c>
      <x:c r="F607" s="50" t="n">
        <x:v>123</x:v>
      </x:c>
      <x:c r="G607" s="50" t="n">
        <x:v>90.86671765451966</x:v>
      </x:c>
      <x:c r="H607" s="50" t="n">
        <x:v>126.363</x:v>
      </x:c>
      <x:c r="I607" s="50" t="n">
        <x:v>82.8048420859123</x:v>
      </x:c>
      <x:c r="J607" s="42" t="n">
        <x:v>0.9112780149134575</x:v>
      </x:c>
      <x:c r="K607" s="42" t="n">
        <x:v>0.03701025069251773</x:v>
      </x:c>
      <x:c r="L607" s="26" t="n">
        <x:v>0</x:v>
      </x:c>
      <x:c r="M607" s="26" t="n">
        <x:v>121</x:v>
      </x:c>
      <x:c r="N607" s="26" t="n">
        <x:v>275</x:v>
      </x:c>
    </x:row>
    <x:row r="608">
      <x:c r="A608" s="20" t="str">
        <x:v>T1_SHARED_CATCHMENT</x:v>
      </x:c>
      <x:c r="B608" s="20" t="str">
        <x:v>NYC-V1-R04</x:v>
      </x:c>
      <x:c r="C608" s="20" t="str">
        <x:v>V1</x:v>
      </x:c>
      <x:c r="D608" s="20" t="str">
        <x:v>two_to_four_unit_structures</x:v>
      </x:c>
      <x:c r="E608" s="20" t="str">
        <x:v>housing</x:v>
      </x:c>
      <x:c r="F608" s="50" t="n">
        <x:v>521</x:v>
      </x:c>
      <x:c r="G608" s="50" t="n">
        <x:v>158.51697656256852</x:v>
      </x:c>
      <x:c r="H608" s="50" t="n">
        <x:v>520.917</x:v>
      </x:c>
      <x:c r="I608" s="50" t="n">
        <x:v>148.39009310169845</x:v>
      </x:c>
      <x:c r="J608" s="42" t="n">
        <x:v>0.936114833373239</x:v>
      </x:c>
      <x:c r="K608" s="42" t="n">
        <x:v>-0.0005236032240824939</x:v>
      </x:c>
      <x:c r="L608" s="26" t="n">
        <x:v>279</x:v>
      </x:c>
      <x:c r="M608" s="26" t="n">
        <x:v>520</x:v>
      </x:c>
      <x:c r="N608" s="26" t="n">
        <x:v>767</x:v>
      </x:c>
    </x:row>
    <x:row r="609">
      <x:c r="A609" s="20" t="str">
        <x:v>T1_SHARED_CATCHMENT</x:v>
      </x:c>
      <x:c r="B609" s="20" t="str">
        <x:v>NYC-V1-R04</x:v>
      </x:c>
      <x:c r="C609" s="20" t="str">
        <x:v>V1</x:v>
      </x:c>
      <x:c r="D609" s="20" t="str">
        <x:v>five_to_nineteen_unit_structures</x:v>
      </x:c>
      <x:c r="E609" s="20" t="str">
        <x:v>housing</x:v>
      </x:c>
      <x:c r="F609" s="50" t="n">
        <x:v>2270</x:v>
      </x:c>
      <x:c r="G609" s="50" t="n">
        <x:v>286.8231731145651</x:v>
      </x:c>
      <x:c r="H609" s="50" t="n">
        <x:v>2269.762</x:v>
      </x:c>
      <x:c r="I609" s="50" t="n">
        <x:v>252.4366764787392</x:v>
      </x:c>
      <x:c r="J609" s="42" t="n">
        <x:v>0.8801125576346267</x:v>
      </x:c>
      <x:c r="K609" s="42" t="n">
        <x:v>-0.0008297795377389721</x:v>
      </x:c>
      <x:c r="L609" s="26" t="n">
        <x:v>1852</x:v>
      </x:c>
      <x:c r="M609" s="26" t="n">
        <x:v>2261</x:v>
      </x:c>
      <x:c r="N609" s="26" t="n">
        <x:v>2692</x:v>
      </x:c>
    </x:row>
    <x:row r="610">
      <x:c r="A610" s="20" t="str">
        <x:v>T1_SHARED_CATCHMENT</x:v>
      </x:c>
      <x:c r="B610" s="20" t="str">
        <x:v>NYC-V1-R04</x:v>
      </x:c>
      <x:c r="C610" s="20" t="str">
        <x:v>V1</x:v>
      </x:c>
      <x:c r="D610" s="20" t="str">
        <x:v>twenty_to_forty_nine_unit_structures</x:v>
      </x:c>
      <x:c r="E610" s="20" t="str">
        <x:v>housing</x:v>
      </x:c>
      <x:c r="F610" s="50" t="n">
        <x:v>2860</x:v>
      </x:c>
      <x:c r="G610" s="50" t="n">
        <x:v>331.33208683289763</x:v>
      </x:c>
      <x:c r="H610" s="50" t="n">
        <x:v>2859.741</x:v>
      </x:c>
      <x:c r="I610" s="50" t="n">
        <x:v>288.9868635878218</x:v>
      </x:c>
      <x:c r="J610" s="42" t="n">
        <x:v>0.8721970345527326</x:v>
      </x:c>
      <x:c r="K610" s="42" t="n">
        <x:v>-0.000781693081632137</x:v>
      </x:c>
      <x:c r="L610" s="26" t="n">
        <x:v>2389</x:v>
      </x:c>
      <x:c r="M610" s="26" t="n">
        <x:v>2858</x:v>
      </x:c>
      <x:c r="N610" s="26" t="n">
        <x:v>3339</x:v>
      </x:c>
    </x:row>
    <x:row r="611">
      <x:c r="A611" s="20" t="str">
        <x:v>T1_SHARED_CATCHMENT</x:v>
      </x:c>
      <x:c r="B611" s="20" t="str">
        <x:v>NYC-V1-R04</x:v>
      </x:c>
      <x:c r="C611" s="20" t="str">
        <x:v>V1</x:v>
      </x:c>
      <x:c r="D611" s="20" t="str">
        <x:v>fifty_plus_unit_structures</x:v>
      </x:c>
      <x:c r="E611" s="20" t="str">
        <x:v>housing</x:v>
      </x:c>
      <x:c r="F611" s="50" t="n">
        <x:v>8648</x:v>
      </x:c>
      <x:c r="G611" s="50" t="n">
        <x:v>471.44728630894997</x:v>
      </x:c>
      <x:c r="H611" s="50" t="n">
        <x:v>8624.601</x:v>
      </x:c>
      <x:c r="I611" s="50" t="n">
        <x:v>356.698238616947</x:v>
      </x:c>
      <x:c r="J611" s="42" t="n">
        <x:v>0.7566025915847453</x:v>
      </x:c>
      <x:c r="K611" s="42" t="n">
        <x:v>-0.04963227211083265</x:v>
      </x:c>
      <x:c r="L611" s="26" t="n">
        <x:v>8074</x:v>
      </x:c>
      <x:c r="M611" s="26" t="n">
        <x:v>8618</x:v>
      </x:c>
      <x:c r="N611" s="26" t="n">
        <x:v>9210</x:v>
      </x:c>
    </x:row>
    <x:row r="612">
      <x:c r="A612" s="20" t="str">
        <x:v>T1_SHARED_CATCHMENT</x:v>
      </x:c>
      <x:c r="B612" s="20" t="str">
        <x:v>NYC-V1-R04</x:v>
      </x:c>
      <x:c r="C612" s="20" t="str">
        <x:v>V1</x:v>
      </x:c>
      <x:c r="D612" s="20" t="str">
        <x:v>mobile_or_other_units</x:v>
      </x:c>
      <x:c r="E612" s="20" t="str">
        <x:v>housing</x:v>
      </x:c>
      <x:c r="F612" s="50" t="n">
        <x:v>0</x:v>
      </x:c>
      <x:c r="G612" s="50" t="n">
        <x:v>54.38606503670527</x:v>
      </x:c>
      <x:c r="H612" s="50" t="n">
        <x:v>21.226</x:v>
      </x:c>
      <x:c r="I612" s="50" t="n">
        <x:v>30.692294488046034</x:v>
      </x:c>
      <x:c r="J612" s="42" t="n">
        <x:v>0.5643411500231124</x:v>
      </x:c>
      <x:c r="K612" s="42" t="n">
        <x:v>0.3902837976175428</x:v>
      </x:c>
      <x:c r="L612" s="26" t="n">
        <x:v>0</x:v>
      </x:c>
      <x:c r="M612" s="26" t="n">
        <x:v>2</x:v>
      </x:c>
      <x:c r="N612" s="26" t="n">
        <x:v>85</x:v>
      </x:c>
    </x:row>
    <x:row r="613">
      <x:c r="A613" s="20" t="str">
        <x:v>T1_SHARED_CATCHMENT</x:v>
      </x:c>
      <x:c r="B613" s="20" t="str">
        <x:v>NYC-V1-R04</x:v>
      </x:c>
      <x:c r="C613" s="20" t="str">
        <x:v>V1</x:v>
      </x:c>
      <x:c r="D613" s="20" t="str">
        <x:v>electric_heat_households</x:v>
      </x:c>
      <x:c r="E613" s="20" t="str">
        <x:v>housing</x:v>
      </x:c>
      <x:c r="F613" s="50" t="n">
        <x:v>2858</x:v>
      </x:c>
      <x:c r="G613" s="50" t="n">
        <x:v>252.70684596979166</x:v>
      </x:c>
      <x:c r="H613" s="50" t="n">
        <x:v>2857.878</x:v>
      </x:c>
      <x:c r="I613" s="50" t="n">
        <x:v>246.76498956715085</x:v>
      </x:c>
      <x:c r="J613" s="42" t="n">
        <x:v>0.9764871569670451</x:v>
      </x:c>
      <x:c r="K613" s="42" t="n">
        <x:v>-0.0004827728332078005</x:v>
      </x:c>
      <x:c r="L613" s="26" t="n">
        <x:v>2453</x:v>
      </x:c>
      <x:c r="M613" s="26" t="n">
        <x:v>2863</x:v>
      </x:c>
      <x:c r="N613" s="26" t="n">
        <x:v>3264</x:v>
      </x:c>
    </x:row>
    <x:row r="614">
      <x:c r="A614" s="20" t="str">
        <x:v>T1_SHARED_CATCHMENT</x:v>
      </x:c>
      <x:c r="B614" s="20" t="str">
        <x:v>NYC-V1-R04</x:v>
      </x:c>
      <x:c r="C614" s="20" t="str">
        <x:v>V1</x:v>
      </x:c>
      <x:c r="D614" s="20" t="str">
        <x:v>group_quarters_population</x:v>
      </x:c>
      <x:c r="E614" s="20" t="str">
        <x:v>population</x:v>
      </x:c>
      <x:c r="F614" s="50" t="n">
        <x:v>1116</x:v>
      </x:c>
      <x:c r="G614" s="50" t="n">
        <x:v>26.646763405712147</x:v>
      </x:c>
      <x:c r="H614" s="50" t="n">
        <x:v>1115.984</x:v>
      </x:c>
      <x:c r="I614" s="50" t="n">
        <x:v>25.89421275602435</x:v>
      </x:c>
      <x:c r="J614" s="42" t="n">
        <x:v>0.9717582717934713</x:v>
      </x:c>
      <x:c r="K614" s="42" t="n">
        <x:v>-0.0006004481578669532</x:v>
      </x:c>
      <x:c r="L614" s="26" t="n">
        <x:v>1075</x:v>
      </x:c>
      <x:c r="M614" s="26" t="n">
        <x:v>1115</x:v>
      </x:c>
      <x:c r="N614" s="26" t="n">
        <x:v>1158</x:v>
      </x:c>
    </x:row>
    <x:row r="615">
      <x:c r="A615" s="20" t="str">
        <x:v>T1_SHARED_CATCHMENT</x:v>
      </x:c>
      <x:c r="B615" s="20" t="str">
        <x:v>NYC-V2-R01</x:v>
      </x:c>
      <x:c r="C615" s="20" t="str">
        <x:v>V2</x:v>
      </x:c>
      <x:c r="D615" s="20" t="str">
        <x:v>acs_population</x:v>
      </x:c>
      <x:c r="E615" s="20" t="str">
        <x:v>population</x:v>
      </x:c>
      <x:c r="F615" s="50" t="n">
        <x:v>30574</x:v>
      </x:c>
      <x:c r="G615" s="50" t="n">
        <x:v>1614.1890688516016</x:v>
      </x:c>
      <x:c r="H615" s="50" t="n">
        <x:v>31455.812</x:v>
      </x:c>
      <x:c r="I615" s="50" t="n">
        <x:v>1336.5261212294838</x:v>
      </x:c>
      <x:c r="J615" s="42" t="n">
        <x:v>0.8279861058533506</x:v>
      </x:c>
      <x:c r="K615" s="42" t="n">
        <x:v>0.5462879268705232</x:v>
      </x:c>
      <x:c r="L615" s="26" t="n">
        <x:v>29380</x:v>
      </x:c>
      <x:c r="M615" s="26" t="n">
        <x:v>31429</x:v>
      </x:c>
      <x:c r="N615" s="26" t="n">
        <x:v>33719</x:v>
      </x:c>
    </x:row>
    <x:row r="616">
      <x:c r="A616" s="20" t="str">
        <x:v>T1_SHARED_CATCHMENT</x:v>
      </x:c>
      <x:c r="B616" s="20" t="str">
        <x:v>NYC-V2-R01</x:v>
      </x:c>
      <x:c r="C616" s="20" t="str">
        <x:v>V2</x:v>
      </x:c>
      <x:c r="D616" s="20" t="str">
        <x:v>age_under_18</x:v>
      </x:c>
      <x:c r="E616" s="20" t="str">
        <x:v>population</x:v>
      </x:c>
      <x:c r="F616" s="50" t="n">
        <x:v>7722</x:v>
      </x:c>
      <x:c r="G616" s="50" t="n">
        <x:v>870.5698995485659</x:v>
      </x:c>
      <x:c r="H616" s="50" t="n">
        <x:v>7721.534</x:v>
      </x:c>
      <x:c r="I616" s="50" t="n">
        <x:v>882.0809314420154</x:v>
      </x:c>
      <x:c r="J616" s="42" t="n">
        <x:v>1.013222409710488</x:v>
      </x:c>
      <x:c r="K616" s="42" t="n">
        <x:v>-0.0005352815440115648</x:v>
      </x:c>
      <x:c r="L616" s="26" t="n">
        <x:v>6272</x:v>
      </x:c>
      <x:c r="M616" s="26" t="n">
        <x:v>7746</x:v>
      </x:c>
      <x:c r="N616" s="26" t="n">
        <x:v>9119</x:v>
      </x:c>
    </x:row>
    <x:row r="617">
      <x:c r="A617" s="20" t="str">
        <x:v>T1_SHARED_CATCHMENT</x:v>
      </x:c>
      <x:c r="B617" s="20" t="str">
        <x:v>NYC-V2-R01</x:v>
      </x:c>
      <x:c r="C617" s="20" t="str">
        <x:v>V2</x:v>
      </x:c>
      <x:c r="D617" s="20" t="str">
        <x:v>age_65_plus</x:v>
      </x:c>
      <x:c r="E617" s="20" t="str">
        <x:v>population</x:v>
      </x:c>
      <x:c r="F617" s="50" t="n">
        <x:v>3199</x:v>
      </x:c>
      <x:c r="G617" s="50" t="n">
        <x:v>337.42169461965545</x:v>
      </x:c>
      <x:c r="H617" s="50" t="n">
        <x:v>3321.216</x:v>
      </x:c>
      <x:c r="I617" s="50" t="n">
        <x:v>289.04687758466</x:v>
      </x:c>
      <x:c r="J617" s="42" t="n">
        <x:v>0.8566339455750647</x:v>
      </x:c>
      <x:c r="K617" s="42" t="n">
        <x:v>0.3622055189360684</x:v>
      </x:c>
      <x:c r="L617" s="26" t="n">
        <x:v>2862</x:v>
      </x:c>
      <x:c r="M617" s="26" t="n">
        <x:v>3314</x:v>
      </x:c>
      <x:c r="N617" s="26" t="n">
        <x:v>3825</x:v>
      </x:c>
    </x:row>
    <x:row r="618">
      <x:c r="A618" s="20" t="str">
        <x:v>T1_SHARED_CATCHMENT</x:v>
      </x:c>
      <x:c r="B618" s="20" t="str">
        <x:v>NYC-V2-R01</x:v>
      </x:c>
      <x:c r="C618" s="20" t="str">
        <x:v>V2</x:v>
      </x:c>
      <x:c r="D618" s="20" t="str">
        <x:v>age_75_plus</x:v>
      </x:c>
      <x:c r="E618" s="20" t="str">
        <x:v>population</x:v>
      </x:c>
      <x:c r="F618" s="50" t="n">
        <x:v>1273</x:v>
      </x:c>
      <x:c r="G618" s="50" t="n">
        <x:v>285.10594522036894</x:v>
      </x:c>
      <x:c r="H618" s="50" t="n">
        <x:v>1272.916</x:v>
      </x:c>
      <x:c r="I618" s="50" t="n">
        <x:v>277.43632036172886</x:v>
      </x:c>
      <x:c r="J618" s="42" t="n">
        <x:v>0.9730990356840439</x:v>
      </x:c>
      <x:c r="K618" s="42" t="n">
        <x:v>-0.00029462731804885136</x:v>
      </x:c>
      <x:c r="L618" s="26" t="n">
        <x:v>809</x:v>
      </x:c>
      <x:c r="M618" s="26" t="n">
        <x:v>1274</x:v>
      </x:c>
      <x:c r="N618" s="26" t="n">
        <x:v>1721</x:v>
      </x:c>
    </x:row>
    <x:row r="619">
      <x:c r="A619" s="20" t="str">
        <x:v>T1_SHARED_CATCHMENT</x:v>
      </x:c>
      <x:c r="B619" s="20" t="str">
        <x:v>NYC-V2-R01</x:v>
      </x:c>
      <x:c r="C619" s="20" t="str">
        <x:v>V2</x:v>
      </x:c>
      <x:c r="D619" s="20" t="str">
        <x:v>age_85_plus</x:v>
      </x:c>
      <x:c r="E619" s="20" t="str">
        <x:v>population</x:v>
      </x:c>
      <x:c r="F619" s="50" t="n">
        <x:v>217</x:v>
      </x:c>
      <x:c r="G619" s="50" t="n">
        <x:v>120.80956087992374</x:v>
      </x:c>
      <x:c r="H619" s="50" t="n">
        <x:v>218.613</x:v>
      </x:c>
      <x:c r="I619" s="50" t="n">
        <x:v>117.03228523269459</x:v>
      </x:c>
      <x:c r="J619" s="42" t="n">
        <x:v>0.9687336364794547</x:v>
      </x:c>
      <x:c r="K619" s="42" t="n">
        <x:v>0.013351592276733866</x:v>
      </x:c>
      <x:c r="L619" s="26" t="n">
        <x:v>18</x:v>
      </x:c>
      <x:c r="M619" s="26" t="n">
        <x:v>215</x:v>
      </x:c>
      <x:c r="N619" s="26" t="n">
        <x:v>417</x:v>
      </x:c>
    </x:row>
    <x:row r="620">
      <x:c r="A620" s="20" t="str">
        <x:v>T1_SHARED_CATCHMENT</x:v>
      </x:c>
      <x:c r="B620" s="20" t="str">
        <x:v>NYC-V2-R01</x:v>
      </x:c>
      <x:c r="C620" s="20" t="str">
        <x:v>V2</x:v>
      </x:c>
      <x:c r="D620" s="20" t="str">
        <x:v>civilian_noninstitutionalized</x:v>
      </x:c>
      <x:c r="E620" s="20" t="str">
        <x:v>disability</x:v>
      </x:c>
      <x:c r="F620" s="50" t="n">
        <x:v>30571</x:v>
      </x:c>
      <x:c r="G620" s="50" t="n">
        <x:v>1613.9651018531968</x:v>
      </x:c>
      <x:c r="H620" s="50" t="n">
        <x:v>30568.432</x:v>
      </x:c>
      <x:c r="I620" s="50" t="n">
        <x:v>1622.5698728770876</x:v>
      </x:c>
      <x:c r="J620" s="42" t="n">
        <x:v>1.0053314480059146</x:v>
      </x:c>
      <x:c r="K620" s="42" t="n">
        <x:v>-0.0015911124701833126</x:v>
      </x:c>
      <x:c r="L620" s="26" t="n">
        <x:v>27739</x:v>
      </x:c>
      <x:c r="M620" s="26" t="n">
        <x:v>30575</x:v>
      </x:c>
      <x:c r="N620" s="26" t="n">
        <x:v>33198</x:v>
      </x:c>
    </x:row>
    <x:row r="621">
      <x:c r="A621" s="20" t="str">
        <x:v>T1_SHARED_CATCHMENT</x:v>
      </x:c>
      <x:c r="B621" s="20" t="str">
        <x:v>NYC-V2-R01</x:v>
      </x:c>
      <x:c r="C621" s="20" t="str">
        <x:v>V2</x:v>
      </x:c>
      <x:c r="D621" s="20" t="str">
        <x:v>any_disability</x:v>
      </x:c>
      <x:c r="E621" s="20" t="str">
        <x:v>disability</x:v>
      </x:c>
      <x:c r="F621" s="50" t="n">
        <x:v>5709</x:v>
      </x:c>
      <x:c r="G621" s="50" t="n">
        <x:v>804.5654417137241</x:v>
      </x:c>
      <x:c r="H621" s="50" t="n">
        <x:v>5720.054</x:v>
      </x:c>
      <x:c r="I621" s="50" t="n">
        <x:v>891.5320950815852</x:v>
      </x:c>
      <x:c r="J621" s="42" t="n">
        <x:v>1.1080914601335874</x:v>
      </x:c>
      <x:c r="K621" s="42" t="n">
        <x:v>0.013739093710581294</x:v>
      </x:c>
      <x:c r="L621" s="26" t="n">
        <x:v>4241</x:v>
      </x:c>
      <x:c r="M621" s="26" t="n">
        <x:v>5728</x:v>
      </x:c>
      <x:c r="N621" s="26" t="n">
        <x:v>7206</x:v>
      </x:c>
    </x:row>
    <x:row r="622">
      <x:c r="A622" s="20" t="str">
        <x:v>T1_SHARED_CATCHMENT</x:v>
      </x:c>
      <x:c r="B622" s="20" t="str">
        <x:v>NYC-V2-R01</x:v>
      </x:c>
      <x:c r="C622" s="20" t="str">
        <x:v>V2</x:v>
      </x:c>
      <x:c r="D622" s="20" t="str">
        <x:v>disability_under_18</x:v>
      </x:c>
      <x:c r="E622" s="20" t="str">
        <x:v>disability</x:v>
      </x:c>
      <x:c r="F622" s="50" t="n">
        <x:v>1281</x:v>
      </x:c>
      <x:c r="G622" s="50" t="n">
        <x:v>683.9411158864482</x:v>
      </x:c>
      <x:c r="H622" s="50" t="n">
        <x:v>1291.932</x:v>
      </x:c>
      <x:c r="I622" s="50" t="n">
        <x:v>655.0444585053892</x:v>
      </x:c>
      <x:c r="J622" s="42" t="n">
        <x:v>0.9577497876500577</x:v>
      </x:c>
      <x:c r="K622" s="42" t="n">
        <x:v>0.01598383215466024</x:v>
      </x:c>
      <x:c r="L622" s="26" t="n">
        <x:v>84</x:v>
      </x:c>
      <x:c r="M622" s="26" t="n">
        <x:v>1296</x:v>
      </x:c>
      <x:c r="N622" s="26" t="n">
        <x:v>2342</x:v>
      </x:c>
    </x:row>
    <x:row r="623">
      <x:c r="A623" s="20" t="str">
        <x:v>T1_SHARED_CATCHMENT</x:v>
      </x:c>
      <x:c r="B623" s="20" t="str">
        <x:v>NYC-V2-R01</x:v>
      </x:c>
      <x:c r="C623" s="20" t="str">
        <x:v>V2</x:v>
      </x:c>
      <x:c r="D623" s="20" t="str">
        <x:v>disability_18_64</x:v>
      </x:c>
      <x:c r="E623" s="20" t="str">
        <x:v>disability</x:v>
      </x:c>
      <x:c r="F623" s="50" t="n">
        <x:v>2681</x:v>
      </x:c>
      <x:c r="G623" s="50" t="n">
        <x:v>386.61654129123866</x:v>
      </x:c>
      <x:c r="H623" s="50" t="n">
        <x:v>2681.032</x:v>
      </x:c>
      <x:c r="I623" s="50" t="n">
        <x:v>379.3322183889841</x:v>
      </x:c>
      <x:c r="J623" s="42" t="n">
        <x:v>0.9811587914010971</x:v>
      </x:c>
      <x:c r="K623" s="42" t="n">
        <x:v>0.00008276935046099634</x:v>
      </x:c>
      <x:c r="L623" s="26" t="n">
        <x:v>2059</x:v>
      </x:c>
      <x:c r="M623" s="26" t="n">
        <x:v>2688</x:v>
      </x:c>
      <x:c r="N623" s="26" t="n">
        <x:v>3304</x:v>
      </x:c>
    </x:row>
    <x:row r="624">
      <x:c r="A624" s="20" t="str">
        <x:v>T1_SHARED_CATCHMENT</x:v>
      </x:c>
      <x:c r="B624" s="20" t="str">
        <x:v>NYC-V2-R01</x:v>
      </x:c>
      <x:c r="C624" s="20" t="str">
        <x:v>V2</x:v>
      </x:c>
      <x:c r="D624" s="20" t="str">
        <x:v>disability_65_plus</x:v>
      </x:c>
      <x:c r="E624" s="20" t="str">
        <x:v>disability</x:v>
      </x:c>
      <x:c r="F624" s="50" t="n">
        <x:v>1747</x:v>
      </x:c>
      <x:c r="G624" s="50" t="n">
        <x:v>287.791330654695</x:v>
      </x:c>
      <x:c r="H624" s="50" t="n">
        <x:v>1747.09</x:v>
      </x:c>
      <x:c r="I624" s="50" t="n">
        <x:v>294.11664097513847</x:v>
      </x:c>
      <x:c r="J624" s="42" t="n">
        <x:v>1.0219788077217409</x:v>
      </x:c>
      <x:c r="K624" s="42" t="n">
        <x:v>0.0003127265849015591</x:v>
      </x:c>
      <x:c r="L624" s="26" t="n">
        <x:v>1251</x:v>
      </x:c>
      <x:c r="M624" s="26" t="n">
        <x:v>1745</x:v>
      </x:c>
      <x:c r="N624" s="26" t="n">
        <x:v>2241</x:v>
      </x:c>
    </x:row>
    <x:row r="625">
      <x:c r="A625" s="20" t="str">
        <x:v>T1_SHARED_CATCHMENT</x:v>
      </x:c>
      <x:c r="B625" s="20" t="str">
        <x:v>NYC-V2-R01</x:v>
      </x:c>
      <x:c r="C625" s="20" t="str">
        <x:v>V2</x:v>
      </x:c>
      <x:c r="D625" s="20" t="str">
        <x:v>hearing_difficulty</x:v>
      </x:c>
      <x:c r="E625" s="20" t="str">
        <x:v>disability</x:v>
      </x:c>
      <x:c r="F625" s="50" t="n">
        <x:v>811</x:v>
      </x:c>
      <x:c r="G625" s="50" t="n">
        <x:v>243.67726370155503</x:v>
      </x:c>
      <x:c r="H625" s="50" t="n">
        <x:v>810.962</x:v>
      </x:c>
      <x:c r="I625" s="50" t="n">
        <x:v>245.13127074262863</x:v>
      </x:c>
      <x:c r="J625" s="42" t="n">
        <x:v>1.0059669376575666</x:v>
      </x:c>
      <x:c r="K625" s="42" t="n">
        <x:v>-0.00015594397040895702</x:v>
      </x:c>
      <x:c r="L625" s="26" t="n">
        <x:v>419</x:v>
      </x:c>
      <x:c r="M625" s="26" t="n">
        <x:v>807</x:v>
      </x:c>
      <x:c r="N625" s="26" t="n">
        <x:v>1226</x:v>
      </x:c>
    </x:row>
    <x:row r="626">
      <x:c r="A626" s="20" t="str">
        <x:v>T1_SHARED_CATCHMENT</x:v>
      </x:c>
      <x:c r="B626" s="20" t="str">
        <x:v>NYC-V2-R01</x:v>
      </x:c>
      <x:c r="C626" s="20" t="str">
        <x:v>V2</x:v>
      </x:c>
      <x:c r="D626" s="20" t="str">
        <x:v>vision_difficulty</x:v>
      </x:c>
      <x:c r="E626" s="20" t="str">
        <x:v>disability</x:v>
      </x:c>
      <x:c r="F626" s="50" t="n">
        <x:v>2372</x:v>
      </x:c>
      <x:c r="G626" s="50" t="n">
        <x:v>554.3336350576411</x:v>
      </x:c>
      <x:c r="H626" s="50" t="n">
        <x:v>2371.68</x:v>
      </x:c>
      <x:c r="I626" s="50" t="n">
        <x:v>553.1606604923351</x:v>
      </x:c>
      <x:c r="J626" s="42" t="n">
        <x:v>0.9978839917134307</x:v>
      </x:c>
      <x:c r="K626" s="42" t="n">
        <x:v>-0.0005772696797784772</x:v>
      </x:c>
      <x:c r="L626" s="26" t="n">
        <x:v>1494</x:v>
      </x:c>
      <x:c r="M626" s="26" t="n">
        <x:v>2381</x:v>
      </x:c>
      <x:c r="N626" s="26" t="n">
        <x:v>3263</x:v>
      </x:c>
    </x:row>
    <x:row r="627">
      <x:c r="A627" s="20" t="str">
        <x:v>T1_SHARED_CATCHMENT</x:v>
      </x:c>
      <x:c r="B627" s="20" t="str">
        <x:v>NYC-V2-R01</x:v>
      </x:c>
      <x:c r="C627" s="20" t="str">
        <x:v>V2</x:v>
      </x:c>
      <x:c r="D627" s="20" t="str">
        <x:v>cognitive_difficulty</x:v>
      </x:c>
      <x:c r="E627" s="20" t="str">
        <x:v>disability</x:v>
      </x:c>
      <x:c r="F627" s="50" t="n">
        <x:v>1877</x:v>
      </x:c>
      <x:c r="G627" s="50" t="n">
        <x:v>313.48218493970666</x:v>
      </x:c>
      <x:c r="H627" s="50" t="n">
        <x:v>1876.939</x:v>
      </x:c>
      <x:c r="I627" s="50" t="n">
        <x:v>313.7818483075898</x:v>
      </x:c>
      <x:c r="J627" s="42" t="n">
        <x:v>1.000955918333735</x:v>
      </x:c>
      <x:c r="K627" s="42" t="n">
        <x:v>-0.00019458841022067705</x:v>
      </x:c>
      <x:c r="L627" s="26" t="n">
        <x:v>1375</x:v>
      </x:c>
      <x:c r="M627" s="26" t="n">
        <x:v>1873</x:v>
      </x:c>
      <x:c r="N627" s="26" t="n">
        <x:v>2396</x:v>
      </x:c>
    </x:row>
    <x:row r="628">
      <x:c r="A628" s="20" t="str">
        <x:v>T1_SHARED_CATCHMENT</x:v>
      </x:c>
      <x:c r="B628" s="20" t="str">
        <x:v>NYC-V2-R01</x:v>
      </x:c>
      <x:c r="C628" s="20" t="str">
        <x:v>V2</x:v>
      </x:c>
      <x:c r="D628" s="20" t="str">
        <x:v>ambulatory_difficulty</x:v>
      </x:c>
      <x:c r="E628" s="20" t="str">
        <x:v>disability</x:v>
      </x:c>
      <x:c r="F628" s="50" t="n">
        <x:v>2757</x:v>
      </x:c>
      <x:c r="G628" s="50" t="n">
        <x:v>406.09358763915225</x:v>
      </x:c>
      <x:c r="H628" s="50" t="n">
        <x:v>2756.787</x:v>
      </x:c>
      <x:c r="I628" s="50" t="n">
        <x:v>409.2228940418754</x:v>
      </x:c>
      <x:c r="J628" s="42" t="n">
        <x:v>1.0077058749460084</x:v>
      </x:c>
      <x:c r="K628" s="42" t="n">
        <x:v>-0.0005245096364079034</x:v>
      </x:c>
      <x:c r="L628" s="26" t="n">
        <x:v>2089</x:v>
      </x:c>
      <x:c r="M628" s="26" t="n">
        <x:v>2754</x:v>
      </x:c>
      <x:c r="N628" s="26" t="n">
        <x:v>3421</x:v>
      </x:c>
    </x:row>
    <x:row r="629">
      <x:c r="A629" s="20" t="str">
        <x:v>T1_SHARED_CATCHMENT</x:v>
      </x:c>
      <x:c r="B629" s="20" t="str">
        <x:v>NYC-V2-R01</x:v>
      </x:c>
      <x:c r="C629" s="20" t="str">
        <x:v>V2</x:v>
      </x:c>
      <x:c r="D629" s="20" t="str">
        <x:v>self_care_difficulty</x:v>
      </x:c>
      <x:c r="E629" s="20" t="str">
        <x:v>disability</x:v>
      </x:c>
      <x:c r="F629" s="50" t="n">
        <x:v>1217</x:v>
      </x:c>
      <x:c r="G629" s="50" t="n">
        <x:v>268.5403023678302</x:v>
      </x:c>
      <x:c r="H629" s="50" t="n">
        <x:v>1217.039</x:v>
      </x:c>
      <x:c r="I629" s="50" t="n">
        <x:v>264.8317869032235</x:v>
      </x:c>
      <x:c r="J629" s="42" t="n">
        <x:v>0.9861900972334238</x:v>
      </x:c>
      <x:c r="K629" s="42" t="n">
        <x:v>0.00014522959740533636</x:v>
      </x:c>
      <x:c r="L629" s="26" t="n">
        <x:v>787</x:v>
      </x:c>
      <x:c r="M629" s="26" t="n">
        <x:v>1226</x:v>
      </x:c>
      <x:c r="N629" s="26" t="n">
        <x:v>1659</x:v>
      </x:c>
    </x:row>
    <x:row r="630">
      <x:c r="A630" s="20" t="str">
        <x:v>T1_SHARED_CATCHMENT</x:v>
      </x:c>
      <x:c r="B630" s="20" t="str">
        <x:v>NYC-V2-R01</x:v>
      </x:c>
      <x:c r="C630" s="20" t="str">
        <x:v>V2</x:v>
      </x:c>
      <x:c r="D630" s="20" t="str">
        <x:v>independent_living_difficulty</x:v>
      </x:c>
      <x:c r="E630" s="20" t="str">
        <x:v>disability</x:v>
      </x:c>
      <x:c r="F630" s="50" t="n">
        <x:v>2028</x:v>
      </x:c>
      <x:c r="G630" s="50" t="n">
        <x:v>351.46978462815844</x:v>
      </x:c>
      <x:c r="H630" s="50" t="n">
        <x:v>2027.977</x:v>
      </x:c>
      <x:c r="I630" s="50" t="n">
        <x:v>352.949154378611</x:v>
      </x:c>
      <x:c r="J630" s="42" t="n">
        <x:v>1.0042090951061915</x:v>
      </x:c>
      <x:c r="K630" s="42" t="n">
        <x:v>-0.0000654394801653974</x:v>
      </x:c>
      <x:c r="L630" s="26" t="n">
        <x:v>1446</x:v>
      </x:c>
      <x:c r="M630" s="26" t="n">
        <x:v>2014</x:v>
      </x:c>
      <x:c r="N630" s="26" t="n">
        <x:v>2604</x:v>
      </x:c>
    </x:row>
    <x:row r="631">
      <x:c r="A631" s="20" t="str">
        <x:v>T1_SHARED_CATCHMENT</x:v>
      </x:c>
      <x:c r="B631" s="20" t="str">
        <x:v>NYC-V2-R01</x:v>
      </x:c>
      <x:c r="C631" s="20" t="str">
        <x:v>V2</x:v>
      </x:c>
      <x:c r="D631" s="20" t="str">
        <x:v>households</x:v>
      </x:c>
      <x:c r="E631" s="20" t="str">
        <x:v>household</x:v>
      </x:c>
      <x:c r="F631" s="50" t="n">
        <x:v>10462</x:v>
      </x:c>
      <x:c r="G631" s="50" t="n">
        <x:v>410.5093177992431</x:v>
      </x:c>
      <x:c r="H631" s="50" t="n">
        <x:v>10463.804</x:v>
      </x:c>
      <x:c r="I631" s="50" t="n">
        <x:v>413.67529395992796</x:v>
      </x:c>
      <x:c r="J631" s="42" t="n">
        <x:v>1.0077123125430083</x:v>
      </x:c>
      <x:c r="K631" s="42" t="n">
        <x:v>0.004394540931912103</x:v>
      </x:c>
      <x:c r="L631" s="26" t="n">
        <x:v>9783</x:v>
      </x:c>
      <x:c r="M631" s="26" t="n">
        <x:v>10450</x:v>
      </x:c>
      <x:c r="N631" s="26" t="n">
        <x:v>11166</x:v>
      </x:c>
    </x:row>
    <x:row r="632">
      <x:c r="A632" s="20" t="str">
        <x:v>T1_SHARED_CATCHMENT</x:v>
      </x:c>
      <x:c r="B632" s="20" t="str">
        <x:v>NYC-V2-R01</x:v>
      </x:c>
      <x:c r="C632" s="20" t="str">
        <x:v>V2</x:v>
      </x:c>
      <x:c r="D632" s="20" t="str">
        <x:v>family_households</x:v>
      </x:c>
      <x:c r="E632" s="20" t="str">
        <x:v>household</x:v>
      </x:c>
      <x:c r="F632" s="50" t="n">
        <x:v>7409</x:v>
      </x:c>
      <x:c r="G632" s="50" t="n">
        <x:v>460.35513465149927</x:v>
      </x:c>
      <x:c r="H632" s="50" t="n">
        <x:v>7410.953</x:v>
      </x:c>
      <x:c r="I632" s="50" t="n">
        <x:v>464.77549962972023</x:v>
      </x:c>
      <x:c r="J632" s="42" t="n">
        <x:v>1.0096020759746</x:v>
      </x:c>
      <x:c r="K632" s="42" t="n">
        <x:v>0.00424237692380449</x:v>
      </x:c>
      <x:c r="L632" s="26" t="n">
        <x:v>6651</x:v>
      </x:c>
      <x:c r="M632" s="26" t="n">
        <x:v>7401</x:v>
      </x:c>
      <x:c r="N632" s="26" t="n">
        <x:v>8157</x:v>
      </x:c>
    </x:row>
    <x:row r="633">
      <x:c r="A633" s="20" t="str">
        <x:v>T1_SHARED_CATCHMENT</x:v>
      </x:c>
      <x:c r="B633" s="20" t="str">
        <x:v>NYC-V2-R01</x:v>
      </x:c>
      <x:c r="C633" s="20" t="str">
        <x:v>V2</x:v>
      </x:c>
      <x:c r="D633" s="20" t="str">
        <x:v>nonfamily_households</x:v>
      </x:c>
      <x:c r="E633" s="20" t="str">
        <x:v>household</x:v>
      </x:c>
      <x:c r="F633" s="50" t="n">
        <x:v>3053</x:v>
      </x:c>
      <x:c r="G633" s="50" t="n">
        <x:v>273.25821122154775</x:v>
      </x:c>
      <x:c r="H633" s="50" t="n">
        <x:v>3052.851</x:v>
      </x:c>
      <x:c r="I633" s="50" t="n">
        <x:v>262.23796740851725</x:v>
      </x:c>
      <x:c r="J633" s="42" t="n">
        <x:v>0.9596709509157414</x:v>
      </x:c>
      <x:c r="K633" s="42" t="n">
        <x:v>-0.00054527181208503</x:v>
      </x:c>
      <x:c r="L633" s="26" t="n">
        <x:v>2636</x:v>
      </x:c>
      <x:c r="M633" s="26" t="n">
        <x:v>3052</x:v>
      </x:c>
      <x:c r="N633" s="26" t="n">
        <x:v>3499</x:v>
      </x:c>
    </x:row>
    <x:row r="634">
      <x:c r="A634" s="20" t="str">
        <x:v>T1_SHARED_CATCHMENT</x:v>
      </x:c>
      <x:c r="B634" s="20" t="str">
        <x:v>NYC-V2-R01</x:v>
      </x:c>
      <x:c r="C634" s="20" t="str">
        <x:v>V2</x:v>
      </x:c>
      <x:c r="D634" s="20" t="str">
        <x:v>living_alone_households</x:v>
      </x:c>
      <x:c r="E634" s="20" t="str">
        <x:v>household</x:v>
      </x:c>
      <x:c r="F634" s="50" t="n">
        <x:v>2641</x:v>
      </x:c>
      <x:c r="G634" s="50" t="n">
        <x:v>273.2109990465245</x:v>
      </x:c>
      <x:c r="H634" s="50" t="n">
        <x:v>2640.908</x:v>
      </x:c>
      <x:c r="I634" s="50" t="n">
        <x:v>260.71314289632363</x:v>
      </x:c>
      <x:c r="J634" s="42" t="n">
        <x:v>0.9542556624959575</x:v>
      </x:c>
      <x:c r="K634" s="42" t="n">
        <x:v>-0.0003367360769557881</x:v>
      </x:c>
      <x:c r="L634" s="26" t="n">
        <x:v>2208</x:v>
      </x:c>
      <x:c r="M634" s="26" t="n">
        <x:v>2641</x:v>
      </x:c>
      <x:c r="N634" s="26" t="n">
        <x:v>3060</x:v>
      </x:c>
    </x:row>
    <x:row r="635">
      <x:c r="A635" s="20" t="str">
        <x:v>T1_SHARED_CATCHMENT</x:v>
      </x:c>
      <x:c r="B635" s="20" t="str">
        <x:v>NYC-V2-R01</x:v>
      </x:c>
      <x:c r="C635" s="20" t="str">
        <x:v>V2</x:v>
      </x:c>
      <x:c r="D635" s="20" t="str">
        <x:v>households_with_children</x:v>
      </x:c>
      <x:c r="E635" s="20" t="str">
        <x:v>household</x:v>
      </x:c>
      <x:c r="F635" s="50" t="n">
        <x:v>3714</x:v>
      </x:c>
      <x:c r="G635" s="50" t="n">
        <x:v>328.80875900742063</x:v>
      </x:c>
      <x:c r="H635" s="50" t="n">
        <x:v>3713.895</x:v>
      </x:c>
      <x:c r="I635" s="50" t="n">
        <x:v>331.5833130126853</x:v>
      </x:c>
      <x:c r="J635" s="42" t="n">
        <x:v>1.008438199802342</x:v>
      </x:c>
      <x:c r="K635" s="42" t="n">
        <x:v>-0.0003193345588389527</x:v>
      </x:c>
      <x:c r="L635" s="26" t="n">
        <x:v>3155</x:v>
      </x:c>
      <x:c r="M635" s="26" t="n">
        <x:v>3715</x:v>
      </x:c>
      <x:c r="N635" s="26" t="n">
        <x:v>4254</x:v>
      </x:c>
    </x:row>
    <x:row r="636">
      <x:c r="A636" s="20" t="str">
        <x:v>T1_SHARED_CATCHMENT</x:v>
      </x:c>
      <x:c r="B636" s="20" t="str">
        <x:v>NYC-V2-R01</x:v>
      </x:c>
      <x:c r="C636" s="20" t="str">
        <x:v>V2</x:v>
      </x:c>
      <x:c r="D636" s="20" t="str">
        <x:v>households_with_age65</x:v>
      </x:c>
      <x:c r="E636" s="20" t="str">
        <x:v>household</x:v>
      </x:c>
      <x:c r="F636" s="50" t="n">
        <x:v>3079</x:v>
      </x:c>
      <x:c r="G636" s="50" t="n">
        <x:v>334.2229794613171</x:v>
      </x:c>
      <x:c r="H636" s="50" t="n">
        <x:v>3078.752</x:v>
      </x:c>
      <x:c r="I636" s="50" t="n">
        <x:v>337.2160541302314</x:v>
      </x:c>
      <x:c r="J636" s="42" t="n">
        <x:v>1.008955322801976</x:v>
      </x:c>
      <x:c r="K636" s="42" t="n">
        <x:v>-0.0007420195954202807</x:v>
      </x:c>
      <x:c r="L636" s="26" t="n">
        <x:v>2528</x:v>
      </x:c>
      <x:c r="M636" s="26" t="n">
        <x:v>3067</x:v>
      </x:c>
      <x:c r="N636" s="26" t="n">
        <x:v>3637</x:v>
      </x:c>
    </x:row>
    <x:row r="637">
      <x:c r="A637" s="20" t="str">
        <x:v>T1_SHARED_CATCHMENT</x:v>
      </x:c>
      <x:c r="B637" s="20" t="str">
        <x:v>NYC-V2-R01</x:v>
      </x:c>
      <x:c r="C637" s="20" t="str">
        <x:v>V2</x:v>
      </x:c>
      <x:c r="D637" s="20" t="str">
        <x:v>age65_one_person_households</x:v>
      </x:c>
      <x:c r="E637" s="20" t="str">
        <x:v>household</x:v>
      </x:c>
      <x:c r="F637" s="50" t="n">
        <x:v>1092</x:v>
      </x:c>
      <x:c r="G637" s="50" t="n">
        <x:v>218.41451416973186</x:v>
      </x:c>
      <x:c r="H637" s="50" t="n">
        <x:v>1091.926</x:v>
      </x:c>
      <x:c r="I637" s="50" t="n">
        <x:v>224.55194075780796</x:v>
      </x:c>
      <x:c r="J637" s="42" t="n">
        <x:v>1.028099902661719</x:v>
      </x:c>
      <x:c r="K637" s="42" t="n">
        <x:v>-0.0003388053229034178</x:v>
      </x:c>
      <x:c r="L637" s="26" t="n">
        <x:v>715</x:v>
      </x:c>
      <x:c r="M637" s="26" t="n">
        <x:v>1089</x:v>
      </x:c>
      <x:c r="N637" s="26" t="n">
        <x:v>1455</x:v>
      </x:c>
    </x:row>
    <x:row r="638">
      <x:c r="A638" s="20" t="str">
        <x:v>T1_SHARED_CATCHMENT</x:v>
      </x:c>
      <x:c r="B638" s="20" t="str">
        <x:v>NYC-V2-R01</x:v>
      </x:c>
      <x:c r="C638" s="20" t="str">
        <x:v>V2</x:v>
      </x:c>
      <x:c r="D638" s="20" t="str">
        <x:v>no_vehicle_households</x:v>
      </x:c>
      <x:c r="E638" s="20" t="str">
        <x:v>household</x:v>
      </x:c>
      <x:c r="F638" s="50" t="n">
        <x:v>8040</x:v>
      </x:c>
      <x:c r="G638" s="50" t="n">
        <x:v>371.7507892531437</x:v>
      </x:c>
      <x:c r="H638" s="50" t="n">
        <x:v>8040.131</x:v>
      </x:c>
      <x:c r="I638" s="50" t="n">
        <x:v>377.6742878549011</x:v>
      </x:c>
      <x:c r="J638" s="42" t="n">
        <x:v>1.015934057903839</x:v>
      </x:c>
      <x:c r="K638" s="42" t="n">
        <x:v>0.0003523866089524518</x:v>
      </x:c>
      <x:c r="L638" s="26" t="n">
        <x:v>7421</x:v>
      </x:c>
      <x:c r="M638" s="26" t="n">
        <x:v>8041</x:v>
      </x:c>
      <x:c r="N638" s="26" t="n">
        <x:v>8637</x:v>
      </x:c>
    </x:row>
    <x:row r="639">
      <x:c r="A639" s="20" t="str">
        <x:v>T1_SHARED_CATCHMENT</x:v>
      </x:c>
      <x:c r="B639" s="20" t="str">
        <x:v>NYC-V2-R01</x:v>
      </x:c>
      <x:c r="C639" s="20" t="str">
        <x:v>V2</x:v>
      </x:c>
      <x:c r="D639" s="20" t="str">
        <x:v>limited_english_households</x:v>
      </x:c>
      <x:c r="E639" s="20" t="str">
        <x:v>household</x:v>
      </x:c>
      <x:c r="F639" s="50" t="n">
        <x:v>2896</x:v>
      </x:c>
      <x:c r="G639" s="50" t="n">
        <x:v>377.7273000131568</x:v>
      </x:c>
      <x:c r="H639" s="50" t="n">
        <x:v>2895.992</x:v>
      </x:c>
      <x:c r="I639" s="50" t="n">
        <x:v>375.45416999917546</x:v>
      </x:c>
      <x:c r="J639" s="42" t="n">
        <x:v>0.9939820870403008</x:v>
      </x:c>
      <x:c r="K639" s="42" t="n">
        <x:v>-0.000021179300515298134</x:v>
      </x:c>
      <x:c r="L639" s="26" t="n">
        <x:v>2271</x:v>
      </x:c>
      <x:c r="M639" s="26" t="n">
        <x:v>2894</x:v>
      </x:c>
      <x:c r="N639" s="26" t="n">
        <x:v>3503</x:v>
      </x:c>
    </x:row>
    <x:row r="640">
      <x:c r="A640" s="20" t="str">
        <x:v>T1_SHARED_CATCHMENT</x:v>
      </x:c>
      <x:c r="B640" s="20" t="str">
        <x:v>NYC-V2-R01</x:v>
      </x:c>
      <x:c r="C640" s="20" t="str">
        <x:v>V2</x:v>
      </x:c>
      <x:c r="D640" s="20" t="str">
        <x:v>housing_units</x:v>
      </x:c>
      <x:c r="E640" s="20" t="str">
        <x:v>housing</x:v>
      </x:c>
      <x:c r="F640" s="50" t="n">
        <x:v>10547</x:v>
      </x:c>
      <x:c r="G640" s="50" t="n">
        <x:v>402.9718972831728</x:v>
      </x:c>
      <x:c r="H640" s="50" t="n">
        <x:v>10549.35</x:v>
      </x:c>
      <x:c r="I640" s="50" t="n">
        <x:v>414.01944108652384</x:v>
      </x:c>
      <x:c r="J640" s="42" t="n">
        <x:v>1.0274151718217408</x:v>
      </x:c>
      <x:c r="K640" s="42" t="n">
        <x:v>0.0058316721732805925</x:v>
      </x:c>
      <x:c r="L640" s="26" t="n">
        <x:v>9879</x:v>
      </x:c>
      <x:c r="M640" s="26" t="n">
        <x:v>10539</x:v>
      </x:c>
      <x:c r="N640" s="26" t="n">
        <x:v>11244</x:v>
      </x:c>
    </x:row>
    <x:row r="641">
      <x:c r="A641" s="20" t="str">
        <x:v>T1_SHARED_CATCHMENT</x:v>
      </x:c>
      <x:c r="B641" s="20" t="str">
        <x:v>NYC-V2-R01</x:v>
      </x:c>
      <x:c r="C641" s="20" t="str">
        <x:v>V2</x:v>
      </x:c>
      <x:c r="D641" s="20" t="str">
        <x:v>occupied_housing_units</x:v>
      </x:c>
      <x:c r="E641" s="20" t="str">
        <x:v>housing</x:v>
      </x:c>
      <x:c r="F641" s="50" t="n">
        <x:v>10462</x:v>
      </x:c>
      <x:c r="G641" s="50" t="n">
        <x:v>410.5093177992431</x:v>
      </x:c>
      <x:c r="H641" s="50" t="n">
        <x:v>10463.804</x:v>
      </x:c>
      <x:c r="I641" s="50" t="n">
        <x:v>413.67529395992796</x:v>
      </x:c>
      <x:c r="J641" s="42" t="n">
        <x:v>1.0077123125430083</x:v>
      </x:c>
      <x:c r="K641" s="42" t="n">
        <x:v>0.004394540931912103</x:v>
      </x:c>
      <x:c r="L641" s="26" t="n">
        <x:v>9783</x:v>
      </x:c>
      <x:c r="M641" s="26" t="n">
        <x:v>10450</x:v>
      </x:c>
      <x:c r="N641" s="26" t="n">
        <x:v>11166</x:v>
      </x:c>
    </x:row>
    <x:row r="642">
      <x:c r="A642" s="20" t="str">
        <x:v>T1_SHARED_CATCHMENT</x:v>
      </x:c>
      <x:c r="B642" s="20" t="str">
        <x:v>NYC-V2-R01</x:v>
      </x:c>
      <x:c r="C642" s="20" t="str">
        <x:v>V2</x:v>
      </x:c>
      <x:c r="D642" s="20" t="str">
        <x:v>vacant_housing_units</x:v>
      </x:c>
      <x:c r="E642" s="20" t="str">
        <x:v>housing</x:v>
      </x:c>
      <x:c r="F642" s="50" t="n">
        <x:v>85</x:v>
      </x:c>
      <x:c r="G642" s="50" t="n">
        <x:v>47.14074670600797</x:v>
      </x:c>
      <x:c r="H642" s="50" t="n">
        <x:v>85.546</x:v>
      </x:c>
      <x:c r="I642" s="50" t="n">
        <x:v>45.440386361833596</x:v>
      </x:c>
      <x:c r="J642" s="42" t="n">
        <x:v>0.9639301355411567</x:v>
      </x:c>
      <x:c r="K642" s="42" t="n">
        <x:v>0.011582336686457709</x:v>
      </x:c>
      <x:c r="L642" s="26" t="n">
        <x:v>7</x:v>
      </x:c>
      <x:c r="M642" s="26" t="n">
        <x:v>86</x:v>
      </x:c>
      <x:c r="N642" s="26" t="n">
        <x:v>164</x:v>
      </x:c>
    </x:row>
    <x:row r="643">
      <x:c r="A643" s="20" t="str">
        <x:v>T1_SHARED_CATCHMENT</x:v>
      </x:c>
      <x:c r="B643" s="20" t="str">
        <x:v>NYC-V2-R01</x:v>
      </x:c>
      <x:c r="C643" s="20" t="str">
        <x:v>V2</x:v>
      </x:c>
      <x:c r="D643" s="20" t="str">
        <x:v>owner_occupied_units</x:v>
      </x:c>
      <x:c r="E643" s="20" t="str">
        <x:v>housing</x:v>
      </x:c>
      <x:c r="F643" s="50" t="n">
        <x:v>429</x:v>
      </x:c>
      <x:c r="G643" s="50" t="n">
        <x:v>140.9941251160037</x:v>
      </x:c>
      <x:c r="H643" s="50" t="n">
        <x:v>429.062</x:v>
      </x:c>
      <x:c r="I643" s="50" t="n">
        <x:v>144.48423391446505</x:v>
      </x:c>
      <x:c r="J643" s="42" t="n">
        <x:v>1.0247535760485755</x:v>
      </x:c>
      <x:c r="K643" s="42" t="n">
        <x:v>0.0004397346339714579</x:v>
      </x:c>
      <x:c r="L643" s="26" t="n">
        <x:v>197</x:v>
      </x:c>
      <x:c r="M643" s="26" t="n">
        <x:v>427</x:v>
      </x:c>
      <x:c r="N643" s="26" t="n">
        <x:v>673</x:v>
      </x:c>
    </x:row>
    <x:row r="644">
      <x:c r="A644" s="20" t="str">
        <x:v>T1_SHARED_CATCHMENT</x:v>
      </x:c>
      <x:c r="B644" s="20" t="str">
        <x:v>NYC-V2-R01</x:v>
      </x:c>
      <x:c r="C644" s="20" t="str">
        <x:v>V2</x:v>
      </x:c>
      <x:c r="D644" s="20" t="str">
        <x:v>renter_occupied_units</x:v>
      </x:c>
      <x:c r="E644" s="20" t="str">
        <x:v>housing</x:v>
      </x:c>
      <x:c r="F644" s="50" t="n">
        <x:v>10033</x:v>
      </x:c>
      <x:c r="G644" s="50" t="n">
        <x:v>386.38232835492084</x:v>
      </x:c>
      <x:c r="H644" s="50" t="n">
        <x:v>10034.742</x:v>
      </x:c>
      <x:c r="I644" s="50" t="n">
        <x:v>367.92115651782433</x:v>
      </x:c>
      <x:c r="J644" s="42" t="n">
        <x:v>0.9522204550200377</x:v>
      </x:c>
      <x:c r="K644" s="42" t="n">
        <x:v>0.004508487764999524</x:v>
      </x:c>
      <x:c r="L644" s="26" t="n">
        <x:v>9470</x:v>
      </x:c>
      <x:c r="M644" s="26" t="n">
        <x:v>10027</x:v>
      </x:c>
      <x:c r="N644" s="26" t="n">
        <x:v>10628</x:v>
      </x:c>
    </x:row>
    <x:row r="645">
      <x:c r="A645" s="20" t="str">
        <x:v>T1_SHARED_CATCHMENT</x:v>
      </x:c>
      <x:c r="B645" s="20" t="str">
        <x:v>NYC-V2-R01</x:v>
      </x:c>
      <x:c r="C645" s="20" t="str">
        <x:v>V2</x:v>
      </x:c>
      <x:c r="D645" s="20" t="str">
        <x:v>one_unit_structures</x:v>
      </x:c>
      <x:c r="E645" s="20" t="str">
        <x:v>housing</x:v>
      </x:c>
      <x:c r="F645" s="50" t="n">
        <x:v>330</x:v>
      </x:c>
      <x:c r="G645" s="50" t="n">
        <x:v>113.64204693968678</x:v>
      </x:c>
      <x:c r="H645" s="50" t="n">
        <x:v>329.987</x:v>
      </x:c>
      <x:c r="I645" s="50" t="n">
        <x:v>108.20960285089835</x:v>
      </x:c>
      <x:c r="J645" s="42" t="n">
        <x:v>0.9521968827992724</x:v>
      </x:c>
      <x:c r="K645" s="42" t="n">
        <x:v>-0.00011439427879080967</x:v>
      </x:c>
      <x:c r="L645" s="26" t="n">
        <x:v>155</x:v>
      </x:c>
      <x:c r="M645" s="26" t="n">
        <x:v>327</x:v>
      </x:c>
      <x:c r="N645" s="26" t="n">
        <x:v>503</x:v>
      </x:c>
    </x:row>
    <x:row r="646">
      <x:c r="A646" s="20" t="str">
        <x:v>T1_SHARED_CATCHMENT</x:v>
      </x:c>
      <x:c r="B646" s="20" t="str">
        <x:v>NYC-V2-R01</x:v>
      </x:c>
      <x:c r="C646" s="20" t="str">
        <x:v>V2</x:v>
      </x:c>
      <x:c r="D646" s="20" t="str">
        <x:v>two_to_four_unit_structures</x:v>
      </x:c>
      <x:c r="E646" s="20" t="str">
        <x:v>housing</x:v>
      </x:c>
      <x:c r="F646" s="50" t="n">
        <x:v>995</x:v>
      </x:c>
      <x:c r="G646" s="50" t="n">
        <x:v>220.3075075029853</x:v>
      </x:c>
      <x:c r="H646" s="50" t="n">
        <x:v>994.901</x:v>
      </x:c>
      <x:c r="I646" s="50" t="n">
        <x:v>204.7025557616107</x:v>
      </x:c>
      <x:c r="J646" s="42" t="n">
        <x:v>0.9291674082365844</x:v>
      </x:c>
      <x:c r="K646" s="42" t="n">
        <x:v>-0.00044937188533488755</x:v>
      </x:c>
      <x:c r="L646" s="26" t="n">
        <x:v>664</x:v>
      </x:c>
      <x:c r="M646" s="26" t="n">
        <x:v>1000</x:v>
      </x:c>
      <x:c r="N646" s="26" t="n">
        <x:v>1335</x:v>
      </x:c>
    </x:row>
    <x:row r="647">
      <x:c r="A647" s="20" t="str">
        <x:v>T1_SHARED_CATCHMENT</x:v>
      </x:c>
      <x:c r="B647" s="20" t="str">
        <x:v>NYC-V2-R01</x:v>
      </x:c>
      <x:c r="C647" s="20" t="str">
        <x:v>V2</x:v>
      </x:c>
      <x:c r="D647" s="20" t="str">
        <x:v>five_to_nineteen_unit_structures</x:v>
      </x:c>
      <x:c r="E647" s="20" t="str">
        <x:v>housing</x:v>
      </x:c>
      <x:c r="F647" s="50" t="n">
        <x:v>1569</x:v>
      </x:c>
      <x:c r="G647" s="50" t="n">
        <x:v>291.96993135018386</x:v>
      </x:c>
      <x:c r="H647" s="50" t="n">
        <x:v>1568.783</x:v>
      </x:c>
      <x:c r="I647" s="50" t="n">
        <x:v>256.9991331998329</x:v>
      </x:c>
      <x:c r="J647" s="42" t="n">
        <x:v>0.8802246587906083</x:v>
      </x:c>
      <x:c r="K647" s="42" t="n">
        <x:v>-0.0007432272186269484</x:v>
      </x:c>
      <x:c r="L647" s="26" t="n">
        <x:v>1160</x:v>
      </x:c>
      <x:c r="M647" s="26" t="n">
        <x:v>1570</x:v>
      </x:c>
      <x:c r="N647" s="26" t="n">
        <x:v>2003</x:v>
      </x:c>
    </x:row>
    <x:row r="648">
      <x:c r="A648" s="20" t="str">
        <x:v>T1_SHARED_CATCHMENT</x:v>
      </x:c>
      <x:c r="B648" s="20" t="str">
        <x:v>NYC-V2-R01</x:v>
      </x:c>
      <x:c r="C648" s="20" t="str">
        <x:v>V2</x:v>
      </x:c>
      <x:c r="D648" s="20" t="str">
        <x:v>twenty_to_forty_nine_unit_structures</x:v>
      </x:c>
      <x:c r="E648" s="20" t="str">
        <x:v>housing</x:v>
      </x:c>
      <x:c r="F648" s="50" t="n">
        <x:v>4903</x:v>
      </x:c>
      <x:c r="G648" s="50" t="n">
        <x:v>404.0765653653645</x:v>
      </x:c>
      <x:c r="H648" s="50" t="n">
        <x:v>4890.194</x:v>
      </x:c>
      <x:c r="I648" s="50" t="n">
        <x:v>338.7155984312217</x:v>
      </x:c>
      <x:c r="J648" s="42" t="n">
        <x:v>0.8382460836969259</x:v>
      </x:c>
      <x:c r="K648" s="42" t="n">
        <x:v>-0.03169201358762404</x:v>
      </x:c>
      <x:c r="L648" s="26" t="n">
        <x:v>4318</x:v>
      </x:c>
      <x:c r="M648" s="26" t="n">
        <x:v>4897</x:v>
      </x:c>
      <x:c r="N648" s="26" t="n">
        <x:v>5430</x:v>
      </x:c>
    </x:row>
    <x:row r="649">
      <x:c r="A649" s="20" t="str">
        <x:v>T1_SHARED_CATCHMENT</x:v>
      </x:c>
      <x:c r="B649" s="20" t="str">
        <x:v>NYC-V2-R01</x:v>
      </x:c>
      <x:c r="C649" s="20" t="str">
        <x:v>V2</x:v>
      </x:c>
      <x:c r="D649" s="20" t="str">
        <x:v>fifty_plus_unit_structures</x:v>
      </x:c>
      <x:c r="E649" s="20" t="str">
        <x:v>housing</x:v>
      </x:c>
      <x:c r="F649" s="50" t="n">
        <x:v>2654</x:v>
      </x:c>
      <x:c r="G649" s="50" t="n">
        <x:v>383.03516735601954</x:v>
      </x:c>
      <x:c r="H649" s="50" t="n">
        <x:v>2653.98</x:v>
      </x:c>
      <x:c r="I649" s="50" t="n">
        <x:v>320.7804696513017</x:v>
      </x:c>
      <x:c r="J649" s="42" t="n">
        <x:v>0.8374700210050061</x:v>
      </x:c>
      <x:c r="K649" s="42" t="n">
        <x:v>-0.00005221452677057305</x:v>
      </x:c>
      <x:c r="L649" s="26" t="n">
        <x:v>2139</x:v>
      </x:c>
      <x:c r="M649" s="26" t="n">
        <x:v>2653</x:v>
      </x:c>
      <x:c r="N649" s="26" t="n">
        <x:v>3184</x:v>
      </x:c>
    </x:row>
    <x:row r="650">
      <x:c r="A650" s="20" t="str">
        <x:v>T1_SHARED_CATCHMENT</x:v>
      </x:c>
      <x:c r="B650" s="20" t="str">
        <x:v>NYC-V2-R01</x:v>
      </x:c>
      <x:c r="C650" s="20" t="str">
        <x:v>V2</x:v>
      </x:c>
      <x:c r="D650" s="20" t="str">
        <x:v>mobile_or_other_units</x:v>
      </x:c>
      <x:c r="E650" s="20" t="str">
        <x:v>housing</x:v>
      </x:c>
      <x:c r="F650" s="50" t="n">
        <x:v>11</x:v>
      </x:c>
      <x:c r="G650" s="50" t="n">
        <x:v>51.005901430767246</x:v>
      </x:c>
      <x:c r="H650" s="50" t="n">
        <x:v>25.959</x:v>
      </x:c>
      <x:c r="I650" s="50" t="n">
        <x:v>32.79818653584432</x:v>
      </x:c>
      <x:c r="J650" s="42" t="n">
        <x:v>0.6430272893100982</x:v>
      </x:c>
      <x:c r="K650" s="42" t="n">
        <x:v>0.2932797888162915</x:v>
      </x:c>
      <x:c r="L650" s="26" t="n">
        <x:v>0</x:v>
      </x:c>
      <x:c r="M650" s="26" t="n">
        <x:v>11</x:v>
      </x:c>
      <x:c r="N650" s="26" t="n">
        <x:v>95</x:v>
      </x:c>
    </x:row>
    <x:row r="651">
      <x:c r="A651" s="20" t="str">
        <x:v>T1_SHARED_CATCHMENT</x:v>
      </x:c>
      <x:c r="B651" s="20" t="str">
        <x:v>NYC-V2-R01</x:v>
      </x:c>
      <x:c r="C651" s="20" t="str">
        <x:v>V2</x:v>
      </x:c>
      <x:c r="D651" s="20" t="str">
        <x:v>electric_heat_households</x:v>
      </x:c>
      <x:c r="E651" s="20" t="str">
        <x:v>housing</x:v>
      </x:c>
      <x:c r="F651" s="50" t="n">
        <x:v>2354</x:v>
      </x:c>
      <x:c r="G651" s="50" t="n">
        <x:v>278.36298245276794</x:v>
      </x:c>
      <x:c r="H651" s="50" t="n">
        <x:v>2353.927</x:v>
      </x:c>
      <x:c r="I651" s="50" t="n">
        <x:v>276.359078032568</x:v>
      </x:c>
      <x:c r="J651" s="42" t="n">
        <x:v>0.9928011102534441</x:v>
      </x:c>
      <x:c r="K651" s="42" t="n">
        <x:v>-0.0002622475135042494</x:v>
      </x:c>
      <x:c r="L651" s="26" t="n">
        <x:v>1896</x:v>
      </x:c>
      <x:c r="M651" s="26" t="n">
        <x:v>2351</x:v>
      </x:c>
      <x:c r="N651" s="26" t="n">
        <x:v>2813</x:v>
      </x:c>
    </x:row>
    <x:row r="652">
      <x:c r="A652" s="20" t="str">
        <x:v>T1_SHARED_CATCHMENT</x:v>
      </x:c>
      <x:c r="B652" s="20" t="str">
        <x:v>NYC-V2-R01</x:v>
      </x:c>
      <x:c r="C652" s="20" t="str">
        <x:v>V2</x:v>
      </x:c>
      <x:c r="D652" s="20" t="str">
        <x:v>group_quarters_population</x:v>
      </x:c>
      <x:c r="E652" s="20" t="str">
        <x:v>population</x:v>
      </x:c>
      <x:c r="F652" s="50" t="n">
        <x:v>958</x:v>
      </x:c>
      <x:c r="G652" s="50" t="n">
        <x:v>28.324018076537094</x:v>
      </x:c>
      <x:c r="H652" s="50" t="n">
        <x:v>957.997</x:v>
      </x:c>
      <x:c r="I652" s="50" t="n">
        <x:v>27.65095959576388</x:v>
      </x:c>
      <x:c r="J652" s="42" t="n">
        <x:v>0.9762371822050644</x:v>
      </x:c>
      <x:c r="K652" s="42" t="n">
        <x:v>-0.00010591717573178189</x:v>
      </x:c>
      <x:c r="L652" s="26" t="n">
        <x:v>913</x:v>
      </x:c>
      <x:c r="M652" s="26" t="n">
        <x:v>958</x:v>
      </x:c>
      <x:c r="N652" s="26" t="n">
        <x:v>1004</x:v>
      </x:c>
    </x:row>
    <x:row r="653">
      <x:c r="A653" s="20" t="str">
        <x:v>T1_SHARED_CATCHMENT</x:v>
      </x:c>
      <x:c r="B653" s="20" t="str">
        <x:v>NYC-V2-R02</x:v>
      </x:c>
      <x:c r="C653" s="20" t="str">
        <x:v>V2</x:v>
      </x:c>
      <x:c r="D653" s="20" t="str">
        <x:v>acs_population</x:v>
      </x:c>
      <x:c r="E653" s="20" t="str">
        <x:v>population</x:v>
      </x:c>
      <x:c r="F653" s="50" t="n">
        <x:v>29733</x:v>
      </x:c>
      <x:c r="G653" s="50" t="n">
        <x:v>1298.049844959738</x:v>
      </x:c>
      <x:c r="H653" s="50" t="n">
        <x:v>29733.596</x:v>
      </x:c>
      <x:c r="I653" s="50" t="n">
        <x:v>1323.462554028604</x:v>
      </x:c>
      <x:c r="J653" s="42" t="n">
        <x:v>1.0195776064898758</x:v>
      </x:c>
      <x:c r="K653" s="42" t="n">
        <x:v>0.00045915031869970613</x:v>
      </x:c>
      <x:c r="L653" s="26" t="n">
        <x:v>27488</x:v>
      </x:c>
      <x:c r="M653" s="26" t="n">
        <x:v>29729</x:v>
      </x:c>
      <x:c r="N653" s="26" t="n">
        <x:v>31995</x:v>
      </x:c>
    </x:row>
    <x:row r="654">
      <x:c r="A654" s="20" t="str">
        <x:v>T1_SHARED_CATCHMENT</x:v>
      </x:c>
      <x:c r="B654" s="20" t="str">
        <x:v>NYC-V2-R02</x:v>
      </x:c>
      <x:c r="C654" s="20" t="str">
        <x:v>V2</x:v>
      </x:c>
      <x:c r="D654" s="20" t="str">
        <x:v>age_under_18</x:v>
      </x:c>
      <x:c r="E654" s="20" t="str">
        <x:v>population</x:v>
      </x:c>
      <x:c r="F654" s="50" t="n">
        <x:v>5104</x:v>
      </x:c>
      <x:c r="G654" s="50" t="n">
        <x:v>531.2096102293332</x:v>
      </x:c>
      <x:c r="H654" s="50" t="n">
        <x:v>5104.051</x:v>
      </x:c>
      <x:c r="I654" s="50" t="n">
        <x:v>537.5077590044539</x:v>
      </x:c>
      <x:c r="J654" s="42" t="n">
        <x:v>1.0118562402747227</x:v>
      </x:c>
      <x:c r="K654" s="42" t="n">
        <x:v>0.00009600729922481629</x:v>
      </x:c>
      <x:c r="L654" s="26" t="n">
        <x:v>4208</x:v>
      </x:c>
      <x:c r="M654" s="26" t="n">
        <x:v>5112</x:v>
      </x:c>
      <x:c r="N654" s="26" t="n">
        <x:v>5995</x:v>
      </x:c>
    </x:row>
    <x:row r="655">
      <x:c r="A655" s="20" t="str">
        <x:v>T1_SHARED_CATCHMENT</x:v>
      </x:c>
      <x:c r="B655" s="20" t="str">
        <x:v>NYC-V2-R02</x:v>
      </x:c>
      <x:c r="C655" s="20" t="str">
        <x:v>V2</x:v>
      </x:c>
      <x:c r="D655" s="20" t="str">
        <x:v>age_65_plus</x:v>
      </x:c>
      <x:c r="E655" s="20" t="str">
        <x:v>population</x:v>
      </x:c>
      <x:c r="F655" s="50" t="n">
        <x:v>5759</x:v>
      </x:c>
      <x:c r="G655" s="50" t="n">
        <x:v>343.94141943069314</x:v>
      </x:c>
      <x:c r="H655" s="50" t="n">
        <x:v>5759.78</x:v>
      </x:c>
      <x:c r="I655" s="50" t="n">
        <x:v>335.78282520954775</x:v>
      </x:c>
      <x:c r="J655" s="42" t="n">
        <x:v>0.9762791168488812</x:v>
      </x:c>
      <x:c r="K655" s="42" t="n">
        <x:v>0.0022678280542391066</x:v>
      </x:c>
      <x:c r="L655" s="26" t="n">
        <x:v>5225</x:v>
      </x:c>
      <x:c r="M655" s="26" t="n">
        <x:v>5756</x:v>
      </x:c>
      <x:c r="N655" s="26" t="n">
        <x:v>6306</x:v>
      </x:c>
    </x:row>
    <x:row r="656">
      <x:c r="A656" s="20" t="str">
        <x:v>T1_SHARED_CATCHMENT</x:v>
      </x:c>
      <x:c r="B656" s="20" t="str">
        <x:v>NYC-V2-R02</x:v>
      </x:c>
      <x:c r="C656" s="20" t="str">
        <x:v>V2</x:v>
      </x:c>
      <x:c r="D656" s="20" t="str">
        <x:v>age_75_plus</x:v>
      </x:c>
      <x:c r="E656" s="20" t="str">
        <x:v>population</x:v>
      </x:c>
      <x:c r="F656" s="50" t="n">
        <x:v>2055</x:v>
      </x:c>
      <x:c r="G656" s="50" t="n">
        <x:v>195.34418343017023</x:v>
      </x:c>
      <x:c r="H656" s="50" t="n">
        <x:v>2054.976</x:v>
      </x:c>
      <x:c r="I656" s="50" t="n">
        <x:v>196.5618681026205</x:v>
      </x:c>
      <x:c r="J656" s="42" t="n">
        <x:v>1.0062335343242281</x:v>
      </x:c>
      <x:c r="K656" s="42" t="n">
        <x:v>-0.00012286006974180787</x:v>
      </x:c>
      <x:c r="L656" s="26" t="n">
        <x:v>1725</x:v>
      </x:c>
      <x:c r="M656" s="26" t="n">
        <x:v>2060</x:v>
      </x:c>
      <x:c r="N656" s="26" t="n">
        <x:v>2372</x:v>
      </x:c>
    </x:row>
    <x:row r="657">
      <x:c r="A657" s="20" t="str">
        <x:v>T1_SHARED_CATCHMENT</x:v>
      </x:c>
      <x:c r="B657" s="20" t="str">
        <x:v>NYC-V2-R02</x:v>
      </x:c>
      <x:c r="C657" s="20" t="str">
        <x:v>V2</x:v>
      </x:c>
      <x:c r="D657" s="20" t="str">
        <x:v>age_85_plus</x:v>
      </x:c>
      <x:c r="E657" s="20" t="str">
        <x:v>population</x:v>
      </x:c>
      <x:c r="F657" s="50" t="n">
        <x:v>552</x:v>
      </x:c>
      <x:c r="G657" s="50" t="n">
        <x:v>105.49099487634004</x:v>
      </x:c>
      <x:c r="H657" s="50" t="n">
        <x:v>552.021</x:v>
      </x:c>
      <x:c r="I657" s="50" t="n">
        <x:v>107.33134013686578</x:v>
      </x:c>
      <x:c r="J657" s="42" t="n">
        <x:v>1.0174455199961197</x:v>
      </x:c>
      <x:c r="K657" s="42" t="n">
        <x:v>0.00019906912456911648</x:v>
      </x:c>
      <x:c r="L657" s="26" t="n">
        <x:v>374</x:v>
      </x:c>
      <x:c r="M657" s="26" t="n">
        <x:v>556</x:v>
      </x:c>
      <x:c r="N657" s="26" t="n">
        <x:v>732</x:v>
      </x:c>
    </x:row>
    <x:row r="658">
      <x:c r="A658" s="20" t="str">
        <x:v>T1_SHARED_CATCHMENT</x:v>
      </x:c>
      <x:c r="B658" s="20" t="str">
        <x:v>NYC-V2-R02</x:v>
      </x:c>
      <x:c r="C658" s="20" t="str">
        <x:v>V2</x:v>
      </x:c>
      <x:c r="D658" s="20" t="str">
        <x:v>civilian_noninstitutionalized</x:v>
      </x:c>
      <x:c r="E658" s="20" t="str">
        <x:v>disability</x:v>
      </x:c>
      <x:c r="F658" s="50" t="n">
        <x:v>29472</x:v>
      </x:c>
      <x:c r="G658" s="50" t="n">
        <x:v>1298.8511654535325</x:v>
      </x:c>
      <x:c r="H658" s="50" t="n">
        <x:v>28912.271</x:v>
      </x:c>
      <x:c r="I658" s="50" t="n">
        <x:v>1108.2053910479535</x:v>
      </x:c>
      <x:c r="J658" s="42" t="n">
        <x:v>0.8532196917735302</x:v>
      </x:c>
      <x:c r="K658" s="42" t="n">
        <x:v>-0.43094160046009067</x:v>
      </x:c>
      <x:c r="L658" s="26" t="n">
        <x:v>27080</x:v>
      </x:c>
      <x:c r="M658" s="26" t="n">
        <x:v>28921</x:v>
      </x:c>
      <x:c r="N658" s="26" t="n">
        <x:v>30756</x:v>
      </x:c>
    </x:row>
    <x:row r="659">
      <x:c r="A659" s="20" t="str">
        <x:v>T1_SHARED_CATCHMENT</x:v>
      </x:c>
      <x:c r="B659" s="20" t="str">
        <x:v>NYC-V2-R02</x:v>
      </x:c>
      <x:c r="C659" s="20" t="str">
        <x:v>V2</x:v>
      </x:c>
      <x:c r="D659" s="20" t="str">
        <x:v>any_disability</x:v>
      </x:c>
      <x:c r="E659" s="20" t="str">
        <x:v>disability</x:v>
      </x:c>
      <x:c r="F659" s="50" t="n">
        <x:v>3715</x:v>
      </x:c>
      <x:c r="G659" s="50" t="n">
        <x:v>295.7860713421104</x:v>
      </x:c>
      <x:c r="H659" s="50" t="n">
        <x:v>3715.305</x:v>
      </x:c>
      <x:c r="I659" s="50" t="n">
        <x:v>328.0716583126131</x:v>
      </x:c>
      <x:c r="J659" s="42" t="n">
        <x:v>1.1091518164598113</x:v>
      </x:c>
      <x:c r="K659" s="42" t="n">
        <x:v>0.0010311506509279435</x:v>
      </x:c>
      <x:c r="L659" s="26" t="n">
        <x:v>3160</x:v>
      </x:c>
      <x:c r="M659" s="26" t="n">
        <x:v>3714</x:v>
      </x:c>
      <x:c r="N659" s="26" t="n">
        <x:v>4253</x:v>
      </x:c>
    </x:row>
    <x:row r="660">
      <x:c r="A660" s="20" t="str">
        <x:v>T1_SHARED_CATCHMENT</x:v>
      </x:c>
      <x:c r="B660" s="20" t="str">
        <x:v>NYC-V2-R02</x:v>
      </x:c>
      <x:c r="C660" s="20" t="str">
        <x:v>V2</x:v>
      </x:c>
      <x:c r="D660" s="20" t="str">
        <x:v>disability_under_18</x:v>
      </x:c>
      <x:c r="E660" s="20" t="str">
        <x:v>disability</x:v>
      </x:c>
      <x:c r="F660" s="50" t="n">
        <x:v>387</x:v>
      </x:c>
      <x:c r="G660" s="50" t="n">
        <x:v>114.48537024441158</x:v>
      </x:c>
      <x:c r="H660" s="50" t="n">
        <x:v>387.108</x:v>
      </x:c>
      <x:c r="I660" s="50" t="n">
        <x:v>112.9747920539783</x:v>
      </x:c>
      <x:c r="J660" s="42" t="n">
        <x:v>0.986805491503339</x:v>
      </x:c>
      <x:c r="K660" s="42" t="n">
        <x:v>0.0009433519738761201</x:v>
      </x:c>
      <x:c r="L660" s="26" t="n">
        <x:v>205</x:v>
      </x:c>
      <x:c r="M660" s="26" t="n">
        <x:v>386</x:v>
      </x:c>
      <x:c r="N660" s="26" t="n">
        <x:v>563</x:v>
      </x:c>
    </x:row>
    <x:row r="661">
      <x:c r="A661" s="20" t="str">
        <x:v>T1_SHARED_CATCHMENT</x:v>
      </x:c>
      <x:c r="B661" s="20" t="str">
        <x:v>NYC-V2-R02</x:v>
      </x:c>
      <x:c r="C661" s="20" t="str">
        <x:v>V2</x:v>
      </x:c>
      <x:c r="D661" s="20" t="str">
        <x:v>disability_18_64</x:v>
      </x:c>
      <x:c r="E661" s="20" t="str">
        <x:v>disability</x:v>
      </x:c>
      <x:c r="F661" s="50" t="n">
        <x:v>1482</x:v>
      </x:c>
      <x:c r="G661" s="50" t="n">
        <x:v>195.66246446367785</x:v>
      </x:c>
      <x:c r="H661" s="50" t="n">
        <x:v>1482.073</x:v>
      </x:c>
      <x:c r="I661" s="50" t="n">
        <x:v>199.1199448157402</x:v>
      </x:c>
      <x:c r="J661" s="42" t="n">
        <x:v>1.0176706368364494</x:v>
      </x:c>
      <x:c r="K661" s="42" t="n">
        <x:v>0.00037309148793658505</x:v>
      </x:c>
      <x:c r="L661" s="26" t="n">
        <x:v>1143</x:v>
      </x:c>
      <x:c r="M661" s="26" t="n">
        <x:v>1488</x:v>
      </x:c>
      <x:c r="N661" s="26" t="n">
        <x:v>1802</x:v>
      </x:c>
    </x:row>
    <x:row r="662">
      <x:c r="A662" s="20" t="str">
        <x:v>T1_SHARED_CATCHMENT</x:v>
      </x:c>
      <x:c r="B662" s="20" t="str">
        <x:v>NYC-V2-R02</x:v>
      </x:c>
      <x:c r="C662" s="20" t="str">
        <x:v>V2</x:v>
      </x:c>
      <x:c r="D662" s="20" t="str">
        <x:v>disability_65_plus</x:v>
      </x:c>
      <x:c r="E662" s="20" t="str">
        <x:v>disability</x:v>
      </x:c>
      <x:c r="F662" s="50" t="n">
        <x:v>1846</x:v>
      </x:c>
      <x:c r="G662" s="50" t="n">
        <x:v>188.32870200795205</x:v>
      </x:c>
      <x:c r="H662" s="50" t="n">
        <x:v>1846.124</x:v>
      </x:c>
      <x:c r="I662" s="50" t="n">
        <x:v>188.6960593834085</x:v>
      </x:c>
      <x:c r="J662" s="42" t="n">
        <x:v>1.001950618103028</x:v>
      </x:c>
      <x:c r="K662" s="42" t="n">
        <x:v>0.0006584232710040546</x:v>
      </x:c>
      <x:c r="L662" s="26" t="n">
        <x:v>1547</x:v>
      </x:c>
      <x:c r="M662" s="26" t="n">
        <x:v>1843</x:v>
      </x:c>
      <x:c r="N662" s="26" t="n">
        <x:v>2158</x:v>
      </x:c>
    </x:row>
    <x:row r="663">
      <x:c r="A663" s="20" t="str">
        <x:v>T1_SHARED_CATCHMENT</x:v>
      </x:c>
      <x:c r="B663" s="20" t="str">
        <x:v>NYC-V2-R02</x:v>
      </x:c>
      <x:c r="C663" s="20" t="str">
        <x:v>V2</x:v>
      </x:c>
      <x:c r="D663" s="20" t="str">
        <x:v>hearing_difficulty</x:v>
      </x:c>
      <x:c r="E663" s="20" t="str">
        <x:v>disability</x:v>
      </x:c>
      <x:c r="F663" s="50" t="n">
        <x:v>512</x:v>
      </x:c>
      <x:c r="G663" s="50" t="n">
        <x:v>132.73455655919363</x:v>
      </x:c>
      <x:c r="H663" s="50" t="n">
        <x:v>511.985</x:v>
      </x:c>
      <x:c r="I663" s="50" t="n">
        <x:v>132.8949278070342</x:v>
      </x:c>
      <x:c r="J663" s="42" t="n">
        <x:v>1.0012082102204414</x:v>
      </x:c>
      <x:c r="K663" s="42" t="n">
        <x:v>-0.00011300749698362862</x:v>
      </x:c>
      <x:c r="L663" s="26" t="n">
        <x:v>290</x:v>
      </x:c>
      <x:c r="M663" s="26" t="n">
        <x:v>514</x:v>
      </x:c>
      <x:c r="N663" s="26" t="n">
        <x:v>732</x:v>
      </x:c>
    </x:row>
    <x:row r="664">
      <x:c r="A664" s="20" t="str">
        <x:v>T1_SHARED_CATCHMENT</x:v>
      </x:c>
      <x:c r="B664" s="20" t="str">
        <x:v>NYC-V2-R02</x:v>
      </x:c>
      <x:c r="C664" s="20" t="str">
        <x:v>V2</x:v>
      </x:c>
      <x:c r="D664" s="20" t="str">
        <x:v>vision_difficulty</x:v>
      </x:c>
      <x:c r="E664" s="20" t="str">
        <x:v>disability</x:v>
      </x:c>
      <x:c r="F664" s="50" t="n">
        <x:v>720</x:v>
      </x:c>
      <x:c r="G664" s="50" t="n">
        <x:v>140.66743201248528</x:v>
      </x:c>
      <x:c r="H664" s="50" t="n">
        <x:v>720.027</x:v>
      </x:c>
      <x:c r="I664" s="50" t="n">
        <x:v>142.29282314480417</x:v>
      </x:c>
      <x:c r="J664" s="42" t="n">
        <x:v>1.011554850394757</x:v>
      </x:c>
      <x:c r="K664" s="42" t="n">
        <x:v>0.0001919420836348758</x:v>
      </x:c>
      <x:c r="L664" s="26" t="n">
        <x:v>484</x:v>
      </x:c>
      <x:c r="M664" s="26" t="n">
        <x:v>721</x:v>
      </x:c>
      <x:c r="N664" s="26" t="n">
        <x:v>941</x:v>
      </x:c>
    </x:row>
    <x:row r="665">
      <x:c r="A665" s="20" t="str">
        <x:v>T1_SHARED_CATCHMENT</x:v>
      </x:c>
      <x:c r="B665" s="20" t="str">
        <x:v>NYC-V2-R02</x:v>
      </x:c>
      <x:c r="C665" s="20" t="str">
        <x:v>V2</x:v>
      </x:c>
      <x:c r="D665" s="20" t="str">
        <x:v>cognitive_difficulty</x:v>
      </x:c>
      <x:c r="E665" s="20" t="str">
        <x:v>disability</x:v>
      </x:c>
      <x:c r="F665" s="50" t="n">
        <x:v>1322</x:v>
      </x:c>
      <x:c r="G665" s="50" t="n">
        <x:v>200.606981668697</x:v>
      </x:c>
      <x:c r="H665" s="50" t="n">
        <x:v>1322.076</x:v>
      </x:c>
      <x:c r="I665" s="50" t="n">
        <x:v>199.5651785369494</x:v>
      </x:c>
      <x:c r="J665" s="42" t="n">
        <x:v>0.9948067453929986</x:v>
      </x:c>
      <x:c r="K665" s="42" t="n">
        <x:v>0.0003788502242934697</x:v>
      </x:c>
      <x:c r="L665" s="26" t="n">
        <x:v>999</x:v>
      </x:c>
      <x:c r="M665" s="26" t="n">
        <x:v>1323</x:v>
      </x:c>
      <x:c r="N665" s="26" t="n">
        <x:v>1645</x:v>
      </x:c>
    </x:row>
    <x:row r="666">
      <x:c r="A666" s="20" t="str">
        <x:v>T1_SHARED_CATCHMENT</x:v>
      </x:c>
      <x:c r="B666" s="20" t="str">
        <x:v>NYC-V2-R02</x:v>
      </x:c>
      <x:c r="C666" s="20" t="str">
        <x:v>V2</x:v>
      </x:c>
      <x:c r="D666" s="20" t="str">
        <x:v>ambulatory_difficulty</x:v>
      </x:c>
      <x:c r="E666" s="20" t="str">
        <x:v>disability</x:v>
      </x:c>
      <x:c r="F666" s="50" t="n">
        <x:v>2506</x:v>
      </x:c>
      <x:c r="G666" s="50" t="n">
        <x:v>256.26038692582466</x:v>
      </x:c>
      <x:c r="H666" s="50" t="n">
        <x:v>2505.95</x:v>
      </x:c>
      <x:c r="I666" s="50" t="n">
        <x:v>253.95340484394345</x:v>
      </x:c>
      <x:c r="J666" s="42" t="n">
        <x:v>0.9909975080052112</x:v>
      </x:c>
      <x:c r="K666" s="42" t="n">
        <x:v>-0.00019511404240037518</x:v>
      </x:c>
      <x:c r="L666" s="26" t="n">
        <x:v>2092</x:v>
      </x:c>
      <x:c r="M666" s="26" t="n">
        <x:v>2507</x:v>
      </x:c>
      <x:c r="N666" s="26" t="n">
        <x:v>2925</x:v>
      </x:c>
    </x:row>
    <x:row r="667">
      <x:c r="A667" s="20" t="str">
        <x:v>T1_SHARED_CATCHMENT</x:v>
      </x:c>
      <x:c r="B667" s="20" t="str">
        <x:v>NYC-V2-R02</x:v>
      </x:c>
      <x:c r="C667" s="20" t="str">
        <x:v>V2</x:v>
      </x:c>
      <x:c r="D667" s="20" t="str">
        <x:v>self_care_difficulty</x:v>
      </x:c>
      <x:c r="E667" s="20" t="str">
        <x:v>disability</x:v>
      </x:c>
      <x:c r="F667" s="50" t="n">
        <x:v>828</x:v>
      </x:c>
      <x:c r="G667" s="50" t="n">
        <x:v>170.2127659574468</x:v>
      </x:c>
      <x:c r="H667" s="50" t="n">
        <x:v>828.026</x:v>
      </x:c>
      <x:c r="I667" s="50" t="n">
        <x:v>169.15436300173437</x:v>
      </x:c>
      <x:c r="J667" s="42" t="n">
        <x:v>0.9937818826351894</x:v>
      </x:c>
      <x:c r="K667" s="42" t="n">
        <x:v>0.00015274999999972749</x:v>
      </x:c>
      <x:c r="L667" s="26" t="n">
        <x:v>557</x:v>
      </x:c>
      <x:c r="M667" s="26" t="n">
        <x:v>834</x:v>
      </x:c>
      <x:c r="N667" s="26" t="n">
        <x:v>1108</x:v>
      </x:c>
    </x:row>
    <x:row r="668">
      <x:c r="A668" s="20" t="str">
        <x:v>T1_SHARED_CATCHMENT</x:v>
      </x:c>
      <x:c r="B668" s="20" t="str">
        <x:v>NYC-V2-R02</x:v>
      </x:c>
      <x:c r="C668" s="20" t="str">
        <x:v>V2</x:v>
      </x:c>
      <x:c r="D668" s="20" t="str">
        <x:v>independent_living_difficulty</x:v>
      </x:c>
      <x:c r="E668" s="20" t="str">
        <x:v>disability</x:v>
      </x:c>
      <x:c r="F668" s="50" t="n">
        <x:v>1257</x:v>
      </x:c>
      <x:c r="G668" s="50" t="n">
        <x:v>185.50000323103495</x:v>
      </x:c>
      <x:c r="H668" s="50" t="n">
        <x:v>1257.007</x:v>
      </x:c>
      <x:c r="I668" s="50" t="n">
        <x:v>183.02448719751658</x:v>
      </x:c>
      <x:c r="J668" s="42" t="n">
        <x:v>0.9866549003212944</x:v>
      </x:c>
      <x:c r="K668" s="42" t="n">
        <x:v>0.00003773584839965499</x:v>
      </x:c>
      <x:c r="L668" s="26" t="n">
        <x:v>956</x:v>
      </x:c>
      <x:c r="M668" s="26" t="n">
        <x:v>1255</x:v>
      </x:c>
      <x:c r="N668" s="26" t="n">
        <x:v>1558</x:v>
      </x:c>
    </x:row>
    <x:row r="669">
      <x:c r="A669" s="20" t="str">
        <x:v>T1_SHARED_CATCHMENT</x:v>
      </x:c>
      <x:c r="B669" s="20" t="str">
        <x:v>NYC-V2-R02</x:v>
      </x:c>
      <x:c r="C669" s="20" t="str">
        <x:v>V2</x:v>
      </x:c>
      <x:c r="D669" s="20" t="str">
        <x:v>households</x:v>
      </x:c>
      <x:c r="E669" s="20" t="str">
        <x:v>household</x:v>
      </x:c>
      <x:c r="F669" s="50" t="n">
        <x:v>11727</x:v>
      </x:c>
      <x:c r="G669" s="50" t="n">
        <x:v>401.0303604466874</x:v>
      </x:c>
      <x:c r="H669" s="50" t="n">
        <x:v>11733.276</x:v>
      </x:c>
      <x:c r="I669" s="50" t="n">
        <x:v>395.61117277451103</x:v>
      </x:c>
      <x:c r="J669" s="42" t="n">
        <x:v>0.9864868393850775</x:v>
      </x:c>
      <x:c r="K669" s="42" t="n">
        <x:v>0.015649687951329476</x:v>
      </x:c>
      <x:c r="L669" s="26" t="n">
        <x:v>11097</x:v>
      </x:c>
      <x:c r="M669" s="26" t="n">
        <x:v>11728</x:v>
      </x:c>
      <x:c r="N669" s="26" t="n">
        <x:v>12400</x:v>
      </x:c>
    </x:row>
    <x:row r="670">
      <x:c r="A670" s="20" t="str">
        <x:v>T1_SHARED_CATCHMENT</x:v>
      </x:c>
      <x:c r="B670" s="20" t="str">
        <x:v>NYC-V2-R02</x:v>
      </x:c>
      <x:c r="C670" s="20" t="str">
        <x:v>V2</x:v>
      </x:c>
      <x:c r="D670" s="20" t="str">
        <x:v>family_households</x:v>
      </x:c>
      <x:c r="E670" s="20" t="str">
        <x:v>household</x:v>
      </x:c>
      <x:c r="F670" s="50" t="n">
        <x:v>7655</x:v>
      </x:c>
      <x:c r="G670" s="50" t="n">
        <x:v>424.5146640576742</x:v>
      </x:c>
      <x:c r="H670" s="50" t="n">
        <x:v>7661.403</x:v>
      </x:c>
      <x:c r="I670" s="50" t="n">
        <x:v>454.3875247116866</x:v>
      </x:c>
      <x:c r="J670" s="42" t="n">
        <x:v>1.0703694434686333</x:v>
      </x:c>
      <x:c r="K670" s="42" t="n">
        <x:v>0.015083106761961798</x:v>
      </x:c>
      <x:c r="L670" s="26" t="n">
        <x:v>6891</x:v>
      </x:c>
      <x:c r="M670" s="26" t="n">
        <x:v>7663</x:v>
      </x:c>
      <x:c r="N670" s="26" t="n">
        <x:v>8425</x:v>
      </x:c>
    </x:row>
    <x:row r="671">
      <x:c r="A671" s="20" t="str">
        <x:v>T1_SHARED_CATCHMENT</x:v>
      </x:c>
      <x:c r="B671" s="20" t="str">
        <x:v>NYC-V2-R02</x:v>
      </x:c>
      <x:c r="C671" s="20" t="str">
        <x:v>V2</x:v>
      </x:c>
      <x:c r="D671" s="20" t="str">
        <x:v>nonfamily_households</x:v>
      </x:c>
      <x:c r="E671" s="20" t="str">
        <x:v>household</x:v>
      </x:c>
      <x:c r="F671" s="50" t="n">
        <x:v>4072</x:v>
      </x:c>
      <x:c r="G671" s="50" t="n">
        <x:v>306.7437855931233</x:v>
      </x:c>
      <x:c r="H671" s="50" t="n">
        <x:v>4071.873</x:v>
      </x:c>
      <x:c r="I671" s="50" t="n">
        <x:v>292.33714762048095</x:v>
      </x:c>
      <x:c r="J671" s="42" t="n">
        <x:v>0.9530336435511302</x:v>
      </x:c>
      <x:c r="K671" s="42" t="n">
        <x:v>-0.0004140263176135225</x:v>
      </x:c>
      <x:c r="L671" s="26" t="n">
        <x:v>3611</x:v>
      </x:c>
      <x:c r="M671" s="26" t="n">
        <x:v>4072</x:v>
      </x:c>
      <x:c r="N671" s="26" t="n">
        <x:v>4573</x:v>
      </x:c>
    </x:row>
    <x:row r="672">
      <x:c r="A672" s="20" t="str">
        <x:v>T1_SHARED_CATCHMENT</x:v>
      </x:c>
      <x:c r="B672" s="20" t="str">
        <x:v>NYC-V2-R02</x:v>
      </x:c>
      <x:c r="C672" s="20" t="str">
        <x:v>V2</x:v>
      </x:c>
      <x:c r="D672" s="20" t="str">
        <x:v>living_alone_households</x:v>
      </x:c>
      <x:c r="E672" s="20" t="str">
        <x:v>household</x:v>
      </x:c>
      <x:c r="F672" s="50" t="n">
        <x:v>3663</x:v>
      </x:c>
      <x:c r="G672" s="50" t="n">
        <x:v>297.7568639007336</x:v>
      </x:c>
      <x:c r="H672" s="50" t="n">
        <x:v>3662.902</x:v>
      </x:c>
      <x:c r="I672" s="50" t="n">
        <x:v>285.6000591557883</x:v>
      </x:c>
      <x:c r="J672" s="42" t="n">
        <x:v>0.9591720419617324</x:v>
      </x:c>
      <x:c r="K672" s="42" t="n">
        <x:v>-0.00032912759328573415</x:v>
      </x:c>
      <x:c r="L672" s="26" t="n">
        <x:v>3216</x:v>
      </x:c>
      <x:c r="M672" s="26" t="n">
        <x:v>3651</x:v>
      </x:c>
      <x:c r="N672" s="26" t="n">
        <x:v>4149</x:v>
      </x:c>
    </x:row>
    <x:row r="673">
      <x:c r="A673" s="20" t="str">
        <x:v>T1_SHARED_CATCHMENT</x:v>
      </x:c>
      <x:c r="B673" s="20" t="str">
        <x:v>NYC-V2-R02</x:v>
      </x:c>
      <x:c r="C673" s="20" t="str">
        <x:v>V2</x:v>
      </x:c>
      <x:c r="D673" s="20" t="str">
        <x:v>households_with_children</x:v>
      </x:c>
      <x:c r="E673" s="20" t="str">
        <x:v>household</x:v>
      </x:c>
      <x:c r="F673" s="50" t="n">
        <x:v>3031</x:v>
      </x:c>
      <x:c r="G673" s="50" t="n">
        <x:v>311.79376196453967</x:v>
      </x:c>
      <x:c r="H673" s="50" t="n">
        <x:v>3030.969</x:v>
      </x:c>
      <x:c r="I673" s="50" t="n">
        <x:v>322.72154752392385</x:v>
      </x:c>
      <x:c r="J673" s="42" t="n">
        <x:v>1.0350481212020752</x:v>
      </x:c>
      <x:c r="K673" s="42" t="n">
        <x:v>-0.0000994246960061847</x:v>
      </x:c>
      <x:c r="L673" s="26" t="n">
        <x:v>2504</x:v>
      </x:c>
      <x:c r="M673" s="26" t="n">
        <x:v>3035</x:v>
      </x:c>
      <x:c r="N673" s="26" t="n">
        <x:v>3557</x:v>
      </x:c>
    </x:row>
    <x:row r="674">
      <x:c r="A674" s="20" t="str">
        <x:v>T1_SHARED_CATCHMENT</x:v>
      </x:c>
      <x:c r="B674" s="20" t="str">
        <x:v>NYC-V2-R02</x:v>
      </x:c>
      <x:c r="C674" s="20" t="str">
        <x:v>V2</x:v>
      </x:c>
      <x:c r="D674" s="20" t="str">
        <x:v>households_with_age65</x:v>
      </x:c>
      <x:c r="E674" s="20" t="str">
        <x:v>household</x:v>
      </x:c>
      <x:c r="F674" s="50" t="n">
        <x:v>4698</x:v>
      </x:c>
      <x:c r="G674" s="50" t="n">
        <x:v>292.9354877784527</x:v>
      </x:c>
      <x:c r="H674" s="50" t="n">
        <x:v>4697.92</x:v>
      </x:c>
      <x:c r="I674" s="50" t="n">
        <x:v>294.6587269458778</x:v>
      </x:c>
      <x:c r="J674" s="42" t="n">
        <x:v>1.0058826575792974</x:v>
      </x:c>
      <x:c r="K674" s="42" t="n">
        <x:v>-0.0002730976728242339</x:v>
      </x:c>
      <x:c r="L674" s="26" t="n">
        <x:v>4210</x:v>
      </x:c>
      <x:c r="M674" s="26" t="n">
        <x:v>4704</x:v>
      </x:c>
      <x:c r="N674" s="26" t="n">
        <x:v>5178</x:v>
      </x:c>
    </x:row>
    <x:row r="675">
      <x:c r="A675" s="20" t="str">
        <x:v>T1_SHARED_CATCHMENT</x:v>
      </x:c>
      <x:c r="B675" s="20" t="str">
        <x:v>NYC-V2-R02</x:v>
      </x:c>
      <x:c r="C675" s="20" t="str">
        <x:v>V2</x:v>
      </x:c>
      <x:c r="D675" s="20" t="str">
        <x:v>age65_one_person_households</x:v>
      </x:c>
      <x:c r="E675" s="20" t="str">
        <x:v>household</x:v>
      </x:c>
      <x:c r="F675" s="50" t="n">
        <x:v>1335</x:v>
      </x:c>
      <x:c r="G675" s="50" t="n">
        <x:v>176.08350291835973</x:v>
      </x:c>
      <x:c r="H675" s="50" t="n">
        <x:v>1334.972</x:v>
      </x:c>
      <x:c r="I675" s="50" t="n">
        <x:v>171.92828898279814</x:v>
      </x:c>
      <x:c r="J675" s="42" t="n">
        <x:v>0.9764020259326159</x:v>
      </x:c>
      <x:c r="K675" s="42" t="n">
        <x:v>-0.00015901546445837165</x:v>
      </x:c>
      <x:c r="L675" s="26" t="n">
        <x:v>1065</x:v>
      </x:c>
      <x:c r="M675" s="26" t="n">
        <x:v>1332</x:v>
      </x:c>
      <x:c r="N675" s="26" t="n">
        <x:v>1611</x:v>
      </x:c>
    </x:row>
    <x:row r="676">
      <x:c r="A676" s="20" t="str">
        <x:v>T1_SHARED_CATCHMENT</x:v>
      </x:c>
      <x:c r="B676" s="20" t="str">
        <x:v>NYC-V2-R02</x:v>
      </x:c>
      <x:c r="C676" s="20" t="str">
        <x:v>V2</x:v>
      </x:c>
      <x:c r="D676" s="20" t="str">
        <x:v>no_vehicle_households</x:v>
      </x:c>
      <x:c r="E676" s="20" t="str">
        <x:v>household</x:v>
      </x:c>
      <x:c r="F676" s="50" t="n">
        <x:v>6252</x:v>
      </x:c>
      <x:c r="G676" s="50" t="n">
        <x:v>379.7037568307391</x:v>
      </x:c>
      <x:c r="H676" s="50" t="n">
        <x:v>6252.096</x:v>
      </x:c>
      <x:c r="I676" s="50" t="n">
        <x:v>384.04885666840397</x:v>
      </x:c>
      <x:c r="J676" s="42" t="n">
        <x:v>1.011443394381799</x:v>
      </x:c>
      <x:c r="K676" s="42" t="n">
        <x:v>0.00025282868097178956</x:v>
      </x:c>
      <x:c r="L676" s="26" t="n">
        <x:v>5614</x:v>
      </x:c>
      <x:c r="M676" s="26" t="n">
        <x:v>6263</x:v>
      </x:c>
      <x:c r="N676" s="26" t="n">
        <x:v>6866</x:v>
      </x:c>
    </x:row>
    <x:row r="677">
      <x:c r="A677" s="20" t="str">
        <x:v>T1_SHARED_CATCHMENT</x:v>
      </x:c>
      <x:c r="B677" s="20" t="str">
        <x:v>NYC-V2-R02</x:v>
      </x:c>
      <x:c r="C677" s="20" t="str">
        <x:v>V2</x:v>
      </x:c>
      <x:c r="D677" s="20" t="str">
        <x:v>limited_english_households</x:v>
      </x:c>
      <x:c r="E677" s="20" t="str">
        <x:v>household</x:v>
      </x:c>
      <x:c r="F677" s="50" t="n">
        <x:v>827</x:v>
      </x:c>
      <x:c r="G677" s="50" t="n">
        <x:v>147.05216177318388</x:v>
      </x:c>
      <x:c r="H677" s="50" t="n">
        <x:v>827.107</x:v>
      </x:c>
      <x:c r="I677" s="50" t="n">
        <x:v>147.23209854458315</x:v>
      </x:c>
      <x:c r="J677" s="42" t="n">
        <x:v>1.0012236254756786</x:v>
      </x:c>
      <x:c r="K677" s="42" t="n">
        <x:v>0.0007276329617310202</x:v>
      </x:c>
      <x:c r="L677" s="26" t="n">
        <x:v>574</x:v>
      </x:c>
      <x:c r="M677" s="26" t="n">
        <x:v>830</x:v>
      </x:c>
      <x:c r="N677" s="26" t="n">
        <x:v>1069</x:v>
      </x:c>
    </x:row>
    <x:row r="678">
      <x:c r="A678" s="20" t="str">
        <x:v>T1_SHARED_CATCHMENT</x:v>
      </x:c>
      <x:c r="B678" s="20" t="str">
        <x:v>NYC-V2-R02</x:v>
      </x:c>
      <x:c r="C678" s="20" t="str">
        <x:v>V2</x:v>
      </x:c>
      <x:c r="D678" s="20" t="str">
        <x:v>housing_units</x:v>
      </x:c>
      <x:c r="E678" s="20" t="str">
        <x:v>housing</x:v>
      </x:c>
      <x:c r="F678" s="50" t="n">
        <x:v>13573</x:v>
      </x:c>
      <x:c r="G678" s="50" t="n">
        <x:v>377.41813681909883</x:v>
      </x:c>
      <x:c r="H678" s="50" t="n">
        <x:v>13579.142</x:v>
      </x:c>
      <x:c r="I678" s="50" t="n">
        <x:v>415.88194193259415</x:v>
      </x:c>
      <x:c r="J678" s="42" t="n">
        <x:v>1.1019129749239673</x:v>
      </x:c>
      <x:c r="K678" s="42" t="n">
        <x:v>0.01627372773276066</x:v>
      </x:c>
      <x:c r="L678" s="26" t="n">
        <x:v>12887</x:v>
      </x:c>
      <x:c r="M678" s="26" t="n">
        <x:v>13568</x:v>
      </x:c>
      <x:c r="N678" s="26" t="n">
        <x:v>14296</x:v>
      </x:c>
    </x:row>
    <x:row r="679">
      <x:c r="A679" s="20" t="str">
        <x:v>T1_SHARED_CATCHMENT</x:v>
      </x:c>
      <x:c r="B679" s="20" t="str">
        <x:v>NYC-V2-R02</x:v>
      </x:c>
      <x:c r="C679" s="20" t="str">
        <x:v>V2</x:v>
      </x:c>
      <x:c r="D679" s="20" t="str">
        <x:v>occupied_housing_units</x:v>
      </x:c>
      <x:c r="E679" s="20" t="str">
        <x:v>housing</x:v>
      </x:c>
      <x:c r="F679" s="50" t="n">
        <x:v>11727</x:v>
      </x:c>
      <x:c r="G679" s="50" t="n">
        <x:v>401.0303604466874</x:v>
      </x:c>
      <x:c r="H679" s="50" t="n">
        <x:v>11733.276</x:v>
      </x:c>
      <x:c r="I679" s="50" t="n">
        <x:v>395.61117277451103</x:v>
      </x:c>
      <x:c r="J679" s="42" t="n">
        <x:v>0.9864868393850775</x:v>
      </x:c>
      <x:c r="K679" s="42" t="n">
        <x:v>0.015649687951329476</x:v>
      </x:c>
      <x:c r="L679" s="26" t="n">
        <x:v>11097</x:v>
      </x:c>
      <x:c r="M679" s="26" t="n">
        <x:v>11728</x:v>
      </x:c>
      <x:c r="N679" s="26" t="n">
        <x:v>12400</x:v>
      </x:c>
    </x:row>
    <x:row r="680">
      <x:c r="A680" s="20" t="str">
        <x:v>T1_SHARED_CATCHMENT</x:v>
      </x:c>
      <x:c r="B680" s="20" t="str">
        <x:v>NYC-V2-R02</x:v>
      </x:c>
      <x:c r="C680" s="20" t="str">
        <x:v>V2</x:v>
      </x:c>
      <x:c r="D680" s="20" t="str">
        <x:v>vacant_housing_units</x:v>
      </x:c>
      <x:c r="E680" s="20" t="str">
        <x:v>housing</x:v>
      </x:c>
      <x:c r="F680" s="50" t="n">
        <x:v>1846</x:v>
      </x:c>
      <x:c r="G680" s="50" t="n">
        <x:v>179.9285969489008</x:v>
      </x:c>
      <x:c r="H680" s="50" t="n">
        <x:v>1845.866</x:v>
      </x:c>
      <x:c r="I680" s="50" t="n">
        <x:v>178.16952158666874</x:v>
      </x:c>
      <x:c r="J680" s="42" t="n">
        <x:v>0.9902234809137558</x:v>
      </x:c>
      <x:c r="K680" s="42" t="n">
        <x:v>-0.0007447398705502614</x:v>
      </x:c>
      <x:c r="L680" s="26" t="n">
        <x:v>1565</x:v>
      </x:c>
      <x:c r="M680" s="26" t="n">
        <x:v>1844</x:v>
      </x:c>
      <x:c r="N680" s="26" t="n">
        <x:v>2143</x:v>
      </x:c>
    </x:row>
    <x:row r="681">
      <x:c r="A681" s="20" t="str">
        <x:v>T1_SHARED_CATCHMENT</x:v>
      </x:c>
      <x:c r="B681" s="20" t="str">
        <x:v>NYC-V2-R02</x:v>
      </x:c>
      <x:c r="C681" s="20" t="str">
        <x:v>V2</x:v>
      </x:c>
      <x:c r="D681" s="20" t="str">
        <x:v>owner_occupied_units</x:v>
      </x:c>
      <x:c r="E681" s="20" t="str">
        <x:v>housing</x:v>
      </x:c>
      <x:c r="F681" s="50" t="n">
        <x:v>3365</x:v>
      </x:c>
      <x:c r="G681" s="50" t="n">
        <x:v>247.30511376058348</x:v>
      </x:c>
      <x:c r="H681" s="50" t="n">
        <x:v>3365.025</x:v>
      </x:c>
      <x:c r="I681" s="50" t="n">
        <x:v>232.337885994231</x:v>
      </x:c>
      <x:c r="J681" s="42" t="n">
        <x:v>0.9394786968261307</x:v>
      </x:c>
      <x:c r="K681" s="42" t="n">
        <x:v>0.00010108970097680024</x:v>
      </x:c>
      <x:c r="L681" s="26" t="n">
        <x:v>2980</x:v>
      </x:c>
      <x:c r="M681" s="26" t="n">
        <x:v>3374</x:v>
      </x:c>
      <x:c r="N681" s="26" t="n">
        <x:v>3742</x:v>
      </x:c>
    </x:row>
    <x:row r="682">
      <x:c r="A682" s="20" t="str">
        <x:v>T1_SHARED_CATCHMENT</x:v>
      </x:c>
      <x:c r="B682" s="20" t="str">
        <x:v>NYC-V2-R02</x:v>
      </x:c>
      <x:c r="C682" s="20" t="str">
        <x:v>V2</x:v>
      </x:c>
      <x:c r="D682" s="20" t="str">
        <x:v>renter_occupied_units</x:v>
      </x:c>
      <x:c r="E682" s="20" t="str">
        <x:v>housing</x:v>
      </x:c>
      <x:c r="F682" s="50" t="n">
        <x:v>8362</x:v>
      </x:c>
      <x:c r="G682" s="50" t="n">
        <x:v>382.6239491517273</x:v>
      </x:c>
      <x:c r="H682" s="50" t="n">
        <x:v>8368.251</x:v>
      </x:c>
      <x:c r="I682" s="50" t="n">
        <x:v>332.01442977765373</x:v>
      </x:c>
      <x:c r="J682" s="42" t="n">
        <x:v>0.8677303930235568</x:v>
      </x:c>
      <x:c r="K682" s="42" t="n">
        <x:v>0.01633718959270217</x:v>
      </x:c>
      <x:c r="L682" s="26" t="n">
        <x:v>7832</x:v>
      </x:c>
      <x:c r="M682" s="26" t="n">
        <x:v>8364</x:v>
      </x:c>
      <x:c r="N682" s="26" t="n">
        <x:v>8935</x:v>
      </x:c>
    </x:row>
    <x:row r="683">
      <x:c r="A683" s="20" t="str">
        <x:v>T1_SHARED_CATCHMENT</x:v>
      </x:c>
      <x:c r="B683" s="20" t="str">
        <x:v>NYC-V2-R02</x:v>
      </x:c>
      <x:c r="C683" s="20" t="str">
        <x:v>V2</x:v>
      </x:c>
      <x:c r="D683" s="20" t="str">
        <x:v>one_unit_structures</x:v>
      </x:c>
      <x:c r="E683" s="20" t="str">
        <x:v>housing</x:v>
      </x:c>
      <x:c r="F683" s="50" t="n">
        <x:v>2708</x:v>
      </x:c>
      <x:c r="G683" s="50" t="n">
        <x:v>237.24022469937137</x:v>
      </x:c>
      <x:c r="H683" s="50" t="n">
        <x:v>2707.913</x:v>
      </x:c>
      <x:c r="I683" s="50" t="n">
        <x:v>216.63242379209544</x:v>
      </x:c>
      <x:c r="J683" s="42" t="n">
        <x:v>0.9131353001650966</x:v>
      </x:c>
      <x:c r="K683" s="42" t="n">
        <x:v>-0.0003667169010239924</x:v>
      </x:c>
      <x:c r="L683" s="26" t="n">
        <x:v>2348</x:v>
      </x:c>
      <x:c r="M683" s="26" t="n">
        <x:v>2710</x:v>
      </x:c>
      <x:c r="N683" s="26" t="n">
        <x:v>3057</x:v>
      </x:c>
    </x:row>
    <x:row r="684">
      <x:c r="A684" s="20" t="str">
        <x:v>T1_SHARED_CATCHMENT</x:v>
      </x:c>
      <x:c r="B684" s="20" t="str">
        <x:v>NYC-V2-R02</x:v>
      </x:c>
      <x:c r="C684" s="20" t="str">
        <x:v>V2</x:v>
      </x:c>
      <x:c r="D684" s="20" t="str">
        <x:v>two_to_four_unit_structures</x:v>
      </x:c>
      <x:c r="E684" s="20" t="str">
        <x:v>housing</x:v>
      </x:c>
      <x:c r="F684" s="50" t="n">
        <x:v>2494</x:v>
      </x:c>
      <x:c r="G684" s="50" t="n">
        <x:v>274.9689963046367</x:v>
      </x:c>
      <x:c r="H684" s="50" t="n">
        <x:v>2493.855</x:v>
      </x:c>
      <x:c r="I684" s="50" t="n">
        <x:v>237.15592952719928</x:v>
      </x:c>
      <x:c r="J684" s="42" t="n">
        <x:v>0.8624824351631829</x:v>
      </x:c>
      <x:c r="K684" s="42" t="n">
        <x:v>-0.0005273321790771534</x:v>
      </x:c>
      <x:c r="L684" s="26" t="n">
        <x:v>2115</x:v>
      </x:c>
      <x:c r="M684" s="26" t="n">
        <x:v>2488</x:v>
      </x:c>
      <x:c r="N684" s="26" t="n">
        <x:v>2906</x:v>
      </x:c>
    </x:row>
    <x:row r="685">
      <x:c r="A685" s="20" t="str">
        <x:v>T1_SHARED_CATCHMENT</x:v>
      </x:c>
      <x:c r="B685" s="20" t="str">
        <x:v>NYC-V2-R02</x:v>
      </x:c>
      <x:c r="C685" s="20" t="str">
        <x:v>V2</x:v>
      </x:c>
      <x:c r="D685" s="20" t="str">
        <x:v>five_to_nineteen_unit_structures</x:v>
      </x:c>
      <x:c r="E685" s="20" t="str">
        <x:v>housing</x:v>
      </x:c>
      <x:c r="F685" s="50" t="n">
        <x:v>1372</x:v>
      </x:c>
      <x:c r="G685" s="50" t="n">
        <x:v>217.65125289221675</x:v>
      </x:c>
      <x:c r="H685" s="50" t="n">
        <x:v>1371.874</x:v>
      </x:c>
      <x:c r="I685" s="50" t="n">
        <x:v>198.20367004376791</x:v>
      </x:c>
      <x:c r="J685" s="42" t="n">
        <x:v>0.9106479627843931</x:v>
      </x:c>
      <x:c r="K685" s="42" t="n">
        <x:v>-0.0005789077633399745</x:v>
      </x:c>
      <x:c r="L685" s="26" t="n">
        <x:v>1063</x:v>
      </x:c>
      <x:c r="M685" s="26" t="n">
        <x:v>1373</x:v>
      </x:c>
      <x:c r="N685" s="26" t="n">
        <x:v>1685</x:v>
      </x:c>
    </x:row>
    <x:row r="686">
      <x:c r="A686" s="20" t="str">
        <x:v>T1_SHARED_CATCHMENT</x:v>
      </x:c>
      <x:c r="B686" s="20" t="str">
        <x:v>NYC-V2-R02</x:v>
      </x:c>
      <x:c r="C686" s="20" t="str">
        <x:v>V2</x:v>
      </x:c>
      <x:c r="D686" s="20" t="str">
        <x:v>twenty_to_forty_nine_unit_structures</x:v>
      </x:c>
      <x:c r="E686" s="20" t="str">
        <x:v>housing</x:v>
      </x:c>
      <x:c r="F686" s="50" t="n">
        <x:v>2896</x:v>
      </x:c>
      <x:c r="G686" s="50" t="n">
        <x:v>283.7245598021828</x:v>
      </x:c>
      <x:c r="H686" s="50" t="n">
        <x:v>2888.529</x:v>
      </x:c>
      <x:c r="I686" s="50" t="n">
        <x:v>240.47896642386894</x:v>
      </x:c>
      <x:c r="J686" s="42" t="n">
        <x:v>0.8475789568288858</x:v>
      </x:c>
      <x:c r="K686" s="42" t="n">
        <x:v>-0.026331876257765285</x:v>
      </x:c>
      <x:c r="L686" s="26" t="n">
        <x:v>2502</x:v>
      </x:c>
      <x:c r="M686" s="26" t="n">
        <x:v>2890</x:v>
      </x:c>
      <x:c r="N686" s="26" t="n">
        <x:v>3283</x:v>
      </x:c>
    </x:row>
    <x:row r="687">
      <x:c r="A687" s="20" t="str">
        <x:v>T1_SHARED_CATCHMENT</x:v>
      </x:c>
      <x:c r="B687" s="20" t="str">
        <x:v>NYC-V2-R02</x:v>
      </x:c>
      <x:c r="C687" s="20" t="str">
        <x:v>V2</x:v>
      </x:c>
      <x:c r="D687" s="20" t="str">
        <x:v>fifty_plus_unit_structures</x:v>
      </x:c>
      <x:c r="E687" s="20" t="str">
        <x:v>housing</x:v>
      </x:c>
      <x:c r="F687" s="50" t="n">
        <x:v>2238</x:v>
      </x:c>
      <x:c r="G687" s="50" t="n">
        <x:v>250.06166034068377</x:v>
      </x:c>
      <x:c r="H687" s="50" t="n">
        <x:v>2237.859</x:v>
      </x:c>
      <x:c r="I687" s="50" t="n">
        <x:v>223.37971173455887</x:v>
      </x:c>
      <x:c r="J687" s="42" t="n">
        <x:v>0.8932985225732988</x:v>
      </x:c>
      <x:c r="K687" s="42" t="n">
        <x:v>-0.0005638609285724894</x:v>
      </x:c>
      <x:c r="L687" s="26" t="n">
        <x:v>1886</x:v>
      </x:c>
      <x:c r="M687" s="26" t="n">
        <x:v>2240</x:v>
      </x:c>
      <x:c r="N687" s="26" t="n">
        <x:v>2598</x:v>
      </x:c>
    </x:row>
    <x:row r="688">
      <x:c r="A688" s="20" t="str">
        <x:v>T1_SHARED_CATCHMENT</x:v>
      </x:c>
      <x:c r="B688" s="20" t="str">
        <x:v>NYC-V2-R02</x:v>
      </x:c>
      <x:c r="C688" s="20" t="str">
        <x:v>V2</x:v>
      </x:c>
      <x:c r="D688" s="20" t="str">
        <x:v>mobile_or_other_units</x:v>
      </x:c>
      <x:c r="E688" s="20" t="str">
        <x:v>housing</x:v>
      </x:c>
      <x:c r="F688" s="50" t="n">
        <x:v>19</x:v>
      </x:c>
      <x:c r="G688" s="50" t="n">
        <x:v>58.51359878824627</x:v>
      </x:c>
      <x:c r="H688" s="50" t="n">
        <x:v>33.246</x:v>
      </x:c>
      <x:c r="I688" s="50" t="n">
        <x:v>39.186695204891684</x:v>
      </x:c>
      <x:c r="J688" s="42" t="n">
        <x:v>0.6697023600736584</x:v>
      </x:c>
      <x:c r="K688" s="42" t="n">
        <x:v>0.24346477220713386</x:v>
      </x:c>
      <x:c r="L688" s="26" t="n">
        <x:v>0</x:v>
      </x:c>
      <x:c r="M688" s="26" t="n">
        <x:v>20</x:v>
      </x:c>
      <x:c r="N688" s="26" t="n">
        <x:v>113</x:v>
      </x:c>
    </x:row>
    <x:row r="689">
      <x:c r="A689" s="20" t="str">
        <x:v>T1_SHARED_CATCHMENT</x:v>
      </x:c>
      <x:c r="B689" s="20" t="str">
        <x:v>NYC-V2-R02</x:v>
      </x:c>
      <x:c r="C689" s="20" t="str">
        <x:v>V2</x:v>
      </x:c>
      <x:c r="D689" s="20" t="str">
        <x:v>electric_heat_households</x:v>
      </x:c>
      <x:c r="E689" s="20" t="str">
        <x:v>housing</x:v>
      </x:c>
      <x:c r="F689" s="50" t="n">
        <x:v>1098</x:v>
      </x:c>
      <x:c r="G689" s="50" t="n">
        <x:v>147.60826535123297</x:v>
      </x:c>
      <x:c r="H689" s="50" t="n">
        <x:v>1098</x:v>
      </x:c>
      <x:c r="I689" s="50" t="n">
        <x:v>150.09382451039136</x:v>
      </x:c>
      <x:c r="J689" s="42" t="n">
        <x:v>1.0168388887522255</x:v>
      </x:c>
      <x:c r="K689" s="42" t="n">
        <x:v>0</x:v>
      </x:c>
      <x:c r="L689" s="26" t="n">
        <x:v>849</x:v>
      </x:c>
      <x:c r="M689" s="26" t="n">
        <x:v>1101</x:v>
      </x:c>
      <x:c r="N689" s="26" t="n">
        <x:v>1338</x:v>
      </x:c>
    </x:row>
    <x:row r="690">
      <x:c r="A690" s="20" t="str">
        <x:v>T1_SHARED_CATCHMENT</x:v>
      </x:c>
      <x:c r="B690" s="20" t="str">
        <x:v>NYC-V2-R02</x:v>
      </x:c>
      <x:c r="C690" s="20" t="str">
        <x:v>V2</x:v>
      </x:c>
      <x:c r="D690" s="20" t="str">
        <x:v>group_quarters_population</x:v>
      </x:c>
      <x:c r="E690" s="20" t="str">
        <x:v>population</x:v>
      </x:c>
      <x:c r="F690" s="50" t="n">
        <x:v>333</x:v>
      </x:c>
      <x:c r="G690" s="50" t="n">
        <x:v>21.473239159474755</x:v>
      </x:c>
      <x:c r="H690" s="50" t="n">
        <x:v>332.995</x:v>
      </x:c>
      <x:c r="I690" s="50" t="n">
        <x:v>21.77882669686988</x:v>
      </x:c>
      <x:c r="J690" s="42" t="n">
        <x:v>1.0142310871278257</x:v>
      </x:c>
      <x:c r="K690" s="42" t="n">
        <x:v>-0.00023284796312573436</x:v>
      </x:c>
      <x:c r="L690" s="26" t="n">
        <x:v>297</x:v>
      </x:c>
      <x:c r="M690" s="26" t="n">
        <x:v>334</x:v>
      </x:c>
      <x:c r="N690" s="26" t="n">
        <x:v>369</x:v>
      </x:c>
    </x:row>
    <x:row r="691">
      <x:c r="A691" s="20" t="str">
        <x:v>T1_SHARED_CATCHMENT</x:v>
      </x:c>
      <x:c r="B691" s="20" t="str">
        <x:v>NYC-V2-R03</x:v>
      </x:c>
      <x:c r="C691" s="20" t="str">
        <x:v>V2</x:v>
      </x:c>
      <x:c r="D691" s="20" t="str">
        <x:v>acs_population</x:v>
      </x:c>
      <x:c r="E691" s="20" t="str">
        <x:v>population</x:v>
      </x:c>
      <x:c r="F691" s="50" t="n">
        <x:v>38764</x:v>
      </x:c>
      <x:c r="G691" s="50" t="n">
        <x:v>1372.3163629425976</x:v>
      </x:c>
      <x:c r="H691" s="50" t="n">
        <x:v>39421.193</x:v>
      </x:c>
      <x:c r="I691" s="50" t="n">
        <x:v>1147.1370786563516</x:v>
      </x:c>
      <x:c r="J691" s="42" t="n">
        <x:v>0.8359129932667975</x:v>
      </x:c>
      <x:c r="K691" s="42" t="n">
        <x:v>0.47889321860945333</x:v>
      </x:c>
      <x:c r="L691" s="26" t="n">
        <x:v>37518</x:v>
      </x:c>
      <x:c r="M691" s="26" t="n">
        <x:v>39432</x:v>
      </x:c>
      <x:c r="N691" s="26" t="n">
        <x:v>41346</x:v>
      </x:c>
    </x:row>
    <x:row r="692">
      <x:c r="A692" s="20" t="str">
        <x:v>T1_SHARED_CATCHMENT</x:v>
      </x:c>
      <x:c r="B692" s="20" t="str">
        <x:v>NYC-V2-R03</x:v>
      </x:c>
      <x:c r="C692" s="20" t="str">
        <x:v>V2</x:v>
      </x:c>
      <x:c r="D692" s="20" t="str">
        <x:v>age_under_18</x:v>
      </x:c>
      <x:c r="E692" s="20" t="str">
        <x:v>population</x:v>
      </x:c>
      <x:c r="F692" s="50" t="n">
        <x:v>7977</x:v>
      </x:c>
      <x:c r="G692" s="50" t="n">
        <x:v>702.6615116825454</x:v>
      </x:c>
      <x:c r="H692" s="50" t="n">
        <x:v>7976.639</x:v>
      </x:c>
      <x:c r="I692" s="50" t="n">
        <x:v>700.9078059427155</x:v>
      </x:c>
      <x:c r="J692" s="42" t="n">
        <x:v>0.9975041955327386</x:v>
      </x:c>
      <x:c r="K692" s="42" t="n">
        <x:v>-0.0005137608848611194</x:v>
      </x:c>
      <x:c r="L692" s="26" t="n">
        <x:v>6842</x:v>
      </x:c>
      <x:c r="M692" s="26" t="n">
        <x:v>8003</x:v>
      </x:c>
      <x:c r="N692" s="26" t="n">
        <x:v>9130</x:v>
      </x:c>
    </x:row>
    <x:row r="693">
      <x:c r="A693" s="20" t="str">
        <x:v>T1_SHARED_CATCHMENT</x:v>
      </x:c>
      <x:c r="B693" s="20" t="str">
        <x:v>NYC-V2-R03</x:v>
      </x:c>
      <x:c r="C693" s="20" t="str">
        <x:v>V2</x:v>
      </x:c>
      <x:c r="D693" s="20" t="str">
        <x:v>age_65_plus</x:v>
      </x:c>
      <x:c r="E693" s="20" t="str">
        <x:v>population</x:v>
      </x:c>
      <x:c r="F693" s="50" t="n">
        <x:v>4703</x:v>
      </x:c>
      <x:c r="G693" s="50" t="n">
        <x:v>311.46685216889455</x:v>
      </x:c>
      <x:c r="H693" s="50" t="n">
        <x:v>4703.494</x:v>
      </x:c>
      <x:c r="I693" s="50" t="n">
        <x:v>311.0914461245308</x:v>
      </x:c>
      <x:c r="J693" s="42" t="n">
        <x:v>0.9987947159007464</x:v>
      </x:c>
      <x:c r="K693" s="42" t="n">
        <x:v>0.0015860435759366554</x:v>
      </x:c>
      <x:c r="L693" s="26" t="n">
        <x:v>4188</x:v>
      </x:c>
      <x:c r="M693" s="26" t="n">
        <x:v>4703</x:v>
      </x:c>
      <x:c r="N693" s="26" t="n">
        <x:v>5214</x:v>
      </x:c>
    </x:row>
    <x:row r="694">
      <x:c r="A694" s="20" t="str">
        <x:v>T1_SHARED_CATCHMENT</x:v>
      </x:c>
      <x:c r="B694" s="20" t="str">
        <x:v>NYC-V2-R03</x:v>
      </x:c>
      <x:c r="C694" s="20" t="str">
        <x:v>V2</x:v>
      </x:c>
      <x:c r="D694" s="20" t="str">
        <x:v>age_75_plus</x:v>
      </x:c>
      <x:c r="E694" s="20" t="str">
        <x:v>population</x:v>
      </x:c>
      <x:c r="F694" s="50" t="n">
        <x:v>1719</x:v>
      </x:c>
      <x:c r="G694" s="50" t="n">
        <x:v>207.76501149134808</x:v>
      </x:c>
      <x:c r="H694" s="50" t="n">
        <x:v>1719.044</x:v>
      </x:c>
      <x:c r="I694" s="50" t="n">
        <x:v>204.7075358633366</x:v>
      </x:c>
      <x:c r="J694" s="42" t="n">
        <x:v>0.985283972474168</x:v>
      </x:c>
      <x:c r="K694" s="42" t="n">
        <x:v>0.0002117777179336507</x:v>
      </x:c>
      <x:c r="L694" s="26" t="n">
        <x:v>1381</x:v>
      </x:c>
      <x:c r="M694" s="26" t="n">
        <x:v>1719</x:v>
      </x:c>
      <x:c r="N694" s="26" t="n">
        <x:v>2069</x:v>
      </x:c>
    </x:row>
    <x:row r="695">
      <x:c r="A695" s="20" t="str">
        <x:v>T1_SHARED_CATCHMENT</x:v>
      </x:c>
      <x:c r="B695" s="20" t="str">
        <x:v>NYC-V2-R03</x:v>
      </x:c>
      <x:c r="C695" s="20" t="str">
        <x:v>V2</x:v>
      </x:c>
      <x:c r="D695" s="20" t="str">
        <x:v>age_85_plus</x:v>
      </x:c>
      <x:c r="E695" s="20" t="str">
        <x:v>population</x:v>
      </x:c>
      <x:c r="F695" s="50" t="n">
        <x:v>558</x:v>
      </x:c>
      <x:c r="G695" s="50" t="n">
        <x:v>119.77645845490675</x:v>
      </x:c>
      <x:c r="H695" s="50" t="n">
        <x:v>557.998</x:v>
      </x:c>
      <x:c r="I695" s="50" t="n">
        <x:v>119.87598695421968</x:v>
      </x:c>
      <x:c r="J695" s="42" t="n">
        <x:v>1.0008309520969048</x:v>
      </x:c>
      <x:c r="K695" s="42" t="n">
        <x:v>-0.000016697772047632076</x:v>
      </x:c>
      <x:c r="L695" s="26" t="n">
        <x:v>351</x:v>
      </x:c>
      <x:c r="M695" s="26" t="n">
        <x:v>564</x:v>
      </x:c>
      <x:c r="N695" s="26" t="n">
        <x:v>746</x:v>
      </x:c>
    </x:row>
    <x:row r="696">
      <x:c r="A696" s="20" t="str">
        <x:v>T1_SHARED_CATCHMENT</x:v>
      </x:c>
      <x:c r="B696" s="20" t="str">
        <x:v>NYC-V2-R03</x:v>
      </x:c>
      <x:c r="C696" s="20" t="str">
        <x:v>V2</x:v>
      </x:c>
      <x:c r="D696" s="20" t="str">
        <x:v>civilian_noninstitutionalized</x:v>
      </x:c>
      <x:c r="E696" s="20" t="str">
        <x:v>disability</x:v>
      </x:c>
      <x:c r="F696" s="50" t="n">
        <x:v>38606</x:v>
      </x:c>
      <x:c r="G696" s="50" t="n">
        <x:v>1370.8796263713311</x:v>
      </x:c>
      <x:c r="H696" s="50" t="n">
        <x:v>38604.855</x:v>
      </x:c>
      <x:c r="I696" s="50" t="n">
        <x:v>1367.6085211207344</x:v>
      </x:c>
      <x:c r="J696" s="42" t="n">
        <x:v>0.9976138639836268</x:v>
      </x:c>
      <x:c r="K696" s="42" t="n">
        <x:v>-0.0008352301529402492</x:v>
      </x:c>
      <x:c r="L696" s="26" t="n">
        <x:v>36289</x:v>
      </x:c>
      <x:c r="M696" s="26" t="n">
        <x:v>38653</x:v>
      </x:c>
      <x:c r="N696" s="26" t="n">
        <x:v>40727</x:v>
      </x:c>
    </x:row>
    <x:row r="697">
      <x:c r="A697" s="20" t="str">
        <x:v>T1_SHARED_CATCHMENT</x:v>
      </x:c>
      <x:c r="B697" s="20" t="str">
        <x:v>NYC-V2-R03</x:v>
      </x:c>
      <x:c r="C697" s="20" t="str">
        <x:v>V2</x:v>
      </x:c>
      <x:c r="D697" s="20" t="str">
        <x:v>any_disability</x:v>
      </x:c>
      <x:c r="E697" s="20" t="str">
        <x:v>disability</x:v>
      </x:c>
      <x:c r="F697" s="50" t="n">
        <x:v>4799</x:v>
      </x:c>
      <x:c r="G697" s="50" t="n">
        <x:v>368.2411573955307</x:v>
      </x:c>
      <x:c r="H697" s="50" t="n">
        <x:v>4798.722</x:v>
      </x:c>
      <x:c r="I697" s="50" t="n">
        <x:v>411.4272172220393</x:v>
      </x:c>
      <x:c r="J697" s="42" t="n">
        <x:v>1.1172765698759797</x:v>
      </x:c>
      <x:c r="K697" s="42" t="n">
        <x:v>-0.000754940056039541</x:v>
      </x:c>
      <x:c r="L697" s="26" t="n">
        <x:v>4085</x:v>
      </x:c>
      <x:c r="M697" s="26" t="n">
        <x:v>4801</x:v>
      </x:c>
      <x:c r="N697" s="26" t="n">
        <x:v>5454</x:v>
      </x:c>
    </x:row>
    <x:row r="698">
      <x:c r="A698" s="20" t="str">
        <x:v>T1_SHARED_CATCHMENT</x:v>
      </x:c>
      <x:c r="B698" s="20" t="str">
        <x:v>NYC-V2-R03</x:v>
      </x:c>
      <x:c r="C698" s="20" t="str">
        <x:v>V2</x:v>
      </x:c>
      <x:c r="D698" s="20" t="str">
        <x:v>disability_under_18</x:v>
      </x:c>
      <x:c r="E698" s="20" t="str">
        <x:v>disability</x:v>
      </x:c>
      <x:c r="F698" s="50" t="n">
        <x:v>363</x:v>
      </x:c>
      <x:c r="G698" s="50" t="n">
        <x:v>137.37667196434774</x:v>
      </x:c>
      <x:c r="H698" s="50" t="n">
        <x:v>362.9</x:v>
      </x:c>
      <x:c r="I698" s="50" t="n">
        <x:v>136.02569238562614</x:v>
      </x:c>
      <x:c r="J698" s="42" t="n">
        <x:v>0.9901658734383069</x:v>
      </x:c>
      <x:c r="K698" s="42" t="n">
        <x:v>-0.0007279256264555232</x:v>
      </x:c>
      <x:c r="L698" s="26" t="n">
        <x:v>138</x:v>
      </x:c>
      <x:c r="M698" s="26" t="n">
        <x:v>366</x:v>
      </x:c>
      <x:c r="N698" s="26" t="n">
        <x:v>580</x:v>
      </x:c>
    </x:row>
    <x:row r="699">
      <x:c r="A699" s="20" t="str">
        <x:v>T1_SHARED_CATCHMENT</x:v>
      </x:c>
      <x:c r="B699" s="20" t="str">
        <x:v>NYC-V2-R03</x:v>
      </x:c>
      <x:c r="C699" s="20" t="str">
        <x:v>V2</x:v>
      </x:c>
      <x:c r="D699" s="20" t="str">
        <x:v>disability_18_64</x:v>
      </x:c>
      <x:c r="E699" s="20" t="str">
        <x:v>disability</x:v>
      </x:c>
      <x:c r="F699" s="50" t="n">
        <x:v>2617</x:v>
      </x:c>
      <x:c r="G699" s="50" t="n">
        <x:v>263.2219595702456</x:v>
      </x:c>
      <x:c r="H699" s="50" t="n">
        <x:v>2616.942</x:v>
      </x:c>
      <x:c r="I699" s="50" t="n">
        <x:v>265.4833969762894</x:v>
      </x:c>
      <x:c r="J699" s="42" t="n">
        <x:v>1.0085913706050056</x:v>
      </x:c>
      <x:c r="K699" s="42" t="n">
        <x:v>-0.00022034635747977693</x:v>
      </x:c>
      <x:c r="L699" s="26" t="n">
        <x:v>2188</x:v>
      </x:c>
      <x:c r="M699" s="26" t="n">
        <x:v>2630</x:v>
      </x:c>
      <x:c r="N699" s="26" t="n">
        <x:v>3019</x:v>
      </x:c>
    </x:row>
    <x:row r="700">
      <x:c r="A700" s="20" t="str">
        <x:v>T1_SHARED_CATCHMENT</x:v>
      </x:c>
      <x:c r="B700" s="20" t="str">
        <x:v>NYC-V2-R03</x:v>
      </x:c>
      <x:c r="C700" s="20" t="str">
        <x:v>V2</x:v>
      </x:c>
      <x:c r="D700" s="20" t="str">
        <x:v>disability_65_plus</x:v>
      </x:c>
      <x:c r="E700" s="20" t="str">
        <x:v>disability</x:v>
      </x:c>
      <x:c r="F700" s="50" t="n">
        <x:v>1819</x:v>
      </x:c>
      <x:c r="G700" s="50" t="n">
        <x:v>212.02028204867574</x:v>
      </x:c>
      <x:c r="H700" s="50" t="n">
        <x:v>1818.88</x:v>
      </x:c>
      <x:c r="I700" s="50" t="n">
        <x:v>210.2339028175377</x:v>
      </x:c>
      <x:c r="J700" s="42" t="n">
        <x:v>0.9915744889409782</x:v>
      </x:c>
      <x:c r="K700" s="42" t="n">
        <x:v>-0.0005659835881754991</x:v>
      </x:c>
      <x:c r="L700" s="26" t="n">
        <x:v>1485</x:v>
      </x:c>
      <x:c r="M700" s="26" t="n">
        <x:v>1815</x:v>
      </x:c>
      <x:c r="N700" s="26" t="n">
        <x:v>2168</x:v>
      </x:c>
    </x:row>
    <x:row r="701">
      <x:c r="A701" s="20" t="str">
        <x:v>T1_SHARED_CATCHMENT</x:v>
      </x:c>
      <x:c r="B701" s="20" t="str">
        <x:v>NYC-V2-R03</x:v>
      </x:c>
      <x:c r="C701" s="20" t="str">
        <x:v>V2</x:v>
      </x:c>
      <x:c r="D701" s="20" t="str">
        <x:v>hearing_difficulty</x:v>
      </x:c>
      <x:c r="E701" s="20" t="str">
        <x:v>disability</x:v>
      </x:c>
      <x:c r="F701" s="50" t="n">
        <x:v>590</x:v>
      </x:c>
      <x:c r="G701" s="50" t="n">
        <x:v>166.00976718490733</x:v>
      </x:c>
      <x:c r="H701" s="50" t="n">
        <x:v>589.909</x:v>
      </x:c>
      <x:c r="I701" s="50" t="n">
        <x:v>167.84739338597566</x:v>
      </x:c>
      <x:c r="J701" s="42" t="n">
        <x:v>1.0110693860501685</x:v>
      </x:c>
      <x:c r="K701" s="42" t="n">
        <x:v>-0.0005481605181618578</x:v>
      </x:c>
      <x:c r="L701" s="26" t="n">
        <x:v>312</x:v>
      </x:c>
      <x:c r="M701" s="26" t="n">
        <x:v>585</x:v>
      </x:c>
      <x:c r="N701" s="26" t="n">
        <x:v>874</x:v>
      </x:c>
    </x:row>
    <x:row r="702">
      <x:c r="A702" s="20" t="str">
        <x:v>T1_SHARED_CATCHMENT</x:v>
      </x:c>
      <x:c r="B702" s="20" t="str">
        <x:v>NYC-V2-R03</x:v>
      </x:c>
      <x:c r="C702" s="20" t="str">
        <x:v>V2</x:v>
      </x:c>
      <x:c r="D702" s="20" t="str">
        <x:v>vision_difficulty</x:v>
      </x:c>
      <x:c r="E702" s="20" t="str">
        <x:v>disability</x:v>
      </x:c>
      <x:c r="F702" s="50" t="n">
        <x:v>1163</x:v>
      </x:c>
      <x:c r="G702" s="50" t="n">
        <x:v>203.67917005083936</x:v>
      </x:c>
      <x:c r="H702" s="50" t="n">
        <x:v>1162.897</x:v>
      </x:c>
      <x:c r="I702" s="50" t="n">
        <x:v>200.77548452484479</x:v>
      </x:c>
      <x:c r="J702" s="42" t="n">
        <x:v>0.985743826797459</x:v>
      </x:c>
      <x:c r="K702" s="42" t="n">
        <x:v>-0.0005056972687700768</x:v>
      </x:c>
      <x:c r="L702" s="26" t="n">
        <x:v>853</x:v>
      </x:c>
      <x:c r="M702" s="26" t="n">
        <x:v>1161</x:v>
      </x:c>
      <x:c r="N702" s="26" t="n">
        <x:v>1498</x:v>
      </x:c>
    </x:row>
    <x:row r="703">
      <x:c r="A703" s="20" t="str">
        <x:v>T1_SHARED_CATCHMENT</x:v>
      </x:c>
      <x:c r="B703" s="20" t="str">
        <x:v>NYC-V2-R03</x:v>
      </x:c>
      <x:c r="C703" s="20" t="str">
        <x:v>V2</x:v>
      </x:c>
      <x:c r="D703" s="20" t="str">
        <x:v>cognitive_difficulty</x:v>
      </x:c>
      <x:c r="E703" s="20" t="str">
        <x:v>disability</x:v>
      </x:c>
      <x:c r="F703" s="50" t="n">
        <x:v>1801</x:v>
      </x:c>
      <x:c r="G703" s="50" t="n">
        <x:v>226.2125254884308</x:v>
      </x:c>
      <x:c r="H703" s="50" t="n">
        <x:v>1800.959</x:v>
      </x:c>
      <x:c r="I703" s="50" t="n">
        <x:v>225.6751394983231</x:v>
      </x:c>
      <x:c r="J703" s="42" t="n">
        <x:v>0.997624419828445</x:v>
      </x:c>
      <x:c r="K703" s="42" t="n">
        <x:v>-0.00018124548988352477</x:v>
      </x:c>
      <x:c r="L703" s="26" t="n">
        <x:v>1434</x:v>
      </x:c>
      <x:c r="M703" s="26" t="n">
        <x:v>1801</x:v>
      </x:c>
      <x:c r="N703" s="26" t="n">
        <x:v>2178</x:v>
      </x:c>
    </x:row>
    <x:row r="704">
      <x:c r="A704" s="20" t="str">
        <x:v>T1_SHARED_CATCHMENT</x:v>
      </x:c>
      <x:c r="B704" s="20" t="str">
        <x:v>NYC-V2-R03</x:v>
      </x:c>
      <x:c r="C704" s="20" t="str">
        <x:v>V2</x:v>
      </x:c>
      <x:c r="D704" s="20" t="str">
        <x:v>ambulatory_difficulty</x:v>
      </x:c>
      <x:c r="E704" s="20" t="str">
        <x:v>disability</x:v>
      </x:c>
      <x:c r="F704" s="50" t="n">
        <x:v>2820</x:v>
      </x:c>
      <x:c r="G704" s="50" t="n">
        <x:v>289.0806021413726</x:v>
      </x:c>
      <x:c r="H704" s="50" t="n">
        <x:v>2820.028</x:v>
      </x:c>
      <x:c r="I704" s="50" t="n">
        <x:v>291.216122572302</x:v>
      </x:c>
      <x:c r="J704" s="42" t="n">
        <x:v>1.0073872837371671</x:v>
      </x:c>
      <x:c r="K704" s="42" t="n">
        <x:v>0.00009685879921510423</x:v>
      </x:c>
      <x:c r="L704" s="26" t="n">
        <x:v>2353</x:v>
      </x:c>
      <x:c r="M704" s="26" t="n">
        <x:v>2814</x:v>
      </x:c>
      <x:c r="N704" s="26" t="n">
        <x:v>3310</x:v>
      </x:c>
    </x:row>
    <x:row r="705">
      <x:c r="A705" s="20" t="str">
        <x:v>T1_SHARED_CATCHMENT</x:v>
      </x:c>
      <x:c r="B705" s="20" t="str">
        <x:v>NYC-V2-R03</x:v>
      </x:c>
      <x:c r="C705" s="20" t="str">
        <x:v>V2</x:v>
      </x:c>
      <x:c r="D705" s="20" t="str">
        <x:v>self_care_difficulty</x:v>
      </x:c>
      <x:c r="E705" s="20" t="str">
        <x:v>disability</x:v>
      </x:c>
      <x:c r="F705" s="50" t="n">
        <x:v>931</x:v>
      </x:c>
      <x:c r="G705" s="50" t="n">
        <x:v>178.47303762899713</x:v>
      </x:c>
      <x:c r="H705" s="50" t="n">
        <x:v>931.059</x:v>
      </x:c>
      <x:c r="I705" s="50" t="n">
        <x:v>179.52184717357554</x:v>
      </x:c>
      <x:c r="J705" s="42" t="n">
        <x:v>1.0058765713774571</x:v>
      </x:c>
      <x:c r="K705" s="42" t="n">
        <x:v>0.0003305821472183154</x:v>
      </x:c>
      <x:c r="L705" s="26" t="n">
        <x:v>650</x:v>
      </x:c>
      <x:c r="M705" s="26" t="n">
        <x:v>931</x:v>
      </x:c>
      <x:c r="N705" s="26" t="n">
        <x:v>1227</x:v>
      </x:c>
    </x:row>
    <x:row r="706">
      <x:c r="A706" s="20" t="str">
        <x:v>T1_SHARED_CATCHMENT</x:v>
      </x:c>
      <x:c r="B706" s="20" t="str">
        <x:v>NYC-V2-R03</x:v>
      </x:c>
      <x:c r="C706" s="20" t="str">
        <x:v>V2</x:v>
      </x:c>
      <x:c r="D706" s="20" t="str">
        <x:v>independent_living_difficulty</x:v>
      </x:c>
      <x:c r="E706" s="20" t="str">
        <x:v>disability</x:v>
      </x:c>
      <x:c r="F706" s="50" t="n">
        <x:v>1682</x:v>
      </x:c>
      <x:c r="G706" s="50" t="n">
        <x:v>217.07746201256452</x:v>
      </x:c>
      <x:c r="H706" s="50" t="n">
        <x:v>1682.015</x:v>
      </x:c>
      <x:c r="I706" s="50" t="n">
        <x:v>215.99329127747666</x:v>
      </x:c>
      <x:c r="J706" s="42" t="n">
        <x:v>0.9950056043357227</x:v>
      </x:c>
      <x:c r="K706" s="42" t="n">
        <x:v>0.00006909975757516383</x:v>
      </x:c>
      <x:c r="L706" s="26" t="n">
        <x:v>1327</x:v>
      </x:c>
      <x:c r="M706" s="26" t="n">
        <x:v>1672</x:v>
      </x:c>
      <x:c r="N706" s="26" t="n">
        <x:v>2034</x:v>
      </x:c>
    </x:row>
    <x:row r="707">
      <x:c r="A707" s="20" t="str">
        <x:v>T1_SHARED_CATCHMENT</x:v>
      </x:c>
      <x:c r="B707" s="20" t="str">
        <x:v>NYC-V2-R03</x:v>
      </x:c>
      <x:c r="C707" s="20" t="str">
        <x:v>V2</x:v>
      </x:c>
      <x:c r="D707" s="20" t="str">
        <x:v>households</x:v>
      </x:c>
      <x:c r="E707" s="20" t="str">
        <x:v>household</x:v>
      </x:c>
      <x:c r="F707" s="50" t="n">
        <x:v>15397</x:v>
      </x:c>
      <x:c r="G707" s="50" t="n">
        <x:v>332.22033351376916</x:v>
      </x:c>
      <x:c r="H707" s="50" t="n">
        <x:v>15398.568</x:v>
      </x:c>
      <x:c r="I707" s="50" t="n">
        <x:v>311.42618651238314</x:v>
      </x:c>
      <x:c r="J707" s="42" t="n">
        <x:v>0.937408566232373</x:v>
      </x:c>
      <x:c r="K707" s="42" t="n">
        <x:v>0.004719759273657807</x:v>
      </x:c>
      <x:c r="L707" s="26" t="n">
        <x:v>14900</x:v>
      </x:c>
      <x:c r="M707" s="26" t="n">
        <x:v>15397</x:v>
      </x:c>
      <x:c r="N707" s="26" t="n">
        <x:v>15923</x:v>
      </x:c>
    </x:row>
    <x:row r="708">
      <x:c r="A708" s="20" t="str">
        <x:v>T1_SHARED_CATCHMENT</x:v>
      </x:c>
      <x:c r="B708" s="20" t="str">
        <x:v>NYC-V2-R03</x:v>
      </x:c>
      <x:c r="C708" s="20" t="str">
        <x:v>V2</x:v>
      </x:c>
      <x:c r="D708" s="20" t="str">
        <x:v>family_households</x:v>
      </x:c>
      <x:c r="E708" s="20" t="str">
        <x:v>household</x:v>
      </x:c>
      <x:c r="F708" s="50" t="n">
        <x:v>7836</x:v>
      </x:c>
      <x:c r="G708" s="50" t="n">
        <x:v>353.01593448454986</x:v>
      </x:c>
      <x:c r="H708" s="50" t="n">
        <x:v>7837.586</x:v>
      </x:c>
      <x:c r="I708" s="50" t="n">
        <x:v>410.02359926711046</x:v>
      </x:c>
      <x:c r="J708" s="42" t="n">
        <x:v>1.161487511507942</x:v>
      </x:c>
      <x:c r="K708" s="42" t="n">
        <x:v>0.004492715045047501</x:v>
      </x:c>
      <x:c r="L708" s="26" t="n">
        <x:v>7184</x:v>
      </x:c>
      <x:c r="M708" s="26" t="n">
        <x:v>7835</x:v>
      </x:c>
      <x:c r="N708" s="26" t="n">
        <x:v>8482</x:v>
      </x:c>
    </x:row>
    <x:row r="709">
      <x:c r="A709" s="20" t="str">
        <x:v>T1_SHARED_CATCHMENT</x:v>
      </x:c>
      <x:c r="B709" s="20" t="str">
        <x:v>NYC-V2-R03</x:v>
      </x:c>
      <x:c r="C709" s="20" t="str">
        <x:v>V2</x:v>
      </x:c>
      <x:c r="D709" s="20" t="str">
        <x:v>nonfamily_households</x:v>
      </x:c>
      <x:c r="E709" s="20" t="str">
        <x:v>household</x:v>
      </x:c>
      <x:c r="F709" s="50" t="n">
        <x:v>7561</x:v>
      </x:c>
      <x:c r="G709" s="50" t="n">
        <x:v>300.52304404155103</x:v>
      </x:c>
      <x:c r="H709" s="50" t="n">
        <x:v>7560.982</x:v>
      </x:c>
      <x:c r="I709" s="50" t="n">
        <x:v>298.19717844613024</x:v>
      </x:c>
      <x:c r="J709" s="42" t="n">
        <x:v>0.9922606081578915</x:v>
      </x:c>
      <x:c r="K709" s="42" t="n">
        <x:v>-0.00005989557325773787</x:v>
      </x:c>
      <x:c r="L709" s="26" t="n">
        <x:v>7081</x:v>
      </x:c>
      <x:c r="M709" s="26" t="n">
        <x:v>7564</x:v>
      </x:c>
      <x:c r="N709" s="26" t="n">
        <x:v>8050</x:v>
      </x:c>
    </x:row>
    <x:row r="710">
      <x:c r="A710" s="20" t="str">
        <x:v>T1_SHARED_CATCHMENT</x:v>
      </x:c>
      <x:c r="B710" s="20" t="str">
        <x:v>NYC-V2-R03</x:v>
      </x:c>
      <x:c r="C710" s="20" t="str">
        <x:v>V2</x:v>
      </x:c>
      <x:c r="D710" s="20" t="str">
        <x:v>living_alone_households</x:v>
      </x:c>
      <x:c r="E710" s="20" t="str">
        <x:v>household</x:v>
      </x:c>
      <x:c r="F710" s="50" t="n">
        <x:v>4933</x:v>
      </x:c>
      <x:c r="G710" s="50" t="n">
        <x:v>322.9971362102147</x:v>
      </x:c>
      <x:c r="H710" s="50" t="n">
        <x:v>4932.96</x:v>
      </x:c>
      <x:c r="I710" s="50" t="n">
        <x:v>325.0103169225649</x:v>
      </x:c>
      <x:c r="J710" s="42" t="n">
        <x:v>1.0062328128848796</x:v>
      </x:c>
      <x:c r="K710" s="42" t="n">
        <x:v>-0.00012384010728172713</x:v>
      </x:c>
      <x:c r="L710" s="26" t="n">
        <x:v>4410</x:v>
      </x:c>
      <x:c r="M710" s="26" t="n">
        <x:v>4927</x:v>
      </x:c>
      <x:c r="N710" s="26" t="n">
        <x:v>5457</x:v>
      </x:c>
    </x:row>
    <x:row r="711">
      <x:c r="A711" s="20" t="str">
        <x:v>T1_SHARED_CATCHMENT</x:v>
      </x:c>
      <x:c r="B711" s="20" t="str">
        <x:v>NYC-V2-R03</x:v>
      </x:c>
      <x:c r="C711" s="20" t="str">
        <x:v>V2</x:v>
      </x:c>
      <x:c r="D711" s="20" t="str">
        <x:v>households_with_children</x:v>
      </x:c>
      <x:c r="E711" s="20" t="str">
        <x:v>household</x:v>
      </x:c>
      <x:c r="F711" s="50" t="n">
        <x:v>4145</x:v>
      </x:c>
      <x:c r="G711" s="50" t="n">
        <x:v>321.27005773959087</x:v>
      </x:c>
      <x:c r="H711" s="50" t="n">
        <x:v>4144.974</x:v>
      </x:c>
      <x:c r="I711" s="50" t="n">
        <x:v>328.7859722365593</x:v>
      </x:c>
      <x:c r="J711" s="42" t="n">
        <x:v>1.023394382127763</x:v>
      </x:c>
      <x:c r="K711" s="42" t="n">
        <x:v>-0.00008092879922508846</x:v>
      </x:c>
      <x:c r="L711" s="26" t="n">
        <x:v>3620</x:v>
      </x:c>
      <x:c r="M711" s="26" t="n">
        <x:v>4140</x:v>
      </x:c>
      <x:c r="N711" s="26" t="n">
        <x:v>4667</x:v>
      </x:c>
    </x:row>
    <x:row r="712">
      <x:c r="A712" s="20" t="str">
        <x:v>T1_SHARED_CATCHMENT</x:v>
      </x:c>
      <x:c r="B712" s="20" t="str">
        <x:v>NYC-V2-R03</x:v>
      </x:c>
      <x:c r="C712" s="20" t="str">
        <x:v>V2</x:v>
      </x:c>
      <x:c r="D712" s="20" t="str">
        <x:v>households_with_age65</x:v>
      </x:c>
      <x:c r="E712" s="20" t="str">
        <x:v>household</x:v>
      </x:c>
      <x:c r="F712" s="50" t="n">
        <x:v>3626</x:v>
      </x:c>
      <x:c r="G712" s="50" t="n">
        <x:v>217.12922419609941</x:v>
      </x:c>
      <x:c r="H712" s="50" t="n">
        <x:v>3625.916</x:v>
      </x:c>
      <x:c r="I712" s="50" t="n">
        <x:v>220.64582825316577</x:v>
      </x:c>
      <x:c r="J712" s="42" t="n">
        <x:v>1.016195903937327</x:v>
      </x:c>
      <x:c r="K712" s="42" t="n">
        <x:v>-0.0003868663940141396</x:v>
      </x:c>
      <x:c r="L712" s="26" t="n">
        <x:v>3250</x:v>
      </x:c>
      <x:c r="M712" s="26" t="n">
        <x:v>3629</x:v>
      </x:c>
      <x:c r="N712" s="26" t="n">
        <x:v>3988</x:v>
      </x:c>
    </x:row>
    <x:row r="713">
      <x:c r="A713" s="20" t="str">
        <x:v>T1_SHARED_CATCHMENT</x:v>
      </x:c>
      <x:c r="B713" s="20" t="str">
        <x:v>NYC-V2-R03</x:v>
      </x:c>
      <x:c r="C713" s="20" t="str">
        <x:v>V2</x:v>
      </x:c>
      <x:c r="D713" s="20" t="str">
        <x:v>age65_one_person_households</x:v>
      </x:c>
      <x:c r="E713" s="20" t="str">
        <x:v>household</x:v>
      </x:c>
      <x:c r="F713" s="50" t="n">
        <x:v>1187</x:v>
      </x:c>
      <x:c r="G713" s="50" t="n">
        <x:v>144.60981986020175</x:v>
      </x:c>
      <x:c r="H713" s="50" t="n">
        <x:v>1186.972</x:v>
      </x:c>
      <x:c r="I713" s="50" t="n">
        <x:v>147.69535244256377</x:v>
      </x:c>
      <x:c r="J713" s="42" t="n">
        <x:v>1.021336950598133</x:v>
      </x:c>
      <x:c r="K713" s="42" t="n">
        <x:v>-0.00019362447188640695</x:v>
      </x:c>
      <x:c r="L713" s="26" t="n">
        <x:v>947</x:v>
      </x:c>
      <x:c r="M713" s="26" t="n">
        <x:v>1190</x:v>
      </x:c>
      <x:c r="N713" s="26" t="n">
        <x:v>1421</x:v>
      </x:c>
    </x:row>
    <x:row r="714">
      <x:c r="A714" s="20" t="str">
        <x:v>T1_SHARED_CATCHMENT</x:v>
      </x:c>
      <x:c r="B714" s="20" t="str">
        <x:v>NYC-V2-R03</x:v>
      </x:c>
      <x:c r="C714" s="20" t="str">
        <x:v>V2</x:v>
      </x:c>
      <x:c r="D714" s="20" t="str">
        <x:v>no_vehicle_households</x:v>
      </x:c>
      <x:c r="E714" s="20" t="str">
        <x:v>household</x:v>
      </x:c>
      <x:c r="F714" s="50" t="n">
        <x:v>8729</x:v>
      </x:c>
      <x:c r="G714" s="50" t="n">
        <x:v>357.2068752039655</x:v>
      </x:c>
      <x:c r="H714" s="50" t="n">
        <x:v>8729.02</x:v>
      </x:c>
      <x:c r="I714" s="50" t="n">
        <x:v>362.27806032520516</x:v>
      </x:c>
      <x:c r="J714" s="42" t="n">
        <x:v>1.0141967735597026</x:v>
      </x:c>
      <x:c r="K714" s="42" t="n">
        <x:v>0.00005598996376824084</x:v>
      </x:c>
      <x:c r="L714" s="26" t="n">
        <x:v>8157</x:v>
      </x:c>
      <x:c r="M714" s="26" t="n">
        <x:v>8727</x:v>
      </x:c>
      <x:c r="N714" s="26" t="n">
        <x:v>9356</x:v>
      </x:c>
    </x:row>
    <x:row r="715">
      <x:c r="A715" s="20" t="str">
        <x:v>T1_SHARED_CATCHMENT</x:v>
      </x:c>
      <x:c r="B715" s="20" t="str">
        <x:v>NYC-V2-R03</x:v>
      </x:c>
      <x:c r="C715" s="20" t="str">
        <x:v>V2</x:v>
      </x:c>
      <x:c r="D715" s="20" t="str">
        <x:v>limited_english_households</x:v>
      </x:c>
      <x:c r="E715" s="20" t="str">
        <x:v>household</x:v>
      </x:c>
      <x:c r="F715" s="50" t="n">
        <x:v>183</x:v>
      </x:c>
      <x:c r="G715" s="50" t="n">
        <x:v>88.41171532011109</x:v>
      </x:c>
      <x:c r="H715" s="50" t="n">
        <x:v>183.875</x:v>
      </x:c>
      <x:c r="I715" s="50" t="n">
        <x:v>86.2823969708018</x:v>
      </x:c>
      <x:c r="J715" s="42" t="n">
        <x:v>0.9759158801342142</x:v>
      </x:c>
      <x:c r="K715" s="42" t="n">
        <x:v>0.009896878449104845</x:v>
      </x:c>
      <x:c r="L715" s="26" t="n">
        <x:v>40</x:v>
      </x:c>
      <x:c r="M715" s="26" t="n">
        <x:v>186</x:v>
      </x:c>
      <x:c r="N715" s="26" t="n">
        <x:v>322</x:v>
      </x:c>
    </x:row>
    <x:row r="716">
      <x:c r="A716" s="20" t="str">
        <x:v>T1_SHARED_CATCHMENT</x:v>
      </x:c>
      <x:c r="B716" s="20" t="str">
        <x:v>NYC-V2-R03</x:v>
      </x:c>
      <x:c r="C716" s="20" t="str">
        <x:v>V2</x:v>
      </x:c>
      <x:c r="D716" s="20" t="str">
        <x:v>housing_units</x:v>
      </x:c>
      <x:c r="E716" s="20" t="str">
        <x:v>housing</x:v>
      </x:c>
      <x:c r="F716" s="50" t="n">
        <x:v>17030</x:v>
      </x:c>
      <x:c r="G716" s="50" t="n">
        <x:v>281.80880043036274</x:v>
      </x:c>
      <x:c r="H716" s="50" t="n">
        <x:v>17031.589</x:v>
      </x:c>
      <x:c r="I716" s="50" t="n">
        <x:v>291.4555067096715</x:v>
      </x:c>
      <x:c r="J716" s="42" t="n">
        <x:v>1.0342313876095313</x:v>
      </x:c>
      <x:c r="K716" s="42" t="n">
        <x:v>0.005638574798137281</x:v>
      </x:c>
      <x:c r="L716" s="26" t="n">
        <x:v>16572</x:v>
      </x:c>
      <x:c r="M716" s="26" t="n">
        <x:v>17025</x:v>
      </x:c>
      <x:c r="N716" s="26" t="n">
        <x:v>17512</x:v>
      </x:c>
    </x:row>
    <x:row r="717">
      <x:c r="A717" s="20" t="str">
        <x:v>T1_SHARED_CATCHMENT</x:v>
      </x:c>
      <x:c r="B717" s="20" t="str">
        <x:v>NYC-V2-R03</x:v>
      </x:c>
      <x:c r="C717" s="20" t="str">
        <x:v>V2</x:v>
      </x:c>
      <x:c r="D717" s="20" t="str">
        <x:v>occupied_housing_units</x:v>
      </x:c>
      <x:c r="E717" s="20" t="str">
        <x:v>housing</x:v>
      </x:c>
      <x:c r="F717" s="50" t="n">
        <x:v>15397</x:v>
      </x:c>
      <x:c r="G717" s="50" t="n">
        <x:v>332.22033351376916</x:v>
      </x:c>
      <x:c r="H717" s="50" t="n">
        <x:v>15398.568</x:v>
      </x:c>
      <x:c r="I717" s="50" t="n">
        <x:v>311.42618651238314</x:v>
      </x:c>
      <x:c r="J717" s="42" t="n">
        <x:v>0.937408566232373</x:v>
      </x:c>
      <x:c r="K717" s="42" t="n">
        <x:v>0.004719759273657807</x:v>
      </x:c>
      <x:c r="L717" s="26" t="n">
        <x:v>14900</x:v>
      </x:c>
      <x:c r="M717" s="26" t="n">
        <x:v>15397</x:v>
      </x:c>
      <x:c r="N717" s="26" t="n">
        <x:v>15923</x:v>
      </x:c>
    </x:row>
    <x:row r="718">
      <x:c r="A718" s="20" t="str">
        <x:v>T1_SHARED_CATCHMENT</x:v>
      </x:c>
      <x:c r="B718" s="20" t="str">
        <x:v>NYC-V2-R03</x:v>
      </x:c>
      <x:c r="C718" s="20" t="str">
        <x:v>V2</x:v>
      </x:c>
      <x:c r="D718" s="20" t="str">
        <x:v>vacant_housing_units</x:v>
      </x:c>
      <x:c r="E718" s="20" t="str">
        <x:v>housing</x:v>
      </x:c>
      <x:c r="F718" s="50" t="n">
        <x:v>1633</x:v>
      </x:c>
      <x:c r="G718" s="50" t="n">
        <x:v>167.9138171801237</x:v>
      </x:c>
      <x:c r="H718" s="50" t="n">
        <x:v>1633.021</x:v>
      </x:c>
      <x:c r="I718" s="50" t="n">
        <x:v>168.9092208373595</x:v>
      </x:c>
      <x:c r="J718" s="42" t="n">
        <x:v>1.0059280628238474</x:v>
      </x:c>
      <x:c r="K718" s="42" t="n">
        <x:v>0.0001250641570337904</x:v>
      </x:c>
      <x:c r="L718" s="26" t="n">
        <x:v>1354</x:v>
      </x:c>
      <x:c r="M718" s="26" t="n">
        <x:v>1632</x:v>
      </x:c>
      <x:c r="N718" s="26" t="n">
        <x:v>1906</x:v>
      </x:c>
    </x:row>
    <x:row r="719">
      <x:c r="A719" s="20" t="str">
        <x:v>T1_SHARED_CATCHMENT</x:v>
      </x:c>
      <x:c r="B719" s="20" t="str">
        <x:v>NYC-V2-R03</x:v>
      </x:c>
      <x:c r="C719" s="20" t="str">
        <x:v>V2</x:v>
      </x:c>
      <x:c r="D719" s="20" t="str">
        <x:v>owner_occupied_units</x:v>
      </x:c>
      <x:c r="E719" s="20" t="str">
        <x:v>housing</x:v>
      </x:c>
      <x:c r="F719" s="50" t="n">
        <x:v>4446</x:v>
      </x:c>
      <x:c r="G719" s="50" t="n">
        <x:v>279.64384815669155</x:v>
      </x:c>
      <x:c r="H719" s="50" t="n">
        <x:v>4445.897</x:v>
      </x:c>
      <x:c r="I719" s="50" t="n">
        <x:v>242.49526664523856</x:v>
      </x:c>
      <x:c r="J719" s="42" t="n">
        <x:v>0.8671575228408468</x:v>
      </x:c>
      <x:c r="K719" s="42" t="n">
        <x:v>-0.00036832564234472973</x:v>
      </x:c>
      <x:c r="L719" s="26" t="n">
        <x:v>4055</x:v>
      </x:c>
      <x:c r="M719" s="26" t="n">
        <x:v>4443</x:v>
      </x:c>
      <x:c r="N719" s="26" t="n">
        <x:v>4852</x:v>
      </x:c>
    </x:row>
    <x:row r="720">
      <x:c r="A720" s="20" t="str">
        <x:v>T1_SHARED_CATCHMENT</x:v>
      </x:c>
      <x:c r="B720" s="20" t="str">
        <x:v>NYC-V2-R03</x:v>
      </x:c>
      <x:c r="C720" s="20" t="str">
        <x:v>V2</x:v>
      </x:c>
      <x:c r="D720" s="20" t="str">
        <x:v>renter_occupied_units</x:v>
      </x:c>
      <x:c r="E720" s="20" t="str">
        <x:v>housing</x:v>
      </x:c>
      <x:c r="F720" s="50" t="n">
        <x:v>10951</x:v>
      </x:c>
      <x:c r="G720" s="50" t="n">
        <x:v>394.6436015113587</x:v>
      </x:c>
      <x:c r="H720" s="50" t="n">
        <x:v>10952.671</x:v>
      </x:c>
      <x:c r="I720" s="50" t="n">
        <x:v>295.07220534195585</x:v>
      </x:c>
      <x:c r="J720" s="42" t="n">
        <x:v>0.7476928656943219</x:v>
      </x:c>
      <x:c r="K720" s="42" t="n">
        <x:v>0.004234200158322297</x:v>
      </x:c>
      <x:c r="L720" s="26" t="n">
        <x:v>10477</x:v>
      </x:c>
      <x:c r="M720" s="26" t="n">
        <x:v>10957</x:v>
      </x:c>
      <x:c r="N720" s="26" t="n">
        <x:v>11445</x:v>
      </x:c>
    </x:row>
    <x:row r="721">
      <x:c r="A721" s="20" t="str">
        <x:v>T1_SHARED_CATCHMENT</x:v>
      </x:c>
      <x:c r="B721" s="20" t="str">
        <x:v>NYC-V2-R03</x:v>
      </x:c>
      <x:c r="C721" s="20" t="str">
        <x:v>V2</x:v>
      </x:c>
      <x:c r="D721" s="20" t="str">
        <x:v>one_unit_structures</x:v>
      </x:c>
      <x:c r="E721" s="20" t="str">
        <x:v>housing</x:v>
      </x:c>
      <x:c r="F721" s="50" t="n">
        <x:v>1672</x:v>
      </x:c>
      <x:c r="G721" s="50" t="n">
        <x:v>215.3280390298036</x:v>
      </x:c>
      <x:c r="H721" s="50" t="n">
        <x:v>1671.932</x:v>
      </x:c>
      <x:c r="I721" s="50" t="n">
        <x:v>191.40628971834687</x:v>
      </x:c>
      <x:c r="J721" s="42" t="n">
        <x:v>0.8889055535022742</x:v>
      </x:c>
      <x:c r="K721" s="42" t="n">
        <x:v>-0.00031579723804837017</x:v>
      </x:c>
      <x:c r="L721" s="26" t="n">
        <x:v>1362</x:v>
      </x:c>
      <x:c r="M721" s="26" t="n">
        <x:v>1670</x:v>
      </x:c>
      <x:c r="N721" s="26" t="n">
        <x:v>1989</x:v>
      </x:c>
    </x:row>
    <x:row r="722">
      <x:c r="A722" s="20" t="str">
        <x:v>T1_SHARED_CATCHMENT</x:v>
      </x:c>
      <x:c r="B722" s="20" t="str">
        <x:v>NYC-V2-R03</x:v>
      </x:c>
      <x:c r="C722" s="20" t="str">
        <x:v>V2</x:v>
      </x:c>
      <x:c r="D722" s="20" t="str">
        <x:v>two_to_four_unit_structures</x:v>
      </x:c>
      <x:c r="E722" s="20" t="str">
        <x:v>housing</x:v>
      </x:c>
      <x:c r="F722" s="50" t="n">
        <x:v>6938</x:v>
      </x:c>
      <x:c r="G722" s="50" t="n">
        <x:v>386.53532607054063</x:v>
      </x:c>
      <x:c r="H722" s="50" t="n">
        <x:v>6917.618</x:v>
      </x:c>
      <x:c r="I722" s="50" t="n">
        <x:v>301.6376125839172</x:v>
      </x:c>
      <x:c r="J722" s="42" t="n">
        <x:v>0.7803623426875864</x:v>
      </x:c>
      <x:c r="K722" s="42" t="n">
        <x:v>-0.05272997996638475</x:v>
      </x:c>
      <x:c r="L722" s="26" t="n">
        <x:v>6434</x:v>
      </x:c>
      <x:c r="M722" s="26" t="n">
        <x:v>6922</x:v>
      </x:c>
      <x:c r="N722" s="26" t="n">
        <x:v>7384</x:v>
      </x:c>
    </x:row>
    <x:row r="723">
      <x:c r="A723" s="20" t="str">
        <x:v>T1_SHARED_CATCHMENT</x:v>
      </x:c>
      <x:c r="B723" s="20" t="str">
        <x:v>NYC-V2-R03</x:v>
      </x:c>
      <x:c r="C723" s="20" t="str">
        <x:v>V2</x:v>
      </x:c>
      <x:c r="D723" s="20" t="str">
        <x:v>five_to_nineteen_unit_structures</x:v>
      </x:c>
      <x:c r="E723" s="20" t="str">
        <x:v>housing</x:v>
      </x:c>
      <x:c r="F723" s="50" t="n">
        <x:v>3263</x:v>
      </x:c>
      <x:c r="G723" s="50" t="n">
        <x:v>294.0238957541901</x:v>
      </x:c>
      <x:c r="H723" s="50" t="n">
        <x:v>3262.72</x:v>
      </x:c>
      <x:c r="I723" s="50" t="n">
        <x:v>251.79483759648494</x:v>
      </x:c>
      <x:c r="J723" s="42" t="n">
        <x:v>0.8563754212922561</x:v>
      </x:c>
      <x:c r="K723" s="42" t="n">
        <x:v>-0.0009523035509817397</x:v>
      </x:c>
      <x:c r="L723" s="26" t="n">
        <x:v>2848</x:v>
      </x:c>
      <x:c r="M723" s="26" t="n">
        <x:v>3255</x:v>
      </x:c>
      <x:c r="N723" s="26" t="n">
        <x:v>3665</x:v>
      </x:c>
    </x:row>
    <x:row r="724">
      <x:c r="A724" s="20" t="str">
        <x:v>T1_SHARED_CATCHMENT</x:v>
      </x:c>
      <x:c r="B724" s="20" t="str">
        <x:v>NYC-V2-R03</x:v>
      </x:c>
      <x:c r="C724" s="20" t="str">
        <x:v>V2</x:v>
      </x:c>
      <x:c r="D724" s="20" t="str">
        <x:v>twenty_to_forty_nine_unit_structures</x:v>
      </x:c>
      <x:c r="E724" s="20" t="str">
        <x:v>housing</x:v>
      </x:c>
      <x:c r="F724" s="50" t="n">
        <x:v>1613</x:v>
      </x:c>
      <x:c r="G724" s="50" t="n">
        <x:v>205.62573992379473</x:v>
      </x:c>
      <x:c r="H724" s="50" t="n">
        <x:v>1612.925</x:v>
      </x:c>
      <x:c r="I724" s="50" t="n">
        <x:v>187.7269847299418</x:v>
      </x:c>
      <x:c r="J724" s="42" t="n">
        <x:v>0.9129546952609812</x:v>
      </x:c>
      <x:c r="K724" s="42" t="n">
        <x:v>-0.0003647403288510505</x:v>
      </x:c>
      <x:c r="L724" s="26" t="n">
        <x:v>1313</x:v>
      </x:c>
      <x:c r="M724" s="26" t="n">
        <x:v>1613</x:v>
      </x:c>
      <x:c r="N724" s="26" t="n">
        <x:v>1923</x:v>
      </x:c>
    </x:row>
    <x:row r="725">
      <x:c r="A725" s="20" t="str">
        <x:v>T1_SHARED_CATCHMENT</x:v>
      </x:c>
      <x:c r="B725" s="20" t="str">
        <x:v>NYC-V2-R03</x:v>
      </x:c>
      <x:c r="C725" s="20" t="str">
        <x:v>V2</x:v>
      </x:c>
      <x:c r="D725" s="20" t="str">
        <x:v>fifty_plus_unit_structures</x:v>
      </x:c>
      <x:c r="E725" s="20" t="str">
        <x:v>housing</x:v>
      </x:c>
      <x:c r="F725" s="50" t="n">
        <x:v>1911</x:v>
      </x:c>
      <x:c r="G725" s="50" t="n">
        <x:v>194.5773115990532</x:v>
      </x:c>
      <x:c r="H725" s="50" t="n">
        <x:v>1910.885</x:v>
      </x:c>
      <x:c r="I725" s="50" t="n">
        <x:v>173.97646273155624</x:v>
      </x:c>
      <x:c r="J725" s="42" t="n">
        <x:v>0.894125123334281</x:v>
      </x:c>
      <x:c r="K725" s="42" t="n">
        <x:v>-0.0005910247143149894</x:v>
      </x:c>
      <x:c r="L725" s="26" t="n">
        <x:v>1622</x:v>
      </x:c>
      <x:c r="M725" s="26" t="n">
        <x:v>1916</x:v>
      </x:c>
      <x:c r="N725" s="26" t="n">
        <x:v>2203</x:v>
      </x:c>
    </x:row>
    <x:row r="726">
      <x:c r="A726" s="20" t="str">
        <x:v>T1_SHARED_CATCHMENT</x:v>
      </x:c>
      <x:c r="B726" s="20" t="str">
        <x:v>NYC-V2-R03</x:v>
      </x:c>
      <x:c r="C726" s="20" t="str">
        <x:v>V2</x:v>
      </x:c>
      <x:c r="D726" s="20" t="str">
        <x:v>mobile_or_other_units</x:v>
      </x:c>
      <x:c r="E726" s="20" t="str">
        <x:v>housing</x:v>
      </x:c>
      <x:c r="F726" s="50" t="n">
        <x:v>0</x:v>
      </x:c>
      <x:c r="G726" s="50" t="n">
        <x:v>56.045862962266796</x:v>
      </x:c>
      <x:c r="H726" s="50" t="n">
        <x:v>22.488</x:v>
      </x:c>
      <x:c r="I726" s="50" t="n">
        <x:v>32.207470828631934</x:v>
      </x:c>
      <x:c r="J726" s="42" t="n">
        <x:v>0.5746627694949724</x:v>
      </x:c>
      <x:c r="K726" s="42" t="n">
        <x:v>0.40124281813878354</x:v>
      </x:c>
      <x:c r="L726" s="26" t="n">
        <x:v>0</x:v>
      </x:c>
      <x:c r="M726" s="26" t="n">
        <x:v>1</x:v>
      </x:c>
      <x:c r="N726" s="26" t="n">
        <x:v>91</x:v>
      </x:c>
    </x:row>
    <x:row r="727">
      <x:c r="A727" s="20" t="str">
        <x:v>T1_SHARED_CATCHMENT</x:v>
      </x:c>
      <x:c r="B727" s="20" t="str">
        <x:v>NYC-V2-R03</x:v>
      </x:c>
      <x:c r="C727" s="20" t="str">
        <x:v>V2</x:v>
      </x:c>
      <x:c r="D727" s="20" t="str">
        <x:v>electric_heat_households</x:v>
      </x:c>
      <x:c r="E727" s="20" t="str">
        <x:v>housing</x:v>
      </x:c>
      <x:c r="F727" s="50" t="n">
        <x:v>2701</x:v>
      </x:c>
      <x:c r="G727" s="50" t="n">
        <x:v>208.2869415013817</x:v>
      </x:c>
      <x:c r="H727" s="50" t="n">
        <x:v>2700.974</x:v>
      </x:c>
      <x:c r="I727" s="50" t="n">
        <x:v>213.16588145624294</x:v>
      </x:c>
      <x:c r="J727" s="42" t="n">
        <x:v>1.0234241278867158</x:v>
      </x:c>
      <x:c r="K727" s="42" t="n">
        <x:v>-0.00012482779675204676</x:v>
      </x:c>
      <x:c r="L727" s="26" t="n">
        <x:v>2346</x:v>
      </x:c>
      <x:c r="M727" s="26" t="n">
        <x:v>2706</x:v>
      </x:c>
      <x:c r="N727" s="26" t="n">
        <x:v>3043</x:v>
      </x:c>
    </x:row>
    <x:row r="728">
      <x:c r="A728" s="20" t="str">
        <x:v>T1_SHARED_CATCHMENT</x:v>
      </x:c>
      <x:c r="B728" s="20" t="str">
        <x:v>NYC-V2-R03</x:v>
      </x:c>
      <x:c r="C728" s="20" t="str">
        <x:v>V2</x:v>
      </x:c>
      <x:c r="D728" s="20" t="str">
        <x:v>group_quarters_population</x:v>
      </x:c>
      <x:c r="E728" s="20" t="str">
        <x:v>population</x:v>
      </x:c>
      <x:c r="F728" s="50" t="n">
        <x:v>561</x:v>
      </x:c>
      <x:c r="G728" s="50" t="n">
        <x:v>12.77106103657797</x:v>
      </x:c>
      <x:c r="H728" s="50" t="n">
        <x:v>560.996</x:v>
      </x:c>
      <x:c r="I728" s="50" t="n">
        <x:v>12.55299014424697</x:v>
      </x:c>
      <x:c r="J728" s="42" t="n">
        <x:v>0.9829246065220095</x:v>
      </x:c>
      <x:c r="K728" s="42" t="n">
        <x:v>-0.00031320811861775477</x:v>
      </x:c>
      <x:c r="L728" s="26" t="n">
        <x:v>540</x:v>
      </x:c>
      <x:c r="M728" s="26" t="n">
        <x:v>561</x:v>
      </x:c>
      <x:c r="N728" s="26" t="n">
        <x:v>581</x:v>
      </x:c>
    </x:row>
    <x:row r="729">
      <x:c r="A729" s="20" t="str">
        <x:v>T1_SHARED_CATCHMENT</x:v>
      </x:c>
      <x:c r="B729" s="20" t="str">
        <x:v>NYC-V2-R04</x:v>
      </x:c>
      <x:c r="C729" s="20" t="str">
        <x:v>V2</x:v>
      </x:c>
      <x:c r="D729" s="20" t="str">
        <x:v>acs_population</x:v>
      </x:c>
      <x:c r="E729" s="20" t="str">
        <x:v>population</x:v>
      </x:c>
      <x:c r="F729" s="50" t="n">
        <x:v>35397</x:v>
      </x:c>
      <x:c r="G729" s="50" t="n">
        <x:v>1482.3410538739051</x:v>
      </x:c>
      <x:c r="H729" s="50" t="n">
        <x:v>35397.761</x:v>
      </x:c>
      <x:c r="I729" s="50" t="n">
        <x:v>1463.6690913892007</x:v>
      </x:c>
      <x:c r="J729" s="42" t="n">
        <x:v>0.9874037338196175</x:v>
      </x:c>
      <x:c r="K729" s="42" t="n">
        <x:v>0.0005133771327521617</x:v>
      </x:c>
      <x:c r="L729" s="26" t="n">
        <x:v>33019</x:v>
      </x:c>
      <x:c r="M729" s="26" t="n">
        <x:v>35353</x:v>
      </x:c>
      <x:c r="N729" s="26" t="n">
        <x:v>37845</x:v>
      </x:c>
    </x:row>
    <x:row r="730">
      <x:c r="A730" s="20" t="str">
        <x:v>T1_SHARED_CATCHMENT</x:v>
      </x:c>
      <x:c r="B730" s="20" t="str">
        <x:v>NYC-V2-R04</x:v>
      </x:c>
      <x:c r="C730" s="20" t="str">
        <x:v>V2</x:v>
      </x:c>
      <x:c r="D730" s="20" t="str">
        <x:v>age_under_18</x:v>
      </x:c>
      <x:c r="E730" s="20" t="str">
        <x:v>population</x:v>
      </x:c>
      <x:c r="F730" s="50" t="n">
        <x:v>9778</x:v>
      </x:c>
      <x:c r="G730" s="50" t="n">
        <x:v>867.2309092738797</x:v>
      </x:c>
      <x:c r="H730" s="50" t="n">
        <x:v>9778.243</x:v>
      </x:c>
      <x:c r="I730" s="50" t="n">
        <x:v>850.2164912732716</x:v>
      </x:c>
      <x:c r="J730" s="42" t="n">
        <x:v>0.9803807523248289</x:v>
      </x:c>
      <x:c r="K730" s="42" t="n">
        <x:v>0.00028020218998404175</x:v>
      </x:c>
      <x:c r="L730" s="26" t="n">
        <x:v>8377</x:v>
      </x:c>
      <x:c r="M730" s="26" t="n">
        <x:v>9749</x:v>
      </x:c>
      <x:c r="N730" s="26" t="n">
        <x:v>11218</x:v>
      </x:c>
    </x:row>
    <x:row r="731">
      <x:c r="A731" s="20" t="str">
        <x:v>T1_SHARED_CATCHMENT</x:v>
      </x:c>
      <x:c r="B731" s="20" t="str">
        <x:v>NYC-V2-R04</x:v>
      </x:c>
      <x:c r="C731" s="20" t="str">
        <x:v>V2</x:v>
      </x:c>
      <x:c r="D731" s="20" t="str">
        <x:v>age_65_plus</x:v>
      </x:c>
      <x:c r="E731" s="20" t="str">
        <x:v>population</x:v>
      </x:c>
      <x:c r="F731" s="50" t="n">
        <x:v>4484</x:v>
      </x:c>
      <x:c r="G731" s="50" t="n">
        <x:v>520.930753555595</x:v>
      </x:c>
      <x:c r="H731" s="50" t="n">
        <x:v>4487.776</x:v>
      </x:c>
      <x:c r="I731" s="50" t="n">
        <x:v>510.42956042940943</x:v>
      </x:c>
      <x:c r="J731" s="42" t="n">
        <x:v>0.9798414797849618</x:v>
      </x:c>
      <x:c r="K731" s="42" t="n">
        <x:v>0.0072485641790715595</x:v>
      </x:c>
      <x:c r="L731" s="26" t="n">
        <x:v>3637</x:v>
      </x:c>
      <x:c r="M731" s="26" t="n">
        <x:v>4497</x:v>
      </x:c>
      <x:c r="N731" s="26" t="n">
        <x:v>5334</x:v>
      </x:c>
    </x:row>
    <x:row r="732">
      <x:c r="A732" s="20" t="str">
        <x:v>T1_SHARED_CATCHMENT</x:v>
      </x:c>
      <x:c r="B732" s="20" t="str">
        <x:v>NYC-V2-R04</x:v>
      </x:c>
      <x:c r="C732" s="20" t="str">
        <x:v>V2</x:v>
      </x:c>
      <x:c r="D732" s="20" t="str">
        <x:v>age_75_plus</x:v>
      </x:c>
      <x:c r="E732" s="20" t="str">
        <x:v>population</x:v>
      </x:c>
      <x:c r="F732" s="50" t="n">
        <x:v>1499</x:v>
      </x:c>
      <x:c r="G732" s="50" t="n">
        <x:v>258.93020295052486</x:v>
      </x:c>
      <x:c r="H732" s="50" t="n">
        <x:v>1499.026</x:v>
      </x:c>
      <x:c r="I732" s="50" t="n">
        <x:v>251.734402761191</x:v>
      </x:c>
      <x:c r="J732" s="42" t="n">
        <x:v>0.9722094985160584</x:v>
      </x:c>
      <x:c r="K732" s="42" t="n">
        <x:v>0.00010041316039533348</x:v>
      </x:c>
      <x:c r="L732" s="26" t="n">
        <x:v>1076</x:v>
      </x:c>
      <x:c r="M732" s="26" t="n">
        <x:v>1505</x:v>
      </x:c>
      <x:c r="N732" s="26" t="n">
        <x:v>1896</x:v>
      </x:c>
    </x:row>
    <x:row r="733">
      <x:c r="A733" s="20" t="str">
        <x:v>T1_SHARED_CATCHMENT</x:v>
      </x:c>
      <x:c r="B733" s="20" t="str">
        <x:v>NYC-V2-R04</x:v>
      </x:c>
      <x:c r="C733" s="20" t="str">
        <x:v>V2</x:v>
      </x:c>
      <x:c r="D733" s="20" t="str">
        <x:v>age_85_plus</x:v>
      </x:c>
      <x:c r="E733" s="20" t="str">
        <x:v>population</x:v>
      </x:c>
      <x:c r="F733" s="50" t="n">
        <x:v>436</x:v>
      </x:c>
      <x:c r="G733" s="50" t="n">
        <x:v>121.58392163440034</x:v>
      </x:c>
      <x:c r="H733" s="50" t="n">
        <x:v>435.974</x:v>
      </x:c>
      <x:c r="I733" s="50" t="n">
        <x:v>121.22389433010538</x:v>
      </x:c>
      <x:c r="J733" s="42" t="n">
        <x:v>0.9970388576099926</x:v>
      </x:c>
      <x:c r="K733" s="42" t="n">
        <x:v>-0.0002138440646633506</x:v>
      </x:c>
      <x:c r="L733" s="26" t="n">
        <x:v>236</x:v>
      </x:c>
      <x:c r="M733" s="26" t="n">
        <x:v>432</x:v>
      </x:c>
      <x:c r="N733" s="26" t="n">
        <x:v>626</x:v>
      </x:c>
    </x:row>
    <x:row r="734">
      <x:c r="A734" s="20" t="str">
        <x:v>T1_SHARED_CATCHMENT</x:v>
      </x:c>
      <x:c r="B734" s="20" t="str">
        <x:v>NYC-V2-R04</x:v>
      </x:c>
      <x:c r="C734" s="20" t="str">
        <x:v>V2</x:v>
      </x:c>
      <x:c r="D734" s="20" t="str">
        <x:v>civilian_noninstitutionalized</x:v>
      </x:c>
      <x:c r="E734" s="20" t="str">
        <x:v>disability</x:v>
      </x:c>
      <x:c r="F734" s="50" t="n">
        <x:v>35165</x:v>
      </x:c>
      <x:c r="G734" s="50" t="n">
        <x:v>1482.7961592882552</x:v>
      </x:c>
      <x:c r="H734" s="50" t="n">
        <x:v>34507.65</x:v>
      </x:c>
      <x:c r="I734" s="50" t="n">
        <x:v>1247.2072455744528</x:v>
      </x:c>
      <x:c r="J734" s="42" t="n">
        <x:v>0.8411184759023888</x:v>
      </x:c>
      <x:c r="K734" s="42" t="n">
        <x:v>-0.4433178464095346</x:v>
      </x:c>
      <x:c r="L734" s="26" t="n">
        <x:v>32467</x:v>
      </x:c>
      <x:c r="M734" s="26" t="n">
        <x:v>34566</x:v>
      </x:c>
      <x:c r="N734" s="26" t="n">
        <x:v>36454</x:v>
      </x:c>
    </x:row>
    <x:row r="735">
      <x:c r="A735" s="20" t="str">
        <x:v>T1_SHARED_CATCHMENT</x:v>
      </x:c>
      <x:c r="B735" s="20" t="str">
        <x:v>NYC-V2-R04</x:v>
      </x:c>
      <x:c r="C735" s="20" t="str">
        <x:v>V2</x:v>
      </x:c>
      <x:c r="D735" s="20" t="str">
        <x:v>any_disability</x:v>
      </x:c>
      <x:c r="E735" s="20" t="str">
        <x:v>disability</x:v>
      </x:c>
      <x:c r="F735" s="50" t="n">
        <x:v>3985</x:v>
      </x:c>
      <x:c r="G735" s="50" t="n">
        <x:v>371.7736542575334</x:v>
      </x:c>
      <x:c r="H735" s="50" t="n">
        <x:v>3984.985</x:v>
      </x:c>
      <x:c r="I735" s="50" t="n">
        <x:v>423.8588504444612</x:v>
      </x:c>
      <x:c r="J735" s="42" t="n">
        <x:v>1.140099212492469</x:v>
      </x:c>
      <x:c r="K735" s="42" t="n">
        <x:v>-0.00004034713011019855</x:v>
      </x:c>
      <x:c r="L735" s="26" t="n">
        <x:v>3290</x:v>
      </x:c>
      <x:c r="M735" s="26" t="n">
        <x:v>3983</x:v>
      </x:c>
      <x:c r="N735" s="26" t="n">
        <x:v>4681</x:v>
      </x:c>
    </x:row>
    <x:row r="736">
      <x:c r="A736" s="20" t="str">
        <x:v>T1_SHARED_CATCHMENT</x:v>
      </x:c>
      <x:c r="B736" s="20" t="str">
        <x:v>NYC-V2-R04</x:v>
      </x:c>
      <x:c r="C736" s="20" t="str">
        <x:v>V2</x:v>
      </x:c>
      <x:c r="D736" s="20" t="str">
        <x:v>disability_under_18</x:v>
      </x:c>
      <x:c r="E736" s="20" t="str">
        <x:v>disability</x:v>
      </x:c>
      <x:c r="F736" s="50" t="n">
        <x:v>460</x:v>
      </x:c>
      <x:c r="G736" s="50" t="n">
        <x:v>117.97330206449254</x:v>
      </x:c>
      <x:c r="H736" s="50" t="n">
        <x:v>459.968</x:v>
      </x:c>
      <x:c r="I736" s="50" t="n">
        <x:v>119.08365922280812</x:v>
      </x:c>
      <x:c r="J736" s="42" t="n">
        <x:v>1.0094119359116402</x:v>
      </x:c>
      <x:c r="K736" s="42" t="n">
        <x:v>-0.0002712478114962723</x:v>
      </x:c>
      <x:c r="L736" s="26" t="n">
        <x:v>257</x:v>
      </x:c>
      <x:c r="M736" s="26" t="n">
        <x:v>456</x:v>
      </x:c>
      <x:c r="N736" s="26" t="n">
        <x:v>656</x:v>
      </x:c>
    </x:row>
    <x:row r="737">
      <x:c r="A737" s="20" t="str">
        <x:v>T1_SHARED_CATCHMENT</x:v>
      </x:c>
      <x:c r="B737" s="20" t="str">
        <x:v>NYC-V2-R04</x:v>
      </x:c>
      <x:c r="C737" s="20" t="str">
        <x:v>V2</x:v>
      </x:c>
      <x:c r="D737" s="20" t="str">
        <x:v>disability_18_64</x:v>
      </x:c>
      <x:c r="E737" s="20" t="str">
        <x:v>disability</x:v>
      </x:c>
      <x:c r="F737" s="50" t="n">
        <x:v>1777</x:v>
      </x:c>
      <x:c r="G737" s="50" t="n">
        <x:v>235.50774934171488</x:v>
      </x:c>
      <x:c r="H737" s="50" t="n">
        <x:v>1777.053</x:v>
      </x:c>
      <x:c r="I737" s="50" t="n">
        <x:v>231.58408273967876</x:v>
      </x:c>
      <x:c r="J737" s="42" t="n">
        <x:v>0.9833395435479153</x:v>
      </x:c>
      <x:c r="K737" s="42" t="n">
        <x:v>0.00022504567322415155</x:v>
      </x:c>
      <x:c r="L737" s="26" t="n">
        <x:v>1369</x:v>
      </x:c>
      <x:c r="M737" s="26" t="n">
        <x:v>1782</x:v>
      </x:c>
      <x:c r="N737" s="26" t="n">
        <x:v>2159</x:v>
      </x:c>
    </x:row>
    <x:row r="738">
      <x:c r="A738" s="20" t="str">
        <x:v>T1_SHARED_CATCHMENT</x:v>
      </x:c>
      <x:c r="B738" s="20" t="str">
        <x:v>NYC-V2-R04</x:v>
      </x:c>
      <x:c r="C738" s="20" t="str">
        <x:v>V2</x:v>
      </x:c>
      <x:c r="D738" s="20" t="str">
        <x:v>disability_65_plus</x:v>
      </x:c>
      <x:c r="E738" s="20" t="str">
        <x:v>disability</x:v>
      </x:c>
      <x:c r="F738" s="50" t="n">
        <x:v>1748</x:v>
      </x:c>
      <x:c r="G738" s="50" t="n">
        <x:v>267.32143572859997</x:v>
      </x:c>
      <x:c r="H738" s="50" t="n">
        <x:v>1747.964</x:v>
      </x:c>
      <x:c r="I738" s="50" t="n">
        <x:v>266.57792574497705</x:v>
      </x:c>
      <x:c r="J738" s="42" t="n">
        <x:v>0.9972186668023968</x:v>
      </x:c>
      <x:c r="K738" s="42" t="n">
        <x:v>-0.00013466933507198228</x:v>
      </x:c>
      <x:c r="L738" s="26" t="n">
        <x:v>1299</x:v>
      </x:c>
      <x:c r="M738" s="26" t="n">
        <x:v>1742</x:v>
      </x:c>
      <x:c r="N738" s="26" t="n">
        <x:v>2196</x:v>
      </x:c>
    </x:row>
    <x:row r="739">
      <x:c r="A739" s="20" t="str">
        <x:v>T1_SHARED_CATCHMENT</x:v>
      </x:c>
      <x:c r="B739" s="20" t="str">
        <x:v>NYC-V2-R04</x:v>
      </x:c>
      <x:c r="C739" s="20" t="str">
        <x:v>V2</x:v>
      </x:c>
      <x:c r="D739" s="20" t="str">
        <x:v>hearing_difficulty</x:v>
      </x:c>
      <x:c r="E739" s="20" t="str">
        <x:v>disability</x:v>
      </x:c>
      <x:c r="F739" s="50" t="n">
        <x:v>445</x:v>
      </x:c>
      <x:c r="G739" s="50" t="n">
        <x:v>137.06420603556114</x:v>
      </x:c>
      <x:c r="H739" s="50" t="n">
        <x:v>445.049</x:v>
      </x:c>
      <x:c r="I739" s="50" t="n">
        <x:v>137.62104545145394</x:v>
      </x:c>
      <x:c r="J739" s="42" t="n">
        <x:v>1.0040626173090612</x:v>
      </x:c>
      <x:c r="K739" s="42" t="n">
        <x:v>0.00035749669018084255</x:v>
      </x:c>
      <x:c r="L739" s="26" t="n">
        <x:v>213</x:v>
      </x:c>
      <x:c r="M739" s="26" t="n">
        <x:v>447</x:v>
      </x:c>
      <x:c r="N739" s="26" t="n">
        <x:v>668</x:v>
      </x:c>
    </x:row>
    <x:row r="740">
      <x:c r="A740" s="20" t="str">
        <x:v>T1_SHARED_CATCHMENT</x:v>
      </x:c>
      <x:c r="B740" s="20" t="str">
        <x:v>NYC-V2-R04</x:v>
      </x:c>
      <x:c r="C740" s="20" t="str">
        <x:v>V2</x:v>
      </x:c>
      <x:c r="D740" s="20" t="str">
        <x:v>vision_difficulty</x:v>
      </x:c>
      <x:c r="E740" s="20" t="str">
        <x:v>disability</x:v>
      </x:c>
      <x:c r="F740" s="50" t="n">
        <x:v>570</x:v>
      </x:c>
      <x:c r="G740" s="50" t="n">
        <x:v>149.057701175634</x:v>
      </x:c>
      <x:c r="H740" s="50" t="n">
        <x:v>569.999</x:v>
      </x:c>
      <x:c r="I740" s="50" t="n">
        <x:v>150.04034492130478</x:v>
      </x:c>
      <x:c r="J740" s="42" t="n">
        <x:v>1.0065923715307599</x:v>
      </x:c>
      <x:c r="K740" s="42" t="n">
        <x:v>-0.000006708811366935397</x:v>
      </x:c>
      <x:c r="L740" s="26" t="n">
        <x:v>323</x:v>
      </x:c>
      <x:c r="M740" s="26" t="n">
        <x:v>570</x:v>
      </x:c>
      <x:c r="N740" s="26" t="n">
        <x:v>807</x:v>
      </x:c>
    </x:row>
    <x:row r="741">
      <x:c r="A741" s="20" t="str">
        <x:v>T1_SHARED_CATCHMENT</x:v>
      </x:c>
      <x:c r="B741" s="20" t="str">
        <x:v>NYC-V2-R04</x:v>
      </x:c>
      <x:c r="C741" s="20" t="str">
        <x:v>V2</x:v>
      </x:c>
      <x:c r="D741" s="20" t="str">
        <x:v>cognitive_difficulty</x:v>
      </x:c>
      <x:c r="E741" s="20" t="str">
        <x:v>disability</x:v>
      </x:c>
      <x:c r="F741" s="50" t="n">
        <x:v>1192</x:v>
      </x:c>
      <x:c r="G741" s="50" t="n">
        <x:v>202.80732223434802</x:v>
      </x:c>
      <x:c r="H741" s="50" t="n">
        <x:v>1192.088</x:v>
      </x:c>
      <x:c r="I741" s="50" t="n">
        <x:v>202.14772310851774</x:v>
      </x:c>
      <x:c r="J741" s="42" t="n">
        <x:v>0.9967476562553885</x:v>
      </x:c>
      <x:c r="K741" s="42" t="n">
        <x:v>0.0004339093827109439</x:v>
      </x:c>
      <x:c r="L741" s="26" t="n">
        <x:v>862</x:v>
      </x:c>
      <x:c r="M741" s="26" t="n">
        <x:v>1199</x:v>
      </x:c>
      <x:c r="N741" s="26" t="n">
        <x:v>1524</x:v>
      </x:c>
    </x:row>
    <x:row r="742">
      <x:c r="A742" s="20" t="str">
        <x:v>T1_SHARED_CATCHMENT</x:v>
      </x:c>
      <x:c r="B742" s="20" t="str">
        <x:v>NYC-V2-R04</x:v>
      </x:c>
      <x:c r="C742" s="20" t="str">
        <x:v>V2</x:v>
      </x:c>
      <x:c r="D742" s="20" t="str">
        <x:v>ambulatory_difficulty</x:v>
      </x:c>
      <x:c r="E742" s="20" t="str">
        <x:v>disability</x:v>
      </x:c>
      <x:c r="F742" s="50" t="n">
        <x:v>2512</x:v>
      </x:c>
      <x:c r="G742" s="50" t="n">
        <x:v>309.37411914892334</x:v>
      </x:c>
      <x:c r="H742" s="50" t="n">
        <x:v>2512.24</x:v>
      </x:c>
      <x:c r="I742" s="50" t="n">
        <x:v>314.00160095994</x:v>
      </x:c>
      <x:c r="J742" s="42" t="n">
        <x:v>1.014957559551997</x:v>
      </x:c>
      <x:c r="K742" s="42" t="n">
        <x:v>0.0007757597844965596</x:v>
      </x:c>
      <x:c r="L742" s="26" t="n">
        <x:v>2004</x:v>
      </x:c>
      <x:c r="M742" s="26" t="n">
        <x:v>2506</x:v>
      </x:c>
      <x:c r="N742" s="26" t="n">
        <x:v>3010</x:v>
      </x:c>
    </x:row>
    <x:row r="743">
      <x:c r="A743" s="20" t="str">
        <x:v>T1_SHARED_CATCHMENT</x:v>
      </x:c>
      <x:c r="B743" s="20" t="str">
        <x:v>NYC-V2-R04</x:v>
      </x:c>
      <x:c r="C743" s="20" t="str">
        <x:v>V2</x:v>
      </x:c>
      <x:c r="D743" s="20" t="str">
        <x:v>self_care_difficulty</x:v>
      </x:c>
      <x:c r="E743" s="20" t="str">
        <x:v>disability</x:v>
      </x:c>
      <x:c r="F743" s="50" t="n">
        <x:v>1027</x:v>
      </x:c>
      <x:c r="G743" s="50" t="n">
        <x:v>201.01276268873735</x:v>
      </x:c>
      <x:c r="H743" s="50" t="n">
        <x:v>1027.061</x:v>
      </x:c>
      <x:c r="I743" s="50" t="n">
        <x:v>201.3434241624331</x:v>
      </x:c>
      <x:c r="J743" s="42" t="n">
        <x:v>1.0016449775092529</x:v>
      </x:c>
      <x:c r="K743" s="42" t="n">
        <x:v>0.0003034633183683893</x:v>
      </x:c>
      <x:c r="L743" s="26" t="n">
        <x:v>696</x:v>
      </x:c>
      <x:c r="M743" s="26" t="n">
        <x:v>1030</x:v>
      </x:c>
      <x:c r="N743" s="26" t="n">
        <x:v>1349</x:v>
      </x:c>
    </x:row>
    <x:row r="744">
      <x:c r="A744" s="20" t="str">
        <x:v>T1_SHARED_CATCHMENT</x:v>
      </x:c>
      <x:c r="B744" s="20" t="str">
        <x:v>NYC-V2-R04</x:v>
      </x:c>
      <x:c r="C744" s="20" t="str">
        <x:v>V2</x:v>
      </x:c>
      <x:c r="D744" s="20" t="str">
        <x:v>independent_living_difficulty</x:v>
      </x:c>
      <x:c r="E744" s="20" t="str">
        <x:v>disability</x:v>
      </x:c>
      <x:c r="F744" s="50" t="n">
        <x:v>2186</x:v>
      </x:c>
      <x:c r="G744" s="50" t="n">
        <x:v>289.9957294852893</x:v>
      </x:c>
      <x:c r="H744" s="50" t="n">
        <x:v>2185.939</x:v>
      </x:c>
      <x:c r="I744" s="50" t="n">
        <x:v>287.92356148161315</x:v>
      </x:c>
      <x:c r="J744" s="42" t="n">
        <x:v>0.9928544878665834</x:v>
      </x:c>
      <x:c r="K744" s="42" t="n">
        <x:v>-0.00021034792515192374</x:v>
      </x:c>
      <x:c r="L744" s="26" t="n">
        <x:v>1718</x:v>
      </x:c>
      <x:c r="M744" s="26" t="n">
        <x:v>2171</x:v>
      </x:c>
      <x:c r="N744" s="26" t="n">
        <x:v>2668</x:v>
      </x:c>
    </x:row>
    <x:row r="745">
      <x:c r="A745" s="20" t="str">
        <x:v>T1_SHARED_CATCHMENT</x:v>
      </x:c>
      <x:c r="B745" s="20" t="str">
        <x:v>NYC-V2-R04</x:v>
      </x:c>
      <x:c r="C745" s="20" t="str">
        <x:v>V2</x:v>
      </x:c>
      <x:c r="D745" s="20" t="str">
        <x:v>households</x:v>
      </x:c>
      <x:c r="E745" s="20" t="str">
        <x:v>household</x:v>
      </x:c>
      <x:c r="F745" s="50" t="n">
        <x:v>12042</x:v>
      </x:c>
      <x:c r="G745" s="50" t="n">
        <x:v>472.6580687981535</x:v>
      </x:c>
      <x:c r="H745" s="50" t="n">
        <x:v>12043.671</x:v>
      </x:c>
      <x:c r="I745" s="50" t="n">
        <x:v>460.89978669161087</x:v>
      </x:c>
      <x:c r="J745" s="42" t="n">
        <x:v>0.9751230691217418</x:v>
      </x:c>
      <x:c r="K745" s="42" t="n">
        <x:v>0.003535325238917839</x:v>
      </x:c>
      <x:c r="L745" s="26" t="n">
        <x:v>11297</x:v>
      </x:c>
      <x:c r="M745" s="26" t="n">
        <x:v>12033</x:v>
      </x:c>
      <x:c r="N745" s="26" t="n">
        <x:v>12792</x:v>
      </x:c>
    </x:row>
    <x:row r="746">
      <x:c r="A746" s="20" t="str">
        <x:v>T1_SHARED_CATCHMENT</x:v>
      </x:c>
      <x:c r="B746" s="20" t="str">
        <x:v>NYC-V2-R04</x:v>
      </x:c>
      <x:c r="C746" s="20" t="str">
        <x:v>V2</x:v>
      </x:c>
      <x:c r="D746" s="20" t="str">
        <x:v>family_households</x:v>
      </x:c>
      <x:c r="E746" s="20" t="str">
        <x:v>household</x:v>
      </x:c>
      <x:c r="F746" s="50" t="n">
        <x:v>7936</x:v>
      </x:c>
      <x:c r="G746" s="50" t="n">
        <x:v>402.79957795409865</x:v>
      </x:c>
      <x:c r="H746" s="50" t="n">
        <x:v>7900.306</x:v>
      </x:c>
      <x:c r="I746" s="50" t="n">
        <x:v>393.45819818338737</x:v>
      </x:c>
      <x:c r="J746" s="42" t="n">
        <x:v>0.9768088640555235</x:v>
      </x:c>
      <x:c r="K746" s="42" t="n">
        <x:v>-0.08861478996899037</x:v>
      </x:c>
      <x:c r="L746" s="26" t="n">
        <x:v>7248</x:v>
      </x:c>
      <x:c r="M746" s="26" t="n">
        <x:v>7899</x:v>
      </x:c>
      <x:c r="N746" s="26" t="n">
        <x:v>8575</x:v>
      </x:c>
    </x:row>
    <x:row r="747">
      <x:c r="A747" s="20" t="str">
        <x:v>T1_SHARED_CATCHMENT</x:v>
      </x:c>
      <x:c r="B747" s="20" t="str">
        <x:v>NYC-V2-R04</x:v>
      </x:c>
      <x:c r="C747" s="20" t="str">
        <x:v>V2</x:v>
      </x:c>
      <x:c r="D747" s="20" t="str">
        <x:v>nonfamily_households</x:v>
      </x:c>
      <x:c r="E747" s="20" t="str">
        <x:v>household</x:v>
      </x:c>
      <x:c r="F747" s="50" t="n">
        <x:v>4106</x:v>
      </x:c>
      <x:c r="G747" s="50" t="n">
        <x:v>448.4646585852669</x:v>
      </x:c>
      <x:c r="H747" s="50" t="n">
        <x:v>4143.365</x:v>
      </x:c>
      <x:c r="I747" s="50" t="n">
        <x:v>518.2765095152541</x:v>
      </x:c>
      <x:c r="J747" s="42" t="n">
        <x:v>1.15566856739663</x:v>
      </x:c>
      <x:c r="K747" s="42" t="n">
        <x:v>0.08331760214477536</x:v>
      </x:c>
      <x:c r="L747" s="26" t="n">
        <x:v>3322</x:v>
      </x:c>
      <x:c r="M747" s="26" t="n">
        <x:v>4150</x:v>
      </x:c>
      <x:c r="N747" s="26" t="n">
        <x:v>4980</x:v>
      </x:c>
    </x:row>
    <x:row r="748">
      <x:c r="A748" s="20" t="str">
        <x:v>T1_SHARED_CATCHMENT</x:v>
      </x:c>
      <x:c r="B748" s="20" t="str">
        <x:v>NYC-V2-R04</x:v>
      </x:c>
      <x:c r="C748" s="20" t="str">
        <x:v>V2</x:v>
      </x:c>
      <x:c r="D748" s="20" t="str">
        <x:v>living_alone_households</x:v>
      </x:c>
      <x:c r="E748" s="20" t="str">
        <x:v>household</x:v>
      </x:c>
      <x:c r="F748" s="50" t="n">
        <x:v>3340</x:v>
      </x:c>
      <x:c r="G748" s="50" t="n">
        <x:v>448.1658175273969</x:v>
      </x:c>
      <x:c r="H748" s="50" t="n">
        <x:v>3339.798</x:v>
      </x:c>
      <x:c r="I748" s="50" t="n">
        <x:v>463.7860181879858</x:v>
      </x:c>
      <x:c r="J748" s="42" t="n">
        <x:v>1.0348536190171043</x:v>
      </x:c>
      <x:c r="K748" s="42" t="n">
        <x:v>-0.00045072603063458106</x:v>
      </x:c>
      <x:c r="L748" s="26" t="n">
        <x:v>2558</x:v>
      </x:c>
      <x:c r="M748" s="26" t="n">
        <x:v>3346</x:v>
      </x:c>
      <x:c r="N748" s="26" t="n">
        <x:v>4062</x:v>
      </x:c>
    </x:row>
    <x:row r="749">
      <x:c r="A749" s="20" t="str">
        <x:v>T1_SHARED_CATCHMENT</x:v>
      </x:c>
      <x:c r="B749" s="20" t="str">
        <x:v>NYC-V2-R04</x:v>
      </x:c>
      <x:c r="C749" s="20" t="str">
        <x:v>V2</x:v>
      </x:c>
      <x:c r="D749" s="20" t="str">
        <x:v>households_with_children</x:v>
      </x:c>
      <x:c r="E749" s="20" t="str">
        <x:v>household</x:v>
      </x:c>
      <x:c r="F749" s="50" t="n">
        <x:v>4875</x:v>
      </x:c>
      <x:c r="G749" s="50" t="n">
        <x:v>322.88364777424084</x:v>
      </x:c>
      <x:c r="H749" s="50" t="n">
        <x:v>4874.95</x:v>
      </x:c>
      <x:c r="I749" s="50" t="n">
        <x:v>319.8777192229169</x:v>
      </x:c>
      <x:c r="J749" s="42" t="n">
        <x:v>0.9906903661054223</x:v>
      </x:c>
      <x:c r="K749" s="42" t="n">
        <x:v>-0.00015485454387315932</x:v>
      </x:c>
      <x:c r="L749" s="26" t="n">
        <x:v>4351</x:v>
      </x:c>
      <x:c r="M749" s="26" t="n">
        <x:v>4869</x:v>
      </x:c>
      <x:c r="N749" s="26" t="n">
        <x:v>5411</x:v>
      </x:c>
    </x:row>
    <x:row r="750">
      <x:c r="A750" s="20" t="str">
        <x:v>T1_SHARED_CATCHMENT</x:v>
      </x:c>
      <x:c r="B750" s="20" t="str">
        <x:v>NYC-V2-R04</x:v>
      </x:c>
      <x:c r="C750" s="20" t="str">
        <x:v>V2</x:v>
      </x:c>
      <x:c r="D750" s="20" t="str">
        <x:v>households_with_age65</x:v>
      </x:c>
      <x:c r="E750" s="20" t="str">
        <x:v>household</x:v>
      </x:c>
      <x:c r="F750" s="50" t="n">
        <x:v>3302</x:v>
      </x:c>
      <x:c r="G750" s="50" t="n">
        <x:v>324.50030816626355</x:v>
      </x:c>
      <x:c r="H750" s="50" t="n">
        <x:v>3302.108</x:v>
      </x:c>
      <x:c r="I750" s="50" t="n">
        <x:v>317.83484598974565</x:v>
      </x:c>
      <x:c r="J750" s="42" t="n">
        <x:v>0.9794593040167384</x:v>
      </x:c>
      <x:c r="K750" s="42" t="n">
        <x:v>0.00033281940658385717</x:v>
      </x:c>
      <x:c r="L750" s="26" t="n">
        <x:v>2781</x:v>
      </x:c>
      <x:c r="M750" s="26" t="n">
        <x:v>3297</x:v>
      </x:c>
      <x:c r="N750" s="26" t="n">
        <x:v>3801</x:v>
      </x:c>
    </x:row>
    <x:row r="751">
      <x:c r="A751" s="20" t="str">
        <x:v>T1_SHARED_CATCHMENT</x:v>
      </x:c>
      <x:c r="B751" s="20" t="str">
        <x:v>NYC-V2-R04</x:v>
      </x:c>
      <x:c r="C751" s="20" t="str">
        <x:v>V2</x:v>
      </x:c>
      <x:c r="D751" s="20" t="str">
        <x:v>age65_one_person_households</x:v>
      </x:c>
      <x:c r="E751" s="20" t="str">
        <x:v>household</x:v>
      </x:c>
      <x:c r="F751" s="50" t="n">
        <x:v>1136</x:v>
      </x:c>
      <x:c r="G751" s="50" t="n">
        <x:v>217.43803715081683</x:v>
      </x:c>
      <x:c r="H751" s="50" t="n">
        <x:v>1135.995</x:v>
      </x:c>
      <x:c r="I751" s="50" t="n">
        <x:v>212.42052031866518</x:v>
      </x:c>
      <x:c r="J751" s="42" t="n">
        <x:v>0.976924383158079</x:v>
      </x:c>
      <x:c r="K751" s="42" t="n">
        <x:v>-0.00002299505673260423</x:v>
      </x:c>
      <x:c r="L751" s="26" t="n">
        <x:v>785</x:v>
      </x:c>
      <x:c r="M751" s="26" t="n">
        <x:v>1138</x:v>
      </x:c>
      <x:c r="N751" s="26" t="n">
        <x:v>1473</x:v>
      </x:c>
    </x:row>
    <x:row r="752">
      <x:c r="A752" s="20" t="str">
        <x:v>T1_SHARED_CATCHMENT</x:v>
      </x:c>
      <x:c r="B752" s="20" t="str">
        <x:v>NYC-V2-R04</x:v>
      </x:c>
      <x:c r="C752" s="20" t="str">
        <x:v>V2</x:v>
      </x:c>
      <x:c r="D752" s="20" t="str">
        <x:v>no_vehicle_households</x:v>
      </x:c>
      <x:c r="E752" s="20" t="str">
        <x:v>household</x:v>
      </x:c>
      <x:c r="F752" s="50" t="n">
        <x:v>7986</x:v>
      </x:c>
      <x:c r="G752" s="50" t="n">
        <x:v>455.833019685223</x:v>
      </x:c>
      <x:c r="H752" s="50" t="n">
        <x:v>7986.162</x:v>
      </x:c>
      <x:c r="I752" s="50" t="n">
        <x:v>448.17500219064937</x:v>
      </x:c>
      <x:c r="J752" s="42" t="n">
        <x:v>0.9831999500609633</x:v>
      </x:c>
      <x:c r="K752" s="42" t="n">
        <x:v>0.0003553932975547308</x:v>
      </x:c>
      <x:c r="L752" s="26" t="n">
        <x:v>7255</x:v>
      </x:c>
      <x:c r="M752" s="26" t="n">
        <x:v>7990</x:v>
      </x:c>
      <x:c r="N752" s="26" t="n">
        <x:v>8737</x:v>
      </x:c>
    </x:row>
    <x:row r="753">
      <x:c r="A753" s="20" t="str">
        <x:v>T1_SHARED_CATCHMENT</x:v>
      </x:c>
      <x:c r="B753" s="20" t="str">
        <x:v>NYC-V2-R04</x:v>
      </x:c>
      <x:c r="C753" s="20" t="str">
        <x:v>V2</x:v>
      </x:c>
      <x:c r="D753" s="20" t="str">
        <x:v>limited_english_households</x:v>
      </x:c>
      <x:c r="E753" s="20" t="str">
        <x:v>household</x:v>
      </x:c>
      <x:c r="F753" s="50" t="n">
        <x:v>1859</x:v>
      </x:c>
      <x:c r="G753" s="50" t="n">
        <x:v>337.51031418894877</x:v>
      </x:c>
      <x:c r="H753" s="50" t="n">
        <x:v>1859.047</x:v>
      </x:c>
      <x:c r="I753" s="50" t="n">
        <x:v>334.2928573952867</x:v>
      </x:c>
      <x:c r="J753" s="42" t="n">
        <x:v>0.9904670860166341</x:v>
      </x:c>
      <x:c r="K753" s="42" t="n">
        <x:v>0.0001392550035484646</x:v>
      </x:c>
      <x:c r="L753" s="26" t="n">
        <x:v>1305</x:v>
      </x:c>
      <x:c r="M753" s="26" t="n">
        <x:v>1862</x:v>
      </x:c>
      <x:c r="N753" s="26" t="n">
        <x:v>2412</x:v>
      </x:c>
    </x:row>
    <x:row r="754">
      <x:c r="A754" s="20" t="str">
        <x:v>T1_SHARED_CATCHMENT</x:v>
      </x:c>
      <x:c r="B754" s="20" t="str">
        <x:v>NYC-V2-R04</x:v>
      </x:c>
      <x:c r="C754" s="20" t="str">
        <x:v>V2</x:v>
      </x:c>
      <x:c r="D754" s="20" t="str">
        <x:v>housing_units</x:v>
      </x:c>
      <x:c r="E754" s="20" t="str">
        <x:v>housing</x:v>
      </x:c>
      <x:c r="F754" s="50" t="n">
        <x:v>12656</x:v>
      </x:c>
      <x:c r="G754" s="50" t="n">
        <x:v>446.9353980163129</x:v>
      </x:c>
      <x:c r="H754" s="50" t="n">
        <x:v>12657.676</x:v>
      </x:c>
      <x:c r="I754" s="50" t="n">
        <x:v>460.661430964193</x:v>
      </x:c>
      <x:c r="J754" s="42" t="n">
        <x:v>1.0307114473563785</x:v>
      </x:c>
      <x:c r="K754" s="42" t="n">
        <x:v>0.0037499826763292155</x:v>
      </x:c>
      <x:c r="L754" s="26" t="n">
        <x:v>11923</x:v>
      </x:c>
      <x:c r="M754" s="26" t="n">
        <x:v>12654</x:v>
      </x:c>
      <x:c r="N754" s="26" t="n">
        <x:v>13402</x:v>
      </x:c>
    </x:row>
    <x:row r="755">
      <x:c r="A755" s="20" t="str">
        <x:v>T1_SHARED_CATCHMENT</x:v>
      </x:c>
      <x:c r="B755" s="20" t="str">
        <x:v>NYC-V2-R04</x:v>
      </x:c>
      <x:c r="C755" s="20" t="str">
        <x:v>V2</x:v>
      </x:c>
      <x:c r="D755" s="20" t="str">
        <x:v>occupied_housing_units</x:v>
      </x:c>
      <x:c r="E755" s="20" t="str">
        <x:v>housing</x:v>
      </x:c>
      <x:c r="F755" s="50" t="n">
        <x:v>12042</x:v>
      </x:c>
      <x:c r="G755" s="50" t="n">
        <x:v>472.6580687981535</x:v>
      </x:c>
      <x:c r="H755" s="50" t="n">
        <x:v>12043.671</x:v>
      </x:c>
      <x:c r="I755" s="50" t="n">
        <x:v>460.89978669161087</x:v>
      </x:c>
      <x:c r="J755" s="42" t="n">
        <x:v>0.9751230691217418</x:v>
      </x:c>
      <x:c r="K755" s="42" t="n">
        <x:v>0.003535325238917839</x:v>
      </x:c>
      <x:c r="L755" s="26" t="n">
        <x:v>11297</x:v>
      </x:c>
      <x:c r="M755" s="26" t="n">
        <x:v>12033</x:v>
      </x:c>
      <x:c r="N755" s="26" t="n">
        <x:v>12792</x:v>
      </x:c>
    </x:row>
    <x:row r="756">
      <x:c r="A756" s="20" t="str">
        <x:v>T1_SHARED_CATCHMENT</x:v>
      </x:c>
      <x:c r="B756" s="20" t="str">
        <x:v>NYC-V2-R04</x:v>
      </x:c>
      <x:c r="C756" s="20" t="str">
        <x:v>V2</x:v>
      </x:c>
      <x:c r="D756" s="20" t="str">
        <x:v>vacant_housing_units</x:v>
      </x:c>
      <x:c r="E756" s="20" t="str">
        <x:v>housing</x:v>
      </x:c>
      <x:c r="F756" s="50" t="n">
        <x:v>614</x:v>
      </x:c>
      <x:c r="G756" s="50" t="n">
        <x:v>121.57096692878609</x:v>
      </x:c>
      <x:c r="H756" s="50" t="n">
        <x:v>614.005</x:v>
      </x:c>
      <x:c r="I756" s="50" t="n">
        <x:v>121.15611325384609</x:v>
      </x:c>
      <x:c r="J756" s="42" t="n">
        <x:v>0.9965875596335183</x:v>
      </x:c>
      <x:c r="K756" s="42" t="n">
        <x:v>0.00004112824078239302</x:v>
      </x:c>
      <x:c r="L756" s="26" t="n">
        <x:v>418</x:v>
      </x:c>
      <x:c r="M756" s="26" t="n">
        <x:v>612</x:v>
      </x:c>
      <x:c r="N756" s="26" t="n">
        <x:v>811</x:v>
      </x:c>
    </x:row>
    <x:row r="757">
      <x:c r="A757" s="20" t="str">
        <x:v>T1_SHARED_CATCHMENT</x:v>
      </x:c>
      <x:c r="B757" s="20" t="str">
        <x:v>NYC-V2-R04</x:v>
      </x:c>
      <x:c r="C757" s="20" t="str">
        <x:v>V2</x:v>
      </x:c>
      <x:c r="D757" s="20" t="str">
        <x:v>owner_occupied_units</x:v>
      </x:c>
      <x:c r="E757" s="20" t="str">
        <x:v>housing</x:v>
      </x:c>
      <x:c r="F757" s="50" t="n">
        <x:v>1927</x:v>
      </x:c>
      <x:c r="G757" s="50" t="n">
        <x:v>216.37665751855764</x:v>
      </x:c>
      <x:c r="H757" s="50" t="n">
        <x:v>1927.014</x:v>
      </x:c>
      <x:c r="I757" s="50" t="n">
        <x:v>213.8725818923157</x:v>
      </x:c>
      <x:c r="J757" s="42" t="n">
        <x:v>0.9884272376930161</x:v>
      </x:c>
      <x:c r="K757" s="42" t="n">
        <x:v>0.00006470198846978492</x:v>
      </x:c>
      <x:c r="L757" s="26" t="n">
        <x:v>1591</x:v>
      </x:c>
      <x:c r="M757" s="26" t="n">
        <x:v>1921</x:v>
      </x:c>
      <x:c r="N757" s="26" t="n">
        <x:v>2289</x:v>
      </x:c>
    </x:row>
    <x:row r="758">
      <x:c r="A758" s="20" t="str">
        <x:v>T1_SHARED_CATCHMENT</x:v>
      </x:c>
      <x:c r="B758" s="20" t="str">
        <x:v>NYC-V2-R04</x:v>
      </x:c>
      <x:c r="C758" s="20" t="str">
        <x:v>V2</x:v>
      </x:c>
      <x:c r="D758" s="20" t="str">
        <x:v>renter_occupied_units</x:v>
      </x:c>
      <x:c r="E758" s="20" t="str">
        <x:v>housing</x:v>
      </x:c>
      <x:c r="F758" s="50" t="n">
        <x:v>10115</x:v>
      </x:c>
      <x:c r="G758" s="50" t="n">
        <x:v>465.1111462230554</x:v>
      </x:c>
      <x:c r="H758" s="50" t="n">
        <x:v>10116.657</x:v>
      </x:c>
      <x:c r="I758" s="50" t="n">
        <x:v>397.336932576106</x:v>
      </x:c>
      <x:c r="J758" s="42" t="n">
        <x:v>0.8542838325907446</x:v>
      </x:c>
      <x:c r="K758" s="42" t="n">
        <x:v>0.003562589315381809</x:v>
      </x:c>
      <x:c r="L758" s="26" t="n">
        <x:v>9463</x:v>
      </x:c>
      <x:c r="M758" s="26" t="n">
        <x:v>10133</x:v>
      </x:c>
      <x:c r="N758" s="26" t="n">
        <x:v>10762</x:v>
      </x:c>
    </x:row>
    <x:row r="759">
      <x:c r="A759" s="20" t="str">
        <x:v>T1_SHARED_CATCHMENT</x:v>
      </x:c>
      <x:c r="B759" s="20" t="str">
        <x:v>NYC-V2-R04</x:v>
      </x:c>
      <x:c r="C759" s="20" t="str">
        <x:v>V2</x:v>
      </x:c>
      <x:c r="D759" s="20" t="str">
        <x:v>one_unit_structures</x:v>
      </x:c>
      <x:c r="E759" s="20" t="str">
        <x:v>housing</x:v>
      </x:c>
      <x:c r="F759" s="50" t="n">
        <x:v>1258</x:v>
      </x:c>
      <x:c r="G759" s="50" t="n">
        <x:v>195.3411990652606</x:v>
      </x:c>
      <x:c r="H759" s="50" t="n">
        <x:v>1257.809</x:v>
      </x:c>
      <x:c r="I759" s="50" t="n">
        <x:v>182.48065571097862</x:v>
      </x:c>
      <x:c r="J759" s="42" t="n">
        <x:v>0.9341636919614409</x:v>
      </x:c>
      <x:c r="K759" s="42" t="n">
        <x:v>-0.0009777763263151705</x:v>
      </x:c>
      <x:c r="L759" s="26" t="n">
        <x:v>962</x:v>
      </x:c>
      <x:c r="M759" s="26" t="n">
        <x:v>1263</x:v>
      </x:c>
      <x:c r="N759" s="26" t="n">
        <x:v>1558</x:v>
      </x:c>
    </x:row>
    <x:row r="760">
      <x:c r="A760" s="20" t="str">
        <x:v>T1_SHARED_CATCHMENT</x:v>
      </x:c>
      <x:c r="B760" s="20" t="str">
        <x:v>NYC-V2-R04</x:v>
      </x:c>
      <x:c r="C760" s="20" t="str">
        <x:v>V2</x:v>
      </x:c>
      <x:c r="D760" s="20" t="str">
        <x:v>two_to_four_unit_structures</x:v>
      </x:c>
      <x:c r="E760" s="20" t="str">
        <x:v>housing</x:v>
      </x:c>
      <x:c r="F760" s="50" t="n">
        <x:v>4732</x:v>
      </x:c>
      <x:c r="G760" s="50" t="n">
        <x:v>465.8359892222641</x:v>
      </x:c>
      <x:c r="H760" s="50" t="n">
        <x:v>4712.132</x:v>
      </x:c>
      <x:c r="I760" s="50" t="n">
        <x:v>371.68688666365097</x:v>
      </x:c>
      <x:c r="J760" s="42" t="n">
        <x:v>0.7978921664773053</x:v>
      </x:c>
      <x:c r="K760" s="42" t="n">
        <x:v>-0.04265020406253065</x:v>
      </x:c>
      <x:c r="L760" s="26" t="n">
        <x:v>4106</x:v>
      </x:c>
      <x:c r="M760" s="26" t="n">
        <x:v>4716</x:v>
      </x:c>
      <x:c r="N760" s="26" t="n">
        <x:v>5330</x:v>
      </x:c>
    </x:row>
    <x:row r="761">
      <x:c r="A761" s="20" t="str">
        <x:v>T1_SHARED_CATCHMENT</x:v>
      </x:c>
      <x:c r="B761" s="20" t="str">
        <x:v>NYC-V2-R04</x:v>
      </x:c>
      <x:c r="C761" s="20" t="str">
        <x:v>V2</x:v>
      </x:c>
      <x:c r="D761" s="20" t="str">
        <x:v>five_to_nineteen_unit_structures</x:v>
      </x:c>
      <x:c r="E761" s="20" t="str">
        <x:v>housing</x:v>
      </x:c>
      <x:c r="F761" s="50" t="n">
        <x:v>1049</x:v>
      </x:c>
      <x:c r="G761" s="50" t="n">
        <x:v>177.17210248560423</x:v>
      </x:c>
      <x:c r="H761" s="50" t="n">
        <x:v>1049.059</x:v>
      </x:c>
      <x:c r="I761" s="50" t="n">
        <x:v>168.1783382973933</x:v>
      </x:c>
      <x:c r="J761" s="42" t="n">
        <x:v>0.9492371312298352</x:v>
      </x:c>
      <x:c r="K761" s="42" t="n">
        <x:v>0.0003330095380268065</x:v>
      </x:c>
      <x:c r="L761" s="26" t="n">
        <x:v>775</x:v>
      </x:c>
      <x:c r="M761" s="26" t="n">
        <x:v>1049</x:v>
      </x:c>
      <x:c r="N761" s="26" t="n">
        <x:v>1327</x:v>
      </x:c>
    </x:row>
    <x:row r="762">
      <x:c r="A762" s="20" t="str">
        <x:v>T1_SHARED_CATCHMENT</x:v>
      </x:c>
      <x:c r="B762" s="20" t="str">
        <x:v>NYC-V2-R04</x:v>
      </x:c>
      <x:c r="C762" s="20" t="str">
        <x:v>V2</x:v>
      </x:c>
      <x:c r="D762" s="20" t="str">
        <x:v>twenty_to_forty_nine_unit_structures</x:v>
      </x:c>
      <x:c r="E762" s="20" t="str">
        <x:v>housing</x:v>
      </x:c>
      <x:c r="F762" s="50" t="n">
        <x:v>949</x:v>
      </x:c>
      <x:c r="G762" s="50" t="n">
        <x:v>160.24551335613415</x:v>
      </x:c>
      <x:c r="H762" s="50" t="n">
        <x:v>948.882</x:v>
      </x:c>
      <x:c r="I762" s="50" t="n">
        <x:v>153.37396013550554</x:v>
      </x:c>
      <x:c r="J762" s="42" t="n">
        <x:v>0.9571185921108626</x:v>
      </x:c>
      <x:c r="K762" s="42" t="n">
        <x:v>-0.0007363700707039786</x:v>
      </x:c>
      <x:c r="L762" s="26" t="n">
        <x:v>697</x:v>
      </x:c>
      <x:c r="M762" s="26" t="n">
        <x:v>945</x:v>
      </x:c>
      <x:c r="N762" s="26" t="n">
        <x:v>1200</x:v>
      </x:c>
    </x:row>
    <x:row r="763">
      <x:c r="A763" s="20" t="str">
        <x:v>T1_SHARED_CATCHMENT</x:v>
      </x:c>
      <x:c r="B763" s="20" t="str">
        <x:v>NYC-V2-R04</x:v>
      </x:c>
      <x:c r="C763" s="20" t="str">
        <x:v>V2</x:v>
      </x:c>
      <x:c r="D763" s="20" t="str">
        <x:v>fifty_plus_unit_structures</x:v>
      </x:c>
      <x:c r="E763" s="20" t="str">
        <x:v>housing</x:v>
      </x:c>
      <x:c r="F763" s="50" t="n">
        <x:v>4054</x:v>
      </x:c>
      <x:c r="G763" s="50" t="n">
        <x:v>290.7491449188039</x:v>
      </x:c>
      <x:c r="H763" s="50" t="n">
        <x:v>4053.769</x:v>
      </x:c>
      <x:c r="I763" s="50" t="n">
        <x:v>258.8230612136716</x:v>
      </x:c>
      <x:c r="J763" s="42" t="n">
        <x:v>0.890193714192872</x:v>
      </x:c>
      <x:c r="K763" s="42" t="n">
        <x:v>-0.000794499327125217</x:v>
      </x:c>
      <x:c r="L763" s="26" t="n">
        <x:v>3618</x:v>
      </x:c>
      <x:c r="M763" s="26" t="n">
        <x:v>4055</x:v>
      </x:c>
      <x:c r="N763" s="26" t="n">
        <x:v>4483</x:v>
      </x:c>
    </x:row>
    <x:row r="764">
      <x:c r="A764" s="20" t="str">
        <x:v>T1_SHARED_CATCHMENT</x:v>
      </x:c>
      <x:c r="B764" s="20" t="str">
        <x:v>NYC-V2-R04</x:v>
      </x:c>
      <x:c r="C764" s="20" t="str">
        <x:v>V2</x:v>
      </x:c>
      <x:c r="D764" s="20" t="str">
        <x:v>mobile_or_other_units</x:v>
      </x:c>
      <x:c r="E764" s="20" t="str">
        <x:v>housing</x:v>
      </x:c>
      <x:c r="F764" s="50" t="n">
        <x:v>0</x:v>
      </x:c>
      <x:c r="G764" s="50" t="n">
        <x:v>55.635555932632464</x:v>
      </x:c>
      <x:c r="H764" s="50" t="n">
        <x:v>22.02</x:v>
      </x:c>
      <x:c r="I764" s="50" t="n">
        <x:v>31.92395242977816</x:v>
      </x:c>
      <x:c r="J764" s="42" t="n">
        <x:v>0.5738048608417606</x:v>
      </x:c>
      <x:c r="K764" s="42" t="n">
        <x:v>0.39579005962775676</x:v>
      </x:c>
      <x:c r="L764" s="26" t="n">
        <x:v>0</x:v>
      </x:c>
      <x:c r="M764" s="26" t="n">
        <x:v>3</x:v>
      </x:c>
      <x:c r="N764" s="26" t="n">
        <x:v>91</x:v>
      </x:c>
    </x:row>
    <x:row r="765">
      <x:c r="A765" s="20" t="str">
        <x:v>T1_SHARED_CATCHMENT</x:v>
      </x:c>
      <x:c r="B765" s="20" t="str">
        <x:v>NYC-V2-R04</x:v>
      </x:c>
      <x:c r="C765" s="20" t="str">
        <x:v>V2</x:v>
      </x:c>
      <x:c r="D765" s="20" t="str">
        <x:v>electric_heat_households</x:v>
      </x:c>
      <x:c r="E765" s="20" t="str">
        <x:v>housing</x:v>
      </x:c>
      <x:c r="F765" s="50" t="n">
        <x:v>795</x:v>
      </x:c>
      <x:c r="G765" s="50" t="n">
        <x:v>196.44413964280025</x:v>
      </x:c>
      <x:c r="H765" s="50" t="n">
        <x:v>794.91</x:v>
      </x:c>
      <x:c r="I765" s="50" t="n">
        <x:v>197.09970622554007</x:v>
      </x:c>
      <x:c r="J765" s="42" t="n">
        <x:v>1.003337165384174</x:v>
      </x:c>
      <x:c r="K765" s="42" t="n">
        <x:v>-0.0004581455072351931</x:v>
      </x:c>
      <x:c r="L765" s="26" t="n">
        <x:v>472</x:v>
      </x:c>
      <x:c r="M765" s="26" t="n">
        <x:v>801</x:v>
      </x:c>
      <x:c r="N765" s="26" t="n">
        <x:v>1121</x:v>
      </x:c>
    </x:row>
    <x:row r="766">
      <x:c r="A766" s="20" t="str">
        <x:v>T1_SHARED_CATCHMENT</x:v>
      </x:c>
      <x:c r="B766" s="20" t="str">
        <x:v>NYC-V2-R04</x:v>
      </x:c>
      <x:c r="C766" s="20" t="str">
        <x:v>V2</x:v>
      </x:c>
      <x:c r="D766" s="20" t="str">
        <x:v>group_quarters_population</x:v>
      </x:c>
      <x:c r="E766" s="20" t="str">
        <x:v>population</x:v>
      </x:c>
      <x:c r="F766" s="50" t="n">
        <x:v>420</x:v>
      </x:c>
      <x:c r="G766" s="50" t="n">
        <x:v>9.518403227432636</x:v>
      </x:c>
      <x:c r="H766" s="50" t="n">
        <x:v>420.006</x:v>
      </x:c>
      <x:c r="I766" s="50" t="n">
        <x:v>9.16514942398453</x:v>
      </x:c>
      <x:c r="J766" s="42" t="n">
        <x:v>0.9628872831915751</x:v>
      </x:c>
      <x:c r="K766" s="42" t="n">
        <x:v>0.0006303578296283382</x:v>
      </x:c>
      <x:c r="L766" s="26" t="n">
        <x:v>405</x:v>
      </x:c>
      <x:c r="M766" s="26" t="n">
        <x:v>420</x:v>
      </x:c>
      <x:c r="N766" s="26" t="n">
        <x:v>435</x:v>
      </x:c>
    </x:row>
    <x:row r="767">
      <x:c r="A767" s="20" t="str">
        <x:v>T1_SHARED_CATCHMENT</x:v>
      </x:c>
      <x:c r="B767" s="20" t="str">
        <x:v>NYC-V3-R01</x:v>
      </x:c>
      <x:c r="C767" s="20" t="str">
        <x:v>V3</x:v>
      </x:c>
      <x:c r="D767" s="20" t="str">
        <x:v>acs_population</x:v>
      </x:c>
      <x:c r="E767" s="20" t="str">
        <x:v>population</x:v>
      </x:c>
      <x:c r="F767" s="50" t="n">
        <x:v>34085</x:v>
      </x:c>
      <x:c r="G767" s="50" t="n">
        <x:v>1244.7103277469823</x:v>
      </x:c>
      <x:c r="H767" s="50" t="n">
        <x:v>34705.906</x:v>
      </x:c>
      <x:c r="I767" s="50" t="n">
        <x:v>1054.881005184518</x:v>
      </x:c>
      <x:c r="J767" s="42" t="n">
        <x:v>0.847491164545835</x:v>
      </x:c>
      <x:c r="K767" s="42" t="n">
        <x:v>0.49883574206690195</x:v>
      </x:c>
      <x:c r="L767" s="26" t="n">
        <x:v>32991</x:v>
      </x:c>
      <x:c r="M767" s="26" t="n">
        <x:v>34679</x:v>
      </x:c>
      <x:c r="N767" s="26" t="n">
        <x:v>36451</x:v>
      </x:c>
    </x:row>
    <x:row r="768">
      <x:c r="A768" s="20" t="str">
        <x:v>T1_SHARED_CATCHMENT</x:v>
      </x:c>
      <x:c r="B768" s="20" t="str">
        <x:v>NYC-V3-R01</x:v>
      </x:c>
      <x:c r="C768" s="20" t="str">
        <x:v>V3</x:v>
      </x:c>
      <x:c r="D768" s="20" t="str">
        <x:v>age_under_18</x:v>
      </x:c>
      <x:c r="E768" s="20" t="str">
        <x:v>population</x:v>
      </x:c>
      <x:c r="F768" s="50" t="n">
        <x:v>4833</x:v>
      </x:c>
      <x:c r="G768" s="50" t="n">
        <x:v>567.5816681324371</x:v>
      </x:c>
      <x:c r="H768" s="50" t="n">
        <x:v>4833.411</x:v>
      </x:c>
      <x:c r="I768" s="50" t="n">
        <x:v>560.7449964378015</x:v>
      </x:c>
      <x:c r="J768" s="42" t="n">
        <x:v>0.9879547348364318</x:v>
      </x:c>
      <x:c r="K768" s="42" t="n">
        <x:v>0.0007241248670916503</x:v>
      </x:c>
      <x:c r="L768" s="26" t="n">
        <x:v>3908</x:v>
      </x:c>
      <x:c r="M768" s="26" t="n">
        <x:v>4840</x:v>
      </x:c>
      <x:c r="N768" s="26" t="n">
        <x:v>5763</x:v>
      </x:c>
    </x:row>
    <x:row r="769">
      <x:c r="A769" s="20" t="str">
        <x:v>T1_SHARED_CATCHMENT</x:v>
      </x:c>
      <x:c r="B769" s="20" t="str">
        <x:v>NYC-V3-R01</x:v>
      </x:c>
      <x:c r="C769" s="20" t="str">
        <x:v>V3</x:v>
      </x:c>
      <x:c r="D769" s="20" t="str">
        <x:v>age_65_plus</x:v>
      </x:c>
      <x:c r="E769" s="20" t="str">
        <x:v>population</x:v>
      </x:c>
      <x:c r="F769" s="50" t="n">
        <x:v>5397</x:v>
      </x:c>
      <x:c r="G769" s="50" t="n">
        <x:v>396.21010840209516</x:v>
      </x:c>
      <x:c r="H769" s="50" t="n">
        <x:v>5397.666</x:v>
      </x:c>
      <x:c r="I769" s="50" t="n">
        <x:v>380.6415353353105</x:v>
      </x:c>
      <x:c r="J769" s="42" t="n">
        <x:v>0.9607062698890437</x:v>
      </x:c>
      <x:c r="K769" s="42" t="n">
        <x:v>0.0016809263213554233</x:v>
      </x:c>
      <x:c r="L769" s="26" t="n">
        <x:v>4782</x:v>
      </x:c>
      <x:c r="M769" s="26" t="n">
        <x:v>5406</x:v>
      </x:c>
      <x:c r="N769" s="26" t="n">
        <x:v>6008</x:v>
      </x:c>
    </x:row>
    <x:row r="770">
      <x:c r="A770" s="20" t="str">
        <x:v>T1_SHARED_CATCHMENT</x:v>
      </x:c>
      <x:c r="B770" s="20" t="str">
        <x:v>NYC-V3-R01</x:v>
      </x:c>
      <x:c r="C770" s="20" t="str">
        <x:v>V3</x:v>
      </x:c>
      <x:c r="D770" s="20" t="str">
        <x:v>age_75_plus</x:v>
      </x:c>
      <x:c r="E770" s="20" t="str">
        <x:v>population</x:v>
      </x:c>
      <x:c r="F770" s="50" t="n">
        <x:v>2200</x:v>
      </x:c>
      <x:c r="G770" s="50" t="n">
        <x:v>257.18087020616446</x:v>
      </x:c>
      <x:c r="H770" s="50" t="n">
        <x:v>2200.041</x:v>
      </x:c>
      <x:c r="I770" s="50" t="n">
        <x:v>250.0821553078176</x:v>
      </x:c>
      <x:c r="J770" s="42" t="n">
        <x:v>0.9723979668757777</x:v>
      </x:c>
      <x:c r="K770" s="42" t="n">
        <x:v>0.0001594208774832297</x:v>
      </x:c>
      <x:c r="L770" s="26" t="n">
        <x:v>1791</x:v>
      </x:c>
      <x:c r="M770" s="26" t="n">
        <x:v>2198</x:v>
      </x:c>
      <x:c r="N770" s="26" t="n">
        <x:v>2635</x:v>
      </x:c>
    </x:row>
    <x:row r="771">
      <x:c r="A771" s="20" t="str">
        <x:v>T1_SHARED_CATCHMENT</x:v>
      </x:c>
      <x:c r="B771" s="20" t="str">
        <x:v>NYC-V3-R01</x:v>
      </x:c>
      <x:c r="C771" s="20" t="str">
        <x:v>V3</x:v>
      </x:c>
      <x:c r="D771" s="20" t="str">
        <x:v>age_85_plus</x:v>
      </x:c>
      <x:c r="E771" s="20" t="str">
        <x:v>population</x:v>
      </x:c>
      <x:c r="F771" s="50" t="n">
        <x:v>678</x:v>
      </x:c>
      <x:c r="G771" s="50" t="n">
        <x:v>108.72810124342281</x:v>
      </x:c>
      <x:c r="H771" s="50" t="n">
        <x:v>677.969</x:v>
      </x:c>
      <x:c r="I771" s="50" t="n">
        <x:v>108.4416138879472</x:v>
      </x:c>
      <x:c r="J771" s="42" t="n">
        <x:v>0.9973651029292397</x:v>
      </x:c>
      <x:c r="K771" s="42" t="n">
        <x:v>-0.0002851148842427185</x:v>
      </x:c>
      <x:c r="L771" s="26" t="n">
        <x:v>503</x:v>
      </x:c>
      <x:c r="M771" s="26" t="n">
        <x:v>681</x:v>
      </x:c>
      <x:c r="N771" s="26" t="n">
        <x:v>848</x:v>
      </x:c>
    </x:row>
    <x:row r="772">
      <x:c r="A772" s="20" t="str">
        <x:v>T1_SHARED_CATCHMENT</x:v>
      </x:c>
      <x:c r="B772" s="20" t="str">
        <x:v>NYC-V3-R01</x:v>
      </x:c>
      <x:c r="C772" s="20" t="str">
        <x:v>V3</x:v>
      </x:c>
      <x:c r="D772" s="20" t="str">
        <x:v>civilian_noninstitutionalized</x:v>
      </x:c>
      <x:c r="E772" s="20" t="str">
        <x:v>disability</x:v>
      </x:c>
      <x:c r="F772" s="50" t="n">
        <x:v>34054</x:v>
      </x:c>
      <x:c r="G772" s="50" t="n">
        <x:v>1239.3902129676512</x:v>
      </x:c>
      <x:c r="H772" s="50" t="n">
        <x:v>34054.544</x:v>
      </x:c>
      <x:c r="I772" s="50" t="n">
        <x:v>1237.2540109256272</x:v>
      </x:c>
      <x:c r="J772" s="42" t="n">
        <x:v>0.998276408818084</x:v>
      </x:c>
      <x:c r="K772" s="42" t="n">
        <x:v>0.0004389255250766505</x:v>
      </x:c>
      <x:c r="L772" s="26" t="n">
        <x:v>31989</x:v>
      </x:c>
      <x:c r="M772" s="26" t="n">
        <x:v>34010</x:v>
      </x:c>
      <x:c r="N772" s="26" t="n">
        <x:v>36048</x:v>
      </x:c>
    </x:row>
    <x:row r="773">
      <x:c r="A773" s="20" t="str">
        <x:v>T1_SHARED_CATCHMENT</x:v>
      </x:c>
      <x:c r="B773" s="20" t="str">
        <x:v>NYC-V3-R01</x:v>
      </x:c>
      <x:c r="C773" s="20" t="str">
        <x:v>V3</x:v>
      </x:c>
      <x:c r="D773" s="20" t="str">
        <x:v>any_disability</x:v>
      </x:c>
      <x:c r="E773" s="20" t="str">
        <x:v>disability</x:v>
      </x:c>
      <x:c r="F773" s="50" t="n">
        <x:v>3265</x:v>
      </x:c>
      <x:c r="G773" s="50" t="n">
        <x:v>265.1135605735776</x:v>
      </x:c>
      <x:c r="H773" s="50" t="n">
        <x:v>3265.425</x:v>
      </x:c>
      <x:c r="I773" s="50" t="n">
        <x:v>304.6251776755721</x:v>
      </x:c>
      <x:c r="J773" s="42" t="n">
        <x:v>1.1490365751812561</x:v>
      </x:c>
      <x:c r="K773" s="42" t="n">
        <x:v>0.0016030866134523157</x:v>
      </x:c>
      <x:c r="L773" s="26" t="n">
        <x:v>2748</x:v>
      </x:c>
      <x:c r="M773" s="26" t="n">
        <x:v>3263</x:v>
      </x:c>
      <x:c r="N773" s="26" t="n">
        <x:v>3780</x:v>
      </x:c>
    </x:row>
    <x:row r="774">
      <x:c r="A774" s="20" t="str">
        <x:v>T1_SHARED_CATCHMENT</x:v>
      </x:c>
      <x:c r="B774" s="20" t="str">
        <x:v>NYC-V3-R01</x:v>
      </x:c>
      <x:c r="C774" s="20" t="str">
        <x:v>V3</x:v>
      </x:c>
      <x:c r="D774" s="20" t="str">
        <x:v>disability_under_18</x:v>
      </x:c>
      <x:c r="E774" s="20" t="str">
        <x:v>disability</x:v>
      </x:c>
      <x:c r="F774" s="50" t="n">
        <x:v>230</x:v>
      </x:c>
      <x:c r="G774" s="50" t="n">
        <x:v>101.90706550578328</x:v>
      </x:c>
      <x:c r="H774" s="50" t="n">
        <x:v>230.33</x:v>
      </x:c>
      <x:c r="I774" s="50" t="n">
        <x:v>98.75237278734689</x:v>
      </x:c>
      <x:c r="J774" s="42" t="n">
        <x:v>0.9690434347924839</x:v>
      </x:c>
      <x:c r="K774" s="42" t="n">
        <x:v>0.0032382445550969657</x:v>
      </x:c>
      <x:c r="L774" s="26" t="n">
        <x:v>74</x:v>
      </x:c>
      <x:c r="M774" s="26" t="n">
        <x:v>230</x:v>
      </x:c>
      <x:c r="N774" s="26" t="n">
        <x:v>397</x:v>
      </x:c>
    </x:row>
    <x:row r="775">
      <x:c r="A775" s="20" t="str">
        <x:v>T1_SHARED_CATCHMENT</x:v>
      </x:c>
      <x:c r="B775" s="20" t="str">
        <x:v>NYC-V3-R01</x:v>
      </x:c>
      <x:c r="C775" s="20" t="str">
        <x:v>V3</x:v>
      </x:c>
      <x:c r="D775" s="20" t="str">
        <x:v>disability_18_64</x:v>
      </x:c>
      <x:c r="E775" s="20" t="str">
        <x:v>disability</x:v>
      </x:c>
      <x:c r="F775" s="50" t="n">
        <x:v>1422</x:v>
      </x:c>
      <x:c r="G775" s="50" t="n">
        <x:v>194.2244835235764</x:v>
      </x:c>
      <x:c r="H775" s="50" t="n">
        <x:v>1422.077</x:v>
      </x:c>
      <x:c r="I775" s="50" t="n">
        <x:v>197.2147426683049</x:v>
      </x:c>
      <x:c r="J775" s="42" t="n">
        <x:v>1.0153958918591512</x:v>
      </x:c>
      <x:c r="K775" s="42" t="n">
        <x:v>0.00039644847345237684</x:v>
      </x:c>
      <x:c r="L775" s="26" t="n">
        <x:v>1104</x:v>
      </x:c>
      <x:c r="M775" s="26" t="n">
        <x:v>1428</x:v>
      </x:c>
      <x:c r="N775" s="26" t="n">
        <x:v>1743</x:v>
      </x:c>
    </x:row>
    <x:row r="776">
      <x:c r="A776" s="20" t="str">
        <x:v>T1_SHARED_CATCHMENT</x:v>
      </x:c>
      <x:c r="B776" s="20" t="str">
        <x:v>NYC-V3-R01</x:v>
      </x:c>
      <x:c r="C776" s="20" t="str">
        <x:v>V3</x:v>
      </x:c>
      <x:c r="D776" s="20" t="str">
        <x:v>disability_65_plus</x:v>
      </x:c>
      <x:c r="E776" s="20" t="str">
        <x:v>disability</x:v>
      </x:c>
      <x:c r="F776" s="50" t="n">
        <x:v>1613</x:v>
      </x:c>
      <x:c r="G776" s="50" t="n">
        <x:v>185.045129630585</x:v>
      </x:c>
      <x:c r="H776" s="50" t="n">
        <x:v>1613.018</x:v>
      </x:c>
      <x:c r="I776" s="50" t="n">
        <x:v>183.22706632436658</x:v>
      </x:c>
      <x:c r="J776" s="42" t="n">
        <x:v>0.9901750275197845</x:v>
      </x:c>
      <x:c r="K776" s="42" t="n">
        <x:v>0.00009727356799913307</x:v>
      </x:c>
      <x:c r="L776" s="26" t="n">
        <x:v>1307</x:v>
      </x:c>
      <x:c r="M776" s="26" t="n">
        <x:v>1619</x:v>
      </x:c>
      <x:c r="N776" s="26" t="n">
        <x:v>1911</x:v>
      </x:c>
    </x:row>
    <x:row r="777">
      <x:c r="A777" s="20" t="str">
        <x:v>T1_SHARED_CATCHMENT</x:v>
      </x:c>
      <x:c r="B777" s="20" t="str">
        <x:v>NYC-V3-R01</x:v>
      </x:c>
      <x:c r="C777" s="20" t="str">
        <x:v>V3</x:v>
      </x:c>
      <x:c r="D777" s="20" t="str">
        <x:v>hearing_difficulty</x:v>
      </x:c>
      <x:c r="E777" s="20" t="str">
        <x:v>disability</x:v>
      </x:c>
      <x:c r="F777" s="50" t="n">
        <x:v>720</x:v>
      </x:c>
      <x:c r="G777" s="50" t="n">
        <x:v>159.06620460011186</x:v>
      </x:c>
      <x:c r="H777" s="50" t="n">
        <x:v>720.061</x:v>
      </x:c>
      <x:c r="I777" s="50" t="n">
        <x:v>156.0623809434732</x:v>
      </x:c>
      <x:c r="J777" s="42" t="n">
        <x:v>0.9811158903037248</x:v>
      </x:c>
      <x:c r="K777" s="42" t="n">
        <x:v>0.00038348812152391406</x:v>
      </x:c>
      <x:c r="L777" s="26" t="n">
        <x:v>459</x:v>
      </x:c>
      <x:c r="M777" s="26" t="n">
        <x:v>715</x:v>
      </x:c>
      <x:c r="N777" s="26" t="n">
        <x:v>976</x:v>
      </x:c>
    </x:row>
    <x:row r="778">
      <x:c r="A778" s="20" t="str">
        <x:v>T1_SHARED_CATCHMENT</x:v>
      </x:c>
      <x:c r="B778" s="20" t="str">
        <x:v>NYC-V3-R01</x:v>
      </x:c>
      <x:c r="C778" s="20" t="str">
        <x:v>V3</x:v>
      </x:c>
      <x:c r="D778" s="20" t="str">
        <x:v>vision_difficulty</x:v>
      </x:c>
      <x:c r="E778" s="20" t="str">
        <x:v>disability</x:v>
      </x:c>
      <x:c r="F778" s="50" t="n">
        <x:v>541</x:v>
      </x:c>
      <x:c r="G778" s="50" t="n">
        <x:v>140.9076055387275</x:v>
      </x:c>
      <x:c r="H778" s="50" t="n">
        <x:v>540.972</x:v>
      </x:c>
      <x:c r="I778" s="50" t="n">
        <x:v>143.35106118457145</x:v>
      </x:c>
      <x:c r="J778" s="42" t="n">
        <x:v>1.0173408357661176</x:v>
      </x:c>
      <x:c r="K778" s="42" t="n">
        <x:v>-0.0001987117721074637</x:v>
      </x:c>
      <x:c r="L778" s="26" t="n">
        <x:v>285</x:v>
      </x:c>
      <x:c r="M778" s="26" t="n">
        <x:v>537</x:v>
      </x:c>
      <x:c r="N778" s="26" t="n">
        <x:v>778</x:v>
      </x:c>
    </x:row>
    <x:row r="779">
      <x:c r="A779" s="20" t="str">
        <x:v>T1_SHARED_CATCHMENT</x:v>
      </x:c>
      <x:c r="B779" s="20" t="str">
        <x:v>NYC-V3-R01</x:v>
      </x:c>
      <x:c r="C779" s="20" t="str">
        <x:v>V3</x:v>
      </x:c>
      <x:c r="D779" s="20" t="str">
        <x:v>cognitive_difficulty</x:v>
      </x:c>
      <x:c r="E779" s="20" t="str">
        <x:v>disability</x:v>
      </x:c>
      <x:c r="F779" s="50" t="n">
        <x:v>1327</x:v>
      </x:c>
      <x:c r="G779" s="50" t="n">
        <x:v>183.32778306430754</x:v>
      </x:c>
      <x:c r="H779" s="50" t="n">
        <x:v>1327.015</x:v>
      </x:c>
      <x:c r="I779" s="50" t="n">
        <x:v>182.56034359645045</x:v>
      </x:c>
      <x:c r="J779" s="42" t="n">
        <x:v>0.9958138398063326</x:v>
      </x:c>
      <x:c r="K779" s="42" t="n">
        <x:v>0.0000818206588732836</x:v>
      </x:c>
      <x:c r="L779" s="26" t="n">
        <x:v>1025</x:v>
      </x:c>
      <x:c r="M779" s="26" t="n">
        <x:v>1331</x:v>
      </x:c>
      <x:c r="N779" s="26" t="n">
        <x:v>1618</x:v>
      </x:c>
    </x:row>
    <x:row r="780">
      <x:c r="A780" s="20" t="str">
        <x:v>T1_SHARED_CATCHMENT</x:v>
      </x:c>
      <x:c r="B780" s="20" t="str">
        <x:v>NYC-V3-R01</x:v>
      </x:c>
      <x:c r="C780" s="20" t="str">
        <x:v>V3</x:v>
      </x:c>
      <x:c r="D780" s="20" t="str">
        <x:v>ambulatory_difficulty</x:v>
      </x:c>
      <x:c r="E780" s="20" t="str">
        <x:v>disability</x:v>
      </x:c>
      <x:c r="F780" s="50" t="n">
        <x:v>1715</x:v>
      </x:c>
      <x:c r="G780" s="50" t="n">
        <x:v>191.92404948828334</x:v>
      </x:c>
      <x:c r="H780" s="50" t="n">
        <x:v>1714.995</x:v>
      </x:c>
      <x:c r="I780" s="50" t="n">
        <x:v>192.28273355822833</x:v>
      </x:c>
      <x:c r="J780" s="42" t="n">
        <x:v>1.0018688854830926</x:v>
      </x:c>
      <x:c r="K780" s="42" t="n">
        <x:v>-0.00002605197219129321</x:v>
      </x:c>
      <x:c r="L780" s="26" t="n">
        <x:v>1397</x:v>
      </x:c>
      <x:c r="M780" s="26" t="n">
        <x:v>1715</x:v>
      </x:c>
      <x:c r="N780" s="26" t="n">
        <x:v>2028</x:v>
      </x:c>
    </x:row>
    <x:row r="781">
      <x:c r="A781" s="20" t="str">
        <x:v>T1_SHARED_CATCHMENT</x:v>
      </x:c>
      <x:c r="B781" s="20" t="str">
        <x:v>NYC-V3-R01</x:v>
      </x:c>
      <x:c r="C781" s="20" t="str">
        <x:v>V3</x:v>
      </x:c>
      <x:c r="D781" s="20" t="str">
        <x:v>self_care_difficulty</x:v>
      </x:c>
      <x:c r="E781" s="20" t="str">
        <x:v>disability</x:v>
      </x:c>
      <x:c r="F781" s="50" t="n">
        <x:v>694</x:v>
      </x:c>
      <x:c r="G781" s="50" t="n">
        <x:v>141.54999206989226</x:v>
      </x:c>
      <x:c r="H781" s="50" t="n">
        <x:v>694.081</x:v>
      </x:c>
      <x:c r="I781" s="50" t="n">
        <x:v>143.94838511277777</x:v>
      </x:c>
      <x:c r="J781" s="42" t="n">
        <x:v>1.0169437879000465</x:v>
      </x:c>
      <x:c r="K781" s="42" t="n">
        <x:v>0.0005722359910837891</x:v>
      </x:c>
      <x:c r="L781" s="26" t="n">
        <x:v>455</x:v>
      </x:c>
      <x:c r="M781" s="26" t="n">
        <x:v>693</x:v>
      </x:c>
      <x:c r="N781" s="26" t="n">
        <x:v>942</x:v>
      </x:c>
    </x:row>
    <x:row r="782">
      <x:c r="A782" s="20" t="str">
        <x:v>T1_SHARED_CATCHMENT</x:v>
      </x:c>
      <x:c r="B782" s="20" t="str">
        <x:v>NYC-V3-R01</x:v>
      </x:c>
      <x:c r="C782" s="20" t="str">
        <x:v>V3</x:v>
      </x:c>
      <x:c r="D782" s="20" t="str">
        <x:v>independent_living_difficulty</x:v>
      </x:c>
      <x:c r="E782" s="20" t="str">
        <x:v>disability</x:v>
      </x:c>
      <x:c r="F782" s="50" t="n">
        <x:v>1238</x:v>
      </x:c>
      <x:c r="G782" s="50" t="n">
        <x:v>175.45656878411353</x:v>
      </x:c>
      <x:c r="H782" s="50" t="n">
        <x:v>1237.916</x:v>
      </x:c>
      <x:c r="I782" s="50" t="n">
        <x:v>178.27068008895736</x:v>
      </x:c>
      <x:c r="J782" s="42" t="n">
        <x:v>1.0160387913906284</x:v>
      </x:c>
      <x:c r="K782" s="42" t="n">
        <x:v>-0.00047875095576168416</x:v>
      </x:c>
      <x:c r="L782" s="26" t="n">
        <x:v>946</x:v>
      </x:c>
      <x:c r="M782" s="26" t="n">
        <x:v>1240</x:v>
      </x:c>
      <x:c r="N782" s="26" t="n">
        <x:v>1530</x:v>
      </x:c>
    </x:row>
    <x:row r="783">
      <x:c r="A783" s="20" t="str">
        <x:v>T1_SHARED_CATCHMENT</x:v>
      </x:c>
      <x:c r="B783" s="20" t="str">
        <x:v>NYC-V3-R01</x:v>
      </x:c>
      <x:c r="C783" s="20" t="str">
        <x:v>V3</x:v>
      </x:c>
      <x:c r="D783" s="20" t="str">
        <x:v>households</x:v>
      </x:c>
      <x:c r="E783" s="20" t="str">
        <x:v>household</x:v>
      </x:c>
      <x:c r="F783" s="50" t="n">
        <x:v>16993</x:v>
      </x:c>
      <x:c r="G783" s="50" t="n">
        <x:v>417.34050845802153</x:v>
      </x:c>
      <x:c r="H783" s="50" t="n">
        <x:v>16995.749</x:v>
      </x:c>
      <x:c r="I783" s="50" t="n">
        <x:v>414.8918621234409</x:v>
      </x:c>
      <x:c r="J783" s="42" t="n">
        <x:v>0.9941327374530984</x:v>
      </x:c>
      <x:c r="K783" s="42" t="n">
        <x:v>0.006586947454865399</x:v>
      </x:c>
      <x:c r="L783" s="26" t="n">
        <x:v>16288</x:v>
      </x:c>
      <x:c r="M783" s="26" t="n">
        <x:v>16992</x:v>
      </x:c>
      <x:c r="N783" s="26" t="n">
        <x:v>17651</x:v>
      </x:c>
    </x:row>
    <x:row r="784">
      <x:c r="A784" s="20" t="str">
        <x:v>T1_SHARED_CATCHMENT</x:v>
      </x:c>
      <x:c r="B784" s="20" t="str">
        <x:v>NYC-V3-R01</x:v>
      </x:c>
      <x:c r="C784" s="20" t="str">
        <x:v>V3</x:v>
      </x:c>
      <x:c r="D784" s="20" t="str">
        <x:v>family_households</x:v>
      </x:c>
      <x:c r="E784" s="20" t="str">
        <x:v>household</x:v>
      </x:c>
      <x:c r="F784" s="50" t="n">
        <x:v>7085</x:v>
      </x:c>
      <x:c r="G784" s="50" t="n">
        <x:v>376.2040005103614</x:v>
      </x:c>
      <x:c r="H784" s="50" t="n">
        <x:v>7085.238</x:v>
      </x:c>
      <x:c r="I784" s="50" t="n">
        <x:v>377.7686812488994</x:v>
      </x:c>
      <x:c r="J784" s="42" t="n">
        <x:v>1.0041591283888935</x:v>
      </x:c>
      <x:c r="K784" s="42" t="n">
        <x:v>0.0006326354841453334</x:v>
      </x:c>
      <x:c r="L784" s="26" t="n">
        <x:v>6484</x:v>
      </x:c>
      <x:c r="M784" s="26" t="n">
        <x:v>7080</x:v>
      </x:c>
      <x:c r="N784" s="26" t="n">
        <x:v>7717</x:v>
      </x:c>
    </x:row>
    <x:row r="785">
      <x:c r="A785" s="20" t="str">
        <x:v>T1_SHARED_CATCHMENT</x:v>
      </x:c>
      <x:c r="B785" s="20" t="str">
        <x:v>NYC-V3-R01</x:v>
      </x:c>
      <x:c r="C785" s="20" t="str">
        <x:v>V3</x:v>
      </x:c>
      <x:c r="D785" s="20" t="str">
        <x:v>nonfamily_households</x:v>
      </x:c>
      <x:c r="E785" s="20" t="str">
        <x:v>household</x:v>
      </x:c>
      <x:c r="F785" s="50" t="n">
        <x:v>9908</x:v>
      </x:c>
      <x:c r="G785" s="50" t="n">
        <x:v>444.23073959373863</x:v>
      </x:c>
      <x:c r="H785" s="50" t="n">
        <x:v>9910.511</x:v>
      </x:c>
      <x:c r="I785" s="50" t="n">
        <x:v>517.5889084564672</x:v>
      </x:c>
      <x:c r="J785" s="42" t="n">
        <x:v>1.1651352829158481</x:v>
      </x:c>
      <x:c r="K785" s="42" t="n">
        <x:v>0.005652467909575103</x:v>
      </x:c>
      <x:c r="L785" s="26" t="n">
        <x:v>9040</x:v>
      </x:c>
      <x:c r="M785" s="26" t="n">
        <x:v>9929</x:v>
      </x:c>
      <x:c r="N785" s="26" t="n">
        <x:v>10737</x:v>
      </x:c>
    </x:row>
    <x:row r="786">
      <x:c r="A786" s="20" t="str">
        <x:v>T1_SHARED_CATCHMENT</x:v>
      </x:c>
      <x:c r="B786" s="20" t="str">
        <x:v>NYC-V3-R01</x:v>
      </x:c>
      <x:c r="C786" s="20" t="str">
        <x:v>V3</x:v>
      </x:c>
      <x:c r="D786" s="20" t="str">
        <x:v>living_alone_households</x:v>
      </x:c>
      <x:c r="E786" s="20" t="str">
        <x:v>household</x:v>
      </x:c>
      <x:c r="F786" s="50" t="n">
        <x:v>7241</x:v>
      </x:c>
      <x:c r="G786" s="50" t="n">
        <x:v>354.817276918698</x:v>
      </x:c>
      <x:c r="H786" s="50" t="n">
        <x:v>7241.052</x:v>
      </x:c>
      <x:c r="I786" s="50" t="n">
        <x:v>350.0409375401025</x:v>
      </x:c>
      <x:c r="J786" s="42" t="n">
        <x:v>0.9865385941178678</x:v>
      </x:c>
      <x:c r="K786" s="42" t="n">
        <x:v>0.0001465543066314525</x:v>
      </x:c>
      <x:c r="L786" s="26" t="n">
        <x:v>6673</x:v>
      </x:c>
      <x:c r="M786" s="26" t="n">
        <x:v>7248</x:v>
      </x:c>
      <x:c r="N786" s="26" t="n">
        <x:v>7797</x:v>
      </x:c>
    </x:row>
    <x:row r="787">
      <x:c r="A787" s="20" t="str">
        <x:v>T1_SHARED_CATCHMENT</x:v>
      </x:c>
      <x:c r="B787" s="20" t="str">
        <x:v>NYC-V3-R01</x:v>
      </x:c>
      <x:c r="C787" s="20" t="str">
        <x:v>V3</x:v>
      </x:c>
      <x:c r="D787" s="20" t="str">
        <x:v>households_with_children</x:v>
      </x:c>
      <x:c r="E787" s="20" t="str">
        <x:v>household</x:v>
      </x:c>
      <x:c r="F787" s="50" t="n">
        <x:v>2520</x:v>
      </x:c>
      <x:c r="G787" s="50" t="n">
        <x:v>216.2481213791232</x:v>
      </x:c>
      <x:c r="H787" s="50" t="n">
        <x:v>2519.986</x:v>
      </x:c>
      <x:c r="I787" s="50" t="n">
        <x:v>215.43903030736976</x:v>
      </x:c>
      <x:c r="J787" s="42" t="n">
        <x:v>0.9962585058931682</x:v>
      </x:c>
      <x:c r="K787" s="42" t="n">
        <x:v>-0.0000647404468109995</x:v>
      </x:c>
      <x:c r="L787" s="26" t="n">
        <x:v>2182</x:v>
      </x:c>
      <x:c r="M787" s="26" t="n">
        <x:v>2513</x:v>
      </x:c>
      <x:c r="N787" s="26" t="n">
        <x:v>2858</x:v>
      </x:c>
    </x:row>
    <x:row r="788">
      <x:c r="A788" s="20" t="str">
        <x:v>T1_SHARED_CATCHMENT</x:v>
      </x:c>
      <x:c r="B788" s="20" t="str">
        <x:v>NYC-V3-R01</x:v>
      </x:c>
      <x:c r="C788" s="20" t="str">
        <x:v>V3</x:v>
      </x:c>
      <x:c r="D788" s="20" t="str">
        <x:v>households_with_age65</x:v>
      </x:c>
      <x:c r="E788" s="20" t="str">
        <x:v>household</x:v>
      </x:c>
      <x:c r="F788" s="50" t="n">
        <x:v>4226</x:v>
      </x:c>
      <x:c r="G788" s="50" t="n">
        <x:v>283.0042402509192</x:v>
      </x:c>
      <x:c r="H788" s="50" t="n">
        <x:v>4226.054</x:v>
      </x:c>
      <x:c r="I788" s="50" t="n">
        <x:v>288.23482856934623</x:v>
      </x:c>
      <x:c r="J788" s="42" t="n">
        <x:v>1.0184823673093713</x:v>
      </x:c>
      <x:c r="K788" s="42" t="n">
        <x:v>0.00019080986190245577</x:v>
      </x:c>
      <x:c r="L788" s="26" t="n">
        <x:v>3747</x:v>
      </x:c>
      <x:c r="M788" s="26" t="n">
        <x:v>4224</x:v>
      </x:c>
      <x:c r="N788" s="26" t="n">
        <x:v>4708</x:v>
      </x:c>
    </x:row>
    <x:row r="789">
      <x:c r="A789" s="20" t="str">
        <x:v>T1_SHARED_CATCHMENT</x:v>
      </x:c>
      <x:c r="B789" s="20" t="str">
        <x:v>NYC-V3-R01</x:v>
      </x:c>
      <x:c r="C789" s="20" t="str">
        <x:v>V3</x:v>
      </x:c>
      <x:c r="D789" s="20" t="str">
        <x:v>age65_one_person_households</x:v>
      </x:c>
      <x:c r="E789" s="20" t="str">
        <x:v>household</x:v>
      </x:c>
      <x:c r="F789" s="50" t="n">
        <x:v>1899</x:v>
      </x:c>
      <x:c r="G789" s="50" t="n">
        <x:v>170.8314959250782</x:v>
      </x:c>
      <x:c r="H789" s="50" t="n">
        <x:v>1899.061</x:v>
      </x:c>
      <x:c r="I789" s="50" t="n">
        <x:v>165.62906830404881</x:v>
      </x:c>
      <x:c r="J789" s="42" t="n">
        <x:v>0.9695464376000604</x:v>
      </x:c>
      <x:c r="K789" s="42" t="n">
        <x:v>0.000357077011294654</x:v>
      </x:c>
      <x:c r="L789" s="26" t="n">
        <x:v>1622</x:v>
      </x:c>
      <x:c r="M789" s="26" t="n">
        <x:v>1898</x:v>
      </x:c>
      <x:c r="N789" s="26" t="n">
        <x:v>2159</x:v>
      </x:c>
    </x:row>
    <x:row r="790">
      <x:c r="A790" s="20" t="str">
        <x:v>T1_SHARED_CATCHMENT</x:v>
      </x:c>
      <x:c r="B790" s="20" t="str">
        <x:v>NYC-V3-R01</x:v>
      </x:c>
      <x:c r="C790" s="20" t="str">
        <x:v>V3</x:v>
      </x:c>
      <x:c r="D790" s="20" t="str">
        <x:v>no_vehicle_households</x:v>
      </x:c>
      <x:c r="E790" s="20" t="str">
        <x:v>household</x:v>
      </x:c>
      <x:c r="F790" s="50" t="n">
        <x:v>11582</x:v>
      </x:c>
      <x:c r="G790" s="50" t="n">
        <x:v>447.6686714535275</x:v>
      </x:c>
      <x:c r="H790" s="50" t="n">
        <x:v>11582.041</x:v>
      </x:c>
      <x:c r="I790" s="50" t="n">
        <x:v>445.71088107483814</x:v>
      </x:c>
      <x:c r="J790" s="42" t="n">
        <x:v>0.995626697815747</x:v>
      </x:c>
      <x:c r="K790" s="42" t="n">
        <x:v>0.00009158559133954063</x:v>
      </x:c>
      <x:c r="L790" s="26" t="n">
        <x:v>10858</x:v>
      </x:c>
      <x:c r="M790" s="26" t="n">
        <x:v>11571</x:v>
      </x:c>
      <x:c r="N790" s="26" t="n">
        <x:v>12302</x:v>
      </x:c>
    </x:row>
    <x:row r="791">
      <x:c r="A791" s="20" t="str">
        <x:v>T1_SHARED_CATCHMENT</x:v>
      </x:c>
      <x:c r="B791" s="20" t="str">
        <x:v>NYC-V3-R01</x:v>
      </x:c>
      <x:c r="C791" s="20" t="str">
        <x:v>V3</x:v>
      </x:c>
      <x:c r="D791" s="20" t="str">
        <x:v>limited_english_households</x:v>
      </x:c>
      <x:c r="E791" s="20" t="str">
        <x:v>household</x:v>
      </x:c>
      <x:c r="F791" s="50" t="n">
        <x:v>1726</x:v>
      </x:c>
      <x:c r="G791" s="50" t="n">
        <x:v>236.08002721927718</x:v>
      </x:c>
      <x:c r="H791" s="50" t="n">
        <x:v>1725.976</x:v>
      </x:c>
      <x:c r="I791" s="50" t="n">
        <x:v>236.83099532017414</x:v>
      </x:c>
      <x:c r="J791" s="42" t="n">
        <x:v>1.0031809895557129</x:v>
      </x:c>
      <x:c r="K791" s="42" t="n">
        <x:v>-0.00010166044236175645</x:v>
      </x:c>
      <x:c r="L791" s="26" t="n">
        <x:v>1364</x:v>
      </x:c>
      <x:c r="M791" s="26" t="n">
        <x:v>1729</x:v>
      </x:c>
      <x:c r="N791" s="26" t="n">
        <x:v>2105</x:v>
      </x:c>
    </x:row>
    <x:row r="792">
      <x:c r="A792" s="20" t="str">
        <x:v>T1_SHARED_CATCHMENT</x:v>
      </x:c>
      <x:c r="B792" s="20" t="str">
        <x:v>NYC-V3-R01</x:v>
      </x:c>
      <x:c r="C792" s="20" t="str">
        <x:v>V3</x:v>
      </x:c>
      <x:c r="D792" s="20" t="str">
        <x:v>housing_units</x:v>
      </x:c>
      <x:c r="E792" s="20" t="str">
        <x:v>housing</x:v>
      </x:c>
      <x:c r="F792" s="50" t="n">
        <x:v>19738</x:v>
      </x:c>
      <x:c r="G792" s="50" t="n">
        <x:v>451.6783700820751</x:v>
      </x:c>
      <x:c r="H792" s="50" t="n">
        <x:v>19740.712</x:v>
      </x:c>
      <x:c r="I792" s="50" t="n">
        <x:v>494.7756704002532</x:v>
      </x:c>
      <x:c r="J792" s="42" t="n">
        <x:v>1.0954159047074732</x:v>
      </x:c>
      <x:c r="K792" s="42" t="n">
        <x:v>0.006004272463847966</x:v>
      </x:c>
      <x:c r="L792" s="26" t="n">
        <x:v>18884</x:v>
      </x:c>
      <x:c r="M792" s="26" t="n">
        <x:v>19755</x:v>
      </x:c>
      <x:c r="N792" s="26" t="n">
        <x:v>20566</x:v>
      </x:c>
    </x:row>
    <x:row r="793">
      <x:c r="A793" s="20" t="str">
        <x:v>T1_SHARED_CATCHMENT</x:v>
      </x:c>
      <x:c r="B793" s="20" t="str">
        <x:v>NYC-V3-R01</x:v>
      </x:c>
      <x:c r="C793" s="20" t="str">
        <x:v>V3</x:v>
      </x:c>
      <x:c r="D793" s="20" t="str">
        <x:v>occupied_housing_units</x:v>
      </x:c>
      <x:c r="E793" s="20" t="str">
        <x:v>housing</x:v>
      </x:c>
      <x:c r="F793" s="50" t="n">
        <x:v>16993</x:v>
      </x:c>
      <x:c r="G793" s="50" t="n">
        <x:v>417.34050845802153</x:v>
      </x:c>
      <x:c r="H793" s="50" t="n">
        <x:v>16995.749</x:v>
      </x:c>
      <x:c r="I793" s="50" t="n">
        <x:v>414.8918621234409</x:v>
      </x:c>
      <x:c r="J793" s="42" t="n">
        <x:v>0.9941327374530984</x:v>
      </x:c>
      <x:c r="K793" s="42" t="n">
        <x:v>0.006586947454865399</x:v>
      </x:c>
      <x:c r="L793" s="26" t="n">
        <x:v>16288</x:v>
      </x:c>
      <x:c r="M793" s="26" t="n">
        <x:v>16992</x:v>
      </x:c>
      <x:c r="N793" s="26" t="n">
        <x:v>17651</x:v>
      </x:c>
    </x:row>
    <x:row r="794">
      <x:c r="A794" s="20" t="str">
        <x:v>T1_SHARED_CATCHMENT</x:v>
      </x:c>
      <x:c r="B794" s="20" t="str">
        <x:v>NYC-V3-R01</x:v>
      </x:c>
      <x:c r="C794" s="20" t="str">
        <x:v>V3</x:v>
      </x:c>
      <x:c r="D794" s="20" t="str">
        <x:v>vacant_housing_units</x:v>
      </x:c>
      <x:c r="E794" s="20" t="str">
        <x:v>housing</x:v>
      </x:c>
      <x:c r="F794" s="50" t="n">
        <x:v>2745</x:v>
      </x:c>
      <x:c r="G794" s="50" t="n">
        <x:v>288.16861383571944</x:v>
      </x:c>
      <x:c r="H794" s="50" t="n">
        <x:v>2744.963</x:v>
      </x:c>
      <x:c r="I794" s="50" t="n">
        <x:v>289.42430108243684</x:v>
      </x:c>
      <x:c r="J794" s="42" t="n">
        <x:v>1.0043574740149641</x:v>
      </x:c>
      <x:c r="K794" s="42" t="n">
        <x:v>-0.0001283970502800847</x:v>
      </x:c>
      <x:c r="L794" s="26" t="n">
        <x:v>2284</x:v>
      </x:c>
      <x:c r="M794" s="26" t="n">
        <x:v>2746</x:v>
      </x:c>
      <x:c r="N794" s="26" t="n">
        <x:v>3213</x:v>
      </x:c>
    </x:row>
    <x:row r="795">
      <x:c r="A795" s="20" t="str">
        <x:v>T1_SHARED_CATCHMENT</x:v>
      </x:c>
      <x:c r="B795" s="20" t="str">
        <x:v>NYC-V3-R01</x:v>
      </x:c>
      <x:c r="C795" s="20" t="str">
        <x:v>V3</x:v>
      </x:c>
      <x:c r="D795" s="20" t="str">
        <x:v>owner_occupied_units</x:v>
      </x:c>
      <x:c r="E795" s="20" t="str">
        <x:v>housing</x:v>
      </x:c>
      <x:c r="F795" s="50" t="n">
        <x:v>2897</x:v>
      </x:c>
      <x:c r="G795" s="50" t="n">
        <x:v>216.06902011620662</x:v>
      </x:c>
      <x:c r="H795" s="50" t="n">
        <x:v>2896.91</x:v>
      </x:c>
      <x:c r="I795" s="50" t="n">
        <x:v>207.23223953116246</x:v>
      </x:c>
      <x:c r="J795" s="42" t="n">
        <x:v>0.9591020472056033</x:v>
      </x:c>
      <x:c r="K795" s="42" t="n">
        <x:v>-0.00041653356854092996</x:v>
      </x:c>
      <x:c r="L795" s="26" t="n">
        <x:v>2551</x:v>
      </x:c>
      <x:c r="M795" s="26" t="n">
        <x:v>2897</x:v>
      </x:c>
      <x:c r="N795" s="26" t="n">
        <x:v>3233</x:v>
      </x:c>
    </x:row>
    <x:row r="796">
      <x:c r="A796" s="20" t="str">
        <x:v>T1_SHARED_CATCHMENT</x:v>
      </x:c>
      <x:c r="B796" s="20" t="str">
        <x:v>NYC-V3-R01</x:v>
      </x:c>
      <x:c r="C796" s="20" t="str">
        <x:v>V3</x:v>
      </x:c>
      <x:c r="D796" s="20" t="str">
        <x:v>renter_occupied_units</x:v>
      </x:c>
      <x:c r="E796" s="20" t="str">
        <x:v>housing</x:v>
      </x:c>
      <x:c r="F796" s="50" t="n">
        <x:v>14096</x:v>
      </x:c>
      <x:c r="G796" s="50" t="n">
        <x:v>444.97732815487757</x:v>
      </x:c>
      <x:c r="H796" s="50" t="n">
        <x:v>14098.839</x:v>
      </x:c>
      <x:c r="I796" s="50" t="n">
        <x:v>364.8554571108723</x:v>
      </x:c>
      <x:c r="J796" s="42" t="n">
        <x:v>0.8199416779811346</x:v>
      </x:c>
      <x:c r="K796" s="42" t="n">
        <x:v>0.00638010033403726</x:v>
      </x:c>
      <x:c r="L796" s="26" t="n">
        <x:v>13486</x:v>
      </x:c>
      <x:c r="M796" s="26" t="n">
        <x:v>14085</x:v>
      </x:c>
      <x:c r="N796" s="26" t="n">
        <x:v>14688</x:v>
      </x:c>
    </x:row>
    <x:row r="797">
      <x:c r="A797" s="20" t="str">
        <x:v>T1_SHARED_CATCHMENT</x:v>
      </x:c>
      <x:c r="B797" s="20" t="str">
        <x:v>NYC-V3-R01</x:v>
      </x:c>
      <x:c r="C797" s="20" t="str">
        <x:v>V3</x:v>
      </x:c>
      <x:c r="D797" s="20" t="str">
        <x:v>one_unit_structures</x:v>
      </x:c>
      <x:c r="E797" s="20" t="str">
        <x:v>housing</x:v>
      </x:c>
      <x:c r="F797" s="50" t="n">
        <x:v>547</x:v>
      </x:c>
      <x:c r="G797" s="50" t="n">
        <x:v>105.79778256088589</x:v>
      </x:c>
      <x:c r="H797" s="50" t="n">
        <x:v>546.961</x:v>
      </x:c>
      <x:c r="I797" s="50" t="n">
        <x:v>101.66432567087688</x:v>
      </x:c>
      <x:c r="J797" s="42" t="n">
        <x:v>0.9609305905099642</x:v>
      </x:c>
      <x:c r="K797" s="42" t="n">
        <x:v>-0.0003686277637959287</x:v>
      </x:c>
      <x:c r="L797" s="26" t="n">
        <x:v>374</x:v>
      </x:c>
      <x:c r="M797" s="26" t="n">
        <x:v>547</x:v>
      </x:c>
      <x:c r="N797" s="26" t="n">
        <x:v>712</x:v>
      </x:c>
    </x:row>
    <x:row r="798">
      <x:c r="A798" s="20" t="str">
        <x:v>T1_SHARED_CATCHMENT</x:v>
      </x:c>
      <x:c r="B798" s="20" t="str">
        <x:v>NYC-V3-R01</x:v>
      </x:c>
      <x:c r="C798" s="20" t="str">
        <x:v>V3</x:v>
      </x:c>
      <x:c r="D798" s="20" t="str">
        <x:v>two_to_four_unit_structures</x:v>
      </x:c>
      <x:c r="E798" s="20" t="str">
        <x:v>housing</x:v>
      </x:c>
      <x:c r="F798" s="50" t="n">
        <x:v>3223</x:v>
      </x:c>
      <x:c r="G798" s="50" t="n">
        <x:v>308.64521597961806</x:v>
      </x:c>
      <x:c r="H798" s="50" t="n">
        <x:v>3222.814</x:v>
      </x:c>
      <x:c r="I798" s="50" t="n">
        <x:v>267.86029668941705</x:v>
      </x:c>
      <x:c r="J798" s="42" t="n">
        <x:v>0.8678582489582657</x:v>
      </x:c>
      <x:c r="K798" s="42" t="n">
        <x:v>-0.00060263367248314</x:v>
      </x:c>
      <x:c r="L798" s="26" t="n">
        <x:v>2777</x:v>
      </x:c>
      <x:c r="M798" s="26" t="n">
        <x:v>3229</x:v>
      </x:c>
      <x:c r="N798" s="26" t="n">
        <x:v>3660</x:v>
      </x:c>
    </x:row>
    <x:row r="799">
      <x:c r="A799" s="20" t="str">
        <x:v>T1_SHARED_CATCHMENT</x:v>
      </x:c>
      <x:c r="B799" s="20" t="str">
        <x:v>NYC-V3-R01</x:v>
      </x:c>
      <x:c r="C799" s="20" t="str">
        <x:v>V3</x:v>
      </x:c>
      <x:c r="D799" s="20" t="str">
        <x:v>five_to_nineteen_unit_structures</x:v>
      </x:c>
      <x:c r="E799" s="20" t="str">
        <x:v>housing</x:v>
      </x:c>
      <x:c r="F799" s="50" t="n">
        <x:v>3304</x:v>
      </x:c>
      <x:c r="G799" s="50" t="n">
        <x:v>272.5899855271965</x:v>
      </x:c>
      <x:c r="H799" s="50" t="n">
        <x:v>3304.012</x:v>
      </x:c>
      <x:c r="I799" s="50" t="n">
        <x:v>241.83914908473778</x:v>
      </x:c>
      <x:c r="J799" s="42" t="n">
        <x:v>0.8871901460980463</x:v>
      </x:c>
      <x:c r="K799" s="42" t="n">
        <x:v>0.00004402216015736109</x:v>
      </x:c>
      <x:c r="L799" s="26" t="n">
        <x:v>2920</x:v>
      </x:c>
      <x:c r="M799" s="26" t="n">
        <x:v>3298</x:v>
      </x:c>
      <x:c r="N799" s="26" t="n">
        <x:v>3700</x:v>
      </x:c>
    </x:row>
    <x:row r="800">
      <x:c r="A800" s="20" t="str">
        <x:v>T1_SHARED_CATCHMENT</x:v>
      </x:c>
      <x:c r="B800" s="20" t="str">
        <x:v>NYC-V3-R01</x:v>
      </x:c>
      <x:c r="C800" s="20" t="str">
        <x:v>V3</x:v>
      </x:c>
      <x:c r="D800" s="20" t="str">
        <x:v>twenty_to_forty_nine_unit_structures</x:v>
      </x:c>
      <x:c r="E800" s="20" t="str">
        <x:v>housing</x:v>
      </x:c>
      <x:c r="F800" s="50" t="n">
        <x:v>4332</x:v>
      </x:c>
      <x:c r="G800" s="50" t="n">
        <x:v>317.0875677819216</x:v>
      </x:c>
      <x:c r="H800" s="50" t="n">
        <x:v>4331.824</x:v>
      </x:c>
      <x:c r="I800" s="50" t="n">
        <x:v>272.4492349220486</x:v>
      </x:c>
      <x:c r="J800" s="42" t="n">
        <x:v>0.8592239576842281</x:v>
      </x:c>
      <x:c r="K800" s="42" t="n">
        <x:v>-0.0005550517203545186</x:v>
      </x:c>
      <x:c r="L800" s="26" t="n">
        <x:v>3867</x:v>
      </x:c>
      <x:c r="M800" s="26" t="n">
        <x:v>4344</x:v>
      </x:c>
      <x:c r="N800" s="26" t="n">
        <x:v>4764</x:v>
      </x:c>
    </x:row>
    <x:row r="801">
      <x:c r="A801" s="20" t="str">
        <x:v>T1_SHARED_CATCHMENT</x:v>
      </x:c>
      <x:c r="B801" s="20" t="str">
        <x:v>NYC-V3-R01</x:v>
      </x:c>
      <x:c r="C801" s="20" t="str">
        <x:v>V3</x:v>
      </x:c>
      <x:c r="D801" s="20" t="str">
        <x:v>fifty_plus_unit_structures</x:v>
      </x:c>
      <x:c r="E801" s="20" t="str">
        <x:v>housing</x:v>
      </x:c>
      <x:c r="F801" s="50" t="n">
        <x:v>5543</x:v>
      </x:c>
      <x:c r="G801" s="50" t="n">
        <x:v>371.05030509916344</x:v>
      </x:c>
      <x:c r="H801" s="50" t="n">
        <x:v>5538.496</x:v>
      </x:c>
      <x:c r="I801" s="50" t="n">
        <x:v>308.4830526589391</x:v>
      </x:c>
      <x:c r="J801" s="42" t="n">
        <x:v>0.831377978725814</x:v>
      </x:c>
      <x:c r="K801" s="42" t="n">
        <x:v>-0.012138515824144677</x:v>
      </x:c>
      <x:c r="L801" s="26" t="n">
        <x:v>5023</x:v>
      </x:c>
      <x:c r="M801" s="26" t="n">
        <x:v>5539</x:v>
      </x:c>
      <x:c r="N801" s="26" t="n">
        <x:v>6045</x:v>
      </x:c>
    </x:row>
    <x:row r="802">
      <x:c r="A802" s="20" t="str">
        <x:v>T1_SHARED_CATCHMENT</x:v>
      </x:c>
      <x:c r="B802" s="20" t="str">
        <x:v>NYC-V3-R01</x:v>
      </x:c>
      <x:c r="C802" s="20" t="str">
        <x:v>V3</x:v>
      </x:c>
      <x:c r="D802" s="20" t="str">
        <x:v>mobile_or_other_units</x:v>
      </x:c>
      <x:c r="E802" s="20" t="str">
        <x:v>housing</x:v>
      </x:c>
      <x:c r="F802" s="50" t="n">
        <x:v>44</x:v>
      </x:c>
      <x:c r="G802" s="50" t="n">
        <x:v>61.15392748916372</x:v>
      </x:c>
      <x:c r="H802" s="50" t="n">
        <x:v>51.642</x:v>
      </x:c>
      <x:c r="I802" s="50" t="n">
        <x:v>47.37248133661554</x:v>
      </x:c>
      <x:c r="J802" s="42" t="n">
        <x:v>0.7746433186161231</x:v>
      </x:c>
      <x:c r="K802" s="42" t="n">
        <x:v>0.12496335580988058</x:v>
      </x:c>
      <x:c r="L802" s="26" t="n">
        <x:v>0</x:v>
      </x:c>
      <x:c r="M802" s="26" t="n">
        <x:v>45</x:v>
      </x:c>
      <x:c r="N802" s="26" t="n">
        <x:v>142</x:v>
      </x:c>
    </x:row>
    <x:row r="803">
      <x:c r="A803" s="20" t="str">
        <x:v>T1_SHARED_CATCHMENT</x:v>
      </x:c>
      <x:c r="B803" s="20" t="str">
        <x:v>NYC-V3-R01</x:v>
      </x:c>
      <x:c r="C803" s="20" t="str">
        <x:v>V3</x:v>
      </x:c>
      <x:c r="D803" s="20" t="str">
        <x:v>electric_heat_households</x:v>
      </x:c>
      <x:c r="E803" s="20" t="str">
        <x:v>housing</x:v>
      </x:c>
      <x:c r="F803" s="50" t="n">
        <x:v>2376</x:v>
      </x:c>
      <x:c r="G803" s="50" t="n">
        <x:v>218.07406998540657</x:v>
      </x:c>
      <x:c r="H803" s="50" t="n">
        <x:v>2376.113</x:v>
      </x:c>
      <x:c r="I803" s="50" t="n">
        <x:v>227.0275351862252</x:v>
      </x:c>
      <x:c r="J803" s="42" t="n">
        <x:v>1.041056991330596</x:v>
      </x:c>
      <x:c r="K803" s="42" t="n">
        <x:v>0.0005181725640622516</x:v>
      </x:c>
      <x:c r="L803" s="26" t="n">
        <x:v>2014</x:v>
      </x:c>
      <x:c r="M803" s="26" t="n">
        <x:v>2375</x:v>
      </x:c>
      <x:c r="N803" s="26" t="n">
        <x:v>2744</x:v>
      </x:c>
    </x:row>
    <x:row r="804">
      <x:c r="A804" s="20" t="str">
        <x:v>T1_SHARED_CATCHMENT</x:v>
      </x:c>
      <x:c r="B804" s="20" t="str">
        <x:v>NYC-V3-R01</x:v>
      </x:c>
      <x:c r="C804" s="20" t="str">
        <x:v>V3</x:v>
      </x:c>
      <x:c r="D804" s="20" t="str">
        <x:v>group_quarters_population</x:v>
      </x:c>
      <x:c r="E804" s="20" t="str">
        <x:v>population</x:v>
      </x:c>
      <x:c r="F804" s="50" t="n">
        <x:v>57</x:v>
      </x:c>
      <x:c r="G804" s="50" t="n">
        <x:v>4.09878030638384</x:v>
      </x:c>
      <x:c r="H804" s="50" t="n">
        <x:v>56.999</x:v>
      </x:c>
      <x:c r="I804" s="50" t="n">
        <x:v>4.062203896962892</x:v>
      </x:c>
      <x:c r="J804" s="42" t="n">
        <x:v>0.9910762698444754</x:v>
      </x:c>
      <x:c r="K804" s="42" t="n">
        <x:v>-0.00024397501823656466</x:v>
      </x:c>
      <x:c r="L804" s="26" t="n">
        <x:v>50</x:v>
      </x:c>
      <x:c r="M804" s="26" t="n">
        <x:v>57</x:v>
      </x:c>
      <x:c r="N804" s="26" t="n">
        <x:v>63</x:v>
      </x:c>
    </x:row>
    <x:row r="805">
      <x:c r="A805" s="20" t="str">
        <x:v>T1_SHARED_CATCHMENT</x:v>
      </x:c>
      <x:c r="B805" s="20" t="str">
        <x:v>NYC-V3-R02</x:v>
      </x:c>
      <x:c r="C805" s="20" t="str">
        <x:v>V3</x:v>
      </x:c>
      <x:c r="D805" s="20" t="str">
        <x:v>acs_population</x:v>
      </x:c>
      <x:c r="E805" s="20" t="str">
        <x:v>population</x:v>
      </x:c>
      <x:c r="F805" s="50" t="n">
        <x:v>31716</x:v>
      </x:c>
      <x:c r="G805" s="50" t="n">
        <x:v>1402.858153912932</x:v>
      </x:c>
      <x:c r="H805" s="50" t="n">
        <x:v>32428.734</x:v>
      </x:c>
      <x:c r="I805" s="50" t="n">
        <x:v>1238.1130930877337</x:v>
      </x:c>
      <x:c r="J805" s="42" t="n">
        <x:v>0.8825647052300462</x:v>
      </x:c>
      <x:c r="K805" s="42" t="n">
        <x:v>0.508058493306684</x:v>
      </x:c>
      <x:c r="L805" s="26" t="n">
        <x:v>30424</x:v>
      </x:c>
      <x:c r="M805" s="26" t="n">
        <x:v>32420</x:v>
      </x:c>
      <x:c r="N805" s="26" t="n">
        <x:v>34498</x:v>
      </x:c>
    </x:row>
    <x:row r="806">
      <x:c r="A806" s="20" t="str">
        <x:v>T1_SHARED_CATCHMENT</x:v>
      </x:c>
      <x:c r="B806" s="20" t="str">
        <x:v>NYC-V3-R02</x:v>
      </x:c>
      <x:c r="C806" s="20" t="str">
        <x:v>V3</x:v>
      </x:c>
      <x:c r="D806" s="20" t="str">
        <x:v>age_under_18</x:v>
      </x:c>
      <x:c r="E806" s="20" t="str">
        <x:v>population</x:v>
      </x:c>
      <x:c r="F806" s="50" t="n">
        <x:v>7492</x:v>
      </x:c>
      <x:c r="G806" s="50" t="n">
        <x:v>746.476824824455</x:v>
      </x:c>
      <x:c r="H806" s="50" t="n">
        <x:v>7491.822</x:v>
      </x:c>
      <x:c r="I806" s="50" t="n">
        <x:v>771.5051357512084</x:v>
      </x:c>
      <x:c r="J806" s="42" t="n">
        <x:v>1.0335285840021078</x:v>
      </x:c>
      <x:c r="K806" s="42" t="n">
        <x:v>-0.00023845348452946667</x:v>
      </x:c>
      <x:c r="L806" s="26" t="n">
        <x:v>6259</x:v>
      </x:c>
      <x:c r="M806" s="26" t="n">
        <x:v>7497</x:v>
      </x:c>
      <x:c r="N806" s="26" t="n">
        <x:v>8762</x:v>
      </x:c>
    </x:row>
    <x:row r="807">
      <x:c r="A807" s="20" t="str">
        <x:v>T1_SHARED_CATCHMENT</x:v>
      </x:c>
      <x:c r="B807" s="20" t="str">
        <x:v>NYC-V3-R02</x:v>
      </x:c>
      <x:c r="C807" s="20" t="str">
        <x:v>V3</x:v>
      </x:c>
      <x:c r="D807" s="20" t="str">
        <x:v>age_65_plus</x:v>
      </x:c>
      <x:c r="E807" s="20" t="str">
        <x:v>population</x:v>
      </x:c>
      <x:c r="F807" s="50" t="n">
        <x:v>4736</x:v>
      </x:c>
      <x:c r="G807" s="50" t="n">
        <x:v>375.0183328852071</x:v>
      </x:c>
      <x:c r="H807" s="50" t="n">
        <x:v>4763.016</x:v>
      </x:c>
      <x:c r="I807" s="50" t="n">
        <x:v>349.25581364863115</x:v>
      </x:c>
      <x:c r="J807" s="42" t="n">
        <x:v>0.9313033071253564</x:v>
      </x:c>
      <x:c r="K807" s="42" t="n">
        <x:v>0.07203914483900499</x:v>
      </x:c>
      <x:c r="L807" s="26" t="n">
        <x:v>4219</x:v>
      </x:c>
      <x:c r="M807" s="26" t="n">
        <x:v>4755</x:v>
      </x:c>
      <x:c r="N807" s="26" t="n">
        <x:v>5360</x:v>
      </x:c>
    </x:row>
    <x:row r="808">
      <x:c r="A808" s="20" t="str">
        <x:v>T1_SHARED_CATCHMENT</x:v>
      </x:c>
      <x:c r="B808" s="20" t="str">
        <x:v>NYC-V3-R02</x:v>
      </x:c>
      <x:c r="C808" s="20" t="str">
        <x:v>V3</x:v>
      </x:c>
      <x:c r="D808" s="20" t="str">
        <x:v>age_75_plus</x:v>
      </x:c>
      <x:c r="E808" s="20" t="str">
        <x:v>population</x:v>
      </x:c>
      <x:c r="F808" s="50" t="n">
        <x:v>1977</x:v>
      </x:c>
      <x:c r="G808" s="50" t="n">
        <x:v>255.81497219670314</x:v>
      </x:c>
      <x:c r="H808" s="50" t="n">
        <x:v>1976.972</x:v>
      </x:c>
      <x:c r="I808" s="50" t="n">
        <x:v>253.67245994181738</x:v>
      </x:c>
      <x:c r="J808" s="42" t="n">
        <x:v>0.9916247581738948</x:v>
      </x:c>
      <x:c r="K808" s="42" t="n">
        <x:v>-0.00010945410958389895</x:v>
      </x:c>
      <x:c r="L808" s="26" t="n">
        <x:v>1568</x:v>
      </x:c>
      <x:c r="M808" s="26" t="n">
        <x:v>1980</x:v>
      </x:c>
      <x:c r="N808" s="26" t="n">
        <x:v>2380</x:v>
      </x:c>
    </x:row>
    <x:row r="809">
      <x:c r="A809" s="20" t="str">
        <x:v>T1_SHARED_CATCHMENT</x:v>
      </x:c>
      <x:c r="B809" s="20" t="str">
        <x:v>NYC-V3-R02</x:v>
      </x:c>
      <x:c r="C809" s="20" t="str">
        <x:v>V3</x:v>
      </x:c>
      <x:c r="D809" s="20" t="str">
        <x:v>age_85_plus</x:v>
      </x:c>
      <x:c r="E809" s="20" t="str">
        <x:v>population</x:v>
      </x:c>
      <x:c r="F809" s="50" t="n">
        <x:v>655</x:v>
      </x:c>
      <x:c r="G809" s="50" t="n">
        <x:v>156.26099961282725</x:v>
      </x:c>
      <x:c r="H809" s="50" t="n">
        <x:v>655</x:v>
      </x:c>
      <x:c r="I809" s="50" t="n">
        <x:v>162.27079777893437</x:v>
      </x:c>
      <x:c r="J809" s="42" t="n">
        <x:v>1.0384600007743312</x:v>
      </x:c>
      <x:c r="K809" s="42" t="n">
        <x:v>0</x:v>
      </x:c>
      <x:c r="L809" s="26" t="n">
        <x:v>390</x:v>
      </x:c>
      <x:c r="M809" s="26" t="n">
        <x:v>660</x:v>
      </x:c>
      <x:c r="N809" s="26" t="n">
        <x:v>908</x:v>
      </x:c>
    </x:row>
    <x:row r="810">
      <x:c r="A810" s="20" t="str">
        <x:v>T1_SHARED_CATCHMENT</x:v>
      </x:c>
      <x:c r="B810" s="20" t="str">
        <x:v>NYC-V3-R02</x:v>
      </x:c>
      <x:c r="C810" s="20" t="str">
        <x:v>V3</x:v>
      </x:c>
      <x:c r="D810" s="20" t="str">
        <x:v>civilian_noninstitutionalized</x:v>
      </x:c>
      <x:c r="E810" s="20" t="str">
        <x:v>disability</x:v>
      </x:c>
      <x:c r="F810" s="50" t="n">
        <x:v>31676</x:v>
      </x:c>
      <x:c r="G810" s="50" t="n">
        <x:v>1401.3263895324317</x:v>
      </x:c>
      <x:c r="H810" s="50" t="n">
        <x:v>31675.413</x:v>
      </x:c>
      <x:c r="I810" s="50" t="n">
        <x:v>1426.4525457568843</x:v>
      </x:c>
      <x:c r="J810" s="42" t="n">
        <x:v>1.0179302669329136</x:v>
      </x:c>
      <x:c r="K810" s="42" t="n">
        <x:v>-0.00041888885015245697</x:v>
      </x:c>
      <x:c r="L810" s="26" t="n">
        <x:v>29256</x:v>
      </x:c>
      <x:c r="M810" s="26" t="n">
        <x:v>31658</x:v>
      </x:c>
      <x:c r="N810" s="26" t="n">
        <x:v>34063</x:v>
      </x:c>
    </x:row>
    <x:row r="811">
      <x:c r="A811" s="20" t="str">
        <x:v>T1_SHARED_CATCHMENT</x:v>
      </x:c>
      <x:c r="B811" s="20" t="str">
        <x:v>NYC-V3-R02</x:v>
      </x:c>
      <x:c r="C811" s="20" t="str">
        <x:v>V3</x:v>
      </x:c>
      <x:c r="D811" s="20" t="str">
        <x:v>any_disability</x:v>
      </x:c>
      <x:c r="E811" s="20" t="str">
        <x:v>disability</x:v>
      </x:c>
      <x:c r="F811" s="50" t="n">
        <x:v>4358</x:v>
      </x:c>
      <x:c r="G811" s="50" t="n">
        <x:v>345.61575484922565</x:v>
      </x:c>
      <x:c r="H811" s="50" t="n">
        <x:v>4358.26</x:v>
      </x:c>
      <x:c r="I811" s="50" t="n">
        <x:v>395.6311469088403</x:v>
      </x:c>
      <x:c r="J811" s="42" t="n">
        <x:v>1.144713866071973</x:v>
      </x:c>
      <x:c r="K811" s="42" t="n">
        <x:v>0.0007522805206424773</x:v>
      </x:c>
      <x:c r="L811" s="26" t="n">
        <x:v>3717</x:v>
      </x:c>
      <x:c r="M811" s="26" t="n">
        <x:v>4350</x:v>
      </x:c>
      <x:c r="N811" s="26" t="n">
        <x:v>5014</x:v>
      </x:c>
    </x:row>
    <x:row r="812">
      <x:c r="A812" s="20" t="str">
        <x:v>T1_SHARED_CATCHMENT</x:v>
      </x:c>
      <x:c r="B812" s="20" t="str">
        <x:v>NYC-V3-R02</x:v>
      </x:c>
      <x:c r="C812" s="20" t="str">
        <x:v>V3</x:v>
      </x:c>
      <x:c r="D812" s="20" t="str">
        <x:v>disability_under_18</x:v>
      </x:c>
      <x:c r="E812" s="20" t="str">
        <x:v>disability</x:v>
      </x:c>
      <x:c r="F812" s="50" t="n">
        <x:v>324</x:v>
      </x:c>
      <x:c r="G812" s="50" t="n">
        <x:v>124.74694385034049</x:v>
      </x:c>
      <x:c r="H812" s="50" t="n">
        <x:v>324.275</x:v>
      </x:c>
      <x:c r="I812" s="50" t="n">
        <x:v>127.84719112784323</x:v>
      </x:c>
      <x:c r="J812" s="42" t="n">
        <x:v>1.024852290419412</x:v>
      </x:c>
      <x:c r="K812" s="42" t="n">
        <x:v>0.00220446282299225</x:v>
      </x:c>
      <x:c r="L812" s="26" t="n">
        <x:v>109</x:v>
      </x:c>
      <x:c r="M812" s="26" t="n">
        <x:v>325</x:v>
      </x:c>
      <x:c r="N812" s="26" t="n">
        <x:v>539</x:v>
      </x:c>
    </x:row>
    <x:row r="813">
      <x:c r="A813" s="20" t="str">
        <x:v>T1_SHARED_CATCHMENT</x:v>
      </x:c>
      <x:c r="B813" s="20" t="str">
        <x:v>NYC-V3-R02</x:v>
      </x:c>
      <x:c r="C813" s="20" t="str">
        <x:v>V3</x:v>
      </x:c>
      <x:c r="D813" s="20" t="str">
        <x:v>disability_18_64</x:v>
      </x:c>
      <x:c r="E813" s="20" t="str">
        <x:v>disability</x:v>
      </x:c>
      <x:c r="F813" s="50" t="n">
        <x:v>1947</x:v>
      </x:c>
      <x:c r="G813" s="50" t="n">
        <x:v>228.7737965764436</x:v>
      </x:c>
      <x:c r="H813" s="50" t="n">
        <x:v>1946.971</x:v>
      </x:c>
      <x:c r="I813" s="50" t="n">
        <x:v>229.24503799743724</x:v>
      </x:c>
      <x:c r="J813" s="42" t="n">
        <x:v>1.0020598575013646</x:v>
      </x:c>
      <x:c r="K813" s="42" t="n">
        <x:v>-0.00012676276931176494</x:v>
      </x:c>
      <x:c r="L813" s="26" t="n">
        <x:v>1588</x:v>
      </x:c>
      <x:c r="M813" s="26" t="n">
        <x:v>1943</x:v>
      </x:c>
      <x:c r="N813" s="26" t="n">
        <x:v>2318</x:v>
      </x:c>
    </x:row>
    <x:row r="814">
      <x:c r="A814" s="20" t="str">
        <x:v>T1_SHARED_CATCHMENT</x:v>
      </x:c>
      <x:c r="B814" s="20" t="str">
        <x:v>NYC-V3-R02</x:v>
      </x:c>
      <x:c r="C814" s="20" t="str">
        <x:v>V3</x:v>
      </x:c>
      <x:c r="D814" s="20" t="str">
        <x:v>disability_65_plus</x:v>
      </x:c>
      <x:c r="E814" s="20" t="str">
        <x:v>disability</x:v>
      </x:c>
      <x:c r="F814" s="50" t="n">
        <x:v>2087</x:v>
      </x:c>
      <x:c r="G814" s="50" t="n">
        <x:v>225.21989254948153</x:v>
      </x:c>
      <x:c r="H814" s="50" t="n">
        <x:v>2087.014</x:v>
      </x:c>
      <x:c r="I814" s="50" t="n">
        <x:v>223.63820301963136</x:v>
      </x:c>
      <x:c r="J814" s="42" t="n">
        <x:v>0.9929771322064606</x:v>
      </x:c>
      <x:c r="K814" s="42" t="n">
        <x:v>0.00006216147180270875</x:v>
      </x:c>
      <x:c r="L814" s="26" t="n">
        <x:v>1728</x:v>
      </x:c>
      <x:c r="M814" s="26" t="n">
        <x:v>2088</x:v>
      </x:c>
      <x:c r="N814" s="26" t="n">
        <x:v>2456</x:v>
      </x:c>
    </x:row>
    <x:row r="815">
      <x:c r="A815" s="20" t="str">
        <x:v>T1_SHARED_CATCHMENT</x:v>
      </x:c>
      <x:c r="B815" s="20" t="str">
        <x:v>NYC-V3-R02</x:v>
      </x:c>
      <x:c r="C815" s="20" t="str">
        <x:v>V3</x:v>
      </x:c>
      <x:c r="D815" s="20" t="str">
        <x:v>hearing_difficulty</x:v>
      </x:c>
      <x:c r="E815" s="20" t="str">
        <x:v>disability</x:v>
      </x:c>
      <x:c r="F815" s="50" t="n">
        <x:v>711</x:v>
      </x:c>
      <x:c r="G815" s="50" t="n">
        <x:v>143.59378078631187</x:v>
      </x:c>
      <x:c r="H815" s="50" t="n">
        <x:v>711.075</x:v>
      </x:c>
      <x:c r="I815" s="50" t="n">
        <x:v>141.8571140825014</x:v>
      </x:c>
      <x:c r="J815" s="42" t="n">
        <x:v>0.9879056969299048</x:v>
      </x:c>
      <x:c r="K815" s="42" t="n">
        <x:v>0.0005223067432959108</x:v>
      </x:c>
      <x:c r="L815" s="26" t="n">
        <x:v>490</x:v>
      </x:c>
      <x:c r="M815" s="26" t="n">
        <x:v>706</x:v>
      </x:c>
      <x:c r="N815" s="26" t="n">
        <x:v>952</x:v>
      </x:c>
    </x:row>
    <x:row r="816">
      <x:c r="A816" s="20" t="str">
        <x:v>T1_SHARED_CATCHMENT</x:v>
      </x:c>
      <x:c r="B816" s="20" t="str">
        <x:v>NYC-V3-R02</x:v>
      </x:c>
      <x:c r="C816" s="20" t="str">
        <x:v>V3</x:v>
      </x:c>
      <x:c r="D816" s="20" t="str">
        <x:v>vision_difficulty</x:v>
      </x:c>
      <x:c r="E816" s="20" t="str">
        <x:v>disability</x:v>
      </x:c>
      <x:c r="F816" s="50" t="n">
        <x:v>823</x:v>
      </x:c>
      <x:c r="G816" s="50" t="n">
        <x:v>155.83074103653917</x:v>
      </x:c>
      <x:c r="H816" s="50" t="n">
        <x:v>822.993</x:v>
      </x:c>
      <x:c r="I816" s="50" t="n">
        <x:v>160.09498854229122</x:v>
      </x:c>
      <x:c r="J816" s="42" t="n">
        <x:v>1.0273646103290504</x:v>
      </x:c>
      <x:c r="K816" s="42" t="n">
        <x:v>-0.00004492053335167546</x:v>
      </x:c>
      <x:c r="L816" s="26" t="n">
        <x:v>554</x:v>
      </x:c>
      <x:c r="M816" s="26" t="n">
        <x:v>824</x:v>
      </x:c>
      <x:c r="N816" s="26" t="n">
        <x:v>1083</x:v>
      </x:c>
    </x:row>
    <x:row r="817">
      <x:c r="A817" s="20" t="str">
        <x:v>T1_SHARED_CATCHMENT</x:v>
      </x:c>
      <x:c r="B817" s="20" t="str">
        <x:v>NYC-V3-R02</x:v>
      </x:c>
      <x:c r="C817" s="20" t="str">
        <x:v>V3</x:v>
      </x:c>
      <x:c r="D817" s="20" t="str">
        <x:v>cognitive_difficulty</x:v>
      </x:c>
      <x:c r="E817" s="20" t="str">
        <x:v>disability</x:v>
      </x:c>
      <x:c r="F817" s="50" t="n">
        <x:v>1919</x:v>
      </x:c>
      <x:c r="G817" s="50" t="n">
        <x:v>238.4900905792062</x:v>
      </x:c>
      <x:c r="H817" s="50" t="n">
        <x:v>1919.048</x:v>
      </x:c>
      <x:c r="I817" s="50" t="n">
        <x:v>237.28153789164514</x:v>
      </x:c>
      <x:c r="J817" s="42" t="n">
        <x:v>0.9949324825839685</x:v>
      </x:c>
      <x:c r="K817" s="42" t="n">
        <x:v>0.00020126622403231586</x:v>
      </x:c>
      <x:c r="L817" s="26" t="n">
        <x:v>1526</x:v>
      </x:c>
      <x:c r="M817" s="26" t="n">
        <x:v>1927</x:v>
      </x:c>
      <x:c r="N817" s="26" t="n">
        <x:v>2303</x:v>
      </x:c>
    </x:row>
    <x:row r="818">
      <x:c r="A818" s="20" t="str">
        <x:v>T1_SHARED_CATCHMENT</x:v>
      </x:c>
      <x:c r="B818" s="20" t="str">
        <x:v>NYC-V3-R02</x:v>
      </x:c>
      <x:c r="C818" s="20" t="str">
        <x:v>V3</x:v>
      </x:c>
      <x:c r="D818" s="20" t="str">
        <x:v>ambulatory_difficulty</x:v>
      </x:c>
      <x:c r="E818" s="20" t="str">
        <x:v>disability</x:v>
      </x:c>
      <x:c r="F818" s="50" t="n">
        <x:v>2796</x:v>
      </x:c>
      <x:c r="G818" s="50" t="n">
        <x:v>281.51804378452533</x:v>
      </x:c>
      <x:c r="H818" s="50" t="n">
        <x:v>2796.03</x:v>
      </x:c>
      <x:c r="I818" s="50" t="n">
        <x:v>280.990973212712</x:v>
      </x:c>
      <x:c r="J818" s="42" t="n">
        <x:v>0.9981277556325421</x:v>
      </x:c>
      <x:c r="K818" s="42" t="n">
        <x:v>0.00010656510537264947</x:v>
      </x:c>
      <x:c r="L818" s="26" t="n">
        <x:v>2331</x:v>
      </x:c>
      <x:c r="M818" s="26" t="n">
        <x:v>2793</x:v>
      </x:c>
      <x:c r="N818" s="26" t="n">
        <x:v>3264</x:v>
      </x:c>
    </x:row>
    <x:row r="819">
      <x:c r="A819" s="20" t="str">
        <x:v>T1_SHARED_CATCHMENT</x:v>
      </x:c>
      <x:c r="B819" s="20" t="str">
        <x:v>NYC-V3-R02</x:v>
      </x:c>
      <x:c r="C819" s="20" t="str">
        <x:v>V3</x:v>
      </x:c>
      <x:c r="D819" s="20" t="str">
        <x:v>self_care_difficulty</x:v>
      </x:c>
      <x:c r="E819" s="20" t="str">
        <x:v>disability</x:v>
      </x:c>
      <x:c r="F819" s="50" t="n">
        <x:v>1397</x:v>
      </x:c>
      <x:c r="G819" s="50" t="n">
        <x:v>200.98794249628318</x:v>
      </x:c>
      <x:c r="H819" s="50" t="n">
        <x:v>1396.919</x:v>
      </x:c>
      <x:c r="I819" s="50" t="n">
        <x:v>201.83240760531933</x:v>
      </x:c>
      <x:c r="J819" s="42" t="n">
        <x:v>1.0042015709925074</x:v>
      </x:c>
      <x:c r="K819" s="42" t="n">
        <x:v>-0.00040300925017629604</x:v>
      </x:c>
      <x:c r="L819" s="26" t="n">
        <x:v>1060</x:v>
      </x:c>
      <x:c r="M819" s="26" t="n">
        <x:v>1398</x:v>
      </x:c>
      <x:c r="N819" s="26" t="n">
        <x:v>1722</x:v>
      </x:c>
    </x:row>
    <x:row r="820">
      <x:c r="A820" s="20" t="str">
        <x:v>T1_SHARED_CATCHMENT</x:v>
      </x:c>
      <x:c r="B820" s="20" t="str">
        <x:v>NYC-V3-R02</x:v>
      </x:c>
      <x:c r="C820" s="20" t="str">
        <x:v>V3</x:v>
      </x:c>
      <x:c r="D820" s="20" t="str">
        <x:v>independent_living_difficulty</x:v>
      </x:c>
      <x:c r="E820" s="20" t="str">
        <x:v>disability</x:v>
      </x:c>
      <x:c r="F820" s="50" t="n">
        <x:v>2095</x:v>
      </x:c>
      <x:c r="G820" s="50" t="n">
        <x:v>227.35481039465947</x:v>
      </x:c>
      <x:c r="H820" s="50" t="n">
        <x:v>2094.985</x:v>
      </x:c>
      <x:c r="I820" s="50" t="n">
        <x:v>227.80735494264877</x:v>
      </x:c>
      <x:c r="J820" s="42" t="n">
        <x:v>1.0019904771190182</x:v>
      </x:c>
      <x:c r="K820" s="42" t="n">
        <x:v>-0.00006597617166680815</x:v>
      </x:c>
      <x:c r="L820" s="26" t="n">
        <x:v>1721</x:v>
      </x:c>
      <x:c r="M820" s="26" t="n">
        <x:v>2091</x:v>
      </x:c>
      <x:c r="N820" s="26" t="n">
        <x:v>2474</x:v>
      </x:c>
    </x:row>
    <x:row r="821">
      <x:c r="A821" s="20" t="str">
        <x:v>T1_SHARED_CATCHMENT</x:v>
      </x:c>
      <x:c r="B821" s="20" t="str">
        <x:v>NYC-V3-R02</x:v>
      </x:c>
      <x:c r="C821" s="20" t="str">
        <x:v>V3</x:v>
      </x:c>
      <x:c r="D821" s="20" t="str">
        <x:v>households</x:v>
      </x:c>
      <x:c r="E821" s="20" t="str">
        <x:v>household</x:v>
      </x:c>
      <x:c r="F821" s="50" t="n">
        <x:v>13035</x:v>
      </x:c>
      <x:c r="G821" s="50" t="n">
        <x:v>478.17172647491407</x:v>
      </x:c>
      <x:c r="H821" s="50" t="n">
        <x:v>13040.148</x:v>
      </x:c>
      <x:c r="I821" s="50" t="n">
        <x:v>433.0166873776894</x:v>
      </x:c>
      <x:c r="J821" s="42" t="n">
        <x:v>0.9055673169342152</x:v>
      </x:c>
      <x:c r="K821" s="42" t="n">
        <x:v>0.010766006677036987</x:v>
      </x:c>
      <x:c r="L821" s="26" t="n">
        <x:v>12343</x:v>
      </x:c>
      <x:c r="M821" s="26" t="n">
        <x:v>13029</x:v>
      </x:c>
      <x:c r="N821" s="26" t="n">
        <x:v>13739</x:v>
      </x:c>
    </x:row>
    <x:row r="822">
      <x:c r="A822" s="20" t="str">
        <x:v>T1_SHARED_CATCHMENT</x:v>
      </x:c>
      <x:c r="B822" s="20" t="str">
        <x:v>NYC-V3-R02</x:v>
      </x:c>
      <x:c r="C822" s="20" t="str">
        <x:v>V3</x:v>
      </x:c>
      <x:c r="D822" s="20" t="str">
        <x:v>family_households</x:v>
      </x:c>
      <x:c r="E822" s="20" t="str">
        <x:v>household</x:v>
      </x:c>
      <x:c r="F822" s="50" t="n">
        <x:v>7652</x:v>
      </x:c>
      <x:c r="G822" s="50" t="n">
        <x:v>404.54085084203797</x:v>
      </x:c>
      <x:c r="H822" s="50" t="n">
        <x:v>7657.015</x:v>
      </x:c>
      <x:c r="I822" s="50" t="n">
        <x:v>518.5712766283377</x:v>
      </x:c>
      <x:c r="J822" s="42" t="n">
        <x:v>1.2818761703520158</x:v>
      </x:c>
      <x:c r="K822" s="42" t="n">
        <x:v>0.012396770287998793</x:v>
      </x:c>
      <x:c r="L822" s="26" t="n">
        <x:v>6802</x:v>
      </x:c>
      <x:c r="M822" s="26" t="n">
        <x:v>7663</x:v>
      </x:c>
      <x:c r="N822" s="26" t="n">
        <x:v>8472</x:v>
      </x:c>
    </x:row>
    <x:row r="823">
      <x:c r="A823" s="20" t="str">
        <x:v>T1_SHARED_CATCHMENT</x:v>
      </x:c>
      <x:c r="B823" s="20" t="str">
        <x:v>NYC-V3-R02</x:v>
      </x:c>
      <x:c r="C823" s="20" t="str">
        <x:v>V3</x:v>
      </x:c>
      <x:c r="D823" s="20" t="str">
        <x:v>nonfamily_households</x:v>
      </x:c>
      <x:c r="E823" s="20" t="str">
        <x:v>household</x:v>
      </x:c>
      <x:c r="F823" s="50" t="n">
        <x:v>5383</x:v>
      </x:c>
      <x:c r="G823" s="50" t="n">
        <x:v>365.525922473359</x:v>
      </x:c>
      <x:c r="H823" s="50" t="n">
        <x:v>5383.133</x:v>
      </x:c>
      <x:c r="I823" s="50" t="n">
        <x:v>364.5813089584295</x:v>
      </x:c>
      <x:c r="J823" s="42" t="n">
        <x:v>0.9974157413828881</x:v>
      </x:c>
      <x:c r="K823" s="42" t="n">
        <x:v>0.00036385928281052187</x:v>
      </x:c>
      <x:c r="L823" s="26" t="n">
        <x:v>4778</x:v>
      </x:c>
      <x:c r="M823" s="26" t="n">
        <x:v>5391</x:v>
      </x:c>
      <x:c r="N823" s="26" t="n">
        <x:v>5951</x:v>
      </x:c>
    </x:row>
    <x:row r="824">
      <x:c r="A824" s="20" t="str">
        <x:v>T1_SHARED_CATCHMENT</x:v>
      </x:c>
      <x:c r="B824" s="20" t="str">
        <x:v>NYC-V3-R02</x:v>
      </x:c>
      <x:c r="C824" s="20" t="str">
        <x:v>V3</x:v>
      </x:c>
      <x:c r="D824" s="20" t="str">
        <x:v>living_alone_households</x:v>
      </x:c>
      <x:c r="E824" s="20" t="str">
        <x:v>household</x:v>
      </x:c>
      <x:c r="F824" s="50" t="n">
        <x:v>4853</x:v>
      </x:c>
      <x:c r="G824" s="50" t="n">
        <x:v>333.8818653356304</x:v>
      </x:c>
      <x:c r="H824" s="50" t="n">
        <x:v>4853.076</x:v>
      </x:c>
      <x:c r="I824" s="50" t="n">
        <x:v>326.10180098952014</x:v>
      </x:c>
      <x:c r="J824" s="42" t="n">
        <x:v>0.976698152389051</x:v>
      </x:c>
      <x:c r="K824" s="42" t="n">
        <x:v>0.0002276254205169958</x:v>
      </x:c>
      <x:c r="L824" s="26" t="n">
        <x:v>4321</x:v>
      </x:c>
      <x:c r="M824" s="26" t="n">
        <x:v>4848</x:v>
      </x:c>
      <x:c r="N824" s="26" t="n">
        <x:v>5380</x:v>
      </x:c>
    </x:row>
    <x:row r="825">
      <x:c r="A825" s="20" t="str">
        <x:v>T1_SHARED_CATCHMENT</x:v>
      </x:c>
      <x:c r="B825" s="20" t="str">
        <x:v>NYC-V3-R02</x:v>
      </x:c>
      <x:c r="C825" s="20" t="str">
        <x:v>V3</x:v>
      </x:c>
      <x:c r="D825" s="20" t="str">
        <x:v>households_with_children</x:v>
      </x:c>
      <x:c r="E825" s="20" t="str">
        <x:v>household</x:v>
      </x:c>
      <x:c r="F825" s="50" t="n">
        <x:v>4143</x:v>
      </x:c>
      <x:c r="G825" s="50" t="n">
        <x:v>379.94499601916067</x:v>
      </x:c>
      <x:c r="H825" s="50" t="n">
        <x:v>4143.16</x:v>
      </x:c>
      <x:c r="I825" s="50" t="n">
        <x:v>384.3035071211107</x:v>
      </x:c>
      <x:c r="J825" s="42" t="n">
        <x:v>1.0114714265159852</x:v>
      </x:c>
      <x:c r="K825" s="42" t="n">
        <x:v>0.0004211135866408033</x:v>
      </x:c>
      <x:c r="L825" s="26" t="n">
        <x:v>3514</x:v>
      </x:c>
      <x:c r="M825" s="26" t="n">
        <x:v>4145</x:v>
      </x:c>
      <x:c r="N825" s="26" t="n">
        <x:v>4780</x:v>
      </x:c>
    </x:row>
    <x:row r="826">
      <x:c r="A826" s="20" t="str">
        <x:v>T1_SHARED_CATCHMENT</x:v>
      </x:c>
      <x:c r="B826" s="20" t="str">
        <x:v>NYC-V3-R02</x:v>
      </x:c>
      <x:c r="C826" s="20" t="str">
        <x:v>V3</x:v>
      </x:c>
      <x:c r="D826" s="20" t="str">
        <x:v>households_with_age65</x:v>
      </x:c>
      <x:c r="E826" s="20" t="str">
        <x:v>household</x:v>
      </x:c>
      <x:c r="F826" s="50" t="n">
        <x:v>4181</x:v>
      </x:c>
      <x:c r="G826" s="50" t="n">
        <x:v>318.22531326090325</x:v>
      </x:c>
      <x:c r="H826" s="50" t="n">
        <x:v>4181.016</x:v>
      </x:c>
      <x:c r="I826" s="50" t="n">
        <x:v>314.72142494485394</x:v>
      </x:c>
      <x:c r="J826" s="42" t="n">
        <x:v>0.9889892847299153</x:v>
      </x:c>
      <x:c r="K826" s="42" t="n">
        <x:v>0.00005027884122625951</x:v>
      </x:c>
      <x:c r="L826" s="26" t="n">
        <x:v>3655</x:v>
      </x:c>
      <x:c r="M826" s="26" t="n">
        <x:v>4176</x:v>
      </x:c>
      <x:c r="N826" s="26" t="n">
        <x:v>4715</x:v>
      </x:c>
    </x:row>
    <x:row r="827">
      <x:c r="A827" s="20" t="str">
        <x:v>T1_SHARED_CATCHMENT</x:v>
      </x:c>
      <x:c r="B827" s="20" t="str">
        <x:v>NYC-V3-R02</x:v>
      </x:c>
      <x:c r="C827" s="20" t="str">
        <x:v>V3</x:v>
      </x:c>
      <x:c r="D827" s="20" t="str">
        <x:v>age65_one_person_households</x:v>
      </x:c>
      <x:c r="E827" s="20" t="str">
        <x:v>household</x:v>
      </x:c>
      <x:c r="F827" s="50" t="n">
        <x:v>1947</x:v>
      </x:c>
      <x:c r="G827" s="50" t="n">
        <x:v>189.0428522848722</x:v>
      </x:c>
      <x:c r="H827" s="50" t="n">
        <x:v>1947.081</x:v>
      </x:c>
      <x:c r="I827" s="50" t="n">
        <x:v>189.15982628158358</x:v>
      </x:c>
      <x:c r="J827" s="42" t="n">
        <x:v>1.0006187697408158</x:v>
      </x:c>
      <x:c r="K827" s="42" t="n">
        <x:v>0.0004284742798836064</x:v>
      </x:c>
      <x:c r="L827" s="26" t="n">
        <x:v>1636</x:v>
      </x:c>
      <x:c r="M827" s="26" t="n">
        <x:v>1948</x:v>
      </x:c>
      <x:c r="N827" s="26" t="n">
        <x:v>2249</x:v>
      </x:c>
    </x:row>
    <x:row r="828">
      <x:c r="A828" s="20" t="str">
        <x:v>T1_SHARED_CATCHMENT</x:v>
      </x:c>
      <x:c r="B828" s="20" t="str">
        <x:v>NYC-V3-R02</x:v>
      </x:c>
      <x:c r="C828" s="20" t="str">
        <x:v>V3</x:v>
      </x:c>
      <x:c r="D828" s="20" t="str">
        <x:v>no_vehicle_households</x:v>
      </x:c>
      <x:c r="E828" s="20" t="str">
        <x:v>household</x:v>
      </x:c>
      <x:c r="F828" s="50" t="n">
        <x:v>8423</x:v>
      </x:c>
      <x:c r="G828" s="50" t="n">
        <x:v>409.94825920554155</x:v>
      </x:c>
      <x:c r="H828" s="50" t="n">
        <x:v>8422.406</x:v>
      </x:c>
      <x:c r="I828" s="50" t="n">
        <x:v>414.10702697949205</x:v>
      </x:c>
      <x:c r="J828" s="42" t="n">
        <x:v>1.0101446162547683</x:v>
      </x:c>
      <x:c r="K828" s="42" t="n">
        <x:v>-0.0014489633427161824</x:v>
      </x:c>
      <x:c r="L828" s="26" t="n">
        <x:v>7758</x:v>
      </x:c>
      <x:c r="M828" s="26" t="n">
        <x:v>8427</x:v>
      </x:c>
      <x:c r="N828" s="26" t="n">
        <x:v>9116</x:v>
      </x:c>
    </x:row>
    <x:row r="829">
      <x:c r="A829" s="20" t="str">
        <x:v>T1_SHARED_CATCHMENT</x:v>
      </x:c>
      <x:c r="B829" s="20" t="str">
        <x:v>NYC-V3-R02</x:v>
      </x:c>
      <x:c r="C829" s="20" t="str">
        <x:v>V3</x:v>
      </x:c>
      <x:c r="D829" s="20" t="str">
        <x:v>limited_english_households</x:v>
      </x:c>
      <x:c r="E829" s="20" t="str">
        <x:v>household</x:v>
      </x:c>
      <x:c r="F829" s="50" t="n">
        <x:v>2085</x:v>
      </x:c>
      <x:c r="G829" s="50" t="n">
        <x:v>248.351890480714</x:v>
      </x:c>
      <x:c r="H829" s="50" t="n">
        <x:v>2084.921</x:v>
      </x:c>
      <x:c r="I829" s="50" t="n">
        <x:v>250.07626616274064</x:v>
      </x:c>
      <x:c r="J829" s="42" t="n">
        <x:v>1.0069432758441617</x:v>
      </x:c>
      <x:c r="K829" s="42" t="n">
        <x:v>-0.0003180970350065166</x:v>
      </x:c>
      <x:c r="L829" s="26" t="n">
        <x:v>1669</x:v>
      </x:c>
      <x:c r="M829" s="26" t="n">
        <x:v>2076</x:v>
      </x:c>
      <x:c r="N829" s="26" t="n">
        <x:v>2497</x:v>
      </x:c>
    </x:row>
    <x:row r="830">
      <x:c r="A830" s="20" t="str">
        <x:v>T1_SHARED_CATCHMENT</x:v>
      </x:c>
      <x:c r="B830" s="20" t="str">
        <x:v>NYC-V3-R02</x:v>
      </x:c>
      <x:c r="C830" s="20" t="str">
        <x:v>V3</x:v>
      </x:c>
      <x:c r="D830" s="20" t="str">
        <x:v>housing_units</x:v>
      </x:c>
      <x:c r="E830" s="20" t="str">
        <x:v>housing</x:v>
      </x:c>
      <x:c r="F830" s="50" t="n">
        <x:v>14139</x:v>
      </x:c>
      <x:c r="G830" s="50" t="n">
        <x:v>438.7449145004418</x:v>
      </x:c>
      <x:c r="H830" s="50" t="n">
        <x:v>14144.174</x:v>
      </x:c>
      <x:c r="I830" s="50" t="n">
        <x:v>426.02521898499293</x:v>
      </x:c>
      <x:c r="J830" s="42" t="n">
        <x:v>0.9710089049580629</x:v>
      </x:c>
      <x:c r="K830" s="42" t="n">
        <x:v>0.011792729280730337</x:v>
      </x:c>
      <x:c r="L830" s="26" t="n">
        <x:v>13454</x:v>
      </x:c>
      <x:c r="M830" s="26" t="n">
        <x:v>14135</x:v>
      </x:c>
      <x:c r="N830" s="26" t="n">
        <x:v>14828</x:v>
      </x:c>
    </x:row>
    <x:row r="831">
      <x:c r="A831" s="20" t="str">
        <x:v>T1_SHARED_CATCHMENT</x:v>
      </x:c>
      <x:c r="B831" s="20" t="str">
        <x:v>NYC-V3-R02</x:v>
      </x:c>
      <x:c r="C831" s="20" t="str">
        <x:v>V3</x:v>
      </x:c>
      <x:c r="D831" s="20" t="str">
        <x:v>occupied_housing_units</x:v>
      </x:c>
      <x:c r="E831" s="20" t="str">
        <x:v>housing</x:v>
      </x:c>
      <x:c r="F831" s="50" t="n">
        <x:v>13035</x:v>
      </x:c>
      <x:c r="G831" s="50" t="n">
        <x:v>478.17172647491407</x:v>
      </x:c>
      <x:c r="H831" s="50" t="n">
        <x:v>13040.148</x:v>
      </x:c>
      <x:c r="I831" s="50" t="n">
        <x:v>433.0166873776894</x:v>
      </x:c>
      <x:c r="J831" s="42" t="n">
        <x:v>0.9055673169342152</x:v>
      </x:c>
      <x:c r="K831" s="42" t="n">
        <x:v>0.010766006677036987</x:v>
      </x:c>
      <x:c r="L831" s="26" t="n">
        <x:v>12343</x:v>
      </x:c>
      <x:c r="M831" s="26" t="n">
        <x:v>13029</x:v>
      </x:c>
      <x:c r="N831" s="26" t="n">
        <x:v>13739</x:v>
      </x:c>
    </x:row>
    <x:row r="832">
      <x:c r="A832" s="20" t="str">
        <x:v>T1_SHARED_CATCHMENT</x:v>
      </x:c>
      <x:c r="B832" s="20" t="str">
        <x:v>NYC-V3-R02</x:v>
      </x:c>
      <x:c r="C832" s="20" t="str">
        <x:v>V3</x:v>
      </x:c>
      <x:c r="D832" s="20" t="str">
        <x:v>vacant_housing_units</x:v>
      </x:c>
      <x:c r="E832" s="20" t="str">
        <x:v>housing</x:v>
      </x:c>
      <x:c r="F832" s="50" t="n">
        <x:v>1104</x:v>
      </x:c>
      <x:c r="G832" s="50" t="n">
        <x:v>198.37439350883974</x:v>
      </x:c>
      <x:c r="H832" s="50" t="n">
        <x:v>1104.026</x:v>
      </x:c>
      <x:c r="I832" s="50" t="n">
        <x:v>195.8187741671271</x:v>
      </x:c>
      <x:c r="J832" s="42" t="n">
        <x:v>0.9871171914050552</x:v>
      </x:c>
      <x:c r="K832" s="42" t="n">
        <x:v>0.00013106530303725274</x:v>
      </x:c>
      <x:c r="L832" s="26" t="n">
        <x:v>792</x:v>
      </x:c>
      <x:c r="M832" s="26" t="n">
        <x:v>1101</x:v>
      </x:c>
      <x:c r="N832" s="26" t="n">
        <x:v>1431</x:v>
      </x:c>
    </x:row>
    <x:row r="833">
      <x:c r="A833" s="20" t="str">
        <x:v>T1_SHARED_CATCHMENT</x:v>
      </x:c>
      <x:c r="B833" s="20" t="str">
        <x:v>NYC-V3-R02</x:v>
      </x:c>
      <x:c r="C833" s="20" t="str">
        <x:v>V3</x:v>
      </x:c>
      <x:c r="D833" s="20" t="str">
        <x:v>owner_occupied_units</x:v>
      </x:c>
      <x:c r="E833" s="20" t="str">
        <x:v>housing</x:v>
      </x:c>
      <x:c r="F833" s="50" t="n">
        <x:v>3347</x:v>
      </x:c>
      <x:c r="G833" s="50" t="n">
        <x:v>331.4658998172509</x:v>
      </x:c>
      <x:c r="H833" s="50" t="n">
        <x:v>3346.854</x:v>
      </x:c>
      <x:c r="I833" s="50" t="n">
        <x:v>297.64460182068314</x:v>
      </x:c>
      <x:c r="J833" s="42" t="n">
        <x:v>0.897964472317621</x:v>
      </x:c>
      <x:c r="K833" s="42" t="n">
        <x:v>-0.0004404676320571154</x:v>
      </x:c>
      <x:c r="L833" s="26" t="n">
        <x:v>2846</x:v>
      </x:c>
      <x:c r="M833" s="26" t="n">
        <x:v>3354</x:v>
      </x:c>
      <x:c r="N833" s="26" t="n">
        <x:v>3828</x:v>
      </x:c>
    </x:row>
    <x:row r="834">
      <x:c r="A834" s="20" t="str">
        <x:v>T1_SHARED_CATCHMENT</x:v>
      </x:c>
      <x:c r="B834" s="20" t="str">
        <x:v>NYC-V3-R02</x:v>
      </x:c>
      <x:c r="C834" s="20" t="str">
        <x:v>V3</x:v>
      </x:c>
      <x:c r="D834" s="20" t="str">
        <x:v>renter_occupied_units</x:v>
      </x:c>
      <x:c r="E834" s="20" t="str">
        <x:v>housing</x:v>
      </x:c>
      <x:c r="F834" s="50" t="n">
        <x:v>9688</x:v>
      </x:c>
      <x:c r="G834" s="50" t="n">
        <x:v>463.7026918574268</x:v>
      </x:c>
      <x:c r="H834" s="50" t="n">
        <x:v>9693.294</x:v>
      </x:c>
      <x:c r="I834" s="50" t="n">
        <x:v>382.954001586785</x:v>
      </x:c>
      <x:c r="J834" s="42" t="n">
        <x:v>0.8258610707063366</x:v>
      </x:c>
      <x:c r="K834" s="42" t="n">
        <x:v>0.011416798075495317</x:v>
      </x:c>
      <x:c r="L834" s="26" t="n">
        <x:v>9054</x:v>
      </x:c>
      <x:c r="M834" s="26" t="n">
        <x:v>9707</x:v>
      </x:c>
      <x:c r="N834" s="26" t="n">
        <x:v>10322</x:v>
      </x:c>
    </x:row>
    <x:row r="835">
      <x:c r="A835" s="20" t="str">
        <x:v>T1_SHARED_CATCHMENT</x:v>
      </x:c>
      <x:c r="B835" s="20" t="str">
        <x:v>NYC-V3-R02</x:v>
      </x:c>
      <x:c r="C835" s="20" t="str">
        <x:v>V3</x:v>
      </x:c>
      <x:c r="D835" s="20" t="str">
        <x:v>one_unit_structures</x:v>
      </x:c>
      <x:c r="E835" s="20" t="str">
        <x:v>housing</x:v>
      </x:c>
      <x:c r="F835" s="50" t="n">
        <x:v>823</x:v>
      </x:c>
      <x:c r="G835" s="50" t="n">
        <x:v>196.21420401684762</x:v>
      </x:c>
      <x:c r="H835" s="50" t="n">
        <x:v>822.949</x:v>
      </x:c>
      <x:c r="I835" s="50" t="n">
        <x:v>182.3078235884065</x:v>
      </x:c>
      <x:c r="J835" s="42" t="n">
        <x:v>0.9291265354711677</x:v>
      </x:c>
      <x:c r="K835" s="42" t="n">
        <x:v>-0.00025992002085468556</x:v>
      </x:c>
      <x:c r="L835" s="26" t="n">
        <x:v>531</x:v>
      </x:c>
      <x:c r="M835" s="26" t="n">
        <x:v>828</x:v>
      </x:c>
      <x:c r="N835" s="26" t="n">
        <x:v>1121</x:v>
      </x:c>
    </x:row>
    <x:row r="836">
      <x:c r="A836" s="20" t="str">
        <x:v>T1_SHARED_CATCHMENT</x:v>
      </x:c>
      <x:c r="B836" s="20" t="str">
        <x:v>NYC-V3-R02</x:v>
      </x:c>
      <x:c r="C836" s="20" t="str">
        <x:v>V3</x:v>
      </x:c>
      <x:c r="D836" s="20" t="str">
        <x:v>two_to_four_unit_structures</x:v>
      </x:c>
      <x:c r="E836" s="20" t="str">
        <x:v>housing</x:v>
      </x:c>
      <x:c r="F836" s="50" t="n">
        <x:v>1584</x:v>
      </x:c>
      <x:c r="G836" s="50" t="n">
        <x:v>200.0461878836865</x:v>
      </x:c>
      <x:c r="H836" s="50" t="n">
        <x:v>1583.927</x:v>
      </x:c>
      <x:c r="I836" s="50" t="n">
        <x:v>188.3066038354684</x:v>
      </x:c>
      <x:c r="J836" s="42" t="n">
        <x:v>0.9413156322926588</x:v>
      </x:c>
      <x:c r="K836" s="42" t="n">
        <x:v>-0.00036491572657479176</x:v>
      </x:c>
      <x:c r="L836" s="26" t="n">
        <x:v>1281</x:v>
      </x:c>
      <x:c r="M836" s="26" t="n">
        <x:v>1587</x:v>
      </x:c>
      <x:c r="N836" s="26" t="n">
        <x:v>1887</x:v>
      </x:c>
    </x:row>
    <x:row r="837">
      <x:c r="A837" s="20" t="str">
        <x:v>T1_SHARED_CATCHMENT</x:v>
      </x:c>
      <x:c r="B837" s="20" t="str">
        <x:v>NYC-V3-R02</x:v>
      </x:c>
      <x:c r="C837" s="20" t="str">
        <x:v>V3</x:v>
      </x:c>
      <x:c r="D837" s="20" t="str">
        <x:v>five_to_nineteen_unit_structures</x:v>
      </x:c>
      <x:c r="E837" s="20" t="str">
        <x:v>housing</x:v>
      </x:c>
      <x:c r="F837" s="50" t="n">
        <x:v>1284</x:v>
      </x:c>
      <x:c r="G837" s="50" t="n">
        <x:v>193.65399770024894</x:v>
      </x:c>
      <x:c r="H837" s="50" t="n">
        <x:v>1284.009</x:v>
      </x:c>
      <x:c r="I837" s="50" t="n">
        <x:v>182.28347205159108</x:v>
      </x:c>
      <x:c r="J837" s="42" t="n">
        <x:v>0.9412843226388853</x:v>
      </x:c>
      <x:c r="K837" s="42" t="n">
        <x:v>0.000046474640889910134</x:v>
      </x:c>
      <x:c r="L837" s="26" t="n">
        <x:v>1000</x:v>
      </x:c>
      <x:c r="M837" s="26" t="n">
        <x:v>1282</x:v>
      </x:c>
      <x:c r="N837" s="26" t="n">
        <x:v>1577</x:v>
      </x:c>
    </x:row>
    <x:row r="838">
      <x:c r="A838" s="20" t="str">
        <x:v>T1_SHARED_CATCHMENT</x:v>
      </x:c>
      <x:c r="B838" s="20" t="str">
        <x:v>NYC-V3-R02</x:v>
      </x:c>
      <x:c r="C838" s="20" t="str">
        <x:v>V3</x:v>
      </x:c>
      <x:c r="D838" s="20" t="str">
        <x:v>twenty_to_forty_nine_unit_structures</x:v>
      </x:c>
      <x:c r="E838" s="20" t="str">
        <x:v>housing</x:v>
      </x:c>
      <x:c r="F838" s="50" t="n">
        <x:v>3364</x:v>
      </x:c>
      <x:c r="G838" s="50" t="n">
        <x:v>318.80427184358047</x:v>
      </x:c>
      <x:c r="H838" s="50" t="n">
        <x:v>3363.921</x:v>
      </x:c>
      <x:c r="I838" s="50" t="n">
        <x:v>277.9715469970622</x:v>
      </x:c>
      <x:c r="J838" s="42" t="n">
        <x:v>0.8719191414519295</x:v>
      </x:c>
      <x:c r="K838" s="42" t="n">
        <x:v>-0.00024780094552478006</x:v>
      </x:c>
      <x:c r="L838" s="26" t="n">
        <x:v>2900</x:v>
      </x:c>
      <x:c r="M838" s="26" t="n">
        <x:v>3362</x:v>
      </x:c>
      <x:c r="N838" s="26" t="n">
        <x:v>3818</x:v>
      </x:c>
    </x:row>
    <x:row r="839">
      <x:c r="A839" s="20" t="str">
        <x:v>T1_SHARED_CATCHMENT</x:v>
      </x:c>
      <x:c r="B839" s="20" t="str">
        <x:v>NYC-V3-R02</x:v>
      </x:c>
      <x:c r="C839" s="20" t="str">
        <x:v>V3</x:v>
      </x:c>
      <x:c r="D839" s="20" t="str">
        <x:v>fifty_plus_unit_structures</x:v>
      </x:c>
      <x:c r="E839" s="20" t="str">
        <x:v>housing</x:v>
      </x:c>
      <x:c r="F839" s="50" t="n">
        <x:v>5980</x:v>
      </x:c>
      <x:c r="G839" s="50" t="n">
        <x:v>468.6725087076537</x:v>
      </x:c>
      <x:c r="H839" s="50" t="n">
        <x:v>5964.95</x:v>
      </x:c>
      <x:c r="I839" s="50" t="n">
        <x:v>359.3708208618041</x:v>
      </x:c>
      <x:c r="J839" s="42" t="n">
        <x:v>0.76678451196712</x:v>
      </x:c>
      <x:c r="K839" s="42" t="n">
        <x:v>-0.03211197525005248</x:v>
      </x:c>
      <x:c r="L839" s="26" t="n">
        <x:v>5419</x:v>
      </x:c>
      <x:c r="M839" s="26" t="n">
        <x:v>5964</x:v>
      </x:c>
      <x:c r="N839" s="26" t="n">
        <x:v>6551</x:v>
      </x:c>
    </x:row>
    <x:row r="840">
      <x:c r="A840" s="20" t="str">
        <x:v>T1_SHARED_CATCHMENT</x:v>
      </x:c>
      <x:c r="B840" s="20" t="str">
        <x:v>NYC-V3-R02</x:v>
      </x:c>
      <x:c r="C840" s="20" t="str">
        <x:v>V3</x:v>
      </x:c>
      <x:c r="D840" s="20" t="str">
        <x:v>mobile_or_other_units</x:v>
      </x:c>
      <x:c r="E840" s="20" t="str">
        <x:v>housing</x:v>
      </x:c>
      <x:c r="F840" s="50" t="n">
        <x:v>0</x:v>
      </x:c>
      <x:c r="G840" s="50" t="n">
        <x:v>52.53348984916304</x:v>
      </x:c>
      <x:c r="H840" s="50" t="n">
        <x:v>20.392</x:v>
      </x:c>
      <x:c r="I840" s="50" t="n">
        <x:v>28.89846808149971</x:v>
      </x:c>
      <x:c r="J840" s="42" t="n">
        <x:v>0.5500961037325816</x:v>
      </x:c>
      <x:c r="K840" s="42" t="n">
        <x:v>0.38817143232917894</x:v>
      </x:c>
      <x:c r="L840" s="26" t="n">
        <x:v>0</x:v>
      </x:c>
      <x:c r="M840" s="26" t="n">
        <x:v>1</x:v>
      </x:c>
      <x:c r="N840" s="26" t="n">
        <x:v>78</x:v>
      </x:c>
    </x:row>
    <x:row r="841">
      <x:c r="A841" s="20" t="str">
        <x:v>T1_SHARED_CATCHMENT</x:v>
      </x:c>
      <x:c r="B841" s="20" t="str">
        <x:v>NYC-V3-R02</x:v>
      </x:c>
      <x:c r="C841" s="20" t="str">
        <x:v>V3</x:v>
      </x:c>
      <x:c r="D841" s="20" t="str">
        <x:v>electric_heat_households</x:v>
      </x:c>
      <x:c r="E841" s="20" t="str">
        <x:v>housing</x:v>
      </x:c>
      <x:c r="F841" s="50" t="n">
        <x:v>1952</x:v>
      </x:c>
      <x:c r="G841" s="50" t="n">
        <x:v>264.2669105279736</x:v>
      </x:c>
      <x:c r="H841" s="50" t="n">
        <x:v>1952.034</x:v>
      </x:c>
      <x:c r="I841" s="50" t="n">
        <x:v>266.5067667071527</x:v>
      </x:c>
      <x:c r="J841" s="42" t="n">
        <x:v>1.008475734531819</x:v>
      </x:c>
      <x:c r="K841" s="42" t="n">
        <x:v>0.00012865780256853793</x:v>
      </x:c>
      <x:c r="L841" s="26" t="n">
        <x:v>1507</x:v>
      </x:c>
      <x:c r="M841" s="26" t="n">
        <x:v>1949</x:v>
      </x:c>
      <x:c r="N841" s="26" t="n">
        <x:v>2395</x:v>
      </x:c>
    </x:row>
    <x:row r="842">
      <x:c r="A842" s="20" t="str">
        <x:v>T1_SHARED_CATCHMENT</x:v>
      </x:c>
      <x:c r="B842" s="20" t="str">
        <x:v>NYC-V3-R02</x:v>
      </x:c>
      <x:c r="C842" s="20" t="str">
        <x:v>V3</x:v>
      </x:c>
      <x:c r="D842" s="20" t="str">
        <x:v>group_quarters_population</x:v>
      </x:c>
      <x:c r="E842" s="20" t="str">
        <x:v>population</x:v>
      </x:c>
      <x:c r="F842" s="50" t="n">
        <x:v>195</x:v>
      </x:c>
      <x:c r="G842" s="50" t="n">
        <x:v>7.700649323271382</x:v>
      </x:c>
      <x:c r="H842" s="50" t="n">
        <x:v>195.013</x:v>
      </x:c>
      <x:c r="I842" s="50" t="n">
        <x:v>7.586064815131715</x:v>
      </x:c>
      <x:c r="J842" s="42" t="n">
        <x:v>0.9851201498303017</x:v>
      </x:c>
      <x:c r="K842" s="42" t="n">
        <x:v>0.0016881693288797342</x:v>
      </x:c>
      <x:c r="L842" s="26" t="n">
        <x:v>182</x:v>
      </x:c>
      <x:c r="M842" s="26" t="n">
        <x:v>195</x:v>
      </x:c>
      <x:c r="N842" s="26" t="n">
        <x:v>207</x:v>
      </x:c>
    </x:row>
    <x:row r="843">
      <x:c r="A843" s="20" t="str">
        <x:v>T1_SHARED_CATCHMENT</x:v>
      </x:c>
      <x:c r="B843" s="20" t="str">
        <x:v>NYC-V3-R03</x:v>
      </x:c>
      <x:c r="C843" s="20" t="str">
        <x:v>V3</x:v>
      </x:c>
      <x:c r="D843" s="20" t="str">
        <x:v>acs_population</x:v>
      </x:c>
      <x:c r="E843" s="20" t="str">
        <x:v>population</x:v>
      </x:c>
      <x:c r="F843" s="50" t="n">
        <x:v>41146</x:v>
      </x:c>
      <x:c r="G843" s="50" t="n">
        <x:v>1454.1482214684995</x:v>
      </x:c>
      <x:c r="H843" s="50" t="n">
        <x:v>41563.414</x:v>
      </x:c>
      <x:c r="I843" s="50" t="n">
        <x:v>1301.6335984556595</x:v>
      </x:c>
      <x:c r="J843" s="42" t="n">
        <x:v>0.8951175535195304</x:v>
      </x:c>
      <x:c r="K843" s="42" t="n">
        <x:v>0.2870505178478047</x:v>
      </x:c>
      <x:c r="L843" s="26" t="n">
        <x:v>39401</x:v>
      </x:c>
      <x:c r="M843" s="26" t="n">
        <x:v>41536</x:v>
      </x:c>
      <x:c r="N843" s="26" t="n">
        <x:v>43770</x:v>
      </x:c>
    </x:row>
    <x:row r="844">
      <x:c r="A844" s="20" t="str">
        <x:v>T1_SHARED_CATCHMENT</x:v>
      </x:c>
      <x:c r="B844" s="20" t="str">
        <x:v>NYC-V3-R03</x:v>
      </x:c>
      <x:c r="C844" s="20" t="str">
        <x:v>V3</x:v>
      </x:c>
      <x:c r="D844" s="20" t="str">
        <x:v>age_under_18</x:v>
      </x:c>
      <x:c r="E844" s="20" t="str">
        <x:v>population</x:v>
      </x:c>
      <x:c r="F844" s="50" t="n">
        <x:v>10108</x:v>
      </x:c>
      <x:c r="G844" s="50" t="n">
        <x:v>813.3160517289697</x:v>
      </x:c>
      <x:c r="H844" s="50" t="n">
        <x:v>10108.365</x:v>
      </x:c>
      <x:c r="I844" s="50" t="n">
        <x:v>832.7459478067658</x:v>
      </x:c>
      <x:c r="J844" s="42" t="n">
        <x:v>1.0238897240949463</x:v>
      </x:c>
      <x:c r="K844" s="42" t="n">
        <x:v>0.0004487800274245844</x:v>
      </x:c>
      <x:c r="L844" s="26" t="n">
        <x:v>8728</x:v>
      </x:c>
      <x:c r="M844" s="26" t="n">
        <x:v>10124</x:v>
      </x:c>
      <x:c r="N844" s="26" t="n">
        <x:v>11441</x:v>
      </x:c>
    </x:row>
    <x:row r="845">
      <x:c r="A845" s="20" t="str">
        <x:v>T1_SHARED_CATCHMENT</x:v>
      </x:c>
      <x:c r="B845" s="20" t="str">
        <x:v>NYC-V3-R03</x:v>
      </x:c>
      <x:c r="C845" s="20" t="str">
        <x:v>V3</x:v>
      </x:c>
      <x:c r="D845" s="20" t="str">
        <x:v>age_65_plus</x:v>
      </x:c>
      <x:c r="E845" s="20" t="str">
        <x:v>population</x:v>
      </x:c>
      <x:c r="F845" s="50" t="n">
        <x:v>8067</x:v>
      </x:c>
      <x:c r="G845" s="50" t="n">
        <x:v>446.3000112032264</x:v>
      </x:c>
      <x:c r="H845" s="50" t="n">
        <x:v>8066.967</x:v>
      </x:c>
      <x:c r="I845" s="50" t="n">
        <x:v>458.7398218327412</x:v>
      </x:c>
      <x:c r="J845" s="42" t="n">
        <x:v>1.0278732025929755</x:v>
      </x:c>
      <x:c r="K845" s="42" t="n">
        <x:v>-0.00007394129323767751</x:v>
      </x:c>
      <x:c r="L845" s="26" t="n">
        <x:v>7341</x:v>
      </x:c>
      <x:c r="M845" s="26" t="n">
        <x:v>8079</x:v>
      </x:c>
      <x:c r="N845" s="26" t="n">
        <x:v>8829</x:v>
      </x:c>
    </x:row>
    <x:row r="846">
      <x:c r="A846" s="20" t="str">
        <x:v>T1_SHARED_CATCHMENT</x:v>
      </x:c>
      <x:c r="B846" s="20" t="str">
        <x:v>NYC-V3-R03</x:v>
      </x:c>
      <x:c r="C846" s="20" t="str">
        <x:v>V3</x:v>
      </x:c>
      <x:c r="D846" s="20" t="str">
        <x:v>age_75_plus</x:v>
      </x:c>
      <x:c r="E846" s="20" t="str">
        <x:v>population</x:v>
      </x:c>
      <x:c r="F846" s="50" t="n">
        <x:v>3343</x:v>
      </x:c>
      <x:c r="G846" s="50" t="n">
        <x:v>319.74177080888256</x:v>
      </x:c>
      <x:c r="H846" s="50" t="n">
        <x:v>3343.014</x:v>
      </x:c>
      <x:c r="I846" s="50" t="n">
        <x:v>324.8350652617781</x:v>
      </x:c>
      <x:c r="J846" s="42" t="n">
        <x:v>1.015929399652759</x:v>
      </x:c>
      <x:c r="K846" s="42" t="n">
        <x:v>0.00004378533328537744</x:v>
      </x:c>
      <x:c r="L846" s="26" t="n">
        <x:v>2821</x:v>
      </x:c>
      <x:c r="M846" s="26" t="n">
        <x:v>3354</x:v>
      </x:c>
      <x:c r="N846" s="26" t="n">
        <x:v>3870</x:v>
      </x:c>
    </x:row>
    <x:row r="847">
      <x:c r="A847" s="20" t="str">
        <x:v>T1_SHARED_CATCHMENT</x:v>
      </x:c>
      <x:c r="B847" s="20" t="str">
        <x:v>NYC-V3-R03</x:v>
      </x:c>
      <x:c r="C847" s="20" t="str">
        <x:v>V3</x:v>
      </x:c>
      <x:c r="D847" s="20" t="str">
        <x:v>age_85_plus</x:v>
      </x:c>
      <x:c r="E847" s="20" t="str">
        <x:v>population</x:v>
      </x:c>
      <x:c r="F847" s="50" t="n">
        <x:v>943</x:v>
      </x:c>
      <x:c r="G847" s="50" t="n">
        <x:v>179.3863149741362</x:v>
      </x:c>
      <x:c r="H847" s="50" t="n">
        <x:v>942.95</x:v>
      </x:c>
      <x:c r="I847" s="50" t="n">
        <x:v>175.37307437350586</x:v>
      </x:c>
      <x:c r="J847" s="42" t="n">
        <x:v>0.9776279444660593</x:v>
      </x:c>
      <x:c r="K847" s="42" t="n">
        <x:v>-0.0002787280624342135</x:v>
      </x:c>
      <x:c r="L847" s="26" t="n">
        <x:v>654</x:v>
      </x:c>
      <x:c r="M847" s="26" t="n">
        <x:v>948</x:v>
      </x:c>
      <x:c r="N847" s="26" t="n">
        <x:v>1229</x:v>
      </x:c>
    </x:row>
    <x:row r="848">
      <x:c r="A848" s="20" t="str">
        <x:v>T1_SHARED_CATCHMENT</x:v>
      </x:c>
      <x:c r="B848" s="20" t="str">
        <x:v>NYC-V3-R03</x:v>
      </x:c>
      <x:c r="C848" s="20" t="str">
        <x:v>V3</x:v>
      </x:c>
      <x:c r="D848" s="20" t="str">
        <x:v>civilian_noninstitutionalized</x:v>
      </x:c>
      <x:c r="E848" s="20" t="str">
        <x:v>disability</x:v>
      </x:c>
      <x:c r="F848" s="50" t="n">
        <x:v>40336</x:v>
      </x:c>
      <x:c r="G848" s="50" t="n">
        <x:v>1446.3572172876243</x:v>
      </x:c>
      <x:c r="H848" s="50" t="n">
        <x:v>40334.615</x:v>
      </x:c>
      <x:c r="I848" s="50" t="n">
        <x:v>1458.9324016305648</x:v>
      </x:c>
      <x:c r="J848" s="42" t="n">
        <x:v>1.0086943835123408</x:v>
      </x:c>
      <x:c r="K848" s="42" t="n">
        <x:v>-0.0009575781027313217</x:v>
      </x:c>
      <x:c r="L848" s="26" t="n">
        <x:v>37908</x:v>
      </x:c>
      <x:c r="M848" s="26" t="n">
        <x:v>40331</x:v>
      </x:c>
      <x:c r="N848" s="26" t="n">
        <x:v>42782</x:v>
      </x:c>
    </x:row>
    <x:row r="849">
      <x:c r="A849" s="20" t="str">
        <x:v>T1_SHARED_CATCHMENT</x:v>
      </x:c>
      <x:c r="B849" s="20" t="str">
        <x:v>NYC-V3-R03</x:v>
      </x:c>
      <x:c r="C849" s="20" t="str">
        <x:v>V3</x:v>
      </x:c>
      <x:c r="D849" s="20" t="str">
        <x:v>any_disability</x:v>
      </x:c>
      <x:c r="E849" s="20" t="str">
        <x:v>disability</x:v>
      </x:c>
      <x:c r="F849" s="50" t="n">
        <x:v>5833</x:v>
      </x:c>
      <x:c r="G849" s="50" t="n">
        <x:v>514.2412371640377</x:v>
      </x:c>
      <x:c r="H849" s="50" t="n">
        <x:v>5833.029</x:v>
      </x:c>
      <x:c r="I849" s="50" t="n">
        <x:v>577.7173751277735</x:v>
      </x:c>
      <x:c r="J849" s="42" t="n">
        <x:v>1.1234364990131813</x:v>
      </x:c>
      <x:c r="K849" s="42" t="n">
        <x:v>0.000056393766008307126</x:v>
      </x:c>
      <x:c r="L849" s="26" t="n">
        <x:v>4888</x:v>
      </x:c>
      <x:c r="M849" s="26" t="n">
        <x:v>5827</x:v>
      </x:c>
      <x:c r="N849" s="26" t="n">
        <x:v>6774</x:v>
      </x:c>
    </x:row>
    <x:row r="850">
      <x:c r="A850" s="20" t="str">
        <x:v>T1_SHARED_CATCHMENT</x:v>
      </x:c>
      <x:c r="B850" s="20" t="str">
        <x:v>NYC-V3-R03</x:v>
      </x:c>
      <x:c r="C850" s="20" t="str">
        <x:v>V3</x:v>
      </x:c>
      <x:c r="D850" s="20" t="str">
        <x:v>disability_under_18</x:v>
      </x:c>
      <x:c r="E850" s="20" t="str">
        <x:v>disability</x:v>
      </x:c>
      <x:c r="F850" s="50" t="n">
        <x:v>938</x:v>
      </x:c>
      <x:c r="G850" s="50" t="n">
        <x:v>292.0101881784264</x:v>
      </x:c>
      <x:c r="H850" s="50" t="n">
        <x:v>937.886</x:v>
      </x:c>
      <x:c r="I850" s="50" t="n">
        <x:v>298.70624101685996</x:v>
      </x:c>
      <x:c r="J850" s="42" t="n">
        <x:v>1.0229308877207466</x:v>
      </x:c>
      <x:c r="K850" s="42" t="n">
        <x:v>-0.0003903973375421256</x:v>
      </x:c>
      <x:c r="L850" s="26" t="n">
        <x:v>447</x:v>
      </x:c>
      <x:c r="M850" s="26" t="n">
        <x:v>939</x:v>
      </x:c>
      <x:c r="N850" s="26" t="n">
        <x:v>1433</x:v>
      </x:c>
    </x:row>
    <x:row r="851">
      <x:c r="A851" s="20" t="str">
        <x:v>T1_SHARED_CATCHMENT</x:v>
      </x:c>
      <x:c r="B851" s="20" t="str">
        <x:v>NYC-V3-R03</x:v>
      </x:c>
      <x:c r="C851" s="20" t="str">
        <x:v>V3</x:v>
      </x:c>
      <x:c r="D851" s="20" t="str">
        <x:v>disability_18_64</x:v>
      </x:c>
      <x:c r="E851" s="20" t="str">
        <x:v>disability</x:v>
      </x:c>
      <x:c r="F851" s="50" t="n">
        <x:v>2622</x:v>
      </x:c>
      <x:c r="G851" s="50" t="n">
        <x:v>297.20565270532796</x:v>
      </x:c>
      <x:c r="H851" s="50" t="n">
        <x:v>2622.077</x:v>
      </x:c>
      <x:c r="I851" s="50" t="n">
        <x:v>292.8447936094206</x:v>
      </x:c>
      <x:c r="J851" s="42" t="n">
        <x:v>0.9853271327237135</x:v>
      </x:c>
      <x:c r="K851" s="42" t="n">
        <x:v>0.0002590798637217346</x:v>
      </x:c>
      <x:c r="L851" s="26" t="n">
        <x:v>2158</x:v>
      </x:c>
      <x:c r="M851" s="26" t="n">
        <x:v>2615</x:v>
      </x:c>
      <x:c r="N851" s="26" t="n">
        <x:v>3107</x:v>
      </x:c>
    </x:row>
    <x:row r="852">
      <x:c r="A852" s="20" t="str">
        <x:v>T1_SHARED_CATCHMENT</x:v>
      </x:c>
      <x:c r="B852" s="20" t="str">
        <x:v>NYC-V3-R03</x:v>
      </x:c>
      <x:c r="C852" s="20" t="str">
        <x:v>V3</x:v>
      </x:c>
      <x:c r="D852" s="20" t="str">
        <x:v>disability_65_plus</x:v>
      </x:c>
      <x:c r="E852" s="20" t="str">
        <x:v>disability</x:v>
      </x:c>
      <x:c r="F852" s="50" t="n">
        <x:v>2273</x:v>
      </x:c>
      <x:c r="G852" s="50" t="n">
        <x:v>256.72086007958137</x:v>
      </x:c>
      <x:c r="H852" s="50" t="n">
        <x:v>2273.066</x:v>
      </x:c>
      <x:c r="I852" s="50" t="n">
        <x:v>256.59812595231915</x:v>
      </x:c>
      <x:c r="J852" s="42" t="n">
        <x:v>0.9995219160327518</x:v>
      </x:c>
      <x:c r="K852" s="42" t="n">
        <x:v>0.00025708857464619</x:v>
      </x:c>
      <x:c r="L852" s="26" t="n">
        <x:v>1862</x:v>
      </x:c>
      <x:c r="M852" s="26" t="n">
        <x:v>2276</x:v>
      </x:c>
      <x:c r="N852" s="26" t="n">
        <x:v>2696</x:v>
      </x:c>
    </x:row>
    <x:row r="853">
      <x:c r="A853" s="20" t="str">
        <x:v>T1_SHARED_CATCHMENT</x:v>
      </x:c>
      <x:c r="B853" s="20" t="str">
        <x:v>NYC-V3-R03</x:v>
      </x:c>
      <x:c r="C853" s="20" t="str">
        <x:v>V3</x:v>
      </x:c>
      <x:c r="D853" s="20" t="str">
        <x:v>hearing_difficulty</x:v>
      </x:c>
      <x:c r="E853" s="20" t="str">
        <x:v>disability</x:v>
      </x:c>
      <x:c r="F853" s="50" t="n">
        <x:v>1110</x:v>
      </x:c>
      <x:c r="G853" s="50" t="n">
        <x:v>253.17306186750068</x:v>
      </x:c>
      <x:c r="H853" s="50" t="n">
        <x:v>1110.008</x:v>
      </x:c>
      <x:c r="I853" s="50" t="n">
        <x:v>248.5249899036445</x:v>
      </x:c>
      <x:c r="J853" s="42" t="n">
        <x:v>0.9816407325109148</x:v>
      </x:c>
      <x:c r="K853" s="42" t="n">
        <x:v>0.000031598938453511446</x:v>
      </x:c>
      <x:c r="L853" s="26" t="n">
        <x:v>700</x:v>
      </x:c>
      <x:c r="M853" s="26" t="n">
        <x:v>1109</x:v>
      </x:c>
      <x:c r="N853" s="26" t="n">
        <x:v>1537</x:v>
      </x:c>
    </x:row>
    <x:row r="854">
      <x:c r="A854" s="20" t="str">
        <x:v>T1_SHARED_CATCHMENT</x:v>
      </x:c>
      <x:c r="B854" s="20" t="str">
        <x:v>NYC-V3-R03</x:v>
      </x:c>
      <x:c r="C854" s="20" t="str">
        <x:v>V3</x:v>
      </x:c>
      <x:c r="D854" s="20" t="str">
        <x:v>vision_difficulty</x:v>
      </x:c>
      <x:c r="E854" s="20" t="str">
        <x:v>disability</x:v>
      </x:c>
      <x:c r="F854" s="50" t="n">
        <x:v>1279</x:v>
      </x:c>
      <x:c r="G854" s="50" t="n">
        <x:v>306.603023215739</x:v>
      </x:c>
      <x:c r="H854" s="50" t="n">
        <x:v>1278.955</x:v>
      </x:c>
      <x:c r="I854" s="50" t="n">
        <x:v>314.21654159195697</x:v>
      </x:c>
      <x:c r="J854" s="42" t="n">
        <x:v>1.0248318437840738</x:v>
      </x:c>
      <x:c r="K854" s="42" t="n">
        <x:v>-0.0001467695899671832</x:v>
      </x:c>
      <x:c r="L854" s="26" t="n">
        <x:v>754</x:v>
      </x:c>
      <x:c r="M854" s="26" t="n">
        <x:v>1278</x:v>
      </x:c>
      <x:c r="N854" s="26" t="n">
        <x:v>1802</x:v>
      </x:c>
    </x:row>
    <x:row r="855">
      <x:c r="A855" s="20" t="str">
        <x:v>T1_SHARED_CATCHMENT</x:v>
      </x:c>
      <x:c r="B855" s="20" t="str">
        <x:v>NYC-V3-R03</x:v>
      </x:c>
      <x:c r="C855" s="20" t="str">
        <x:v>V3</x:v>
      </x:c>
      <x:c r="D855" s="20" t="str">
        <x:v>cognitive_difficulty</x:v>
      </x:c>
      <x:c r="E855" s="20" t="str">
        <x:v>disability</x:v>
      </x:c>
      <x:c r="F855" s="50" t="n">
        <x:v>2202</x:v>
      </x:c>
      <x:c r="G855" s="50" t="n">
        <x:v>274.5157101201676</x:v>
      </x:c>
      <x:c r="H855" s="50" t="n">
        <x:v>2202.226</x:v>
      </x:c>
      <x:c r="I855" s="50" t="n">
        <x:v>276.6550613073019</x:v>
      </x:c>
      <x:c r="J855" s="42" t="n">
        <x:v>1.0077931830793865</x:v>
      </x:c>
      <x:c r="K855" s="42" t="n">
        <x:v>0.0008232680013146884</x:v>
      </x:c>
      <x:c r="L855" s="26" t="n">
        <x:v>1748</x:v>
      </x:c>
      <x:c r="M855" s="26" t="n">
        <x:v>2196</x:v>
      </x:c>
      <x:c r="N855" s="26" t="n">
        <x:v>2651</x:v>
      </x:c>
    </x:row>
    <x:row r="856">
      <x:c r="A856" s="20" t="str">
        <x:v>T1_SHARED_CATCHMENT</x:v>
      </x:c>
      <x:c r="B856" s="20" t="str">
        <x:v>NYC-V3-R03</x:v>
      </x:c>
      <x:c r="C856" s="20" t="str">
        <x:v>V3</x:v>
      </x:c>
      <x:c r="D856" s="20" t="str">
        <x:v>ambulatory_difficulty</x:v>
      </x:c>
      <x:c r="E856" s="20" t="str">
        <x:v>disability</x:v>
      </x:c>
      <x:c r="F856" s="50" t="n">
        <x:v>2988</x:v>
      </x:c>
      <x:c r="G856" s="50" t="n">
        <x:v>318.88250566637026</x:v>
      </x:c>
      <x:c r="H856" s="50" t="n">
        <x:v>2988.015</x:v>
      </x:c>
      <x:c r="I856" s="50" t="n">
        <x:v>315.8903377447314</x:v>
      </x:c>
      <x:c r="J856" s="42" t="n">
        <x:v>0.9906167071931836</x:v>
      </x:c>
      <x:c r="K856" s="42" t="n">
        <x:v>0.0000470392691142686</x:v>
      </x:c>
      <x:c r="L856" s="26" t="n">
        <x:v>2468</x:v>
      </x:c>
      <x:c r="M856" s="26" t="n">
        <x:v>2988</x:v>
      </x:c>
      <x:c r="N856" s="26" t="n">
        <x:v>3514</x:v>
      </x:c>
    </x:row>
    <x:row r="857">
      <x:c r="A857" s="20" t="str">
        <x:v>T1_SHARED_CATCHMENT</x:v>
      </x:c>
      <x:c r="B857" s="20" t="str">
        <x:v>NYC-V3-R03</x:v>
      </x:c>
      <x:c r="C857" s="20" t="str">
        <x:v>V3</x:v>
      </x:c>
      <x:c r="D857" s="20" t="str">
        <x:v>self_care_difficulty</x:v>
      </x:c>
      <x:c r="E857" s="20" t="str">
        <x:v>disability</x:v>
      </x:c>
      <x:c r="F857" s="50" t="n">
        <x:v>1376</x:v>
      </x:c>
      <x:c r="G857" s="50" t="n">
        <x:v>231.93381511246267</x:v>
      </x:c>
      <x:c r="H857" s="50" t="n">
        <x:v>1375.998</x:v>
      </x:c>
      <x:c r="I857" s="50" t="n">
        <x:v>231.92824473682955</x:v>
      </x:c>
      <x:c r="J857" s="42" t="n">
        <x:v>0.9999759829086138</x:v>
      </x:c>
      <x:c r="K857" s="42" t="n">
        <x:v>-0.000008623149664411478</x:v>
      </x:c>
      <x:c r="L857" s="26" t="n">
        <x:v>985</x:v>
      </x:c>
      <x:c r="M857" s="26" t="n">
        <x:v>1374</x:v>
      </x:c>
      <x:c r="N857" s="26" t="n">
        <x:v>1747</x:v>
      </x:c>
    </x:row>
    <x:row r="858">
      <x:c r="A858" s="20" t="str">
        <x:v>T1_SHARED_CATCHMENT</x:v>
      </x:c>
      <x:c r="B858" s="20" t="str">
        <x:v>NYC-V3-R03</x:v>
      </x:c>
      <x:c r="C858" s="20" t="str">
        <x:v>V3</x:v>
      </x:c>
      <x:c r="D858" s="20" t="str">
        <x:v>independent_living_difficulty</x:v>
      </x:c>
      <x:c r="E858" s="20" t="str">
        <x:v>disability</x:v>
      </x:c>
      <x:c r="F858" s="50" t="n">
        <x:v>2068</x:v>
      </x:c>
      <x:c r="G858" s="50" t="n">
        <x:v>241.8742545140352</x:v>
      </x:c>
      <x:c r="H858" s="50" t="n">
        <x:v>2068.057</x:v>
      </x:c>
      <x:c r="I858" s="50" t="n">
        <x:v>243.6465049418324</x:v>
      </x:c>
      <x:c r="J858" s="42" t="n">
        <x:v>1.0073271561347361</x:v>
      </x:c>
      <x:c r="K858" s="42" t="n">
        <x:v>0.00023565964105733904</x:v>
      </x:c>
      <x:c r="L858" s="26" t="n">
        <x:v>1663</x:v>
      </x:c>
      <x:c r="M858" s="26" t="n">
        <x:v>2064</x:v>
      </x:c>
      <x:c r="N858" s="26" t="n">
        <x:v>2476</x:v>
      </x:c>
    </x:row>
    <x:row r="859">
      <x:c r="A859" s="20" t="str">
        <x:v>T1_SHARED_CATCHMENT</x:v>
      </x:c>
      <x:c r="B859" s="20" t="str">
        <x:v>NYC-V3-R03</x:v>
      </x:c>
      <x:c r="C859" s="20" t="str">
        <x:v>V3</x:v>
      </x:c>
      <x:c r="D859" s="20" t="str">
        <x:v>households</x:v>
      </x:c>
      <x:c r="E859" s="20" t="str">
        <x:v>household</x:v>
      </x:c>
      <x:c r="F859" s="50" t="n">
        <x:v>15672</x:v>
      </x:c>
      <x:c r="G859" s="50" t="n">
        <x:v>376.3787985527347</x:v>
      </x:c>
      <x:c r="H859" s="50" t="n">
        <x:v>15673.339</x:v>
      </x:c>
      <x:c r="I859" s="50" t="n">
        <x:v>362.1079041020966</x:v>
      </x:c>
      <x:c r="J859" s="42" t="n">
        <x:v>0.9620836919998867</x:v>
      </x:c>
      <x:c r="K859" s="42" t="n">
        <x:v>0.003557586147648892</x:v>
      </x:c>
      <x:c r="L859" s="26" t="n">
        <x:v>15079</x:v>
      </x:c>
      <x:c r="M859" s="26" t="n">
        <x:v>15659</x:v>
      </x:c>
      <x:c r="N859" s="26" t="n">
        <x:v>16275</x:v>
      </x:c>
    </x:row>
    <x:row r="860">
      <x:c r="A860" s="20" t="str">
        <x:v>T1_SHARED_CATCHMENT</x:v>
      </x:c>
      <x:c r="B860" s="20" t="str">
        <x:v>NYC-V3-R03</x:v>
      </x:c>
      <x:c r="C860" s="20" t="str">
        <x:v>V3</x:v>
      </x:c>
      <x:c r="D860" s="20" t="str">
        <x:v>family_households</x:v>
      </x:c>
      <x:c r="E860" s="20" t="str">
        <x:v>household</x:v>
      </x:c>
      <x:c r="F860" s="50" t="n">
        <x:v>9534</x:v>
      </x:c>
      <x:c r="G860" s="50" t="n">
        <x:v>418.88172555030377</x:v>
      </x:c>
      <x:c r="H860" s="50" t="n">
        <x:v>9535.176</x:v>
      </x:c>
      <x:c r="I860" s="50" t="n">
        <x:v>480.66242144293676</x:v>
      </x:c>
      <x:c r="J860" s="42" t="n">
        <x:v>1.147489594614014</x:v>
      </x:c>
      <x:c r="K860" s="42" t="n">
        <x:v>0.002807475065794556</x:v>
      </x:c>
      <x:c r="L860" s="26" t="n">
        <x:v>8724</x:v>
      </x:c>
      <x:c r="M860" s="26" t="n">
        <x:v>9524</x:v>
      </x:c>
      <x:c r="N860" s="26" t="n">
        <x:v>10334</x:v>
      </x:c>
    </x:row>
    <x:row r="861">
      <x:c r="A861" s="20" t="str">
        <x:v>T1_SHARED_CATCHMENT</x:v>
      </x:c>
      <x:c r="B861" s="20" t="str">
        <x:v>NYC-V3-R03</x:v>
      </x:c>
      <x:c r="C861" s="20" t="str">
        <x:v>V3</x:v>
      </x:c>
      <x:c r="D861" s="20" t="str">
        <x:v>nonfamily_households</x:v>
      </x:c>
      <x:c r="E861" s="20" t="str">
        <x:v>household</x:v>
      </x:c>
      <x:c r="F861" s="50" t="n">
        <x:v>6138</x:v>
      </x:c>
      <x:c r="G861" s="50" t="n">
        <x:v>369.4073632184394</x:v>
      </x:c>
      <x:c r="H861" s="50" t="n">
        <x:v>6138.163</x:v>
      </x:c>
      <x:c r="I861" s="50" t="n">
        <x:v>370.16692448540425</x:v>
      </x:c>
      <x:c r="J861" s="42" t="n">
        <x:v>1.0020561616865111</x:v>
      </x:c>
      <x:c r="K861" s="42" t="n">
        <x:v>0.0004412472956127038</x:v>
      </x:c>
      <x:c r="L861" s="26" t="n">
        <x:v>5538</x:v>
      </x:c>
      <x:c r="M861" s="26" t="n">
        <x:v>6139</x:v>
      </x:c>
      <x:c r="N861" s="26" t="n">
        <x:v>6743</x:v>
      </x:c>
    </x:row>
    <x:row r="862">
      <x:c r="A862" s="20" t="str">
        <x:v>T1_SHARED_CATCHMENT</x:v>
      </x:c>
      <x:c r="B862" s="20" t="str">
        <x:v>NYC-V3-R03</x:v>
      </x:c>
      <x:c r="C862" s="20" t="str">
        <x:v>V3</x:v>
      </x:c>
      <x:c r="D862" s="20" t="str">
        <x:v>living_alone_households</x:v>
      </x:c>
      <x:c r="E862" s="20" t="str">
        <x:v>household</x:v>
      </x:c>
      <x:c r="F862" s="50" t="n">
        <x:v>5489</x:v>
      </x:c>
      <x:c r="G862" s="50" t="n">
        <x:v>372.8668663209431</x:v>
      </x:c>
      <x:c r="H862" s="50" t="n">
        <x:v>5489.155</x:v>
      </x:c>
      <x:c r="I862" s="50" t="n">
        <x:v>373.3338548031</x:v>
      </x:c>
      <x:c r="J862" s="42" t="n">
        <x:v>1.0012524268695813</x:v>
      </x:c>
      <x:c r="K862" s="42" t="n">
        <x:v>0.00041569797158198005</x:v>
      </x:c>
      <x:c r="L862" s="26" t="n">
        <x:v>4886</x:v>
      </x:c>
      <x:c r="M862" s="26" t="n">
        <x:v>5483</x:v>
      </x:c>
      <x:c r="N862" s="26" t="n">
        <x:v>6103</x:v>
      </x:c>
    </x:row>
    <x:row r="863">
      <x:c r="A863" s="20" t="str">
        <x:v>T1_SHARED_CATCHMENT</x:v>
      </x:c>
      <x:c r="B863" s="20" t="str">
        <x:v>NYC-V3-R03</x:v>
      </x:c>
      <x:c r="C863" s="20" t="str">
        <x:v>V3</x:v>
      </x:c>
      <x:c r="D863" s="20" t="str">
        <x:v>households_with_children</x:v>
      </x:c>
      <x:c r="E863" s="20" t="str">
        <x:v>household</x:v>
      </x:c>
      <x:c r="F863" s="50" t="n">
        <x:v>4530</x:v>
      </x:c>
      <x:c r="G863" s="50" t="n">
        <x:v>328.87816893190103</x:v>
      </x:c>
      <x:c r="H863" s="50" t="n">
        <x:v>4530.018</x:v>
      </x:c>
      <x:c r="I863" s="50" t="n">
        <x:v>328.45614184105784</x:v>
      </x:c>
      <x:c r="J863" s="42" t="n">
        <x:v>0.998716767694816</x:v>
      </x:c>
      <x:c r="K863" s="42" t="n">
        <x:v>0.00005473151367416018</x:v>
      </x:c>
      <x:c r="L863" s="26" t="n">
        <x:v>3996</x:v>
      </x:c>
      <x:c r="M863" s="26" t="n">
        <x:v>4536</x:v>
      </x:c>
      <x:c r="N863" s="26" t="n">
        <x:v>5055</x:v>
      </x:c>
    </x:row>
    <x:row r="864">
      <x:c r="A864" s="20" t="str">
        <x:v>T1_SHARED_CATCHMENT</x:v>
      </x:c>
      <x:c r="B864" s="20" t="str">
        <x:v>NYC-V3-R03</x:v>
      </x:c>
      <x:c r="C864" s="20" t="str">
        <x:v>V3</x:v>
      </x:c>
      <x:c r="D864" s="20" t="str">
        <x:v>households_with_age65</x:v>
      </x:c>
      <x:c r="E864" s="20" t="str">
        <x:v>household</x:v>
      </x:c>
      <x:c r="F864" s="50" t="n">
        <x:v>5862</x:v>
      </x:c>
      <x:c r="G864" s="50" t="n">
        <x:v>375.81717629719907</x:v>
      </x:c>
      <x:c r="H864" s="50" t="n">
        <x:v>5862.193</x:v>
      </x:c>
      <x:c r="I864" s="50" t="n">
        <x:v>390.0993556239977</x:v>
      </x:c>
      <x:c r="J864" s="42" t="n">
        <x:v>1.0380029978073813</x:v>
      </x:c>
      <x:c r="K864" s="42" t="n">
        <x:v>0.0005135475762491099</x:v>
      </x:c>
      <x:c r="L864" s="26" t="n">
        <x:v>5211</x:v>
      </x:c>
      <x:c r="M864" s="26" t="n">
        <x:v>5858</x:v>
      </x:c>
      <x:c r="N864" s="26" t="n">
        <x:v>6499</x:v>
      </x:c>
    </x:row>
    <x:row r="865">
      <x:c r="A865" s="20" t="str">
        <x:v>T1_SHARED_CATCHMENT</x:v>
      </x:c>
      <x:c r="B865" s="20" t="str">
        <x:v>NYC-V3-R03</x:v>
      </x:c>
      <x:c r="C865" s="20" t="str">
        <x:v>V3</x:v>
      </x:c>
      <x:c r="D865" s="20" t="str">
        <x:v>age65_one_person_households</x:v>
      </x:c>
      <x:c r="E865" s="20" t="str">
        <x:v>household</x:v>
      </x:c>
      <x:c r="F865" s="50" t="n">
        <x:v>2434</x:v>
      </x:c>
      <x:c r="G865" s="50" t="n">
        <x:v>294.8548795594199</x:v>
      </x:c>
      <x:c r="H865" s="50" t="n">
        <x:v>2433.835</x:v>
      </x:c>
      <x:c r="I865" s="50" t="n">
        <x:v>287.4671792642669</x:v>
      </x:c>
      <x:c r="J865" s="42" t="n">
        <x:v>0.9749446225675767</x:v>
      </x:c>
      <x:c r="K865" s="42" t="n">
        <x:v>-0.0005595973186759231</x:v>
      </x:c>
      <x:c r="L865" s="26" t="n">
        <x:v>1948</x:v>
      </x:c>
      <x:c r="M865" s="26" t="n">
        <x:v>2429</x:v>
      </x:c>
      <x:c r="N865" s="26" t="n">
        <x:v>2893</x:v>
      </x:c>
    </x:row>
    <x:row r="866">
      <x:c r="A866" s="20" t="str">
        <x:v>T1_SHARED_CATCHMENT</x:v>
      </x:c>
      <x:c r="B866" s="20" t="str">
        <x:v>NYC-V3-R03</x:v>
      </x:c>
      <x:c r="C866" s="20" t="str">
        <x:v>V3</x:v>
      </x:c>
      <x:c r="D866" s="20" t="str">
        <x:v>no_vehicle_households</x:v>
      </x:c>
      <x:c r="E866" s="20" t="str">
        <x:v>household</x:v>
      </x:c>
      <x:c r="F866" s="50" t="n">
        <x:v>4684</x:v>
      </x:c>
      <x:c r="G866" s="50" t="n">
        <x:v>387.6012821556878</x:v>
      </x:c>
      <x:c r="H866" s="50" t="n">
        <x:v>4683.891</x:v>
      </x:c>
      <x:c r="I866" s="50" t="n">
        <x:v>382.60699056372226</x:v>
      </x:c>
      <x:c r="J866" s="42" t="n">
        <x:v>0.9871148733972468</x:v>
      </x:c>
      <x:c r="K866" s="42" t="n">
        <x:v>-0.00028121682001195324</x:v>
      </x:c>
      <x:c r="L866" s="26" t="n">
        <x:v>4062</x:v>
      </x:c>
      <x:c r="M866" s="26" t="n">
        <x:v>4686</x:v>
      </x:c>
      <x:c r="N866" s="26" t="n">
        <x:v>5317</x:v>
      </x:c>
    </x:row>
    <x:row r="867">
      <x:c r="A867" s="20" t="str">
        <x:v>T1_SHARED_CATCHMENT</x:v>
      </x:c>
      <x:c r="B867" s="20" t="str">
        <x:v>NYC-V3-R03</x:v>
      </x:c>
      <x:c r="C867" s="20" t="str">
        <x:v>V3</x:v>
      </x:c>
      <x:c r="D867" s="20" t="str">
        <x:v>limited_english_households</x:v>
      </x:c>
      <x:c r="E867" s="20" t="str">
        <x:v>household</x:v>
      </x:c>
      <x:c r="F867" s="50" t="n">
        <x:v>1191</x:v>
      </x:c>
      <x:c r="G867" s="50" t="n">
        <x:v>184.08113917364267</x:v>
      </x:c>
      <x:c r="H867" s="50" t="n">
        <x:v>1191.01</x:v>
      </x:c>
      <x:c r="I867" s="50" t="n">
        <x:v>186.60482646829172</x:v>
      </x:c>
      <x:c r="J867" s="42" t="n">
        <x:v>1.0137096462243667</x:v>
      </x:c>
      <x:c r="K867" s="42" t="n">
        <x:v>0.00005432387068486122</x:v>
      </x:c>
      <x:c r="L867" s="26" t="n">
        <x:v>882</x:v>
      </x:c>
      <x:c r="M867" s="26" t="n">
        <x:v>1185</x:v>
      </x:c>
      <x:c r="N867" s="26" t="n">
        <x:v>1495</x:v>
      </x:c>
    </x:row>
    <x:row r="868">
      <x:c r="A868" s="20" t="str">
        <x:v>T1_SHARED_CATCHMENT</x:v>
      </x:c>
      <x:c r="B868" s="20" t="str">
        <x:v>NYC-V3-R03</x:v>
      </x:c>
      <x:c r="C868" s="20" t="str">
        <x:v>V3</x:v>
      </x:c>
      <x:c r="D868" s="20" t="str">
        <x:v>housing_units</x:v>
      </x:c>
      <x:c r="E868" s="20" t="str">
        <x:v>housing</x:v>
      </x:c>
      <x:c r="F868" s="50" t="n">
        <x:v>17049</x:v>
      </x:c>
      <x:c r="G868" s="50" t="n">
        <x:v>388.57303045888295</x:v>
      </x:c>
      <x:c r="H868" s="50" t="n">
        <x:v>17050.413</x:v>
      </x:c>
      <x:c r="I868" s="50" t="n">
        <x:v>410.0264114530783</x:v>
      </x:c>
      <x:c r="J868" s="42" t="n">
        <x:v>1.0552106793640827</x:v>
      </x:c>
      <x:c r="K868" s="42" t="n">
        <x:v>0.003636382067823369</x:v>
      </x:c>
      <x:c r="L868" s="26" t="n">
        <x:v>16371</x:v>
      </x:c>
      <x:c r="M868" s="26" t="n">
        <x:v>17055</x:v>
      </x:c>
      <x:c r="N868" s="26" t="n">
        <x:v>17709</x:v>
      </x:c>
    </x:row>
    <x:row r="869">
      <x:c r="A869" s="20" t="str">
        <x:v>T1_SHARED_CATCHMENT</x:v>
      </x:c>
      <x:c r="B869" s="20" t="str">
        <x:v>NYC-V3-R03</x:v>
      </x:c>
      <x:c r="C869" s="20" t="str">
        <x:v>V3</x:v>
      </x:c>
      <x:c r="D869" s="20" t="str">
        <x:v>occupied_housing_units</x:v>
      </x:c>
      <x:c r="E869" s="20" t="str">
        <x:v>housing</x:v>
      </x:c>
      <x:c r="F869" s="50" t="n">
        <x:v>15672</x:v>
      </x:c>
      <x:c r="G869" s="50" t="n">
        <x:v>376.3787985527347</x:v>
      </x:c>
      <x:c r="H869" s="50" t="n">
        <x:v>15673.339</x:v>
      </x:c>
      <x:c r="I869" s="50" t="n">
        <x:v>362.1079041020966</x:v>
      </x:c>
      <x:c r="J869" s="42" t="n">
        <x:v>0.9620836919998867</x:v>
      </x:c>
      <x:c r="K869" s="42" t="n">
        <x:v>0.003557586147648892</x:v>
      </x:c>
      <x:c r="L869" s="26" t="n">
        <x:v>15079</x:v>
      </x:c>
      <x:c r="M869" s="26" t="n">
        <x:v>15659</x:v>
      </x:c>
      <x:c r="N869" s="26" t="n">
        <x:v>16275</x:v>
      </x:c>
    </x:row>
    <x:row r="870">
      <x:c r="A870" s="20" t="str">
        <x:v>T1_SHARED_CATCHMENT</x:v>
      </x:c>
      <x:c r="B870" s="20" t="str">
        <x:v>NYC-V3-R03</x:v>
      </x:c>
      <x:c r="C870" s="20" t="str">
        <x:v>V3</x:v>
      </x:c>
      <x:c r="D870" s="20" t="str">
        <x:v>vacant_housing_units</x:v>
      </x:c>
      <x:c r="E870" s="20" t="str">
        <x:v>housing</x:v>
      </x:c>
      <x:c r="F870" s="50" t="n">
        <x:v>1377</x:v>
      </x:c>
      <x:c r="G870" s="50" t="n">
        <x:v>223.23216614099323</x:v>
      </x:c>
      <x:c r="H870" s="50" t="n">
        <x:v>1377.074</x:v>
      </x:c>
      <x:c r="I870" s="50" t="n">
        <x:v>218.82203181034035</x:v>
      </x:c>
      <x:c r="J870" s="42" t="n">
        <x:v>0.9802441807249792</x:v>
      </x:c>
      <x:c r="K870" s="42" t="n">
        <x:v>0.0003314934459460058</x:v>
      </x:c>
      <x:c r="L870" s="26" t="n">
        <x:v>999</x:v>
      </x:c>
      <x:c r="M870" s="26" t="n">
        <x:v>1382</x:v>
      </x:c>
      <x:c r="N870" s="26" t="n">
        <x:v>1751</x:v>
      </x:c>
    </x:row>
    <x:row r="871">
      <x:c r="A871" s="20" t="str">
        <x:v>T1_SHARED_CATCHMENT</x:v>
      </x:c>
      <x:c r="B871" s="20" t="str">
        <x:v>NYC-V3-R03</x:v>
      </x:c>
      <x:c r="C871" s="20" t="str">
        <x:v>V3</x:v>
      </x:c>
      <x:c r="D871" s="20" t="str">
        <x:v>owner_occupied_units</x:v>
      </x:c>
      <x:c r="E871" s="20" t="str">
        <x:v>housing</x:v>
      </x:c>
      <x:c r="F871" s="50" t="n">
        <x:v>7561</x:v>
      </x:c>
      <x:c r="G871" s="50" t="n">
        <x:v>381.9206690121956</x:v>
      </x:c>
      <x:c r="H871" s="50" t="n">
        <x:v>7560.92</x:v>
      </x:c>
      <x:c r="I871" s="50" t="n">
        <x:v>312.4486065447112</x:v>
      </x:c>
      <x:c r="J871" s="42" t="n">
        <x:v>0.8180981860783606</x:v>
      </x:c>
      <x:c r="K871" s="42" t="n">
        <x:v>-0.00020946758447726917</x:v>
      </x:c>
      <x:c r="L871" s="26" t="n">
        <x:v>7037</x:v>
      </x:c>
      <x:c r="M871" s="26" t="n">
        <x:v>7568</x:v>
      </x:c>
      <x:c r="N871" s="26" t="n">
        <x:v>8069</x:v>
      </x:c>
    </x:row>
    <x:row r="872">
      <x:c r="A872" s="20" t="str">
        <x:v>T1_SHARED_CATCHMENT</x:v>
      </x:c>
      <x:c r="B872" s="20" t="str">
        <x:v>NYC-V3-R03</x:v>
      </x:c>
      <x:c r="C872" s="20" t="str">
        <x:v>V3</x:v>
      </x:c>
      <x:c r="D872" s="20" t="str">
        <x:v>renter_occupied_units</x:v>
      </x:c>
      <x:c r="E872" s="20" t="str">
        <x:v>housing</x:v>
      </x:c>
      <x:c r="F872" s="50" t="n">
        <x:v>8111</x:v>
      </x:c>
      <x:c r="G872" s="50" t="n">
        <x:v>401.8494581782876</x:v>
      </x:c>
      <x:c r="H872" s="50" t="n">
        <x:v>8112.419</x:v>
      </x:c>
      <x:c r="I872" s="50" t="n">
        <x:v>318.95299410955755</x:v>
      </x:c>
      <x:c r="J872" s="42" t="n">
        <x:v>0.7937126394433222</x:v>
      </x:c>
      <x:c r="K872" s="42" t="n">
        <x:v>0.0035311731075429362</x:v>
      </x:c>
      <x:c r="L872" s="26" t="n">
        <x:v>7607</x:v>
      </x:c>
      <x:c r="M872" s="26" t="n">
        <x:v>8109</x:v>
      </x:c>
      <x:c r="N872" s="26" t="n">
        <x:v>8661</x:v>
      </x:c>
    </x:row>
    <x:row r="873">
      <x:c r="A873" s="20" t="str">
        <x:v>T1_SHARED_CATCHMENT</x:v>
      </x:c>
      <x:c r="B873" s="20" t="str">
        <x:v>NYC-V3-R03</x:v>
      </x:c>
      <x:c r="C873" s="20" t="str">
        <x:v>V3</x:v>
      </x:c>
      <x:c r="D873" s="20" t="str">
        <x:v>one_unit_structures</x:v>
      </x:c>
      <x:c r="E873" s="20" t="str">
        <x:v>housing</x:v>
      </x:c>
      <x:c r="F873" s="50" t="n">
        <x:v>4303</x:v>
      </x:c>
      <x:c r="G873" s="50" t="n">
        <x:v>315.86499785647584</x:v>
      </x:c>
      <x:c r="H873" s="50" t="n">
        <x:v>4302.892</x:v>
      </x:c>
      <x:c r="I873" s="50" t="n">
        <x:v>269.8437176737082</x:v>
      </x:c>
      <x:c r="J873" s="42" t="n">
        <x:v>0.8543007914929562</x:v>
      </x:c>
      <x:c r="K873" s="42" t="n">
        <x:v>-0.00034191822687883937</x:v>
      </x:c>
      <x:c r="L873" s="26" t="n">
        <x:v>3864</x:v>
      </x:c>
      <x:c r="M873" s="26" t="n">
        <x:v>4306</x:v>
      </x:c>
      <x:c r="N873" s="26" t="n">
        <x:v>4732</x:v>
      </x:c>
    </x:row>
    <x:row r="874">
      <x:c r="A874" s="20" t="str">
        <x:v>T1_SHARED_CATCHMENT</x:v>
      </x:c>
      <x:c r="B874" s="20" t="str">
        <x:v>NYC-V3-R03</x:v>
      </x:c>
      <x:c r="C874" s="20" t="str">
        <x:v>V3</x:v>
      </x:c>
      <x:c r="D874" s="20" t="str">
        <x:v>two_to_four_unit_structures</x:v>
      </x:c>
      <x:c r="E874" s="20" t="str">
        <x:v>housing</x:v>
      </x:c>
      <x:c r="F874" s="50" t="n">
        <x:v>3731</x:v>
      </x:c>
      <x:c r="G874" s="50" t="n">
        <x:v>310.8452251862967</x:v>
      </x:c>
      <x:c r="H874" s="50" t="n">
        <x:v>3731.009</x:v>
      </x:c>
      <x:c r="I874" s="50" t="n">
        <x:v>267.6438419712756</x:v>
      </x:c>
      <x:c r="J874" s="42" t="n">
        <x:v>0.8610196338414736</x:v>
      </x:c>
      <x:c r="K874" s="42" t="n">
        <x:v>0.000028953315897391198</x:v>
      </x:c>
      <x:c r="L874" s="26" t="n">
        <x:v>3291</x:v>
      </x:c>
      <x:c r="M874" s="26" t="n">
        <x:v>3727</x:v>
      </x:c>
      <x:c r="N874" s="26" t="n">
        <x:v>4177</x:v>
      </x:c>
    </x:row>
    <x:row r="875">
      <x:c r="A875" s="20" t="str">
        <x:v>T1_SHARED_CATCHMENT</x:v>
      </x:c>
      <x:c r="B875" s="20" t="str">
        <x:v>NYC-V3-R03</x:v>
      </x:c>
      <x:c r="C875" s="20" t="str">
        <x:v>V3</x:v>
      </x:c>
      <x:c r="D875" s="20" t="str">
        <x:v>five_to_nineteen_unit_structures</x:v>
      </x:c>
      <x:c r="E875" s="20" t="str">
        <x:v>housing</x:v>
      </x:c>
      <x:c r="F875" s="50" t="n">
        <x:v>994</x:v>
      </x:c>
      <x:c r="G875" s="50" t="n">
        <x:v>197.12927586925218</x:v>
      </x:c>
      <x:c r="H875" s="50" t="n">
        <x:v>993.911</x:v>
      </x:c>
      <x:c r="I875" s="50" t="n">
        <x:v>182.65163755000856</x:v>
      </x:c>
      <x:c r="J875" s="42" t="n">
        <x:v>0.9265576446958287</x:v>
      </x:c>
      <x:c r="K875" s="42" t="n">
        <x:v>-0.00045148037807984215</x:v>
      </x:c>
      <x:c r="L875" s="26" t="n">
        <x:v>696</x:v>
      </x:c>
      <x:c r="M875" s="26" t="n">
        <x:v>991</x:v>
      </x:c>
      <x:c r="N875" s="26" t="n">
        <x:v>1285</x:v>
      </x:c>
    </x:row>
    <x:row r="876">
      <x:c r="A876" s="20" t="str">
        <x:v>T1_SHARED_CATCHMENT</x:v>
      </x:c>
      <x:c r="B876" s="20" t="str">
        <x:v>NYC-V3-R03</x:v>
      </x:c>
      <x:c r="C876" s="20" t="str">
        <x:v>V3</x:v>
      </x:c>
      <x:c r="D876" s="20" t="str">
        <x:v>twenty_to_forty_nine_unit_structures</x:v>
      </x:c>
      <x:c r="E876" s="20" t="str">
        <x:v>housing</x:v>
      </x:c>
      <x:c r="F876" s="50" t="n">
        <x:v>1126</x:v>
      </x:c>
      <x:c r="G876" s="50" t="n">
        <x:v>183.66410732384753</x:v>
      </x:c>
      <x:c r="H876" s="50" t="n">
        <x:v>1125.931</x:v>
      </x:c>
      <x:c r="I876" s="50" t="n">
        <x:v>167.85498364521243</x:v>
      </x:c>
      <x:c r="J876" s="42" t="n">
        <x:v>0.9139237170017138</x:v>
      </x:c>
      <x:c r="K876" s="42" t="n">
        <x:v>-0.00037568581583714156</x:v>
      </x:c>
      <x:c r="L876" s="26" t="n">
        <x:v>842</x:v>
      </x:c>
      <x:c r="M876" s="26" t="n">
        <x:v>1130</x:v>
      </x:c>
      <x:c r="N876" s="26" t="n">
        <x:v>1400</x:v>
      </x:c>
    </x:row>
    <x:row r="877">
      <x:c r="A877" s="20" t="str">
        <x:v>T1_SHARED_CATCHMENT</x:v>
      </x:c>
      <x:c r="B877" s="20" t="str">
        <x:v>NYC-V3-R03</x:v>
      </x:c>
      <x:c r="C877" s="20" t="str">
        <x:v>V3</x:v>
      </x:c>
      <x:c r="D877" s="20" t="str">
        <x:v>fifty_plus_unit_structures</x:v>
      </x:c>
      <x:c r="E877" s="20" t="str">
        <x:v>housing</x:v>
      </x:c>
      <x:c r="F877" s="50" t="n">
        <x:v>5383</x:v>
      </x:c>
      <x:c r="G877" s="50" t="n">
        <x:v>383.9279980414092</x:v>
      </x:c>
      <x:c r="H877" s="50" t="n">
        <x:v>5378.305</x:v>
      </x:c>
      <x:c r="I877" s="50" t="n">
        <x:v>310.6433892589544</x:v>
      </x:c>
      <x:c r="J877" s="42" t="n">
        <x:v>0.8091188734442062</x:v>
      </x:c>
      <x:c r="K877" s="42" t="n">
        <x:v>-0.012228855472773626</x:v>
      </x:c>
      <x:c r="L877" s="26" t="n">
        <x:v>4864</x:v>
      </x:c>
      <x:c r="M877" s="26" t="n">
        <x:v>5386</x:v>
      </x:c>
      <x:c r="N877" s="26" t="n">
        <x:v>5877</x:v>
      </x:c>
    </x:row>
    <x:row r="878">
      <x:c r="A878" s="20" t="str">
        <x:v>T1_SHARED_CATCHMENT</x:v>
      </x:c>
      <x:c r="B878" s="20" t="str">
        <x:v>NYC-V3-R03</x:v>
      </x:c>
      <x:c r="C878" s="20" t="str">
        <x:v>V3</x:v>
      </x:c>
      <x:c r="D878" s="20" t="str">
        <x:v>mobile_or_other_units</x:v>
      </x:c>
      <x:c r="E878" s="20" t="str">
        <x:v>housing</x:v>
      </x:c>
      <x:c r="F878" s="50" t="n">
        <x:v>135</x:v>
      </x:c>
      <x:c r="G878" s="50" t="n">
        <x:v>122.05227634104897</x:v>
      </x:c>
      <x:c r="H878" s="50" t="n">
        <x:v>141.291</x:v>
      </x:c>
      <x:c r="I878" s="50" t="n">
        <x:v>102.67516012895966</x:v>
      </x:c>
      <x:c r="J878" s="42" t="n">
        <x:v>0.8412392067318425</x:v>
      </x:c>
      <x:c r="K878" s="42" t="n">
        <x:v>0.051543487664426214</x:v>
      </x:c>
      <x:c r="L878" s="26" t="n">
        <x:v>0</x:v>
      </x:c>
      <x:c r="M878" s="26" t="n">
        <x:v>135</x:v>
      </x:c>
      <x:c r="N878" s="26" t="n">
        <x:v>320</x:v>
      </x:c>
    </x:row>
    <x:row r="879">
      <x:c r="A879" s="20" t="str">
        <x:v>T1_SHARED_CATCHMENT</x:v>
      </x:c>
      <x:c r="B879" s="20" t="str">
        <x:v>NYC-V3-R03</x:v>
      </x:c>
      <x:c r="C879" s="20" t="str">
        <x:v>V3</x:v>
      </x:c>
      <x:c r="D879" s="20" t="str">
        <x:v>electric_heat_households</x:v>
      </x:c>
      <x:c r="E879" s="20" t="str">
        <x:v>housing</x:v>
      </x:c>
      <x:c r="F879" s="50" t="n">
        <x:v>1657</x:v>
      </x:c>
      <x:c r="G879" s="50" t="n">
        <x:v>228.49354476658635</x:v>
      </x:c>
      <x:c r="H879" s="50" t="n">
        <x:v>1657.054</x:v>
      </x:c>
      <x:c r="I879" s="50" t="n">
        <x:v>229.73935068519117</x:v>
      </x:c>
      <x:c r="J879" s="42" t="n">
        <x:v>1.0054522587055028</x:v>
      </x:c>
      <x:c r="K879" s="42" t="n">
        <x:v>0.0002363305276534183</x:v>
      </x:c>
      <x:c r="L879" s="26" t="n">
        <x:v>1292</x:v>
      </x:c>
      <x:c r="M879" s="26" t="n">
        <x:v>1652</x:v>
      </x:c>
      <x:c r="N879" s="26" t="n">
        <x:v>2043</x:v>
      </x:c>
    </x:row>
    <x:row r="880">
      <x:c r="A880" s="20" t="str">
        <x:v>T1_SHARED_CATCHMENT</x:v>
      </x:c>
      <x:c r="B880" s="20" t="str">
        <x:v>NYC-V3-R03</x:v>
      </x:c>
      <x:c r="C880" s="20" t="str">
        <x:v>V3</x:v>
      </x:c>
      <x:c r="D880" s="20" t="str">
        <x:v>group_quarters_population</x:v>
      </x:c>
      <x:c r="E880" s="20" t="str">
        <x:v>population</x:v>
      </x:c>
      <x:c r="F880" s="50" t="n">
        <x:v>1686</x:v>
      </x:c>
      <x:c r="G880" s="50" t="n">
        <x:v>36.341436405293614</x:v>
      </x:c>
      <x:c r="H880" s="50" t="n">
        <x:v>1685.984</x:v>
      </x:c>
      <x:c r="I880" s="50" t="n">
        <x:v>36.08223484862975</x:v>
      </x:c>
      <x:c r="J880" s="42" t="n">
        <x:v>0.9928676028714676</x:v>
      </x:c>
      <x:c r="K880" s="42" t="n">
        <x:v>-0.00044026878359012205</x:v>
      </x:c>
      <x:c r="L880" s="26" t="n">
        <x:v>1628</x:v>
      </x:c>
      <x:c r="M880" s="26" t="n">
        <x:v>1687</x:v>
      </x:c>
      <x:c r="N880" s="26" t="n">
        <x:v>1745</x:v>
      </x:c>
    </x:row>
    <x:row r="881">
      <x:c r="A881" s="20" t="str">
        <x:v>T1_SHARED_CATCHMENT</x:v>
      </x:c>
      <x:c r="B881" s="20" t="str">
        <x:v>NYC-V3-R04</x:v>
      </x:c>
      <x:c r="C881" s="20" t="str">
        <x:v>V3</x:v>
      </x:c>
      <x:c r="D881" s="20" t="str">
        <x:v>acs_population</x:v>
      </x:c>
      <x:c r="E881" s="20" t="str">
        <x:v>population</x:v>
      </x:c>
      <x:c r="F881" s="50" t="n">
        <x:v>36480</x:v>
      </x:c>
      <x:c r="G881" s="50" t="n">
        <x:v>1357.0544020045772</x:v>
      </x:c>
      <x:c r="H881" s="50" t="n">
        <x:v>36480.093</x:v>
      </x:c>
      <x:c r="I881" s="50" t="n">
        <x:v>1362.6432662373604</x:v>
      </x:c>
      <x:c r="J881" s="42" t="n">
        <x:v>1.0041183789128332</x:v>
      </x:c>
      <x:c r="K881" s="42" t="n">
        <x:v>0.00006853078245307001</x:v>
      </x:c>
      <x:c r="L881" s="26" t="n">
        <x:v>34301</x:v>
      </x:c>
      <x:c r="M881" s="26" t="n">
        <x:v>36469</x:v>
      </x:c>
      <x:c r="N881" s="26" t="n">
        <x:v>38792</x:v>
      </x:c>
    </x:row>
    <x:row r="882">
      <x:c r="A882" s="20" t="str">
        <x:v>T1_SHARED_CATCHMENT</x:v>
      </x:c>
      <x:c r="B882" s="20" t="str">
        <x:v>NYC-V3-R04</x:v>
      </x:c>
      <x:c r="C882" s="20" t="str">
        <x:v>V3</x:v>
      </x:c>
      <x:c r="D882" s="20" t="str">
        <x:v>age_under_18</x:v>
      </x:c>
      <x:c r="E882" s="20" t="str">
        <x:v>population</x:v>
      </x:c>
      <x:c r="F882" s="50" t="n">
        <x:v>6688</x:v>
      </x:c>
      <x:c r="G882" s="50" t="n">
        <x:v>689.4024223920309</x:v>
      </x:c>
      <x:c r="H882" s="50" t="n">
        <x:v>6687.916</x:v>
      </x:c>
      <x:c r="I882" s="50" t="n">
        <x:v>707.3121513330755</x:v>
      </x:c>
      <x:c r="J882" s="42" t="n">
        <x:v>1.025978627807693</x:v>
      </x:c>
      <x:c r="K882" s="42" t="n">
        <x:v>-0.00012184465454643528</x:v>
      </x:c>
      <x:c r="L882" s="26" t="n">
        <x:v>5497</x:v>
      </x:c>
      <x:c r="M882" s="26" t="n">
        <x:v>6670</x:v>
      </x:c>
      <x:c r="N882" s="26" t="n">
        <x:v>7830</x:v>
      </x:c>
    </x:row>
    <x:row r="883">
      <x:c r="A883" s="20" t="str">
        <x:v>T1_SHARED_CATCHMENT</x:v>
      </x:c>
      <x:c r="B883" s="20" t="str">
        <x:v>NYC-V3-R04</x:v>
      </x:c>
      <x:c r="C883" s="20" t="str">
        <x:v>V3</x:v>
      </x:c>
      <x:c r="D883" s="20" t="str">
        <x:v>age_65_plus</x:v>
      </x:c>
      <x:c r="E883" s="20" t="str">
        <x:v>population</x:v>
      </x:c>
      <x:c r="F883" s="50" t="n">
        <x:v>7404</x:v>
      </x:c>
      <x:c r="G883" s="50" t="n">
        <x:v>387.11800526454465</x:v>
      </x:c>
      <x:c r="H883" s="50" t="n">
        <x:v>7404.137</x:v>
      </x:c>
      <x:c r="I883" s="50" t="n">
        <x:v>379.9520414273159</x:v>
      </x:c>
      <x:c r="J883" s="42" t="n">
        <x:v>0.9814889420285896</x:v>
      </x:c>
      <x:c r="K883" s="42" t="n">
        <x:v>0.0003538972564866742</x:v>
      </x:c>
      <x:c r="L883" s="26" t="n">
        <x:v>6775</x:v>
      </x:c>
      <x:c r="M883" s="26" t="n">
        <x:v>7403</x:v>
      </x:c>
      <x:c r="N883" s="26" t="n">
        <x:v>8008</x:v>
      </x:c>
    </x:row>
    <x:row r="884">
      <x:c r="A884" s="20" t="str">
        <x:v>T1_SHARED_CATCHMENT</x:v>
      </x:c>
      <x:c r="B884" s="20" t="str">
        <x:v>NYC-V3-R04</x:v>
      </x:c>
      <x:c r="C884" s="20" t="str">
        <x:v>V3</x:v>
      </x:c>
      <x:c r="D884" s="20" t="str">
        <x:v>age_75_plus</x:v>
      </x:c>
      <x:c r="E884" s="20" t="str">
        <x:v>population</x:v>
      </x:c>
      <x:c r="F884" s="50" t="n">
        <x:v>3209</x:v>
      </x:c>
      <x:c r="G884" s="50" t="n">
        <x:v>327.73739487583646</x:v>
      </x:c>
      <x:c r="H884" s="50" t="n">
        <x:v>3209.023</x:v>
      </x:c>
      <x:c r="I884" s="50" t="n">
        <x:v>320.9876594957329</x:v>
      </x:c>
      <x:c r="J884" s="42" t="n">
        <x:v>0.9794050496353621</x:v>
      </x:c>
      <x:c r="K884" s="42" t="n">
        <x:v>0.00007017813761792978</x:v>
      </x:c>
      <x:c r="L884" s="26" t="n">
        <x:v>2691</x:v>
      </x:c>
      <x:c r="M884" s="26" t="n">
        <x:v>3204</x:v>
      </x:c>
      <x:c r="N884" s="26" t="n">
        <x:v>3723</x:v>
      </x:c>
    </x:row>
    <x:row r="885">
      <x:c r="A885" s="20" t="str">
        <x:v>T1_SHARED_CATCHMENT</x:v>
      </x:c>
      <x:c r="B885" s="20" t="str">
        <x:v>NYC-V3-R04</x:v>
      </x:c>
      <x:c r="C885" s="20" t="str">
        <x:v>V3</x:v>
      </x:c>
      <x:c r="D885" s="20" t="str">
        <x:v>age_85_plus</x:v>
      </x:c>
      <x:c r="E885" s="20" t="str">
        <x:v>population</x:v>
      </x:c>
      <x:c r="F885" s="50" t="n">
        <x:v>1038</x:v>
      </x:c>
      <x:c r="G885" s="50" t="n">
        <x:v>193.0237032076631</x:v>
      </x:c>
      <x:c r="H885" s="50" t="n">
        <x:v>1038.012</x:v>
      </x:c>
      <x:c r="I885" s="50" t="n">
        <x:v>188.05334327237026</x:v>
      </x:c>
      <x:c r="J885" s="42" t="n">
        <x:v>0.9742500021878375</x:v>
      </x:c>
      <x:c r="K885" s="42" t="n">
        <x:v>0.00006216853060286333</x:v>
      </x:c>
      <x:c r="L885" s="26" t="n">
        <x:v>728</x:v>
      </x:c>
      <x:c r="M885" s="26" t="n">
        <x:v>1040</x:v>
      </x:c>
      <x:c r="N885" s="26" t="n">
        <x:v>1353</x:v>
      </x:c>
    </x:row>
    <x:row r="886">
      <x:c r="A886" s="20" t="str">
        <x:v>T1_SHARED_CATCHMENT</x:v>
      </x:c>
      <x:c r="B886" s="20" t="str">
        <x:v>NYC-V3-R04</x:v>
      </x:c>
      <x:c r="C886" s="20" t="str">
        <x:v>V3</x:v>
      </x:c>
      <x:c r="D886" s="20" t="str">
        <x:v>civilian_noninstitutionalized</x:v>
      </x:c>
      <x:c r="E886" s="20" t="str">
        <x:v>disability</x:v>
      </x:c>
      <x:c r="F886" s="50" t="n">
        <x:v>36364</x:v>
      </x:c>
      <x:c r="G886" s="50" t="n">
        <x:v>1358.3734206763618</x:v>
      </x:c>
      <x:c r="H886" s="50" t="n">
        <x:v>35731.288</x:v>
      </x:c>
      <x:c r="I886" s="50" t="n">
        <x:v>1157.2868027415675</x:v>
      </x:c>
      <x:c r="J886" s="42" t="n">
        <x:v>0.851965140900159</x:v>
      </x:c>
      <x:c r="K886" s="42" t="n">
        <x:v>-0.4657864990357065</x:v>
      </x:c>
      <x:c r="L886" s="26" t="n">
        <x:v>33907</x:v>
      </x:c>
      <x:c r="M886" s="26" t="n">
        <x:v>35724</x:v>
      </x:c>
      <x:c r="N886" s="26" t="n">
        <x:v>37691</x:v>
      </x:c>
    </x:row>
    <x:row r="887">
      <x:c r="A887" s="20" t="str">
        <x:v>T1_SHARED_CATCHMENT</x:v>
      </x:c>
      <x:c r="B887" s="20" t="str">
        <x:v>NYC-V3-R04</x:v>
      </x:c>
      <x:c r="C887" s="20" t="str">
        <x:v>V3</x:v>
      </x:c>
      <x:c r="D887" s="20" t="str">
        <x:v>any_disability</x:v>
      </x:c>
      <x:c r="E887" s="20" t="str">
        <x:v>disability</x:v>
      </x:c>
      <x:c r="F887" s="50" t="n">
        <x:v>4401</x:v>
      </x:c>
      <x:c r="G887" s="50" t="n">
        <x:v>470.8874069244154</x:v>
      </x:c>
      <x:c r="H887" s="50" t="n">
        <x:v>4405.325</x:v>
      </x:c>
      <x:c r="I887" s="50" t="n">
        <x:v>518.8229241288415</x:v>
      </x:c>
      <x:c r="J887" s="42" t="n">
        <x:v>1.1017982568646616</x:v>
      </x:c>
      <x:c r="K887" s="42" t="n">
        <x:v>0.009184785866855952</x:v>
      </x:c>
      <x:c r="L887" s="26" t="n">
        <x:v>3588</x:v>
      </x:c>
      <x:c r="M887" s="26" t="n">
        <x:v>4395</x:v>
      </x:c>
      <x:c r="N887" s="26" t="n">
        <x:v>5334</x:v>
      </x:c>
    </x:row>
    <x:row r="888">
      <x:c r="A888" s="20" t="str">
        <x:v>T1_SHARED_CATCHMENT</x:v>
      </x:c>
      <x:c r="B888" s="20" t="str">
        <x:v>NYC-V3-R04</x:v>
      </x:c>
      <x:c r="C888" s="20" t="str">
        <x:v>V3</x:v>
      </x:c>
      <x:c r="D888" s="20" t="str">
        <x:v>disability_under_18</x:v>
      </x:c>
      <x:c r="E888" s="20" t="str">
        <x:v>disability</x:v>
      </x:c>
      <x:c r="F888" s="50" t="n">
        <x:v>247</x:v>
      </x:c>
      <x:c r="G888" s="50" t="n">
        <x:v>151.8719855667924</x:v>
      </x:c>
      <x:c r="H888" s="50" t="n">
        <x:v>251.106</x:v>
      </x:c>
      <x:c r="I888" s="50" t="n">
        <x:v>154.12732397597773</x:v>
      </x:c>
      <x:c r="J888" s="42" t="n">
        <x:v>1.0148502595838746</x:v>
      </x:c>
      <x:c r="K888" s="42" t="n">
        <x:v>0.027035927558833422</x:v>
      </x:c>
      <x:c r="L888" s="26" t="n">
        <x:v>0</x:v>
      </x:c>
      <x:c r="M888" s="26" t="n">
        <x:v>252</x:v>
      </x:c>
      <x:c r="N888" s="26" t="n">
        <x:v>505</x:v>
      </x:c>
    </x:row>
    <x:row r="889">
      <x:c r="A889" s="20" t="str">
        <x:v>T1_SHARED_CATCHMENT</x:v>
      </x:c>
      <x:c r="B889" s="20" t="str">
        <x:v>NYC-V3-R04</x:v>
      </x:c>
      <x:c r="C889" s="20" t="str">
        <x:v>V3</x:v>
      </x:c>
      <x:c r="D889" s="20" t="str">
        <x:v>disability_18_64</x:v>
      </x:c>
      <x:c r="E889" s="20" t="str">
        <x:v>disability</x:v>
      </x:c>
      <x:c r="F889" s="50" t="n">
        <x:v>1718</x:v>
      </x:c>
      <x:c r="G889" s="50" t="n">
        <x:v>280.1007854326724</x:v>
      </x:c>
      <x:c r="H889" s="50" t="n">
        <x:v>1718.135</x:v>
      </x:c>
      <x:c r="I889" s="50" t="n">
        <x:v>281.51705566027016</x:v>
      </x:c>
      <x:c r="J889" s="42" t="n">
        <x:v>1.0050562879551017</x:v>
      </x:c>
      <x:c r="K889" s="42" t="n">
        <x:v>0.0004819693732434775</x:v>
      </x:c>
      <x:c r="L889" s="26" t="n">
        <x:v>1254</x:v>
      </x:c>
      <x:c r="M889" s="26" t="n">
        <x:v>1722</x:v>
      </x:c>
      <x:c r="N889" s="26" t="n">
        <x:v>2158</x:v>
      </x:c>
    </x:row>
    <x:row r="890">
      <x:c r="A890" s="20" t="str">
        <x:v>T1_SHARED_CATCHMENT</x:v>
      </x:c>
      <x:c r="B890" s="20" t="str">
        <x:v>NYC-V3-R04</x:v>
      </x:c>
      <x:c r="C890" s="20" t="str">
        <x:v>V3</x:v>
      </x:c>
      <x:c r="D890" s="20" t="str">
        <x:v>disability_65_plus</x:v>
      </x:c>
      <x:c r="E890" s="20" t="str">
        <x:v>disability</x:v>
      </x:c>
      <x:c r="F890" s="50" t="n">
        <x:v>2436</x:v>
      </x:c>
      <x:c r="G890" s="50" t="n">
        <x:v>281.75645511682603</x:v>
      </x:c>
      <x:c r="H890" s="50" t="n">
        <x:v>2436.084</x:v>
      </x:c>
      <x:c r="I890" s="50" t="n">
        <x:v>275.35258122630336</x:v>
      </x:c>
      <x:c r="J890" s="42" t="n">
        <x:v>0.9772715983104365</x:v>
      </x:c>
      <x:c r="K890" s="42" t="n">
        <x:v>0.0002981298155706968</x:v>
      </x:c>
      <x:c r="L890" s="26" t="n">
        <x:v>1993</x:v>
      </x:c>
      <x:c r="M890" s="26" t="n">
        <x:v>2426</x:v>
      </x:c>
      <x:c r="N890" s="26" t="n">
        <x:v>2907</x:v>
      </x:c>
    </x:row>
    <x:row r="891">
      <x:c r="A891" s="20" t="str">
        <x:v>T1_SHARED_CATCHMENT</x:v>
      </x:c>
      <x:c r="B891" s="20" t="str">
        <x:v>NYC-V3-R04</x:v>
      </x:c>
      <x:c r="C891" s="20" t="str">
        <x:v>V3</x:v>
      </x:c>
      <x:c r="D891" s="20" t="str">
        <x:v>hearing_difficulty</x:v>
      </x:c>
      <x:c r="E891" s="20" t="str">
        <x:v>disability</x:v>
      </x:c>
      <x:c r="F891" s="50" t="n">
        <x:v>1130</x:v>
      </x:c>
      <x:c r="G891" s="50" t="n">
        <x:v>230.5739095173458</x:v>
      </x:c>
      <x:c r="H891" s="50" t="n">
        <x:v>1130.011</x:v>
      </x:c>
      <x:c r="I891" s="50" t="n">
        <x:v>232.8064598045482</x:v>
      </x:c>
      <x:c r="J891" s="42" t="n">
        <x:v>1.0096825798368763</x:v>
      </x:c>
      <x:c r="K891" s="42" t="n">
        <x:v>0.00004770704553257246</x:v>
      </x:c>
      <x:c r="L891" s="26" t="n">
        <x:v>761</x:v>
      </x:c>
      <x:c r="M891" s="26" t="n">
        <x:v>1129</x:v>
      </x:c>
      <x:c r="N891" s="26" t="n">
        <x:v>1517</x:v>
      </x:c>
    </x:row>
    <x:row r="892">
      <x:c r="A892" s="20" t="str">
        <x:v>T1_SHARED_CATCHMENT</x:v>
      </x:c>
      <x:c r="B892" s="20" t="str">
        <x:v>NYC-V3-R04</x:v>
      </x:c>
      <x:c r="C892" s="20" t="str">
        <x:v>V3</x:v>
      </x:c>
      <x:c r="D892" s="20" t="str">
        <x:v>vision_difficulty</x:v>
      </x:c>
      <x:c r="E892" s="20" t="str">
        <x:v>disability</x:v>
      </x:c>
      <x:c r="F892" s="50" t="n">
        <x:v>703</x:v>
      </x:c>
      <x:c r="G892" s="50" t="n">
        <x:v>197.06459029708594</x:v>
      </x:c>
      <x:c r="H892" s="50" t="n">
        <x:v>702.934</x:v>
      </x:c>
      <x:c r="I892" s="50" t="n">
        <x:v>198.7850979303005</x:v>
      </x:c>
      <x:c r="J892" s="42" t="n">
        <x:v>1.0087306787618253</x:v>
      </x:c>
      <x:c r="K892" s="42" t="n">
        <x:v>-0.00033491557210015363</x:v>
      </x:c>
      <x:c r="L892" s="26" t="n">
        <x:v>376</x:v>
      </x:c>
      <x:c r="M892" s="26" t="n">
        <x:v>705</x:v>
      </x:c>
      <x:c r="N892" s="26" t="n">
        <x:v>1031</x:v>
      </x:c>
    </x:row>
    <x:row r="893">
      <x:c r="A893" s="20" t="str">
        <x:v>T1_SHARED_CATCHMENT</x:v>
      </x:c>
      <x:c r="B893" s="20" t="str">
        <x:v>NYC-V3-R04</x:v>
      </x:c>
      <x:c r="C893" s="20" t="str">
        <x:v>V3</x:v>
      </x:c>
      <x:c r="D893" s="20" t="str">
        <x:v>cognitive_difficulty</x:v>
      </x:c>
      <x:c r="E893" s="20" t="str">
        <x:v>disability</x:v>
      </x:c>
      <x:c r="F893" s="50" t="n">
        <x:v>1932</x:v>
      </x:c>
      <x:c r="G893" s="50" t="n">
        <x:v>294.71372896122347</x:v>
      </x:c>
      <x:c r="H893" s="50" t="n">
        <x:v>1932.04</x:v>
      </x:c>
      <x:c r="I893" s="50" t="n">
        <x:v>301.1324777721081</x:v>
      </x:c>
      <x:c r="J893" s="42" t="n">
        <x:v>1.0217796056990922</x:v>
      </x:c>
      <x:c r="K893" s="42" t="n">
        <x:v>0.00013572492920825742</x:v>
      </x:c>
      <x:c r="L893" s="26" t="n">
        <x:v>1423</x:v>
      </x:c>
      <x:c r="M893" s="26" t="n">
        <x:v>1930</x:v>
      </x:c>
      <x:c r="N893" s="26" t="n">
        <x:v>2404</x:v>
      </x:c>
    </x:row>
    <x:row r="894">
      <x:c r="A894" s="20" t="str">
        <x:v>T1_SHARED_CATCHMENT</x:v>
      </x:c>
      <x:c r="B894" s="20" t="str">
        <x:v>NYC-V3-R04</x:v>
      </x:c>
      <x:c r="C894" s="20" t="str">
        <x:v>V3</x:v>
      </x:c>
      <x:c r="D894" s="20" t="str">
        <x:v>ambulatory_difficulty</x:v>
      </x:c>
      <x:c r="E894" s="20" t="str">
        <x:v>disability</x:v>
      </x:c>
      <x:c r="F894" s="50" t="n">
        <x:v>2438</x:v>
      </x:c>
      <x:c r="G894" s="50" t="n">
        <x:v>297.8196095005031</x:v>
      </x:c>
      <x:c r="H894" s="50" t="n">
        <x:v>2437.932</x:v>
      </x:c>
      <x:c r="I894" s="50" t="n">
        <x:v>296.52172012604154</x:v>
      </x:c>
      <x:c r="J894" s="42" t="n">
        <x:v>0.9956420284861754</x:v>
      </x:c>
      <x:c r="K894" s="42" t="n">
        <x:v>-0.00022832613377695042</x:v>
      </x:c>
      <x:c r="L894" s="26" t="n">
        <x:v>1952</x:v>
      </x:c>
      <x:c r="M894" s="26" t="n">
        <x:v>2441</x:v>
      </x:c>
      <x:c r="N894" s="26" t="n">
        <x:v>2917</x:v>
      </x:c>
    </x:row>
    <x:row r="895">
      <x:c r="A895" s="20" t="str">
        <x:v>T1_SHARED_CATCHMENT</x:v>
      </x:c>
      <x:c r="B895" s="20" t="str">
        <x:v>NYC-V3-R04</x:v>
      </x:c>
      <x:c r="C895" s="20" t="str">
        <x:v>V3</x:v>
      </x:c>
      <x:c r="D895" s="20" t="str">
        <x:v>self_care_difficulty</x:v>
      </x:c>
      <x:c r="E895" s="20" t="str">
        <x:v>disability</x:v>
      </x:c>
      <x:c r="F895" s="50" t="n">
        <x:v>1014</x:v>
      </x:c>
      <x:c r="G895" s="50" t="n">
        <x:v>199.59401148816585</x:v>
      </x:c>
      <x:c r="H895" s="50" t="n">
        <x:v>1013.965</x:v>
      </x:c>
      <x:c r="I895" s="50" t="n">
        <x:v>198.61186381343754</x:v>
      </x:c>
      <x:c r="J895" s="42" t="n">
        <x:v>0.9950792728328598</x:v>
      </x:c>
      <x:c r="K895" s="42" t="n">
        <x:v>-0.00017535596253118725</x:v>
      </x:c>
      <x:c r="L895" s="26" t="n">
        <x:v>694</x:v>
      </x:c>
      <x:c r="M895" s="26" t="n">
        <x:v>1018</x:v>
      </x:c>
      <x:c r="N895" s="26" t="n">
        <x:v>1328</x:v>
      </x:c>
    </x:row>
    <x:row r="896">
      <x:c r="A896" s="20" t="str">
        <x:v>T1_SHARED_CATCHMENT</x:v>
      </x:c>
      <x:c r="B896" s="20" t="str">
        <x:v>NYC-V3-R04</x:v>
      </x:c>
      <x:c r="C896" s="20" t="str">
        <x:v>V3</x:v>
      </x:c>
      <x:c r="D896" s="20" t="str">
        <x:v>independent_living_difficulty</x:v>
      </x:c>
      <x:c r="E896" s="20" t="str">
        <x:v>disability</x:v>
      </x:c>
      <x:c r="F896" s="50" t="n">
        <x:v>1858</x:v>
      </x:c>
      <x:c r="G896" s="50" t="n">
        <x:v>268.3909509858976</x:v>
      </x:c>
      <x:c r="H896" s="50" t="n">
        <x:v>1857.803</x:v>
      </x:c>
      <x:c r="I896" s="50" t="n">
        <x:v>274.2804439856275</x:v>
      </x:c>
      <x:c r="J896" s="42" t="n">
        <x:v>1.0219437092722228</x:v>
      </x:c>
      <x:c r="K896" s="42" t="n">
        <x:v>-0.0007340038823076426</x:v>
      </x:c>
      <x:c r="L896" s="26" t="n">
        <x:v>1409</x:v>
      </x:c>
      <x:c r="M896" s="26" t="n">
        <x:v>1848</x:v>
      </x:c>
      <x:c r="N896" s="26" t="n">
        <x:v>2309</x:v>
      </x:c>
    </x:row>
    <x:row r="897">
      <x:c r="A897" s="20" t="str">
        <x:v>T1_SHARED_CATCHMENT</x:v>
      </x:c>
      <x:c r="B897" s="20" t="str">
        <x:v>NYC-V3-R04</x:v>
      </x:c>
      <x:c r="C897" s="20" t="str">
        <x:v>V3</x:v>
      </x:c>
      <x:c r="D897" s="20" t="str">
        <x:v>households</x:v>
      </x:c>
      <x:c r="E897" s="20" t="str">
        <x:v>household</x:v>
      </x:c>
      <x:c r="F897" s="50" t="n">
        <x:v>17095</x:v>
      </x:c>
      <x:c r="G897" s="50" t="n">
        <x:v>423.33633201037685</x:v>
      </x:c>
      <x:c r="H897" s="50" t="n">
        <x:v>17095.296</x:v>
      </x:c>
      <x:c r="I897" s="50" t="n">
        <x:v>396.4164102990116</x:v>
      </x:c>
      <x:c r="J897" s="42" t="n">
        <x:v>0.9364100841911547</x:v>
      </x:c>
      <x:c r="K897" s="42" t="n">
        <x:v>0.0006992076455918315</x:v>
      </x:c>
      <x:c r="L897" s="26" t="n">
        <x:v>16426</x:v>
      </x:c>
      <x:c r="M897" s="26" t="n">
        <x:v>17098</x:v>
      </x:c>
      <x:c r="N897" s="26" t="n">
        <x:v>17727</x:v>
      </x:c>
    </x:row>
    <x:row r="898">
      <x:c r="A898" s="20" t="str">
        <x:v>T1_SHARED_CATCHMENT</x:v>
      </x:c>
      <x:c r="B898" s="20" t="str">
        <x:v>NYC-V3-R04</x:v>
      </x:c>
      <x:c r="C898" s="20" t="str">
        <x:v>V3</x:v>
      </x:c>
      <x:c r="D898" s="20" t="str">
        <x:v>family_households</x:v>
      </x:c>
      <x:c r="E898" s="20" t="str">
        <x:v>household</x:v>
      </x:c>
      <x:c r="F898" s="50" t="n">
        <x:v>9492</x:v>
      </x:c>
      <x:c r="G898" s="50" t="n">
        <x:v>405.0580822548786</x:v>
      </x:c>
      <x:c r="H898" s="50" t="n">
        <x:v>9492.171</x:v>
      </x:c>
      <x:c r="I898" s="50" t="n">
        <x:v>539.249710253987</x:v>
      </x:c>
      <x:c r="J898" s="42" t="n">
        <x:v>1.3312898418224122</x:v>
      </x:c>
      <x:c r="K898" s="42" t="n">
        <x:v>0.00042216167876061905</x:v>
      </x:c>
      <x:c r="L898" s="26" t="n">
        <x:v>8667</x:v>
      </x:c>
      <x:c r="M898" s="26" t="n">
        <x:v>9471</x:v>
      </x:c>
      <x:c r="N898" s="26" t="n">
        <x:v>10389</x:v>
      </x:c>
    </x:row>
    <x:row r="899">
      <x:c r="A899" s="20" t="str">
        <x:v>T1_SHARED_CATCHMENT</x:v>
      </x:c>
      <x:c r="B899" s="20" t="str">
        <x:v>NYC-V3-R04</x:v>
      </x:c>
      <x:c r="C899" s="20" t="str">
        <x:v>V3</x:v>
      </x:c>
      <x:c r="D899" s="20" t="str">
        <x:v>nonfamily_households</x:v>
      </x:c>
      <x:c r="E899" s="20" t="str">
        <x:v>household</x:v>
      </x:c>
      <x:c r="F899" s="50" t="n">
        <x:v>7603</x:v>
      </x:c>
      <x:c r="G899" s="50" t="n">
        <x:v>390.5181173774144</x:v>
      </x:c>
      <x:c r="H899" s="50" t="n">
        <x:v>7603.125</x:v>
      </x:c>
      <x:c r="I899" s="50" t="n">
        <x:v>424.7347418989598</x:v>
      </x:c>
      <x:c r="J899" s="42" t="n">
        <x:v>1.0876185329155341</x:v>
      </x:c>
      <x:c r="K899" s="42" t="n">
        <x:v>0.0003200875822086235</x:v>
      </x:c>
      <x:c r="L899" s="26" t="n">
        <x:v>6914</x:v>
      </x:c>
      <x:c r="M899" s="26" t="n">
        <x:v>7611</x:v>
      </x:c>
      <x:c r="N899" s="26" t="n">
        <x:v>8258</x:v>
      </x:c>
    </x:row>
    <x:row r="900">
      <x:c r="A900" s="20" t="str">
        <x:v>T1_SHARED_CATCHMENT</x:v>
      </x:c>
      <x:c r="B900" s="20" t="str">
        <x:v>NYC-V3-R04</x:v>
      </x:c>
      <x:c r="C900" s="20" t="str">
        <x:v>V3</x:v>
      </x:c>
      <x:c r="D900" s="20" t="str">
        <x:v>living_alone_households</x:v>
      </x:c>
      <x:c r="E900" s="20" t="str">
        <x:v>household</x:v>
      </x:c>
      <x:c r="F900" s="50" t="n">
        <x:v>6688</x:v>
      </x:c>
      <x:c r="G900" s="50" t="n">
        <x:v>379.8412826431587</x:v>
      </x:c>
      <x:c r="H900" s="50" t="n">
        <x:v>6688.034</x:v>
      </x:c>
      <x:c r="I900" s="50" t="n">
        <x:v>405.7528314185918</x:v>
      </x:c>
      <x:c r="J900" s="42" t="n">
        <x:v>1.0682167788480634</x:v>
      </x:c>
      <x:c r="K900" s="42" t="n">
        <x:v>0.0000895110709479991</x:v>
      </x:c>
      <x:c r="L900" s="26" t="n">
        <x:v>6017</x:v>
      </x:c>
      <x:c r="M900" s="26" t="n">
        <x:v>6687</x:v>
      </x:c>
      <x:c r="N900" s="26" t="n">
        <x:v>7353</x:v>
      </x:c>
    </x:row>
    <x:row r="901">
      <x:c r="A901" s="20" t="str">
        <x:v>T1_SHARED_CATCHMENT</x:v>
      </x:c>
      <x:c r="B901" s="20" t="str">
        <x:v>NYC-V3-R04</x:v>
      </x:c>
      <x:c r="C901" s="20" t="str">
        <x:v>V3</x:v>
      </x:c>
      <x:c r="D901" s="20" t="str">
        <x:v>households_with_children</x:v>
      </x:c>
      <x:c r="E901" s="20" t="str">
        <x:v>household</x:v>
      </x:c>
      <x:c r="F901" s="50" t="n">
        <x:v>3498</x:v>
      </x:c>
      <x:c r="G901" s="50" t="n">
        <x:v>331.1649136004598</x:v>
      </x:c>
      <x:c r="H901" s="50" t="n">
        <x:v>3497.883</x:v>
      </x:c>
      <x:c r="I901" s="50" t="n">
        <x:v>338.1069588556654</x:v>
      </x:c>
      <x:c r="J901" s="42" t="n">
        <x:v>1.0209625022763764</x:v>
      </x:c>
      <x:c r="K901" s="42" t="n">
        <x:v>-0.000353298296996964</x:v>
      </x:c>
      <x:c r="L901" s="26" t="n">
        <x:v>2944</x:v>
      </x:c>
      <x:c r="M901" s="26" t="n">
        <x:v>3491</x:v>
      </x:c>
      <x:c r="N901" s="26" t="n">
        <x:v>4059</x:v>
      </x:c>
    </x:row>
    <x:row r="902">
      <x:c r="A902" s="20" t="str">
        <x:v>T1_SHARED_CATCHMENT</x:v>
      </x:c>
      <x:c r="B902" s="20" t="str">
        <x:v>NYC-V3-R04</x:v>
      </x:c>
      <x:c r="C902" s="20" t="str">
        <x:v>V3</x:v>
      </x:c>
      <x:c r="D902" s="20" t="str">
        <x:v>households_with_age65</x:v>
      </x:c>
      <x:c r="E902" s="20" t="str">
        <x:v>household</x:v>
      </x:c>
      <x:c r="F902" s="50" t="n">
        <x:v>5916</x:v>
      </x:c>
      <x:c r="G902" s="50" t="n">
        <x:v>316.95812026196774</x:v>
      </x:c>
      <x:c r="H902" s="50" t="n">
        <x:v>5915.933</x:v>
      </x:c>
      <x:c r="I902" s="50" t="n">
        <x:v>325.4476896671871</x:v>
      </x:c>
      <x:c r="J902" s="42" t="n">
        <x:v>1.0267845146172707</x:v>
      </x:c>
      <x:c r="K902" s="42" t="n">
        <x:v>-0.00021138439344804097</x:v>
      </x:c>
      <x:c r="L902" s="26" t="n">
        <x:v>5404</x:v>
      </x:c>
      <x:c r="M902" s="26" t="n">
        <x:v>5924</x:v>
      </x:c>
      <x:c r="N902" s="26" t="n">
        <x:v>6440</x:v>
      </x:c>
    </x:row>
    <x:row r="903">
      <x:c r="A903" s="20" t="str">
        <x:v>T1_SHARED_CATCHMENT</x:v>
      </x:c>
      <x:c r="B903" s="20" t="str">
        <x:v>NYC-V3-R04</x:v>
      </x:c>
      <x:c r="C903" s="20" t="str">
        <x:v>V3</x:v>
      </x:c>
      <x:c r="D903" s="20" t="str">
        <x:v>age65_one_person_households</x:v>
      </x:c>
      <x:c r="E903" s="20" t="str">
        <x:v>household</x:v>
      </x:c>
      <x:c r="F903" s="50" t="n">
        <x:v>2571</x:v>
      </x:c>
      <x:c r="G903" s="50" t="n">
        <x:v>248.24191829745436</x:v>
      </x:c>
      <x:c r="H903" s="50" t="n">
        <x:v>2571.008</x:v>
      </x:c>
      <x:c r="I903" s="50" t="n">
        <x:v>247.48363599657674</x:v>
      </x:c>
      <x:c r="J903" s="42" t="n">
        <x:v>0.9969453897791387</x:v>
      </x:c>
      <x:c r="K903" s="42" t="n">
        <x:v>0.00003222662818059952</x:v>
      </x:c>
      <x:c r="L903" s="26" t="n">
        <x:v>2170</x:v>
      </x:c>
      <x:c r="M903" s="26" t="n">
        <x:v>2581</x:v>
      </x:c>
      <x:c r="N903" s="26" t="n">
        <x:v>2965</x:v>
      </x:c>
    </x:row>
    <x:row r="904">
      <x:c r="A904" s="20" t="str">
        <x:v>T1_SHARED_CATCHMENT</x:v>
      </x:c>
      <x:c r="B904" s="20" t="str">
        <x:v>NYC-V3-R04</x:v>
      </x:c>
      <x:c r="C904" s="20" t="str">
        <x:v>V3</x:v>
      </x:c>
      <x:c r="D904" s="20" t="str">
        <x:v>no_vehicle_households</x:v>
      </x:c>
      <x:c r="E904" s="20" t="str">
        <x:v>household</x:v>
      </x:c>
      <x:c r="F904" s="50" t="n">
        <x:v>8333</x:v>
      </x:c>
      <x:c r="G904" s="50" t="n">
        <x:v>430.77533736770937</x:v>
      </x:c>
      <x:c r="H904" s="50" t="n">
        <x:v>8332.967</x:v>
      </x:c>
      <x:c r="I904" s="50" t="n">
        <x:v>434.56185511031333</x:v>
      </x:c>
      <x:c r="J904" s="42" t="n">
        <x:v>1.008790005866496</x:v>
      </x:c>
      <x:c r="K904" s="42" t="n">
        <x:v>-0.00007660605688593138</x:v>
      </x:c>
      <x:c r="L904" s="26" t="n">
        <x:v>7617</x:v>
      </x:c>
      <x:c r="M904" s="26" t="n">
        <x:v>8331</x:v>
      </x:c>
      <x:c r="N904" s="26" t="n">
        <x:v>9026</x:v>
      </x:c>
    </x:row>
    <x:row r="905">
      <x:c r="A905" s="20" t="str">
        <x:v>T1_SHARED_CATCHMENT</x:v>
      </x:c>
      <x:c r="B905" s="20" t="str">
        <x:v>NYC-V3-R04</x:v>
      </x:c>
      <x:c r="C905" s="20" t="str">
        <x:v>V3</x:v>
      </x:c>
      <x:c r="D905" s="20" t="str">
        <x:v>limited_english_households</x:v>
      </x:c>
      <x:c r="E905" s="20" t="str">
        <x:v>household</x:v>
      </x:c>
      <x:c r="F905" s="50" t="n">
        <x:v>2033</x:v>
      </x:c>
      <x:c r="G905" s="50" t="n">
        <x:v>227.56358026652447</x:v>
      </x:c>
      <x:c r="H905" s="50" t="n">
        <x:v>2032.983</x:v>
      </x:c>
      <x:c r="I905" s="50" t="n">
        <x:v>227.5739981536459</x:v>
      </x:c>
      <x:c r="J905" s="42" t="n">
        <x:v>1.0000457801160856</x:v>
      </x:c>
      <x:c r="K905" s="42" t="n">
        <x:v>-0.00007470439681139751</x:v>
      </x:c>
      <x:c r="L905" s="26" t="n">
        <x:v>1652</x:v>
      </x:c>
      <x:c r="M905" s="26" t="n">
        <x:v>2033</x:v>
      </x:c>
      <x:c r="N905" s="26" t="n">
        <x:v>2410</x:v>
      </x:c>
    </x:row>
    <x:row r="906">
      <x:c r="A906" s="20" t="str">
        <x:v>T1_SHARED_CATCHMENT</x:v>
      </x:c>
      <x:c r="B906" s="20" t="str">
        <x:v>NYC-V3-R04</x:v>
      </x:c>
      <x:c r="C906" s="20" t="str">
        <x:v>V3</x:v>
      </x:c>
      <x:c r="D906" s="20" t="str">
        <x:v>housing_units</x:v>
      </x:c>
      <x:c r="E906" s="20" t="str">
        <x:v>housing</x:v>
      </x:c>
      <x:c r="F906" s="50" t="n">
        <x:v>17672</x:v>
      </x:c>
      <x:c r="G906" s="50" t="n">
        <x:v>404.64867477850464</x:v>
      </x:c>
      <x:c r="H906" s="50" t="n">
        <x:v>17672.32</x:v>
      </x:c>
      <x:c r="I906" s="50" t="n">
        <x:v>410.98860718423236</x:v>
      </x:c>
      <x:c r="J906" s="42" t="n">
        <x:v>1.0156677453823322</x:v>
      </x:c>
      <x:c r="K906" s="42" t="n">
        <x:v>0.0007908094600207688</x:v>
      </x:c>
      <x:c r="L906" s="26" t="n">
        <x:v>17000</x:v>
      </x:c>
      <x:c r="M906" s="26" t="n">
        <x:v>17682</x:v>
      </x:c>
      <x:c r="N906" s="26" t="n">
        <x:v>18359</x:v>
      </x:c>
    </x:row>
    <x:row r="907">
      <x:c r="A907" s="20" t="str">
        <x:v>T1_SHARED_CATCHMENT</x:v>
      </x:c>
      <x:c r="B907" s="20" t="str">
        <x:v>NYC-V3-R04</x:v>
      </x:c>
      <x:c r="C907" s="20" t="str">
        <x:v>V3</x:v>
      </x:c>
      <x:c r="D907" s="20" t="str">
        <x:v>occupied_housing_units</x:v>
      </x:c>
      <x:c r="E907" s="20" t="str">
        <x:v>housing</x:v>
      </x:c>
      <x:c r="F907" s="50" t="n">
        <x:v>17095</x:v>
      </x:c>
      <x:c r="G907" s="50" t="n">
        <x:v>423.33633201037685</x:v>
      </x:c>
      <x:c r="H907" s="50" t="n">
        <x:v>17095.296</x:v>
      </x:c>
      <x:c r="I907" s="50" t="n">
        <x:v>396.4164102990116</x:v>
      </x:c>
      <x:c r="J907" s="42" t="n">
        <x:v>0.9364100841911547</x:v>
      </x:c>
      <x:c r="K907" s="42" t="n">
        <x:v>0.0006992076455918315</x:v>
      </x:c>
      <x:c r="L907" s="26" t="n">
        <x:v>16426</x:v>
      </x:c>
      <x:c r="M907" s="26" t="n">
        <x:v>17098</x:v>
      </x:c>
      <x:c r="N907" s="26" t="n">
        <x:v>17727</x:v>
      </x:c>
    </x:row>
    <x:row r="908">
      <x:c r="A908" s="20" t="str">
        <x:v>T1_SHARED_CATCHMENT</x:v>
      </x:c>
      <x:c r="B908" s="20" t="str">
        <x:v>NYC-V3-R04</x:v>
      </x:c>
      <x:c r="C908" s="20" t="str">
        <x:v>V3</x:v>
      </x:c>
      <x:c r="D908" s="20" t="str">
        <x:v>vacant_housing_units</x:v>
      </x:c>
      <x:c r="E908" s="20" t="str">
        <x:v>housing</x:v>
      </x:c>
      <x:c r="F908" s="50" t="n">
        <x:v>577</x:v>
      </x:c>
      <x:c r="G908" s="50" t="n">
        <x:v>144.01145787748973</x:v>
      </x:c>
      <x:c r="H908" s="50" t="n">
        <x:v>577.024</x:v>
      </x:c>
      <x:c r="I908" s="50" t="n">
        <x:v>145.5038514775289</x:v>
      </x:c>
      <x:c r="J908" s="42" t="n">
        <x:v>1.010363019873799</x:v>
      </x:c>
      <x:c r="K908" s="42" t="n">
        <x:v>0.00016665340628950275</x:v>
      </x:c>
      <x:c r="L908" s="26" t="n">
        <x:v>333</x:v>
      </x:c>
      <x:c r="M908" s="26" t="n">
        <x:v>575</x:v>
      </x:c>
      <x:c r="N908" s="26" t="n">
        <x:v>817</x:v>
      </x:c>
    </x:row>
    <x:row r="909">
      <x:c r="A909" s="20" t="str">
        <x:v>T1_SHARED_CATCHMENT</x:v>
      </x:c>
      <x:c r="B909" s="20" t="str">
        <x:v>NYC-V3-R04</x:v>
      </x:c>
      <x:c r="C909" s="20" t="str">
        <x:v>V3</x:v>
      </x:c>
      <x:c r="D909" s="20" t="str">
        <x:v>owner_occupied_units</x:v>
      </x:c>
      <x:c r="E909" s="20" t="str">
        <x:v>housing</x:v>
      </x:c>
      <x:c r="F909" s="50" t="n">
        <x:v>7231</x:v>
      </x:c>
      <x:c r="G909" s="50" t="n">
        <x:v>385.0141309656408</x:v>
      </x:c>
      <x:c r="H909" s="50" t="n">
        <x:v>7231.234</x:v>
      </x:c>
      <x:c r="I909" s="50" t="n">
        <x:v>324.77555080763454</x:v>
      </x:c>
      <x:c r="J909" s="42" t="n">
        <x:v>0.8435418980417059</x:v>
      </x:c>
      <x:c r="K909" s="42" t="n">
        <x:v>0.0006077699003241542</x:v>
      </x:c>
      <x:c r="L909" s="26" t="n">
        <x:v>6681</x:v>
      </x:c>
      <x:c r="M909" s="26" t="n">
        <x:v>7226</x:v>
      </x:c>
      <x:c r="N909" s="26" t="n">
        <x:v>7775</x:v>
      </x:c>
    </x:row>
    <x:row r="910">
      <x:c r="A910" s="20" t="str">
        <x:v>T1_SHARED_CATCHMENT</x:v>
      </x:c>
      <x:c r="B910" s="20" t="str">
        <x:v>NYC-V3-R04</x:v>
      </x:c>
      <x:c r="C910" s="20" t="str">
        <x:v>V3</x:v>
      </x:c>
      <x:c r="D910" s="20" t="str">
        <x:v>renter_occupied_units</x:v>
      </x:c>
      <x:c r="E910" s="20" t="str">
        <x:v>housing</x:v>
      </x:c>
      <x:c r="F910" s="50" t="n">
        <x:v>9864</x:v>
      </x:c>
      <x:c r="G910" s="50" t="n">
        <x:v>429.7438102249084</x:v>
      </x:c>
      <x:c r="H910" s="50" t="n">
        <x:v>9864.062</x:v>
      </x:c>
      <x:c r="I910" s="50" t="n">
        <x:v>342.20499472452826</x:v>
      </x:c>
      <x:c r="J910" s="42" t="n">
        <x:v>0.7962999968409871</x:v>
      </x:c>
      <x:c r="K910" s="42" t="n">
        <x:v>0.00014427200235286728</x:v>
      </x:c>
      <x:c r="L910" s="26" t="n">
        <x:v>9304</x:v>
      </x:c>
      <x:c r="M910" s="26" t="n">
        <x:v>9856</x:v>
      </x:c>
      <x:c r="N910" s="26" t="n">
        <x:v>10434</x:v>
      </x:c>
    </x:row>
    <x:row r="911">
      <x:c r="A911" s="20" t="str">
        <x:v>T1_SHARED_CATCHMENT</x:v>
      </x:c>
      <x:c r="B911" s="20" t="str">
        <x:v>NYC-V3-R04</x:v>
      </x:c>
      <x:c r="C911" s="20" t="str">
        <x:v>V3</x:v>
      </x:c>
      <x:c r="D911" s="20" t="str">
        <x:v>one_unit_structures</x:v>
      </x:c>
      <x:c r="E911" s="20" t="str">
        <x:v>housing</x:v>
      </x:c>
      <x:c r="F911" s="50" t="n">
        <x:v>1836</x:v>
      </x:c>
      <x:c r="G911" s="50" t="n">
        <x:v>275.77954996292146</x:v>
      </x:c>
      <x:c r="H911" s="50" t="n">
        <x:v>1835.847</x:v>
      </x:c>
      <x:c r="I911" s="50" t="n">
        <x:v>247.540258888874</x:v>
      </x:c>
      <x:c r="J911" s="42" t="n">
        <x:v>0.8976019393829447</x:v>
      </x:c>
      <x:c r="K911" s="42" t="n">
        <x:v>-0.0005547909553866153</x:v>
      </x:c>
      <x:c r="L911" s="26" t="n">
        <x:v>1427</x:v>
      </x:c>
      <x:c r="M911" s="26" t="n">
        <x:v>1836</x:v>
      </x:c>
      <x:c r="N911" s="26" t="n">
        <x:v>2233</x:v>
      </x:c>
    </x:row>
    <x:row r="912">
      <x:c r="A912" s="20" t="str">
        <x:v>T1_SHARED_CATCHMENT</x:v>
      </x:c>
      <x:c r="B912" s="20" t="str">
        <x:v>NYC-V3-R04</x:v>
      </x:c>
      <x:c r="C912" s="20" t="str">
        <x:v>V3</x:v>
      </x:c>
      <x:c r="D912" s="20" t="str">
        <x:v>two_to_four_unit_structures</x:v>
      </x:c>
      <x:c r="E912" s="20" t="str">
        <x:v>housing</x:v>
      </x:c>
      <x:c r="F912" s="50" t="n">
        <x:v>974</x:v>
      </x:c>
      <x:c r="G912" s="50" t="n">
        <x:v>246.60704191189794</x:v>
      </x:c>
      <x:c r="H912" s="50" t="n">
        <x:v>973.767</x:v>
      </x:c>
      <x:c r="I912" s="50" t="n">
        <x:v>224.2934913930435</x:v>
      </x:c>
      <x:c r="J912" s="42" t="n">
        <x:v>0.9095177885194936</x:v>
      </x:c>
      <x:c r="K912" s="42" t="n">
        <x:v>-0.000944822979074491</x:v>
      </x:c>
      <x:c r="L912" s="26" t="n">
        <x:v>609</x:v>
      </x:c>
      <x:c r="M912" s="26" t="n">
        <x:v>972</x:v>
      </x:c>
      <x:c r="N912" s="26" t="n">
        <x:v>1346</x:v>
      </x:c>
    </x:row>
    <x:row r="913">
      <x:c r="A913" s="20" t="str">
        <x:v>T1_SHARED_CATCHMENT</x:v>
      </x:c>
      <x:c r="B913" s="20" t="str">
        <x:v>NYC-V3-R04</x:v>
      </x:c>
      <x:c r="C913" s="20" t="str">
        <x:v>V3</x:v>
      </x:c>
      <x:c r="D913" s="20" t="str">
        <x:v>five_to_nineteen_unit_structures</x:v>
      </x:c>
      <x:c r="E913" s="20" t="str">
        <x:v>housing</x:v>
      </x:c>
      <x:c r="F913" s="50" t="n">
        <x:v>818</x:v>
      </x:c>
      <x:c r="G913" s="50" t="n">
        <x:v>178.99509981324354</x:v>
      </x:c>
      <x:c r="H913" s="50" t="n">
        <x:v>817.996</x:v>
      </x:c>
      <x:c r="I913" s="50" t="n">
        <x:v>167.851631371739</x:v>
      </x:c>
      <x:c r="J913" s="42" t="n">
        <x:v>0.9377442820885532</x:v>
      </x:c>
      <x:c r="K913" s="42" t="n">
        <x:v>-0.000022346980471490797</x:v>
      </x:c>
      <x:c r="L913" s="26" t="n">
        <x:v>532</x:v>
      </x:c>
      <x:c r="M913" s="26" t="n">
        <x:v>816</x:v>
      </x:c>
      <x:c r="N913" s="26" t="n">
        <x:v>1082</x:v>
      </x:c>
    </x:row>
    <x:row r="914">
      <x:c r="A914" s="20" t="str">
        <x:v>T1_SHARED_CATCHMENT</x:v>
      </x:c>
      <x:c r="B914" s="20" t="str">
        <x:v>NYC-V3-R04</x:v>
      </x:c>
      <x:c r="C914" s="20" t="str">
        <x:v>V3</x:v>
      </x:c>
      <x:c r="D914" s="20" t="str">
        <x:v>twenty_to_forty_nine_unit_structures</x:v>
      </x:c>
      <x:c r="E914" s="20" t="str">
        <x:v>housing</x:v>
      </x:c>
      <x:c r="F914" s="50" t="n">
        <x:v>3048</x:v>
      </x:c>
      <x:c r="G914" s="50" t="n">
        <x:v>309.55025697172977</x:v>
      </x:c>
      <x:c r="H914" s="50" t="n">
        <x:v>3047.851</x:v>
      </x:c>
      <x:c r="I914" s="50" t="n">
        <x:v>266.28970503195575</x:v>
      </x:c>
      <x:c r="J914" s="42" t="n">
        <x:v>0.860247081159022</x:v>
      </x:c>
      <x:c r="K914" s="42" t="n">
        <x:v>-0.0004813434867007554</x:v>
      </x:c>
      <x:c r="L914" s="26" t="n">
        <x:v>2591</x:v>
      </x:c>
      <x:c r="M914" s="26" t="n">
        <x:v>3040</x:v>
      </x:c>
      <x:c r="N914" s="26" t="n">
        <x:v>3496</x:v>
      </x:c>
    </x:row>
    <x:row r="915">
      <x:c r="A915" s="20" t="str">
        <x:v>T1_SHARED_CATCHMENT</x:v>
      </x:c>
      <x:c r="B915" s="20" t="str">
        <x:v>NYC-V3-R04</x:v>
      </x:c>
      <x:c r="C915" s="20" t="str">
        <x:v>V3</x:v>
      </x:c>
      <x:c r="D915" s="20" t="str">
        <x:v>fifty_plus_unit_structures</x:v>
      </x:c>
      <x:c r="E915" s="20" t="str">
        <x:v>housing</x:v>
      </x:c>
      <x:c r="F915" s="50" t="n">
        <x:v>10419</x:v>
      </x:c>
      <x:c r="G915" s="50" t="n">
        <x:v>494.1692151481855</x:v>
      </x:c>
      <x:c r="H915" s="50" t="n">
        <x:v>10397.615</x:v>
      </x:c>
      <x:c r="I915" s="50" t="n">
        <x:v>386.3080463589668</x:v>
      </x:c>
      <x:c r="J915" s="42" t="n">
        <x:v>0.7817323186413492</x:v>
      </x:c>
      <x:c r="K915" s="42" t="n">
        <x:v>-0.04327465035147433</x:v>
      </x:c>
      <x:c r="L915" s="26" t="n">
        <x:v>9792</x:v>
      </x:c>
      <x:c r="M915" s="26" t="n">
        <x:v>10403</x:v>
      </x:c>
      <x:c r="N915" s="26" t="n">
        <x:v>11058</x:v>
      </x:c>
    </x:row>
    <x:row r="916">
      <x:c r="A916" s="20" t="str">
        <x:v>T1_SHARED_CATCHMENT</x:v>
      </x:c>
      <x:c r="B916" s="20" t="str">
        <x:v>NYC-V3-R04</x:v>
      </x:c>
      <x:c r="C916" s="20" t="str">
        <x:v>V3</x:v>
      </x:c>
      <x:c r="D916" s="20" t="str">
        <x:v>mobile_or_other_units</x:v>
      </x:c>
      <x:c r="E916" s="20" t="str">
        <x:v>housing</x:v>
      </x:c>
      <x:c r="F916" s="50" t="n">
        <x:v>0</x:v>
      </x:c>
      <x:c r="G916" s="50" t="n">
        <x:v>56.987436572683116</x:v>
      </x:c>
      <x:c r="H916" s="50" t="n">
        <x:v>22.22</x:v>
      </x:c>
      <x:c r="I916" s="50" t="n">
        <x:v>32.783385278984696</x:v>
      </x:c>
      <x:c r="J916" s="42" t="n">
        <x:v>0.5752739068579089</x:v>
      </x:c>
      <x:c r="K916" s="42" t="n">
        <x:v>0.389910501969326</x:v>
      </x:c>
      <x:c r="L916" s="26" t="n">
        <x:v>0</x:v>
      </x:c>
      <x:c r="M916" s="26" t="n">
        <x:v>0</x:v>
      </x:c>
      <x:c r="N916" s="26" t="n">
        <x:v>93</x:v>
      </x:c>
    </x:row>
    <x:row r="917">
      <x:c r="A917" s="20" t="str">
        <x:v>T1_SHARED_CATCHMENT</x:v>
      </x:c>
      <x:c r="B917" s="20" t="str">
        <x:v>NYC-V3-R04</x:v>
      </x:c>
      <x:c r="C917" s="20" t="str">
        <x:v>V3</x:v>
      </x:c>
      <x:c r="D917" s="20" t="str">
        <x:v>electric_heat_households</x:v>
      </x:c>
      <x:c r="E917" s="20" t="str">
        <x:v>housing</x:v>
      </x:c>
      <x:c r="F917" s="50" t="n">
        <x:v>1225</x:v>
      </x:c>
      <x:c r="G917" s="50" t="n">
        <x:v>176.13872373785387</x:v>
      </x:c>
      <x:c r="H917" s="50" t="n">
        <x:v>1224.937</x:v>
      </x:c>
      <x:c r="I917" s="50" t="n">
        <x:v>170.1986033890866</x:v>
      </x:c>
      <x:c r="J917" s="42" t="n">
        <x:v>0.966275897640726</x:v>
      </x:c>
      <x:c r="K917" s="42" t="n">
        <x:v>-0.0003576726267976391</x:v>
      </x:c>
      <x:c r="L917" s="26" t="n">
        <x:v>938</x:v>
      </x:c>
      <x:c r="M917" s="26" t="n">
        <x:v>1228</x:v>
      </x:c>
      <x:c r="N917" s="26" t="n">
        <x:v>1507</x:v>
      </x:c>
    </x:row>
    <x:row r="918">
      <x:c r="A918" s="20" t="str">
        <x:v>T1_SHARED_CATCHMENT</x:v>
      </x:c>
      <x:c r="B918" s="20" t="str">
        <x:v>NYC-V3-R04</x:v>
      </x:c>
      <x:c r="C918" s="20" t="str">
        <x:v>V3</x:v>
      </x:c>
      <x:c r="D918" s="20" t="str">
        <x:v>group_quarters_population</x:v>
      </x:c>
      <x:c r="E918" s="20" t="str">
        <x:v>population</x:v>
      </x:c>
      <x:c r="F918" s="50" t="n">
        <x:v>81</x:v>
      </x:c>
      <x:c r="G918" s="50" t="n">
        <x:v>1.8439088914585775</x:v>
      </x:c>
      <x:c r="H918" s="50" t="n">
        <x:v>80.982</x:v>
      </x:c>
      <x:c r="I918" s="50" t="n">
        <x:v>1.9538407032031793</x:v>
      </x:c>
      <x:c r="J918" s="42" t="n">
        <x:v>1.059618895626477</x:v>
      </x:c>
      <x:c r="K918" s="42" t="n">
        <x:v>-0.009761870601839898</x:v>
      </x:c>
      <x:c r="L918" s="26" t="n">
        <x:v>78</x:v>
      </x:c>
      <x:c r="M918" s="26" t="n">
        <x:v>81</x:v>
      </x:c>
      <x:c r="N918" s="26" t="n">
        <x:v>84</x:v>
      </x:c>
    </x:row>
    <x:row r="919">
      <x:c r="A919" s="20" t="str">
        <x:v>T2_CONCORDANT_DOMAIN</x:v>
      </x:c>
      <x:c r="B919" s="20" t="str">
        <x:v>NYC-V1-R01</x:v>
      </x:c>
      <x:c r="C919" s="20" t="str">
        <x:v>V1</x:v>
      </x:c>
      <x:c r="D919" s="20" t="str">
        <x:v>acs_population</x:v>
      </x:c>
      <x:c r="E919" s="20" t="str">
        <x:v>population</x:v>
      </x:c>
      <x:c r="F919" s="50" t="n">
        <x:v>30607</x:v>
      </x:c>
      <x:c r="G919" s="50" t="n">
        <x:v>1414.36977131159</x:v>
      </x:c>
      <x:c r="H919" s="50" t="n">
        <x:v>31129.418</x:v>
      </x:c>
      <x:c r="I919" s="50" t="n">
        <x:v>1277.6792036436311</x:v>
      </x:c>
      <x:c r="J919" s="42" t="n">
        <x:v>0.9033558476428682</x:v>
      </x:c>
      <x:c r="K919" s="42" t="n">
        <x:v>0.36936451173977414</x:v>
      </x:c>
      <x:c r="L919" s="26" t="n">
        <x:v>29086</x:v>
      </x:c>
      <x:c r="M919" s="26" t="n">
        <x:v>31070</x:v>
      </x:c>
      <x:c r="N919" s="26" t="n">
        <x:v>33294</x:v>
      </x:c>
    </x:row>
    <x:row r="920">
      <x:c r="A920" s="20" t="str">
        <x:v>T2_CONCORDANT_DOMAIN</x:v>
      </x:c>
      <x:c r="B920" s="20" t="str">
        <x:v>NYC-V1-R01</x:v>
      </x:c>
      <x:c r="C920" s="20" t="str">
        <x:v>V1</x:v>
      </x:c>
      <x:c r="D920" s="20" t="str">
        <x:v>age_under_18</x:v>
      </x:c>
      <x:c r="E920" s="20" t="str">
        <x:v>population</x:v>
      </x:c>
      <x:c r="F920" s="50" t="n">
        <x:v>3951</x:v>
      </x:c>
      <x:c r="G920" s="50" t="n">
        <x:v>484.098388759971</x:v>
      </x:c>
      <x:c r="H920" s="50" t="n">
        <x:v>3951.183</x:v>
      </x:c>
      <x:c r="I920" s="50" t="n">
        <x:v>498.49788530409296</x:v>
      </x:c>
      <x:c r="J920" s="42" t="n">
        <x:v>1.0297449792820146</x:v>
      </x:c>
      <x:c r="K920" s="42" t="n">
        <x:v>0.0003780223282063619</x:v>
      </x:c>
      <x:c r="L920" s="26" t="n">
        <x:v>3103</x:v>
      </x:c>
      <x:c r="M920" s="26" t="n">
        <x:v>3967</x:v>
      </x:c>
      <x:c r="N920" s="26" t="n">
        <x:v>4764</x:v>
      </x:c>
    </x:row>
    <x:row r="921">
      <x:c r="A921" s="20" t="str">
        <x:v>T2_CONCORDANT_DOMAIN</x:v>
      </x:c>
      <x:c r="B921" s="20" t="str">
        <x:v>NYC-V1-R01</x:v>
      </x:c>
      <x:c r="C921" s="20" t="str">
        <x:v>V1</x:v>
      </x:c>
      <x:c r="D921" s="20" t="str">
        <x:v>age_65_plus</x:v>
      </x:c>
      <x:c r="E921" s="20" t="str">
        <x:v>population</x:v>
      </x:c>
      <x:c r="F921" s="50" t="n">
        <x:v>8039</x:v>
      </x:c>
      <x:c r="G921" s="50" t="n">
        <x:v>572.8060753867752</x:v>
      </x:c>
      <x:c r="H921" s="50" t="n">
        <x:v>8039.12</x:v>
      </x:c>
      <x:c r="I921" s="50" t="n">
        <x:v>589.0846325480782</x:v>
      </x:c>
      <x:c r="J921" s="42" t="n">
        <x:v>1.0284189673622286</x:v>
      </x:c>
      <x:c r="K921" s="42" t="n">
        <x:v>0.000209494984701172</x:v>
      </x:c>
      <x:c r="L921" s="26" t="n">
        <x:v>7108</x:v>
      </x:c>
      <x:c r="M921" s="26" t="n">
        <x:v>8031</x:v>
      </x:c>
      <x:c r="N921" s="26" t="n">
        <x:v>8990</x:v>
      </x:c>
    </x:row>
    <x:row r="922">
      <x:c r="A922" s="20" t="str">
        <x:v>T2_CONCORDANT_DOMAIN</x:v>
      </x:c>
      <x:c r="B922" s="20" t="str">
        <x:v>NYC-V1-R01</x:v>
      </x:c>
      <x:c r="C922" s="20" t="str">
        <x:v>V1</x:v>
      </x:c>
      <x:c r="D922" s="20" t="str">
        <x:v>age_75_plus</x:v>
      </x:c>
      <x:c r="E922" s="20" t="str">
        <x:v>population</x:v>
      </x:c>
      <x:c r="F922" s="50" t="n">
        <x:v>3848</x:v>
      </x:c>
      <x:c r="G922" s="50" t="n">
        <x:v>513.4498028045195</x:v>
      </x:c>
      <x:c r="H922" s="50" t="n">
        <x:v>3848.209</x:v>
      </x:c>
      <x:c r="I922" s="50" t="n">
        <x:v>527.6222460753087</x:v>
      </x:c>
      <x:c r="J922" s="42" t="n">
        <x:v>1.0276023930545453</x:v>
      </x:c>
      <x:c r="K922" s="42" t="n">
        <x:v>0.000407050502032042</x:v>
      </x:c>
      <x:c r="L922" s="26" t="n">
        <x:v>2965</x:v>
      </x:c>
      <x:c r="M922" s="26" t="n">
        <x:v>3861</x:v>
      </x:c>
      <x:c r="N922" s="26" t="n">
        <x:v>4698</x:v>
      </x:c>
    </x:row>
    <x:row r="923">
      <x:c r="A923" s="20" t="str">
        <x:v>T2_CONCORDANT_DOMAIN</x:v>
      </x:c>
      <x:c r="B923" s="20" t="str">
        <x:v>NYC-V1-R01</x:v>
      </x:c>
      <x:c r="C923" s="20" t="str">
        <x:v>V1</x:v>
      </x:c>
      <x:c r="D923" s="20" t="str">
        <x:v>age_85_plus</x:v>
      </x:c>
      <x:c r="E923" s="20" t="str">
        <x:v>population</x:v>
      </x:c>
      <x:c r="F923" s="50" t="n">
        <x:v>1452</x:v>
      </x:c>
      <x:c r="G923" s="50" t="n">
        <x:v>371.14572609690657</x:v>
      </x:c>
      <x:c r="H923" s="50" t="n">
        <x:v>1452.208</x:v>
      </x:c>
      <x:c r="I923" s="50" t="n">
        <x:v>378.88448396336867</x:v>
      </x:c>
      <x:c r="J923" s="42" t="n">
        <x:v>1.0208509955047724</x:v>
      </x:c>
      <x:c r="K923" s="42" t="n">
        <x:v>0.0005604267687182652</x:v>
      </x:c>
      <x:c r="L923" s="26" t="n">
        <x:v>775</x:v>
      </x:c>
      <x:c r="M923" s="26" t="n">
        <x:v>1460</x:v>
      </x:c>
      <x:c r="N923" s="26" t="n">
        <x:v>2059</x:v>
      </x:c>
    </x:row>
    <x:row r="924">
      <x:c r="A924" s="20" t="str">
        <x:v>T2_CONCORDANT_DOMAIN</x:v>
      </x:c>
      <x:c r="B924" s="20" t="str">
        <x:v>NYC-V1-R01</x:v>
      </x:c>
      <x:c r="C924" s="20" t="str">
        <x:v>V1</x:v>
      </x:c>
      <x:c r="D924" s="20" t="str">
        <x:v>civilian_noninstitutionalized</x:v>
      </x:c>
      <x:c r="E924" s="20" t="str">
        <x:v>disability</x:v>
      </x:c>
      <x:c r="F924" s="50" t="n">
        <x:v>30295</x:v>
      </x:c>
      <x:c r="G924" s="50" t="n">
        <x:v>1412.1072905413384</x:v>
      </x:c>
      <x:c r="H924" s="50" t="n">
        <x:v>30294.617</x:v>
      </x:c>
      <x:c r="I924" s="50" t="n">
        <x:v>1447.8498318010907</x:v>
      </x:c>
      <x:c r="J924" s="42" t="n">
        <x:v>1.0253114912012458</x:v>
      </x:c>
      <x:c r="K924" s="42" t="n">
        <x:v>-0.0002712258498819908</x:v>
      </x:c>
      <x:c r="L924" s="26" t="n">
        <x:v>27929</x:v>
      </x:c>
      <x:c r="M924" s="26" t="n">
        <x:v>30316</x:v>
      </x:c>
      <x:c r="N924" s="26" t="n">
        <x:v>32579</x:v>
      </x:c>
    </x:row>
    <x:row r="925">
      <x:c r="A925" s="20" t="str">
        <x:v>T2_CONCORDANT_DOMAIN</x:v>
      </x:c>
      <x:c r="B925" s="20" t="str">
        <x:v>NYC-V1-R01</x:v>
      </x:c>
      <x:c r="C925" s="20" t="str">
        <x:v>V1</x:v>
      </x:c>
      <x:c r="D925" s="20" t="str">
        <x:v>any_disability</x:v>
      </x:c>
      <x:c r="E925" s="20" t="str">
        <x:v>disability</x:v>
      </x:c>
      <x:c r="F925" s="50" t="n">
        <x:v>4872</x:v>
      </x:c>
      <x:c r="G925" s="50" t="n">
        <x:v>511.8813339046463</x:v>
      </x:c>
      <x:c r="H925" s="50" t="n">
        <x:v>4872.795</x:v>
      </x:c>
      <x:c r="I925" s="50" t="n">
        <x:v>646.767512472751</x:v>
      </x:c>
      <x:c r="J925" s="42" t="n">
        <x:v>1.2635106413027193</x:v>
      </x:c>
      <x:c r="K925" s="42" t="n">
        <x:v>0.0015530943352354515</x:v>
      </x:c>
      <x:c r="L925" s="26" t="n">
        <x:v>3794</x:v>
      </x:c>
      <x:c r="M925" s="26" t="n">
        <x:v>4872</x:v>
      </x:c>
      <x:c r="N925" s="26" t="n">
        <x:v>5918</x:v>
      </x:c>
    </x:row>
    <x:row r="926">
      <x:c r="A926" s="20" t="str">
        <x:v>T2_CONCORDANT_DOMAIN</x:v>
      </x:c>
      <x:c r="B926" s="20" t="str">
        <x:v>NYC-V1-R01</x:v>
      </x:c>
      <x:c r="C926" s="20" t="str">
        <x:v>V1</x:v>
      </x:c>
      <x:c r="D926" s="20" t="str">
        <x:v>disability_under_18</x:v>
      </x:c>
      <x:c r="E926" s="20" t="str">
        <x:v>disability</x:v>
      </x:c>
      <x:c r="F926" s="50" t="n">
        <x:v>120</x:v>
      </x:c>
      <x:c r="G926" s="50" t="n">
        <x:v>62.30690170438585</x:v>
      </x:c>
      <x:c r="H926" s="50" t="n">
        <x:v>120.755</x:v>
      </x:c>
      <x:c r="I926" s="50" t="n">
        <x:v>63.204602655161096</x:v>
      </x:c>
      <x:c r="J926" s="42" t="n">
        <x:v>1.014407728938832</x:v>
      </x:c>
      <x:c r="K926" s="42" t="n">
        <x:v>0.01211743770508894</x:v>
      </x:c>
      <x:c r="L926" s="26" t="n">
        <x:v>13</x:v>
      </x:c>
      <x:c r="M926" s="26" t="n">
        <x:v>122</x:v>
      </x:c>
      <x:c r="N926" s="26" t="n">
        <x:v>228</x:v>
      </x:c>
    </x:row>
    <x:row r="927">
      <x:c r="A927" s="20" t="str">
        <x:v>T2_CONCORDANT_DOMAIN</x:v>
      </x:c>
      <x:c r="B927" s="20" t="str">
        <x:v>NYC-V1-R01</x:v>
      </x:c>
      <x:c r="C927" s="20" t="str">
        <x:v>V1</x:v>
      </x:c>
      <x:c r="D927" s="20" t="str">
        <x:v>disability_18_64</x:v>
      </x:c>
      <x:c r="E927" s="20" t="str">
        <x:v>disability</x:v>
      </x:c>
      <x:c r="F927" s="50" t="n">
        <x:v>1591</x:v>
      </x:c>
      <x:c r="G927" s="50" t="n">
        <x:v>335.43889160322476</x:v>
      </x:c>
      <x:c r="H927" s="50" t="n">
        <x:v>1591.052</x:v>
      </x:c>
      <x:c r="I927" s="50" t="n">
        <x:v>347.70687276118855</x:v>
      </x:c>
      <x:c r="J927" s="42" t="n">
        <x:v>1.0365729242048505</x:v>
      </x:c>
      <x:c r="K927" s="42" t="n">
        <x:v>0.0001550207841177094</x:v>
      </x:c>
      <x:c r="L927" s="26" t="n">
        <x:v>1031</x:v>
      </x:c>
      <x:c r="M927" s="26" t="n">
        <x:v>1595</x:v>
      </x:c>
      <x:c r="N927" s="26" t="n">
        <x:v>2151</x:v>
      </x:c>
    </x:row>
    <x:row r="928">
      <x:c r="A928" s="20" t="str">
        <x:v>T2_CONCORDANT_DOMAIN</x:v>
      </x:c>
      <x:c r="B928" s="20" t="str">
        <x:v>NYC-V1-R01</x:v>
      </x:c>
      <x:c r="C928" s="20" t="str">
        <x:v>V1</x:v>
      </x:c>
      <x:c r="D928" s="20" t="str">
        <x:v>disability_65_plus</x:v>
      </x:c>
      <x:c r="E928" s="20" t="str">
        <x:v>disability</x:v>
      </x:c>
      <x:c r="F928" s="50" t="n">
        <x:v>3161</x:v>
      </x:c>
      <x:c r="G928" s="50" t="n">
        <x:v>373.59724303051274</x:v>
      </x:c>
      <x:c r="H928" s="50" t="n">
        <x:v>3160.988</x:v>
      </x:c>
      <x:c r="I928" s="50" t="n">
        <x:v>383.2180004800034</x:v>
      </x:c>
      <x:c r="J928" s="42" t="n">
        <x:v>1.025751682136222</x:v>
      </x:c>
      <x:c r="K928" s="42" t="n">
        <x:v>-0.00003212015137700283</x:v>
      </x:c>
      <x:c r="L928" s="26" t="n">
        <x:v>2547</x:v>
      </x:c>
      <x:c r="M928" s="26" t="n">
        <x:v>3145</x:v>
      </x:c>
      <x:c r="N928" s="26" t="n">
        <x:v>3777</x:v>
      </x:c>
    </x:row>
    <x:row r="929">
      <x:c r="A929" s="20" t="str">
        <x:v>T2_CONCORDANT_DOMAIN</x:v>
      </x:c>
      <x:c r="B929" s="20" t="str">
        <x:v>NYC-V1-R01</x:v>
      </x:c>
      <x:c r="C929" s="20" t="str">
        <x:v>V1</x:v>
      </x:c>
      <x:c r="D929" s="20" t="str">
        <x:v>hearing_difficulty</x:v>
      </x:c>
      <x:c r="E929" s="20" t="str">
        <x:v>disability</x:v>
      </x:c>
      <x:c r="F929" s="50" t="n">
        <x:v>830</x:v>
      </x:c>
      <x:c r="G929" s="50" t="n">
        <x:v>174.05668322462455</x:v>
      </x:c>
      <x:c r="H929" s="50" t="n">
        <x:v>830.101</x:v>
      </x:c>
      <x:c r="I929" s="50" t="n">
        <x:v>178.0176875933852</x:v>
      </x:c>
      <x:c r="J929" s="42" t="n">
        <x:v>1.0227569794814997</x:v>
      </x:c>
      <x:c r="K929" s="42" t="n">
        <x:v>0.000580270737835766</x:v>
      </x:c>
      <x:c r="L929" s="26" t="n">
        <x:v>533</x:v>
      </x:c>
      <x:c r="M929" s="26" t="n">
        <x:v>832</x:v>
      </x:c>
      <x:c r="N929" s="26" t="n">
        <x:v>1118</x:v>
      </x:c>
    </x:row>
    <x:row r="930">
      <x:c r="A930" s="20" t="str">
        <x:v>T2_CONCORDANT_DOMAIN</x:v>
      </x:c>
      <x:c r="B930" s="20" t="str">
        <x:v>NYC-V1-R01</x:v>
      </x:c>
      <x:c r="C930" s="20" t="str">
        <x:v>V1</x:v>
      </x:c>
      <x:c r="D930" s="20" t="str">
        <x:v>vision_difficulty</x:v>
      </x:c>
      <x:c r="E930" s="20" t="str">
        <x:v>disability</x:v>
      </x:c>
      <x:c r="F930" s="50" t="n">
        <x:v>1215</x:v>
      </x:c>
      <x:c r="G930" s="50" t="n">
        <x:v>318.444148703849</x:v>
      </x:c>
      <x:c r="H930" s="50" t="n">
        <x:v>1215.034</x:v>
      </x:c>
      <x:c r="I930" s="50" t="n">
        <x:v>318.7550935336621</x:v>
      </x:c>
      <x:c r="J930" s="42" t="n">
        <x:v>1.0009764501281582</x:v>
      </x:c>
      <x:c r="K930" s="42" t="n">
        <x:v>0.00010676911520746855</x:v>
      </x:c>
      <x:c r="L930" s="26" t="n">
        <x:v>681</x:v>
      </x:c>
      <x:c r="M930" s="26" t="n">
        <x:v>1206</x:v>
      </x:c>
      <x:c r="N930" s="26" t="n">
        <x:v>1719</x:v>
      </x:c>
    </x:row>
    <x:row r="931">
      <x:c r="A931" s="20" t="str">
        <x:v>T2_CONCORDANT_DOMAIN</x:v>
      </x:c>
      <x:c r="B931" s="20" t="str">
        <x:v>NYC-V1-R01</x:v>
      </x:c>
      <x:c r="C931" s="20" t="str">
        <x:v>V1</x:v>
      </x:c>
      <x:c r="D931" s="20" t="str">
        <x:v>cognitive_difficulty</x:v>
      </x:c>
      <x:c r="E931" s="20" t="str">
        <x:v>disability</x:v>
      </x:c>
      <x:c r="F931" s="50" t="n">
        <x:v>2325</x:v>
      </x:c>
      <x:c r="G931" s="50" t="n">
        <x:v>378.09057864089414</x:v>
      </x:c>
      <x:c r="H931" s="50" t="n">
        <x:v>2325.041</x:v>
      </x:c>
      <x:c r="I931" s="50" t="n">
        <x:v>376.7448234295741</x:v>
      </x:c>
      <x:c r="J931" s="42" t="n">
        <x:v>0.9964406539402343</x:v>
      </x:c>
      <x:c r="K931" s="42" t="n">
        <x:v>0.00010843962350912914</x:v>
      </x:c>
      <x:c r="L931" s="26" t="n">
        <x:v>1709</x:v>
      </x:c>
      <x:c r="M931" s="26" t="n">
        <x:v>2324</x:v>
      </x:c>
      <x:c r="N931" s="26" t="n">
        <x:v>2913</x:v>
      </x:c>
    </x:row>
    <x:row r="932">
      <x:c r="A932" s="20" t="str">
        <x:v>T2_CONCORDANT_DOMAIN</x:v>
      </x:c>
      <x:c r="B932" s="20" t="str">
        <x:v>NYC-V1-R01</x:v>
      </x:c>
      <x:c r="C932" s="20" t="str">
        <x:v>V1</x:v>
      </x:c>
      <x:c r="D932" s="20" t="str">
        <x:v>ambulatory_difficulty</x:v>
      </x:c>
      <x:c r="E932" s="20" t="str">
        <x:v>disability</x:v>
      </x:c>
      <x:c r="F932" s="50" t="n">
        <x:v>3212</x:v>
      </x:c>
      <x:c r="G932" s="50" t="n">
        <x:v>451.9236596300989</x:v>
      </x:c>
      <x:c r="H932" s="50" t="n">
        <x:v>3212.125</x:v>
      </x:c>
      <x:c r="I932" s="50" t="n">
        <x:v>458.25621232137286</x:v>
      </x:c>
      <x:c r="J932" s="42" t="n">
        <x:v>1.014012438951431</x:v>
      </x:c>
      <x:c r="K932" s="42" t="n">
        <x:v>0.000276595388040345</x:v>
      </x:c>
      <x:c r="L932" s="26" t="n">
        <x:v>2480</x:v>
      </x:c>
      <x:c r="M932" s="26" t="n">
        <x:v>3228</x:v>
      </x:c>
      <x:c r="N932" s="26" t="n">
        <x:v>3962</x:v>
      </x:c>
    </x:row>
    <x:row r="933">
      <x:c r="A933" s="20" t="str">
        <x:v>T2_CONCORDANT_DOMAIN</x:v>
      </x:c>
      <x:c r="B933" s="20" t="str">
        <x:v>NYC-V1-R01</x:v>
      </x:c>
      <x:c r="C933" s="20" t="str">
        <x:v>V1</x:v>
      </x:c>
      <x:c r="D933" s="20" t="str">
        <x:v>self_care_difficulty</x:v>
      </x:c>
      <x:c r="E933" s="20" t="str">
        <x:v>disability</x:v>
      </x:c>
      <x:c r="F933" s="50" t="n">
        <x:v>1877</x:v>
      </x:c>
      <x:c r="G933" s="50" t="n">
        <x:v>418.90674105005246</x:v>
      </x:c>
      <x:c r="H933" s="50" t="n">
        <x:v>1877.219</x:v>
      </x:c>
      <x:c r="I933" s="50" t="n">
        <x:v>412.2611821665015</x:v>
      </x:c>
      <x:c r="J933" s="42" t="n">
        <x:v>0.9841359466622741</x:v>
      </x:c>
      <x:c r="K933" s="42" t="n">
        <x:v>0.0005227893909061827</x:v>
      </x:c>
      <x:c r="L933" s="26" t="n">
        <x:v>1214</x:v>
      </x:c>
      <x:c r="M933" s="26" t="n">
        <x:v>1890</x:v>
      </x:c>
      <x:c r="N933" s="26" t="n">
        <x:v>2518</x:v>
      </x:c>
    </x:row>
    <x:row r="934">
      <x:c r="A934" s="20" t="str">
        <x:v>T2_CONCORDANT_DOMAIN</x:v>
      </x:c>
      <x:c r="B934" s="20" t="str">
        <x:v>NYC-V1-R01</x:v>
      </x:c>
      <x:c r="C934" s="20" t="str">
        <x:v>V1</x:v>
      </x:c>
      <x:c r="D934" s="20" t="str">
        <x:v>independent_living_difficulty</x:v>
      </x:c>
      <x:c r="E934" s="20" t="str">
        <x:v>disability</x:v>
      </x:c>
      <x:c r="F934" s="50" t="n">
        <x:v>2673</x:v>
      </x:c>
      <x:c r="G934" s="50" t="n">
        <x:v>439.57000820352414</x:v>
      </x:c>
      <x:c r="H934" s="50" t="n">
        <x:v>2672.901</x:v>
      </x:c>
      <x:c r="I934" s="50" t="n">
        <x:v>435.5631739225408</x:v>
      </x:c>
      <x:c r="J934" s="42" t="n">
        <x:v>0.9908846504397357</x:v>
      </x:c>
      <x:c r="K934" s="42" t="n">
        <x:v>-0.00022522009725996217</x:v>
      </x:c>
      <x:c r="L934" s="26" t="n">
        <x:v>1967</x:v>
      </x:c>
      <x:c r="M934" s="26" t="n">
        <x:v>2680</x:v>
      </x:c>
      <x:c r="N934" s="26" t="n">
        <x:v>3417</x:v>
      </x:c>
    </x:row>
    <x:row r="935">
      <x:c r="A935" s="20" t="str">
        <x:v>T2_CONCORDANT_DOMAIN</x:v>
      </x:c>
      <x:c r="B935" s="20" t="str">
        <x:v>NYC-V1-R01</x:v>
      </x:c>
      <x:c r="C935" s="20" t="str">
        <x:v>V1</x:v>
      </x:c>
      <x:c r="D935" s="20" t="str">
        <x:v>households</x:v>
      </x:c>
      <x:c r="E935" s="20" t="str">
        <x:v>household</x:v>
      </x:c>
      <x:c r="F935" s="50" t="n">
        <x:v>13224</x:v>
      </x:c>
      <x:c r="G935" s="50" t="n">
        <x:v>575.0797770744508</x:v>
      </x:c>
      <x:c r="H935" s="50" t="n">
        <x:v>13224.466</x:v>
      </x:c>
      <x:c r="I935" s="50" t="n">
        <x:v>532.6596466254442</x:v>
      </x:c>
      <x:c r="J935" s="42" t="n">
        <x:v>0.9262360942949402</x:v>
      </x:c>
      <x:c r="K935" s="42" t="n">
        <x:v>0.0008103223562667899</x:v>
      </x:c>
      <x:c r="L935" s="26" t="n">
        <x:v>12333</x:v>
      </x:c>
      <x:c r="M935" s="26" t="n">
        <x:v>13245</x:v>
      </x:c>
      <x:c r="N935" s="26" t="n">
        <x:v>14074</x:v>
      </x:c>
    </x:row>
    <x:row r="936">
      <x:c r="A936" s="20" t="str">
        <x:v>T2_CONCORDANT_DOMAIN</x:v>
      </x:c>
      <x:c r="B936" s="20" t="str">
        <x:v>NYC-V1-R01</x:v>
      </x:c>
      <x:c r="C936" s="20" t="str">
        <x:v>V1</x:v>
      </x:c>
      <x:c r="D936" s="20" t="str">
        <x:v>family_households</x:v>
      </x:c>
      <x:c r="E936" s="20" t="str">
        <x:v>household</x:v>
      </x:c>
      <x:c r="F936" s="50" t="n">
        <x:v>8588</x:v>
      </x:c>
      <x:c r="G936" s="50" t="n">
        <x:v>525.5356315227351</x:v>
      </x:c>
      <x:c r="H936" s="50" t="n">
        <x:v>8588.504</x:v>
      </x:c>
      <x:c r="I936" s="50" t="n">
        <x:v>530.5319350596325</x:v>
      </x:c>
      <x:c r="J936" s="42" t="n">
        <x:v>1.0095070690495727</x:v>
      </x:c>
      <x:c r="K936" s="42" t="n">
        <x:v>0.0009590215577590412</x:v>
      </x:c>
      <x:c r="L936" s="26" t="n">
        <x:v>7728</x:v>
      </x:c>
      <x:c r="M936" s="26" t="n">
        <x:v>8585</x:v>
      </x:c>
      <x:c r="N936" s="26" t="n">
        <x:v>9425</x:v>
      </x:c>
    </x:row>
    <x:row r="937">
      <x:c r="A937" s="20" t="str">
        <x:v>T2_CONCORDANT_DOMAIN</x:v>
      </x:c>
      <x:c r="B937" s="20" t="str">
        <x:v>NYC-V1-R01</x:v>
      </x:c>
      <x:c r="C937" s="20" t="str">
        <x:v>V1</x:v>
      </x:c>
      <x:c r="D937" s="20" t="str">
        <x:v>nonfamily_households</x:v>
      </x:c>
      <x:c r="E937" s="20" t="str">
        <x:v>household</x:v>
      </x:c>
      <x:c r="F937" s="50" t="n">
        <x:v>4636</x:v>
      </x:c>
      <x:c r="G937" s="50" t="n">
        <x:v>351.178942990607</x:v>
      </x:c>
      <x:c r="H937" s="50" t="n">
        <x:v>4635.962</x:v>
      </x:c>
      <x:c r="I937" s="50" t="n">
        <x:v>354.08806378203843</x:v>
      </x:c>
      <x:c r="J937" s="42" t="n">
        <x:v>1.0082838702305372</x:v>
      </x:c>
      <x:c r="K937" s="42" t="n">
        <x:v>-0.00010820694337750357</x:v>
      </x:c>
      <x:c r="L937" s="26" t="n">
        <x:v>4068</x:v>
      </x:c>
      <x:c r="M937" s="26" t="n">
        <x:v>4629</x:v>
      </x:c>
      <x:c r="N937" s="26" t="n">
        <x:v>5211</x:v>
      </x:c>
    </x:row>
    <x:row r="938">
      <x:c r="A938" s="20" t="str">
        <x:v>T2_CONCORDANT_DOMAIN</x:v>
      </x:c>
      <x:c r="B938" s="20" t="str">
        <x:v>NYC-V1-R01</x:v>
      </x:c>
      <x:c r="C938" s="20" t="str">
        <x:v>V1</x:v>
      </x:c>
      <x:c r="D938" s="20" t="str">
        <x:v>living_alone_households</x:v>
      </x:c>
      <x:c r="E938" s="20" t="str">
        <x:v>household</x:v>
      </x:c>
      <x:c r="F938" s="50" t="n">
        <x:v>4174</x:v>
      </x:c>
      <x:c r="G938" s="50" t="n">
        <x:v>368.5016282189266</x:v>
      </x:c>
      <x:c r="H938" s="50" t="n">
        <x:v>4173.951</x:v>
      </x:c>
      <x:c r="I938" s="50" t="n">
        <x:v>368.87442163687354</x:v>
      </x:c>
      <x:c r="J938" s="42" t="n">
        <x:v>1.0010116465963765</x:v>
      </x:c>
      <x:c r="K938" s="42" t="n">
        <x:v>-0.00013297091857316653</x:v>
      </x:c>
      <x:c r="L938" s="26" t="n">
        <x:v>3572</x:v>
      </x:c>
      <x:c r="M938" s="26" t="n">
        <x:v>4180</x:v>
      </x:c>
      <x:c r="N938" s="26" t="n">
        <x:v>4766</x:v>
      </x:c>
    </x:row>
    <x:row r="939">
      <x:c r="A939" s="20" t="str">
        <x:v>T2_CONCORDANT_DOMAIN</x:v>
      </x:c>
      <x:c r="B939" s="20" t="str">
        <x:v>NYC-V1-R01</x:v>
      </x:c>
      <x:c r="C939" s="20" t="str">
        <x:v>V1</x:v>
      </x:c>
      <x:c r="D939" s="20" t="str">
        <x:v>households_with_children</x:v>
      </x:c>
      <x:c r="E939" s="20" t="str">
        <x:v>household</x:v>
      </x:c>
      <x:c r="F939" s="50" t="n">
        <x:v>2422</x:v>
      </x:c>
      <x:c r="G939" s="50" t="n">
        <x:v>313.107649219881</x:v>
      </x:c>
      <x:c r="H939" s="50" t="n">
        <x:v>2422.034</x:v>
      </x:c>
      <x:c r="I939" s="50" t="n">
        <x:v>322.24008055099773</x:v>
      </x:c>
      <x:c r="J939" s="42" t="n">
        <x:v>1.0291670655567517</x:v>
      </x:c>
      <x:c r="K939" s="42" t="n">
        <x:v>0.00010858885142160444</x:v>
      </x:c>
      <x:c r="L939" s="26" t="n">
        <x:v>1890</x:v>
      </x:c>
      <x:c r="M939" s="26" t="n">
        <x:v>2420</x:v>
      </x:c>
      <x:c r="N939" s="26" t="n">
        <x:v>2940</x:v>
      </x:c>
    </x:row>
    <x:row r="940">
      <x:c r="A940" s="20" t="str">
        <x:v>T2_CONCORDANT_DOMAIN</x:v>
      </x:c>
      <x:c r="B940" s="20" t="str">
        <x:v>NYC-V1-R01</x:v>
      </x:c>
      <x:c r="C940" s="20" t="str">
        <x:v>V1</x:v>
      </x:c>
      <x:c r="D940" s="20" t="str">
        <x:v>households_with_age65</x:v>
      </x:c>
      <x:c r="E940" s="20" t="str">
        <x:v>household</x:v>
      </x:c>
      <x:c r="F940" s="50" t="n">
        <x:v>5563</x:v>
      </x:c>
      <x:c r="G940" s="50" t="n">
        <x:v>419.9719038221486</x:v>
      </x:c>
      <x:c r="H940" s="50" t="n">
        <x:v>5563.157</x:v>
      </x:c>
      <x:c r="I940" s="50" t="n">
        <x:v>423.10416150456666</x:v>
      </x:c>
      <x:c r="J940" s="42" t="n">
        <x:v>1.0074582553116327</x:v>
      </x:c>
      <x:c r="K940" s="42" t="n">
        <x:v>0.0003738345317181975</x:v>
      </x:c>
      <x:c r="L940" s="26" t="n">
        <x:v>4845</x:v>
      </x:c>
      <x:c r="M940" s="26" t="n">
        <x:v>5564</x:v>
      </x:c>
      <x:c r="N940" s="26" t="n">
        <x:v>6286</x:v>
      </x:c>
    </x:row>
    <x:row r="941">
      <x:c r="A941" s="20" t="str">
        <x:v>T2_CONCORDANT_DOMAIN</x:v>
      </x:c>
      <x:c r="B941" s="20" t="str">
        <x:v>NYC-V1-R01</x:v>
      </x:c>
      <x:c r="C941" s="20" t="str">
        <x:v>V1</x:v>
      </x:c>
      <x:c r="D941" s="20" t="str">
        <x:v>age65_one_person_households</x:v>
      </x:c>
      <x:c r="E941" s="20" t="str">
        <x:v>household</x:v>
      </x:c>
      <x:c r="F941" s="50" t="n">
        <x:v>1388</x:v>
      </x:c>
      <x:c r="G941" s="50" t="n">
        <x:v>197.14905528558842</x:v>
      </x:c>
      <x:c r="H941" s="50" t="n">
        <x:v>1387.988</x:v>
      </x:c>
      <x:c r="I941" s="50" t="n">
        <x:v>197.22594131586223</x:v>
      </x:c>
      <x:c r="J941" s="42" t="n">
        <x:v>1.0003899893416301</x:v>
      </x:c>
      <x:c r="K941" s="42" t="n">
        <x:v>-0.0000608676515470009</x:v>
      </x:c>
      <x:c r="L941" s="26" t="n">
        <x:v>1059</x:v>
      </x:c>
      <x:c r="M941" s="26" t="n">
        <x:v>1394</x:v>
      </x:c>
      <x:c r="N941" s="26" t="n">
        <x:v>1716</x:v>
      </x:c>
    </x:row>
    <x:row r="942">
      <x:c r="A942" s="20" t="str">
        <x:v>T2_CONCORDANT_DOMAIN</x:v>
      </x:c>
      <x:c r="B942" s="20" t="str">
        <x:v>NYC-V1-R01</x:v>
      </x:c>
      <x:c r="C942" s="20" t="str">
        <x:v>V1</x:v>
      </x:c>
      <x:c r="D942" s="20" t="str">
        <x:v>no_vehicle_households</x:v>
      </x:c>
      <x:c r="E942" s="20" t="str">
        <x:v>household</x:v>
      </x:c>
      <x:c r="F942" s="50" t="n">
        <x:v>8128</x:v>
      </x:c>
      <x:c r="G942" s="50" t="n">
        <x:v>566.0619102478963</x:v>
      </x:c>
      <x:c r="H942" s="50" t="n">
        <x:v>8128.191</x:v>
      </x:c>
      <x:c r="I942" s="50" t="n">
        <x:v>566.4463734662029</x:v>
      </x:c>
      <x:c r="J942" s="42" t="n">
        <x:v>1.000679189345452</x:v>
      </x:c>
      <x:c r="K942" s="42" t="n">
        <x:v>0.00033741892281033116</x:v>
      </x:c>
      <x:c r="L942" s="26" t="n">
        <x:v>7227</x:v>
      </x:c>
      <x:c r="M942" s="26" t="n">
        <x:v>8133</x:v>
      </x:c>
      <x:c r="N942" s="26" t="n">
        <x:v>9075</x:v>
      </x:c>
    </x:row>
    <x:row r="943">
      <x:c r="A943" s="20" t="str">
        <x:v>T2_CONCORDANT_DOMAIN</x:v>
      </x:c>
      <x:c r="B943" s="20" t="str">
        <x:v>NYC-V1-R01</x:v>
      </x:c>
      <x:c r="C943" s="20" t="str">
        <x:v>V1</x:v>
      </x:c>
      <x:c r="D943" s="20" t="str">
        <x:v>limited_english_households</x:v>
      </x:c>
      <x:c r="E943" s="20" t="str">
        <x:v>household</x:v>
      </x:c>
      <x:c r="F943" s="50" t="n">
        <x:v>6661</x:v>
      </x:c>
      <x:c r="G943" s="50" t="n">
        <x:v>530.6008954584992</x:v>
      </x:c>
      <x:c r="H943" s="50" t="n">
        <x:v>6661.21</x:v>
      </x:c>
      <x:c r="I943" s="50" t="n">
        <x:v>546.7091830496638</x:v>
      </x:c>
      <x:c r="J943" s="42" t="n">
        <x:v>1.0303585759636633</x:v>
      </x:c>
      <x:c r="K943" s="42" t="n">
        <x:v>0.00039577769618834253</x:v>
      </x:c>
      <x:c r="L943" s="26" t="n">
        <x:v>5756</x:v>
      </x:c>
      <x:c r="M943" s="26" t="n">
        <x:v>6671</x:v>
      </x:c>
      <x:c r="N943" s="26" t="n">
        <x:v>7574</x:v>
      </x:c>
    </x:row>
    <x:row r="944">
      <x:c r="A944" s="20" t="str">
        <x:v>T2_CONCORDANT_DOMAIN</x:v>
      </x:c>
      <x:c r="B944" s="20" t="str">
        <x:v>NYC-V1-R01</x:v>
      </x:c>
      <x:c r="C944" s="20" t="str">
        <x:v>V1</x:v>
      </x:c>
      <x:c r="D944" s="20" t="str">
        <x:v>housing_units</x:v>
      </x:c>
      <x:c r="E944" s="20" t="str">
        <x:v>housing</x:v>
      </x:c>
      <x:c r="F944" s="50" t="n">
        <x:v>13683</x:v>
      </x:c>
      <x:c r="G944" s="50" t="n">
        <x:v>568.4572543296462</x:v>
      </x:c>
      <x:c r="H944" s="50" t="n">
        <x:v>13683.497</x:v>
      </x:c>
      <x:c r="I944" s="50" t="n">
        <x:v>584.7290347118355</x:v>
      </x:c>
      <x:c r="J944" s="42" t="n">
        <x:v>1.0286244572626273</x:v>
      </x:c>
      <x:c r="K944" s="42" t="n">
        <x:v>0.0008742961695254934</x:v>
      </x:c>
      <x:c r="L944" s="26" t="n">
        <x:v>12711</x:v>
      </x:c>
      <x:c r="M944" s="26" t="n">
        <x:v>13704</x:v>
      </x:c>
      <x:c r="N944" s="26" t="n">
        <x:v>14604</x:v>
      </x:c>
    </x:row>
    <x:row r="945">
      <x:c r="A945" s="20" t="str">
        <x:v>T2_CONCORDANT_DOMAIN</x:v>
      </x:c>
      <x:c r="B945" s="20" t="str">
        <x:v>NYC-V1-R01</x:v>
      </x:c>
      <x:c r="C945" s="20" t="str">
        <x:v>V1</x:v>
      </x:c>
      <x:c r="D945" s="20" t="str">
        <x:v>occupied_housing_units</x:v>
      </x:c>
      <x:c r="E945" s="20" t="str">
        <x:v>housing</x:v>
      </x:c>
      <x:c r="F945" s="50" t="n">
        <x:v>13224</x:v>
      </x:c>
      <x:c r="G945" s="50" t="n">
        <x:v>575.0797770744508</x:v>
      </x:c>
      <x:c r="H945" s="50" t="n">
        <x:v>13224.466</x:v>
      </x:c>
      <x:c r="I945" s="50" t="n">
        <x:v>532.6596466254442</x:v>
      </x:c>
      <x:c r="J945" s="42" t="n">
        <x:v>0.9262360942949402</x:v>
      </x:c>
      <x:c r="K945" s="42" t="n">
        <x:v>0.0008103223562667899</x:v>
      </x:c>
      <x:c r="L945" s="26" t="n">
        <x:v>12333</x:v>
      </x:c>
      <x:c r="M945" s="26" t="n">
        <x:v>13245</x:v>
      </x:c>
      <x:c r="N945" s="26" t="n">
        <x:v>14074</x:v>
      </x:c>
    </x:row>
    <x:row r="946">
      <x:c r="A946" s="20" t="str">
        <x:v>T2_CONCORDANT_DOMAIN</x:v>
      </x:c>
      <x:c r="B946" s="20" t="str">
        <x:v>NYC-V1-R01</x:v>
      </x:c>
      <x:c r="C946" s="20" t="str">
        <x:v>V1</x:v>
      </x:c>
      <x:c r="D946" s="20" t="str">
        <x:v>vacant_housing_units</x:v>
      </x:c>
      <x:c r="E946" s="20" t="str">
        <x:v>housing</x:v>
      </x:c>
      <x:c r="F946" s="50" t="n">
        <x:v>459</x:v>
      </x:c>
      <x:c r="G946" s="50" t="n">
        <x:v>115.48246620158405</x:v>
      </x:c>
      <x:c r="H946" s="50" t="n">
        <x:v>459.031</x:v>
      </x:c>
      <x:c r="I946" s="50" t="n">
        <x:v>118.81357121012609</x:v>
      </x:c>
      <x:c r="J946" s="42" t="n">
        <x:v>1.028845114917509</x:v>
      </x:c>
      <x:c r="K946" s="42" t="n">
        <x:v>0.00026843901952953525</x:v>
      </x:c>
      <x:c r="L946" s="26" t="n">
        <x:v>266</x:v>
      </x:c>
      <x:c r="M946" s="26" t="n">
        <x:v>456</x:v>
      </x:c>
      <x:c r="N946" s="26" t="n">
        <x:v>654</x:v>
      </x:c>
    </x:row>
    <x:row r="947">
      <x:c r="A947" s="20" t="str">
        <x:v>T2_CONCORDANT_DOMAIN</x:v>
      </x:c>
      <x:c r="B947" s="20" t="str">
        <x:v>NYC-V1-R01</x:v>
      </x:c>
      <x:c r="C947" s="20" t="str">
        <x:v>V1</x:v>
      </x:c>
      <x:c r="D947" s="20" t="str">
        <x:v>owner_occupied_units</x:v>
      </x:c>
      <x:c r="E947" s="20" t="str">
        <x:v>housing</x:v>
      </x:c>
      <x:c r="F947" s="50" t="n">
        <x:v>4525</x:v>
      </x:c>
      <x:c r="G947" s="50" t="n">
        <x:v>418.4473211601426</x:v>
      </x:c>
      <x:c r="H947" s="50" t="n">
        <x:v>4525.024</x:v>
      </x:c>
      <x:c r="I947" s="50" t="n">
        <x:v>345.96175071379923</x:v>
      </x:c>
      <x:c r="J947" s="42" t="n">
        <x:v>0.8267749205673546</x:v>
      </x:c>
      <x:c r="K947" s="42" t="n">
        <x:v>0.000057354889819349585</x:v>
      </x:c>
      <x:c r="L947" s="26" t="n">
        <x:v>3951</x:v>
      </x:c>
      <x:c r="M947" s="26" t="n">
        <x:v>4514</x:v>
      </x:c>
      <x:c r="N947" s="26" t="n">
        <x:v>5107</x:v>
      </x:c>
    </x:row>
    <x:row r="948">
      <x:c r="A948" s="20" t="str">
        <x:v>T2_CONCORDANT_DOMAIN</x:v>
      </x:c>
      <x:c r="B948" s="20" t="str">
        <x:v>NYC-V1-R01</x:v>
      </x:c>
      <x:c r="C948" s="20" t="str">
        <x:v>V1</x:v>
      </x:c>
      <x:c r="D948" s="20" t="str">
        <x:v>renter_occupied_units</x:v>
      </x:c>
      <x:c r="E948" s="20" t="str">
        <x:v>housing</x:v>
      </x:c>
      <x:c r="F948" s="50" t="n">
        <x:v>8699</x:v>
      </x:c>
      <x:c r="G948" s="50" t="n">
        <x:v>522.1969420174196</x:v>
      </x:c>
      <x:c r="H948" s="50" t="n">
        <x:v>8699.442</x:v>
      </x:c>
      <x:c r="I948" s="50" t="n">
        <x:v>393.74296458242674</x:v>
      </x:c>
      <x:c r="J948" s="42" t="n">
        <x:v>0.7540123905384574</x:v>
      </x:c>
      <x:c r="K948" s="42" t="n">
        <x:v>0.000846423953176565</x:v>
      </x:c>
      <x:c r="L948" s="26" t="n">
        <x:v>8050</x:v>
      </x:c>
      <x:c r="M948" s="26" t="n">
        <x:v>8701</x:v>
      </x:c>
      <x:c r="N948" s="26" t="n">
        <x:v>9364</x:v>
      </x:c>
    </x:row>
    <x:row r="949">
      <x:c r="A949" s="20" t="str">
        <x:v>T2_CONCORDANT_DOMAIN</x:v>
      </x:c>
      <x:c r="B949" s="20" t="str">
        <x:v>NYC-V1-R01</x:v>
      </x:c>
      <x:c r="C949" s="20" t="str">
        <x:v>V1</x:v>
      </x:c>
      <x:c r="D949" s="20" t="str">
        <x:v>one_unit_structures</x:v>
      </x:c>
      <x:c r="E949" s="20" t="str">
        <x:v>housing</x:v>
      </x:c>
      <x:c r="F949" s="50" t="n">
        <x:v>471</x:v>
      </x:c>
      <x:c r="G949" s="50" t="n">
        <x:v>121.7809897861934</x:v>
      </x:c>
      <x:c r="H949" s="50" t="n">
        <x:v>470.895</x:v>
      </x:c>
      <x:c r="I949" s="50" t="n">
        <x:v>113.80254388190974</x:v>
      </x:c>
      <x:c r="J949" s="42" t="n">
        <x:v>0.9344852926693145</x:v>
      </x:c>
      <x:c r="K949" s="42" t="n">
        <x:v>-0.0008622035359078867</x:v>
      </x:c>
      <x:c r="L949" s="26" t="n">
        <x:v>286</x:v>
      </x:c>
      <x:c r="M949" s="26" t="n">
        <x:v>471</x:v>
      </x:c>
      <x:c r="N949" s="26" t="n">
        <x:v>655</x:v>
      </x:c>
    </x:row>
    <x:row r="950">
      <x:c r="A950" s="20" t="str">
        <x:v>T2_CONCORDANT_DOMAIN</x:v>
      </x:c>
      <x:c r="B950" s="20" t="str">
        <x:v>NYC-V1-R01</x:v>
      </x:c>
      <x:c r="C950" s="20" t="str">
        <x:v>V1</x:v>
      </x:c>
      <x:c r="D950" s="20" t="str">
        <x:v>two_to_four_unit_structures</x:v>
      </x:c>
      <x:c r="E950" s="20" t="str">
        <x:v>housing</x:v>
      </x:c>
      <x:c r="F950" s="50" t="n">
        <x:v>685</x:v>
      </x:c>
      <x:c r="G950" s="50" t="n">
        <x:v>178.5599815253613</x:v>
      </x:c>
      <x:c r="H950" s="50" t="n">
        <x:v>684.955</x:v>
      </x:c>
      <x:c r="I950" s="50" t="n">
        <x:v>160.17987566347892</x:v>
      </x:c>
      <x:c r="J950" s="42" t="n">
        <x:v>0.897064808671747</x:v>
      </x:c>
      <x:c r="K950" s="42" t="n">
        <x:v>-0.0002520161551067791</x:v>
      </x:c>
      <x:c r="L950" s="26" t="n">
        <x:v>422</x:v>
      </x:c>
      <x:c r="M950" s="26" t="n">
        <x:v>688</x:v>
      </x:c>
      <x:c r="N950" s="26" t="n">
        <x:v>935</x:v>
      </x:c>
    </x:row>
    <x:row r="951">
      <x:c r="A951" s="20" t="str">
        <x:v>T2_CONCORDANT_DOMAIN</x:v>
      </x:c>
      <x:c r="B951" s="20" t="str">
        <x:v>NYC-V1-R01</x:v>
      </x:c>
      <x:c r="C951" s="20" t="str">
        <x:v>V1</x:v>
      </x:c>
      <x:c r="D951" s="20" t="str">
        <x:v>five_to_nineteen_unit_structures</x:v>
      </x:c>
      <x:c r="E951" s="20" t="str">
        <x:v>housing</x:v>
      </x:c>
      <x:c r="F951" s="50" t="n">
        <x:v>418</x:v>
      </x:c>
      <x:c r="G951" s="50" t="n">
        <x:v>142.3453290404149</x:v>
      </x:c>
      <x:c r="H951" s="50" t="n">
        <x:v>417.967</x:v>
      </x:c>
      <x:c r="I951" s="50" t="n">
        <x:v>128.66381888195798</x:v>
      </x:c>
      <x:c r="J951" s="42" t="n">
        <x:v>0.9038850782762781</x:v>
      </x:c>
      <x:c r="K951" s="42" t="n">
        <x:v>-0.00023183057865317134</x:v>
      </x:c>
      <x:c r="L951" s="26" t="n">
        <x:v>194</x:v>
      </x:c>
      <x:c r="M951" s="26" t="n">
        <x:v>417</x:v>
      </x:c>
      <x:c r="N951" s="26" t="n">
        <x:v>626</x:v>
      </x:c>
    </x:row>
    <x:row r="952">
      <x:c r="A952" s="20" t="str">
        <x:v>T2_CONCORDANT_DOMAIN</x:v>
      </x:c>
      <x:c r="B952" s="20" t="str">
        <x:v>NYC-V1-R01</x:v>
      </x:c>
      <x:c r="C952" s="20" t="str">
        <x:v>V1</x:v>
      </x:c>
      <x:c r="D952" s="20" t="str">
        <x:v>twenty_to_forty_nine_unit_structures</x:v>
      </x:c>
      <x:c r="E952" s="20" t="str">
        <x:v>housing</x:v>
      </x:c>
      <x:c r="F952" s="50" t="n">
        <x:v>2661</x:v>
      </x:c>
      <x:c r="G952" s="50" t="n">
        <x:v>338.91272635885014</x:v>
      </x:c>
      <x:c r="H952" s="50" t="n">
        <x:v>2660.887</x:v>
      </x:c>
      <x:c r="I952" s="50" t="n">
        <x:v>274.9568284085494</x:v>
      </x:c>
      <x:c r="J952" s="42" t="n">
        <x:v>0.8112909519880867</x:v>
      </x:c>
      <x:c r="K952" s="42" t="n">
        <x:v>-0.0003334191702207768</x:v>
      </x:c>
      <x:c r="L952" s="26" t="n">
        <x:v>2212</x:v>
      </x:c>
      <x:c r="M952" s="26" t="n">
        <x:v>2656</x:v>
      </x:c>
      <x:c r="N952" s="26" t="n">
        <x:v>3132</x:v>
      </x:c>
    </x:row>
    <x:row r="953">
      <x:c r="A953" s="20" t="str">
        <x:v>T2_CONCORDANT_DOMAIN</x:v>
      </x:c>
      <x:c r="B953" s="20" t="str">
        <x:v>NYC-V1-R01</x:v>
      </x:c>
      <x:c r="C953" s="20" t="str">
        <x:v>V1</x:v>
      </x:c>
      <x:c r="D953" s="20" t="str">
        <x:v>fifty_plus_unit_structures</x:v>
      </x:c>
      <x:c r="E953" s="20" t="str">
        <x:v>housing</x:v>
      </x:c>
      <x:c r="F953" s="50" t="n">
        <x:v>8970</x:v>
      </x:c>
      <x:c r="G953" s="50" t="n">
        <x:v>612.9121864407799</x:v>
      </x:c>
      <x:c r="H953" s="50" t="n">
        <x:v>8957.39</x:v>
      </x:c>
      <x:c r="I953" s="50" t="n">
        <x:v>379.0596603783184</x:v>
      </x:c>
      <x:c r="J953" s="42" t="n">
        <x:v>0.618456719843575</x:v>
      </x:c>
      <x:c r="K953" s="42" t="n">
        <x:v>-0.020573909736120038</x:v>
      </x:c>
      <x:c r="L953" s="26" t="n">
        <x:v>8332</x:v>
      </x:c>
      <x:c r="M953" s="26" t="n">
        <x:v>8962</x:v>
      </x:c>
      <x:c r="N953" s="26" t="n">
        <x:v>9609</x:v>
      </x:c>
    </x:row>
    <x:row r="954">
      <x:c r="A954" s="20" t="str">
        <x:v>T2_CONCORDANT_DOMAIN</x:v>
      </x:c>
      <x:c r="B954" s="20" t="str">
        <x:v>NYC-V1-R01</x:v>
      </x:c>
      <x:c r="C954" s="20" t="str">
        <x:v>V1</x:v>
      </x:c>
      <x:c r="D954" s="20" t="str">
        <x:v>mobile_or_other_units</x:v>
      </x:c>
      <x:c r="E954" s="20" t="str">
        <x:v>housing</x:v>
      </x:c>
      <x:c r="F954" s="50" t="n">
        <x:v>19</x:v>
      </x:c>
      <x:c r="G954" s="50" t="n">
        <x:v>53.97341045489283</x:v>
      </x:c>
      <x:c r="H954" s="50" t="n">
        <x:v>32.372</x:v>
      </x:c>
      <x:c r="I954" s="50" t="n">
        <x:v>36.785524201658326</x:v>
      </x:c>
      <x:c r="J954" s="42" t="n">
        <x:v>0.6815490051791534</x:v>
      </x:c>
      <x:c r="K954" s="42" t="n">
        <x:v>0.2477516222765907</x:v>
      </x:c>
      <x:c r="L954" s="26" t="n">
        <x:v>0</x:v>
      </x:c>
      <x:c r="M954" s="26" t="n">
        <x:v>20</x:v>
      </x:c>
      <x:c r="N954" s="26" t="n">
        <x:v>107</x:v>
      </x:c>
    </x:row>
    <x:row r="955">
      <x:c r="A955" s="20" t="str">
        <x:v>T2_CONCORDANT_DOMAIN</x:v>
      </x:c>
      <x:c r="B955" s="20" t="str">
        <x:v>NYC-V1-R01</x:v>
      </x:c>
      <x:c r="C955" s="20" t="str">
        <x:v>V1</x:v>
      </x:c>
      <x:c r="D955" s="20" t="str">
        <x:v>electric_heat_households</x:v>
      </x:c>
      <x:c r="E955" s="20" t="str">
        <x:v>housing</x:v>
      </x:c>
      <x:c r="F955" s="50" t="n">
        <x:v>1721</x:v>
      </x:c>
      <x:c r="G955" s="50" t="n">
        <x:v>229.36270403010164</x:v>
      </x:c>
      <x:c r="H955" s="50" t="n">
        <x:v>1721.024</x:v>
      </x:c>
      <x:c r="I955" s="50" t="n">
        <x:v>237.37401679174545</x:v>
      </x:c>
      <x:c r="J955" s="42" t="n">
        <x:v>1.0349285765334908</x:v>
      </x:c>
      <x:c r="K955" s="42" t="n">
        <x:v>0.00010463776184264663</x:v>
      </x:c>
      <x:c r="L955" s="26" t="n">
        <x:v>1323</x:v>
      </x:c>
      <x:c r="M955" s="26" t="n">
        <x:v>1721</x:v>
      </x:c>
      <x:c r="N955" s="26" t="n">
        <x:v>2105</x:v>
      </x:c>
    </x:row>
    <x:row r="956">
      <x:c r="A956" s="20" t="str">
        <x:v>T2_CONCORDANT_DOMAIN</x:v>
      </x:c>
      <x:c r="B956" s="20" t="str">
        <x:v>NYC-V1-R01</x:v>
      </x:c>
      <x:c r="C956" s="20" t="str">
        <x:v>V1</x:v>
      </x:c>
      <x:c r="D956" s="20" t="str">
        <x:v>group_quarters_population</x:v>
      </x:c>
      <x:c r="E956" s="20" t="str">
        <x:v>population</x:v>
      </x:c>
      <x:c r="F956" s="50" t="n">
        <x:v>441</x:v>
      </x:c>
      <x:c r="G956" s="50" t="n">
        <x:v>6.1359595826569775</x:v>
      </x:c>
      <x:c r="H956" s="50" t="n">
        <x:v>441</x:v>
      </x:c>
      <x:c r="I956" s="50" t="n">
        <x:v>6.352350144029558</x:v>
      </x:c>
      <x:c r="J956" s="42" t="n">
        <x:v>1.0352659691540667</x:v>
      </x:c>
      <x:c r="K956" s="42" t="n">
        <x:v>0</x:v>
      </x:c>
      <x:c r="L956" s="26" t="n">
        <x:v>431</x:v>
      </x:c>
      <x:c r="M956" s="26" t="n">
        <x:v>441</x:v>
      </x:c>
      <x:c r="N956" s="26" t="n">
        <x:v>452</x:v>
      </x:c>
    </x:row>
    <x:row r="957">
      <x:c r="A957" s="20" t="str">
        <x:v>T2_CONCORDANT_DOMAIN</x:v>
      </x:c>
      <x:c r="B957" s="20" t="str">
        <x:v>NYC-V1-R02</x:v>
      </x:c>
      <x:c r="C957" s="20" t="str">
        <x:v>V1</x:v>
      </x:c>
      <x:c r="D957" s="20" t="str">
        <x:v>acs_population</x:v>
      </x:c>
      <x:c r="E957" s="20" t="str">
        <x:v>population</x:v>
      </x:c>
      <x:c r="F957" s="50" t="n">
        <x:v>31462</x:v>
      </x:c>
      <x:c r="G957" s="50" t="n">
        <x:v>1902.066323764763</x:v>
      </x:c>
      <x:c r="H957" s="50" t="n">
        <x:v>32327.003</x:v>
      </x:c>
      <x:c r="I957" s="50" t="n">
        <x:v>1681.7091891250961</x:v>
      </x:c>
      <x:c r="J957" s="42" t="n">
        <x:v>0.8841485536616234</x:v>
      </x:c>
      <x:c r="K957" s="42" t="n">
        <x:v>0.4547701566409623</x:v>
      </x:c>
      <x:c r="L957" s="26" t="n">
        <x:v>29619</x:v>
      </x:c>
      <x:c r="M957" s="26" t="n">
        <x:v>32275</x:v>
      </x:c>
      <x:c r="N957" s="26" t="n">
        <x:v>35101</x:v>
      </x:c>
    </x:row>
    <x:row r="958">
      <x:c r="A958" s="20" t="str">
        <x:v>T2_CONCORDANT_DOMAIN</x:v>
      </x:c>
      <x:c r="B958" s="20" t="str">
        <x:v>NYC-V1-R02</x:v>
      </x:c>
      <x:c r="C958" s="20" t="str">
        <x:v>V1</x:v>
      </x:c>
      <x:c r="D958" s="20" t="str">
        <x:v>age_under_18</x:v>
      </x:c>
      <x:c r="E958" s="20" t="str">
        <x:v>population</x:v>
      </x:c>
      <x:c r="F958" s="50" t="n">
        <x:v>4335</x:v>
      </x:c>
      <x:c r="G958" s="50" t="n">
        <x:v>583.8060465599856</x:v>
      </x:c>
      <x:c r="H958" s="50" t="n">
        <x:v>4335.756</x:v>
      </x:c>
      <x:c r="I958" s="50" t="n">
        <x:v>595.9038209542106</x:v>
      </x:c>
      <x:c r="J958" s="42" t="n">
        <x:v>1.0207222492221686</x:v>
      </x:c>
      <x:c r="K958" s="42" t="n">
        <x:v>0.0012949506166559282</x:v>
      </x:c>
      <x:c r="L958" s="26" t="n">
        <x:v>3334</x:v>
      </x:c>
      <x:c r="M958" s="26" t="n">
        <x:v>4338</x:v>
      </x:c>
      <x:c r="N958" s="26" t="n">
        <x:v>5271</x:v>
      </x:c>
    </x:row>
    <x:row r="959">
      <x:c r="A959" s="20" t="str">
        <x:v>T2_CONCORDANT_DOMAIN</x:v>
      </x:c>
      <x:c r="B959" s="20" t="str">
        <x:v>NYC-V1-R02</x:v>
      </x:c>
      <x:c r="C959" s="20" t="str">
        <x:v>V1</x:v>
      </x:c>
      <x:c r="D959" s="20" t="str">
        <x:v>age_65_plus</x:v>
      </x:c>
      <x:c r="E959" s="20" t="str">
        <x:v>population</x:v>
      </x:c>
      <x:c r="F959" s="50" t="n">
        <x:v>7247</x:v>
      </x:c>
      <x:c r="G959" s="50" t="n">
        <x:v>528.4720427799374</x:v>
      </x:c>
      <x:c r="H959" s="50" t="n">
        <x:v>7248.745</x:v>
      </x:c>
      <x:c r="I959" s="50" t="n">
        <x:v>537.879710118868</x:v>
      </x:c>
      <x:c r="J959" s="42" t="n">
        <x:v>1.0178016367515739</x:v>
      </x:c>
      <x:c r="K959" s="42" t="n">
        <x:v>0.003301972211851766</x:v>
      </x:c>
      <x:c r="L959" s="26" t="n">
        <x:v>6354</x:v>
      </x:c>
      <x:c r="M959" s="26" t="n">
        <x:v>7246</x:v>
      </x:c>
      <x:c r="N959" s="26" t="n">
        <x:v>8121</x:v>
      </x:c>
    </x:row>
    <x:row r="960">
      <x:c r="A960" s="20" t="str">
        <x:v>T2_CONCORDANT_DOMAIN</x:v>
      </x:c>
      <x:c r="B960" s="20" t="str">
        <x:v>NYC-V1-R02</x:v>
      </x:c>
      <x:c r="C960" s="20" t="str">
        <x:v>V1</x:v>
      </x:c>
      <x:c r="D960" s="20" t="str">
        <x:v>age_75_plus</x:v>
      </x:c>
      <x:c r="E960" s="20" t="str">
        <x:v>population</x:v>
      </x:c>
      <x:c r="F960" s="50" t="n">
        <x:v>3662</x:v>
      </x:c>
      <x:c r="G960" s="50" t="n">
        <x:v>421.7290599425181</x:v>
      </x:c>
      <x:c r="H960" s="50" t="n">
        <x:v>3661.977</x:v>
      </x:c>
      <x:c r="I960" s="50" t="n">
        <x:v>433.5236016460744</x:v>
      </x:c>
      <x:c r="J960" s="42" t="n">
        <x:v>1.0279671069031</x:v>
      </x:c>
      <x:c r="K960" s="42" t="n">
        <x:v>-0.00005453738474477702</x:v>
      </x:c>
      <x:c r="L960" s="26" t="n">
        <x:v>2935</x:v>
      </x:c>
      <x:c r="M960" s="26" t="n">
        <x:v>3658</x:v>
      </x:c>
      <x:c r="N960" s="26" t="n">
        <x:v>4374</x:v>
      </x:c>
    </x:row>
    <x:row r="961">
      <x:c r="A961" s="20" t="str">
        <x:v>T2_CONCORDANT_DOMAIN</x:v>
      </x:c>
      <x:c r="B961" s="20" t="str">
        <x:v>NYC-V1-R02</x:v>
      </x:c>
      <x:c r="C961" s="20" t="str">
        <x:v>V1</x:v>
      </x:c>
      <x:c r="D961" s="20" t="str">
        <x:v>age_85_plus</x:v>
      </x:c>
      <x:c r="E961" s="20" t="str">
        <x:v>population</x:v>
      </x:c>
      <x:c r="F961" s="50" t="n">
        <x:v>1218</x:v>
      </x:c>
      <x:c r="G961" s="50" t="n">
        <x:v>296.73860550996733</x:v>
      </x:c>
      <x:c r="H961" s="50" t="n">
        <x:v>1217.965</x:v>
      </x:c>
      <x:c r="I961" s="50" t="n">
        <x:v>298.67113054197125</x:v>
      </x:c>
      <x:c r="J961" s="42" t="n">
        <x:v>1.0065125500899443</x:v>
      </x:c>
      <x:c r="K961" s="42" t="n">
        <x:v>-0.00011794892659797924</x:v>
      </x:c>
      <x:c r="L961" s="26" t="n">
        <x:v>733</x:v>
      </x:c>
      <x:c r="M961" s="26" t="n">
        <x:v>1223</x:v>
      </x:c>
      <x:c r="N961" s="26" t="n">
        <x:v>1735</x:v>
      </x:c>
    </x:row>
    <x:row r="962">
      <x:c r="A962" s="20" t="str">
        <x:v>T2_CONCORDANT_DOMAIN</x:v>
      </x:c>
      <x:c r="B962" s="20" t="str">
        <x:v>NYC-V1-R02</x:v>
      </x:c>
      <x:c r="C962" s="20" t="str">
        <x:v>V1</x:v>
      </x:c>
      <x:c r="D962" s="20" t="str">
        <x:v>civilian_noninstitutionalized</x:v>
      </x:c>
      <x:c r="E962" s="20" t="str">
        <x:v>disability</x:v>
      </x:c>
      <x:c r="F962" s="50" t="n">
        <x:v>31415</x:v>
      </x:c>
      <x:c r="G962" s="50" t="n">
        <x:v>1901.7794693391766</x:v>
      </x:c>
      <x:c r="H962" s="50" t="n">
        <x:v>31414.536</x:v>
      </x:c>
      <x:c r="I962" s="50" t="n">
        <x:v>1880.3979576630006</x:v>
      </x:c>
      <x:c r="J962" s="42" t="n">
        <x:v>0.988757102481706</x:v>
      </x:c>
      <x:c r="K962" s="42" t="n">
        <x:v>-0.00024398202182778365</x:v>
      </x:c>
      <x:c r="L962" s="26" t="n">
        <x:v>28130</x:v>
      </x:c>
      <x:c r="M962" s="26" t="n">
        <x:v>31422</x:v>
      </x:c>
      <x:c r="N962" s="26" t="n">
        <x:v>34403</x:v>
      </x:c>
    </x:row>
    <x:row r="963">
      <x:c r="A963" s="20" t="str">
        <x:v>T2_CONCORDANT_DOMAIN</x:v>
      </x:c>
      <x:c r="B963" s="20" t="str">
        <x:v>NYC-V1-R02</x:v>
      </x:c>
      <x:c r="C963" s="20" t="str">
        <x:v>V1</x:v>
      </x:c>
      <x:c r="D963" s="20" t="str">
        <x:v>any_disability</x:v>
      </x:c>
      <x:c r="E963" s="20" t="str">
        <x:v>disability</x:v>
      </x:c>
      <x:c r="F963" s="50" t="n">
        <x:v>3619</x:v>
      </x:c>
      <x:c r="G963" s="50" t="n">
        <x:v>391.2781619257584</x:v>
      </x:c>
      <x:c r="H963" s="50" t="n">
        <x:v>3619.801</x:v>
      </x:c>
      <x:c r="I963" s="50" t="n">
        <x:v>460.9339665510891</x:v>
      </x:c>
      <x:c r="J963" s="42" t="n">
        <x:v>1.1780211915801917</x:v>
      </x:c>
      <x:c r="K963" s="42" t="n">
        <x:v>0.002047136993431066</x:v>
      </x:c>
      <x:c r="L963" s="26" t="n">
        <x:v>2857</x:v>
      </x:c>
      <x:c r="M963" s="26" t="n">
        <x:v>3621</x:v>
      </x:c>
      <x:c r="N963" s="26" t="n">
        <x:v>4389</x:v>
      </x:c>
    </x:row>
    <x:row r="964">
      <x:c r="A964" s="20" t="str">
        <x:v>T2_CONCORDANT_DOMAIN</x:v>
      </x:c>
      <x:c r="B964" s="20" t="str">
        <x:v>NYC-V1-R02</x:v>
      </x:c>
      <x:c r="C964" s="20" t="str">
        <x:v>V1</x:v>
      </x:c>
      <x:c r="D964" s="20" t="str">
        <x:v>disability_under_18</x:v>
      </x:c>
      <x:c r="E964" s="20" t="str">
        <x:v>disability</x:v>
      </x:c>
      <x:c r="F964" s="50" t="n">
        <x:v>61</x:v>
      </x:c>
      <x:c r="G964" s="50" t="n">
        <x:v>36.54449342924321</x:v>
      </x:c>
      <x:c r="H964" s="50" t="n">
        <x:v>61.751</x:v>
      </x:c>
      <x:c r="I964" s="50" t="n">
        <x:v>34.94006020038899</x:v>
      </x:c>
      <x:c r="J964" s="42" t="n">
        <x:v>0.9560964435870292</x:v>
      </x:c>
      <x:c r="K964" s="42" t="n">
        <x:v>0.020550291700008657</x:v>
      </x:c>
      <x:c r="L964" s="26" t="n">
        <x:v>0</x:v>
      </x:c>
      <x:c r="M964" s="26" t="n">
        <x:v>60</x:v>
      </x:c>
      <x:c r="N964" s="26" t="n">
        <x:v>121</x:v>
      </x:c>
    </x:row>
    <x:row r="965">
      <x:c r="A965" s="20" t="str">
        <x:v>T2_CONCORDANT_DOMAIN</x:v>
      </x:c>
      <x:c r="B965" s="20" t="str">
        <x:v>NYC-V1-R02</x:v>
      </x:c>
      <x:c r="C965" s="20" t="str">
        <x:v>V1</x:v>
      </x:c>
      <x:c r="D965" s="20" t="str">
        <x:v>disability_18_64</x:v>
      </x:c>
      <x:c r="E965" s="20" t="str">
        <x:v>disability</x:v>
      </x:c>
      <x:c r="F965" s="50" t="n">
        <x:v>1399</x:v>
      </x:c>
      <x:c r="G965" s="50" t="n">
        <x:v>259.8615977785098</x:v>
      </x:c>
      <x:c r="H965" s="50" t="n">
        <x:v>1399.062</x:v>
      </x:c>
      <x:c r="I965" s="50" t="n">
        <x:v>254.3471498339005</x:v>
      </x:c>
      <x:c r="J965" s="42" t="n">
        <x:v>0.9787792886992502</x:v>
      </x:c>
      <x:c r="K965" s="42" t="n">
        <x:v>0.0002385885430164374</x:v>
      </x:c>
      <x:c r="L965" s="26" t="n">
        <x:v>982</x:v>
      </x:c>
      <x:c r="M965" s="26" t="n">
        <x:v>1389</x:v>
      </x:c>
      <x:c r="N965" s="26" t="n">
        <x:v>1833</x:v>
      </x:c>
    </x:row>
    <x:row r="966">
      <x:c r="A966" s="20" t="str">
        <x:v>T2_CONCORDANT_DOMAIN</x:v>
      </x:c>
      <x:c r="B966" s="20" t="str">
        <x:v>NYC-V1-R02</x:v>
      </x:c>
      <x:c r="C966" s="20" t="str">
        <x:v>V1</x:v>
      </x:c>
      <x:c r="D966" s="20" t="str">
        <x:v>disability_65_plus</x:v>
      </x:c>
      <x:c r="E966" s="20" t="str">
        <x:v>disability</x:v>
      </x:c>
      <x:c r="F966" s="50" t="n">
        <x:v>2159</x:v>
      </x:c>
      <x:c r="G966" s="50" t="n">
        <x:v>254.18034935848212</x:v>
      </x:c>
      <x:c r="H966" s="50" t="n">
        <x:v>2158.988</x:v>
      </x:c>
      <x:c r="I966" s="50" t="n">
        <x:v>257.16077367965653</x:v>
      </x:c>
      <x:c r="J966" s="42" t="n">
        <x:v>1.0117256283921894</x:v>
      </x:c>
      <x:c r="K966" s="42" t="n">
        <x:v>-0.00004721057324241395</x:v>
      </x:c>
      <x:c r="L966" s="26" t="n">
        <x:v>1720</x:v>
      </x:c>
      <x:c r="M966" s="26" t="n">
        <x:v>2162</x:v>
      </x:c>
      <x:c r="N966" s="26" t="n">
        <x:v>2555</x:v>
      </x:c>
    </x:row>
    <x:row r="967">
      <x:c r="A967" s="20" t="str">
        <x:v>T2_CONCORDANT_DOMAIN</x:v>
      </x:c>
      <x:c r="B967" s="20" t="str">
        <x:v>NYC-V1-R02</x:v>
      </x:c>
      <x:c r="C967" s="20" t="str">
        <x:v>V1</x:v>
      </x:c>
      <x:c r="D967" s="20" t="str">
        <x:v>hearing_difficulty</x:v>
      </x:c>
      <x:c r="E967" s="20" t="str">
        <x:v>disability</x:v>
      </x:c>
      <x:c r="F967" s="50" t="n">
        <x:v>610</x:v>
      </x:c>
      <x:c r="G967" s="50" t="n">
        <x:v>159.3261927327932</x:v>
      </x:c>
      <x:c r="H967" s="50" t="n">
        <x:v>610.005</x:v>
      </x:c>
      <x:c r="I967" s="50" t="n">
        <x:v>161.97810309076004</x:v>
      </x:c>
      <x:c r="J967" s="42" t="n">
        <x:v>1.0166445347904245</x:v>
      </x:c>
      <x:c r="K967" s="42" t="n">
        <x:v>0.00003138215954473335</x:v>
      </x:c>
      <x:c r="L967" s="26" t="n">
        <x:v>340</x:v>
      </x:c>
      <x:c r="M967" s="26" t="n">
        <x:v>612</x:v>
      </x:c>
      <x:c r="N967" s="26" t="n">
        <x:v>873</x:v>
      </x:c>
    </x:row>
    <x:row r="968">
      <x:c r="A968" s="20" t="str">
        <x:v>T2_CONCORDANT_DOMAIN</x:v>
      </x:c>
      <x:c r="B968" s="20" t="str">
        <x:v>NYC-V1-R02</x:v>
      </x:c>
      <x:c r="C968" s="20" t="str">
        <x:v>V1</x:v>
      </x:c>
      <x:c r="D968" s="20" t="str">
        <x:v>vision_difficulty</x:v>
      </x:c>
      <x:c r="E968" s="20" t="str">
        <x:v>disability</x:v>
      </x:c>
      <x:c r="F968" s="50" t="n">
        <x:v>531</x:v>
      </x:c>
      <x:c r="G968" s="50" t="n">
        <x:v>160.76240414410304</x:v>
      </x:c>
      <x:c r="H968" s="50" t="n">
        <x:v>531</x:v>
      </x:c>
      <x:c r="I968" s="50" t="n">
        <x:v>162.79905261251224</x:v>
      </x:c>
      <x:c r="J968" s="42" t="n">
        <x:v>1.0126686863091672</x:v>
      </x:c>
      <x:c r="K968" s="42" t="n">
        <x:v>0</x:v>
      </x:c>
      <x:c r="L968" s="26" t="n">
        <x:v>263</x:v>
      </x:c>
      <x:c r="M968" s="26" t="n">
        <x:v>539</x:v>
      </x:c>
      <x:c r="N968" s="26" t="n">
        <x:v>783</x:v>
      </x:c>
    </x:row>
    <x:row r="969">
      <x:c r="A969" s="20" t="str">
        <x:v>T2_CONCORDANT_DOMAIN</x:v>
      </x:c>
      <x:c r="B969" s="20" t="str">
        <x:v>NYC-V1-R02</x:v>
      </x:c>
      <x:c r="C969" s="20" t="str">
        <x:v>V1</x:v>
      </x:c>
      <x:c r="D969" s="20" t="str">
        <x:v>cognitive_difficulty</x:v>
      </x:c>
      <x:c r="E969" s="20" t="str">
        <x:v>disability</x:v>
      </x:c>
      <x:c r="F969" s="50" t="n">
        <x:v>1429</x:v>
      </x:c>
      <x:c r="G969" s="50" t="n">
        <x:v>243.67953849735702</x:v>
      </x:c>
      <x:c r="H969" s="50" t="n">
        <x:v>1429.051</x:v>
      </x:c>
      <x:c r="I969" s="50" t="n">
        <x:v>251.25991312372722</x:v>
      </x:c>
      <x:c r="J969" s="42" t="n">
        <x:v>1.0311079652937394</x:v>
      </x:c>
      <x:c r="K969" s="42" t="n">
        <x:v>0.00020929126965038154</x:v>
      </x:c>
      <x:c r="L969" s="26" t="n">
        <x:v>1020</x:v>
      </x:c>
      <x:c r="M969" s="26" t="n">
        <x:v>1432</x:v>
      </x:c>
      <x:c r="N969" s="26" t="n">
        <x:v>1855</x:v>
      </x:c>
    </x:row>
    <x:row r="970">
      <x:c r="A970" s="20" t="str">
        <x:v>T2_CONCORDANT_DOMAIN</x:v>
      </x:c>
      <x:c r="B970" s="20" t="str">
        <x:v>NYC-V1-R02</x:v>
      </x:c>
      <x:c r="C970" s="20" t="str">
        <x:v>V1</x:v>
      </x:c>
      <x:c r="D970" s="20" t="str">
        <x:v>ambulatory_difficulty</x:v>
      </x:c>
      <x:c r="E970" s="20" t="str">
        <x:v>disability</x:v>
      </x:c>
      <x:c r="F970" s="50" t="n">
        <x:v>1588</x:v>
      </x:c>
      <x:c r="G970" s="50" t="n">
        <x:v>252.55414076402417</x:v>
      </x:c>
      <x:c r="H970" s="50" t="n">
        <x:v>1588.198</x:v>
      </x:c>
      <x:c r="I970" s="50" t="n">
        <x:v>257.4366921137048</x:v>
      </x:c>
      <x:c r="J970" s="42" t="n">
        <x:v>1.0193326917345722</x:v>
      </x:c>
      <x:c r="K970" s="42" t="n">
        <x:v>0.000783990313526855</x:v>
      </x:c>
      <x:c r="L970" s="26" t="n">
        <x:v>1179</x:v>
      </x:c>
      <x:c r="M970" s="26" t="n">
        <x:v>1586</x:v>
      </x:c>
      <x:c r="N970" s="26" t="n">
        <x:v>2017</x:v>
      </x:c>
    </x:row>
    <x:row r="971">
      <x:c r="A971" s="20" t="str">
        <x:v>T2_CONCORDANT_DOMAIN</x:v>
      </x:c>
      <x:c r="B971" s="20" t="str">
        <x:v>NYC-V1-R02</x:v>
      </x:c>
      <x:c r="C971" s="20" t="str">
        <x:v>V1</x:v>
      </x:c>
      <x:c r="D971" s="20" t="str">
        <x:v>self_care_difficulty</x:v>
      </x:c>
      <x:c r="E971" s="20" t="str">
        <x:v>disability</x:v>
      </x:c>
      <x:c r="F971" s="50" t="n">
        <x:v>962</x:v>
      </x:c>
      <x:c r="G971" s="50" t="n">
        <x:v>226.3644013415805</x:v>
      </x:c>
      <x:c r="H971" s="50" t="n">
        <x:v>962.091</x:v>
      </x:c>
      <x:c r="I971" s="50" t="n">
        <x:v>221.74946120011776</x:v>
      </x:c>
      <x:c r="J971" s="42" t="n">
        <x:v>0.9796127831314834</x:v>
      </x:c>
      <x:c r="K971" s="42" t="n">
        <x:v>0.0004020066735789014</x:v>
      </x:c>
      <x:c r="L971" s="26" t="n">
        <x:v>588</x:v>
      </x:c>
      <x:c r="M971" s="26" t="n">
        <x:v>962</x:v>
      </x:c>
      <x:c r="N971" s="26" t="n">
        <x:v>1340</x:v>
      </x:c>
    </x:row>
    <x:row r="972">
      <x:c r="A972" s="20" t="str">
        <x:v>T2_CONCORDANT_DOMAIN</x:v>
      </x:c>
      <x:c r="B972" s="20" t="str">
        <x:v>NYC-V1-R02</x:v>
      </x:c>
      <x:c r="C972" s="20" t="str">
        <x:v>V1</x:v>
      </x:c>
      <x:c r="D972" s="20" t="str">
        <x:v>independent_living_difficulty</x:v>
      </x:c>
      <x:c r="E972" s="20" t="str">
        <x:v>disability</x:v>
      </x:c>
      <x:c r="F972" s="50" t="n">
        <x:v>1341</x:v>
      </x:c>
      <x:c r="G972" s="50" t="n">
        <x:v>248.67383217578617</x:v>
      </x:c>
      <x:c r="H972" s="50" t="n">
        <x:v>1341.003</x:v>
      </x:c>
      <x:c r="I972" s="50" t="n">
        <x:v>254.7494853602089</x:v>
      </x:c>
      <x:c r="J972" s="42" t="n">
        <x:v>1.0244322176212246</x:v>
      </x:c>
      <x:c r="K972" s="42" t="n">
        <x:v>0.000012063995530532444</x:v>
      </x:c>
      <x:c r="L972" s="26" t="n">
        <x:v>930</x:v>
      </x:c>
      <x:c r="M972" s="26" t="n">
        <x:v>1342</x:v>
      </x:c>
      <x:c r="N972" s="26" t="n">
        <x:v>1734</x:v>
      </x:c>
    </x:row>
    <x:row r="973">
      <x:c r="A973" s="20" t="str">
        <x:v>T2_CONCORDANT_DOMAIN</x:v>
      </x:c>
      <x:c r="B973" s="20" t="str">
        <x:v>NYC-V1-R02</x:v>
      </x:c>
      <x:c r="C973" s="20" t="str">
        <x:v>V1</x:v>
      </x:c>
      <x:c r="D973" s="20" t="str">
        <x:v>households</x:v>
      </x:c>
      <x:c r="E973" s="20" t="str">
        <x:v>household</x:v>
      </x:c>
      <x:c r="F973" s="50" t="n">
        <x:v>14621</x:v>
      </x:c>
      <x:c r="G973" s="50" t="n">
        <x:v>510.4494098341186</x:v>
      </x:c>
      <x:c r="H973" s="50" t="n">
        <x:v>14616.484</x:v>
      </x:c>
      <x:c r="I973" s="50" t="n">
        <x:v>441.57707374370796</x:v>
      </x:c>
      <x:c r="J973" s="42" t="n">
        <x:v>0.8650750989940567</x:v>
      </x:c>
      <x:c r="K973" s="42" t="n">
        <x:v>-0.0088471059286114</x:v>
      </x:c>
      <x:c r="L973" s="26" t="n">
        <x:v>13925</x:v>
      </x:c>
      <x:c r="M973" s="26" t="n">
        <x:v>14612</x:v>
      </x:c>
      <x:c r="N973" s="26" t="n">
        <x:v>15321</x:v>
      </x:c>
    </x:row>
    <x:row r="974">
      <x:c r="A974" s="20" t="str">
        <x:v>T2_CONCORDANT_DOMAIN</x:v>
      </x:c>
      <x:c r="B974" s="20" t="str">
        <x:v>NYC-V1-R02</x:v>
      </x:c>
      <x:c r="C974" s="20" t="str">
        <x:v>V1</x:v>
      </x:c>
      <x:c r="D974" s="20" t="str">
        <x:v>family_households</x:v>
      </x:c>
      <x:c r="E974" s="20" t="str">
        <x:v>household</x:v>
      </x:c>
      <x:c r="F974" s="50" t="n">
        <x:v>6590</x:v>
      </x:c>
      <x:c r="G974" s="50" t="n">
        <x:v>458.1431544833995</x:v>
      </x:c>
      <x:c r="H974" s="50" t="n">
        <x:v>6584.061</x:v>
      </x:c>
      <x:c r="I974" s="50" t="n">
        <x:v>454.87817427574214</x:v>
      </x:c>
      <x:c r="J974" s="42" t="n">
        <x:v>0.9928734497597396</x:v>
      </x:c>
      <x:c r="K974" s="42" t="n">
        <x:v>-0.012963197074715872</x:v>
      </x:c>
      <x:c r="L974" s="26" t="n">
        <x:v>5843</x:v>
      </x:c>
      <x:c r="M974" s="26" t="n">
        <x:v>6599</x:v>
      </x:c>
      <x:c r="N974" s="26" t="n">
        <x:v>7352</x:v>
      </x:c>
    </x:row>
    <x:row r="975">
      <x:c r="A975" s="20" t="str">
        <x:v>T2_CONCORDANT_DOMAIN</x:v>
      </x:c>
      <x:c r="B975" s="20" t="str">
        <x:v>NYC-V1-R02</x:v>
      </x:c>
      <x:c r="C975" s="20" t="str">
        <x:v>V1</x:v>
      </x:c>
      <x:c r="D975" s="20" t="str">
        <x:v>nonfamily_households</x:v>
      </x:c>
      <x:c r="E975" s="20" t="str">
        <x:v>household</x:v>
      </x:c>
      <x:c r="F975" s="50" t="n">
        <x:v>8031</x:v>
      </x:c>
      <x:c r="G975" s="50" t="n">
        <x:v>538.7815420000949</x:v>
      </x:c>
      <x:c r="H975" s="50" t="n">
        <x:v>8032.423</x:v>
      </x:c>
      <x:c r="I975" s="50" t="n">
        <x:v>503.1956577127241</x:v>
      </x:c>
      <x:c r="J975" s="42" t="n">
        <x:v>0.9339511814839334</x:v>
      </x:c>
      <x:c r="K975" s="42" t="n">
        <x:v>0.002641144673808302</x:v>
      </x:c>
      <x:c r="L975" s="26" t="n">
        <x:v>7180</x:v>
      </x:c>
      <x:c r="M975" s="26" t="n">
        <x:v>8031</x:v>
      </x:c>
      <x:c r="N975" s="26" t="n">
        <x:v>8802</x:v>
      </x:c>
    </x:row>
    <x:row r="976">
      <x:c r="A976" s="20" t="str">
        <x:v>T2_CONCORDANT_DOMAIN</x:v>
      </x:c>
      <x:c r="B976" s="20" t="str">
        <x:v>NYC-V1-R02</x:v>
      </x:c>
      <x:c r="C976" s="20" t="str">
        <x:v>V1</x:v>
      </x:c>
      <x:c r="D976" s="20" t="str">
        <x:v>living_alone_households</x:v>
      </x:c>
      <x:c r="E976" s="20" t="str">
        <x:v>household</x:v>
      </x:c>
      <x:c r="F976" s="50" t="n">
        <x:v>6602</x:v>
      </x:c>
      <x:c r="G976" s="50" t="n">
        <x:v>512.4839021862052</x:v>
      </x:c>
      <x:c r="H976" s="50" t="n">
        <x:v>6602.414</x:v>
      </x:c>
      <x:c r="I976" s="50" t="n">
        <x:v>495.39351766180926</x:v>
      </x:c>
      <x:c r="J976" s="42" t="n">
        <x:v>0.966651860767743</x:v>
      </x:c>
      <x:c r="K976" s="42" t="n">
        <x:v>0.0008078302522941251</x:v>
      </x:c>
      <x:c r="L976" s="26" t="n">
        <x:v>5795</x:v>
      </x:c>
      <x:c r="M976" s="26" t="n">
        <x:v>6613</x:v>
      </x:c>
      <x:c r="N976" s="26" t="n">
        <x:v>7367</x:v>
      </x:c>
    </x:row>
    <x:row r="977">
      <x:c r="A977" s="20" t="str">
        <x:v>T2_CONCORDANT_DOMAIN</x:v>
      </x:c>
      <x:c r="B977" s="20" t="str">
        <x:v>NYC-V1-R02</x:v>
      </x:c>
      <x:c r="C977" s="20" t="str">
        <x:v>V1</x:v>
      </x:c>
      <x:c r="D977" s="20" t="str">
        <x:v>households_with_children</x:v>
      </x:c>
      <x:c r="E977" s="20" t="str">
        <x:v>household</x:v>
      </x:c>
      <x:c r="F977" s="50" t="n">
        <x:v>2617</x:v>
      </x:c>
      <x:c r="G977" s="50" t="n">
        <x:v>342.0109647365125</x:v>
      </x:c>
      <x:c r="H977" s="50" t="n">
        <x:v>2616.954</x:v>
      </x:c>
      <x:c r="I977" s="50" t="n">
        <x:v>340.17164583873335</x:v>
      </x:c>
      <x:c r="J977" s="42" t="n">
        <x:v>0.9946220469884755</x:v>
      </x:c>
      <x:c r="K977" s="42" t="n">
        <x:v>-0.0001344986118654425</x:v>
      </x:c>
      <x:c r="L977" s="26" t="n">
        <x:v>2097</x:v>
      </x:c>
      <x:c r="M977" s="26" t="n">
        <x:v>2616</x:v>
      </x:c>
      <x:c r="N977" s="26" t="n">
        <x:v>3179</x:v>
      </x:c>
    </x:row>
    <x:row r="978">
      <x:c r="A978" s="20" t="str">
        <x:v>T2_CONCORDANT_DOMAIN</x:v>
      </x:c>
      <x:c r="B978" s="20" t="str">
        <x:v>NYC-V1-R02</x:v>
      </x:c>
      <x:c r="C978" s="20" t="str">
        <x:v>V1</x:v>
      </x:c>
      <x:c r="D978" s="20" t="str">
        <x:v>households_with_age65</x:v>
      </x:c>
      <x:c r="E978" s="20" t="str">
        <x:v>household</x:v>
      </x:c>
      <x:c r="F978" s="50" t="n">
        <x:v>5726</x:v>
      </x:c>
      <x:c r="G978" s="50" t="n">
        <x:v>463.8448016308903</x:v>
      </x:c>
      <x:c r="H978" s="50" t="n">
        <x:v>5725.812</x:v>
      </x:c>
      <x:c r="I978" s="50" t="n">
        <x:v>471.5663383528</x:v>
      </x:c>
      <x:c r="J978" s="42" t="n">
        <x:v>1.0166468109478872</x:v>
      </x:c>
      <x:c r="K978" s="42" t="n">
        <x:v>-0.0004053079809002688</x:v>
      </x:c>
      <x:c r="L978" s="26" t="n">
        <x:v>4985</x:v>
      </x:c>
      <x:c r="M978" s="26" t="n">
        <x:v>5746</x:v>
      </x:c>
      <x:c r="N978" s="26" t="n">
        <x:v>6503</x:v>
      </x:c>
    </x:row>
    <x:row r="979">
      <x:c r="A979" s="20" t="str">
        <x:v>T2_CONCORDANT_DOMAIN</x:v>
      </x:c>
      <x:c r="B979" s="20" t="str">
        <x:v>NYC-V1-R02</x:v>
      </x:c>
      <x:c r="C979" s="20" t="str">
        <x:v>V1</x:v>
      </x:c>
      <x:c r="D979" s="20" t="str">
        <x:v>age65_one_person_households</x:v>
      </x:c>
      <x:c r="E979" s="20" t="str">
        <x:v>household</x:v>
      </x:c>
      <x:c r="F979" s="50" t="n">
        <x:v>3253</x:v>
      </x:c>
      <x:c r="G979" s="50" t="n">
        <x:v>408.5268045061426</x:v>
      </x:c>
      <x:c r="H979" s="50" t="n">
        <x:v>3252.858</x:v>
      </x:c>
      <x:c r="I979" s="50" t="n">
        <x:v>414.8976064764171</x:v>
      </x:c>
      <x:c r="J979" s="42" t="n">
        <x:v>1.0155945751906683</x:v>
      </x:c>
      <x:c r="K979" s="42" t="n">
        <x:v>-0.0003475904112864405</x:v>
      </x:c>
      <x:c r="L979" s="26" t="n">
        <x:v>2596</x:v>
      </x:c>
      <x:c r="M979" s="26" t="n">
        <x:v>3256</x:v>
      </x:c>
      <x:c r="N979" s="26" t="n">
        <x:v>3923</x:v>
      </x:c>
    </x:row>
    <x:row r="980">
      <x:c r="A980" s="20" t="str">
        <x:v>T2_CONCORDANT_DOMAIN</x:v>
      </x:c>
      <x:c r="B980" s="20" t="str">
        <x:v>NYC-V1-R02</x:v>
      </x:c>
      <x:c r="C980" s="20" t="str">
        <x:v>V1</x:v>
      </x:c>
      <x:c r="D980" s="20" t="str">
        <x:v>no_vehicle_households</x:v>
      </x:c>
      <x:c r="E980" s="20" t="str">
        <x:v>household</x:v>
      </x:c>
      <x:c r="F980" s="50" t="n">
        <x:v>10894</x:v>
      </x:c>
      <x:c r="G980" s="50" t="n">
        <x:v>556.9533735095523</x:v>
      </x:c>
      <x:c r="H980" s="50" t="n">
        <x:v>10894.186</x:v>
      </x:c>
      <x:c r="I980" s="50" t="n">
        <x:v>548.178822488999</x:v>
      </x:c>
      <x:c r="J980" s="42" t="n">
        <x:v>0.9842454477557755</x:v>
      </x:c>
      <x:c r="K980" s="42" t="n">
        <x:v>0.00033395973315978906</x:v>
      </x:c>
      <x:c r="L980" s="26" t="n">
        <x:v>10018</x:v>
      </x:c>
      <x:c r="M980" s="26" t="n">
        <x:v>10906</x:v>
      </x:c>
      <x:c r="N980" s="26" t="n">
        <x:v>11800</x:v>
      </x:c>
    </x:row>
    <x:row r="981">
      <x:c r="A981" s="20" t="str">
        <x:v>T2_CONCORDANT_DOMAIN</x:v>
      </x:c>
      <x:c r="B981" s="20" t="str">
        <x:v>NYC-V1-R02</x:v>
      </x:c>
      <x:c r="C981" s="20" t="str">
        <x:v>V1</x:v>
      </x:c>
      <x:c r="D981" s="20" t="str">
        <x:v>limited_english_households</x:v>
      </x:c>
      <x:c r="E981" s="20" t="str">
        <x:v>household</x:v>
      </x:c>
      <x:c r="F981" s="50" t="n">
        <x:v>820</x:v>
      </x:c>
      <x:c r="G981" s="50" t="n">
        <x:v>204.64032321155315</x:v>
      </x:c>
      <x:c r="H981" s="50" t="n">
        <x:v>820.104</x:v>
      </x:c>
      <x:c r="I981" s="50" t="n">
        <x:v>209.69849461224715</x:v>
      </x:c>
      <x:c r="J981" s="42" t="n">
        <x:v>1.0247173739823747</x:v>
      </x:c>
      <x:c r="K981" s="42" t="n">
        <x:v>0.0005082087360296469</x:v>
      </x:c>
      <x:c r="L981" s="26" t="n">
        <x:v>477</x:v>
      </x:c>
      <x:c r="M981" s="26" t="n">
        <x:v>826</x:v>
      </x:c>
      <x:c r="N981" s="26" t="n">
        <x:v>1147</x:v>
      </x:c>
    </x:row>
    <x:row r="982">
      <x:c r="A982" s="20" t="str">
        <x:v>T2_CONCORDANT_DOMAIN</x:v>
      </x:c>
      <x:c r="B982" s="20" t="str">
        <x:v>NYC-V1-R02</x:v>
      </x:c>
      <x:c r="C982" s="20" t="str">
        <x:v>V1</x:v>
      </x:c>
      <x:c r="D982" s="20" t="str">
        <x:v>housing_units</x:v>
      </x:c>
      <x:c r="E982" s="20" t="str">
        <x:v>housing</x:v>
      </x:c>
      <x:c r="F982" s="50" t="n">
        <x:v>17007</x:v>
      </x:c>
      <x:c r="G982" s="50" t="n">
        <x:v>460.6189857137893</x:v>
      </x:c>
      <x:c r="H982" s="50" t="n">
        <x:v>17002.602</x:v>
      </x:c>
      <x:c r="I982" s="50" t="n">
        <x:v>596.0018639382076</x:v>
      </x:c>
      <x:c r="J982" s="42" t="n">
        <x:v>1.2939151064618513</x:v>
      </x:c>
      <x:c r="K982" s="42" t="n">
        <x:v>-0.009548021545802704</x:v>
      </x:c>
      <x:c r="L982" s="26" t="n">
        <x:v>16048</x:v>
      </x:c>
      <x:c r="M982" s="26" t="n">
        <x:v>16993</x:v>
      </x:c>
      <x:c r="N982" s="26" t="n">
        <x:v>17974</x:v>
      </x:c>
    </x:row>
    <x:row r="983">
      <x:c r="A983" s="20" t="str">
        <x:v>T2_CONCORDANT_DOMAIN</x:v>
      </x:c>
      <x:c r="B983" s="20" t="str">
        <x:v>NYC-V1-R02</x:v>
      </x:c>
      <x:c r="C983" s="20" t="str">
        <x:v>V1</x:v>
      </x:c>
      <x:c r="D983" s="20" t="str">
        <x:v>occupied_housing_units</x:v>
      </x:c>
      <x:c r="E983" s="20" t="str">
        <x:v>housing</x:v>
      </x:c>
      <x:c r="F983" s="50" t="n">
        <x:v>14621</x:v>
      </x:c>
      <x:c r="G983" s="50" t="n">
        <x:v>510.4494098341186</x:v>
      </x:c>
      <x:c r="H983" s="50" t="n">
        <x:v>14616.484</x:v>
      </x:c>
      <x:c r="I983" s="50" t="n">
        <x:v>441.57707374370796</x:v>
      </x:c>
      <x:c r="J983" s="42" t="n">
        <x:v>0.8650750989940567</x:v>
      </x:c>
      <x:c r="K983" s="42" t="n">
        <x:v>-0.0088471059286114</x:v>
      </x:c>
      <x:c r="L983" s="26" t="n">
        <x:v>13925</x:v>
      </x:c>
      <x:c r="M983" s="26" t="n">
        <x:v>14612</x:v>
      </x:c>
      <x:c r="N983" s="26" t="n">
        <x:v>15321</x:v>
      </x:c>
    </x:row>
    <x:row r="984">
      <x:c r="A984" s="20" t="str">
        <x:v>T2_CONCORDANT_DOMAIN</x:v>
      </x:c>
      <x:c r="B984" s="20" t="str">
        <x:v>NYC-V1-R02</x:v>
      </x:c>
      <x:c r="C984" s="20" t="str">
        <x:v>V1</x:v>
      </x:c>
      <x:c r="D984" s="20" t="str">
        <x:v>vacant_housing_units</x:v>
      </x:c>
      <x:c r="E984" s="20" t="str">
        <x:v>housing</x:v>
      </x:c>
      <x:c r="F984" s="50" t="n">
        <x:v>2386</x:v>
      </x:c>
      <x:c r="G984" s="50" t="n">
        <x:v>387.47148282163937</x:v>
      </x:c>
      <x:c r="H984" s="50" t="n">
        <x:v>2386.118</x:v>
      </x:c>
      <x:c r="I984" s="50" t="n">
        <x:v>375.90470391100774</x:v>
      </x:c>
      <x:c r="J984" s="42" t="n">
        <x:v>0.9701480510864949</x:v>
      </x:c>
      <x:c r="K984" s="42" t="n">
        <x:v>0.00030453854085116206</x:v>
      </x:c>
      <x:c r="L984" s="26" t="n">
        <x:v>1767</x:v>
      </x:c>
      <x:c r="M984" s="26" t="n">
        <x:v>2386</x:v>
      </x:c>
      <x:c r="N984" s="26" t="n">
        <x:v>2987</x:v>
      </x:c>
    </x:row>
    <x:row r="985">
      <x:c r="A985" s="20" t="str">
        <x:v>T2_CONCORDANT_DOMAIN</x:v>
      </x:c>
      <x:c r="B985" s="20" t="str">
        <x:v>NYC-V1-R02</x:v>
      </x:c>
      <x:c r="C985" s="20" t="str">
        <x:v>V1</x:v>
      </x:c>
      <x:c r="D985" s="20" t="str">
        <x:v>owner_occupied_units</x:v>
      </x:c>
      <x:c r="E985" s="20" t="str">
        <x:v>housing</x:v>
      </x:c>
      <x:c r="F985" s="50" t="n">
        <x:v>5055</x:v>
      </x:c>
      <x:c r="G985" s="50" t="n">
        <x:v>490.0913965399911</x:v>
      </x:c>
      <x:c r="H985" s="50" t="n">
        <x:v>5050.304</x:v>
      </x:c>
      <x:c r="I985" s="50" t="n">
        <x:v>340.15295326605</x:v>
      </x:c>
      <x:c r="J985" s="42" t="n">
        <x:v>0.694060241962019</x:v>
      </x:c>
      <x:c r="K985" s="42" t="n">
        <x:v>-0.00958188622194416</x:v>
      </x:c>
      <x:c r="L985" s="26" t="n">
        <x:v>4488</x:v>
      </x:c>
      <x:c r="M985" s="26" t="n">
        <x:v>5045</x:v>
      </x:c>
      <x:c r="N985" s="26" t="n">
        <x:v>5614</x:v>
      </x:c>
    </x:row>
    <x:row r="986">
      <x:c r="A986" s="20" t="str">
        <x:v>T2_CONCORDANT_DOMAIN</x:v>
      </x:c>
      <x:c r="B986" s="20" t="str">
        <x:v>NYC-V1-R02</x:v>
      </x:c>
      <x:c r="C986" s="20" t="str">
        <x:v>V1</x:v>
      </x:c>
      <x:c r="D986" s="20" t="str">
        <x:v>renter_occupied_units</x:v>
      </x:c>
      <x:c r="E986" s="20" t="str">
        <x:v>housing</x:v>
      </x:c>
      <x:c r="F986" s="50" t="n">
        <x:v>9566</x:v>
      </x:c>
      <x:c r="G986" s="50" t="n">
        <x:v>447.24747372158976</x:v>
      </x:c>
      <x:c r="H986" s="50" t="n">
        <x:v>9566.18</x:v>
      </x:c>
      <x:c r="I986" s="50" t="n">
        <x:v>346.067453370412</x:v>
      </x:c>
      <x:c r="J986" s="42" t="n">
        <x:v>0.773771734227476</x:v>
      </x:c>
      <x:c r="K986" s="42" t="n">
        <x:v>0.0004024617478607392</x:v>
      </x:c>
      <x:c r="L986" s="26" t="n">
        <x:v>9011</x:v>
      </x:c>
      <x:c r="M986" s="26" t="n">
        <x:v>9562</x:v>
      </x:c>
      <x:c r="N986" s="26" t="n">
        <x:v>10118</x:v>
      </x:c>
    </x:row>
    <x:row r="987">
      <x:c r="A987" s="20" t="str">
        <x:v>T2_CONCORDANT_DOMAIN</x:v>
      </x:c>
      <x:c r="B987" s="20" t="str">
        <x:v>NYC-V1-R02</x:v>
      </x:c>
      <x:c r="C987" s="20" t="str">
        <x:v>V1</x:v>
      </x:c>
      <x:c r="D987" s="20" t="str">
        <x:v>one_unit_structures</x:v>
      </x:c>
      <x:c r="E987" s="20" t="str">
        <x:v>housing</x:v>
      </x:c>
      <x:c r="F987" s="50" t="n">
        <x:v>322</x:v>
      </x:c>
      <x:c r="G987" s="50" t="n">
        <x:v>168.4329439261361</x:v>
      </x:c>
      <x:c r="H987" s="50" t="n">
        <x:v>322.887</x:v>
      </x:c>
      <x:c r="I987" s="50" t="n">
        <x:v>148.10609591318868</x:v>
      </x:c>
      <x:c r="J987" s="42" t="n">
        <x:v>0.8793178606326476</x:v>
      </x:c>
      <x:c r="K987" s="42" t="n">
        <x:v>0.005266190682916412</x:v>
      </x:c>
      <x:c r="L987" s="26" t="n">
        <x:v>76</x:v>
      </x:c>
      <x:c r="M987" s="26" t="n">
        <x:v>328</x:v>
      </x:c>
      <x:c r="N987" s="26" t="n">
        <x:v>553</x:v>
      </x:c>
    </x:row>
    <x:row r="988">
      <x:c r="A988" s="20" t="str">
        <x:v>T2_CONCORDANT_DOMAIN</x:v>
      </x:c>
      <x:c r="B988" s="20" t="str">
        <x:v>NYC-V1-R02</x:v>
      </x:c>
      <x:c r="C988" s="20" t="str">
        <x:v>V1</x:v>
      </x:c>
      <x:c r="D988" s="20" t="str">
        <x:v>two_to_four_unit_structures</x:v>
      </x:c>
      <x:c r="E988" s="20" t="str">
        <x:v>housing</x:v>
      </x:c>
      <x:c r="F988" s="50" t="n">
        <x:v>112</x:v>
      </x:c>
      <x:c r="G988" s="50" t="n">
        <x:v>64.85498875229969</x:v>
      </x:c>
      <x:c r="H988" s="50" t="n">
        <x:v>112.72</x:v>
      </x:c>
      <x:c r="I988" s="50" t="n">
        <x:v>59.67727353839966</x:v>
      </x:c>
      <x:c r="J988" s="42" t="n">
        <x:v>0.9201647349955568</x:v>
      </x:c>
      <x:c r="K988" s="42" t="n">
        <x:v>0.011101690307123343</x:v>
      </x:c>
      <x:c r="L988" s="26" t="n">
        <x:v>10</x:v>
      </x:c>
      <x:c r="M988" s="26" t="n">
        <x:v>111</x:v>
      </x:c>
      <x:c r="N988" s="26" t="n">
        <x:v>210</x:v>
      </x:c>
    </x:row>
    <x:row r="989">
      <x:c r="A989" s="20" t="str">
        <x:v>T2_CONCORDANT_DOMAIN</x:v>
      </x:c>
      <x:c r="B989" s="20" t="str">
        <x:v>NYC-V1-R02</x:v>
      </x:c>
      <x:c r="C989" s="20" t="str">
        <x:v>V1</x:v>
      </x:c>
      <x:c r="D989" s="20" t="str">
        <x:v>five_to_nineteen_unit_structures</x:v>
      </x:c>
      <x:c r="E989" s="20" t="str">
        <x:v>housing</x:v>
      </x:c>
      <x:c r="F989" s="50" t="n">
        <x:v>1335</x:v>
      </x:c>
      <x:c r="G989" s="50" t="n">
        <x:v>217.7564960151678</x:v>
      </x:c>
      <x:c r="H989" s="50" t="n">
        <x:v>1335.015</x:v>
      </x:c>
      <x:c r="I989" s="50" t="n">
        <x:v>186.63733353557447</x:v>
      </x:c>
      <x:c r="J989" s="42" t="n">
        <x:v>0.8570919212558153</x:v>
      </x:c>
      <x:c r="K989" s="42" t="n">
        <x:v>0.00006888428255685755</x:v>
      </x:c>
      <x:c r="L989" s="26" t="n">
        <x:v>1035</x:v>
      </x:c>
      <x:c r="M989" s="26" t="n">
        <x:v>1331</x:v>
      </x:c>
      <x:c r="N989" s="26" t="n">
        <x:v>1640</x:v>
      </x:c>
    </x:row>
    <x:row r="990">
      <x:c r="A990" s="20" t="str">
        <x:v>T2_CONCORDANT_DOMAIN</x:v>
      </x:c>
      <x:c r="B990" s="20" t="str">
        <x:v>NYC-V1-R02</x:v>
      </x:c>
      <x:c r="C990" s="20" t="str">
        <x:v>V1</x:v>
      </x:c>
      <x:c r="D990" s="20" t="str">
        <x:v>twenty_to_forty_nine_unit_structures</x:v>
      </x:c>
      <x:c r="E990" s="20" t="str">
        <x:v>housing</x:v>
      </x:c>
      <x:c r="F990" s="50" t="n">
        <x:v>2999</x:v>
      </x:c>
      <x:c r="G990" s="50" t="n">
        <x:v>370.76834550384757</x:v>
      </x:c>
      <x:c r="H990" s="50" t="n">
        <x:v>2998.911</x:v>
      </x:c>
      <x:c r="I990" s="50" t="n">
        <x:v>277.46033106430605</x:v>
      </x:c>
      <x:c r="J990" s="42" t="n">
        <x:v>0.7483387792646036</x:v>
      </x:c>
      <x:c r="K990" s="42" t="n">
        <x:v>-0.00024004206691107135</x:v>
      </x:c>
      <x:c r="L990" s="26" t="n">
        <x:v>2554</x:v>
      </x:c>
      <x:c r="M990" s="26" t="n">
        <x:v>3011</x:v>
      </x:c>
      <x:c r="N990" s="26" t="n">
        <x:v>3449</x:v>
      </x:c>
    </x:row>
    <x:row r="991">
      <x:c r="A991" s="20" t="str">
        <x:v>T2_CONCORDANT_DOMAIN</x:v>
      </x:c>
      <x:c r="B991" s="20" t="str">
        <x:v>NYC-V1-R02</x:v>
      </x:c>
      <x:c r="C991" s="20" t="str">
        <x:v>V1</x:v>
      </x:c>
      <x:c r="D991" s="20" t="str">
        <x:v>fifty_plus_unit_structures</x:v>
      </x:c>
      <x:c r="E991" s="20" t="str">
        <x:v>housing</x:v>
      </x:c>
      <x:c r="F991" s="50" t="n">
        <x:v>9853</x:v>
      </x:c>
      <x:c r="G991" s="50" t="n">
        <x:v>577.9262600209345</x:v>
      </x:c>
      <x:c r="H991" s="50" t="n">
        <x:v>9829.382</x:v>
      </x:c>
      <x:c r="I991" s="50" t="n">
        <x:v>352.60351858329113</x:v>
      </x:c>
      <x:c r="J991" s="42" t="n">
        <x:v>0.6101185271811643</x:v>
      </x:c>
      <x:c r="K991" s="42" t="n">
        <x:v>-0.04086680539338162</x:v>
      </x:c>
      <x:c r="L991" s="26" t="n">
        <x:v>9242</x:v>
      </x:c>
      <x:c r="M991" s="26" t="n">
        <x:v>9848</x:v>
      </x:c>
      <x:c r="N991" s="26" t="n">
        <x:v>10373</x:v>
      </x:c>
    </x:row>
    <x:row r="992">
      <x:c r="A992" s="20" t="str">
        <x:v>T2_CONCORDANT_DOMAIN</x:v>
      </x:c>
      <x:c r="B992" s="20" t="str">
        <x:v>NYC-V1-R02</x:v>
      </x:c>
      <x:c r="C992" s="20" t="str">
        <x:v>V1</x:v>
      </x:c>
      <x:c r="D992" s="20" t="str">
        <x:v>mobile_or_other_units</x:v>
      </x:c>
      <x:c r="E992" s="20" t="str">
        <x:v>housing</x:v>
      </x:c>
      <x:c r="F992" s="50" t="n">
        <x:v>0</x:v>
      </x:c>
      <x:c r="G992" s="50" t="n">
        <x:v>46.20060790273556</x:v>
      </x:c>
      <x:c r="H992" s="50" t="n">
        <x:v>17.569</x:v>
      </x:c>
      <x:c r="I992" s="50" t="n">
        <x:v>26.29670617692938</x:v>
      </x:c>
      <x:c r="J992" s="42" t="n">
        <x:v>0.5691852850138004</x:v>
      </x:c>
      <x:c r="K992" s="42" t="n">
        <x:v>0.38027638157894733</x:v>
      </x:c>
      <x:c r="L992" s="26" t="n">
        <x:v>0</x:v>
      </x:c>
      <x:c r="M992" s="26" t="n">
        <x:v>0</x:v>
      </x:c>
      <x:c r="N992" s="26" t="n">
        <x:v>74</x:v>
      </x:c>
    </x:row>
    <x:row r="993">
      <x:c r="A993" s="20" t="str">
        <x:v>T2_CONCORDANT_DOMAIN</x:v>
      </x:c>
      <x:c r="B993" s="20" t="str">
        <x:v>NYC-V1-R02</x:v>
      </x:c>
      <x:c r="C993" s="20" t="str">
        <x:v>V1</x:v>
      </x:c>
      <x:c r="D993" s="20" t="str">
        <x:v>electric_heat_households</x:v>
      </x:c>
      <x:c r="E993" s="20" t="str">
        <x:v>housing</x:v>
      </x:c>
      <x:c r="F993" s="50" t="n">
        <x:v>1670</x:v>
      </x:c>
      <x:c r="G993" s="50" t="n">
        <x:v>249.15707896826854</x:v>
      </x:c>
      <x:c r="H993" s="50" t="n">
        <x:v>1670.158</x:v>
      </x:c>
      <x:c r="I993" s="50" t="n">
        <x:v>253.85738241502176</x:v>
      </x:c>
      <x:c r="J993" s="42" t="n">
        <x:v>1.018864820001168</x:v>
      </x:c>
      <x:c r="K993" s="42" t="n">
        <x:v>0.0006341381134108733</x:v>
      </x:c>
      <x:c r="L993" s="26" t="n">
        <x:v>1234</x:v>
      </x:c>
      <x:c r="M993" s="26" t="n">
        <x:v>1671</x:v>
      </x:c>
      <x:c r="N993" s="26" t="n">
        <x:v>2087</x:v>
      </x:c>
    </x:row>
    <x:row r="994">
      <x:c r="A994" s="20" t="str">
        <x:v>T2_CONCORDANT_DOMAIN</x:v>
      </x:c>
      <x:c r="B994" s="20" t="str">
        <x:v>NYC-V1-R02</x:v>
      </x:c>
      <x:c r="C994" s="20" t="str">
        <x:v>V1</x:v>
      </x:c>
      <x:c r="D994" s="20" t="str">
        <x:v>group_quarters_population</x:v>
      </x:c>
      <x:c r="E994" s="20" t="str">
        <x:v>population</x:v>
      </x:c>
      <x:c r="F994" s="50" t="n">
        <x:v>1123</x:v>
      </x:c>
      <x:c r="G994" s="50" t="n">
        <x:v>24.761865842460256</x:v>
      </x:c>
      <x:c r="H994" s="50" t="n">
        <x:v>1123.011</x:v>
      </x:c>
      <x:c r="I994" s="50" t="n">
        <x:v>24.147877732815342</x:v>
      </x:c>
      <x:c r="J994" s="42" t="n">
        <x:v>0.9752042873686811</x:v>
      </x:c>
      <x:c r="K994" s="42" t="n">
        <x:v>0.0004442314674488332</x:v>
      </x:c>
      <x:c r="L994" s="26" t="n">
        <x:v>1084</x:v>
      </x:c>
      <x:c r="M994" s="26" t="n">
        <x:v>1123</x:v>
      </x:c>
      <x:c r="N994" s="26" t="n">
        <x:v>1164</x:v>
      </x:c>
    </x:row>
    <x:row r="995">
      <x:c r="A995" s="20" t="str">
        <x:v>T2_CONCORDANT_DOMAIN</x:v>
      </x:c>
      <x:c r="B995" s="20" t="str">
        <x:v>NYC-V1-R03</x:v>
      </x:c>
      <x:c r="C995" s="20" t="str">
        <x:v>V1</x:v>
      </x:c>
      <x:c r="D995" s="20" t="str">
        <x:v>acs_population</x:v>
      </x:c>
      <x:c r="E995" s="20" t="str">
        <x:v>population</x:v>
      </x:c>
      <x:c r="F995" s="50" t="n">
        <x:v>27923</x:v>
      </x:c>
      <x:c r="G995" s="50" t="n">
        <x:v>1294.5028196184046</x:v>
      </x:c>
      <x:c r="H995" s="50" t="n">
        <x:v>27923.323</x:v>
      </x:c>
      <x:c r="I995" s="50" t="n">
        <x:v>1268.045910486723</x:v>
      </x:c>
      <x:c r="J995" s="42" t="n">
        <x:v>0.9795621077600428</x:v>
      </x:c>
      <x:c r="K995" s="42" t="n">
        <x:v>0.0002495166446184602</x:v>
      </x:c>
      <x:c r="L995" s="26" t="n">
        <x:v>25891</x:v>
      </x:c>
      <x:c r="M995" s="26" t="n">
        <x:v>27921</x:v>
      </x:c>
      <x:c r="N995" s="26" t="n">
        <x:v>30025</x:v>
      </x:c>
    </x:row>
    <x:row r="996">
      <x:c r="A996" s="20" t="str">
        <x:v>T2_CONCORDANT_DOMAIN</x:v>
      </x:c>
      <x:c r="B996" s="20" t="str">
        <x:v>NYC-V1-R03</x:v>
      </x:c>
      <x:c r="C996" s="20" t="str">
        <x:v>V1</x:v>
      </x:c>
      <x:c r="D996" s="20" t="str">
        <x:v>age_under_18</x:v>
      </x:c>
      <x:c r="E996" s="20" t="str">
        <x:v>population</x:v>
      </x:c>
      <x:c r="F996" s="50" t="n">
        <x:v>2587</x:v>
      </x:c>
      <x:c r="G996" s="50" t="n">
        <x:v>385.9863339549731</x:v>
      </x:c>
      <x:c r="H996" s="50" t="n">
        <x:v>2587.699</x:v>
      </x:c>
      <x:c r="I996" s="50" t="n">
        <x:v>384.3941795660859</x:v>
      </x:c>
      <x:c r="J996" s="42" t="n">
        <x:v>0.9958751016582029</x:v>
      </x:c>
      <x:c r="K996" s="42" t="n">
        <x:v>0.0018109449441845017</x:v>
      </x:c>
      <x:c r="L996" s="26" t="n">
        <x:v>1980</x:v>
      </x:c>
      <x:c r="M996" s="26" t="n">
        <x:v>2569</x:v>
      </x:c>
      <x:c r="N996" s="26" t="n">
        <x:v>3226</x:v>
      </x:c>
    </x:row>
    <x:row r="997">
      <x:c r="A997" s="20" t="str">
        <x:v>T2_CONCORDANT_DOMAIN</x:v>
      </x:c>
      <x:c r="B997" s="20" t="str">
        <x:v>NYC-V1-R03</x:v>
      </x:c>
      <x:c r="C997" s="20" t="str">
        <x:v>V1</x:v>
      </x:c>
      <x:c r="D997" s="20" t="str">
        <x:v>age_65_plus</x:v>
      </x:c>
      <x:c r="E997" s="20" t="str">
        <x:v>population</x:v>
      </x:c>
      <x:c r="F997" s="50" t="n">
        <x:v>3991</x:v>
      </x:c>
      <x:c r="G997" s="50" t="n">
        <x:v>482.6947793378337</x:v>
      </x:c>
      <x:c r="H997" s="50" t="n">
        <x:v>4014.097</x:v>
      </x:c>
      <x:c r="I997" s="50" t="n">
        <x:v>465.22993721974245</x:v>
      </x:c>
      <x:c r="J997" s="42" t="n">
        <x:v>0.9638180422376854</x:v>
      </x:c>
      <x:c r="K997" s="42" t="n">
        <x:v>0.0478501135472916</x:v>
      </x:c>
      <x:c r="L997" s="26" t="n">
        <x:v>3270</x:v>
      </x:c>
      <x:c r="M997" s="26" t="n">
        <x:v>4008</x:v>
      </x:c>
      <x:c r="N997" s="26" t="n">
        <x:v>4764</x:v>
      </x:c>
    </x:row>
    <x:row r="998">
      <x:c r="A998" s="20" t="str">
        <x:v>T2_CONCORDANT_DOMAIN</x:v>
      </x:c>
      <x:c r="B998" s="20" t="str">
        <x:v>NYC-V1-R03</x:v>
      </x:c>
      <x:c r="C998" s="20" t="str">
        <x:v>V1</x:v>
      </x:c>
      <x:c r="D998" s="20" t="str">
        <x:v>age_75_plus</x:v>
      </x:c>
      <x:c r="E998" s="20" t="str">
        <x:v>population</x:v>
      </x:c>
      <x:c r="F998" s="50" t="n">
        <x:v>2191</x:v>
      </x:c>
      <x:c r="G998" s="50" t="n">
        <x:v>397.9192129063386</x:v>
      </x:c>
      <x:c r="H998" s="50" t="n">
        <x:v>2190.989</x:v>
      </x:c>
      <x:c r="I998" s="50" t="n">
        <x:v>398.643004609543</x:v>
      </x:c>
      <x:c r="J998" s="42" t="n">
        <x:v>1.0018189413321312</x:v>
      </x:c>
      <x:c r="K998" s="42" t="n">
        <x:v>-0.000027643802166839368</x:v>
      </x:c>
      <x:c r="L998" s="26" t="n">
        <x:v>1544</x:v>
      </x:c>
      <x:c r="M998" s="26" t="n">
        <x:v>2191</x:v>
      </x:c>
      <x:c r="N998" s="26" t="n">
        <x:v>2848</x:v>
      </x:c>
    </x:row>
    <x:row r="999">
      <x:c r="A999" s="20" t="str">
        <x:v>T2_CONCORDANT_DOMAIN</x:v>
      </x:c>
      <x:c r="B999" s="20" t="str">
        <x:v>NYC-V1-R03</x:v>
      </x:c>
      <x:c r="C999" s="20" t="str">
        <x:v>V1</x:v>
      </x:c>
      <x:c r="D999" s="20" t="str">
        <x:v>age_85_plus</x:v>
      </x:c>
      <x:c r="E999" s="20" t="str">
        <x:v>population</x:v>
      </x:c>
      <x:c r="F999" s="50" t="n">
        <x:v>1125</x:v>
      </x:c>
      <x:c r="G999" s="50" t="n">
        <x:v>331.8523014836571</x:v>
      </x:c>
      <x:c r="H999" s="50" t="n">
        <x:v>1125.02</x:v>
      </x:c>
      <x:c r="I999" s="50" t="n">
        <x:v>339.8971398315462</x:v>
      </x:c>
      <x:c r="J999" s="42" t="n">
        <x:v>1.024242225568188</x:v>
      </x:c>
      <x:c r="K999" s="42" t="n">
        <x:v>0.00006026777548495249</x:v>
      </x:c>
      <x:c r="L999" s="26" t="n">
        <x:v>578</x:v>
      </x:c>
      <x:c r="M999" s="26" t="n">
        <x:v>1123</x:v>
      </x:c>
      <x:c r="N999" s="26" t="n">
        <x:v>1675</x:v>
      </x:c>
    </x:row>
    <x:row r="1000">
      <x:c r="A1000" s="20" t="str">
        <x:v>T2_CONCORDANT_DOMAIN</x:v>
      </x:c>
      <x:c r="B1000" s="20" t="str">
        <x:v>NYC-V1-R03</x:v>
      </x:c>
      <x:c r="C1000" s="20" t="str">
        <x:v>V1</x:v>
      </x:c>
      <x:c r="D1000" s="20" t="str">
        <x:v>civilian_noninstitutionalized</x:v>
      </x:c>
      <x:c r="E1000" s="20" t="str">
        <x:v>disability</x:v>
      </x:c>
      <x:c r="F1000" s="50" t="n">
        <x:v>27908</x:v>
      </x:c>
      <x:c r="G1000" s="50" t="n">
        <x:v>1294.6642614979376</x:v>
      </x:c>
      <x:c r="H1000" s="50" t="n">
        <x:v>27300.692</x:v>
      </x:c>
      <x:c r="I1000" s="50" t="n">
        <x:v>1116.994425089795</x:v>
      </x:c>
      <x:c r="J1000" s="42" t="n">
        <x:v>0.8627676366052022</x:v>
      </x:c>
      <x:c r="K1000" s="42" t="n">
        <x:v>-0.4690853204655085</x:v>
      </x:c>
      <x:c r="L1000" s="26" t="n">
        <x:v>25390</x:v>
      </x:c>
      <x:c r="M1000" s="26" t="n">
        <x:v>27360</x:v>
      </x:c>
      <x:c r="N1000" s="26" t="n">
        <x:v>29055</x:v>
      </x:c>
    </x:row>
    <x:row r="1001">
      <x:c r="A1001" s="20" t="str">
        <x:v>T2_CONCORDANT_DOMAIN</x:v>
      </x:c>
      <x:c r="B1001" s="20" t="str">
        <x:v>NYC-V1-R03</x:v>
      </x:c>
      <x:c r="C1001" s="20" t="str">
        <x:v>V1</x:v>
      </x:c>
      <x:c r="D1001" s="20" t="str">
        <x:v>any_disability</x:v>
      </x:c>
      <x:c r="E1001" s="20" t="str">
        <x:v>disability</x:v>
      </x:c>
      <x:c r="F1001" s="50" t="n">
        <x:v>1575</x:v>
      </x:c>
      <x:c r="G1001" s="50" t="n">
        <x:v>268.2469011936578</x:v>
      </x:c>
      <x:c r="H1001" s="50" t="n">
        <x:v>1577.649</x:v>
      </x:c>
      <x:c r="I1001" s="50" t="n">
        <x:v>335.95353633735954</x:v>
      </x:c>
      <x:c r="J1001" s="42" t="n">
        <x:v>1.2524041651270437</x:v>
      </x:c>
      <x:c r="K1001" s="42" t="n">
        <x:v>0.009875230573819274</x:v>
      </x:c>
      <x:c r="L1001" s="26" t="n">
        <x:v>1019</x:v>
      </x:c>
      <x:c r="M1001" s="26" t="n">
        <x:v>1569</x:v>
      </x:c>
      <x:c r="N1001" s="26" t="n">
        <x:v>2102</x:v>
      </x:c>
    </x:row>
    <x:row r="1002">
      <x:c r="A1002" s="20" t="str">
        <x:v>T2_CONCORDANT_DOMAIN</x:v>
      </x:c>
      <x:c r="B1002" s="20" t="str">
        <x:v>NYC-V1-R03</x:v>
      </x:c>
      <x:c r="C1002" s="20" t="str">
        <x:v>V1</x:v>
      </x:c>
      <x:c r="D1002" s="20" t="str">
        <x:v>disability_under_18</x:v>
      </x:c>
      <x:c r="E1002" s="20" t="str">
        <x:v>disability</x:v>
      </x:c>
      <x:c r="F1002" s="50" t="n">
        <x:v>81</x:v>
      </x:c>
      <x:c r="G1002" s="50" t="n">
        <x:v>56.507079202521176</x:v>
      </x:c>
      <x:c r="H1002" s="50" t="n">
        <x:v>83.398</x:v>
      </x:c>
      <x:c r="I1002" s="50" t="n">
        <x:v>53.60056545053062</x:v>
      </x:c>
      <x:c r="J1002" s="42" t="n">
        <x:v>0.9485637234659816</x:v>
      </x:c>
      <x:c r="K1002" s="42" t="n">
        <x:v>0.042437160685753594</x:v>
      </x:c>
      <x:c r="L1002" s="26" t="n">
        <x:v>0</x:v>
      </x:c>
      <x:c r="M1002" s="26" t="n">
        <x:v>81</x:v>
      </x:c>
      <x:c r="N1002" s="26" t="n">
        <x:v>179</x:v>
      </x:c>
    </x:row>
    <x:row r="1003">
      <x:c r="A1003" s="20" t="str">
        <x:v>T2_CONCORDANT_DOMAIN</x:v>
      </x:c>
      <x:c r="B1003" s="20" t="str">
        <x:v>NYC-V1-R03</x:v>
      </x:c>
      <x:c r="C1003" s="20" t="str">
        <x:v>V1</x:v>
      </x:c>
      <x:c r="D1003" s="20" t="str">
        <x:v>disability_18_64</x:v>
      </x:c>
      <x:c r="E1003" s="20" t="str">
        <x:v>disability</x:v>
      </x:c>
      <x:c r="F1003" s="50" t="n">
        <x:v>641</x:v>
      </x:c>
      <x:c r="G1003" s="50" t="n">
        <x:v>148.07616283521128</x:v>
      </x:c>
      <x:c r="H1003" s="50" t="n">
        <x:v>641.054</x:v>
      </x:c>
      <x:c r="I1003" s="50" t="n">
        <x:v>149.5511907095448</x:v>
      </x:c>
      <x:c r="J1003" s="42" t="n">
        <x:v>1.0099612783454892</x:v>
      </x:c>
      <x:c r="K1003" s="42" t="n">
        <x:v>0.00036467719696429675</x:v>
      </x:c>
      <x:c r="L1003" s="26" t="n">
        <x:v>392</x:v>
      </x:c>
      <x:c r="M1003" s="26" t="n">
        <x:v>642</x:v>
      </x:c>
      <x:c r="N1003" s="26" t="n">
        <x:v>882</x:v>
      </x:c>
    </x:row>
    <x:row r="1004">
      <x:c r="A1004" s="20" t="str">
        <x:v>T2_CONCORDANT_DOMAIN</x:v>
      </x:c>
      <x:c r="B1004" s="20" t="str">
        <x:v>NYC-V1-R03</x:v>
      </x:c>
      <x:c r="C1004" s="20" t="str">
        <x:v>V1</x:v>
      </x:c>
      <x:c r="D1004" s="20" t="str">
        <x:v>disability_65_plus</x:v>
      </x:c>
      <x:c r="E1004" s="20" t="str">
        <x:v>disability</x:v>
      </x:c>
      <x:c r="F1004" s="50" t="n">
        <x:v>853</x:v>
      </x:c>
      <x:c r="G1004" s="50" t="n">
        <x:v>202.96255812341352</x:v>
      </x:c>
      <x:c r="H1004" s="50" t="n">
        <x:v>853.197</x:v>
      </x:c>
      <x:c r="I1004" s="50" t="n">
        <x:v>206.00169146851172</x:v>
      </x:c>
      <x:c r="J1004" s="42" t="n">
        <x:v>1.0149738620423292</x:v>
      </x:c>
      <x:c r="K1004" s="42" t="n">
        <x:v>0.0009706223740056272</x:v>
      </x:c>
      <x:c r="L1004" s="26" t="n">
        <x:v>502</x:v>
      </x:c>
      <x:c r="M1004" s="26" t="n">
        <x:v>851</x:v>
      </x:c>
      <x:c r="N1004" s="26" t="n">
        <x:v>1185</x:v>
      </x:c>
    </x:row>
    <x:row r="1005">
      <x:c r="A1005" s="20" t="str">
        <x:v>T2_CONCORDANT_DOMAIN</x:v>
      </x:c>
      <x:c r="B1005" s="20" t="str">
        <x:v>NYC-V1-R03</x:v>
      </x:c>
      <x:c r="C1005" s="20" t="str">
        <x:v>V1</x:v>
      </x:c>
      <x:c r="D1005" s="20" t="str">
        <x:v>hearing_difficulty</x:v>
      </x:c>
      <x:c r="E1005" s="20" t="str">
        <x:v>disability</x:v>
      </x:c>
      <x:c r="F1005" s="50" t="n">
        <x:v>386</x:v>
      </x:c>
      <x:c r="G1005" s="50" t="n">
        <x:v>172.27474451061414</x:v>
      </x:c>
      <x:c r="H1005" s="50" t="n">
        <x:v>386.64</x:v>
      </x:c>
      <x:c r="I1005" s="50" t="n">
        <x:v>171.5765395061601</x:v>
      </x:c>
      <x:c r="J1005" s="42" t="n">
        <x:v>0.995947142418133</x:v>
      </x:c>
      <x:c r="K1005" s="42" t="n">
        <x:v>0.0037149960768657815</x:v>
      </x:c>
      <x:c r="L1005" s="26" t="n">
        <x:v>105</x:v>
      </x:c>
      <x:c r="M1005" s="26" t="n">
        <x:v>390</x:v>
      </x:c>
      <x:c r="N1005" s="26" t="n">
        <x:v>664</x:v>
      </x:c>
    </x:row>
    <x:row r="1006">
      <x:c r="A1006" s="20" t="str">
        <x:v>T2_CONCORDANT_DOMAIN</x:v>
      </x:c>
      <x:c r="B1006" s="20" t="str">
        <x:v>NYC-V1-R03</x:v>
      </x:c>
      <x:c r="C1006" s="20" t="str">
        <x:v>V1</x:v>
      </x:c>
      <x:c r="D1006" s="20" t="str">
        <x:v>vision_difficulty</x:v>
      </x:c>
      <x:c r="E1006" s="20" t="str">
        <x:v>disability</x:v>
      </x:c>
      <x:c r="F1006" s="50" t="n">
        <x:v>255</x:v>
      </x:c>
      <x:c r="G1006" s="50" t="n">
        <x:v>112.55069205055119</x:v>
      </x:c>
      <x:c r="H1006" s="50" t="n">
        <x:v>255.2</x:v>
      </x:c>
      <x:c r="I1006" s="50" t="n">
        <x:v>109.49209340641231</x:v>
      </x:c>
      <x:c r="J1006" s="42" t="n">
        <x:v>0.9728247015774444</x:v>
      </x:c>
      <x:c r="K1006" s="42" t="n">
        <x:v>0.001776977079005079</x:v>
      </x:c>
      <x:c r="L1006" s="26" t="n">
        <x:v>72</x:v>
      </x:c>
      <x:c r="M1006" s="26" t="n">
        <x:v>255</x:v>
      </x:c>
      <x:c r="N1006" s="26" t="n">
        <x:v>435</x:v>
      </x:c>
    </x:row>
    <x:row r="1007">
      <x:c r="A1007" s="20" t="str">
        <x:v>T2_CONCORDANT_DOMAIN</x:v>
      </x:c>
      <x:c r="B1007" s="20" t="str">
        <x:v>NYC-V1-R03</x:v>
      </x:c>
      <x:c r="C1007" s="20" t="str">
        <x:v>V1</x:v>
      </x:c>
      <x:c r="D1007" s="20" t="str">
        <x:v>cognitive_difficulty</x:v>
      </x:c>
      <x:c r="E1007" s="20" t="str">
        <x:v>disability</x:v>
      </x:c>
      <x:c r="F1007" s="50" t="n">
        <x:v>575</x:v>
      </x:c>
      <x:c r="G1007" s="50" t="n">
        <x:v>140.34261160538108</x:v>
      </x:c>
      <x:c r="H1007" s="50" t="n">
        <x:v>575.024</x:v>
      </x:c>
      <x:c r="I1007" s="50" t="n">
        <x:v>137.56288369676966</x:v>
      </x:c>
      <x:c r="J1007" s="42" t="n">
        <x:v>0.9801932721871564</x:v>
      </x:c>
      <x:c r="K1007" s="42" t="n">
        <x:v>0.00017101007117841527</x:v>
      </x:c>
      <x:c r="L1007" s="26" t="n">
        <x:v>356</x:v>
      </x:c>
      <x:c r="M1007" s="26" t="n">
        <x:v>571</x:v>
      </x:c>
      <x:c r="N1007" s="26" t="n">
        <x:v>804</x:v>
      </x:c>
    </x:row>
    <x:row r="1008">
      <x:c r="A1008" s="20" t="str">
        <x:v>T2_CONCORDANT_DOMAIN</x:v>
      </x:c>
      <x:c r="B1008" s="20" t="str">
        <x:v>NYC-V1-R03</x:v>
      </x:c>
      <x:c r="C1008" s="20" t="str">
        <x:v>V1</x:v>
      </x:c>
      <x:c r="D1008" s="20" t="str">
        <x:v>ambulatory_difficulty</x:v>
      </x:c>
      <x:c r="E1008" s="20" t="str">
        <x:v>disability</x:v>
      </x:c>
      <x:c r="F1008" s="50" t="n">
        <x:v>786</x:v>
      </x:c>
      <x:c r="G1008" s="50" t="n">
        <x:v>208.07863299724175</x:v>
      </x:c>
      <x:c r="H1008" s="50" t="n">
        <x:v>785.997</x:v>
      </x:c>
      <x:c r="I1008" s="50" t="n">
        <x:v>205.09063645169215</x:v>
      </x:c>
      <x:c r="J1008" s="42" t="n">
        <x:v>0.9856400606707695</x:v>
      </x:c>
      <x:c r="K1008" s="42" t="n">
        <x:v>-0.000014417626436840892</x:v>
      </x:c>
      <x:c r="L1008" s="26" t="n">
        <x:v>436</x:v>
      </x:c>
      <x:c r="M1008" s="26" t="n">
        <x:v>781</x:v>
      </x:c>
      <x:c r="N1008" s="26" t="n">
        <x:v>1126</x:v>
      </x:c>
    </x:row>
    <x:row r="1009">
      <x:c r="A1009" s="20" t="str">
        <x:v>T2_CONCORDANT_DOMAIN</x:v>
      </x:c>
      <x:c r="B1009" s="20" t="str">
        <x:v>NYC-V1-R03</x:v>
      </x:c>
      <x:c r="C1009" s="20" t="str">
        <x:v>V1</x:v>
      </x:c>
      <x:c r="D1009" s="20" t="str">
        <x:v>self_care_difficulty</x:v>
      </x:c>
      <x:c r="E1009" s="20" t="str">
        <x:v>disability</x:v>
      </x:c>
      <x:c r="F1009" s="50" t="n">
        <x:v>505</x:v>
      </x:c>
      <x:c r="G1009" s="50" t="n">
        <x:v>184.7024205464741</x:v>
      </x:c>
      <x:c r="H1009" s="50" t="n">
        <x:v>505.39</x:v>
      </x:c>
      <x:c r="I1009" s="50" t="n">
        <x:v>186.69501581169467</x:v>
      </x:c>
      <x:c r="J1009" s="42" t="n">
        <x:v>1.0107881383434236</x:v>
      </x:c>
      <x:c r="K1009" s="42" t="n">
        <x:v>0.002111504542529025</x:v>
      </x:c>
      <x:c r="L1009" s="26" t="n">
        <x:v>210</x:v>
      </x:c>
      <x:c r="M1009" s="26" t="n">
        <x:v>507</x:v>
      </x:c>
      <x:c r="N1009" s="26" t="n">
        <x:v>817</x:v>
      </x:c>
    </x:row>
    <x:row r="1010">
      <x:c r="A1010" s="20" t="str">
        <x:v>T2_CONCORDANT_DOMAIN</x:v>
      </x:c>
      <x:c r="B1010" s="20" t="str">
        <x:v>NYC-V1-R03</x:v>
      </x:c>
      <x:c r="C1010" s="20" t="str">
        <x:v>V1</x:v>
      </x:c>
      <x:c r="D1010" s="20" t="str">
        <x:v>independent_living_difficulty</x:v>
      </x:c>
      <x:c r="E1010" s="20" t="str">
        <x:v>disability</x:v>
      </x:c>
      <x:c r="F1010" s="50" t="n">
        <x:v>574</x:v>
      </x:c>
      <x:c r="G1010" s="50" t="n">
        <x:v>158.44469073753095</x:v>
      </x:c>
      <x:c r="H1010" s="50" t="n">
        <x:v>573.989</x:v>
      </x:c>
      <x:c r="I1010" s="50" t="n">
        <x:v>159.38877520283748</x:v>
      </x:c>
      <x:c r="J1010" s="42" t="n">
        <x:v>1.005958448092593</x:v>
      </x:c>
      <x:c r="K1010" s="42" t="n">
        <x:v>-0.00006942485701959641</x:v>
      </x:c>
      <x:c r="L1010" s="26" t="n">
        <x:v>315</x:v>
      </x:c>
      <x:c r="M1010" s="26" t="n">
        <x:v>572</x:v>
      </x:c>
      <x:c r="N1010" s="26" t="n">
        <x:v>843</x:v>
      </x:c>
    </x:row>
    <x:row r="1011">
      <x:c r="A1011" s="20" t="str">
        <x:v>T2_CONCORDANT_DOMAIN</x:v>
      </x:c>
      <x:c r="B1011" s="20" t="str">
        <x:v>NYC-V1-R03</x:v>
      </x:c>
      <x:c r="C1011" s="20" t="str">
        <x:v>V1</x:v>
      </x:c>
      <x:c r="D1011" s="20" t="str">
        <x:v>households</x:v>
      </x:c>
      <x:c r="E1011" s="20" t="str">
        <x:v>household</x:v>
      </x:c>
      <x:c r="F1011" s="50" t="n">
        <x:v>15988</x:v>
      </x:c>
      <x:c r="G1011" s="50" t="n">
        <x:v>623.0899614020435</x:v>
      </x:c>
      <x:c r="H1011" s="50" t="n">
        <x:v>15988.908</x:v>
      </x:c>
      <x:c r="I1011" s="50" t="n">
        <x:v>539.7702153893093</x:v>
      </x:c>
      <x:c r="J1011" s="42" t="n">
        <x:v>0.8662797490345494</x:v>
      </x:c>
      <x:c r="K1011" s="42" t="n">
        <x:v>0.001457253456557564</x:v>
      </x:c>
      <x:c r="L1011" s="26" t="n">
        <x:v>15100</x:v>
      </x:c>
      <x:c r="M1011" s="26" t="n">
        <x:v>15984</x:v>
      </x:c>
      <x:c r="N1011" s="26" t="n">
        <x:v>16866</x:v>
      </x:c>
    </x:row>
    <x:row r="1012">
      <x:c r="A1012" s="20" t="str">
        <x:v>T2_CONCORDANT_DOMAIN</x:v>
      </x:c>
      <x:c r="B1012" s="20" t="str">
        <x:v>NYC-V1-R03</x:v>
      </x:c>
      <x:c r="C1012" s="20" t="str">
        <x:v>V1</x:v>
      </x:c>
      <x:c r="D1012" s="20" t="str">
        <x:v>family_households</x:v>
      </x:c>
      <x:c r="E1012" s="20" t="str">
        <x:v>household</x:v>
      </x:c>
      <x:c r="F1012" s="50" t="n">
        <x:v>4357</x:v>
      </x:c>
      <x:c r="G1012" s="50" t="n">
        <x:v>388.86167206347295</x:v>
      </x:c>
      <x:c r="H1012" s="50" t="n">
        <x:v>4357.05</x:v>
      </x:c>
      <x:c r="I1012" s="50" t="n">
        <x:v>388.03788074992997</x:v>
      </x:c>
      <x:c r="J1012" s="42" t="n">
        <x:v>0.9978815312160451</x:v>
      </x:c>
      <x:c r="K1012" s="42" t="n">
        <x:v>0.0001285804274174404</x:v>
      </x:c>
      <x:c r="L1012" s="26" t="n">
        <x:v>3694</x:v>
      </x:c>
      <x:c r="M1012" s="26" t="n">
        <x:v>4381</x:v>
      </x:c>
      <x:c r="N1012" s="26" t="n">
        <x:v>4966</x:v>
      </x:c>
    </x:row>
    <x:row r="1013">
      <x:c r="A1013" s="20" t="str">
        <x:v>T2_CONCORDANT_DOMAIN</x:v>
      </x:c>
      <x:c r="B1013" s="20" t="str">
        <x:v>NYC-V1-R03</x:v>
      </x:c>
      <x:c r="C1013" s="20" t="str">
        <x:v>V1</x:v>
      </x:c>
      <x:c r="D1013" s="20" t="str">
        <x:v>nonfamily_households</x:v>
      </x:c>
      <x:c r="E1013" s="20" t="str">
        <x:v>household</x:v>
      </x:c>
      <x:c r="F1013" s="50" t="n">
        <x:v>11631</x:v>
      </x:c>
      <x:c r="G1013" s="50" t="n">
        <x:v>609.3476019481819</x:v>
      </x:c>
      <x:c r="H1013" s="50" t="n">
        <x:v>11631.858</x:v>
      </x:c>
      <x:c r="I1013" s="50" t="n">
        <x:v>564.0352361187938</x:v>
      </x:c>
      <x:c r="J1013" s="42" t="n">
        <x:v>0.9256379024311949</x:v>
      </x:c>
      <x:c r="K1013" s="42" t="n">
        <x:v>0.0014080633078016737</x:v>
      </x:c>
      <x:c r="L1013" s="26" t="n">
        <x:v>10703</x:v>
      </x:c>
      <x:c r="M1013" s="26" t="n">
        <x:v>11639</x:v>
      </x:c>
      <x:c r="N1013" s="26" t="n">
        <x:v>12530</x:v>
      </x:c>
    </x:row>
    <x:row r="1014">
      <x:c r="A1014" s="20" t="str">
        <x:v>T2_CONCORDANT_DOMAIN</x:v>
      </x:c>
      <x:c r="B1014" s="20" t="str">
        <x:v>NYC-V1-R03</x:v>
      </x:c>
      <x:c r="C1014" s="20" t="str">
        <x:v>V1</x:v>
      </x:c>
      <x:c r="D1014" s="20" t="str">
        <x:v>living_alone_households</x:v>
      </x:c>
      <x:c r="E1014" s="20" t="str">
        <x:v>household</x:v>
      </x:c>
      <x:c r="F1014" s="50" t="n">
        <x:v>9147</x:v>
      </x:c>
      <x:c r="G1014" s="50" t="n">
        <x:v>621.7712601913987</x:v>
      </x:c>
      <x:c r="H1014" s="50" t="n">
        <x:v>9147.127</x:v>
      </x:c>
      <x:c r="I1014" s="50" t="n">
        <x:v>623.0350243064289</x:v>
      </x:c>
      <x:c r="J1014" s="42" t="n">
        <x:v>1.0020325225624631</x:v>
      </x:c>
      <x:c r="K1014" s="42" t="n">
        <x:v>0.00020425517892434152</x:v>
      </x:c>
      <x:c r="L1014" s="26" t="n">
        <x:v>8142</x:v>
      </x:c>
      <x:c r="M1014" s="26" t="n">
        <x:v>9145</x:v>
      </x:c>
      <x:c r="N1014" s="26" t="n">
        <x:v>10236</x:v>
      </x:c>
    </x:row>
    <x:row r="1015">
      <x:c r="A1015" s="20" t="str">
        <x:v>T2_CONCORDANT_DOMAIN</x:v>
      </x:c>
      <x:c r="B1015" s="20" t="str">
        <x:v>NYC-V1-R03</x:v>
      </x:c>
      <x:c r="C1015" s="20" t="str">
        <x:v>V1</x:v>
      </x:c>
      <x:c r="D1015" s="20" t="str">
        <x:v>households_with_children</x:v>
      </x:c>
      <x:c r="E1015" s="20" t="str">
        <x:v>household</x:v>
      </x:c>
      <x:c r="F1015" s="50" t="n">
        <x:v>1635</x:v>
      </x:c>
      <x:c r="G1015" s="50" t="n">
        <x:v>202.8717575218394</x:v>
      </x:c>
      <x:c r="H1015" s="50" t="n">
        <x:v>1634.918</x:v>
      </x:c>
      <x:c r="I1015" s="50" t="n">
        <x:v>196.7795606039191</x:v>
      </x:c>
      <x:c r="J1015" s="42" t="n">
        <x:v>0.9699702068324395</x:v>
      </x:c>
      <x:c r="K1015" s="42" t="n">
        <x:v>-0.0004041962321506477</x:v>
      </x:c>
      <x:c r="L1015" s="26" t="n">
        <x:v>1321</x:v>
      </x:c>
      <x:c r="M1015" s="26" t="n">
        <x:v>1632</x:v>
      </x:c>
      <x:c r="N1015" s="26" t="n">
        <x:v>1964</x:v>
      </x:c>
    </x:row>
    <x:row r="1016">
      <x:c r="A1016" s="20" t="str">
        <x:v>T2_CONCORDANT_DOMAIN</x:v>
      </x:c>
      <x:c r="B1016" s="20" t="str">
        <x:v>NYC-V1-R03</x:v>
      </x:c>
      <x:c r="C1016" s="20" t="str">
        <x:v>V1</x:v>
      </x:c>
      <x:c r="D1016" s="20" t="str">
        <x:v>households_with_age65</x:v>
      </x:c>
      <x:c r="E1016" s="20" t="str">
        <x:v>household</x:v>
      </x:c>
      <x:c r="F1016" s="50" t="n">
        <x:v>3281</x:v>
      </x:c>
      <x:c r="G1016" s="50" t="n">
        <x:v>439.7300308143623</x:v>
      </x:c>
      <x:c r="H1016" s="50" t="n">
        <x:v>3281.027</x:v>
      </x:c>
      <x:c r="I1016" s="50" t="n">
        <x:v>431.71737765019975</x:v>
      </x:c>
      <x:c r="J1016" s="42" t="n">
        <x:v>0.9817782443711578</x:v>
      </x:c>
      <x:c r="K1016" s="42" t="n">
        <x:v>0.00006140131014031664</x:v>
      </x:c>
      <x:c r="L1016" s="26" t="n">
        <x:v>2601</x:v>
      </x:c>
      <x:c r="M1016" s="26" t="n">
        <x:v>3280</x:v>
      </x:c>
      <x:c r="N1016" s="26" t="n">
        <x:v>3992</x:v>
      </x:c>
    </x:row>
    <x:row r="1017">
      <x:c r="A1017" s="20" t="str">
        <x:v>T2_CONCORDANT_DOMAIN</x:v>
      </x:c>
      <x:c r="B1017" s="20" t="str">
        <x:v>NYC-V1-R03</x:v>
      </x:c>
      <x:c r="C1017" s="20" t="str">
        <x:v>V1</x:v>
      </x:c>
      <x:c r="D1017" s="20" t="str">
        <x:v>age65_one_person_households</x:v>
      </x:c>
      <x:c r="E1017" s="20" t="str">
        <x:v>household</x:v>
      </x:c>
      <x:c r="F1017" s="50" t="n">
        <x:v>2208</x:v>
      </x:c>
      <x:c r="G1017" s="50" t="n">
        <x:v>385.16801528683555</x:v>
      </x:c>
      <x:c r="H1017" s="50" t="n">
        <x:v>2208.11</x:v>
      </x:c>
      <x:c r="I1017" s="50" t="n">
        <x:v>373.8138235467954</x:v>
      </x:c>
      <x:c r="J1017" s="42" t="n">
        <x:v>0.9705214574175255</x:v>
      </x:c>
      <x:c r="K1017" s="42" t="n">
        <x:v>0.0002855896534352938</x:v>
      </x:c>
      <x:c r="L1017" s="26" t="n">
        <x:v>1580</x:v>
      </x:c>
      <x:c r="M1017" s="26" t="n">
        <x:v>2208</x:v>
      </x:c>
      <x:c r="N1017" s="26" t="n">
        <x:v>2827</x:v>
      </x:c>
    </x:row>
    <x:row r="1018">
      <x:c r="A1018" s="20" t="str">
        <x:v>T2_CONCORDANT_DOMAIN</x:v>
      </x:c>
      <x:c r="B1018" s="20" t="str">
        <x:v>NYC-V1-R03</x:v>
      </x:c>
      <x:c r="C1018" s="20" t="str">
        <x:v>V1</x:v>
      </x:c>
      <x:c r="D1018" s="20" t="str">
        <x:v>no_vehicle_households</x:v>
      </x:c>
      <x:c r="E1018" s="20" t="str">
        <x:v>household</x:v>
      </x:c>
      <x:c r="F1018" s="50" t="n">
        <x:v>13735</x:v>
      </x:c>
      <x:c r="G1018" s="50" t="n">
        <x:v>592.8713039700183</x:v>
      </x:c>
      <x:c r="H1018" s="50" t="n">
        <x:v>13734.992</x:v>
      </x:c>
      <x:c r="I1018" s="50" t="n">
        <x:v>599.1916225520318</x:v>
      </x:c>
      <x:c r="J1018" s="42" t="n">
        <x:v>1.0106605236915518</x:v>
      </x:c>
      <x:c r="K1018" s="42" t="n">
        <x:v>-0.000013493653590991458</x:v>
      </x:c>
      <x:c r="L1018" s="26" t="n">
        <x:v>12771</x:v>
      </x:c>
      <x:c r="M1018" s="26" t="n">
        <x:v>13724</x:v>
      </x:c>
      <x:c r="N1018" s="26" t="n">
        <x:v>14710</x:v>
      </x:c>
    </x:row>
    <x:row r="1019">
      <x:c r="A1019" s="20" t="str">
        <x:v>T2_CONCORDANT_DOMAIN</x:v>
      </x:c>
      <x:c r="B1019" s="20" t="str">
        <x:v>NYC-V1-R03</x:v>
      </x:c>
      <x:c r="C1019" s="20" t="str">
        <x:v>V1</x:v>
      </x:c>
      <x:c r="D1019" s="20" t="str">
        <x:v>limited_english_households</x:v>
      </x:c>
      <x:c r="E1019" s="20" t="str">
        <x:v>household</x:v>
      </x:c>
      <x:c r="F1019" s="50" t="n">
        <x:v>645</x:v>
      </x:c>
      <x:c r="G1019" s="50" t="n">
        <x:v>218.718301732596</x:v>
      </x:c>
      <x:c r="H1019" s="50" t="n">
        <x:v>645.24</x:v>
      </x:c>
      <x:c r="I1019" s="50" t="n">
        <x:v>220.55189761038</x:v>
      </x:c>
      <x:c r="J1019" s="42" t="n">
        <x:v>1.0083833673874523</x:v>
      </x:c>
      <x:c r="K1019" s="42" t="n">
        <x:v>0.0010973018631675003</x:v>
      </x:c>
      <x:c r="L1019" s="26" t="n">
        <x:v>288</x:v>
      </x:c>
      <x:c r="M1019" s="26" t="n">
        <x:v>642</x:v>
      </x:c>
      <x:c r="N1019" s="26" t="n">
        <x:v>1021</x:v>
      </x:c>
    </x:row>
    <x:row r="1020">
      <x:c r="A1020" s="20" t="str">
        <x:v>T2_CONCORDANT_DOMAIN</x:v>
      </x:c>
      <x:c r="B1020" s="20" t="str">
        <x:v>NYC-V1-R03</x:v>
      </x:c>
      <x:c r="C1020" s="20" t="str">
        <x:v>V1</x:v>
      </x:c>
      <x:c r="D1020" s="20" t="str">
        <x:v>housing_units</x:v>
      </x:c>
      <x:c r="E1020" s="20" t="str">
        <x:v>housing</x:v>
      </x:c>
      <x:c r="F1020" s="50" t="n">
        <x:v>19433</x:v>
      </x:c>
      <x:c r="G1020" s="50" t="n">
        <x:v>530.0162733350742</x:v>
      </x:c>
      <x:c r="H1020" s="50" t="n">
        <x:v>19434.143</x:v>
      </x:c>
      <x:c r="I1020" s="50" t="n">
        <x:v>659.8866136647218</x:v>
      </x:c>
      <x:c r="J1020" s="42" t="n">
        <x:v>1.2450308544536786</x:v>
      </x:c>
      <x:c r="K1020" s="42" t="n">
        <x:v>0.0021565375583806443</x:v>
      </x:c>
      <x:c r="L1020" s="26" t="n">
        <x:v>18414</x:v>
      </x:c>
      <x:c r="M1020" s="26" t="n">
        <x:v>19441</x:v>
      </x:c>
      <x:c r="N1020" s="26" t="n">
        <x:v>20507</x:v>
      </x:c>
    </x:row>
    <x:row r="1021">
      <x:c r="A1021" s="20" t="str">
        <x:v>T2_CONCORDANT_DOMAIN</x:v>
      </x:c>
      <x:c r="B1021" s="20" t="str">
        <x:v>NYC-V1-R03</x:v>
      </x:c>
      <x:c r="C1021" s="20" t="str">
        <x:v>V1</x:v>
      </x:c>
      <x:c r="D1021" s="20" t="str">
        <x:v>occupied_housing_units</x:v>
      </x:c>
      <x:c r="E1021" s="20" t="str">
        <x:v>housing</x:v>
      </x:c>
      <x:c r="F1021" s="50" t="n">
        <x:v>15988</x:v>
      </x:c>
      <x:c r="G1021" s="50" t="n">
        <x:v>623.0899614020435</x:v>
      </x:c>
      <x:c r="H1021" s="50" t="n">
        <x:v>15988.908</x:v>
      </x:c>
      <x:c r="I1021" s="50" t="n">
        <x:v>539.7702153893093</x:v>
      </x:c>
      <x:c r="J1021" s="42" t="n">
        <x:v>0.8662797490345494</x:v>
      </x:c>
      <x:c r="K1021" s="42" t="n">
        <x:v>0.001457253456557564</x:v>
      </x:c>
      <x:c r="L1021" s="26" t="n">
        <x:v>15100</x:v>
      </x:c>
      <x:c r="M1021" s="26" t="n">
        <x:v>15984</x:v>
      </x:c>
      <x:c r="N1021" s="26" t="n">
        <x:v>16866</x:v>
      </x:c>
    </x:row>
    <x:row r="1022">
      <x:c r="A1022" s="20" t="str">
        <x:v>T2_CONCORDANT_DOMAIN</x:v>
      </x:c>
      <x:c r="B1022" s="20" t="str">
        <x:v>NYC-V1-R03</x:v>
      </x:c>
      <x:c r="C1022" s="20" t="str">
        <x:v>V1</x:v>
      </x:c>
      <x:c r="D1022" s="20" t="str">
        <x:v>vacant_housing_units</x:v>
      </x:c>
      <x:c r="E1022" s="20" t="str">
        <x:v>housing</x:v>
      </x:c>
      <x:c r="F1022" s="50" t="n">
        <x:v>3445</x:v>
      </x:c>
      <x:c r="G1022" s="50" t="n">
        <x:v>386.74545892615214</x:v>
      </x:c>
      <x:c r="H1022" s="50" t="n">
        <x:v>3445.235</x:v>
      </x:c>
      <x:c r="I1022" s="50" t="n">
        <x:v>390.3808947912513</x:v>
      </x:c>
      <x:c r="J1022" s="42" t="n">
        <x:v>1.0094000738242497</x:v>
      </x:c>
      <x:c r="K1022" s="42" t="n">
        <x:v>0.0006076348010720918</x:v>
      </x:c>
      <x:c r="L1022" s="26" t="n">
        <x:v>2808</x:v>
      </x:c>
      <x:c r="M1022" s="26" t="n">
        <x:v>3439</x:v>
      </x:c>
      <x:c r="N1022" s="26" t="n">
        <x:v>4096</x:v>
      </x:c>
    </x:row>
    <x:row r="1023">
      <x:c r="A1023" s="20" t="str">
        <x:v>T2_CONCORDANT_DOMAIN</x:v>
      </x:c>
      <x:c r="B1023" s="20" t="str">
        <x:v>NYC-V1-R03</x:v>
      </x:c>
      <x:c r="C1023" s="20" t="str">
        <x:v>V1</x:v>
      </x:c>
      <x:c r="D1023" s="20" t="str">
        <x:v>owner_occupied_units</x:v>
      </x:c>
      <x:c r="E1023" s="20" t="str">
        <x:v>housing</x:v>
      </x:c>
      <x:c r="F1023" s="50" t="n">
        <x:v>4099</x:v>
      </x:c>
      <x:c r="G1023" s="50" t="n">
        <x:v>395.09843162072275</x:v>
      </x:c>
      <x:c r="H1023" s="50" t="n">
        <x:v>4099.03</x:v>
      </x:c>
      <x:c r="I1023" s="50" t="n">
        <x:v>339.8191167844036</x:v>
      </x:c>
      <x:c r="J1023" s="42" t="n">
        <x:v>0.8600872329217827</x:v>
      </x:c>
      <x:c r="K1023" s="42" t="n">
        <x:v>0.0000759304456782659</x:v>
      </x:c>
      <x:c r="L1023" s="26" t="n">
        <x:v>3547</x:v>
      </x:c>
      <x:c r="M1023" s="26" t="n">
        <x:v>4103</x:v>
      </x:c>
      <x:c r="N1023" s="26" t="n">
        <x:v>4652</x:v>
      </x:c>
    </x:row>
    <x:row r="1024">
      <x:c r="A1024" s="20" t="str">
        <x:v>T2_CONCORDANT_DOMAIN</x:v>
      </x:c>
      <x:c r="B1024" s="20" t="str">
        <x:v>NYC-V1-R03</x:v>
      </x:c>
      <x:c r="C1024" s="20" t="str">
        <x:v>V1</x:v>
      </x:c>
      <x:c r="D1024" s="20" t="str">
        <x:v>renter_occupied_units</x:v>
      </x:c>
      <x:c r="E1024" s="20" t="str">
        <x:v>housing</x:v>
      </x:c>
      <x:c r="F1024" s="50" t="n">
        <x:v>11889</x:v>
      </x:c>
      <x:c r="G1024" s="50" t="n">
        <x:v>570.3235775439423</x:v>
      </x:c>
      <x:c r="H1024" s="50" t="n">
        <x:v>11889.878</x:v>
      </x:c>
      <x:c r="I1024" s="50" t="n">
        <x:v>417.49040150804825</x:v>
      </x:c>
      <x:c r="J1024" s="42" t="n">
        <x:v>0.7320237457233327</x:v>
      </x:c>
      <x:c r="K1024" s="42" t="n">
        <x:v>0.0015394769470721435</x:v>
      </x:c>
      <x:c r="L1024" s="26" t="n">
        <x:v>11223</x:v>
      </x:c>
      <x:c r="M1024" s="26" t="n">
        <x:v>11907</x:v>
      </x:c>
      <x:c r="N1024" s="26" t="n">
        <x:v>12556</x:v>
      </x:c>
    </x:row>
    <x:row r="1025">
      <x:c r="A1025" s="20" t="str">
        <x:v>T2_CONCORDANT_DOMAIN</x:v>
      </x:c>
      <x:c r="B1025" s="20" t="str">
        <x:v>NYC-V1-R03</x:v>
      </x:c>
      <x:c r="C1025" s="20" t="str">
        <x:v>V1</x:v>
      </x:c>
      <x:c r="D1025" s="20" t="str">
        <x:v>one_unit_structures</x:v>
      </x:c>
      <x:c r="E1025" s="20" t="str">
        <x:v>housing</x:v>
      </x:c>
      <x:c r="F1025" s="50" t="n">
        <x:v>275</x:v>
      </x:c>
      <x:c r="G1025" s="50" t="n">
        <x:v>123.75860604532915</x:v>
      </x:c>
      <x:c r="H1025" s="50" t="n">
        <x:v>275.174</x:v>
      </x:c>
      <x:c r="I1025" s="50" t="n">
        <x:v>115.81447541959821</x:v>
      </x:c>
      <x:c r="J1025" s="42" t="n">
        <x:v>0.9358094690980825</x:v>
      </x:c>
      <x:c r="K1025" s="42" t="n">
        <x:v>0.0014059628300616693</x:v>
      </x:c>
      <x:c r="L1025" s="26" t="n">
        <x:v>82</x:v>
      </x:c>
      <x:c r="M1025" s="26" t="n">
        <x:v>275</x:v>
      </x:c>
      <x:c r="N1025" s="26" t="n">
        <x:v>462</x:v>
      </x:c>
    </x:row>
    <x:row r="1026">
      <x:c r="A1026" s="20" t="str">
        <x:v>T2_CONCORDANT_DOMAIN</x:v>
      </x:c>
      <x:c r="B1026" s="20" t="str">
        <x:v>NYC-V1-R03</x:v>
      </x:c>
      <x:c r="C1026" s="20" t="str">
        <x:v>V1</x:v>
      </x:c>
      <x:c r="D1026" s="20" t="str">
        <x:v>two_to_four_unit_structures</x:v>
      </x:c>
      <x:c r="E1026" s="20" t="str">
        <x:v>housing</x:v>
      </x:c>
      <x:c r="F1026" s="50" t="n">
        <x:v>374</x:v>
      </x:c>
      <x:c r="G1026" s="50" t="n">
        <x:v>129.11029802135823</x:v>
      </x:c>
      <x:c r="H1026" s="50" t="n">
        <x:v>374.036</x:v>
      </x:c>
      <x:c r="I1026" s="50" t="n">
        <x:v>117.40710852896912</x:v>
      </x:c>
      <x:c r="J1026" s="42" t="n">
        <x:v>0.9093551043430084</x:v>
      </x:c>
      <x:c r="K1026" s="42" t="n">
        <x:v>0.0002788313600983712</x:v>
      </x:c>
      <x:c r="L1026" s="26" t="n">
        <x:v>183</x:v>
      </x:c>
      <x:c r="M1026" s="26" t="n">
        <x:v>372</x:v>
      </x:c>
      <x:c r="N1026" s="26" t="n">
        <x:v>563</x:v>
      </x:c>
    </x:row>
    <x:row r="1027">
      <x:c r="A1027" s="20" t="str">
        <x:v>T2_CONCORDANT_DOMAIN</x:v>
      </x:c>
      <x:c r="B1027" s="20" t="str">
        <x:v>NYC-V1-R03</x:v>
      </x:c>
      <x:c r="C1027" s="20" t="str">
        <x:v>V1</x:v>
      </x:c>
      <x:c r="D1027" s="20" t="str">
        <x:v>five_to_nineteen_unit_structures</x:v>
      </x:c>
      <x:c r="E1027" s="20" t="str">
        <x:v>housing</x:v>
      </x:c>
      <x:c r="F1027" s="50" t="n">
        <x:v>1745</x:v>
      </x:c>
      <x:c r="G1027" s="50" t="n">
        <x:v>252.14996484400996</x:v>
      </x:c>
      <x:c r="H1027" s="50" t="n">
        <x:v>1744.888</x:v>
      </x:c>
      <x:c r="I1027" s="50" t="n">
        <x:v>209.69875780515494</x:v>
      </x:c>
      <x:c r="J1027" s="42" t="n">
        <x:v>0.8316430182129233</x:v>
      </x:c>
      <x:c r="K1027" s="42" t="n">
        <x:v>-0.0004441801134867011</x:v>
      </x:c>
      <x:c r="L1027" s="26" t="n">
        <x:v>1390</x:v>
      </x:c>
      <x:c r="M1027" s="26" t="n">
        <x:v>1744</x:v>
      </x:c>
      <x:c r="N1027" s="26" t="n">
        <x:v>2091</x:v>
      </x:c>
    </x:row>
    <x:row r="1028">
      <x:c r="A1028" s="20" t="str">
        <x:v>T2_CONCORDANT_DOMAIN</x:v>
      </x:c>
      <x:c r="B1028" s="20" t="str">
        <x:v>NYC-V1-R03</x:v>
      </x:c>
      <x:c r="C1028" s="20" t="str">
        <x:v>V1</x:v>
      </x:c>
      <x:c r="D1028" s="20" t="str">
        <x:v>twenty_to_forty_nine_unit_structures</x:v>
      </x:c>
      <x:c r="E1028" s="20" t="str">
        <x:v>housing</x:v>
      </x:c>
      <x:c r="F1028" s="50" t="n">
        <x:v>2909</x:v>
      </x:c>
      <x:c r="G1028" s="50" t="n">
        <x:v>338.54070050158253</x:v>
      </x:c>
      <x:c r="H1028" s="50" t="n">
        <x:v>2909.17</x:v>
      </x:c>
      <x:c r="I1028" s="50" t="n">
        <x:v>267.25464663153406</x:v>
      </x:c>
      <x:c r="J1028" s="42" t="n">
        <x:v>0.789431363010619</x:v>
      </x:c>
      <x:c r="K1028" s="42" t="n">
        <x:v>0.000502155279256528</x:v>
      </x:c>
      <x:c r="L1028" s="26" t="n">
        <x:v>2487</x:v>
      </x:c>
      <x:c r="M1028" s="26" t="n">
        <x:v>2916</x:v>
      </x:c>
      <x:c r="N1028" s="26" t="n">
        <x:v>3349</x:v>
      </x:c>
    </x:row>
    <x:row r="1029">
      <x:c r="A1029" s="20" t="str">
        <x:v>T2_CONCORDANT_DOMAIN</x:v>
      </x:c>
      <x:c r="B1029" s="20" t="str">
        <x:v>NYC-V1-R03</x:v>
      </x:c>
      <x:c r="C1029" s="20" t="str">
        <x:v>V1</x:v>
      </x:c>
      <x:c r="D1029" s="20" t="str">
        <x:v>fifty_plus_unit_structures</x:v>
      </x:c>
      <x:c r="E1029" s="20" t="str">
        <x:v>housing</x:v>
      </x:c>
      <x:c r="F1029" s="50" t="n">
        <x:v>10685</x:v>
      </x:c>
      <x:c r="G1029" s="50" t="n">
        <x:v>629.7957422762645</x:v>
      </x:c>
      <x:c r="H1029" s="50" t="n">
        <x:v>10667.574</x:v>
      </x:c>
      <x:c r="I1029" s="50" t="n">
        <x:v>426.35111797648636</x:v>
      </x:c>
      <x:c r="J1029" s="42" t="n">
        <x:v>0.6769672917056088</x:v>
      </x:c>
      <x:c r="K1029" s="42" t="n">
        <x:v>-0.02766928835850312</x:v>
      </x:c>
      <x:c r="L1029" s="26" t="n">
        <x:v>9976</x:v>
      </x:c>
      <x:c r="M1029" s="26" t="n">
        <x:v>10667</x:v>
      </x:c>
      <x:c r="N1029" s="26" t="n">
        <x:v>11376</x:v>
      </x:c>
    </x:row>
    <x:row r="1030">
      <x:c r="A1030" s="20" t="str">
        <x:v>T2_CONCORDANT_DOMAIN</x:v>
      </x:c>
      <x:c r="B1030" s="20" t="str">
        <x:v>NYC-V1-R03</x:v>
      </x:c>
      <x:c r="C1030" s="20" t="str">
        <x:v>V1</x:v>
      </x:c>
      <x:c r="D1030" s="20" t="str">
        <x:v>mobile_or_other_units</x:v>
      </x:c>
      <x:c r="E1030" s="20" t="str">
        <x:v>housing</x:v>
      </x:c>
      <x:c r="F1030" s="50" t="n">
        <x:v>0</x:v>
      </x:c>
      <x:c r="G1030" s="50" t="n">
        <x:v>46.69389512382133</x:v>
      </x:c>
      <x:c r="H1030" s="50" t="n">
        <x:v>18.066</x:v>
      </x:c>
      <x:c r="I1030" s="50" t="n">
        <x:v>25.80340015307013</x:v>
      </x:c>
      <x:c r="J1030" s="42" t="n">
        <x:v>0.5526075750297876</x:v>
      </x:c>
      <x:c r="K1030" s="42" t="n">
        <x:v>0.38690282642073826</x:v>
      </x:c>
      <x:c r="L1030" s="26" t="n">
        <x:v>0</x:v>
      </x:c>
      <x:c r="M1030" s="26" t="n">
        <x:v>0</x:v>
      </x:c>
      <x:c r="N1030" s="26" t="n">
        <x:v>70</x:v>
      </x:c>
    </x:row>
    <x:row r="1031">
      <x:c r="A1031" s="20" t="str">
        <x:v>T2_CONCORDANT_DOMAIN</x:v>
      </x:c>
      <x:c r="B1031" s="20" t="str">
        <x:v>NYC-V1-R03</x:v>
      </x:c>
      <x:c r="C1031" s="20" t="str">
        <x:v>V1</x:v>
      </x:c>
      <x:c r="D1031" s="20" t="str">
        <x:v>electric_heat_households</x:v>
      </x:c>
      <x:c r="E1031" s="20" t="str">
        <x:v>housing</x:v>
      </x:c>
      <x:c r="F1031" s="50" t="n">
        <x:v>5818</x:v>
      </x:c>
      <x:c r="G1031" s="50" t="n">
        <x:v>537.7573802375938</x:v>
      </x:c>
      <x:c r="H1031" s="50" t="n">
        <x:v>5818.126</x:v>
      </x:c>
      <x:c r="I1031" s="50" t="n">
        <x:v>521.8714189356435</x:v>
      </x:c>
      <x:c r="J1031" s="42" t="n">
        <x:v>0.9704588688398261</x:v>
      </x:c>
      <x:c r="K1031" s="42" t="n">
        <x:v>0.00023430640774197087</x:v>
      </x:c>
      <x:c r="L1031" s="26" t="n">
        <x:v>4985</x:v>
      </x:c>
      <x:c r="M1031" s="26" t="n">
        <x:v>5806</x:v>
      </x:c>
      <x:c r="N1031" s="26" t="n">
        <x:v>6665</x:v>
      </x:c>
    </x:row>
    <x:row r="1032">
      <x:c r="A1032" s="20" t="str">
        <x:v>T2_CONCORDANT_DOMAIN</x:v>
      </x:c>
      <x:c r="B1032" s="20" t="str">
        <x:v>NYC-V1-R03</x:v>
      </x:c>
      <x:c r="C1032" s="20" t="str">
        <x:v>V1</x:v>
      </x:c>
      <x:c r="D1032" s="20" t="str">
        <x:v>group_quarters_population</x:v>
      </x:c>
      <x:c r="E1032" s="20" t="str">
        <x:v>population</x:v>
      </x:c>
      <x:c r="F1032" s="50" t="n">
        <x:v>837</x:v>
      </x:c>
      <x:c r="G1032" s="50" t="n">
        <x:v>13.796738745080301</x:v>
      </x:c>
      <x:c r="H1032" s="50" t="n">
        <x:v>837.009</x:v>
      </x:c>
      <x:c r="I1032" s="50" t="n">
        <x:v>14.3302573345797</x:v>
      </x:c>
      <x:c r="J1032" s="42" t="n">
        <x:v>1.0386699059362594</x:v>
      </x:c>
      <x:c r="K1032" s="42" t="n">
        <x:v>0.000652328073054497</x:v>
      </x:c>
      <x:c r="L1032" s="26" t="n">
        <x:v>813</x:v>
      </x:c>
      <x:c r="M1032" s="26" t="n">
        <x:v>837</x:v>
      </x:c>
      <x:c r="N1032" s="26" t="n">
        <x:v>861</x:v>
      </x:c>
    </x:row>
    <x:row r="1033">
      <x:c r="A1033" s="20" t="str">
        <x:v>T2_CONCORDANT_DOMAIN</x:v>
      </x:c>
      <x:c r="B1033" s="20" t="str">
        <x:v>NYC-V1-R04</x:v>
      </x:c>
      <x:c r="C1033" s="20" t="str">
        <x:v>V1</x:v>
      </x:c>
      <x:c r="D1033" s="20" t="str">
        <x:v>acs_population</x:v>
      </x:c>
      <x:c r="E1033" s="20" t="str">
        <x:v>population</x:v>
      </x:c>
      <x:c r="F1033" s="50" t="n">
        <x:v>35433</x:v>
      </x:c>
      <x:c r="G1033" s="50" t="n">
        <x:v>1407.7052248251407</x:v>
      </x:c>
      <x:c r="H1033" s="50" t="n">
        <x:v>35433.142</x:v>
      </x:c>
      <x:c r="I1033" s="50" t="n">
        <x:v>1425.7393080119557</x:v>
      </x:c>
      <x:c r="J1033" s="42" t="n">
        <x:v>1.0128109797909255</x:v>
      </x:c>
      <x:c r="K1033" s="42" t="n">
        <x:v>0.00010087339131490688</x:v>
      </x:c>
      <x:c r="L1033" s="26" t="n">
        <x:v>33003</x:v>
      </x:c>
      <x:c r="M1033" s="26" t="n">
        <x:v>35464</x:v>
      </x:c>
      <x:c r="N1033" s="26" t="n">
        <x:v>37804</x:v>
      </x:c>
    </x:row>
    <x:row r="1034">
      <x:c r="A1034" s="20" t="str">
        <x:v>T2_CONCORDANT_DOMAIN</x:v>
      </x:c>
      <x:c r="B1034" s="20" t="str">
        <x:v>NYC-V1-R04</x:v>
      </x:c>
      <x:c r="C1034" s="20" t="str">
        <x:v>V1</x:v>
      </x:c>
      <x:c r="D1034" s="20" t="str">
        <x:v>age_under_18</x:v>
      </x:c>
      <x:c r="E1034" s="20" t="str">
        <x:v>population</x:v>
      </x:c>
      <x:c r="F1034" s="50" t="n">
        <x:v>8026</x:v>
      </x:c>
      <x:c r="G1034" s="50" t="n">
        <x:v>803.9552537299573</x:v>
      </x:c>
      <x:c r="H1034" s="50" t="n">
        <x:v>8026.192</x:v>
      </x:c>
      <x:c r="I1034" s="50" t="n">
        <x:v>815.8675854898594</x:v>
      </x:c>
      <x:c r="J1034" s="42" t="n">
        <x:v>1.0148171576771652</x:v>
      </x:c>
      <x:c r="K1034" s="42" t="n">
        <x:v>0.00023881926153131237</x:v>
      </x:c>
      <x:c r="L1034" s="26" t="n">
        <x:v>6723</x:v>
      </x:c>
      <x:c r="M1034" s="26" t="n">
        <x:v>8051</x:v>
      </x:c>
      <x:c r="N1034" s="26" t="n">
        <x:v>9398</x:v>
      </x:c>
    </x:row>
    <x:row r="1035">
      <x:c r="A1035" s="20" t="str">
        <x:v>T2_CONCORDANT_DOMAIN</x:v>
      </x:c>
      <x:c r="B1035" s="20" t="str">
        <x:v>NYC-V1-R04</x:v>
      </x:c>
      <x:c r="C1035" s="20" t="str">
        <x:v>V1</x:v>
      </x:c>
      <x:c r="D1035" s="20" t="str">
        <x:v>age_65_plus</x:v>
      </x:c>
      <x:c r="E1035" s="20" t="str">
        <x:v>population</x:v>
      </x:c>
      <x:c r="F1035" s="50" t="n">
        <x:v>4213</x:v>
      </x:c>
      <x:c r="G1035" s="50" t="n">
        <x:v>293.967004951236</x:v>
      </x:c>
      <x:c r="H1035" s="50" t="n">
        <x:v>4224.222</x:v>
      </x:c>
      <x:c r="I1035" s="50" t="n">
        <x:v>272.8764744097341</x:v>
      </x:c>
      <x:c r="J1035" s="42" t="n">
        <x:v>0.9282554498080475</x:v>
      </x:c>
      <x:c r="K1035" s="42" t="n">
        <x:v>0.038174352260592265</x:v>
      </x:c>
      <x:c r="L1035" s="26" t="n">
        <x:v>3775</x:v>
      </x:c>
      <x:c r="M1035" s="26" t="n">
        <x:v>4217</x:v>
      </x:c>
      <x:c r="N1035" s="26" t="n">
        <x:v>4661</x:v>
      </x:c>
    </x:row>
    <x:row r="1036">
      <x:c r="A1036" s="20" t="str">
        <x:v>T2_CONCORDANT_DOMAIN</x:v>
      </x:c>
      <x:c r="B1036" s="20" t="str">
        <x:v>NYC-V1-R04</x:v>
      </x:c>
      <x:c r="C1036" s="20" t="str">
        <x:v>V1</x:v>
      </x:c>
      <x:c r="D1036" s="20" t="str">
        <x:v>age_75_plus</x:v>
      </x:c>
      <x:c r="E1036" s="20" t="str">
        <x:v>population</x:v>
      </x:c>
      <x:c r="F1036" s="50" t="n">
        <x:v>1891</x:v>
      </x:c>
      <x:c r="G1036" s="50" t="n">
        <x:v>275.36793567879323</x:v>
      </x:c>
      <x:c r="H1036" s="50" t="n">
        <x:v>1890.888</x:v>
      </x:c>
      <x:c r="I1036" s="50" t="n">
        <x:v>277.7073438438833</x:v>
      </x:c>
      <x:c r="J1036" s="42" t="n">
        <x:v>1.0084955721490352</x:v>
      </x:c>
      <x:c r="K1036" s="42" t="n">
        <x:v>-0.00040672854566017446</x:v>
      </x:c>
      <x:c r="L1036" s="26" t="n">
        <x:v>1422</x:v>
      </x:c>
      <x:c r="M1036" s="26" t="n">
        <x:v>1898</x:v>
      </x:c>
      <x:c r="N1036" s="26" t="n">
        <x:v>2363</x:v>
      </x:c>
    </x:row>
    <x:row r="1037">
      <x:c r="A1037" s="20" t="str">
        <x:v>T2_CONCORDANT_DOMAIN</x:v>
      </x:c>
      <x:c r="B1037" s="20" t="str">
        <x:v>NYC-V1-R04</x:v>
      </x:c>
      <x:c r="C1037" s="20" t="str">
        <x:v>V1</x:v>
      </x:c>
      <x:c r="D1037" s="20" t="str">
        <x:v>age_85_plus</x:v>
      </x:c>
      <x:c r="E1037" s="20" t="str">
        <x:v>population</x:v>
      </x:c>
      <x:c r="F1037" s="50" t="n">
        <x:v>629</x:v>
      </x:c>
      <x:c r="G1037" s="50" t="n">
        <x:v>141.50371019870823</x:v>
      </x:c>
      <x:c r="H1037" s="50" t="n">
        <x:v>628.964</x:v>
      </x:c>
      <x:c r="I1037" s="50" t="n">
        <x:v>144.12671929664955</x:v>
      </x:c>
      <x:c r="J1037" s="42" t="n">
        <x:v>1.0185366807291338</x:v>
      </x:c>
      <x:c r="K1037" s="42" t="n">
        <x:v>-0.00025441029036900233</x:v>
      </x:c>
      <x:c r="L1037" s="26" t="n">
        <x:v>394</x:v>
      </x:c>
      <x:c r="M1037" s="26" t="n">
        <x:v>632</x:v>
      </x:c>
      <x:c r="N1037" s="26" t="n">
        <x:v>858</x:v>
      </x:c>
    </x:row>
    <x:row r="1038">
      <x:c r="A1038" s="20" t="str">
        <x:v>T2_CONCORDANT_DOMAIN</x:v>
      </x:c>
      <x:c r="B1038" s="20" t="str">
        <x:v>NYC-V1-R04</x:v>
      </x:c>
      <x:c r="C1038" s="20" t="str">
        <x:v>V1</x:v>
      </x:c>
      <x:c r="D1038" s="20" t="str">
        <x:v>civilian_noninstitutionalized</x:v>
      </x:c>
      <x:c r="E1038" s="20" t="str">
        <x:v>disability</x:v>
      </x:c>
      <x:c r="F1038" s="50" t="n">
        <x:v>35387</x:v>
      </x:c>
      <x:c r="G1038" s="50" t="n">
        <x:v>1408.0104403022017</x:v>
      </x:c>
      <x:c r="H1038" s="50" t="n">
        <x:v>34738.471</x:v>
      </x:c>
      <x:c r="I1038" s="50" t="n">
        <x:v>1236.1682195502462</x:v>
      </x:c>
      <x:c r="J1038" s="42" t="n">
        <x:v>0.8779538731864283</x:v>
      </x:c>
      <x:c r="K1038" s="42" t="n">
        <x:v>-0.4605995676145756</x:v>
      </x:c>
      <x:c r="L1038" s="26" t="n">
        <x:v>32806</x:v>
      </x:c>
      <x:c r="M1038" s="26" t="n">
        <x:v>34781</x:v>
      </x:c>
      <x:c r="N1038" s="26" t="n">
        <x:v>36734</x:v>
      </x:c>
    </x:row>
    <x:row r="1039">
      <x:c r="A1039" s="20" t="str">
        <x:v>T2_CONCORDANT_DOMAIN</x:v>
      </x:c>
      <x:c r="B1039" s="20" t="str">
        <x:v>NYC-V1-R04</x:v>
      </x:c>
      <x:c r="C1039" s="20" t="str">
        <x:v>V1</x:v>
      </x:c>
      <x:c r="D1039" s="20" t="str">
        <x:v>any_disability</x:v>
      </x:c>
      <x:c r="E1039" s="20" t="str">
        <x:v>disability</x:v>
      </x:c>
      <x:c r="F1039" s="50" t="n">
        <x:v>6981</x:v>
      </x:c>
      <x:c r="G1039" s="50" t="n">
        <x:v>442.7134513429652</x:v>
      </x:c>
      <x:c r="H1039" s="50" t="n">
        <x:v>6980.746</x:v>
      </x:c>
      <x:c r="I1039" s="50" t="n">
        <x:v>602.7889697282342</x:v>
      </x:c>
      <x:c r="J1039" s="42" t="n">
        <x:v>1.361578167321734</x:v>
      </x:c>
      <x:c r="K1039" s="42" t="n">
        <x:v>-0.000573734543708577</x:v>
      </x:c>
      <x:c r="L1039" s="26" t="n">
        <x:v>5977</x:v>
      </x:c>
      <x:c r="M1039" s="26" t="n">
        <x:v>6990</x:v>
      </x:c>
      <x:c r="N1039" s="26" t="n">
        <x:v>7962</x:v>
      </x:c>
    </x:row>
    <x:row r="1040">
      <x:c r="A1040" s="20" t="str">
        <x:v>T2_CONCORDANT_DOMAIN</x:v>
      </x:c>
      <x:c r="B1040" s="20" t="str">
        <x:v>NYC-V1-R04</x:v>
      </x:c>
      <x:c r="C1040" s="20" t="str">
        <x:v>V1</x:v>
      </x:c>
      <x:c r="D1040" s="20" t="str">
        <x:v>disability_under_18</x:v>
      </x:c>
      <x:c r="E1040" s="20" t="str">
        <x:v>disability</x:v>
      </x:c>
      <x:c r="F1040" s="50" t="n">
        <x:v>946</x:v>
      </x:c>
      <x:c r="G1040" s="50" t="n">
        <x:v>210.22000380553703</x:v>
      </x:c>
      <x:c r="H1040" s="50" t="n">
        <x:v>945.945</x:v>
      </x:c>
      <x:c r="I1040" s="50" t="n">
        <x:v>209.82894023265513</x:v>
      </x:c>
      <x:c r="J1040" s="42" t="n">
        <x:v>0.9981397413861544</x:v>
      </x:c>
      <x:c r="K1040" s="42" t="n">
        <x:v>-0.0002616306678922309</x:v>
      </x:c>
      <x:c r="L1040" s="26" t="n">
        <x:v>604</x:v>
      </x:c>
      <x:c r="M1040" s="26" t="n">
        <x:v>942</x:v>
      </x:c>
      <x:c r="N1040" s="26" t="n">
        <x:v>1293</x:v>
      </x:c>
    </x:row>
    <x:row r="1041">
      <x:c r="A1041" s="20" t="str">
        <x:v>T2_CONCORDANT_DOMAIN</x:v>
      </x:c>
      <x:c r="B1041" s="20" t="str">
        <x:v>NYC-V1-R04</x:v>
      </x:c>
      <x:c r="C1041" s="20" t="str">
        <x:v>V1</x:v>
      </x:c>
      <x:c r="D1041" s="20" t="str">
        <x:v>disability_18_64</x:v>
      </x:c>
      <x:c r="E1041" s="20" t="str">
        <x:v>disability</x:v>
      </x:c>
      <x:c r="F1041" s="50" t="n">
        <x:v>3675</x:v>
      </x:c>
      <x:c r="G1041" s="50" t="n">
        <x:v>309.68524343274737</x:v>
      </x:c>
      <x:c r="H1041" s="50" t="n">
        <x:v>3674.93</x:v>
      </x:c>
      <x:c r="I1041" s="50" t="n">
        <x:v>321.3112291937616</x:v>
      </x:c>
      <x:c r="J1041" s="42" t="n">
        <x:v>1.0375412971962903</x:v>
      </x:c>
      <x:c r="K1041" s="42" t="n">
        <x:v>-0.0002260359558119056</x:v>
      </x:c>
      <x:c r="L1041" s="26" t="n">
        <x:v>3149</x:v>
      </x:c>
      <x:c r="M1041" s="26" t="n">
        <x:v>3681</x:v>
      </x:c>
      <x:c r="N1041" s="26" t="n">
        <x:v>4215</x:v>
      </x:c>
    </x:row>
    <x:row r="1042">
      <x:c r="A1042" s="20" t="str">
        <x:v>T2_CONCORDANT_DOMAIN</x:v>
      </x:c>
      <x:c r="B1042" s="20" t="str">
        <x:v>NYC-V1-R04</x:v>
      </x:c>
      <x:c r="C1042" s="20" t="str">
        <x:v>V1</x:v>
      </x:c>
      <x:c r="D1042" s="20" t="str">
        <x:v>disability_65_plus</x:v>
      </x:c>
      <x:c r="E1042" s="20" t="str">
        <x:v>disability</x:v>
      </x:c>
      <x:c r="F1042" s="50" t="n">
        <x:v>2360</x:v>
      </x:c>
      <x:c r="G1042" s="50" t="n">
        <x:v>248.4854120466632</x:v>
      </x:c>
      <x:c r="H1042" s="50" t="n">
        <x:v>2359.871</x:v>
      </x:c>
      <x:c r="I1042" s="50" t="n">
        <x:v>240.3652175269891</x:v>
      </x:c>
      <x:c r="J1042" s="42" t="n">
        <x:v>0.9673212425116159</x:v>
      </x:c>
      <x:c r="K1042" s="42" t="n">
        <x:v>-0.0005191451640456078</x:v>
      </x:c>
      <x:c r="L1042" s="26" t="n">
        <x:v>1957</x:v>
      </x:c>
      <x:c r="M1042" s="26" t="n">
        <x:v>2358</x:v>
      </x:c>
      <x:c r="N1042" s="26" t="n">
        <x:v>2738</x:v>
      </x:c>
    </x:row>
    <x:row r="1043">
      <x:c r="A1043" s="20" t="str">
        <x:v>T2_CONCORDANT_DOMAIN</x:v>
      </x:c>
      <x:c r="B1043" s="20" t="str">
        <x:v>NYC-V1-R04</x:v>
      </x:c>
      <x:c r="C1043" s="20" t="str">
        <x:v>V1</x:v>
      </x:c>
      <x:c r="D1043" s="20" t="str">
        <x:v>hearing_difficulty</x:v>
      </x:c>
      <x:c r="E1043" s="20" t="str">
        <x:v>disability</x:v>
      </x:c>
      <x:c r="F1043" s="50" t="n">
        <x:v>738</x:v>
      </x:c>
      <x:c r="G1043" s="50" t="n">
        <x:v>202.9175324754149</x:v>
      </x:c>
      <x:c r="H1043" s="50" t="n">
        <x:v>738.048</x:v>
      </x:c>
      <x:c r="I1043" s="50" t="n">
        <x:v>204.08061788076446</x:v>
      </x:c>
      <x:c r="J1043" s="42" t="n">
        <x:v>1.0057318132699573</x:v>
      </x:c>
      <x:c r="K1043" s="42" t="n">
        <x:v>0.00023654929869511106</x:v>
      </x:c>
      <x:c r="L1043" s="26" t="n">
        <x:v>411</x:v>
      </x:c>
      <x:c r="M1043" s="26" t="n">
        <x:v>735</x:v>
      </x:c>
      <x:c r="N1043" s="26" t="n">
        <x:v>1086</x:v>
      </x:c>
    </x:row>
    <x:row r="1044">
      <x:c r="A1044" s="20" t="str">
        <x:v>T2_CONCORDANT_DOMAIN</x:v>
      </x:c>
      <x:c r="B1044" s="20" t="str">
        <x:v>NYC-V1-R04</x:v>
      </x:c>
      <x:c r="C1044" s="20" t="str">
        <x:v>V1</x:v>
      </x:c>
      <x:c r="D1044" s="20" t="str">
        <x:v>vision_difficulty</x:v>
      </x:c>
      <x:c r="E1044" s="20" t="str">
        <x:v>disability</x:v>
      </x:c>
      <x:c r="F1044" s="50" t="n">
        <x:v>1336</x:v>
      </x:c>
      <x:c r="G1044" s="50" t="n">
        <x:v>226.7917197790649</x:v>
      </x:c>
      <x:c r="H1044" s="50" t="n">
        <x:v>1335.973</x:v>
      </x:c>
      <x:c r="I1044" s="50" t="n">
        <x:v>228.31871080729388</x:v>
      </x:c>
      <x:c r="J1044" s="42" t="n">
        <x:v>1.0067330104896093</x:v>
      </x:c>
      <x:c r="K1044" s="42" t="n">
        <x:v>-0.00011905196550538271</x:v>
      </x:c>
      <x:c r="L1044" s="26" t="n">
        <x:v>961</x:v>
      </x:c>
      <x:c r="M1044" s="26" t="n">
        <x:v>1337</x:v>
      </x:c>
      <x:c r="N1044" s="26" t="n">
        <x:v>1689</x:v>
      </x:c>
    </x:row>
    <x:row r="1045">
      <x:c r="A1045" s="20" t="str">
        <x:v>T2_CONCORDANT_DOMAIN</x:v>
      </x:c>
      <x:c r="B1045" s="20" t="str">
        <x:v>NYC-V1-R04</x:v>
      </x:c>
      <x:c r="C1045" s="20" t="str">
        <x:v>V1</x:v>
      </x:c>
      <x:c r="D1045" s="20" t="str">
        <x:v>cognitive_difficulty</x:v>
      </x:c>
      <x:c r="E1045" s="20" t="str">
        <x:v>disability</x:v>
      </x:c>
      <x:c r="F1045" s="50" t="n">
        <x:v>3322</x:v>
      </x:c>
      <x:c r="G1045" s="50" t="n">
        <x:v>378.91655683297336</x:v>
      </x:c>
      <x:c r="H1045" s="50" t="n">
        <x:v>3321.924</x:v>
      </x:c>
      <x:c r="I1045" s="50" t="n">
        <x:v>366.9898851464435</x:v>
      </x:c>
      <x:c r="J1045" s="42" t="n">
        <x:v>0.968524279365847</x:v>
      </x:c>
      <x:c r="K1045" s="42" t="n">
        <x:v>-0.00020057186372439954</x:v>
      </x:c>
      <x:c r="L1045" s="26" t="n">
        <x:v>2731</x:v>
      </x:c>
      <x:c r="M1045" s="26" t="n">
        <x:v>3308</x:v>
      </x:c>
      <x:c r="N1045" s="26" t="n">
        <x:v>3916</x:v>
      </x:c>
    </x:row>
    <x:row r="1046">
      <x:c r="A1046" s="20" t="str">
        <x:v>T2_CONCORDANT_DOMAIN</x:v>
      </x:c>
      <x:c r="B1046" s="20" t="str">
        <x:v>NYC-V1-R04</x:v>
      </x:c>
      <x:c r="C1046" s="20" t="str">
        <x:v>V1</x:v>
      </x:c>
      <x:c r="D1046" s="20" t="str">
        <x:v>ambulatory_difficulty</x:v>
      </x:c>
      <x:c r="E1046" s="20" t="str">
        <x:v>disability</x:v>
      </x:c>
      <x:c r="F1046" s="50" t="n">
        <x:v>4250</x:v>
      </x:c>
      <x:c r="G1046" s="50" t="n">
        <x:v>417.4229547066256</x:v>
      </x:c>
      <x:c r="H1046" s="50" t="n">
        <x:v>4249.788</x:v>
      </x:c>
      <x:c r="I1046" s="50" t="n">
        <x:v>409.552617379504</x:v>
      </x:c>
      <x:c r="J1046" s="42" t="n">
        <x:v>0.9811454132112761</x:v>
      </x:c>
      <x:c r="K1046" s="42" t="n">
        <x:v>-0.0005078781547829402</x:v>
      </x:c>
      <x:c r="L1046" s="26" t="n">
        <x:v>3568</x:v>
      </x:c>
      <x:c r="M1046" s="26" t="n">
        <x:v>4248</x:v>
      </x:c>
      <x:c r="N1046" s="26" t="n">
        <x:v>4919</x:v>
      </x:c>
    </x:row>
    <x:row r="1047">
      <x:c r="A1047" s="20" t="str">
        <x:v>T2_CONCORDANT_DOMAIN</x:v>
      </x:c>
      <x:c r="B1047" s="20" t="str">
        <x:v>NYC-V1-R04</x:v>
      </x:c>
      <x:c r="C1047" s="20" t="str">
        <x:v>V1</x:v>
      </x:c>
      <x:c r="D1047" s="20" t="str">
        <x:v>self_care_difficulty</x:v>
      </x:c>
      <x:c r="E1047" s="20" t="str">
        <x:v>disability</x:v>
      </x:c>
      <x:c r="F1047" s="50" t="n">
        <x:v>1897</x:v>
      </x:c>
      <x:c r="G1047" s="50" t="n">
        <x:v>294.5362466572979</x:v>
      </x:c>
      <x:c r="H1047" s="50" t="n">
        <x:v>1896.972</x:v>
      </x:c>
      <x:c r="I1047" s="50" t="n">
        <x:v>285.38691439326175</x:v>
      </x:c>
      <x:c r="J1047" s="42" t="n">
        <x:v>0.9689364811025052</x:v>
      </x:c>
      <x:c r="K1047" s="42" t="n">
        <x:v>-0.0000950647002458712</x:v>
      </x:c>
      <x:c r="L1047" s="26" t="n">
        <x:v>1401</x:v>
      </x:c>
      <x:c r="M1047" s="26" t="n">
        <x:v>1912</x:v>
      </x:c>
      <x:c r="N1047" s="26" t="n">
        <x:v>2339</x:v>
      </x:c>
    </x:row>
    <x:row r="1048">
      <x:c r="A1048" s="20" t="str">
        <x:v>T2_CONCORDANT_DOMAIN</x:v>
      </x:c>
      <x:c r="B1048" s="20" t="str">
        <x:v>NYC-V1-R04</x:v>
      </x:c>
      <x:c r="C1048" s="20" t="str">
        <x:v>V1</x:v>
      </x:c>
      <x:c r="D1048" s="20" t="str">
        <x:v>independent_living_difficulty</x:v>
      </x:c>
      <x:c r="E1048" s="20" t="str">
        <x:v>disability</x:v>
      </x:c>
      <x:c r="F1048" s="50" t="n">
        <x:v>2693</x:v>
      </x:c>
      <x:c r="G1048" s="50" t="n">
        <x:v>337.84847409557983</x:v>
      </x:c>
      <x:c r="H1048" s="50" t="n">
        <x:v>2692.998</x:v>
      </x:c>
      <x:c r="I1048" s="50" t="n">
        <x:v>338.87639812947907</x:v>
      </x:c>
      <x:c r="J1048" s="42" t="n">
        <x:v>1.0030425593504633</x:v>
      </x:c>
      <x:c r="K1048" s="42" t="n">
        <x:v>-0.000005919813624456068</x:v>
      </x:c>
      <x:c r="L1048" s="26" t="n">
        <x:v>2144</x:v>
      </x:c>
      <x:c r="M1048" s="26" t="n">
        <x:v>2687</x:v>
      </x:c>
      <x:c r="N1048" s="26" t="n">
        <x:v>3248</x:v>
      </x:c>
    </x:row>
    <x:row r="1049">
      <x:c r="A1049" s="20" t="str">
        <x:v>T2_CONCORDANT_DOMAIN</x:v>
      </x:c>
      <x:c r="B1049" s="20" t="str">
        <x:v>NYC-V1-R04</x:v>
      </x:c>
      <x:c r="C1049" s="20" t="str">
        <x:v>V1</x:v>
      </x:c>
      <x:c r="D1049" s="20" t="str">
        <x:v>households</x:v>
      </x:c>
      <x:c r="E1049" s="20" t="str">
        <x:v>household</x:v>
      </x:c>
      <x:c r="F1049" s="50" t="n">
        <x:v>14422</x:v>
      </x:c>
      <x:c r="G1049" s="50" t="n">
        <x:v>406.926344686603</x:v>
      </x:c>
      <x:c r="H1049" s="50" t="n">
        <x:v>14423.781</x:v>
      </x:c>
      <x:c r="I1049" s="50" t="n">
        <x:v>343.40580744592484</x:v>
      </x:c>
      <x:c r="J1049" s="42" t="n">
        <x:v>0.843901634607612</x:v>
      </x:c>
      <x:c r="K1049" s="42" t="n">
        <x:v>0.004376713435382287</x:v>
      </x:c>
      <x:c r="L1049" s="26" t="n">
        <x:v>13849</x:v>
      </x:c>
      <x:c r="M1049" s="26" t="n">
        <x:v>14436</x:v>
      </x:c>
      <x:c r="N1049" s="26" t="n">
        <x:v>14975</x:v>
      </x:c>
    </x:row>
    <x:row r="1050">
      <x:c r="A1050" s="20" t="str">
        <x:v>T2_CONCORDANT_DOMAIN</x:v>
      </x:c>
      <x:c r="B1050" s="20" t="str">
        <x:v>NYC-V1-R04</x:v>
      </x:c>
      <x:c r="C1050" s="20" t="str">
        <x:v>V1</x:v>
      </x:c>
      <x:c r="D1050" s="20" t="str">
        <x:v>family_households</x:v>
      </x:c>
      <x:c r="E1050" s="20" t="str">
        <x:v>household</x:v>
      </x:c>
      <x:c r="F1050" s="50" t="n">
        <x:v>7709</x:v>
      </x:c>
      <x:c r="G1050" s="50" t="n">
        <x:v>401.6298669172899</x:v>
      </x:c>
      <x:c r="H1050" s="50" t="n">
        <x:v>7710.775</x:v>
      </x:c>
      <x:c r="I1050" s="50" t="n">
        <x:v>421.19337391895573</x:v>
      </x:c>
      <x:c r="J1050" s="42" t="n">
        <x:v>1.0487102892815854</x:v>
      </x:c>
      <x:c r="K1050" s="42" t="n">
        <x:v>0.0044194920403296915</x:v>
      </x:c>
      <x:c r="L1050" s="26" t="n">
        <x:v>6987</x:v>
      </x:c>
      <x:c r="M1050" s="26" t="n">
        <x:v>7708</x:v>
      </x:c>
      <x:c r="N1050" s="26" t="n">
        <x:v>8409</x:v>
      </x:c>
    </x:row>
    <x:row r="1051">
      <x:c r="A1051" s="20" t="str">
        <x:v>T2_CONCORDANT_DOMAIN</x:v>
      </x:c>
      <x:c r="B1051" s="20" t="str">
        <x:v>NYC-V1-R04</x:v>
      </x:c>
      <x:c r="C1051" s="20" t="str">
        <x:v>V1</x:v>
      </x:c>
      <x:c r="D1051" s="20" t="str">
        <x:v>nonfamily_households</x:v>
      </x:c>
      <x:c r="E1051" s="20" t="str">
        <x:v>household</x:v>
      </x:c>
      <x:c r="F1051" s="50" t="n">
        <x:v>6713</x:v>
      </x:c>
      <x:c r="G1051" s="50" t="n">
        <x:v>377.83792821790666</x:v>
      </x:c>
      <x:c r="H1051" s="50" t="n">
        <x:v>6713.006</x:v>
      </x:c>
      <x:c r="I1051" s="50" t="n">
        <x:v>366.843315302299</x:v>
      </x:c>
      <x:c r="J1051" s="42" t="n">
        <x:v>0.9709012460250765</x:v>
      </x:c>
      <x:c r="K1051" s="42" t="n">
        <x:v>0.000015879824528501402</x:v>
      </x:c>
      <x:c r="L1051" s="26" t="n">
        <x:v>6099</x:v>
      </x:c>
      <x:c r="M1051" s="26" t="n">
        <x:v>6715</x:v>
      </x:c>
      <x:c r="N1051" s="26" t="n">
        <x:v>7320</x:v>
      </x:c>
    </x:row>
    <x:row r="1052">
      <x:c r="A1052" s="20" t="str">
        <x:v>T2_CONCORDANT_DOMAIN</x:v>
      </x:c>
      <x:c r="B1052" s="20" t="str">
        <x:v>NYC-V1-R04</x:v>
      </x:c>
      <x:c r="C1052" s="20" t="str">
        <x:v>V1</x:v>
      </x:c>
      <x:c r="D1052" s="20" t="str">
        <x:v>living_alone_households</x:v>
      </x:c>
      <x:c r="E1052" s="20" t="str">
        <x:v>household</x:v>
      </x:c>
      <x:c r="F1052" s="50" t="n">
        <x:v>5992</x:v>
      </x:c>
      <x:c r="G1052" s="50" t="n">
        <x:v>351.0147432801078</x:v>
      </x:c>
      <x:c r="H1052" s="50" t="n">
        <x:v>5991.944</x:v>
      </x:c>
      <x:c r="I1052" s="50" t="n">
        <x:v>337.4980233716633</x:v>
      </x:c>
      <x:c r="J1052" s="42" t="n">
        <x:v>0.9614924439294613</x:v>
      </x:c>
      <x:c r="K1052" s="42" t="n">
        <x:v>-0.00015953745838788767</x:v>
      </x:c>
      <x:c r="L1052" s="26" t="n">
        <x:v>5432</x:v>
      </x:c>
      <x:c r="M1052" s="26" t="n">
        <x:v>5997</x:v>
      </x:c>
      <x:c r="N1052" s="26" t="n">
        <x:v>6538</x:v>
      </x:c>
    </x:row>
    <x:row r="1053">
      <x:c r="A1053" s="20" t="str">
        <x:v>T2_CONCORDANT_DOMAIN</x:v>
      </x:c>
      <x:c r="B1053" s="20" t="str">
        <x:v>NYC-V1-R04</x:v>
      </x:c>
      <x:c r="C1053" s="20" t="str">
        <x:v>V1</x:v>
      </x:c>
      <x:c r="D1053" s="20" t="str">
        <x:v>households_with_children</x:v>
      </x:c>
      <x:c r="E1053" s="20" t="str">
        <x:v>household</x:v>
      </x:c>
      <x:c r="F1053" s="50" t="n">
        <x:v>4521</x:v>
      </x:c>
      <x:c r="G1053" s="50" t="n">
        <x:v>457.9813314972566</x:v>
      </x:c>
      <x:c r="H1053" s="50" t="n">
        <x:v>4521.018</x:v>
      </x:c>
      <x:c r="I1053" s="50" t="n">
        <x:v>457.19125704842776</x:v>
      </x:c>
      <x:c r="J1053" s="42" t="n">
        <x:v>0.9982748763006434</x:v>
      </x:c>
      <x:c r="K1053" s="42" t="n">
        <x:v>0.0000393029120667049</x:v>
      </x:c>
      <x:c r="L1053" s="26" t="n">
        <x:v>3755</x:v>
      </x:c>
      <x:c r="M1053" s="26" t="n">
        <x:v>4531</x:v>
      </x:c>
      <x:c r="N1053" s="26" t="n">
        <x:v>5246</x:v>
      </x:c>
    </x:row>
    <x:row r="1054">
      <x:c r="A1054" s="20" t="str">
        <x:v>T2_CONCORDANT_DOMAIN</x:v>
      </x:c>
      <x:c r="B1054" s="20" t="str">
        <x:v>NYC-V1-R04</x:v>
      </x:c>
      <x:c r="C1054" s="20" t="str">
        <x:v>V1</x:v>
      </x:c>
      <x:c r="D1054" s="20" t="str">
        <x:v>households_with_age65</x:v>
      </x:c>
      <x:c r="E1054" s="20" t="str">
        <x:v>household</x:v>
      </x:c>
      <x:c r="F1054" s="50" t="n">
        <x:v>3740</x:v>
      </x:c>
      <x:c r="G1054" s="50" t="n">
        <x:v>266.7009561287698</x:v>
      </x:c>
      <x:c r="H1054" s="50" t="n">
        <x:v>3739.875</x:v>
      </x:c>
      <x:c r="I1054" s="50" t="n">
        <x:v>268.4489452600088</x:v>
      </x:c>
      <x:c r="J1054" s="42" t="n">
        <x:v>1.0065541164779142</x:v>
      </x:c>
      <x:c r="K1054" s="42" t="n">
        <x:v>-0.000468689733304319</x:v>
      </x:c>
      <x:c r="L1054" s="26" t="n">
        <x:v>3298</x:v>
      </x:c>
      <x:c r="M1054" s="26" t="n">
        <x:v>3731</x:v>
      </x:c>
      <x:c r="N1054" s="26" t="n">
        <x:v>4177</x:v>
      </x:c>
    </x:row>
    <x:row r="1055">
      <x:c r="A1055" s="20" t="str">
        <x:v>T2_CONCORDANT_DOMAIN</x:v>
      </x:c>
      <x:c r="B1055" s="20" t="str">
        <x:v>NYC-V1-R04</x:v>
      </x:c>
      <x:c r="C1055" s="20" t="str">
        <x:v>V1</x:v>
      </x:c>
      <x:c r="D1055" s="20" t="str">
        <x:v>age65_one_person_households</x:v>
      </x:c>
      <x:c r="E1055" s="20" t="str">
        <x:v>household</x:v>
      </x:c>
      <x:c r="F1055" s="50" t="n">
        <x:v>2144</x:v>
      </x:c>
      <x:c r="G1055" s="50" t="n">
        <x:v>246.10323037294737</x:v>
      </x:c>
      <x:c r="H1055" s="50" t="n">
        <x:v>2144.043</x:v>
      </x:c>
      <x:c r="I1055" s="50" t="n">
        <x:v>254.16556668102444</x:v>
      </x:c>
      <x:c r="J1055" s="42" t="n">
        <x:v>1.0327599775746923</x:v>
      </x:c>
      <x:c r="K1055" s="42" t="n">
        <x:v>0.0001747234277866138</x:v>
      </x:c>
      <x:c r="L1055" s="26" t="n">
        <x:v>1740</x:v>
      </x:c>
      <x:c r="M1055" s="26" t="n">
        <x:v>2142</x:v>
      </x:c>
      <x:c r="N1055" s="26" t="n">
        <x:v>2576</x:v>
      </x:c>
    </x:row>
    <x:row r="1056">
      <x:c r="A1056" s="20" t="str">
        <x:v>T2_CONCORDANT_DOMAIN</x:v>
      </x:c>
      <x:c r="B1056" s="20" t="str">
        <x:v>NYC-V1-R04</x:v>
      </x:c>
      <x:c r="C1056" s="20" t="str">
        <x:v>V1</x:v>
      </x:c>
      <x:c r="D1056" s="20" t="str">
        <x:v>no_vehicle_households</x:v>
      </x:c>
      <x:c r="E1056" s="20" t="str">
        <x:v>household</x:v>
      </x:c>
      <x:c r="F1056" s="50" t="n">
        <x:v>11951</x:v>
      </x:c>
      <x:c r="G1056" s="50" t="n">
        <x:v>449.7506671942774</x:v>
      </x:c>
      <x:c r="H1056" s="50" t="n">
        <x:v>11950.851</x:v>
      </x:c>
      <x:c r="I1056" s="50" t="n">
        <x:v>439.66077195196004</x:v>
      </x:c>
      <x:c r="J1056" s="42" t="n">
        <x:v>0.9775655802685916</x:v>
      </x:c>
      <x:c r="K1056" s="42" t="n">
        <x:v>-0.00033129467251033425</x:v>
      </x:c>
      <x:c r="L1056" s="26" t="n">
        <x:v>11237</x:v>
      </x:c>
      <x:c r="M1056" s="26" t="n">
        <x:v>11946</x:v>
      </x:c>
      <x:c r="N1056" s="26" t="n">
        <x:v>12697</x:v>
      </x:c>
    </x:row>
    <x:row r="1057">
      <x:c r="A1057" s="20" t="str">
        <x:v>T2_CONCORDANT_DOMAIN</x:v>
      </x:c>
      <x:c r="B1057" s="20" t="str">
        <x:v>NYC-V1-R04</x:v>
      </x:c>
      <x:c r="C1057" s="20" t="str">
        <x:v>V1</x:v>
      </x:c>
      <x:c r="D1057" s="20" t="str">
        <x:v>limited_english_households</x:v>
      </x:c>
      <x:c r="E1057" s="20" t="str">
        <x:v>household</x:v>
      </x:c>
      <x:c r="F1057" s="50" t="n">
        <x:v>1754</x:v>
      </x:c>
      <x:c r="G1057" s="50" t="n">
        <x:v>262.8263803913474</x:v>
      </x:c>
      <x:c r="H1057" s="50" t="n">
        <x:v>1753.887</x:v>
      </x:c>
      <x:c r="I1057" s="50" t="n">
        <x:v>260.1235792993544</x:v>
      </x:c>
      <x:c r="J1057" s="42" t="n">
        <x:v>0.9897164010402283</x:v>
      </x:c>
      <x:c r="K1057" s="42" t="n">
        <x:v>-0.0004299416208974147</x:v>
      </x:c>
      <x:c r="L1057" s="26" t="n">
        <x:v>1328</x:v>
      </x:c>
      <x:c r="M1057" s="26" t="n">
        <x:v>1763</x:v>
      </x:c>
      <x:c r="N1057" s="26" t="n">
        <x:v>2173</x:v>
      </x:c>
    </x:row>
    <x:row r="1058">
      <x:c r="A1058" s="20" t="str">
        <x:v>T2_CONCORDANT_DOMAIN</x:v>
      </x:c>
      <x:c r="B1058" s="20" t="str">
        <x:v>NYC-V1-R04</x:v>
      </x:c>
      <x:c r="C1058" s="20" t="str">
        <x:v>V1</x:v>
      </x:c>
      <x:c r="D1058" s="20" t="str">
        <x:v>housing_units</x:v>
      </x:c>
      <x:c r="E1058" s="20" t="str">
        <x:v>housing</x:v>
      </x:c>
      <x:c r="F1058" s="50" t="n">
        <x:v>15534</x:v>
      </x:c>
      <x:c r="G1058" s="50" t="n">
        <x:v>395.74170869394095</x:v>
      </x:c>
      <x:c r="H1058" s="50" t="n">
        <x:v>15535.659</x:v>
      </x:c>
      <x:c r="I1058" s="50" t="n">
        <x:v>425.6841525317999</x:v>
      </x:c>
      <x:c r="J1058" s="42" t="n">
        <x:v>1.0756615822392779</x:v>
      </x:c>
      <x:c r="K1058" s="42" t="n">
        <x:v>0.004192128258289524</x:v>
      </x:c>
      <x:c r="L1058" s="26" t="n">
        <x:v>14831</x:v>
      </x:c>
      <x:c r="M1058" s="26" t="n">
        <x:v>15541</x:v>
      </x:c>
      <x:c r="N1058" s="26" t="n">
        <x:v>16210</x:v>
      </x:c>
    </x:row>
    <x:row r="1059">
      <x:c r="A1059" s="20" t="str">
        <x:v>T2_CONCORDANT_DOMAIN</x:v>
      </x:c>
      <x:c r="B1059" s="20" t="str">
        <x:v>NYC-V1-R04</x:v>
      </x:c>
      <x:c r="C1059" s="20" t="str">
        <x:v>V1</x:v>
      </x:c>
      <x:c r="D1059" s="20" t="str">
        <x:v>occupied_housing_units</x:v>
      </x:c>
      <x:c r="E1059" s="20" t="str">
        <x:v>housing</x:v>
      </x:c>
      <x:c r="F1059" s="50" t="n">
        <x:v>14422</x:v>
      </x:c>
      <x:c r="G1059" s="50" t="n">
        <x:v>406.926344686603</x:v>
      </x:c>
      <x:c r="H1059" s="50" t="n">
        <x:v>14423.781</x:v>
      </x:c>
      <x:c r="I1059" s="50" t="n">
        <x:v>343.40580744592484</x:v>
      </x:c>
      <x:c r="J1059" s="42" t="n">
        <x:v>0.843901634607612</x:v>
      </x:c>
      <x:c r="K1059" s="42" t="n">
        <x:v>0.004376713435382287</x:v>
      </x:c>
      <x:c r="L1059" s="26" t="n">
        <x:v>13849</x:v>
      </x:c>
      <x:c r="M1059" s="26" t="n">
        <x:v>14436</x:v>
      </x:c>
      <x:c r="N1059" s="26" t="n">
        <x:v>14975</x:v>
      </x:c>
    </x:row>
    <x:row r="1060">
      <x:c r="A1060" s="20" t="str">
        <x:v>T2_CONCORDANT_DOMAIN</x:v>
      </x:c>
      <x:c r="B1060" s="20" t="str">
        <x:v>NYC-V1-R04</x:v>
      </x:c>
      <x:c r="C1060" s="20" t="str">
        <x:v>V1</x:v>
      </x:c>
      <x:c r="D1060" s="20" t="str">
        <x:v>vacant_housing_units</x:v>
      </x:c>
      <x:c r="E1060" s="20" t="str">
        <x:v>housing</x:v>
      </x:c>
      <x:c r="F1060" s="50" t="n">
        <x:v>1112</x:v>
      </x:c>
      <x:c r="G1060" s="50" t="n">
        <x:v>204.29892314938914</x:v>
      </x:c>
      <x:c r="H1060" s="50" t="n">
        <x:v>1111.878</x:v>
      </x:c>
      <x:c r="I1060" s="50" t="n">
        <x:v>202.19376210317031</x:v>
      </x:c>
      <x:c r="J1060" s="42" t="n">
        <x:v>0.989695682122223</x:v>
      </x:c>
      <x:c r="K1060" s="42" t="n">
        <x:v>-0.000597164185299504</x:v>
      </x:c>
      <x:c r="L1060" s="26" t="n">
        <x:v>778</x:v>
      </x:c>
      <x:c r="M1060" s="26" t="n">
        <x:v>1110</x:v>
      </x:c>
      <x:c r="N1060" s="26" t="n">
        <x:v>1439</x:v>
      </x:c>
    </x:row>
    <x:row r="1061">
      <x:c r="A1061" s="20" t="str">
        <x:v>T2_CONCORDANT_DOMAIN</x:v>
      </x:c>
      <x:c r="B1061" s="20" t="str">
        <x:v>NYC-V1-R04</x:v>
      </x:c>
      <x:c r="C1061" s="20" t="str">
        <x:v>V1</x:v>
      </x:c>
      <x:c r="D1061" s="20" t="str">
        <x:v>owner_occupied_units</x:v>
      </x:c>
      <x:c r="E1061" s="20" t="str">
        <x:v>housing</x:v>
      </x:c>
      <x:c r="F1061" s="50" t="n">
        <x:v>1357</x:v>
      </x:c>
      <x:c r="G1061" s="50" t="n">
        <x:v>195.72296883493016</x:v>
      </x:c>
      <x:c r="H1061" s="50" t="n">
        <x:v>1357.038</x:v>
      </x:c>
      <x:c r="I1061" s="50" t="n">
        <x:v>178.08351494255243</x:v>
      </x:c>
      <x:c r="J1061" s="42" t="n">
        <x:v>0.9098754019654455</x:v>
      </x:c>
      <x:c r="K1061" s="42" t="n">
        <x:v>0.00019415197013519426</x:v>
      </x:c>
      <x:c r="L1061" s="26" t="n">
        <x:v>1069</x:v>
      </x:c>
      <x:c r="M1061" s="26" t="n">
        <x:v>1366</x:v>
      </x:c>
      <x:c r="N1061" s="26" t="n">
        <x:v>1640</x:v>
      </x:c>
    </x:row>
    <x:row r="1062">
      <x:c r="A1062" s="20" t="str">
        <x:v>T2_CONCORDANT_DOMAIN</x:v>
      </x:c>
      <x:c r="B1062" s="20" t="str">
        <x:v>NYC-V1-R04</x:v>
      </x:c>
      <x:c r="C1062" s="20" t="str">
        <x:v>V1</x:v>
      </x:c>
      <x:c r="D1062" s="20" t="str">
        <x:v>renter_occupied_units</x:v>
      </x:c>
      <x:c r="E1062" s="20" t="str">
        <x:v>housing</x:v>
      </x:c>
      <x:c r="F1062" s="50" t="n">
        <x:v>13065</x:v>
      </x:c>
      <x:c r="G1062" s="50" t="n">
        <x:v>417.4154295644799</x:v>
      </x:c>
      <x:c r="H1062" s="50" t="n">
        <x:v>13066.743</x:v>
      </x:c>
      <x:c r="I1062" s="50" t="n">
        <x:v>287.00454100511644</x:v>
      </x:c>
      <x:c r="J1062" s="42" t="n">
        <x:v>0.6875753043067174</x:v>
      </x:c>
      <x:c r="K1062" s="42" t="n">
        <x:v>0.004175696144771152</x:v>
      </x:c>
      <x:c r="L1062" s="26" t="n">
        <x:v>12596</x:v>
      </x:c>
      <x:c r="M1062" s="26" t="n">
        <x:v>13077</x:v>
      </x:c>
      <x:c r="N1062" s="26" t="n">
        <x:v>13530</x:v>
      </x:c>
    </x:row>
    <x:row r="1063">
      <x:c r="A1063" s="20" t="str">
        <x:v>T2_CONCORDANT_DOMAIN</x:v>
      </x:c>
      <x:c r="B1063" s="20" t="str">
        <x:v>NYC-V1-R04</x:v>
      </x:c>
      <x:c r="C1063" s="20" t="str">
        <x:v>V1</x:v>
      </x:c>
      <x:c r="D1063" s="20" t="str">
        <x:v>one_unit_structures</x:v>
      </x:c>
      <x:c r="E1063" s="20" t="str">
        <x:v>housing</x:v>
      </x:c>
      <x:c r="F1063" s="50" t="n">
        <x:v>123</x:v>
      </x:c>
      <x:c r="G1063" s="50" t="n">
        <x:v>90.86671765451966</x:v>
      </x:c>
      <x:c r="H1063" s="50" t="n">
        <x:v>125.913</x:v>
      </x:c>
      <x:c r="I1063" s="50" t="n">
        <x:v>79.14306701193766</x:v>
      </x:c>
      <x:c r="J1063" s="42" t="n">
        <x:v>0.8709797058241283</x:v>
      </x:c>
      <x:c r="K1063" s="42" t="n">
        <x:v>0.03205794239289445</x:v>
      </x:c>
      <x:c r="L1063" s="26" t="n">
        <x:v>0</x:v>
      </x:c>
      <x:c r="M1063" s="26" t="n">
        <x:v>122</x:v>
      </x:c>
      <x:c r="N1063" s="26" t="n">
        <x:v>263</x:v>
      </x:c>
    </x:row>
    <x:row r="1064">
      <x:c r="A1064" s="20" t="str">
        <x:v>T2_CONCORDANT_DOMAIN</x:v>
      </x:c>
      <x:c r="B1064" s="20" t="str">
        <x:v>NYC-V1-R04</x:v>
      </x:c>
      <x:c r="C1064" s="20" t="str">
        <x:v>V1</x:v>
      </x:c>
      <x:c r="D1064" s="20" t="str">
        <x:v>two_to_four_unit_structures</x:v>
      </x:c>
      <x:c r="E1064" s="20" t="str">
        <x:v>housing</x:v>
      </x:c>
      <x:c r="F1064" s="50" t="n">
        <x:v>521</x:v>
      </x:c>
      <x:c r="G1064" s="50" t="n">
        <x:v>158.51697656256852</x:v>
      </x:c>
      <x:c r="H1064" s="50" t="n">
        <x:v>520.943</x:v>
      </x:c>
      <x:c r="I1064" s="50" t="n">
        <x:v>134.25050073630246</x:v>
      </x:c>
      <x:c r="J1064" s="42" t="n">
        <x:v>0.8469156026535253</x:v>
      </x:c>
      <x:c r="K1064" s="42" t="n">
        <x:v>-0.0003595829370207411</x:v>
      </x:c>
      <x:c r="L1064" s="26" t="n">
        <x:v>314</x:v>
      </x:c>
      <x:c r="M1064" s="26" t="n">
        <x:v>519</x:v>
      </x:c>
      <x:c r="N1064" s="26" t="n">
        <x:v>742</x:v>
      </x:c>
    </x:row>
    <x:row r="1065">
      <x:c r="A1065" s="20" t="str">
        <x:v>T2_CONCORDANT_DOMAIN</x:v>
      </x:c>
      <x:c r="B1065" s="20" t="str">
        <x:v>NYC-V1-R04</x:v>
      </x:c>
      <x:c r="C1065" s="20" t="str">
        <x:v>V1</x:v>
      </x:c>
      <x:c r="D1065" s="20" t="str">
        <x:v>five_to_nineteen_unit_structures</x:v>
      </x:c>
      <x:c r="E1065" s="20" t="str">
        <x:v>housing</x:v>
      </x:c>
      <x:c r="F1065" s="50" t="n">
        <x:v>2270</x:v>
      </x:c>
      <x:c r="G1065" s="50" t="n">
        <x:v>286.8231731145651</x:v>
      </x:c>
      <x:c r="H1065" s="50" t="n">
        <x:v>2269.82</x:v>
      </x:c>
      <x:c r="I1065" s="50" t="n">
        <x:v>216.80383184229356</x:v>
      </x:c>
      <x:c r="J1065" s="42" t="n">
        <x:v>0.7558797620431321</x:v>
      </x:c>
      <x:c r="K1065" s="42" t="n">
        <x:v>-0.0006275643562730522</x:v>
      </x:c>
      <x:c r="L1065" s="26" t="n">
        <x:v>1912</x:v>
      </x:c>
      <x:c r="M1065" s="26" t="n">
        <x:v>2265</x:v>
      </x:c>
      <x:c r="N1065" s="26" t="n">
        <x:v>2626</x:v>
      </x:c>
    </x:row>
    <x:row r="1066">
      <x:c r="A1066" s="20" t="str">
        <x:v>T2_CONCORDANT_DOMAIN</x:v>
      </x:c>
      <x:c r="B1066" s="20" t="str">
        <x:v>NYC-V1-R04</x:v>
      </x:c>
      <x:c r="C1066" s="20" t="str">
        <x:v>V1</x:v>
      </x:c>
      <x:c r="D1066" s="20" t="str">
        <x:v>twenty_to_forty_nine_unit_structures</x:v>
      </x:c>
      <x:c r="E1066" s="20" t="str">
        <x:v>housing</x:v>
      </x:c>
      <x:c r="F1066" s="50" t="n">
        <x:v>2860</x:v>
      </x:c>
      <x:c r="G1066" s="50" t="n">
        <x:v>331.33208683289763</x:v>
      </x:c>
      <x:c r="H1066" s="50" t="n">
        <x:v>2859.784</x:v>
      </x:c>
      <x:c r="I1066" s="50" t="n">
        <x:v>243.6996488771842</x:v>
      </x:c>
      <x:c r="J1066" s="42" t="n">
        <x:v>0.7355147858048848</x:v>
      </x:c>
      <x:c r="K1066" s="42" t="n">
        <x:v>-0.0006519139213608094</x:v>
      </x:c>
      <x:c r="L1066" s="26" t="n">
        <x:v>2461</x:v>
      </x:c>
      <x:c r="M1066" s="26" t="n">
        <x:v>2865</x:v>
      </x:c>
      <x:c r="N1066" s="26" t="n">
        <x:v>3267</x:v>
      </x:c>
    </x:row>
    <x:row r="1067">
      <x:c r="A1067" s="20" t="str">
        <x:v>T2_CONCORDANT_DOMAIN</x:v>
      </x:c>
      <x:c r="B1067" s="20" t="str">
        <x:v>NYC-V1-R04</x:v>
      </x:c>
      <x:c r="C1067" s="20" t="str">
        <x:v>V1</x:v>
      </x:c>
      <x:c r="D1067" s="20" t="str">
        <x:v>fifty_plus_unit_structures</x:v>
      </x:c>
      <x:c r="E1067" s="20" t="str">
        <x:v>housing</x:v>
      </x:c>
      <x:c r="F1067" s="50" t="n">
        <x:v>8648</x:v>
      </x:c>
      <x:c r="G1067" s="50" t="n">
        <x:v>471.44728630894997</x:v>
      </x:c>
      <x:c r="H1067" s="50" t="n">
        <x:v>8627.051</x:v>
      </x:c>
      <x:c r="I1067" s="50" t="n">
        <x:v>295.0800885482747</x:v>
      </x:c>
      <x:c r="J1067" s="42" t="n">
        <x:v>0.6259026133303526</x:v>
      </x:c>
      <x:c r="K1067" s="42" t="n">
        <x:v>-0.04443550871617951</x:v>
      </x:c>
      <x:c r="L1067" s="26" t="n">
        <x:v>8170</x:v>
      </x:c>
      <x:c r="M1067" s="26" t="n">
        <x:v>8622</x:v>
      </x:c>
      <x:c r="N1067" s="26" t="n">
        <x:v>9105</x:v>
      </x:c>
    </x:row>
    <x:row r="1068">
      <x:c r="A1068" s="20" t="str">
        <x:v>T2_CONCORDANT_DOMAIN</x:v>
      </x:c>
      <x:c r="B1068" s="20" t="str">
        <x:v>NYC-V1-R04</x:v>
      </x:c>
      <x:c r="C1068" s="20" t="str">
        <x:v>V1</x:v>
      </x:c>
      <x:c r="D1068" s="20" t="str">
        <x:v>mobile_or_other_units</x:v>
      </x:c>
      <x:c r="E1068" s="20" t="str">
        <x:v>housing</x:v>
      </x:c>
      <x:c r="F1068" s="50" t="n">
        <x:v>0</x:v>
      </x:c>
      <x:c r="G1068" s="50" t="n">
        <x:v>54.38606503670527</x:v>
      </x:c>
      <x:c r="H1068" s="50" t="n">
        <x:v>20.27</x:v>
      </x:c>
      <x:c r="I1068" s="50" t="n">
        <x:v>29.824395963616677</x:v>
      </x:c>
      <x:c r="J1068" s="42" t="n">
        <x:v>0.5483830452430808</x:v>
      </x:c>
      <x:c r="K1068" s="42" t="n">
        <x:v>0.37270576546252676</x:v>
      </x:c>
      <x:c r="L1068" s="26" t="n">
        <x:v>0</x:v>
      </x:c>
      <x:c r="M1068" s="26" t="n">
        <x:v>0</x:v>
      </x:c>
      <x:c r="N1068" s="26" t="n">
        <x:v>84</x:v>
      </x:c>
    </x:row>
    <x:row r="1069">
      <x:c r="A1069" s="20" t="str">
        <x:v>T2_CONCORDANT_DOMAIN</x:v>
      </x:c>
      <x:c r="B1069" s="20" t="str">
        <x:v>NYC-V1-R04</x:v>
      </x:c>
      <x:c r="C1069" s="20" t="str">
        <x:v>V1</x:v>
      </x:c>
      <x:c r="D1069" s="20" t="str">
        <x:v>electric_heat_households</x:v>
      </x:c>
      <x:c r="E1069" s="20" t="str">
        <x:v>housing</x:v>
      </x:c>
      <x:c r="F1069" s="50" t="n">
        <x:v>2858</x:v>
      </x:c>
      <x:c r="G1069" s="50" t="n">
        <x:v>252.70684596979166</x:v>
      </x:c>
      <x:c r="H1069" s="50" t="n">
        <x:v>2857.898</x:v>
      </x:c>
      <x:c r="I1069" s="50" t="n">
        <x:v>247.12543085359422</x:v>
      </x:c>
      <x:c r="J1069" s="42" t="n">
        <x:v>0.9779134787790251</x:v>
      </x:c>
      <x:c r="K1069" s="42" t="n">
        <x:v>-0.00040362974579665617</x:v>
      </x:c>
      <x:c r="L1069" s="26" t="n">
        <x:v>2459</x:v>
      </x:c>
      <x:c r="M1069" s="26" t="n">
        <x:v>2864</x:v>
      </x:c>
      <x:c r="N1069" s="26" t="n">
        <x:v>3257</x:v>
      </x:c>
    </x:row>
    <x:row r="1070">
      <x:c r="A1070" s="20" t="str">
        <x:v>T2_CONCORDANT_DOMAIN</x:v>
      </x:c>
      <x:c r="B1070" s="20" t="str">
        <x:v>NYC-V1-R04</x:v>
      </x:c>
      <x:c r="C1070" s="20" t="str">
        <x:v>V1</x:v>
      </x:c>
      <x:c r="D1070" s="20" t="str">
        <x:v>group_quarters_population</x:v>
      </x:c>
      <x:c r="E1070" s="20" t="str">
        <x:v>population</x:v>
      </x:c>
      <x:c r="F1070" s="50" t="n">
        <x:v>1116</x:v>
      </x:c>
      <x:c r="G1070" s="50" t="n">
        <x:v>26.646763405712147</x:v>
      </x:c>
      <x:c r="H1070" s="50" t="n">
        <x:v>1115.991</x:v>
      </x:c>
      <x:c r="I1070" s="50" t="n">
        <x:v>26.188943846206932</x:v>
      </x:c>
      <x:c r="J1070" s="42" t="n">
        <x:v>0.9828189430538091</x:v>
      </x:c>
      <x:c r="K1070" s="42" t="n">
        <x:v>-0.00033775208879909457</x:v>
      </x:c>
      <x:c r="L1070" s="26" t="n">
        <x:v>1077</x:v>
      </x:c>
      <x:c r="M1070" s="26" t="n">
        <x:v>1115</x:v>
      </x:c>
      <x:c r="N1070" s="26" t="n">
        <x:v>1158</x:v>
      </x:c>
    </x:row>
    <x:row r="1071">
      <x:c r="A1071" s="20" t="str">
        <x:v>T2_CONCORDANT_DOMAIN</x:v>
      </x:c>
      <x:c r="B1071" s="20" t="str">
        <x:v>NYC-V2-R01</x:v>
      </x:c>
      <x:c r="C1071" s="20" t="str">
        <x:v>V2</x:v>
      </x:c>
      <x:c r="D1071" s="20" t="str">
        <x:v>acs_population</x:v>
      </x:c>
      <x:c r="E1071" s="20" t="str">
        <x:v>population</x:v>
      </x:c>
      <x:c r="F1071" s="50" t="n">
        <x:v>30574</x:v>
      </x:c>
      <x:c r="G1071" s="50" t="n">
        <x:v>1614.1890688516016</x:v>
      </x:c>
      <x:c r="H1071" s="50" t="n">
        <x:v>31384.674</x:v>
      </x:c>
      <x:c r="I1071" s="50" t="n">
        <x:v>1393.783432237584</x:v>
      </x:c>
      <x:c r="J1071" s="42" t="n">
        <x:v>0.8634573601896444</x:v>
      </x:c>
      <x:c r="K1071" s="42" t="n">
        <x:v>0.5022175008140434</x:v>
      </x:c>
      <x:c r="L1071" s="26" t="n">
        <x:v>29126</x:v>
      </x:c>
      <x:c r="M1071" s="26" t="n">
        <x:v>31367</x:v>
      </x:c>
      <x:c r="N1071" s="26" t="n">
        <x:v>33638</x:v>
      </x:c>
    </x:row>
    <x:row r="1072">
      <x:c r="A1072" s="20" t="str">
        <x:v>T2_CONCORDANT_DOMAIN</x:v>
      </x:c>
      <x:c r="B1072" s="20" t="str">
        <x:v>NYC-V2-R01</x:v>
      </x:c>
      <x:c r="C1072" s="20" t="str">
        <x:v>V2</x:v>
      </x:c>
      <x:c r="D1072" s="20" t="str">
        <x:v>age_under_18</x:v>
      </x:c>
      <x:c r="E1072" s="20" t="str">
        <x:v>population</x:v>
      </x:c>
      <x:c r="F1072" s="50" t="n">
        <x:v>7722</x:v>
      </x:c>
      <x:c r="G1072" s="50" t="n">
        <x:v>870.5698995485659</x:v>
      </x:c>
      <x:c r="H1072" s="50" t="n">
        <x:v>7721.59</x:v>
      </x:c>
      <x:c r="I1072" s="50" t="n">
        <x:v>879.4482401523737</x:v>
      </x:c>
      <x:c r="J1072" s="42" t="n">
        <x:v>1.0101983087267452</x:v>
      </x:c>
      <x:c r="K1072" s="42" t="n">
        <x:v>-0.00047095586490235883</x:v>
      </x:c>
      <x:c r="L1072" s="26" t="n">
        <x:v>6309</x:v>
      </x:c>
      <x:c r="M1072" s="26" t="n">
        <x:v>7714</x:v>
      </x:c>
      <x:c r="N1072" s="26" t="n">
        <x:v>9146</x:v>
      </x:c>
    </x:row>
    <x:row r="1073">
      <x:c r="A1073" s="20" t="str">
        <x:v>T2_CONCORDANT_DOMAIN</x:v>
      </x:c>
      <x:c r="B1073" s="20" t="str">
        <x:v>NYC-V2-R01</x:v>
      </x:c>
      <x:c r="C1073" s="20" t="str">
        <x:v>V2</x:v>
      </x:c>
      <x:c r="D1073" s="20" t="str">
        <x:v>age_65_plus</x:v>
      </x:c>
      <x:c r="E1073" s="20" t="str">
        <x:v>population</x:v>
      </x:c>
      <x:c r="F1073" s="50" t="n">
        <x:v>3199</x:v>
      </x:c>
      <x:c r="G1073" s="50" t="n">
        <x:v>337.42169461965545</x:v>
      </x:c>
      <x:c r="H1073" s="50" t="n">
        <x:v>3304.38</x:v>
      </x:c>
      <x:c r="I1073" s="50" t="n">
        <x:v>301.64702970612944</x:v>
      </x:c>
      <x:c r="J1073" s="42" t="n">
        <x:v>0.8939763936819429</x:v>
      </x:c>
      <x:c r="K1073" s="42" t="n">
        <x:v>0.312309497819295</x:v>
      </x:c>
      <x:c r="L1073" s="26" t="n">
        <x:v>2822</x:v>
      </x:c>
      <x:c r="M1073" s="26" t="n">
        <x:v>3304</x:v>
      </x:c>
      <x:c r="N1073" s="26" t="n">
        <x:v>3813</x:v>
      </x:c>
    </x:row>
    <x:row r="1074">
      <x:c r="A1074" s="20" t="str">
        <x:v>T2_CONCORDANT_DOMAIN</x:v>
      </x:c>
      <x:c r="B1074" s="20" t="str">
        <x:v>NYC-V2-R01</x:v>
      </x:c>
      <x:c r="C1074" s="20" t="str">
        <x:v>V2</x:v>
      </x:c>
      <x:c r="D1074" s="20" t="str">
        <x:v>age_75_plus</x:v>
      </x:c>
      <x:c r="E1074" s="20" t="str">
        <x:v>population</x:v>
      </x:c>
      <x:c r="F1074" s="50" t="n">
        <x:v>1273</x:v>
      </x:c>
      <x:c r="G1074" s="50" t="n">
        <x:v>285.10594522036894</x:v>
      </x:c>
      <x:c r="H1074" s="50" t="n">
        <x:v>1272.932</x:v>
      </x:c>
      <x:c r="I1074" s="50" t="n">
        <x:v>281.5194426191068</x:v>
      </x:c>
      <x:c r="J1074" s="42" t="n">
        <x:v>0.9874204566359008</x:v>
      </x:c>
      <x:c r="K1074" s="42" t="n">
        <x:v>-0.00023850782889646131</x:v>
      </x:c>
      <x:c r="L1074" s="26" t="n">
        <x:v>790</x:v>
      </x:c>
      <x:c r="M1074" s="26" t="n">
        <x:v>1270</x:v>
      </x:c>
      <x:c r="N1074" s="26" t="n">
        <x:v>1737</x:v>
      </x:c>
    </x:row>
    <x:row r="1075">
      <x:c r="A1075" s="20" t="str">
        <x:v>T2_CONCORDANT_DOMAIN</x:v>
      </x:c>
      <x:c r="B1075" s="20" t="str">
        <x:v>NYC-V2-R01</x:v>
      </x:c>
      <x:c r="C1075" s="20" t="str">
        <x:v>V2</x:v>
      </x:c>
      <x:c r="D1075" s="20" t="str">
        <x:v>age_85_plus</x:v>
      </x:c>
      <x:c r="E1075" s="20" t="str">
        <x:v>population</x:v>
      </x:c>
      <x:c r="F1075" s="50" t="n">
        <x:v>217</x:v>
      </x:c>
      <x:c r="G1075" s="50" t="n">
        <x:v>120.80956087992374</x:v>
      </x:c>
      <x:c r="H1075" s="50" t="n">
        <x:v>219.029</x:v>
      </x:c>
      <x:c r="I1075" s="50" t="n">
        <x:v>117.86348866786932</x:v>
      </x:c>
      <x:c r="J1075" s="42" t="n">
        <x:v>0.9756139150693329</x:v>
      </x:c>
      <x:c r="K1075" s="42" t="n">
        <x:v>0.016795028350584607</x:v>
      </x:c>
      <x:c r="L1075" s="26" t="n">
        <x:v>19</x:v>
      </x:c>
      <x:c r="M1075" s="26" t="n">
        <x:v>220</x:v>
      </x:c>
      <x:c r="N1075" s="26" t="n">
        <x:v>415</x:v>
      </x:c>
    </x:row>
    <x:row r="1076">
      <x:c r="A1076" s="20" t="str">
        <x:v>T2_CONCORDANT_DOMAIN</x:v>
      </x:c>
      <x:c r="B1076" s="20" t="str">
        <x:v>NYC-V2-R01</x:v>
      </x:c>
      <x:c r="C1076" s="20" t="str">
        <x:v>V2</x:v>
      </x:c>
      <x:c r="D1076" s="20" t="str">
        <x:v>civilian_noninstitutionalized</x:v>
      </x:c>
      <x:c r="E1076" s="20" t="str">
        <x:v>disability</x:v>
      </x:c>
      <x:c r="F1076" s="50" t="n">
        <x:v>30571</x:v>
      </x:c>
      <x:c r="G1076" s="50" t="n">
        <x:v>1613.9651018531968</x:v>
      </x:c>
      <x:c r="H1076" s="50" t="n">
        <x:v>30570.389</x:v>
      </x:c>
      <x:c r="I1076" s="50" t="n">
        <x:v>1621.383532122254</x:v>
      </x:c>
      <x:c r="J1076" s="42" t="n">
        <x:v>1.004596400665999</x:v>
      </x:c>
      <x:c r="K1076" s="42" t="n">
        <x:v>-0.0003785707629608718</x:v>
      </x:c>
      <x:c r="L1076" s="26" t="n">
        <x:v>27887</x:v>
      </x:c>
      <x:c r="M1076" s="26" t="n">
        <x:v>30577</x:v>
      </x:c>
      <x:c r="N1076" s="26" t="n">
        <x:v>33279</x:v>
      </x:c>
    </x:row>
    <x:row r="1077">
      <x:c r="A1077" s="20" t="str">
        <x:v>T2_CONCORDANT_DOMAIN</x:v>
      </x:c>
      <x:c r="B1077" s="20" t="str">
        <x:v>NYC-V2-R01</x:v>
      </x:c>
      <x:c r="C1077" s="20" t="str">
        <x:v>V2</x:v>
      </x:c>
      <x:c r="D1077" s="20" t="str">
        <x:v>any_disability</x:v>
      </x:c>
      <x:c r="E1077" s="20" t="str">
        <x:v>disability</x:v>
      </x:c>
      <x:c r="F1077" s="50" t="n">
        <x:v>5709</x:v>
      </x:c>
      <x:c r="G1077" s="50" t="n">
        <x:v>804.5654417137241</x:v>
      </x:c>
      <x:c r="H1077" s="50" t="n">
        <x:v>5718.035</x:v>
      </x:c>
      <x:c r="I1077" s="50" t="n">
        <x:v>1060.7696951370365</x:v>
      </x:c>
      <x:c r="J1077" s="42" t="n">
        <x:v>1.3184380538115053</x:v>
      </x:c>
      <x:c r="K1077" s="42" t="n">
        <x:v>0.011229664526424734</x:v>
      </x:c>
      <x:c r="L1077" s="26" t="n">
        <x:v>3952</x:v>
      </x:c>
      <x:c r="M1077" s="26" t="n">
        <x:v>5723</x:v>
      </x:c>
      <x:c r="N1077" s="26" t="n">
        <x:v>7437</x:v>
      </x:c>
    </x:row>
    <x:row r="1078">
      <x:c r="A1078" s="20" t="str">
        <x:v>T2_CONCORDANT_DOMAIN</x:v>
      </x:c>
      <x:c r="B1078" s="20" t="str">
        <x:v>NYC-V2-R01</x:v>
      </x:c>
      <x:c r="C1078" s="20" t="str">
        <x:v>V2</x:v>
      </x:c>
      <x:c r="D1078" s="20" t="str">
        <x:v>disability_under_18</x:v>
      </x:c>
      <x:c r="E1078" s="20" t="str">
        <x:v>disability</x:v>
      </x:c>
      <x:c r="F1078" s="50" t="n">
        <x:v>1281</x:v>
      </x:c>
      <x:c r="G1078" s="50" t="n">
        <x:v>683.9411158864482</x:v>
      </x:c>
      <x:c r="H1078" s="50" t="n">
        <x:v>1289.965</x:v>
      </x:c>
      <x:c r="I1078" s="50" t="n">
        <x:v>660.9323621690515</x:v>
      </x:c>
      <x:c r="J1078" s="42" t="n">
        <x:v>0.9663585750542644</x:v>
      </x:c>
      <x:c r="K1078" s="42" t="n">
        <x:v>0.01310785357359381</x:v>
      </x:c>
      <x:c r="L1078" s="26" t="n">
        <x:v>121</x:v>
      </x:c>
      <x:c r="M1078" s="26" t="n">
        <x:v>1286</x:v>
      </x:c>
      <x:c r="N1078" s="26" t="n">
        <x:v>2330</x:v>
      </x:c>
    </x:row>
    <x:row r="1079">
      <x:c r="A1079" s="20" t="str">
        <x:v>T2_CONCORDANT_DOMAIN</x:v>
      </x:c>
      <x:c r="B1079" s="20" t="str">
        <x:v>NYC-V2-R01</x:v>
      </x:c>
      <x:c r="C1079" s="20" t="str">
        <x:v>V2</x:v>
      </x:c>
      <x:c r="D1079" s="20" t="str">
        <x:v>disability_18_64</x:v>
      </x:c>
      <x:c r="E1079" s="20" t="str">
        <x:v>disability</x:v>
      </x:c>
      <x:c r="F1079" s="50" t="n">
        <x:v>2681</x:v>
      </x:c>
      <x:c r="G1079" s="50" t="n">
        <x:v>386.61654129123866</x:v>
      </x:c>
      <x:c r="H1079" s="50" t="n">
        <x:v>2681.01</x:v>
      </x:c>
      <x:c r="I1079" s="50" t="n">
        <x:v>384.08106978627336</x:v>
      </x:c>
      <x:c r="J1079" s="42" t="n">
        <x:v>0.9934418959507081</x:v>
      </x:c>
      <x:c r="K1079" s="42" t="n">
        <x:v>0.00002586542201950244</x:v>
      </x:c>
      <x:c r="L1079" s="26" t="n">
        <x:v>1999</x:v>
      </x:c>
      <x:c r="M1079" s="26" t="n">
        <x:v>2692</x:v>
      </x:c>
      <x:c r="N1079" s="26" t="n">
        <x:v>3309</x:v>
      </x:c>
    </x:row>
    <x:row r="1080">
      <x:c r="A1080" s="20" t="str">
        <x:v>T2_CONCORDANT_DOMAIN</x:v>
      </x:c>
      <x:c r="B1080" s="20" t="str">
        <x:v>NYC-V2-R01</x:v>
      </x:c>
      <x:c r="C1080" s="20" t="str">
        <x:v>V2</x:v>
      </x:c>
      <x:c r="D1080" s="20" t="str">
        <x:v>disability_65_plus</x:v>
      </x:c>
      <x:c r="E1080" s="20" t="str">
        <x:v>disability</x:v>
      </x:c>
      <x:c r="F1080" s="50" t="n">
        <x:v>1747</x:v>
      </x:c>
      <x:c r="G1080" s="50" t="n">
        <x:v>287.791330654695</x:v>
      </x:c>
      <x:c r="H1080" s="50" t="n">
        <x:v>1747.06</x:v>
      </x:c>
      <x:c r="I1080" s="50" t="n">
        <x:v>294.3843007303829</x:v>
      </x:c>
      <x:c r="J1080" s="42" t="n">
        <x:v>1.022908855734777</x:v>
      </x:c>
      <x:c r="K1080" s="42" t="n">
        <x:v>0.00020848438993437273</x:v>
      </x:c>
      <x:c r="L1080" s="26" t="n">
        <x:v>1261</x:v>
      </x:c>
      <x:c r="M1080" s="26" t="n">
        <x:v>1748</x:v>
      </x:c>
      <x:c r="N1080" s="26" t="n">
        <x:v>2237</x:v>
      </x:c>
    </x:row>
    <x:row r="1081">
      <x:c r="A1081" s="20" t="str">
        <x:v>T2_CONCORDANT_DOMAIN</x:v>
      </x:c>
      <x:c r="B1081" s="20" t="str">
        <x:v>NYC-V2-R01</x:v>
      </x:c>
      <x:c r="C1081" s="20" t="str">
        <x:v>V2</x:v>
      </x:c>
      <x:c r="D1081" s="20" t="str">
        <x:v>hearing_difficulty</x:v>
      </x:c>
      <x:c r="E1081" s="20" t="str">
        <x:v>disability</x:v>
      </x:c>
      <x:c r="F1081" s="50" t="n">
        <x:v>811</x:v>
      </x:c>
      <x:c r="G1081" s="50" t="n">
        <x:v>243.67726370155503</x:v>
      </x:c>
      <x:c r="H1081" s="50" t="n">
        <x:v>810.944</x:v>
      </x:c>
      <x:c r="I1081" s="50" t="n">
        <x:v>245.4914355103023</x:v>
      </x:c>
      <x:c r="J1081" s="42" t="n">
        <x:v>1.0074449777594727</x:v>
      </x:c>
      <x:c r="K1081" s="42" t="n">
        <x:v>-0.0002298121669185612</x:v>
      </x:c>
      <x:c r="L1081" s="26" t="n">
        <x:v>404</x:v>
      </x:c>
      <x:c r="M1081" s="26" t="n">
        <x:v>816</x:v>
      </x:c>
      <x:c r="N1081" s="26" t="n">
        <x:v>1224</x:v>
      </x:c>
    </x:row>
    <x:row r="1082">
      <x:c r="A1082" s="20" t="str">
        <x:v>T2_CONCORDANT_DOMAIN</x:v>
      </x:c>
      <x:c r="B1082" s="20" t="str">
        <x:v>NYC-V2-R01</x:v>
      </x:c>
      <x:c r="C1082" s="20" t="str">
        <x:v>V2</x:v>
      </x:c>
      <x:c r="D1082" s="20" t="str">
        <x:v>vision_difficulty</x:v>
      </x:c>
      <x:c r="E1082" s="20" t="str">
        <x:v>disability</x:v>
      </x:c>
      <x:c r="F1082" s="50" t="n">
        <x:v>2372</x:v>
      </x:c>
      <x:c r="G1082" s="50" t="n">
        <x:v>554.3336350576411</x:v>
      </x:c>
      <x:c r="H1082" s="50" t="n">
        <x:v>2371.738</x:v>
      </x:c>
      <x:c r="I1082" s="50" t="n">
        <x:v>558.5351061668557</x:v>
      </x:c>
      <x:c r="J1082" s="42" t="n">
        <x:v>1.0075793183806674</x:v>
      </x:c>
      <x:c r="K1082" s="42" t="n">
        <x:v>-0.0004726395503186948</x:v>
      </x:c>
      <x:c r="L1082" s="26" t="n">
        <x:v>1434</x:v>
      </x:c>
      <x:c r="M1082" s="26" t="n">
        <x:v>2372</x:v>
      </x:c>
      <x:c r="N1082" s="26" t="n">
        <x:v>3263</x:v>
      </x:c>
    </x:row>
    <x:row r="1083">
      <x:c r="A1083" s="20" t="str">
        <x:v>T2_CONCORDANT_DOMAIN</x:v>
      </x:c>
      <x:c r="B1083" s="20" t="str">
        <x:v>NYC-V2-R01</x:v>
      </x:c>
      <x:c r="C1083" s="20" t="str">
        <x:v>V2</x:v>
      </x:c>
      <x:c r="D1083" s="20" t="str">
        <x:v>cognitive_difficulty</x:v>
      </x:c>
      <x:c r="E1083" s="20" t="str">
        <x:v>disability</x:v>
      </x:c>
      <x:c r="F1083" s="50" t="n">
        <x:v>1877</x:v>
      </x:c>
      <x:c r="G1083" s="50" t="n">
        <x:v>313.48218493970666</x:v>
      </x:c>
      <x:c r="H1083" s="50" t="n">
        <x:v>1876.933</x:v>
      </x:c>
      <x:c r="I1083" s="50" t="n">
        <x:v>311.93390529449067</x:v>
      </x:c>
      <x:c r="J1083" s="42" t="n">
        <x:v>0.9950610282829508</x:v>
      </x:c>
      <x:c r="K1083" s="42" t="n">
        <x:v>-0.0002137282538492376</x:v>
      </x:c>
      <x:c r="L1083" s="26" t="n">
        <x:v>1378</x:v>
      </x:c>
      <x:c r="M1083" s="26" t="n">
        <x:v>1865</x:v>
      </x:c>
      <x:c r="N1083" s="26" t="n">
        <x:v>2378</x:v>
      </x:c>
    </x:row>
    <x:row r="1084">
      <x:c r="A1084" s="20" t="str">
        <x:v>T2_CONCORDANT_DOMAIN</x:v>
      </x:c>
      <x:c r="B1084" s="20" t="str">
        <x:v>NYC-V2-R01</x:v>
      </x:c>
      <x:c r="C1084" s="20" t="str">
        <x:v>V2</x:v>
      </x:c>
      <x:c r="D1084" s="20" t="str">
        <x:v>ambulatory_difficulty</x:v>
      </x:c>
      <x:c r="E1084" s="20" t="str">
        <x:v>disability</x:v>
      </x:c>
      <x:c r="F1084" s="50" t="n">
        <x:v>2757</x:v>
      </x:c>
      <x:c r="G1084" s="50" t="n">
        <x:v>406.09358763915225</x:v>
      </x:c>
      <x:c r="H1084" s="50" t="n">
        <x:v>2756.801</x:v>
      </x:c>
      <x:c r="I1084" s="50" t="n">
        <x:v>415.4387521112538</x:v>
      </x:c>
      <x:c r="J1084" s="42" t="n">
        <x:v>1.0230123418752564</x:v>
      </x:c>
      <x:c r="K1084" s="42" t="n">
        <x:v>-0.000490034824624951</x:v>
      </x:c>
      <x:c r="L1084" s="26" t="n">
        <x:v>2090</x:v>
      </x:c>
      <x:c r="M1084" s="26" t="n">
        <x:v>2760</x:v>
      </x:c>
      <x:c r="N1084" s="26" t="n">
        <x:v>3428</x:v>
      </x:c>
    </x:row>
    <x:row r="1085">
      <x:c r="A1085" s="20" t="str">
        <x:v>T2_CONCORDANT_DOMAIN</x:v>
      </x:c>
      <x:c r="B1085" s="20" t="str">
        <x:v>NYC-V2-R01</x:v>
      </x:c>
      <x:c r="C1085" s="20" t="str">
        <x:v>V2</x:v>
      </x:c>
      <x:c r="D1085" s="20" t="str">
        <x:v>self_care_difficulty</x:v>
      </x:c>
      <x:c r="E1085" s="20" t="str">
        <x:v>disability</x:v>
      </x:c>
      <x:c r="F1085" s="50" t="n">
        <x:v>1217</x:v>
      </x:c>
      <x:c r="G1085" s="50" t="n">
        <x:v>268.5403023678302</x:v>
      </x:c>
      <x:c r="H1085" s="50" t="n">
        <x:v>1217.015</x:v>
      </x:c>
      <x:c r="I1085" s="50" t="n">
        <x:v>263.3797252156184</x:v>
      </x:c>
      <x:c r="J1085" s="42" t="n">
        <x:v>0.9807828578924324</x:v>
      </x:c>
      <x:c r="K1085" s="42" t="n">
        <x:v>0.00005585753746398169</x:v>
      </x:c>
      <x:c r="L1085" s="26" t="n">
        <x:v>763</x:v>
      </x:c>
      <x:c r="M1085" s="26" t="n">
        <x:v>1228</x:v>
      </x:c>
      <x:c r="N1085" s="26" t="n">
        <x:v>1647</x:v>
      </x:c>
    </x:row>
    <x:row r="1086">
      <x:c r="A1086" s="20" t="str">
        <x:v>T2_CONCORDANT_DOMAIN</x:v>
      </x:c>
      <x:c r="B1086" s="20" t="str">
        <x:v>NYC-V2-R01</x:v>
      </x:c>
      <x:c r="C1086" s="20" t="str">
        <x:v>V2</x:v>
      </x:c>
      <x:c r="D1086" s="20" t="str">
        <x:v>independent_living_difficulty</x:v>
      </x:c>
      <x:c r="E1086" s="20" t="str">
        <x:v>disability</x:v>
      </x:c>
      <x:c r="F1086" s="50" t="n">
        <x:v>2028</x:v>
      </x:c>
      <x:c r="G1086" s="50" t="n">
        <x:v>351.46978462815844</x:v>
      </x:c>
      <x:c r="H1086" s="50" t="n">
        <x:v>2027.966</x:v>
      </x:c>
      <x:c r="I1086" s="50" t="n">
        <x:v>359.05535728295933</x:v>
      </x:c>
      <x:c r="J1086" s="42" t="n">
        <x:v>1.0215824317951716</x:v>
      </x:c>
      <x:c r="K1086" s="42" t="n">
        <x:v>-0.0000967366228538712</x:v>
      </x:c>
      <x:c r="L1086" s="26" t="n">
        <x:v>1427</x:v>
      </x:c>
      <x:c r="M1086" s="26" t="n">
        <x:v>2030</x:v>
      </x:c>
      <x:c r="N1086" s="26" t="n">
        <x:v>2591</x:v>
      </x:c>
    </x:row>
    <x:row r="1087">
      <x:c r="A1087" s="20" t="str">
        <x:v>T2_CONCORDANT_DOMAIN</x:v>
      </x:c>
      <x:c r="B1087" s="20" t="str">
        <x:v>NYC-V2-R01</x:v>
      </x:c>
      <x:c r="C1087" s="20" t="str">
        <x:v>V2</x:v>
      </x:c>
      <x:c r="D1087" s="20" t="str">
        <x:v>households</x:v>
      </x:c>
      <x:c r="E1087" s="20" t="str">
        <x:v>household</x:v>
      </x:c>
      <x:c r="F1087" s="50" t="n">
        <x:v>10462</x:v>
      </x:c>
      <x:c r="G1087" s="50" t="n">
        <x:v>410.5093177992431</x:v>
      </x:c>
      <x:c r="H1087" s="50" t="n">
        <x:v>10466.732</x:v>
      </x:c>
      <x:c r="I1087" s="50" t="n">
        <x:v>421.3472245780903</x:v>
      </x:c>
      <x:c r="J1087" s="42" t="n">
        <x:v>1.0264011224810916</x:v>
      </x:c>
      <x:c r="K1087" s="42" t="n">
        <x:v>0.01152714395222114</x:v>
      </x:c>
      <x:c r="L1087" s="26" t="n">
        <x:v>9767</x:v>
      </x:c>
      <x:c r="M1087" s="26" t="n">
        <x:v>10459</x:v>
      </x:c>
      <x:c r="N1087" s="26" t="n">
        <x:v>11195</x:v>
      </x:c>
    </x:row>
    <x:row r="1088">
      <x:c r="A1088" s="20" t="str">
        <x:v>T2_CONCORDANT_DOMAIN</x:v>
      </x:c>
      <x:c r="B1088" s="20" t="str">
        <x:v>NYC-V2-R01</x:v>
      </x:c>
      <x:c r="C1088" s="20" t="str">
        <x:v>V2</x:v>
      </x:c>
      <x:c r="D1088" s="20" t="str">
        <x:v>family_households</x:v>
      </x:c>
      <x:c r="E1088" s="20" t="str">
        <x:v>household</x:v>
      </x:c>
      <x:c r="F1088" s="50" t="n">
        <x:v>7409</x:v>
      </x:c>
      <x:c r="G1088" s="50" t="n">
        <x:v>460.35513465149927</x:v>
      </x:c>
      <x:c r="H1088" s="50" t="n">
        <x:v>7413.865</x:v>
      </x:c>
      <x:c r="I1088" s="50" t="n">
        <x:v>433.5003106046111</x:v>
      </x:c>
      <x:c r="J1088" s="42" t="n">
        <x:v>0.9416649842143763</x:v>
      </x:c>
      <x:c r="K1088" s="42" t="n">
        <x:v>0.01056792817936681</x:v>
      </x:c>
      <x:c r="L1088" s="26" t="n">
        <x:v>6713</x:v>
      </x:c>
      <x:c r="M1088" s="26" t="n">
        <x:v>7400</x:v>
      </x:c>
      <x:c r="N1088" s="26" t="n">
        <x:v>8155</x:v>
      </x:c>
    </x:row>
    <x:row r="1089">
      <x:c r="A1089" s="20" t="str">
        <x:v>T2_CONCORDANT_DOMAIN</x:v>
      </x:c>
      <x:c r="B1089" s="20" t="str">
        <x:v>NYC-V2-R01</x:v>
      </x:c>
      <x:c r="C1089" s="20" t="str">
        <x:v>V2</x:v>
      </x:c>
      <x:c r="D1089" s="20" t="str">
        <x:v>nonfamily_households</x:v>
      </x:c>
      <x:c r="E1089" s="20" t="str">
        <x:v>household</x:v>
      </x:c>
      <x:c r="F1089" s="50" t="n">
        <x:v>3053</x:v>
      </x:c>
      <x:c r="G1089" s="50" t="n">
        <x:v>273.25821122154775</x:v>
      </x:c>
      <x:c r="H1089" s="50" t="n">
        <x:v>3052.867</x:v>
      </x:c>
      <x:c r="I1089" s="50" t="n">
        <x:v>264.04738653001914</x:v>
      </x:c>
      <x:c r="J1089" s="42" t="n">
        <x:v>0.966292596843281</x:v>
      </x:c>
      <x:c r="K1089" s="42" t="n">
        <x:v>-0.00048671913427691764</x:v>
      </x:c>
      <x:c r="L1089" s="26" t="n">
        <x:v>2619</x:v>
      </x:c>
      <x:c r="M1089" s="26" t="n">
        <x:v>3044</x:v>
      </x:c>
      <x:c r="N1089" s="26" t="n">
        <x:v>3499</x:v>
      </x:c>
    </x:row>
    <x:row r="1090">
      <x:c r="A1090" s="20" t="str">
        <x:v>T2_CONCORDANT_DOMAIN</x:v>
      </x:c>
      <x:c r="B1090" s="20" t="str">
        <x:v>NYC-V2-R01</x:v>
      </x:c>
      <x:c r="C1090" s="20" t="str">
        <x:v>V2</x:v>
      </x:c>
      <x:c r="D1090" s="20" t="str">
        <x:v>living_alone_households</x:v>
      </x:c>
      <x:c r="E1090" s="20" t="str">
        <x:v>household</x:v>
      </x:c>
      <x:c r="F1090" s="50" t="n">
        <x:v>2641</x:v>
      </x:c>
      <x:c r="G1090" s="50" t="n">
        <x:v>273.2109990465245</x:v>
      </x:c>
      <x:c r="H1090" s="50" t="n">
        <x:v>2640.903</x:v>
      </x:c>
      <x:c r="I1090" s="50" t="n">
        <x:v>263.1698994698804</x:v>
      </x:c>
      <x:c r="J1090" s="42" t="n">
        <x:v>0.9632478208721964</x:v>
      </x:c>
      <x:c r="K1090" s="42" t="n">
        <x:v>-0.00035503695070376526</x:v>
      </x:c>
      <x:c r="L1090" s="26" t="n">
        <x:v>2225</x:v>
      </x:c>
      <x:c r="M1090" s="26" t="n">
        <x:v>2638</x:v>
      </x:c>
      <x:c r="N1090" s="26" t="n">
        <x:v>3091</x:v>
      </x:c>
    </x:row>
    <x:row r="1091">
      <x:c r="A1091" s="20" t="str">
        <x:v>T2_CONCORDANT_DOMAIN</x:v>
      </x:c>
      <x:c r="B1091" s="20" t="str">
        <x:v>NYC-V2-R01</x:v>
      </x:c>
      <x:c r="C1091" s="20" t="str">
        <x:v>V2</x:v>
      </x:c>
      <x:c r="D1091" s="20" t="str">
        <x:v>households_with_children</x:v>
      </x:c>
      <x:c r="E1091" s="20" t="str">
        <x:v>household</x:v>
      </x:c>
      <x:c r="F1091" s="50" t="n">
        <x:v>3714</x:v>
      </x:c>
      <x:c r="G1091" s="50" t="n">
        <x:v>328.80875900742063</x:v>
      </x:c>
      <x:c r="H1091" s="50" t="n">
        <x:v>3713.892</x:v>
      </x:c>
      <x:c r="I1091" s="50" t="n">
        <x:v>325.5849964693182</x:v>
      </x:c>
      <x:c r="J1091" s="42" t="n">
        <x:v>0.9901956305913685</x:v>
      </x:c>
      <x:c r="K1091" s="42" t="n">
        <x:v>-0.0003284584033776827</x:v>
      </x:c>
      <x:c r="L1091" s="26" t="n">
        <x:v>3186</x:v>
      </x:c>
      <x:c r="M1091" s="26" t="n">
        <x:v>3714</x:v>
      </x:c>
      <x:c r="N1091" s="26" t="n">
        <x:v>4258</x:v>
      </x:c>
    </x:row>
    <x:row r="1092">
      <x:c r="A1092" s="20" t="str">
        <x:v>T2_CONCORDANT_DOMAIN</x:v>
      </x:c>
      <x:c r="B1092" s="20" t="str">
        <x:v>NYC-V2-R01</x:v>
      </x:c>
      <x:c r="C1092" s="20" t="str">
        <x:v>V2</x:v>
      </x:c>
      <x:c r="D1092" s="20" t="str">
        <x:v>households_with_age65</x:v>
      </x:c>
      <x:c r="E1092" s="20" t="str">
        <x:v>household</x:v>
      </x:c>
      <x:c r="F1092" s="50" t="n">
        <x:v>3079</x:v>
      </x:c>
      <x:c r="G1092" s="50" t="n">
        <x:v>334.2229794613171</x:v>
      </x:c>
      <x:c r="H1092" s="50" t="n">
        <x:v>3078.75</x:v>
      </x:c>
      <x:c r="I1092" s="50" t="n">
        <x:v>333.0317246594229</x:v>
      </x:c>
      <x:c r="J1092" s="42" t="n">
        <x:v>0.9964357483623232</x:v>
      </x:c>
      <x:c r="K1092" s="42" t="n">
        <x:v>-0.0007480036244154629</x:v>
      </x:c>
      <x:c r="L1092" s="26" t="n">
        <x:v>2554</x:v>
      </x:c>
      <x:c r="M1092" s="26" t="n">
        <x:v>3069</x:v>
      </x:c>
      <x:c r="N1092" s="26" t="n">
        <x:v>3648</x:v>
      </x:c>
    </x:row>
    <x:row r="1093">
      <x:c r="A1093" s="20" t="str">
        <x:v>T2_CONCORDANT_DOMAIN</x:v>
      </x:c>
      <x:c r="B1093" s="20" t="str">
        <x:v>NYC-V2-R01</x:v>
      </x:c>
      <x:c r="C1093" s="20" t="str">
        <x:v>V2</x:v>
      </x:c>
      <x:c r="D1093" s="20" t="str">
        <x:v>age65_one_person_households</x:v>
      </x:c>
      <x:c r="E1093" s="20" t="str">
        <x:v>household</x:v>
      </x:c>
      <x:c r="F1093" s="50" t="n">
        <x:v>1092</x:v>
      </x:c>
      <x:c r="G1093" s="50" t="n">
        <x:v>218.41451416973186</x:v>
      </x:c>
      <x:c r="H1093" s="50" t="n">
        <x:v>1091.917</x:v>
      </x:c>
      <x:c r="I1093" s="50" t="n">
        <x:v>218.2134579356283</x:v>
      </x:c>
      <x:c r="J1093" s="42" t="n">
        <x:v>0.9990794740227413</x:v>
      </x:c>
      <x:c r="K1093" s="42" t="n">
        <x:v>-0.0003800113756889967</x:v>
      </x:c>
      <x:c r="L1093" s="26" t="n">
        <x:v>721</x:v>
      </x:c>
      <x:c r="M1093" s="26" t="n">
        <x:v>1091</x:v>
      </x:c>
      <x:c r="N1093" s="26" t="n">
        <x:v>1440</x:v>
      </x:c>
    </x:row>
    <x:row r="1094">
      <x:c r="A1094" s="20" t="str">
        <x:v>T2_CONCORDANT_DOMAIN</x:v>
      </x:c>
      <x:c r="B1094" s="20" t="str">
        <x:v>NYC-V2-R01</x:v>
      </x:c>
      <x:c r="C1094" s="20" t="str">
        <x:v>V2</x:v>
      </x:c>
      <x:c r="D1094" s="20" t="str">
        <x:v>no_vehicle_households</x:v>
      </x:c>
      <x:c r="E1094" s="20" t="str">
        <x:v>household</x:v>
      </x:c>
      <x:c r="F1094" s="50" t="n">
        <x:v>8040</x:v>
      </x:c>
      <x:c r="G1094" s="50" t="n">
        <x:v>371.7507892531437</x:v>
      </x:c>
      <x:c r="H1094" s="50" t="n">
        <x:v>8040.09</x:v>
      </x:c>
      <x:c r="I1094" s="50" t="n">
        <x:v>376.8200010790473</x:v>
      </x:c>
      <x:c r="J1094" s="42" t="n">
        <x:v>1.0136360485907447</x:v>
      </x:c>
      <x:c r="K1094" s="42" t="n">
        <x:v>0.00024209767027249005</x:v>
      </x:c>
      <x:c r="L1094" s="26" t="n">
        <x:v>7422</x:v>
      </x:c>
      <x:c r="M1094" s="26" t="n">
        <x:v>8039</x:v>
      </x:c>
      <x:c r="N1094" s="26" t="n">
        <x:v>8684</x:v>
      </x:c>
    </x:row>
    <x:row r="1095">
      <x:c r="A1095" s="20" t="str">
        <x:v>T2_CONCORDANT_DOMAIN</x:v>
      </x:c>
      <x:c r="B1095" s="20" t="str">
        <x:v>NYC-V2-R01</x:v>
      </x:c>
      <x:c r="C1095" s="20" t="str">
        <x:v>V2</x:v>
      </x:c>
      <x:c r="D1095" s="20" t="str">
        <x:v>limited_english_households</x:v>
      </x:c>
      <x:c r="E1095" s="20" t="str">
        <x:v>household</x:v>
      </x:c>
      <x:c r="F1095" s="50" t="n">
        <x:v>2896</x:v>
      </x:c>
      <x:c r="G1095" s="50" t="n">
        <x:v>377.7273000131568</x:v>
      </x:c>
      <x:c r="H1095" s="50" t="n">
        <x:v>2895.958</x:v>
      </x:c>
      <x:c r="I1095" s="50" t="n">
        <x:v>370.94716339936343</x:v>
      </x:c>
      <x:c r="J1095" s="42" t="n">
        <x:v>0.9820501811397873</x:v>
      </x:c>
      <x:c r="K1095" s="42" t="n">
        <x:v>-0.000111191327707723</x:v>
      </x:c>
      <x:c r="L1095" s="26" t="n">
        <x:v>2283</x:v>
      </x:c>
      <x:c r="M1095" s="26" t="n">
        <x:v>2896</x:v>
      </x:c>
      <x:c r="N1095" s="26" t="n">
        <x:v>3500</x:v>
      </x:c>
    </x:row>
    <x:row r="1096">
      <x:c r="A1096" s="20" t="str">
        <x:v>T2_CONCORDANT_DOMAIN</x:v>
      </x:c>
      <x:c r="B1096" s="20" t="str">
        <x:v>NYC-V2-R01</x:v>
      </x:c>
      <x:c r="C1096" s="20" t="str">
        <x:v>V2</x:v>
      </x:c>
      <x:c r="D1096" s="20" t="str">
        <x:v>housing_units</x:v>
      </x:c>
      <x:c r="E1096" s="20" t="str">
        <x:v>housing</x:v>
      </x:c>
      <x:c r="F1096" s="50" t="n">
        <x:v>10547</x:v>
      </x:c>
      <x:c r="G1096" s="50" t="n">
        <x:v>402.9718972831728</x:v>
      </x:c>
      <x:c r="H1096" s="50" t="n">
        <x:v>10552.559</x:v>
      </x:c>
      <x:c r="I1096" s="50" t="n">
        <x:v>437.59817490670787</x:v>
      </x:c>
      <x:c r="J1096" s="42" t="n">
        <x:v>1.0859272764601815</x:v>
      </x:c>
      <x:c r="K1096" s="42" t="n">
        <x:v>0.013795006643088355</x:v>
      </x:c>
      <x:c r="L1096" s="26" t="n">
        <x:v>9847</x:v>
      </x:c>
      <x:c r="M1096" s="26" t="n">
        <x:v>10542</x:v>
      </x:c>
      <x:c r="N1096" s="26" t="n">
        <x:v>11310</x:v>
      </x:c>
    </x:row>
    <x:row r="1097">
      <x:c r="A1097" s="20" t="str">
        <x:v>T2_CONCORDANT_DOMAIN</x:v>
      </x:c>
      <x:c r="B1097" s="20" t="str">
        <x:v>NYC-V2-R01</x:v>
      </x:c>
      <x:c r="C1097" s="20" t="str">
        <x:v>V2</x:v>
      </x:c>
      <x:c r="D1097" s="20" t="str">
        <x:v>occupied_housing_units</x:v>
      </x:c>
      <x:c r="E1097" s="20" t="str">
        <x:v>housing</x:v>
      </x:c>
      <x:c r="F1097" s="50" t="n">
        <x:v>10462</x:v>
      </x:c>
      <x:c r="G1097" s="50" t="n">
        <x:v>410.5093177992431</x:v>
      </x:c>
      <x:c r="H1097" s="50" t="n">
        <x:v>10466.732</x:v>
      </x:c>
      <x:c r="I1097" s="50" t="n">
        <x:v>421.3472245780903</x:v>
      </x:c>
      <x:c r="J1097" s="42" t="n">
        <x:v>1.0264011224810916</x:v>
      </x:c>
      <x:c r="K1097" s="42" t="n">
        <x:v>0.01152714395222114</x:v>
      </x:c>
      <x:c r="L1097" s="26" t="n">
        <x:v>9767</x:v>
      </x:c>
      <x:c r="M1097" s="26" t="n">
        <x:v>10459</x:v>
      </x:c>
      <x:c r="N1097" s="26" t="n">
        <x:v>11195</x:v>
      </x:c>
    </x:row>
    <x:row r="1098">
      <x:c r="A1098" s="20" t="str">
        <x:v>T2_CONCORDANT_DOMAIN</x:v>
      </x:c>
      <x:c r="B1098" s="20" t="str">
        <x:v>NYC-V2-R01</x:v>
      </x:c>
      <x:c r="C1098" s="20" t="str">
        <x:v>V2</x:v>
      </x:c>
      <x:c r="D1098" s="20" t="str">
        <x:v>vacant_housing_units</x:v>
      </x:c>
      <x:c r="E1098" s="20" t="str">
        <x:v>housing</x:v>
      </x:c>
      <x:c r="F1098" s="50" t="n">
        <x:v>85</x:v>
      </x:c>
      <x:c r="G1098" s="50" t="n">
        <x:v>47.14074670600797</x:v>
      </x:c>
      <x:c r="H1098" s="50" t="n">
        <x:v>85.827</x:v>
      </x:c>
      <x:c r="I1098" s="50" t="n">
        <x:v>45.48894717747724</x:v>
      </x:c>
      <x:c r="J1098" s="42" t="n">
        <x:v>0.9649602595641489</x:v>
      </x:c>
      <x:c r="K1098" s="42" t="n">
        <x:v>0.01754320959652086</x:v>
      </x:c>
      <x:c r="L1098" s="26" t="n">
        <x:v>5</x:v>
      </x:c>
      <x:c r="M1098" s="26" t="n">
        <x:v>87</x:v>
      </x:c>
      <x:c r="N1098" s="26" t="n">
        <x:v>162</x:v>
      </x:c>
    </x:row>
    <x:row r="1099">
      <x:c r="A1099" s="20" t="str">
        <x:v>T2_CONCORDANT_DOMAIN</x:v>
      </x:c>
      <x:c r="B1099" s="20" t="str">
        <x:v>NYC-V2-R01</x:v>
      </x:c>
      <x:c r="C1099" s="20" t="str">
        <x:v>V2</x:v>
      </x:c>
      <x:c r="D1099" s="20" t="str">
        <x:v>owner_occupied_units</x:v>
      </x:c>
      <x:c r="E1099" s="20" t="str">
        <x:v>housing</x:v>
      </x:c>
      <x:c r="F1099" s="50" t="n">
        <x:v>429</x:v>
      </x:c>
      <x:c r="G1099" s="50" t="n">
        <x:v>140.9941251160037</x:v>
      </x:c>
      <x:c r="H1099" s="50" t="n">
        <x:v>429.091</x:v>
      </x:c>
      <x:c r="I1099" s="50" t="n">
        <x:v>141.39336902345812</x:v>
      </x:c>
      <x:c r="J1099" s="42" t="n">
        <x:v>1.0028316350566093</x:v>
      </x:c>
      <x:c r="K1099" s="42" t="n">
        <x:v>0.0006454169627644942</x:v>
      </x:c>
      <x:c r="L1099" s="26" t="n">
        <x:v>196</x:v>
      </x:c>
      <x:c r="M1099" s="26" t="n">
        <x:v>428</x:v>
      </x:c>
      <x:c r="N1099" s="26" t="n">
        <x:v>660</x:v>
      </x:c>
    </x:row>
    <x:row r="1100">
      <x:c r="A1100" s="20" t="str">
        <x:v>T2_CONCORDANT_DOMAIN</x:v>
      </x:c>
      <x:c r="B1100" s="20" t="str">
        <x:v>NYC-V2-R01</x:v>
      </x:c>
      <x:c r="C1100" s="20" t="str">
        <x:v>V2</x:v>
      </x:c>
      <x:c r="D1100" s="20" t="str">
        <x:v>renter_occupied_units</x:v>
      </x:c>
      <x:c r="E1100" s="20" t="str">
        <x:v>housing</x:v>
      </x:c>
      <x:c r="F1100" s="50" t="n">
        <x:v>10033</x:v>
      </x:c>
      <x:c r="G1100" s="50" t="n">
        <x:v>386.38232835492084</x:v>
      </x:c>
      <x:c r="H1100" s="50" t="n">
        <x:v>10037.641</x:v>
      </x:c>
      <x:c r="I1100" s="50" t="n">
        <x:v>348.64727597106224</x:v>
      </x:c>
      <x:c r="J1100" s="42" t="n">
        <x:v>0.9023375304338552</x:v>
      </x:c>
      <x:c r="K1100" s="42" t="n">
        <x:v>0.012011418896302417</x:v>
      </x:c>
      <x:c r="L1100" s="26" t="n">
        <x:v>9475</x:v>
      </x:c>
      <x:c r="M1100" s="26" t="n">
        <x:v>10030</x:v>
      </x:c>
      <x:c r="N1100" s="26" t="n">
        <x:v>10614</x:v>
      </x:c>
    </x:row>
    <x:row r="1101">
      <x:c r="A1101" s="20" t="str">
        <x:v>T2_CONCORDANT_DOMAIN</x:v>
      </x:c>
      <x:c r="B1101" s="20" t="str">
        <x:v>NYC-V2-R01</x:v>
      </x:c>
      <x:c r="C1101" s="20" t="str">
        <x:v>V2</x:v>
      </x:c>
      <x:c r="D1101" s="20" t="str">
        <x:v>one_unit_structures</x:v>
      </x:c>
      <x:c r="E1101" s="20" t="str">
        <x:v>housing</x:v>
      </x:c>
      <x:c r="F1101" s="50" t="n">
        <x:v>330</x:v>
      </x:c>
      <x:c r="G1101" s="50" t="n">
        <x:v>113.64204693968678</x:v>
      </x:c>
      <x:c r="H1101" s="50" t="n">
        <x:v>329.942</x:v>
      </x:c>
      <x:c r="I1101" s="50" t="n">
        <x:v>101.22852290658918</x:v>
      </x:c>
      <x:c r="J1101" s="42" t="n">
        <x:v>0.8907664516137602</x:v>
      </x:c>
      <x:c r="K1101" s="42" t="n">
        <x:v>-0.0005103744746059973</x:v>
      </x:c>
      <x:c r="L1101" s="26" t="n">
        <x:v>165</x:v>
      </x:c>
      <x:c r="M1101" s="26" t="n">
        <x:v>330</x:v>
      </x:c>
      <x:c r="N1101" s="26" t="n">
        <x:v>501</x:v>
      </x:c>
    </x:row>
    <x:row r="1102">
      <x:c r="A1102" s="20" t="str">
        <x:v>T2_CONCORDANT_DOMAIN</x:v>
      </x:c>
      <x:c r="B1102" s="20" t="str">
        <x:v>NYC-V2-R01</x:v>
      </x:c>
      <x:c r="C1102" s="20" t="str">
        <x:v>V2</x:v>
      </x:c>
      <x:c r="D1102" s="20" t="str">
        <x:v>two_to_four_unit_structures</x:v>
      </x:c>
      <x:c r="E1102" s="20" t="str">
        <x:v>housing</x:v>
      </x:c>
      <x:c r="F1102" s="50" t="n">
        <x:v>995</x:v>
      </x:c>
      <x:c r="G1102" s="50" t="n">
        <x:v>220.3075075029853</x:v>
      </x:c>
      <x:c r="H1102" s="50" t="n">
        <x:v>994.91</x:v>
      </x:c>
      <x:c r="I1102" s="50" t="n">
        <x:v>181.61741322016672</x:v>
      </x:c>
      <x:c r="J1102" s="42" t="n">
        <x:v>0.8243814079631658</x:v>
      </x:c>
      <x:c r="K1102" s="42" t="n">
        <x:v>-0.0004085198957589418</x:v>
      </x:c>
      <x:c r="L1102" s="26" t="n">
        <x:v>707</x:v>
      </x:c>
      <x:c r="M1102" s="26" t="n">
        <x:v>994</x:v>
      </x:c>
      <x:c r="N1102" s="26" t="n">
        <x:v>1287</x:v>
      </x:c>
    </x:row>
    <x:row r="1103">
      <x:c r="A1103" s="20" t="str">
        <x:v>T2_CONCORDANT_DOMAIN</x:v>
      </x:c>
      <x:c r="B1103" s="20" t="str">
        <x:v>NYC-V2-R01</x:v>
      </x:c>
      <x:c r="C1103" s="20" t="str">
        <x:v>V2</x:v>
      </x:c>
      <x:c r="D1103" s="20" t="str">
        <x:v>five_to_nineteen_unit_structures</x:v>
      </x:c>
      <x:c r="E1103" s="20" t="str">
        <x:v>housing</x:v>
      </x:c>
      <x:c r="F1103" s="50" t="n">
        <x:v>1569</x:v>
      </x:c>
      <x:c r="G1103" s="50" t="n">
        <x:v>291.96993135018386</x:v>
      </x:c>
      <x:c r="H1103" s="50" t="n">
        <x:v>1568.812</x:v>
      </x:c>
      <x:c r="I1103" s="50" t="n">
        <x:v>218.24199922614855</x:v>
      </x:c>
      <x:c r="J1103" s="42" t="n">
        <x:v>0.7474810786744774</x:v>
      </x:c>
      <x:c r="K1103" s="42" t="n">
        <x:v>-0.0006439019221284736</x:v>
      </x:c>
      <x:c r="L1103" s="26" t="n">
        <x:v>1219</x:v>
      </x:c>
      <x:c r="M1103" s="26" t="n">
        <x:v>1575</x:v>
      </x:c>
      <x:c r="N1103" s="26" t="n">
        <x:v>1938</x:v>
      </x:c>
    </x:row>
    <x:row r="1104">
      <x:c r="A1104" s="20" t="str">
        <x:v>T2_CONCORDANT_DOMAIN</x:v>
      </x:c>
      <x:c r="B1104" s="20" t="str">
        <x:v>NYC-V2-R01</x:v>
      </x:c>
      <x:c r="C1104" s="20" t="str">
        <x:v>V2</x:v>
      </x:c>
      <x:c r="D1104" s="20" t="str">
        <x:v>twenty_to_forty_nine_unit_structures</x:v>
      </x:c>
      <x:c r="E1104" s="20" t="str">
        <x:v>housing</x:v>
      </x:c>
      <x:c r="F1104" s="50" t="n">
        <x:v>4903</x:v>
      </x:c>
      <x:c r="G1104" s="50" t="n">
        <x:v>404.0765653653645</x:v>
      </x:c>
      <x:c r="H1104" s="50" t="n">
        <x:v>4893.123</x:v>
      </x:c>
      <x:c r="I1104" s="50" t="n">
        <x:v>281.52868818874083</x:v>
      </x:c>
      <x:c r="J1104" s="42" t="n">
        <x:v>0.6967211472265996</x:v>
      </x:c>
      <x:c r="K1104" s="42" t="n">
        <x:v>-0.024443387334451484</x:v>
      </x:c>
      <x:c r="L1104" s="26" t="n">
        <x:v>4423</x:v>
      </x:c>
      <x:c r="M1104" s="26" t="n">
        <x:v>4902</x:v>
      </x:c>
      <x:c r="N1104" s="26" t="n">
        <x:v>5337</x:v>
      </x:c>
    </x:row>
    <x:row r="1105">
      <x:c r="A1105" s="20" t="str">
        <x:v>T2_CONCORDANT_DOMAIN</x:v>
      </x:c>
      <x:c r="B1105" s="20" t="str">
        <x:v>NYC-V2-R01</x:v>
      </x:c>
      <x:c r="C1105" s="20" t="str">
        <x:v>V2</x:v>
      </x:c>
      <x:c r="D1105" s="20" t="str">
        <x:v>fifty_plus_unit_structures</x:v>
      </x:c>
      <x:c r="E1105" s="20" t="str">
        <x:v>housing</x:v>
      </x:c>
      <x:c r="F1105" s="50" t="n">
        <x:v>2654</x:v>
      </x:c>
      <x:c r="G1105" s="50" t="n">
        <x:v>383.03516735601954</x:v>
      </x:c>
      <x:c r="H1105" s="50" t="n">
        <x:v>2653.967</x:v>
      </x:c>
      <x:c r="I1105" s="50" t="n">
        <x:v>267.39912528503754</x:v>
      </x:c>
      <x:c r="J1105" s="42" t="n">
        <x:v>0.6981059392818054</x:v>
      </x:c>
      <x:c r="K1105" s="42" t="n">
        <x:v>-0.00008615396917126745</x:v>
      </x:c>
      <x:c r="L1105" s="26" t="n">
        <x:v>2228</x:v>
      </x:c>
      <x:c r="M1105" s="26" t="n">
        <x:v>2654</x:v>
      </x:c>
      <x:c r="N1105" s="26" t="n">
        <x:v>3093</x:v>
      </x:c>
    </x:row>
    <x:row r="1106">
      <x:c r="A1106" s="20" t="str">
        <x:v>T2_CONCORDANT_DOMAIN</x:v>
      </x:c>
      <x:c r="B1106" s="20" t="str">
        <x:v>NYC-V2-R01</x:v>
      </x:c>
      <x:c r="C1106" s="20" t="str">
        <x:v>V2</x:v>
      </x:c>
      <x:c r="D1106" s="20" t="str">
        <x:v>mobile_or_other_units</x:v>
      </x:c>
      <x:c r="E1106" s="20" t="str">
        <x:v>housing</x:v>
      </x:c>
      <x:c r="F1106" s="50" t="n">
        <x:v>11</x:v>
      </x:c>
      <x:c r="G1106" s="50" t="n">
        <x:v>51.005901430767246</x:v>
      </x:c>
      <x:c r="H1106" s="50" t="n">
        <x:v>25.978</x:v>
      </x:c>
      <x:c r="I1106" s="50" t="n">
        <x:v>32.11483892033212</x:v>
      </x:c>
      <x:c r="J1106" s="42" t="n">
        <x:v>0.6296298667306788</x:v>
      </x:c>
      <x:c r="K1106" s="42" t="n">
        <x:v>0.29365229473162746</x:v>
      </x:c>
      <x:c r="L1106" s="26" t="n">
        <x:v>0</x:v>
      </x:c>
      <x:c r="M1106" s="26" t="n">
        <x:v>12</x:v>
      </x:c>
      <x:c r="N1106" s="26" t="n">
        <x:v>91</x:v>
      </x:c>
    </x:row>
    <x:row r="1107">
      <x:c r="A1107" s="20" t="str">
        <x:v>T2_CONCORDANT_DOMAIN</x:v>
      </x:c>
      <x:c r="B1107" s="20" t="str">
        <x:v>NYC-V2-R01</x:v>
      </x:c>
      <x:c r="C1107" s="20" t="str">
        <x:v>V2</x:v>
      </x:c>
      <x:c r="D1107" s="20" t="str">
        <x:v>electric_heat_households</x:v>
      </x:c>
      <x:c r="E1107" s="20" t="str">
        <x:v>housing</x:v>
      </x:c>
      <x:c r="F1107" s="50" t="n">
        <x:v>2354</x:v>
      </x:c>
      <x:c r="G1107" s="50" t="n">
        <x:v>278.36298245276794</x:v>
      </x:c>
      <x:c r="H1107" s="50" t="n">
        <x:v>2353.957</x:v>
      </x:c>
      <x:c r="I1107" s="50" t="n">
        <x:v>278.42523549916007</x:v>
      </x:c>
      <x:c r="J1107" s="42" t="n">
        <x:v>1.000223639816773</x:v>
      </x:c>
      <x:c r="K1107" s="42" t="n">
        <x:v>-0.00015447456274979453</x:v>
      </x:c>
      <x:c r="L1107" s="26" t="n">
        <x:v>1882</x:v>
      </x:c>
      <x:c r="M1107" s="26" t="n">
        <x:v>2351</x:v>
      </x:c>
      <x:c r="N1107" s="26" t="n">
        <x:v>2806</x:v>
      </x:c>
    </x:row>
    <x:row r="1108">
      <x:c r="A1108" s="20" t="str">
        <x:v>T2_CONCORDANT_DOMAIN</x:v>
      </x:c>
      <x:c r="B1108" s="20" t="str">
        <x:v>NYC-V2-R01</x:v>
      </x:c>
      <x:c r="C1108" s="20" t="str">
        <x:v>V2</x:v>
      </x:c>
      <x:c r="D1108" s="20" t="str">
        <x:v>group_quarters_population</x:v>
      </x:c>
      <x:c r="E1108" s="20" t="str">
        <x:v>population</x:v>
      </x:c>
      <x:c r="F1108" s="50" t="n">
        <x:v>958</x:v>
      </x:c>
      <x:c r="G1108" s="50" t="n">
        <x:v>28.324018076537094</x:v>
      </x:c>
      <x:c r="H1108" s="50" t="n">
        <x:v>957.996</x:v>
      </x:c>
      <x:c r="I1108" s="50" t="n">
        <x:v>27.788814336027407</x:v>
      </x:c>
      <x:c r="J1108" s="42" t="n">
        <x:v>0.9811042437883121</x:v>
      </x:c>
      <x:c r="K1108" s="42" t="n">
        <x:v>-0.00014122290097437127</x:v>
      </x:c>
      <x:c r="L1108" s="26" t="n">
        <x:v>913</x:v>
      </x:c>
      <x:c r="M1108" s="26" t="n">
        <x:v>958</x:v>
      </x:c>
      <x:c r="N1108" s="26" t="n">
        <x:v>1004</x:v>
      </x:c>
    </x:row>
    <x:row r="1109">
      <x:c r="A1109" s="20" t="str">
        <x:v>T2_CONCORDANT_DOMAIN</x:v>
      </x:c>
      <x:c r="B1109" s="20" t="str">
        <x:v>NYC-V2-R02</x:v>
      </x:c>
      <x:c r="C1109" s="20" t="str">
        <x:v>V2</x:v>
      </x:c>
      <x:c r="D1109" s="20" t="str">
        <x:v>acs_population</x:v>
      </x:c>
      <x:c r="E1109" s="20" t="str">
        <x:v>population</x:v>
      </x:c>
      <x:c r="F1109" s="50" t="n">
        <x:v>29733</x:v>
      </x:c>
      <x:c r="G1109" s="50" t="n">
        <x:v>1298.049844959738</x:v>
      </x:c>
      <x:c r="H1109" s="50" t="n">
        <x:v>29733.559</x:v>
      </x:c>
      <x:c r="I1109" s="50" t="n">
        <x:v>1320.0607497012786</x:v>
      </x:c>
      <x:c r="J1109" s="42" t="n">
        <x:v>1.0169569025619531</x:v>
      </x:c>
      <x:c r="K1109" s="42" t="n">
        <x:v>0.00043064602039103096</x:v>
      </x:c>
      <x:c r="L1109" s="26" t="n">
        <x:v>27656</x:v>
      </x:c>
      <x:c r="M1109" s="26" t="n">
        <x:v>29711</x:v>
      </x:c>
      <x:c r="N1109" s="26" t="n">
        <x:v>31874</x:v>
      </x:c>
    </x:row>
    <x:row r="1110">
      <x:c r="A1110" s="20" t="str">
        <x:v>T2_CONCORDANT_DOMAIN</x:v>
      </x:c>
      <x:c r="B1110" s="20" t="str">
        <x:v>NYC-V2-R02</x:v>
      </x:c>
      <x:c r="C1110" s="20" t="str">
        <x:v>V2</x:v>
      </x:c>
      <x:c r="D1110" s="20" t="str">
        <x:v>age_under_18</x:v>
      </x:c>
      <x:c r="E1110" s="20" t="str">
        <x:v>population</x:v>
      </x:c>
      <x:c r="F1110" s="50" t="n">
        <x:v>5104</x:v>
      </x:c>
      <x:c r="G1110" s="50" t="n">
        <x:v>531.2096102293332</x:v>
      </x:c>
      <x:c r="H1110" s="50" t="n">
        <x:v>5104.077</x:v>
      </x:c>
      <x:c r="I1110" s="50" t="n">
        <x:v>539.9331596483845</x:v>
      </x:c>
      <x:c r="J1110" s="42" t="n">
        <x:v>1.0164220474386472</x:v>
      </x:c>
      <x:c r="K1110" s="42" t="n">
        <x:v>0.00014495219686816888</x:v>
      </x:c>
      <x:c r="L1110" s="26" t="n">
        <x:v>4230</x:v>
      </x:c>
      <x:c r="M1110" s="26" t="n">
        <x:v>5098</x:v>
      </x:c>
      <x:c r="N1110" s="26" t="n">
        <x:v>5976</x:v>
      </x:c>
    </x:row>
    <x:row r="1111">
      <x:c r="A1111" s="20" t="str">
        <x:v>T2_CONCORDANT_DOMAIN</x:v>
      </x:c>
      <x:c r="B1111" s="20" t="str">
        <x:v>NYC-V2-R02</x:v>
      </x:c>
      <x:c r="C1111" s="20" t="str">
        <x:v>V2</x:v>
      </x:c>
      <x:c r="D1111" s="20" t="str">
        <x:v>age_65_plus</x:v>
      </x:c>
      <x:c r="E1111" s="20" t="str">
        <x:v>population</x:v>
      </x:c>
      <x:c r="F1111" s="50" t="n">
        <x:v>5759</x:v>
      </x:c>
      <x:c r="G1111" s="50" t="n">
        <x:v>343.94141943069314</x:v>
      </x:c>
      <x:c r="H1111" s="50" t="n">
        <x:v>5759.055</x:v>
      </x:c>
      <x:c r="I1111" s="50" t="n">
        <x:v>341.43958611439</x:v>
      </x:c>
      <x:c r="J1111" s="42" t="n">
        <x:v>0.9927259900234049</x:v>
      </x:c>
      <x:c r="K1111" s="42" t="n">
        <x:v>0.00015991095254339952</x:v>
      </x:c>
      <x:c r="L1111" s="26" t="n">
        <x:v>5203</x:v>
      </x:c>
      <x:c r="M1111" s="26" t="n">
        <x:v>5761</x:v>
      </x:c>
      <x:c r="N1111" s="26" t="n">
        <x:v>6326</x:v>
      </x:c>
    </x:row>
    <x:row r="1112">
      <x:c r="A1112" s="20" t="str">
        <x:v>T2_CONCORDANT_DOMAIN</x:v>
      </x:c>
      <x:c r="B1112" s="20" t="str">
        <x:v>NYC-V2-R02</x:v>
      </x:c>
      <x:c r="C1112" s="20" t="str">
        <x:v>V2</x:v>
      </x:c>
      <x:c r="D1112" s="20" t="str">
        <x:v>age_75_plus</x:v>
      </x:c>
      <x:c r="E1112" s="20" t="str">
        <x:v>population</x:v>
      </x:c>
      <x:c r="F1112" s="50" t="n">
        <x:v>2055</x:v>
      </x:c>
      <x:c r="G1112" s="50" t="n">
        <x:v>195.34418343017023</x:v>
      </x:c>
      <x:c r="H1112" s="50" t="n">
        <x:v>2054.996</x:v>
      </x:c>
      <x:c r="I1112" s="50" t="n">
        <x:v>198.87384138892875</x:v>
      </x:c>
      <x:c r="J1112" s="42" t="n">
        <x:v>1.01806891762416</x:v>
      </x:c>
      <x:c r="K1112" s="42" t="n">
        <x:v>-0.000020476678289913323</x:v>
      </x:c>
      <x:c r="L1112" s="26" t="n">
        <x:v>1735</x:v>
      </x:c>
      <x:c r="M1112" s="26" t="n">
        <x:v>2055</x:v>
      </x:c>
      <x:c r="N1112" s="26" t="n">
        <x:v>2387</x:v>
      </x:c>
    </x:row>
    <x:row r="1113">
      <x:c r="A1113" s="20" t="str">
        <x:v>T2_CONCORDANT_DOMAIN</x:v>
      </x:c>
      <x:c r="B1113" s="20" t="str">
        <x:v>NYC-V2-R02</x:v>
      </x:c>
      <x:c r="C1113" s="20" t="str">
        <x:v>V2</x:v>
      </x:c>
      <x:c r="D1113" s="20" t="str">
        <x:v>age_85_plus</x:v>
      </x:c>
      <x:c r="E1113" s="20" t="str">
        <x:v>population</x:v>
      </x:c>
      <x:c r="F1113" s="50" t="n">
        <x:v>552</x:v>
      </x:c>
      <x:c r="G1113" s="50" t="n">
        <x:v>105.49099487634004</x:v>
      </x:c>
      <x:c r="H1113" s="50" t="n">
        <x:v>552.022</x:v>
      </x:c>
      <x:c r="I1113" s="50" t="n">
        <x:v>106.07429128337964</x:v>
      </x:c>
      <x:c r="J1113" s="42" t="n">
        <x:v>1.0055293478625673</x:v>
      </x:c>
      <x:c r="K1113" s="42" t="n">
        <x:v>0.00020854860669232777</x:v>
      </x:c>
      <x:c r="L1113" s="26" t="n">
        <x:v>377</x:v>
      </x:c>
      <x:c r="M1113" s="26" t="n">
        <x:v>554</x:v>
      </x:c>
      <x:c r="N1113" s="26" t="n">
        <x:v>727</x:v>
      </x:c>
    </x:row>
    <x:row r="1114">
      <x:c r="A1114" s="20" t="str">
        <x:v>T2_CONCORDANT_DOMAIN</x:v>
      </x:c>
      <x:c r="B1114" s="20" t="str">
        <x:v>NYC-V2-R02</x:v>
      </x:c>
      <x:c r="C1114" s="20" t="str">
        <x:v>V2</x:v>
      </x:c>
      <x:c r="D1114" s="20" t="str">
        <x:v>civilian_noninstitutionalized</x:v>
      </x:c>
      <x:c r="E1114" s="20" t="str">
        <x:v>disability</x:v>
      </x:c>
      <x:c r="F1114" s="50" t="n">
        <x:v>29472</x:v>
      </x:c>
      <x:c r="G1114" s="50" t="n">
        <x:v>1298.8511654535325</x:v>
      </x:c>
      <x:c r="H1114" s="50" t="n">
        <x:v>28974.753</x:v>
      </x:c>
      <x:c r="I1114" s="50" t="n">
        <x:v>1121.8085560501968</x:v>
      </x:c>
      <x:c r="J1114" s="42" t="n">
        <x:v>0.8636929202419308</x:v>
      </x:c>
      <x:c r="K1114" s="42" t="n">
        <x:v>-0.38283601171991927</x:v>
      </x:c>
      <x:c r="L1114" s="26" t="n">
        <x:v>27208</x:v>
      </x:c>
      <x:c r="M1114" s="26" t="n">
        <x:v>28976</x:v>
      </x:c>
      <x:c r="N1114" s="26" t="n">
        <x:v>30777</x:v>
      </x:c>
    </x:row>
    <x:row r="1115">
      <x:c r="A1115" s="20" t="str">
        <x:v>T2_CONCORDANT_DOMAIN</x:v>
      </x:c>
      <x:c r="B1115" s="20" t="str">
        <x:v>NYC-V2-R02</x:v>
      </x:c>
      <x:c r="C1115" s="20" t="str">
        <x:v>V2</x:v>
      </x:c>
      <x:c r="D1115" s="20" t="str">
        <x:v>any_disability</x:v>
      </x:c>
      <x:c r="E1115" s="20" t="str">
        <x:v>disability</x:v>
      </x:c>
      <x:c r="F1115" s="50" t="n">
        <x:v>3715</x:v>
      </x:c>
      <x:c r="G1115" s="50" t="n">
        <x:v>295.7860713421104</x:v>
      </x:c>
      <x:c r="H1115" s="50" t="n">
        <x:v>3715.365</x:v>
      </x:c>
      <x:c r="I1115" s="50" t="n">
        <x:v>386.3232939682287</x:v>
      </x:c>
      <x:c r="J1115" s="42" t="n">
        <x:v>1.3060902165382955</x:v>
      </x:c>
      <x:c r="K1115" s="42" t="n">
        <x:v>0.0012339999593071354</x:v>
      </x:c>
      <x:c r="L1115" s="26" t="n">
        <x:v>3079</x:v>
      </x:c>
      <x:c r="M1115" s="26" t="n">
        <x:v>3718</x:v>
      </x:c>
      <x:c r="N1115" s="26" t="n">
        <x:v>4327</x:v>
      </x:c>
    </x:row>
    <x:row r="1116">
      <x:c r="A1116" s="20" t="str">
        <x:v>T2_CONCORDANT_DOMAIN</x:v>
      </x:c>
      <x:c r="B1116" s="20" t="str">
        <x:v>NYC-V2-R02</x:v>
      </x:c>
      <x:c r="C1116" s="20" t="str">
        <x:v>V2</x:v>
      </x:c>
      <x:c r="D1116" s="20" t="str">
        <x:v>disability_under_18</x:v>
      </x:c>
      <x:c r="E1116" s="20" t="str">
        <x:v>disability</x:v>
      </x:c>
      <x:c r="F1116" s="50" t="n">
        <x:v>387</x:v>
      </x:c>
      <x:c r="G1116" s="50" t="n">
        <x:v>114.48537024441158</x:v>
      </x:c>
      <x:c r="H1116" s="50" t="n">
        <x:v>387.112</x:v>
      </x:c>
      <x:c r="I1116" s="50" t="n">
        <x:v>112.79845276840878</x:v>
      </x:c>
      <x:c r="J1116" s="42" t="n">
        <x:v>0.985265213604136</x:v>
      </x:c>
      <x:c r="K1116" s="42" t="n">
        <x:v>0.0009782909358716973</x:v>
      </x:c>
      <x:c r="L1116" s="26" t="n">
        <x:v>200</x:v>
      </x:c>
      <x:c r="M1116" s="26" t="n">
        <x:v>384</x:v>
      </x:c>
      <x:c r="N1116" s="26" t="n">
        <x:v>573</x:v>
      </x:c>
    </x:row>
    <x:row r="1117">
      <x:c r="A1117" s="20" t="str">
        <x:v>T2_CONCORDANT_DOMAIN</x:v>
      </x:c>
      <x:c r="B1117" s="20" t="str">
        <x:v>NYC-V2-R02</x:v>
      </x:c>
      <x:c r="C1117" s="20" t="str">
        <x:v>V2</x:v>
      </x:c>
      <x:c r="D1117" s="20" t="str">
        <x:v>disability_18_64</x:v>
      </x:c>
      <x:c r="E1117" s="20" t="str">
        <x:v>disability</x:v>
      </x:c>
      <x:c r="F1117" s="50" t="n">
        <x:v>1482</x:v>
      </x:c>
      <x:c r="G1117" s="50" t="n">
        <x:v>195.66246446367785</x:v>
      </x:c>
      <x:c r="H1117" s="50" t="n">
        <x:v>1482.109</x:v>
      </x:c>
      <x:c r="I1117" s="50" t="n">
        <x:v>196.33767749110865</x:v>
      </x:c>
      <x:c r="J1117" s="42" t="n">
        <x:v>1.0034509073024385</x:v>
      </x:c>
      <x:c r="K1117" s="42" t="n">
        <x:v>0.0005570818107535286</x:v>
      </x:c>
      <x:c r="L1117" s="26" t="n">
        <x:v>1171</x:v>
      </x:c>
      <x:c r="M1117" s="26" t="n">
        <x:v>1479</x:v>
      </x:c>
      <x:c r="N1117" s="26" t="n">
        <x:v>1803</x:v>
      </x:c>
    </x:row>
    <x:row r="1118">
      <x:c r="A1118" s="20" t="str">
        <x:v>T2_CONCORDANT_DOMAIN</x:v>
      </x:c>
      <x:c r="B1118" s="20" t="str">
        <x:v>NYC-V2-R02</x:v>
      </x:c>
      <x:c r="C1118" s="20" t="str">
        <x:v>V2</x:v>
      </x:c>
      <x:c r="D1118" s="20" t="str">
        <x:v>disability_65_plus</x:v>
      </x:c>
      <x:c r="E1118" s="20" t="str">
        <x:v>disability</x:v>
      </x:c>
      <x:c r="F1118" s="50" t="n">
        <x:v>1846</x:v>
      </x:c>
      <x:c r="G1118" s="50" t="n">
        <x:v>188.32870200795205</x:v>
      </x:c>
      <x:c r="H1118" s="50" t="n">
        <x:v>1846.144</x:v>
      </x:c>
      <x:c r="I1118" s="50" t="n">
        <x:v>188.05831860142533</x:v>
      </x:c>
      <x:c r="J1118" s="42" t="n">
        <x:v>0.9985643005891088</x:v>
      </x:c>
      <x:c r="K1118" s="42" t="n">
        <x:v>0.0007646205727787853</x:v>
      </x:c>
      <x:c r="L1118" s="26" t="n">
        <x:v>1537</x:v>
      </x:c>
      <x:c r="M1118" s="26" t="n">
        <x:v>1846</x:v>
      </x:c>
      <x:c r="N1118" s="26" t="n">
        <x:v>2167</x:v>
      </x:c>
    </x:row>
    <x:row r="1119">
      <x:c r="A1119" s="20" t="str">
        <x:v>T2_CONCORDANT_DOMAIN</x:v>
      </x:c>
      <x:c r="B1119" s="20" t="str">
        <x:v>NYC-V2-R02</x:v>
      </x:c>
      <x:c r="C1119" s="20" t="str">
        <x:v>V2</x:v>
      </x:c>
      <x:c r="D1119" s="20" t="str">
        <x:v>hearing_difficulty</x:v>
      </x:c>
      <x:c r="E1119" s="20" t="str">
        <x:v>disability</x:v>
      </x:c>
      <x:c r="F1119" s="50" t="n">
        <x:v>512</x:v>
      </x:c>
      <x:c r="G1119" s="50" t="n">
        <x:v>132.73455655919363</x:v>
      </x:c>
      <x:c r="H1119" s="50" t="n">
        <x:v>511.99</x:v>
      </x:c>
      <x:c r="I1119" s="50" t="n">
        <x:v>132.36898975760693</x:v>
      </x:c>
      <x:c r="J1119" s="42" t="n">
        <x:v>0.9972458807181558</x:v>
      </x:c>
      <x:c r="K1119" s="42" t="n">
        <x:v>-0.00007533833132241909</x:v>
      </x:c>
      <x:c r="L1119" s="26" t="n">
        <x:v>293</x:v>
      </x:c>
      <x:c r="M1119" s="26" t="n">
        <x:v>515</x:v>
      </x:c>
      <x:c r="N1119" s="26" t="n">
        <x:v>725</x:v>
      </x:c>
    </x:row>
    <x:row r="1120">
      <x:c r="A1120" s="20" t="str">
        <x:v>T2_CONCORDANT_DOMAIN</x:v>
      </x:c>
      <x:c r="B1120" s="20" t="str">
        <x:v>NYC-V2-R02</x:v>
      </x:c>
      <x:c r="C1120" s="20" t="str">
        <x:v>V2</x:v>
      </x:c>
      <x:c r="D1120" s="20" t="str">
        <x:v>vision_difficulty</x:v>
      </x:c>
      <x:c r="E1120" s="20" t="str">
        <x:v>disability</x:v>
      </x:c>
      <x:c r="F1120" s="50" t="n">
        <x:v>720</x:v>
      </x:c>
      <x:c r="G1120" s="50" t="n">
        <x:v>140.66743201248528</x:v>
      </x:c>
      <x:c r="H1120" s="50" t="n">
        <x:v>720.036</x:v>
      </x:c>
      <x:c r="I1120" s="50" t="n">
        <x:v>142.28123788699145</x:v>
      </x:c>
      <x:c r="J1120" s="42" t="n">
        <x:v>1.0114724911901636</x:v>
      </x:c>
      <x:c r="K1120" s="42" t="n">
        <x:v>0.0002559227781790262</x:v>
      </x:c>
      <x:c r="L1120" s="26" t="n">
        <x:v>493</x:v>
      </x:c>
      <x:c r="M1120" s="26" t="n">
        <x:v>720</x:v>
      </x:c>
      <x:c r="N1120" s="26" t="n">
        <x:v>950</x:v>
      </x:c>
    </x:row>
    <x:row r="1121">
      <x:c r="A1121" s="20" t="str">
        <x:v>T2_CONCORDANT_DOMAIN</x:v>
      </x:c>
      <x:c r="B1121" s="20" t="str">
        <x:v>NYC-V2-R02</x:v>
      </x:c>
      <x:c r="C1121" s="20" t="str">
        <x:v>V2</x:v>
      </x:c>
      <x:c r="D1121" s="20" t="str">
        <x:v>cognitive_difficulty</x:v>
      </x:c>
      <x:c r="E1121" s="20" t="str">
        <x:v>disability</x:v>
      </x:c>
      <x:c r="F1121" s="50" t="n">
        <x:v>1322</x:v>
      </x:c>
      <x:c r="G1121" s="50" t="n">
        <x:v>200.606981668697</x:v>
      </x:c>
      <x:c r="H1121" s="50" t="n">
        <x:v>1322.065</x:v>
      </x:c>
      <x:c r="I1121" s="50" t="n">
        <x:v>199.6330236186366</x:v>
      </x:c>
      <x:c r="J1121" s="42" t="n">
        <x:v>0.9951449443984512</x:v>
      </x:c>
      <x:c r="K1121" s="42" t="n">
        <x:v>0.00032401663919854126</x:v>
      </x:c>
      <x:c r="L1121" s="26" t="n">
        <x:v>986</x:v>
      </x:c>
      <x:c r="M1121" s="26" t="n">
        <x:v>1328</x:v>
      </x:c>
      <x:c r="N1121" s="26" t="n">
        <x:v>1640</x:v>
      </x:c>
    </x:row>
    <x:row r="1122">
      <x:c r="A1122" s="20" t="str">
        <x:v>T2_CONCORDANT_DOMAIN</x:v>
      </x:c>
      <x:c r="B1122" s="20" t="str">
        <x:v>NYC-V2-R02</x:v>
      </x:c>
      <x:c r="C1122" s="20" t="str">
        <x:v>V2</x:v>
      </x:c>
      <x:c r="D1122" s="20" t="str">
        <x:v>ambulatory_difficulty</x:v>
      </x:c>
      <x:c r="E1122" s="20" t="str">
        <x:v>disability</x:v>
      </x:c>
      <x:c r="F1122" s="50" t="n">
        <x:v>2506</x:v>
      </x:c>
      <x:c r="G1122" s="50" t="n">
        <x:v>256.26038692582466</x:v>
      </x:c>
      <x:c r="H1122" s="50" t="n">
        <x:v>2506.12</x:v>
      </x:c>
      <x:c r="I1122" s="50" t="n">
        <x:v>254.96721726896948</x:v>
      </x:c>
      <x:c r="J1122" s="42" t="n">
        <x:v>0.9949536888148479</x:v>
      </x:c>
      <x:c r="K1122" s="42" t="n">
        <x:v>0.00046827370175877095</x:v>
      </x:c>
      <x:c r="L1122" s="26" t="n">
        <x:v>2083</x:v>
      </x:c>
      <x:c r="M1122" s="26" t="n">
        <x:v>2508</x:v>
      </x:c>
      <x:c r="N1122" s="26" t="n">
        <x:v>2920</x:v>
      </x:c>
    </x:row>
    <x:row r="1123">
      <x:c r="A1123" s="20" t="str">
        <x:v>T2_CONCORDANT_DOMAIN</x:v>
      </x:c>
      <x:c r="B1123" s="20" t="str">
        <x:v>NYC-V2-R02</x:v>
      </x:c>
      <x:c r="C1123" s="20" t="str">
        <x:v>V2</x:v>
      </x:c>
      <x:c r="D1123" s="20" t="str">
        <x:v>self_care_difficulty</x:v>
      </x:c>
      <x:c r="E1123" s="20" t="str">
        <x:v>disability</x:v>
      </x:c>
      <x:c r="F1123" s="50" t="n">
        <x:v>828</x:v>
      </x:c>
      <x:c r="G1123" s="50" t="n">
        <x:v>170.2127659574468</x:v>
      </x:c>
      <x:c r="H1123" s="50" t="n">
        <x:v>828.041</x:v>
      </x:c>
      <x:c r="I1123" s="50" t="n">
        <x:v>165.82919115656216</x:v>
      </x:c>
      <x:c r="J1123" s="42" t="n">
        <x:v>0.9742464980448027</x:v>
      </x:c>
      <x:c r="K1123" s="42" t="n">
        <x:v>0.00024087500000031525</x:v>
      </x:c>
      <x:c r="L1123" s="26" t="n">
        <x:v>567</x:v>
      </x:c>
      <x:c r="M1123" s="26" t="n">
        <x:v>828</x:v>
      </x:c>
      <x:c r="N1123" s="26" t="n">
        <x:v>1086</x:v>
      </x:c>
    </x:row>
    <x:row r="1124">
      <x:c r="A1124" s="20" t="str">
        <x:v>T2_CONCORDANT_DOMAIN</x:v>
      </x:c>
      <x:c r="B1124" s="20" t="str">
        <x:v>NYC-V2-R02</x:v>
      </x:c>
      <x:c r="C1124" s="20" t="str">
        <x:v>V2</x:v>
      </x:c>
      <x:c r="D1124" s="20" t="str">
        <x:v>independent_living_difficulty</x:v>
      </x:c>
      <x:c r="E1124" s="20" t="str">
        <x:v>disability</x:v>
      </x:c>
      <x:c r="F1124" s="50" t="n">
        <x:v>1257</x:v>
      </x:c>
      <x:c r="G1124" s="50" t="n">
        <x:v>185.50000323103495</x:v>
      </x:c>
      <x:c r="H1124" s="50" t="n">
        <x:v>1257.027</x:v>
      </x:c>
      <x:c r="I1124" s="50" t="n">
        <x:v>184.06237863895552</x:v>
      </x:c>
      <x:c r="J1124" s="42" t="n">
        <x:v>0.992250002334022</x:v>
      </x:c>
      <x:c r="K1124" s="42" t="n">
        <x:v>0.00014555255811190434</x:v>
      </x:c>
      <x:c r="L1124" s="26" t="n">
        <x:v>957</x:v>
      </x:c>
      <x:c r="M1124" s="26" t="n">
        <x:v>1259</x:v>
      </x:c>
      <x:c r="N1124" s="26" t="n">
        <x:v>1549</x:v>
      </x:c>
    </x:row>
    <x:row r="1125">
      <x:c r="A1125" s="20" t="str">
        <x:v>T2_CONCORDANT_DOMAIN</x:v>
      </x:c>
      <x:c r="B1125" s="20" t="str">
        <x:v>NYC-V2-R02</x:v>
      </x:c>
      <x:c r="C1125" s="20" t="str">
        <x:v>V2</x:v>
      </x:c>
      <x:c r="D1125" s="20" t="str">
        <x:v>households</x:v>
      </x:c>
      <x:c r="E1125" s="20" t="str">
        <x:v>household</x:v>
      </x:c>
      <x:c r="F1125" s="50" t="n">
        <x:v>11727</x:v>
      </x:c>
      <x:c r="G1125" s="50" t="n">
        <x:v>401.0303604466874</x:v>
      </x:c>
      <x:c r="H1125" s="50" t="n">
        <x:v>11733.462</x:v>
      </x:c>
      <x:c r="I1125" s="50" t="n">
        <x:v>391.6625896612289</x:v>
      </x:c>
      <x:c r="J1125" s="42" t="n">
        <x:v>0.9766407441695332</x:v>
      </x:c>
      <x:c r="K1125" s="42" t="n">
        <x:v>0.016113493234781128</x:v>
      </x:c>
      <x:c r="L1125" s="26" t="n">
        <x:v>11094</x:v>
      </x:c>
      <x:c r="M1125" s="26" t="n">
        <x:v>11725</x:v>
      </x:c>
      <x:c r="N1125" s="26" t="n">
        <x:v>12413</x:v>
      </x:c>
    </x:row>
    <x:row r="1126">
      <x:c r="A1126" s="20" t="str">
        <x:v>T2_CONCORDANT_DOMAIN</x:v>
      </x:c>
      <x:c r="B1126" s="20" t="str">
        <x:v>NYC-V2-R02</x:v>
      </x:c>
      <x:c r="C1126" s="20" t="str">
        <x:v>V2</x:v>
      </x:c>
      <x:c r="D1126" s="20" t="str">
        <x:v>family_households</x:v>
      </x:c>
      <x:c r="E1126" s="20" t="str">
        <x:v>household</x:v>
      </x:c>
      <x:c r="F1126" s="50" t="n">
        <x:v>7655</x:v>
      </x:c>
      <x:c r="G1126" s="50" t="n">
        <x:v>424.5146640576742</x:v>
      </x:c>
      <x:c r="H1126" s="50" t="n">
        <x:v>7661.554</x:v>
      </x:c>
      <x:c r="I1126" s="50" t="n">
        <x:v>409.22006322288763</x:v>
      </x:c>
      <x:c r="J1126" s="42" t="n">
        <x:v>0.9639715606320994</x:v>
      </x:c>
      <x:c r="K1126" s="42" t="n">
        <x:v>0.015438807077603487</x:v>
      </x:c>
      <x:c r="L1126" s="26" t="n">
        <x:v>6987</x:v>
      </x:c>
      <x:c r="M1126" s="26" t="n">
        <x:v>7656</x:v>
      </x:c>
      <x:c r="N1126" s="26" t="n">
        <x:v>8331</x:v>
      </x:c>
    </x:row>
    <x:row r="1127">
      <x:c r="A1127" s="20" t="str">
        <x:v>T2_CONCORDANT_DOMAIN</x:v>
      </x:c>
      <x:c r="B1127" s="20" t="str">
        <x:v>NYC-V2-R02</x:v>
      </x:c>
      <x:c r="C1127" s="20" t="str">
        <x:v>V2</x:v>
      </x:c>
      <x:c r="D1127" s="20" t="str">
        <x:v>nonfamily_households</x:v>
      </x:c>
      <x:c r="E1127" s="20" t="str">
        <x:v>household</x:v>
      </x:c>
      <x:c r="F1127" s="50" t="n">
        <x:v>4072</x:v>
      </x:c>
      <x:c r="G1127" s="50" t="n">
        <x:v>306.7437855931233</x:v>
      </x:c>
      <x:c r="H1127" s="50" t="n">
        <x:v>4071.908</x:v>
      </x:c>
      <x:c r="I1127" s="50" t="n">
        <x:v>285.73014761003657</x:v>
      </x:c>
      <x:c r="J1127" s="42" t="n">
        <x:v>0.9314944948519348</x:v>
      </x:c>
      <x:c r="K1127" s="42" t="n">
        <x:v>-0.0002999245765393616</x:v>
      </x:c>
      <x:c r="L1127" s="26" t="n">
        <x:v>3621</x:v>
      </x:c>
      <x:c r="M1127" s="26" t="n">
        <x:v>4063</x:v>
      </x:c>
      <x:c r="N1127" s="26" t="n">
        <x:v>4547</x:v>
      </x:c>
    </x:row>
    <x:row r="1128">
      <x:c r="A1128" s="20" t="str">
        <x:v>T2_CONCORDANT_DOMAIN</x:v>
      </x:c>
      <x:c r="B1128" s="20" t="str">
        <x:v>NYC-V2-R02</x:v>
      </x:c>
      <x:c r="C1128" s="20" t="str">
        <x:v>V2</x:v>
      </x:c>
      <x:c r="D1128" s="20" t="str">
        <x:v>living_alone_households</x:v>
      </x:c>
      <x:c r="E1128" s="20" t="str">
        <x:v>household</x:v>
      </x:c>
      <x:c r="F1128" s="50" t="n">
        <x:v>3663</x:v>
      </x:c>
      <x:c r="G1128" s="50" t="n">
        <x:v>297.7568639007336</x:v>
      </x:c>
      <x:c r="H1128" s="50" t="n">
        <x:v>3662.936</x:v>
      </x:c>
      <x:c r="I1128" s="50" t="n">
        <x:v>280.8462756287406</x:v>
      </x:c>
      <x:c r="J1128" s="42" t="n">
        <x:v>0.9432067222550051</x:v>
      </x:c>
      <x:c r="K1128" s="42" t="n">
        <x:v>-0.00021494046908415588</x:v>
      </x:c>
      <x:c r="L1128" s="26" t="n">
        <x:v>3219</x:v>
      </x:c>
      <x:c r="M1128" s="26" t="n">
        <x:v>3657</x:v>
      </x:c>
      <x:c r="N1128" s="26" t="n">
        <x:v>4147</x:v>
      </x:c>
    </x:row>
    <x:row r="1129">
      <x:c r="A1129" s="20" t="str">
        <x:v>T2_CONCORDANT_DOMAIN</x:v>
      </x:c>
      <x:c r="B1129" s="20" t="str">
        <x:v>NYC-V2-R02</x:v>
      </x:c>
      <x:c r="C1129" s="20" t="str">
        <x:v>V2</x:v>
      </x:c>
      <x:c r="D1129" s="20" t="str">
        <x:v>households_with_children</x:v>
      </x:c>
      <x:c r="E1129" s="20" t="str">
        <x:v>household</x:v>
      </x:c>
      <x:c r="F1129" s="50" t="n">
        <x:v>3031</x:v>
      </x:c>
      <x:c r="G1129" s="50" t="n">
        <x:v>311.79376196453967</x:v>
      </x:c>
      <x:c r="H1129" s="50" t="n">
        <x:v>3030.974</x:v>
      </x:c>
      <x:c r="I1129" s="50" t="n">
        <x:v>321.0524131290341</x:v>
      </x:c>
      <x:c r="J1129" s="42" t="n">
        <x:v>1.0296947928212477</x:v>
      </x:c>
      <x:c r="K1129" s="42" t="n">
        <x:v>-0.0000833884547144882</x:v>
      </x:c>
      <x:c r="L1129" s="26" t="n">
        <x:v>2491</x:v>
      </x:c>
      <x:c r="M1129" s="26" t="n">
        <x:v>3048</x:v>
      </x:c>
      <x:c r="N1129" s="26" t="n">
        <x:v>3542</x:v>
      </x:c>
    </x:row>
    <x:row r="1130">
      <x:c r="A1130" s="20" t="str">
        <x:v>T2_CONCORDANT_DOMAIN</x:v>
      </x:c>
      <x:c r="B1130" s="20" t="str">
        <x:v>NYC-V2-R02</x:v>
      </x:c>
      <x:c r="C1130" s="20" t="str">
        <x:v>V2</x:v>
      </x:c>
      <x:c r="D1130" s="20" t="str">
        <x:v>households_with_age65</x:v>
      </x:c>
      <x:c r="E1130" s="20" t="str">
        <x:v>household</x:v>
      </x:c>
      <x:c r="F1130" s="50" t="n">
        <x:v>4698</x:v>
      </x:c>
      <x:c r="G1130" s="50" t="n">
        <x:v>292.9354877784527</x:v>
      </x:c>
      <x:c r="H1130" s="50" t="n">
        <x:v>4697.951</x:v>
      </x:c>
      <x:c r="I1130" s="50" t="n">
        <x:v>288.74901661060875</x:v>
      </x:c>
      <x:c r="J1130" s="42" t="n">
        <x:v>0.9857085558339379</x:v>
      </x:c>
      <x:c r="K1130" s="42" t="n">
        <x:v>-0.0001672723246049209</x:v>
      </x:c>
      <x:c r="L1130" s="26" t="n">
        <x:v>4216</x:v>
      </x:c>
      <x:c r="M1130" s="26" t="n">
        <x:v>4706</x:v>
      </x:c>
      <x:c r="N1130" s="26" t="n">
        <x:v>5173</x:v>
      </x:c>
    </x:row>
    <x:row r="1131">
      <x:c r="A1131" s="20" t="str">
        <x:v>T2_CONCORDANT_DOMAIN</x:v>
      </x:c>
      <x:c r="B1131" s="20" t="str">
        <x:v>NYC-V2-R02</x:v>
      </x:c>
      <x:c r="C1131" s="20" t="str">
        <x:v>V2</x:v>
      </x:c>
      <x:c r="D1131" s="20" t="str">
        <x:v>age65_one_person_households</x:v>
      </x:c>
      <x:c r="E1131" s="20" t="str">
        <x:v>household</x:v>
      </x:c>
      <x:c r="F1131" s="50" t="n">
        <x:v>1335</x:v>
      </x:c>
      <x:c r="G1131" s="50" t="n">
        <x:v>176.08350291835973</x:v>
      </x:c>
      <x:c r="H1131" s="50" t="n">
        <x:v>1334.981</x:v>
      </x:c>
      <x:c r="I1131" s="50" t="n">
        <x:v>173.57678283266614</x:v>
      </x:c>
      <x:c r="J1131" s="42" t="n">
        <x:v>0.9857640264752353</x:v>
      </x:c>
      <x:c r="K1131" s="42" t="n">
        <x:v>-0.00010790335088242034</x:v>
      </x:c>
      <x:c r="L1131" s="26" t="n">
        <x:v>1053</x:v>
      </x:c>
      <x:c r="M1131" s="26" t="n">
        <x:v>1337</x:v>
      </x:c>
      <x:c r="N1131" s="26" t="n">
        <x:v>1625</x:v>
      </x:c>
    </x:row>
    <x:row r="1132">
      <x:c r="A1132" s="20" t="str">
        <x:v>T2_CONCORDANT_DOMAIN</x:v>
      </x:c>
      <x:c r="B1132" s="20" t="str">
        <x:v>NYC-V2-R02</x:v>
      </x:c>
      <x:c r="C1132" s="20" t="str">
        <x:v>V2</x:v>
      </x:c>
      <x:c r="D1132" s="20" t="str">
        <x:v>no_vehicle_households</x:v>
      </x:c>
      <x:c r="E1132" s="20" t="str">
        <x:v>household</x:v>
      </x:c>
      <x:c r="F1132" s="50" t="n">
        <x:v>6252</x:v>
      </x:c>
      <x:c r="G1132" s="50" t="n">
        <x:v>379.7037568307391</x:v>
      </x:c>
      <x:c r="H1132" s="50" t="n">
        <x:v>6252.077</x:v>
      </x:c>
      <x:c r="I1132" s="50" t="n">
        <x:v>377.26403913734765</x:v>
      </x:c>
      <x:c r="J1132" s="42" t="n">
        <x:v>0.9935746811836813</x:v>
      </x:c>
      <x:c r="K1132" s="42" t="n">
        <x:v>0.0002027896711976698</x:v>
      </x:c>
      <x:c r="L1132" s="26" t="n">
        <x:v>5614</x:v>
      </x:c>
      <x:c r="M1132" s="26" t="n">
        <x:v>6253</x:v>
      </x:c>
      <x:c r="N1132" s="26" t="n">
        <x:v>6873</x:v>
      </x:c>
    </x:row>
    <x:row r="1133">
      <x:c r="A1133" s="20" t="str">
        <x:v>T2_CONCORDANT_DOMAIN</x:v>
      </x:c>
      <x:c r="B1133" s="20" t="str">
        <x:v>NYC-V2-R02</x:v>
      </x:c>
      <x:c r="C1133" s="20" t="str">
        <x:v>V2</x:v>
      </x:c>
      <x:c r="D1133" s="20" t="str">
        <x:v>limited_english_households</x:v>
      </x:c>
      <x:c r="E1133" s="20" t="str">
        <x:v>household</x:v>
      </x:c>
      <x:c r="F1133" s="50" t="n">
        <x:v>827</x:v>
      </x:c>
      <x:c r="G1133" s="50" t="n">
        <x:v>147.05216177318388</x:v>
      </x:c>
      <x:c r="H1133" s="50" t="n">
        <x:v>827.095</x:v>
      </x:c>
      <x:c r="I1133" s="50" t="n">
        <x:v>148.51550366823602</x:v>
      </x:c>
      <x:c r="J1133" s="42" t="n">
        <x:v>1.009951175674039</x:v>
      </x:c>
      <x:c r="K1133" s="42" t="n">
        <x:v>0.0006460292650886503</x:v>
      </x:c>
      <x:c r="L1133" s="26" t="n">
        <x:v>576</x:v>
      </x:c>
      <x:c r="M1133" s="26" t="n">
        <x:v>831</x:v>
      </x:c>
      <x:c r="N1133" s="26" t="n">
        <x:v>1057</x:v>
      </x:c>
    </x:row>
    <x:row r="1134">
      <x:c r="A1134" s="20" t="str">
        <x:v>T2_CONCORDANT_DOMAIN</x:v>
      </x:c>
      <x:c r="B1134" s="20" t="str">
        <x:v>NYC-V2-R02</x:v>
      </x:c>
      <x:c r="C1134" s="20" t="str">
        <x:v>V2</x:v>
      </x:c>
      <x:c r="D1134" s="20" t="str">
        <x:v>housing_units</x:v>
      </x:c>
      <x:c r="E1134" s="20" t="str">
        <x:v>housing</x:v>
      </x:c>
      <x:c r="F1134" s="50" t="n">
        <x:v>13573</x:v>
      </x:c>
      <x:c r="G1134" s="50" t="n">
        <x:v>377.41813681909883</x:v>
      </x:c>
      <x:c r="H1134" s="50" t="n">
        <x:v>13579.375</x:v>
      </x:c>
      <x:c r="I1134" s="50" t="n">
        <x:v>466.72475225701214</x:v>
      </x:c>
      <x:c r="J1134" s="42" t="n">
        <x:v>1.2366251293342563</x:v>
      </x:c>
      <x:c r="K1134" s="42" t="n">
        <x:v>0.01689108015245069</x:v>
      </x:c>
      <x:c r="L1134" s="26" t="n">
        <x:v>12851</x:v>
      </x:c>
      <x:c r="M1134" s="26" t="n">
        <x:v>13547</x:v>
      </x:c>
      <x:c r="N1134" s="26" t="n">
        <x:v>14336</x:v>
      </x:c>
    </x:row>
    <x:row r="1135">
      <x:c r="A1135" s="20" t="str">
        <x:v>T2_CONCORDANT_DOMAIN</x:v>
      </x:c>
      <x:c r="B1135" s="20" t="str">
        <x:v>NYC-V2-R02</x:v>
      </x:c>
      <x:c r="C1135" s="20" t="str">
        <x:v>V2</x:v>
      </x:c>
      <x:c r="D1135" s="20" t="str">
        <x:v>occupied_housing_units</x:v>
      </x:c>
      <x:c r="E1135" s="20" t="str">
        <x:v>housing</x:v>
      </x:c>
      <x:c r="F1135" s="50" t="n">
        <x:v>11727</x:v>
      </x:c>
      <x:c r="G1135" s="50" t="n">
        <x:v>401.0303604466874</x:v>
      </x:c>
      <x:c r="H1135" s="50" t="n">
        <x:v>11733.462</x:v>
      </x:c>
      <x:c r="I1135" s="50" t="n">
        <x:v>391.6625896612289</x:v>
      </x:c>
      <x:c r="J1135" s="42" t="n">
        <x:v>0.9766407441695332</x:v>
      </x:c>
      <x:c r="K1135" s="42" t="n">
        <x:v>0.016113493234781128</x:v>
      </x:c>
      <x:c r="L1135" s="26" t="n">
        <x:v>11094</x:v>
      </x:c>
      <x:c r="M1135" s="26" t="n">
        <x:v>11725</x:v>
      </x:c>
      <x:c r="N1135" s="26" t="n">
        <x:v>12413</x:v>
      </x:c>
    </x:row>
    <x:row r="1136">
      <x:c r="A1136" s="20" t="str">
        <x:v>T2_CONCORDANT_DOMAIN</x:v>
      </x:c>
      <x:c r="B1136" s="20" t="str">
        <x:v>NYC-V2-R02</x:v>
      </x:c>
      <x:c r="C1136" s="20" t="str">
        <x:v>V2</x:v>
      </x:c>
      <x:c r="D1136" s="20" t="str">
        <x:v>vacant_housing_units</x:v>
      </x:c>
      <x:c r="E1136" s="20" t="str">
        <x:v>housing</x:v>
      </x:c>
      <x:c r="F1136" s="50" t="n">
        <x:v>1846</x:v>
      </x:c>
      <x:c r="G1136" s="50" t="n">
        <x:v>179.9285969489008</x:v>
      </x:c>
      <x:c r="H1136" s="50" t="n">
        <x:v>1845.913</x:v>
      </x:c>
      <x:c r="I1136" s="50" t="n">
        <x:v>178.04256397161208</x:v>
      </x:c>
      <x:c r="J1136" s="42" t="n">
        <x:v>0.9895178809301539</x:v>
      </x:c>
      <x:c r="K1136" s="42" t="n">
        <x:v>-0.0004835251398347581</x:v>
      </x:c>
      <x:c r="L1136" s="26" t="n">
        <x:v>1560</x:v>
      </x:c>
      <x:c r="M1136" s="26" t="n">
        <x:v>1846</x:v>
      </x:c>
      <x:c r="N1136" s="26" t="n">
        <x:v>2137</x:v>
      </x:c>
    </x:row>
    <x:row r="1137">
      <x:c r="A1137" s="20" t="str">
        <x:v>T2_CONCORDANT_DOMAIN</x:v>
      </x:c>
      <x:c r="B1137" s="20" t="str">
        <x:v>NYC-V2-R02</x:v>
      </x:c>
      <x:c r="C1137" s="20" t="str">
        <x:v>V2</x:v>
      </x:c>
      <x:c r="D1137" s="20" t="str">
        <x:v>owner_occupied_units</x:v>
      </x:c>
      <x:c r="E1137" s="20" t="str">
        <x:v>housing</x:v>
      </x:c>
      <x:c r="F1137" s="50" t="n">
        <x:v>3365</x:v>
      </x:c>
      <x:c r="G1137" s="50" t="n">
        <x:v>247.30511376058348</x:v>
      </x:c>
      <x:c r="H1137" s="50" t="n">
        <x:v>3365.051</x:v>
      </x:c>
      <x:c r="I1137" s="50" t="n">
        <x:v>216.09031311565641</x:v>
      </x:c>
      <x:c r="J1137" s="42" t="n">
        <x:v>0.8737802054706149</x:v>
      </x:c>
      <x:c r="K1137" s="42" t="n">
        <x:v>0.00020622298999164275</x:v>
      </x:c>
      <x:c r="L1137" s="26" t="n">
        <x:v>3013</x:v>
      </x:c>
      <x:c r="M1137" s="26" t="n">
        <x:v>3374</x:v>
      </x:c>
      <x:c r="N1137" s="26" t="n">
        <x:v>3725</x:v>
      </x:c>
    </x:row>
    <x:row r="1138">
      <x:c r="A1138" s="20" t="str">
        <x:v>T2_CONCORDANT_DOMAIN</x:v>
      </x:c>
      <x:c r="B1138" s="20" t="str">
        <x:v>NYC-V2-R02</x:v>
      </x:c>
      <x:c r="C1138" s="20" t="str">
        <x:v>V2</x:v>
      </x:c>
      <x:c r="D1138" s="20" t="str">
        <x:v>renter_occupied_units</x:v>
      </x:c>
      <x:c r="E1138" s="20" t="str">
        <x:v>housing</x:v>
      </x:c>
      <x:c r="F1138" s="50" t="n">
        <x:v>8362</x:v>
      </x:c>
      <x:c r="G1138" s="50" t="n">
        <x:v>382.6239491517273</x:v>
      </x:c>
      <x:c r="H1138" s="50" t="n">
        <x:v>8368.411</x:v>
      </x:c>
      <x:c r="I1138" s="50" t="n">
        <x:v>298.06008100866325</x:v>
      </x:c>
      <x:c r="J1138" s="42" t="n">
        <x:v>0.778989610215092</x:v>
      </x:c>
      <x:c r="K1138" s="42" t="n">
        <x:v>0.01675535473985141</x:v>
      </x:c>
      <x:c r="L1138" s="26" t="n">
        <x:v>7895</x:v>
      </x:c>
      <x:c r="M1138" s="26" t="n">
        <x:v>8363</x:v>
      </x:c>
      <x:c r="N1138" s="26" t="n">
        <x:v>8873</x:v>
      </x:c>
    </x:row>
    <x:row r="1139">
      <x:c r="A1139" s="20" t="str">
        <x:v>T2_CONCORDANT_DOMAIN</x:v>
      </x:c>
      <x:c r="B1139" s="20" t="str">
        <x:v>NYC-V2-R02</x:v>
      </x:c>
      <x:c r="C1139" s="20" t="str">
        <x:v>V2</x:v>
      </x:c>
      <x:c r="D1139" s="20" t="str">
        <x:v>one_unit_structures</x:v>
      </x:c>
      <x:c r="E1139" s="20" t="str">
        <x:v>housing</x:v>
      </x:c>
      <x:c r="F1139" s="50" t="n">
        <x:v>2708</x:v>
      </x:c>
      <x:c r="G1139" s="50" t="n">
        <x:v>237.24022469937137</x:v>
      </x:c>
      <x:c r="H1139" s="50" t="n">
        <x:v>2707.936</x:v>
      </x:c>
      <x:c r="I1139" s="50" t="n">
        <x:v>184.50098785241914</x:v>
      </x:c>
      <x:c r="J1139" s="42" t="n">
        <x:v>0.7776969023116426</x:v>
      </x:c>
      <x:c r="K1139" s="42" t="n">
        <x:v>-0.0002697687547756754</x:v>
      </x:c>
      <x:c r="L1139" s="26" t="n">
        <x:v>2399</x:v>
      </x:c>
      <x:c r="M1139" s="26" t="n">
        <x:v>2708</x:v>
      </x:c>
      <x:c r="N1139" s="26" t="n">
        <x:v>3006</x:v>
      </x:c>
    </x:row>
    <x:row r="1140">
      <x:c r="A1140" s="20" t="str">
        <x:v>T2_CONCORDANT_DOMAIN</x:v>
      </x:c>
      <x:c r="B1140" s="20" t="str">
        <x:v>NYC-V2-R02</x:v>
      </x:c>
      <x:c r="C1140" s="20" t="str">
        <x:v>V2</x:v>
      </x:c>
      <x:c r="D1140" s="20" t="str">
        <x:v>two_to_four_unit_structures</x:v>
      </x:c>
      <x:c r="E1140" s="20" t="str">
        <x:v>housing</x:v>
      </x:c>
      <x:c r="F1140" s="50" t="n">
        <x:v>2494</x:v>
      </x:c>
      <x:c r="G1140" s="50" t="n">
        <x:v>274.9689963046367</x:v>
      </x:c>
      <x:c r="H1140" s="50" t="n">
        <x:v>2493.911</x:v>
      </x:c>
      <x:c r="I1140" s="50" t="n">
        <x:v>197.57953525543013</x:v>
      </x:c>
      <x:c r="J1140" s="42" t="n">
        <x:v>0.7185520473607607</x:v>
      </x:c>
      <x:c r="K1140" s="42" t="n">
        <x:v>-0.0003236728547437369</x:v>
      </x:c>
      <x:c r="L1140" s="26" t="n">
        <x:v>2184</x:v>
      </x:c>
      <x:c r="M1140" s="26" t="n">
        <x:v>2490</x:v>
      </x:c>
      <x:c r="N1140" s="26" t="n">
        <x:v>2841</x:v>
      </x:c>
    </x:row>
    <x:row r="1141">
      <x:c r="A1141" s="20" t="str">
        <x:v>T2_CONCORDANT_DOMAIN</x:v>
      </x:c>
      <x:c r="B1141" s="20" t="str">
        <x:v>NYC-V2-R02</x:v>
      </x:c>
      <x:c r="C1141" s="20" t="str">
        <x:v>V2</x:v>
      </x:c>
      <x:c r="D1141" s="20" t="str">
        <x:v>five_to_nineteen_unit_structures</x:v>
      </x:c>
      <x:c r="E1141" s="20" t="str">
        <x:v>housing</x:v>
      </x:c>
      <x:c r="F1141" s="50" t="n">
        <x:v>1372</x:v>
      </x:c>
      <x:c r="G1141" s="50" t="n">
        <x:v>217.65125289221675</x:v>
      </x:c>
      <x:c r="H1141" s="50" t="n">
        <x:v>1371.894</x:v>
      </x:c>
      <x:c r="I1141" s="50" t="n">
        <x:v>169.78791093213525</x:v>
      </x:c>
      <x:c r="J1141" s="42" t="n">
        <x:v>0.7800915853960926</x:v>
      </x:c>
      <x:c r="K1141" s="42" t="n">
        <x:v>-0.0004870176421749655</x:v>
      </x:c>
      <x:c r="L1141" s="26" t="n">
        <x:v>1098</x:v>
      </x:c>
      <x:c r="M1141" s="26" t="n">
        <x:v>1372</x:v>
      </x:c>
      <x:c r="N1141" s="26" t="n">
        <x:v>1644</x:v>
      </x:c>
    </x:row>
    <x:row r="1142">
      <x:c r="A1142" s="20" t="str">
        <x:v>T2_CONCORDANT_DOMAIN</x:v>
      </x:c>
      <x:c r="B1142" s="20" t="str">
        <x:v>NYC-V2-R02</x:v>
      </x:c>
      <x:c r="C1142" s="20" t="str">
        <x:v>V2</x:v>
      </x:c>
      <x:c r="D1142" s="20" t="str">
        <x:v>twenty_to_forty_nine_unit_structures</x:v>
      </x:c>
      <x:c r="E1142" s="20" t="str">
        <x:v>housing</x:v>
      </x:c>
      <x:c r="F1142" s="50" t="n">
        <x:v>2896</x:v>
      </x:c>
      <x:c r="G1142" s="50" t="n">
        <x:v>283.7245598021828</x:v>
      </x:c>
      <x:c r="H1142" s="50" t="n">
        <x:v>2889.471</x:v>
      </x:c>
      <x:c r="I1142" s="50" t="n">
        <x:v>202.9587529879271</x:v>
      </x:c>
      <x:c r="J1142" s="42" t="n">
        <x:v>0.715337273338033</x:v>
      </x:c>
      <x:c r="K1142" s="42" t="n">
        <x:v>-0.02301175479680757</x:v>
      </x:c>
      <x:c r="L1142" s="26" t="n">
        <x:v>2543</x:v>
      </x:c>
      <x:c r="M1142" s="26" t="n">
        <x:v>2889</x:v>
      </x:c>
      <x:c r="N1142" s="26" t="n">
        <x:v>3215</x:v>
      </x:c>
    </x:row>
    <x:row r="1143">
      <x:c r="A1143" s="20" t="str">
        <x:v>T2_CONCORDANT_DOMAIN</x:v>
      </x:c>
      <x:c r="B1143" s="20" t="str">
        <x:v>NYC-V2-R02</x:v>
      </x:c>
      <x:c r="C1143" s="20" t="str">
        <x:v>V2</x:v>
      </x:c>
      <x:c r="D1143" s="20" t="str">
        <x:v>fifty_plus_unit_structures</x:v>
      </x:c>
      <x:c r="E1143" s="20" t="str">
        <x:v>housing</x:v>
      </x:c>
      <x:c r="F1143" s="50" t="n">
        <x:v>2238</x:v>
      </x:c>
      <x:c r="G1143" s="50" t="n">
        <x:v>250.06166034068377</x:v>
      </x:c>
      <x:c r="H1143" s="50" t="n">
        <x:v>2237.892</x:v>
      </x:c>
      <x:c r="I1143" s="50" t="n">
        <x:v>190.20910030237204</x:v>
      </x:c>
      <x:c r="J1143" s="42" t="n">
        <x:v>0.7606487937544337</x:v>
      </x:c>
      <x:c r="K1143" s="42" t="n">
        <x:v>-0.00043189347720492426</x:v>
      </x:c>
      <x:c r="L1143" s="26" t="n">
        <x:v>1936</x:v>
      </x:c>
      <x:c r="M1143" s="26" t="n">
        <x:v>2236</x:v>
      </x:c>
      <x:c r="N1143" s="26" t="n">
        <x:v>2557</x:v>
      </x:c>
    </x:row>
    <x:row r="1144">
      <x:c r="A1144" s="20" t="str">
        <x:v>T2_CONCORDANT_DOMAIN</x:v>
      </x:c>
      <x:c r="B1144" s="20" t="str">
        <x:v>NYC-V2-R02</x:v>
      </x:c>
      <x:c r="C1144" s="20" t="str">
        <x:v>V2</x:v>
      </x:c>
      <x:c r="D1144" s="20" t="str">
        <x:v>mobile_or_other_units</x:v>
      </x:c>
      <x:c r="E1144" s="20" t="str">
        <x:v>housing</x:v>
      </x:c>
      <x:c r="F1144" s="50" t="n">
        <x:v>19</x:v>
      </x:c>
      <x:c r="G1144" s="50" t="n">
        <x:v>58.51359878824627</x:v>
      </x:c>
      <x:c r="H1144" s="50" t="n">
        <x:v>32.358</x:v>
      </x:c>
      <x:c r="I1144" s="50" t="n">
        <x:v>37.57077853065331</x:v>
      </x:c>
      <x:c r="J1144" s="42" t="n">
        <x:v>0.6420862723999846</x:v>
      </x:c>
      <x:c r="K1144" s="42" t="n">
        <x:v>0.22828881279958535</x:v>
      </x:c>
      <x:c r="L1144" s="26" t="n">
        <x:v>0</x:v>
      </x:c>
      <x:c r="M1144" s="26" t="n">
        <x:v>20</x:v>
      </x:c>
      <x:c r="N1144" s="26" t="n">
        <x:v>109</x:v>
      </x:c>
    </x:row>
    <x:row r="1145">
      <x:c r="A1145" s="20" t="str">
        <x:v>T2_CONCORDANT_DOMAIN</x:v>
      </x:c>
      <x:c r="B1145" s="20" t="str">
        <x:v>NYC-V2-R02</x:v>
      </x:c>
      <x:c r="C1145" s="20" t="str">
        <x:v>V2</x:v>
      </x:c>
      <x:c r="D1145" s="20" t="str">
        <x:v>electric_heat_households</x:v>
      </x:c>
      <x:c r="E1145" s="20" t="str">
        <x:v>housing</x:v>
      </x:c>
      <x:c r="F1145" s="50" t="n">
        <x:v>1098</x:v>
      </x:c>
      <x:c r="G1145" s="50" t="n">
        <x:v>147.60826535123297</x:v>
      </x:c>
      <x:c r="H1145" s="50" t="n">
        <x:v>1098.023</x:v>
      </x:c>
      <x:c r="I1145" s="50" t="n">
        <x:v>149.4917196544519</x:v>
      </x:c>
      <x:c r="J1145" s="42" t="n">
        <x:v>1.012759815981424</x:v>
      </x:c>
      <x:c r="K1145" s="42" t="n">
        <x:v>0.00015581783272896344</x:v>
      </x:c>
      <x:c r="L1145" s="26" t="n">
        <x:v>854</x:v>
      </x:c>
      <x:c r="M1145" s="26" t="n">
        <x:v>1096</x:v>
      </x:c>
      <x:c r="N1145" s="26" t="n">
        <x:v>1339</x:v>
      </x:c>
    </x:row>
    <x:row r="1146">
      <x:c r="A1146" s="20" t="str">
        <x:v>T2_CONCORDANT_DOMAIN</x:v>
      </x:c>
      <x:c r="B1146" s="20" t="str">
        <x:v>NYC-V2-R02</x:v>
      </x:c>
      <x:c r="C1146" s="20" t="str">
        <x:v>V2</x:v>
      </x:c>
      <x:c r="D1146" s="20" t="str">
        <x:v>group_quarters_population</x:v>
      </x:c>
      <x:c r="E1146" s="20" t="str">
        <x:v>population</x:v>
      </x:c>
      <x:c r="F1146" s="50" t="n">
        <x:v>333</x:v>
      </x:c>
      <x:c r="G1146" s="50" t="n">
        <x:v>21.473239159474755</x:v>
      </x:c>
      <x:c r="H1146" s="50" t="n">
        <x:v>333.001</x:v>
      </x:c>
      <x:c r="I1146" s="50" t="n">
        <x:v>21.449640698298097</x:v>
      </x:c>
      <x:c r="J1146" s="42" t="n">
        <x:v>0.9989010292764218</x:v>
      </x:c>
      <x:c r="K1146" s="42" t="n">
        <x:v>0.000046569592624088</x:v>
      </x:c>
      <x:c r="L1146" s="26" t="n">
        <x:v>300</x:v>
      </x:c>
      <x:c r="M1146" s="26" t="n">
        <x:v>333</x:v>
      </x:c>
      <x:c r="N1146" s="26" t="n">
        <x:v>368</x:v>
      </x:c>
    </x:row>
    <x:row r="1147">
      <x:c r="A1147" s="20" t="str">
        <x:v>T2_CONCORDANT_DOMAIN</x:v>
      </x:c>
      <x:c r="B1147" s="20" t="str">
        <x:v>NYC-V2-R03</x:v>
      </x:c>
      <x:c r="C1147" s="20" t="str">
        <x:v>V2</x:v>
      </x:c>
      <x:c r="D1147" s="20" t="str">
        <x:v>acs_population</x:v>
      </x:c>
      <x:c r="E1147" s="20" t="str">
        <x:v>population</x:v>
      </x:c>
      <x:c r="F1147" s="50" t="n">
        <x:v>38764</x:v>
      </x:c>
      <x:c r="G1147" s="50" t="n">
        <x:v>1372.3163629425976</x:v>
      </x:c>
      <x:c r="H1147" s="50" t="n">
        <x:v>39359.308</x:v>
      </x:c>
      <x:c r="I1147" s="50" t="n">
        <x:v>1171.6011874688752</x:v>
      </x:c>
      <x:c r="J1147" s="42" t="n">
        <x:v>0.8537398657527207</x:v>
      </x:c>
      <x:c r="K1147" s="42" t="n">
        <x:v>0.433797931785572</x:v>
      </x:c>
      <x:c r="L1147" s="26" t="n">
        <x:v>37440</x:v>
      </x:c>
      <x:c r="M1147" s="26" t="n">
        <x:v>39350</x:v>
      </x:c>
      <x:c r="N1147" s="26" t="n">
        <x:v>41257</x:v>
      </x:c>
    </x:row>
    <x:row r="1148">
      <x:c r="A1148" s="20" t="str">
        <x:v>T2_CONCORDANT_DOMAIN</x:v>
      </x:c>
      <x:c r="B1148" s="20" t="str">
        <x:v>NYC-V2-R03</x:v>
      </x:c>
      <x:c r="C1148" s="20" t="str">
        <x:v>V2</x:v>
      </x:c>
      <x:c r="D1148" s="20" t="str">
        <x:v>age_under_18</x:v>
      </x:c>
      <x:c r="E1148" s="20" t="str">
        <x:v>population</x:v>
      </x:c>
      <x:c r="F1148" s="50" t="n">
        <x:v>7977</x:v>
      </x:c>
      <x:c r="G1148" s="50" t="n">
        <x:v>702.6615116825454</x:v>
      </x:c>
      <x:c r="H1148" s="50" t="n">
        <x:v>7976.619</x:v>
      </x:c>
      <x:c r="I1148" s="50" t="n">
        <x:v>705.7522639688074</x:v>
      </x:c>
      <x:c r="J1148" s="42" t="n">
        <x:v>1.0043986360927342</x:v>
      </x:c>
      <x:c r="K1148" s="42" t="n">
        <x:v>-0.000542224091779264</x:v>
      </x:c>
      <x:c r="L1148" s="26" t="n">
        <x:v>6815</x:v>
      </x:c>
      <x:c r="M1148" s="26" t="n">
        <x:v>7999</x:v>
      </x:c>
      <x:c r="N1148" s="26" t="n">
        <x:v>9084</x:v>
      </x:c>
    </x:row>
    <x:row r="1149">
      <x:c r="A1149" s="20" t="str">
        <x:v>T2_CONCORDANT_DOMAIN</x:v>
      </x:c>
      <x:c r="B1149" s="20" t="str">
        <x:v>NYC-V2-R03</x:v>
      </x:c>
      <x:c r="C1149" s="20" t="str">
        <x:v>V2</x:v>
      </x:c>
      <x:c r="D1149" s="20" t="str">
        <x:v>age_65_plus</x:v>
      </x:c>
      <x:c r="E1149" s="20" t="str">
        <x:v>population</x:v>
      </x:c>
      <x:c r="F1149" s="50" t="n">
        <x:v>4703</x:v>
      </x:c>
      <x:c r="G1149" s="50" t="n">
        <x:v>311.46685216889455</x:v>
      </x:c>
      <x:c r="H1149" s="50" t="n">
        <x:v>4703.073</x:v>
      </x:c>
      <x:c r="I1149" s="50" t="n">
        <x:v>309.3521171794423</x:v>
      </x:c>
      <x:c r="J1149" s="42" t="n">
        <x:v>0.9932104011238232</x:v>
      </x:c>
      <x:c r="K1149" s="42" t="n">
        <x:v>0.0002343748604128683</x:v>
      </x:c>
      <x:c r="L1149" s="26" t="n">
        <x:v>4206</x:v>
      </x:c>
      <x:c r="M1149" s="26" t="n">
        <x:v>4703</x:v>
      </x:c>
      <x:c r="N1149" s="26" t="n">
        <x:v>5200</x:v>
      </x:c>
    </x:row>
    <x:row r="1150">
      <x:c r="A1150" s="20" t="str">
        <x:v>T2_CONCORDANT_DOMAIN</x:v>
      </x:c>
      <x:c r="B1150" s="20" t="str">
        <x:v>NYC-V2-R03</x:v>
      </x:c>
      <x:c r="C1150" s="20" t="str">
        <x:v>V2</x:v>
      </x:c>
      <x:c r="D1150" s="20" t="str">
        <x:v>age_75_plus</x:v>
      </x:c>
      <x:c r="E1150" s="20" t="str">
        <x:v>population</x:v>
      </x:c>
      <x:c r="F1150" s="50" t="n">
        <x:v>1719</x:v>
      </x:c>
      <x:c r="G1150" s="50" t="n">
        <x:v>207.76501149134808</x:v>
      </x:c>
      <x:c r="H1150" s="50" t="n">
        <x:v>1719</x:v>
      </x:c>
      <x:c r="I1150" s="50" t="n">
        <x:v>203.24250420499033</x:v>
      </x:c>
      <x:c r="J1150" s="42" t="n">
        <x:v>0.9782325847172488</x:v>
      </x:c>
      <x:c r="K1150" s="42" t="n">
        <x:v>0</x:v>
      </x:c>
      <x:c r="L1150" s="26" t="n">
        <x:v>1395</x:v>
      </x:c>
      <x:c r="M1150" s="26" t="n">
        <x:v>1720</x:v>
      </x:c>
      <x:c r="N1150" s="26" t="n">
        <x:v>2064</x:v>
      </x:c>
    </x:row>
    <x:row r="1151">
      <x:c r="A1151" s="20" t="str">
        <x:v>T2_CONCORDANT_DOMAIN</x:v>
      </x:c>
      <x:c r="B1151" s="20" t="str">
        <x:v>NYC-V2-R03</x:v>
      </x:c>
      <x:c r="C1151" s="20" t="str">
        <x:v>V2</x:v>
      </x:c>
      <x:c r="D1151" s="20" t="str">
        <x:v>age_85_plus</x:v>
      </x:c>
      <x:c r="E1151" s="20" t="str">
        <x:v>population</x:v>
      </x:c>
      <x:c r="F1151" s="50" t="n">
        <x:v>558</x:v>
      </x:c>
      <x:c r="G1151" s="50" t="n">
        <x:v>119.77645845490675</x:v>
      </x:c>
      <x:c r="H1151" s="50" t="n">
        <x:v>558.002</x:v>
      </x:c>
      <x:c r="I1151" s="50" t="n">
        <x:v>120.67265591626747</x:v>
      </x:c>
      <x:c r="J1151" s="42" t="n">
        <x:v>1.007482250459911</x:v>
      </x:c>
      <x:c r="K1151" s="42" t="n">
        <x:v>0.000016697772047632076</x:v>
      </x:c>
      <x:c r="L1151" s="26" t="n">
        <x:v>356</x:v>
      </x:c>
      <x:c r="M1151" s="26" t="n">
        <x:v>559</x:v>
      </x:c>
      <x:c r="N1151" s="26" t="n">
        <x:v>757</x:v>
      </x:c>
    </x:row>
    <x:row r="1152">
      <x:c r="A1152" s="20" t="str">
        <x:v>T2_CONCORDANT_DOMAIN</x:v>
      </x:c>
      <x:c r="B1152" s="20" t="str">
        <x:v>NYC-V2-R03</x:v>
      </x:c>
      <x:c r="C1152" s="20" t="str">
        <x:v>V2</x:v>
      </x:c>
      <x:c r="D1152" s="20" t="str">
        <x:v>civilian_noninstitutionalized</x:v>
      </x:c>
      <x:c r="E1152" s="20" t="str">
        <x:v>disability</x:v>
      </x:c>
      <x:c r="F1152" s="50" t="n">
        <x:v>38606</x:v>
      </x:c>
      <x:c r="G1152" s="50" t="n">
        <x:v>1370.8796263713311</x:v>
      </x:c>
      <x:c r="H1152" s="50" t="n">
        <x:v>38604.887</x:v>
      </x:c>
      <x:c r="I1152" s="50" t="n">
        <x:v>1360.7620047107666</x:v>
      </x:c>
      <x:c r="J1152" s="42" t="n">
        <x:v>0.9926196133738266</x:v>
      </x:c>
      <x:c r="K1152" s="42" t="n">
        <x:v>-0.0008118874761773402</x:v>
      </x:c>
      <x:c r="L1152" s="26" t="n">
        <x:v>36315</x:v>
      </x:c>
      <x:c r="M1152" s="26" t="n">
        <x:v>38679</x:v>
      </x:c>
      <x:c r="N1152" s="26" t="n">
        <x:v>40824</x:v>
      </x:c>
    </x:row>
    <x:row r="1153">
      <x:c r="A1153" s="20" t="str">
        <x:v>T2_CONCORDANT_DOMAIN</x:v>
      </x:c>
      <x:c r="B1153" s="20" t="str">
        <x:v>NYC-V2-R03</x:v>
      </x:c>
      <x:c r="C1153" s="20" t="str">
        <x:v>V2</x:v>
      </x:c>
      <x:c r="D1153" s="20" t="str">
        <x:v>any_disability</x:v>
      </x:c>
      <x:c r="E1153" s="20" t="str">
        <x:v>disability</x:v>
      </x:c>
      <x:c r="F1153" s="50" t="n">
        <x:v>4799</x:v>
      </x:c>
      <x:c r="G1153" s="50" t="n">
        <x:v>368.2411573955307</x:v>
      </x:c>
      <x:c r="H1153" s="50" t="n">
        <x:v>4798.794</x:v>
      </x:c>
      <x:c r="I1153" s="50" t="n">
        <x:v>471.9737394969923</x:v>
      </x:c>
      <x:c r="J1153" s="42" t="n">
        <x:v>1.2816974149091152</x:v>
      </x:c>
      <x:c r="K1153" s="42" t="n">
        <x:v>-0.0005594160127485824</x:v>
      </x:c>
      <x:c r="L1153" s="26" t="n">
        <x:v>3995</x:v>
      </x:c>
      <x:c r="M1153" s="26" t="n">
        <x:v>4808</x:v>
      </x:c>
      <x:c r="N1153" s="26" t="n">
        <x:v>5554</x:v>
      </x:c>
    </x:row>
    <x:row r="1154">
      <x:c r="A1154" s="20" t="str">
        <x:v>T2_CONCORDANT_DOMAIN</x:v>
      </x:c>
      <x:c r="B1154" s="20" t="str">
        <x:v>NYC-V2-R03</x:v>
      </x:c>
      <x:c r="C1154" s="20" t="str">
        <x:v>V2</x:v>
      </x:c>
      <x:c r="D1154" s="20" t="str">
        <x:v>disability_under_18</x:v>
      </x:c>
      <x:c r="E1154" s="20" t="str">
        <x:v>disability</x:v>
      </x:c>
      <x:c r="F1154" s="50" t="n">
        <x:v>363</x:v>
      </x:c>
      <x:c r="G1154" s="50" t="n">
        <x:v>137.37667196434774</x:v>
      </x:c>
      <x:c r="H1154" s="50" t="n">
        <x:v>362.926</x:v>
      </x:c>
      <x:c r="I1154" s="50" t="n">
        <x:v>133.76876543725223</x:v>
      </x:c>
      <x:c r="J1154" s="42" t="n">
        <x:v>0.9737371238107163</x:v>
      </x:c>
      <x:c r="K1154" s="42" t="n">
        <x:v>-0.0005386649635770541</x:v>
      </x:c>
      <x:c r="L1154" s="26" t="n">
        <x:v>148</x:v>
      </x:c>
      <x:c r="M1154" s="26" t="n">
        <x:v>363</x:v>
      </x:c>
      <x:c r="N1154" s="26" t="n">
        <x:v>578</x:v>
      </x:c>
    </x:row>
    <x:row r="1155">
      <x:c r="A1155" s="20" t="str">
        <x:v>T2_CONCORDANT_DOMAIN</x:v>
      </x:c>
      <x:c r="B1155" s="20" t="str">
        <x:v>NYC-V2-R03</x:v>
      </x:c>
      <x:c r="C1155" s="20" t="str">
        <x:v>V2</x:v>
      </x:c>
      <x:c r="D1155" s="20" t="str">
        <x:v>disability_18_64</x:v>
      </x:c>
      <x:c r="E1155" s="20" t="str">
        <x:v>disability</x:v>
      </x:c>
      <x:c r="F1155" s="50" t="n">
        <x:v>2617</x:v>
      </x:c>
      <x:c r="G1155" s="50" t="n">
        <x:v>263.2219595702456</x:v>
      </x:c>
      <x:c r="H1155" s="50" t="n">
        <x:v>2616.938</x:v>
      </x:c>
      <x:c r="I1155" s="50" t="n">
        <x:v>264.31997882719196</x:v>
      </x:c>
      <x:c r="J1155" s="42" t="n">
        <x:v>1.0041714576501866</x:v>
      </x:c>
      <x:c r="K1155" s="42" t="n">
        <x:v>-0.00023554265799526617</x:v>
      </x:c>
      <x:c r="L1155" s="26" t="n">
        <x:v>2180</x:v>
      </x:c>
      <x:c r="M1155" s="26" t="n">
        <x:v>2627</x:v>
      </x:c>
      <x:c r="N1155" s="26" t="n">
        <x:v>3050</x:v>
      </x:c>
    </x:row>
    <x:row r="1156">
      <x:c r="A1156" s="20" t="str">
        <x:v>T2_CONCORDANT_DOMAIN</x:v>
      </x:c>
      <x:c r="B1156" s="20" t="str">
        <x:v>NYC-V2-R03</x:v>
      </x:c>
      <x:c r="C1156" s="20" t="str">
        <x:v>V2</x:v>
      </x:c>
      <x:c r="D1156" s="20" t="str">
        <x:v>disability_65_plus</x:v>
      </x:c>
      <x:c r="E1156" s="20" t="str">
        <x:v>disability</x:v>
      </x:c>
      <x:c r="F1156" s="50" t="n">
        <x:v>1819</x:v>
      </x:c>
      <x:c r="G1156" s="50" t="n">
        <x:v>212.02028204867574</x:v>
      </x:c>
      <x:c r="H1156" s="50" t="n">
        <x:v>1818.93</x:v>
      </x:c>
      <x:c r="I1156" s="50" t="n">
        <x:v>204.294339807243</x:v>
      </x:c>
      <x:c r="J1156" s="42" t="n">
        <x:v>0.9635603624012772</x:v>
      </x:c>
      <x:c r="K1156" s="42" t="n">
        <x:v>-0.0003301570931023745</x:v>
      </x:c>
      <x:c r="L1156" s="26" t="n">
        <x:v>1486</x:v>
      </x:c>
      <x:c r="M1156" s="26" t="n">
        <x:v>1812</x:v>
      </x:c>
      <x:c r="N1156" s="26" t="n">
        <x:v>2158</x:v>
      </x:c>
    </x:row>
    <x:row r="1157">
      <x:c r="A1157" s="20" t="str">
        <x:v>T2_CONCORDANT_DOMAIN</x:v>
      </x:c>
      <x:c r="B1157" s="20" t="str">
        <x:v>NYC-V2-R03</x:v>
      </x:c>
      <x:c r="C1157" s="20" t="str">
        <x:v>V2</x:v>
      </x:c>
      <x:c r="D1157" s="20" t="str">
        <x:v>hearing_difficulty</x:v>
      </x:c>
      <x:c r="E1157" s="20" t="str">
        <x:v>disability</x:v>
      </x:c>
      <x:c r="F1157" s="50" t="n">
        <x:v>590</x:v>
      </x:c>
      <x:c r="G1157" s="50" t="n">
        <x:v>166.00976718490733</x:v>
      </x:c>
      <x:c r="H1157" s="50" t="n">
        <x:v>589.936</x:v>
      </x:c>
      <x:c r="I1157" s="50" t="n">
        <x:v>166.11885316657282</x:v>
      </x:c>
      <x:c r="J1157" s="42" t="n">
        <x:v>1.0006571058047686</x:v>
      </x:c>
      <x:c r="K1157" s="42" t="n">
        <x:v>-0.0003855194853003989</x:v>
      </x:c>
      <x:c r="L1157" s="26" t="n">
        <x:v>322</x:v>
      </x:c>
      <x:c r="M1157" s="26" t="n">
        <x:v>585</x:v>
      </x:c>
      <x:c r="N1157" s="26" t="n">
        <x:v>861</x:v>
      </x:c>
    </x:row>
    <x:row r="1158">
      <x:c r="A1158" s="20" t="str">
        <x:v>T2_CONCORDANT_DOMAIN</x:v>
      </x:c>
      <x:c r="B1158" s="20" t="str">
        <x:v>NYC-V2-R03</x:v>
      </x:c>
      <x:c r="C1158" s="20" t="str">
        <x:v>V2</x:v>
      </x:c>
      <x:c r="D1158" s="20" t="str">
        <x:v>vision_difficulty</x:v>
      </x:c>
      <x:c r="E1158" s="20" t="str">
        <x:v>disability</x:v>
      </x:c>
      <x:c r="F1158" s="50" t="n">
        <x:v>1163</x:v>
      </x:c>
      <x:c r="G1158" s="50" t="n">
        <x:v>203.67917005083936</x:v>
      </x:c>
      <x:c r="H1158" s="50" t="n">
        <x:v>1162.92</x:v>
      </x:c>
      <x:c r="I1158" s="50" t="n">
        <x:v>198.08606636936807</x:v>
      </x:c>
      <x:c r="J1158" s="42" t="n">
        <x:v>0.972539638294504</x:v>
      </x:c>
      <x:c r="K1158" s="42" t="n">
        <x:v>-0.0003927745776848896</x:v>
      </x:c>
      <x:c r="L1158" s="26" t="n">
        <x:v>841</x:v>
      </x:c>
      <x:c r="M1158" s="26" t="n">
        <x:v>1160</x:v>
      </x:c>
      <x:c r="N1158" s="26" t="n">
        <x:v>1492</x:v>
      </x:c>
    </x:row>
    <x:row r="1159">
      <x:c r="A1159" s="20" t="str">
        <x:v>T2_CONCORDANT_DOMAIN</x:v>
      </x:c>
      <x:c r="B1159" s="20" t="str">
        <x:v>NYC-V2-R03</x:v>
      </x:c>
      <x:c r="C1159" s="20" t="str">
        <x:v>V2</x:v>
      </x:c>
      <x:c r="D1159" s="20" t="str">
        <x:v>cognitive_difficulty</x:v>
      </x:c>
      <x:c r="E1159" s="20" t="str">
        <x:v>disability</x:v>
      </x:c>
      <x:c r="F1159" s="50" t="n">
        <x:v>1801</x:v>
      </x:c>
      <x:c r="G1159" s="50" t="n">
        <x:v>226.2125254884308</x:v>
      </x:c>
      <x:c r="H1159" s="50" t="n">
        <x:v>1800.94</x:v>
      </x:c>
      <x:c r="I1159" s="50" t="n">
        <x:v>223.54289930084522</x:v>
      </x:c>
      <x:c r="J1159" s="42" t="n">
        <x:v>0.9881985925323038</x:v>
      </x:c>
      <x:c r="K1159" s="42" t="n">
        <x:v>-0.0002652373022687199</x:v>
      </x:c>
      <x:c r="L1159" s="26" t="n">
        <x:v>1428</x:v>
      </x:c>
      <x:c r="M1159" s="26" t="n">
        <x:v>1804</x:v>
      </x:c>
      <x:c r="N1159" s="26" t="n">
        <x:v>2174</x:v>
      </x:c>
    </x:row>
    <x:row r="1160">
      <x:c r="A1160" s="20" t="str">
        <x:v>T2_CONCORDANT_DOMAIN</x:v>
      </x:c>
      <x:c r="B1160" s="20" t="str">
        <x:v>NYC-V2-R03</x:v>
      </x:c>
      <x:c r="C1160" s="20" t="str">
        <x:v>V2</x:v>
      </x:c>
      <x:c r="D1160" s="20" t="str">
        <x:v>ambulatory_difficulty</x:v>
      </x:c>
      <x:c r="E1160" s="20" t="str">
        <x:v>disability</x:v>
      </x:c>
      <x:c r="F1160" s="50" t="n">
        <x:v>2820</x:v>
      </x:c>
      <x:c r="G1160" s="50" t="n">
        <x:v>289.0806021413726</x:v>
      </x:c>
      <x:c r="H1160" s="50" t="n">
        <x:v>2820.004</x:v>
      </x:c>
      <x:c r="I1160" s="50" t="n">
        <x:v>292.62518942409156</x:v>
      </x:c>
      <x:c r="J1160" s="42" t="n">
        <x:v>1.012261588139994</x:v>
      </x:c>
      <x:c r="K1160" s="42" t="n">
        <x:v>0.000013836971316218735</x:v>
      </x:c>
      <x:c r="L1160" s="26" t="n">
        <x:v>2350</x:v>
      </x:c>
      <x:c r="M1160" s="26" t="n">
        <x:v>2815</x:v>
      </x:c>
      <x:c r="N1160" s="26" t="n">
        <x:v>3293</x:v>
      </x:c>
    </x:row>
    <x:row r="1161">
      <x:c r="A1161" s="20" t="str">
        <x:v>T2_CONCORDANT_DOMAIN</x:v>
      </x:c>
      <x:c r="B1161" s="20" t="str">
        <x:v>NYC-V2-R03</x:v>
      </x:c>
      <x:c r="C1161" s="20" t="str">
        <x:v>V2</x:v>
      </x:c>
      <x:c r="D1161" s="20" t="str">
        <x:v>self_care_difficulty</x:v>
      </x:c>
      <x:c r="E1161" s="20" t="str">
        <x:v>disability</x:v>
      </x:c>
      <x:c r="F1161" s="50" t="n">
        <x:v>931</x:v>
      </x:c>
      <x:c r="G1161" s="50" t="n">
        <x:v>178.47303762899713</x:v>
      </x:c>
      <x:c r="H1161" s="50" t="n">
        <x:v>931.024</x:v>
      </x:c>
      <x:c r="I1161" s="50" t="n">
        <x:v>181.30799213496357</x:v>
      </x:c>
      <x:c r="J1161" s="42" t="n">
        <x:v>1.0158844974211714</x:v>
      </x:c>
      <x:c r="K1161" s="42" t="n">
        <x:v>0.0001344740937837971</x:v>
      </x:c>
      <x:c r="L1161" s="26" t="n">
        <x:v>654</x:v>
      </x:c>
      <x:c r="M1161" s="26" t="n">
        <x:v>927</x:v>
      </x:c>
      <x:c r="N1161" s="26" t="n">
        <x:v>1237</x:v>
      </x:c>
    </x:row>
    <x:row r="1162">
      <x:c r="A1162" s="20" t="str">
        <x:v>T2_CONCORDANT_DOMAIN</x:v>
      </x:c>
      <x:c r="B1162" s="20" t="str">
        <x:v>NYC-V2-R03</x:v>
      </x:c>
      <x:c r="C1162" s="20" t="str">
        <x:v>V2</x:v>
      </x:c>
      <x:c r="D1162" s="20" t="str">
        <x:v>independent_living_difficulty</x:v>
      </x:c>
      <x:c r="E1162" s="20" t="str">
        <x:v>disability</x:v>
      </x:c>
      <x:c r="F1162" s="50" t="n">
        <x:v>1682</x:v>
      </x:c>
      <x:c r="G1162" s="50" t="n">
        <x:v>217.07746201256452</x:v>
      </x:c>
      <x:c r="H1162" s="50" t="n">
        <x:v>1681.996</x:v>
      </x:c>
      <x:c r="I1162" s="50" t="n">
        <x:v>213.61067272845594</x:v>
      </x:c>
      <x:c r="J1162" s="42" t="n">
        <x:v>0.9840297133937013</x:v>
      </x:c>
      <x:c r="K1162" s="42" t="n">
        <x:v>-0.000018426602019485057</x:v>
      </x:c>
      <x:c r="L1162" s="26" t="n">
        <x:v>1328</x:v>
      </x:c>
      <x:c r="M1162" s="26" t="n">
        <x:v>1683</x:v>
      </x:c>
      <x:c r="N1162" s="26" t="n">
        <x:v>2036</x:v>
      </x:c>
    </x:row>
    <x:row r="1163">
      <x:c r="A1163" s="20" t="str">
        <x:v>T2_CONCORDANT_DOMAIN</x:v>
      </x:c>
      <x:c r="B1163" s="20" t="str">
        <x:v>NYC-V2-R03</x:v>
      </x:c>
      <x:c r="C1163" s="20" t="str">
        <x:v>V2</x:v>
      </x:c>
      <x:c r="D1163" s="20" t="str">
        <x:v>households</x:v>
      </x:c>
      <x:c r="E1163" s="20" t="str">
        <x:v>household</x:v>
      </x:c>
      <x:c r="F1163" s="50" t="n">
        <x:v>15397</x:v>
      </x:c>
      <x:c r="G1163" s="50" t="n">
        <x:v>332.22033351376916</x:v>
      </x:c>
      <x:c r="H1163" s="50" t="n">
        <x:v>15399.407</x:v>
      </x:c>
      <x:c r="I1163" s="50" t="n">
        <x:v>286.1099478404294</x:v>
      </x:c>
      <x:c r="J1163" s="42" t="n">
        <x:v>0.86120540791213</x:v>
      </x:c>
      <x:c r="K1163" s="42" t="n">
        <x:v>0.007245191691132545</x:v>
      </x:c>
      <x:c r="L1163" s="26" t="n">
        <x:v>14940</x:v>
      </x:c>
      <x:c r="M1163" s="26" t="n">
        <x:v>15388</x:v>
      </x:c>
      <x:c r="N1163" s="26" t="n">
        <x:v>15881</x:v>
      </x:c>
    </x:row>
    <x:row r="1164">
      <x:c r="A1164" s="20" t="str">
        <x:v>T2_CONCORDANT_DOMAIN</x:v>
      </x:c>
      <x:c r="B1164" s="20" t="str">
        <x:v>NYC-V2-R03</x:v>
      </x:c>
      <x:c r="C1164" s="20" t="str">
        <x:v>V2</x:v>
      </x:c>
      <x:c r="D1164" s="20" t="str">
        <x:v>family_households</x:v>
      </x:c>
      <x:c r="E1164" s="20" t="str">
        <x:v>household</x:v>
      </x:c>
      <x:c r="F1164" s="50" t="n">
        <x:v>7836</x:v>
      </x:c>
      <x:c r="G1164" s="50" t="n">
        <x:v>353.01593448454986</x:v>
      </x:c>
      <x:c r="H1164" s="50" t="n">
        <x:v>7838.45</x:v>
      </x:c>
      <x:c r="I1164" s="50" t="n">
        <x:v>345.1582821543469</x:v>
      </x:c>
      <x:c r="J1164" s="42" t="n">
        <x:v>0.9777413664296029</x:v>
      </x:c>
      <x:c r="K1164" s="42" t="n">
        <x:v>0.006940196633268533</x:v>
      </x:c>
      <x:c r="L1164" s="26" t="n">
        <x:v>7278</x:v>
      </x:c>
      <x:c r="M1164" s="26" t="n">
        <x:v>7840</x:v>
      </x:c>
      <x:c r="N1164" s="26" t="n">
        <x:v>8395</x:v>
      </x:c>
    </x:row>
    <x:row r="1165">
      <x:c r="A1165" s="20" t="str">
        <x:v>T2_CONCORDANT_DOMAIN</x:v>
      </x:c>
      <x:c r="B1165" s="20" t="str">
        <x:v>NYC-V2-R03</x:v>
      </x:c>
      <x:c r="C1165" s="20" t="str">
        <x:v>V2</x:v>
      </x:c>
      <x:c r="D1165" s="20" t="str">
        <x:v>nonfamily_households</x:v>
      </x:c>
      <x:c r="E1165" s="20" t="str">
        <x:v>household</x:v>
      </x:c>
      <x:c r="F1165" s="50" t="n">
        <x:v>7561</x:v>
      </x:c>
      <x:c r="G1165" s="50" t="n">
        <x:v>300.52304404155103</x:v>
      </x:c>
      <x:c r="H1165" s="50" t="n">
        <x:v>7560.957</x:v>
      </x:c>
      <x:c r="I1165" s="50" t="n">
        <x:v>299.7290687698904</x:v>
      </x:c>
      <x:c r="J1165" s="42" t="n">
        <x:v>0.9973580219973052</x:v>
      </x:c>
      <x:c r="K1165" s="42" t="n">
        <x:v>-0.0001430838694476954</x:v>
      </x:c>
      <x:c r="L1165" s="26" t="n">
        <x:v>7086</x:v>
      </x:c>
      <x:c r="M1165" s="26" t="n">
        <x:v>7552</x:v>
      </x:c>
      <x:c r="N1165" s="26" t="n">
        <x:v>8039</x:v>
      </x:c>
    </x:row>
    <x:row r="1166">
      <x:c r="A1166" s="20" t="str">
        <x:v>T2_CONCORDANT_DOMAIN</x:v>
      </x:c>
      <x:c r="B1166" s="20" t="str">
        <x:v>NYC-V2-R03</x:v>
      </x:c>
      <x:c r="C1166" s="20" t="str">
        <x:v>V2</x:v>
      </x:c>
      <x:c r="D1166" s="20" t="str">
        <x:v>living_alone_households</x:v>
      </x:c>
      <x:c r="E1166" s="20" t="str">
        <x:v>household</x:v>
      </x:c>
      <x:c r="F1166" s="50" t="n">
        <x:v>4933</x:v>
      </x:c>
      <x:c r="G1166" s="50" t="n">
        <x:v>322.9971362102147</x:v>
      </x:c>
      <x:c r="H1166" s="50" t="n">
        <x:v>4932.933</x:v>
      </x:c>
      <x:c r="I1166" s="50" t="n">
        <x:v>328.0298860121088</x:v>
      </x:c>
      <x:c r="J1166" s="42" t="n">
        <x:v>1.0155814068847306</x:v>
      </x:c>
      <x:c r="K1166" s="42" t="n">
        <x:v>-0.00020743217969710414</x:v>
      </x:c>
      <x:c r="L1166" s="26" t="n">
        <x:v>4406</x:v>
      </x:c>
      <x:c r="M1166" s="26" t="n">
        <x:v>4941</x:v>
      </x:c>
      <x:c r="N1166" s="26" t="n">
        <x:v>5480</x:v>
      </x:c>
    </x:row>
    <x:row r="1167">
      <x:c r="A1167" s="20" t="str">
        <x:v>T2_CONCORDANT_DOMAIN</x:v>
      </x:c>
      <x:c r="B1167" s="20" t="str">
        <x:v>NYC-V2-R03</x:v>
      </x:c>
      <x:c r="C1167" s="20" t="str">
        <x:v>V2</x:v>
      </x:c>
      <x:c r="D1167" s="20" t="str">
        <x:v>households_with_children</x:v>
      </x:c>
      <x:c r="E1167" s="20" t="str">
        <x:v>household</x:v>
      </x:c>
      <x:c r="F1167" s="50" t="n">
        <x:v>4145</x:v>
      </x:c>
      <x:c r="G1167" s="50" t="n">
        <x:v>321.27005773959087</x:v>
      </x:c>
      <x:c r="H1167" s="50" t="n">
        <x:v>4144.936</x:v>
      </x:c>
      <x:c r="I1167" s="50" t="n">
        <x:v>326.2843903826958</x:v>
      </x:c>
      <x:c r="J1167" s="42" t="n">
        <x:v>1.0156078430663131</x:v>
      </x:c>
      <x:c r="K1167" s="42" t="n">
        <x:v>-0.00019920935194085696</x:v>
      </x:c>
      <x:c r="L1167" s="26" t="n">
        <x:v>3626</x:v>
      </x:c>
      <x:c r="M1167" s="26" t="n">
        <x:v>4135</x:v>
      </x:c>
      <x:c r="N1167" s="26" t="n">
        <x:v>4687</x:v>
      </x:c>
    </x:row>
    <x:row r="1168">
      <x:c r="A1168" s="20" t="str">
        <x:v>T2_CONCORDANT_DOMAIN</x:v>
      </x:c>
      <x:c r="B1168" s="20" t="str">
        <x:v>NYC-V2-R03</x:v>
      </x:c>
      <x:c r="C1168" s="20" t="str">
        <x:v>V2</x:v>
      </x:c>
      <x:c r="D1168" s="20" t="str">
        <x:v>households_with_age65</x:v>
      </x:c>
      <x:c r="E1168" s="20" t="str">
        <x:v>household</x:v>
      </x:c>
      <x:c r="F1168" s="50" t="n">
        <x:v>3626</x:v>
      </x:c>
      <x:c r="G1168" s="50" t="n">
        <x:v>217.12922419609941</x:v>
      </x:c>
      <x:c r="H1168" s="50" t="n">
        <x:v>3625.916</x:v>
      </x:c>
      <x:c r="I1168" s="50" t="n">
        <x:v>220.6216781480661</x:v>
      </x:c>
      <x:c r="J1168" s="42" t="n">
        <x:v>1.0160846793650058</x:v>
      </x:c>
      <x:c r="K1168" s="42" t="n">
        <x:v>-0.0003868663940141396</x:v>
      </x:c>
      <x:c r="L1168" s="26" t="n">
        <x:v>3257</x:v>
      </x:c>
      <x:c r="M1168" s="26" t="n">
        <x:v>3631</x:v>
      </x:c>
      <x:c r="N1168" s="26" t="n">
        <x:v>3985</x:v>
      </x:c>
    </x:row>
    <x:row r="1169">
      <x:c r="A1169" s="20" t="str">
        <x:v>T2_CONCORDANT_DOMAIN</x:v>
      </x:c>
      <x:c r="B1169" s="20" t="str">
        <x:v>NYC-V2-R03</x:v>
      </x:c>
      <x:c r="C1169" s="20" t="str">
        <x:v>V2</x:v>
      </x:c>
      <x:c r="D1169" s="20" t="str">
        <x:v>age65_one_person_households</x:v>
      </x:c>
      <x:c r="E1169" s="20" t="str">
        <x:v>household</x:v>
      </x:c>
      <x:c r="F1169" s="50" t="n">
        <x:v>1187</x:v>
      </x:c>
      <x:c r="G1169" s="50" t="n">
        <x:v>144.60981986020175</x:v>
      </x:c>
      <x:c r="H1169" s="50" t="n">
        <x:v>1186.963</x:v>
      </x:c>
      <x:c r="I1169" s="50" t="n">
        <x:v>147.30044484675548</x:v>
      </x:c>
      <x:c r="J1169" s="42" t="n">
        <x:v>1.018606101502338</x:v>
      </x:c>
      <x:c r="K1169" s="42" t="n">
        <x:v>-0.0002558609092785225</x:v>
      </x:c>
      <x:c r="L1169" s="26" t="n">
        <x:v>945</x:v>
      </x:c>
      <x:c r="M1169" s="26" t="n">
        <x:v>1190</x:v>
      </x:c>
      <x:c r="N1169" s="26" t="n">
        <x:v>1428</x:v>
      </x:c>
    </x:row>
    <x:row r="1170">
      <x:c r="A1170" s="20" t="str">
        <x:v>T2_CONCORDANT_DOMAIN</x:v>
      </x:c>
      <x:c r="B1170" s="20" t="str">
        <x:v>NYC-V2-R03</x:v>
      </x:c>
      <x:c r="C1170" s="20" t="str">
        <x:v>V2</x:v>
      </x:c>
      <x:c r="D1170" s="20" t="str">
        <x:v>no_vehicle_households</x:v>
      </x:c>
      <x:c r="E1170" s="20" t="str">
        <x:v>household</x:v>
      </x:c>
      <x:c r="F1170" s="50" t="n">
        <x:v>8729</x:v>
      </x:c>
      <x:c r="G1170" s="50" t="n">
        <x:v>357.2068752039655</x:v>
      </x:c>
      <x:c r="H1170" s="50" t="n">
        <x:v>8728.989</x:v>
      </x:c>
      <x:c r="I1170" s="50" t="n">
        <x:v>362.641370561389</x:v>
      </x:c>
      <x:c r="J1170" s="42" t="n">
        <x:v>1.0152138599077085</x:v>
      </x:c>
      <x:c r="K1170" s="42" t="n">
        <x:v>-0.00003079448007304169</x:v>
      </x:c>
      <x:c r="L1170" s="26" t="n">
        <x:v>8146</x:v>
      </x:c>
      <x:c r="M1170" s="26" t="n">
        <x:v>8726</x:v>
      </x:c>
      <x:c r="N1170" s="26" t="n">
        <x:v>9340</x:v>
      </x:c>
    </x:row>
    <x:row r="1171">
      <x:c r="A1171" s="20" t="str">
        <x:v>T2_CONCORDANT_DOMAIN</x:v>
      </x:c>
      <x:c r="B1171" s="20" t="str">
        <x:v>NYC-V2-R03</x:v>
      </x:c>
      <x:c r="C1171" s="20" t="str">
        <x:v>V2</x:v>
      </x:c>
      <x:c r="D1171" s="20" t="str">
        <x:v>limited_english_households</x:v>
      </x:c>
      <x:c r="E1171" s="20" t="str">
        <x:v>household</x:v>
      </x:c>
      <x:c r="F1171" s="50" t="n">
        <x:v>183</x:v>
      </x:c>
      <x:c r="G1171" s="50" t="n">
        <x:v>88.41171532011109</x:v>
      </x:c>
      <x:c r="H1171" s="50" t="n">
        <x:v>183.622</x:v>
      </x:c>
      <x:c r="I1171" s="50" t="n">
        <x:v>85.86436866247725</x:v>
      </x:c>
      <x:c r="J1171" s="42" t="n">
        <x:v>0.9711876797276164</x:v>
      </x:c>
      <x:c r="K1171" s="42" t="n">
        <x:v>0.00703526673753526</x:v>
      </x:c>
      <x:c r="L1171" s="26" t="n">
        <x:v>37</x:v>
      </x:c>
      <x:c r="M1171" s="26" t="n">
        <x:v>183</x:v>
      </x:c>
      <x:c r="N1171" s="26" t="n">
        <x:v>327</x:v>
      </x:c>
    </x:row>
    <x:row r="1172">
      <x:c r="A1172" s="20" t="str">
        <x:v>T2_CONCORDANT_DOMAIN</x:v>
      </x:c>
      <x:c r="B1172" s="20" t="str">
        <x:v>NYC-V2-R03</x:v>
      </x:c>
      <x:c r="C1172" s="20" t="str">
        <x:v>V2</x:v>
      </x:c>
      <x:c r="D1172" s="20" t="str">
        <x:v>housing_units</x:v>
      </x:c>
      <x:c r="E1172" s="20" t="str">
        <x:v>housing</x:v>
      </x:c>
      <x:c r="F1172" s="50" t="n">
        <x:v>17030</x:v>
      </x:c>
      <x:c r="G1172" s="50" t="n">
        <x:v>281.80880043036274</x:v>
      </x:c>
      <x:c r="H1172" s="50" t="n">
        <x:v>17032.432</x:v>
      </x:c>
      <x:c r="I1172" s="50" t="n">
        <x:v>327.59344138556685</x:v>
      </x:c>
      <x:c r="J1172" s="42" t="n">
        <x:v>1.1624670375278712</x:v>
      </x:c>
      <x:c r="K1172" s="42" t="n">
        <x:v>0.008629964700487292</x:v>
      </x:c>
      <x:c r="L1172" s="26" t="n">
        <x:v>16500</x:v>
      </x:c>
      <x:c r="M1172" s="26" t="n">
        <x:v>17016</x:v>
      </x:c>
      <x:c r="N1172" s="26" t="n">
        <x:v>17587</x:v>
      </x:c>
    </x:row>
    <x:row r="1173">
      <x:c r="A1173" s="20" t="str">
        <x:v>T2_CONCORDANT_DOMAIN</x:v>
      </x:c>
      <x:c r="B1173" s="20" t="str">
        <x:v>NYC-V2-R03</x:v>
      </x:c>
      <x:c r="C1173" s="20" t="str">
        <x:v>V2</x:v>
      </x:c>
      <x:c r="D1173" s="20" t="str">
        <x:v>occupied_housing_units</x:v>
      </x:c>
      <x:c r="E1173" s="20" t="str">
        <x:v>housing</x:v>
      </x:c>
      <x:c r="F1173" s="50" t="n">
        <x:v>15397</x:v>
      </x:c>
      <x:c r="G1173" s="50" t="n">
        <x:v>332.22033351376916</x:v>
      </x:c>
      <x:c r="H1173" s="50" t="n">
        <x:v>15399.407</x:v>
      </x:c>
      <x:c r="I1173" s="50" t="n">
        <x:v>286.1099478404294</x:v>
      </x:c>
      <x:c r="J1173" s="42" t="n">
        <x:v>0.86120540791213</x:v>
      </x:c>
      <x:c r="K1173" s="42" t="n">
        <x:v>0.007245191691132545</x:v>
      </x:c>
      <x:c r="L1173" s="26" t="n">
        <x:v>14940</x:v>
      </x:c>
      <x:c r="M1173" s="26" t="n">
        <x:v>15388</x:v>
      </x:c>
      <x:c r="N1173" s="26" t="n">
        <x:v>15881</x:v>
      </x:c>
    </x:row>
    <x:row r="1174">
      <x:c r="A1174" s="20" t="str">
        <x:v>T2_CONCORDANT_DOMAIN</x:v>
      </x:c>
      <x:c r="B1174" s="20" t="str">
        <x:v>NYC-V2-R03</x:v>
      </x:c>
      <x:c r="C1174" s="20" t="str">
        <x:v>V2</x:v>
      </x:c>
      <x:c r="D1174" s="20" t="str">
        <x:v>vacant_housing_units</x:v>
      </x:c>
      <x:c r="E1174" s="20" t="str">
        <x:v>housing</x:v>
      </x:c>
      <x:c r="F1174" s="50" t="n">
        <x:v>1633</x:v>
      </x:c>
      <x:c r="G1174" s="50" t="n">
        <x:v>167.9138171801237</x:v>
      </x:c>
      <x:c r="H1174" s="50" t="n">
        <x:v>1633.025</x:v>
      </x:c>
      <x:c r="I1174" s="50" t="n">
        <x:v>167.06304928809794</x:v>
      </x:c>
      <x:c r="J1174" s="42" t="n">
        <x:v>0.994933306226294</x:v>
      </x:c>
      <x:c r="K1174" s="42" t="n">
        <x:v>0.00014888590123154113</x:v>
      </x:c>
      <x:c r="L1174" s="26" t="n">
        <x:v>1358</x:v>
      </x:c>
      <x:c r="M1174" s="26" t="n">
        <x:v>1632</x:v>
      </x:c>
      <x:c r="N1174" s="26" t="n">
        <x:v>1913</x:v>
      </x:c>
    </x:row>
    <x:row r="1175">
      <x:c r="A1175" s="20" t="str">
        <x:v>T2_CONCORDANT_DOMAIN</x:v>
      </x:c>
      <x:c r="B1175" s="20" t="str">
        <x:v>NYC-V2-R03</x:v>
      </x:c>
      <x:c r="C1175" s="20" t="str">
        <x:v>V2</x:v>
      </x:c>
      <x:c r="D1175" s="20" t="str">
        <x:v>owner_occupied_units</x:v>
      </x:c>
      <x:c r="E1175" s="20" t="str">
        <x:v>housing</x:v>
      </x:c>
      <x:c r="F1175" s="50" t="n">
        <x:v>4446</x:v>
      </x:c>
      <x:c r="G1175" s="50" t="n">
        <x:v>279.64384815669155</x:v>
      </x:c>
      <x:c r="H1175" s="50" t="n">
        <x:v>4445.924</x:v>
      </x:c>
      <x:c r="I1175" s="50" t="n">
        <x:v>219.57761396042298</x:v>
      </x:c>
      <x:c r="J1175" s="42" t="n">
        <x:v>0.785204521421791</x:v>
      </x:c>
      <x:c r="K1175" s="42" t="n">
        <x:v>-0.00027177426037077384</x:v>
      </x:c>
      <x:c r="L1175" s="26" t="n">
        <x:v>4097</x:v>
      </x:c>
      <x:c r="M1175" s="26" t="n">
        <x:v>4439</x:v>
      </x:c>
      <x:c r="N1175" s="26" t="n">
        <x:v>4796</x:v>
      </x:c>
    </x:row>
    <x:row r="1176">
      <x:c r="A1176" s="20" t="str">
        <x:v>T2_CONCORDANT_DOMAIN</x:v>
      </x:c>
      <x:c r="B1176" s="20" t="str">
        <x:v>NYC-V2-R03</x:v>
      </x:c>
      <x:c r="C1176" s="20" t="str">
        <x:v>V2</x:v>
      </x:c>
      <x:c r="D1176" s="20" t="str">
        <x:v>renter_occupied_units</x:v>
      </x:c>
      <x:c r="E1176" s="20" t="str">
        <x:v>housing</x:v>
      </x:c>
      <x:c r="F1176" s="50" t="n">
        <x:v>10951</x:v>
      </x:c>
      <x:c r="G1176" s="50" t="n">
        <x:v>394.6436015113587</x:v>
      </x:c>
      <x:c r="H1176" s="50" t="n">
        <x:v>10953.483</x:v>
      </x:c>
      <x:c r="I1176" s="50" t="n">
        <x:v>247.0079485312925</x:v>
      </x:c>
      <x:c r="J1176" s="42" t="n">
        <x:v>0.6259013134517603</x:v>
      </x:c>
      <x:c r="K1176" s="42" t="n">
        <x:v>0.006291752838487889</x:v>
      </x:c>
      <x:c r="L1176" s="26" t="n">
        <x:v>10573</x:v>
      </x:c>
      <x:c r="M1176" s="26" t="n">
        <x:v>10953</x:v>
      </x:c>
      <x:c r="N1176" s="26" t="n">
        <x:v>11369</x:v>
      </x:c>
    </x:row>
    <x:row r="1177">
      <x:c r="A1177" s="20" t="str">
        <x:v>T2_CONCORDANT_DOMAIN</x:v>
      </x:c>
      <x:c r="B1177" s="20" t="str">
        <x:v>NYC-V2-R03</x:v>
      </x:c>
      <x:c r="C1177" s="20" t="str">
        <x:v>V2</x:v>
      </x:c>
      <x:c r="D1177" s="20" t="str">
        <x:v>one_unit_structures</x:v>
      </x:c>
      <x:c r="E1177" s="20" t="str">
        <x:v>housing</x:v>
      </x:c>
      <x:c r="F1177" s="50" t="n">
        <x:v>1672</x:v>
      </x:c>
      <x:c r="G1177" s="50" t="n">
        <x:v>215.3280390298036</x:v>
      </x:c>
      <x:c r="H1177" s="50" t="n">
        <x:v>1671.92</x:v>
      </x:c>
      <x:c r="I1177" s="50" t="n">
        <x:v>164.28537148292688</x:v>
      </x:c>
      <x:c r="J1177" s="42" t="n">
        <x:v>0.7629539200892834</x:v>
      </x:c>
      <x:c r="K1177" s="42" t="n">
        <x:v>-0.0003715261624095988</x:v>
      </x:c>
      <x:c r="L1177" s="26" t="n">
        <x:v>1413</x:v>
      </x:c>
      <x:c r="M1177" s="26" t="n">
        <x:v>1669</x:v>
      </x:c>
      <x:c r="N1177" s="26" t="n">
        <x:v>1949</x:v>
      </x:c>
    </x:row>
    <x:row r="1178">
      <x:c r="A1178" s="20" t="str">
        <x:v>T2_CONCORDANT_DOMAIN</x:v>
      </x:c>
      <x:c r="B1178" s="20" t="str">
        <x:v>NYC-V2-R03</x:v>
      </x:c>
      <x:c r="C1178" s="20" t="str">
        <x:v>V2</x:v>
      </x:c>
      <x:c r="D1178" s="20" t="str">
        <x:v>two_to_four_unit_structures</x:v>
      </x:c>
      <x:c r="E1178" s="20" t="str">
        <x:v>housing</x:v>
      </x:c>
      <x:c r="F1178" s="50" t="n">
        <x:v>6938</x:v>
      </x:c>
      <x:c r="G1178" s="50" t="n">
        <x:v>386.53532607054063</x:v>
      </x:c>
      <x:c r="H1178" s="50" t="n">
        <x:v>6919.433</x:v>
      </x:c>
      <x:c r="I1178" s="50" t="n">
        <x:v>255.77295657734481</x:v>
      </x:c>
      <x:c r="J1178" s="42" t="n">
        <x:v>0.661706548732541</x:v>
      </x:c>
      <x:c r="K1178" s="42" t="n">
        <x:v>-0.04803441948954396</x:v>
      </x:c>
      <x:c r="L1178" s="26" t="n">
        <x:v>6507</x:v>
      </x:c>
      <x:c r="M1178" s="26" t="n">
        <x:v>6924</x:v>
      </x:c>
      <x:c r="N1178" s="26" t="n">
        <x:v>7314</x:v>
      </x:c>
    </x:row>
    <x:row r="1179">
      <x:c r="A1179" s="20" t="str">
        <x:v>T2_CONCORDANT_DOMAIN</x:v>
      </x:c>
      <x:c r="B1179" s="20" t="str">
        <x:v>NYC-V2-R03</x:v>
      </x:c>
      <x:c r="C1179" s="20" t="str">
        <x:v>V2</x:v>
      </x:c>
      <x:c r="D1179" s="20" t="str">
        <x:v>five_to_nineteen_unit_structures</x:v>
      </x:c>
      <x:c r="E1179" s="20" t="str">
        <x:v>housing</x:v>
      </x:c>
      <x:c r="F1179" s="50" t="n">
        <x:v>3263</x:v>
      </x:c>
      <x:c r="G1179" s="50" t="n">
        <x:v>294.0238957541901</x:v>
      </x:c>
      <x:c r="H1179" s="50" t="n">
        <x:v>3262.779</x:v>
      </x:c>
      <x:c r="I1179" s="50" t="n">
        <x:v>210.26847359980047</x:v>
      </x:c>
      <x:c r="J1179" s="42" t="n">
        <x:v>0.7151407645302038</x:v>
      </x:c>
      <x:c r="K1179" s="42" t="n">
        <x:v>-0.0007516395884529198</x:v>
      </x:c>
      <x:c r="L1179" s="26" t="n">
        <x:v>2911</x:v>
      </x:c>
      <x:c r="M1179" s="26" t="n">
        <x:v>3259</x:v>
      </x:c>
      <x:c r="N1179" s="26" t="n">
        <x:v>3603</x:v>
      </x:c>
    </x:row>
    <x:row r="1180">
      <x:c r="A1180" s="20" t="str">
        <x:v>T2_CONCORDANT_DOMAIN</x:v>
      </x:c>
      <x:c r="B1180" s="20" t="str">
        <x:v>NYC-V2-R03</x:v>
      </x:c>
      <x:c r="C1180" s="20" t="str">
        <x:v>V2</x:v>
      </x:c>
      <x:c r="D1180" s="20" t="str">
        <x:v>twenty_to_forty_nine_unit_structures</x:v>
      </x:c>
      <x:c r="E1180" s="20" t="str">
        <x:v>housing</x:v>
      </x:c>
      <x:c r="F1180" s="50" t="n">
        <x:v>1613</x:v>
      </x:c>
      <x:c r="G1180" s="50" t="n">
        <x:v>205.62573992379473</x:v>
      </x:c>
      <x:c r="H1180" s="50" t="n">
        <x:v>1612.946</x:v>
      </x:c>
      <x:c r="I1180" s="50" t="n">
        <x:v>163.87632084145815</x:v>
      </x:c>
      <x:c r="J1180" s="42" t="n">
        <x:v>0.7969640420610329</x:v>
      </x:c>
      <x:c r="K1180" s="42" t="n">
        <x:v>-0.0002626130367730218</x:v>
      </x:c>
      <x:c r="L1180" s="26" t="n">
        <x:v>1350</x:v>
      </x:c>
      <x:c r="M1180" s="26" t="n">
        <x:v>1614</x:v>
      </x:c>
      <x:c r="N1180" s="26" t="n">
        <x:v>1877</x:v>
      </x:c>
    </x:row>
    <x:row r="1181">
      <x:c r="A1181" s="20" t="str">
        <x:v>T2_CONCORDANT_DOMAIN</x:v>
      </x:c>
      <x:c r="B1181" s="20" t="str">
        <x:v>NYC-V2-R03</x:v>
      </x:c>
      <x:c r="C1181" s="20" t="str">
        <x:v>V2</x:v>
      </x:c>
      <x:c r="D1181" s="20" t="str">
        <x:v>fifty_plus_unit_structures</x:v>
      </x:c>
      <x:c r="E1181" s="20" t="str">
        <x:v>housing</x:v>
      </x:c>
      <x:c r="F1181" s="50" t="n">
        <x:v>1911</x:v>
      </x:c>
      <x:c r="G1181" s="50" t="n">
        <x:v>194.5773115990532</x:v>
      </x:c>
      <x:c r="H1181" s="50" t="n">
        <x:v>1910.884</x:v>
      </x:c>
      <x:c r="I1181" s="50" t="n">
        <x:v>151.04929802695025</x:v>
      </x:c>
      <x:c r="J1181" s="42" t="n">
        <x:v>0.7762945062073993</x:v>
      </x:c>
      <x:c r="K1181" s="42" t="n">
        <x:v>-0.000596164059656737</x:v>
      </x:c>
      <x:c r="L1181" s="26" t="n">
        <x:v>1666</x:v>
      </x:c>
      <x:c r="M1181" s="26" t="n">
        <x:v>1917</x:v>
      </x:c>
      <x:c r="N1181" s="26" t="n">
        <x:v>2157</x:v>
      </x:c>
    </x:row>
    <x:row r="1182">
      <x:c r="A1182" s="20" t="str">
        <x:v>T2_CONCORDANT_DOMAIN</x:v>
      </x:c>
      <x:c r="B1182" s="20" t="str">
        <x:v>NYC-V2-R03</x:v>
      </x:c>
      <x:c r="C1182" s="20" t="str">
        <x:v>V2</x:v>
      </x:c>
      <x:c r="D1182" s="20" t="str">
        <x:v>mobile_or_other_units</x:v>
      </x:c>
      <x:c r="E1182" s="20" t="str">
        <x:v>housing</x:v>
      </x:c>
      <x:c r="F1182" s="50" t="n">
        <x:v>0</x:v>
      </x:c>
      <x:c r="G1182" s="50" t="n">
        <x:v>56.045862962266796</x:v>
      </x:c>
      <x:c r="H1182" s="50" t="n">
        <x:v>21.445</x:v>
      </x:c>
      <x:c r="I1182" s="50" t="n">
        <x:v>30.276387410565263</x:v>
      </x:c>
      <x:c r="J1182" s="42" t="n">
        <x:v>0.5402073553751687</x:v>
      </x:c>
      <x:c r="K1182" s="42" t="n">
        <x:v>0.3826330591865089</x:v>
      </x:c>
      <x:c r="L1182" s="26" t="n">
        <x:v>0</x:v>
      </x:c>
      <x:c r="M1182" s="26" t="n">
        <x:v>1</x:v>
      </x:c>
      <x:c r="N1182" s="26" t="n">
        <x:v>87</x:v>
      </x:c>
    </x:row>
    <x:row r="1183">
      <x:c r="A1183" s="20" t="str">
        <x:v>T2_CONCORDANT_DOMAIN</x:v>
      </x:c>
      <x:c r="B1183" s="20" t="str">
        <x:v>NYC-V2-R03</x:v>
      </x:c>
      <x:c r="C1183" s="20" t="str">
        <x:v>V2</x:v>
      </x:c>
      <x:c r="D1183" s="20" t="str">
        <x:v>electric_heat_households</x:v>
      </x:c>
      <x:c r="E1183" s="20" t="str">
        <x:v>housing</x:v>
      </x:c>
      <x:c r="F1183" s="50" t="n">
        <x:v>2701</x:v>
      </x:c>
      <x:c r="G1183" s="50" t="n">
        <x:v>208.2869415013817</x:v>
      </x:c>
      <x:c r="H1183" s="50" t="n">
        <x:v>2700.989</x:v>
      </x:c>
      <x:c r="I1183" s="50" t="n">
        <x:v>207.45819767553846</x:v>
      </x:c>
      <x:c r="J1183" s="42" t="n">
        <x:v>0.9960211436210572</x:v>
      </x:c>
      <x:c r="K1183" s="42" t="n">
        <x:v>-0.00005281176016449542</x:v>
      </x:c>
      <x:c r="L1183" s="26" t="n">
        <x:v>2364</x:v>
      </x:c>
      <x:c r="M1183" s="26" t="n">
        <x:v>2704</x:v>
      </x:c>
      <x:c r="N1183" s="26" t="n">
        <x:v>3035</x:v>
      </x:c>
    </x:row>
    <x:row r="1184">
      <x:c r="A1184" s="20" t="str">
        <x:v>T2_CONCORDANT_DOMAIN</x:v>
      </x:c>
      <x:c r="B1184" s="20" t="str">
        <x:v>NYC-V2-R03</x:v>
      </x:c>
      <x:c r="C1184" s="20" t="str">
        <x:v>V2</x:v>
      </x:c>
      <x:c r="D1184" s="20" t="str">
        <x:v>group_quarters_population</x:v>
      </x:c>
      <x:c r="E1184" s="20" t="str">
        <x:v>population</x:v>
      </x:c>
      <x:c r="F1184" s="50" t="n">
        <x:v>561</x:v>
      </x:c>
      <x:c r="G1184" s="50" t="n">
        <x:v>12.77106103657797</x:v>
      </x:c>
      <x:c r="H1184" s="50" t="n">
        <x:v>560.996</x:v>
      </x:c>
      <x:c r="I1184" s="50" t="n">
        <x:v>12.494883196977318</x:v>
      </x:c>
      <x:c r="J1184" s="42" t="n">
        <x:v>0.9783747146137941</x:v>
      </x:c>
      <x:c r="K1184" s="42" t="n">
        <x:v>-0.00031320811861775477</x:v>
      </x:c>
      <x:c r="L1184" s="26" t="n">
        <x:v>541</x:v>
      </x:c>
      <x:c r="M1184" s="26" t="n">
        <x:v>561</x:v>
      </x:c>
      <x:c r="N1184" s="26" t="n">
        <x:v>581</x:v>
      </x:c>
    </x:row>
    <x:row r="1185">
      <x:c r="A1185" s="20" t="str">
        <x:v>T2_CONCORDANT_DOMAIN</x:v>
      </x:c>
      <x:c r="B1185" s="20" t="str">
        <x:v>NYC-V2-R04</x:v>
      </x:c>
      <x:c r="C1185" s="20" t="str">
        <x:v>V2</x:v>
      </x:c>
      <x:c r="D1185" s="20" t="str">
        <x:v>acs_population</x:v>
      </x:c>
      <x:c r="E1185" s="20" t="str">
        <x:v>population</x:v>
      </x:c>
      <x:c r="F1185" s="50" t="n">
        <x:v>35397</x:v>
      </x:c>
      <x:c r="G1185" s="50" t="n">
        <x:v>1482.3410538739051</x:v>
      </x:c>
      <x:c r="H1185" s="50" t="n">
        <x:v>35397.642</x:v>
      </x:c>
      <x:c r="I1185" s="50" t="n">
        <x:v>1498.4728708858167</x:v>
      </x:c>
      <x:c r="J1185" s="42" t="n">
        <x:v>1.0108826622387292</x:v>
      </x:c>
      <x:c r="K1185" s="42" t="n">
        <x:v>0.0004330987112055232</x:v>
      </x:c>
      <x:c r="L1185" s="26" t="n">
        <x:v>32868</x:v>
      </x:c>
      <x:c r="M1185" s="26" t="n">
        <x:v>35407</x:v>
      </x:c>
      <x:c r="N1185" s="26" t="n">
        <x:v>37934</x:v>
      </x:c>
    </x:row>
    <x:row r="1186">
      <x:c r="A1186" s="20" t="str">
        <x:v>T2_CONCORDANT_DOMAIN</x:v>
      </x:c>
      <x:c r="B1186" s="20" t="str">
        <x:v>NYC-V2-R04</x:v>
      </x:c>
      <x:c r="C1186" s="20" t="str">
        <x:v>V2</x:v>
      </x:c>
      <x:c r="D1186" s="20" t="str">
        <x:v>age_under_18</x:v>
      </x:c>
      <x:c r="E1186" s="20" t="str">
        <x:v>population</x:v>
      </x:c>
      <x:c r="F1186" s="50" t="n">
        <x:v>9778</x:v>
      </x:c>
      <x:c r="G1186" s="50" t="n">
        <x:v>867.2309092738797</x:v>
      </x:c>
      <x:c r="H1186" s="50" t="n">
        <x:v>9778.164</x:v>
      </x:c>
      <x:c r="I1186" s="50" t="n">
        <x:v>868.6978825317323</x:v>
      </x:c>
      <x:c r="J1186" s="42" t="n">
        <x:v>1.0016915601625418</x:v>
      </x:c>
      <x:c r="K1186" s="42" t="n">
        <x:v>0.00018910765085389345</x:v>
      </x:c>
      <x:c r="L1186" s="26" t="n">
        <x:v>8347</x:v>
      </x:c>
      <x:c r="M1186" s="26" t="n">
        <x:v>9782</x:v>
      </x:c>
      <x:c r="N1186" s="26" t="n">
        <x:v>11211</x:v>
      </x:c>
    </x:row>
    <x:row r="1187">
      <x:c r="A1187" s="20" t="str">
        <x:v>T2_CONCORDANT_DOMAIN</x:v>
      </x:c>
      <x:c r="B1187" s="20" t="str">
        <x:v>NYC-V2-R04</x:v>
      </x:c>
      <x:c r="C1187" s="20" t="str">
        <x:v>V2</x:v>
      </x:c>
      <x:c r="D1187" s="20" t="str">
        <x:v>age_65_plus</x:v>
      </x:c>
      <x:c r="E1187" s="20" t="str">
        <x:v>population</x:v>
      </x:c>
      <x:c r="F1187" s="50" t="n">
        <x:v>4484</x:v>
      </x:c>
      <x:c r="G1187" s="50" t="n">
        <x:v>520.930753555595</x:v>
      </x:c>
      <x:c r="H1187" s="50" t="n">
        <x:v>4486.394</x:v>
      </x:c>
      <x:c r="I1187" s="50" t="n">
        <x:v>534.1929697149644</x:v>
      </x:c>
      <x:c r="J1187" s="42" t="n">
        <x:v>1.02545869305824</x:v>
      </x:c>
      <x:c r="K1187" s="42" t="n">
        <x:v>0.004595620403787006</x:v>
      </x:c>
      <x:c r="L1187" s="26" t="n">
        <x:v>3584</x:v>
      </x:c>
      <x:c r="M1187" s="26" t="n">
        <x:v>4499</x:v>
      </x:c>
      <x:c r="N1187" s="26" t="n">
        <x:v>5351</x:v>
      </x:c>
    </x:row>
    <x:row r="1188">
      <x:c r="A1188" s="20" t="str">
        <x:v>T2_CONCORDANT_DOMAIN</x:v>
      </x:c>
      <x:c r="B1188" s="20" t="str">
        <x:v>NYC-V2-R04</x:v>
      </x:c>
      <x:c r="C1188" s="20" t="str">
        <x:v>V2</x:v>
      </x:c>
      <x:c r="D1188" s="20" t="str">
        <x:v>age_75_plus</x:v>
      </x:c>
      <x:c r="E1188" s="20" t="str">
        <x:v>population</x:v>
      </x:c>
      <x:c r="F1188" s="50" t="n">
        <x:v>1499</x:v>
      </x:c>
      <x:c r="G1188" s="50" t="n">
        <x:v>258.93020295052486</x:v>
      </x:c>
      <x:c r="H1188" s="50" t="n">
        <x:v>1499.003</x:v>
      </x:c>
      <x:c r="I1188" s="50" t="n">
        <x:v>260.9111680795374</x:v>
      </x:c>
      <x:c r="J1188" s="42" t="n">
        <x:v>1.0076505757398686</x:v>
      </x:c>
      <x:c r="K1188" s="42" t="n">
        <x:v>0.000011586133891465281</x:v>
      </x:c>
      <x:c r="L1188" s="26" t="n">
        <x:v>1059</x:v>
      </x:c>
      <x:c r="M1188" s="26" t="n">
        <x:v>1509</x:v>
      </x:c>
      <x:c r="N1188" s="26" t="n">
        <x:v>1903</x:v>
      </x:c>
    </x:row>
    <x:row r="1189">
      <x:c r="A1189" s="20" t="str">
        <x:v>T2_CONCORDANT_DOMAIN</x:v>
      </x:c>
      <x:c r="B1189" s="20" t="str">
        <x:v>NYC-V2-R04</x:v>
      </x:c>
      <x:c r="C1189" s="20" t="str">
        <x:v>V2</x:v>
      </x:c>
      <x:c r="D1189" s="20" t="str">
        <x:v>age_85_plus</x:v>
      </x:c>
      <x:c r="E1189" s="20" t="str">
        <x:v>population</x:v>
      </x:c>
      <x:c r="F1189" s="50" t="n">
        <x:v>436</x:v>
      </x:c>
      <x:c r="G1189" s="50" t="n">
        <x:v>121.58392163440034</x:v>
      </x:c>
      <x:c r="H1189" s="50" t="n">
        <x:v>435.956</x:v>
      </x:c>
      <x:c r="I1189" s="50" t="n">
        <x:v>124.46477229940825</x:v>
      </x:c>
      <x:c r="J1189" s="42" t="n">
        <x:v>1.023694339072814</x:v>
      </x:c>
      <x:c r="K1189" s="42" t="n">
        <x:v>-0.0003618899555838441</x:v>
      </x:c>
      <x:c r="L1189" s="26" t="n">
        <x:v>226</x:v>
      </x:c>
      <x:c r="M1189" s="26" t="n">
        <x:v>441</x:v>
      </x:c>
      <x:c r="N1189" s="26" t="n">
        <x:v>634</x:v>
      </x:c>
    </x:row>
    <x:row r="1190">
      <x:c r="A1190" s="20" t="str">
        <x:v>T2_CONCORDANT_DOMAIN</x:v>
      </x:c>
      <x:c r="B1190" s="20" t="str">
        <x:v>NYC-V2-R04</x:v>
      </x:c>
      <x:c r="C1190" s="20" t="str">
        <x:v>V2</x:v>
      </x:c>
      <x:c r="D1190" s="20" t="str">
        <x:v>civilian_noninstitutionalized</x:v>
      </x:c>
      <x:c r="E1190" s="20" t="str">
        <x:v>disability</x:v>
      </x:c>
      <x:c r="F1190" s="50" t="n">
        <x:v>35165</x:v>
      </x:c>
      <x:c r="G1190" s="50" t="n">
        <x:v>1482.7961592882552</x:v>
      </x:c>
      <x:c r="H1190" s="50" t="n">
        <x:v>34575.484</x:v>
      </x:c>
      <x:c r="I1190" s="50" t="n">
        <x:v>1308.4273093174752</x:v>
      </x:c>
      <x:c r="J1190" s="42" t="n">
        <x:v>0.8824053806192232</x:v>
      </x:c>
      <x:c r="K1190" s="42" t="n">
        <x:v>-0.39757049295499386</x:v>
      </x:c>
      <x:c r="L1190" s="26" t="n">
        <x:v>32404</x:v>
      </x:c>
      <x:c r="M1190" s="26" t="n">
        <x:v>34596</x:v>
      </x:c>
      <x:c r="N1190" s="26" t="n">
        <x:v>36616</x:v>
      </x:c>
    </x:row>
    <x:row r="1191">
      <x:c r="A1191" s="20" t="str">
        <x:v>T2_CONCORDANT_DOMAIN</x:v>
      </x:c>
      <x:c r="B1191" s="20" t="str">
        <x:v>NYC-V2-R04</x:v>
      </x:c>
      <x:c r="C1191" s="20" t="str">
        <x:v>V2</x:v>
      </x:c>
      <x:c r="D1191" s="20" t="str">
        <x:v>any_disability</x:v>
      </x:c>
      <x:c r="E1191" s="20" t="str">
        <x:v>disability</x:v>
      </x:c>
      <x:c r="F1191" s="50" t="n">
        <x:v>3985</x:v>
      </x:c>
      <x:c r="G1191" s="50" t="n">
        <x:v>371.7736542575334</x:v>
      </x:c>
      <x:c r="H1191" s="50" t="n">
        <x:v>3984.929</x:v>
      </x:c>
      <x:c r="I1191" s="50" t="n">
        <x:v>497.92296918523675</x:v>
      </x:c>
      <x:c r="J1191" s="42" t="n">
        <x:v>1.3393175215162443</x:v>
      </x:c>
      <x:c r="K1191" s="42" t="n">
        <x:v>-0.00019097641585632608</x:v>
      </x:c>
      <x:c r="L1191" s="26" t="n">
        <x:v>3165</x:v>
      </x:c>
      <x:c r="M1191" s="26" t="n">
        <x:v>3998</x:v>
      </x:c>
      <x:c r="N1191" s="26" t="n">
        <x:v>4755</x:v>
      </x:c>
    </x:row>
    <x:row r="1192">
      <x:c r="A1192" s="20" t="str">
        <x:v>T2_CONCORDANT_DOMAIN</x:v>
      </x:c>
      <x:c r="B1192" s="20" t="str">
        <x:v>NYC-V2-R04</x:v>
      </x:c>
      <x:c r="C1192" s="20" t="str">
        <x:v>V2</x:v>
      </x:c>
      <x:c r="D1192" s="20" t="str">
        <x:v>disability_under_18</x:v>
      </x:c>
      <x:c r="E1192" s="20" t="str">
        <x:v>disability</x:v>
      </x:c>
      <x:c r="F1192" s="50" t="n">
        <x:v>460</x:v>
      </x:c>
      <x:c r="G1192" s="50" t="n">
        <x:v>117.97330206449254</x:v>
      </x:c>
      <x:c r="H1192" s="50" t="n">
        <x:v>459.962</x:v>
      </x:c>
      <x:c r="I1192" s="50" t="n">
        <x:v>120.50824367151317</x:v>
      </x:c>
      <x:c r="J1192" s="42" t="n">
        <x:v>1.0214874175992366</x:v>
      </x:c>
      <x:c r="K1192" s="42" t="n">
        <x:v>-0.00032210677615209437</x:v>
      </x:c>
      <x:c r="L1192" s="26" t="n">
        <x:v>257</x:v>
      </x:c>
      <x:c r="M1192" s="26" t="n">
        <x:v>464</x:v>
      </x:c>
      <x:c r="N1192" s="26" t="n">
        <x:v>650</x:v>
      </x:c>
    </x:row>
    <x:row r="1193">
      <x:c r="A1193" s="20" t="str">
        <x:v>T2_CONCORDANT_DOMAIN</x:v>
      </x:c>
      <x:c r="B1193" s="20" t="str">
        <x:v>NYC-V2-R04</x:v>
      </x:c>
      <x:c r="C1193" s="20" t="str">
        <x:v>V2</x:v>
      </x:c>
      <x:c r="D1193" s="20" t="str">
        <x:v>disability_18_64</x:v>
      </x:c>
      <x:c r="E1193" s="20" t="str">
        <x:v>disability</x:v>
      </x:c>
      <x:c r="F1193" s="50" t="n">
        <x:v>1777</x:v>
      </x:c>
      <x:c r="G1193" s="50" t="n">
        <x:v>235.50774934171488</x:v>
      </x:c>
      <x:c r="H1193" s="50" t="n">
        <x:v>1777.023</x:v>
      </x:c>
      <x:c r="I1193" s="50" t="n">
        <x:v>235.037893290172</x:v>
      </x:c>
      <x:c r="J1193" s="42" t="n">
        <x:v>0.998004923180421</x:v>
      </x:c>
      <x:c r="K1193" s="42" t="n">
        <x:v>0.00009766132988914322</x:v>
      </x:c>
      <x:c r="L1193" s="26" t="n">
        <x:v>1395</x:v>
      </x:c>
      <x:c r="M1193" s="26" t="n">
        <x:v>1783</x:v>
      </x:c>
      <x:c r="N1193" s="26" t="n">
        <x:v>2178</x:v>
      </x:c>
    </x:row>
    <x:row r="1194">
      <x:c r="A1194" s="20" t="str">
        <x:v>T2_CONCORDANT_DOMAIN</x:v>
      </x:c>
      <x:c r="B1194" s="20" t="str">
        <x:v>NYC-V2-R04</x:v>
      </x:c>
      <x:c r="C1194" s="20" t="str">
        <x:v>V2</x:v>
      </x:c>
      <x:c r="D1194" s="20" t="str">
        <x:v>disability_65_plus</x:v>
      </x:c>
      <x:c r="E1194" s="20" t="str">
        <x:v>disability</x:v>
      </x:c>
      <x:c r="F1194" s="50" t="n">
        <x:v>1748</x:v>
      </x:c>
      <x:c r="G1194" s="50" t="n">
        <x:v>267.32143572859997</x:v>
      </x:c>
      <x:c r="H1194" s="50" t="n">
        <x:v>1747.944</x:v>
      </x:c>
      <x:c r="I1194" s="50" t="n">
        <x:v>265.46507976111013</x:v>
      </x:c>
      <x:c r="J1194" s="42" t="n">
        <x:v>0.9930557160056012</x:v>
      </x:c>
      <x:c r="K1194" s="42" t="n">
        <x:v>-0.00020948563233400566</x:v>
      </x:c>
      <x:c r="L1194" s="26" t="n">
        <x:v>1288</x:v>
      </x:c>
      <x:c r="M1194" s="26" t="n">
        <x:v>1749</x:v>
      </x:c>
      <x:c r="N1194" s="26" t="n">
        <x:v>2174</x:v>
      </x:c>
    </x:row>
    <x:row r="1195">
      <x:c r="A1195" s="20" t="str">
        <x:v>T2_CONCORDANT_DOMAIN</x:v>
      </x:c>
      <x:c r="B1195" s="20" t="str">
        <x:v>NYC-V2-R04</x:v>
      </x:c>
      <x:c r="C1195" s="20" t="str">
        <x:v>V2</x:v>
      </x:c>
      <x:c r="D1195" s="20" t="str">
        <x:v>hearing_difficulty</x:v>
      </x:c>
      <x:c r="E1195" s="20" t="str">
        <x:v>disability</x:v>
      </x:c>
      <x:c r="F1195" s="50" t="n">
        <x:v>445</x:v>
      </x:c>
      <x:c r="G1195" s="50" t="n">
        <x:v>137.06420603556114</x:v>
      </x:c>
      <x:c r="H1195" s="50" t="n">
        <x:v>445.045</x:v>
      </x:c>
      <x:c r="I1195" s="50" t="n">
        <x:v>135.7295453631393</x:v>
      </x:c>
      <x:c r="J1195" s="42" t="n">
        <x:v>0.990262514838662</x:v>
      </x:c>
      <x:c r="K1195" s="42" t="n">
        <x:v>0.00032831328690103613</x:v>
      </x:c>
      <x:c r="L1195" s="26" t="n">
        <x:v>226</x:v>
      </x:c>
      <x:c r="M1195" s="26" t="n">
        <x:v>446</x:v>
      </x:c>
      <x:c r="N1195" s="26" t="n">
        <x:v>669</x:v>
      </x:c>
    </x:row>
    <x:row r="1196">
      <x:c r="A1196" s="20" t="str">
        <x:v>T2_CONCORDANT_DOMAIN</x:v>
      </x:c>
      <x:c r="B1196" s="20" t="str">
        <x:v>NYC-V2-R04</x:v>
      </x:c>
      <x:c r="C1196" s="20" t="str">
        <x:v>V2</x:v>
      </x:c>
      <x:c r="D1196" s="20" t="str">
        <x:v>vision_difficulty</x:v>
      </x:c>
      <x:c r="E1196" s="20" t="str">
        <x:v>disability</x:v>
      </x:c>
      <x:c r="F1196" s="50" t="n">
        <x:v>570</x:v>
      </x:c>
      <x:c r="G1196" s="50" t="n">
        <x:v>149.057701175634</x:v>
      </x:c>
      <x:c r="H1196" s="50" t="n">
        <x:v>570.008</x:v>
      </x:c>
      <x:c r="I1196" s="50" t="n">
        <x:v>150.24547127164143</x:v>
      </x:c>
      <x:c r="J1196" s="42" t="n">
        <x:v>1.007968525521589</x:v>
      </x:c>
      <x:c r="K1196" s="42" t="n">
        <x:v>0.00005367049093700858</x:v>
      </x:c>
      <x:c r="L1196" s="26" t="n">
        <x:v>318</x:v>
      </x:c>
      <x:c r="M1196" s="26" t="n">
        <x:v>573</x:v>
      </x:c>
      <x:c r="N1196" s="26" t="n">
        <x:v>813</x:v>
      </x:c>
    </x:row>
    <x:row r="1197">
      <x:c r="A1197" s="20" t="str">
        <x:v>T2_CONCORDANT_DOMAIN</x:v>
      </x:c>
      <x:c r="B1197" s="20" t="str">
        <x:v>NYC-V2-R04</x:v>
      </x:c>
      <x:c r="C1197" s="20" t="str">
        <x:v>V2</x:v>
      </x:c>
      <x:c r="D1197" s="20" t="str">
        <x:v>cognitive_difficulty</x:v>
      </x:c>
      <x:c r="E1197" s="20" t="str">
        <x:v>disability</x:v>
      </x:c>
      <x:c r="F1197" s="50" t="n">
        <x:v>1192</x:v>
      </x:c>
      <x:c r="G1197" s="50" t="n">
        <x:v>202.80732223434802</x:v>
      </x:c>
      <x:c r="H1197" s="50" t="n">
        <x:v>1192.058</x:v>
      </x:c>
      <x:c r="I1197" s="50" t="n">
        <x:v>199.93447033572883</x:v>
      </x:c>
      <x:c r="J1197" s="42" t="n">
        <x:v>0.9858345750687465</x:v>
      </x:c>
      <x:c r="K1197" s="42" t="n">
        <x:v>0.00028598572951410764</x:v>
      </x:c>
      <x:c r="L1197" s="26" t="n">
        <x:v>871</x:v>
      </x:c>
      <x:c r="M1197" s="26" t="n">
        <x:v>1193</x:v>
      </x:c>
      <x:c r="N1197" s="26" t="n">
        <x:v>1528</x:v>
      </x:c>
    </x:row>
    <x:row r="1198">
      <x:c r="A1198" s="20" t="str">
        <x:v>T2_CONCORDANT_DOMAIN</x:v>
      </x:c>
      <x:c r="B1198" s="20" t="str">
        <x:v>NYC-V2-R04</x:v>
      </x:c>
      <x:c r="C1198" s="20" t="str">
        <x:v>V2</x:v>
      </x:c>
      <x:c r="D1198" s="20" t="str">
        <x:v>ambulatory_difficulty</x:v>
      </x:c>
      <x:c r="E1198" s="20" t="str">
        <x:v>disability</x:v>
      </x:c>
      <x:c r="F1198" s="50" t="n">
        <x:v>2512</x:v>
      </x:c>
      <x:c r="G1198" s="50" t="n">
        <x:v>309.37411914892334</x:v>
      </x:c>
      <x:c r="H1198" s="50" t="n">
        <x:v>2512.171</x:v>
      </x:c>
      <x:c r="I1198" s="50" t="n">
        <x:v>317.47119194773677</x:v>
      </x:c>
      <x:c r="J1198" s="42" t="n">
        <x:v>1.0261724310394424</x:v>
      </x:c>
      <x:c r="K1198" s="42" t="n">
        <x:v>0.0005527288464537252</x:v>
      </x:c>
      <x:c r="L1198" s="26" t="n">
        <x:v>1995</x:v>
      </x:c>
      <x:c r="M1198" s="26" t="n">
        <x:v>2517</x:v>
      </x:c>
      <x:c r="N1198" s="26" t="n">
        <x:v>3016</x:v>
      </x:c>
    </x:row>
    <x:row r="1199">
      <x:c r="A1199" s="20" t="str">
        <x:v>T2_CONCORDANT_DOMAIN</x:v>
      </x:c>
      <x:c r="B1199" s="20" t="str">
        <x:v>NYC-V2-R04</x:v>
      </x:c>
      <x:c r="C1199" s="20" t="str">
        <x:v>V2</x:v>
      </x:c>
      <x:c r="D1199" s="20" t="str">
        <x:v>self_care_difficulty</x:v>
      </x:c>
      <x:c r="E1199" s="20" t="str">
        <x:v>disability</x:v>
      </x:c>
      <x:c r="F1199" s="50" t="n">
        <x:v>1027</x:v>
      </x:c>
      <x:c r="G1199" s="50" t="n">
        <x:v>201.01276268873735</x:v>
      </x:c>
      <x:c r="H1199" s="50" t="n">
        <x:v>1027.043</x:v>
      </x:c>
      <x:c r="I1199" s="50" t="n">
        <x:v>200.2320254480162</x:v>
      </x:c>
      <x:c r="J1199" s="42" t="n">
        <x:v>0.9961159817402734</x:v>
      </x:c>
      <x:c r="K1199" s="42" t="n">
        <x:v>0.00021391676540696562</x:v>
      </x:c>
      <x:c r="L1199" s="26" t="n">
        <x:v>690</x:v>
      </x:c>
      <x:c r="M1199" s="26" t="n">
        <x:v>1030</x:v>
      </x:c>
      <x:c r="N1199" s="26" t="n">
        <x:v>1345</x:v>
      </x:c>
    </x:row>
    <x:row r="1200">
      <x:c r="A1200" s="20" t="str">
        <x:v>T2_CONCORDANT_DOMAIN</x:v>
      </x:c>
      <x:c r="B1200" s="20" t="str">
        <x:v>NYC-V2-R04</x:v>
      </x:c>
      <x:c r="C1200" s="20" t="str">
        <x:v>V2</x:v>
      </x:c>
      <x:c r="D1200" s="20" t="str">
        <x:v>independent_living_difficulty</x:v>
      </x:c>
      <x:c r="E1200" s="20" t="str">
        <x:v>disability</x:v>
      </x:c>
      <x:c r="F1200" s="50" t="n">
        <x:v>2186</x:v>
      </x:c>
      <x:c r="G1200" s="50" t="n">
        <x:v>289.9957294852893</x:v>
      </x:c>
      <x:c r="H1200" s="50" t="n">
        <x:v>2185.962</x:v>
      </x:c>
      <x:c r="I1200" s="50" t="n">
        <x:v>284.262716246517</x:v>
      </x:c>
      <x:c r="J1200" s="42" t="n">
        <x:v>0.9802306977107982</x:v>
      </x:c>
      <x:c r="K1200" s="42" t="n">
        <x:v>-0.0001310364123894402</x:v>
      </x:c>
      <x:c r="L1200" s="26" t="n">
        <x:v>1721</x:v>
      </x:c>
      <x:c r="M1200" s="26" t="n">
        <x:v>2178</x:v>
      </x:c>
      <x:c r="N1200" s="26" t="n">
        <x:v>2639</x:v>
      </x:c>
    </x:row>
    <x:row r="1201">
      <x:c r="A1201" s="20" t="str">
        <x:v>T2_CONCORDANT_DOMAIN</x:v>
      </x:c>
      <x:c r="B1201" s="20" t="str">
        <x:v>NYC-V2-R04</x:v>
      </x:c>
      <x:c r="C1201" s="20" t="str">
        <x:v>V2</x:v>
      </x:c>
      <x:c r="D1201" s="20" t="str">
        <x:v>households</x:v>
      </x:c>
      <x:c r="E1201" s="20" t="str">
        <x:v>household</x:v>
      </x:c>
      <x:c r="F1201" s="50" t="n">
        <x:v>12042</x:v>
      </x:c>
      <x:c r="G1201" s="50" t="n">
        <x:v>472.6580687981535</x:v>
      </x:c>
      <x:c r="H1201" s="50" t="n">
        <x:v>12044.808</x:v>
      </x:c>
      <x:c r="I1201" s="50" t="n">
        <x:v>445.199127806198</x:v>
      </x:c>
      <x:c r="J1201" s="42" t="n">
        <x:v>0.941905274013884</x:v>
      </x:c>
      <x:c r="K1201" s="42" t="n">
        <x:v>0.005940869701306307</x:v>
      </x:c>
      <x:c r="L1201" s="26" t="n">
        <x:v>11308</x:v>
      </x:c>
      <x:c r="M1201" s="26" t="n">
        <x:v>12057</x:v>
      </x:c>
      <x:c r="N1201" s="26" t="n">
        <x:v>12774</x:v>
      </x:c>
    </x:row>
    <x:row r="1202">
      <x:c r="A1202" s="20" t="str">
        <x:v>T2_CONCORDANT_DOMAIN</x:v>
      </x:c>
      <x:c r="B1202" s="20" t="str">
        <x:v>NYC-V2-R04</x:v>
      </x:c>
      <x:c r="C1202" s="20" t="str">
        <x:v>V2</x:v>
      </x:c>
      <x:c r="D1202" s="20" t="str">
        <x:v>family_households</x:v>
      </x:c>
      <x:c r="E1202" s="20" t="str">
        <x:v>household</x:v>
      </x:c>
      <x:c r="F1202" s="50" t="n">
        <x:v>7936</x:v>
      </x:c>
      <x:c r="G1202" s="50" t="n">
        <x:v>402.79957795409865</x:v>
      </x:c>
      <x:c r="H1202" s="50" t="n">
        <x:v>7905.711</x:v>
      </x:c>
      <x:c r="I1202" s="50" t="n">
        <x:v>375.83880625513814</x:v>
      </x:c>
      <x:c r="J1202" s="42" t="n">
        <x:v>0.9330665343893859</x:v>
      </x:c>
      <x:c r="K1202" s="42" t="n">
        <x:v>-0.07519620589933033</x:v>
      </x:c>
      <x:c r="L1202" s="26" t="n">
        <x:v>7299</x:v>
      </x:c>
      <x:c r="M1202" s="26" t="n">
        <x:v>7908</x:v>
      </x:c>
      <x:c r="N1202" s="26" t="n">
        <x:v>8536</x:v>
      </x:c>
    </x:row>
    <x:row r="1203">
      <x:c r="A1203" s="20" t="str">
        <x:v>T2_CONCORDANT_DOMAIN</x:v>
      </x:c>
      <x:c r="B1203" s="20" t="str">
        <x:v>NYC-V2-R04</x:v>
      </x:c>
      <x:c r="C1203" s="20" t="str">
        <x:v>V2</x:v>
      </x:c>
      <x:c r="D1203" s="20" t="str">
        <x:v>nonfamily_households</x:v>
      </x:c>
      <x:c r="E1203" s="20" t="str">
        <x:v>household</x:v>
      </x:c>
      <x:c r="F1203" s="50" t="n">
        <x:v>4106</x:v>
      </x:c>
      <x:c r="G1203" s="50" t="n">
        <x:v>448.4646585852669</x:v>
      </x:c>
      <x:c r="H1203" s="50" t="n">
        <x:v>4139.097</x:v>
      </x:c>
      <x:c r="I1203" s="50" t="n">
        <x:v>449.9977039102805</x:v>
      </x:c>
      <x:c r="J1203" s="42" t="n">
        <x:v>1.0034184306291822</x:v>
      </x:c>
      <x:c r="K1203" s="42" t="n">
        <x:v>0.07380068722562895</x:v>
      </x:c>
      <x:c r="L1203" s="26" t="n">
        <x:v>3396</x:v>
      </x:c>
      <x:c r="M1203" s="26" t="n">
        <x:v>4148</x:v>
      </x:c>
      <x:c r="N1203" s="26" t="n">
        <x:v>4866</x:v>
      </x:c>
    </x:row>
    <x:row r="1204">
      <x:c r="A1204" s="20" t="str">
        <x:v>T2_CONCORDANT_DOMAIN</x:v>
      </x:c>
      <x:c r="B1204" s="20" t="str">
        <x:v>NYC-V2-R04</x:v>
      </x:c>
      <x:c r="C1204" s="20" t="str">
        <x:v>V2</x:v>
      </x:c>
      <x:c r="D1204" s="20" t="str">
        <x:v>living_alone_households</x:v>
      </x:c>
      <x:c r="E1204" s="20" t="str">
        <x:v>household</x:v>
      </x:c>
      <x:c r="F1204" s="50" t="n">
        <x:v>3340</x:v>
      </x:c>
      <x:c r="G1204" s="50" t="n">
        <x:v>448.1658175273969</x:v>
      </x:c>
      <x:c r="H1204" s="50" t="n">
        <x:v>3339.8</x:v>
      </x:c>
      <x:c r="I1204" s="50" t="n">
        <x:v>452.3266954751172</x:v>
      </x:c>
      <x:c r="J1204" s="42" t="n">
        <x:v>1.0092842376303408</x:v>
      </x:c>
      <x:c r="K1204" s="42" t="n">
        <x:v>-0.0004462633966669979</x:v>
      </x:c>
      <x:c r="L1204" s="26" t="n">
        <x:v>2568</x:v>
      </x:c>
      <x:c r="M1204" s="26" t="n">
        <x:v>3345</x:v>
      </x:c>
      <x:c r="N1204" s="26" t="n">
        <x:v>4054</x:v>
      </x:c>
    </x:row>
    <x:row r="1205">
      <x:c r="A1205" s="20" t="str">
        <x:v>T2_CONCORDANT_DOMAIN</x:v>
      </x:c>
      <x:c r="B1205" s="20" t="str">
        <x:v>NYC-V2-R04</x:v>
      </x:c>
      <x:c r="C1205" s="20" t="str">
        <x:v>V2</x:v>
      </x:c>
      <x:c r="D1205" s="20" t="str">
        <x:v>households_with_children</x:v>
      </x:c>
      <x:c r="E1205" s="20" t="str">
        <x:v>household</x:v>
      </x:c>
      <x:c r="F1205" s="50" t="n">
        <x:v>4875</x:v>
      </x:c>
      <x:c r="G1205" s="50" t="n">
        <x:v>322.88364777424084</x:v>
      </x:c>
      <x:c r="H1205" s="50" t="n">
        <x:v>4874.941</x:v>
      </x:c>
      <x:c r="I1205" s="50" t="n">
        <x:v>316.1022685194827</x:v>
      </x:c>
      <x:c r="J1205" s="42" t="n">
        <x:v>0.978997452173547</x:v>
      </x:c>
      <x:c r="K1205" s="42" t="n">
        <x:v>-0.00018272836177027167</x:v>
      </x:c>
      <x:c r="L1205" s="26" t="n">
        <x:v>4337</x:v>
      </x:c>
      <x:c r="M1205" s="26" t="n">
        <x:v>4869</x:v>
      </x:c>
      <x:c r="N1205" s="26" t="n">
        <x:v>5408</x:v>
      </x:c>
    </x:row>
    <x:row r="1206">
      <x:c r="A1206" s="20" t="str">
        <x:v>T2_CONCORDANT_DOMAIN</x:v>
      </x:c>
      <x:c r="B1206" s="20" t="str">
        <x:v>NYC-V2-R04</x:v>
      </x:c>
      <x:c r="C1206" s="20" t="str">
        <x:v>V2</x:v>
      </x:c>
      <x:c r="D1206" s="20" t="str">
        <x:v>households_with_age65</x:v>
      </x:c>
      <x:c r="E1206" s="20" t="str">
        <x:v>household</x:v>
      </x:c>
      <x:c r="F1206" s="50" t="n">
        <x:v>3302</x:v>
      </x:c>
      <x:c r="G1206" s="50" t="n">
        <x:v>324.50030816626355</x:v>
      </x:c>
      <x:c r="H1206" s="50" t="n">
        <x:v>3302.083</x:v>
      </x:c>
      <x:c r="I1206" s="50" t="n">
        <x:v>319.5466854705196</x:v>
      </x:c>
      <x:c r="J1206" s="42" t="n">
        <x:v>0.9847346132774523</x:v>
      </x:c>
      <x:c r="K1206" s="42" t="n">
        <x:v>0.00025577787728188266</x:v>
      </x:c>
      <x:c r="L1206" s="26" t="n">
        <x:v>2792</x:v>
      </x:c>
      <x:c r="M1206" s="26" t="n">
        <x:v>3306</x:v>
      </x:c>
      <x:c r="N1206" s="26" t="n">
        <x:v>3829</x:v>
      </x:c>
    </x:row>
    <x:row r="1207">
      <x:c r="A1207" s="20" t="str">
        <x:v>T2_CONCORDANT_DOMAIN</x:v>
      </x:c>
      <x:c r="B1207" s="20" t="str">
        <x:v>NYC-V2-R04</x:v>
      </x:c>
      <x:c r="C1207" s="20" t="str">
        <x:v>V2</x:v>
      </x:c>
      <x:c r="D1207" s="20" t="str">
        <x:v>age65_one_person_households</x:v>
      </x:c>
      <x:c r="E1207" s="20" t="str">
        <x:v>household</x:v>
      </x:c>
      <x:c r="F1207" s="50" t="n">
        <x:v>1136</x:v>
      </x:c>
      <x:c r="G1207" s="50" t="n">
        <x:v>217.43803715081683</x:v>
      </x:c>
      <x:c r="H1207" s="50" t="n">
        <x:v>1135.984</x:v>
      </x:c>
      <x:c r="I1207" s="50" t="n">
        <x:v>213.33111800651565</x:v>
      </x:c>
      <x:c r="J1207" s="42" t="n">
        <x:v>0.9811122322565275</x:v>
      </x:c>
      <x:c r="K1207" s="42" t="n">
        <x:v>-0.00007358418154307871</x:v>
      </x:c>
      <x:c r="L1207" s="26" t="n">
        <x:v>790</x:v>
      </x:c>
      <x:c r="M1207" s="26" t="n">
        <x:v>1140</x:v>
      </x:c>
      <x:c r="N1207" s="26" t="n">
        <x:v>1492</x:v>
      </x:c>
    </x:row>
    <x:row r="1208">
      <x:c r="A1208" s="20" t="str">
        <x:v>T2_CONCORDANT_DOMAIN</x:v>
      </x:c>
      <x:c r="B1208" s="20" t="str">
        <x:v>NYC-V2-R04</x:v>
      </x:c>
      <x:c r="C1208" s="20" t="str">
        <x:v>V2</x:v>
      </x:c>
      <x:c r="D1208" s="20" t="str">
        <x:v>no_vehicle_households</x:v>
      </x:c>
      <x:c r="E1208" s="20" t="str">
        <x:v>household</x:v>
      </x:c>
      <x:c r="F1208" s="50" t="n">
        <x:v>7986</x:v>
      </x:c>
      <x:c r="G1208" s="50" t="n">
        <x:v>455.833019685223</x:v>
      </x:c>
      <x:c r="H1208" s="50" t="n">
        <x:v>7986.124</x:v>
      </x:c>
      <x:c r="I1208" s="50" t="n">
        <x:v>439.0000223731699</x:v>
      </x:c>
      <x:c r="J1208" s="42" t="n">
        <x:v>0.963072009737958</x:v>
      </x:c>
      <x:c r="K1208" s="42" t="n">
        <x:v>0.00027202943763359854</x:v>
      </x:c>
      <x:c r="L1208" s="26" t="n">
        <x:v>7282</x:v>
      </x:c>
      <x:c r="M1208" s="26" t="n">
        <x:v>7969</x:v>
      </x:c>
      <x:c r="N1208" s="26" t="n">
        <x:v>8697</x:v>
      </x:c>
    </x:row>
    <x:row r="1209">
      <x:c r="A1209" s="20" t="str">
        <x:v>T2_CONCORDANT_DOMAIN</x:v>
      </x:c>
      <x:c r="B1209" s="20" t="str">
        <x:v>NYC-V2-R04</x:v>
      </x:c>
      <x:c r="C1209" s="20" t="str">
        <x:v>V2</x:v>
      </x:c>
      <x:c r="D1209" s="20" t="str">
        <x:v>limited_english_households</x:v>
      </x:c>
      <x:c r="E1209" s="20" t="str">
        <x:v>household</x:v>
      </x:c>
      <x:c r="F1209" s="50" t="n">
        <x:v>1859</x:v>
      </x:c>
      <x:c r="G1209" s="50" t="n">
        <x:v>337.51031418894877</x:v>
      </x:c>
      <x:c r="H1209" s="50" t="n">
        <x:v>1859.033</x:v>
      </x:c>
      <x:c r="I1209" s="50" t="n">
        <x:v>330.09470826935024</x:v>
      </x:c>
      <x:c r="J1209" s="42" t="n">
        <x:v>0.9780285057734649</x:v>
      </x:c>
      <x:c r="K1209" s="42" t="n">
        <x:v>0.0000977747897251737</x:v>
      </x:c>
      <x:c r="L1209" s="26" t="n">
        <x:v>1332</x:v>
      </x:c>
      <x:c r="M1209" s="26" t="n">
        <x:v>1856</x:v>
      </x:c>
      <x:c r="N1209" s="26" t="n">
        <x:v>2427</x:v>
      </x:c>
    </x:row>
    <x:row r="1210">
      <x:c r="A1210" s="20" t="str">
        <x:v>T2_CONCORDANT_DOMAIN</x:v>
      </x:c>
      <x:c r="B1210" s="20" t="str">
        <x:v>NYC-V2-R04</x:v>
      </x:c>
      <x:c r="C1210" s="20" t="str">
        <x:v>V2</x:v>
      </x:c>
      <x:c r="D1210" s="20" t="str">
        <x:v>housing_units</x:v>
      </x:c>
      <x:c r="E1210" s="20" t="str">
        <x:v>housing</x:v>
      </x:c>
      <x:c r="F1210" s="50" t="n">
        <x:v>12656</x:v>
      </x:c>
      <x:c r="G1210" s="50" t="n">
        <x:v>446.9353980163129</x:v>
      </x:c>
      <x:c r="H1210" s="50" t="n">
        <x:v>12658.848</x:v>
      </x:c>
      <x:c r="I1210" s="50" t="n">
        <x:v>486.6357480161597</x:v>
      </x:c>
      <x:c r="J1210" s="42" t="n">
        <x:v>1.0888279383912165</x:v>
      </x:c>
      <x:c r="K1210" s="42" t="n">
        <x:v>0.006372285597964666</x:v>
      </x:c>
      <x:c r="L1210" s="26" t="n">
        <x:v>11864</x:v>
      </x:c>
      <x:c r="M1210" s="26" t="n">
        <x:v>12656</x:v>
      </x:c>
      <x:c r="N1210" s="26" t="n">
        <x:v>13456</x:v>
      </x:c>
    </x:row>
    <x:row r="1211">
      <x:c r="A1211" s="20" t="str">
        <x:v>T2_CONCORDANT_DOMAIN</x:v>
      </x:c>
      <x:c r="B1211" s="20" t="str">
        <x:v>NYC-V2-R04</x:v>
      </x:c>
      <x:c r="C1211" s="20" t="str">
        <x:v>V2</x:v>
      </x:c>
      <x:c r="D1211" s="20" t="str">
        <x:v>occupied_housing_units</x:v>
      </x:c>
      <x:c r="E1211" s="20" t="str">
        <x:v>housing</x:v>
      </x:c>
      <x:c r="F1211" s="50" t="n">
        <x:v>12042</x:v>
      </x:c>
      <x:c r="G1211" s="50" t="n">
        <x:v>472.6580687981535</x:v>
      </x:c>
      <x:c r="H1211" s="50" t="n">
        <x:v>12044.808</x:v>
      </x:c>
      <x:c r="I1211" s="50" t="n">
        <x:v>445.199127806198</x:v>
      </x:c>
      <x:c r="J1211" s="42" t="n">
        <x:v>0.941905274013884</x:v>
      </x:c>
      <x:c r="K1211" s="42" t="n">
        <x:v>0.005940869701306307</x:v>
      </x:c>
      <x:c r="L1211" s="26" t="n">
        <x:v>11308</x:v>
      </x:c>
      <x:c r="M1211" s="26" t="n">
        <x:v>12057</x:v>
      </x:c>
      <x:c r="N1211" s="26" t="n">
        <x:v>12774</x:v>
      </x:c>
    </x:row>
    <x:row r="1212">
      <x:c r="A1212" s="20" t="str">
        <x:v>T2_CONCORDANT_DOMAIN</x:v>
      </x:c>
      <x:c r="B1212" s="20" t="str">
        <x:v>NYC-V2-R04</x:v>
      </x:c>
      <x:c r="C1212" s="20" t="str">
        <x:v>V2</x:v>
      </x:c>
      <x:c r="D1212" s="20" t="str">
        <x:v>vacant_housing_units</x:v>
      </x:c>
      <x:c r="E1212" s="20" t="str">
        <x:v>housing</x:v>
      </x:c>
      <x:c r="F1212" s="50" t="n">
        <x:v>614</x:v>
      </x:c>
      <x:c r="G1212" s="50" t="n">
        <x:v>121.57096692878609</x:v>
      </x:c>
      <x:c r="H1212" s="50" t="n">
        <x:v>614.04</x:v>
      </x:c>
      <x:c r="I1212" s="50" t="n">
        <x:v>122.42105748324231</x:v>
      </x:c>
      <x:c r="J1212" s="42" t="n">
        <x:v>1.006992545802109</x:v>
      </x:c>
      <x:c r="K1212" s="42" t="n">
        <x:v>0.00032902592625914413</x:v>
      </x:c>
      <x:c r="L1212" s="26" t="n">
        <x:v>413</x:v>
      </x:c>
      <x:c r="M1212" s="26" t="n">
        <x:v>616</x:v>
      </x:c>
      <x:c r="N1212" s="26" t="n">
        <x:v>818</x:v>
      </x:c>
    </x:row>
    <x:row r="1213">
      <x:c r="A1213" s="20" t="str">
        <x:v>T2_CONCORDANT_DOMAIN</x:v>
      </x:c>
      <x:c r="B1213" s="20" t="str">
        <x:v>NYC-V2-R04</x:v>
      </x:c>
      <x:c r="C1213" s="20" t="str">
        <x:v>V2</x:v>
      </x:c>
      <x:c r="D1213" s="20" t="str">
        <x:v>owner_occupied_units</x:v>
      </x:c>
      <x:c r="E1213" s="20" t="str">
        <x:v>housing</x:v>
      </x:c>
      <x:c r="F1213" s="50" t="n">
        <x:v>1927</x:v>
      </x:c>
      <x:c r="G1213" s="50" t="n">
        <x:v>216.37665751855764</x:v>
      </x:c>
      <x:c r="H1213" s="50" t="n">
        <x:v>1927.032</x:v>
      </x:c>
      <x:c r="I1213" s="50" t="n">
        <x:v>208.38928251968494</x:v>
      </x:c>
      <x:c r="J1213" s="42" t="n">
        <x:v>0.9630857824939474</x:v>
      </x:c>
      <x:c r="K1213" s="42" t="n">
        <x:v>0.00014789025936025899</x:v>
      </x:c>
      <x:c r="L1213" s="26" t="n">
        <x:v>1593</x:v>
      </x:c>
      <x:c r="M1213" s="26" t="n">
        <x:v>1922</x:v>
      </x:c>
      <x:c r="N1213" s="26" t="n">
        <x:v>2274</x:v>
      </x:c>
    </x:row>
    <x:row r="1214">
      <x:c r="A1214" s="20" t="str">
        <x:v>T2_CONCORDANT_DOMAIN</x:v>
      </x:c>
      <x:c r="B1214" s="20" t="str">
        <x:v>NYC-V2-R04</x:v>
      </x:c>
      <x:c r="C1214" s="20" t="str">
        <x:v>V2</x:v>
      </x:c>
      <x:c r="D1214" s="20" t="str">
        <x:v>renter_occupied_units</x:v>
      </x:c>
      <x:c r="E1214" s="20" t="str">
        <x:v>housing</x:v>
      </x:c>
      <x:c r="F1214" s="50" t="n">
        <x:v>10115</x:v>
      </x:c>
      <x:c r="G1214" s="50" t="n">
        <x:v>465.1111462230554</x:v>
      </x:c>
      <x:c r="H1214" s="50" t="n">
        <x:v>10117.776</x:v>
      </x:c>
      <x:c r="I1214" s="50" t="n">
        <x:v>348.50363643527254</x:v>
      </x:c>
      <x:c r="J1214" s="42" t="n">
        <x:v>0.7492910872278669</x:v>
      </x:c>
      <x:c r="K1214" s="42" t="n">
        <x:v>0.005968465865723504</x:v>
      </x:c>
      <x:c r="L1214" s="26" t="n">
        <x:v>9515</x:v>
      </x:c>
      <x:c r="M1214" s="26" t="n">
        <x:v>10124</x:v>
      </x:c>
      <x:c r="N1214" s="26" t="n">
        <x:v>10679</x:v>
      </x:c>
    </x:row>
    <x:row r="1215">
      <x:c r="A1215" s="20" t="str">
        <x:v>T2_CONCORDANT_DOMAIN</x:v>
      </x:c>
      <x:c r="B1215" s="20" t="str">
        <x:v>NYC-V2-R04</x:v>
      </x:c>
      <x:c r="C1215" s="20" t="str">
        <x:v>V2</x:v>
      </x:c>
      <x:c r="D1215" s="20" t="str">
        <x:v>one_unit_structures</x:v>
      </x:c>
      <x:c r="E1215" s="20" t="str">
        <x:v>housing</x:v>
      </x:c>
      <x:c r="F1215" s="50" t="n">
        <x:v>1258</x:v>
      </x:c>
      <x:c r="G1215" s="50" t="n">
        <x:v>195.3411990652606</x:v>
      </x:c>
      <x:c r="H1215" s="50" t="n">
        <x:v>1257.846</x:v>
      </x:c>
      <x:c r="I1215" s="50" t="n">
        <x:v>164.42384098263696</x:v>
      </x:c>
      <x:c r="J1215" s="42" t="n">
        <x:v>0.8417263832178351</x:v>
      </x:c>
      <x:c r="K1215" s="42" t="n">
        <x:v>-0.0007883641583900959</x:v>
      </x:c>
      <x:c r="L1215" s="26" t="n">
        <x:v>986</x:v>
      </x:c>
      <x:c r="M1215" s="26" t="n">
        <x:v>1259</x:v>
      </x:c>
      <x:c r="N1215" s="26" t="n">
        <x:v>1525</x:v>
      </x:c>
    </x:row>
    <x:row r="1216">
      <x:c r="A1216" s="20" t="str">
        <x:v>T2_CONCORDANT_DOMAIN</x:v>
      </x:c>
      <x:c r="B1216" s="20" t="str">
        <x:v>NYC-V2-R04</x:v>
      </x:c>
      <x:c r="C1216" s="20" t="str">
        <x:v>V2</x:v>
      </x:c>
      <x:c r="D1216" s="20" t="str">
        <x:v>two_to_four_unit_structures</x:v>
      </x:c>
      <x:c r="E1216" s="20" t="str">
        <x:v>housing</x:v>
      </x:c>
      <x:c r="F1216" s="50" t="n">
        <x:v>4732</x:v>
      </x:c>
      <x:c r="G1216" s="50" t="n">
        <x:v>465.8359892222641</x:v>
      </x:c>
      <x:c r="H1216" s="50" t="n">
        <x:v>4713.724</x:v>
      </x:c>
      <x:c r="I1216" s="50" t="n">
        <x:v>306.85853741746536</x:v>
      </x:c>
      <x:c r="J1216" s="42" t="n">
        <x:v>0.6587265572369808</x:v>
      </x:c>
      <x:c r="K1216" s="42" t="n">
        <x:v>-0.03923269224113086</x:v>
      </x:c>
      <x:c r="L1216" s="26" t="n">
        <x:v>4228</x:v>
      </x:c>
      <x:c r="M1216" s="26" t="n">
        <x:v>4713</x:v>
      </x:c>
      <x:c r="N1216" s="26" t="n">
        <x:v>5236</x:v>
      </x:c>
    </x:row>
    <x:row r="1217">
      <x:c r="A1217" s="20" t="str">
        <x:v>T2_CONCORDANT_DOMAIN</x:v>
      </x:c>
      <x:c r="B1217" s="20" t="str">
        <x:v>NYC-V2-R04</x:v>
      </x:c>
      <x:c r="C1217" s="20" t="str">
        <x:v>V2</x:v>
      </x:c>
      <x:c r="D1217" s="20" t="str">
        <x:v>five_to_nineteen_unit_structures</x:v>
      </x:c>
      <x:c r="E1217" s="20" t="str">
        <x:v>housing</x:v>
      </x:c>
      <x:c r="F1217" s="50" t="n">
        <x:v>1049</x:v>
      </x:c>
      <x:c r="G1217" s="50" t="n">
        <x:v>177.17210248560423</x:v>
      </x:c>
      <x:c r="H1217" s="50" t="n">
        <x:v>1049.057</x:v>
      </x:c>
      <x:c r="I1217" s="50" t="n">
        <x:v>152.033798962688</x:v>
      </x:c>
      <x:c r="J1217" s="42" t="n">
        <x:v>0.8581136467296887</x:v>
      </x:c>
      <x:c r="K1217" s="42" t="n">
        <x:v>0.0003217210791109046</x:v>
      </x:c>
      <x:c r="L1217" s="26" t="n">
        <x:v>798</x:v>
      </x:c>
      <x:c r="M1217" s="26" t="n">
        <x:v>1051</x:v>
      </x:c>
      <x:c r="N1217" s="26" t="n">
        <x:v>1299</x:v>
      </x:c>
    </x:row>
    <x:row r="1218">
      <x:c r="A1218" s="20" t="str">
        <x:v>T2_CONCORDANT_DOMAIN</x:v>
      </x:c>
      <x:c r="B1218" s="20" t="str">
        <x:v>NYC-V2-R04</x:v>
      </x:c>
      <x:c r="C1218" s="20" t="str">
        <x:v>V2</x:v>
      </x:c>
      <x:c r="D1218" s="20" t="str">
        <x:v>twenty_to_forty_nine_unit_structures</x:v>
      </x:c>
      <x:c r="E1218" s="20" t="str">
        <x:v>housing</x:v>
      </x:c>
      <x:c r="F1218" s="50" t="n">
        <x:v>949</x:v>
      </x:c>
      <x:c r="G1218" s="50" t="n">
        <x:v>160.24551335613415</x:v>
      </x:c>
      <x:c r="H1218" s="50" t="n">
        <x:v>948.899</x:v>
      </x:c>
      <x:c r="I1218" s="50" t="n">
        <x:v>138.76966462025777</x:v>
      </x:c>
      <x:c r="J1218" s="42" t="n">
        <x:v>0.8659815910842518</x:v>
      </x:c>
      <x:c r="K1218" s="42" t="n">
        <x:v>-0.000630282857127699</x:v>
      </x:c>
      <x:c r="L1218" s="26" t="n">
        <x:v>723</x:v>
      </x:c>
      <x:c r="M1218" s="26" t="n">
        <x:v>950</x:v>
      </x:c>
      <x:c r="N1218" s="26" t="n">
        <x:v>1182</x:v>
      </x:c>
    </x:row>
    <x:row r="1219">
      <x:c r="A1219" s="20" t="str">
        <x:v>T2_CONCORDANT_DOMAIN</x:v>
      </x:c>
      <x:c r="B1219" s="20" t="str">
        <x:v>NYC-V2-R04</x:v>
      </x:c>
      <x:c r="C1219" s="20" t="str">
        <x:v>V2</x:v>
      </x:c>
      <x:c r="D1219" s="20" t="str">
        <x:v>fifty_plus_unit_structures</x:v>
      </x:c>
      <x:c r="E1219" s="20" t="str">
        <x:v>housing</x:v>
      </x:c>
      <x:c r="F1219" s="50" t="n">
        <x:v>4054</x:v>
      </x:c>
      <x:c r="G1219" s="50" t="n">
        <x:v>290.7491449188039</x:v>
      </x:c>
      <x:c r="H1219" s="50" t="n">
        <x:v>4053.813</x:v>
      </x:c>
      <x:c r="I1219" s="50" t="n">
        <x:v>223.89647532433972</x:v>
      </x:c>
      <x:c r="J1219" s="42" t="n">
        <x:v>0.7700675280983756</x:v>
      </x:c>
      <x:c r="K1219" s="42" t="n">
        <x:v>-0.0006431661219575408</x:v>
      </x:c>
      <x:c r="L1219" s="26" t="n">
        <x:v>3675</x:v>
      </x:c>
      <x:c r="M1219" s="26" t="n">
        <x:v>4058</x:v>
      </x:c>
      <x:c r="N1219" s="26" t="n">
        <x:v>4425</x:v>
      </x:c>
    </x:row>
    <x:row r="1220">
      <x:c r="A1220" s="20" t="str">
        <x:v>T2_CONCORDANT_DOMAIN</x:v>
      </x:c>
      <x:c r="B1220" s="20" t="str">
        <x:v>NYC-V2-R04</x:v>
      </x:c>
      <x:c r="C1220" s="20" t="str">
        <x:v>V2</x:v>
      </x:c>
      <x:c r="D1220" s="20" t="str">
        <x:v>mobile_or_other_units</x:v>
      </x:c>
      <x:c r="E1220" s="20" t="str">
        <x:v>housing</x:v>
      </x:c>
      <x:c r="F1220" s="50" t="n">
        <x:v>0</x:v>
      </x:c>
      <x:c r="G1220" s="50" t="n">
        <x:v>55.635555932632464</x:v>
      </x:c>
      <x:c r="H1220" s="50" t="n">
        <x:v>21.469</x:v>
      </x:c>
      <x:c r="I1220" s="50" t="n">
        <x:v>31.517874538353873</x:v>
      </x:c>
      <x:c r="J1220" s="42" t="n">
        <x:v>0.5665059692495565</x:v>
      </x:c>
      <x:c r="K1220" s="42" t="n">
        <x:v>0.38588632107848825</x:v>
      </x:c>
      <x:c r="L1220" s="26" t="n">
        <x:v>0</x:v>
      </x:c>
      <x:c r="M1220" s="26" t="n">
        <x:v>1</x:v>
      </x:c>
      <x:c r="N1220" s="26" t="n">
        <x:v>89</x:v>
      </x:c>
    </x:row>
    <x:row r="1221">
      <x:c r="A1221" s="20" t="str">
        <x:v>T2_CONCORDANT_DOMAIN</x:v>
      </x:c>
      <x:c r="B1221" s="20" t="str">
        <x:v>NYC-V2-R04</x:v>
      </x:c>
      <x:c r="C1221" s="20" t="str">
        <x:v>V2</x:v>
      </x:c>
      <x:c r="D1221" s="20" t="str">
        <x:v>electric_heat_households</x:v>
      </x:c>
      <x:c r="E1221" s="20" t="str">
        <x:v>housing</x:v>
      </x:c>
      <x:c r="F1221" s="50" t="n">
        <x:v>795</x:v>
      </x:c>
      <x:c r="G1221" s="50" t="n">
        <x:v>196.44413964280025</x:v>
      </x:c>
      <x:c r="H1221" s="50" t="n">
        <x:v>794.935</x:v>
      </x:c>
      <x:c r="I1221" s="50" t="n">
        <x:v>195.14896334055402</x:v>
      </x:c>
      <x:c r="J1221" s="42" t="n">
        <x:v>0.9934068977338735</x:v>
      </x:c>
      <x:c r="K1221" s="42" t="n">
        <x:v>-0.00033088286633668914</x:v>
      </x:c>
      <x:c r="L1221" s="26" t="n">
        <x:v>467</x:v>
      </x:c>
      <x:c r="M1221" s="26" t="n">
        <x:v>797</x:v>
      </x:c>
      <x:c r="N1221" s="26" t="n">
        <x:v>1112</x:v>
      </x:c>
    </x:row>
    <x:row r="1222">
      <x:c r="A1222" s="20" t="str">
        <x:v>T2_CONCORDANT_DOMAIN</x:v>
      </x:c>
      <x:c r="B1222" s="20" t="str">
        <x:v>NYC-V2-R04</x:v>
      </x:c>
      <x:c r="C1222" s="20" t="str">
        <x:v>V2</x:v>
      </x:c>
      <x:c r="D1222" s="20" t="str">
        <x:v>group_quarters_population</x:v>
      </x:c>
      <x:c r="E1222" s="20" t="str">
        <x:v>population</x:v>
      </x:c>
      <x:c r="F1222" s="50" t="n">
        <x:v>420</x:v>
      </x:c>
      <x:c r="G1222" s="50" t="n">
        <x:v>9.518403227432636</x:v>
      </x:c>
      <x:c r="H1222" s="50" t="n">
        <x:v>419.992</x:v>
      </x:c>
      <x:c r="I1222" s="50" t="n">
        <x:v>9.490627376944477</x:v>
      </x:c>
      <x:c r="J1222" s="42" t="n">
        <x:v>0.9970818791950202</x:v>
      </x:c>
      <x:c r="K1222" s="42" t="n">
        <x:v>-0.0008404771061731082</x:v>
      </x:c>
      <x:c r="L1222" s="26" t="n">
        <x:v>405</x:v>
      </x:c>
      <x:c r="M1222" s="26" t="n">
        <x:v>420</x:v>
      </x:c>
      <x:c r="N1222" s="26" t="n">
        <x:v>435</x:v>
      </x:c>
    </x:row>
    <x:row r="1223">
      <x:c r="A1223" s="20" t="str">
        <x:v>T2_CONCORDANT_DOMAIN</x:v>
      </x:c>
      <x:c r="B1223" s="20" t="str">
        <x:v>NYC-V3-R01</x:v>
      </x:c>
      <x:c r="C1223" s="20" t="str">
        <x:v>V3</x:v>
      </x:c>
      <x:c r="D1223" s="20" t="str">
        <x:v>acs_population</x:v>
      </x:c>
      <x:c r="E1223" s="20" t="str">
        <x:v>population</x:v>
      </x:c>
      <x:c r="F1223" s="50" t="n">
        <x:v>34085</x:v>
      </x:c>
      <x:c r="G1223" s="50" t="n">
        <x:v>1244.7103277469823</x:v>
      </x:c>
      <x:c r="H1223" s="50" t="n">
        <x:v>34637.009</x:v>
      </x:c>
      <x:c r="I1223" s="50" t="n">
        <x:v>1132.697685601046</x:v>
      </x:c>
      <x:c r="J1223" s="42" t="n">
        <x:v>0.9100090682555133</x:v>
      </x:c>
      <x:c r="K1223" s="42" t="n">
        <x:v>0.44348390761662215</x:v>
      </x:c>
      <x:c r="L1223" s="26" t="n">
        <x:v>32890</x:v>
      </x:c>
      <x:c r="M1223" s="26" t="n">
        <x:v>34596</x:v>
      </x:c>
      <x:c r="N1223" s="26" t="n">
        <x:v>36522</x:v>
      </x:c>
    </x:row>
    <x:row r="1224">
      <x:c r="A1224" s="20" t="str">
        <x:v>T2_CONCORDANT_DOMAIN</x:v>
      </x:c>
      <x:c r="B1224" s="20" t="str">
        <x:v>NYC-V3-R01</x:v>
      </x:c>
      <x:c r="C1224" s="20" t="str">
        <x:v>V3</x:v>
      </x:c>
      <x:c r="D1224" s="20" t="str">
        <x:v>age_under_18</x:v>
      </x:c>
      <x:c r="E1224" s="20" t="str">
        <x:v>population</x:v>
      </x:c>
      <x:c r="F1224" s="50" t="n">
        <x:v>4833</x:v>
      </x:c>
      <x:c r="G1224" s="50" t="n">
        <x:v>567.5816681324371</x:v>
      </x:c>
      <x:c r="H1224" s="50" t="n">
        <x:v>4833.37</x:v>
      </x:c>
      <x:c r="I1224" s="50" t="n">
        <x:v>575.9993006022614</x:v>
      </x:c>
      <x:c r="J1224" s="42" t="n">
        <x:v>1.0148306982808686</x:v>
      </x:c>
      <x:c r="K1224" s="42" t="n">
        <x:v>0.0006518885664812497</x:v>
      </x:c>
      <x:c r="L1224" s="26" t="n">
        <x:v>3869</x:v>
      </x:c>
      <x:c r="M1224" s="26" t="n">
        <x:v>4828</x:v>
      </x:c>
      <x:c r="N1224" s="26" t="n">
        <x:v>5767</x:v>
      </x:c>
    </x:row>
    <x:row r="1225">
      <x:c r="A1225" s="20" t="str">
        <x:v>T2_CONCORDANT_DOMAIN</x:v>
      </x:c>
      <x:c r="B1225" s="20" t="str">
        <x:v>NYC-V3-R01</x:v>
      </x:c>
      <x:c r="C1225" s="20" t="str">
        <x:v>V3</x:v>
      </x:c>
      <x:c r="D1225" s="20" t="str">
        <x:v>age_65_plus</x:v>
      </x:c>
      <x:c r="E1225" s="20" t="str">
        <x:v>population</x:v>
      </x:c>
      <x:c r="F1225" s="50" t="n">
        <x:v>5397</x:v>
      </x:c>
      <x:c r="G1225" s="50" t="n">
        <x:v>396.21010840209516</x:v>
      </x:c>
      <x:c r="H1225" s="50" t="n">
        <x:v>5397.253</x:v>
      </x:c>
      <x:c r="I1225" s="50" t="n">
        <x:v>390.4548090995281</x:v>
      </x:c>
      <x:c r="J1225" s="42" t="n">
        <x:v>0.985474122995554</x:v>
      </x:c>
      <x:c r="K1225" s="42" t="n">
        <x:v>0.0006385500890425133</x:v>
      </x:c>
      <x:c r="L1225" s="26" t="n">
        <x:v>4754</x:v>
      </x:c>
      <x:c r="M1225" s="26" t="n">
        <x:v>5404</x:v>
      </x:c>
      <x:c r="N1225" s="26" t="n">
        <x:v>6043</x:v>
      </x:c>
    </x:row>
    <x:row r="1226">
      <x:c r="A1226" s="20" t="str">
        <x:v>T2_CONCORDANT_DOMAIN</x:v>
      </x:c>
      <x:c r="B1226" s="20" t="str">
        <x:v>NYC-V3-R01</x:v>
      </x:c>
      <x:c r="C1226" s="20" t="str">
        <x:v>V3</x:v>
      </x:c>
      <x:c r="D1226" s="20" t="str">
        <x:v>age_75_plus</x:v>
      </x:c>
      <x:c r="E1226" s="20" t="str">
        <x:v>population</x:v>
      </x:c>
      <x:c r="F1226" s="50" t="n">
        <x:v>2200</x:v>
      </x:c>
      <x:c r="G1226" s="50" t="n">
        <x:v>257.18087020616446</x:v>
      </x:c>
      <x:c r="H1226" s="50" t="n">
        <x:v>2200.044</x:v>
      </x:c>
      <x:c r="I1226" s="50" t="n">
        <x:v>252.20919797569545</x:v>
      </x:c>
      <x:c r="J1226" s="42" t="n">
        <x:v>0.9806685768405575</x:v>
      </x:c>
      <x:c r="K1226" s="42" t="n">
        <x:v>0.00017108581973689264</x:v>
      </x:c>
      <x:c r="L1226" s="26" t="n">
        <x:v>1800</x:v>
      </x:c>
      <x:c r="M1226" s="26" t="n">
        <x:v>2204</x:v>
      </x:c>
      <x:c r="N1226" s="26" t="n">
        <x:v>2618</x:v>
      </x:c>
    </x:row>
    <x:row r="1227">
      <x:c r="A1227" s="20" t="str">
        <x:v>T2_CONCORDANT_DOMAIN</x:v>
      </x:c>
      <x:c r="B1227" s="20" t="str">
        <x:v>NYC-V3-R01</x:v>
      </x:c>
      <x:c r="C1227" s="20" t="str">
        <x:v>V3</x:v>
      </x:c>
      <x:c r="D1227" s="20" t="str">
        <x:v>age_85_plus</x:v>
      </x:c>
      <x:c r="E1227" s="20" t="str">
        <x:v>population</x:v>
      </x:c>
      <x:c r="F1227" s="50" t="n">
        <x:v>678</x:v>
      </x:c>
      <x:c r="G1227" s="50" t="n">
        <x:v>108.72810124342281</x:v>
      </x:c>
      <x:c r="H1227" s="50" t="n">
        <x:v>677.974</x:v>
      </x:c>
      <x:c r="I1227" s="50" t="n">
        <x:v>107.7539987575786</x:v>
      </x:c>
      <x:c r="J1227" s="42" t="n">
        <x:v>0.9910409316937911</x:v>
      </x:c>
      <x:c r="K1227" s="42" t="n">
        <x:v>-0.00023912861259063338</x:v>
      </x:c>
      <x:c r="L1227" s="26" t="n">
        <x:v>502</x:v>
      </x:c>
      <x:c r="M1227" s="26" t="n">
        <x:v>682</x:v>
      </x:c>
      <x:c r="N1227" s="26" t="n">
        <x:v>852</x:v>
      </x:c>
    </x:row>
    <x:row r="1228">
      <x:c r="A1228" s="20" t="str">
        <x:v>T2_CONCORDANT_DOMAIN</x:v>
      </x:c>
      <x:c r="B1228" s="20" t="str">
        <x:v>NYC-V3-R01</x:v>
      </x:c>
      <x:c r="C1228" s="20" t="str">
        <x:v>V3</x:v>
      </x:c>
      <x:c r="D1228" s="20" t="str">
        <x:v>civilian_noninstitutionalized</x:v>
      </x:c>
      <x:c r="E1228" s="20" t="str">
        <x:v>disability</x:v>
      </x:c>
      <x:c r="F1228" s="50" t="n">
        <x:v>34054</x:v>
      </x:c>
      <x:c r="G1228" s="50" t="n">
        <x:v>1239.3902129676512</x:v>
      </x:c>
      <x:c r="H1228" s="50" t="n">
        <x:v>34054.446</x:v>
      </x:c>
      <x:c r="I1228" s="50" t="n">
        <x:v>1239.0164659466343</x:v>
      </x:c>
      <x:c r="J1228" s="42" t="n">
        <x:v>0.9996984428171963</x:v>
      </x:c>
      <x:c r="K1228" s="42" t="n">
        <x:v>0.00035985438269326683</x:v>
      </x:c>
      <x:c r="L1228" s="26" t="n">
        <x:v>31923</x:v>
      </x:c>
      <x:c r="M1228" s="26" t="n">
        <x:v>34024</x:v>
      </x:c>
      <x:c r="N1228" s="26" t="n">
        <x:v>36103</x:v>
      </x:c>
    </x:row>
    <x:row r="1229">
      <x:c r="A1229" s="20" t="str">
        <x:v>T2_CONCORDANT_DOMAIN</x:v>
      </x:c>
      <x:c r="B1229" s="20" t="str">
        <x:v>NYC-V3-R01</x:v>
      </x:c>
      <x:c r="C1229" s="20" t="str">
        <x:v>V3</x:v>
      </x:c>
      <x:c r="D1229" s="20" t="str">
        <x:v>any_disability</x:v>
      </x:c>
      <x:c r="E1229" s="20" t="str">
        <x:v>disability</x:v>
      </x:c>
      <x:c r="F1229" s="50" t="n">
        <x:v>3265</x:v>
      </x:c>
      <x:c r="G1229" s="50" t="n">
        <x:v>265.1135605735776</x:v>
      </x:c>
      <x:c r="H1229" s="50" t="n">
        <x:v>3265.409</x:v>
      </x:c>
      <x:c r="I1229" s="50" t="n">
        <x:v>364.03185700143325</x:v>
      </x:c>
      <x:c r="J1229" s="42" t="n">
        <x:v>1.3731166984210248</x:v>
      </x:c>
      <x:c r="K1229" s="42" t="n">
        <x:v>0.0015427351174162015</x:v>
      </x:c>
      <x:c r="L1229" s="26" t="n">
        <x:v>2654</x:v>
      </x:c>
      <x:c r="M1229" s="26" t="n">
        <x:v>3270</x:v>
      </x:c>
      <x:c r="N1229" s="26" t="n">
        <x:v>3848</x:v>
      </x:c>
    </x:row>
    <x:row r="1230">
      <x:c r="A1230" s="20" t="str">
        <x:v>T2_CONCORDANT_DOMAIN</x:v>
      </x:c>
      <x:c r="B1230" s="20" t="str">
        <x:v>NYC-V3-R01</x:v>
      </x:c>
      <x:c r="C1230" s="20" t="str">
        <x:v>V3</x:v>
      </x:c>
      <x:c r="D1230" s="20" t="str">
        <x:v>disability_under_18</x:v>
      </x:c>
      <x:c r="E1230" s="20" t="str">
        <x:v>disability</x:v>
      </x:c>
      <x:c r="F1230" s="50" t="n">
        <x:v>230</x:v>
      </x:c>
      <x:c r="G1230" s="50" t="n">
        <x:v>101.90706550578328</x:v>
      </x:c>
      <x:c r="H1230" s="50" t="n">
        <x:v>230.314</x:v>
      </x:c>
      <x:c r="I1230" s="50" t="n">
        <x:v>98.66947384611447</x:v>
      </x:c>
      <x:c r="J1230" s="42" t="n">
        <x:v>0.968229958898335</x:v>
      </x:c>
      <x:c r="K1230" s="42" t="n">
        <x:v>0.0030812387584860175</x:v>
      </x:c>
      <x:c r="L1230" s="26" t="n">
        <x:v>70</x:v>
      </x:c>
      <x:c r="M1230" s="26" t="n">
        <x:v>232</x:v>
      </x:c>
      <x:c r="N1230" s="26" t="n">
        <x:v>391</x:v>
      </x:c>
    </x:row>
    <x:row r="1231">
      <x:c r="A1231" s="20" t="str">
        <x:v>T2_CONCORDANT_DOMAIN</x:v>
      </x:c>
      <x:c r="B1231" s="20" t="str">
        <x:v>NYC-V3-R01</x:v>
      </x:c>
      <x:c r="C1231" s="20" t="str">
        <x:v>V3</x:v>
      </x:c>
      <x:c r="D1231" s="20" t="str">
        <x:v>disability_18_64</x:v>
      </x:c>
      <x:c r="E1231" s="20" t="str">
        <x:v>disability</x:v>
      </x:c>
      <x:c r="F1231" s="50" t="n">
        <x:v>1422</x:v>
      </x:c>
      <x:c r="G1231" s="50" t="n">
        <x:v>194.2244835235764</x:v>
      </x:c>
      <x:c r="H1231" s="50" t="n">
        <x:v>1422.074</x:v>
      </x:c>
      <x:c r="I1231" s="50" t="n">
        <x:v>195.2788579348936</x:v>
      </x:c>
      <x:c r="J1231" s="42" t="n">
        <x:v>1.005428637997584</x:v>
      </x:c>
      <x:c r="K1231" s="42" t="n">
        <x:v>0.0003810024290325193</x:v>
      </x:c>
      <x:c r="L1231" s="26" t="n">
        <x:v>1092</x:v>
      </x:c>
      <x:c r="M1231" s="26" t="n">
        <x:v>1426</x:v>
      </x:c>
      <x:c r="N1231" s="26" t="n">
        <x:v>1733</x:v>
      </x:c>
    </x:row>
    <x:row r="1232">
      <x:c r="A1232" s="20" t="str">
        <x:v>T2_CONCORDANT_DOMAIN</x:v>
      </x:c>
      <x:c r="B1232" s="20" t="str">
        <x:v>NYC-V3-R01</x:v>
      </x:c>
      <x:c r="C1232" s="20" t="str">
        <x:v>V3</x:v>
      </x:c>
      <x:c r="D1232" s="20" t="str">
        <x:v>disability_65_plus</x:v>
      </x:c>
      <x:c r="E1232" s="20" t="str">
        <x:v>disability</x:v>
      </x:c>
      <x:c r="F1232" s="50" t="n">
        <x:v>1613</x:v>
      </x:c>
      <x:c r="G1232" s="50" t="n">
        <x:v>185.045129630585</x:v>
      </x:c>
      <x:c r="H1232" s="50" t="n">
        <x:v>1613.021</x:v>
      </x:c>
      <x:c r="I1232" s="50" t="n">
        <x:v>181.62649791190643</x:v>
      </x:c>
      <x:c r="J1232" s="42" t="n">
        <x:v>0.981525416391648</x:v>
      </x:c>
      <x:c r="K1232" s="42" t="n">
        <x:v>0.00011348582933191234</x:v>
      </x:c>
      <x:c r="L1232" s="26" t="n">
        <x:v>1317</x:v>
      </x:c>
      <x:c r="M1232" s="26" t="n">
        <x:v>1616</x:v>
      </x:c>
      <x:c r="N1232" s="26" t="n">
        <x:v>1913</x:v>
      </x:c>
    </x:row>
    <x:row r="1233">
      <x:c r="A1233" s="20" t="str">
        <x:v>T2_CONCORDANT_DOMAIN</x:v>
      </x:c>
      <x:c r="B1233" s="20" t="str">
        <x:v>NYC-V3-R01</x:v>
      </x:c>
      <x:c r="C1233" s="20" t="str">
        <x:v>V3</x:v>
      </x:c>
      <x:c r="D1233" s="20" t="str">
        <x:v>hearing_difficulty</x:v>
      </x:c>
      <x:c r="E1233" s="20" t="str">
        <x:v>disability</x:v>
      </x:c>
      <x:c r="F1233" s="50" t="n">
        <x:v>720</x:v>
      </x:c>
      <x:c r="G1233" s="50" t="n">
        <x:v>159.06620460011186</x:v>
      </x:c>
      <x:c r="H1233" s="50" t="n">
        <x:v>720.045</x:v>
      </x:c>
      <x:c r="I1233" s="50" t="n">
        <x:v>152.7919119042083</x:v>
      </x:c>
      <x:c r="J1233" s="42" t="n">
        <x:v>0.9605554636091496</x:v>
      </x:c>
      <x:c r="K1233" s="42" t="n">
        <x:v>0.0002829010732549246</x:v>
      </x:c>
      <x:c r="L1233" s="26" t="n">
        <x:v>464</x:v>
      </x:c>
      <x:c r="M1233" s="26" t="n">
        <x:v>713</x:v>
      </x:c>
      <x:c r="N1233" s="26" t="n">
        <x:v>975</x:v>
      </x:c>
    </x:row>
    <x:row r="1234">
      <x:c r="A1234" s="20" t="str">
        <x:v>T2_CONCORDANT_DOMAIN</x:v>
      </x:c>
      <x:c r="B1234" s="20" t="str">
        <x:v>NYC-V3-R01</x:v>
      </x:c>
      <x:c r="C1234" s="20" t="str">
        <x:v>V3</x:v>
      </x:c>
      <x:c r="D1234" s="20" t="str">
        <x:v>vision_difficulty</x:v>
      </x:c>
      <x:c r="E1234" s="20" t="str">
        <x:v>disability</x:v>
      </x:c>
      <x:c r="F1234" s="50" t="n">
        <x:v>541</x:v>
      </x:c>
      <x:c r="G1234" s="50" t="n">
        <x:v>140.9076055387275</x:v>
      </x:c>
      <x:c r="H1234" s="50" t="n">
        <x:v>540.972</x:v>
      </x:c>
      <x:c r="I1234" s="50" t="n">
        <x:v>143.76531459876432</x:v>
      </x:c>
      <x:c r="J1234" s="42" t="n">
        <x:v>1.0202807296959666</x:v>
      </x:c>
      <x:c r="K1234" s="42" t="n">
        <x:v>-0.0001987117721074637</x:v>
      </x:c>
      <x:c r="L1234" s="26" t="n">
        <x:v>308</x:v>
      </x:c>
      <x:c r="M1234" s="26" t="n">
        <x:v>542</x:v>
      </x:c>
      <x:c r="N1234" s="26" t="n">
        <x:v>775</x:v>
      </x:c>
    </x:row>
    <x:row r="1235">
      <x:c r="A1235" s="20" t="str">
        <x:v>T2_CONCORDANT_DOMAIN</x:v>
      </x:c>
      <x:c r="B1235" s="20" t="str">
        <x:v>NYC-V3-R01</x:v>
      </x:c>
      <x:c r="C1235" s="20" t="str">
        <x:v>V3</x:v>
      </x:c>
      <x:c r="D1235" s="20" t="str">
        <x:v>cognitive_difficulty</x:v>
      </x:c>
      <x:c r="E1235" s="20" t="str">
        <x:v>disability</x:v>
      </x:c>
      <x:c r="F1235" s="50" t="n">
        <x:v>1327</x:v>
      </x:c>
      <x:c r="G1235" s="50" t="n">
        <x:v>183.32778306430754</x:v>
      </x:c>
      <x:c r="H1235" s="50" t="n">
        <x:v>1327.028</x:v>
      </x:c>
      <x:c r="I1235" s="50" t="n">
        <x:v>180.5781206948219</x:v>
      </x:c>
      <x:c r="J1235" s="42" t="n">
        <x:v>0.9850013875500742</x:v>
      </x:c>
      <x:c r="K1235" s="42" t="n">
        <x:v>0.00015273189656255317</x:v>
      </x:c>
      <x:c r="L1235" s="26" t="n">
        <x:v>1019</x:v>
      </x:c>
      <x:c r="M1235" s="26" t="n">
        <x:v>1326</x:v>
      </x:c>
      <x:c r="N1235" s="26" t="n">
        <x:v>1627</x:v>
      </x:c>
    </x:row>
    <x:row r="1236">
      <x:c r="A1236" s="20" t="str">
        <x:v>T2_CONCORDANT_DOMAIN</x:v>
      </x:c>
      <x:c r="B1236" s="20" t="str">
        <x:v>NYC-V3-R01</x:v>
      </x:c>
      <x:c r="C1236" s="20" t="str">
        <x:v>V3</x:v>
      </x:c>
      <x:c r="D1236" s="20" t="str">
        <x:v>ambulatory_difficulty</x:v>
      </x:c>
      <x:c r="E1236" s="20" t="str">
        <x:v>disability</x:v>
      </x:c>
      <x:c r="F1236" s="50" t="n">
        <x:v>1715</x:v>
      </x:c>
      <x:c r="G1236" s="50" t="n">
        <x:v>191.92404948828334</x:v>
      </x:c>
      <x:c r="H1236" s="50" t="n">
        <x:v>1715.01</x:v>
      </x:c>
      <x:c r="I1236" s="50" t="n">
        <x:v>193.15787290158244</x:v>
      </x:c>
      <x:c r="J1236" s="42" t="n">
        <x:v>1.0064287066503066</x:v>
      </x:c>
      <x:c r="K1236" s="42" t="n">
        <x:v>0.00005210394438140171</x:v>
      </x:c>
      <x:c r="L1236" s="26" t="n">
        <x:v>1411</x:v>
      </x:c>
      <x:c r="M1236" s="26" t="n">
        <x:v>1718</x:v>
      </x:c>
      <x:c r="N1236" s="26" t="n">
        <x:v>2028</x:v>
      </x:c>
    </x:row>
    <x:row r="1237">
      <x:c r="A1237" s="20" t="str">
        <x:v>T2_CONCORDANT_DOMAIN</x:v>
      </x:c>
      <x:c r="B1237" s="20" t="str">
        <x:v>NYC-V3-R01</x:v>
      </x:c>
      <x:c r="C1237" s="20" t="str">
        <x:v>V3</x:v>
      </x:c>
      <x:c r="D1237" s="20" t="str">
        <x:v>self_care_difficulty</x:v>
      </x:c>
      <x:c r="E1237" s="20" t="str">
        <x:v>disability</x:v>
      </x:c>
      <x:c r="F1237" s="50" t="n">
        <x:v>694</x:v>
      </x:c>
      <x:c r="G1237" s="50" t="n">
        <x:v>141.54999206989226</x:v>
      </x:c>
      <x:c r="H1237" s="50" t="n">
        <x:v>694.074</x:v>
      </x:c>
      <x:c r="I1237" s="50" t="n">
        <x:v>144.1169115968289</x:v>
      </x:c>
      <x:c r="J1237" s="42" t="n">
        <x:v>1.0181343671546743</x:v>
      </x:c>
      <x:c r="K1237" s="42" t="n">
        <x:v>0.000522783498026739</x:v>
      </x:c>
      <x:c r="L1237" s="26" t="n">
        <x:v>458</x:v>
      </x:c>
      <x:c r="M1237" s="26" t="n">
        <x:v>689</x:v>
      </x:c>
      <x:c r="N1237" s="26" t="n">
        <x:v>930</x:v>
      </x:c>
    </x:row>
    <x:row r="1238">
      <x:c r="A1238" s="20" t="str">
        <x:v>T2_CONCORDANT_DOMAIN</x:v>
      </x:c>
      <x:c r="B1238" s="20" t="str">
        <x:v>NYC-V3-R01</x:v>
      </x:c>
      <x:c r="C1238" s="20" t="str">
        <x:v>V3</x:v>
      </x:c>
      <x:c r="D1238" s="20" t="str">
        <x:v>independent_living_difficulty</x:v>
      </x:c>
      <x:c r="E1238" s="20" t="str">
        <x:v>disability</x:v>
      </x:c>
      <x:c r="F1238" s="50" t="n">
        <x:v>1238</x:v>
      </x:c>
      <x:c r="G1238" s="50" t="n">
        <x:v>175.45656878411353</x:v>
      </x:c>
      <x:c r="H1238" s="50" t="n">
        <x:v>1237.952</x:v>
      </x:c>
      <x:c r="I1238" s="50" t="n">
        <x:v>176.46751111317482</x:v>
      </x:c>
      <x:c r="J1238" s="42" t="n">
        <x:v>1.0057617810268773</x:v>
      </x:c>
      <x:c r="K1238" s="42" t="n">
        <x:v>-0.00027357197472077725</x:v>
      </x:c>
      <x:c r="L1238" s="26" t="n">
        <x:v>952</x:v>
      </x:c>
      <x:c r="M1238" s="26" t="n">
        <x:v>1236</x:v>
      </x:c>
      <x:c r="N1238" s="26" t="n">
        <x:v>1531</x:v>
      </x:c>
    </x:row>
    <x:row r="1239">
      <x:c r="A1239" s="20" t="str">
        <x:v>T2_CONCORDANT_DOMAIN</x:v>
      </x:c>
      <x:c r="B1239" s="20" t="str">
        <x:v>NYC-V3-R01</x:v>
      </x:c>
      <x:c r="C1239" s="20" t="str">
        <x:v>V3</x:v>
      </x:c>
      <x:c r="D1239" s="20" t="str">
        <x:v>households</x:v>
      </x:c>
      <x:c r="E1239" s="20" t="str">
        <x:v>household</x:v>
      </x:c>
      <x:c r="F1239" s="50" t="n">
        <x:v>16993</x:v>
      </x:c>
      <x:c r="G1239" s="50" t="n">
        <x:v>417.34050845802153</x:v>
      </x:c>
      <x:c r="H1239" s="50" t="n">
        <x:v>16996.377</x:v>
      </x:c>
      <x:c r="I1239" s="50" t="n">
        <x:v>405.8222105029954</x:v>
      </x:c>
      <x:c r="J1239" s="42" t="n">
        <x:v>0.9724007190253742</x:v>
      </x:c>
      <x:c r="K1239" s="42" t="n">
        <x:v>0.008091713916000285</x:v>
      </x:c>
      <x:c r="L1239" s="26" t="n">
        <x:v>16311</x:v>
      </x:c>
      <x:c r="M1239" s="26" t="n">
        <x:v>16991</x:v>
      </x:c>
      <x:c r="N1239" s="26" t="n">
        <x:v>17660</x:v>
      </x:c>
    </x:row>
    <x:row r="1240">
      <x:c r="A1240" s="20" t="str">
        <x:v>T2_CONCORDANT_DOMAIN</x:v>
      </x:c>
      <x:c r="B1240" s="20" t="str">
        <x:v>NYC-V3-R01</x:v>
      </x:c>
      <x:c r="C1240" s="20" t="str">
        <x:v>V3</x:v>
      </x:c>
      <x:c r="D1240" s="20" t="str">
        <x:v>family_households</x:v>
      </x:c>
      <x:c r="E1240" s="20" t="str">
        <x:v>household</x:v>
      </x:c>
      <x:c r="F1240" s="50" t="n">
        <x:v>7085</x:v>
      </x:c>
      <x:c r="G1240" s="50" t="n">
        <x:v>376.2040005103614</x:v>
      </x:c>
      <x:c r="H1240" s="50" t="n">
        <x:v>7085.206</x:v>
      </x:c>
      <x:c r="I1240" s="50" t="n">
        <x:v>380.22748783656675</x:v>
      </x:c>
      <x:c r="J1240" s="42" t="n">
        <x:v>1.0106949615653928</x:v>
      </x:c>
      <x:c r="K1240" s="42" t="n">
        <x:v>0.000547575250982631</x:v>
      </x:c>
      <x:c r="L1240" s="26" t="n">
        <x:v>6461</x:v>
      </x:c>
      <x:c r="M1240" s="26" t="n">
        <x:v>7088</x:v>
      </x:c>
      <x:c r="N1240" s="26" t="n">
        <x:v>7717</x:v>
      </x:c>
    </x:row>
    <x:row r="1241">
      <x:c r="A1241" s="20" t="str">
        <x:v>T2_CONCORDANT_DOMAIN</x:v>
      </x:c>
      <x:c r="B1241" s="20" t="str">
        <x:v>NYC-V3-R01</x:v>
      </x:c>
      <x:c r="C1241" s="20" t="str">
        <x:v>V3</x:v>
      </x:c>
      <x:c r="D1241" s="20" t="str">
        <x:v>nonfamily_households</x:v>
      </x:c>
      <x:c r="E1241" s="20" t="str">
        <x:v>household</x:v>
      </x:c>
      <x:c r="F1241" s="50" t="n">
        <x:v>9908</x:v>
      </x:c>
      <x:c r="G1241" s="50" t="n">
        <x:v>444.23073959373863</x:v>
      </x:c>
      <x:c r="H1241" s="50" t="n">
        <x:v>9911.171</x:v>
      </x:c>
      <x:c r="I1241" s="50" t="n">
        <x:v>472.7166707551256</x:v>
      </x:c>
      <x:c r="J1241" s="42" t="n">
        <x:v>1.064124178321019</x:v>
      </x:c>
      <x:c r="K1241" s="42" t="n">
        <x:v>0.007138182294409081</x:v>
      </x:c>
      <x:c r="L1241" s="26" t="n">
        <x:v>9103</x:v>
      </x:c>
      <x:c r="M1241" s="26" t="n">
        <x:v>9913</x:v>
      </x:c>
      <x:c r="N1241" s="26" t="n">
        <x:v>10678</x:v>
      </x:c>
    </x:row>
    <x:row r="1242">
      <x:c r="A1242" s="20" t="str">
        <x:v>T2_CONCORDANT_DOMAIN</x:v>
      </x:c>
      <x:c r="B1242" s="20" t="str">
        <x:v>NYC-V3-R01</x:v>
      </x:c>
      <x:c r="C1242" s="20" t="str">
        <x:v>V3</x:v>
      </x:c>
      <x:c r="D1242" s="20" t="str">
        <x:v>living_alone_households</x:v>
      </x:c>
      <x:c r="E1242" s="20" t="str">
        <x:v>household</x:v>
      </x:c>
      <x:c r="F1242" s="50" t="n">
        <x:v>7241</x:v>
      </x:c>
      <x:c r="G1242" s="50" t="n">
        <x:v>354.817276918698</x:v>
      </x:c>
      <x:c r="H1242" s="50" t="n">
        <x:v>7241.059</x:v>
      </x:c>
      <x:c r="I1242" s="50" t="n">
        <x:v>345.8189124950214</x:v>
      </x:c>
      <x:c r="J1242" s="42" t="n">
        <x:v>0.9746394411742851</x:v>
      </x:c>
      <x:c r="K1242" s="42" t="n">
        <x:v>0.00016628277098726388</x:v>
      </x:c>
      <x:c r="L1242" s="26" t="n">
        <x:v>6663</x:v>
      </x:c>
      <x:c r="M1242" s="26" t="n">
        <x:v>7245</x:v>
      </x:c>
      <x:c r="N1242" s="26" t="n">
        <x:v>7804</x:v>
      </x:c>
    </x:row>
    <x:row r="1243">
      <x:c r="A1243" s="20" t="str">
        <x:v>T2_CONCORDANT_DOMAIN</x:v>
      </x:c>
      <x:c r="B1243" s="20" t="str">
        <x:v>NYC-V3-R01</x:v>
      </x:c>
      <x:c r="C1243" s="20" t="str">
        <x:v>V3</x:v>
      </x:c>
      <x:c r="D1243" s="20" t="str">
        <x:v>households_with_children</x:v>
      </x:c>
      <x:c r="E1243" s="20" t="str">
        <x:v>household</x:v>
      </x:c>
      <x:c r="F1243" s="50" t="n">
        <x:v>2520</x:v>
      </x:c>
      <x:c r="G1243" s="50" t="n">
        <x:v>216.2481213791232</x:v>
      </x:c>
      <x:c r="H1243" s="50" t="n">
        <x:v>2519.978</x:v>
      </x:c>
      <x:c r="I1243" s="50" t="n">
        <x:v>212.54110010827372</x:v>
      </x:c>
      <x:c r="J1243" s="42" t="n">
        <x:v>0.9828575561849604</x:v>
      </x:c>
      <x:c r="K1243" s="42" t="n">
        <x:v>-0.00010173498784465471</x:v>
      </x:c>
      <x:c r="L1243" s="26" t="n">
        <x:v>2164</x:v>
      </x:c>
      <x:c r="M1243" s="26" t="n">
        <x:v>2515</x:v>
      </x:c>
      <x:c r="N1243" s="26" t="n">
        <x:v>2873</x:v>
      </x:c>
    </x:row>
    <x:row r="1244">
      <x:c r="A1244" s="20" t="str">
        <x:v>T2_CONCORDANT_DOMAIN</x:v>
      </x:c>
      <x:c r="B1244" s="20" t="str">
        <x:v>NYC-V3-R01</x:v>
      </x:c>
      <x:c r="C1244" s="20" t="str">
        <x:v>V3</x:v>
      </x:c>
      <x:c r="D1244" s="20" t="str">
        <x:v>households_with_age65</x:v>
      </x:c>
      <x:c r="E1244" s="20" t="str">
        <x:v>household</x:v>
      </x:c>
      <x:c r="F1244" s="50" t="n">
        <x:v>4226</x:v>
      </x:c>
      <x:c r="G1244" s="50" t="n">
        <x:v>283.0042402509192</x:v>
      </x:c>
      <x:c r="H1244" s="50" t="n">
        <x:v>4226.062</x:v>
      </x:c>
      <x:c r="I1244" s="50" t="n">
        <x:v>286.23154377645494</x:v>
      </x:c>
      <x:c r="J1244" s="42" t="n">
        <x:v>1.011403728518959</x:v>
      </x:c>
      <x:c r="K1244" s="42" t="n">
        <x:v>0.0002190779895909943</x:v>
      </x:c>
      <x:c r="L1244" s="26" t="n">
        <x:v>3743</x:v>
      </x:c>
      <x:c r="M1244" s="26" t="n">
        <x:v>4225</x:v>
      </x:c>
      <x:c r="N1244" s="26" t="n">
        <x:v>4714</x:v>
      </x:c>
    </x:row>
    <x:row r="1245">
      <x:c r="A1245" s="20" t="str">
        <x:v>T2_CONCORDANT_DOMAIN</x:v>
      </x:c>
      <x:c r="B1245" s="20" t="str">
        <x:v>NYC-V3-R01</x:v>
      </x:c>
      <x:c r="C1245" s="20" t="str">
        <x:v>V3</x:v>
      </x:c>
      <x:c r="D1245" s="20" t="str">
        <x:v>age65_one_person_households</x:v>
      </x:c>
      <x:c r="E1245" s="20" t="str">
        <x:v>household</x:v>
      </x:c>
      <x:c r="F1245" s="50" t="n">
        <x:v>1899</x:v>
      </x:c>
      <x:c r="G1245" s="50" t="n">
        <x:v>170.8314959250782</x:v>
      </x:c>
      <x:c r="H1245" s="50" t="n">
        <x:v>1899.056</x:v>
      </x:c>
      <x:c r="I1245" s="50" t="n">
        <x:v>168.53198478002298</x:v>
      </x:c>
      <x:c r="J1245" s="42" t="n">
        <x:v>0.9865393021784243</x:v>
      </x:c>
      <x:c r="K1245" s="42" t="n">
        <x:v>0.0003278084038121402</x:v>
      </x:c>
      <x:c r="L1245" s="26" t="n">
        <x:v>1609</x:v>
      </x:c>
      <x:c r="M1245" s="26" t="n">
        <x:v>1902</x:v>
      </x:c>
      <x:c r="N1245" s="26" t="n">
        <x:v>2159</x:v>
      </x:c>
    </x:row>
    <x:row r="1246">
      <x:c r="A1246" s="20" t="str">
        <x:v>T2_CONCORDANT_DOMAIN</x:v>
      </x:c>
      <x:c r="B1246" s="20" t="str">
        <x:v>NYC-V3-R01</x:v>
      </x:c>
      <x:c r="C1246" s="20" t="str">
        <x:v>V3</x:v>
      </x:c>
      <x:c r="D1246" s="20" t="str">
        <x:v>no_vehicle_households</x:v>
      </x:c>
      <x:c r="E1246" s="20" t="str">
        <x:v>household</x:v>
      </x:c>
      <x:c r="F1246" s="50" t="n">
        <x:v>11582</x:v>
      </x:c>
      <x:c r="G1246" s="50" t="n">
        <x:v>447.6686714535275</x:v>
      </x:c>
      <x:c r="H1246" s="50" t="n">
        <x:v>11582.05</x:v>
      </x:c>
      <x:c r="I1246" s="50" t="n">
        <x:v>448.07105817400566</x:v>
      </x:c>
      <x:c r="J1246" s="42" t="n">
        <x:v>1.000898849408362</x:v>
      </x:c>
      <x:c r="K1246" s="42" t="n">
        <x:v>0.00011168974553642159</x:v>
      </x:c>
      <x:c r="L1246" s="26" t="n">
        <x:v>10819</x:v>
      </x:c>
      <x:c r="M1246" s="26" t="n">
        <x:v>11598</x:v>
      </x:c>
      <x:c r="N1246" s="26" t="n">
        <x:v>12325</x:v>
      </x:c>
    </x:row>
    <x:row r="1247">
      <x:c r="A1247" s="20" t="str">
        <x:v>T2_CONCORDANT_DOMAIN</x:v>
      </x:c>
      <x:c r="B1247" s="20" t="str">
        <x:v>NYC-V3-R01</x:v>
      </x:c>
      <x:c r="C1247" s="20" t="str">
        <x:v>V3</x:v>
      </x:c>
      <x:c r="D1247" s="20" t="str">
        <x:v>limited_english_households</x:v>
      </x:c>
      <x:c r="E1247" s="20" t="str">
        <x:v>household</x:v>
      </x:c>
      <x:c r="F1247" s="50" t="n">
        <x:v>1726</x:v>
      </x:c>
      <x:c r="G1247" s="50" t="n">
        <x:v>236.08002721927718</x:v>
      </x:c>
      <x:c r="H1247" s="50" t="n">
        <x:v>1725.984</x:v>
      </x:c>
      <x:c r="I1247" s="50" t="n">
        <x:v>235.3928876486194</x:v>
      </x:c>
      <x:c r="J1247" s="42" t="n">
        <x:v>0.9970893786367638</x:v>
      </x:c>
      <x:c r="K1247" s="42" t="n">
        <x:v>-0.00006777362824181305</x:v>
      </x:c>
      <x:c r="L1247" s="26" t="n">
        <x:v>1373</x:v>
      </x:c>
      <x:c r="M1247" s="26" t="n">
        <x:v>1725</x:v>
      </x:c>
      <x:c r="N1247" s="26" t="n">
        <x:v>2117</x:v>
      </x:c>
    </x:row>
    <x:row r="1248">
      <x:c r="A1248" s="20" t="str">
        <x:v>T2_CONCORDANT_DOMAIN</x:v>
      </x:c>
      <x:c r="B1248" s="20" t="str">
        <x:v>NYC-V3-R01</x:v>
      </x:c>
      <x:c r="C1248" s="20" t="str">
        <x:v>V3</x:v>
      </x:c>
      <x:c r="D1248" s="20" t="str">
        <x:v>housing_units</x:v>
      </x:c>
      <x:c r="E1248" s="20" t="str">
        <x:v>housing</x:v>
      </x:c>
      <x:c r="F1248" s="50" t="n">
        <x:v>19738</x:v>
      </x:c>
      <x:c r="G1248" s="50" t="n">
        <x:v>451.6783700820751</x:v>
      </x:c>
      <x:c r="H1248" s="50" t="n">
        <x:v>19741.394</x:v>
      </x:c>
      <x:c r="I1248" s="50" t="n">
        <x:v>562.7657185881333</x:v>
      </x:c>
      <x:c r="J1248" s="42" t="n">
        <x:v>1.2459434762968002</x:v>
      </x:c>
      <x:c r="K1248" s="42" t="n">
        <x:v>0.007514196438902984</x:v>
      </x:c>
      <x:c r="L1248" s="26" t="n">
        <x:v>18859</x:v>
      </x:c>
      <x:c r="M1248" s="26" t="n">
        <x:v>19726</x:v>
      </x:c>
      <x:c r="N1248" s="26" t="n">
        <x:v>20671</x:v>
      </x:c>
    </x:row>
    <x:row r="1249">
      <x:c r="A1249" s="20" t="str">
        <x:v>T2_CONCORDANT_DOMAIN</x:v>
      </x:c>
      <x:c r="B1249" s="20" t="str">
        <x:v>NYC-V3-R01</x:v>
      </x:c>
      <x:c r="C1249" s="20" t="str">
        <x:v>V3</x:v>
      </x:c>
      <x:c r="D1249" s="20" t="str">
        <x:v>occupied_housing_units</x:v>
      </x:c>
      <x:c r="E1249" s="20" t="str">
        <x:v>housing</x:v>
      </x:c>
      <x:c r="F1249" s="50" t="n">
        <x:v>16993</x:v>
      </x:c>
      <x:c r="G1249" s="50" t="n">
        <x:v>417.34050845802153</x:v>
      </x:c>
      <x:c r="H1249" s="50" t="n">
        <x:v>16996.377</x:v>
      </x:c>
      <x:c r="I1249" s="50" t="n">
        <x:v>405.8222105029954</x:v>
      </x:c>
      <x:c r="J1249" s="42" t="n">
        <x:v>0.9724007190253742</x:v>
      </x:c>
      <x:c r="K1249" s="42" t="n">
        <x:v>0.008091713916000285</x:v>
      </x:c>
      <x:c r="L1249" s="26" t="n">
        <x:v>16311</x:v>
      </x:c>
      <x:c r="M1249" s="26" t="n">
        <x:v>16991</x:v>
      </x:c>
      <x:c r="N1249" s="26" t="n">
        <x:v>17660</x:v>
      </x:c>
    </x:row>
    <x:row r="1250">
      <x:c r="A1250" s="20" t="str">
        <x:v>T2_CONCORDANT_DOMAIN</x:v>
      </x:c>
      <x:c r="B1250" s="20" t="str">
        <x:v>NYC-V3-R01</x:v>
      </x:c>
      <x:c r="C1250" s="20" t="str">
        <x:v>V3</x:v>
      </x:c>
      <x:c r="D1250" s="20" t="str">
        <x:v>vacant_housing_units</x:v>
      </x:c>
      <x:c r="E1250" s="20" t="str">
        <x:v>housing</x:v>
      </x:c>
      <x:c r="F1250" s="50" t="n">
        <x:v>2745</x:v>
      </x:c>
      <x:c r="G1250" s="50" t="n">
        <x:v>288.16861383571944</x:v>
      </x:c>
      <x:c r="H1250" s="50" t="n">
        <x:v>2745.017</x:v>
      </x:c>
      <x:c r="I1250" s="50" t="n">
        <x:v>293.107274876598</x:v>
      </x:c>
      <x:c r="J1250" s="42" t="n">
        <x:v>1.0171380948644673</x:v>
      </x:c>
      <x:c r="K1250" s="42" t="n">
        <x:v>0.000058993239317578215</x:v>
      </x:c>
      <x:c r="L1250" s="26" t="n">
        <x:v>2251</x:v>
      </x:c>
      <x:c r="M1250" s="26" t="n">
        <x:v>2754</x:v>
      </x:c>
      <x:c r="N1250" s="26" t="n">
        <x:v>3203</x:v>
      </x:c>
    </x:row>
    <x:row r="1251">
      <x:c r="A1251" s="20" t="str">
        <x:v>T2_CONCORDANT_DOMAIN</x:v>
      </x:c>
      <x:c r="B1251" s="20" t="str">
        <x:v>NYC-V3-R01</x:v>
      </x:c>
      <x:c r="C1251" s="20" t="str">
        <x:v>V3</x:v>
      </x:c>
      <x:c r="D1251" s="20" t="str">
        <x:v>owner_occupied_units</x:v>
      </x:c>
      <x:c r="E1251" s="20" t="str">
        <x:v>housing</x:v>
      </x:c>
      <x:c r="F1251" s="50" t="n">
        <x:v>2897</x:v>
      </x:c>
      <x:c r="G1251" s="50" t="n">
        <x:v>216.06902011620662</x:v>
      </x:c>
      <x:c r="H1251" s="50" t="n">
        <x:v>2896.967</x:v>
      </x:c>
      <x:c r="I1251" s="50" t="n">
        <x:v>195.32542059581218</x:v>
      </x:c>
      <x:c r="J1251" s="42" t="n">
        <x:v>0.9039954940822239</x:v>
      </x:c>
      <x:c r="K1251" s="42" t="n">
        <x:v>-0.00015272897513097277</x:v>
      </x:c>
      <x:c r="L1251" s="26" t="n">
        <x:v>2579</x:v>
      </x:c>
      <x:c r="M1251" s="26" t="n">
        <x:v>2894</x:v>
      </x:c>
      <x:c r="N1251" s="26" t="n">
        <x:v>3217</x:v>
      </x:c>
    </x:row>
    <x:row r="1252">
      <x:c r="A1252" s="20" t="str">
        <x:v>T2_CONCORDANT_DOMAIN</x:v>
      </x:c>
      <x:c r="B1252" s="20" t="str">
        <x:v>NYC-V3-R01</x:v>
      </x:c>
      <x:c r="C1252" s="20" t="str">
        <x:v>V3</x:v>
      </x:c>
      <x:c r="D1252" s="20" t="str">
        <x:v>renter_occupied_units</x:v>
      </x:c>
      <x:c r="E1252" s="20" t="str">
        <x:v>housing</x:v>
      </x:c>
      <x:c r="F1252" s="50" t="n">
        <x:v>14096</x:v>
      </x:c>
      <x:c r="G1252" s="50" t="n">
        <x:v>444.97732815487757</x:v>
      </x:c>
      <x:c r="H1252" s="50" t="n">
        <x:v>14099.41</x:v>
      </x:c>
      <x:c r="I1252" s="50" t="n">
        <x:v>325.9566407233202</x:v>
      </x:c>
      <x:c r="J1252" s="42" t="n">
        <x:v>0.7325241537022054</x:v>
      </x:c>
      <x:c r="K1252" s="42" t="n">
        <x:v>0.007663311778466564</x:v>
      </x:c>
      <x:c r="L1252" s="26" t="n">
        <x:v>13572</x:v>
      </x:c>
      <x:c r="M1252" s="26" t="n">
        <x:v>14100</x:v>
      </x:c>
      <x:c r="N1252" s="26" t="n">
        <x:v>14630</x:v>
      </x:c>
    </x:row>
    <x:row r="1253">
      <x:c r="A1253" s="20" t="str">
        <x:v>T2_CONCORDANT_DOMAIN</x:v>
      </x:c>
      <x:c r="B1253" s="20" t="str">
        <x:v>NYC-V3-R01</x:v>
      </x:c>
      <x:c r="C1253" s="20" t="str">
        <x:v>V3</x:v>
      </x:c>
      <x:c r="D1253" s="20" t="str">
        <x:v>one_unit_structures</x:v>
      </x:c>
      <x:c r="E1253" s="20" t="str">
        <x:v>housing</x:v>
      </x:c>
      <x:c r="F1253" s="50" t="n">
        <x:v>547</x:v>
      </x:c>
      <x:c r="G1253" s="50" t="n">
        <x:v>105.79778256088589</x:v>
      </x:c>
      <x:c r="H1253" s="50" t="n">
        <x:v>546.967</x:v>
      </x:c>
      <x:c r="I1253" s="50" t="n">
        <x:v>95.23646305325967</x:v>
      </x:c>
      <x:c r="J1253" s="42" t="n">
        <x:v>0.9001744719786706</x:v>
      </x:c>
      <x:c r="K1253" s="42" t="n">
        <x:v>-0.00031191580013526453</x:v>
      </x:c>
      <x:c r="L1253" s="26" t="n">
        <x:v>389</x:v>
      </x:c>
      <x:c r="M1253" s="26" t="n">
        <x:v>546</x:v>
      </x:c>
      <x:c r="N1253" s="26" t="n">
        <x:v>707</x:v>
      </x:c>
    </x:row>
    <x:row r="1254">
      <x:c r="A1254" s="20" t="str">
        <x:v>T2_CONCORDANT_DOMAIN</x:v>
      </x:c>
      <x:c r="B1254" s="20" t="str">
        <x:v>NYC-V3-R01</x:v>
      </x:c>
      <x:c r="C1254" s="20" t="str">
        <x:v>V3</x:v>
      </x:c>
      <x:c r="D1254" s="20" t="str">
        <x:v>two_to_four_unit_structures</x:v>
      </x:c>
      <x:c r="E1254" s="20" t="str">
        <x:v>housing</x:v>
      </x:c>
      <x:c r="F1254" s="50" t="n">
        <x:v>3223</x:v>
      </x:c>
      <x:c r="G1254" s="50" t="n">
        <x:v>308.64521597961806</x:v>
      </x:c>
      <x:c r="H1254" s="50" t="n">
        <x:v>3222.855</x:v>
      </x:c>
      <x:c r="I1254" s="50" t="n">
        <x:v>225.03292157102436</x:v>
      </x:c>
      <x:c r="J1254" s="42" t="n">
        <x:v>0.7290990105153122</x:v>
      </x:c>
      <x:c r="K1254" s="42" t="n">
        <x:v>-0.0004697950672579262</x:v>
      </x:c>
      <x:c r="L1254" s="26" t="n">
        <x:v>2855</x:v>
      </x:c>
      <x:c r="M1254" s="26" t="n">
        <x:v>3221</x:v>
      </x:c>
      <x:c r="N1254" s="26" t="n">
        <x:v>3584</x:v>
      </x:c>
    </x:row>
    <x:row r="1255">
      <x:c r="A1255" s="20" t="str">
        <x:v>T2_CONCORDANT_DOMAIN</x:v>
      </x:c>
      <x:c r="B1255" s="20" t="str">
        <x:v>NYC-V3-R01</x:v>
      </x:c>
      <x:c r="C1255" s="20" t="str">
        <x:v>V3</x:v>
      </x:c>
      <x:c r="D1255" s="20" t="str">
        <x:v>five_to_nineteen_unit_structures</x:v>
      </x:c>
      <x:c r="E1255" s="20" t="str">
        <x:v>housing</x:v>
      </x:c>
      <x:c r="F1255" s="50" t="n">
        <x:v>3304</x:v>
      </x:c>
      <x:c r="G1255" s="50" t="n">
        <x:v>272.5899855271965</x:v>
      </x:c>
      <x:c r="H1255" s="50" t="n">
        <x:v>3304.02</x:v>
      </x:c>
      <x:c r="I1255" s="50" t="n">
        <x:v>205.14760817796815</x:v>
      </x:c>
      <x:c r="J1255" s="42" t="n">
        <x:v>0.7525867385817826</x:v>
      </x:c>
      <x:c r="K1255" s="42" t="n">
        <x:v>0.00007337026692782298</x:v>
      </x:c>
      <x:c r="L1255" s="26" t="n">
        <x:v>2981</x:v>
      </x:c>
      <x:c r="M1255" s="26" t="n">
        <x:v>3297</x:v>
      </x:c>
      <x:c r="N1255" s="26" t="n">
        <x:v>3636</x:v>
      </x:c>
    </x:row>
    <x:row r="1256">
      <x:c r="A1256" s="20" t="str">
        <x:v>T2_CONCORDANT_DOMAIN</x:v>
      </x:c>
      <x:c r="B1256" s="20" t="str">
        <x:v>NYC-V3-R01</x:v>
      </x:c>
      <x:c r="C1256" s="20" t="str">
        <x:v>V3</x:v>
      </x:c>
      <x:c r="D1256" s="20" t="str">
        <x:v>twenty_to_forty_nine_unit_structures</x:v>
      </x:c>
      <x:c r="E1256" s="20" t="str">
        <x:v>housing</x:v>
      </x:c>
      <x:c r="F1256" s="50" t="n">
        <x:v>4332</x:v>
      </x:c>
      <x:c r="G1256" s="50" t="n">
        <x:v>317.0875677819216</x:v>
      </x:c>
      <x:c r="H1256" s="50" t="n">
        <x:v>4331.858</x:v>
      </x:c>
      <x:c r="I1256" s="50" t="n">
        <x:v>228.55330329804565</x:v>
      </x:c>
      <x:c r="J1256" s="42" t="n">
        <x:v>0.7207892283409679</x:v>
      </x:c>
      <x:c r="K1256" s="42" t="n">
        <x:v>-0.0004478258198299547</x:v>
      </x:c>
      <x:c r="L1256" s="26" t="n">
        <x:v>3948</x:v>
      </x:c>
      <x:c r="M1256" s="26" t="n">
        <x:v>4336</x:v>
      </x:c>
      <x:c r="N1256" s="26" t="n">
        <x:v>4705</x:v>
      </x:c>
    </x:row>
    <x:row r="1257">
      <x:c r="A1257" s="20" t="str">
        <x:v>T2_CONCORDANT_DOMAIN</x:v>
      </x:c>
      <x:c r="B1257" s="20" t="str">
        <x:v>NYC-V3-R01</x:v>
      </x:c>
      <x:c r="C1257" s="20" t="str">
        <x:v>V3</x:v>
      </x:c>
      <x:c r="D1257" s="20" t="str">
        <x:v>fifty_plus_unit_structures</x:v>
      </x:c>
      <x:c r="E1257" s="20" t="str">
        <x:v>housing</x:v>
      </x:c>
      <x:c r="F1257" s="50" t="n">
        <x:v>5543</x:v>
      </x:c>
      <x:c r="G1257" s="50" t="n">
        <x:v>371.05030509916344</x:v>
      </x:c>
      <x:c r="H1257" s="50" t="n">
        <x:v>5539.796</x:v>
      </x:c>
      <x:c r="I1257" s="50" t="n">
        <x:v>256.3096233211055</x:v>
      </x:c>
      <x:c r="J1257" s="42" t="n">
        <x:v>0.6907678549209294</x:v>
      </x:c>
      <x:c r="K1257" s="42" t="n">
        <x:v>-0.008634947757672514</x:v>
      </x:c>
      <x:c r="L1257" s="26" t="n">
        <x:v>5108</x:v>
      </x:c>
      <x:c r="M1257" s="26" t="n">
        <x:v>5538</x:v>
      </x:c>
      <x:c r="N1257" s="26" t="n">
        <x:v>5958</x:v>
      </x:c>
    </x:row>
    <x:row r="1258">
      <x:c r="A1258" s="20" t="str">
        <x:v>T2_CONCORDANT_DOMAIN</x:v>
      </x:c>
      <x:c r="B1258" s="20" t="str">
        <x:v>NYC-V3-R01</x:v>
      </x:c>
      <x:c r="C1258" s="20" t="str">
        <x:v>V3</x:v>
      </x:c>
      <x:c r="D1258" s="20" t="str">
        <x:v>mobile_or_other_units</x:v>
      </x:c>
      <x:c r="E1258" s="20" t="str">
        <x:v>housing</x:v>
      </x:c>
      <x:c r="F1258" s="50" t="n">
        <x:v>44</x:v>
      </x:c>
      <x:c r="G1258" s="50" t="n">
        <x:v>61.15392748916372</x:v>
      </x:c>
      <x:c r="H1258" s="50" t="n">
        <x:v>50.881</x:v>
      </x:c>
      <x:c r="I1258" s="50" t="n">
        <x:v>45.60924294528514</x:v>
      </x:c>
      <x:c r="J1258" s="42" t="n">
        <x:v>0.7458105279234428</x:v>
      </x:c>
      <x:c r="K1258" s="42" t="n">
        <x:v>0.11251934720332216</x:v>
      </x:c>
      <x:c r="L1258" s="26" t="n">
        <x:v>0</x:v>
      </x:c>
      <x:c r="M1258" s="26" t="n">
        <x:v>44</x:v>
      </x:c>
      <x:c r="N1258" s="26" t="n">
        <x:v>134</x:v>
      </x:c>
    </x:row>
    <x:row r="1259">
      <x:c r="A1259" s="20" t="str">
        <x:v>T2_CONCORDANT_DOMAIN</x:v>
      </x:c>
      <x:c r="B1259" s="20" t="str">
        <x:v>NYC-V3-R01</x:v>
      </x:c>
      <x:c r="C1259" s="20" t="str">
        <x:v>V3</x:v>
      </x:c>
      <x:c r="D1259" s="20" t="str">
        <x:v>electric_heat_households</x:v>
      </x:c>
      <x:c r="E1259" s="20" t="str">
        <x:v>housing</x:v>
      </x:c>
      <x:c r="F1259" s="50" t="n">
        <x:v>2376</x:v>
      </x:c>
      <x:c r="G1259" s="50" t="n">
        <x:v>218.07406998540657</x:v>
      </x:c>
      <x:c r="H1259" s="50" t="n">
        <x:v>2376.131</x:v>
      </x:c>
      <x:c r="I1259" s="50" t="n">
        <x:v>223.98274064558433</x:v>
      </x:c>
      <x:c r="J1259" s="42" t="n">
        <x:v>1.0270947878423746</x:v>
      </x:c>
      <x:c r="K1259" s="42" t="n">
        <x:v>0.0006007133264795058</x:v>
      </x:c>
      <x:c r="L1259" s="26" t="n">
        <x:v>2008</x:v>
      </x:c>
      <x:c r="M1259" s="26" t="n">
        <x:v>2376</x:v>
      </x:c>
      <x:c r="N1259" s="26" t="n">
        <x:v>2737</x:v>
      </x:c>
    </x:row>
    <x:row r="1260">
      <x:c r="A1260" s="20" t="str">
        <x:v>T2_CONCORDANT_DOMAIN</x:v>
      </x:c>
      <x:c r="B1260" s="20" t="str">
        <x:v>NYC-V3-R01</x:v>
      </x:c>
      <x:c r="C1260" s="20" t="str">
        <x:v>V3</x:v>
      </x:c>
      <x:c r="D1260" s="20" t="str">
        <x:v>group_quarters_population</x:v>
      </x:c>
      <x:c r="E1260" s="20" t="str">
        <x:v>population</x:v>
      </x:c>
      <x:c r="F1260" s="50" t="n">
        <x:v>57</x:v>
      </x:c>
      <x:c r="G1260" s="50" t="n">
        <x:v>4.09878030638384</x:v>
      </x:c>
      <x:c r="H1260" s="50" t="n">
        <x:v>57.01</x:v>
      </x:c>
      <x:c r="I1260" s="50" t="n">
        <x:v>4.0704383631825785</x:v>
      </x:c>
      <x:c r="J1260" s="42" t="n">
        <x:v>0.9930852738905965</x:v>
      </x:c>
      <x:c r="K1260" s="42" t="n">
        <x:v>0.0024397501823708472</x:v>
      </x:c>
      <x:c r="L1260" s="26" t="n">
        <x:v>50</x:v>
      </x:c>
      <x:c r="M1260" s="26" t="n">
        <x:v>57</x:v>
      </x:c>
      <x:c r="N1260" s="26" t="n">
        <x:v>64</x:v>
      </x:c>
    </x:row>
    <x:row r="1261">
      <x:c r="A1261" s="20" t="str">
        <x:v>T2_CONCORDANT_DOMAIN</x:v>
      </x:c>
      <x:c r="B1261" s="20" t="str">
        <x:v>NYC-V3-R02</x:v>
      </x:c>
      <x:c r="C1261" s="20" t="str">
        <x:v>V3</x:v>
      </x:c>
      <x:c r="D1261" s="20" t="str">
        <x:v>acs_population</x:v>
      </x:c>
      <x:c r="E1261" s="20" t="str">
        <x:v>population</x:v>
      </x:c>
      <x:c r="F1261" s="50" t="n">
        <x:v>31716</x:v>
      </x:c>
      <x:c r="G1261" s="50" t="n">
        <x:v>1402.858153912932</x:v>
      </x:c>
      <x:c r="H1261" s="50" t="n">
        <x:v>32362.305</x:v>
      </x:c>
      <x:c r="I1261" s="50" t="n">
        <x:v>1297.3881871217584</x:v>
      </x:c>
      <x:c r="J1261" s="42" t="n">
        <x:v>0.9248177967979223</x:v>
      </x:c>
      <x:c r="K1261" s="42" t="n">
        <x:v>0.4607058797764332</x:v>
      </x:c>
      <x:c r="L1261" s="26" t="n">
        <x:v>30250</x:v>
      </x:c>
      <x:c r="M1261" s="26" t="n">
        <x:v>32368</x:v>
      </x:c>
      <x:c r="N1261" s="26" t="n">
        <x:v>34604</x:v>
      </x:c>
    </x:row>
    <x:row r="1262">
      <x:c r="A1262" s="20" t="str">
        <x:v>T2_CONCORDANT_DOMAIN</x:v>
      </x:c>
      <x:c r="B1262" s="20" t="str">
        <x:v>NYC-V3-R02</x:v>
      </x:c>
      <x:c r="C1262" s="20" t="str">
        <x:v>V3</x:v>
      </x:c>
      <x:c r="D1262" s="20" t="str">
        <x:v>age_under_18</x:v>
      </x:c>
      <x:c r="E1262" s="20" t="str">
        <x:v>population</x:v>
      </x:c>
      <x:c r="F1262" s="50" t="n">
        <x:v>7492</x:v>
      </x:c>
      <x:c r="G1262" s="50" t="n">
        <x:v>746.476824824455</x:v>
      </x:c>
      <x:c r="H1262" s="50" t="n">
        <x:v>7491.869</x:v>
      </x:c>
      <x:c r="I1262" s="50" t="n">
        <x:v>779.3112740753215</x:v>
      </x:c>
      <x:c r="J1262" s="42" t="n">
        <x:v>1.0439858923397762</x:v>
      </x:c>
      <x:c r="K1262" s="42" t="n">
        <x:v>-0.0001754910476036807</x:v>
      </x:c>
      <x:c r="L1262" s="26" t="n">
        <x:v>6265</x:v>
      </x:c>
      <x:c r="M1262" s="26" t="n">
        <x:v>7482</x:v>
      </x:c>
      <x:c r="N1262" s="26" t="n">
        <x:v>8708</x:v>
      </x:c>
    </x:row>
    <x:row r="1263">
      <x:c r="A1263" s="20" t="str">
        <x:v>T2_CONCORDANT_DOMAIN</x:v>
      </x:c>
      <x:c r="B1263" s="20" t="str">
        <x:v>NYC-V3-R02</x:v>
      </x:c>
      <x:c r="C1263" s="20" t="str">
        <x:v>V3</x:v>
      </x:c>
      <x:c r="D1263" s="20" t="str">
        <x:v>age_65_plus</x:v>
      </x:c>
      <x:c r="E1263" s="20" t="str">
        <x:v>population</x:v>
      </x:c>
      <x:c r="F1263" s="50" t="n">
        <x:v>4736</x:v>
      </x:c>
      <x:c r="G1263" s="50" t="n">
        <x:v>375.0183328852071</x:v>
      </x:c>
      <x:c r="H1263" s="50" t="n">
        <x:v>4755.751</x:v>
      </x:c>
      <x:c r="I1263" s="50" t="n">
        <x:v>359.32577699493396</x:v>
      </x:c>
      <x:c r="J1263" s="42" t="n">
        <x:v>0.9581552299869122</x:v>
      </x:c>
      <x:c r="K1263" s="42" t="n">
        <x:v>0.05266675857696262</x:v>
      </x:c>
      <x:c r="L1263" s="26" t="n">
        <x:v>4157</x:v>
      </x:c>
      <x:c r="M1263" s="26" t="n">
        <x:v>4752</x:v>
      </x:c>
      <x:c r="N1263" s="26" t="n">
        <x:v>5368</x:v>
      </x:c>
    </x:row>
    <x:row r="1264">
      <x:c r="A1264" s="20" t="str">
        <x:v>T2_CONCORDANT_DOMAIN</x:v>
      </x:c>
      <x:c r="B1264" s="20" t="str">
        <x:v>NYC-V3-R02</x:v>
      </x:c>
      <x:c r="C1264" s="20" t="str">
        <x:v>V3</x:v>
      </x:c>
      <x:c r="D1264" s="20" t="str">
        <x:v>age_75_plus</x:v>
      </x:c>
      <x:c r="E1264" s="20" t="str">
        <x:v>population</x:v>
      </x:c>
      <x:c r="F1264" s="50" t="n">
        <x:v>1977</x:v>
      </x:c>
      <x:c r="G1264" s="50" t="n">
        <x:v>255.81497219670314</x:v>
      </x:c>
      <x:c r="H1264" s="50" t="n">
        <x:v>1976.996</x:v>
      </x:c>
      <x:c r="I1264" s="50" t="n">
        <x:v>255.70382560773396</x:v>
      </x:c>
      <x:c r="J1264" s="42" t="n">
        <x:v>0.9995655196096821</x:v>
      </x:c>
      <x:c r="K1264" s="42" t="n">
        <x:v>-0.000015636301368747497</x:v>
      </x:c>
      <x:c r="L1264" s="26" t="n">
        <x:v>1550</x:v>
      </x:c>
      <x:c r="M1264" s="26" t="n">
        <x:v>1988</x:v>
      </x:c>
      <x:c r="N1264" s="26" t="n">
        <x:v>2376</x:v>
      </x:c>
    </x:row>
    <x:row r="1265">
      <x:c r="A1265" s="20" t="str">
        <x:v>T2_CONCORDANT_DOMAIN</x:v>
      </x:c>
      <x:c r="B1265" s="20" t="str">
        <x:v>NYC-V3-R02</x:v>
      </x:c>
      <x:c r="C1265" s="20" t="str">
        <x:v>V3</x:v>
      </x:c>
      <x:c r="D1265" s="20" t="str">
        <x:v>age_85_plus</x:v>
      </x:c>
      <x:c r="E1265" s="20" t="str">
        <x:v>population</x:v>
      </x:c>
      <x:c r="F1265" s="50" t="n">
        <x:v>655</x:v>
      </x:c>
      <x:c r="G1265" s="50" t="n">
        <x:v>156.26099961282725</x:v>
      </x:c>
      <x:c r="H1265" s="50" t="n">
        <x:v>655.003</x:v>
      </x:c>
      <x:c r="I1265" s="50" t="n">
        <x:v>161.17586870140224</x:v>
      </x:c>
      <x:c r="J1265" s="42" t="n">
        <x:v>1.0314529479572812</x:v>
      </x:c>
      <x:c r="K1265" s="42" t="n">
        <x:v>0.00001919864846299422</x:v>
      </x:c>
      <x:c r="L1265" s="26" t="n">
        <x:v>385</x:v>
      </x:c>
      <x:c r="M1265" s="26" t="n">
        <x:v>663</x:v>
      </x:c>
      <x:c r="N1265" s="26" t="n">
        <x:v>920</x:v>
      </x:c>
    </x:row>
    <x:row r="1266">
      <x:c r="A1266" s="20" t="str">
        <x:v>T2_CONCORDANT_DOMAIN</x:v>
      </x:c>
      <x:c r="B1266" s="20" t="str">
        <x:v>NYC-V3-R02</x:v>
      </x:c>
      <x:c r="C1266" s="20" t="str">
        <x:v>V3</x:v>
      </x:c>
      <x:c r="D1266" s="20" t="str">
        <x:v>civilian_noninstitutionalized</x:v>
      </x:c>
      <x:c r="E1266" s="20" t="str">
        <x:v>disability</x:v>
      </x:c>
      <x:c r="F1266" s="50" t="n">
        <x:v>31676</x:v>
      </x:c>
      <x:c r="G1266" s="50" t="n">
        <x:v>1401.3263895324317</x:v>
      </x:c>
      <x:c r="H1266" s="50" t="n">
        <x:v>31675.5</x:v>
      </x:c>
      <x:c r="I1266" s="50" t="n">
        <x:v>1417.3631003233286</x:v>
      </x:c>
      <x:c r="J1266" s="42" t="n">
        <x:v>1.0114439511813145</x:v>
      </x:c>
      <x:c r="K1266" s="42" t="n">
        <x:v>-0.0003568048127366178</x:v>
      </x:c>
      <x:c r="L1266" s="26" t="n">
        <x:v>29352</x:v>
      </x:c>
      <x:c r="M1266" s="26" t="n">
        <x:v>31655</x:v>
      </x:c>
      <x:c r="N1266" s="26" t="n">
        <x:v>34133</x:v>
      </x:c>
    </x:row>
    <x:row r="1267">
      <x:c r="A1267" s="20" t="str">
        <x:v>T2_CONCORDANT_DOMAIN</x:v>
      </x:c>
      <x:c r="B1267" s="20" t="str">
        <x:v>NYC-V3-R02</x:v>
      </x:c>
      <x:c r="C1267" s="20" t="str">
        <x:v>V3</x:v>
      </x:c>
      <x:c r="D1267" s="20" t="str">
        <x:v>any_disability</x:v>
      </x:c>
      <x:c r="E1267" s="20" t="str">
        <x:v>disability</x:v>
      </x:c>
      <x:c r="F1267" s="50" t="n">
        <x:v>4358</x:v>
      </x:c>
      <x:c r="G1267" s="50" t="n">
        <x:v>345.61575484922565</x:v>
      </x:c>
      <x:c r="H1267" s="50" t="n">
        <x:v>4358.399</x:v>
      </x:c>
      <x:c r="I1267" s="50" t="n">
        <x:v>455.60336063424865</x:v>
      </x:c>
      <x:c r="J1267" s="42" t="n">
        <x:v>1.3182366667081045</x:v>
      </x:c>
      <x:c r="K1267" s="42" t="n">
        <x:v>0.0011544612605244374</x:v>
      </x:c>
      <x:c r="L1267" s="26" t="n">
        <x:v>3591</x:v>
      </x:c>
      <x:c r="M1267" s="26" t="n">
        <x:v>4366</x:v>
      </x:c>
      <x:c r="N1267" s="26" t="n">
        <x:v>5091</x:v>
      </x:c>
    </x:row>
    <x:row r="1268">
      <x:c r="A1268" s="20" t="str">
        <x:v>T2_CONCORDANT_DOMAIN</x:v>
      </x:c>
      <x:c r="B1268" s="20" t="str">
        <x:v>NYC-V3-R02</x:v>
      </x:c>
      <x:c r="C1268" s="20" t="str">
        <x:v>V3</x:v>
      </x:c>
      <x:c r="D1268" s="20" t="str">
        <x:v>disability_under_18</x:v>
      </x:c>
      <x:c r="E1268" s="20" t="str">
        <x:v>disability</x:v>
      </x:c>
      <x:c r="F1268" s="50" t="n">
        <x:v>324</x:v>
      </x:c>
      <x:c r="G1268" s="50" t="n">
        <x:v>124.74694385034049</x:v>
      </x:c>
      <x:c r="H1268" s="50" t="n">
        <x:v>324.444</x:v>
      </x:c>
      <x:c r="I1268" s="50" t="n">
        <x:v>124.77020665394632</x:v>
      </x:c>
      <x:c r="J1268" s="42" t="n">
        <x:v>1.0001864799480278</x:v>
      </x:c>
      <x:c r="K1268" s="42" t="n">
        <x:v>0.003559205430577007</x:v>
      </x:c>
      <x:c r="L1268" s="26" t="n">
        <x:v>116</x:v>
      </x:c>
      <x:c r="M1268" s="26" t="n">
        <x:v>322</x:v>
      </x:c>
      <x:c r="N1268" s="26" t="n">
        <x:v>538</x:v>
      </x:c>
    </x:row>
    <x:row r="1269">
      <x:c r="A1269" s="20" t="str">
        <x:v>T2_CONCORDANT_DOMAIN</x:v>
      </x:c>
      <x:c r="B1269" s="20" t="str">
        <x:v>NYC-V3-R02</x:v>
      </x:c>
      <x:c r="C1269" s="20" t="str">
        <x:v>V3</x:v>
      </x:c>
      <x:c r="D1269" s="20" t="str">
        <x:v>disability_18_64</x:v>
      </x:c>
      <x:c r="E1269" s="20" t="str">
        <x:v>disability</x:v>
      </x:c>
      <x:c r="F1269" s="50" t="n">
        <x:v>1947</x:v>
      </x:c>
      <x:c r="G1269" s="50" t="n">
        <x:v>228.7737965764436</x:v>
      </x:c>
      <x:c r="H1269" s="50" t="n">
        <x:v>1946.952</x:v>
      </x:c>
      <x:c r="I1269" s="50" t="n">
        <x:v>228.39225187540123</x:v>
      </x:c>
      <x:c r="J1269" s="42" t="n">
        <x:v>0.9983322185199873</x:v>
      </x:c>
      <x:c r="K1269" s="42" t="n">
        <x:v>-0.0002098142388608866</x:v>
      </x:c>
      <x:c r="L1269" s="26" t="n">
        <x:v>1576</x:v>
      </x:c>
      <x:c r="M1269" s="26" t="n">
        <x:v>1947</x:v>
      </x:c>
      <x:c r="N1269" s="26" t="n">
        <x:v>2315</x:v>
      </x:c>
    </x:row>
    <x:row r="1270">
      <x:c r="A1270" s="20" t="str">
        <x:v>T2_CONCORDANT_DOMAIN</x:v>
      </x:c>
      <x:c r="B1270" s="20" t="str">
        <x:v>NYC-V3-R02</x:v>
      </x:c>
      <x:c r="C1270" s="20" t="str">
        <x:v>V3</x:v>
      </x:c>
      <x:c r="D1270" s="20" t="str">
        <x:v>disability_65_plus</x:v>
      </x:c>
      <x:c r="E1270" s="20" t="str">
        <x:v>disability</x:v>
      </x:c>
      <x:c r="F1270" s="50" t="n">
        <x:v>2087</x:v>
      </x:c>
      <x:c r="G1270" s="50" t="n">
        <x:v>225.21989254948153</x:v>
      </x:c>
      <x:c r="H1270" s="50" t="n">
        <x:v>2087.003</x:v>
      </x:c>
      <x:c r="I1270" s="50" t="n">
        <x:v>222.20230163941562</x:v>
      </x:c>
      <x:c r="J1270" s="42" t="n">
        <x:v>0.9866015791238204</x:v>
      </x:c>
      <x:c r="K1270" s="42" t="n">
        <x:v>0.000013320315386871626</x:v>
      </x:c>
      <x:c r="L1270" s="26" t="n">
        <x:v>1727</x:v>
      </x:c>
      <x:c r="M1270" s="26" t="n">
        <x:v>2094</x:v>
      </x:c>
      <x:c r="N1270" s="26" t="n">
        <x:v>2454</x:v>
      </x:c>
    </x:row>
    <x:row r="1271">
      <x:c r="A1271" s="20" t="str">
        <x:v>T2_CONCORDANT_DOMAIN</x:v>
      </x:c>
      <x:c r="B1271" s="20" t="str">
        <x:v>NYC-V3-R02</x:v>
      </x:c>
      <x:c r="C1271" s="20" t="str">
        <x:v>V3</x:v>
      </x:c>
      <x:c r="D1271" s="20" t="str">
        <x:v>hearing_difficulty</x:v>
      </x:c>
      <x:c r="E1271" s="20" t="str">
        <x:v>disability</x:v>
      </x:c>
      <x:c r="F1271" s="50" t="n">
        <x:v>711</x:v>
      </x:c>
      <x:c r="G1271" s="50" t="n">
        <x:v>143.59378078631187</x:v>
      </x:c>
      <x:c r="H1271" s="50" t="n">
        <x:v>711.067</x:v>
      </x:c>
      <x:c r="I1271" s="50" t="n">
        <x:v>139.72623207877228</x:v>
      </x:c>
      <x:c r="J1271" s="42" t="n">
        <x:v>0.9730660430670389</x:v>
      </x:c>
      <x:c r="K1271" s="42" t="n">
        <x:v>0.00046659402401078134</x:v>
      </x:c>
      <x:c r="L1271" s="26" t="n">
        <x:v>482</x:v>
      </x:c>
      <x:c r="M1271" s="26" t="n">
        <x:v>707</x:v>
      </x:c>
      <x:c r="N1271" s="26" t="n">
        <x:v>945</x:v>
      </x:c>
    </x:row>
    <x:row r="1272">
      <x:c r="A1272" s="20" t="str">
        <x:v>T2_CONCORDANT_DOMAIN</x:v>
      </x:c>
      <x:c r="B1272" s="20" t="str">
        <x:v>NYC-V3-R02</x:v>
      </x:c>
      <x:c r="C1272" s="20" t="str">
        <x:v>V3</x:v>
      </x:c>
      <x:c r="D1272" s="20" t="str">
        <x:v>vision_difficulty</x:v>
      </x:c>
      <x:c r="E1272" s="20" t="str">
        <x:v>disability</x:v>
      </x:c>
      <x:c r="F1272" s="50" t="n">
        <x:v>823</x:v>
      </x:c>
      <x:c r="G1272" s="50" t="n">
        <x:v>155.83074103653917</x:v>
      </x:c>
      <x:c r="H1272" s="50" t="n">
        <x:v>823.01</x:v>
      </x:c>
      <x:c r="I1272" s="50" t="n">
        <x:v>159.6432205195631</x:v>
      </x:c>
      <x:c r="J1272" s="42" t="n">
        <x:v>1.024465515967289</x:v>
      </x:c>
      <x:c r="K1272" s="42" t="n">
        <x:v>0.0000641721905028104</x:v>
      </x:c>
      <x:c r="L1272" s="26" t="n">
        <x:v>560</x:v>
      </x:c>
      <x:c r="M1272" s="26" t="n">
        <x:v>830</x:v>
      </x:c>
      <x:c r="N1272" s="26" t="n">
        <x:v>1088</x:v>
      </x:c>
    </x:row>
    <x:row r="1273">
      <x:c r="A1273" s="20" t="str">
        <x:v>T2_CONCORDANT_DOMAIN</x:v>
      </x:c>
      <x:c r="B1273" s="20" t="str">
        <x:v>NYC-V3-R02</x:v>
      </x:c>
      <x:c r="C1273" s="20" t="str">
        <x:v>V3</x:v>
      </x:c>
      <x:c r="D1273" s="20" t="str">
        <x:v>cognitive_difficulty</x:v>
      </x:c>
      <x:c r="E1273" s="20" t="str">
        <x:v>disability</x:v>
      </x:c>
      <x:c r="F1273" s="50" t="n">
        <x:v>1919</x:v>
      </x:c>
      <x:c r="G1273" s="50" t="n">
        <x:v>238.4900905792062</x:v>
      </x:c>
      <x:c r="H1273" s="50" t="n">
        <x:v>1919.041</x:v>
      </x:c>
      <x:c r="I1273" s="50" t="n">
        <x:v>234.08630826837933</x:v>
      </x:c>
      <x:c r="J1273" s="42" t="n">
        <x:v>0.981534736725825</x:v>
      </x:c>
      <x:c r="K1273" s="42" t="n">
        <x:v>0.0001719148996940116</x:v>
      </x:c>
      <x:c r="L1273" s="26" t="n">
        <x:v>1519</x:v>
      </x:c>
      <x:c r="M1273" s="26" t="n">
        <x:v>1920</x:v>
      </x:c>
      <x:c r="N1273" s="26" t="n">
        <x:v>2298</x:v>
      </x:c>
    </x:row>
    <x:row r="1274">
      <x:c r="A1274" s="20" t="str">
        <x:v>T2_CONCORDANT_DOMAIN</x:v>
      </x:c>
      <x:c r="B1274" s="20" t="str">
        <x:v>NYC-V3-R02</x:v>
      </x:c>
      <x:c r="C1274" s="20" t="str">
        <x:v>V3</x:v>
      </x:c>
      <x:c r="D1274" s="20" t="str">
        <x:v>ambulatory_difficulty</x:v>
      </x:c>
      <x:c r="E1274" s="20" t="str">
        <x:v>disability</x:v>
      </x:c>
      <x:c r="F1274" s="50" t="n">
        <x:v>2796</x:v>
      </x:c>
      <x:c r="G1274" s="50" t="n">
        <x:v>281.51804378452533</x:v>
      </x:c>
      <x:c r="H1274" s="50" t="n">
        <x:v>2796.024</x:v>
      </x:c>
      <x:c r="I1274" s="50" t="n">
        <x:v>280.873561200376</x:v>
      </x:c>
      <x:c r="J1274" s="42" t="n">
        <x:v>0.9977106881836583</x:v>
      </x:c>
      <x:c r="K1274" s="42" t="n">
        <x:v>0.00008525208429715037</x:v>
      </x:c>
      <x:c r="L1274" s="26" t="n">
        <x:v>2328</x:v>
      </x:c>
      <x:c r="M1274" s="26" t="n">
        <x:v>2799</x:v>
      </x:c>
      <x:c r="N1274" s="26" t="n">
        <x:v>3236</x:v>
      </x:c>
    </x:row>
    <x:row r="1275">
      <x:c r="A1275" s="20" t="str">
        <x:v>T2_CONCORDANT_DOMAIN</x:v>
      </x:c>
      <x:c r="B1275" s="20" t="str">
        <x:v>NYC-V3-R02</x:v>
      </x:c>
      <x:c r="C1275" s="20" t="str">
        <x:v>V3</x:v>
      </x:c>
      <x:c r="D1275" s="20" t="str">
        <x:v>self_care_difficulty</x:v>
      </x:c>
      <x:c r="E1275" s="20" t="str">
        <x:v>disability</x:v>
      </x:c>
      <x:c r="F1275" s="50" t="n">
        <x:v>1397</x:v>
      </x:c>
      <x:c r="G1275" s="50" t="n">
        <x:v>200.98794249628318</x:v>
      </x:c>
      <x:c r="H1275" s="50" t="n">
        <x:v>1396.929</x:v>
      </x:c>
      <x:c r="I1275" s="50" t="n">
        <x:v>201.79594039663075</x:v>
      </x:c>
      <x:c r="J1275" s="42" t="n">
        <x:v>1.0040201312094257</x:v>
      </x:c>
      <x:c r="K1275" s="42" t="n">
        <x:v>-0.0003532550217594554</x:v>
      </x:c>
      <x:c r="L1275" s="26" t="n">
        <x:v>1057</x:v>
      </x:c>
      <x:c r="M1275" s="26" t="n">
        <x:v>1402</x:v>
      </x:c>
      <x:c r="N1275" s="26" t="n">
        <x:v>1725</x:v>
      </x:c>
    </x:row>
    <x:row r="1276">
      <x:c r="A1276" s="20" t="str">
        <x:v>T2_CONCORDANT_DOMAIN</x:v>
      </x:c>
      <x:c r="B1276" s="20" t="str">
        <x:v>NYC-V3-R02</x:v>
      </x:c>
      <x:c r="C1276" s="20" t="str">
        <x:v>V3</x:v>
      </x:c>
      <x:c r="D1276" s="20" t="str">
        <x:v>independent_living_difficulty</x:v>
      </x:c>
      <x:c r="E1276" s="20" t="str">
        <x:v>disability</x:v>
      </x:c>
      <x:c r="F1276" s="50" t="n">
        <x:v>2095</x:v>
      </x:c>
      <x:c r="G1276" s="50" t="n">
        <x:v>227.35481039465947</x:v>
      </x:c>
      <x:c r="H1276" s="50" t="n">
        <x:v>2094.983</x:v>
      </x:c>
      <x:c r="I1276" s="50" t="n">
        <x:v>228.46542662329057</x:v>
      </x:c>
      <x:c r="J1276" s="42" t="n">
        <x:v>1.0048849471304486</x:v>
      </x:c>
      <x:c r="K1276" s="42" t="n">
        <x:v>-0.00007477299455558255</x:v>
      </x:c>
      <x:c r="L1276" s="26" t="n">
        <x:v>1737</x:v>
      </x:c>
      <x:c r="M1276" s="26" t="n">
        <x:v>2096</x:v>
      </x:c>
      <x:c r="N1276" s="26" t="n">
        <x:v>2477</x:v>
      </x:c>
    </x:row>
    <x:row r="1277">
      <x:c r="A1277" s="20" t="str">
        <x:v>T2_CONCORDANT_DOMAIN</x:v>
      </x:c>
      <x:c r="B1277" s="20" t="str">
        <x:v>NYC-V3-R02</x:v>
      </x:c>
      <x:c r="C1277" s="20" t="str">
        <x:v>V3</x:v>
      </x:c>
      <x:c r="D1277" s="20" t="str">
        <x:v>households</x:v>
      </x:c>
      <x:c r="E1277" s="20" t="str">
        <x:v>household</x:v>
      </x:c>
      <x:c r="F1277" s="50" t="n">
        <x:v>13035</x:v>
      </x:c>
      <x:c r="G1277" s="50" t="n">
        <x:v>478.17172647491407</x:v>
      </x:c>
      <x:c r="H1277" s="50" t="n">
        <x:v>13039.306</x:v>
      </x:c>
      <x:c r="I1277" s="50" t="n">
        <x:v>415.14764594290057</x:v>
      </x:c>
      <x:c r="J1277" s="42" t="n">
        <x:v>0.8681978104464111</x:v>
      </x:c>
      <x:c r="K1277" s="42" t="n">
        <x:v>0.009005133013079553</x:v>
      </x:c>
      <x:c r="L1277" s="26" t="n">
        <x:v>12389</x:v>
      </x:c>
      <x:c r="M1277" s="26" t="n">
        <x:v>13038</x:v>
      </x:c>
      <x:c r="N1277" s="26" t="n">
        <x:v>13713</x:v>
      </x:c>
    </x:row>
    <x:row r="1278">
      <x:c r="A1278" s="20" t="str">
        <x:v>T2_CONCORDANT_DOMAIN</x:v>
      </x:c>
      <x:c r="B1278" s="20" t="str">
        <x:v>NYC-V3-R02</x:v>
      </x:c>
      <x:c r="C1278" s="20" t="str">
        <x:v>V3</x:v>
      </x:c>
      <x:c r="D1278" s="20" t="str">
        <x:v>family_households</x:v>
      </x:c>
      <x:c r="E1278" s="20" t="str">
        <x:v>household</x:v>
      </x:c>
      <x:c r="F1278" s="50" t="n">
        <x:v>7652</x:v>
      </x:c>
      <x:c r="G1278" s="50" t="n">
        <x:v>404.54085084203797</x:v>
      </x:c>
      <x:c r="H1278" s="50" t="n">
        <x:v>7656.186</x:v>
      </x:c>
      <x:c r="I1278" s="50" t="n">
        <x:v>449.5848061288347</x:v>
      </x:c>
      <x:c r="J1278" s="42" t="n">
        <x:v>1.1113458756836034</x:v>
      </x:c>
      <x:c r="K1278" s="42" t="n">
        <x:v>0.010347533484657181</x:v>
      </x:c>
      <x:c r="L1278" s="26" t="n">
        <x:v>6916</x:v>
      </x:c>
      <x:c r="M1278" s="26" t="n">
        <x:v>7662</x:v>
      </x:c>
      <x:c r="N1278" s="26" t="n">
        <x:v>8396</x:v>
      </x:c>
    </x:row>
    <x:row r="1279">
      <x:c r="A1279" s="20" t="str">
        <x:v>T2_CONCORDANT_DOMAIN</x:v>
      </x:c>
      <x:c r="B1279" s="20" t="str">
        <x:v>NYC-V3-R02</x:v>
      </x:c>
      <x:c r="C1279" s="20" t="str">
        <x:v>V3</x:v>
      </x:c>
      <x:c r="D1279" s="20" t="str">
        <x:v>nonfamily_households</x:v>
      </x:c>
      <x:c r="E1279" s="20" t="str">
        <x:v>household</x:v>
      </x:c>
      <x:c r="F1279" s="50" t="n">
        <x:v>5383</x:v>
      </x:c>
      <x:c r="G1279" s="50" t="n">
        <x:v>365.525922473359</x:v>
      </x:c>
      <x:c r="H1279" s="50" t="n">
        <x:v>5383.12</x:v>
      </x:c>
      <x:c r="I1279" s="50" t="n">
        <x:v>360.9731225385003</x:v>
      </x:c>
      <x:c r="J1279" s="42" t="n">
        <x:v>0.9875445224129337</x:v>
      </x:c>
      <x:c r="K1279" s="42" t="n">
        <x:v>0.0003282940897540227</x:v>
      </x:c>
      <x:c r="L1279" s="26" t="n">
        <x:v>4802</x:v>
      </x:c>
      <x:c r="M1279" s="26" t="n">
        <x:v>5372</x:v>
      </x:c>
      <x:c r="N1279" s="26" t="n">
        <x:v>5968</x:v>
      </x:c>
    </x:row>
    <x:row r="1280">
      <x:c r="A1280" s="20" t="str">
        <x:v>T2_CONCORDANT_DOMAIN</x:v>
      </x:c>
      <x:c r="B1280" s="20" t="str">
        <x:v>NYC-V3-R02</x:v>
      </x:c>
      <x:c r="C1280" s="20" t="str">
        <x:v>V3</x:v>
      </x:c>
      <x:c r="D1280" s="20" t="str">
        <x:v>living_alone_households</x:v>
      </x:c>
      <x:c r="E1280" s="20" t="str">
        <x:v>household</x:v>
      </x:c>
      <x:c r="F1280" s="50" t="n">
        <x:v>4853</x:v>
      </x:c>
      <x:c r="G1280" s="50" t="n">
        <x:v>333.8818653356304</x:v>
      </x:c>
      <x:c r="H1280" s="50" t="n">
        <x:v>4853.046</x:v>
      </x:c>
      <x:c r="I1280" s="50" t="n">
        <x:v>325.26312423019</x:v>
      </x:c>
      <x:c r="J1280" s="42" t="n">
        <x:v>0.9741862556782576</x:v>
      </x:c>
      <x:c r="K1280" s="42" t="n">
        <x:v>0.00013777328084002284</x:v>
      </x:c>
      <x:c r="L1280" s="26" t="n">
        <x:v>4326</x:v>
      </x:c>
      <x:c r="M1280" s="26" t="n">
        <x:v>4846</x:v>
      </x:c>
      <x:c r="N1280" s="26" t="n">
        <x:v>5371</x:v>
      </x:c>
    </x:row>
    <x:row r="1281">
      <x:c r="A1281" s="20" t="str">
        <x:v>T2_CONCORDANT_DOMAIN</x:v>
      </x:c>
      <x:c r="B1281" s="20" t="str">
        <x:v>NYC-V3-R02</x:v>
      </x:c>
      <x:c r="C1281" s="20" t="str">
        <x:v>V3</x:v>
      </x:c>
      <x:c r="D1281" s="20" t="str">
        <x:v>households_with_children</x:v>
      </x:c>
      <x:c r="E1281" s="20" t="str">
        <x:v>household</x:v>
      </x:c>
      <x:c r="F1281" s="50" t="n">
        <x:v>4143</x:v>
      </x:c>
      <x:c r="G1281" s="50" t="n">
        <x:v>379.94499601916067</x:v>
      </x:c>
      <x:c r="H1281" s="50" t="n">
        <x:v>4143.125</x:v>
      </x:c>
      <x:c r="I1281" s="50" t="n">
        <x:v>389.6571570946376</x:v>
      </x:c>
      <x:c r="J1281" s="42" t="n">
        <x:v>1.025562018653319</x:v>
      </x:c>
      <x:c r="K1281" s="42" t="n">
        <x:v>0.0003289949895634268</x:v>
      </x:c>
      <x:c r="L1281" s="26" t="n">
        <x:v>3509</x:v>
      </x:c>
      <x:c r="M1281" s="26" t="n">
        <x:v>4144</x:v>
      </x:c>
      <x:c r="N1281" s="26" t="n">
        <x:v>4790</x:v>
      </x:c>
    </x:row>
    <x:row r="1282">
      <x:c r="A1282" s="20" t="str">
        <x:v>T2_CONCORDANT_DOMAIN</x:v>
      </x:c>
      <x:c r="B1282" s="20" t="str">
        <x:v>NYC-V3-R02</x:v>
      </x:c>
      <x:c r="C1282" s="20" t="str">
        <x:v>V3</x:v>
      </x:c>
      <x:c r="D1282" s="20" t="str">
        <x:v>households_with_age65</x:v>
      </x:c>
      <x:c r="E1282" s="20" t="str">
        <x:v>household</x:v>
      </x:c>
      <x:c r="F1282" s="50" t="n">
        <x:v>4181</x:v>
      </x:c>
      <x:c r="G1282" s="50" t="n">
        <x:v>318.22531326090325</x:v>
      </x:c>
      <x:c r="H1282" s="50" t="n">
        <x:v>4181.008</x:v>
      </x:c>
      <x:c r="I1282" s="50" t="n">
        <x:v>309.8678169800794</x:v>
      </x:c>
      <x:c r="J1282" s="42" t="n">
        <x:v>0.9737371732148417</x:v>
      </x:c>
      <x:c r="K1282" s="42" t="n">
        <x:v>0.000025139420613129756</x:v>
      </x:c>
      <x:c r="L1282" s="26" t="n">
        <x:v>3658</x:v>
      </x:c>
      <x:c r="M1282" s="26" t="n">
        <x:v>4180</x:v>
      </x:c>
      <x:c r="N1282" s="26" t="n">
        <x:v>4699</x:v>
      </x:c>
    </x:row>
    <x:row r="1283">
      <x:c r="A1283" s="20" t="str">
        <x:v>T2_CONCORDANT_DOMAIN</x:v>
      </x:c>
      <x:c r="B1283" s="20" t="str">
        <x:v>NYC-V3-R02</x:v>
      </x:c>
      <x:c r="C1283" s="20" t="str">
        <x:v>V3</x:v>
      </x:c>
      <x:c r="D1283" s="20" t="str">
        <x:v>age65_one_person_households</x:v>
      </x:c>
      <x:c r="E1283" s="20" t="str">
        <x:v>household</x:v>
      </x:c>
      <x:c r="F1283" s="50" t="n">
        <x:v>1947</x:v>
      </x:c>
      <x:c r="G1283" s="50" t="n">
        <x:v>189.0428522848722</x:v>
      </x:c>
      <x:c r="H1283" s="50" t="n">
        <x:v>1947.071</x:v>
      </x:c>
      <x:c r="I1283" s="50" t="n">
        <x:v>188.0645480499534</x:v>
      </x:c>
      <x:c r="J1283" s="42" t="n">
        <x:v>0.9948249604621677</x:v>
      </x:c>
      <x:c r="K1283" s="42" t="n">
        <x:v>0.0003755762206387019</x:v>
      </x:c>
      <x:c r="L1283" s="26" t="n">
        <x:v>1639</x:v>
      </x:c>
      <x:c r="M1283" s="26" t="n">
        <x:v>1949</x:v>
      </x:c>
      <x:c r="N1283" s="26" t="n">
        <x:v>2255</x:v>
      </x:c>
    </x:row>
    <x:row r="1284">
      <x:c r="A1284" s="20" t="str">
        <x:v>T2_CONCORDANT_DOMAIN</x:v>
      </x:c>
      <x:c r="B1284" s="20" t="str">
        <x:v>NYC-V3-R02</x:v>
      </x:c>
      <x:c r="C1284" s="20" t="str">
        <x:v>V3</x:v>
      </x:c>
      <x:c r="D1284" s="20" t="str">
        <x:v>no_vehicle_households</x:v>
      </x:c>
      <x:c r="E1284" s="20" t="str">
        <x:v>household</x:v>
      </x:c>
      <x:c r="F1284" s="50" t="n">
        <x:v>8423</x:v>
      </x:c>
      <x:c r="G1284" s="50" t="n">
        <x:v>409.94825920554155</x:v>
      </x:c>
      <x:c r="H1284" s="50" t="n">
        <x:v>8422.485</x:v>
      </x:c>
      <x:c r="I1284" s="50" t="n">
        <x:v>410.34253834299676</x:v>
      </x:c>
      <x:c r="J1284" s="42" t="n">
        <x:v>1.0009617778063489</x:v>
      </x:c>
      <x:c r="K1284" s="42" t="n">
        <x:v>-0.0012562560967997796</x:v>
      </x:c>
      <x:c r="L1284" s="26" t="n">
        <x:v>7751</x:v>
      </x:c>
      <x:c r="M1284" s="26" t="n">
        <x:v>8424</x:v>
      </x:c>
      <x:c r="N1284" s="26" t="n">
        <x:v>9114</x:v>
      </x:c>
    </x:row>
    <x:row r="1285">
      <x:c r="A1285" s="20" t="str">
        <x:v>T2_CONCORDANT_DOMAIN</x:v>
      </x:c>
      <x:c r="B1285" s="20" t="str">
        <x:v>NYC-V3-R02</x:v>
      </x:c>
      <x:c r="C1285" s="20" t="str">
        <x:v>V3</x:v>
      </x:c>
      <x:c r="D1285" s="20" t="str">
        <x:v>limited_english_households</x:v>
      </x:c>
      <x:c r="E1285" s="20" t="str">
        <x:v>household</x:v>
      </x:c>
      <x:c r="F1285" s="50" t="n">
        <x:v>2085</x:v>
      </x:c>
      <x:c r="G1285" s="50" t="n">
        <x:v>248.351890480714</x:v>
      </x:c>
      <x:c r="H1285" s="50" t="n">
        <x:v>2084.952</x:v>
      </x:c>
      <x:c r="I1285" s="50" t="n">
        <x:v>256.74097769079566</x:v>
      </x:c>
      <x:c r="J1285" s="42" t="n">
        <x:v>1.0337790350371145</x:v>
      </x:c>
      <x:c r="K1285" s="42" t="n">
        <x:v>-0.0001932741478507164</x:v>
      </x:c>
      <x:c r="L1285" s="26" t="n">
        <x:v>1685</x:v>
      </x:c>
      <x:c r="M1285" s="26" t="n">
        <x:v>2075</x:v>
      </x:c>
      <x:c r="N1285" s="26" t="n">
        <x:v>2506</x:v>
      </x:c>
    </x:row>
    <x:row r="1286">
      <x:c r="A1286" s="20" t="str">
        <x:v>T2_CONCORDANT_DOMAIN</x:v>
      </x:c>
      <x:c r="B1286" s="20" t="str">
        <x:v>NYC-V3-R02</x:v>
      </x:c>
      <x:c r="C1286" s="20" t="str">
        <x:v>V3</x:v>
      </x:c>
      <x:c r="D1286" s="20" t="str">
        <x:v>housing_units</x:v>
      </x:c>
      <x:c r="E1286" s="20" t="str">
        <x:v>housing</x:v>
      </x:c>
      <x:c r="F1286" s="50" t="n">
        <x:v>14139</x:v>
      </x:c>
      <x:c r="G1286" s="50" t="n">
        <x:v>438.7449145004418</x:v>
      </x:c>
      <x:c r="H1286" s="50" t="n">
        <x:v>14143.35</x:v>
      </x:c>
      <x:c r="I1286" s="50" t="n">
        <x:v>481.2277024461514</x:v>
      </x:c>
      <x:c r="J1286" s="42" t="n">
        <x:v>1.096827989434546</x:v>
      </x:c>
      <x:c r="K1286" s="42" t="n">
        <x:v>0.009914644834010911</x:v>
      </x:c>
      <x:c r="L1286" s="26" t="n">
        <x:v>13367</x:v>
      </x:c>
      <x:c r="M1286" s="26" t="n">
        <x:v>14135</x:v>
      </x:c>
      <x:c r="N1286" s="26" t="n">
        <x:v>14917</x:v>
      </x:c>
    </x:row>
    <x:row r="1287">
      <x:c r="A1287" s="20" t="str">
        <x:v>T2_CONCORDANT_DOMAIN</x:v>
      </x:c>
      <x:c r="B1287" s="20" t="str">
        <x:v>NYC-V3-R02</x:v>
      </x:c>
      <x:c r="C1287" s="20" t="str">
        <x:v>V3</x:v>
      </x:c>
      <x:c r="D1287" s="20" t="str">
        <x:v>occupied_housing_units</x:v>
      </x:c>
      <x:c r="E1287" s="20" t="str">
        <x:v>housing</x:v>
      </x:c>
      <x:c r="F1287" s="50" t="n">
        <x:v>13035</x:v>
      </x:c>
      <x:c r="G1287" s="50" t="n">
        <x:v>478.17172647491407</x:v>
      </x:c>
      <x:c r="H1287" s="50" t="n">
        <x:v>13039.306</x:v>
      </x:c>
      <x:c r="I1287" s="50" t="n">
        <x:v>415.14764594290057</x:v>
      </x:c>
      <x:c r="J1287" s="42" t="n">
        <x:v>0.8681978104464111</x:v>
      </x:c>
      <x:c r="K1287" s="42" t="n">
        <x:v>0.009005133013079553</x:v>
      </x:c>
      <x:c r="L1287" s="26" t="n">
        <x:v>12389</x:v>
      </x:c>
      <x:c r="M1287" s="26" t="n">
        <x:v>13038</x:v>
      </x:c>
      <x:c r="N1287" s="26" t="n">
        <x:v>13713</x:v>
      </x:c>
    </x:row>
    <x:row r="1288">
      <x:c r="A1288" s="20" t="str">
        <x:v>T2_CONCORDANT_DOMAIN</x:v>
      </x:c>
      <x:c r="B1288" s="20" t="str">
        <x:v>NYC-V3-R02</x:v>
      </x:c>
      <x:c r="C1288" s="20" t="str">
        <x:v>V3</x:v>
      </x:c>
      <x:c r="D1288" s="20" t="str">
        <x:v>vacant_housing_units</x:v>
      </x:c>
      <x:c r="E1288" s="20" t="str">
        <x:v>housing</x:v>
      </x:c>
      <x:c r="F1288" s="50" t="n">
        <x:v>1104</x:v>
      </x:c>
      <x:c r="G1288" s="50" t="n">
        <x:v>198.37439350883974</x:v>
      </x:c>
      <x:c r="H1288" s="50" t="n">
        <x:v>1104.044</x:v>
      </x:c>
      <x:c r="I1288" s="50" t="n">
        <x:v>197.60321124185478</x:v>
      </x:c>
      <x:c r="J1288" s="42" t="n">
        <x:v>0.9961124908646508</x:v>
      </x:c>
      <x:c r="K1288" s="42" t="n">
        <x:v>0.00022180282052449338</x:v>
      </x:c>
      <x:c r="L1288" s="26" t="n">
        <x:v>783</x:v>
      </x:c>
      <x:c r="M1288" s="26" t="n">
        <x:v>1107</x:v>
      </x:c>
      <x:c r="N1288" s="26" t="n">
        <x:v>1437</x:v>
      </x:c>
    </x:row>
    <x:row r="1289">
      <x:c r="A1289" s="20" t="str">
        <x:v>T2_CONCORDANT_DOMAIN</x:v>
      </x:c>
      <x:c r="B1289" s="20" t="str">
        <x:v>NYC-V3-R02</x:v>
      </x:c>
      <x:c r="C1289" s="20" t="str">
        <x:v>V3</x:v>
      </x:c>
      <x:c r="D1289" s="20" t="str">
        <x:v>owner_occupied_units</x:v>
      </x:c>
      <x:c r="E1289" s="20" t="str">
        <x:v>housing</x:v>
      </x:c>
      <x:c r="F1289" s="50" t="n">
        <x:v>3347</x:v>
      </x:c>
      <x:c r="G1289" s="50" t="n">
        <x:v>331.4658998172509</x:v>
      </x:c>
      <x:c r="H1289" s="50" t="n">
        <x:v>3346.904</x:v>
      </x:c>
      <x:c r="I1289" s="50" t="n">
        <x:v>280.8962967244558</x:v>
      </x:c>
      <x:c r="J1289" s="42" t="n">
        <x:v>0.84743648405258</x:v>
      </x:c>
      <x:c r="K1289" s="42" t="n">
        <x:v>-0.00028962255258514345</x:v>
      </x:c>
      <x:c r="L1289" s="26" t="n">
        <x:v>2887</x:v>
      </x:c>
      <x:c r="M1289" s="26" t="n">
        <x:v>3344</x:v>
      </x:c>
      <x:c r="N1289" s="26" t="n">
        <x:v>3805</x:v>
      </x:c>
    </x:row>
    <x:row r="1290">
      <x:c r="A1290" s="20" t="str">
        <x:v>T2_CONCORDANT_DOMAIN</x:v>
      </x:c>
      <x:c r="B1290" s="20" t="str">
        <x:v>NYC-V3-R02</x:v>
      </x:c>
      <x:c r="C1290" s="20" t="str">
        <x:v>V3</x:v>
      </x:c>
      <x:c r="D1290" s="20" t="str">
        <x:v>renter_occupied_units</x:v>
      </x:c>
      <x:c r="E1290" s="20" t="str">
        <x:v>housing</x:v>
      </x:c>
      <x:c r="F1290" s="50" t="n">
        <x:v>9688</x:v>
      </x:c>
      <x:c r="G1290" s="50" t="n">
        <x:v>463.7026918574268</x:v>
      </x:c>
      <x:c r="H1290" s="50" t="n">
        <x:v>9692.402</x:v>
      </x:c>
      <x:c r="I1290" s="50" t="n">
        <x:v>325.0708745327232</x:v>
      </x:c>
      <x:c r="J1290" s="42" t="n">
        <x:v>0.7010329684104394</x:v>
      </x:c>
      <x:c r="K1290" s="42" t="n">
        <x:v>0.009493151705389523</x:v>
      </x:c>
      <x:c r="L1290" s="26" t="n">
        <x:v>9158</x:v>
      </x:c>
      <x:c r="M1290" s="26" t="n">
        <x:v>9697</x:v>
      </x:c>
      <x:c r="N1290" s="26" t="n">
        <x:v>10218</x:v>
      </x:c>
    </x:row>
    <x:row r="1291">
      <x:c r="A1291" s="20" t="str">
        <x:v>T2_CONCORDANT_DOMAIN</x:v>
      </x:c>
      <x:c r="B1291" s="20" t="str">
        <x:v>NYC-V3-R02</x:v>
      </x:c>
      <x:c r="C1291" s="20" t="str">
        <x:v>V3</x:v>
      </x:c>
      <x:c r="D1291" s="20" t="str">
        <x:v>one_unit_structures</x:v>
      </x:c>
      <x:c r="E1291" s="20" t="str">
        <x:v>housing</x:v>
      </x:c>
      <x:c r="F1291" s="50" t="n">
        <x:v>823</x:v>
      </x:c>
      <x:c r="G1291" s="50" t="n">
        <x:v>196.21420401684762</x:v>
      </x:c>
      <x:c r="H1291" s="50" t="n">
        <x:v>822.974</x:v>
      </x:c>
      <x:c r="I1291" s="50" t="n">
        <x:v>164.28304916893964</x:v>
      </x:c>
      <x:c r="J1291" s="42" t="n">
        <x:v>0.8372637954122513</x:v>
      </x:c>
      <x:c r="K1291" s="42" t="n">
        <x:v>-0.00013250824592556595</x:v>
      </x:c>
      <x:c r="L1291" s="26" t="n">
        <x:v>561</x:v>
      </x:c>
      <x:c r="M1291" s="26" t="n">
        <x:v>824</x:v>
      </x:c>
      <x:c r="N1291" s="26" t="n">
        <x:v>1088</x:v>
      </x:c>
    </x:row>
    <x:row r="1292">
      <x:c r="A1292" s="20" t="str">
        <x:v>T2_CONCORDANT_DOMAIN</x:v>
      </x:c>
      <x:c r="B1292" s="20" t="str">
        <x:v>NYC-V3-R02</x:v>
      </x:c>
      <x:c r="C1292" s="20" t="str">
        <x:v>V3</x:v>
      </x:c>
      <x:c r="D1292" s="20" t="str">
        <x:v>two_to_four_unit_structures</x:v>
      </x:c>
      <x:c r="E1292" s="20" t="str">
        <x:v>housing</x:v>
      </x:c>
      <x:c r="F1292" s="50" t="n">
        <x:v>1584</x:v>
      </x:c>
      <x:c r="G1292" s="50" t="n">
        <x:v>200.0461878836865</x:v>
      </x:c>
      <x:c r="H1292" s="50" t="n">
        <x:v>1583.937</x:v>
      </x:c>
      <x:c r="I1292" s="50" t="n">
        <x:v>166.8972609922845</x:v>
      </x:c>
      <x:c r="J1292" s="42" t="n">
        <x:v>0.8342936336748595</x:v>
      </x:c>
      <x:c r="K1292" s="42" t="n">
        <x:v>-0.0003149272708797238</x:v>
      </x:c>
      <x:c r="L1292" s="26" t="n">
        <x:v>1305</x:v>
      </x:c>
      <x:c r="M1292" s="26" t="n">
        <x:v>1583</x:v>
      </x:c>
      <x:c r="N1292" s="26" t="n">
        <x:v>1848</x:v>
      </x:c>
    </x:row>
    <x:row r="1293">
      <x:c r="A1293" s="20" t="str">
        <x:v>T2_CONCORDANT_DOMAIN</x:v>
      </x:c>
      <x:c r="B1293" s="20" t="str">
        <x:v>NYC-V3-R02</x:v>
      </x:c>
      <x:c r="C1293" s="20" t="str">
        <x:v>V3</x:v>
      </x:c>
      <x:c r="D1293" s="20" t="str">
        <x:v>five_to_nineteen_unit_structures</x:v>
      </x:c>
      <x:c r="E1293" s="20" t="str">
        <x:v>housing</x:v>
      </x:c>
      <x:c r="F1293" s="50" t="n">
        <x:v>1284</x:v>
      </x:c>
      <x:c r="G1293" s="50" t="n">
        <x:v>193.65399770024894</x:v>
      </x:c>
      <x:c r="H1293" s="50" t="n">
        <x:v>1284.01</x:v>
      </x:c>
      <x:c r="I1293" s="50" t="n">
        <x:v>165.04539946294742</x:v>
      </x:c>
      <x:c r="J1293" s="42" t="n">
        <x:v>0.8522695189510939</x:v>
      </x:c>
      <x:c r="K1293" s="42" t="n">
        <x:v>0.000051638489877547465</x:v>
      </x:c>
      <x:c r="L1293" s="26" t="n">
        <x:v>1021</x:v>
      </x:c>
      <x:c r="M1293" s="26" t="n">
        <x:v>1282</x:v>
      </x:c>
      <x:c r="N1293" s="26" t="n">
        <x:v>1554</x:v>
      </x:c>
    </x:row>
    <x:row r="1294">
      <x:c r="A1294" s="20" t="str">
        <x:v>T2_CONCORDANT_DOMAIN</x:v>
      </x:c>
      <x:c r="B1294" s="20" t="str">
        <x:v>NYC-V3-R02</x:v>
      </x:c>
      <x:c r="C1294" s="20" t="str">
        <x:v>V3</x:v>
      </x:c>
      <x:c r="D1294" s="20" t="str">
        <x:v>twenty_to_forty_nine_unit_structures</x:v>
      </x:c>
      <x:c r="E1294" s="20" t="str">
        <x:v>housing</x:v>
      </x:c>
      <x:c r="F1294" s="50" t="n">
        <x:v>3364</x:v>
      </x:c>
      <x:c r="G1294" s="50" t="n">
        <x:v>318.80427184358047</x:v>
      </x:c>
      <x:c r="H1294" s="50" t="n">
        <x:v>3363.909</x:v>
      </x:c>
      <x:c r="I1294" s="50" t="n">
        <x:v>238.54266562257226</x:v>
      </x:c>
      <x:c r="J1294" s="42" t="n">
        <x:v>0.7482417479638162</x:v>
      </x:c>
      <x:c r="K1294" s="42" t="n">
        <x:v>-0.0002854415954769362</x:v>
      </x:c>
      <x:c r="L1294" s="26" t="n">
        <x:v>2958</x:v>
      </x:c>
      <x:c r="M1294" s="26" t="n">
        <x:v>3365</x:v>
      </x:c>
      <x:c r="N1294" s="26" t="n">
        <x:v>3741</x:v>
      </x:c>
    </x:row>
    <x:row r="1295">
      <x:c r="A1295" s="20" t="str">
        <x:v>T2_CONCORDANT_DOMAIN</x:v>
      </x:c>
      <x:c r="B1295" s="20" t="str">
        <x:v>NYC-V3-R02</x:v>
      </x:c>
      <x:c r="C1295" s="20" t="str">
        <x:v>V3</x:v>
      </x:c>
      <x:c r="D1295" s="20" t="str">
        <x:v>fifty_plus_unit_structures</x:v>
      </x:c>
      <x:c r="E1295" s="20" t="str">
        <x:v>housing</x:v>
      </x:c>
      <x:c r="F1295" s="50" t="n">
        <x:v>5980</x:v>
      </x:c>
      <x:c r="G1295" s="50" t="n">
        <x:v>468.6725087076537</x:v>
      </x:c>
      <x:c r="H1295" s="50" t="n">
        <x:v>5964.766</x:v>
      </x:c>
      <x:c r="I1295" s="50" t="n">
        <x:v>301.8850506862303</x:v>
      </x:c>
      <x:c r="J1295" s="42" t="n">
        <x:v>0.6441279253154119</x:v>
      </x:c>
      <x:c r="K1295" s="42" t="n">
        <x:v>-0.03250457348566815</x:v>
      </x:c>
      <x:c r="L1295" s="26" t="n">
        <x:v>5479</x:v>
      </x:c>
      <x:c r="M1295" s="26" t="n">
        <x:v>5966</x:v>
      </x:c>
      <x:c r="N1295" s="26" t="n">
        <x:v>6445</x:v>
      </x:c>
    </x:row>
    <x:row r="1296">
      <x:c r="A1296" s="20" t="str">
        <x:v>T2_CONCORDANT_DOMAIN</x:v>
      </x:c>
      <x:c r="B1296" s="20" t="str">
        <x:v>NYC-V3-R02</x:v>
      </x:c>
      <x:c r="C1296" s="20" t="str">
        <x:v>V3</x:v>
      </x:c>
      <x:c r="D1296" s="20" t="str">
        <x:v>mobile_or_other_units</x:v>
      </x:c>
      <x:c r="E1296" s="20" t="str">
        <x:v>housing</x:v>
      </x:c>
      <x:c r="F1296" s="50" t="n">
        <x:v>0</x:v>
      </x:c>
      <x:c r="G1296" s="50" t="n">
        <x:v>52.53348984916304</x:v>
      </x:c>
      <x:c r="H1296" s="50" t="n">
        <x:v>19.71</x:v>
      </x:c>
      <x:c r="I1296" s="50" t="n">
        <x:v>28.120787305455703</x:v>
      </x:c>
      <x:c r="J1296" s="42" t="n">
        <x:v>0.5352925797657382</x:v>
      </x:c>
      <x:c r="K1296" s="42" t="n">
        <x:v>0.375189237505302</x:v>
      </x:c>
      <x:c r="L1296" s="26" t="n">
        <x:v>0</x:v>
      </x:c>
      <x:c r="M1296" s="26" t="n">
        <x:v>1</x:v>
      </x:c>
      <x:c r="N1296" s="26" t="n">
        <x:v>74</x:v>
      </x:c>
    </x:row>
    <x:row r="1297">
      <x:c r="A1297" s="20" t="str">
        <x:v>T2_CONCORDANT_DOMAIN</x:v>
      </x:c>
      <x:c r="B1297" s="20" t="str">
        <x:v>NYC-V3-R02</x:v>
      </x:c>
      <x:c r="C1297" s="20" t="str">
        <x:v>V3</x:v>
      </x:c>
      <x:c r="D1297" s="20" t="str">
        <x:v>electric_heat_households</x:v>
      </x:c>
      <x:c r="E1297" s="20" t="str">
        <x:v>housing</x:v>
      </x:c>
      <x:c r="F1297" s="50" t="n">
        <x:v>1952</x:v>
      </x:c>
      <x:c r="G1297" s="50" t="n">
        <x:v>264.2669105279736</x:v>
      </x:c>
      <x:c r="H1297" s="50" t="n">
        <x:v>1952.061</x:v>
      </x:c>
      <x:c r="I1297" s="50" t="n">
        <x:v>270.02328761581816</x:v>
      </x:c>
      <x:c r="J1297" s="42" t="n">
        <x:v>1.0217824360845782</x:v>
      </x:c>
      <x:c r="K1297" s="42" t="n">
        <x:v>0.00023082723401901168</x:v>
      </x:c>
      <x:c r="L1297" s="26" t="n">
        <x:v>1526</x:v>
      </x:c>
      <x:c r="M1297" s="26" t="n">
        <x:v>1951</x:v>
      </x:c>
      <x:c r="N1297" s="26" t="n">
        <x:v>2396</x:v>
      </x:c>
    </x:row>
    <x:row r="1298">
      <x:c r="A1298" s="20" t="str">
        <x:v>T2_CONCORDANT_DOMAIN</x:v>
      </x:c>
      <x:c r="B1298" s="20" t="str">
        <x:v>NYC-V3-R02</x:v>
      </x:c>
      <x:c r="C1298" s="20" t="str">
        <x:v>V3</x:v>
      </x:c>
      <x:c r="D1298" s="20" t="str">
        <x:v>group_quarters_population</x:v>
      </x:c>
      <x:c r="E1298" s="20" t="str">
        <x:v>population</x:v>
      </x:c>
      <x:c r="F1298" s="50" t="n">
        <x:v>195</x:v>
      </x:c>
      <x:c r="G1298" s="50" t="n">
        <x:v>7.700649323271382</x:v>
      </x:c>
      <x:c r="H1298" s="50" t="n">
        <x:v>195.016</x:v>
      </x:c>
      <x:c r="I1298" s="50" t="n">
        <x:v>7.693044061158556</x:v>
      </x:c>
      <x:c r="J1298" s="42" t="n">
        <x:v>0.9990123869048493</x:v>
      </x:c>
      <x:c r="K1298" s="42" t="n">
        <x:v>0.0020777468663115317</x:v>
      </x:c>
      <x:c r="L1298" s="26" t="n">
        <x:v>182</x:v>
      </x:c>
      <x:c r="M1298" s="26" t="n">
        <x:v>195</x:v>
      </x:c>
      <x:c r="N1298" s="26" t="n">
        <x:v>208</x:v>
      </x:c>
    </x:row>
    <x:row r="1299">
      <x:c r="A1299" s="20" t="str">
        <x:v>T2_CONCORDANT_DOMAIN</x:v>
      </x:c>
      <x:c r="B1299" s="20" t="str">
        <x:v>NYC-V3-R03</x:v>
      </x:c>
      <x:c r="C1299" s="20" t="str">
        <x:v>V3</x:v>
      </x:c>
      <x:c r="D1299" s="20" t="str">
        <x:v>acs_population</x:v>
      </x:c>
      <x:c r="E1299" s="20" t="str">
        <x:v>population</x:v>
      </x:c>
      <x:c r="F1299" s="50" t="n">
        <x:v>41146</x:v>
      </x:c>
      <x:c r="G1299" s="50" t="n">
        <x:v>1454.1482214684995</x:v>
      </x:c>
      <x:c r="H1299" s="50" t="n">
        <x:v>41496.189</x:v>
      </x:c>
      <x:c r="I1299" s="50" t="n">
        <x:v>1325.4627413691255</x:v>
      </x:c>
      <x:c r="J1299" s="42" t="n">
        <x:v>0.9115045645282167</x:v>
      </x:c>
      <x:c r="K1299" s="42" t="n">
        <x:v>0.24082070509040227</x:v>
      </x:c>
      <x:c r="L1299" s="26" t="n">
        <x:v>39225</x:v>
      </x:c>
      <x:c r="M1299" s="26" t="n">
        <x:v>41475</x:v>
      </x:c>
      <x:c r="N1299" s="26" t="n">
        <x:v>43767</x:v>
      </x:c>
    </x:row>
    <x:row r="1300">
      <x:c r="A1300" s="20" t="str">
        <x:v>T2_CONCORDANT_DOMAIN</x:v>
      </x:c>
      <x:c r="B1300" s="20" t="str">
        <x:v>NYC-V3-R03</x:v>
      </x:c>
      <x:c r="C1300" s="20" t="str">
        <x:v>V3</x:v>
      </x:c>
      <x:c r="D1300" s="20" t="str">
        <x:v>age_under_18</x:v>
      </x:c>
      <x:c r="E1300" s="20" t="str">
        <x:v>population</x:v>
      </x:c>
      <x:c r="F1300" s="50" t="n">
        <x:v>10108</x:v>
      </x:c>
      <x:c r="G1300" s="50" t="n">
        <x:v>813.3160517289697</x:v>
      </x:c>
      <x:c r="H1300" s="50" t="n">
        <x:v>10108.294</x:v>
      </x:c>
      <x:c r="I1300" s="50" t="n">
        <x:v>820.6152282994248</x:v>
      </x:c>
      <x:c r="J1300" s="42" t="n">
        <x:v>1.00897458811361</x:v>
      </x:c>
      <x:c r="K1300" s="42" t="n">
        <x:v>0.00036148309058314505</x:v>
      </x:c>
      <x:c r="L1300" s="26" t="n">
        <x:v>8760</x:v>
      </x:c>
      <x:c r="M1300" s="26" t="n">
        <x:v>10079</x:v>
      </x:c>
      <x:c r="N1300" s="26" t="n">
        <x:v>11420</x:v>
      </x:c>
    </x:row>
    <x:row r="1301">
      <x:c r="A1301" s="20" t="str">
        <x:v>T2_CONCORDANT_DOMAIN</x:v>
      </x:c>
      <x:c r="B1301" s="20" t="str">
        <x:v>NYC-V3-R03</x:v>
      </x:c>
      <x:c r="C1301" s="20" t="str">
        <x:v>V3</x:v>
      </x:c>
      <x:c r="D1301" s="20" t="str">
        <x:v>age_65_plus</x:v>
      </x:c>
      <x:c r="E1301" s="20" t="str">
        <x:v>population</x:v>
      </x:c>
      <x:c r="F1301" s="50" t="n">
        <x:v>8067</x:v>
      </x:c>
      <x:c r="G1301" s="50" t="n">
        <x:v>446.3000112032264</x:v>
      </x:c>
      <x:c r="H1301" s="50" t="n">
        <x:v>8066.977</x:v>
      </x:c>
      <x:c r="I1301" s="50" t="n">
        <x:v>453.3449107236995</x:v>
      </x:c>
      <x:c r="J1301" s="42" t="n">
        <x:v>1.0157851206444741</x:v>
      </x:c>
      <x:c r="K1301" s="42" t="n">
        <x:v>-0.000051534840741164586</x:v>
      </x:c>
      <x:c r="L1301" s="26" t="n">
        <x:v>7327</x:v>
      </x:c>
      <x:c r="M1301" s="26" t="n">
        <x:v>8070</x:v>
      </x:c>
      <x:c r="N1301" s="26" t="n">
        <x:v>8806</x:v>
      </x:c>
    </x:row>
    <x:row r="1302">
      <x:c r="A1302" s="20" t="str">
        <x:v>T2_CONCORDANT_DOMAIN</x:v>
      </x:c>
      <x:c r="B1302" s="20" t="str">
        <x:v>NYC-V3-R03</x:v>
      </x:c>
      <x:c r="C1302" s="20" t="str">
        <x:v>V3</x:v>
      </x:c>
      <x:c r="D1302" s="20" t="str">
        <x:v>age_75_plus</x:v>
      </x:c>
      <x:c r="E1302" s="20" t="str">
        <x:v>population</x:v>
      </x:c>
      <x:c r="F1302" s="50" t="n">
        <x:v>3343</x:v>
      </x:c>
      <x:c r="G1302" s="50" t="n">
        <x:v>319.74177080888256</x:v>
      </x:c>
      <x:c r="H1302" s="50" t="n">
        <x:v>3343.002</x:v>
      </x:c>
      <x:c r="I1302" s="50" t="n">
        <x:v>324.6535197774758</x:v>
      </x:c>
      <x:c r="J1302" s="42" t="n">
        <x:v>1.015361611828719</x:v>
      </x:c>
      <x:c r="K1302" s="42" t="n">
        <x:v>0.000006255047611993601</x:v>
      </x:c>
      <x:c r="L1302" s="26" t="n">
        <x:v>2788</x:v>
      </x:c>
      <x:c r="M1302" s="26" t="n">
        <x:v>3358</x:v>
      </x:c>
      <x:c r="N1302" s="26" t="n">
        <x:v>3862</x:v>
      </x:c>
    </x:row>
    <x:row r="1303">
      <x:c r="A1303" s="20" t="str">
        <x:v>T2_CONCORDANT_DOMAIN</x:v>
      </x:c>
      <x:c r="B1303" s="20" t="str">
        <x:v>NYC-V3-R03</x:v>
      </x:c>
      <x:c r="C1303" s="20" t="str">
        <x:v>V3</x:v>
      </x:c>
      <x:c r="D1303" s="20" t="str">
        <x:v>age_85_plus</x:v>
      </x:c>
      <x:c r="E1303" s="20" t="str">
        <x:v>population</x:v>
      </x:c>
      <x:c r="F1303" s="50" t="n">
        <x:v>943</x:v>
      </x:c>
      <x:c r="G1303" s="50" t="n">
        <x:v>179.3863149741362</x:v>
      </x:c>
      <x:c r="H1303" s="50" t="n">
        <x:v>942.938</x:v>
      </x:c>
      <x:c r="I1303" s="50" t="n">
        <x:v>176.4634282153033</x:v>
      </x:c>
      <x:c r="J1303" s="42" t="n">
        <x:v>0.9837061887399029</x:v>
      </x:c>
      <x:c r="K1303" s="42" t="n">
        <x:v>-0.000345622797418805</x:v>
      </x:c>
      <x:c r="L1303" s="26" t="n">
        <x:v>652</x:v>
      </x:c>
      <x:c r="M1303" s="26" t="n">
        <x:v>946</x:v>
      </x:c>
      <x:c r="N1303" s="26" t="n">
        <x:v>1229</x:v>
      </x:c>
    </x:row>
    <x:row r="1304">
      <x:c r="A1304" s="20" t="str">
        <x:v>T2_CONCORDANT_DOMAIN</x:v>
      </x:c>
      <x:c r="B1304" s="20" t="str">
        <x:v>NYC-V3-R03</x:v>
      </x:c>
      <x:c r="C1304" s="20" t="str">
        <x:v>V3</x:v>
      </x:c>
      <x:c r="D1304" s="20" t="str">
        <x:v>civilian_noninstitutionalized</x:v>
      </x:c>
      <x:c r="E1304" s="20" t="str">
        <x:v>disability</x:v>
      </x:c>
      <x:c r="F1304" s="50" t="n">
        <x:v>40336</x:v>
      </x:c>
      <x:c r="G1304" s="50" t="n">
        <x:v>1446.3572172876243</x:v>
      </x:c>
      <x:c r="H1304" s="50" t="n">
        <x:v>40334.838</x:v>
      </x:c>
      <x:c r="I1304" s="50" t="n">
        <x:v>1431.274956028979</x:v>
      </x:c>
      <x:c r="J1304" s="42" t="n">
        <x:v>0.9895722432339853</x:v>
      </x:c>
      <x:c r="K1304" s="42" t="n">
        <x:v>-0.000803397657306084</x:v>
      </x:c>
      <x:c r="L1304" s="26" t="n">
        <x:v>38074</x:v>
      </x:c>
      <x:c r="M1304" s="26" t="n">
        <x:v>40309</x:v>
      </x:c>
      <x:c r="N1304" s="26" t="n">
        <x:v>42792</x:v>
      </x:c>
    </x:row>
    <x:row r="1305">
      <x:c r="A1305" s="20" t="str">
        <x:v>T2_CONCORDANT_DOMAIN</x:v>
      </x:c>
      <x:c r="B1305" s="20" t="str">
        <x:v>NYC-V3-R03</x:v>
      </x:c>
      <x:c r="C1305" s="20" t="str">
        <x:v>V3</x:v>
      </x:c>
      <x:c r="D1305" s="20" t="str">
        <x:v>any_disability</x:v>
      </x:c>
      <x:c r="E1305" s="20" t="str">
        <x:v>disability</x:v>
      </x:c>
      <x:c r="F1305" s="50" t="n">
        <x:v>5833</x:v>
      </x:c>
      <x:c r="G1305" s="50" t="n">
        <x:v>514.2412371640377</x:v>
      </x:c>
      <x:c r="H1305" s="50" t="n">
        <x:v>5833.039</x:v>
      </x:c>
      <x:c r="I1305" s="50" t="n">
        <x:v>672.53832997405</x:v>
      </x:c>
      <x:c r="J1305" s="42" t="n">
        <x:v>1.307826524537388</x:v>
      </x:c>
      <x:c r="K1305" s="42" t="n">
        <x:v>0.00007583989221642156</x:v>
      </x:c>
      <x:c r="L1305" s="26" t="n">
        <x:v>4744</x:v>
      </x:c>
      <x:c r="M1305" s="26" t="n">
        <x:v>5831</x:v>
      </x:c>
      <x:c r="N1305" s="26" t="n">
        <x:v>6968</x:v>
      </x:c>
    </x:row>
    <x:row r="1306">
      <x:c r="A1306" s="20" t="str">
        <x:v>T2_CONCORDANT_DOMAIN</x:v>
      </x:c>
      <x:c r="B1306" s="20" t="str">
        <x:v>NYC-V3-R03</x:v>
      </x:c>
      <x:c r="C1306" s="20" t="str">
        <x:v>V3</x:v>
      </x:c>
      <x:c r="D1306" s="20" t="str">
        <x:v>disability_under_18</x:v>
      </x:c>
      <x:c r="E1306" s="20" t="str">
        <x:v>disability</x:v>
      </x:c>
      <x:c r="F1306" s="50" t="n">
        <x:v>938</x:v>
      </x:c>
      <x:c r="G1306" s="50" t="n">
        <x:v>292.0101881784264</x:v>
      </x:c>
      <x:c r="H1306" s="50" t="n">
        <x:v>937.898</x:v>
      </x:c>
      <x:c r="I1306" s="50" t="n">
        <x:v>294.090385342246</x:v>
      </x:c>
      <x:c r="J1306" s="42" t="n">
        <x:v>1.0071237143361196</x:v>
      </x:c>
      <x:c r="K1306" s="42" t="n">
        <x:v>-0.00034930288095855953</x:v>
      </x:c>
      <x:c r="L1306" s="26" t="n">
        <x:v>457</x:v>
      </x:c>
      <x:c r="M1306" s="26" t="n">
        <x:v>943</x:v>
      </x:c>
      <x:c r="N1306" s="26" t="n">
        <x:v>1407</x:v>
      </x:c>
    </x:row>
    <x:row r="1307">
      <x:c r="A1307" s="20" t="str">
        <x:v>T2_CONCORDANT_DOMAIN</x:v>
      </x:c>
      <x:c r="B1307" s="20" t="str">
        <x:v>NYC-V3-R03</x:v>
      </x:c>
      <x:c r="C1307" s="20" t="str">
        <x:v>V3</x:v>
      </x:c>
      <x:c r="D1307" s="20" t="str">
        <x:v>disability_18_64</x:v>
      </x:c>
      <x:c r="E1307" s="20" t="str">
        <x:v>disability</x:v>
      </x:c>
      <x:c r="F1307" s="50" t="n">
        <x:v>2622</x:v>
      </x:c>
      <x:c r="G1307" s="50" t="n">
        <x:v>297.20565270532796</x:v>
      </x:c>
      <x:c r="H1307" s="50" t="n">
        <x:v>2622.069</x:v>
      </x:c>
      <x:c r="I1307" s="50" t="n">
        <x:v>293.44973843571233</x:v>
      </x:c>
      <x:c r="J1307" s="42" t="n">
        <x:v>0.9873625745828613</x:v>
      </x:c>
      <x:c r="K1307" s="42" t="n">
        <x:v>0.00023216247528229811</x:v>
      </x:c>
      <x:c r="L1307" s="26" t="n">
        <x:v>2143</x:v>
      </x:c>
      <x:c r="M1307" s="26" t="n">
        <x:v>2611</x:v>
      </x:c>
      <x:c r="N1307" s="26" t="n">
        <x:v>3118</x:v>
      </x:c>
    </x:row>
    <x:row r="1308">
      <x:c r="A1308" s="20" t="str">
        <x:v>T2_CONCORDANT_DOMAIN</x:v>
      </x:c>
      <x:c r="B1308" s="20" t="str">
        <x:v>NYC-V3-R03</x:v>
      </x:c>
      <x:c r="C1308" s="20" t="str">
        <x:v>V3</x:v>
      </x:c>
      <x:c r="D1308" s="20" t="str">
        <x:v>disability_65_plus</x:v>
      </x:c>
      <x:c r="E1308" s="20" t="str">
        <x:v>disability</x:v>
      </x:c>
      <x:c r="F1308" s="50" t="n">
        <x:v>2273</x:v>
      </x:c>
      <x:c r="G1308" s="50" t="n">
        <x:v>256.72086007958137</x:v>
      </x:c>
      <x:c r="H1308" s="50" t="n">
        <x:v>2273.072</x:v>
      </x:c>
      <x:c r="I1308" s="50" t="n">
        <x:v>258.72492226571717</x:v>
      </x:c>
      <x:c r="J1308" s="42" t="n">
        <x:v>1.007806386226326</x:v>
      </x:c>
      <x:c r="K1308" s="42" t="n">
        <x:v>0.00028046026325167736</x:v>
      </x:c>
      <x:c r="L1308" s="26" t="n">
        <x:v>1852</x:v>
      </x:c>
      <x:c r="M1308" s="26" t="n">
        <x:v>2276</x:v>
      </x:c>
      <x:c r="N1308" s="26" t="n">
        <x:v>2695</x:v>
      </x:c>
    </x:row>
    <x:row r="1309">
      <x:c r="A1309" s="20" t="str">
        <x:v>T2_CONCORDANT_DOMAIN</x:v>
      </x:c>
      <x:c r="B1309" s="20" t="str">
        <x:v>NYC-V3-R03</x:v>
      </x:c>
      <x:c r="C1309" s="20" t="str">
        <x:v>V3</x:v>
      </x:c>
      <x:c r="D1309" s="20" t="str">
        <x:v>hearing_difficulty</x:v>
      </x:c>
      <x:c r="E1309" s="20" t="str">
        <x:v>disability</x:v>
      </x:c>
      <x:c r="F1309" s="50" t="n">
        <x:v>1110</x:v>
      </x:c>
      <x:c r="G1309" s="50" t="n">
        <x:v>253.17306186750068</x:v>
      </x:c>
      <x:c r="H1309" s="50" t="n">
        <x:v>1110.026</x:v>
      </x:c>
      <x:c r="I1309" s="50" t="n">
        <x:v>245.60690559525412</x:v>
      </x:c>
      <x:c r="J1309" s="42" t="n">
        <x:v>0.9701146867030966</x:v>
      </x:c>
      <x:c r="K1309" s="42" t="n">
        <x:v>0.00010269654997368767</x:v>
      </x:c>
      <x:c r="L1309" s="26" t="n">
        <x:v>724</x:v>
      </x:c>
      <x:c r="M1309" s="26" t="n">
        <x:v>1106</x:v>
      </x:c>
      <x:c r="N1309" s="26" t="n">
        <x:v>1534</x:v>
      </x:c>
    </x:row>
    <x:row r="1310">
      <x:c r="A1310" s="20" t="str">
        <x:v>T2_CONCORDANT_DOMAIN</x:v>
      </x:c>
      <x:c r="B1310" s="20" t="str">
        <x:v>NYC-V3-R03</x:v>
      </x:c>
      <x:c r="C1310" s="20" t="str">
        <x:v>V3</x:v>
      </x:c>
      <x:c r="D1310" s="20" t="str">
        <x:v>vision_difficulty</x:v>
      </x:c>
      <x:c r="E1310" s="20" t="str">
        <x:v>disability</x:v>
      </x:c>
      <x:c r="F1310" s="50" t="n">
        <x:v>1279</x:v>
      </x:c>
      <x:c r="G1310" s="50" t="n">
        <x:v>306.603023215739</x:v>
      </x:c>
      <x:c r="H1310" s="50" t="n">
        <x:v>1278.962</x:v>
      </x:c>
      <x:c r="I1310" s="50" t="n">
        <x:v>317.9118470559071</x:v>
      </x:c>
      <x:c r="J1310" s="42" t="n">
        <x:v>1.0368842541784422</x:v>
      </x:c>
      <x:c r="K1310" s="42" t="n">
        <x:v>-0.00012393876486101212</x:v>
      </x:c>
      <x:c r="L1310" s="26" t="n">
        <x:v>749</x:v>
      </x:c>
      <x:c r="M1310" s="26" t="n">
        <x:v>1274</x:v>
      </x:c>
      <x:c r="N1310" s="26" t="n">
        <x:v>1814</x:v>
      </x:c>
    </x:row>
    <x:row r="1311">
      <x:c r="A1311" s="20" t="str">
        <x:v>T2_CONCORDANT_DOMAIN</x:v>
      </x:c>
      <x:c r="B1311" s="20" t="str">
        <x:v>NYC-V3-R03</x:v>
      </x:c>
      <x:c r="C1311" s="20" t="str">
        <x:v>V3</x:v>
      </x:c>
      <x:c r="D1311" s="20" t="str">
        <x:v>cognitive_difficulty</x:v>
      </x:c>
      <x:c r="E1311" s="20" t="str">
        <x:v>disability</x:v>
      </x:c>
      <x:c r="F1311" s="50" t="n">
        <x:v>2202</x:v>
      </x:c>
      <x:c r="G1311" s="50" t="n">
        <x:v>274.5157101201676</x:v>
      </x:c>
      <x:c r="H1311" s="50" t="n">
        <x:v>2202.175</x:v>
      </x:c>
      <x:c r="I1311" s="50" t="n">
        <x:v>277.58856566290115</x:v>
      </x:c>
      <x:c r="J1311" s="42" t="n">
        <x:v>1.011193732924751</x:v>
      </x:c>
      <x:c r="K1311" s="42" t="n">
        <x:v>0.0006374862842041961</x:v>
      </x:c>
      <x:c r="L1311" s="26" t="n">
        <x:v>1749</x:v>
      </x:c>
      <x:c r="M1311" s="26" t="n">
        <x:v>2201</x:v>
      </x:c>
      <x:c r="N1311" s="26" t="n">
        <x:v>2652</x:v>
      </x:c>
    </x:row>
    <x:row r="1312">
      <x:c r="A1312" s="20" t="str">
        <x:v>T2_CONCORDANT_DOMAIN</x:v>
      </x:c>
      <x:c r="B1312" s="20" t="str">
        <x:v>NYC-V3-R03</x:v>
      </x:c>
      <x:c r="C1312" s="20" t="str">
        <x:v>V3</x:v>
      </x:c>
      <x:c r="D1312" s="20" t="str">
        <x:v>ambulatory_difficulty</x:v>
      </x:c>
      <x:c r="E1312" s="20" t="str">
        <x:v>disability</x:v>
      </x:c>
      <x:c r="F1312" s="50" t="n">
        <x:v>2988</x:v>
      </x:c>
      <x:c r="G1312" s="50" t="n">
        <x:v>318.88250566637026</x:v>
      </x:c>
      <x:c r="H1312" s="50" t="n">
        <x:v>2987.996</x:v>
      </x:c>
      <x:c r="I1312" s="50" t="n">
        <x:v>318.4408871087106</x:v>
      </x:c>
      <x:c r="J1312" s="42" t="n">
        <x:v>0.9986151057213478</x:v>
      </x:c>
      <x:c r="K1312" s="42" t="n">
        <x:v>-0.000012543805096948149</x:v>
      </x:c>
      <x:c r="L1312" s="26" t="n">
        <x:v>2478</x:v>
      </x:c>
      <x:c r="M1312" s="26" t="n">
        <x:v>2985</x:v>
      </x:c>
      <x:c r="N1312" s="26" t="n">
        <x:v>3496</x:v>
      </x:c>
    </x:row>
    <x:row r="1313">
      <x:c r="A1313" s="20" t="str">
        <x:v>T2_CONCORDANT_DOMAIN</x:v>
      </x:c>
      <x:c r="B1313" s="20" t="str">
        <x:v>NYC-V3-R03</x:v>
      </x:c>
      <x:c r="C1313" s="20" t="str">
        <x:v>V3</x:v>
      </x:c>
      <x:c r="D1313" s="20" t="str">
        <x:v>self_care_difficulty</x:v>
      </x:c>
      <x:c r="E1313" s="20" t="str">
        <x:v>disability</x:v>
      </x:c>
      <x:c r="F1313" s="50" t="n">
        <x:v>1376</x:v>
      </x:c>
      <x:c r="G1313" s="50" t="n">
        <x:v>231.93381511246267</x:v>
      </x:c>
      <x:c r="H1313" s="50" t="n">
        <x:v>1375.991</x:v>
      </x:c>
      <x:c r="I1313" s="50" t="n">
        <x:v>230.70068861346454</x:v>
      </x:c>
      <x:c r="J1313" s="42" t="n">
        <x:v>0.9946832828218679</x:v>
      </x:c>
      <x:c r="K1313" s="42" t="n">
        <x:v>-0.00003880417349083199</x:v>
      </x:c>
      <x:c r="L1313" s="26" t="n">
        <x:v>997</x:v>
      </x:c>
      <x:c r="M1313" s="26" t="n">
        <x:v>1379</x:v>
      </x:c>
      <x:c r="N1313" s="26" t="n">
        <x:v>1746</x:v>
      </x:c>
    </x:row>
    <x:row r="1314">
      <x:c r="A1314" s="20" t="str">
        <x:v>T2_CONCORDANT_DOMAIN</x:v>
      </x:c>
      <x:c r="B1314" s="20" t="str">
        <x:v>NYC-V3-R03</x:v>
      </x:c>
      <x:c r="C1314" s="20" t="str">
        <x:v>V3</x:v>
      </x:c>
      <x:c r="D1314" s="20" t="str">
        <x:v>independent_living_difficulty</x:v>
      </x:c>
      <x:c r="E1314" s="20" t="str">
        <x:v>disability</x:v>
      </x:c>
      <x:c r="F1314" s="50" t="n">
        <x:v>2068</x:v>
      </x:c>
      <x:c r="G1314" s="50" t="n">
        <x:v>241.8742545140352</x:v>
      </x:c>
      <x:c r="H1314" s="50" t="n">
        <x:v>2068.056</x:v>
      </x:c>
      <x:c r="I1314" s="50" t="n">
        <x:v>244.1992549950555</x:v>
      </x:c>
      <x:c r="J1314" s="42" t="n">
        <x:v>1.009612434716095</x:v>
      </x:c>
      <x:c r="K1314" s="42" t="n">
        <x:v>0.00023152526139068894</x:v>
      </x:c>
      <x:c r="L1314" s="26" t="n">
        <x:v>1685</x:v>
      </x:c>
      <x:c r="M1314" s="26" t="n">
        <x:v>2071</x:v>
      </x:c>
      <x:c r="N1314" s="26" t="n">
        <x:v>2459</x:v>
      </x:c>
    </x:row>
    <x:row r="1315">
      <x:c r="A1315" s="20" t="str">
        <x:v>T2_CONCORDANT_DOMAIN</x:v>
      </x:c>
      <x:c r="B1315" s="20" t="str">
        <x:v>NYC-V3-R03</x:v>
      </x:c>
      <x:c r="C1315" s="20" t="str">
        <x:v>V3</x:v>
      </x:c>
      <x:c r="D1315" s="20" t="str">
        <x:v>households</x:v>
      </x:c>
      <x:c r="E1315" s="20" t="str">
        <x:v>household</x:v>
      </x:c>
      <x:c r="F1315" s="50" t="n">
        <x:v>15672</x:v>
      </x:c>
      <x:c r="G1315" s="50" t="n">
        <x:v>376.3787985527347</x:v>
      </x:c>
      <x:c r="H1315" s="50" t="n">
        <x:v>15673.182</x:v>
      </x:c>
      <x:c r="I1315" s="50" t="n">
        <x:v>368.7378967674905</x:v>
      </x:c>
      <x:c r="J1315" s="42" t="n">
        <x:v>0.9796989048941511</x:v>
      </x:c>
      <x:c r="K1315" s="42" t="n">
        <x:v>0.003140453193819013</x:v>
      </x:c>
      <x:c r="L1315" s="26" t="n">
        <x:v>15060</x:v>
      </x:c>
      <x:c r="M1315" s="26" t="n">
        <x:v>15663</x:v>
      </x:c>
      <x:c r="N1315" s="26" t="n">
        <x:v>16268</x:v>
      </x:c>
    </x:row>
    <x:row r="1316">
      <x:c r="A1316" s="20" t="str">
        <x:v>T2_CONCORDANT_DOMAIN</x:v>
      </x:c>
      <x:c r="B1316" s="20" t="str">
        <x:v>NYC-V3-R03</x:v>
      </x:c>
      <x:c r="C1316" s="20" t="str">
        <x:v>V3</x:v>
      </x:c>
      <x:c r="D1316" s="20" t="str">
        <x:v>family_households</x:v>
      </x:c>
      <x:c r="E1316" s="20" t="str">
        <x:v>household</x:v>
      </x:c>
      <x:c r="F1316" s="50" t="n">
        <x:v>9534</x:v>
      </x:c>
      <x:c r="G1316" s="50" t="n">
        <x:v>418.88172555030377</x:v>
      </x:c>
      <x:c r="H1316" s="50" t="n">
        <x:v>9535.064</x:v>
      </x:c>
      <x:c r="I1316" s="50" t="n">
        <x:v>438.555361053435</x:v>
      </x:c>
      <x:c r="J1316" s="42" t="n">
        <x:v>1.046967041776017</x:v>
      </x:c>
      <x:c r="K1316" s="42" t="n">
        <x:v>0.0025400964881016974</x:v>
      </x:c>
      <x:c r="L1316" s="26" t="n">
        <x:v>8818</x:v>
      </x:c>
      <x:c r="M1316" s="26" t="n">
        <x:v>9535</x:v>
      </x:c>
      <x:c r="N1316" s="26" t="n">
        <x:v>10283</x:v>
      </x:c>
    </x:row>
    <x:row r="1317">
      <x:c r="A1317" s="20" t="str">
        <x:v>T2_CONCORDANT_DOMAIN</x:v>
      </x:c>
      <x:c r="B1317" s="20" t="str">
        <x:v>NYC-V3-R03</x:v>
      </x:c>
      <x:c r="C1317" s="20" t="str">
        <x:v>V3</x:v>
      </x:c>
      <x:c r="D1317" s="20" t="str">
        <x:v>nonfamily_households</x:v>
      </x:c>
      <x:c r="E1317" s="20" t="str">
        <x:v>household</x:v>
      </x:c>
      <x:c r="F1317" s="50" t="n">
        <x:v>6138</x:v>
      </x:c>
      <x:c r="G1317" s="50" t="n">
        <x:v>369.4073632184394</x:v>
      </x:c>
      <x:c r="H1317" s="50" t="n">
        <x:v>6138.118</x:v>
      </x:c>
      <x:c r="I1317" s="50" t="n">
        <x:v>367.30211395922964</x:v>
      </x:c>
      <x:c r="J1317" s="42" t="n">
        <x:v>0.9943010089434388</x:v>
      </x:c>
      <x:c r="K1317" s="42" t="n">
        <x:v>0.00031943055756205024</x:v>
      </x:c>
      <x:c r="L1317" s="26" t="n">
        <x:v>5525</x:v>
      </x:c>
      <x:c r="M1317" s="26" t="n">
        <x:v>6136</x:v>
      </x:c>
      <x:c r="N1317" s="26" t="n">
        <x:v>6730</x:v>
      </x:c>
    </x:row>
    <x:row r="1318">
      <x:c r="A1318" s="20" t="str">
        <x:v>T2_CONCORDANT_DOMAIN</x:v>
      </x:c>
      <x:c r="B1318" s="20" t="str">
        <x:v>NYC-V3-R03</x:v>
      </x:c>
      <x:c r="C1318" s="20" t="str">
        <x:v>V3</x:v>
      </x:c>
      <x:c r="D1318" s="20" t="str">
        <x:v>living_alone_households</x:v>
      </x:c>
      <x:c r="E1318" s="20" t="str">
        <x:v>household</x:v>
      </x:c>
      <x:c r="F1318" s="50" t="n">
        <x:v>5489</x:v>
      </x:c>
      <x:c r="G1318" s="50" t="n">
        <x:v>372.8668663209431</x:v>
      </x:c>
      <x:c r="H1318" s="50" t="n">
        <x:v>5489.127</x:v>
      </x:c>
      <x:c r="I1318" s="50" t="n">
        <x:v>369.4072232206181</x:v>
      </x:c>
      <x:c r="J1318" s="42" t="n">
        <x:v>0.9907215056825481</x:v>
      </x:c>
      <x:c r="K1318" s="42" t="n">
        <x:v>0.00034060414445914565</x:v>
      </x:c>
      <x:c r="L1318" s="26" t="n">
        <x:v>4872</x:v>
      </x:c>
      <x:c r="M1318" s="26" t="n">
        <x:v>5483</x:v>
      </x:c>
      <x:c r="N1318" s="26" t="n">
        <x:v>6082</x:v>
      </x:c>
    </x:row>
    <x:row r="1319">
      <x:c r="A1319" s="20" t="str">
        <x:v>T2_CONCORDANT_DOMAIN</x:v>
      </x:c>
      <x:c r="B1319" s="20" t="str">
        <x:v>NYC-V3-R03</x:v>
      </x:c>
      <x:c r="C1319" s="20" t="str">
        <x:v>V3</x:v>
      </x:c>
      <x:c r="D1319" s="20" t="str">
        <x:v>households_with_children</x:v>
      </x:c>
      <x:c r="E1319" s="20" t="str">
        <x:v>household</x:v>
      </x:c>
      <x:c r="F1319" s="50" t="n">
        <x:v>4530</x:v>
      </x:c>
      <x:c r="G1319" s="50" t="n">
        <x:v>328.87816893190103</x:v>
      </x:c>
      <x:c r="H1319" s="50" t="n">
        <x:v>4530.023</x:v>
      </x:c>
      <x:c r="I1319" s="50" t="n">
        <x:v>322.21057109151945</x:v>
      </x:c>
      <x:c r="J1319" s="42" t="n">
        <x:v>0.9797262376458858</x:v>
      </x:c>
      <x:c r="K1319" s="42" t="n">
        <x:v>0.00006993471191728973</x:v>
      </x:c>
      <x:c r="L1319" s="26" t="n">
        <x:v>4003</x:v>
      </x:c>
      <x:c r="M1319" s="26" t="n">
        <x:v>4531</x:v>
      </x:c>
      <x:c r="N1319" s="26" t="n">
        <x:v>5049</x:v>
      </x:c>
    </x:row>
    <x:row r="1320">
      <x:c r="A1320" s="20" t="str">
        <x:v>T2_CONCORDANT_DOMAIN</x:v>
      </x:c>
      <x:c r="B1320" s="20" t="str">
        <x:v>NYC-V3-R03</x:v>
      </x:c>
      <x:c r="C1320" s="20" t="str">
        <x:v>V3</x:v>
      </x:c>
      <x:c r="D1320" s="20" t="str">
        <x:v>households_with_age65</x:v>
      </x:c>
      <x:c r="E1320" s="20" t="str">
        <x:v>household</x:v>
      </x:c>
      <x:c r="F1320" s="50" t="n">
        <x:v>5862</x:v>
      </x:c>
      <x:c r="G1320" s="50" t="n">
        <x:v>375.81717629719907</x:v>
      </x:c>
      <x:c r="H1320" s="50" t="n">
        <x:v>5862.144</x:v>
      </x:c>
      <x:c r="I1320" s="50" t="n">
        <x:v>385.1069729888627</x:v>
      </x:c>
      <x:c r="J1320" s="42" t="n">
        <x:v>1.0247189252582676</x:v>
      </x:c>
      <x:c r="K1320" s="42" t="n">
        <x:v>0.0003831650309839924</x:v>
      </x:c>
      <x:c r="L1320" s="26" t="n">
        <x:v>5218</x:v>
      </x:c>
      <x:c r="M1320" s="26" t="n">
        <x:v>5882</x:v>
      </x:c>
      <x:c r="N1320" s="26" t="n">
        <x:v>6484</x:v>
      </x:c>
    </x:row>
    <x:row r="1321">
      <x:c r="A1321" s="20" t="str">
        <x:v>T2_CONCORDANT_DOMAIN</x:v>
      </x:c>
      <x:c r="B1321" s="20" t="str">
        <x:v>NYC-V3-R03</x:v>
      </x:c>
      <x:c r="C1321" s="20" t="str">
        <x:v>V3</x:v>
      </x:c>
      <x:c r="D1321" s="20" t="str">
        <x:v>age65_one_person_households</x:v>
      </x:c>
      <x:c r="E1321" s="20" t="str">
        <x:v>household</x:v>
      </x:c>
      <x:c r="F1321" s="50" t="n">
        <x:v>2434</x:v>
      </x:c>
      <x:c r="G1321" s="50" t="n">
        <x:v>294.8548795594199</x:v>
      </x:c>
      <x:c r="H1321" s="50" t="n">
        <x:v>2433.866</x:v>
      </x:c>
      <x:c r="I1321" s="50" t="n">
        <x:v>288.9118587149134</x:v>
      </x:c>
      <x:c r="J1321" s="42" t="n">
        <x:v>0.9798442513368384</x:v>
      </x:c>
      <x:c r="K1321" s="42" t="n">
        <x:v>-0.00045446085274302047</x:v>
      </x:c>
      <x:c r="L1321" s="26" t="n">
        <x:v>1950</x:v>
      </x:c>
      <x:c r="M1321" s="26" t="n">
        <x:v>2433</x:v>
      </x:c>
      <x:c r="N1321" s="26" t="n">
        <x:v>2898</x:v>
      </x:c>
    </x:row>
    <x:row r="1322">
      <x:c r="A1322" s="20" t="str">
        <x:v>T2_CONCORDANT_DOMAIN</x:v>
      </x:c>
      <x:c r="B1322" s="20" t="str">
        <x:v>NYC-V3-R03</x:v>
      </x:c>
      <x:c r="C1322" s="20" t="str">
        <x:v>V3</x:v>
      </x:c>
      <x:c r="D1322" s="20" t="str">
        <x:v>no_vehicle_households</x:v>
      </x:c>
      <x:c r="E1322" s="20" t="str">
        <x:v>household</x:v>
      </x:c>
      <x:c r="F1322" s="50" t="n">
        <x:v>4684</x:v>
      </x:c>
      <x:c r="G1322" s="50" t="n">
        <x:v>387.6012821556878</x:v>
      </x:c>
      <x:c r="H1322" s="50" t="n">
        <x:v>4683.904</x:v>
      </x:c>
      <x:c r="I1322" s="50" t="n">
        <x:v>373.2827035381639</x:v>
      </x:c>
      <x:c r="J1322" s="42" t="n">
        <x:v>0.9630584849000253</x:v>
      </x:c>
      <x:c r="K1322" s="42" t="n">
        <x:v>-0.0002476771992745591</x:v>
      </x:c>
      <x:c r="L1322" s="26" t="n">
        <x:v>4074</x:v>
      </x:c>
      <x:c r="M1322" s="26" t="n">
        <x:v>4681</x:v>
      </x:c>
      <x:c r="N1322" s="26" t="n">
        <x:v>5308</x:v>
      </x:c>
    </x:row>
    <x:row r="1323">
      <x:c r="A1323" s="20" t="str">
        <x:v>T2_CONCORDANT_DOMAIN</x:v>
      </x:c>
      <x:c r="B1323" s="20" t="str">
        <x:v>NYC-V3-R03</x:v>
      </x:c>
      <x:c r="C1323" s="20" t="str">
        <x:v>V3</x:v>
      </x:c>
      <x:c r="D1323" s="20" t="str">
        <x:v>limited_english_households</x:v>
      </x:c>
      <x:c r="E1323" s="20" t="str">
        <x:v>household</x:v>
      </x:c>
      <x:c r="F1323" s="50" t="n">
        <x:v>1191</x:v>
      </x:c>
      <x:c r="G1323" s="50" t="n">
        <x:v>184.08113917364267</x:v>
      </x:c>
      <x:c r="H1323" s="50" t="n">
        <x:v>1191.004</x:v>
      </x:c>
      <x:c r="I1323" s="50" t="n">
        <x:v>185.37540296388843</x:v>
      </x:c>
      <x:c r="J1323" s="42" t="n">
        <x:v>1.0070309418773473</x:v>
      </x:c>
      <x:c r="K1323" s="42" t="n">
        <x:v>0.000021729548273450415</x:v>
      </x:c>
      <x:c r="L1323" s="26" t="n">
        <x:v>896</x:v>
      </x:c>
      <x:c r="M1323" s="26" t="n">
        <x:v>1189</x:v>
      </x:c>
      <x:c r="N1323" s="26" t="n">
        <x:v>1496</x:v>
      </x:c>
    </x:row>
    <x:row r="1324">
      <x:c r="A1324" s="20" t="str">
        <x:v>T2_CONCORDANT_DOMAIN</x:v>
      </x:c>
      <x:c r="B1324" s="20" t="str">
        <x:v>NYC-V3-R03</x:v>
      </x:c>
      <x:c r="C1324" s="20" t="str">
        <x:v>V3</x:v>
      </x:c>
      <x:c r="D1324" s="20" t="str">
        <x:v>housing_units</x:v>
      </x:c>
      <x:c r="E1324" s="20" t="str">
        <x:v>housing</x:v>
      </x:c>
      <x:c r="F1324" s="50" t="n">
        <x:v>17049</x:v>
      </x:c>
      <x:c r="G1324" s="50" t="n">
        <x:v>388.57303045888295</x:v>
      </x:c>
      <x:c r="H1324" s="50" t="n">
        <x:v>17050.284</x:v>
      </x:c>
      <x:c r="I1324" s="50" t="n">
        <x:v>476.6797992100934</x:v>
      </x:c>
      <x:c r="J1324" s="42" t="n">
        <x:v>1.22674442600188</x:v>
      </x:c>
      <x:c r="K1324" s="42" t="n">
        <x:v>0.003304398142308844</x:v>
      </x:c>
      <x:c r="L1324" s="26" t="n">
        <x:v>16254</x:v>
      </x:c>
      <x:c r="M1324" s="26" t="n">
        <x:v>17036</x:v>
      </x:c>
      <x:c r="N1324" s="26" t="n">
        <x:v>17842</x:v>
      </x:c>
    </x:row>
    <x:row r="1325">
      <x:c r="A1325" s="20" t="str">
        <x:v>T2_CONCORDANT_DOMAIN</x:v>
      </x:c>
      <x:c r="B1325" s="20" t="str">
        <x:v>NYC-V3-R03</x:v>
      </x:c>
      <x:c r="C1325" s="20" t="str">
        <x:v>V3</x:v>
      </x:c>
      <x:c r="D1325" s="20" t="str">
        <x:v>occupied_housing_units</x:v>
      </x:c>
      <x:c r="E1325" s="20" t="str">
        <x:v>housing</x:v>
      </x:c>
      <x:c r="F1325" s="50" t="n">
        <x:v>15672</x:v>
      </x:c>
      <x:c r="G1325" s="50" t="n">
        <x:v>376.3787985527347</x:v>
      </x:c>
      <x:c r="H1325" s="50" t="n">
        <x:v>15673.182</x:v>
      </x:c>
      <x:c r="I1325" s="50" t="n">
        <x:v>368.7378967674905</x:v>
      </x:c>
      <x:c r="J1325" s="42" t="n">
        <x:v>0.9796989048941511</x:v>
      </x:c>
      <x:c r="K1325" s="42" t="n">
        <x:v>0.003140453193819013</x:v>
      </x:c>
      <x:c r="L1325" s="26" t="n">
        <x:v>15060</x:v>
      </x:c>
      <x:c r="M1325" s="26" t="n">
        <x:v>15663</x:v>
      </x:c>
      <x:c r="N1325" s="26" t="n">
        <x:v>16268</x:v>
      </x:c>
    </x:row>
    <x:row r="1326">
      <x:c r="A1326" s="20" t="str">
        <x:v>T2_CONCORDANT_DOMAIN</x:v>
      </x:c>
      <x:c r="B1326" s="20" t="str">
        <x:v>NYC-V3-R03</x:v>
      </x:c>
      <x:c r="C1326" s="20" t="str">
        <x:v>V3</x:v>
      </x:c>
      <x:c r="D1326" s="20" t="str">
        <x:v>vacant_housing_units</x:v>
      </x:c>
      <x:c r="E1326" s="20" t="str">
        <x:v>housing</x:v>
      </x:c>
      <x:c r="F1326" s="50" t="n">
        <x:v>1377</x:v>
      </x:c>
      <x:c r="G1326" s="50" t="n">
        <x:v>223.23216614099323</x:v>
      </x:c>
      <x:c r="H1326" s="50" t="n">
        <x:v>1377.102</x:v>
      </x:c>
      <x:c r="I1326" s="50" t="n">
        <x:v>217.0067591793618</x:v>
      </x:c>
      <x:c r="J1326" s="42" t="n">
        <x:v>0.9721124107280334</x:v>
      </x:c>
      <x:c r="K1326" s="42" t="n">
        <x:v>0.00045692339846608855</x:v>
      </x:c>
      <x:c r="L1326" s="26" t="n">
        <x:v>1012</x:v>
      </x:c>
      <x:c r="M1326" s="26" t="n">
        <x:v>1380</x:v>
      </x:c>
      <x:c r="N1326" s="26" t="n">
        <x:v>1744</x:v>
      </x:c>
    </x:row>
    <x:row r="1327">
      <x:c r="A1327" s="20" t="str">
        <x:v>T2_CONCORDANT_DOMAIN</x:v>
      </x:c>
      <x:c r="B1327" s="20" t="str">
        <x:v>NYC-V3-R03</x:v>
      </x:c>
      <x:c r="C1327" s="20" t="str">
        <x:v>V3</x:v>
      </x:c>
      <x:c r="D1327" s="20" t="str">
        <x:v>owner_occupied_units</x:v>
      </x:c>
      <x:c r="E1327" s="20" t="str">
        <x:v>housing</x:v>
      </x:c>
      <x:c r="F1327" s="50" t="n">
        <x:v>7561</x:v>
      </x:c>
      <x:c r="G1327" s="50" t="n">
        <x:v>381.9206690121956</x:v>
      </x:c>
      <x:c r="H1327" s="50" t="n">
        <x:v>7560.97</x:v>
      </x:c>
      <x:c r="I1327" s="50" t="n">
        <x:v>281.1442711513098</x:v>
      </x:c>
      <x:c r="J1327" s="42" t="n">
        <x:v>0.7361326420967602</x:v>
      </x:c>
      <x:c r="K1327" s="42" t="n">
        <x:v>-0.00007855034417838059</x:v>
      </x:c>
      <x:c r="L1327" s="26" t="n">
        <x:v>7092</x:v>
      </x:c>
      <x:c r="M1327" s="26" t="n">
        <x:v>7561</x:v>
      </x:c>
      <x:c r="N1327" s="26" t="n">
        <x:v>8034</x:v>
      </x:c>
    </x:row>
    <x:row r="1328">
      <x:c r="A1328" s="20" t="str">
        <x:v>T2_CONCORDANT_DOMAIN</x:v>
      </x:c>
      <x:c r="B1328" s="20" t="str">
        <x:v>NYC-V3-R03</x:v>
      </x:c>
      <x:c r="C1328" s="20" t="str">
        <x:v>V3</x:v>
      </x:c>
      <x:c r="D1328" s="20" t="str">
        <x:v>renter_occupied_units</x:v>
      </x:c>
      <x:c r="E1328" s="20" t="str">
        <x:v>housing</x:v>
      </x:c>
      <x:c r="F1328" s="50" t="n">
        <x:v>8111</x:v>
      </x:c>
      <x:c r="G1328" s="50" t="n">
        <x:v>401.8494581782876</x:v>
      </x:c>
      <x:c r="H1328" s="50" t="n">
        <x:v>8112.212</x:v>
      </x:c>
      <x:c r="I1328" s="50" t="n">
        <x:v>283.6368821873082</x:v>
      </x:c>
      <x:c r="J1328" s="42" t="n">
        <x:v>0.705828703796504</x:v>
      </x:c>
      <x:c r="K1328" s="42" t="n">
        <x:v>0.0030160548318139543</x:v>
      </x:c>
      <x:c r="L1328" s="26" t="n">
        <x:v>7668</x:v>
      </x:c>
      <x:c r="M1328" s="26" t="n">
        <x:v>8107</x:v>
      </x:c>
      <x:c r="N1328" s="26" t="n">
        <x:v>8577</x:v>
      </x:c>
    </x:row>
    <x:row r="1329">
      <x:c r="A1329" s="20" t="str">
        <x:v>T2_CONCORDANT_DOMAIN</x:v>
      </x:c>
      <x:c r="B1329" s="20" t="str">
        <x:v>NYC-V3-R03</x:v>
      </x:c>
      <x:c r="C1329" s="20" t="str">
        <x:v>V3</x:v>
      </x:c>
      <x:c r="D1329" s="20" t="str">
        <x:v>one_unit_structures</x:v>
      </x:c>
      <x:c r="E1329" s="20" t="str">
        <x:v>housing</x:v>
      </x:c>
      <x:c r="F1329" s="50" t="n">
        <x:v>4303</x:v>
      </x:c>
      <x:c r="G1329" s="50" t="n">
        <x:v>315.86499785647584</x:v>
      </x:c>
      <x:c r="H1329" s="50" t="n">
        <x:v>4302.913</x:v>
      </x:c>
      <x:c r="I1329" s="50" t="n">
        <x:v>224.73963454258424</x:v>
      </x:c>
      <x:c r="J1329" s="42" t="n">
        <x:v>0.7115053458525419</x:v>
      </x:c>
      <x:c r="K1329" s="42" t="n">
        <x:v>-0.0002754341272089137</x:v>
      </x:c>
      <x:c r="L1329" s="26" t="n">
        <x:v>3937</x:v>
      </x:c>
      <x:c r="M1329" s="26" t="n">
        <x:v>4302</x:v>
      </x:c>
      <x:c r="N1329" s="26" t="n">
        <x:v>4667</x:v>
      </x:c>
    </x:row>
    <x:row r="1330">
      <x:c r="A1330" s="20" t="str">
        <x:v>T2_CONCORDANT_DOMAIN</x:v>
      </x:c>
      <x:c r="B1330" s="20" t="str">
        <x:v>NYC-V3-R03</x:v>
      </x:c>
      <x:c r="C1330" s="20" t="str">
        <x:v>V3</x:v>
      </x:c>
      <x:c r="D1330" s="20" t="str">
        <x:v>two_to_four_unit_structures</x:v>
      </x:c>
      <x:c r="E1330" s="20" t="str">
        <x:v>housing</x:v>
      </x:c>
      <x:c r="F1330" s="50" t="n">
        <x:v>3731</x:v>
      </x:c>
      <x:c r="G1330" s="50" t="n">
        <x:v>310.8452251862967</x:v>
      </x:c>
      <x:c r="H1330" s="50" t="n">
        <x:v>3730.995</x:v>
      </x:c>
      <x:c r="I1330" s="50" t="n">
        <x:v>225.24991564815178</x:v>
      </x:c>
      <x:c r="J1330" s="42" t="n">
        <x:v>0.7246368848456795</x:v>
      </x:c>
      <x:c r="K1330" s="42" t="n">
        <x:v>-0.000016085175498875763</x:v>
      </x:c>
      <x:c r="L1330" s="26" t="n">
        <x:v>3363</x:v>
      </x:c>
      <x:c r="M1330" s="26" t="n">
        <x:v>3730</x:v>
      </x:c>
      <x:c r="N1330" s="26" t="n">
        <x:v>4114</x:v>
      </x:c>
    </x:row>
    <x:row r="1331">
      <x:c r="A1331" s="20" t="str">
        <x:v>T2_CONCORDANT_DOMAIN</x:v>
      </x:c>
      <x:c r="B1331" s="20" t="str">
        <x:v>NYC-V3-R03</x:v>
      </x:c>
      <x:c r="C1331" s="20" t="str">
        <x:v>V3</x:v>
      </x:c>
      <x:c r="D1331" s="20" t="str">
        <x:v>five_to_nineteen_unit_structures</x:v>
      </x:c>
      <x:c r="E1331" s="20" t="str">
        <x:v>housing</x:v>
      </x:c>
      <x:c r="F1331" s="50" t="n">
        <x:v>994</x:v>
      </x:c>
      <x:c r="G1331" s="50" t="n">
        <x:v>197.12927586925218</x:v>
      </x:c>
      <x:c r="H1331" s="50" t="n">
        <x:v>993.94</x:v>
      </x:c>
      <x:c r="I1331" s="50" t="n">
        <x:v>159.28962799123357</x:v>
      </x:c>
      <x:c r="J1331" s="42" t="n">
        <x:v>0.8080465333666822</x:v>
      </x:c>
      <x:c r="K1331" s="42" t="n">
        <x:v>-0.000304368794210663</x:v>
      </x:c>
      <x:c r="L1331" s="26" t="n">
        <x:v>735</x:v>
      </x:c>
      <x:c r="M1331" s="26" t="n">
        <x:v>993</x:v>
      </x:c>
      <x:c r="N1331" s="26" t="n">
        <x:v>1250</x:v>
      </x:c>
    </x:row>
    <x:row r="1332">
      <x:c r="A1332" s="20" t="str">
        <x:v>T2_CONCORDANT_DOMAIN</x:v>
      </x:c>
      <x:c r="B1332" s="20" t="str">
        <x:v>NYC-V3-R03</x:v>
      </x:c>
      <x:c r="C1332" s="20" t="str">
        <x:v>V3</x:v>
      </x:c>
      <x:c r="D1332" s="20" t="str">
        <x:v>twenty_to_forty_nine_unit_structures</x:v>
      </x:c>
      <x:c r="E1332" s="20" t="str">
        <x:v>housing</x:v>
      </x:c>
      <x:c r="F1332" s="50" t="n">
        <x:v>1126</x:v>
      </x:c>
      <x:c r="G1332" s="50" t="n">
        <x:v>183.66410732384753</x:v>
      </x:c>
      <x:c r="H1332" s="50" t="n">
        <x:v>1125.962</x:v>
      </x:c>
      <x:c r="I1332" s="50" t="n">
        <x:v>145.93396204200474</x:v>
      </x:c>
      <x:c r="J1332" s="42" t="n">
        <x:v>0.7945698491033159</x:v>
      </x:c>
      <x:c r="K1332" s="42" t="n">
        <x:v>-0.00020689943480903998</x:v>
      </x:c>
      <x:c r="L1332" s="26" t="n">
        <x:v>886</x:v>
      </x:c>
      <x:c r="M1332" s="26" t="n">
        <x:v>1125</x:v>
      </x:c>
      <x:c r="N1332" s="26" t="n">
        <x:v>1365</x:v>
      </x:c>
    </x:row>
    <x:row r="1333">
      <x:c r="A1333" s="20" t="str">
        <x:v>T2_CONCORDANT_DOMAIN</x:v>
      </x:c>
      <x:c r="B1333" s="20" t="str">
        <x:v>NYC-V3-R03</x:v>
      </x:c>
      <x:c r="C1333" s="20" t="str">
        <x:v>V3</x:v>
      </x:c>
      <x:c r="D1333" s="20" t="str">
        <x:v>fifty_plus_unit_structures</x:v>
      </x:c>
      <x:c r="E1333" s="20" t="str">
        <x:v>housing</x:v>
      </x:c>
      <x:c r="F1333" s="50" t="n">
        <x:v>5383</x:v>
      </x:c>
      <x:c r="G1333" s="50" t="n">
        <x:v>383.9279980414092</x:v>
      </x:c>
      <x:c r="H1333" s="50" t="n">
        <x:v>5380.427</x:v>
      </x:c>
      <x:c r="I1333" s="50" t="n">
        <x:v>257.4575364095098</x:v>
      </x:c>
      <x:c r="J1333" s="42" t="n">
        <x:v>0.6705880730838008</x:v>
      </x:c>
      <x:c r="K1333" s="42" t="n">
        <x:v>-0.006701777450788585</x:v>
      </x:c>
      <x:c r="L1333" s="26" t="n">
        <x:v>4955</x:v>
      </x:c>
      <x:c r="M1333" s="26" t="n">
        <x:v>5386</x:v>
      </x:c>
      <x:c r="N1333" s="26" t="n">
        <x:v>5796</x:v>
      </x:c>
    </x:row>
    <x:row r="1334">
      <x:c r="A1334" s="20" t="str">
        <x:v>T2_CONCORDANT_DOMAIN</x:v>
      </x:c>
      <x:c r="B1334" s="20" t="str">
        <x:v>NYC-V3-R03</x:v>
      </x:c>
      <x:c r="C1334" s="20" t="str">
        <x:v>V3</x:v>
      </x:c>
      <x:c r="D1334" s="20" t="str">
        <x:v>mobile_or_other_units</x:v>
      </x:c>
      <x:c r="E1334" s="20" t="str">
        <x:v>housing</x:v>
      </x:c>
      <x:c r="F1334" s="50" t="n">
        <x:v>135</x:v>
      </x:c>
      <x:c r="G1334" s="50" t="n">
        <x:v>122.05227634104897</x:v>
      </x:c>
      <x:c r="H1334" s="50" t="n">
        <x:v>138.945</x:v>
      </x:c>
      <x:c r="I1334" s="50" t="n">
        <x:v>96.3487574287186</x:v>
      </x:c>
      <x:c r="J1334" s="42" t="n">
        <x:v>0.7894056572897716</x:v>
      </x:c>
      <x:c r="K1334" s="42" t="n">
        <x:v>0.032322215678931995</x:v>
      </x:c>
      <x:c r="L1334" s="26" t="n">
        <x:v>0</x:v>
      </x:c>
      <x:c r="M1334" s="26" t="n">
        <x:v>132</x:v>
      </x:c>
      <x:c r="N1334" s="26" t="n">
        <x:v>303</x:v>
      </x:c>
    </x:row>
    <x:row r="1335">
      <x:c r="A1335" s="20" t="str">
        <x:v>T2_CONCORDANT_DOMAIN</x:v>
      </x:c>
      <x:c r="B1335" s="20" t="str">
        <x:v>NYC-V3-R03</x:v>
      </x:c>
      <x:c r="C1335" s="20" t="str">
        <x:v>V3</x:v>
      </x:c>
      <x:c r="D1335" s="20" t="str">
        <x:v>electric_heat_households</x:v>
      </x:c>
      <x:c r="E1335" s="20" t="str">
        <x:v>housing</x:v>
      </x:c>
      <x:c r="F1335" s="50" t="n">
        <x:v>1657</x:v>
      </x:c>
      <x:c r="G1335" s="50" t="n">
        <x:v>228.49354476658635</x:v>
      </x:c>
      <x:c r="H1335" s="50" t="n">
        <x:v>1657.05</x:v>
      </x:c>
      <x:c r="I1335" s="50" t="n">
        <x:v>230.5099180563004</x:v>
      </x:c>
      <x:c r="J1335" s="42" t="n">
        <x:v>1.0088246400648817</x:v>
      </x:c>
      <x:c r="K1335" s="42" t="n">
        <x:v>0.00021882456264150116</x:v>
      </x:c>
      <x:c r="L1335" s="26" t="n">
        <x:v>1295</x:v>
      </x:c>
      <x:c r="M1335" s="26" t="n">
        <x:v>1649</x:v>
      </x:c>
      <x:c r="N1335" s="26" t="n">
        <x:v>2063</x:v>
      </x:c>
    </x:row>
    <x:row r="1336">
      <x:c r="A1336" s="20" t="str">
        <x:v>T2_CONCORDANT_DOMAIN</x:v>
      </x:c>
      <x:c r="B1336" s="20" t="str">
        <x:v>NYC-V3-R03</x:v>
      </x:c>
      <x:c r="C1336" s="20" t="str">
        <x:v>V3</x:v>
      </x:c>
      <x:c r="D1336" s="20" t="str">
        <x:v>group_quarters_population</x:v>
      </x:c>
      <x:c r="E1336" s="20" t="str">
        <x:v>population</x:v>
      </x:c>
      <x:c r="F1336" s="50" t="n">
        <x:v>1686</x:v>
      </x:c>
      <x:c r="G1336" s="50" t="n">
        <x:v>36.341436405293614</x:v>
      </x:c>
      <x:c r="H1336" s="50" t="n">
        <x:v>1685.992</x:v>
      </x:c>
      <x:c r="I1336" s="50" t="n">
        <x:v>35.81858326214072</x:v>
      </x:c>
      <x:c r="J1336" s="42" t="n">
        <x:v>0.9856127551668065</x:v>
      </x:c>
      <x:c r="K1336" s="42" t="n">
        <x:v>-0.00022013439179506102</x:v>
      </x:c>
      <x:c r="L1336" s="26" t="n">
        <x:v>1628</x:v>
      </x:c>
      <x:c r="M1336" s="26" t="n">
        <x:v>1686</x:v>
      </x:c>
      <x:c r="N1336" s="26" t="n">
        <x:v>1746</x:v>
      </x:c>
    </x:row>
    <x:row r="1337">
      <x:c r="A1337" s="20" t="str">
        <x:v>T2_CONCORDANT_DOMAIN</x:v>
      </x:c>
      <x:c r="B1337" s="20" t="str">
        <x:v>NYC-V3-R04</x:v>
      </x:c>
      <x:c r="C1337" s="20" t="str">
        <x:v>V3</x:v>
      </x:c>
      <x:c r="D1337" s="20" t="str">
        <x:v>acs_population</x:v>
      </x:c>
      <x:c r="E1337" s="20" t="str">
        <x:v>population</x:v>
      </x:c>
      <x:c r="F1337" s="50" t="n">
        <x:v>36480</x:v>
      </x:c>
      <x:c r="G1337" s="50" t="n">
        <x:v>1357.0544020045772</x:v>
      </x:c>
      <x:c r="H1337" s="50" t="n">
        <x:v>36480.055</x:v>
      </x:c>
      <x:c r="I1337" s="50" t="n">
        <x:v>1380.698534952297</x:v>
      </x:c>
      <x:c r="J1337" s="42" t="n">
        <x:v>1.017423128293747</x:v>
      </x:c>
      <x:c r="K1337" s="42" t="n">
        <x:v>0.00004052895736460352</x:v>
      </x:c>
      <x:c r="L1337" s="26" t="n">
        <x:v>34321</x:v>
      </x:c>
      <x:c r="M1337" s="26" t="n">
        <x:v>36441</x:v>
      </x:c>
      <x:c r="N1337" s="26" t="n">
        <x:v>38821</x:v>
      </x:c>
    </x:row>
    <x:row r="1338">
      <x:c r="A1338" s="20" t="str">
        <x:v>T2_CONCORDANT_DOMAIN</x:v>
      </x:c>
      <x:c r="B1338" s="20" t="str">
        <x:v>NYC-V3-R04</x:v>
      </x:c>
      <x:c r="C1338" s="20" t="str">
        <x:v>V3</x:v>
      </x:c>
      <x:c r="D1338" s="20" t="str">
        <x:v>age_under_18</x:v>
      </x:c>
      <x:c r="E1338" s="20" t="str">
        <x:v>population</x:v>
      </x:c>
      <x:c r="F1338" s="50" t="n">
        <x:v>6688</x:v>
      </x:c>
      <x:c r="G1338" s="50" t="n">
        <x:v>689.4024223920309</x:v>
      </x:c>
      <x:c r="H1338" s="50" t="n">
        <x:v>6687.893</x:v>
      </x:c>
      <x:c r="I1338" s="50" t="n">
        <x:v>717.3781799051349</x:v>
      </x:c>
      <x:c r="J1338" s="42" t="n">
        <x:v>1.0405797203555451</x:v>
      </x:c>
      <x:c r="K1338" s="42" t="n">
        <x:v>-0.00015520688138679763</x:v>
      </x:c>
      <x:c r="L1338" s="26" t="n">
        <x:v>5602</x:v>
      </x:c>
      <x:c r="M1338" s="26" t="n">
        <x:v>6664</x:v>
      </x:c>
      <x:c r="N1338" s="26" t="n">
        <x:v>7890</x:v>
      </x:c>
    </x:row>
    <x:row r="1339">
      <x:c r="A1339" s="20" t="str">
        <x:v>T2_CONCORDANT_DOMAIN</x:v>
      </x:c>
      <x:c r="B1339" s="20" t="str">
        <x:v>NYC-V3-R04</x:v>
      </x:c>
      <x:c r="C1339" s="20" t="str">
        <x:v>V3</x:v>
      </x:c>
      <x:c r="D1339" s="20" t="str">
        <x:v>age_65_plus</x:v>
      </x:c>
      <x:c r="E1339" s="20" t="str">
        <x:v>population</x:v>
      </x:c>
      <x:c r="F1339" s="50" t="n">
        <x:v>7404</x:v>
      </x:c>
      <x:c r="G1339" s="50" t="n">
        <x:v>387.11800526454465</x:v>
      </x:c>
      <x:c r="H1339" s="50" t="n">
        <x:v>7404.161</x:v>
      </x:c>
      <x:c r="I1339" s="50" t="n">
        <x:v>380.60911757258174</x:v>
      </x:c>
      <x:c r="J1339" s="42" t="n">
        <x:v>0.9831862956425523</x:v>
      </x:c>
      <x:c r="K1339" s="42" t="n">
        <x:v>0.00041589385616418363</x:v>
      </x:c>
      <x:c r="L1339" s="26" t="n">
        <x:v>6745</x:v>
      </x:c>
      <x:c r="M1339" s="26" t="n">
        <x:v>7402</x:v>
      </x:c>
      <x:c r="N1339" s="26" t="n">
        <x:v>8008</x:v>
      </x:c>
    </x:row>
    <x:row r="1340">
      <x:c r="A1340" s="20" t="str">
        <x:v>T2_CONCORDANT_DOMAIN</x:v>
      </x:c>
      <x:c r="B1340" s="20" t="str">
        <x:v>NYC-V3-R04</x:v>
      </x:c>
      <x:c r="C1340" s="20" t="str">
        <x:v>V3</x:v>
      </x:c>
      <x:c r="D1340" s="20" t="str">
        <x:v>age_75_plus</x:v>
      </x:c>
      <x:c r="E1340" s="20" t="str">
        <x:v>population</x:v>
      </x:c>
      <x:c r="F1340" s="50" t="n">
        <x:v>3209</x:v>
      </x:c>
      <x:c r="G1340" s="50" t="n">
        <x:v>327.73739487583646</x:v>
      </x:c>
      <x:c r="H1340" s="50" t="n">
        <x:v>3209.005</x:v>
      </x:c>
      <x:c r="I1340" s="50" t="n">
        <x:v>323.4027617713264</x:v>
      </x:c>
      <x:c r="J1340" s="42" t="n">
        <x:v>0.9867740661508821</x:v>
      </x:c>
      <x:c r="K1340" s="42" t="n">
        <x:v>0.000015256116873704305</x:v>
      </x:c>
      <x:c r="L1340" s="26" t="n">
        <x:v>2674</x:v>
      </x:c>
      <x:c r="M1340" s="26" t="n">
        <x:v>3217</x:v>
      </x:c>
      <x:c r="N1340" s="26" t="n">
        <x:v>3718</x:v>
      </x:c>
    </x:row>
    <x:row r="1341">
      <x:c r="A1341" s="20" t="str">
        <x:v>T2_CONCORDANT_DOMAIN</x:v>
      </x:c>
      <x:c r="B1341" s="20" t="str">
        <x:v>NYC-V3-R04</x:v>
      </x:c>
      <x:c r="C1341" s="20" t="str">
        <x:v>V3</x:v>
      </x:c>
      <x:c r="D1341" s="20" t="str">
        <x:v>age_85_plus</x:v>
      </x:c>
      <x:c r="E1341" s="20" t="str">
        <x:v>population</x:v>
      </x:c>
      <x:c r="F1341" s="50" t="n">
        <x:v>1038</x:v>
      </x:c>
      <x:c r="G1341" s="50" t="n">
        <x:v>193.0237032076631</x:v>
      </x:c>
      <x:c r="H1341" s="50" t="n">
        <x:v>1038.014</x:v>
      </x:c>
      <x:c r="I1341" s="50" t="n">
        <x:v>186.68377174954074</x:v>
      </x:c>
      <x:c r="J1341" s="42" t="n">
        <x:v>0.967154648093651</x:v>
      </x:c>
      <x:c r="K1341" s="42" t="n">
        <x:v>0.00007252995236981089</x:v>
      </x:c>
      <x:c r="L1341" s="26" t="n">
        <x:v>732</x:v>
      </x:c>
      <x:c r="M1341" s="26" t="n">
        <x:v>1037</x:v>
      </x:c>
      <x:c r="N1341" s="26" t="n">
        <x:v>1342</x:v>
      </x:c>
    </x:row>
    <x:row r="1342">
      <x:c r="A1342" s="20" t="str">
        <x:v>T2_CONCORDANT_DOMAIN</x:v>
      </x:c>
      <x:c r="B1342" s="20" t="str">
        <x:v>NYC-V3-R04</x:v>
      </x:c>
      <x:c r="C1342" s="20" t="str">
        <x:v>V3</x:v>
      </x:c>
      <x:c r="D1342" s="20" t="str">
        <x:v>civilian_noninstitutionalized</x:v>
      </x:c>
      <x:c r="E1342" s="20" t="str">
        <x:v>disability</x:v>
      </x:c>
      <x:c r="F1342" s="50" t="n">
        <x:v>36364</x:v>
      </x:c>
      <x:c r="G1342" s="50" t="n">
        <x:v>1358.3734206763618</x:v>
      </x:c>
      <x:c r="H1342" s="50" t="n">
        <x:v>35784.738</x:v>
      </x:c>
      <x:c r="I1342" s="50" t="n">
        <x:v>1199.1991277114505</x:v>
      </x:c>
      <x:c r="J1342" s="42" t="n">
        <x:v>0.8828199296732006</x:v>
      </x:c>
      <x:c r="K1342" s="42" t="n">
        <x:v>-0.42643796704412557</x:v>
      </x:c>
      <x:c r="L1342" s="26" t="n">
        <x:v>33915</x:v>
      </x:c>
      <x:c r="M1342" s="26" t="n">
        <x:v>35734</x:v>
      </x:c>
      <x:c r="N1342" s="26" t="n">
        <x:v>37758</x:v>
      </x:c>
    </x:row>
    <x:row r="1343">
      <x:c r="A1343" s="20" t="str">
        <x:v>T2_CONCORDANT_DOMAIN</x:v>
      </x:c>
      <x:c r="B1343" s="20" t="str">
        <x:v>NYC-V3-R04</x:v>
      </x:c>
      <x:c r="C1343" s="20" t="str">
        <x:v>V3</x:v>
      </x:c>
      <x:c r="D1343" s="20" t="str">
        <x:v>any_disability</x:v>
      </x:c>
      <x:c r="E1343" s="20" t="str">
        <x:v>disability</x:v>
      </x:c>
      <x:c r="F1343" s="50" t="n">
        <x:v>4401</x:v>
      </x:c>
      <x:c r="G1343" s="50" t="n">
        <x:v>470.8874069244154</x:v>
      </x:c>
      <x:c r="H1343" s="50" t="n">
        <x:v>4405.911</x:v>
      </x:c>
      <x:c r="I1343" s="50" t="n">
        <x:v>588.6860932580244</x:v>
      </x:c>
      <x:c r="J1343" s="42" t="n">
        <x:v>1.2501631697968032</x:v>
      </x:c>
      <x:c r="K1343" s="42" t="n">
        <x:v>0.010429244714943817</x:v>
      </x:c>
      <x:c r="L1343" s="26" t="n">
        <x:v>3516</x:v>
      </x:c>
      <x:c r="M1343" s="26" t="n">
        <x:v>4396</x:v>
      </x:c>
      <x:c r="N1343" s="26" t="n">
        <x:v>5373</x:v>
      </x:c>
    </x:row>
    <x:row r="1344">
      <x:c r="A1344" s="20" t="str">
        <x:v>T2_CONCORDANT_DOMAIN</x:v>
      </x:c>
      <x:c r="B1344" s="20" t="str">
        <x:v>NYC-V3-R04</x:v>
      </x:c>
      <x:c r="C1344" s="20" t="str">
        <x:v>V3</x:v>
      </x:c>
      <x:c r="D1344" s="20" t="str">
        <x:v>disability_under_18</x:v>
      </x:c>
      <x:c r="E1344" s="20" t="str">
        <x:v>disability</x:v>
      </x:c>
      <x:c r="F1344" s="50" t="n">
        <x:v>247</x:v>
      </x:c>
      <x:c r="G1344" s="50" t="n">
        <x:v>151.8719855667924</x:v>
      </x:c>
      <x:c r="H1344" s="50" t="n">
        <x:v>251.732</x:v>
      </x:c>
      <x:c r="I1344" s="50" t="n">
        <x:v>150.63416221703105</x:v>
      </x:c>
      <x:c r="J1344" s="42" t="n">
        <x:v>0.9918495610290354</x:v>
      </x:c>
      <x:c r="K1344" s="42" t="n">
        <x:v>0.03115782007023865</x:v>
      </x:c>
      <x:c r="L1344" s="26" t="n">
        <x:v>0</x:v>
      </x:c>
      <x:c r="M1344" s="26" t="n">
        <x:v>251</x:v>
      </x:c>
      <x:c r="N1344" s="26" t="n">
        <x:v>502</x:v>
      </x:c>
    </x:row>
    <x:row r="1345">
      <x:c r="A1345" s="20" t="str">
        <x:v>T2_CONCORDANT_DOMAIN</x:v>
      </x:c>
      <x:c r="B1345" s="20" t="str">
        <x:v>NYC-V3-R04</x:v>
      </x:c>
      <x:c r="C1345" s="20" t="str">
        <x:v>V3</x:v>
      </x:c>
      <x:c r="D1345" s="20" t="str">
        <x:v>disability_18_64</x:v>
      </x:c>
      <x:c r="E1345" s="20" t="str">
        <x:v>disability</x:v>
      </x:c>
      <x:c r="F1345" s="50" t="n">
        <x:v>1718</x:v>
      </x:c>
      <x:c r="G1345" s="50" t="n">
        <x:v>280.1007854326724</x:v>
      </x:c>
      <x:c r="H1345" s="50" t="n">
        <x:v>1718.109</x:v>
      </x:c>
      <x:c r="I1345" s="50" t="n">
        <x:v>284.50356658291366</x:v>
      </x:c>
      <x:c r="J1345" s="42" t="n">
        <x:v>1.0157185605297046</x:v>
      </x:c>
      <x:c r="K1345" s="42" t="n">
        <x:v>0.00038914564210004276</x:v>
      </x:c>
      <x:c r="L1345" s="26" t="n">
        <x:v>1252</x:v>
      </x:c>
      <x:c r="M1345" s="26" t="n">
        <x:v>1723</x:v>
      </x:c>
      <x:c r="N1345" s="26" t="n">
        <x:v>2180</x:v>
      </x:c>
    </x:row>
    <x:row r="1346">
      <x:c r="A1346" s="20" t="str">
        <x:v>T2_CONCORDANT_DOMAIN</x:v>
      </x:c>
      <x:c r="B1346" s="20" t="str">
        <x:v>NYC-V3-R04</x:v>
      </x:c>
      <x:c r="C1346" s="20" t="str">
        <x:v>V3</x:v>
      </x:c>
      <x:c r="D1346" s="20" t="str">
        <x:v>disability_65_plus</x:v>
      </x:c>
      <x:c r="E1346" s="20" t="str">
        <x:v>disability</x:v>
      </x:c>
      <x:c r="F1346" s="50" t="n">
        <x:v>2436</x:v>
      </x:c>
      <x:c r="G1346" s="50" t="n">
        <x:v>281.75645511682603</x:v>
      </x:c>
      <x:c r="H1346" s="50" t="n">
        <x:v>2436.07</x:v>
      </x:c>
      <x:c r="I1346" s="50" t="n">
        <x:v>277.83224408958705</x:v>
      </x:c>
      <x:c r="J1346" s="42" t="n">
        <x:v>0.9860723296450764</x:v>
      </x:c>
      <x:c r="K1346" s="42" t="n">
        <x:v>0.00024844151297665667</x:v>
      </x:c>
      <x:c r="L1346" s="26" t="n">
        <x:v>1988</x:v>
      </x:c>
      <x:c r="M1346" s="26" t="n">
        <x:v>2429</x:v>
      </x:c>
      <x:c r="N1346" s="26" t="n">
        <x:v>2902</x:v>
      </x:c>
    </x:row>
    <x:row r="1347">
      <x:c r="A1347" s="20" t="str">
        <x:v>T2_CONCORDANT_DOMAIN</x:v>
      </x:c>
      <x:c r="B1347" s="20" t="str">
        <x:v>NYC-V3-R04</x:v>
      </x:c>
      <x:c r="C1347" s="20" t="str">
        <x:v>V3</x:v>
      </x:c>
      <x:c r="D1347" s="20" t="str">
        <x:v>hearing_difficulty</x:v>
      </x:c>
      <x:c r="E1347" s="20" t="str">
        <x:v>disability</x:v>
      </x:c>
      <x:c r="F1347" s="50" t="n">
        <x:v>1130</x:v>
      </x:c>
      <x:c r="G1347" s="50" t="n">
        <x:v>230.5739095173458</x:v>
      </x:c>
      <x:c r="H1347" s="50" t="n">
        <x:v>1130.007</x:v>
      </x:c>
      <x:c r="I1347" s="50" t="n">
        <x:v>233.7857367799022</x:v>
      </x:c>
      <x:c r="J1347" s="42" t="n">
        <x:v>1.0139297081325447</x:v>
      </x:c>
      <x:c r="K1347" s="42" t="n">
        <x:v>0.00003035902897563197</x:v>
      </x:c>
      <x:c r="L1347" s="26" t="n">
        <x:v>756</x:v>
      </x:c>
      <x:c r="M1347" s="26" t="n">
        <x:v>1135</x:v>
      </x:c>
      <x:c r="N1347" s="26" t="n">
        <x:v>1513</x:v>
      </x:c>
    </x:row>
    <x:row r="1348">
      <x:c r="A1348" s="20" t="str">
        <x:v>T2_CONCORDANT_DOMAIN</x:v>
      </x:c>
      <x:c r="B1348" s="20" t="str">
        <x:v>NYC-V3-R04</x:v>
      </x:c>
      <x:c r="C1348" s="20" t="str">
        <x:v>V3</x:v>
      </x:c>
      <x:c r="D1348" s="20" t="str">
        <x:v>vision_difficulty</x:v>
      </x:c>
      <x:c r="E1348" s="20" t="str">
        <x:v>disability</x:v>
      </x:c>
      <x:c r="F1348" s="50" t="n">
        <x:v>703</x:v>
      </x:c>
      <x:c r="G1348" s="50" t="n">
        <x:v>197.06459029708594</x:v>
      </x:c>
      <x:c r="H1348" s="50" t="n">
        <x:v>702.952</x:v>
      </x:c>
      <x:c r="I1348" s="50" t="n">
        <x:v>199.11857246852162</x:v>
      </x:c>
      <x:c r="J1348" s="42" t="n">
        <x:v>1.0104228880913573</x:v>
      </x:c>
      <x:c r="K1348" s="42" t="n">
        <x:v>-0.00024357496152727957</x:v>
      </x:c>
      <x:c r="L1348" s="26" t="n">
        <x:v>371</x:v>
      </x:c>
      <x:c r="M1348" s="26" t="n">
        <x:v>697</x:v>
      </x:c>
      <x:c r="N1348" s="26" t="n">
        <x:v>1014</x:v>
      </x:c>
    </x:row>
    <x:row r="1349">
      <x:c r="A1349" s="20" t="str">
        <x:v>T2_CONCORDANT_DOMAIN</x:v>
      </x:c>
      <x:c r="B1349" s="20" t="str">
        <x:v>NYC-V3-R04</x:v>
      </x:c>
      <x:c r="C1349" s="20" t="str">
        <x:v>V3</x:v>
      </x:c>
      <x:c r="D1349" s="20" t="str">
        <x:v>cognitive_difficulty</x:v>
      </x:c>
      <x:c r="E1349" s="20" t="str">
        <x:v>disability</x:v>
      </x:c>
      <x:c r="F1349" s="50" t="n">
        <x:v>1932</x:v>
      </x:c>
      <x:c r="G1349" s="50" t="n">
        <x:v>294.71372896122347</x:v>
      </x:c>
      <x:c r="H1349" s="50" t="n">
        <x:v>1932.024</x:v>
      </x:c>
      <x:c r="I1349" s="50" t="n">
        <x:v>299.63666256577073</x:v>
      </x:c>
      <x:c r="J1349" s="42" t="n">
        <x:v>1.0167041203743685</x:v>
      </x:c>
      <x:c r="K1349" s="42" t="n">
        <x:v>0.00008143495752464586</x:v>
      </x:c>
      <x:c r="L1349" s="26" t="n">
        <x:v>1422</x:v>
      </x:c>
      <x:c r="M1349" s="26" t="n">
        <x:v>1935</x:v>
      </x:c>
      <x:c r="N1349" s="26" t="n">
        <x:v>2429</x:v>
      </x:c>
    </x:row>
    <x:row r="1350">
      <x:c r="A1350" s="20" t="str">
        <x:v>T2_CONCORDANT_DOMAIN</x:v>
      </x:c>
      <x:c r="B1350" s="20" t="str">
        <x:v>NYC-V3-R04</x:v>
      </x:c>
      <x:c r="C1350" s="20" t="str">
        <x:v>V3</x:v>
      </x:c>
      <x:c r="D1350" s="20" t="str">
        <x:v>ambulatory_difficulty</x:v>
      </x:c>
      <x:c r="E1350" s="20" t="str">
        <x:v>disability</x:v>
      </x:c>
      <x:c r="F1350" s="50" t="n">
        <x:v>2438</x:v>
      </x:c>
      <x:c r="G1350" s="50" t="n">
        <x:v>297.8196095005031</x:v>
      </x:c>
      <x:c r="H1350" s="50" t="n">
        <x:v>2437.917</x:v>
      </x:c>
      <x:c r="I1350" s="50" t="n">
        <x:v>294.85717027378166</x:v>
      </x:c>
      <x:c r="J1350" s="42" t="n">
        <x:v>0.9900529074237591</x:v>
      </x:c>
      <x:c r="K1350" s="42" t="n">
        <x:v>-0.00027869219269775275</x:v>
      </x:c>
      <x:c r="L1350" s="26" t="n">
        <x:v>1964</x:v>
      </x:c>
      <x:c r="M1350" s="26" t="n">
        <x:v>2449</x:v>
      </x:c>
      <x:c r="N1350" s="26" t="n">
        <x:v>2916</x:v>
      </x:c>
    </x:row>
    <x:row r="1351">
      <x:c r="A1351" s="20" t="str">
        <x:v>T2_CONCORDANT_DOMAIN</x:v>
      </x:c>
      <x:c r="B1351" s="20" t="str">
        <x:v>NYC-V3-R04</x:v>
      </x:c>
      <x:c r="C1351" s="20" t="str">
        <x:v>V3</x:v>
      </x:c>
      <x:c r="D1351" s="20" t="str">
        <x:v>self_care_difficulty</x:v>
      </x:c>
      <x:c r="E1351" s="20" t="str">
        <x:v>disability</x:v>
      </x:c>
      <x:c r="F1351" s="50" t="n">
        <x:v>1014</x:v>
      </x:c>
      <x:c r="G1351" s="50" t="n">
        <x:v>199.59401148816585</x:v>
      </x:c>
      <x:c r="H1351" s="50" t="n">
        <x:v>1013.979</x:v>
      </x:c>
      <x:c r="I1351" s="50" t="n">
        <x:v>197.94962645484736</x:v>
      </x:c>
      <x:c r="J1351" s="42" t="n">
        <x:v>0.9917613508488656</x:v>
      </x:c>
      <x:c r="K1351" s="42" t="n">
        <x:v>-0.00010521357751859844</x:v>
      </x:c>
      <x:c r="L1351" s="26" t="n">
        <x:v>688</x:v>
      </x:c>
      <x:c r="M1351" s="26" t="n">
        <x:v>1025</x:v>
      </x:c>
      <x:c r="N1351" s="26" t="n">
        <x:v>1329</x:v>
      </x:c>
    </x:row>
    <x:row r="1352">
      <x:c r="A1352" s="20" t="str">
        <x:v>T2_CONCORDANT_DOMAIN</x:v>
      </x:c>
      <x:c r="B1352" s="20" t="str">
        <x:v>NYC-V3-R04</x:v>
      </x:c>
      <x:c r="C1352" s="20" t="str">
        <x:v>V3</x:v>
      </x:c>
      <x:c r="D1352" s="20" t="str">
        <x:v>independent_living_difficulty</x:v>
      </x:c>
      <x:c r="E1352" s="20" t="str">
        <x:v>disability</x:v>
      </x:c>
      <x:c r="F1352" s="50" t="n">
        <x:v>1858</x:v>
      </x:c>
      <x:c r="G1352" s="50" t="n">
        <x:v>268.3909509858976</x:v>
      </x:c>
      <x:c r="H1352" s="50" t="n">
        <x:v>1857.84</x:v>
      </x:c>
      <x:c r="I1352" s="50" t="n">
        <x:v>277.0633366082429</x:v>
      </x:c>
      <x:c r="J1352" s="42" t="n">
        <x:v>1.0323125112470763</x:v>
      </x:c>
      <x:c r="K1352" s="42" t="n">
        <x:v>-0.0005961452851235992</x:v>
      </x:c>
      <x:c r="L1352" s="26" t="n">
        <x:v>1410</x:v>
      </x:c>
      <x:c r="M1352" s="26" t="n">
        <x:v>1849</x:v>
      </x:c>
      <x:c r="N1352" s="26" t="n">
        <x:v>2328</x:v>
      </x:c>
    </x:row>
    <x:row r="1353">
      <x:c r="A1353" s="20" t="str">
        <x:v>T2_CONCORDANT_DOMAIN</x:v>
      </x:c>
      <x:c r="B1353" s="20" t="str">
        <x:v>NYC-V3-R04</x:v>
      </x:c>
      <x:c r="C1353" s="20" t="str">
        <x:v>V3</x:v>
      </x:c>
      <x:c r="D1353" s="20" t="str">
        <x:v>households</x:v>
      </x:c>
      <x:c r="E1353" s="20" t="str">
        <x:v>household</x:v>
      </x:c>
      <x:c r="F1353" s="50" t="n">
        <x:v>17095</x:v>
      </x:c>
      <x:c r="G1353" s="50" t="n">
        <x:v>423.33633201037685</x:v>
      </x:c>
      <x:c r="H1353" s="50" t="n">
        <x:v>17095.464</x:v>
      </x:c>
      <x:c r="I1353" s="50" t="n">
        <x:v>382.6732568726557</x:v>
      </x:c>
      <x:c r="J1353" s="42" t="n">
        <x:v>0.903946172196899</x:v>
      </x:c>
      <x:c r="K1353" s="42" t="n">
        <x:v>0.0010960552282306074</x:v>
      </x:c>
      <x:c r="L1353" s="26" t="n">
        <x:v>16483</x:v>
      </x:c>
      <x:c r="M1353" s="26" t="n">
        <x:v>17093</x:v>
      </x:c>
      <x:c r="N1353" s="26" t="n">
        <x:v>17701</x:v>
      </x:c>
    </x:row>
    <x:row r="1354">
      <x:c r="A1354" s="20" t="str">
        <x:v>T2_CONCORDANT_DOMAIN</x:v>
      </x:c>
      <x:c r="B1354" s="20" t="str">
        <x:v>NYC-V3-R04</x:v>
      </x:c>
      <x:c r="C1354" s="20" t="str">
        <x:v>V3</x:v>
      </x:c>
      <x:c r="D1354" s="20" t="str">
        <x:v>family_households</x:v>
      </x:c>
      <x:c r="E1354" s="20" t="str">
        <x:v>household</x:v>
      </x:c>
      <x:c r="F1354" s="50" t="n">
        <x:v>9492</x:v>
      </x:c>
      <x:c r="G1354" s="50" t="n">
        <x:v>405.0580822548786</x:v>
      </x:c>
      <x:c r="H1354" s="50" t="n">
        <x:v>9492.371</x:v>
      </x:c>
      <x:c r="I1354" s="50" t="n">
        <x:v>476.8838365394161</x:v>
      </x:c>
      <x:c r="J1354" s="42" t="n">
        <x:v>1.1773221111518073</x:v>
      </x:c>
      <x:c r="K1354" s="42" t="n">
        <x:v>0.0009159180281847509</x:v>
      </x:c>
      <x:c r="L1354" s="26" t="n">
        <x:v>8732</x:v>
      </x:c>
      <x:c r="M1354" s="26" t="n">
        <x:v>9487</x:v>
      </x:c>
      <x:c r="N1354" s="26" t="n">
        <x:v>10309</x:v>
      </x:c>
    </x:row>
    <x:row r="1355">
      <x:c r="A1355" s="20" t="str">
        <x:v>T2_CONCORDANT_DOMAIN</x:v>
      </x:c>
      <x:c r="B1355" s="20" t="str">
        <x:v>NYC-V3-R04</x:v>
      </x:c>
      <x:c r="C1355" s="20" t="str">
        <x:v>V3</x:v>
      </x:c>
      <x:c r="D1355" s="20" t="str">
        <x:v>nonfamily_households</x:v>
      </x:c>
      <x:c r="E1355" s="20" t="str">
        <x:v>household</x:v>
      </x:c>
      <x:c r="F1355" s="50" t="n">
        <x:v>7603</x:v>
      </x:c>
      <x:c r="G1355" s="50" t="n">
        <x:v>390.5181173774144</x:v>
      </x:c>
      <x:c r="H1355" s="50" t="n">
        <x:v>7603.093</x:v>
      </x:c>
      <x:c r="I1355" s="50" t="n">
        <x:v>423.1983071305439</x:v>
      </x:c>
      <x:c r="J1355" s="42" t="n">
        <x:v>1.0836841833935862</x:v>
      </x:c>
      <x:c r="K1355" s="42" t="n">
        <x:v>0.00023814516116282459</x:v>
      </x:c>
      <x:c r="L1355" s="26" t="n">
        <x:v>6913</x:v>
      </x:c>
      <x:c r="M1355" s="26" t="n">
        <x:v>7598</x:v>
      </x:c>
      <x:c r="N1355" s="26" t="n">
        <x:v>8262</x:v>
      </x:c>
    </x:row>
    <x:row r="1356">
      <x:c r="A1356" s="20" t="str">
        <x:v>T2_CONCORDANT_DOMAIN</x:v>
      </x:c>
      <x:c r="B1356" s="20" t="str">
        <x:v>NYC-V3-R04</x:v>
      </x:c>
      <x:c r="C1356" s="20" t="str">
        <x:v>V3</x:v>
      </x:c>
      <x:c r="D1356" s="20" t="str">
        <x:v>living_alone_households</x:v>
      </x:c>
      <x:c r="E1356" s="20" t="str">
        <x:v>household</x:v>
      </x:c>
      <x:c r="F1356" s="50" t="n">
        <x:v>6688</x:v>
      </x:c>
      <x:c r="G1356" s="50" t="n">
        <x:v>379.8412826431587</x:v>
      </x:c>
      <x:c r="H1356" s="50" t="n">
        <x:v>6688.018</x:v>
      </x:c>
      <x:c r="I1356" s="50" t="n">
        <x:v>405.3999047345211</x:v>
      </x:c>
      <x:c r="J1356" s="42" t="n">
        <x:v>1.067287636334604</x:v>
      </x:c>
      <x:c r="K1356" s="42" t="n">
        <x:v>0.000047388214031857024</x:v>
      </x:c>
      <x:c r="L1356" s="26" t="n">
        <x:v>6024</x:v>
      </x:c>
      <x:c r="M1356" s="26" t="n">
        <x:v>6691</x:v>
      </x:c>
      <x:c r="N1356" s="26" t="n">
        <x:v>7339</x:v>
      </x:c>
    </x:row>
    <x:row r="1357">
      <x:c r="A1357" s="20" t="str">
        <x:v>T2_CONCORDANT_DOMAIN</x:v>
      </x:c>
      <x:c r="B1357" s="20" t="str">
        <x:v>NYC-V3-R04</x:v>
      </x:c>
      <x:c r="C1357" s="20" t="str">
        <x:v>V3</x:v>
      </x:c>
      <x:c r="D1357" s="20" t="str">
        <x:v>households_with_children</x:v>
      </x:c>
      <x:c r="E1357" s="20" t="str">
        <x:v>household</x:v>
      </x:c>
      <x:c r="F1357" s="50" t="n">
        <x:v>3498</x:v>
      </x:c>
      <x:c r="G1357" s="50" t="n">
        <x:v>331.1649136004598</x:v>
      </x:c>
      <x:c r="H1357" s="50" t="n">
        <x:v>3497.86</x:v>
      </x:c>
      <x:c r="I1357" s="50" t="n">
        <x:v>338.6097620727598</x:v>
      </x:c>
      <x:c r="J1357" s="42" t="n">
        <x:v>1.02248078877487</x:v>
      </x:c>
      <x:c r="K1357" s="42" t="n">
        <x:v>-0.00042275009896965816</x:v>
      </x:c>
      <x:c r="L1357" s="26" t="n">
        <x:v>2927</x:v>
      </x:c>
      <x:c r="M1357" s="26" t="n">
        <x:v>3498</x:v>
      </x:c>
      <x:c r="N1357" s="26" t="n">
        <x:v>4041</x:v>
      </x:c>
    </x:row>
    <x:row r="1358">
      <x:c r="A1358" s="20" t="str">
        <x:v>T2_CONCORDANT_DOMAIN</x:v>
      </x:c>
      <x:c r="B1358" s="20" t="str">
        <x:v>NYC-V3-R04</x:v>
      </x:c>
      <x:c r="C1358" s="20" t="str">
        <x:v>V3</x:v>
      </x:c>
      <x:c r="D1358" s="20" t="str">
        <x:v>households_with_age65</x:v>
      </x:c>
      <x:c r="E1358" s="20" t="str">
        <x:v>household</x:v>
      </x:c>
      <x:c r="F1358" s="50" t="n">
        <x:v>5916</x:v>
      </x:c>
      <x:c r="G1358" s="50" t="n">
        <x:v>316.95812026196774</x:v>
      </x:c>
      <x:c r="H1358" s="50" t="n">
        <x:v>5915.941</x:v>
      </x:c>
      <x:c r="I1358" s="50" t="n">
        <x:v>319.83589936328525</x:v>
      </x:c>
      <x:c r="J1358" s="42" t="n">
        <x:v>1.0090793670120803</x:v>
      </x:c>
      <x:c r="K1358" s="42" t="n">
        <x:v>-0.00018614446587275507</x:v>
      </x:c>
      <x:c r="L1358" s="26" t="n">
        <x:v>5396</x:v>
      </x:c>
      <x:c r="M1358" s="26" t="n">
        <x:v>5923</x:v>
      </x:c>
      <x:c r="N1358" s="26" t="n">
        <x:v>6426</x:v>
      </x:c>
    </x:row>
    <x:row r="1359">
      <x:c r="A1359" s="20" t="str">
        <x:v>T2_CONCORDANT_DOMAIN</x:v>
      </x:c>
      <x:c r="B1359" s="20" t="str">
        <x:v>NYC-V3-R04</x:v>
      </x:c>
      <x:c r="C1359" s="20" t="str">
        <x:v>V3</x:v>
      </x:c>
      <x:c r="D1359" s="20" t="str">
        <x:v>age65_one_person_households</x:v>
      </x:c>
      <x:c r="E1359" s="20" t="str">
        <x:v>household</x:v>
      </x:c>
      <x:c r="F1359" s="50" t="n">
        <x:v>2571</x:v>
      </x:c>
      <x:c r="G1359" s="50" t="n">
        <x:v>248.24191829745436</x:v>
      </x:c>
      <x:c r="H1359" s="50" t="n">
        <x:v>2570.979</x:v>
      </x:c>
      <x:c r="I1359" s="50" t="n">
        <x:v>249.5944710103951</x:v>
      </x:c>
      <x:c r="J1359" s="42" t="n">
        <x:v>1.0054485266719542</x:v>
      </x:c>
      <x:c r="K1359" s="42" t="n">
        <x:v>-0.00008459489897682153</x:v>
      </x:c>
      <x:c r="L1359" s="26" t="n">
        <x:v>2165</x:v>
      </x:c>
      <x:c r="M1359" s="26" t="n">
        <x:v>2577</x:v>
      </x:c>
      <x:c r="N1359" s="26" t="n">
        <x:v>2969</x:v>
      </x:c>
    </x:row>
    <x:row r="1360">
      <x:c r="A1360" s="20" t="str">
        <x:v>T2_CONCORDANT_DOMAIN</x:v>
      </x:c>
      <x:c r="B1360" s="20" t="str">
        <x:v>NYC-V3-R04</x:v>
      </x:c>
      <x:c r="C1360" s="20" t="str">
        <x:v>V3</x:v>
      </x:c>
      <x:c r="D1360" s="20" t="str">
        <x:v>no_vehicle_households</x:v>
      </x:c>
      <x:c r="E1360" s="20" t="str">
        <x:v>household</x:v>
      </x:c>
      <x:c r="F1360" s="50" t="n">
        <x:v>8333</x:v>
      </x:c>
      <x:c r="G1360" s="50" t="n">
        <x:v>430.77533736770937</x:v>
      </x:c>
      <x:c r="H1360" s="50" t="n">
        <x:v>8332.968</x:v>
      </x:c>
      <x:c r="I1360" s="50" t="n">
        <x:v>443.72142576134377</x:v>
      </x:c>
      <x:c r="J1360" s="42" t="n">
        <x:v>1.0300529934530203</x:v>
      </x:c>
      <x:c r="K1360" s="42" t="n">
        <x:v>-0.00007428466122220951</x:v>
      </x:c>
      <x:c r="L1360" s="26" t="n">
        <x:v>7572</x:v>
      </x:c>
      <x:c r="M1360" s="26" t="n">
        <x:v>8336</x:v>
      </x:c>
      <x:c r="N1360" s="26" t="n">
        <x:v>9060</x:v>
      </x:c>
    </x:row>
    <x:row r="1361">
      <x:c r="A1361" s="20" t="str">
        <x:v>T2_CONCORDANT_DOMAIN</x:v>
      </x:c>
      <x:c r="B1361" s="20" t="str">
        <x:v>NYC-V3-R04</x:v>
      </x:c>
      <x:c r="C1361" s="20" t="str">
        <x:v>V3</x:v>
      </x:c>
      <x:c r="D1361" s="20" t="str">
        <x:v>limited_english_households</x:v>
      </x:c>
      <x:c r="E1361" s="20" t="str">
        <x:v>household</x:v>
      </x:c>
      <x:c r="F1361" s="50" t="n">
        <x:v>2033</x:v>
      </x:c>
      <x:c r="G1361" s="50" t="n">
        <x:v>227.56358026652447</x:v>
      </x:c>
      <x:c r="H1361" s="50" t="n">
        <x:v>2032.956</x:v>
      </x:c>
      <x:c r="I1361" s="50" t="n">
        <x:v>229.19155488986243</x:v>
      </x:c>
      <x:c r="J1361" s="42" t="n">
        <x:v>1.0071539330741381</x:v>
      </x:c>
      <x:c r="K1361" s="42" t="n">
        <x:v>-0.0001933525564528525</x:v>
      </x:c>
      <x:c r="L1361" s="26" t="n">
        <x:v>1643</x:v>
      </x:c>
      <x:c r="M1361" s="26" t="n">
        <x:v>2031</x:v>
      </x:c>
      <x:c r="N1361" s="26" t="n">
        <x:v>2420</x:v>
      </x:c>
    </x:row>
    <x:row r="1362">
      <x:c r="A1362" s="20" t="str">
        <x:v>T2_CONCORDANT_DOMAIN</x:v>
      </x:c>
      <x:c r="B1362" s="20" t="str">
        <x:v>NYC-V3-R04</x:v>
      </x:c>
      <x:c r="C1362" s="20" t="str">
        <x:v>V3</x:v>
      </x:c>
      <x:c r="D1362" s="20" t="str">
        <x:v>housing_units</x:v>
      </x:c>
      <x:c r="E1362" s="20" t="str">
        <x:v>housing</x:v>
      </x:c>
      <x:c r="F1362" s="50" t="n">
        <x:v>17672</x:v>
      </x:c>
      <x:c r="G1362" s="50" t="n">
        <x:v>404.64867477850464</x:v>
      </x:c>
      <x:c r="H1362" s="50" t="n">
        <x:v>17672.495</x:v>
      </x:c>
      <x:c r="I1362" s="50" t="n">
        <x:v>442.6814959786346</x:v>
      </x:c>
      <x:c r="J1362" s="42" t="n">
        <x:v>1.0939897337386517</x:v>
      </x:c>
      <x:c r="K1362" s="42" t="n">
        <x:v>0.001223283383468222</x:v>
      </x:c>
      <x:c r="L1362" s="26" t="n">
        <x:v>16892</x:v>
      </x:c>
      <x:c r="M1362" s="26" t="n">
        <x:v>17665</x:v>
      </x:c>
      <x:c r="N1362" s="26" t="n">
        <x:v>18376</x:v>
      </x:c>
    </x:row>
    <x:row r="1363">
      <x:c r="A1363" s="20" t="str">
        <x:v>T2_CONCORDANT_DOMAIN</x:v>
      </x:c>
      <x:c r="B1363" s="20" t="str">
        <x:v>NYC-V3-R04</x:v>
      </x:c>
      <x:c r="C1363" s="20" t="str">
        <x:v>V3</x:v>
      </x:c>
      <x:c r="D1363" s="20" t="str">
        <x:v>occupied_housing_units</x:v>
      </x:c>
      <x:c r="E1363" s="20" t="str">
        <x:v>housing</x:v>
      </x:c>
      <x:c r="F1363" s="50" t="n">
        <x:v>17095</x:v>
      </x:c>
      <x:c r="G1363" s="50" t="n">
        <x:v>423.33633201037685</x:v>
      </x:c>
      <x:c r="H1363" s="50" t="n">
        <x:v>17095.464</x:v>
      </x:c>
      <x:c r="I1363" s="50" t="n">
        <x:v>382.6732568726557</x:v>
      </x:c>
      <x:c r="J1363" s="42" t="n">
        <x:v>0.903946172196899</x:v>
      </x:c>
      <x:c r="K1363" s="42" t="n">
        <x:v>0.0010960552282306074</x:v>
      </x:c>
      <x:c r="L1363" s="26" t="n">
        <x:v>16483</x:v>
      </x:c>
      <x:c r="M1363" s="26" t="n">
        <x:v>17093</x:v>
      </x:c>
      <x:c r="N1363" s="26" t="n">
        <x:v>17701</x:v>
      </x:c>
    </x:row>
    <x:row r="1364">
      <x:c r="A1364" s="20" t="str">
        <x:v>T2_CONCORDANT_DOMAIN</x:v>
      </x:c>
      <x:c r="B1364" s="20" t="str">
        <x:v>NYC-V3-R04</x:v>
      </x:c>
      <x:c r="C1364" s="20" t="str">
        <x:v>V3</x:v>
      </x:c>
      <x:c r="D1364" s="20" t="str">
        <x:v>vacant_housing_units</x:v>
      </x:c>
      <x:c r="E1364" s="20" t="str">
        <x:v>housing</x:v>
      </x:c>
      <x:c r="F1364" s="50" t="n">
        <x:v>577</x:v>
      </x:c>
      <x:c r="G1364" s="50" t="n">
        <x:v>144.01145787748973</x:v>
      </x:c>
      <x:c r="H1364" s="50" t="n">
        <x:v>577.031</x:v>
      </x:c>
      <x:c r="I1364" s="50" t="n">
        <x:v>146.416856730825</x:v>
      </x:c>
      <x:c r="J1364" s="42" t="n">
        <x:v>1.016702829683049</x:v>
      </x:c>
      <x:c r="K1364" s="42" t="n">
        <x:v>0.0002152606497902459</x:v>
      </x:c>
      <x:c r="L1364" s="26" t="n">
        <x:v>326</x:v>
      </x:c>
      <x:c r="M1364" s="26" t="n">
        <x:v>580</x:v>
      </x:c>
      <x:c r="N1364" s="26" t="n">
        <x:v>818</x:v>
      </x:c>
    </x:row>
    <x:row r="1365">
      <x:c r="A1365" s="20" t="str">
        <x:v>T2_CONCORDANT_DOMAIN</x:v>
      </x:c>
      <x:c r="B1365" s="20" t="str">
        <x:v>NYC-V3-R04</x:v>
      </x:c>
      <x:c r="C1365" s="20" t="str">
        <x:v>V3</x:v>
      </x:c>
      <x:c r="D1365" s="20" t="str">
        <x:v>owner_occupied_units</x:v>
      </x:c>
      <x:c r="E1365" s="20" t="str">
        <x:v>housing</x:v>
      </x:c>
      <x:c r="F1365" s="50" t="n">
        <x:v>7231</x:v>
      </x:c>
      <x:c r="G1365" s="50" t="n">
        <x:v>385.0141309656408</x:v>
      </x:c>
      <x:c r="H1365" s="50" t="n">
        <x:v>7231.191</x:v>
      </x:c>
      <x:c r="I1365" s="50" t="n">
        <x:v>292.9352993556915</x:v>
      </x:c>
      <x:c r="J1365" s="42" t="n">
        <x:v>0.7608429815835343</x:v>
      </x:c>
      <x:c r="K1365" s="42" t="n">
        <x:v>0.0004960856878701126</x:v>
      </x:c>
      <x:c r="L1365" s="26" t="n">
        <x:v>6722</x:v>
      </x:c>
      <x:c r="M1365" s="26" t="n">
        <x:v>7240</x:v>
      </x:c>
      <x:c r="N1365" s="26" t="n">
        <x:v>7707</x:v>
      </x:c>
    </x:row>
    <x:row r="1366">
      <x:c r="A1366" s="20" t="str">
        <x:v>T2_CONCORDANT_DOMAIN</x:v>
      </x:c>
      <x:c r="B1366" s="20" t="str">
        <x:v>NYC-V3-R04</x:v>
      </x:c>
      <x:c r="C1366" s="20" t="str">
        <x:v>V3</x:v>
      </x:c>
      <x:c r="D1366" s="20" t="str">
        <x:v>renter_occupied_units</x:v>
      </x:c>
      <x:c r="E1366" s="20" t="str">
        <x:v>housing</x:v>
      </x:c>
      <x:c r="F1366" s="50" t="n">
        <x:v>9864</x:v>
      </x:c>
      <x:c r="G1366" s="50" t="n">
        <x:v>429.7438102249084</x:v>
      </x:c>
      <x:c r="H1366" s="50" t="n">
        <x:v>9864.273</x:v>
      </x:c>
      <x:c r="I1366" s="50" t="n">
        <x:v>294.5008611672099</x:v>
      </x:c>
      <x:c r="J1366" s="42" t="n">
        <x:v>0.6852940150855961</x:v>
      </x:c>
      <x:c r="K1366" s="42" t="n">
        <x:v>0.0006352622039078422</x:v>
      </x:c>
      <x:c r="L1366" s="26" t="n">
        <x:v>9393</x:v>
      </x:c>
      <x:c r="M1366" s="26" t="n">
        <x:v>9854</x:v>
      </x:c>
      <x:c r="N1366" s="26" t="n">
        <x:v>10345</x:v>
      </x:c>
    </x:row>
    <x:row r="1367">
      <x:c r="A1367" s="20" t="str">
        <x:v>T2_CONCORDANT_DOMAIN</x:v>
      </x:c>
      <x:c r="B1367" s="20" t="str">
        <x:v>NYC-V3-R04</x:v>
      </x:c>
      <x:c r="C1367" s="20" t="str">
        <x:v>V3</x:v>
      </x:c>
      <x:c r="D1367" s="20" t="str">
        <x:v>one_unit_structures</x:v>
      </x:c>
      <x:c r="E1367" s="20" t="str">
        <x:v>housing</x:v>
      </x:c>
      <x:c r="F1367" s="50" t="n">
        <x:v>1836</x:v>
      </x:c>
      <x:c r="G1367" s="50" t="n">
        <x:v>275.77954996292146</x:v>
      </x:c>
      <x:c r="H1367" s="50" t="n">
        <x:v>1835.874</x:v>
      </x:c>
      <x:c r="I1367" s="50" t="n">
        <x:v>215.33963704641857</x:v>
      </x:c>
      <x:c r="J1367" s="42" t="n">
        <x:v>0.7808397579710713</x:v>
      </x:c>
      <x:c r="K1367" s="42" t="n">
        <x:v>-0.000456886669141773</x:v>
      </x:c>
      <x:c r="L1367" s="26" t="n">
        <x:v>1478</x:v>
      </x:c>
      <x:c r="M1367" s="26" t="n">
        <x:v>1843</x:v>
      </x:c>
      <x:c r="N1367" s="26" t="n">
        <x:v>2173</x:v>
      </x:c>
    </x:row>
    <x:row r="1368">
      <x:c r="A1368" s="20" t="str">
        <x:v>T2_CONCORDANT_DOMAIN</x:v>
      </x:c>
      <x:c r="B1368" s="20" t="str">
        <x:v>NYC-V3-R04</x:v>
      </x:c>
      <x:c r="C1368" s="20" t="str">
        <x:v>V3</x:v>
      </x:c>
      <x:c r="D1368" s="20" t="str">
        <x:v>two_to_four_unit_structures</x:v>
      </x:c>
      <x:c r="E1368" s="20" t="str">
        <x:v>housing</x:v>
      </x:c>
      <x:c r="F1368" s="50" t="n">
        <x:v>974</x:v>
      </x:c>
      <x:c r="G1368" s="50" t="n">
        <x:v>246.60704191189794</x:v>
      </x:c>
      <x:c r="H1368" s="50" t="n">
        <x:v>973.814</x:v>
      </x:c>
      <x:c r="I1368" s="50" t="n">
        <x:v>195.23724282263612</x:v>
      </x:c>
      <x:c r="J1368" s="42" t="n">
        <x:v>0.7916937055365433</x:v>
      </x:c>
      <x:c r="K1368" s="42" t="n">
        <x:v>-0.0007542363695619254</x:v>
      </x:c>
      <x:c r="L1368" s="26" t="n">
        <x:v>650</x:v>
      </x:c>
      <x:c r="M1368" s="26" t="n">
        <x:v>974</x:v>
      </x:c>
      <x:c r="N1368" s="26" t="n">
        <x:v>1297</x:v>
      </x:c>
    </x:row>
    <x:row r="1369">
      <x:c r="A1369" s="20" t="str">
        <x:v>T2_CONCORDANT_DOMAIN</x:v>
      </x:c>
      <x:c r="B1369" s="20" t="str">
        <x:v>NYC-V3-R04</x:v>
      </x:c>
      <x:c r="C1369" s="20" t="str">
        <x:v>V3</x:v>
      </x:c>
      <x:c r="D1369" s="20" t="str">
        <x:v>five_to_nineteen_unit_structures</x:v>
      </x:c>
      <x:c r="E1369" s="20" t="str">
        <x:v>housing</x:v>
      </x:c>
      <x:c r="F1369" s="50" t="n">
        <x:v>818</x:v>
      </x:c>
      <x:c r="G1369" s="50" t="n">
        <x:v>178.99509981324354</x:v>
      </x:c>
      <x:c r="H1369" s="50" t="n">
        <x:v>818.009</x:v>
      </x:c>
      <x:c r="I1369" s="50" t="n">
        <x:v>152.75011462030565</x:v>
      </x:c>
      <x:c r="J1369" s="42" t="n">
        <x:v>0.853375957105413</x:v>
      </x:c>
      <x:c r="K1369" s="42" t="n">
        <x:v>0.000050280706060695505</x:v>
      </x:c>
      <x:c r="L1369" s="26" t="n">
        <x:v>559</x:v>
      </x:c>
      <x:c r="M1369" s="26" t="n">
        <x:v>822</x:v>
      </x:c>
      <x:c r="N1369" s="26" t="n">
        <x:v>1062</x:v>
      </x:c>
    </x:row>
    <x:row r="1370">
      <x:c r="A1370" s="20" t="str">
        <x:v>T2_CONCORDANT_DOMAIN</x:v>
      </x:c>
      <x:c r="B1370" s="20" t="str">
        <x:v>NYC-V3-R04</x:v>
      </x:c>
      <x:c r="C1370" s="20" t="str">
        <x:v>V3</x:v>
      </x:c>
      <x:c r="D1370" s="20" t="str">
        <x:v>twenty_to_forty_nine_unit_structures</x:v>
      </x:c>
      <x:c r="E1370" s="20" t="str">
        <x:v>housing</x:v>
      </x:c>
      <x:c r="F1370" s="50" t="n">
        <x:v>3048</x:v>
      </x:c>
      <x:c r="G1370" s="50" t="n">
        <x:v>309.55025697172977</x:v>
      </x:c>
      <x:c r="H1370" s="50" t="n">
        <x:v>3047.871</x:v>
      </x:c>
      <x:c r="I1370" s="50" t="n">
        <x:v>224.43503167385086</x:v>
      </x:c>
      <x:c r="J1370" s="42" t="n">
        <x:v>0.7250358435152189</x:v>
      </x:c>
      <x:c r="K1370" s="42" t="n">
        <x:v>-0.0004167336227140867</x:v>
      </x:c>
      <x:c r="L1370" s="26" t="n">
        <x:v>2672</x:v>
      </x:c>
      <x:c r="M1370" s="26" t="n">
        <x:v>3034</x:v>
      </x:c>
      <x:c r="N1370" s="26" t="n">
        <x:v>3421</x:v>
      </x:c>
    </x:row>
    <x:row r="1371">
      <x:c r="A1371" s="20" t="str">
        <x:v>T2_CONCORDANT_DOMAIN</x:v>
      </x:c>
      <x:c r="B1371" s="20" t="str">
        <x:v>NYC-V3-R04</x:v>
      </x:c>
      <x:c r="C1371" s="20" t="str">
        <x:v>V3</x:v>
      </x:c>
      <x:c r="D1371" s="20" t="str">
        <x:v>fifty_plus_unit_structures</x:v>
      </x:c>
      <x:c r="E1371" s="20" t="str">
        <x:v>housing</x:v>
      </x:c>
      <x:c r="F1371" s="50" t="n">
        <x:v>10419</x:v>
      </x:c>
      <x:c r="G1371" s="50" t="n">
        <x:v>494.1692151481855</x:v>
      </x:c>
      <x:c r="H1371" s="50" t="n">
        <x:v>10397.969</x:v>
      </x:c>
      <x:c r="I1371" s="50" t="n">
        <x:v>322.37668458771293</x:v>
      </x:c>
      <x:c r="J1371" s="42" t="n">
        <x:v>0.6523609215338161</x:v>
      </x:c>
      <x:c r="K1371" s="42" t="n">
        <x:v>-0.04255829654158917</x:v>
      </x:c>
      <x:c r="L1371" s="26" t="n">
        <x:v>9894</x:v>
      </x:c>
      <x:c r="M1371" s="26" t="n">
        <x:v>10394</x:v>
      </x:c>
      <x:c r="N1371" s="26" t="n">
        <x:v>10946</x:v>
      </x:c>
    </x:row>
    <x:row r="1372">
      <x:c r="A1372" s="20" t="str">
        <x:v>T2_CONCORDANT_DOMAIN</x:v>
      </x:c>
      <x:c r="B1372" s="20" t="str">
        <x:v>NYC-V3-R04</x:v>
      </x:c>
      <x:c r="C1372" s="20" t="str">
        <x:v>V3</x:v>
      </x:c>
      <x:c r="D1372" s="20" t="str">
        <x:v>mobile_or_other_units</x:v>
      </x:c>
      <x:c r="E1372" s="20" t="str">
        <x:v>housing</x:v>
      </x:c>
      <x:c r="F1372" s="50" t="n">
        <x:v>0</x:v>
      </x:c>
      <x:c r="G1372" s="50" t="n">
        <x:v>56.987436572683116</x:v>
      </x:c>
      <x:c r="H1372" s="50" t="n">
        <x:v>21.927</x:v>
      </x:c>
      <x:c r="I1372" s="50" t="n">
        <x:v>32.582469033028914</x:v>
      </x:c>
      <x:c r="J1372" s="42" t="n">
        <x:v>0.5717482833514097</x:v>
      </x:c>
      <x:c r="K1372" s="42" t="n">
        <x:v>0.3847690178524487</x:v>
      </x:c>
      <x:c r="L1372" s="26" t="n">
        <x:v>0</x:v>
      </x:c>
      <x:c r="M1372" s="26" t="n">
        <x:v>0</x:v>
      </x:c>
      <x:c r="N1372" s="26" t="n">
        <x:v>91</x:v>
      </x:c>
    </x:row>
    <x:row r="1373">
      <x:c r="A1373" s="20" t="str">
        <x:v>T2_CONCORDANT_DOMAIN</x:v>
      </x:c>
      <x:c r="B1373" s="20" t="str">
        <x:v>NYC-V3-R04</x:v>
      </x:c>
      <x:c r="C1373" s="20" t="str">
        <x:v>V3</x:v>
      </x:c>
      <x:c r="D1373" s="20" t="str">
        <x:v>electric_heat_households</x:v>
      </x:c>
      <x:c r="E1373" s="20" t="str">
        <x:v>housing</x:v>
      </x:c>
      <x:c r="F1373" s="50" t="n">
        <x:v>1225</x:v>
      </x:c>
      <x:c r="G1373" s="50" t="n">
        <x:v>176.13872373785387</x:v>
      </x:c>
      <x:c r="H1373" s="50" t="n">
        <x:v>1224.98</x:v>
      </x:c>
      <x:c r="I1373" s="50" t="n">
        <x:v>173.49612244803774</x:v>
      </x:c>
      <x:c r="J1373" s="42" t="n">
        <x:v>0.984997045318955</x:v>
      </x:c>
      <x:c r="K1373" s="42" t="n">
        <x:v>-0.0001135468656497573</x:v>
      </x:c>
      <x:c r="L1373" s="26" t="n">
        <x:v>953</x:v>
      </x:c>
      <x:c r="M1373" s="26" t="n">
        <x:v>1222</x:v>
      </x:c>
      <x:c r="N1373" s="26" t="n">
        <x:v>1510</x:v>
      </x:c>
    </x:row>
    <x:row r="1374">
      <x:c r="A1374" s="21" t="str">
        <x:v>T2_CONCORDANT_DOMAIN</x:v>
      </x:c>
      <x:c r="B1374" s="21" t="str">
        <x:v>NYC-V3-R04</x:v>
      </x:c>
      <x:c r="C1374" s="21" t="str">
        <x:v>V3</x:v>
      </x:c>
      <x:c r="D1374" s="21" t="str">
        <x:v>group_quarters_population</x:v>
      </x:c>
      <x:c r="E1374" s="21" t="str">
        <x:v>population</x:v>
      </x:c>
      <x:c r="F1374" s="51" t="n">
        <x:v>81</x:v>
      </x:c>
      <x:c r="G1374" s="51" t="n">
        <x:v>1.8439088914585775</x:v>
      </x:c>
      <x:c r="H1374" s="51" t="n">
        <x:v>81.008</x:v>
      </x:c>
      <x:c r="I1374" s="51" t="n">
        <x:v>1.944663908678751</x:v>
      </x:c>
      <x:c r="J1374" s="43" t="n">
        <x:v>1.054642080032747</x:v>
      </x:c>
      <x:c r="K1374" s="43" t="n">
        <x:v>0.004338609156370719</x:v>
      </x:c>
      <x:c r="L1374" s="27" t="n">
        <x:v>78</x:v>
      </x:c>
      <x:c r="M1374" s="27" t="n">
        <x:v>81</x:v>
      </x:c>
      <x:c r="N1374" s="27" t="n">
        <x:v>84</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42" hidden="0" customWidth="1"/>
    <x:col min="2" max="2" width="18" hidden="0" customWidth="1"/>
    <x:col min="3" max="3" width="18" hidden="0" customWidth="1"/>
    <x:col min="4" max="4" width="16" hidden="0" customWidth="1"/>
    <x:col min="5" max="5" width="16" hidden="0" customWidth="1"/>
    <x:col min="6" max="6" width="16" hidden="0" customWidth="1"/>
    <x:col min="7" max="7" width="18" hidden="0" customWidth="1"/>
    <x:col min="8" max="8" width="86" hidden="0" customWidth="1"/>
  </x:cols>
  <x:sheetData>
    <x:row r="1">
      <x:c r="A1" s="1" t="str">
        <x:v>Failure Injections</x:v>
      </x:c>
      <x:c r="B1" s="28"/>
      <x:c r="C1" s="28"/>
      <x:c r="D1" s="28"/>
      <x:c r="E1" s="28"/>
      <x:c r="F1" s="28"/>
      <x:c r="G1" s="28"/>
      <x:c r="H1" s="28"/>
    </x:row>
    <x:row r="2">
      <x:c r="A2" s="2" t="str">
        <x:v>Deliberate contradictions used to verify the projection-distance stop</x:v>
      </x:c>
      <x:c r="B2" s="28"/>
      <x:c r="C2" s="28"/>
      <x:c r="D2" s="28"/>
      <x:c r="E2" s="28"/>
      <x:c r="F2" s="28"/>
      <x:c r="G2" s="28"/>
      <x:c r="H2" s="28"/>
    </x:row>
    <x:row r="3">
      <x:c r="A3" s="28"/>
      <x:c r="B3" s="28"/>
      <x:c r="C3" s="28"/>
      <x:c r="D3" s="28"/>
      <x:c r="E3" s="28"/>
      <x:c r="F3" s="28"/>
      <x:c r="G3" s="28"/>
      <x:c r="H3" s="28"/>
    </x:row>
    <x:row r="4">
      <x:c r="A4" s="29"/>
      <x:c r="B4" s="29"/>
      <x:c r="C4" s="29"/>
      <x:c r="D4" s="29"/>
      <x:c r="E4" s="29"/>
      <x:c r="F4" s="29"/>
      <x:c r="G4" s="29"/>
      <x:c r="H4" s="29"/>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c r="H5" s="28"/>
    </x:row>
    <x:row r="6" ht="34" customHeight="1">
      <x:c r="A6" s="16" t="str">
        <x:v>Injection</x:v>
      </x:c>
      <x:c r="B6" s="16" t="str">
        <x:v>Catchment</x:v>
      </x:c>
      <x:c r="C6" s="16" t="str">
        <x:v>Projection solved</x:v>
      </x:c>
      <x:c r="D6" s="16" t="str">
        <x:v>Mean shift</x:v>
      </x:c>
      <x:c r="E6" s="16" t="str">
        <x:v>Screen max</x:v>
      </x:c>
      <x:c r="F6" s="16" t="str">
        <x:v>Any max</x:v>
      </x:c>
      <x:c r="G6" s="16" t="str">
        <x:v>Decision</x:v>
      </x:c>
      <x:c r="H6" s="16" t="str">
        <x:v>Rule</x:v>
      </x:c>
    </x:row>
    <x:row r="7">
      <x:c r="A7" s="19" t="str">
        <x:v>NEGATIVE_POPULATION</x:v>
      </x:c>
      <x:c r="B7" s="19" t="str">
        <x:v>NYC-V1-R03</x:v>
      </x:c>
      <x:c r="C7" s="19" t="str">
        <x:v>Yes</x:v>
      </x:c>
      <x:c r="D7" s="41" t="n">
        <x:v>1.0161219005350246</x:v>
      </x:c>
      <x:c r="E7" s="41" t="n">
        <x:v>33.41746293975007</x:v>
      </x:c>
      <x:c r="F7" s="41" t="n">
        <x:v>33.41746293975007</x:v>
      </x:c>
      <x:c r="G7" s="19" t="str">
        <x:v>Rejected</x:v>
      </x:c>
      <x:c r="H7" s="31" t="str">
        <x:v>REJECT_IF_SOLVER_FAILS_OR_MEAN_SHIFT_GT_0.50_OR_SCREEN_MAX_GT_5_SE_OR_ANY_MAX_GT_8_SE</x:v>
      </x:c>
    </x:row>
    <x:row r="8">
      <x:c r="A8" s="20" t="str">
        <x:v>AGE_NESTING</x:v>
      </x:c>
      <x:c r="B8" s="20" t="str">
        <x:v>NYC-V1-R03</x:v>
      </x:c>
      <x:c r="C8" s="20" t="str">
        <x:v>Yes</x:v>
      </x:c>
      <x:c r="D8" s="42" t="n">
        <x:v>2.13909641485105</x:v>
      </x:c>
      <x:c r="E8" s="42" t="n">
        <x:v>0</x:v>
      </x:c>
      <x:c r="F8" s="42" t="n">
        <x:v>51.631403258005754</x:v>
      </x:c>
      <x:c r="G8" s="20" t="str">
        <x:v>Rejected</x:v>
      </x:c>
      <x:c r="H8" s="32" t="str">
        <x:v>REJECT_IF_SOLVER_FAILS_OR_MEAN_SHIFT_GT_0.50_OR_SCREEN_MAX_GT_5_SE_OR_ANY_MAX_GT_8_SE</x:v>
      </x:c>
    </x:row>
    <x:row r="9">
      <x:c r="A9" s="20" t="str">
        <x:v>AGE_EXHAUSTION</x:v>
      </x:c>
      <x:c r="B9" s="20" t="str">
        <x:v>NYC-V1-R03</x:v>
      </x:c>
      <x:c r="C9" s="20" t="str">
        <x:v>Yes</x:v>
      </x:c>
      <x:c r="D9" s="42" t="n">
        <x:v>0.6971991888403316</x:v>
      </x:c>
      <x:c r="E9" s="42" t="n">
        <x:v>26.4935691759326</x:v>
      </x:c>
      <x:c r="F9" s="42" t="n">
        <x:v>26.4935691759326</x:v>
      </x:c>
      <x:c r="G9" s="20" t="str">
        <x:v>Rejected</x:v>
      </x:c>
      <x:c r="H9" s="32" t="str">
        <x:v>REJECT_IF_SOLVER_FAILS_OR_MEAN_SHIFT_GT_0.50_OR_SCREEN_MAX_GT_5_SE_OR_ANY_MAX_GT_8_SE</x:v>
      </x:c>
    </x:row>
    <x:row r="10">
      <x:c r="A10" s="20" t="str">
        <x:v>HOUSEHOLD_PERSON_MINIMUM</x:v>
      </x:c>
      <x:c r="B10" s="20" t="str">
        <x:v>NYC-V1-R03</x:v>
      </x:c>
      <x:c r="C10" s="20" t="str">
        <x:v>Yes</x:v>
      </x:c>
      <x:c r="D10" s="42" t="n">
        <x:v>1.7896167416397162</x:v>
      </x:c>
      <x:c r="E10" s="42" t="n">
        <x:v>39.90107823603495</x:v>
      </x:c>
      <x:c r="F10" s="42" t="n">
        <x:v>39.90107823603495</x:v>
      </x:c>
      <x:c r="G10" s="20" t="str">
        <x:v>Rejected</x:v>
      </x:c>
      <x:c r="H10" s="32" t="str">
        <x:v>REJECT_IF_SOLVER_FAILS_OR_MEAN_SHIFT_GT_0.50_OR_SCREEN_MAX_GT_5_SE_OR_ANY_MAX_GT_8_SE</x:v>
      </x:c>
    </x:row>
    <x:row r="11">
      <x:c r="A11" s="20" t="str">
        <x:v>OCCUPANCY_IDENTITY</x:v>
      </x:c>
      <x:c r="B11" s="20" t="str">
        <x:v>NYC-V1-R03</x:v>
      </x:c>
      <x:c r="C11" s="20" t="str">
        <x:v>Yes</x:v>
      </x:c>
      <x:c r="D11" s="42" t="n">
        <x:v>1.0558583472629632</x:v>
      </x:c>
      <x:c r="E11" s="42" t="n">
        <x:v>24.073570317595564</x:v>
      </x:c>
      <x:c r="F11" s="42" t="n">
        <x:v>24.073570317595564</x:v>
      </x:c>
      <x:c r="G11" s="20" t="str">
        <x:v>Rejected</x:v>
      </x:c>
      <x:c r="H11" s="32" t="str">
        <x:v>REJECT_IF_SOLVER_FAILS_OR_MEAN_SHIFT_GT_0.50_OR_SCREEN_MAX_GT_5_SE_OR_ANY_MAX_GT_8_SE</x:v>
      </x:c>
    </x:row>
    <x:row r="12">
      <x:c r="A12" s="20" t="str">
        <x:v>TENURE_IDENTITY</x:v>
      </x:c>
      <x:c r="B12" s="20" t="str">
        <x:v>NYC-V1-R03</x:v>
      </x:c>
      <x:c r="C12" s="20" t="str">
        <x:v>Yes</x:v>
      </x:c>
      <x:c r="D12" s="42" t="n">
        <x:v>1.109676071047037</x:v>
      </x:c>
      <x:c r="E12" s="42" t="n">
        <x:v>41.88674805077544</x:v>
      </x:c>
      <x:c r="F12" s="42" t="n">
        <x:v>41.88674805077544</x:v>
      </x:c>
      <x:c r="G12" s="20" t="str">
        <x:v>Rejected</x:v>
      </x:c>
      <x:c r="H12" s="32" t="str">
        <x:v>REJECT_IF_SOLVER_FAILS_OR_MEAN_SHIFT_GT_0.50_OR_SCREEN_MAX_GT_5_SE_OR_ANY_MAX_GT_8_SE</x:v>
      </x:c>
    </x:row>
    <x:row r="13">
      <x:c r="A13" s="20" t="str">
        <x:v>STRUCTURE_IDENTITY</x:v>
      </x:c>
      <x:c r="B13" s="20" t="str">
        <x:v>NYC-V1-R03</x:v>
      </x:c>
      <x:c r="C13" s="20" t="str">
        <x:v>Yes</x:v>
      </x:c>
      <x:c r="D13" s="42" t="n">
        <x:v>1.0446160440276762</x:v>
      </x:c>
      <x:c r="E13" s="42" t="n">
        <x:v>39.69540967305169</x:v>
      </x:c>
      <x:c r="F13" s="42" t="n">
        <x:v>39.69540967305169</x:v>
      </x:c>
      <x:c r="G13" s="20" t="str">
        <x:v>Rejected</x:v>
      </x:c>
      <x:c r="H13" s="32" t="str">
        <x:v>REJECT_IF_SOLVER_FAILS_OR_MEAN_SHIFT_GT_0.50_OR_SCREEN_MAX_GT_5_SE_OR_ANY_MAX_GT_8_SE</x:v>
      </x:c>
    </x:row>
    <x:row r="14">
      <x:c r="A14" s="20" t="str">
        <x:v>DISABILITY_IDENTITY</x:v>
      </x:c>
      <x:c r="B14" s="20" t="str">
        <x:v>NYC-V1-R03</x:v>
      </x:c>
      <x:c r="C14" s="20" t="str">
        <x:v>Yes</x:v>
      </x:c>
      <x:c r="D14" s="42" t="n">
        <x:v>1.430859973753358</x:v>
      </x:c>
      <x:c r="E14" s="42" t="n">
        <x:v>0</x:v>
      </x:c>
      <x:c r="F14" s="42" t="n">
        <x:v>39.46104355707125</x:v>
      </x:c>
      <x:c r="G14" s="20" t="str">
        <x:v>Rejected</x:v>
      </x:c>
      <x:c r="H14" s="32" t="str">
        <x:v>REJECT_IF_SOLVER_FAILS_OR_MEAN_SHIFT_GT_0.50_OR_SCREEN_MAX_GT_5_SE_OR_ANY_MAX_GT_8_SE</x:v>
      </x:c>
    </x:row>
    <x:row r="15">
      <x:c r="A15" s="20" t="str">
        <x:v>NEGATIVE_RARE_CELL</x:v>
      </x:c>
      <x:c r="B15" s="20" t="str">
        <x:v>NYC-V1-R03</x:v>
      </x:c>
      <x:c r="C15" s="20" t="str">
        <x:v>Yes</x:v>
      </x:c>
      <x:c r="D15" s="42" t="n">
        <x:v>2.8179047179402006</x:v>
      </x:c>
      <x:c r="E15" s="42" t="n">
        <x:v>0</x:v>
      </x:c>
      <x:c r="F15" s="42" t="n">
        <x:v>107.08037928172763</x:v>
      </x:c>
      <x:c r="G15" s="20" t="str">
        <x:v>Rejected</x:v>
      </x:c>
      <x:c r="H15" s="32" t="str">
        <x:v>REJECT_IF_SOLVER_FAILS_OR_MEAN_SHIFT_GT_0.50_OR_SCREEN_MAX_GT_5_SE_OR_ANY_MAX_GT_8_SE</x:v>
      </x:c>
    </x:row>
    <x:row r="16">
      <x:c r="A16" s="21" t="str">
        <x:v>GROUP_QUARTERS_EXCEEDS_POPULATION</x:v>
      </x:c>
      <x:c r="B16" s="21" t="str">
        <x:v>NYC-V1-R03</x:v>
      </x:c>
      <x:c r="C16" s="21" t="str">
        <x:v>Yes</x:v>
      </x:c>
      <x:c r="D16" s="43" t="n">
        <x:v>1.0826956962458367</x:v>
      </x:c>
      <x:c r="E16" s="43" t="n">
        <x:v>41.142436457341795</x:v>
      </x:c>
      <x:c r="F16" s="43" t="n">
        <x:v>41.142436457341795</x:v>
      </x:c>
      <x:c r="G16" s="21" t="str">
        <x:v>Rejected</x:v>
      </x:c>
      <x:c r="H16" s="33" t="str">
        <x:v>REJECT_IF_SOLVER_FAILS_OR_MEAN_SHIFT_GT_0.50_OR_SCREEN_MAX_GT_5_SE_OR_ANY_MAX_GT_8_SE</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18" hidden="0" customWidth="1"/>
    <x:col min="4" max="4" width="20" hidden="0" customWidth="1"/>
    <x:col min="5" max="5" width="20" hidden="0" customWidth="1"/>
    <x:col min="6" max="6" width="22" hidden="0" customWidth="1"/>
    <x:col min="7" max="7" width="18" hidden="0" customWidth="1"/>
  </x:cols>
  <x:sheetData>
    <x:row r="1">
      <x:c r="A1" s="1" t="str">
        <x:v>Target Integrity</x:v>
      </x:c>
      <x:c r="B1" s="28"/>
      <x:c r="C1" s="28"/>
      <x:c r="D1" s="28"/>
      <x:c r="E1" s="28"/>
      <x:c r="F1" s="28"/>
      <x:c r="G1" s="28"/>
    </x:row>
    <x:row r="2">
      <x:c r="A2" s="2" t="str">
        <x:v>Independent check of every projected candidate target against type and hard constraints</x:v>
      </x:c>
      <x:c r="B2" s="28"/>
      <x:c r="C2" s="28"/>
      <x:c r="D2" s="28"/>
      <x:c r="E2" s="28"/>
      <x:c r="F2" s="28"/>
      <x:c r="G2" s="28"/>
    </x:row>
    <x:row r="3">
      <x:c r="A3" s="28"/>
      <x:c r="B3" s="28"/>
      <x:c r="C3" s="28"/>
      <x:c r="D3" s="28"/>
      <x:c r="E3" s="28"/>
      <x:c r="F3" s="28"/>
      <x:c r="G3" s="28"/>
    </x:row>
    <x:row r="4">
      <x:c r="A4" s="29"/>
      <x:c r="B4" s="29"/>
      <x:c r="C4" s="29"/>
      <x:c r="D4" s="29"/>
      <x:c r="E4" s="29"/>
      <x:c r="F4" s="29"/>
      <x:c r="G4" s="29"/>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c r="D5" s="28"/>
      <x:c r="E5" s="28"/>
      <x:c r="F5" s="28"/>
      <x:c r="G5" s="28"/>
    </x:row>
    <x:row r="6" ht="34" customHeight="1">
      <x:c r="A6" s="16" t="str">
        <x:v>Case</x:v>
      </x:c>
      <x:c r="B6" s="16" t="str">
        <x:v>Rows</x:v>
      </x:c>
      <x:c r="C6" s="16" t="str">
        <x:v>Negative cells</x:v>
      </x:c>
      <x:c r="D6" s="16" t="str">
        <x:v>Noninteger cells</x:v>
      </x:c>
      <x:c r="E6" s="16" t="str">
        <x:v>Equality violations</x:v>
      </x:c>
      <x:c r="F6" s="16" t="str">
        <x:v>Inequality violations</x:v>
      </x:c>
      <x:c r="G6" s="16" t="str">
        <x:v>Rejected rows</x:v>
      </x:c>
    </x:row>
    <x:row r="7">
      <x:c r="A7" s="19" t="str">
        <x:v>T0_TABLE_BLOCK</x:v>
      </x:c>
      <x:c r="B7" s="25" t="n">
        <x:v>12000</x:v>
      </x:c>
      <x:c r="C7" s="25" t="n">
        <x:v>0</x:v>
      </x:c>
      <x:c r="D7" s="25" t="n">
        <x:v>0</x:v>
      </x:c>
      <x:c r="E7" s="25" t="n">
        <x:v>0</x:v>
      </x:c>
      <x:c r="F7" s="25" t="n">
        <x:v>0</x:v>
      </x:c>
      <x:c r="G7" s="25" t="n">
        <x:v>8</x:v>
      </x:c>
    </x:row>
    <x:row r="8">
      <x:c r="A8" s="20" t="str">
        <x:v>T1_SHARED_CATCHMENT</x:v>
      </x:c>
      <x:c r="B8" s="26" t="n">
        <x:v>12000</x:v>
      </x:c>
      <x:c r="C8" s="26" t="n">
        <x:v>0</x:v>
      </x:c>
      <x:c r="D8" s="26" t="n">
        <x:v>0</x:v>
      </x:c>
      <x:c r="E8" s="26" t="n">
        <x:v>0</x:v>
      </x:c>
      <x:c r="F8" s="26" t="n">
        <x:v>0</x:v>
      </x:c>
      <x:c r="G8" s="26" t="n">
        <x:v>4</x:v>
      </x:c>
    </x:row>
    <x:row r="9">
      <x:c r="A9" s="21" t="str">
        <x:v>T2_CONCORDANT_DOMAIN</x:v>
      </x:c>
      <x:c r="B9" s="27" t="n">
        <x:v>12000</x:v>
      </x:c>
      <x:c r="C9" s="27" t="n">
        <x:v>0</x:v>
      </x:c>
      <x:c r="D9" s="27" t="n">
        <x:v>0</x:v>
      </x:c>
      <x:c r="E9" s="27" t="n">
        <x:v>0</x:v>
      </x:c>
      <x:c r="F9" s="27" t="n">
        <x:v>0</x:v>
      </x:c>
      <x:c r="G9" s="27" t="n">
        <x:v>1</x:v>
      </x:c>
    </x:row>
    <x:row r="10">
      <x:c r="A10" s="28"/>
      <x:c r="B10" s="28"/>
      <x:c r="C10" s="28"/>
      <x:c r="D10" s="28"/>
      <x:c r="E10" s="28"/>
      <x:c r="F10" s="28"/>
      <x:c r="G10" s="28"/>
    </x:row>
    <x:row r="11">
      <x:c r="A11" s="28"/>
      <x:c r="B11" s="28"/>
      <x:c r="C11" s="28"/>
      <x:c r="D11" s="28"/>
      <x:c r="E11" s="28"/>
      <x:c r="F11" s="28"/>
      <x:c r="G11" s="28"/>
    </x:row>
    <x:row r="12">
      <x:c r="A12" s="6" t="str">
        <x:v>Interpretation</x:v>
      </x:c>
      <x:c r="B12" s="7"/>
      <x:c r="C12" s="7"/>
      <x:c r="D12" s="7"/>
      <x:c r="E12" s="7"/>
      <x:c r="F12" s="7"/>
      <x:c r="G12" s="8"/>
    </x:row>
    <x:row r="13">
      <x:c r="A13" s="37" t="str">
        <x:v>All 36,000 candidate rows are nonnegative integers and satisfy all 33 hard constraints. Thirteen rows are still rejected because feasibility required excessive movement from the sampled margins. Mathematical feasibility is necessary and insufficient for target admission.</x:v>
      </x:c>
      <x:c r="B13" s="37"/>
      <x:c r="C13" s="37"/>
      <x:c r="D13" s="37"/>
      <x:c r="E13" s="37"/>
      <x:c r="F13" s="37"/>
      <x:c r="G13" s="37"/>
    </x:row>
    <x:row r="14">
      <x:c r="A14" s="37"/>
      <x:c r="B14" s="37"/>
      <x:c r="C14" s="37"/>
      <x:c r="D14" s="37"/>
      <x:c r="E14" s="37"/>
      <x:c r="F14" s="37"/>
      <x:c r="G14" s="37"/>
    </x:row>
    <x:row r="15">
      <x:c r="A15" s="37"/>
      <x:c r="B15" s="37"/>
      <x:c r="C15" s="37"/>
      <x:c r="D15" s="37"/>
      <x:c r="E15" s="37"/>
      <x:c r="F15" s="37"/>
      <x:c r="G15" s="37"/>
    </x:row>
  </x:sheetData>
  <x:mergeCells>
    <x:mergeCell ref="A13:G15"/>
  </x:mergeCells>
  <x:pageMargins left="0.7" right="0.7" top="0.75" bottom="0.75" header="0.3" footer="0.3"/>
</x:worksheet>
</file>

<file path=xl/worksheets/sheet15.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T0</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T0_TABLE_BLOCK: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52" t="str">
        <x:v>T0_TABLE_BLOCK</x:v>
      </x:c>
      <x:c r="B7" s="52" t="n">
        <x:v>1</x:v>
      </x:c>
      <x:c r="C7" s="52" t="str">
        <x:v>NYC-V2-R01</x:v>
      </x:c>
      <x:c r="D7" s="52" t="str">
        <x:v>V2</x:v>
      </x:c>
      <x:c r="E7" s="52" t="str">
        <x:v>ADMITTED</x:v>
      </x:c>
      <x:c r="F7" s="53" t="n">
        <x:v>30822</x:v>
      </x:c>
      <x:c r="G7" s="53" t="n">
        <x:v>7661</x:v>
      </x:c>
      <x:c r="H7" s="53" t="n">
        <x:v>3143</x:v>
      </x:c>
      <x:c r="I7" s="53" t="n">
        <x:v>652</x:v>
      </x:c>
      <x:c r="J7" s="53" t="n">
        <x:v>155</x:v>
      </x:c>
      <x:c r="K7" s="53" t="n">
        <x:v>30143</x:v>
      </x:c>
      <x:c r="L7" s="53" t="n">
        <x:v>5649</x:v>
      </x:c>
      <x:c r="M7" s="53" t="n">
        <x:v>1217</x:v>
      </x:c>
      <x:c r="N7" s="53" t="n">
        <x:v>2798</x:v>
      </x:c>
      <x:c r="O7" s="53" t="n">
        <x:v>1634</x:v>
      </x:c>
      <x:c r="P7" s="53" t="n">
        <x:v>856</x:v>
      </x:c>
      <x:c r="Q7" s="53" t="n">
        <x:v>2836</x:v>
      </x:c>
      <x:c r="R7" s="53" t="n">
        <x:v>2286</x:v>
      </x:c>
      <x:c r="S7" s="53" t="n">
        <x:v>3627</x:v>
      </x:c>
      <x:c r="T7" s="53" t="n">
        <x:v>788</x:v>
      </x:c>
      <x:c r="U7" s="53" t="n">
        <x:v>2084</x:v>
      </x:c>
      <x:c r="V7" s="53" t="n">
        <x:v>10542</x:v>
      </x:c>
      <x:c r="W7" s="53" t="n">
        <x:v>7060</x:v>
      </x:c>
      <x:c r="X7" s="53" t="n">
        <x:v>3482</x:v>
      </x:c>
      <x:c r="Y7" s="53" t="n">
        <x:v>3078</x:v>
      </x:c>
      <x:c r="Z7" s="53" t="n">
        <x:v>3781</x:v>
      </x:c>
      <x:c r="AA7" s="53" t="n">
        <x:v>3143</x:v>
      </x:c>
      <x:c r="AB7" s="53" t="n">
        <x:v>826</x:v>
      </x:c>
      <x:c r="AC7" s="53" t="n">
        <x:v>8347</x:v>
      </x:c>
      <x:c r="AD7" s="53" t="n">
        <x:v>2743</x:v>
      </x:c>
      <x:c r="AE7" s="53" t="n">
        <x:v>10687</x:v>
      </x:c>
      <x:c r="AF7" s="53" t="n">
        <x:v>10542</x:v>
      </x:c>
      <x:c r="AG7" s="53" t="n">
        <x:v>145</x:v>
      </x:c>
      <x:c r="AH7" s="53" t="n">
        <x:v>561</x:v>
      </x:c>
      <x:c r="AI7" s="53" t="n">
        <x:v>9981</x:v>
      </x:c>
      <x:c r="AJ7" s="53" t="n">
        <x:v>299</x:v>
      </x:c>
      <x:c r="AK7" s="53" t="n">
        <x:v>1001</x:v>
      </x:c>
      <x:c r="AL7" s="53" t="n">
        <x:v>2136</x:v>
      </x:c>
      <x:c r="AM7" s="53" t="n">
        <x:v>4799</x:v>
      </x:c>
      <x:c r="AN7" s="53" t="n">
        <x:v>2307</x:v>
      </x:c>
      <x:c r="AO7" s="53" t="n">
        <x:v>0</x:v>
      </x:c>
      <x:c r="AP7" s="53" t="n">
        <x:v>2281</x:v>
      </x:c>
      <x:c r="AQ7" s="53" t="n">
        <x:v>963</x:v>
      </x:c>
    </x:row>
    <x:row r="8">
      <x:c r="A8" s="54" t="str">
        <x:v>T0_TABLE_BLOCK</x:v>
      </x:c>
      <x:c r="B8" s="54" t="n">
        <x:v>2</x:v>
      </x:c>
      <x:c r="C8" s="54" t="str">
        <x:v>NYC-V2-R01</x:v>
      </x:c>
      <x:c r="D8" s="54" t="str">
        <x:v>V2</x:v>
      </x:c>
      <x:c r="E8" s="54" t="str">
        <x:v>ADMITTED</x:v>
      </x:c>
      <x:c r="F8" s="55" t="n">
        <x:v>32003</x:v>
      </x:c>
      <x:c r="G8" s="55" t="n">
        <x:v>8390</x:v>
      </x:c>
      <x:c r="H8" s="55" t="n">
        <x:v>3239</x:v>
      </x:c>
      <x:c r="I8" s="55" t="n">
        <x:v>1137</x:v>
      </x:c>
      <x:c r="J8" s="55" t="n">
        <x:v>192</x:v>
      </x:c>
      <x:c r="K8" s="55" t="n">
        <x:v>30479</x:v>
      </x:c>
      <x:c r="L8" s="55" t="n">
        <x:v>5396</x:v>
      </x:c>
      <x:c r="M8" s="55" t="n">
        <x:v>550</x:v>
      </x:c>
      <x:c r="N8" s="55" t="n">
        <x:v>2993</x:v>
      </x:c>
      <x:c r="O8" s="55" t="n">
        <x:v>1853</x:v>
      </x:c>
      <x:c r="P8" s="55" t="n">
        <x:v>968</x:v>
      </x:c>
      <x:c r="Q8" s="55" t="n">
        <x:v>1458</x:v>
      </x:c>
      <x:c r="R8" s="55" t="n">
        <x:v>2060</x:v>
      </x:c>
      <x:c r="S8" s="55" t="n">
        <x:v>3019</x:v>
      </x:c>
      <x:c r="T8" s="55" t="n">
        <x:v>1196</x:v>
      </x:c>
      <x:c r="U8" s="55" t="n">
        <x:v>1400</x:v>
      </x:c>
      <x:c r="V8" s="55" t="n">
        <x:v>11072</x:v>
      </x:c>
      <x:c r="W8" s="55" t="n">
        <x:v>7964</x:v>
      </x:c>
      <x:c r="X8" s="55" t="n">
        <x:v>3108</x:v>
      </x:c>
      <x:c r="Y8" s="55" t="n">
        <x:v>2516</x:v>
      </x:c>
      <x:c r="Z8" s="55" t="n">
        <x:v>3598</x:v>
      </x:c>
      <x:c r="AA8" s="55" t="n">
        <x:v>3239</x:v>
      </x:c>
      <x:c r="AB8" s="55" t="n">
        <x:v>1364</x:v>
      </x:c>
      <x:c r="AC8" s="55" t="n">
        <x:v>7585</x:v>
      </x:c>
      <x:c r="AD8" s="55" t="n">
        <x:v>2365</x:v>
      </x:c>
      <x:c r="AE8" s="55" t="n">
        <x:v>11202</x:v>
      </x:c>
      <x:c r="AF8" s="55" t="n">
        <x:v>11072</x:v>
      </x:c>
      <x:c r="AG8" s="55" t="n">
        <x:v>130</x:v>
      </x:c>
      <x:c r="AH8" s="55" t="n">
        <x:v>571</x:v>
      </x:c>
      <x:c r="AI8" s="55" t="n">
        <x:v>10501</x:v>
      </x:c>
      <x:c r="AJ8" s="55" t="n">
        <x:v>334</x:v>
      </x:c>
      <x:c r="AK8" s="55" t="n">
        <x:v>1612</x:v>
      </x:c>
      <x:c r="AL8" s="55" t="n">
        <x:v>1667</x:v>
      </x:c>
      <x:c r="AM8" s="55" t="n">
        <x:v>4804</x:v>
      </x:c>
      <x:c r="AN8" s="55" t="n">
        <x:v>2655</x:v>
      </x:c>
      <x:c r="AO8" s="55" t="n">
        <x:v>0</x:v>
      </x:c>
      <x:c r="AP8" s="55" t="n">
        <x:v>2399</x:v>
      </x:c>
      <x:c r="AQ8" s="55" t="n">
        <x:v>967</x:v>
      </x:c>
    </x:row>
    <x:row r="9">
      <x:c r="A9" s="54" t="str">
        <x:v>T0_TABLE_BLOCK</x:v>
      </x:c>
      <x:c r="B9" s="54" t="n">
        <x:v>3</x:v>
      </x:c>
      <x:c r="C9" s="54" t="str">
        <x:v>NYC-V2-R01</x:v>
      </x:c>
      <x:c r="D9" s="54" t="str">
        <x:v>V2</x:v>
      </x:c>
      <x:c r="E9" s="54" t="str">
        <x:v>ADMITTED</x:v>
      </x:c>
      <x:c r="F9" s="55" t="n">
        <x:v>29046</x:v>
      </x:c>
      <x:c r="G9" s="55" t="n">
        <x:v>8086</x:v>
      </x:c>
      <x:c r="H9" s="55" t="n">
        <x:v>3313</x:v>
      </x:c>
      <x:c r="I9" s="55" t="n">
        <x:v>1248</x:v>
      </x:c>
      <x:c r="J9" s="55" t="n">
        <x:v>327</x:v>
      </x:c>
      <x:c r="K9" s="55" t="n">
        <x:v>29046</x:v>
      </x:c>
      <x:c r="L9" s="55" t="n">
        <x:v>5821</x:v>
      </x:c>
      <x:c r="M9" s="55" t="n">
        <x:v>1250</x:v>
      </x:c>
      <x:c r="N9" s="55" t="n">
        <x:v>3045</x:v>
      </x:c>
      <x:c r="O9" s="55" t="n">
        <x:v>1526</x:v>
      </x:c>
      <x:c r="P9" s="55" t="n">
        <x:v>1038</x:v>
      </x:c>
      <x:c r="Q9" s="55" t="n">
        <x:v>2183</x:v>
      </x:c>
      <x:c r="R9" s="55" t="n">
        <x:v>1703</x:v>
      </x:c>
      <x:c r="S9" s="55" t="n">
        <x:v>2547</x:v>
      </x:c>
      <x:c r="T9" s="55" t="n">
        <x:v>887</x:v>
      </x:c>
      <x:c r="U9" s="55" t="n">
        <x:v>1859</x:v>
      </x:c>
      <x:c r="V9" s="55" t="n">
        <x:v>10487</x:v>
      </x:c>
      <x:c r="W9" s="55" t="n">
        <x:v>7505</x:v>
      </x:c>
      <x:c r="X9" s="55" t="n">
        <x:v>2982</x:v>
      </x:c>
      <x:c r="Y9" s="55" t="n">
        <x:v>2743</x:v>
      </x:c>
      <x:c r="Z9" s="55" t="n">
        <x:v>3692</x:v>
      </x:c>
      <x:c r="AA9" s="55" t="n">
        <x:v>3313</x:v>
      </x:c>
      <x:c r="AB9" s="55" t="n">
        <x:v>942</x:v>
      </x:c>
      <x:c r="AC9" s="55" t="n">
        <x:v>7538</x:v>
      </x:c>
      <x:c r="AD9" s="55" t="n">
        <x:v>3628</x:v>
      </x:c>
      <x:c r="AE9" s="55" t="n">
        <x:v>10519</x:v>
      </x:c>
      <x:c r="AF9" s="55" t="n">
        <x:v>10487</x:v>
      </x:c>
      <x:c r="AG9" s="55" t="n">
        <x:v>32</x:v>
      </x:c>
      <x:c r="AH9" s="55" t="n">
        <x:v>343</x:v>
      </x:c>
      <x:c r="AI9" s="55" t="n">
        <x:v>10144</x:v>
      </x:c>
      <x:c r="AJ9" s="55" t="n">
        <x:v>549</x:v>
      </x:c>
      <x:c r="AK9" s="55" t="n">
        <x:v>1282</x:v>
      </x:c>
      <x:c r="AL9" s="55" t="n">
        <x:v>1401</x:v>
      </x:c>
      <x:c r="AM9" s="55" t="n">
        <x:v>4551</x:v>
      </x:c>
      <x:c r="AN9" s="55" t="n">
        <x:v>2649</x:v>
      </x:c>
      <x:c r="AO9" s="55" t="n">
        <x:v>55</x:v>
      </x:c>
      <x:c r="AP9" s="55" t="n">
        <x:v>2567</x:v>
      </x:c>
      <x:c r="AQ9" s="55" t="n">
        <x:v>917</x:v>
      </x:c>
    </x:row>
    <x:row r="10">
      <x:c r="A10" s="54" t="str">
        <x:v>T0_TABLE_BLOCK</x:v>
      </x:c>
      <x:c r="B10" s="54" t="n">
        <x:v>4</x:v>
      </x:c>
      <x:c r="C10" s="54" t="str">
        <x:v>NYC-V2-R01</x:v>
      </x:c>
      <x:c r="D10" s="54" t="str">
        <x:v>V2</x:v>
      </x:c>
      <x:c r="E10" s="54" t="str">
        <x:v>ADMITTED</x:v>
      </x:c>
      <x:c r="F10" s="55" t="n">
        <x:v>32505</x:v>
      </x:c>
      <x:c r="G10" s="55" t="n">
        <x:v>8449</x:v>
      </x:c>
      <x:c r="H10" s="55" t="n">
        <x:v>3990</x:v>
      </x:c>
      <x:c r="I10" s="55" t="n">
        <x:v>1288</x:v>
      </x:c>
      <x:c r="J10" s="55" t="n">
        <x:v>77</x:v>
      </x:c>
      <x:c r="K10" s="55" t="n">
        <x:v>32505</x:v>
      </x:c>
      <x:c r="L10" s="55" t="n">
        <x:v>6005</x:v>
      </x:c>
      <x:c r="M10" s="55" t="n">
        <x:v>861</x:v>
      </x:c>
      <x:c r="N10" s="55" t="n">
        <x:v>2895</x:v>
      </x:c>
      <x:c r="O10" s="55" t="n">
        <x:v>2249</x:v>
      </x:c>
      <x:c r="P10" s="55" t="n">
        <x:v>1380</x:v>
      </x:c>
      <x:c r="Q10" s="55" t="n">
        <x:v>2339</x:v>
      </x:c>
      <x:c r="R10" s="55" t="n">
        <x:v>1549</x:v>
      </x:c>
      <x:c r="S10" s="55" t="n">
        <x:v>2168</x:v>
      </x:c>
      <x:c r="T10" s="55" t="n">
        <x:v>1209</x:v>
      </x:c>
      <x:c r="U10" s="55" t="n">
        <x:v>1937</x:v>
      </x:c>
      <x:c r="V10" s="55" t="n">
        <x:v>10733</x:v>
      </x:c>
      <x:c r="W10" s="55" t="n">
        <x:v>7480</x:v>
      </x:c>
      <x:c r="X10" s="55" t="n">
        <x:v>3253</x:v>
      </x:c>
      <x:c r="Y10" s="55" t="n">
        <x:v>2873</x:v>
      </x:c>
      <x:c r="Z10" s="55" t="n">
        <x:v>4037</x:v>
      </x:c>
      <x:c r="AA10" s="55" t="n">
        <x:v>3990</x:v>
      </x:c>
      <x:c r="AB10" s="55" t="n">
        <x:v>1224</x:v>
      </x:c>
      <x:c r="AC10" s="55" t="n">
        <x:v>7770</x:v>
      </x:c>
      <x:c r="AD10" s="55" t="n">
        <x:v>2385</x:v>
      </x:c>
      <x:c r="AE10" s="55" t="n">
        <x:v>10744</x:v>
      </x:c>
      <x:c r="AF10" s="55" t="n">
        <x:v>10733</x:v>
      </x:c>
      <x:c r="AG10" s="55" t="n">
        <x:v>11</x:v>
      </x:c>
      <x:c r="AH10" s="55" t="n">
        <x:v>335</x:v>
      </x:c>
      <x:c r="AI10" s="55" t="n">
        <x:v>10398</x:v>
      </x:c>
      <x:c r="AJ10" s="55" t="n">
        <x:v>277</x:v>
      </x:c>
      <x:c r="AK10" s="55" t="n">
        <x:v>1096</x:v>
      </x:c>
      <x:c r="AL10" s="55" t="n">
        <x:v>1529</x:v>
      </x:c>
      <x:c r="AM10" s="55" t="n">
        <x:v>5035</x:v>
      </x:c>
      <x:c r="AN10" s="55" t="n">
        <x:v>2787</x:v>
      </x:c>
      <x:c r="AO10" s="55" t="n">
        <x:v>9</x:v>
      </x:c>
      <x:c r="AP10" s="55" t="n">
        <x:v>2415</x:v>
      </x:c>
      <x:c r="AQ10" s="55" t="n">
        <x:v>959</x:v>
      </x:c>
    </x:row>
    <x:row r="11">
      <x:c r="A11" s="54" t="str">
        <x:v>T0_TABLE_BLOCK</x:v>
      </x:c>
      <x:c r="B11" s="54" t="n">
        <x:v>5</x:v>
      </x:c>
      <x:c r="C11" s="54" t="str">
        <x:v>NYC-V2-R01</x:v>
      </x:c>
      <x:c r="D11" s="54" t="str">
        <x:v>V2</x:v>
      </x:c>
      <x:c r="E11" s="54" t="str">
        <x:v>ADMITTED</x:v>
      </x:c>
      <x:c r="F11" s="55" t="n">
        <x:v>32694</x:v>
      </x:c>
      <x:c r="G11" s="55" t="n">
        <x:v>7810</x:v>
      </x:c>
      <x:c r="H11" s="55" t="n">
        <x:v>3306</x:v>
      </x:c>
      <x:c r="I11" s="55" t="n">
        <x:v>1126</x:v>
      </x:c>
      <x:c r="J11" s="55" t="n">
        <x:v>235</x:v>
      </x:c>
      <x:c r="K11" s="55" t="n">
        <x:v>26763</x:v>
      </x:c>
      <x:c r="L11" s="55" t="n">
        <x:v>4665</x:v>
      </x:c>
      <x:c r="M11" s="55" t="n">
        <x:v>385</x:v>
      </x:c>
      <x:c r="N11" s="55" t="n">
        <x:v>2520</x:v>
      </x:c>
      <x:c r="O11" s="55" t="n">
        <x:v>1760</x:v>
      </x:c>
      <x:c r="P11" s="55" t="n">
        <x:v>880</x:v>
      </x:c>
      <x:c r="Q11" s="55" t="n">
        <x:v>2744</x:v>
      </x:c>
      <x:c r="R11" s="55" t="n">
        <x:v>1595</x:v>
      </x:c>
      <x:c r="S11" s="55" t="n">
        <x:v>2767</x:v>
      </x:c>
      <x:c r="T11" s="55" t="n">
        <x:v>1065</x:v>
      </x:c>
      <x:c r="U11" s="55" t="n">
        <x:v>2641</x:v>
      </x:c>
      <x:c r="V11" s="55" t="n">
        <x:v>10747</x:v>
      </x:c>
      <x:c r="W11" s="55" t="n">
        <x:v>7656</x:v>
      </x:c>
      <x:c r="X11" s="55" t="n">
        <x:v>3091</x:v>
      </x:c>
      <x:c r="Y11" s="55" t="n">
        <x:v>2592</x:v>
      </x:c>
      <x:c r="Z11" s="55" t="n">
        <x:v>3587</x:v>
      </x:c>
      <x:c r="AA11" s="55" t="n">
        <x:v>2715</x:v>
      </x:c>
      <x:c r="AB11" s="55" t="n">
        <x:v>877</x:v>
      </x:c>
      <x:c r="AC11" s="55" t="n">
        <x:v>8008</x:v>
      </x:c>
      <x:c r="AD11" s="55" t="n">
        <x:v>3098</x:v>
      </x:c>
      <x:c r="AE11" s="55" t="n">
        <x:v>10758</x:v>
      </x:c>
      <x:c r="AF11" s="55" t="n">
        <x:v>10747</x:v>
      </x:c>
      <x:c r="AG11" s="55" t="n">
        <x:v>11</x:v>
      </x:c>
      <x:c r="AH11" s="55" t="n">
        <x:v>369</x:v>
      </x:c>
      <x:c r="AI11" s="55" t="n">
        <x:v>10378</x:v>
      </x:c>
      <x:c r="AJ11" s="55" t="n">
        <x:v>230</x:v>
      </x:c>
      <x:c r="AK11" s="55" t="n">
        <x:v>1246</x:v>
      </x:c>
      <x:c r="AL11" s="55" t="n">
        <x:v>1456</x:v>
      </x:c>
      <x:c r="AM11" s="55" t="n">
        <x:v>5040</x:v>
      </x:c>
      <x:c r="AN11" s="55" t="n">
        <x:v>2658</x:v>
      </x:c>
      <x:c r="AO11" s="55" t="n">
        <x:v>117</x:v>
      </x:c>
      <x:c r="AP11" s="55" t="n">
        <x:v>2249</x:v>
      </x:c>
      <x:c r="AQ11" s="55" t="n">
        <x:v>1000</x:v>
      </x:c>
    </x:row>
    <x:row r="12">
      <x:c r="A12" s="54" t="str">
        <x:v>T0_TABLE_BLOCK</x:v>
      </x:c>
      <x:c r="B12" s="54" t="n">
        <x:v>6</x:v>
      </x:c>
      <x:c r="C12" s="54" t="str">
        <x:v>NYC-V2-R01</x:v>
      </x:c>
      <x:c r="D12" s="54" t="str">
        <x:v>V2</x:v>
      </x:c>
      <x:c r="E12" s="54" t="str">
        <x:v>ADMITTED</x:v>
      </x:c>
      <x:c r="F12" s="55" t="n">
        <x:v>30492</x:v>
      </x:c>
      <x:c r="G12" s="55" t="n">
        <x:v>6199</x:v>
      </x:c>
      <x:c r="H12" s="55" t="n">
        <x:v>3408</x:v>
      </x:c>
      <x:c r="I12" s="55" t="n">
        <x:v>1618</x:v>
      </x:c>
      <x:c r="J12" s="55" t="n">
        <x:v>312</x:v>
      </x:c>
      <x:c r="K12" s="55" t="n">
        <x:v>30492</x:v>
      </x:c>
      <x:c r="L12" s="55" t="n">
        <x:v>5524</x:v>
      </x:c>
      <x:c r="M12" s="55" t="n">
        <x:v>1690</x:v>
      </x:c>
      <x:c r="N12" s="55" t="n">
        <x:v>2262</x:v>
      </x:c>
      <x:c r="O12" s="55" t="n">
        <x:v>1572</x:v>
      </x:c>
      <x:c r="P12" s="55" t="n">
        <x:v>735</x:v>
      </x:c>
      <x:c r="Q12" s="55" t="n">
        <x:v>3075</x:v>
      </x:c>
      <x:c r="R12" s="55" t="n">
        <x:v>1802</x:v>
      </x:c>
      <x:c r="S12" s="55" t="n">
        <x:v>2227</x:v>
      </x:c>
      <x:c r="T12" s="55" t="n">
        <x:v>1160</x:v>
      </x:c>
      <x:c r="U12" s="55" t="n">
        <x:v>1740</x:v>
      </x:c>
      <x:c r="V12" s="55" t="n">
        <x:v>9565</x:v>
      </x:c>
      <x:c r="W12" s="55" t="n">
        <x:v>6292</x:v>
      </x:c>
      <x:c r="X12" s="55" t="n">
        <x:v>3273</x:v>
      </x:c>
      <x:c r="Y12" s="55" t="n">
        <x:v>2717</x:v>
      </x:c>
      <x:c r="Z12" s="55" t="n">
        <x:v>3442</x:v>
      </x:c>
      <x:c r="AA12" s="55" t="n">
        <x:v>2790</x:v>
      </x:c>
      <x:c r="AB12" s="55" t="n">
        <x:v>803</x:v>
      </x:c>
      <x:c r="AC12" s="55" t="n">
        <x:v>7665</x:v>
      </x:c>
      <x:c r="AD12" s="55" t="n">
        <x:v>3247</x:v>
      </x:c>
      <x:c r="AE12" s="55" t="n">
        <x:v>9661</x:v>
      </x:c>
      <x:c r="AF12" s="55" t="n">
        <x:v>9565</x:v>
      </x:c>
      <x:c r="AG12" s="55" t="n">
        <x:v>96</x:v>
      </x:c>
      <x:c r="AH12" s="55" t="n">
        <x:v>380</x:v>
      </x:c>
      <x:c r="AI12" s="55" t="n">
        <x:v>9185</x:v>
      </x:c>
      <x:c r="AJ12" s="55" t="n">
        <x:v>229</x:v>
      </x:c>
      <x:c r="AK12" s="55" t="n">
        <x:v>869</x:v>
      </x:c>
      <x:c r="AL12" s="55" t="n">
        <x:v>1450</x:v>
      </x:c>
      <x:c r="AM12" s="55" t="n">
        <x:v>4416</x:v>
      </x:c>
      <x:c r="AN12" s="55" t="n">
        <x:v>2567</x:v>
      </x:c>
      <x:c r="AO12" s="55" t="n">
        <x:v>34</x:v>
      </x:c>
      <x:c r="AP12" s="55" t="n">
        <x:v>2071</x:v>
      </x:c>
      <x:c r="AQ12" s="55" t="n">
        <x:v>962</x:v>
      </x:c>
    </x:row>
    <x:row r="13">
      <x:c r="A13" s="54" t="str">
        <x:v>T0_TABLE_BLOCK</x:v>
      </x:c>
      <x:c r="B13" s="54" t="n">
        <x:v>7</x:v>
      </x:c>
      <x:c r="C13" s="54" t="str">
        <x:v>NYC-V2-R01</x:v>
      </x:c>
      <x:c r="D13" s="54" t="str">
        <x:v>V2</x:v>
      </x:c>
      <x:c r="E13" s="54" t="str">
        <x:v>ADMITTED</x:v>
      </x:c>
      <x:c r="F13" s="55" t="n">
        <x:v>30014</x:v>
      </x:c>
      <x:c r="G13" s="55" t="n">
        <x:v>7424</x:v>
      </x:c>
      <x:c r="H13" s="55" t="n">
        <x:v>3010</x:v>
      </x:c>
      <x:c r="I13" s="55" t="n">
        <x:v>1072</x:v>
      </x:c>
      <x:c r="J13" s="55" t="n">
        <x:v>323</x:v>
      </x:c>
      <x:c r="K13" s="55" t="n">
        <x:v>29351</x:v>
      </x:c>
      <x:c r="L13" s="55" t="n">
        <x:v>4233</x:v>
      </x:c>
      <x:c r="M13" s="55" t="n">
        <x:v>74</x:v>
      </x:c>
      <x:c r="N13" s="55" t="n">
        <x:v>2664</x:v>
      </x:c>
      <x:c r="O13" s="55" t="n">
        <x:v>1495</x:v>
      </x:c>
      <x:c r="P13" s="55" t="n">
        <x:v>1278</x:v>
      </x:c>
      <x:c r="Q13" s="55" t="n">
        <x:v>2921</x:v>
      </x:c>
      <x:c r="R13" s="55" t="n">
        <x:v>2482</x:v>
      </x:c>
      <x:c r="S13" s="55" t="n">
        <x:v>2403</x:v>
      </x:c>
      <x:c r="T13" s="55" t="n">
        <x:v>891</x:v>
      </x:c>
      <x:c r="U13" s="55" t="n">
        <x:v>1921</x:v>
      </x:c>
      <x:c r="V13" s="55" t="n">
        <x:v>10177</x:v>
      </x:c>
      <x:c r="W13" s="55" t="n">
        <x:v>7632</x:v>
      </x:c>
      <x:c r="X13" s="55" t="n">
        <x:v>2545</x:v>
      </x:c>
      <x:c r="Y13" s="55" t="n">
        <x:v>2088</x:v>
      </x:c>
      <x:c r="Z13" s="55" t="n">
        <x:v>4110</x:v>
      </x:c>
      <x:c r="AA13" s="55" t="n">
        <x:v>2937</x:v>
      </x:c>
      <x:c r="AB13" s="55" t="n">
        <x:v>1072</x:v>
      </x:c>
      <x:c r="AC13" s="55" t="n">
        <x:v>8059</x:v>
      </x:c>
      <x:c r="AD13" s="55" t="n">
        <x:v>2897</x:v>
      </x:c>
      <x:c r="AE13" s="55" t="n">
        <x:v>10215</x:v>
      </x:c>
      <x:c r="AF13" s="55" t="n">
        <x:v>10177</x:v>
      </x:c>
      <x:c r="AG13" s="55" t="n">
        <x:v>38</x:v>
      </x:c>
      <x:c r="AH13" s="55" t="n">
        <x:v>474</x:v>
      </x:c>
      <x:c r="AI13" s="55" t="n">
        <x:v>9703</x:v>
      </x:c>
      <x:c r="AJ13" s="55" t="n">
        <x:v>317</x:v>
      </x:c>
      <x:c r="AK13" s="55" t="n">
        <x:v>476</x:v>
      </x:c>
      <x:c r="AL13" s="55" t="n">
        <x:v>1433</x:v>
      </x:c>
      <x:c r="AM13" s="55" t="n">
        <x:v>5558</x:v>
      </x:c>
      <x:c r="AN13" s="55" t="n">
        <x:v>2393</x:v>
      </x:c>
      <x:c r="AO13" s="55" t="n">
        <x:v>0</x:v>
      </x:c>
      <x:c r="AP13" s="55" t="n">
        <x:v>1917</x:v>
      </x:c>
      <x:c r="AQ13" s="55" t="n">
        <x:v>1000</x:v>
      </x:c>
    </x:row>
    <x:row r="14">
      <x:c r="A14" s="54" t="str">
        <x:v>T0_TABLE_BLOCK</x:v>
      </x:c>
      <x:c r="B14" s="54" t="n">
        <x:v>8</x:v>
      </x:c>
      <x:c r="C14" s="54" t="str">
        <x:v>NYC-V2-R01</x:v>
      </x:c>
      <x:c r="D14" s="54" t="str">
        <x:v>V2</x:v>
      </x:c>
      <x:c r="E14" s="54" t="str">
        <x:v>ADMITTED</x:v>
      </x:c>
      <x:c r="F14" s="55" t="n">
        <x:v>29160</x:v>
      </x:c>
      <x:c r="G14" s="55" t="n">
        <x:v>5904</x:v>
      </x:c>
      <x:c r="H14" s="55" t="n">
        <x:v>3339</x:v>
      </x:c>
      <x:c r="I14" s="55" t="n">
        <x:v>1436</x:v>
      </x:c>
      <x:c r="J14" s="55" t="n">
        <x:v>386</x:v>
      </x:c>
      <x:c r="K14" s="55" t="n">
        <x:v>29160</x:v>
      </x:c>
      <x:c r="L14" s="55" t="n">
        <x:v>5215</x:v>
      </x:c>
      <x:c r="M14" s="55" t="n">
        <x:v>1356</x:v>
      </x:c>
      <x:c r="N14" s="55" t="n">
        <x:v>2332</x:v>
      </x:c>
      <x:c r="O14" s="55" t="n">
        <x:v>1527</x:v>
      </x:c>
      <x:c r="P14" s="55" t="n">
        <x:v>760</x:v>
      </x:c>
      <x:c r="Q14" s="55" t="n">
        <x:v>2107</x:v>
      </x:c>
      <x:c r="R14" s="55" t="n">
        <x:v>1942</x:v>
      </x:c>
      <x:c r="S14" s="55" t="n">
        <x:v>2232</x:v>
      </x:c>
      <x:c r="T14" s="55" t="n">
        <x:v>1340</x:v>
      </x:c>
      <x:c r="U14" s="55" t="n">
        <x:v>2008</x:v>
      </x:c>
      <x:c r="V14" s="55" t="n">
        <x:v>9697</x:v>
      </x:c>
      <x:c r="W14" s="55" t="n">
        <x:v>6878</x:v>
      </x:c>
      <x:c r="X14" s="55" t="n">
        <x:v>2819</x:v>
      </x:c>
      <x:c r="Y14" s="55" t="n">
        <x:v>2256</x:v>
      </x:c>
      <x:c r="Z14" s="55" t="n">
        <x:v>4217</x:v>
      </x:c>
      <x:c r="AA14" s="55" t="n">
        <x:v>3110</x:v>
      </x:c>
      <x:c r="AB14" s="55" t="n">
        <x:v>1294</x:v>
      </x:c>
      <x:c r="AC14" s="55" t="n">
        <x:v>7495</x:v>
      </x:c>
      <x:c r="AD14" s="55" t="n">
        <x:v>2144</x:v>
      </x:c>
      <x:c r="AE14" s="55" t="n">
        <x:v>9887</x:v>
      </x:c>
      <x:c r="AF14" s="55" t="n">
        <x:v>9697</x:v>
      </x:c>
      <x:c r="AG14" s="55" t="n">
        <x:v>190</x:v>
      </x:c>
      <x:c r="AH14" s="55" t="n">
        <x:v>277</x:v>
      </x:c>
      <x:c r="AI14" s="55" t="n">
        <x:v>9420</x:v>
      </x:c>
      <x:c r="AJ14" s="55" t="n">
        <x:v>468</x:v>
      </x:c>
      <x:c r="AK14" s="55" t="n">
        <x:v>638</x:v>
      </x:c>
      <x:c r="AL14" s="55" t="n">
        <x:v>1622</x:v>
      </x:c>
      <x:c r="AM14" s="55" t="n">
        <x:v>4741</x:v>
      </x:c>
      <x:c r="AN14" s="55" t="n">
        <x:v>2228</x:v>
      </x:c>
      <x:c r="AO14" s="55" t="n">
        <x:v>0</x:v>
      </x:c>
      <x:c r="AP14" s="55" t="n">
        <x:v>2011</x:v>
      </x:c>
      <x:c r="AQ14" s="55" t="n">
        <x:v>1006</x:v>
      </x:c>
    </x:row>
    <x:row r="15">
      <x:c r="A15" s="54" t="str">
        <x:v>T0_TABLE_BLOCK</x:v>
      </x:c>
      <x:c r="B15" s="54" t="n">
        <x:v>9</x:v>
      </x:c>
      <x:c r="C15" s="54" t="str">
        <x:v>NYC-V2-R01</x:v>
      </x:c>
      <x:c r="D15" s="54" t="str">
        <x:v>V2</x:v>
      </x:c>
      <x:c r="E15" s="54" t="str">
        <x:v>ADMITTED</x:v>
      </x:c>
      <x:c r="F15" s="55" t="n">
        <x:v>30613</x:v>
      </x:c>
      <x:c r="G15" s="55" t="n">
        <x:v>8973</x:v>
      </x:c>
      <x:c r="H15" s="55" t="n">
        <x:v>3050</x:v>
      </x:c>
      <x:c r="I15" s="55" t="n">
        <x:v>697</x:v>
      </x:c>
      <x:c r="J15" s="55" t="n">
        <x:v>78</x:v>
      </x:c>
      <x:c r="K15" s="55" t="n">
        <x:v>28673</x:v>
      </x:c>
      <x:c r="L15" s="55" t="n">
        <x:v>5365</x:v>
      </x:c>
      <x:c r="M15" s="55" t="n">
        <x:v>1187</x:v>
      </x:c>
      <x:c r="N15" s="55" t="n">
        <x:v>2826</x:v>
      </x:c>
      <x:c r="O15" s="55" t="n">
        <x:v>1352</x:v>
      </x:c>
      <x:c r="P15" s="55" t="n">
        <x:v>690</x:v>
      </x:c>
      <x:c r="Q15" s="55" t="n">
        <x:v>1771</x:v>
      </x:c>
      <x:c r="R15" s="55" t="n">
        <x:v>2155</x:v>
      </x:c>
      <x:c r="S15" s="55" t="n">
        <x:v>2890</x:v>
      </x:c>
      <x:c r="T15" s="55" t="n">
        <x:v>1189</x:v>
      </x:c>
      <x:c r="U15" s="55" t="n">
        <x:v>2437</x:v>
      </x:c>
      <x:c r="V15" s="55" t="n">
        <x:v>9840</x:v>
      </x:c>
      <x:c r="W15" s="55" t="n">
        <x:v>6702</x:v>
      </x:c>
      <x:c r="X15" s="55" t="n">
        <x:v>3138</x:v>
      </x:c>
      <x:c r="Y15" s="55" t="n">
        <x:v>2621</x:v>
      </x:c>
      <x:c r="Z15" s="55" t="n">
        <x:v>4415</x:v>
      </x:c>
      <x:c r="AA15" s="55" t="n">
        <x:v>2846</x:v>
      </x:c>
      <x:c r="AB15" s="55" t="n">
        <x:v>986</x:v>
      </x:c>
      <x:c r="AC15" s="55" t="n">
        <x:v>8382</x:v>
      </x:c>
      <x:c r="AD15" s="55" t="n">
        <x:v>3813</x:v>
      </x:c>
      <x:c r="AE15" s="55" t="n">
        <x:v>10017</x:v>
      </x:c>
      <x:c r="AF15" s="55" t="n">
        <x:v>9840</x:v>
      </x:c>
      <x:c r="AG15" s="55" t="n">
        <x:v>177</x:v>
      </x:c>
      <x:c r="AH15" s="55" t="n">
        <x:v>361</x:v>
      </x:c>
      <x:c r="AI15" s="55" t="n">
        <x:v>9479</x:v>
      </x:c>
      <x:c r="AJ15" s="55" t="n">
        <x:v>336</x:v>
      </x:c>
      <x:c r="AK15" s="55" t="n">
        <x:v>924</x:v>
      </x:c>
      <x:c r="AL15" s="55" t="n">
        <x:v>1677</x:v>
      </x:c>
      <x:c r="AM15" s="55" t="n">
        <x:v>4529</x:v>
      </x:c>
      <x:c r="AN15" s="55" t="n">
        <x:v>2202</x:v>
      </x:c>
      <x:c r="AO15" s="55" t="n">
        <x:v>172</x:v>
      </x:c>
      <x:c r="AP15" s="55" t="n">
        <x:v>2266</x:v>
      </x:c>
      <x:c r="AQ15" s="55" t="n">
        <x:v>939</x:v>
      </x:c>
    </x:row>
    <x:row r="16">
      <x:c r="A16" s="54" t="str">
        <x:v>T0_TABLE_BLOCK</x:v>
      </x:c>
      <x:c r="B16" s="54" t="n">
        <x:v>10</x:v>
      </x:c>
      <x:c r="C16" s="54" t="str">
        <x:v>NYC-V2-R01</x:v>
      </x:c>
      <x:c r="D16" s="54" t="str">
        <x:v>V2</x:v>
      </x:c>
      <x:c r="E16" s="54" t="str">
        <x:v>ADMITTED</x:v>
      </x:c>
      <x:c r="F16" s="55" t="n">
        <x:v>32280</x:v>
      </x:c>
      <x:c r="G16" s="55" t="n">
        <x:v>8471</x:v>
      </x:c>
      <x:c r="H16" s="55" t="n">
        <x:v>3680</x:v>
      </x:c>
      <x:c r="I16" s="55" t="n">
        <x:v>1803</x:v>
      </x:c>
      <x:c r="J16" s="55" t="n">
        <x:v>506</x:v>
      </x:c>
      <x:c r="K16" s="55" t="n">
        <x:v>32117</x:v>
      </x:c>
      <x:c r="L16" s="55" t="n">
        <x:v>7030</x:v>
      </x:c>
      <x:c r="M16" s="55" t="n">
        <x:v>1640</x:v>
      </x:c>
      <x:c r="N16" s="55" t="n">
        <x:v>3155</x:v>
      </x:c>
      <x:c r="O16" s="55" t="n">
        <x:v>2235</x:v>
      </x:c>
      <x:c r="P16" s="55" t="n">
        <x:v>788</x:v>
      </x:c>
      <x:c r="Q16" s="55" t="n">
        <x:v>2846</x:v>
      </x:c>
      <x:c r="R16" s="55" t="n">
        <x:v>1661</x:v>
      </x:c>
      <x:c r="S16" s="55" t="n">
        <x:v>2306</x:v>
      </x:c>
      <x:c r="T16" s="55" t="n">
        <x:v>868</x:v>
      </x:c>
      <x:c r="U16" s="55" t="n">
        <x:v>1997</x:v>
      </x:c>
      <x:c r="V16" s="55" t="n">
        <x:v>10464</x:v>
      </x:c>
      <x:c r="W16" s="55" t="n">
        <x:v>7222</x:v>
      </x:c>
      <x:c r="X16" s="55" t="n">
        <x:v>3242</x:v>
      </x:c>
      <x:c r="Y16" s="55" t="n">
        <x:v>2800</x:v>
      </x:c>
      <x:c r="Z16" s="55" t="n">
        <x:v>3796</x:v>
      </x:c>
      <x:c r="AA16" s="55" t="n">
        <x:v>3321</x:v>
      </x:c>
      <x:c r="AB16" s="55" t="n">
        <x:v>1238</x:v>
      </x:c>
      <x:c r="AC16" s="55" t="n">
        <x:v>8408</x:v>
      </x:c>
      <x:c r="AD16" s="55" t="n">
        <x:v>2691</x:v>
      </x:c>
      <x:c r="AE16" s="55" t="n">
        <x:v>10540</x:v>
      </x:c>
      <x:c r="AF16" s="55" t="n">
        <x:v>10464</x:v>
      </x:c>
      <x:c r="AG16" s="55" t="n">
        <x:v>76</x:v>
      </x:c>
      <x:c r="AH16" s="55" t="n">
        <x:v>418</x:v>
      </x:c>
      <x:c r="AI16" s="55" t="n">
        <x:v>10046</x:v>
      </x:c>
      <x:c r="AJ16" s="55" t="n">
        <x:v>408</x:v>
      </x:c>
      <x:c r="AK16" s="55" t="n">
        <x:v>1090</x:v>
      </x:c>
      <x:c r="AL16" s="55" t="n">
        <x:v>1488</x:v>
      </x:c>
      <x:c r="AM16" s="55" t="n">
        <x:v>4865</x:v>
      </x:c>
      <x:c r="AN16" s="55" t="n">
        <x:v>2605</x:v>
      </x:c>
      <x:c r="AO16" s="55" t="n">
        <x:v>8</x:v>
      </x:c>
      <x:c r="AP16" s="55" t="n">
        <x:v>2685</x:v>
      </x:c>
      <x:c r="AQ16" s="55" t="n">
        <x:v>936</x:v>
      </x:c>
    </x:row>
    <x:row r="17">
      <x:c r="A17" s="54" t="str">
        <x:v>T0_TABLE_BLOCK</x:v>
      </x:c>
      <x:c r="B17" s="54" t="n">
        <x:v>11</x:v>
      </x:c>
      <x:c r="C17" s="54" t="str">
        <x:v>NYC-V2-R01</x:v>
      </x:c>
      <x:c r="D17" s="54" t="str">
        <x:v>V2</x:v>
      </x:c>
      <x:c r="E17" s="54" t="str">
        <x:v>ADMITTED</x:v>
      </x:c>
      <x:c r="F17" s="55" t="n">
        <x:v>31773</x:v>
      </x:c>
      <x:c r="G17" s="55" t="n">
        <x:v>7418</x:v>
      </x:c>
      <x:c r="H17" s="55" t="n">
        <x:v>3194</x:v>
      </x:c>
      <x:c r="I17" s="55" t="n">
        <x:v>1220</x:v>
      </x:c>
      <x:c r="J17" s="55" t="n">
        <x:v>250</x:v>
      </x:c>
      <x:c r="K17" s="55" t="n">
        <x:v>26808</x:v>
      </x:c>
      <x:c r="L17" s="55" t="n">
        <x:v>4583</x:v>
      </x:c>
      <x:c r="M17" s="55" t="n">
        <x:v>871</x:v>
      </x:c>
      <x:c r="N17" s="55" t="n">
        <x:v>2403</x:v>
      </x:c>
      <x:c r="O17" s="55" t="n">
        <x:v>1309</x:v>
      </x:c>
      <x:c r="P17" s="55" t="n">
        <x:v>1015</x:v>
      </x:c>
      <x:c r="Q17" s="55" t="n">
        <x:v>2074</x:v>
      </x:c>
      <x:c r="R17" s="55" t="n">
        <x:v>1775</x:v>
      </x:c>
      <x:c r="S17" s="55" t="n">
        <x:v>2833</x:v>
      </x:c>
      <x:c r="T17" s="55" t="n">
        <x:v>1240</x:v>
      </x:c>
      <x:c r="U17" s="55" t="n">
        <x:v>2248</x:v>
      </x:c>
      <x:c r="V17" s="55" t="n">
        <x:v>10754</x:v>
      </x:c>
      <x:c r="W17" s="55" t="n">
        <x:v>7824</x:v>
      </x:c>
      <x:c r="X17" s="55" t="n">
        <x:v>2930</x:v>
      </x:c>
      <x:c r="Y17" s="55" t="n">
        <x:v>2446</x:v>
      </x:c>
      <x:c r="Z17" s="55" t="n">
        <x:v>3618</x:v>
      </x:c>
      <x:c r="AA17" s="55" t="n">
        <x:v>3052</x:v>
      </x:c>
      <x:c r="AB17" s="55" t="n">
        <x:v>749</x:v>
      </x:c>
      <x:c r="AC17" s="55" t="n">
        <x:v>7880</x:v>
      </x:c>
      <x:c r="AD17" s="55" t="n">
        <x:v>2498</x:v>
      </x:c>
      <x:c r="AE17" s="55" t="n">
        <x:v>10875</x:v>
      </x:c>
      <x:c r="AF17" s="55" t="n">
        <x:v>10754</x:v>
      </x:c>
      <x:c r="AG17" s="55" t="n">
        <x:v>121</x:v>
      </x:c>
      <x:c r="AH17" s="55" t="n">
        <x:v>446</x:v>
      </x:c>
      <x:c r="AI17" s="55" t="n">
        <x:v>10308</x:v>
      </x:c>
      <x:c r="AJ17" s="55" t="n">
        <x:v>199</x:v>
      </x:c>
      <x:c r="AK17" s="55" t="n">
        <x:v>1400</x:v>
      </x:c>
      <x:c r="AL17" s="55" t="n">
        <x:v>1687</x:v>
      </x:c>
      <x:c r="AM17" s="55" t="n">
        <x:v>4657</x:v>
      </x:c>
      <x:c r="AN17" s="55" t="n">
        <x:v>2811</x:v>
      </x:c>
      <x:c r="AO17" s="55" t="n">
        <x:v>0</x:v>
      </x:c>
      <x:c r="AP17" s="55" t="n">
        <x:v>2394</x:v>
      </x:c>
      <x:c r="AQ17" s="55" t="n">
        <x:v>957</x:v>
      </x:c>
    </x:row>
    <x:row r="18">
      <x:c r="A18" s="54" t="str">
        <x:v>T0_TABLE_BLOCK</x:v>
      </x:c>
      <x:c r="B18" s="54" t="n">
        <x:v>12</x:v>
      </x:c>
      <x:c r="C18" s="54" t="str">
        <x:v>NYC-V2-R01</x:v>
      </x:c>
      <x:c r="D18" s="54" t="str">
        <x:v>V2</x:v>
      </x:c>
      <x:c r="E18" s="54" t="str">
        <x:v>ADMITTED</x:v>
      </x:c>
      <x:c r="F18" s="55" t="n">
        <x:v>32433</x:v>
      </x:c>
      <x:c r="G18" s="55" t="n">
        <x:v>6650</x:v>
      </x:c>
      <x:c r="H18" s="55" t="n">
        <x:v>3244</x:v>
      </x:c>
      <x:c r="I18" s="55" t="n">
        <x:v>1479</x:v>
      </x:c>
      <x:c r="J18" s="55" t="n">
        <x:v>400</x:v>
      </x:c>
      <x:c r="K18" s="55" t="n">
        <x:v>32433</x:v>
      </x:c>
      <x:c r="L18" s="55" t="n">
        <x:v>5297</x:v>
      </x:c>
      <x:c r="M18" s="55" t="n">
        <x:v>1313</x:v>
      </x:c>
      <x:c r="N18" s="55" t="n">
        <x:v>2048</x:v>
      </x:c>
      <x:c r="O18" s="55" t="n">
        <x:v>1936</x:v>
      </x:c>
      <x:c r="P18" s="55" t="n">
        <x:v>1054</x:v>
      </x:c>
      <x:c r="Q18" s="55" t="n">
        <x:v>2580</x:v>
      </x:c>
      <x:c r="R18" s="55" t="n">
        <x:v>1945</x:v>
      </x:c>
      <x:c r="S18" s="55" t="n">
        <x:v>2955</x:v>
      </x:c>
      <x:c r="T18" s="55" t="n">
        <x:v>1558</x:v>
      </x:c>
      <x:c r="U18" s="55" t="n">
        <x:v>2498</x:v>
      </x:c>
      <x:c r="V18" s="55" t="n">
        <x:v>9494</x:v>
      </x:c>
      <x:c r="W18" s="55" t="n">
        <x:v>6160</x:v>
      </x:c>
      <x:c r="X18" s="55" t="n">
        <x:v>3334</x:v>
      </x:c>
      <x:c r="Y18" s="55" t="n">
        <x:v>2890</x:v>
      </x:c>
      <x:c r="Z18" s="55" t="n">
        <x:v>4078</x:v>
      </x:c>
      <x:c r="AA18" s="55" t="n">
        <x:v>3049</x:v>
      </x:c>
      <x:c r="AB18" s="55" t="n">
        <x:v>1292</x:v>
      </x:c>
      <x:c r="AC18" s="55" t="n">
        <x:v>8230</x:v>
      </x:c>
      <x:c r="AD18" s="55" t="n">
        <x:v>3055</x:v>
      </x:c>
      <x:c r="AE18" s="55" t="n">
        <x:v>9617</x:v>
      </x:c>
      <x:c r="AF18" s="55" t="n">
        <x:v>9494</x:v>
      </x:c>
      <x:c r="AG18" s="55" t="n">
        <x:v>123</x:v>
      </x:c>
      <x:c r="AH18" s="55" t="n">
        <x:v>301</x:v>
      </x:c>
      <x:c r="AI18" s="55" t="n">
        <x:v>9193</x:v>
      </x:c>
      <x:c r="AJ18" s="55" t="n">
        <x:v>352</x:v>
      </x:c>
      <x:c r="AK18" s="55" t="n">
        <x:v>1001</x:v>
      </x:c>
      <x:c r="AL18" s="55" t="n">
        <x:v>1420</x:v>
      </x:c>
      <x:c r="AM18" s="55" t="n">
        <x:v>4594</x:v>
      </x:c>
      <x:c r="AN18" s="55" t="n">
        <x:v>2085</x:v>
      </x:c>
      <x:c r="AO18" s="55" t="n">
        <x:v>42</x:v>
      </x:c>
      <x:c r="AP18" s="55" t="n">
        <x:v>2385</x:v>
      </x:c>
      <x:c r="AQ18" s="55" t="n">
        <x:v>996</x:v>
      </x:c>
    </x:row>
    <x:row r="19">
      <x:c r="A19" s="54" t="str">
        <x:v>T0_TABLE_BLOCK</x:v>
      </x:c>
      <x:c r="B19" s="54" t="n">
        <x:v>13</x:v>
      </x:c>
      <x:c r="C19" s="54" t="str">
        <x:v>NYC-V2-R01</x:v>
      </x:c>
      <x:c r="D19" s="54" t="str">
        <x:v>V2</x:v>
      </x:c>
      <x:c r="E19" s="54" t="str">
        <x:v>ADMITTED</x:v>
      </x:c>
      <x:c r="F19" s="55" t="n">
        <x:v>32349</x:v>
      </x:c>
      <x:c r="G19" s="55" t="n">
        <x:v>7912</x:v>
      </x:c>
      <x:c r="H19" s="55" t="n">
        <x:v>3227</x:v>
      </x:c>
      <x:c r="I19" s="55" t="n">
        <x:v>1641</x:v>
      </x:c>
      <x:c r="J19" s="55" t="n">
        <x:v>284</x:v>
      </x:c>
      <x:c r="K19" s="55" t="n">
        <x:v>32349</x:v>
      </x:c>
      <x:c r="L19" s="55" t="n">
        <x:v>6165</x:v>
      </x:c>
      <x:c r="M19" s="55" t="n">
        <x:v>1366</x:v>
      </x:c>
      <x:c r="N19" s="55" t="n">
        <x:v>2867</x:v>
      </x:c>
      <x:c r="O19" s="55" t="n">
        <x:v>1932</x:v>
      </x:c>
      <x:c r="P19" s="55" t="n">
        <x:v>1068</x:v>
      </x:c>
      <x:c r="Q19" s="55" t="n">
        <x:v>1701</x:v>
      </x:c>
      <x:c r="R19" s="55" t="n">
        <x:v>1239</x:v>
      </x:c>
      <x:c r="S19" s="55" t="n">
        <x:v>2930</x:v>
      </x:c>
      <x:c r="T19" s="55" t="n">
        <x:v>1616</x:v>
      </x:c>
      <x:c r="U19" s="55" t="n">
        <x:v>2367</x:v>
      </x:c>
      <x:c r="V19" s="55" t="n">
        <x:v>10370</x:v>
      </x:c>
      <x:c r="W19" s="55" t="n">
        <x:v>7322</x:v>
      </x:c>
      <x:c r="X19" s="55" t="n">
        <x:v>3048</x:v>
      </x:c>
      <x:c r="Y19" s="55" t="n">
        <x:v>2576</x:v>
      </x:c>
      <x:c r="Z19" s="55" t="n">
        <x:v>2973</x:v>
      </x:c>
      <x:c r="AA19" s="55" t="n">
        <x:v>2678</x:v>
      </x:c>
      <x:c r="AB19" s="55" t="n">
        <x:v>1271</x:v>
      </x:c>
      <x:c r="AC19" s="55" t="n">
        <x:v>8000</x:v>
      </x:c>
      <x:c r="AD19" s="55" t="n">
        <x:v>2462</x:v>
      </x:c>
      <x:c r="AE19" s="55" t="n">
        <x:v>10432</x:v>
      </x:c>
      <x:c r="AF19" s="55" t="n">
        <x:v>10370</x:v>
      </x:c>
      <x:c r="AG19" s="55" t="n">
        <x:v>62</x:v>
      </x:c>
      <x:c r="AH19" s="55" t="n">
        <x:v>545</x:v>
      </x:c>
      <x:c r="AI19" s="55" t="n">
        <x:v>9825</x:v>
      </x:c>
      <x:c r="AJ19" s="55" t="n">
        <x:v>394</x:v>
      </x:c>
      <x:c r="AK19" s="55" t="n">
        <x:v>1120</x:v>
      </x:c>
      <x:c r="AL19" s="55" t="n">
        <x:v>1482</x:v>
      </x:c>
      <x:c r="AM19" s="55" t="n">
        <x:v>4882</x:v>
      </x:c>
      <x:c r="AN19" s="55" t="n">
        <x:v>2416</x:v>
      </x:c>
      <x:c r="AO19" s="55" t="n">
        <x:v>76</x:v>
      </x:c>
      <x:c r="AP19" s="55" t="n">
        <x:v>2723</x:v>
      </x:c>
      <x:c r="AQ19" s="55" t="n">
        <x:v>969</x:v>
      </x:c>
    </x:row>
    <x:row r="20">
      <x:c r="A20" s="54" t="str">
        <x:v>T0_TABLE_BLOCK</x:v>
      </x:c>
      <x:c r="B20" s="54" t="n">
        <x:v>14</x:v>
      </x:c>
      <x:c r="C20" s="54" t="str">
        <x:v>NYC-V2-R01</x:v>
      </x:c>
      <x:c r="D20" s="54" t="str">
        <x:v>V2</x:v>
      </x:c>
      <x:c r="E20" s="54" t="str">
        <x:v>ADMITTED</x:v>
      </x:c>
      <x:c r="F20" s="55" t="n">
        <x:v>34438</x:v>
      </x:c>
      <x:c r="G20" s="55" t="n">
        <x:v>6578</x:v>
      </x:c>
      <x:c r="H20" s="55" t="n">
        <x:v>3636</x:v>
      </x:c>
      <x:c r="I20" s="55" t="n">
        <x:v>1414</x:v>
      </x:c>
      <x:c r="J20" s="55" t="n">
        <x:v>132</x:v>
      </x:c>
      <x:c r="K20" s="55" t="n">
        <x:v>34438</x:v>
      </x:c>
      <x:c r="L20" s="55" t="n">
        <x:v>8104</x:v>
      </x:c>
      <x:c r="M20" s="55" t="n">
        <x:v>3088</x:v>
      </x:c>
      <x:c r="N20" s="55" t="n">
        <x:v>3147</x:v>
      </x:c>
      <x:c r="O20" s="55" t="n">
        <x:v>1869</x:v>
      </x:c>
      <x:c r="P20" s="55" t="n">
        <x:v>471</x:v>
      </x:c>
      <x:c r="Q20" s="55" t="n">
        <x:v>1217</x:v>
      </x:c>
      <x:c r="R20" s="55" t="n">
        <x:v>1818</x:v>
      </x:c>
      <x:c r="S20" s="55" t="n">
        <x:v>2582</x:v>
      </x:c>
      <x:c r="T20" s="55" t="n">
        <x:v>1222</x:v>
      </x:c>
      <x:c r="U20" s="55" t="n">
        <x:v>1780</x:v>
      </x:c>
      <x:c r="V20" s="55" t="n">
        <x:v>9639</x:v>
      </x:c>
      <x:c r="W20" s="55" t="n">
        <x:v>6890</x:v>
      </x:c>
      <x:c r="X20" s="55" t="n">
        <x:v>2749</x:v>
      </x:c>
      <x:c r="Y20" s="55" t="n">
        <x:v>2319</x:v>
      </x:c>
      <x:c r="Z20" s="55" t="n">
        <x:v>3832</x:v>
      </x:c>
      <x:c r="AA20" s="55" t="n">
        <x:v>2792</x:v>
      </x:c>
      <x:c r="AB20" s="55" t="n">
        <x:v>1051</x:v>
      </x:c>
      <x:c r="AC20" s="55" t="n">
        <x:v>8086</x:v>
      </x:c>
      <x:c r="AD20" s="55" t="n">
        <x:v>2224</x:v>
      </x:c>
      <x:c r="AE20" s="55" t="n">
        <x:v>9769</x:v>
      </x:c>
      <x:c r="AF20" s="55" t="n">
        <x:v>9639</x:v>
      </x:c>
      <x:c r="AG20" s="55" t="n">
        <x:v>130</x:v>
      </x:c>
      <x:c r="AH20" s="55" t="n">
        <x:v>204</x:v>
      </x:c>
      <x:c r="AI20" s="55" t="n">
        <x:v>9435</x:v>
      </x:c>
      <x:c r="AJ20" s="55" t="n">
        <x:v>263</x:v>
      </x:c>
      <x:c r="AK20" s="55" t="n">
        <x:v>1204</x:v>
      </x:c>
      <x:c r="AL20" s="55" t="n">
        <x:v>1587</x:v>
      </x:c>
      <x:c r="AM20" s="55" t="n">
        <x:v>4644</x:v>
      </x:c>
      <x:c r="AN20" s="55" t="n">
        <x:v>1910</x:v>
      </x:c>
      <x:c r="AO20" s="55" t="n">
        <x:v>31</x:v>
      </x:c>
      <x:c r="AP20" s="55" t="n">
        <x:v>2135</x:v>
      </x:c>
      <x:c r="AQ20" s="55" t="n">
        <x:v>959</x:v>
      </x:c>
    </x:row>
    <x:row r="21">
      <x:c r="A21" s="54" t="str">
        <x:v>T0_TABLE_BLOCK</x:v>
      </x:c>
      <x:c r="B21" s="54" t="n">
        <x:v>15</x:v>
      </x:c>
      <x:c r="C21" s="54" t="str">
        <x:v>NYC-V2-R01</x:v>
      </x:c>
      <x:c r="D21" s="54" t="str">
        <x:v>V2</x:v>
      </x:c>
      <x:c r="E21" s="54" t="str">
        <x:v>ADMITTED</x:v>
      </x:c>
      <x:c r="F21" s="55" t="n">
        <x:v>31582</x:v>
      </x:c>
      <x:c r="G21" s="55" t="n">
        <x:v>6314</x:v>
      </x:c>
      <x:c r="H21" s="55" t="n">
        <x:v>3373</x:v>
      </x:c>
      <x:c r="I21" s="55" t="n">
        <x:v>1338</x:v>
      </x:c>
      <x:c r="J21" s="55" t="n">
        <x:v>286</x:v>
      </x:c>
      <x:c r="K21" s="55" t="n">
        <x:v>31582</x:v>
      </x:c>
      <x:c r="L21" s="55" t="n">
        <x:v>6809</x:v>
      </x:c>
      <x:c r="M21" s="55" t="n">
        <x:v>2074</x:v>
      </x:c>
      <x:c r="N21" s="55" t="n">
        <x:v>2872</x:v>
      </x:c>
      <x:c r="O21" s="55" t="n">
        <x:v>1863</x:v>
      </x:c>
      <x:c r="P21" s="55" t="n">
        <x:v>803</x:v>
      </x:c>
      <x:c r="Q21" s="55" t="n">
        <x:v>2455</x:v>
      </x:c>
      <x:c r="R21" s="55" t="n">
        <x:v>1502</x:v>
      </x:c>
      <x:c r="S21" s="55" t="n">
        <x:v>3300</x:v>
      </x:c>
      <x:c r="T21" s="55" t="n">
        <x:v>817</x:v>
      </x:c>
      <x:c r="U21" s="55" t="n">
        <x:v>2016</x:v>
      </x:c>
      <x:c r="V21" s="55" t="n">
        <x:v>10359</x:v>
      </x:c>
      <x:c r="W21" s="55" t="n">
        <x:v>7371</x:v>
      </x:c>
      <x:c r="X21" s="55" t="n">
        <x:v>2988</x:v>
      </x:c>
      <x:c r="Y21" s="55" t="n">
        <x:v>2583</x:v>
      </x:c>
      <x:c r="Z21" s="55" t="n">
        <x:v>3577</x:v>
      </x:c>
      <x:c r="AA21" s="55" t="n">
        <x:v>3098</x:v>
      </x:c>
      <x:c r="AB21" s="55" t="n">
        <x:v>982</x:v>
      </x:c>
      <x:c r="AC21" s="55" t="n">
        <x:v>8863</x:v>
      </x:c>
      <x:c r="AD21" s="55" t="n">
        <x:v>2874</x:v>
      </x:c>
      <x:c r="AE21" s="55" t="n">
        <x:v>10421</x:v>
      </x:c>
      <x:c r="AF21" s="55" t="n">
        <x:v>10359</x:v>
      </x:c>
      <x:c r="AG21" s="55" t="n">
        <x:v>62</x:v>
      </x:c>
      <x:c r="AH21" s="55" t="n">
        <x:v>572</x:v>
      </x:c>
      <x:c r="AI21" s="55" t="n">
        <x:v>9787</x:v>
      </x:c>
      <x:c r="AJ21" s="55" t="n">
        <x:v>261</x:v>
      </x:c>
      <x:c r="AK21" s="55" t="n">
        <x:v>715</x:v>
      </x:c>
      <x:c r="AL21" s="55" t="n">
        <x:v>1621</x:v>
      </x:c>
      <x:c r="AM21" s="55" t="n">
        <x:v>4625</x:v>
      </x:c>
      <x:c r="AN21" s="55" t="n">
        <x:v>3137</x:v>
      </x:c>
      <x:c r="AO21" s="55" t="n">
        <x:v>0</x:v>
      </x:c>
      <x:c r="AP21" s="55" t="n">
        <x:v>1857</x:v>
      </x:c>
      <x:c r="AQ21" s="55" t="n">
        <x:v>1009</x:v>
      </x:c>
    </x:row>
    <x:row r="22">
      <x:c r="A22" s="54" t="str">
        <x:v>T0_TABLE_BLOCK</x:v>
      </x:c>
      <x:c r="B22" s="54" t="n">
        <x:v>16</x:v>
      </x:c>
      <x:c r="C22" s="54" t="str">
        <x:v>NYC-V2-R01</x:v>
      </x:c>
      <x:c r="D22" s="54" t="str">
        <x:v>V2</x:v>
      </x:c>
      <x:c r="E22" s="54" t="str">
        <x:v>ADMITTED</x:v>
      </x:c>
      <x:c r="F22" s="55" t="n">
        <x:v>31756</x:v>
      </x:c>
      <x:c r="G22" s="55" t="n">
        <x:v>7399</x:v>
      </x:c>
      <x:c r="H22" s="55" t="n">
        <x:v>2742</x:v>
      </x:c>
      <x:c r="I22" s="55" t="n">
        <x:v>1127</x:v>
      </x:c>
      <x:c r="J22" s="55" t="n">
        <x:v>304</x:v>
      </x:c>
      <x:c r="K22" s="55" t="n">
        <x:v>31756</x:v>
      </x:c>
      <x:c r="L22" s="55" t="n">
        <x:v>6875</x:v>
      </x:c>
      <x:c r="M22" s="55" t="n">
        <x:v>2159</x:v>
      </x:c>
      <x:c r="N22" s="55" t="n">
        <x:v>2885</x:v>
      </x:c>
      <x:c r="O22" s="55" t="n">
        <x:v>1831</x:v>
      </x:c>
      <x:c r="P22" s="55" t="n">
        <x:v>399</x:v>
      </x:c>
      <x:c r="Q22" s="55" t="n">
        <x:v>3113</x:v>
      </x:c>
      <x:c r="R22" s="55" t="n">
        <x:v>2055</x:v>
      </x:c>
      <x:c r="S22" s="55" t="n">
        <x:v>2620</x:v>
      </x:c>
      <x:c r="T22" s="55" t="n">
        <x:v>1266</x:v>
      </x:c>
      <x:c r="U22" s="55" t="n">
        <x:v>2302</x:v>
      </x:c>
      <x:c r="V22" s="55" t="n">
        <x:v>10286</x:v>
      </x:c>
      <x:c r="W22" s="55" t="n">
        <x:v>7267</x:v>
      </x:c>
      <x:c r="X22" s="55" t="n">
        <x:v>3019</x:v>
      </x:c>
      <x:c r="Y22" s="55" t="n">
        <x:v>2356</x:v>
      </x:c>
      <x:c r="Z22" s="55" t="n">
        <x:v>3992</x:v>
      </x:c>
      <x:c r="AA22" s="55" t="n">
        <x:v>2522</x:v>
      </x:c>
      <x:c r="AB22" s="55" t="n">
        <x:v>1117</x:v>
      </x:c>
      <x:c r="AC22" s="55" t="n">
        <x:v>8221</x:v>
      </x:c>
      <x:c r="AD22" s="55" t="n">
        <x:v>3341</x:v>
      </x:c>
      <x:c r="AE22" s="55" t="n">
        <x:v>10299</x:v>
      </x:c>
      <x:c r="AF22" s="55" t="n">
        <x:v>10286</x:v>
      </x:c>
      <x:c r="AG22" s="55" t="n">
        <x:v>13</x:v>
      </x:c>
      <x:c r="AH22" s="55" t="n">
        <x:v>498</x:v>
      </x:c>
      <x:c r="AI22" s="55" t="n">
        <x:v>9788</x:v>
      </x:c>
      <x:c r="AJ22" s="55" t="n">
        <x:v>342</x:v>
      </x:c>
      <x:c r="AK22" s="55" t="n">
        <x:v>747</x:v>
      </x:c>
      <x:c r="AL22" s="55" t="n">
        <x:v>1530</x:v>
      </x:c>
      <x:c r="AM22" s="55" t="n">
        <x:v>5224</x:v>
      </x:c>
      <x:c r="AN22" s="55" t="n">
        <x:v>2443</x:v>
      </x:c>
      <x:c r="AO22" s="55" t="n">
        <x:v>0</x:v>
      </x:c>
      <x:c r="AP22" s="55" t="n">
        <x:v>3103</x:v>
      </x:c>
      <x:c r="AQ22" s="55" t="n">
        <x:v>954</x:v>
      </x:c>
    </x:row>
    <x:row r="23">
      <x:c r="A23" s="54" t="str">
        <x:v>T0_TABLE_BLOCK</x:v>
      </x:c>
      <x:c r="B23" s="54" t="n">
        <x:v>17</x:v>
      </x:c>
      <x:c r="C23" s="54" t="str">
        <x:v>NYC-V2-R01</x:v>
      </x:c>
      <x:c r="D23" s="54" t="str">
        <x:v>V2</x:v>
      </x:c>
      <x:c r="E23" s="54" t="str">
        <x:v>ADMITTED</x:v>
      </x:c>
      <x:c r="F23" s="55" t="n">
        <x:v>30417</x:v>
      </x:c>
      <x:c r="G23" s="55" t="n">
        <x:v>5846</x:v>
      </x:c>
      <x:c r="H23" s="55" t="n">
        <x:v>3506</x:v>
      </x:c>
      <x:c r="I23" s="55" t="n">
        <x:v>1530</x:v>
      </x:c>
      <x:c r="J23" s="55" t="n">
        <x:v>281</x:v>
      </x:c>
      <x:c r="K23" s="55" t="n">
        <x:v>30417</x:v>
      </x:c>
      <x:c r="L23" s="55" t="n">
        <x:v>4853</x:v>
      </x:c>
      <x:c r="M23" s="55" t="n">
        <x:v>646</x:v>
      </x:c>
      <x:c r="N23" s="55" t="n">
        <x:v>2349</x:v>
      </x:c>
      <x:c r="O23" s="55" t="n">
        <x:v>1858</x:v>
      </x:c>
      <x:c r="P23" s="55" t="n">
        <x:v>488</x:v>
      </x:c>
      <x:c r="Q23" s="55" t="n">
        <x:v>3231</x:v>
      </x:c>
      <x:c r="R23" s="55" t="n">
        <x:v>1769</x:v>
      </x:c>
      <x:c r="S23" s="55" t="n">
        <x:v>2601</x:v>
      </x:c>
      <x:c r="T23" s="55" t="n">
        <x:v>805</x:v>
      </x:c>
      <x:c r="U23" s="55" t="n">
        <x:v>2038</x:v>
      </x:c>
      <x:c r="V23" s="55" t="n">
        <x:v>9724</x:v>
      </x:c>
      <x:c r="W23" s="55" t="n">
        <x:v>6561</x:v>
      </x:c>
      <x:c r="X23" s="55" t="n">
        <x:v>3163</x:v>
      </x:c>
      <x:c r="Y23" s="55" t="n">
        <x:v>2784</x:v>
      </x:c>
      <x:c r="Z23" s="55" t="n">
        <x:v>3509</x:v>
      </x:c>
      <x:c r="AA23" s="55" t="n">
        <x:v>2989</x:v>
      </x:c>
      <x:c r="AB23" s="55" t="n">
        <x:v>1104</x:v>
      </x:c>
      <x:c r="AC23" s="55" t="n">
        <x:v>8119</x:v>
      </x:c>
      <x:c r="AD23" s="55" t="n">
        <x:v>2641</x:v>
      </x:c>
      <x:c r="AE23" s="55" t="n">
        <x:v>9868</x:v>
      </x:c>
      <x:c r="AF23" s="55" t="n">
        <x:v>9724</x:v>
      </x:c>
      <x:c r="AG23" s="55" t="n">
        <x:v>144</x:v>
      </x:c>
      <x:c r="AH23" s="55" t="n">
        <x:v>470</x:v>
      </x:c>
      <x:c r="AI23" s="55" t="n">
        <x:v>9254</x:v>
      </x:c>
      <x:c r="AJ23" s="55" t="n">
        <x:v>189</x:v>
      </x:c>
      <x:c r="AK23" s="55" t="n">
        <x:v>1017</x:v>
      </x:c>
      <x:c r="AL23" s="55" t="n">
        <x:v>1064</x:v>
      </x:c>
      <x:c r="AM23" s="55" t="n">
        <x:v>4832</x:v>
      </x:c>
      <x:c r="AN23" s="55" t="n">
        <x:v>2607</x:v>
      </x:c>
      <x:c r="AO23" s="55" t="n">
        <x:v>15</x:v>
      </x:c>
      <x:c r="AP23" s="55" t="n">
        <x:v>2265</x:v>
      </x:c>
      <x:c r="AQ23" s="55" t="n">
        <x:v>920</x:v>
      </x:c>
    </x:row>
    <x:row r="24">
      <x:c r="A24" s="54" t="str">
        <x:v>T0_TABLE_BLOCK</x:v>
      </x:c>
      <x:c r="B24" s="54" t="n">
        <x:v>18</x:v>
      </x:c>
      <x:c r="C24" s="54" t="str">
        <x:v>NYC-V2-R01</x:v>
      </x:c>
      <x:c r="D24" s="54" t="str">
        <x:v>V2</x:v>
      </x:c>
      <x:c r="E24" s="54" t="str">
        <x:v>ADMITTED</x:v>
      </x:c>
      <x:c r="F24" s="55" t="n">
        <x:v>33473</x:v>
      </x:c>
      <x:c r="G24" s="55" t="n">
        <x:v>9106</x:v>
      </x:c>
      <x:c r="H24" s="55" t="n">
        <x:v>3040</x:v>
      </x:c>
      <x:c r="I24" s="55" t="n">
        <x:v>962</x:v>
      </x:c>
      <x:c r="J24" s="55" t="n">
        <x:v>92</x:v>
      </x:c>
      <x:c r="K24" s="55" t="n">
        <x:v>33473</x:v>
      </x:c>
      <x:c r="L24" s="55" t="n">
        <x:v>6496</x:v>
      </x:c>
      <x:c r="M24" s="55" t="n">
        <x:v>1988</x:v>
      </x:c>
      <x:c r="N24" s="55" t="n">
        <x:v>2802</x:v>
      </x:c>
      <x:c r="O24" s="55" t="n">
        <x:v>1706</x:v>
      </x:c>
      <x:c r="P24" s="55" t="n">
        <x:v>833</x:v>
      </x:c>
      <x:c r="Q24" s="55" t="n">
        <x:v>3275</x:v>
      </x:c>
      <x:c r="R24" s="55" t="n">
        <x:v>1430</x:v>
      </x:c>
      <x:c r="S24" s="55" t="n">
        <x:v>2133</x:v>
      </x:c>
      <x:c r="T24" s="55" t="n">
        <x:v>1743</x:v>
      </x:c>
      <x:c r="U24" s="55" t="n">
        <x:v>2031</x:v>
      </x:c>
      <x:c r="V24" s="55" t="n">
        <x:v>10466</x:v>
      </x:c>
      <x:c r="W24" s="55" t="n">
        <x:v>7408</x:v>
      </x:c>
      <x:c r="X24" s="55" t="n">
        <x:v>3058</x:v>
      </x:c>
      <x:c r="Y24" s="55" t="n">
        <x:v>2453</x:v>
      </x:c>
      <x:c r="Z24" s="55" t="n">
        <x:v>3569</x:v>
      </x:c>
      <x:c r="AA24" s="55" t="n">
        <x:v>3040</x:v>
      </x:c>
      <x:c r="AB24" s="55" t="n">
        <x:v>1354</x:v>
      </x:c>
      <x:c r="AC24" s="55" t="n">
        <x:v>7909</x:v>
      </x:c>
      <x:c r="AD24" s="55" t="n">
        <x:v>2841</x:v>
      </x:c>
      <x:c r="AE24" s="55" t="n">
        <x:v>10554</x:v>
      </x:c>
      <x:c r="AF24" s="55" t="n">
        <x:v>10466</x:v>
      </x:c>
      <x:c r="AG24" s="55" t="n">
        <x:v>88</x:v>
      </x:c>
      <x:c r="AH24" s="55" t="n">
        <x:v>463</x:v>
      </x:c>
      <x:c r="AI24" s="55" t="n">
        <x:v>10003</x:v>
      </x:c>
      <x:c r="AJ24" s="55" t="n">
        <x:v>232</x:v>
      </x:c>
      <x:c r="AK24" s="55" t="n">
        <x:v>982</x:v>
      </x:c>
      <x:c r="AL24" s="55" t="n">
        <x:v>1572</x:v>
      </x:c>
      <x:c r="AM24" s="55" t="n">
        <x:v>4620</x:v>
      </x:c>
      <x:c r="AN24" s="55" t="n">
        <x:v>3035</x:v>
      </x:c>
      <x:c r="AO24" s="55" t="n">
        <x:v>25</x:v>
      </x:c>
      <x:c r="AP24" s="55" t="n">
        <x:v>2435</x:v>
      </x:c>
      <x:c r="AQ24" s="55" t="n">
        <x:v>962</x:v>
      </x:c>
    </x:row>
    <x:row r="25">
      <x:c r="A25" s="54" t="str">
        <x:v>T0_TABLE_BLOCK</x:v>
      </x:c>
      <x:c r="B25" s="54" t="n">
        <x:v>19</x:v>
      </x:c>
      <x:c r="C25" s="54" t="str">
        <x:v>NYC-V2-R01</x:v>
      </x:c>
      <x:c r="D25" s="54" t="str">
        <x:v>V2</x:v>
      </x:c>
      <x:c r="E25" s="54" t="str">
        <x:v>ADMITTED</x:v>
      </x:c>
      <x:c r="F25" s="55" t="n">
        <x:v>30466</x:v>
      </x:c>
      <x:c r="G25" s="55" t="n">
        <x:v>7250</x:v>
      </x:c>
      <x:c r="H25" s="55" t="n">
        <x:v>3348</x:v>
      </x:c>
      <x:c r="I25" s="55" t="n">
        <x:v>1410</x:v>
      </x:c>
      <x:c r="J25" s="55" t="n">
        <x:v>449</x:v>
      </x:c>
      <x:c r="K25" s="55" t="n">
        <x:v>29921</x:v>
      </x:c>
      <x:c r="L25" s="55" t="n">
        <x:v>4991</x:v>
      </x:c>
      <x:c r="M25" s="55" t="n">
        <x:v>463</x:v>
      </x:c>
      <x:c r="N25" s="55" t="n">
        <x:v>2409</x:v>
      </x:c>
      <x:c r="O25" s="55" t="n">
        <x:v>2119</x:v>
      </x:c>
      <x:c r="P25" s="55" t="n">
        <x:v>1234</x:v>
      </x:c>
      <x:c r="Q25" s="55" t="n">
        <x:v>3374</x:v>
      </x:c>
      <x:c r="R25" s="55" t="n">
        <x:v>1643</x:v>
      </x:c>
      <x:c r="S25" s="55" t="n">
        <x:v>1889</x:v>
      </x:c>
      <x:c r="T25" s="55" t="n">
        <x:v>1185</x:v>
      </x:c>
      <x:c r="U25" s="55" t="n">
        <x:v>2609</x:v>
      </x:c>
      <x:c r="V25" s="55" t="n">
        <x:v>10578</x:v>
      </x:c>
      <x:c r="W25" s="55" t="n">
        <x:v>7501</x:v>
      </x:c>
      <x:c r="X25" s="55" t="n">
        <x:v>3077</x:v>
      </x:c>
      <x:c r="Y25" s="55" t="n">
        <x:v>2650</x:v>
      </x:c>
      <x:c r="Z25" s="55" t="n">
        <x:v>3552</x:v>
      </x:c>
      <x:c r="AA25" s="55" t="n">
        <x:v>3333</x:v>
      </x:c>
      <x:c r="AB25" s="55" t="n">
        <x:v>1381</x:v>
      </x:c>
      <x:c r="AC25" s="55" t="n">
        <x:v>7968</x:v>
      </x:c>
      <x:c r="AD25" s="55" t="n">
        <x:v>3010</x:v>
      </x:c>
      <x:c r="AE25" s="55" t="n">
        <x:v>10697</x:v>
      </x:c>
      <x:c r="AF25" s="55" t="n">
        <x:v>10578</x:v>
      </x:c>
      <x:c r="AG25" s="55" t="n">
        <x:v>119</x:v>
      </x:c>
      <x:c r="AH25" s="55" t="n">
        <x:v>635</x:v>
      </x:c>
      <x:c r="AI25" s="55" t="n">
        <x:v>9943</x:v>
      </x:c>
      <x:c r="AJ25" s="55" t="n">
        <x:v>392</x:v>
      </x:c>
      <x:c r="AK25" s="55" t="n">
        <x:v>800</x:v>
      </x:c>
      <x:c r="AL25" s="55" t="n">
        <x:v>1841</x:v>
      </x:c>
      <x:c r="AM25" s="55" t="n">
        <x:v>5261</x:v>
      </x:c>
      <x:c r="AN25" s="55" t="n">
        <x:v>2284</x:v>
      </x:c>
      <x:c r="AO25" s="55" t="n">
        <x:v>0</x:v>
      </x:c>
      <x:c r="AP25" s="55" t="n">
        <x:v>2557</x:v>
      </x:c>
      <x:c r="AQ25" s="55" t="n">
        <x:v>927</x:v>
      </x:c>
    </x:row>
    <x:row r="26">
      <x:c r="A26" s="54" t="str">
        <x:v>T0_TABLE_BLOCK</x:v>
      </x:c>
      <x:c r="B26" s="54" t="n">
        <x:v>20</x:v>
      </x:c>
      <x:c r="C26" s="54" t="str">
        <x:v>NYC-V2-R01</x:v>
      </x:c>
      <x:c r="D26" s="54" t="str">
        <x:v>V2</x:v>
      </x:c>
      <x:c r="E26" s="54" t="str">
        <x:v>ADMITTED</x:v>
      </x:c>
      <x:c r="F26" s="55" t="n">
        <x:v>31920</x:v>
      </x:c>
      <x:c r="G26" s="55" t="n">
        <x:v>8409</x:v>
      </x:c>
      <x:c r="H26" s="55" t="n">
        <x:v>3171</x:v>
      </x:c>
      <x:c r="I26" s="55" t="n">
        <x:v>1255</x:v>
      </x:c>
      <x:c r="J26" s="55" t="n">
        <x:v>130</x:v>
      </x:c>
      <x:c r="K26" s="55" t="n">
        <x:v>31920</x:v>
      </x:c>
      <x:c r="L26" s="55" t="n">
        <x:v>5713</x:v>
      </x:c>
      <x:c r="M26" s="55" t="n">
        <x:v>1131</x:v>
      </x:c>
      <x:c r="N26" s="55" t="n">
        <x:v>2961</x:v>
      </x:c>
      <x:c r="O26" s="55" t="n">
        <x:v>1621</x:v>
      </x:c>
      <x:c r="P26" s="55" t="n">
        <x:v>590</x:v>
      </x:c>
      <x:c r="Q26" s="55" t="n">
        <x:v>2193</x:v>
      </x:c>
      <x:c r="R26" s="55" t="n">
        <x:v>1477</x:v>
      </x:c>
      <x:c r="S26" s="55" t="n">
        <x:v>3093</x:v>
      </x:c>
      <x:c r="T26" s="55" t="n">
        <x:v>987</x:v>
      </x:c>
      <x:c r="U26" s="55" t="n">
        <x:v>1796</x:v>
      </x:c>
      <x:c r="V26" s="55" t="n">
        <x:v>10818</x:v>
      </x:c>
      <x:c r="W26" s="55" t="n">
        <x:v>8155</x:v>
      </x:c>
      <x:c r="X26" s="55" t="n">
        <x:v>2663</x:v>
      </x:c>
      <x:c r="Y26" s="55" t="n">
        <x:v>2234</x:v>
      </x:c>
      <x:c r="Z26" s="55" t="n">
        <x:v>3773</x:v>
      </x:c>
      <x:c r="AA26" s="55" t="n">
        <x:v>2909</x:v>
      </x:c>
      <x:c r="AB26" s="55" t="n">
        <x:v>1241</x:v>
      </x:c>
      <x:c r="AC26" s="55" t="n">
        <x:v>7930</x:v>
      </x:c>
      <x:c r="AD26" s="55" t="n">
        <x:v>3519</x:v>
      </x:c>
      <x:c r="AE26" s="55" t="n">
        <x:v>10872</x:v>
      </x:c>
      <x:c r="AF26" s="55" t="n">
        <x:v>10818</x:v>
      </x:c>
      <x:c r="AG26" s="55" t="n">
        <x:v>54</x:v>
      </x:c>
      <x:c r="AH26" s="55" t="n">
        <x:v>460</x:v>
      </x:c>
      <x:c r="AI26" s="55" t="n">
        <x:v>10358</x:v>
      </x:c>
      <x:c r="AJ26" s="55" t="n">
        <x:v>79</x:v>
      </x:c>
      <x:c r="AK26" s="55" t="n">
        <x:v>1071</x:v>
      </x:c>
      <x:c r="AL26" s="55" t="n">
        <x:v>2026</x:v>
      </x:c>
      <x:c r="AM26" s="55" t="n">
        <x:v>5302</x:v>
      </x:c>
      <x:c r="AN26" s="55" t="n">
        <x:v>2340</x:v>
      </x:c>
      <x:c r="AO26" s="55" t="n">
        <x:v>0</x:v>
      </x:c>
      <x:c r="AP26" s="55" t="n">
        <x:v>1774</x:v>
      </x:c>
      <x:c r="AQ26" s="55" t="n">
        <x:v>913</x:v>
      </x:c>
    </x:row>
    <x:row r="27">
      <x:c r="A27" s="54" t="str">
        <x:v>T0_TABLE_BLOCK</x:v>
      </x:c>
      <x:c r="B27" s="54" t="n">
        <x:v>21</x:v>
      </x:c>
      <x:c r="C27" s="54" t="str">
        <x:v>NYC-V2-R01</x:v>
      </x:c>
      <x:c r="D27" s="54" t="str">
        <x:v>V2</x:v>
      </x:c>
      <x:c r="E27" s="54" t="str">
        <x:v>ADMITTED</x:v>
      </x:c>
      <x:c r="F27" s="55" t="n">
        <x:v>29155</x:v>
      </x:c>
      <x:c r="G27" s="55" t="n">
        <x:v>6793</x:v>
      </x:c>
      <x:c r="H27" s="55" t="n">
        <x:v>3352</x:v>
      </x:c>
      <x:c r="I27" s="55" t="n">
        <x:v>1434</x:v>
      </x:c>
      <x:c r="J27" s="55" t="n">
        <x:v>137</x:v>
      </x:c>
      <x:c r="K27" s="55" t="n">
        <x:v>29155</x:v>
      </x:c>
      <x:c r="L27" s="55" t="n">
        <x:v>4799</x:v>
      </x:c>
      <x:c r="M27" s="55" t="n">
        <x:v>588</x:v>
      </x:c>
      <x:c r="N27" s="55" t="n">
        <x:v>3045</x:v>
      </x:c>
      <x:c r="O27" s="55" t="n">
        <x:v>1166</x:v>
      </x:c>
      <x:c r="P27" s="55" t="n">
        <x:v>695</x:v>
      </x:c>
      <x:c r="Q27" s="55" t="n">
        <x:v>2046</x:v>
      </x:c>
      <x:c r="R27" s="55" t="n">
        <x:v>2569</x:v>
      </x:c>
      <x:c r="S27" s="55" t="n">
        <x:v>2572</x:v>
      </x:c>
      <x:c r="T27" s="55" t="n">
        <x:v>1153</x:v>
      </x:c>
      <x:c r="U27" s="55" t="n">
        <x:v>2148</x:v>
      </x:c>
      <x:c r="V27" s="55" t="n">
        <x:v>10152</x:v>
      </x:c>
      <x:c r="W27" s="55" t="n">
        <x:v>7096</x:v>
      </x:c>
      <x:c r="X27" s="55" t="n">
        <x:v>3056</x:v>
      </x:c>
      <x:c r="Y27" s="55" t="n">
        <x:v>2518</x:v>
      </x:c>
      <x:c r="Z27" s="55" t="n">
        <x:v>3811</x:v>
      </x:c>
      <x:c r="AA27" s="55" t="n">
        <x:v>3352</x:v>
      </x:c>
      <x:c r="AB27" s="55" t="n">
        <x:v>1110</x:v>
      </x:c>
      <x:c r="AC27" s="55" t="n">
        <x:v>7900</x:v>
      </x:c>
      <x:c r="AD27" s="55" t="n">
        <x:v>2863</x:v>
      </x:c>
      <x:c r="AE27" s="55" t="n">
        <x:v>10264</x:v>
      </x:c>
      <x:c r="AF27" s="55" t="n">
        <x:v>10152</x:v>
      </x:c>
      <x:c r="AG27" s="55" t="n">
        <x:v>112</x:v>
      </x:c>
      <x:c r="AH27" s="55" t="n">
        <x:v>0</x:v>
      </x:c>
      <x:c r="AI27" s="55" t="n">
        <x:v>10152</x:v>
      </x:c>
      <x:c r="AJ27" s="55" t="n">
        <x:v>303</x:v>
      </x:c>
      <x:c r="AK27" s="55" t="n">
        <x:v>1321</x:v>
      </x:c>
      <x:c r="AL27" s="55" t="n">
        <x:v>936</x:v>
      </x:c>
      <x:c r="AM27" s="55" t="n">
        <x:v>4538</x:v>
      </x:c>
      <x:c r="AN27" s="55" t="n">
        <x:v>3054</x:v>
      </x:c>
      <x:c r="AO27" s="55" t="n">
        <x:v>0</x:v>
      </x:c>
      <x:c r="AP27" s="55" t="n">
        <x:v>2229</x:v>
      </x:c>
      <x:c r="AQ27" s="55" t="n">
        <x:v>938</x:v>
      </x:c>
    </x:row>
    <x:row r="28">
      <x:c r="A28" s="54" t="str">
        <x:v>T0_TABLE_BLOCK</x:v>
      </x:c>
      <x:c r="B28" s="54" t="n">
        <x:v>22</x:v>
      </x:c>
      <x:c r="C28" s="54" t="str">
        <x:v>NYC-V2-R01</x:v>
      </x:c>
      <x:c r="D28" s="54" t="str">
        <x:v>V2</x:v>
      </x:c>
      <x:c r="E28" s="54" t="str">
        <x:v>ADMITTED</x:v>
      </x:c>
      <x:c r="F28" s="55" t="n">
        <x:v>32780</x:v>
      </x:c>
      <x:c r="G28" s="55" t="n">
        <x:v>6338</x:v>
      </x:c>
      <x:c r="H28" s="55" t="n">
        <x:v>3322</x:v>
      </x:c>
      <x:c r="I28" s="55" t="n">
        <x:v>1311</x:v>
      </x:c>
      <x:c r="J28" s="55" t="n">
        <x:v>157</x:v>
      </x:c>
      <x:c r="K28" s="55" t="n">
        <x:v>32780</x:v>
      </x:c>
      <x:c r="L28" s="55" t="n">
        <x:v>6929</x:v>
      </x:c>
      <x:c r="M28" s="55" t="n">
        <x:v>2043</x:v>
      </x:c>
      <x:c r="N28" s="55" t="n">
        <x:v>3133</x:v>
      </x:c>
      <x:c r="O28" s="55" t="n">
        <x:v>1753</x:v>
      </x:c>
      <x:c r="P28" s="55" t="n">
        <x:v>796</x:v>
      </x:c>
      <x:c r="Q28" s="55" t="n">
        <x:v>3036</x:v>
      </x:c>
      <x:c r="R28" s="55" t="n">
        <x:v>1912</x:v>
      </x:c>
      <x:c r="S28" s="55" t="n">
        <x:v>3185</x:v>
      </x:c>
      <x:c r="T28" s="55" t="n">
        <x:v>904</x:v>
      </x:c>
      <x:c r="U28" s="55" t="n">
        <x:v>1895</x:v>
      </x:c>
      <x:c r="V28" s="55" t="n">
        <x:v>10651</x:v>
      </x:c>
      <x:c r="W28" s="55" t="n">
        <x:v>7503</x:v>
      </x:c>
      <x:c r="X28" s="55" t="n">
        <x:v>3148</x:v>
      </x:c>
      <x:c r="Y28" s="55" t="n">
        <x:v>2701</x:v>
      </x:c>
      <x:c r="Z28" s="55" t="n">
        <x:v>4309</x:v>
      </x:c>
      <x:c r="AA28" s="55" t="n">
        <x:v>2440</x:v>
      </x:c>
      <x:c r="AB28" s="55" t="n">
        <x:v>839</x:v>
      </x:c>
      <x:c r="AC28" s="55" t="n">
        <x:v>7853</x:v>
      </x:c>
      <x:c r="AD28" s="55" t="n">
        <x:v>2059</x:v>
      </x:c>
      <x:c r="AE28" s="55" t="n">
        <x:v>10692</x:v>
      </x:c>
      <x:c r="AF28" s="55" t="n">
        <x:v>10651</x:v>
      </x:c>
      <x:c r="AG28" s="55" t="n">
        <x:v>41</x:v>
      </x:c>
      <x:c r="AH28" s="55" t="n">
        <x:v>156</x:v>
      </x:c>
      <x:c r="AI28" s="55" t="n">
        <x:v>10495</x:v>
      </x:c>
      <x:c r="AJ28" s="55" t="n">
        <x:v>332</x:v>
      </x:c>
      <x:c r="AK28" s="55" t="n">
        <x:v>1356</x:v>
      </x:c>
      <x:c r="AL28" s="55" t="n">
        <x:v>1710</x:v>
      </x:c>
      <x:c r="AM28" s="55" t="n">
        <x:v>4398</x:v>
      </x:c>
      <x:c r="AN28" s="55" t="n">
        <x:v>2855</x:v>
      </x:c>
      <x:c r="AO28" s="55" t="n">
        <x:v>0</x:v>
      </x:c>
      <x:c r="AP28" s="55" t="n">
        <x:v>2849</x:v>
      </x:c>
      <x:c r="AQ28" s="55" t="n">
        <x:v>947</x:v>
      </x:c>
    </x:row>
    <x:row r="29">
      <x:c r="A29" s="54" t="str">
        <x:v>T0_TABLE_BLOCK</x:v>
      </x:c>
      <x:c r="B29" s="54" t="n">
        <x:v>23</x:v>
      </x:c>
      <x:c r="C29" s="54" t="str">
        <x:v>NYC-V2-R01</x:v>
      </x:c>
      <x:c r="D29" s="54" t="str">
        <x:v>V2</x:v>
      </x:c>
      <x:c r="E29" s="54" t="str">
        <x:v>ADMITTED</x:v>
      </x:c>
      <x:c r="F29" s="55" t="n">
        <x:v>30533</x:v>
      </x:c>
      <x:c r="G29" s="55" t="n">
        <x:v>8157</x:v>
      </x:c>
      <x:c r="H29" s="55" t="n">
        <x:v>3094</x:v>
      </x:c>
      <x:c r="I29" s="55" t="n">
        <x:v>1260</x:v>
      </x:c>
      <x:c r="J29" s="55" t="n">
        <x:v>0</x:v>
      </x:c>
      <x:c r="K29" s="55" t="n">
        <x:v>30533</x:v>
      </x:c>
      <x:c r="L29" s="55" t="n">
        <x:v>5447</x:v>
      </x:c>
      <x:c r="M29" s="55" t="n">
        <x:v>1376</x:v>
      </x:c>
      <x:c r="N29" s="55" t="n">
        <x:v>2035</x:v>
      </x:c>
      <x:c r="O29" s="55" t="n">
        <x:v>2036</x:v>
      </x:c>
      <x:c r="P29" s="55" t="n">
        <x:v>608</x:v>
      </x:c>
      <x:c r="Q29" s="55" t="n">
        <x:v>2113</x:v>
      </x:c>
      <x:c r="R29" s="55" t="n">
        <x:v>2170</x:v>
      </x:c>
      <x:c r="S29" s="55" t="n">
        <x:v>2459</x:v>
      </x:c>
      <x:c r="T29" s="55" t="n">
        <x:v>548</x:v>
      </x:c>
      <x:c r="U29" s="55" t="n">
        <x:v>1768</x:v>
      </x:c>
      <x:c r="V29" s="55" t="n">
        <x:v>10648</x:v>
      </x:c>
      <x:c r="W29" s="55" t="n">
        <x:v>7777</x:v>
      </x:c>
      <x:c r="X29" s="55" t="n">
        <x:v>2871</x:v>
      </x:c>
      <x:c r="Y29" s="55" t="n">
        <x:v>2720</x:v>
      </x:c>
      <x:c r="Z29" s="55" t="n">
        <x:v>4039</x:v>
      </x:c>
      <x:c r="AA29" s="55" t="n">
        <x:v>2731</x:v>
      </x:c>
      <x:c r="AB29" s="55" t="n">
        <x:v>948</x:v>
      </x:c>
      <x:c r="AC29" s="55" t="n">
        <x:v>8366</x:v>
      </x:c>
      <x:c r="AD29" s="55" t="n">
        <x:v>2943</x:v>
      </x:c>
      <x:c r="AE29" s="55" t="n">
        <x:v>10681</x:v>
      </x:c>
      <x:c r="AF29" s="55" t="n">
        <x:v>10648</x:v>
      </x:c>
      <x:c r="AG29" s="55" t="n">
        <x:v>33</x:v>
      </x:c>
      <x:c r="AH29" s="55" t="n">
        <x:v>389</x:v>
      </x:c>
      <x:c r="AI29" s="55" t="n">
        <x:v>10259</x:v>
      </x:c>
      <x:c r="AJ29" s="55" t="n">
        <x:v>261</x:v>
      </x:c>
      <x:c r="AK29" s="55" t="n">
        <x:v>981</x:v>
      </x:c>
      <x:c r="AL29" s="55" t="n">
        <x:v>1760</x:v>
      </x:c>
      <x:c r="AM29" s="55" t="n">
        <x:v>5594</x:v>
      </x:c>
      <x:c r="AN29" s="55" t="n">
        <x:v>2052</x:v>
      </x:c>
      <x:c r="AO29" s="55" t="n">
        <x:v>0</x:v>
      </x:c>
      <x:c r="AP29" s="55" t="n">
        <x:v>2486</x:v>
      </x:c>
      <x:c r="AQ29" s="55" t="n">
        <x:v>925</x:v>
      </x:c>
    </x:row>
    <x:row r="30">
      <x:c r="A30" s="54" t="str">
        <x:v>T0_TABLE_BLOCK</x:v>
      </x:c>
      <x:c r="B30" s="54" t="n">
        <x:v>24</x:v>
      </x:c>
      <x:c r="C30" s="54" t="str">
        <x:v>NYC-V2-R01</x:v>
      </x:c>
      <x:c r="D30" s="54" t="str">
        <x:v>V2</x:v>
      </x:c>
      <x:c r="E30" s="54" t="str">
        <x:v>ADMITTED</x:v>
      </x:c>
      <x:c r="F30" s="55" t="n">
        <x:v>30572</x:v>
      </x:c>
      <x:c r="G30" s="55" t="n">
        <x:v>7701</x:v>
      </x:c>
      <x:c r="H30" s="55" t="n">
        <x:v>3839</x:v>
      </x:c>
      <x:c r="I30" s="55" t="n">
        <x:v>1395</x:v>
      </x:c>
      <x:c r="J30" s="55" t="n">
        <x:v>290</x:v>
      </x:c>
      <x:c r="K30" s="55" t="n">
        <x:v>27875</x:v>
      </x:c>
      <x:c r="L30" s="55" t="n">
        <x:v>4770</x:v>
      </x:c>
      <x:c r="M30" s="55" t="n">
        <x:v>424</x:v>
      </x:c>
      <x:c r="N30" s="55" t="n">
        <x:v>2401</x:v>
      </x:c>
      <x:c r="O30" s="55" t="n">
        <x:v>1945</x:v>
      </x:c>
      <x:c r="P30" s="55" t="n">
        <x:v>1027</x:v>
      </x:c>
      <x:c r="Q30" s="55" t="n">
        <x:v>2681</x:v>
      </x:c>
      <x:c r="R30" s="55" t="n">
        <x:v>1912</x:v>
      </x:c>
      <x:c r="S30" s="55" t="n">
        <x:v>2414</x:v>
      </x:c>
      <x:c r="T30" s="55" t="n">
        <x:v>1354</x:v>
      </x:c>
      <x:c r="U30" s="55" t="n">
        <x:v>1723</x:v>
      </x:c>
      <x:c r="V30" s="55" t="n">
        <x:v>10234</x:v>
      </x:c>
      <x:c r="W30" s="55" t="n">
        <x:v>7432</x:v>
      </x:c>
      <x:c r="X30" s="55" t="n">
        <x:v>2802</x:v>
      </x:c>
      <x:c r="Y30" s="55" t="n">
        <x:v>2619</x:v>
      </x:c>
      <x:c r="Z30" s="55" t="n">
        <x:v>3744</x:v>
      </x:c>
      <x:c r="AA30" s="55" t="n">
        <x:v>3225</x:v>
      </x:c>
      <x:c r="AB30" s="55" t="n">
        <x:v>1222</x:v>
      </x:c>
      <x:c r="AC30" s="55" t="n">
        <x:v>8310</x:v>
      </x:c>
      <x:c r="AD30" s="55" t="n">
        <x:v>2490</x:v>
      </x:c>
      <x:c r="AE30" s="55" t="n">
        <x:v>10305</x:v>
      </x:c>
      <x:c r="AF30" s="55" t="n">
        <x:v>10234</x:v>
      </x:c>
      <x:c r="AG30" s="55" t="n">
        <x:v>71</x:v>
      </x:c>
      <x:c r="AH30" s="55" t="n">
        <x:v>402</x:v>
      </x:c>
      <x:c r="AI30" s="55" t="n">
        <x:v>9832</x:v>
      </x:c>
      <x:c r="AJ30" s="55" t="n">
        <x:v>310</x:v>
      </x:c>
      <x:c r="AK30" s="55" t="n">
        <x:v>1128</x:v>
      </x:c>
      <x:c r="AL30" s="55" t="n">
        <x:v>1744</x:v>
      </x:c>
      <x:c r="AM30" s="55" t="n">
        <x:v>4288</x:v>
      </x:c>
      <x:c r="AN30" s="55" t="n">
        <x:v>2682</x:v>
      </x:c>
      <x:c r="AO30" s="55" t="n">
        <x:v>82</x:v>
      </x:c>
      <x:c r="AP30" s="55" t="n">
        <x:v>2153</x:v>
      </x:c>
      <x:c r="AQ30" s="55" t="n">
        <x:v>930</x:v>
      </x:c>
    </x:row>
    <x:row r="31">
      <x:c r="A31" s="54" t="str">
        <x:v>T0_TABLE_BLOCK</x:v>
      </x:c>
      <x:c r="B31" s="54" t="n">
        <x:v>25</x:v>
      </x:c>
      <x:c r="C31" s="54" t="str">
        <x:v>NYC-V2-R01</x:v>
      </x:c>
      <x:c r="D31" s="54" t="str">
        <x:v>V2</x:v>
      </x:c>
      <x:c r="E31" s="54" t="str">
        <x:v>ADMITTED</x:v>
      </x:c>
      <x:c r="F31" s="55" t="n">
        <x:v>30372</x:v>
      </x:c>
      <x:c r="G31" s="55" t="n">
        <x:v>8171</x:v>
      </x:c>
      <x:c r="H31" s="55" t="n">
        <x:v>3529</x:v>
      </x:c>
      <x:c r="I31" s="55" t="n">
        <x:v>998</x:v>
      </x:c>
      <x:c r="J31" s="55" t="n">
        <x:v>129</x:v>
      </x:c>
      <x:c r="K31" s="55" t="n">
        <x:v>26728</x:v>
      </x:c>
      <x:c r="L31" s="55" t="n">
        <x:v>4527</x:v>
      </x:c>
      <x:c r="M31" s="55" t="n">
        <x:v>0</x:v>
      </x:c>
      <x:c r="N31" s="55" t="n">
        <x:v>2561</x:v>
      </x:c>
      <x:c r="O31" s="55" t="n">
        <x:v>1966</x:v>
      </x:c>
      <x:c r="P31" s="55" t="n">
        <x:v>515</x:v>
      </x:c>
      <x:c r="Q31" s="55" t="n">
        <x:v>2537</x:v>
      </x:c>
      <x:c r="R31" s="55" t="n">
        <x:v>1893</x:v>
      </x:c>
      <x:c r="S31" s="55" t="n">
        <x:v>2801</x:v>
      </x:c>
      <x:c r="T31" s="55" t="n">
        <x:v>1546</x:v>
      </x:c>
      <x:c r="U31" s="55" t="n">
        <x:v>2020</x:v>
      </x:c>
      <x:c r="V31" s="55" t="n">
        <x:v>10080</x:v>
      </x:c>
      <x:c r="W31" s="55" t="n">
        <x:v>6722</x:v>
      </x:c>
      <x:c r="X31" s="55" t="n">
        <x:v>3358</x:v>
      </x:c>
      <x:c r="Y31" s="55" t="n">
        <x:v>2753</x:v>
      </x:c>
      <x:c r="Z31" s="55" t="n">
        <x:v>3667</x:v>
      </x:c>
      <x:c r="AA31" s="55" t="n">
        <x:v>3529</x:v>
      </x:c>
      <x:c r="AB31" s="55" t="n">
        <x:v>1378</x:v>
      </x:c>
      <x:c r="AC31" s="55" t="n">
        <x:v>8124</x:v>
      </x:c>
      <x:c r="AD31" s="55" t="n">
        <x:v>3124</x:v>
      </x:c>
      <x:c r="AE31" s="55" t="n">
        <x:v>10195</x:v>
      </x:c>
      <x:c r="AF31" s="55" t="n">
        <x:v>10080</x:v>
      </x:c>
      <x:c r="AG31" s="55" t="n">
        <x:v>115</x:v>
      </x:c>
      <x:c r="AH31" s="55" t="n">
        <x:v>296</x:v>
      </x:c>
      <x:c r="AI31" s="55" t="n">
        <x:v>9784</x:v>
      </x:c>
      <x:c r="AJ31" s="55" t="n">
        <x:v>260</x:v>
      </x:c>
      <x:c r="AK31" s="55" t="n">
        <x:v>1199</x:v>
      </x:c>
      <x:c r="AL31" s="55" t="n">
        <x:v>1333</x:v>
      </x:c>
      <x:c r="AM31" s="55" t="n">
        <x:v>5101</x:v>
      </x:c>
      <x:c r="AN31" s="55" t="n">
        <x:v>2187</x:v>
      </x:c>
      <x:c r="AO31" s="55" t="n">
        <x:v>0</x:v>
      </x:c>
      <x:c r="AP31" s="55" t="n">
        <x:v>2227</x:v>
      </x:c>
      <x:c r="AQ31" s="55" t="n">
        <x:v>965</x:v>
      </x:c>
    </x:row>
    <x:row r="32">
      <x:c r="A32" s="54" t="str">
        <x:v>T0_TABLE_BLOCK</x:v>
      </x:c>
      <x:c r="B32" s="54" t="n">
        <x:v>26</x:v>
      </x:c>
      <x:c r="C32" s="54" t="str">
        <x:v>NYC-V2-R01</x:v>
      </x:c>
      <x:c r="D32" s="54" t="str">
        <x:v>V2</x:v>
      </x:c>
      <x:c r="E32" s="54" t="str">
        <x:v>ADMITTED</x:v>
      </x:c>
      <x:c r="F32" s="55" t="n">
        <x:v>32141</x:v>
      </x:c>
      <x:c r="G32" s="55" t="n">
        <x:v>7439</x:v>
      </x:c>
      <x:c r="H32" s="55" t="n">
        <x:v>3381</x:v>
      </x:c>
      <x:c r="I32" s="55" t="n">
        <x:v>1271</x:v>
      </x:c>
      <x:c r="J32" s="55" t="n">
        <x:v>120</x:v>
      </x:c>
      <x:c r="K32" s="55" t="n">
        <x:v>32141</x:v>
      </x:c>
      <x:c r="L32" s="55" t="n">
        <x:v>6289</x:v>
      </x:c>
      <x:c r="M32" s="55" t="n">
        <x:v>1746</x:v>
      </x:c>
      <x:c r="N32" s="55" t="n">
        <x:v>3003</x:v>
      </x:c>
      <x:c r="O32" s="55" t="n">
        <x:v>1540</x:v>
      </x:c>
      <x:c r="P32" s="55" t="n">
        <x:v>1415</x:v>
      </x:c>
      <x:c r="Q32" s="55" t="n">
        <x:v>1853</x:v>
      </x:c>
      <x:c r="R32" s="55" t="n">
        <x:v>1806</x:v>
      </x:c>
      <x:c r="S32" s="55" t="n">
        <x:v>3235</x:v>
      </x:c>
      <x:c r="T32" s="55" t="n">
        <x:v>1158</x:v>
      </x:c>
      <x:c r="U32" s="55" t="n">
        <x:v>2168</x:v>
      </x:c>
      <x:c r="V32" s="55" t="n">
        <x:v>10849</x:v>
      </x:c>
      <x:c r="W32" s="55" t="n">
        <x:v>7874</x:v>
      </x:c>
      <x:c r="X32" s="55" t="n">
        <x:v>2975</x:v>
      </x:c>
      <x:c r="Y32" s="55" t="n">
        <x:v>2712</x:v>
      </x:c>
      <x:c r="Z32" s="55" t="n">
        <x:v>3518</x:v>
      </x:c>
      <x:c r="AA32" s="55" t="n">
        <x:v>3381</x:v>
      </x:c>
      <x:c r="AB32" s="55" t="n">
        <x:v>1198</x:v>
      </x:c>
      <x:c r="AC32" s="55" t="n">
        <x:v>8019</x:v>
      </x:c>
      <x:c r="AD32" s="55" t="n">
        <x:v>3462</x:v>
      </x:c>
      <x:c r="AE32" s="55" t="n">
        <x:v>10851</x:v>
      </x:c>
      <x:c r="AF32" s="55" t="n">
        <x:v>10849</x:v>
      </x:c>
      <x:c r="AG32" s="55" t="n">
        <x:v>2</x:v>
      </x:c>
      <x:c r="AH32" s="55" t="n">
        <x:v>287</x:v>
      </x:c>
      <x:c r="AI32" s="55" t="n">
        <x:v>10562</x:v>
      </x:c>
      <x:c r="AJ32" s="55" t="n">
        <x:v>392</x:v>
      </x:c>
      <x:c r="AK32" s="55" t="n">
        <x:v>1288</x:v>
      </x:c>
      <x:c r="AL32" s="55" t="n">
        <x:v>2142</x:v>
      </x:c>
      <x:c r="AM32" s="55" t="n">
        <x:v>4417</x:v>
      </x:c>
      <x:c r="AN32" s="55" t="n">
        <x:v>2610</x:v>
      </x:c>
      <x:c r="AO32" s="55" t="n">
        <x:v>0</x:v>
      </x:c>
      <x:c r="AP32" s="55" t="n">
        <x:v>2279</x:v>
      </x:c>
      <x:c r="AQ32" s="55" t="n">
        <x:v>948</x:v>
      </x:c>
    </x:row>
    <x:row r="33">
      <x:c r="A33" s="54" t="str">
        <x:v>T0_TABLE_BLOCK</x:v>
      </x:c>
      <x:c r="B33" s="54" t="n">
        <x:v>27</x:v>
      </x:c>
      <x:c r="C33" s="54" t="str">
        <x:v>NYC-V2-R01</x:v>
      </x:c>
      <x:c r="D33" s="54" t="str">
        <x:v>V2</x:v>
      </x:c>
      <x:c r="E33" s="54" t="str">
        <x:v>ADMITTED</x:v>
      </x:c>
      <x:c r="F33" s="55" t="n">
        <x:v>28386</x:v>
      </x:c>
      <x:c r="G33" s="55" t="n">
        <x:v>5784</x:v>
      </x:c>
      <x:c r="H33" s="55" t="n">
        <x:v>4014</x:v>
      </x:c>
      <x:c r="I33" s="55" t="n">
        <x:v>2105</x:v>
      </x:c>
      <x:c r="J33" s="55" t="n">
        <x:v>449</x:v>
      </x:c>
      <x:c r="K33" s="55" t="n">
        <x:v>28386</x:v>
      </x:c>
      <x:c r="L33" s="55" t="n">
        <x:v>5046</x:v>
      </x:c>
      <x:c r="M33" s="55" t="n">
        <x:v>1040</x:v>
      </x:c>
      <x:c r="N33" s="55" t="n">
        <x:v>3150</x:v>
      </x:c>
      <x:c r="O33" s="55" t="n">
        <x:v>856</x:v>
      </x:c>
      <x:c r="P33" s="55" t="n">
        <x:v>1252</x:v>
      </x:c>
      <x:c r="Q33" s="55" t="n">
        <x:v>2958</x:v>
      </x:c>
      <x:c r="R33" s="55" t="n">
        <x:v>1843</x:v>
      </x:c>
      <x:c r="S33" s="55" t="n">
        <x:v>2864</x:v>
      </x:c>
      <x:c r="T33" s="55" t="n">
        <x:v>1445</x:v>
      </x:c>
      <x:c r="U33" s="55" t="n">
        <x:v>1991</x:v>
      </x:c>
      <x:c r="V33" s="55" t="n">
        <x:v>10321</x:v>
      </x:c>
      <x:c r="W33" s="55" t="n">
        <x:v>7199</x:v>
      </x:c>
      <x:c r="X33" s="55" t="n">
        <x:v>3122</x:v>
      </x:c>
      <x:c r="Y33" s="55" t="n">
        <x:v>2791</x:v>
      </x:c>
      <x:c r="Z33" s="55" t="n">
        <x:v>3452</x:v>
      </x:c>
      <x:c r="AA33" s="55" t="n">
        <x:v>2788</x:v>
      </x:c>
      <x:c r="AB33" s="55" t="n">
        <x:v>965</x:v>
      </x:c>
      <x:c r="AC33" s="55" t="n">
        <x:v>7629</x:v>
      </x:c>
      <x:c r="AD33" s="55" t="n">
        <x:v>3135</x:v>
      </x:c>
      <x:c r="AE33" s="55" t="n">
        <x:v>10418</x:v>
      </x:c>
      <x:c r="AF33" s="55" t="n">
        <x:v>10321</x:v>
      </x:c>
      <x:c r="AG33" s="55" t="n">
        <x:v>97</x:v>
      </x:c>
      <x:c r="AH33" s="55" t="n">
        <x:v>396</x:v>
      </x:c>
      <x:c r="AI33" s="55" t="n">
        <x:v>9925</x:v>
      </x:c>
      <x:c r="AJ33" s="55" t="n">
        <x:v>192</x:v>
      </x:c>
      <x:c r="AK33" s="55" t="n">
        <x:v>938</x:v>
      </x:c>
      <x:c r="AL33" s="55" t="n">
        <x:v>1571</x:v>
      </x:c>
      <x:c r="AM33" s="55" t="n">
        <x:v>4743</x:v>
      </x:c>
      <x:c r="AN33" s="55" t="n">
        <x:v>2823</x:v>
      </x:c>
      <x:c r="AO33" s="55" t="n">
        <x:v>54</x:v>
      </x:c>
      <x:c r="AP33" s="55" t="n">
        <x:v>2447</x:v>
      </x:c>
      <x:c r="AQ33" s="55" t="n">
        <x:v>910</x:v>
      </x:c>
    </x:row>
    <x:row r="34">
      <x:c r="A34" s="54" t="str">
        <x:v>T0_TABLE_BLOCK</x:v>
      </x:c>
      <x:c r="B34" s="54" t="n">
        <x:v>28</x:v>
      </x:c>
      <x:c r="C34" s="54" t="str">
        <x:v>NYC-V2-R01</x:v>
      </x:c>
      <x:c r="D34" s="54" t="str">
        <x:v>V2</x:v>
      </x:c>
      <x:c r="E34" s="54" t="str">
        <x:v>ADMITTED</x:v>
      </x:c>
      <x:c r="F34" s="55" t="n">
        <x:v>33207</x:v>
      </x:c>
      <x:c r="G34" s="55" t="n">
        <x:v>8525</x:v>
      </x:c>
      <x:c r="H34" s="55" t="n">
        <x:v>3160</x:v>
      </x:c>
      <x:c r="I34" s="55" t="n">
        <x:v>1135</x:v>
      </x:c>
      <x:c r="J34" s="55" t="n">
        <x:v>132</x:v>
      </x:c>
      <x:c r="K34" s="55" t="n">
        <x:v>33207</x:v>
      </x:c>
      <x:c r="L34" s="55" t="n">
        <x:v>6502</x:v>
      </x:c>
      <x:c r="M34" s="55" t="n">
        <x:v>2158</x:v>
      </x:c>
      <x:c r="N34" s="55" t="n">
        <x:v>2889</x:v>
      </x:c>
      <x:c r="O34" s="55" t="n">
        <x:v>1455</x:v>
      </x:c>
      <x:c r="P34" s="55" t="n">
        <x:v>1085</x:v>
      </x:c>
      <x:c r="Q34" s="55" t="n">
        <x:v>2397</x:v>
      </x:c>
      <x:c r="R34" s="55" t="n">
        <x:v>1885</x:v>
      </x:c>
      <x:c r="S34" s="55" t="n">
        <x:v>2710</x:v>
      </x:c>
      <x:c r="T34" s="55" t="n">
        <x:v>934</x:v>
      </x:c>
      <x:c r="U34" s="55" t="n">
        <x:v>1644</x:v>
      </x:c>
      <x:c r="V34" s="55" t="n">
        <x:v>10598</x:v>
      </x:c>
      <x:c r="W34" s="55" t="n">
        <x:v>7871</x:v>
      </x:c>
      <x:c r="X34" s="55" t="n">
        <x:v>2727</x:v>
      </x:c>
      <x:c r="Y34" s="55" t="n">
        <x:v>2364</x:v>
      </x:c>
      <x:c r="Z34" s="55" t="n">
        <x:v>4056</x:v>
      </x:c>
      <x:c r="AA34" s="55" t="n">
        <x:v>3160</x:v>
      </x:c>
      <x:c r="AB34" s="55" t="n">
        <x:v>1274</x:v>
      </x:c>
      <x:c r="AC34" s="55" t="n">
        <x:v>8103</x:v>
      </x:c>
      <x:c r="AD34" s="55" t="n">
        <x:v>3201</x:v>
      </x:c>
      <x:c r="AE34" s="55" t="n">
        <x:v>10612</x:v>
      </x:c>
      <x:c r="AF34" s="55" t="n">
        <x:v>10598</x:v>
      </x:c>
      <x:c r="AG34" s="55" t="n">
        <x:v>14</x:v>
      </x:c>
      <x:c r="AH34" s="55" t="n">
        <x:v>616</x:v>
      </x:c>
      <x:c r="AI34" s="55" t="n">
        <x:v>9982</x:v>
      </x:c>
      <x:c r="AJ34" s="55" t="n">
        <x:v>291</x:v>
      </x:c>
      <x:c r="AK34" s="55" t="n">
        <x:v>1033</x:v>
      </x:c>
      <x:c r="AL34" s="55" t="n">
        <x:v>1492</x:v>
      </x:c>
      <x:c r="AM34" s="55" t="n">
        <x:v>5123</x:v>
      </x:c>
      <x:c r="AN34" s="55" t="n">
        <x:v>2627</x:v>
      </x:c>
      <x:c r="AO34" s="55" t="n">
        <x:v>32</x:v>
      </x:c>
      <x:c r="AP34" s="55" t="n">
        <x:v>2030</x:v>
      </x:c>
      <x:c r="AQ34" s="55" t="n">
        <x:v>978</x:v>
      </x:c>
    </x:row>
    <x:row r="35">
      <x:c r="A35" s="54" t="str">
        <x:v>T0_TABLE_BLOCK</x:v>
      </x:c>
      <x:c r="B35" s="54" t="n">
        <x:v>29</x:v>
      </x:c>
      <x:c r="C35" s="54" t="str">
        <x:v>NYC-V2-R01</x:v>
      </x:c>
      <x:c r="D35" s="54" t="str">
        <x:v>V2</x:v>
      </x:c>
      <x:c r="E35" s="54" t="str">
        <x:v>ADMITTED</x:v>
      </x:c>
      <x:c r="F35" s="55" t="n">
        <x:v>31814</x:v>
      </x:c>
      <x:c r="G35" s="55" t="n">
        <x:v>7358</x:v>
      </x:c>
      <x:c r="H35" s="55" t="n">
        <x:v>3376</x:v>
      </x:c>
      <x:c r="I35" s="55" t="n">
        <x:v>1303</x:v>
      </x:c>
      <x:c r="J35" s="55" t="n">
        <x:v>327</x:v>
      </x:c>
      <x:c r="K35" s="55" t="n">
        <x:v>29966</x:v>
      </x:c>
      <x:c r="L35" s="55" t="n">
        <x:v>5636</x:v>
      </x:c>
      <x:c r="M35" s="55" t="n">
        <x:v>806</x:v>
      </x:c>
      <x:c r="N35" s="55" t="n">
        <x:v>3152</x:v>
      </x:c>
      <x:c r="O35" s="55" t="n">
        <x:v>1678</x:v>
      </x:c>
      <x:c r="P35" s="55" t="n">
        <x:v>1139</x:v>
      </x:c>
      <x:c r="Q35" s="55" t="n">
        <x:v>2500</x:v>
      </x:c>
      <x:c r="R35" s="55" t="n">
        <x:v>1490</x:v>
      </x:c>
      <x:c r="S35" s="55" t="n">
        <x:v>2882</x:v>
      </x:c>
      <x:c r="T35" s="55" t="n">
        <x:v>1106</x:v>
      </x:c>
      <x:c r="U35" s="55" t="n">
        <x:v>2231</x:v>
      </x:c>
      <x:c r="V35" s="55" t="n">
        <x:v>10271</x:v>
      </x:c>
      <x:c r="W35" s="55" t="n">
        <x:v>7065</x:v>
      </x:c>
      <x:c r="X35" s="55" t="n">
        <x:v>3206</x:v>
      </x:c>
      <x:c r="Y35" s="55" t="n">
        <x:v>2769</x:v>
      </x:c>
      <x:c r="Z35" s="55" t="n">
        <x:v>3485</x:v>
      </x:c>
      <x:c r="AA35" s="55" t="n">
        <x:v>2530</x:v>
      </x:c>
      <x:c r="AB35" s="55" t="n">
        <x:v>774</x:v>
      </x:c>
      <x:c r="AC35" s="55" t="n">
        <x:v>7633</x:v>
      </x:c>
      <x:c r="AD35" s="55" t="n">
        <x:v>2575</x:v>
      </x:c>
      <x:c r="AE35" s="55" t="n">
        <x:v>10332</x:v>
      </x:c>
      <x:c r="AF35" s="55" t="n">
        <x:v>10271</x:v>
      </x:c>
      <x:c r="AG35" s="55" t="n">
        <x:v>61</x:v>
      </x:c>
      <x:c r="AH35" s="55" t="n">
        <x:v>428</x:v>
      </x:c>
      <x:c r="AI35" s="55" t="n">
        <x:v>9843</x:v>
      </x:c>
      <x:c r="AJ35" s="55" t="n">
        <x:v>239</x:v>
      </x:c>
      <x:c r="AK35" s="55" t="n">
        <x:v>831</x:v>
      </x:c>
      <x:c r="AL35" s="55" t="n">
        <x:v>1542</x:v>
      </x:c>
      <x:c r="AM35" s="55" t="n">
        <x:v>4797</x:v>
      </x:c>
      <x:c r="AN35" s="55" t="n">
        <x:v>2795</x:v>
      </x:c>
      <x:c r="AO35" s="55" t="n">
        <x:v>67</x:v>
      </x:c>
      <x:c r="AP35" s="55" t="n">
        <x:v>2052</x:v>
      </x:c>
      <x:c r="AQ35" s="55" t="n">
        <x:v>984</x:v>
      </x:c>
    </x:row>
    <x:row r="36">
      <x:c r="A36" s="54" t="str">
        <x:v>T0_TABLE_BLOCK</x:v>
      </x:c>
      <x:c r="B36" s="54" t="n">
        <x:v>30</x:v>
      </x:c>
      <x:c r="C36" s="54" t="str">
        <x:v>NYC-V2-R01</x:v>
      </x:c>
      <x:c r="D36" s="54" t="str">
        <x:v>V2</x:v>
      </x:c>
      <x:c r="E36" s="54" t="str">
        <x:v>ADMITTED</x:v>
      </x:c>
      <x:c r="F36" s="55" t="n">
        <x:v>36423</x:v>
      </x:c>
      <x:c r="G36" s="55" t="n">
        <x:v>8796</x:v>
      </x:c>
      <x:c r="H36" s="55" t="n">
        <x:v>4006</x:v>
      </x:c>
      <x:c r="I36" s="55" t="n">
        <x:v>1579</x:v>
      </x:c>
      <x:c r="J36" s="55" t="n">
        <x:v>380</x:v>
      </x:c>
      <x:c r="K36" s="55" t="n">
        <x:v>31170</x:v>
      </x:c>
      <x:c r="L36" s="55" t="n">
        <x:v>6054</x:v>
      </x:c>
      <x:c r="M36" s="55" t="n">
        <x:v>1922</x:v>
      </x:c>
      <x:c r="N36" s="55" t="n">
        <x:v>2375</x:v>
      </x:c>
      <x:c r="O36" s="55" t="n">
        <x:v>1757</x:v>
      </x:c>
      <x:c r="P36" s="55" t="n">
        <x:v>903</x:v>
      </x:c>
      <x:c r="Q36" s="55" t="n">
        <x:v>2939</x:v>
      </x:c>
      <x:c r="R36" s="55" t="n">
        <x:v>2712</x:v>
      </x:c>
      <x:c r="S36" s="55" t="n">
        <x:v>2774</x:v>
      </x:c>
      <x:c r="T36" s="55" t="n">
        <x:v>847</x:v>
      </x:c>
      <x:c r="U36" s="55" t="n">
        <x:v>1702</x:v>
      </x:c>
      <x:c r="V36" s="55" t="n">
        <x:v>10636</x:v>
      </x:c>
      <x:c r="W36" s="55" t="n">
        <x:v>7900</x:v>
      </x:c>
      <x:c r="X36" s="55" t="n">
        <x:v>2736</x:v>
      </x:c>
      <x:c r="Y36" s="55" t="n">
        <x:v>2249</x:v>
      </x:c>
      <x:c r="Z36" s="55" t="n">
        <x:v>4421</x:v>
      </x:c>
      <x:c r="AA36" s="55" t="n">
        <x:v>3248</x:v>
      </x:c>
      <x:c r="AB36" s="55" t="n">
        <x:v>1338</x:v>
      </x:c>
      <x:c r="AC36" s="55" t="n">
        <x:v>8203</x:v>
      </x:c>
      <x:c r="AD36" s="55" t="n">
        <x:v>3086</x:v>
      </x:c>
      <x:c r="AE36" s="55" t="n">
        <x:v>10743</x:v>
      </x:c>
      <x:c r="AF36" s="55" t="n">
        <x:v>10636</x:v>
      </x:c>
      <x:c r="AG36" s="55" t="n">
        <x:v>107</x:v>
      </x:c>
      <x:c r="AH36" s="55" t="n">
        <x:v>472</x:v>
      </x:c>
      <x:c r="AI36" s="55" t="n">
        <x:v>10164</x:v>
      </x:c>
      <x:c r="AJ36" s="55" t="n">
        <x:v>294</x:v>
      </x:c>
      <x:c r="AK36" s="55" t="n">
        <x:v>1110</x:v>
      </x:c>
      <x:c r="AL36" s="55" t="n">
        <x:v>1710</x:v>
      </x:c>
      <x:c r="AM36" s="55" t="n">
        <x:v>4468</x:v>
      </x:c>
      <x:c r="AN36" s="55" t="n">
        <x:v>3054</x:v>
      </x:c>
      <x:c r="AO36" s="55" t="n">
        <x:v>0</x:v>
      </x:c>
      <x:c r="AP36" s="55" t="n">
        <x:v>2454</x:v>
      </x:c>
      <x:c r="AQ36" s="55" t="n">
        <x:v>996</x:v>
      </x:c>
    </x:row>
    <x:row r="37">
      <x:c r="A37" s="54" t="str">
        <x:v>T0_TABLE_BLOCK</x:v>
      </x:c>
      <x:c r="B37" s="54" t="n">
        <x:v>31</x:v>
      </x:c>
      <x:c r="C37" s="54" t="str">
        <x:v>NYC-V2-R01</x:v>
      </x:c>
      <x:c r="D37" s="54" t="str">
        <x:v>V2</x:v>
      </x:c>
      <x:c r="E37" s="54" t="str">
        <x:v>ADMITTED</x:v>
      </x:c>
      <x:c r="F37" s="55" t="n">
        <x:v>32971</x:v>
      </x:c>
      <x:c r="G37" s="55" t="n">
        <x:v>9152</x:v>
      </x:c>
      <x:c r="H37" s="55" t="n">
        <x:v>3490</x:v>
      </x:c>
      <x:c r="I37" s="55" t="n">
        <x:v>1244</x:v>
      </x:c>
      <x:c r="J37" s="55" t="n">
        <x:v>83</x:v>
      </x:c>
      <x:c r="K37" s="55" t="n">
        <x:v>31697</x:v>
      </x:c>
      <x:c r="L37" s="55" t="n">
        <x:v>6786</x:v>
      </x:c>
      <x:c r="M37" s="55" t="n">
        <x:v>1699</x:v>
      </x:c>
      <x:c r="N37" s="55" t="n">
        <x:v>2727</x:v>
      </x:c>
      <x:c r="O37" s="55" t="n">
        <x:v>2360</x:v>
      </x:c>
      <x:c r="P37" s="55" t="n">
        <x:v>292</x:v>
      </x:c>
      <x:c r="Q37" s="55" t="n">
        <x:v>2711</x:v>
      </x:c>
      <x:c r="R37" s="55" t="n">
        <x:v>1951</x:v>
      </x:c>
      <x:c r="S37" s="55" t="n">
        <x:v>2903</x:v>
      </x:c>
      <x:c r="T37" s="55" t="n">
        <x:v>1263</x:v>
      </x:c>
      <x:c r="U37" s="55" t="n">
        <x:v>1329</x:v>
      </x:c>
      <x:c r="V37" s="55" t="n">
        <x:v>10495</x:v>
      </x:c>
      <x:c r="W37" s="55" t="n">
        <x:v>7514</x:v>
      </x:c>
      <x:c r="X37" s="55" t="n">
        <x:v>2981</x:v>
      </x:c>
      <x:c r="Y37" s="55" t="n">
        <x:v>2371</x:v>
      </x:c>
      <x:c r="Z37" s="55" t="n">
        <x:v>3702</x:v>
      </x:c>
      <x:c r="AA37" s="55" t="n">
        <x:v>3490</x:v>
      </x:c>
      <x:c r="AB37" s="55" t="n">
        <x:v>1275</x:v>
      </x:c>
      <x:c r="AC37" s="55" t="n">
        <x:v>8288</x:v>
      </x:c>
      <x:c r="AD37" s="55" t="n">
        <x:v>2971</x:v>
      </x:c>
      <x:c r="AE37" s="55" t="n">
        <x:v>10527</x:v>
      </x:c>
      <x:c r="AF37" s="55" t="n">
        <x:v>10495</x:v>
      </x:c>
      <x:c r="AG37" s="55" t="n">
        <x:v>32</x:v>
      </x:c>
      <x:c r="AH37" s="55" t="n">
        <x:v>393</x:v>
      </x:c>
      <x:c r="AI37" s="55" t="n">
        <x:v>10102</x:v>
      </x:c>
      <x:c r="AJ37" s="55" t="n">
        <x:v>328</x:v>
      </x:c>
      <x:c r="AK37" s="55" t="n">
        <x:v>881</x:v>
      </x:c>
      <x:c r="AL37" s="55" t="n">
        <x:v>1990</x:v>
      </x:c>
      <x:c r="AM37" s="55" t="n">
        <x:v>4474</x:v>
      </x:c>
      <x:c r="AN37" s="55" t="n">
        <x:v>2822</x:v>
      </x:c>
      <x:c r="AO37" s="55" t="n">
        <x:v>0</x:v>
      </x:c>
      <x:c r="AP37" s="55" t="n">
        <x:v>2291</x:v>
      </x:c>
      <x:c r="AQ37" s="55" t="n">
        <x:v>874</x:v>
      </x:c>
    </x:row>
    <x:row r="38">
      <x:c r="A38" s="54" t="str">
        <x:v>T0_TABLE_BLOCK</x:v>
      </x:c>
      <x:c r="B38" s="54" t="n">
        <x:v>32</x:v>
      </x:c>
      <x:c r="C38" s="54" t="str">
        <x:v>NYC-V2-R01</x:v>
      </x:c>
      <x:c r="D38" s="54" t="str">
        <x:v>V2</x:v>
      </x:c>
      <x:c r="E38" s="54" t="str">
        <x:v>ADMITTED</x:v>
      </x:c>
      <x:c r="F38" s="55" t="n">
        <x:v>27688</x:v>
      </x:c>
      <x:c r="G38" s="55" t="n">
        <x:v>6731</x:v>
      </x:c>
      <x:c r="H38" s="55" t="n">
        <x:v>3616</x:v>
      </x:c>
      <x:c r="I38" s="55" t="n">
        <x:v>1475</x:v>
      </x:c>
      <x:c r="J38" s="55" t="n">
        <x:v>285</x:v>
      </x:c>
      <x:c r="K38" s="55" t="n">
        <x:v>27213</x:v>
      </x:c>
      <x:c r="L38" s="55" t="n">
        <x:v>3951</x:v>
      </x:c>
      <x:c r="M38" s="55" t="n">
        <x:v>630</x:v>
      </x:c>
      <x:c r="N38" s="55" t="n">
        <x:v>1567</x:v>
      </x:c>
      <x:c r="O38" s="55" t="n">
        <x:v>1754</x:v>
      </x:c>
      <x:c r="P38" s="55" t="n">
        <x:v>1035</x:v>
      </x:c>
      <x:c r="Q38" s="55" t="n">
        <x:v>2147</x:v>
      </x:c>
      <x:c r="R38" s="55" t="n">
        <x:v>1903</x:v>
      </x:c>
      <x:c r="S38" s="55" t="n">
        <x:v>2090</x:v>
      </x:c>
      <x:c r="T38" s="55" t="n">
        <x:v>1234</x:v>
      </x:c>
      <x:c r="U38" s="55" t="n">
        <x:v>2674</x:v>
      </x:c>
      <x:c r="V38" s="55" t="n">
        <x:v>10319</x:v>
      </x:c>
      <x:c r="W38" s="55" t="n">
        <x:v>7426</x:v>
      </x:c>
      <x:c r="X38" s="55" t="n">
        <x:v>2893</x:v>
      </x:c>
      <x:c r="Y38" s="55" t="n">
        <x:v>2338</x:v>
      </x:c>
      <x:c r="Z38" s="55" t="n">
        <x:v>3744</x:v>
      </x:c>
      <x:c r="AA38" s="55" t="n">
        <x:v>3274</x:v>
      </x:c>
      <x:c r="AB38" s="55" t="n">
        <x:v>1307</x:v>
      </x:c>
      <x:c r="AC38" s="55" t="n">
        <x:v>8314</x:v>
      </x:c>
      <x:c r="AD38" s="55" t="n">
        <x:v>2446</x:v>
      </x:c>
      <x:c r="AE38" s="55" t="n">
        <x:v>10347</x:v>
      </x:c>
      <x:c r="AF38" s="55" t="n">
        <x:v>10319</x:v>
      </x:c>
      <x:c r="AG38" s="55" t="n">
        <x:v>28</x:v>
      </x:c>
      <x:c r="AH38" s="55" t="n">
        <x:v>613</x:v>
      </x:c>
      <x:c r="AI38" s="55" t="n">
        <x:v>9706</x:v>
      </x:c>
      <x:c r="AJ38" s="55" t="n">
        <x:v>485</x:v>
      </x:c>
      <x:c r="AK38" s="55" t="n">
        <x:v>1056</x:v>
      </x:c>
      <x:c r="AL38" s="55" t="n">
        <x:v>1468</x:v>
      </x:c>
      <x:c r="AM38" s="55" t="n">
        <x:v>4745</x:v>
      </x:c>
      <x:c r="AN38" s="55" t="n">
        <x:v>2565</x:v>
      </x:c>
      <x:c r="AO38" s="55" t="n">
        <x:v>0</x:v>
      </x:c>
      <x:c r="AP38" s="55" t="n">
        <x:v>2137</x:v>
      </x:c>
      <x:c r="AQ38" s="55" t="n">
        <x:v>981</x:v>
      </x:c>
    </x:row>
    <x:row r="39">
      <x:c r="A39" s="54" t="str">
        <x:v>T0_TABLE_BLOCK</x:v>
      </x:c>
      <x:c r="B39" s="54" t="n">
        <x:v>33</x:v>
      </x:c>
      <x:c r="C39" s="54" t="str">
        <x:v>NYC-V2-R01</x:v>
      </x:c>
      <x:c r="D39" s="54" t="str">
        <x:v>V2</x:v>
      </x:c>
      <x:c r="E39" s="54" t="str">
        <x:v>ADMITTED</x:v>
      </x:c>
      <x:c r="F39" s="55" t="n">
        <x:v>32048</x:v>
      </x:c>
      <x:c r="G39" s="55" t="n">
        <x:v>8138</x:v>
      </x:c>
      <x:c r="H39" s="55" t="n">
        <x:v>3533</x:v>
      </x:c>
      <x:c r="I39" s="55" t="n">
        <x:v>1264</x:v>
      </x:c>
      <x:c r="J39" s="55" t="n">
        <x:v>20</x:v>
      </x:c>
      <x:c r="K39" s="55" t="n">
        <x:v>27565</x:v>
      </x:c>
      <x:c r="L39" s="55" t="n">
        <x:v>5376</x:v>
      </x:c>
      <x:c r="M39" s="55" t="n">
        <x:v>1178</x:v>
      </x:c>
      <x:c r="N39" s="55" t="n">
        <x:v>2704</x:v>
      </x:c>
      <x:c r="O39" s="55" t="n">
        <x:v>1494</x:v>
      </x:c>
      <x:c r="P39" s="55" t="n">
        <x:v>936</x:v>
      </x:c>
      <x:c r="Q39" s="55" t="n">
        <x:v>2806</x:v>
      </x:c>
      <x:c r="R39" s="55" t="n">
        <x:v>2084</x:v>
      </x:c>
      <x:c r="S39" s="55" t="n">
        <x:v>2343</x:v>
      </x:c>
      <x:c r="T39" s="55" t="n">
        <x:v>1698</x:v>
      </x:c>
      <x:c r="U39" s="55" t="n">
        <x:v>1661</x:v>
      </x:c>
      <x:c r="V39" s="55" t="n">
        <x:v>10553</x:v>
      </x:c>
      <x:c r="W39" s="55" t="n">
        <x:v>7513</x:v>
      </x:c>
      <x:c r="X39" s="55" t="n">
        <x:v>3040</x:v>
      </x:c>
      <x:c r="Y39" s="55" t="n">
        <x:v>2619</x:v>
      </x:c>
      <x:c r="Z39" s="55" t="n">
        <x:v>4150</x:v>
      </x:c>
      <x:c r="AA39" s="55" t="n">
        <x:v>2903</x:v>
      </x:c>
      <x:c r="AB39" s="55" t="n">
        <x:v>902</x:v>
      </x:c>
      <x:c r="AC39" s="55" t="n">
        <x:v>7588</x:v>
      </x:c>
      <x:c r="AD39" s="55" t="n">
        <x:v>2732</x:v>
      </x:c>
      <x:c r="AE39" s="55" t="n">
        <x:v>10612</x:v>
      </x:c>
      <x:c r="AF39" s="55" t="n">
        <x:v>10553</x:v>
      </x:c>
      <x:c r="AG39" s="55" t="n">
        <x:v>59</x:v>
      </x:c>
      <x:c r="AH39" s="55" t="n">
        <x:v>444</x:v>
      </x:c>
      <x:c r="AI39" s="55" t="n">
        <x:v>10109</x:v>
      </x:c>
      <x:c r="AJ39" s="55" t="n">
        <x:v>440</x:v>
      </x:c>
      <x:c r="AK39" s="55" t="n">
        <x:v>943</x:v>
      </x:c>
      <x:c r="AL39" s="55" t="n">
        <x:v>1674</x:v>
      </x:c>
      <x:c r="AM39" s="55" t="n">
        <x:v>4830</x:v>
      </x:c>
      <x:c r="AN39" s="55" t="n">
        <x:v>2559</x:v>
      </x:c>
      <x:c r="AO39" s="55" t="n">
        <x:v>107</x:v>
      </x:c>
      <x:c r="AP39" s="55" t="n">
        <x:v>2388</x:v>
      </x:c>
      <x:c r="AQ39" s="55" t="n">
        <x:v>956</x:v>
      </x:c>
    </x:row>
    <x:row r="40">
      <x:c r="A40" s="54" t="str">
        <x:v>T0_TABLE_BLOCK</x:v>
      </x:c>
      <x:c r="B40" s="54" t="n">
        <x:v>34</x:v>
      </x:c>
      <x:c r="C40" s="54" t="str">
        <x:v>NYC-V2-R01</x:v>
      </x:c>
      <x:c r="D40" s="54" t="str">
        <x:v>V2</x:v>
      </x:c>
      <x:c r="E40" s="54" t="str">
        <x:v>ADMITTED</x:v>
      </x:c>
      <x:c r="F40" s="55" t="n">
        <x:v>29894</x:v>
      </x:c>
      <x:c r="G40" s="55" t="n">
        <x:v>7436</x:v>
      </x:c>
      <x:c r="H40" s="55" t="n">
        <x:v>2850</x:v>
      </x:c>
      <x:c r="I40" s="55" t="n">
        <x:v>1330</x:v>
      </x:c>
      <x:c r="J40" s="55" t="n">
        <x:v>176</x:v>
      </x:c>
      <x:c r="K40" s="55" t="n">
        <x:v>29894</x:v>
      </x:c>
      <x:c r="L40" s="55" t="n">
        <x:v>4818</x:v>
      </x:c>
      <x:c r="M40" s="55" t="n">
        <x:v>601</x:v>
      </x:c>
      <x:c r="N40" s="55" t="n">
        <x:v>2188</x:v>
      </x:c>
      <x:c r="O40" s="55" t="n">
        <x:v>2029</x:v>
      </x:c>
      <x:c r="P40" s="55" t="n">
        <x:v>665</x:v>
      </x:c>
      <x:c r="Q40" s="55" t="n">
        <x:v>2760</x:v>
      </x:c>
      <x:c r="R40" s="55" t="n">
        <x:v>1996</x:v>
      </x:c>
      <x:c r="S40" s="55" t="n">
        <x:v>2939</x:v>
      </x:c>
      <x:c r="T40" s="55" t="n">
        <x:v>1588</x:v>
      </x:c>
      <x:c r="U40" s="55" t="n">
        <x:v>1845</x:v>
      </x:c>
      <x:c r="V40" s="55" t="n">
        <x:v>10706</x:v>
      </x:c>
      <x:c r="W40" s="55" t="n">
        <x:v>7808</x:v>
      </x:c>
      <x:c r="X40" s="55" t="n">
        <x:v>2898</x:v>
      </x:c>
      <x:c r="Y40" s="55" t="n">
        <x:v>2492</x:v>
      </x:c>
      <x:c r="Z40" s="55" t="n">
        <x:v>4292</x:v>
      </x:c>
      <x:c r="AA40" s="55" t="n">
        <x:v>2825</x:v>
      </x:c>
      <x:c r="AB40" s="55" t="n">
        <x:v>1075</x:v>
      </x:c>
      <x:c r="AC40" s="55" t="n">
        <x:v>7618</x:v>
      </x:c>
      <x:c r="AD40" s="55" t="n">
        <x:v>2753</x:v>
      </x:c>
      <x:c r="AE40" s="55" t="n">
        <x:v>10711</x:v>
      </x:c>
      <x:c r="AF40" s="55" t="n">
        <x:v>10706</x:v>
      </x:c>
      <x:c r="AG40" s="55" t="n">
        <x:v>5</x:v>
      </x:c>
      <x:c r="AH40" s="55" t="n">
        <x:v>515</x:v>
      </x:c>
      <x:c r="AI40" s="55" t="n">
        <x:v>10191</x:v>
      </x:c>
      <x:c r="AJ40" s="55" t="n">
        <x:v>432</x:v>
      </x:c>
      <x:c r="AK40" s="55" t="n">
        <x:v>984</x:v>
      </x:c>
      <x:c r="AL40" s="55" t="n">
        <x:v>1209</x:v>
      </x:c>
      <x:c r="AM40" s="55" t="n">
        <x:v>5082</x:v>
      </x:c>
      <x:c r="AN40" s="55" t="n">
        <x:v>2956</x:v>
      </x:c>
      <x:c r="AO40" s="55" t="n">
        <x:v>43</x:v>
      </x:c>
      <x:c r="AP40" s="55" t="n">
        <x:v>2387</x:v>
      </x:c>
      <x:c r="AQ40" s="55" t="n">
        <x:v>922</x:v>
      </x:c>
    </x:row>
    <x:row r="41">
      <x:c r="A41" s="54" t="str">
        <x:v>T0_TABLE_BLOCK</x:v>
      </x:c>
      <x:c r="B41" s="54" t="n">
        <x:v>35</x:v>
      </x:c>
      <x:c r="C41" s="54" t="str">
        <x:v>NYC-V2-R01</x:v>
      </x:c>
      <x:c r="D41" s="54" t="str">
        <x:v>V2</x:v>
      </x:c>
      <x:c r="E41" s="54" t="str">
        <x:v>ADMITTED</x:v>
      </x:c>
      <x:c r="F41" s="55" t="n">
        <x:v>32127</x:v>
      </x:c>
      <x:c r="G41" s="55" t="n">
        <x:v>9315</x:v>
      </x:c>
      <x:c r="H41" s="55" t="n">
        <x:v>3232</x:v>
      </x:c>
      <x:c r="I41" s="55" t="n">
        <x:v>1275</x:v>
      </x:c>
      <x:c r="J41" s="55" t="n">
        <x:v>268</x:v>
      </x:c>
      <x:c r="K41" s="55" t="n">
        <x:v>29049</x:v>
      </x:c>
      <x:c r="L41" s="55" t="n">
        <x:v>6089</x:v>
      </x:c>
      <x:c r="M41" s="55" t="n">
        <x:v>2258</x:v>
      </x:c>
      <x:c r="N41" s="55" t="n">
        <x:v>2225</x:v>
      </x:c>
      <x:c r="O41" s="55" t="n">
        <x:v>1606</x:v>
      </x:c>
      <x:c r="P41" s="55" t="n">
        <x:v>545</x:v>
      </x:c>
      <x:c r="Q41" s="55" t="n">
        <x:v>3671</x:v>
      </x:c>
      <x:c r="R41" s="55" t="n">
        <x:v>1919</x:v>
      </x:c>
      <x:c r="S41" s="55" t="n">
        <x:v>2913</x:v>
      </x:c>
      <x:c r="T41" s="55" t="n">
        <x:v>1059</x:v>
      </x:c>
      <x:c r="U41" s="55" t="n">
        <x:v>2060</x:v>
      </x:c>
      <x:c r="V41" s="55" t="n">
        <x:v>10385</x:v>
      </x:c>
      <x:c r="W41" s="55" t="n">
        <x:v>6764</x:v>
      </x:c>
      <x:c r="X41" s="55" t="n">
        <x:v>3621</x:v>
      </x:c>
      <x:c r="Y41" s="55" t="n">
        <x:v>3140</x:v>
      </x:c>
      <x:c r="Z41" s="55" t="n">
        <x:v>3428</x:v>
      </x:c>
      <x:c r="AA41" s="55" t="n">
        <x:v>3232</x:v>
      </x:c>
      <x:c r="AB41" s="55" t="n">
        <x:v>845</x:v>
      </x:c>
      <x:c r="AC41" s="55" t="n">
        <x:v>7873</x:v>
      </x:c>
      <x:c r="AD41" s="55" t="n">
        <x:v>3589</x:v>
      </x:c>
      <x:c r="AE41" s="55" t="n">
        <x:v>10504</x:v>
      </x:c>
      <x:c r="AF41" s="55" t="n">
        <x:v>10385</x:v>
      </x:c>
      <x:c r="AG41" s="55" t="n">
        <x:v>119</x:v>
      </x:c>
      <x:c r="AH41" s="55" t="n">
        <x:v>650</x:v>
      </x:c>
      <x:c r="AI41" s="55" t="n">
        <x:v>9735</x:v>
      </x:c>
      <x:c r="AJ41" s="55" t="n">
        <x:v>106</x:v>
      </x:c>
      <x:c r="AK41" s="55" t="n">
        <x:v>713</x:v>
      </x:c>
      <x:c r="AL41" s="55" t="n">
        <x:v>1714</x:v>
      </x:c>
      <x:c r="AM41" s="55" t="n">
        <x:v>5019</x:v>
      </x:c>
      <x:c r="AN41" s="55" t="n">
        <x:v>2818</x:v>
      </x:c>
      <x:c r="AO41" s="55" t="n">
        <x:v>15</x:v>
      </x:c>
      <x:c r="AP41" s="55" t="n">
        <x:v>2343</x:v>
      </x:c>
      <x:c r="AQ41" s="55" t="n">
        <x:v>967</x:v>
      </x:c>
    </x:row>
    <x:row r="42">
      <x:c r="A42" s="54" t="str">
        <x:v>T0_TABLE_BLOCK</x:v>
      </x:c>
      <x:c r="B42" s="54" t="n">
        <x:v>36</x:v>
      </x:c>
      <x:c r="C42" s="54" t="str">
        <x:v>NYC-V2-R01</x:v>
      </x:c>
      <x:c r="D42" s="54" t="str">
        <x:v>V2</x:v>
      </x:c>
      <x:c r="E42" s="54" t="str">
        <x:v>ADMITTED</x:v>
      </x:c>
      <x:c r="F42" s="55" t="n">
        <x:v>30856</x:v>
      </x:c>
      <x:c r="G42" s="55" t="n">
        <x:v>7253</x:v>
      </x:c>
      <x:c r="H42" s="55" t="n">
        <x:v>3629</x:v>
      </x:c>
      <x:c r="I42" s="55" t="n">
        <x:v>1040</x:v>
      </x:c>
      <x:c r="J42" s="55" t="n">
        <x:v>113</x:v>
      </x:c>
      <x:c r="K42" s="55" t="n">
        <x:v>30739</x:v>
      </x:c>
      <x:c r="L42" s="55" t="n">
        <x:v>4672</x:v>
      </x:c>
      <x:c r="M42" s="55" t="n">
        <x:v>397</x:v>
      </x:c>
      <x:c r="N42" s="55" t="n">
        <x:v>2548</x:v>
      </x:c>
      <x:c r="O42" s="55" t="n">
        <x:v>1727</x:v>
      </x:c>
      <x:c r="P42" s="55" t="n">
        <x:v>583</x:v>
      </x:c>
      <x:c r="Q42" s="55" t="n">
        <x:v>2367</x:v>
      </x:c>
      <x:c r="R42" s="55" t="n">
        <x:v>1588</x:v>
      </x:c>
      <x:c r="S42" s="55" t="n">
        <x:v>2610</x:v>
      </x:c>
      <x:c r="T42" s="55" t="n">
        <x:v>723</x:v>
      </x:c>
      <x:c r="U42" s="55" t="n">
        <x:v>1778</x:v>
      </x:c>
      <x:c r="V42" s="55" t="n">
        <x:v>10570</x:v>
      </x:c>
      <x:c r="W42" s="55" t="n">
        <x:v>7369</x:v>
      </x:c>
      <x:c r="X42" s="55" t="n">
        <x:v>3201</x:v>
      </x:c>
      <x:c r="Y42" s="55" t="n">
        <x:v>2664</x:v>
      </x:c>
      <x:c r="Z42" s="55" t="n">
        <x:v>3445</x:v>
      </x:c>
      <x:c r="AA42" s="55" t="n">
        <x:v>3629</x:v>
      </x:c>
      <x:c r="AB42" s="55" t="n">
        <x:v>1138</x:v>
      </x:c>
      <x:c r="AC42" s="55" t="n">
        <x:v>8631</x:v>
      </x:c>
      <x:c r="AD42" s="55" t="n">
        <x:v>3179</x:v>
      </x:c>
      <x:c r="AE42" s="55" t="n">
        <x:v>10698</x:v>
      </x:c>
      <x:c r="AF42" s="55" t="n">
        <x:v>10570</x:v>
      </x:c>
      <x:c r="AG42" s="55" t="n">
        <x:v>128</x:v>
      </x:c>
      <x:c r="AH42" s="55" t="n">
        <x:v>621</x:v>
      </x:c>
      <x:c r="AI42" s="55" t="n">
        <x:v>9949</x:v>
      </x:c>
      <x:c r="AJ42" s="55" t="n">
        <x:v>380</x:v>
      </x:c>
      <x:c r="AK42" s="55" t="n">
        <x:v>986</x:v>
      </x:c>
      <x:c r="AL42" s="55" t="n">
        <x:v>1991</x:v>
      </x:c>
      <x:c r="AM42" s="55" t="n">
        <x:v>4806</x:v>
      </x:c>
      <x:c r="AN42" s="55" t="n">
        <x:v>2378</x:v>
      </x:c>
      <x:c r="AO42" s="55" t="n">
        <x:v>29</x:v>
      </x:c>
      <x:c r="AP42" s="55" t="n">
        <x:v>2195</x:v>
      </x:c>
      <x:c r="AQ42" s="55" t="n">
        <x:v>958</x:v>
      </x:c>
    </x:row>
    <x:row r="43">
      <x:c r="A43" s="54" t="str">
        <x:v>T0_TABLE_BLOCK</x:v>
      </x:c>
      <x:c r="B43" s="54" t="n">
        <x:v>37</x:v>
      </x:c>
      <x:c r="C43" s="54" t="str">
        <x:v>NYC-V2-R01</x:v>
      </x:c>
      <x:c r="D43" s="54" t="str">
        <x:v>V2</x:v>
      </x:c>
      <x:c r="E43" s="54" t="str">
        <x:v>ADMITTED</x:v>
      </x:c>
      <x:c r="F43" s="55" t="n">
        <x:v>31012</x:v>
      </x:c>
      <x:c r="G43" s="55" t="n">
        <x:v>7976</x:v>
      </x:c>
      <x:c r="H43" s="55" t="n">
        <x:v>3009</x:v>
      </x:c>
      <x:c r="I43" s="55" t="n">
        <x:v>1147</x:v>
      </x:c>
      <x:c r="J43" s="55" t="n">
        <x:v>42</x:v>
      </x:c>
      <x:c r="K43" s="55" t="n">
        <x:v>31012</x:v>
      </x:c>
      <x:c r="L43" s="55" t="n">
        <x:v>5773</x:v>
      </x:c>
      <x:c r="M43" s="55" t="n">
        <x:v>1646</x:v>
      </x:c>
      <x:c r="N43" s="55" t="n">
        <x:v>2409</x:v>
      </x:c>
      <x:c r="O43" s="55" t="n">
        <x:v>1718</x:v>
      </x:c>
      <x:c r="P43" s="55" t="n">
        <x:v>775</x:v>
      </x:c>
      <x:c r="Q43" s="55" t="n">
        <x:v>2206</x:v>
      </x:c>
      <x:c r="R43" s="55" t="n">
        <x:v>1529</x:v>
      </x:c>
      <x:c r="S43" s="55" t="n">
        <x:v>2985</x:v>
      </x:c>
      <x:c r="T43" s="55" t="n">
        <x:v>1434</x:v>
      </x:c>
      <x:c r="U43" s="55" t="n">
        <x:v>2067</x:v>
      </x:c>
      <x:c r="V43" s="55" t="n">
        <x:v>10076</x:v>
      </x:c>
      <x:c r="W43" s="55" t="n">
        <x:v>7390</x:v>
      </x:c>
      <x:c r="X43" s="55" t="n">
        <x:v>2686</x:v>
      </x:c>
      <x:c r="Y43" s="55" t="n">
        <x:v>2478</x:v>
      </x:c>
      <x:c r="Z43" s="55" t="n">
        <x:v>3550</x:v>
      </x:c>
      <x:c r="AA43" s="55" t="n">
        <x:v>2626</x:v>
      </x:c>
      <x:c r="AB43" s="55" t="n">
        <x:v>742</x:v>
      </x:c>
      <x:c r="AC43" s="55" t="n">
        <x:v>7433</x:v>
      </x:c>
      <x:c r="AD43" s="55" t="n">
        <x:v>2588</x:v>
      </x:c>
      <x:c r="AE43" s="55" t="n">
        <x:v>10130</x:v>
      </x:c>
      <x:c r="AF43" s="55" t="n">
        <x:v>10076</x:v>
      </x:c>
      <x:c r="AG43" s="55" t="n">
        <x:v>54</x:v>
      </x:c>
      <x:c r="AH43" s="55" t="n">
        <x:v>498</x:v>
      </x:c>
      <x:c r="AI43" s="55" t="n">
        <x:v>9578</x:v>
      </x:c>
      <x:c r="AJ43" s="55" t="n">
        <x:v>264</x:v>
      </x:c>
      <x:c r="AK43" s="55" t="n">
        <x:v>1289</x:v>
      </x:c>
      <x:c r="AL43" s="55" t="n">
        <x:v>1222</x:v>
      </x:c>
      <x:c r="AM43" s="55" t="n">
        <x:v>5068</x:v>
      </x:c>
      <x:c r="AN43" s="55" t="n">
        <x:v>2233</x:v>
      </x:c>
      <x:c r="AO43" s="55" t="n">
        <x:v>0</x:v>
      </x:c>
      <x:c r="AP43" s="55" t="n">
        <x:v>2733</x:v>
      </x:c>
      <x:c r="AQ43" s="55" t="n">
        <x:v>956</x:v>
      </x:c>
    </x:row>
    <x:row r="44">
      <x:c r="A44" s="54" t="str">
        <x:v>T0_TABLE_BLOCK</x:v>
      </x:c>
      <x:c r="B44" s="54" t="n">
        <x:v>38</x:v>
      </x:c>
      <x:c r="C44" s="54" t="str">
        <x:v>NYC-V2-R01</x:v>
      </x:c>
      <x:c r="D44" s="54" t="str">
        <x:v>V2</x:v>
      </x:c>
      <x:c r="E44" s="54" t="str">
        <x:v>ADMITTED</x:v>
      </x:c>
      <x:c r="F44" s="55" t="n">
        <x:v>30385</x:v>
      </x:c>
      <x:c r="G44" s="55" t="n">
        <x:v>6842</x:v>
      </x:c>
      <x:c r="H44" s="55" t="n">
        <x:v>3035</x:v>
      </x:c>
      <x:c r="I44" s="55" t="n">
        <x:v>871</x:v>
      </x:c>
      <x:c r="J44" s="55" t="n">
        <x:v>297</x:v>
      </x:c>
      <x:c r="K44" s="55" t="n">
        <x:v>30104</x:v>
      </x:c>
      <x:c r="L44" s="55" t="n">
        <x:v>5506</x:v>
      </x:c>
      <x:c r="M44" s="55" t="n">
        <x:v>1944</x:v>
      </x:c>
      <x:c r="N44" s="55" t="n">
        <x:v>2136</x:v>
      </x:c>
      <x:c r="O44" s="55" t="n">
        <x:v>1426</x:v>
      </x:c>
      <x:c r="P44" s="55" t="n">
        <x:v>732</x:v>
      </x:c>
      <x:c r="Q44" s="55" t="n">
        <x:v>2630</x:v>
      </x:c>
      <x:c r="R44" s="55" t="n">
        <x:v>1614</x:v>
      </x:c>
      <x:c r="S44" s="55" t="n">
        <x:v>3171</x:v>
      </x:c>
      <x:c r="T44" s="55" t="n">
        <x:v>1490</x:v>
      </x:c>
      <x:c r="U44" s="55" t="n">
        <x:v>2715</x:v>
      </x:c>
      <x:c r="V44" s="55" t="n">
        <x:v>10583</x:v>
      </x:c>
      <x:c r="W44" s="55" t="n">
        <x:v>7811</x:v>
      </x:c>
      <x:c r="X44" s="55" t="n">
        <x:v>2772</x:v>
      </x:c>
      <x:c r="Y44" s="55" t="n">
        <x:v>2233</x:v>
      </x:c>
      <x:c r="Z44" s="55" t="n">
        <x:v>3528</x:v>
      </x:c>
      <x:c r="AA44" s="55" t="n">
        <x:v>2953</x:v>
      </x:c>
      <x:c r="AB44" s="55" t="n">
        <x:v>832</x:v>
      </x:c>
      <x:c r="AC44" s="55" t="n">
        <x:v>7561</x:v>
      </x:c>
      <x:c r="AD44" s="55" t="n">
        <x:v>2848</x:v>
      </x:c>
      <x:c r="AE44" s="55" t="n">
        <x:v>10615</x:v>
      </x:c>
      <x:c r="AF44" s="55" t="n">
        <x:v>10583</x:v>
      </x:c>
      <x:c r="AG44" s="55" t="n">
        <x:v>32</x:v>
      </x:c>
      <x:c r="AH44" s="55" t="n">
        <x:v>513</x:v>
      </x:c>
      <x:c r="AI44" s="55" t="n">
        <x:v>10070</x:v>
      </x:c>
      <x:c r="AJ44" s="55" t="n">
        <x:v>135</x:v>
      </x:c>
      <x:c r="AK44" s="55" t="n">
        <x:v>1126</x:v>
      </x:c>
      <x:c r="AL44" s="55" t="n">
        <x:v>1815</x:v>
      </x:c>
      <x:c r="AM44" s="55" t="n">
        <x:v>5487</x:v>
      </x:c>
      <x:c r="AN44" s="55" t="n">
        <x:v>1949</x:v>
      </x:c>
      <x:c r="AO44" s="55" t="n">
        <x:v>71</x:v>
      </x:c>
      <x:c r="AP44" s="55" t="n">
        <x:v>2309</x:v>
      </x:c>
      <x:c r="AQ44" s="55" t="n">
        <x:v>938</x:v>
      </x:c>
    </x:row>
    <x:row r="45">
      <x:c r="A45" s="54" t="str">
        <x:v>T0_TABLE_BLOCK</x:v>
      </x:c>
      <x:c r="B45" s="54" t="n">
        <x:v>39</x:v>
      </x:c>
      <x:c r="C45" s="54" t="str">
        <x:v>NYC-V2-R01</x:v>
      </x:c>
      <x:c r="D45" s="54" t="str">
        <x:v>V2</x:v>
      </x:c>
      <x:c r="E45" s="54" t="str">
        <x:v>ADMITTED</x:v>
      </x:c>
      <x:c r="F45" s="55" t="n">
        <x:v>29914</x:v>
      </x:c>
      <x:c r="G45" s="55" t="n">
        <x:v>6139</x:v>
      </x:c>
      <x:c r="H45" s="55" t="n">
        <x:v>3529</x:v>
      </x:c>
      <x:c r="I45" s="55" t="n">
        <x:v>1702</x:v>
      </x:c>
      <x:c r="J45" s="55" t="n">
        <x:v>405</x:v>
      </x:c>
      <x:c r="K45" s="55" t="n">
        <x:v>29914</x:v>
      </x:c>
      <x:c r="L45" s="55" t="n">
        <x:v>5685</x:v>
      </x:c>
      <x:c r="M45" s="55" t="n">
        <x:v>1084</x:v>
      </x:c>
      <x:c r="N45" s="55" t="n">
        <x:v>2681</x:v>
      </x:c>
      <x:c r="O45" s="55" t="n">
        <x:v>1920</x:v>
      </x:c>
      <x:c r="P45" s="55" t="n">
        <x:v>821</x:v>
      </x:c>
      <x:c r="Q45" s="55" t="n">
        <x:v>2475</x:v>
      </x:c>
      <x:c r="R45" s="55" t="n">
        <x:v>2049</x:v>
      </x:c>
      <x:c r="S45" s="55" t="n">
        <x:v>2042</x:v>
      </x:c>
      <x:c r="T45" s="55" t="n">
        <x:v>1423</x:v>
      </x:c>
      <x:c r="U45" s="55" t="n">
        <x:v>1821</x:v>
      </x:c>
      <x:c r="V45" s="55" t="n">
        <x:v>10231</x:v>
      </x:c>
      <x:c r="W45" s="55" t="n">
        <x:v>6836</x:v>
      </x:c>
      <x:c r="X45" s="55" t="n">
        <x:v>3395</x:v>
      </x:c>
      <x:c r="Y45" s="55" t="n">
        <x:v>3020</x:v>
      </x:c>
      <x:c r="Z45" s="55" t="n">
        <x:v>3153</x:v>
      </x:c>
      <x:c r="AA45" s="55" t="n">
        <x:v>3379</x:v>
      </x:c>
      <x:c r="AB45" s="55" t="n">
        <x:v>1211</x:v>
      </x:c>
      <x:c r="AC45" s="55" t="n">
        <x:v>8022</x:v>
      </x:c>
      <x:c r="AD45" s="55" t="n">
        <x:v>2539</x:v>
      </x:c>
      <x:c r="AE45" s="55" t="n">
        <x:v>10320</x:v>
      </x:c>
      <x:c r="AF45" s="55" t="n">
        <x:v>10231</x:v>
      </x:c>
      <x:c r="AG45" s="55" t="n">
        <x:v>89</x:v>
      </x:c>
      <x:c r="AH45" s="55" t="n">
        <x:v>222</x:v>
      </x:c>
      <x:c r="AI45" s="55" t="n">
        <x:v>10009</x:v>
      </x:c>
      <x:c r="AJ45" s="55" t="n">
        <x:v>195</x:v>
      </x:c>
      <x:c r="AK45" s="55" t="n">
        <x:v>1180</x:v>
      </x:c>
      <x:c r="AL45" s="55" t="n">
        <x:v>1158</x:v>
      </x:c>
      <x:c r="AM45" s="55" t="n">
        <x:v>4694</x:v>
      </x:c>
      <x:c r="AN45" s="55" t="n">
        <x:v>2955</x:v>
      </x:c>
      <x:c r="AO45" s="55" t="n">
        <x:v>49</x:v>
      </x:c>
      <x:c r="AP45" s="55" t="n">
        <x:v>2855</x:v>
      </x:c>
      <x:c r="AQ45" s="55" t="n">
        <x:v>927</x:v>
      </x:c>
    </x:row>
    <x:row r="46">
      <x:c r="A46" s="54" t="str">
        <x:v>T0_TABLE_BLOCK</x:v>
      </x:c>
      <x:c r="B46" s="54" t="n">
        <x:v>40</x:v>
      </x:c>
      <x:c r="C46" s="54" t="str">
        <x:v>NYC-V2-R01</x:v>
      </x:c>
      <x:c r="D46" s="54" t="str">
        <x:v>V2</x:v>
      </x:c>
      <x:c r="E46" s="54" t="str">
        <x:v>ADMITTED</x:v>
      </x:c>
      <x:c r="F46" s="55" t="n">
        <x:v>31341</x:v>
      </x:c>
      <x:c r="G46" s="55" t="n">
        <x:v>7014</x:v>
      </x:c>
      <x:c r="H46" s="55" t="n">
        <x:v>2928</x:v>
      </x:c>
      <x:c r="I46" s="55" t="n">
        <x:v>1379</x:v>
      </x:c>
      <x:c r="J46" s="55" t="n">
        <x:v>166</x:v>
      </x:c>
      <x:c r="K46" s="55" t="n">
        <x:v>30336</x:v>
      </x:c>
      <x:c r="L46" s="55" t="n">
        <x:v>5211</x:v>
      </x:c>
      <x:c r="M46" s="55" t="n">
        <x:v>1460</x:v>
      </x:c>
      <x:c r="N46" s="55" t="n">
        <x:v>2685</x:v>
      </x:c>
      <x:c r="O46" s="55" t="n">
        <x:v>1066</x:v>
      </x:c>
      <x:c r="P46" s="55" t="n">
        <x:v>825</x:v>
      </x:c>
      <x:c r="Q46" s="55" t="n">
        <x:v>2516</x:v>
      </x:c>
      <x:c r="R46" s="55" t="n">
        <x:v>1407</x:v>
      </x:c>
      <x:c r="S46" s="55" t="n">
        <x:v>2628</x:v>
      </x:c>
      <x:c r="T46" s="55" t="n">
        <x:v>1166</x:v>
      </x:c>
      <x:c r="U46" s="55" t="n">
        <x:v>1346</x:v>
      </x:c>
      <x:c r="V46" s="55" t="n">
        <x:v>9469</x:v>
      </x:c>
      <x:c r="W46" s="55" t="n">
        <x:v>6591</x:v>
      </x:c>
      <x:c r="X46" s="55" t="n">
        <x:v>2878</x:v>
      </x:c>
      <x:c r="Y46" s="55" t="n">
        <x:v>2588</x:v>
      </x:c>
      <x:c r="Z46" s="55" t="n">
        <x:v>3689</x:v>
      </x:c>
      <x:c r="AA46" s="55" t="n">
        <x:v>2898</x:v>
      </x:c>
      <x:c r="AB46" s="55" t="n">
        <x:v>869</x:v>
      </x:c>
      <x:c r="AC46" s="55" t="n">
        <x:v>8138</x:v>
      </x:c>
      <x:c r="AD46" s="55" t="n">
        <x:v>2511</x:v>
      </x:c>
      <x:c r="AE46" s="55" t="n">
        <x:v>9574</x:v>
      </x:c>
      <x:c r="AF46" s="55" t="n">
        <x:v>9469</x:v>
      </x:c>
      <x:c r="AG46" s="55" t="n">
        <x:v>105</x:v>
      </x:c>
      <x:c r="AH46" s="55" t="n">
        <x:v>271</x:v>
      </x:c>
      <x:c r="AI46" s="55" t="n">
        <x:v>9198</x:v>
      </x:c>
      <x:c r="AJ46" s="55" t="n">
        <x:v>183</x:v>
      </x:c>
      <x:c r="AK46" s="55" t="n">
        <x:v>483</x:v>
      </x:c>
      <x:c r="AL46" s="55" t="n">
        <x:v>1767</x:v>
      </x:c>
      <x:c r="AM46" s="55" t="n">
        <x:v>4541</x:v>
      </x:c>
      <x:c r="AN46" s="55" t="n">
        <x:v>2495</x:v>
      </x:c>
      <x:c r="AO46" s="55" t="n">
        <x:v>0</x:v>
      </x:c>
      <x:c r="AP46" s="55" t="n">
        <x:v>2685</x:v>
      </x:c>
      <x:c r="AQ46" s="55" t="n">
        <x:v>958</x:v>
      </x:c>
    </x:row>
    <x:row r="47">
      <x:c r="A47" s="54" t="str">
        <x:v>T0_TABLE_BLOCK</x:v>
      </x:c>
      <x:c r="B47" s="54" t="n">
        <x:v>41</x:v>
      </x:c>
      <x:c r="C47" s="54" t="str">
        <x:v>NYC-V2-R01</x:v>
      </x:c>
      <x:c r="D47" s="54" t="str">
        <x:v>V2</x:v>
      </x:c>
      <x:c r="E47" s="54" t="str">
        <x:v>ADMITTED</x:v>
      </x:c>
      <x:c r="F47" s="55" t="n">
        <x:v>32120</x:v>
      </x:c>
      <x:c r="G47" s="55" t="n">
        <x:v>7668</x:v>
      </x:c>
      <x:c r="H47" s="55" t="n">
        <x:v>3154</x:v>
      </x:c>
      <x:c r="I47" s="55" t="n">
        <x:v>1254</x:v>
      </x:c>
      <x:c r="J47" s="55" t="n">
        <x:v>96</x:v>
      </x:c>
      <x:c r="K47" s="55" t="n">
        <x:v>32120</x:v>
      </x:c>
      <x:c r="L47" s="55" t="n">
        <x:v>5841</x:v>
      </x:c>
      <x:c r="M47" s="55" t="n">
        <x:v>1689</x:v>
      </x:c>
      <x:c r="N47" s="55" t="n">
        <x:v>2782</x:v>
      </x:c>
      <x:c r="O47" s="55" t="n">
        <x:v>1370</x:v>
      </x:c>
      <x:c r="P47" s="55" t="n">
        <x:v>1005</x:v>
      </x:c>
      <x:c r="Q47" s="55" t="n">
        <x:v>2315</x:v>
      </x:c>
      <x:c r="R47" s="55" t="n">
        <x:v>1625</x:v>
      </x:c>
      <x:c r="S47" s="55" t="n">
        <x:v>3458</x:v>
      </x:c>
      <x:c r="T47" s="55" t="n">
        <x:v>1375</x:v>
      </x:c>
      <x:c r="U47" s="55" t="n">
        <x:v>2176</x:v>
      </x:c>
      <x:c r="V47" s="55" t="n">
        <x:v>10766</x:v>
      </x:c>
      <x:c r="W47" s="55" t="n">
        <x:v>7201</x:v>
      </x:c>
      <x:c r="X47" s="55" t="n">
        <x:v>3565</x:v>
      </x:c>
      <x:c r="Y47" s="55" t="n">
        <x:v>2959</x:v>
      </x:c>
      <x:c r="Z47" s="55" t="n">
        <x:v>3571</x:v>
      </x:c>
      <x:c r="AA47" s="55" t="n">
        <x:v>3123</x:v>
      </x:c>
      <x:c r="AB47" s="55" t="n">
        <x:v>1219</x:v>
      </x:c>
      <x:c r="AC47" s="55" t="n">
        <x:v>7751</x:v>
      </x:c>
      <x:c r="AD47" s="55" t="n">
        <x:v>3266</x:v>
      </x:c>
      <x:c r="AE47" s="55" t="n">
        <x:v>10865</x:v>
      </x:c>
      <x:c r="AF47" s="55" t="n">
        <x:v>10766</x:v>
      </x:c>
      <x:c r="AG47" s="55" t="n">
        <x:v>99</x:v>
      </x:c>
      <x:c r="AH47" s="55" t="n">
        <x:v>207</x:v>
      </x:c>
      <x:c r="AI47" s="55" t="n">
        <x:v>10559</x:v>
      </x:c>
      <x:c r="AJ47" s="55" t="n">
        <x:v>377</x:v>
      </x:c>
      <x:c r="AK47" s="55" t="n">
        <x:v>718</x:v>
      </x:c>
      <x:c r="AL47" s="55" t="n">
        <x:v>1526</x:v>
      </x:c>
      <x:c r="AM47" s="55" t="n">
        <x:v>5237</x:v>
      </x:c>
      <x:c r="AN47" s="55" t="n">
        <x:v>2798</x:v>
      </x:c>
      <x:c r="AO47" s="55" t="n">
        <x:v>110</x:v>
      </x:c>
      <x:c r="AP47" s="55" t="n">
        <x:v>2445</x:v>
      </x:c>
      <x:c r="AQ47" s="55" t="n">
        <x:v>958</x:v>
      </x:c>
    </x:row>
    <x:row r="48">
      <x:c r="A48" s="54" t="str">
        <x:v>T0_TABLE_BLOCK</x:v>
      </x:c>
      <x:c r="B48" s="54" t="n">
        <x:v>42</x:v>
      </x:c>
      <x:c r="C48" s="54" t="str">
        <x:v>NYC-V2-R01</x:v>
      </x:c>
      <x:c r="D48" s="54" t="str">
        <x:v>V2</x:v>
      </x:c>
      <x:c r="E48" s="54" t="str">
        <x:v>ADMITTED</x:v>
      </x:c>
      <x:c r="F48" s="55" t="n">
        <x:v>30222</x:v>
      </x:c>
      <x:c r="G48" s="55" t="n">
        <x:v>7983</x:v>
      </x:c>
      <x:c r="H48" s="55" t="n">
        <x:v>3204</x:v>
      </x:c>
      <x:c r="I48" s="55" t="n">
        <x:v>1158</x:v>
      </x:c>
      <x:c r="J48" s="55" t="n">
        <x:v>102</x:v>
      </x:c>
      <x:c r="K48" s="55" t="n">
        <x:v>29415</x:v>
      </x:c>
      <x:c r="L48" s="55" t="n">
        <x:v>5352</x:v>
      </x:c>
      <x:c r="M48" s="55" t="n">
        <x:v>1152</x:v>
      </x:c>
      <x:c r="N48" s="55" t="n">
        <x:v>2159</x:v>
      </x:c>
      <x:c r="O48" s="55" t="n">
        <x:v>2041</x:v>
      </x:c>
      <x:c r="P48" s="55" t="n">
        <x:v>671</x:v>
      </x:c>
      <x:c r="Q48" s="55" t="n">
        <x:v>1585</x:v>
      </x:c>
      <x:c r="R48" s="55" t="n">
        <x:v>1876</x:v>
      </x:c>
      <x:c r="S48" s="55" t="n">
        <x:v>2379</x:v>
      </x:c>
      <x:c r="T48" s="55" t="n">
        <x:v>1178</x:v>
      </x:c>
      <x:c r="U48" s="55" t="n">
        <x:v>2741</x:v>
      </x:c>
      <x:c r="V48" s="55" t="n">
        <x:v>11216</x:v>
      </x:c>
      <x:c r="W48" s="55" t="n">
        <x:v>8600</x:v>
      </x:c>
      <x:c r="X48" s="55" t="n">
        <x:v>2616</x:v>
      </x:c>
      <x:c r="Y48" s="55" t="n">
        <x:v>2474</x:v>
      </x:c>
      <x:c r="Z48" s="55" t="n">
        <x:v>3697</x:v>
      </x:c>
      <x:c r="AA48" s="55" t="n">
        <x:v>3128</x:v>
      </x:c>
      <x:c r="AB48" s="55" t="n">
        <x:v>1427</x:v>
      </x:c>
      <x:c r="AC48" s="55" t="n">
        <x:v>8280</x:v>
      </x:c>
      <x:c r="AD48" s="55" t="n">
        <x:v>3387</x:v>
      </x:c>
      <x:c r="AE48" s="55" t="n">
        <x:v>11321</x:v>
      </x:c>
      <x:c r="AF48" s="55" t="n">
        <x:v>11216</x:v>
      </x:c>
      <x:c r="AG48" s="55" t="n">
        <x:v>105</x:v>
      </x:c>
      <x:c r="AH48" s="55" t="n">
        <x:v>588</x:v>
      </x:c>
      <x:c r="AI48" s="55" t="n">
        <x:v>10628</x:v>
      </x:c>
      <x:c r="AJ48" s="55" t="n">
        <x:v>273</x:v>
      </x:c>
      <x:c r="AK48" s="55" t="n">
        <x:v>902</x:v>
      </x:c>
      <x:c r="AL48" s="55" t="n">
        <x:v>1683</x:v>
      </x:c>
      <x:c r="AM48" s="55" t="n">
        <x:v>4530</x:v>
      </x:c>
      <x:c r="AN48" s="55" t="n">
        <x:v>3794</x:v>
      </x:c>
      <x:c r="AO48" s="55" t="n">
        <x:v>34</x:v>
      </x:c>
      <x:c r="AP48" s="55" t="n">
        <x:v>2133</x:v>
      </x:c>
      <x:c r="AQ48" s="55" t="n">
        <x:v>911</x:v>
      </x:c>
    </x:row>
    <x:row r="49">
      <x:c r="A49" s="54" t="str">
        <x:v>T0_TABLE_BLOCK</x:v>
      </x:c>
      <x:c r="B49" s="54" t="n">
        <x:v>43</x:v>
      </x:c>
      <x:c r="C49" s="54" t="str">
        <x:v>NYC-V2-R01</x:v>
      </x:c>
      <x:c r="D49" s="54" t="str">
        <x:v>V2</x:v>
      </x:c>
      <x:c r="E49" s="54" t="str">
        <x:v>ADMITTED</x:v>
      </x:c>
      <x:c r="F49" s="55" t="n">
        <x:v>31276</x:v>
      </x:c>
      <x:c r="G49" s="55" t="n">
        <x:v>7447</x:v>
      </x:c>
      <x:c r="H49" s="55" t="n">
        <x:v>3209</x:v>
      </x:c>
      <x:c r="I49" s="55" t="n">
        <x:v>793</x:v>
      </x:c>
      <x:c r="J49" s="55" t="n">
        <x:v>80</x:v>
      </x:c>
      <x:c r="K49" s="55" t="n">
        <x:v>31276</x:v>
      </x:c>
      <x:c r="L49" s="55" t="n">
        <x:v>4937</x:v>
      </x:c>
      <x:c r="M49" s="55" t="n">
        <x:v>1421</x:v>
      </x:c>
      <x:c r="N49" s="55" t="n">
        <x:v>1963</x:v>
      </x:c>
      <x:c r="O49" s="55" t="n">
        <x:v>1553</x:v>
      </x:c>
      <x:c r="P49" s="55" t="n">
        <x:v>811</x:v>
      </x:c>
      <x:c r="Q49" s="55" t="n">
        <x:v>2251</x:v>
      </x:c>
      <x:c r="R49" s="55" t="n">
        <x:v>2222</x:v>
      </x:c>
      <x:c r="S49" s="55" t="n">
        <x:v>3201</x:v>
      </x:c>
      <x:c r="T49" s="55" t="n">
        <x:v>1173</x:v>
      </x:c>
      <x:c r="U49" s="55" t="n">
        <x:v>1966</x:v>
      </x:c>
      <x:c r="V49" s="55" t="n">
        <x:v>10257</x:v>
      </x:c>
      <x:c r="W49" s="55" t="n">
        <x:v>7421</x:v>
      </x:c>
      <x:c r="X49" s="55" t="n">
        <x:v>2836</x:v>
      </x:c>
      <x:c r="Y49" s="55" t="n">
        <x:v>2677</x:v>
      </x:c>
      <x:c r="Z49" s="55" t="n">
        <x:v>3189</x:v>
      </x:c>
      <x:c r="AA49" s="55" t="n">
        <x:v>2564</x:v>
      </x:c>
      <x:c r="AB49" s="55" t="n">
        <x:v>825</x:v>
      </x:c>
      <x:c r="AC49" s="55" t="n">
        <x:v>8739</x:v>
      </x:c>
      <x:c r="AD49" s="55" t="n">
        <x:v>3256</x:v>
      </x:c>
      <x:c r="AE49" s="55" t="n">
        <x:v>10347</x:v>
      </x:c>
      <x:c r="AF49" s="55" t="n">
        <x:v>10257</x:v>
      </x:c>
      <x:c r="AG49" s="55" t="n">
        <x:v>90</x:v>
      </x:c>
      <x:c r="AH49" s="55" t="n">
        <x:v>330</x:v>
      </x:c>
      <x:c r="AI49" s="55" t="n">
        <x:v>9927</x:v>
      </x:c>
      <x:c r="AJ49" s="55" t="n">
        <x:v>588</x:v>
      </x:c>
      <x:c r="AK49" s="55" t="n">
        <x:v>797</x:v>
      </x:c>
      <x:c r="AL49" s="55" t="n">
        <x:v>1326</x:v>
      </x:c>
      <x:c r="AM49" s="55" t="n">
        <x:v>5062</x:v>
      </x:c>
      <x:c r="AN49" s="55" t="n">
        <x:v>2484</x:v>
      </x:c>
      <x:c r="AO49" s="55" t="n">
        <x:v>0</x:v>
      </x:c>
      <x:c r="AP49" s="55" t="n">
        <x:v>1829</x:v>
      </x:c>
      <x:c r="AQ49" s="55" t="n">
        <x:v>960</x:v>
      </x:c>
    </x:row>
    <x:row r="50">
      <x:c r="A50" s="54" t="str">
        <x:v>T0_TABLE_BLOCK</x:v>
      </x:c>
      <x:c r="B50" s="54" t="n">
        <x:v>44</x:v>
      </x:c>
      <x:c r="C50" s="54" t="str">
        <x:v>NYC-V2-R01</x:v>
      </x:c>
      <x:c r="D50" s="54" t="str">
        <x:v>V2</x:v>
      </x:c>
      <x:c r="E50" s="54" t="str">
        <x:v>ADMITTED</x:v>
      </x:c>
      <x:c r="F50" s="55" t="n">
        <x:v>31273</x:v>
      </x:c>
      <x:c r="G50" s="55" t="n">
        <x:v>8571</x:v>
      </x:c>
      <x:c r="H50" s="55" t="n">
        <x:v>3356</x:v>
      </x:c>
      <x:c r="I50" s="55" t="n">
        <x:v>1072</x:v>
      </x:c>
      <x:c r="J50" s="55" t="n">
        <x:v>232</x:v>
      </x:c>
      <x:c r="K50" s="55" t="n">
        <x:v>28472</x:v>
      </x:c>
      <x:c r="L50" s="55" t="n">
        <x:v>4245</x:v>
      </x:c>
      <x:c r="M50" s="55" t="n">
        <x:v>243</x:v>
      </x:c>
      <x:c r="N50" s="55" t="n">
        <x:v>2519</x:v>
      </x:c>
      <x:c r="O50" s="55" t="n">
        <x:v>1483</x:v>
      </x:c>
      <x:c r="P50" s="55" t="n">
        <x:v>752</x:v>
      </x:c>
      <x:c r="Q50" s="55" t="n">
        <x:v>2417</x:v>
      </x:c>
      <x:c r="R50" s="55" t="n">
        <x:v>1537</x:v>
      </x:c>
      <x:c r="S50" s="55" t="n">
        <x:v>2996</x:v>
      </x:c>
      <x:c r="T50" s="55" t="n">
        <x:v>1303</x:v>
      </x:c>
      <x:c r="U50" s="55" t="n">
        <x:v>2049</x:v>
      </x:c>
      <x:c r="V50" s="55" t="n">
        <x:v>10206</x:v>
      </x:c>
      <x:c r="W50" s="55" t="n">
        <x:v>7044</x:v>
      </x:c>
      <x:c r="X50" s="55" t="n">
        <x:v>3162</x:v>
      </x:c>
      <x:c r="Y50" s="55" t="n">
        <x:v>2764</x:v>
      </x:c>
      <x:c r="Z50" s="55" t="n">
        <x:v>3735</x:v>
      </x:c>
      <x:c r="AA50" s="55" t="n">
        <x:v>2557</x:v>
      </x:c>
      <x:c r="AB50" s="55" t="n">
        <x:v>886</x:v>
      </x:c>
      <x:c r="AC50" s="55" t="n">
        <x:v>8590</x:v>
      </x:c>
      <x:c r="AD50" s="55" t="n">
        <x:v>2954</x:v>
      </x:c>
      <x:c r="AE50" s="55" t="n">
        <x:v>10342</x:v>
      </x:c>
      <x:c r="AF50" s="55" t="n">
        <x:v>10206</x:v>
      </x:c>
      <x:c r="AG50" s="55" t="n">
        <x:v>136</x:v>
      </x:c>
      <x:c r="AH50" s="55" t="n">
        <x:v>529</x:v>
      </x:c>
      <x:c r="AI50" s="55" t="n">
        <x:v>9677</x:v>
      </x:c>
      <x:c r="AJ50" s="55" t="n">
        <x:v>387</x:v>
      </x:c>
      <x:c r="AK50" s="55" t="n">
        <x:v>1087</x:v>
      </x:c>
      <x:c r="AL50" s="55" t="n">
        <x:v>1193</x:v>
      </x:c>
      <x:c r="AM50" s="55" t="n">
        <x:v>5255</x:v>
      </x:c>
      <x:c r="AN50" s="55" t="n">
        <x:v>2284</x:v>
      </x:c>
      <x:c r="AO50" s="55" t="n">
        <x:v>0</x:v>
      </x:c>
      <x:c r="AP50" s="55" t="n">
        <x:v>2659</x:v>
      </x:c>
      <x:c r="AQ50" s="55" t="n">
        <x:v>948</x:v>
      </x:c>
    </x:row>
    <x:row r="51">
      <x:c r="A51" s="54" t="str">
        <x:v>T0_TABLE_BLOCK</x:v>
      </x:c>
      <x:c r="B51" s="54" t="n">
        <x:v>45</x:v>
      </x:c>
      <x:c r="C51" s="54" t="str">
        <x:v>NYC-V2-R01</x:v>
      </x:c>
      <x:c r="D51" s="54" t="str">
        <x:v>V2</x:v>
      </x:c>
      <x:c r="E51" s="54" t="str">
        <x:v>ADMITTED</x:v>
      </x:c>
      <x:c r="F51" s="55" t="n">
        <x:v>32063</x:v>
      </x:c>
      <x:c r="G51" s="55" t="n">
        <x:v>9060</x:v>
      </x:c>
      <x:c r="H51" s="55" t="n">
        <x:v>3111</x:v>
      </x:c>
      <x:c r="I51" s="55" t="n">
        <x:v>1670</x:v>
      </x:c>
      <x:c r="J51" s="55" t="n">
        <x:v>52</x:v>
      </x:c>
      <x:c r="K51" s="55" t="n">
        <x:v>29947</x:v>
      </x:c>
      <x:c r="L51" s="55" t="n">
        <x:v>5519</x:v>
      </x:c>
      <x:c r="M51" s="55" t="n">
        <x:v>629</x:v>
      </x:c>
      <x:c r="N51" s="55" t="n">
        <x:v>3156</x:v>
      </x:c>
      <x:c r="O51" s="55" t="n">
        <x:v>1734</x:v>
      </x:c>
      <x:c r="P51" s="55" t="n">
        <x:v>659</x:v>
      </x:c>
      <x:c r="Q51" s="55" t="n">
        <x:v>2978</x:v>
      </x:c>
      <x:c r="R51" s="55" t="n">
        <x:v>1832</x:v>
      </x:c>
      <x:c r="S51" s="55" t="n">
        <x:v>3213</x:v>
      </x:c>
      <x:c r="T51" s="55" t="n">
        <x:v>1295</x:v>
      </x:c>
      <x:c r="U51" s="55" t="n">
        <x:v>2362</x:v>
      </x:c>
      <x:c r="V51" s="55" t="n">
        <x:v>10977</x:v>
      </x:c>
      <x:c r="W51" s="55" t="n">
        <x:v>7747</x:v>
      </x:c>
      <x:c r="X51" s="55" t="n">
        <x:v>3230</x:v>
      </x:c>
      <x:c r="Y51" s="55" t="n">
        <x:v>2831</x:v>
      </x:c>
      <x:c r="Z51" s="55" t="n">
        <x:v>3247</x:v>
      </x:c>
      <x:c r="AA51" s="55" t="n">
        <x:v>2540</x:v>
      </x:c>
      <x:c r="AB51" s="55" t="n">
        <x:v>1321</x:v>
      </x:c>
      <x:c r="AC51" s="55" t="n">
        <x:v>7778</x:v>
      </x:c>
      <x:c r="AD51" s="55" t="n">
        <x:v>3323</x:v>
      </x:c>
      <x:c r="AE51" s="55" t="n">
        <x:v>11093</x:v>
      </x:c>
      <x:c r="AF51" s="55" t="n">
        <x:v>10977</x:v>
      </x:c>
      <x:c r="AG51" s="55" t="n">
        <x:v>116</x:v>
      </x:c>
      <x:c r="AH51" s="55" t="n">
        <x:v>257</x:v>
      </x:c>
      <x:c r="AI51" s="55" t="n">
        <x:v>10720</x:v>
      </x:c>
      <x:c r="AJ51" s="55" t="n">
        <x:v>382</x:v>
      </x:c>
      <x:c r="AK51" s="55" t="n">
        <x:v>874</x:v>
      </x:c>
      <x:c r="AL51" s="55" t="n">
        <x:v>1584</x:v>
      </x:c>
      <x:c r="AM51" s="55" t="n">
        <x:v>5160</x:v>
      </x:c>
      <x:c r="AN51" s="55" t="n">
        <x:v>2958</x:v>
      </x:c>
      <x:c r="AO51" s="55" t="n">
        <x:v>19</x:v>
      </x:c>
      <x:c r="AP51" s="55" t="n">
        <x:v>1965</x:v>
      </x:c>
      <x:c r="AQ51" s="55" t="n">
        <x:v>971</x:v>
      </x:c>
    </x:row>
    <x:row r="52">
      <x:c r="A52" s="54" t="str">
        <x:v>T0_TABLE_BLOCK</x:v>
      </x:c>
      <x:c r="B52" s="54" t="n">
        <x:v>46</x:v>
      </x:c>
      <x:c r="C52" s="54" t="str">
        <x:v>NYC-V2-R01</x:v>
      </x:c>
      <x:c r="D52" s="54" t="str">
        <x:v>V2</x:v>
      </x:c>
      <x:c r="E52" s="54" t="str">
        <x:v>ADMITTED</x:v>
      </x:c>
      <x:c r="F52" s="55" t="n">
        <x:v>29130</x:v>
      </x:c>
      <x:c r="G52" s="55" t="n">
        <x:v>8156</x:v>
      </x:c>
      <x:c r="H52" s="55" t="n">
        <x:v>3778</x:v>
      </x:c>
      <x:c r="I52" s="55" t="n">
        <x:v>820</x:v>
      </x:c>
      <x:c r="J52" s="55" t="n">
        <x:v>80</x:v>
      </x:c>
      <x:c r="K52" s="55" t="n">
        <x:v>28789</x:v>
      </x:c>
      <x:c r="L52" s="55" t="n">
        <x:v>4555</x:v>
      </x:c>
      <x:c r="M52" s="55" t="n">
        <x:v>556</x:v>
      </x:c>
      <x:c r="N52" s="55" t="n">
        <x:v>2330</x:v>
      </x:c>
      <x:c r="O52" s="55" t="n">
        <x:v>1669</x:v>
      </x:c>
      <x:c r="P52" s="55" t="n">
        <x:v>605</x:v>
      </x:c>
      <x:c r="Q52" s="55" t="n">
        <x:v>2153</x:v>
      </x:c>
      <x:c r="R52" s="55" t="n">
        <x:v>1864</x:v>
      </x:c>
      <x:c r="S52" s="55" t="n">
        <x:v>3012</x:v>
      </x:c>
      <x:c r="T52" s="55" t="n">
        <x:v>981</x:v>
      </x:c>
      <x:c r="U52" s="55" t="n">
        <x:v>2196</x:v>
      </x:c>
      <x:c r="V52" s="55" t="n">
        <x:v>10782</x:v>
      </x:c>
      <x:c r="W52" s="55" t="n">
        <x:v>7593</x:v>
      </x:c>
      <x:c r="X52" s="55" t="n">
        <x:v>3189</x:v>
      </x:c>
      <x:c r="Y52" s="55" t="n">
        <x:v>2776</x:v>
      </x:c>
      <x:c r="Z52" s="55" t="n">
        <x:v>4108</x:v>
      </x:c>
      <x:c r="AA52" s="55" t="n">
        <x:v>3778</x:v>
      </x:c>
      <x:c r="AB52" s="55" t="n">
        <x:v>1491</x:v>
      </x:c>
      <x:c r="AC52" s="55" t="n">
        <x:v>8567</x:v>
      </x:c>
      <x:c r="AD52" s="55" t="n">
        <x:v>3186</x:v>
      </x:c>
      <x:c r="AE52" s="55" t="n">
        <x:v>10847</x:v>
      </x:c>
      <x:c r="AF52" s="55" t="n">
        <x:v>10782</x:v>
      </x:c>
      <x:c r="AG52" s="55" t="n">
        <x:v>65</x:v>
      </x:c>
      <x:c r="AH52" s="55" t="n">
        <x:v>497</x:v>
      </x:c>
      <x:c r="AI52" s="55" t="n">
        <x:v>10285</x:v>
      </x:c>
      <x:c r="AJ52" s="55" t="n">
        <x:v>509</x:v>
      </x:c>
      <x:c r="AK52" s="55" t="n">
        <x:v>930</x:v>
      </x:c>
      <x:c r="AL52" s="55" t="n">
        <x:v>1608</x:v>
      </x:c>
      <x:c r="AM52" s="55" t="n">
        <x:v>5079</x:v>
      </x:c>
      <x:c r="AN52" s="55" t="n">
        <x:v>2656</x:v>
      </x:c>
      <x:c r="AO52" s="55" t="n">
        <x:v>0</x:v>
      </x:c>
      <x:c r="AP52" s="55" t="n">
        <x:v>2345</x:v>
      </x:c>
      <x:c r="AQ52" s="55" t="n">
        <x:v>960</x:v>
      </x:c>
    </x:row>
    <x:row r="53">
      <x:c r="A53" s="54" t="str">
        <x:v>T0_TABLE_BLOCK</x:v>
      </x:c>
      <x:c r="B53" s="54" t="n">
        <x:v>47</x:v>
      </x:c>
      <x:c r="C53" s="54" t="str">
        <x:v>NYC-V2-R01</x:v>
      </x:c>
      <x:c r="D53" s="54" t="str">
        <x:v>V2</x:v>
      </x:c>
      <x:c r="E53" s="54" t="str">
        <x:v>ADMITTED</x:v>
      </x:c>
      <x:c r="F53" s="55" t="n">
        <x:v>31534</x:v>
      </x:c>
      <x:c r="G53" s="55" t="n">
        <x:v>7743</x:v>
      </x:c>
      <x:c r="H53" s="55" t="n">
        <x:v>3488</x:v>
      </x:c>
      <x:c r="I53" s="55" t="n">
        <x:v>1807</x:v>
      </x:c>
      <x:c r="J53" s="55" t="n">
        <x:v>166</x:v>
      </x:c>
      <x:c r="K53" s="55" t="n">
        <x:v>31416</x:v>
      </x:c>
      <x:c r="L53" s="55" t="n">
        <x:v>6947</x:v>
      </x:c>
      <x:c r="M53" s="55" t="n">
        <x:v>1855</x:v>
      </x:c>
      <x:c r="N53" s="55" t="n">
        <x:v>3110</x:v>
      </x:c>
      <x:c r="O53" s="55" t="n">
        <x:v>1982</x:v>
      </x:c>
      <x:c r="P53" s="55" t="n">
        <x:v>598</x:v>
      </x:c>
      <x:c r="Q53" s="55" t="n">
        <x:v>1343</x:v>
      </x:c>
      <x:c r="R53" s="55" t="n">
        <x:v>1753</x:v>
      </x:c>
      <x:c r="S53" s="55" t="n">
        <x:v>2662</x:v>
      </x:c>
      <x:c r="T53" s="55" t="n">
        <x:v>1099</x:v>
      </x:c>
      <x:c r="U53" s="55" t="n">
        <x:v>1717</x:v>
      </x:c>
      <x:c r="V53" s="55" t="n">
        <x:v>10606</x:v>
      </x:c>
      <x:c r="W53" s="55" t="n">
        <x:v>7008</x:v>
      </x:c>
      <x:c r="X53" s="55" t="n">
        <x:v>3598</x:v>
      </x:c>
      <x:c r="Y53" s="55" t="n">
        <x:v>3282</x:v>
      </x:c>
      <x:c r="Z53" s="55" t="n">
        <x:v>3776</x:v>
      </x:c>
      <x:c r="AA53" s="55" t="n">
        <x:v>2986</x:v>
      </x:c>
      <x:c r="AB53" s="55" t="n">
        <x:v>1217</x:v>
      </x:c>
      <x:c r="AC53" s="55" t="n">
        <x:v>8039</x:v>
      </x:c>
      <x:c r="AD53" s="55" t="n">
        <x:v>2914</x:v>
      </x:c>
      <x:c r="AE53" s="55" t="n">
        <x:v>10624</x:v>
      </x:c>
      <x:c r="AF53" s="55" t="n">
        <x:v>10606</x:v>
      </x:c>
      <x:c r="AG53" s="55" t="n">
        <x:v>18</x:v>
      </x:c>
      <x:c r="AH53" s="55" t="n">
        <x:v>343</x:v>
      </x:c>
      <x:c r="AI53" s="55" t="n">
        <x:v>10263</x:v>
      </x:c>
      <x:c r="AJ53" s="55" t="n">
        <x:v>312</x:v>
      </x:c>
      <x:c r="AK53" s="55" t="n">
        <x:v>987</x:v>
      </x:c>
      <x:c r="AL53" s="55" t="n">
        <x:v>1400</x:v>
      </x:c>
      <x:c r="AM53" s="55" t="n">
        <x:v>5146</x:v>
      </x:c>
      <x:c r="AN53" s="55" t="n">
        <x:v>2761</x:v>
      </x:c>
      <x:c r="AO53" s="55" t="n">
        <x:v>0</x:v>
      </x:c>
      <x:c r="AP53" s="55" t="n">
        <x:v>2143</x:v>
      </x:c>
      <x:c r="AQ53" s="55" t="n">
        <x:v>957</x:v>
      </x:c>
    </x:row>
    <x:row r="54">
      <x:c r="A54" s="54" t="str">
        <x:v>T0_TABLE_BLOCK</x:v>
      </x:c>
      <x:c r="B54" s="54" t="n">
        <x:v>48</x:v>
      </x:c>
      <x:c r="C54" s="54" t="str">
        <x:v>NYC-V2-R01</x:v>
      </x:c>
      <x:c r="D54" s="54" t="str">
        <x:v>V2</x:v>
      </x:c>
      <x:c r="E54" s="54" t="str">
        <x:v>ADMITTED</x:v>
      </x:c>
      <x:c r="F54" s="55" t="n">
        <x:v>33049</x:v>
      </x:c>
      <x:c r="G54" s="55" t="n">
        <x:v>7642</x:v>
      </x:c>
      <x:c r="H54" s="55" t="n">
        <x:v>3407</x:v>
      </x:c>
      <x:c r="I54" s="55" t="n">
        <x:v>1591</x:v>
      </x:c>
      <x:c r="J54" s="55" t="n">
        <x:v>281</x:v>
      </x:c>
      <x:c r="K54" s="55" t="n">
        <x:v>33049</x:v>
      </x:c>
      <x:c r="L54" s="55" t="n">
        <x:v>7710</x:v>
      </x:c>
      <x:c r="M54" s="55" t="n">
        <x:v>2007</x:v>
      </x:c>
      <x:c r="N54" s="55" t="n">
        <x:v>3265</x:v>
      </x:c>
      <x:c r="O54" s="55" t="n">
        <x:v>2438</x:v>
      </x:c>
      <x:c r="P54" s="55" t="n">
        <x:v>748</x:v>
      </x:c>
      <x:c r="Q54" s="55" t="n">
        <x:v>2699</x:v>
      </x:c>
      <x:c r="R54" s="55" t="n">
        <x:v>1737</x:v>
      </x:c>
      <x:c r="S54" s="55" t="n">
        <x:v>2926</x:v>
      </x:c>
      <x:c r="T54" s="55" t="n">
        <x:v>1439</x:v>
      </x:c>
      <x:c r="U54" s="55" t="n">
        <x:v>2584</x:v>
      </x:c>
      <x:c r="V54" s="55" t="n">
        <x:v>9764</x:v>
      </x:c>
      <x:c r="W54" s="55" t="n">
        <x:v>6572</x:v>
      </x:c>
      <x:c r="X54" s="55" t="n">
        <x:v>3192</x:v>
      </x:c>
      <x:c r="Y54" s="55" t="n">
        <x:v>2747</x:v>
      </x:c>
      <x:c r="Z54" s="55" t="n">
        <x:v>4324</x:v>
      </x:c>
      <x:c r="AA54" s="55" t="n">
        <x:v>3364</x:v>
      </x:c>
      <x:c r="AB54" s="55" t="n">
        <x:v>1292</x:v>
      </x:c>
      <x:c r="AC54" s="55" t="n">
        <x:v>7328</x:v>
      </x:c>
      <x:c r="AD54" s="55" t="n">
        <x:v>3215</x:v>
      </x:c>
      <x:c r="AE54" s="55" t="n">
        <x:v>9924</x:v>
      </x:c>
      <x:c r="AF54" s="55" t="n">
        <x:v>9764</x:v>
      </x:c>
      <x:c r="AG54" s="55" t="n">
        <x:v>160</x:v>
      </x:c>
      <x:c r="AH54" s="55" t="n">
        <x:v>256</x:v>
      </x:c>
      <x:c r="AI54" s="55" t="n">
        <x:v>9508</x:v>
      </x:c>
      <x:c r="AJ54" s="55" t="n">
        <x:v>436</x:v>
      </x:c>
      <x:c r="AK54" s="55" t="n">
        <x:v>1129</x:v>
      </x:c>
      <x:c r="AL54" s="55" t="n">
        <x:v>1869</x:v>
      </x:c>
      <x:c r="AM54" s="55" t="n">
        <x:v>4267</x:v>
      </x:c>
      <x:c r="AN54" s="55" t="n">
        <x:v>2025</x:v>
      </x:c>
      <x:c r="AO54" s="55" t="n">
        <x:v>38</x:v>
      </x:c>
      <x:c r="AP54" s="55" t="n">
        <x:v>2194</x:v>
      </x:c>
      <x:c r="AQ54" s="55" t="n">
        <x:v>958</x:v>
      </x:c>
    </x:row>
    <x:row r="55">
      <x:c r="A55" s="54" t="str">
        <x:v>T0_TABLE_BLOCK</x:v>
      </x:c>
      <x:c r="B55" s="54" t="n">
        <x:v>49</x:v>
      </x:c>
      <x:c r="C55" s="54" t="str">
        <x:v>NYC-V2-R01</x:v>
      </x:c>
      <x:c r="D55" s="54" t="str">
        <x:v>V2</x:v>
      </x:c>
      <x:c r="E55" s="54" t="str">
        <x:v>ADMITTED</x:v>
      </x:c>
      <x:c r="F55" s="55" t="n">
        <x:v>30701</x:v>
      </x:c>
      <x:c r="G55" s="55" t="n">
        <x:v>6729</x:v>
      </x:c>
      <x:c r="H55" s="55" t="n">
        <x:v>3530</x:v>
      </x:c>
      <x:c r="I55" s="55" t="n">
        <x:v>1235</x:v>
      </x:c>
      <x:c r="J55" s="55" t="n">
        <x:v>305</x:v>
      </x:c>
      <x:c r="K55" s="55" t="n">
        <x:v>30701</x:v>
      </x:c>
      <x:c r="L55" s="55" t="n">
        <x:v>6546</x:v>
      </x:c>
      <x:c r="M55" s="55" t="n">
        <x:v>1948</x:v>
      </x:c>
      <x:c r="N55" s="55" t="n">
        <x:v>2479</x:v>
      </x:c>
      <x:c r="O55" s="55" t="n">
        <x:v>2119</x:v>
      </x:c>
      <x:c r="P55" s="55" t="n">
        <x:v>684</x:v>
      </x:c>
      <x:c r="Q55" s="55" t="n">
        <x:v>1504</x:v>
      </x:c>
      <x:c r="R55" s="55" t="n">
        <x:v>1691</x:v>
      </x:c>
      <x:c r="S55" s="55" t="n">
        <x:v>2321</x:v>
      </x:c>
      <x:c r="T55" s="55" t="n">
        <x:v>1276</x:v>
      </x:c>
      <x:c r="U55" s="55" t="n">
        <x:v>1697</x:v>
      </x:c>
      <x:c r="V55" s="55" t="n">
        <x:v>10285</x:v>
      </x:c>
      <x:c r="W55" s="55" t="n">
        <x:v>7368</x:v>
      </x:c>
      <x:c r="X55" s="55" t="n">
        <x:v>2917</x:v>
      </x:c>
      <x:c r="Y55" s="55" t="n">
        <x:v>2581</x:v>
      </x:c>
      <x:c r="Z55" s="55" t="n">
        <x:v>3189</x:v>
      </x:c>
      <x:c r="AA55" s="55" t="n">
        <x:v>3530</x:v>
      </x:c>
      <x:c r="AB55" s="55" t="n">
        <x:v>1297</x:v>
      </x:c>
      <x:c r="AC55" s="55" t="n">
        <x:v>8172</x:v>
      </x:c>
      <x:c r="AD55" s="55" t="n">
        <x:v>2806</x:v>
      </x:c>
      <x:c r="AE55" s="55" t="n">
        <x:v>10360</x:v>
      </x:c>
      <x:c r="AF55" s="55" t="n">
        <x:v>10285</x:v>
      </x:c>
      <x:c r="AG55" s="55" t="n">
        <x:v>75</x:v>
      </x:c>
      <x:c r="AH55" s="55" t="n">
        <x:v>479</x:v>
      </x:c>
      <x:c r="AI55" s="55" t="n">
        <x:v>9806</x:v>
      </x:c>
      <x:c r="AJ55" s="55" t="n">
        <x:v>411</x:v>
      </x:c>
      <x:c r="AK55" s="55" t="n">
        <x:v>1003</x:v>
      </x:c>
      <x:c r="AL55" s="55" t="n">
        <x:v>1262</x:v>
      </x:c>
      <x:c r="AM55" s="55" t="n">
        <x:v>4748</x:v>
      </x:c>
      <x:c r="AN55" s="55" t="n">
        <x:v>2861</x:v>
      </x:c>
      <x:c r="AO55" s="55" t="n">
        <x:v>0</x:v>
      </x:c>
      <x:c r="AP55" s="55" t="n">
        <x:v>2253</x:v>
      </x:c>
      <x:c r="AQ55" s="55" t="n">
        <x:v>955</x:v>
      </x:c>
    </x:row>
    <x:row r="56">
      <x:c r="A56" s="54" t="str">
        <x:v>T0_TABLE_BLOCK</x:v>
      </x:c>
      <x:c r="B56" s="54" t="n">
        <x:v>50</x:v>
      </x:c>
      <x:c r="C56" s="54" t="str">
        <x:v>NYC-V2-R01</x:v>
      </x:c>
      <x:c r="D56" s="54" t="str">
        <x:v>V2</x:v>
      </x:c>
      <x:c r="E56" s="54" t="str">
        <x:v>ADMITTED</x:v>
      </x:c>
      <x:c r="F56" s="55" t="n">
        <x:v>32718</x:v>
      </x:c>
      <x:c r="G56" s="55" t="n">
        <x:v>7791</x:v>
      </x:c>
      <x:c r="H56" s="55" t="n">
        <x:v>2805</x:v>
      </x:c>
      <x:c r="I56" s="55" t="n">
        <x:v>947</x:v>
      </x:c>
      <x:c r="J56" s="55" t="n">
        <x:v>178</x:v>
      </x:c>
      <x:c r="K56" s="55" t="n">
        <x:v>32718</x:v>
      </x:c>
      <x:c r="L56" s="55" t="n">
        <x:v>5948</x:v>
      </x:c>
      <x:c r="M56" s="55" t="n">
        <x:v>1448</x:v>
      </x:c>
      <x:c r="N56" s="55" t="n">
        <x:v>2485</x:v>
      </x:c>
      <x:c r="O56" s="55" t="n">
        <x:v>2015</x:v>
      </x:c>
      <x:c r="P56" s="55" t="n">
        <x:v>905</x:v>
      </x:c>
      <x:c r="Q56" s="55" t="n">
        <x:v>2304</x:v>
      </x:c>
      <x:c r="R56" s="55" t="n">
        <x:v>1511</x:v>
      </x:c>
      <x:c r="S56" s="55" t="n">
        <x:v>2872</x:v>
      </x:c>
      <x:c r="T56" s="55" t="n">
        <x:v>1297</x:v>
      </x:c>
      <x:c r="U56" s="55" t="n">
        <x:v>2237</x:v>
      </x:c>
      <x:c r="V56" s="55" t="n">
        <x:v>9417</x:v>
      </x:c>
      <x:c r="W56" s="55" t="n">
        <x:v>6057</x:v>
      </x:c>
      <x:c r="X56" s="55" t="n">
        <x:v>3360</x:v>
      </x:c>
      <x:c r="Y56" s="55" t="n">
        <x:v>3105</x:v>
      </x:c>
      <x:c r="Z56" s="55" t="n">
        <x:v>3754</x:v>
      </x:c>
      <x:c r="AA56" s="55" t="n">
        <x:v>2595</x:v>
      </x:c>
      <x:c r="AB56" s="55" t="n">
        <x:v>1076</x:v>
      </x:c>
      <x:c r="AC56" s="55" t="n">
        <x:v>8688</x:v>
      </x:c>
      <x:c r="AD56" s="55" t="n">
        <x:v>3337</x:v>
      </x:c>
      <x:c r="AE56" s="55" t="n">
        <x:v>9485</x:v>
      </x:c>
      <x:c r="AF56" s="55" t="n">
        <x:v>9417</x:v>
      </x:c>
      <x:c r="AG56" s="55" t="n">
        <x:v>68</x:v>
      </x:c>
      <x:c r="AH56" s="55" t="n">
        <x:v>155</x:v>
      </x:c>
      <x:c r="AI56" s="55" t="n">
        <x:v>9262</x:v>
      </x:c>
      <x:c r="AJ56" s="55" t="n">
        <x:v>314</x:v>
      </x:c>
      <x:c r="AK56" s="55" t="n">
        <x:v>863</x:v>
      </x:c>
      <x:c r="AL56" s="55" t="n">
        <x:v>1473</x:v>
      </x:c>
      <x:c r="AM56" s="55" t="n">
        <x:v>4578</x:v>
      </x:c>
      <x:c r="AN56" s="55" t="n">
        <x:v>2074</x:v>
      </x:c>
      <x:c r="AO56" s="55" t="n">
        <x:v>115</x:v>
      </x:c>
      <x:c r="AP56" s="55" t="n">
        <x:v>2560</x:v>
      </x:c>
      <x:c r="AQ56" s="55" t="n">
        <x:v>934</x:v>
      </x:c>
    </x:row>
    <x:row r="57">
      <x:c r="A57" s="54" t="str">
        <x:v>T0_TABLE_BLOCK</x:v>
      </x:c>
      <x:c r="B57" s="54" t="n">
        <x:v>51</x:v>
      </x:c>
      <x:c r="C57" s="54" t="str">
        <x:v>NYC-V2-R01</x:v>
      </x:c>
      <x:c r="D57" s="54" t="str">
        <x:v>V2</x:v>
      </x:c>
      <x:c r="E57" s="54" t="str">
        <x:v>ADMITTED</x:v>
      </x:c>
      <x:c r="F57" s="55" t="n">
        <x:v>31441</x:v>
      </x:c>
      <x:c r="G57" s="55" t="n">
        <x:v>8196</x:v>
      </x:c>
      <x:c r="H57" s="55" t="n">
        <x:v>3134</x:v>
      </x:c>
      <x:c r="I57" s="55" t="n">
        <x:v>1397</x:v>
      </x:c>
      <x:c r="J57" s="55" t="n">
        <x:v>248</x:v>
      </x:c>
      <x:c r="K57" s="55" t="n">
        <x:v>31441</x:v>
      </x:c>
      <x:c r="L57" s="55" t="n">
        <x:v>6259</x:v>
      </x:c>
      <x:c r="M57" s="55" t="n">
        <x:v>2244</x:v>
      </x:c>
      <x:c r="N57" s="55" t="n">
        <x:v>2541</x:v>
      </x:c>
      <x:c r="O57" s="55" t="n">
        <x:v>1474</x:v>
      </x:c>
      <x:c r="P57" s="55" t="n">
        <x:v>928</x:v>
      </x:c>
      <x:c r="Q57" s="55" t="n">
        <x:v>1817</x:v>
      </x:c>
      <x:c r="R57" s="55" t="n">
        <x:v>2112</x:v>
      </x:c>
      <x:c r="S57" s="55" t="n">
        <x:v>2587</x:v>
      </x:c>
      <x:c r="T57" s="55" t="n">
        <x:v>913</x:v>
      </x:c>
      <x:c r="U57" s="55" t="n">
        <x:v>2378</x:v>
      </x:c>
      <x:c r="V57" s="55" t="n">
        <x:v>11070</x:v>
      </x:c>
      <x:c r="W57" s="55" t="n">
        <x:v>7923</x:v>
      </x:c>
      <x:c r="X57" s="55" t="n">
        <x:v>3147</x:v>
      </x:c>
      <x:c r="Y57" s="55" t="n">
        <x:v>2878</x:v>
      </x:c>
      <x:c r="Z57" s="55" t="n">
        <x:v>3756</x:v>
      </x:c>
      <x:c r="AA57" s="55" t="n">
        <x:v>3113</x:v>
      </x:c>
      <x:c r="AB57" s="55" t="n">
        <x:v>1338</x:v>
      </x:c>
      <x:c r="AC57" s="55" t="n">
        <x:v>7995</x:v>
      </x:c>
      <x:c r="AD57" s="55" t="n">
        <x:v>3226</x:v>
      </x:c>
      <x:c r="AE57" s="55" t="n">
        <x:v>11074</x:v>
      </x:c>
      <x:c r="AF57" s="55" t="n">
        <x:v>11070</x:v>
      </x:c>
      <x:c r="AG57" s="55" t="n">
        <x:v>4</x:v>
      </x:c>
      <x:c r="AH57" s="55" t="n">
        <x:v>703</x:v>
      </x:c>
      <x:c r="AI57" s="55" t="n">
        <x:v>10367</x:v>
      </x:c>
      <x:c r="AJ57" s="55" t="n">
        <x:v>324</x:v>
      </x:c>
      <x:c r="AK57" s="55" t="n">
        <x:v>1342</x:v>
      </x:c>
      <x:c r="AL57" s="55" t="n">
        <x:v>1593</x:v>
      </x:c>
      <x:c r="AM57" s="55" t="n">
        <x:v>5091</x:v>
      </x:c>
      <x:c r="AN57" s="55" t="n">
        <x:v>2720</x:v>
      </x:c>
      <x:c r="AO57" s="55" t="n">
        <x:v>0</x:v>
      </x:c>
      <x:c r="AP57" s="55" t="n">
        <x:v>2504</x:v>
      </x:c>
      <x:c r="AQ57" s="55" t="n">
        <x:v>965</x:v>
      </x:c>
    </x:row>
    <x:row r="58">
      <x:c r="A58" s="54" t="str">
        <x:v>T0_TABLE_BLOCK</x:v>
      </x:c>
      <x:c r="B58" s="54" t="n">
        <x:v>52</x:v>
      </x:c>
      <x:c r="C58" s="54" t="str">
        <x:v>NYC-V2-R01</x:v>
      </x:c>
      <x:c r="D58" s="54" t="str">
        <x:v>V2</x:v>
      </x:c>
      <x:c r="E58" s="54" t="str">
        <x:v>ADMITTED</x:v>
      </x:c>
      <x:c r="F58" s="55" t="n">
        <x:v>31775</x:v>
      </x:c>
      <x:c r="G58" s="55" t="n">
        <x:v>9198</x:v>
      </x:c>
      <x:c r="H58" s="55" t="n">
        <x:v>2768</x:v>
      </x:c>
      <x:c r="I58" s="55" t="n">
        <x:v>1107</x:v>
      </x:c>
      <x:c r="J58" s="55" t="n">
        <x:v>120</x:v>
      </x:c>
      <x:c r="K58" s="55" t="n">
        <x:v>31397</x:v>
      </x:c>
      <x:c r="L58" s="55" t="n">
        <x:v>6642</x:v>
      </x:c>
      <x:c r="M58" s="55" t="n">
        <x:v>1668</x:v>
      </x:c>
      <x:c r="N58" s="55" t="n">
        <x:v>3323</x:v>
      </x:c>
      <x:c r="O58" s="55" t="n">
        <x:v>1651</x:v>
      </x:c>
      <x:c r="P58" s="55" t="n">
        <x:v>877</x:v>
      </x:c>
      <x:c r="Q58" s="55" t="n">
        <x:v>2724</x:v>
      </x:c>
      <x:c r="R58" s="55" t="n">
        <x:v>1857</x:v>
      </x:c>
      <x:c r="S58" s="55" t="n">
        <x:v>2899</x:v>
      </x:c>
      <x:c r="T58" s="55" t="n">
        <x:v>1016</x:v>
      </x:c>
      <x:c r="U58" s="55" t="n">
        <x:v>2306</x:v>
      </x:c>
      <x:c r="V58" s="55" t="n">
        <x:v>10885</x:v>
      </x:c>
      <x:c r="W58" s="55" t="n">
        <x:v>7901</x:v>
      </x:c>
      <x:c r="X58" s="55" t="n">
        <x:v>2984</x:v>
      </x:c>
      <x:c r="Y58" s="55" t="n">
        <x:v>2662</x:v>
      </x:c>
      <x:c r="Z58" s="55" t="n">
        <x:v>3629</x:v>
      </x:c>
      <x:c r="AA58" s="55" t="n">
        <x:v>2768</x:v>
      </x:c>
      <x:c r="AB58" s="55" t="n">
        <x:v>1203</x:v>
      </x:c>
      <x:c r="AC58" s="55" t="n">
        <x:v>7961</x:v>
      </x:c>
      <x:c r="AD58" s="55" t="n">
        <x:v>1910</x:v>
      </x:c>
      <x:c r="AE58" s="55" t="n">
        <x:v>10978</x:v>
      </x:c>
      <x:c r="AF58" s="55" t="n">
        <x:v>10885</x:v>
      </x:c>
      <x:c r="AG58" s="55" t="n">
        <x:v>93</x:v>
      </x:c>
      <x:c r="AH58" s="55" t="n">
        <x:v>567</x:v>
      </x:c>
      <x:c r="AI58" s="55" t="n">
        <x:v>10318</x:v>
      </x:c>
      <x:c r="AJ58" s="55" t="n">
        <x:v>265</x:v>
      </x:c>
      <x:c r="AK58" s="55" t="n">
        <x:v>1089</x:v>
      </x:c>
      <x:c r="AL58" s="55" t="n">
        <x:v>1581</x:v>
      </x:c>
      <x:c r="AM58" s="55" t="n">
        <x:v>4748</x:v>
      </x:c>
      <x:c r="AN58" s="55" t="n">
        <x:v>3128</x:v>
      </x:c>
      <x:c r="AO58" s="55" t="n">
        <x:v>74</x:v>
      </x:c>
      <x:c r="AP58" s="55" t="n">
        <x:v>3125</x:v>
      </x:c>
      <x:c r="AQ58" s="55" t="n">
        <x:v>945</x:v>
      </x:c>
    </x:row>
    <x:row r="59">
      <x:c r="A59" s="54" t="str">
        <x:v>T0_TABLE_BLOCK</x:v>
      </x:c>
      <x:c r="B59" s="54" t="n">
        <x:v>53</x:v>
      </x:c>
      <x:c r="C59" s="54" t="str">
        <x:v>NYC-V2-R01</x:v>
      </x:c>
      <x:c r="D59" s="54" t="str">
        <x:v>V2</x:v>
      </x:c>
      <x:c r="E59" s="54" t="str">
        <x:v>ADMITTED</x:v>
      </x:c>
      <x:c r="F59" s="55" t="n">
        <x:v>32057</x:v>
      </x:c>
      <x:c r="G59" s="55" t="n">
        <x:v>7558</x:v>
      </x:c>
      <x:c r="H59" s="55" t="n">
        <x:v>3538</x:v>
      </x:c>
      <x:c r="I59" s="55" t="n">
        <x:v>1447</x:v>
      </x:c>
      <x:c r="J59" s="55" t="n">
        <x:v>369</x:v>
      </x:c>
      <x:c r="K59" s="55" t="n">
        <x:v>31457</x:v>
      </x:c>
      <x:c r="L59" s="55" t="n">
        <x:v>6261</x:v>
      </x:c>
      <x:c r="M59" s="55" t="n">
        <x:v>1576</x:v>
      </x:c>
      <x:c r="N59" s="55" t="n">
        <x:v>2870</x:v>
      </x:c>
      <x:c r="O59" s="55" t="n">
        <x:v>1815</x:v>
      </x:c>
      <x:c r="P59" s="55" t="n">
        <x:v>708</x:v>
      </x:c>
      <x:c r="Q59" s="55" t="n">
        <x:v>2352</x:v>
      </x:c>
      <x:c r="R59" s="55" t="n">
        <x:v>1814</x:v>
      </x:c>
      <x:c r="S59" s="55" t="n">
        <x:v>2713</x:v>
      </x:c>
      <x:c r="T59" s="55" t="n">
        <x:v>578</x:v>
      </x:c>
      <x:c r="U59" s="55" t="n">
        <x:v>1879</x:v>
      </x:c>
      <x:c r="V59" s="55" t="n">
        <x:v>9859</x:v>
      </x:c>
      <x:c r="W59" s="55" t="n">
        <x:v>6617</x:v>
      </x:c>
      <x:c r="X59" s="55" t="n">
        <x:v>3242</x:v>
      </x:c>
      <x:c r="Y59" s="55" t="n">
        <x:v>2750</x:v>
      </x:c>
      <x:c r="Z59" s="55" t="n">
        <x:v>3264</x:v>
      </x:c>
      <x:c r="AA59" s="55" t="n">
        <x:v>2840</x:v>
      </x:c>
      <x:c r="AB59" s="55" t="n">
        <x:v>1051</x:v>
      </x:c>
      <x:c r="AC59" s="55" t="n">
        <x:v>7689</x:v>
      </x:c>
      <x:c r="AD59" s="55" t="n">
        <x:v>3071</x:v>
      </x:c>
      <x:c r="AE59" s="55" t="n">
        <x:v>9945</x:v>
      </x:c>
      <x:c r="AF59" s="55" t="n">
        <x:v>9859</x:v>
      </x:c>
      <x:c r="AG59" s="55" t="n">
        <x:v>86</x:v>
      </x:c>
      <x:c r="AH59" s="55" t="n">
        <x:v>660</x:v>
      </x:c>
      <x:c r="AI59" s="55" t="n">
        <x:v>9199</x:v>
      </x:c>
      <x:c r="AJ59" s="55" t="n">
        <x:v>395</x:v>
      </x:c>
      <x:c r="AK59" s="55" t="n">
        <x:v>906</x:v>
      </x:c>
      <x:c r="AL59" s="55" t="n">
        <x:v>1254</x:v>
      </x:c>
      <x:c r="AM59" s="55" t="n">
        <x:v>4286</x:v>
      </x:c>
      <x:c r="AN59" s="55" t="n">
        <x:v>2976</x:v>
      </x:c>
      <x:c r="AO59" s="55" t="n">
        <x:v>42</x:v>
      </x:c>
      <x:c r="AP59" s="55" t="n">
        <x:v>2330</x:v>
      </x:c>
      <x:c r="AQ59" s="55" t="n">
        <x:v>956</x:v>
      </x:c>
    </x:row>
    <x:row r="60">
      <x:c r="A60" s="54" t="str">
        <x:v>T0_TABLE_BLOCK</x:v>
      </x:c>
      <x:c r="B60" s="54" t="n">
        <x:v>54</x:v>
      </x:c>
      <x:c r="C60" s="54" t="str">
        <x:v>NYC-V2-R01</x:v>
      </x:c>
      <x:c r="D60" s="54" t="str">
        <x:v>V2</x:v>
      </x:c>
      <x:c r="E60" s="54" t="str">
        <x:v>ADMITTED</x:v>
      </x:c>
      <x:c r="F60" s="55" t="n">
        <x:v>32801</x:v>
      </x:c>
      <x:c r="G60" s="55" t="n">
        <x:v>5612</x:v>
      </x:c>
      <x:c r="H60" s="55" t="n">
        <x:v>3707</x:v>
      </x:c>
      <x:c r="I60" s="55" t="n">
        <x:v>1288</x:v>
      </x:c>
      <x:c r="J60" s="55" t="n">
        <x:v>259</x:v>
      </x:c>
      <x:c r="K60" s="55" t="n">
        <x:v>32801</x:v>
      </x:c>
      <x:c r="L60" s="55" t="n">
        <x:v>7332</x:v>
      </x:c>
      <x:c r="M60" s="55" t="n">
        <x:v>2289</x:v>
      </x:c>
      <x:c r="N60" s="55" t="n">
        <x:v>3327</x:v>
      </x:c>
      <x:c r="O60" s="55" t="n">
        <x:v>1716</x:v>
      </x:c>
      <x:c r="P60" s="55" t="n">
        <x:v>939</x:v>
      </x:c>
      <x:c r="Q60" s="55" t="n">
        <x:v>1761</x:v>
      </x:c>
      <x:c r="R60" s="55" t="n">
        <x:v>1339</x:v>
      </x:c>
      <x:c r="S60" s="55" t="n">
        <x:v>2437</x:v>
      </x:c>
      <x:c r="T60" s="55" t="n">
        <x:v>1365</x:v>
      </x:c>
      <x:c r="U60" s="55" t="n">
        <x:v>1513</x:v>
      </x:c>
      <x:c r="V60" s="55" t="n">
        <x:v>9900</x:v>
      </x:c>
      <x:c r="W60" s="55" t="n">
        <x:v>6817</x:v>
      </x:c>
      <x:c r="X60" s="55" t="n">
        <x:v>3083</x:v>
      </x:c>
      <x:c r="Y60" s="55" t="n">
        <x:v>2814</x:v>
      </x:c>
      <x:c r="Z60" s="55" t="n">
        <x:v>3745</x:v>
      </x:c>
      <x:c r="AA60" s="55" t="n">
        <x:v>3707</x:v>
      </x:c>
      <x:c r="AB60" s="55" t="n">
        <x:v>1133</x:v>
      </x:c>
      <x:c r="AC60" s="55" t="n">
        <x:v>7947</x:v>
      </x:c>
      <x:c r="AD60" s="55" t="n">
        <x:v>2530</x:v>
      </x:c>
      <x:c r="AE60" s="55" t="n">
        <x:v>9934</x:v>
      </x:c>
      <x:c r="AF60" s="55" t="n">
        <x:v>9900</x:v>
      </x:c>
      <x:c r="AG60" s="55" t="n">
        <x:v>34</x:v>
      </x:c>
      <x:c r="AH60" s="55" t="n">
        <x:v>432</x:v>
      </x:c>
      <x:c r="AI60" s="55" t="n">
        <x:v>9468</x:v>
      </x:c>
      <x:c r="AJ60" s="55" t="n">
        <x:v>334</x:v>
      </x:c>
      <x:c r="AK60" s="55" t="n">
        <x:v>752</x:v>
      </x:c>
      <x:c r="AL60" s="55" t="n">
        <x:v>1364</x:v>
      </x:c>
      <x:c r="AM60" s="55" t="n">
        <x:v>4717</x:v>
      </x:c>
      <x:c r="AN60" s="55" t="n">
        <x:v>2733</x:v>
      </x:c>
      <x:c r="AO60" s="55" t="n">
        <x:v>0</x:v>
      </x:c>
      <x:c r="AP60" s="55" t="n">
        <x:v>2168</x:v>
      </x:c>
      <x:c r="AQ60" s="55" t="n">
        <x:v>946</x:v>
      </x:c>
    </x:row>
    <x:row r="61">
      <x:c r="A61" s="54" t="str">
        <x:v>T0_TABLE_BLOCK</x:v>
      </x:c>
      <x:c r="B61" s="54" t="n">
        <x:v>55</x:v>
      </x:c>
      <x:c r="C61" s="54" t="str">
        <x:v>NYC-V2-R01</x:v>
      </x:c>
      <x:c r="D61" s="54" t="str">
        <x:v>V2</x:v>
      </x:c>
      <x:c r="E61" s="54" t="str">
        <x:v>ADMITTED</x:v>
      </x:c>
      <x:c r="F61" s="55" t="n">
        <x:v>31748</x:v>
      </x:c>
      <x:c r="G61" s="55" t="n">
        <x:v>7936</x:v>
      </x:c>
      <x:c r="H61" s="55" t="n">
        <x:v>3162</x:v>
      </x:c>
      <x:c r="I61" s="55" t="n">
        <x:v>890</x:v>
      </x:c>
      <x:c r="J61" s="55" t="n">
        <x:v>284</x:v>
      </x:c>
      <x:c r="K61" s="55" t="n">
        <x:v>28793</x:v>
      </x:c>
      <x:c r="L61" s="55" t="n">
        <x:v>6153</x:v>
      </x:c>
      <x:c r="M61" s="55" t="n">
        <x:v>1773</x:v>
      </x:c>
      <x:c r="N61" s="55" t="n">
        <x:v>2556</x:v>
      </x:c>
      <x:c r="O61" s="55" t="n">
        <x:v>1824</x:v>
      </x:c>
      <x:c r="P61" s="55" t="n">
        <x:v>950</x:v>
      </x:c>
      <x:c r="Q61" s="55" t="n">
        <x:v>2132</x:v>
      </x:c>
      <x:c r="R61" s="55" t="n">
        <x:v>2068</x:v>
      </x:c>
      <x:c r="S61" s="55" t="n">
        <x:v>2487</x:v>
      </x:c>
      <x:c r="T61" s="55" t="n">
        <x:v>1328</x:v>
      </x:c>
      <x:c r="U61" s="55" t="n">
        <x:v>1808</x:v>
      </x:c>
      <x:c r="V61" s="55" t="n">
        <x:v>10000</x:v>
      </x:c>
      <x:c r="W61" s="55" t="n">
        <x:v>7269</x:v>
      </x:c>
      <x:c r="X61" s="55" t="n">
        <x:v>2731</x:v>
      </x:c>
      <x:c r="Y61" s="55" t="n">
        <x:v>2414</x:v>
      </x:c>
      <x:c r="Z61" s="55" t="n">
        <x:v>4103</x:v>
      </x:c>
      <x:c r="AA61" s="55" t="n">
        <x:v>3162</x:v>
      </x:c>
      <x:c r="AB61" s="55" t="n">
        <x:v>750</x:v>
      </x:c>
      <x:c r="AC61" s="55" t="n">
        <x:v>8233</x:v>
      </x:c>
      <x:c r="AD61" s="55" t="n">
        <x:v>3364</x:v>
      </x:c>
      <x:c r="AE61" s="55" t="n">
        <x:v>10034</x:v>
      </x:c>
      <x:c r="AF61" s="55" t="n">
        <x:v>10000</x:v>
      </x:c>
      <x:c r="AG61" s="55" t="n">
        <x:v>34</x:v>
      </x:c>
      <x:c r="AH61" s="55" t="n">
        <x:v>529</x:v>
      </x:c>
      <x:c r="AI61" s="55" t="n">
        <x:v>9471</x:v>
      </x:c>
      <x:c r="AJ61" s="55" t="n">
        <x:v>167</x:v>
      </x:c>
      <x:c r="AK61" s="55" t="n">
        <x:v>971</x:v>
      </x:c>
      <x:c r="AL61" s="55" t="n">
        <x:v>1760</x:v>
      </x:c>
      <x:c r="AM61" s="55" t="n">
        <x:v>4781</x:v>
      </x:c>
      <x:c r="AN61" s="55" t="n">
        <x:v>2301</x:v>
      </x:c>
      <x:c r="AO61" s="55" t="n">
        <x:v>20</x:v>
      </x:c>
      <x:c r="AP61" s="55" t="n">
        <x:v>2513</x:v>
      </x:c>
      <x:c r="AQ61" s="55" t="n">
        <x:v>1003</x:v>
      </x:c>
    </x:row>
    <x:row r="62">
      <x:c r="A62" s="54" t="str">
        <x:v>T0_TABLE_BLOCK</x:v>
      </x:c>
      <x:c r="B62" s="54" t="n">
        <x:v>56</x:v>
      </x:c>
      <x:c r="C62" s="54" t="str">
        <x:v>NYC-V2-R01</x:v>
      </x:c>
      <x:c r="D62" s="54" t="str">
        <x:v>V2</x:v>
      </x:c>
      <x:c r="E62" s="54" t="str">
        <x:v>ADMITTED</x:v>
      </x:c>
      <x:c r="F62" s="55" t="n">
        <x:v>31029</x:v>
      </x:c>
      <x:c r="G62" s="55" t="n">
        <x:v>7293</x:v>
      </x:c>
      <x:c r="H62" s="55" t="n">
        <x:v>3311</x:v>
      </x:c>
      <x:c r="I62" s="55" t="n">
        <x:v>1286</x:v>
      </x:c>
      <x:c r="J62" s="55" t="n">
        <x:v>190</x:v>
      </x:c>
      <x:c r="K62" s="55" t="n">
        <x:v>31029</x:v>
      </x:c>
      <x:c r="L62" s="55" t="n">
        <x:v>6733</x:v>
      </x:c>
      <x:c r="M62" s="55" t="n">
        <x:v>1775</x:v>
      </x:c>
      <x:c r="N62" s="55" t="n">
        <x:v>3294</x:v>
      </x:c>
      <x:c r="O62" s="55" t="n">
        <x:v>1664</x:v>
      </x:c>
      <x:c r="P62" s="55" t="n">
        <x:v>375</x:v>
      </x:c>
      <x:c r="Q62" s="55" t="n">
        <x:v>1628</x:v>
      </x:c>
      <x:c r="R62" s="55" t="n">
        <x:v>2341</x:v>
      </x:c>
      <x:c r="S62" s="55" t="n">
        <x:v>2442</x:v>
      </x:c>
      <x:c r="T62" s="55" t="n">
        <x:v>1456</x:v>
      </x:c>
      <x:c r="U62" s="55" t="n">
        <x:v>2202</x:v>
      </x:c>
      <x:c r="V62" s="55" t="n">
        <x:v>10415</x:v>
      </x:c>
      <x:c r="W62" s="55" t="n">
        <x:v>7018</x:v>
      </x:c>
      <x:c r="X62" s="55" t="n">
        <x:v>3397</x:v>
      </x:c>
      <x:c r="Y62" s="55" t="n">
        <x:v>2914</x:v>
      </x:c>
      <x:c r="Z62" s="55" t="n">
        <x:v>3376</x:v>
      </x:c>
      <x:c r="AA62" s="55" t="n">
        <x:v>2356</x:v>
      </x:c>
      <x:c r="AB62" s="55" t="n">
        <x:v>1073</x:v>
      </x:c>
      <x:c r="AC62" s="55" t="n">
        <x:v>8480</x:v>
      </x:c>
      <x:c r="AD62" s="55" t="n">
        <x:v>2989</x:v>
      </x:c>
      <x:c r="AE62" s="55" t="n">
        <x:v>10495</x:v>
      </x:c>
      <x:c r="AF62" s="55" t="n">
        <x:v>10415</x:v>
      </x:c>
      <x:c r="AG62" s="55" t="n">
        <x:v>80</x:v>
      </x:c>
      <x:c r="AH62" s="55" t="n">
        <x:v>345</x:v>
      </x:c>
      <x:c r="AI62" s="55" t="n">
        <x:v>10070</x:v>
      </x:c>
      <x:c r="AJ62" s="55" t="n">
        <x:v>277</x:v>
      </x:c>
      <x:c r="AK62" s="55" t="n">
        <x:v>1096</x:v>
      </x:c>
      <x:c r="AL62" s="55" t="n">
        <x:v>1269</x:v>
      </x:c>
      <x:c r="AM62" s="55" t="n">
        <x:v>5586</x:v>
      </x:c>
      <x:c r="AN62" s="55" t="n">
        <x:v>2175</x:v>
      </x:c>
      <x:c r="AO62" s="55" t="n">
        <x:v>12</x:v>
      </x:c>
      <x:c r="AP62" s="55" t="n">
        <x:v>2262</x:v>
      </x:c>
      <x:c r="AQ62" s="55" t="n">
        <x:v>987</x:v>
      </x:c>
    </x:row>
    <x:row r="63">
      <x:c r="A63" s="54" t="str">
        <x:v>T0_TABLE_BLOCK</x:v>
      </x:c>
      <x:c r="B63" s="54" t="n">
        <x:v>57</x:v>
      </x:c>
      <x:c r="C63" s="54" t="str">
        <x:v>NYC-V2-R01</x:v>
      </x:c>
      <x:c r="D63" s="54" t="str">
        <x:v>V2</x:v>
      </x:c>
      <x:c r="E63" s="54" t="str">
        <x:v>ADMITTED</x:v>
      </x:c>
      <x:c r="F63" s="55" t="n">
        <x:v>29181</x:v>
      </x:c>
      <x:c r="G63" s="55" t="n">
        <x:v>7070</x:v>
      </x:c>
      <x:c r="H63" s="55" t="n">
        <x:v>2772</x:v>
      </x:c>
      <x:c r="I63" s="55" t="n">
        <x:v>1182</x:v>
      </x:c>
      <x:c r="J63" s="55" t="n">
        <x:v>300</x:v>
      </x:c>
      <x:c r="K63" s="55" t="n">
        <x:v>29181</x:v>
      </x:c>
      <x:c r="L63" s="55" t="n">
        <x:v>6225</x:v>
      </x:c>
      <x:c r="M63" s="55" t="n">
        <x:v>1060</x:v>
      </x:c>
      <x:c r="N63" s="55" t="n">
        <x:v>3201</x:v>
      </x:c>
      <x:c r="O63" s="55" t="n">
        <x:v>1964</x:v>
      </x:c>
      <x:c r="P63" s="55" t="n">
        <x:v>532</x:v>
      </x:c>
      <x:c r="Q63" s="55" t="n">
        <x:v>2777</x:v>
      </x:c>
      <x:c r="R63" s="55" t="n">
        <x:v>2082</x:v>
      </x:c>
      <x:c r="S63" s="55" t="n">
        <x:v>1979</x:v>
      </x:c>
      <x:c r="T63" s="55" t="n">
        <x:v>1131</x:v>
      </x:c>
      <x:c r="U63" s="55" t="n">
        <x:v>1753</x:v>
      </x:c>
      <x:c r="V63" s="55" t="n">
        <x:v>11275</x:v>
      </x:c>
      <x:c r="W63" s="55" t="n">
        <x:v>8165</x:v>
      </x:c>
      <x:c r="X63" s="55" t="n">
        <x:v>3110</x:v>
      </x:c>
      <x:c r="Y63" s="55" t="n">
        <x:v>2852</x:v>
      </x:c>
      <x:c r="Z63" s="55" t="n">
        <x:v>3684</x:v>
      </x:c>
      <x:c r="AA63" s="55" t="n">
        <x:v>2317</x:v>
      </x:c>
      <x:c r="AB63" s="55" t="n">
        <x:v>840</x:v>
      </x:c>
      <x:c r="AC63" s="55" t="n">
        <x:v>8297</x:v>
      </x:c>
      <x:c r="AD63" s="55" t="n">
        <x:v>2789</x:v>
      </x:c>
      <x:c r="AE63" s="55" t="n">
        <x:v>11437</x:v>
      </x:c>
      <x:c r="AF63" s="55" t="n">
        <x:v>11275</x:v>
      </x:c>
      <x:c r="AG63" s="55" t="n">
        <x:v>162</x:v>
      </x:c>
      <x:c r="AH63" s="55" t="n">
        <x:v>444</x:v>
      </x:c>
      <x:c r="AI63" s="55" t="n">
        <x:v>10831</x:v>
      </x:c>
      <x:c r="AJ63" s="55" t="n">
        <x:v>193</x:v>
      </x:c>
      <x:c r="AK63" s="55" t="n">
        <x:v>722</x:v>
      </x:c>
      <x:c r="AL63" s="55" t="n">
        <x:v>1863</x:v>
      </x:c>
      <x:c r="AM63" s="55" t="n">
        <x:v>5343</x:v>
      </x:c>
      <x:c r="AN63" s="55" t="n">
        <x:v>3115</x:v>
      </x:c>
      <x:c r="AO63" s="55" t="n">
        <x:v>39</x:v>
      </x:c>
      <x:c r="AP63" s="55" t="n">
        <x:v>2850</x:v>
      </x:c>
      <x:c r="AQ63" s="55" t="n">
        <x:v>951</x:v>
      </x:c>
    </x:row>
    <x:row r="64">
      <x:c r="A64" s="54" t="str">
        <x:v>T0_TABLE_BLOCK</x:v>
      </x:c>
      <x:c r="B64" s="54" t="n">
        <x:v>58</x:v>
      </x:c>
      <x:c r="C64" s="54" t="str">
        <x:v>NYC-V2-R01</x:v>
      </x:c>
      <x:c r="D64" s="54" t="str">
        <x:v>V2</x:v>
      </x:c>
      <x:c r="E64" s="54" t="str">
        <x:v>ADMITTED</x:v>
      </x:c>
      <x:c r="F64" s="55" t="n">
        <x:v>30660</x:v>
      </x:c>
      <x:c r="G64" s="55" t="n">
        <x:v>7687</x:v>
      </x:c>
      <x:c r="H64" s="55" t="n">
        <x:v>3319</x:v>
      </x:c>
      <x:c r="I64" s="55" t="n">
        <x:v>1294</x:v>
      </x:c>
      <x:c r="J64" s="55" t="n">
        <x:v>237</x:v>
      </x:c>
      <x:c r="K64" s="55" t="n">
        <x:v>30283</x:v>
      </x:c>
      <x:c r="L64" s="55" t="n">
        <x:v>5767</x:v>
      </x:c>
      <x:c r="M64" s="55" t="n">
        <x:v>1118</x:v>
      </x:c>
      <x:c r="N64" s="55" t="n">
        <x:v>2843</x:v>
      </x:c>
      <x:c r="O64" s="55" t="n">
        <x:v>1806</x:v>
      </x:c>
      <x:c r="P64" s="55" t="n">
        <x:v>773</x:v>
      </x:c>
      <x:c r="Q64" s="55" t="n">
        <x:v>2683</x:v>
      </x:c>
      <x:c r="R64" s="55" t="n">
        <x:v>2118</x:v>
      </x:c>
      <x:c r="S64" s="55" t="n">
        <x:v>2077</x:v>
      </x:c>
      <x:c r="T64" s="55" t="n">
        <x:v>1043</x:v>
      </x:c>
      <x:c r="U64" s="55" t="n">
        <x:v>1835</x:v>
      </x:c>
      <x:c r="V64" s="55" t="n">
        <x:v>10598</x:v>
      </x:c>
      <x:c r="W64" s="55" t="n">
        <x:v>7296</x:v>
      </x:c>
      <x:c r="X64" s="55" t="n">
        <x:v>3302</x:v>
      </x:c>
      <x:c r="Y64" s="55" t="n">
        <x:v>2793</x:v>
      </x:c>
      <x:c r="Z64" s="55" t="n">
        <x:v>3434</x:v>
      </x:c>
      <x:c r="AA64" s="55" t="n">
        <x:v>2790</x:v>
      </x:c>
      <x:c r="AB64" s="55" t="n">
        <x:v>1065</x:v>
      </x:c>
      <x:c r="AC64" s="55" t="n">
        <x:v>8146</x:v>
      </x:c>
      <x:c r="AD64" s="55" t="n">
        <x:v>3079</x:v>
      </x:c>
      <x:c r="AE64" s="55" t="n">
        <x:v>10646</x:v>
      </x:c>
      <x:c r="AF64" s="55" t="n">
        <x:v>10598</x:v>
      </x:c>
      <x:c r="AG64" s="55" t="n">
        <x:v>48</x:v>
      </x:c>
      <x:c r="AH64" s="55" t="n">
        <x:v>331</x:v>
      </x:c>
      <x:c r="AI64" s="55" t="n">
        <x:v>10267</x:v>
      </x:c>
      <x:c r="AJ64" s="55" t="n">
        <x:v>244</x:v>
      </x:c>
      <x:c r="AK64" s="55" t="n">
        <x:v>1054</x:v>
      </x:c>
      <x:c r="AL64" s="55" t="n">
        <x:v>1508</x:v>
      </x:c>
      <x:c r="AM64" s="55" t="n">
        <x:v>5367</x:v>
      </x:c>
      <x:c r="AN64" s="55" t="n">
        <x:v>2347</x:v>
      </x:c>
      <x:c r="AO64" s="55" t="n">
        <x:v>78</x:v>
      </x:c>
      <x:c r="AP64" s="55" t="n">
        <x:v>2195</x:v>
      </x:c>
      <x:c r="AQ64" s="55" t="n">
        <x:v>946</x:v>
      </x:c>
    </x:row>
    <x:row r="65">
      <x:c r="A65" s="54" t="str">
        <x:v>T0_TABLE_BLOCK</x:v>
      </x:c>
      <x:c r="B65" s="54" t="n">
        <x:v>59</x:v>
      </x:c>
      <x:c r="C65" s="54" t="str">
        <x:v>NYC-V2-R01</x:v>
      </x:c>
      <x:c r="D65" s="54" t="str">
        <x:v>V2</x:v>
      </x:c>
      <x:c r="E65" s="54" t="str">
        <x:v>ADMITTED</x:v>
      </x:c>
      <x:c r="F65" s="55" t="n">
        <x:v>32712</x:v>
      </x:c>
      <x:c r="G65" s="55" t="n">
        <x:v>8724</x:v>
      </x:c>
      <x:c r="H65" s="55" t="n">
        <x:v>3358</x:v>
      </x:c>
      <x:c r="I65" s="55" t="n">
        <x:v>998</x:v>
      </x:c>
      <x:c r="J65" s="55" t="n">
        <x:v>266</x:v>
      </x:c>
      <x:c r="K65" s="55" t="n">
        <x:v>29350</x:v>
      </x:c>
      <x:c r="L65" s="55" t="n">
        <x:v>6443</x:v>
      </x:c>
      <x:c r="M65" s="55" t="n">
        <x:v>2721</x:v>
      </x:c>
      <x:c r="N65" s="55" t="n">
        <x:v>2203</x:v>
      </x:c>
      <x:c r="O65" s="55" t="n">
        <x:v>1519</x:v>
      </x:c>
      <x:c r="P65" s="55" t="n">
        <x:v>1187</x:v>
      </x:c>
      <x:c r="Q65" s="55" t="n">
        <x:v>2463</x:v>
      </x:c>
      <x:c r="R65" s="55" t="n">
        <x:v>2239</x:v>
      </x:c>
      <x:c r="S65" s="55" t="n">
        <x:v>3067</x:v>
      </x:c>
      <x:c r="T65" s="55" t="n">
        <x:v>1385</x:v>
      </x:c>
      <x:c r="U65" s="55" t="n">
        <x:v>1689</x:v>
      </x:c>
      <x:c r="V65" s="55" t="n">
        <x:v>10984</x:v>
      </x:c>
      <x:c r="W65" s="55" t="n">
        <x:v>7886</x:v>
      </x:c>
      <x:c r="X65" s="55" t="n">
        <x:v>3098</x:v>
      </x:c>
      <x:c r="Y65" s="55" t="n">
        <x:v>2558</x:v>
      </x:c>
      <x:c r="Z65" s="55" t="n">
        <x:v>3874</x:v>
      </x:c>
      <x:c r="AA65" s="55" t="n">
        <x:v>2975</x:v>
      </x:c>
      <x:c r="AB65" s="55" t="n">
        <x:v>962</x:v>
      </x:c>
      <x:c r="AC65" s="55" t="n">
        <x:v>7746</x:v>
      </x:c>
      <x:c r="AD65" s="55" t="n">
        <x:v>2615</x:v>
      </x:c>
      <x:c r="AE65" s="55" t="n">
        <x:v>11049</x:v>
      </x:c>
      <x:c r="AF65" s="55" t="n">
        <x:v>10984</x:v>
      </x:c>
      <x:c r="AG65" s="55" t="n">
        <x:v>65</x:v>
      </x:c>
      <x:c r="AH65" s="55" t="n">
        <x:v>395</x:v>
      </x:c>
      <x:c r="AI65" s="55" t="n">
        <x:v>10589</x:v>
      </x:c>
      <x:c r="AJ65" s="55" t="n">
        <x:v>291</x:v>
      </x:c>
      <x:c r="AK65" s="55" t="n">
        <x:v>1085</x:v>
      </x:c>
      <x:c r="AL65" s="55" t="n">
        <x:v>1890</x:v>
      </x:c>
      <x:c r="AM65" s="55" t="n">
        <x:v>5196</x:v>
      </x:c>
      <x:c r="AN65" s="55" t="n">
        <x:v>2522</x:v>
      </x:c>
      <x:c r="AO65" s="55" t="n">
        <x:v>0</x:v>
      </x:c>
      <x:c r="AP65" s="55" t="n">
        <x:v>2189</x:v>
      </x:c>
      <x:c r="AQ65" s="55" t="n">
        <x:v>956</x:v>
      </x:c>
    </x:row>
    <x:row r="66">
      <x:c r="A66" s="54" t="str">
        <x:v>T0_TABLE_BLOCK</x:v>
      </x:c>
      <x:c r="B66" s="54" t="n">
        <x:v>60</x:v>
      </x:c>
      <x:c r="C66" s="54" t="str">
        <x:v>NYC-V2-R01</x:v>
      </x:c>
      <x:c r="D66" s="54" t="str">
        <x:v>V2</x:v>
      </x:c>
      <x:c r="E66" s="54" t="str">
        <x:v>ADMITTED</x:v>
      </x:c>
      <x:c r="F66" s="55" t="n">
        <x:v>31982</x:v>
      </x:c>
      <x:c r="G66" s="55" t="n">
        <x:v>7960</x:v>
      </x:c>
      <x:c r="H66" s="55" t="n">
        <x:v>3496</x:v>
      </x:c>
      <x:c r="I66" s="55" t="n">
        <x:v>1886</x:v>
      </x:c>
      <x:c r="J66" s="55" t="n">
        <x:v>171</x:v>
      </x:c>
      <x:c r="K66" s="55" t="n">
        <x:v>30640</x:v>
      </x:c>
      <x:c r="L66" s="55" t="n">
        <x:v>4899</x:v>
      </x:c>
      <x:c r="M66" s="55" t="n">
        <x:v>518</x:v>
      </x:c>
      <x:c r="N66" s="55" t="n">
        <x:v>2511</x:v>
      </x:c>
      <x:c r="O66" s="55" t="n">
        <x:v>1870</x:v>
      </x:c>
      <x:c r="P66" s="55" t="n">
        <x:v>1165</x:v>
      </x:c>
      <x:c r="Q66" s="55" t="n">
        <x:v>1838</x:v>
      </x:c>
      <x:c r="R66" s="55" t="n">
        <x:v>2267</x:v>
      </x:c>
      <x:c r="S66" s="55" t="n">
        <x:v>2790</x:v>
      </x:c>
      <x:c r="T66" s="55" t="n">
        <x:v>1243</x:v>
      </x:c>
      <x:c r="U66" s="55" t="n">
        <x:v>1977</x:v>
      </x:c>
      <x:c r="V66" s="55" t="n">
        <x:v>11077</x:v>
      </x:c>
      <x:c r="W66" s="55" t="n">
        <x:v>7727</x:v>
      </x:c>
      <x:c r="X66" s="55" t="n">
        <x:v>3350</x:v>
      </x:c>
      <x:c r="Y66" s="55" t="n">
        <x:v>2909</x:v>
      </x:c>
      <x:c r="Z66" s="55" t="n">
        <x:v>3294</x:v>
      </x:c>
      <x:c r="AA66" s="55" t="n">
        <x:v>3290</x:v>
      </x:c>
      <x:c r="AB66" s="55" t="n">
        <x:v>1000</x:v>
      </x:c>
      <x:c r="AC66" s="55" t="n">
        <x:v>7813</x:v>
      </x:c>
      <x:c r="AD66" s="55" t="n">
        <x:v>2821</x:v>
      </x:c>
      <x:c r="AE66" s="55" t="n">
        <x:v>11223</x:v>
      </x:c>
      <x:c r="AF66" s="55" t="n">
        <x:v>11077</x:v>
      </x:c>
      <x:c r="AG66" s="55" t="n">
        <x:v>146</x:v>
      </x:c>
      <x:c r="AH66" s="55" t="n">
        <x:v>393</x:v>
      </x:c>
      <x:c r="AI66" s="55" t="n">
        <x:v>10684</x:v>
      </x:c>
      <x:c r="AJ66" s="55" t="n">
        <x:v>406</x:v>
      </x:c>
      <x:c r="AK66" s="55" t="n">
        <x:v>681</x:v>
      </x:c>
      <x:c r="AL66" s="55" t="n">
        <x:v>1221</x:v>
      </x:c>
      <x:c r="AM66" s="55" t="n">
        <x:v>5773</x:v>
      </x:c>
      <x:c r="AN66" s="55" t="n">
        <x:v>2988</x:v>
      </x:c>
      <x:c r="AO66" s="55" t="n">
        <x:v>8</x:v>
      </x:c>
      <x:c r="AP66" s="55" t="n">
        <x:v>2215</x:v>
      </x:c>
      <x:c r="AQ66" s="55" t="n">
        <x:v>914</x:v>
      </x:c>
    </x:row>
    <x:row r="67">
      <x:c r="A67" s="54" t="str">
        <x:v>T0_TABLE_BLOCK</x:v>
      </x:c>
      <x:c r="B67" s="54" t="n">
        <x:v>61</x:v>
      </x:c>
      <x:c r="C67" s="54" t="str">
        <x:v>NYC-V2-R01</x:v>
      </x:c>
      <x:c r="D67" s="54" t="str">
        <x:v>V2</x:v>
      </x:c>
      <x:c r="E67" s="54" t="str">
        <x:v>ADMITTED</x:v>
      </x:c>
      <x:c r="F67" s="55" t="n">
        <x:v>32529</x:v>
      </x:c>
      <x:c r="G67" s="55" t="n">
        <x:v>5543</x:v>
      </x:c>
      <x:c r="H67" s="55" t="n">
        <x:v>3520</x:v>
      </x:c>
      <x:c r="I67" s="55" t="n">
        <x:v>1434</x:v>
      </x:c>
      <x:c r="J67" s="55" t="n">
        <x:v>293</x:v>
      </x:c>
      <x:c r="K67" s="55" t="n">
        <x:v>32529</x:v>
      </x:c>
      <x:c r="L67" s="55" t="n">
        <x:v>6236</x:v>
      </x:c>
      <x:c r="M67" s="55" t="n">
        <x:v>1525</x:v>
      </x:c>
      <x:c r="N67" s="55" t="n">
        <x:v>3126</x:v>
      </x:c>
      <x:c r="O67" s="55" t="n">
        <x:v>1585</x:v>
      </x:c>
      <x:c r="P67" s="55" t="n">
        <x:v>498</x:v>
      </x:c>
      <x:c r="Q67" s="55" t="n">
        <x:v>2264</x:v>
      </x:c>
      <x:c r="R67" s="55" t="n">
        <x:v>1716</x:v>
      </x:c>
      <x:c r="S67" s="55" t="n">
        <x:v>2837</x:v>
      </x:c>
      <x:c r="T67" s="55" t="n">
        <x:v>1143</x:v>
      </x:c>
      <x:c r="U67" s="55" t="n">
        <x:v>2182</x:v>
      </x:c>
      <x:c r="V67" s="55" t="n">
        <x:v>10450</x:v>
      </x:c>
      <x:c r="W67" s="55" t="n">
        <x:v>7460</x:v>
      </x:c>
      <x:c r="X67" s="55" t="n">
        <x:v>2990</x:v>
      </x:c>
      <x:c r="Y67" s="55" t="n">
        <x:v>2749</x:v>
      </x:c>
      <x:c r="Z67" s="55" t="n">
        <x:v>3421</x:v>
      </x:c>
      <x:c r="AA67" s="55" t="n">
        <x:v>3520</x:v>
      </x:c>
      <x:c r="AB67" s="55" t="n">
        <x:v>1155</x:v>
      </x:c>
      <x:c r="AC67" s="55" t="n">
        <x:v>9369</x:v>
      </x:c>
      <x:c r="AD67" s="55" t="n">
        <x:v>2151</x:v>
      </x:c>
      <x:c r="AE67" s="55" t="n">
        <x:v>10538</x:v>
      </x:c>
      <x:c r="AF67" s="55" t="n">
        <x:v>10450</x:v>
      </x:c>
      <x:c r="AG67" s="55" t="n">
        <x:v>88</x:v>
      </x:c>
      <x:c r="AH67" s="55" t="n">
        <x:v>379</x:v>
      </x:c>
      <x:c r="AI67" s="55" t="n">
        <x:v>10071</x:v>
      </x:c>
      <x:c r="AJ67" s="55" t="n">
        <x:v>444</x:v>
      </x:c>
      <x:c r="AK67" s="55" t="n">
        <x:v>673</x:v>
      </x:c>
      <x:c r="AL67" s="55" t="n">
        <x:v>1480</x:v>
      </x:c>
      <x:c r="AM67" s="55" t="n">
        <x:v>5156</x:v>
      </x:c>
      <x:c r="AN67" s="55" t="n">
        <x:v>2649</x:v>
      </x:c>
      <x:c r="AO67" s="55" t="n">
        <x:v>48</x:v>
      </x:c>
      <x:c r="AP67" s="55" t="n">
        <x:v>1860</x:v>
      </x:c>
      <x:c r="AQ67" s="55" t="n">
        <x:v>951</x:v>
      </x:c>
    </x:row>
    <x:row r="68">
      <x:c r="A68" s="54" t="str">
        <x:v>T0_TABLE_BLOCK</x:v>
      </x:c>
      <x:c r="B68" s="54" t="n">
        <x:v>62</x:v>
      </x:c>
      <x:c r="C68" s="54" t="str">
        <x:v>NYC-V2-R01</x:v>
      </x:c>
      <x:c r="D68" s="54" t="str">
        <x:v>V2</x:v>
      </x:c>
      <x:c r="E68" s="54" t="str">
        <x:v>ADMITTED</x:v>
      </x:c>
      <x:c r="F68" s="55" t="n">
        <x:v>30939</x:v>
      </x:c>
      <x:c r="G68" s="55" t="n">
        <x:v>6623</x:v>
      </x:c>
      <x:c r="H68" s="55" t="n">
        <x:v>3606</x:v>
      </x:c>
      <x:c r="I68" s="55" t="n">
        <x:v>1539</x:v>
      </x:c>
      <x:c r="J68" s="55" t="n">
        <x:v>232</x:v>
      </x:c>
      <x:c r="K68" s="55" t="n">
        <x:v>30939</x:v>
      </x:c>
      <x:c r="L68" s="55" t="n">
        <x:v>6196</x:v>
      </x:c>
      <x:c r="M68" s="55" t="n">
        <x:v>1798</x:v>
      </x:c>
      <x:c r="N68" s="55" t="n">
        <x:v>2681</x:v>
      </x:c>
      <x:c r="O68" s="55" t="n">
        <x:v>1717</x:v>
      </x:c>
      <x:c r="P68" s="55" t="n">
        <x:v>1075</x:v>
      </x:c>
      <x:c r="Q68" s="55" t="n">
        <x:v>2282</x:v>
      </x:c>
      <x:c r="R68" s="55" t="n">
        <x:v>1580</x:v>
      </x:c>
      <x:c r="S68" s="55" t="n">
        <x:v>3891</x:v>
      </x:c>
      <x:c r="T68" s="55" t="n">
        <x:v>711</x:v>
      </x:c>
      <x:c r="U68" s="55" t="n">
        <x:v>1431</x:v>
      </x:c>
      <x:c r="V68" s="55" t="n">
        <x:v>10666</x:v>
      </x:c>
      <x:c r="W68" s="55" t="n">
        <x:v>7902</x:v>
      </x:c>
      <x:c r="X68" s="55" t="n">
        <x:v>2764</x:v>
      </x:c>
      <x:c r="Y68" s="55" t="n">
        <x:v>2375</x:v>
      </x:c>
      <x:c r="Z68" s="55" t="n">
        <x:v>3637</x:v>
      </x:c>
      <x:c r="AA68" s="55" t="n">
        <x:v>3014</x:v>
      </x:c>
      <x:c r="AB68" s="55" t="n">
        <x:v>856</x:v>
      </x:c>
      <x:c r="AC68" s="55" t="n">
        <x:v>7989</x:v>
      </x:c>
      <x:c r="AD68" s="55" t="n">
        <x:v>2922</x:v>
      </x:c>
      <x:c r="AE68" s="55" t="n">
        <x:v>10789</x:v>
      </x:c>
      <x:c r="AF68" s="55" t="n">
        <x:v>10666</x:v>
      </x:c>
      <x:c r="AG68" s="55" t="n">
        <x:v>123</x:v>
      </x:c>
      <x:c r="AH68" s="55" t="n">
        <x:v>429</x:v>
      </x:c>
      <x:c r="AI68" s="55" t="n">
        <x:v>10237</x:v>
      </x:c>
      <x:c r="AJ68" s="55" t="n">
        <x:v>174</x:v>
      </x:c>
      <x:c r="AK68" s="55" t="n">
        <x:v>822</x:v>
      </x:c>
      <x:c r="AL68" s="55" t="n">
        <x:v>2042</x:v>
      </x:c>
      <x:c r="AM68" s="55" t="n">
        <x:v>4588</x:v>
      </x:c>
      <x:c r="AN68" s="55" t="n">
        <x:v>2968</x:v>
      </x:c>
      <x:c r="AO68" s="55" t="n">
        <x:v>72</x:v>
      </x:c>
      <x:c r="AP68" s="55" t="n">
        <x:v>2390</x:v>
      </x:c>
      <x:c r="AQ68" s="55" t="n">
        <x:v>974</x:v>
      </x:c>
    </x:row>
    <x:row r="69">
      <x:c r="A69" s="54" t="str">
        <x:v>T0_TABLE_BLOCK</x:v>
      </x:c>
      <x:c r="B69" s="54" t="n">
        <x:v>63</x:v>
      </x:c>
      <x:c r="C69" s="54" t="str">
        <x:v>NYC-V2-R01</x:v>
      </x:c>
      <x:c r="D69" s="54" t="str">
        <x:v>V2</x:v>
      </x:c>
      <x:c r="E69" s="54" t="str">
        <x:v>ADMITTED</x:v>
      </x:c>
      <x:c r="F69" s="55" t="n">
        <x:v>31253</x:v>
      </x:c>
      <x:c r="G69" s="55" t="n">
        <x:v>7893</x:v>
      </x:c>
      <x:c r="H69" s="55" t="n">
        <x:v>3387</x:v>
      </x:c>
      <x:c r="I69" s="55" t="n">
        <x:v>1213</x:v>
      </x:c>
      <x:c r="J69" s="55" t="n">
        <x:v>30</x:v>
      </x:c>
      <x:c r="K69" s="55" t="n">
        <x:v>29750</x:v>
      </x:c>
      <x:c r="L69" s="55" t="n">
        <x:v>5299</x:v>
      </x:c>
      <x:c r="M69" s="55" t="n">
        <x:v>1392</x:v>
      </x:c>
      <x:c r="N69" s="55" t="n">
        <x:v>2270</x:v>
      </x:c>
      <x:c r="O69" s="55" t="n">
        <x:v>1637</x:v>
      </x:c>
      <x:c r="P69" s="55" t="n">
        <x:v>277</x:v>
      </x:c>
      <x:c r="Q69" s="55" t="n">
        <x:v>2637</x:v>
      </x:c>
      <x:c r="R69" s="55" t="n">
        <x:v>1785</x:v>
      </x:c>
      <x:c r="S69" s="55" t="n">
        <x:v>2807</x:v>
      </x:c>
      <x:c r="T69" s="55" t="n">
        <x:v>1286</x:v>
      </x:c>
      <x:c r="U69" s="55" t="n">
        <x:v>2221</x:v>
      </x:c>
      <x:c r="V69" s="55" t="n">
        <x:v>10717</x:v>
      </x:c>
      <x:c r="W69" s="55" t="n">
        <x:v>7821</x:v>
      </x:c>
      <x:c r="X69" s="55" t="n">
        <x:v>2896</x:v>
      </x:c>
      <x:c r="Y69" s="55" t="n">
        <x:v>2519</x:v>
      </x:c>
      <x:c r="Z69" s="55" t="n">
        <x:v>3423</x:v>
      </x:c>
      <x:c r="AA69" s="55" t="n">
        <x:v>2834</x:v>
      </x:c>
      <x:c r="AB69" s="55" t="n">
        <x:v>963</x:v>
      </x:c>
      <x:c r="AC69" s="55" t="n">
        <x:v>8501</x:v>
      </x:c>
      <x:c r="AD69" s="55" t="n">
        <x:v>3541</x:v>
      </x:c>
      <x:c r="AE69" s="55" t="n">
        <x:v>10802</x:v>
      </x:c>
      <x:c r="AF69" s="55" t="n">
        <x:v>10717</x:v>
      </x:c>
      <x:c r="AG69" s="55" t="n">
        <x:v>85</x:v>
      </x:c>
      <x:c r="AH69" s="55" t="n">
        <x:v>635</x:v>
      </x:c>
      <x:c r="AI69" s="55" t="n">
        <x:v>10082</x:v>
      </x:c>
      <x:c r="AJ69" s="55" t="n">
        <x:v>214</x:v>
      </x:c>
      <x:c r="AK69" s="55" t="n">
        <x:v>901</x:v>
      </x:c>
      <x:c r="AL69" s="55" t="n">
        <x:v>1486</x:v>
      </x:c>
      <x:c r="AM69" s="55" t="n">
        <x:v>4722</x:v>
      </x:c>
      <x:c r="AN69" s="55" t="n">
        <x:v>3394</x:v>
      </x:c>
      <x:c r="AO69" s="55" t="n">
        <x:v>0</x:v>
      </x:c>
      <x:c r="AP69" s="55" t="n">
        <x:v>2097</x:v>
      </x:c>
      <x:c r="AQ69" s="55" t="n">
        <x:v>909</x:v>
      </x:c>
    </x:row>
    <x:row r="70">
      <x:c r="A70" s="54" t="str">
        <x:v>T0_TABLE_BLOCK</x:v>
      </x:c>
      <x:c r="B70" s="54" t="n">
        <x:v>64</x:v>
      </x:c>
      <x:c r="C70" s="54" t="str">
        <x:v>NYC-V2-R01</x:v>
      </x:c>
      <x:c r="D70" s="54" t="str">
        <x:v>V2</x:v>
      </x:c>
      <x:c r="E70" s="54" t="str">
        <x:v>ADMITTED</x:v>
      </x:c>
      <x:c r="F70" s="55" t="n">
        <x:v>32557</x:v>
      </x:c>
      <x:c r="G70" s="55" t="n">
        <x:v>8327</x:v>
      </x:c>
      <x:c r="H70" s="55" t="n">
        <x:v>3340</x:v>
      </x:c>
      <x:c r="I70" s="55" t="n">
        <x:v>1519</x:v>
      </x:c>
      <x:c r="J70" s="55" t="n">
        <x:v>296</x:v>
      </x:c>
      <x:c r="K70" s="55" t="n">
        <x:v>29092</x:v>
      </x:c>
      <x:c r="L70" s="55" t="n">
        <x:v>5507</x:v>
      </x:c>
      <x:c r="M70" s="55" t="n">
        <x:v>1528</x:v>
      </x:c>
      <x:c r="N70" s="55" t="n">
        <x:v>2034</x:v>
      </x:c>
      <x:c r="O70" s="55" t="n">
        <x:v>1945</x:v>
      </x:c>
      <x:c r="P70" s="55" t="n">
        <x:v>559</x:v>
      </x:c>
      <x:c r="Q70" s="55" t="n">
        <x:v>2012</x:v>
      </x:c>
      <x:c r="R70" s="55" t="n">
        <x:v>2286</x:v>
      </x:c>
      <x:c r="S70" s="55" t="n">
        <x:v>3371</x:v>
      </x:c>
      <x:c r="T70" s="55" t="n">
        <x:v>1037</x:v>
      </x:c>
      <x:c r="U70" s="55" t="n">
        <x:v>1608</x:v>
      </x:c>
      <x:c r="V70" s="55" t="n">
        <x:v>11074</x:v>
      </x:c>
      <x:c r="W70" s="55" t="n">
        <x:v>7489</x:v>
      </x:c>
      <x:c r="X70" s="55" t="n">
        <x:v>3585</x:v>
      </x:c>
      <x:c r="Y70" s="55" t="n">
        <x:v>3145</x:v>
      </x:c>
      <x:c r="Z70" s="55" t="n">
        <x:v>3552</x:v>
      </x:c>
      <x:c r="AA70" s="55" t="n">
        <x:v>3114</x:v>
      </x:c>
      <x:c r="AB70" s="55" t="n">
        <x:v>1017</x:v>
      </x:c>
      <x:c r="AC70" s="55" t="n">
        <x:v>7970</x:v>
      </x:c>
      <x:c r="AD70" s="55" t="n">
        <x:v>3496</x:v>
      </x:c>
      <x:c r="AE70" s="55" t="n">
        <x:v>11104</x:v>
      </x:c>
      <x:c r="AF70" s="55" t="n">
        <x:v>11074</x:v>
      </x:c>
      <x:c r="AG70" s="55" t="n">
        <x:v>30</x:v>
      </x:c>
      <x:c r="AH70" s="55" t="n">
        <x:v>775</x:v>
      </x:c>
      <x:c r="AI70" s="55" t="n">
        <x:v>10299</x:v>
      </x:c>
      <x:c r="AJ70" s="55" t="n">
        <x:v>240</x:v>
      </x:c>
      <x:c r="AK70" s="55" t="n">
        <x:v>902</x:v>
      </x:c>
      <x:c r="AL70" s="55" t="n">
        <x:v>1900</x:v>
      </x:c>
      <x:c r="AM70" s="55" t="n">
        <x:v>5243</x:v>
      </x:c>
      <x:c r="AN70" s="55" t="n">
        <x:v>2789</x:v>
      </x:c>
      <x:c r="AO70" s="55" t="n">
        <x:v>0</x:v>
      </x:c>
      <x:c r="AP70" s="55" t="n">
        <x:v>2295</x:v>
      </x:c>
      <x:c r="AQ70" s="55" t="n">
        <x:v>943</x:v>
      </x:c>
    </x:row>
    <x:row r="71">
      <x:c r="A71" s="54" t="str">
        <x:v>T0_TABLE_BLOCK</x:v>
      </x:c>
      <x:c r="B71" s="54" t="n">
        <x:v>65</x:v>
      </x:c>
      <x:c r="C71" s="54" t="str">
        <x:v>NYC-V2-R01</x:v>
      </x:c>
      <x:c r="D71" s="54" t="str">
        <x:v>V2</x:v>
      </x:c>
      <x:c r="E71" s="54" t="str">
        <x:v>ADMITTED</x:v>
      </x:c>
      <x:c r="F71" s="55" t="n">
        <x:v>31525</x:v>
      </x:c>
      <x:c r="G71" s="55" t="n">
        <x:v>8250</x:v>
      </x:c>
      <x:c r="H71" s="55" t="n">
        <x:v>3105</x:v>
      </x:c>
      <x:c r="I71" s="55" t="n">
        <x:v>1274</x:v>
      </x:c>
      <x:c r="J71" s="55" t="n">
        <x:v>159</x:v>
      </x:c>
      <x:c r="K71" s="55" t="n">
        <x:v>31525</x:v>
      </x:c>
      <x:c r="L71" s="55" t="n">
        <x:v>6350</x:v>
      </x:c>
      <x:c r="M71" s="55" t="n">
        <x:v>1972</x:v>
      </x:c>
      <x:c r="N71" s="55" t="n">
        <x:v>2803</x:v>
      </x:c>
      <x:c r="O71" s="55" t="n">
        <x:v>1575</x:v>
      </x:c>
      <x:c r="P71" s="55" t="n">
        <x:v>451</x:v>
      </x:c>
      <x:c r="Q71" s="55" t="n">
        <x:v>1932</x:v>
      </x:c>
      <x:c r="R71" s="55" t="n">
        <x:v>1871</x:v>
      </x:c>
      <x:c r="S71" s="55" t="n">
        <x:v>3111</x:v>
      </x:c>
      <x:c r="T71" s="55" t="n">
        <x:v>1001</x:v>
      </x:c>
      <x:c r="U71" s="55" t="n">
        <x:v>1927</x:v>
      </x:c>
      <x:c r="V71" s="55" t="n">
        <x:v>10321</x:v>
      </x:c>
      <x:c r="W71" s="55" t="n">
        <x:v>7462</x:v>
      </x:c>
      <x:c r="X71" s="55" t="n">
        <x:v>2859</x:v>
      </x:c>
      <x:c r="Y71" s="55" t="n">
        <x:v>2610</x:v>
      </x:c>
      <x:c r="Z71" s="55" t="n">
        <x:v>3950</x:v>
      </x:c>
      <x:c r="AA71" s="55" t="n">
        <x:v>3105</x:v>
      </x:c>
      <x:c r="AB71" s="55" t="n">
        <x:v>1517</x:v>
      </x:c>
      <x:c r="AC71" s="55" t="n">
        <x:v>7789</x:v>
      </x:c>
      <x:c r="AD71" s="55" t="n">
        <x:v>2678</x:v>
      </x:c>
      <x:c r="AE71" s="55" t="n">
        <x:v>10355</x:v>
      </x:c>
      <x:c r="AF71" s="55" t="n">
        <x:v>10321</x:v>
      </x:c>
      <x:c r="AG71" s="55" t="n">
        <x:v>34</x:v>
      </x:c>
      <x:c r="AH71" s="55" t="n">
        <x:v>373</x:v>
      </x:c>
      <x:c r="AI71" s="55" t="n">
        <x:v>9948</x:v>
      </x:c>
      <x:c r="AJ71" s="55" t="n">
        <x:v>316</x:v>
      </x:c>
      <x:c r="AK71" s="55" t="n">
        <x:v>870</x:v>
      </x:c>
      <x:c r="AL71" s="55" t="n">
        <x:v>2353</x:v>
      </x:c>
      <x:c r="AM71" s="55" t="n">
        <x:v>5081</x:v>
      </x:c>
      <x:c r="AN71" s="55" t="n">
        <x:v>1701</x:v>
      </x:c>
      <x:c r="AO71" s="55" t="n">
        <x:v>0</x:v>
      </x:c>
      <x:c r="AP71" s="55" t="n">
        <x:v>2434</x:v>
      </x:c>
      <x:c r="AQ71" s="55" t="n">
        <x:v>977</x:v>
      </x:c>
    </x:row>
    <x:row r="72">
      <x:c r="A72" s="54" t="str">
        <x:v>T0_TABLE_BLOCK</x:v>
      </x:c>
      <x:c r="B72" s="54" t="n">
        <x:v>66</x:v>
      </x:c>
      <x:c r="C72" s="54" t="str">
        <x:v>NYC-V2-R01</x:v>
      </x:c>
      <x:c r="D72" s="54" t="str">
        <x:v>V2</x:v>
      </x:c>
      <x:c r="E72" s="54" t="str">
        <x:v>ADMITTED</x:v>
      </x:c>
      <x:c r="F72" s="55" t="n">
        <x:v>29415</x:v>
      </x:c>
      <x:c r="G72" s="55" t="n">
        <x:v>7801</x:v>
      </x:c>
      <x:c r="H72" s="55" t="n">
        <x:v>3256</x:v>
      </x:c>
      <x:c r="I72" s="55" t="n">
        <x:v>1191</x:v>
      </x:c>
      <x:c r="J72" s="55" t="n">
        <x:v>178</x:v>
      </x:c>
      <x:c r="K72" s="55" t="n">
        <x:v>28746</x:v>
      </x:c>
      <x:c r="L72" s="55" t="n">
        <x:v>4223</x:v>
      </x:c>
      <x:c r="M72" s="55" t="n">
        <x:v>70</x:v>
      </x:c>
      <x:c r="N72" s="55" t="n">
        <x:v>2199</x:v>
      </x:c>
      <x:c r="O72" s="55" t="n">
        <x:v>1954</x:v>
      </x:c>
      <x:c r="P72" s="55" t="n">
        <x:v>871</x:v>
      </x:c>
      <x:c r="Q72" s="55" t="n">
        <x:v>2077</x:v>
      </x:c>
      <x:c r="R72" s="55" t="n">
        <x:v>1761</x:v>
      </x:c>
      <x:c r="S72" s="55" t="n">
        <x:v>3031</x:v>
      </x:c>
      <x:c r="T72" s="55" t="n">
        <x:v>1357</x:v>
      </x:c>
      <x:c r="U72" s="55" t="n">
        <x:v>2424</x:v>
      </x:c>
      <x:c r="V72" s="55" t="n">
        <x:v>10432</x:v>
      </x:c>
      <x:c r="W72" s="55" t="n">
        <x:v>7691</x:v>
      </x:c>
      <x:c r="X72" s="55" t="n">
        <x:v>2741</x:v>
      </x:c>
      <x:c r="Y72" s="55" t="n">
        <x:v>2584</x:v>
      </x:c>
      <x:c r="Z72" s="55" t="n">
        <x:v>3538</x:v>
      </x:c>
      <x:c r="AA72" s="55" t="n">
        <x:v>3256</x:v>
      </x:c>
      <x:c r="AB72" s="55" t="n">
        <x:v>979</x:v>
      </x:c>
      <x:c r="AC72" s="55" t="n">
        <x:v>8032</x:v>
      </x:c>
      <x:c r="AD72" s="55" t="n">
        <x:v>2748</x:v>
      </x:c>
      <x:c r="AE72" s="55" t="n">
        <x:v>10544</x:v>
      </x:c>
      <x:c r="AF72" s="55" t="n">
        <x:v>10432</x:v>
      </x:c>
      <x:c r="AG72" s="55" t="n">
        <x:v>112</x:v>
      </x:c>
      <x:c r="AH72" s="55" t="n">
        <x:v>435</x:v>
      </x:c>
      <x:c r="AI72" s="55" t="n">
        <x:v>9997</x:v>
      </x:c>
      <x:c r="AJ72" s="55" t="n">
        <x:v>354</x:v>
      </x:c>
      <x:c r="AK72" s="55" t="n">
        <x:v>981</x:v>
      </x:c>
      <x:c r="AL72" s="55" t="n">
        <x:v>1285</x:v>
      </x:c>
      <x:c r="AM72" s="55" t="n">
        <x:v>4561</x:v>
      </x:c>
      <x:c r="AN72" s="55" t="n">
        <x:v>3161</x:v>
      </x:c>
      <x:c r="AO72" s="55" t="n">
        <x:v>90</x:v>
      </x:c>
      <x:c r="AP72" s="55" t="n">
        <x:v>2348</x:v>
      </x:c>
      <x:c r="AQ72" s="55" t="n">
        <x:v>953</x:v>
      </x:c>
    </x:row>
    <x:row r="73">
      <x:c r="A73" s="54" t="str">
        <x:v>T0_TABLE_BLOCK</x:v>
      </x:c>
      <x:c r="B73" s="54" t="n">
        <x:v>67</x:v>
      </x:c>
      <x:c r="C73" s="54" t="str">
        <x:v>NYC-V2-R01</x:v>
      </x:c>
      <x:c r="D73" s="54" t="str">
        <x:v>V2</x:v>
      </x:c>
      <x:c r="E73" s="54" t="str">
        <x:v>ADMITTED</x:v>
      </x:c>
      <x:c r="F73" s="55" t="n">
        <x:v>32618</x:v>
      </x:c>
      <x:c r="G73" s="55" t="n">
        <x:v>6922</x:v>
      </x:c>
      <x:c r="H73" s="55" t="n">
        <x:v>3378</x:v>
      </x:c>
      <x:c r="I73" s="55" t="n">
        <x:v>1041</x:v>
      </x:c>
      <x:c r="J73" s="55" t="n">
        <x:v>197</x:v>
      </x:c>
      <x:c r="K73" s="55" t="n">
        <x:v>31054</x:v>
      </x:c>
      <x:c r="L73" s="55" t="n">
        <x:v>4755</x:v>
      </x:c>
      <x:c r="M73" s="55" t="n">
        <x:v>914</x:v>
      </x:c>
      <x:c r="N73" s="55" t="n">
        <x:v>2295</x:v>
      </x:c>
      <x:c r="O73" s="55" t="n">
        <x:v>1546</x:v>
      </x:c>
      <x:c r="P73" s="55" t="n">
        <x:v>912</x:v>
      </x:c>
      <x:c r="Q73" s="55" t="n">
        <x:v>3991</x:v>
      </x:c>
      <x:c r="R73" s="55" t="n">
        <x:v>2207</x:v>
      </x:c>
      <x:c r="S73" s="55" t="n">
        <x:v>2536</x:v>
      </x:c>
      <x:c r="T73" s="55" t="n">
        <x:v>1496</x:v>
      </x:c>
      <x:c r="U73" s="55" t="n">
        <x:v>1484</x:v>
      </x:c>
      <x:c r="V73" s="55" t="n">
        <x:v>10334</x:v>
      </x:c>
      <x:c r="W73" s="55" t="n">
        <x:v>7204</x:v>
      </x:c>
      <x:c r="X73" s="55" t="n">
        <x:v>3130</x:v>
      </x:c>
      <x:c r="Y73" s="55" t="n">
        <x:v>2805</x:v>
      </x:c>
      <x:c r="Z73" s="55" t="n">
        <x:v>4017</x:v>
      </x:c>
      <x:c r="AA73" s="55" t="n">
        <x:v>3378</x:v>
      </x:c>
      <x:c r="AB73" s="55" t="n">
        <x:v>1333</x:v>
      </x:c>
      <x:c r="AC73" s="55" t="n">
        <x:v>8179</x:v>
      </x:c>
      <x:c r="AD73" s="55" t="n">
        <x:v>2336</x:v>
      </x:c>
      <x:c r="AE73" s="55" t="n">
        <x:v>10472</x:v>
      </x:c>
      <x:c r="AF73" s="55" t="n">
        <x:v>10334</x:v>
      </x:c>
      <x:c r="AG73" s="55" t="n">
        <x:v>138</x:v>
      </x:c>
      <x:c r="AH73" s="55" t="n">
        <x:v>557</x:v>
      </x:c>
      <x:c r="AI73" s="55" t="n">
        <x:v>9777</x:v>
      </x:c>
      <x:c r="AJ73" s="55" t="n">
        <x:v>367</x:v>
      </x:c>
      <x:c r="AK73" s="55" t="n">
        <x:v>1122</x:v>
      </x:c>
      <x:c r="AL73" s="55" t="n">
        <x:v>1441</x:v>
      </x:c>
      <x:c r="AM73" s="55" t="n">
        <x:v>5046</x:v>
      </x:c>
      <x:c r="AN73" s="55" t="n">
        <x:v>2358</x:v>
      </x:c>
      <x:c r="AO73" s="55" t="n">
        <x:v>0</x:v>
      </x:c>
      <x:c r="AP73" s="55" t="n">
        <x:v>1889</x:v>
      </x:c>
      <x:c r="AQ73" s="55" t="n">
        <x:v>990</x:v>
      </x:c>
    </x:row>
    <x:row r="74">
      <x:c r="A74" s="54" t="str">
        <x:v>T0_TABLE_BLOCK</x:v>
      </x:c>
      <x:c r="B74" s="54" t="n">
        <x:v>68</x:v>
      </x:c>
      <x:c r="C74" s="54" t="str">
        <x:v>NYC-V2-R01</x:v>
      </x:c>
      <x:c r="D74" s="54" t="str">
        <x:v>V2</x:v>
      </x:c>
      <x:c r="E74" s="54" t="str">
        <x:v>ADMITTED</x:v>
      </x:c>
      <x:c r="F74" s="55" t="n">
        <x:v>29331</x:v>
      </x:c>
      <x:c r="G74" s="55" t="n">
        <x:v>6845</x:v>
      </x:c>
      <x:c r="H74" s="55" t="n">
        <x:v>3219</x:v>
      </x:c>
      <x:c r="I74" s="55" t="n">
        <x:v>1395</x:v>
      </x:c>
      <x:c r="J74" s="55" t="n">
        <x:v>244</x:v>
      </x:c>
      <x:c r="K74" s="55" t="n">
        <x:v>28685</x:v>
      </x:c>
      <x:c r="L74" s="55" t="n">
        <x:v>5328</x:v>
      </x:c>
      <x:c r="M74" s="55" t="n">
        <x:v>759</x:v>
      </x:c>
      <x:c r="N74" s="55" t="n">
        <x:v>3015</x:v>
      </x:c>
      <x:c r="O74" s="55" t="n">
        <x:v>1554</x:v>
      </x:c>
      <x:c r="P74" s="55" t="n">
        <x:v>1091</x:v>
      </x:c>
      <x:c r="Q74" s="55" t="n">
        <x:v>2557</x:v>
      </x:c>
      <x:c r="R74" s="55" t="n">
        <x:v>1140</x:v>
      </x:c>
      <x:c r="S74" s="55" t="n">
        <x:v>2630</x:v>
      </x:c>
      <x:c r="T74" s="55" t="n">
        <x:v>1310</x:v>
      </x:c>
      <x:c r="U74" s="55" t="n">
        <x:v>1906</x:v>
      </x:c>
      <x:c r="V74" s="55" t="n">
        <x:v>10451</x:v>
      </x:c>
      <x:c r="W74" s="55" t="n">
        <x:v>7954</x:v>
      </x:c>
      <x:c r="X74" s="55" t="n">
        <x:v>2497</x:v>
      </x:c>
      <x:c r="Y74" s="55" t="n">
        <x:v>2178</x:v>
      </x:c>
      <x:c r="Z74" s="55" t="n">
        <x:v>3147</x:v>
      </x:c>
      <x:c r="AA74" s="55" t="n">
        <x:v>3092</x:v>
      </x:c>
      <x:c r="AB74" s="55" t="n">
        <x:v>894</x:v>
      </x:c>
      <x:c r="AC74" s="55" t="n">
        <x:v>8264</x:v>
      </x:c>
      <x:c r="AD74" s="55" t="n">
        <x:v>3710</x:v>
      </x:c>
      <x:c r="AE74" s="55" t="n">
        <x:v>10635</x:v>
      </x:c>
      <x:c r="AF74" s="55" t="n">
        <x:v>10451</x:v>
      </x:c>
      <x:c r="AG74" s="55" t="n">
        <x:v>184</x:v>
      </x:c>
      <x:c r="AH74" s="55" t="n">
        <x:v>539</x:v>
      </x:c>
      <x:c r="AI74" s="55" t="n">
        <x:v>9912</x:v>
      </x:c>
      <x:c r="AJ74" s="55" t="n">
        <x:v>393</x:v>
      </x:c>
      <x:c r="AK74" s="55" t="n">
        <x:v>899</x:v>
      </x:c>
      <x:c r="AL74" s="55" t="n">
        <x:v>1635</x:v>
      </x:c>
      <x:c r="AM74" s="55" t="n">
        <x:v>4768</x:v>
      </x:c>
      <x:c r="AN74" s="55" t="n">
        <x:v>2756</x:v>
      </x:c>
      <x:c r="AO74" s="55" t="n">
        <x:v>0</x:v>
      </x:c>
      <x:c r="AP74" s="55" t="n">
        <x:v>2481</x:v>
      </x:c>
      <x:c r="AQ74" s="55" t="n">
        <x:v>970</x:v>
      </x:c>
    </x:row>
    <x:row r="75">
      <x:c r="A75" s="54" t="str">
        <x:v>T0_TABLE_BLOCK</x:v>
      </x:c>
      <x:c r="B75" s="54" t="n">
        <x:v>69</x:v>
      </x:c>
      <x:c r="C75" s="54" t="str">
        <x:v>NYC-V2-R01</x:v>
      </x:c>
      <x:c r="D75" s="54" t="str">
        <x:v>V2</x:v>
      </x:c>
      <x:c r="E75" s="54" t="str">
        <x:v>ADMITTED</x:v>
      </x:c>
      <x:c r="F75" s="55" t="n">
        <x:v>34904</x:v>
      </x:c>
      <x:c r="G75" s="55" t="n">
        <x:v>8493</x:v>
      </x:c>
      <x:c r="H75" s="55" t="n">
        <x:v>3282</x:v>
      </x:c>
      <x:c r="I75" s="55" t="n">
        <x:v>978</x:v>
      </x:c>
      <x:c r="J75" s="55" t="n">
        <x:v>188</x:v>
      </x:c>
      <x:c r="K75" s="55" t="n">
        <x:v>34904</x:v>
      </x:c>
      <x:c r="L75" s="55" t="n">
        <x:v>6966</x:v>
      </x:c>
      <x:c r="M75" s="55" t="n">
        <x:v>1467</x:v>
      </x:c>
      <x:c r="N75" s="55" t="n">
        <x:v>3136</x:v>
      </x:c>
      <x:c r="O75" s="55" t="n">
        <x:v>2363</x:v>
      </x:c>
      <x:c r="P75" s="55" t="n">
        <x:v>1128</x:v>
      </x:c>
      <x:c r="Q75" s="55" t="n">
        <x:v>1547</x:v>
      </x:c>
      <x:c r="R75" s="55" t="n">
        <x:v>1648</x:v>
      </x:c>
      <x:c r="S75" s="55" t="n">
        <x:v>3035</x:v>
      </x:c>
      <x:c r="T75" s="55" t="n">
        <x:v>1535</x:v>
      </x:c>
      <x:c r="U75" s="55" t="n">
        <x:v>1894</x:v>
      </x:c>
      <x:c r="V75" s="55" t="n">
        <x:v>10541</x:v>
      </x:c>
      <x:c r="W75" s="55" t="n">
        <x:v>7994</x:v>
      </x:c>
      <x:c r="X75" s="55" t="n">
        <x:v>2547</x:v>
      </x:c>
      <x:c r="Y75" s="55" t="n">
        <x:v>2054</x:v>
      </x:c>
      <x:c r="Z75" s="55" t="n">
        <x:v>3541</x:v>
      </x:c>
      <x:c r="AA75" s="55" t="n">
        <x:v>2551</x:v>
      </x:c>
      <x:c r="AB75" s="55" t="n">
        <x:v>1015</x:v>
      </x:c>
      <x:c r="AC75" s="55" t="n">
        <x:v>7730</x:v>
      </x:c>
      <x:c r="AD75" s="55" t="n">
        <x:v>2831</x:v>
      </x:c>
      <x:c r="AE75" s="55" t="n">
        <x:v>10584</x:v>
      </x:c>
      <x:c r="AF75" s="55" t="n">
        <x:v>10541</x:v>
      </x:c>
      <x:c r="AG75" s="55" t="n">
        <x:v>43</x:v>
      </x:c>
      <x:c r="AH75" s="55" t="n">
        <x:v>495</x:v>
      </x:c>
      <x:c r="AI75" s="55" t="n">
        <x:v>10046</x:v>
      </x:c>
      <x:c r="AJ75" s="55" t="n">
        <x:v>230</x:v>
      </x:c>
      <x:c r="AK75" s="55" t="n">
        <x:v>959</x:v>
      </x:c>
      <x:c r="AL75" s="55" t="n">
        <x:v>1639</x:v>
      </x:c>
      <x:c r="AM75" s="55" t="n">
        <x:v>5380</x:v>
      </x:c>
      <x:c r="AN75" s="55" t="n">
        <x:v>2333</x:v>
      </x:c>
      <x:c r="AO75" s="55" t="n">
        <x:v>0</x:v>
      </x:c>
      <x:c r="AP75" s="55" t="n">
        <x:v>2026</x:v>
      </x:c>
      <x:c r="AQ75" s="55" t="n">
        <x:v>928</x:v>
      </x:c>
    </x:row>
    <x:row r="76">
      <x:c r="A76" s="54" t="str">
        <x:v>T0_TABLE_BLOCK</x:v>
      </x:c>
      <x:c r="B76" s="54" t="n">
        <x:v>70</x:v>
      </x:c>
      <x:c r="C76" s="54" t="str">
        <x:v>NYC-V2-R01</x:v>
      </x:c>
      <x:c r="D76" s="54" t="str">
        <x:v>V2</x:v>
      </x:c>
      <x:c r="E76" s="54" t="str">
        <x:v>ADMITTED</x:v>
      </x:c>
      <x:c r="F76" s="55" t="n">
        <x:v>31560</x:v>
      </x:c>
      <x:c r="G76" s="55" t="n">
        <x:v>8081</x:v>
      </x:c>
      <x:c r="H76" s="55" t="n">
        <x:v>2874</x:v>
      </x:c>
      <x:c r="I76" s="55" t="n">
        <x:v>1134</x:v>
      </x:c>
      <x:c r="J76" s="55" t="n">
        <x:v>217</x:v>
      </x:c>
      <x:c r="K76" s="55" t="n">
        <x:v>30390</x:v>
      </x:c>
      <x:c r="L76" s="55" t="n">
        <x:v>4560</x:v>
      </x:c>
      <x:c r="M76" s="55" t="n">
        <x:v>973</x:v>
      </x:c>
      <x:c r="N76" s="55" t="n">
        <x:v>1903</x:v>
      </x:c>
      <x:c r="O76" s="55" t="n">
        <x:v>1684</x:v>
      </x:c>
      <x:c r="P76" s="55" t="n">
        <x:v>638</x:v>
      </x:c>
      <x:c r="Q76" s="55" t="n">
        <x:v>1383</x:v>
      </x:c>
      <x:c r="R76" s="55" t="n">
        <x:v>1379</x:v>
      </x:c>
      <x:c r="S76" s="55" t="n">
        <x:v>3139</x:v>
      </x:c>
      <x:c r="T76" s="55" t="n">
        <x:v>1006</x:v>
      </x:c>
      <x:c r="U76" s="55" t="n">
        <x:v>1971</x:v>
      </x:c>
      <x:c r="V76" s="55" t="n">
        <x:v>10415</x:v>
      </x:c>
      <x:c r="W76" s="55" t="n">
        <x:v>7431</x:v>
      </x:c>
      <x:c r="X76" s="55" t="n">
        <x:v>2984</x:v>
      </x:c>
      <x:c r="Y76" s="55" t="n">
        <x:v>2681</x:v>
      </x:c>
      <x:c r="Z76" s="55" t="n">
        <x:v>3535</x:v>
      </x:c>
      <x:c r="AA76" s="55" t="n">
        <x:v>2668</x:v>
      </x:c>
      <x:c r="AB76" s="55" t="n">
        <x:v>819</x:v>
      </x:c>
      <x:c r="AC76" s="55" t="n">
        <x:v>8786</x:v>
      </x:c>
      <x:c r="AD76" s="55" t="n">
        <x:v>2983</x:v>
      </x:c>
      <x:c r="AE76" s="55" t="n">
        <x:v>10617</x:v>
      </x:c>
      <x:c r="AF76" s="55" t="n">
        <x:v>10415</x:v>
      </x:c>
      <x:c r="AG76" s="55" t="n">
        <x:v>202</x:v>
      </x:c>
      <x:c r="AH76" s="55" t="n">
        <x:v>453</x:v>
      </x:c>
      <x:c r="AI76" s="55" t="n">
        <x:v>9962</x:v>
      </x:c>
      <x:c r="AJ76" s="55" t="n">
        <x:v>305</x:v>
      </x:c>
      <x:c r="AK76" s="55" t="n">
        <x:v>1112</x:v>
      </x:c>
      <x:c r="AL76" s="55" t="n">
        <x:v>1400</x:v>
      </x:c>
      <x:c r="AM76" s="55" t="n">
        <x:v>4695</x:v>
      </x:c>
      <x:c r="AN76" s="55" t="n">
        <x:v>2882</x:v>
      </x:c>
      <x:c r="AO76" s="55" t="n">
        <x:v>21</x:v>
      </x:c>
      <x:c r="AP76" s="55" t="n">
        <x:v>2923</x:v>
      </x:c>
      <x:c r="AQ76" s="55" t="n">
        <x:v>975</x:v>
      </x:c>
    </x:row>
    <x:row r="77">
      <x:c r="A77" s="54" t="str">
        <x:v>T0_TABLE_BLOCK</x:v>
      </x:c>
      <x:c r="B77" s="54" t="n">
        <x:v>71</x:v>
      </x:c>
      <x:c r="C77" s="54" t="str">
        <x:v>NYC-V2-R01</x:v>
      </x:c>
      <x:c r="D77" s="54" t="str">
        <x:v>V2</x:v>
      </x:c>
      <x:c r="E77" s="54" t="str">
        <x:v>ADMITTED</x:v>
      </x:c>
      <x:c r="F77" s="55" t="n">
        <x:v>30380</x:v>
      </x:c>
      <x:c r="G77" s="55" t="n">
        <x:v>7694</x:v>
      </x:c>
      <x:c r="H77" s="55" t="n">
        <x:v>3562</x:v>
      </x:c>
      <x:c r="I77" s="55" t="n">
        <x:v>1544</x:v>
      </x:c>
      <x:c r="J77" s="55" t="n">
        <x:v>303</x:v>
      </x:c>
      <x:c r="K77" s="55" t="n">
        <x:v>30019</x:v>
      </x:c>
      <x:c r="L77" s="55" t="n">
        <x:v>5540</x:v>
      </x:c>
      <x:c r="M77" s="55" t="n">
        <x:v>1262</x:v>
      </x:c>
      <x:c r="N77" s="55" t="n">
        <x:v>2489</x:v>
      </x:c>
      <x:c r="O77" s="55" t="n">
        <x:v>1789</x:v>
      </x:c>
      <x:c r="P77" s="55" t="n">
        <x:v>852</x:v>
      </x:c>
      <x:c r="Q77" s="55" t="n">
        <x:v>1943</x:v>
      </x:c>
      <x:c r="R77" s="55" t="n">
        <x:v>2310</x:v>
      </x:c>
      <x:c r="S77" s="55" t="n">
        <x:v>3050</x:v>
      </x:c>
      <x:c r="T77" s="55" t="n">
        <x:v>1228</x:v>
      </x:c>
      <x:c r="U77" s="55" t="n">
        <x:v>2251</x:v>
      </x:c>
      <x:c r="V77" s="55" t="n">
        <x:v>10567</x:v>
      </x:c>
      <x:c r="W77" s="55" t="n">
        <x:v>7296</x:v>
      </x:c>
      <x:c r="X77" s="55" t="n">
        <x:v>3271</x:v>
      </x:c>
      <x:c r="Y77" s="55" t="n">
        <x:v>2753</x:v>
      </x:c>
      <x:c r="Z77" s="55" t="n">
        <x:v>3788</x:v>
      </x:c>
      <x:c r="AA77" s="55" t="n">
        <x:v>3039</x:v>
      </x:c>
      <x:c r="AB77" s="55" t="n">
        <x:v>883</x:v>
      </x:c>
      <x:c r="AC77" s="55" t="n">
        <x:v>7767</x:v>
      </x:c>
      <x:c r="AD77" s="55" t="n">
        <x:v>3397</x:v>
      </x:c>
      <x:c r="AE77" s="55" t="n">
        <x:v>10622</x:v>
      </x:c>
      <x:c r="AF77" s="55" t="n">
        <x:v>10567</x:v>
      </x:c>
      <x:c r="AG77" s="55" t="n">
        <x:v>55</x:v>
      </x:c>
      <x:c r="AH77" s="55" t="n">
        <x:v>181</x:v>
      </x:c>
      <x:c r="AI77" s="55" t="n">
        <x:v>10386</x:v>
      </x:c>
      <x:c r="AJ77" s="55" t="n">
        <x:v>373</x:v>
      </x:c>
      <x:c r="AK77" s="55" t="n">
        <x:v>967</x:v>
      </x:c>
      <x:c r="AL77" s="55" t="n">
        <x:v>1642</x:v>
      </x:c>
      <x:c r="AM77" s="55" t="n">
        <x:v>5305</x:v>
      </x:c>
      <x:c r="AN77" s="55" t="n">
        <x:v>2280</x:v>
      </x:c>
      <x:c r="AO77" s="55" t="n">
        <x:v>0</x:v>
      </x:c>
      <x:c r="AP77" s="55" t="n">
        <x:v>2591</x:v>
      </x:c>
      <x:c r="AQ77" s="55" t="n">
        <x:v>1005</x:v>
      </x:c>
    </x:row>
    <x:row r="78">
      <x:c r="A78" s="54" t="str">
        <x:v>T0_TABLE_BLOCK</x:v>
      </x:c>
      <x:c r="B78" s="54" t="n">
        <x:v>72</x:v>
      </x:c>
      <x:c r="C78" s="54" t="str">
        <x:v>NYC-V2-R01</x:v>
      </x:c>
      <x:c r="D78" s="54" t="str">
        <x:v>V2</x:v>
      </x:c>
      <x:c r="E78" s="54" t="str">
        <x:v>ADMITTED</x:v>
      </x:c>
      <x:c r="F78" s="55" t="n">
        <x:v>30482</x:v>
      </x:c>
      <x:c r="G78" s="55" t="n">
        <x:v>7912</x:v>
      </x:c>
      <x:c r="H78" s="55" t="n">
        <x:v>3300</x:v>
      </x:c>
      <x:c r="I78" s="55" t="n">
        <x:v>1200</x:v>
      </x:c>
      <x:c r="J78" s="55" t="n">
        <x:v>135</x:v>
      </x:c>
      <x:c r="K78" s="55" t="n">
        <x:v>28689</x:v>
      </x:c>
      <x:c r="L78" s="55" t="n">
        <x:v>4242</x:v>
      </x:c>
      <x:c r="M78" s="55" t="n">
        <x:v>0</x:v>
      </x:c>
      <x:c r="N78" s="55" t="n">
        <x:v>2193</x:v>
      </x:c>
      <x:c r="O78" s="55" t="n">
        <x:v>2049</x:v>
      </x:c>
      <x:c r="P78" s="55" t="n">
        <x:v>861</x:v>
      </x:c>
      <x:c r="Q78" s="55" t="n">
        <x:v>3460</x:v>
      </x:c>
      <x:c r="R78" s="55" t="n">
        <x:v>2361</x:v>
      </x:c>
      <x:c r="S78" s="55" t="n">
        <x:v>2670</x:v>
      </x:c>
      <x:c r="T78" s="55" t="n">
        <x:v>1144</x:v>
      </x:c>
      <x:c r="U78" s="55" t="n">
        <x:v>2191</x:v>
      </x:c>
      <x:c r="V78" s="55" t="n">
        <x:v>10135</x:v>
      </x:c>
      <x:c r="W78" s="55" t="n">
        <x:v>7573</x:v>
      </x:c>
      <x:c r="X78" s="55" t="n">
        <x:v>2562</x:v>
      </x:c>
      <x:c r="Y78" s="55" t="n">
        <x:v>2453</x:v>
      </x:c>
      <x:c r="Z78" s="55" t="n">
        <x:v>3777</x:v>
      </x:c>
      <x:c r="AA78" s="55" t="n">
        <x:v>2960</x:v>
      </x:c>
      <x:c r="AB78" s="55" t="n">
        <x:v>843</x:v>
      </x:c>
      <x:c r="AC78" s="55" t="n">
        <x:v>7843</x:v>
      </x:c>
      <x:c r="AD78" s="55" t="n">
        <x:v>2834</x:v>
      </x:c>
      <x:c r="AE78" s="55" t="n">
        <x:v>10249</x:v>
      </x:c>
      <x:c r="AF78" s="55" t="n">
        <x:v>10135</x:v>
      </x:c>
      <x:c r="AG78" s="55" t="n">
        <x:v>114</x:v>
      </x:c>
      <x:c r="AH78" s="55" t="n">
        <x:v>265</x:v>
      </x:c>
      <x:c r="AI78" s="55" t="n">
        <x:v>9870</x:v>
      </x:c>
      <x:c r="AJ78" s="55" t="n">
        <x:v>465</x:v>
      </x:c>
      <x:c r="AK78" s="55" t="n">
        <x:v>908</x:v>
      </x:c>
      <x:c r="AL78" s="55" t="n">
        <x:v>1227</x:v>
      </x:c>
      <x:c r="AM78" s="55" t="n">
        <x:v>4802</x:v>
      </x:c>
      <x:c r="AN78" s="55" t="n">
        <x:v>2682</x:v>
      </x:c>
      <x:c r="AO78" s="55" t="n">
        <x:v>51</x:v>
      </x:c>
      <x:c r="AP78" s="55" t="n">
        <x:v>2221</x:v>
      </x:c>
      <x:c r="AQ78" s="55" t="n">
        <x:v>936</x:v>
      </x:c>
    </x:row>
    <x:row r="79">
      <x:c r="A79" s="54" t="str">
        <x:v>T0_TABLE_BLOCK</x:v>
      </x:c>
      <x:c r="B79" s="54" t="n">
        <x:v>73</x:v>
      </x:c>
      <x:c r="C79" s="54" t="str">
        <x:v>NYC-V2-R01</x:v>
      </x:c>
      <x:c r="D79" s="54" t="str">
        <x:v>V2</x:v>
      </x:c>
      <x:c r="E79" s="54" t="str">
        <x:v>ADMITTED</x:v>
      </x:c>
      <x:c r="F79" s="55" t="n">
        <x:v>28634</x:v>
      </x:c>
      <x:c r="G79" s="55" t="n">
        <x:v>6344</x:v>
      </x:c>
      <x:c r="H79" s="55" t="n">
        <x:v>3248</x:v>
      </x:c>
      <x:c r="I79" s="55" t="n">
        <x:v>1251</x:v>
      </x:c>
      <x:c r="J79" s="55" t="n">
        <x:v>103</x:v>
      </x:c>
      <x:c r="K79" s="55" t="n">
        <x:v>28634</x:v>
      </x:c>
      <x:c r="L79" s="55" t="n">
        <x:v>4752</x:v>
      </x:c>
      <x:c r="M79" s="55" t="n">
        <x:v>299</x:v>
      </x:c>
      <x:c r="N79" s="55" t="n">
        <x:v>2577</x:v>
      </x:c>
      <x:c r="O79" s="55" t="n">
        <x:v>1876</x:v>
      </x:c>
      <x:c r="P79" s="55" t="n">
        <x:v>954</x:v>
      </x:c>
      <x:c r="Q79" s="55" t="n">
        <x:v>2887</x:v>
      </x:c>
      <x:c r="R79" s="55" t="n">
        <x:v>1976</x:v>
      </x:c>
      <x:c r="S79" s="55" t="n">
        <x:v>2970</x:v>
      </x:c>
      <x:c r="T79" s="55" t="n">
        <x:v>947</x:v>
      </x:c>
      <x:c r="U79" s="55" t="n">
        <x:v>1951</x:v>
      </x:c>
      <x:c r="V79" s="55" t="n">
        <x:v>10408</x:v>
      </x:c>
      <x:c r="W79" s="55" t="n">
        <x:v>7292</x:v>
      </x:c>
      <x:c r="X79" s="55" t="n">
        <x:v>3116</x:v>
      </x:c>
      <x:c r="Y79" s="55" t="n">
        <x:v>2664</x:v>
      </x:c>
      <x:c r="Z79" s="55" t="n">
        <x:v>3530</x:v>
      </x:c>
      <x:c r="AA79" s="55" t="n">
        <x:v>2840</x:v>
      </x:c>
      <x:c r="AB79" s="55" t="n">
        <x:v>782</x:v>
      </x:c>
      <x:c r="AC79" s="55" t="n">
        <x:v>8251</x:v>
      </x:c>
      <x:c r="AD79" s="55" t="n">
        <x:v>2998</x:v>
      </x:c>
      <x:c r="AE79" s="55" t="n">
        <x:v>10478</x:v>
      </x:c>
      <x:c r="AF79" s="55" t="n">
        <x:v>10408</x:v>
      </x:c>
      <x:c r="AG79" s="55" t="n">
        <x:v>70</x:v>
      </x:c>
      <x:c r="AH79" s="55" t="n">
        <x:v>601</x:v>
      </x:c>
      <x:c r="AI79" s="55" t="n">
        <x:v>9807</x:v>
      </x:c>
      <x:c r="AJ79" s="55" t="n">
        <x:v>322</x:v>
      </x:c>
      <x:c r="AK79" s="55" t="n">
        <x:v>934</x:v>
      </x:c>
      <x:c r="AL79" s="55" t="n">
        <x:v>1494</x:v>
      </x:c>
      <x:c r="AM79" s="55" t="n">
        <x:v>4563</x:v>
      </x:c>
      <x:c r="AN79" s="55" t="n">
        <x:v>3057</x:v>
      </x:c>
      <x:c r="AO79" s="55" t="n">
        <x:v>38</x:v>
      </x:c>
      <x:c r="AP79" s="55" t="n">
        <x:v>2755</x:v>
      </x:c>
      <x:c r="AQ79" s="55" t="n">
        <x:v>912</x:v>
      </x:c>
    </x:row>
    <x:row r="80">
      <x:c r="A80" s="54" t="str">
        <x:v>T0_TABLE_BLOCK</x:v>
      </x:c>
      <x:c r="B80" s="54" t="n">
        <x:v>74</x:v>
      </x:c>
      <x:c r="C80" s="54" t="str">
        <x:v>NYC-V2-R01</x:v>
      </x:c>
      <x:c r="D80" s="54" t="str">
        <x:v>V2</x:v>
      </x:c>
      <x:c r="E80" s="54" t="str">
        <x:v>ADMITTED</x:v>
      </x:c>
      <x:c r="F80" s="55" t="n">
        <x:v>31275</x:v>
      </x:c>
      <x:c r="G80" s="55" t="n">
        <x:v>9194</x:v>
      </x:c>
      <x:c r="H80" s="55" t="n">
        <x:v>3176</x:v>
      </x:c>
      <x:c r="I80" s="55" t="n">
        <x:v>932</x:v>
      </x:c>
      <x:c r="J80" s="55" t="n">
        <x:v>37</x:v>
      </x:c>
      <x:c r="K80" s="55" t="n">
        <x:v>31275</x:v>
      </x:c>
      <x:c r="L80" s="55" t="n">
        <x:v>5067</x:v>
      </x:c>
      <x:c r="M80" s="55" t="n">
        <x:v>1155</x:v>
      </x:c>
      <x:c r="N80" s="55" t="n">
        <x:v>2601</x:v>
      </x:c>
      <x:c r="O80" s="55" t="n">
        <x:v>1311</x:v>
      </x:c>
      <x:c r="P80" s="55" t="n">
        <x:v>792</x:v>
      </x:c>
      <x:c r="Q80" s="55" t="n">
        <x:v>2890</x:v>
      </x:c>
      <x:c r="R80" s="55" t="n">
        <x:v>1963</x:v>
      </x:c>
      <x:c r="S80" s="55" t="n">
        <x:v>3477</x:v>
      </x:c>
      <x:c r="T80" s="55" t="n">
        <x:v>1401</x:v>
      </x:c>
      <x:c r="U80" s="55" t="n">
        <x:v>1142</x:v>
      </x:c>
      <x:c r="V80" s="55" t="n">
        <x:v>10600</x:v>
      </x:c>
      <x:c r="W80" s="55" t="n">
        <x:v>7231</x:v>
      </x:c>
      <x:c r="X80" s="55" t="n">
        <x:v>3369</x:v>
      </x:c>
      <x:c r="Y80" s="55" t="n">
        <x:v>2789</x:v>
      </x:c>
      <x:c r="Z80" s="55" t="n">
        <x:v>3709</x:v>
      </x:c>
      <x:c r="AA80" s="55" t="n">
        <x:v>3176</x:v>
      </x:c>
      <x:c r="AB80" s="55" t="n">
        <x:v>1189</x:v>
      </x:c>
      <x:c r="AC80" s="55" t="n">
        <x:v>8192</x:v>
      </x:c>
      <x:c r="AD80" s="55" t="n">
        <x:v>2479</x:v>
      </x:c>
      <x:c r="AE80" s="55" t="n">
        <x:v>10669</x:v>
      </x:c>
      <x:c r="AF80" s="55" t="n">
        <x:v>10600</x:v>
      </x:c>
      <x:c r="AG80" s="55" t="n">
        <x:v>69</x:v>
      </x:c>
      <x:c r="AH80" s="55" t="n">
        <x:v>243</x:v>
      </x:c>
      <x:c r="AI80" s="55" t="n">
        <x:v>10357</x:v>
      </x:c>
      <x:c r="AJ80" s="55" t="n">
        <x:v>504</x:v>
      </x:c>
      <x:c r="AK80" s="55" t="n">
        <x:v>935</x:v>
      </x:c>
      <x:c r="AL80" s="55" t="n">
        <x:v>1487</x:v>
      </x:c>
      <x:c r="AM80" s="55" t="n">
        <x:v>4456</x:v>
      </x:c>
      <x:c r="AN80" s="55" t="n">
        <x:v>3161</x:v>
      </x:c>
      <x:c r="AO80" s="55" t="n">
        <x:v>57</x:v>
      </x:c>
      <x:c r="AP80" s="55" t="n">
        <x:v>2595</x:v>
      </x:c>
      <x:c r="AQ80" s="55" t="n">
        <x:v>951</x:v>
      </x:c>
    </x:row>
    <x:row r="81">
      <x:c r="A81" s="54" t="str">
        <x:v>T0_TABLE_BLOCK</x:v>
      </x:c>
      <x:c r="B81" s="54" t="n">
        <x:v>75</x:v>
      </x:c>
      <x:c r="C81" s="54" t="str">
        <x:v>NYC-V2-R01</x:v>
      </x:c>
      <x:c r="D81" s="54" t="str">
        <x:v>V2</x:v>
      </x:c>
      <x:c r="E81" s="54" t="str">
        <x:v>ADMITTED</x:v>
      </x:c>
      <x:c r="F81" s="55" t="n">
        <x:v>32167</x:v>
      </x:c>
      <x:c r="G81" s="55" t="n">
        <x:v>7861</x:v>
      </x:c>
      <x:c r="H81" s="55" t="n">
        <x:v>3794</x:v>
      </x:c>
      <x:c r="I81" s="55" t="n">
        <x:v>1525</x:v>
      </x:c>
      <x:c r="J81" s="55" t="n">
        <x:v>327</x:v>
      </x:c>
      <x:c r="K81" s="55" t="n">
        <x:v>30719</x:v>
      </x:c>
      <x:c r="L81" s="55" t="n">
        <x:v>5263</x:v>
      </x:c>
      <x:c r="M81" s="55" t="n">
        <x:v>1244</x:v>
      </x:c>
      <x:c r="N81" s="55" t="n">
        <x:v>2720</x:v>
      </x:c>
      <x:c r="O81" s="55" t="n">
        <x:v>1299</x:v>
      </x:c>
      <x:c r="P81" s="55" t="n">
        <x:v>701</x:v>
      </x:c>
      <x:c r="Q81" s="55" t="n">
        <x:v>2033</x:v>
      </x:c>
      <x:c r="R81" s="55" t="n">
        <x:v>2187</x:v>
      </x:c>
      <x:c r="S81" s="55" t="n">
        <x:v>3405</x:v>
      </x:c>
      <x:c r="T81" s="55" t="n">
        <x:v>1117</x:v>
      </x:c>
      <x:c r="U81" s="55" t="n">
        <x:v>2158</x:v>
      </x:c>
      <x:c r="V81" s="55" t="n">
        <x:v>9955</x:v>
      </x:c>
      <x:c r="W81" s="55" t="n">
        <x:v>6945</x:v>
      </x:c>
      <x:c r="X81" s="55" t="n">
        <x:v>3010</x:v>
      </x:c>
      <x:c r="Y81" s="55" t="n">
        <x:v>2716</x:v>
      </x:c>
      <x:c r="Z81" s="55" t="n">
        <x:v>3872</x:v>
      </x:c>
      <x:c r="AA81" s="55" t="n">
        <x:v>3293</x:v>
      </x:c>
      <x:c r="AB81" s="55" t="n">
        <x:v>1026</x:v>
      </x:c>
      <x:c r="AC81" s="55" t="n">
        <x:v>8266</x:v>
      </x:c>
      <x:c r="AD81" s="55" t="n">
        <x:v>2422</x:v>
      </x:c>
      <x:c r="AE81" s="55" t="n">
        <x:v>10117</x:v>
      </x:c>
      <x:c r="AF81" s="55" t="n">
        <x:v>9955</x:v>
      </x:c>
      <x:c r="AG81" s="55" t="n">
        <x:v>162</x:v>
      </x:c>
      <x:c r="AH81" s="55" t="n">
        <x:v>395</x:v>
      </x:c>
      <x:c r="AI81" s="55" t="n">
        <x:v>9560</x:v>
      </x:c>
      <x:c r="AJ81" s="55" t="n">
        <x:v>432</x:v>
      </x:c>
      <x:c r="AK81" s="55" t="n">
        <x:v>850</x:v>
      </x:c>
      <x:c r="AL81" s="55" t="n">
        <x:v>1714</x:v>
      </x:c>
      <x:c r="AM81" s="55" t="n">
        <x:v>4439</x:v>
      </x:c>
      <x:c r="AN81" s="55" t="n">
        <x:v>2520</x:v>
      </x:c>
      <x:c r="AO81" s="55" t="n">
        <x:v>0</x:v>
      </x:c>
      <x:c r="AP81" s="55" t="n">
        <x:v>2195</x:v>
      </x:c>
      <x:c r="AQ81" s="55" t="n">
        <x:v>951</x:v>
      </x:c>
    </x:row>
    <x:row r="82">
      <x:c r="A82" s="54" t="str">
        <x:v>T0_TABLE_BLOCK</x:v>
      </x:c>
      <x:c r="B82" s="54" t="n">
        <x:v>76</x:v>
      </x:c>
      <x:c r="C82" s="54" t="str">
        <x:v>NYC-V2-R01</x:v>
      </x:c>
      <x:c r="D82" s="54" t="str">
        <x:v>V2</x:v>
      </x:c>
      <x:c r="E82" s="54" t="str">
        <x:v>ADMITTED</x:v>
      </x:c>
      <x:c r="F82" s="55" t="n">
        <x:v>31481</x:v>
      </x:c>
      <x:c r="G82" s="55" t="n">
        <x:v>7463</x:v>
      </x:c>
      <x:c r="H82" s="55" t="n">
        <x:v>3123</x:v>
      </x:c>
      <x:c r="I82" s="55" t="n">
        <x:v>959</x:v>
      </x:c>
      <x:c r="J82" s="55" t="n">
        <x:v>469</x:v>
      </x:c>
      <x:c r="K82" s="55" t="n">
        <x:v>31481</x:v>
      </x:c>
      <x:c r="L82" s="55" t="n">
        <x:v>5989</x:v>
      </x:c>
      <x:c r="M82" s="55" t="n">
        <x:v>1248</x:v>
      </x:c>
      <x:c r="N82" s="55" t="n">
        <x:v>3005</x:v>
      </x:c>
      <x:c r="O82" s="55" t="n">
        <x:v>1736</x:v>
      </x:c>
      <x:c r="P82" s="55" t="n">
        <x:v>428</x:v>
      </x:c>
      <x:c r="Q82" s="55" t="n">
        <x:v>1957</x:v>
      </x:c>
      <x:c r="R82" s="55" t="n">
        <x:v>1563</x:v>
      </x:c>
      <x:c r="S82" s="55" t="n">
        <x:v>1850</x:v>
      </x:c>
      <x:c r="T82" s="55" t="n">
        <x:v>1256</x:v>
      </x:c>
      <x:c r="U82" s="55" t="n">
        <x:v>1801</x:v>
      </x:c>
      <x:c r="V82" s="55" t="n">
        <x:v>11140</x:v>
      </x:c>
      <x:c r="W82" s="55" t="n">
        <x:v>7875</x:v>
      </x:c>
      <x:c r="X82" s="55" t="n">
        <x:v>3265</x:v>
      </x:c>
      <x:c r="Y82" s="55" t="n">
        <x:v>2756</x:v>
      </x:c>
      <x:c r="Z82" s="55" t="n">
        <x:v>3602</x:v>
      </x:c>
      <x:c r="AA82" s="55" t="n">
        <x:v>2810</x:v>
      </x:c>
      <x:c r="AB82" s="55" t="n">
        <x:v>1030</x:v>
      </x:c>
      <x:c r="AC82" s="55" t="n">
        <x:v>7826</x:v>
      </x:c>
      <x:c r="AD82" s="55" t="n">
        <x:v>2264</x:v>
      </x:c>
      <x:c r="AE82" s="55" t="n">
        <x:v>11250</x:v>
      </x:c>
      <x:c r="AF82" s="55" t="n">
        <x:v>11140</x:v>
      </x:c>
      <x:c r="AG82" s="55" t="n">
        <x:v>110</x:v>
      </x:c>
      <x:c r="AH82" s="55" t="n">
        <x:v>572</x:v>
      </x:c>
      <x:c r="AI82" s="55" t="n">
        <x:v>10568</x:v>
      </x:c>
      <x:c r="AJ82" s="55" t="n">
        <x:v>361</x:v>
      </x:c>
      <x:c r="AK82" s="55" t="n">
        <x:v>763</x:v>
      </x:c>
      <x:c r="AL82" s="55" t="n">
        <x:v>1702</x:v>
      </x:c>
      <x:c r="AM82" s="55" t="n">
        <x:v>5036</x:v>
      </x:c>
      <x:c r="AN82" s="55" t="n">
        <x:v>3278</x:v>
      </x:c>
      <x:c r="AO82" s="55" t="n">
        <x:v>0</x:v>
      </x:c>
      <x:c r="AP82" s="55" t="n">
        <x:v>1831</x:v>
      </x:c>
      <x:c r="AQ82" s="55" t="n">
        <x:v>986</x:v>
      </x:c>
    </x:row>
    <x:row r="83">
      <x:c r="A83" s="54" t="str">
        <x:v>T0_TABLE_BLOCK</x:v>
      </x:c>
      <x:c r="B83" s="54" t="n">
        <x:v>77</x:v>
      </x:c>
      <x:c r="C83" s="54" t="str">
        <x:v>NYC-V2-R01</x:v>
      </x:c>
      <x:c r="D83" s="54" t="str">
        <x:v>V2</x:v>
      </x:c>
      <x:c r="E83" s="54" t="str">
        <x:v>ADMITTED</x:v>
      </x:c>
      <x:c r="F83" s="55" t="n">
        <x:v>32638</x:v>
      </x:c>
      <x:c r="G83" s="55" t="n">
        <x:v>7050</x:v>
      </x:c>
      <x:c r="H83" s="55" t="n">
        <x:v>3509</x:v>
      </x:c>
      <x:c r="I83" s="55" t="n">
        <x:v>1715</x:v>
      </x:c>
      <x:c r="J83" s="55" t="n">
        <x:v>144</x:v>
      </x:c>
      <x:c r="K83" s="55" t="n">
        <x:v>32638</x:v>
      </x:c>
      <x:c r="L83" s="55" t="n">
        <x:v>6577</x:v>
      </x:c>
      <x:c r="M83" s="55" t="n">
        <x:v>386</x:v>
      </x:c>
      <x:c r="N83" s="55" t="n">
        <x:v>3688</x:v>
      </x:c>
      <x:c r="O83" s="55" t="n">
        <x:v>2503</x:v>
      </x:c>
      <x:c r="P83" s="55" t="n">
        <x:v>1179</x:v>
      </x:c>
      <x:c r="Q83" s="55" t="n">
        <x:v>2331</x:v>
      </x:c>
      <x:c r="R83" s="55" t="n">
        <x:v>2165</x:v>
      </x:c>
      <x:c r="S83" s="55" t="n">
        <x:v>2672</x:v>
      </x:c>
      <x:c r="T83" s="55" t="n">
        <x:v>1643</x:v>
      </x:c>
      <x:c r="U83" s="55" t="n">
        <x:v>2505</x:v>
      </x:c>
      <x:c r="V83" s="55" t="n">
        <x:v>9925</x:v>
      </x:c>
      <x:c r="W83" s="55" t="n">
        <x:v>6344</x:v>
      </x:c>
      <x:c r="X83" s="55" t="n">
        <x:v>3581</x:v>
      </x:c>
      <x:c r="Y83" s="55" t="n">
        <x:v>3067</x:v>
      </x:c>
      <x:c r="Z83" s="55" t="n">
        <x:v>3381</x:v>
      </x:c>
      <x:c r="AA83" s="55" t="n">
        <x:v>2768</x:v>
      </x:c>
      <x:c r="AB83" s="55" t="n">
        <x:v>1058</x:v>
      </x:c>
      <x:c r="AC83" s="55" t="n">
        <x:v>7712</x:v>
      </x:c>
      <x:c r="AD83" s="55" t="n">
        <x:v>2883</x:v>
      </x:c>
      <x:c r="AE83" s="55" t="n">
        <x:v>10025</x:v>
      </x:c>
      <x:c r="AF83" s="55" t="n">
        <x:v>9925</x:v>
      </x:c>
      <x:c r="AG83" s="55" t="n">
        <x:v>100</x:v>
      </x:c>
      <x:c r="AH83" s="55" t="n">
        <x:v>522</x:v>
      </x:c>
      <x:c r="AI83" s="55" t="n">
        <x:v>9403</x:v>
      </x:c>
      <x:c r="AJ83" s="55" t="n">
        <x:v>245</x:v>
      </x:c>
      <x:c r="AK83" s="55" t="n">
        <x:v>1122</x:v>
      </x:c>
      <x:c r="AL83" s="55" t="n">
        <x:v>1478</x:v>
      </x:c>
      <x:c r="AM83" s="55" t="n">
        <x:v>4937</x:v>
      </x:c>
      <x:c r="AN83" s="55" t="n">
        <x:v>2143</x:v>
      </x:c>
      <x:c r="AO83" s="55" t="n">
        <x:v>0</x:v>
      </x:c>
      <x:c r="AP83" s="55" t="n">
        <x:v>2287</x:v>
      </x:c>
      <x:c r="AQ83" s="55" t="n">
        <x:v>938</x:v>
      </x:c>
    </x:row>
    <x:row r="84">
      <x:c r="A84" s="54" t="str">
        <x:v>T0_TABLE_BLOCK</x:v>
      </x:c>
      <x:c r="B84" s="54" t="n">
        <x:v>78</x:v>
      </x:c>
      <x:c r="C84" s="54" t="str">
        <x:v>NYC-V2-R01</x:v>
      </x:c>
      <x:c r="D84" s="54" t="str">
        <x:v>V2</x:v>
      </x:c>
      <x:c r="E84" s="54" t="str">
        <x:v>ADMITTED</x:v>
      </x:c>
      <x:c r="F84" s="55" t="n">
        <x:v>30209</x:v>
      </x:c>
      <x:c r="G84" s="55" t="n">
        <x:v>7750</x:v>
      </x:c>
      <x:c r="H84" s="55" t="n">
        <x:v>3532</x:v>
      </x:c>
      <x:c r="I84" s="55" t="n">
        <x:v>1458</x:v>
      </x:c>
      <x:c r="J84" s="55" t="n">
        <x:v>325</x:v>
      </x:c>
      <x:c r="K84" s="55" t="n">
        <x:v>29602</x:v>
      </x:c>
      <x:c r="L84" s="55" t="n">
        <x:v>5675</x:v>
      </x:c>
      <x:c r="M84" s="55" t="n">
        <x:v>1126</x:v>
      </x:c>
      <x:c r="N84" s="55" t="n">
        <x:v>2631</x:v>
      </x:c>
      <x:c r="O84" s="55" t="n">
        <x:v>1918</x:v>
      </x:c>
      <x:c r="P84" s="55" t="n">
        <x:v>987</x:v>
      </x:c>
      <x:c r="Q84" s="55" t="n">
        <x:v>1599</x:v>
      </x:c>
      <x:c r="R84" s="55" t="n">
        <x:v>1304</x:v>
      </x:c>
      <x:c r="S84" s="55" t="n">
        <x:v>2826</x:v>
      </x:c>
      <x:c r="T84" s="55" t="n">
        <x:v>1125</x:v>
      </x:c>
      <x:c r="U84" s="55" t="n">
        <x:v>2216</x:v>
      </x:c>
      <x:c r="V84" s="55" t="n">
        <x:v>9767</x:v>
      </x:c>
      <x:c r="W84" s="55" t="n">
        <x:v>7032</x:v>
      </x:c>
      <x:c r="X84" s="55" t="n">
        <x:v>2735</x:v>
      </x:c>
      <x:c r="Y84" s="55" t="n">
        <x:v>2329</x:v>
      </x:c>
      <x:c r="Z84" s="55" t="n">
        <x:v>4009</x:v>
      </x:c>
      <x:c r="AA84" s="55" t="n">
        <x:v>2444</x:v>
      </x:c>
      <x:c r="AB84" s="55" t="n">
        <x:v>899</x:v>
      </x:c>
      <x:c r="AC84" s="55" t="n">
        <x:v>7646</x:v>
      </x:c>
      <x:c r="AD84" s="55" t="n">
        <x:v>2928</x:v>
      </x:c>
      <x:c r="AE84" s="55" t="n">
        <x:v>9857</x:v>
      </x:c>
      <x:c r="AF84" s="55" t="n">
        <x:v>9767</x:v>
      </x:c>
      <x:c r="AG84" s="55" t="n">
        <x:v>90</x:v>
      </x:c>
      <x:c r="AH84" s="55" t="n">
        <x:v>347</x:v>
      </x:c>
      <x:c r="AI84" s="55" t="n">
        <x:v>9420</x:v>
      </x:c>
      <x:c r="AJ84" s="55" t="n">
        <x:v>342</x:v>
      </x:c>
      <x:c r="AK84" s="55" t="n">
        <x:v>983</x:v>
      </x:c>
      <x:c r="AL84" s="55" t="n">
        <x:v>1342</x:v>
      </x:c>
      <x:c r="AM84" s="55" t="n">
        <x:v>5170</x:v>
      </x:c>
      <x:c r="AN84" s="55" t="n">
        <x:v>1930</x:v>
      </x:c>
      <x:c r="AO84" s="55" t="n">
        <x:v>0</x:v>
      </x:c>
      <x:c r="AP84" s="55" t="n">
        <x:v>2267</x:v>
      </x:c>
      <x:c r="AQ84" s="55" t="n">
        <x:v>932</x:v>
      </x:c>
    </x:row>
    <x:row r="85">
      <x:c r="A85" s="54" t="str">
        <x:v>T0_TABLE_BLOCK</x:v>
      </x:c>
      <x:c r="B85" s="54" t="n">
        <x:v>79</x:v>
      </x:c>
      <x:c r="C85" s="54" t="str">
        <x:v>NYC-V2-R01</x:v>
      </x:c>
      <x:c r="D85" s="54" t="str">
        <x:v>V2</x:v>
      </x:c>
      <x:c r="E85" s="54" t="str">
        <x:v>ADMITTED</x:v>
      </x:c>
      <x:c r="F85" s="55" t="n">
        <x:v>29932</x:v>
      </x:c>
      <x:c r="G85" s="55" t="n">
        <x:v>7337</x:v>
      </x:c>
      <x:c r="H85" s="55" t="n">
        <x:v>3054</x:v>
      </x:c>
      <x:c r="I85" s="55" t="n">
        <x:v>896</x:v>
      </x:c>
      <x:c r="J85" s="55" t="n">
        <x:v>151</x:v>
      </x:c>
      <x:c r="K85" s="55" t="n">
        <x:v>29932</x:v>
      </x:c>
      <x:c r="L85" s="55" t="n">
        <x:v>4472</x:v>
      </x:c>
      <x:c r="M85" s="55" t="n">
        <x:v>298</x:v>
      </x:c>
      <x:c r="N85" s="55" t="n">
        <x:v>2187</x:v>
      </x:c>
      <x:c r="O85" s="55" t="n">
        <x:v>1987</x:v>
      </x:c>
      <x:c r="P85" s="55" t="n">
        <x:v>618</x:v>
      </x:c>
      <x:c r="Q85" s="55" t="n">
        <x:v>2052</x:v>
      </x:c>
      <x:c r="R85" s="55" t="n">
        <x:v>1573</x:v>
      </x:c>
      <x:c r="S85" s="55" t="n">
        <x:v>3226</x:v>
      </x:c>
      <x:c r="T85" s="55" t="n">
        <x:v>854</x:v>
      </x:c>
      <x:c r="U85" s="55" t="n">
        <x:v>1887</x:v>
      </x:c>
      <x:c r="V85" s="55" t="n">
        <x:v>9587</x:v>
      </x:c>
      <x:c r="W85" s="55" t="n">
        <x:v>6592</x:v>
      </x:c>
      <x:c r="X85" s="55" t="n">
        <x:v>2995</x:v>
      </x:c>
      <x:c r="Y85" s="55" t="n">
        <x:v>2838</x:v>
      </x:c>
      <x:c r="Z85" s="55" t="n">
        <x:v>3739</x:v>
      </x:c>
      <x:c r="AA85" s="55" t="n">
        <x:v>3029</x:v>
      </x:c>
      <x:c r="AB85" s="55" t="n">
        <x:v>997</x:v>
      </x:c>
      <x:c r="AC85" s="55" t="n">
        <x:v>8183</x:v>
      </x:c>
      <x:c r="AD85" s="55" t="n">
        <x:v>3281</x:v>
      </x:c>
      <x:c r="AE85" s="55" t="n">
        <x:v>9622</x:v>
      </x:c>
      <x:c r="AF85" s="55" t="n">
        <x:v>9587</x:v>
      </x:c>
      <x:c r="AG85" s="55" t="n">
        <x:v>35</x:v>
      </x:c>
      <x:c r="AH85" s="55" t="n">
        <x:v>73</x:v>
      </x:c>
      <x:c r="AI85" s="55" t="n">
        <x:v>9514</x:v>
      </x:c>
      <x:c r="AJ85" s="55" t="n">
        <x:v>332</x:v>
      </x:c>
      <x:c r="AK85" s="55" t="n">
        <x:v>896</x:v>
      </x:c>
      <x:c r="AL85" s="55" t="n">
        <x:v>1939</x:v>
      </x:c>
      <x:c r="AM85" s="55" t="n">
        <x:v>4296</x:v>
      </x:c>
      <x:c r="AN85" s="55" t="n">
        <x:v>2124</x:v>
      </x:c>
      <x:c r="AO85" s="55" t="n">
        <x:v>0</x:v>
      </x:c>
      <x:c r="AP85" s="55" t="n">
        <x:v>2558</x:v>
      </x:c>
      <x:c r="AQ85" s="55" t="n">
        <x:v>975</x:v>
      </x:c>
    </x:row>
    <x:row r="86">
      <x:c r="A86" s="54" t="str">
        <x:v>T0_TABLE_BLOCK</x:v>
      </x:c>
      <x:c r="B86" s="54" t="n">
        <x:v>80</x:v>
      </x:c>
      <x:c r="C86" s="54" t="str">
        <x:v>NYC-V2-R01</x:v>
      </x:c>
      <x:c r="D86" s="54" t="str">
        <x:v>V2</x:v>
      </x:c>
      <x:c r="E86" s="54" t="str">
        <x:v>ADMITTED</x:v>
      </x:c>
      <x:c r="F86" s="55" t="n">
        <x:v>31316</x:v>
      </x:c>
      <x:c r="G86" s="55" t="n">
        <x:v>8185</x:v>
      </x:c>
      <x:c r="H86" s="55" t="n">
        <x:v>3525</x:v>
      </x:c>
      <x:c r="I86" s="55" t="n">
        <x:v>582</x:v>
      </x:c>
      <x:c r="J86" s="55" t="n">
        <x:v>96</x:v>
      </x:c>
      <x:c r="K86" s="55" t="n">
        <x:v>31316</x:v>
      </x:c>
      <x:c r="L86" s="55" t="n">
        <x:v>6052</x:v>
      </x:c>
      <x:c r="M86" s="55" t="n">
        <x:v>2075</x:v>
      </x:c>
      <x:c r="N86" s="55" t="n">
        <x:v>2528</x:v>
      </x:c>
      <x:c r="O86" s="55" t="n">
        <x:v>1449</x:v>
      </x:c>
      <x:c r="P86" s="55" t="n">
        <x:v>514</x:v>
      </x:c>
      <x:c r="Q86" s="55" t="n">
        <x:v>2485</x:v>
      </x:c>
      <x:c r="R86" s="55" t="n">
        <x:v>1680</x:v>
      </x:c>
      <x:c r="S86" s="55" t="n">
        <x:v>2855</x:v>
      </x:c>
      <x:c r="T86" s="55" t="n">
        <x:v>1032</x:v>
      </x:c>
      <x:c r="U86" s="55" t="n">
        <x:v>2111</x:v>
      </x:c>
      <x:c r="V86" s="55" t="n">
        <x:v>11001</x:v>
      </x:c>
      <x:c r="W86" s="55" t="n">
        <x:v>8204</x:v>
      </x:c>
      <x:c r="X86" s="55" t="n">
        <x:v>2797</x:v>
      </x:c>
      <x:c r="Y86" s="55" t="n">
        <x:v>2459</x:v>
      </x:c>
      <x:c r="Z86" s="55" t="n">
        <x:v>4088</x:v>
      </x:c>
      <x:c r="AA86" s="55" t="n">
        <x:v>3525</x:v>
      </x:c>
      <x:c r="AB86" s="55" t="n">
        <x:v>1319</x:v>
      </x:c>
      <x:c r="AC86" s="55" t="n">
        <x:v>7859</x:v>
      </x:c>
      <x:c r="AD86" s="55" t="n">
        <x:v>2931</x:v>
      </x:c>
      <x:c r="AE86" s="55" t="n">
        <x:v>11045</x:v>
      </x:c>
      <x:c r="AF86" s="55" t="n">
        <x:v>11001</x:v>
      </x:c>
      <x:c r="AG86" s="55" t="n">
        <x:v>44</x:v>
      </x:c>
      <x:c r="AH86" s="55" t="n">
        <x:v>268</x:v>
      </x:c>
      <x:c r="AI86" s="55" t="n">
        <x:v>10733</x:v>
      </x:c>
      <x:c r="AJ86" s="55" t="n">
        <x:v>349</x:v>
      </x:c>
      <x:c r="AK86" s="55" t="n">
        <x:v>868</x:v>
      </x:c>
      <x:c r="AL86" s="55" t="n">
        <x:v>1725</x:v>
      </x:c>
      <x:c r="AM86" s="55" t="n">
        <x:v>4985</x:v>
      </x:c>
      <x:c r="AN86" s="55" t="n">
        <x:v>3074</x:v>
      </x:c>
      <x:c r="AO86" s="55" t="n">
        <x:v>0</x:v>
      </x:c>
      <x:c r="AP86" s="55" t="n">
        <x:v>2283</x:v>
      </x:c>
      <x:c r="AQ86" s="55" t="n">
        <x:v>965</x:v>
      </x:c>
    </x:row>
    <x:row r="87">
      <x:c r="A87" s="54" t="str">
        <x:v>T0_TABLE_BLOCK</x:v>
      </x:c>
      <x:c r="B87" s="54" t="n">
        <x:v>81</x:v>
      </x:c>
      <x:c r="C87" s="54" t="str">
        <x:v>NYC-V2-R01</x:v>
      </x:c>
      <x:c r="D87" s="54" t="str">
        <x:v>V2</x:v>
      </x:c>
      <x:c r="E87" s="54" t="str">
        <x:v>ADMITTED</x:v>
      </x:c>
      <x:c r="F87" s="55" t="n">
        <x:v>30230</x:v>
      </x:c>
      <x:c r="G87" s="55" t="n">
        <x:v>7785</x:v>
      </x:c>
      <x:c r="H87" s="55" t="n">
        <x:v>3768</x:v>
      </x:c>
      <x:c r="I87" s="55" t="n">
        <x:v>895</x:v>
      </x:c>
      <x:c r="J87" s="55" t="n">
        <x:v>59</x:v>
      </x:c>
      <x:c r="K87" s="55" t="n">
        <x:v>30230</x:v>
      </x:c>
      <x:c r="L87" s="55" t="n">
        <x:v>5884</x:v>
      </x:c>
      <x:c r="M87" s="55" t="n">
        <x:v>1748</x:v>
      </x:c>
      <x:c r="N87" s="55" t="n">
        <x:v>2789</x:v>
      </x:c>
      <x:c r="O87" s="55" t="n">
        <x:v>1347</x:v>
      </x:c>
      <x:c r="P87" s="55" t="n">
        <x:v>715</x:v>
      </x:c>
      <x:c r="Q87" s="55" t="n">
        <x:v>3342</x:v>
      </x:c>
      <x:c r="R87" s="55" t="n">
        <x:v>1891</x:v>
      </x:c>
      <x:c r="S87" s="55" t="n">
        <x:v>2248</x:v>
      </x:c>
      <x:c r="T87" s="55" t="n">
        <x:v>1417</x:v>
      </x:c>
      <x:c r="U87" s="55" t="n">
        <x:v>2287</x:v>
      </x:c>
      <x:c r="V87" s="55" t="n">
        <x:v>10126</x:v>
      </x:c>
      <x:c r="W87" s="55" t="n">
        <x:v>6915</x:v>
      </x:c>
      <x:c r="X87" s="55" t="n">
        <x:v>3211</x:v>
      </x:c>
      <x:c r="Y87" s="55" t="n">
        <x:v>2847</x:v>
      </x:c>
      <x:c r="Z87" s="55" t="n">
        <x:v>4320</x:v>
      </x:c>
      <x:c r="AA87" s="55" t="n">
        <x:v>3768</x:v>
      </x:c>
      <x:c r="AB87" s="55" t="n">
        <x:v>1426</x:v>
      </x:c>
      <x:c r="AC87" s="55" t="n">
        <x:v>8359</x:v>
      </x:c>
      <x:c r="AD87" s="55" t="n">
        <x:v>3206</x:v>
      </x:c>
      <x:c r="AE87" s="55" t="n">
        <x:v>10195</x:v>
      </x:c>
      <x:c r="AF87" s="55" t="n">
        <x:v>10126</x:v>
      </x:c>
      <x:c r="AG87" s="55" t="n">
        <x:v>69</x:v>
      </x:c>
      <x:c r="AH87" s="55" t="n">
        <x:v>303</x:v>
      </x:c>
      <x:c r="AI87" s="55" t="n">
        <x:v>9823</x:v>
      </x:c>
      <x:c r="AJ87" s="55" t="n">
        <x:v>242</x:v>
      </x:c>
      <x:c r="AK87" s="55" t="n">
        <x:v>1338</x:v>
      </x:c>
      <x:c r="AL87" s="55" t="n">
        <x:v>1695</x:v>
      </x:c>
      <x:c r="AM87" s="55" t="n">
        <x:v>3962</x:v>
      </x:c>
      <x:c r="AN87" s="55" t="n">
        <x:v>2889</x:v>
      </x:c>
      <x:c r="AO87" s="55" t="n">
        <x:v>0</x:v>
      </x:c>
      <x:c r="AP87" s="55" t="n">
        <x:v>2084</x:v>
      </x:c>
      <x:c r="AQ87" s="55" t="n">
        <x:v>981</x:v>
      </x:c>
    </x:row>
    <x:row r="88">
      <x:c r="A88" s="54" t="str">
        <x:v>T0_TABLE_BLOCK</x:v>
      </x:c>
      <x:c r="B88" s="54" t="n">
        <x:v>82</x:v>
      </x:c>
      <x:c r="C88" s="54" t="str">
        <x:v>NYC-V2-R01</x:v>
      </x:c>
      <x:c r="D88" s="54" t="str">
        <x:v>V2</x:v>
      </x:c>
      <x:c r="E88" s="54" t="str">
        <x:v>ADMITTED</x:v>
      </x:c>
      <x:c r="F88" s="55" t="n">
        <x:v>31205</x:v>
      </x:c>
      <x:c r="G88" s="55" t="n">
        <x:v>8682</x:v>
      </x:c>
      <x:c r="H88" s="55" t="n">
        <x:v>3554</x:v>
      </x:c>
      <x:c r="I88" s="55" t="n">
        <x:v>947</x:v>
      </x:c>
      <x:c r="J88" s="55" t="n">
        <x:v>90</x:v>
      </x:c>
      <x:c r="K88" s="55" t="n">
        <x:v>31205</x:v>
      </x:c>
      <x:c r="L88" s="55" t="n">
        <x:v>5854</x:v>
      </x:c>
      <x:c r="M88" s="55" t="n">
        <x:v>1979</x:v>
      </x:c>
      <x:c r="N88" s="55" t="n">
        <x:v>2637</x:v>
      </x:c>
      <x:c r="O88" s="55" t="n">
        <x:v>1238</x:v>
      </x:c>
      <x:c r="P88" s="55" t="n">
        <x:v>833</x:v>
      </x:c>
      <x:c r="Q88" s="55" t="n">
        <x:v>1798</x:v>
      </x:c>
      <x:c r="R88" s="55" t="n">
        <x:v>2396</x:v>
      </x:c>
      <x:c r="S88" s="55" t="n">
        <x:v>2291</x:v>
      </x:c>
      <x:c r="T88" s="55" t="n">
        <x:v>1921</x:v>
      </x:c>
      <x:c r="U88" s="55" t="n">
        <x:v>2549</x:v>
      </x:c>
      <x:c r="V88" s="55" t="n">
        <x:v>9513</x:v>
      </x:c>
      <x:c r="W88" s="55" t="n">
        <x:v>6603</x:v>
      </x:c>
      <x:c r="X88" s="55" t="n">
        <x:v>2910</x:v>
      </x:c>
      <x:c r="Y88" s="55" t="n">
        <x:v>2219</x:v>
      </x:c>
      <x:c r="Z88" s="55" t="n">
        <x:v>3368</x:v>
      </x:c>
      <x:c r="AA88" s="55" t="n">
        <x:v>3554</x:v>
      </x:c>
      <x:c r="AB88" s="55" t="n">
        <x:v>1239</x:v>
      </x:c>
      <x:c r="AC88" s="55" t="n">
        <x:v>7930</x:v>
      </x:c>
      <x:c r="AD88" s="55" t="n">
        <x:v>2604</x:v>
      </x:c>
      <x:c r="AE88" s="55" t="n">
        <x:v>9575</x:v>
      </x:c>
      <x:c r="AF88" s="55" t="n">
        <x:v>9513</x:v>
      </x:c>
      <x:c r="AG88" s="55" t="n">
        <x:v>62</x:v>
      </x:c>
      <x:c r="AH88" s="55" t="n">
        <x:v>268</x:v>
      </x:c>
      <x:c r="AI88" s="55" t="n">
        <x:v>9245</x:v>
      </x:c>
      <x:c r="AJ88" s="55" t="n">
        <x:v>314</x:v>
      </x:c>
      <x:c r="AK88" s="55" t="n">
        <x:v>772</x:v>
      </x:c>
      <x:c r="AL88" s="55" t="n">
        <x:v>1110</x:v>
      </x:c>
      <x:c r="AM88" s="55" t="n">
        <x:v>5090</x:v>
      </x:c>
      <x:c r="AN88" s="55" t="n">
        <x:v>2211</x:v>
      </x:c>
      <x:c r="AO88" s="55" t="n">
        <x:v>16</x:v>
      </x:c>
      <x:c r="AP88" s="55" t="n">
        <x:v>2679</x:v>
      </x:c>
      <x:c r="AQ88" s="55" t="n">
        <x:v>977</x:v>
      </x:c>
    </x:row>
    <x:row r="89">
      <x:c r="A89" s="54" t="str">
        <x:v>T0_TABLE_BLOCK</x:v>
      </x:c>
      <x:c r="B89" s="54" t="n">
        <x:v>83</x:v>
      </x:c>
      <x:c r="C89" s="54" t="str">
        <x:v>NYC-V2-R01</x:v>
      </x:c>
      <x:c r="D89" s="54" t="str">
        <x:v>V2</x:v>
      </x:c>
      <x:c r="E89" s="54" t="str">
        <x:v>ADMITTED</x:v>
      </x:c>
      <x:c r="F89" s="55" t="n">
        <x:v>31862</x:v>
      </x:c>
      <x:c r="G89" s="55" t="n">
        <x:v>7393</x:v>
      </x:c>
      <x:c r="H89" s="55" t="n">
        <x:v>3202</x:v>
      </x:c>
      <x:c r="I89" s="55" t="n">
        <x:v>1192</x:v>
      </x:c>
      <x:c r="J89" s="55" t="n">
        <x:v>308</x:v>
      </x:c>
      <x:c r="K89" s="55" t="n">
        <x:v>31862</x:v>
      </x:c>
      <x:c r="L89" s="55" t="n">
        <x:v>6701</x:v>
      </x:c>
      <x:c r="M89" s="55" t="n">
        <x:v>1749</x:v>
      </x:c>
      <x:c r="N89" s="55" t="n">
        <x:v>2636</x:v>
      </x:c>
      <x:c r="O89" s="55" t="n">
        <x:v>2316</x:v>
      </x:c>
      <x:c r="P89" s="55" t="n">
        <x:v>844</x:v>
      </x:c>
      <x:c r="Q89" s="55" t="n">
        <x:v>2812</x:v>
      </x:c>
      <x:c r="R89" s="55" t="n">
        <x:v>2143</x:v>
      </x:c>
      <x:c r="S89" s="55" t="n">
        <x:v>2513</x:v>
      </x:c>
      <x:c r="T89" s="55" t="n">
        <x:v>1026</x:v>
      </x:c>
      <x:c r="U89" s="55" t="n">
        <x:v>1529</x:v>
      </x:c>
      <x:c r="V89" s="55" t="n">
        <x:v>11520</x:v>
      </x:c>
      <x:c r="W89" s="55" t="n">
        <x:v>8908</x:v>
      </x:c>
      <x:c r="X89" s="55" t="n">
        <x:v>2612</x:v>
      </x:c>
      <x:c r="Y89" s="55" t="n">
        <x:v>2311</x:v>
      </x:c>
      <x:c r="Z89" s="55" t="n">
        <x:v>3783</x:v>
      </x:c>
      <x:c r="AA89" s="55" t="n">
        <x:v>3202</x:v>
      </x:c>
      <x:c r="AB89" s="55" t="n">
        <x:v>664</x:v>
      </x:c>
      <x:c r="AC89" s="55" t="n">
        <x:v>8726</x:v>
      </x:c>
      <x:c r="AD89" s="55" t="n">
        <x:v>3167</x:v>
      </x:c>
      <x:c r="AE89" s="55" t="n">
        <x:v>11552</x:v>
      </x:c>
      <x:c r="AF89" s="55" t="n">
        <x:v>11520</x:v>
      </x:c>
      <x:c r="AG89" s="55" t="n">
        <x:v>32</x:v>
      </x:c>
      <x:c r="AH89" s="55" t="n">
        <x:v>854</x:v>
      </x:c>
      <x:c r="AI89" s="55" t="n">
        <x:v>10666</x:v>
      </x:c>
      <x:c r="AJ89" s="55" t="n">
        <x:v>468</x:v>
      </x:c>
      <x:c r="AK89" s="55" t="n">
        <x:v>1361</x:v>
      </x:c>
      <x:c r="AL89" s="55" t="n">
        <x:v>2012</x:v>
      </x:c>
      <x:c r="AM89" s="55" t="n">
        <x:v>5078</x:v>
      </x:c>
      <x:c r="AN89" s="55" t="n">
        <x:v>2557</x:v>
      </x:c>
      <x:c r="AO89" s="55" t="n">
        <x:v>44</x:v>
      </x:c>
      <x:c r="AP89" s="55" t="n">
        <x:v>2291</x:v>
      </x:c>
      <x:c r="AQ89" s="55" t="n">
        <x:v>957</x:v>
      </x:c>
    </x:row>
    <x:row r="90">
      <x:c r="A90" s="54" t="str">
        <x:v>T0_TABLE_BLOCK</x:v>
      </x:c>
      <x:c r="B90" s="54" t="n">
        <x:v>84</x:v>
      </x:c>
      <x:c r="C90" s="54" t="str">
        <x:v>NYC-V2-R01</x:v>
      </x:c>
      <x:c r="D90" s="54" t="str">
        <x:v>V2</x:v>
      </x:c>
      <x:c r="E90" s="54" t="str">
        <x:v>ADMITTED</x:v>
      </x:c>
      <x:c r="F90" s="55" t="n">
        <x:v>31305</x:v>
      </x:c>
      <x:c r="G90" s="55" t="n">
        <x:v>8053</x:v>
      </x:c>
      <x:c r="H90" s="55" t="n">
        <x:v>3459</x:v>
      </x:c>
      <x:c r="I90" s="55" t="n">
        <x:v>1245</x:v>
      </x:c>
      <x:c r="J90" s="55" t="n">
        <x:v>179</x:v>
      </x:c>
      <x:c r="K90" s="55" t="n">
        <x:v>31219</x:v>
      </x:c>
      <x:c r="L90" s="55" t="n">
        <x:v>5324</x:v>
      </x:c>
      <x:c r="M90" s="55" t="n">
        <x:v>1571</x:v>
      </x:c>
      <x:c r="N90" s="55" t="n">
        <x:v>1932</x:v>
      </x:c>
      <x:c r="O90" s="55" t="n">
        <x:v>1821</x:v>
      </x:c>
      <x:c r="P90" s="55" t="n">
        <x:v>1215</x:v>
      </x:c>
      <x:c r="Q90" s="55" t="n">
        <x:v>335</x:v>
      </x:c>
      <x:c r="R90" s="55" t="n">
        <x:v>1462</x:v>
      </x:c>
      <x:c r="S90" s="55" t="n">
        <x:v>2473</x:v>
      </x:c>
      <x:c r="T90" s="55" t="n">
        <x:v>1284</x:v>
      </x:c>
      <x:c r="U90" s="55" t="n">
        <x:v>2843</x:v>
      </x:c>
      <x:c r="V90" s="55" t="n">
        <x:v>9834</x:v>
      </x:c>
      <x:c r="W90" s="55" t="n">
        <x:v>6569</x:v>
      </x:c>
      <x:c r="X90" s="55" t="n">
        <x:v>3265</x:v>
      </x:c>
      <x:c r="Y90" s="55" t="n">
        <x:v>3049</x:v>
      </x:c>
      <x:c r="Z90" s="55" t="n">
        <x:v>2695</x:v>
      </x:c>
      <x:c r="AA90" s="55" t="n">
        <x:v>3457</x:v>
      </x:c>
      <x:c r="AB90" s="55" t="n">
        <x:v>1135</x:v>
      </x:c>
      <x:c r="AC90" s="55" t="n">
        <x:v>8473</x:v>
      </x:c>
      <x:c r="AD90" s="55" t="n">
        <x:v>3153</x:v>
      </x:c>
      <x:c r="AE90" s="55" t="n">
        <x:v>9957</x:v>
      </x:c>
      <x:c r="AF90" s="55" t="n">
        <x:v>9834</x:v>
      </x:c>
      <x:c r="AG90" s="55" t="n">
        <x:v>123</x:v>
      </x:c>
      <x:c r="AH90" s="55" t="n">
        <x:v>347</x:v>
      </x:c>
      <x:c r="AI90" s="55" t="n">
        <x:v>9487</x:v>
      </x:c>
      <x:c r="AJ90" s="55" t="n">
        <x:v>248</x:v>
      </x:c>
      <x:c r="AK90" s="55" t="n">
        <x:v>1207</x:v>
      </x:c>
      <x:c r="AL90" s="55" t="n">
        <x:v>1549</x:v>
      </x:c>
      <x:c r="AM90" s="55" t="n">
        <x:v>4169</x:v>
      </x:c>
      <x:c r="AN90" s="55" t="n">
        <x:v>2661</x:v>
      </x:c>
      <x:c r="AO90" s="55" t="n">
        <x:v>0</x:v>
      </x:c>
      <x:c r="AP90" s="55" t="n">
        <x:v>2017</x:v>
      </x:c>
      <x:c r="AQ90" s="55" t="n">
        <x:v>922</x:v>
      </x:c>
    </x:row>
    <x:row r="91">
      <x:c r="A91" s="54" t="str">
        <x:v>T0_TABLE_BLOCK</x:v>
      </x:c>
      <x:c r="B91" s="54" t="n">
        <x:v>85</x:v>
      </x:c>
      <x:c r="C91" s="54" t="str">
        <x:v>NYC-V2-R01</x:v>
      </x:c>
      <x:c r="D91" s="54" t="str">
        <x:v>V2</x:v>
      </x:c>
      <x:c r="E91" s="54" t="str">
        <x:v>ADMITTED</x:v>
      </x:c>
      <x:c r="F91" s="55" t="n">
        <x:v>28400</x:v>
      </x:c>
      <x:c r="G91" s="55" t="n">
        <x:v>6369</x:v>
      </x:c>
      <x:c r="H91" s="55" t="n">
        <x:v>3505</x:v>
      </x:c>
      <x:c r="I91" s="55" t="n">
        <x:v>1273</x:v>
      </x:c>
      <x:c r="J91" s="55" t="n">
        <x:v>298</x:v>
      </x:c>
      <x:c r="K91" s="55" t="n">
        <x:v>28400</x:v>
      </x:c>
      <x:c r="L91" s="55" t="n">
        <x:v>4416</x:v>
      </x:c>
      <x:c r="M91" s="55" t="n">
        <x:v>84</x:v>
      </x:c>
      <x:c r="N91" s="55" t="n">
        <x:v>2713</x:v>
      </x:c>
      <x:c r="O91" s="55" t="n">
        <x:v>1619</x:v>
      </x:c>
      <x:c r="P91" s="55" t="n">
        <x:v>814</x:v>
      </x:c>
      <x:c r="Q91" s="55" t="n">
        <x:v>2411</x:v>
      </x:c>
      <x:c r="R91" s="55" t="n">
        <x:v>1636</x:v>
      </x:c>
      <x:c r="S91" s="55" t="n">
        <x:v>2752</x:v>
      </x:c>
      <x:c r="T91" s="55" t="n">
        <x:v>1607</x:v>
      </x:c>
      <x:c r="U91" s="55" t="n">
        <x:v>2039</x:v>
      </x:c>
      <x:c r="V91" s="55" t="n">
        <x:v>10761</x:v>
      </x:c>
      <x:c r="W91" s="55" t="n">
        <x:v>7979</x:v>
      </x:c>
      <x:c r="X91" s="55" t="n">
        <x:v>2782</x:v>
      </x:c>
      <x:c r="Y91" s="55" t="n">
        <x:v>2435</x:v>
      </x:c>
      <x:c r="Z91" s="55" t="n">
        <x:v>3323</x:v>
      </x:c>
      <x:c r="AA91" s="55" t="n">
        <x:v>3505</x:v>
      </x:c>
      <x:c r="AB91" s="55" t="n">
        <x:v>835</x:v>
      </x:c>
      <x:c r="AC91" s="55" t="n">
        <x:v>7677</x:v>
      </x:c>
      <x:c r="AD91" s="55" t="n">
        <x:v>2966</x:v>
      </x:c>
      <x:c r="AE91" s="55" t="n">
        <x:v>10916</x:v>
      </x:c>
      <x:c r="AF91" s="55" t="n">
        <x:v>10761</x:v>
      </x:c>
      <x:c r="AG91" s="55" t="n">
        <x:v>155</x:v>
      </x:c>
      <x:c r="AH91" s="55" t="n">
        <x:v>383</x:v>
      </x:c>
      <x:c r="AI91" s="55" t="n">
        <x:v>10378</x:v>
      </x:c>
      <x:c r="AJ91" s="55" t="n">
        <x:v>381</x:v>
      </x:c>
      <x:c r="AK91" s="55" t="n">
        <x:v>1531</x:v>
      </x:c>
      <x:c r="AL91" s="55" t="n">
        <x:v>1704</x:v>
      </x:c>
      <x:c r="AM91" s="55" t="n">
        <x:v>4684</x:v>
      </x:c>
      <x:c r="AN91" s="55" t="n">
        <x:v>2409</x:v>
      </x:c>
      <x:c r="AO91" s="55" t="n">
        <x:v>52</x:v>
      </x:c>
      <x:c r="AP91" s="55" t="n">
        <x:v>1980</x:v>
      </x:c>
      <x:c r="AQ91" s="55" t="n">
        <x:v>924</x:v>
      </x:c>
    </x:row>
    <x:row r="92">
      <x:c r="A92" s="54" t="str">
        <x:v>T0_TABLE_BLOCK</x:v>
      </x:c>
      <x:c r="B92" s="54" t="n">
        <x:v>86</x:v>
      </x:c>
      <x:c r="C92" s="54" t="str">
        <x:v>NYC-V2-R01</x:v>
      </x:c>
      <x:c r="D92" s="54" t="str">
        <x:v>V2</x:v>
      </x:c>
      <x:c r="E92" s="54" t="str">
        <x:v>ADMITTED</x:v>
      </x:c>
      <x:c r="F92" s="55" t="n">
        <x:v>30401</x:v>
      </x:c>
      <x:c r="G92" s="55" t="n">
        <x:v>7004</x:v>
      </x:c>
      <x:c r="H92" s="55" t="n">
        <x:v>3544</x:v>
      </x:c>
      <x:c r="I92" s="55" t="n">
        <x:v>1162</x:v>
      </x:c>
      <x:c r="J92" s="55" t="n">
        <x:v>257</x:v>
      </x:c>
      <x:c r="K92" s="55" t="n">
        <x:v>30401</x:v>
      </x:c>
      <x:c r="L92" s="55" t="n">
        <x:v>5809</x:v>
      </x:c>
      <x:c r="M92" s="55" t="n">
        <x:v>1029</x:v>
      </x:c>
      <x:c r="N92" s="55" t="n">
        <x:v>2799</x:v>
      </x:c>
      <x:c r="O92" s="55" t="n">
        <x:v>1981</x:v>
      </x:c>
      <x:c r="P92" s="55" t="n">
        <x:v>575</x:v>
      </x:c>
      <x:c r="Q92" s="55" t="n">
        <x:v>1920</x:v>
      </x:c>
      <x:c r="R92" s="55" t="n">
        <x:v>1745</x:v>
      </x:c>
      <x:c r="S92" s="55" t="n">
        <x:v>3084</x:v>
      </x:c>
      <x:c r="T92" s="55" t="n">
        <x:v>1097</x:v>
      </x:c>
      <x:c r="U92" s="55" t="n">
        <x:v>2353</x:v>
      </x:c>
      <x:c r="V92" s="55" t="n">
        <x:v>10886</x:v>
      </x:c>
      <x:c r="W92" s="55" t="n">
        <x:v>7623</x:v>
      </x:c>
      <x:c r="X92" s="55" t="n">
        <x:v>3263</x:v>
      </x:c>
      <x:c r="Y92" s="55" t="n">
        <x:v>2676</x:v>
      </x:c>
      <x:c r="Z92" s="55" t="n">
        <x:v>3584</x:v>
      </x:c>
      <x:c r="AA92" s="55" t="n">
        <x:v>3419</x:v>
      </x:c>
      <x:c r="AB92" s="55" t="n">
        <x:v>1407</x:v>
      </x:c>
      <x:c r="AC92" s="55" t="n">
        <x:v>7462</x:v>
      </x:c>
      <x:c r="AD92" s="55" t="n">
        <x:v>3110</x:v>
      </x:c>
      <x:c r="AE92" s="55" t="n">
        <x:v>10934</x:v>
      </x:c>
      <x:c r="AF92" s="55" t="n">
        <x:v>10886</x:v>
      </x:c>
      <x:c r="AG92" s="55" t="n">
        <x:v>48</x:v>
      </x:c>
      <x:c r="AH92" s="55" t="n">
        <x:v>493</x:v>
      </x:c>
      <x:c r="AI92" s="55" t="n">
        <x:v>10393</x:v>
      </x:c>
      <x:c r="AJ92" s="55" t="n">
        <x:v>436</x:v>
      </x:c>
      <x:c r="AK92" s="55" t="n">
        <x:v>981</x:v>
      </x:c>
      <x:c r="AL92" s="55" t="n">
        <x:v>1612</x:v>
      </x:c>
      <x:c r="AM92" s="55" t="n">
        <x:v>4880</x:v>
      </x:c>
      <x:c r="AN92" s="55" t="n">
        <x:v>2958</x:v>
      </x:c>
      <x:c r="AO92" s="55" t="n">
        <x:v>19</x:v>
      </x:c>
      <x:c r="AP92" s="55" t="n">
        <x:v>2443</x:v>
      </x:c>
      <x:c r="AQ92" s="55" t="n">
        <x:v>963</x:v>
      </x:c>
    </x:row>
    <x:row r="93">
      <x:c r="A93" s="54" t="str">
        <x:v>T0_TABLE_BLOCK</x:v>
      </x:c>
      <x:c r="B93" s="54" t="n">
        <x:v>87</x:v>
      </x:c>
      <x:c r="C93" s="54" t="str">
        <x:v>NYC-V2-R01</x:v>
      </x:c>
      <x:c r="D93" s="54" t="str">
        <x:v>V2</x:v>
      </x:c>
      <x:c r="E93" s="54" t="str">
        <x:v>ADMITTED</x:v>
      </x:c>
      <x:c r="F93" s="55" t="n">
        <x:v>32316</x:v>
      </x:c>
      <x:c r="G93" s="55" t="n">
        <x:v>8404</x:v>
      </x:c>
      <x:c r="H93" s="55" t="n">
        <x:v>3210</x:v>
      </x:c>
      <x:c r="I93" s="55" t="n">
        <x:v>1226</x:v>
      </x:c>
      <x:c r="J93" s="55" t="n">
        <x:v>275</x:v>
      </x:c>
      <x:c r="K93" s="55" t="n">
        <x:v>32316</x:v>
      </x:c>
      <x:c r="L93" s="55" t="n">
        <x:v>5450</x:v>
      </x:c>
      <x:c r="M93" s="55" t="n">
        <x:v>63</x:v>
      </x:c>
      <x:c r="N93" s="55" t="n">
        <x:v>2811</x:v>
      </x:c>
      <x:c r="O93" s="55" t="n">
        <x:v>2576</x:v>
      </x:c>
      <x:c r="P93" s="55" t="n">
        <x:v>1098</x:v>
      </x:c>
      <x:c r="Q93" s="55" t="n">
        <x:v>2563</x:v>
      </x:c>
      <x:c r="R93" s="55" t="n">
        <x:v>2126</x:v>
      </x:c>
      <x:c r="S93" s="55" t="n">
        <x:v>1765</x:v>
      </x:c>
      <x:c r="T93" s="55" t="n">
        <x:v>1317</x:v>
      </x:c>
      <x:c r="U93" s="55" t="n">
        <x:v>1556</x:v>
      </x:c>
      <x:c r="V93" s="55" t="n">
        <x:v>10848</x:v>
      </x:c>
      <x:c r="W93" s="55" t="n">
        <x:v>8066</x:v>
      </x:c>
      <x:c r="X93" s="55" t="n">
        <x:v>2782</x:v>
      </x:c>
      <x:c r="Y93" s="55" t="n">
        <x:v>2518</x:v>
      </x:c>
      <x:c r="Z93" s="55" t="n">
        <x:v>3777</x:v>
      </x:c>
      <x:c r="AA93" s="55" t="n">
        <x:v>3014</x:v>
      </x:c>
      <x:c r="AB93" s="55" t="n">
        <x:v>853</x:v>
      </x:c>
      <x:c r="AC93" s="55" t="n">
        <x:v>7884</x:v>
      </x:c>
      <x:c r="AD93" s="55" t="n">
        <x:v>2412</x:v>
      </x:c>
      <x:c r="AE93" s="55" t="n">
        <x:v>10871</x:v>
      </x:c>
      <x:c r="AF93" s="55" t="n">
        <x:v>10848</x:v>
      </x:c>
      <x:c r="AG93" s="55" t="n">
        <x:v>23</x:v>
      </x:c>
      <x:c r="AH93" s="55" t="n">
        <x:v>481</x:v>
      </x:c>
      <x:c r="AI93" s="55" t="n">
        <x:v>10367</x:v>
      </x:c>
      <x:c r="AJ93" s="55" t="n">
        <x:v>331</x:v>
      </x:c>
      <x:c r="AK93" s="55" t="n">
        <x:v>930</x:v>
      </x:c>
      <x:c r="AL93" s="55" t="n">
        <x:v>1852</x:v>
      </x:c>
      <x:c r="AM93" s="55" t="n">
        <x:v>5093</x:v>
      </x:c>
      <x:c r="AN93" s="55" t="n">
        <x:v>2642</x:v>
      </x:c>
      <x:c r="AO93" s="55" t="n">
        <x:v>0</x:v>
      </x:c>
      <x:c r="AP93" s="55" t="n">
        <x:v>2705</x:v>
      </x:c>
      <x:c r="AQ93" s="55" t="n">
        <x:v>964</x:v>
      </x:c>
    </x:row>
    <x:row r="94">
      <x:c r="A94" s="54" t="str">
        <x:v>T0_TABLE_BLOCK</x:v>
      </x:c>
      <x:c r="B94" s="54" t="n">
        <x:v>88</x:v>
      </x:c>
      <x:c r="C94" s="54" t="str">
        <x:v>NYC-V2-R01</x:v>
      </x:c>
      <x:c r="D94" s="54" t="str">
        <x:v>V2</x:v>
      </x:c>
      <x:c r="E94" s="54" t="str">
        <x:v>ADMITTED</x:v>
      </x:c>
      <x:c r="F94" s="55" t="n">
        <x:v>30037</x:v>
      </x:c>
      <x:c r="G94" s="55" t="n">
        <x:v>6415</x:v>
      </x:c>
      <x:c r="H94" s="55" t="n">
        <x:v>3836</x:v>
      </x:c>
      <x:c r="I94" s="55" t="n">
        <x:v>1826</x:v>
      </x:c>
      <x:c r="J94" s="55" t="n">
        <x:v>292</x:v>
      </x:c>
      <x:c r="K94" s="55" t="n">
        <x:v>30037</x:v>
      </x:c>
      <x:c r="L94" s="55" t="n">
        <x:v>5670</x:v>
      </x:c>
      <x:c r="M94" s="55" t="n">
        <x:v>2355</x:v>
      </x:c>
      <x:c r="N94" s="55" t="n">
        <x:v>2245</x:v>
      </x:c>
      <x:c r="O94" s="55" t="n">
        <x:v>1070</x:v>
      </x:c>
      <x:c r="P94" s="55" t="n">
        <x:v>886</x:v>
      </x:c>
      <x:c r="Q94" s="55" t="n">
        <x:v>3015</x:v>
      </x:c>
      <x:c r="R94" s="55" t="n">
        <x:v>1741</x:v>
      </x:c>
      <x:c r="S94" s="55" t="n">
        <x:v>2758</x:v>
      </x:c>
      <x:c r="T94" s="55" t="n">
        <x:v>1332</x:v>
      </x:c>
      <x:c r="U94" s="55" t="n">
        <x:v>2406</x:v>
      </x:c>
      <x:c r="V94" s="55" t="n">
        <x:v>11429</x:v>
      </x:c>
      <x:c r="W94" s="55" t="n">
        <x:v>8331</x:v>
      </x:c>
      <x:c r="X94" s="55" t="n">
        <x:v>3098</x:v>
      </x:c>
      <x:c r="Y94" s="55" t="n">
        <x:v>2599</x:v>
      </x:c>
      <x:c r="Z94" s="55" t="n">
        <x:v>3446</x:v>
      </x:c>
      <x:c r="AA94" s="55" t="n">
        <x:v>2961</x:v>
      </x:c>
      <x:c r="AB94" s="55" t="n">
        <x:v>885</x:v>
      </x:c>
      <x:c r="AC94" s="55" t="n">
        <x:v>8245</x:v>
      </x:c>
      <x:c r="AD94" s="55" t="n">
        <x:v>2321</x:v>
      </x:c>
      <x:c r="AE94" s="55" t="n">
        <x:v>11548</x:v>
      </x:c>
      <x:c r="AF94" s="55" t="n">
        <x:v>11429</x:v>
      </x:c>
      <x:c r="AG94" s="55" t="n">
        <x:v>119</x:v>
      </x:c>
      <x:c r="AH94" s="55" t="n">
        <x:v>579</x:v>
      </x:c>
      <x:c r="AI94" s="55" t="n">
        <x:v>10850</x:v>
      </x:c>
      <x:c r="AJ94" s="55" t="n">
        <x:v>200</x:v>
      </x:c>
      <x:c r="AK94" s="55" t="n">
        <x:v>1201</x:v>
      </x:c>
      <x:c r="AL94" s="55" t="n">
        <x:v>1911</x:v>
      </x:c>
      <x:c r="AM94" s="55" t="n">
        <x:v>5210</x:v>
      </x:c>
      <x:c r="AN94" s="55" t="n">
        <x:v>2867</x:v>
      </x:c>
      <x:c r="AO94" s="55" t="n">
        <x:v>40</x:v>
      </x:c>
      <x:c r="AP94" s="55" t="n">
        <x:v>2542</x:v>
      </x:c>
      <x:c r="AQ94" s="55" t="n">
        <x:v>958</x:v>
      </x:c>
    </x:row>
    <x:row r="95">
      <x:c r="A95" s="54" t="str">
        <x:v>T0_TABLE_BLOCK</x:v>
      </x:c>
      <x:c r="B95" s="54" t="n">
        <x:v>89</x:v>
      </x:c>
      <x:c r="C95" s="54" t="str">
        <x:v>NYC-V2-R01</x:v>
      </x:c>
      <x:c r="D95" s="54" t="str">
        <x:v>V2</x:v>
      </x:c>
      <x:c r="E95" s="54" t="str">
        <x:v>ADMITTED</x:v>
      </x:c>
      <x:c r="F95" s="55" t="n">
        <x:v>32071</x:v>
      </x:c>
      <x:c r="G95" s="55" t="n">
        <x:v>8008</x:v>
      </x:c>
      <x:c r="H95" s="55" t="n">
        <x:v>3688</x:v>
      </x:c>
      <x:c r="I95" s="55" t="n">
        <x:v>1445</x:v>
      </x:c>
      <x:c r="J95" s="55" t="n">
        <x:v>356</x:v>
      </x:c>
      <x:c r="K95" s="55" t="n">
        <x:v>32071</x:v>
      </x:c>
      <x:c r="L95" s="55" t="n">
        <x:v>6244</x:v>
      </x:c>
      <x:c r="M95" s="55" t="n">
        <x:v>848</x:v>
      </x:c>
      <x:c r="N95" s="55" t="n">
        <x:v>3324</x:v>
      </x:c>
      <x:c r="O95" s="55" t="n">
        <x:v>2072</x:v>
      </x:c>
      <x:c r="P95" s="55" t="n">
        <x:v>711</x:v>
      </x:c>
      <x:c r="Q95" s="55" t="n">
        <x:v>2863</x:v>
      </x:c>
      <x:c r="R95" s="55" t="n">
        <x:v>2004</x:v>
      </x:c>
      <x:c r="S95" s="55" t="n">
        <x:v>2847</x:v>
      </x:c>
      <x:c r="T95" s="55" t="n">
        <x:v>1482</x:v>
      </x:c>
      <x:c r="U95" s="55" t="n">
        <x:v>2079</x:v>
      </x:c>
      <x:c r="V95" s="55" t="n">
        <x:v>10324</x:v>
      </x:c>
      <x:c r="W95" s="55" t="n">
        <x:v>7208</x:v>
      </x:c>
      <x:c r="X95" s="55" t="n">
        <x:v>3116</x:v>
      </x:c>
      <x:c r="Y95" s="55" t="n">
        <x:v>2651</x:v>
      </x:c>
      <x:c r="Z95" s="55" t="n">
        <x:v>4013</x:v>
      </x:c>
      <x:c r="AA95" s="55" t="n">
        <x:v>3601</x:v>
      </x:c>
      <x:c r="AB95" s="55" t="n">
        <x:v>1331</x:v>
      </x:c>
      <x:c r="AC95" s="55" t="n">
        <x:v>8462</x:v>
      </x:c>
      <x:c r="AD95" s="55" t="n">
        <x:v>3424</x:v>
      </x:c>
      <x:c r="AE95" s="55" t="n">
        <x:v>10408</x:v>
      </x:c>
      <x:c r="AF95" s="55" t="n">
        <x:v>10324</x:v>
      </x:c>
      <x:c r="AG95" s="55" t="n">
        <x:v>84</x:v>
      </x:c>
      <x:c r="AH95" s="55" t="n">
        <x:v>189</x:v>
      </x:c>
      <x:c r="AI95" s="55" t="n">
        <x:v>10135</x:v>
      </x:c>
      <x:c r="AJ95" s="55" t="n">
        <x:v>409</x:v>
      </x:c>
      <x:c r="AK95" s="55" t="n">
        <x:v>847</x:v>
      </x:c>
      <x:c r="AL95" s="55" t="n">
        <x:v>1592</x:v>
      </x:c>
      <x:c r="AM95" s="55" t="n">
        <x:v>4783</x:v>
      </x:c>
      <x:c r="AN95" s="55" t="n">
        <x:v>2693</x:v>
      </x:c>
      <x:c r="AO95" s="55" t="n">
        <x:v>0</x:v>
      </x:c>
      <x:c r="AP95" s="55" t="n">
        <x:v>1769</x:v>
      </x:c>
      <x:c r="AQ95" s="55" t="n">
        <x:v>989</x:v>
      </x:c>
    </x:row>
    <x:row r="96">
      <x:c r="A96" s="54" t="str">
        <x:v>T0_TABLE_BLOCK</x:v>
      </x:c>
      <x:c r="B96" s="54" t="n">
        <x:v>90</x:v>
      </x:c>
      <x:c r="C96" s="54" t="str">
        <x:v>NYC-V2-R01</x:v>
      </x:c>
      <x:c r="D96" s="54" t="str">
        <x:v>V2</x:v>
      </x:c>
      <x:c r="E96" s="54" t="str">
        <x:v>ADMITTED</x:v>
      </x:c>
      <x:c r="F96" s="55" t="n">
        <x:v>30386</x:v>
      </x:c>
      <x:c r="G96" s="55" t="n">
        <x:v>8184</x:v>
      </x:c>
      <x:c r="H96" s="55" t="n">
        <x:v>3288</x:v>
      </x:c>
      <x:c r="I96" s="55" t="n">
        <x:v>1116</x:v>
      </x:c>
      <x:c r="J96" s="55" t="n">
        <x:v>228</x:v>
      </x:c>
      <x:c r="K96" s="55" t="n">
        <x:v>28568</x:v>
      </x:c>
      <x:c r="L96" s="55" t="n">
        <x:v>4633</x:v>
      </x:c>
      <x:c r="M96" s="55" t="n">
        <x:v>0</x:v>
      </x:c>
      <x:c r="N96" s="55" t="n">
        <x:v>2556</x:v>
      </x:c>
      <x:c r="O96" s="55" t="n">
        <x:v>2077</x:v>
      </x:c>
      <x:c r="P96" s="55" t="n">
        <x:v>784</x:v>
      </x:c>
      <x:c r="Q96" s="55" t="n">
        <x:v>3166</x:v>
      </x:c>
      <x:c r="R96" s="55" t="n">
        <x:v>1260</x:v>
      </x:c>
      <x:c r="S96" s="55" t="n">
        <x:v>2361</x:v>
      </x:c>
      <x:c r="T96" s="55" t="n">
        <x:v>1322</x:v>
      </x:c>
      <x:c r="U96" s="55" t="n">
        <x:v>2391</x:v>
      </x:c>
      <x:c r="V96" s="55" t="n">
        <x:v>10115</x:v>
      </x:c>
      <x:c r="W96" s="55" t="n">
        <x:v>7554</x:v>
      </x:c>
      <x:c r="X96" s="55" t="n">
        <x:v>2561</x:v>
      </x:c>
      <x:c r="Y96" s="55" t="n">
        <x:v>2393</x:v>
      </x:c>
      <x:c r="Z96" s="55" t="n">
        <x:v>3819</x:v>
      </x:c>
      <x:c r="AA96" s="55" t="n">
        <x:v>3288</x:v>
      </x:c>
      <x:c r="AB96" s="55" t="n">
        <x:v>1205</x:v>
      </x:c>
      <x:c r="AC96" s="55" t="n">
        <x:v>8326</x:v>
      </x:c>
      <x:c r="AD96" s="55" t="n">
        <x:v>2707</x:v>
      </x:c>
      <x:c r="AE96" s="55" t="n">
        <x:v>10182</x:v>
      </x:c>
      <x:c r="AF96" s="55" t="n">
        <x:v>10115</x:v>
      </x:c>
      <x:c r="AG96" s="55" t="n">
        <x:v>67</x:v>
      </x:c>
      <x:c r="AH96" s="55" t="n">
        <x:v>667</x:v>
      </x:c>
      <x:c r="AI96" s="55" t="n">
        <x:v>9448</x:v>
      </x:c>
      <x:c r="AJ96" s="55" t="n">
        <x:v>404</x:v>
      </x:c>
      <x:c r="AK96" s="55" t="n">
        <x:v>433</x:v>
      </x:c>
      <x:c r="AL96" s="55" t="n">
        <x:v>1600</x:v>
      </x:c>
      <x:c r="AM96" s="55" t="n">
        <x:v>4668</x:v>
      </x:c>
      <x:c r="AN96" s="55" t="n">
        <x:v>3010</x:v>
      </x:c>
      <x:c r="AO96" s="55" t="n">
        <x:v>0</x:v>
      </x:c>
      <x:c r="AP96" s="55" t="n">
        <x:v>2459</x:v>
      </x:c>
      <x:c r="AQ96" s="55" t="n">
        <x:v>982</x:v>
      </x:c>
    </x:row>
    <x:row r="97">
      <x:c r="A97" s="54" t="str">
        <x:v>T0_TABLE_BLOCK</x:v>
      </x:c>
      <x:c r="B97" s="54" t="n">
        <x:v>91</x:v>
      </x:c>
      <x:c r="C97" s="54" t="str">
        <x:v>NYC-V2-R01</x:v>
      </x:c>
      <x:c r="D97" s="54" t="str">
        <x:v>V2</x:v>
      </x:c>
      <x:c r="E97" s="54" t="str">
        <x:v>ADMITTED</x:v>
      </x:c>
      <x:c r="F97" s="55" t="n">
        <x:v>32229</x:v>
      </x:c>
      <x:c r="G97" s="55" t="n">
        <x:v>7066</x:v>
      </x:c>
      <x:c r="H97" s="55" t="n">
        <x:v>2842</x:v>
      </x:c>
      <x:c r="I97" s="55" t="n">
        <x:v>1317</x:v>
      </x:c>
      <x:c r="J97" s="55" t="n">
        <x:v>168</x:v>
      </x:c>
      <x:c r="K97" s="55" t="n">
        <x:v>32229</x:v>
      </x:c>
      <x:c r="L97" s="55" t="n">
        <x:v>5852</x:v>
      </x:c>
      <x:c r="M97" s="55" t="n">
        <x:v>840</x:v>
      </x:c>
      <x:c r="N97" s="55" t="n">
        <x:v>3113</x:v>
      </x:c>
      <x:c r="O97" s="55" t="n">
        <x:v>1899</x:v>
      </x:c>
      <x:c r="P97" s="55" t="n">
        <x:v>656</x:v>
      </x:c>
      <x:c r="Q97" s="55" t="n">
        <x:v>2422</x:v>
      </x:c>
      <x:c r="R97" s="55" t="n">
        <x:v>2536</x:v>
      </x:c>
      <x:c r="S97" s="55" t="n">
        <x:v>2150</x:v>
      </x:c>
      <x:c r="T97" s="55" t="n">
        <x:v>1251</x:v>
      </x:c>
      <x:c r="U97" s="55" t="n">
        <x:v>1864</x:v>
      </x:c>
      <x:c r="V97" s="55" t="n">
        <x:v>10246</x:v>
      </x:c>
      <x:c r="W97" s="55" t="n">
        <x:v>6838</x:v>
      </x:c>
      <x:c r="X97" s="55" t="n">
        <x:v>3408</x:v>
      </x:c>
      <x:c r="Y97" s="55" t="n">
        <x:v>2771</x:v>
      </x:c>
      <x:c r="Z97" s="55" t="n">
        <x:v>3890</x:v>
      </x:c>
      <x:c r="AA97" s="55" t="n">
        <x:v>2842</x:v>
      </x:c>
      <x:c r="AB97" s="55" t="n">
        <x:v>1195</x:v>
      </x:c>
      <x:c r="AC97" s="55" t="n">
        <x:v>7531</x:v>
      </x:c>
      <x:c r="AD97" s="55" t="n">
        <x:v>2768</x:v>
      </x:c>
      <x:c r="AE97" s="55" t="n">
        <x:v>10367</x:v>
      </x:c>
      <x:c r="AF97" s="55" t="n">
        <x:v>10246</x:v>
      </x:c>
      <x:c r="AG97" s="55" t="n">
        <x:v>121</x:v>
      </x:c>
      <x:c r="AH97" s="55" t="n">
        <x:v>225</x:v>
      </x:c>
      <x:c r="AI97" s="55" t="n">
        <x:v>10021</x:v>
      </x:c>
      <x:c r="AJ97" s="55" t="n">
        <x:v>479</x:v>
      </x:c>
      <x:c r="AK97" s="55" t="n">
        <x:v>1102</x:v>
      </x:c>
      <x:c r="AL97" s="55" t="n">
        <x:v>1592</x:v>
      </x:c>
      <x:c r="AM97" s="55" t="n">
        <x:v>4605</x:v>
      </x:c>
      <x:c r="AN97" s="55" t="n">
        <x:v>2413</x:v>
      </x:c>
      <x:c r="AO97" s="55" t="n">
        <x:v>55</x:v>
      </x:c>
      <x:c r="AP97" s="55" t="n">
        <x:v>2301</x:v>
      </x:c>
      <x:c r="AQ97" s="55" t="n">
        <x:v>985</x:v>
      </x:c>
    </x:row>
    <x:row r="98">
      <x:c r="A98" s="54" t="str">
        <x:v>T0_TABLE_BLOCK</x:v>
      </x:c>
      <x:c r="B98" s="54" t="n">
        <x:v>92</x:v>
      </x:c>
      <x:c r="C98" s="54" t="str">
        <x:v>NYC-V2-R01</x:v>
      </x:c>
      <x:c r="D98" s="54" t="str">
        <x:v>V2</x:v>
      </x:c>
      <x:c r="E98" s="54" t="str">
        <x:v>ADMITTED</x:v>
      </x:c>
      <x:c r="F98" s="55" t="n">
        <x:v>31753</x:v>
      </x:c>
      <x:c r="G98" s="55" t="n">
        <x:v>5895</x:v>
      </x:c>
      <x:c r="H98" s="55" t="n">
        <x:v>3347</x:v>
      </x:c>
      <x:c r="I98" s="55" t="n">
        <x:v>1379</x:v>
      </x:c>
      <x:c r="J98" s="55" t="n">
        <x:v>421</x:v>
      </x:c>
      <x:c r="K98" s="55" t="n">
        <x:v>31753</x:v>
      </x:c>
      <x:c r="L98" s="55" t="n">
        <x:v>6004</x:v>
      </x:c>
      <x:c r="M98" s="55" t="n">
        <x:v>1993</x:v>
      </x:c>
      <x:c r="N98" s="55" t="n">
        <x:v>2764</x:v>
      </x:c>
      <x:c r="O98" s="55" t="n">
        <x:v>1247</x:v>
      </x:c>
      <x:c r="P98" s="55" t="n">
        <x:v>919</x:v>
      </x:c>
      <x:c r="Q98" s="55" t="n">
        <x:v>2606</x:v>
      </x:c>
      <x:c r="R98" s="55" t="n">
        <x:v>1930</x:v>
      </x:c>
      <x:c r="S98" s="55" t="n">
        <x:v>3152</x:v>
      </x:c>
      <x:c r="T98" s="55" t="n">
        <x:v>992</x:v>
      </x:c>
      <x:c r="U98" s="55" t="n">
        <x:v>2333</x:v>
      </x:c>
      <x:c r="V98" s="55" t="n">
        <x:v>10829</x:v>
      </x:c>
      <x:c r="W98" s="55" t="n">
        <x:v>7838</x:v>
      </x:c>
      <x:c r="X98" s="55" t="n">
        <x:v>2991</x:v>
      </x:c>
      <x:c r="Y98" s="55" t="n">
        <x:v>2424</x:v>
      </x:c>
      <x:c r="Z98" s="55" t="n">
        <x:v>3798</x:v>
      </x:c>
      <x:c r="AA98" s="55" t="n">
        <x:v>3060</x:v>
      </x:c>
      <x:c r="AB98" s="55" t="n">
        <x:v>1035</x:v>
      </x:c>
      <x:c r="AC98" s="55" t="n">
        <x:v>8437</x:v>
      </x:c>
      <x:c r="AD98" s="55" t="n">
        <x:v>3062</x:v>
      </x:c>
      <x:c r="AE98" s="55" t="n">
        <x:v>10855</x:v>
      </x:c>
      <x:c r="AF98" s="55" t="n">
        <x:v>10829</x:v>
      </x:c>
      <x:c r="AG98" s="55" t="n">
        <x:v>26</x:v>
      </x:c>
      <x:c r="AH98" s="55" t="n">
        <x:v>494</x:v>
      </x:c>
      <x:c r="AI98" s="55" t="n">
        <x:v>10335</x:v>
      </x:c>
      <x:c r="AJ98" s="55" t="n">
        <x:v>349</x:v>
      </x:c>
      <x:c r="AK98" s="55" t="n">
        <x:v>1018</x:v>
      </x:c>
      <x:c r="AL98" s="55" t="n">
        <x:v>1231</x:v>
      </x:c>
      <x:c r="AM98" s="55" t="n">
        <x:v>5205</x:v>
      </x:c>
      <x:c r="AN98" s="55" t="n">
        <x:v>3026</x:v>
      </x:c>
      <x:c r="AO98" s="55" t="n">
        <x:v>0</x:v>
      </x:c>
      <x:c r="AP98" s="55" t="n">
        <x:v>2594</x:v>
      </x:c>
      <x:c r="AQ98" s="55" t="n">
        <x:v>917</x:v>
      </x:c>
    </x:row>
    <x:row r="99">
      <x:c r="A99" s="54" t="str">
        <x:v>T0_TABLE_BLOCK</x:v>
      </x:c>
      <x:c r="B99" s="54" t="n">
        <x:v>93</x:v>
      </x:c>
      <x:c r="C99" s="54" t="str">
        <x:v>NYC-V2-R01</x:v>
      </x:c>
      <x:c r="D99" s="54" t="str">
        <x:v>V2</x:v>
      </x:c>
      <x:c r="E99" s="54" t="str">
        <x:v>ADMITTED</x:v>
      </x:c>
      <x:c r="F99" s="55" t="n">
        <x:v>32990</x:v>
      </x:c>
      <x:c r="G99" s="55" t="n">
        <x:v>9782</x:v>
      </x:c>
      <x:c r="H99" s="55" t="n">
        <x:v>2984</x:v>
      </x:c>
      <x:c r="I99" s="55" t="n">
        <x:v>1307</x:v>
      </x:c>
      <x:c r="J99" s="55" t="n">
        <x:v>340</x:v>
      </x:c>
      <x:c r="K99" s="55" t="n">
        <x:v>27849</x:v>
      </x:c>
      <x:c r="L99" s="55" t="n">
        <x:v>3996</x:v>
      </x:c>
      <x:c r="M99" s="55" t="n">
        <x:v>80</x:v>
      </x:c>
      <x:c r="N99" s="55" t="n">
        <x:v>2374</x:v>
      </x:c>
      <x:c r="O99" s="55" t="n">
        <x:v>1542</x:v>
      </x:c>
      <x:c r="P99" s="55" t="n">
        <x:v>640</x:v>
      </x:c>
      <x:c r="Q99" s="55" t="n">
        <x:v>2664</x:v>
      </x:c>
      <x:c r="R99" s="55" t="n">
        <x:v>2211</x:v>
      </x:c>
      <x:c r="S99" s="55" t="n">
        <x:v>2549</x:v>
      </x:c>
      <x:c r="T99" s="55" t="n">
        <x:v>1682</x:v>
      </x:c>
      <x:c r="U99" s="55" t="n">
        <x:v>2452</x:v>
      </x:c>
      <x:c r="V99" s="55" t="n">
        <x:v>10821</x:v>
      </x:c>
      <x:c r="W99" s="55" t="n">
        <x:v>7718</x:v>
      </x:c>
      <x:c r="X99" s="55" t="n">
        <x:v>3103</x:v>
      </x:c>
      <x:c r="Y99" s="55" t="n">
        <x:v>2643</x:v>
      </x:c>
      <x:c r="Z99" s="55" t="n">
        <x:v>3970</x:v>
      </x:c>
      <x:c r="AA99" s="55" t="n">
        <x:v>2826</x:v>
      </x:c>
      <x:c r="AB99" s="55" t="n">
        <x:v>980</x:v>
      </x:c>
      <x:c r="AC99" s="55" t="n">
        <x:v>8077</x:v>
      </x:c>
      <x:c r="AD99" s="55" t="n">
        <x:v>2951</x:v>
      </x:c>
      <x:c r="AE99" s="55" t="n">
        <x:v>11019</x:v>
      </x:c>
      <x:c r="AF99" s="55" t="n">
        <x:v>10821</x:v>
      </x:c>
      <x:c r="AG99" s="55" t="n">
        <x:v>198</x:v>
      </x:c>
      <x:c r="AH99" s="55" t="n">
        <x:v>399</x:v>
      </x:c>
      <x:c r="AI99" s="55" t="n">
        <x:v>10422</x:v>
      </x:c>
      <x:c r="AJ99" s="55" t="n">
        <x:v>300</x:v>
      </x:c>
      <x:c r="AK99" s="55" t="n">
        <x:v>1137</x:v>
      </x:c>
      <x:c r="AL99" s="55" t="n">
        <x:v>1756</x:v>
      </x:c>
      <x:c r="AM99" s="55" t="n">
        <x:v>4866</x:v>
      </x:c>
      <x:c r="AN99" s="55" t="n">
        <x:v>2656</x:v>
      </x:c>
      <x:c r="AO99" s="55" t="n">
        <x:v>106</x:v>
      </x:c>
      <x:c r="AP99" s="55" t="n">
        <x:v>2133</x:v>
      </x:c>
      <x:c r="AQ99" s="55" t="n">
        <x:v>957</x:v>
      </x:c>
    </x:row>
    <x:row r="100">
      <x:c r="A100" s="54" t="str">
        <x:v>T0_TABLE_BLOCK</x:v>
      </x:c>
      <x:c r="B100" s="54" t="n">
        <x:v>94</x:v>
      </x:c>
      <x:c r="C100" s="54" t="str">
        <x:v>NYC-V2-R01</x:v>
      </x:c>
      <x:c r="D100" s="54" t="str">
        <x:v>V2</x:v>
      </x:c>
      <x:c r="E100" s="54" t="str">
        <x:v>ADMITTED</x:v>
      </x:c>
      <x:c r="F100" s="55" t="n">
        <x:v>32610</x:v>
      </x:c>
      <x:c r="G100" s="55" t="n">
        <x:v>9495</x:v>
      </x:c>
      <x:c r="H100" s="55" t="n">
        <x:v>3547</x:v>
      </x:c>
      <x:c r="I100" s="55" t="n">
        <x:v>1128</x:v>
      </x:c>
      <x:c r="J100" s="55" t="n">
        <x:v>214</x:v>
      </x:c>
      <x:c r="K100" s="55" t="n">
        <x:v>30893</x:v>
      </x:c>
      <x:c r="L100" s="55" t="n">
        <x:v>6645</x:v>
      </x:c>
      <x:c r="M100" s="55" t="n">
        <x:v>2590</x:v>
      </x:c>
      <x:c r="N100" s="55" t="n">
        <x:v>2635</x:v>
      </x:c>
      <x:c r="O100" s="55" t="n">
        <x:v>1420</x:v>
      </x:c>
      <x:c r="P100" s="55" t="n">
        <x:v>979</x:v>
      </x:c>
      <x:c r="Q100" s="55" t="n">
        <x:v>2502</x:v>
      </x:c>
      <x:c r="R100" s="55" t="n">
        <x:v>1936</x:v>
      </x:c>
      <x:c r="S100" s="55" t="n">
        <x:v>2653</x:v>
      </x:c>
      <x:c r="T100" s="55" t="n">
        <x:v>1090</x:v>
      </x:c>
      <x:c r="U100" s="55" t="n">
        <x:v>2322</x:v>
      </x:c>
      <x:c r="V100" s="55" t="n">
        <x:v>10316</x:v>
      </x:c>
      <x:c r="W100" s="55" t="n">
        <x:v>7524</x:v>
      </x:c>
      <x:c r="X100" s="55" t="n">
        <x:v>2792</x:v>
      </x:c>
      <x:c r="Y100" s="55" t="n">
        <x:v>2497</x:v>
      </x:c>
      <x:c r="Z100" s="55" t="n">
        <x:v>3440</x:v>
      </x:c>
      <x:c r="AA100" s="55" t="n">
        <x:v>3547</x:v>
      </x:c>
      <x:c r="AB100" s="55" t="n">
        <x:v>1158</x:v>
      </x:c>
      <x:c r="AC100" s="55" t="n">
        <x:v>8134</x:v>
      </x:c>
      <x:c r="AD100" s="55" t="n">
        <x:v>2904</x:v>
      </x:c>
      <x:c r="AE100" s="55" t="n">
        <x:v>10441</x:v>
      </x:c>
      <x:c r="AF100" s="55" t="n">
        <x:v>10316</x:v>
      </x:c>
      <x:c r="AG100" s="55" t="n">
        <x:v>125</x:v>
      </x:c>
      <x:c r="AH100" s="55" t="n">
        <x:v>429</x:v>
      </x:c>
      <x:c r="AI100" s="55" t="n">
        <x:v>9887</x:v>
      </x:c>
      <x:c r="AJ100" s="55" t="n">
        <x:v>132</x:v>
      </x:c>
      <x:c r="AK100" s="55" t="n">
        <x:v>1354</x:v>
      </x:c>
      <x:c r="AL100" s="55" t="n">
        <x:v>1460</x:v>
      </x:c>
      <x:c r="AM100" s="55" t="n">
        <x:v>4749</x:v>
      </x:c>
      <x:c r="AN100" s="55" t="n">
        <x:v>2621</x:v>
      </x:c>
      <x:c r="AO100" s="55" t="n">
        <x:v>0</x:v>
      </x:c>
      <x:c r="AP100" s="55" t="n">
        <x:v>2282</x:v>
      </x:c>
      <x:c r="AQ100" s="55" t="n">
        <x:v>978</x:v>
      </x:c>
    </x:row>
    <x:row r="101">
      <x:c r="A101" s="54" t="str">
        <x:v>T0_TABLE_BLOCK</x:v>
      </x:c>
      <x:c r="B101" s="54" t="n">
        <x:v>95</x:v>
      </x:c>
      <x:c r="C101" s="54" t="str">
        <x:v>NYC-V2-R01</x:v>
      </x:c>
      <x:c r="D101" s="54" t="str">
        <x:v>V2</x:v>
      </x:c>
      <x:c r="E101" s="54" t="str">
        <x:v>ADMITTED</x:v>
      </x:c>
      <x:c r="F101" s="55" t="n">
        <x:v>32621</x:v>
      </x:c>
      <x:c r="G101" s="55" t="n">
        <x:v>8776</x:v>
      </x:c>
      <x:c r="H101" s="55" t="n">
        <x:v>3506</x:v>
      </x:c>
      <x:c r="I101" s="55" t="n">
        <x:v>1449</x:v>
      </x:c>
      <x:c r="J101" s="55" t="n">
        <x:v>325</x:v>
      </x:c>
      <x:c r="K101" s="55" t="n">
        <x:v>30044</x:v>
      </x:c>
      <x:c r="L101" s="55" t="n">
        <x:v>5781</x:v>
      </x:c>
      <x:c r="M101" s="55" t="n">
        <x:v>182</x:v>
      </x:c>
      <x:c r="N101" s="55" t="n">
        <x:v>3676</x:v>
      </x:c>
      <x:c r="O101" s="55" t="n">
        <x:v>1923</x:v>
      </x:c>
      <x:c r="P101" s="55" t="n">
        <x:v>1019</x:v>
      </x:c>
      <x:c r="Q101" s="55" t="n">
        <x:v>2526</x:v>
      </x:c>
      <x:c r="R101" s="55" t="n">
        <x:v>2035</x:v>
      </x:c>
      <x:c r="S101" s="55" t="n">
        <x:v>2702</x:v>
      </x:c>
      <x:c r="T101" s="55" t="n">
        <x:v>1656</x:v>
      </x:c>
      <x:c r="U101" s="55" t="n">
        <x:v>1986</x:v>
      </x:c>
      <x:c r="V101" s="55" t="n">
        <x:v>10604</x:v>
      </x:c>
      <x:c r="W101" s="55" t="n">
        <x:v>7419</x:v>
      </x:c>
      <x:c r="X101" s="55" t="n">
        <x:v>3185</x:v>
      </x:c>
      <x:c r="Y101" s="55" t="n">
        <x:v>2721</x:v>
      </x:c>
      <x:c r="Z101" s="55" t="n">
        <x:v>3561</x:v>
      </x:c>
      <x:c r="AA101" s="55" t="n">
        <x:v>3431</x:v>
      </x:c>
      <x:c r="AB101" s="55" t="n">
        <x:v>1438</x:v>
      </x:c>
      <x:c r="AC101" s="55" t="n">
        <x:v>8631</x:v>
      </x:c>
      <x:c r="AD101" s="55" t="n">
        <x:v>2636</x:v>
      </x:c>
      <x:c r="AE101" s="55" t="n">
        <x:v>10663</x:v>
      </x:c>
      <x:c r="AF101" s="55" t="n">
        <x:v>10604</x:v>
      </x:c>
      <x:c r="AG101" s="55" t="n">
        <x:v>59</x:v>
      </x:c>
      <x:c r="AH101" s="55" t="n">
        <x:v>311</x:v>
      </x:c>
      <x:c r="AI101" s="55" t="n">
        <x:v>10293</x:v>
      </x:c>
      <x:c r="AJ101" s="55" t="n">
        <x:v>286</x:v>
      </x:c>
      <x:c r="AK101" s="55" t="n">
        <x:v>1373</x:v>
      </x:c>
      <x:c r="AL101" s="55" t="n">
        <x:v>2081</x:v>
      </x:c>
      <x:c r="AM101" s="55" t="n">
        <x:v>4331</x:v>
      </x:c>
      <x:c r="AN101" s="55" t="n">
        <x:v>2473</x:v>
      </x:c>
      <x:c r="AO101" s="55" t="n">
        <x:v>60</x:v>
      </x:c>
      <x:c r="AP101" s="55" t="n">
        <x:v>2331</x:v>
      </x:c>
      <x:c r="AQ101" s="55" t="n">
        <x:v>968</x:v>
      </x:c>
    </x:row>
    <x:row r="102">
      <x:c r="A102" s="54" t="str">
        <x:v>T0_TABLE_BLOCK</x:v>
      </x:c>
      <x:c r="B102" s="54" t="n">
        <x:v>96</x:v>
      </x:c>
      <x:c r="C102" s="54" t="str">
        <x:v>NYC-V2-R01</x:v>
      </x:c>
      <x:c r="D102" s="54" t="str">
        <x:v>V2</x:v>
      </x:c>
      <x:c r="E102" s="54" t="str">
        <x:v>ADMITTED</x:v>
      </x:c>
      <x:c r="F102" s="55" t="n">
        <x:v>34231</x:v>
      </x:c>
      <x:c r="G102" s="55" t="n">
        <x:v>10789</x:v>
      </x:c>
      <x:c r="H102" s="55" t="n">
        <x:v>3242</x:v>
      </x:c>
      <x:c r="I102" s="55" t="n">
        <x:v>1048</x:v>
      </x:c>
      <x:c r="J102" s="55" t="n">
        <x:v>295</x:v>
      </x:c>
      <x:c r="K102" s="55" t="n">
        <x:v>29557</x:v>
      </x:c>
      <x:c r="L102" s="55" t="n">
        <x:v>6151</x:v>
      </x:c>
      <x:c r="M102" s="55" t="n">
        <x:v>1548</x:v>
      </x:c>
      <x:c r="N102" s="55" t="n">
        <x:v>2744</x:v>
      </x:c>
      <x:c r="O102" s="55" t="n">
        <x:v>1859</x:v>
      </x:c>
      <x:c r="P102" s="55" t="n">
        <x:v>756</x:v>
      </x:c>
      <x:c r="Q102" s="55" t="n">
        <x:v>2211</x:v>
      </x:c>
      <x:c r="R102" s="55" t="n">
        <x:v>2021</x:v>
      </x:c>
      <x:c r="S102" s="55" t="n">
        <x:v>2202</x:v>
      </x:c>
      <x:c r="T102" s="55" t="n">
        <x:v>1115</x:v>
      </x:c>
      <x:c r="U102" s="55" t="n">
        <x:v>2465</x:v>
      </x:c>
      <x:c r="V102" s="55" t="n">
        <x:v>10756</x:v>
      </x:c>
      <x:c r="W102" s="55" t="n">
        <x:v>7953</x:v>
      </x:c>
      <x:c r="X102" s="55" t="n">
        <x:v>2803</x:v>
      </x:c>
      <x:c r="Y102" s="55" t="n">
        <x:v>2324</x:v>
      </x:c>
      <x:c r="Z102" s="55" t="n">
        <x:v>3933</x:v>
      </x:c>
      <x:c r="AA102" s="55" t="n">
        <x:v>3242</x:v>
      </x:c>
      <x:c r="AB102" s="55" t="n">
        <x:v>1199</x:v>
      </x:c>
      <x:c r="AC102" s="55" t="n">
        <x:v>8210</x:v>
      </x:c>
      <x:c r="AD102" s="55" t="n">
        <x:v>3005</x:v>
      </x:c>
      <x:c r="AE102" s="55" t="n">
        <x:v>10885</x:v>
      </x:c>
      <x:c r="AF102" s="55" t="n">
        <x:v>10756</x:v>
      </x:c>
      <x:c r="AG102" s="55" t="n">
        <x:v>129</x:v>
      </x:c>
      <x:c r="AH102" s="55" t="n">
        <x:v>363</x:v>
      </x:c>
      <x:c r="AI102" s="55" t="n">
        <x:v>10393</x:v>
      </x:c>
      <x:c r="AJ102" s="55" t="n">
        <x:v>221</x:v>
      </x:c>
      <x:c r="AK102" s="55" t="n">
        <x:v>631</x:v>
      </x:c>
      <x:c r="AL102" s="55" t="n">
        <x:v>1561</x:v>
      </x:c>
      <x:c r="AM102" s="55" t="n">
        <x:v>4777</x:v>
      </x:c>
      <x:c r="AN102" s="55" t="n">
        <x:v>3505</x:v>
      </x:c>
      <x:c r="AO102" s="55" t="n">
        <x:v>61</x:v>
      </x:c>
      <x:c r="AP102" s="55" t="n">
        <x:v>2414</x:v>
      </x:c>
      <x:c r="AQ102" s="55" t="n">
        <x:v>973</x:v>
      </x:c>
    </x:row>
    <x:row r="103">
      <x:c r="A103" s="54" t="str">
        <x:v>T0_TABLE_BLOCK</x:v>
      </x:c>
      <x:c r="B103" s="54" t="n">
        <x:v>97</x:v>
      </x:c>
      <x:c r="C103" s="54" t="str">
        <x:v>NYC-V2-R01</x:v>
      </x:c>
      <x:c r="D103" s="54" t="str">
        <x:v>V2</x:v>
      </x:c>
      <x:c r="E103" s="54" t="str">
        <x:v>ADMITTED</x:v>
      </x:c>
      <x:c r="F103" s="55" t="n">
        <x:v>28849</x:v>
      </x:c>
      <x:c r="G103" s="55" t="n">
        <x:v>6237</x:v>
      </x:c>
      <x:c r="H103" s="55" t="n">
        <x:v>3353</x:v>
      </x:c>
      <x:c r="I103" s="55" t="n">
        <x:v>1416</x:v>
      </x:c>
      <x:c r="J103" s="55" t="n">
        <x:v>214</x:v>
      </x:c>
      <x:c r="K103" s="55" t="n">
        <x:v>28849</x:v>
      </x:c>
      <x:c r="L103" s="55" t="n">
        <x:v>5668</x:v>
      </x:c>
      <x:c r="M103" s="55" t="n">
        <x:v>1346</x:v>
      </x:c>
      <x:c r="N103" s="55" t="n">
        <x:v>2984</x:v>
      </x:c>
      <x:c r="O103" s="55" t="n">
        <x:v>1338</x:v>
      </x:c>
      <x:c r="P103" s="55" t="n">
        <x:v>742</x:v>
      </x:c>
      <x:c r="Q103" s="55" t="n">
        <x:v>1888</x:v>
      </x:c>
      <x:c r="R103" s="55" t="n">
        <x:v>1836</x:v>
      </x:c>
      <x:c r="S103" s="55" t="n">
        <x:v>3255</x:v>
      </x:c>
      <x:c r="T103" s="55" t="n">
        <x:v>1524</x:v>
      </x:c>
      <x:c r="U103" s="55" t="n">
        <x:v>1585</x:v>
      </x:c>
      <x:c r="V103" s="55" t="n">
        <x:v>10062</x:v>
      </x:c>
      <x:c r="W103" s="55" t="n">
        <x:v>7176</x:v>
      </x:c>
      <x:c r="X103" s="55" t="n">
        <x:v>2886</x:v>
      </x:c>
      <x:c r="Y103" s="55" t="n">
        <x:v>2354</x:v>
      </x:c>
      <x:c r="Z103" s="55" t="n">
        <x:v>4233</x:v>
      </x:c>
      <x:c r="AA103" s="55" t="n">
        <x:v>3200</x:v>
      </x:c>
      <x:c r="AB103" s="55" t="n">
        <x:v>1274</x:v>
      </x:c>
      <x:c r="AC103" s="55" t="n">
        <x:v>7895</x:v>
      </x:c>
      <x:c r="AD103" s="55" t="n">
        <x:v>2778</x:v>
      </x:c>
      <x:c r="AE103" s="55" t="n">
        <x:v>10163</x:v>
      </x:c>
      <x:c r="AF103" s="55" t="n">
        <x:v>10062</x:v>
      </x:c>
      <x:c r="AG103" s="55" t="n">
        <x:v>101</x:v>
      </x:c>
      <x:c r="AH103" s="55" t="n">
        <x:v>303</x:v>
      </x:c>
      <x:c r="AI103" s="55" t="n">
        <x:v>9759</x:v>
      </x:c>
      <x:c r="AJ103" s="55" t="n">
        <x:v>277</x:v>
      </x:c>
      <x:c r="AK103" s="55" t="n">
        <x:v>692</x:v>
      </x:c>
      <x:c r="AL103" s="55" t="n">
        <x:v>1552</x:v>
      </x:c>
      <x:c r="AM103" s="55" t="n">
        <x:v>4941</x:v>
      </x:c>
      <x:c r="AN103" s="55" t="n">
        <x:v>2556</x:v>
      </x:c>
      <x:c r="AO103" s="55" t="n">
        <x:v>44</x:v>
      </x:c>
      <x:c r="AP103" s="55" t="n">
        <x:v>2206</x:v>
      </x:c>
      <x:c r="AQ103" s="55" t="n">
        <x:v>940</x:v>
      </x:c>
    </x:row>
    <x:row r="104">
      <x:c r="A104" s="54" t="str">
        <x:v>T0_TABLE_BLOCK</x:v>
      </x:c>
      <x:c r="B104" s="54" t="n">
        <x:v>98</x:v>
      </x:c>
      <x:c r="C104" s="54" t="str">
        <x:v>NYC-V2-R01</x:v>
      </x:c>
      <x:c r="D104" s="54" t="str">
        <x:v>V2</x:v>
      </x:c>
      <x:c r="E104" s="54" t="str">
        <x:v>ADMITTED</x:v>
      </x:c>
      <x:c r="F104" s="55" t="n">
        <x:v>31366</x:v>
      </x:c>
      <x:c r="G104" s="55" t="n">
        <x:v>8151</x:v>
      </x:c>
      <x:c r="H104" s="55" t="n">
        <x:v>3078</x:v>
      </x:c>
      <x:c r="I104" s="55" t="n">
        <x:v>1431</x:v>
      </x:c>
      <x:c r="J104" s="55" t="n">
        <x:v>201</x:v>
      </x:c>
      <x:c r="K104" s="55" t="n">
        <x:v>31366</x:v>
      </x:c>
      <x:c r="L104" s="55" t="n">
        <x:v>5236</x:v>
      </x:c>
      <x:c r="M104" s="55" t="n">
        <x:v>896</x:v>
      </x:c>
      <x:c r="N104" s="55" t="n">
        <x:v>2397</x:v>
      </x:c>
      <x:c r="O104" s="55" t="n">
        <x:v>1943</x:v>
      </x:c>
      <x:c r="P104" s="55" t="n">
        <x:v>1002</x:v>
      </x:c>
      <x:c r="Q104" s="55" t="n">
        <x:v>2165</x:v>
      </x:c>
      <x:c r="R104" s="55" t="n">
        <x:v>2097</x:v>
      </x:c>
      <x:c r="S104" s="55" t="n">
        <x:v>2565</x:v>
      </x:c>
      <x:c r="T104" s="55" t="n">
        <x:v>1503</x:v>
      </x:c>
      <x:c r="U104" s="55" t="n">
        <x:v>2529</x:v>
      </x:c>
      <x:c r="V104" s="55" t="n">
        <x:v>10309</x:v>
      </x:c>
      <x:c r="W104" s="55" t="n">
        <x:v>7252</x:v>
      </x:c>
      <x:c r="X104" s="55" t="n">
        <x:v>3057</x:v>
      </x:c>
      <x:c r="Y104" s="55" t="n">
        <x:v>2500</x:v>
      </x:c>
      <x:c r="Z104" s="55" t="n">
        <x:v>3541</x:v>
      </x:c>
      <x:c r="AA104" s="55" t="n">
        <x:v>2373</x:v>
      </x:c>
      <x:c r="AB104" s="55" t="n">
        <x:v>760</x:v>
      </x:c>
      <x:c r="AC104" s="55" t="n">
        <x:v>7838</x:v>
      </x:c>
      <x:c r="AD104" s="55" t="n">
        <x:v>3031</x:v>
      </x:c>
      <x:c r="AE104" s="55" t="n">
        <x:v>10444</x:v>
      </x:c>
      <x:c r="AF104" s="55" t="n">
        <x:v>10309</x:v>
      </x:c>
      <x:c r="AG104" s="55" t="n">
        <x:v>135</x:v>
      </x:c>
      <x:c r="AH104" s="55" t="n">
        <x:v>441</x:v>
      </x:c>
      <x:c r="AI104" s="55" t="n">
        <x:v>9868</x:v>
      </x:c>
      <x:c r="AJ104" s="55" t="n">
        <x:v>346</x:v>
      </x:c>
      <x:c r="AK104" s="55" t="n">
        <x:v>1008</x:v>
      </x:c>
      <x:c r="AL104" s="55" t="n">
        <x:v>1214</x:v>
      </x:c>
      <x:c r="AM104" s="55" t="n">
        <x:v>5067</x:v>
      </x:c>
      <x:c r="AN104" s="55" t="n">
        <x:v>2665</x:v>
      </x:c>
      <x:c r="AO104" s="55" t="n">
        <x:v>9</x:v>
      </x:c>
      <x:c r="AP104" s="55" t="n">
        <x:v>2420</x:v>
      </x:c>
      <x:c r="AQ104" s="55" t="n">
        <x:v>956</x:v>
      </x:c>
    </x:row>
    <x:row r="105">
      <x:c r="A105" s="54" t="str">
        <x:v>T0_TABLE_BLOCK</x:v>
      </x:c>
      <x:c r="B105" s="54" t="n">
        <x:v>99</x:v>
      </x:c>
      <x:c r="C105" s="54" t="str">
        <x:v>NYC-V2-R01</x:v>
      </x:c>
      <x:c r="D105" s="54" t="str">
        <x:v>V2</x:v>
      </x:c>
      <x:c r="E105" s="54" t="str">
        <x:v>ADMITTED</x:v>
      </x:c>
      <x:c r="F105" s="55" t="n">
        <x:v>33805</x:v>
      </x:c>
      <x:c r="G105" s="55" t="n">
        <x:v>9714</x:v>
      </x:c>
      <x:c r="H105" s="55" t="n">
        <x:v>3993</x:v>
      </x:c>
      <x:c r="I105" s="55" t="n">
        <x:v>1498</x:v>
      </x:c>
      <x:c r="J105" s="55" t="n">
        <x:v>286</x:v>
      </x:c>
      <x:c r="K105" s="55" t="n">
        <x:v>33245</x:v>
      </x:c>
      <x:c r="L105" s="55" t="n">
        <x:v>5625</x:v>
      </x:c>
      <x:c r="M105" s="55" t="n">
        <x:v>627</x:v>
      </x:c>
      <x:c r="N105" s="55" t="n">
        <x:v>3271</x:v>
      </x:c>
      <x:c r="O105" s="55" t="n">
        <x:v>1727</x:v>
      </x:c>
      <x:c r="P105" s="55" t="n">
        <x:v>769</x:v>
      </x:c>
      <x:c r="Q105" s="55" t="n">
        <x:v>1867</x:v>
      </x:c>
      <x:c r="R105" s="55" t="n">
        <x:v>1995</x:v>
      </x:c>
      <x:c r="S105" s="55" t="n">
        <x:v>2502</x:v>
      </x:c>
      <x:c r="T105" s="55" t="n">
        <x:v>1202</x:v>
      </x:c>
      <x:c r="U105" s="55" t="n">
        <x:v>1824</x:v>
      </x:c>
      <x:c r="V105" s="55" t="n">
        <x:v>10075</x:v>
      </x:c>
      <x:c r="W105" s="55" t="n">
        <x:v>6796</x:v>
      </x:c>
      <x:c r="X105" s="55" t="n">
        <x:v>3279</x:v>
      </x:c>
      <x:c r="Y105" s="55" t="n">
        <x:v>3057</x:v>
      </x:c>
      <x:c r="Z105" s="55" t="n">
        <x:v>4132</x:v>
      </x:c>
      <x:c r="AA105" s="55" t="n">
        <x:v>3993</x:v>
      </x:c>
      <x:c r="AB105" s="55" t="n">
        <x:v>1489</x:v>
      </x:c>
      <x:c r="AC105" s="55" t="n">
        <x:v>7701</x:v>
      </x:c>
      <x:c r="AD105" s="55" t="n">
        <x:v>3042</x:v>
      </x:c>
      <x:c r="AE105" s="55" t="n">
        <x:v>10162</x:v>
      </x:c>
      <x:c r="AF105" s="55" t="n">
        <x:v>10075</x:v>
      </x:c>
      <x:c r="AG105" s="55" t="n">
        <x:v>87</x:v>
      </x:c>
      <x:c r="AH105" s="55" t="n">
        <x:v>470</x:v>
      </x:c>
      <x:c r="AI105" s="55" t="n">
        <x:v>9605</x:v>
      </x:c>
      <x:c r="AJ105" s="55" t="n">
        <x:v>396</x:v>
      </x:c>
      <x:c r="AK105" s="55" t="n">
        <x:v>1185</x:v>
      </x:c>
      <x:c r="AL105" s="55" t="n">
        <x:v>1407</x:v>
      </x:c>
      <x:c r="AM105" s="55" t="n">
        <x:v>4134</x:v>
      </x:c>
      <x:c r="AN105" s="55" t="n">
        <x:v>2949</x:v>
      </x:c>
      <x:c r="AO105" s="55" t="n">
        <x:v>4</x:v>
      </x:c>
      <x:c r="AP105" s="55" t="n">
        <x:v>2184</x:v>
      </x:c>
      <x:c r="AQ105" s="55" t="n">
        <x:v>1029</x:v>
      </x:c>
    </x:row>
    <x:row r="106">
      <x:c r="A106" s="54" t="str">
        <x:v>T0_TABLE_BLOCK</x:v>
      </x:c>
      <x:c r="B106" s="54" t="n">
        <x:v>100</x:v>
      </x:c>
      <x:c r="C106" s="54" t="str">
        <x:v>NYC-V2-R01</x:v>
      </x:c>
      <x:c r="D106" s="54" t="str">
        <x:v>V2</x:v>
      </x:c>
      <x:c r="E106" s="54" t="str">
        <x:v>ADMITTED</x:v>
      </x:c>
      <x:c r="F106" s="55" t="n">
        <x:v>31044</x:v>
      </x:c>
      <x:c r="G106" s="55" t="n">
        <x:v>8150</x:v>
      </x:c>
      <x:c r="H106" s="55" t="n">
        <x:v>3207</x:v>
      </x:c>
      <x:c r="I106" s="55" t="n">
        <x:v>1445</x:v>
      </x:c>
      <x:c r="J106" s="55" t="n">
        <x:v>181</x:v>
      </x:c>
      <x:c r="K106" s="55" t="n">
        <x:v>28102</x:v>
      </x:c>
      <x:c r="L106" s="55" t="n">
        <x:v>6295</x:v>
      </x:c>
      <x:c r="M106" s="55" t="n">
        <x:v>1846</x:v>
      </x:c>
      <x:c r="N106" s="55" t="n">
        <x:v>2517</x:v>
      </x:c>
      <x:c r="O106" s="55" t="n">
        <x:v>1932</x:v>
      </x:c>
      <x:c r="P106" s="55" t="n">
        <x:v>841</x:v>
      </x:c>
      <x:c r="Q106" s="55" t="n">
        <x:v>3198</x:v>
      </x:c>
      <x:c r="R106" s="55" t="n">
        <x:v>2409</x:v>
      </x:c>
      <x:c r="S106" s="55" t="n">
        <x:v>3060</x:v>
      </x:c>
      <x:c r="T106" s="55" t="n">
        <x:v>1398</x:v>
      </x:c>
      <x:c r="U106" s="55" t="n">
        <x:v>2138</x:v>
      </x:c>
      <x:c r="V106" s="55" t="n">
        <x:v>10602</x:v>
      </x:c>
      <x:c r="W106" s="55" t="n">
        <x:v>7635</x:v>
      </x:c>
      <x:c r="X106" s="55" t="n">
        <x:v>2967</x:v>
      </x:c>
      <x:c r="Y106" s="55" t="n">
        <x:v>2550</x:v>
      </x:c>
      <x:c r="Z106" s="55" t="n">
        <x:v>3809</x:v>
      </x:c>
      <x:c r="AA106" s="55" t="n">
        <x:v>2900</x:v>
      </x:c>
      <x:c r="AB106" s="55" t="n">
        <x:v>730</x:v>
      </x:c>
      <x:c r="AC106" s="55" t="n">
        <x:v>8110</x:v>
      </x:c>
      <x:c r="AD106" s="55" t="n">
        <x:v>2887</x:v>
      </x:c>
      <x:c r="AE106" s="55" t="n">
        <x:v>10751</x:v>
      </x:c>
      <x:c r="AF106" s="55" t="n">
        <x:v>10602</x:v>
      </x:c>
      <x:c r="AG106" s="55" t="n">
        <x:v>149</x:v>
      </x:c>
      <x:c r="AH106" s="55" t="n">
        <x:v>558</x:v>
      </x:c>
      <x:c r="AI106" s="55" t="n">
        <x:v>10044</x:v>
      </x:c>
      <x:c r="AJ106" s="55" t="n">
        <x:v>717</x:v>
      </x:c>
      <x:c r="AK106" s="55" t="n">
        <x:v>1427</x:v>
      </x:c>
      <x:c r="AL106" s="55" t="n">
        <x:v>1415</x:v>
      </x:c>
      <x:c r="AM106" s="55" t="n">
        <x:v>4319</x:v>
      </x:c>
      <x:c r="AN106" s="55" t="n">
        <x:v>2679</x:v>
      </x:c>
      <x:c r="AO106" s="55" t="n">
        <x:v>45</x:v>
      </x:c>
      <x:c r="AP106" s="55" t="n">
        <x:v>2458</x:v>
      </x:c>
      <x:c r="AQ106" s="55" t="n">
        <x:v>942</x:v>
      </x:c>
    </x:row>
    <x:row r="107">
      <x:c r="A107" s="54" t="str">
        <x:v>T0_TABLE_BLOCK</x:v>
      </x:c>
      <x:c r="B107" s="54" t="n">
        <x:v>101</x:v>
      </x:c>
      <x:c r="C107" s="54" t="str">
        <x:v>NYC-V2-R01</x:v>
      </x:c>
      <x:c r="D107" s="54" t="str">
        <x:v>V2</x:v>
      </x:c>
      <x:c r="E107" s="54" t="str">
        <x:v>ADMITTED</x:v>
      </x:c>
      <x:c r="F107" s="55" t="n">
        <x:v>29564</x:v>
      </x:c>
      <x:c r="G107" s="55" t="n">
        <x:v>7762</x:v>
      </x:c>
      <x:c r="H107" s="55" t="n">
        <x:v>3090</x:v>
      </x:c>
      <x:c r="I107" s="55" t="n">
        <x:v>1047</x:v>
      </x:c>
      <x:c r="J107" s="55" t="n">
        <x:v>94</x:v>
      </x:c>
      <x:c r="K107" s="55" t="n">
        <x:v>29564</x:v>
      </x:c>
      <x:c r="L107" s="55" t="n">
        <x:v>6570</x:v>
      </x:c>
      <x:c r="M107" s="55" t="n">
        <x:v>1767</x:v>
      </x:c>
      <x:c r="N107" s="55" t="n">
        <x:v>2582</x:v>
      </x:c>
      <x:c r="O107" s="55" t="n">
        <x:v>2221</x:v>
      </x:c>
      <x:c r="P107" s="55" t="n">
        <x:v>923</x:v>
      </x:c>
      <x:c r="Q107" s="55" t="n">
        <x:v>2385</x:v>
      </x:c>
      <x:c r="R107" s="55" t="n">
        <x:v>1852</x:v>
      </x:c>
      <x:c r="S107" s="55" t="n">
        <x:v>2466</x:v>
      </x:c>
      <x:c r="T107" s="55" t="n">
        <x:v>1052</x:v>
      </x:c>
      <x:c r="U107" s="55" t="n">
        <x:v>2280</x:v>
      </x:c>
      <x:c r="V107" s="55" t="n">
        <x:v>11174</x:v>
      </x:c>
      <x:c r="W107" s="55" t="n">
        <x:v>7776</x:v>
      </x:c>
      <x:c r="X107" s="55" t="n">
        <x:v>3398</x:v>
      </x:c>
      <x:c r="Y107" s="55" t="n">
        <x:v>2780</x:v>
      </x:c>
      <x:c r="Z107" s="55" t="n">
        <x:v>3460</x:v>
      </x:c>
      <x:c r="AA107" s="55" t="n">
        <x:v>3090</x:v>
      </x:c>
      <x:c r="AB107" s="55" t="n">
        <x:v>1437</x:v>
      </x:c>
      <x:c r="AC107" s="55" t="n">
        <x:v>8095</x:v>
      </x:c>
      <x:c r="AD107" s="55" t="n">
        <x:v>2554</x:v>
      </x:c>
      <x:c r="AE107" s="55" t="n">
        <x:v>11203</x:v>
      </x:c>
      <x:c r="AF107" s="55" t="n">
        <x:v>11174</x:v>
      </x:c>
      <x:c r="AG107" s="55" t="n">
        <x:v>29</x:v>
      </x:c>
      <x:c r="AH107" s="55" t="n">
        <x:v>481</x:v>
      </x:c>
      <x:c r="AI107" s="55" t="n">
        <x:v>10693</x:v>
      </x:c>
      <x:c r="AJ107" s="55" t="n">
        <x:v>298</x:v>
      </x:c>
      <x:c r="AK107" s="55" t="n">
        <x:v>1242</x:v>
      </x:c>
      <x:c r="AL107" s="55" t="n">
        <x:v>1589</x:v>
      </x:c>
      <x:c r="AM107" s="55" t="n">
        <x:v>5135</x:v>
      </x:c>
      <x:c r="AN107" s="55" t="n">
        <x:v>2891</x:v>
      </x:c>
      <x:c r="AO107" s="55" t="n">
        <x:v>19</x:v>
      </x:c>
      <x:c r="AP107" s="55" t="n">
        <x:v>2362</x:v>
      </x:c>
      <x:c r="AQ107" s="55" t="n">
        <x:v>885</x:v>
      </x:c>
    </x:row>
    <x:row r="108">
      <x:c r="A108" s="54" t="str">
        <x:v>T0_TABLE_BLOCK</x:v>
      </x:c>
      <x:c r="B108" s="54" t="n">
        <x:v>102</x:v>
      </x:c>
      <x:c r="C108" s="54" t="str">
        <x:v>NYC-V2-R01</x:v>
      </x:c>
      <x:c r="D108" s="54" t="str">
        <x:v>V2</x:v>
      </x:c>
      <x:c r="E108" s="54" t="str">
        <x:v>ADMITTED</x:v>
      </x:c>
      <x:c r="F108" s="55" t="n">
        <x:v>33034</x:v>
      </x:c>
      <x:c r="G108" s="55" t="n">
        <x:v>8184</x:v>
      </x:c>
      <x:c r="H108" s="55" t="n">
        <x:v>3312</x:v>
      </x:c>
      <x:c r="I108" s="55" t="n">
        <x:v>1337</x:v>
      </x:c>
      <x:c r="J108" s="55" t="n">
        <x:v>328</x:v>
      </x:c>
      <x:c r="K108" s="55" t="n">
        <x:v>32117</x:v>
      </x:c>
      <x:c r="L108" s="55" t="n">
        <x:v>5351</x:v>
      </x:c>
      <x:c r="M108" s="55" t="n">
        <x:v>911</x:v>
      </x:c>
      <x:c r="N108" s="55" t="n">
        <x:v>2825</x:v>
      </x:c>
      <x:c r="O108" s="55" t="n">
        <x:v>1615</x:v>
      </x:c>
      <x:c r="P108" s="55" t="n">
        <x:v>414</x:v>
      </x:c>
      <x:c r="Q108" s="55" t="n">
        <x:v>3146</x:v>
      </x:c>
      <x:c r="R108" s="55" t="n">
        <x:v>2030</x:v>
      </x:c>
      <x:c r="S108" s="55" t="n">
        <x:v>3101</x:v>
      </x:c>
      <x:c r="T108" s="55" t="n">
        <x:v>970</x:v>
      </x:c>
      <x:c r="U108" s="55" t="n">
        <x:v>1552</x:v>
      </x:c>
      <x:c r="V108" s="55" t="n">
        <x:v>10078</x:v>
      </x:c>
      <x:c r="W108" s="55" t="n">
        <x:v>6903</x:v>
      </x:c>
      <x:c r="X108" s="55" t="n">
        <x:v>3175</x:v>
      </x:c>
      <x:c r="Y108" s="55" t="n">
        <x:v>2553</x:v>
      </x:c>
      <x:c r="Z108" s="55" t="n">
        <x:v>4084</x:v>
      </x:c>
      <x:c r="AA108" s="55" t="n">
        <x:v>3110</x:v>
      </x:c>
      <x:c r="AB108" s="55" t="n">
        <x:v>1098</x:v>
      </x:c>
      <x:c r="AC108" s="55" t="n">
        <x:v>7353</x:v>
      </x:c>
      <x:c r="AD108" s="55" t="n">
        <x:v>3126</x:v>
      </x:c>
      <x:c r="AE108" s="55" t="n">
        <x:v>10169</x:v>
      </x:c>
      <x:c r="AF108" s="55" t="n">
        <x:v>10078</x:v>
      </x:c>
      <x:c r="AG108" s="55" t="n">
        <x:v>91</x:v>
      </x:c>
      <x:c r="AH108" s="55" t="n">
        <x:v>274</x:v>
      </x:c>
      <x:c r="AI108" s="55" t="n">
        <x:v>9804</x:v>
      </x:c>
      <x:c r="AJ108" s="55" t="n">
        <x:v>366</x:v>
      </x:c>
      <x:c r="AK108" s="55" t="n">
        <x:v>1062</x:v>
      </x:c>
      <x:c r="AL108" s="55" t="n">
        <x:v>999</x:v>
      </x:c>
      <x:c r="AM108" s="55" t="n">
        <x:v>5242</x:v>
      </x:c>
      <x:c r="AN108" s="55" t="n">
        <x:v>2409</x:v>
      </x:c>
      <x:c r="AO108" s="55" t="n">
        <x:v>0</x:v>
      </x:c>
      <x:c r="AP108" s="55" t="n">
        <x:v>2541</x:v>
      </x:c>
      <x:c r="AQ108" s="55" t="n">
        <x:v>964</x:v>
      </x:c>
    </x:row>
    <x:row r="109">
      <x:c r="A109" s="54" t="str">
        <x:v>T0_TABLE_BLOCK</x:v>
      </x:c>
      <x:c r="B109" s="54" t="n">
        <x:v>103</x:v>
      </x:c>
      <x:c r="C109" s="54" t="str">
        <x:v>NYC-V2-R01</x:v>
      </x:c>
      <x:c r="D109" s="54" t="str">
        <x:v>V2</x:v>
      </x:c>
      <x:c r="E109" s="54" t="str">
        <x:v>ADMITTED</x:v>
      </x:c>
      <x:c r="F109" s="55" t="n">
        <x:v>30214</x:v>
      </x:c>
      <x:c r="G109" s="55" t="n">
        <x:v>7180</x:v>
      </x:c>
      <x:c r="H109" s="55" t="n">
        <x:v>3566</x:v>
      </x:c>
      <x:c r="I109" s="55" t="n">
        <x:v>1100</x:v>
      </x:c>
      <x:c r="J109" s="55" t="n">
        <x:v>127</x:v>
      </x:c>
      <x:c r="K109" s="55" t="n">
        <x:v>29764</x:v>
      </x:c>
      <x:c r="L109" s="55" t="n">
        <x:v>5096</x:v>
      </x:c>
      <x:c r="M109" s="55" t="n">
        <x:v>395</x:v>
      </x:c>
      <x:c r="N109" s="55" t="n">
        <x:v>2894</x:v>
      </x:c>
      <x:c r="O109" s="55" t="n">
        <x:v>1807</x:v>
      </x:c>
      <x:c r="P109" s="55" t="n">
        <x:v>677</x:v>
      </x:c>
      <x:c r="Q109" s="55" t="n">
        <x:v>2782</x:v>
      </x:c>
      <x:c r="R109" s="55" t="n">
        <x:v>1960</x:v>
      </x:c>
      <x:c r="S109" s="55" t="n">
        <x:v>2642</x:v>
      </x:c>
      <x:c r="T109" s="55" t="n">
        <x:v>1469</x:v>
      </x:c>
      <x:c r="U109" s="55" t="n">
        <x:v>1640</x:v>
      </x:c>
      <x:c r="V109" s="55" t="n">
        <x:v>10792</x:v>
      </x:c>
      <x:c r="W109" s="55" t="n">
        <x:v>7692</x:v>
      </x:c>
      <x:c r="X109" s="55" t="n">
        <x:v>3100</x:v>
      </x:c>
      <x:c r="Y109" s="55" t="n">
        <x:v>2829</x:v>
      </x:c>
      <x:c r="Z109" s="55" t="n">
        <x:v>3554</x:v>
      </x:c>
      <x:c r="AA109" s="55" t="n">
        <x:v>3566</x:v>
      </x:c>
      <x:c r="AB109" s="55" t="n">
        <x:v>1046</x:v>
      </x:c>
      <x:c r="AC109" s="55" t="n">
        <x:v>8051</x:v>
      </x:c>
      <x:c r="AD109" s="55" t="n">
        <x:v>2624</x:v>
      </x:c>
      <x:c r="AE109" s="55" t="n">
        <x:v>10821</x:v>
      </x:c>
      <x:c r="AF109" s="55" t="n">
        <x:v>10792</x:v>
      </x:c>
      <x:c r="AG109" s="55" t="n">
        <x:v>29</x:v>
      </x:c>
      <x:c r="AH109" s="55" t="n">
        <x:v>386</x:v>
      </x:c>
      <x:c r="AI109" s="55" t="n">
        <x:v>10406</x:v>
      </x:c>
      <x:c r="AJ109" s="55" t="n">
        <x:v>346</x:v>
      </x:c>
      <x:c r="AK109" s="55" t="n">
        <x:v>700</x:v>
      </x:c>
      <x:c r="AL109" s="55" t="n">
        <x:v>1441</x:v>
      </x:c>
      <x:c r="AM109" s="55" t="n">
        <x:v>5176</x:v>
      </x:c>
      <x:c r="AN109" s="55" t="n">
        <x:v>3129</x:v>
      </x:c>
      <x:c r="AO109" s="55" t="n">
        <x:v>0</x:v>
      </x:c>
      <x:c r="AP109" s="55" t="n">
        <x:v>2221</x:v>
      </x:c>
      <x:c r="AQ109" s="55" t="n">
        <x:v>1000</x:v>
      </x:c>
    </x:row>
    <x:row r="110">
      <x:c r="A110" s="54" t="str">
        <x:v>T0_TABLE_BLOCK</x:v>
      </x:c>
      <x:c r="B110" s="54" t="n">
        <x:v>104</x:v>
      </x:c>
      <x:c r="C110" s="54" t="str">
        <x:v>NYC-V2-R01</x:v>
      </x:c>
      <x:c r="D110" s="54" t="str">
        <x:v>V2</x:v>
      </x:c>
      <x:c r="E110" s="54" t="str">
        <x:v>ADMITTED</x:v>
      </x:c>
      <x:c r="F110" s="55" t="n">
        <x:v>32704</x:v>
      </x:c>
      <x:c r="G110" s="55" t="n">
        <x:v>7510</x:v>
      </x:c>
      <x:c r="H110" s="55" t="n">
        <x:v>3437</x:v>
      </x:c>
      <x:c r="I110" s="55" t="n">
        <x:v>1557</x:v>
      </x:c>
      <x:c r="J110" s="55" t="n">
        <x:v>152</x:v>
      </x:c>
      <x:c r="K110" s="55" t="n">
        <x:v>32704</x:v>
      </x:c>
      <x:c r="L110" s="55" t="n">
        <x:v>5612</x:v>
      </x:c>
      <x:c r="M110" s="55" t="n">
        <x:v>1297</x:v>
      </x:c>
      <x:c r="N110" s="55" t="n">
        <x:v>2721</x:v>
      </x:c>
      <x:c r="O110" s="55" t="n">
        <x:v>1594</x:v>
      </x:c>
      <x:c r="P110" s="55" t="n">
        <x:v>888</x:v>
      </x:c>
      <x:c r="Q110" s="55" t="n">
        <x:v>2612</x:v>
      </x:c>
      <x:c r="R110" s="55" t="n">
        <x:v>1358</x:v>
      </x:c>
      <x:c r="S110" s="55" t="n">
        <x:v>2816</x:v>
      </x:c>
      <x:c r="T110" s="55" t="n">
        <x:v>1517</x:v>
      </x:c>
      <x:c r="U110" s="55" t="n">
        <x:v>3123</x:v>
      </x:c>
      <x:c r="V110" s="55" t="n">
        <x:v>10288</x:v>
      </x:c>
      <x:c r="W110" s="55" t="n">
        <x:v>7436</x:v>
      </x:c>
      <x:c r="X110" s="55" t="n">
        <x:v>2852</x:v>
      </x:c>
      <x:c r="Y110" s="55" t="n">
        <x:v>2527</x:v>
      </x:c>
      <x:c r="Z110" s="55" t="n">
        <x:v>3537</x:v>
      </x:c>
      <x:c r="AA110" s="55" t="n">
        <x:v>2654</x:v>
      </x:c>
      <x:c r="AB110" s="55" t="n">
        <x:v>1012</x:v>
      </x:c>
      <x:c r="AC110" s="55" t="n">
        <x:v>7205</x:v>
      </x:c>
      <x:c r="AD110" s="55" t="n">
        <x:v>2402</x:v>
      </x:c>
      <x:c r="AE110" s="55" t="n">
        <x:v>10359</x:v>
      </x:c>
      <x:c r="AF110" s="55" t="n">
        <x:v>10288</x:v>
      </x:c>
      <x:c r="AG110" s="55" t="n">
        <x:v>71</x:v>
      </x:c>
      <x:c r="AH110" s="55" t="n">
        <x:v>386</x:v>
      </x:c>
      <x:c r="AI110" s="55" t="n">
        <x:v>9902</x:v>
      </x:c>
      <x:c r="AJ110" s="55" t="n">
        <x:v>127</x:v>
      </x:c>
      <x:c r="AK110" s="55" t="n">
        <x:v>1017</x:v>
      </x:c>
      <x:c r="AL110" s="55" t="n">
        <x:v>1037</x:v>
      </x:c>
      <x:c r="AM110" s="55" t="n">
        <x:v>5625</x:v>
      </x:c>
      <x:c r="AN110" s="55" t="n">
        <x:v>2445</x:v>
      </x:c>
      <x:c r="AO110" s="55" t="n">
        <x:v>37</x:v>
      </x:c>
      <x:c r="AP110" s="55" t="n">
        <x:v>2443</x:v>
      </x:c>
      <x:c r="AQ110" s="55" t="n">
        <x:v>969</x:v>
      </x:c>
    </x:row>
    <x:row r="111">
      <x:c r="A111" s="54" t="str">
        <x:v>T0_TABLE_BLOCK</x:v>
      </x:c>
      <x:c r="B111" s="54" t="n">
        <x:v>105</x:v>
      </x:c>
      <x:c r="C111" s="54" t="str">
        <x:v>NYC-V2-R01</x:v>
      </x:c>
      <x:c r="D111" s="54" t="str">
        <x:v>V2</x:v>
      </x:c>
      <x:c r="E111" s="54" t="str">
        <x:v>ADMITTED</x:v>
      </x:c>
      <x:c r="F111" s="55" t="n">
        <x:v>28710</x:v>
      </x:c>
      <x:c r="G111" s="55" t="n">
        <x:v>7419</x:v>
      </x:c>
      <x:c r="H111" s="55" t="n">
        <x:v>3044</x:v>
      </x:c>
      <x:c r="I111" s="55" t="n">
        <x:v>1390</x:v>
      </x:c>
      <x:c r="J111" s="55" t="n">
        <x:v>88</x:v>
      </x:c>
      <x:c r="K111" s="55" t="n">
        <x:v>28689</x:v>
      </x:c>
      <x:c r="L111" s="55" t="n">
        <x:v>4085</x:v>
      </x:c>
      <x:c r="M111" s="55" t="n">
        <x:v>727</x:v>
      </x:c>
      <x:c r="N111" s="55" t="n">
        <x:v>2100</x:v>
      </x:c>
      <x:c r="O111" s="55" t="n">
        <x:v>1258</x:v>
      </x:c>
      <x:c r="P111" s="55" t="n">
        <x:v>0</x:v>
      </x:c>
      <x:c r="Q111" s="55" t="n">
        <x:v>1668</x:v>
      </x:c>
      <x:c r="R111" s="55" t="n">
        <x:v>1668</x:v>
      </x:c>
      <x:c r="S111" s="55" t="n">
        <x:v>3272</x:v>
      </x:c>
      <x:c r="T111" s="55" t="n">
        <x:v>1372</x:v>
      </x:c>
      <x:c r="U111" s="55" t="n">
        <x:v>2143</x:v>
      </x:c>
      <x:c r="V111" s="55" t="n">
        <x:v>11074</x:v>
      </x:c>
      <x:c r="W111" s="55" t="n">
        <x:v>7970</x:v>
      </x:c>
      <x:c r="X111" s="55" t="n">
        <x:v>3104</x:v>
      </x:c>
      <x:c r="Y111" s="55" t="n">
        <x:v>2946</x:v>
      </x:c>
      <x:c r="Z111" s="55" t="n">
        <x:v>3577</x:v>
      </x:c>
      <x:c r="AA111" s="55" t="n">
        <x:v>3036</x:v>
      </x:c>
      <x:c r="AB111" s="55" t="n">
        <x:v>1006</x:v>
      </x:c>
      <x:c r="AC111" s="55" t="n">
        <x:v>7415</x:v>
      </x:c>
      <x:c r="AD111" s="55" t="n">
        <x:v>3036</x:v>
      </x:c>
      <x:c r="AE111" s="55" t="n">
        <x:v>11171</x:v>
      </x:c>
      <x:c r="AF111" s="55" t="n">
        <x:v>11074</x:v>
      </x:c>
      <x:c r="AG111" s="55" t="n">
        <x:v>97</x:v>
      </x:c>
      <x:c r="AH111" s="55" t="n">
        <x:v>553</x:v>
      </x:c>
      <x:c r="AI111" s="55" t="n">
        <x:v>10521</x:v>
      </x:c>
      <x:c r="AJ111" s="55" t="n">
        <x:v>418</x:v>
      </x:c>
      <x:c r="AK111" s="55" t="n">
        <x:v>1093</x:v>
      </x:c>
      <x:c r="AL111" s="55" t="n">
        <x:v>2052</x:v>
      </x:c>
      <x:c r="AM111" s="55" t="n">
        <x:v>4510</x:v>
      </x:c>
      <x:c r="AN111" s="55" t="n">
        <x:v>2992</x:v>
      </x:c>
      <x:c r="AO111" s="55" t="n">
        <x:v>9</x:v>
      </x:c>
      <x:c r="AP111" s="55" t="n">
        <x:v>2475</x:v>
      </x:c>
      <x:c r="AQ111" s="55" t="n">
        <x:v>947</x:v>
      </x:c>
    </x:row>
    <x:row r="112">
      <x:c r="A112" s="54" t="str">
        <x:v>T0_TABLE_BLOCK</x:v>
      </x:c>
      <x:c r="B112" s="54" t="n">
        <x:v>106</x:v>
      </x:c>
      <x:c r="C112" s="54" t="str">
        <x:v>NYC-V2-R01</x:v>
      </x:c>
      <x:c r="D112" s="54" t="str">
        <x:v>V2</x:v>
      </x:c>
      <x:c r="E112" s="54" t="str">
        <x:v>ADMITTED</x:v>
      </x:c>
      <x:c r="F112" s="55" t="n">
        <x:v>30092</x:v>
      </x:c>
      <x:c r="G112" s="55" t="n">
        <x:v>7372</x:v>
      </x:c>
      <x:c r="H112" s="55" t="n">
        <x:v>3251</x:v>
      </x:c>
      <x:c r="I112" s="55" t="n">
        <x:v>1403</x:v>
      </x:c>
      <x:c r="J112" s="55" t="n">
        <x:v>180</x:v>
      </x:c>
      <x:c r="K112" s="55" t="n">
        <x:v>30092</x:v>
      </x:c>
      <x:c r="L112" s="55" t="n">
        <x:v>5825</x:v>
      </x:c>
      <x:c r="M112" s="55" t="n">
        <x:v>942</x:v>
      </x:c>
      <x:c r="N112" s="55" t="n">
        <x:v>2751</x:v>
      </x:c>
      <x:c r="O112" s="55" t="n">
        <x:v>2132</x:v>
      </x:c>
      <x:c r="P112" s="55" t="n">
        <x:v>971</x:v>
      </x:c>
      <x:c r="Q112" s="55" t="n">
        <x:v>2276</x:v>
      </x:c>
      <x:c r="R112" s="55" t="n">
        <x:v>1980</x:v>
      </x:c>
      <x:c r="S112" s="55" t="n">
        <x:v>2527</x:v>
      </x:c>
      <x:c r="T112" s="55" t="n">
        <x:v>1217</x:v>
      </x:c>
      <x:c r="U112" s="55" t="n">
        <x:v>1597</x:v>
      </x:c>
      <x:c r="V112" s="55" t="n">
        <x:v>10898</x:v>
      </x:c>
      <x:c r="W112" s="55" t="n">
        <x:v>7285</x:v>
      </x:c>
      <x:c r="X112" s="55" t="n">
        <x:v>3613</x:v>
      </x:c>
      <x:c r="Y112" s="55" t="n">
        <x:v>3093</x:v>
      </x:c>
      <x:c r="Z112" s="55" t="n">
        <x:v>4104</x:v>
      </x:c>
      <x:c r="AA112" s="55" t="n">
        <x:v>3251</x:v>
      </x:c>
      <x:c r="AB112" s="55" t="n">
        <x:v>1115</x:v>
      </x:c>
      <x:c r="AC112" s="55" t="n">
        <x:v>8057</x:v>
      </x:c>
      <x:c r="AD112" s="55" t="n">
        <x:v>2593</x:v>
      </x:c>
      <x:c r="AE112" s="55" t="n">
        <x:v>10961</x:v>
      </x:c>
      <x:c r="AF112" s="55" t="n">
        <x:v>10898</x:v>
      </x:c>
      <x:c r="AG112" s="55" t="n">
        <x:v>63</x:v>
      </x:c>
      <x:c r="AH112" s="55" t="n">
        <x:v>484</x:v>
      </x:c>
      <x:c r="AI112" s="55" t="n">
        <x:v>10414</x:v>
      </x:c>
      <x:c r="AJ112" s="55" t="n">
        <x:v>132</x:v>
      </x:c>
      <x:c r="AK112" s="55" t="n">
        <x:v>1269</x:v>
      </x:c>
      <x:c r="AL112" s="55" t="n">
        <x:v>1381</x:v>
      </x:c>
      <x:c r="AM112" s="55" t="n">
        <x:v>5020</x:v>
      </x:c>
      <x:c r="AN112" s="55" t="n">
        <x:v>3096</x:v>
      </x:c>
      <x:c r="AO112" s="55" t="n">
        <x:v>0</x:v>
      </x:c>
      <x:c r="AP112" s="55" t="n">
        <x:v>2233</x:v>
      </x:c>
      <x:c r="AQ112" s="55" t="n">
        <x:v>981</x:v>
      </x:c>
    </x:row>
    <x:row r="113">
      <x:c r="A113" s="54" t="str">
        <x:v>T0_TABLE_BLOCK</x:v>
      </x:c>
      <x:c r="B113" s="54" t="n">
        <x:v>107</x:v>
      </x:c>
      <x:c r="C113" s="54" t="str">
        <x:v>NYC-V2-R01</x:v>
      </x:c>
      <x:c r="D113" s="54" t="str">
        <x:v>V2</x:v>
      </x:c>
      <x:c r="E113" s="54" t="str">
        <x:v>ADMITTED</x:v>
      </x:c>
      <x:c r="F113" s="55" t="n">
        <x:v>31201</x:v>
      </x:c>
      <x:c r="G113" s="55" t="n">
        <x:v>7042</x:v>
      </x:c>
      <x:c r="H113" s="55" t="n">
        <x:v>3513</x:v>
      </x:c>
      <x:c r="I113" s="55" t="n">
        <x:v>1534</x:v>
      </x:c>
      <x:c r="J113" s="55" t="n">
        <x:v>364</x:v>
      </x:c>
      <x:c r="K113" s="55" t="n">
        <x:v>31201</x:v>
      </x:c>
      <x:c r="L113" s="55" t="n">
        <x:v>5170</x:v>
      </x:c>
      <x:c r="M113" s="55" t="n">
        <x:v>712</x:v>
      </x:c>
      <x:c r="N113" s="55" t="n">
        <x:v>2797</x:v>
      </x:c>
      <x:c r="O113" s="55" t="n">
        <x:v>1661</x:v>
      </x:c>
      <x:c r="P113" s="55" t="n">
        <x:v>543</x:v>
      </x:c>
      <x:c r="Q113" s="55" t="n">
        <x:v>2365</x:v>
      </x:c>
      <x:c r="R113" s="55" t="n">
        <x:v>1676</x:v>
      </x:c>
      <x:c r="S113" s="55" t="n">
        <x:v>3314</x:v>
      </x:c>
      <x:c r="T113" s="55" t="n">
        <x:v>926</x:v>
      </x:c>
      <x:c r="U113" s="55" t="n">
        <x:v>2339</x:v>
      </x:c>
      <x:c r="V113" s="55" t="n">
        <x:v>10415</x:v>
      </x:c>
      <x:c r="W113" s="55" t="n">
        <x:v>7169</x:v>
      </x:c>
      <x:c r="X113" s="55" t="n">
        <x:v>3246</x:v>
      </x:c>
      <x:c r="Y113" s="55" t="n">
        <x:v>2931</x:v>
      </x:c>
      <x:c r="Z113" s="55" t="n">
        <x:v>3706</x:v>
      </x:c>
      <x:c r="AA113" s="55" t="n">
        <x:v>3388</x:v>
      </x:c>
      <x:c r="AB113" s="55" t="n">
        <x:v>860</x:v>
      </x:c>
      <x:c r="AC113" s="55" t="n">
        <x:v>8547</x:v>
      </x:c>
      <x:c r="AD113" s="55" t="n">
        <x:v>2292</x:v>
      </x:c>
      <x:c r="AE113" s="55" t="n">
        <x:v>10473</x:v>
      </x:c>
      <x:c r="AF113" s="55" t="n">
        <x:v>10415</x:v>
      </x:c>
      <x:c r="AG113" s="55" t="n">
        <x:v>58</x:v>
      </x:c>
      <x:c r="AH113" s="55" t="n">
        <x:v>408</x:v>
      </x:c>
      <x:c r="AI113" s="55" t="n">
        <x:v>10007</x:v>
      </x:c>
      <x:c r="AJ113" s="55" t="n">
        <x:v>569</x:v>
      </x:c>
      <x:c r="AK113" s="55" t="n">
        <x:v>1332</x:v>
      </x:c>
      <x:c r="AL113" s="55" t="n">
        <x:v>1081</x:v>
      </x:c>
      <x:c r="AM113" s="55" t="n">
        <x:v>4782</x:v>
      </x:c>
      <x:c r="AN113" s="55" t="n">
        <x:v>2568</x:v>
      </x:c>
      <x:c r="AO113" s="55" t="n">
        <x:v>83</x:v>
      </x:c>
      <x:c r="AP113" s="55" t="n">
        <x:v>2422</x:v>
      </x:c>
      <x:c r="AQ113" s="55" t="n">
        <x:v>941</x:v>
      </x:c>
    </x:row>
    <x:row r="114">
      <x:c r="A114" s="54" t="str">
        <x:v>T0_TABLE_BLOCK</x:v>
      </x:c>
      <x:c r="B114" s="54" t="n">
        <x:v>108</x:v>
      </x:c>
      <x:c r="C114" s="54" t="str">
        <x:v>NYC-V2-R01</x:v>
      </x:c>
      <x:c r="D114" s="54" t="str">
        <x:v>V2</x:v>
      </x:c>
      <x:c r="E114" s="54" t="str">
        <x:v>ADMITTED</x:v>
      </x:c>
      <x:c r="F114" s="55" t="n">
        <x:v>31249</x:v>
      </x:c>
      <x:c r="G114" s="55" t="n">
        <x:v>8166</x:v>
      </x:c>
      <x:c r="H114" s="55" t="n">
        <x:v>3169</x:v>
      </x:c>
      <x:c r="I114" s="55" t="n">
        <x:v>1257</x:v>
      </x:c>
      <x:c r="J114" s="55" t="n">
        <x:v>124</x:v>
      </x:c>
      <x:c r="K114" s="55" t="n">
        <x:v>31249</x:v>
      </x:c>
      <x:c r="L114" s="55" t="n">
        <x:v>5242</x:v>
      </x:c>
      <x:c r="M114" s="55" t="n">
        <x:v>954</x:v>
      </x:c>
      <x:c r="N114" s="55" t="n">
        <x:v>2410</x:v>
      </x:c>
      <x:c r="O114" s="55" t="n">
        <x:v>1878</x:v>
      </x:c>
      <x:c r="P114" s="55" t="n">
        <x:v>463</x:v>
      </x:c>
      <x:c r="Q114" s="55" t="n">
        <x:v>1999</x:v>
      </x:c>
      <x:c r="R114" s="55" t="n">
        <x:v>1713</x:v>
      </x:c>
      <x:c r="S114" s="55" t="n">
        <x:v>2722</x:v>
      </x:c>
      <x:c r="T114" s="55" t="n">
        <x:v>966</x:v>
      </x:c>
      <x:c r="U114" s="55" t="n">
        <x:v>1444</x:v>
      </x:c>
      <x:c r="V114" s="55" t="n">
        <x:v>10370</x:v>
      </x:c>
      <x:c r="W114" s="55" t="n">
        <x:v>7395</x:v>
      </x:c>
      <x:c r="X114" s="55" t="n">
        <x:v>2975</x:v>
      </x:c>
      <x:c r="Y114" s="55" t="n">
        <x:v>2703</x:v>
      </x:c>
      <x:c r="Z114" s="55" t="n">
        <x:v>3643</x:v>
      </x:c>
      <x:c r="AA114" s="55" t="n">
        <x:v>3169</x:v>
      </x:c>
      <x:c r="AB114" s="55" t="n">
        <x:v>1022</x:v>
      </x:c>
      <x:c r="AC114" s="55" t="n">
        <x:v>8070</x:v>
      </x:c>
      <x:c r="AD114" s="55" t="n">
        <x:v>3300</x:v>
      </x:c>
      <x:c r="AE114" s="55" t="n">
        <x:v>10370</x:v>
      </x:c>
      <x:c r="AF114" s="55" t="n">
        <x:v>10370</x:v>
      </x:c>
      <x:c r="AG114" s="55" t="n">
        <x:v>0</x:v>
      </x:c>
      <x:c r="AH114" s="55" t="n">
        <x:v>355</x:v>
      </x:c>
      <x:c r="AI114" s="55" t="n">
        <x:v>10015</x:v>
      </x:c>
      <x:c r="AJ114" s="55" t="n">
        <x:v>403</x:v>
      </x:c>
      <x:c r="AK114" s="55" t="n">
        <x:v>1300</x:v>
      </x:c>
      <x:c r="AL114" s="55" t="n">
        <x:v>1502</x:v>
      </x:c>
      <x:c r="AM114" s="55" t="n">
        <x:v>4836</x:v>
      </x:c>
      <x:c r="AN114" s="55" t="n">
        <x:v>2299</x:v>
      </x:c>
      <x:c r="AO114" s="55" t="n">
        <x:v>30</x:v>
      </x:c>
      <x:c r="AP114" s="55" t="n">
        <x:v>2455</x:v>
      </x:c>
      <x:c r="AQ114" s="55" t="n">
        <x:v>962</x:v>
      </x:c>
    </x:row>
    <x:row r="115">
      <x:c r="A115" s="54" t="str">
        <x:v>T0_TABLE_BLOCK</x:v>
      </x:c>
      <x:c r="B115" s="54" t="n">
        <x:v>109</x:v>
      </x:c>
      <x:c r="C115" s="54" t="str">
        <x:v>NYC-V2-R01</x:v>
      </x:c>
      <x:c r="D115" s="54" t="str">
        <x:v>V2</x:v>
      </x:c>
      <x:c r="E115" s="54" t="str">
        <x:v>ADMITTED</x:v>
      </x:c>
      <x:c r="F115" s="55" t="n">
        <x:v>31770</x:v>
      </x:c>
      <x:c r="G115" s="55" t="n">
        <x:v>7065</x:v>
      </x:c>
      <x:c r="H115" s="55" t="n">
        <x:v>3178</x:v>
      </x:c>
      <x:c r="I115" s="55" t="n">
        <x:v>1101</x:v>
      </x:c>
      <x:c r="J115" s="55" t="n">
        <x:v>197</x:v>
      </x:c>
      <x:c r="K115" s="55" t="n">
        <x:v>31770</x:v>
      </x:c>
      <x:c r="L115" s="55" t="n">
        <x:v>7018</x:v>
      </x:c>
      <x:c r="M115" s="55" t="n">
        <x:v>2373</x:v>
      </x:c>
      <x:c r="N115" s="55" t="n">
        <x:v>2553</x:v>
      </x:c>
      <x:c r="O115" s="55" t="n">
        <x:v>2092</x:v>
      </x:c>
      <x:c r="P115" s="55" t="n">
        <x:v>725</x:v>
      </x:c>
      <x:c r="Q115" s="55" t="n">
        <x:v>2295</x:v>
      </x:c>
      <x:c r="R115" s="55" t="n">
        <x:v>1987</x:v>
      </x:c>
      <x:c r="S115" s="55" t="n">
        <x:v>2735</x:v>
      </x:c>
      <x:c r="T115" s="55" t="n">
        <x:v>647</x:v>
      </x:c>
      <x:c r="U115" s="55" t="n">
        <x:v>1674</x:v>
      </x:c>
      <x:c r="V115" s="55" t="n">
        <x:v>10261</x:v>
      </x:c>
      <x:c r="W115" s="55" t="n">
        <x:v>7476</x:v>
      </x:c>
      <x:c r="X115" s="55" t="n">
        <x:v>2785</x:v>
      </x:c>
      <x:c r="Y115" s="55" t="n">
        <x:v>2279</x:v>
      </x:c>
      <x:c r="Z115" s="55" t="n">
        <x:v>3961</x:v>
      </x:c>
      <x:c r="AA115" s="55" t="n">
        <x:v>3178</x:v>
      </x:c>
      <x:c r="AB115" s="55" t="n">
        <x:v>1378</x:v>
      </x:c>
      <x:c r="AC115" s="55" t="n">
        <x:v>8339</x:v>
      </x:c>
      <x:c r="AD115" s="55" t="n">
        <x:v>2717</x:v>
      </x:c>
      <x:c r="AE115" s="55" t="n">
        <x:v>10295</x:v>
      </x:c>
      <x:c r="AF115" s="55" t="n">
        <x:v>10261</x:v>
      </x:c>
      <x:c r="AG115" s="55" t="n">
        <x:v>34</x:v>
      </x:c>
      <x:c r="AH115" s="55" t="n">
        <x:v>306</x:v>
      </x:c>
      <x:c r="AI115" s="55" t="n">
        <x:v>9955</x:v>
      </x:c>
      <x:c r="AJ115" s="55" t="n">
        <x:v>161</x:v>
      </x:c>
      <x:c r="AK115" s="55" t="n">
        <x:v>870</x:v>
      </x:c>
      <x:c r="AL115" s="55" t="n">
        <x:v>1194</x:v>
      </x:c>
      <x:c r="AM115" s="55" t="n">
        <x:v>5242</x:v>
      </x:c>
      <x:c r="AN115" s="55" t="n">
        <x:v>2794</x:v>
      </x:c>
      <x:c r="AO115" s="55" t="n">
        <x:v>0</x:v>
      </x:c>
      <x:c r="AP115" s="55" t="n">
        <x:v>2473</x:v>
      </x:c>
      <x:c r="AQ115" s="55" t="n">
        <x:v>917</x:v>
      </x:c>
    </x:row>
    <x:row r="116">
      <x:c r="A116" s="54" t="str">
        <x:v>T0_TABLE_BLOCK</x:v>
      </x:c>
      <x:c r="B116" s="54" t="n">
        <x:v>110</x:v>
      </x:c>
      <x:c r="C116" s="54" t="str">
        <x:v>NYC-V2-R01</x:v>
      </x:c>
      <x:c r="D116" s="54" t="str">
        <x:v>V2</x:v>
      </x:c>
      <x:c r="E116" s="54" t="str">
        <x:v>ADMITTED</x:v>
      </x:c>
      <x:c r="F116" s="55" t="n">
        <x:v>34759</x:v>
      </x:c>
      <x:c r="G116" s="55" t="n">
        <x:v>9501</x:v>
      </x:c>
      <x:c r="H116" s="55" t="n">
        <x:v>3392</x:v>
      </x:c>
      <x:c r="I116" s="55" t="n">
        <x:v>1508</x:v>
      </x:c>
      <x:c r="J116" s="55" t="n">
        <x:v>377</x:v>
      </x:c>
      <x:c r="K116" s="55" t="n">
        <x:v>29604</x:v>
      </x:c>
      <x:c r="L116" s="55" t="n">
        <x:v>5196</x:v>
      </x:c>
      <x:c r="M116" s="55" t="n">
        <x:v>562</x:v>
      </x:c>
      <x:c r="N116" s="55" t="n">
        <x:v>2670</x:v>
      </x:c>
      <x:c r="O116" s="55" t="n">
        <x:v>1964</x:v>
      </x:c>
      <x:c r="P116" s="55" t="n">
        <x:v>335</x:v>
      </x:c>
      <x:c r="Q116" s="55" t="n">
        <x:v>1723</x:v>
      </x:c>
      <x:c r="R116" s="55" t="n">
        <x:v>1724</x:v>
      </x:c>
      <x:c r="S116" s="55" t="n">
        <x:v>2741</x:v>
      </x:c>
      <x:c r="T116" s="55" t="n">
        <x:v>760</x:v>
      </x:c>
      <x:c r="U116" s="55" t="n">
        <x:v>2059</x:v>
      </x:c>
      <x:c r="V116" s="55" t="n">
        <x:v>11037</x:v>
      </x:c>
      <x:c r="W116" s="55" t="n">
        <x:v>8226</x:v>
      </x:c>
      <x:c r="X116" s="55" t="n">
        <x:v>2811</x:v>
      </x:c>
      <x:c r="Y116" s="55" t="n">
        <x:v>2336</x:v>
      </x:c>
      <x:c r="Z116" s="55" t="n">
        <x:v>3731</x:v>
      </x:c>
      <x:c r="AA116" s="55" t="n">
        <x:v>3051</x:v>
      </x:c>
      <x:c r="AB116" s="55" t="n">
        <x:v>1100</x:v>
      </x:c>
      <x:c r="AC116" s="55" t="n">
        <x:v>7915</x:v>
      </x:c>
      <x:c r="AD116" s="55" t="n">
        <x:v>2856</x:v>
      </x:c>
      <x:c r="AE116" s="55" t="n">
        <x:v>11060</x:v>
      </x:c>
      <x:c r="AF116" s="55" t="n">
        <x:v>11037</x:v>
      </x:c>
      <x:c r="AG116" s="55" t="n">
        <x:v>23</x:v>
      </x:c>
      <x:c r="AH116" s="55" t="n">
        <x:v>392</x:v>
      </x:c>
      <x:c r="AI116" s="55" t="n">
        <x:v>10645</x:v>
      </x:c>
      <x:c r="AJ116" s="55" t="n">
        <x:v>489</x:v>
      </x:c>
      <x:c r="AK116" s="55" t="n">
        <x:v>816</x:v>
      </x:c>
      <x:c r="AL116" s="55" t="n">
        <x:v>1567</x:v>
      </x:c>
      <x:c r="AM116" s="55" t="n">
        <x:v>5285</x:v>
      </x:c>
      <x:c r="AN116" s="55" t="n">
        <x:v>2880</x:v>
      </x:c>
      <x:c r="AO116" s="55" t="n">
        <x:v>0</x:v>
      </x:c>
      <x:c r="AP116" s="55" t="n">
        <x:v>2139</x:v>
      </x:c>
      <x:c r="AQ116" s="55" t="n">
        <x:v>959</x:v>
      </x:c>
    </x:row>
    <x:row r="117">
      <x:c r="A117" s="54" t="str">
        <x:v>T0_TABLE_BLOCK</x:v>
      </x:c>
      <x:c r="B117" s="54" t="n">
        <x:v>111</x:v>
      </x:c>
      <x:c r="C117" s="54" t="str">
        <x:v>NYC-V2-R01</x:v>
      </x:c>
      <x:c r="D117" s="54" t="str">
        <x:v>V2</x:v>
      </x:c>
      <x:c r="E117" s="54" t="str">
        <x:v>ADMITTED</x:v>
      </x:c>
      <x:c r="F117" s="55" t="n">
        <x:v>32340</x:v>
      </x:c>
      <x:c r="G117" s="55" t="n">
        <x:v>7034</x:v>
      </x:c>
      <x:c r="H117" s="55" t="n">
        <x:v>3514</x:v>
      </x:c>
      <x:c r="I117" s="55" t="n">
        <x:v>1761</x:v>
      </x:c>
      <x:c r="J117" s="55" t="n">
        <x:v>236</x:v>
      </x:c>
      <x:c r="K117" s="55" t="n">
        <x:v>32340</x:v>
      </x:c>
      <x:c r="L117" s="55" t="n">
        <x:v>5945</x:v>
      </x:c>
      <x:c r="M117" s="55" t="n">
        <x:v>2199</x:v>
      </x:c>
      <x:c r="N117" s="55" t="n">
        <x:v>1782</x:v>
      </x:c>
      <x:c r="O117" s="55" t="n">
        <x:v>1964</x:v>
      </x:c>
      <x:c r="P117" s="55" t="n">
        <x:v>1327</x:v>
      </x:c>
      <x:c r="Q117" s="55" t="n">
        <x:v>1994</x:v>
      </x:c>
      <x:c r="R117" s="55" t="n">
        <x:v>2429</x:v>
      </x:c>
      <x:c r="S117" s="55" t="n">
        <x:v>3383</x:v>
      </x:c>
      <x:c r="T117" s="55" t="n">
        <x:v>1409</x:v>
      </x:c>
      <x:c r="U117" s="55" t="n">
        <x:v>2107</x:v>
      </x:c>
      <x:c r="V117" s="55" t="n">
        <x:v>10553</x:v>
      </x:c>
      <x:c r="W117" s="55" t="n">
        <x:v>7572</x:v>
      </x:c>
      <x:c r="X117" s="55" t="n">
        <x:v>2981</x:v>
      </x:c>
      <x:c r="Y117" s="55" t="n">
        <x:v>2529</x:v>
      </x:c>
      <x:c r="Z117" s="55" t="n">
        <x:v>3792</x:v>
      </x:c>
      <x:c r="AA117" s="55" t="n">
        <x:v>2903</x:v>
      </x:c>
      <x:c r="AB117" s="55" t="n">
        <x:v>985</x:v>
      </x:c>
      <x:c r="AC117" s="55" t="n">
        <x:v>7276</x:v>
      </x:c>
      <x:c r="AD117" s="55" t="n">
        <x:v>2673</x:v>
      </x:c>
      <x:c r="AE117" s="55" t="n">
        <x:v>10613</x:v>
      </x:c>
      <x:c r="AF117" s="55" t="n">
        <x:v>10553</x:v>
      </x:c>
      <x:c r="AG117" s="55" t="n">
        <x:v>60</x:v>
      </x:c>
      <x:c r="AH117" s="55" t="n">
        <x:v>684</x:v>
      </x:c>
      <x:c r="AI117" s="55" t="n">
        <x:v>9869</x:v>
      </x:c>
      <x:c r="AJ117" s="55" t="n">
        <x:v>388</x:v>
      </x:c>
      <x:c r="AK117" s="55" t="n">
        <x:v>882</x:v>
      </x:c>
      <x:c r="AL117" s="55" t="n">
        <x:v>1658</x:v>
      </x:c>
      <x:c r="AM117" s="55" t="n">
        <x:v>4797</x:v>
      </x:c>
      <x:c r="AN117" s="55" t="n">
        <x:v>2782</x:v>
      </x:c>
      <x:c r="AO117" s="55" t="n">
        <x:v>46</x:v>
      </x:c>
      <x:c r="AP117" s="55" t="n">
        <x:v>2693</x:v>
      </x:c>
      <x:c r="AQ117" s="55" t="n">
        <x:v>1004</x:v>
      </x:c>
    </x:row>
    <x:row r="118">
      <x:c r="A118" s="54" t="str">
        <x:v>T0_TABLE_BLOCK</x:v>
      </x:c>
      <x:c r="B118" s="54" t="n">
        <x:v>112</x:v>
      </x:c>
      <x:c r="C118" s="54" t="str">
        <x:v>NYC-V2-R01</x:v>
      </x:c>
      <x:c r="D118" s="54" t="str">
        <x:v>V2</x:v>
      </x:c>
      <x:c r="E118" s="54" t="str">
        <x:v>ADMITTED</x:v>
      </x:c>
      <x:c r="F118" s="55" t="n">
        <x:v>31929</x:v>
      </x:c>
      <x:c r="G118" s="55" t="n">
        <x:v>7551</x:v>
      </x:c>
      <x:c r="H118" s="55" t="n">
        <x:v>3370</x:v>
      </x:c>
      <x:c r="I118" s="55" t="n">
        <x:v>1413</x:v>
      </x:c>
      <x:c r="J118" s="55" t="n">
        <x:v>244</x:v>
      </x:c>
      <x:c r="K118" s="55" t="n">
        <x:v>31929</x:v>
      </x:c>
      <x:c r="L118" s="55" t="n">
        <x:v>7667</x:v>
      </x:c>
      <x:c r="M118" s="55" t="n">
        <x:v>2871</x:v>
      </x:c>
      <x:c r="N118" s="55" t="n">
        <x:v>3163</x:v>
      </x:c>
      <x:c r="O118" s="55" t="n">
        <x:v>1633</x:v>
      </x:c>
      <x:c r="P118" s="55" t="n">
        <x:v>865</x:v>
      </x:c>
      <x:c r="Q118" s="55" t="n">
        <x:v>3051</x:v>
      </x:c>
      <x:c r="R118" s="55" t="n">
        <x:v>2195</x:v>
      </x:c>
      <x:c r="S118" s="55" t="n">
        <x:v>2336</x:v>
      </x:c>
      <x:c r="T118" s="55" t="n">
        <x:v>1791</x:v>
      </x:c>
      <x:c r="U118" s="55" t="n">
        <x:v>1851</x:v>
      </x:c>
      <x:c r="V118" s="55" t="n">
        <x:v>10700</x:v>
      </x:c>
      <x:c r="W118" s="55" t="n">
        <x:v>7422</x:v>
      </x:c>
      <x:c r="X118" s="55" t="n">
        <x:v>3278</x:v>
      </x:c>
      <x:c r="Y118" s="55" t="n">
        <x:v>2785</x:v>
      </x:c>
      <x:c r="Z118" s="55" t="n">
        <x:v>3991</x:v>
      </x:c>
      <x:c r="AA118" s="55" t="n">
        <x:v>3149</x:v>
      </x:c>
      <x:c r="AB118" s="55" t="n">
        <x:v>1274</x:v>
      </x:c>
      <x:c r="AC118" s="55" t="n">
        <x:v>8164</x:v>
      </x:c>
      <x:c r="AD118" s="55" t="n">
        <x:v>3158</x:v>
      </x:c>
      <x:c r="AE118" s="55" t="n">
        <x:v>10834</x:v>
      </x:c>
      <x:c r="AF118" s="55" t="n">
        <x:v>10700</x:v>
      </x:c>
      <x:c r="AG118" s="55" t="n">
        <x:v>134</x:v>
      </x:c>
      <x:c r="AH118" s="55" t="n">
        <x:v>406</x:v>
      </x:c>
      <x:c r="AI118" s="55" t="n">
        <x:v>10294</x:v>
      </x:c>
      <x:c r="AJ118" s="55" t="n">
        <x:v>348</x:v>
      </x:c>
      <x:c r="AK118" s="55" t="n">
        <x:v>1035</x:v>
      </x:c>
      <x:c r="AL118" s="55" t="n">
        <x:v>1693</x:v>
      </x:c>
      <x:c r="AM118" s="55" t="n">
        <x:v>4879</x:v>
      </x:c>
      <x:c r="AN118" s="55" t="n">
        <x:v>2745</x:v>
      </x:c>
      <x:c r="AO118" s="55" t="n">
        <x:v>0</x:v>
      </x:c>
      <x:c r="AP118" s="55" t="n">
        <x:v>2328</x:v>
      </x:c>
      <x:c r="AQ118" s="55" t="n">
        <x:v>984</x:v>
      </x:c>
    </x:row>
    <x:row r="119">
      <x:c r="A119" s="54" t="str">
        <x:v>T0_TABLE_BLOCK</x:v>
      </x:c>
      <x:c r="B119" s="54" t="n">
        <x:v>113</x:v>
      </x:c>
      <x:c r="C119" s="54" t="str">
        <x:v>NYC-V2-R01</x:v>
      </x:c>
      <x:c r="D119" s="54" t="str">
        <x:v>V2</x:v>
      </x:c>
      <x:c r="E119" s="54" t="str">
        <x:v>ADMITTED</x:v>
      </x:c>
      <x:c r="F119" s="55" t="n">
        <x:v>31326</x:v>
      </x:c>
      <x:c r="G119" s="55" t="n">
        <x:v>8266</x:v>
      </x:c>
      <x:c r="H119" s="55" t="n">
        <x:v>3244</x:v>
      </x:c>
      <x:c r="I119" s="55" t="n">
        <x:v>1355</x:v>
      </x:c>
      <x:c r="J119" s="55" t="n">
        <x:v>326</x:v>
      </x:c>
      <x:c r="K119" s="55" t="n">
        <x:v>28635</x:v>
      </x:c>
      <x:c r="L119" s="55" t="n">
        <x:v>5326</x:v>
      </x:c>
      <x:c r="M119" s="55" t="n">
        <x:v>958</x:v>
      </x:c>
      <x:c r="N119" s="55" t="n">
        <x:v>2683</x:v>
      </x:c>
      <x:c r="O119" s="55" t="n">
        <x:v>1685</x:v>
      </x:c>
      <x:c r="P119" s="55" t="n">
        <x:v>626</x:v>
      </x:c>
      <x:c r="Q119" s="55" t="n">
        <x:v>1682</x:v>
      </x:c>
      <x:c r="R119" s="55" t="n">
        <x:v>2011</x:v>
      </x:c>
      <x:c r="S119" s="55" t="n">
        <x:v>2682</x:v>
      </x:c>
      <x:c r="T119" s="55" t="n">
        <x:v>1077</x:v>
      </x:c>
      <x:c r="U119" s="55" t="n">
        <x:v>2475</x:v>
      </x:c>
      <x:c r="V119" s="55" t="n">
        <x:v>11010</x:v>
      </x:c>
      <x:c r="W119" s="55" t="n">
        <x:v>7870</x:v>
      </x:c>
      <x:c r="X119" s="55" t="n">
        <x:v>3140</x:v>
      </x:c>
      <x:c r="Y119" s="55" t="n">
        <x:v>2594</x:v>
      </x:c>
      <x:c r="Z119" s="55" t="n">
        <x:v>3773</x:v>
      </x:c>
      <x:c r="AA119" s="55" t="n">
        <x:v>3244</x:v>
      </x:c>
      <x:c r="AB119" s="55" t="n">
        <x:v>1378</x:v>
      </x:c>
      <x:c r="AC119" s="55" t="n">
        <x:v>8389</x:v>
      </x:c>
      <x:c r="AD119" s="55" t="n">
        <x:v>2723</x:v>
      </x:c>
      <x:c r="AE119" s="55" t="n">
        <x:v>11146</x:v>
      </x:c>
      <x:c r="AF119" s="55" t="n">
        <x:v>11010</x:v>
      </x:c>
      <x:c r="AG119" s="55" t="n">
        <x:v>136</x:v>
      </x:c>
      <x:c r="AH119" s="55" t="n">
        <x:v>740</x:v>
      </x:c>
      <x:c r="AI119" s="55" t="n">
        <x:v>10270</x:v>
      </x:c>
      <x:c r="AJ119" s="55" t="n">
        <x:v>207</x:v>
      </x:c>
      <x:c r="AK119" s="55" t="n">
        <x:v>920</x:v>
      </x:c>
      <x:c r="AL119" s="55" t="n">
        <x:v>2156</x:v>
      </x:c>
      <x:c r="AM119" s="55" t="n">
        <x:v>5044</x:v>
      </x:c>
      <x:c r="AN119" s="55" t="n">
        <x:v>2657</x:v>
      </x:c>
      <x:c r="AO119" s="55" t="n">
        <x:v>26</x:v>
      </x:c>
      <x:c r="AP119" s="55" t="n">
        <x:v>2762</x:v>
      </x:c>
      <x:c r="AQ119" s="55" t="n">
        <x:v>978</x:v>
      </x:c>
    </x:row>
    <x:row r="120">
      <x:c r="A120" s="54" t="str">
        <x:v>T0_TABLE_BLOCK</x:v>
      </x:c>
      <x:c r="B120" s="54" t="n">
        <x:v>114</x:v>
      </x:c>
      <x:c r="C120" s="54" t="str">
        <x:v>NYC-V2-R01</x:v>
      </x:c>
      <x:c r="D120" s="54" t="str">
        <x:v>V2</x:v>
      </x:c>
      <x:c r="E120" s="54" t="str">
        <x:v>ADMITTED</x:v>
      </x:c>
      <x:c r="F120" s="55" t="n">
        <x:v>32412</x:v>
      </x:c>
      <x:c r="G120" s="55" t="n">
        <x:v>8497</x:v>
      </x:c>
      <x:c r="H120" s="55" t="n">
        <x:v>2975</x:v>
      </x:c>
      <x:c r="I120" s="55" t="n">
        <x:v>1091</x:v>
      </x:c>
      <x:c r="J120" s="55" t="n">
        <x:v>105</x:v>
      </x:c>
      <x:c r="K120" s="55" t="n">
        <x:v>32412</x:v>
      </x:c>
      <x:c r="L120" s="55" t="n">
        <x:v>5290</x:v>
      </x:c>
      <x:c r="M120" s="55" t="n">
        <x:v>768</x:v>
      </x:c>
      <x:c r="N120" s="55" t="n">
        <x:v>2717</x:v>
      </x:c>
      <x:c r="O120" s="55" t="n">
        <x:v>1805</x:v>
      </x:c>
      <x:c r="P120" s="55" t="n">
        <x:v>650</x:v>
      </x:c>
      <x:c r="Q120" s="55" t="n">
        <x:v>2986</x:v>
      </x:c>
      <x:c r="R120" s="55" t="n">
        <x:v>1784</x:v>
      </x:c>
      <x:c r="S120" s="55" t="n">
        <x:v>2383</x:v>
      </x:c>
      <x:c r="T120" s="55" t="n">
        <x:v>1346</x:v>
      </x:c>
      <x:c r="U120" s="55" t="n">
        <x:v>1628</x:v>
      </x:c>
      <x:c r="V120" s="55" t="n">
        <x:v>10210</x:v>
      </x:c>
      <x:c r="W120" s="55" t="n">
        <x:v>6979</x:v>
      </x:c>
      <x:c r="X120" s="55" t="n">
        <x:v>3231</x:v>
      </x:c>
      <x:c r="Y120" s="55" t="n">
        <x:v>2675</x:v>
      </x:c>
      <x:c r="Z120" s="55" t="n">
        <x:v>3570</x:v>
      </x:c>
      <x:c r="AA120" s="55" t="n">
        <x:v>2975</x:v>
      </x:c>
      <x:c r="AB120" s="55" t="n">
        <x:v>889</x:v>
      </x:c>
      <x:c r="AC120" s="55" t="n">
        <x:v>7943</x:v>
      </x:c>
      <x:c r="AD120" s="55" t="n">
        <x:v>2697</x:v>
      </x:c>
      <x:c r="AE120" s="55" t="n">
        <x:v>10329</x:v>
      </x:c>
      <x:c r="AF120" s="55" t="n">
        <x:v>10210</x:v>
      </x:c>
      <x:c r="AG120" s="55" t="n">
        <x:v>119</x:v>
      </x:c>
      <x:c r="AH120" s="55" t="n">
        <x:v>446</x:v>
      </x:c>
      <x:c r="AI120" s="55" t="n">
        <x:v>9764</x:v>
      </x:c>
      <x:c r="AJ120" s="55" t="n">
        <x:v>463</x:v>
      </x:c>
      <x:c r="AK120" s="55" t="n">
        <x:v>849</x:v>
      </x:c>
      <x:c r="AL120" s="55" t="n">
        <x:v>1233</x:v>
      </x:c>
      <x:c r="AM120" s="55" t="n">
        <x:v>5001</x:v>
      </x:c>
      <x:c r="AN120" s="55" t="n">
        <x:v>2637</x:v>
      </x:c>
      <x:c r="AO120" s="55" t="n">
        <x:v>27</x:v>
      </x:c>
      <x:c r="AP120" s="55" t="n">
        <x:v>2264</x:v>
      </x:c>
      <x:c r="AQ120" s="55" t="n">
        <x:v>960</x:v>
      </x:c>
    </x:row>
    <x:row r="121">
      <x:c r="A121" s="54" t="str">
        <x:v>T0_TABLE_BLOCK</x:v>
      </x:c>
      <x:c r="B121" s="54" t="n">
        <x:v>115</x:v>
      </x:c>
      <x:c r="C121" s="54" t="str">
        <x:v>NYC-V2-R01</x:v>
      </x:c>
      <x:c r="D121" s="54" t="str">
        <x:v>V2</x:v>
      </x:c>
      <x:c r="E121" s="54" t="str">
        <x:v>ADMITTED</x:v>
      </x:c>
      <x:c r="F121" s="55" t="n">
        <x:v>31745</x:v>
      </x:c>
      <x:c r="G121" s="55" t="n">
        <x:v>8815</x:v>
      </x:c>
      <x:c r="H121" s="55" t="n">
        <x:v>3597</x:v>
      </x:c>
      <x:c r="I121" s="55" t="n">
        <x:v>1293</x:v>
      </x:c>
      <x:c r="J121" s="55" t="n">
        <x:v>122</x:v>
      </x:c>
      <x:c r="K121" s="55" t="n">
        <x:v>29775</x:v>
      </x:c>
      <x:c r="L121" s="55" t="n">
        <x:v>6247</x:v>
      </x:c>
      <x:c r="M121" s="55" t="n">
        <x:v>1938</x:v>
      </x:c>
      <x:c r="N121" s="55" t="n">
        <x:v>2636</x:v>
      </x:c>
      <x:c r="O121" s="55" t="n">
        <x:v>1673</x:v>
      </x:c>
      <x:c r="P121" s="55" t="n">
        <x:v>632</x:v>
      </x:c>
      <x:c r="Q121" s="55" t="n">
        <x:v>2226</x:v>
      </x:c>
      <x:c r="R121" s="55" t="n">
        <x:v>1696</x:v>
      </x:c>
      <x:c r="S121" s="55" t="n">
        <x:v>2780</x:v>
      </x:c>
      <x:c r="T121" s="55" t="n">
        <x:v>830</x:v>
      </x:c>
      <x:c r="U121" s="55" t="n">
        <x:v>2098</x:v>
      </x:c>
      <x:c r="V121" s="55" t="n">
        <x:v>11286</x:v>
      </x:c>
      <x:c r="W121" s="55" t="n">
        <x:v>7893</x:v>
      </x:c>
      <x:c r="X121" s="55" t="n">
        <x:v>3393</x:v>
      </x:c>
      <x:c r="Y121" s="55" t="n">
        <x:v>2961</x:v>
      </x:c>
      <x:c r="Z121" s="55" t="n">
        <x:v>3123</x:v>
      </x:c>
      <x:c r="AA121" s="55" t="n">
        <x:v>3597</x:v>
      </x:c>
      <x:c r="AB121" s="55" t="n">
        <x:v>1726</x:v>
      </x:c>
      <x:c r="AC121" s="55" t="n">
        <x:v>6996</x:v>
      </x:c>
      <x:c r="AD121" s="55" t="n">
        <x:v>3430</x:v>
      </x:c>
      <x:c r="AE121" s="55" t="n">
        <x:v>11400</x:v>
      </x:c>
      <x:c r="AF121" s="55" t="n">
        <x:v>11286</x:v>
      </x:c>
      <x:c r="AG121" s="55" t="n">
        <x:v>114</x:v>
      </x:c>
      <x:c r="AH121" s="55" t="n">
        <x:v>617</x:v>
      </x:c>
      <x:c r="AI121" s="55" t="n">
        <x:v>10669</x:v>
      </x:c>
      <x:c r="AJ121" s="55" t="n">
        <x:v>493</x:v>
      </x:c>
      <x:c r="AK121" s="55" t="n">
        <x:v>609</x:v>
      </x:c>
      <x:c r="AL121" s="55" t="n">
        <x:v>1328</x:v>
      </x:c>
      <x:c r="AM121" s="55" t="n">
        <x:v>5603</x:v>
      </x:c>
      <x:c r="AN121" s="55" t="n">
        <x:v>3231</x:v>
      </x:c>
      <x:c r="AO121" s="55" t="n">
        <x:v>22</x:v>
      </x:c>
      <x:c r="AP121" s="55" t="n">
        <x:v>2810</x:v>
      </x:c>
      <x:c r="AQ121" s="55" t="n">
        <x:v>974</x:v>
      </x:c>
    </x:row>
    <x:row r="122">
      <x:c r="A122" s="54" t="str">
        <x:v>T0_TABLE_BLOCK</x:v>
      </x:c>
      <x:c r="B122" s="54" t="n">
        <x:v>116</x:v>
      </x:c>
      <x:c r="C122" s="54" t="str">
        <x:v>NYC-V2-R01</x:v>
      </x:c>
      <x:c r="D122" s="54" t="str">
        <x:v>V2</x:v>
      </x:c>
      <x:c r="E122" s="54" t="str">
        <x:v>ADMITTED</x:v>
      </x:c>
      <x:c r="F122" s="55" t="n">
        <x:v>32900</x:v>
      </x:c>
      <x:c r="G122" s="55" t="n">
        <x:v>8237</x:v>
      </x:c>
      <x:c r="H122" s="55" t="n">
        <x:v>3013</x:v>
      </x:c>
      <x:c r="I122" s="55" t="n">
        <x:v>1161</x:v>
      </x:c>
      <x:c r="J122" s="55" t="n">
        <x:v>330</x:v>
      </x:c>
      <x:c r="K122" s="55" t="n">
        <x:v>32661</x:v>
      </x:c>
      <x:c r="L122" s="55" t="n">
        <x:v>6595</x:v>
      </x:c>
      <x:c r="M122" s="55" t="n">
        <x:v>2114</x:v>
      </x:c>
      <x:c r="N122" s="55" t="n">
        <x:v>2954</x:v>
      </x:c>
      <x:c r="O122" s="55" t="n">
        <x:v>1527</x:v>
      </x:c>
      <x:c r="P122" s="55" t="n">
        <x:v>808</x:v>
      </x:c>
      <x:c r="Q122" s="55" t="n">
        <x:v>1893</x:v>
      </x:c>
      <x:c r="R122" s="55" t="n">
        <x:v>2100</x:v>
      </x:c>
      <x:c r="S122" s="55" t="n">
        <x:v>2280</x:v>
      </x:c>
      <x:c r="T122" s="55" t="n">
        <x:v>1568</x:v>
      </x:c>
      <x:c r="U122" s="55" t="n">
        <x:v>1912</x:v>
      </x:c>
      <x:c r="V122" s="55" t="n">
        <x:v>10102</x:v>
      </x:c>
      <x:c r="W122" s="55" t="n">
        <x:v>6957</x:v>
      </x:c>
      <x:c r="X122" s="55" t="n">
        <x:v>3145</x:v>
      </x:c>
      <x:c r="Y122" s="55" t="n">
        <x:v>2534</x:v>
      </x:c>
      <x:c r="Z122" s="55" t="n">
        <x:v>4077</x:v>
      </x:c>
      <x:c r="AA122" s="55" t="n">
        <x:v>2724</x:v>
      </x:c>
      <x:c r="AB122" s="55" t="n">
        <x:v>1232</x:v>
      </x:c>
      <x:c r="AC122" s="55" t="n">
        <x:v>7801</x:v>
      </x:c>
      <x:c r="AD122" s="55" t="n">
        <x:v>2656</x:v>
      </x:c>
      <x:c r="AE122" s="55" t="n">
        <x:v>10237</x:v>
      </x:c>
      <x:c r="AF122" s="55" t="n">
        <x:v>10102</x:v>
      </x:c>
      <x:c r="AG122" s="55" t="n">
        <x:v>135</x:v>
      </x:c>
      <x:c r="AH122" s="55" t="n">
        <x:v>387</x:v>
      </x:c>
      <x:c r="AI122" s="55" t="n">
        <x:v>9715</x:v>
      </x:c>
      <x:c r="AJ122" s="55" t="n">
        <x:v>379</x:v>
      </x:c>
      <x:c r="AK122" s="55" t="n">
        <x:v>979</x:v>
      </x:c>
      <x:c r="AL122" s="55" t="n">
        <x:v>1592</x:v>
      </x:c>
      <x:c r="AM122" s="55" t="n">
        <x:v>4470</x:v>
      </x:c>
      <x:c r="AN122" s="55" t="n">
        <x:v>2601</x:v>
      </x:c>
      <x:c r="AO122" s="55" t="n">
        <x:v>81</x:v>
      </x:c>
      <x:c r="AP122" s="55" t="n">
        <x:v>3095</x:v>
      </x:c>
      <x:c r="AQ122" s="55" t="n">
        <x:v>939</x:v>
      </x:c>
    </x:row>
    <x:row r="123">
      <x:c r="A123" s="54" t="str">
        <x:v>T0_TABLE_BLOCK</x:v>
      </x:c>
      <x:c r="B123" s="54" t="n">
        <x:v>117</x:v>
      </x:c>
      <x:c r="C123" s="54" t="str">
        <x:v>NYC-V2-R01</x:v>
      </x:c>
      <x:c r="D123" s="54" t="str">
        <x:v>V2</x:v>
      </x:c>
      <x:c r="E123" s="54" t="str">
        <x:v>ADMITTED</x:v>
      </x:c>
      <x:c r="F123" s="55" t="n">
        <x:v>32422</x:v>
      </x:c>
      <x:c r="G123" s="55" t="n">
        <x:v>8128</x:v>
      </x:c>
      <x:c r="H123" s="55" t="n">
        <x:v>3349</x:v>
      </x:c>
      <x:c r="I123" s="55" t="n">
        <x:v>1327</x:v>
      </x:c>
      <x:c r="J123" s="55" t="n">
        <x:v>176</x:v>
      </x:c>
      <x:c r="K123" s="55" t="n">
        <x:v>32422</x:v>
      </x:c>
      <x:c r="L123" s="55" t="n">
        <x:v>7298</x:v>
      </x:c>
      <x:c r="M123" s="55" t="n">
        <x:v>1975</x:v>
      </x:c>
      <x:c r="N123" s="55" t="n">
        <x:v>3565</x:v>
      </x:c>
      <x:c r="O123" s="55" t="n">
        <x:v>1758</x:v>
      </x:c>
      <x:c r="P123" s="55" t="n">
        <x:v>723</x:v>
      </x:c>
      <x:c r="Q123" s="55" t="n">
        <x:v>1122</x:v>
      </x:c>
      <x:c r="R123" s="55" t="n">
        <x:v>1443</x:v>
      </x:c>
      <x:c r="S123" s="55" t="n">
        <x:v>2418</x:v>
      </x:c>
      <x:c r="T123" s="55" t="n">
        <x:v>1803</x:v>
      </x:c>
      <x:c r="U123" s="55" t="n">
        <x:v>1957</x:v>
      </x:c>
      <x:c r="V123" s="55" t="n">
        <x:v>10269</x:v>
      </x:c>
      <x:c r="W123" s="55" t="n">
        <x:v>7220</x:v>
      </x:c>
      <x:c r="X123" s="55" t="n">
        <x:v>3049</x:v>
      </x:c>
      <x:c r="Y123" s="55" t="n">
        <x:v>2705</x:v>
      </x:c>
      <x:c r="Z123" s="55" t="n">
        <x:v>3733</x:v>
      </x:c>
      <x:c r="AA123" s="55" t="n">
        <x:v>3349</x:v>
      </x:c>
      <x:c r="AB123" s="55" t="n">
        <x:v>1194</x:v>
      </x:c>
      <x:c r="AC123" s="55" t="n">
        <x:v>7722</x:v>
      </x:c>
      <x:c r="AD123" s="55" t="n">
        <x:v>2811</x:v>
      </x:c>
      <x:c r="AE123" s="55" t="n">
        <x:v>10327</x:v>
      </x:c>
      <x:c r="AF123" s="55" t="n">
        <x:v>10269</x:v>
      </x:c>
      <x:c r="AG123" s="55" t="n">
        <x:v>58</x:v>
      </x:c>
      <x:c r="AH123" s="55" t="n">
        <x:v>359</x:v>
      </x:c>
      <x:c r="AI123" s="55" t="n">
        <x:v>9910</x:v>
      </x:c>
      <x:c r="AJ123" s="55" t="n">
        <x:v>130</x:v>
      </x:c>
      <x:c r="AK123" s="55" t="n">
        <x:v>1078</x:v>
      </x:c>
      <x:c r="AL123" s="55" t="n">
        <x:v>1211</x:v>
      </x:c>
      <x:c r="AM123" s="55" t="n">
        <x:v>5294</x:v>
      </x:c>
      <x:c r="AN123" s="55" t="n">
        <x:v>2556</x:v>
      </x:c>
      <x:c r="AO123" s="55" t="n">
        <x:v>0</x:v>
      </x:c>
      <x:c r="AP123" s="55" t="n">
        <x:v>2193</x:v>
      </x:c>
      <x:c r="AQ123" s="55" t="n">
        <x:v>961</x:v>
      </x:c>
    </x:row>
    <x:row r="124">
      <x:c r="A124" s="54" t="str">
        <x:v>T0_TABLE_BLOCK</x:v>
      </x:c>
      <x:c r="B124" s="54" t="n">
        <x:v>118</x:v>
      </x:c>
      <x:c r="C124" s="54" t="str">
        <x:v>NYC-V2-R01</x:v>
      </x:c>
      <x:c r="D124" s="54" t="str">
        <x:v>V2</x:v>
      </x:c>
      <x:c r="E124" s="54" t="str">
        <x:v>ADMITTED</x:v>
      </x:c>
      <x:c r="F124" s="55" t="n">
        <x:v>32940</x:v>
      </x:c>
      <x:c r="G124" s="55" t="n">
        <x:v>8499</x:v>
      </x:c>
      <x:c r="H124" s="55" t="n">
        <x:v>3510</x:v>
      </x:c>
      <x:c r="I124" s="55" t="n">
        <x:v>1623</x:v>
      </x:c>
      <x:c r="J124" s="55" t="n">
        <x:v>377</x:v>
      </x:c>
      <x:c r="K124" s="55" t="n">
        <x:v>31013</x:v>
      </x:c>
      <x:c r="L124" s="55" t="n">
        <x:v>6694</x:v>
      </x:c>
      <x:c r="M124" s="55" t="n">
        <x:v>2403</x:v>
      </x:c>
      <x:c r="N124" s="55" t="n">
        <x:v>2327</x:v>
      </x:c>
      <x:c r="O124" s="55" t="n">
        <x:v>1964</x:v>
      </x:c>
      <x:c r="P124" s="55" t="n">
        <x:v>565</x:v>
      </x:c>
      <x:c r="Q124" s="55" t="n">
        <x:v>2239</x:v>
      </x:c>
      <x:c r="R124" s="55" t="n">
        <x:v>2247</x:v>
      </x:c>
      <x:c r="S124" s="55" t="n">
        <x:v>3336</x:v>
      </x:c>
      <x:c r="T124" s="55" t="n">
        <x:v>1070</x:v>
      </x:c>
      <x:c r="U124" s="55" t="n">
        <x:v>1184</x:v>
      </x:c>
      <x:c r="V124" s="55" t="n">
        <x:v>10856</x:v>
      </x:c>
      <x:c r="W124" s="55" t="n">
        <x:v>7671</x:v>
      </x:c>
      <x:c r="X124" s="55" t="n">
        <x:v>3185</x:v>
      </x:c>
      <x:c r="Y124" s="55" t="n">
        <x:v>2630</x:v>
      </x:c>
      <x:c r="Z124" s="55" t="n">
        <x:v>4031</x:v>
      </x:c>
      <x:c r="AA124" s="55" t="n">
        <x:v>2384</x:v>
      </x:c>
      <x:c r="AB124" s="55" t="n">
        <x:v>801</x:v>
      </x:c>
      <x:c r="AC124" s="55" t="n">
        <x:v>8152</x:v>
      </x:c>
      <x:c r="AD124" s="55" t="n">
        <x:v>2660</x:v>
      </x:c>
      <x:c r="AE124" s="55" t="n">
        <x:v>10886</x:v>
      </x:c>
      <x:c r="AF124" s="55" t="n">
        <x:v>10856</x:v>
      </x:c>
      <x:c r="AG124" s="55" t="n">
        <x:v>30</x:v>
      </x:c>
      <x:c r="AH124" s="55" t="n">
        <x:v>449</x:v>
      </x:c>
      <x:c r="AI124" s="55" t="n">
        <x:v>10407</x:v>
      </x:c>
      <x:c r="AJ124" s="55" t="n">
        <x:v>373</x:v>
      </x:c>
      <x:c r="AK124" s="55" t="n">
        <x:v>908</x:v>
      </x:c>
      <x:c r="AL124" s="55" t="n">
        <x:v>1706</x:v>
      </x:c>
      <x:c r="AM124" s="55" t="n">
        <x:v>4971</x:v>
      </x:c>
      <x:c r="AN124" s="55" t="n">
        <x:v>2898</x:v>
      </x:c>
      <x:c r="AO124" s="55" t="n">
        <x:v>0</x:v>
      </x:c>
      <x:c r="AP124" s="55" t="n">
        <x:v>2584</x:v>
      </x:c>
      <x:c r="AQ124" s="55" t="n">
        <x:v>939</x:v>
      </x:c>
    </x:row>
    <x:row r="125">
      <x:c r="A125" s="54" t="str">
        <x:v>T0_TABLE_BLOCK</x:v>
      </x:c>
      <x:c r="B125" s="54" t="n">
        <x:v>119</x:v>
      </x:c>
      <x:c r="C125" s="54" t="str">
        <x:v>NYC-V2-R01</x:v>
      </x:c>
      <x:c r="D125" s="54" t="str">
        <x:v>V2</x:v>
      </x:c>
      <x:c r="E125" s="54" t="str">
        <x:v>ADMITTED</x:v>
      </x:c>
      <x:c r="F125" s="55" t="n">
        <x:v>31262</x:v>
      </x:c>
      <x:c r="G125" s="55" t="n">
        <x:v>8740</x:v>
      </x:c>
      <x:c r="H125" s="55" t="n">
        <x:v>3266</x:v>
      </x:c>
      <x:c r="I125" s="55" t="n">
        <x:v>1120</x:v>
      </x:c>
      <x:c r="J125" s="55" t="n">
        <x:v>25</x:v>
      </x:c>
      <x:c r="K125" s="55" t="n">
        <x:v>29551</x:v>
      </x:c>
      <x:c r="L125" s="55" t="n">
        <x:v>5546</x:v>
      </x:c>
      <x:c r="M125" s="55" t="n">
        <x:v>1424</x:v>
      </x:c>
      <x:c r="N125" s="55" t="n">
        <x:v>2236</x:v>
      </x:c>
      <x:c r="O125" s="55" t="n">
        <x:v>1886</x:v>
      </x:c>
      <x:c r="P125" s="55" t="n">
        <x:v>960</x:v>
      </x:c>
      <x:c r="Q125" s="55" t="n">
        <x:v>1971</x:v>
      </x:c>
      <x:c r="R125" s="55" t="n">
        <x:v>1828</x:v>
      </x:c>
      <x:c r="S125" s="55" t="n">
        <x:v>2977</x:v>
      </x:c>
      <x:c r="T125" s="55" t="n">
        <x:v>1272</x:v>
      </x:c>
      <x:c r="U125" s="55" t="n">
        <x:v>1749</x:v>
      </x:c>
      <x:c r="V125" s="55" t="n">
        <x:v>10577</x:v>
      </x:c>
      <x:c r="W125" s="55" t="n">
        <x:v>7541</x:v>
      </x:c>
      <x:c r="X125" s="55" t="n">
        <x:v>3036</x:v>
      </x:c>
      <x:c r="Y125" s="55" t="n">
        <x:v>2845</x:v>
      </x:c>
      <x:c r="Z125" s="55" t="n">
        <x:v>3732</x:v>
      </x:c>
      <x:c r="AA125" s="55" t="n">
        <x:v>3266</x:v>
      </x:c>
      <x:c r="AB125" s="55" t="n">
        <x:v>1235</x:v>
      </x:c>
      <x:c r="AC125" s="55" t="n">
        <x:v>8422</x:v>
      </x:c>
      <x:c r="AD125" s="55" t="n">
        <x:v>2562</x:v>
      </x:c>
      <x:c r="AE125" s="55" t="n">
        <x:v>10658</x:v>
      </x:c>
      <x:c r="AF125" s="55" t="n">
        <x:v>10577</x:v>
      </x:c>
      <x:c r="AG125" s="55" t="n">
        <x:v>81</x:v>
      </x:c>
      <x:c r="AH125" s="55" t="n">
        <x:v>328</x:v>
      </x:c>
      <x:c r="AI125" s="55" t="n">
        <x:v>10249</x:v>
      </x:c>
      <x:c r="AJ125" s="55" t="n">
        <x:v>513</x:v>
      </x:c>
      <x:c r="AK125" s="55" t="n">
        <x:v>819</x:v>
      </x:c>
      <x:c r="AL125" s="55" t="n">
        <x:v>1387</x:v>
      </x:c>
      <x:c r="AM125" s="55" t="n">
        <x:v>4825</x:v>
      </x:c>
      <x:c r="AN125" s="55" t="n">
        <x:v>3033</x:v>
      </x:c>
      <x:c r="AO125" s="55" t="n">
        <x:v>0</x:v>
      </x:c>
      <x:c r="AP125" s="55" t="n">
        <x:v>2428</x:v>
      </x:c>
      <x:c r="AQ125" s="55" t="n">
        <x:v>981</x:v>
      </x:c>
    </x:row>
    <x:row r="126">
      <x:c r="A126" s="54" t="str">
        <x:v>T0_TABLE_BLOCK</x:v>
      </x:c>
      <x:c r="B126" s="54" t="n">
        <x:v>120</x:v>
      </x:c>
      <x:c r="C126" s="54" t="str">
        <x:v>NYC-V2-R01</x:v>
      </x:c>
      <x:c r="D126" s="54" t="str">
        <x:v>V2</x:v>
      </x:c>
      <x:c r="E126" s="54" t="str">
        <x:v>ADMITTED</x:v>
      </x:c>
      <x:c r="F126" s="55" t="n">
        <x:v>32063</x:v>
      </x:c>
      <x:c r="G126" s="55" t="n">
        <x:v>8205</x:v>
      </x:c>
      <x:c r="H126" s="55" t="n">
        <x:v>3226</x:v>
      </x:c>
      <x:c r="I126" s="55" t="n">
        <x:v>1013</x:v>
      </x:c>
      <x:c r="J126" s="55" t="n">
        <x:v>174</x:v>
      </x:c>
      <x:c r="K126" s="55" t="n">
        <x:v>32063</x:v>
      </x:c>
      <x:c r="L126" s="55" t="n">
        <x:v>5497</x:v>
      </x:c>
      <x:c r="M126" s="55" t="n">
        <x:v>962</x:v>
      </x:c>
      <x:c r="N126" s="55" t="n">
        <x:v>2828</x:v>
      </x:c>
      <x:c r="O126" s="55" t="n">
        <x:v>1707</x:v>
      </x:c>
      <x:c r="P126" s="55" t="n">
        <x:v>995</x:v>
      </x:c>
      <x:c r="Q126" s="55" t="n">
        <x:v>3544</x:v>
      </x:c>
      <x:c r="R126" s="55" t="n">
        <x:v>1793</x:v>
      </x:c>
      <x:c r="S126" s="55" t="n">
        <x:v>3130</x:v>
      </x:c>
      <x:c r="T126" s="55" t="n">
        <x:v>1132</x:v>
      </x:c>
      <x:c r="U126" s="55" t="n">
        <x:v>2092</x:v>
      </x:c>
      <x:c r="V126" s="55" t="n">
        <x:v>11243</x:v>
      </x:c>
      <x:c r="W126" s="55" t="n">
        <x:v>8134</x:v>
      </x:c>
      <x:c r="X126" s="55" t="n">
        <x:v>3109</x:v>
      </x:c>
      <x:c r="Y126" s="55" t="n">
        <x:v>2753</x:v>
      </x:c>
      <x:c r="Z126" s="55" t="n">
        <x:v>3573</x:v>
      </x:c>
      <x:c r="AA126" s="55" t="n">
        <x:v>3226</x:v>
      </x:c>
      <x:c r="AB126" s="55" t="n">
        <x:v>1310</x:v>
      </x:c>
      <x:c r="AC126" s="55" t="n">
        <x:v>8517</x:v>
      </x:c>
      <x:c r="AD126" s="55" t="n">
        <x:v>2771</x:v>
      </x:c>
      <x:c r="AE126" s="55" t="n">
        <x:v>11259</x:v>
      </x:c>
      <x:c r="AF126" s="55" t="n">
        <x:v>11243</x:v>
      </x:c>
      <x:c r="AG126" s="55" t="n">
        <x:v>16</x:v>
      </x:c>
      <x:c r="AH126" s="55" t="n">
        <x:v>642</x:v>
      </x:c>
      <x:c r="AI126" s="55" t="n">
        <x:v>10601</x:v>
      </x:c>
      <x:c r="AJ126" s="55" t="n">
        <x:v>541</x:v>
      </x:c>
      <x:c r="AK126" s="55" t="n">
        <x:v>945</x:v>
      </x:c>
      <x:c r="AL126" s="55" t="n">
        <x:v>2041</x:v>
      </x:c>
      <x:c r="AM126" s="55" t="n">
        <x:v>5318</x:v>
      </x:c>
      <x:c r="AN126" s="55" t="n">
        <x:v>2385</x:v>
      </x:c>
      <x:c r="AO126" s="55" t="n">
        <x:v>13</x:v>
      </x:c>
      <x:c r="AP126" s="55" t="n">
        <x:v>2621</x:v>
      </x:c>
      <x:c r="AQ126" s="55" t="n">
        <x:v>992</x:v>
      </x:c>
    </x:row>
    <x:row r="127">
      <x:c r="A127" s="54" t="str">
        <x:v>T0_TABLE_BLOCK</x:v>
      </x:c>
      <x:c r="B127" s="54" t="n">
        <x:v>121</x:v>
      </x:c>
      <x:c r="C127" s="54" t="str">
        <x:v>NYC-V2-R01</x:v>
      </x:c>
      <x:c r="D127" s="54" t="str">
        <x:v>V2</x:v>
      </x:c>
      <x:c r="E127" s="54" t="str">
        <x:v>ADMITTED</x:v>
      </x:c>
      <x:c r="F127" s="55" t="n">
        <x:v>29845</x:v>
      </x:c>
      <x:c r="G127" s="55" t="n">
        <x:v>7408</x:v>
      </x:c>
      <x:c r="H127" s="55" t="n">
        <x:v>3070</x:v>
      </x:c>
      <x:c r="I127" s="55" t="n">
        <x:v>756</x:v>
      </x:c>
      <x:c r="J127" s="55" t="n">
        <x:v>136</x:v>
      </x:c>
      <x:c r="K127" s="55" t="n">
        <x:v>29845</x:v>
      </x:c>
      <x:c r="L127" s="55" t="n">
        <x:v>6081</x:v>
      </x:c>
      <x:c r="M127" s="55" t="n">
        <x:v>1069</x:v>
      </x:c>
      <x:c r="N127" s="55" t="n">
        <x:v>3186</x:v>
      </x:c>
      <x:c r="O127" s="55" t="n">
        <x:v>1826</x:v>
      </x:c>
      <x:c r="P127" s="55" t="n">
        <x:v>944</x:v>
      </x:c>
      <x:c r="Q127" s="55" t="n">
        <x:v>2588</x:v>
      </x:c>
      <x:c r="R127" s="55" t="n">
        <x:v>1016</x:v>
      </x:c>
      <x:c r="S127" s="55" t="n">
        <x:v>3532</x:v>
      </x:c>
      <x:c r="T127" s="55" t="n">
        <x:v>1463</x:v>
      </x:c>
      <x:c r="U127" s="55" t="n">
        <x:v>2268</x:v>
      </x:c>
      <x:c r="V127" s="55" t="n">
        <x:v>10127</x:v>
      </x:c>
      <x:c r="W127" s="55" t="n">
        <x:v>7126</x:v>
      </x:c>
      <x:c r="X127" s="55" t="n">
        <x:v>3001</x:v>
      </x:c>
      <x:c r="Y127" s="55" t="n">
        <x:v>2386</x:v>
      </x:c>
      <x:c r="Z127" s="55" t="n">
        <x:v>4286</x:v>
      </x:c>
      <x:c r="AA127" s="55" t="n">
        <x:v>3070</x:v>
      </x:c>
      <x:c r="AB127" s="55" t="n">
        <x:v>765</x:v>
      </x:c>
      <x:c r="AC127" s="55" t="n">
        <x:v>8432</x:v>
      </x:c>
      <x:c r="AD127" s="55" t="n">
        <x:v>3019</x:v>
      </x:c>
      <x:c r="AE127" s="55" t="n">
        <x:v>10228</x:v>
      </x:c>
      <x:c r="AF127" s="55" t="n">
        <x:v>10127</x:v>
      </x:c>
      <x:c r="AG127" s="55" t="n">
        <x:v>101</x:v>
      </x:c>
      <x:c r="AH127" s="55" t="n">
        <x:v>505</x:v>
      </x:c>
      <x:c r="AI127" s="55" t="n">
        <x:v>9622</x:v>
      </x:c>
      <x:c r="AJ127" s="55" t="n">
        <x:v>471</x:v>
      </x:c>
      <x:c r="AK127" s="55" t="n">
        <x:v>958</x:v>
      </x:c>
      <x:c r="AL127" s="55" t="n">
        <x:v>1648</x:v>
      </x:c>
      <x:c r="AM127" s="55" t="n">
        <x:v>4837</x:v>
      </x:c>
      <x:c r="AN127" s="55" t="n">
        <x:v>2195</x:v>
      </x:c>
      <x:c r="AO127" s="55" t="n">
        <x:v>18</x:v>
      </x:c>
      <x:c r="AP127" s="55" t="n">
        <x:v>2250</x:v>
      </x:c>
      <x:c r="AQ127" s="55" t="n">
        <x:v>977</x:v>
      </x:c>
    </x:row>
    <x:row r="128">
      <x:c r="A128" s="54" t="str">
        <x:v>T0_TABLE_BLOCK</x:v>
      </x:c>
      <x:c r="B128" s="54" t="n">
        <x:v>122</x:v>
      </x:c>
      <x:c r="C128" s="54" t="str">
        <x:v>NYC-V2-R01</x:v>
      </x:c>
      <x:c r="D128" s="54" t="str">
        <x:v>V2</x:v>
      </x:c>
      <x:c r="E128" s="54" t="str">
        <x:v>ADMITTED</x:v>
      </x:c>
      <x:c r="F128" s="55" t="n">
        <x:v>31256</x:v>
      </x:c>
      <x:c r="G128" s="55" t="n">
        <x:v>6790</x:v>
      </x:c>
      <x:c r="H128" s="55" t="n">
        <x:v>3251</x:v>
      </x:c>
      <x:c r="I128" s="55" t="n">
        <x:v>664</x:v>
      </x:c>
      <x:c r="J128" s="55" t="n">
        <x:v>5</x:v>
      </x:c>
      <x:c r="K128" s="55" t="n">
        <x:v>31256</x:v>
      </x:c>
      <x:c r="L128" s="55" t="n">
        <x:v>6459</x:v>
      </x:c>
      <x:c r="M128" s="55" t="n">
        <x:v>2176</x:v>
      </x:c>
      <x:c r="N128" s="55" t="n">
        <x:v>2843</x:v>
      </x:c>
      <x:c r="O128" s="55" t="n">
        <x:v>1440</x:v>
      </x:c>
      <x:c r="P128" s="55" t="n">
        <x:v>894</x:v>
      </x:c>
      <x:c r="Q128" s="55" t="n">
        <x:v>2646</x:v>
      </x:c>
      <x:c r="R128" s="55" t="n">
        <x:v>1605</x:v>
      </x:c>
      <x:c r="S128" s="55" t="n">
        <x:v>2957</x:v>
      </x:c>
      <x:c r="T128" s="55" t="n">
        <x:v>954</x:v>
      </x:c>
      <x:c r="U128" s="55" t="n">
        <x:v>1940</x:v>
      </x:c>
      <x:c r="V128" s="55" t="n">
        <x:v>10340</x:v>
      </x:c>
      <x:c r="W128" s="55" t="n">
        <x:v>7120</x:v>
      </x:c>
      <x:c r="X128" s="55" t="n">
        <x:v>3220</x:v>
      </x:c>
      <x:c r="Y128" s="55" t="n">
        <x:v>2698</x:v>
      </x:c>
      <x:c r="Z128" s="55" t="n">
        <x:v>3623</x:v>
      </x:c>
      <x:c r="AA128" s="55" t="n">
        <x:v>3251</x:v>
      </x:c>
      <x:c r="AB128" s="55" t="n">
        <x:v>958</x:v>
      </x:c>
      <x:c r="AC128" s="55" t="n">
        <x:v>7500</x:v>
      </x:c>
      <x:c r="AD128" s="55" t="n">
        <x:v>2793</x:v>
      </x:c>
      <x:c r="AE128" s="55" t="n">
        <x:v>10486</x:v>
      </x:c>
      <x:c r="AF128" s="55" t="n">
        <x:v>10340</x:v>
      </x:c>
      <x:c r="AG128" s="55" t="n">
        <x:v>146</x:v>
      </x:c>
      <x:c r="AH128" s="55" t="n">
        <x:v>449</x:v>
      </x:c>
      <x:c r="AI128" s="55" t="n">
        <x:v>9891</x:v>
      </x:c>
      <x:c r="AJ128" s="55" t="n">
        <x:v>0</x:v>
      </x:c>
      <x:c r="AK128" s="55" t="n">
        <x:v>771</x:v>
      </x:c>
      <x:c r="AL128" s="55" t="n">
        <x:v>1601</x:v>
      </x:c>
      <x:c r="AM128" s="55" t="n">
        <x:v>5089</x:v>
      </x:c>
      <x:c r="AN128" s="55" t="n">
        <x:v>2788</x:v>
      </x:c>
      <x:c r="AO128" s="55" t="n">
        <x:v>91</x:v>
      </x:c>
      <x:c r="AP128" s="55" t="n">
        <x:v>2146</x:v>
      </x:c>
      <x:c r="AQ128" s="55" t="n">
        <x:v>996</x:v>
      </x:c>
    </x:row>
    <x:row r="129">
      <x:c r="A129" s="54" t="str">
        <x:v>T0_TABLE_BLOCK</x:v>
      </x:c>
      <x:c r="B129" s="54" t="n">
        <x:v>123</x:v>
      </x:c>
      <x:c r="C129" s="54" t="str">
        <x:v>NYC-V2-R01</x:v>
      </x:c>
      <x:c r="D129" s="54" t="str">
        <x:v>V2</x:v>
      </x:c>
      <x:c r="E129" s="54" t="str">
        <x:v>ADMITTED</x:v>
      </x:c>
      <x:c r="F129" s="55" t="n">
        <x:v>30543</x:v>
      </x:c>
      <x:c r="G129" s="55" t="n">
        <x:v>7801</x:v>
      </x:c>
      <x:c r="H129" s="55" t="n">
        <x:v>3309</x:v>
      </x:c>
      <x:c r="I129" s="55" t="n">
        <x:v>1141</x:v>
      </x:c>
      <x:c r="J129" s="55" t="n">
        <x:v>207</x:v>
      </x:c>
      <x:c r="K129" s="55" t="n">
        <x:v>28667</x:v>
      </x:c>
      <x:c r="L129" s="55" t="n">
        <x:v>6328</x:v>
      </x:c>
      <x:c r="M129" s="55" t="n">
        <x:v>1646</x:v>
      </x:c>
      <x:c r="N129" s="55" t="n">
        <x:v>3078</x:v>
      </x:c>
      <x:c r="O129" s="55" t="n">
        <x:v>1604</x:v>
      </x:c>
      <x:c r="P129" s="55" t="n">
        <x:v>1151</x:v>
      </x:c>
      <x:c r="Q129" s="55" t="n">
        <x:v>2442</x:v>
      </x:c>
      <x:c r="R129" s="55" t="n">
        <x:v>2132</x:v>
      </x:c>
      <x:c r="S129" s="55" t="n">
        <x:v>3726</x:v>
      </x:c>
      <x:c r="T129" s="55" t="n">
        <x:v>1209</x:v>
      </x:c>
      <x:c r="U129" s="55" t="n">
        <x:v>2267</x:v>
      </x:c>
      <x:c r="V129" s="55" t="n">
        <x:v>10289</x:v>
      </x:c>
      <x:c r="W129" s="55" t="n">
        <x:v>7494</x:v>
      </x:c>
      <x:c r="X129" s="55" t="n">
        <x:v>2795</x:v>
      </x:c>
      <x:c r="Y129" s="55" t="n">
        <x:v>2198</x:v>
      </x:c>
      <x:c r="Z129" s="55" t="n">
        <x:v>3555</x:v>
      </x:c>
      <x:c r="AA129" s="55" t="n">
        <x:v>2805</x:v>
      </x:c>
      <x:c r="AB129" s="55" t="n">
        <x:v>1160</x:v>
      </x:c>
      <x:c r="AC129" s="55" t="n">
        <x:v>7820</x:v>
      </x:c>
      <x:c r="AD129" s="55" t="n">
        <x:v>3105</x:v>
      </x:c>
      <x:c r="AE129" s="55" t="n">
        <x:v>10429</x:v>
      </x:c>
      <x:c r="AF129" s="55" t="n">
        <x:v>10289</x:v>
      </x:c>
      <x:c r="AG129" s="55" t="n">
        <x:v>140</x:v>
      </x:c>
      <x:c r="AH129" s="55" t="n">
        <x:v>369</x:v>
      </x:c>
      <x:c r="AI129" s="55" t="n">
        <x:v>9920</x:v>
      </x:c>
      <x:c r="AJ129" s="55" t="n">
        <x:v>275</x:v>
      </x:c>
      <x:c r="AK129" s="55" t="n">
        <x:v>846</x:v>
      </x:c>
      <x:c r="AL129" s="55" t="n">
        <x:v>1680</x:v>
      </x:c>
      <x:c r="AM129" s="55" t="n">
        <x:v>5068</x:v>
      </x:c>
      <x:c r="AN129" s="55" t="n">
        <x:v>2411</x:v>
      </x:c>
      <x:c r="AO129" s="55" t="n">
        <x:v>9</x:v>
      </x:c>
      <x:c r="AP129" s="55" t="n">
        <x:v>2482</x:v>
      </x:c>
      <x:c r="AQ129" s="55" t="n">
        <x:v>969</x:v>
      </x:c>
    </x:row>
    <x:row r="130">
      <x:c r="A130" s="54" t="str">
        <x:v>T0_TABLE_BLOCK</x:v>
      </x:c>
      <x:c r="B130" s="54" t="n">
        <x:v>124</x:v>
      </x:c>
      <x:c r="C130" s="54" t="str">
        <x:v>NYC-V2-R01</x:v>
      </x:c>
      <x:c r="D130" s="54" t="str">
        <x:v>V2</x:v>
      </x:c>
      <x:c r="E130" s="54" t="str">
        <x:v>ADMITTED</x:v>
      </x:c>
      <x:c r="F130" s="55" t="n">
        <x:v>29910</x:v>
      </x:c>
      <x:c r="G130" s="55" t="n">
        <x:v>7332</x:v>
      </x:c>
      <x:c r="H130" s="55" t="n">
        <x:v>3141</x:v>
      </x:c>
      <x:c r="I130" s="55" t="n">
        <x:v>1264</x:v>
      </x:c>
      <x:c r="J130" s="55" t="n">
        <x:v>189</x:v>
      </x:c>
      <x:c r="K130" s="55" t="n">
        <x:v>29633</x:v>
      </x:c>
      <x:c r="L130" s="55" t="n">
        <x:v>4836</x:v>
      </x:c>
      <x:c r="M130" s="55" t="n">
        <x:v>831</x:v>
      </x:c>
      <x:c r="N130" s="55" t="n">
        <x:v>2641</x:v>
      </x:c>
      <x:c r="O130" s="55" t="n">
        <x:v>1364</x:v>
      </x:c>
      <x:c r="P130" s="55" t="n">
        <x:v>1116</x:v>
      </x:c>
      <x:c r="Q130" s="55" t="n">
        <x:v>2091</x:v>
      </x:c>
      <x:c r="R130" s="55" t="n">
        <x:v>2042</x:v>
      </x:c>
      <x:c r="S130" s="55" t="n">
        <x:v>2694</x:v>
      </x:c>
      <x:c r="T130" s="55" t="n">
        <x:v>1390</x:v>
      </x:c>
      <x:c r="U130" s="55" t="n">
        <x:v>2130</x:v>
      </x:c>
      <x:c r="V130" s="55" t="n">
        <x:v>10154</x:v>
      </x:c>
      <x:c r="W130" s="55" t="n">
        <x:v>6995</x:v>
      </x:c>
      <x:c r="X130" s="55" t="n">
        <x:v>3159</x:v>
      </x:c>
      <x:c r="Y130" s="55" t="n">
        <x:v>2735</x:v>
      </x:c>
      <x:c r="Z130" s="55" t="n">
        <x:v>3466</x:v>
      </x:c>
      <x:c r="AA130" s="55" t="n">
        <x:v>3141</x:v>
      </x:c>
      <x:c r="AB130" s="55" t="n">
        <x:v>1101</x:v>
      </x:c>
      <x:c r="AC130" s="55" t="n">
        <x:v>7979</x:v>
      </x:c>
      <x:c r="AD130" s="55" t="n">
        <x:v>3287</x:v>
      </x:c>
      <x:c r="AE130" s="55" t="n">
        <x:v>10318</x:v>
      </x:c>
      <x:c r="AF130" s="55" t="n">
        <x:v>10154</x:v>
      </x:c>
      <x:c r="AG130" s="55" t="n">
        <x:v>164</x:v>
      </x:c>
      <x:c r="AH130" s="55" t="n">
        <x:v>228</x:v>
      </x:c>
      <x:c r="AI130" s="55" t="n">
        <x:v>9926</x:v>
      </x:c>
      <x:c r="AJ130" s="55" t="n">
        <x:v>472</x:v>
      </x:c>
      <x:c r="AK130" s="55" t="n">
        <x:v>672</x:v>
      </x:c>
      <x:c r="AL130" s="55" t="n">
        <x:v>1857</x:v>
      </x:c>
      <x:c r="AM130" s="55" t="n">
        <x:v>4689</x:v>
      </x:c>
      <x:c r="AN130" s="55" t="n">
        <x:v>2401</x:v>
      </x:c>
      <x:c r="AO130" s="55" t="n">
        <x:v>63</x:v>
      </x:c>
      <x:c r="AP130" s="55" t="n">
        <x:v>2326</x:v>
      </x:c>
      <x:c r="AQ130" s="55" t="n">
        <x:v>973</x:v>
      </x:c>
    </x:row>
    <x:row r="131">
      <x:c r="A131" s="54" t="str">
        <x:v>T0_TABLE_BLOCK</x:v>
      </x:c>
      <x:c r="B131" s="54" t="n">
        <x:v>125</x:v>
      </x:c>
      <x:c r="C131" s="54" t="str">
        <x:v>NYC-V2-R01</x:v>
      </x:c>
      <x:c r="D131" s="54" t="str">
        <x:v>V2</x:v>
      </x:c>
      <x:c r="E131" s="54" t="str">
        <x:v>ADMITTED</x:v>
      </x:c>
      <x:c r="F131" s="55" t="n">
        <x:v>32396</x:v>
      </x:c>
      <x:c r="G131" s="55" t="n">
        <x:v>7365</x:v>
      </x:c>
      <x:c r="H131" s="55" t="n">
        <x:v>3014</x:v>
      </x:c>
      <x:c r="I131" s="55" t="n">
        <x:v>1068</x:v>
      </x:c>
      <x:c r="J131" s="55" t="n">
        <x:v>81</x:v>
      </x:c>
      <x:c r="K131" s="55" t="n">
        <x:v>32396</x:v>
      </x:c>
      <x:c r="L131" s="55" t="n">
        <x:v>5853</x:v>
      </x:c>
      <x:c r="M131" s="55" t="n">
        <x:v>1431</x:v>
      </x:c>
      <x:c r="N131" s="55" t="n">
        <x:v>2511</x:v>
      </x:c>
      <x:c r="O131" s="55" t="n">
        <x:v>1911</x:v>
      </x:c>
      <x:c r="P131" s="55" t="n">
        <x:v>1045</x:v>
      </x:c>
      <x:c r="Q131" s="55" t="n">
        <x:v>1426</x:v>
      </x:c>
      <x:c r="R131" s="55" t="n">
        <x:v>2327</x:v>
      </x:c>
      <x:c r="S131" s="55" t="n">
        <x:v>2495</x:v>
      </x:c>
      <x:c r="T131" s="55" t="n">
        <x:v>1083</x:v>
      </x:c>
      <x:c r="U131" s="55" t="n">
        <x:v>2120</x:v>
      </x:c>
      <x:c r="V131" s="55" t="n">
        <x:v>11270</x:v>
      </x:c>
      <x:c r="W131" s="55" t="n">
        <x:v>8400</x:v>
      </x:c>
      <x:c r="X131" s="55" t="n">
        <x:v>2870</x:v>
      </x:c>
      <x:c r="Y131" s="55" t="n">
        <x:v>2870</x:v>
      </x:c>
      <x:c r="Z131" s="55" t="n">
        <x:v>3917</x:v>
      </x:c>
      <x:c r="AA131" s="55" t="n">
        <x:v>3014</x:v>
      </x:c>
      <x:c r="AB131" s="55" t="n">
        <x:v>858</x:v>
      </x:c>
      <x:c r="AC131" s="55" t="n">
        <x:v>8532</x:v>
      </x:c>
      <x:c r="AD131" s="55" t="n">
        <x:v>3694</x:v>
      </x:c>
      <x:c r="AE131" s="55" t="n">
        <x:v>11401</x:v>
      </x:c>
      <x:c r="AF131" s="55" t="n">
        <x:v>11270</x:v>
      </x:c>
      <x:c r="AG131" s="55" t="n">
        <x:v>131</x:v>
      </x:c>
      <x:c r="AH131" s="55" t="n">
        <x:v>605</x:v>
      </x:c>
      <x:c r="AI131" s="55" t="n">
        <x:v>10665</x:v>
      </x:c>
      <x:c r="AJ131" s="55" t="n">
        <x:v>443</x:v>
      </x:c>
      <x:c r="AK131" s="55" t="n">
        <x:v>1359</x:v>
      </x:c>
      <x:c r="AL131" s="55" t="n">
        <x:v>1348</x:v>
      </x:c>
      <x:c r="AM131" s="55" t="n">
        <x:v>5380</x:v>
      </x:c>
      <x:c r="AN131" s="55" t="n">
        <x:v>2694</x:v>
      </x:c>
      <x:c r="AO131" s="55" t="n">
        <x:v>46</x:v>
      </x:c>
      <x:c r="AP131" s="55" t="n">
        <x:v>2134</x:v>
      </x:c>
      <x:c r="AQ131" s="55" t="n">
        <x:v>949</x:v>
      </x:c>
    </x:row>
    <x:row r="132">
      <x:c r="A132" s="54" t="str">
        <x:v>T0_TABLE_BLOCK</x:v>
      </x:c>
      <x:c r="B132" s="54" t="n">
        <x:v>126</x:v>
      </x:c>
      <x:c r="C132" s="54" t="str">
        <x:v>NYC-V2-R01</x:v>
      </x:c>
      <x:c r="D132" s="54" t="str">
        <x:v>V2</x:v>
      </x:c>
      <x:c r="E132" s="54" t="str">
        <x:v>ADMITTED</x:v>
      </x:c>
      <x:c r="F132" s="55" t="n">
        <x:v>31870</x:v>
      </x:c>
      <x:c r="G132" s="55" t="n">
        <x:v>7819</x:v>
      </x:c>
      <x:c r="H132" s="55" t="n">
        <x:v>3483</x:v>
      </x:c>
      <x:c r="I132" s="55" t="n">
        <x:v>1159</x:v>
      </x:c>
      <x:c r="J132" s="55" t="n">
        <x:v>222</x:v>
      </x:c>
      <x:c r="K132" s="55" t="n">
        <x:v>29018</x:v>
      </x:c>
      <x:c r="L132" s="55" t="n">
        <x:v>5380</x:v>
      </x:c>
      <x:c r="M132" s="55" t="n">
        <x:v>458</x:v>
      </x:c>
      <x:c r="N132" s="55" t="n">
        <x:v>2859</x:v>
      </x:c>
      <x:c r="O132" s="55" t="n">
        <x:v>2063</x:v>
      </x:c>
      <x:c r="P132" s="55" t="n">
        <x:v>1026</x:v>
      </x:c>
      <x:c r="Q132" s="55" t="n">
        <x:v>2130</x:v>
      </x:c>
      <x:c r="R132" s="55" t="n">
        <x:v>2074</x:v>
      </x:c>
      <x:c r="S132" s="55" t="n">
        <x:v>2062</x:v>
      </x:c>
      <x:c r="T132" s="55" t="n">
        <x:v>1019</x:v>
      </x:c>
      <x:c r="U132" s="55" t="n">
        <x:v>1730</x:v>
      </x:c>
      <x:c r="V132" s="55" t="n">
        <x:v>10516</x:v>
      </x:c>
      <x:c r="W132" s="55" t="n">
        <x:v>7248</x:v>
      </x:c>
      <x:c r="X132" s="55" t="n">
        <x:v>3268</x:v>
      </x:c>
      <x:c r="Y132" s="55" t="n">
        <x:v>2869</x:v>
      </x:c>
      <x:c r="Z132" s="55" t="n">
        <x:v>3993</x:v>
      </x:c>
      <x:c r="AA132" s="55" t="n">
        <x:v>2567</x:v>
      </x:c>
      <x:c r="AB132" s="55" t="n">
        <x:v>964</x:v>
      </x:c>
      <x:c r="AC132" s="55" t="n">
        <x:v>7721</x:v>
      </x:c>
      <x:c r="AD132" s="55" t="n">
        <x:v>2390</x:v>
      </x:c>
      <x:c r="AE132" s="55" t="n">
        <x:v>10629</x:v>
      </x:c>
      <x:c r="AF132" s="55" t="n">
        <x:v>10516</x:v>
      </x:c>
      <x:c r="AG132" s="55" t="n">
        <x:v>113</x:v>
      </x:c>
      <x:c r="AH132" s="55" t="n">
        <x:v>484</x:v>
      </x:c>
      <x:c r="AI132" s="55" t="n">
        <x:v>10032</x:v>
      </x:c>
      <x:c r="AJ132" s="55" t="n">
        <x:v>413</x:v>
      </x:c>
      <x:c r="AK132" s="55" t="n">
        <x:v>807</x:v>
      </x:c>
      <x:c r="AL132" s="55" t="n">
        <x:v>1866</x:v>
      </x:c>
      <x:c r="AM132" s="55" t="n">
        <x:v>5246</x:v>
      </x:c>
      <x:c r="AN132" s="55" t="n">
        <x:v>2184</x:v>
      </x:c>
      <x:c r="AO132" s="55" t="n">
        <x:v>0</x:v>
      </x:c>
      <x:c r="AP132" s="55" t="n">
        <x:v>2882</x:v>
      </x:c>
      <x:c r="AQ132" s="55" t="n">
        <x:v>952</x:v>
      </x:c>
    </x:row>
    <x:row r="133">
      <x:c r="A133" s="54" t="str">
        <x:v>T0_TABLE_BLOCK</x:v>
      </x:c>
      <x:c r="B133" s="54" t="n">
        <x:v>127</x:v>
      </x:c>
      <x:c r="C133" s="54" t="str">
        <x:v>NYC-V2-R01</x:v>
      </x:c>
      <x:c r="D133" s="54" t="str">
        <x:v>V2</x:v>
      </x:c>
      <x:c r="E133" s="54" t="str">
        <x:v>ADMITTED</x:v>
      </x:c>
      <x:c r="F133" s="55" t="n">
        <x:v>32077</x:v>
      </x:c>
      <x:c r="G133" s="55" t="n">
        <x:v>7067</x:v>
      </x:c>
      <x:c r="H133" s="55" t="n">
        <x:v>3862</x:v>
      </x:c>
      <x:c r="I133" s="55" t="n">
        <x:v>1293</x:v>
      </x:c>
      <x:c r="J133" s="55" t="n">
        <x:v>100</x:v>
      </x:c>
      <x:c r="K133" s="55" t="n">
        <x:v>32077</x:v>
      </x:c>
      <x:c r="L133" s="55" t="n">
        <x:v>5001</x:v>
      </x:c>
      <x:c r="M133" s="55" t="n">
        <x:v>684</x:v>
      </x:c>
      <x:c r="N133" s="55" t="n">
        <x:v>2541</x:v>
      </x:c>
      <x:c r="O133" s="55" t="n">
        <x:v>1776</x:v>
      </x:c>
      <x:c r="P133" s="55" t="n">
        <x:v>791</x:v>
      </x:c>
      <x:c r="Q133" s="55" t="n">
        <x:v>2770</x:v>
      </x:c>
      <x:c r="R133" s="55" t="n">
        <x:v>1840</x:v>
      </x:c>
      <x:c r="S133" s="55" t="n">
        <x:v>2841</x:v>
      </x:c>
      <x:c r="T133" s="55" t="n">
        <x:v>1051</x:v>
      </x:c>
      <x:c r="U133" s="55" t="n">
        <x:v>1979</x:v>
      </x:c>
      <x:c r="V133" s="55" t="n">
        <x:v>10023</x:v>
      </x:c>
      <x:c r="W133" s="55" t="n">
        <x:v>7166</x:v>
      </x:c>
      <x:c r="X133" s="55" t="n">
        <x:v>2857</x:v>
      </x:c>
      <x:c r="Y133" s="55" t="n">
        <x:v>2388</x:v>
      </x:c>
      <x:c r="Z133" s="55" t="n">
        <x:v>4320</x:v>
      </x:c>
      <x:c r="AA133" s="55" t="n">
        <x:v>3862</x:v>
      </x:c>
      <x:c r="AB133" s="55" t="n">
        <x:v>1529</x:v>
      </x:c>
      <x:c r="AC133" s="55" t="n">
        <x:v>7699</x:v>
      </x:c>
      <x:c r="AD133" s="55" t="n">
        <x:v>2413</x:v>
      </x:c>
      <x:c r="AE133" s="55" t="n">
        <x:v>10120</x:v>
      </x:c>
      <x:c r="AF133" s="55" t="n">
        <x:v>10023</x:v>
      </x:c>
      <x:c r="AG133" s="55" t="n">
        <x:v>97</x:v>
      </x:c>
      <x:c r="AH133" s="55" t="n">
        <x:v>528</x:v>
      </x:c>
      <x:c r="AI133" s="55" t="n">
        <x:v>9495</x:v>
      </x:c>
      <x:c r="AJ133" s="55" t="n">
        <x:v>411</x:v>
      </x:c>
      <x:c r="AK133" s="55" t="n">
        <x:v>489</x:v>
      </x:c>
      <x:c r="AL133" s="55" t="n">
        <x:v>1365</x:v>
      </x:c>
      <x:c r="AM133" s="55" t="n">
        <x:v>5334</x:v>
      </x:c>
      <x:c r="AN133" s="55" t="n">
        <x:v>2357</x:v>
      </x:c>
      <x:c r="AO133" s="55" t="n">
        <x:v>67</x:v>
      </x:c>
      <x:c r="AP133" s="55" t="n">
        <x:v>2811</x:v>
      </x:c>
      <x:c r="AQ133" s="55" t="n">
        <x:v>999</x:v>
      </x:c>
    </x:row>
    <x:row r="134">
      <x:c r="A134" s="54" t="str">
        <x:v>T0_TABLE_BLOCK</x:v>
      </x:c>
      <x:c r="B134" s="54" t="n">
        <x:v>128</x:v>
      </x:c>
      <x:c r="C134" s="54" t="str">
        <x:v>NYC-V2-R01</x:v>
      </x:c>
      <x:c r="D134" s="54" t="str">
        <x:v>V2</x:v>
      </x:c>
      <x:c r="E134" s="54" t="str">
        <x:v>ADMITTED</x:v>
      </x:c>
      <x:c r="F134" s="55" t="n">
        <x:v>29499</x:v>
      </x:c>
      <x:c r="G134" s="55" t="n">
        <x:v>7868</x:v>
      </x:c>
      <x:c r="H134" s="55" t="n">
        <x:v>3518</x:v>
      </x:c>
      <x:c r="I134" s="55" t="n">
        <x:v>1270</x:v>
      </x:c>
      <x:c r="J134" s="55" t="n">
        <x:v>176</x:v>
      </x:c>
      <x:c r="K134" s="55" t="n">
        <x:v>29499</x:v>
      </x:c>
      <x:c r="L134" s="55" t="n">
        <x:v>5591</x:v>
      </x:c>
      <x:c r="M134" s="55" t="n">
        <x:v>0</x:v>
      </x:c>
      <x:c r="N134" s="55" t="n">
        <x:v>2933</x:v>
      </x:c>
      <x:c r="O134" s="55" t="n">
        <x:v>2658</x:v>
      </x:c>
      <x:c r="P134" s="55" t="n">
        <x:v>770</x:v>
      </x:c>
      <x:c r="Q134" s="55" t="n">
        <x:v>2752</x:v>
      </x:c>
      <x:c r="R134" s="55" t="n">
        <x:v>1798</x:v>
      </x:c>
      <x:c r="S134" s="55" t="n">
        <x:v>2859</x:v>
      </x:c>
      <x:c r="T134" s="55" t="n">
        <x:v>809</x:v>
      </x:c>
      <x:c r="U134" s="55" t="n">
        <x:v>2261</x:v>
      </x:c>
      <x:c r="V134" s="55" t="n">
        <x:v>10170</x:v>
      </x:c>
      <x:c r="W134" s="55" t="n">
        <x:v>7075</x:v>
      </x:c>
      <x:c r="X134" s="55" t="n">
        <x:v>3095</x:v>
      </x:c>
      <x:c r="Y134" s="55" t="n">
        <x:v>2657</x:v>
      </x:c>
      <x:c r="Z134" s="55" t="n">
        <x:v>3457</x:v>
      </x:c>
      <x:c r="AA134" s="55" t="n">
        <x:v>3518</x:v>
      </x:c>
      <x:c r="AB134" s="55" t="n">
        <x:v>1176</x:v>
      </x:c>
      <x:c r="AC134" s="55" t="n">
        <x:v>7385</x:v>
      </x:c>
      <x:c r="AD134" s="55" t="n">
        <x:v>2926</x:v>
      </x:c>
      <x:c r="AE134" s="55" t="n">
        <x:v>10316</x:v>
      </x:c>
      <x:c r="AF134" s="55" t="n">
        <x:v>10170</x:v>
      </x:c>
      <x:c r="AG134" s="55" t="n">
        <x:v>146</x:v>
      </x:c>
      <x:c r="AH134" s="55" t="n">
        <x:v>543</x:v>
      </x:c>
      <x:c r="AI134" s="55" t="n">
        <x:v>9627</x:v>
      </x:c>
      <x:c r="AJ134" s="55" t="n">
        <x:v>288</x:v>
      </x:c>
      <x:c r="AK134" s="55" t="n">
        <x:v>1428</x:v>
      </x:c>
      <x:c r="AL134" s="55" t="n">
        <x:v>1554</x:v>
      </x:c>
      <x:c r="AM134" s="55" t="n">
        <x:v>4274</x:v>
      </x:c>
      <x:c r="AN134" s="55" t="n">
        <x:v>2599</x:v>
      </x:c>
      <x:c r="AO134" s="55" t="n">
        <x:v>27</x:v>
      </x:c>
      <x:c r="AP134" s="55" t="n">
        <x:v>2612</x:v>
      </x:c>
      <x:c r="AQ134" s="55" t="n">
        <x:v>993</x:v>
      </x:c>
    </x:row>
    <x:row r="135">
      <x:c r="A135" s="54" t="str">
        <x:v>T0_TABLE_BLOCK</x:v>
      </x:c>
      <x:c r="B135" s="54" t="n">
        <x:v>129</x:v>
      </x:c>
      <x:c r="C135" s="54" t="str">
        <x:v>NYC-V2-R01</x:v>
      </x:c>
      <x:c r="D135" s="54" t="str">
        <x:v>V2</x:v>
      </x:c>
      <x:c r="E135" s="54" t="str">
        <x:v>ADMITTED</x:v>
      </x:c>
      <x:c r="F135" s="55" t="n">
        <x:v>29550</x:v>
      </x:c>
      <x:c r="G135" s="55" t="n">
        <x:v>7220</x:v>
      </x:c>
      <x:c r="H135" s="55" t="n">
        <x:v>2868</x:v>
      </x:c>
      <x:c r="I135" s="55" t="n">
        <x:v>1086</x:v>
      </x:c>
      <x:c r="J135" s="55" t="n">
        <x:v>204</x:v>
      </x:c>
      <x:c r="K135" s="55" t="n">
        <x:v>29407</x:v>
      </x:c>
      <x:c r="L135" s="55" t="n">
        <x:v>3799</x:v>
      </x:c>
      <x:c r="M135" s="55" t="n">
        <x:v>241</x:v>
      </x:c>
      <x:c r="N135" s="55" t="n">
        <x:v>2208</x:v>
      </x:c>
      <x:c r="O135" s="55" t="n">
        <x:v>1350</x:v>
      </x:c>
      <x:c r="P135" s="55" t="n">
        <x:v>508</x:v>
      </x:c>
      <x:c r="Q135" s="55" t="n">
        <x:v>2415</x:v>
      </x:c>
      <x:c r="R135" s="55" t="n">
        <x:v>2147</x:v>
      </x:c>
      <x:c r="S135" s="55" t="n">
        <x:v>2240</x:v>
      </x:c>
      <x:c r="T135" s="55" t="n">
        <x:v>1299</x:v>
      </x:c>
      <x:c r="U135" s="55" t="n">
        <x:v>2385</x:v>
      </x:c>
      <x:c r="V135" s="55" t="n">
        <x:v>10293</x:v>
      </x:c>
      <x:c r="W135" s="55" t="n">
        <x:v>7217</x:v>
      </x:c>
      <x:c r="X135" s="55" t="n">
        <x:v>3076</x:v>
      </x:c>
      <x:c r="Y135" s="55" t="n">
        <x:v>2792</x:v>
      </x:c>
      <x:c r="Z135" s="55" t="n">
        <x:v>3659</x:v>
      </x:c>
      <x:c r="AA135" s="55" t="n">
        <x:v>2868</x:v>
      </x:c>
      <x:c r="AB135" s="55" t="n">
        <x:v>1016</x:v>
      </x:c>
      <x:c r="AC135" s="55" t="n">
        <x:v>8811</x:v>
      </x:c>
      <x:c r="AD135" s="55" t="n">
        <x:v>3033</x:v>
      </x:c>
      <x:c r="AE135" s="55" t="n">
        <x:v>10444</x:v>
      </x:c>
      <x:c r="AF135" s="55" t="n">
        <x:v>10293</x:v>
      </x:c>
      <x:c r="AG135" s="55" t="n">
        <x:v>151</x:v>
      </x:c>
      <x:c r="AH135" s="55" t="n">
        <x:v>510</x:v>
      </x:c>
      <x:c r="AI135" s="55" t="n">
        <x:v>9783</x:v>
      </x:c>
      <x:c r="AJ135" s="55" t="n">
        <x:v>515</x:v>
      </x:c>
      <x:c r="AK135" s="55" t="n">
        <x:v>1039</x:v>
      </x:c>
      <x:c r="AL135" s="55" t="n">
        <x:v>1562</x:v>
      </x:c>
      <x:c r="AM135" s="55" t="n">
        <x:v>4143</x:v>
      </x:c>
      <x:c r="AN135" s="55" t="n">
        <x:v>3034</x:v>
      </x:c>
      <x:c r="AO135" s="55" t="n">
        <x:v>0</x:v>
      </x:c>
      <x:c r="AP135" s="55" t="n">
        <x:v>2289</x:v>
      </x:c>
      <x:c r="AQ135" s="55" t="n">
        <x:v>960</x:v>
      </x:c>
    </x:row>
    <x:row r="136">
      <x:c r="A136" s="54" t="str">
        <x:v>T0_TABLE_BLOCK</x:v>
      </x:c>
      <x:c r="B136" s="54" t="n">
        <x:v>130</x:v>
      </x:c>
      <x:c r="C136" s="54" t="str">
        <x:v>NYC-V2-R01</x:v>
      </x:c>
      <x:c r="D136" s="54" t="str">
        <x:v>V2</x:v>
      </x:c>
      <x:c r="E136" s="54" t="str">
        <x:v>ADMITTED</x:v>
      </x:c>
      <x:c r="F136" s="55" t="n">
        <x:v>31693</x:v>
      </x:c>
      <x:c r="G136" s="55" t="n">
        <x:v>8451</x:v>
      </x:c>
      <x:c r="H136" s="55" t="n">
        <x:v>3309</x:v>
      </x:c>
      <x:c r="I136" s="55" t="n">
        <x:v>1495</x:v>
      </x:c>
      <x:c r="J136" s="55" t="n">
        <x:v>202</x:v>
      </x:c>
      <x:c r="K136" s="55" t="n">
        <x:v>30548</x:v>
      </x:c>
      <x:c r="L136" s="55" t="n">
        <x:v>5892</x:v>
      </x:c>
      <x:c r="M136" s="55" t="n">
        <x:v>1559</x:v>
      </x:c>
      <x:c r="N136" s="55" t="n">
        <x:v>2309</x:v>
      </x:c>
      <x:c r="O136" s="55" t="n">
        <x:v>2024</x:v>
      </x:c>
      <x:c r="P136" s="55" t="n">
        <x:v>1083</x:v>
      </x:c>
      <x:c r="Q136" s="55" t="n">
        <x:v>3417</x:v>
      </x:c>
      <x:c r="R136" s="55" t="n">
        <x:v>1201</x:v>
      </x:c>
      <x:c r="S136" s="55" t="n">
        <x:v>3224</x:v>
      </x:c>
      <x:c r="T136" s="55" t="n">
        <x:v>845</x:v>
      </x:c>
      <x:c r="U136" s="55" t="n">
        <x:v>1837</x:v>
      </x:c>
      <x:c r="V136" s="55" t="n">
        <x:v>10637</x:v>
      </x:c>
      <x:c r="W136" s="55" t="n">
        <x:v>8228</x:v>
      </x:c>
      <x:c r="X136" s="55" t="n">
        <x:v>2409</x:v>
      </x:c>
      <x:c r="Y136" s="55" t="n">
        <x:v>2070</x:v>
      </x:c>
      <x:c r="Z136" s="55" t="n">
        <x:v>4363</x:v>
      </x:c>
      <x:c r="AA136" s="55" t="n">
        <x:v>2800</x:v>
      </x:c>
      <x:c r="AB136" s="55" t="n">
        <x:v>957</x:v>
      </x:c>
      <x:c r="AC136" s="55" t="n">
        <x:v>8122</x:v>
      </x:c>
      <x:c r="AD136" s="55" t="n">
        <x:v>3213</x:v>
      </x:c>
      <x:c r="AE136" s="55" t="n">
        <x:v>10652</x:v>
      </x:c>
      <x:c r="AF136" s="55" t="n">
        <x:v>10637</x:v>
      </x:c>
      <x:c r="AG136" s="55" t="n">
        <x:v>15</x:v>
      </x:c>
      <x:c r="AH136" s="55" t="n">
        <x:v>563</x:v>
      </x:c>
      <x:c r="AI136" s="55" t="n">
        <x:v>10074</x:v>
      </x:c>
      <x:c r="AJ136" s="55" t="n">
        <x:v>399</x:v>
      </x:c>
      <x:c r="AK136" s="55" t="n">
        <x:v>561</x:v>
      </x:c>
      <x:c r="AL136" s="55" t="n">
        <x:v>1856</x:v>
      </x:c>
      <x:c r="AM136" s="55" t="n">
        <x:v>4988</x:v>
      </x:c>
      <x:c r="AN136" s="55" t="n">
        <x:v>2830</x:v>
      </x:c>
      <x:c r="AO136" s="55" t="n">
        <x:v>3</x:v>
      </x:c>
      <x:c r="AP136" s="55" t="n">
        <x:v>1959</x:v>
      </x:c>
      <x:c r="AQ136" s="55" t="n">
        <x:v>945</x:v>
      </x:c>
    </x:row>
    <x:row r="137">
      <x:c r="A137" s="54" t="str">
        <x:v>T0_TABLE_BLOCK</x:v>
      </x:c>
      <x:c r="B137" s="54" t="n">
        <x:v>131</x:v>
      </x:c>
      <x:c r="C137" s="54" t="str">
        <x:v>NYC-V2-R01</x:v>
      </x:c>
      <x:c r="D137" s="54" t="str">
        <x:v>V2</x:v>
      </x:c>
      <x:c r="E137" s="54" t="str">
        <x:v>ADMITTED</x:v>
      </x:c>
      <x:c r="F137" s="55" t="n">
        <x:v>33735</x:v>
      </x:c>
      <x:c r="G137" s="55" t="n">
        <x:v>9122</x:v>
      </x:c>
      <x:c r="H137" s="55" t="n">
        <x:v>3230</x:v>
      </x:c>
      <x:c r="I137" s="55" t="n">
        <x:v>1068</x:v>
      </x:c>
      <x:c r="J137" s="55" t="n">
        <x:v>307</x:v>
      </x:c>
      <x:c r="K137" s="55" t="n">
        <x:v>29900</x:v>
      </x:c>
      <x:c r="L137" s="55" t="n">
        <x:v>6048</x:v>
      </x:c>
      <x:c r="M137" s="55" t="n">
        <x:v>1582</x:v>
      </x:c>
      <x:c r="N137" s="55" t="n">
        <x:v>2511</x:v>
      </x:c>
      <x:c r="O137" s="55" t="n">
        <x:v>1955</x:v>
      </x:c>
      <x:c r="P137" s="55" t="n">
        <x:v>535</x:v>
      </x:c>
      <x:c r="Q137" s="55" t="n">
        <x:v>2548</x:v>
      </x:c>
      <x:c r="R137" s="55" t="n">
        <x:v>1772</x:v>
      </x:c>
      <x:c r="S137" s="55" t="n">
        <x:v>2705</x:v>
      </x:c>
      <x:c r="T137" s="55" t="n">
        <x:v>1667</x:v>
      </x:c>
      <x:c r="U137" s="55" t="n">
        <x:v>2052</x:v>
      </x:c>
      <x:c r="V137" s="55" t="n">
        <x:v>10418</x:v>
      </x:c>
      <x:c r="W137" s="55" t="n">
        <x:v>6765</x:v>
      </x:c>
      <x:c r="X137" s="55" t="n">
        <x:v>3653</x:v>
      </x:c>
      <x:c r="Y137" s="55" t="n">
        <x:v>2990</x:v>
      </x:c>
      <x:c r="Z137" s="55" t="n">
        <x:v>3295</x:v>
      </x:c>
      <x:c r="AA137" s="55" t="n">
        <x:v>3230</x:v>
      </x:c>
      <x:c r="AB137" s="55" t="n">
        <x:v>1200</x:v>
      </x:c>
      <x:c r="AC137" s="55" t="n">
        <x:v>8017</x:v>
      </x:c>
      <x:c r="AD137" s="55" t="n">
        <x:v>2556</x:v>
      </x:c>
      <x:c r="AE137" s="55" t="n">
        <x:v>10513</x:v>
      </x:c>
      <x:c r="AF137" s="55" t="n">
        <x:v>10418</x:v>
      </x:c>
      <x:c r="AG137" s="55" t="n">
        <x:v>95</x:v>
      </x:c>
      <x:c r="AH137" s="55" t="n">
        <x:v>220</x:v>
      </x:c>
      <x:c r="AI137" s="55" t="n">
        <x:v>10198</x:v>
      </x:c>
      <x:c r="AJ137" s="55" t="n">
        <x:v>157</x:v>
      </x:c>
      <x:c r="AK137" s="55" t="n">
        <x:v>1193</x:v>
      </x:c>
      <x:c r="AL137" s="55" t="n">
        <x:v>1294</x:v>
      </x:c>
      <x:c r="AM137" s="55" t="n">
        <x:v>5297</x:v>
      </x:c>
      <x:c r="AN137" s="55" t="n">
        <x:v>2423</x:v>
      </x:c>
      <x:c r="AO137" s="55" t="n">
        <x:v>54</x:v>
      </x:c>
      <x:c r="AP137" s="55" t="n">
        <x:v>2218</x:v>
      </x:c>
      <x:c r="AQ137" s="55" t="n">
        <x:v>991</x:v>
      </x:c>
    </x:row>
    <x:row r="138">
      <x:c r="A138" s="54" t="str">
        <x:v>T0_TABLE_BLOCK</x:v>
      </x:c>
      <x:c r="B138" s="54" t="n">
        <x:v>132</x:v>
      </x:c>
      <x:c r="C138" s="54" t="str">
        <x:v>NYC-V2-R01</x:v>
      </x:c>
      <x:c r="D138" s="54" t="str">
        <x:v>V2</x:v>
      </x:c>
      <x:c r="E138" s="54" t="str">
        <x:v>ADMITTED</x:v>
      </x:c>
      <x:c r="F138" s="55" t="n">
        <x:v>30749</x:v>
      </x:c>
      <x:c r="G138" s="55" t="n">
        <x:v>5939</x:v>
      </x:c>
      <x:c r="H138" s="55" t="n">
        <x:v>3769</x:v>
      </x:c>
      <x:c r="I138" s="55" t="n">
        <x:v>1813</x:v>
      </x:c>
      <x:c r="J138" s="55" t="n">
        <x:v>300</x:v>
      </x:c>
      <x:c r="K138" s="55" t="n">
        <x:v>29476</x:v>
      </x:c>
      <x:c r="L138" s="55" t="n">
        <x:v>6399</x:v>
      </x:c>
      <x:c r="M138" s="55" t="n">
        <x:v>1167</x:v>
      </x:c>
      <x:c r="N138" s="55" t="n">
        <x:v>3099</x:v>
      </x:c>
      <x:c r="O138" s="55" t="n">
        <x:v>2133</x:v>
      </x:c>
      <x:c r="P138" s="55" t="n">
        <x:v>875</x:v>
      </x:c>
      <x:c r="Q138" s="55" t="n">
        <x:v>2945</x:v>
      </x:c>
      <x:c r="R138" s="55" t="n">
        <x:v>1413</x:v>
      </x:c>
      <x:c r="S138" s="55" t="n">
        <x:v>3628</x:v>
      </x:c>
      <x:c r="T138" s="55" t="n">
        <x:v>945</x:v>
      </x:c>
      <x:c r="U138" s="55" t="n">
        <x:v>1803</x:v>
      </x:c>
      <x:c r="V138" s="55" t="n">
        <x:v>11002</x:v>
      </x:c>
      <x:c r="W138" s="55" t="n">
        <x:v>8333</x:v>
      </x:c>
      <x:c r="X138" s="55" t="n">
        <x:v>2669</x:v>
      </x:c>
      <x:c r="Y138" s="55" t="n">
        <x:v>2491</x:v>
      </x:c>
      <x:c r="Z138" s="55" t="n">
        <x:v>3846</x:v>
      </x:c>
      <x:c r="AA138" s="55" t="n">
        <x:v>3095</x:v>
      </x:c>
      <x:c r="AB138" s="55" t="n">
        <x:v>1183</x:v>
      </x:c>
      <x:c r="AC138" s="55" t="n">
        <x:v>7513</x:v>
      </x:c>
      <x:c r="AD138" s="55" t="n">
        <x:v>2536</x:v>
      </x:c>
      <x:c r="AE138" s="55" t="n">
        <x:v>11089</x:v>
      </x:c>
      <x:c r="AF138" s="55" t="n">
        <x:v>11002</x:v>
      </x:c>
      <x:c r="AG138" s="55" t="n">
        <x:v>87</x:v>
      </x:c>
      <x:c r="AH138" s="55" t="n">
        <x:v>708</x:v>
      </x:c>
      <x:c r="AI138" s="55" t="n">
        <x:v>10294</x:v>
      </x:c>
      <x:c r="AJ138" s="55" t="n">
        <x:v>429</x:v>
      </x:c>
      <x:c r="AK138" s="55" t="n">
        <x:v>1119</x:v>
      </x:c>
      <x:c r="AL138" s="55" t="n">
        <x:v>1664</x:v>
      </x:c>
      <x:c r="AM138" s="55" t="n">
        <x:v>5327</x:v>
      </x:c>
      <x:c r="AN138" s="55" t="n">
        <x:v>2430</x:v>
      </x:c>
      <x:c r="AO138" s="55" t="n">
        <x:v>33</x:v>
      </x:c>
      <x:c r="AP138" s="55" t="n">
        <x:v>2421</x:v>
      </x:c>
      <x:c r="AQ138" s="55" t="n">
        <x:v>930</x:v>
      </x:c>
    </x:row>
    <x:row r="139">
      <x:c r="A139" s="54" t="str">
        <x:v>T0_TABLE_BLOCK</x:v>
      </x:c>
      <x:c r="B139" s="54" t="n">
        <x:v>133</x:v>
      </x:c>
      <x:c r="C139" s="54" t="str">
        <x:v>NYC-V2-R01</x:v>
      </x:c>
      <x:c r="D139" s="54" t="str">
        <x:v>V2</x:v>
      </x:c>
      <x:c r="E139" s="54" t="str">
        <x:v>ADMITTED</x:v>
      </x:c>
      <x:c r="F139" s="55" t="n">
        <x:v>30245</x:v>
      </x:c>
      <x:c r="G139" s="55" t="n">
        <x:v>7156</x:v>
      </x:c>
      <x:c r="H139" s="55" t="n">
        <x:v>3413</x:v>
      </x:c>
      <x:c r="I139" s="55" t="n">
        <x:v>1016</x:v>
      </x:c>
      <x:c r="J139" s="55" t="n">
        <x:v>25</x:v>
      </x:c>
      <x:c r="K139" s="55" t="n">
        <x:v>30245</x:v>
      </x:c>
      <x:c r="L139" s="55" t="n">
        <x:v>5982</x:v>
      </x:c>
      <x:c r="M139" s="55" t="n">
        <x:v>1754</x:v>
      </x:c>
      <x:c r="N139" s="55" t="n">
        <x:v>2631</x:v>
      </x:c>
      <x:c r="O139" s="55" t="n">
        <x:v>1597</x:v>
      </x:c>
      <x:c r="P139" s="55" t="n">
        <x:v>932</x:v>
      </x:c>
      <x:c r="Q139" s="55" t="n">
        <x:v>1963</x:v>
      </x:c>
      <x:c r="R139" s="55" t="n">
        <x:v>1526</x:v>
      </x:c>
      <x:c r="S139" s="55" t="n">
        <x:v>3049</x:v>
      </x:c>
      <x:c r="T139" s="55" t="n">
        <x:v>1488</x:v>
      </x:c>
      <x:c r="U139" s="55" t="n">
        <x:v>1610</x:v>
      </x:c>
      <x:c r="V139" s="55" t="n">
        <x:v>10446</x:v>
      </x:c>
      <x:c r="W139" s="55" t="n">
        <x:v>7554</x:v>
      </x:c>
      <x:c r="X139" s="55" t="n">
        <x:v>2892</x:v>
      </x:c>
      <x:c r="Y139" s="55" t="n">
        <x:v>2439</x:v>
      </x:c>
      <x:c r="Z139" s="55" t="n">
        <x:v>3796</x:v>
      </x:c>
      <x:c r="AA139" s="55" t="n">
        <x:v>3413</x:v>
      </x:c>
      <x:c r="AB139" s="55" t="n">
        <x:v>1018</x:v>
      </x:c>
      <x:c r="AC139" s="55" t="n">
        <x:v>8010</x:v>
      </x:c>
      <x:c r="AD139" s="55" t="n">
        <x:v>3526</x:v>
      </x:c>
      <x:c r="AE139" s="55" t="n">
        <x:v>10573</x:v>
      </x:c>
      <x:c r="AF139" s="55" t="n">
        <x:v>10446</x:v>
      </x:c>
      <x:c r="AG139" s="55" t="n">
        <x:v>127</x:v>
      </x:c>
      <x:c r="AH139" s="55" t="n">
        <x:v>465</x:v>
      </x:c>
      <x:c r="AI139" s="55" t="n">
        <x:v>9981</x:v>
      </x:c>
      <x:c r="AJ139" s="55" t="n">
        <x:v>419</x:v>
      </x:c>
      <x:c r="AK139" s="55" t="n">
        <x:v>1413</x:v>
      </x:c>
      <x:c r="AL139" s="55" t="n">
        <x:v>1495</x:v>
      </x:c>
      <x:c r="AM139" s="55" t="n">
        <x:v>4572</x:v>
      </x:c>
      <x:c r="AN139" s="55" t="n">
        <x:v>2508</x:v>
      </x:c>
      <x:c r="AO139" s="55" t="n">
        <x:v>39</x:v>
      </x:c>
      <x:c r="AP139" s="55" t="n">
        <x:v>2150</x:v>
      </x:c>
      <x:c r="AQ139" s="55" t="n">
        <x:v>935</x:v>
      </x:c>
    </x:row>
    <x:row r="140">
      <x:c r="A140" s="54" t="str">
        <x:v>T0_TABLE_BLOCK</x:v>
      </x:c>
      <x:c r="B140" s="54" t="n">
        <x:v>134</x:v>
      </x:c>
      <x:c r="C140" s="54" t="str">
        <x:v>NYC-V2-R01</x:v>
      </x:c>
      <x:c r="D140" s="54" t="str">
        <x:v>V2</x:v>
      </x:c>
      <x:c r="E140" s="54" t="str">
        <x:v>ADMITTED</x:v>
      </x:c>
      <x:c r="F140" s="55" t="n">
        <x:v>31574</x:v>
      </x:c>
      <x:c r="G140" s="55" t="n">
        <x:v>7577</x:v>
      </x:c>
      <x:c r="H140" s="55" t="n">
        <x:v>3614</x:v>
      </x:c>
      <x:c r="I140" s="55" t="n">
        <x:v>1239</x:v>
      </x:c>
      <x:c r="J140" s="55" t="n">
        <x:v>162</x:v>
      </x:c>
      <x:c r="K140" s="55" t="n">
        <x:v>31574</x:v>
      </x:c>
      <x:c r="L140" s="55" t="n">
        <x:v>5538</x:v>
      </x:c>
      <x:c r="M140" s="55" t="n">
        <x:v>575</x:v>
      </x:c>
      <x:c r="N140" s="55" t="n">
        <x:v>2865</x:v>
      </x:c>
      <x:c r="O140" s="55" t="n">
        <x:v>2098</x:v>
      </x:c>
      <x:c r="P140" s="55" t="n">
        <x:v>710</x:v>
      </x:c>
      <x:c r="Q140" s="55" t="n">
        <x:v>2719</x:v>
      </x:c>
      <x:c r="R140" s="55" t="n">
        <x:v>1899</x:v>
      </x:c>
      <x:c r="S140" s="55" t="n">
        <x:v>2880</x:v>
      </x:c>
      <x:c r="T140" s="55" t="n">
        <x:v>1826</x:v>
      </x:c>
      <x:c r="U140" s="55" t="n">
        <x:v>2400</x:v>
      </x:c>
      <x:c r="V140" s="55" t="n">
        <x:v>11350</x:v>
      </x:c>
      <x:c r="W140" s="55" t="n">
        <x:v>7909</x:v>
      </x:c>
      <x:c r="X140" s="55" t="n">
        <x:v>3441</x:v>
      </x:c>
      <x:c r="Y140" s="55" t="n">
        <x:v>3156</x:v>
      </x:c>
      <x:c r="Z140" s="55" t="n">
        <x:v>3114</x:v>
      </x:c>
      <x:c r="AA140" s="55" t="n">
        <x:v>3614</x:v>
      </x:c>
      <x:c r="AB140" s="55" t="n">
        <x:v>1233</x:v>
      </x:c>
      <x:c r="AC140" s="55" t="n">
        <x:v>8397</x:v>
      </x:c>
      <x:c r="AD140" s="55" t="n">
        <x:v>2196</x:v>
      </x:c>
      <x:c r="AE140" s="55" t="n">
        <x:v>11424</x:v>
      </x:c>
      <x:c r="AF140" s="55" t="n">
        <x:v>11350</x:v>
      </x:c>
      <x:c r="AG140" s="55" t="n">
        <x:v>74</x:v>
      </x:c>
      <x:c r="AH140" s="55" t="n">
        <x:v>463</x:v>
      </x:c>
      <x:c r="AI140" s="55" t="n">
        <x:v>10887</x:v>
      </x:c>
      <x:c r="AJ140" s="55" t="n">
        <x:v>412</x:v>
      </x:c>
      <x:c r="AK140" s="55" t="n">
        <x:v>1178</x:v>
      </x:c>
      <x:c r="AL140" s="55" t="n">
        <x:v>1797</x:v>
      </x:c>
      <x:c r="AM140" s="55" t="n">
        <x:v>4590</x:v>
      </x:c>
      <x:c r="AN140" s="55" t="n">
        <x:v>3373</x:v>
      </x:c>
      <x:c r="AO140" s="55" t="n">
        <x:v>0</x:v>
      </x:c>
      <x:c r="AP140" s="55" t="n">
        <x:v>2521</x:v>
      </x:c>
      <x:c r="AQ140" s="55" t="n">
        <x:v>969</x:v>
      </x:c>
    </x:row>
    <x:row r="141">
      <x:c r="A141" s="54" t="str">
        <x:v>T0_TABLE_BLOCK</x:v>
      </x:c>
      <x:c r="B141" s="54" t="n">
        <x:v>135</x:v>
      </x:c>
      <x:c r="C141" s="54" t="str">
        <x:v>NYC-V2-R01</x:v>
      </x:c>
      <x:c r="D141" s="54" t="str">
        <x:v>V2</x:v>
      </x:c>
      <x:c r="E141" s="54" t="str">
        <x:v>ADMITTED</x:v>
      </x:c>
      <x:c r="F141" s="55" t="n">
        <x:v>29972</x:v>
      </x:c>
      <x:c r="G141" s="55" t="n">
        <x:v>7836</x:v>
      </x:c>
      <x:c r="H141" s="55" t="n">
        <x:v>3250</x:v>
      </x:c>
      <x:c r="I141" s="55" t="n">
        <x:v>983</x:v>
      </x:c>
      <x:c r="J141" s="55" t="n">
        <x:v>154</x:v>
      </x:c>
      <x:c r="K141" s="55" t="n">
        <x:v>29972</x:v>
      </x:c>
      <x:c r="L141" s="55" t="n">
        <x:v>4792</x:v>
      </x:c>
      <x:c r="M141" s="55" t="n">
        <x:v>967</x:v>
      </x:c>
      <x:c r="N141" s="55" t="n">
        <x:v>2182</x:v>
      </x:c>
      <x:c r="O141" s="55" t="n">
        <x:v>1643</x:v>
      </x:c>
      <x:c r="P141" s="55" t="n">
        <x:v>781</x:v>
      </x:c>
      <x:c r="Q141" s="55" t="n">
        <x:v>2998</x:v>
      </x:c>
      <x:c r="R141" s="55" t="n">
        <x:v>1750</x:v>
      </x:c>
      <x:c r="S141" s="55" t="n">
        <x:v>2945</x:v>
      </x:c>
      <x:c r="T141" s="55" t="n">
        <x:v>1108</x:v>
      </x:c>
      <x:c r="U141" s="55" t="n">
        <x:v>1871</x:v>
      </x:c>
      <x:c r="V141" s="55" t="n">
        <x:v>10505</x:v>
      </x:c>
      <x:c r="W141" s="55" t="n">
        <x:v>7234</x:v>
      </x:c>
      <x:c r="X141" s="55" t="n">
        <x:v>3271</x:v>
      </x:c>
      <x:c r="Y141" s="55" t="n">
        <x:v>2712</x:v>
      </x:c>
      <x:c r="Z141" s="55" t="n">
        <x:v>4652</x:v>
      </x:c>
      <x:c r="AA141" s="55" t="n">
        <x:v>3250</x:v>
      </x:c>
      <x:c r="AB141" s="55" t="n">
        <x:v>964</x:v>
      </x:c>
      <x:c r="AC141" s="55" t="n">
        <x:v>8006</x:v>
      </x:c>
      <x:c r="AD141" s="55" t="n">
        <x:v>2653</x:v>
      </x:c>
      <x:c r="AE141" s="55" t="n">
        <x:v>10597</x:v>
      </x:c>
      <x:c r="AF141" s="55" t="n">
        <x:v>10505</x:v>
      </x:c>
      <x:c r="AG141" s="55" t="n">
        <x:v>92</x:v>
      </x:c>
      <x:c r="AH141" s="55" t="n">
        <x:v>488</x:v>
      </x:c>
      <x:c r="AI141" s="55" t="n">
        <x:v>10017</x:v>
      </x:c>
      <x:c r="AJ141" s="55" t="n">
        <x:v>448</x:v>
      </x:c>
      <x:c r="AK141" s="55" t="n">
        <x:v>995</x:v>
      </x:c>
      <x:c r="AL141" s="55" t="n">
        <x:v>1686</x:v>
      </x:c>
      <x:c r="AM141" s="55" t="n">
        <x:v>4876</x:v>
      </x:c>
      <x:c r="AN141" s="55" t="n">
        <x:v>2444</x:v>
      </x:c>
      <x:c r="AO141" s="55" t="n">
        <x:v>56</x:v>
      </x:c>
      <x:c r="AP141" s="55" t="n">
        <x:v>2434</x:v>
      </x:c>
      <x:c r="AQ141" s="55" t="n">
        <x:v>942</x:v>
      </x:c>
    </x:row>
    <x:row r="142">
      <x:c r="A142" s="54" t="str">
        <x:v>T0_TABLE_BLOCK</x:v>
      </x:c>
      <x:c r="B142" s="54" t="n">
        <x:v>136</x:v>
      </x:c>
      <x:c r="C142" s="54" t="str">
        <x:v>NYC-V2-R01</x:v>
      </x:c>
      <x:c r="D142" s="54" t="str">
        <x:v>V2</x:v>
      </x:c>
      <x:c r="E142" s="54" t="str">
        <x:v>ADMITTED</x:v>
      </x:c>
      <x:c r="F142" s="55" t="n">
        <x:v>33505</x:v>
      </x:c>
      <x:c r="G142" s="55" t="n">
        <x:v>8653</x:v>
      </x:c>
      <x:c r="H142" s="55" t="n">
        <x:v>3295</x:v>
      </x:c>
      <x:c r="I142" s="55" t="n">
        <x:v>1679</x:v>
      </x:c>
      <x:c r="J142" s="55" t="n">
        <x:v>228</x:v>
      </x:c>
      <x:c r="K142" s="55" t="n">
        <x:v>26780</x:v>
      </x:c>
      <x:c r="L142" s="55" t="n">
        <x:v>5629</x:v>
      </x:c>
      <x:c r="M142" s="55" t="n">
        <x:v>1419</x:v>
      </x:c>
      <x:c r="N142" s="55" t="n">
        <x:v>2664</x:v>
      </x:c>
      <x:c r="O142" s="55" t="n">
        <x:v>1546</x:v>
      </x:c>
      <x:c r="P142" s="55" t="n">
        <x:v>908</x:v>
      </x:c>
      <x:c r="Q142" s="55" t="n">
        <x:v>1985</x:v>
      </x:c>
      <x:c r="R142" s="55" t="n">
        <x:v>1924</x:v>
      </x:c>
      <x:c r="S142" s="55" t="n">
        <x:v>3004</x:v>
      </x:c>
      <x:c r="T142" s="55" t="n">
        <x:v>1146</x:v>
      </x:c>
      <x:c r="U142" s="55" t="n">
        <x:v>2210</x:v>
      </x:c>
      <x:c r="V142" s="55" t="n">
        <x:v>10411</x:v>
      </x:c>
      <x:c r="W142" s="55" t="n">
        <x:v>7375</x:v>
      </x:c>
      <x:c r="X142" s="55" t="n">
        <x:v>3036</x:v>
      </x:c>
      <x:c r="Y142" s="55" t="n">
        <x:v>2851</x:v>
      </x:c>
      <x:c r="Z142" s="55" t="n">
        <x:v>3908</x:v>
      </x:c>
      <x:c r="AA142" s="55" t="n">
        <x:v>2762</x:v>
      </x:c>
      <x:c r="AB142" s="55" t="n">
        <x:v>820</x:v>
      </x:c>
      <x:c r="AC142" s="55" t="n">
        <x:v>8238</x:v>
      </x:c>
      <x:c r="AD142" s="55" t="n">
        <x:v>2803</x:v>
      </x:c>
      <x:c r="AE142" s="55" t="n">
        <x:v>10497</x:v>
      </x:c>
      <x:c r="AF142" s="55" t="n">
        <x:v>10411</x:v>
      </x:c>
      <x:c r="AG142" s="55" t="n">
        <x:v>86</x:v>
      </x:c>
      <x:c r="AH142" s="55" t="n">
        <x:v>372</x:v>
      </x:c>
      <x:c r="AI142" s="55" t="n">
        <x:v>10039</x:v>
      </x:c>
      <x:c r="AJ142" s="55" t="n">
        <x:v>101</x:v>
      </x:c>
      <x:c r="AK142" s="55" t="n">
        <x:v>990</x:v>
      </x:c>
      <x:c r="AL142" s="55" t="n">
        <x:v>1598</x:v>
      </x:c>
      <x:c r="AM142" s="55" t="n">
        <x:v>4564</x:v>
      </x:c>
      <x:c r="AN142" s="55" t="n">
        <x:v>3124</x:v>
      </x:c>
      <x:c r="AO142" s="55" t="n">
        <x:v>34</x:v>
      </x:c>
      <x:c r="AP142" s="55" t="n">
        <x:v>2812</x:v>
      </x:c>
      <x:c r="AQ142" s="55" t="n">
        <x:v>989</x:v>
      </x:c>
    </x:row>
    <x:row r="143">
      <x:c r="A143" s="54" t="str">
        <x:v>T0_TABLE_BLOCK</x:v>
      </x:c>
      <x:c r="B143" s="54" t="n">
        <x:v>137</x:v>
      </x:c>
      <x:c r="C143" s="54" t="str">
        <x:v>NYC-V2-R01</x:v>
      </x:c>
      <x:c r="D143" s="54" t="str">
        <x:v>V2</x:v>
      </x:c>
      <x:c r="E143" s="54" t="str">
        <x:v>ADMITTED</x:v>
      </x:c>
      <x:c r="F143" s="55" t="n">
        <x:v>31410</x:v>
      </x:c>
      <x:c r="G143" s="55" t="n">
        <x:v>8477</x:v>
      </x:c>
      <x:c r="H143" s="55" t="n">
        <x:v>3293</x:v>
      </x:c>
      <x:c r="I143" s="55" t="n">
        <x:v>560</x:v>
      </x:c>
      <x:c r="J143" s="55" t="n">
        <x:v>154</x:v>
      </x:c>
      <x:c r="K143" s="55" t="n">
        <x:v>31410</x:v>
      </x:c>
      <x:c r="L143" s="55" t="n">
        <x:v>6087</x:v>
      </x:c>
      <x:c r="M143" s="55" t="n">
        <x:v>1209</x:v>
      </x:c>
      <x:c r="N143" s="55" t="n">
        <x:v>2882</x:v>
      </x:c>
      <x:c r="O143" s="55" t="n">
        <x:v>1996</x:v>
      </x:c>
      <x:c r="P143" s="55" t="n">
        <x:v>718</x:v>
      </x:c>
      <x:c r="Q143" s="55" t="n">
        <x:v>2546</x:v>
      </x:c>
      <x:c r="R143" s="55" t="n">
        <x:v>1815</x:v>
      </x:c>
      <x:c r="S143" s="55" t="n">
        <x:v>2483</x:v>
      </x:c>
      <x:c r="T143" s="55" t="n">
        <x:v>1290</x:v>
      </x:c>
      <x:c r="U143" s="55" t="n">
        <x:v>2299</x:v>
      </x:c>
      <x:c r="V143" s="55" t="n">
        <x:v>10705</x:v>
      </x:c>
      <x:c r="W143" s="55" t="n">
        <x:v>7184</x:v>
      </x:c>
      <x:c r="X143" s="55" t="n">
        <x:v>3521</x:v>
      </x:c>
      <x:c r="Y143" s="55" t="n">
        <x:v>3203</x:v>
      </x:c>
      <x:c r="Z143" s="55" t="n">
        <x:v>3410</x:v>
      </x:c>
      <x:c r="AA143" s="55" t="n">
        <x:v>3293</x:v>
      </x:c>
      <x:c r="AB143" s="55" t="n">
        <x:v>1349</x:v>
      </x:c>
      <x:c r="AC143" s="55" t="n">
        <x:v>7520</x:v>
      </x:c>
      <x:c r="AD143" s="55" t="n">
        <x:v>2867</x:v>
      </x:c>
      <x:c r="AE143" s="55" t="n">
        <x:v>10752</x:v>
      </x:c>
      <x:c r="AF143" s="55" t="n">
        <x:v>10705</x:v>
      </x:c>
      <x:c r="AG143" s="55" t="n">
        <x:v>47</x:v>
      </x:c>
      <x:c r="AH143" s="55" t="n">
        <x:v>451</x:v>
      </x:c>
      <x:c r="AI143" s="55" t="n">
        <x:v>10254</x:v>
      </x:c>
      <x:c r="AJ143" s="55" t="n">
        <x:v>356</x:v>
      </x:c>
      <x:c r="AK143" s="55" t="n">
        <x:v>1202</x:v>
      </x:c>
      <x:c r="AL143" s="55" t="n">
        <x:v>2097</x:v>
      </x:c>
      <x:c r="AM143" s="55" t="n">
        <x:v>4684</x:v>
      </x:c>
      <x:c r="AN143" s="55" t="n">
        <x:v>2312</x:v>
      </x:c>
      <x:c r="AO143" s="55" t="n">
        <x:v>54</x:v>
      </x:c>
      <x:c r="AP143" s="55" t="n">
        <x:v>2483</x:v>
      </x:c>
      <x:c r="AQ143" s="55" t="n">
        <x:v>955</x:v>
      </x:c>
    </x:row>
    <x:row r="144">
      <x:c r="A144" s="54" t="str">
        <x:v>T0_TABLE_BLOCK</x:v>
      </x:c>
      <x:c r="B144" s="54" t="n">
        <x:v>138</x:v>
      </x:c>
      <x:c r="C144" s="54" t="str">
        <x:v>NYC-V2-R01</x:v>
      </x:c>
      <x:c r="D144" s="54" t="str">
        <x:v>V2</x:v>
      </x:c>
      <x:c r="E144" s="54" t="str">
        <x:v>ADMITTED</x:v>
      </x:c>
      <x:c r="F144" s="55" t="n">
        <x:v>32749</x:v>
      </x:c>
      <x:c r="G144" s="55" t="n">
        <x:v>7067</x:v>
      </x:c>
      <x:c r="H144" s="55" t="n">
        <x:v>3379</x:v>
      </x:c>
      <x:c r="I144" s="55" t="n">
        <x:v>1088</x:v>
      </x:c>
      <x:c r="J144" s="55" t="n">
        <x:v>234</x:v>
      </x:c>
      <x:c r="K144" s="55" t="n">
        <x:v>32749</x:v>
      </x:c>
      <x:c r="L144" s="55" t="n">
        <x:v>6503</x:v>
      </x:c>
      <x:c r="M144" s="55" t="n">
        <x:v>1552</x:v>
      </x:c>
      <x:c r="N144" s="55" t="n">
        <x:v>3121</x:v>
      </x:c>
      <x:c r="O144" s="55" t="n">
        <x:v>1830</x:v>
      </x:c>
      <x:c r="P144" s="55" t="n">
        <x:v>420</x:v>
      </x:c>
      <x:c r="Q144" s="55" t="n">
        <x:v>1860</x:v>
      </x:c>
      <x:c r="R144" s="55" t="n">
        <x:v>2033</x:v>
      </x:c>
      <x:c r="S144" s="55" t="n">
        <x:v>3418</x:v>
      </x:c>
      <x:c r="T144" s="55" t="n">
        <x:v>1511</x:v>
      </x:c>
      <x:c r="U144" s="55" t="n">
        <x:v>2066</x:v>
      </x:c>
      <x:c r="V144" s="55" t="n">
        <x:v>11229</x:v>
      </x:c>
      <x:c r="W144" s="55" t="n">
        <x:v>8543</x:v>
      </x:c>
      <x:c r="X144" s="55" t="n">
        <x:v>2686</x:v>
      </x:c>
      <x:c r="Y144" s="55" t="n">
        <x:v>2390</x:v>
      </x:c>
      <x:c r="Z144" s="55" t="n">
        <x:v>3748</x:v>
      </x:c>
      <x:c r="AA144" s="55" t="n">
        <x:v>3039</x:v>
      </x:c>
      <x:c r="AB144" s="55" t="n">
        <x:v>955</x:v>
      </x:c>
      <x:c r="AC144" s="55" t="n">
        <x:v>8259</x:v>
      </x:c>
      <x:c r="AD144" s="55" t="n">
        <x:v>3103</x:v>
      </x:c>
      <x:c r="AE144" s="55" t="n">
        <x:v>11341</x:v>
      </x:c>
      <x:c r="AF144" s="55" t="n">
        <x:v>11229</x:v>
      </x:c>
      <x:c r="AG144" s="55" t="n">
        <x:v>112</x:v>
      </x:c>
      <x:c r="AH144" s="55" t="n">
        <x:v>642</x:v>
      </x:c>
      <x:c r="AI144" s="55" t="n">
        <x:v>10587</x:v>
      </x:c>
      <x:c r="AJ144" s="55" t="n">
        <x:v>423</x:v>
      </x:c>
      <x:c r="AK144" s="55" t="n">
        <x:v>1440</x:v>
      </x:c>
      <x:c r="AL144" s="55" t="n">
        <x:v>1492</x:v>
      </x:c>
      <x:c r="AM144" s="55" t="n">
        <x:v>5173</x:v>
      </x:c>
      <x:c r="AN144" s="55" t="n">
        <x:v>2622</x:v>
      </x:c>
      <x:c r="AO144" s="55" t="n">
        <x:v>79</x:v>
      </x:c>
      <x:c r="AP144" s="55" t="n">
        <x:v>2679</x:v>
      </x:c>
      <x:c r="AQ144" s="55" t="n">
        <x:v>951</x:v>
      </x:c>
    </x:row>
    <x:row r="145">
      <x:c r="A145" s="54" t="str">
        <x:v>T0_TABLE_BLOCK</x:v>
      </x:c>
      <x:c r="B145" s="54" t="n">
        <x:v>139</x:v>
      </x:c>
      <x:c r="C145" s="54" t="str">
        <x:v>NYC-V2-R01</x:v>
      </x:c>
      <x:c r="D145" s="54" t="str">
        <x:v>V2</x:v>
      </x:c>
      <x:c r="E145" s="54" t="str">
        <x:v>ADMITTED</x:v>
      </x:c>
      <x:c r="F145" s="55" t="n">
        <x:v>32607</x:v>
      </x:c>
      <x:c r="G145" s="55" t="n">
        <x:v>7610</x:v>
      </x:c>
      <x:c r="H145" s="55" t="n">
        <x:v>3279</x:v>
      </x:c>
      <x:c r="I145" s="55" t="n">
        <x:v>1344</x:v>
      </x:c>
      <x:c r="J145" s="55" t="n">
        <x:v>166</x:v>
      </x:c>
      <x:c r="K145" s="55" t="n">
        <x:v>32607</x:v>
      </x:c>
      <x:c r="L145" s="55" t="n">
        <x:v>7180</x:v>
      </x:c>
      <x:c r="M145" s="55" t="n">
        <x:v>2052</x:v>
      </x:c>
      <x:c r="N145" s="55" t="n">
        <x:v>3118</x:v>
      </x:c>
      <x:c r="O145" s="55" t="n">
        <x:v>2010</x:v>
      </x:c>
      <x:c r="P145" s="55" t="n">
        <x:v>705</x:v>
      </x:c>
      <x:c r="Q145" s="55" t="n">
        <x:v>2039</x:v>
      </x:c>
      <x:c r="R145" s="55" t="n">
        <x:v>1737</x:v>
      </x:c>
      <x:c r="S145" s="55" t="n">
        <x:v>2813</x:v>
      </x:c>
      <x:c r="T145" s="55" t="n">
        <x:v>1062</x:v>
      </x:c>
      <x:c r="U145" s="55" t="n">
        <x:v>1788</x:v>
      </x:c>
      <x:c r="V145" s="55" t="n">
        <x:v>10777</x:v>
      </x:c>
      <x:c r="W145" s="55" t="n">
        <x:v>7285</x:v>
      </x:c>
      <x:c r="X145" s="55" t="n">
        <x:v>3492</x:v>
      </x:c>
      <x:c r="Y145" s="55" t="n">
        <x:v>2886</x:v>
      </x:c>
      <x:c r="Z145" s="55" t="n">
        <x:v>3470</x:v>
      </x:c>
      <x:c r="AA145" s="55" t="n">
        <x:v>3219</x:v>
      </x:c>
      <x:c r="AB145" s="55" t="n">
        <x:v>1004</x:v>
      </x:c>
      <x:c r="AC145" s="55" t="n">
        <x:v>8651</x:v>
      </x:c>
      <x:c r="AD145" s="55" t="n">
        <x:v>2845</x:v>
      </x:c>
      <x:c r="AE145" s="55" t="n">
        <x:v>10910</x:v>
      </x:c>
      <x:c r="AF145" s="55" t="n">
        <x:v>10777</x:v>
      </x:c>
      <x:c r="AG145" s="55" t="n">
        <x:v>133</x:v>
      </x:c>
      <x:c r="AH145" s="55" t="n">
        <x:v>297</x:v>
      </x:c>
      <x:c r="AI145" s="55" t="n">
        <x:v>10480</x:v>
      </x:c>
      <x:c r="AJ145" s="55" t="n">
        <x:v>347</x:v>
      </x:c>
      <x:c r="AK145" s="55" t="n">
        <x:v>1174</x:v>
      </x:c>
      <x:c r="AL145" s="55" t="n">
        <x:v>1621</x:v>
      </x:c>
      <x:c r="AM145" s="55" t="n">
        <x:v>5170</x:v>
      </x:c>
      <x:c r="AN145" s="55" t="n">
        <x:v>2371</x:v>
      </x:c>
      <x:c r="AO145" s="55" t="n">
        <x:v>94</x:v>
      </x:c>
      <x:c r="AP145" s="55" t="n">
        <x:v>2174</x:v>
      </x:c>
      <x:c r="AQ145" s="55" t="n">
        <x:v>951</x:v>
      </x:c>
    </x:row>
    <x:row r="146">
      <x:c r="A146" s="54" t="str">
        <x:v>T0_TABLE_BLOCK</x:v>
      </x:c>
      <x:c r="B146" s="54" t="n">
        <x:v>140</x:v>
      </x:c>
      <x:c r="C146" s="54" t="str">
        <x:v>NYC-V2-R01</x:v>
      </x:c>
      <x:c r="D146" s="54" t="str">
        <x:v>V2</x:v>
      </x:c>
      <x:c r="E146" s="54" t="str">
        <x:v>ADMITTED</x:v>
      </x:c>
      <x:c r="F146" s="55" t="n">
        <x:v>33023</x:v>
      </x:c>
      <x:c r="G146" s="55" t="n">
        <x:v>7891</x:v>
      </x:c>
      <x:c r="H146" s="55" t="n">
        <x:v>3154</x:v>
      </x:c>
      <x:c r="I146" s="55" t="n">
        <x:v>1079</x:v>
      </x:c>
      <x:c r="J146" s="55" t="n">
        <x:v>193</x:v>
      </x:c>
      <x:c r="K146" s="55" t="n">
        <x:v>33023</x:v>
      </x:c>
      <x:c r="L146" s="55" t="n">
        <x:v>6960</x:v>
      </x:c>
      <x:c r="M146" s="55" t="n">
        <x:v>1224</x:v>
      </x:c>
      <x:c r="N146" s="55" t="n">
        <x:v>3288</x:v>
      </x:c>
      <x:c r="O146" s="55" t="n">
        <x:v>2448</x:v>
      </x:c>
      <x:c r="P146" s="55" t="n">
        <x:v>920</x:v>
      </x:c>
      <x:c r="Q146" s="55" t="n">
        <x:v>2374</x:v>
      </x:c>
      <x:c r="R146" s="55" t="n">
        <x:v>1781</x:v>
      </x:c>
      <x:c r="S146" s="55" t="n">
        <x:v>2923</x:v>
      </x:c>
      <x:c r="T146" s="55" t="n">
        <x:v>1087</x:v>
      </x:c>
      <x:c r="U146" s="55" t="n">
        <x:v>1934</x:v>
      </x:c>
      <x:c r="V146" s="55" t="n">
        <x:v>10996</x:v>
      </x:c>
      <x:c r="W146" s="55" t="n">
        <x:v>8184</x:v>
      </x:c>
      <x:c r="X146" s="55" t="n">
        <x:v>2812</x:v>
      </x:c>
      <x:c r="Y146" s="55" t="n">
        <x:v>2308</x:v>
      </x:c>
      <x:c r="Z146" s="55" t="n">
        <x:v>3778</x:v>
      </x:c>
      <x:c r="AA146" s="55" t="n">
        <x:v>2458</x:v>
      </x:c>
      <x:c r="AB146" s="55" t="n">
        <x:v>989</x:v>
      </x:c>
      <x:c r="AC146" s="55" t="n">
        <x:v>8336</x:v>
      </x:c>
      <x:c r="AD146" s="55" t="n">
        <x:v>3027</x:v>
      </x:c>
      <x:c r="AE146" s="55" t="n">
        <x:v>11124</x:v>
      </x:c>
      <x:c r="AF146" s="55" t="n">
        <x:v>10996</x:v>
      </x:c>
      <x:c r="AG146" s="55" t="n">
        <x:v>128</x:v>
      </x:c>
      <x:c r="AH146" s="55" t="n">
        <x:v>369</x:v>
      </x:c>
      <x:c r="AI146" s="55" t="n">
        <x:v>10627</x:v>
      </x:c>
      <x:c r="AJ146" s="55" t="n">
        <x:v>293</x:v>
      </x:c>
      <x:c r="AK146" s="55" t="n">
        <x:v>1173</x:v>
      </x:c>
      <x:c r="AL146" s="55" t="n">
        <x:v>1817</x:v>
      </x:c>
      <x:c r="AM146" s="55" t="n">
        <x:v>5104</x:v>
      </x:c>
      <x:c r="AN146" s="55" t="n">
        <x:v>2550</x:v>
      </x:c>
      <x:c r="AO146" s="55" t="n">
        <x:v>59</x:v>
      </x:c>
      <x:c r="AP146" s="55" t="n">
        <x:v>2733</x:v>
      </x:c>
      <x:c r="AQ146" s="55" t="n">
        <x:v>993</x:v>
      </x:c>
    </x:row>
    <x:row r="147">
      <x:c r="A147" s="54" t="str">
        <x:v>T0_TABLE_BLOCK</x:v>
      </x:c>
      <x:c r="B147" s="54" t="n">
        <x:v>141</x:v>
      </x:c>
      <x:c r="C147" s="54" t="str">
        <x:v>NYC-V2-R01</x:v>
      </x:c>
      <x:c r="D147" s="54" t="str">
        <x:v>V2</x:v>
      </x:c>
      <x:c r="E147" s="54" t="str">
        <x:v>ADMITTED</x:v>
      </x:c>
      <x:c r="F147" s="55" t="n">
        <x:v>31675</x:v>
      </x:c>
      <x:c r="G147" s="55" t="n">
        <x:v>5909</x:v>
      </x:c>
      <x:c r="H147" s="55" t="n">
        <x:v>3717</x:v>
      </x:c>
      <x:c r="I147" s="55" t="n">
        <x:v>1567</x:v>
      </x:c>
      <x:c r="J147" s="55" t="n">
        <x:v>224</x:v>
      </x:c>
      <x:c r="K147" s="55" t="n">
        <x:v>31675</x:v>
      </x:c>
      <x:c r="L147" s="55" t="n">
        <x:v>6327</x:v>
      </x:c>
      <x:c r="M147" s="55" t="n">
        <x:v>2604</x:v>
      </x:c>
      <x:c r="N147" s="55" t="n">
        <x:v>2767</x:v>
      </x:c>
      <x:c r="O147" s="55" t="n">
        <x:v>956</x:v>
      </x:c>
      <x:c r="P147" s="55" t="n">
        <x:v>936</x:v>
      </x:c>
      <x:c r="Q147" s="55" t="n">
        <x:v>2189</x:v>
      </x:c>
      <x:c r="R147" s="55" t="n">
        <x:v>1633</x:v>
      </x:c>
      <x:c r="S147" s="55" t="n">
        <x:v>3062</x:v>
      </x:c>
      <x:c r="T147" s="55" t="n">
        <x:v>963</x:v>
      </x:c>
      <x:c r="U147" s="55" t="n">
        <x:v>2891</x:v>
      </x:c>
      <x:c r="V147" s="55" t="n">
        <x:v>10189</x:v>
      </x:c>
      <x:c r="W147" s="55" t="n">
        <x:v>6834</x:v>
      </x:c>
      <x:c r="X147" s="55" t="n">
        <x:v>3355</x:v>
      </x:c>
      <x:c r="Y147" s="55" t="n">
        <x:v>2807</x:v>
      </x:c>
      <x:c r="Z147" s="55" t="n">
        <x:v>4232</x:v>
      </x:c>
      <x:c r="AA147" s="55" t="n">
        <x:v>3717</x:v>
      </x:c>
      <x:c r="AB147" s="55" t="n">
        <x:v>1167</x:v>
      </x:c>
      <x:c r="AC147" s="55" t="n">
        <x:v>7996</x:v>
      </x:c>
      <x:c r="AD147" s="55" t="n">
        <x:v>3296</x:v>
      </x:c>
      <x:c r="AE147" s="55" t="n">
        <x:v>10295</x:v>
      </x:c>
      <x:c r="AF147" s="55" t="n">
        <x:v>10189</x:v>
      </x:c>
      <x:c r="AG147" s="55" t="n">
        <x:v>106</x:v>
      </x:c>
      <x:c r="AH147" s="55" t="n">
        <x:v>334</x:v>
      </x:c>
      <x:c r="AI147" s="55" t="n">
        <x:v>9855</x:v>
      </x:c>
      <x:c r="AJ147" s="55" t="n">
        <x:v>404</x:v>
      </x:c>
      <x:c r="AK147" s="55" t="n">
        <x:v>878</x:v>
      </x:c>
      <x:c r="AL147" s="55" t="n">
        <x:v>1726</x:v>
      </x:c>
      <x:c r="AM147" s="55" t="n">
        <x:v>5110</x:v>
      </x:c>
      <x:c r="AN147" s="55" t="n">
        <x:v>2067</x:v>
      </x:c>
      <x:c r="AO147" s="55" t="n">
        <x:v>4</x:v>
      </x:c>
      <x:c r="AP147" s="55" t="n">
        <x:v>2596</x:v>
      </x:c>
      <x:c r="AQ147" s="55" t="n">
        <x:v>999</x:v>
      </x:c>
    </x:row>
    <x:row r="148">
      <x:c r="A148" s="54" t="str">
        <x:v>T0_TABLE_BLOCK</x:v>
      </x:c>
      <x:c r="B148" s="54" t="n">
        <x:v>142</x:v>
      </x:c>
      <x:c r="C148" s="54" t="str">
        <x:v>NYC-V2-R01</x:v>
      </x:c>
      <x:c r="D148" s="54" t="str">
        <x:v>V2</x:v>
      </x:c>
      <x:c r="E148" s="54" t="str">
        <x:v>ADMITTED</x:v>
      </x:c>
      <x:c r="F148" s="55" t="n">
        <x:v>31496</x:v>
      </x:c>
      <x:c r="G148" s="55" t="n">
        <x:v>7682</x:v>
      </x:c>
      <x:c r="H148" s="55" t="n">
        <x:v>3238</x:v>
      </x:c>
      <x:c r="I148" s="55" t="n">
        <x:v>1338</x:v>
      </x:c>
      <x:c r="J148" s="55" t="n">
        <x:v>390</x:v>
      </x:c>
      <x:c r="K148" s="55" t="n">
        <x:v>28574</x:v>
      </x:c>
      <x:c r="L148" s="55" t="n">
        <x:v>5995</x:v>
      </x:c>
      <x:c r="M148" s="55" t="n">
        <x:v>1709</x:v>
      </x:c>
      <x:c r="N148" s="55" t="n">
        <x:v>2418</x:v>
      </x:c>
      <x:c r="O148" s="55" t="n">
        <x:v>1868</x:v>
      </x:c>
      <x:c r="P148" s="55" t="n">
        <x:v>1008</x:v>
      </x:c>
      <x:c r="Q148" s="55" t="n">
        <x:v>1030</x:v>
      </x:c>
      <x:c r="R148" s="55" t="n">
        <x:v>2076</x:v>
      </x:c>
      <x:c r="S148" s="55" t="n">
        <x:v>3143</x:v>
      </x:c>
      <x:c r="T148" s="55" t="n">
        <x:v>1082</x:v>
      </x:c>
      <x:c r="U148" s="55" t="n">
        <x:v>1671</x:v>
      </x:c>
      <x:c r="V148" s="55" t="n">
        <x:v>10061</x:v>
      </x:c>
      <x:c r="W148" s="55" t="n">
        <x:v>6837</x:v>
      </x:c>
      <x:c r="X148" s="55" t="n">
        <x:v>3224</x:v>
      </x:c>
      <x:c r="Y148" s="55" t="n">
        <x:v>2724</x:v>
      </x:c>
      <x:c r="Z148" s="55" t="n">
        <x:v>2793</x:v>
      </x:c>
      <x:c r="AA148" s="55" t="n">
        <x:v>3238</x:v>
      </x:c>
      <x:c r="AB148" s="55" t="n">
        <x:v>1139</x:v>
      </x:c>
      <x:c r="AC148" s="55" t="n">
        <x:v>8270</x:v>
      </x:c>
      <x:c r="AD148" s="55" t="n">
        <x:v>3274</x:v>
      </x:c>
      <x:c r="AE148" s="55" t="n">
        <x:v>10156</x:v>
      </x:c>
      <x:c r="AF148" s="55" t="n">
        <x:v>10061</x:v>
      </x:c>
      <x:c r="AG148" s="55" t="n">
        <x:v>95</x:v>
      </x:c>
      <x:c r="AH148" s="55" t="n">
        <x:v>415</x:v>
      </x:c>
      <x:c r="AI148" s="55" t="n">
        <x:v>9646</x:v>
      </x:c>
      <x:c r="AJ148" s="55" t="n">
        <x:v>410</x:v>
      </x:c>
      <x:c r="AK148" s="55" t="n">
        <x:v>763</x:v>
      </x:c>
      <x:c r="AL148" s="55" t="n">
        <x:v>1620</x:v>
      </x:c>
      <x:c r="AM148" s="55" t="n">
        <x:v>4481</x:v>
      </x:c>
      <x:c r="AN148" s="55" t="n">
        <x:v>2787</x:v>
      </x:c>
      <x:c r="AO148" s="55" t="n">
        <x:v>0</x:v>
      </x:c>
      <x:c r="AP148" s="55" t="n">
        <x:v>1685</x:v>
      </x:c>
      <x:c r="AQ148" s="55" t="n">
        <x:v>969</x:v>
      </x:c>
    </x:row>
    <x:row r="149">
      <x:c r="A149" s="54" t="str">
        <x:v>T0_TABLE_BLOCK</x:v>
      </x:c>
      <x:c r="B149" s="54" t="n">
        <x:v>143</x:v>
      </x:c>
      <x:c r="C149" s="54" t="str">
        <x:v>NYC-V2-R01</x:v>
      </x:c>
      <x:c r="D149" s="54" t="str">
        <x:v>V2</x:v>
      </x:c>
      <x:c r="E149" s="54" t="str">
        <x:v>ADMITTED</x:v>
      </x:c>
      <x:c r="F149" s="55" t="n">
        <x:v>31817</x:v>
      </x:c>
      <x:c r="G149" s="55" t="n">
        <x:v>8482</x:v>
      </x:c>
      <x:c r="H149" s="55" t="n">
        <x:v>3810</x:v>
      </x:c>
      <x:c r="I149" s="55" t="n">
        <x:v>1633</x:v>
      </x:c>
      <x:c r="J149" s="55" t="n">
        <x:v>333</x:v>
      </x:c>
      <x:c r="K149" s="55" t="n">
        <x:v>29422</x:v>
      </x:c>
      <x:c r="L149" s="55" t="n">
        <x:v>5875</x:v>
      </x:c>
      <x:c r="M149" s="55" t="n">
        <x:v>1402</x:v>
      </x:c>
      <x:c r="N149" s="55" t="n">
        <x:v>2895</x:v>
      </x:c>
      <x:c r="O149" s="55" t="n">
        <x:v>1578</x:v>
      </x:c>
      <x:c r="P149" s="55" t="n">
        <x:v>681</x:v>
      </x:c>
      <x:c r="Q149" s="55" t="n">
        <x:v>2236</x:v>
      </x:c>
      <x:c r="R149" s="55" t="n">
        <x:v>1957</x:v>
      </x:c>
      <x:c r="S149" s="55" t="n">
        <x:v>3807</x:v>
      </x:c>
      <x:c r="T149" s="55" t="n">
        <x:v>1447</x:v>
      </x:c>
      <x:c r="U149" s="55" t="n">
        <x:v>2316</x:v>
      </x:c>
      <x:c r="V149" s="55" t="n">
        <x:v>10804</x:v>
      </x:c>
      <x:c r="W149" s="55" t="n">
        <x:v>7497</x:v>
      </x:c>
      <x:c r="X149" s="55" t="n">
        <x:v>3307</x:v>
      </x:c>
      <x:c r="Y149" s="55" t="n">
        <x:v>2645</x:v>
      </x:c>
      <x:c r="Z149" s="55" t="n">
        <x:v>3431</x:v>
      </x:c>
      <x:c r="AA149" s="55" t="n">
        <x:v>3164</x:v>
      </x:c>
      <x:c r="AB149" s="55" t="n">
        <x:v>841</x:v>
      </x:c>
      <x:c r="AC149" s="55" t="n">
        <x:v>7734</x:v>
      </x:c>
      <x:c r="AD149" s="55" t="n">
        <x:v>2725</x:v>
      </x:c>
      <x:c r="AE149" s="55" t="n">
        <x:v>10912</x:v>
      </x:c>
      <x:c r="AF149" s="55" t="n">
        <x:v>10804</x:v>
      </x:c>
      <x:c r="AG149" s="55" t="n">
        <x:v>108</x:v>
      </x:c>
      <x:c r="AH149" s="55" t="n">
        <x:v>629</x:v>
      </x:c>
      <x:c r="AI149" s="55" t="n">
        <x:v>10175</x:v>
      </x:c>
      <x:c r="AJ149" s="55" t="n">
        <x:v>405</x:v>
      </x:c>
      <x:c r="AK149" s="55" t="n">
        <x:v>1298</x:v>
      </x:c>
      <x:c r="AL149" s="55" t="n">
        <x:v>1291</x:v>
      </x:c>
      <x:c r="AM149" s="55" t="n">
        <x:v>4874</x:v>
      </x:c>
      <x:c r="AN149" s="55" t="n">
        <x:v>2916</x:v>
      </x:c>
      <x:c r="AO149" s="55" t="n">
        <x:v>20</x:v>
      </x:c>
      <x:c r="AP149" s="55" t="n">
        <x:v>2363</x:v>
      </x:c>
      <x:c r="AQ149" s="55" t="n">
        <x:v>969</x:v>
      </x:c>
    </x:row>
    <x:row r="150">
      <x:c r="A150" s="54" t="str">
        <x:v>T0_TABLE_BLOCK</x:v>
      </x:c>
      <x:c r="B150" s="54" t="n">
        <x:v>144</x:v>
      </x:c>
      <x:c r="C150" s="54" t="str">
        <x:v>NYC-V2-R01</x:v>
      </x:c>
      <x:c r="D150" s="54" t="str">
        <x:v>V2</x:v>
      </x:c>
      <x:c r="E150" s="54" t="str">
        <x:v>ADMITTED</x:v>
      </x:c>
      <x:c r="F150" s="55" t="n">
        <x:v>29898</x:v>
      </x:c>
      <x:c r="G150" s="55" t="n">
        <x:v>7394</x:v>
      </x:c>
      <x:c r="H150" s="55" t="n">
        <x:v>3403</x:v>
      </x:c>
      <x:c r="I150" s="55" t="n">
        <x:v>1453</x:v>
      </x:c>
      <x:c r="J150" s="55" t="n">
        <x:v>193</x:v>
      </x:c>
      <x:c r="K150" s="55" t="n">
        <x:v>29898</x:v>
      </x:c>
      <x:c r="L150" s="55" t="n">
        <x:v>3812</x:v>
      </x:c>
      <x:c r="M150" s="55" t="n">
        <x:v>635</x:v>
      </x:c>
      <x:c r="N150" s="55" t="n">
        <x:v>1864</x:v>
      </x:c>
      <x:c r="O150" s="55" t="n">
        <x:v>1313</x:v>
      </x:c>
      <x:c r="P150" s="55" t="n">
        <x:v>869</x:v>
      </x:c>
      <x:c r="Q150" s="55" t="n">
        <x:v>2215</x:v>
      </x:c>
      <x:c r="R150" s="55" t="n">
        <x:v>1613</x:v>
      </x:c>
      <x:c r="S150" s="55" t="n">
        <x:v>2521</x:v>
      </x:c>
      <x:c r="T150" s="55" t="n">
        <x:v>1352</x:v>
      </x:c>
      <x:c r="U150" s="55" t="n">
        <x:v>1946</x:v>
      </x:c>
      <x:c r="V150" s="55" t="n">
        <x:v>10432</x:v>
      </x:c>
      <x:c r="W150" s="55" t="n">
        <x:v>7189</x:v>
      </x:c>
      <x:c r="X150" s="55" t="n">
        <x:v>3243</x:v>
      </x:c>
      <x:c r="Y150" s="55" t="n">
        <x:v>2819</x:v>
      </x:c>
      <x:c r="Z150" s="55" t="n">
        <x:v>3283</x:v>
      </x:c>
      <x:c r="AA150" s="55" t="n">
        <x:v>3026</x:v>
      </x:c>
      <x:c r="AB150" s="55" t="n">
        <x:v>1294</x:v>
      </x:c>
      <x:c r="AC150" s="55" t="n">
        <x:v>7798</x:v>
      </x:c>
      <x:c r="AD150" s="55" t="n">
        <x:v>2626</x:v>
      </x:c>
      <x:c r="AE150" s="55" t="n">
        <x:v>10482</x:v>
      </x:c>
      <x:c r="AF150" s="55" t="n">
        <x:v>10432</x:v>
      </x:c>
      <x:c r="AG150" s="55" t="n">
        <x:v>50</x:v>
      </x:c>
      <x:c r="AH150" s="55" t="n">
        <x:v>387</x:v>
      </x:c>
      <x:c r="AI150" s="55" t="n">
        <x:v>10045</x:v>
      </x:c>
      <x:c r="AJ150" s="55" t="n">
        <x:v>288</x:v>
      </x:c>
      <x:c r="AK150" s="55" t="n">
        <x:v>1179</x:v>
      </x:c>
      <x:c r="AL150" s="55" t="n">
        <x:v>1266</x:v>
      </x:c>
      <x:c r="AM150" s="55" t="n">
        <x:v>5337</x:v>
      </x:c>
      <x:c r="AN150" s="55" t="n">
        <x:v>2362</x:v>
      </x:c>
      <x:c r="AO150" s="55" t="n">
        <x:v>0</x:v>
      </x:c>
      <x:c r="AP150" s="55" t="n">
        <x:v>2027</x:v>
      </x:c>
      <x:c r="AQ150" s="55" t="n">
        <x:v>991</x:v>
      </x:c>
    </x:row>
    <x:row r="151">
      <x:c r="A151" s="54" t="str">
        <x:v>T0_TABLE_BLOCK</x:v>
      </x:c>
      <x:c r="B151" s="54" t="n">
        <x:v>145</x:v>
      </x:c>
      <x:c r="C151" s="54" t="str">
        <x:v>NYC-V2-R01</x:v>
      </x:c>
      <x:c r="D151" s="54" t="str">
        <x:v>V2</x:v>
      </x:c>
      <x:c r="E151" s="54" t="str">
        <x:v>ADMITTED</x:v>
      </x:c>
      <x:c r="F151" s="55" t="n">
        <x:v>31693</x:v>
      </x:c>
      <x:c r="G151" s="55" t="n">
        <x:v>7662</x:v>
      </x:c>
      <x:c r="H151" s="55" t="n">
        <x:v>3313</x:v>
      </x:c>
      <x:c r="I151" s="55" t="n">
        <x:v>955</x:v>
      </x:c>
      <x:c r="J151" s="55" t="n">
        <x:v>95</x:v>
      </x:c>
      <x:c r="K151" s="55" t="n">
        <x:v>31693</x:v>
      </x:c>
      <x:c r="L151" s="55" t="n">
        <x:v>5758</x:v>
      </x:c>
      <x:c r="M151" s="55" t="n">
        <x:v>1586</x:v>
      </x:c>
      <x:c r="N151" s="55" t="n">
        <x:v>2761</x:v>
      </x:c>
      <x:c r="O151" s="55" t="n">
        <x:v>1411</x:v>
      </x:c>
      <x:c r="P151" s="55" t="n">
        <x:v>985</x:v>
      </x:c>
      <x:c r="Q151" s="55" t="n">
        <x:v>2617</x:v>
      </x:c>
      <x:c r="R151" s="55" t="n">
        <x:v>1722</x:v>
      </x:c>
      <x:c r="S151" s="55" t="n">
        <x:v>1995</x:v>
      </x:c>
      <x:c r="T151" s="55" t="n">
        <x:v>2253</x:v>
      </x:c>
      <x:c r="U151" s="55" t="n">
        <x:v>1381</x:v>
      </x:c>
      <x:c r="V151" s="55" t="n">
        <x:v>9980</x:v>
      </x:c>
      <x:c r="W151" s="55" t="n">
        <x:v>6292</x:v>
      </x:c>
      <x:c r="X151" s="55" t="n">
        <x:v>3688</x:v>
      </x:c>
      <x:c r="Y151" s="55" t="n">
        <x:v>3013</x:v>
      </x:c>
      <x:c r="Z151" s="55" t="n">
        <x:v>3441</x:v>
      </x:c>
      <x:c r="AA151" s="55" t="n">
        <x:v>3313</x:v>
      </x:c>
      <x:c r="AB151" s="55" t="n">
        <x:v>1488</x:v>
      </x:c>
      <x:c r="AC151" s="55" t="n">
        <x:v>7854</x:v>
      </x:c>
      <x:c r="AD151" s="55" t="n">
        <x:v>3357</x:v>
      </x:c>
      <x:c r="AE151" s="55" t="n">
        <x:v>10096</x:v>
      </x:c>
      <x:c r="AF151" s="55" t="n">
        <x:v>9980</x:v>
      </x:c>
      <x:c r="AG151" s="55" t="n">
        <x:v>116</x:v>
      </x:c>
      <x:c r="AH151" s="55" t="n">
        <x:v>204</x:v>
      </x:c>
      <x:c r="AI151" s="55" t="n">
        <x:v>9776</x:v>
      </x:c>
      <x:c r="AJ151" s="55" t="n">
        <x:v>448</x:v>
      </x:c>
      <x:c r="AK151" s="55" t="n">
        <x:v>1135</x:v>
      </x:c>
      <x:c r="AL151" s="55" t="n">
        <x:v>1465</x:v>
      </x:c>
      <x:c r="AM151" s="55" t="n">
        <x:v>4231</x:v>
      </x:c>
      <x:c r="AN151" s="55" t="n">
        <x:v>2701</x:v>
      </x:c>
      <x:c r="AO151" s="55" t="n">
        <x:v>0</x:v>
      </x:c>
      <x:c r="AP151" s="55" t="n">
        <x:v>2207</x:v>
      </x:c>
      <x:c r="AQ151" s="55" t="n">
        <x:v>968</x:v>
      </x:c>
    </x:row>
    <x:row r="152">
      <x:c r="A152" s="54" t="str">
        <x:v>T0_TABLE_BLOCK</x:v>
      </x:c>
      <x:c r="B152" s="54" t="n">
        <x:v>146</x:v>
      </x:c>
      <x:c r="C152" s="54" t="str">
        <x:v>NYC-V2-R01</x:v>
      </x:c>
      <x:c r="D152" s="54" t="str">
        <x:v>V2</x:v>
      </x:c>
      <x:c r="E152" s="54" t="str">
        <x:v>ADMITTED</x:v>
      </x:c>
      <x:c r="F152" s="55" t="n">
        <x:v>32403</x:v>
      </x:c>
      <x:c r="G152" s="55" t="n">
        <x:v>7723</x:v>
      </x:c>
      <x:c r="H152" s="55" t="n">
        <x:v>3388</x:v>
      </x:c>
      <x:c r="I152" s="55" t="n">
        <x:v>1715</x:v>
      </x:c>
      <x:c r="J152" s="55" t="n">
        <x:v>246</x:v>
      </x:c>
      <x:c r="K152" s="55" t="n">
        <x:v>32403</x:v>
      </x:c>
      <x:c r="L152" s="55" t="n">
        <x:v>5598</x:v>
      </x:c>
      <x:c r="M152" s="55" t="n">
        <x:v>945</x:v>
      </x:c>
      <x:c r="N152" s="55" t="n">
        <x:v>2762</x:v>
      </x:c>
      <x:c r="O152" s="55" t="n">
        <x:v>1891</x:v>
      </x:c>
      <x:c r="P152" s="55" t="n">
        <x:v>804</x:v>
      </x:c>
      <x:c r="Q152" s="55" t="n">
        <x:v>3133</x:v>
      </x:c>
      <x:c r="R152" s="55" t="n">
        <x:v>2708</x:v>
      </x:c>
      <x:c r="S152" s="55" t="n">
        <x:v>2590</x:v>
      </x:c>
      <x:c r="T152" s="55" t="n">
        <x:v>1277</x:v>
      </x:c>
      <x:c r="U152" s="55" t="n">
        <x:v>1929</x:v>
      </x:c>
      <x:c r="V152" s="55" t="n">
        <x:v>10648</x:v>
      </x:c>
      <x:c r="W152" s="55" t="n">
        <x:v>7559</x:v>
      </x:c>
      <x:c r="X152" s="55" t="n">
        <x:v>3089</x:v>
      </x:c>
      <x:c r="Y152" s="55" t="n">
        <x:v>2472</x:v>
      </x:c>
      <x:c r="Z152" s="55" t="n">
        <x:v>3728</x:v>
      </x:c>
      <x:c r="AA152" s="55" t="n">
        <x:v>2563</x:v>
      </x:c>
      <x:c r="AB152" s="55" t="n">
        <x:v>1024</x:v>
      </x:c>
      <x:c r="AC152" s="55" t="n">
        <x:v>8100</x:v>
      </x:c>
      <x:c r="AD152" s="55" t="n">
        <x:v>3189</x:v>
      </x:c>
      <x:c r="AE152" s="55" t="n">
        <x:v>10691</x:v>
      </x:c>
      <x:c r="AF152" s="55" t="n">
        <x:v>10648</x:v>
      </x:c>
      <x:c r="AG152" s="55" t="n">
        <x:v>43</x:v>
      </x:c>
      <x:c r="AH152" s="55" t="n">
        <x:v>549</x:v>
      </x:c>
      <x:c r="AI152" s="55" t="n">
        <x:v>10099</x:v>
      </x:c>
      <x:c r="AJ152" s="55" t="n">
        <x:v>258</x:v>
      </x:c>
      <x:c r="AK152" s="55" t="n">
        <x:v>1074</x:v>
      </x:c>
      <x:c r="AL152" s="55" t="n">
        <x:v>1694</x:v>
      </x:c>
      <x:c r="AM152" s="55" t="n">
        <x:v>4901</x:v>
      </x:c>
      <x:c r="AN152" s="55" t="n">
        <x:v>2721</x:v>
      </x:c>
      <x:c r="AO152" s="55" t="n">
        <x:v>0</x:v>
      </x:c>
      <x:c r="AP152" s="55" t="n">
        <x:v>1690</x:v>
      </x:c>
      <x:c r="AQ152" s="55" t="n">
        <x:v>927</x:v>
      </x:c>
    </x:row>
    <x:row r="153">
      <x:c r="A153" s="54" t="str">
        <x:v>T0_TABLE_BLOCK</x:v>
      </x:c>
      <x:c r="B153" s="54" t="n">
        <x:v>147</x:v>
      </x:c>
      <x:c r="C153" s="54" t="str">
        <x:v>NYC-V2-R01</x:v>
      </x:c>
      <x:c r="D153" s="54" t="str">
        <x:v>V2</x:v>
      </x:c>
      <x:c r="E153" s="54" t="str">
        <x:v>ADMITTED</x:v>
      </x:c>
      <x:c r="F153" s="55" t="n">
        <x:v>30991</x:v>
      </x:c>
      <x:c r="G153" s="55" t="n">
        <x:v>7196</x:v>
      </x:c>
      <x:c r="H153" s="55" t="n">
        <x:v>3390</x:v>
      </x:c>
      <x:c r="I153" s="55" t="n">
        <x:v>1800</x:v>
      </x:c>
      <x:c r="J153" s="55" t="n">
        <x:v>283</x:v>
      </x:c>
      <x:c r="K153" s="55" t="n">
        <x:v>28058</x:v>
      </x:c>
      <x:c r="L153" s="55" t="n">
        <x:v>5547</x:v>
      </x:c>
      <x:c r="M153" s="55" t="n">
        <x:v>814</x:v>
      </x:c>
      <x:c r="N153" s="55" t="n">
        <x:v>2852</x:v>
      </x:c>
      <x:c r="O153" s="55" t="n">
        <x:v>1881</x:v>
      </x:c>
      <x:c r="P153" s="55" t="n">
        <x:v>387</x:v>
      </x:c>
      <x:c r="Q153" s="55" t="n">
        <x:v>2100</x:v>
      </x:c>
      <x:c r="R153" s="55" t="n">
        <x:v>1954</x:v>
      </x:c>
      <x:c r="S153" s="55" t="n">
        <x:v>3436</x:v>
      </x:c>
      <x:c r="T153" s="55" t="n">
        <x:v>860</x:v>
      </x:c>
      <x:c r="U153" s="55" t="n">
        <x:v>2152</x:v>
      </x:c>
      <x:c r="V153" s="55" t="n">
        <x:v>10299</x:v>
      </x:c>
      <x:c r="W153" s="55" t="n">
        <x:v>6917</x:v>
      </x:c>
      <x:c r="X153" s="55" t="n">
        <x:v>3382</x:v>
      </x:c>
      <x:c r="Y153" s="55" t="n">
        <x:v>2966</x:v>
      </x:c>
      <x:c r="Z153" s="55" t="n">
        <x:v>4104</x:v>
      </x:c>
      <x:c r="AA153" s="55" t="n">
        <x:v>3263</x:v>
      </x:c>
      <x:c r="AB153" s="55" t="n">
        <x:v>1331</x:v>
      </x:c>
      <x:c r="AC153" s="55" t="n">
        <x:v>8112</x:v>
      </x:c>
      <x:c r="AD153" s="55" t="n">
        <x:v>3750</x:v>
      </x:c>
      <x:c r="AE153" s="55" t="n">
        <x:v>10372</x:v>
      </x:c>
      <x:c r="AF153" s="55" t="n">
        <x:v>10299</x:v>
      </x:c>
      <x:c r="AG153" s="55" t="n">
        <x:v>73</x:v>
      </x:c>
      <x:c r="AH153" s="55" t="n">
        <x:v>687</x:v>
      </x:c>
      <x:c r="AI153" s="55" t="n">
        <x:v>9612</x:v>
      </x:c>
      <x:c r="AJ153" s="55" t="n">
        <x:v>450</x:v>
      </x:c>
      <x:c r="AK153" s="55" t="n">
        <x:v>953</x:v>
      </x:c>
      <x:c r="AL153" s="55" t="n">
        <x:v>1801</x:v>
      </x:c>
      <x:c r="AM153" s="55" t="n">
        <x:v>4285</x:v>
      </x:c>
      <x:c r="AN153" s="55" t="n">
        <x:v>2772</x:v>
      </x:c>
      <x:c r="AO153" s="55" t="n">
        <x:v>38</x:v>
      </x:c>
      <x:c r="AP153" s="55" t="n">
        <x:v>2700</x:v>
      </x:c>
      <x:c r="AQ153" s="55" t="n">
        <x:v>1000</x:v>
      </x:c>
    </x:row>
    <x:row r="154">
      <x:c r="A154" s="54" t="str">
        <x:v>T0_TABLE_BLOCK</x:v>
      </x:c>
      <x:c r="B154" s="54" t="n">
        <x:v>148</x:v>
      </x:c>
      <x:c r="C154" s="54" t="str">
        <x:v>NYC-V2-R01</x:v>
      </x:c>
      <x:c r="D154" s="54" t="str">
        <x:v>V2</x:v>
      </x:c>
      <x:c r="E154" s="54" t="str">
        <x:v>ADMITTED</x:v>
      </x:c>
      <x:c r="F154" s="55" t="n">
        <x:v>29537</x:v>
      </x:c>
      <x:c r="G154" s="55" t="n">
        <x:v>7555</x:v>
      </x:c>
      <x:c r="H154" s="55" t="n">
        <x:v>3712</x:v>
      </x:c>
      <x:c r="I154" s="55" t="n">
        <x:v>1322</x:v>
      </x:c>
      <x:c r="J154" s="55" t="n">
        <x:v>174</x:v>
      </x:c>
      <x:c r="K154" s="55" t="n">
        <x:v>29169</x:v>
      </x:c>
      <x:c r="L154" s="55" t="n">
        <x:v>5126</x:v>
      </x:c>
      <x:c r="M154" s="55" t="n">
        <x:v>1616</x:v>
      </x:c>
      <x:c r="N154" s="55" t="n">
        <x:v>2377</x:v>
      </x:c>
      <x:c r="O154" s="55" t="n">
        <x:v>1133</x:v>
      </x:c>
      <x:c r="P154" s="55" t="n">
        <x:v>945</x:v>
      </x:c>
      <x:c r="Q154" s="55" t="n">
        <x:v>2015</x:v>
      </x:c>
      <x:c r="R154" s="55" t="n">
        <x:v>2057</x:v>
      </x:c>
      <x:c r="S154" s="55" t="n">
        <x:v>2477</x:v>
      </x:c>
      <x:c r="T154" s="55" t="n">
        <x:v>1204</x:v>
      </x:c>
      <x:c r="U154" s="55" t="n">
        <x:v>2356</x:v>
      </x:c>
      <x:c r="V154" s="55" t="n">
        <x:v>9234</x:v>
      </x:c>
      <x:c r="W154" s="55" t="n">
        <x:v>6070</x:v>
      </x:c>
      <x:c r="X154" s="55" t="n">
        <x:v>3164</x:v>
      </x:c>
      <x:c r="Y154" s="55" t="n">
        <x:v>2597</x:v>
      </x:c>
      <x:c r="Z154" s="55" t="n">
        <x:v>4248</x:v>
      </x:c>
      <x:c r="AA154" s="55" t="n">
        <x:v>3712</x:v>
      </x:c>
      <x:c r="AB154" s="55" t="n">
        <x:v>1440</x:v>
      </x:c>
      <x:c r="AC154" s="55" t="n">
        <x:v>7606</x:v>
      </x:c>
      <x:c r="AD154" s="55" t="n">
        <x:v>2571</x:v>
      </x:c>
      <x:c r="AE154" s="55" t="n">
        <x:v>9420</x:v>
      </x:c>
      <x:c r="AF154" s="55" t="n">
        <x:v>9234</x:v>
      </x:c>
      <x:c r="AG154" s="55" t="n">
        <x:v>186</x:v>
      </x:c>
      <x:c r="AH154" s="55" t="n">
        <x:v>389</x:v>
      </x:c>
      <x:c r="AI154" s="55" t="n">
        <x:v>8845</x:v>
      </x:c>
      <x:c r="AJ154" s="55" t="n">
        <x:v>235</x:v>
      </x:c>
      <x:c r="AK154" s="55" t="n">
        <x:v>1038</x:v>
      </x:c>
      <x:c r="AL154" s="55" t="n">
        <x:v>1657</x:v>
      </x:c>
      <x:c r="AM154" s="55" t="n">
        <x:v>3977</x:v>
      </x:c>
      <x:c r="AN154" s="55" t="n">
        <x:v>2295</x:v>
      </x:c>
      <x:c r="AO154" s="55" t="n">
        <x:v>32</x:v>
      </x:c>
      <x:c r="AP154" s="55" t="n">
        <x:v>2368</x:v>
      </x:c>
      <x:c r="AQ154" s="55" t="n">
        <x:v>932</x:v>
      </x:c>
    </x:row>
    <x:row r="155">
      <x:c r="A155" s="54" t="str">
        <x:v>T0_TABLE_BLOCK</x:v>
      </x:c>
      <x:c r="B155" s="54" t="n">
        <x:v>149</x:v>
      </x:c>
      <x:c r="C155" s="54" t="str">
        <x:v>NYC-V2-R01</x:v>
      </x:c>
      <x:c r="D155" s="54" t="str">
        <x:v>V2</x:v>
      </x:c>
      <x:c r="E155" s="54" t="str">
        <x:v>ADMITTED</x:v>
      </x:c>
      <x:c r="F155" s="55" t="n">
        <x:v>32548</x:v>
      </x:c>
      <x:c r="G155" s="55" t="n">
        <x:v>8214</x:v>
      </x:c>
      <x:c r="H155" s="55" t="n">
        <x:v>3265</x:v>
      </x:c>
      <x:c r="I155" s="55" t="n">
        <x:v>1277</x:v>
      </x:c>
      <x:c r="J155" s="55" t="n">
        <x:v>8</x:v>
      </x:c>
      <x:c r="K155" s="55" t="n">
        <x:v>28156</x:v>
      </x:c>
      <x:c r="L155" s="55" t="n">
        <x:v>6212</x:v>
      </x:c>
      <x:c r="M155" s="55" t="n">
        <x:v>1966</x:v>
      </x:c>
      <x:c r="N155" s="55" t="n">
        <x:v>2875</x:v>
      </x:c>
      <x:c r="O155" s="55" t="n">
        <x:v>1371</x:v>
      </x:c>
      <x:c r="P155" s="55" t="n">
        <x:v>692</x:v>
      </x:c>
      <x:c r="Q155" s="55" t="n">
        <x:v>2484</x:v>
      </x:c>
      <x:c r="R155" s="55" t="n">
        <x:v>1473</x:v>
      </x:c>
      <x:c r="S155" s="55" t="n">
        <x:v>2685</x:v>
      </x:c>
      <x:c r="T155" s="55" t="n">
        <x:v>1644</x:v>
      </x:c>
      <x:c r="U155" s="55" t="n">
        <x:v>1681</x:v>
      </x:c>
      <x:c r="V155" s="55" t="n">
        <x:v>10528</x:v>
      </x:c>
      <x:c r="W155" s="55" t="n">
        <x:v>7157</x:v>
      </x:c>
      <x:c r="X155" s="55" t="n">
        <x:v>3371</x:v>
      </x:c>
      <x:c r="Y155" s="55" t="n">
        <x:v>2890</x:v>
      </x:c>
      <x:c r="Z155" s="55" t="n">
        <x:v>3614</x:v>
      </x:c>
      <x:c r="AA155" s="55" t="n">
        <x:v>3210</x:v>
      </x:c>
      <x:c r="AB155" s="55" t="n">
        <x:v>1081</x:v>
      </x:c>
      <x:c r="AC155" s="55" t="n">
        <x:v>7116</x:v>
      </x:c>
      <x:c r="AD155" s="55" t="n">
        <x:v>2837</x:v>
      </x:c>
      <x:c r="AE155" s="55" t="n">
        <x:v>10591</x:v>
      </x:c>
      <x:c r="AF155" s="55" t="n">
        <x:v>10528</x:v>
      </x:c>
      <x:c r="AG155" s="55" t="n">
        <x:v>63</x:v>
      </x:c>
      <x:c r="AH155" s="55" t="n">
        <x:v>173</x:v>
      </x:c>
      <x:c r="AI155" s="55" t="n">
        <x:v>10355</x:v>
      </x:c>
      <x:c r="AJ155" s="55" t="n">
        <x:v>326</x:v>
      </x:c>
      <x:c r="AK155" s="55" t="n">
        <x:v>829</x:v>
      </x:c>
      <x:c r="AL155" s="55" t="n">
        <x:v>1307</x:v>
      </x:c>
      <x:c r="AM155" s="55" t="n">
        <x:v>5604</x:v>
      </x:c>
      <x:c r="AN155" s="55" t="n">
        <x:v>2421</x:v>
      </x:c>
      <x:c r="AO155" s="55" t="n">
        <x:v>41</x:v>
      </x:c>
      <x:c r="AP155" s="55" t="n">
        <x:v>2492</x:v>
      </x:c>
      <x:c r="AQ155" s="55" t="n">
        <x:v>977</x:v>
      </x:c>
    </x:row>
    <x:row r="156">
      <x:c r="A156" s="54" t="str">
        <x:v>T0_TABLE_BLOCK</x:v>
      </x:c>
      <x:c r="B156" s="54" t="n">
        <x:v>150</x:v>
      </x:c>
      <x:c r="C156" s="54" t="str">
        <x:v>NYC-V2-R01</x:v>
      </x:c>
      <x:c r="D156" s="54" t="str">
        <x:v>V2</x:v>
      </x:c>
      <x:c r="E156" s="54" t="str">
        <x:v>ADMITTED</x:v>
      </x:c>
      <x:c r="F156" s="55" t="n">
        <x:v>30396</x:v>
      </x:c>
      <x:c r="G156" s="55" t="n">
        <x:v>7646</x:v>
      </x:c>
      <x:c r="H156" s="55" t="n">
        <x:v>3442</x:v>
      </x:c>
      <x:c r="I156" s="55" t="n">
        <x:v>944</x:v>
      </x:c>
      <x:c r="J156" s="55" t="n">
        <x:v>118</x:v>
      </x:c>
      <x:c r="K156" s="55" t="n">
        <x:v>30396</x:v>
      </x:c>
      <x:c r="L156" s="55" t="n">
        <x:v>5879</x:v>
      </x:c>
      <x:c r="M156" s="55" t="n">
        <x:v>1674</x:v>
      </x:c>
      <x:c r="N156" s="55" t="n">
        <x:v>2761</x:v>
      </x:c>
      <x:c r="O156" s="55" t="n">
        <x:v>1444</x:v>
      </x:c>
      <x:c r="P156" s="55" t="n">
        <x:v>564</x:v>
      </x:c>
      <x:c r="Q156" s="55" t="n">
        <x:v>3502</x:v>
      </x:c>
      <x:c r="R156" s="55" t="n">
        <x:v>2091</x:v>
      </x:c>
      <x:c r="S156" s="55" t="n">
        <x:v>2360</x:v>
      </x:c>
      <x:c r="T156" s="55" t="n">
        <x:v>1713</x:v>
      </x:c>
      <x:c r="U156" s="55" t="n">
        <x:v>2198</x:v>
      </x:c>
      <x:c r="V156" s="55" t="n">
        <x:v>10816</x:v>
      </x:c>
      <x:c r="W156" s="55" t="n">
        <x:v>8130</x:v>
      </x:c>
      <x:c r="X156" s="55" t="n">
        <x:v>2686</x:v>
      </x:c>
      <x:c r="Y156" s="55" t="n">
        <x:v>2281</x:v>
      </x:c>
      <x:c r="Z156" s="55" t="n">
        <x:v>3605</x:v>
      </x:c>
      <x:c r="AA156" s="55" t="n">
        <x:v>3442</x:v>
      </x:c>
      <x:c r="AB156" s="55" t="n">
        <x:v>1309</x:v>
      </x:c>
      <x:c r="AC156" s="55" t="n">
        <x:v>8158</x:v>
      </x:c>
      <x:c r="AD156" s="55" t="n">
        <x:v>3398</x:v>
      </x:c>
      <x:c r="AE156" s="55" t="n">
        <x:v>10899</x:v>
      </x:c>
      <x:c r="AF156" s="55" t="n">
        <x:v>10816</x:v>
      </x:c>
      <x:c r="AG156" s="55" t="n">
        <x:v>83</x:v>
      </x:c>
      <x:c r="AH156" s="55" t="n">
        <x:v>889</x:v>
      </x:c>
      <x:c r="AI156" s="55" t="n">
        <x:v>9927</x:v>
      </x:c>
      <x:c r="AJ156" s="55" t="n">
        <x:v>254</x:v>
      </x:c>
      <x:c r="AK156" s="55" t="n">
        <x:v>767</x:v>
      </x:c>
      <x:c r="AL156" s="55" t="n">
        <x:v>1221</x:v>
      </x:c>
      <x:c r="AM156" s="55" t="n">
        <x:v>4856</x:v>
      </x:c>
      <x:c r="AN156" s="55" t="n">
        <x:v>3599</x:v>
      </x:c>
      <x:c r="AO156" s="55" t="n">
        <x:v>119</x:v>
      </x:c>
      <x:c r="AP156" s="55" t="n">
        <x:v>2301</x:v>
      </x:c>
      <x:c r="AQ156" s="55" t="n">
        <x:v>947</x:v>
      </x:c>
    </x:row>
    <x:row r="157">
      <x:c r="A157" s="54" t="str">
        <x:v>T0_TABLE_BLOCK</x:v>
      </x:c>
      <x:c r="B157" s="54" t="n">
        <x:v>151</x:v>
      </x:c>
      <x:c r="C157" s="54" t="str">
        <x:v>NYC-V2-R01</x:v>
      </x:c>
      <x:c r="D157" s="54" t="str">
        <x:v>V2</x:v>
      </x:c>
      <x:c r="E157" s="54" t="str">
        <x:v>ADMITTED</x:v>
      </x:c>
      <x:c r="F157" s="55" t="n">
        <x:v>32026</x:v>
      </x:c>
      <x:c r="G157" s="55" t="n">
        <x:v>8271</x:v>
      </x:c>
      <x:c r="H157" s="55" t="n">
        <x:v>3529</x:v>
      </x:c>
      <x:c r="I157" s="55" t="n">
        <x:v>1480</x:v>
      </x:c>
      <x:c r="J157" s="55" t="n">
        <x:v>434</x:v>
      </x:c>
      <x:c r="K157" s="55" t="n">
        <x:v>31456</x:v>
      </x:c>
      <x:c r="L157" s="55" t="n">
        <x:v>6752</x:v>
      </x:c>
      <x:c r="M157" s="55" t="n">
        <x:v>2309</x:v>
      </x:c>
      <x:c r="N157" s="55" t="n">
        <x:v>2731</x:v>
      </x:c>
      <x:c r="O157" s="55" t="n">
        <x:v>1712</x:v>
      </x:c>
      <x:c r="P157" s="55" t="n">
        <x:v>990</x:v>
      </x:c>
      <x:c r="Q157" s="55" t="n">
        <x:v>3295</x:v>
      </x:c>
      <x:c r="R157" s="55" t="n">
        <x:v>1706</x:v>
      </x:c>
      <x:c r="S157" s="55" t="n">
        <x:v>2616</x:v>
      </x:c>
      <x:c r="T157" s="55" t="n">
        <x:v>1472</x:v>
      </x:c>
      <x:c r="U157" s="55" t="n">
        <x:v>2100</x:v>
      </x:c>
      <x:c r="V157" s="55" t="n">
        <x:v>10840</x:v>
      </x:c>
      <x:c r="W157" s="55" t="n">
        <x:v>7913</x:v>
      </x:c>
      <x:c r="X157" s="55" t="n">
        <x:v>2927</x:v>
      </x:c>
      <x:c r="Y157" s="55" t="n">
        <x:v>2556</x:v>
      </x:c>
      <x:c r="Z157" s="55" t="n">
        <x:v>3941</x:v>
      </x:c>
      <x:c r="AA157" s="55" t="n">
        <x:v>2822</x:v>
      </x:c>
      <x:c r="AB157" s="55" t="n">
        <x:v>856</x:v>
      </x:c>
      <x:c r="AC157" s="55" t="n">
        <x:v>8073</x:v>
      </x:c>
      <x:c r="AD157" s="55" t="n">
        <x:v>3173</x:v>
      </x:c>
      <x:c r="AE157" s="55" t="n">
        <x:v>10889</x:v>
      </x:c>
      <x:c r="AF157" s="55" t="n">
        <x:v>10840</x:v>
      </x:c>
      <x:c r="AG157" s="55" t="n">
        <x:v>49</x:v>
      </x:c>
      <x:c r="AH157" s="55" t="n">
        <x:v>398</x:v>
      </x:c>
      <x:c r="AI157" s="55" t="n">
        <x:v>10442</x:v>
      </x:c>
      <x:c r="AJ157" s="55" t="n">
        <x:v>336</x:v>
      </x:c>
      <x:c r="AK157" s="55" t="n">
        <x:v>1372</x:v>
      </x:c>
      <x:c r="AL157" s="55" t="n">
        <x:v>1727</x:v>
      </x:c>
      <x:c r="AM157" s="55" t="n">
        <x:v>4738</x:v>
      </x:c>
      <x:c r="AN157" s="55" t="n">
        <x:v>2667</x:v>
      </x:c>
      <x:c r="AO157" s="55" t="n">
        <x:v>0</x:v>
      </x:c>
      <x:c r="AP157" s="55" t="n">
        <x:v>2368</x:v>
      </x:c>
      <x:c r="AQ157" s="55" t="n">
        <x:v>910</x:v>
      </x:c>
    </x:row>
    <x:row r="158">
      <x:c r="A158" s="54" t="str">
        <x:v>T0_TABLE_BLOCK</x:v>
      </x:c>
      <x:c r="B158" s="54" t="n">
        <x:v>152</x:v>
      </x:c>
      <x:c r="C158" s="54" t="str">
        <x:v>NYC-V2-R01</x:v>
      </x:c>
      <x:c r="D158" s="54" t="str">
        <x:v>V2</x:v>
      </x:c>
      <x:c r="E158" s="54" t="str">
        <x:v>ADMITTED</x:v>
      </x:c>
      <x:c r="F158" s="55" t="n">
        <x:v>31895</x:v>
      </x:c>
      <x:c r="G158" s="55" t="n">
        <x:v>7159</x:v>
      </x:c>
      <x:c r="H158" s="55" t="n">
        <x:v>3549</x:v>
      </x:c>
      <x:c r="I158" s="55" t="n">
        <x:v>904</x:v>
      </x:c>
      <x:c r="J158" s="55" t="n">
        <x:v>280</x:v>
      </x:c>
      <x:c r="K158" s="55" t="n">
        <x:v>31895</x:v>
      </x:c>
      <x:c r="L158" s="55" t="n">
        <x:v>5759</x:v>
      </x:c>
      <x:c r="M158" s="55" t="n">
        <x:v>1451</x:v>
      </x:c>
      <x:c r="N158" s="55" t="n">
        <x:v>2650</x:v>
      </x:c>
      <x:c r="O158" s="55" t="n">
        <x:v>1658</x:v>
      </x:c>
      <x:c r="P158" s="55" t="n">
        <x:v>1031</x:v>
      </x:c>
      <x:c r="Q158" s="55" t="n">
        <x:v>2598</x:v>
      </x:c>
      <x:c r="R158" s="55" t="n">
        <x:v>2351</x:v>
      </x:c>
      <x:c r="S158" s="55" t="n">
        <x:v>2727</x:v>
      </x:c>
      <x:c r="T158" s="55" t="n">
        <x:v>1180</x:v>
      </x:c>
      <x:c r="U158" s="55" t="n">
        <x:v>2328</x:v>
      </x:c>
      <x:c r="V158" s="55" t="n">
        <x:v>10908</x:v>
      </x:c>
      <x:c r="W158" s="55" t="n">
        <x:v>7853</x:v>
      </x:c>
      <x:c r="X158" s="55" t="n">
        <x:v>3055</x:v>
      </x:c>
      <x:c r="Y158" s="55" t="n">
        <x:v>2692</x:v>
      </x:c>
      <x:c r="Z158" s="55" t="n">
        <x:v>4068</x:v>
      </x:c>
      <x:c r="AA158" s="55" t="n">
        <x:v>3549</x:v>
      </x:c>
      <x:c r="AB158" s="55" t="n">
        <x:v>1048</x:v>
      </x:c>
      <x:c r="AC158" s="55" t="n">
        <x:v>8303</x:v>
      </x:c>
      <x:c r="AD158" s="55" t="n">
        <x:v>2909</x:v>
      </x:c>
      <x:c r="AE158" s="55" t="n">
        <x:v>11040</x:v>
      </x:c>
      <x:c r="AF158" s="55" t="n">
        <x:v>10908</x:v>
      </x:c>
      <x:c r="AG158" s="55" t="n">
        <x:v>132</x:v>
      </x:c>
      <x:c r="AH158" s="55" t="n">
        <x:v>251</x:v>
      </x:c>
      <x:c r="AI158" s="55" t="n">
        <x:v>10657</x:v>
      </x:c>
      <x:c r="AJ158" s="55" t="n">
        <x:v>460</x:v>
      </x:c>
      <x:c r="AK158" s="55" t="n">
        <x:v>750</x:v>
      </x:c>
      <x:c r="AL158" s="55" t="n">
        <x:v>2058</x:v>
      </x:c>
      <x:c r="AM158" s="55" t="n">
        <x:v>5119</x:v>
      </x:c>
      <x:c r="AN158" s="55" t="n">
        <x:v>2390</x:v>
      </x:c>
      <x:c r="AO158" s="55" t="n">
        <x:v>131</x:v>
      </x:c>
      <x:c r="AP158" s="55" t="n">
        <x:v>2595</x:v>
      </x:c>
      <x:c r="AQ158" s="55" t="n">
        <x:v>939</x:v>
      </x:c>
    </x:row>
    <x:row r="159">
      <x:c r="A159" s="54" t="str">
        <x:v>T0_TABLE_BLOCK</x:v>
      </x:c>
      <x:c r="B159" s="54" t="n">
        <x:v>153</x:v>
      </x:c>
      <x:c r="C159" s="54" t="str">
        <x:v>NYC-V2-R01</x:v>
      </x:c>
      <x:c r="D159" s="54" t="str">
        <x:v>V2</x:v>
      </x:c>
      <x:c r="E159" s="54" t="str">
        <x:v>ADMITTED</x:v>
      </x:c>
      <x:c r="F159" s="55" t="n">
        <x:v>31615</x:v>
      </x:c>
      <x:c r="G159" s="55" t="n">
        <x:v>8373</x:v>
      </x:c>
      <x:c r="H159" s="55" t="n">
        <x:v>3512</x:v>
      </x:c>
      <x:c r="I159" s="55" t="n">
        <x:v>1412</x:v>
      </x:c>
      <x:c r="J159" s="55" t="n">
        <x:v>312</x:v>
      </x:c>
      <x:c r="K159" s="55" t="n">
        <x:v>31615</x:v>
      </x:c>
      <x:c r="L159" s="55" t="n">
        <x:v>6903</x:v>
      </x:c>
      <x:c r="M159" s="55" t="n">
        <x:v>1647</x:v>
      </x:c>
      <x:c r="N159" s="55" t="n">
        <x:v>2800</x:v>
      </x:c>
      <x:c r="O159" s="55" t="n">
        <x:v>2456</x:v>
      </x:c>
      <x:c r="P159" s="55" t="n">
        <x:v>1064</x:v>
      </x:c>
      <x:c r="Q159" s="55" t="n">
        <x:v>2122</x:v>
      </x:c>
      <x:c r="R159" s="55" t="n">
        <x:v>1655</x:v>
      </x:c>
      <x:c r="S159" s="55" t="n">
        <x:v>1837</x:v>
      </x:c>
      <x:c r="T159" s="55" t="n">
        <x:v>1248</x:v>
      </x:c>
      <x:c r="U159" s="55" t="n">
        <x:v>2186</x:v>
      </x:c>
      <x:c r="V159" s="55" t="n">
        <x:v>10675</x:v>
      </x:c>
      <x:c r="W159" s="55" t="n">
        <x:v>7589</x:v>
      </x:c>
      <x:c r="X159" s="55" t="n">
        <x:v>3086</x:v>
      </x:c>
      <x:c r="Y159" s="55" t="n">
        <x:v>2579</x:v>
      </x:c>
      <x:c r="Z159" s="55" t="n">
        <x:v>3648</x:v>
      </x:c>
      <x:c r="AA159" s="55" t="n">
        <x:v>3512</x:v>
      </x:c>
      <x:c r="AB159" s="55" t="n">
        <x:v>1376</x:v>
      </x:c>
      <x:c r="AC159" s="55" t="n">
        <x:v>7479</x:v>
      </x:c>
      <x:c r="AD159" s="55" t="n">
        <x:v>3064</x:v>
      </x:c>
      <x:c r="AE159" s="55" t="n">
        <x:v>10687</x:v>
      </x:c>
      <x:c r="AF159" s="55" t="n">
        <x:v>10675</x:v>
      </x:c>
      <x:c r="AG159" s="55" t="n">
        <x:v>12</x:v>
      </x:c>
      <x:c r="AH159" s="55" t="n">
        <x:v>317</x:v>
      </x:c>
      <x:c r="AI159" s="55" t="n">
        <x:v>10358</x:v>
      </x:c>
      <x:c r="AJ159" s="55" t="n">
        <x:v>374</x:v>
      </x:c>
      <x:c r="AK159" s="55" t="n">
        <x:v>853</x:v>
      </x:c>
      <x:c r="AL159" s="55" t="n">
        <x:v>1410</x:v>
      </x:c>
      <x:c r="AM159" s="55" t="n">
        <x:v>5380</x:v>
      </x:c>
      <x:c r="AN159" s="55" t="n">
        <x:v>2658</x:v>
      </x:c>
      <x:c r="AO159" s="55" t="n">
        <x:v>0</x:v>
      </x:c>
      <x:c r="AP159" s="55" t="n">
        <x:v>2128</x:v>
      </x:c>
      <x:c r="AQ159" s="55" t="n">
        <x:v>952</x:v>
      </x:c>
    </x:row>
    <x:row r="160">
      <x:c r="A160" s="54" t="str">
        <x:v>T0_TABLE_BLOCK</x:v>
      </x:c>
      <x:c r="B160" s="54" t="n">
        <x:v>154</x:v>
      </x:c>
      <x:c r="C160" s="54" t="str">
        <x:v>NYC-V2-R01</x:v>
      </x:c>
      <x:c r="D160" s="54" t="str">
        <x:v>V2</x:v>
      </x:c>
      <x:c r="E160" s="54" t="str">
        <x:v>ADMITTED</x:v>
      </x:c>
      <x:c r="F160" s="55" t="n">
        <x:v>34621</x:v>
      </x:c>
      <x:c r="G160" s="55" t="n">
        <x:v>9983</x:v>
      </x:c>
      <x:c r="H160" s="55" t="n">
        <x:v>3310</x:v>
      </x:c>
      <x:c r="I160" s="55" t="n">
        <x:v>1279</x:v>
      </x:c>
      <x:c r="J160" s="55" t="n">
        <x:v>258</x:v>
      </x:c>
      <x:c r="K160" s="55" t="n">
        <x:v>31815</x:v>
      </x:c>
      <x:c r="L160" s="55" t="n">
        <x:v>6257</x:v>
      </x:c>
      <x:c r="M160" s="55" t="n">
        <x:v>1651</x:v>
      </x:c>
      <x:c r="N160" s="55" t="n">
        <x:v>2872</x:v>
      </x:c>
      <x:c r="O160" s="55" t="n">
        <x:v>1734</x:v>
      </x:c>
      <x:c r="P160" s="55" t="n">
        <x:v>801</x:v>
      </x:c>
      <x:c r="Q160" s="55" t="n">
        <x:v>2381</x:v>
      </x:c>
      <x:c r="R160" s="55" t="n">
        <x:v>1700</x:v>
      </x:c>
      <x:c r="S160" s="55" t="n">
        <x:v>3117</x:v>
      </x:c>
      <x:c r="T160" s="55" t="n">
        <x:v>1452</x:v>
      </x:c>
      <x:c r="U160" s="55" t="n">
        <x:v>1658</x:v>
      </x:c>
      <x:c r="V160" s="55" t="n">
        <x:v>10510</x:v>
      </x:c>
      <x:c r="W160" s="55" t="n">
        <x:v>7548</x:v>
      </x:c>
      <x:c r="X160" s="55" t="n">
        <x:v>2962</x:v>
      </x:c>
      <x:c r="Y160" s="55" t="n">
        <x:v>2450</x:v>
      </x:c>
      <x:c r="Z160" s="55" t="n">
        <x:v>4319</x:v>
      </x:c>
      <x:c r="AA160" s="55" t="n">
        <x:v>3310</x:v>
      </x:c>
      <x:c r="AB160" s="55" t="n">
        <x:v>1075</x:v>
      </x:c>
      <x:c r="AC160" s="55" t="n">
        <x:v>7863</x:v>
      </x:c>
      <x:c r="AD160" s="55" t="n">
        <x:v>2798</x:v>
      </x:c>
      <x:c r="AE160" s="55" t="n">
        <x:v>10577</x:v>
      </x:c>
      <x:c r="AF160" s="55" t="n">
        <x:v>10510</x:v>
      </x:c>
      <x:c r="AG160" s="55" t="n">
        <x:v>67</x:v>
      </x:c>
      <x:c r="AH160" s="55" t="n">
        <x:v>494</x:v>
      </x:c>
      <x:c r="AI160" s="55" t="n">
        <x:v>10016</x:v>
      </x:c>
      <x:c r="AJ160" s="55" t="n">
        <x:v>146</x:v>
      </x:c>
      <x:c r="AK160" s="55" t="n">
        <x:v>954</x:v>
      </x:c>
      <x:c r="AL160" s="55" t="n">
        <x:v>1510</x:v>
      </x:c>
      <x:c r="AM160" s="55" t="n">
        <x:v>5572</x:v>
      </x:c>
      <x:c r="AN160" s="55" t="n">
        <x:v>2286</x:v>
      </x:c>
      <x:c r="AO160" s="55" t="n">
        <x:v>42</x:v>
      </x:c>
      <x:c r="AP160" s="55" t="n">
        <x:v>2618</x:v>
      </x:c>
      <x:c r="AQ160" s="55" t="n">
        <x:v>957</x:v>
      </x:c>
    </x:row>
    <x:row r="161">
      <x:c r="A161" s="54" t="str">
        <x:v>T0_TABLE_BLOCK</x:v>
      </x:c>
      <x:c r="B161" s="54" t="n">
        <x:v>155</x:v>
      </x:c>
      <x:c r="C161" s="54" t="str">
        <x:v>NYC-V2-R01</x:v>
      </x:c>
      <x:c r="D161" s="54" t="str">
        <x:v>V2</x:v>
      </x:c>
      <x:c r="E161" s="54" t="str">
        <x:v>ADMITTED</x:v>
      </x:c>
      <x:c r="F161" s="55" t="n">
        <x:v>30652</x:v>
      </x:c>
      <x:c r="G161" s="55" t="n">
        <x:v>6867</x:v>
      </x:c>
      <x:c r="H161" s="55" t="n">
        <x:v>3584</x:v>
      </x:c>
      <x:c r="I161" s="55" t="n">
        <x:v>1393</x:v>
      </x:c>
      <x:c r="J161" s="55" t="n">
        <x:v>314</x:v>
      </x:c>
      <x:c r="K161" s="55" t="n">
        <x:v>30652</x:v>
      </x:c>
      <x:c r="L161" s="55" t="n">
        <x:v>7422</x:v>
      </x:c>
      <x:c r="M161" s="55" t="n">
        <x:v>2190</x:v>
      </x:c>
      <x:c r="N161" s="55" t="n">
        <x:v>3229</x:v>
      </x:c>
      <x:c r="O161" s="55" t="n">
        <x:v>2003</x:v>
      </x:c>
      <x:c r="P161" s="55" t="n">
        <x:v>477</x:v>
      </x:c>
      <x:c r="Q161" s="55" t="n">
        <x:v>2169</x:v>
      </x:c>
      <x:c r="R161" s="55" t="n">
        <x:v>2446</x:v>
      </x:c>
      <x:c r="S161" s="55" t="n">
        <x:v>3359</x:v>
      </x:c>
      <x:c r="T161" s="55" t="n">
        <x:v>1101</x:v>
      </x:c>
      <x:c r="U161" s="55" t="n">
        <x:v>1889</x:v>
      </x:c>
      <x:c r="V161" s="55" t="n">
        <x:v>10600</x:v>
      </x:c>
      <x:c r="W161" s="55" t="n">
        <x:v>7336</x:v>
      </x:c>
      <x:c r="X161" s="55" t="n">
        <x:v>3264</x:v>
      </x:c>
      <x:c r="Y161" s="55" t="n">
        <x:v>3017</x:v>
      </x:c>
      <x:c r="Z161" s="55" t="n">
        <x:v>3823</x:v>
      </x:c>
      <x:c r="AA161" s="55" t="n">
        <x:v>3310</x:v>
      </x:c>
      <x:c r="AB161" s="55" t="n">
        <x:v>1245</x:v>
      </x:c>
      <x:c r="AC161" s="55" t="n">
        <x:v>7567</x:v>
      </x:c>
      <x:c r="AD161" s="55" t="n">
        <x:v>2935</x:v>
      </x:c>
      <x:c r="AE161" s="55" t="n">
        <x:v>10705</x:v>
      </x:c>
      <x:c r="AF161" s="55" t="n">
        <x:v>10600</x:v>
      </x:c>
      <x:c r="AG161" s="55" t="n">
        <x:v>105</x:v>
      </x:c>
      <x:c r="AH161" s="55" t="n">
        <x:v>278</x:v>
      </x:c>
      <x:c r="AI161" s="55" t="n">
        <x:v>10322</x:v>
      </x:c>
      <x:c r="AJ161" s="55" t="n">
        <x:v>516</x:v>
      </x:c>
      <x:c r="AK161" s="55" t="n">
        <x:v>783</x:v>
      </x:c>
      <x:c r="AL161" s="55" t="n">
        <x:v>1233</x:v>
      </x:c>
      <x:c r="AM161" s="55" t="n">
        <x:v>5310</x:v>
      </x:c>
      <x:c r="AN161" s="55" t="n">
        <x:v>2721</x:v>
      </x:c>
      <x:c r="AO161" s="55" t="n">
        <x:v>37</x:v>
      </x:c>
      <x:c r="AP161" s="55" t="n">
        <x:v>2476</x:v>
      </x:c>
      <x:c r="AQ161" s="55" t="n">
        <x:v>912</x:v>
      </x:c>
    </x:row>
    <x:row r="162">
      <x:c r="A162" s="54" t="str">
        <x:v>T0_TABLE_BLOCK</x:v>
      </x:c>
      <x:c r="B162" s="54" t="n">
        <x:v>156</x:v>
      </x:c>
      <x:c r="C162" s="54" t="str">
        <x:v>NYC-V2-R01</x:v>
      </x:c>
      <x:c r="D162" s="54" t="str">
        <x:v>V2</x:v>
      </x:c>
      <x:c r="E162" s="54" t="str">
        <x:v>ADMITTED</x:v>
      </x:c>
      <x:c r="F162" s="55" t="n">
        <x:v>31572</x:v>
      </x:c>
      <x:c r="G162" s="55" t="n">
        <x:v>8517</x:v>
      </x:c>
      <x:c r="H162" s="55" t="n">
        <x:v>3333</x:v>
      </x:c>
      <x:c r="I162" s="55" t="n">
        <x:v>915</x:v>
      </x:c>
      <x:c r="J162" s="55" t="n">
        <x:v>138</x:v>
      </x:c>
      <x:c r="K162" s="55" t="n">
        <x:v>31572</x:v>
      </x:c>
      <x:c r="L162" s="55" t="n">
        <x:v>5549</x:v>
      </x:c>
      <x:c r="M162" s="55" t="n">
        <x:v>506</x:v>
      </x:c>
      <x:c r="N162" s="55" t="n">
        <x:v>3177</x:v>
      </x:c>
      <x:c r="O162" s="55" t="n">
        <x:v>1866</x:v>
      </x:c>
      <x:c r="P162" s="55" t="n">
        <x:v>813</x:v>
      </x:c>
      <x:c r="Q162" s="55" t="n">
        <x:v>2348</x:v>
      </x:c>
      <x:c r="R162" s="55" t="n">
        <x:v>2128</x:v>
      </x:c>
      <x:c r="S162" s="55" t="n">
        <x:v>2116</x:v>
      </x:c>
      <x:c r="T162" s="55" t="n">
        <x:v>1244</x:v>
      </x:c>
      <x:c r="U162" s="55" t="n">
        <x:v>1566</x:v>
      </x:c>
      <x:c r="V162" s="55" t="n">
        <x:v>11115</x:v>
      </x:c>
      <x:c r="W162" s="55" t="n">
        <x:v>7876</x:v>
      </x:c>
      <x:c r="X162" s="55" t="n">
        <x:v>3239</x:v>
      </x:c>
      <x:c r="Y162" s="55" t="n">
        <x:v>2866</x:v>
      </x:c>
      <x:c r="Z162" s="55" t="n">
        <x:v>4315</x:v>
      </x:c>
      <x:c r="AA162" s="55" t="n">
        <x:v>3333</x:v>
      </x:c>
      <x:c r="AB162" s="55" t="n">
        <x:v>950</x:v>
      </x:c>
      <x:c r="AC162" s="55" t="n">
        <x:v>8129</x:v>
      </x:c>
      <x:c r="AD162" s="55" t="n">
        <x:v>3051</x:v>
      </x:c>
      <x:c r="AE162" s="55" t="n">
        <x:v>11167</x:v>
      </x:c>
      <x:c r="AF162" s="55" t="n">
        <x:v>11115</x:v>
      </x:c>
      <x:c r="AG162" s="55" t="n">
        <x:v>52</x:v>
      </x:c>
      <x:c r="AH162" s="55" t="n">
        <x:v>471</x:v>
      </x:c>
      <x:c r="AI162" s="55" t="n">
        <x:v>10644</x:v>
      </x:c>
      <x:c r="AJ162" s="55" t="n">
        <x:v>204</x:v>
      </x:c>
      <x:c r="AK162" s="55" t="n">
        <x:v>1214</x:v>
      </x:c>
      <x:c r="AL162" s="55" t="n">
        <x:v>1869</x:v>
      </x:c>
      <x:c r="AM162" s="55" t="n">
        <x:v>5117</x:v>
      </x:c>
      <x:c r="AN162" s="55" t="n">
        <x:v>2691</x:v>
      </x:c>
      <x:c r="AO162" s="55" t="n">
        <x:v>20</x:v>
      </x:c>
      <x:c r="AP162" s="55" t="n">
        <x:v>2470</x:v>
      </x:c>
      <x:c r="AQ162" s="55" t="n">
        <x:v>928</x:v>
      </x:c>
    </x:row>
    <x:row r="163">
      <x:c r="A163" s="54" t="str">
        <x:v>T0_TABLE_BLOCK</x:v>
      </x:c>
      <x:c r="B163" s="54" t="n">
        <x:v>157</x:v>
      </x:c>
      <x:c r="C163" s="54" t="str">
        <x:v>NYC-V2-R01</x:v>
      </x:c>
      <x:c r="D163" s="54" t="str">
        <x:v>V2</x:v>
      </x:c>
      <x:c r="E163" s="54" t="str">
        <x:v>ADMITTED</x:v>
      </x:c>
      <x:c r="F163" s="55" t="n">
        <x:v>30830</x:v>
      </x:c>
      <x:c r="G163" s="55" t="n">
        <x:v>6917</x:v>
      </x:c>
      <x:c r="H163" s="55" t="n">
        <x:v>3633</x:v>
      </x:c>
      <x:c r="I163" s="55" t="n">
        <x:v>1577</x:v>
      </x:c>
      <x:c r="J163" s="55" t="n">
        <x:v>448</x:v>
      </x:c>
      <x:c r="K163" s="55" t="n">
        <x:v>28379</x:v>
      </x:c>
      <x:c r="L163" s="55" t="n">
        <x:v>5243</x:v>
      </x:c>
      <x:c r="M163" s="55" t="n">
        <x:v>748</x:v>
      </x:c>
      <x:c r="N163" s="55" t="n">
        <x:v>2354</x:v>
      </x:c>
      <x:c r="O163" s="55" t="n">
        <x:v>2141</x:v>
      </x:c>
      <x:c r="P163" s="55" t="n">
        <x:v>634</x:v>
      </x:c>
      <x:c r="Q163" s="55" t="n">
        <x:v>2430</x:v>
      </x:c>
      <x:c r="R163" s="55" t="n">
        <x:v>1808</x:v>
      </x:c>
      <x:c r="S163" s="55" t="n">
        <x:v>2973</x:v>
      </x:c>
      <x:c r="T163" s="55" t="n">
        <x:v>1720</x:v>
      </x:c>
      <x:c r="U163" s="55" t="n">
        <x:v>2294</x:v>
      </x:c>
      <x:c r="V163" s="55" t="n">
        <x:v>11037</x:v>
      </x:c>
      <x:c r="W163" s="55" t="n">
        <x:v>8125</x:v>
      </x:c>
      <x:c r="X163" s="55" t="n">
        <x:v>2912</x:v>
      </x:c>
      <x:c r="Y163" s="55" t="n">
        <x:v>2710</x:v>
      </x:c>
      <x:c r="Z163" s="55" t="n">
        <x:v>3690</x:v>
      </x:c>
      <x:c r="AA163" s="55" t="n">
        <x:v>3353</x:v>
      </x:c>
      <x:c r="AB163" s="55" t="n">
        <x:v>1073</x:v>
      </x:c>
      <x:c r="AC163" s="55" t="n">
        <x:v>7955</x:v>
      </x:c>
      <x:c r="AD163" s="55" t="n">
        <x:v>2917</x:v>
      </x:c>
      <x:c r="AE163" s="55" t="n">
        <x:v>11124</x:v>
      </x:c>
      <x:c r="AF163" s="55" t="n">
        <x:v>11037</x:v>
      </x:c>
      <x:c r="AG163" s="55" t="n">
        <x:v>87</x:v>
      </x:c>
      <x:c r="AH163" s="55" t="n">
        <x:v>529</x:v>
      </x:c>
      <x:c r="AI163" s="55" t="n">
        <x:v>10508</x:v>
      </x:c>
      <x:c r="AJ163" s="55" t="n">
        <x:v>232</x:v>
      </x:c>
      <x:c r="AK163" s="55" t="n">
        <x:v>950</x:v>
      </x:c>
      <x:c r="AL163" s="55" t="n">
        <x:v>1399</x:v>
      </x:c>
      <x:c r="AM163" s="55" t="n">
        <x:v>5087</x:v>
      </x:c>
      <x:c r="AN163" s="55" t="n">
        <x:v>3347</x:v>
      </x:c>
      <x:c r="AO163" s="55" t="n">
        <x:v>22</x:v>
      </x:c>
      <x:c r="AP163" s="55" t="n">
        <x:v>2422</x:v>
      </x:c>
      <x:c r="AQ163" s="55" t="n">
        <x:v>983</x:v>
      </x:c>
    </x:row>
    <x:row r="164">
      <x:c r="A164" s="54" t="str">
        <x:v>T0_TABLE_BLOCK</x:v>
      </x:c>
      <x:c r="B164" s="54" t="n">
        <x:v>158</x:v>
      </x:c>
      <x:c r="C164" s="54" t="str">
        <x:v>NYC-V2-R01</x:v>
      </x:c>
      <x:c r="D164" s="54" t="str">
        <x:v>V2</x:v>
      </x:c>
      <x:c r="E164" s="54" t="str">
        <x:v>ADMITTED</x:v>
      </x:c>
      <x:c r="F164" s="55" t="n">
        <x:v>30637</x:v>
      </x:c>
      <x:c r="G164" s="55" t="n">
        <x:v>8021</x:v>
      </x:c>
      <x:c r="H164" s="55" t="n">
        <x:v>3202</x:v>
      </x:c>
      <x:c r="I164" s="55" t="n">
        <x:v>876</x:v>
      </x:c>
      <x:c r="J164" s="55" t="n">
        <x:v>41</x:v>
      </x:c>
      <x:c r="K164" s="55" t="n">
        <x:v>28956</x:v>
      </x:c>
      <x:c r="L164" s="55" t="n">
        <x:v>4114</x:v>
      </x:c>
      <x:c r="M164" s="55" t="n">
        <x:v>0</x:v>
      </x:c>
      <x:c r="N164" s="55" t="n">
        <x:v>2336</x:v>
      </x:c>
      <x:c r="O164" s="55" t="n">
        <x:v>1778</x:v>
      </x:c>
      <x:c r="P164" s="55" t="n">
        <x:v>969</x:v>
      </x:c>
      <x:c r="Q164" s="55" t="n">
        <x:v>3360</x:v>
      </x:c>
      <x:c r="R164" s="55" t="n">
        <x:v>1940</x:v>
      </x:c>
      <x:c r="S164" s="55" t="n">
        <x:v>2895</x:v>
      </x:c>
      <x:c r="T164" s="55" t="n">
        <x:v>899</x:v>
      </x:c>
      <x:c r="U164" s="55" t="n">
        <x:v>1587</x:v>
      </x:c>
      <x:c r="V164" s="55" t="n">
        <x:v>10915</x:v>
      </x:c>
      <x:c r="W164" s="55" t="n">
        <x:v>8046</x:v>
      </x:c>
      <x:c r="X164" s="55" t="n">
        <x:v>2869</x:v>
      </x:c>
      <x:c r="Y164" s="55" t="n">
        <x:v>2453</x:v>
      </x:c>
      <x:c r="Z164" s="55" t="n">
        <x:v>3663</x:v>
      </x:c>
      <x:c r="AA164" s="55" t="n">
        <x:v>3202</x:v>
      </x:c>
      <x:c r="AB164" s="55" t="n">
        <x:v>1329</x:v>
      </x:c>
      <x:c r="AC164" s="55" t="n">
        <x:v>7686</x:v>
      </x:c>
      <x:c r="AD164" s="55" t="n">
        <x:v>2890</x:v>
      </x:c>
      <x:c r="AE164" s="55" t="n">
        <x:v>10961</x:v>
      </x:c>
      <x:c r="AF164" s="55" t="n">
        <x:v>10915</x:v>
      </x:c>
      <x:c r="AG164" s="55" t="n">
        <x:v>46</x:v>
      </x:c>
      <x:c r="AH164" s="55" t="n">
        <x:v>470</x:v>
      </x:c>
      <x:c r="AI164" s="55" t="n">
        <x:v>10445</x:v>
      </x:c>
      <x:c r="AJ164" s="55" t="n">
        <x:v>303</x:v>
      </x:c>
      <x:c r="AK164" s="55" t="n">
        <x:v>1555</x:v>
      </x:c>
      <x:c r="AL164" s="55" t="n">
        <x:v>1068</x:v>
      </x:c>
      <x:c r="AM164" s="55" t="n">
        <x:v>5297</x:v>
      </x:c>
      <x:c r="AN164" s="55" t="n">
        <x:v>2660</x:v>
      </x:c>
      <x:c r="AO164" s="55" t="n">
        <x:v>32</x:v>
      </x:c>
      <x:c r="AP164" s="55" t="n">
        <x:v>1843</x:v>
      </x:c>
      <x:c r="AQ164" s="55" t="n">
        <x:v>907</x:v>
      </x:c>
    </x:row>
    <x:row r="165">
      <x:c r="A165" s="54" t="str">
        <x:v>T0_TABLE_BLOCK</x:v>
      </x:c>
      <x:c r="B165" s="54" t="n">
        <x:v>159</x:v>
      </x:c>
      <x:c r="C165" s="54" t="str">
        <x:v>NYC-V2-R01</x:v>
      </x:c>
      <x:c r="D165" s="54" t="str">
        <x:v>V2</x:v>
      </x:c>
      <x:c r="E165" s="54" t="str">
        <x:v>ADMITTED</x:v>
      </x:c>
      <x:c r="F165" s="55" t="n">
        <x:v>28705</x:v>
      </x:c>
      <x:c r="G165" s="55" t="n">
        <x:v>6891</x:v>
      </x:c>
      <x:c r="H165" s="55" t="n">
        <x:v>3255</x:v>
      </x:c>
      <x:c r="I165" s="55" t="n">
        <x:v>1319</x:v>
      </x:c>
      <x:c r="J165" s="55" t="n">
        <x:v>198</x:v>
      </x:c>
      <x:c r="K165" s="55" t="n">
        <x:v>28077</x:v>
      </x:c>
      <x:c r="L165" s="55" t="n">
        <x:v>5074</x:v>
      </x:c>
      <x:c r="M165" s="55" t="n">
        <x:v>1250</x:v>
      </x:c>
      <x:c r="N165" s="55" t="n">
        <x:v>2330</x:v>
      </x:c>
      <x:c r="O165" s="55" t="n">
        <x:v>1494</x:v>
      </x:c>
      <x:c r="P165" s="55" t="n">
        <x:v>622</x:v>
      </x:c>
      <x:c r="Q165" s="55" t="n">
        <x:v>2642</x:v>
      </x:c>
      <x:c r="R165" s="55" t="n">
        <x:v>1379</x:v>
      </x:c>
      <x:c r="S165" s="55" t="n">
        <x:v>3324</x:v>
      </x:c>
      <x:c r="T165" s="55" t="n">
        <x:v>996</x:v>
      </x:c>
      <x:c r="U165" s="55" t="n">
        <x:v>2133</x:v>
      </x:c>
      <x:c r="V165" s="55" t="n">
        <x:v>10437</x:v>
      </x:c>
      <x:c r="W165" s="55" t="n">
        <x:v>7922</x:v>
      </x:c>
      <x:c r="X165" s="55" t="n">
        <x:v>2515</x:v>
      </x:c>
      <x:c r="Y165" s="55" t="n">
        <x:v>2265</x:v>
      </x:c>
      <x:c r="Z165" s="55" t="n">
        <x:v>3431</x:v>
      </x:c>
      <x:c r="AA165" s="55" t="n">
        <x:v>2849</x:v>
      </x:c>
      <x:c r="AB165" s="55" t="n">
        <x:v>1223</x:v>
      </x:c>
      <x:c r="AC165" s="55" t="n">
        <x:v>7440</x:v>
      </x:c>
      <x:c r="AD165" s="55" t="n">
        <x:v>3223</x:v>
      </x:c>
      <x:c r="AE165" s="55" t="n">
        <x:v>10601</x:v>
      </x:c>
      <x:c r="AF165" s="55" t="n">
        <x:v>10437</x:v>
      </x:c>
      <x:c r="AG165" s="55" t="n">
        <x:v>164</x:v>
      </x:c>
      <x:c r="AH165" s="55" t="n">
        <x:v>436</x:v>
      </x:c>
      <x:c r="AI165" s="55" t="n">
        <x:v>10001</x:v>
      </x:c>
      <x:c r="AJ165" s="55" t="n">
        <x:v>370</x:v>
      </x:c>
      <x:c r="AK165" s="55" t="n">
        <x:v>1011</x:v>
      </x:c>
      <x:c r="AL165" s="55" t="n">
        <x:v>1732</x:v>
      </x:c>
      <x:c r="AM165" s="55" t="n">
        <x:v>4754</x:v>
      </x:c>
      <x:c r="AN165" s="55" t="n">
        <x:v>2570</x:v>
      </x:c>
      <x:c r="AO165" s="55" t="n">
        <x:v>0</x:v>
      </x:c>
      <x:c r="AP165" s="55" t="n">
        <x:v>2169</x:v>
      </x:c>
      <x:c r="AQ165" s="55" t="n">
        <x:v>969</x:v>
      </x:c>
    </x:row>
    <x:row r="166">
      <x:c r="A166" s="54" t="str">
        <x:v>T0_TABLE_BLOCK</x:v>
      </x:c>
      <x:c r="B166" s="54" t="n">
        <x:v>160</x:v>
      </x:c>
      <x:c r="C166" s="54" t="str">
        <x:v>NYC-V2-R01</x:v>
      </x:c>
      <x:c r="D166" s="54" t="str">
        <x:v>V2</x:v>
      </x:c>
      <x:c r="E166" s="54" t="str">
        <x:v>ADMITTED</x:v>
      </x:c>
      <x:c r="F166" s="55" t="n">
        <x:v>29727</x:v>
      </x:c>
      <x:c r="G166" s="55" t="n">
        <x:v>7171</x:v>
      </x:c>
      <x:c r="H166" s="55" t="n">
        <x:v>3476</x:v>
      </x:c>
      <x:c r="I166" s="55" t="n">
        <x:v>1116</x:v>
      </x:c>
      <x:c r="J166" s="55" t="n">
        <x:v>290</x:v>
      </x:c>
      <x:c r="K166" s="55" t="n">
        <x:v>29727</x:v>
      </x:c>
      <x:c r="L166" s="55" t="n">
        <x:v>6050</x:v>
      </x:c>
      <x:c r="M166" s="55" t="n">
        <x:v>1041</x:v>
      </x:c>
      <x:c r="N166" s="55" t="n">
        <x:v>3253</x:v>
      </x:c>
      <x:c r="O166" s="55" t="n">
        <x:v>1756</x:v>
      </x:c>
      <x:c r="P166" s="55" t="n">
        <x:v>647</x:v>
      </x:c>
      <x:c r="Q166" s="55" t="n">
        <x:v>2401</x:v>
      </x:c>
      <x:c r="R166" s="55" t="n">
        <x:v>2026</x:v>
      </x:c>
      <x:c r="S166" s="55" t="n">
        <x:v>2666</x:v>
      </x:c>
      <x:c r="T166" s="55" t="n">
        <x:v>757</x:v>
      </x:c>
      <x:c r="U166" s="55" t="n">
        <x:v>2596</x:v>
      </x:c>
      <x:c r="V166" s="55" t="n">
        <x:v>10425</x:v>
      </x:c>
      <x:c r="W166" s="55" t="n">
        <x:v>6710</x:v>
      </x:c>
      <x:c r="X166" s="55" t="n">
        <x:v>3715</x:v>
      </x:c>
      <x:c r="Y166" s="55" t="n">
        <x:v>3367</x:v>
      </x:c>
      <x:c r="Z166" s="55" t="n">
        <x:v>3757</x:v>
      </x:c>
      <x:c r="AA166" s="55" t="n">
        <x:v>2910</x:v>
      </x:c>
      <x:c r="AB166" s="55" t="n">
        <x:v>915</x:v>
      </x:c>
      <x:c r="AC166" s="55" t="n">
        <x:v>8043</x:v>
      </x:c>
      <x:c r="AD166" s="55" t="n">
        <x:v>2947</x:v>
      </x:c>
      <x:c r="AE166" s="55" t="n">
        <x:v>10500</x:v>
      </x:c>
      <x:c r="AF166" s="55" t="n">
        <x:v>10425</x:v>
      </x:c>
      <x:c r="AG166" s="55" t="n">
        <x:v>75</x:v>
      </x:c>
      <x:c r="AH166" s="55" t="n">
        <x:v>473</x:v>
      </x:c>
      <x:c r="AI166" s="55" t="n">
        <x:v>9952</x:v>
      </x:c>
      <x:c r="AJ166" s="55" t="n">
        <x:v>366</x:v>
      </x:c>
      <x:c r="AK166" s="55" t="n">
        <x:v>1097</x:v>
      </x:c>
      <x:c r="AL166" s="55" t="n">
        <x:v>1568</x:v>
      </x:c>
      <x:c r="AM166" s="55" t="n">
        <x:v>4727</x:v>
      </x:c>
      <x:c r="AN166" s="55" t="n">
        <x:v>2667</x:v>
      </x:c>
      <x:c r="AO166" s="55" t="n">
        <x:v>0</x:v>
      </x:c>
      <x:c r="AP166" s="55" t="n">
        <x:v>2622</x:v>
      </x:c>
      <x:c r="AQ166" s="55" t="n">
        <x:v>966</x:v>
      </x:c>
    </x:row>
    <x:row r="167">
      <x:c r="A167" s="54" t="str">
        <x:v>T0_TABLE_BLOCK</x:v>
      </x:c>
      <x:c r="B167" s="54" t="n">
        <x:v>161</x:v>
      </x:c>
      <x:c r="C167" s="54" t="str">
        <x:v>NYC-V2-R01</x:v>
      </x:c>
      <x:c r="D167" s="54" t="str">
        <x:v>V2</x:v>
      </x:c>
      <x:c r="E167" s="54" t="str">
        <x:v>ADMITTED</x:v>
      </x:c>
      <x:c r="F167" s="55" t="n">
        <x:v>31777</x:v>
      </x:c>
      <x:c r="G167" s="55" t="n">
        <x:v>9022</x:v>
      </x:c>
      <x:c r="H167" s="55" t="n">
        <x:v>2850</x:v>
      </x:c>
      <x:c r="I167" s="55" t="n">
        <x:v>1489</x:v>
      </x:c>
      <x:c r="J167" s="55" t="n">
        <x:v>178</x:v>
      </x:c>
      <x:c r="K167" s="55" t="n">
        <x:v>29179</x:v>
      </x:c>
      <x:c r="L167" s="55" t="n">
        <x:v>6750</x:v>
      </x:c>
      <x:c r="M167" s="55" t="n">
        <x:v>2093</x:v>
      </x:c>
      <x:c r="N167" s="55" t="n">
        <x:v>2611</x:v>
      </x:c>
      <x:c r="O167" s="55" t="n">
        <x:v>2046</x:v>
      </x:c>
      <x:c r="P167" s="55" t="n">
        <x:v>612</x:v>
      </x:c>
      <x:c r="Q167" s="55" t="n">
        <x:v>2143</x:v>
      </x:c>
      <x:c r="R167" s="55" t="n">
        <x:v>2152</x:v>
      </x:c>
      <x:c r="S167" s="55" t="n">
        <x:v>2861</x:v>
      </x:c>
      <x:c r="T167" s="55" t="n">
        <x:v>1345</x:v>
      </x:c>
      <x:c r="U167" s="55" t="n">
        <x:v>1852</x:v>
      </x:c>
      <x:c r="V167" s="55" t="n">
        <x:v>10417</x:v>
      </x:c>
      <x:c r="W167" s="55" t="n">
        <x:v>7128</x:v>
      </x:c>
      <x:c r="X167" s="55" t="n">
        <x:v>3289</x:v>
      </x:c>
      <x:c r="Y167" s="55" t="n">
        <x:v>3039</x:v>
      </x:c>
      <x:c r="Z167" s="55" t="n">
        <x:v>3543</x:v>
      </x:c>
      <x:c r="AA167" s="55" t="n">
        <x:v>2371</x:v>
      </x:c>
      <x:c r="AB167" s="55" t="n">
        <x:v>1022</x:v>
      </x:c>
      <x:c r="AC167" s="55" t="n">
        <x:v>8255</x:v>
      </x:c>
      <x:c r="AD167" s="55" t="n">
        <x:v>2583</x:v>
      </x:c>
      <x:c r="AE167" s="55" t="n">
        <x:v>10454</x:v>
      </x:c>
      <x:c r="AF167" s="55" t="n">
        <x:v>10417</x:v>
      </x:c>
      <x:c r="AG167" s="55" t="n">
        <x:v>37</x:v>
      </x:c>
      <x:c r="AH167" s="55" t="n">
        <x:v>456</x:v>
      </x:c>
      <x:c r="AI167" s="55" t="n">
        <x:v>9961</x:v>
      </x:c>
      <x:c r="AJ167" s="55" t="n">
        <x:v>256</x:v>
      </x:c>
      <x:c r="AK167" s="55" t="n">
        <x:v>1046</x:v>
      </x:c>
      <x:c r="AL167" s="55" t="n">
        <x:v>1410</x:v>
      </x:c>
      <x:c r="AM167" s="55" t="n">
        <x:v>5081</x:v>
      </x:c>
      <x:c r="AN167" s="55" t="n">
        <x:v>2566</x:v>
      </x:c>
      <x:c r="AO167" s="55" t="n">
        <x:v>58</x:v>
      </x:c>
      <x:c r="AP167" s="55" t="n">
        <x:v>2506</x:v>
      </x:c>
      <x:c r="AQ167" s="55" t="n">
        <x:v>937</x:v>
      </x:c>
    </x:row>
    <x:row r="168">
      <x:c r="A168" s="54" t="str">
        <x:v>T0_TABLE_BLOCK</x:v>
      </x:c>
      <x:c r="B168" s="54" t="n">
        <x:v>162</x:v>
      </x:c>
      <x:c r="C168" s="54" t="str">
        <x:v>NYC-V2-R01</x:v>
      </x:c>
      <x:c r="D168" s="54" t="str">
        <x:v>V2</x:v>
      </x:c>
      <x:c r="E168" s="54" t="str">
        <x:v>ADMITTED</x:v>
      </x:c>
      <x:c r="F168" s="55" t="n">
        <x:v>30284</x:v>
      </x:c>
      <x:c r="G168" s="55" t="n">
        <x:v>7575</x:v>
      </x:c>
      <x:c r="H168" s="55" t="n">
        <x:v>3101</x:v>
      </x:c>
      <x:c r="I168" s="55" t="n">
        <x:v>1434</x:v>
      </x:c>
      <x:c r="J168" s="55" t="n">
        <x:v>186</x:v>
      </x:c>
      <x:c r="K168" s="55" t="n">
        <x:v>29687</x:v>
      </x:c>
      <x:c r="L168" s="55" t="n">
        <x:v>6026</x:v>
      </x:c>
      <x:c r="M168" s="55" t="n">
        <x:v>1759</x:v>
      </x:c>
      <x:c r="N168" s="55" t="n">
        <x:v>2335</x:v>
      </x:c>
      <x:c r="O168" s="55" t="n">
        <x:v>1932</x:v>
      </x:c>
      <x:c r="P168" s="55" t="n">
        <x:v>983</x:v>
      </x:c>
      <x:c r="Q168" s="55" t="n">
        <x:v>2448</x:v>
      </x:c>
      <x:c r="R168" s="55" t="n">
        <x:v>2323</x:v>
      </x:c>
      <x:c r="S168" s="55" t="n">
        <x:v>2542</x:v>
      </x:c>
      <x:c r="T168" s="55" t="n">
        <x:v>620</x:v>
      </x:c>
      <x:c r="U168" s="55" t="n">
        <x:v>1790</x:v>
      </x:c>
      <x:c r="V168" s="55" t="n">
        <x:v>10195</x:v>
      </x:c>
      <x:c r="W168" s="55" t="n">
        <x:v>7071</x:v>
      </x:c>
      <x:c r="X168" s="55" t="n">
        <x:v>3124</x:v>
      </x:c>
      <x:c r="Y168" s="55" t="n">
        <x:v>2802</x:v>
      </x:c>
      <x:c r="Z168" s="55" t="n">
        <x:v>3862</x:v>
      </x:c>
      <x:c r="AA168" s="55" t="n">
        <x:v>2577</x:v>
      </x:c>
      <x:c r="AB168" s="55" t="n">
        <x:v>854</x:v>
      </x:c>
      <x:c r="AC168" s="55" t="n">
        <x:v>8497</x:v>
      </x:c>
      <x:c r="AD168" s="55" t="n">
        <x:v>3093</x:v>
      </x:c>
      <x:c r="AE168" s="55" t="n">
        <x:v>10311</x:v>
      </x:c>
      <x:c r="AF168" s="55" t="n">
        <x:v>10195</x:v>
      </x:c>
      <x:c r="AG168" s="55" t="n">
        <x:v>116</x:v>
      </x:c>
      <x:c r="AH168" s="55" t="n">
        <x:v>593</x:v>
      </x:c>
      <x:c r="AI168" s="55" t="n">
        <x:v>9602</x:v>
      </x:c>
      <x:c r="AJ168" s="55" t="n">
        <x:v>291</x:v>
      </x:c>
      <x:c r="AK168" s="55" t="n">
        <x:v>684</x:v>
      </x:c>
      <x:c r="AL168" s="55" t="n">
        <x:v>1371</x:v>
      </x:c>
      <x:c r="AM168" s="55" t="n">
        <x:v>5089</x:v>
      </x:c>
      <x:c r="AN168" s="55" t="n">
        <x:v>2735</x:v>
      </x:c>
      <x:c r="AO168" s="55" t="n">
        <x:v>25</x:v>
      </x:c>
      <x:c r="AP168" s="55" t="n">
        <x:v>2286</x:v>
      </x:c>
      <x:c r="AQ168" s="55" t="n">
        <x:v>918</x:v>
      </x:c>
    </x:row>
    <x:row r="169">
      <x:c r="A169" s="54" t="str">
        <x:v>T0_TABLE_BLOCK</x:v>
      </x:c>
      <x:c r="B169" s="54" t="n">
        <x:v>163</x:v>
      </x:c>
      <x:c r="C169" s="54" t="str">
        <x:v>NYC-V2-R01</x:v>
      </x:c>
      <x:c r="D169" s="54" t="str">
        <x:v>V2</x:v>
      </x:c>
      <x:c r="E169" s="54" t="str">
        <x:v>ADMITTED</x:v>
      </x:c>
      <x:c r="F169" s="55" t="n">
        <x:v>33175</x:v>
      </x:c>
      <x:c r="G169" s="55" t="n">
        <x:v>7830</x:v>
      </x:c>
      <x:c r="H169" s="55" t="n">
        <x:v>3662</x:v>
      </x:c>
      <x:c r="I169" s="55" t="n">
        <x:v>1096</x:v>
      </x:c>
      <x:c r="J169" s="55" t="n">
        <x:v>207</x:v>
      </x:c>
      <x:c r="K169" s="55" t="n">
        <x:v>30759</x:v>
      </x:c>
      <x:c r="L169" s="55" t="n">
        <x:v>5205</x:v>
      </x:c>
      <x:c r="M169" s="55" t="n">
        <x:v>1018</x:v>
      </x:c>
      <x:c r="N169" s="55" t="n">
        <x:v>2481</x:v>
      </x:c>
      <x:c r="O169" s="55" t="n">
        <x:v>1706</x:v>
      </x:c>
      <x:c r="P169" s="55" t="n">
        <x:v>1482</x:v>
      </x:c>
      <x:c r="Q169" s="55" t="n">
        <x:v>2291</x:v>
      </x:c>
      <x:c r="R169" s="55" t="n">
        <x:v>1452</x:v>
      </x:c>
      <x:c r="S169" s="55" t="n">
        <x:v>2006</x:v>
      </x:c>
      <x:c r="T169" s="55" t="n">
        <x:v>1121</x:v>
      </x:c>
      <x:c r="U169" s="55" t="n">
        <x:v>2226</x:v>
      </x:c>
      <x:c r="V169" s="55" t="n">
        <x:v>10271</x:v>
      </x:c>
      <x:c r="W169" s="55" t="n">
        <x:v>7112</x:v>
      </x:c>
      <x:c r="X169" s="55" t="n">
        <x:v>3159</x:v>
      </x:c>
      <x:c r="Y169" s="55" t="n">
        <x:v>2861</x:v>
      </x:c>
      <x:c r="Z169" s="55" t="n">
        <x:v>3752</x:v>
      </x:c>
      <x:c r="AA169" s="55" t="n">
        <x:v>3662</x:v>
      </x:c>
      <x:c r="AB169" s="55" t="n">
        <x:v>1479</x:v>
      </x:c>
      <x:c r="AC169" s="55" t="n">
        <x:v>7891</x:v>
      </x:c>
      <x:c r="AD169" s="55" t="n">
        <x:v>2987</x:v>
      </x:c>
      <x:c r="AE169" s="55" t="n">
        <x:v>10350</x:v>
      </x:c>
      <x:c r="AF169" s="55" t="n">
        <x:v>10271</x:v>
      </x:c>
      <x:c r="AG169" s="55" t="n">
        <x:v>79</x:v>
      </x:c>
      <x:c r="AH169" s="55" t="n">
        <x:v>481</x:v>
      </x:c>
      <x:c r="AI169" s="55" t="n">
        <x:v>9790</x:v>
      </x:c>
      <x:c r="AJ169" s="55" t="n">
        <x:v>552</x:v>
      </x:c>
      <x:c r="AK169" s="55" t="n">
        <x:v>655</x:v>
      </x:c>
      <x:c r="AL169" s="55" t="n">
        <x:v>1529</x:v>
      </x:c>
      <x:c r="AM169" s="55" t="n">
        <x:v>4816</x:v>
      </x:c>
      <x:c r="AN169" s="55" t="n">
        <x:v>2709</x:v>
      </x:c>
      <x:c r="AO169" s="55" t="n">
        <x:v>10</x:v>
      </x:c>
      <x:c r="AP169" s="55" t="n">
        <x:v>2545</x:v>
      </x:c>
      <x:c r="AQ169" s="55" t="n">
        <x:v>970</x:v>
      </x:c>
    </x:row>
    <x:row r="170">
      <x:c r="A170" s="54" t="str">
        <x:v>T0_TABLE_BLOCK</x:v>
      </x:c>
      <x:c r="B170" s="54" t="n">
        <x:v>164</x:v>
      </x:c>
      <x:c r="C170" s="54" t="str">
        <x:v>NYC-V2-R01</x:v>
      </x:c>
      <x:c r="D170" s="54" t="str">
        <x:v>V2</x:v>
      </x:c>
      <x:c r="E170" s="54" t="str">
        <x:v>ADMITTED</x:v>
      </x:c>
      <x:c r="F170" s="55" t="n">
        <x:v>30635</x:v>
      </x:c>
      <x:c r="G170" s="55" t="n">
        <x:v>7048</x:v>
      </x:c>
      <x:c r="H170" s="55" t="n">
        <x:v>3178</x:v>
      </x:c>
      <x:c r="I170" s="55" t="n">
        <x:v>1291</x:v>
      </x:c>
      <x:c r="J170" s="55" t="n">
        <x:v>322</x:v>
      </x:c>
      <x:c r="K170" s="55" t="n">
        <x:v>28310</x:v>
      </x:c>
      <x:c r="L170" s="55" t="n">
        <x:v>4393</x:v>
      </x:c>
      <x:c r="M170" s="55" t="n">
        <x:v>290</x:v>
      </x:c>
      <x:c r="N170" s="55" t="n">
        <x:v>2752</x:v>
      </x:c>
      <x:c r="O170" s="55" t="n">
        <x:v>1351</x:v>
      </x:c>
      <x:c r="P170" s="55" t="n">
        <x:v>1172</x:v>
      </x:c>
      <x:c r="Q170" s="55" t="n">
        <x:v>1532</x:v>
      </x:c>
      <x:c r="R170" s="55" t="n">
        <x:v>1570</x:v>
      </x:c>
      <x:c r="S170" s="55" t="n">
        <x:v>2509</x:v>
      </x:c>
      <x:c r="T170" s="55" t="n">
        <x:v>919</x:v>
      </x:c>
      <x:c r="U170" s="55" t="n">
        <x:v>1262</x:v>
      </x:c>
      <x:c r="V170" s="55" t="n">
        <x:v>10938</x:v>
      </x:c>
      <x:c r="W170" s="55" t="n">
        <x:v>7799</x:v>
      </x:c>
      <x:c r="X170" s="55" t="n">
        <x:v>3139</x:v>
      </x:c>
      <x:c r="Y170" s="55" t="n">
        <x:v>2549</x:v>
      </x:c>
      <x:c r="Z170" s="55" t="n">
        <x:v>3455</x:v>
      </x:c>
      <x:c r="AA170" s="55" t="n">
        <x:v>3178</x:v>
      </x:c>
      <x:c r="AB170" s="55" t="n">
        <x:v>1082</x:v>
      </x:c>
      <x:c r="AC170" s="55" t="n">
        <x:v>7888</x:v>
      </x:c>
      <x:c r="AD170" s="55" t="n">
        <x:v>2597</x:v>
      </x:c>
      <x:c r="AE170" s="55" t="n">
        <x:v>10949</x:v>
      </x:c>
      <x:c r="AF170" s="55" t="n">
        <x:v>10938</x:v>
      </x:c>
      <x:c r="AG170" s="55" t="n">
        <x:v>11</x:v>
      </x:c>
      <x:c r="AH170" s="55" t="n">
        <x:v>513</x:v>
      </x:c>
      <x:c r="AI170" s="55" t="n">
        <x:v>10425</x:v>
      </x:c>
      <x:c r="AJ170" s="55" t="n">
        <x:v>314</x:v>
      </x:c>
      <x:c r="AK170" s="55" t="n">
        <x:v>1369</x:v>
      </x:c>
      <x:c r="AL170" s="55" t="n">
        <x:v>1377</x:v>
      </x:c>
      <x:c r="AM170" s="55" t="n">
        <x:v>4608</x:v>
      </x:c>
      <x:c r="AN170" s="55" t="n">
        <x:v>3217</x:v>
      </x:c>
      <x:c r="AO170" s="55" t="n">
        <x:v>53</x:v>
      </x:c>
      <x:c r="AP170" s="55" t="n">
        <x:v>2668</x:v>
      </x:c>
      <x:c r="AQ170" s="55" t="n">
        <x:v>1017</x:v>
      </x:c>
    </x:row>
    <x:row r="171">
      <x:c r="A171" s="54" t="str">
        <x:v>T0_TABLE_BLOCK</x:v>
      </x:c>
      <x:c r="B171" s="54" t="n">
        <x:v>165</x:v>
      </x:c>
      <x:c r="C171" s="54" t="str">
        <x:v>NYC-V2-R01</x:v>
      </x:c>
      <x:c r="D171" s="54" t="str">
        <x:v>V2</x:v>
      </x:c>
      <x:c r="E171" s="54" t="str">
        <x:v>ADMITTED</x:v>
      </x:c>
      <x:c r="F171" s="55" t="n">
        <x:v>31029</x:v>
      </x:c>
      <x:c r="G171" s="55" t="n">
        <x:v>7213</x:v>
      </x:c>
      <x:c r="H171" s="55" t="n">
        <x:v>2847</x:v>
      </x:c>
      <x:c r="I171" s="55" t="n">
        <x:v>1146</x:v>
      </x:c>
      <x:c r="J171" s="55" t="n">
        <x:v>143</x:v>
      </x:c>
      <x:c r="K171" s="55" t="n">
        <x:v>31029</x:v>
      </x:c>
      <x:c r="L171" s="55" t="n">
        <x:v>6156</x:v>
      </x:c>
      <x:c r="M171" s="55" t="n">
        <x:v>2395</x:v>
      </x:c>
      <x:c r="N171" s="55" t="n">
        <x:v>2366</x:v>
      </x:c>
      <x:c r="O171" s="55" t="n">
        <x:v>1395</x:v>
      </x:c>
      <x:c r="P171" s="55" t="n">
        <x:v>1297</x:v>
      </x:c>
      <x:c r="Q171" s="55" t="n">
        <x:v>1880</x:v>
      </x:c>
      <x:c r="R171" s="55" t="n">
        <x:v>2218</x:v>
      </x:c>
      <x:c r="S171" s="55" t="n">
        <x:v>3018</x:v>
      </x:c>
      <x:c r="T171" s="55" t="n">
        <x:v>484</x:v>
      </x:c>
      <x:c r="U171" s="55" t="n">
        <x:v>1708</x:v>
      </x:c>
      <x:c r="V171" s="55" t="n">
        <x:v>9952</x:v>
      </x:c>
      <x:c r="W171" s="55" t="n">
        <x:v>6732</x:v>
      </x:c>
      <x:c r="X171" s="55" t="n">
        <x:v>3220</x:v>
      </x:c>
      <x:c r="Y171" s="55" t="n">
        <x:v>2746</x:v>
      </x:c>
      <x:c r="Z171" s="55" t="n">
        <x:v>4160</x:v>
      </x:c>
      <x:c r="AA171" s="55" t="n">
        <x:v>2847</x:v>
      </x:c>
      <x:c r="AB171" s="55" t="n">
        <x:v>1157</x:v>
      </x:c>
      <x:c r="AC171" s="55" t="n">
        <x:v>8064</x:v>
      </x:c>
      <x:c r="AD171" s="55" t="n">
        <x:v>3316</x:v>
      </x:c>
      <x:c r="AE171" s="55" t="n">
        <x:v>10034</x:v>
      </x:c>
      <x:c r="AF171" s="55" t="n">
        <x:v>9952</x:v>
      </x:c>
      <x:c r="AG171" s="55" t="n">
        <x:v>82</x:v>
      </x:c>
      <x:c r="AH171" s="55" t="n">
        <x:v>358</x:v>
      </x:c>
      <x:c r="AI171" s="55" t="n">
        <x:v>9594</x:v>
      </x:c>
      <x:c r="AJ171" s="55" t="n">
        <x:v>322</x:v>
      </x:c>
      <x:c r="AK171" s="55" t="n">
        <x:v>1072</x:v>
      </x:c>
      <x:c r="AL171" s="55" t="n">
        <x:v>1523</x:v>
      </x:c>
      <x:c r="AM171" s="55" t="n">
        <x:v>4225</x:v>
      </x:c>
      <x:c r="AN171" s="55" t="n">
        <x:v>2782</x:v>
      </x:c>
      <x:c r="AO171" s="55" t="n">
        <x:v>28</x:v>
      </x:c>
      <x:c r="AP171" s="55" t="n">
        <x:v>2507</x:v>
      </x:c>
      <x:c r="AQ171" s="55" t="n">
        <x:v>947</x:v>
      </x:c>
    </x:row>
    <x:row r="172">
      <x:c r="A172" s="54" t="str">
        <x:v>T0_TABLE_BLOCK</x:v>
      </x:c>
      <x:c r="B172" s="54" t="n">
        <x:v>166</x:v>
      </x:c>
      <x:c r="C172" s="54" t="str">
        <x:v>NYC-V2-R01</x:v>
      </x:c>
      <x:c r="D172" s="54" t="str">
        <x:v>V2</x:v>
      </x:c>
      <x:c r="E172" s="54" t="str">
        <x:v>ADMITTED</x:v>
      </x:c>
      <x:c r="F172" s="55" t="n">
        <x:v>29572</x:v>
      </x:c>
      <x:c r="G172" s="55" t="n">
        <x:v>8025</x:v>
      </x:c>
      <x:c r="H172" s="55" t="n">
        <x:v>3109</x:v>
      </x:c>
      <x:c r="I172" s="55" t="n">
        <x:v>876</x:v>
      </x:c>
      <x:c r="J172" s="55" t="n">
        <x:v>106</x:v>
      </x:c>
      <x:c r="K172" s="55" t="n">
        <x:v>27624</x:v>
      </x:c>
      <x:c r="L172" s="55" t="n">
        <x:v>5208</x:v>
      </x:c>
      <x:c r="M172" s="55" t="n">
        <x:v>968</x:v>
      </x:c>
      <x:c r="N172" s="55" t="n">
        <x:v>2672</x:v>
      </x:c>
      <x:c r="O172" s="55" t="n">
        <x:v>1568</x:v>
      </x:c>
      <x:c r="P172" s="55" t="n">
        <x:v>917</x:v>
      </x:c>
      <x:c r="Q172" s="55" t="n">
        <x:v>1652</x:v>
      </x:c>
      <x:c r="R172" s="55" t="n">
        <x:v>2511</x:v>
      </x:c>
      <x:c r="S172" s="55" t="n">
        <x:v>2346</x:v>
      </x:c>
      <x:c r="T172" s="55" t="n">
        <x:v>1195</x:v>
      </x:c>
      <x:c r="U172" s="55" t="n">
        <x:v>1301</x:v>
      </x:c>
      <x:c r="V172" s="55" t="n">
        <x:v>10514</x:v>
      </x:c>
      <x:c r="W172" s="55" t="n">
        <x:v>7534</x:v>
      </x:c>
      <x:c r="X172" s="55" t="n">
        <x:v>2980</x:v>
      </x:c>
      <x:c r="Y172" s="55" t="n">
        <x:v>2848</x:v>
      </x:c>
      <x:c r="Z172" s="55" t="n">
        <x:v>2940</x:v>
      </x:c>
      <x:c r="AA172" s="55" t="n">
        <x:v>2862</x:v>
      </x:c>
      <x:c r="AB172" s="55" t="n">
        <x:v>1301</x:v>
      </x:c>
      <x:c r="AC172" s="55" t="n">
        <x:v>8398</x:v>
      </x:c>
      <x:c r="AD172" s="55" t="n">
        <x:v>2437</x:v>
      </x:c>
      <x:c r="AE172" s="55" t="n">
        <x:v>10561</x:v>
      </x:c>
      <x:c r="AF172" s="55" t="n">
        <x:v>10514</x:v>
      </x:c>
      <x:c r="AG172" s="55" t="n">
        <x:v>47</x:v>
      </x:c>
      <x:c r="AH172" s="55" t="n">
        <x:v>243</x:v>
      </x:c>
      <x:c r="AI172" s="55" t="n">
        <x:v>10271</x:v>
      </x:c>
      <x:c r="AJ172" s="55" t="n">
        <x:v>379</x:v>
      </x:c>
      <x:c r="AK172" s="55" t="n">
        <x:v>1414</x:v>
      </x:c>
      <x:c r="AL172" s="55" t="n">
        <x:v>1952</x:v>
      </x:c>
      <x:c r="AM172" s="55" t="n">
        <x:v>4790</x:v>
      </x:c>
      <x:c r="AN172" s="55" t="n">
        <x:v>1979</x:v>
      </x:c>
      <x:c r="AO172" s="55" t="n">
        <x:v>0</x:v>
      </x:c>
      <x:c r="AP172" s="55" t="n">
        <x:v>2639</x:v>
      </x:c>
      <x:c r="AQ172" s="55" t="n">
        <x:v>920</x:v>
      </x:c>
    </x:row>
    <x:row r="173">
      <x:c r="A173" s="54" t="str">
        <x:v>T0_TABLE_BLOCK</x:v>
      </x:c>
      <x:c r="B173" s="54" t="n">
        <x:v>167</x:v>
      </x:c>
      <x:c r="C173" s="54" t="str">
        <x:v>NYC-V2-R01</x:v>
      </x:c>
      <x:c r="D173" s="54" t="str">
        <x:v>V2</x:v>
      </x:c>
      <x:c r="E173" s="54" t="str">
        <x:v>ADMITTED</x:v>
      </x:c>
      <x:c r="F173" s="55" t="n">
        <x:v>33182</x:v>
      </x:c>
      <x:c r="G173" s="55" t="n">
        <x:v>9619</x:v>
      </x:c>
      <x:c r="H173" s="55" t="n">
        <x:v>3131</x:v>
      </x:c>
      <x:c r="I173" s="55" t="n">
        <x:v>677</x:v>
      </x:c>
      <x:c r="J173" s="55" t="n">
        <x:v>0</x:v>
      </x:c>
      <x:c r="K173" s="55" t="n">
        <x:v>33182</x:v>
      </x:c>
      <x:c r="L173" s="55" t="n">
        <x:v>5169</x:v>
      </x:c>
      <x:c r="M173" s="55" t="n">
        <x:v>1251</x:v>
      </x:c>
      <x:c r="N173" s="55" t="n">
        <x:v>2408</x:v>
      </x:c>
      <x:c r="O173" s="55" t="n">
        <x:v>1510</x:v>
      </x:c>
      <x:c r="P173" s="55" t="n">
        <x:v>977</x:v>
      </x:c>
      <x:c r="Q173" s="55" t="n">
        <x:v>1789</x:v>
      </x:c>
      <x:c r="R173" s="55" t="n">
        <x:v>2107</x:v>
      </x:c>
      <x:c r="S173" s="55" t="n">
        <x:v>2802</x:v>
      </x:c>
      <x:c r="T173" s="55" t="n">
        <x:v>1046</x:v>
      </x:c>
      <x:c r="U173" s="55" t="n">
        <x:v>1874</x:v>
      </x:c>
      <x:c r="V173" s="55" t="n">
        <x:v>10964</x:v>
      </x:c>
      <x:c r="W173" s="55" t="n">
        <x:v>8151</x:v>
      </x:c>
      <x:c r="X173" s="55" t="n">
        <x:v>2813</x:v>
      </x:c>
      <x:c r="Y173" s="55" t="n">
        <x:v>2193</x:v>
      </x:c>
      <x:c r="Z173" s="55" t="n">
        <x:v>3640</x:v>
      </x:c>
      <x:c r="AA173" s="55" t="n">
        <x:v>3131</x:v>
      </x:c>
      <x:c r="AB173" s="55" t="n">
        <x:v>1003</x:v>
      </x:c>
      <x:c r="AC173" s="55" t="n">
        <x:v>7776</x:v>
      </x:c>
      <x:c r="AD173" s="55" t="n">
        <x:v>2374</x:v>
      </x:c>
      <x:c r="AE173" s="55" t="n">
        <x:v>10995</x:v>
      </x:c>
      <x:c r="AF173" s="55" t="n">
        <x:v>10964</x:v>
      </x:c>
      <x:c r="AG173" s="55" t="n">
        <x:v>31</x:v>
      </x:c>
      <x:c r="AH173" s="55" t="n">
        <x:v>320</x:v>
      </x:c>
      <x:c r="AI173" s="55" t="n">
        <x:v>10644</x:v>
      </x:c>
      <x:c r="AJ173" s="55" t="n">
        <x:v>350</x:v>
      </x:c>
      <x:c r="AK173" s="55" t="n">
        <x:v>1024</x:v>
      </x:c>
      <x:c r="AL173" s="55" t="n">
        <x:v>1642</x:v>
      </x:c>
      <x:c r="AM173" s="55" t="n">
        <x:v>5237</x:v>
      </x:c>
      <x:c r="AN173" s="55" t="n">
        <x:v>2639</x:v>
      </x:c>
      <x:c r="AO173" s="55" t="n">
        <x:v>72</x:v>
      </x:c>
      <x:c r="AP173" s="55" t="n">
        <x:v>2336</x:v>
      </x:c>
      <x:c r="AQ173" s="55" t="n">
        <x:v>937</x:v>
      </x:c>
    </x:row>
    <x:row r="174">
      <x:c r="A174" s="54" t="str">
        <x:v>T0_TABLE_BLOCK</x:v>
      </x:c>
      <x:c r="B174" s="54" t="n">
        <x:v>168</x:v>
      </x:c>
      <x:c r="C174" s="54" t="str">
        <x:v>NYC-V2-R01</x:v>
      </x:c>
      <x:c r="D174" s="54" t="str">
        <x:v>V2</x:v>
      </x:c>
      <x:c r="E174" s="54" t="str">
        <x:v>ADMITTED</x:v>
      </x:c>
      <x:c r="F174" s="55" t="n">
        <x:v>30913</x:v>
      </x:c>
      <x:c r="G174" s="55" t="n">
        <x:v>5518</x:v>
      </x:c>
      <x:c r="H174" s="55" t="n">
        <x:v>3814</x:v>
      </x:c>
      <x:c r="I174" s="55" t="n">
        <x:v>1824</x:v>
      </x:c>
      <x:c r="J174" s="55" t="n">
        <x:v>382</x:v>
      </x:c>
      <x:c r="K174" s="55" t="n">
        <x:v>30913</x:v>
      </x:c>
      <x:c r="L174" s="55" t="n">
        <x:v>4843</x:v>
      </x:c>
      <x:c r="M174" s="55" t="n">
        <x:v>746</x:v>
      </x:c>
      <x:c r="N174" s="55" t="n">
        <x:v>2476</x:v>
      </x:c>
      <x:c r="O174" s="55" t="n">
        <x:v>1621</x:v>
      </x:c>
      <x:c r="P174" s="55" t="n">
        <x:v>925</x:v>
      </x:c>
      <x:c r="Q174" s="55" t="n">
        <x:v>2592</x:v>
      </x:c>
      <x:c r="R174" s="55" t="n">
        <x:v>1867</x:v>
      </x:c>
      <x:c r="S174" s="55" t="n">
        <x:v>2909</x:v>
      </x:c>
      <x:c r="T174" s="55" t="n">
        <x:v>798</x:v>
      </x:c>
      <x:c r="U174" s="55" t="n">
        <x:v>1469</x:v>
      </x:c>
      <x:c r="V174" s="55" t="n">
        <x:v>10292</x:v>
      </x:c>
      <x:c r="W174" s="55" t="n">
        <x:v>7274</x:v>
      </x:c>
      <x:c r="X174" s="55" t="n">
        <x:v>3018</x:v>
      </x:c>
      <x:c r="Y174" s="55" t="n">
        <x:v>2715</x:v>
      </x:c>
      <x:c r="Z174" s="55" t="n">
        <x:v>3695</x:v>
      </x:c>
      <x:c r="AA174" s="55" t="n">
        <x:v>3053</x:v>
      </x:c>
      <x:c r="AB174" s="55" t="n">
        <x:v>1029</x:v>
      </x:c>
      <x:c r="AC174" s="55" t="n">
        <x:v>7835</x:v>
      </x:c>
      <x:c r="AD174" s="55" t="n">
        <x:v>2879</x:v>
      </x:c>
      <x:c r="AE174" s="55" t="n">
        <x:v>10361</x:v>
      </x:c>
      <x:c r="AF174" s="55" t="n">
        <x:v>10292</x:v>
      </x:c>
      <x:c r="AG174" s="55" t="n">
        <x:v>69</x:v>
      </x:c>
      <x:c r="AH174" s="55" t="n">
        <x:v>333</x:v>
      </x:c>
      <x:c r="AI174" s="55" t="n">
        <x:v>9959</x:v>
      </x:c>
      <x:c r="AJ174" s="55" t="n">
        <x:v>114</x:v>
      </x:c>
      <x:c r="AK174" s="55" t="n">
        <x:v>884</x:v>
      </x:c>
      <x:c r="AL174" s="55" t="n">
        <x:v>1646</x:v>
      </x:c>
      <x:c r="AM174" s="55" t="n">
        <x:v>4892</x:v>
      </x:c>
      <x:c r="AN174" s="55" t="n">
        <x:v>2756</x:v>
      </x:c>
      <x:c r="AO174" s="55" t="n">
        <x:v>0</x:v>
      </x:c>
      <x:c r="AP174" s="55" t="n">
        <x:v>2453</x:v>
      </x:c>
      <x:c r="AQ174" s="55" t="n">
        <x:v>993</x:v>
      </x:c>
    </x:row>
    <x:row r="175">
      <x:c r="A175" s="54" t="str">
        <x:v>T0_TABLE_BLOCK</x:v>
      </x:c>
      <x:c r="B175" s="54" t="n">
        <x:v>169</x:v>
      </x:c>
      <x:c r="C175" s="54" t="str">
        <x:v>NYC-V2-R01</x:v>
      </x:c>
      <x:c r="D175" s="54" t="str">
        <x:v>V2</x:v>
      </x:c>
      <x:c r="E175" s="54" t="str">
        <x:v>ADMITTED</x:v>
      </x:c>
      <x:c r="F175" s="55" t="n">
        <x:v>32138</x:v>
      </x:c>
      <x:c r="G175" s="55" t="n">
        <x:v>7421</x:v>
      </x:c>
      <x:c r="H175" s="55" t="n">
        <x:v>3499</x:v>
      </x:c>
      <x:c r="I175" s="55" t="n">
        <x:v>1144</x:v>
      </x:c>
      <x:c r="J175" s="55" t="n">
        <x:v>169</x:v>
      </x:c>
      <x:c r="K175" s="55" t="n">
        <x:v>27412</x:v>
      </x:c>
      <x:c r="L175" s="55" t="n">
        <x:v>4479</x:v>
      </x:c>
      <x:c r="M175" s="55" t="n">
        <x:v>0</x:v>
      </x:c>
      <x:c r="N175" s="55" t="n">
        <x:v>2472</x:v>
      </x:c>
      <x:c r="O175" s="55" t="n">
        <x:v>2007</x:v>
      </x:c>
      <x:c r="P175" s="55" t="n">
        <x:v>829</x:v>
      </x:c>
      <x:c r="Q175" s="55" t="n">
        <x:v>2246</x:v>
      </x:c>
      <x:c r="R175" s="55" t="n">
        <x:v>1765</x:v>
      </x:c>
      <x:c r="S175" s="55" t="n">
        <x:v>2962</x:v>
      </x:c>
      <x:c r="T175" s="55" t="n">
        <x:v>908</x:v>
      </x:c>
      <x:c r="U175" s="55" t="n">
        <x:v>2142</x:v>
      </x:c>
      <x:c r="V175" s="55" t="n">
        <x:v>9779</x:v>
      </x:c>
      <x:c r="W175" s="55" t="n">
        <x:v>6759</x:v>
      </x:c>
      <x:c r="X175" s="55" t="n">
        <x:v>3020</x:v>
      </x:c>
      <x:c r="Y175" s="55" t="n">
        <x:v>2930</x:v>
      </x:c>
      <x:c r="Z175" s="55" t="n">
        <x:v>3492</x:v>
      </x:c>
      <x:c r="AA175" s="55" t="n">
        <x:v>3292</x:v>
      </x:c>
      <x:c r="AB175" s="55" t="n">
        <x:v>1036</x:v>
      </x:c>
      <x:c r="AC175" s="55" t="n">
        <x:v>8027</x:v>
      </x:c>
      <x:c r="AD175" s="55" t="n">
        <x:v>3260</x:v>
      </x:c>
      <x:c r="AE175" s="55" t="n">
        <x:v>9984</x:v>
      </x:c>
      <x:c r="AF175" s="55" t="n">
        <x:v>9779</x:v>
      </x:c>
      <x:c r="AG175" s="55" t="n">
        <x:v>205</x:v>
      </x:c>
      <x:c r="AH175" s="55" t="n">
        <x:v>175</x:v>
      </x:c>
      <x:c r="AI175" s="55" t="n">
        <x:v>9604</x:v>
      </x:c>
      <x:c r="AJ175" s="55" t="n">
        <x:v>407</x:v>
      </x:c>
      <x:c r="AK175" s="55" t="n">
        <x:v>800</x:v>
      </x:c>
      <x:c r="AL175" s="55" t="n">
        <x:v>1663</x:v>
      </x:c>
      <x:c r="AM175" s="55" t="n">
        <x:v>3958</x:v>
      </x:c>
      <x:c r="AN175" s="55" t="n">
        <x:v>2951</x:v>
      </x:c>
      <x:c r="AO175" s="55" t="n">
        <x:v>0</x:v>
      </x:c>
      <x:c r="AP175" s="55" t="n">
        <x:v>2545</x:v>
      </x:c>
      <x:c r="AQ175" s="55" t="n">
        <x:v>929</x:v>
      </x:c>
    </x:row>
    <x:row r="176">
      <x:c r="A176" s="54" t="str">
        <x:v>T0_TABLE_BLOCK</x:v>
      </x:c>
      <x:c r="B176" s="54" t="n">
        <x:v>170</x:v>
      </x:c>
      <x:c r="C176" s="54" t="str">
        <x:v>NYC-V2-R01</x:v>
      </x:c>
      <x:c r="D176" s="54" t="str">
        <x:v>V2</x:v>
      </x:c>
      <x:c r="E176" s="54" t="str">
        <x:v>ADMITTED</x:v>
      </x:c>
      <x:c r="F176" s="55" t="n">
        <x:v>32054</x:v>
      </x:c>
      <x:c r="G176" s="55" t="n">
        <x:v>7450</x:v>
      </x:c>
      <x:c r="H176" s="55" t="n">
        <x:v>3760</x:v>
      </x:c>
      <x:c r="I176" s="55" t="n">
        <x:v>1537</x:v>
      </x:c>
      <x:c r="J176" s="55" t="n">
        <x:v>276</x:v>
      </x:c>
      <x:c r="K176" s="55" t="n">
        <x:v>29132</x:v>
      </x:c>
      <x:c r="L176" s="55" t="n">
        <x:v>5470</x:v>
      </x:c>
      <x:c r="M176" s="55" t="n">
        <x:v>827</x:v>
      </x:c>
      <x:c r="N176" s="55" t="n">
        <x:v>2959</x:v>
      </x:c>
      <x:c r="O176" s="55" t="n">
        <x:v>1684</x:v>
      </x:c>
      <x:c r="P176" s="55" t="n">
        <x:v>1224</x:v>
      </x:c>
      <x:c r="Q176" s="55" t="n">
        <x:v>2904</x:v>
      </x:c>
      <x:c r="R176" s="55" t="n">
        <x:v>1558</x:v>
      </x:c>
      <x:c r="S176" s="55" t="n">
        <x:v>3558</x:v>
      </x:c>
      <x:c r="T176" s="55" t="n">
        <x:v>1121</x:v>
      </x:c>
      <x:c r="U176" s="55" t="n">
        <x:v>2553</x:v>
      </x:c>
      <x:c r="V176" s="55" t="n">
        <x:v>11264</x:v>
      </x:c>
      <x:c r="W176" s="55" t="n">
        <x:v>8022</x:v>
      </x:c>
      <x:c r="X176" s="55" t="n">
        <x:v>3242</x:v>
      </x:c>
      <x:c r="Y176" s="55" t="n">
        <x:v>2929</x:v>
      </x:c>
      <x:c r="Z176" s="55" t="n">
        <x:v>3765</x:v>
      </x:c>
      <x:c r="AA176" s="55" t="n">
        <x:v>2449</x:v>
      </x:c>
      <x:c r="AB176" s="55" t="n">
        <x:v>792</x:v>
      </x:c>
      <x:c r="AC176" s="55" t="n">
        <x:v>8377</x:v>
      </x:c>
      <x:c r="AD176" s="55" t="n">
        <x:v>2979</x:v>
      </x:c>
      <x:c r="AE176" s="55" t="n">
        <x:v>11336</x:v>
      </x:c>
      <x:c r="AF176" s="55" t="n">
        <x:v>11264</x:v>
      </x:c>
      <x:c r="AG176" s="55" t="n">
        <x:v>72</x:v>
      </x:c>
      <x:c r="AH176" s="55" t="n">
        <x:v>318</x:v>
      </x:c>
      <x:c r="AI176" s="55" t="n">
        <x:v>10946</x:v>
      </x:c>
      <x:c r="AJ176" s="55" t="n">
        <x:v>314</x:v>
      </x:c>
      <x:c r="AK176" s="55" t="n">
        <x:v>1302</x:v>
      </x:c>
      <x:c r="AL176" s="55" t="n">
        <x:v>1579</x:v>
      </x:c>
      <x:c r="AM176" s="55" t="n">
        <x:v>4856</x:v>
      </x:c>
      <x:c r="AN176" s="55" t="n">
        <x:v>3191</x:v>
      </x:c>
      <x:c r="AO176" s="55" t="n">
        <x:v>22</x:v>
      </x:c>
      <x:c r="AP176" s="55" t="n">
        <x:v>2448</x:v>
      </x:c>
      <x:c r="AQ176" s="55" t="n">
        <x:v>959</x:v>
      </x:c>
    </x:row>
    <x:row r="177">
      <x:c r="A177" s="54" t="str">
        <x:v>T0_TABLE_BLOCK</x:v>
      </x:c>
      <x:c r="B177" s="54" t="n">
        <x:v>171</x:v>
      </x:c>
      <x:c r="C177" s="54" t="str">
        <x:v>NYC-V2-R01</x:v>
      </x:c>
      <x:c r="D177" s="54" t="str">
        <x:v>V2</x:v>
      </x:c>
      <x:c r="E177" s="54" t="str">
        <x:v>ADMITTED</x:v>
      </x:c>
      <x:c r="F177" s="55" t="n">
        <x:v>33289</x:v>
      </x:c>
      <x:c r="G177" s="55" t="n">
        <x:v>9239</x:v>
      </x:c>
      <x:c r="H177" s="55" t="n">
        <x:v>3603</x:v>
      </x:c>
      <x:c r="I177" s="55" t="n">
        <x:v>1183</x:v>
      </x:c>
      <x:c r="J177" s="55" t="n">
        <x:v>303</x:v>
      </x:c>
      <x:c r="K177" s="55" t="n">
        <x:v>32530</x:v>
      </x:c>
      <x:c r="L177" s="55" t="n">
        <x:v>5323</x:v>
      </x:c>
      <x:c r="M177" s="55" t="n">
        <x:v>934</x:v>
      </x:c>
      <x:c r="N177" s="55" t="n">
        <x:v>2636</x:v>
      </x:c>
      <x:c r="O177" s="55" t="n">
        <x:v>1753</x:v>
      </x:c>
      <x:c r="P177" s="55" t="n">
        <x:v>884</x:v>
      </x:c>
      <x:c r="Q177" s="55" t="n">
        <x:v>1909</x:v>
      </x:c>
      <x:c r="R177" s="55" t="n">
        <x:v>1861</x:v>
      </x:c>
      <x:c r="S177" s="55" t="n">
        <x:v>2284</x:v>
      </x:c>
      <x:c r="T177" s="55" t="n">
        <x:v>673</x:v>
      </x:c>
      <x:c r="U177" s="55" t="n">
        <x:v>1916</x:v>
      </x:c>
      <x:c r="V177" s="55" t="n">
        <x:v>10683</x:v>
      </x:c>
      <x:c r="W177" s="55" t="n">
        <x:v>7817</x:v>
      </x:c>
      <x:c r="X177" s="55" t="n">
        <x:v>2866</x:v>
      </x:c>
      <x:c r="Y177" s="55" t="n">
        <x:v>2511</x:v>
      </x:c>
      <x:c r="Z177" s="55" t="n">
        <x:v>3967</x:v>
      </x:c>
      <x:c r="AA177" s="55" t="n">
        <x:v>3603</x:v>
      </x:c>
      <x:c r="AB177" s="55" t="n">
        <x:v>1219</x:v>
      </x:c>
      <x:c r="AC177" s="55" t="n">
        <x:v>7912</x:v>
      </x:c>
      <x:c r="AD177" s="55" t="n">
        <x:v>4051</x:v>
      </x:c>
      <x:c r="AE177" s="55" t="n">
        <x:v>10825</x:v>
      </x:c>
      <x:c r="AF177" s="55" t="n">
        <x:v>10683</x:v>
      </x:c>
      <x:c r="AG177" s="55" t="n">
        <x:v>142</x:v>
      </x:c>
      <x:c r="AH177" s="55" t="n">
        <x:v>319</x:v>
      </x:c>
      <x:c r="AI177" s="55" t="n">
        <x:v>10364</x:v>
      </x:c>
      <x:c r="AJ177" s="55" t="n">
        <x:v>482</x:v>
      </x:c>
      <x:c r="AK177" s="55" t="n">
        <x:v>929</x:v>
      </x:c>
      <x:c r="AL177" s="55" t="n">
        <x:v>1776</x:v>
      </x:c>
      <x:c r="AM177" s="55" t="n">
        <x:v>4914</x:v>
      </x:c>
      <x:c r="AN177" s="55" t="n">
        <x:v>2582</x:v>
      </x:c>
      <x:c r="AO177" s="55" t="n">
        <x:v>0</x:v>
      </x:c>
      <x:c r="AP177" s="55" t="n">
        <x:v>2135</x:v>
      </x:c>
      <x:c r="AQ177" s="55" t="n">
        <x:v>962</x:v>
      </x:c>
    </x:row>
    <x:row r="178">
      <x:c r="A178" s="54" t="str">
        <x:v>T0_TABLE_BLOCK</x:v>
      </x:c>
      <x:c r="B178" s="54" t="n">
        <x:v>172</x:v>
      </x:c>
      <x:c r="C178" s="54" t="str">
        <x:v>NYC-V2-R01</x:v>
      </x:c>
      <x:c r="D178" s="54" t="str">
        <x:v>V2</x:v>
      </x:c>
      <x:c r="E178" s="54" t="str">
        <x:v>ADMITTED</x:v>
      </x:c>
      <x:c r="F178" s="55" t="n">
        <x:v>30085</x:v>
      </x:c>
      <x:c r="G178" s="55" t="n">
        <x:v>7457</x:v>
      </x:c>
      <x:c r="H178" s="55" t="n">
        <x:v>3606</x:v>
      </x:c>
      <x:c r="I178" s="55" t="n">
        <x:v>1288</x:v>
      </x:c>
      <x:c r="J178" s="55" t="n">
        <x:v>136</x:v>
      </x:c>
      <x:c r="K178" s="55" t="n">
        <x:v>30085</x:v>
      </x:c>
      <x:c r="L178" s="55" t="n">
        <x:v>5700</x:v>
      </x:c>
      <x:c r="M178" s="55" t="n">
        <x:v>1442</x:v>
      </x:c>
      <x:c r="N178" s="55" t="n">
        <x:v>2911</x:v>
      </x:c>
      <x:c r="O178" s="55" t="n">
        <x:v>1347</x:v>
      </x:c>
      <x:c r="P178" s="55" t="n">
        <x:v>751</x:v>
      </x:c>
      <x:c r="Q178" s="55" t="n">
        <x:v>2061</x:v>
      </x:c>
      <x:c r="R178" s="55" t="n">
        <x:v>2050</x:v>
      </x:c>
      <x:c r="S178" s="55" t="n">
        <x:v>3284</x:v>
      </x:c>
      <x:c r="T178" s="55" t="n">
        <x:v>1174</x:v>
      </x:c>
      <x:c r="U178" s="55" t="n">
        <x:v>2656</x:v>
      </x:c>
      <x:c r="V178" s="55" t="n">
        <x:v>10586</x:v>
      </x:c>
      <x:c r="W178" s="55" t="n">
        <x:v>7547</x:v>
      </x:c>
      <x:c r="X178" s="55" t="n">
        <x:v>3039</x:v>
      </x:c>
      <x:c r="Y178" s="55" t="n">
        <x:v>2550</x:v>
      </x:c>
      <x:c r="Z178" s="55" t="n">
        <x:v>3285</x:v>
      </x:c>
      <x:c r="AA178" s="55" t="n">
        <x:v>3290</x:v>
      </x:c>
      <x:c r="AB178" s="55" t="n">
        <x:v>1073</x:v>
      </x:c>
      <x:c r="AC178" s="55" t="n">
        <x:v>7878</x:v>
      </x:c>
      <x:c r="AD178" s="55" t="n">
        <x:v>2705</x:v>
      </x:c>
      <x:c r="AE178" s="55" t="n">
        <x:v>10648</x:v>
      </x:c>
      <x:c r="AF178" s="55" t="n">
        <x:v>10586</x:v>
      </x:c>
      <x:c r="AG178" s="55" t="n">
        <x:v>62</x:v>
      </x:c>
      <x:c r="AH178" s="55" t="n">
        <x:v>322</x:v>
      </x:c>
      <x:c r="AI178" s="55" t="n">
        <x:v>10264</x:v>
      </x:c>
      <x:c r="AJ178" s="55" t="n">
        <x:v>385</x:v>
      </x:c>
      <x:c r="AK178" s="55" t="n">
        <x:v>898</x:v>
      </x:c>
      <x:c r="AL178" s="55" t="n">
        <x:v>2105</x:v>
      </x:c>
      <x:c r="AM178" s="55" t="n">
        <x:v>4433</x:v>
      </x:c>
      <x:c r="AN178" s="55" t="n">
        <x:v>2765</x:v>
      </x:c>
      <x:c r="AO178" s="55" t="n">
        <x:v>0</x:v>
      </x:c>
      <x:c r="AP178" s="55" t="n">
        <x:v>2294</x:v>
      </x:c>
      <x:c r="AQ178" s="55" t="n">
        <x:v>954</x:v>
      </x:c>
    </x:row>
    <x:row r="179">
      <x:c r="A179" s="54" t="str">
        <x:v>T0_TABLE_BLOCK</x:v>
      </x:c>
      <x:c r="B179" s="54" t="n">
        <x:v>173</x:v>
      </x:c>
      <x:c r="C179" s="54" t="str">
        <x:v>NYC-V2-R01</x:v>
      </x:c>
      <x:c r="D179" s="54" t="str">
        <x:v>V2</x:v>
      </x:c>
      <x:c r="E179" s="54" t="str">
        <x:v>ADMITTED</x:v>
      </x:c>
      <x:c r="F179" s="55" t="n">
        <x:v>31100</x:v>
      </x:c>
      <x:c r="G179" s="55" t="n">
        <x:v>7715</x:v>
      </x:c>
      <x:c r="H179" s="55" t="n">
        <x:v>3216</x:v>
      </x:c>
      <x:c r="I179" s="55" t="n">
        <x:v>1152</x:v>
      </x:c>
      <x:c r="J179" s="55" t="n">
        <x:v>313</x:v>
      </x:c>
      <x:c r="K179" s="55" t="n">
        <x:v>30907</x:v>
      </x:c>
      <x:c r="L179" s="55" t="n">
        <x:v>5609</x:v>
      </x:c>
      <x:c r="M179" s="55" t="n">
        <x:v>1120</x:v>
      </x:c>
      <x:c r="N179" s="55" t="n">
        <x:v>2667</x:v>
      </x:c>
      <x:c r="O179" s="55" t="n">
        <x:v>1822</x:v>
      </x:c>
      <x:c r="P179" s="55" t="n">
        <x:v>578</x:v>
      </x:c>
      <x:c r="Q179" s="55" t="n">
        <x:v>3011</x:v>
      </x:c>
      <x:c r="R179" s="55" t="n">
        <x:v>2603</x:v>
      </x:c>
      <x:c r="S179" s="55" t="n">
        <x:v>2447</x:v>
      </x:c>
      <x:c r="T179" s="55" t="n">
        <x:v>875</x:v>
      </x:c>
      <x:c r="U179" s="55" t="n">
        <x:v>1470</x:v>
      </x:c>
      <x:c r="V179" s="55" t="n">
        <x:v>9813</x:v>
      </x:c>
      <x:c r="W179" s="55" t="n">
        <x:v>7313</x:v>
      </x:c>
      <x:c r="X179" s="55" t="n">
        <x:v>2500</x:v>
      </x:c>
      <x:c r="Y179" s="55" t="n">
        <x:v>2066</x:v>
      </x:c>
      <x:c r="Z179" s="55" t="n">
        <x:v>4571</x:v>
      </x:c>
      <x:c r="AA179" s="55" t="n">
        <x:v>3193</x:v>
      </x:c>
      <x:c r="AB179" s="55" t="n">
        <x:v>1083</x:v>
      </x:c>
      <x:c r="AC179" s="55" t="n">
        <x:v>7815</x:v>
      </x:c>
      <x:c r="AD179" s="55" t="n">
        <x:v>2686</x:v>
      </x:c>
      <x:c r="AE179" s="55" t="n">
        <x:v>9890</x:v>
      </x:c>
      <x:c r="AF179" s="55" t="n">
        <x:v>9813</x:v>
      </x:c>
      <x:c r="AG179" s="55" t="n">
        <x:v>77</x:v>
      </x:c>
      <x:c r="AH179" s="55" t="n">
        <x:v>483</x:v>
      </x:c>
      <x:c r="AI179" s="55" t="n">
        <x:v>9330</x:v>
      </x:c>
      <x:c r="AJ179" s="55" t="n">
        <x:v>164</x:v>
      </x:c>
      <x:c r="AK179" s="55" t="n">
        <x:v>549</x:v>
      </x:c>
      <x:c r="AL179" s="55" t="n">
        <x:v>1597</x:v>
      </x:c>
      <x:c r="AM179" s="55" t="n">
        <x:v>4690</x:v>
      </x:c>
      <x:c r="AN179" s="55" t="n">
        <x:v>2813</x:v>
      </x:c>
      <x:c r="AO179" s="55" t="n">
        <x:v>0</x:v>
      </x:c>
      <x:c r="AP179" s="55" t="n">
        <x:v>2278</x:v>
      </x:c>
      <x:c r="AQ179" s="55" t="n">
        <x:v>941</x:v>
      </x:c>
    </x:row>
    <x:row r="180">
      <x:c r="A180" s="54" t="str">
        <x:v>T0_TABLE_BLOCK</x:v>
      </x:c>
      <x:c r="B180" s="54" t="n">
        <x:v>174</x:v>
      </x:c>
      <x:c r="C180" s="54" t="str">
        <x:v>NYC-V2-R01</x:v>
      </x:c>
      <x:c r="D180" s="54" t="str">
        <x:v>V2</x:v>
      </x:c>
      <x:c r="E180" s="54" t="str">
        <x:v>ADMITTED</x:v>
      </x:c>
      <x:c r="F180" s="55" t="n">
        <x:v>30303</x:v>
      </x:c>
      <x:c r="G180" s="55" t="n">
        <x:v>6867</x:v>
      </x:c>
      <x:c r="H180" s="55" t="n">
        <x:v>3497</x:v>
      </x:c>
      <x:c r="I180" s="55" t="n">
        <x:v>1268</x:v>
      </x:c>
      <x:c r="J180" s="55" t="n">
        <x:v>398</x:v>
      </x:c>
      <x:c r="K180" s="55" t="n">
        <x:v>30303</x:v>
      </x:c>
      <x:c r="L180" s="55" t="n">
        <x:v>4659</x:v>
      </x:c>
      <x:c r="M180" s="55" t="n">
        <x:v>381</x:v>
      </x:c>
      <x:c r="N180" s="55" t="n">
        <x:v>2779</x:v>
      </x:c>
      <x:c r="O180" s="55" t="n">
        <x:v>1499</x:v>
      </x:c>
      <x:c r="P180" s="55" t="n">
        <x:v>1010</x:v>
      </x:c>
      <x:c r="Q180" s="55" t="n">
        <x:v>1309</x:v>
      </x:c>
      <x:c r="R180" s="55" t="n">
        <x:v>1795</x:v>
      </x:c>
      <x:c r="S180" s="55" t="n">
        <x:v>2639</x:v>
      </x:c>
      <x:c r="T180" s="55" t="n">
        <x:v>1404</x:v>
      </x:c>
      <x:c r="U180" s="55" t="n">
        <x:v>2170</x:v>
      </x:c>
      <x:c r="V180" s="55" t="n">
        <x:v>9946</x:v>
      </x:c>
      <x:c r="W180" s="55" t="n">
        <x:v>7002</x:v>
      </x:c>
      <x:c r="X180" s="55" t="n">
        <x:v>2944</x:v>
      </x:c>
      <x:c r="Y180" s="55" t="n">
        <x:v>2370</x:v>
      </x:c>
      <x:c r="Z180" s="55" t="n">
        <x:v>3019</x:v>
      </x:c>
      <x:c r="AA180" s="55" t="n">
        <x:v>3159</x:v>
      </x:c>
      <x:c r="AB180" s="55" t="n">
        <x:v>1312</x:v>
      </x:c>
      <x:c r="AC180" s="55" t="n">
        <x:v>7397</x:v>
      </x:c>
      <x:c r="AD180" s="55" t="n">
        <x:v>2815</x:v>
      </x:c>
      <x:c r="AE180" s="55" t="n">
        <x:v>10106</x:v>
      </x:c>
      <x:c r="AF180" s="55" t="n">
        <x:v>9946</x:v>
      </x:c>
      <x:c r="AG180" s="55" t="n">
        <x:v>160</x:v>
      </x:c>
      <x:c r="AH180" s="55" t="n">
        <x:v>369</x:v>
      </x:c>
      <x:c r="AI180" s="55" t="n">
        <x:v>9577</x:v>
      </x:c>
      <x:c r="AJ180" s="55" t="n">
        <x:v>272</x:v>
      </x:c>
      <x:c r="AK180" s="55" t="n">
        <x:v>1158</x:v>
      </x:c>
      <x:c r="AL180" s="55" t="n">
        <x:v>1449</x:v>
      </x:c>
      <x:c r="AM180" s="55" t="n">
        <x:v>4348</x:v>
      </x:c>
      <x:c r="AN180" s="55" t="n">
        <x:v>2719</x:v>
      </x:c>
      <x:c r="AO180" s="55" t="n">
        <x:v>0</x:v>
      </x:c>
      <x:c r="AP180" s="55" t="n">
        <x:v>3017</x:v>
      </x:c>
      <x:c r="AQ180" s="55" t="n">
        <x:v>959</x:v>
      </x:c>
    </x:row>
    <x:row r="181">
      <x:c r="A181" s="54" t="str">
        <x:v>T0_TABLE_BLOCK</x:v>
      </x:c>
      <x:c r="B181" s="54" t="n">
        <x:v>175</x:v>
      </x:c>
      <x:c r="C181" s="54" t="str">
        <x:v>NYC-V2-R01</x:v>
      </x:c>
      <x:c r="D181" s="54" t="str">
        <x:v>V2</x:v>
      </x:c>
      <x:c r="E181" s="54" t="str">
        <x:v>ADMITTED</x:v>
      </x:c>
      <x:c r="F181" s="55" t="n">
        <x:v>32746</x:v>
      </x:c>
      <x:c r="G181" s="55" t="n">
        <x:v>8287</x:v>
      </x:c>
      <x:c r="H181" s="55" t="n">
        <x:v>3611</x:v>
      </x:c>
      <x:c r="I181" s="55" t="n">
        <x:v>1645</x:v>
      </x:c>
      <x:c r="J181" s="55" t="n">
        <x:v>358</x:v>
      </x:c>
      <x:c r="K181" s="55" t="n">
        <x:v>32746</x:v>
      </x:c>
      <x:c r="L181" s="55" t="n">
        <x:v>6464</x:v>
      </x:c>
      <x:c r="M181" s="55" t="n">
        <x:v>1042</x:v>
      </x:c>
      <x:c r="N181" s="55" t="n">
        <x:v>3236</x:v>
      </x:c>
      <x:c r="O181" s="55" t="n">
        <x:v>2186</x:v>
      </x:c>
      <x:c r="P181" s="55" t="n">
        <x:v>1147</x:v>
      </x:c>
      <x:c r="Q181" s="55" t="n">
        <x:v>1810</x:v>
      </x:c>
      <x:c r="R181" s="55" t="n">
        <x:v>2190</x:v>
      </x:c>
      <x:c r="S181" s="55" t="n">
        <x:v>2460</x:v>
      </x:c>
      <x:c r="T181" s="55" t="n">
        <x:v>1140</x:v>
      </x:c>
      <x:c r="U181" s="55" t="n">
        <x:v>2254</x:v>
      </x:c>
      <x:c r="V181" s="55" t="n">
        <x:v>10830</x:v>
      </x:c>
      <x:c r="W181" s="55" t="n">
        <x:v>8561</x:v>
      </x:c>
      <x:c r="X181" s="55" t="n">
        <x:v>2269</x:v>
      </x:c>
      <x:c r="Y181" s="55" t="n">
        <x:v>2024</x:v>
      </x:c>
      <x:c r="Z181" s="55" t="n">
        <x:v>4314</x:v>
      </x:c>
      <x:c r="AA181" s="55" t="n">
        <x:v>3021</x:v>
      </x:c>
      <x:c r="AB181" s="55" t="n">
        <x:v>797</x:v>
      </x:c>
      <x:c r="AC181" s="55" t="n">
        <x:v>7549</x:v>
      </x:c>
      <x:c r="AD181" s="55" t="n">
        <x:v>3448</x:v>
      </x:c>
      <x:c r="AE181" s="55" t="n">
        <x:v>10901</x:v>
      </x:c>
      <x:c r="AF181" s="55" t="n">
        <x:v>10830</x:v>
      </x:c>
      <x:c r="AG181" s="55" t="n">
        <x:v>71</x:v>
      </x:c>
      <x:c r="AH181" s="55" t="n">
        <x:v>484</x:v>
      </x:c>
      <x:c r="AI181" s="55" t="n">
        <x:v>10346</x:v>
      </x:c>
      <x:c r="AJ181" s="55" t="n">
        <x:v>323</x:v>
      </x:c>
      <x:c r="AK181" s="55" t="n">
        <x:v>1034</x:v>
      </x:c>
      <x:c r="AL181" s="55" t="n">
        <x:v>1407</x:v>
      </x:c>
      <x:c r="AM181" s="55" t="n">
        <x:v>4885</x:v>
      </x:c>
      <x:c r="AN181" s="55" t="n">
        <x:v>3181</x:v>
      </x:c>
      <x:c r="AO181" s="55" t="n">
        <x:v>0</x:v>
      </x:c>
      <x:c r="AP181" s="55" t="n">
        <x:v>1986</x:v>
      </x:c>
      <x:c r="AQ181" s="55" t="n">
        <x:v>906</x:v>
      </x:c>
    </x:row>
    <x:row r="182">
      <x:c r="A182" s="54" t="str">
        <x:v>T0_TABLE_BLOCK</x:v>
      </x:c>
      <x:c r="B182" s="54" t="n">
        <x:v>176</x:v>
      </x:c>
      <x:c r="C182" s="54" t="str">
        <x:v>NYC-V2-R01</x:v>
      </x:c>
      <x:c r="D182" s="54" t="str">
        <x:v>V2</x:v>
      </x:c>
      <x:c r="E182" s="54" t="str">
        <x:v>ADMITTED</x:v>
      </x:c>
      <x:c r="F182" s="55" t="n">
        <x:v>34791</x:v>
      </x:c>
      <x:c r="G182" s="55" t="n">
        <x:v>9696</x:v>
      </x:c>
      <x:c r="H182" s="55" t="n">
        <x:v>3833</x:v>
      </x:c>
      <x:c r="I182" s="55" t="n">
        <x:v>1594</x:v>
      </x:c>
      <x:c r="J182" s="55" t="n">
        <x:v>384</x:v>
      </x:c>
      <x:c r="K182" s="55" t="n">
        <x:v>27566</x:v>
      </x:c>
      <x:c r="L182" s="55" t="n">
        <x:v>6230</x:v>
      </x:c>
      <x:c r="M182" s="55" t="n">
        <x:v>1841</x:v>
      </x:c>
      <x:c r="N182" s="55" t="n">
        <x:v>2755</x:v>
      </x:c>
      <x:c r="O182" s="55" t="n">
        <x:v>1634</x:v>
      </x:c>
      <x:c r="P182" s="55" t="n">
        <x:v>1155</x:v>
      </x:c>
      <x:c r="Q182" s="55" t="n">
        <x:v>1737</x:v>
      </x:c>
      <x:c r="R182" s="55" t="n">
        <x:v>1519</x:v>
      </x:c>
      <x:c r="S182" s="55" t="n">
        <x:v>1929</x:v>
      </x:c>
      <x:c r="T182" s="55" t="n">
        <x:v>1380</x:v>
      </x:c>
      <x:c r="U182" s="55" t="n">
        <x:v>1736</x:v>
      </x:c>
      <x:c r="V182" s="55" t="n">
        <x:v>9804</x:v>
      </x:c>
      <x:c r="W182" s="55" t="n">
        <x:v>6788</x:v>
      </x:c>
      <x:c r="X182" s="55" t="n">
        <x:v>3016</x:v>
      </x:c>
      <x:c r="Y182" s="55" t="n">
        <x:v>2377</x:v>
      </x:c>
      <x:c r="Z182" s="55" t="n">
        <x:v>4321</x:v>
      </x:c>
      <x:c r="AA182" s="55" t="n">
        <x:v>3833</x:v>
      </x:c>
      <x:c r="AB182" s="55" t="n">
        <x:v>1364</x:v>
      </x:c>
      <x:c r="AC182" s="55" t="n">
        <x:v>8302</x:v>
      </x:c>
      <x:c r="AD182" s="55" t="n">
        <x:v>3132</x:v>
      </x:c>
      <x:c r="AE182" s="55" t="n">
        <x:v>9973</x:v>
      </x:c>
      <x:c r="AF182" s="55" t="n">
        <x:v>9804</x:v>
      </x:c>
      <x:c r="AG182" s="55" t="n">
        <x:v>169</x:v>
      </x:c>
      <x:c r="AH182" s="55" t="n">
        <x:v>286</x:v>
      </x:c>
      <x:c r="AI182" s="55" t="n">
        <x:v>9518</x:v>
      </x:c>
      <x:c r="AJ182" s="55" t="n">
        <x:v>234</x:v>
      </x:c>
      <x:c r="AK182" s="55" t="n">
        <x:v>1008</x:v>
      </x:c>
      <x:c r="AL182" s="55" t="n">
        <x:v>1136</x:v>
      </x:c>
      <x:c r="AM182" s="55" t="n">
        <x:v>4967</x:v>
      </x:c>
      <x:c r="AN182" s="55" t="n">
        <x:v>2373</x:v>
      </x:c>
      <x:c r="AO182" s="55" t="n">
        <x:v>86</x:v>
      </x:c>
      <x:c r="AP182" s="55" t="n">
        <x:v>2299</x:v>
      </x:c>
      <x:c r="AQ182" s="55" t="n">
        <x:v>976</x:v>
      </x:c>
    </x:row>
    <x:row r="183">
      <x:c r="A183" s="54" t="str">
        <x:v>T0_TABLE_BLOCK</x:v>
      </x:c>
      <x:c r="B183" s="54" t="n">
        <x:v>177</x:v>
      </x:c>
      <x:c r="C183" s="54" t="str">
        <x:v>NYC-V2-R01</x:v>
      </x:c>
      <x:c r="D183" s="54" t="str">
        <x:v>V2</x:v>
      </x:c>
      <x:c r="E183" s="54" t="str">
        <x:v>ADMITTED</x:v>
      </x:c>
      <x:c r="F183" s="55" t="n">
        <x:v>31562</x:v>
      </x:c>
      <x:c r="G183" s="55" t="n">
        <x:v>6212</x:v>
      </x:c>
      <x:c r="H183" s="55" t="n">
        <x:v>3555</x:v>
      </x:c>
      <x:c r="I183" s="55" t="n">
        <x:v>1852</x:v>
      </x:c>
      <x:c r="J183" s="55" t="n">
        <x:v>329</x:v>
      </x:c>
      <x:c r="K183" s="55" t="n">
        <x:v>31562</x:v>
      </x:c>
      <x:c r="L183" s="55" t="n">
        <x:v>5636</x:v>
      </x:c>
      <x:c r="M183" s="55" t="n">
        <x:v>1609</x:v>
      </x:c>
      <x:c r="N183" s="55" t="n">
        <x:v>2361</x:v>
      </x:c>
      <x:c r="O183" s="55" t="n">
        <x:v>1666</x:v>
      </x:c>
      <x:c r="P183" s="55" t="n">
        <x:v>956</x:v>
      </x:c>
      <x:c r="Q183" s="55" t="n">
        <x:v>2706</x:v>
      </x:c>
      <x:c r="R183" s="55" t="n">
        <x:v>2298</x:v>
      </x:c>
      <x:c r="S183" s="55" t="n">
        <x:v>3091</x:v>
      </x:c>
      <x:c r="T183" s="55" t="n">
        <x:v>931</x:v>
      </x:c>
      <x:c r="U183" s="55" t="n">
        <x:v>2625</x:v>
      </x:c>
      <x:c r="V183" s="55" t="n">
        <x:v>10352</x:v>
      </x:c>
      <x:c r="W183" s="55" t="n">
        <x:v>7220</x:v>
      </x:c>
      <x:c r="X183" s="55" t="n">
        <x:v>3132</x:v>
      </x:c>
      <x:c r="Y183" s="55" t="n">
        <x:v>2561</x:v>
      </x:c>
      <x:c r="Z183" s="55" t="n">
        <x:v>3878</x:v>
      </x:c>
      <x:c r="AA183" s="55" t="n">
        <x:v>2910</x:v>
      </x:c>
      <x:c r="AB183" s="55" t="n">
        <x:v>801</x:v>
      </x:c>
      <x:c r="AC183" s="55" t="n">
        <x:v>7905</x:v>
      </x:c>
      <x:c r="AD183" s="55" t="n">
        <x:v>3143</x:v>
      </x:c>
      <x:c r="AE183" s="55" t="n">
        <x:v>10481</x:v>
      </x:c>
      <x:c r="AF183" s="55" t="n">
        <x:v>10352</x:v>
      </x:c>
      <x:c r="AG183" s="55" t="n">
        <x:v>129</x:v>
      </x:c>
      <x:c r="AH183" s="55" t="n">
        <x:v>483</x:v>
      </x:c>
      <x:c r="AI183" s="55" t="n">
        <x:v>9869</x:v>
      </x:c>
      <x:c r="AJ183" s="55" t="n">
        <x:v>280</x:v>
      </x:c>
      <x:c r="AK183" s="55" t="n">
        <x:v>858</x:v>
      </x:c>
      <x:c r="AL183" s="55" t="n">
        <x:v>1839</x:v>
      </x:c>
      <x:c r="AM183" s="55" t="n">
        <x:v>4997</x:v>
      </x:c>
      <x:c r="AN183" s="55" t="n">
        <x:v>2378</x:v>
      </x:c>
      <x:c r="AO183" s="55" t="n">
        <x:v>0</x:v>
      </x:c>
      <x:c r="AP183" s="55" t="n">
        <x:v>2307</x:v>
      </x:c>
      <x:c r="AQ183" s="55" t="n">
        <x:v>968</x:v>
      </x:c>
    </x:row>
    <x:row r="184">
      <x:c r="A184" s="54" t="str">
        <x:v>T0_TABLE_BLOCK</x:v>
      </x:c>
      <x:c r="B184" s="54" t="n">
        <x:v>178</x:v>
      </x:c>
      <x:c r="C184" s="54" t="str">
        <x:v>NYC-V2-R01</x:v>
      </x:c>
      <x:c r="D184" s="54" t="str">
        <x:v>V2</x:v>
      </x:c>
      <x:c r="E184" s="54" t="str">
        <x:v>ADMITTED</x:v>
      </x:c>
      <x:c r="F184" s="55" t="n">
        <x:v>32004</x:v>
      </x:c>
      <x:c r="G184" s="55" t="n">
        <x:v>7950</x:v>
      </x:c>
      <x:c r="H184" s="55" t="n">
        <x:v>3336</x:v>
      </x:c>
      <x:c r="I184" s="55" t="n">
        <x:v>1308</x:v>
      </x:c>
      <x:c r="J184" s="55" t="n">
        <x:v>329</x:v>
      </x:c>
      <x:c r="K184" s="55" t="n">
        <x:v>31606</x:v>
      </x:c>
      <x:c r="L184" s="55" t="n">
        <x:v>6288</x:v>
      </x:c>
      <x:c r="M184" s="55" t="n">
        <x:v>1347</x:v>
      </x:c>
      <x:c r="N184" s="55" t="n">
        <x:v>2990</x:v>
      </x:c>
      <x:c r="O184" s="55" t="n">
        <x:v>1951</x:v>
      </x:c>
      <x:c r="P184" s="55" t="n">
        <x:v>689</x:v>
      </x:c>
      <x:c r="Q184" s="55" t="n">
        <x:v>2797</x:v>
      </x:c>
      <x:c r="R184" s="55" t="n">
        <x:v>1630</x:v>
      </x:c>
      <x:c r="S184" s="55" t="n">
        <x:v>1662</x:v>
      </x:c>
      <x:c r="T184" s="55" t="n">
        <x:v>1600</x:v>
      </x:c>
      <x:c r="U184" s="55" t="n">
        <x:v>1843</x:v>
      </x:c>
      <x:c r="V184" s="55" t="n">
        <x:v>9933</x:v>
      </x:c>
      <x:c r="W184" s="55" t="n">
        <x:v>6403</x:v>
      </x:c>
      <x:c r="X184" s="55" t="n">
        <x:v>3530</x:v>
      </x:c>
      <x:c r="Y184" s="55" t="n">
        <x:v>3200</x:v>
      </x:c>
      <x:c r="Z184" s="55" t="n">
        <x:v>4002</x:v>
      </x:c>
      <x:c r="AA184" s="55" t="n">
        <x:v>3158</x:v>
      </x:c>
      <x:c r="AB184" s="55" t="n">
        <x:v>1183</x:v>
      </x:c>
      <x:c r="AC184" s="55" t="n">
        <x:v>8052</x:v>
      </x:c>
      <x:c r="AD184" s="55" t="n">
        <x:v>2764</x:v>
      </x:c>
      <x:c r="AE184" s="55" t="n">
        <x:v>10029</x:v>
      </x:c>
      <x:c r="AF184" s="55" t="n">
        <x:v>9933</x:v>
      </x:c>
      <x:c r="AG184" s="55" t="n">
        <x:v>96</x:v>
      </x:c>
      <x:c r="AH184" s="55" t="n">
        <x:v>166</x:v>
      </x:c>
      <x:c r="AI184" s="55" t="n">
        <x:v>9767</x:v>
      </x:c>
      <x:c r="AJ184" s="55" t="n">
        <x:v>300</x:v>
      </x:c>
      <x:c r="AK184" s="55" t="n">
        <x:v>777</x:v>
      </x:c>
      <x:c r="AL184" s="55" t="n">
        <x:v>1443</x:v>
      </x:c>
      <x:c r="AM184" s="55" t="n">
        <x:v>4848</x:v>
      </x:c>
      <x:c r="AN184" s="55" t="n">
        <x:v>2558</x:v>
      </x:c>
      <x:c r="AO184" s="55" t="n">
        <x:v>7</x:v>
      </x:c>
      <x:c r="AP184" s="55" t="n">
        <x:v>2362</x:v>
      </x:c>
      <x:c r="AQ184" s="55" t="n">
        <x:v>989</x:v>
      </x:c>
    </x:row>
    <x:row r="185">
      <x:c r="A185" s="54" t="str">
        <x:v>T0_TABLE_BLOCK</x:v>
      </x:c>
      <x:c r="B185" s="54" t="n">
        <x:v>179</x:v>
      </x:c>
      <x:c r="C185" s="54" t="str">
        <x:v>NYC-V2-R01</x:v>
      </x:c>
      <x:c r="D185" s="54" t="str">
        <x:v>V2</x:v>
      </x:c>
      <x:c r="E185" s="54" t="str">
        <x:v>ADMITTED</x:v>
      </x:c>
      <x:c r="F185" s="55" t="n">
        <x:v>30182</x:v>
      </x:c>
      <x:c r="G185" s="55" t="n">
        <x:v>7261</x:v>
      </x:c>
      <x:c r="H185" s="55" t="n">
        <x:v>3662</x:v>
      </x:c>
      <x:c r="I185" s="55" t="n">
        <x:v>1442</x:v>
      </x:c>
      <x:c r="J185" s="55" t="n">
        <x:v>315</x:v>
      </x:c>
      <x:c r="K185" s="55" t="n">
        <x:v>29334</x:v>
      </x:c>
      <x:c r="L185" s="55" t="n">
        <x:v>6773</x:v>
      </x:c>
      <x:c r="M185" s="55" t="n">
        <x:v>1684</x:v>
      </x:c>
      <x:c r="N185" s="55" t="n">
        <x:v>3211</x:v>
      </x:c>
      <x:c r="O185" s="55" t="n">
        <x:v>1878</x:v>
      </x:c>
      <x:c r="P185" s="55" t="n">
        <x:v>1271</x:v>
      </x:c>
      <x:c r="Q185" s="55" t="n">
        <x:v>3595</x:v>
      </x:c>
      <x:c r="R185" s="55" t="n">
        <x:v>1949</x:v>
      </x:c>
      <x:c r="S185" s="55" t="n">
        <x:v>2104</x:v>
      </x:c>
      <x:c r="T185" s="55" t="n">
        <x:v>1315</x:v>
      </x:c>
      <x:c r="U185" s="55" t="n">
        <x:v>1817</x:v>
      </x:c>
      <x:c r="V185" s="55" t="n">
        <x:v>10262</x:v>
      </x:c>
      <x:c r="W185" s="55" t="n">
        <x:v>7259</x:v>
      </x:c>
      <x:c r="X185" s="55" t="n">
        <x:v>3003</x:v>
      </x:c>
      <x:c r="Y185" s="55" t="n">
        <x:v>2467</x:v>
      </x:c>
      <x:c r="Z185" s="55" t="n">
        <x:v>3539</x:v>
      </x:c>
      <x:c r="AA185" s="55" t="n">
        <x:v>2875</x:v>
      </x:c>
      <x:c r="AB185" s="55" t="n">
        <x:v>1117</x:v>
      </x:c>
      <x:c r="AC185" s="55" t="n">
        <x:v>7922</x:v>
      </x:c>
      <x:c r="AD185" s="55" t="n">
        <x:v>3171</x:v>
      </x:c>
      <x:c r="AE185" s="55" t="n">
        <x:v>10344</x:v>
      </x:c>
      <x:c r="AF185" s="55" t="n">
        <x:v>10262</x:v>
      </x:c>
      <x:c r="AG185" s="55" t="n">
        <x:v>82</x:v>
      </x:c>
      <x:c r="AH185" s="55" t="n">
        <x:v>320</x:v>
      </x:c>
      <x:c r="AI185" s="55" t="n">
        <x:v>9942</x:v>
      </x:c>
      <x:c r="AJ185" s="55" t="n">
        <x:v>390</x:v>
      </x:c>
      <x:c r="AK185" s="55" t="n">
        <x:v>1183</x:v>
      </x:c>
      <x:c r="AL185" s="55" t="n">
        <x:v>1199</x:v>
      </x:c>
      <x:c r="AM185" s="55" t="n">
        <x:v>4576</x:v>
      </x:c>
      <x:c r="AN185" s="55" t="n">
        <x:v>2907</x:v>
      </x:c>
      <x:c r="AO185" s="55" t="n">
        <x:v>7</x:v>
      </x:c>
      <x:c r="AP185" s="55" t="n">
        <x:v>2532</x:v>
      </x:c>
      <x:c r="AQ185" s="55" t="n">
        <x:v>926</x:v>
      </x:c>
    </x:row>
    <x:row r="186">
      <x:c r="A186" s="54" t="str">
        <x:v>T0_TABLE_BLOCK</x:v>
      </x:c>
      <x:c r="B186" s="54" t="n">
        <x:v>180</x:v>
      </x:c>
      <x:c r="C186" s="54" t="str">
        <x:v>NYC-V2-R01</x:v>
      </x:c>
      <x:c r="D186" s="54" t="str">
        <x:v>V2</x:v>
      </x:c>
      <x:c r="E186" s="54" t="str">
        <x:v>ADMITTED</x:v>
      </x:c>
      <x:c r="F186" s="55" t="n">
        <x:v>35699</x:v>
      </x:c>
      <x:c r="G186" s="55" t="n">
        <x:v>8875</x:v>
      </x:c>
      <x:c r="H186" s="55" t="n">
        <x:v>3633</x:v>
      </x:c>
      <x:c r="I186" s="55" t="n">
        <x:v>1484</x:v>
      </x:c>
      <x:c r="J186" s="55" t="n">
        <x:v>375</x:v>
      </x:c>
      <x:c r="K186" s="55" t="n">
        <x:v>30352</x:v>
      </x:c>
      <x:c r="L186" s="55" t="n">
        <x:v>5790</x:v>
      </x:c>
      <x:c r="M186" s="55" t="n">
        <x:v>1794</x:v>
      </x:c>
      <x:c r="N186" s="55" t="n">
        <x:v>2108</x:v>
      </x:c>
      <x:c r="O186" s="55" t="n">
        <x:v>1888</x:v>
      </x:c>
      <x:c r="P186" s="55" t="n">
        <x:v>850</x:v>
      </x:c>
      <x:c r="Q186" s="55" t="n">
        <x:v>2964</x:v>
      </x:c>
      <x:c r="R186" s="55" t="n">
        <x:v>1645</x:v>
      </x:c>
      <x:c r="S186" s="55" t="n">
        <x:v>2571</x:v>
      </x:c>
      <x:c r="T186" s="55" t="n">
        <x:v>1223</x:v>
      </x:c>
      <x:c r="U186" s="55" t="n">
        <x:v>1540</x:v>
      </x:c>
      <x:c r="V186" s="55" t="n">
        <x:v>10174</x:v>
      </x:c>
      <x:c r="W186" s="55" t="n">
        <x:v>7317</x:v>
      </x:c>
      <x:c r="X186" s="55" t="n">
        <x:v>2857</x:v>
      </x:c>
      <x:c r="Y186" s="55" t="n">
        <x:v>2655</x:v>
      </x:c>
      <x:c r="Z186" s="55" t="n">
        <x:v>3686</x:v>
      </x:c>
      <x:c r="AA186" s="55" t="n">
        <x:v>2743</x:v>
      </x:c>
      <x:c r="AB186" s="55" t="n">
        <x:v>1055</x:v>
      </x:c>
      <x:c r="AC186" s="55" t="n">
        <x:v>8351</x:v>
      </x:c>
      <x:c r="AD186" s="55" t="n">
        <x:v>3112</x:v>
      </x:c>
      <x:c r="AE186" s="55" t="n">
        <x:v>10267</x:v>
      </x:c>
      <x:c r="AF186" s="55" t="n">
        <x:v>10174</x:v>
      </x:c>
      <x:c r="AG186" s="55" t="n">
        <x:v>93</x:v>
      </x:c>
      <x:c r="AH186" s="55" t="n">
        <x:v>458</x:v>
      </x:c>
      <x:c r="AI186" s="55" t="n">
        <x:v>9716</x:v>
      </x:c>
      <x:c r="AJ186" s="55" t="n">
        <x:v>65</x:v>
      </x:c>
      <x:c r="AK186" s="55" t="n">
        <x:v>795</x:v>
      </x:c>
      <x:c r="AL186" s="55" t="n">
        <x:v>1513</x:v>
      </x:c>
      <x:c r="AM186" s="55" t="n">
        <x:v>4861</x:v>
      </x:c>
      <x:c r="AN186" s="55" t="n">
        <x:v>2940</x:v>
      </x:c>
      <x:c r="AO186" s="55" t="n">
        <x:v>0</x:v>
      </x:c>
      <x:c r="AP186" s="55" t="n">
        <x:v>2196</x:v>
      </x:c>
      <x:c r="AQ186" s="55" t="n">
        <x:v>918</x:v>
      </x:c>
    </x:row>
    <x:row r="187">
      <x:c r="A187" s="54" t="str">
        <x:v>T0_TABLE_BLOCK</x:v>
      </x:c>
      <x:c r="B187" s="54" t="n">
        <x:v>181</x:v>
      </x:c>
      <x:c r="C187" s="54" t="str">
        <x:v>NYC-V2-R01</x:v>
      </x:c>
      <x:c r="D187" s="54" t="str">
        <x:v>V2</x:v>
      </x:c>
      <x:c r="E187" s="54" t="str">
        <x:v>ADMITTED</x:v>
      </x:c>
      <x:c r="F187" s="55" t="n">
        <x:v>30501</x:v>
      </x:c>
      <x:c r="G187" s="55" t="n">
        <x:v>7803</x:v>
      </x:c>
      <x:c r="H187" s="55" t="n">
        <x:v>3222</x:v>
      </x:c>
      <x:c r="I187" s="55" t="n">
        <x:v>1240</x:v>
      </x:c>
      <x:c r="J187" s="55" t="n">
        <x:v>89</x:v>
      </x:c>
      <x:c r="K187" s="55" t="n">
        <x:v>30501</x:v>
      </x:c>
      <x:c r="L187" s="55" t="n">
        <x:v>5129</x:v>
      </x:c>
      <x:c r="M187" s="55" t="n">
        <x:v>1048</x:v>
      </x:c>
      <x:c r="N187" s="55" t="n">
        <x:v>2612</x:v>
      </x:c>
      <x:c r="O187" s="55" t="n">
        <x:v>1469</x:v>
      </x:c>
      <x:c r="P187" s="55" t="n">
        <x:v>573</x:v>
      </x:c>
      <x:c r="Q187" s="55" t="n">
        <x:v>3097</x:v>
      </x:c>
      <x:c r="R187" s="55" t="n">
        <x:v>1978</x:v>
      </x:c>
      <x:c r="S187" s="55" t="n">
        <x:v>2559</x:v>
      </x:c>
      <x:c r="T187" s="55" t="n">
        <x:v>1378</x:v>
      </x:c>
      <x:c r="U187" s="55" t="n">
        <x:v>1619</x:v>
      </x:c>
      <x:c r="V187" s="55" t="n">
        <x:v>9752</x:v>
      </x:c>
      <x:c r="W187" s="55" t="n">
        <x:v>6585</x:v>
      </x:c>
      <x:c r="X187" s="55" t="n">
        <x:v>3167</x:v>
      </x:c>
      <x:c r="Y187" s="55" t="n">
        <x:v>2758</x:v>
      </x:c>
      <x:c r="Z187" s="55" t="n">
        <x:v>3914</x:v>
      </x:c>
      <x:c r="AA187" s="55" t="n">
        <x:v>2887</x:v>
      </x:c>
      <x:c r="AB187" s="55" t="n">
        <x:v>904</x:v>
      </x:c>
      <x:c r="AC187" s="55" t="n">
        <x:v>8209</x:v>
      </x:c>
      <x:c r="AD187" s="55" t="n">
        <x:v>2603</x:v>
      </x:c>
      <x:c r="AE187" s="55" t="n">
        <x:v>9849</x:v>
      </x:c>
      <x:c r="AF187" s="55" t="n">
        <x:v>9752</x:v>
      </x:c>
      <x:c r="AG187" s="55" t="n">
        <x:v>97</x:v>
      </x:c>
      <x:c r="AH187" s="55" t="n">
        <x:v>120</x:v>
      </x:c>
      <x:c r="AI187" s="55" t="n">
        <x:v>9632</x:v>
      </x:c>
      <x:c r="AJ187" s="55" t="n">
        <x:v>161</x:v>
      </x:c>
      <x:c r="AK187" s="55" t="n">
        <x:v>1201</x:v>
      </x:c>
      <x:c r="AL187" s="55" t="n">
        <x:v>1187</x:v>
      </x:c>
      <x:c r="AM187" s="55" t="n">
        <x:v>5011</x:v>
      </x:c>
      <x:c r="AN187" s="55" t="n">
        <x:v>2192</x:v>
      </x:c>
      <x:c r="AO187" s="55" t="n">
        <x:v>0</x:v>
      </x:c>
      <x:c r="AP187" s="55" t="n">
        <x:v>2706</x:v>
      </x:c>
      <x:c r="AQ187" s="55" t="n">
        <x:v>980</x:v>
      </x:c>
    </x:row>
    <x:row r="188">
      <x:c r="A188" s="54" t="str">
        <x:v>T0_TABLE_BLOCK</x:v>
      </x:c>
      <x:c r="B188" s="54" t="n">
        <x:v>182</x:v>
      </x:c>
      <x:c r="C188" s="54" t="str">
        <x:v>NYC-V2-R01</x:v>
      </x:c>
      <x:c r="D188" s="54" t="str">
        <x:v>V2</x:v>
      </x:c>
      <x:c r="E188" s="54" t="str">
        <x:v>ADMITTED</x:v>
      </x:c>
      <x:c r="F188" s="55" t="n">
        <x:v>30905</x:v>
      </x:c>
      <x:c r="G188" s="55" t="n">
        <x:v>8318</x:v>
      </x:c>
      <x:c r="H188" s="55" t="n">
        <x:v>2895</x:v>
      </x:c>
      <x:c r="I188" s="55" t="n">
        <x:v>902</x:v>
      </x:c>
      <x:c r="J188" s="55" t="n">
        <x:v>213</x:v>
      </x:c>
      <x:c r="K188" s="55" t="n">
        <x:v>30905</x:v>
      </x:c>
      <x:c r="L188" s="55" t="n">
        <x:v>5211</x:v>
      </x:c>
      <x:c r="M188" s="55" t="n">
        <x:v>592</x:v>
      </x:c>
      <x:c r="N188" s="55" t="n">
        <x:v>2864</x:v>
      </x:c>
      <x:c r="O188" s="55" t="n">
        <x:v>1755</x:v>
      </x:c>
      <x:c r="P188" s="55" t="n">
        <x:v>1052</x:v>
      </x:c>
      <x:c r="Q188" s="55" t="n">
        <x:v>3063</x:v>
      </x:c>
      <x:c r="R188" s="55" t="n">
        <x:v>1905</x:v>
      </x:c>
      <x:c r="S188" s="55" t="n">
        <x:v>2787</x:v>
      </x:c>
      <x:c r="T188" s="55" t="n">
        <x:v>1306</x:v>
      </x:c>
      <x:c r="U188" s="55" t="n">
        <x:v>2533</x:v>
      </x:c>
      <x:c r="V188" s="55" t="n">
        <x:v>10757</x:v>
      </x:c>
      <x:c r="W188" s="55" t="n">
        <x:v>7749</x:v>
      </x:c>
      <x:c r="X188" s="55" t="n">
        <x:v>3008</x:v>
      </x:c>
      <x:c r="Y188" s="55" t="n">
        <x:v>2591</x:v>
      </x:c>
      <x:c r="Z188" s="55" t="n">
        <x:v>3566</x:v>
      </x:c>
      <x:c r="AA188" s="55" t="n">
        <x:v>2895</x:v>
      </x:c>
      <x:c r="AB188" s="55" t="n">
        <x:v>1291</x:v>
      </x:c>
      <x:c r="AC188" s="55" t="n">
        <x:v>8197</x:v>
      </x:c>
      <x:c r="AD188" s="55" t="n">
        <x:v>2027</x:v>
      </x:c>
      <x:c r="AE188" s="55" t="n">
        <x:v>10805</x:v>
      </x:c>
      <x:c r="AF188" s="55" t="n">
        <x:v>10757</x:v>
      </x:c>
      <x:c r="AG188" s="55" t="n">
        <x:v>48</x:v>
      </x:c>
      <x:c r="AH188" s="55" t="n">
        <x:v>459</x:v>
      </x:c>
      <x:c r="AI188" s="55" t="n">
        <x:v>10298</x:v>
      </x:c>
      <x:c r="AJ188" s="55" t="n">
        <x:v>406</x:v>
      </x:c>
      <x:c r="AK188" s="55" t="n">
        <x:v>1048</x:v>
      </x:c>
      <x:c r="AL188" s="55" t="n">
        <x:v>1034</x:v>
      </x:c>
      <x:c r="AM188" s="55" t="n">
        <x:v>5169</x:v>
      </x:c>
      <x:c r="AN188" s="55" t="n">
        <x:v>3100</x:v>
      </x:c>
      <x:c r="AO188" s="55" t="n">
        <x:v>0</x:v>
      </x:c>
      <x:c r="AP188" s="55" t="n">
        <x:v>2242</x:v>
      </x:c>
      <x:c r="AQ188" s="55" t="n">
        <x:v>977</x:v>
      </x:c>
    </x:row>
    <x:row r="189">
      <x:c r="A189" s="54" t="str">
        <x:v>T0_TABLE_BLOCK</x:v>
      </x:c>
      <x:c r="B189" s="54" t="n">
        <x:v>183</x:v>
      </x:c>
      <x:c r="C189" s="54" t="str">
        <x:v>NYC-V2-R01</x:v>
      </x:c>
      <x:c r="D189" s="54" t="str">
        <x:v>V2</x:v>
      </x:c>
      <x:c r="E189" s="54" t="str">
        <x:v>ADMITTED</x:v>
      </x:c>
      <x:c r="F189" s="55" t="n">
        <x:v>32538</x:v>
      </x:c>
      <x:c r="G189" s="55" t="n">
        <x:v>8371</x:v>
      </x:c>
      <x:c r="H189" s="55" t="n">
        <x:v>3192</x:v>
      </x:c>
      <x:c r="I189" s="55" t="n">
        <x:v>1001</x:v>
      </x:c>
      <x:c r="J189" s="55" t="n">
        <x:v>199</x:v>
      </x:c>
      <x:c r="K189" s="55" t="n">
        <x:v>30933</x:v>
      </x:c>
      <x:c r="L189" s="55" t="n">
        <x:v>7219</x:v>
      </x:c>
      <x:c r="M189" s="55" t="n">
        <x:v>2199</x:v>
      </x:c>
      <x:c r="N189" s="55" t="n">
        <x:v>3033</x:v>
      </x:c>
      <x:c r="O189" s="55" t="n">
        <x:v>1987</x:v>
      </x:c>
      <x:c r="P189" s="55" t="n">
        <x:v>797</x:v>
      </x:c>
      <x:c r="Q189" s="55" t="n">
        <x:v>2229</x:v>
      </x:c>
      <x:c r="R189" s="55" t="n">
        <x:v>1322</x:v>
      </x:c>
      <x:c r="S189" s="55" t="n">
        <x:v>2729</x:v>
      </x:c>
      <x:c r="T189" s="55" t="n">
        <x:v>743</x:v>
      </x:c>
      <x:c r="U189" s="55" t="n">
        <x:v>2374</x:v>
      </x:c>
      <x:c r="V189" s="55" t="n">
        <x:v>10617</x:v>
      </x:c>
      <x:c r="W189" s="55" t="n">
        <x:v>7513</x:v>
      </x:c>
      <x:c r="X189" s="55" t="n">
        <x:v>3104</x:v>
      </x:c>
      <x:c r="Y189" s="55" t="n">
        <x:v>2951</x:v>
      </x:c>
      <x:c r="Z189" s="55" t="n">
        <x:v>3352</x:v>
      </x:c>
      <x:c r="AA189" s="55" t="n">
        <x:v>2851</x:v>
      </x:c>
      <x:c r="AB189" s="55" t="n">
        <x:v>1092</x:v>
      </x:c>
      <x:c r="AC189" s="55" t="n">
        <x:v>7623</x:v>
      </x:c>
      <x:c r="AD189" s="55" t="n">
        <x:v>3662</x:v>
      </x:c>
      <x:c r="AE189" s="55" t="n">
        <x:v>10734</x:v>
      </x:c>
      <x:c r="AF189" s="55" t="n">
        <x:v>10617</x:v>
      </x:c>
      <x:c r="AG189" s="55" t="n">
        <x:v>117</x:v>
      </x:c>
      <x:c r="AH189" s="55" t="n">
        <x:v>188</x:v>
      </x:c>
      <x:c r="AI189" s="55" t="n">
        <x:v>10429</x:v>
      </x:c>
      <x:c r="AJ189" s="55" t="n">
        <x:v>207</x:v>
      </x:c>
      <x:c r="AK189" s="55" t="n">
        <x:v>849</x:v>
      </x:c>
      <x:c r="AL189" s="55" t="n">
        <x:v>1671</x:v>
      </x:c>
      <x:c r="AM189" s="55" t="n">
        <x:v>4395</x:v>
      </x:c>
      <x:c r="AN189" s="55" t="n">
        <x:v>3490</x:v>
      </x:c>
      <x:c r="AO189" s="55" t="n">
        <x:v>5</x:v>
      </x:c>
      <x:c r="AP189" s="55" t="n">
        <x:v>2658</x:v>
      </x:c>
      <x:c r="AQ189" s="55" t="n">
        <x:v>922</x:v>
      </x:c>
    </x:row>
    <x:row r="190">
      <x:c r="A190" s="54" t="str">
        <x:v>T0_TABLE_BLOCK</x:v>
      </x:c>
      <x:c r="B190" s="54" t="n">
        <x:v>184</x:v>
      </x:c>
      <x:c r="C190" s="54" t="str">
        <x:v>NYC-V2-R01</x:v>
      </x:c>
      <x:c r="D190" s="54" t="str">
        <x:v>V2</x:v>
      </x:c>
      <x:c r="E190" s="54" t="str">
        <x:v>ADMITTED</x:v>
      </x:c>
      <x:c r="F190" s="55" t="n">
        <x:v>30451</x:v>
      </x:c>
      <x:c r="G190" s="55" t="n">
        <x:v>7749</x:v>
      </x:c>
      <x:c r="H190" s="55" t="n">
        <x:v>3355</x:v>
      </x:c>
      <x:c r="I190" s="55" t="n">
        <x:v>1126</x:v>
      </x:c>
      <x:c r="J190" s="55" t="n">
        <x:v>165</x:v>
      </x:c>
      <x:c r="K190" s="55" t="n">
        <x:v>28263</x:v>
      </x:c>
      <x:c r="L190" s="55" t="n">
        <x:v>5199</x:v>
      </x:c>
      <x:c r="M190" s="55" t="n">
        <x:v>909</x:v>
      </x:c>
      <x:c r="N190" s="55" t="n">
        <x:v>2919</x:v>
      </x:c>
      <x:c r="O190" s="55" t="n">
        <x:v>1371</x:v>
      </x:c>
      <x:c r="P190" s="55" t="n">
        <x:v>948</x:v>
      </x:c>
      <x:c r="Q190" s="55" t="n">
        <x:v>2533</x:v>
      </x:c>
      <x:c r="R190" s="55" t="n">
        <x:v>1214</x:v>
      </x:c>
      <x:c r="S190" s="55" t="n">
        <x:v>2979</x:v>
      </x:c>
      <x:c r="T190" s="55" t="n">
        <x:v>1759</x:v>
      </x:c>
      <x:c r="U190" s="55" t="n">
        <x:v>1996</x:v>
      </x:c>
      <x:c r="V190" s="55" t="n">
        <x:v>11146</x:v>
      </x:c>
      <x:c r="W190" s="55" t="n">
        <x:v>8419</x:v>
      </x:c>
      <x:c r="X190" s="55" t="n">
        <x:v>2727</x:v>
      </x:c>
      <x:c r="Y190" s="55" t="n">
        <x:v>2333</x:v>
      </x:c>
      <x:c r="Z190" s="55" t="n">
        <x:v>3543</x:v>
      </x:c>
      <x:c r="AA190" s="55" t="n">
        <x:v>2779</x:v>
      </x:c>
      <x:c r="AB190" s="55" t="n">
        <x:v>793</x:v>
      </x:c>
      <x:c r="AC190" s="55" t="n">
        <x:v>8455</x:v>
      </x:c>
      <x:c r="AD190" s="55" t="n">
        <x:v>2712</x:v>
      </x:c>
      <x:c r="AE190" s="55" t="n">
        <x:v>11240</x:v>
      </x:c>
      <x:c r="AF190" s="55" t="n">
        <x:v>11146</x:v>
      </x:c>
      <x:c r="AG190" s="55" t="n">
        <x:v>94</x:v>
      </x:c>
      <x:c r="AH190" s="55" t="n">
        <x:v>453</x:v>
      </x:c>
      <x:c r="AI190" s="55" t="n">
        <x:v>10693</x:v>
      </x:c>
      <x:c r="AJ190" s="55" t="n">
        <x:v>300</x:v>
      </x:c>
      <x:c r="AK190" s="55" t="n">
        <x:v>1044</x:v>
      </x:c>
      <x:c r="AL190" s="55" t="n">
        <x:v>1920</x:v>
      </x:c>
      <x:c r="AM190" s="55" t="n">
        <x:v>4526</x:v>
      </x:c>
      <x:c r="AN190" s="55" t="n">
        <x:v>3284</x:v>
      </x:c>
      <x:c r="AO190" s="55" t="n">
        <x:v>72</x:v>
      </x:c>
      <x:c r="AP190" s="55" t="n">
        <x:v>2507</x:v>
      </x:c>
      <x:c r="AQ190" s="55" t="n">
        <x:v>935</x:v>
      </x:c>
    </x:row>
    <x:row r="191">
      <x:c r="A191" s="54" t="str">
        <x:v>T0_TABLE_BLOCK</x:v>
      </x:c>
      <x:c r="B191" s="54" t="n">
        <x:v>185</x:v>
      </x:c>
      <x:c r="C191" s="54" t="str">
        <x:v>NYC-V2-R01</x:v>
      </x:c>
      <x:c r="D191" s="54" t="str">
        <x:v>V2</x:v>
      </x:c>
      <x:c r="E191" s="54" t="str">
        <x:v>ADMITTED</x:v>
      </x:c>
      <x:c r="F191" s="55" t="n">
        <x:v>30089</x:v>
      </x:c>
      <x:c r="G191" s="55" t="n">
        <x:v>6719</x:v>
      </x:c>
      <x:c r="H191" s="55" t="n">
        <x:v>3470</x:v>
      </x:c>
      <x:c r="I191" s="55" t="n">
        <x:v>1348</x:v>
      </x:c>
      <x:c r="J191" s="55" t="n">
        <x:v>465</x:v>
      </x:c>
      <x:c r="K191" s="55" t="n">
        <x:v>30089</x:v>
      </x:c>
      <x:c r="L191" s="55" t="n">
        <x:v>4839</x:v>
      </x:c>
      <x:c r="M191" s="55" t="n">
        <x:v>1298</x:v>
      </x:c>
      <x:c r="N191" s="55" t="n">
        <x:v>1926</x:v>
      </x:c>
      <x:c r="O191" s="55" t="n">
        <x:v>1615</x:v>
      </x:c>
      <x:c r="P191" s="55" t="n">
        <x:v>729</x:v>
      </x:c>
      <x:c r="Q191" s="55" t="n">
        <x:v>1616</x:v>
      </x:c>
      <x:c r="R191" s="55" t="n">
        <x:v>2175</x:v>
      </x:c>
      <x:c r="S191" s="55" t="n">
        <x:v>3166</x:v>
      </x:c>
      <x:c r="T191" s="55" t="n">
        <x:v>1199</x:v>
      </x:c>
      <x:c r="U191" s="55" t="n">
        <x:v>1763</x:v>
      </x:c>
      <x:c r="V191" s="55" t="n">
        <x:v>9983</x:v>
      </x:c>
      <x:c r="W191" s="55" t="n">
        <x:v>6786</x:v>
      </x:c>
      <x:c r="X191" s="55" t="n">
        <x:v>3197</x:v>
      </x:c>
      <x:c r="Y191" s="55" t="n">
        <x:v>2721</x:v>
      </x:c>
      <x:c r="Z191" s="55" t="n">
        <x:v>3787</x:v>
      </x:c>
      <x:c r="AA191" s="55" t="n">
        <x:v>3335</x:v>
      </x:c>
      <x:c r="AB191" s="55" t="n">
        <x:v>1022</x:v>
      </x:c>
      <x:c r="AC191" s="55" t="n">
        <x:v>8176</x:v>
      </x:c>
      <x:c r="AD191" s="55" t="n">
        <x:v>2895</x:v>
      </x:c>
      <x:c r="AE191" s="55" t="n">
        <x:v>10057</x:v>
      </x:c>
      <x:c r="AF191" s="55" t="n">
        <x:v>9983</x:v>
      </x:c>
      <x:c r="AG191" s="55" t="n">
        <x:v>74</x:v>
      </x:c>
      <x:c r="AH191" s="55" t="n">
        <x:v>314</x:v>
      </x:c>
      <x:c r="AI191" s="55" t="n">
        <x:v>9669</x:v>
      </x:c>
      <x:c r="AJ191" s="55" t="n">
        <x:v>220</x:v>
      </x:c>
      <x:c r="AK191" s="55" t="n">
        <x:v>787</x:v>
      </x:c>
      <x:c r="AL191" s="55" t="n">
        <x:v>1713</x:v>
      </x:c>
      <x:c r="AM191" s="55" t="n">
        <x:v>5202</x:v>
      </x:c>
      <x:c r="AN191" s="55" t="n">
        <x:v>2049</x:v>
      </x:c>
      <x:c r="AO191" s="55" t="n">
        <x:v>12</x:v>
      </x:c>
      <x:c r="AP191" s="55" t="n">
        <x:v>2938</x:v>
      </x:c>
      <x:c r="AQ191" s="55" t="n">
        <x:v>935</x:v>
      </x:c>
    </x:row>
    <x:row r="192">
      <x:c r="A192" s="54" t="str">
        <x:v>T0_TABLE_BLOCK</x:v>
      </x:c>
      <x:c r="B192" s="54" t="n">
        <x:v>186</x:v>
      </x:c>
      <x:c r="C192" s="54" t="str">
        <x:v>NYC-V2-R01</x:v>
      </x:c>
      <x:c r="D192" s="54" t="str">
        <x:v>V2</x:v>
      </x:c>
      <x:c r="E192" s="54" t="str">
        <x:v>ADMITTED</x:v>
      </x:c>
      <x:c r="F192" s="55" t="n">
        <x:v>31120</x:v>
      </x:c>
      <x:c r="G192" s="55" t="n">
        <x:v>8458</x:v>
      </x:c>
      <x:c r="H192" s="55" t="n">
        <x:v>3336</x:v>
      </x:c>
      <x:c r="I192" s="55" t="n">
        <x:v>1384</x:v>
      </x:c>
      <x:c r="J192" s="55" t="n">
        <x:v>7</x:v>
      </x:c>
      <x:c r="K192" s="55" t="n">
        <x:v>28289</x:v>
      </x:c>
      <x:c r="L192" s="55" t="n">
        <x:v>5363</x:v>
      </x:c>
      <x:c r="M192" s="55" t="n">
        <x:v>1074</x:v>
      </x:c>
      <x:c r="N192" s="55" t="n">
        <x:v>2752</x:v>
      </x:c>
      <x:c r="O192" s="55" t="n">
        <x:v>1537</x:v>
      </x:c>
      <x:c r="P192" s="55" t="n">
        <x:v>746</x:v>
      </x:c>
      <x:c r="Q192" s="55" t="n">
        <x:v>2871</x:v>
      </x:c>
      <x:c r="R192" s="55" t="n">
        <x:v>1666</x:v>
      </x:c>
      <x:c r="S192" s="55" t="n">
        <x:v>3105</x:v>
      </x:c>
      <x:c r="T192" s="55" t="n">
        <x:v>1233</x:v>
      </x:c>
      <x:c r="U192" s="55" t="n">
        <x:v>2103</x:v>
      </x:c>
      <x:c r="V192" s="55" t="n">
        <x:v>10047</x:v>
      </x:c>
      <x:c r="W192" s="55" t="n">
        <x:v>6888</x:v>
      </x:c>
      <x:c r="X192" s="55" t="n">
        <x:v>3159</x:v>
      </x:c>
      <x:c r="Y192" s="55" t="n">
        <x:v>2884</x:v>
      </x:c>
      <x:c r="Z192" s="55" t="n">
        <x:v>3489</x:v>
      </x:c>
      <x:c r="AA192" s="55" t="n">
        <x:v>3336</x:v>
      </x:c>
      <x:c r="AB192" s="55" t="n">
        <x:v>1156</x:v>
      </x:c>
      <x:c r="AC192" s="55" t="n">
        <x:v>8485</x:v>
      </x:c>
      <x:c r="AD192" s="55" t="n">
        <x:v>2485</x:v>
      </x:c>
      <x:c r="AE192" s="55" t="n">
        <x:v>10186</x:v>
      </x:c>
      <x:c r="AF192" s="55" t="n">
        <x:v>10047</x:v>
      </x:c>
      <x:c r="AG192" s="55" t="n">
        <x:v>139</x:v>
      </x:c>
      <x:c r="AH192" s="55" t="n">
        <x:v>369</x:v>
      </x:c>
      <x:c r="AI192" s="55" t="n">
        <x:v>9678</x:v>
      </x:c>
      <x:c r="AJ192" s="55" t="n">
        <x:v>315</x:v>
      </x:c>
      <x:c r="AK192" s="55" t="n">
        <x:v>1061</x:v>
      </x:c>
      <x:c r="AL192" s="55" t="n">
        <x:v>1147</x:v>
      </x:c>
      <x:c r="AM192" s="55" t="n">
        <x:v>5003</x:v>
      </x:c>
      <x:c r="AN192" s="55" t="n">
        <x:v>2521</x:v>
      </x:c>
      <x:c r="AO192" s="55" t="n">
        <x:v>0</x:v>
      </x:c>
      <x:c r="AP192" s="55" t="n">
        <x:v>2815</x:v>
      </x:c>
      <x:c r="AQ192" s="55" t="n">
        <x:v>943</x:v>
      </x:c>
    </x:row>
    <x:row r="193">
      <x:c r="A193" s="54" t="str">
        <x:v>T0_TABLE_BLOCK</x:v>
      </x:c>
      <x:c r="B193" s="54" t="n">
        <x:v>187</x:v>
      </x:c>
      <x:c r="C193" s="54" t="str">
        <x:v>NYC-V2-R01</x:v>
      </x:c>
      <x:c r="D193" s="54" t="str">
        <x:v>V2</x:v>
      </x:c>
      <x:c r="E193" s="54" t="str">
        <x:v>ADMITTED</x:v>
      </x:c>
      <x:c r="F193" s="55" t="n">
        <x:v>31358</x:v>
      </x:c>
      <x:c r="G193" s="55" t="n">
        <x:v>6868</x:v>
      </x:c>
      <x:c r="H193" s="55" t="n">
        <x:v>3652</x:v>
      </x:c>
      <x:c r="I193" s="55" t="n">
        <x:v>1483</x:v>
      </x:c>
      <x:c r="J193" s="55" t="n">
        <x:v>307</x:v>
      </x:c>
      <x:c r="K193" s="55" t="n">
        <x:v>31358</x:v>
      </x:c>
      <x:c r="L193" s="55" t="n">
        <x:v>5650</x:v>
      </x:c>
      <x:c r="M193" s="55" t="n">
        <x:v>1692</x:v>
      </x:c>
      <x:c r="N193" s="55" t="n">
        <x:v>2664</x:v>
      </x:c>
      <x:c r="O193" s="55" t="n">
        <x:v>1294</x:v>
      </x:c>
      <x:c r="P193" s="55" t="n">
        <x:v>586</x:v>
      </x:c>
      <x:c r="Q193" s="55" t="n">
        <x:v>1901</x:v>
      </x:c>
      <x:c r="R193" s="55" t="n">
        <x:v>2232</x:v>
      </x:c>
      <x:c r="S193" s="55" t="n">
        <x:v>2937</x:v>
      </x:c>
      <x:c r="T193" s="55" t="n">
        <x:v>1028</x:v>
      </x:c>
      <x:c r="U193" s="55" t="n">
        <x:v>2163</x:v>
      </x:c>
      <x:c r="V193" s="55" t="n">
        <x:v>10445</x:v>
      </x:c>
      <x:c r="W193" s="55" t="n">
        <x:v>7251</x:v>
      </x:c>
      <x:c r="X193" s="55" t="n">
        <x:v>3194</x:v>
      </x:c>
      <x:c r="Y193" s="55" t="n">
        <x:v>2572</x:v>
      </x:c>
      <x:c r="Z193" s="55" t="n">
        <x:v>3694</x:v>
      </x:c>
      <x:c r="AA193" s="55" t="n">
        <x:v>3056</x:v>
      </x:c>
      <x:c r="AB193" s="55" t="n">
        <x:v>910</x:v>
      </x:c>
      <x:c r="AC193" s="55" t="n">
        <x:v>8084</x:v>
      </x:c>
      <x:c r="AD193" s="55" t="n">
        <x:v>2526</x:v>
      </x:c>
      <x:c r="AE193" s="55" t="n">
        <x:v>10533</x:v>
      </x:c>
      <x:c r="AF193" s="55" t="n">
        <x:v>10445</x:v>
      </x:c>
      <x:c r="AG193" s="55" t="n">
        <x:v>88</x:v>
      </x:c>
      <x:c r="AH193" s="55" t="n">
        <x:v>304</x:v>
      </x:c>
      <x:c r="AI193" s="55" t="n">
        <x:v>10141</x:v>
      </x:c>
      <x:c r="AJ193" s="55" t="n">
        <x:v>390</x:v>
      </x:c>
      <x:c r="AK193" s="55" t="n">
        <x:v>1098</x:v>
      </x:c>
      <x:c r="AL193" s="55" t="n">
        <x:v>1322</x:v>
      </x:c>
      <x:c r="AM193" s="55" t="n">
        <x:v>5340</x:v>
      </x:c>
      <x:c r="AN193" s="55" t="n">
        <x:v>2270</x:v>
      </x:c>
      <x:c r="AO193" s="55" t="n">
        <x:v>25</x:v>
      </x:c>
      <x:c r="AP193" s="55" t="n">
        <x:v>2648</x:v>
      </x:c>
      <x:c r="AQ193" s="55" t="n">
        <x:v>964</x:v>
      </x:c>
    </x:row>
    <x:row r="194">
      <x:c r="A194" s="54" t="str">
        <x:v>T0_TABLE_BLOCK</x:v>
      </x:c>
      <x:c r="B194" s="54" t="n">
        <x:v>188</x:v>
      </x:c>
      <x:c r="C194" s="54" t="str">
        <x:v>NYC-V2-R01</x:v>
      </x:c>
      <x:c r="D194" s="54" t="str">
        <x:v>V2</x:v>
      </x:c>
      <x:c r="E194" s="54" t="str">
        <x:v>ADMITTED</x:v>
      </x:c>
      <x:c r="F194" s="55" t="n">
        <x:v>31876</x:v>
      </x:c>
      <x:c r="G194" s="55" t="n">
        <x:v>6766</x:v>
      </x:c>
      <x:c r="H194" s="55" t="n">
        <x:v>3018</x:v>
      </x:c>
      <x:c r="I194" s="55" t="n">
        <x:v>1006</x:v>
      </x:c>
      <x:c r="J194" s="55" t="n">
        <x:v>12</x:v>
      </x:c>
      <x:c r="K194" s="55" t="n">
        <x:v>31876</x:v>
      </x:c>
      <x:c r="L194" s="55" t="n">
        <x:v>6615</x:v>
      </x:c>
      <x:c r="M194" s="55" t="n">
        <x:v>1665</x:v>
      </x:c>
      <x:c r="N194" s="55" t="n">
        <x:v>3018</x:v>
      </x:c>
      <x:c r="O194" s="55" t="n">
        <x:v>1932</x:v>
      </x:c>
      <x:c r="P194" s="55" t="n">
        <x:v>521</x:v>
      </x:c>
      <x:c r="Q194" s="55" t="n">
        <x:v>1094</x:v>
      </x:c>
      <x:c r="R194" s="55" t="n">
        <x:v>1967</x:v>
      </x:c>
      <x:c r="S194" s="55" t="n">
        <x:v>3082</x:v>
      </x:c>
      <x:c r="T194" s="55" t="n">
        <x:v>1502</x:v>
      </x:c>
      <x:c r="U194" s="55" t="n">
        <x:v>2345</x:v>
      </x:c>
      <x:c r="V194" s="55" t="n">
        <x:v>10376</x:v>
      </x:c>
      <x:c r="W194" s="55" t="n">
        <x:v>7593</x:v>
      </x:c>
      <x:c r="X194" s="55" t="n">
        <x:v>2783</x:v>
      </x:c>
      <x:c r="Y194" s="55" t="n">
        <x:v>2359</x:v>
      </x:c>
      <x:c r="Z194" s="55" t="n">
        <x:v>3357</x:v>
      </x:c>
      <x:c r="AA194" s="55" t="n">
        <x:v>2688</x:v>
      </x:c>
      <x:c r="AB194" s="55" t="n">
        <x:v>807</x:v>
      </x:c>
      <x:c r="AC194" s="55" t="n">
        <x:v>8468</x:v>
      </x:c>
      <x:c r="AD194" s="55" t="n">
        <x:v>2547</x:v>
      </x:c>
      <x:c r="AE194" s="55" t="n">
        <x:v>10408</x:v>
      </x:c>
      <x:c r="AF194" s="55" t="n">
        <x:v>10376</x:v>
      </x:c>
      <x:c r="AG194" s="55" t="n">
        <x:v>32</x:v>
      </x:c>
      <x:c r="AH194" s="55" t="n">
        <x:v>525</x:v>
      </x:c>
      <x:c r="AI194" s="55" t="n">
        <x:v>9851</x:v>
      </x:c>
      <x:c r="AJ194" s="55" t="n">
        <x:v>76</x:v>
      </x:c>
      <x:c r="AK194" s="55" t="n">
        <x:v>1192</x:v>
      </x:c>
      <x:c r="AL194" s="55" t="n">
        <x:v>1284</x:v>
      </x:c>
      <x:c r="AM194" s="55" t="n">
        <x:v>5154</x:v>
      </x:c>
      <x:c r="AN194" s="55" t="n">
        <x:v>2636</x:v>
      </x:c>
      <x:c r="AO194" s="55" t="n">
        <x:v>34</x:v>
      </x:c>
      <x:c r="AP194" s="55" t="n">
        <x:v>2167</x:v>
      </x:c>
      <x:c r="AQ194" s="55" t="n">
        <x:v>1023</x:v>
      </x:c>
    </x:row>
    <x:row r="195">
      <x:c r="A195" s="54" t="str">
        <x:v>T0_TABLE_BLOCK</x:v>
      </x:c>
      <x:c r="B195" s="54" t="n">
        <x:v>189</x:v>
      </x:c>
      <x:c r="C195" s="54" t="str">
        <x:v>NYC-V2-R01</x:v>
      </x:c>
      <x:c r="D195" s="54" t="str">
        <x:v>V2</x:v>
      </x:c>
      <x:c r="E195" s="54" t="str">
        <x:v>ADMITTED</x:v>
      </x:c>
      <x:c r="F195" s="55" t="n">
        <x:v>33484</x:v>
      </x:c>
      <x:c r="G195" s="55" t="n">
        <x:v>9394</x:v>
      </x:c>
      <x:c r="H195" s="55" t="n">
        <x:v>3452</x:v>
      </x:c>
      <x:c r="I195" s="55" t="n">
        <x:v>1374</x:v>
      </x:c>
      <x:c r="J195" s="55" t="n">
        <x:v>343</x:v>
      </x:c>
      <x:c r="K195" s="55" t="n">
        <x:v>30568</x:v>
      </x:c>
      <x:c r="L195" s="55" t="n">
        <x:v>5619</x:v>
      </x:c>
      <x:c r="M195" s="55" t="n">
        <x:v>1434</x:v>
      </x:c>
      <x:c r="N195" s="55" t="n">
        <x:v>2450</x:v>
      </x:c>
      <x:c r="O195" s="55" t="n">
        <x:v>1735</x:v>
      </x:c>
      <x:c r="P195" s="55" t="n">
        <x:v>893</x:v>
      </x:c>
      <x:c r="Q195" s="55" t="n">
        <x:v>2201</x:v>
      </x:c>
      <x:c r="R195" s="55" t="n">
        <x:v>1278</x:v>
      </x:c>
      <x:c r="S195" s="55" t="n">
        <x:v>2688</x:v>
      </x:c>
      <x:c r="T195" s="55" t="n">
        <x:v>1364</x:v>
      </x:c>
      <x:c r="U195" s="55" t="n">
        <x:v>2517</x:v>
      </x:c>
      <x:c r="V195" s="55" t="n">
        <x:v>10518</x:v>
      </x:c>
      <x:c r="W195" s="55" t="n">
        <x:v>8030</x:v>
      </x:c>
      <x:c r="X195" s="55" t="n">
        <x:v>2488</x:v>
      </x:c>
      <x:c r="Y195" s="55" t="n">
        <x:v>2110</x:v>
      </x:c>
      <x:c r="Z195" s="55" t="n">
        <x:v>3800</x:v>
      </x:c>
      <x:c r="AA195" s="55" t="n">
        <x:v>3452</x:v>
      </x:c>
      <x:c r="AB195" s="55" t="n">
        <x:v>1036</x:v>
      </x:c>
      <x:c r="AC195" s="55" t="n">
        <x:v>7869</x:v>
      </x:c>
      <x:c r="AD195" s="55" t="n">
        <x:v>2700</x:v>
      </x:c>
      <x:c r="AE195" s="55" t="n">
        <x:v>10580</x:v>
      </x:c>
      <x:c r="AF195" s="55" t="n">
        <x:v>10518</x:v>
      </x:c>
      <x:c r="AG195" s="55" t="n">
        <x:v>62</x:v>
      </x:c>
      <x:c r="AH195" s="55" t="n">
        <x:v>414</x:v>
      </x:c>
      <x:c r="AI195" s="55" t="n">
        <x:v>10104</x:v>
      </x:c>
      <x:c r="AJ195" s="55" t="n">
        <x:v>271</x:v>
      </x:c>
      <x:c r="AK195" s="55" t="n">
        <x:v>1270</x:v>
      </x:c>
      <x:c r="AL195" s="55" t="n">
        <x:v>1985</x:v>
      </x:c>
      <x:c r="AM195" s="55" t="n">
        <x:v>4816</x:v>
      </x:c>
      <x:c r="AN195" s="55" t="n">
        <x:v>2131</x:v>
      </x:c>
      <x:c r="AO195" s="55" t="n">
        <x:v>45</x:v>
      </x:c>
      <x:c r="AP195" s="55" t="n">
        <x:v>2098</x:v>
      </x:c>
      <x:c r="AQ195" s="55" t="n">
        <x:v>958</x:v>
      </x:c>
    </x:row>
    <x:row r="196">
      <x:c r="A196" s="54" t="str">
        <x:v>T0_TABLE_BLOCK</x:v>
      </x:c>
      <x:c r="B196" s="54" t="n">
        <x:v>190</x:v>
      </x:c>
      <x:c r="C196" s="54" t="str">
        <x:v>NYC-V2-R01</x:v>
      </x:c>
      <x:c r="D196" s="54" t="str">
        <x:v>V2</x:v>
      </x:c>
      <x:c r="E196" s="54" t="str">
        <x:v>ADMITTED</x:v>
      </x:c>
      <x:c r="F196" s="55" t="n">
        <x:v>30337</x:v>
      </x:c>
      <x:c r="G196" s="55" t="n">
        <x:v>7808</x:v>
      </x:c>
      <x:c r="H196" s="55" t="n">
        <x:v>3098</x:v>
      </x:c>
      <x:c r="I196" s="55" t="n">
        <x:v>1451</x:v>
      </x:c>
      <x:c r="J196" s="55" t="n">
        <x:v>154</x:v>
      </x:c>
      <x:c r="K196" s="55" t="n">
        <x:v>30337</x:v>
      </x:c>
      <x:c r="L196" s="55" t="n">
        <x:v>6685</x:v>
      </x:c>
      <x:c r="M196" s="55" t="n">
        <x:v>2082</x:v>
      </x:c>
      <x:c r="N196" s="55" t="n">
        <x:v>2562</x:v>
      </x:c>
      <x:c r="O196" s="55" t="n">
        <x:v>2041</x:v>
      </x:c>
      <x:c r="P196" s="55" t="n">
        <x:v>362</x:v>
      </x:c>
      <x:c r="Q196" s="55" t="n">
        <x:v>1698</x:v>
      </x:c>
      <x:c r="R196" s="55" t="n">
        <x:v>1985</x:v>
      </x:c>
      <x:c r="S196" s="55" t="n">
        <x:v>2178</x:v>
      </x:c>
      <x:c r="T196" s="55" t="n">
        <x:v>1542</x:v>
      </x:c>
      <x:c r="U196" s="55" t="n">
        <x:v>2160</x:v>
      </x:c>
      <x:c r="V196" s="55" t="n">
        <x:v>10276</x:v>
      </x:c>
      <x:c r="W196" s="55" t="n">
        <x:v>7503</x:v>
      </x:c>
      <x:c r="X196" s="55" t="n">
        <x:v>2773</x:v>
      </x:c>
      <x:c r="Y196" s="55" t="n">
        <x:v>2393</x:v>
      </x:c>
      <x:c r="Z196" s="55" t="n">
        <x:v>3563</x:v>
      </x:c>
      <x:c r="AA196" s="55" t="n">
        <x:v>3098</x:v>
      </x:c>
      <x:c r="AB196" s="55" t="n">
        <x:v>1190</x:v>
      </x:c>
      <x:c r="AC196" s="55" t="n">
        <x:v>8090</x:v>
      </x:c>
      <x:c r="AD196" s="55" t="n">
        <x:v>2728</x:v>
      </x:c>
      <x:c r="AE196" s="55" t="n">
        <x:v>10394</x:v>
      </x:c>
      <x:c r="AF196" s="55" t="n">
        <x:v>10276</x:v>
      </x:c>
      <x:c r="AG196" s="55" t="n">
        <x:v>118</x:v>
      </x:c>
      <x:c r="AH196" s="55" t="n">
        <x:v>416</x:v>
      </x:c>
      <x:c r="AI196" s="55" t="n">
        <x:v>9860</x:v>
      </x:c>
      <x:c r="AJ196" s="55" t="n">
        <x:v>50</x:v>
      </x:c>
      <x:c r="AK196" s="55" t="n">
        <x:v>883</x:v>
      </x:c>
      <x:c r="AL196" s="55" t="n">
        <x:v>2043</x:v>
      </x:c>
      <x:c r="AM196" s="55" t="n">
        <x:v>5000</x:v>
      </x:c>
      <x:c r="AN196" s="55" t="n">
        <x:v>2202</x:v>
      </x:c>
      <x:c r="AO196" s="55" t="n">
        <x:v>98</x:v>
      </x:c>
      <x:c r="AP196" s="55" t="n">
        <x:v>1907</x:v>
      </x:c>
      <x:c r="AQ196" s="55" t="n">
        <x:v>974</x:v>
      </x:c>
    </x:row>
    <x:row r="197">
      <x:c r="A197" s="54" t="str">
        <x:v>T0_TABLE_BLOCK</x:v>
      </x:c>
      <x:c r="B197" s="54" t="n">
        <x:v>191</x:v>
      </x:c>
      <x:c r="C197" s="54" t="str">
        <x:v>NYC-V2-R01</x:v>
      </x:c>
      <x:c r="D197" s="54" t="str">
        <x:v>V2</x:v>
      </x:c>
      <x:c r="E197" s="54" t="str">
        <x:v>ADMITTED</x:v>
      </x:c>
      <x:c r="F197" s="55" t="n">
        <x:v>31063</x:v>
      </x:c>
      <x:c r="G197" s="55" t="n">
        <x:v>7233</x:v>
      </x:c>
      <x:c r="H197" s="55" t="n">
        <x:v>3383</x:v>
      </x:c>
      <x:c r="I197" s="55" t="n">
        <x:v>836</x:v>
      </x:c>
      <x:c r="J197" s="55" t="n">
        <x:v>0</x:v>
      </x:c>
      <x:c r="K197" s="55" t="n">
        <x:v>31063</x:v>
      </x:c>
      <x:c r="L197" s="55" t="n">
        <x:v>6552</x:v>
      </x:c>
      <x:c r="M197" s="55" t="n">
        <x:v>1663</x:v>
      </x:c>
      <x:c r="N197" s="55" t="n">
        <x:v>2998</x:v>
      </x:c>
      <x:c r="O197" s="55" t="n">
        <x:v>1891</x:v>
      </x:c>
      <x:c r="P197" s="55" t="n">
        <x:v>668</x:v>
      </x:c>
      <x:c r="Q197" s="55" t="n">
        <x:v>1357</x:v>
      </x:c>
      <x:c r="R197" s="55" t="n">
        <x:v>2258</x:v>
      </x:c>
      <x:c r="S197" s="55" t="n">
        <x:v>3287</x:v>
      </x:c>
      <x:c r="T197" s="55" t="n">
        <x:v>1391</x:v>
      </x:c>
      <x:c r="U197" s="55" t="n">
        <x:v>1949</x:v>
      </x:c>
      <x:c r="V197" s="55" t="n">
        <x:v>9841</x:v>
      </x:c>
      <x:c r="W197" s="55" t="n">
        <x:v>6855</x:v>
      </x:c>
      <x:c r="X197" s="55" t="n">
        <x:v>2986</x:v>
      </x:c>
      <x:c r="Y197" s="55" t="n">
        <x:v>2609</x:v>
      </x:c>
      <x:c r="Z197" s="55" t="n">
        <x:v>3590</x:v>
      </x:c>
      <x:c r="AA197" s="55" t="n">
        <x:v>3383</x:v>
      </x:c>
      <x:c r="AB197" s="55" t="n">
        <x:v>1226</x:v>
      </x:c>
      <x:c r="AC197" s="55" t="n">
        <x:v>7452</x:v>
      </x:c>
      <x:c r="AD197" s="55" t="n">
        <x:v>2861</x:v>
      </x:c>
      <x:c r="AE197" s="55" t="n">
        <x:v>9999</x:v>
      </x:c>
      <x:c r="AF197" s="55" t="n">
        <x:v>9841</x:v>
      </x:c>
      <x:c r="AG197" s="55" t="n">
        <x:v>158</x:v>
      </x:c>
      <x:c r="AH197" s="55" t="n">
        <x:v>546</x:v>
      </x:c>
      <x:c r="AI197" s="55" t="n">
        <x:v>9295</x:v>
      </x:c>
      <x:c r="AJ197" s="55" t="n">
        <x:v>256</x:v>
      </x:c>
      <x:c r="AK197" s="55" t="n">
        <x:v>449</x:v>
      </x:c>
      <x:c r="AL197" s="55" t="n">
        <x:v>1187</x:v>
      </x:c>
      <x:c r="AM197" s="55" t="n">
        <x:v>5119</x:v>
      </x:c>
      <x:c r="AN197" s="55" t="n">
        <x:v>2830</x:v>
      </x:c>
      <x:c r="AO197" s="55" t="n">
        <x:v>0</x:v>
      </x:c>
      <x:c r="AP197" s="55" t="n">
        <x:v>2338</x:v>
      </x:c>
      <x:c r="AQ197" s="55" t="n">
        <x:v>929</x:v>
      </x:c>
    </x:row>
    <x:row r="198">
      <x:c r="A198" s="54" t="str">
        <x:v>T0_TABLE_BLOCK</x:v>
      </x:c>
      <x:c r="B198" s="54" t="n">
        <x:v>192</x:v>
      </x:c>
      <x:c r="C198" s="54" t="str">
        <x:v>NYC-V2-R01</x:v>
      </x:c>
      <x:c r="D198" s="54" t="str">
        <x:v>V2</x:v>
      </x:c>
      <x:c r="E198" s="54" t="str">
        <x:v>ADMITTED</x:v>
      </x:c>
      <x:c r="F198" s="55" t="n">
        <x:v>31526</x:v>
      </x:c>
      <x:c r="G198" s="55" t="n">
        <x:v>6881</x:v>
      </x:c>
      <x:c r="H198" s="55" t="n">
        <x:v>4344</x:v>
      </x:c>
      <x:c r="I198" s="55" t="n">
        <x:v>1138</x:v>
      </x:c>
      <x:c r="J198" s="55" t="n">
        <x:v>251</x:v>
      </x:c>
      <x:c r="K198" s="55" t="n">
        <x:v>31526</x:v>
      </x:c>
      <x:c r="L198" s="55" t="n">
        <x:v>7031</x:v>
      </x:c>
      <x:c r="M198" s="55" t="n">
        <x:v>2580</x:v>
      </x:c>
      <x:c r="N198" s="55" t="n">
        <x:v>2793</x:v>
      </x:c>
      <x:c r="O198" s="55" t="n">
        <x:v>1658</x:v>
      </x:c>
      <x:c r="P198" s="55" t="n">
        <x:v>602</x:v>
      </x:c>
      <x:c r="Q198" s="55" t="n">
        <x:v>2829</x:v>
      </x:c>
      <x:c r="R198" s="55" t="n">
        <x:v>1873</x:v>
      </x:c>
      <x:c r="S198" s="55" t="n">
        <x:v>2431</x:v>
      </x:c>
      <x:c r="T198" s="55" t="n">
        <x:v>883</x:v>
      </x:c>
      <x:c r="U198" s="55" t="n">
        <x:v>2179</x:v>
      </x:c>
      <x:c r="V198" s="55" t="n">
        <x:v>11158</x:v>
      </x:c>
      <x:c r="W198" s="55" t="n">
        <x:v>8485</x:v>
      </x:c>
      <x:c r="X198" s="55" t="n">
        <x:v>2673</x:v>
      </x:c>
      <x:c r="Y198" s="55" t="n">
        <x:v>2481</x:v>
      </x:c>
      <x:c r="Z198" s="55" t="n">
        <x:v>3440</x:v>
      </x:c>
      <x:c r="AA198" s="55" t="n">
        <x:v>2984</x:v>
      </x:c>
      <x:c r="AB198" s="55" t="n">
        <x:v>1156</x:v>
      </x:c>
      <x:c r="AC198" s="55" t="n">
        <x:v>8665</x:v>
      </x:c>
      <x:c r="AD198" s="55" t="n">
        <x:v>2681</x:v>
      </x:c>
      <x:c r="AE198" s="55" t="n">
        <x:v>11205</x:v>
      </x:c>
      <x:c r="AF198" s="55" t="n">
        <x:v>11158</x:v>
      </x:c>
      <x:c r="AG198" s="55" t="n">
        <x:v>47</x:v>
      </x:c>
      <x:c r="AH198" s="55" t="n">
        <x:v>774</x:v>
      </x:c>
      <x:c r="AI198" s="55" t="n">
        <x:v>10384</x:v>
      </x:c>
      <x:c r="AJ198" s="55" t="n">
        <x:v>531</x:v>
      </x:c>
      <x:c r="AK198" s="55" t="n">
        <x:v>833</x:v>
      </x:c>
      <x:c r="AL198" s="55" t="n">
        <x:v>1796</x:v>
      </x:c>
      <x:c r="AM198" s="55" t="n">
        <x:v>5499</x:v>
      </x:c>
      <x:c r="AN198" s="55" t="n">
        <x:v>2499</x:v>
      </x:c>
      <x:c r="AO198" s="55" t="n">
        <x:v>0</x:v>
      </x:c>
      <x:c r="AP198" s="55" t="n">
        <x:v>2377</x:v>
      </x:c>
      <x:c r="AQ198" s="55" t="n">
        <x:v>953</x:v>
      </x:c>
    </x:row>
    <x:row r="199">
      <x:c r="A199" s="54" t="str">
        <x:v>T0_TABLE_BLOCK</x:v>
      </x:c>
      <x:c r="B199" s="54" t="n">
        <x:v>193</x:v>
      </x:c>
      <x:c r="C199" s="54" t="str">
        <x:v>NYC-V2-R01</x:v>
      </x:c>
      <x:c r="D199" s="54" t="str">
        <x:v>V2</x:v>
      </x:c>
      <x:c r="E199" s="54" t="str">
        <x:v>ADMITTED</x:v>
      </x:c>
      <x:c r="F199" s="55" t="n">
        <x:v>31987</x:v>
      </x:c>
      <x:c r="G199" s="55" t="n">
        <x:v>6898</x:v>
      </x:c>
      <x:c r="H199" s="55" t="n">
        <x:v>3282</x:v>
      </x:c>
      <x:c r="I199" s="55" t="n">
        <x:v>843</x:v>
      </x:c>
      <x:c r="J199" s="55" t="n">
        <x:v>60</x:v>
      </x:c>
      <x:c r="K199" s="55" t="n">
        <x:v>31987</x:v>
      </x:c>
      <x:c r="L199" s="55" t="n">
        <x:v>5056</x:v>
      </x:c>
      <x:c r="M199" s="55" t="n">
        <x:v>1033</x:v>
      </x:c>
      <x:c r="N199" s="55" t="n">
        <x:v>2102</x:v>
      </x:c>
      <x:c r="O199" s="55" t="n">
        <x:v>1921</x:v>
      </x:c>
      <x:c r="P199" s="55" t="n">
        <x:v>865</x:v>
      </x:c>
      <x:c r="Q199" s="55" t="n">
        <x:v>2736</x:v>
      </x:c>
      <x:c r="R199" s="55" t="n">
        <x:v>2120</x:v>
      </x:c>
      <x:c r="S199" s="55" t="n">
        <x:v>3346</x:v>
      </x:c>
      <x:c r="T199" s="55" t="n">
        <x:v>1170</x:v>
      </x:c>
      <x:c r="U199" s="55" t="n">
        <x:v>2481</x:v>
      </x:c>
      <x:c r="V199" s="55" t="n">
        <x:v>11183</x:v>
      </x:c>
      <x:c r="W199" s="55" t="n">
        <x:v>8032</x:v>
      </x:c>
      <x:c r="X199" s="55" t="n">
        <x:v>3151</x:v>
      </x:c>
      <x:c r="Y199" s="55" t="n">
        <x:v>2653</x:v>
      </x:c>
      <x:c r="Z199" s="55" t="n">
        <x:v>4117</x:v>
      </x:c>
      <x:c r="AA199" s="55" t="n">
        <x:v>3282</x:v>
      </x:c>
      <x:c r="AB199" s="55" t="n">
        <x:v>796</x:v>
      </x:c>
      <x:c r="AC199" s="55" t="n">
        <x:v>7575</x:v>
      </x:c>
      <x:c r="AD199" s="55" t="n">
        <x:v>3012</x:v>
      </x:c>
      <x:c r="AE199" s="55" t="n">
        <x:v>11264</x:v>
      </x:c>
      <x:c r="AF199" s="55" t="n">
        <x:v>11183</x:v>
      </x:c>
      <x:c r="AG199" s="55" t="n">
        <x:v>81</x:v>
      </x:c>
      <x:c r="AH199" s="55" t="n">
        <x:v>503</x:v>
      </x:c>
      <x:c r="AI199" s="55" t="n">
        <x:v>10680</x:v>
      </x:c>
      <x:c r="AJ199" s="55" t="n">
        <x:v>411</x:v>
      </x:c>
      <x:c r="AK199" s="55" t="n">
        <x:v>1426</x:v>
      </x:c>
      <x:c r="AL199" s="55" t="n">
        <x:v>1897</x:v>
      </x:c>
      <x:c r="AM199" s="55" t="n">
        <x:v>4904</x:v>
      </x:c>
      <x:c r="AN199" s="55" t="n">
        <x:v>2534</x:v>
      </x:c>
      <x:c r="AO199" s="55" t="n">
        <x:v>11</x:v>
      </x:c>
      <x:c r="AP199" s="55" t="n">
        <x:v>2332</x:v>
      </x:c>
      <x:c r="AQ199" s="55" t="n">
        <x:v>940</x:v>
      </x:c>
    </x:row>
    <x:row r="200">
      <x:c r="A200" s="54" t="str">
        <x:v>T0_TABLE_BLOCK</x:v>
      </x:c>
      <x:c r="B200" s="54" t="n">
        <x:v>194</x:v>
      </x:c>
      <x:c r="C200" s="54" t="str">
        <x:v>NYC-V2-R01</x:v>
      </x:c>
      <x:c r="D200" s="54" t="str">
        <x:v>V2</x:v>
      </x:c>
      <x:c r="E200" s="54" t="str">
        <x:v>ADMITTED</x:v>
      </x:c>
      <x:c r="F200" s="55" t="n">
        <x:v>31600</x:v>
      </x:c>
      <x:c r="G200" s="55" t="n">
        <x:v>6638</x:v>
      </x:c>
      <x:c r="H200" s="55" t="n">
        <x:v>3271</x:v>
      </x:c>
      <x:c r="I200" s="55" t="n">
        <x:v>1260</x:v>
      </x:c>
      <x:c r="J200" s="55" t="n">
        <x:v>97</x:v>
      </x:c>
      <x:c r="K200" s="55" t="n">
        <x:v>31600</x:v>
      </x:c>
      <x:c r="L200" s="55" t="n">
        <x:v>6016</x:v>
      </x:c>
      <x:c r="M200" s="55" t="n">
        <x:v>1426</x:v>
      </x:c>
      <x:c r="N200" s="55" t="n">
        <x:v>3060</x:v>
      </x:c>
      <x:c r="O200" s="55" t="n">
        <x:v>1530</x:v>
      </x:c>
      <x:c r="P200" s="55" t="n">
        <x:v>766</x:v>
      </x:c>
      <x:c r="Q200" s="55" t="n">
        <x:v>2028</x:v>
      </x:c>
      <x:c r="R200" s="55" t="n">
        <x:v>2369</x:v>
      </x:c>
      <x:c r="S200" s="55" t="n">
        <x:v>3001</x:v>
      </x:c>
      <x:c r="T200" s="55" t="n">
        <x:v>1191</x:v>
      </x:c>
      <x:c r="U200" s="55" t="n">
        <x:v>1864</x:v>
      </x:c>
      <x:c r="V200" s="55" t="n">
        <x:v>10112</x:v>
      </x:c>
      <x:c r="W200" s="55" t="n">
        <x:v>6987</x:v>
      </x:c>
      <x:c r="X200" s="55" t="n">
        <x:v>3125</x:v>
      </x:c>
      <x:c r="Y200" s="55" t="n">
        <x:v>2528</x:v>
      </x:c>
      <x:c r="Z200" s="55" t="n">
        <x:v>3413</x:v>
      </x:c>
      <x:c r="AA200" s="55" t="n">
        <x:v>2791</x:v>
      </x:c>
      <x:c r="AB200" s="55" t="n">
        <x:v>923</x:v>
      </x:c>
      <x:c r="AC200" s="55" t="n">
        <x:v>7830</x:v>
      </x:c>
      <x:c r="AD200" s="55" t="n">
        <x:v>3084</x:v>
      </x:c>
      <x:c r="AE200" s="55" t="n">
        <x:v>10214</x:v>
      </x:c>
      <x:c r="AF200" s="55" t="n">
        <x:v>10112</x:v>
      </x:c>
      <x:c r="AG200" s="55" t="n">
        <x:v>102</x:v>
      </x:c>
      <x:c r="AH200" s="55" t="n">
        <x:v>484</x:v>
      </x:c>
      <x:c r="AI200" s="55" t="n">
        <x:v>9628</x:v>
      </x:c>
      <x:c r="AJ200" s="55" t="n">
        <x:v>494</x:v>
      </x:c>
      <x:c r="AK200" s="55" t="n">
        <x:v>1014</x:v>
      </x:c>
      <x:c r="AL200" s="55" t="n">
        <x:v>892</x:v>
      </x:c>
      <x:c r="AM200" s="55" t="n">
        <x:v>5230</x:v>
      </x:c>
      <x:c r="AN200" s="55" t="n">
        <x:v>2482</x:v>
      </x:c>
      <x:c r="AO200" s="55" t="n">
        <x:v>0</x:v>
      </x:c>
      <x:c r="AP200" s="55" t="n">
        <x:v>2428</x:v>
      </x:c>
      <x:c r="AQ200" s="55" t="n">
        <x:v>968</x:v>
      </x:c>
    </x:row>
    <x:row r="201">
      <x:c r="A201" s="54" t="str">
        <x:v>T0_TABLE_BLOCK</x:v>
      </x:c>
      <x:c r="B201" s="54" t="n">
        <x:v>195</x:v>
      </x:c>
      <x:c r="C201" s="54" t="str">
        <x:v>NYC-V2-R01</x:v>
      </x:c>
      <x:c r="D201" s="54" t="str">
        <x:v>V2</x:v>
      </x:c>
      <x:c r="E201" s="54" t="str">
        <x:v>ADMITTED</x:v>
      </x:c>
      <x:c r="F201" s="55" t="n">
        <x:v>31730</x:v>
      </x:c>
      <x:c r="G201" s="55" t="n">
        <x:v>7851</x:v>
      </x:c>
      <x:c r="H201" s="55" t="n">
        <x:v>3208</x:v>
      </x:c>
      <x:c r="I201" s="55" t="n">
        <x:v>1222</x:v>
      </x:c>
      <x:c r="J201" s="55" t="n">
        <x:v>314</x:v>
      </x:c>
      <x:c r="K201" s="55" t="n">
        <x:v>31730</x:v>
      </x:c>
      <x:c r="L201" s="55" t="n">
        <x:v>6203</x:v>
      </x:c>
      <x:c r="M201" s="55" t="n">
        <x:v>1749</x:v>
      </x:c>
      <x:c r="N201" s="55" t="n">
        <x:v>2593</x:v>
      </x:c>
      <x:c r="O201" s="55" t="n">
        <x:v>1861</x:v>
      </x:c>
      <x:c r="P201" s="55" t="n">
        <x:v>616</x:v>
      </x:c>
      <x:c r="Q201" s="55" t="n">
        <x:v>1946</x:v>
      </x:c>
      <x:c r="R201" s="55" t="n">
        <x:v>1992</x:v>
      </x:c>
      <x:c r="S201" s="55" t="n">
        <x:v>2422</x:v>
      </x:c>
      <x:c r="T201" s="55" t="n">
        <x:v>1311</x:v>
      </x:c>
      <x:c r="U201" s="55" t="n">
        <x:v>2006</x:v>
      </x:c>
      <x:c r="V201" s="55" t="n">
        <x:v>10203</x:v>
      </x:c>
      <x:c r="W201" s="55" t="n">
        <x:v>7164</x:v>
      </x:c>
      <x:c r="X201" s="55" t="n">
        <x:v>3039</x:v>
      </x:c>
      <x:c r="Y201" s="55" t="n">
        <x:v>2628</x:v>
      </x:c>
      <x:c r="Z201" s="55" t="n">
        <x:v>3834</x:v>
      </x:c>
      <x:c r="AA201" s="55" t="n">
        <x:v>3208</x:v>
      </x:c>
      <x:c r="AB201" s="55" t="n">
        <x:v>1058</x:v>
      </x:c>
      <x:c r="AC201" s="55" t="n">
        <x:v>8139</x:v>
      </x:c>
      <x:c r="AD201" s="55" t="n">
        <x:v>2240</x:v>
      </x:c>
      <x:c r="AE201" s="55" t="n">
        <x:v>10309</x:v>
      </x:c>
      <x:c r="AF201" s="55" t="n">
        <x:v>10203</x:v>
      </x:c>
      <x:c r="AG201" s="55" t="n">
        <x:v>106</x:v>
      </x:c>
      <x:c r="AH201" s="55" t="n">
        <x:v>457</x:v>
      </x:c>
      <x:c r="AI201" s="55" t="n">
        <x:v>9746</x:v>
      </x:c>
      <x:c r="AJ201" s="55" t="n">
        <x:v>332</x:v>
      </x:c>
      <x:c r="AK201" s="55" t="n">
        <x:v>1132</x:v>
      </x:c>
      <x:c r="AL201" s="55" t="n">
        <x:v>1353</x:v>
      </x:c>
      <x:c r="AM201" s="55" t="n">
        <x:v>4426</x:v>
      </x:c>
      <x:c r="AN201" s="55" t="n">
        <x:v>2960</x:v>
      </x:c>
      <x:c r="AO201" s="55" t="n">
        <x:v>0</x:v>
      </x:c>
      <x:c r="AP201" s="55" t="n">
        <x:v>2744</x:v>
      </x:c>
      <x:c r="AQ201" s="55" t="n">
        <x:v>944</x:v>
      </x:c>
    </x:row>
    <x:row r="202">
      <x:c r="A202" s="54" t="str">
        <x:v>T0_TABLE_BLOCK</x:v>
      </x:c>
      <x:c r="B202" s="54" t="n">
        <x:v>196</x:v>
      </x:c>
      <x:c r="C202" s="54" t="str">
        <x:v>NYC-V2-R01</x:v>
      </x:c>
      <x:c r="D202" s="54" t="str">
        <x:v>V2</x:v>
      </x:c>
      <x:c r="E202" s="54" t="str">
        <x:v>ADMITTED</x:v>
      </x:c>
      <x:c r="F202" s="55" t="n">
        <x:v>30881</x:v>
      </x:c>
      <x:c r="G202" s="55" t="n">
        <x:v>8041</x:v>
      </x:c>
      <x:c r="H202" s="55" t="n">
        <x:v>2816</x:v>
      </x:c>
      <x:c r="I202" s="55" t="n">
        <x:v>1515</x:v>
      </x:c>
      <x:c r="J202" s="55" t="n">
        <x:v>206</x:v>
      </x:c>
      <x:c r="K202" s="55" t="n">
        <x:v>30881</x:v>
      </x:c>
      <x:c r="L202" s="55" t="n">
        <x:v>4439</x:v>
      </x:c>
      <x:c r="M202" s="55" t="n">
        <x:v>777</x:v>
      </x:c>
      <x:c r="N202" s="55" t="n">
        <x:v>2246</x:v>
      </x:c>
      <x:c r="O202" s="55" t="n">
        <x:v>1416</x:v>
      </x:c>
      <x:c r="P202" s="55" t="n">
        <x:v>673</x:v>
      </x:c>
      <x:c r="Q202" s="55" t="n">
        <x:v>2671</x:v>
      </x:c>
      <x:c r="R202" s="55" t="n">
        <x:v>2425</x:v>
      </x:c>
      <x:c r="S202" s="55" t="n">
        <x:v>2745</x:v>
      </x:c>
      <x:c r="T202" s="55" t="n">
        <x:v>1321</x:v>
      </x:c>
      <x:c r="U202" s="55" t="n">
        <x:v>1649</x:v>
      </x:c>
      <x:c r="V202" s="55" t="n">
        <x:v>10438</x:v>
      </x:c>
      <x:c r="W202" s="55" t="n">
        <x:v>6821</x:v>
      </x:c>
      <x:c r="X202" s="55" t="n">
        <x:v>3617</x:v>
      </x:c>
      <x:c r="Y202" s="55" t="n">
        <x:v>3256</x:v>
      </x:c>
      <x:c r="Z202" s="55" t="n">
        <x:v>3074</x:v>
      </x:c>
      <x:c r="AA202" s="55" t="n">
        <x:v>2611</x:v>
      </x:c>
      <x:c r="AB202" s="55" t="n">
        <x:v>672</x:v>
      </x:c>
      <x:c r="AC202" s="55" t="n">
        <x:v>7845</x:v>
      </x:c>
      <x:c r="AD202" s="55" t="n">
        <x:v>2824</x:v>
      </x:c>
      <x:c r="AE202" s="55" t="n">
        <x:v>10483</x:v>
      </x:c>
      <x:c r="AF202" s="55" t="n">
        <x:v>10438</x:v>
      </x:c>
      <x:c r="AG202" s="55" t="n">
        <x:v>45</x:v>
      </x:c>
      <x:c r="AH202" s="55" t="n">
        <x:v>372</x:v>
      </x:c>
      <x:c r="AI202" s="55" t="n">
        <x:v>10066</x:v>
      </x:c>
      <x:c r="AJ202" s="55" t="n">
        <x:v>416</x:v>
      </x:c>
      <x:c r="AK202" s="55" t="n">
        <x:v>1035</x:v>
      </x:c>
      <x:c r="AL202" s="55" t="n">
        <x:v>1620</x:v>
      </x:c>
      <x:c r="AM202" s="55" t="n">
        <x:v>5177</x:v>
      </x:c>
      <x:c r="AN202" s="55" t="n">
        <x:v>2185</x:v>
      </x:c>
      <x:c r="AO202" s="55" t="n">
        <x:v>5</x:v>
      </x:c>
      <x:c r="AP202" s="55" t="n">
        <x:v>2169</x:v>
      </x:c>
      <x:c r="AQ202" s="55" t="n">
        <x:v>920</x:v>
      </x:c>
    </x:row>
    <x:row r="203">
      <x:c r="A203" s="54" t="str">
        <x:v>T0_TABLE_BLOCK</x:v>
      </x:c>
      <x:c r="B203" s="54" t="n">
        <x:v>197</x:v>
      </x:c>
      <x:c r="C203" s="54" t="str">
        <x:v>NYC-V2-R01</x:v>
      </x:c>
      <x:c r="D203" s="54" t="str">
        <x:v>V2</x:v>
      </x:c>
      <x:c r="E203" s="54" t="str">
        <x:v>ADMITTED</x:v>
      </x:c>
      <x:c r="F203" s="55" t="n">
        <x:v>31034</x:v>
      </x:c>
      <x:c r="G203" s="55" t="n">
        <x:v>8243</x:v>
      </x:c>
      <x:c r="H203" s="55" t="n">
        <x:v>3256</x:v>
      </x:c>
      <x:c r="I203" s="55" t="n">
        <x:v>1149</x:v>
      </x:c>
      <x:c r="J203" s="55" t="n">
        <x:v>101</x:v>
      </x:c>
      <x:c r="K203" s="55" t="n">
        <x:v>29896</x:v>
      </x:c>
      <x:c r="L203" s="55" t="n">
        <x:v>5292</x:v>
      </x:c>
      <x:c r="M203" s="55" t="n">
        <x:v>508</x:v>
      </x:c>
      <x:c r="N203" s="55" t="n">
        <x:v>3002</x:v>
      </x:c>
      <x:c r="O203" s="55" t="n">
        <x:v>1782</x:v>
      </x:c>
      <x:c r="P203" s="55" t="n">
        <x:v>315</x:v>
      </x:c>
      <x:c r="Q203" s="55" t="n">
        <x:v>2460</x:v>
      </x:c>
      <x:c r="R203" s="55" t="n">
        <x:v>2276</x:v>
      </x:c>
      <x:c r="S203" s="55" t="n">
        <x:v>2720</x:v>
      </x:c>
      <x:c r="T203" s="55" t="n">
        <x:v>1336</x:v>
      </x:c>
      <x:c r="U203" s="55" t="n">
        <x:v>1899</x:v>
      </x:c>
      <x:c r="V203" s="55" t="n">
        <x:v>10586</x:v>
      </x:c>
      <x:c r="W203" s="55" t="n">
        <x:v>7832</x:v>
      </x:c>
      <x:c r="X203" s="55" t="n">
        <x:v>2754</x:v>
      </x:c>
      <x:c r="Y203" s="55" t="n">
        <x:v>2525</x:v>
      </x:c>
      <x:c r="Z203" s="55" t="n">
        <x:v>4038</x:v>
      </x:c>
      <x:c r="AA203" s="55" t="n">
        <x:v>2823</x:v>
      </x:c>
      <x:c r="AB203" s="55" t="n">
        <x:v>947</x:v>
      </x:c>
      <x:c r="AC203" s="55" t="n">
        <x:v>8046</x:v>
      </x:c>
      <x:c r="AD203" s="55" t="n">
        <x:v>2992</x:v>
      </x:c>
      <x:c r="AE203" s="55" t="n">
        <x:v>10681</x:v>
      </x:c>
      <x:c r="AF203" s="55" t="n">
        <x:v>10586</x:v>
      </x:c>
      <x:c r="AG203" s="55" t="n">
        <x:v>95</x:v>
      </x:c>
      <x:c r="AH203" s="55" t="n">
        <x:v>279</x:v>
      </x:c>
      <x:c r="AI203" s="55" t="n">
        <x:v>10307</x:v>
      </x:c>
      <x:c r="AJ203" s="55" t="n">
        <x:v>382</x:v>
      </x:c>
      <x:c r="AK203" s="55" t="n">
        <x:v>639</x:v>
      </x:c>
      <x:c r="AL203" s="55" t="n">
        <x:v>1824</x:v>
      </x:c>
      <x:c r="AM203" s="55" t="n">
        <x:v>4732</x:v>
      </x:c>
      <x:c r="AN203" s="55" t="n">
        <x:v>2870</x:v>
      </x:c>
      <x:c r="AO203" s="55" t="n">
        <x:v>139</x:v>
      </x:c>
      <x:c r="AP203" s="55" t="n">
        <x:v>2375</x:v>
      </x:c>
      <x:c r="AQ203" s="55" t="n">
        <x:v>940</x:v>
      </x:c>
    </x:row>
    <x:row r="204">
      <x:c r="A204" s="54" t="str">
        <x:v>T0_TABLE_BLOCK</x:v>
      </x:c>
      <x:c r="B204" s="54" t="n">
        <x:v>198</x:v>
      </x:c>
      <x:c r="C204" s="54" t="str">
        <x:v>NYC-V2-R01</x:v>
      </x:c>
      <x:c r="D204" s="54" t="str">
        <x:v>V2</x:v>
      </x:c>
      <x:c r="E204" s="54" t="str">
        <x:v>ADMITTED</x:v>
      </x:c>
      <x:c r="F204" s="55" t="n">
        <x:v>32602</x:v>
      </x:c>
      <x:c r="G204" s="55" t="n">
        <x:v>7562</x:v>
      </x:c>
      <x:c r="H204" s="55" t="n">
        <x:v>3266</x:v>
      </x:c>
      <x:c r="I204" s="55" t="n">
        <x:v>1242</x:v>
      </x:c>
      <x:c r="J204" s="55" t="n">
        <x:v>198</x:v>
      </x:c>
      <x:c r="K204" s="55" t="n">
        <x:v>32602</x:v>
      </x:c>
      <x:c r="L204" s="55" t="n">
        <x:v>5280</x:v>
      </x:c>
      <x:c r="M204" s="55" t="n">
        <x:v>784</x:v>
      </x:c>
      <x:c r="N204" s="55" t="n">
        <x:v>2846</x:v>
      </x:c>
      <x:c r="O204" s="55" t="n">
        <x:v>1650</x:v>
      </x:c>
      <x:c r="P204" s="55" t="n">
        <x:v>911</x:v>
      </x:c>
      <x:c r="Q204" s="55" t="n">
        <x:v>2156</x:v>
      </x:c>
      <x:c r="R204" s="55" t="n">
        <x:v>2001</x:v>
      </x:c>
      <x:c r="S204" s="55" t="n">
        <x:v>3261</x:v>
      </x:c>
      <x:c r="T204" s="55" t="n">
        <x:v>1282</x:v>
      </x:c>
      <x:c r="U204" s="55" t="n">
        <x:v>1570</x:v>
      </x:c>
      <x:c r="V204" s="55" t="n">
        <x:v>9931</x:v>
      </x:c>
      <x:c r="W204" s="55" t="n">
        <x:v>7168</x:v>
      </x:c>
      <x:c r="X204" s="55" t="n">
        <x:v>2763</x:v>
      </x:c>
      <x:c r="Y204" s="55" t="n">
        <x:v>2062</x:v>
      </x:c>
      <x:c r="Z204" s="55" t="n">
        <x:v>3713</x:v>
      </x:c>
      <x:c r="AA204" s="55" t="n">
        <x:v>2775</x:v>
      </x:c>
      <x:c r="AB204" s="55" t="n">
        <x:v>988</x:v>
      </x:c>
      <x:c r="AC204" s="55" t="n">
        <x:v>8105</x:v>
      </x:c>
      <x:c r="AD204" s="55" t="n">
        <x:v>2213</x:v>
      </x:c>
      <x:c r="AE204" s="55" t="n">
        <x:v>10010</x:v>
      </x:c>
      <x:c r="AF204" s="55" t="n">
        <x:v>9931</x:v>
      </x:c>
      <x:c r="AG204" s="55" t="n">
        <x:v>79</x:v>
      </x:c>
      <x:c r="AH204" s="55" t="n">
        <x:v>364</x:v>
      </x:c>
      <x:c r="AI204" s="55" t="n">
        <x:v>9567</x:v>
      </x:c>
      <x:c r="AJ204" s="55" t="n">
        <x:v>196</x:v>
      </x:c>
      <x:c r="AK204" s="55" t="n">
        <x:v>1064</x:v>
      </x:c>
      <x:c r="AL204" s="55" t="n">
        <x:v>1677</x:v>
      </x:c>
      <x:c r="AM204" s="55" t="n">
        <x:v>4405</x:v>
      </x:c>
      <x:c r="AN204" s="55" t="n">
        <x:v>2577</x:v>
      </x:c>
      <x:c r="AO204" s="55" t="n">
        <x:v>12</x:v>
      </x:c>
      <x:c r="AP204" s="55" t="n">
        <x:v>1552</x:v>
      </x:c>
      <x:c r="AQ204" s="55" t="n">
        <x:v>989</x:v>
      </x:c>
    </x:row>
    <x:row r="205">
      <x:c r="A205" s="54" t="str">
        <x:v>T0_TABLE_BLOCK</x:v>
      </x:c>
      <x:c r="B205" s="54" t="n">
        <x:v>199</x:v>
      </x:c>
      <x:c r="C205" s="54" t="str">
        <x:v>NYC-V2-R01</x:v>
      </x:c>
      <x:c r="D205" s="54" t="str">
        <x:v>V2</x:v>
      </x:c>
      <x:c r="E205" s="54" t="str">
        <x:v>ADMITTED</x:v>
      </x:c>
      <x:c r="F205" s="55" t="n">
        <x:v>32042</x:v>
      </x:c>
      <x:c r="G205" s="55" t="n">
        <x:v>8402</x:v>
      </x:c>
      <x:c r="H205" s="55" t="n">
        <x:v>3421</x:v>
      </x:c>
      <x:c r="I205" s="55" t="n">
        <x:v>1356</x:v>
      </x:c>
      <x:c r="J205" s="55" t="n">
        <x:v>112</x:v>
      </x:c>
      <x:c r="K205" s="55" t="n">
        <x:v>28328</x:v>
      </x:c>
      <x:c r="L205" s="55" t="n">
        <x:v>5872</x:v>
      </x:c>
      <x:c r="M205" s="55" t="n">
        <x:v>1583</x:v>
      </x:c>
      <x:c r="N205" s="55" t="n">
        <x:v>2677</x:v>
      </x:c>
      <x:c r="O205" s="55" t="n">
        <x:v>1612</x:v>
      </x:c>
      <x:c r="P205" s="55" t="n">
        <x:v>720</x:v>
      </x:c>
      <x:c r="Q205" s="55" t="n">
        <x:v>1448</x:v>
      </x:c>
      <x:c r="R205" s="55" t="n">
        <x:v>1882</x:v>
      </x:c>
      <x:c r="S205" s="55" t="n">
        <x:v>2699</x:v>
      </x:c>
      <x:c r="T205" s="55" t="n">
        <x:v>1427</x:v>
      </x:c>
      <x:c r="U205" s="55" t="n">
        <x:v>1923</x:v>
      </x:c>
      <x:c r="V205" s="55" t="n">
        <x:v>9904</x:v>
      </x:c>
      <x:c r="W205" s="55" t="n">
        <x:v>6416</x:v>
      </x:c>
      <x:c r="X205" s="55" t="n">
        <x:v>3488</x:v>
      </x:c>
      <x:c r="Y205" s="55" t="n">
        <x:v>2980</x:v>
      </x:c>
      <x:c r="Z205" s="55" t="n">
        <x:v>4310</x:v>
      </x:c>
      <x:c r="AA205" s="55" t="n">
        <x:v>2849</x:v>
      </x:c>
      <x:c r="AB205" s="55" t="n">
        <x:v>1146</x:v>
      </x:c>
      <x:c r="AC205" s="55" t="n">
        <x:v>8077</x:v>
      </x:c>
      <x:c r="AD205" s="55" t="n">
        <x:v>3118</x:v>
      </x:c>
      <x:c r="AE205" s="55" t="n">
        <x:v>10031</x:v>
      </x:c>
      <x:c r="AF205" s="55" t="n">
        <x:v>9904</x:v>
      </x:c>
      <x:c r="AG205" s="55" t="n">
        <x:v>127</x:v>
      </x:c>
      <x:c r="AH205" s="55" t="n">
        <x:v>282</x:v>
      </x:c>
      <x:c r="AI205" s="55" t="n">
        <x:v>9622</x:v>
      </x:c>
      <x:c r="AJ205" s="55" t="n">
        <x:v>213</x:v>
      </x:c>
      <x:c r="AK205" s="55" t="n">
        <x:v>1106</x:v>
      </x:c>
      <x:c r="AL205" s="55" t="n">
        <x:v>1287</x:v>
      </x:c>
      <x:c r="AM205" s="55" t="n">
        <x:v>4854</x:v>
      </x:c>
      <x:c r="AN205" s="55" t="n">
        <x:v>2444</x:v>
      </x:c>
      <x:c r="AO205" s="55" t="n">
        <x:v>0</x:v>
      </x:c>
      <x:c r="AP205" s="55" t="n">
        <x:v>2593</x:v>
      </x:c>
      <x:c r="AQ205" s="55" t="n">
        <x:v>938</x:v>
      </x:c>
    </x:row>
    <x:row r="206">
      <x:c r="A206" s="54" t="str">
        <x:v>T0_TABLE_BLOCK</x:v>
      </x:c>
      <x:c r="B206" s="54" t="n">
        <x:v>200</x:v>
      </x:c>
      <x:c r="C206" s="54" t="str">
        <x:v>NYC-V2-R01</x:v>
      </x:c>
      <x:c r="D206" s="54" t="str">
        <x:v>V2</x:v>
      </x:c>
      <x:c r="E206" s="54" t="str">
        <x:v>ADMITTED</x:v>
      </x:c>
      <x:c r="F206" s="55" t="n">
        <x:v>32457</x:v>
      </x:c>
      <x:c r="G206" s="55" t="n">
        <x:v>8065</x:v>
      </x:c>
      <x:c r="H206" s="55" t="n">
        <x:v>3030</x:v>
      </x:c>
      <x:c r="I206" s="55" t="n">
        <x:v>837</x:v>
      </x:c>
      <x:c r="J206" s="55" t="n">
        <x:v>133</x:v>
      </x:c>
      <x:c r="K206" s="55" t="n">
        <x:v>32457</x:v>
      </x:c>
      <x:c r="L206" s="55" t="n">
        <x:v>5819</x:v>
      </x:c>
      <x:c r="M206" s="55" t="n">
        <x:v>1268</x:v>
      </x:c>
      <x:c r="N206" s="55" t="n">
        <x:v>2774</x:v>
      </x:c>
      <x:c r="O206" s="55" t="n">
        <x:v>1777</x:v>
      </x:c>
      <x:c r="P206" s="55" t="n">
        <x:v>654</x:v>
      </x:c>
      <x:c r="Q206" s="55" t="n">
        <x:v>2325</x:v>
      </x:c>
      <x:c r="R206" s="55" t="n">
        <x:v>1398</x:v>
      </x:c>
      <x:c r="S206" s="55" t="n">
        <x:v>2828</x:v>
      </x:c>
      <x:c r="T206" s="55" t="n">
        <x:v>1410</x:v>
      </x:c>
      <x:c r="U206" s="55" t="n">
        <x:v>1419</x:v>
      </x:c>
      <x:c r="V206" s="55" t="n">
        <x:v>9972</x:v>
      </x:c>
      <x:c r="W206" s="55" t="n">
        <x:v>7364</x:v>
      </x:c>
      <x:c r="X206" s="55" t="n">
        <x:v>2608</x:v>
      </x:c>
      <x:c r="Y206" s="55" t="n">
        <x:v>2218</x:v>
      </x:c>
      <x:c r="Z206" s="55" t="n">
        <x:v>3784</x:v>
      </x:c>
      <x:c r="AA206" s="55" t="n">
        <x:v>2652</x:v>
      </x:c>
      <x:c r="AB206" s="55" t="n">
        <x:v>776</x:v>
      </x:c>
      <x:c r="AC206" s="55" t="n">
        <x:v>7292</x:v>
      </x:c>
      <x:c r="AD206" s="55" t="n">
        <x:v>2973</x:v>
      </x:c>
      <x:c r="AE206" s="55" t="n">
        <x:v>9972</x:v>
      </x:c>
      <x:c r="AF206" s="55" t="n">
        <x:v>9972</x:v>
      </x:c>
      <x:c r="AG206" s="55" t="n">
        <x:v>0</x:v>
      </x:c>
      <x:c r="AH206" s="55" t="n">
        <x:v>421</x:v>
      </x:c>
      <x:c r="AI206" s="55" t="n">
        <x:v>9551</x:v>
      </x:c>
      <x:c r="AJ206" s="55" t="n">
        <x:v>369</x:v>
      </x:c>
      <x:c r="AK206" s="55" t="n">
        <x:v>516</x:v>
      </x:c>
      <x:c r="AL206" s="55" t="n">
        <x:v>1236</x:v>
      </x:c>
      <x:c r="AM206" s="55" t="n">
        <x:v>4860</x:v>
      </x:c>
      <x:c r="AN206" s="55" t="n">
        <x:v>2991</x:v>
      </x:c>
      <x:c r="AO206" s="55" t="n">
        <x:v>0</x:v>
      </x:c>
      <x:c r="AP206" s="55" t="n">
        <x:v>2335</x:v>
      </x:c>
      <x:c r="AQ206" s="55" t="n">
        <x:v>1001</x:v>
      </x:c>
    </x:row>
    <x:row r="207">
      <x:c r="A207" s="54" t="str">
        <x:v>T0_TABLE_BLOCK</x:v>
      </x:c>
      <x:c r="B207" s="54" t="n">
        <x:v>201</x:v>
      </x:c>
      <x:c r="C207" s="54" t="str">
        <x:v>NYC-V2-R01</x:v>
      </x:c>
      <x:c r="D207" s="54" t="str">
        <x:v>V2</x:v>
      </x:c>
      <x:c r="E207" s="54" t="str">
        <x:v>ADMITTED</x:v>
      </x:c>
      <x:c r="F207" s="55" t="n">
        <x:v>29708</x:v>
      </x:c>
      <x:c r="G207" s="55" t="n">
        <x:v>7420</x:v>
      </x:c>
      <x:c r="H207" s="55" t="n">
        <x:v>2759</x:v>
      </x:c>
      <x:c r="I207" s="55" t="n">
        <x:v>1096</x:v>
      </x:c>
      <x:c r="J207" s="55" t="n">
        <x:v>424</x:v>
      </x:c>
      <x:c r="K207" s="55" t="n">
        <x:v>28815</x:v>
      </x:c>
      <x:c r="L207" s="55" t="n">
        <x:v>5788</x:v>
      </x:c>
      <x:c r="M207" s="55" t="n">
        <x:v>1156</x:v>
      </x:c>
      <x:c r="N207" s="55" t="n">
        <x:v>2527</x:v>
      </x:c>
      <x:c r="O207" s="55" t="n">
        <x:v>2105</x:v>
      </x:c>
      <x:c r="P207" s="55" t="n">
        <x:v>661</x:v>
      </x:c>
      <x:c r="Q207" s="55" t="n">
        <x:v>1925</x:v>
      </x:c>
      <x:c r="R207" s="55" t="n">
        <x:v>2204</x:v>
      </x:c>
      <x:c r="S207" s="55" t="n">
        <x:v>3248</x:v>
      </x:c>
      <x:c r="T207" s="55" t="n">
        <x:v>1478</x:v>
      </x:c>
      <x:c r="U207" s="55" t="n">
        <x:v>2033</x:v>
      </x:c>
      <x:c r="V207" s="55" t="n">
        <x:v>10360</x:v>
      </x:c>
      <x:c r="W207" s="55" t="n">
        <x:v>6895</x:v>
      </x:c>
      <x:c r="X207" s="55" t="n">
        <x:v>3465</x:v>
      </x:c>
      <x:c r="Y207" s="55" t="n">
        <x:v>3163</x:v>
      </x:c>
      <x:c r="Z207" s="55" t="n">
        <x:v>3118</x:v>
      </x:c>
      <x:c r="AA207" s="55" t="n">
        <x:v>2573</x:v>
      </x:c>
      <x:c r="AB207" s="55" t="n">
        <x:v>724</x:v>
      </x:c>
      <x:c r="AC207" s="55" t="n">
        <x:v>8276</x:v>
      </x:c>
      <x:c r="AD207" s="55" t="n">
        <x:v>3075</x:v>
      </x:c>
      <x:c r="AE207" s="55" t="n">
        <x:v>10473</x:v>
      </x:c>
      <x:c r="AF207" s="55" t="n">
        <x:v>10360</x:v>
      </x:c>
      <x:c r="AG207" s="55" t="n">
        <x:v>113</x:v>
      </x:c>
      <x:c r="AH207" s="55" t="n">
        <x:v>513</x:v>
      </x:c>
      <x:c r="AI207" s="55" t="n">
        <x:v>9847</x:v>
      </x:c>
      <x:c r="AJ207" s="55" t="n">
        <x:v>150</x:v>
      </x:c>
      <x:c r="AK207" s="55" t="n">
        <x:v>972</x:v>
      </x:c>
      <x:c r="AL207" s="55" t="n">
        <x:v>1593</x:v>
      </x:c>
      <x:c r="AM207" s="55" t="n">
        <x:v>4660</x:v>
      </x:c>
      <x:c r="AN207" s="55" t="n">
        <x:v>2985</x:v>
      </x:c>
      <x:c r="AO207" s="55" t="n">
        <x:v>0</x:v>
      </x:c>
      <x:c r="AP207" s="55" t="n">
        <x:v>2275</x:v>
      </x:c>
      <x:c r="AQ207" s="55" t="n">
        <x:v>970</x:v>
      </x:c>
    </x:row>
    <x:row r="208">
      <x:c r="A208" s="54" t="str">
        <x:v>T0_TABLE_BLOCK</x:v>
      </x:c>
      <x:c r="B208" s="54" t="n">
        <x:v>202</x:v>
      </x:c>
      <x:c r="C208" s="54" t="str">
        <x:v>NYC-V2-R01</x:v>
      </x:c>
      <x:c r="D208" s="54" t="str">
        <x:v>V2</x:v>
      </x:c>
      <x:c r="E208" s="54" t="str">
        <x:v>ADMITTED</x:v>
      </x:c>
      <x:c r="F208" s="55" t="n">
        <x:v>32651</x:v>
      </x:c>
      <x:c r="G208" s="55" t="n">
        <x:v>9343</x:v>
      </x:c>
      <x:c r="H208" s="55" t="n">
        <x:v>3377</x:v>
      </x:c>
      <x:c r="I208" s="55" t="n">
        <x:v>1653</x:v>
      </x:c>
      <x:c r="J208" s="55" t="n">
        <x:v>32</x:v>
      </x:c>
      <x:c r="K208" s="55" t="n">
        <x:v>31486</x:v>
      </x:c>
      <x:c r="L208" s="55" t="n">
        <x:v>5842</x:v>
      </x:c>
      <x:c r="M208" s="55" t="n">
        <x:v>1694</x:v>
      </x:c>
      <x:c r="N208" s="55" t="n">
        <x:v>2100</x:v>
      </x:c>
      <x:c r="O208" s="55" t="n">
        <x:v>2048</x:v>
      </x:c>
      <x:c r="P208" s="55" t="n">
        <x:v>552</x:v>
      </x:c>
      <x:c r="Q208" s="55" t="n">
        <x:v>3206</x:v>
      </x:c>
      <x:c r="R208" s="55" t="n">
        <x:v>2105</x:v>
      </x:c>
      <x:c r="S208" s="55" t="n">
        <x:v>2450</x:v>
      </x:c>
      <x:c r="T208" s="55" t="n">
        <x:v>1418</x:v>
      </x:c>
      <x:c r="U208" s="55" t="n">
        <x:v>1376</x:v>
      </x:c>
      <x:c r="V208" s="55" t="n">
        <x:v>10502</x:v>
      </x:c>
      <x:c r="W208" s="55" t="n">
        <x:v>7651</x:v>
      </x:c>
      <x:c r="X208" s="55" t="n">
        <x:v>2851</x:v>
      </x:c>
      <x:c r="Y208" s="55" t="n">
        <x:v>2514</x:v>
      </x:c>
      <x:c r="Z208" s="55" t="n">
        <x:v>3557</x:v>
      </x:c>
      <x:c r="AA208" s="55" t="n">
        <x:v>3377</x:v>
      </x:c>
      <x:c r="AB208" s="55" t="n">
        <x:v>1221</x:v>
      </x:c>
      <x:c r="AC208" s="55" t="n">
        <x:v>7660</x:v>
      </x:c>
      <x:c r="AD208" s="55" t="n">
        <x:v>2091</x:v>
      </x:c>
      <x:c r="AE208" s="55" t="n">
        <x:v>10597</x:v>
      </x:c>
      <x:c r="AF208" s="55" t="n">
        <x:v>10502</x:v>
      </x:c>
      <x:c r="AG208" s="55" t="n">
        <x:v>95</x:v>
      </x:c>
      <x:c r="AH208" s="55" t="n">
        <x:v>465</x:v>
      </x:c>
      <x:c r="AI208" s="55" t="n">
        <x:v>10037</x:v>
      </x:c>
      <x:c r="AJ208" s="55" t="n">
        <x:v>281</x:v>
      </x:c>
      <x:c r="AK208" s="55" t="n">
        <x:v>732</x:v>
      </x:c>
      <x:c r="AL208" s="55" t="n">
        <x:v>1482</x:v>
      </x:c>
      <x:c r="AM208" s="55" t="n">
        <x:v>4980</x:v>
      </x:c>
      <x:c r="AN208" s="55" t="n">
        <x:v>3027</x:v>
      </x:c>
      <x:c r="AO208" s="55" t="n">
        <x:v>0</x:v>
      </x:c>
      <x:c r="AP208" s="55" t="n">
        <x:v>2244</x:v>
      </x:c>
      <x:c r="AQ208" s="55" t="n">
        <x:v>921</x:v>
      </x:c>
    </x:row>
    <x:row r="209">
      <x:c r="A209" s="54" t="str">
        <x:v>T0_TABLE_BLOCK</x:v>
      </x:c>
      <x:c r="B209" s="54" t="n">
        <x:v>203</x:v>
      </x:c>
      <x:c r="C209" s="54" t="str">
        <x:v>NYC-V2-R01</x:v>
      </x:c>
      <x:c r="D209" s="54" t="str">
        <x:v>V2</x:v>
      </x:c>
      <x:c r="E209" s="54" t="str">
        <x:v>ADMITTED</x:v>
      </x:c>
      <x:c r="F209" s="55" t="n">
        <x:v>34426</x:v>
      </x:c>
      <x:c r="G209" s="55" t="n">
        <x:v>8558</x:v>
      </x:c>
      <x:c r="H209" s="55" t="n">
        <x:v>3378</x:v>
      </x:c>
      <x:c r="I209" s="55" t="n">
        <x:v>970</x:v>
      </x:c>
      <x:c r="J209" s="55" t="n">
        <x:v>118</x:v>
      </x:c>
      <x:c r="K209" s="55" t="n">
        <x:v>34426</x:v>
      </x:c>
      <x:c r="L209" s="55" t="n">
        <x:v>6836</x:v>
      </x:c>
      <x:c r="M209" s="55" t="n">
        <x:v>1757</x:v>
      </x:c>
      <x:c r="N209" s="55" t="n">
        <x:v>3094</x:v>
      </x:c>
      <x:c r="O209" s="55" t="n">
        <x:v>1985</x:v>
      </x:c>
      <x:c r="P209" s="55" t="n">
        <x:v>1058</x:v>
      </x:c>
      <x:c r="Q209" s="55" t="n">
        <x:v>2660</x:v>
      </x:c>
      <x:c r="R209" s="55" t="n">
        <x:v>1619</x:v>
      </x:c>
      <x:c r="S209" s="55" t="n">
        <x:v>2917</x:v>
      </x:c>
      <x:c r="T209" s="55" t="n">
        <x:v>1429</x:v>
      </x:c>
      <x:c r="U209" s="55" t="n">
        <x:v>1963</x:v>
      </x:c>
      <x:c r="V209" s="55" t="n">
        <x:v>10253</x:v>
      </x:c>
      <x:c r="W209" s="55" t="n">
        <x:v>7014</x:v>
      </x:c>
      <x:c r="X209" s="55" t="n">
        <x:v>3239</x:v>
      </x:c>
      <x:c r="Y209" s="55" t="n">
        <x:v>2849</x:v>
      </x:c>
      <x:c r="Z209" s="55" t="n">
        <x:v>4359</x:v>
      </x:c>
      <x:c r="AA209" s="55" t="n">
        <x:v>3378</x:v>
      </x:c>
      <x:c r="AB209" s="55" t="n">
        <x:v>1125</x:v>
      </x:c>
      <x:c r="AC209" s="55" t="n">
        <x:v>8692</x:v>
      </x:c>
      <x:c r="AD209" s="55" t="n">
        <x:v>2760</x:v>
      </x:c>
      <x:c r="AE209" s="55" t="n">
        <x:v>10278</x:v>
      </x:c>
      <x:c r="AF209" s="55" t="n">
        <x:v>10253</x:v>
      </x:c>
      <x:c r="AG209" s="55" t="n">
        <x:v>25</x:v>
      </x:c>
      <x:c r="AH209" s="55" t="n">
        <x:v>371</x:v>
      </x:c>
      <x:c r="AI209" s="55" t="n">
        <x:v>9882</x:v>
      </x:c>
      <x:c r="AJ209" s="55" t="n">
        <x:v>145</x:v>
      </x:c>
      <x:c r="AK209" s="55" t="n">
        <x:v>910</x:v>
      </x:c>
      <x:c r="AL209" s="55" t="n">
        <x:v>1512</x:v>
      </x:c>
      <x:c r="AM209" s="55" t="n">
        <x:v>4666</x:v>
      </x:c>
      <x:c r="AN209" s="55" t="n">
        <x:v>2987</x:v>
      </x:c>
      <x:c r="AO209" s="55" t="n">
        <x:v>33</x:v>
      </x:c>
      <x:c r="AP209" s="55" t="n">
        <x:v>1809</x:v>
      </x:c>
      <x:c r="AQ209" s="55" t="n">
        <x:v>997</x:v>
      </x:c>
    </x:row>
    <x:row r="210">
      <x:c r="A210" s="54" t="str">
        <x:v>T0_TABLE_BLOCK</x:v>
      </x:c>
      <x:c r="B210" s="54" t="n">
        <x:v>204</x:v>
      </x:c>
      <x:c r="C210" s="54" t="str">
        <x:v>NYC-V2-R01</x:v>
      </x:c>
      <x:c r="D210" s="54" t="str">
        <x:v>V2</x:v>
      </x:c>
      <x:c r="E210" s="54" t="str">
        <x:v>ADMITTED</x:v>
      </x:c>
      <x:c r="F210" s="55" t="n">
        <x:v>31127</x:v>
      </x:c>
      <x:c r="G210" s="55" t="n">
        <x:v>7464</x:v>
      </x:c>
      <x:c r="H210" s="55" t="n">
        <x:v>3534</x:v>
      </x:c>
      <x:c r="I210" s="55" t="n">
        <x:v>1806</x:v>
      </x:c>
      <x:c r="J210" s="55" t="n">
        <x:v>221</x:v>
      </x:c>
      <x:c r="K210" s="55" t="n">
        <x:v>31127</x:v>
      </x:c>
      <x:c r="L210" s="55" t="n">
        <x:v>5564</x:v>
      </x:c>
      <x:c r="M210" s="55" t="n">
        <x:v>1886</x:v>
      </x:c>
      <x:c r="N210" s="55" t="n">
        <x:v>2585</x:v>
      </x:c>
      <x:c r="O210" s="55" t="n">
        <x:v>1093</x:v>
      </x:c>
      <x:c r="P210" s="55" t="n">
        <x:v>528</x:v>
      </x:c>
      <x:c r="Q210" s="55" t="n">
        <x:v>3266</x:v>
      </x:c>
      <x:c r="R210" s="55" t="n">
        <x:v>1672</x:v>
      </x:c>
      <x:c r="S210" s="55" t="n">
        <x:v>2299</x:v>
      </x:c>
      <x:c r="T210" s="55" t="n">
        <x:v>976</x:v>
      </x:c>
      <x:c r="U210" s="55" t="n">
        <x:v>2759</x:v>
      </x:c>
      <x:c r="V210" s="55" t="n">
        <x:v>10521</x:v>
      </x:c>
      <x:c r="W210" s="55" t="n">
        <x:v>7358</x:v>
      </x:c>
      <x:c r="X210" s="55" t="n">
        <x:v>3163</x:v>
      </x:c>
      <x:c r="Y210" s="55" t="n">
        <x:v>2703</x:v>
      </x:c>
      <x:c r="Z210" s="55" t="n">
        <x:v>3630</x:v>
      </x:c>
      <x:c r="AA210" s="55" t="n">
        <x:v>3534</x:v>
      </x:c>
      <x:c r="AB210" s="55" t="n">
        <x:v>1488</x:v>
      </x:c>
      <x:c r="AC210" s="55" t="n">
        <x:v>7962</x:v>
      </x:c>
      <x:c r="AD210" s="55" t="n">
        <x:v>3373</x:v>
      </x:c>
      <x:c r="AE210" s="55" t="n">
        <x:v>10537</x:v>
      </x:c>
      <x:c r="AF210" s="55" t="n">
        <x:v>10521</x:v>
      </x:c>
      <x:c r="AG210" s="55" t="n">
        <x:v>16</x:v>
      </x:c>
      <x:c r="AH210" s="55" t="n">
        <x:v>325</x:v>
      </x:c>
      <x:c r="AI210" s="55" t="n">
        <x:v>10196</x:v>
      </x:c>
      <x:c r="AJ210" s="55" t="n">
        <x:v>327</x:v>
      </x:c>
      <x:c r="AK210" s="55" t="n">
        <x:v>679</x:v>
      </x:c>
      <x:c r="AL210" s="55" t="n">
        <x:v>1373</x:v>
      </x:c>
      <x:c r="AM210" s="55" t="n">
        <x:v>4808</x:v>
      </x:c>
      <x:c r="AN210" s="55" t="n">
        <x:v>3334</x:v>
      </x:c>
      <x:c r="AO210" s="55" t="n">
        <x:v>0</x:v>
      </x:c>
      <x:c r="AP210" s="55" t="n">
        <x:v>2738</x:v>
      </x:c>
      <x:c r="AQ210" s="55" t="n">
        <x:v>972</x:v>
      </x:c>
    </x:row>
    <x:row r="211">
      <x:c r="A211" s="54" t="str">
        <x:v>T0_TABLE_BLOCK</x:v>
      </x:c>
      <x:c r="B211" s="54" t="n">
        <x:v>205</x:v>
      </x:c>
      <x:c r="C211" s="54" t="str">
        <x:v>NYC-V2-R01</x:v>
      </x:c>
      <x:c r="D211" s="54" t="str">
        <x:v>V2</x:v>
      </x:c>
      <x:c r="E211" s="54" t="str">
        <x:v>ADMITTED</x:v>
      </x:c>
      <x:c r="F211" s="55" t="n">
        <x:v>30038</x:v>
      </x:c>
      <x:c r="G211" s="55" t="n">
        <x:v>7244</x:v>
      </x:c>
      <x:c r="H211" s="55" t="n">
        <x:v>3190</x:v>
      </x:c>
      <x:c r="I211" s="55" t="n">
        <x:v>1579</x:v>
      </x:c>
      <x:c r="J211" s="55" t="n">
        <x:v>338</x:v>
      </x:c>
      <x:c r="K211" s="55" t="n">
        <x:v>30038</x:v>
      </x:c>
      <x:c r="L211" s="55" t="n">
        <x:v>5255</x:v>
      </x:c>
      <x:c r="M211" s="55" t="n">
        <x:v>1135</x:v>
      </x:c>
      <x:c r="N211" s="55" t="n">
        <x:v>2388</x:v>
      </x:c>
      <x:c r="O211" s="55" t="n">
        <x:v>1732</x:v>
      </x:c>
      <x:c r="P211" s="55" t="n">
        <x:v>836</x:v>
      </x:c>
      <x:c r="Q211" s="55" t="n">
        <x:v>2359</x:v>
      </x:c>
      <x:c r="R211" s="55" t="n">
        <x:v>1790</x:v>
      </x:c>
      <x:c r="S211" s="55" t="n">
        <x:v>3181</x:v>
      </x:c>
      <x:c r="T211" s="55" t="n">
        <x:v>1006</x:v>
      </x:c>
      <x:c r="U211" s="55" t="n">
        <x:v>1811</x:v>
      </x:c>
      <x:c r="V211" s="55" t="n">
        <x:v>10300</x:v>
      </x:c>
      <x:c r="W211" s="55" t="n">
        <x:v>7001</x:v>
      </x:c>
      <x:c r="X211" s="55" t="n">
        <x:v>3299</x:v>
      </x:c>
      <x:c r="Y211" s="55" t="n">
        <x:v>2979</x:v>
      </x:c>
      <x:c r="Z211" s="55" t="n">
        <x:v>3319</x:v>
      </x:c>
      <x:c r="AA211" s="55" t="n">
        <x:v>3178</x:v>
      </x:c>
      <x:c r="AB211" s="55" t="n">
        <x:v>1050</x:v>
      </x:c>
      <x:c r="AC211" s="55" t="n">
        <x:v>7926</x:v>
      </x:c>
      <x:c r="AD211" s="55" t="n">
        <x:v>3234</x:v>
      </x:c>
      <x:c r="AE211" s="55" t="n">
        <x:v>10381</x:v>
      </x:c>
      <x:c r="AF211" s="55" t="n">
        <x:v>10300</x:v>
      </x:c>
      <x:c r="AG211" s="55" t="n">
        <x:v>81</x:v>
      </x:c>
      <x:c r="AH211" s="55" t="n">
        <x:v>490</x:v>
      </x:c>
      <x:c r="AI211" s="55" t="n">
        <x:v>9810</x:v>
      </x:c>
      <x:c r="AJ211" s="55" t="n">
        <x:v>182</x:v>
      </x:c>
      <x:c r="AK211" s="55" t="n">
        <x:v>749</x:v>
      </x:c>
      <x:c r="AL211" s="55" t="n">
        <x:v>1192</x:v>
      </x:c>
      <x:c r="AM211" s="55" t="n">
        <x:v>5481</x:v>
      </x:c>
      <x:c r="AN211" s="55" t="n">
        <x:v>2696</x:v>
      </x:c>
      <x:c r="AO211" s="55" t="n">
        <x:v>0</x:v>
      </x:c>
      <x:c r="AP211" s="55" t="n">
        <x:v>2485</x:v>
      </x:c>
      <x:c r="AQ211" s="55" t="n">
        <x:v>934</x:v>
      </x:c>
    </x:row>
    <x:row r="212">
      <x:c r="A212" s="54" t="str">
        <x:v>T0_TABLE_BLOCK</x:v>
      </x:c>
      <x:c r="B212" s="54" t="n">
        <x:v>206</x:v>
      </x:c>
      <x:c r="C212" s="54" t="str">
        <x:v>NYC-V2-R01</x:v>
      </x:c>
      <x:c r="D212" s="54" t="str">
        <x:v>V2</x:v>
      </x:c>
      <x:c r="E212" s="54" t="str">
        <x:v>ADMITTED</x:v>
      </x:c>
      <x:c r="F212" s="55" t="n">
        <x:v>27766</x:v>
      </x:c>
      <x:c r="G212" s="55" t="n">
        <x:v>6842</x:v>
      </x:c>
      <x:c r="H212" s="55" t="n">
        <x:v>3316</x:v>
      </x:c>
      <x:c r="I212" s="55" t="n">
        <x:v>1345</x:v>
      </x:c>
      <x:c r="J212" s="55" t="n">
        <x:v>154</x:v>
      </x:c>
      <x:c r="K212" s="55" t="n">
        <x:v>27766</x:v>
      </x:c>
      <x:c r="L212" s="55" t="n">
        <x:v>6765</x:v>
      </x:c>
      <x:c r="M212" s="55" t="n">
        <x:v>2311</x:v>
      </x:c>
      <x:c r="N212" s="55" t="n">
        <x:v>2662</x:v>
      </x:c>
      <x:c r="O212" s="55" t="n">
        <x:v>1792</x:v>
      </x:c>
      <x:c r="P212" s="55" t="n">
        <x:v>165</x:v>
      </x:c>
      <x:c r="Q212" s="55" t="n">
        <x:v>2576</x:v>
      </x:c>
      <x:c r="R212" s="55" t="n">
        <x:v>1687</x:v>
      </x:c>
      <x:c r="S212" s="55" t="n">
        <x:v>2990</x:v>
      </x:c>
      <x:c r="T212" s="55" t="n">
        <x:v>1039</x:v>
      </x:c>
      <x:c r="U212" s="55" t="n">
        <x:v>2003</x:v>
      </x:c>
      <x:c r="V212" s="55" t="n">
        <x:v>10165</x:v>
      </x:c>
      <x:c r="W212" s="55" t="n">
        <x:v>6787</x:v>
      </x:c>
      <x:c r="X212" s="55" t="n">
        <x:v>3378</x:v>
      </x:c>
      <x:c r="Y212" s="55" t="n">
        <x:v>3026</x:v>
      </x:c>
      <x:c r="Z212" s="55" t="n">
        <x:v>3834</x:v>
      </x:c>
      <x:c r="AA212" s="55" t="n">
        <x:v>2788</x:v>
      </x:c>
      <x:c r="AB212" s="55" t="n">
        <x:v>709</x:v>
      </x:c>
      <x:c r="AC212" s="55" t="n">
        <x:v>8373</x:v>
      </x:c>
      <x:c r="AD212" s="55" t="n">
        <x:v>2781</x:v>
      </x:c>
      <x:c r="AE212" s="55" t="n">
        <x:v>10270</x:v>
      </x:c>
      <x:c r="AF212" s="55" t="n">
        <x:v>10165</x:v>
      </x:c>
      <x:c r="AG212" s="55" t="n">
        <x:v>105</x:v>
      </x:c>
      <x:c r="AH212" s="55" t="n">
        <x:v>405</x:v>
      </x:c>
      <x:c r="AI212" s="55" t="n">
        <x:v>9760</x:v>
      </x:c>
      <x:c r="AJ212" s="55" t="n">
        <x:v>327</x:v>
      </x:c>
      <x:c r="AK212" s="55" t="n">
        <x:v>855</x:v>
      </x:c>
      <x:c r="AL212" s="55" t="n">
        <x:v>1940</x:v>
      </x:c>
      <x:c r="AM212" s="55" t="n">
        <x:v>4662</x:v>
      </x:c>
      <x:c r="AN212" s="55" t="n">
        <x:v>2377</x:v>
      </x:c>
      <x:c r="AO212" s="55" t="n">
        <x:v>4</x:v>
      </x:c>
      <x:c r="AP212" s="55" t="n">
        <x:v>2588</x:v>
      </x:c>
      <x:c r="AQ212" s="55" t="n">
        <x:v>972</x:v>
      </x:c>
    </x:row>
    <x:row r="213">
      <x:c r="A213" s="54" t="str">
        <x:v>T0_TABLE_BLOCK</x:v>
      </x:c>
      <x:c r="B213" s="54" t="n">
        <x:v>207</x:v>
      </x:c>
      <x:c r="C213" s="54" t="str">
        <x:v>NYC-V2-R01</x:v>
      </x:c>
      <x:c r="D213" s="54" t="str">
        <x:v>V2</x:v>
      </x:c>
      <x:c r="E213" s="54" t="str">
        <x:v>ADMITTED</x:v>
      </x:c>
      <x:c r="F213" s="55" t="n">
        <x:v>30132</x:v>
      </x:c>
      <x:c r="G213" s="55" t="n">
        <x:v>6707</x:v>
      </x:c>
      <x:c r="H213" s="55" t="n">
        <x:v>3746</x:v>
      </x:c>
      <x:c r="I213" s="55" t="n">
        <x:v>1411</x:v>
      </x:c>
      <x:c r="J213" s="55" t="n">
        <x:v>284</x:v>
      </x:c>
      <x:c r="K213" s="55" t="n">
        <x:v>29344</x:v>
      </x:c>
      <x:c r="L213" s="55" t="n">
        <x:v>5059</x:v>
      </x:c>
      <x:c r="M213" s="55" t="n">
        <x:v>735</x:v>
      </x:c>
      <x:c r="N213" s="55" t="n">
        <x:v>2475</x:v>
      </x:c>
      <x:c r="O213" s="55" t="n">
        <x:v>1849</x:v>
      </x:c>
      <x:c r="P213" s="55" t="n">
        <x:v>727</x:v>
      </x:c>
      <x:c r="Q213" s="55" t="n">
        <x:v>2271</x:v>
      </x:c>
      <x:c r="R213" s="55" t="n">
        <x:v>2090</x:v>
      </x:c>
      <x:c r="S213" s="55" t="n">
        <x:v>2257</x:v>
      </x:c>
      <x:c r="T213" s="55" t="n">
        <x:v>1138</x:v>
      </x:c>
      <x:c r="U213" s="55" t="n">
        <x:v>1629</x:v>
      </x:c>
      <x:c r="V213" s="55" t="n">
        <x:v>10224</x:v>
      </x:c>
      <x:c r="W213" s="55" t="n">
        <x:v>6940</x:v>
      </x:c>
      <x:c r="X213" s="55" t="n">
        <x:v>3284</x:v>
      </x:c>
      <x:c r="Y213" s="55" t="n">
        <x:v>2889</x:v>
      </x:c>
      <x:c r="Z213" s="55" t="n">
        <x:v>3458</x:v>
      </x:c>
      <x:c r="AA213" s="55" t="n">
        <x:v>2926</x:v>
      </x:c>
      <x:c r="AB213" s="55" t="n">
        <x:v>938</x:v>
      </x:c>
      <x:c r="AC213" s="55" t="n">
        <x:v>7349</x:v>
      </x:c>
      <x:c r="AD213" s="55" t="n">
        <x:v>3445</x:v>
      </x:c>
      <x:c r="AE213" s="55" t="n">
        <x:v>10365</x:v>
      </x:c>
      <x:c r="AF213" s="55" t="n">
        <x:v>10224</x:v>
      </x:c>
      <x:c r="AG213" s="55" t="n">
        <x:v>141</x:v>
      </x:c>
      <x:c r="AH213" s="55" t="n">
        <x:v>372</x:v>
      </x:c>
      <x:c r="AI213" s="55" t="n">
        <x:v>9852</x:v>
      </x:c>
      <x:c r="AJ213" s="55" t="n">
        <x:v>354</x:v>
      </x:c>
      <x:c r="AK213" s="55" t="n">
        <x:v>917</x:v>
      </x:c>
      <x:c r="AL213" s="55" t="n">
        <x:v>1479</x:v>
      </x:c>
      <x:c r="AM213" s="55" t="n">
        <x:v>4507</x:v>
      </x:c>
      <x:c r="AN213" s="55" t="n">
        <x:v>2887</x:v>
      </x:c>
      <x:c r="AO213" s="55" t="n">
        <x:v>80</x:v>
      </x:c>
      <x:c r="AP213" s="55" t="n">
        <x:v>2252</x:v>
      </x:c>
      <x:c r="AQ213" s="55" t="n">
        <x:v>950</x:v>
      </x:c>
    </x:row>
    <x:row r="214">
      <x:c r="A214" s="54" t="str">
        <x:v>T0_TABLE_BLOCK</x:v>
      </x:c>
      <x:c r="B214" s="54" t="n">
        <x:v>208</x:v>
      </x:c>
      <x:c r="C214" s="54" t="str">
        <x:v>NYC-V2-R01</x:v>
      </x:c>
      <x:c r="D214" s="54" t="str">
        <x:v>V2</x:v>
      </x:c>
      <x:c r="E214" s="54" t="str">
        <x:v>ADMITTED</x:v>
      </x:c>
      <x:c r="F214" s="55" t="n">
        <x:v>30832</x:v>
      </x:c>
      <x:c r="G214" s="55" t="n">
        <x:v>7667</x:v>
      </x:c>
      <x:c r="H214" s="55" t="n">
        <x:v>3675</x:v>
      </x:c>
      <x:c r="I214" s="55" t="n">
        <x:v>1308</x:v>
      </x:c>
      <x:c r="J214" s="55" t="n">
        <x:v>263</x:v>
      </x:c>
      <x:c r="K214" s="55" t="n">
        <x:v>30832</x:v>
      </x:c>
      <x:c r="L214" s="55" t="n">
        <x:v>5632</x:v>
      </x:c>
      <x:c r="M214" s="55" t="n">
        <x:v>1222</x:v>
      </x:c>
      <x:c r="N214" s="55" t="n">
        <x:v>2532</x:v>
      </x:c>
      <x:c r="O214" s="55" t="n">
        <x:v>1878</x:v>
      </x:c>
      <x:c r="P214" s="55" t="n">
        <x:v>645</x:v>
      </x:c>
      <x:c r="Q214" s="55" t="n">
        <x:v>2509</x:v>
      </x:c>
      <x:c r="R214" s="55" t="n">
        <x:v>2040</x:v>
      </x:c>
      <x:c r="S214" s="55" t="n">
        <x:v>2605</x:v>
      </x:c>
      <x:c r="T214" s="55" t="n">
        <x:v>1622</x:v>
      </x:c>
      <x:c r="U214" s="55" t="n">
        <x:v>2026</x:v>
      </x:c>
      <x:c r="V214" s="55" t="n">
        <x:v>10861</x:v>
      </x:c>
      <x:c r="W214" s="55" t="n">
        <x:v>7638</x:v>
      </x:c>
      <x:c r="X214" s="55" t="n">
        <x:v>3223</x:v>
      </x:c>
      <x:c r="Y214" s="55" t="n">
        <x:v>2822</x:v>
      </x:c>
      <x:c r="Z214" s="55" t="n">
        <x:v>3530</x:v>
      </x:c>
      <x:c r="AA214" s="55" t="n">
        <x:v>3675</x:v>
      </x:c>
      <x:c r="AB214" s="55" t="n">
        <x:v>1504</x:v>
      </x:c>
      <x:c r="AC214" s="55" t="n">
        <x:v>7740</x:v>
      </x:c>
      <x:c r="AD214" s="55" t="n">
        <x:v>3000</x:v>
      </x:c>
      <x:c r="AE214" s="55" t="n">
        <x:v>10945</x:v>
      </x:c>
      <x:c r="AF214" s="55" t="n">
        <x:v>10861</x:v>
      </x:c>
      <x:c r="AG214" s="55" t="n">
        <x:v>84</x:v>
      </x:c>
      <x:c r="AH214" s="55" t="n">
        <x:v>500</x:v>
      </x:c>
      <x:c r="AI214" s="55" t="n">
        <x:v>10361</x:v>
      </x:c>
      <x:c r="AJ214" s="55" t="n">
        <x:v>484</x:v>
      </x:c>
      <x:c r="AK214" s="55" t="n">
        <x:v>1026</x:v>
      </x:c>
      <x:c r="AL214" s="55" t="n">
        <x:v>1570</x:v>
      </x:c>
      <x:c r="AM214" s="55" t="n">
        <x:v>5433</x:v>
      </x:c>
      <x:c r="AN214" s="55" t="n">
        <x:v>2275</x:v>
      </x:c>
      <x:c r="AO214" s="55" t="n">
        <x:v>73</x:v>
      </x:c>
      <x:c r="AP214" s="55" t="n">
        <x:v>2316</x:v>
      </x:c>
      <x:c r="AQ214" s="55" t="n">
        <x:v>958</x:v>
      </x:c>
    </x:row>
    <x:row r="215">
      <x:c r="A215" s="54" t="str">
        <x:v>T0_TABLE_BLOCK</x:v>
      </x:c>
      <x:c r="B215" s="54" t="n">
        <x:v>209</x:v>
      </x:c>
      <x:c r="C215" s="54" t="str">
        <x:v>NYC-V2-R01</x:v>
      </x:c>
      <x:c r="D215" s="54" t="str">
        <x:v>V2</x:v>
      </x:c>
      <x:c r="E215" s="54" t="str">
        <x:v>ADMITTED</x:v>
      </x:c>
      <x:c r="F215" s="55" t="n">
        <x:v>30944</x:v>
      </x:c>
      <x:c r="G215" s="55" t="n">
        <x:v>8624</x:v>
      </x:c>
      <x:c r="H215" s="55" t="n">
        <x:v>3041</x:v>
      </x:c>
      <x:c r="I215" s="55" t="n">
        <x:v>802</x:v>
      </x:c>
      <x:c r="J215" s="55" t="n">
        <x:v>163</x:v>
      </x:c>
      <x:c r="K215" s="55" t="n">
        <x:v>29915</x:v>
      </x:c>
      <x:c r="L215" s="55" t="n">
        <x:v>4555</x:v>
      </x:c>
      <x:c r="M215" s="55" t="n">
        <x:v>388</x:v>
      </x:c>
      <x:c r="N215" s="55" t="n">
        <x:v>2190</x:v>
      </x:c>
      <x:c r="O215" s="55" t="n">
        <x:v>1977</x:v>
      </x:c>
      <x:c r="P215" s="55" t="n">
        <x:v>1197</x:v>
      </x:c>
      <x:c r="Q215" s="55" t="n">
        <x:v>3239</x:v>
      </x:c>
      <x:c r="R215" s="55" t="n">
        <x:v>2160</x:v>
      </x:c>
      <x:c r="S215" s="55" t="n">
        <x:v>2783</x:v>
      </x:c>
      <x:c r="T215" s="55" t="n">
        <x:v>1157</x:v>
      </x:c>
      <x:c r="U215" s="55" t="n">
        <x:v>2121</x:v>
      </x:c>
      <x:c r="V215" s="55" t="n">
        <x:v>11281</x:v>
      </x:c>
      <x:c r="W215" s="55" t="n">
        <x:v>8217</x:v>
      </x:c>
      <x:c r="X215" s="55" t="n">
        <x:v>3064</x:v>
      </x:c>
      <x:c r="Y215" s="55" t="n">
        <x:v>2888</x:v>
      </x:c>
      <x:c r="Z215" s="55" t="n">
        <x:v>3616</x:v>
      </x:c>
      <x:c r="AA215" s="55" t="n">
        <x:v>3041</x:v>
      </x:c>
      <x:c r="AB215" s="55" t="n">
        <x:v>1193</x:v>
      </x:c>
      <x:c r="AC215" s="55" t="n">
        <x:v>8033</x:v>
      </x:c>
      <x:c r="AD215" s="55" t="n">
        <x:v>3576</x:v>
      </x:c>
      <x:c r="AE215" s="55" t="n">
        <x:v>11315</x:v>
      </x:c>
      <x:c r="AF215" s="55" t="n">
        <x:v>11281</x:v>
      </x:c>
      <x:c r="AG215" s="55" t="n">
        <x:v>34</x:v>
      </x:c>
      <x:c r="AH215" s="55" t="n">
        <x:v>493</x:v>
      </x:c>
      <x:c r="AI215" s="55" t="n">
        <x:v>10788</x:v>
      </x:c>
      <x:c r="AJ215" s="55" t="n">
        <x:v>254</x:v>
      </x:c>
      <x:c r="AK215" s="55" t="n">
        <x:v>1046</x:v>
      </x:c>
      <x:c r="AL215" s="55" t="n">
        <x:v>2151</x:v>
      </x:c>
      <x:c r="AM215" s="55" t="n">
        <x:v>4873</x:v>
      </x:c>
      <x:c r="AN215" s="55" t="n">
        <x:v>2957</x:v>
      </x:c>
      <x:c r="AO215" s="55" t="n">
        <x:v>0</x:v>
      </x:c>
      <x:c r="AP215" s="55" t="n">
        <x:v>2447</x:v>
      </x:c>
      <x:c r="AQ215" s="55" t="n">
        <x:v>953</x:v>
      </x:c>
    </x:row>
    <x:row r="216">
      <x:c r="A216" s="54" t="str">
        <x:v>T0_TABLE_BLOCK</x:v>
      </x:c>
      <x:c r="B216" s="54" t="n">
        <x:v>210</x:v>
      </x:c>
      <x:c r="C216" s="54" t="str">
        <x:v>NYC-V2-R01</x:v>
      </x:c>
      <x:c r="D216" s="54" t="str">
        <x:v>V2</x:v>
      </x:c>
      <x:c r="E216" s="54" t="str">
        <x:v>ADMITTED</x:v>
      </x:c>
      <x:c r="F216" s="55" t="n">
        <x:v>32087</x:v>
      </x:c>
      <x:c r="G216" s="55" t="n">
        <x:v>6385</x:v>
      </x:c>
      <x:c r="H216" s="55" t="n">
        <x:v>3430</x:v>
      </x:c>
      <x:c r="I216" s="55" t="n">
        <x:v>1587</x:v>
      </x:c>
      <x:c r="J216" s="55" t="n">
        <x:v>438</x:v>
      </x:c>
      <x:c r="K216" s="55" t="n">
        <x:v>32087</x:v>
      </x:c>
      <x:c r="L216" s="55" t="n">
        <x:v>5666</x:v>
      </x:c>
      <x:c r="M216" s="55" t="n">
        <x:v>701</x:v>
      </x:c>
      <x:c r="N216" s="55" t="n">
        <x:v>3363</x:v>
      </x:c>
      <x:c r="O216" s="55" t="n">
        <x:v>1602</x:v>
      </x:c>
      <x:c r="P216" s="55" t="n">
        <x:v>739</x:v>
      </x:c>
      <x:c r="Q216" s="55" t="n">
        <x:v>2469</x:v>
      </x:c>
      <x:c r="R216" s="55" t="n">
        <x:v>1488</x:v>
      </x:c>
      <x:c r="S216" s="55" t="n">
        <x:v>2530</x:v>
      </x:c>
      <x:c r="T216" s="55" t="n">
        <x:v>1553</x:v>
      </x:c>
      <x:c r="U216" s="55" t="n">
        <x:v>1742</x:v>
      </x:c>
      <x:c r="V216" s="55" t="n">
        <x:v>10206</x:v>
      </x:c>
      <x:c r="W216" s="55" t="n">
        <x:v>6641</x:v>
      </x:c>
      <x:c r="X216" s="55" t="n">
        <x:v>3565</x:v>
      </x:c>
      <x:c r="Y216" s="55" t="n">
        <x:v>2918</x:v>
      </x:c>
      <x:c r="Z216" s="55" t="n">
        <x:v>4226</x:v>
      </x:c>
      <x:c r="AA216" s="55" t="n">
        <x:v>3204</x:v>
      </x:c>
      <x:c r="AB216" s="55" t="n">
        <x:v>1219</x:v>
      </x:c>
      <x:c r="AC216" s="55" t="n">
        <x:v>7976</x:v>
      </x:c>
      <x:c r="AD216" s="55" t="n">
        <x:v>2324</x:v>
      </x:c>
      <x:c r="AE216" s="55" t="n">
        <x:v>10333</x:v>
      </x:c>
      <x:c r="AF216" s="55" t="n">
        <x:v>10206</x:v>
      </x:c>
      <x:c r="AG216" s="55" t="n">
        <x:v>127</x:v>
      </x:c>
      <x:c r="AH216" s="55" t="n">
        <x:v>578</x:v>
      </x:c>
      <x:c r="AI216" s="55" t="n">
        <x:v>9628</x:v>
      </x:c>
      <x:c r="AJ216" s="55" t="n">
        <x:v>353</x:v>
      </x:c>
      <x:c r="AK216" s="55" t="n">
        <x:v>1112</x:v>
      </x:c>
      <x:c r="AL216" s="55" t="n">
        <x:v>1102</x:v>
      </x:c>
      <x:c r="AM216" s="55" t="n">
        <x:v>5371</x:v>
      </x:c>
      <x:c r="AN216" s="55" t="n">
        <x:v>2264</x:v>
      </x:c>
      <x:c r="AO216" s="55" t="n">
        <x:v>4</x:v>
      </x:c>
      <x:c r="AP216" s="55" t="n">
        <x:v>2554</x:v>
      </x:c>
      <x:c r="AQ216" s="55" t="n">
        <x:v>944</x:v>
      </x:c>
    </x:row>
    <x:row r="217">
      <x:c r="A217" s="54" t="str">
        <x:v>T0_TABLE_BLOCK</x:v>
      </x:c>
      <x:c r="B217" s="54" t="n">
        <x:v>211</x:v>
      </x:c>
      <x:c r="C217" s="54" t="str">
        <x:v>NYC-V2-R01</x:v>
      </x:c>
      <x:c r="D217" s="54" t="str">
        <x:v>V2</x:v>
      </x:c>
      <x:c r="E217" s="54" t="str">
        <x:v>ADMITTED</x:v>
      </x:c>
      <x:c r="F217" s="55" t="n">
        <x:v>30791</x:v>
      </x:c>
      <x:c r="G217" s="55" t="n">
        <x:v>7904</x:v>
      </x:c>
      <x:c r="H217" s="55" t="n">
        <x:v>3140</x:v>
      </x:c>
      <x:c r="I217" s="55" t="n">
        <x:v>1381</x:v>
      </x:c>
      <x:c r="J217" s="55" t="n">
        <x:v>229</x:v>
      </x:c>
      <x:c r="K217" s="55" t="n">
        <x:v>28741</x:v>
      </x:c>
      <x:c r="L217" s="55" t="n">
        <x:v>4995</x:v>
      </x:c>
      <x:c r="M217" s="55" t="n">
        <x:v>978</x:v>
      </x:c>
      <x:c r="N217" s="55" t="n">
        <x:v>1862</x:v>
      </x:c>
      <x:c r="O217" s="55" t="n">
        <x:v>2155</x:v>
      </x:c>
      <x:c r="P217" s="55" t="n">
        <x:v>440</x:v>
      </x:c>
      <x:c r="Q217" s="55" t="n">
        <x:v>1646</x:v>
      </x:c>
      <x:c r="R217" s="55" t="n">
        <x:v>1762</x:v>
      </x:c>
      <x:c r="S217" s="55" t="n">
        <x:v>3191</x:v>
      </x:c>
      <x:c r="T217" s="55" t="n">
        <x:v>836</x:v>
      </x:c>
      <x:c r="U217" s="55" t="n">
        <x:v>914</x:v>
      </x:c>
      <x:c r="V217" s="55" t="n">
        <x:v>10126</x:v>
      </x:c>
      <x:c r="W217" s="55" t="n">
        <x:v>7366</x:v>
      </x:c>
      <x:c r="X217" s="55" t="n">
        <x:v>2760</x:v>
      </x:c>
      <x:c r="Y217" s="55" t="n">
        <x:v>2304</x:v>
      </x:c>
      <x:c r="Z217" s="55" t="n">
        <x:v>3041</x:v>
      </x:c>
      <x:c r="AA217" s="55" t="n">
        <x:v>3140</x:v>
      </x:c>
      <x:c r="AB217" s="55" t="n">
        <x:v>1196</x:v>
      </x:c>
      <x:c r="AC217" s="55" t="n">
        <x:v>8413</x:v>
      </x:c>
      <x:c r="AD217" s="55" t="n">
        <x:v>2467</x:v>
      </x:c>
      <x:c r="AE217" s="55" t="n">
        <x:v>10238</x:v>
      </x:c>
      <x:c r="AF217" s="55" t="n">
        <x:v>10126</x:v>
      </x:c>
      <x:c r="AG217" s="55" t="n">
        <x:v>112</x:v>
      </x:c>
      <x:c r="AH217" s="55" t="n">
        <x:v>121</x:v>
      </x:c>
      <x:c r="AI217" s="55" t="n">
        <x:v>10005</x:v>
      </x:c>
      <x:c r="AJ217" s="55" t="n">
        <x:v>431</x:v>
      </x:c>
      <x:c r="AK217" s="55" t="n">
        <x:v>900</x:v>
      </x:c>
      <x:c r="AL217" s="55" t="n">
        <x:v>1063</x:v>
      </x:c>
      <x:c r="AM217" s="55" t="n">
        <x:v>5046</x:v>
      </x:c>
      <x:c r="AN217" s="55" t="n">
        <x:v>2614</x:v>
      </x:c>
      <x:c r="AO217" s="55" t="n">
        <x:v>72</x:v>
      </x:c>
      <x:c r="AP217" s="55" t="n">
        <x:v>2359</x:v>
      </x:c>
      <x:c r="AQ217" s="55" t="n">
        <x:v>958</x:v>
      </x:c>
    </x:row>
    <x:row r="218">
      <x:c r="A218" s="54" t="str">
        <x:v>T0_TABLE_BLOCK</x:v>
      </x:c>
      <x:c r="B218" s="54" t="n">
        <x:v>212</x:v>
      </x:c>
      <x:c r="C218" s="54" t="str">
        <x:v>NYC-V2-R01</x:v>
      </x:c>
      <x:c r="D218" s="54" t="str">
        <x:v>V2</x:v>
      </x:c>
      <x:c r="E218" s="54" t="str">
        <x:v>ADMITTED</x:v>
      </x:c>
      <x:c r="F218" s="55" t="n">
        <x:v>33809</x:v>
      </x:c>
      <x:c r="G218" s="55" t="n">
        <x:v>8056</x:v>
      </x:c>
      <x:c r="H218" s="55" t="n">
        <x:v>3356</x:v>
      </x:c>
      <x:c r="I218" s="55" t="n">
        <x:v>1026</x:v>
      </x:c>
      <x:c r="J218" s="55" t="n">
        <x:v>350</x:v>
      </x:c>
      <x:c r="K218" s="55" t="n">
        <x:v>31898</x:v>
      </x:c>
      <x:c r="L218" s="55" t="n">
        <x:v>6600</x:v>
      </x:c>
      <x:c r="M218" s="55" t="n">
        <x:v>1338</x:v>
      </x:c>
      <x:c r="N218" s="55" t="n">
        <x:v>3307</x:v>
      </x:c>
      <x:c r="O218" s="55" t="n">
        <x:v>1955</x:v>
      </x:c>
      <x:c r="P218" s="55" t="n">
        <x:v>820</x:v>
      </x:c>
      <x:c r="Q218" s="55" t="n">
        <x:v>1846</x:v>
      </x:c>
      <x:c r="R218" s="55" t="n">
        <x:v>1888</x:v>
      </x:c>
      <x:c r="S218" s="55" t="n">
        <x:v>2555</x:v>
      </x:c>
      <x:c r="T218" s="55" t="n">
        <x:v>1583</x:v>
      </x:c>
      <x:c r="U218" s="55" t="n">
        <x:v>2429</x:v>
      </x:c>
      <x:c r="V218" s="55" t="n">
        <x:v>11638</x:v>
      </x:c>
      <x:c r="W218" s="55" t="n">
        <x:v>9088</x:v>
      </x:c>
      <x:c r="X218" s="55" t="n">
        <x:v>2550</x:v>
      </x:c>
      <x:c r="Y218" s="55" t="n">
        <x:v>2047</x:v>
      </x:c>
      <x:c r="Z218" s="55" t="n">
        <x:v>3672</x:v>
      </x:c>
      <x:c r="AA218" s="55" t="n">
        <x:v>2718</x:v>
      </x:c>
      <x:c r="AB218" s="55" t="n">
        <x:v>859</x:v>
      </x:c>
      <x:c r="AC218" s="55" t="n">
        <x:v>8562</x:v>
      </x:c>
      <x:c r="AD218" s="55" t="n">
        <x:v>3250</x:v>
      </x:c>
      <x:c r="AE218" s="55" t="n">
        <x:v>11734</x:v>
      </x:c>
      <x:c r="AF218" s="55" t="n">
        <x:v>11638</x:v>
      </x:c>
      <x:c r="AG218" s="55" t="n">
        <x:v>96</x:v>
      </x:c>
      <x:c r="AH218" s="55" t="n">
        <x:v>695</x:v>
      </x:c>
      <x:c r="AI218" s="55" t="n">
        <x:v>10943</x:v>
      </x:c>
      <x:c r="AJ218" s="55" t="n">
        <x:v>310</x:v>
      </x:c>
      <x:c r="AK218" s="55" t="n">
        <x:v>1104</x:v>
      </x:c>
      <x:c r="AL218" s="55" t="n">
        <x:v>1665</x:v>
      </x:c>
      <x:c r="AM218" s="55" t="n">
        <x:v>5542</x:v>
      </x:c>
      <x:c r="AN218" s="55" t="n">
        <x:v>2924</x:v>
      </x:c>
      <x:c r="AO218" s="55" t="n">
        <x:v>93</x:v>
      </x:c>
      <x:c r="AP218" s="55" t="n">
        <x:v>2583</x:v>
      </x:c>
      <x:c r="AQ218" s="55" t="n">
        <x:v>959</x:v>
      </x:c>
    </x:row>
    <x:row r="219">
      <x:c r="A219" s="54" t="str">
        <x:v>T0_TABLE_BLOCK</x:v>
      </x:c>
      <x:c r="B219" s="54" t="n">
        <x:v>213</x:v>
      </x:c>
      <x:c r="C219" s="54" t="str">
        <x:v>NYC-V2-R01</x:v>
      </x:c>
      <x:c r="D219" s="54" t="str">
        <x:v>V2</x:v>
      </x:c>
      <x:c r="E219" s="54" t="str">
        <x:v>ADMITTED</x:v>
      </x:c>
      <x:c r="F219" s="55" t="n">
        <x:v>30502</x:v>
      </x:c>
      <x:c r="G219" s="55" t="n">
        <x:v>7752</x:v>
      </x:c>
      <x:c r="H219" s="55" t="n">
        <x:v>3508</x:v>
      </x:c>
      <x:c r="I219" s="55" t="n">
        <x:v>1366</x:v>
      </x:c>
      <x:c r="J219" s="55" t="n">
        <x:v>155</x:v>
      </x:c>
      <x:c r="K219" s="55" t="n">
        <x:v>29496</x:v>
      </x:c>
      <x:c r="L219" s="55" t="n">
        <x:v>4651</x:v>
      </x:c>
      <x:c r="M219" s="55" t="n">
        <x:v>892</x:v>
      </x:c>
      <x:c r="N219" s="55" t="n">
        <x:v>2395</x:v>
      </x:c>
      <x:c r="O219" s="55" t="n">
        <x:v>1364</x:v>
      </x:c>
      <x:c r="P219" s="55" t="n">
        <x:v>839</x:v>
      </x:c>
      <x:c r="Q219" s="55" t="n">
        <x:v>2654</x:v>
      </x:c>
      <x:c r="R219" s="55" t="n">
        <x:v>2141</x:v>
      </x:c>
      <x:c r="S219" s="55" t="n">
        <x:v>2656</x:v>
      </x:c>
      <x:c r="T219" s="55" t="n">
        <x:v>1440</x:v>
      </x:c>
      <x:c r="U219" s="55" t="n">
        <x:v>1521</x:v>
      </x:c>
      <x:c r="V219" s="55" t="n">
        <x:v>10278</x:v>
      </x:c>
      <x:c r="W219" s="55" t="n">
        <x:v>7606</x:v>
      </x:c>
      <x:c r="X219" s="55" t="n">
        <x:v>2672</x:v>
      </x:c>
      <x:c r="Y219" s="55" t="n">
        <x:v>2320</x:v>
      </x:c>
      <x:c r="Z219" s="55" t="n">
        <x:v>3369</x:v>
      </x:c>
      <x:c r="AA219" s="55" t="n">
        <x:v>2720</x:v>
      </x:c>
      <x:c r="AB219" s="55" t="n">
        <x:v>625</x:v>
      </x:c>
      <x:c r="AC219" s="55" t="n">
        <x:v>7656</x:v>
      </x:c>
      <x:c r="AD219" s="55" t="n">
        <x:v>2872</x:v>
      </x:c>
      <x:c r="AE219" s="55" t="n">
        <x:v>10354</x:v>
      </x:c>
      <x:c r="AF219" s="55" t="n">
        <x:v>10278</x:v>
      </x:c>
      <x:c r="AG219" s="55" t="n">
        <x:v>76</x:v>
      </x:c>
      <x:c r="AH219" s="55" t="n">
        <x:v>403</x:v>
      </x:c>
      <x:c r="AI219" s="55" t="n">
        <x:v>9875</x:v>
      </x:c>
      <x:c r="AJ219" s="55" t="n">
        <x:v>257</x:v>
      </x:c>
      <x:c r="AK219" s="55" t="n">
        <x:v>1160</x:v>
      </x:c>
      <x:c r="AL219" s="55" t="n">
        <x:v>1276</x:v>
      </x:c>
      <x:c r="AM219" s="55" t="n">
        <x:v>5135</x:v>
      </x:c>
      <x:c r="AN219" s="55" t="n">
        <x:v>2423</x:v>
      </x:c>
      <x:c r="AO219" s="55" t="n">
        <x:v>27</x:v>
      </x:c>
      <x:c r="AP219" s="55" t="n">
        <x:v>2866</x:v>
      </x:c>
      <x:c r="AQ219" s="55" t="n">
        <x:v>990</x:v>
      </x:c>
    </x:row>
    <x:row r="220">
      <x:c r="A220" s="54" t="str">
        <x:v>T0_TABLE_BLOCK</x:v>
      </x:c>
      <x:c r="B220" s="54" t="n">
        <x:v>214</x:v>
      </x:c>
      <x:c r="C220" s="54" t="str">
        <x:v>NYC-V2-R01</x:v>
      </x:c>
      <x:c r="D220" s="54" t="str">
        <x:v>V2</x:v>
      </x:c>
      <x:c r="E220" s="54" t="str">
        <x:v>ADMITTED</x:v>
      </x:c>
      <x:c r="F220" s="55" t="n">
        <x:v>30932</x:v>
      </x:c>
      <x:c r="G220" s="55" t="n">
        <x:v>7929</x:v>
      </x:c>
      <x:c r="H220" s="55" t="n">
        <x:v>3115</x:v>
      </x:c>
      <x:c r="I220" s="55" t="n">
        <x:v>1372</x:v>
      </x:c>
      <x:c r="J220" s="55" t="n">
        <x:v>193</x:v>
      </x:c>
      <x:c r="K220" s="55" t="n">
        <x:v>30932</x:v>
      </x:c>
      <x:c r="L220" s="55" t="n">
        <x:v>4835</x:v>
      </x:c>
      <x:c r="M220" s="55" t="n">
        <x:v>503</x:v>
      </x:c>
      <x:c r="N220" s="55" t="n">
        <x:v>2597</x:v>
      </x:c>
      <x:c r="O220" s="55" t="n">
        <x:v>1735</x:v>
      </x:c>
      <x:c r="P220" s="55" t="n">
        <x:v>1070</x:v>
      </x:c>
      <x:c r="Q220" s="55" t="n">
        <x:v>2524</x:v>
      </x:c>
      <x:c r="R220" s="55" t="n">
        <x:v>1092</x:v>
      </x:c>
      <x:c r="S220" s="55" t="n">
        <x:v>2595</x:v>
      </x:c>
      <x:c r="T220" s="55" t="n">
        <x:v>1532</x:v>
      </x:c>
      <x:c r="U220" s="55" t="n">
        <x:v>2415</x:v>
      </x:c>
      <x:c r="V220" s="55" t="n">
        <x:v>10584</x:v>
      </x:c>
      <x:c r="W220" s="55" t="n">
        <x:v>8249</x:v>
      </x:c>
      <x:c r="X220" s="55" t="n">
        <x:v>2335</x:v>
      </x:c>
      <x:c r="Y220" s="55" t="n">
        <x:v>2103</x:v>
      </x:c>
      <x:c r="Z220" s="55" t="n">
        <x:v>3834</x:v>
      </x:c>
      <x:c r="AA220" s="55" t="n">
        <x:v>3115</x:v>
      </x:c>
      <x:c r="AB220" s="55" t="n">
        <x:v>1495</x:v>
      </x:c>
      <x:c r="AC220" s="55" t="n">
        <x:v>7940</x:v>
      </x:c>
      <x:c r="AD220" s="55" t="n">
        <x:v>2354</x:v>
      </x:c>
      <x:c r="AE220" s="55" t="n">
        <x:v>10642</x:v>
      </x:c>
      <x:c r="AF220" s="55" t="n">
        <x:v>10584</x:v>
      </x:c>
      <x:c r="AG220" s="55" t="n">
        <x:v>58</x:v>
      </x:c>
      <x:c r="AH220" s="55" t="n">
        <x:v>619</x:v>
      </x:c>
      <x:c r="AI220" s="55" t="n">
        <x:v>9965</x:v>
      </x:c>
      <x:c r="AJ220" s="55" t="n">
        <x:v>379</x:v>
      </x:c>
      <x:c r="AK220" s="55" t="n">
        <x:v>1302</x:v>
      </x:c>
      <x:c r="AL220" s="55" t="n">
        <x:v>1557</x:v>
      </x:c>
      <x:c r="AM220" s="55" t="n">
        <x:v>4646</x:v>
      </x:c>
      <x:c r="AN220" s="55" t="n">
        <x:v>2676</x:v>
      </x:c>
      <x:c r="AO220" s="55" t="n">
        <x:v>24</x:v>
      </x:c>
      <x:c r="AP220" s="55" t="n">
        <x:v>2542</x:v>
      </x:c>
      <x:c r="AQ220" s="55" t="n">
        <x:v>947</x:v>
      </x:c>
    </x:row>
    <x:row r="221">
      <x:c r="A221" s="54" t="str">
        <x:v>T0_TABLE_BLOCK</x:v>
      </x:c>
      <x:c r="B221" s="54" t="n">
        <x:v>215</x:v>
      </x:c>
      <x:c r="C221" s="54" t="str">
        <x:v>NYC-V2-R01</x:v>
      </x:c>
      <x:c r="D221" s="54" t="str">
        <x:v>V2</x:v>
      </x:c>
      <x:c r="E221" s="54" t="str">
        <x:v>ADMITTED</x:v>
      </x:c>
      <x:c r="F221" s="55" t="n">
        <x:v>31316</x:v>
      </x:c>
      <x:c r="G221" s="55" t="n">
        <x:v>6172</x:v>
      </x:c>
      <x:c r="H221" s="55" t="n">
        <x:v>2817</x:v>
      </x:c>
      <x:c r="I221" s="55" t="n">
        <x:v>1260</x:v>
      </x:c>
      <x:c r="J221" s="55" t="n">
        <x:v>219</x:v>
      </x:c>
      <x:c r="K221" s="55" t="n">
        <x:v>31316</x:v>
      </x:c>
      <x:c r="L221" s="55" t="n">
        <x:v>6016</x:v>
      </x:c>
      <x:c r="M221" s="55" t="n">
        <x:v>1244</x:v>
      </x:c>
      <x:c r="N221" s="55" t="n">
        <x:v>3053</x:v>
      </x:c>
      <x:c r="O221" s="55" t="n">
        <x:v>1719</x:v>
      </x:c>
      <x:c r="P221" s="55" t="n">
        <x:v>1198</x:v>
      </x:c>
      <x:c r="Q221" s="55" t="n">
        <x:v>2306</x:v>
      </x:c>
      <x:c r="R221" s="55" t="n">
        <x:v>1731</x:v>
      </x:c>
      <x:c r="S221" s="55" t="n">
        <x:v>2679</x:v>
      </x:c>
      <x:c r="T221" s="55" t="n">
        <x:v>1461</x:v>
      </x:c>
      <x:c r="U221" s="55" t="n">
        <x:v>2023</x:v>
      </x:c>
      <x:c r="V221" s="55" t="n">
        <x:v>10923</x:v>
      </x:c>
      <x:c r="W221" s="55" t="n">
        <x:v>8101</x:v>
      </x:c>
      <x:c r="X221" s="55" t="n">
        <x:v>2822</x:v>
      </x:c>
      <x:c r="Y221" s="55" t="n">
        <x:v>2481</x:v>
      </x:c>
      <x:c r="Z221" s="55" t="n">
        <x:v>3644</x:v>
      </x:c>
      <x:c r="AA221" s="55" t="n">
        <x:v>2777</x:v>
      </x:c>
      <x:c r="AB221" s="55" t="n">
        <x:v>1102</x:v>
      </x:c>
      <x:c r="AC221" s="55" t="n">
        <x:v>7936</x:v>
      </x:c>
      <x:c r="AD221" s="55" t="n">
        <x:v>2456</x:v>
      </x:c>
      <x:c r="AE221" s="55" t="n">
        <x:v>10978</x:v>
      </x:c>
      <x:c r="AF221" s="55" t="n">
        <x:v>10923</x:v>
      </x:c>
      <x:c r="AG221" s="55" t="n">
        <x:v>55</x:v>
      </x:c>
      <x:c r="AH221" s="55" t="n">
        <x:v>403</x:v>
      </x:c>
      <x:c r="AI221" s="55" t="n">
        <x:v>10520</x:v>
      </x:c>
      <x:c r="AJ221" s="55" t="n">
        <x:v>417</x:v>
      </x:c>
      <x:c r="AK221" s="55" t="n">
        <x:v>909</x:v>
      </x:c>
      <x:c r="AL221" s="55" t="n">
        <x:v>1859</x:v>
      </x:c>
      <x:c r="AM221" s="55" t="n">
        <x:v>4730</x:v>
      </x:c>
      <x:c r="AN221" s="55" t="n">
        <x:v>2913</x:v>
      </x:c>
      <x:c r="AO221" s="55" t="n">
        <x:v>95</x:v>
      </x:c>
      <x:c r="AP221" s="55" t="n">
        <x:v>2322</x:v>
      </x:c>
      <x:c r="AQ221" s="55" t="n">
        <x:v>942</x:v>
      </x:c>
    </x:row>
    <x:row r="222">
      <x:c r="A222" s="54" t="str">
        <x:v>T0_TABLE_BLOCK</x:v>
      </x:c>
      <x:c r="B222" s="54" t="n">
        <x:v>216</x:v>
      </x:c>
      <x:c r="C222" s="54" t="str">
        <x:v>NYC-V2-R01</x:v>
      </x:c>
      <x:c r="D222" s="54" t="str">
        <x:v>V2</x:v>
      </x:c>
      <x:c r="E222" s="54" t="str">
        <x:v>ADMITTED</x:v>
      </x:c>
      <x:c r="F222" s="55" t="n">
        <x:v>30545</x:v>
      </x:c>
      <x:c r="G222" s="55" t="n">
        <x:v>7270</x:v>
      </x:c>
      <x:c r="H222" s="55" t="n">
        <x:v>3112</x:v>
      </x:c>
      <x:c r="I222" s="55" t="n">
        <x:v>1212</x:v>
      </x:c>
      <x:c r="J222" s="55" t="n">
        <x:v>263</x:v>
      </x:c>
      <x:c r="K222" s="55" t="n">
        <x:v>30545</x:v>
      </x:c>
      <x:c r="L222" s="55" t="n">
        <x:v>6125</x:v>
      </x:c>
      <x:c r="M222" s="55" t="n">
        <x:v>1251</x:v>
      </x:c>
      <x:c r="N222" s="55" t="n">
        <x:v>3308</x:v>
      </x:c>
      <x:c r="O222" s="55" t="n">
        <x:v>1566</x:v>
      </x:c>
      <x:c r="P222" s="55" t="n">
        <x:v>680</x:v>
      </x:c>
      <x:c r="Q222" s="55" t="n">
        <x:v>2868</x:v>
      </x:c>
      <x:c r="R222" s="55" t="n">
        <x:v>2007</x:v>
      </x:c>
      <x:c r="S222" s="55" t="n">
        <x:v>3040</x:v>
      </x:c>
      <x:c r="T222" s="55" t="n">
        <x:v>1213</x:v>
      </x:c>
      <x:c r="U222" s="55" t="n">
        <x:v>2115</x:v>
      </x:c>
      <x:c r="V222" s="55" t="n">
        <x:v>9858</x:v>
      </x:c>
      <x:c r="W222" s="55" t="n">
        <x:v>6817</x:v>
      </x:c>
      <x:c r="X222" s="55" t="n">
        <x:v>3041</x:v>
      </x:c>
      <x:c r="Y222" s="55" t="n">
        <x:v>2524</x:v>
      </x:c>
      <x:c r="Z222" s="55" t="n">
        <x:v>3198</x:v>
      </x:c>
      <x:c r="AA222" s="55" t="n">
        <x:v>3007</x:v>
      </x:c>
      <x:c r="AB222" s="55" t="n">
        <x:v>1127</x:v>
      </x:c>
      <x:c r="AC222" s="55" t="n">
        <x:v>8603</x:v>
      </x:c>
      <x:c r="AD222" s="55" t="n">
        <x:v>3305</x:v>
      </x:c>
      <x:c r="AE222" s="55" t="n">
        <x:v>9858</x:v>
      </x:c>
      <x:c r="AF222" s="55" t="n">
        <x:v>9858</x:v>
      </x:c>
      <x:c r="AG222" s="55" t="n">
        <x:v>0</x:v>
      </x:c>
      <x:c r="AH222" s="55" t="n">
        <x:v>172</x:v>
      </x:c>
      <x:c r="AI222" s="55" t="n">
        <x:v>9686</x:v>
      </x:c>
      <x:c r="AJ222" s="55" t="n">
        <x:v>345</x:v>
      </x:c>
      <x:c r="AK222" s="55" t="n">
        <x:v>891</x:v>
      </x:c>
      <x:c r="AL222" s="55" t="n">
        <x:v>1975</x:v>
      </x:c>
      <x:c r="AM222" s="55" t="n">
        <x:v>4546</x:v>
      </x:c>
      <x:c r="AN222" s="55" t="n">
        <x:v>2101</x:v>
      </x:c>
      <x:c r="AO222" s="55" t="n">
        <x:v>0</x:v>
      </x:c>
      <x:c r="AP222" s="55" t="n">
        <x:v>2403</x:v>
      </x:c>
      <x:c r="AQ222" s="55" t="n">
        <x:v>988</x:v>
      </x:c>
    </x:row>
    <x:row r="223">
      <x:c r="A223" s="54" t="str">
        <x:v>T0_TABLE_BLOCK</x:v>
      </x:c>
      <x:c r="B223" s="54" t="n">
        <x:v>217</x:v>
      </x:c>
      <x:c r="C223" s="54" t="str">
        <x:v>NYC-V2-R01</x:v>
      </x:c>
      <x:c r="D223" s="54" t="str">
        <x:v>V2</x:v>
      </x:c>
      <x:c r="E223" s="54" t="str">
        <x:v>ADMITTED</x:v>
      </x:c>
      <x:c r="F223" s="55" t="n">
        <x:v>32202</x:v>
      </x:c>
      <x:c r="G223" s="55" t="n">
        <x:v>6798</x:v>
      </x:c>
      <x:c r="H223" s="55" t="n">
        <x:v>3113</x:v>
      </x:c>
      <x:c r="I223" s="55" t="n">
        <x:v>1335</x:v>
      </x:c>
      <x:c r="J223" s="55" t="n">
        <x:v>316</x:v>
      </x:c>
      <x:c r="K223" s="55" t="n">
        <x:v>32202</x:v>
      </x:c>
      <x:c r="L223" s="55" t="n">
        <x:v>6155</x:v>
      </x:c>
      <x:c r="M223" s="55" t="n">
        <x:v>1505</x:v>
      </x:c>
      <x:c r="N223" s="55" t="n">
        <x:v>2607</x:v>
      </x:c>
      <x:c r="O223" s="55" t="n">
        <x:v>2043</x:v>
      </x:c>
      <x:c r="P223" s="55" t="n">
        <x:v>626</x:v>
      </x:c>
      <x:c r="Q223" s="55" t="n">
        <x:v>2394</x:v>
      </x:c>
      <x:c r="R223" s="55" t="n">
        <x:v>1656</x:v>
      </x:c>
      <x:c r="S223" s="55" t="n">
        <x:v>3159</x:v>
      </x:c>
      <x:c r="T223" s="55" t="n">
        <x:v>1577</x:v>
      </x:c>
      <x:c r="U223" s="55" t="n">
        <x:v>2053</x:v>
      </x:c>
      <x:c r="V223" s="55" t="n">
        <x:v>11207</x:v>
      </x:c>
      <x:c r="W223" s="55" t="n">
        <x:v>8083</x:v>
      </x:c>
      <x:c r="X223" s="55" t="n">
        <x:v>3124</x:v>
      </x:c>
      <x:c r="Y223" s="55" t="n">
        <x:v>2661</x:v>
      </x:c>
      <x:c r="Z223" s="55" t="n">
        <x:v>3841</x:v>
      </x:c>
      <x:c r="AA223" s="55" t="n">
        <x:v>2566</x:v>
      </x:c>
      <x:c r="AB223" s="55" t="n">
        <x:v>746</x:v>
      </x:c>
      <x:c r="AC223" s="55" t="n">
        <x:v>8291</x:v>
      </x:c>
      <x:c r="AD223" s="55" t="n">
        <x:v>3236</x:v>
      </x:c>
      <x:c r="AE223" s="55" t="n">
        <x:v>11226</x:v>
      </x:c>
      <x:c r="AF223" s="55" t="n">
        <x:v>11207</x:v>
      </x:c>
      <x:c r="AG223" s="55" t="n">
        <x:v>19</x:v>
      </x:c>
      <x:c r="AH223" s="55" t="n">
        <x:v>624</x:v>
      </x:c>
      <x:c r="AI223" s="55" t="n">
        <x:v>10583</x:v>
      </x:c>
      <x:c r="AJ223" s="55" t="n">
        <x:v>267</x:v>
      </x:c>
      <x:c r="AK223" s="55" t="n">
        <x:v>1079</x:v>
      </x:c>
      <x:c r="AL223" s="55" t="n">
        <x:v>1837</x:v>
      </x:c>
      <x:c r="AM223" s="55" t="n">
        <x:v>5616</x:v>
      </x:c>
      <x:c r="AN223" s="55" t="n">
        <x:v>2336</x:v>
      </x:c>
      <x:c r="AO223" s="55" t="n">
        <x:v>72</x:v>
      </x:c>
      <x:c r="AP223" s="55" t="n">
        <x:v>2511</x:v>
      </x:c>
      <x:c r="AQ223" s="55" t="n">
        <x:v>955</x:v>
      </x:c>
    </x:row>
    <x:row r="224">
      <x:c r="A224" s="54" t="str">
        <x:v>T0_TABLE_BLOCK</x:v>
      </x:c>
      <x:c r="B224" s="54" t="n">
        <x:v>218</x:v>
      </x:c>
      <x:c r="C224" s="54" t="str">
        <x:v>NYC-V2-R01</x:v>
      </x:c>
      <x:c r="D224" s="54" t="str">
        <x:v>V2</x:v>
      </x:c>
      <x:c r="E224" s="54" t="str">
        <x:v>ADMITTED</x:v>
      </x:c>
      <x:c r="F224" s="55" t="n">
        <x:v>31191</x:v>
      </x:c>
      <x:c r="G224" s="55" t="n">
        <x:v>8161</x:v>
      </x:c>
      <x:c r="H224" s="55" t="n">
        <x:v>3511</x:v>
      </x:c>
      <x:c r="I224" s="55" t="n">
        <x:v>1148</x:v>
      </x:c>
      <x:c r="J224" s="55" t="n">
        <x:v>175</x:v>
      </x:c>
      <x:c r="K224" s="55" t="n">
        <x:v>26515</x:v>
      </x:c>
      <x:c r="L224" s="55" t="n">
        <x:v>3609</x:v>
      </x:c>
      <x:c r="M224" s="55" t="n">
        <x:v>485</x:v>
      </x:c>
      <x:c r="N224" s="55" t="n">
        <x:v>1972</x:v>
      </x:c>
      <x:c r="O224" s="55" t="n">
        <x:v>1152</x:v>
      </x:c>
      <x:c r="P224" s="55" t="n">
        <x:v>1020</x:v>
      </x:c>
      <x:c r="Q224" s="55" t="n">
        <x:v>2570</x:v>
      </x:c>
      <x:c r="R224" s="55" t="n">
        <x:v>2065</x:v>
      </x:c>
      <x:c r="S224" s="55" t="n">
        <x:v>2873</x:v>
      </x:c>
      <x:c r="T224" s="55" t="n">
        <x:v>1628</x:v>
      </x:c>
      <x:c r="U224" s="55" t="n">
        <x:v>2273</x:v>
      </x:c>
      <x:c r="V224" s="55" t="n">
        <x:v>9724</x:v>
      </x:c>
      <x:c r="W224" s="55" t="n">
        <x:v>6774</x:v>
      </x:c>
      <x:c r="X224" s="55" t="n">
        <x:v>2950</x:v>
      </x:c>
      <x:c r="Y224" s="55" t="n">
        <x:v>2639</x:v>
      </x:c>
      <x:c r="Z224" s="55" t="n">
        <x:v>3379</x:v>
      </x:c>
      <x:c r="AA224" s="55" t="n">
        <x:v>3511</x:v>
      </x:c>
      <x:c r="AB224" s="55" t="n">
        <x:v>1233</x:v>
      </x:c>
      <x:c r="AC224" s="55" t="n">
        <x:v>7644</x:v>
      </x:c>
      <x:c r="AD224" s="55" t="n">
        <x:v>2904</x:v>
      </x:c>
      <x:c r="AE224" s="55" t="n">
        <x:v>9741</x:v>
      </x:c>
      <x:c r="AF224" s="55" t="n">
        <x:v>9724</x:v>
      </x:c>
      <x:c r="AG224" s="55" t="n">
        <x:v>17</x:v>
      </x:c>
      <x:c r="AH224" s="55" t="n">
        <x:v>475</x:v>
      </x:c>
      <x:c r="AI224" s="55" t="n">
        <x:v>9249</x:v>
      </x:c>
      <x:c r="AJ224" s="55" t="n">
        <x:v>270</x:v>
      </x:c>
      <x:c r="AK224" s="55" t="n">
        <x:v>909</x:v>
      </x:c>
      <x:c r="AL224" s="55" t="n">
        <x:v>1746</x:v>
      </x:c>
      <x:c r="AM224" s="55" t="n">
        <x:v>4456</x:v>
      </x:c>
      <x:c r="AN224" s="55" t="n">
        <x:v>2343</x:v>
      </x:c>
      <x:c r="AO224" s="55" t="n">
        <x:v>0</x:v>
      </x:c>
      <x:c r="AP224" s="55" t="n">
        <x:v>2866</x:v>
      </x:c>
      <x:c r="AQ224" s="55" t="n">
        <x:v>976</x:v>
      </x:c>
    </x:row>
    <x:row r="225">
      <x:c r="A225" s="54" t="str">
        <x:v>T0_TABLE_BLOCK</x:v>
      </x:c>
      <x:c r="B225" s="54" t="n">
        <x:v>219</x:v>
      </x:c>
      <x:c r="C225" s="54" t="str">
        <x:v>NYC-V2-R01</x:v>
      </x:c>
      <x:c r="D225" s="54" t="str">
        <x:v>V2</x:v>
      </x:c>
      <x:c r="E225" s="54" t="str">
        <x:v>ADMITTED</x:v>
      </x:c>
      <x:c r="F225" s="55" t="n">
        <x:v>31508</x:v>
      </x:c>
      <x:c r="G225" s="55" t="n">
        <x:v>8888</x:v>
      </x:c>
      <x:c r="H225" s="55" t="n">
        <x:v>3496</x:v>
      </x:c>
      <x:c r="I225" s="55" t="n">
        <x:v>1108</x:v>
      </x:c>
      <x:c r="J225" s="55" t="n">
        <x:v>0</x:v>
      </x:c>
      <x:c r="K225" s="55" t="n">
        <x:v>31508</x:v>
      </x:c>
      <x:c r="L225" s="55" t="n">
        <x:v>6572</x:v>
      </x:c>
      <x:c r="M225" s="55" t="n">
        <x:v>2141</x:v>
      </x:c>
      <x:c r="N225" s="55" t="n">
        <x:v>2529</x:v>
      </x:c>
      <x:c r="O225" s="55" t="n">
        <x:v>1902</x:v>
      </x:c>
      <x:c r="P225" s="55" t="n">
        <x:v>786</x:v>
      </x:c>
      <x:c r="Q225" s="55" t="n">
        <x:v>2786</x:v>
      </x:c>
      <x:c r="R225" s="55" t="n">
        <x:v>2013</x:v>
      </x:c>
      <x:c r="S225" s="55" t="n">
        <x:v>2313</x:v>
      </x:c>
      <x:c r="T225" s="55" t="n">
        <x:v>1151</x:v>
      </x:c>
      <x:c r="U225" s="55" t="n">
        <x:v>2087</x:v>
      </x:c>
      <x:c r="V225" s="55" t="n">
        <x:v>9798</x:v>
      </x:c>
      <x:c r="W225" s="55" t="n">
        <x:v>6548</x:v>
      </x:c>
      <x:c r="X225" s="55" t="n">
        <x:v>3250</x:v>
      </x:c>
      <x:c r="Y225" s="55" t="n">
        <x:v>2815</x:v>
      </x:c>
      <x:c r="Z225" s="55" t="n">
        <x:v>3589</x:v>
      </x:c>
      <x:c r="AA225" s="55" t="n">
        <x:v>3496</x:v>
      </x:c>
      <x:c r="AB225" s="55" t="n">
        <x:v>1577</x:v>
      </x:c>
      <x:c r="AC225" s="55" t="n">
        <x:v>7785</x:v>
      </x:c>
      <x:c r="AD225" s="55" t="n">
        <x:v>2964</x:v>
      </x:c>
      <x:c r="AE225" s="55" t="n">
        <x:v>9868</x:v>
      </x:c>
      <x:c r="AF225" s="55" t="n">
        <x:v>9798</x:v>
      </x:c>
      <x:c r="AG225" s="55" t="n">
        <x:v>70</x:v>
      </x:c>
      <x:c r="AH225" s="55" t="n">
        <x:v>366</x:v>
      </x:c>
      <x:c r="AI225" s="55" t="n">
        <x:v>9432</x:v>
      </x:c>
      <x:c r="AJ225" s="55" t="n">
        <x:v>350</x:v>
      </x:c>
      <x:c r="AK225" s="55" t="n">
        <x:v>831</x:v>
      </x:c>
      <x:c r="AL225" s="55" t="n">
        <x:v>1387</x:v>
      </x:c>
      <x:c r="AM225" s="55" t="n">
        <x:v>4818</x:v>
      </x:c>
      <x:c r="AN225" s="55" t="n">
        <x:v>2412</x:v>
      </x:c>
      <x:c r="AO225" s="55" t="n">
        <x:v>0</x:v>
      </x:c>
      <x:c r="AP225" s="55" t="n">
        <x:v>1761</x:v>
      </x:c>
      <x:c r="AQ225" s="55" t="n">
        <x:v>936</x:v>
      </x:c>
    </x:row>
    <x:row r="226">
      <x:c r="A226" s="54" t="str">
        <x:v>T0_TABLE_BLOCK</x:v>
      </x:c>
      <x:c r="B226" s="54" t="n">
        <x:v>220</x:v>
      </x:c>
      <x:c r="C226" s="54" t="str">
        <x:v>NYC-V2-R01</x:v>
      </x:c>
      <x:c r="D226" s="54" t="str">
        <x:v>V2</x:v>
      </x:c>
      <x:c r="E226" s="54" t="str">
        <x:v>ADMITTED</x:v>
      </x:c>
      <x:c r="F226" s="55" t="n">
        <x:v>32705</x:v>
      </x:c>
      <x:c r="G226" s="55" t="n">
        <x:v>9484</x:v>
      </x:c>
      <x:c r="H226" s="55" t="n">
        <x:v>3577</x:v>
      </x:c>
      <x:c r="I226" s="55" t="n">
        <x:v>1223</x:v>
      </x:c>
      <x:c r="J226" s="55" t="n">
        <x:v>295</x:v>
      </x:c>
      <x:c r="K226" s="55" t="n">
        <x:v>30634</x:v>
      </x:c>
      <x:c r="L226" s="55" t="n">
        <x:v>4600</x:v>
      </x:c>
      <x:c r="M226" s="55" t="n">
        <x:v>411</x:v>
      </x:c>
      <x:c r="N226" s="55" t="n">
        <x:v>2510</x:v>
      </x:c>
      <x:c r="O226" s="55" t="n">
        <x:v>1679</x:v>
      </x:c>
      <x:c r="P226" s="55" t="n">
        <x:v>757</x:v>
      </x:c>
      <x:c r="Q226" s="55" t="n">
        <x:v>2852</x:v>
      </x:c>
      <x:c r="R226" s="55" t="n">
        <x:v>2242</x:v>
      </x:c>
      <x:c r="S226" s="55" t="n">
        <x:v>3076</x:v>
      </x:c>
      <x:c r="T226" s="55" t="n">
        <x:v>1075</x:v>
      </x:c>
      <x:c r="U226" s="55" t="n">
        <x:v>2124</x:v>
      </x:c>
      <x:c r="V226" s="55" t="n">
        <x:v>10741</x:v>
      </x:c>
      <x:c r="W226" s="55" t="n">
        <x:v>7520</x:v>
      </x:c>
      <x:c r="X226" s="55" t="n">
        <x:v>3221</x:v>
      </x:c>
      <x:c r="Y226" s="55" t="n">
        <x:v>2726</x:v>
      </x:c>
      <x:c r="Z226" s="55" t="n">
        <x:v>3789</x:v>
      </x:c>
      <x:c r="AA226" s="55" t="n">
        <x:v>2870</x:v>
      </x:c>
      <x:c r="AB226" s="55" t="n">
        <x:v>927</x:v>
      </x:c>
      <x:c r="AC226" s="55" t="n">
        <x:v>8224</x:v>
      </x:c>
      <x:c r="AD226" s="55" t="n">
        <x:v>2611</x:v>
      </x:c>
      <x:c r="AE226" s="55" t="n">
        <x:v>10797</x:v>
      </x:c>
      <x:c r="AF226" s="55" t="n">
        <x:v>10741</x:v>
      </x:c>
      <x:c r="AG226" s="55" t="n">
        <x:v>56</x:v>
      </x:c>
      <x:c r="AH226" s="55" t="n">
        <x:v>573</x:v>
      </x:c>
      <x:c r="AI226" s="55" t="n">
        <x:v>10168</x:v>
      </x:c>
      <x:c r="AJ226" s="55" t="n">
        <x:v>302</x:v>
      </x:c>
      <x:c r="AK226" s="55" t="n">
        <x:v>1013</x:v>
      </x:c>
      <x:c r="AL226" s="55" t="n">
        <x:v>1868</x:v>
      </x:c>
      <x:c r="AM226" s="55" t="n">
        <x:v>4364</x:v>
      </x:c>
      <x:c r="AN226" s="55" t="n">
        <x:v>3194</x:v>
      </x:c>
      <x:c r="AO226" s="55" t="n">
        <x:v>0</x:v>
      </x:c>
      <x:c r="AP226" s="55" t="n">
        <x:v>1943</x:v>
      </x:c>
      <x:c r="AQ226" s="55" t="n">
        <x:v>920</x:v>
      </x:c>
    </x:row>
    <x:row r="227">
      <x:c r="A227" s="54" t="str">
        <x:v>T0_TABLE_BLOCK</x:v>
      </x:c>
      <x:c r="B227" s="54" t="n">
        <x:v>221</x:v>
      </x:c>
      <x:c r="C227" s="54" t="str">
        <x:v>NYC-V2-R01</x:v>
      </x:c>
      <x:c r="D227" s="54" t="str">
        <x:v>V2</x:v>
      </x:c>
      <x:c r="E227" s="54" t="str">
        <x:v>ADMITTED</x:v>
      </x:c>
      <x:c r="F227" s="55" t="n">
        <x:v>29977</x:v>
      </x:c>
      <x:c r="G227" s="55" t="n">
        <x:v>8423</x:v>
      </x:c>
      <x:c r="H227" s="55" t="n">
        <x:v>3343</x:v>
      </x:c>
      <x:c r="I227" s="55" t="n">
        <x:v>1177</x:v>
      </x:c>
      <x:c r="J227" s="55" t="n">
        <x:v>277</x:v>
      </x:c>
      <x:c r="K227" s="55" t="n">
        <x:v>29977</x:v>
      </x:c>
      <x:c r="L227" s="55" t="n">
        <x:v>5531</x:v>
      </x:c>
      <x:c r="M227" s="55" t="n">
        <x:v>1182</x:v>
      </x:c>
      <x:c r="N227" s="55" t="n">
        <x:v>2443</x:v>
      </x:c>
      <x:c r="O227" s="55" t="n">
        <x:v>1906</x:v>
      </x:c>
      <x:c r="P227" s="55" t="n">
        <x:v>1249</x:v>
      </x:c>
      <x:c r="Q227" s="55" t="n">
        <x:v>1776</x:v>
      </x:c>
      <x:c r="R227" s="55" t="n">
        <x:v>1508</x:v>
      </x:c>
      <x:c r="S227" s="55" t="n">
        <x:v>2499</x:v>
      </x:c>
      <x:c r="T227" s="55" t="n">
        <x:v>1184</x:v>
      </x:c>
      <x:c r="U227" s="55" t="n">
        <x:v>2336</x:v>
      </x:c>
      <x:c r="V227" s="55" t="n">
        <x:v>10705</x:v>
      </x:c>
      <x:c r="W227" s="55" t="n">
        <x:v>7692</x:v>
      </x:c>
      <x:c r="X227" s="55" t="n">
        <x:v>3013</x:v>
      </x:c>
      <x:c r="Y227" s="55" t="n">
        <x:v>2434</x:v>
      </x:c>
      <x:c r="Z227" s="55" t="n">
        <x:v>4620</x:v>
      </x:c>
      <x:c r="AA227" s="55" t="n">
        <x:v>3343</x:v>
      </x:c>
      <x:c r="AB227" s="55" t="n">
        <x:v>1191</x:v>
      </x:c>
      <x:c r="AC227" s="55" t="n">
        <x:v>8332</x:v>
      </x:c>
      <x:c r="AD227" s="55" t="n">
        <x:v>3508</x:v>
      </x:c>
      <x:c r="AE227" s="55" t="n">
        <x:v>10757</x:v>
      </x:c>
      <x:c r="AF227" s="55" t="n">
        <x:v>10705</x:v>
      </x:c>
      <x:c r="AG227" s="55" t="n">
        <x:v>52</x:v>
      </x:c>
      <x:c r="AH227" s="55" t="n">
        <x:v>637</x:v>
      </x:c>
      <x:c r="AI227" s="55" t="n">
        <x:v>10068</x:v>
      </x:c>
      <x:c r="AJ227" s="55" t="n">
        <x:v>134</x:v>
      </x:c>
      <x:c r="AK227" s="55" t="n">
        <x:v>641</x:v>
      </x:c>
      <x:c r="AL227" s="55" t="n">
        <x:v>1435</x:v>
      </x:c>
      <x:c r="AM227" s="55" t="n">
        <x:v>5213</x:v>
      </x:c>
      <x:c r="AN227" s="55" t="n">
        <x:v>3225</x:v>
      </x:c>
      <x:c r="AO227" s="55" t="n">
        <x:v>57</x:v>
      </x:c>
      <x:c r="AP227" s="55" t="n">
        <x:v>1991</x:v>
      </x:c>
      <x:c r="AQ227" s="55" t="n">
        <x:v>976</x:v>
      </x:c>
    </x:row>
    <x:row r="228">
      <x:c r="A228" s="54" t="str">
        <x:v>T0_TABLE_BLOCK</x:v>
      </x:c>
      <x:c r="B228" s="54" t="n">
        <x:v>222</x:v>
      </x:c>
      <x:c r="C228" s="54" t="str">
        <x:v>NYC-V2-R01</x:v>
      </x:c>
      <x:c r="D228" s="54" t="str">
        <x:v>V2</x:v>
      </x:c>
      <x:c r="E228" s="54" t="str">
        <x:v>ADMITTED</x:v>
      </x:c>
      <x:c r="F228" s="55" t="n">
        <x:v>29137</x:v>
      </x:c>
      <x:c r="G228" s="55" t="n">
        <x:v>6389</x:v>
      </x:c>
      <x:c r="H228" s="55" t="n">
        <x:v>3937</x:v>
      </x:c>
      <x:c r="I228" s="55" t="n">
        <x:v>1584</x:v>
      </x:c>
      <x:c r="J228" s="55" t="n">
        <x:v>229</x:v>
      </x:c>
      <x:c r="K228" s="55" t="n">
        <x:v>28130</x:v>
      </x:c>
      <x:c r="L228" s="55" t="n">
        <x:v>5466</x:v>
      </x:c>
      <x:c r="M228" s="55" t="n">
        <x:v>1579</x:v>
      </x:c>
      <x:c r="N228" s="55" t="n">
        <x:v>2480</x:v>
      </x:c>
      <x:c r="O228" s="55" t="n">
        <x:v>1407</x:v>
      </x:c>
      <x:c r="P228" s="55" t="n">
        <x:v>998</x:v>
      </x:c>
      <x:c r="Q228" s="55" t="n">
        <x:v>3175</x:v>
      </x:c>
      <x:c r="R228" s="55" t="n">
        <x:v>1898</x:v>
      </x:c>
      <x:c r="S228" s="55" t="n">
        <x:v>2367</x:v>
      </x:c>
      <x:c r="T228" s="55" t="n">
        <x:v>1394</x:v>
      </x:c>
      <x:c r="U228" s="55" t="n">
        <x:v>2077</x:v>
      </x:c>
      <x:c r="V228" s="55" t="n">
        <x:v>10484</x:v>
      </x:c>
      <x:c r="W228" s="55" t="n">
        <x:v>7345</x:v>
      </x:c>
      <x:c r="X228" s="55" t="n">
        <x:v>3139</x:v>
      </x:c>
      <x:c r="Y228" s="55" t="n">
        <x:v>2846</x:v>
      </x:c>
      <x:c r="Z228" s="55" t="n">
        <x:v>3768</x:v>
      </x:c>
      <x:c r="AA228" s="55" t="n">
        <x:v>3349</x:v>
      </x:c>
      <x:c r="AB228" s="55" t="n">
        <x:v>1130</x:v>
      </x:c>
      <x:c r="AC228" s="55" t="n">
        <x:v>7983</x:v>
      </x:c>
      <x:c r="AD228" s="55" t="n">
        <x:v>3416</x:v>
      </x:c>
      <x:c r="AE228" s="55" t="n">
        <x:v>10570</x:v>
      </x:c>
      <x:c r="AF228" s="55" t="n">
        <x:v>10484</x:v>
      </x:c>
      <x:c r="AG228" s="55" t="n">
        <x:v>86</x:v>
      </x:c>
      <x:c r="AH228" s="55" t="n">
        <x:v>456</x:v>
      </x:c>
      <x:c r="AI228" s="55" t="n">
        <x:v>10028</x:v>
      </x:c>
      <x:c r="AJ228" s="55" t="n">
        <x:v>320</x:v>
      </x:c>
      <x:c r="AK228" s="55" t="n">
        <x:v>1178</x:v>
      </x:c>
      <x:c r="AL228" s="55" t="n">
        <x:v>1444</x:v>
      </x:c>
      <x:c r="AM228" s="55" t="n">
        <x:v>4937</x:v>
      </x:c>
      <x:c r="AN228" s="55" t="n">
        <x:v>2605</x:v>
      </x:c>
      <x:c r="AO228" s="55" t="n">
        <x:v>0</x:v>
      </x:c>
      <x:c r="AP228" s="55" t="n">
        <x:v>2189</x:v>
      </x:c>
      <x:c r="AQ228" s="55" t="n">
        <x:v>919</x:v>
      </x:c>
    </x:row>
    <x:row r="229">
      <x:c r="A229" s="54" t="str">
        <x:v>T0_TABLE_BLOCK</x:v>
      </x:c>
      <x:c r="B229" s="54" t="n">
        <x:v>223</x:v>
      </x:c>
      <x:c r="C229" s="54" t="str">
        <x:v>NYC-V2-R01</x:v>
      </x:c>
      <x:c r="D229" s="54" t="str">
        <x:v>V2</x:v>
      </x:c>
      <x:c r="E229" s="54" t="str">
        <x:v>ADMITTED</x:v>
      </x:c>
      <x:c r="F229" s="55" t="n">
        <x:v>31329</x:v>
      </x:c>
      <x:c r="G229" s="55" t="n">
        <x:v>7167</x:v>
      </x:c>
      <x:c r="H229" s="55" t="n">
        <x:v>3037</x:v>
      </x:c>
      <x:c r="I229" s="55" t="n">
        <x:v>1132</x:v>
      </x:c>
      <x:c r="J229" s="55" t="n">
        <x:v>270</x:v>
      </x:c>
      <x:c r="K229" s="55" t="n">
        <x:v>31329</x:v>
      </x:c>
      <x:c r="L229" s="55" t="n">
        <x:v>6724</x:v>
      </x:c>
      <x:c r="M229" s="55" t="n">
        <x:v>1890</x:v>
      </x:c>
      <x:c r="N229" s="55" t="n">
        <x:v>3259</x:v>
      </x:c>
      <x:c r="O229" s="55" t="n">
        <x:v>1575</x:v>
      </x:c>
      <x:c r="P229" s="55" t="n">
        <x:v>698</x:v>
      </x:c>
      <x:c r="Q229" s="55" t="n">
        <x:v>2321</x:v>
      </x:c>
      <x:c r="R229" s="55" t="n">
        <x:v>2183</x:v>
      </x:c>
      <x:c r="S229" s="55" t="n">
        <x:v>2624</x:v>
      </x:c>
      <x:c r="T229" s="55" t="n">
        <x:v>1515</x:v>
      </x:c>
      <x:c r="U229" s="55" t="n">
        <x:v>2206</x:v>
      </x:c>
      <x:c r="V229" s="55" t="n">
        <x:v>9892</x:v>
      </x:c>
      <x:c r="W229" s="55" t="n">
        <x:v>7060</x:v>
      </x:c>
      <x:c r="X229" s="55" t="n">
        <x:v>2832</x:v>
      </x:c>
      <x:c r="Y229" s="55" t="n">
        <x:v>2361</x:v>
      </x:c>
      <x:c r="Z229" s="55" t="n">
        <x:v>3602</x:v>
      </x:c>
      <x:c r="AA229" s="55" t="n">
        <x:v>2988</x:v>
      </x:c>
      <x:c r="AB229" s="55" t="n">
        <x:v>873</x:v>
      </x:c>
      <x:c r="AC229" s="55" t="n">
        <x:v>7759</x:v>
      </x:c>
      <x:c r="AD229" s="55" t="n">
        <x:v>2437</x:v>
      </x:c>
      <x:c r="AE229" s="55" t="n">
        <x:v>10103</x:v>
      </x:c>
      <x:c r="AF229" s="55" t="n">
        <x:v>9892</x:v>
      </x:c>
      <x:c r="AG229" s="55" t="n">
        <x:v>211</x:v>
      </x:c>
      <x:c r="AH229" s="55" t="n">
        <x:v>513</x:v>
      </x:c>
      <x:c r="AI229" s="55" t="n">
        <x:v>9379</x:v>
      </x:c>
      <x:c r="AJ229" s="55" t="n">
        <x:v>373</x:v>
      </x:c>
      <x:c r="AK229" s="55" t="n">
        <x:v>951</x:v>
      </x:c>
      <x:c r="AL229" s="55" t="n">
        <x:v>1076</x:v>
      </x:c>
      <x:c r="AM229" s="55" t="n">
        <x:v>4438</x:v>
      </x:c>
      <x:c r="AN229" s="55" t="n">
        <x:v>2952</x:v>
      </x:c>
      <x:c r="AO229" s="55" t="n">
        <x:v>102</x:v>
      </x:c>
      <x:c r="AP229" s="55" t="n">
        <x:v>2645</x:v>
      </x:c>
      <x:c r="AQ229" s="55" t="n">
        <x:v>957</x:v>
      </x:c>
    </x:row>
    <x:row r="230">
      <x:c r="A230" s="54" t="str">
        <x:v>T0_TABLE_BLOCK</x:v>
      </x:c>
      <x:c r="B230" s="54" t="n">
        <x:v>224</x:v>
      </x:c>
      <x:c r="C230" s="54" t="str">
        <x:v>NYC-V2-R01</x:v>
      </x:c>
      <x:c r="D230" s="54" t="str">
        <x:v>V2</x:v>
      </x:c>
      <x:c r="E230" s="54" t="str">
        <x:v>ADMITTED</x:v>
      </x:c>
      <x:c r="F230" s="55" t="n">
        <x:v>31921</x:v>
      </x:c>
      <x:c r="G230" s="55" t="n">
        <x:v>6750</x:v>
      </x:c>
      <x:c r="H230" s="55" t="n">
        <x:v>2793</x:v>
      </x:c>
      <x:c r="I230" s="55" t="n">
        <x:v>1145</x:v>
      </x:c>
      <x:c r="J230" s="55" t="n">
        <x:v>191</x:v>
      </x:c>
      <x:c r="K230" s="55" t="n">
        <x:v>31921</x:v>
      </x:c>
      <x:c r="L230" s="55" t="n">
        <x:v>5759</x:v>
      </x:c>
      <x:c r="M230" s="55" t="n">
        <x:v>985</x:v>
      </x:c>
      <x:c r="N230" s="55" t="n">
        <x:v>2687</x:v>
      </x:c>
      <x:c r="O230" s="55" t="n">
        <x:v>2087</x:v>
      </x:c>
      <x:c r="P230" s="55" t="n">
        <x:v>901</x:v>
      </x:c>
      <x:c r="Q230" s="55" t="n">
        <x:v>2820</x:v>
      </x:c>
      <x:c r="R230" s="55" t="n">
        <x:v>2378</x:v>
      </x:c>
      <x:c r="S230" s="55" t="n">
        <x:v>3396</x:v>
      </x:c>
      <x:c r="T230" s="55" t="n">
        <x:v>1218</x:v>
      </x:c>
      <x:c r="U230" s="55" t="n">
        <x:v>2309</x:v>
      </x:c>
      <x:c r="V230" s="55" t="n">
        <x:v>10882</x:v>
      </x:c>
      <x:c r="W230" s="55" t="n">
        <x:v>7720</x:v>
      </x:c>
      <x:c r="X230" s="55" t="n">
        <x:v>3162</x:v>
      </x:c>
      <x:c r="Y230" s="55" t="n">
        <x:v>2571</x:v>
      </x:c>
      <x:c r="Z230" s="55" t="n">
        <x:v>3250</x:v>
      </x:c>
      <x:c r="AA230" s="55" t="n">
        <x:v>2650</x:v>
      </x:c>
      <x:c r="AB230" s="55" t="n">
        <x:v>1154</x:v>
      </x:c>
      <x:c r="AC230" s="55" t="n">
        <x:v>8157</x:v>
      </x:c>
      <x:c r="AD230" s="55" t="n">
        <x:v>3059</x:v>
      </x:c>
      <x:c r="AE230" s="55" t="n">
        <x:v>10948</x:v>
      </x:c>
      <x:c r="AF230" s="55" t="n">
        <x:v>10882</x:v>
      </x:c>
      <x:c r="AG230" s="55" t="n">
        <x:v>66</x:v>
      </x:c>
      <x:c r="AH230" s="55" t="n">
        <x:v>414</x:v>
      </x:c>
      <x:c r="AI230" s="55" t="n">
        <x:v>10468</x:v>
      </x:c>
      <x:c r="AJ230" s="55" t="n">
        <x:v>586</x:v>
      </x:c>
      <x:c r="AK230" s="55" t="n">
        <x:v>1042</x:v>
      </x:c>
      <x:c r="AL230" s="55" t="n">
        <x:v>1247</x:v>
      </x:c>
      <x:c r="AM230" s="55" t="n">
        <x:v>5132</x:v>
      </x:c>
      <x:c r="AN230" s="55" t="n">
        <x:v>2825</x:v>
      </x:c>
      <x:c r="AO230" s="55" t="n">
        <x:v>50</x:v>
      </x:c>
      <x:c r="AP230" s="55" t="n">
        <x:v>1987</x:v>
      </x:c>
      <x:c r="AQ230" s="55" t="n">
        <x:v>902</x:v>
      </x:c>
    </x:row>
    <x:row r="231">
      <x:c r="A231" s="54" t="str">
        <x:v>T0_TABLE_BLOCK</x:v>
      </x:c>
      <x:c r="B231" s="54" t="n">
        <x:v>225</x:v>
      </x:c>
      <x:c r="C231" s="54" t="str">
        <x:v>NYC-V2-R01</x:v>
      </x:c>
      <x:c r="D231" s="54" t="str">
        <x:v>V2</x:v>
      </x:c>
      <x:c r="E231" s="54" t="str">
        <x:v>ADMITTED</x:v>
      </x:c>
      <x:c r="F231" s="55" t="n">
        <x:v>29470</x:v>
      </x:c>
      <x:c r="G231" s="55" t="n">
        <x:v>6672</x:v>
      </x:c>
      <x:c r="H231" s="55" t="n">
        <x:v>3450</x:v>
      </x:c>
      <x:c r="I231" s="55" t="n">
        <x:v>1313</x:v>
      </x:c>
      <x:c r="J231" s="55" t="n">
        <x:v>224</x:v>
      </x:c>
      <x:c r="K231" s="55" t="n">
        <x:v>29470</x:v>
      </x:c>
      <x:c r="L231" s="55" t="n">
        <x:v>6018</x:v>
      </x:c>
      <x:c r="M231" s="55" t="n">
        <x:v>1387</x:v>
      </x:c>
      <x:c r="N231" s="55" t="n">
        <x:v>2776</x:v>
      </x:c>
      <x:c r="O231" s="55" t="n">
        <x:v>1855</x:v>
      </x:c>
      <x:c r="P231" s="55" t="n">
        <x:v>555</x:v>
      </x:c>
      <x:c r="Q231" s="55" t="n">
        <x:v>2495</x:v>
      </x:c>
      <x:c r="R231" s="55" t="n">
        <x:v>1542</x:v>
      </x:c>
      <x:c r="S231" s="55" t="n">
        <x:v>2796</x:v>
      </x:c>
      <x:c r="T231" s="55" t="n">
        <x:v>1021</x:v>
      </x:c>
      <x:c r="U231" s="55" t="n">
        <x:v>1983</x:v>
      </x:c>
      <x:c r="V231" s="55" t="n">
        <x:v>10378</x:v>
      </x:c>
      <x:c r="W231" s="55" t="n">
        <x:v>7314</x:v>
      </x:c>
      <x:c r="X231" s="55" t="n">
        <x:v>3064</x:v>
      </x:c>
      <x:c r="Y231" s="55" t="n">
        <x:v>2710</x:v>
      </x:c>
      <x:c r="Z231" s="55" t="n">
        <x:v>3867</x:v>
      </x:c>
      <x:c r="AA231" s="55" t="n">
        <x:v>3201</x:v>
      </x:c>
      <x:c r="AB231" s="55" t="n">
        <x:v>1589</x:v>
      </x:c>
      <x:c r="AC231" s="55" t="n">
        <x:v>7672</x:v>
      </x:c>
      <x:c r="AD231" s="55" t="n">
        <x:v>2941</x:v>
      </x:c>
      <x:c r="AE231" s="55" t="n">
        <x:v>10451</x:v>
      </x:c>
      <x:c r="AF231" s="55" t="n">
        <x:v>10378</x:v>
      </x:c>
      <x:c r="AG231" s="55" t="n">
        <x:v>73</x:v>
      </x:c>
      <x:c r="AH231" s="55" t="n">
        <x:v>358</x:v>
      </x:c>
      <x:c r="AI231" s="55" t="n">
        <x:v>10020</x:v>
      </x:c>
      <x:c r="AJ231" s="55" t="n">
        <x:v>490</x:v>
      </x:c>
      <x:c r="AK231" s="55" t="n">
        <x:v>782</x:v>
      </x:c>
      <x:c r="AL231" s="55" t="n">
        <x:v>1631</x:v>
      </x:c>
      <x:c r="AM231" s="55" t="n">
        <x:v>4914</x:v>
      </x:c>
      <x:c r="AN231" s="55" t="n">
        <x:v>2561</x:v>
      </x:c>
      <x:c r="AO231" s="55" t="n">
        <x:v>0</x:v>
      </x:c>
      <x:c r="AP231" s="55" t="n">
        <x:v>2258</x:v>
      </x:c>
      <x:c r="AQ231" s="55" t="n">
        <x:v>969</x:v>
      </x:c>
    </x:row>
    <x:row r="232">
      <x:c r="A232" s="54" t="str">
        <x:v>T0_TABLE_BLOCK</x:v>
      </x:c>
      <x:c r="B232" s="54" t="n">
        <x:v>226</x:v>
      </x:c>
      <x:c r="C232" s="54" t="str">
        <x:v>NYC-V2-R01</x:v>
      </x:c>
      <x:c r="D232" s="54" t="str">
        <x:v>V2</x:v>
      </x:c>
      <x:c r="E232" s="54" t="str">
        <x:v>ADMITTED</x:v>
      </x:c>
      <x:c r="F232" s="55" t="n">
        <x:v>33573</x:v>
      </x:c>
      <x:c r="G232" s="55" t="n">
        <x:v>7499</x:v>
      </x:c>
      <x:c r="H232" s="55" t="n">
        <x:v>3406</x:v>
      </x:c>
      <x:c r="I232" s="55" t="n">
        <x:v>1175</x:v>
      </x:c>
      <x:c r="J232" s="55" t="n">
        <x:v>109</x:v>
      </x:c>
      <x:c r="K232" s="55" t="n">
        <x:v>30004</x:v>
      </x:c>
      <x:c r="L232" s="55" t="n">
        <x:v>5441</x:v>
      </x:c>
      <x:c r="M232" s="55" t="n">
        <x:v>751</x:v>
      </x:c>
      <x:c r="N232" s="55" t="n">
        <x:v>2923</x:v>
      </x:c>
      <x:c r="O232" s="55" t="n">
        <x:v>1767</x:v>
      </x:c>
      <x:c r="P232" s="55" t="n">
        <x:v>503</x:v>
      </x:c>
      <x:c r="Q232" s="55" t="n">
        <x:v>1575</x:v>
      </x:c>
      <x:c r="R232" s="55" t="n">
        <x:v>1688</x:v>
      </x:c>
      <x:c r="S232" s="55" t="n">
        <x:v>3025</x:v>
      </x:c>
      <x:c r="T232" s="55" t="n">
        <x:v>939</x:v>
      </x:c>
      <x:c r="U232" s="55" t="n">
        <x:v>1720</x:v>
      </x:c>
      <x:c r="V232" s="55" t="n">
        <x:v>10622</x:v>
      </x:c>
      <x:c r="W232" s="55" t="n">
        <x:v>7983</x:v>
      </x:c>
      <x:c r="X232" s="55" t="n">
        <x:v>2639</x:v>
      </x:c>
      <x:c r="Y232" s="55" t="n">
        <x:v>2320</x:v>
      </x:c>
      <x:c r="Z232" s="55" t="n">
        <x:v>4151</x:v>
      </x:c>
      <x:c r="AA232" s="55" t="n">
        <x:v>3098</x:v>
      </x:c>
      <x:c r="AB232" s="55" t="n">
        <x:v>979</x:v>
      </x:c>
      <x:c r="AC232" s="55" t="n">
        <x:v>7187</x:v>
      </x:c>
      <x:c r="AD232" s="55" t="n">
        <x:v>2667</x:v>
      </x:c>
      <x:c r="AE232" s="55" t="n">
        <x:v>10683</x:v>
      </x:c>
      <x:c r="AF232" s="55" t="n">
        <x:v>10622</x:v>
      </x:c>
      <x:c r="AG232" s="55" t="n">
        <x:v>61</x:v>
      </x:c>
      <x:c r="AH232" s="55" t="n">
        <x:v>500</x:v>
      </x:c>
      <x:c r="AI232" s="55" t="n">
        <x:v>10122</x:v>
      </x:c>
      <x:c r="AJ232" s="55" t="n">
        <x:v>464</x:v>
      </x:c>
      <x:c r="AK232" s="55" t="n">
        <x:v>906</x:v>
      </x:c>
      <x:c r="AL232" s="55" t="n">
        <x:v>2016</x:v>
      </x:c>
      <x:c r="AM232" s="55" t="n">
        <x:v>4342</x:v>
      </x:c>
      <x:c r="AN232" s="55" t="n">
        <x:v>2844</x:v>
      </x:c>
      <x:c r="AO232" s="55" t="n">
        <x:v>50</x:v>
      </x:c>
      <x:c r="AP232" s="55" t="n">
        <x:v>2127</x:v>
      </x:c>
      <x:c r="AQ232" s="55" t="n">
        <x:v>993</x:v>
      </x:c>
    </x:row>
    <x:row r="233">
      <x:c r="A233" s="54" t="str">
        <x:v>T0_TABLE_BLOCK</x:v>
      </x:c>
      <x:c r="B233" s="54" t="n">
        <x:v>227</x:v>
      </x:c>
      <x:c r="C233" s="54" t="str">
        <x:v>NYC-V2-R01</x:v>
      </x:c>
      <x:c r="D233" s="54" t="str">
        <x:v>V2</x:v>
      </x:c>
      <x:c r="E233" s="54" t="str">
        <x:v>ADMITTED</x:v>
      </x:c>
      <x:c r="F233" s="55" t="n">
        <x:v>31444</x:v>
      </x:c>
      <x:c r="G233" s="55" t="n">
        <x:v>8660</x:v>
      </x:c>
      <x:c r="H233" s="55" t="n">
        <x:v>3503</x:v>
      </x:c>
      <x:c r="I233" s="55" t="n">
        <x:v>1089</x:v>
      </x:c>
      <x:c r="J233" s="55" t="n">
        <x:v>45</x:v>
      </x:c>
      <x:c r="K233" s="55" t="n">
        <x:v>29553</x:v>
      </x:c>
      <x:c r="L233" s="55" t="n">
        <x:v>6017</x:v>
      </x:c>
      <x:c r="M233" s="55" t="n">
        <x:v>1614</x:v>
      </x:c>
      <x:c r="N233" s="55" t="n">
        <x:v>2742</x:v>
      </x:c>
      <x:c r="O233" s="55" t="n">
        <x:v>1661</x:v>
      </x:c>
      <x:c r="P233" s="55" t="n">
        <x:v>1096</x:v>
      </x:c>
      <x:c r="Q233" s="55" t="n">
        <x:v>1716</x:v>
      </x:c>
      <x:c r="R233" s="55" t="n">
        <x:v>1711</x:v>
      </x:c>
      <x:c r="S233" s="55" t="n">
        <x:v>2386</x:v>
      </x:c>
      <x:c r="T233" s="55" t="n">
        <x:v>1339</x:v>
      </x:c>
      <x:c r="U233" s="55" t="n">
        <x:v>1695</x:v>
      </x:c>
      <x:c r="V233" s="55" t="n">
        <x:v>10444</x:v>
      </x:c>
      <x:c r="W233" s="55" t="n">
        <x:v>7351</x:v>
      </x:c>
      <x:c r="X233" s="55" t="n">
        <x:v>3093</x:v>
      </x:c>
      <x:c r="Y233" s="55" t="n">
        <x:v>2654</x:v>
      </x:c>
      <x:c r="Z233" s="55" t="n">
        <x:v>3871</x:v>
      </x:c>
      <x:c r="AA233" s="55" t="n">
        <x:v>3503</x:v>
      </x:c>
      <x:c r="AB233" s="55" t="n">
        <x:v>992</x:v>
      </x:c>
      <x:c r="AC233" s="55" t="n">
        <x:v>8905</x:v>
      </x:c>
      <x:c r="AD233" s="55" t="n">
        <x:v>2739</x:v>
      </x:c>
      <x:c r="AE233" s="55" t="n">
        <x:v>10444</x:v>
      </x:c>
      <x:c r="AF233" s="55" t="n">
        <x:v>10444</x:v>
      </x:c>
      <x:c r="AG233" s="55" t="n">
        <x:v>0</x:v>
      </x:c>
      <x:c r="AH233" s="55" t="n">
        <x:v>645</x:v>
      </x:c>
      <x:c r="AI233" s="55" t="n">
        <x:v>9799</x:v>
      </x:c>
      <x:c r="AJ233" s="55" t="n">
        <x:v>478</x:v>
      </x:c>
      <x:c r="AK233" s="55" t="n">
        <x:v>1096</x:v>
      </x:c>
      <x:c r="AL233" s="55" t="n">
        <x:v>2199</x:v>
      </x:c>
      <x:c r="AM233" s="55" t="n">
        <x:v>4615</x:v>
      </x:c>
      <x:c r="AN233" s="55" t="n">
        <x:v>2056</x:v>
      </x:c>
      <x:c r="AO233" s="55" t="n">
        <x:v>0</x:v>
      </x:c>
      <x:c r="AP233" s="55" t="n">
        <x:v>2451</x:v>
      </x:c>
      <x:c r="AQ233" s="55" t="n">
        <x:v>974</x:v>
      </x:c>
    </x:row>
    <x:row r="234">
      <x:c r="A234" s="54" t="str">
        <x:v>T0_TABLE_BLOCK</x:v>
      </x:c>
      <x:c r="B234" s="54" t="n">
        <x:v>228</x:v>
      </x:c>
      <x:c r="C234" s="54" t="str">
        <x:v>NYC-V2-R01</x:v>
      </x:c>
      <x:c r="D234" s="54" t="str">
        <x:v>V2</x:v>
      </x:c>
      <x:c r="E234" s="54" t="str">
        <x:v>ADMITTED</x:v>
      </x:c>
      <x:c r="F234" s="55" t="n">
        <x:v>32285</x:v>
      </x:c>
      <x:c r="G234" s="55" t="n">
        <x:v>9154</x:v>
      </x:c>
      <x:c r="H234" s="55" t="n">
        <x:v>3148</x:v>
      </x:c>
      <x:c r="I234" s="55" t="n">
        <x:v>1166</x:v>
      </x:c>
      <x:c r="J234" s="55" t="n">
        <x:v>87</x:v>
      </x:c>
      <x:c r="K234" s="55" t="n">
        <x:v>31677</x:v>
      </x:c>
      <x:c r="L234" s="55" t="n">
        <x:v>5622</x:v>
      </x:c>
      <x:c r="M234" s="55" t="n">
        <x:v>1178</x:v>
      </x:c>
      <x:c r="N234" s="55" t="n">
        <x:v>3050</x:v>
      </x:c>
      <x:c r="O234" s="55" t="n">
        <x:v>1394</x:v>
      </x:c>
      <x:c r="P234" s="55" t="n">
        <x:v>1042</x:v>
      </x:c>
      <x:c r="Q234" s="55" t="n">
        <x:v>2084</x:v>
      </x:c>
      <x:c r="R234" s="55" t="n">
        <x:v>2460</x:v>
      </x:c>
      <x:c r="S234" s="55" t="n">
        <x:v>2393</x:v>
      </x:c>
      <x:c r="T234" s="55" t="n">
        <x:v>990</x:v>
      </x:c>
      <x:c r="U234" s="55" t="n">
        <x:v>2683</x:v>
      </x:c>
      <x:c r="V234" s="55" t="n">
        <x:v>9566</x:v>
      </x:c>
      <x:c r="W234" s="55" t="n">
        <x:v>6526</x:v>
      </x:c>
      <x:c r="X234" s="55" t="n">
        <x:v>3040</x:v>
      </x:c>
      <x:c r="Y234" s="55" t="n">
        <x:v>2578</x:v>
      </x:c>
      <x:c r="Z234" s="55" t="n">
        <x:v>3208</x:v>
      </x:c>
      <x:c r="AA234" s="55" t="n">
        <x:v>2806</x:v>
      </x:c>
      <x:c r="AB234" s="55" t="n">
        <x:v>1076</x:v>
      </x:c>
      <x:c r="AC234" s="55" t="n">
        <x:v>8320</x:v>
      </x:c>
      <x:c r="AD234" s="55" t="n">
        <x:v>2272</x:v>
      </x:c>
      <x:c r="AE234" s="55" t="n">
        <x:v>9732</x:v>
      </x:c>
      <x:c r="AF234" s="55" t="n">
        <x:v>9566</x:v>
      </x:c>
      <x:c r="AG234" s="55" t="n">
        <x:v>166</x:v>
      </x:c>
      <x:c r="AH234" s="55" t="n">
        <x:v>528</x:v>
      </x:c>
      <x:c r="AI234" s="55" t="n">
        <x:v>9038</x:v>
      </x:c>
      <x:c r="AJ234" s="55" t="n">
        <x:v>109</x:v>
      </x:c>
      <x:c r="AK234" s="55" t="n">
        <x:v>843</x:v>
      </x:c>
      <x:c r="AL234" s="55" t="n">
        <x:v>1370</x:v>
      </x:c>
      <x:c r="AM234" s="55" t="n">
        <x:v>4579</x:v>
      </x:c>
      <x:c r="AN234" s="55" t="n">
        <x:v>2621</x:v>
      </x:c>
      <x:c r="AO234" s="55" t="n">
        <x:v>44</x:v>
      </x:c>
      <x:c r="AP234" s="55" t="n">
        <x:v>2327</x:v>
      </x:c>
      <x:c r="AQ234" s="55" t="n">
        <x:v>1007</x:v>
      </x:c>
    </x:row>
    <x:row r="235">
      <x:c r="A235" s="54" t="str">
        <x:v>T0_TABLE_BLOCK</x:v>
      </x:c>
      <x:c r="B235" s="54" t="n">
        <x:v>229</x:v>
      </x:c>
      <x:c r="C235" s="54" t="str">
        <x:v>NYC-V2-R01</x:v>
      </x:c>
      <x:c r="D235" s="54" t="str">
        <x:v>V2</x:v>
      </x:c>
      <x:c r="E235" s="54" t="str">
        <x:v>ADMITTED</x:v>
      </x:c>
      <x:c r="F235" s="55" t="n">
        <x:v>33581</x:v>
      </x:c>
      <x:c r="G235" s="55" t="n">
        <x:v>9915</x:v>
      </x:c>
      <x:c r="H235" s="55" t="n">
        <x:v>3390</x:v>
      </x:c>
      <x:c r="I235" s="55" t="n">
        <x:v>1135</x:v>
      </x:c>
      <x:c r="J235" s="55" t="n">
        <x:v>230</x:v>
      </x:c>
      <x:c r="K235" s="55" t="n">
        <x:v>31615</x:v>
      </x:c>
      <x:c r="L235" s="55" t="n">
        <x:v>6750</x:v>
      </x:c>
      <x:c r="M235" s="55" t="n">
        <x:v>2407</x:v>
      </x:c>
      <x:c r="N235" s="55" t="n">
        <x:v>2612</x:v>
      </x:c>
      <x:c r="O235" s="55" t="n">
        <x:v>1731</x:v>
      </x:c>
      <x:c r="P235" s="55" t="n">
        <x:v>359</x:v>
      </x:c>
      <x:c r="Q235" s="55" t="n">
        <x:v>2623</x:v>
      </x:c>
      <x:c r="R235" s="55" t="n">
        <x:v>1916</x:v>
      </x:c>
      <x:c r="S235" s="55" t="n">
        <x:v>2887</x:v>
      </x:c>
      <x:c r="T235" s="55" t="n">
        <x:v>1165</x:v>
      </x:c>
      <x:c r="U235" s="55" t="n">
        <x:v>2282</x:v>
      </x:c>
      <x:c r="V235" s="55" t="n">
        <x:v>10609</x:v>
      </x:c>
      <x:c r="W235" s="55" t="n">
        <x:v>7844</x:v>
      </x:c>
      <x:c r="X235" s="55" t="n">
        <x:v>2765</x:v>
      </x:c>
      <x:c r="Y235" s="55" t="n">
        <x:v>2440</x:v>
      </x:c>
      <x:c r="Z235" s="55" t="n">
        <x:v>4080</x:v>
      </x:c>
      <x:c r="AA235" s="55" t="n">
        <x:v>3094</x:v>
      </x:c>
      <x:c r="AB235" s="55" t="n">
        <x:v>1202</x:v>
      </x:c>
      <x:c r="AC235" s="55" t="n">
        <x:v>8199</x:v>
      </x:c>
      <x:c r="AD235" s="55" t="n">
        <x:v>3044</x:v>
      </x:c>
      <x:c r="AE235" s="55" t="n">
        <x:v>10667</x:v>
      </x:c>
      <x:c r="AF235" s="55" t="n">
        <x:v>10609</x:v>
      </x:c>
      <x:c r="AG235" s="55" t="n">
        <x:v>58</x:v>
      </x:c>
      <x:c r="AH235" s="55" t="n">
        <x:v>101</x:v>
      </x:c>
      <x:c r="AI235" s="55" t="n">
        <x:v>10508</x:v>
      </x:c>
      <x:c r="AJ235" s="55" t="n">
        <x:v>356</x:v>
      </x:c>
      <x:c r="AK235" s="55" t="n">
        <x:v>869</x:v>
      </x:c>
      <x:c r="AL235" s="55" t="n">
        <x:v>1660</x:v>
      </x:c>
      <x:c r="AM235" s="55" t="n">
        <x:v>5342</x:v>
      </x:c>
      <x:c r="AN235" s="55" t="n">
        <x:v>2355</x:v>
      </x:c>
      <x:c r="AO235" s="55" t="n">
        <x:v>27</x:v>
      </x:c>
      <x:c r="AP235" s="55" t="n">
        <x:v>2482</x:v>
      </x:c>
      <x:c r="AQ235" s="55" t="n">
        <x:v>948</x:v>
      </x:c>
    </x:row>
    <x:row r="236">
      <x:c r="A236" s="54" t="str">
        <x:v>T0_TABLE_BLOCK</x:v>
      </x:c>
      <x:c r="B236" s="54" t="n">
        <x:v>230</x:v>
      </x:c>
      <x:c r="C236" s="54" t="str">
        <x:v>NYC-V2-R01</x:v>
      </x:c>
      <x:c r="D236" s="54" t="str">
        <x:v>V2</x:v>
      </x:c>
      <x:c r="E236" s="54" t="str">
        <x:v>ADMITTED</x:v>
      </x:c>
      <x:c r="F236" s="55" t="n">
        <x:v>30393</x:v>
      </x:c>
      <x:c r="G236" s="55" t="n">
        <x:v>7401</x:v>
      </x:c>
      <x:c r="H236" s="55" t="n">
        <x:v>3292</x:v>
      </x:c>
      <x:c r="I236" s="55" t="n">
        <x:v>1187</x:v>
      </x:c>
      <x:c r="J236" s="55" t="n">
        <x:v>117</x:v>
      </x:c>
      <x:c r="K236" s="55" t="n">
        <x:v>29055</x:v>
      </x:c>
      <x:c r="L236" s="55" t="n">
        <x:v>4504</x:v>
      </x:c>
      <x:c r="M236" s="55" t="n">
        <x:v>62</x:v>
      </x:c>
      <x:c r="N236" s="55" t="n">
        <x:v>2339</x:v>
      </x:c>
      <x:c r="O236" s="55" t="n">
        <x:v>2103</x:v>
      </x:c>
      <x:c r="P236" s="55" t="n">
        <x:v>826</x:v>
      </x:c>
      <x:c r="Q236" s="55" t="n">
        <x:v>1483</x:v>
      </x:c>
      <x:c r="R236" s="55" t="n">
        <x:v>1833</x:v>
      </x:c>
      <x:c r="S236" s="55" t="n">
        <x:v>2520</x:v>
      </x:c>
      <x:c r="T236" s="55" t="n">
        <x:v>1237</x:v>
      </x:c>
      <x:c r="U236" s="55" t="n">
        <x:v>2071</x:v>
      </x:c>
      <x:c r="V236" s="55" t="n">
        <x:v>10354</x:v>
      </x:c>
      <x:c r="W236" s="55" t="n">
        <x:v>7290</x:v>
      </x:c>
      <x:c r="X236" s="55" t="n">
        <x:v>3064</x:v>
      </x:c>
      <x:c r="Y236" s="55" t="n">
        <x:v>2791</x:v>
      </x:c>
      <x:c r="Z236" s="55" t="n">
        <x:v>4041</x:v>
      </x:c>
      <x:c r="AA236" s="55" t="n">
        <x:v>2802</x:v>
      </x:c>
      <x:c r="AB236" s="55" t="n">
        <x:v>935</x:v>
      </x:c>
      <x:c r="AC236" s="55" t="n">
        <x:v>8582</x:v>
      </x:c>
      <x:c r="AD236" s="55" t="n">
        <x:v>2671</x:v>
      </x:c>
      <x:c r="AE236" s="55" t="n">
        <x:v>10455</x:v>
      </x:c>
      <x:c r="AF236" s="55" t="n">
        <x:v>10354</x:v>
      </x:c>
      <x:c r="AG236" s="55" t="n">
        <x:v>101</x:v>
      </x:c>
      <x:c r="AH236" s="55" t="n">
        <x:v>179</x:v>
      </x:c>
      <x:c r="AI236" s="55" t="n">
        <x:v>10175</x:v>
      </x:c>
      <x:c r="AJ236" s="55" t="n">
        <x:v>232</x:v>
      </x:c>
      <x:c r="AK236" s="55" t="n">
        <x:v>1002</x:v>
      </x:c>
      <x:c r="AL236" s="55" t="n">
        <x:v>1526</x:v>
      </x:c>
      <x:c r="AM236" s="55" t="n">
        <x:v>5116</x:v>
      </x:c>
      <x:c r="AN236" s="55" t="n">
        <x:v>2458</x:v>
      </x:c>
      <x:c r="AO236" s="55" t="n">
        <x:v>20</x:v>
      </x:c>
      <x:c r="AP236" s="55" t="n">
        <x:v>2344</x:v>
      </x:c>
      <x:c r="AQ236" s="55" t="n">
        <x:v>929</x:v>
      </x:c>
    </x:row>
    <x:row r="237">
      <x:c r="A237" s="54" t="str">
        <x:v>T0_TABLE_BLOCK</x:v>
      </x:c>
      <x:c r="B237" s="54" t="n">
        <x:v>231</x:v>
      </x:c>
      <x:c r="C237" s="54" t="str">
        <x:v>NYC-V2-R01</x:v>
      </x:c>
      <x:c r="D237" s="54" t="str">
        <x:v>V2</x:v>
      </x:c>
      <x:c r="E237" s="54" t="str">
        <x:v>ADMITTED</x:v>
      </x:c>
      <x:c r="F237" s="55" t="n">
        <x:v>29524</x:v>
      </x:c>
      <x:c r="G237" s="55" t="n">
        <x:v>7799</x:v>
      </x:c>
      <x:c r="H237" s="55" t="n">
        <x:v>3290</x:v>
      </x:c>
      <x:c r="I237" s="55" t="n">
        <x:v>1660</x:v>
      </x:c>
      <x:c r="J237" s="55" t="n">
        <x:v>115</x:v>
      </x:c>
      <x:c r="K237" s="55" t="n">
        <x:v>29438</x:v>
      </x:c>
      <x:c r="L237" s="55" t="n">
        <x:v>5406</x:v>
      </x:c>
      <x:c r="M237" s="55" t="n">
        <x:v>1263</x:v>
      </x:c>
      <x:c r="N237" s="55" t="n">
        <x:v>2352</x:v>
      </x:c>
      <x:c r="O237" s="55" t="n">
        <x:v>1791</x:v>
      </x:c>
      <x:c r="P237" s="55" t="n">
        <x:v>592</x:v>
      </x:c>
      <x:c r="Q237" s="55" t="n">
        <x:v>2434</x:v>
      </x:c>
      <x:c r="R237" s="55" t="n">
        <x:v>1553</x:v>
      </x:c>
      <x:c r="S237" s="55" t="n">
        <x:v>3491</x:v>
      </x:c>
      <x:c r="T237" s="55" t="n">
        <x:v>1293</x:v>
      </x:c>
      <x:c r="U237" s="55" t="n">
        <x:v>2012</x:v>
      </x:c>
      <x:c r="V237" s="55" t="n">
        <x:v>10539</x:v>
      </x:c>
      <x:c r="W237" s="55" t="n">
        <x:v>7219</x:v>
      </x:c>
      <x:c r="X237" s="55" t="n">
        <x:v>3320</x:v>
      </x:c>
      <x:c r="Y237" s="55" t="n">
        <x:v>2969</x:v>
      </x:c>
      <x:c r="Z237" s="55" t="n">
        <x:v>3213</x:v>
      </x:c>
      <x:c r="AA237" s="55" t="n">
        <x:v>3195</x:v>
      </x:c>
      <x:c r="AB237" s="55" t="n">
        <x:v>1196</x:v>
      </x:c>
      <x:c r="AC237" s="55" t="n">
        <x:v>8356</x:v>
      </x:c>
      <x:c r="AD237" s="55" t="n">
        <x:v>3194</x:v>
      </x:c>
      <x:c r="AE237" s="55" t="n">
        <x:v>10673</x:v>
      </x:c>
      <x:c r="AF237" s="55" t="n">
        <x:v>10539</x:v>
      </x:c>
      <x:c r="AG237" s="55" t="n">
        <x:v>134</x:v>
      </x:c>
      <x:c r="AH237" s="55" t="n">
        <x:v>370</x:v>
      </x:c>
      <x:c r="AI237" s="55" t="n">
        <x:v>10169</x:v>
      </x:c>
      <x:c r="AJ237" s="55" t="n">
        <x:v>268</x:v>
      </x:c>
      <x:c r="AK237" s="55" t="n">
        <x:v>679</x:v>
      </x:c>
      <x:c r="AL237" s="55" t="n">
        <x:v>1332</x:v>
      </x:c>
      <x:c r="AM237" s="55" t="n">
        <x:v>4904</x:v>
      </x:c>
      <x:c r="AN237" s="55" t="n">
        <x:v>3339</x:v>
      </x:c>
      <x:c r="AO237" s="55" t="n">
        <x:v>17</x:v>
      </x:c>
      <x:c r="AP237" s="55" t="n">
        <x:v>2398</x:v>
      </x:c>
      <x:c r="AQ237" s="55" t="n">
        <x:v>963</x:v>
      </x:c>
    </x:row>
    <x:row r="238">
      <x:c r="A238" s="54" t="str">
        <x:v>T0_TABLE_BLOCK</x:v>
      </x:c>
      <x:c r="B238" s="54" t="n">
        <x:v>232</x:v>
      </x:c>
      <x:c r="C238" s="54" t="str">
        <x:v>NYC-V2-R01</x:v>
      </x:c>
      <x:c r="D238" s="54" t="str">
        <x:v>V2</x:v>
      </x:c>
      <x:c r="E238" s="54" t="str">
        <x:v>ADMITTED</x:v>
      </x:c>
      <x:c r="F238" s="55" t="n">
        <x:v>33606</x:v>
      </x:c>
      <x:c r="G238" s="55" t="n">
        <x:v>8204</x:v>
      </x:c>
      <x:c r="H238" s="55" t="n">
        <x:v>3260</x:v>
      </x:c>
      <x:c r="I238" s="55" t="n">
        <x:v>1238</x:v>
      </x:c>
      <x:c r="J238" s="55" t="n">
        <x:v>72</x:v>
      </x:c>
      <x:c r="K238" s="55" t="n">
        <x:v>33606</x:v>
      </x:c>
      <x:c r="L238" s="55" t="n">
        <x:v>5913</x:v>
      </x:c>
      <x:c r="M238" s="55" t="n">
        <x:v>2324</x:v>
      </x:c>
      <x:c r="N238" s="55" t="n">
        <x:v>1952</x:v>
      </x:c>
      <x:c r="O238" s="55" t="n">
        <x:v>1637</x:v>
      </x:c>
      <x:c r="P238" s="55" t="n">
        <x:v>1107</x:v>
      </x:c>
      <x:c r="Q238" s="55" t="n">
        <x:v>2906</x:v>
      </x:c>
      <x:c r="R238" s="55" t="n">
        <x:v>1931</x:v>
      </x:c>
      <x:c r="S238" s="55" t="n">
        <x:v>2636</x:v>
      </x:c>
      <x:c r="T238" s="55" t="n">
        <x:v>1227</x:v>
      </x:c>
      <x:c r="U238" s="55" t="n">
        <x:v>2459</x:v>
      </x:c>
      <x:c r="V238" s="55" t="n">
        <x:v>10255</x:v>
      </x:c>
      <x:c r="W238" s="55" t="n">
        <x:v>6948</x:v>
      </x:c>
      <x:c r="X238" s="55" t="n">
        <x:v>3307</x:v>
      </x:c>
      <x:c r="Y238" s="55" t="n">
        <x:v>2699</x:v>
      </x:c>
      <x:c r="Z238" s="55" t="n">
        <x:v>4388</x:v>
      </x:c>
      <x:c r="AA238" s="55" t="n">
        <x:v>3260</x:v>
      </x:c>
      <x:c r="AB238" s="55" t="n">
        <x:v>962</x:v>
      </x:c>
      <x:c r="AC238" s="55" t="n">
        <x:v>7986</x:v>
      </x:c>
      <x:c r="AD238" s="55" t="n">
        <x:v>2751</x:v>
      </x:c>
      <x:c r="AE238" s="55" t="n">
        <x:v>10400</x:v>
      </x:c>
      <x:c r="AF238" s="55" t="n">
        <x:v>10255</x:v>
      </x:c>
      <x:c r="AG238" s="55" t="n">
        <x:v>145</x:v>
      </x:c>
      <x:c r="AH238" s="55" t="n">
        <x:v>223</x:v>
      </x:c>
      <x:c r="AI238" s="55" t="n">
        <x:v>10032</x:v>
      </x:c>
      <x:c r="AJ238" s="55" t="n">
        <x:v>306</x:v>
      </x:c>
      <x:c r="AK238" s="55" t="n">
        <x:v>945</x:v>
      </x:c>
      <x:c r="AL238" s="55" t="n">
        <x:v>1773</x:v>
      </x:c>
      <x:c r="AM238" s="55" t="n">
        <x:v>4995</x:v>
      </x:c>
      <x:c r="AN238" s="55" t="n">
        <x:v>2227</x:v>
      </x:c>
      <x:c r="AO238" s="55" t="n">
        <x:v>9</x:v>
      </x:c>
      <x:c r="AP238" s="55" t="n">
        <x:v>2441</x:v>
      </x:c>
      <x:c r="AQ238" s="55" t="n">
        <x:v>935</x:v>
      </x:c>
    </x:row>
    <x:row r="239">
      <x:c r="A239" s="54" t="str">
        <x:v>T0_TABLE_BLOCK</x:v>
      </x:c>
      <x:c r="B239" s="54" t="n">
        <x:v>233</x:v>
      </x:c>
      <x:c r="C239" s="54" t="str">
        <x:v>NYC-V2-R01</x:v>
      </x:c>
      <x:c r="D239" s="54" t="str">
        <x:v>V2</x:v>
      </x:c>
      <x:c r="E239" s="54" t="str">
        <x:v>ADMITTED</x:v>
      </x:c>
      <x:c r="F239" s="55" t="n">
        <x:v>31032</x:v>
      </x:c>
      <x:c r="G239" s="55" t="n">
        <x:v>7923</x:v>
      </x:c>
      <x:c r="H239" s="55" t="n">
        <x:v>3264</x:v>
      </x:c>
      <x:c r="I239" s="55" t="n">
        <x:v>1482</x:v>
      </x:c>
      <x:c r="J239" s="55" t="n">
        <x:v>261</x:v>
      </x:c>
      <x:c r="K239" s="55" t="n">
        <x:v>31032</x:v>
      </x:c>
      <x:c r="L239" s="55" t="n">
        <x:v>5859</x:v>
      </x:c>
      <x:c r="M239" s="55" t="n">
        <x:v>1548</x:v>
      </x:c>
      <x:c r="N239" s="55" t="n">
        <x:v>2630</x:v>
      </x:c>
      <x:c r="O239" s="55" t="n">
        <x:v>1681</x:v>
      </x:c>
      <x:c r="P239" s="55" t="n">
        <x:v>1118</x:v>
      </x:c>
      <x:c r="Q239" s="55" t="n">
        <x:v>1237</x:v>
      </x:c>
      <x:c r="R239" s="55" t="n">
        <x:v>2017</x:v>
      </x:c>
      <x:c r="S239" s="55" t="n">
        <x:v>2950</x:v>
      </x:c>
      <x:c r="T239" s="55" t="n">
        <x:v>956</x:v>
      </x:c>
      <x:c r="U239" s="55" t="n">
        <x:v>2043</x:v>
      </x:c>
      <x:c r="V239" s="55" t="n">
        <x:v>10692</x:v>
      </x:c>
      <x:c r="W239" s="55" t="n">
        <x:v>7503</x:v>
      </x:c>
      <x:c r="X239" s="55" t="n">
        <x:v>3189</x:v>
      </x:c>
      <x:c r="Y239" s="55" t="n">
        <x:v>2797</x:v>
      </x:c>
      <x:c r="Z239" s="55" t="n">
        <x:v>4152</x:v>
      </x:c>
      <x:c r="AA239" s="55" t="n">
        <x:v>3121</x:v>
      </x:c>
      <x:c r="AB239" s="55" t="n">
        <x:v>1278</x:v>
      </x:c>
      <x:c r="AC239" s="55" t="n">
        <x:v>7952</x:v>
      </x:c>
      <x:c r="AD239" s="55" t="n">
        <x:v>1890</x:v>
      </x:c>
      <x:c r="AE239" s="55" t="n">
        <x:v>10732</x:v>
      </x:c>
      <x:c r="AF239" s="55" t="n">
        <x:v>10692</x:v>
      </x:c>
      <x:c r="AG239" s="55" t="n">
        <x:v>40</x:v>
      </x:c>
      <x:c r="AH239" s="55" t="n">
        <x:v>456</x:v>
      </x:c>
      <x:c r="AI239" s="55" t="n">
        <x:v>10236</x:v>
      </x:c>
      <x:c r="AJ239" s="55" t="n">
        <x:v>487</x:v>
      </x:c>
      <x:c r="AK239" s="55" t="n">
        <x:v>692</x:v>
      </x:c>
      <x:c r="AL239" s="55" t="n">
        <x:v>1996</x:v>
      </x:c>
      <x:c r="AM239" s="55" t="n">
        <x:v>4864</x:v>
      </x:c>
      <x:c r="AN239" s="55" t="n">
        <x:v>2653</x:v>
      </x:c>
      <x:c r="AO239" s="55" t="n">
        <x:v>0</x:v>
      </x:c>
      <x:c r="AP239" s="55" t="n">
        <x:v>2714</x:v>
      </x:c>
      <x:c r="AQ239" s="55" t="n">
        <x:v>1004</x:v>
      </x:c>
    </x:row>
    <x:row r="240">
      <x:c r="A240" s="54" t="str">
        <x:v>T0_TABLE_BLOCK</x:v>
      </x:c>
      <x:c r="B240" s="54" t="n">
        <x:v>234</x:v>
      </x:c>
      <x:c r="C240" s="54" t="str">
        <x:v>NYC-V2-R01</x:v>
      </x:c>
      <x:c r="D240" s="54" t="str">
        <x:v>V2</x:v>
      </x:c>
      <x:c r="E240" s="54" t="str">
        <x:v>ADMITTED</x:v>
      </x:c>
      <x:c r="F240" s="55" t="n">
        <x:v>33387</x:v>
      </x:c>
      <x:c r="G240" s="55" t="n">
        <x:v>7424</x:v>
      </x:c>
      <x:c r="H240" s="55" t="n">
        <x:v>3417</x:v>
      </x:c>
      <x:c r="I240" s="55" t="n">
        <x:v>1424</x:v>
      </x:c>
      <x:c r="J240" s="55" t="n">
        <x:v>300</x:v>
      </x:c>
      <x:c r="K240" s="55" t="n">
        <x:v>33387</x:v>
      </x:c>
      <x:c r="L240" s="55" t="n">
        <x:v>6649</x:v>
      </x:c>
      <x:c r="M240" s="55" t="n">
        <x:v>1967</x:v>
      </x:c>
      <x:c r="N240" s="55" t="n">
        <x:v>2745</x:v>
      </x:c>
      <x:c r="O240" s="55" t="n">
        <x:v>1937</x:v>
      </x:c>
      <x:c r="P240" s="55" t="n">
        <x:v>777</x:v>
      </x:c>
      <x:c r="Q240" s="55" t="n">
        <x:v>2931</x:v>
      </x:c>
      <x:c r="R240" s="55" t="n">
        <x:v>1925</x:v>
      </x:c>
      <x:c r="S240" s="55" t="n">
        <x:v>2773</x:v>
      </x:c>
      <x:c r="T240" s="55" t="n">
        <x:v>1265</x:v>
      </x:c>
      <x:c r="U240" s="55" t="n">
        <x:v>1958</x:v>
      </x:c>
      <x:c r="V240" s="55" t="n">
        <x:v>11162</x:v>
      </x:c>
      <x:c r="W240" s="55" t="n">
        <x:v>8093</x:v>
      </x:c>
      <x:c r="X240" s="55" t="n">
        <x:v>3069</x:v>
      </x:c>
      <x:c r="Y240" s="55" t="n">
        <x:v>2800</x:v>
      </x:c>
      <x:c r="Z240" s="55" t="n">
        <x:v>4255</x:v>
      </x:c>
      <x:c r="AA240" s="55" t="n">
        <x:v>2524</x:v>
      </x:c>
      <x:c r="AB240" s="55" t="n">
        <x:v>1228</x:v>
      </x:c>
      <x:c r="AC240" s="55" t="n">
        <x:v>8426</x:v>
      </x:c>
      <x:c r="AD240" s="55" t="n">
        <x:v>2958</x:v>
      </x:c>
      <x:c r="AE240" s="55" t="n">
        <x:v>11175</x:v>
      </x:c>
      <x:c r="AF240" s="55" t="n">
        <x:v>11162</x:v>
      </x:c>
      <x:c r="AG240" s="55" t="n">
        <x:v>13</x:v>
      </x:c>
      <x:c r="AH240" s="55" t="n">
        <x:v>584</x:v>
      </x:c>
      <x:c r="AI240" s="55" t="n">
        <x:v>10578</x:v>
      </x:c>
      <x:c r="AJ240" s="55" t="n">
        <x:v>360</x:v>
      </x:c>
      <x:c r="AK240" s="55" t="n">
        <x:v>630</x:v>
      </x:c>
      <x:c r="AL240" s="55" t="n">
        <x:v>2004</x:v>
      </x:c>
      <x:c r="AM240" s="55" t="n">
        <x:v>4852</x:v>
      </x:c>
      <x:c r="AN240" s="55" t="n">
        <x:v>3291</x:v>
      </x:c>
      <x:c r="AO240" s="55" t="n">
        <x:v>25</x:v>
      </x:c>
      <x:c r="AP240" s="55" t="n">
        <x:v>2155</x:v>
      </x:c>
      <x:c r="AQ240" s="55" t="n">
        <x:v>971</x:v>
      </x:c>
    </x:row>
    <x:row r="241">
      <x:c r="A241" s="54" t="str">
        <x:v>T0_TABLE_BLOCK</x:v>
      </x:c>
      <x:c r="B241" s="54" t="n">
        <x:v>235</x:v>
      </x:c>
      <x:c r="C241" s="54" t="str">
        <x:v>NYC-V2-R01</x:v>
      </x:c>
      <x:c r="D241" s="54" t="str">
        <x:v>V2</x:v>
      </x:c>
      <x:c r="E241" s="54" t="str">
        <x:v>ADMITTED</x:v>
      </x:c>
      <x:c r="F241" s="55" t="n">
        <x:v>29961</x:v>
      </x:c>
      <x:c r="G241" s="55" t="n">
        <x:v>7754</x:v>
      </x:c>
      <x:c r="H241" s="55" t="n">
        <x:v>3281</x:v>
      </x:c>
      <x:c r="I241" s="55" t="n">
        <x:v>1759</x:v>
      </x:c>
      <x:c r="J241" s="55" t="n">
        <x:v>415</x:v>
      </x:c>
      <x:c r="K241" s="55" t="n">
        <x:v>29015</x:v>
      </x:c>
      <x:c r="L241" s="55" t="n">
        <x:v>5407</x:v>
      </x:c>
      <x:c r="M241" s="55" t="n">
        <x:v>1181</x:v>
      </x:c>
      <x:c r="N241" s="55" t="n">
        <x:v>2802</x:v>
      </x:c>
      <x:c r="O241" s="55" t="n">
        <x:v>1424</x:v>
      </x:c>
      <x:c r="P241" s="55" t="n">
        <x:v>859</x:v>
      </x:c>
      <x:c r="Q241" s="55" t="n">
        <x:v>2103</x:v>
      </x:c>
      <x:c r="R241" s="55" t="n">
        <x:v>1352</x:v>
      </x:c>
      <x:c r="S241" s="55" t="n">
        <x:v>2579</x:v>
      </x:c>
      <x:c r="T241" s="55" t="n">
        <x:v>1258</x:v>
      </x:c>
      <x:c r="U241" s="55" t="n">
        <x:v>1909</x:v>
      </x:c>
      <x:c r="V241" s="55" t="n">
        <x:v>11046</x:v>
      </x:c>
      <x:c r="W241" s="55" t="n">
        <x:v>7510</x:v>
      </x:c>
      <x:c r="X241" s="55" t="n">
        <x:v>3536</x:v>
      </x:c>
      <x:c r="Y241" s="55" t="n">
        <x:v>2993</x:v>
      </x:c>
      <x:c r="Z241" s="55" t="n">
        <x:v>3720</x:v>
      </x:c>
      <x:c r="AA241" s="55" t="n">
        <x:v>2821</x:v>
      </x:c>
      <x:c r="AB241" s="55" t="n">
        <x:v>833</x:v>
      </x:c>
      <x:c r="AC241" s="55" t="n">
        <x:v>8950</x:v>
      </x:c>
      <x:c r="AD241" s="55" t="n">
        <x:v>2501</x:v>
      </x:c>
      <x:c r="AE241" s="55" t="n">
        <x:v>11132</x:v>
      </x:c>
      <x:c r="AF241" s="55" t="n">
        <x:v>11046</x:v>
      </x:c>
      <x:c r="AG241" s="55" t="n">
        <x:v>86</x:v>
      </x:c>
      <x:c r="AH241" s="55" t="n">
        <x:v>487</x:v>
      </x:c>
      <x:c r="AI241" s="55" t="n">
        <x:v>10559</x:v>
      </x:c>
      <x:c r="AJ241" s="55" t="n">
        <x:v>571</x:v>
      </x:c>
      <x:c r="AK241" s="55" t="n">
        <x:v>1158</x:v>
      </x:c>
      <x:c r="AL241" s="55" t="n">
        <x:v>1528</x:v>
      </x:c>
      <x:c r="AM241" s="55" t="n">
        <x:v>5005</x:v>
      </x:c>
      <x:c r="AN241" s="55" t="n">
        <x:v>2783</x:v>
      </x:c>
      <x:c r="AO241" s="55" t="n">
        <x:v>1</x:v>
      </x:c>
      <x:c r="AP241" s="55" t="n">
        <x:v>1842</x:v>
      </x:c>
      <x:c r="AQ241" s="55" t="n">
        <x:v>994</x:v>
      </x:c>
    </x:row>
    <x:row r="242">
      <x:c r="A242" s="54" t="str">
        <x:v>T0_TABLE_BLOCK</x:v>
      </x:c>
      <x:c r="B242" s="54" t="n">
        <x:v>236</x:v>
      </x:c>
      <x:c r="C242" s="54" t="str">
        <x:v>NYC-V2-R01</x:v>
      </x:c>
      <x:c r="D242" s="54" t="str">
        <x:v>V2</x:v>
      </x:c>
      <x:c r="E242" s="54" t="str">
        <x:v>ADMITTED</x:v>
      </x:c>
      <x:c r="F242" s="55" t="n">
        <x:v>33528</x:v>
      </x:c>
      <x:c r="G242" s="55" t="n">
        <x:v>7170</x:v>
      </x:c>
      <x:c r="H242" s="55" t="n">
        <x:v>3531</x:v>
      </x:c>
      <x:c r="I242" s="55" t="n">
        <x:v>1489</x:v>
      </x:c>
      <x:c r="J242" s="55" t="n">
        <x:v>297</x:v>
      </x:c>
      <x:c r="K242" s="55" t="n">
        <x:v>33528</x:v>
      </x:c>
      <x:c r="L242" s="55" t="n">
        <x:v>6867</x:v>
      </x:c>
      <x:c r="M242" s="55" t="n">
        <x:v>1944</x:v>
      </x:c>
      <x:c r="N242" s="55" t="n">
        <x:v>2592</x:v>
      </x:c>
      <x:c r="O242" s="55" t="n">
        <x:v>2331</x:v>
      </x:c>
      <x:c r="P242" s="55" t="n">
        <x:v>855</x:v>
      </x:c>
      <x:c r="Q242" s="55" t="n">
        <x:v>2284</x:v>
      </x:c>
      <x:c r="R242" s="55" t="n">
        <x:v>1822</x:v>
      </x:c>
      <x:c r="S242" s="55" t="n">
        <x:v>2851</x:v>
      </x:c>
      <x:c r="T242" s="55" t="n">
        <x:v>973</x:v>
      </x:c>
      <x:c r="U242" s="55" t="n">
        <x:v>1771</x:v>
      </x:c>
      <x:c r="V242" s="55" t="n">
        <x:v>10530</x:v>
      </x:c>
      <x:c r="W242" s="55" t="n">
        <x:v>7462</x:v>
      </x:c>
      <x:c r="X242" s="55" t="n">
        <x:v>3068</x:v>
      </x:c>
      <x:c r="Y242" s="55" t="n">
        <x:v>2614</x:v>
      </x:c>
      <x:c r="Z242" s="55" t="n">
        <x:v>2912</x:v>
      </x:c>
      <x:c r="AA242" s="55" t="n">
        <x:v>3531</x:v>
      </x:c>
      <x:c r="AB242" s="55" t="n">
        <x:v>1152</x:v>
      </x:c>
      <x:c r="AC242" s="55" t="n">
        <x:v>8443</x:v>
      </x:c>
      <x:c r="AD242" s="55" t="n">
        <x:v>3328</x:v>
      </x:c>
      <x:c r="AE242" s="55" t="n">
        <x:v>10695</x:v>
      </x:c>
      <x:c r="AF242" s="55" t="n">
        <x:v>10530</x:v>
      </x:c>
      <x:c r="AG242" s="55" t="n">
        <x:v>165</x:v>
      </x:c>
      <x:c r="AH242" s="55" t="n">
        <x:v>130</x:v>
      </x:c>
      <x:c r="AI242" s="55" t="n">
        <x:v>10400</x:v>
      </x:c>
      <x:c r="AJ242" s="55" t="n">
        <x:v>352</x:v>
      </x:c>
      <x:c r="AK242" s="55" t="n">
        <x:v>915</x:v>
      </x:c>
      <x:c r="AL242" s="55" t="n">
        <x:v>1596</x:v>
      </x:c>
      <x:c r="AM242" s="55" t="n">
        <x:v>5023</x:v>
      </x:c>
      <x:c r="AN242" s="55" t="n">
        <x:v>2644</x:v>
      </x:c>
      <x:c r="AO242" s="55" t="n">
        <x:v>0</x:v>
      </x:c>
      <x:c r="AP242" s="55" t="n">
        <x:v>2326</x:v>
      </x:c>
      <x:c r="AQ242" s="55" t="n">
        <x:v>963</x:v>
      </x:c>
    </x:row>
    <x:row r="243">
      <x:c r="A243" s="54" t="str">
        <x:v>T0_TABLE_BLOCK</x:v>
      </x:c>
      <x:c r="B243" s="54" t="n">
        <x:v>237</x:v>
      </x:c>
      <x:c r="C243" s="54" t="str">
        <x:v>NYC-V2-R01</x:v>
      </x:c>
      <x:c r="D243" s="54" t="str">
        <x:v>V2</x:v>
      </x:c>
      <x:c r="E243" s="54" t="str">
        <x:v>ADMITTED</x:v>
      </x:c>
      <x:c r="F243" s="55" t="n">
        <x:v>32523</x:v>
      </x:c>
      <x:c r="G243" s="55" t="n">
        <x:v>8544</x:v>
      </x:c>
      <x:c r="H243" s="55" t="n">
        <x:v>3572</x:v>
      </x:c>
      <x:c r="I243" s="55" t="n">
        <x:v>1709</x:v>
      </x:c>
      <x:c r="J243" s="55" t="n">
        <x:v>275</x:v>
      </x:c>
      <x:c r="K243" s="55" t="n">
        <x:v>31197</x:v>
      </x:c>
      <x:c r="L243" s="55" t="n">
        <x:v>5622</x:v>
      </x:c>
      <x:c r="M243" s="55" t="n">
        <x:v>1801</x:v>
      </x:c>
      <x:c r="N243" s="55" t="n">
        <x:v>2317</x:v>
      </x:c>
      <x:c r="O243" s="55" t="n">
        <x:v>1504</x:v>
      </x:c>
      <x:c r="P243" s="55" t="n">
        <x:v>741</x:v>
      </x:c>
      <x:c r="Q243" s="55" t="n">
        <x:v>2734</x:v>
      </x:c>
      <x:c r="R243" s="55" t="n">
        <x:v>1971</x:v>
      </x:c>
      <x:c r="S243" s="55" t="n">
        <x:v>3569</x:v>
      </x:c>
      <x:c r="T243" s="55" t="n">
        <x:v>1128</x:v>
      </x:c>
      <x:c r="U243" s="55" t="n">
        <x:v>2490</x:v>
      </x:c>
      <x:c r="V243" s="55" t="n">
        <x:v>10168</x:v>
      </x:c>
      <x:c r="W243" s="55" t="n">
        <x:v>7516</x:v>
      </x:c>
      <x:c r="X243" s="55" t="n">
        <x:v>2652</x:v>
      </x:c>
      <x:c r="Y243" s="55" t="n">
        <x:v>2385</x:v>
      </x:c>
      <x:c r="Z243" s="55" t="n">
        <x:v>3393</x:v>
      </x:c>
      <x:c r="AA243" s="55" t="n">
        <x:v>3097</x:v>
      </x:c>
      <x:c r="AB243" s="55" t="n">
        <x:v>1084</x:v>
      </x:c>
      <x:c r="AC243" s="55" t="n">
        <x:v>8239</x:v>
      </x:c>
      <x:c r="AD243" s="55" t="n">
        <x:v>3353</x:v>
      </x:c>
      <x:c r="AE243" s="55" t="n">
        <x:v>10225</x:v>
      </x:c>
      <x:c r="AF243" s="55" t="n">
        <x:v>10168</x:v>
      </x:c>
      <x:c r="AG243" s="55" t="n">
        <x:v>57</x:v>
      </x:c>
      <x:c r="AH243" s="55" t="n">
        <x:v>629</x:v>
      </x:c>
      <x:c r="AI243" s="55" t="n">
        <x:v>9539</x:v>
      </x:c>
      <x:c r="AJ243" s="55" t="n">
        <x:v>433</x:v>
      </x:c>
      <x:c r="AK243" s="55" t="n">
        <x:v>884</x:v>
      </x:c>
      <x:c r="AL243" s="55" t="n">
        <x:v>1462</x:v>
      </x:c>
      <x:c r="AM243" s="55" t="n">
        <x:v>5307</x:v>
      </x:c>
      <x:c r="AN243" s="55" t="n">
        <x:v>2082</x:v>
      </x:c>
      <x:c r="AO243" s="55" t="n">
        <x:v>0</x:v>
      </x:c>
      <x:c r="AP243" s="55" t="n">
        <x:v>1967</x:v>
      </x:c>
      <x:c r="AQ243" s="55" t="n">
        <x:v>949</x:v>
      </x:c>
    </x:row>
    <x:row r="244">
      <x:c r="A244" s="54" t="str">
        <x:v>T0_TABLE_BLOCK</x:v>
      </x:c>
      <x:c r="B244" s="54" t="n">
        <x:v>238</x:v>
      </x:c>
      <x:c r="C244" s="54" t="str">
        <x:v>NYC-V2-R01</x:v>
      </x:c>
      <x:c r="D244" s="54" t="str">
        <x:v>V2</x:v>
      </x:c>
      <x:c r="E244" s="54" t="str">
        <x:v>ADMITTED</x:v>
      </x:c>
      <x:c r="F244" s="55" t="n">
        <x:v>30597</x:v>
      </x:c>
      <x:c r="G244" s="55" t="n">
        <x:v>7170</x:v>
      </x:c>
      <x:c r="H244" s="55" t="n">
        <x:v>3082</x:v>
      </x:c>
      <x:c r="I244" s="55" t="n">
        <x:v>1283</x:v>
      </x:c>
      <x:c r="J244" s="55" t="n">
        <x:v>138</x:v>
      </x:c>
      <x:c r="K244" s="55" t="n">
        <x:v>30597</x:v>
      </x:c>
      <x:c r="L244" s="55" t="n">
        <x:v>7282</x:v>
      </x:c>
      <x:c r="M244" s="55" t="n">
        <x:v>2148</x:v>
      </x:c>
      <x:c r="N244" s="55" t="n">
        <x:v>3217</x:v>
      </x:c>
      <x:c r="O244" s="55" t="n">
        <x:v>1917</x:v>
      </x:c>
      <x:c r="P244" s="55" t="n">
        <x:v>964</x:v>
      </x:c>
      <x:c r="Q244" s="55" t="n">
        <x:v>1825</x:v>
      </x:c>
      <x:c r="R244" s="55" t="n">
        <x:v>1755</x:v>
      </x:c>
      <x:c r="S244" s="55" t="n">
        <x:v>2217</x:v>
      </x:c>
      <x:c r="T244" s="55" t="n">
        <x:v>1055</x:v>
      </x:c>
      <x:c r="U244" s="55" t="n">
        <x:v>2242</x:v>
      </x:c>
      <x:c r="V244" s="55" t="n">
        <x:v>10718</x:v>
      </x:c>
      <x:c r="W244" s="55" t="n">
        <x:v>7925</x:v>
      </x:c>
      <x:c r="X244" s="55" t="n">
        <x:v>2793</x:v>
      </x:c>
      <x:c r="Y244" s="55" t="n">
        <x:v>2424</x:v>
      </x:c>
      <x:c r="Z244" s="55" t="n">
        <x:v>3737</x:v>
      </x:c>
      <x:c r="AA244" s="55" t="n">
        <x:v>3037</x:v>
      </x:c>
      <x:c r="AB244" s="55" t="n">
        <x:v>1215</x:v>
      </x:c>
      <x:c r="AC244" s="55" t="n">
        <x:v>7809</x:v>
      </x:c>
      <x:c r="AD244" s="55" t="n">
        <x:v>3021</x:v>
      </x:c>
      <x:c r="AE244" s="55" t="n">
        <x:v>10790</x:v>
      </x:c>
      <x:c r="AF244" s="55" t="n">
        <x:v>10718</x:v>
      </x:c>
      <x:c r="AG244" s="55" t="n">
        <x:v>72</x:v>
      </x:c>
      <x:c r="AH244" s="55" t="n">
        <x:v>549</x:v>
      </x:c>
      <x:c r="AI244" s="55" t="n">
        <x:v>10169</x:v>
      </x:c>
      <x:c r="AJ244" s="55" t="n">
        <x:v>306</x:v>
      </x:c>
      <x:c r="AK244" s="55" t="n">
        <x:v>1402</x:v>
      </x:c>
      <x:c r="AL244" s="55" t="n">
        <x:v>1749</x:v>
      </x:c>
      <x:c r="AM244" s="55" t="n">
        <x:v>4878</x:v>
      </x:c>
      <x:c r="AN244" s="55" t="n">
        <x:v>2267</x:v>
      </x:c>
      <x:c r="AO244" s="55" t="n">
        <x:v>116</x:v>
      </x:c>
      <x:c r="AP244" s="55" t="n">
        <x:v>1764</x:v>
      </x:c>
      <x:c r="AQ244" s="55" t="n">
        <x:v>1001</x:v>
      </x:c>
    </x:row>
    <x:row r="245">
      <x:c r="A245" s="54" t="str">
        <x:v>T0_TABLE_BLOCK</x:v>
      </x:c>
      <x:c r="B245" s="54" t="n">
        <x:v>239</x:v>
      </x:c>
      <x:c r="C245" s="54" t="str">
        <x:v>NYC-V2-R01</x:v>
      </x:c>
      <x:c r="D245" s="54" t="str">
        <x:v>V2</x:v>
      </x:c>
      <x:c r="E245" s="54" t="str">
        <x:v>ADMITTED</x:v>
      </x:c>
      <x:c r="F245" s="55" t="n">
        <x:v>29798</x:v>
      </x:c>
      <x:c r="G245" s="55" t="n">
        <x:v>6271</x:v>
      </x:c>
      <x:c r="H245" s="55" t="n">
        <x:v>3185</x:v>
      </x:c>
      <x:c r="I245" s="55" t="n">
        <x:v>1380</x:v>
      </x:c>
      <x:c r="J245" s="55" t="n">
        <x:v>263</x:v>
      </x:c>
      <x:c r="K245" s="55" t="n">
        <x:v>29798</x:v>
      </x:c>
      <x:c r="L245" s="55" t="n">
        <x:v>4894</x:v>
      </x:c>
      <x:c r="M245" s="55" t="n">
        <x:v>1281</x:v>
      </x:c>
      <x:c r="N245" s="55" t="n">
        <x:v>2339</x:v>
      </x:c>
      <x:c r="O245" s="55" t="n">
        <x:v>1274</x:v>
      </x:c>
      <x:c r="P245" s="55" t="n">
        <x:v>1111</x:v>
      </x:c>
      <x:c r="Q245" s="55" t="n">
        <x:v>2339</x:v>
      </x:c>
      <x:c r="R245" s="55" t="n">
        <x:v>2306</x:v>
      </x:c>
      <x:c r="S245" s="55" t="n">
        <x:v>2737</x:v>
      </x:c>
      <x:c r="T245" s="55" t="n">
        <x:v>1269</x:v>
      </x:c>
      <x:c r="U245" s="55" t="n">
        <x:v>2444</x:v>
      </x:c>
      <x:c r="V245" s="55" t="n">
        <x:v>10512</x:v>
      </x:c>
      <x:c r="W245" s="55" t="n">
        <x:v>7600</x:v>
      </x:c>
      <x:c r="X245" s="55" t="n">
        <x:v>2912</x:v>
      </x:c>
      <x:c r="Y245" s="55" t="n">
        <x:v>2671</x:v>
      </x:c>
      <x:c r="Z245" s="55" t="n">
        <x:v>3154</x:v>
      </x:c>
      <x:c r="AA245" s="55" t="n">
        <x:v>2816</x:v>
      </x:c>
      <x:c r="AB245" s="55" t="n">
        <x:v>1145</x:v>
      </x:c>
      <x:c r="AC245" s="55" t="n">
        <x:v>8763</x:v>
      </x:c>
      <x:c r="AD245" s="55" t="n">
        <x:v>2632</x:v>
      </x:c>
      <x:c r="AE245" s="55" t="n">
        <x:v>10572</x:v>
      </x:c>
      <x:c r="AF245" s="55" t="n">
        <x:v>10512</x:v>
      </x:c>
      <x:c r="AG245" s="55" t="n">
        <x:v>60</x:v>
      </x:c>
      <x:c r="AH245" s="55" t="n">
        <x:v>679</x:v>
      </x:c>
      <x:c r="AI245" s="55" t="n">
        <x:v>9833</x:v>
      </x:c>
      <x:c r="AJ245" s="55" t="n">
        <x:v>242</x:v>
      </x:c>
      <x:c r="AK245" s="55" t="n">
        <x:v>1283</x:v>
      </x:c>
      <x:c r="AL245" s="55" t="n">
        <x:v>1410</x:v>
      </x:c>
      <x:c r="AM245" s="55" t="n">
        <x:v>5095</x:v>
      </x:c>
      <x:c r="AN245" s="55" t="n">
        <x:v>2433</x:v>
      </x:c>
      <x:c r="AO245" s="55" t="n">
        <x:v>49</x:v>
      </x:c>
      <x:c r="AP245" s="55" t="n">
        <x:v>2282</x:v>
      </x:c>
      <x:c r="AQ245" s="55" t="n">
        <x:v>957</x:v>
      </x:c>
    </x:row>
    <x:row r="246">
      <x:c r="A246" s="54" t="str">
        <x:v>T0_TABLE_BLOCK</x:v>
      </x:c>
      <x:c r="B246" s="54" t="n">
        <x:v>240</x:v>
      </x:c>
      <x:c r="C246" s="54" t="str">
        <x:v>NYC-V2-R01</x:v>
      </x:c>
      <x:c r="D246" s="54" t="str">
        <x:v>V2</x:v>
      </x:c>
      <x:c r="E246" s="54" t="str">
        <x:v>ADMITTED</x:v>
      </x:c>
      <x:c r="F246" s="55" t="n">
        <x:v>32425</x:v>
      </x:c>
      <x:c r="G246" s="55" t="n">
        <x:v>8252</x:v>
      </x:c>
      <x:c r="H246" s="55" t="n">
        <x:v>3622</x:v>
      </x:c>
      <x:c r="I246" s="55" t="n">
        <x:v>1481</x:v>
      </x:c>
      <x:c r="J246" s="55" t="n">
        <x:v>216</x:v>
      </x:c>
      <x:c r="K246" s="55" t="n">
        <x:v>30409</x:v>
      </x:c>
      <x:c r="L246" s="55" t="n">
        <x:v>6255</x:v>
      </x:c>
      <x:c r="M246" s="55" t="n">
        <x:v>1687</x:v>
      </x:c>
      <x:c r="N246" s="55" t="n">
        <x:v>2625</x:v>
      </x:c>
      <x:c r="O246" s="55" t="n">
        <x:v>1943</x:v>
      </x:c>
      <x:c r="P246" s="55" t="n">
        <x:v>258</x:v>
      </x:c>
      <x:c r="Q246" s="55" t="n">
        <x:v>3025</x:v>
      </x:c>
      <x:c r="R246" s="55" t="n">
        <x:v>1879</x:v>
      </x:c>
      <x:c r="S246" s="55" t="n">
        <x:v>2756</x:v>
      </x:c>
      <x:c r="T246" s="55" t="n">
        <x:v>1360</x:v>
      </x:c>
      <x:c r="U246" s="55" t="n">
        <x:v>2569</x:v>
      </x:c>
      <x:c r="V246" s="55" t="n">
        <x:v>9293</x:v>
      </x:c>
      <x:c r="W246" s="55" t="n">
        <x:v>6302</x:v>
      </x:c>
      <x:c r="X246" s="55" t="n">
        <x:v>2991</x:v>
      </x:c>
      <x:c r="Y246" s="55" t="n">
        <x:v>2489</x:v>
      </x:c>
      <x:c r="Z246" s="55" t="n">
        <x:v>3816</x:v>
      </x:c>
      <x:c r="AA246" s="55" t="n">
        <x:v>3622</x:v>
      </x:c>
      <x:c r="AB246" s="55" t="n">
        <x:v>1276</x:v>
      </x:c>
      <x:c r="AC246" s="55" t="n">
        <x:v>7756</x:v>
      </x:c>
      <x:c r="AD246" s="55" t="n">
        <x:v>2644</x:v>
      </x:c>
      <x:c r="AE246" s="55" t="n">
        <x:v>9441</x:v>
      </x:c>
      <x:c r="AF246" s="55" t="n">
        <x:v>9293</x:v>
      </x:c>
      <x:c r="AG246" s="55" t="n">
        <x:v>148</x:v>
      </x:c>
      <x:c r="AH246" s="55" t="n">
        <x:v>226</x:v>
      </x:c>
      <x:c r="AI246" s="55" t="n">
        <x:v>9067</x:v>
      </x:c>
      <x:c r="AJ246" s="55" t="n">
        <x:v>244</x:v>
      </x:c>
      <x:c r="AK246" s="55" t="n">
        <x:v>752</x:v>
      </x:c>
      <x:c r="AL246" s="55" t="n">
        <x:v>1680</x:v>
      </x:c>
      <x:c r="AM246" s="55" t="n">
        <x:v>4221</x:v>
      </x:c>
      <x:c r="AN246" s="55" t="n">
        <x:v>2336</x:v>
      </x:c>
      <x:c r="AO246" s="55" t="n">
        <x:v>60</x:v>
      </x:c>
      <x:c r="AP246" s="55" t="n">
        <x:v>1783</x:v>
      </x:c>
      <x:c r="AQ246" s="55" t="n">
        <x:v>945</x:v>
      </x:c>
    </x:row>
    <x:row r="247">
      <x:c r="A247" s="54" t="str">
        <x:v>T0_TABLE_BLOCK</x:v>
      </x:c>
      <x:c r="B247" s="54" t="n">
        <x:v>241</x:v>
      </x:c>
      <x:c r="C247" s="54" t="str">
        <x:v>NYC-V2-R01</x:v>
      </x:c>
      <x:c r="D247" s="54" t="str">
        <x:v>V2</x:v>
      </x:c>
      <x:c r="E247" s="54" t="str">
        <x:v>ADMITTED</x:v>
      </x:c>
      <x:c r="F247" s="55" t="n">
        <x:v>30561</x:v>
      </x:c>
      <x:c r="G247" s="55" t="n">
        <x:v>8510</x:v>
      </x:c>
      <x:c r="H247" s="55" t="n">
        <x:v>3029</x:v>
      </x:c>
      <x:c r="I247" s="55" t="n">
        <x:v>824</x:v>
      </x:c>
      <x:c r="J247" s="55" t="n">
        <x:v>230</x:v>
      </x:c>
      <x:c r="K247" s="55" t="n">
        <x:v>28458</x:v>
      </x:c>
      <x:c r="L247" s="55" t="n">
        <x:v>5002</x:v>
      </x:c>
      <x:c r="M247" s="55" t="n">
        <x:v>887</x:v>
      </x:c>
      <x:c r="N247" s="55" t="n">
        <x:v>2434</x:v>
      </x:c>
      <x:c r="O247" s="55" t="n">
        <x:v>1681</x:v>
      </x:c>
      <x:c r="P247" s="55" t="n">
        <x:v>817</x:v>
      </x:c>
      <x:c r="Q247" s="55" t="n">
        <x:v>2260</x:v>
      </x:c>
      <x:c r="R247" s="55" t="n">
        <x:v>2255</x:v>
      </x:c>
      <x:c r="S247" s="55" t="n">
        <x:v>2264</x:v>
      </x:c>
      <x:c r="T247" s="55" t="n">
        <x:v>1110</x:v>
      </x:c>
      <x:c r="U247" s="55" t="n">
        <x:v>1971</x:v>
      </x:c>
      <x:c r="V247" s="55" t="n">
        <x:v>10384</x:v>
      </x:c>
      <x:c r="W247" s="55" t="n">
        <x:v>7035</x:v>
      </x:c>
      <x:c r="X247" s="55" t="n">
        <x:v>3349</x:v>
      </x:c>
      <x:c r="Y247" s="55" t="n">
        <x:v>2560</x:v>
      </x:c>
      <x:c r="Z247" s="55" t="n">
        <x:v>2908</x:v>
      </x:c>
      <x:c r="AA247" s="55" t="n">
        <x:v>3029</x:v>
      </x:c>
      <x:c r="AB247" s="55" t="n">
        <x:v>1523</x:v>
      </x:c>
      <x:c r="AC247" s="55" t="n">
        <x:v>8188</x:v>
      </x:c>
      <x:c r="AD247" s="55" t="n">
        <x:v>2518</x:v>
      </x:c>
      <x:c r="AE247" s="55" t="n">
        <x:v>10455</x:v>
      </x:c>
      <x:c r="AF247" s="55" t="n">
        <x:v>10384</x:v>
      </x:c>
      <x:c r="AG247" s="55" t="n">
        <x:v>71</x:v>
      </x:c>
      <x:c r="AH247" s="55" t="n">
        <x:v>508</x:v>
      </x:c>
      <x:c r="AI247" s="55" t="n">
        <x:v>9876</x:v>
      </x:c>
      <x:c r="AJ247" s="55" t="n">
        <x:v>389</x:v>
      </x:c>
      <x:c r="AK247" s="55" t="n">
        <x:v>960</x:v>
      </x:c>
      <x:c r="AL247" s="55" t="n">
        <x:v>1810</x:v>
      </x:c>
      <x:c r="AM247" s="55" t="n">
        <x:v>4956</x:v>
      </x:c>
      <x:c r="AN247" s="55" t="n">
        <x:v>2269</x:v>
      </x:c>
      <x:c r="AO247" s="55" t="n">
        <x:v>0</x:v>
      </x:c>
      <x:c r="AP247" s="55" t="n">
        <x:v>2309</x:v>
      </x:c>
      <x:c r="AQ247" s="55" t="n">
        <x:v>976</x:v>
      </x:c>
    </x:row>
    <x:row r="248">
      <x:c r="A248" s="54" t="str">
        <x:v>T0_TABLE_BLOCK</x:v>
      </x:c>
      <x:c r="B248" s="54" t="n">
        <x:v>242</x:v>
      </x:c>
      <x:c r="C248" s="54" t="str">
        <x:v>NYC-V2-R01</x:v>
      </x:c>
      <x:c r="D248" s="54" t="str">
        <x:v>V2</x:v>
      </x:c>
      <x:c r="E248" s="54" t="str">
        <x:v>ADMITTED</x:v>
      </x:c>
      <x:c r="F248" s="55" t="n">
        <x:v>31213</x:v>
      </x:c>
      <x:c r="G248" s="55" t="n">
        <x:v>7861</x:v>
      </x:c>
      <x:c r="H248" s="55" t="n">
        <x:v>3262</x:v>
      </x:c>
      <x:c r="I248" s="55" t="n">
        <x:v>1222</x:v>
      </x:c>
      <x:c r="J248" s="55" t="n">
        <x:v>358</x:v>
      </x:c>
      <x:c r="K248" s="55" t="n">
        <x:v>31213</x:v>
      </x:c>
      <x:c r="L248" s="55" t="n">
        <x:v>5013</x:v>
      </x:c>
      <x:c r="M248" s="55" t="n">
        <x:v>874</x:v>
      </x:c>
      <x:c r="N248" s="55" t="n">
        <x:v>2355</x:v>
      </x:c>
      <x:c r="O248" s="55" t="n">
        <x:v>1784</x:v>
      </x:c>
      <x:c r="P248" s="55" t="n">
        <x:v>483</x:v>
      </x:c>
      <x:c r="Q248" s="55" t="n">
        <x:v>1521</x:v>
      </x:c>
      <x:c r="R248" s="55" t="n">
        <x:v>1824</x:v>
      </x:c>
      <x:c r="S248" s="55" t="n">
        <x:v>3126</x:v>
      </x:c>
      <x:c r="T248" s="55" t="n">
        <x:v>1369</x:v>
      </x:c>
      <x:c r="U248" s="55" t="n">
        <x:v>2234</x:v>
      </x:c>
      <x:c r="V248" s="55" t="n">
        <x:v>11762</x:v>
      </x:c>
      <x:c r="W248" s="55" t="n">
        <x:v>8985</x:v>
      </x:c>
      <x:c r="X248" s="55" t="n">
        <x:v>2777</x:v>
      </x:c>
      <x:c r="Y248" s="55" t="n">
        <x:v>2402</x:v>
      </x:c>
      <x:c r="Z248" s="55" t="n">
        <x:v>4303</x:v>
      </x:c>
      <x:c r="AA248" s="55" t="n">
        <x:v>2597</x:v>
      </x:c>
      <x:c r="AB248" s="55" t="n">
        <x:v>804</x:v>
      </x:c>
      <x:c r="AC248" s="55" t="n">
        <x:v>7792</x:v>
      </x:c>
      <x:c r="AD248" s="55" t="n">
        <x:v>2788</x:v>
      </x:c>
      <x:c r="AE248" s="55" t="n">
        <x:v>11795</x:v>
      </x:c>
      <x:c r="AF248" s="55" t="n">
        <x:v>11762</x:v>
      </x:c>
      <x:c r="AG248" s="55" t="n">
        <x:v>33</x:v>
      </x:c>
      <x:c r="AH248" s="55" t="n">
        <x:v>767</x:v>
      </x:c>
      <x:c r="AI248" s="55" t="n">
        <x:v>10995</x:v>
      </x:c>
      <x:c r="AJ248" s="55" t="n">
        <x:v>228</x:v>
      </x:c>
      <x:c r="AK248" s="55" t="n">
        <x:v>1277</x:v>
      </x:c>
      <x:c r="AL248" s="55" t="n">
        <x:v>2010</x:v>
      </x:c>
      <x:c r="AM248" s="55" t="n">
        <x:v>5363</x:v>
      </x:c>
      <x:c r="AN248" s="55" t="n">
        <x:v>2870</x:v>
      </x:c>
      <x:c r="AO248" s="55" t="n">
        <x:v>14</x:v>
      </x:c>
      <x:c r="AP248" s="55" t="n">
        <x:v>2174</x:v>
      </x:c>
      <x:c r="AQ248" s="55" t="n">
        <x:v>959</x:v>
      </x:c>
    </x:row>
    <x:row r="249">
      <x:c r="A249" s="54" t="str">
        <x:v>T0_TABLE_BLOCK</x:v>
      </x:c>
      <x:c r="B249" s="54" t="n">
        <x:v>243</x:v>
      </x:c>
      <x:c r="C249" s="54" t="str">
        <x:v>NYC-V2-R01</x:v>
      </x:c>
      <x:c r="D249" s="54" t="str">
        <x:v>V2</x:v>
      </x:c>
      <x:c r="E249" s="54" t="str">
        <x:v>ADMITTED</x:v>
      </x:c>
      <x:c r="F249" s="55" t="n">
        <x:v>34235</x:v>
      </x:c>
      <x:c r="G249" s="55" t="n">
        <x:v>9370</x:v>
      </x:c>
      <x:c r="H249" s="55" t="n">
        <x:v>3130</x:v>
      </x:c>
      <x:c r="I249" s="55" t="n">
        <x:v>1371</x:v>
      </x:c>
      <x:c r="J249" s="55" t="n">
        <x:v>150</x:v>
      </x:c>
      <x:c r="K249" s="55" t="n">
        <x:v>34235</x:v>
      </x:c>
      <x:c r="L249" s="55" t="n">
        <x:v>6674</x:v>
      </x:c>
      <x:c r="M249" s="55" t="n">
        <x:v>1674</x:v>
      </x:c>
      <x:c r="N249" s="55" t="n">
        <x:v>3114</x:v>
      </x:c>
      <x:c r="O249" s="55" t="n">
        <x:v>1886</x:v>
      </x:c>
      <x:c r="P249" s="55" t="n">
        <x:v>1133</x:v>
      </x:c>
      <x:c r="Q249" s="55" t="n">
        <x:v>2003</x:v>
      </x:c>
      <x:c r="R249" s="55" t="n">
        <x:v>1851</x:v>
      </x:c>
      <x:c r="S249" s="55" t="n">
        <x:v>2192</x:v>
      </x:c>
      <x:c r="T249" s="55" t="n">
        <x:v>1327</x:v>
      </x:c>
      <x:c r="U249" s="55" t="n">
        <x:v>2219</x:v>
      </x:c>
      <x:c r="V249" s="55" t="n">
        <x:v>10587</x:v>
      </x:c>
      <x:c r="W249" s="55" t="n">
        <x:v>6794</x:v>
      </x:c>
      <x:c r="X249" s="55" t="n">
        <x:v>3793</x:v>
      </x:c>
      <x:c r="Y249" s="55" t="n">
        <x:v>3228</x:v>
      </x:c>
      <x:c r="Z249" s="55" t="n">
        <x:v>4460</x:v>
      </x:c>
      <x:c r="AA249" s="55" t="n">
        <x:v>2957</x:v>
      </x:c>
      <x:c r="AB249" s="55" t="n">
        <x:v>925</x:v>
      </x:c>
      <x:c r="AC249" s="55" t="n">
        <x:v>8611</x:v>
      </x:c>
      <x:c r="AD249" s="55" t="n">
        <x:v>3155</x:v>
      </x:c>
      <x:c r="AE249" s="55" t="n">
        <x:v>10766</x:v>
      </x:c>
      <x:c r="AF249" s="55" t="n">
        <x:v>10587</x:v>
      </x:c>
      <x:c r="AG249" s="55" t="n">
        <x:v>179</x:v>
      </x:c>
      <x:c r="AH249" s="55" t="n">
        <x:v>514</x:v>
      </x:c>
      <x:c r="AI249" s="55" t="n">
        <x:v>10073</x:v>
      </x:c>
      <x:c r="AJ249" s="55" t="n">
        <x:v>393</x:v>
      </x:c>
      <x:c r="AK249" s="55" t="n">
        <x:v>1062</x:v>
      </x:c>
      <x:c r="AL249" s="55" t="n">
        <x:v>1544</x:v>
      </x:c>
      <x:c r="AM249" s="55" t="n">
        <x:v>4463</x:v>
      </x:c>
      <x:c r="AN249" s="55" t="n">
        <x:v>3091</x:v>
      </x:c>
      <x:c r="AO249" s="55" t="n">
        <x:v>34</x:v>
      </x:c>
      <x:c r="AP249" s="55" t="n">
        <x:v>2203</x:v>
      </x:c>
      <x:c r="AQ249" s="55" t="n">
        <x:v>955</x:v>
      </x:c>
    </x:row>
    <x:row r="250">
      <x:c r="A250" s="54" t="str">
        <x:v>T0_TABLE_BLOCK</x:v>
      </x:c>
      <x:c r="B250" s="54" t="n">
        <x:v>244</x:v>
      </x:c>
      <x:c r="C250" s="54" t="str">
        <x:v>NYC-V2-R01</x:v>
      </x:c>
      <x:c r="D250" s="54" t="str">
        <x:v>V2</x:v>
      </x:c>
      <x:c r="E250" s="54" t="str">
        <x:v>ADMITTED</x:v>
      </x:c>
      <x:c r="F250" s="55" t="n">
        <x:v>32024</x:v>
      </x:c>
      <x:c r="G250" s="55" t="n">
        <x:v>7849</x:v>
      </x:c>
      <x:c r="H250" s="55" t="n">
        <x:v>3405</x:v>
      </x:c>
      <x:c r="I250" s="55" t="n">
        <x:v>1180</x:v>
      </x:c>
      <x:c r="J250" s="55" t="n">
        <x:v>265</x:v>
      </x:c>
      <x:c r="K250" s="55" t="n">
        <x:v>31701</x:v>
      </x:c>
      <x:c r="L250" s="55" t="n">
        <x:v>6998</x:v>
      </x:c>
      <x:c r="M250" s="55" t="n">
        <x:v>1532</x:v>
      </x:c>
      <x:c r="N250" s="55" t="n">
        <x:v>3687</x:v>
      </x:c>
      <x:c r="O250" s="55" t="n">
        <x:v>1779</x:v>
      </x:c>
      <x:c r="P250" s="55" t="n">
        <x:v>882</x:v>
      </x:c>
      <x:c r="Q250" s="55" t="n">
        <x:v>2177</x:v>
      </x:c>
      <x:c r="R250" s="55" t="n">
        <x:v>1423</x:v>
      </x:c>
      <x:c r="S250" s="55" t="n">
        <x:v>2409</x:v>
      </x:c>
      <x:c r="T250" s="55" t="n">
        <x:v>1566</x:v>
      </x:c>
      <x:c r="U250" s="55" t="n">
        <x:v>1828</x:v>
      </x:c>
      <x:c r="V250" s="55" t="n">
        <x:v>10242</x:v>
      </x:c>
      <x:c r="W250" s="55" t="n">
        <x:v>7664</x:v>
      </x:c>
      <x:c r="X250" s="55" t="n">
        <x:v>2578</x:v>
      </x:c>
      <x:c r="Y250" s="55" t="n">
        <x:v>2195</x:v>
      </x:c>
      <x:c r="Z250" s="55" t="n">
        <x:v>3251</x:v>
      </x:c>
      <x:c r="AA250" s="55" t="n">
        <x:v>3405</x:v>
      </x:c>
      <x:c r="AB250" s="55" t="n">
        <x:v>1219</x:v>
      </x:c>
      <x:c r="AC250" s="55" t="n">
        <x:v>7710</x:v>
      </x:c>
      <x:c r="AD250" s="55" t="n">
        <x:v>2851</x:v>
      </x:c>
      <x:c r="AE250" s="55" t="n">
        <x:v>10349</x:v>
      </x:c>
      <x:c r="AF250" s="55" t="n">
        <x:v>10242</x:v>
      </x:c>
      <x:c r="AG250" s="55" t="n">
        <x:v>107</x:v>
      </x:c>
      <x:c r="AH250" s="55" t="n">
        <x:v>442</x:v>
      </x:c>
      <x:c r="AI250" s="55" t="n">
        <x:v>9800</x:v>
      </x:c>
      <x:c r="AJ250" s="55" t="n">
        <x:v>249</x:v>
      </x:c>
      <x:c r="AK250" s="55" t="n">
        <x:v>658</x:v>
      </x:c>
      <x:c r="AL250" s="55" t="n">
        <x:v>1642</x:v>
      </x:c>
      <x:c r="AM250" s="55" t="n">
        <x:v>4535</x:v>
      </x:c>
      <x:c r="AN250" s="55" t="n">
        <x:v>3152</x:v>
      </x:c>
      <x:c r="AO250" s="55" t="n">
        <x:v>6</x:v>
      </x:c>
      <x:c r="AP250" s="55" t="n">
        <x:v>2433</x:v>
      </x:c>
      <x:c r="AQ250" s="55" t="n">
        <x:v>1000</x:v>
      </x:c>
    </x:row>
    <x:row r="251">
      <x:c r="A251" s="54" t="str">
        <x:v>T0_TABLE_BLOCK</x:v>
      </x:c>
      <x:c r="B251" s="54" t="n">
        <x:v>245</x:v>
      </x:c>
      <x:c r="C251" s="54" t="str">
        <x:v>NYC-V2-R01</x:v>
      </x:c>
      <x:c r="D251" s="54" t="str">
        <x:v>V2</x:v>
      </x:c>
      <x:c r="E251" s="54" t="str">
        <x:v>ADMITTED</x:v>
      </x:c>
      <x:c r="F251" s="55" t="n">
        <x:v>31873</x:v>
      </x:c>
      <x:c r="G251" s="55" t="n">
        <x:v>8431</x:v>
      </x:c>
      <x:c r="H251" s="55" t="n">
        <x:v>2966</x:v>
      </x:c>
      <x:c r="I251" s="55" t="n">
        <x:v>1198</x:v>
      </x:c>
      <x:c r="J251" s="55" t="n">
        <x:v>226</x:v>
      </x:c>
      <x:c r="K251" s="55" t="n">
        <x:v>29545</x:v>
      </x:c>
      <x:c r="L251" s="55" t="n">
        <x:v>5691</x:v>
      </x:c>
      <x:c r="M251" s="55" t="n">
        <x:v>1444</x:v>
      </x:c>
      <x:c r="N251" s="55" t="n">
        <x:v>2615</x:v>
      </x:c>
      <x:c r="O251" s="55" t="n">
        <x:v>1632</x:v>
      </x:c>
      <x:c r="P251" s="55" t="n">
        <x:v>845</x:v>
      </x:c>
      <x:c r="Q251" s="55" t="n">
        <x:v>3094</x:v>
      </x:c>
      <x:c r="R251" s="55" t="n">
        <x:v>1730</x:v>
      </x:c>
      <x:c r="S251" s="55" t="n">
        <x:v>3208</x:v>
      </x:c>
      <x:c r="T251" s="55" t="n">
        <x:v>1094</x:v>
      </x:c>
      <x:c r="U251" s="55" t="n">
        <x:v>1761</x:v>
      </x:c>
      <x:c r="V251" s="55" t="n">
        <x:v>10812</x:v>
      </x:c>
      <x:c r="W251" s="55" t="n">
        <x:v>7891</x:v>
      </x:c>
      <x:c r="X251" s="55" t="n">
        <x:v>2921</x:v>
      </x:c>
      <x:c r="Y251" s="55" t="n">
        <x:v>2426</x:v>
      </x:c>
      <x:c r="Z251" s="55" t="n">
        <x:v>3341</x:v>
      </x:c>
      <x:c r="AA251" s="55" t="n">
        <x:v>2337</x:v>
      </x:c>
      <x:c r="AB251" s="55" t="n">
        <x:v>1039</x:v>
      </x:c>
      <x:c r="AC251" s="55" t="n">
        <x:v>8142</x:v>
      </x:c>
      <x:c r="AD251" s="55" t="n">
        <x:v>3609</x:v>
      </x:c>
      <x:c r="AE251" s="55" t="n">
        <x:v>10845</x:v>
      </x:c>
      <x:c r="AF251" s="55" t="n">
        <x:v>10812</x:v>
      </x:c>
      <x:c r="AG251" s="55" t="n">
        <x:v>33</x:v>
      </x:c>
      <x:c r="AH251" s="55" t="n">
        <x:v>326</x:v>
      </x:c>
      <x:c r="AI251" s="55" t="n">
        <x:v>10486</x:v>
      </x:c>
      <x:c r="AJ251" s="55" t="n">
        <x:v>215</x:v>
      </x:c>
      <x:c r="AK251" s="55" t="n">
        <x:v>1036</x:v>
      </x:c>
      <x:c r="AL251" s="55" t="n">
        <x:v>1707</x:v>
      </x:c>
      <x:c r="AM251" s="55" t="n">
        <x:v>4955</x:v>
      </x:c>
      <x:c r="AN251" s="55" t="n">
        <x:v>2870</x:v>
      </x:c>
      <x:c r="AO251" s="55" t="n">
        <x:v>29</x:v>
      </x:c>
      <x:c r="AP251" s="55" t="n">
        <x:v>1923</x:v>
      </x:c>
      <x:c r="AQ251" s="55" t="n">
        <x:v>945</x:v>
      </x:c>
    </x:row>
    <x:row r="252">
      <x:c r="A252" s="54" t="str">
        <x:v>T0_TABLE_BLOCK</x:v>
      </x:c>
      <x:c r="B252" s="54" t="n">
        <x:v>246</x:v>
      </x:c>
      <x:c r="C252" s="54" t="str">
        <x:v>NYC-V2-R01</x:v>
      </x:c>
      <x:c r="D252" s="54" t="str">
        <x:v>V2</x:v>
      </x:c>
      <x:c r="E252" s="54" t="str">
        <x:v>ADMITTED</x:v>
      </x:c>
      <x:c r="F252" s="55" t="n">
        <x:v>31233</x:v>
      </x:c>
      <x:c r="G252" s="55" t="n">
        <x:v>6725</x:v>
      </x:c>
      <x:c r="H252" s="55" t="n">
        <x:v>3551</x:v>
      </x:c>
      <x:c r="I252" s="55" t="n">
        <x:v>982</x:v>
      </x:c>
      <x:c r="J252" s="55" t="n">
        <x:v>226</x:v>
      </x:c>
      <x:c r="K252" s="55" t="n">
        <x:v>31233</x:v>
      </x:c>
      <x:c r="L252" s="55" t="n">
        <x:v>5893</x:v>
      </x:c>
      <x:c r="M252" s="55" t="n">
        <x:v>1177</x:v>
      </x:c>
      <x:c r="N252" s="55" t="n">
        <x:v>3059</x:v>
      </x:c>
      <x:c r="O252" s="55" t="n">
        <x:v>1657</x:v>
      </x:c>
      <x:c r="P252" s="55" t="n">
        <x:v>763</x:v>
      </x:c>
      <x:c r="Q252" s="55" t="n">
        <x:v>1980</x:v>
      </x:c>
      <x:c r="R252" s="55" t="n">
        <x:v>1848</x:v>
      </x:c>
      <x:c r="S252" s="55" t="n">
        <x:v>2818</x:v>
      </x:c>
      <x:c r="T252" s="55" t="n">
        <x:v>1253</x:v>
      </x:c>
      <x:c r="U252" s="55" t="n">
        <x:v>2410</x:v>
      </x:c>
      <x:c r="V252" s="55" t="n">
        <x:v>9792</x:v>
      </x:c>
      <x:c r="W252" s="55" t="n">
        <x:v>7055</x:v>
      </x:c>
      <x:c r="X252" s="55" t="n">
        <x:v>2737</x:v>
      </x:c>
      <x:c r="Y252" s="55" t="n">
        <x:v>2345</x:v>
      </x:c>
      <x:c r="Z252" s="55" t="n">
        <x:v>3966</x:v>
      </x:c>
      <x:c r="AA252" s="55" t="n">
        <x:v>3551</x:v>
      </x:c>
      <x:c r="AB252" s="55" t="n">
        <x:v>1474</x:v>
      </x:c>
      <x:c r="AC252" s="55" t="n">
        <x:v>8169</x:v>
      </x:c>
      <x:c r="AD252" s="55" t="n">
        <x:v>2818</x:v>
      </x:c>
      <x:c r="AE252" s="55" t="n">
        <x:v>9890</x:v>
      </x:c>
      <x:c r="AF252" s="55" t="n">
        <x:v>9792</x:v>
      </x:c>
      <x:c r="AG252" s="55" t="n">
        <x:v>98</x:v>
      </x:c>
      <x:c r="AH252" s="55" t="n">
        <x:v>318</x:v>
      </x:c>
      <x:c r="AI252" s="55" t="n">
        <x:v>9474</x:v>
      </x:c>
      <x:c r="AJ252" s="55" t="n">
        <x:v>521</x:v>
      </x:c>
      <x:c r="AK252" s="55" t="n">
        <x:v>857</x:v>
      </x:c>
      <x:c r="AL252" s="55" t="n">
        <x:v>1350</x:v>
      </x:c>
      <x:c r="AM252" s="55" t="n">
        <x:v>4855</x:v>
      </x:c>
      <x:c r="AN252" s="55" t="n">
        <x:v>2209</x:v>
      </x:c>
      <x:c r="AO252" s="55" t="n">
        <x:v>0</x:v>
      </x:c>
      <x:c r="AP252" s="55" t="n">
        <x:v>2070</x:v>
      </x:c>
      <x:c r="AQ252" s="55" t="n">
        <x:v>940</x:v>
      </x:c>
    </x:row>
    <x:row r="253">
      <x:c r="A253" s="54" t="str">
        <x:v>T0_TABLE_BLOCK</x:v>
      </x:c>
      <x:c r="B253" s="54" t="n">
        <x:v>247</x:v>
      </x:c>
      <x:c r="C253" s="54" t="str">
        <x:v>NYC-V2-R01</x:v>
      </x:c>
      <x:c r="D253" s="54" t="str">
        <x:v>V2</x:v>
      </x:c>
      <x:c r="E253" s="54" t="str">
        <x:v>ADMITTED</x:v>
      </x:c>
      <x:c r="F253" s="55" t="n">
        <x:v>29077</x:v>
      </x:c>
      <x:c r="G253" s="55" t="n">
        <x:v>5911</x:v>
      </x:c>
      <x:c r="H253" s="55" t="n">
        <x:v>3291</x:v>
      </x:c>
      <x:c r="I253" s="55" t="n">
        <x:v>1435</x:v>
      </x:c>
      <x:c r="J253" s="55" t="n">
        <x:v>213</x:v>
      </x:c>
      <x:c r="K253" s="55" t="n">
        <x:v>28532</x:v>
      </x:c>
      <x:c r="L253" s="55" t="n">
        <x:v>4513</x:v>
      </x:c>
      <x:c r="M253" s="55" t="n">
        <x:v>647</x:v>
      </x:c>
      <x:c r="N253" s="55" t="n">
        <x:v>2628</x:v>
      </x:c>
      <x:c r="O253" s="55" t="n">
        <x:v>1238</x:v>
      </x:c>
      <x:c r="P253" s="55" t="n">
        <x:v>444</x:v>
      </x:c>
      <x:c r="Q253" s="55" t="n">
        <x:v>1747</x:v>
      </x:c>
      <x:c r="R253" s="55" t="n">
        <x:v>1457</x:v>
      </x:c>
      <x:c r="S253" s="55" t="n">
        <x:v>2160</x:v>
      </x:c>
      <x:c r="T253" s="55" t="n">
        <x:v>694</x:v>
      </x:c>
      <x:c r="U253" s="55" t="n">
        <x:v>1499</x:v>
      </x:c>
      <x:c r="V253" s="55" t="n">
        <x:v>10049</x:v>
      </x:c>
      <x:c r="W253" s="55" t="n">
        <x:v>7127</x:v>
      </x:c>
      <x:c r="X253" s="55" t="n">
        <x:v>2922</x:v>
      </x:c>
      <x:c r="Y253" s="55" t="n">
        <x:v>2489</x:v>
      </x:c>
      <x:c r="Z253" s="55" t="n">
        <x:v>3628</x:v>
      </x:c>
      <x:c r="AA253" s="55" t="n">
        <x:v>2303</x:v>
      </x:c>
      <x:c r="AB253" s="55" t="n">
        <x:v>572</x:v>
      </x:c>
      <x:c r="AC253" s="55" t="n">
        <x:v>8516</x:v>
      </x:c>
      <x:c r="AD253" s="55" t="n">
        <x:v>3146</x:v>
      </x:c>
      <x:c r="AE253" s="55" t="n">
        <x:v>10090</x:v>
      </x:c>
      <x:c r="AF253" s="55" t="n">
        <x:v>10049</x:v>
      </x:c>
      <x:c r="AG253" s="55" t="n">
        <x:v>41</x:v>
      </x:c>
      <x:c r="AH253" s="55" t="n">
        <x:v>357</x:v>
      </x:c>
      <x:c r="AI253" s="55" t="n">
        <x:v>9692</x:v>
      </x:c>
      <x:c r="AJ253" s="55" t="n">
        <x:v>322</x:v>
      </x:c>
      <x:c r="AK253" s="55" t="n">
        <x:v>1326</x:v>
      </x:c>
      <x:c r="AL253" s="55" t="n">
        <x:v>1351</x:v>
      </x:c>
      <x:c r="AM253" s="55" t="n">
        <x:v>4690</x:v>
      </x:c>
      <x:c r="AN253" s="55" t="n">
        <x:v>2351</x:v>
      </x:c>
      <x:c r="AO253" s="55" t="n">
        <x:v>9</x:v>
      </x:c>
      <x:c r="AP253" s="55" t="n">
        <x:v>2495</x:v>
      </x:c>
      <x:c r="AQ253" s="55" t="n">
        <x:v>919</x:v>
      </x:c>
    </x:row>
    <x:row r="254">
      <x:c r="A254" s="54" t="str">
        <x:v>T0_TABLE_BLOCK</x:v>
      </x:c>
      <x:c r="B254" s="54" t="n">
        <x:v>248</x:v>
      </x:c>
      <x:c r="C254" s="54" t="str">
        <x:v>NYC-V2-R01</x:v>
      </x:c>
      <x:c r="D254" s="54" t="str">
        <x:v>V2</x:v>
      </x:c>
      <x:c r="E254" s="54" t="str">
        <x:v>ADMITTED</x:v>
      </x:c>
      <x:c r="F254" s="55" t="n">
        <x:v>31915</x:v>
      </x:c>
      <x:c r="G254" s="55" t="n">
        <x:v>6056</x:v>
      </x:c>
      <x:c r="H254" s="55" t="n">
        <x:v>3605</x:v>
      </x:c>
      <x:c r="I254" s="55" t="n">
        <x:v>1193</x:v>
      </x:c>
      <x:c r="J254" s="55" t="n">
        <x:v>255</x:v>
      </x:c>
      <x:c r="K254" s="55" t="n">
        <x:v>31915</x:v>
      </x:c>
      <x:c r="L254" s="55" t="n">
        <x:v>6254</x:v>
      </x:c>
      <x:c r="M254" s="55" t="n">
        <x:v>2325</x:v>
      </x:c>
      <x:c r="N254" s="55" t="n">
        <x:v>2329</x:v>
      </x:c>
      <x:c r="O254" s="55" t="n">
        <x:v>1600</x:v>
      </x:c>
      <x:c r="P254" s="55" t="n">
        <x:v>461</x:v>
      </x:c>
      <x:c r="Q254" s="55" t="n">
        <x:v>2067</x:v>
      </x:c>
      <x:c r="R254" s="55" t="n">
        <x:v>1583</x:v>
      </x:c>
      <x:c r="S254" s="55" t="n">
        <x:v>2764</x:v>
      </x:c>
      <x:c r="T254" s="55" t="n">
        <x:v>1071</x:v>
      </x:c>
      <x:c r="U254" s="55" t="n">
        <x:v>1883</x:v>
      </x:c>
      <x:c r="V254" s="55" t="n">
        <x:v>10508</x:v>
      </x:c>
      <x:c r="W254" s="55" t="n">
        <x:v>7355</x:v>
      </x:c>
      <x:c r="X254" s="55" t="n">
        <x:v>3153</x:v>
      </x:c>
      <x:c r="Y254" s="55" t="n">
        <x:v>2710</x:v>
      </x:c>
      <x:c r="Z254" s="55" t="n">
        <x:v>3991</x:v>
      </x:c>
      <x:c r="AA254" s="55" t="n">
        <x:v>2517</x:v>
      </x:c>
      <x:c r="AB254" s="55" t="n">
        <x:v>1203</x:v>
      </x:c>
      <x:c r="AC254" s="55" t="n">
        <x:v>8536</x:v>
      </x:c>
      <x:c r="AD254" s="55" t="n">
        <x:v>2776</x:v>
      </x:c>
      <x:c r="AE254" s="55" t="n">
        <x:v>10508</x:v>
      </x:c>
      <x:c r="AF254" s="55" t="n">
        <x:v>10508</x:v>
      </x:c>
      <x:c r="AG254" s="55" t="n">
        <x:v>0</x:v>
      </x:c>
      <x:c r="AH254" s="55" t="n">
        <x:v>697</x:v>
      </x:c>
      <x:c r="AI254" s="55" t="n">
        <x:v>9811</x:v>
      </x:c>
      <x:c r="AJ254" s="55" t="n">
        <x:v>527</x:v>
      </x:c>
      <x:c r="AK254" s="55" t="n">
        <x:v>868</x:v>
      </x:c>
      <x:c r="AL254" s="55" t="n">
        <x:v>1671</x:v>
      </x:c>
      <x:c r="AM254" s="55" t="n">
        <x:v>4965</x:v>
      </x:c>
      <x:c r="AN254" s="55" t="n">
        <x:v>2400</x:v>
      </x:c>
      <x:c r="AO254" s="55" t="n">
        <x:v>77</x:v>
      </x:c>
      <x:c r="AP254" s="55" t="n">
        <x:v>2162</x:v>
      </x:c>
      <x:c r="AQ254" s="55" t="n">
        <x:v>1011</x:v>
      </x:c>
    </x:row>
    <x:row r="255">
      <x:c r="A255" s="54" t="str">
        <x:v>T0_TABLE_BLOCK</x:v>
      </x:c>
      <x:c r="B255" s="54" t="n">
        <x:v>249</x:v>
      </x:c>
      <x:c r="C255" s="54" t="str">
        <x:v>NYC-V2-R01</x:v>
      </x:c>
      <x:c r="D255" s="54" t="str">
        <x:v>V2</x:v>
      </x:c>
      <x:c r="E255" s="54" t="str">
        <x:v>ADMITTED</x:v>
      </x:c>
      <x:c r="F255" s="55" t="n">
        <x:v>31520</x:v>
      </x:c>
      <x:c r="G255" s="55" t="n">
        <x:v>7674</x:v>
      </x:c>
      <x:c r="H255" s="55" t="n">
        <x:v>3065</x:v>
      </x:c>
      <x:c r="I255" s="55" t="n">
        <x:v>718</x:v>
      </x:c>
      <x:c r="J255" s="55" t="n">
        <x:v>116</x:v>
      </x:c>
      <x:c r="K255" s="55" t="n">
        <x:v>31520</x:v>
      </x:c>
      <x:c r="L255" s="55" t="n">
        <x:v>4908</x:v>
      </x:c>
      <x:c r="M255" s="55" t="n">
        <x:v>955</x:v>
      </x:c>
      <x:c r="N255" s="55" t="n">
        <x:v>2345</x:v>
      </x:c>
      <x:c r="O255" s="55" t="n">
        <x:v>1608</x:v>
      </x:c>
      <x:c r="P255" s="55" t="n">
        <x:v>898</x:v>
      </x:c>
      <x:c r="Q255" s="55" t="n">
        <x:v>3793</x:v>
      </x:c>
      <x:c r="R255" s="55" t="n">
        <x:v>1601</x:v>
      </x:c>
      <x:c r="S255" s="55" t="n">
        <x:v>2646</x:v>
      </x:c>
      <x:c r="T255" s="55" t="n">
        <x:v>1013</x:v>
      </x:c>
      <x:c r="U255" s="55" t="n">
        <x:v>2801</x:v>
      </x:c>
      <x:c r="V255" s="55" t="n">
        <x:v>10459</x:v>
      </x:c>
      <x:c r="W255" s="55" t="n">
        <x:v>7434</x:v>
      </x:c>
      <x:c r="X255" s="55" t="n">
        <x:v>3025</x:v>
      </x:c>
      <x:c r="Y255" s="55" t="n">
        <x:v>2634</x:v>
      </x:c>
      <x:c r="Z255" s="55" t="n">
        <x:v>3287</x:v>
      </x:c>
      <x:c r="AA255" s="55" t="n">
        <x:v>3065</x:v>
      </x:c>
      <x:c r="AB255" s="55" t="n">
        <x:v>1071</x:v>
      </x:c>
      <x:c r="AC255" s="55" t="n">
        <x:v>7601</x:v>
      </x:c>
      <x:c r="AD255" s="55" t="n">
        <x:v>2302</x:v>
      </x:c>
      <x:c r="AE255" s="55" t="n">
        <x:v>10572</x:v>
      </x:c>
      <x:c r="AF255" s="55" t="n">
        <x:v>10459</x:v>
      </x:c>
      <x:c r="AG255" s="55" t="n">
        <x:v>113</x:v>
      </x:c>
      <x:c r="AH255" s="55" t="n">
        <x:v>324</x:v>
      </x:c>
      <x:c r="AI255" s="55" t="n">
        <x:v>10135</x:v>
      </x:c>
      <x:c r="AJ255" s="55" t="n">
        <x:v>362</x:v>
      </x:c>
      <x:c r="AK255" s="55" t="n">
        <x:v>1341</x:v>
      </x:c>
      <x:c r="AL255" s="55" t="n">
        <x:v>1188</x:v>
      </x:c>
      <x:c r="AM255" s="55" t="n">
        <x:v>4984</x:v>
      </x:c>
      <x:c r="AN255" s="55" t="n">
        <x:v>2584</x:v>
      </x:c>
      <x:c r="AO255" s="55" t="n">
        <x:v>0</x:v>
      </x:c>
      <x:c r="AP255" s="55" t="n">
        <x:v>2125</x:v>
      </x:c>
      <x:c r="AQ255" s="55" t="n">
        <x:v>978</x:v>
      </x:c>
    </x:row>
    <x:row r="256">
      <x:c r="A256" s="54" t="str">
        <x:v>T0_TABLE_BLOCK</x:v>
      </x:c>
      <x:c r="B256" s="54" t="n">
        <x:v>250</x:v>
      </x:c>
      <x:c r="C256" s="54" t="str">
        <x:v>NYC-V2-R01</x:v>
      </x:c>
      <x:c r="D256" s="54" t="str">
        <x:v>V2</x:v>
      </x:c>
      <x:c r="E256" s="54" t="str">
        <x:v>ADMITTED</x:v>
      </x:c>
      <x:c r="F256" s="55" t="n">
        <x:v>32302</x:v>
      </x:c>
      <x:c r="G256" s="55" t="n">
        <x:v>8287</x:v>
      </x:c>
      <x:c r="H256" s="55" t="n">
        <x:v>2724</x:v>
      </x:c>
      <x:c r="I256" s="55" t="n">
        <x:v>1249</x:v>
      </x:c>
      <x:c r="J256" s="55" t="n">
        <x:v>134</x:v>
      </x:c>
      <x:c r="K256" s="55" t="n">
        <x:v>32302</x:v>
      </x:c>
      <x:c r="L256" s="55" t="n">
        <x:v>5102</x:v>
      </x:c>
      <x:c r="M256" s="55" t="n">
        <x:v>0</x:v>
      </x:c>
      <x:c r="N256" s="55" t="n">
        <x:v>3019</x:v>
      </x:c>
      <x:c r="O256" s="55" t="n">
        <x:v>2083</x:v>
      </x:c>
      <x:c r="P256" s="55" t="n">
        <x:v>1352</x:v>
      </x:c>
      <x:c r="Q256" s="55" t="n">
        <x:v>2694</x:v>
      </x:c>
      <x:c r="R256" s="55" t="n">
        <x:v>1591</x:v>
      </x:c>
      <x:c r="S256" s="55" t="n">
        <x:v>2328</x:v>
      </x:c>
      <x:c r="T256" s="55" t="n">
        <x:v>780</x:v>
      </x:c>
      <x:c r="U256" s="55" t="n">
        <x:v>2090</x:v>
      </x:c>
      <x:c r="V256" s="55" t="n">
        <x:v>10672</x:v>
      </x:c>
      <x:c r="W256" s="55" t="n">
        <x:v>7589</x:v>
      </x:c>
      <x:c r="X256" s="55" t="n">
        <x:v>3083</x:v>
      </x:c>
      <x:c r="Y256" s="55" t="n">
        <x:v>2537</x:v>
      </x:c>
      <x:c r="Z256" s="55" t="n">
        <x:v>3472</x:v>
      </x:c>
      <x:c r="AA256" s="55" t="n">
        <x:v>2589</x:v>
      </x:c>
      <x:c r="AB256" s="55" t="n">
        <x:v>626</x:v>
      </x:c>
      <x:c r="AC256" s="55" t="n">
        <x:v>8216</x:v>
      </x:c>
      <x:c r="AD256" s="55" t="n">
        <x:v>3474</x:v>
      </x:c>
      <x:c r="AE256" s="55" t="n">
        <x:v>10734</x:v>
      </x:c>
      <x:c r="AF256" s="55" t="n">
        <x:v>10672</x:v>
      </x:c>
      <x:c r="AG256" s="55" t="n">
        <x:v>62</x:v>
      </x:c>
      <x:c r="AH256" s="55" t="n">
        <x:v>448</x:v>
      </x:c>
      <x:c r="AI256" s="55" t="n">
        <x:v>10224</x:v>
      </x:c>
      <x:c r="AJ256" s="55" t="n">
        <x:v>307</x:v>
      </x:c>
      <x:c r="AK256" s="55" t="n">
        <x:v>1450</x:v>
      </x:c>
      <x:c r="AL256" s="55" t="n">
        <x:v>1363</x:v>
      </x:c>
      <x:c r="AM256" s="55" t="n">
        <x:v>5086</x:v>
      </x:c>
      <x:c r="AN256" s="55" t="n">
        <x:v>2466</x:v>
      </x:c>
      <x:c r="AO256" s="55" t="n">
        <x:v>0</x:v>
      </x:c>
      <x:c r="AP256" s="55" t="n">
        <x:v>2329</x:v>
      </x:c>
      <x:c r="AQ256" s="55" t="n">
        <x:v>973</x:v>
      </x:c>
    </x:row>
    <x:row r="257">
      <x:c r="A257" s="54" t="str">
        <x:v>T0_TABLE_BLOCK</x:v>
      </x:c>
      <x:c r="B257" s="54" t="n">
        <x:v>251</x:v>
      </x:c>
      <x:c r="C257" s="54" t="str">
        <x:v>NYC-V2-R01</x:v>
      </x:c>
      <x:c r="D257" s="54" t="str">
        <x:v>V2</x:v>
      </x:c>
      <x:c r="E257" s="54" t="str">
        <x:v>ADMITTED</x:v>
      </x:c>
      <x:c r="F257" s="55" t="n">
        <x:v>30139</x:v>
      </x:c>
      <x:c r="G257" s="55" t="n">
        <x:v>7940</x:v>
      </x:c>
      <x:c r="H257" s="55" t="n">
        <x:v>3154</x:v>
      </x:c>
      <x:c r="I257" s="55" t="n">
        <x:v>777</x:v>
      </x:c>
      <x:c r="J257" s="55" t="n">
        <x:v>215</x:v>
      </x:c>
      <x:c r="K257" s="55" t="n">
        <x:v>30139</x:v>
      </x:c>
      <x:c r="L257" s="55" t="n">
        <x:v>5887</x:v>
      </x:c>
      <x:c r="M257" s="55" t="n">
        <x:v>1730</x:v>
      </x:c>
      <x:c r="N257" s="55" t="n">
        <x:v>2303</x:v>
      </x:c>
      <x:c r="O257" s="55" t="n">
        <x:v>1854</x:v>
      </x:c>
      <x:c r="P257" s="55" t="n">
        <x:v>1193</x:v>
      </x:c>
      <x:c r="Q257" s="55" t="n">
        <x:v>2591</x:v>
      </x:c>
      <x:c r="R257" s="55" t="n">
        <x:v>2337</x:v>
      </x:c>
      <x:c r="S257" s="55" t="n">
        <x:v>2524</x:v>
      </x:c>
      <x:c r="T257" s="55" t="n">
        <x:v>938</x:v>
      </x:c>
      <x:c r="U257" s="55" t="n">
        <x:v>2350</x:v>
      </x:c>
      <x:c r="V257" s="55" t="n">
        <x:v>10785</x:v>
      </x:c>
      <x:c r="W257" s="55" t="n">
        <x:v>7698</x:v>
      </x:c>
      <x:c r="X257" s="55" t="n">
        <x:v>3087</x:v>
      </x:c>
      <x:c r="Y257" s="55" t="n">
        <x:v>2790</x:v>
      </x:c>
      <x:c r="Z257" s="55" t="n">
        <x:v>3959</x:v>
      </x:c>
      <x:c r="AA257" s="55" t="n">
        <x:v>2673</x:v>
      </x:c>
      <x:c r="AB257" s="55" t="n">
        <x:v>839</x:v>
      </x:c>
      <x:c r="AC257" s="55" t="n">
        <x:v>8477</x:v>
      </x:c>
      <x:c r="AD257" s="55" t="n">
        <x:v>2199</x:v>
      </x:c>
      <x:c r="AE257" s="55" t="n">
        <x:v>10845</x:v>
      </x:c>
      <x:c r="AF257" s="55" t="n">
        <x:v>10785</x:v>
      </x:c>
      <x:c r="AG257" s="55" t="n">
        <x:v>60</x:v>
      </x:c>
      <x:c r="AH257" s="55" t="n">
        <x:v>363</x:v>
      </x:c>
      <x:c r="AI257" s="55" t="n">
        <x:v>10422</x:v>
      </x:c>
      <x:c r="AJ257" s="55" t="n">
        <x:v>489</x:v>
      </x:c>
      <x:c r="AK257" s="55" t="n">
        <x:v>1149</x:v>
      </x:c>
      <x:c r="AL257" s="55" t="n">
        <x:v>1671</x:v>
      </x:c>
      <x:c r="AM257" s="55" t="n">
        <x:v>5667</x:v>
      </x:c>
      <x:c r="AN257" s="55" t="n">
        <x:v>1801</x:v>
      </x:c>
      <x:c r="AO257" s="55" t="n">
        <x:v>8</x:v>
      </x:c>
      <x:c r="AP257" s="55" t="n">
        <x:v>1862</x:v>
      </x:c>
      <x:c r="AQ257" s="55" t="n">
        <x:v>935</x:v>
      </x:c>
    </x:row>
    <x:row r="258">
      <x:c r="A258" s="54" t="str">
        <x:v>T0_TABLE_BLOCK</x:v>
      </x:c>
      <x:c r="B258" s="54" t="n">
        <x:v>252</x:v>
      </x:c>
      <x:c r="C258" s="54" t="str">
        <x:v>NYC-V2-R01</x:v>
      </x:c>
      <x:c r="D258" s="54" t="str">
        <x:v>V2</x:v>
      </x:c>
      <x:c r="E258" s="54" t="str">
        <x:v>ADMITTED</x:v>
      </x:c>
      <x:c r="F258" s="55" t="n">
        <x:v>30242</x:v>
      </x:c>
      <x:c r="G258" s="55" t="n">
        <x:v>7198</x:v>
      </x:c>
      <x:c r="H258" s="55" t="n">
        <x:v>3227</x:v>
      </x:c>
      <x:c r="I258" s="55" t="n">
        <x:v>1174</x:v>
      </x:c>
      <x:c r="J258" s="55" t="n">
        <x:v>326</x:v>
      </x:c>
      <x:c r="K258" s="55" t="n">
        <x:v>30242</x:v>
      </x:c>
      <x:c r="L258" s="55" t="n">
        <x:v>5776</x:v>
      </x:c>
      <x:c r="M258" s="55" t="n">
        <x:v>1587</x:v>
      </x:c>
      <x:c r="N258" s="55" t="n">
        <x:v>2545</x:v>
      </x:c>
      <x:c r="O258" s="55" t="n">
        <x:v>1644</x:v>
      </x:c>
      <x:c r="P258" s="55" t="n">
        <x:v>941</x:v>
      </x:c>
      <x:c r="Q258" s="55" t="n">
        <x:v>2086</x:v>
      </x:c>
      <x:c r="R258" s="55" t="n">
        <x:v>1883</x:v>
      </x:c>
      <x:c r="S258" s="55" t="n">
        <x:v>2664</x:v>
      </x:c>
      <x:c r="T258" s="55" t="n">
        <x:v>1187</x:v>
      </x:c>
      <x:c r="U258" s="55" t="n">
        <x:v>1982</x:v>
      </x:c>
      <x:c r="V258" s="55" t="n">
        <x:v>11276</x:v>
      </x:c>
      <x:c r="W258" s="55" t="n">
        <x:v>8058</x:v>
      </x:c>
      <x:c r="X258" s="55" t="n">
        <x:v>3218</x:v>
      </x:c>
      <x:c r="Y258" s="55" t="n">
        <x:v>2755</x:v>
      </x:c>
      <x:c r="Z258" s="55" t="n">
        <x:v>2871</x:v>
      </x:c>
      <x:c r="AA258" s="55" t="n">
        <x:v>3227</x:v>
      </x:c>
      <x:c r="AB258" s="55" t="n">
        <x:v>936</x:v>
      </x:c>
      <x:c r="AC258" s="55" t="n">
        <x:v>8832</x:v>
      </x:c>
      <x:c r="AD258" s="55" t="n">
        <x:v>3440</x:v>
      </x:c>
      <x:c r="AE258" s="55" t="n">
        <x:v>11337</x:v>
      </x:c>
      <x:c r="AF258" s="55" t="n">
        <x:v>11276</x:v>
      </x:c>
      <x:c r="AG258" s="55" t="n">
        <x:v>61</x:v>
      </x:c>
      <x:c r="AH258" s="55" t="n">
        <x:v>629</x:v>
      </x:c>
      <x:c r="AI258" s="55" t="n">
        <x:v>10647</x:v>
      </x:c>
      <x:c r="AJ258" s="55" t="n">
        <x:v>488</x:v>
      </x:c>
      <x:c r="AK258" s="55" t="n">
        <x:v>1535</x:v>
      </x:c>
      <x:c r="AL258" s="55" t="n">
        <x:v>1517</x:v>
      </x:c>
      <x:c r="AM258" s="55" t="n">
        <x:v>4589</x:v>
      </x:c>
      <x:c r="AN258" s="55" t="n">
        <x:v>3079</x:v>
      </x:c>
      <x:c r="AO258" s="55" t="n">
        <x:v>68</x:v>
      </x:c>
      <x:c r="AP258" s="55" t="n">
        <x:v>2568</x:v>
      </x:c>
      <x:c r="AQ258" s="55" t="n">
        <x:v>990</x:v>
      </x:c>
    </x:row>
    <x:row r="259">
      <x:c r="A259" s="54" t="str">
        <x:v>T0_TABLE_BLOCK</x:v>
      </x:c>
      <x:c r="B259" s="54" t="n">
        <x:v>253</x:v>
      </x:c>
      <x:c r="C259" s="54" t="str">
        <x:v>NYC-V2-R01</x:v>
      </x:c>
      <x:c r="D259" s="54" t="str">
        <x:v>V2</x:v>
      </x:c>
      <x:c r="E259" s="54" t="str">
        <x:v>ADMITTED</x:v>
      </x:c>
      <x:c r="F259" s="55" t="n">
        <x:v>31194</x:v>
      </x:c>
      <x:c r="G259" s="55" t="n">
        <x:v>8870</x:v>
      </x:c>
      <x:c r="H259" s="55" t="n">
        <x:v>3058</x:v>
      </x:c>
      <x:c r="I259" s="55" t="n">
        <x:v>879</x:v>
      </x:c>
      <x:c r="J259" s="55" t="n">
        <x:v>0</x:v>
      </x:c>
      <x:c r="K259" s="55" t="n">
        <x:v>29524</x:v>
      </x:c>
      <x:c r="L259" s="55" t="n">
        <x:v>6319</x:v>
      </x:c>
      <x:c r="M259" s="55" t="n">
        <x:v>1109</x:v>
      </x:c>
      <x:c r="N259" s="55" t="n">
        <x:v>3386</x:v>
      </x:c>
      <x:c r="O259" s="55" t="n">
        <x:v>1824</x:v>
      </x:c>
      <x:c r="P259" s="55" t="n">
        <x:v>975</x:v>
      </x:c>
      <x:c r="Q259" s="55" t="n">
        <x:v>3262</x:v>
      </x:c>
      <x:c r="R259" s="55" t="n">
        <x:v>1875</x:v>
      </x:c>
      <x:c r="S259" s="55" t="n">
        <x:v>2830</x:v>
      </x:c>
      <x:c r="T259" s="55" t="n">
        <x:v>1466</x:v>
      </x:c>
      <x:c r="U259" s="55" t="n">
        <x:v>2462</x:v>
      </x:c>
      <x:c r="V259" s="55" t="n">
        <x:v>10856</x:v>
      </x:c>
      <x:c r="W259" s="55" t="n">
        <x:v>8141</x:v>
      </x:c>
      <x:c r="X259" s="55" t="n">
        <x:v>2715</x:v>
      </x:c>
      <x:c r="Y259" s="55" t="n">
        <x:v>2449</x:v>
      </x:c>
      <x:c r="Z259" s="55" t="n">
        <x:v>3654</x:v>
      </x:c>
      <x:c r="AA259" s="55" t="n">
        <x:v>3058</x:v>
      </x:c>
      <x:c r="AB259" s="55" t="n">
        <x:v>1033</x:v>
      </x:c>
      <x:c r="AC259" s="55" t="n">
        <x:v>7903</x:v>
      </x:c>
      <x:c r="AD259" s="55" t="n">
        <x:v>3646</x:v>
      </x:c>
      <x:c r="AE259" s="55" t="n">
        <x:v>10856</x:v>
      </x:c>
      <x:c r="AF259" s="55" t="n">
        <x:v>10856</x:v>
      </x:c>
      <x:c r="AG259" s="55" t="n">
        <x:v>0</x:v>
      </x:c>
      <x:c r="AH259" s="55" t="n">
        <x:v>391</x:v>
      </x:c>
      <x:c r="AI259" s="55" t="n">
        <x:v>10465</x:v>
      </x:c>
      <x:c r="AJ259" s="55" t="n">
        <x:v>405</x:v>
      </x:c>
      <x:c r="AK259" s="55" t="n">
        <x:v>901</x:v>
      </x:c>
      <x:c r="AL259" s="55" t="n">
        <x:v>1470</x:v>
      </x:c>
      <x:c r="AM259" s="55" t="n">
        <x:v>5213</x:v>
      </x:c>
      <x:c r="AN259" s="55" t="n">
        <x:v>2794</x:v>
      </x:c>
      <x:c r="AO259" s="55" t="n">
        <x:v>73</x:v>
      </x:c>
      <x:c r="AP259" s="55" t="n">
        <x:v>2506</x:v>
      </x:c>
      <x:c r="AQ259" s="55" t="n">
        <x:v>946</x:v>
      </x:c>
    </x:row>
    <x:row r="260">
      <x:c r="A260" s="54" t="str">
        <x:v>T0_TABLE_BLOCK</x:v>
      </x:c>
      <x:c r="B260" s="54" t="n">
        <x:v>254</x:v>
      </x:c>
      <x:c r="C260" s="54" t="str">
        <x:v>NYC-V2-R01</x:v>
      </x:c>
      <x:c r="D260" s="54" t="str">
        <x:v>V2</x:v>
      </x:c>
      <x:c r="E260" s="54" t="str">
        <x:v>ADMITTED</x:v>
      </x:c>
      <x:c r="F260" s="55" t="n">
        <x:v>31227</x:v>
      </x:c>
      <x:c r="G260" s="55" t="n">
        <x:v>8337</x:v>
      </x:c>
      <x:c r="H260" s="55" t="n">
        <x:v>3107</x:v>
      </x:c>
      <x:c r="I260" s="55" t="n">
        <x:v>1095</x:v>
      </x:c>
      <x:c r="J260" s="55" t="n">
        <x:v>185</x:v>
      </x:c>
      <x:c r="K260" s="55" t="n">
        <x:v>31227</x:v>
      </x:c>
      <x:c r="L260" s="55" t="n">
        <x:v>4550</x:v>
      </x:c>
      <x:c r="M260" s="55" t="n">
        <x:v>630</x:v>
      </x:c>
      <x:c r="N260" s="55" t="n">
        <x:v>2462</x:v>
      </x:c>
      <x:c r="O260" s="55" t="n">
        <x:v>1458</x:v>
      </x:c>
      <x:c r="P260" s="55" t="n">
        <x:v>728</x:v>
      </x:c>
      <x:c r="Q260" s="55" t="n">
        <x:v>3326</x:v>
      </x:c>
      <x:c r="R260" s="55" t="n">
        <x:v>1768</x:v>
      </x:c>
      <x:c r="S260" s="55" t="n">
        <x:v>2189</x:v>
      </x:c>
      <x:c r="T260" s="55" t="n">
        <x:v>1235</x:v>
      </x:c>
      <x:c r="U260" s="55" t="n">
        <x:v>2034</x:v>
      </x:c>
      <x:c r="V260" s="55" t="n">
        <x:v>10788</x:v>
      </x:c>
      <x:c r="W260" s="55" t="n">
        <x:v>7938</x:v>
      </x:c>
      <x:c r="X260" s="55" t="n">
        <x:v>2850</x:v>
      </x:c>
      <x:c r="Y260" s="55" t="n">
        <x:v>2397</x:v>
      </x:c>
      <x:c r="Z260" s="55" t="n">
        <x:v>4180</x:v>
      </x:c>
      <x:c r="AA260" s="55" t="n">
        <x:v>3017</x:v>
      </x:c>
      <x:c r="AB260" s="55" t="n">
        <x:v>980</x:v>
      </x:c>
      <x:c r="AC260" s="55" t="n">
        <x:v>8899</x:v>
      </x:c>
      <x:c r="AD260" s="55" t="n">
        <x:v>2891</x:v>
      </x:c>
      <x:c r="AE260" s="55" t="n">
        <x:v>10913</x:v>
      </x:c>
      <x:c r="AF260" s="55" t="n">
        <x:v>10788</x:v>
      </x:c>
      <x:c r="AG260" s="55" t="n">
        <x:v>125</x:v>
      </x:c>
      <x:c r="AH260" s="55" t="n">
        <x:v>538</x:v>
      </x:c>
      <x:c r="AI260" s="55" t="n">
        <x:v>10250</x:v>
      </x:c>
      <x:c r="AJ260" s="55" t="n">
        <x:v>314</x:v>
      </x:c>
      <x:c r="AK260" s="55" t="n">
        <x:v>809</x:v>
      </x:c>
      <x:c r="AL260" s="55" t="n">
        <x:v>1559</x:v>
      </x:c>
      <x:c r="AM260" s="55" t="n">
        <x:v>5563</x:v>
      </x:c>
      <x:c r="AN260" s="55" t="n">
        <x:v>2526</x:v>
      </x:c>
      <x:c r="AO260" s="55" t="n">
        <x:v>17</x:v>
      </x:c>
      <x:c r="AP260" s="55" t="n">
        <x:v>2223</x:v>
      </x:c>
      <x:c r="AQ260" s="55" t="n">
        <x:v>1041</x:v>
      </x:c>
    </x:row>
    <x:row r="261">
      <x:c r="A261" s="54" t="str">
        <x:v>T0_TABLE_BLOCK</x:v>
      </x:c>
      <x:c r="B261" s="54" t="n">
        <x:v>255</x:v>
      </x:c>
      <x:c r="C261" s="54" t="str">
        <x:v>NYC-V2-R01</x:v>
      </x:c>
      <x:c r="D261" s="54" t="str">
        <x:v>V2</x:v>
      </x:c>
      <x:c r="E261" s="54" t="str">
        <x:v>ADMITTED</x:v>
      </x:c>
      <x:c r="F261" s="55" t="n">
        <x:v>30109</x:v>
      </x:c>
      <x:c r="G261" s="55" t="n">
        <x:v>7299</x:v>
      </x:c>
      <x:c r="H261" s="55" t="n">
        <x:v>3362</x:v>
      </x:c>
      <x:c r="I261" s="55" t="n">
        <x:v>1668</x:v>
      </x:c>
      <x:c r="J261" s="55" t="n">
        <x:v>201</x:v>
      </x:c>
      <x:c r="K261" s="55" t="n">
        <x:v>28665</x:v>
      </x:c>
      <x:c r="L261" s="55" t="n">
        <x:v>5165</x:v>
      </x:c>
      <x:c r="M261" s="55" t="n">
        <x:v>893</x:v>
      </x:c>
      <x:c r="N261" s="55" t="n">
        <x:v>2547</x:v>
      </x:c>
      <x:c r="O261" s="55" t="n">
        <x:v>1725</x:v>
      </x:c>
      <x:c r="P261" s="55" t="n">
        <x:v>486</x:v>
      </x:c>
      <x:c r="Q261" s="55" t="n">
        <x:v>2883</x:v>
      </x:c>
      <x:c r="R261" s="55" t="n">
        <x:v>1726</x:v>
      </x:c>
      <x:c r="S261" s="55" t="n">
        <x:v>3009</x:v>
      </x:c>
      <x:c r="T261" s="55" t="n">
        <x:v>1048</x:v>
      </x:c>
      <x:c r="U261" s="55" t="n">
        <x:v>1973</x:v>
      </x:c>
      <x:c r="V261" s="55" t="n">
        <x:v>9937</x:v>
      </x:c>
      <x:c r="W261" s="55" t="n">
        <x:v>6429</x:v>
      </x:c>
      <x:c r="X261" s="55" t="n">
        <x:v>3508</x:v>
      </x:c>
      <x:c r="Y261" s="55" t="n">
        <x:v>3148</x:v>
      </x:c>
      <x:c r="Z261" s="55" t="n">
        <x:v>3561</x:v>
      </x:c>
      <x:c r="AA261" s="55" t="n">
        <x:v>2942</x:v>
      </x:c>
      <x:c r="AB261" s="55" t="n">
        <x:v>640</x:v>
      </x:c>
      <x:c r="AC261" s="55" t="n">
        <x:v>7693</x:v>
      </x:c>
      <x:c r="AD261" s="55" t="n">
        <x:v>2257</x:v>
      </x:c>
      <x:c r="AE261" s="55" t="n">
        <x:v>10098</x:v>
      </x:c>
      <x:c r="AF261" s="55" t="n">
        <x:v>9937</x:v>
      </x:c>
      <x:c r="AG261" s="55" t="n">
        <x:v>161</x:v>
      </x:c>
      <x:c r="AH261" s="55" t="n">
        <x:v>316</x:v>
      </x:c>
      <x:c r="AI261" s="55" t="n">
        <x:v>9621</x:v>
      </x:c>
      <x:c r="AJ261" s="55" t="n">
        <x:v>327</x:v>
      </x:c>
      <x:c r="AK261" s="55" t="n">
        <x:v>824</x:v>
      </x:c>
      <x:c r="AL261" s="55" t="n">
        <x:v>1994</x:v>
      </x:c>
      <x:c r="AM261" s="55" t="n">
        <x:v>4934</x:v>
      </x:c>
      <x:c r="AN261" s="55" t="n">
        <x:v>1845</x:v>
      </x:c>
      <x:c r="AO261" s="55" t="n">
        <x:v>13</x:v>
      </x:c>
      <x:c r="AP261" s="55" t="n">
        <x:v>2649</x:v>
      </x:c>
      <x:c r="AQ261" s="55" t="n">
        <x:v>975</x:v>
      </x:c>
    </x:row>
    <x:row r="262">
      <x:c r="A262" s="54" t="str">
        <x:v>T0_TABLE_BLOCK</x:v>
      </x:c>
      <x:c r="B262" s="54" t="n">
        <x:v>256</x:v>
      </x:c>
      <x:c r="C262" s="54" t="str">
        <x:v>NYC-V2-R01</x:v>
      </x:c>
      <x:c r="D262" s="54" t="str">
        <x:v>V2</x:v>
      </x:c>
      <x:c r="E262" s="54" t="str">
        <x:v>ADMITTED</x:v>
      </x:c>
      <x:c r="F262" s="55" t="n">
        <x:v>30768</x:v>
      </x:c>
      <x:c r="G262" s="55" t="n">
        <x:v>8508</x:v>
      </x:c>
      <x:c r="H262" s="55" t="n">
        <x:v>3435</x:v>
      </x:c>
      <x:c r="I262" s="55" t="n">
        <x:v>1345</x:v>
      </x:c>
      <x:c r="J262" s="55" t="n">
        <x:v>226</x:v>
      </x:c>
      <x:c r="K262" s="55" t="n">
        <x:v>30768</x:v>
      </x:c>
      <x:c r="L262" s="55" t="n">
        <x:v>5572</x:v>
      </x:c>
      <x:c r="M262" s="55" t="n">
        <x:v>1326</x:v>
      </x:c>
      <x:c r="N262" s="55" t="n">
        <x:v>2539</x:v>
      </x:c>
      <x:c r="O262" s="55" t="n">
        <x:v>1707</x:v>
      </x:c>
      <x:c r="P262" s="55" t="n">
        <x:v>431</x:v>
      </x:c>
      <x:c r="Q262" s="55" t="n">
        <x:v>2686</x:v>
      </x:c>
      <x:c r="R262" s="55" t="n">
        <x:v>1743</x:v>
      </x:c>
      <x:c r="S262" s="55" t="n">
        <x:v>2542</x:v>
      </x:c>
      <x:c r="T262" s="55" t="n">
        <x:v>1089</x:v>
      </x:c>
      <x:c r="U262" s="55" t="n">
        <x:v>2451</x:v>
      </x:c>
      <x:c r="V262" s="55" t="n">
        <x:v>10566</x:v>
      </x:c>
      <x:c r="W262" s="55" t="n">
        <x:v>7253</x:v>
      </x:c>
      <x:c r="X262" s="55" t="n">
        <x:v>3313</x:v>
      </x:c>
      <x:c r="Y262" s="55" t="n">
        <x:v>2674</x:v>
      </x:c>
      <x:c r="Z262" s="55" t="n">
        <x:v>3877</x:v>
      </x:c>
      <x:c r="AA262" s="55" t="n">
        <x:v>3435</x:v>
      </x:c>
      <x:c r="AB262" s="55" t="n">
        <x:v>1396</x:v>
      </x:c>
      <x:c r="AC262" s="55" t="n">
        <x:v>8030</x:v>
      </x:c>
      <x:c r="AD262" s="55" t="n">
        <x:v>2853</x:v>
      </x:c>
      <x:c r="AE262" s="55" t="n">
        <x:v>10640</x:v>
      </x:c>
      <x:c r="AF262" s="55" t="n">
        <x:v>10566</x:v>
      </x:c>
      <x:c r="AG262" s="55" t="n">
        <x:v>74</x:v>
      </x:c>
      <x:c r="AH262" s="55" t="n">
        <x:v>769</x:v>
      </x:c>
      <x:c r="AI262" s="55" t="n">
        <x:v>9797</x:v>
      </x:c>
      <x:c r="AJ262" s="55" t="n">
        <x:v>314</x:v>
      </x:c>
      <x:c r="AK262" s="55" t="n">
        <x:v>1020</x:v>
      </x:c>
      <x:c r="AL262" s="55" t="n">
        <x:v>1564</x:v>
      </x:c>
      <x:c r="AM262" s="55" t="n">
        <x:v>4935</x:v>
      </x:c>
      <x:c r="AN262" s="55" t="n">
        <x:v>2685</x:v>
      </x:c>
      <x:c r="AO262" s="55" t="n">
        <x:v>48</x:v>
      </x:c>
      <x:c r="AP262" s="55" t="n">
        <x:v>2430</x:v>
      </x:c>
      <x:c r="AQ262" s="55" t="n">
        <x:v>912</x:v>
      </x:c>
    </x:row>
    <x:row r="263">
      <x:c r="A263" s="54" t="str">
        <x:v>T0_TABLE_BLOCK</x:v>
      </x:c>
      <x:c r="B263" s="54" t="n">
        <x:v>257</x:v>
      </x:c>
      <x:c r="C263" s="54" t="str">
        <x:v>NYC-V2-R01</x:v>
      </x:c>
      <x:c r="D263" s="54" t="str">
        <x:v>V2</x:v>
      </x:c>
      <x:c r="E263" s="54" t="str">
        <x:v>ADMITTED</x:v>
      </x:c>
      <x:c r="F263" s="55" t="n">
        <x:v>32506</x:v>
      </x:c>
      <x:c r="G263" s="55" t="n">
        <x:v>7855</x:v>
      </x:c>
      <x:c r="H263" s="55" t="n">
        <x:v>3579</x:v>
      </x:c>
      <x:c r="I263" s="55" t="n">
        <x:v>1675</x:v>
      </x:c>
      <x:c r="J263" s="55" t="n">
        <x:v>190</x:v>
      </x:c>
      <x:c r="K263" s="55" t="n">
        <x:v>32506</x:v>
      </x:c>
      <x:c r="L263" s="55" t="n">
        <x:v>6014</x:v>
      </x:c>
      <x:c r="M263" s="55" t="n">
        <x:v>1740</x:v>
      </x:c>
      <x:c r="N263" s="55" t="n">
        <x:v>2748</x:v>
      </x:c>
      <x:c r="O263" s="55" t="n">
        <x:v>1526</x:v>
      </x:c>
      <x:c r="P263" s="55" t="n">
        <x:v>1081</x:v>
      </x:c>
      <x:c r="Q263" s="55" t="n">
        <x:v>2022</x:v>
      </x:c>
      <x:c r="R263" s="55" t="n">
        <x:v>1856</x:v>
      </x:c>
      <x:c r="S263" s="55" t="n">
        <x:v>2694</x:v>
      </x:c>
      <x:c r="T263" s="55" t="n">
        <x:v>793</x:v>
      </x:c>
      <x:c r="U263" s="55" t="n">
        <x:v>2041</x:v>
      </x:c>
      <x:c r="V263" s="55" t="n">
        <x:v>9477</x:v>
      </x:c>
      <x:c r="W263" s="55" t="n">
        <x:v>5914</x:v>
      </x:c>
      <x:c r="X263" s="55" t="n">
        <x:v>3563</x:v>
      </x:c>
      <x:c r="Y263" s="55" t="n">
        <x:v>3181</x:v>
      </x:c>
      <x:c r="Z263" s="55" t="n">
        <x:v>4047</x:v>
      </x:c>
      <x:c r="AA263" s="55" t="n">
        <x:v>3579</x:v>
      </x:c>
      <x:c r="AB263" s="55" t="n">
        <x:v>1415</x:v>
      </x:c>
      <x:c r="AC263" s="55" t="n">
        <x:v>8148</x:v>
      </x:c>
      <x:c r="AD263" s="55" t="n">
        <x:v>2622</x:v>
      </x:c>
      <x:c r="AE263" s="55" t="n">
        <x:v>9553</x:v>
      </x:c>
      <x:c r="AF263" s="55" t="n">
        <x:v>9477</x:v>
      </x:c>
      <x:c r="AG263" s="55" t="n">
        <x:v>76</x:v>
      </x:c>
      <x:c r="AH263" s="55" t="n">
        <x:v>21</x:v>
      </x:c>
      <x:c r="AI263" s="55" t="n">
        <x:v>9456</x:v>
      </x:c>
      <x:c r="AJ263" s="55" t="n">
        <x:v>344</x:v>
      </x:c>
      <x:c r="AK263" s="55" t="n">
        <x:v>617</x:v>
      </x:c>
      <x:c r="AL263" s="55" t="n">
        <x:v>1025</x:v>
      </x:c>
      <x:c r="AM263" s="55" t="n">
        <x:v>4887</x:v>
      </x:c>
      <x:c r="AN263" s="55" t="n">
        <x:v>2598</x:v>
      </x:c>
      <x:c r="AO263" s="55" t="n">
        <x:v>6</x:v>
      </x:c>
      <x:c r="AP263" s="55" t="n">
        <x:v>2008</x:v>
      </x:c>
      <x:c r="AQ263" s="55" t="n">
        <x:v>966</x:v>
      </x:c>
    </x:row>
    <x:row r="264">
      <x:c r="A264" s="54" t="str">
        <x:v>T0_TABLE_BLOCK</x:v>
      </x:c>
      <x:c r="B264" s="54" t="n">
        <x:v>258</x:v>
      </x:c>
      <x:c r="C264" s="54" t="str">
        <x:v>NYC-V2-R01</x:v>
      </x:c>
      <x:c r="D264" s="54" t="str">
        <x:v>V2</x:v>
      </x:c>
      <x:c r="E264" s="54" t="str">
        <x:v>ADMITTED</x:v>
      </x:c>
      <x:c r="F264" s="55" t="n">
        <x:v>32736</x:v>
      </x:c>
      <x:c r="G264" s="55" t="n">
        <x:v>8383</x:v>
      </x:c>
      <x:c r="H264" s="55" t="n">
        <x:v>3205</x:v>
      </x:c>
      <x:c r="I264" s="55" t="n">
        <x:v>999</x:v>
      </x:c>
      <x:c r="J264" s="55" t="n">
        <x:v>296</x:v>
      </x:c>
      <x:c r="K264" s="55" t="n">
        <x:v>32736</x:v>
      </x:c>
      <x:c r="L264" s="55" t="n">
        <x:v>6494</x:v>
      </x:c>
      <x:c r="M264" s="55" t="n">
        <x:v>1993</x:v>
      </x:c>
      <x:c r="N264" s="55" t="n">
        <x:v>2858</x:v>
      </x:c>
      <x:c r="O264" s="55" t="n">
        <x:v>1643</x:v>
      </x:c>
      <x:c r="P264" s="55" t="n">
        <x:v>467</x:v>
      </x:c>
      <x:c r="Q264" s="55" t="n">
        <x:v>2914</x:v>
      </x:c>
      <x:c r="R264" s="55" t="n">
        <x:v>1683</x:v>
      </x:c>
      <x:c r="S264" s="55" t="n">
        <x:v>2733</x:v>
      </x:c>
      <x:c r="T264" s="55" t="n">
        <x:v>1113</x:v>
      </x:c>
      <x:c r="U264" s="55" t="n">
        <x:v>1902</x:v>
      </x:c>
      <x:c r="V264" s="55" t="n">
        <x:v>10626</x:v>
      </x:c>
      <x:c r="W264" s="55" t="n">
        <x:v>7232</x:v>
      </x:c>
      <x:c r="X264" s="55" t="n">
        <x:v>3394</x:v>
      </x:c>
      <x:c r="Y264" s="55" t="n">
        <x:v>2853</x:v>
      </x:c>
      <x:c r="Z264" s="55" t="n">
        <x:v>3604</x:v>
      </x:c>
      <x:c r="AA264" s="55" t="n">
        <x:v>2628</x:v>
      </x:c>
      <x:c r="AB264" s="55" t="n">
        <x:v>967</x:v>
      </x:c>
      <x:c r="AC264" s="55" t="n">
        <x:v>7610</x:v>
      </x:c>
      <x:c r="AD264" s="55" t="n">
        <x:v>3393</x:v>
      </x:c>
      <x:c r="AE264" s="55" t="n">
        <x:v>10760</x:v>
      </x:c>
      <x:c r="AF264" s="55" t="n">
        <x:v>10626</x:v>
      </x:c>
      <x:c r="AG264" s="55" t="n">
        <x:v>134</x:v>
      </x:c>
      <x:c r="AH264" s="55" t="n">
        <x:v>438</x:v>
      </x:c>
      <x:c r="AI264" s="55" t="n">
        <x:v>10188</x:v>
      </x:c>
      <x:c r="AJ264" s="55" t="n">
        <x:v>184</x:v>
      </x:c>
      <x:c r="AK264" s="55" t="n">
        <x:v>714</x:v>
      </x:c>
      <x:c r="AL264" s="55" t="n">
        <x:v>1639</x:v>
      </x:c>
      <x:c r="AM264" s="55" t="n">
        <x:v>5118</x:v>
      </x:c>
      <x:c r="AN264" s="55" t="n">
        <x:v>2971</x:v>
      </x:c>
      <x:c r="AO264" s="55" t="n">
        <x:v>0</x:v>
      </x:c>
      <x:c r="AP264" s="55" t="n">
        <x:v>2416</x:v>
      </x:c>
      <x:c r="AQ264" s="55" t="n">
        <x:v>899</x:v>
      </x:c>
    </x:row>
    <x:row r="265">
      <x:c r="A265" s="54" t="str">
        <x:v>T0_TABLE_BLOCK</x:v>
      </x:c>
      <x:c r="B265" s="54" t="n">
        <x:v>259</x:v>
      </x:c>
      <x:c r="C265" s="54" t="str">
        <x:v>NYC-V2-R01</x:v>
      </x:c>
      <x:c r="D265" s="54" t="str">
        <x:v>V2</x:v>
      </x:c>
      <x:c r="E265" s="54" t="str">
        <x:v>ADMITTED</x:v>
      </x:c>
      <x:c r="F265" s="55" t="n">
        <x:v>31246</x:v>
      </x:c>
      <x:c r="G265" s="55" t="n">
        <x:v>6697</x:v>
      </x:c>
      <x:c r="H265" s="55" t="n">
        <x:v>3578</x:v>
      </x:c>
      <x:c r="I265" s="55" t="n">
        <x:v>1980</x:v>
      </x:c>
      <x:c r="J265" s="55" t="n">
        <x:v>284</x:v>
      </x:c>
      <x:c r="K265" s="55" t="n">
        <x:v>31246</x:v>
      </x:c>
      <x:c r="L265" s="55" t="n">
        <x:v>5596</x:v>
      </x:c>
      <x:c r="M265" s="55" t="n">
        <x:v>847</x:v>
      </x:c>
      <x:c r="N265" s="55" t="n">
        <x:v>3027</x:v>
      </x:c>
      <x:c r="O265" s="55" t="n">
        <x:v>1722</x:v>
      </x:c>
      <x:c r="P265" s="55" t="n">
        <x:v>548</x:v>
      </x:c>
      <x:c r="Q265" s="55" t="n">
        <x:v>2727</x:v>
      </x:c>
      <x:c r="R265" s="55" t="n">
        <x:v>2193</x:v>
      </x:c>
      <x:c r="S265" s="55" t="n">
        <x:v>2760</x:v>
      </x:c>
      <x:c r="T265" s="55" t="n">
        <x:v>1495</x:v>
      </x:c>
      <x:c r="U265" s="55" t="n">
        <x:v>2102</x:v>
      </x:c>
      <x:c r="V265" s="55" t="n">
        <x:v>10721</x:v>
      </x:c>
      <x:c r="W265" s="55" t="n">
        <x:v>7574</x:v>
      </x:c>
      <x:c r="X265" s="55" t="n">
        <x:v>3147</x:v>
      </x:c>
      <x:c r="Y265" s="55" t="n">
        <x:v>2644</x:v>
      </x:c>
      <x:c r="Z265" s="55" t="n">
        <x:v>3785</x:v>
      </x:c>
      <x:c r="AA265" s="55" t="n">
        <x:v>3282</x:v>
      </x:c>
      <x:c r="AB265" s="55" t="n">
        <x:v>1313</x:v>
      </x:c>
      <x:c r="AC265" s="55" t="n">
        <x:v>7844</x:v>
      </x:c>
      <x:c r="AD265" s="55" t="n">
        <x:v>2780</x:v>
      </x:c>
      <x:c r="AE265" s="55" t="n">
        <x:v>10845</x:v>
      </x:c>
      <x:c r="AF265" s="55" t="n">
        <x:v>10721</x:v>
      </x:c>
      <x:c r="AG265" s="55" t="n">
        <x:v>124</x:v>
      </x:c>
      <x:c r="AH265" s="55" t="n">
        <x:v>591</x:v>
      </x:c>
      <x:c r="AI265" s="55" t="n">
        <x:v>10130</x:v>
      </x:c>
      <x:c r="AJ265" s="55" t="n">
        <x:v>266</x:v>
      </x:c>
      <x:c r="AK265" s="55" t="n">
        <x:v>1025</x:v>
      </x:c>
      <x:c r="AL265" s="55" t="n">
        <x:v>1636</x:v>
      </x:c>
      <x:c r="AM265" s="55" t="n">
        <x:v>5037</x:v>
      </x:c>
      <x:c r="AN265" s="55" t="n">
        <x:v>2637</x:v>
      </x:c>
      <x:c r="AO265" s="55" t="n">
        <x:v>120</x:v>
      </x:c>
      <x:c r="AP265" s="55" t="n">
        <x:v>2331</x:v>
      </x:c>
      <x:c r="AQ265" s="55" t="n">
        <x:v>1007</x:v>
      </x:c>
    </x:row>
    <x:row r="266">
      <x:c r="A266" s="54" t="str">
        <x:v>T0_TABLE_BLOCK</x:v>
      </x:c>
      <x:c r="B266" s="54" t="n">
        <x:v>260</x:v>
      </x:c>
      <x:c r="C266" s="54" t="str">
        <x:v>NYC-V2-R01</x:v>
      </x:c>
      <x:c r="D266" s="54" t="str">
        <x:v>V2</x:v>
      </x:c>
      <x:c r="E266" s="54" t="str">
        <x:v>ADMITTED</x:v>
      </x:c>
      <x:c r="F266" s="55" t="n">
        <x:v>31095</x:v>
      </x:c>
      <x:c r="G266" s="55" t="n">
        <x:v>5857</x:v>
      </x:c>
      <x:c r="H266" s="55" t="n">
        <x:v>3707</x:v>
      </x:c>
      <x:c r="I266" s="55" t="n">
        <x:v>1556</x:v>
      </x:c>
      <x:c r="J266" s="55" t="n">
        <x:v>236</x:v>
      </x:c>
      <x:c r="K266" s="55" t="n">
        <x:v>31095</x:v>
      </x:c>
      <x:c r="L266" s="55" t="n">
        <x:v>5507</x:v>
      </x:c>
      <x:c r="M266" s="55" t="n">
        <x:v>1109</x:v>
      </x:c>
      <x:c r="N266" s="55" t="n">
        <x:v>2281</x:v>
      </x:c>
      <x:c r="O266" s="55" t="n">
        <x:v>2117</x:v>
      </x:c>
      <x:c r="P266" s="55" t="n">
        <x:v>1125</x:v>
      </x:c>
      <x:c r="Q266" s="55" t="n">
        <x:v>2243</x:v>
      </x:c>
      <x:c r="R266" s="55" t="n">
        <x:v>2094</x:v>
      </x:c>
      <x:c r="S266" s="55" t="n">
        <x:v>3586</x:v>
      </x:c>
      <x:c r="T266" s="55" t="n">
        <x:v>1937</x:v>
      </x:c>
      <x:c r="U266" s="55" t="n">
        <x:v>1733</x:v>
      </x:c>
      <x:c r="V266" s="55" t="n">
        <x:v>10557</x:v>
      </x:c>
      <x:c r="W266" s="55" t="n">
        <x:v>7855</x:v>
      </x:c>
      <x:c r="X266" s="55" t="n">
        <x:v>2702</x:v>
      </x:c>
      <x:c r="Y266" s="55" t="n">
        <x:v>2343</x:v>
      </x:c>
      <x:c r="Z266" s="55" t="n">
        <x:v>3418</x:v>
      </x:c>
      <x:c r="AA266" s="55" t="n">
        <x:v>3707</x:v>
      </x:c>
      <x:c r="AB266" s="55" t="n">
        <x:v>1306</x:v>
      </x:c>
      <x:c r="AC266" s="55" t="n">
        <x:v>8109</x:v>
      </x:c>
      <x:c r="AD266" s="55" t="n">
        <x:v>2869</x:v>
      </x:c>
      <x:c r="AE266" s="55" t="n">
        <x:v>10723</x:v>
      </x:c>
      <x:c r="AF266" s="55" t="n">
        <x:v>10557</x:v>
      </x:c>
      <x:c r="AG266" s="55" t="n">
        <x:v>166</x:v>
      </x:c>
      <x:c r="AH266" s="55" t="n">
        <x:v>260</x:v>
      </x:c>
      <x:c r="AI266" s="55" t="n">
        <x:v>10297</x:v>
      </x:c>
      <x:c r="AJ266" s="55" t="n">
        <x:v>248</x:v>
      </x:c>
      <x:c r="AK266" s="55" t="n">
        <x:v>1236</x:v>
      </x:c>
      <x:c r="AL266" s="55" t="n">
        <x:v>1382</x:v>
      </x:c>
      <x:c r="AM266" s="55" t="n">
        <x:v>5103</x:v>
      </x:c>
      <x:c r="AN266" s="55" t="n">
        <x:v>2482</x:v>
      </x:c>
      <x:c r="AO266" s="55" t="n">
        <x:v>106</x:v>
      </x:c>
      <x:c r="AP266" s="55" t="n">
        <x:v>1888</x:v>
      </x:c>
      <x:c r="AQ266" s="55" t="n">
        <x:v>924</x:v>
      </x:c>
    </x:row>
    <x:row r="267">
      <x:c r="A267" s="54" t="str">
        <x:v>T0_TABLE_BLOCK</x:v>
      </x:c>
      <x:c r="B267" s="54" t="n">
        <x:v>261</x:v>
      </x:c>
      <x:c r="C267" s="54" t="str">
        <x:v>NYC-V2-R01</x:v>
      </x:c>
      <x:c r="D267" s="54" t="str">
        <x:v>V2</x:v>
      </x:c>
      <x:c r="E267" s="54" t="str">
        <x:v>ADMITTED</x:v>
      </x:c>
      <x:c r="F267" s="55" t="n">
        <x:v>31380</x:v>
      </x:c>
      <x:c r="G267" s="55" t="n">
        <x:v>7781</x:v>
      </x:c>
      <x:c r="H267" s="55" t="n">
        <x:v>3112</x:v>
      </x:c>
      <x:c r="I267" s="55" t="n">
        <x:v>1233</x:v>
      </x:c>
      <x:c r="J267" s="55" t="n">
        <x:v>189</x:v>
      </x:c>
      <x:c r="K267" s="55" t="n">
        <x:v>30546</x:v>
      </x:c>
      <x:c r="L267" s="55" t="n">
        <x:v>6821</x:v>
      </x:c>
      <x:c r="M267" s="55" t="n">
        <x:v>2229</x:v>
      </x:c>
      <x:c r="N267" s="55" t="n">
        <x:v>2959</x:v>
      </x:c>
      <x:c r="O267" s="55" t="n">
        <x:v>1633</x:v>
      </x:c>
      <x:c r="P267" s="55" t="n">
        <x:v>924</x:v>
      </x:c>
      <x:c r="Q267" s="55" t="n">
        <x:v>3087</x:v>
      </x:c>
      <x:c r="R267" s="55" t="n">
        <x:v>2293</x:v>
      </x:c>
      <x:c r="S267" s="55" t="n">
        <x:v>2658</x:v>
      </x:c>
      <x:c r="T267" s="55" t="n">
        <x:v>1087</x:v>
      </x:c>
      <x:c r="U267" s="55" t="n">
        <x:v>1214</x:v>
      </x:c>
      <x:c r="V267" s="55" t="n">
        <x:v>9747</x:v>
      </x:c>
      <x:c r="W267" s="55" t="n">
        <x:v>6698</x:v>
      </x:c>
      <x:c r="X267" s="55" t="n">
        <x:v>3049</x:v>
      </x:c>
      <x:c r="Y267" s="55" t="n">
        <x:v>2474</x:v>
      </x:c>
      <x:c r="Z267" s="55" t="n">
        <x:v>3994</x:v>
      </x:c>
      <x:c r="AA267" s="55" t="n">
        <x:v>3112</x:v>
      </x:c>
      <x:c r="AB267" s="55" t="n">
        <x:v>1155</x:v>
      </x:c>
      <x:c r="AC267" s="55" t="n">
        <x:v>8710</x:v>
      </x:c>
      <x:c r="AD267" s="55" t="n">
        <x:v>2575</x:v>
      </x:c>
      <x:c r="AE267" s="55" t="n">
        <x:v>9785</x:v>
      </x:c>
      <x:c r="AF267" s="55" t="n">
        <x:v>9747</x:v>
      </x:c>
      <x:c r="AG267" s="55" t="n">
        <x:v>38</x:v>
      </x:c>
      <x:c r="AH267" s="55" t="n">
        <x:v>330</x:v>
      </x:c>
      <x:c r="AI267" s="55" t="n">
        <x:v>9417</x:v>
      </x:c>
      <x:c r="AJ267" s="55" t="n">
        <x:v>127</x:v>
      </x:c>
      <x:c r="AK267" s="55" t="n">
        <x:v>1064</x:v>
      </x:c>
      <x:c r="AL267" s="55" t="n">
        <x:v>1193</x:v>
      </x:c>
      <x:c r="AM267" s="55" t="n">
        <x:v>5104</x:v>
      </x:c>
      <x:c r="AN267" s="55" t="n">
        <x:v>2216</x:v>
      </x:c>
      <x:c r="AO267" s="55" t="n">
        <x:v>43</x:v>
      </x:c>
      <x:c r="AP267" s="55" t="n">
        <x:v>2306</x:v>
      </x:c>
      <x:c r="AQ267" s="55" t="n">
        <x:v>954</x:v>
      </x:c>
    </x:row>
    <x:row r="268">
      <x:c r="A268" s="54" t="str">
        <x:v>T0_TABLE_BLOCK</x:v>
      </x:c>
      <x:c r="B268" s="54" t="n">
        <x:v>262</x:v>
      </x:c>
      <x:c r="C268" s="54" t="str">
        <x:v>NYC-V2-R01</x:v>
      </x:c>
      <x:c r="D268" s="54" t="str">
        <x:v>V2</x:v>
      </x:c>
      <x:c r="E268" s="54" t="str">
        <x:v>ADMITTED</x:v>
      </x:c>
      <x:c r="F268" s="55" t="n">
        <x:v>31490</x:v>
      </x:c>
      <x:c r="G268" s="55" t="n">
        <x:v>6500</x:v>
      </x:c>
      <x:c r="H268" s="55" t="n">
        <x:v>3509</x:v>
      </x:c>
      <x:c r="I268" s="55" t="n">
        <x:v>1668</x:v>
      </x:c>
      <x:c r="J268" s="55" t="n">
        <x:v>263</x:v>
      </x:c>
      <x:c r="K268" s="55" t="n">
        <x:v>31490</x:v>
      </x:c>
      <x:c r="L268" s="55" t="n">
        <x:v>5540</x:v>
      </x:c>
      <x:c r="M268" s="55" t="n">
        <x:v>742</x:v>
      </x:c>
      <x:c r="N268" s="55" t="n">
        <x:v>2738</x:v>
      </x:c>
      <x:c r="O268" s="55" t="n">
        <x:v>2060</x:v>
      </x:c>
      <x:c r="P268" s="55" t="n">
        <x:v>714</x:v>
      </x:c>
      <x:c r="Q268" s="55" t="n">
        <x:v>1713</x:v>
      </x:c>
      <x:c r="R268" s="55" t="n">
        <x:v>2314</x:v>
      </x:c>
      <x:c r="S268" s="55" t="n">
        <x:v>3481</x:v>
      </x:c>
      <x:c r="T268" s="55" t="n">
        <x:v>1134</x:v>
      </x:c>
      <x:c r="U268" s="55" t="n">
        <x:v>1496</x:v>
      </x:c>
      <x:c r="V268" s="55" t="n">
        <x:v>10303</x:v>
      </x:c>
      <x:c r="W268" s="55" t="n">
        <x:v>6984</x:v>
      </x:c>
      <x:c r="X268" s="55" t="n">
        <x:v>3319</x:v>
      </x:c>
      <x:c r="Y268" s="55" t="n">
        <x:v>2747</x:v>
      </x:c>
      <x:c r="Z268" s="55" t="n">
        <x:v>3719</x:v>
      </x:c>
      <x:c r="AA268" s="55" t="n">
        <x:v>3094</x:v>
      </x:c>
      <x:c r="AB268" s="55" t="n">
        <x:v>1328</x:v>
      </x:c>
      <x:c r="AC268" s="55" t="n">
        <x:v>8140</x:v>
      </x:c>
      <x:c r="AD268" s="55" t="n">
        <x:v>2676</x:v>
      </x:c>
      <x:c r="AE268" s="55" t="n">
        <x:v>10357</x:v>
      </x:c>
      <x:c r="AF268" s="55" t="n">
        <x:v>10303</x:v>
      </x:c>
      <x:c r="AG268" s="55" t="n">
        <x:v>54</x:v>
      </x:c>
      <x:c r="AH268" s="55" t="n">
        <x:v>371</x:v>
      </x:c>
      <x:c r="AI268" s="55" t="n">
        <x:v>9932</x:v>
      </x:c>
      <x:c r="AJ268" s="55" t="n">
        <x:v>325</x:v>
      </x:c>
      <x:c r="AK268" s="55" t="n">
        <x:v>1084</x:v>
      </x:c>
      <x:c r="AL268" s="55" t="n">
        <x:v>1177</x:v>
      </x:c>
      <x:c r="AM268" s="55" t="n">
        <x:v>5060</x:v>
      </x:c>
      <x:c r="AN268" s="55" t="n">
        <x:v>2657</x:v>
      </x:c>
      <x:c r="AO268" s="55" t="n">
        <x:v>0</x:v>
      </x:c>
      <x:c r="AP268" s="55" t="n">
        <x:v>2293</x:v>
      </x:c>
      <x:c r="AQ268" s="55" t="n">
        <x:v>938</x:v>
      </x:c>
    </x:row>
    <x:row r="269">
      <x:c r="A269" s="54" t="str">
        <x:v>T0_TABLE_BLOCK</x:v>
      </x:c>
      <x:c r="B269" s="54" t="n">
        <x:v>263</x:v>
      </x:c>
      <x:c r="C269" s="54" t="str">
        <x:v>NYC-V2-R01</x:v>
      </x:c>
      <x:c r="D269" s="54" t="str">
        <x:v>V2</x:v>
      </x:c>
      <x:c r="E269" s="54" t="str">
        <x:v>ADMITTED</x:v>
      </x:c>
      <x:c r="F269" s="55" t="n">
        <x:v>32252</x:v>
      </x:c>
      <x:c r="G269" s="55" t="n">
        <x:v>8813</x:v>
      </x:c>
      <x:c r="H269" s="55" t="n">
        <x:v>3218</x:v>
      </x:c>
      <x:c r="I269" s="55" t="n">
        <x:v>1589</x:v>
      </x:c>
      <x:c r="J269" s="55" t="n">
        <x:v>350</x:v>
      </x:c>
      <x:c r="K269" s="55" t="n">
        <x:v>28005</x:v>
      </x:c>
      <x:c r="L269" s="55" t="n">
        <x:v>4258</x:v>
      </x:c>
      <x:c r="M269" s="55" t="n">
        <x:v>916</x:v>
      </x:c>
      <x:c r="N269" s="55" t="n">
        <x:v>2242</x:v>
      </x:c>
      <x:c r="O269" s="55" t="n">
        <x:v>1100</x:v>
      </x:c>
      <x:c r="P269" s="55" t="n">
        <x:v>755</x:v>
      </x:c>
      <x:c r="Q269" s="55" t="n">
        <x:v>2876</x:v>
      </x:c>
      <x:c r="R269" s="55" t="n">
        <x:v>1771</x:v>
      </x:c>
      <x:c r="S269" s="55" t="n">
        <x:v>2864</x:v>
      </x:c>
      <x:c r="T269" s="55" t="n">
        <x:v>1298</x:v>
      </x:c>
      <x:c r="U269" s="55" t="n">
        <x:v>1664</x:v>
      </x:c>
      <x:c r="V269" s="55" t="n">
        <x:v>10689</x:v>
      </x:c>
      <x:c r="W269" s="55" t="n">
        <x:v>7443</x:v>
      </x:c>
      <x:c r="X269" s="55" t="n">
        <x:v>3246</x:v>
      </x:c>
      <x:c r="Y269" s="55" t="n">
        <x:v>2776</x:v>
      </x:c>
      <x:c r="Z269" s="55" t="n">
        <x:v>3933</x:v>
      </x:c>
      <x:c r="AA269" s="55" t="n">
        <x:v>2950</x:v>
      </x:c>
      <x:c r="AB269" s="55" t="n">
        <x:v>1149</x:v>
      </x:c>
      <x:c r="AC269" s="55" t="n">
        <x:v>8225</x:v>
      </x:c>
      <x:c r="AD269" s="55" t="n">
        <x:v>3362</x:v>
      </x:c>
      <x:c r="AE269" s="55" t="n">
        <x:v>10708</x:v>
      </x:c>
      <x:c r="AF269" s="55" t="n">
        <x:v>10689</x:v>
      </x:c>
      <x:c r="AG269" s="55" t="n">
        <x:v>19</x:v>
      </x:c>
      <x:c r="AH269" s="55" t="n">
        <x:v>464</x:v>
      </x:c>
      <x:c r="AI269" s="55" t="n">
        <x:v>10225</x:v>
      </x:c>
      <x:c r="AJ269" s="55" t="n">
        <x:v>374</x:v>
      </x:c>
      <x:c r="AK269" s="55" t="n">
        <x:v>1289</x:v>
      </x:c>
      <x:c r="AL269" s="55" t="n">
        <x:v>1842</x:v>
      </x:c>
      <x:c r="AM269" s="55" t="n">
        <x:v>4787</x:v>
      </x:c>
      <x:c r="AN269" s="55" t="n">
        <x:v>2394</x:v>
      </x:c>
      <x:c r="AO269" s="55" t="n">
        <x:v>3</x:v>
      </x:c>
      <x:c r="AP269" s="55" t="n">
        <x:v>2326</x:v>
      </x:c>
      <x:c r="AQ269" s="55" t="n">
        <x:v>1011</x:v>
      </x:c>
    </x:row>
    <x:row r="270">
      <x:c r="A270" s="54" t="str">
        <x:v>T0_TABLE_BLOCK</x:v>
      </x:c>
      <x:c r="B270" s="54" t="n">
        <x:v>264</x:v>
      </x:c>
      <x:c r="C270" s="54" t="str">
        <x:v>NYC-V2-R01</x:v>
      </x:c>
      <x:c r="D270" s="54" t="str">
        <x:v>V2</x:v>
      </x:c>
      <x:c r="E270" s="54" t="str">
        <x:v>ADMITTED</x:v>
      </x:c>
      <x:c r="F270" s="55" t="n">
        <x:v>31438</x:v>
      </x:c>
      <x:c r="G270" s="55" t="n">
        <x:v>8285</x:v>
      </x:c>
      <x:c r="H270" s="55" t="n">
        <x:v>2928</x:v>
      </x:c>
      <x:c r="I270" s="55" t="n">
        <x:v>1190</x:v>
      </x:c>
      <x:c r="J270" s="55" t="n">
        <x:v>156</x:v>
      </x:c>
      <x:c r="K270" s="55" t="n">
        <x:v>31438</x:v>
      </x:c>
      <x:c r="L270" s="55" t="n">
        <x:v>5607</x:v>
      </x:c>
      <x:c r="M270" s="55" t="n">
        <x:v>1229</x:v>
      </x:c>
      <x:c r="N270" s="55" t="n">
        <x:v>2658</x:v>
      </x:c>
      <x:c r="O270" s="55" t="n">
        <x:v>1720</x:v>
      </x:c>
      <x:c r="P270" s="55" t="n">
        <x:v>1169</x:v>
      </x:c>
      <x:c r="Q270" s="55" t="n">
        <x:v>3123</x:v>
      </x:c>
      <x:c r="R270" s="55" t="n">
        <x:v>2121</x:v>
      </x:c>
      <x:c r="S270" s="55" t="n">
        <x:v>2963</x:v>
      </x:c>
      <x:c r="T270" s="55" t="n">
        <x:v>1068</x:v>
      </x:c>
      <x:c r="U270" s="55" t="n">
        <x:v>1867</x:v>
      </x:c>
      <x:c r="V270" s="55" t="n">
        <x:v>11133</x:v>
      </x:c>
      <x:c r="W270" s="55" t="n">
        <x:v>8274</x:v>
      </x:c>
      <x:c r="X270" s="55" t="n">
        <x:v>2859</x:v>
      </x:c>
      <x:c r="Y270" s="55" t="n">
        <x:v>2529</x:v>
      </x:c>
      <x:c r="Z270" s="55" t="n">
        <x:v>3284</x:v>
      </x:c>
      <x:c r="AA270" s="55" t="n">
        <x:v>2928</x:v>
      </x:c>
      <x:c r="AB270" s="55" t="n">
        <x:v>1087</x:v>
      </x:c>
      <x:c r="AC270" s="55" t="n">
        <x:v>7971</x:v>
      </x:c>
      <x:c r="AD270" s="55" t="n">
        <x:v>2630</x:v>
      </x:c>
      <x:c r="AE270" s="55" t="n">
        <x:v>11195</x:v>
      </x:c>
      <x:c r="AF270" s="55" t="n">
        <x:v>11133</x:v>
      </x:c>
      <x:c r="AG270" s="55" t="n">
        <x:v>62</x:v>
      </x:c>
      <x:c r="AH270" s="55" t="n">
        <x:v>664</x:v>
      </x:c>
      <x:c r="AI270" s="55" t="n">
        <x:v>10469</x:v>
      </x:c>
      <x:c r="AJ270" s="55" t="n">
        <x:v>390</x:v>
      </x:c>
      <x:c r="AK270" s="55" t="n">
        <x:v>1298</x:v>
      </x:c>
      <x:c r="AL270" s="55" t="n">
        <x:v>1581</x:v>
      </x:c>
      <x:c r="AM270" s="55" t="n">
        <x:v>4817</x:v>
      </x:c>
      <x:c r="AN270" s="55" t="n">
        <x:v>3007</x:v>
      </x:c>
      <x:c r="AO270" s="55" t="n">
        <x:v>40</x:v>
      </x:c>
      <x:c r="AP270" s="55" t="n">
        <x:v>2287</x:v>
      </x:c>
      <x:c r="AQ270" s="55" t="n">
        <x:v>949</x:v>
      </x:c>
    </x:row>
    <x:row r="271">
      <x:c r="A271" s="54" t="str">
        <x:v>T0_TABLE_BLOCK</x:v>
      </x:c>
      <x:c r="B271" s="54" t="n">
        <x:v>265</x:v>
      </x:c>
      <x:c r="C271" s="54" t="str">
        <x:v>NYC-V2-R01</x:v>
      </x:c>
      <x:c r="D271" s="54" t="str">
        <x:v>V2</x:v>
      </x:c>
      <x:c r="E271" s="54" t="str">
        <x:v>ADMITTED</x:v>
      </x:c>
      <x:c r="F271" s="55" t="n">
        <x:v>30524</x:v>
      </x:c>
      <x:c r="G271" s="55" t="n">
        <x:v>7132</x:v>
      </x:c>
      <x:c r="H271" s="55" t="n">
        <x:v>2907</x:v>
      </x:c>
      <x:c r="I271" s="55" t="n">
        <x:v>964</x:v>
      </x:c>
      <x:c r="J271" s="55" t="n">
        <x:v>202</x:v>
      </x:c>
      <x:c r="K271" s="55" t="n">
        <x:v>28322</x:v>
      </x:c>
      <x:c r="L271" s="55" t="n">
        <x:v>5027</x:v>
      </x:c>
      <x:c r="M271" s="55" t="n">
        <x:v>958</x:v>
      </x:c>
      <x:c r="N271" s="55" t="n">
        <x:v>2390</x:v>
      </x:c>
      <x:c r="O271" s="55" t="n">
        <x:v>1679</x:v>
      </x:c>
      <x:c r="P271" s="55" t="n">
        <x:v>597</x:v>
      </x:c>
      <x:c r="Q271" s="55" t="n">
        <x:v>2554</x:v>
      </x:c>
      <x:c r="R271" s="55" t="n">
        <x:v>1984</x:v>
      </x:c>
      <x:c r="S271" s="55" t="n">
        <x:v>2626</x:v>
      </x:c>
      <x:c r="T271" s="55" t="n">
        <x:v>865</x:v>
      </x:c>
      <x:c r="U271" s="55" t="n">
        <x:v>1947</x:v>
      </x:c>
      <x:c r="V271" s="55" t="n">
        <x:v>10465</x:v>
      </x:c>
      <x:c r="W271" s="55" t="n">
        <x:v>7492</x:v>
      </x:c>
      <x:c r="X271" s="55" t="n">
        <x:v>2973</x:v>
      </x:c>
      <x:c r="Y271" s="55" t="n">
        <x:v>2426</x:v>
      </x:c>
      <x:c r="Z271" s="55" t="n">
        <x:v>3736</x:v>
      </x:c>
      <x:c r="AA271" s="55" t="n">
        <x:v>2710</x:v>
      </x:c>
      <x:c r="AB271" s="55" t="n">
        <x:v>892</x:v>
      </x:c>
      <x:c r="AC271" s="55" t="n">
        <x:v>7915</x:v>
      </x:c>
      <x:c r="AD271" s="55" t="n">
        <x:v>1683</x:v>
      </x:c>
      <x:c r="AE271" s="55" t="n">
        <x:v>10536</x:v>
      </x:c>
      <x:c r="AF271" s="55" t="n">
        <x:v>10465</x:v>
      </x:c>
      <x:c r="AG271" s="55" t="n">
        <x:v>71</x:v>
      </x:c>
      <x:c r="AH271" s="55" t="n">
        <x:v>623</x:v>
      </x:c>
      <x:c r="AI271" s="55" t="n">
        <x:v>9842</x:v>
      </x:c>
      <x:c r="AJ271" s="55" t="n">
        <x:v>199</x:v>
      </x:c>
      <x:c r="AK271" s="55" t="n">
        <x:v>753</x:v>
      </x:c>
      <x:c r="AL271" s="55" t="n">
        <x:v>1535</x:v>
      </x:c>
      <x:c r="AM271" s="55" t="n">
        <x:v>4748</x:v>
      </x:c>
      <x:c r="AN271" s="55" t="n">
        <x:v>3230</x:v>
      </x:c>
      <x:c r="AO271" s="55" t="n">
        <x:v>0</x:v>
      </x:c>
      <x:c r="AP271" s="55" t="n">
        <x:v>2478</x:v>
      </x:c>
      <x:c r="AQ271" s="55" t="n">
        <x:v>983</x:v>
      </x:c>
    </x:row>
    <x:row r="272">
      <x:c r="A272" s="54" t="str">
        <x:v>T0_TABLE_BLOCK</x:v>
      </x:c>
      <x:c r="B272" s="54" t="n">
        <x:v>266</x:v>
      </x:c>
      <x:c r="C272" s="54" t="str">
        <x:v>NYC-V2-R01</x:v>
      </x:c>
      <x:c r="D272" s="54" t="str">
        <x:v>V2</x:v>
      </x:c>
      <x:c r="E272" s="54" t="str">
        <x:v>ADMITTED</x:v>
      </x:c>
      <x:c r="F272" s="55" t="n">
        <x:v>33027</x:v>
      </x:c>
      <x:c r="G272" s="55" t="n">
        <x:v>7758</x:v>
      </x:c>
      <x:c r="H272" s="55" t="n">
        <x:v>3022</x:v>
      </x:c>
      <x:c r="I272" s="55" t="n">
        <x:v>1594</x:v>
      </x:c>
      <x:c r="J272" s="55" t="n">
        <x:v>149</x:v>
      </x:c>
      <x:c r="K272" s="55" t="n">
        <x:v>33027</x:v>
      </x:c>
      <x:c r="L272" s="55" t="n">
        <x:v>5721</x:v>
      </x:c>
      <x:c r="M272" s="55" t="n">
        <x:v>874</x:v>
      </x:c>
      <x:c r="N272" s="55" t="n">
        <x:v>2660</x:v>
      </x:c>
      <x:c r="O272" s="55" t="n">
        <x:v>2187</x:v>
      </x:c>
      <x:c r="P272" s="55" t="n">
        <x:v>567</x:v>
      </x:c>
      <x:c r="Q272" s="55" t="n">
        <x:v>1832</x:v>
      </x:c>
      <x:c r="R272" s="55" t="n">
        <x:v>2372</x:v>
      </x:c>
      <x:c r="S272" s="55" t="n">
        <x:v>2142</x:v>
      </x:c>
      <x:c r="T272" s="55" t="n">
        <x:v>1202</x:v>
      </x:c>
      <x:c r="U272" s="55" t="n">
        <x:v>2292</x:v>
      </x:c>
      <x:c r="V272" s="55" t="n">
        <x:v>10009</x:v>
      </x:c>
      <x:c r="W272" s="55" t="n">
        <x:v>7397</x:v>
      </x:c>
      <x:c r="X272" s="55" t="n">
        <x:v>2612</x:v>
      </x:c>
      <x:c r="Y272" s="55" t="n">
        <x:v>2255</x:v>
      </x:c>
      <x:c r="Z272" s="55" t="n">
        <x:v>3838</x:v>
      </x:c>
      <x:c r="AA272" s="55" t="n">
        <x:v>3022</x:v>
      </x:c>
      <x:c r="AB272" s="55" t="n">
        <x:v>1122</x:v>
      </x:c>
      <x:c r="AC272" s="55" t="n">
        <x:v>8204</x:v>
      </x:c>
      <x:c r="AD272" s="55" t="n">
        <x:v>3217</x:v>
      </x:c>
      <x:c r="AE272" s="55" t="n">
        <x:v>10076</x:v>
      </x:c>
      <x:c r="AF272" s="55" t="n">
        <x:v>10009</x:v>
      </x:c>
      <x:c r="AG272" s="55" t="n">
        <x:v>67</x:v>
      </x:c>
      <x:c r="AH272" s="55" t="n">
        <x:v>280</x:v>
      </x:c>
      <x:c r="AI272" s="55" t="n">
        <x:v>9729</x:v>
      </x:c>
      <x:c r="AJ272" s="55" t="n">
        <x:v>172</x:v>
      </x:c>
      <x:c r="AK272" s="55" t="n">
        <x:v>1297</x:v>
      </x:c>
      <x:c r="AL272" s="55" t="n">
        <x:v>1697</x:v>
      </x:c>
      <x:c r="AM272" s="55" t="n">
        <x:v>4481</x:v>
      </x:c>
      <x:c r="AN272" s="55" t="n">
        <x:v>2362</x:v>
      </x:c>
      <x:c r="AO272" s="55" t="n">
        <x:v>0</x:v>
      </x:c>
      <x:c r="AP272" s="55" t="n">
        <x:v>2675</x:v>
      </x:c>
      <x:c r="AQ272" s="55" t="n">
        <x:v>973</x:v>
      </x:c>
    </x:row>
    <x:row r="273">
      <x:c r="A273" s="54" t="str">
        <x:v>T0_TABLE_BLOCK</x:v>
      </x:c>
      <x:c r="B273" s="54" t="n">
        <x:v>267</x:v>
      </x:c>
      <x:c r="C273" s="54" t="str">
        <x:v>NYC-V2-R01</x:v>
      </x:c>
      <x:c r="D273" s="54" t="str">
        <x:v>V2</x:v>
      </x:c>
      <x:c r="E273" s="54" t="str">
        <x:v>ADMITTED</x:v>
      </x:c>
      <x:c r="F273" s="55" t="n">
        <x:v>29666</x:v>
      </x:c>
      <x:c r="G273" s="55" t="n">
        <x:v>6538</x:v>
      </x:c>
      <x:c r="H273" s="55" t="n">
        <x:v>3618</x:v>
      </x:c>
      <x:c r="I273" s="55" t="n">
        <x:v>1080</x:v>
      </x:c>
      <x:c r="J273" s="55" t="n">
        <x:v>140</x:v>
      </x:c>
      <x:c r="K273" s="55" t="n">
        <x:v>29666</x:v>
      </x:c>
      <x:c r="L273" s="55" t="n">
        <x:v>5683</x:v>
      </x:c>
      <x:c r="M273" s="55" t="n">
        <x:v>1531</x:v>
      </x:c>
      <x:c r="N273" s="55" t="n">
        <x:v>2659</x:v>
      </x:c>
      <x:c r="O273" s="55" t="n">
        <x:v>1493</x:v>
      </x:c>
      <x:c r="P273" s="55" t="n">
        <x:v>657</x:v>
      </x:c>
      <x:c r="Q273" s="55" t="n">
        <x:v>2917</x:v>
      </x:c>
      <x:c r="R273" s="55" t="n">
        <x:v>1604</x:v>
      </x:c>
      <x:c r="S273" s="55" t="n">
        <x:v>2345</x:v>
      </x:c>
      <x:c r="T273" s="55" t="n">
        <x:v>729</x:v>
      </x:c>
      <x:c r="U273" s="55" t="n">
        <x:v>2275</x:v>
      </x:c>
      <x:c r="V273" s="55" t="n">
        <x:v>10703</x:v>
      </x:c>
      <x:c r="W273" s="55" t="n">
        <x:v>7445</x:v>
      </x:c>
      <x:c r="X273" s="55" t="n">
        <x:v>3258</x:v>
      </x:c>
      <x:c r="Y273" s="55" t="n">
        <x:v>2800</x:v>
      </x:c>
      <x:c r="Z273" s="55" t="n">
        <x:v>3597</x:v>
      </x:c>
      <x:c r="AA273" s="55" t="n">
        <x:v>3618</x:v>
      </x:c>
      <x:c r="AB273" s="55" t="n">
        <x:v>1156</x:v>
      </x:c>
      <x:c r="AC273" s="55" t="n">
        <x:v>8846</x:v>
      </x:c>
      <x:c r="AD273" s="55" t="n">
        <x:v>2937</x:v>
      </x:c>
      <x:c r="AE273" s="55" t="n">
        <x:v>10717</x:v>
      </x:c>
      <x:c r="AF273" s="55" t="n">
        <x:v>10703</x:v>
      </x:c>
      <x:c r="AG273" s="55" t="n">
        <x:v>14</x:v>
      </x:c>
      <x:c r="AH273" s="55" t="n">
        <x:v>449</x:v>
      </x:c>
      <x:c r="AI273" s="55" t="n">
        <x:v>10254</x:v>
      </x:c>
      <x:c r="AJ273" s="55" t="n">
        <x:v>535</x:v>
      </x:c>
      <x:c r="AK273" s="55" t="n">
        <x:v>1189</x:v>
      </x:c>
      <x:c r="AL273" s="55" t="n">
        <x:v>1381</x:v>
      </x:c>
      <x:c r="AM273" s="55" t="n">
        <x:v>5098</x:v>
      </x:c>
      <x:c r="AN273" s="55" t="n">
        <x:v>2500</x:v>
      </x:c>
      <x:c r="AO273" s="55" t="n">
        <x:v>0</x:v>
      </x:c>
      <x:c r="AP273" s="55" t="n">
        <x:v>2263</x:v>
      </x:c>
      <x:c r="AQ273" s="55" t="n">
        <x:v>939</x:v>
      </x:c>
    </x:row>
    <x:row r="274">
      <x:c r="A274" s="54" t="str">
        <x:v>T0_TABLE_BLOCK</x:v>
      </x:c>
      <x:c r="B274" s="54" t="n">
        <x:v>268</x:v>
      </x:c>
      <x:c r="C274" s="54" t="str">
        <x:v>NYC-V2-R01</x:v>
      </x:c>
      <x:c r="D274" s="54" t="str">
        <x:v>V2</x:v>
      </x:c>
      <x:c r="E274" s="54" t="str">
        <x:v>ADMITTED</x:v>
      </x:c>
      <x:c r="F274" s="55" t="n">
        <x:v>31388</x:v>
      </x:c>
      <x:c r="G274" s="55" t="n">
        <x:v>6455</x:v>
      </x:c>
      <x:c r="H274" s="55" t="n">
        <x:v>3738</x:v>
      </x:c>
      <x:c r="I274" s="55" t="n">
        <x:v>1710</x:v>
      </x:c>
      <x:c r="J274" s="55" t="n">
        <x:v>347</x:v>
      </x:c>
      <x:c r="K274" s="55" t="n">
        <x:v>31388</x:v>
      </x:c>
      <x:c r="L274" s="55" t="n">
        <x:v>6967</x:v>
      </x:c>
      <x:c r="M274" s="55" t="n">
        <x:v>1906</x:v>
      </x:c>
      <x:c r="N274" s="55" t="n">
        <x:v>3055</x:v>
      </x:c>
      <x:c r="O274" s="55" t="n">
        <x:v>2006</x:v>
      </x:c>
      <x:c r="P274" s="55" t="n">
        <x:v>533</x:v>
      </x:c>
      <x:c r="Q274" s="55" t="n">
        <x:v>2101</x:v>
      </x:c>
      <x:c r="R274" s="55" t="n">
        <x:v>1623</x:v>
      </x:c>
      <x:c r="S274" s="55" t="n">
        <x:v>2884</x:v>
      </x:c>
      <x:c r="T274" s="55" t="n">
        <x:v>1283</x:v>
      </x:c>
      <x:c r="U274" s="55" t="n">
        <x:v>2078</x:v>
      </x:c>
      <x:c r="V274" s="55" t="n">
        <x:v>10125</x:v>
      </x:c>
      <x:c r="W274" s="55" t="n">
        <x:v>6658</x:v>
      </x:c>
      <x:c r="X274" s="55" t="n">
        <x:v>3467</x:v>
      </x:c>
      <x:c r="Y274" s="55" t="n">
        <x:v>3110</x:v>
      </x:c>
      <x:c r="Z274" s="55" t="n">
        <x:v>3529</x:v>
      </x:c>
      <x:c r="AA274" s="55" t="n">
        <x:v>2968</x:v>
      </x:c>
      <x:c r="AB274" s="55" t="n">
        <x:v>624</x:v>
      </x:c>
      <x:c r="AC274" s="55" t="n">
        <x:v>8020</x:v>
      </x:c>
      <x:c r="AD274" s="55" t="n">
        <x:v>2850</x:v>
      </x:c>
      <x:c r="AE274" s="55" t="n">
        <x:v>10164</x:v>
      </x:c>
      <x:c r="AF274" s="55" t="n">
        <x:v>10125</x:v>
      </x:c>
      <x:c r="AG274" s="55" t="n">
        <x:v>39</x:v>
      </x:c>
      <x:c r="AH274" s="55" t="n">
        <x:v>386</x:v>
      </x:c>
      <x:c r="AI274" s="55" t="n">
        <x:v>9739</x:v>
      </x:c>
      <x:c r="AJ274" s="55" t="n">
        <x:v>496</x:v>
      </x:c>
      <x:c r="AK274" s="55" t="n">
        <x:v>1473</x:v>
      </x:c>
      <x:c r="AL274" s="55" t="n">
        <x:v>940</x:v>
      </x:c>
      <x:c r="AM274" s="55" t="n">
        <x:v>4490</x:v>
      </x:c>
      <x:c r="AN274" s="55" t="n">
        <x:v>2726</x:v>
      </x:c>
      <x:c r="AO274" s="55" t="n">
        <x:v>0</x:v>
      </x:c>
      <x:c r="AP274" s="55" t="n">
        <x:v>2552</x:v>
      </x:c>
      <x:c r="AQ274" s="55" t="n">
        <x:v>972</x:v>
      </x:c>
    </x:row>
    <x:row r="275">
      <x:c r="A275" s="54" t="str">
        <x:v>T0_TABLE_BLOCK</x:v>
      </x:c>
      <x:c r="B275" s="54" t="n">
        <x:v>269</x:v>
      </x:c>
      <x:c r="C275" s="54" t="str">
        <x:v>NYC-V2-R01</x:v>
      </x:c>
      <x:c r="D275" s="54" t="str">
        <x:v>V2</x:v>
      </x:c>
      <x:c r="E275" s="54" t="str">
        <x:v>ADMITTED</x:v>
      </x:c>
      <x:c r="F275" s="55" t="n">
        <x:v>30858</x:v>
      </x:c>
      <x:c r="G275" s="55" t="n">
        <x:v>8214</x:v>
      </x:c>
      <x:c r="H275" s="55" t="n">
        <x:v>2925</x:v>
      </x:c>
      <x:c r="I275" s="55" t="n">
        <x:v>1187</x:v>
      </x:c>
      <x:c r="J275" s="55" t="n">
        <x:v>161</x:v>
      </x:c>
      <x:c r="K275" s="55" t="n">
        <x:v>30858</x:v>
      </x:c>
      <x:c r="L275" s="55" t="n">
        <x:v>4458</x:v>
      </x:c>
      <x:c r="M275" s="55" t="n">
        <x:v>880</x:v>
      </x:c>
      <x:c r="N275" s="55" t="n">
        <x:v>1919</x:v>
      </x:c>
      <x:c r="O275" s="55" t="n">
        <x:v>1659</x:v>
      </x:c>
      <x:c r="P275" s="55" t="n">
        <x:v>768</x:v>
      </x:c>
      <x:c r="Q275" s="55" t="n">
        <x:v>1690</x:v>
      </x:c>
      <x:c r="R275" s="55" t="n">
        <x:v>1653</x:v>
      </x:c>
      <x:c r="S275" s="55" t="n">
        <x:v>2332</x:v>
      </x:c>
      <x:c r="T275" s="55" t="n">
        <x:v>1111</x:v>
      </x:c>
      <x:c r="U275" s="55" t="n">
        <x:v>2438</x:v>
      </x:c>
      <x:c r="V275" s="55" t="n">
        <x:v>10634</x:v>
      </x:c>
      <x:c r="W275" s="55" t="n">
        <x:v>7282</x:v>
      </x:c>
      <x:c r="X275" s="55" t="n">
        <x:v>3352</x:v>
      </x:c>
      <x:c r="Y275" s="55" t="n">
        <x:v>2797</x:v>
      </x:c>
      <x:c r="Z275" s="55" t="n">
        <x:v>3632</x:v>
      </x:c>
      <x:c r="AA275" s="55" t="n">
        <x:v>2925</x:v>
      </x:c>
      <x:c r="AB275" s="55" t="n">
        <x:v>719</x:v>
      </x:c>
      <x:c r="AC275" s="55" t="n">
        <x:v>8183</x:v>
      </x:c>
      <x:c r="AD275" s="55" t="n">
        <x:v>2309</x:v>
      </x:c>
      <x:c r="AE275" s="55" t="n">
        <x:v>10739</x:v>
      </x:c>
      <x:c r="AF275" s="55" t="n">
        <x:v>10634</x:v>
      </x:c>
      <x:c r="AG275" s="55" t="n">
        <x:v>105</x:v>
      </x:c>
      <x:c r="AH275" s="55" t="n">
        <x:v>440</x:v>
      </x:c>
      <x:c r="AI275" s="55" t="n">
        <x:v>10194</x:v>
      </x:c>
      <x:c r="AJ275" s="55" t="n">
        <x:v>294</x:v>
      </x:c>
      <x:c r="AK275" s="55" t="n">
        <x:v>641</x:v>
      </x:c>
      <x:c r="AL275" s="55" t="n">
        <x:v>1650</x:v>
      </x:c>
      <x:c r="AM275" s="55" t="n">
        <x:v>5222</x:v>
      </x:c>
      <x:c r="AN275" s="55" t="n">
        <x:v>2827</x:v>
      </x:c>
      <x:c r="AO275" s="55" t="n">
        <x:v>0</x:v>
      </x:c>
      <x:c r="AP275" s="55" t="n">
        <x:v>2886</x:v>
      </x:c>
      <x:c r="AQ275" s="55" t="n">
        <x:v>946</x:v>
      </x:c>
    </x:row>
    <x:row r="276">
      <x:c r="A276" s="54" t="str">
        <x:v>T0_TABLE_BLOCK</x:v>
      </x:c>
      <x:c r="B276" s="54" t="n">
        <x:v>270</x:v>
      </x:c>
      <x:c r="C276" s="54" t="str">
        <x:v>NYC-V2-R01</x:v>
      </x:c>
      <x:c r="D276" s="54" t="str">
        <x:v>V2</x:v>
      </x:c>
      <x:c r="E276" s="54" t="str">
        <x:v>ADMITTED</x:v>
      </x:c>
      <x:c r="F276" s="55" t="n">
        <x:v>33599</x:v>
      </x:c>
      <x:c r="G276" s="55" t="n">
        <x:v>8808</x:v>
      </x:c>
      <x:c r="H276" s="55" t="n">
        <x:v>3010</x:v>
      </x:c>
      <x:c r="I276" s="55" t="n">
        <x:v>1242</x:v>
      </x:c>
      <x:c r="J276" s="55" t="n">
        <x:v>247</x:v>
      </x:c>
      <x:c r="K276" s="55" t="n">
        <x:v>33599</x:v>
      </x:c>
      <x:c r="L276" s="55" t="n">
        <x:v>6924</x:v>
      </x:c>
      <x:c r="M276" s="55" t="n">
        <x:v>2082</x:v>
      </x:c>
      <x:c r="N276" s="55" t="n">
        <x:v>3059</x:v>
      </x:c>
      <x:c r="O276" s="55" t="n">
        <x:v>1783</x:v>
      </x:c>
      <x:c r="P276" s="55" t="n">
        <x:v>570</x:v>
      </x:c>
      <x:c r="Q276" s="55" t="n">
        <x:v>1707</x:v>
      </x:c>
      <x:c r="R276" s="55" t="n">
        <x:v>1966</x:v>
      </x:c>
      <x:c r="S276" s="55" t="n">
        <x:v>2464</x:v>
      </x:c>
      <x:c r="T276" s="55" t="n">
        <x:v>1215</x:v>
      </x:c>
      <x:c r="U276" s="55" t="n">
        <x:v>1931</x:v>
      </x:c>
      <x:c r="V276" s="55" t="n">
        <x:v>10720</x:v>
      </x:c>
      <x:c r="W276" s="55" t="n">
        <x:v>7856</x:v>
      </x:c>
      <x:c r="X276" s="55" t="n">
        <x:v>2864</x:v>
      </x:c>
      <x:c r="Y276" s="55" t="n">
        <x:v>2644</x:v>
      </x:c>
      <x:c r="Z276" s="55" t="n">
        <x:v>3133</x:v>
      </x:c>
      <x:c r="AA276" s="55" t="n">
        <x:v>2859</x:v>
      </x:c>
      <x:c r="AB276" s="55" t="n">
        <x:v>1101</x:v>
      </x:c>
      <x:c r="AC276" s="55" t="n">
        <x:v>8180</x:v>
      </x:c>
      <x:c r="AD276" s="55" t="n">
        <x:v>2827</x:v>
      </x:c>
      <x:c r="AE276" s="55" t="n">
        <x:v>10788</x:v>
      </x:c>
      <x:c r="AF276" s="55" t="n">
        <x:v>10720</x:v>
      </x:c>
      <x:c r="AG276" s="55" t="n">
        <x:v>68</x:v>
      </x:c>
      <x:c r="AH276" s="55" t="n">
        <x:v>438</x:v>
      </x:c>
      <x:c r="AI276" s="55" t="n">
        <x:v>10282</x:v>
      </x:c>
      <x:c r="AJ276" s="55" t="n">
        <x:v>317</x:v>
      </x:c>
      <x:c r="AK276" s="55" t="n">
        <x:v>944</x:v>
      </x:c>
      <x:c r="AL276" s="55" t="n">
        <x:v>1524</x:v>
      </x:c>
      <x:c r="AM276" s="55" t="n">
        <x:v>5312</x:v>
      </x:c>
      <x:c r="AN276" s="55" t="n">
        <x:v>2620</x:v>
      </x:c>
      <x:c r="AO276" s="55" t="n">
        <x:v>3</x:v>
      </x:c>
      <x:c r="AP276" s="55" t="n">
        <x:v>2198</x:v>
      </x:c>
      <x:c r="AQ276" s="55" t="n">
        <x:v>974</x:v>
      </x:c>
    </x:row>
    <x:row r="277">
      <x:c r="A277" s="54" t="str">
        <x:v>T0_TABLE_BLOCK</x:v>
      </x:c>
      <x:c r="B277" s="54" t="n">
        <x:v>271</x:v>
      </x:c>
      <x:c r="C277" s="54" t="str">
        <x:v>NYC-V2-R01</x:v>
      </x:c>
      <x:c r="D277" s="54" t="str">
        <x:v>V2</x:v>
      </x:c>
      <x:c r="E277" s="54" t="str">
        <x:v>ADMITTED</x:v>
      </x:c>
      <x:c r="F277" s="55" t="n">
        <x:v>32222</x:v>
      </x:c>
      <x:c r="G277" s="55" t="n">
        <x:v>8536</x:v>
      </x:c>
      <x:c r="H277" s="55" t="n">
        <x:v>3375</x:v>
      </x:c>
      <x:c r="I277" s="55" t="n">
        <x:v>1224</x:v>
      </x:c>
      <x:c r="J277" s="55" t="n">
        <x:v>281</x:v>
      </x:c>
      <x:c r="K277" s="55" t="n">
        <x:v>27652</x:v>
      </x:c>
      <x:c r="L277" s="55" t="n">
        <x:v>5264</x:v>
      </x:c>
      <x:c r="M277" s="55" t="n">
        <x:v>1579</x:v>
      </x:c>
      <x:c r="N277" s="55" t="n">
        <x:v>2217</x:v>
      </x:c>
      <x:c r="O277" s="55" t="n">
        <x:v>1468</x:v>
      </x:c>
      <x:c r="P277" s="55" t="n">
        <x:v>637</x:v>
      </x:c>
      <x:c r="Q277" s="55" t="n">
        <x:v>2261</x:v>
      </x:c>
      <x:c r="R277" s="55" t="n">
        <x:v>1721</x:v>
      </x:c>
      <x:c r="S277" s="55" t="n">
        <x:v>2976</x:v>
      </x:c>
      <x:c r="T277" s="55" t="n">
        <x:v>898</x:v>
      </x:c>
      <x:c r="U277" s="55" t="n">
        <x:v>2014</x:v>
      </x:c>
      <x:c r="V277" s="55" t="n">
        <x:v>10084</x:v>
      </x:c>
      <x:c r="W277" s="55" t="n">
        <x:v>6769</x:v>
      </x:c>
      <x:c r="X277" s="55" t="n">
        <x:v>3315</x:v>
      </x:c>
      <x:c r="Y277" s="55" t="n">
        <x:v>2654</x:v>
      </x:c>
      <x:c r="Z277" s="55" t="n">
        <x:v>3593</x:v>
      </x:c>
      <x:c r="AA277" s="55" t="n">
        <x:v>3375</x:v>
      </x:c>
      <x:c r="AB277" s="55" t="n">
        <x:v>1043</x:v>
      </x:c>
      <x:c r="AC277" s="55" t="n">
        <x:v>8219</x:v>
      </x:c>
      <x:c r="AD277" s="55" t="n">
        <x:v>3123</x:v>
      </x:c>
      <x:c r="AE277" s="55" t="n">
        <x:v>10251</x:v>
      </x:c>
      <x:c r="AF277" s="55" t="n">
        <x:v>10084</x:v>
      </x:c>
      <x:c r="AG277" s="55" t="n">
        <x:v>167</x:v>
      </x:c>
      <x:c r="AH277" s="55" t="n">
        <x:v>496</x:v>
      </x:c>
      <x:c r="AI277" s="55" t="n">
        <x:v>9588</x:v>
      </x:c>
      <x:c r="AJ277" s="55" t="n">
        <x:v>267</x:v>
      </x:c>
      <x:c r="AK277" s="55" t="n">
        <x:v>971</x:v>
      </x:c>
      <x:c r="AL277" s="55" t="n">
        <x:v>1704</x:v>
      </x:c>
      <x:c r="AM277" s="55" t="n">
        <x:v>4428</x:v>
      </x:c>
      <x:c r="AN277" s="55" t="n">
        <x:v>2640</x:v>
      </x:c>
      <x:c r="AO277" s="55" t="n">
        <x:v>74</x:v>
      </x:c>
      <x:c r="AP277" s="55" t="n">
        <x:v>2080</x:v>
      </x:c>
      <x:c r="AQ277" s="55" t="n">
        <x:v>952</x:v>
      </x:c>
    </x:row>
    <x:row r="278">
      <x:c r="A278" s="54" t="str">
        <x:v>T0_TABLE_BLOCK</x:v>
      </x:c>
      <x:c r="B278" s="54" t="n">
        <x:v>272</x:v>
      </x:c>
      <x:c r="C278" s="54" t="str">
        <x:v>NYC-V2-R01</x:v>
      </x:c>
      <x:c r="D278" s="54" t="str">
        <x:v>V2</x:v>
      </x:c>
      <x:c r="E278" s="54" t="str">
        <x:v>ADMITTED</x:v>
      </x:c>
      <x:c r="F278" s="55" t="n">
        <x:v>30874</x:v>
      </x:c>
      <x:c r="G278" s="55" t="n">
        <x:v>8045</x:v>
      </x:c>
      <x:c r="H278" s="55" t="n">
        <x:v>3006</x:v>
      </x:c>
      <x:c r="I278" s="55" t="n">
        <x:v>1210</x:v>
      </x:c>
      <x:c r="J278" s="55" t="n">
        <x:v>202</x:v>
      </x:c>
      <x:c r="K278" s="55" t="n">
        <x:v>27421</x:v>
      </x:c>
      <x:c r="L278" s="55" t="n">
        <x:v>4231</x:v>
      </x:c>
      <x:c r="M278" s="55" t="n">
        <x:v>0</x:v>
      </x:c>
      <x:c r="N278" s="55" t="n">
        <x:v>2309</x:v>
      </x:c>
      <x:c r="O278" s="55" t="n">
        <x:v>1922</x:v>
      </x:c>
      <x:c r="P278" s="55" t="n">
        <x:v>1115</x:v>
      </x:c>
      <x:c r="Q278" s="55" t="n">
        <x:v>2559</x:v>
      </x:c>
      <x:c r="R278" s="55" t="n">
        <x:v>2250</x:v>
      </x:c>
      <x:c r="S278" s="55" t="n">
        <x:v>2613</x:v>
      </x:c>
      <x:c r="T278" s="55" t="n">
        <x:v>680</x:v>
      </x:c>
      <x:c r="U278" s="55" t="n">
        <x:v>1976</x:v>
      </x:c>
      <x:c r="V278" s="55" t="n">
        <x:v>10209</x:v>
      </x:c>
      <x:c r="W278" s="55" t="n">
        <x:v>7135</x:v>
      </x:c>
      <x:c r="X278" s="55" t="n">
        <x:v>3074</x:v>
      </x:c>
      <x:c r="Y278" s="55" t="n">
        <x:v>2600</x:v>
      </x:c>
      <x:c r="Z278" s="55" t="n">
        <x:v>4422</x:v>
      </x:c>
      <x:c r="AA278" s="55" t="n">
        <x:v>2987</x:v>
      </x:c>
      <x:c r="AB278" s="55" t="n">
        <x:v>1217</x:v>
      </x:c>
      <x:c r="AC278" s="55" t="n">
        <x:v>8024</x:v>
      </x:c>
      <x:c r="AD278" s="55" t="n">
        <x:v>2977</x:v>
      </x:c>
      <x:c r="AE278" s="55" t="n">
        <x:v>10334</x:v>
      </x:c>
      <x:c r="AF278" s="55" t="n">
        <x:v>10209</x:v>
      </x:c>
      <x:c r="AG278" s="55" t="n">
        <x:v>125</x:v>
      </x:c>
      <x:c r="AH278" s="55" t="n">
        <x:v>590</x:v>
      </x:c>
      <x:c r="AI278" s="55" t="n">
        <x:v>9619</x:v>
      </x:c>
      <x:c r="AJ278" s="55" t="n">
        <x:v>297</x:v>
      </x:c>
      <x:c r="AK278" s="55" t="n">
        <x:v>894</x:v>
      </x:c>
      <x:c r="AL278" s="55" t="n">
        <x:v>1196</x:v>
      </x:c>
      <x:c r="AM278" s="55" t="n">
        <x:v>5121</x:v>
      </x:c>
      <x:c r="AN278" s="55" t="n">
        <x:v>2680</x:v>
      </x:c>
      <x:c r="AO278" s="55" t="n">
        <x:v>21</x:v>
      </x:c>
      <x:c r="AP278" s="55" t="n">
        <x:v>1982</x:v>
      </x:c>
      <x:c r="AQ278" s="55" t="n">
        <x:v>971</x:v>
      </x:c>
    </x:row>
    <x:row r="279">
      <x:c r="A279" s="54" t="str">
        <x:v>T0_TABLE_BLOCK</x:v>
      </x:c>
      <x:c r="B279" s="54" t="n">
        <x:v>273</x:v>
      </x:c>
      <x:c r="C279" s="54" t="str">
        <x:v>NYC-V2-R01</x:v>
      </x:c>
      <x:c r="D279" s="54" t="str">
        <x:v>V2</x:v>
      </x:c>
      <x:c r="E279" s="54" t="str">
        <x:v>ADMITTED</x:v>
      </x:c>
      <x:c r="F279" s="55" t="n">
        <x:v>31631</x:v>
      </x:c>
      <x:c r="G279" s="55" t="n">
        <x:v>6469</x:v>
      </x:c>
      <x:c r="H279" s="55" t="n">
        <x:v>3039</x:v>
      </x:c>
      <x:c r="I279" s="55" t="n">
        <x:v>1290</x:v>
      </x:c>
      <x:c r="J279" s="55" t="n">
        <x:v>76</x:v>
      </x:c>
      <x:c r="K279" s="55" t="n">
        <x:v>31631</x:v>
      </x:c>
      <x:c r="L279" s="55" t="n">
        <x:v>6263</x:v>
      </x:c>
      <x:c r="M279" s="55" t="n">
        <x:v>1727</x:v>
      </x:c>
      <x:c r="N279" s="55" t="n">
        <x:v>2848</x:v>
      </x:c>
      <x:c r="O279" s="55" t="n">
        <x:v>1688</x:v>
      </x:c>
      <x:c r="P279" s="55" t="n">
        <x:v>843</x:v>
      </x:c>
      <x:c r="Q279" s="55" t="n">
        <x:v>2497</x:v>
      </x:c>
      <x:c r="R279" s="55" t="n">
        <x:v>1747</x:v>
      </x:c>
      <x:c r="S279" s="55" t="n">
        <x:v>2218</x:v>
      </x:c>
      <x:c r="T279" s="55" t="n">
        <x:v>1367</x:v>
      </x:c>
      <x:c r="U279" s="55" t="n">
        <x:v>1547</x:v>
      </x:c>
      <x:c r="V279" s="55" t="n">
        <x:v>10532</x:v>
      </x:c>
      <x:c r="W279" s="55" t="n">
        <x:v>7199</x:v>
      </x:c>
      <x:c r="X279" s="55" t="n">
        <x:v>3333</x:v>
      </x:c>
      <x:c r="Y279" s="55" t="n">
        <x:v>2989</x:v>
      </x:c>
      <x:c r="Z279" s="55" t="n">
        <x:v>3462</x:v>
      </x:c>
      <x:c r="AA279" s="55" t="n">
        <x:v>2546</x:v>
      </x:c>
      <x:c r="AB279" s="55" t="n">
        <x:v>822</x:v>
      </x:c>
      <x:c r="AC279" s="55" t="n">
        <x:v>8362</x:v>
      </x:c>
      <x:c r="AD279" s="55" t="n">
        <x:v>3278</x:v>
      </x:c>
      <x:c r="AE279" s="55" t="n">
        <x:v>10532</x:v>
      </x:c>
      <x:c r="AF279" s="55" t="n">
        <x:v>10532</x:v>
      </x:c>
      <x:c r="AG279" s="55" t="n">
        <x:v>0</x:v>
      </x:c>
      <x:c r="AH279" s="55" t="n">
        <x:v>325</x:v>
      </x:c>
      <x:c r="AI279" s="55" t="n">
        <x:v>10207</x:v>
      </x:c>
      <x:c r="AJ279" s="55" t="n">
        <x:v>360</x:v>
      </x:c>
      <x:c r="AK279" s="55" t="n">
        <x:v>1134</x:v>
      </x:c>
      <x:c r="AL279" s="55" t="n">
        <x:v>1481</x:v>
      </x:c>
      <x:c r="AM279" s="55" t="n">
        <x:v>4430</x:v>
      </x:c>
      <x:c r="AN279" s="55" t="n">
        <x:v>3127</x:v>
      </x:c>
      <x:c r="AO279" s="55" t="n">
        <x:v>0</x:v>
      </x:c>
      <x:c r="AP279" s="55" t="n">
        <x:v>2367</x:v>
      </x:c>
      <x:c r="AQ279" s="55" t="n">
        <x:v>931</x:v>
      </x:c>
    </x:row>
    <x:row r="280">
      <x:c r="A280" s="54" t="str">
        <x:v>T0_TABLE_BLOCK</x:v>
      </x:c>
      <x:c r="B280" s="54" t="n">
        <x:v>274</x:v>
      </x:c>
      <x:c r="C280" s="54" t="str">
        <x:v>NYC-V2-R01</x:v>
      </x:c>
      <x:c r="D280" s="54" t="str">
        <x:v>V2</x:v>
      </x:c>
      <x:c r="E280" s="54" t="str">
        <x:v>ADMITTED</x:v>
      </x:c>
      <x:c r="F280" s="55" t="n">
        <x:v>31296</x:v>
      </x:c>
      <x:c r="G280" s="55" t="n">
        <x:v>7828</x:v>
      </x:c>
      <x:c r="H280" s="55" t="n">
        <x:v>3249</x:v>
      </x:c>
      <x:c r="I280" s="55" t="n">
        <x:v>1163</x:v>
      </x:c>
      <x:c r="J280" s="55" t="n">
        <x:v>216</x:v>
      </x:c>
      <x:c r="K280" s="55" t="n">
        <x:v>29103</x:v>
      </x:c>
      <x:c r="L280" s="55" t="n">
        <x:v>4094</x:v>
      </x:c>
      <x:c r="M280" s="55" t="n">
        <x:v>432</x:v>
      </x:c>
      <x:c r="N280" s="55" t="n">
        <x:v>1943</x:v>
      </x:c>
      <x:c r="O280" s="55" t="n">
        <x:v>1719</x:v>
      </x:c>
      <x:c r="P280" s="55" t="n">
        <x:v>1024</x:v>
      </x:c>
      <x:c r="Q280" s="55" t="n">
        <x:v>3408</x:v>
      </x:c>
      <x:c r="R280" s="55" t="n">
        <x:v>2172</x:v>
      </x:c>
      <x:c r="S280" s="55" t="n">
        <x:v>3029</x:v>
      </x:c>
      <x:c r="T280" s="55" t="n">
        <x:v>1172</x:v>
      </x:c>
      <x:c r="U280" s="55" t="n">
        <x:v>2301</x:v>
      </x:c>
      <x:c r="V280" s="55" t="n">
        <x:v>11287</x:v>
      </x:c>
      <x:c r="W280" s="55" t="n">
        <x:v>7950</x:v>
      </x:c>
      <x:c r="X280" s="55" t="n">
        <x:v>3337</x:v>
      </x:c>
      <x:c r="Y280" s="55" t="n">
        <x:v>2852</x:v>
      </x:c>
      <x:c r="Z280" s="55" t="n">
        <x:v>3831</x:v>
      </x:c>
      <x:c r="AA280" s="55" t="n">
        <x:v>2912</x:v>
      </x:c>
      <x:c r="AB280" s="55" t="n">
        <x:v>1262</x:v>
      </x:c>
      <x:c r="AC280" s="55" t="n">
        <x:v>8307</x:v>
      </x:c>
      <x:c r="AD280" s="55" t="n">
        <x:v>2946</x:v>
      </x:c>
      <x:c r="AE280" s="55" t="n">
        <x:v>11326</x:v>
      </x:c>
      <x:c r="AF280" s="55" t="n">
        <x:v>11287</x:v>
      </x:c>
      <x:c r="AG280" s="55" t="n">
        <x:v>39</x:v>
      </x:c>
      <x:c r="AH280" s="55" t="n">
        <x:v>484</x:v>
      </x:c>
      <x:c r="AI280" s="55" t="n">
        <x:v>10803</x:v>
      </x:c>
      <x:c r="AJ280" s="55" t="n">
        <x:v>342</x:v>
      </x:c>
      <x:c r="AK280" s="55" t="n">
        <x:v>1025</x:v>
      </x:c>
      <x:c r="AL280" s="55" t="n">
        <x:v>1791</x:v>
      </x:c>
      <x:c r="AM280" s="55" t="n">
        <x:v>4794</x:v>
      </x:c>
      <x:c r="AN280" s="55" t="n">
        <x:v>3335</x:v>
      </x:c>
      <x:c r="AO280" s="55" t="n">
        <x:v>0</x:v>
      </x:c>
      <x:c r="AP280" s="55" t="n">
        <x:v>2348</x:v>
      </x:c>
      <x:c r="AQ280" s="55" t="n">
        <x:v>951</x:v>
      </x:c>
    </x:row>
    <x:row r="281">
      <x:c r="A281" s="54" t="str">
        <x:v>T0_TABLE_BLOCK</x:v>
      </x:c>
      <x:c r="B281" s="54" t="n">
        <x:v>275</x:v>
      </x:c>
      <x:c r="C281" s="54" t="str">
        <x:v>NYC-V2-R01</x:v>
      </x:c>
      <x:c r="D281" s="54" t="str">
        <x:v>V2</x:v>
      </x:c>
      <x:c r="E281" s="54" t="str">
        <x:v>ADMITTED</x:v>
      </x:c>
      <x:c r="F281" s="55" t="n">
        <x:v>30492</x:v>
      </x:c>
      <x:c r="G281" s="55" t="n">
        <x:v>7494</x:v>
      </x:c>
      <x:c r="H281" s="55" t="n">
        <x:v>3517</x:v>
      </x:c>
      <x:c r="I281" s="55" t="n">
        <x:v>1668</x:v>
      </x:c>
      <x:c r="J281" s="55" t="n">
        <x:v>370</x:v>
      </x:c>
      <x:c r="K281" s="55" t="n">
        <x:v>30492</x:v>
      </x:c>
      <x:c r="L281" s="55" t="n">
        <x:v>5306</x:v>
      </x:c>
      <x:c r="M281" s="55" t="n">
        <x:v>1255</x:v>
      </x:c>
      <x:c r="N281" s="55" t="n">
        <x:v>2467</x:v>
      </x:c>
      <x:c r="O281" s="55" t="n">
        <x:v>1584</x:v>
      </x:c>
      <x:c r="P281" s="55" t="n">
        <x:v>740</x:v>
      </x:c>
      <x:c r="Q281" s="55" t="n">
        <x:v>3956</x:v>
      </x:c>
      <x:c r="R281" s="55" t="n">
        <x:v>1447</x:v>
      </x:c>
      <x:c r="S281" s="55" t="n">
        <x:v>3414</x:v>
      </x:c>
      <x:c r="T281" s="55" t="n">
        <x:v>1168</x:v>
      </x:c>
      <x:c r="U281" s="55" t="n">
        <x:v>2342</x:v>
      </x:c>
      <x:c r="V281" s="55" t="n">
        <x:v>10613</x:v>
      </x:c>
      <x:c r="W281" s="55" t="n">
        <x:v>7605</x:v>
      </x:c>
      <x:c r="X281" s="55" t="n">
        <x:v>3008</x:v>
      </x:c>
      <x:c r="Y281" s="55" t="n">
        <x:v>2569</x:v>
      </x:c>
      <x:c r="Z281" s="55" t="n">
        <x:v>3832</x:v>
      </x:c>
      <x:c r="AA281" s="55" t="n">
        <x:v>3512</x:v>
      </x:c>
      <x:c r="AB281" s="55" t="n">
        <x:v>1103</x:v>
      </x:c>
      <x:c r="AC281" s="55" t="n">
        <x:v>8979</x:v>
      </x:c>
      <x:c r="AD281" s="55" t="n">
        <x:v>3038</x:v>
      </x:c>
      <x:c r="AE281" s="55" t="n">
        <x:v>10613</x:v>
      </x:c>
      <x:c r="AF281" s="55" t="n">
        <x:v>10613</x:v>
      </x:c>
      <x:c r="AG281" s="55" t="n">
        <x:v>0</x:v>
      </x:c>
      <x:c r="AH281" s="55" t="n">
        <x:v>576</x:v>
      </x:c>
      <x:c r="AI281" s="55" t="n">
        <x:v>10037</x:v>
      </x:c>
      <x:c r="AJ281" s="55" t="n">
        <x:v>91</x:v>
      </x:c>
      <x:c r="AK281" s="55" t="n">
        <x:v>712</x:v>
      </x:c>
      <x:c r="AL281" s="55" t="n">
        <x:v>1530</x:v>
      </x:c>
      <x:c r="AM281" s="55" t="n">
        <x:v>5686</x:v>
      </x:c>
      <x:c r="AN281" s="55" t="n">
        <x:v>2594</x:v>
      </x:c>
      <x:c r="AO281" s="55" t="n">
        <x:v>0</x:v>
      </x:c>
      <x:c r="AP281" s="55" t="n">
        <x:v>2044</x:v>
      </x:c>
      <x:c r="AQ281" s="55" t="n">
        <x:v>930</x:v>
      </x:c>
    </x:row>
    <x:row r="282">
      <x:c r="A282" s="54" t="str">
        <x:v>T0_TABLE_BLOCK</x:v>
      </x:c>
      <x:c r="B282" s="54" t="n">
        <x:v>276</x:v>
      </x:c>
      <x:c r="C282" s="54" t="str">
        <x:v>NYC-V2-R01</x:v>
      </x:c>
      <x:c r="D282" s="54" t="str">
        <x:v>V2</x:v>
      </x:c>
      <x:c r="E282" s="54" t="str">
        <x:v>ADMITTED</x:v>
      </x:c>
      <x:c r="F282" s="55" t="n">
        <x:v>32418</x:v>
      </x:c>
      <x:c r="G282" s="55" t="n">
        <x:v>8693</x:v>
      </x:c>
      <x:c r="H282" s="55" t="n">
        <x:v>3251</x:v>
      </x:c>
      <x:c r="I282" s="55" t="n">
        <x:v>1317</x:v>
      </x:c>
      <x:c r="J282" s="55" t="n">
        <x:v>258</x:v>
      </x:c>
      <x:c r="K282" s="55" t="n">
        <x:v>32418</x:v>
      </x:c>
      <x:c r="L282" s="55" t="n">
        <x:v>5656</x:v>
      </x:c>
      <x:c r="M282" s="55" t="n">
        <x:v>941</x:v>
      </x:c>
      <x:c r="N282" s="55" t="n">
        <x:v>2864</x:v>
      </x:c>
      <x:c r="O282" s="55" t="n">
        <x:v>1851</x:v>
      </x:c>
      <x:c r="P282" s="55" t="n">
        <x:v>1104</x:v>
      </x:c>
      <x:c r="Q282" s="55" t="n">
        <x:v>2446</x:v>
      </x:c>
      <x:c r="R282" s="55" t="n">
        <x:v>1610</x:v>
      </x:c>
      <x:c r="S282" s="55" t="n">
        <x:v>2998</x:v>
      </x:c>
      <x:c r="T282" s="55" t="n">
        <x:v>1220</x:v>
      </x:c>
      <x:c r="U282" s="55" t="n">
        <x:v>2203</x:v>
      </x:c>
      <x:c r="V282" s="55" t="n">
        <x:v>10412</x:v>
      </x:c>
      <x:c r="W282" s="55" t="n">
        <x:v>7506</x:v>
      </x:c>
      <x:c r="X282" s="55" t="n">
        <x:v>2906</x:v>
      </x:c>
      <x:c r="Y282" s="55" t="n">
        <x:v>2479</x:v>
      </x:c>
      <x:c r="Z282" s="55" t="n">
        <x:v>3637</x:v>
      </x:c>
      <x:c r="AA282" s="55" t="n">
        <x:v>3251</x:v>
      </x:c>
      <x:c r="AB282" s="55" t="n">
        <x:v>1255</x:v>
      </x:c>
      <x:c r="AC282" s="55" t="n">
        <x:v>7861</x:v>
      </x:c>
      <x:c r="AD282" s="55" t="n">
        <x:v>2589</x:v>
      </x:c>
      <x:c r="AE282" s="55" t="n">
        <x:v>10516</x:v>
      </x:c>
      <x:c r="AF282" s="55" t="n">
        <x:v>10412</x:v>
      </x:c>
      <x:c r="AG282" s="55" t="n">
        <x:v>104</x:v>
      </x:c>
      <x:c r="AH282" s="55" t="n">
        <x:v>518</x:v>
      </x:c>
      <x:c r="AI282" s="55" t="n">
        <x:v>9894</x:v>
      </x:c>
      <x:c r="AJ282" s="55" t="n">
        <x:v>210</x:v>
      </x:c>
      <x:c r="AK282" s="55" t="n">
        <x:v>1117</x:v>
      </x:c>
      <x:c r="AL282" s="55" t="n">
        <x:v>1661</x:v>
      </x:c>
      <x:c r="AM282" s="55" t="n">
        <x:v>5226</x:v>
      </x:c>
      <x:c r="AN282" s="55" t="n">
        <x:v>2182</x:v>
      </x:c>
      <x:c r="AO282" s="55" t="n">
        <x:v>16</x:v>
      </x:c>
      <x:c r="AP282" s="55" t="n">
        <x:v>2823</x:v>
      </x:c>
      <x:c r="AQ282" s="55" t="n">
        <x:v>925</x:v>
      </x:c>
    </x:row>
    <x:row r="283">
      <x:c r="A283" s="54" t="str">
        <x:v>T0_TABLE_BLOCK</x:v>
      </x:c>
      <x:c r="B283" s="54" t="n">
        <x:v>277</x:v>
      </x:c>
      <x:c r="C283" s="54" t="str">
        <x:v>NYC-V2-R01</x:v>
      </x:c>
      <x:c r="D283" s="54" t="str">
        <x:v>V2</x:v>
      </x:c>
      <x:c r="E283" s="54" t="str">
        <x:v>ADMITTED</x:v>
      </x:c>
      <x:c r="F283" s="55" t="n">
        <x:v>31263</x:v>
      </x:c>
      <x:c r="G283" s="55" t="n">
        <x:v>6538</x:v>
      </x:c>
      <x:c r="H283" s="55" t="n">
        <x:v>3268</x:v>
      </x:c>
      <x:c r="I283" s="55" t="n">
        <x:v>884</x:v>
      </x:c>
      <x:c r="J283" s="55" t="n">
        <x:v>84</x:v>
      </x:c>
      <x:c r="K283" s="55" t="n">
        <x:v>31263</x:v>
      </x:c>
      <x:c r="L283" s="55" t="n">
        <x:v>6205</x:v>
      </x:c>
      <x:c r="M283" s="55" t="n">
        <x:v>1593</x:v>
      </x:c>
      <x:c r="N283" s="55" t="n">
        <x:v>2448</x:v>
      </x:c>
      <x:c r="O283" s="55" t="n">
        <x:v>2164</x:v>
      </x:c>
      <x:c r="P283" s="55" t="n">
        <x:v>969</x:v>
      </x:c>
      <x:c r="Q283" s="55" t="n">
        <x:v>2718</x:v>
      </x:c>
      <x:c r="R283" s="55" t="n">
        <x:v>1786</x:v>
      </x:c>
      <x:c r="S283" s="55" t="n">
        <x:v>2683</x:v>
      </x:c>
      <x:c r="T283" s="55" t="n">
        <x:v>1337</x:v>
      </x:c>
      <x:c r="U283" s="55" t="n">
        <x:v>2398</x:v>
      </x:c>
      <x:c r="V283" s="55" t="n">
        <x:v>10059</x:v>
      </x:c>
      <x:c r="W283" s="55" t="n">
        <x:v>6687</x:v>
      </x:c>
      <x:c r="X283" s="55" t="n">
        <x:v>3372</x:v>
      </x:c>
      <x:c r="Y283" s="55" t="n">
        <x:v>2941</x:v>
      </x:c>
      <x:c r="Z283" s="55" t="n">
        <x:v>3349</x:v>
      </x:c>
      <x:c r="AA283" s="55" t="n">
        <x:v>3268</x:v>
      </x:c>
      <x:c r="AB283" s="55" t="n">
        <x:v>1059</x:v>
      </x:c>
      <x:c r="AC283" s="55" t="n">
        <x:v>7330</x:v>
      </x:c>
      <x:c r="AD283" s="55" t="n">
        <x:v>3090</x:v>
      </x:c>
      <x:c r="AE283" s="55" t="n">
        <x:v>10146</x:v>
      </x:c>
      <x:c r="AF283" s="55" t="n">
        <x:v>10059</x:v>
      </x:c>
      <x:c r="AG283" s="55" t="n">
        <x:v>87</x:v>
      </x:c>
      <x:c r="AH283" s="55" t="n">
        <x:v>625</x:v>
      </x:c>
      <x:c r="AI283" s="55" t="n">
        <x:v>9434</x:v>
      </x:c>
      <x:c r="AJ283" s="55" t="n">
        <x:v>330</x:v>
      </x:c>
      <x:c r="AK283" s="55" t="n">
        <x:v>943</x:v>
      </x:c>
      <x:c r="AL283" s="55" t="n">
        <x:v>1777</x:v>
      </x:c>
      <x:c r="AM283" s="55" t="n">
        <x:v>4773</x:v>
      </x:c>
      <x:c r="AN283" s="55" t="n">
        <x:v>2236</x:v>
      </x:c>
      <x:c r="AO283" s="55" t="n">
        <x:v>0</x:v>
      </x:c>
      <x:c r="AP283" s="55" t="n">
        <x:v>2100</x:v>
      </x:c>
      <x:c r="AQ283" s="55" t="n">
        <x:v>961</x:v>
      </x:c>
    </x:row>
    <x:row r="284">
      <x:c r="A284" s="54" t="str">
        <x:v>T0_TABLE_BLOCK</x:v>
      </x:c>
      <x:c r="B284" s="54" t="n">
        <x:v>278</x:v>
      </x:c>
      <x:c r="C284" s="54" t="str">
        <x:v>NYC-V2-R01</x:v>
      </x:c>
      <x:c r="D284" s="54" t="str">
        <x:v>V2</x:v>
      </x:c>
      <x:c r="E284" s="54" t="str">
        <x:v>ADMITTED</x:v>
      </x:c>
      <x:c r="F284" s="55" t="n">
        <x:v>33225</x:v>
      </x:c>
      <x:c r="G284" s="55" t="n">
        <x:v>8961</x:v>
      </x:c>
      <x:c r="H284" s="55" t="n">
        <x:v>3229</x:v>
      </x:c>
      <x:c r="I284" s="55" t="n">
        <x:v>960</x:v>
      </x:c>
      <x:c r="J284" s="55" t="n">
        <x:v>337</x:v>
      </x:c>
      <x:c r="K284" s="55" t="n">
        <x:v>29973</x:v>
      </x:c>
      <x:c r="L284" s="55" t="n">
        <x:v>5789</x:v>
      </x:c>
      <x:c r="M284" s="55" t="n">
        <x:v>681</x:v>
      </x:c>
      <x:c r="N284" s="55" t="n">
        <x:v>2707</x:v>
      </x:c>
      <x:c r="O284" s="55" t="n">
        <x:v>2401</x:v>
      </x:c>
      <x:c r="P284" s="55" t="n">
        <x:v>726</x:v>
      </x:c>
      <x:c r="Q284" s="55" t="n">
        <x:v>2187</x:v>
      </x:c>
      <x:c r="R284" s="55" t="n">
        <x:v>1962</x:v>
      </x:c>
      <x:c r="S284" s="55" t="n">
        <x:v>3041</x:v>
      </x:c>
      <x:c r="T284" s="55" t="n">
        <x:v>1057</x:v>
      </x:c>
      <x:c r="U284" s="55" t="n">
        <x:v>1988</x:v>
      </x:c>
      <x:c r="V284" s="55" t="n">
        <x:v>10447</x:v>
      </x:c>
      <x:c r="W284" s="55" t="n">
        <x:v>7278</x:v>
      </x:c>
      <x:c r="X284" s="55" t="n">
        <x:v>3169</x:v>
      </x:c>
      <x:c r="Y284" s="55" t="n">
        <x:v>2790</x:v>
      </x:c>
      <x:c r="Z284" s="55" t="n">
        <x:v>3931</x:v>
      </x:c>
      <x:c r="AA284" s="55" t="n">
        <x:v>3048</x:v>
      </x:c>
      <x:c r="AB284" s="55" t="n">
        <x:v>1061</x:v>
      </x:c>
      <x:c r="AC284" s="55" t="n">
        <x:v>7781</x:v>
      </x:c>
      <x:c r="AD284" s="55" t="n">
        <x:v>2784</x:v>
      </x:c>
      <x:c r="AE284" s="55" t="n">
        <x:v>10508</x:v>
      </x:c>
      <x:c r="AF284" s="55" t="n">
        <x:v>10447</x:v>
      </x:c>
      <x:c r="AG284" s="55" t="n">
        <x:v>61</x:v>
      </x:c>
      <x:c r="AH284" s="55" t="n">
        <x:v>315</x:v>
      </x:c>
      <x:c r="AI284" s="55" t="n">
        <x:v>10132</x:v>
      </x:c>
      <x:c r="AJ284" s="55" t="n">
        <x:v>33</x:v>
      </x:c>
      <x:c r="AK284" s="55" t="n">
        <x:v>656</x:v>
      </x:c>
      <x:c r="AL284" s="55" t="n">
        <x:v>1822</x:v>
      </x:c>
      <x:c r="AM284" s="55" t="n">
        <x:v>5485</x:v>
      </x:c>
      <x:c r="AN284" s="55" t="n">
        <x:v>2407</x:v>
      </x:c>
      <x:c r="AO284" s="55" t="n">
        <x:v>44</x:v>
      </x:c>
      <x:c r="AP284" s="55" t="n">
        <x:v>2009</x:v>
      </x:c>
      <x:c r="AQ284" s="55" t="n">
        <x:v>1004</x:v>
      </x:c>
    </x:row>
    <x:row r="285">
      <x:c r="A285" s="54" t="str">
        <x:v>T0_TABLE_BLOCK</x:v>
      </x:c>
      <x:c r="B285" s="54" t="n">
        <x:v>279</x:v>
      </x:c>
      <x:c r="C285" s="54" t="str">
        <x:v>NYC-V2-R01</x:v>
      </x:c>
      <x:c r="D285" s="54" t="str">
        <x:v>V2</x:v>
      </x:c>
      <x:c r="E285" s="54" t="str">
        <x:v>ADMITTED</x:v>
      </x:c>
      <x:c r="F285" s="55" t="n">
        <x:v>31184</x:v>
      </x:c>
      <x:c r="G285" s="55" t="n">
        <x:v>8157</x:v>
      </x:c>
      <x:c r="H285" s="55" t="n">
        <x:v>3505</x:v>
      </x:c>
      <x:c r="I285" s="55" t="n">
        <x:v>1633</x:v>
      </x:c>
      <x:c r="J285" s="55" t="n">
        <x:v>327</x:v>
      </x:c>
      <x:c r="K285" s="55" t="n">
        <x:v>30866</x:v>
      </x:c>
      <x:c r="L285" s="55" t="n">
        <x:v>5930</x:v>
      </x:c>
      <x:c r="M285" s="55" t="n">
        <x:v>520</x:v>
      </x:c>
      <x:c r="N285" s="55" t="n">
        <x:v>3400</x:v>
      </x:c>
      <x:c r="O285" s="55" t="n">
        <x:v>2010</x:v>
      </x:c>
      <x:c r="P285" s="55" t="n">
        <x:v>809</x:v>
      </x:c>
      <x:c r="Q285" s="55" t="n">
        <x:v>1758</x:v>
      </x:c>
      <x:c r="R285" s="55" t="n">
        <x:v>2245</x:v>
      </x:c>
      <x:c r="S285" s="55" t="n">
        <x:v>2649</x:v>
      </x:c>
      <x:c r="T285" s="55" t="n">
        <x:v>1280</x:v>
      </x:c>
      <x:c r="U285" s="55" t="n">
        <x:v>2651</x:v>
      </x:c>
      <x:c r="V285" s="55" t="n">
        <x:v>10126</x:v>
      </x:c>
      <x:c r="W285" s="55" t="n">
        <x:v>7469</x:v>
      </x:c>
      <x:c r="X285" s="55" t="n">
        <x:v>2657</x:v>
      </x:c>
      <x:c r="Y285" s="55" t="n">
        <x:v>2334</x:v>
      </x:c>
      <x:c r="Z285" s="55" t="n">
        <x:v>3489</x:v>
      </x:c>
      <x:c r="AA285" s="55" t="n">
        <x:v>2719</x:v>
      </x:c>
      <x:c r="AB285" s="55" t="n">
        <x:v>591</x:v>
      </x:c>
      <x:c r="AC285" s="55" t="n">
        <x:v>7851</x:v>
      </x:c>
      <x:c r="AD285" s="55" t="n">
        <x:v>2527</x:v>
      </x:c>
      <x:c r="AE285" s="55" t="n">
        <x:v>10257</x:v>
      </x:c>
      <x:c r="AF285" s="55" t="n">
        <x:v>10126</x:v>
      </x:c>
      <x:c r="AG285" s="55" t="n">
        <x:v>131</x:v>
      </x:c>
      <x:c r="AH285" s="55" t="n">
        <x:v>390</x:v>
      </x:c>
      <x:c r="AI285" s="55" t="n">
        <x:v>9736</x:v>
      </x:c>
      <x:c r="AJ285" s="55" t="n">
        <x:v>261</x:v>
      </x:c>
      <x:c r="AK285" s="55" t="n">
        <x:v>1122</x:v>
      </x:c>
      <x:c r="AL285" s="55" t="n">
        <x:v>1784</x:v>
      </x:c>
      <x:c r="AM285" s="55" t="n">
        <x:v>4843</x:v>
      </x:c>
      <x:c r="AN285" s="55" t="n">
        <x:v>2103</x:v>
      </x:c>
      <x:c r="AO285" s="55" t="n">
        <x:v>13</x:v>
      </x:c>
      <x:c r="AP285" s="55" t="n">
        <x:v>2310</x:v>
      </x:c>
      <x:c r="AQ285" s="55" t="n">
        <x:v>940</x:v>
      </x:c>
    </x:row>
    <x:row r="286">
      <x:c r="A286" s="54" t="str">
        <x:v>T0_TABLE_BLOCK</x:v>
      </x:c>
      <x:c r="B286" s="54" t="n">
        <x:v>280</x:v>
      </x:c>
      <x:c r="C286" s="54" t="str">
        <x:v>NYC-V2-R01</x:v>
      </x:c>
      <x:c r="D286" s="54" t="str">
        <x:v>V2</x:v>
      </x:c>
      <x:c r="E286" s="54" t="str">
        <x:v>ADMITTED</x:v>
      </x:c>
      <x:c r="F286" s="55" t="n">
        <x:v>32638</x:v>
      </x:c>
      <x:c r="G286" s="55" t="n">
        <x:v>8944</x:v>
      </x:c>
      <x:c r="H286" s="55" t="n">
        <x:v>3561</x:v>
      </x:c>
      <x:c r="I286" s="55" t="n">
        <x:v>1154</x:v>
      </x:c>
      <x:c r="J286" s="55" t="n">
        <x:v>243</x:v>
      </x:c>
      <x:c r="K286" s="55" t="n">
        <x:v>29457</x:v>
      </x:c>
      <x:c r="L286" s="55" t="n">
        <x:v>5750</x:v>
      </x:c>
      <x:c r="M286" s="55" t="n">
        <x:v>692</x:v>
      </x:c>
      <x:c r="N286" s="55" t="n">
        <x:v>3382</x:v>
      </x:c>
      <x:c r="O286" s="55" t="n">
        <x:v>1676</x:v>
      </x:c>
      <x:c r="P286" s="55" t="n">
        <x:v>719</x:v>
      </x:c>
      <x:c r="Q286" s="55" t="n">
        <x:v>1928</x:v>
      </x:c>
      <x:c r="R286" s="55" t="n">
        <x:v>1365</x:v>
      </x:c>
      <x:c r="S286" s="55" t="n">
        <x:v>2650</x:v>
      </x:c>
      <x:c r="T286" s="55" t="n">
        <x:v>734</x:v>
      </x:c>
      <x:c r="U286" s="55" t="n">
        <x:v>1942</x:v>
      </x:c>
      <x:c r="V286" s="55" t="n">
        <x:v>10799</x:v>
      </x:c>
      <x:c r="W286" s="55" t="n">
        <x:v>7437</x:v>
      </x:c>
      <x:c r="X286" s="55" t="n">
        <x:v>3362</x:v>
      </x:c>
      <x:c r="Y286" s="55" t="n">
        <x:v>3011</x:v>
      </x:c>
      <x:c r="Z286" s="55" t="n">
        <x:v>4006</x:v>
      </x:c>
      <x:c r="AA286" s="55" t="n">
        <x:v>3561</x:v>
      </x:c>
      <x:c r="AB286" s="55" t="n">
        <x:v>1091</x:v>
      </x:c>
      <x:c r="AC286" s="55" t="n">
        <x:v>7800</x:v>
      </x:c>
      <x:c r="AD286" s="55" t="n">
        <x:v>2886</x:v>
      </x:c>
      <x:c r="AE286" s="55" t="n">
        <x:v>10816</x:v>
      </x:c>
      <x:c r="AF286" s="55" t="n">
        <x:v>10799</x:v>
      </x:c>
      <x:c r="AG286" s="55" t="n">
        <x:v>17</x:v>
      </x:c>
      <x:c r="AH286" s="55" t="n">
        <x:v>434</x:v>
      </x:c>
      <x:c r="AI286" s="55" t="n">
        <x:v>10365</x:v>
      </x:c>
      <x:c r="AJ286" s="55" t="n">
        <x:v>427</x:v>
      </x:c>
      <x:c r="AK286" s="55" t="n">
        <x:v>930</x:v>
      </x:c>
      <x:c r="AL286" s="55" t="n">
        <x:v>1796</x:v>
      </x:c>
      <x:c r="AM286" s="55" t="n">
        <x:v>4665</x:v>
      </x:c>
      <x:c r="AN286" s="55" t="n">
        <x:v>2939</x:v>
      </x:c>
      <x:c r="AO286" s="55" t="n">
        <x:v>42</x:v>
      </x:c>
      <x:c r="AP286" s="55" t="n">
        <x:v>2509</x:v>
      </x:c>
      <x:c r="AQ286" s="55" t="n">
        <x:v>970</x:v>
      </x:c>
    </x:row>
    <x:row r="287">
      <x:c r="A287" s="54" t="str">
        <x:v>T0_TABLE_BLOCK</x:v>
      </x:c>
      <x:c r="B287" s="54" t="n">
        <x:v>281</x:v>
      </x:c>
      <x:c r="C287" s="54" t="str">
        <x:v>NYC-V2-R01</x:v>
      </x:c>
      <x:c r="D287" s="54" t="str">
        <x:v>V2</x:v>
      </x:c>
      <x:c r="E287" s="54" t="str">
        <x:v>ADMITTED</x:v>
      </x:c>
      <x:c r="F287" s="55" t="n">
        <x:v>31494</x:v>
      </x:c>
      <x:c r="G287" s="55" t="n">
        <x:v>6710</x:v>
      </x:c>
      <x:c r="H287" s="55" t="n">
        <x:v>3103</x:v>
      </x:c>
      <x:c r="I287" s="55" t="n">
        <x:v>1475</x:v>
      </x:c>
      <x:c r="J287" s="55" t="n">
        <x:v>213</x:v>
      </x:c>
      <x:c r="K287" s="55" t="n">
        <x:v>31494</x:v>
      </x:c>
      <x:c r="L287" s="55" t="n">
        <x:v>7297</x:v>
      </x:c>
      <x:c r="M287" s="55" t="n">
        <x:v>2449</x:v>
      </x:c>
      <x:c r="N287" s="55" t="n">
        <x:v>2827</x:v>
      </x:c>
      <x:c r="O287" s="55" t="n">
        <x:v>2021</x:v>
      </x:c>
      <x:c r="P287" s="55" t="n">
        <x:v>594</x:v>
      </x:c>
      <x:c r="Q287" s="55" t="n">
        <x:v>2053</x:v>
      </x:c>
      <x:c r="R287" s="55" t="n">
        <x:v>1664</x:v>
      </x:c>
      <x:c r="S287" s="55" t="n">
        <x:v>2497</x:v>
      </x:c>
      <x:c r="T287" s="55" t="n">
        <x:v>1353</x:v>
      </x:c>
      <x:c r="U287" s="55" t="n">
        <x:v>1635</x:v>
      </x:c>
      <x:c r="V287" s="55" t="n">
        <x:v>10767</x:v>
      </x:c>
      <x:c r="W287" s="55" t="n">
        <x:v>7477</x:v>
      </x:c>
      <x:c r="X287" s="55" t="n">
        <x:v>3290</x:v>
      </x:c>
      <x:c r="Y287" s="55" t="n">
        <x:v>2900</x:v>
      </x:c>
      <x:c r="Z287" s="55" t="n">
        <x:v>4196</x:v>
      </x:c>
      <x:c r="AA287" s="55" t="n">
        <x:v>2335</x:v>
      </x:c>
      <x:c r="AB287" s="55" t="n">
        <x:v>826</x:v>
      </x:c>
      <x:c r="AC287" s="55" t="n">
        <x:v>7833</x:v>
      </x:c>
      <x:c r="AD287" s="55" t="n">
        <x:v>2726</x:v>
      </x:c>
      <x:c r="AE287" s="55" t="n">
        <x:v>10791</x:v>
      </x:c>
      <x:c r="AF287" s="55" t="n">
        <x:v>10767</x:v>
      </x:c>
      <x:c r="AG287" s="55" t="n">
        <x:v>24</x:v>
      </x:c>
      <x:c r="AH287" s="55" t="n">
        <x:v>233</x:v>
      </x:c>
      <x:c r="AI287" s="55" t="n">
        <x:v>10534</x:v>
      </x:c>
      <x:c r="AJ287" s="55" t="n">
        <x:v>421</x:v>
      </x:c>
      <x:c r="AK287" s="55" t="n">
        <x:v>1306</x:v>
      </x:c>
      <x:c r="AL287" s="55" t="n">
        <x:v>1531</x:v>
      </x:c>
      <x:c r="AM287" s="55" t="n">
        <x:v>4550</x:v>
      </x:c>
      <x:c r="AN287" s="55" t="n">
        <x:v>2959</x:v>
      </x:c>
      <x:c r="AO287" s="55" t="n">
        <x:v>0</x:v>
      </x:c>
      <x:c r="AP287" s="55" t="n">
        <x:v>1950</x:v>
      </x:c>
      <x:c r="AQ287" s="55" t="n">
        <x:v>980</x:v>
      </x:c>
    </x:row>
    <x:row r="288">
      <x:c r="A288" s="54" t="str">
        <x:v>T0_TABLE_BLOCK</x:v>
      </x:c>
      <x:c r="B288" s="54" t="n">
        <x:v>282</x:v>
      </x:c>
      <x:c r="C288" s="54" t="str">
        <x:v>NYC-V2-R01</x:v>
      </x:c>
      <x:c r="D288" s="54" t="str">
        <x:v>V2</x:v>
      </x:c>
      <x:c r="E288" s="54" t="str">
        <x:v>ADMITTED</x:v>
      </x:c>
      <x:c r="F288" s="55" t="n">
        <x:v>31135</x:v>
      </x:c>
      <x:c r="G288" s="55" t="n">
        <x:v>8071</x:v>
      </x:c>
      <x:c r="H288" s="55" t="n">
        <x:v>3511</x:v>
      </x:c>
      <x:c r="I288" s="55" t="n">
        <x:v>1461</x:v>
      </x:c>
      <x:c r="J288" s="55" t="n">
        <x:v>344</x:v>
      </x:c>
      <x:c r="K288" s="55" t="n">
        <x:v>28287</x:v>
      </x:c>
      <x:c r="L288" s="55" t="n">
        <x:v>5097</x:v>
      </x:c>
      <x:c r="M288" s="55" t="n">
        <x:v>0</x:v>
      </x:c>
      <x:c r="N288" s="55" t="n">
        <x:v>2672</x:v>
      </x:c>
      <x:c r="O288" s="55" t="n">
        <x:v>2425</x:v>
      </x:c>
      <x:c r="P288" s="55" t="n">
        <x:v>819</x:v>
      </x:c>
      <x:c r="Q288" s="55" t="n">
        <x:v>1679</x:v>
      </x:c>
      <x:c r="R288" s="55" t="n">
        <x:v>1587</x:v>
      </x:c>
      <x:c r="S288" s="55" t="n">
        <x:v>3309</x:v>
      </x:c>
      <x:c r="T288" s="55" t="n">
        <x:v>815</x:v>
      </x:c>
      <x:c r="U288" s="55" t="n">
        <x:v>1884</x:v>
      </x:c>
      <x:c r="V288" s="55" t="n">
        <x:v>10504</x:v>
      </x:c>
      <x:c r="W288" s="55" t="n">
        <x:v>7218</x:v>
      </x:c>
      <x:c r="X288" s="55" t="n">
        <x:v>3286</x:v>
      </x:c>
      <x:c r="Y288" s="55" t="n">
        <x:v>2750</x:v>
      </x:c>
      <x:c r="Z288" s="55" t="n">
        <x:v>4405</x:v>
      </x:c>
      <x:c r="AA288" s="55" t="n">
        <x:v>2655</x:v>
      </x:c>
      <x:c r="AB288" s="55" t="n">
        <x:v>742</x:v>
      </x:c>
      <x:c r="AC288" s="55" t="n">
        <x:v>8523</x:v>
      </x:c>
      <x:c r="AD288" s="55" t="n">
        <x:v>2675</x:v>
      </x:c>
      <x:c r="AE288" s="55" t="n">
        <x:v>10596</x:v>
      </x:c>
      <x:c r="AF288" s="55" t="n">
        <x:v>10504</x:v>
      </x:c>
      <x:c r="AG288" s="55" t="n">
        <x:v>92</x:v>
      </x:c>
      <x:c r="AH288" s="55" t="n">
        <x:v>613</x:v>
      </x:c>
      <x:c r="AI288" s="55" t="n">
        <x:v>9891</x:v>
      </x:c>
      <x:c r="AJ288" s="55" t="n">
        <x:v>405</x:v>
      </x:c>
      <x:c r="AK288" s="55" t="n">
        <x:v>900</x:v>
      </x:c>
      <x:c r="AL288" s="55" t="n">
        <x:v>1521</x:v>
      </x:c>
      <x:c r="AM288" s="55" t="n">
        <x:v>4919</x:v>
      </x:c>
      <x:c r="AN288" s="55" t="n">
        <x:v>2759</x:v>
      </x:c>
      <x:c r="AO288" s="55" t="n">
        <x:v>0</x:v>
      </x:c>
      <x:c r="AP288" s="55" t="n">
        <x:v>2282</x:v>
      </x:c>
      <x:c r="AQ288" s="55" t="n">
        <x:v>952</x:v>
      </x:c>
    </x:row>
    <x:row r="289">
      <x:c r="A289" s="54" t="str">
        <x:v>T0_TABLE_BLOCK</x:v>
      </x:c>
      <x:c r="B289" s="54" t="n">
        <x:v>283</x:v>
      </x:c>
      <x:c r="C289" s="54" t="str">
        <x:v>NYC-V2-R01</x:v>
      </x:c>
      <x:c r="D289" s="54" t="str">
        <x:v>V2</x:v>
      </x:c>
      <x:c r="E289" s="54" t="str">
        <x:v>ADMITTED</x:v>
      </x:c>
      <x:c r="F289" s="55" t="n">
        <x:v>30702</x:v>
      </x:c>
      <x:c r="G289" s="55" t="n">
        <x:v>8649</x:v>
      </x:c>
      <x:c r="H289" s="55" t="n">
        <x:v>3154</x:v>
      </x:c>
      <x:c r="I289" s="55" t="n">
        <x:v>1061</x:v>
      </x:c>
      <x:c r="J289" s="55" t="n">
        <x:v>104</x:v>
      </x:c>
      <x:c r="K289" s="55" t="n">
        <x:v>29515</x:v>
      </x:c>
      <x:c r="L289" s="55" t="n">
        <x:v>4196</x:v>
      </x:c>
      <x:c r="M289" s="55" t="n">
        <x:v>306</x:v>
      </x:c>
      <x:c r="N289" s="55" t="n">
        <x:v>2522</x:v>
      </x:c>
      <x:c r="O289" s="55" t="n">
        <x:v>1368</x:v>
      </x:c>
      <x:c r="P289" s="55" t="n">
        <x:v>830</x:v>
      </x:c>
      <x:c r="Q289" s="55" t="n">
        <x:v>1068</x:v>
      </x:c>
      <x:c r="R289" s="55" t="n">
        <x:v>1758</x:v>
      </x:c>
      <x:c r="S289" s="55" t="n">
        <x:v>2575</x:v>
      </x:c>
      <x:c r="T289" s="55" t="n">
        <x:v>1813</x:v>
      </x:c>
      <x:c r="U289" s="55" t="n">
        <x:v>1794</x:v>
      </x:c>
      <x:c r="V289" s="55" t="n">
        <x:v>10599</x:v>
      </x:c>
      <x:c r="W289" s="55" t="n">
        <x:v>7324</x:v>
      </x:c>
      <x:c r="X289" s="55" t="n">
        <x:v>3275</x:v>
      </x:c>
      <x:c r="Y289" s="55" t="n">
        <x:v>2861</x:v>
      </x:c>
      <x:c r="Z289" s="55" t="n">
        <x:v>4079</x:v>
      </x:c>
      <x:c r="AA289" s="55" t="n">
        <x:v>3154</x:v>
      </x:c>
      <x:c r="AB289" s="55" t="n">
        <x:v>1381</x:v>
      </x:c>
      <x:c r="AC289" s="55" t="n">
        <x:v>7639</x:v>
      </x:c>
      <x:c r="AD289" s="55" t="n">
        <x:v>2332</x:v>
      </x:c>
      <x:c r="AE289" s="55" t="n">
        <x:v>10676</x:v>
      </x:c>
      <x:c r="AF289" s="55" t="n">
        <x:v>10599</x:v>
      </x:c>
      <x:c r="AG289" s="55" t="n">
        <x:v>77</x:v>
      </x:c>
      <x:c r="AH289" s="55" t="n">
        <x:v>431</x:v>
      </x:c>
      <x:c r="AI289" s="55" t="n">
        <x:v>10168</x:v>
      </x:c>
      <x:c r="AJ289" s="55" t="n">
        <x:v>449</x:v>
      </x:c>
      <x:c r="AK289" s="55" t="n">
        <x:v>1230</x:v>
      </x:c>
      <x:c r="AL289" s="55" t="n">
        <x:v>1572</x:v>
      </x:c>
      <x:c r="AM289" s="55" t="n">
        <x:v>5059</x:v>
      </x:c>
      <x:c r="AN289" s="55" t="n">
        <x:v>2213</x:v>
      </x:c>
      <x:c r="AO289" s="55" t="n">
        <x:v>76</x:v>
      </x:c>
      <x:c r="AP289" s="55" t="n">
        <x:v>2004</x:v>
      </x:c>
      <x:c r="AQ289" s="55" t="n">
        <x:v>978</x:v>
      </x:c>
    </x:row>
    <x:row r="290">
      <x:c r="A290" s="54" t="str">
        <x:v>T0_TABLE_BLOCK</x:v>
      </x:c>
      <x:c r="B290" s="54" t="n">
        <x:v>284</x:v>
      </x:c>
      <x:c r="C290" s="54" t="str">
        <x:v>NYC-V2-R01</x:v>
      </x:c>
      <x:c r="D290" s="54" t="str">
        <x:v>V2</x:v>
      </x:c>
      <x:c r="E290" s="54" t="str">
        <x:v>ADMITTED</x:v>
      </x:c>
      <x:c r="F290" s="55" t="n">
        <x:v>31770</x:v>
      </x:c>
      <x:c r="G290" s="55" t="n">
        <x:v>8219</x:v>
      </x:c>
      <x:c r="H290" s="55" t="n">
        <x:v>2912</x:v>
      </x:c>
      <x:c r="I290" s="55" t="n">
        <x:v>858</x:v>
      </x:c>
      <x:c r="J290" s="55" t="n">
        <x:v>287</x:v>
      </x:c>
      <x:c r="K290" s="55" t="n">
        <x:v>31770</x:v>
      </x:c>
      <x:c r="L290" s="55" t="n">
        <x:v>5013</x:v>
      </x:c>
      <x:c r="M290" s="55" t="n">
        <x:v>1038</x:v>
      </x:c>
      <x:c r="N290" s="55" t="n">
        <x:v>2461</x:v>
      </x:c>
      <x:c r="O290" s="55" t="n">
        <x:v>1514</x:v>
      </x:c>
      <x:c r="P290" s="55" t="n">
        <x:v>959</x:v>
      </x:c>
      <x:c r="Q290" s="55" t="n">
        <x:v>2022</x:v>
      </x:c>
      <x:c r="R290" s="55" t="n">
        <x:v>1871</x:v>
      </x:c>
      <x:c r="S290" s="55" t="n">
        <x:v>2918</x:v>
      </x:c>
      <x:c r="T290" s="55" t="n">
        <x:v>1556</x:v>
      </x:c>
      <x:c r="U290" s="55" t="n">
        <x:v>1815</x:v>
      </x:c>
      <x:c r="V290" s="55" t="n">
        <x:v>10503</x:v>
      </x:c>
      <x:c r="W290" s="55" t="n">
        <x:v>7383</x:v>
      </x:c>
      <x:c r="X290" s="55" t="n">
        <x:v>3120</x:v>
      </x:c>
      <x:c r="Y290" s="55" t="n">
        <x:v>2630</x:v>
      </x:c>
      <x:c r="Z290" s="55" t="n">
        <x:v>3712</x:v>
      </x:c>
      <x:c r="AA290" s="55" t="n">
        <x:v>2912</x:v>
      </x:c>
      <x:c r="AB290" s="55" t="n">
        <x:v>1271</x:v>
      </x:c>
      <x:c r="AC290" s="55" t="n">
        <x:v>7773</x:v>
      </x:c>
      <x:c r="AD290" s="55" t="n">
        <x:v>3381</x:v>
      </x:c>
      <x:c r="AE290" s="55" t="n">
        <x:v>10521</x:v>
      </x:c>
      <x:c r="AF290" s="55" t="n">
        <x:v>10503</x:v>
      </x:c>
      <x:c r="AG290" s="55" t="n">
        <x:v>18</x:v>
      </x:c>
      <x:c r="AH290" s="55" t="n">
        <x:v>471</x:v>
      </x:c>
      <x:c r="AI290" s="55" t="n">
        <x:v>10032</x:v>
      </x:c>
      <x:c r="AJ290" s="55" t="n">
        <x:v>497</x:v>
      </x:c>
      <x:c r="AK290" s="55" t="n">
        <x:v>1128</x:v>
      </x:c>
      <x:c r="AL290" s="55" t="n">
        <x:v>1488</x:v>
      </x:c>
      <x:c r="AM290" s="55" t="n">
        <x:v>4761</x:v>
      </x:c>
      <x:c r="AN290" s="55" t="n">
        <x:v>2629</x:v>
      </x:c>
      <x:c r="AO290" s="55" t="n">
        <x:v>0</x:v>
      </x:c>
      <x:c r="AP290" s="55" t="n">
        <x:v>2659</x:v>
      </x:c>
      <x:c r="AQ290" s="55" t="n">
        <x:v>928</x:v>
      </x:c>
    </x:row>
    <x:row r="291">
      <x:c r="A291" s="54" t="str">
        <x:v>T0_TABLE_BLOCK</x:v>
      </x:c>
      <x:c r="B291" s="54" t="n">
        <x:v>285</x:v>
      </x:c>
      <x:c r="C291" s="54" t="str">
        <x:v>NYC-V2-R01</x:v>
      </x:c>
      <x:c r="D291" s="54" t="str">
        <x:v>V2</x:v>
      </x:c>
      <x:c r="E291" s="54" t="str">
        <x:v>ADMITTED</x:v>
      </x:c>
      <x:c r="F291" s="55" t="n">
        <x:v>30837</x:v>
      </x:c>
      <x:c r="G291" s="55" t="n">
        <x:v>7537</x:v>
      </x:c>
      <x:c r="H291" s="55" t="n">
        <x:v>3356</x:v>
      </x:c>
      <x:c r="I291" s="55" t="n">
        <x:v>1587</x:v>
      </x:c>
      <x:c r="J291" s="55" t="n">
        <x:v>181</x:v>
      </x:c>
      <x:c r="K291" s="55" t="n">
        <x:v>30469</x:v>
      </x:c>
      <x:c r="L291" s="55" t="n">
        <x:v>6167</x:v>
      </x:c>
      <x:c r="M291" s="55" t="n">
        <x:v>1474</x:v>
      </x:c>
      <x:c r="N291" s="55" t="n">
        <x:v>3110</x:v>
      </x:c>
      <x:c r="O291" s="55" t="n">
        <x:v>1583</x:v>
      </x:c>
      <x:c r="P291" s="55" t="n">
        <x:v>1186</x:v>
      </x:c>
      <x:c r="Q291" s="55" t="n">
        <x:v>2010</x:v>
      </x:c>
      <x:c r="R291" s="55" t="n">
        <x:v>1815</x:v>
      </x:c>
      <x:c r="S291" s="55" t="n">
        <x:v>2506</x:v>
      </x:c>
      <x:c r="T291" s="55" t="n">
        <x:v>1211</x:v>
      </x:c>
      <x:c r="U291" s="55" t="n">
        <x:v>1911</x:v>
      </x:c>
      <x:c r="V291" s="55" t="n">
        <x:v>9740</x:v>
      </x:c>
      <x:c r="W291" s="55" t="n">
        <x:v>6840</x:v>
      </x:c>
      <x:c r="X291" s="55" t="n">
        <x:v>2900</x:v>
      </x:c>
      <x:c r="Y291" s="55" t="n">
        <x:v>2472</x:v>
      </x:c>
      <x:c r="Z291" s="55" t="n">
        <x:v>3211</x:v>
      </x:c>
      <x:c r="AA291" s="55" t="n">
        <x:v>3356</x:v>
      </x:c>
      <x:c r="AB291" s="55" t="n">
        <x:v>924</x:v>
      </x:c>
      <x:c r="AC291" s="55" t="n">
        <x:v>7839</x:v>
      </x:c>
      <x:c r="AD291" s="55" t="n">
        <x:v>2689</x:v>
      </x:c>
      <x:c r="AE291" s="55" t="n">
        <x:v>9764</x:v>
      </x:c>
      <x:c r="AF291" s="55" t="n">
        <x:v>9740</x:v>
      </x:c>
      <x:c r="AG291" s="55" t="n">
        <x:v>24</x:v>
      </x:c>
      <x:c r="AH291" s="55" t="n">
        <x:v>359</x:v>
      </x:c>
      <x:c r="AI291" s="55" t="n">
        <x:v>9381</x:v>
      </x:c>
      <x:c r="AJ291" s="55" t="n">
        <x:v>474</x:v>
      </x:c>
      <x:c r="AK291" s="55" t="n">
        <x:v>1034</x:v>
      </x:c>
      <x:c r="AL291" s="55" t="n">
        <x:v>1487</x:v>
      </x:c>
      <x:c r="AM291" s="55" t="n">
        <x:v>4452</x:v>
      </x:c>
      <x:c r="AN291" s="55" t="n">
        <x:v>2272</x:v>
      </x:c>
      <x:c r="AO291" s="55" t="n">
        <x:v>21</x:v>
      </x:c>
      <x:c r="AP291" s="55" t="n">
        <x:v>2301</x:v>
      </x:c>
      <x:c r="AQ291" s="55" t="n">
        <x:v>934</x:v>
      </x:c>
    </x:row>
    <x:row r="292">
      <x:c r="A292" s="54" t="str">
        <x:v>T0_TABLE_BLOCK</x:v>
      </x:c>
      <x:c r="B292" s="54" t="n">
        <x:v>286</x:v>
      </x:c>
      <x:c r="C292" s="54" t="str">
        <x:v>NYC-V2-R01</x:v>
      </x:c>
      <x:c r="D292" s="54" t="str">
        <x:v>V2</x:v>
      </x:c>
      <x:c r="E292" s="54" t="str">
        <x:v>ADMITTED</x:v>
      </x:c>
      <x:c r="F292" s="55" t="n">
        <x:v>31870</x:v>
      </x:c>
      <x:c r="G292" s="55" t="n">
        <x:v>6403</x:v>
      </x:c>
      <x:c r="H292" s="55" t="n">
        <x:v>3446</x:v>
      </x:c>
      <x:c r="I292" s="55" t="n">
        <x:v>1353</x:v>
      </x:c>
      <x:c r="J292" s="55" t="n">
        <x:v>219</x:v>
      </x:c>
      <x:c r="K292" s="55" t="n">
        <x:v>31870</x:v>
      </x:c>
      <x:c r="L292" s="55" t="n">
        <x:v>5666</x:v>
      </x:c>
      <x:c r="M292" s="55" t="n">
        <x:v>1790</x:v>
      </x:c>
      <x:c r="N292" s="55" t="n">
        <x:v>2152</x:v>
      </x:c>
      <x:c r="O292" s="55" t="n">
        <x:v>1724</x:v>
      </x:c>
      <x:c r="P292" s="55" t="n">
        <x:v>730</x:v>
      </x:c>
      <x:c r="Q292" s="55" t="n">
        <x:v>2378</x:v>
      </x:c>
      <x:c r="R292" s="55" t="n">
        <x:v>2070</x:v>
      </x:c>
      <x:c r="S292" s="55" t="n">
        <x:v>3501</x:v>
      </x:c>
      <x:c r="T292" s="55" t="n">
        <x:v>1205</x:v>
      </x:c>
      <x:c r="U292" s="55" t="n">
        <x:v>1580</x:v>
      </x:c>
      <x:c r="V292" s="55" t="n">
        <x:v>10201</x:v>
      </x:c>
      <x:c r="W292" s="55" t="n">
        <x:v>7243</x:v>
      </x:c>
      <x:c r="X292" s="55" t="n">
        <x:v>2958</x:v>
      </x:c>
      <x:c r="Y292" s="55" t="n">
        <x:v>2517</x:v>
      </x:c>
      <x:c r="Z292" s="55" t="n">
        <x:v>3964</x:v>
      </x:c>
      <x:c r="AA292" s="55" t="n">
        <x:v>3185</x:v>
      </x:c>
      <x:c r="AB292" s="55" t="n">
        <x:v>1243</x:v>
      </x:c>
      <x:c r="AC292" s="55" t="n">
        <x:v>8102</x:v>
      </x:c>
      <x:c r="AD292" s="55" t="n">
        <x:v>3350</x:v>
      </x:c>
      <x:c r="AE292" s="55" t="n">
        <x:v>10309</x:v>
      </x:c>
      <x:c r="AF292" s="55" t="n">
        <x:v>10201</x:v>
      </x:c>
      <x:c r="AG292" s="55" t="n">
        <x:v>108</x:v>
      </x:c>
      <x:c r="AH292" s="55" t="n">
        <x:v>254</x:v>
      </x:c>
      <x:c r="AI292" s="55" t="n">
        <x:v>9947</x:v>
      </x:c>
      <x:c r="AJ292" s="55" t="n">
        <x:v>194</x:v>
      </x:c>
      <x:c r="AK292" s="55" t="n">
        <x:v>850</x:v>
      </x:c>
      <x:c r="AL292" s="55" t="n">
        <x:v>1417</x:v>
      </x:c>
      <x:c r="AM292" s="55" t="n">
        <x:v>4487</x:v>
      </x:c>
      <x:c r="AN292" s="55" t="n">
        <x:v>3253</x:v>
      </x:c>
      <x:c r="AO292" s="55" t="n">
        <x:v>0</x:v>
      </x:c>
      <x:c r="AP292" s="55" t="n">
        <x:v>2643</x:v>
      </x:c>
      <x:c r="AQ292" s="55" t="n">
        <x:v>955</x:v>
      </x:c>
    </x:row>
    <x:row r="293">
      <x:c r="A293" s="54" t="str">
        <x:v>T0_TABLE_BLOCK</x:v>
      </x:c>
      <x:c r="B293" s="54" t="n">
        <x:v>287</x:v>
      </x:c>
      <x:c r="C293" s="54" t="str">
        <x:v>NYC-V2-R01</x:v>
      </x:c>
      <x:c r="D293" s="54" t="str">
        <x:v>V2</x:v>
      </x:c>
      <x:c r="E293" s="54" t="str">
        <x:v>ADMITTED</x:v>
      </x:c>
      <x:c r="F293" s="55" t="n">
        <x:v>32048</x:v>
      </x:c>
      <x:c r="G293" s="55" t="n">
        <x:v>8210</x:v>
      </x:c>
      <x:c r="H293" s="55" t="n">
        <x:v>3485</x:v>
      </x:c>
      <x:c r="I293" s="55" t="n">
        <x:v>1116</x:v>
      </x:c>
      <x:c r="J293" s="55" t="n">
        <x:v>173</x:v>
      </x:c>
      <x:c r="K293" s="55" t="n">
        <x:v>30775</x:v>
      </x:c>
      <x:c r="L293" s="55" t="n">
        <x:v>7196</x:v>
      </x:c>
      <x:c r="M293" s="55" t="n">
        <x:v>1390</x:v>
      </x:c>
      <x:c r="N293" s="55" t="n">
        <x:v>3667</x:v>
      </x:c>
      <x:c r="O293" s="55" t="n">
        <x:v>2139</x:v>
      </x:c>
      <x:c r="P293" s="55" t="n">
        <x:v>744</x:v>
      </x:c>
      <x:c r="Q293" s="55" t="n">
        <x:v>2204</x:v>
      </x:c>
      <x:c r="R293" s="55" t="n">
        <x:v>2557</x:v>
      </x:c>
      <x:c r="S293" s="55" t="n">
        <x:v>2770</x:v>
      </x:c>
      <x:c r="T293" s="55" t="n">
        <x:v>1262</x:v>
      </x:c>
      <x:c r="U293" s="55" t="n">
        <x:v>1817</x:v>
      </x:c>
      <x:c r="V293" s="55" t="n">
        <x:v>9427</x:v>
      </x:c>
      <x:c r="W293" s="55" t="n">
        <x:v>6005</x:v>
      </x:c>
      <x:c r="X293" s="55" t="n">
        <x:v>3422</x:v>
      </x:c>
      <x:c r="Y293" s="55" t="n">
        <x:v>2969</x:v>
      </x:c>
      <x:c r="Z293" s="55" t="n">
        <x:v>3897</x:v>
      </x:c>
      <x:c r="AA293" s="55" t="n">
        <x:v>3485</x:v>
      </x:c>
      <x:c r="AB293" s="55" t="n">
        <x:v>1522</x:v>
      </x:c>
      <x:c r="AC293" s="55" t="n">
        <x:v>7940</x:v>
      </x:c>
      <x:c r="AD293" s="55" t="n">
        <x:v>2341</x:v>
      </x:c>
      <x:c r="AE293" s="55" t="n">
        <x:v>9512</x:v>
      </x:c>
      <x:c r="AF293" s="55" t="n">
        <x:v>9427</x:v>
      </x:c>
      <x:c r="AG293" s="55" t="n">
        <x:v>85</x:v>
      </x:c>
      <x:c r="AH293" s="55" t="n">
        <x:v>484</x:v>
      </x:c>
      <x:c r="AI293" s="55" t="n">
        <x:v>8943</x:v>
      </x:c>
      <x:c r="AJ293" s="55" t="n">
        <x:v>172</x:v>
      </x:c>
      <x:c r="AK293" s="55" t="n">
        <x:v>1144</x:v>
      </x:c>
      <x:c r="AL293" s="55" t="n">
        <x:v>1250</x:v>
      </x:c>
      <x:c r="AM293" s="55" t="n">
        <x:v>4624</x:v>
      </x:c>
      <x:c r="AN293" s="55" t="n">
        <x:v>2237</x:v>
      </x:c>
      <x:c r="AO293" s="55" t="n">
        <x:v>0</x:v>
      </x:c>
      <x:c r="AP293" s="55" t="n">
        <x:v>2357</x:v>
      </x:c>
      <x:c r="AQ293" s="55" t="n">
        <x:v>962</x:v>
      </x:c>
    </x:row>
    <x:row r="294">
      <x:c r="A294" s="54" t="str">
        <x:v>T0_TABLE_BLOCK</x:v>
      </x:c>
      <x:c r="B294" s="54" t="n">
        <x:v>288</x:v>
      </x:c>
      <x:c r="C294" s="54" t="str">
        <x:v>NYC-V2-R01</x:v>
      </x:c>
      <x:c r="D294" s="54" t="str">
        <x:v>V2</x:v>
      </x:c>
      <x:c r="E294" s="54" t="str">
        <x:v>ADMITTED</x:v>
      </x:c>
      <x:c r="F294" s="55" t="n">
        <x:v>30748</x:v>
      </x:c>
      <x:c r="G294" s="55" t="n">
        <x:v>7739</x:v>
      </x:c>
      <x:c r="H294" s="55" t="n">
        <x:v>3049</x:v>
      </x:c>
      <x:c r="I294" s="55" t="n">
        <x:v>1005</x:v>
      </x:c>
      <x:c r="J294" s="55" t="n">
        <x:v>61</x:v>
      </x:c>
      <x:c r="K294" s="55" t="n">
        <x:v>29618</x:v>
      </x:c>
      <x:c r="L294" s="55" t="n">
        <x:v>5175</x:v>
      </x:c>
      <x:c r="M294" s="55" t="n">
        <x:v>1416</x:v>
      </x:c>
      <x:c r="N294" s="55" t="n">
        <x:v>2464</x:v>
      </x:c>
      <x:c r="O294" s="55" t="n">
        <x:v>1295</x:v>
      </x:c>
      <x:c r="P294" s="55" t="n">
        <x:v>785</x:v>
      </x:c>
      <x:c r="Q294" s="55" t="n">
        <x:v>3105</x:v>
      </x:c>
      <x:c r="R294" s="55" t="n">
        <x:v>2046</x:v>
      </x:c>
      <x:c r="S294" s="55" t="n">
        <x:v>2740</x:v>
      </x:c>
      <x:c r="T294" s="55" t="n">
        <x:v>1563</x:v>
      </x:c>
      <x:c r="U294" s="55" t="n">
        <x:v>1969</x:v>
      </x:c>
      <x:c r="V294" s="55" t="n">
        <x:v>9646</x:v>
      </x:c>
      <x:c r="W294" s="55" t="n">
        <x:v>6227</x:v>
      </x:c>
      <x:c r="X294" s="55" t="n">
        <x:v>3419</x:v>
      </x:c>
      <x:c r="Y294" s="55" t="n">
        <x:v>2788</x:v>
      </x:c>
      <x:c r="Z294" s="55" t="n">
        <x:v>3539</x:v>
      </x:c>
      <x:c r="AA294" s="55" t="n">
        <x:v>3049</x:v>
      </x:c>
      <x:c r="AB294" s="55" t="n">
        <x:v>696</x:v>
      </x:c>
      <x:c r="AC294" s="55" t="n">
        <x:v>8318</x:v>
      </x:c>
      <x:c r="AD294" s="55" t="n">
        <x:v>2243</x:v>
      </x:c>
      <x:c r="AE294" s="55" t="n">
        <x:v>9759</x:v>
      </x:c>
      <x:c r="AF294" s="55" t="n">
        <x:v>9646</x:v>
      </x:c>
      <x:c r="AG294" s="55" t="n">
        <x:v>113</x:v>
      </x:c>
      <x:c r="AH294" s="55" t="n">
        <x:v>358</x:v>
      </x:c>
      <x:c r="AI294" s="55" t="n">
        <x:v>9288</x:v>
      </x:c>
      <x:c r="AJ294" s="55" t="n">
        <x:v>261</x:v>
      </x:c>
      <x:c r="AK294" s="55" t="n">
        <x:v>1068</x:v>
      </x:c>
      <x:c r="AL294" s="55" t="n">
        <x:v>1857</x:v>
      </x:c>
      <x:c r="AM294" s="55" t="n">
        <x:v>4387</x:v>
      </x:c>
      <x:c r="AN294" s="55" t="n">
        <x:v>2073</x:v>
      </x:c>
      <x:c r="AO294" s="55" t="n">
        <x:v>0</x:v>
      </x:c>
      <x:c r="AP294" s="55" t="n">
        <x:v>2275</x:v>
      </x:c>
      <x:c r="AQ294" s="55" t="n">
        <x:v>937</x:v>
      </x:c>
    </x:row>
    <x:row r="295">
      <x:c r="A295" s="54" t="str">
        <x:v>T0_TABLE_BLOCK</x:v>
      </x:c>
      <x:c r="B295" s="54" t="n">
        <x:v>289</x:v>
      </x:c>
      <x:c r="C295" s="54" t="str">
        <x:v>NYC-V2-R01</x:v>
      </x:c>
      <x:c r="D295" s="54" t="str">
        <x:v>V2</x:v>
      </x:c>
      <x:c r="E295" s="54" t="str">
        <x:v>ADMITTED</x:v>
      </x:c>
      <x:c r="F295" s="55" t="n">
        <x:v>31502</x:v>
      </x:c>
      <x:c r="G295" s="55" t="n">
        <x:v>8438</x:v>
      </x:c>
      <x:c r="H295" s="55" t="n">
        <x:v>3333</x:v>
      </x:c>
      <x:c r="I295" s="55" t="n">
        <x:v>1224</x:v>
      </x:c>
      <x:c r="J295" s="55" t="n">
        <x:v>101</x:v>
      </x:c>
      <x:c r="K295" s="55" t="n">
        <x:v>28443</x:v>
      </x:c>
      <x:c r="L295" s="55" t="n">
        <x:v>4388</x:v>
      </x:c>
      <x:c r="M295" s="55" t="n">
        <x:v>343</x:v>
      </x:c>
      <x:c r="N295" s="55" t="n">
        <x:v>2400</x:v>
      </x:c>
      <x:c r="O295" s="55" t="n">
        <x:v>1645</x:v>
      </x:c>
      <x:c r="P295" s="55" t="n">
        <x:v>603</x:v>
      </x:c>
      <x:c r="Q295" s="55" t="n">
        <x:v>1158</x:v>
      </x:c>
      <x:c r="R295" s="55" t="n">
        <x:v>2295</x:v>
      </x:c>
      <x:c r="S295" s="55" t="n">
        <x:v>3124</x:v>
      </x:c>
      <x:c r="T295" s="55" t="n">
        <x:v>1312</x:v>
      </x:c>
      <x:c r="U295" s="55" t="n">
        <x:v>2213</x:v>
      </x:c>
      <x:c r="V295" s="55" t="n">
        <x:v>10759</x:v>
      </x:c>
      <x:c r="W295" s="55" t="n">
        <x:v>7783</x:v>
      </x:c>
      <x:c r="X295" s="55" t="n">
        <x:v>2976</x:v>
      </x:c>
      <x:c r="Y295" s="55" t="n">
        <x:v>2609</x:v>
      </x:c>
      <x:c r="Z295" s="55" t="n">
        <x:v>4518</x:v>
      </x:c>
      <x:c r="AA295" s="55" t="n">
        <x:v>3333</x:v>
      </x:c>
      <x:c r="AB295" s="55" t="n">
        <x:v>1253</x:v>
      </x:c>
      <x:c r="AC295" s="55" t="n">
        <x:v>7927</x:v>
      </x:c>
      <x:c r="AD295" s="55" t="n">
        <x:v>3006</x:v>
      </x:c>
      <x:c r="AE295" s="55" t="n">
        <x:v>10911</x:v>
      </x:c>
      <x:c r="AF295" s="55" t="n">
        <x:v>10759</x:v>
      </x:c>
      <x:c r="AG295" s="55" t="n">
        <x:v>152</x:v>
      </x:c>
      <x:c r="AH295" s="55" t="n">
        <x:v>472</x:v>
      </x:c>
      <x:c r="AI295" s="55" t="n">
        <x:v>10287</x:v>
      </x:c>
      <x:c r="AJ295" s="55" t="n">
        <x:v>367</x:v>
      </x:c>
      <x:c r="AK295" s="55" t="n">
        <x:v>810</x:v>
      </x:c>
      <x:c r="AL295" s="55" t="n">
        <x:v>1893</x:v>
      </x:c>
      <x:c r="AM295" s="55" t="n">
        <x:v>4751</x:v>
      </x:c>
      <x:c r="AN295" s="55" t="n">
        <x:v>2938</x:v>
      </x:c>
      <x:c r="AO295" s="55" t="n">
        <x:v>0</x:v>
      </x:c>
      <x:c r="AP295" s="55" t="n">
        <x:v>2559</x:v>
      </x:c>
      <x:c r="AQ295" s="55" t="n">
        <x:v>919</x:v>
      </x:c>
    </x:row>
    <x:row r="296">
      <x:c r="A296" s="54" t="str">
        <x:v>T0_TABLE_BLOCK</x:v>
      </x:c>
      <x:c r="B296" s="54" t="n">
        <x:v>290</x:v>
      </x:c>
      <x:c r="C296" s="54" t="str">
        <x:v>NYC-V2-R01</x:v>
      </x:c>
      <x:c r="D296" s="54" t="str">
        <x:v>V2</x:v>
      </x:c>
      <x:c r="E296" s="54" t="str">
        <x:v>ADMITTED</x:v>
      </x:c>
      <x:c r="F296" s="55" t="n">
        <x:v>32130</x:v>
      </x:c>
      <x:c r="G296" s="55" t="n">
        <x:v>4915</x:v>
      </x:c>
      <x:c r="H296" s="55" t="n">
        <x:v>2954</x:v>
      </x:c>
      <x:c r="I296" s="55" t="n">
        <x:v>1448</x:v>
      </x:c>
      <x:c r="J296" s="55" t="n">
        <x:v>44</x:v>
      </x:c>
      <x:c r="K296" s="55" t="n">
        <x:v>32130</x:v>
      </x:c>
      <x:c r="L296" s="55" t="n">
        <x:v>5979</x:v>
      </x:c>
      <x:c r="M296" s="55" t="n">
        <x:v>1524</x:v>
      </x:c>
      <x:c r="N296" s="55" t="n">
        <x:v>3035</x:v>
      </x:c>
      <x:c r="O296" s="55" t="n">
        <x:v>1420</x:v>
      </x:c>
      <x:c r="P296" s="55" t="n">
        <x:v>582</x:v>
      </x:c>
      <x:c r="Q296" s="55" t="n">
        <x:v>1556</x:v>
      </x:c>
      <x:c r="R296" s="55" t="n">
        <x:v>2262</x:v>
      </x:c>
      <x:c r="S296" s="55" t="n">
        <x:v>3088</x:v>
      </x:c>
      <x:c r="T296" s="55" t="n">
        <x:v>1729</x:v>
      </x:c>
      <x:c r="U296" s="55" t="n">
        <x:v>1775</x:v>
      </x:c>
      <x:c r="V296" s="55" t="n">
        <x:v>10723</x:v>
      </x:c>
      <x:c r="W296" s="55" t="n">
        <x:v>7206</x:v>
      </x:c>
      <x:c r="X296" s="55" t="n">
        <x:v>3517</x:v>
      </x:c>
      <x:c r="Y296" s="55" t="n">
        <x:v>3252</x:v>
      </x:c>
      <x:c r="Z296" s="55" t="n">
        <x:v>3157</x:v>
      </x:c>
      <x:c r="AA296" s="55" t="n">
        <x:v>2853</x:v>
      </x:c>
      <x:c r="AB296" s="55" t="n">
        <x:v>901</x:v>
      </x:c>
      <x:c r="AC296" s="55" t="n">
        <x:v>8274</x:v>
      </x:c>
      <x:c r="AD296" s="55" t="n">
        <x:v>3185</x:v>
      </x:c>
      <x:c r="AE296" s="55" t="n">
        <x:v>10770</x:v>
      </x:c>
      <x:c r="AF296" s="55" t="n">
        <x:v>10723</x:v>
      </x:c>
      <x:c r="AG296" s="55" t="n">
        <x:v>47</x:v>
      </x:c>
      <x:c r="AH296" s="55" t="n">
        <x:v>40</x:v>
      </x:c>
      <x:c r="AI296" s="55" t="n">
        <x:v>10683</x:v>
      </x:c>
      <x:c r="AJ296" s="55" t="n">
        <x:v>427</x:v>
      </x:c>
      <x:c r="AK296" s="55" t="n">
        <x:v>990</x:v>
      </x:c>
      <x:c r="AL296" s="55" t="n">
        <x:v>1562</x:v>
      </x:c>
      <x:c r="AM296" s="55" t="n">
        <x:v>5375</x:v>
      </x:c>
      <x:c r="AN296" s="55" t="n">
        <x:v>2341</x:v>
      </x:c>
      <x:c r="AO296" s="55" t="n">
        <x:v>28</x:v>
      </x:c>
      <x:c r="AP296" s="55" t="n">
        <x:v>2664</x:v>
      </x:c>
      <x:c r="AQ296" s="55" t="n">
        <x:v>969</x:v>
      </x:c>
    </x:row>
    <x:row r="297">
      <x:c r="A297" s="54" t="str">
        <x:v>T0_TABLE_BLOCK</x:v>
      </x:c>
      <x:c r="B297" s="54" t="n">
        <x:v>291</x:v>
      </x:c>
      <x:c r="C297" s="54" t="str">
        <x:v>NYC-V2-R01</x:v>
      </x:c>
      <x:c r="D297" s="54" t="str">
        <x:v>V2</x:v>
      </x:c>
      <x:c r="E297" s="54" t="str">
        <x:v>ADMITTED</x:v>
      </x:c>
      <x:c r="F297" s="55" t="n">
        <x:v>32240</x:v>
      </x:c>
      <x:c r="G297" s="55" t="n">
        <x:v>9433</x:v>
      </x:c>
      <x:c r="H297" s="55" t="n">
        <x:v>3186</x:v>
      </x:c>
      <x:c r="I297" s="55" t="n">
        <x:v>1094</x:v>
      </x:c>
      <x:c r="J297" s="55" t="n">
        <x:v>204</x:v>
      </x:c>
      <x:c r="K297" s="55" t="n">
        <x:v>29518</x:v>
      </x:c>
      <x:c r="L297" s="55" t="n">
        <x:v>5696</x:v>
      </x:c>
      <x:c r="M297" s="55" t="n">
        <x:v>1027</x:v>
      </x:c>
      <x:c r="N297" s="55" t="n">
        <x:v>2633</x:v>
      </x:c>
      <x:c r="O297" s="55" t="n">
        <x:v>2036</x:v>
      </x:c>
      <x:c r="P297" s="55" t="n">
        <x:v>645</x:v>
      </x:c>
      <x:c r="Q297" s="55" t="n">
        <x:v>1904</x:v>
      </x:c>
      <x:c r="R297" s="55" t="n">
        <x:v>2018</x:v>
      </x:c>
      <x:c r="S297" s="55" t="n">
        <x:v>2892</x:v>
      </x:c>
      <x:c r="T297" s="55" t="n">
        <x:v>1025</x:v>
      </x:c>
      <x:c r="U297" s="55" t="n">
        <x:v>1840</x:v>
      </x:c>
      <x:c r="V297" s="55" t="n">
        <x:v>10463</x:v>
      </x:c>
      <x:c r="W297" s="55" t="n">
        <x:v>7784</x:v>
      </x:c>
      <x:c r="X297" s="55" t="n">
        <x:v>2679</x:v>
      </x:c>
      <x:c r="Y297" s="55" t="n">
        <x:v>2389</x:v>
      </x:c>
      <x:c r="Z297" s="55" t="n">
        <x:v>3710</x:v>
      </x:c>
      <x:c r="AA297" s="55" t="n">
        <x:v>3186</x:v>
      </x:c>
      <x:c r="AB297" s="55" t="n">
        <x:v>936</x:v>
      </x:c>
      <x:c r="AC297" s="55" t="n">
        <x:v>7460</x:v>
      </x:c>
      <x:c r="AD297" s="55" t="n">
        <x:v>2664</x:v>
      </x:c>
      <x:c r="AE297" s="55" t="n">
        <x:v>10468</x:v>
      </x:c>
      <x:c r="AF297" s="55" t="n">
        <x:v>10463</x:v>
      </x:c>
      <x:c r="AG297" s="55" t="n">
        <x:v>5</x:v>
      </x:c>
      <x:c r="AH297" s="55" t="n">
        <x:v>248</x:v>
      </x:c>
      <x:c r="AI297" s="55" t="n">
        <x:v>10215</x:v>
      </x:c>
      <x:c r="AJ297" s="55" t="n">
        <x:v>461</x:v>
      </x:c>
      <x:c r="AK297" s="55" t="n">
        <x:v>510</x:v>
      </x:c>
      <x:c r="AL297" s="55" t="n">
        <x:v>1588</x:v>
      </x:c>
      <x:c r="AM297" s="55" t="n">
        <x:v>4885</x:v>
      </x:c>
      <x:c r="AN297" s="55" t="n">
        <x:v>2993</x:v>
      </x:c>
      <x:c r="AO297" s="55" t="n">
        <x:v>26</x:v>
      </x:c>
      <x:c r="AP297" s="55" t="n">
        <x:v>2542</x:v>
      </x:c>
      <x:c r="AQ297" s="55" t="n">
        <x:v>1021</x:v>
      </x:c>
    </x:row>
    <x:row r="298">
      <x:c r="A298" s="54" t="str">
        <x:v>T0_TABLE_BLOCK</x:v>
      </x:c>
      <x:c r="B298" s="54" t="n">
        <x:v>292</x:v>
      </x:c>
      <x:c r="C298" s="54" t="str">
        <x:v>NYC-V2-R01</x:v>
      </x:c>
      <x:c r="D298" s="54" t="str">
        <x:v>V2</x:v>
      </x:c>
      <x:c r="E298" s="54" t="str">
        <x:v>ADMITTED</x:v>
      </x:c>
      <x:c r="F298" s="55" t="n">
        <x:v>31373</x:v>
      </x:c>
      <x:c r="G298" s="55" t="n">
        <x:v>8025</x:v>
      </x:c>
      <x:c r="H298" s="55" t="n">
        <x:v>3090</x:v>
      </x:c>
      <x:c r="I298" s="55" t="n">
        <x:v>874</x:v>
      </x:c>
      <x:c r="J298" s="55" t="n">
        <x:v>170</x:v>
      </x:c>
      <x:c r="K298" s="55" t="n">
        <x:v>29331</x:v>
      </x:c>
      <x:c r="L298" s="55" t="n">
        <x:v>6662</x:v>
      </x:c>
      <x:c r="M298" s="55" t="n">
        <x:v>1879</x:v>
      </x:c>
      <x:c r="N298" s="55" t="n">
        <x:v>2921</x:v>
      </x:c>
      <x:c r="O298" s="55" t="n">
        <x:v>1862</x:v>
      </x:c>
      <x:c r="P298" s="55" t="n">
        <x:v>795</x:v>
      </x:c>
      <x:c r="Q298" s="55" t="n">
        <x:v>2452</x:v>
      </x:c>
      <x:c r="R298" s="55" t="n">
        <x:v>1456</x:v>
      </x:c>
      <x:c r="S298" s="55" t="n">
        <x:v>2794</x:v>
      </x:c>
      <x:c r="T298" s="55" t="n">
        <x:v>1634</x:v>
      </x:c>
      <x:c r="U298" s="55" t="n">
        <x:v>1711</x:v>
      </x:c>
      <x:c r="V298" s="55" t="n">
        <x:v>10348</x:v>
      </x:c>
      <x:c r="W298" s="55" t="n">
        <x:v>6658</x:v>
      </x:c>
      <x:c r="X298" s="55" t="n">
        <x:v>3690</x:v>
      </x:c>
      <x:c r="Y298" s="55" t="n">
        <x:v>3031</x:v>
      </x:c>
      <x:c r="Z298" s="55" t="n">
        <x:v>3781</x:v>
      </x:c>
      <x:c r="AA298" s="55" t="n">
        <x:v>3010</x:v>
      </x:c>
      <x:c r="AB298" s="55" t="n">
        <x:v>1503</x:v>
      </x:c>
      <x:c r="AC298" s="55" t="n">
        <x:v>7681</x:v>
      </x:c>
      <x:c r="AD298" s="55" t="n">
        <x:v>2375</x:v>
      </x:c>
      <x:c r="AE298" s="55" t="n">
        <x:v>10428</x:v>
      </x:c>
      <x:c r="AF298" s="55" t="n">
        <x:v>10348</x:v>
      </x:c>
      <x:c r="AG298" s="55" t="n">
        <x:v>80</x:v>
      </x:c>
      <x:c r="AH298" s="55" t="n">
        <x:v>390</x:v>
      </x:c>
      <x:c r="AI298" s="55" t="n">
        <x:v>9958</x:v>
      </x:c>
      <x:c r="AJ298" s="55" t="n">
        <x:v>284</x:v>
      </x:c>
      <x:c r="AK298" s="55" t="n">
        <x:v>859</x:v>
      </x:c>
      <x:c r="AL298" s="55" t="n">
        <x:v>1122</x:v>
      </x:c>
      <x:c r="AM298" s="55" t="n">
        <x:v>5251</x:v>
      </x:c>
      <x:c r="AN298" s="55" t="n">
        <x:v>2832</x:v>
      </x:c>
      <x:c r="AO298" s="55" t="n">
        <x:v>0</x:v>
      </x:c>
      <x:c r="AP298" s="55" t="n">
        <x:v>2226</x:v>
      </x:c>
      <x:c r="AQ298" s="55" t="n">
        <x:v>974</x:v>
      </x:c>
    </x:row>
    <x:row r="299">
      <x:c r="A299" s="54" t="str">
        <x:v>T0_TABLE_BLOCK</x:v>
      </x:c>
      <x:c r="B299" s="54" t="n">
        <x:v>293</x:v>
      </x:c>
      <x:c r="C299" s="54" t="str">
        <x:v>NYC-V2-R01</x:v>
      </x:c>
      <x:c r="D299" s="54" t="str">
        <x:v>V2</x:v>
      </x:c>
      <x:c r="E299" s="54" t="str">
        <x:v>ADMITTED</x:v>
      </x:c>
      <x:c r="F299" s="55" t="n">
        <x:v>30606</x:v>
      </x:c>
      <x:c r="G299" s="55" t="n">
        <x:v>7202</x:v>
      </x:c>
      <x:c r="H299" s="55" t="n">
        <x:v>3239</x:v>
      </x:c>
      <x:c r="I299" s="55" t="n">
        <x:v>1114</x:v>
      </x:c>
      <x:c r="J299" s="55" t="n">
        <x:v>0</x:v>
      </x:c>
      <x:c r="K299" s="55" t="n">
        <x:v>30606</x:v>
      </x:c>
      <x:c r="L299" s="55" t="n">
        <x:v>6155</x:v>
      </x:c>
      <x:c r="M299" s="55" t="n">
        <x:v>1739</x:v>
      </x:c>
      <x:c r="N299" s="55" t="n">
        <x:v>2448</x:v>
      </x:c>
      <x:c r="O299" s="55" t="n">
        <x:v>1968</x:v>
      </x:c>
      <x:c r="P299" s="55" t="n">
        <x:v>997</x:v>
      </x:c>
      <x:c r="Q299" s="55" t="n">
        <x:v>2477</x:v>
      </x:c>
      <x:c r="R299" s="55" t="n">
        <x:v>1989</x:v>
      </x:c>
      <x:c r="S299" s="55" t="n">
        <x:v>3146</x:v>
      </x:c>
      <x:c r="T299" s="55" t="n">
        <x:v>1549</x:v>
      </x:c>
      <x:c r="U299" s="55" t="n">
        <x:v>2156</x:v>
      </x:c>
      <x:c r="V299" s="55" t="n">
        <x:v>10570</x:v>
      </x:c>
      <x:c r="W299" s="55" t="n">
        <x:v>7822</x:v>
      </x:c>
      <x:c r="X299" s="55" t="n">
        <x:v>2748</x:v>
      </x:c>
      <x:c r="Y299" s="55" t="n">
        <x:v>2224</x:v>
      </x:c>
      <x:c r="Z299" s="55" t="n">
        <x:v>3464</x:v>
      </x:c>
      <x:c r="AA299" s="55" t="n">
        <x:v>2584</x:v>
      </x:c>
      <x:c r="AB299" s="55" t="n">
        <x:v>1140</x:v>
      </x:c>
      <x:c r="AC299" s="55" t="n">
        <x:v>8458</x:v>
      </x:c>
      <x:c r="AD299" s="55" t="n">
        <x:v>2714</x:v>
      </x:c>
      <x:c r="AE299" s="55" t="n">
        <x:v>10683</x:v>
      </x:c>
      <x:c r="AF299" s="55" t="n">
        <x:v>10570</x:v>
      </x:c>
      <x:c r="AG299" s="55" t="n">
        <x:v>113</x:v>
      </x:c>
      <x:c r="AH299" s="55" t="n">
        <x:v>338</x:v>
      </x:c>
      <x:c r="AI299" s="55" t="n">
        <x:v>10232</x:v>
      </x:c>
      <x:c r="AJ299" s="55" t="n">
        <x:v>263</x:v>
      </x:c>
      <x:c r="AK299" s="55" t="n">
        <x:v>1201</x:v>
      </x:c>
      <x:c r="AL299" s="55" t="n">
        <x:v>1600</x:v>
      </x:c>
      <x:c r="AM299" s="55" t="n">
        <x:v>4494</x:v>
      </x:c>
      <x:c r="AN299" s="55" t="n">
        <x:v>3012</x:v>
      </x:c>
      <x:c r="AO299" s="55" t="n">
        <x:v>0</x:v>
      </x:c>
      <x:c r="AP299" s="55" t="n">
        <x:v>2694</x:v>
      </x:c>
      <x:c r="AQ299" s="55" t="n">
        <x:v>983</x:v>
      </x:c>
    </x:row>
    <x:row r="300">
      <x:c r="A300" s="54" t="str">
        <x:v>T0_TABLE_BLOCK</x:v>
      </x:c>
      <x:c r="B300" s="54" t="n">
        <x:v>294</x:v>
      </x:c>
      <x:c r="C300" s="54" t="str">
        <x:v>NYC-V2-R01</x:v>
      </x:c>
      <x:c r="D300" s="54" t="str">
        <x:v>V2</x:v>
      </x:c>
      <x:c r="E300" s="54" t="str">
        <x:v>ADMITTED</x:v>
      </x:c>
      <x:c r="F300" s="55" t="n">
        <x:v>33444</x:v>
      </x:c>
      <x:c r="G300" s="55" t="n">
        <x:v>5850</x:v>
      </x:c>
      <x:c r="H300" s="55" t="n">
        <x:v>3880</x:v>
      </x:c>
      <x:c r="I300" s="55" t="n">
        <x:v>1536</x:v>
      </x:c>
      <x:c r="J300" s="55" t="n">
        <x:v>170</x:v>
      </x:c>
      <x:c r="K300" s="55" t="n">
        <x:v>33444</x:v>
      </x:c>
      <x:c r="L300" s="55" t="n">
        <x:v>6195</x:v>
      </x:c>
      <x:c r="M300" s="55" t="n">
        <x:v>1575</x:v>
      </x:c>
      <x:c r="N300" s="55" t="n">
        <x:v>2867</x:v>
      </x:c>
      <x:c r="O300" s="55" t="n">
        <x:v>1753</x:v>
      </x:c>
      <x:c r="P300" s="55" t="n">
        <x:v>1012</x:v>
      </x:c>
      <x:c r="Q300" s="55" t="n">
        <x:v>2029</x:v>
      </x:c>
      <x:c r="R300" s="55" t="n">
        <x:v>1956</x:v>
      </x:c>
      <x:c r="S300" s="55" t="n">
        <x:v>2444</x:v>
      </x:c>
      <x:c r="T300" s="55" t="n">
        <x:v>1333</x:v>
      </x:c>
      <x:c r="U300" s="55" t="n">
        <x:v>2986</x:v>
      </x:c>
      <x:c r="V300" s="55" t="n">
        <x:v>10257</x:v>
      </x:c>
      <x:c r="W300" s="55" t="n">
        <x:v>7547</x:v>
      </x:c>
      <x:c r="X300" s="55" t="n">
        <x:v>2710</x:v>
      </x:c>
      <x:c r="Y300" s="55" t="n">
        <x:v>2323</x:v>
      </x:c>
      <x:c r="Z300" s="55" t="n">
        <x:v>3799</x:v>
      </x:c>
      <x:c r="AA300" s="55" t="n">
        <x:v>2707</x:v>
      </x:c>
      <x:c r="AB300" s="55" t="n">
        <x:v>1178</x:v>
      </x:c>
      <x:c r="AC300" s="55" t="n">
        <x:v>7250</x:v>
      </x:c>
      <x:c r="AD300" s="55" t="n">
        <x:v>3604</x:v>
      </x:c>
      <x:c r="AE300" s="55" t="n">
        <x:v>10350</x:v>
      </x:c>
      <x:c r="AF300" s="55" t="n">
        <x:v>10257</x:v>
      </x:c>
      <x:c r="AG300" s="55" t="n">
        <x:v>93</x:v>
      </x:c>
      <x:c r="AH300" s="55" t="n">
        <x:v>358</x:v>
      </x:c>
      <x:c r="AI300" s="55" t="n">
        <x:v>9899</x:v>
      </x:c>
      <x:c r="AJ300" s="55" t="n">
        <x:v>412</x:v>
      </x:c>
      <x:c r="AK300" s="55" t="n">
        <x:v>1126</x:v>
      </x:c>
      <x:c r="AL300" s="55" t="n">
        <x:v>1541</x:v>
      </x:c>
      <x:c r="AM300" s="55" t="n">
        <x:v>4378</x:v>
      </x:c>
      <x:c r="AN300" s="55" t="n">
        <x:v>2774</x:v>
      </x:c>
      <x:c r="AO300" s="55" t="n">
        <x:v>26</x:v>
      </x:c>
      <x:c r="AP300" s="55" t="n">
        <x:v>2149</x:v>
      </x:c>
      <x:c r="AQ300" s="55" t="n">
        <x:v>1014</x:v>
      </x:c>
    </x:row>
    <x:row r="301">
      <x:c r="A301" s="54" t="str">
        <x:v>T0_TABLE_BLOCK</x:v>
      </x:c>
      <x:c r="B301" s="54" t="n">
        <x:v>295</x:v>
      </x:c>
      <x:c r="C301" s="54" t="str">
        <x:v>NYC-V2-R01</x:v>
      </x:c>
      <x:c r="D301" s="54" t="str">
        <x:v>V2</x:v>
      </x:c>
      <x:c r="E301" s="54" t="str">
        <x:v>ADMITTED</x:v>
      </x:c>
      <x:c r="F301" s="55" t="n">
        <x:v>29131</x:v>
      </x:c>
      <x:c r="G301" s="55" t="n">
        <x:v>7786</x:v>
      </x:c>
      <x:c r="H301" s="55" t="n">
        <x:v>3287</x:v>
      </x:c>
      <x:c r="I301" s="55" t="n">
        <x:v>1291</x:v>
      </x:c>
      <x:c r="J301" s="55" t="n">
        <x:v>149</x:v>
      </x:c>
      <x:c r="K301" s="55" t="n">
        <x:v>28463</x:v>
      </x:c>
      <x:c r="L301" s="55" t="n">
        <x:v>5189</x:v>
      </x:c>
      <x:c r="M301" s="55" t="n">
        <x:v>1373</x:v>
      </x:c>
      <x:c r="N301" s="55" t="n">
        <x:v>2466</x:v>
      </x:c>
      <x:c r="O301" s="55" t="n">
        <x:v>1350</x:v>
      </x:c>
      <x:c r="P301" s="55" t="n">
        <x:v>1121</x:v>
      </x:c>
      <x:c r="Q301" s="55" t="n">
        <x:v>2480</x:v>
      </x:c>
      <x:c r="R301" s="55" t="n">
        <x:v>1893</x:v>
      </x:c>
      <x:c r="S301" s="55" t="n">
        <x:v>2234</x:v>
      </x:c>
      <x:c r="T301" s="55" t="n">
        <x:v>1103</x:v>
      </x:c>
      <x:c r="U301" s="55" t="n">
        <x:v>1809</x:v>
      </x:c>
      <x:c r="V301" s="55" t="n">
        <x:v>10424</x:v>
      </x:c>
      <x:c r="W301" s="55" t="n">
        <x:v>7175</x:v>
      </x:c>
      <x:c r="X301" s="55" t="n">
        <x:v>3249</x:v>
      </x:c>
      <x:c r="Y301" s="55" t="n">
        <x:v>2955</x:v>
      </x:c>
      <x:c r="Z301" s="55" t="n">
        <x:v>3462</x:v>
      </x:c>
      <x:c r="AA301" s="55" t="n">
        <x:v>3287</x:v>
      </x:c>
      <x:c r="AB301" s="55" t="n">
        <x:v>1072</x:v>
      </x:c>
      <x:c r="AC301" s="55" t="n">
        <x:v>8263</x:v>
      </x:c>
      <x:c r="AD301" s="55" t="n">
        <x:v>3379</x:v>
      </x:c>
      <x:c r="AE301" s="55" t="n">
        <x:v>10490</x:v>
      </x:c>
      <x:c r="AF301" s="55" t="n">
        <x:v>10424</x:v>
      </x:c>
      <x:c r="AG301" s="55" t="n">
        <x:v>66</x:v>
      </x:c>
      <x:c r="AH301" s="55" t="n">
        <x:v>665</x:v>
      </x:c>
      <x:c r="AI301" s="55" t="n">
        <x:v>9759</x:v>
      </x:c>
      <x:c r="AJ301" s="55" t="n">
        <x:v>195</x:v>
      </x:c>
      <x:c r="AK301" s="55" t="n">
        <x:v>1106</x:v>
      </x:c>
      <x:c r="AL301" s="55" t="n">
        <x:v>1802</x:v>
      </x:c>
      <x:c r="AM301" s="55" t="n">
        <x:v>4635</x:v>
      </x:c>
      <x:c r="AN301" s="55" t="n">
        <x:v>2645</x:v>
      </x:c>
      <x:c r="AO301" s="55" t="n">
        <x:v>41</x:v>
      </x:c>
      <x:c r="AP301" s="55" t="n">
        <x:v>2036</x:v>
      </x:c>
      <x:c r="AQ301" s="55" t="n">
        <x:v>938</x:v>
      </x:c>
    </x:row>
    <x:row r="302">
      <x:c r="A302" s="54" t="str">
        <x:v>T0_TABLE_BLOCK</x:v>
      </x:c>
      <x:c r="B302" s="54" t="n">
        <x:v>296</x:v>
      </x:c>
      <x:c r="C302" s="54" t="str">
        <x:v>NYC-V2-R01</x:v>
      </x:c>
      <x:c r="D302" s="54" t="str">
        <x:v>V2</x:v>
      </x:c>
      <x:c r="E302" s="54" t="str">
        <x:v>ADMITTED</x:v>
      </x:c>
      <x:c r="F302" s="55" t="n">
        <x:v>33403</x:v>
      </x:c>
      <x:c r="G302" s="55" t="n">
        <x:v>8017</x:v>
      </x:c>
      <x:c r="H302" s="55" t="n">
        <x:v>3145</x:v>
      </x:c>
      <x:c r="I302" s="55" t="n">
        <x:v>961</x:v>
      </x:c>
      <x:c r="J302" s="55" t="n">
        <x:v>193</x:v>
      </x:c>
      <x:c r="K302" s="55" t="n">
        <x:v>33403</x:v>
      </x:c>
      <x:c r="L302" s="55" t="n">
        <x:v>5977</x:v>
      </x:c>
      <x:c r="M302" s="55" t="n">
        <x:v>1868</x:v>
      </x:c>
      <x:c r="N302" s="55" t="n">
        <x:v>2715</x:v>
      </x:c>
      <x:c r="O302" s="55" t="n">
        <x:v>1394</x:v>
      </x:c>
      <x:c r="P302" s="55" t="n">
        <x:v>761</x:v>
      </x:c>
      <x:c r="Q302" s="55" t="n">
        <x:v>2279</x:v>
      </x:c>
      <x:c r="R302" s="55" t="n">
        <x:v>2000</x:v>
      </x:c>
      <x:c r="S302" s="55" t="n">
        <x:v>2849</x:v>
      </x:c>
      <x:c r="T302" s="55" t="n">
        <x:v>1393</x:v>
      </x:c>
      <x:c r="U302" s="55" t="n">
        <x:v>2784</x:v>
      </x:c>
      <x:c r="V302" s="55" t="n">
        <x:v>11091</x:v>
      </x:c>
      <x:c r="W302" s="55" t="n">
        <x:v>8342</x:v>
      </x:c>
      <x:c r="X302" s="55" t="n">
        <x:v>2749</x:v>
      </x:c>
      <x:c r="Y302" s="55" t="n">
        <x:v>2322</x:v>
      </x:c>
      <x:c r="Z302" s="55" t="n">
        <x:v>3196</x:v>
      </x:c>
      <x:c r="AA302" s="55" t="n">
        <x:v>3145</x:v>
      </x:c>
      <x:c r="AB302" s="55" t="n">
        <x:v>848</x:v>
      </x:c>
      <x:c r="AC302" s="55" t="n">
        <x:v>7754</x:v>
      </x:c>
      <x:c r="AD302" s="55" t="n">
        <x:v>2180</x:v>
      </x:c>
      <x:c r="AE302" s="55" t="n">
        <x:v>11204</x:v>
      </x:c>
      <x:c r="AF302" s="55" t="n">
        <x:v>11091</x:v>
      </x:c>
      <x:c r="AG302" s="55" t="n">
        <x:v>113</x:v>
      </x:c>
      <x:c r="AH302" s="55" t="n">
        <x:v>347</x:v>
      </x:c>
      <x:c r="AI302" s="55" t="n">
        <x:v>10744</x:v>
      </x:c>
      <x:c r="AJ302" s="55" t="n">
        <x:v>504</x:v>
      </x:c>
      <x:c r="AK302" s="55" t="n">
        <x:v>1100</x:v>
      </x:c>
      <x:c r="AL302" s="55" t="n">
        <x:v>2137</x:v>
      </x:c>
      <x:c r="AM302" s="55" t="n">
        <x:v>4529</x:v>
      </x:c>
      <x:c r="AN302" s="55" t="n">
        <x:v>2735</x:v>
      </x:c>
      <x:c r="AO302" s="55" t="n">
        <x:v>86</x:v>
      </x:c>
      <x:c r="AP302" s="55" t="n">
        <x:v>2475</x:v>
      </x:c>
      <x:c r="AQ302" s="55" t="n">
        <x:v>897</x:v>
      </x:c>
    </x:row>
    <x:row r="303">
      <x:c r="A303" s="54" t="str">
        <x:v>T0_TABLE_BLOCK</x:v>
      </x:c>
      <x:c r="B303" s="54" t="n">
        <x:v>297</x:v>
      </x:c>
      <x:c r="C303" s="54" t="str">
        <x:v>NYC-V2-R01</x:v>
      </x:c>
      <x:c r="D303" s="54" t="str">
        <x:v>V2</x:v>
      </x:c>
      <x:c r="E303" s="54" t="str">
        <x:v>ADMITTED</x:v>
      </x:c>
      <x:c r="F303" s="55" t="n">
        <x:v>30145</x:v>
      </x:c>
      <x:c r="G303" s="55" t="n">
        <x:v>7426</x:v>
      </x:c>
      <x:c r="H303" s="55" t="n">
        <x:v>3163</x:v>
      </x:c>
      <x:c r="I303" s="55" t="n">
        <x:v>1664</x:v>
      </x:c>
      <x:c r="J303" s="55" t="n">
        <x:v>113</x:v>
      </x:c>
      <x:c r="K303" s="55" t="n">
        <x:v>29598</x:v>
      </x:c>
      <x:c r="L303" s="55" t="n">
        <x:v>5473</x:v>
      </x:c>
      <x:c r="M303" s="55" t="n">
        <x:v>1684</x:v>
      </x:c>
      <x:c r="N303" s="55" t="n">
        <x:v>2366</x:v>
      </x:c>
      <x:c r="O303" s="55" t="n">
        <x:v>1423</x:v>
      </x:c>
      <x:c r="P303" s="55" t="n">
        <x:v>1044</x:v>
      </x:c>
      <x:c r="Q303" s="55" t="n">
        <x:v>2241</x:v>
      </x:c>
      <x:c r="R303" s="55" t="n">
        <x:v>1810</x:v>
      </x:c>
      <x:c r="S303" s="55" t="n">
        <x:v>2641</x:v>
      </x:c>
      <x:c r="T303" s="55" t="n">
        <x:v>1415</x:v>
      </x:c>
      <x:c r="U303" s="55" t="n">
        <x:v>1898</x:v>
      </x:c>
      <x:c r="V303" s="55" t="n">
        <x:v>10491</x:v>
      </x:c>
      <x:c r="W303" s="55" t="n">
        <x:v>7332</x:v>
      </x:c>
      <x:c r="X303" s="55" t="n">
        <x:v>3159</x:v>
      </x:c>
      <x:c r="Y303" s="55" t="n">
        <x:v>2667</x:v>
      </x:c>
      <x:c r="Z303" s="55" t="n">
        <x:v>3486</x:v>
      </x:c>
      <x:c r="AA303" s="55" t="n">
        <x:v>3141</x:v>
      </x:c>
      <x:c r="AB303" s="55" t="n">
        <x:v>977</x:v>
      </x:c>
      <x:c r="AC303" s="55" t="n">
        <x:v>7399</x:v>
      </x:c>
      <x:c r="AD303" s="55" t="n">
        <x:v>3939</x:v>
      </x:c>
      <x:c r="AE303" s="55" t="n">
        <x:v>10565</x:v>
      </x:c>
      <x:c r="AF303" s="55" t="n">
        <x:v>10491</x:v>
      </x:c>
      <x:c r="AG303" s="55" t="n">
        <x:v>74</x:v>
      </x:c>
      <x:c r="AH303" s="55" t="n">
        <x:v>348</x:v>
      </x:c>
      <x:c r="AI303" s="55" t="n">
        <x:v>10143</x:v>
      </x:c>
      <x:c r="AJ303" s="55" t="n">
        <x:v>351</x:v>
      </x:c>
      <x:c r="AK303" s="55" t="n">
        <x:v>1170</x:v>
      </x:c>
      <x:c r="AL303" s="55" t="n">
        <x:v>1431</x:v>
      </x:c>
      <x:c r="AM303" s="55" t="n">
        <x:v>4404</x:v>
      </x:c>
      <x:c r="AN303" s="55" t="n">
        <x:v>3135</x:v>
      </x:c>
      <x:c r="AO303" s="55" t="n">
        <x:v>0</x:v>
      </x:c>
      <x:c r="AP303" s="55" t="n">
        <x:v>2312</x:v>
      </x:c>
      <x:c r="AQ303" s="55" t="n">
        <x:v>924</x:v>
      </x:c>
    </x:row>
    <x:row r="304">
      <x:c r="A304" s="54" t="str">
        <x:v>T0_TABLE_BLOCK</x:v>
      </x:c>
      <x:c r="B304" s="54" t="n">
        <x:v>298</x:v>
      </x:c>
      <x:c r="C304" s="54" t="str">
        <x:v>NYC-V2-R01</x:v>
      </x:c>
      <x:c r="D304" s="54" t="str">
        <x:v>V2</x:v>
      </x:c>
      <x:c r="E304" s="54" t="str">
        <x:v>ADMITTED</x:v>
      </x:c>
      <x:c r="F304" s="55" t="n">
        <x:v>33322</x:v>
      </x:c>
      <x:c r="G304" s="55" t="n">
        <x:v>8718</x:v>
      </x:c>
      <x:c r="H304" s="55" t="n">
        <x:v>3724</x:v>
      </x:c>
      <x:c r="I304" s="55" t="n">
        <x:v>764</x:v>
      </x:c>
      <x:c r="J304" s="55" t="n">
        <x:v>0</x:v>
      </x:c>
      <x:c r="K304" s="55" t="n">
        <x:v>33322</x:v>
      </x:c>
      <x:c r="L304" s="55" t="n">
        <x:v>6661</x:v>
      </x:c>
      <x:c r="M304" s="55" t="n">
        <x:v>2608</x:v>
      </x:c>
      <x:c r="N304" s="55" t="n">
        <x:v>2229</x:v>
      </x:c>
      <x:c r="O304" s="55" t="n">
        <x:v>1824</x:v>
      </x:c>
      <x:c r="P304" s="55" t="n">
        <x:v>1066</x:v>
      </x:c>
      <x:c r="Q304" s="55" t="n">
        <x:v>2651</x:v>
      </x:c>
      <x:c r="R304" s="55" t="n">
        <x:v>1836</x:v>
      </x:c>
      <x:c r="S304" s="55" t="n">
        <x:v>2814</x:v>
      </x:c>
      <x:c r="T304" s="55" t="n">
        <x:v>1053</x:v>
      </x:c>
      <x:c r="U304" s="55" t="n">
        <x:v>1826</x:v>
      </x:c>
      <x:c r="V304" s="55" t="n">
        <x:v>10950</x:v>
      </x:c>
      <x:c r="W304" s="55" t="n">
        <x:v>8023</x:v>
      </x:c>
      <x:c r="X304" s="55" t="n">
        <x:v>2927</x:v>
      </x:c>
      <x:c r="Y304" s="55" t="n">
        <x:v>2503</x:v>
      </x:c>
      <x:c r="Z304" s="55" t="n">
        <x:v>3910</x:v>
      </x:c>
      <x:c r="AA304" s="55" t="n">
        <x:v>3724</x:v>
      </x:c>
      <x:c r="AB304" s="55" t="n">
        <x:v>1182</x:v>
      </x:c>
      <x:c r="AC304" s="55" t="n">
        <x:v>8295</x:v>
      </x:c>
      <x:c r="AD304" s="55" t="n">
        <x:v>3264</x:v>
      </x:c>
      <x:c r="AE304" s="55" t="n">
        <x:v>11065</x:v>
      </x:c>
      <x:c r="AF304" s="55" t="n">
        <x:v>10950</x:v>
      </x:c>
      <x:c r="AG304" s="55" t="n">
        <x:v>115</x:v>
      </x:c>
      <x:c r="AH304" s="55" t="n">
        <x:v>326</x:v>
      </x:c>
      <x:c r="AI304" s="55" t="n">
        <x:v>10624</x:v>
      </x:c>
      <x:c r="AJ304" s="55" t="n">
        <x:v>449</x:v>
      </x:c>
      <x:c r="AK304" s="55" t="n">
        <x:v>1223</x:v>
      </x:c>
      <x:c r="AL304" s="55" t="n">
        <x:v>695</x:v>
      </x:c>
      <x:c r="AM304" s="55" t="n">
        <x:v>5652</x:v>
      </x:c>
      <x:c r="AN304" s="55" t="n">
        <x:v>2931</x:v>
      </x:c>
      <x:c r="AO304" s="55" t="n">
        <x:v>0</x:v>
      </x:c>
      <x:c r="AP304" s="55" t="n">
        <x:v>1947</x:v>
      </x:c>
      <x:c r="AQ304" s="55" t="n">
        <x:v>982</x:v>
      </x:c>
    </x:row>
    <x:row r="305">
      <x:c r="A305" s="54" t="str">
        <x:v>T0_TABLE_BLOCK</x:v>
      </x:c>
      <x:c r="B305" s="54" t="n">
        <x:v>299</x:v>
      </x:c>
      <x:c r="C305" s="54" t="str">
        <x:v>NYC-V2-R01</x:v>
      </x:c>
      <x:c r="D305" s="54" t="str">
        <x:v>V2</x:v>
      </x:c>
      <x:c r="E305" s="54" t="str">
        <x:v>ADMITTED</x:v>
      </x:c>
      <x:c r="F305" s="55" t="n">
        <x:v>31187</x:v>
      </x:c>
      <x:c r="G305" s="55" t="n">
        <x:v>7462</x:v>
      </x:c>
      <x:c r="H305" s="55" t="n">
        <x:v>3394</x:v>
      </x:c>
      <x:c r="I305" s="55" t="n">
        <x:v>1318</x:v>
      </x:c>
      <x:c r="J305" s="55" t="n">
        <x:v>263</x:v>
      </x:c>
      <x:c r="K305" s="55" t="n">
        <x:v>31187</x:v>
      </x:c>
      <x:c r="L305" s="55" t="n">
        <x:v>5547</x:v>
      </x:c>
      <x:c r="M305" s="55" t="n">
        <x:v>904</x:v>
      </x:c>
      <x:c r="N305" s="55" t="n">
        <x:v>2706</x:v>
      </x:c>
      <x:c r="O305" s="55" t="n">
        <x:v>1937</x:v>
      </x:c>
      <x:c r="P305" s="55" t="n">
        <x:v>590</x:v>
      </x:c>
      <x:c r="Q305" s="55" t="n">
        <x:v>1870</x:v>
      </x:c>
      <x:c r="R305" s="55" t="n">
        <x:v>1697</x:v>
      </x:c>
      <x:c r="S305" s="55" t="n">
        <x:v>2254</x:v>
      </x:c>
      <x:c r="T305" s="55" t="n">
        <x:v>987</x:v>
      </x:c>
      <x:c r="U305" s="55" t="n">
        <x:v>2576</x:v>
      </x:c>
      <x:c r="V305" s="55" t="n">
        <x:v>10979</x:v>
      </x:c>
      <x:c r="W305" s="55" t="n">
        <x:v>8079</x:v>
      </x:c>
      <x:c r="X305" s="55" t="n">
        <x:v>2900</x:v>
      </x:c>
      <x:c r="Y305" s="55" t="n">
        <x:v>2406</x:v>
      </x:c>
      <x:c r="Z305" s="55" t="n">
        <x:v>4201</x:v>
      </x:c>
      <x:c r="AA305" s="55" t="n">
        <x:v>3394</x:v>
      </x:c>
      <x:c r="AB305" s="55" t="n">
        <x:v>1188</x:v>
      </x:c>
      <x:c r="AC305" s="55" t="n">
        <x:v>7576</x:v>
      </x:c>
      <x:c r="AD305" s="55" t="n">
        <x:v>3137</x:v>
      </x:c>
      <x:c r="AE305" s="55" t="n">
        <x:v>11041</x:v>
      </x:c>
      <x:c r="AF305" s="55" t="n">
        <x:v>10979</x:v>
      </x:c>
      <x:c r="AG305" s="55" t="n">
        <x:v>62</x:v>
      </x:c>
      <x:c r="AH305" s="55" t="n">
        <x:v>777</x:v>
      </x:c>
      <x:c r="AI305" s="55" t="n">
        <x:v>10202</x:v>
      </x:c>
      <x:c r="AJ305" s="55" t="n">
        <x:v>423</x:v>
      </x:c>
      <x:c r="AK305" s="55" t="n">
        <x:v>694</x:v>
      </x:c>
      <x:c r="AL305" s="55" t="n">
        <x:v>1476</x:v>
      </x:c>
      <x:c r="AM305" s="55" t="n">
        <x:v>5192</x:v>
      </x:c>
      <x:c r="AN305" s="55" t="n">
        <x:v>3184</x:v>
      </x:c>
      <x:c r="AO305" s="55" t="n">
        <x:v>10</x:v>
      </x:c>
      <x:c r="AP305" s="55" t="n">
        <x:v>2935</x:v>
      </x:c>
      <x:c r="AQ305" s="55" t="n">
        <x:v>979</x:v>
      </x:c>
    </x:row>
    <x:row r="306">
      <x:c r="A306" s="54" t="str">
        <x:v>T0_TABLE_BLOCK</x:v>
      </x:c>
      <x:c r="B306" s="54" t="n">
        <x:v>300</x:v>
      </x:c>
      <x:c r="C306" s="54" t="str">
        <x:v>NYC-V2-R01</x:v>
      </x:c>
      <x:c r="D306" s="54" t="str">
        <x:v>V2</x:v>
      </x:c>
      <x:c r="E306" s="54" t="str">
        <x:v>ADMITTED</x:v>
      </x:c>
      <x:c r="F306" s="55" t="n">
        <x:v>32102</x:v>
      </x:c>
      <x:c r="G306" s="55" t="n">
        <x:v>8139</x:v>
      </x:c>
      <x:c r="H306" s="55" t="n">
        <x:v>3282</x:v>
      </x:c>
      <x:c r="I306" s="55" t="n">
        <x:v>775</x:v>
      </x:c>
      <x:c r="J306" s="55" t="n">
        <x:v>119</x:v>
      </x:c>
      <x:c r="K306" s="55" t="n">
        <x:v>32102</x:v>
      </x:c>
      <x:c r="L306" s="55" t="n">
        <x:v>6224</x:v>
      </x:c>
      <x:c r="M306" s="55" t="n">
        <x:v>1625</x:v>
      </x:c>
      <x:c r="N306" s="55" t="n">
        <x:v>2608</x:v>
      </x:c>
      <x:c r="O306" s="55" t="n">
        <x:v>1991</x:v>
      </x:c>
      <x:c r="P306" s="55" t="n">
        <x:v>839</x:v>
      </x:c>
      <x:c r="Q306" s="55" t="n">
        <x:v>2370</x:v>
      </x:c>
      <x:c r="R306" s="55" t="n">
        <x:v>2009</x:v>
      </x:c>
      <x:c r="S306" s="55" t="n">
        <x:v>2018</x:v>
      </x:c>
      <x:c r="T306" s="55" t="n">
        <x:v>1422</x:v>
      </x:c>
      <x:c r="U306" s="55" t="n">
        <x:v>1624</x:v>
      </x:c>
      <x:c r="V306" s="55" t="n">
        <x:v>10139</x:v>
      </x:c>
      <x:c r="W306" s="55" t="n">
        <x:v>7413</x:v>
      </x:c>
      <x:c r="X306" s="55" t="n">
        <x:v>2726</x:v>
      </x:c>
      <x:c r="Y306" s="55" t="n">
        <x:v>2423</x:v>
      </x:c>
      <x:c r="Z306" s="55" t="n">
        <x:v>3507</x:v>
      </x:c>
      <x:c r="AA306" s="55" t="n">
        <x:v>2997</x:v>
      </x:c>
      <x:c r="AB306" s="55" t="n">
        <x:v>874</x:v>
      </x:c>
      <x:c r="AC306" s="55" t="n">
        <x:v>7718</x:v>
      </x:c>
      <x:c r="AD306" s="55" t="n">
        <x:v>2912</x:v>
      </x:c>
      <x:c r="AE306" s="55" t="n">
        <x:v>10159</x:v>
      </x:c>
      <x:c r="AF306" s="55" t="n">
        <x:v>10139</x:v>
      </x:c>
      <x:c r="AG306" s="55" t="n">
        <x:v>20</x:v>
      </x:c>
      <x:c r="AH306" s="55" t="n">
        <x:v>354</x:v>
      </x:c>
      <x:c r="AI306" s="55" t="n">
        <x:v>9785</x:v>
      </x:c>
      <x:c r="AJ306" s="55" t="n">
        <x:v>339</x:v>
      </x:c>
      <x:c r="AK306" s="55" t="n">
        <x:v>988</x:v>
      </x:c>
      <x:c r="AL306" s="55" t="n">
        <x:v>1487</x:v>
      </x:c>
      <x:c r="AM306" s="55" t="n">
        <x:v>4480</x:v>
      </x:c>
      <x:c r="AN306" s="55" t="n">
        <x:v>2785</x:v>
      </x:c>
      <x:c r="AO306" s="55" t="n">
        <x:v>60</x:v>
      </x:c>
      <x:c r="AP306" s="55" t="n">
        <x:v>2419</x:v>
      </x:c>
      <x:c r="AQ306" s="55" t="n">
        <x:v>992</x:v>
      </x:c>
    </x:row>
    <x:row r="307">
      <x:c r="A307" s="54" t="str">
        <x:v>T0_TABLE_BLOCK</x:v>
      </x:c>
      <x:c r="B307" s="54" t="n">
        <x:v>301</x:v>
      </x:c>
      <x:c r="C307" s="54" t="str">
        <x:v>NYC-V2-R01</x:v>
      </x:c>
      <x:c r="D307" s="54" t="str">
        <x:v>V2</x:v>
      </x:c>
      <x:c r="E307" s="54" t="str">
        <x:v>ADMITTED</x:v>
      </x:c>
      <x:c r="F307" s="55" t="n">
        <x:v>32918</x:v>
      </x:c>
      <x:c r="G307" s="55" t="n">
        <x:v>8632</x:v>
      </x:c>
      <x:c r="H307" s="55" t="n">
        <x:v>3142</x:v>
      </x:c>
      <x:c r="I307" s="55" t="n">
        <x:v>994</x:v>
      </x:c>
      <x:c r="J307" s="55" t="n">
        <x:v>166</x:v>
      </x:c>
      <x:c r="K307" s="55" t="n">
        <x:v>32918</x:v>
      </x:c>
      <x:c r="L307" s="55" t="n">
        <x:v>6201</x:v>
      </x:c>
      <x:c r="M307" s="55" t="n">
        <x:v>1771</x:v>
      </x:c>
      <x:c r="N307" s="55" t="n">
        <x:v>2654</x:v>
      </x:c>
      <x:c r="O307" s="55" t="n">
        <x:v>1776</x:v>
      </x:c>
      <x:c r="P307" s="55" t="n">
        <x:v>927</x:v>
      </x:c>
      <x:c r="Q307" s="55" t="n">
        <x:v>1366</x:v>
      </x:c>
      <x:c r="R307" s="55" t="n">
        <x:v>1812</x:v>
      </x:c>
      <x:c r="S307" s="55" t="n">
        <x:v>2478</x:v>
      </x:c>
      <x:c r="T307" s="55" t="n">
        <x:v>1017</x:v>
      </x:c>
      <x:c r="U307" s="55" t="n">
        <x:v>2509</x:v>
      </x:c>
      <x:c r="V307" s="55" t="n">
        <x:v>9773</x:v>
      </x:c>
      <x:c r="W307" s="55" t="n">
        <x:v>6769</x:v>
      </x:c>
      <x:c r="X307" s="55" t="n">
        <x:v>3004</x:v>
      </x:c>
      <x:c r="Y307" s="55" t="n">
        <x:v>2442</x:v>
      </x:c>
      <x:c r="Z307" s="55" t="n">
        <x:v>3910</x:v>
      </x:c>
      <x:c r="AA307" s="55" t="n">
        <x:v>2786</x:v>
      </x:c>
      <x:c r="AB307" s="55" t="n">
        <x:v>905</x:v>
      </x:c>
      <x:c r="AC307" s="55" t="n">
        <x:v>7653</x:v>
      </x:c>
      <x:c r="AD307" s="55" t="n">
        <x:v>2795</x:v>
      </x:c>
      <x:c r="AE307" s="55" t="n">
        <x:v>9928</x:v>
      </x:c>
      <x:c r="AF307" s="55" t="n">
        <x:v>9773</x:v>
      </x:c>
      <x:c r="AG307" s="55" t="n">
        <x:v>155</x:v>
      </x:c>
      <x:c r="AH307" s="55" t="n">
        <x:v>287</x:v>
      </x:c>
      <x:c r="AI307" s="55" t="n">
        <x:v>9486</x:v>
      </x:c>
      <x:c r="AJ307" s="55" t="n">
        <x:v>328</x:v>
      </x:c>
      <x:c r="AK307" s="55" t="n">
        <x:v>881</x:v>
      </x:c>
      <x:c r="AL307" s="55" t="n">
        <x:v>1386</x:v>
      </x:c>
      <x:c r="AM307" s="55" t="n">
        <x:v>4623</x:v>
      </x:c>
      <x:c r="AN307" s="55" t="n">
        <x:v>2448</x:v>
      </x:c>
      <x:c r="AO307" s="55" t="n">
        <x:v>107</x:v>
      </x:c>
      <x:c r="AP307" s="55" t="n">
        <x:v>1956</x:v>
      </x:c>
      <x:c r="AQ307" s="55" t="n">
        <x:v>927</x:v>
      </x:c>
    </x:row>
    <x:row r="308">
      <x:c r="A308" s="54" t="str">
        <x:v>T0_TABLE_BLOCK</x:v>
      </x:c>
      <x:c r="B308" s="54" t="n">
        <x:v>302</x:v>
      </x:c>
      <x:c r="C308" s="54" t="str">
        <x:v>NYC-V2-R01</x:v>
      </x:c>
      <x:c r="D308" s="54" t="str">
        <x:v>V2</x:v>
      </x:c>
      <x:c r="E308" s="54" t="str">
        <x:v>ADMITTED</x:v>
      </x:c>
      <x:c r="F308" s="55" t="n">
        <x:v>30998</x:v>
      </x:c>
      <x:c r="G308" s="55" t="n">
        <x:v>7023</x:v>
      </x:c>
      <x:c r="H308" s="55" t="n">
        <x:v>3542</x:v>
      </x:c>
      <x:c r="I308" s="55" t="n">
        <x:v>1095</x:v>
      </x:c>
      <x:c r="J308" s="55" t="n">
        <x:v>121</x:v>
      </x:c>
      <x:c r="K308" s="55" t="n">
        <x:v>30998</x:v>
      </x:c>
      <x:c r="L308" s="55" t="n">
        <x:v>6108</x:v>
      </x:c>
      <x:c r="M308" s="55" t="n">
        <x:v>1836</x:v>
      </x:c>
      <x:c r="N308" s="55" t="n">
        <x:v>2396</x:v>
      </x:c>
      <x:c r="O308" s="55" t="n">
        <x:v>1876</x:v>
      </x:c>
      <x:c r="P308" s="55" t="n">
        <x:v>401</x:v>
      </x:c>
      <x:c r="Q308" s="55" t="n">
        <x:v>3722</x:v>
      </x:c>
      <x:c r="R308" s="55" t="n">
        <x:v>1764</x:v>
      </x:c>
      <x:c r="S308" s="55" t="n">
        <x:v>2511</x:v>
      </x:c>
      <x:c r="T308" s="55" t="n">
        <x:v>1176</x:v>
      </x:c>
      <x:c r="U308" s="55" t="n">
        <x:v>1460</x:v>
      </x:c>
      <x:c r="V308" s="55" t="n">
        <x:v>9950</x:v>
      </x:c>
      <x:c r="W308" s="55" t="n">
        <x:v>7080</x:v>
      </x:c>
      <x:c r="X308" s="55" t="n">
        <x:v>2870</x:v>
      </x:c>
      <x:c r="Y308" s="55" t="n">
        <x:v>2125</x:v>
      </x:c>
      <x:c r="Z308" s="55" t="n">
        <x:v>3082</x:v>
      </x:c>
      <x:c r="AA308" s="55" t="n">
        <x:v>3542</x:v>
      </x:c>
      <x:c r="AB308" s="55" t="n">
        <x:v>1380</x:v>
      </x:c>
      <x:c r="AC308" s="55" t="n">
        <x:v>7857</x:v>
      </x:c>
      <x:c r="AD308" s="55" t="n">
        <x:v>3072</x:v>
      </x:c>
      <x:c r="AE308" s="55" t="n">
        <x:v>10035</x:v>
      </x:c>
      <x:c r="AF308" s="55" t="n">
        <x:v>9950</x:v>
      </x:c>
      <x:c r="AG308" s="55" t="n">
        <x:v>85</x:v>
      </x:c>
      <x:c r="AH308" s="55" t="n">
        <x:v>269</x:v>
      </x:c>
      <x:c r="AI308" s="55" t="n">
        <x:v>9681</x:v>
      </x:c>
      <x:c r="AJ308" s="55" t="n">
        <x:v>145</x:v>
      </x:c>
      <x:c r="AK308" s="55" t="n">
        <x:v>692</x:v>
      </x:c>
      <x:c r="AL308" s="55" t="n">
        <x:v>1530</x:v>
      </x:c>
      <x:c r="AM308" s="55" t="n">
        <x:v>5150</x:v>
      </x:c>
      <x:c r="AN308" s="55" t="n">
        <x:v>2433</x:v>
      </x:c>
      <x:c r="AO308" s="55" t="n">
        <x:v>0</x:v>
      </x:c>
      <x:c r="AP308" s="55" t="n">
        <x:v>2090</x:v>
      </x:c>
      <x:c r="AQ308" s="55" t="n">
        <x:v>950</x:v>
      </x:c>
    </x:row>
    <x:row r="309">
      <x:c r="A309" s="54" t="str">
        <x:v>T0_TABLE_BLOCK</x:v>
      </x:c>
      <x:c r="B309" s="54" t="n">
        <x:v>303</x:v>
      </x:c>
      <x:c r="C309" s="54" t="str">
        <x:v>NYC-V2-R01</x:v>
      </x:c>
      <x:c r="D309" s="54" t="str">
        <x:v>V2</x:v>
      </x:c>
      <x:c r="E309" s="54" t="str">
        <x:v>ADMITTED</x:v>
      </x:c>
      <x:c r="F309" s="55" t="n">
        <x:v>32416</x:v>
      </x:c>
      <x:c r="G309" s="55" t="n">
        <x:v>7847</x:v>
      </x:c>
      <x:c r="H309" s="55" t="n">
        <x:v>3651</x:v>
      </x:c>
      <x:c r="I309" s="55" t="n">
        <x:v>1270</x:v>
      </x:c>
      <x:c r="J309" s="55" t="n">
        <x:v>362</x:v>
      </x:c>
      <x:c r="K309" s="55" t="n">
        <x:v>31930</x:v>
      </x:c>
      <x:c r="L309" s="55" t="n">
        <x:v>6572</x:v>
      </x:c>
      <x:c r="M309" s="55" t="n">
        <x:v>1860</x:v>
      </x:c>
      <x:c r="N309" s="55" t="n">
        <x:v>2338</x:v>
      </x:c>
      <x:c r="O309" s="55" t="n">
        <x:v>2374</x:v>
      </x:c>
      <x:c r="P309" s="55" t="n">
        <x:v>1262</x:v>
      </x:c>
      <x:c r="Q309" s="55" t="n">
        <x:v>2219</x:v>
      </x:c>
      <x:c r="R309" s="55" t="n">
        <x:v>1616</x:v>
      </x:c>
      <x:c r="S309" s="55" t="n">
        <x:v>2027</x:v>
      </x:c>
      <x:c r="T309" s="55" t="n">
        <x:v>1370</x:v>
      </x:c>
      <x:c r="U309" s="55" t="n">
        <x:v>2224</x:v>
      </x:c>
      <x:c r="V309" s="55" t="n">
        <x:v>10433</x:v>
      </x:c>
      <x:c r="W309" s="55" t="n">
        <x:v>7908</x:v>
      </x:c>
      <x:c r="X309" s="55" t="n">
        <x:v>2525</x:v>
      </x:c>
      <x:c r="Y309" s="55" t="n">
        <x:v>2061</x:v>
      </x:c>
      <x:c r="Z309" s="55" t="n">
        <x:v>3520</x:v>
      </x:c>
      <x:c r="AA309" s="55" t="n">
        <x:v>3591</x:v>
      </x:c>
      <x:c r="AB309" s="55" t="n">
        <x:v>971</x:v>
      </x:c>
      <x:c r="AC309" s="55" t="n">
        <x:v>7823</x:v>
      </x:c>
      <x:c r="AD309" s="55" t="n">
        <x:v>3333</x:v>
      </x:c>
      <x:c r="AE309" s="55" t="n">
        <x:v>10524</x:v>
      </x:c>
      <x:c r="AF309" s="55" t="n">
        <x:v>10433</x:v>
      </x:c>
      <x:c r="AG309" s="55" t="n">
        <x:v>91</x:v>
      </x:c>
      <x:c r="AH309" s="55" t="n">
        <x:v>210</x:v>
      </x:c>
      <x:c r="AI309" s="55" t="n">
        <x:v>10223</x:v>
      </x:c>
      <x:c r="AJ309" s="55" t="n">
        <x:v>312</x:v>
      </x:c>
      <x:c r="AK309" s="55" t="n">
        <x:v>757</x:v>
      </x:c>
      <x:c r="AL309" s="55" t="n">
        <x:v>1270</x:v>
      </x:c>
      <x:c r="AM309" s="55" t="n">
        <x:v>5132</x:v>
      </x:c>
      <x:c r="AN309" s="55" t="n">
        <x:v>2905</x:v>
      </x:c>
      <x:c r="AO309" s="55" t="n">
        <x:v>57</x:v>
      </x:c>
      <x:c r="AP309" s="55" t="n">
        <x:v>2401</x:v>
      </x:c>
      <x:c r="AQ309" s="55" t="n">
        <x:v>898</x:v>
      </x:c>
    </x:row>
    <x:row r="310">
      <x:c r="A310" s="54" t="str">
        <x:v>T0_TABLE_BLOCK</x:v>
      </x:c>
      <x:c r="B310" s="54" t="n">
        <x:v>304</x:v>
      </x:c>
      <x:c r="C310" s="54" t="str">
        <x:v>NYC-V2-R01</x:v>
      </x:c>
      <x:c r="D310" s="54" t="str">
        <x:v>V2</x:v>
      </x:c>
      <x:c r="E310" s="54" t="str">
        <x:v>ADMITTED</x:v>
      </x:c>
      <x:c r="F310" s="55" t="n">
        <x:v>32026</x:v>
      </x:c>
      <x:c r="G310" s="55" t="n">
        <x:v>7287</x:v>
      </x:c>
      <x:c r="H310" s="55" t="n">
        <x:v>3025</x:v>
      </x:c>
      <x:c r="I310" s="55" t="n">
        <x:v>1205</x:v>
      </x:c>
      <x:c r="J310" s="55" t="n">
        <x:v>289</x:v>
      </x:c>
      <x:c r="K310" s="55" t="n">
        <x:v>32026</x:v>
      </x:c>
      <x:c r="L310" s="55" t="n">
        <x:v>5299</x:v>
      </x:c>
      <x:c r="M310" s="55" t="n">
        <x:v>1441</x:v>
      </x:c>
      <x:c r="N310" s="55" t="n">
        <x:v>2092</x:v>
      </x:c>
      <x:c r="O310" s="55" t="n">
        <x:v>1766</x:v>
      </x:c>
      <x:c r="P310" s="55" t="n">
        <x:v>827</x:v>
      </x:c>
      <x:c r="Q310" s="55" t="n">
        <x:v>2182</x:v>
      </x:c>
      <x:c r="R310" s="55" t="n">
        <x:v>1741</x:v>
      </x:c>
      <x:c r="S310" s="55" t="n">
        <x:v>3333</x:v>
      </x:c>
      <x:c r="T310" s="55" t="n">
        <x:v>1395</x:v>
      </x:c>
      <x:c r="U310" s="55" t="n">
        <x:v>1777</x:v>
      </x:c>
      <x:c r="V310" s="55" t="n">
        <x:v>10776</x:v>
      </x:c>
      <x:c r="W310" s="55" t="n">
        <x:v>7085</x:v>
      </x:c>
      <x:c r="X310" s="55" t="n">
        <x:v>3691</x:v>
      </x:c>
      <x:c r="Y310" s="55" t="n">
        <x:v>3402</x:v>
      </x:c>
      <x:c r="Z310" s="55" t="n">
        <x:v>3893</x:v>
      </x:c>
      <x:c r="AA310" s="55" t="n">
        <x:v>3025</x:v>
      </x:c>
      <x:c r="AB310" s="55" t="n">
        <x:v>907</x:v>
      </x:c>
      <x:c r="AC310" s="55" t="n">
        <x:v>7875</x:v>
      </x:c>
      <x:c r="AD310" s="55" t="n">
        <x:v>2403</x:v>
      </x:c>
      <x:c r="AE310" s="55" t="n">
        <x:v>10809</x:v>
      </x:c>
      <x:c r="AF310" s="55" t="n">
        <x:v>10776</x:v>
      </x:c>
      <x:c r="AG310" s="55" t="n">
        <x:v>33</x:v>
      </x:c>
      <x:c r="AH310" s="55" t="n">
        <x:v>337</x:v>
      </x:c>
      <x:c r="AI310" s="55" t="n">
        <x:v>10439</x:v>
      </x:c>
      <x:c r="AJ310" s="55" t="n">
        <x:v>316</x:v>
      </x:c>
      <x:c r="AK310" s="55" t="n">
        <x:v>885</x:v>
      </x:c>
      <x:c r="AL310" s="55" t="n">
        <x:v>1986</x:v>
      </x:c>
      <x:c r="AM310" s="55" t="n">
        <x:v>4611</x:v>
      </x:c>
      <x:c r="AN310" s="55" t="n">
        <x:v>2955</x:v>
      </x:c>
      <x:c r="AO310" s="55" t="n">
        <x:v>23</x:v>
      </x:c>
      <x:c r="AP310" s="55" t="n">
        <x:v>2110</x:v>
      </x:c>
      <x:c r="AQ310" s="55" t="n">
        <x:v>986</x:v>
      </x:c>
    </x:row>
    <x:row r="311">
      <x:c r="A311" s="54" t="str">
        <x:v>T0_TABLE_BLOCK</x:v>
      </x:c>
      <x:c r="B311" s="54" t="n">
        <x:v>305</x:v>
      </x:c>
      <x:c r="C311" s="54" t="str">
        <x:v>NYC-V2-R01</x:v>
      </x:c>
      <x:c r="D311" s="54" t="str">
        <x:v>V2</x:v>
      </x:c>
      <x:c r="E311" s="54" t="str">
        <x:v>ADMITTED</x:v>
      </x:c>
      <x:c r="F311" s="55" t="n">
        <x:v>32208</x:v>
      </x:c>
      <x:c r="G311" s="55" t="n">
        <x:v>6866</x:v>
      </x:c>
      <x:c r="H311" s="55" t="n">
        <x:v>3216</x:v>
      </x:c>
      <x:c r="I311" s="55" t="n">
        <x:v>1541</x:v>
      </x:c>
      <x:c r="J311" s="55" t="n">
        <x:v>190</x:v>
      </x:c>
      <x:c r="K311" s="55" t="n">
        <x:v>32208</x:v>
      </x:c>
      <x:c r="L311" s="55" t="n">
        <x:v>7293</x:v>
      </x:c>
      <x:c r="M311" s="55" t="n">
        <x:v>2086</x:v>
      </x:c>
      <x:c r="N311" s="55" t="n">
        <x:v>2832</x:v>
      </x:c>
      <x:c r="O311" s="55" t="n">
        <x:v>2375</x:v>
      </x:c>
      <x:c r="P311" s="55" t="n">
        <x:v>623</x:v>
      </x:c>
      <x:c r="Q311" s="55" t="n">
        <x:v>2287</x:v>
      </x:c>
      <x:c r="R311" s="55" t="n">
        <x:v>2037</x:v>
      </x:c>
      <x:c r="S311" s="55" t="n">
        <x:v>2744</x:v>
      </x:c>
      <x:c r="T311" s="55" t="n">
        <x:v>1084</x:v>
      </x:c>
      <x:c r="U311" s="55" t="n">
        <x:v>2592</x:v>
      </x:c>
      <x:c r="V311" s="55" t="n">
        <x:v>10484</x:v>
      </x:c>
      <x:c r="W311" s="55" t="n">
        <x:v>7198</x:v>
      </x:c>
      <x:c r="X311" s="55" t="n">
        <x:v>3286</x:v>
      </x:c>
      <x:c r="Y311" s="55" t="n">
        <x:v>2862</x:v>
      </x:c>
      <x:c r="Z311" s="55" t="n">
        <x:v>3865</x:v>
      </x:c>
      <x:c r="AA311" s="55" t="n">
        <x:v>3216</x:v>
      </x:c>
      <x:c r="AB311" s="55" t="n">
        <x:v>1420</x:v>
      </x:c>
      <x:c r="AC311" s="55" t="n">
        <x:v>8429</x:v>
      </x:c>
      <x:c r="AD311" s="55" t="n">
        <x:v>3130</x:v>
      </x:c>
      <x:c r="AE311" s="55" t="n">
        <x:v>10533</x:v>
      </x:c>
      <x:c r="AF311" s="55" t="n">
        <x:v>10484</x:v>
      </x:c>
      <x:c r="AG311" s="55" t="n">
        <x:v>49</x:v>
      </x:c>
      <x:c r="AH311" s="55" t="n">
        <x:v>273</x:v>
      </x:c>
      <x:c r="AI311" s="55" t="n">
        <x:v>10211</x:v>
      </x:c>
      <x:c r="AJ311" s="55" t="n">
        <x:v>312</x:v>
      </x:c>
      <x:c r="AK311" s="55" t="n">
        <x:v>1073</x:v>
      </x:c>
      <x:c r="AL311" s="55" t="n">
        <x:v>1824</x:v>
      </x:c>
      <x:c r="AM311" s="55" t="n">
        <x:v>4478</x:v>
      </x:c>
      <x:c r="AN311" s="55" t="n">
        <x:v>2746</x:v>
      </x:c>
      <x:c r="AO311" s="55" t="n">
        <x:v>51</x:v>
      </x:c>
      <x:c r="AP311" s="55" t="n">
        <x:v>2476</x:v>
      </x:c>
      <x:c r="AQ311" s="55" t="n">
        <x:v>965</x:v>
      </x:c>
    </x:row>
    <x:row r="312">
      <x:c r="A312" s="54" t="str">
        <x:v>T0_TABLE_BLOCK</x:v>
      </x:c>
      <x:c r="B312" s="54" t="n">
        <x:v>306</x:v>
      </x:c>
      <x:c r="C312" s="54" t="str">
        <x:v>NYC-V2-R01</x:v>
      </x:c>
      <x:c r="D312" s="54" t="str">
        <x:v>V2</x:v>
      </x:c>
      <x:c r="E312" s="54" t="str">
        <x:v>ADMITTED</x:v>
      </x:c>
      <x:c r="F312" s="55" t="n">
        <x:v>30566</x:v>
      </x:c>
      <x:c r="G312" s="55" t="n">
        <x:v>8348</x:v>
      </x:c>
      <x:c r="H312" s="55" t="n">
        <x:v>3494</x:v>
      </x:c>
      <x:c r="I312" s="55" t="n">
        <x:v>1641</x:v>
      </x:c>
      <x:c r="J312" s="55" t="n">
        <x:v>413</x:v>
      </x:c>
      <x:c r="K312" s="55" t="n">
        <x:v>30495</x:v>
      </x:c>
      <x:c r="L312" s="55" t="n">
        <x:v>4966</x:v>
      </x:c>
      <x:c r="M312" s="55" t="n">
        <x:v>981</x:v>
      </x:c>
      <x:c r="N312" s="55" t="n">
        <x:v>2020</x:v>
      </x:c>
      <x:c r="O312" s="55" t="n">
        <x:v>1965</x:v>
      </x:c>
      <x:c r="P312" s="55" t="n">
        <x:v>946</x:v>
      </x:c>
      <x:c r="Q312" s="55" t="n">
        <x:v>2164</x:v>
      </x:c>
      <x:c r="R312" s="55" t="n">
        <x:v>2113</x:v>
      </x:c>
      <x:c r="S312" s="55" t="n">
        <x:v>2959</x:v>
      </x:c>
      <x:c r="T312" s="55" t="n">
        <x:v>1679</x:v>
      </x:c>
      <x:c r="U312" s="55" t="n">
        <x:v>2064</x:v>
      </x:c>
      <x:c r="V312" s="55" t="n">
        <x:v>10615</x:v>
      </x:c>
      <x:c r="W312" s="55" t="n">
        <x:v>8126</x:v>
      </x:c>
      <x:c r="X312" s="55" t="n">
        <x:v>2489</x:v>
      </x:c>
      <x:c r="Y312" s="55" t="n">
        <x:v>1918</x:v>
      </x:c>
      <x:c r="Z312" s="55" t="n">
        <x:v>3059</x:v>
      </x:c>
      <x:c r="AA312" s="55" t="n">
        <x:v>3209</x:v>
      </x:c>
      <x:c r="AB312" s="55" t="n">
        <x:v>1319</x:v>
      </x:c>
      <x:c r="AC312" s="55" t="n">
        <x:v>8675</x:v>
      </x:c>
      <x:c r="AD312" s="55" t="n">
        <x:v>3893</x:v>
      </x:c>
      <x:c r="AE312" s="55" t="n">
        <x:v>10638</x:v>
      </x:c>
      <x:c r="AF312" s="55" t="n">
        <x:v>10615</x:v>
      </x:c>
      <x:c r="AG312" s="55" t="n">
        <x:v>23</x:v>
      </x:c>
      <x:c r="AH312" s="55" t="n">
        <x:v>510</x:v>
      </x:c>
      <x:c r="AI312" s="55" t="n">
        <x:v>10105</x:v>
      </x:c>
      <x:c r="AJ312" s="55" t="n">
        <x:v>262</x:v>
      </x:c>
      <x:c r="AK312" s="55" t="n">
        <x:v>868</x:v>
      </x:c>
      <x:c r="AL312" s="55" t="n">
        <x:v>1081</x:v>
      </x:c>
      <x:c r="AM312" s="55" t="n">
        <x:v>5819</x:v>
      </x:c>
      <x:c r="AN312" s="55" t="n">
        <x:v>2505</x:v>
      </x:c>
      <x:c r="AO312" s="55" t="n">
        <x:v>80</x:v>
      </x:c>
      <x:c r="AP312" s="55" t="n">
        <x:v>2683</x:v>
      </x:c>
      <x:c r="AQ312" s="55" t="n">
        <x:v>939</x:v>
      </x:c>
    </x:row>
    <x:row r="313">
      <x:c r="A313" s="54" t="str">
        <x:v>T0_TABLE_BLOCK</x:v>
      </x:c>
      <x:c r="B313" s="54" t="n">
        <x:v>307</x:v>
      </x:c>
      <x:c r="C313" s="54" t="str">
        <x:v>NYC-V2-R01</x:v>
      </x:c>
      <x:c r="D313" s="54" t="str">
        <x:v>V2</x:v>
      </x:c>
      <x:c r="E313" s="54" t="str">
        <x:v>ADMITTED</x:v>
      </x:c>
      <x:c r="F313" s="55" t="n">
        <x:v>31743</x:v>
      </x:c>
      <x:c r="G313" s="55" t="n">
        <x:v>7929</x:v>
      </x:c>
      <x:c r="H313" s="55" t="n">
        <x:v>2818</x:v>
      </x:c>
      <x:c r="I313" s="55" t="n">
        <x:v>1080</x:v>
      </x:c>
      <x:c r="J313" s="55" t="n">
        <x:v>224</x:v>
      </x:c>
      <x:c r="K313" s="55" t="n">
        <x:v>31743</x:v>
      </x:c>
      <x:c r="L313" s="55" t="n">
        <x:v>7530</x:v>
      </x:c>
      <x:c r="M313" s="55" t="n">
        <x:v>2268</x:v>
      </x:c>
      <x:c r="N313" s="55" t="n">
        <x:v>2946</x:v>
      </x:c>
      <x:c r="O313" s="55" t="n">
        <x:v>2316</x:v>
      </x:c>
      <x:c r="P313" s="55" t="n">
        <x:v>1022</x:v>
      </x:c>
      <x:c r="Q313" s="55" t="n">
        <x:v>2610</x:v>
      </x:c>
      <x:c r="R313" s="55" t="n">
        <x:v>1682</x:v>
      </x:c>
      <x:c r="S313" s="55" t="n">
        <x:v>1950</x:v>
      </x:c>
      <x:c r="T313" s="55" t="n">
        <x:v>1412</x:v>
      </x:c>
      <x:c r="U313" s="55" t="n">
        <x:v>2134</x:v>
      </x:c>
      <x:c r="V313" s="55" t="n">
        <x:v>10657</x:v>
      </x:c>
      <x:c r="W313" s="55" t="n">
        <x:v>7775</x:v>
      </x:c>
      <x:c r="X313" s="55" t="n">
        <x:v>2882</x:v>
      </x:c>
      <x:c r="Y313" s="55" t="n">
        <x:v>2626</x:v>
      </x:c>
      <x:c r="Z313" s="55" t="n">
        <x:v>3777</x:v>
      </x:c>
      <x:c r="AA313" s="55" t="n">
        <x:v>2755</x:v>
      </x:c>
      <x:c r="AB313" s="55" t="n">
        <x:v>1187</x:v>
      </x:c>
      <x:c r="AC313" s="55" t="n">
        <x:v>8465</x:v>
      </x:c>
      <x:c r="AD313" s="55" t="n">
        <x:v>3068</x:v>
      </x:c>
      <x:c r="AE313" s="55" t="n">
        <x:v>10745</x:v>
      </x:c>
      <x:c r="AF313" s="55" t="n">
        <x:v>10657</x:v>
      </x:c>
      <x:c r="AG313" s="55" t="n">
        <x:v>88</x:v>
      </x:c>
      <x:c r="AH313" s="55" t="n">
        <x:v>318</x:v>
      </x:c>
      <x:c r="AI313" s="55" t="n">
        <x:v>10339</x:v>
      </x:c>
      <x:c r="AJ313" s="55" t="n">
        <x:v>334</x:v>
      </x:c>
      <x:c r="AK313" s="55" t="n">
        <x:v>1221</x:v>
      </x:c>
      <x:c r="AL313" s="55" t="n">
        <x:v>1532</x:v>
      </x:c>
      <x:c r="AM313" s="55" t="n">
        <x:v>5444</x:v>
      </x:c>
      <x:c r="AN313" s="55" t="n">
        <x:v>2125</x:v>
      </x:c>
      <x:c r="AO313" s="55" t="n">
        <x:v>1</x:v>
      </x:c>
      <x:c r="AP313" s="55" t="n">
        <x:v>2499</x:v>
      </x:c>
      <x:c r="AQ313" s="55" t="n">
        <x:v>918</x:v>
      </x:c>
    </x:row>
    <x:row r="314">
      <x:c r="A314" s="54" t="str">
        <x:v>T0_TABLE_BLOCK</x:v>
      </x:c>
      <x:c r="B314" s="54" t="n">
        <x:v>308</x:v>
      </x:c>
      <x:c r="C314" s="54" t="str">
        <x:v>NYC-V2-R01</x:v>
      </x:c>
      <x:c r="D314" s="54" t="str">
        <x:v>V2</x:v>
      </x:c>
      <x:c r="E314" s="54" t="str">
        <x:v>ADMITTED</x:v>
      </x:c>
      <x:c r="F314" s="55" t="n">
        <x:v>30013</x:v>
      </x:c>
      <x:c r="G314" s="55" t="n">
        <x:v>7126</x:v>
      </x:c>
      <x:c r="H314" s="55" t="n">
        <x:v>3091</x:v>
      </x:c>
      <x:c r="I314" s="55" t="n">
        <x:v>1151</x:v>
      </x:c>
      <x:c r="J314" s="55" t="n">
        <x:v>149</x:v>
      </x:c>
      <x:c r="K314" s="55" t="n">
        <x:v>30013</x:v>
      </x:c>
      <x:c r="L314" s="55" t="n">
        <x:v>5643</x:v>
      </x:c>
      <x:c r="M314" s="55" t="n">
        <x:v>1028</x:v>
      </x:c>
      <x:c r="N314" s="55" t="n">
        <x:v>2994</x:v>
      </x:c>
      <x:c r="O314" s="55" t="n">
        <x:v>1621</x:v>
      </x:c>
      <x:c r="P314" s="55" t="n">
        <x:v>860</x:v>
      </x:c>
      <x:c r="Q314" s="55" t="n">
        <x:v>1543</x:v>
      </x:c>
      <x:c r="R314" s="55" t="n">
        <x:v>1804</x:v>
      </x:c>
      <x:c r="S314" s="55" t="n">
        <x:v>3052</x:v>
      </x:c>
      <x:c r="T314" s="55" t="n">
        <x:v>952</x:v>
      </x:c>
      <x:c r="U314" s="55" t="n">
        <x:v>1647</x:v>
      </x:c>
      <x:c r="V314" s="55" t="n">
        <x:v>10715</x:v>
      </x:c>
      <x:c r="W314" s="55" t="n">
        <x:v>7701</x:v>
      </x:c>
      <x:c r="X314" s="55" t="n">
        <x:v>3014</x:v>
      </x:c>
      <x:c r="Y314" s="55" t="n">
        <x:v>2597</x:v>
      </x:c>
      <x:c r="Z314" s="55" t="n">
        <x:v>3962</x:v>
      </x:c>
      <x:c r="AA314" s="55" t="n">
        <x:v>2392</x:v>
      </x:c>
      <x:c r="AB314" s="55" t="n">
        <x:v>795</x:v>
      </x:c>
      <x:c r="AC314" s="55" t="n">
        <x:v>8115</x:v>
      </x:c>
      <x:c r="AD314" s="55" t="n">
        <x:v>2919</x:v>
      </x:c>
      <x:c r="AE314" s="55" t="n">
        <x:v>10742</x:v>
      </x:c>
      <x:c r="AF314" s="55" t="n">
        <x:v>10715</x:v>
      </x:c>
      <x:c r="AG314" s="55" t="n">
        <x:v>27</x:v>
      </x:c>
      <x:c r="AH314" s="55" t="n">
        <x:v>305</x:v>
      </x:c>
      <x:c r="AI314" s="55" t="n">
        <x:v>10410</x:v>
      </x:c>
      <x:c r="AJ314" s="55" t="n">
        <x:v>350</x:v>
      </x:c>
      <x:c r="AK314" s="55" t="n">
        <x:v>717</x:v>
      </x:c>
      <x:c r="AL314" s="55" t="n">
        <x:v>2170</x:v>
      </x:c>
      <x:c r="AM314" s="55" t="n">
        <x:v>5376</x:v>
      </x:c>
      <x:c r="AN314" s="55" t="n">
        <x:v>2102</x:v>
      </x:c>
      <x:c r="AO314" s="55" t="n">
        <x:v>0</x:v>
      </x:c>
      <x:c r="AP314" s="55" t="n">
        <x:v>3033</x:v>
      </x:c>
      <x:c r="AQ314" s="55" t="n">
        <x:v>935</x:v>
      </x:c>
    </x:row>
    <x:row r="315">
      <x:c r="A315" s="54" t="str">
        <x:v>T0_TABLE_BLOCK</x:v>
      </x:c>
      <x:c r="B315" s="54" t="n">
        <x:v>309</x:v>
      </x:c>
      <x:c r="C315" s="54" t="str">
        <x:v>NYC-V2-R01</x:v>
      </x:c>
      <x:c r="D315" s="54" t="str">
        <x:v>V2</x:v>
      </x:c>
      <x:c r="E315" s="54" t="str">
        <x:v>ADMITTED</x:v>
      </x:c>
      <x:c r="F315" s="55" t="n">
        <x:v>31451</x:v>
      </x:c>
      <x:c r="G315" s="55" t="n">
        <x:v>8100</x:v>
      </x:c>
      <x:c r="H315" s="55" t="n">
        <x:v>2870</x:v>
      </x:c>
      <x:c r="I315" s="55" t="n">
        <x:v>698</x:v>
      </x:c>
      <x:c r="J315" s="55" t="n">
        <x:v>147</x:v>
      </x:c>
      <x:c r="K315" s="55" t="n">
        <x:v>29657</x:v>
      </x:c>
      <x:c r="L315" s="55" t="n">
        <x:v>6392</x:v>
      </x:c>
      <x:c r="M315" s="55" t="n">
        <x:v>1594</x:v>
      </x:c>
      <x:c r="N315" s="55" t="n">
        <x:v>3176</x:v>
      </x:c>
      <x:c r="O315" s="55" t="n">
        <x:v>1622</x:v>
      </x:c>
      <x:c r="P315" s="55" t="n">
        <x:v>743</x:v>
      </x:c>
      <x:c r="Q315" s="55" t="n">
        <x:v>2544</x:v>
      </x:c>
      <x:c r="R315" s="55" t="n">
        <x:v>2198</x:v>
      </x:c>
      <x:c r="S315" s="55" t="n">
        <x:v>3339</x:v>
      </x:c>
      <x:c r="T315" s="55" t="n">
        <x:v>640</x:v>
      </x:c>
      <x:c r="U315" s="55" t="n">
        <x:v>1804</x:v>
      </x:c>
      <x:c r="V315" s="55" t="n">
        <x:v>10322</x:v>
      </x:c>
      <x:c r="W315" s="55" t="n">
        <x:v>6850</x:v>
      </x:c>
      <x:c r="X315" s="55" t="n">
        <x:v>3472</x:v>
      </x:c>
      <x:c r="Y315" s="55" t="n">
        <x:v>3002</x:v>
      </x:c>
      <x:c r="Z315" s="55" t="n">
        <x:v>4049</x:v>
      </x:c>
      <x:c r="AA315" s="55" t="n">
        <x:v>2870</x:v>
      </x:c>
      <x:c r="AB315" s="55" t="n">
        <x:v>651</x:v>
      </x:c>
      <x:c r="AC315" s="55" t="n">
        <x:v>7932</x:v>
      </x:c>
      <x:c r="AD315" s="55" t="n">
        <x:v>2628</x:v>
      </x:c>
      <x:c r="AE315" s="55" t="n">
        <x:v>10376</x:v>
      </x:c>
      <x:c r="AF315" s="55" t="n">
        <x:v>10322</x:v>
      </x:c>
      <x:c r="AG315" s="55" t="n">
        <x:v>54</x:v>
      </x:c>
      <x:c r="AH315" s="55" t="n">
        <x:v>494</x:v>
      </x:c>
      <x:c r="AI315" s="55" t="n">
        <x:v>9828</x:v>
      </x:c>
      <x:c r="AJ315" s="55" t="n">
        <x:v>325</x:v>
      </x:c>
      <x:c r="AK315" s="55" t="n">
        <x:v>861</x:v>
      </x:c>
      <x:c r="AL315" s="55" t="n">
        <x:v>1266</x:v>
      </x:c>
      <x:c r="AM315" s="55" t="n">
        <x:v>5370</x:v>
      </x:c>
      <x:c r="AN315" s="55" t="n">
        <x:v>2500</x:v>
      </x:c>
      <x:c r="AO315" s="55" t="n">
        <x:v>0</x:v>
      </x:c>
      <x:c r="AP315" s="55" t="n">
        <x:v>2534</x:v>
      </x:c>
      <x:c r="AQ315" s="55" t="n">
        <x:v>952</x:v>
      </x:c>
    </x:row>
    <x:row r="316">
      <x:c r="A316" s="54" t="str">
        <x:v>T0_TABLE_BLOCK</x:v>
      </x:c>
      <x:c r="B316" s="54" t="n">
        <x:v>310</x:v>
      </x:c>
      <x:c r="C316" s="54" t="str">
        <x:v>NYC-V2-R01</x:v>
      </x:c>
      <x:c r="D316" s="54" t="str">
        <x:v>V2</x:v>
      </x:c>
      <x:c r="E316" s="54" t="str">
        <x:v>ADMITTED</x:v>
      </x:c>
      <x:c r="F316" s="55" t="n">
        <x:v>34169</x:v>
      </x:c>
      <x:c r="G316" s="55" t="n">
        <x:v>9063</x:v>
      </x:c>
      <x:c r="H316" s="55" t="n">
        <x:v>3593</x:v>
      </x:c>
      <x:c r="I316" s="55" t="n">
        <x:v>1344</x:v>
      </x:c>
      <x:c r="J316" s="55" t="n">
        <x:v>394</x:v>
      </x:c>
      <x:c r="K316" s="55" t="n">
        <x:v>30367</x:v>
      </x:c>
      <x:c r="L316" s="55" t="n">
        <x:v>6722</x:v>
      </x:c>
      <x:c r="M316" s="55" t="n">
        <x:v>1584</x:v>
      </x:c>
      <x:c r="N316" s="55" t="n">
        <x:v>3171</x:v>
      </x:c>
      <x:c r="O316" s="55" t="n">
        <x:v>1967</x:v>
      </x:c>
      <x:c r="P316" s="55" t="n">
        <x:v>779</x:v>
      </x:c>
      <x:c r="Q316" s="55" t="n">
        <x:v>2111</x:v>
      </x:c>
      <x:c r="R316" s="55" t="n">
        <x:v>2013</x:v>
      </x:c>
      <x:c r="S316" s="55" t="n">
        <x:v>3540</x:v>
      </x:c>
      <x:c r="T316" s="55" t="n">
        <x:v>997</x:v>
      </x:c>
      <x:c r="U316" s="55" t="n">
        <x:v>1517</x:v>
      </x:c>
      <x:c r="V316" s="55" t="n">
        <x:v>9826</x:v>
      </x:c>
      <x:c r="W316" s="55" t="n">
        <x:v>6498</x:v>
      </x:c>
      <x:c r="X316" s="55" t="n">
        <x:v>3328</x:v>
      </x:c>
      <x:c r="Y316" s="55" t="n">
        <x:v>3150</x:v>
      </x:c>
      <x:c r="Z316" s="55" t="n">
        <x:v>3233</x:v>
      </x:c>
      <x:c r="AA316" s="55" t="n">
        <x:v>2813</x:v>
      </x:c>
      <x:c r="AB316" s="55" t="n">
        <x:v>863</x:v>
      </x:c>
      <x:c r="AC316" s="55" t="n">
        <x:v>8045</x:v>
      </x:c>
      <x:c r="AD316" s="55" t="n">
        <x:v>3165</x:v>
      </x:c>
      <x:c r="AE316" s="55" t="n">
        <x:v>9931</x:v>
      </x:c>
      <x:c r="AF316" s="55" t="n">
        <x:v>9826</x:v>
      </x:c>
      <x:c r="AG316" s="55" t="n">
        <x:v>105</x:v>
      </x:c>
      <x:c r="AH316" s="55" t="n">
        <x:v>470</x:v>
      </x:c>
      <x:c r="AI316" s="55" t="n">
        <x:v>9356</x:v>
      </x:c>
      <x:c r="AJ316" s="55" t="n">
        <x:v>307</x:v>
      </x:c>
      <x:c r="AK316" s="55" t="n">
        <x:v>836</x:v>
      </x:c>
      <x:c r="AL316" s="55" t="n">
        <x:v>1389</x:v>
      </x:c>
      <x:c r="AM316" s="55" t="n">
        <x:v>4411</x:v>
      </x:c>
      <x:c r="AN316" s="55" t="n">
        <x:v>2744</x:v>
      </x:c>
      <x:c r="AO316" s="55" t="n">
        <x:v>139</x:v>
      </x:c>
      <x:c r="AP316" s="55" t="n">
        <x:v>2148</x:v>
      </x:c>
      <x:c r="AQ316" s="55" t="n">
        <x:v>976</x:v>
      </x:c>
    </x:row>
    <x:row r="317">
      <x:c r="A317" s="54" t="str">
        <x:v>T0_TABLE_BLOCK</x:v>
      </x:c>
      <x:c r="B317" s="54" t="n">
        <x:v>311</x:v>
      </x:c>
      <x:c r="C317" s="54" t="str">
        <x:v>NYC-V2-R01</x:v>
      </x:c>
      <x:c r="D317" s="54" t="str">
        <x:v>V2</x:v>
      </x:c>
      <x:c r="E317" s="54" t="str">
        <x:v>ADMITTED</x:v>
      </x:c>
      <x:c r="F317" s="55" t="n">
        <x:v>36421</x:v>
      </x:c>
      <x:c r="G317" s="55" t="n">
        <x:v>8768</x:v>
      </x:c>
      <x:c r="H317" s="55" t="n">
        <x:v>3096</x:v>
      </x:c>
      <x:c r="I317" s="55" t="n">
        <x:v>1530</x:v>
      </x:c>
      <x:c r="J317" s="55" t="n">
        <x:v>0</x:v>
      </x:c>
      <x:c r="K317" s="55" t="n">
        <x:v>36421</x:v>
      </x:c>
      <x:c r="L317" s="55" t="n">
        <x:v>7333</x:v>
      </x:c>
      <x:c r="M317" s="55" t="n">
        <x:v>1887</x:v>
      </x:c>
      <x:c r="N317" s="55" t="n">
        <x:v>3109</x:v>
      </x:c>
      <x:c r="O317" s="55" t="n">
        <x:v>2337</x:v>
      </x:c>
      <x:c r="P317" s="55" t="n">
        <x:v>1148</x:v>
      </x:c>
      <x:c r="Q317" s="55" t="n">
        <x:v>3436</x:v>
      </x:c>
      <x:c r="R317" s="55" t="n">
        <x:v>2255</x:v>
      </x:c>
      <x:c r="S317" s="55" t="n">
        <x:v>3279</x:v>
      </x:c>
      <x:c r="T317" s="55" t="n">
        <x:v>1458</x:v>
      </x:c>
      <x:c r="U317" s="55" t="n">
        <x:v>2381</x:v>
      </x:c>
      <x:c r="V317" s="55" t="n">
        <x:v>10109</x:v>
      </x:c>
      <x:c r="W317" s="55" t="n">
        <x:v>7384</x:v>
      </x:c>
      <x:c r="X317" s="55" t="n">
        <x:v>2725</x:v>
      </x:c>
      <x:c r="Y317" s="55" t="n">
        <x:v>2297</x:v>
      </x:c>
      <x:c r="Z317" s="55" t="n">
        <x:v>3542</x:v>
      </x:c>
      <x:c r="AA317" s="55" t="n">
        <x:v>2935</x:v>
      </x:c>
      <x:c r="AB317" s="55" t="n">
        <x:v>1003</x:v>
      </x:c>
      <x:c r="AC317" s="55" t="n">
        <x:v>8213</x:v>
      </x:c>
      <x:c r="AD317" s="55" t="n">
        <x:v>2650</x:v>
      </x:c>
      <x:c r="AE317" s="55" t="n">
        <x:v>10211</x:v>
      </x:c>
      <x:c r="AF317" s="55" t="n">
        <x:v>10109</x:v>
      </x:c>
      <x:c r="AG317" s="55" t="n">
        <x:v>102</x:v>
      </x:c>
      <x:c r="AH317" s="55" t="n">
        <x:v>490</x:v>
      </x:c>
      <x:c r="AI317" s="55" t="n">
        <x:v>9619</x:v>
      </x:c>
      <x:c r="AJ317" s="55" t="n">
        <x:v>245</x:v>
      </x:c>
      <x:c r="AK317" s="55" t="n">
        <x:v>1325</x:v>
      </x:c>
      <x:c r="AL317" s="55" t="n">
        <x:v>1175</x:v>
      </x:c>
      <x:c r="AM317" s="55" t="n">
        <x:v>4872</x:v>
      </x:c>
      <x:c r="AN317" s="55" t="n">
        <x:v>2492</x:v>
      </x:c>
      <x:c r="AO317" s="55" t="n">
        <x:v>0</x:v>
      </x:c>
      <x:c r="AP317" s="55" t="n">
        <x:v>1957</x:v>
      </x:c>
      <x:c r="AQ317" s="55" t="n">
        <x:v>988</x:v>
      </x:c>
    </x:row>
    <x:row r="318">
      <x:c r="A318" s="54" t="str">
        <x:v>T0_TABLE_BLOCK</x:v>
      </x:c>
      <x:c r="B318" s="54" t="n">
        <x:v>312</x:v>
      </x:c>
      <x:c r="C318" s="54" t="str">
        <x:v>NYC-V2-R01</x:v>
      </x:c>
      <x:c r="D318" s="54" t="str">
        <x:v>V2</x:v>
      </x:c>
      <x:c r="E318" s="54" t="str">
        <x:v>ADMITTED</x:v>
      </x:c>
      <x:c r="F318" s="55" t="n">
        <x:v>29655</x:v>
      </x:c>
      <x:c r="G318" s="55" t="n">
        <x:v>6390</x:v>
      </x:c>
      <x:c r="H318" s="55" t="n">
        <x:v>3417</x:v>
      </x:c>
      <x:c r="I318" s="55" t="n">
        <x:v>1540</x:v>
      </x:c>
      <x:c r="J318" s="55" t="n">
        <x:v>194</x:v>
      </x:c>
      <x:c r="K318" s="55" t="n">
        <x:v>29655</x:v>
      </x:c>
      <x:c r="L318" s="55" t="n">
        <x:v>4149</x:v>
      </x:c>
      <x:c r="M318" s="55" t="n">
        <x:v>0</x:v>
      </x:c>
      <x:c r="N318" s="55" t="n">
        <x:v>2677</x:v>
      </x:c>
      <x:c r="O318" s="55" t="n">
        <x:v>1472</x:v>
      </x:c>
      <x:c r="P318" s="55" t="n">
        <x:v>962</x:v>
      </x:c>
      <x:c r="Q318" s="55" t="n">
        <x:v>2649</x:v>
      </x:c>
      <x:c r="R318" s="55" t="n">
        <x:v>2078</x:v>
      </x:c>
      <x:c r="S318" s="55" t="n">
        <x:v>2754</x:v>
      </x:c>
      <x:c r="T318" s="55" t="n">
        <x:v>1751</x:v>
      </x:c>
      <x:c r="U318" s="55" t="n">
        <x:v>2095</x:v>
      </x:c>
      <x:c r="V318" s="55" t="n">
        <x:v>9631</x:v>
      </x:c>
      <x:c r="W318" s="55" t="n">
        <x:v>6861</x:v>
      </x:c>
      <x:c r="X318" s="55" t="n">
        <x:v>2770</x:v>
      </x:c>
      <x:c r="Y318" s="55" t="n">
        <x:v>2572</x:v>
      </x:c>
      <x:c r="Z318" s="55" t="n">
        <x:v>3479</x:v>
      </x:c>
      <x:c r="AA318" s="55" t="n">
        <x:v>3128</x:v>
      </x:c>
      <x:c r="AB318" s="55" t="n">
        <x:v>1039</x:v>
      </x:c>
      <x:c r="AC318" s="55" t="n">
        <x:v>8126</x:v>
      </x:c>
      <x:c r="AD318" s="55" t="n">
        <x:v>2735</x:v>
      </x:c>
      <x:c r="AE318" s="55" t="n">
        <x:v>9726</x:v>
      </x:c>
      <x:c r="AF318" s="55" t="n">
        <x:v>9631</x:v>
      </x:c>
      <x:c r="AG318" s="55" t="n">
        <x:v>95</x:v>
      </x:c>
      <x:c r="AH318" s="55" t="n">
        <x:v>236</x:v>
      </x:c>
      <x:c r="AI318" s="55" t="n">
        <x:v>9395</x:v>
      </x:c>
      <x:c r="AJ318" s="55" t="n">
        <x:v>108</x:v>
      </x:c>
      <x:c r="AK318" s="55" t="n">
        <x:v>1252</x:v>
      </x:c>
      <x:c r="AL318" s="55" t="n">
        <x:v>1552</x:v>
      </x:c>
      <x:c r="AM318" s="55" t="n">
        <x:v>4707</x:v>
      </x:c>
      <x:c r="AN318" s="55" t="n">
        <x:v>2012</x:v>
      </x:c>
      <x:c r="AO318" s="55" t="n">
        <x:v>0</x:v>
      </x:c>
      <x:c r="AP318" s="55" t="n">
        <x:v>2408</x:v>
      </x:c>
      <x:c r="AQ318" s="55" t="n">
        <x:v>935</x:v>
      </x:c>
    </x:row>
    <x:row r="319">
      <x:c r="A319" s="54" t="str">
        <x:v>T0_TABLE_BLOCK</x:v>
      </x:c>
      <x:c r="B319" s="54" t="n">
        <x:v>313</x:v>
      </x:c>
      <x:c r="C319" s="54" t="str">
        <x:v>NYC-V2-R01</x:v>
      </x:c>
      <x:c r="D319" s="54" t="str">
        <x:v>V2</x:v>
      </x:c>
      <x:c r="E319" s="54" t="str">
        <x:v>ADMITTED</x:v>
      </x:c>
      <x:c r="F319" s="55" t="n">
        <x:v>32343</x:v>
      </x:c>
      <x:c r="G319" s="55" t="n">
        <x:v>7611</x:v>
      </x:c>
      <x:c r="H319" s="55" t="n">
        <x:v>3196</x:v>
      </x:c>
      <x:c r="I319" s="55" t="n">
        <x:v>1307</x:v>
      </x:c>
      <x:c r="J319" s="55" t="n">
        <x:v>326</x:v>
      </x:c>
      <x:c r="K319" s="55" t="n">
        <x:v>32343</x:v>
      </x:c>
      <x:c r="L319" s="55" t="n">
        <x:v>5307</x:v>
      </x:c>
      <x:c r="M319" s="55" t="n">
        <x:v>1299</x:v>
      </x:c>
      <x:c r="N319" s="55" t="n">
        <x:v>2525</x:v>
      </x:c>
      <x:c r="O319" s="55" t="n">
        <x:v>1483</x:v>
      </x:c>
      <x:c r="P319" s="55" t="n">
        <x:v>1041</x:v>
      </x:c>
      <x:c r="Q319" s="55" t="n">
        <x:v>2540</x:v>
      </x:c>
      <x:c r="R319" s="55" t="n">
        <x:v>2123</x:v>
      </x:c>
      <x:c r="S319" s="55" t="n">
        <x:v>3006</x:v>
      </x:c>
      <x:c r="T319" s="55" t="n">
        <x:v>1325</x:v>
      </x:c>
      <x:c r="U319" s="55" t="n">
        <x:v>2082</x:v>
      </x:c>
      <x:c r="V319" s="55" t="n">
        <x:v>11145</x:v>
      </x:c>
      <x:c r="W319" s="55" t="n">
        <x:v>8157</x:v>
      </x:c>
      <x:c r="X319" s="55" t="n">
        <x:v>2988</x:v>
      </x:c>
      <x:c r="Y319" s="55" t="n">
        <x:v>2613</x:v>
      </x:c>
      <x:c r="Z319" s="55" t="n">
        <x:v>3205</x:v>
      </x:c>
      <x:c r="AA319" s="55" t="n">
        <x:v>3196</x:v>
      </x:c>
      <x:c r="AB319" s="55" t="n">
        <x:v>1343</x:v>
      </x:c>
      <x:c r="AC319" s="55" t="n">
        <x:v>7559</x:v>
      </x:c>
      <x:c r="AD319" s="55" t="n">
        <x:v>2692</x:v>
      </x:c>
      <x:c r="AE319" s="55" t="n">
        <x:v>11189</x:v>
      </x:c>
      <x:c r="AF319" s="55" t="n">
        <x:v>11145</x:v>
      </x:c>
      <x:c r="AG319" s="55" t="n">
        <x:v>44</x:v>
      </x:c>
      <x:c r="AH319" s="55" t="n">
        <x:v>504</x:v>
      </x:c>
      <x:c r="AI319" s="55" t="n">
        <x:v>10641</x:v>
      </x:c>
      <x:c r="AJ319" s="55" t="n">
        <x:v>341</x:v>
      </x:c>
      <x:c r="AK319" s="55" t="n">
        <x:v>1011</x:v>
      </x:c>
      <x:c r="AL319" s="55" t="n">
        <x:v>1616</x:v>
      </x:c>
      <x:c r="AM319" s="55" t="n">
        <x:v>5231</x:v>
      </x:c>
      <x:c r="AN319" s="55" t="n">
        <x:v>2946</x:v>
      </x:c>
      <x:c r="AO319" s="55" t="n">
        <x:v>0</x:v>
      </x:c>
      <x:c r="AP319" s="55" t="n">
        <x:v>2368</x:v>
      </x:c>
      <x:c r="AQ319" s="55" t="n">
        <x:v>999</x:v>
      </x:c>
    </x:row>
    <x:row r="320">
      <x:c r="A320" s="54" t="str">
        <x:v>T0_TABLE_BLOCK</x:v>
      </x:c>
      <x:c r="B320" s="54" t="n">
        <x:v>314</x:v>
      </x:c>
      <x:c r="C320" s="54" t="str">
        <x:v>NYC-V2-R01</x:v>
      </x:c>
      <x:c r="D320" s="54" t="str">
        <x:v>V2</x:v>
      </x:c>
      <x:c r="E320" s="54" t="str">
        <x:v>ADMITTED</x:v>
      </x:c>
      <x:c r="F320" s="55" t="n">
        <x:v>32161</x:v>
      </x:c>
      <x:c r="G320" s="55" t="n">
        <x:v>7199</x:v>
      </x:c>
      <x:c r="H320" s="55" t="n">
        <x:v>3169</x:v>
      </x:c>
      <x:c r="I320" s="55" t="n">
        <x:v>1518</x:v>
      </x:c>
      <x:c r="J320" s="55" t="n">
        <x:v>276</x:v>
      </x:c>
      <x:c r="K320" s="55" t="n">
        <x:v>32161</x:v>
      </x:c>
      <x:c r="L320" s="55" t="n">
        <x:v>6896</x:v>
      </x:c>
      <x:c r="M320" s="55" t="n">
        <x:v>2036</x:v>
      </x:c>
      <x:c r="N320" s="55" t="n">
        <x:v>3404</x:v>
      </x:c>
      <x:c r="O320" s="55" t="n">
        <x:v>1456</x:v>
      </x:c>
      <x:c r="P320" s="55" t="n">
        <x:v>938</x:v>
      </x:c>
      <x:c r="Q320" s="55" t="n">
        <x:v>2817</x:v>
      </x:c>
      <x:c r="R320" s="55" t="n">
        <x:v>1275</x:v>
      </x:c>
      <x:c r="S320" s="55" t="n">
        <x:v>2988</x:v>
      </x:c>
      <x:c r="T320" s="55" t="n">
        <x:v>1268</x:v>
      </x:c>
      <x:c r="U320" s="55" t="n">
        <x:v>2263</x:v>
      </x:c>
      <x:c r="V320" s="55" t="n">
        <x:v>10459</x:v>
      </x:c>
      <x:c r="W320" s="55" t="n">
        <x:v>7219</x:v>
      </x:c>
      <x:c r="X320" s="55" t="n">
        <x:v>3240</x:v>
      </x:c>
      <x:c r="Y320" s="55" t="n">
        <x:v>2660</x:v>
      </x:c>
      <x:c r="Z320" s="55" t="n">
        <x:v>3725</x:v>
      </x:c>
      <x:c r="AA320" s="55" t="n">
        <x:v>3169</x:v>
      </x:c>
      <x:c r="AB320" s="55" t="n">
        <x:v>1295</x:v>
      </x:c>
      <x:c r="AC320" s="55" t="n">
        <x:v>7807</x:v>
      </x:c>
      <x:c r="AD320" s="55" t="n">
        <x:v>3677</x:v>
      </x:c>
      <x:c r="AE320" s="55" t="n">
        <x:v>10588</x:v>
      </x:c>
      <x:c r="AF320" s="55" t="n">
        <x:v>10459</x:v>
      </x:c>
      <x:c r="AG320" s="55" t="n">
        <x:v>129</x:v>
      </x:c>
      <x:c r="AH320" s="55" t="n">
        <x:v>413</x:v>
      </x:c>
      <x:c r="AI320" s="55" t="n">
        <x:v>10046</x:v>
      </x:c>
      <x:c r="AJ320" s="55" t="n">
        <x:v>405</x:v>
      </x:c>
      <x:c r="AK320" s="55" t="n">
        <x:v>1189</x:v>
      </x:c>
      <x:c r="AL320" s="55" t="n">
        <x:v>1820</x:v>
      </x:c>
      <x:c r="AM320" s="55" t="n">
        <x:v>4308</x:v>
      </x:c>
      <x:c r="AN320" s="55" t="n">
        <x:v>2668</x:v>
      </x:c>
      <x:c r="AO320" s="55" t="n">
        <x:v>69</x:v>
      </x:c>
      <x:c r="AP320" s="55" t="n">
        <x:v>2356</x:v>
      </x:c>
      <x:c r="AQ320" s="55" t="n">
        <x:v>952</x:v>
      </x:c>
    </x:row>
    <x:row r="321">
      <x:c r="A321" s="54" t="str">
        <x:v>T0_TABLE_BLOCK</x:v>
      </x:c>
      <x:c r="B321" s="54" t="n">
        <x:v>315</x:v>
      </x:c>
      <x:c r="C321" s="54" t="str">
        <x:v>NYC-V2-R01</x:v>
      </x:c>
      <x:c r="D321" s="54" t="str">
        <x:v>V2</x:v>
      </x:c>
      <x:c r="E321" s="54" t="str">
        <x:v>ADMITTED</x:v>
      </x:c>
      <x:c r="F321" s="55" t="n">
        <x:v>33928</x:v>
      </x:c>
      <x:c r="G321" s="55" t="n">
        <x:v>8323</x:v>
      </x:c>
      <x:c r="H321" s="55" t="n">
        <x:v>2917</x:v>
      </x:c>
      <x:c r="I321" s="55" t="n">
        <x:v>1121</x:v>
      </x:c>
      <x:c r="J321" s="55" t="n">
        <x:v>123</x:v>
      </x:c>
      <x:c r="K321" s="55" t="n">
        <x:v>33928</x:v>
      </x:c>
      <x:c r="L321" s="55" t="n">
        <x:v>6411</x:v>
      </x:c>
      <x:c r="M321" s="55" t="n">
        <x:v>1392</x:v>
      </x:c>
      <x:c r="N321" s="55" t="n">
        <x:v>3232</x:v>
      </x:c>
      <x:c r="O321" s="55" t="n">
        <x:v>1787</x:v>
      </x:c>
      <x:c r="P321" s="55" t="n">
        <x:v>1528</x:v>
      </x:c>
      <x:c r="Q321" s="55" t="n">
        <x:v>2925</x:v>
      </x:c>
      <x:c r="R321" s="55" t="n">
        <x:v>2181</x:v>
      </x:c>
      <x:c r="S321" s="55" t="n">
        <x:v>2608</x:v>
      </x:c>
      <x:c r="T321" s="55" t="n">
        <x:v>1372</x:v>
      </x:c>
      <x:c r="U321" s="55" t="n">
        <x:v>1362</x:v>
      </x:c>
      <x:c r="V321" s="55" t="n">
        <x:v>10527</x:v>
      </x:c>
      <x:c r="W321" s="55" t="n">
        <x:v>7637</x:v>
      </x:c>
      <x:c r="X321" s="55" t="n">
        <x:v>2890</x:v>
      </x:c>
      <x:c r="Y321" s="55" t="n">
        <x:v>2650</x:v>
      </x:c>
      <x:c r="Z321" s="55" t="n">
        <x:v>3334</x:v>
      </x:c>
      <x:c r="AA321" s="55" t="n">
        <x:v>2634</x:v>
      </x:c>
      <x:c r="AB321" s="55" t="n">
        <x:v>1099</x:v>
      </x:c>
      <x:c r="AC321" s="55" t="n">
        <x:v>8082</x:v>
      </x:c>
      <x:c r="AD321" s="55" t="n">
        <x:v>3128</x:v>
      </x:c>
      <x:c r="AE321" s="55" t="n">
        <x:v>10645</x:v>
      </x:c>
      <x:c r="AF321" s="55" t="n">
        <x:v>10527</x:v>
      </x:c>
      <x:c r="AG321" s="55" t="n">
        <x:v>118</x:v>
      </x:c>
      <x:c r="AH321" s="55" t="n">
        <x:v>650</x:v>
      </x:c>
      <x:c r="AI321" s="55" t="n">
        <x:v>9877</x:v>
      </x:c>
      <x:c r="AJ321" s="55" t="n">
        <x:v>182</x:v>
      </x:c>
      <x:c r="AK321" s="55" t="n">
        <x:v>1126</x:v>
      </x:c>
      <x:c r="AL321" s="55" t="n">
        <x:v>1645</x:v>
      </x:c>
      <x:c r="AM321" s="55" t="n">
        <x:v>4910</x:v>
      </x:c>
      <x:c r="AN321" s="55" t="n">
        <x:v>2629</x:v>
      </x:c>
      <x:c r="AO321" s="55" t="n">
        <x:v>35</x:v>
      </x:c>
      <x:c r="AP321" s="55" t="n">
        <x:v>2838</x:v>
      </x:c>
      <x:c r="AQ321" s="55" t="n">
        <x:v>944</x:v>
      </x:c>
    </x:row>
    <x:row r="322">
      <x:c r="A322" s="54" t="str">
        <x:v>T0_TABLE_BLOCK</x:v>
      </x:c>
      <x:c r="B322" s="54" t="n">
        <x:v>316</x:v>
      </x:c>
      <x:c r="C322" s="54" t="str">
        <x:v>NYC-V2-R01</x:v>
      </x:c>
      <x:c r="D322" s="54" t="str">
        <x:v>V2</x:v>
      </x:c>
      <x:c r="E322" s="54" t="str">
        <x:v>ADMITTED</x:v>
      </x:c>
      <x:c r="F322" s="55" t="n">
        <x:v>32208</x:v>
      </x:c>
      <x:c r="G322" s="55" t="n">
        <x:v>8832</x:v>
      </x:c>
      <x:c r="H322" s="55" t="n">
        <x:v>3073</x:v>
      </x:c>
      <x:c r="I322" s="55" t="n">
        <x:v>1090</x:v>
      </x:c>
      <x:c r="J322" s="55" t="n">
        <x:v>195</x:v>
      </x:c>
      <x:c r="K322" s="55" t="n">
        <x:v>30903</x:v>
      </x:c>
      <x:c r="L322" s="55" t="n">
        <x:v>6245</x:v>
      </x:c>
      <x:c r="M322" s="55" t="n">
        <x:v>2346</x:v>
      </x:c>
      <x:c r="N322" s="55" t="n">
        <x:v>2558</x:v>
      </x:c>
      <x:c r="O322" s="55" t="n">
        <x:v>1341</x:v>
      </x:c>
      <x:c r="P322" s="55" t="n">
        <x:v>664</x:v>
      </x:c>
      <x:c r="Q322" s="55" t="n">
        <x:v>3082</x:v>
      </x:c>
      <x:c r="R322" s="55" t="n">
        <x:v>1838</x:v>
      </x:c>
      <x:c r="S322" s="55" t="n">
        <x:v>3443</x:v>
      </x:c>
      <x:c r="T322" s="55" t="n">
        <x:v>1403</x:v>
      </x:c>
      <x:c r="U322" s="55" t="n">
        <x:v>1798</x:v>
      </x:c>
      <x:c r="V322" s="55" t="n">
        <x:v>10592</x:v>
      </x:c>
      <x:c r="W322" s="55" t="n">
        <x:v>7744</x:v>
      </x:c>
      <x:c r="X322" s="55" t="n">
        <x:v>2848</x:v>
      </x:c>
      <x:c r="Y322" s="55" t="n">
        <x:v>2567</x:v>
      </x:c>
      <x:c r="Z322" s="55" t="n">
        <x:v>4068</x:v>
      </x:c>
      <x:c r="AA322" s="55" t="n">
        <x:v>2948</x:v>
      </x:c>
      <x:c r="AB322" s="55" t="n">
        <x:v>582</x:v>
      </x:c>
      <x:c r="AC322" s="55" t="n">
        <x:v>8185</x:v>
      </x:c>
      <x:c r="AD322" s="55" t="n">
        <x:v>2661</x:v>
      </x:c>
      <x:c r="AE322" s="55" t="n">
        <x:v>10668</x:v>
      </x:c>
      <x:c r="AF322" s="55" t="n">
        <x:v>10592</x:v>
      </x:c>
      <x:c r="AG322" s="55" t="n">
        <x:v>76</x:v>
      </x:c>
      <x:c r="AH322" s="55" t="n">
        <x:v>573</x:v>
      </x:c>
      <x:c r="AI322" s="55" t="n">
        <x:v>10019</x:v>
      </x:c>
      <x:c r="AJ322" s="55" t="n">
        <x:v>342</x:v>
      </x:c>
      <x:c r="AK322" s="55" t="n">
        <x:v>1243</x:v>
      </x:c>
      <x:c r="AL322" s="55" t="n">
        <x:v>1401</x:v>
      </x:c>
      <x:c r="AM322" s="55" t="n">
        <x:v>4399</x:v>
      </x:c>
      <x:c r="AN322" s="55" t="n">
        <x:v>3180</x:v>
      </x:c>
      <x:c r="AO322" s="55" t="n">
        <x:v>27</x:v>
      </x:c>
      <x:c r="AP322" s="55" t="n">
        <x:v>2484</x:v>
      </x:c>
      <x:c r="AQ322" s="55" t="n">
        <x:v>944</x:v>
      </x:c>
    </x:row>
    <x:row r="323">
      <x:c r="A323" s="54" t="str">
        <x:v>T0_TABLE_BLOCK</x:v>
      </x:c>
      <x:c r="B323" s="54" t="n">
        <x:v>317</x:v>
      </x:c>
      <x:c r="C323" s="54" t="str">
        <x:v>NYC-V2-R01</x:v>
      </x:c>
      <x:c r="D323" s="54" t="str">
        <x:v>V2</x:v>
      </x:c>
      <x:c r="E323" s="54" t="str">
        <x:v>ADMITTED</x:v>
      </x:c>
      <x:c r="F323" s="55" t="n">
        <x:v>31531</x:v>
      </x:c>
      <x:c r="G323" s="55" t="n">
        <x:v>7847</x:v>
      </x:c>
      <x:c r="H323" s="55" t="n">
        <x:v>2927</x:v>
      </x:c>
      <x:c r="I323" s="55" t="n">
        <x:v>1021</x:v>
      </x:c>
      <x:c r="J323" s="55" t="n">
        <x:v>72</x:v>
      </x:c>
      <x:c r="K323" s="55" t="n">
        <x:v>31531</x:v>
      </x:c>
      <x:c r="L323" s="55" t="n">
        <x:v>4963</x:v>
      </x:c>
      <x:c r="M323" s="55" t="n">
        <x:v>573</x:v>
      </x:c>
      <x:c r="N323" s="55" t="n">
        <x:v>2677</x:v>
      </x:c>
      <x:c r="O323" s="55" t="n">
        <x:v>1713</x:v>
      </x:c>
      <x:c r="P323" s="55" t="n">
        <x:v>798</x:v>
      </x:c>
      <x:c r="Q323" s="55" t="n">
        <x:v>2318</x:v>
      </x:c>
      <x:c r="R323" s="55" t="n">
        <x:v>2355</x:v>
      </x:c>
      <x:c r="S323" s="55" t="n">
        <x:v>3086</x:v>
      </x:c>
      <x:c r="T323" s="55" t="n">
        <x:v>1014</x:v>
      </x:c>
      <x:c r="U323" s="55" t="n">
        <x:v>1861</x:v>
      </x:c>
      <x:c r="V323" s="55" t="n">
        <x:v>10171</x:v>
      </x:c>
      <x:c r="W323" s="55" t="n">
        <x:v>7449</x:v>
      </x:c>
      <x:c r="X323" s="55" t="n">
        <x:v>2722</x:v>
      </x:c>
      <x:c r="Y323" s="55" t="n">
        <x:v>2470</x:v>
      </x:c>
      <x:c r="Z323" s="55" t="n">
        <x:v>3678</x:v>
      </x:c>
      <x:c r="AA323" s="55" t="n">
        <x:v>2927</x:v>
      </x:c>
      <x:c r="AB323" s="55" t="n">
        <x:v>1126</x:v>
      </x:c>
      <x:c r="AC323" s="55" t="n">
        <x:v>7964</x:v>
      </x:c>
      <x:c r="AD323" s="55" t="n">
        <x:v>2802</x:v>
      </x:c>
      <x:c r="AE323" s="55" t="n">
        <x:v>10216</x:v>
      </x:c>
      <x:c r="AF323" s="55" t="n">
        <x:v>10171</x:v>
      </x:c>
      <x:c r="AG323" s="55" t="n">
        <x:v>45</x:v>
      </x:c>
      <x:c r="AH323" s="55" t="n">
        <x:v>193</x:v>
      </x:c>
      <x:c r="AI323" s="55" t="n">
        <x:v>9978</x:v>
      </x:c>
      <x:c r="AJ323" s="55" t="n">
        <x:v>459</x:v>
      </x:c>
      <x:c r="AK323" s="55" t="n">
        <x:v>634</x:v>
      </x:c>
      <x:c r="AL323" s="55" t="n">
        <x:v>1606</x:v>
      </x:c>
      <x:c r="AM323" s="55" t="n">
        <x:v>4785</x:v>
      </x:c>
      <x:c r="AN323" s="55" t="n">
        <x:v>2680</x:v>
      </x:c>
      <x:c r="AO323" s="55" t="n">
        <x:v>7</x:v>
      </x:c>
      <x:c r="AP323" s="55" t="n">
        <x:v>1807</x:v>
      </x:c>
      <x:c r="AQ323" s="55" t="n">
        <x:v>933</x:v>
      </x:c>
    </x:row>
    <x:row r="324">
      <x:c r="A324" s="54" t="str">
        <x:v>T0_TABLE_BLOCK</x:v>
      </x:c>
      <x:c r="B324" s="54" t="n">
        <x:v>318</x:v>
      </x:c>
      <x:c r="C324" s="54" t="str">
        <x:v>NYC-V2-R01</x:v>
      </x:c>
      <x:c r="D324" s="54" t="str">
        <x:v>V2</x:v>
      </x:c>
      <x:c r="E324" s="54" t="str">
        <x:v>ADMITTED</x:v>
      </x:c>
      <x:c r="F324" s="55" t="n">
        <x:v>30310</x:v>
      </x:c>
      <x:c r="G324" s="55" t="n">
        <x:v>7832</x:v>
      </x:c>
      <x:c r="H324" s="55" t="n">
        <x:v>3571</x:v>
      </x:c>
      <x:c r="I324" s="55" t="n">
        <x:v>638</x:v>
      </x:c>
      <x:c r="J324" s="55" t="n">
        <x:v>0</x:v>
      </x:c>
      <x:c r="K324" s="55" t="n">
        <x:v>30310</x:v>
      </x:c>
      <x:c r="L324" s="55" t="n">
        <x:v>6299</x:v>
      </x:c>
      <x:c r="M324" s="55" t="n">
        <x:v>1018</x:v>
      </x:c>
      <x:c r="N324" s="55" t="n">
        <x:v>3230</x:v>
      </x:c>
      <x:c r="O324" s="55" t="n">
        <x:v>2051</x:v>
      </x:c>
      <x:c r="P324" s="55" t="n">
        <x:v>942</x:v>
      </x:c>
      <x:c r="Q324" s="55" t="n">
        <x:v>2116</x:v>
      </x:c>
      <x:c r="R324" s="55" t="n">
        <x:v>1798</x:v>
      </x:c>
      <x:c r="S324" s="55" t="n">
        <x:v>2506</x:v>
      </x:c>
      <x:c r="T324" s="55" t="n">
        <x:v>903</x:v>
      </x:c>
      <x:c r="U324" s="55" t="n">
        <x:v>2331</x:v>
      </x:c>
      <x:c r="V324" s="55" t="n">
        <x:v>10305</x:v>
      </x:c>
      <x:c r="W324" s="55" t="n">
        <x:v>7368</x:v>
      </x:c>
      <x:c r="X324" s="55" t="n">
        <x:v>2937</x:v>
      </x:c>
      <x:c r="Y324" s="55" t="n">
        <x:v>2464</x:v>
      </x:c>
      <x:c r="Z324" s="55" t="n">
        <x:v>3627</x:v>
      </x:c>
      <x:c r="AA324" s="55" t="n">
        <x:v>3571</x:v>
      </x:c>
      <x:c r="AB324" s="55" t="n">
        <x:v>1004</x:v>
      </x:c>
      <x:c r="AC324" s="55" t="n">
        <x:v>8242</x:v>
      </x:c>
      <x:c r="AD324" s="55" t="n">
        <x:v>3232</x:v>
      </x:c>
      <x:c r="AE324" s="55" t="n">
        <x:v>10367</x:v>
      </x:c>
      <x:c r="AF324" s="55" t="n">
        <x:v>10305</x:v>
      </x:c>
      <x:c r="AG324" s="55" t="n">
        <x:v>62</x:v>
      </x:c>
      <x:c r="AH324" s="55" t="n">
        <x:v>342</x:v>
      </x:c>
      <x:c r="AI324" s="55" t="n">
        <x:v>9963</x:v>
      </x:c>
      <x:c r="AJ324" s="55" t="n">
        <x:v>422</x:v>
      </x:c>
      <x:c r="AK324" s="55" t="n">
        <x:v>721</x:v>
      </x:c>
      <x:c r="AL324" s="55" t="n">
        <x:v>1322</x:v>
      </x:c>
      <x:c r="AM324" s="55" t="n">
        <x:v>5292</x:v>
      </x:c>
      <x:c r="AN324" s="55" t="n">
        <x:v>2495</x:v>
      </x:c>
      <x:c r="AO324" s="55" t="n">
        <x:v>53</x:v>
      </x:c>
      <x:c r="AP324" s="55" t="n">
        <x:v>2502</x:v>
      </x:c>
      <x:c r="AQ324" s="55" t="n">
        <x:v>946</x:v>
      </x:c>
    </x:row>
    <x:row r="325">
      <x:c r="A325" s="54" t="str">
        <x:v>T0_TABLE_BLOCK</x:v>
      </x:c>
      <x:c r="B325" s="54" t="n">
        <x:v>319</x:v>
      </x:c>
      <x:c r="C325" s="54" t="str">
        <x:v>NYC-V2-R01</x:v>
      </x:c>
      <x:c r="D325" s="54" t="str">
        <x:v>V2</x:v>
      </x:c>
      <x:c r="E325" s="54" t="str">
        <x:v>ADMITTED</x:v>
      </x:c>
      <x:c r="F325" s="55" t="n">
        <x:v>32262</x:v>
      </x:c>
      <x:c r="G325" s="55" t="n">
        <x:v>6718</x:v>
      </x:c>
      <x:c r="H325" s="55" t="n">
        <x:v>3700</x:v>
      </x:c>
      <x:c r="I325" s="55" t="n">
        <x:v>1633</x:v>
      </x:c>
      <x:c r="J325" s="55" t="n">
        <x:v>325</x:v>
      </x:c>
      <x:c r="K325" s="55" t="n">
        <x:v>32262</x:v>
      </x:c>
      <x:c r="L325" s="55" t="n">
        <x:v>4821</x:v>
      </x:c>
      <x:c r="M325" s="55" t="n">
        <x:v>833</x:v>
      </x:c>
      <x:c r="N325" s="55" t="n">
        <x:v>2573</x:v>
      </x:c>
      <x:c r="O325" s="55" t="n">
        <x:v>1415</x:v>
      </x:c>
      <x:c r="P325" s="55" t="n">
        <x:v>541</x:v>
      </x:c>
      <x:c r="Q325" s="55" t="n">
        <x:v>2342</x:v>
      </x:c>
      <x:c r="R325" s="55" t="n">
        <x:v>1607</x:v>
      </x:c>
      <x:c r="S325" s="55" t="n">
        <x:v>2300</x:v>
      </x:c>
      <x:c r="T325" s="55" t="n">
        <x:v>1845</x:v>
      </x:c>
      <x:c r="U325" s="55" t="n">
        <x:v>1944</x:v>
      </x:c>
      <x:c r="V325" s="55" t="n">
        <x:v>10657</x:v>
      </x:c>
      <x:c r="W325" s="55" t="n">
        <x:v>7072</x:v>
      </x:c>
      <x:c r="X325" s="55" t="n">
        <x:v>3585</x:v>
      </x:c>
      <x:c r="Y325" s="55" t="n">
        <x:v>3118</x:v>
      </x:c>
      <x:c r="Z325" s="55" t="n">
        <x:v>3866</x:v>
      </x:c>
      <x:c r="AA325" s="55" t="n">
        <x:v>2997</x:v>
      </x:c>
      <x:c r="AB325" s="55" t="n">
        <x:v>1017</x:v>
      </x:c>
      <x:c r="AC325" s="55" t="n">
        <x:v>7937</x:v>
      </x:c>
      <x:c r="AD325" s="55" t="n">
        <x:v>2607</x:v>
      </x:c>
      <x:c r="AE325" s="55" t="n">
        <x:v>10810</x:v>
      </x:c>
      <x:c r="AF325" s="55" t="n">
        <x:v>10657</x:v>
      </x:c>
      <x:c r="AG325" s="55" t="n">
        <x:v>153</x:v>
      </x:c>
      <x:c r="AH325" s="55" t="n">
        <x:v>446</x:v>
      </x:c>
      <x:c r="AI325" s="55" t="n">
        <x:v>10211</x:v>
      </x:c>
      <x:c r="AJ325" s="55" t="n">
        <x:v>414</x:v>
      </x:c>
      <x:c r="AK325" s="55" t="n">
        <x:v>836</x:v>
      </x:c>
      <x:c r="AL325" s="55" t="n">
        <x:v>1436</x:v>
      </x:c>
      <x:c r="AM325" s="55" t="n">
        <x:v>5344</x:v>
      </x:c>
      <x:c r="AN325" s="55" t="n">
        <x:v>2589</x:v>
      </x:c>
      <x:c r="AO325" s="55" t="n">
        <x:v>38</x:v>
      </x:c>
      <x:c r="AP325" s="55" t="n">
        <x:v>1861</x:v>
      </x:c>
      <x:c r="AQ325" s="55" t="n">
        <x:v>938</x:v>
      </x:c>
    </x:row>
    <x:row r="326">
      <x:c r="A326" s="54" t="str">
        <x:v>T0_TABLE_BLOCK</x:v>
      </x:c>
      <x:c r="B326" s="54" t="n">
        <x:v>320</x:v>
      </x:c>
      <x:c r="C326" s="54" t="str">
        <x:v>NYC-V2-R01</x:v>
      </x:c>
      <x:c r="D326" s="54" t="str">
        <x:v>V2</x:v>
      </x:c>
      <x:c r="E326" s="54" t="str">
        <x:v>ADMITTED</x:v>
      </x:c>
      <x:c r="F326" s="55" t="n">
        <x:v>31743</x:v>
      </x:c>
      <x:c r="G326" s="55" t="n">
        <x:v>7977</x:v>
      </x:c>
      <x:c r="H326" s="55" t="n">
        <x:v>3239</x:v>
      </x:c>
      <x:c r="I326" s="55" t="n">
        <x:v>1243</x:v>
      </x:c>
      <x:c r="J326" s="55" t="n">
        <x:v>112</x:v>
      </x:c>
      <x:c r="K326" s="55" t="n">
        <x:v>29260</x:v>
      </x:c>
      <x:c r="L326" s="55" t="n">
        <x:v>5109</x:v>
      </x:c>
      <x:c r="M326" s="55" t="n">
        <x:v>852</x:v>
      </x:c>
      <x:c r="N326" s="55" t="n">
        <x:v>2646</x:v>
      </x:c>
      <x:c r="O326" s="55" t="n">
        <x:v>1611</x:v>
      </x:c>
      <x:c r="P326" s="55" t="n">
        <x:v>805</x:v>
      </x:c>
      <x:c r="Q326" s="55" t="n">
        <x:v>2291</x:v>
      </x:c>
      <x:c r="R326" s="55" t="n">
        <x:v>2149</x:v>
      </x:c>
      <x:c r="S326" s="55" t="n">
        <x:v>2750</x:v>
      </x:c>
      <x:c r="T326" s="55" t="n">
        <x:v>1029</x:v>
      </x:c>
      <x:c r="U326" s="55" t="n">
        <x:v>2574</x:v>
      </x:c>
      <x:c r="V326" s="55" t="n">
        <x:v>10445</x:v>
      </x:c>
      <x:c r="W326" s="55" t="n">
        <x:v>7431</x:v>
      </x:c>
      <x:c r="X326" s="55" t="n">
        <x:v>3014</x:v>
      </x:c>
      <x:c r="Y326" s="55" t="n">
        <x:v>2490</x:v>
      </x:c>
      <x:c r="Z326" s="55" t="n">
        <x:v>3497</x:v>
      </x:c>
      <x:c r="AA326" s="55" t="n">
        <x:v>2528</x:v>
      </x:c>
      <x:c r="AB326" s="55" t="n">
        <x:v>879</x:v>
      </x:c>
      <x:c r="AC326" s="55" t="n">
        <x:v>8387</x:v>
      </x:c>
      <x:c r="AD326" s="55" t="n">
        <x:v>2497</x:v>
      </x:c>
      <x:c r="AE326" s="55" t="n">
        <x:v>10574</x:v>
      </x:c>
      <x:c r="AF326" s="55" t="n">
        <x:v>10445</x:v>
      </x:c>
      <x:c r="AG326" s="55" t="n">
        <x:v>129</x:v>
      </x:c>
      <x:c r="AH326" s="55" t="n">
        <x:v>391</x:v>
      </x:c>
      <x:c r="AI326" s="55" t="n">
        <x:v>10054</x:v>
      </x:c>
      <x:c r="AJ326" s="55" t="n">
        <x:v>315</x:v>
      </x:c>
      <x:c r="AK326" s="55" t="n">
        <x:v>819</x:v>
      </x:c>
      <x:c r="AL326" s="55" t="n">
        <x:v>948</x:v>
      </x:c>
      <x:c r="AM326" s="55" t="n">
        <x:v>5405</x:v>
      </x:c>
      <x:c r="AN326" s="55" t="n">
        <x:v>2951</x:v>
      </x:c>
      <x:c r="AO326" s="55" t="n">
        <x:v>7</x:v>
      </x:c>
      <x:c r="AP326" s="55" t="n">
        <x:v>2787</x:v>
      </x:c>
      <x:c r="AQ326" s="55" t="n">
        <x:v>937</x:v>
      </x:c>
    </x:row>
    <x:row r="327">
      <x:c r="A327" s="54" t="str">
        <x:v>T0_TABLE_BLOCK</x:v>
      </x:c>
      <x:c r="B327" s="54" t="n">
        <x:v>321</x:v>
      </x:c>
      <x:c r="C327" s="54" t="str">
        <x:v>NYC-V2-R01</x:v>
      </x:c>
      <x:c r="D327" s="54" t="str">
        <x:v>V2</x:v>
      </x:c>
      <x:c r="E327" s="54" t="str">
        <x:v>ADMITTED</x:v>
      </x:c>
      <x:c r="F327" s="55" t="n">
        <x:v>31574</x:v>
      </x:c>
      <x:c r="G327" s="55" t="n">
        <x:v>7277</x:v>
      </x:c>
      <x:c r="H327" s="55" t="n">
        <x:v>3689</x:v>
      </x:c>
      <x:c r="I327" s="55" t="n">
        <x:v>1148</x:v>
      </x:c>
      <x:c r="J327" s="55" t="n">
        <x:v>286</x:v>
      </x:c>
      <x:c r="K327" s="55" t="n">
        <x:v>31574</x:v>
      </x:c>
      <x:c r="L327" s="55" t="n">
        <x:v>5845</x:v>
      </x:c>
      <x:c r="M327" s="55" t="n">
        <x:v>1936</x:v>
      </x:c>
      <x:c r="N327" s="55" t="n">
        <x:v>2277</x:v>
      </x:c>
      <x:c r="O327" s="55" t="n">
        <x:v>1632</x:v>
      </x:c>
      <x:c r="P327" s="55" t="n">
        <x:v>1340</x:v>
      </x:c>
      <x:c r="Q327" s="55" t="n">
        <x:v>1740</x:v>
      </x:c>
      <x:c r="R327" s="55" t="n">
        <x:v>2062</x:v>
      </x:c>
      <x:c r="S327" s="55" t="n">
        <x:v>2131</x:v>
      </x:c>
      <x:c r="T327" s="55" t="n">
        <x:v>932</x:v>
      </x:c>
      <x:c r="U327" s="55" t="n">
        <x:v>1868</x:v>
      </x:c>
      <x:c r="V327" s="55" t="n">
        <x:v>10566</x:v>
      </x:c>
      <x:c r="W327" s="55" t="n">
        <x:v>7622</x:v>
      </x:c>
      <x:c r="X327" s="55" t="n">
        <x:v>2944</x:v>
      </x:c>
      <x:c r="Y327" s="55" t="n">
        <x:v>2746</x:v>
      </x:c>
      <x:c r="Z327" s="55" t="n">
        <x:v>3755</x:v>
      </x:c>
      <x:c r="AA327" s="55" t="n">
        <x:v>3025</x:v>
      </x:c>
      <x:c r="AB327" s="55" t="n">
        <x:v>1294</x:v>
      </x:c>
      <x:c r="AC327" s="55" t="n">
        <x:v>8161</x:v>
      </x:c>
      <x:c r="AD327" s="55" t="n">
        <x:v>3096</x:v>
      </x:c>
      <x:c r="AE327" s="55" t="n">
        <x:v>10599</x:v>
      </x:c>
      <x:c r="AF327" s="55" t="n">
        <x:v>10566</x:v>
      </x:c>
      <x:c r="AG327" s="55" t="n">
        <x:v>33</x:v>
      </x:c>
      <x:c r="AH327" s="55" t="n">
        <x:v>248</x:v>
      </x:c>
      <x:c r="AI327" s="55" t="n">
        <x:v>10318</x:v>
      </x:c>
      <x:c r="AJ327" s="55" t="n">
        <x:v>227</x:v>
      </x:c>
      <x:c r="AK327" s="55" t="n">
        <x:v>1179</x:v>
      </x:c>
      <x:c r="AL327" s="55" t="n">
        <x:v>1663</x:v>
      </x:c>
      <x:c r="AM327" s="55" t="n">
        <x:v>4800</x:v>
      </x:c>
      <x:c r="AN327" s="55" t="n">
        <x:v>2666</x:v>
      </x:c>
      <x:c r="AO327" s="55" t="n">
        <x:v>31</x:v>
      </x:c>
      <x:c r="AP327" s="55" t="n">
        <x:v>2872</x:v>
      </x:c>
      <x:c r="AQ327" s="55" t="n">
        <x:v>902</x:v>
      </x:c>
    </x:row>
    <x:row r="328">
      <x:c r="A328" s="54" t="str">
        <x:v>T0_TABLE_BLOCK</x:v>
      </x:c>
      <x:c r="B328" s="54" t="n">
        <x:v>322</x:v>
      </x:c>
      <x:c r="C328" s="54" t="str">
        <x:v>NYC-V2-R01</x:v>
      </x:c>
      <x:c r="D328" s="54" t="str">
        <x:v>V2</x:v>
      </x:c>
      <x:c r="E328" s="54" t="str">
        <x:v>ADMITTED</x:v>
      </x:c>
      <x:c r="F328" s="55" t="n">
        <x:v>30312</x:v>
      </x:c>
      <x:c r="G328" s="55" t="n">
        <x:v>6773</x:v>
      </x:c>
      <x:c r="H328" s="55" t="n">
        <x:v>2904</x:v>
      </x:c>
      <x:c r="I328" s="55" t="n">
        <x:v>1122</x:v>
      </x:c>
      <x:c r="J328" s="55" t="n">
        <x:v>101</x:v>
      </x:c>
      <x:c r="K328" s="55" t="n">
        <x:v>30312</x:v>
      </x:c>
      <x:c r="L328" s="55" t="n">
        <x:v>6402</x:v>
      </x:c>
      <x:c r="M328" s="55" t="n">
        <x:v>2049</x:v>
      </x:c>
      <x:c r="N328" s="55" t="n">
        <x:v>2567</x:v>
      </x:c>
      <x:c r="O328" s="55" t="n">
        <x:v>1786</x:v>
      </x:c>
      <x:c r="P328" s="55" t="n">
        <x:v>750</x:v>
      </x:c>
      <x:c r="Q328" s="55" t="n">
        <x:v>3530</x:v>
      </x:c>
      <x:c r="R328" s="55" t="n">
        <x:v>2489</x:v>
      </x:c>
      <x:c r="S328" s="55" t="n">
        <x:v>2429</x:v>
      </x:c>
      <x:c r="T328" s="55" t="n">
        <x:v>1138</x:v>
      </x:c>
      <x:c r="U328" s="55" t="n">
        <x:v>1751</x:v>
      </x:c>
      <x:c r="V328" s="55" t="n">
        <x:v>11406</x:v>
      </x:c>
      <x:c r="W328" s="55" t="n">
        <x:v>8578</x:v>
      </x:c>
      <x:c r="X328" s="55" t="n">
        <x:v>2828</x:v>
      </x:c>
      <x:c r="Y328" s="55" t="n">
        <x:v>2572</x:v>
      </x:c>
      <x:c r="Z328" s="55" t="n">
        <x:v>3414</x:v>
      </x:c>
      <x:c r="AA328" s="55" t="n">
        <x:v>2746</x:v>
      </x:c>
      <x:c r="AB328" s="55" t="n">
        <x:v>1017</x:v>
      </x:c>
      <x:c r="AC328" s="55" t="n">
        <x:v>8128</x:v>
      </x:c>
      <x:c r="AD328" s="55" t="n">
        <x:v>3220</x:v>
      </x:c>
      <x:c r="AE328" s="55" t="n">
        <x:v>11460</x:v>
      </x:c>
      <x:c r="AF328" s="55" t="n">
        <x:v>11406</x:v>
      </x:c>
      <x:c r="AG328" s="55" t="n">
        <x:v>54</x:v>
      </x:c>
      <x:c r="AH328" s="55" t="n">
        <x:v>409</x:v>
      </x:c>
      <x:c r="AI328" s="55" t="n">
        <x:v>10997</x:v>
      </x:c>
      <x:c r="AJ328" s="55" t="n">
        <x:v>247</x:v>
      </x:c>
      <x:c r="AK328" s="55" t="n">
        <x:v>1112</x:v>
      </x:c>
      <x:c r="AL328" s="55" t="n">
        <x:v>1869</x:v>
      </x:c>
      <x:c r="AM328" s="55" t="n">
        <x:v>5271</x:v>
      </x:c>
      <x:c r="AN328" s="55" t="n">
        <x:v>2888</x:v>
      </x:c>
      <x:c r="AO328" s="55" t="n">
        <x:v>19</x:v>
      </x:c>
      <x:c r="AP328" s="55" t="n">
        <x:v>2689</x:v>
      </x:c>
      <x:c r="AQ328" s="55" t="n">
        <x:v>956</x:v>
      </x:c>
    </x:row>
    <x:row r="329">
      <x:c r="A329" s="54" t="str">
        <x:v>T0_TABLE_BLOCK</x:v>
      </x:c>
      <x:c r="B329" s="54" t="n">
        <x:v>323</x:v>
      </x:c>
      <x:c r="C329" s="54" t="str">
        <x:v>NYC-V2-R01</x:v>
      </x:c>
      <x:c r="D329" s="54" t="str">
        <x:v>V2</x:v>
      </x:c>
      <x:c r="E329" s="54" t="str">
        <x:v>ADMITTED</x:v>
      </x:c>
      <x:c r="F329" s="55" t="n">
        <x:v>32490</x:v>
      </x:c>
      <x:c r="G329" s="55" t="n">
        <x:v>6283</x:v>
      </x:c>
      <x:c r="H329" s="55" t="n">
        <x:v>4081</x:v>
      </x:c>
      <x:c r="I329" s="55" t="n">
        <x:v>1602</x:v>
      </x:c>
      <x:c r="J329" s="55" t="n">
        <x:v>181</x:v>
      </x:c>
      <x:c r="K329" s="55" t="n">
        <x:v>32490</x:v>
      </x:c>
      <x:c r="L329" s="55" t="n">
        <x:v>6006</x:v>
      </x:c>
      <x:c r="M329" s="55" t="n">
        <x:v>1391</x:v>
      </x:c>
      <x:c r="N329" s="55" t="n">
        <x:v>2864</x:v>
      </x:c>
      <x:c r="O329" s="55" t="n">
        <x:v>1751</x:v>
      </x:c>
      <x:c r="P329" s="55" t="n">
        <x:v>838</x:v>
      </x:c>
      <x:c r="Q329" s="55" t="n">
        <x:v>1637</x:v>
      </x:c>
      <x:c r="R329" s="55" t="n">
        <x:v>1779</x:v>
      </x:c>
      <x:c r="S329" s="55" t="n">
        <x:v>2967</x:v>
      </x:c>
      <x:c r="T329" s="55" t="n">
        <x:v>1063</x:v>
      </x:c>
      <x:c r="U329" s="55" t="n">
        <x:v>2194</x:v>
      </x:c>
      <x:c r="V329" s="55" t="n">
        <x:v>10168</x:v>
      </x:c>
      <x:c r="W329" s="55" t="n">
        <x:v>7181</x:v>
      </x:c>
      <x:c r="X329" s="55" t="n">
        <x:v>2987</x:v>
      </x:c>
      <x:c r="Y329" s="55" t="n">
        <x:v>2530</x:v>
      </x:c>
      <x:c r="Z329" s="55" t="n">
        <x:v>3601</x:v>
      </x:c>
      <x:c r="AA329" s="55" t="n">
        <x:v>2747</x:v>
      </x:c>
      <x:c r="AB329" s="55" t="n">
        <x:v>936</x:v>
      </x:c>
      <x:c r="AC329" s="55" t="n">
        <x:v>7582</x:v>
      </x:c>
      <x:c r="AD329" s="55" t="n">
        <x:v>3105</x:v>
      </x:c>
      <x:c r="AE329" s="55" t="n">
        <x:v>10293</x:v>
      </x:c>
      <x:c r="AF329" s="55" t="n">
        <x:v>10168</x:v>
      </x:c>
      <x:c r="AG329" s="55" t="n">
        <x:v>125</x:v>
      </x:c>
      <x:c r="AH329" s="55" t="n">
        <x:v>406</x:v>
      </x:c>
      <x:c r="AI329" s="55" t="n">
        <x:v>9762</x:v>
      </x:c>
      <x:c r="AJ329" s="55" t="n">
        <x:v>405</x:v>
      </x:c>
      <x:c r="AK329" s="55" t="n">
        <x:v>1092</x:v>
      </x:c>
      <x:c r="AL329" s="55" t="n">
        <x:v>1873</x:v>
      </x:c>
      <x:c r="AM329" s="55" t="n">
        <x:v>4761</x:v>
      </x:c>
      <x:c r="AN329" s="55" t="n">
        <x:v>2037</x:v>
      </x:c>
      <x:c r="AO329" s="55" t="n">
        <x:v>0</x:v>
      </x:c>
      <x:c r="AP329" s="55" t="n">
        <x:v>2279</x:v>
      </x:c>
      <x:c r="AQ329" s="55" t="n">
        <x:v>922</x:v>
      </x:c>
    </x:row>
    <x:row r="330">
      <x:c r="A330" s="54" t="str">
        <x:v>T0_TABLE_BLOCK</x:v>
      </x:c>
      <x:c r="B330" s="54" t="n">
        <x:v>324</x:v>
      </x:c>
      <x:c r="C330" s="54" t="str">
        <x:v>NYC-V2-R01</x:v>
      </x:c>
      <x:c r="D330" s="54" t="str">
        <x:v>V2</x:v>
      </x:c>
      <x:c r="E330" s="54" t="str">
        <x:v>ADMITTED</x:v>
      </x:c>
      <x:c r="F330" s="55" t="n">
        <x:v>30841</x:v>
      </x:c>
      <x:c r="G330" s="55" t="n">
        <x:v>7507</x:v>
      </x:c>
      <x:c r="H330" s="55" t="n">
        <x:v>3182</x:v>
      </x:c>
      <x:c r="I330" s="55" t="n">
        <x:v>1328</x:v>
      </x:c>
      <x:c r="J330" s="55" t="n">
        <x:v>214</x:v>
      </x:c>
      <x:c r="K330" s="55" t="n">
        <x:v>30841</x:v>
      </x:c>
      <x:c r="L330" s="55" t="n">
        <x:v>5767</x:v>
      </x:c>
      <x:c r="M330" s="55" t="n">
        <x:v>1280</x:v>
      </x:c>
      <x:c r="N330" s="55" t="n">
        <x:v>2711</x:v>
      </x:c>
      <x:c r="O330" s="55" t="n">
        <x:v>1776</x:v>
      </x:c>
      <x:c r="P330" s="55" t="n">
        <x:v>849</x:v>
      </x:c>
      <x:c r="Q330" s="55" t="n">
        <x:v>2171</x:v>
      </x:c>
      <x:c r="R330" s="55" t="n">
        <x:v>1346</x:v>
      </x:c>
      <x:c r="S330" s="55" t="n">
        <x:v>2245</x:v>
      </x:c>
      <x:c r="T330" s="55" t="n">
        <x:v>1149</x:v>
      </x:c>
      <x:c r="U330" s="55" t="n">
        <x:v>1855</x:v>
      </x:c>
      <x:c r="V330" s="55" t="n">
        <x:v>9757</x:v>
      </x:c>
      <x:c r="W330" s="55" t="n">
        <x:v>6586</x:v>
      </x:c>
      <x:c r="X330" s="55" t="n">
        <x:v>3171</x:v>
      </x:c>
      <x:c r="Y330" s="55" t="n">
        <x:v>2622</x:v>
      </x:c>
      <x:c r="Z330" s="55" t="n">
        <x:v>3718</x:v>
      </x:c>
      <x:c r="AA330" s="55" t="n">
        <x:v>3182</x:v>
      </x:c>
      <x:c r="AB330" s="55" t="n">
        <x:v>1357</x:v>
      </x:c>
      <x:c r="AC330" s="55" t="n">
        <x:v>8194</x:v>
      </x:c>
      <x:c r="AD330" s="55" t="n">
        <x:v>3257</x:v>
      </x:c>
      <x:c r="AE330" s="55" t="n">
        <x:v>9799</x:v>
      </x:c>
      <x:c r="AF330" s="55" t="n">
        <x:v>9757</x:v>
      </x:c>
      <x:c r="AG330" s="55" t="n">
        <x:v>42</x:v>
      </x:c>
      <x:c r="AH330" s="55" t="n">
        <x:v>500</x:v>
      </x:c>
      <x:c r="AI330" s="55" t="n">
        <x:v>9257</x:v>
      </x:c>
      <x:c r="AJ330" s="55" t="n">
        <x:v>607</x:v>
      </x:c>
      <x:c r="AK330" s="55" t="n">
        <x:v>766</x:v>
      </x:c>
      <x:c r="AL330" s="55" t="n">
        <x:v>1654</x:v>
      </x:c>
      <x:c r="AM330" s="55" t="n">
        <x:v>4149</x:v>
      </x:c>
      <x:c r="AN330" s="55" t="n">
        <x:v>2581</x:v>
      </x:c>
      <x:c r="AO330" s="55" t="n">
        <x:v>0</x:v>
      </x:c>
      <x:c r="AP330" s="55" t="n">
        <x:v>1986</x:v>
      </x:c>
      <x:c r="AQ330" s="55" t="n">
        <x:v>974</x:v>
      </x:c>
    </x:row>
    <x:row r="331">
      <x:c r="A331" s="54" t="str">
        <x:v>T0_TABLE_BLOCK</x:v>
      </x:c>
      <x:c r="B331" s="54" t="n">
        <x:v>325</x:v>
      </x:c>
      <x:c r="C331" s="54" t="str">
        <x:v>NYC-V2-R01</x:v>
      </x:c>
      <x:c r="D331" s="54" t="str">
        <x:v>V2</x:v>
      </x:c>
      <x:c r="E331" s="54" t="str">
        <x:v>ADMITTED</x:v>
      </x:c>
      <x:c r="F331" s="55" t="n">
        <x:v>31549</x:v>
      </x:c>
      <x:c r="G331" s="55" t="n">
        <x:v>6307</x:v>
      </x:c>
      <x:c r="H331" s="55" t="n">
        <x:v>3564</x:v>
      </x:c>
      <x:c r="I331" s="55" t="n">
        <x:v>1899</x:v>
      </x:c>
      <x:c r="J331" s="55" t="n">
        <x:v>434</x:v>
      </x:c>
      <x:c r="K331" s="55" t="n">
        <x:v>31549</x:v>
      </x:c>
      <x:c r="L331" s="55" t="n">
        <x:v>5816</x:v>
      </x:c>
      <x:c r="M331" s="55" t="n">
        <x:v>853</x:v>
      </x:c>
      <x:c r="N331" s="55" t="n">
        <x:v>3126</x:v>
      </x:c>
      <x:c r="O331" s="55" t="n">
        <x:v>1837</x:v>
      </x:c>
      <x:c r="P331" s="55" t="n">
        <x:v>788</x:v>
      </x:c>
      <x:c r="Q331" s="55" t="n">
        <x:v>2057</x:v>
      </x:c>
      <x:c r="R331" s="55" t="n">
        <x:v>1942</x:v>
      </x:c>
      <x:c r="S331" s="55" t="n">
        <x:v>2812</x:v>
      </x:c>
      <x:c r="T331" s="55" t="n">
        <x:v>1776</x:v>
      </x:c>
      <x:c r="U331" s="55" t="n">
        <x:v>2109</x:v>
      </x:c>
      <x:c r="V331" s="55" t="n">
        <x:v>10364</x:v>
      </x:c>
      <x:c r="W331" s="55" t="n">
        <x:v>7461</x:v>
      </x:c>
      <x:c r="X331" s="55" t="n">
        <x:v>2903</x:v>
      </x:c>
      <x:c r="Y331" s="55" t="n">
        <x:v>2474</x:v>
      </x:c>
      <x:c r="Z331" s="55" t="n">
        <x:v>3842</x:v>
      </x:c>
      <x:c r="AA331" s="55" t="n">
        <x:v>3199</x:v>
      </x:c>
      <x:c r="AB331" s="55" t="n">
        <x:v>1016</x:v>
      </x:c>
      <x:c r="AC331" s="55" t="n">
        <x:v>6865</x:v>
      </x:c>
      <x:c r="AD331" s="55" t="n">
        <x:v>2766</x:v>
      </x:c>
      <x:c r="AE331" s="55" t="n">
        <x:v>10423</x:v>
      </x:c>
      <x:c r="AF331" s="55" t="n">
        <x:v>10364</x:v>
      </x:c>
      <x:c r="AG331" s="55" t="n">
        <x:v>59</x:v>
      </x:c>
      <x:c r="AH331" s="55" t="n">
        <x:v>284</x:v>
      </x:c>
      <x:c r="AI331" s="55" t="n">
        <x:v>10080</x:v>
      </x:c>
      <x:c r="AJ331" s="55" t="n">
        <x:v>367</x:v>
      </x:c>
      <x:c r="AK331" s="55" t="n">
        <x:v>1077</x:v>
      </x:c>
      <x:c r="AL331" s="55" t="n">
        <x:v>1734</x:v>
      </x:c>
      <x:c r="AM331" s="55" t="n">
        <x:v>4800</x:v>
      </x:c>
      <x:c r="AN331" s="55" t="n">
        <x:v>2386</x:v>
      </x:c>
      <x:c r="AO331" s="55" t="n">
        <x:v>0</x:v>
      </x:c>
      <x:c r="AP331" s="55" t="n">
        <x:v>2755</x:v>
      </x:c>
      <x:c r="AQ331" s="55" t="n">
        <x:v>984</x:v>
      </x:c>
    </x:row>
    <x:row r="332">
      <x:c r="A332" s="54" t="str">
        <x:v>T0_TABLE_BLOCK</x:v>
      </x:c>
      <x:c r="B332" s="54" t="n">
        <x:v>326</x:v>
      </x:c>
      <x:c r="C332" s="54" t="str">
        <x:v>NYC-V2-R01</x:v>
      </x:c>
      <x:c r="D332" s="54" t="str">
        <x:v>V2</x:v>
      </x:c>
      <x:c r="E332" s="54" t="str">
        <x:v>ADMITTED</x:v>
      </x:c>
      <x:c r="F332" s="55" t="n">
        <x:v>32424</x:v>
      </x:c>
      <x:c r="G332" s="55" t="n">
        <x:v>8153</x:v>
      </x:c>
      <x:c r="H332" s="55" t="n">
        <x:v>3306</x:v>
      </x:c>
      <x:c r="I332" s="55" t="n">
        <x:v>1146</x:v>
      </x:c>
      <x:c r="J332" s="55" t="n">
        <x:v>260</x:v>
      </x:c>
      <x:c r="K332" s="55" t="n">
        <x:v>30128</x:v>
      </x:c>
      <x:c r="L332" s="55" t="n">
        <x:v>5148</x:v>
      </x:c>
      <x:c r="M332" s="55" t="n">
        <x:v>1303</x:v>
      </x:c>
      <x:c r="N332" s="55" t="n">
        <x:v>2042</x:v>
      </x:c>
      <x:c r="O332" s="55" t="n">
        <x:v>1803</x:v>
      </x:c>
      <x:c r="P332" s="55" t="n">
        <x:v>574</x:v>
      </x:c>
      <x:c r="Q332" s="55" t="n">
        <x:v>1783</x:v>
      </x:c>
      <x:c r="R332" s="55" t="n">
        <x:v>1999</x:v>
      </x:c>
      <x:c r="S332" s="55" t="n">
        <x:v>2351</x:v>
      </x:c>
      <x:c r="T332" s="55" t="n">
        <x:v>1254</x:v>
      </x:c>
      <x:c r="U332" s="55" t="n">
        <x:v>1391</x:v>
      </x:c>
      <x:c r="V332" s="55" t="n">
        <x:v>9839</x:v>
      </x:c>
      <x:c r="W332" s="55" t="n">
        <x:v>6496</x:v>
      </x:c>
      <x:c r="X332" s="55" t="n">
        <x:v>3343</x:v>
      </x:c>
      <x:c r="Y332" s="55" t="n">
        <x:v>2839</x:v>
      </x:c>
      <x:c r="Z332" s="55" t="n">
        <x:v>3616</x:v>
      </x:c>
      <x:c r="AA332" s="55" t="n">
        <x:v>3306</x:v>
      </x:c>
      <x:c r="AB332" s="55" t="n">
        <x:v>1022</x:v>
      </x:c>
      <x:c r="AC332" s="55" t="n">
        <x:v>8403</x:v>
      </x:c>
      <x:c r="AD332" s="55" t="n">
        <x:v>2745</x:v>
      </x:c>
      <x:c r="AE332" s="55" t="n">
        <x:v>9964</x:v>
      </x:c>
      <x:c r="AF332" s="55" t="n">
        <x:v>9839</x:v>
      </x:c>
      <x:c r="AG332" s="55" t="n">
        <x:v>125</x:v>
      </x:c>
      <x:c r="AH332" s="55" t="n">
        <x:v>236</x:v>
      </x:c>
      <x:c r="AI332" s="55" t="n">
        <x:v>9603</x:v>
      </x:c>
      <x:c r="AJ332" s="55" t="n">
        <x:v>226</x:v>
      </x:c>
      <x:c r="AK332" s="55" t="n">
        <x:v>1144</x:v>
      </x:c>
      <x:c r="AL332" s="55" t="n">
        <x:v>1546</x:v>
      </x:c>
      <x:c r="AM332" s="55" t="n">
        <x:v>4874</x:v>
      </x:c>
      <x:c r="AN332" s="55" t="n">
        <x:v>2046</x:v>
      </x:c>
      <x:c r="AO332" s="55" t="n">
        <x:v>3</x:v>
      </x:c>
      <x:c r="AP332" s="55" t="n">
        <x:v>2585</x:v>
      </x:c>
      <x:c r="AQ332" s="55" t="n">
        <x:v>960</x:v>
      </x:c>
    </x:row>
    <x:row r="333">
      <x:c r="A333" s="54" t="str">
        <x:v>T0_TABLE_BLOCK</x:v>
      </x:c>
      <x:c r="B333" s="54" t="n">
        <x:v>327</x:v>
      </x:c>
      <x:c r="C333" s="54" t="str">
        <x:v>NYC-V2-R01</x:v>
      </x:c>
      <x:c r="D333" s="54" t="str">
        <x:v>V2</x:v>
      </x:c>
      <x:c r="E333" s="54" t="str">
        <x:v>ADMITTED</x:v>
      </x:c>
      <x:c r="F333" s="55" t="n">
        <x:v>33895</x:v>
      </x:c>
      <x:c r="G333" s="55" t="n">
        <x:v>8097</x:v>
      </x:c>
      <x:c r="H333" s="55" t="n">
        <x:v>3156</x:v>
      </x:c>
      <x:c r="I333" s="55" t="n">
        <x:v>1525</x:v>
      </x:c>
      <x:c r="J333" s="55" t="n">
        <x:v>237</x:v>
      </x:c>
      <x:c r="K333" s="55" t="n">
        <x:v>33895</x:v>
      </x:c>
      <x:c r="L333" s="55" t="n">
        <x:v>5374</x:v>
      </x:c>
      <x:c r="M333" s="55" t="n">
        <x:v>1039</x:v>
      </x:c>
      <x:c r="N333" s="55" t="n">
        <x:v>2866</x:v>
      </x:c>
      <x:c r="O333" s="55" t="n">
        <x:v>1469</x:v>
      </x:c>
      <x:c r="P333" s="55" t="n">
        <x:v>922</x:v>
      </x:c>
      <x:c r="Q333" s="55" t="n">
        <x:v>3212</x:v>
      </x:c>
      <x:c r="R333" s="55" t="n">
        <x:v>1858</x:v>
      </x:c>
      <x:c r="S333" s="55" t="n">
        <x:v>2275</x:v>
      </x:c>
      <x:c r="T333" s="55" t="n">
        <x:v>1218</x:v>
      </x:c>
      <x:c r="U333" s="55" t="n">
        <x:v>2471</x:v>
      </x:c>
      <x:c r="V333" s="55" t="n">
        <x:v>10891</x:v>
      </x:c>
      <x:c r="W333" s="55" t="n">
        <x:v>7726</x:v>
      </x:c>
      <x:c r="X333" s="55" t="n">
        <x:v>3165</x:v>
      </x:c>
      <x:c r="Y333" s="55" t="n">
        <x:v>3097</x:v>
      </x:c>
      <x:c r="Z333" s="55" t="n">
        <x:v>3775</x:v>
      </x:c>
      <x:c r="AA333" s="55" t="n">
        <x:v>2889</x:v>
      </x:c>
      <x:c r="AB333" s="55" t="n">
        <x:v>816</x:v>
      </x:c>
      <x:c r="AC333" s="55" t="n">
        <x:v>8708</x:v>
      </x:c>
      <x:c r="AD333" s="55" t="n">
        <x:v>2916</x:v>
      </x:c>
      <x:c r="AE333" s="55" t="n">
        <x:v>10939</x:v>
      </x:c>
      <x:c r="AF333" s="55" t="n">
        <x:v>10891</x:v>
      </x:c>
      <x:c r="AG333" s="55" t="n">
        <x:v>48</x:v>
      </x:c>
      <x:c r="AH333" s="55" t="n">
        <x:v>544</x:v>
      </x:c>
      <x:c r="AI333" s="55" t="n">
        <x:v>10347</x:v>
      </x:c>
      <x:c r="AJ333" s="55" t="n">
        <x:v>251</x:v>
      </x:c>
      <x:c r="AK333" s="55" t="n">
        <x:v>704</x:v>
      </x:c>
      <x:c r="AL333" s="55" t="n">
        <x:v>1903</x:v>
      </x:c>
      <x:c r="AM333" s="55" t="n">
        <x:v>5355</x:v>
      </x:c>
      <x:c r="AN333" s="55" t="n">
        <x:v>2678</x:v>
      </x:c>
      <x:c r="AO333" s="55" t="n">
        <x:v>0</x:v>
      </x:c>
      <x:c r="AP333" s="55" t="n">
        <x:v>2795</x:v>
      </x:c>
      <x:c r="AQ333" s="55" t="n">
        <x:v>956</x:v>
      </x:c>
    </x:row>
    <x:row r="334">
      <x:c r="A334" s="54" t="str">
        <x:v>T0_TABLE_BLOCK</x:v>
      </x:c>
      <x:c r="B334" s="54" t="n">
        <x:v>328</x:v>
      </x:c>
      <x:c r="C334" s="54" t="str">
        <x:v>NYC-V2-R01</x:v>
      </x:c>
      <x:c r="D334" s="54" t="str">
        <x:v>V2</x:v>
      </x:c>
      <x:c r="E334" s="54" t="str">
        <x:v>ADMITTED</x:v>
      </x:c>
      <x:c r="F334" s="55" t="n">
        <x:v>30490</x:v>
      </x:c>
      <x:c r="G334" s="55" t="n">
        <x:v>7822</x:v>
      </x:c>
      <x:c r="H334" s="55" t="n">
        <x:v>3291</x:v>
      </x:c>
      <x:c r="I334" s="55" t="n">
        <x:v>1324</x:v>
      </x:c>
      <x:c r="J334" s="55" t="n">
        <x:v>211</x:v>
      </x:c>
      <x:c r="K334" s="55" t="n">
        <x:v>28912</x:v>
      </x:c>
      <x:c r="L334" s="55" t="n">
        <x:v>5068</x:v>
      </x:c>
      <x:c r="M334" s="55" t="n">
        <x:v>1526</x:v>
      </x:c>
      <x:c r="N334" s="55" t="n">
        <x:v>1921</x:v>
      </x:c>
      <x:c r="O334" s="55" t="n">
        <x:v>1621</x:v>
      </x:c>
      <x:c r="P334" s="55" t="n">
        <x:v>479</x:v>
      </x:c>
      <x:c r="Q334" s="55" t="n">
        <x:v>2309</x:v>
      </x:c>
      <x:c r="R334" s="55" t="n">
        <x:v>2269</x:v>
      </x:c>
      <x:c r="S334" s="55" t="n">
        <x:v>2822</x:v>
      </x:c>
      <x:c r="T334" s="55" t="n">
        <x:v>1450</x:v>
      </x:c>
      <x:c r="U334" s="55" t="n">
        <x:v>1532</x:v>
      </x:c>
      <x:c r="V334" s="55" t="n">
        <x:v>10714</x:v>
      </x:c>
      <x:c r="W334" s="55" t="n">
        <x:v>7496</x:v>
      </x:c>
      <x:c r="X334" s="55" t="n">
        <x:v>3218</x:v>
      </x:c>
      <x:c r="Y334" s="55" t="n">
        <x:v>2864</x:v>
      </x:c>
      <x:c r="Z334" s="55" t="n">
        <x:v>4079</x:v>
      </x:c>
      <x:c r="AA334" s="55" t="n">
        <x:v>3104</x:v>
      </x:c>
      <x:c r="AB334" s="55" t="n">
        <x:v>723</x:v>
      </x:c>
      <x:c r="AC334" s="55" t="n">
        <x:v>7614</x:v>
      </x:c>
      <x:c r="AD334" s="55" t="n">
        <x:v>2420</x:v>
      </x:c>
      <x:c r="AE334" s="55" t="n">
        <x:v>10768</x:v>
      </x:c>
      <x:c r="AF334" s="55" t="n">
        <x:v>10714</x:v>
      </x:c>
      <x:c r="AG334" s="55" t="n">
        <x:v>54</x:v>
      </x:c>
      <x:c r="AH334" s="55" t="n">
        <x:v>136</x:v>
      </x:c>
      <x:c r="AI334" s="55" t="n">
        <x:v>10578</x:v>
      </x:c>
      <x:c r="AJ334" s="55" t="n">
        <x:v>523</x:v>
      </x:c>
      <x:c r="AK334" s="55" t="n">
        <x:v>984</x:v>
      </x:c>
      <x:c r="AL334" s="55" t="n">
        <x:v>1870</x:v>
      </x:c>
      <x:c r="AM334" s="55" t="n">
        <x:v>4731</x:v>
      </x:c>
      <x:c r="AN334" s="55" t="n">
        <x:v>2606</x:v>
      </x:c>
      <x:c r="AO334" s="55" t="n">
        <x:v>0</x:v>
      </x:c>
      <x:c r="AP334" s="55" t="n">
        <x:v>2391</x:v>
      </x:c>
      <x:c r="AQ334" s="55" t="n">
        <x:v>1038</x:v>
      </x:c>
    </x:row>
    <x:row r="335">
      <x:c r="A335" s="54" t="str">
        <x:v>T0_TABLE_BLOCK</x:v>
      </x:c>
      <x:c r="B335" s="54" t="n">
        <x:v>329</x:v>
      </x:c>
      <x:c r="C335" s="54" t="str">
        <x:v>NYC-V2-R01</x:v>
      </x:c>
      <x:c r="D335" s="54" t="str">
        <x:v>V2</x:v>
      </x:c>
      <x:c r="E335" s="54" t="str">
        <x:v>ADMITTED</x:v>
      </x:c>
      <x:c r="F335" s="55" t="n">
        <x:v>31710</x:v>
      </x:c>
      <x:c r="G335" s="55" t="n">
        <x:v>9117</x:v>
      </x:c>
      <x:c r="H335" s="55" t="n">
        <x:v>3465</x:v>
      </x:c>
      <x:c r="I335" s="55" t="n">
        <x:v>990</x:v>
      </x:c>
      <x:c r="J335" s="55" t="n">
        <x:v>145</x:v>
      </x:c>
      <x:c r="K335" s="55" t="n">
        <x:v>29609</x:v>
      </x:c>
      <x:c r="L335" s="55" t="n">
        <x:v>6867</x:v>
      </x:c>
      <x:c r="M335" s="55" t="n">
        <x:v>1782</x:v>
      </x:c>
      <x:c r="N335" s="55" t="n">
        <x:v>2910</x:v>
      </x:c>
      <x:c r="O335" s="55" t="n">
        <x:v>2175</x:v>
      </x:c>
      <x:c r="P335" s="55" t="n">
        <x:v>934</x:v>
      </x:c>
      <x:c r="Q335" s="55" t="n">
        <x:v>2376</x:v>
      </x:c>
      <x:c r="R335" s="55" t="n">
        <x:v>1599</x:v>
      </x:c>
      <x:c r="S335" s="55" t="n">
        <x:v>3221</x:v>
      </x:c>
      <x:c r="T335" s="55" t="n">
        <x:v>1405</x:v>
      </x:c>
      <x:c r="U335" s="55" t="n">
        <x:v>2364</x:v>
      </x:c>
      <x:c r="V335" s="55" t="n">
        <x:v>10375</x:v>
      </x:c>
      <x:c r="W335" s="55" t="n">
        <x:v>7411</x:v>
      </x:c>
      <x:c r="X335" s="55" t="n">
        <x:v>2964</x:v>
      </x:c>
      <x:c r="Y335" s="55" t="n">
        <x:v>2673</x:v>
      </x:c>
      <x:c r="Z335" s="55" t="n">
        <x:v>3454</x:v>
      </x:c>
      <x:c r="AA335" s="55" t="n">
        <x:v>3465</x:v>
      </x:c>
      <x:c r="AB335" s="55" t="n">
        <x:v>1400</x:v>
      </x:c>
      <x:c r="AC335" s="55" t="n">
        <x:v>7917</x:v>
      </x:c>
      <x:c r="AD335" s="55" t="n">
        <x:v>2648</x:v>
      </x:c>
      <x:c r="AE335" s="55" t="n">
        <x:v>10483</x:v>
      </x:c>
      <x:c r="AF335" s="55" t="n">
        <x:v>10375</x:v>
      </x:c>
      <x:c r="AG335" s="55" t="n">
        <x:v>108</x:v>
      </x:c>
      <x:c r="AH335" s="55" t="n">
        <x:v>275</x:v>
      </x:c>
      <x:c r="AI335" s="55" t="n">
        <x:v>10100</x:v>
      </x:c>
      <x:c r="AJ335" s="55" t="n">
        <x:v>276</x:v>
      </x:c>
      <x:c r="AK335" s="55" t="n">
        <x:v>1020</x:v>
      </x:c>
      <x:c r="AL335" s="55" t="n">
        <x:v>1480</x:v>
      </x:c>
      <x:c r="AM335" s="55" t="n">
        <x:v>5005</x:v>
      </x:c>
      <x:c r="AN335" s="55" t="n">
        <x:v>2594</x:v>
      </x:c>
      <x:c r="AO335" s="55" t="n">
        <x:v>0</x:v>
      </x:c>
      <x:c r="AP335" s="55" t="n">
        <x:v>2252</x:v>
      </x:c>
      <x:c r="AQ335" s="55" t="n">
        <x:v>925</x:v>
      </x:c>
    </x:row>
    <x:row r="336">
      <x:c r="A336" s="54" t="str">
        <x:v>T0_TABLE_BLOCK</x:v>
      </x:c>
      <x:c r="B336" s="54" t="n">
        <x:v>330</x:v>
      </x:c>
      <x:c r="C336" s="54" t="str">
        <x:v>NYC-V2-R01</x:v>
      </x:c>
      <x:c r="D336" s="54" t="str">
        <x:v>V2</x:v>
      </x:c>
      <x:c r="E336" s="54" t="str">
        <x:v>ADMITTED</x:v>
      </x:c>
      <x:c r="F336" s="55" t="n">
        <x:v>31641</x:v>
      </x:c>
      <x:c r="G336" s="55" t="n">
        <x:v>7261</x:v>
      </x:c>
      <x:c r="H336" s="55" t="n">
        <x:v>3098</x:v>
      </x:c>
      <x:c r="I336" s="55" t="n">
        <x:v>1175</x:v>
      </x:c>
      <x:c r="J336" s="55" t="n">
        <x:v>214</x:v>
      </x:c>
      <x:c r="K336" s="55" t="n">
        <x:v>31641</x:v>
      </x:c>
      <x:c r="L336" s="55" t="n">
        <x:v>5130</x:v>
      </x:c>
      <x:c r="M336" s="55" t="n">
        <x:v>1237</x:v>
      </x:c>
      <x:c r="N336" s="55" t="n">
        <x:v>2258</x:v>
      </x:c>
      <x:c r="O336" s="55" t="n">
        <x:v>1635</x:v>
      </x:c>
      <x:c r="P336" s="55" t="n">
        <x:v>538</x:v>
      </x:c>
      <x:c r="Q336" s="55" t="n">
        <x:v>3137</x:v>
      </x:c>
      <x:c r="R336" s="55" t="n">
        <x:v>2162</x:v>
      </x:c>
      <x:c r="S336" s="55" t="n">
        <x:v>2676</x:v>
      </x:c>
      <x:c r="T336" s="55" t="n">
        <x:v>1287</x:v>
      </x:c>
      <x:c r="U336" s="55" t="n">
        <x:v>1999</x:v>
      </x:c>
      <x:c r="V336" s="55" t="n">
        <x:v>10957</x:v>
      </x:c>
      <x:c r="W336" s="55" t="n">
        <x:v>7654</x:v>
      </x:c>
      <x:c r="X336" s="55" t="n">
        <x:v>3303</x:v>
      </x:c>
      <x:c r="Y336" s="55" t="n">
        <x:v>2762</x:v>
      </x:c>
      <x:c r="Z336" s="55" t="n">
        <x:v>3398</x:v>
      </x:c>
      <x:c r="AA336" s="55" t="n">
        <x:v>2472</x:v>
      </x:c>
      <x:c r="AB336" s="55" t="n">
        <x:v>1199</x:v>
      </x:c>
      <x:c r="AC336" s="55" t="n">
        <x:v>8482</x:v>
      </x:c>
      <x:c r="AD336" s="55" t="n">
        <x:v>2116</x:v>
      </x:c>
      <x:c r="AE336" s="55" t="n">
        <x:v>10978</x:v>
      </x:c>
      <x:c r="AF336" s="55" t="n">
        <x:v>10957</x:v>
      </x:c>
      <x:c r="AG336" s="55" t="n">
        <x:v>21</x:v>
      </x:c>
      <x:c r="AH336" s="55" t="n">
        <x:v>663</x:v>
      </x:c>
      <x:c r="AI336" s="55" t="n">
        <x:v>10294</x:v>
      </x:c>
      <x:c r="AJ336" s="55" t="n">
        <x:v>438</x:v>
      </x:c>
      <x:c r="AK336" s="55" t="n">
        <x:v>1089</x:v>
      </x:c>
      <x:c r="AL336" s="55" t="n">
        <x:v>1566</x:v>
      </x:c>
      <x:c r="AM336" s="55" t="n">
        <x:v>4798</x:v>
      </x:c>
      <x:c r="AN336" s="55" t="n">
        <x:v>3001</x:v>
      </x:c>
      <x:c r="AO336" s="55" t="n">
        <x:v>65</x:v>
      </x:c>
      <x:c r="AP336" s="55" t="n">
        <x:v>2128</x:v>
      </x:c>
      <x:c r="AQ336" s="55" t="n">
        <x:v>943</x:v>
      </x:c>
    </x:row>
    <x:row r="337">
      <x:c r="A337" s="54" t="str">
        <x:v>T0_TABLE_BLOCK</x:v>
      </x:c>
      <x:c r="B337" s="54" t="n">
        <x:v>331</x:v>
      </x:c>
      <x:c r="C337" s="54" t="str">
        <x:v>NYC-V2-R01</x:v>
      </x:c>
      <x:c r="D337" s="54" t="str">
        <x:v>V2</x:v>
      </x:c>
      <x:c r="E337" s="54" t="str">
        <x:v>ADMITTED</x:v>
      </x:c>
      <x:c r="F337" s="55" t="n">
        <x:v>30067</x:v>
      </x:c>
      <x:c r="G337" s="55" t="n">
        <x:v>7299</x:v>
      </x:c>
      <x:c r="H337" s="55" t="n">
        <x:v>3300</x:v>
      </x:c>
      <x:c r="I337" s="55" t="n">
        <x:v>1167</x:v>
      </x:c>
      <x:c r="J337" s="55" t="n">
        <x:v>113</x:v>
      </x:c>
      <x:c r="K337" s="55" t="n">
        <x:v>27858</x:v>
      </x:c>
      <x:c r="L337" s="55" t="n">
        <x:v>5262</x:v>
      </x:c>
      <x:c r="M337" s="55" t="n">
        <x:v>1397</x:v>
      </x:c>
      <x:c r="N337" s="55" t="n">
        <x:v>2595</x:v>
      </x:c>
      <x:c r="O337" s="55" t="n">
        <x:v>1270</x:v>
      </x:c>
      <x:c r="P337" s="55" t="n">
        <x:v>630</x:v>
      </x:c>
      <x:c r="Q337" s="55" t="n">
        <x:v>2668</x:v>
      </x:c>
      <x:c r="R337" s="55" t="n">
        <x:v>2153</x:v>
      </x:c>
      <x:c r="S337" s="55" t="n">
        <x:v>2489</x:v>
      </x:c>
      <x:c r="T337" s="55" t="n">
        <x:v>1119</x:v>
      </x:c>
      <x:c r="U337" s="55" t="n">
        <x:v>1725</x:v>
      </x:c>
      <x:c r="V337" s="55" t="n">
        <x:v>10584</x:v>
      </x:c>
      <x:c r="W337" s="55" t="n">
        <x:v>7454</x:v>
      </x:c>
      <x:c r="X337" s="55" t="n">
        <x:v>3130</x:v>
      </x:c>
      <x:c r="Y337" s="55" t="n">
        <x:v>2506</x:v>
      </x:c>
      <x:c r="Z337" s="55" t="n">
        <x:v>4104</x:v>
      </x:c>
      <x:c r="AA337" s="55" t="n">
        <x:v>3300</x:v>
      </x:c>
      <x:c r="AB337" s="55" t="n">
        <x:v>1221</x:v>
      </x:c>
      <x:c r="AC337" s="55" t="n">
        <x:v>7805</x:v>
      </x:c>
      <x:c r="AD337" s="55" t="n">
        <x:v>2799</x:v>
      </x:c>
      <x:c r="AE337" s="55" t="n">
        <x:v>10683</x:v>
      </x:c>
      <x:c r="AF337" s="55" t="n">
        <x:v>10584</x:v>
      </x:c>
      <x:c r="AG337" s="55" t="n">
        <x:v>99</x:v>
      </x:c>
      <x:c r="AH337" s="55" t="n">
        <x:v>680</x:v>
      </x:c>
      <x:c r="AI337" s="55" t="n">
        <x:v>9904</x:v>
      </x:c>
      <x:c r="AJ337" s="55" t="n">
        <x:v>439</x:v>
      </x:c>
      <x:c r="AK337" s="55" t="n">
        <x:v>1069</x:v>
      </x:c>
      <x:c r="AL337" s="55" t="n">
        <x:v>1857</x:v>
      </x:c>
      <x:c r="AM337" s="55" t="n">
        <x:v>5001</x:v>
      </x:c>
      <x:c r="AN337" s="55" t="n">
        <x:v>2218</x:v>
      </x:c>
      <x:c r="AO337" s="55" t="n">
        <x:v>0</x:v>
      </x:c>
      <x:c r="AP337" s="55" t="n">
        <x:v>2332</x:v>
      </x:c>
      <x:c r="AQ337" s="55" t="n">
        <x:v>947</x:v>
      </x:c>
    </x:row>
    <x:row r="338">
      <x:c r="A338" s="54" t="str">
        <x:v>T0_TABLE_BLOCK</x:v>
      </x:c>
      <x:c r="B338" s="54" t="n">
        <x:v>332</x:v>
      </x:c>
      <x:c r="C338" s="54" t="str">
        <x:v>NYC-V2-R01</x:v>
      </x:c>
      <x:c r="D338" s="54" t="str">
        <x:v>V2</x:v>
      </x:c>
      <x:c r="E338" s="54" t="str">
        <x:v>ADMITTED</x:v>
      </x:c>
      <x:c r="F338" s="55" t="n">
        <x:v>32682</x:v>
      </x:c>
      <x:c r="G338" s="55" t="n">
        <x:v>6333</x:v>
      </x:c>
      <x:c r="H338" s="55" t="n">
        <x:v>3265</x:v>
      </x:c>
      <x:c r="I338" s="55" t="n">
        <x:v>1386</x:v>
      </x:c>
      <x:c r="J338" s="55" t="n">
        <x:v>290</x:v>
      </x:c>
      <x:c r="K338" s="55" t="n">
        <x:v>32682</x:v>
      </x:c>
      <x:c r="L338" s="55" t="n">
        <x:v>4880</x:v>
      </x:c>
      <x:c r="M338" s="55" t="n">
        <x:v>1037</x:v>
      </x:c>
      <x:c r="N338" s="55" t="n">
        <x:v>2238</x:v>
      </x:c>
      <x:c r="O338" s="55" t="n">
        <x:v>1605</x:v>
      </x:c>
      <x:c r="P338" s="55" t="n">
        <x:v>475</x:v>
      </x:c>
      <x:c r="Q338" s="55" t="n">
        <x:v>2529</x:v>
      </x:c>
      <x:c r="R338" s="55" t="n">
        <x:v>1958</x:v>
      </x:c>
      <x:c r="S338" s="55" t="n">
        <x:v>3317</x:v>
      </x:c>
      <x:c r="T338" s="55" t="n">
        <x:v>1149</x:v>
      </x:c>
      <x:c r="U338" s="55" t="n">
        <x:v>2124</x:v>
      </x:c>
      <x:c r="V338" s="55" t="n">
        <x:v>10113</x:v>
      </x:c>
      <x:c r="W338" s="55" t="n">
        <x:v>7097</x:v>
      </x:c>
      <x:c r="X338" s="55" t="n">
        <x:v>3016</x:v>
      </x:c>
      <x:c r="Y338" s="55" t="n">
        <x:v>2393</x:v>
      </x:c>
      <x:c r="Z338" s="55" t="n">
        <x:v>3979</x:v>
      </x:c>
      <x:c r="AA338" s="55" t="n">
        <x:v>3114</x:v>
      </x:c>
      <x:c r="AB338" s="55" t="n">
        <x:v>1044</x:v>
      </x:c>
      <x:c r="AC338" s="55" t="n">
        <x:v>7764</x:v>
      </x:c>
      <x:c r="AD338" s="55" t="n">
        <x:v>2386</x:v>
      </x:c>
      <x:c r="AE338" s="55" t="n">
        <x:v>10334</x:v>
      </x:c>
      <x:c r="AF338" s="55" t="n">
        <x:v>10113</x:v>
      </x:c>
      <x:c r="AG338" s="55" t="n">
        <x:v>221</x:v>
      </x:c>
      <x:c r="AH338" s="55" t="n">
        <x:v>366</x:v>
      </x:c>
      <x:c r="AI338" s="55" t="n">
        <x:v>9747</x:v>
      </x:c>
      <x:c r="AJ338" s="55" t="n">
        <x:v>373</x:v>
      </x:c>
      <x:c r="AK338" s="55" t="n">
        <x:v>669</x:v>
      </x:c>
      <x:c r="AL338" s="55" t="n">
        <x:v>1010</x:v>
      </x:c>
      <x:c r="AM338" s="55" t="n">
        <x:v>4791</x:v>
      </x:c>
      <x:c r="AN338" s="55" t="n">
        <x:v>3214</x:v>
      </x:c>
      <x:c r="AO338" s="55" t="n">
        <x:v>56</x:v>
      </x:c>
      <x:c r="AP338" s="55" t="n">
        <x:v>2346</x:v>
      </x:c>
      <x:c r="AQ338" s="55" t="n">
        <x:v>985</x:v>
      </x:c>
    </x:row>
    <x:row r="339">
      <x:c r="A339" s="54" t="str">
        <x:v>T0_TABLE_BLOCK</x:v>
      </x:c>
      <x:c r="B339" s="54" t="n">
        <x:v>333</x:v>
      </x:c>
      <x:c r="C339" s="54" t="str">
        <x:v>NYC-V2-R01</x:v>
      </x:c>
      <x:c r="D339" s="54" t="str">
        <x:v>V2</x:v>
      </x:c>
      <x:c r="E339" s="54" t="str">
        <x:v>ADMITTED</x:v>
      </x:c>
      <x:c r="F339" s="55" t="n">
        <x:v>30030</x:v>
      </x:c>
      <x:c r="G339" s="55" t="n">
        <x:v>7435</x:v>
      </x:c>
      <x:c r="H339" s="55" t="n">
        <x:v>3236</x:v>
      </x:c>
      <x:c r="I339" s="55" t="n">
        <x:v>1368</x:v>
      </x:c>
      <x:c r="J339" s="55" t="n">
        <x:v>297</x:v>
      </x:c>
      <x:c r="K339" s="55" t="n">
        <x:v>30030</x:v>
      </x:c>
      <x:c r="L339" s="55" t="n">
        <x:v>5357</x:v>
      </x:c>
      <x:c r="M339" s="55" t="n">
        <x:v>291</x:v>
      </x:c>
      <x:c r="N339" s="55" t="n">
        <x:v>3345</x:v>
      </x:c>
      <x:c r="O339" s="55" t="n">
        <x:v>1721</x:v>
      </x:c>
      <x:c r="P339" s="55" t="n">
        <x:v>973</x:v>
      </x:c>
      <x:c r="Q339" s="55" t="n">
        <x:v>2696</x:v>
      </x:c>
      <x:c r="R339" s="55" t="n">
        <x:v>2230</x:v>
      </x:c>
      <x:c r="S339" s="55" t="n">
        <x:v>3154</x:v>
      </x:c>
      <x:c r="T339" s="55" t="n">
        <x:v>1008</x:v>
      </x:c>
      <x:c r="U339" s="55" t="n">
        <x:v>2019</x:v>
      </x:c>
      <x:c r="V339" s="55" t="n">
        <x:v>10801</x:v>
      </x:c>
      <x:c r="W339" s="55" t="n">
        <x:v>7409</x:v>
      </x:c>
      <x:c r="X339" s="55" t="n">
        <x:v>3392</x:v>
      </x:c>
      <x:c r="Y339" s="55" t="n">
        <x:v>2997</x:v>
      </x:c>
      <x:c r="Z339" s="55" t="n">
        <x:v>3192</x:v>
      </x:c>
      <x:c r="AA339" s="55" t="n">
        <x:v>3065</x:v>
      </x:c>
      <x:c r="AB339" s="55" t="n">
        <x:v>975</x:v>
      </x:c>
      <x:c r="AC339" s="55" t="n">
        <x:v>8071</x:v>
      </x:c>
      <x:c r="AD339" s="55" t="n">
        <x:v>2982</x:v>
      </x:c>
      <x:c r="AE339" s="55" t="n">
        <x:v>10864</x:v>
      </x:c>
      <x:c r="AF339" s="55" t="n">
        <x:v>10801</x:v>
      </x:c>
      <x:c r="AG339" s="55" t="n">
        <x:v>63</x:v>
      </x:c>
      <x:c r="AH339" s="55" t="n">
        <x:v>342</x:v>
      </x:c>
      <x:c r="AI339" s="55" t="n">
        <x:v>10459</x:v>
      </x:c>
      <x:c r="AJ339" s="55" t="n">
        <x:v>341</x:v>
      </x:c>
      <x:c r="AK339" s="55" t="n">
        <x:v>1184</x:v>
      </x:c>
      <x:c r="AL339" s="55" t="n">
        <x:v>1799</x:v>
      </x:c>
      <x:c r="AM339" s="55" t="n">
        <x:v>5215</x:v>
      </x:c>
      <x:c r="AN339" s="55" t="n">
        <x:v>2262</x:v>
      </x:c>
      <x:c r="AO339" s="55" t="n">
        <x:v>0</x:v>
      </x:c>
      <x:c r="AP339" s="55" t="n">
        <x:v>2661</x:v>
      </x:c>
      <x:c r="AQ339" s="55" t="n">
        <x:v>940</x:v>
      </x:c>
    </x:row>
    <x:row r="340">
      <x:c r="A340" s="54" t="str">
        <x:v>T0_TABLE_BLOCK</x:v>
      </x:c>
      <x:c r="B340" s="54" t="n">
        <x:v>334</x:v>
      </x:c>
      <x:c r="C340" s="54" t="str">
        <x:v>NYC-V2-R01</x:v>
      </x:c>
      <x:c r="D340" s="54" t="str">
        <x:v>V2</x:v>
      </x:c>
      <x:c r="E340" s="54" t="str">
        <x:v>ADMITTED</x:v>
      </x:c>
      <x:c r="F340" s="55" t="n">
        <x:v>32628</x:v>
      </x:c>
      <x:c r="G340" s="55" t="n">
        <x:v>8431</x:v>
      </x:c>
      <x:c r="H340" s="55" t="n">
        <x:v>3071</x:v>
      </x:c>
      <x:c r="I340" s="55" t="n">
        <x:v>921</x:v>
      </x:c>
      <x:c r="J340" s="55" t="n">
        <x:v>353</x:v>
      </x:c>
      <x:c r="K340" s="55" t="n">
        <x:v>29932</x:v>
      </x:c>
      <x:c r="L340" s="55" t="n">
        <x:v>5101</x:v>
      </x:c>
      <x:c r="M340" s="55" t="n">
        <x:v>861</x:v>
      </x:c>
      <x:c r="N340" s="55" t="n">
        <x:v>2276</x:v>
      </x:c>
      <x:c r="O340" s="55" t="n">
        <x:v>1964</x:v>
      </x:c>
      <x:c r="P340" s="55" t="n">
        <x:v>643</x:v>
      </x:c>
      <x:c r="Q340" s="55" t="n">
        <x:v>1998</x:v>
      </x:c>
      <x:c r="R340" s="55" t="n">
        <x:v>1855</x:v>
      </x:c>
      <x:c r="S340" s="55" t="n">
        <x:v>2707</x:v>
      </x:c>
      <x:c r="T340" s="55" t="n">
        <x:v>1707</x:v>
      </x:c>
      <x:c r="U340" s="55" t="n">
        <x:v>1768</x:v>
      </x:c>
      <x:c r="V340" s="55" t="n">
        <x:v>9252</x:v>
      </x:c>
      <x:c r="W340" s="55" t="n">
        <x:v>5708</x:v>
      </x:c>
      <x:c r="X340" s="55" t="n">
        <x:v>3544</x:v>
      </x:c>
      <x:c r="Y340" s="55" t="n">
        <x:v>2791</x:v>
      </x:c>
      <x:c r="Z340" s="55" t="n">
        <x:v>3279</x:v>
      </x:c>
      <x:c r="AA340" s="55" t="n">
        <x:v>3071</x:v>
      </x:c>
      <x:c r="AB340" s="55" t="n">
        <x:v>1060</x:v>
      </x:c>
      <x:c r="AC340" s="55" t="n">
        <x:v>7737</x:v>
      </x:c>
      <x:c r="AD340" s="55" t="n">
        <x:v>2601</x:v>
      </x:c>
      <x:c r="AE340" s="55" t="n">
        <x:v>9299</x:v>
      </x:c>
      <x:c r="AF340" s="55" t="n">
        <x:v>9252</x:v>
      </x:c>
      <x:c r="AG340" s="55" t="n">
        <x:v>47</x:v>
      </x:c>
      <x:c r="AH340" s="55" t="n">
        <x:v>224</x:v>
      </x:c>
      <x:c r="AI340" s="55" t="n">
        <x:v>9028</x:v>
      </x:c>
      <x:c r="AJ340" s="55" t="n">
        <x:v>213</x:v>
      </x:c>
      <x:c r="AK340" s="55" t="n">
        <x:v>814</x:v>
      </x:c>
      <x:c r="AL340" s="55" t="n">
        <x:v>730</x:v>
      </x:c>
      <x:c r="AM340" s="55" t="n">
        <x:v>4510</x:v>
      </x:c>
      <x:c r="AN340" s="55" t="n">
        <x:v>2839</x:v>
      </x:c>
      <x:c r="AO340" s="55" t="n">
        <x:v>146</x:v>
      </x:c>
      <x:c r="AP340" s="55" t="n">
        <x:v>2684</x:v>
      </x:c>
      <x:c r="AQ340" s="55" t="n">
        <x:v>934</x:v>
      </x:c>
    </x:row>
    <x:row r="341">
      <x:c r="A341" s="54" t="str">
        <x:v>T0_TABLE_BLOCK</x:v>
      </x:c>
      <x:c r="B341" s="54" t="n">
        <x:v>335</x:v>
      </x:c>
      <x:c r="C341" s="54" t="str">
        <x:v>NYC-V2-R01</x:v>
      </x:c>
      <x:c r="D341" s="54" t="str">
        <x:v>V2</x:v>
      </x:c>
      <x:c r="E341" s="54" t="str">
        <x:v>ADMITTED</x:v>
      </x:c>
      <x:c r="F341" s="55" t="n">
        <x:v>31406</x:v>
      </x:c>
      <x:c r="G341" s="55" t="n">
        <x:v>8509</x:v>
      </x:c>
      <x:c r="H341" s="55" t="n">
        <x:v>4124</x:v>
      </x:c>
      <x:c r="I341" s="55" t="n">
        <x:v>1514</x:v>
      </x:c>
      <x:c r="J341" s="55" t="n">
        <x:v>261</x:v>
      </x:c>
      <x:c r="K341" s="55" t="n">
        <x:v>29057</x:v>
      </x:c>
      <x:c r="L341" s="55" t="n">
        <x:v>6442</x:v>
      </x:c>
      <x:c r="M341" s="55" t="n">
        <x:v>1174</x:v>
      </x:c>
      <x:c r="N341" s="55" t="n">
        <x:v>2988</x:v>
      </x:c>
      <x:c r="O341" s="55" t="n">
        <x:v>2280</x:v>
      </x:c>
      <x:c r="P341" s="55" t="n">
        <x:v>896</x:v>
      </x:c>
      <x:c r="Q341" s="55" t="n">
        <x:v>2122</x:v>
      </x:c>
      <x:c r="R341" s="55" t="n">
        <x:v>2449</x:v>
      </x:c>
      <x:c r="S341" s="55" t="n">
        <x:v>3662</x:v>
      </x:c>
      <x:c r="T341" s="55" t="n">
        <x:v>1079</x:v>
      </x:c>
      <x:c r="U341" s="55" t="n">
        <x:v>1746</x:v>
      </x:c>
      <x:c r="V341" s="55" t="n">
        <x:v>10171</x:v>
      </x:c>
      <x:c r="W341" s="55" t="n">
        <x:v>6708</x:v>
      </x:c>
      <x:c r="X341" s="55" t="n">
        <x:v>3463</x:v>
      </x:c>
      <x:c r="Y341" s="55" t="n">
        <x:v>3128</x:v>
      </x:c>
      <x:c r="Z341" s="55" t="n">
        <x:v>3581</x:v>
      </x:c>
      <x:c r="AA341" s="55" t="n">
        <x:v>4124</x:v>
      </x:c>
      <x:c r="AB341" s="55" t="n">
        <x:v>1430</x:v>
      </x:c>
      <x:c r="AC341" s="55" t="n">
        <x:v>8246</x:v>
      </x:c>
      <x:c r="AD341" s="55" t="n">
        <x:v>2991</x:v>
      </x:c>
      <x:c r="AE341" s="55" t="n">
        <x:v>10305</x:v>
      </x:c>
      <x:c r="AF341" s="55" t="n">
        <x:v>10171</x:v>
      </x:c>
      <x:c r="AG341" s="55" t="n">
        <x:v>134</x:v>
      </x:c>
      <x:c r="AH341" s="55" t="n">
        <x:v>447</x:v>
      </x:c>
      <x:c r="AI341" s="55" t="n">
        <x:v>9724</x:v>
      </x:c>
      <x:c r="AJ341" s="55" t="n">
        <x:v>294</x:v>
      </x:c>
      <x:c r="AK341" s="55" t="n">
        <x:v>1022</x:v>
      </x:c>
      <x:c r="AL341" s="55" t="n">
        <x:v>1602</x:v>
      </x:c>
      <x:c r="AM341" s="55" t="n">
        <x:v>4832</x:v>
      </x:c>
      <x:c r="AN341" s="55" t="n">
        <x:v>2411</x:v>
      </x:c>
      <x:c r="AO341" s="55" t="n">
        <x:v>10</x:v>
      </x:c>
      <x:c r="AP341" s="55" t="n">
        <x:v>2548</x:v>
      </x:c>
      <x:c r="AQ341" s="55" t="n">
        <x:v>948</x:v>
      </x:c>
    </x:row>
    <x:row r="342">
      <x:c r="A342" s="54" t="str">
        <x:v>T0_TABLE_BLOCK</x:v>
      </x:c>
      <x:c r="B342" s="54" t="n">
        <x:v>336</x:v>
      </x:c>
      <x:c r="C342" s="54" t="str">
        <x:v>NYC-V2-R01</x:v>
      </x:c>
      <x:c r="D342" s="54" t="str">
        <x:v>V2</x:v>
      </x:c>
      <x:c r="E342" s="54" t="str">
        <x:v>ADMITTED</x:v>
      </x:c>
      <x:c r="F342" s="55" t="n">
        <x:v>29559</x:v>
      </x:c>
      <x:c r="G342" s="55" t="n">
        <x:v>6987</x:v>
      </x:c>
      <x:c r="H342" s="55" t="n">
        <x:v>3344</x:v>
      </x:c>
      <x:c r="I342" s="55" t="n">
        <x:v>1127</x:v>
      </x:c>
      <x:c r="J342" s="55" t="n">
        <x:v>178</x:v>
      </x:c>
      <x:c r="K342" s="55" t="n">
        <x:v>29559</x:v>
      </x:c>
      <x:c r="L342" s="55" t="n">
        <x:v>5356</x:v>
      </x:c>
      <x:c r="M342" s="55" t="n">
        <x:v>1252</x:v>
      </x:c>
      <x:c r="N342" s="55" t="n">
        <x:v>2085</x:v>
      </x:c>
      <x:c r="O342" s="55" t="n">
        <x:v>2019</x:v>
      </x:c>
      <x:c r="P342" s="55" t="n">
        <x:v>733</x:v>
      </x:c>
      <x:c r="Q342" s="55" t="n">
        <x:v>2437</x:v>
      </x:c>
      <x:c r="R342" s="55" t="n">
        <x:v>2028</x:v>
      </x:c>
      <x:c r="S342" s="55" t="n">
        <x:v>2853</x:v>
      </x:c>
      <x:c r="T342" s="55" t="n">
        <x:v>1514</x:v>
      </x:c>
      <x:c r="U342" s="55" t="n">
        <x:v>2050</x:v>
      </x:c>
      <x:c r="V342" s="55" t="n">
        <x:v>10539</x:v>
      </x:c>
      <x:c r="W342" s="55" t="n">
        <x:v>7503</x:v>
      </x:c>
      <x:c r="X342" s="55" t="n">
        <x:v>3036</x:v>
      </x:c>
      <x:c r="Y342" s="55" t="n">
        <x:v>2598</x:v>
      </x:c>
      <x:c r="Z342" s="55" t="n">
        <x:v>3141</x:v>
      </x:c>
      <x:c r="AA342" s="55" t="n">
        <x:v>3121</x:v>
      </x:c>
      <x:c r="AB342" s="55" t="n">
        <x:v>1214</x:v>
      </x:c>
      <x:c r="AC342" s="55" t="n">
        <x:v>8334</x:v>
      </x:c>
      <x:c r="AD342" s="55" t="n">
        <x:v>3559</x:v>
      </x:c>
      <x:c r="AE342" s="55" t="n">
        <x:v>10645</x:v>
      </x:c>
      <x:c r="AF342" s="55" t="n">
        <x:v>10539</x:v>
      </x:c>
      <x:c r="AG342" s="55" t="n">
        <x:v>106</x:v>
      </x:c>
      <x:c r="AH342" s="55" t="n">
        <x:v>183</x:v>
      </x:c>
      <x:c r="AI342" s="55" t="n">
        <x:v>10356</x:v>
      </x:c>
      <x:c r="AJ342" s="55" t="n">
        <x:v>62</x:v>
      </x:c>
      <x:c r="AK342" s="55" t="n">
        <x:v>975</x:v>
      </x:c>
      <x:c r="AL342" s="55" t="n">
        <x:v>1890</x:v>
      </x:c>
      <x:c r="AM342" s="55" t="n">
        <x:v>5092</x:v>
      </x:c>
      <x:c r="AN342" s="55" t="n">
        <x:v>2502</x:v>
      </x:c>
      <x:c r="AO342" s="55" t="n">
        <x:v>18</x:v>
      </x:c>
      <x:c r="AP342" s="55" t="n">
        <x:v>2254</x:v>
      </x:c>
      <x:c r="AQ342" s="55" t="n">
        <x:v>978</x:v>
      </x:c>
    </x:row>
    <x:row r="343">
      <x:c r="A343" s="54" t="str">
        <x:v>T0_TABLE_BLOCK</x:v>
      </x:c>
      <x:c r="B343" s="54" t="n">
        <x:v>337</x:v>
      </x:c>
      <x:c r="C343" s="54" t="str">
        <x:v>NYC-V2-R01</x:v>
      </x:c>
      <x:c r="D343" s="54" t="str">
        <x:v>V2</x:v>
      </x:c>
      <x:c r="E343" s="54" t="str">
        <x:v>ADMITTED</x:v>
      </x:c>
      <x:c r="F343" s="55" t="n">
        <x:v>30409</x:v>
      </x:c>
      <x:c r="G343" s="55" t="n">
        <x:v>6522</x:v>
      </x:c>
      <x:c r="H343" s="55" t="n">
        <x:v>3271</x:v>
      </x:c>
      <x:c r="I343" s="55" t="n">
        <x:v>1409</x:v>
      </x:c>
      <x:c r="J343" s="55" t="n">
        <x:v>67</x:v>
      </x:c>
      <x:c r="K343" s="55" t="n">
        <x:v>29065</x:v>
      </x:c>
      <x:c r="L343" s="55" t="n">
        <x:v>6145</x:v>
      </x:c>
      <x:c r="M343" s="55" t="n">
        <x:v>2044</x:v>
      </x:c>
      <x:c r="N343" s="55" t="n">
        <x:v>2860</x:v>
      </x:c>
      <x:c r="O343" s="55" t="n">
        <x:v>1241</x:v>
      </x:c>
      <x:c r="P343" s="55" t="n">
        <x:v>1057</x:v>
      </x:c>
      <x:c r="Q343" s="55" t="n">
        <x:v>2601</x:v>
      </x:c>
      <x:c r="R343" s="55" t="n">
        <x:v>1792</x:v>
      </x:c>
      <x:c r="S343" s="55" t="n">
        <x:v>2282</x:v>
      </x:c>
      <x:c r="T343" s="55" t="n">
        <x:v>1107</x:v>
      </x:c>
      <x:c r="U343" s="55" t="n">
        <x:v>2615</x:v>
      </x:c>
      <x:c r="V343" s="55" t="n">
        <x:v>10871</x:v>
      </x:c>
      <x:c r="W343" s="55" t="n">
        <x:v>7854</x:v>
      </x:c>
      <x:c r="X343" s="55" t="n">
        <x:v>3017</x:v>
      </x:c>
      <x:c r="Y343" s="55" t="n">
        <x:v>2666</x:v>
      </x:c>
      <x:c r="Z343" s="55" t="n">
        <x:v>3769</x:v>
      </x:c>
      <x:c r="AA343" s="55" t="n">
        <x:v>3271</x:v>
      </x:c>
      <x:c r="AB343" s="55" t="n">
        <x:v>947</x:v>
      </x:c>
      <x:c r="AC343" s="55" t="n">
        <x:v>8215</x:v>
      </x:c>
      <x:c r="AD343" s="55" t="n">
        <x:v>3157</x:v>
      </x:c>
      <x:c r="AE343" s="55" t="n">
        <x:v>10908</x:v>
      </x:c>
      <x:c r="AF343" s="55" t="n">
        <x:v>10871</x:v>
      </x:c>
      <x:c r="AG343" s="55" t="n">
        <x:v>37</x:v>
      </x:c>
      <x:c r="AH343" s="55" t="n">
        <x:v>356</x:v>
      </x:c>
      <x:c r="AI343" s="55" t="n">
        <x:v>10515</x:v>
      </x:c>
      <x:c r="AJ343" s="55" t="n">
        <x:v>323</x:v>
      </x:c>
      <x:c r="AK343" s="55" t="n">
        <x:v>1054</x:v>
      </x:c>
      <x:c r="AL343" s="55" t="n">
        <x:v>1951</x:v>
      </x:c>
      <x:c r="AM343" s="55" t="n">
        <x:v>4866</x:v>
      </x:c>
      <x:c r="AN343" s="55" t="n">
        <x:v>2677</x:v>
      </x:c>
      <x:c r="AO343" s="55" t="n">
        <x:v>0</x:v>
      </x:c>
      <x:c r="AP343" s="55" t="n">
        <x:v>2436</x:v>
      </x:c>
      <x:c r="AQ343" s="55" t="n">
        <x:v>960</x:v>
      </x:c>
    </x:row>
    <x:row r="344">
      <x:c r="A344" s="54" t="str">
        <x:v>T0_TABLE_BLOCK</x:v>
      </x:c>
      <x:c r="B344" s="54" t="n">
        <x:v>338</x:v>
      </x:c>
      <x:c r="C344" s="54" t="str">
        <x:v>NYC-V2-R01</x:v>
      </x:c>
      <x:c r="D344" s="54" t="str">
        <x:v>V2</x:v>
      </x:c>
      <x:c r="E344" s="54" t="str">
        <x:v>ADMITTED</x:v>
      </x:c>
      <x:c r="F344" s="55" t="n">
        <x:v>32258</x:v>
      </x:c>
      <x:c r="G344" s="55" t="n">
        <x:v>8469</x:v>
      </x:c>
      <x:c r="H344" s="55" t="n">
        <x:v>3160</x:v>
      </x:c>
      <x:c r="I344" s="55" t="n">
        <x:v>1496</x:v>
      </x:c>
      <x:c r="J344" s="55" t="n">
        <x:v>365</x:v>
      </x:c>
      <x:c r="K344" s="55" t="n">
        <x:v>32258</x:v>
      </x:c>
      <x:c r="L344" s="55" t="n">
        <x:v>5589</x:v>
      </x:c>
      <x:c r="M344" s="55" t="n">
        <x:v>1221</x:v>
      </x:c>
      <x:c r="N344" s="55" t="n">
        <x:v>2599</x:v>
      </x:c>
      <x:c r="O344" s="55" t="n">
        <x:v>1769</x:v>
      </x:c>
      <x:c r="P344" s="55" t="n">
        <x:v>641</x:v>
      </x:c>
      <x:c r="Q344" s="55" t="n">
        <x:v>2431</x:v>
      </x:c>
      <x:c r="R344" s="55" t="n">
        <x:v>1927</x:v>
      </x:c>
      <x:c r="S344" s="55" t="n">
        <x:v>2544</x:v>
      </x:c>
      <x:c r="T344" s="55" t="n">
        <x:v>1046</x:v>
      </x:c>
      <x:c r="U344" s="55" t="n">
        <x:v>1833</x:v>
      </x:c>
      <x:c r="V344" s="55" t="n">
        <x:v>10371</x:v>
      </x:c>
      <x:c r="W344" s="55" t="n">
        <x:v>7021</x:v>
      </x:c>
      <x:c r="X344" s="55" t="n">
        <x:v>3350</x:v>
      </x:c>
      <x:c r="Y344" s="55" t="n">
        <x:v>2665</x:v>
      </x:c>
      <x:c r="Z344" s="55" t="n">
        <x:v>3604</x:v>
      </x:c>
      <x:c r="AA344" s="55" t="n">
        <x:v>3095</x:v>
      </x:c>
      <x:c r="AB344" s="55" t="n">
        <x:v>1410</x:v>
      </x:c>
      <x:c r="AC344" s="55" t="n">
        <x:v>8207</x:v>
      </x:c>
      <x:c r="AD344" s="55" t="n">
        <x:v>3002</x:v>
      </x:c>
      <x:c r="AE344" s="55" t="n">
        <x:v>10471</x:v>
      </x:c>
      <x:c r="AF344" s="55" t="n">
        <x:v>10371</x:v>
      </x:c>
      <x:c r="AG344" s="55" t="n">
        <x:v>100</x:v>
      </x:c>
      <x:c r="AH344" s="55" t="n">
        <x:v>461</x:v>
      </x:c>
      <x:c r="AI344" s="55" t="n">
        <x:v>9910</x:v>
      </x:c>
      <x:c r="AJ344" s="55" t="n">
        <x:v>442</x:v>
      </x:c>
      <x:c r="AK344" s="55" t="n">
        <x:v>971</x:v>
      </x:c>
      <x:c r="AL344" s="55" t="n">
        <x:v>1746</x:v>
      </x:c>
      <x:c r="AM344" s="55" t="n">
        <x:v>5304</x:v>
      </x:c>
      <x:c r="AN344" s="55" t="n">
        <x:v>1874</x:v>
      </x:c>
      <x:c r="AO344" s="55" t="n">
        <x:v>34</x:v>
      </x:c>
      <x:c r="AP344" s="55" t="n">
        <x:v>2429</x:v>
      </x:c>
      <x:c r="AQ344" s="55" t="n">
        <x:v>935</x:v>
      </x:c>
    </x:row>
    <x:row r="345">
      <x:c r="A345" s="54" t="str">
        <x:v>T0_TABLE_BLOCK</x:v>
      </x:c>
      <x:c r="B345" s="54" t="n">
        <x:v>339</x:v>
      </x:c>
      <x:c r="C345" s="54" t="str">
        <x:v>NYC-V2-R01</x:v>
      </x:c>
      <x:c r="D345" s="54" t="str">
        <x:v>V2</x:v>
      </x:c>
      <x:c r="E345" s="54" t="str">
        <x:v>ADMITTED</x:v>
      </x:c>
      <x:c r="F345" s="55" t="n">
        <x:v>29823</x:v>
      </x:c>
      <x:c r="G345" s="55" t="n">
        <x:v>7128</x:v>
      </x:c>
      <x:c r="H345" s="55" t="n">
        <x:v>3197</x:v>
      </x:c>
      <x:c r="I345" s="55" t="n">
        <x:v>1379</x:v>
      </x:c>
      <x:c r="J345" s="55" t="n">
        <x:v>273</x:v>
      </x:c>
      <x:c r="K345" s="55" t="n">
        <x:v>29823</x:v>
      </x:c>
      <x:c r="L345" s="55" t="n">
        <x:v>5619</x:v>
      </x:c>
      <x:c r="M345" s="55" t="n">
        <x:v>1122</x:v>
      </x:c>
      <x:c r="N345" s="55" t="n">
        <x:v>2432</x:v>
      </x:c>
      <x:c r="O345" s="55" t="n">
        <x:v>2065</x:v>
      </x:c>
      <x:c r="P345" s="55" t="n">
        <x:v>914</x:v>
      </x:c>
      <x:c r="Q345" s="55" t="n">
        <x:v>1731</x:v>
      </x:c>
      <x:c r="R345" s="55" t="n">
        <x:v>2111</x:v>
      </x:c>
      <x:c r="S345" s="55" t="n">
        <x:v>2928</x:v>
      </x:c>
      <x:c r="T345" s="55" t="n">
        <x:v>1207</x:v>
      </x:c>
      <x:c r="U345" s="55" t="n">
        <x:v>2418</x:v>
      </x:c>
      <x:c r="V345" s="55" t="n">
        <x:v>11046</x:v>
      </x:c>
      <x:c r="W345" s="55" t="n">
        <x:v>7988</x:v>
      </x:c>
      <x:c r="X345" s="55" t="n">
        <x:v>3058</x:v>
      </x:c>
      <x:c r="Y345" s="55" t="n">
        <x:v>2671</x:v>
      </x:c>
      <x:c r="Z345" s="55" t="n">
        <x:v>3672</x:v>
      </x:c>
      <x:c r="AA345" s="55" t="n">
        <x:v>2892</x:v>
      </x:c>
      <x:c r="AB345" s="55" t="n">
        <x:v>1097</x:v>
      </x:c>
      <x:c r="AC345" s="55" t="n">
        <x:v>8378</x:v>
      </x:c>
      <x:c r="AD345" s="55" t="n">
        <x:v>3029</x:v>
      </x:c>
      <x:c r="AE345" s="55" t="n">
        <x:v>11132</x:v>
      </x:c>
      <x:c r="AF345" s="55" t="n">
        <x:v>11046</x:v>
      </x:c>
      <x:c r="AG345" s="55" t="n">
        <x:v>86</x:v>
      </x:c>
      <x:c r="AH345" s="55" t="n">
        <x:v>634</x:v>
      </x:c>
      <x:c r="AI345" s="55" t="n">
        <x:v>10412</x:v>
      </x:c>
      <x:c r="AJ345" s="55" t="n">
        <x:v>134</x:v>
      </x:c>
      <x:c r="AK345" s="55" t="n">
        <x:v>989</x:v>
      </x:c>
      <x:c r="AL345" s="55" t="n">
        <x:v>1967</x:v>
      </x:c>
      <x:c r="AM345" s="55" t="n">
        <x:v>4770</x:v>
      </x:c>
      <x:c r="AN345" s="55" t="n">
        <x:v>3061</x:v>
      </x:c>
      <x:c r="AO345" s="55" t="n">
        <x:v>125</x:v>
      </x:c>
      <x:c r="AP345" s="55" t="n">
        <x:v>2628</x:v>
      </x:c>
      <x:c r="AQ345" s="55" t="n">
        <x:v>1019</x:v>
      </x:c>
    </x:row>
    <x:row r="346">
      <x:c r="A346" s="54" t="str">
        <x:v>T0_TABLE_BLOCK</x:v>
      </x:c>
      <x:c r="B346" s="54" t="n">
        <x:v>340</x:v>
      </x:c>
      <x:c r="C346" s="54" t="str">
        <x:v>NYC-V2-R01</x:v>
      </x:c>
      <x:c r="D346" s="54" t="str">
        <x:v>V2</x:v>
      </x:c>
      <x:c r="E346" s="54" t="str">
        <x:v>ADMITTED</x:v>
      </x:c>
      <x:c r="F346" s="55" t="n">
        <x:v>31622</x:v>
      </x:c>
      <x:c r="G346" s="55" t="n">
        <x:v>7529</x:v>
      </x:c>
      <x:c r="H346" s="55" t="n">
        <x:v>3314</x:v>
      </x:c>
      <x:c r="I346" s="55" t="n">
        <x:v>1124</x:v>
      </x:c>
      <x:c r="J346" s="55" t="n">
        <x:v>180</x:v>
      </x:c>
      <x:c r="K346" s="55" t="n">
        <x:v>31622</x:v>
      </x:c>
      <x:c r="L346" s="55" t="n">
        <x:v>6221</x:v>
      </x:c>
      <x:c r="M346" s="55" t="n">
        <x:v>2348</x:v>
      </x:c>
      <x:c r="N346" s="55" t="n">
        <x:v>2455</x:v>
      </x:c>
      <x:c r="O346" s="55" t="n">
        <x:v>1418</x:v>
      </x:c>
      <x:c r="P346" s="55" t="n">
        <x:v>956</x:v>
      </x:c>
      <x:c r="Q346" s="55" t="n">
        <x:v>2597</x:v>
      </x:c>
      <x:c r="R346" s="55" t="n">
        <x:v>1974</x:v>
      </x:c>
      <x:c r="S346" s="55" t="n">
        <x:v>3169</x:v>
      </x:c>
      <x:c r="T346" s="55" t="n">
        <x:v>1182</x:v>
      </x:c>
      <x:c r="U346" s="55" t="n">
        <x:v>1180</x:v>
      </x:c>
      <x:c r="V346" s="55" t="n">
        <x:v>10490</x:v>
      </x:c>
      <x:c r="W346" s="55" t="n">
        <x:v>7339</x:v>
      </x:c>
      <x:c r="X346" s="55" t="n">
        <x:v>3151</x:v>
      </x:c>
      <x:c r="Y346" s="55" t="n">
        <x:v>2603</x:v>
      </x:c>
      <x:c r="Z346" s="55" t="n">
        <x:v>3877</x:v>
      </x:c>
      <x:c r="AA346" s="55" t="n">
        <x:v>3090</x:v>
      </x:c>
      <x:c r="AB346" s="55" t="n">
        <x:v>760</x:v>
      </x:c>
      <x:c r="AC346" s="55" t="n">
        <x:v>8107</x:v>
      </x:c>
      <x:c r="AD346" s="55" t="n">
        <x:v>2560</x:v>
      </x:c>
      <x:c r="AE346" s="55" t="n">
        <x:v>10655</x:v>
      </x:c>
      <x:c r="AF346" s="55" t="n">
        <x:v>10490</x:v>
      </x:c>
      <x:c r="AG346" s="55" t="n">
        <x:v>165</x:v>
      </x:c>
      <x:c r="AH346" s="55" t="n">
        <x:v>218</x:v>
      </x:c>
      <x:c r="AI346" s="55" t="n">
        <x:v>10272</x:v>
      </x:c>
      <x:c r="AJ346" s="55" t="n">
        <x:v>527</x:v>
      </x:c>
      <x:c r="AK346" s="55" t="n">
        <x:v>1220</x:v>
      </x:c>
      <x:c r="AL346" s="55" t="n">
        <x:v>1746</x:v>
      </x:c>
      <x:c r="AM346" s="55" t="n">
        <x:v>4604</x:v>
      </x:c>
      <x:c r="AN346" s="55" t="n">
        <x:v>2393</x:v>
      </x:c>
      <x:c r="AO346" s="55" t="n">
        <x:v>0</x:v>
      </x:c>
      <x:c r="AP346" s="55" t="n">
        <x:v>2663</x:v>
      </x:c>
      <x:c r="AQ346" s="55" t="n">
        <x:v>976</x:v>
      </x:c>
    </x:row>
    <x:row r="347">
      <x:c r="A347" s="54" t="str">
        <x:v>T0_TABLE_BLOCK</x:v>
      </x:c>
      <x:c r="B347" s="54" t="n">
        <x:v>341</x:v>
      </x:c>
      <x:c r="C347" s="54" t="str">
        <x:v>NYC-V2-R01</x:v>
      </x:c>
      <x:c r="D347" s="54" t="str">
        <x:v>V2</x:v>
      </x:c>
      <x:c r="E347" s="54" t="str">
        <x:v>ADMITTED</x:v>
      </x:c>
      <x:c r="F347" s="55" t="n">
        <x:v>29214</x:v>
      </x:c>
      <x:c r="G347" s="55" t="n">
        <x:v>5183</x:v>
      </x:c>
      <x:c r="H347" s="55" t="n">
        <x:v>3148</x:v>
      </x:c>
      <x:c r="I347" s="55" t="n">
        <x:v>1122</x:v>
      </x:c>
      <x:c r="J347" s="55" t="n">
        <x:v>270</x:v>
      </x:c>
      <x:c r="K347" s="55" t="n">
        <x:v>29214</x:v>
      </x:c>
      <x:c r="L347" s="55" t="n">
        <x:v>5575</x:v>
      </x:c>
      <x:c r="M347" s="55" t="n">
        <x:v>1253</x:v>
      </x:c>
      <x:c r="N347" s="55" t="n">
        <x:v>2390</x:v>
      </x:c>
      <x:c r="O347" s="55" t="n">
        <x:v>1932</x:v>
      </x:c>
      <x:c r="P347" s="55" t="n">
        <x:v>525</x:v>
      </x:c>
      <x:c r="Q347" s="55" t="n">
        <x:v>2458</x:v>
      </x:c>
      <x:c r="R347" s="55" t="n">
        <x:v>1868</x:v>
      </x:c>
      <x:c r="S347" s="55" t="n">
        <x:v>3021</x:v>
      </x:c>
      <x:c r="T347" s="55" t="n">
        <x:v>440</x:v>
      </x:c>
      <x:c r="U347" s="55" t="n">
        <x:v>2695</x:v>
      </x:c>
      <x:c r="V347" s="55" t="n">
        <x:v>10148</x:v>
      </x:c>
      <x:c r="W347" s="55" t="n">
        <x:v>7470</x:v>
      </x:c>
      <x:c r="X347" s="55" t="n">
        <x:v>2678</x:v>
      </x:c>
      <x:c r="Y347" s="55" t="n">
        <x:v>2250</x:v>
      </x:c>
      <x:c r="Z347" s="55" t="n">
        <x:v>4030</x:v>
      </x:c>
      <x:c r="AA347" s="55" t="n">
        <x:v>2815</x:v>
      </x:c>
      <x:c r="AB347" s="55" t="n">
        <x:v>1222</x:v>
      </x:c>
      <x:c r="AC347" s="55" t="n">
        <x:v>7649</x:v>
      </x:c>
      <x:c r="AD347" s="55" t="n">
        <x:v>2356</x:v>
      </x:c>
      <x:c r="AE347" s="55" t="n">
        <x:v>10208</x:v>
      </x:c>
      <x:c r="AF347" s="55" t="n">
        <x:v>10148</x:v>
      </x:c>
      <x:c r="AG347" s="55" t="n">
        <x:v>60</x:v>
      </x:c>
      <x:c r="AH347" s="55" t="n">
        <x:v>457</x:v>
      </x:c>
      <x:c r="AI347" s="55" t="n">
        <x:v>9691</x:v>
      </x:c>
      <x:c r="AJ347" s="55" t="n">
        <x:v>557</x:v>
      </x:c>
      <x:c r="AK347" s="55" t="n">
        <x:v>1140</x:v>
      </x:c>
      <x:c r="AL347" s="55" t="n">
        <x:v>1169</x:v>
      </x:c>
      <x:c r="AM347" s="55" t="n">
        <x:v>4880</x:v>
      </x:c>
      <x:c r="AN347" s="55" t="n">
        <x:v>2317</x:v>
      </x:c>
      <x:c r="AO347" s="55" t="n">
        <x:v>85</x:v>
      </x:c>
      <x:c r="AP347" s="55" t="n">
        <x:v>2604</x:v>
      </x:c>
      <x:c r="AQ347" s="55" t="n">
        <x:v>955</x:v>
      </x:c>
    </x:row>
    <x:row r="348">
      <x:c r="A348" s="54" t="str">
        <x:v>T0_TABLE_BLOCK</x:v>
      </x:c>
      <x:c r="B348" s="54" t="n">
        <x:v>342</x:v>
      </x:c>
      <x:c r="C348" s="54" t="str">
        <x:v>NYC-V2-R01</x:v>
      </x:c>
      <x:c r="D348" s="54" t="str">
        <x:v>V2</x:v>
      </x:c>
      <x:c r="E348" s="54" t="str">
        <x:v>ADMITTED</x:v>
      </x:c>
      <x:c r="F348" s="55" t="n">
        <x:v>31334</x:v>
      </x:c>
      <x:c r="G348" s="55" t="n">
        <x:v>8655</x:v>
      </x:c>
      <x:c r="H348" s="55" t="n">
        <x:v>3612</x:v>
      </x:c>
      <x:c r="I348" s="55" t="n">
        <x:v>547</x:v>
      </x:c>
      <x:c r="J348" s="55" t="n">
        <x:v>111</x:v>
      </x:c>
      <x:c r="K348" s="55" t="n">
        <x:v>31334</x:v>
      </x:c>
      <x:c r="L348" s="55" t="n">
        <x:v>5716</x:v>
      </x:c>
      <x:c r="M348" s="55" t="n">
        <x:v>1479</x:v>
      </x:c>
      <x:c r="N348" s="55" t="n">
        <x:v>2618</x:v>
      </x:c>
      <x:c r="O348" s="55" t="n">
        <x:v>1619</x:v>
      </x:c>
      <x:c r="P348" s="55" t="n">
        <x:v>953</x:v>
      </x:c>
      <x:c r="Q348" s="55" t="n">
        <x:v>1467</x:v>
      </x:c>
      <x:c r="R348" s="55" t="n">
        <x:v>1424</x:v>
      </x:c>
      <x:c r="S348" s="55" t="n">
        <x:v>3002</x:v>
      </x:c>
      <x:c r="T348" s="55" t="n">
        <x:v>1344</x:v>
      </x:c>
      <x:c r="U348" s="55" t="n">
        <x:v>1877</x:v>
      </x:c>
      <x:c r="V348" s="55" t="n">
        <x:v>10387</x:v>
      </x:c>
      <x:c r="W348" s="55" t="n">
        <x:v>7362</x:v>
      </x:c>
      <x:c r="X348" s="55" t="n">
        <x:v>3025</x:v>
      </x:c>
      <x:c r="Y348" s="55" t="n">
        <x:v>2521</x:v>
      </x:c>
      <x:c r="Z348" s="55" t="n">
        <x:v>4210</x:v>
      </x:c>
      <x:c r="AA348" s="55" t="n">
        <x:v>3612</x:v>
      </x:c>
      <x:c r="AB348" s="55" t="n">
        <x:v>1407</x:v>
      </x:c>
      <x:c r="AC348" s="55" t="n">
        <x:v>7598</x:v>
      </x:c>
      <x:c r="AD348" s="55" t="n">
        <x:v>2960</x:v>
      </x:c>
      <x:c r="AE348" s="55" t="n">
        <x:v>10508</x:v>
      </x:c>
      <x:c r="AF348" s="55" t="n">
        <x:v>10387</x:v>
      </x:c>
      <x:c r="AG348" s="55" t="n">
        <x:v>121</x:v>
      </x:c>
      <x:c r="AH348" s="55" t="n">
        <x:v>595</x:v>
      </x:c>
      <x:c r="AI348" s="55" t="n">
        <x:v>9792</x:v>
      </x:c>
      <x:c r="AJ348" s="55" t="n">
        <x:v>301</x:v>
      </x:c>
      <x:c r="AK348" s="55" t="n">
        <x:v>886</x:v>
      </x:c>
      <x:c r="AL348" s="55" t="n">
        <x:v>1280</x:v>
      </x:c>
      <x:c r="AM348" s="55" t="n">
        <x:v>5006</x:v>
      </x:c>
      <x:c r="AN348" s="55" t="n">
        <x:v>2850</x:v>
      </x:c>
      <x:c r="AO348" s="55" t="n">
        <x:v>64</x:v>
      </x:c>
      <x:c r="AP348" s="55" t="n">
        <x:v>2209</x:v>
      </x:c>
      <x:c r="AQ348" s="55" t="n">
        <x:v>968</x:v>
      </x:c>
    </x:row>
    <x:row r="349">
      <x:c r="A349" s="54" t="str">
        <x:v>T0_TABLE_BLOCK</x:v>
      </x:c>
      <x:c r="B349" s="54" t="n">
        <x:v>343</x:v>
      </x:c>
      <x:c r="C349" s="54" t="str">
        <x:v>NYC-V2-R01</x:v>
      </x:c>
      <x:c r="D349" s="54" t="str">
        <x:v>V2</x:v>
      </x:c>
      <x:c r="E349" s="54" t="str">
        <x:v>ADMITTED</x:v>
      </x:c>
      <x:c r="F349" s="55" t="n">
        <x:v>33791</x:v>
      </x:c>
      <x:c r="G349" s="55" t="n">
        <x:v>9733</x:v>
      </x:c>
      <x:c r="H349" s="55" t="n">
        <x:v>3420</x:v>
      </x:c>
      <x:c r="I349" s="55" t="n">
        <x:v>1376</x:v>
      </x:c>
      <x:c r="J349" s="55" t="n">
        <x:v>0</x:v>
      </x:c>
      <x:c r="K349" s="55" t="n">
        <x:v>32938</x:v>
      </x:c>
      <x:c r="L349" s="55" t="n">
        <x:v>7097</x:v>
      </x:c>
      <x:c r="M349" s="55" t="n">
        <x:v>3023</x:v>
      </x:c>
      <x:c r="N349" s="55" t="n">
        <x:v>2825</x:v>
      </x:c>
      <x:c r="O349" s="55" t="n">
        <x:v>1249</x:v>
      </x:c>
      <x:c r="P349" s="55" t="n">
        <x:v>885</x:v>
      </x:c>
      <x:c r="Q349" s="55" t="n">
        <x:v>3070</x:v>
      </x:c>
      <x:c r="R349" s="55" t="n">
        <x:v>1862</x:v>
      </x:c>
      <x:c r="S349" s="55" t="n">
        <x:v>3276</x:v>
      </x:c>
      <x:c r="T349" s="55" t="n">
        <x:v>1142</x:v>
      </x:c>
      <x:c r="U349" s="55" t="n">
        <x:v>2467</x:v>
      </x:c>
      <x:c r="V349" s="55" t="n">
        <x:v>9947</x:v>
      </x:c>
      <x:c r="W349" s="55" t="n">
        <x:v>6988</x:v>
      </x:c>
      <x:c r="X349" s="55" t="n">
        <x:v>2959</x:v>
      </x:c>
      <x:c r="Y349" s="55" t="n">
        <x:v>2689</x:v>
      </x:c>
      <x:c r="Z349" s="55" t="n">
        <x:v>3363</x:v>
      </x:c>
      <x:c r="AA349" s="55" t="n">
        <x:v>3420</x:v>
      </x:c>
      <x:c r="AB349" s="55" t="n">
        <x:v>1210</x:v>
      </x:c>
      <x:c r="AC349" s="55" t="n">
        <x:v>8299</x:v>
      </x:c>
      <x:c r="AD349" s="55" t="n">
        <x:v>2844</x:v>
      </x:c>
      <x:c r="AE349" s="55" t="n">
        <x:v>10010</x:v>
      </x:c>
      <x:c r="AF349" s="55" t="n">
        <x:v>9947</x:v>
      </x:c>
      <x:c r="AG349" s="55" t="n">
        <x:v>63</x:v>
      </x:c>
      <x:c r="AH349" s="55" t="n">
        <x:v>314</x:v>
      </x:c>
      <x:c r="AI349" s="55" t="n">
        <x:v>9633</x:v>
      </x:c>
      <x:c r="AJ349" s="55" t="n">
        <x:v>222</x:v>
      </x:c>
      <x:c r="AK349" s="55" t="n">
        <x:v>861</x:v>
      </x:c>
      <x:c r="AL349" s="55" t="n">
        <x:v>1320</x:v>
      </x:c>
      <x:c r="AM349" s="55" t="n">
        <x:v>4746</x:v>
      </x:c>
      <x:c r="AN349" s="55" t="n">
        <x:v>2714</x:v>
      </x:c>
      <x:c r="AO349" s="55" t="n">
        <x:v>84</x:v>
      </x:c>
      <x:c r="AP349" s="55" t="n">
        <x:v>2310</x:v>
      </x:c>
      <x:c r="AQ349" s="55" t="n">
        <x:v>955</x:v>
      </x:c>
    </x:row>
    <x:row r="350">
      <x:c r="A350" s="54" t="str">
        <x:v>T0_TABLE_BLOCK</x:v>
      </x:c>
      <x:c r="B350" s="54" t="n">
        <x:v>344</x:v>
      </x:c>
      <x:c r="C350" s="54" t="str">
        <x:v>NYC-V2-R01</x:v>
      </x:c>
      <x:c r="D350" s="54" t="str">
        <x:v>V2</x:v>
      </x:c>
      <x:c r="E350" s="54" t="str">
        <x:v>ADMITTED</x:v>
      </x:c>
      <x:c r="F350" s="55" t="n">
        <x:v>29155</x:v>
      </x:c>
      <x:c r="G350" s="55" t="n">
        <x:v>7210</x:v>
      </x:c>
      <x:c r="H350" s="55" t="n">
        <x:v>3360</x:v>
      </x:c>
      <x:c r="I350" s="55" t="n">
        <x:v>953</x:v>
      </x:c>
      <x:c r="J350" s="55" t="n">
        <x:v>0</x:v>
      </x:c>
      <x:c r="K350" s="55" t="n">
        <x:v>29155</x:v>
      </x:c>
      <x:c r="L350" s="55" t="n">
        <x:v>5429</x:v>
      </x:c>
      <x:c r="M350" s="55" t="n">
        <x:v>830</x:v>
      </x:c>
      <x:c r="N350" s="55" t="n">
        <x:v>2859</x:v>
      </x:c>
      <x:c r="O350" s="55" t="n">
        <x:v>1740</x:v>
      </x:c>
      <x:c r="P350" s="55" t="n">
        <x:v>847</x:v>
      </x:c>
      <x:c r="Q350" s="55" t="n">
        <x:v>2335</x:v>
      </x:c>
      <x:c r="R350" s="55" t="n">
        <x:v>1503</x:v>
      </x:c>
      <x:c r="S350" s="55" t="n">
        <x:v>1788</x:v>
      </x:c>
      <x:c r="T350" s="55" t="n">
        <x:v>1059</x:v>
      </x:c>
      <x:c r="U350" s="55" t="n">
        <x:v>2521</x:v>
      </x:c>
      <x:c r="V350" s="55" t="n">
        <x:v>10174</x:v>
      </x:c>
      <x:c r="W350" s="55" t="n">
        <x:v>7519</x:v>
      </x:c>
      <x:c r="X350" s="55" t="n">
        <x:v>2655</x:v>
      </x:c>
      <x:c r="Y350" s="55" t="n">
        <x:v>2452</x:v>
      </x:c>
      <x:c r="Z350" s="55" t="n">
        <x:v>3608</x:v>
      </x:c>
      <x:c r="AA350" s="55" t="n">
        <x:v>3360</x:v>
      </x:c>
      <x:c r="AB350" s="55" t="n">
        <x:v>1176</x:v>
      </x:c>
      <x:c r="AC350" s="55" t="n">
        <x:v>8642</x:v>
      </x:c>
      <x:c r="AD350" s="55" t="n">
        <x:v>3408</x:v>
      </x:c>
      <x:c r="AE350" s="55" t="n">
        <x:v>10249</x:v>
      </x:c>
      <x:c r="AF350" s="55" t="n">
        <x:v>10174</x:v>
      </x:c>
      <x:c r="AG350" s="55" t="n">
        <x:v>75</x:v>
      </x:c>
      <x:c r="AH350" s="55" t="n">
        <x:v>198</x:v>
      </x:c>
      <x:c r="AI350" s="55" t="n">
        <x:v>9976</x:v>
      </x:c>
      <x:c r="AJ350" s="55" t="n">
        <x:v>302</x:v>
      </x:c>
      <x:c r="AK350" s="55" t="n">
        <x:v>939</x:v>
      </x:c>
      <x:c r="AL350" s="55" t="n">
        <x:v>1416</x:v>
      </x:c>
      <x:c r="AM350" s="55" t="n">
        <x:v>4725</x:v>
      </x:c>
      <x:c r="AN350" s="55" t="n">
        <x:v>2792</x:v>
      </x:c>
      <x:c r="AO350" s="55" t="n">
        <x:v>0</x:v>
      </x:c>
      <x:c r="AP350" s="55" t="n">
        <x:v>2890</x:v>
      </x:c>
      <x:c r="AQ350" s="55" t="n">
        <x:v>937</x:v>
      </x:c>
    </x:row>
    <x:row r="351">
      <x:c r="A351" s="54" t="str">
        <x:v>T0_TABLE_BLOCK</x:v>
      </x:c>
      <x:c r="B351" s="54" t="n">
        <x:v>345</x:v>
      </x:c>
      <x:c r="C351" s="54" t="str">
        <x:v>NYC-V2-R01</x:v>
      </x:c>
      <x:c r="D351" s="54" t="str">
        <x:v>V2</x:v>
      </x:c>
      <x:c r="E351" s="54" t="str">
        <x:v>ADMITTED</x:v>
      </x:c>
      <x:c r="F351" s="55" t="n">
        <x:v>30704</x:v>
      </x:c>
      <x:c r="G351" s="55" t="n">
        <x:v>7629</x:v>
      </x:c>
      <x:c r="H351" s="55" t="n">
        <x:v>3611</x:v>
      </x:c>
      <x:c r="I351" s="55" t="n">
        <x:v>1544</x:v>
      </x:c>
      <x:c r="J351" s="55" t="n">
        <x:v>77</x:v>
      </x:c>
      <x:c r="K351" s="55" t="n">
        <x:v>30704</x:v>
      </x:c>
      <x:c r="L351" s="55" t="n">
        <x:v>6718</x:v>
      </x:c>
      <x:c r="M351" s="55" t="n">
        <x:v>2397</x:v>
      </x:c>
      <x:c r="N351" s="55" t="n">
        <x:v>2802</x:v>
      </x:c>
      <x:c r="O351" s="55" t="n">
        <x:v>1519</x:v>
      </x:c>
      <x:c r="P351" s="55" t="n">
        <x:v>699</x:v>
      </x:c>
      <x:c r="Q351" s="55" t="n">
        <x:v>2330</x:v>
      </x:c>
      <x:c r="R351" s="55" t="n">
        <x:v>1826</x:v>
      </x:c>
      <x:c r="S351" s="55" t="n">
        <x:v>2821</x:v>
      </x:c>
      <x:c r="T351" s="55" t="n">
        <x:v>1420</x:v>
      </x:c>
      <x:c r="U351" s="55" t="n">
        <x:v>2117</x:v>
      </x:c>
      <x:c r="V351" s="55" t="n">
        <x:v>10818</x:v>
      </x:c>
      <x:c r="W351" s="55" t="n">
        <x:v>7348</x:v>
      </x:c>
      <x:c r="X351" s="55" t="n">
        <x:v>3470</x:v>
      </x:c>
      <x:c r="Y351" s="55" t="n">
        <x:v>3040</x:v>
      </x:c>
      <x:c r="Z351" s="55" t="n">
        <x:v>3745</x:v>
      </x:c>
      <x:c r="AA351" s="55" t="n">
        <x:v>3324</x:v>
      </x:c>
      <x:c r="AB351" s="55" t="n">
        <x:v>723</x:v>
      </x:c>
      <x:c r="AC351" s="55" t="n">
        <x:v>7981</x:v>
      </x:c>
      <x:c r="AD351" s="55" t="n">
        <x:v>2944</x:v>
      </x:c>
      <x:c r="AE351" s="55" t="n">
        <x:v>10939</x:v>
      </x:c>
      <x:c r="AF351" s="55" t="n">
        <x:v>10818</x:v>
      </x:c>
      <x:c r="AG351" s="55" t="n">
        <x:v>121</x:v>
      </x:c>
      <x:c r="AH351" s="55" t="n">
        <x:v>685</x:v>
      </x:c>
      <x:c r="AI351" s="55" t="n">
        <x:v>10133</x:v>
      </x:c>
      <x:c r="AJ351" s="55" t="n">
        <x:v>426</x:v>
      </x:c>
      <x:c r="AK351" s="55" t="n">
        <x:v>680</x:v>
      </x:c>
      <x:c r="AL351" s="55" t="n">
        <x:v>1979</x:v>
      </x:c>
      <x:c r="AM351" s="55" t="n">
        <x:v>4665</x:v>
      </x:c>
      <x:c r="AN351" s="55" t="n">
        <x:v>3068</x:v>
      </x:c>
      <x:c r="AO351" s="55" t="n">
        <x:v>0</x:v>
      </x:c>
      <x:c r="AP351" s="55" t="n">
        <x:v>2644</x:v>
      </x:c>
      <x:c r="AQ351" s="55" t="n">
        <x:v>978</x:v>
      </x:c>
    </x:row>
    <x:row r="352">
      <x:c r="A352" s="54" t="str">
        <x:v>T0_TABLE_BLOCK</x:v>
      </x:c>
      <x:c r="B352" s="54" t="n">
        <x:v>346</x:v>
      </x:c>
      <x:c r="C352" s="54" t="str">
        <x:v>NYC-V2-R01</x:v>
      </x:c>
      <x:c r="D352" s="54" t="str">
        <x:v>V2</x:v>
      </x:c>
      <x:c r="E352" s="54" t="str">
        <x:v>ADMITTED</x:v>
      </x:c>
      <x:c r="F352" s="55" t="n">
        <x:v>32761</x:v>
      </x:c>
      <x:c r="G352" s="55" t="n">
        <x:v>8691</x:v>
      </x:c>
      <x:c r="H352" s="55" t="n">
        <x:v>2960</x:v>
      </x:c>
      <x:c r="I352" s="55" t="n">
        <x:v>994</x:v>
      </x:c>
      <x:c r="J352" s="55" t="n">
        <x:v>159</x:v>
      </x:c>
      <x:c r="K352" s="55" t="n">
        <x:v>31090</x:v>
      </x:c>
      <x:c r="L352" s="55" t="n">
        <x:v>5679</x:v>
      </x:c>
      <x:c r="M352" s="55" t="n">
        <x:v>821</x:v>
      </x:c>
      <x:c r="N352" s="55" t="n">
        <x:v>3288</x:v>
      </x:c>
      <x:c r="O352" s="55" t="n">
        <x:v>1570</x:v>
      </x:c>
      <x:c r="P352" s="55" t="n">
        <x:v>694</x:v>
      </x:c>
      <x:c r="Q352" s="55" t="n">
        <x:v>2748</x:v>
      </x:c>
      <x:c r="R352" s="55" t="n">
        <x:v>2032</x:v>
      </x:c>
      <x:c r="S352" s="55" t="n">
        <x:v>2529</x:v>
      </x:c>
      <x:c r="T352" s="55" t="n">
        <x:v>1200</x:v>
      </x:c>
      <x:c r="U352" s="55" t="n">
        <x:v>2166</x:v>
      </x:c>
      <x:c r="V352" s="55" t="n">
        <x:v>11272</x:v>
      </x:c>
      <x:c r="W352" s="55" t="n">
        <x:v>8465</x:v>
      </x:c>
      <x:c r="X352" s="55" t="n">
        <x:v>2807</x:v>
      </x:c>
      <x:c r="Y352" s="55" t="n">
        <x:v>2520</x:v>
      </x:c>
      <x:c r="Z352" s="55" t="n">
        <x:v>3039</x:v>
      </x:c>
      <x:c r="AA352" s="55" t="n">
        <x:v>2464</x:v>
      </x:c>
      <x:c r="AB352" s="55" t="n">
        <x:v>883</x:v>
      </x:c>
      <x:c r="AC352" s="55" t="n">
        <x:v>8550</x:v>
      </x:c>
      <x:c r="AD352" s="55" t="n">
        <x:v>2860</x:v>
      </x:c>
      <x:c r="AE352" s="55" t="n">
        <x:v>11406</x:v>
      </x:c>
      <x:c r="AF352" s="55" t="n">
        <x:v>11272</x:v>
      </x:c>
      <x:c r="AG352" s="55" t="n">
        <x:v>134</x:v>
      </x:c>
      <x:c r="AH352" s="55" t="n">
        <x:v>426</x:v>
      </x:c>
      <x:c r="AI352" s="55" t="n">
        <x:v>10846</x:v>
      </x:c>
      <x:c r="AJ352" s="55" t="n">
        <x:v>390</x:v>
      </x:c>
      <x:c r="AK352" s="55" t="n">
        <x:v>989</x:v>
      </x:c>
      <x:c r="AL352" s="55" t="n">
        <x:v>1707</x:v>
      </x:c>
      <x:c r="AM352" s="55" t="n">
        <x:v>4961</x:v>
      </x:c>
      <x:c r="AN352" s="55" t="n">
        <x:v>3225</x:v>
      </x:c>
      <x:c r="AO352" s="55" t="n">
        <x:v>0</x:v>
      </x:c>
      <x:c r="AP352" s="55" t="n">
        <x:v>2685</x:v>
      </x:c>
      <x:c r="AQ352" s="55" t="n">
        <x:v>958</x:v>
      </x:c>
    </x:row>
    <x:row r="353">
      <x:c r="A353" s="54" t="str">
        <x:v>T0_TABLE_BLOCK</x:v>
      </x:c>
      <x:c r="B353" s="54" t="n">
        <x:v>347</x:v>
      </x:c>
      <x:c r="C353" s="54" t="str">
        <x:v>NYC-V2-R01</x:v>
      </x:c>
      <x:c r="D353" s="54" t="str">
        <x:v>V2</x:v>
      </x:c>
      <x:c r="E353" s="54" t="str">
        <x:v>ADMITTED</x:v>
      </x:c>
      <x:c r="F353" s="55" t="n">
        <x:v>31141</x:v>
      </x:c>
      <x:c r="G353" s="55" t="n">
        <x:v>7775</x:v>
      </x:c>
      <x:c r="H353" s="55" t="n">
        <x:v>3595</x:v>
      </x:c>
      <x:c r="I353" s="55" t="n">
        <x:v>1723</x:v>
      </x:c>
      <x:c r="J353" s="55" t="n">
        <x:v>470</x:v>
      </x:c>
      <x:c r="K353" s="55" t="n">
        <x:v>29276</x:v>
      </x:c>
      <x:c r="L353" s="55" t="n">
        <x:v>6181</x:v>
      </x:c>
      <x:c r="M353" s="55" t="n">
        <x:v>1785</x:v>
      </x:c>
      <x:c r="N353" s="55" t="n">
        <x:v>2533</x:v>
      </x:c>
      <x:c r="O353" s="55" t="n">
        <x:v>1863</x:v>
      </x:c>
      <x:c r="P353" s="55" t="n">
        <x:v>765</x:v>
      </x:c>
      <x:c r="Q353" s="55" t="n">
        <x:v>3057</x:v>
      </x:c>
      <x:c r="R353" s="55" t="n">
        <x:v>1935</x:v>
      </x:c>
      <x:c r="S353" s="55" t="n">
        <x:v>2493</x:v>
      </x:c>
      <x:c r="T353" s="55" t="n">
        <x:v>1041</x:v>
      </x:c>
      <x:c r="U353" s="55" t="n">
        <x:v>1954</x:v>
      </x:c>
      <x:c r="V353" s="55" t="n">
        <x:v>10547</x:v>
      </x:c>
      <x:c r="W353" s="55" t="n">
        <x:v>7517</x:v>
      </x:c>
      <x:c r="X353" s="55" t="n">
        <x:v>3030</x:v>
      </x:c>
      <x:c r="Y353" s="55" t="n">
        <x:v>2705</x:v>
      </x:c>
      <x:c r="Z353" s="55" t="n">
        <x:v>3593</x:v>
      </x:c>
      <x:c r="AA353" s="55" t="n">
        <x:v>2425</x:v>
      </x:c>
      <x:c r="AB353" s="55" t="n">
        <x:v>910</x:v>
      </x:c>
      <x:c r="AC353" s="55" t="n">
        <x:v>8041</x:v>
      </x:c>
      <x:c r="AD353" s="55" t="n">
        <x:v>2835</x:v>
      </x:c>
      <x:c r="AE353" s="55" t="n">
        <x:v>10617</x:v>
      </x:c>
      <x:c r="AF353" s="55" t="n">
        <x:v>10547</x:v>
      </x:c>
      <x:c r="AG353" s="55" t="n">
        <x:v>70</x:v>
      </x:c>
      <x:c r="AH353" s="55" t="n">
        <x:v>506</x:v>
      </x:c>
      <x:c r="AI353" s="55" t="n">
        <x:v>10041</x:v>
      </x:c>
      <x:c r="AJ353" s="55" t="n">
        <x:v>469</x:v>
      </x:c>
      <x:c r="AK353" s="55" t="n">
        <x:v>826</x:v>
      </x:c>
      <x:c r="AL353" s="55" t="n">
        <x:v>1957</x:v>
      </x:c>
      <x:c r="AM353" s="55" t="n">
        <x:v>4615</x:v>
      </x:c>
      <x:c r="AN353" s="55" t="n">
        <x:v>2680</x:v>
      </x:c>
      <x:c r="AO353" s="55" t="n">
        <x:v>0</x:v>
      </x:c>
      <x:c r="AP353" s="55" t="n">
        <x:v>2266</x:v>
      </x:c>
      <x:c r="AQ353" s="55" t="n">
        <x:v>941</x:v>
      </x:c>
    </x:row>
    <x:row r="354">
      <x:c r="A354" s="54" t="str">
        <x:v>T0_TABLE_BLOCK</x:v>
      </x:c>
      <x:c r="B354" s="54" t="n">
        <x:v>348</x:v>
      </x:c>
      <x:c r="C354" s="54" t="str">
        <x:v>NYC-V2-R01</x:v>
      </x:c>
      <x:c r="D354" s="54" t="str">
        <x:v>V2</x:v>
      </x:c>
      <x:c r="E354" s="54" t="str">
        <x:v>ADMITTED</x:v>
      </x:c>
      <x:c r="F354" s="55" t="n">
        <x:v>31183</x:v>
      </x:c>
      <x:c r="G354" s="55" t="n">
        <x:v>7168</x:v>
      </x:c>
      <x:c r="H354" s="55" t="n">
        <x:v>3220</x:v>
      </x:c>
      <x:c r="I354" s="55" t="n">
        <x:v>1302</x:v>
      </x:c>
      <x:c r="J354" s="55" t="n">
        <x:v>241</x:v>
      </x:c>
      <x:c r="K354" s="55" t="n">
        <x:v>31183</x:v>
      </x:c>
      <x:c r="L354" s="55" t="n">
        <x:v>6488</x:v>
      </x:c>
      <x:c r="M354" s="55" t="n">
        <x:v>1709</x:v>
      </x:c>
      <x:c r="N354" s="55" t="n">
        <x:v>3126</x:v>
      </x:c>
      <x:c r="O354" s="55" t="n">
        <x:v>1653</x:v>
      </x:c>
      <x:c r="P354" s="55" t="n">
        <x:v>686</x:v>
      </x:c>
      <x:c r="Q354" s="55" t="n">
        <x:v>2951</x:v>
      </x:c>
      <x:c r="R354" s="55" t="n">
        <x:v>1805</x:v>
      </x:c>
      <x:c r="S354" s="55" t="n">
        <x:v>2809</x:v>
      </x:c>
      <x:c r="T354" s="55" t="n">
        <x:v>1242</x:v>
      </x:c>
      <x:c r="U354" s="55" t="n">
        <x:v>1846</x:v>
      </x:c>
      <x:c r="V354" s="55" t="n">
        <x:v>11486</x:v>
      </x:c>
      <x:c r="W354" s="55" t="n">
        <x:v>8405</x:v>
      </x:c>
      <x:c r="X354" s="55" t="n">
        <x:v>3081</x:v>
      </x:c>
      <x:c r="Y354" s="55" t="n">
        <x:v>2842</x:v>
      </x:c>
      <x:c r="Z354" s="55" t="n">
        <x:v>3981</x:v>
      </x:c>
      <x:c r="AA354" s="55" t="n">
        <x:v>2653</x:v>
      </x:c>
      <x:c r="AB354" s="55" t="n">
        <x:v>1114</x:v>
      </x:c>
      <x:c r="AC354" s="55" t="n">
        <x:v>8162</x:v>
      </x:c>
      <x:c r="AD354" s="55" t="n">
        <x:v>2750</x:v>
      </x:c>
      <x:c r="AE354" s="55" t="n">
        <x:v>11549</x:v>
      </x:c>
      <x:c r="AF354" s="55" t="n">
        <x:v>11486</x:v>
      </x:c>
      <x:c r="AG354" s="55" t="n">
        <x:v>63</x:v>
      </x:c>
      <x:c r="AH354" s="55" t="n">
        <x:v>497</x:v>
      </x:c>
      <x:c r="AI354" s="55" t="n">
        <x:v>10989</x:v>
      </x:c>
      <x:c r="AJ354" s="55" t="n">
        <x:v>573</x:v>
      </x:c>
      <x:c r="AK354" s="55" t="n">
        <x:v>1024</x:v>
      </x:c>
      <x:c r="AL354" s="55" t="n">
        <x:v>1812</x:v>
      </x:c>
      <x:c r="AM354" s="55" t="n">
        <x:v>5531</x:v>
      </x:c>
      <x:c r="AN354" s="55" t="n">
        <x:v>2544</x:v>
      </x:c>
      <x:c r="AO354" s="55" t="n">
        <x:v>2</x:v>
      </x:c>
      <x:c r="AP354" s="55" t="n">
        <x:v>2161</x:v>
      </x:c>
      <x:c r="AQ354" s="55" t="n">
        <x:v>974</x:v>
      </x:c>
    </x:row>
    <x:row r="355">
      <x:c r="A355" s="54" t="str">
        <x:v>T0_TABLE_BLOCK</x:v>
      </x:c>
      <x:c r="B355" s="54" t="n">
        <x:v>349</x:v>
      </x:c>
      <x:c r="C355" s="54" t="str">
        <x:v>NYC-V2-R01</x:v>
      </x:c>
      <x:c r="D355" s="54" t="str">
        <x:v>V2</x:v>
      </x:c>
      <x:c r="E355" s="54" t="str">
        <x:v>ADMITTED</x:v>
      </x:c>
      <x:c r="F355" s="55" t="n">
        <x:v>28729</x:v>
      </x:c>
      <x:c r="G355" s="55" t="n">
        <x:v>6595</x:v>
      </x:c>
      <x:c r="H355" s="55" t="n">
        <x:v>3395</x:v>
      </x:c>
      <x:c r="I355" s="55" t="n">
        <x:v>1009</x:v>
      </x:c>
      <x:c r="J355" s="55" t="n">
        <x:v>329</x:v>
      </x:c>
      <x:c r="K355" s="55" t="n">
        <x:v>28729</x:v>
      </x:c>
      <x:c r="L355" s="55" t="n">
        <x:v>5940</x:v>
      </x:c>
      <x:c r="M355" s="55" t="n">
        <x:v>1653</x:v>
      </x:c>
      <x:c r="N355" s="55" t="n">
        <x:v>2334</x:v>
      </x:c>
      <x:c r="O355" s="55" t="n">
        <x:v>1953</x:v>
      </x:c>
      <x:c r="P355" s="55" t="n">
        <x:v>806</x:v>
      </x:c>
      <x:c r="Q355" s="55" t="n">
        <x:v>2842</x:v>
      </x:c>
      <x:c r="R355" s="55" t="n">
        <x:v>2404</x:v>
      </x:c>
      <x:c r="S355" s="55" t="n">
        <x:v>2271</x:v>
      </x:c>
      <x:c r="T355" s="55" t="n">
        <x:v>983</x:v>
      </x:c>
      <x:c r="U355" s="55" t="n">
        <x:v>2846</x:v>
      </x:c>
      <x:c r="V355" s="55" t="n">
        <x:v>9603</x:v>
      </x:c>
      <x:c r="W355" s="55" t="n">
        <x:v>6591</x:v>
      </x:c>
      <x:c r="X355" s="55" t="n">
        <x:v>3012</x:v>
      </x:c>
      <x:c r="Y355" s="55" t="n">
        <x:v>2617</x:v>
      </x:c>
      <x:c r="Z355" s="55" t="n">
        <x:v>4197</x:v>
      </x:c>
      <x:c r="AA355" s="55" t="n">
        <x:v>3395</x:v>
      </x:c>
      <x:c r="AB355" s="55" t="n">
        <x:v>1258</x:v>
      </x:c>
      <x:c r="AC355" s="55" t="n">
        <x:v>7662</x:v>
      </x:c>
      <x:c r="AD355" s="55" t="n">
        <x:v>3192</x:v>
      </x:c>
      <x:c r="AE355" s="55" t="n">
        <x:v>9646</x:v>
      </x:c>
      <x:c r="AF355" s="55" t="n">
        <x:v>9603</x:v>
      </x:c>
      <x:c r="AG355" s="55" t="n">
        <x:v>43</x:v>
      </x:c>
      <x:c r="AH355" s="55" t="n">
        <x:v>370</x:v>
      </x:c>
      <x:c r="AI355" s="55" t="n">
        <x:v>9233</x:v>
      </x:c>
      <x:c r="AJ355" s="55" t="n">
        <x:v>192</x:v>
      </x:c>
      <x:c r="AK355" s="55" t="n">
        <x:v>1056</x:v>
      </x:c>
      <x:c r="AL355" s="55" t="n">
        <x:v>1812</x:v>
      </x:c>
      <x:c r="AM355" s="55" t="n">
        <x:v>4658</x:v>
      </x:c>
      <x:c r="AN355" s="55" t="n">
        <x:v>1885</x:v>
      </x:c>
      <x:c r="AO355" s="55" t="n">
        <x:v>0</x:v>
      </x:c>
      <x:c r="AP355" s="55" t="n">
        <x:v>2654</x:v>
      </x:c>
      <x:c r="AQ355" s="55" t="n">
        <x:v>914</x:v>
      </x:c>
    </x:row>
    <x:row r="356">
      <x:c r="A356" s="54" t="str">
        <x:v>T0_TABLE_BLOCK</x:v>
      </x:c>
      <x:c r="B356" s="54" t="n">
        <x:v>350</x:v>
      </x:c>
      <x:c r="C356" s="54" t="str">
        <x:v>NYC-V2-R01</x:v>
      </x:c>
      <x:c r="D356" s="54" t="str">
        <x:v>V2</x:v>
      </x:c>
      <x:c r="E356" s="54" t="str">
        <x:v>ADMITTED</x:v>
      </x:c>
      <x:c r="F356" s="55" t="n">
        <x:v>31948</x:v>
      </x:c>
      <x:c r="G356" s="55" t="n">
        <x:v>7704</x:v>
      </x:c>
      <x:c r="H356" s="55" t="n">
        <x:v>3076</x:v>
      </x:c>
      <x:c r="I356" s="55" t="n">
        <x:v>1144</x:v>
      </x:c>
      <x:c r="J356" s="55" t="n">
        <x:v>95</x:v>
      </x:c>
      <x:c r="K356" s="55" t="n">
        <x:v>30228</x:v>
      </x:c>
      <x:c r="L356" s="55" t="n">
        <x:v>4587</x:v>
      </x:c>
      <x:c r="M356" s="55" t="n">
        <x:v>0</x:v>
      </x:c>
      <x:c r="N356" s="55" t="n">
        <x:v>3039</x:v>
      </x:c>
      <x:c r="O356" s="55" t="n">
        <x:v>1548</x:v>
      </x:c>
      <x:c r="P356" s="55" t="n">
        <x:v>737</x:v>
      </x:c>
      <x:c r="Q356" s="55" t="n">
        <x:v>2781</x:v>
      </x:c>
      <x:c r="R356" s="55" t="n">
        <x:v>1916</x:v>
      </x:c>
      <x:c r="S356" s="55" t="n">
        <x:v>2435</x:v>
      </x:c>
      <x:c r="T356" s="55" t="n">
        <x:v>1602</x:v>
      </x:c>
      <x:c r="U356" s="55" t="n">
        <x:v>2561</x:v>
      </x:c>
      <x:c r="V356" s="55" t="n">
        <x:v>10803</x:v>
      </x:c>
      <x:c r="W356" s="55" t="n">
        <x:v>7773</x:v>
      </x:c>
      <x:c r="X356" s="55" t="n">
        <x:v>3030</x:v>
      </x:c>
      <x:c r="Y356" s="55" t="n">
        <x:v>2598</x:v>
      </x:c>
      <x:c r="Z356" s="55" t="n">
        <x:v>4204</x:v>
      </x:c>
      <x:c r="AA356" s="55" t="n">
        <x:v>2779</x:v>
      </x:c>
      <x:c r="AB356" s="55" t="n">
        <x:v>1113</x:v>
      </x:c>
      <x:c r="AC356" s="55" t="n">
        <x:v>7868</x:v>
      </x:c>
      <x:c r="AD356" s="55" t="n">
        <x:v>3197</x:v>
      </x:c>
      <x:c r="AE356" s="55" t="n">
        <x:v>10901</x:v>
      </x:c>
      <x:c r="AF356" s="55" t="n">
        <x:v>10803</x:v>
      </x:c>
      <x:c r="AG356" s="55" t="n">
        <x:v>98</x:v>
      </x:c>
      <x:c r="AH356" s="55" t="n">
        <x:v>343</x:v>
      </x:c>
      <x:c r="AI356" s="55" t="n">
        <x:v>10460</x:v>
      </x:c>
      <x:c r="AJ356" s="55" t="n">
        <x:v>451</x:v>
      </x:c>
      <x:c r="AK356" s="55" t="n">
        <x:v>1004</x:v>
      </x:c>
      <x:c r="AL356" s="55" t="n">
        <x:v>1758</x:v>
      </x:c>
      <x:c r="AM356" s="55" t="n">
        <x:v>4890</x:v>
      </x:c>
      <x:c r="AN356" s="55" t="n">
        <x:v>2617</x:v>
      </x:c>
      <x:c r="AO356" s="55" t="n">
        <x:v>83</x:v>
      </x:c>
      <x:c r="AP356" s="55" t="n">
        <x:v>2112</x:v>
      </x:c>
      <x:c r="AQ356" s="55" t="n">
        <x:v>937</x:v>
      </x:c>
    </x:row>
    <x:row r="357">
      <x:c r="A357" s="54" t="str">
        <x:v>T0_TABLE_BLOCK</x:v>
      </x:c>
      <x:c r="B357" s="54" t="n">
        <x:v>351</x:v>
      </x:c>
      <x:c r="C357" s="54" t="str">
        <x:v>NYC-V2-R01</x:v>
      </x:c>
      <x:c r="D357" s="54" t="str">
        <x:v>V2</x:v>
      </x:c>
      <x:c r="E357" s="54" t="str">
        <x:v>ADMITTED</x:v>
      </x:c>
      <x:c r="F357" s="55" t="n">
        <x:v>32870</x:v>
      </x:c>
      <x:c r="G357" s="55" t="n">
        <x:v>8568</x:v>
      </x:c>
      <x:c r="H357" s="55" t="n">
        <x:v>3315</x:v>
      </x:c>
      <x:c r="I357" s="55" t="n">
        <x:v>1087</x:v>
      </x:c>
      <x:c r="J357" s="55" t="n">
        <x:v>231</x:v>
      </x:c>
      <x:c r="K357" s="55" t="n">
        <x:v>28663</x:v>
      </x:c>
      <x:c r="L357" s="55" t="n">
        <x:v>5426</x:v>
      </x:c>
      <x:c r="M357" s="55" t="n">
        <x:v>977</x:v>
      </x:c>
      <x:c r="N357" s="55" t="n">
        <x:v>2680</x:v>
      </x:c>
      <x:c r="O357" s="55" t="n">
        <x:v>1769</x:v>
      </x:c>
      <x:c r="P357" s="55" t="n">
        <x:v>667</x:v>
      </x:c>
      <x:c r="Q357" s="55" t="n">
        <x:v>2388</x:v>
      </x:c>
      <x:c r="R357" s="55" t="n">
        <x:v>1309</x:v>
      </x:c>
      <x:c r="S357" s="55" t="n">
        <x:v>3233</x:v>
      </x:c>
      <x:c r="T357" s="55" t="n">
        <x:v>1356</x:v>
      </x:c>
      <x:c r="U357" s="55" t="n">
        <x:v>2158</x:v>
      </x:c>
      <x:c r="V357" s="55" t="n">
        <x:v>10614</x:v>
      </x:c>
      <x:c r="W357" s="55" t="n">
        <x:v>7774</x:v>
      </x:c>
      <x:c r="X357" s="55" t="n">
        <x:v>2840</x:v>
      </x:c>
      <x:c r="Y357" s="55" t="n">
        <x:v>2300</x:v>
      </x:c>
      <x:c r="Z357" s="55" t="n">
        <x:v>4137</x:v>
      </x:c>
      <x:c r="AA357" s="55" t="n">
        <x:v>3315</x:v>
      </x:c>
      <x:c r="AB357" s="55" t="n">
        <x:v>990</x:v>
      </x:c>
      <x:c r="AC357" s="55" t="n">
        <x:v>8120</x:v>
      </x:c>
      <x:c r="AD357" s="55" t="n">
        <x:v>2227</x:v>
      </x:c>
      <x:c r="AE357" s="55" t="n">
        <x:v>10739</x:v>
      </x:c>
      <x:c r="AF357" s="55" t="n">
        <x:v>10614</x:v>
      </x:c>
      <x:c r="AG357" s="55" t="n">
        <x:v>125</x:v>
      </x:c>
      <x:c r="AH357" s="55" t="n">
        <x:v>206</x:v>
      </x:c>
      <x:c r="AI357" s="55" t="n">
        <x:v>10408</x:v>
      </x:c>
      <x:c r="AJ357" s="55" t="n">
        <x:v>216</x:v>
      </x:c>
      <x:c r="AK357" s="55" t="n">
        <x:v>1323</x:v>
      </x:c>
      <x:c r="AL357" s="55" t="n">
        <x:v>1674</x:v>
      </x:c>
      <x:c r="AM357" s="55" t="n">
        <x:v>5056</x:v>
      </x:c>
      <x:c r="AN357" s="55" t="n">
        <x:v>2345</x:v>
      </x:c>
      <x:c r="AO357" s="55" t="n">
        <x:v>0</x:v>
      </x:c>
      <x:c r="AP357" s="55" t="n">
        <x:v>2289</x:v>
      </x:c>
      <x:c r="AQ357" s="55" t="n">
        <x:v>1011</x:v>
      </x:c>
    </x:row>
    <x:row r="358">
      <x:c r="A358" s="54" t="str">
        <x:v>T0_TABLE_BLOCK</x:v>
      </x:c>
      <x:c r="B358" s="54" t="n">
        <x:v>352</x:v>
      </x:c>
      <x:c r="C358" s="54" t="str">
        <x:v>NYC-V2-R01</x:v>
      </x:c>
      <x:c r="D358" s="54" t="str">
        <x:v>V2</x:v>
      </x:c>
      <x:c r="E358" s="54" t="str">
        <x:v>ADMITTED</x:v>
      </x:c>
      <x:c r="F358" s="55" t="n">
        <x:v>32919</x:v>
      </x:c>
      <x:c r="G358" s="55" t="n">
        <x:v>9204</x:v>
      </x:c>
      <x:c r="H358" s="55" t="n">
        <x:v>3304</x:v>
      </x:c>
      <x:c r="I358" s="55" t="n">
        <x:v>849</x:v>
      </x:c>
      <x:c r="J358" s="55" t="n">
        <x:v>221</x:v>
      </x:c>
      <x:c r="K358" s="55" t="n">
        <x:v>27122</x:v>
      </x:c>
      <x:c r="L358" s="55" t="n">
        <x:v>4702</x:v>
      </x:c>
      <x:c r="M358" s="55" t="n">
        <x:v>845</x:v>
      </x:c>
      <x:c r="N358" s="55" t="n">
        <x:v>1957</x:v>
      </x:c>
      <x:c r="O358" s="55" t="n">
        <x:v>1900</x:v>
      </x:c>
      <x:c r="P358" s="55" t="n">
        <x:v>709</x:v>
      </x:c>
      <x:c r="Q358" s="55" t="n">
        <x:v>2632</x:v>
      </x:c>
      <x:c r="R358" s="55" t="n">
        <x:v>1690</x:v>
      </x:c>
      <x:c r="S358" s="55" t="n">
        <x:v>2473</x:v>
      </x:c>
      <x:c r="T358" s="55" t="n">
        <x:v>785</x:v>
      </x:c>
      <x:c r="U358" s="55" t="n">
        <x:v>2216</x:v>
      </x:c>
      <x:c r="V358" s="55" t="n">
        <x:v>9595</x:v>
      </x:c>
      <x:c r="W358" s="55" t="n">
        <x:v>6828</x:v>
      </x:c>
      <x:c r="X358" s="55" t="n">
        <x:v>2767</x:v>
      </x:c>
      <x:c r="Y358" s="55" t="n">
        <x:v>2277</x:v>
      </x:c>
      <x:c r="Z358" s="55" t="n">
        <x:v>3276</x:v>
      </x:c>
      <x:c r="AA358" s="55" t="n">
        <x:v>2939</x:v>
      </x:c>
      <x:c r="AB358" s="55" t="n">
        <x:v>1055</x:v>
      </x:c>
      <x:c r="AC358" s="55" t="n">
        <x:v>8026</x:v>
      </x:c>
      <x:c r="AD358" s="55" t="n">
        <x:v>3083</x:v>
      </x:c>
      <x:c r="AE358" s="55" t="n">
        <x:v>9760</x:v>
      </x:c>
      <x:c r="AF358" s="55" t="n">
        <x:v>9595</x:v>
      </x:c>
      <x:c r="AG358" s="55" t="n">
        <x:v>165</x:v>
      </x:c>
      <x:c r="AH358" s="55" t="n">
        <x:v>481</x:v>
      </x:c>
      <x:c r="AI358" s="55" t="n">
        <x:v>9114</x:v>
      </x:c>
      <x:c r="AJ358" s="55" t="n">
        <x:v>351</x:v>
      </x:c>
      <x:c r="AK358" s="55" t="n">
        <x:v>935</x:v>
      </x:c>
      <x:c r="AL358" s="55" t="n">
        <x:v>1438</x:v>
      </x:c>
      <x:c r="AM358" s="55" t="n">
        <x:v>4252</x:v>
      </x:c>
      <x:c r="AN358" s="55" t="n">
        <x:v>2599</x:v>
      </x:c>
      <x:c r="AO358" s="55" t="n">
        <x:v>20</x:v>
      </x:c>
      <x:c r="AP358" s="55" t="n">
        <x:v>2361</x:v>
      </x:c>
      <x:c r="AQ358" s="55" t="n">
        <x:v>951</x:v>
      </x:c>
    </x:row>
    <x:row r="359">
      <x:c r="A359" s="54" t="str">
        <x:v>T0_TABLE_BLOCK</x:v>
      </x:c>
      <x:c r="B359" s="54" t="n">
        <x:v>353</x:v>
      </x:c>
      <x:c r="C359" s="54" t="str">
        <x:v>NYC-V2-R01</x:v>
      </x:c>
      <x:c r="D359" s="54" t="str">
        <x:v>V2</x:v>
      </x:c>
      <x:c r="E359" s="54" t="str">
        <x:v>ADMITTED</x:v>
      </x:c>
      <x:c r="F359" s="55" t="n">
        <x:v>31265</x:v>
      </x:c>
      <x:c r="G359" s="55" t="n">
        <x:v>6232</x:v>
      </x:c>
      <x:c r="H359" s="55" t="n">
        <x:v>3534</x:v>
      </x:c>
      <x:c r="I359" s="55" t="n">
        <x:v>1436</x:v>
      </x:c>
      <x:c r="J359" s="55" t="n">
        <x:v>230</x:v>
      </x:c>
      <x:c r="K359" s="55" t="n">
        <x:v>31265</x:v>
      </x:c>
      <x:c r="L359" s="55" t="n">
        <x:v>5557</x:v>
      </x:c>
      <x:c r="M359" s="55" t="n">
        <x:v>1433</x:v>
      </x:c>
      <x:c r="N359" s="55" t="n">
        <x:v>2211</x:v>
      </x:c>
      <x:c r="O359" s="55" t="n">
        <x:v>1913</x:v>
      </x:c>
      <x:c r="P359" s="55" t="n">
        <x:v>444</x:v>
      </x:c>
      <x:c r="Q359" s="55" t="n">
        <x:v>2952</x:v>
      </x:c>
      <x:c r="R359" s="55" t="n">
        <x:v>1929</x:v>
      </x:c>
      <x:c r="S359" s="55" t="n">
        <x:v>3460</x:v>
      </x:c>
      <x:c r="T359" s="55" t="n">
        <x:v>1399</x:v>
      </x:c>
      <x:c r="U359" s="55" t="n">
        <x:v>1477</x:v>
      </x:c>
      <x:c r="V359" s="55" t="n">
        <x:v>9983</x:v>
      </x:c>
      <x:c r="W359" s="55" t="n">
        <x:v>7402</x:v>
      </x:c>
      <x:c r="X359" s="55" t="n">
        <x:v>2581</x:v>
      </x:c>
      <x:c r="Y359" s="55" t="n">
        <x:v>2158</x:v>
      </x:c>
      <x:c r="Z359" s="55" t="n">
        <x:v>3477</x:v>
      </x:c>
      <x:c r="AA359" s="55" t="n">
        <x:v>3534</x:v>
      </x:c>
      <x:c r="AB359" s="55" t="n">
        <x:v>1562</x:v>
      </x:c>
      <x:c r="AC359" s="55" t="n">
        <x:v>8058</x:v>
      </x:c>
      <x:c r="AD359" s="55" t="n">
        <x:v>3008</x:v>
      </x:c>
      <x:c r="AE359" s="55" t="n">
        <x:v>10058</x:v>
      </x:c>
      <x:c r="AF359" s="55" t="n">
        <x:v>9983</x:v>
      </x:c>
      <x:c r="AG359" s="55" t="n">
        <x:v>75</x:v>
      </x:c>
      <x:c r="AH359" s="55" t="n">
        <x:v>413</x:v>
      </x:c>
      <x:c r="AI359" s="55" t="n">
        <x:v>9570</x:v>
      </x:c>
      <x:c r="AJ359" s="55" t="n">
        <x:v>241</x:v>
      </x:c>
      <x:c r="AK359" s="55" t="n">
        <x:v>822</x:v>
      </x:c>
      <x:c r="AL359" s="55" t="n">
        <x:v>1289</x:v>
      </x:c>
      <x:c r="AM359" s="55" t="n">
        <x:v>5092</x:v>
      </x:c>
      <x:c r="AN359" s="55" t="n">
        <x:v>2539</x:v>
      </x:c>
      <x:c r="AO359" s="55" t="n">
        <x:v>0</x:v>
      </x:c>
      <x:c r="AP359" s="55" t="n">
        <x:v>1969</x:v>
      </x:c>
      <x:c r="AQ359" s="55" t="n">
        <x:v>943</x:v>
      </x:c>
    </x:row>
    <x:row r="360">
      <x:c r="A360" s="54" t="str">
        <x:v>T0_TABLE_BLOCK</x:v>
      </x:c>
      <x:c r="B360" s="54" t="n">
        <x:v>354</x:v>
      </x:c>
      <x:c r="C360" s="54" t="str">
        <x:v>NYC-V2-R01</x:v>
      </x:c>
      <x:c r="D360" s="54" t="str">
        <x:v>V2</x:v>
      </x:c>
      <x:c r="E360" s="54" t="str">
        <x:v>ADMITTED</x:v>
      </x:c>
      <x:c r="F360" s="55" t="n">
        <x:v>33133</x:v>
      </x:c>
      <x:c r="G360" s="55" t="n">
        <x:v>8934</x:v>
      </x:c>
      <x:c r="H360" s="55" t="n">
        <x:v>3328</x:v>
      </x:c>
      <x:c r="I360" s="55" t="n">
        <x:v>1758</x:v>
      </x:c>
      <x:c r="J360" s="55" t="n">
        <x:v>209</x:v>
      </x:c>
      <x:c r="K360" s="55" t="n">
        <x:v>28213</x:v>
      </x:c>
      <x:c r="L360" s="55" t="n">
        <x:v>3962</x:v>
      </x:c>
      <x:c r="M360" s="55" t="n">
        <x:v>0</x:v>
      </x:c>
      <x:c r="N360" s="55" t="n">
        <x:v>2303</x:v>
      </x:c>
      <x:c r="O360" s="55" t="n">
        <x:v>1659</x:v>
      </x:c>
      <x:c r="P360" s="55" t="n">
        <x:v>870</x:v>
      </x:c>
      <x:c r="Q360" s="55" t="n">
        <x:v>2427</x:v>
      </x:c>
      <x:c r="R360" s="55" t="n">
        <x:v>1887</x:v>
      </x:c>
      <x:c r="S360" s="55" t="n">
        <x:v>2914</x:v>
      </x:c>
      <x:c r="T360" s="55" t="n">
        <x:v>894</x:v>
      </x:c>
      <x:c r="U360" s="55" t="n">
        <x:v>2352</x:v>
      </x:c>
      <x:c r="V360" s="55" t="n">
        <x:v>10432</x:v>
      </x:c>
      <x:c r="W360" s="55" t="n">
        <x:v>7312</x:v>
      </x:c>
      <x:c r="X360" s="55" t="n">
        <x:v>3120</x:v>
      </x:c>
      <x:c r="Y360" s="55" t="n">
        <x:v>2847</x:v>
      </x:c>
      <x:c r="Z360" s="55" t="n">
        <x:v>3677</x:v>
      </x:c>
      <x:c r="AA360" s="55" t="n">
        <x:v>2878</x:v>
      </x:c>
      <x:c r="AB360" s="55" t="n">
        <x:v>831</x:v>
      </x:c>
      <x:c r="AC360" s="55" t="n">
        <x:v>8038</x:v>
      </x:c>
      <x:c r="AD360" s="55" t="n">
        <x:v>2742</x:v>
      </x:c>
      <x:c r="AE360" s="55" t="n">
        <x:v>10543</x:v>
      </x:c>
      <x:c r="AF360" s="55" t="n">
        <x:v>10432</x:v>
      </x:c>
      <x:c r="AG360" s="55" t="n">
        <x:v>111</x:v>
      </x:c>
      <x:c r="AH360" s="55" t="n">
        <x:v>236</x:v>
      </x:c>
      <x:c r="AI360" s="55" t="n">
        <x:v>10196</x:v>
      </x:c>
      <x:c r="AJ360" s="55" t="n">
        <x:v>193</x:v>
      </x:c>
      <x:c r="AK360" s="55" t="n">
        <x:v>1293</x:v>
      </x:c>
      <x:c r="AL360" s="55" t="n">
        <x:v>2093</x:v>
      </x:c>
      <x:c r="AM360" s="55" t="n">
        <x:v>4766</x:v>
      </x:c>
      <x:c r="AN360" s="55" t="n">
        <x:v>2087</x:v>
      </x:c>
      <x:c r="AO360" s="55" t="n">
        <x:v>0</x:v>
      </x:c>
      <x:c r="AP360" s="55" t="n">
        <x:v>2729</x:v>
      </x:c>
      <x:c r="AQ360" s="55" t="n">
        <x:v>936</x:v>
      </x:c>
    </x:row>
    <x:row r="361">
      <x:c r="A361" s="54" t="str">
        <x:v>T0_TABLE_BLOCK</x:v>
      </x:c>
      <x:c r="B361" s="54" t="n">
        <x:v>355</x:v>
      </x:c>
      <x:c r="C361" s="54" t="str">
        <x:v>NYC-V2-R01</x:v>
      </x:c>
      <x:c r="D361" s="54" t="str">
        <x:v>V2</x:v>
      </x:c>
      <x:c r="E361" s="54" t="str">
        <x:v>ADMITTED</x:v>
      </x:c>
      <x:c r="F361" s="55" t="n">
        <x:v>31471</x:v>
      </x:c>
      <x:c r="G361" s="55" t="n">
        <x:v>6664</x:v>
      </x:c>
      <x:c r="H361" s="55" t="n">
        <x:v>3374</x:v>
      </x:c>
      <x:c r="I361" s="55" t="n">
        <x:v>1478</x:v>
      </x:c>
      <x:c r="J361" s="55" t="n">
        <x:v>56</x:v>
      </x:c>
      <x:c r="K361" s="55" t="n">
        <x:v>31471</x:v>
      </x:c>
      <x:c r="L361" s="55" t="n">
        <x:v>5291</x:v>
      </x:c>
      <x:c r="M361" s="55" t="n">
        <x:v>1156</x:v>
      </x:c>
      <x:c r="N361" s="55" t="n">
        <x:v>2489</x:v>
      </x:c>
      <x:c r="O361" s="55" t="n">
        <x:v>1646</x:v>
      </x:c>
      <x:c r="P361" s="55" t="n">
        <x:v>802</x:v>
      </x:c>
      <x:c r="Q361" s="55" t="n">
        <x:v>2640</x:v>
      </x:c>
      <x:c r="R361" s="55" t="n">
        <x:v>2274</x:v>
      </x:c>
      <x:c r="S361" s="55" t="n">
        <x:v>3079</x:v>
      </x:c>
      <x:c r="T361" s="55" t="n">
        <x:v>889</x:v>
      </x:c>
      <x:c r="U361" s="55" t="n">
        <x:v>2207</x:v>
      </x:c>
      <x:c r="V361" s="55" t="n">
        <x:v>9771</x:v>
      </x:c>
      <x:c r="W361" s="55" t="n">
        <x:v>6534</x:v>
      </x:c>
      <x:c r="X361" s="55" t="n">
        <x:v>3237</x:v>
      </x:c>
      <x:c r="Y361" s="55" t="n">
        <x:v>2822</x:v>
      </x:c>
      <x:c r="Z361" s="55" t="n">
        <x:v>3889</x:v>
      </x:c>
      <x:c r="AA361" s="55" t="n">
        <x:v>3361</x:v>
      </x:c>
      <x:c r="AB361" s="55" t="n">
        <x:v>1181</x:v>
      </x:c>
      <x:c r="AC361" s="55" t="n">
        <x:v>8066</x:v>
      </x:c>
      <x:c r="AD361" s="55" t="n">
        <x:v>2370</x:v>
      </x:c>
      <x:c r="AE361" s="55" t="n">
        <x:v>9871</x:v>
      </x:c>
      <x:c r="AF361" s="55" t="n">
        <x:v>9771</x:v>
      </x:c>
      <x:c r="AG361" s="55" t="n">
        <x:v>100</x:v>
      </x:c>
      <x:c r="AH361" s="55" t="n">
        <x:v>502</x:v>
      </x:c>
      <x:c r="AI361" s="55" t="n">
        <x:v>9269</x:v>
      </x:c>
      <x:c r="AJ361" s="55" t="n">
        <x:v>70</x:v>
      </x:c>
      <x:c r="AK361" s="55" t="n">
        <x:v>820</x:v>
      </x:c>
      <x:c r="AL361" s="55" t="n">
        <x:v>1710</x:v>
      </x:c>
      <x:c r="AM361" s="55" t="n">
        <x:v>4331</x:v>
      </x:c>
      <x:c r="AN361" s="55" t="n">
        <x:v>2840</x:v>
      </x:c>
      <x:c r="AO361" s="55" t="n">
        <x:v>0</x:v>
      </x:c>
      <x:c r="AP361" s="55" t="n">
        <x:v>2569</x:v>
      </x:c>
      <x:c r="AQ361" s="55" t="n">
        <x:v>945</x:v>
      </x:c>
    </x:row>
    <x:row r="362">
      <x:c r="A362" s="54" t="str">
        <x:v>T0_TABLE_BLOCK</x:v>
      </x:c>
      <x:c r="B362" s="54" t="n">
        <x:v>356</x:v>
      </x:c>
      <x:c r="C362" s="54" t="str">
        <x:v>NYC-V2-R01</x:v>
      </x:c>
      <x:c r="D362" s="54" t="str">
        <x:v>V2</x:v>
      </x:c>
      <x:c r="E362" s="54" t="str">
        <x:v>ADMITTED</x:v>
      </x:c>
      <x:c r="F362" s="55" t="n">
        <x:v>31387</x:v>
      </x:c>
      <x:c r="G362" s="55" t="n">
        <x:v>8831</x:v>
      </x:c>
      <x:c r="H362" s="55" t="n">
        <x:v>3397</x:v>
      </x:c>
      <x:c r="I362" s="55" t="n">
        <x:v>669</x:v>
      </x:c>
      <x:c r="J362" s="55" t="n">
        <x:v>35</x:v>
      </x:c>
      <x:c r="K362" s="55" t="n">
        <x:v>30982</x:v>
      </x:c>
      <x:c r="L362" s="55" t="n">
        <x:v>5499</x:v>
      </x:c>
      <x:c r="M362" s="55" t="n">
        <x:v>652</x:v>
      </x:c>
      <x:c r="N362" s="55" t="n">
        <x:v>3266</x:v>
      </x:c>
      <x:c r="O362" s="55" t="n">
        <x:v>1581</x:v>
      </x:c>
      <x:c r="P362" s="55" t="n">
        <x:v>754</x:v>
      </x:c>
      <x:c r="Q362" s="55" t="n">
        <x:v>2764</x:v>
      </x:c>
      <x:c r="R362" s="55" t="n">
        <x:v>1775</x:v>
      </x:c>
      <x:c r="S362" s="55" t="n">
        <x:v>2785</x:v>
      </x:c>
      <x:c r="T362" s="55" t="n">
        <x:v>594</x:v>
      </x:c>
      <x:c r="U362" s="55" t="n">
        <x:v>2236</x:v>
      </x:c>
      <x:c r="V362" s="55" t="n">
        <x:v>10679</x:v>
      </x:c>
      <x:c r="W362" s="55" t="n">
        <x:v>7756</x:v>
      </x:c>
      <x:c r="X362" s="55" t="n">
        <x:v>2923</x:v>
      </x:c>
      <x:c r="Y362" s="55" t="n">
        <x:v>2337</x:v>
      </x:c>
      <x:c r="Z362" s="55" t="n">
        <x:v>3285</x:v>
      </x:c>
      <x:c r="AA362" s="55" t="n">
        <x:v>3397</x:v>
      </x:c>
      <x:c r="AB362" s="55" t="n">
        <x:v>775</x:v>
      </x:c>
      <x:c r="AC362" s="55" t="n">
        <x:v>8233</x:v>
      </x:c>
      <x:c r="AD362" s="55" t="n">
        <x:v>3175</x:v>
      </x:c>
      <x:c r="AE362" s="55" t="n">
        <x:v>10875</x:v>
      </x:c>
      <x:c r="AF362" s="55" t="n">
        <x:v>10679</x:v>
      </x:c>
      <x:c r="AG362" s="55" t="n">
        <x:v>196</x:v>
      </x:c>
      <x:c r="AH362" s="55" t="n">
        <x:v>480</x:v>
      </x:c>
      <x:c r="AI362" s="55" t="n">
        <x:v>10199</x:v>
      </x:c>
      <x:c r="AJ362" s="55" t="n">
        <x:v>464</x:v>
      </x:c>
      <x:c r="AK362" s="55" t="n">
        <x:v>836</x:v>
      </x:c>
      <x:c r="AL362" s="55" t="n">
        <x:v>1676</x:v>
      </x:c>
      <x:c r="AM362" s="55" t="n">
        <x:v>4819</x:v>
      </x:c>
      <x:c r="AN362" s="55" t="n">
        <x:v>2780</x:v>
      </x:c>
      <x:c r="AO362" s="55" t="n">
        <x:v>104</x:v>
      </x:c>
      <x:c r="AP362" s="55" t="n">
        <x:v>2337</x:v>
      </x:c>
      <x:c r="AQ362" s="55" t="n">
        <x:v>911</x:v>
      </x:c>
    </x:row>
    <x:row r="363">
      <x:c r="A363" s="54" t="str">
        <x:v>T0_TABLE_BLOCK</x:v>
      </x:c>
      <x:c r="B363" s="54" t="n">
        <x:v>357</x:v>
      </x:c>
      <x:c r="C363" s="54" t="str">
        <x:v>NYC-V2-R01</x:v>
      </x:c>
      <x:c r="D363" s="54" t="str">
        <x:v>V2</x:v>
      </x:c>
      <x:c r="E363" s="54" t="str">
        <x:v>ADMITTED</x:v>
      </x:c>
      <x:c r="F363" s="55" t="n">
        <x:v>31994</x:v>
      </x:c>
      <x:c r="G363" s="55" t="n">
        <x:v>8220</x:v>
      </x:c>
      <x:c r="H363" s="55" t="n">
        <x:v>3573</x:v>
      </x:c>
      <x:c r="I363" s="55" t="n">
        <x:v>1230</x:v>
      </x:c>
      <x:c r="J363" s="55" t="n">
        <x:v>290</x:v>
      </x:c>
      <x:c r="K363" s="55" t="n">
        <x:v>31892</x:v>
      </x:c>
      <x:c r="L363" s="55" t="n">
        <x:v>5083</x:v>
      </x:c>
      <x:c r="M363" s="55" t="n">
        <x:v>1450</x:v>
      </x:c>
      <x:c r="N363" s="55" t="n">
        <x:v>2234</x:v>
      </x:c>
      <x:c r="O363" s="55" t="n">
        <x:v>1399</x:v>
      </x:c>
      <x:c r="P363" s="55" t="n">
        <x:v>1138</x:v>
      </x:c>
      <x:c r="Q363" s="55" t="n">
        <x:v>1604</x:v>
      </x:c>
      <x:c r="R363" s="55" t="n">
        <x:v>2227</x:v>
      </x:c>
      <x:c r="S363" s="55" t="n">
        <x:v>2157</x:v>
      </x:c>
      <x:c r="T363" s="55" t="n">
        <x:v>928</x:v>
      </x:c>
      <x:c r="U363" s="55" t="n">
        <x:v>2001</x:v>
      </x:c>
      <x:c r="V363" s="55" t="n">
        <x:v>9662</x:v>
      </x:c>
      <x:c r="W363" s="55" t="n">
        <x:v>6554</x:v>
      </x:c>
      <x:c r="X363" s="55" t="n">
        <x:v>3108</x:v>
      </x:c>
      <x:c r="Y363" s="55" t="n">
        <x:v>2651</x:v>
      </x:c>
      <x:c r="Z363" s="55" t="n">
        <x:v>3453</x:v>
      </x:c>
      <x:c r="AA363" s="55" t="n">
        <x:v>3203</x:v>
      </x:c>
      <x:c r="AB363" s="55" t="n">
        <x:v>1284</x:v>
      </x:c>
      <x:c r="AC363" s="55" t="n">
        <x:v>8012</x:v>
      </x:c>
      <x:c r="AD363" s="55" t="n">
        <x:v>2962</x:v>
      </x:c>
      <x:c r="AE363" s="55" t="n">
        <x:v>9779</x:v>
      </x:c>
      <x:c r="AF363" s="55" t="n">
        <x:v>9662</x:v>
      </x:c>
      <x:c r="AG363" s="55" t="n">
        <x:v>117</x:v>
      </x:c>
      <x:c r="AH363" s="55" t="n">
        <x:v>205</x:v>
      </x:c>
      <x:c r="AI363" s="55" t="n">
        <x:v>9457</x:v>
      </x:c>
      <x:c r="AJ363" s="55" t="n">
        <x:v>313</x:v>
      </x:c>
      <x:c r="AK363" s="55" t="n">
        <x:v>988</x:v>
      </x:c>
      <x:c r="AL363" s="55" t="n">
        <x:v>1534</x:v>
      </x:c>
      <x:c r="AM363" s="55" t="n">
        <x:v>4640</x:v>
      </x:c>
      <x:c r="AN363" s="55" t="n">
        <x:v>2187</x:v>
      </x:c>
      <x:c r="AO363" s="55" t="n">
        <x:v>0</x:v>
      </x:c>
      <x:c r="AP363" s="55" t="n">
        <x:v>2479</x:v>
      </x:c>
      <x:c r="AQ363" s="55" t="n">
        <x:v>960</x:v>
      </x:c>
    </x:row>
    <x:row r="364">
      <x:c r="A364" s="54" t="str">
        <x:v>T0_TABLE_BLOCK</x:v>
      </x:c>
      <x:c r="B364" s="54" t="n">
        <x:v>358</x:v>
      </x:c>
      <x:c r="C364" s="54" t="str">
        <x:v>NYC-V2-R01</x:v>
      </x:c>
      <x:c r="D364" s="54" t="str">
        <x:v>V2</x:v>
      </x:c>
      <x:c r="E364" s="54" t="str">
        <x:v>ADMITTED</x:v>
      </x:c>
      <x:c r="F364" s="55" t="n">
        <x:v>30960</x:v>
      </x:c>
      <x:c r="G364" s="55" t="n">
        <x:v>6355</x:v>
      </x:c>
      <x:c r="H364" s="55" t="n">
        <x:v>3312</x:v>
      </x:c>
      <x:c r="I364" s="55" t="n">
        <x:v>1347</x:v>
      </x:c>
      <x:c r="J364" s="55" t="n">
        <x:v>270</x:v>
      </x:c>
      <x:c r="K364" s="55" t="n">
        <x:v>30960</x:v>
      </x:c>
      <x:c r="L364" s="55" t="n">
        <x:v>4941</x:v>
      </x:c>
      <x:c r="M364" s="55" t="n">
        <x:v>568</x:v>
      </x:c>
      <x:c r="N364" s="55" t="n">
        <x:v>2945</x:v>
      </x:c>
      <x:c r="O364" s="55" t="n">
        <x:v>1428</x:v>
      </x:c>
      <x:c r="P364" s="55" t="n">
        <x:v>1063</x:v>
      </x:c>
      <x:c r="Q364" s="55" t="n">
        <x:v>2513</x:v>
      </x:c>
      <x:c r="R364" s="55" t="n">
        <x:v>1662</x:v>
      </x:c>
      <x:c r="S364" s="55" t="n">
        <x:v>2485</x:v>
      </x:c>
      <x:c r="T364" s="55" t="n">
        <x:v>1498</x:v>
      </x:c>
      <x:c r="U364" s="55" t="n">
        <x:v>2021</x:v>
      </x:c>
      <x:c r="V364" s="55" t="n">
        <x:v>10415</x:v>
      </x:c>
      <x:c r="W364" s="55" t="n">
        <x:v>7695</x:v>
      </x:c>
      <x:c r="X364" s="55" t="n">
        <x:v>2720</x:v>
      </x:c>
      <x:c r="Y364" s="55" t="n">
        <x:v>2534</x:v>
      </x:c>
      <x:c r="Z364" s="55" t="n">
        <x:v>3689</x:v>
      </x:c>
      <x:c r="AA364" s="55" t="n">
        <x:v>2559</x:v>
      </x:c>
      <x:c r="AB364" s="55" t="n">
        <x:v>608</x:v>
      </x:c>
      <x:c r="AC364" s="55" t="n">
        <x:v>8656</x:v>
      </x:c>
      <x:c r="AD364" s="55" t="n">
        <x:v>3181</x:v>
      </x:c>
      <x:c r="AE364" s="55" t="n">
        <x:v>10502</x:v>
      </x:c>
      <x:c r="AF364" s="55" t="n">
        <x:v>10415</x:v>
      </x:c>
      <x:c r="AG364" s="55" t="n">
        <x:v>87</x:v>
      </x:c>
      <x:c r="AH364" s="55" t="n">
        <x:v>402</x:v>
      </x:c>
      <x:c r="AI364" s="55" t="n">
        <x:v>10013</x:v>
      </x:c>
      <x:c r="AJ364" s="55" t="n">
        <x:v>425</x:v>
      </x:c>
      <x:c r="AK364" s="55" t="n">
        <x:v>1060</x:v>
      </x:c>
      <x:c r="AL364" s="55" t="n">
        <x:v>1339</x:v>
      </x:c>
      <x:c r="AM364" s="55" t="n">
        <x:v>5174</x:v>
      </x:c>
      <x:c r="AN364" s="55" t="n">
        <x:v>2408</x:v>
      </x:c>
      <x:c r="AO364" s="55" t="n">
        <x:v>9</x:v>
      </x:c>
      <x:c r="AP364" s="55" t="n">
        <x:v>2379</x:v>
      </x:c>
      <x:c r="AQ364" s="55" t="n">
        <x:v>981</x:v>
      </x:c>
    </x:row>
    <x:row r="365">
      <x:c r="A365" s="54" t="str">
        <x:v>T0_TABLE_BLOCK</x:v>
      </x:c>
      <x:c r="B365" s="54" t="n">
        <x:v>359</x:v>
      </x:c>
      <x:c r="C365" s="54" t="str">
        <x:v>NYC-V2-R01</x:v>
      </x:c>
      <x:c r="D365" s="54" t="str">
        <x:v>V2</x:v>
      </x:c>
      <x:c r="E365" s="54" t="str">
        <x:v>ADMITTED</x:v>
      </x:c>
      <x:c r="F365" s="55" t="n">
        <x:v>32039</x:v>
      </x:c>
      <x:c r="G365" s="55" t="n">
        <x:v>8307</x:v>
      </x:c>
      <x:c r="H365" s="55" t="n">
        <x:v>3631</x:v>
      </x:c>
      <x:c r="I365" s="55" t="n">
        <x:v>803</x:v>
      </x:c>
      <x:c r="J365" s="55" t="n">
        <x:v>138</x:v>
      </x:c>
      <x:c r="K365" s="55" t="n">
        <x:v>30827</x:v>
      </x:c>
      <x:c r="L365" s="55" t="n">
        <x:v>5736</x:v>
      </x:c>
      <x:c r="M365" s="55" t="n">
        <x:v>1929</x:v>
      </x:c>
      <x:c r="N365" s="55" t="n">
        <x:v>2459</x:v>
      </x:c>
      <x:c r="O365" s="55" t="n">
        <x:v>1348</x:v>
      </x:c>
      <x:c r="P365" s="55" t="n">
        <x:v>1263</x:v>
      </x:c>
      <x:c r="Q365" s="55" t="n">
        <x:v>1404</x:v>
      </x:c>
      <x:c r="R365" s="55" t="n">
        <x:v>1541</x:v>
      </x:c>
      <x:c r="S365" s="55" t="n">
        <x:v>1871</x:v>
      </x:c>
      <x:c r="T365" s="55" t="n">
        <x:v>1260</x:v>
      </x:c>
      <x:c r="U365" s="55" t="n">
        <x:v>2359</x:v>
      </x:c>
      <x:c r="V365" s="55" t="n">
        <x:v>10680</x:v>
      </x:c>
      <x:c r="W365" s="55" t="n">
        <x:v>7762</x:v>
      </x:c>
      <x:c r="X365" s="55" t="n">
        <x:v>2918</x:v>
      </x:c>
      <x:c r="Y365" s="55" t="n">
        <x:v>2653</x:v>
      </x:c>
      <x:c r="Z365" s="55" t="n">
        <x:v>4044</x:v>
      </x:c>
      <x:c r="AA365" s="55" t="n">
        <x:v>3631</x:v>
      </x:c>
      <x:c r="AB365" s="55" t="n">
        <x:v>1124</x:v>
      </x:c>
      <x:c r="AC365" s="55" t="n">
        <x:v>7306</x:v>
      </x:c>
      <x:c r="AD365" s="55" t="n">
        <x:v>3140</x:v>
      </x:c>
      <x:c r="AE365" s="55" t="n">
        <x:v>10795</x:v>
      </x:c>
      <x:c r="AF365" s="55" t="n">
        <x:v>10680</x:v>
      </x:c>
      <x:c r="AG365" s="55" t="n">
        <x:v>115</x:v>
      </x:c>
      <x:c r="AH365" s="55" t="n">
        <x:v>490</x:v>
      </x:c>
      <x:c r="AI365" s="55" t="n">
        <x:v>10190</x:v>
      </x:c>
      <x:c r="AJ365" s="55" t="n">
        <x:v>133</x:v>
      </x:c>
      <x:c r="AK365" s="55" t="n">
        <x:v>892</x:v>
      </x:c>
      <x:c r="AL365" s="55" t="n">
        <x:v>1959</x:v>
      </x:c>
      <x:c r="AM365" s="55" t="n">
        <x:v>5459</x:v>
      </x:c>
      <x:c r="AN365" s="55" t="n">
        <x:v>2214</x:v>
      </x:c>
      <x:c r="AO365" s="55" t="n">
        <x:v>23</x:v>
      </x:c>
      <x:c r="AP365" s="55" t="n">
        <x:v>2346</x:v>
      </x:c>
      <x:c r="AQ365" s="55" t="n">
        <x:v>939</x:v>
      </x:c>
    </x:row>
    <x:row r="366">
      <x:c r="A366" s="54" t="str">
        <x:v>T0_TABLE_BLOCK</x:v>
      </x:c>
      <x:c r="B366" s="54" t="n">
        <x:v>360</x:v>
      </x:c>
      <x:c r="C366" s="54" t="str">
        <x:v>NYC-V2-R01</x:v>
      </x:c>
      <x:c r="D366" s="54" t="str">
        <x:v>V2</x:v>
      </x:c>
      <x:c r="E366" s="54" t="str">
        <x:v>ADMITTED</x:v>
      </x:c>
      <x:c r="F366" s="55" t="n">
        <x:v>29609</x:v>
      </x:c>
      <x:c r="G366" s="55" t="n">
        <x:v>5741</x:v>
      </x:c>
      <x:c r="H366" s="55" t="n">
        <x:v>3568</x:v>
      </x:c>
      <x:c r="I366" s="55" t="n">
        <x:v>1506</x:v>
      </x:c>
      <x:c r="J366" s="55" t="n">
        <x:v>346</x:v>
      </x:c>
      <x:c r="K366" s="55" t="n">
        <x:v>29609</x:v>
      </x:c>
      <x:c r="L366" s="55" t="n">
        <x:v>5871</x:v>
      </x:c>
      <x:c r="M366" s="55" t="n">
        <x:v>2135</x:v>
      </x:c>
      <x:c r="N366" s="55" t="n">
        <x:v>2060</x:v>
      </x:c>
      <x:c r="O366" s="55" t="n">
        <x:v>1676</x:v>
      </x:c>
      <x:c r="P366" s="55" t="n">
        <x:v>913</x:v>
      </x:c>
      <x:c r="Q366" s="55" t="n">
        <x:v>2440</x:v>
      </x:c>
      <x:c r="R366" s="55" t="n">
        <x:v>1368</x:v>
      </x:c>
      <x:c r="S366" s="55" t="n">
        <x:v>2711</x:v>
      </x:c>
      <x:c r="T366" s="55" t="n">
        <x:v>1455</x:v>
      </x:c>
      <x:c r="U366" s="55" t="n">
        <x:v>1411</x:v>
      </x:c>
      <x:c r="V366" s="55" t="n">
        <x:v>9669</x:v>
      </x:c>
      <x:c r="W366" s="55" t="n">
        <x:v>6485</x:v>
      </x:c>
      <x:c r="X366" s="55" t="n">
        <x:v>3184</x:v>
      </x:c>
      <x:c r="Y366" s="55" t="n">
        <x:v>2746</x:v>
      </x:c>
      <x:c r="Z366" s="55" t="n">
        <x:v>4187</x:v>
      </x:c>
      <x:c r="AA366" s="55" t="n">
        <x:v>3144</x:v>
      </x:c>
      <x:c r="AB366" s="55" t="n">
        <x:v>991</x:v>
      </x:c>
      <x:c r="AC366" s="55" t="n">
        <x:v>8505</x:v>
      </x:c>
      <x:c r="AD366" s="55" t="n">
        <x:v>2305</x:v>
      </x:c>
      <x:c r="AE366" s="55" t="n">
        <x:v>9777</x:v>
      </x:c>
      <x:c r="AF366" s="55" t="n">
        <x:v>9669</x:v>
      </x:c>
      <x:c r="AG366" s="55" t="n">
        <x:v>108</x:v>
      </x:c>
      <x:c r="AH366" s="55" t="n">
        <x:v>477</x:v>
      </x:c>
      <x:c r="AI366" s="55" t="n">
        <x:v>9192</x:v>
      </x:c>
      <x:c r="AJ366" s="55" t="n">
        <x:v>459</x:v>
      </x:c>
      <x:c r="AK366" s="55" t="n">
        <x:v>828</x:v>
      </x:c>
      <x:c r="AL366" s="55" t="n">
        <x:v>1127</x:v>
      </x:c>
      <x:c r="AM366" s="55" t="n">
        <x:v>4877</x:v>
      </x:c>
      <x:c r="AN366" s="55" t="n">
        <x:v>2378</x:v>
      </x:c>
      <x:c r="AO366" s="55" t="n">
        <x:v>0</x:v>
      </x:c>
      <x:c r="AP366" s="55" t="n">
        <x:v>2412</x:v>
      </x:c>
      <x:c r="AQ366" s="55" t="n">
        <x:v>967</x:v>
      </x:c>
    </x:row>
    <x:row r="367">
      <x:c r="A367" s="54" t="str">
        <x:v>T0_TABLE_BLOCK</x:v>
      </x:c>
      <x:c r="B367" s="54" t="n">
        <x:v>361</x:v>
      </x:c>
      <x:c r="C367" s="54" t="str">
        <x:v>NYC-V2-R01</x:v>
      </x:c>
      <x:c r="D367" s="54" t="str">
        <x:v>V2</x:v>
      </x:c>
      <x:c r="E367" s="54" t="str">
        <x:v>ADMITTED</x:v>
      </x:c>
      <x:c r="F367" s="55" t="n">
        <x:v>32032</x:v>
      </x:c>
      <x:c r="G367" s="55" t="n">
        <x:v>7992</x:v>
      </x:c>
      <x:c r="H367" s="55" t="n">
        <x:v>3939</x:v>
      </x:c>
      <x:c r="I367" s="55" t="n">
        <x:v>1644</x:v>
      </x:c>
      <x:c r="J367" s="55" t="n">
        <x:v>578</x:v>
      </x:c>
      <x:c r="K367" s="55" t="n">
        <x:v>32032</x:v>
      </x:c>
      <x:c r="L367" s="55" t="n">
        <x:v>6345</x:v>
      </x:c>
      <x:c r="M367" s="55" t="n">
        <x:v>1335</x:v>
      </x:c>
      <x:c r="N367" s="55" t="n">
        <x:v>2936</x:v>
      </x:c>
      <x:c r="O367" s="55" t="n">
        <x:v>2074</x:v>
      </x:c>
      <x:c r="P367" s="55" t="n">
        <x:v>993</x:v>
      </x:c>
      <x:c r="Q367" s="55" t="n">
        <x:v>2267</x:v>
      </x:c>
      <x:c r="R367" s="55" t="n">
        <x:v>1850</x:v>
      </x:c>
      <x:c r="S367" s="55" t="n">
        <x:v>3257</x:v>
      </x:c>
      <x:c r="T367" s="55" t="n">
        <x:v>772</x:v>
      </x:c>
      <x:c r="U367" s="55" t="n">
        <x:v>1785</x:v>
      </x:c>
      <x:c r="V367" s="55" t="n">
        <x:v>10971</x:v>
      </x:c>
      <x:c r="W367" s="55" t="n">
        <x:v>8209</x:v>
      </x:c>
      <x:c r="X367" s="55" t="n">
        <x:v>2762</x:v>
      </x:c>
      <x:c r="Y367" s="55" t="n">
        <x:v>2518</x:v>
      </x:c>
      <x:c r="Z367" s="55" t="n">
        <x:v>3334</x:v>
      </x:c>
      <x:c r="AA367" s="55" t="n">
        <x:v>3939</x:v>
      </x:c>
      <x:c r="AB367" s="55" t="n">
        <x:v>1258</x:v>
      </x:c>
      <x:c r="AC367" s="55" t="n">
        <x:v>7794</x:v>
      </x:c>
      <x:c r="AD367" s="55" t="n">
        <x:v>2907</x:v>
      </x:c>
      <x:c r="AE367" s="55" t="n">
        <x:v>11072</x:v>
      </x:c>
      <x:c r="AF367" s="55" t="n">
        <x:v>10971</x:v>
      </x:c>
      <x:c r="AG367" s="55" t="n">
        <x:v>101</x:v>
      </x:c>
      <x:c r="AH367" s="55" t="n">
        <x:v>525</x:v>
      </x:c>
      <x:c r="AI367" s="55" t="n">
        <x:v>10446</x:v>
      </x:c>
      <x:c r="AJ367" s="55" t="n">
        <x:v>358</x:v>
      </x:c>
      <x:c r="AK367" s="55" t="n">
        <x:v>1108</x:v>
      </x:c>
      <x:c r="AL367" s="55" t="n">
        <x:v>1511</x:v>
      </x:c>
      <x:c r="AM367" s="55" t="n">
        <x:v>5264</x:v>
      </x:c>
      <x:c r="AN367" s="55" t="n">
        <x:v>2730</x:v>
      </x:c>
      <x:c r="AO367" s="55" t="n">
        <x:v>0</x:v>
      </x:c>
      <x:c r="AP367" s="55" t="n">
        <x:v>2376</x:v>
      </x:c>
      <x:c r="AQ367" s="55" t="n">
        <x:v>971</x:v>
      </x:c>
    </x:row>
    <x:row r="368">
      <x:c r="A368" s="54" t="str">
        <x:v>T0_TABLE_BLOCK</x:v>
      </x:c>
      <x:c r="B368" s="54" t="n">
        <x:v>362</x:v>
      </x:c>
      <x:c r="C368" s="54" t="str">
        <x:v>NYC-V2-R01</x:v>
      </x:c>
      <x:c r="D368" s="54" t="str">
        <x:v>V2</x:v>
      </x:c>
      <x:c r="E368" s="54" t="str">
        <x:v>ADMITTED</x:v>
      </x:c>
      <x:c r="F368" s="55" t="n">
        <x:v>31727</x:v>
      </x:c>
      <x:c r="G368" s="55" t="n">
        <x:v>7469</x:v>
      </x:c>
      <x:c r="H368" s="55" t="n">
        <x:v>3397</x:v>
      </x:c>
      <x:c r="I368" s="55" t="n">
        <x:v>1038</x:v>
      </x:c>
      <x:c r="J368" s="55" t="n">
        <x:v>247</x:v>
      </x:c>
      <x:c r="K368" s="55" t="n">
        <x:v>31727</x:v>
      </x:c>
      <x:c r="L368" s="55" t="n">
        <x:v>5535</x:v>
      </x:c>
      <x:c r="M368" s="55" t="n">
        <x:v>661</x:v>
      </x:c>
      <x:c r="N368" s="55" t="n">
        <x:v>3114</x:v>
      </x:c>
      <x:c r="O368" s="55" t="n">
        <x:v>1760</x:v>
      </x:c>
      <x:c r="P368" s="55" t="n">
        <x:v>697</x:v>
      </x:c>
      <x:c r="Q368" s="55" t="n">
        <x:v>1205</x:v>
      </x:c>
      <x:c r="R368" s="55" t="n">
        <x:v>2088</x:v>
      </x:c>
      <x:c r="S368" s="55" t="n">
        <x:v>3352</x:v>
      </x:c>
      <x:c r="T368" s="55" t="n">
        <x:v>860</x:v>
      </x:c>
      <x:c r="U368" s="55" t="n">
        <x:v>2145</x:v>
      </x:c>
      <x:c r="V368" s="55" t="n">
        <x:v>10599</x:v>
      </x:c>
      <x:c r="W368" s="55" t="n">
        <x:v>7087</x:v>
      </x:c>
      <x:c r="X368" s="55" t="n">
        <x:v>3512</x:v>
      </x:c>
      <x:c r="Y368" s="55" t="n">
        <x:v>3007</x:v>
      </x:c>
      <x:c r="Z368" s="55" t="n">
        <x:v>3162</x:v>
      </x:c>
      <x:c r="AA368" s="55" t="n">
        <x:v>3368</x:v>
      </x:c>
      <x:c r="AB368" s="55" t="n">
        <x:v>1348</x:v>
      </x:c>
      <x:c r="AC368" s="55" t="n">
        <x:v>8310</x:v>
      </x:c>
      <x:c r="AD368" s="55" t="n">
        <x:v>2737</x:v>
      </x:c>
      <x:c r="AE368" s="55" t="n">
        <x:v>10713</x:v>
      </x:c>
      <x:c r="AF368" s="55" t="n">
        <x:v>10599</x:v>
      </x:c>
      <x:c r="AG368" s="55" t="n">
        <x:v>114</x:v>
      </x:c>
      <x:c r="AH368" s="55" t="n">
        <x:v>540</x:v>
      </x:c>
      <x:c r="AI368" s="55" t="n">
        <x:v>10059</x:v>
      </x:c>
      <x:c r="AJ368" s="55" t="n">
        <x:v>167</x:v>
      </x:c>
      <x:c r="AK368" s="55" t="n">
        <x:v>952</x:v>
      </x:c>
      <x:c r="AL368" s="55" t="n">
        <x:v>1302</x:v>
      </x:c>
      <x:c r="AM368" s="55" t="n">
        <x:v>5256</x:v>
      </x:c>
      <x:c r="AN368" s="55" t="n">
        <x:v>2901</x:v>
      </x:c>
      <x:c r="AO368" s="55" t="n">
        <x:v>21</x:v>
      </x:c>
      <x:c r="AP368" s="55" t="n">
        <x:v>2492</x:v>
      </x:c>
      <x:c r="AQ368" s="55" t="n">
        <x:v>925</x:v>
      </x:c>
    </x:row>
    <x:row r="369">
      <x:c r="A369" s="54" t="str">
        <x:v>T0_TABLE_BLOCK</x:v>
      </x:c>
      <x:c r="B369" s="54" t="n">
        <x:v>363</x:v>
      </x:c>
      <x:c r="C369" s="54" t="str">
        <x:v>NYC-V2-R01</x:v>
      </x:c>
      <x:c r="D369" s="54" t="str">
        <x:v>V2</x:v>
      </x:c>
      <x:c r="E369" s="54" t="str">
        <x:v>ADMITTED</x:v>
      </x:c>
      <x:c r="F369" s="55" t="n">
        <x:v>30671</x:v>
      </x:c>
      <x:c r="G369" s="55" t="n">
        <x:v>7140</x:v>
      </x:c>
      <x:c r="H369" s="55" t="n">
        <x:v>2915</x:v>
      </x:c>
      <x:c r="I369" s="55" t="n">
        <x:v>1376</x:v>
      </x:c>
      <x:c r="J369" s="55" t="n">
        <x:v>266</x:v>
      </x:c>
      <x:c r="K369" s="55" t="n">
        <x:v>30671</x:v>
      </x:c>
      <x:c r="L369" s="55" t="n">
        <x:v>4921</x:v>
      </x:c>
      <x:c r="M369" s="55" t="n">
        <x:v>0</x:v>
      </x:c>
      <x:c r="N369" s="55" t="n">
        <x:v>2791</x:v>
      </x:c>
      <x:c r="O369" s="55" t="n">
        <x:v>2130</x:v>
      </x:c>
      <x:c r="P369" s="55" t="n">
        <x:v>392</x:v>
      </x:c>
      <x:c r="Q369" s="55" t="n">
        <x:v>2622</x:v>
      </x:c>
      <x:c r="R369" s="55" t="n">
        <x:v>1895</x:v>
      </x:c>
      <x:c r="S369" s="55" t="n">
        <x:v>2889</x:v>
      </x:c>
      <x:c r="T369" s="55" t="n">
        <x:v>1239</x:v>
      </x:c>
      <x:c r="U369" s="55" t="n">
        <x:v>1676</x:v>
      </x:c>
      <x:c r="V369" s="55" t="n">
        <x:v>10414</x:v>
      </x:c>
      <x:c r="W369" s="55" t="n">
        <x:v>7613</x:v>
      </x:c>
      <x:c r="X369" s="55" t="n">
        <x:v>2801</x:v>
      </x:c>
      <x:c r="Y369" s="55" t="n">
        <x:v>2560</x:v>
      </x:c>
      <x:c r="Z369" s="55" t="n">
        <x:v>3301</x:v>
      </x:c>
      <x:c r="AA369" s="55" t="n">
        <x:v>2338</x:v>
      </x:c>
      <x:c r="AB369" s="55" t="n">
        <x:v>1344</x:v>
      </x:c>
      <x:c r="AC369" s="55" t="n">
        <x:v>8448</x:v>
      </x:c>
      <x:c r="AD369" s="55" t="n">
        <x:v>2816</x:v>
      </x:c>
      <x:c r="AE369" s="55" t="n">
        <x:v>10489</x:v>
      </x:c>
      <x:c r="AF369" s="55" t="n">
        <x:v>10414</x:v>
      </x:c>
      <x:c r="AG369" s="55" t="n">
        <x:v>75</x:v>
      </x:c>
      <x:c r="AH369" s="55" t="n">
        <x:v>391</x:v>
      </x:c>
      <x:c r="AI369" s="55" t="n">
        <x:v>10023</x:v>
      </x:c>
      <x:c r="AJ369" s="55" t="n">
        <x:v>190</x:v>
      </x:c>
      <x:c r="AK369" s="55" t="n">
        <x:v>962</x:v>
      </x:c>
      <x:c r="AL369" s="55" t="n">
        <x:v>1685</x:v>
      </x:c>
      <x:c r="AM369" s="55" t="n">
        <x:v>4629</x:v>
      </x:c>
      <x:c r="AN369" s="55" t="n">
        <x:v>2916</x:v>
      </x:c>
      <x:c r="AO369" s="55" t="n">
        <x:v>32</x:v>
      </x:c>
      <x:c r="AP369" s="55" t="n">
        <x:v>2069</x:v>
      </x:c>
      <x:c r="AQ369" s="55" t="n">
        <x:v>963</x:v>
      </x:c>
    </x:row>
    <x:row r="370">
      <x:c r="A370" s="54" t="str">
        <x:v>T0_TABLE_BLOCK</x:v>
      </x:c>
      <x:c r="B370" s="54" t="n">
        <x:v>364</x:v>
      </x:c>
      <x:c r="C370" s="54" t="str">
        <x:v>NYC-V2-R01</x:v>
      </x:c>
      <x:c r="D370" s="54" t="str">
        <x:v>V2</x:v>
      </x:c>
      <x:c r="E370" s="54" t="str">
        <x:v>ADMITTED</x:v>
      </x:c>
      <x:c r="F370" s="55" t="n">
        <x:v>29822</x:v>
      </x:c>
      <x:c r="G370" s="55" t="n">
        <x:v>6096</x:v>
      </x:c>
      <x:c r="H370" s="55" t="n">
        <x:v>3247</x:v>
      </x:c>
      <x:c r="I370" s="55" t="n">
        <x:v>1412</x:v>
      </x:c>
      <x:c r="J370" s="55" t="n">
        <x:v>149</x:v>
      </x:c>
      <x:c r="K370" s="55" t="n">
        <x:v>29822</x:v>
      </x:c>
      <x:c r="L370" s="55" t="n">
        <x:v>5615</x:v>
      </x:c>
      <x:c r="M370" s="55" t="n">
        <x:v>1766</x:v>
      </x:c>
      <x:c r="N370" s="55" t="n">
        <x:v>2627</x:v>
      </x:c>
      <x:c r="O370" s="55" t="n">
        <x:v>1222</x:v>
      </x:c>
      <x:c r="P370" s="55" t="n">
        <x:v>690</x:v>
      </x:c>
      <x:c r="Q370" s="55" t="n">
        <x:v>3647</x:v>
      </x:c>
      <x:c r="R370" s="55" t="n">
        <x:v>1650</x:v>
      </x:c>
      <x:c r="S370" s="55" t="n">
        <x:v>2868</x:v>
      </x:c>
      <x:c r="T370" s="55" t="n">
        <x:v>1691</x:v>
      </x:c>
      <x:c r="U370" s="55" t="n">
        <x:v>1668</x:v>
      </x:c>
      <x:c r="V370" s="55" t="n">
        <x:v>10433</x:v>
      </x:c>
      <x:c r="W370" s="55" t="n">
        <x:v>7584</x:v>
      </x:c>
      <x:c r="X370" s="55" t="n">
        <x:v>2849</x:v>
      </x:c>
      <x:c r="Y370" s="55" t="n">
        <x:v>2413</x:v>
      </x:c>
      <x:c r="Z370" s="55" t="n">
        <x:v>3642</x:v>
      </x:c>
      <x:c r="AA370" s="55" t="n">
        <x:v>3143</x:v>
      </x:c>
      <x:c r="AB370" s="55" t="n">
        <x:v>1111</x:v>
      </x:c>
      <x:c r="AC370" s="55" t="n">
        <x:v>7543</x:v>
      </x:c>
      <x:c r="AD370" s="55" t="n">
        <x:v>3040</x:v>
      </x:c>
      <x:c r="AE370" s="55" t="n">
        <x:v>10520</x:v>
      </x:c>
      <x:c r="AF370" s="55" t="n">
        <x:v>10433</x:v>
      </x:c>
      <x:c r="AG370" s="55" t="n">
        <x:v>87</x:v>
      </x:c>
      <x:c r="AH370" s="55" t="n">
        <x:v>409</x:v>
      </x:c>
      <x:c r="AI370" s="55" t="n">
        <x:v>10024</x:v>
      </x:c>
      <x:c r="AJ370" s="55" t="n">
        <x:v>311</x:v>
      </x:c>
      <x:c r="AK370" s="55" t="n">
        <x:v>956</x:v>
      </x:c>
      <x:c r="AL370" s="55" t="n">
        <x:v>1186</x:v>
      </x:c>
      <x:c r="AM370" s="55" t="n">
        <x:v>5282</x:v>
      </x:c>
      <x:c r="AN370" s="55" t="n">
        <x:v>2698</x:v>
      </x:c>
      <x:c r="AO370" s="55" t="n">
        <x:v>0</x:v>
      </x:c>
      <x:c r="AP370" s="55" t="n">
        <x:v>2654</x:v>
      </x:c>
      <x:c r="AQ370" s="55" t="n">
        <x:v>995</x:v>
      </x:c>
    </x:row>
    <x:row r="371">
      <x:c r="A371" s="54" t="str">
        <x:v>T0_TABLE_BLOCK</x:v>
      </x:c>
      <x:c r="B371" s="54" t="n">
        <x:v>365</x:v>
      </x:c>
      <x:c r="C371" s="54" t="str">
        <x:v>NYC-V2-R01</x:v>
      </x:c>
      <x:c r="D371" s="54" t="str">
        <x:v>V2</x:v>
      </x:c>
      <x:c r="E371" s="54" t="str">
        <x:v>ADMITTED</x:v>
      </x:c>
      <x:c r="F371" s="55" t="n">
        <x:v>35432</x:v>
      </x:c>
      <x:c r="G371" s="55" t="n">
        <x:v>9960</x:v>
      </x:c>
      <x:c r="H371" s="55" t="n">
        <x:v>3499</x:v>
      </x:c>
      <x:c r="I371" s="55" t="n">
        <x:v>1341</x:v>
      </x:c>
      <x:c r="J371" s="55" t="n">
        <x:v>200</x:v>
      </x:c>
      <x:c r="K371" s="55" t="n">
        <x:v>30713</x:v>
      </x:c>
      <x:c r="L371" s="55" t="n">
        <x:v>5795</x:v>
      </x:c>
      <x:c r="M371" s="55" t="n">
        <x:v>1389</x:v>
      </x:c>
      <x:c r="N371" s="55" t="n">
        <x:v>2887</x:v>
      </x:c>
      <x:c r="O371" s="55" t="n">
        <x:v>1519</x:v>
      </x:c>
      <x:c r="P371" s="55" t="n">
        <x:v>519</x:v>
      </x:c>
      <x:c r="Q371" s="55" t="n">
        <x:v>2567</x:v>
      </x:c>
      <x:c r="R371" s="55" t="n">
        <x:v>1991</x:v>
      </x:c>
      <x:c r="S371" s="55" t="n">
        <x:v>3293</x:v>
      </x:c>
      <x:c r="T371" s="55" t="n">
        <x:v>1291</x:v>
      </x:c>
      <x:c r="U371" s="55" t="n">
        <x:v>2096</x:v>
      </x:c>
      <x:c r="V371" s="55" t="n">
        <x:v>9972</x:v>
      </x:c>
      <x:c r="W371" s="55" t="n">
        <x:v>6724</x:v>
      </x:c>
      <x:c r="X371" s="55" t="n">
        <x:v>3248</x:v>
      </x:c>
      <x:c r="Y371" s="55" t="n">
        <x:v>2990</x:v>
      </x:c>
      <x:c r="Z371" s="55" t="n">
        <x:v>3889</x:v>
      </x:c>
      <x:c r="AA371" s="55" t="n">
        <x:v>3077</x:v>
      </x:c>
      <x:c r="AB371" s="55" t="n">
        <x:v>1069</x:v>
      </x:c>
      <x:c r="AC371" s="55" t="n">
        <x:v>7974</x:v>
      </x:c>
      <x:c r="AD371" s="55" t="n">
        <x:v>2568</x:v>
      </x:c>
      <x:c r="AE371" s="55" t="n">
        <x:v>10041</x:v>
      </x:c>
      <x:c r="AF371" s="55" t="n">
        <x:v>9972</x:v>
      </x:c>
      <x:c r="AG371" s="55" t="n">
        <x:v>69</x:v>
      </x:c>
      <x:c r="AH371" s="55" t="n">
        <x:v>505</x:v>
      </x:c>
      <x:c r="AI371" s="55" t="n">
        <x:v>9467</x:v>
      </x:c>
      <x:c r="AJ371" s="55" t="n">
        <x:v>466</x:v>
      </x:c>
      <x:c r="AK371" s="55" t="n">
        <x:v>1106</x:v>
      </x:c>
      <x:c r="AL371" s="55" t="n">
        <x:v>1391</x:v>
      </x:c>
      <x:c r="AM371" s="55" t="n">
        <x:v>4089</x:v>
      </x:c>
      <x:c r="AN371" s="55" t="n">
        <x:v>2920</x:v>
      </x:c>
      <x:c r="AO371" s="55" t="n">
        <x:v>0</x:v>
      </x:c>
      <x:c r="AP371" s="55" t="n">
        <x:v>2913</x:v>
      </x:c>
      <x:c r="AQ371" s="55" t="n">
        <x:v>994</x:v>
      </x:c>
    </x:row>
    <x:row r="372">
      <x:c r="A372" s="54" t="str">
        <x:v>T0_TABLE_BLOCK</x:v>
      </x:c>
      <x:c r="B372" s="54" t="n">
        <x:v>366</x:v>
      </x:c>
      <x:c r="C372" s="54" t="str">
        <x:v>NYC-V2-R01</x:v>
      </x:c>
      <x:c r="D372" s="54" t="str">
        <x:v>V2</x:v>
      </x:c>
      <x:c r="E372" s="54" t="str">
        <x:v>ADMITTED</x:v>
      </x:c>
      <x:c r="F372" s="55" t="n">
        <x:v>31203</x:v>
      </x:c>
      <x:c r="G372" s="55" t="n">
        <x:v>8431</x:v>
      </x:c>
      <x:c r="H372" s="55" t="n">
        <x:v>3538</x:v>
      </x:c>
      <x:c r="I372" s="55" t="n">
        <x:v>1230</x:v>
      </x:c>
      <x:c r="J372" s="55" t="n">
        <x:v>261</x:v>
      </x:c>
      <x:c r="K372" s="55" t="n">
        <x:v>31203</x:v>
      </x:c>
      <x:c r="L372" s="55" t="n">
        <x:v>6800</x:v>
      </x:c>
      <x:c r="M372" s="55" t="n">
        <x:v>1751</x:v>
      </x:c>
      <x:c r="N372" s="55" t="n">
        <x:v>3222</x:v>
      </x:c>
      <x:c r="O372" s="55" t="n">
        <x:v>1827</x:v>
      </x:c>
      <x:c r="P372" s="55" t="n">
        <x:v>999</x:v>
      </x:c>
      <x:c r="Q372" s="55" t="n">
        <x:v>2790</x:v>
      </x:c>
      <x:c r="R372" s="55" t="n">
        <x:v>1699</x:v>
      </x:c>
      <x:c r="S372" s="55" t="n">
        <x:v>2516</x:v>
      </x:c>
      <x:c r="T372" s="55" t="n">
        <x:v>1621</x:v>
      </x:c>
      <x:c r="U372" s="55" t="n">
        <x:v>1590</x:v>
      </x:c>
      <x:c r="V372" s="55" t="n">
        <x:v>10551</x:v>
      </x:c>
      <x:c r="W372" s="55" t="n">
        <x:v>7404</x:v>
      </x:c>
      <x:c r="X372" s="55" t="n">
        <x:v>3147</x:v>
      </x:c>
      <x:c r="Y372" s="55" t="n">
        <x:v>2798</x:v>
      </x:c>
      <x:c r="Z372" s="55" t="n">
        <x:v>3896</x:v>
      </x:c>
      <x:c r="AA372" s="55" t="n">
        <x:v>3538</x:v>
      </x:c>
      <x:c r="AB372" s="55" t="n">
        <x:v>1247</x:v>
      </x:c>
      <x:c r="AC372" s="55" t="n">
        <x:v>8252</x:v>
      </x:c>
      <x:c r="AD372" s="55" t="n">
        <x:v>2546</x:v>
      </x:c>
      <x:c r="AE372" s="55" t="n">
        <x:v>10610</x:v>
      </x:c>
      <x:c r="AF372" s="55" t="n">
        <x:v>10551</x:v>
      </x:c>
      <x:c r="AG372" s="55" t="n">
        <x:v>59</x:v>
      </x:c>
      <x:c r="AH372" s="55" t="n">
        <x:v>536</x:v>
      </x:c>
      <x:c r="AI372" s="55" t="n">
        <x:v>10015</x:v>
      </x:c>
      <x:c r="AJ372" s="55" t="n">
        <x:v>263</x:v>
      </x:c>
      <x:c r="AK372" s="55" t="n">
        <x:v>998</x:v>
      </x:c>
      <x:c r="AL372" s="55" t="n">
        <x:v>1480</x:v>
      </x:c>
      <x:c r="AM372" s="55" t="n">
        <x:v>5175</x:v>
      </x:c>
      <x:c r="AN372" s="55" t="n">
        <x:v>2530</x:v>
      </x:c>
      <x:c r="AO372" s="55" t="n">
        <x:v>105</x:v>
      </x:c>
      <x:c r="AP372" s="55" t="n">
        <x:v>2983</x:v>
      </x:c>
      <x:c r="AQ372" s="55" t="n">
        <x:v>951</x:v>
      </x:c>
    </x:row>
    <x:row r="373">
      <x:c r="A373" s="54" t="str">
        <x:v>T0_TABLE_BLOCK</x:v>
      </x:c>
      <x:c r="B373" s="54" t="n">
        <x:v>367</x:v>
      </x:c>
      <x:c r="C373" s="54" t="str">
        <x:v>NYC-V2-R01</x:v>
      </x:c>
      <x:c r="D373" s="54" t="str">
        <x:v>V2</x:v>
      </x:c>
      <x:c r="E373" s="54" t="str">
        <x:v>ADMITTED</x:v>
      </x:c>
      <x:c r="F373" s="55" t="n">
        <x:v>29420</x:v>
      </x:c>
      <x:c r="G373" s="55" t="n">
        <x:v>8536</x:v>
      </x:c>
      <x:c r="H373" s="55" t="n">
        <x:v>2847</x:v>
      </x:c>
      <x:c r="I373" s="55" t="n">
        <x:v>1279</x:v>
      </x:c>
      <x:c r="J373" s="55" t="n">
        <x:v>176</x:v>
      </x:c>
      <x:c r="K373" s="55" t="n">
        <x:v>28374</x:v>
      </x:c>
      <x:c r="L373" s="55" t="n">
        <x:v>5536</x:v>
      </x:c>
      <x:c r="M373" s="55" t="n">
        <x:v>652</x:v>
      </x:c>
      <x:c r="N373" s="55" t="n">
        <x:v>3199</x:v>
      </x:c>
      <x:c r="O373" s="55" t="n">
        <x:v>1685</x:v>
      </x:c>
      <x:c r="P373" s="55" t="n">
        <x:v>917</x:v>
      </x:c>
      <x:c r="Q373" s="55" t="n">
        <x:v>3042</x:v>
      </x:c>
      <x:c r="R373" s="55" t="n">
        <x:v>1679</x:v>
      </x:c>
      <x:c r="S373" s="55" t="n">
        <x:v>2120</x:v>
      </x:c>
      <x:c r="T373" s="55" t="n">
        <x:v>1480</x:v>
      </x:c>
      <x:c r="U373" s="55" t="n">
        <x:v>2130</x:v>
      </x:c>
      <x:c r="V373" s="55" t="n">
        <x:v>10552</x:v>
      </x:c>
      <x:c r="W373" s="55" t="n">
        <x:v>7567</x:v>
      </x:c>
      <x:c r="X373" s="55" t="n">
        <x:v>2985</x:v>
      </x:c>
      <x:c r="Y373" s="55" t="n">
        <x:v>2443</x:v>
      </x:c>
      <x:c r="Z373" s="55" t="n">
        <x:v>3881</x:v>
      </x:c>
      <x:c r="AA373" s="55" t="n">
        <x:v>2776</x:v>
      </x:c>
      <x:c r="AB373" s="55" t="n">
        <x:v>532</x:v>
      </x:c>
      <x:c r="AC373" s="55" t="n">
        <x:v>7772</x:v>
      </x:c>
      <x:c r="AD373" s="55" t="n">
        <x:v>3120</x:v>
      </x:c>
      <x:c r="AE373" s="55" t="n">
        <x:v>10667</x:v>
      </x:c>
      <x:c r="AF373" s="55" t="n">
        <x:v>10552</x:v>
      </x:c>
      <x:c r="AG373" s="55" t="n">
        <x:v>115</x:v>
      </x:c>
      <x:c r="AH373" s="55" t="n">
        <x:v>507</x:v>
      </x:c>
      <x:c r="AI373" s="55" t="n">
        <x:v>10045</x:v>
      </x:c>
      <x:c r="AJ373" s="55" t="n">
        <x:v>478</x:v>
      </x:c>
      <x:c r="AK373" s="55" t="n">
        <x:v>886</x:v>
      </x:c>
      <x:c r="AL373" s="55" t="n">
        <x:v>1969</x:v>
      </x:c>
      <x:c r="AM373" s="55" t="n">
        <x:v>4761</x:v>
      </x:c>
      <x:c r="AN373" s="55" t="n">
        <x:v>2458</x:v>
      </x:c>
      <x:c r="AO373" s="55" t="n">
        <x:v>0</x:v>
      </x:c>
      <x:c r="AP373" s="55" t="n">
        <x:v>2734</x:v>
      </x:c>
      <x:c r="AQ373" s="55" t="n">
        <x:v>963</x:v>
      </x:c>
    </x:row>
    <x:row r="374">
      <x:c r="A374" s="54" t="str">
        <x:v>T0_TABLE_BLOCK</x:v>
      </x:c>
      <x:c r="B374" s="54" t="n">
        <x:v>368</x:v>
      </x:c>
      <x:c r="C374" s="54" t="str">
        <x:v>NYC-V2-R01</x:v>
      </x:c>
      <x:c r="D374" s="54" t="str">
        <x:v>V2</x:v>
      </x:c>
      <x:c r="E374" s="54" t="str">
        <x:v>ADMITTED</x:v>
      </x:c>
      <x:c r="F374" s="55" t="n">
        <x:v>28883</x:v>
      </x:c>
      <x:c r="G374" s="55" t="n">
        <x:v>6283</x:v>
      </x:c>
      <x:c r="H374" s="55" t="n">
        <x:v>3531</x:v>
      </x:c>
      <x:c r="I374" s="55" t="n">
        <x:v>1341</x:v>
      </x:c>
      <x:c r="J374" s="55" t="n">
        <x:v>328</x:v>
      </x:c>
      <x:c r="K374" s="55" t="n">
        <x:v>28883</x:v>
      </x:c>
      <x:c r="L374" s="55" t="n">
        <x:v>4254</x:v>
      </x:c>
      <x:c r="M374" s="55" t="n">
        <x:v>0</x:v>
      </x:c>
      <x:c r="N374" s="55" t="n">
        <x:v>2377</x:v>
      </x:c>
      <x:c r="O374" s="55" t="n">
        <x:v>1877</x:v>
      </x:c>
      <x:c r="P374" s="55" t="n">
        <x:v>961</x:v>
      </x:c>
      <x:c r="Q374" s="55" t="n">
        <x:v>2689</x:v>
      </x:c>
      <x:c r="R374" s="55" t="n">
        <x:v>1752</x:v>
      </x:c>
      <x:c r="S374" s="55" t="n">
        <x:v>2457</x:v>
      </x:c>
      <x:c r="T374" s="55" t="n">
        <x:v>1342</x:v>
      </x:c>
      <x:c r="U374" s="55" t="n">
        <x:v>1718</x:v>
      </x:c>
      <x:c r="V374" s="55" t="n">
        <x:v>10361</x:v>
      </x:c>
      <x:c r="W374" s="55" t="n">
        <x:v>7387</x:v>
      </x:c>
      <x:c r="X374" s="55" t="n">
        <x:v>2974</x:v>
      </x:c>
      <x:c r="Y374" s="55" t="n">
        <x:v>2703</x:v>
      </x:c>
      <x:c r="Z374" s="55" t="n">
        <x:v>3997</x:v>
      </x:c>
      <x:c r="AA374" s="55" t="n">
        <x:v>3331</x:v>
      </x:c>
      <x:c r="AB374" s="55" t="n">
        <x:v>1242</x:v>
      </x:c>
      <x:c r="AC374" s="55" t="n">
        <x:v>8135</x:v>
      </x:c>
      <x:c r="AD374" s="55" t="n">
        <x:v>2131</x:v>
      </x:c>
      <x:c r="AE374" s="55" t="n">
        <x:v>10391</x:v>
      </x:c>
      <x:c r="AF374" s="55" t="n">
        <x:v>10361</x:v>
      </x:c>
      <x:c r="AG374" s="55" t="n">
        <x:v>30</x:v>
      </x:c>
      <x:c r="AH374" s="55" t="n">
        <x:v>414</x:v>
      </x:c>
      <x:c r="AI374" s="55" t="n">
        <x:v>9947</x:v>
      </x:c>
      <x:c r="AJ374" s="55" t="n">
        <x:v>243</x:v>
      </x:c>
      <x:c r="AK374" s="55" t="n">
        <x:v>908</x:v>
      </x:c>
      <x:c r="AL374" s="55" t="n">
        <x:v>1642</x:v>
      </x:c>
      <x:c r="AM374" s="55" t="n">
        <x:v>5295</x:v>
      </x:c>
      <x:c r="AN374" s="55" t="n">
        <x:v>2269</x:v>
      </x:c>
      <x:c r="AO374" s="55" t="n">
        <x:v>4</x:v>
      </x:c>
      <x:c r="AP374" s="55" t="n">
        <x:v>2409</x:v>
      </x:c>
      <x:c r="AQ374" s="55" t="n">
        <x:v>959</x:v>
      </x:c>
    </x:row>
    <x:row r="375">
      <x:c r="A375" s="54" t="str">
        <x:v>T0_TABLE_BLOCK</x:v>
      </x:c>
      <x:c r="B375" s="54" t="n">
        <x:v>369</x:v>
      </x:c>
      <x:c r="C375" s="54" t="str">
        <x:v>NYC-V2-R01</x:v>
      </x:c>
      <x:c r="D375" s="54" t="str">
        <x:v>V2</x:v>
      </x:c>
      <x:c r="E375" s="54" t="str">
        <x:v>ADMITTED</x:v>
      </x:c>
      <x:c r="F375" s="55" t="n">
        <x:v>30331</x:v>
      </x:c>
      <x:c r="G375" s="55" t="n">
        <x:v>7552</x:v>
      </x:c>
      <x:c r="H375" s="55" t="n">
        <x:v>3057</x:v>
      </x:c>
      <x:c r="I375" s="55" t="n">
        <x:v>1296</x:v>
      </x:c>
      <x:c r="J375" s="55" t="n">
        <x:v>161</x:v>
      </x:c>
      <x:c r="K375" s="55" t="n">
        <x:v>30331</x:v>
      </x:c>
      <x:c r="L375" s="55" t="n">
        <x:v>5551</x:v>
      </x:c>
      <x:c r="M375" s="55" t="n">
        <x:v>1367</x:v>
      </x:c>
      <x:c r="N375" s="55" t="n">
        <x:v>2398</x:v>
      </x:c>
      <x:c r="O375" s="55" t="n">
        <x:v>1786</x:v>
      </x:c>
      <x:c r="P375" s="55" t="n">
        <x:v>737</x:v>
      </x:c>
      <x:c r="Q375" s="55" t="n">
        <x:v>3004</x:v>
      </x:c>
      <x:c r="R375" s="55" t="n">
        <x:v>2102</x:v>
      </x:c>
      <x:c r="S375" s="55" t="n">
        <x:v>2921</x:v>
      </x:c>
      <x:c r="T375" s="55" t="n">
        <x:v>827</x:v>
      </x:c>
      <x:c r="U375" s="55" t="n">
        <x:v>2285</x:v>
      </x:c>
      <x:c r="V375" s="55" t="n">
        <x:v>10701</x:v>
      </x:c>
      <x:c r="W375" s="55" t="n">
        <x:v>7540</x:v>
      </x:c>
      <x:c r="X375" s="55" t="n">
        <x:v>3161</x:v>
      </x:c>
      <x:c r="Y375" s="55" t="n">
        <x:v>2641</x:v>
      </x:c>
      <x:c r="Z375" s="55" t="n">
        <x:v>3721</x:v>
      </x:c>
      <x:c r="AA375" s="55" t="n">
        <x:v>2814</x:v>
      </x:c>
      <x:c r="AB375" s="55" t="n">
        <x:v>1033</x:v>
      </x:c>
      <x:c r="AC375" s="55" t="n">
        <x:v>8424</x:v>
      </x:c>
      <x:c r="AD375" s="55" t="n">
        <x:v>2701</x:v>
      </x:c>
      <x:c r="AE375" s="55" t="n">
        <x:v>10807</x:v>
      </x:c>
      <x:c r="AF375" s="55" t="n">
        <x:v>10701</x:v>
      </x:c>
      <x:c r="AG375" s="55" t="n">
        <x:v>106</x:v>
      </x:c>
      <x:c r="AH375" s="55" t="n">
        <x:v>437</x:v>
      </x:c>
      <x:c r="AI375" s="55" t="n">
        <x:v>10264</x:v>
      </x:c>
      <x:c r="AJ375" s="55" t="n">
        <x:v>420</x:v>
      </x:c>
      <x:c r="AK375" s="55" t="n">
        <x:v>427</x:v>
      </x:c>
      <x:c r="AL375" s="55" t="n">
        <x:v>1799</x:v>
      </x:c>
      <x:c r="AM375" s="55" t="n">
        <x:v>4995</x:v>
      </x:c>
      <x:c r="AN375" s="55" t="n">
        <x:v>3060</x:v>
      </x:c>
      <x:c r="AO375" s="55" t="n">
        <x:v>0</x:v>
      </x:c>
      <x:c r="AP375" s="55" t="n">
        <x:v>2258</x:v>
      </x:c>
      <x:c r="AQ375" s="55" t="n">
        <x:v>953</x:v>
      </x:c>
    </x:row>
    <x:row r="376">
      <x:c r="A376" s="54" t="str">
        <x:v>T0_TABLE_BLOCK</x:v>
      </x:c>
      <x:c r="B376" s="54" t="n">
        <x:v>370</x:v>
      </x:c>
      <x:c r="C376" s="54" t="str">
        <x:v>NYC-V2-R01</x:v>
      </x:c>
      <x:c r="D376" s="54" t="str">
        <x:v>V2</x:v>
      </x:c>
      <x:c r="E376" s="54" t="str">
        <x:v>ADMITTED</x:v>
      </x:c>
      <x:c r="F376" s="55" t="n">
        <x:v>30227</x:v>
      </x:c>
      <x:c r="G376" s="55" t="n">
        <x:v>7516</x:v>
      </x:c>
      <x:c r="H376" s="55" t="n">
        <x:v>3186</x:v>
      </x:c>
      <x:c r="I376" s="55" t="n">
        <x:v>1319</x:v>
      </x:c>
      <x:c r="J376" s="55" t="n">
        <x:v>477</x:v>
      </x:c>
      <x:c r="K376" s="55" t="n">
        <x:v>30227</x:v>
      </x:c>
      <x:c r="L376" s="55" t="n">
        <x:v>5509</x:v>
      </x:c>
      <x:c r="M376" s="55" t="n">
        <x:v>1463</x:v>
      </x:c>
      <x:c r="N376" s="55" t="n">
        <x:v>2368</x:v>
      </x:c>
      <x:c r="O376" s="55" t="n">
        <x:v>1678</x:v>
      </x:c>
      <x:c r="P376" s="55" t="n">
        <x:v>557</x:v>
      </x:c>
      <x:c r="Q376" s="55" t="n">
        <x:v>1803</x:v>
      </x:c>
      <x:c r="R376" s="55" t="n">
        <x:v>1482</x:v>
      </x:c>
      <x:c r="S376" s="55" t="n">
        <x:v>2375</x:v>
      </x:c>
      <x:c r="T376" s="55" t="n">
        <x:v>1468</x:v>
      </x:c>
      <x:c r="U376" s="55" t="n">
        <x:v>2189</x:v>
      </x:c>
      <x:c r="V376" s="55" t="n">
        <x:v>9888</x:v>
      </x:c>
      <x:c r="W376" s="55" t="n">
        <x:v>7112</x:v>
      </x:c>
      <x:c r="X376" s="55" t="n">
        <x:v>2776</x:v>
      </x:c>
      <x:c r="Y376" s="55" t="n">
        <x:v>2544</x:v>
      </x:c>
      <x:c r="Z376" s="55" t="n">
        <x:v>3833</x:v>
      </x:c>
      <x:c r="AA376" s="55" t="n">
        <x:v>2944</x:v>
      </x:c>
      <x:c r="AB376" s="55" t="n">
        <x:v>1063</x:v>
      </x:c>
      <x:c r="AC376" s="55" t="n">
        <x:v>8248</x:v>
      </x:c>
      <x:c r="AD376" s="55" t="n">
        <x:v>3063</x:v>
      </x:c>
      <x:c r="AE376" s="55" t="n">
        <x:v>10013</x:v>
      </x:c>
      <x:c r="AF376" s="55" t="n">
        <x:v>9888</x:v>
      </x:c>
      <x:c r="AG376" s="55" t="n">
        <x:v>125</x:v>
      </x:c>
      <x:c r="AH376" s="55" t="n">
        <x:v>497</x:v>
      </x:c>
      <x:c r="AI376" s="55" t="n">
        <x:v>9391</x:v>
      </x:c>
      <x:c r="AJ376" s="55" t="n">
        <x:v>438</x:v>
      </x:c>
      <x:c r="AK376" s="55" t="n">
        <x:v>1153</x:v>
      </x:c>
      <x:c r="AL376" s="55" t="n">
        <x:v>1345</x:v>
      </x:c>
      <x:c r="AM376" s="55" t="n">
        <x:v>4435</x:v>
      </x:c>
      <x:c r="AN376" s="55" t="n">
        <x:v>2517</x:v>
      </x:c>
      <x:c r="AO376" s="55" t="n">
        <x:v>0</x:v>
      </x:c>
      <x:c r="AP376" s="55" t="n">
        <x:v>2181</x:v>
      </x:c>
      <x:c r="AQ376" s="55" t="n">
        <x:v>978</x:v>
      </x:c>
    </x:row>
    <x:row r="377">
      <x:c r="A377" s="54" t="str">
        <x:v>T0_TABLE_BLOCK</x:v>
      </x:c>
      <x:c r="B377" s="54" t="n">
        <x:v>371</x:v>
      </x:c>
      <x:c r="C377" s="54" t="str">
        <x:v>NYC-V2-R01</x:v>
      </x:c>
      <x:c r="D377" s="54" t="str">
        <x:v>V2</x:v>
      </x:c>
      <x:c r="E377" s="54" t="str">
        <x:v>ADMITTED</x:v>
      </x:c>
      <x:c r="F377" s="55" t="n">
        <x:v>31927</x:v>
      </x:c>
      <x:c r="G377" s="55" t="n">
        <x:v>8310</x:v>
      </x:c>
      <x:c r="H377" s="55" t="n">
        <x:v>3245</x:v>
      </x:c>
      <x:c r="I377" s="55" t="n">
        <x:v>1192</x:v>
      </x:c>
      <x:c r="J377" s="55" t="n">
        <x:v>231</x:v>
      </x:c>
      <x:c r="K377" s="55" t="n">
        <x:v>29458</x:v>
      </x:c>
      <x:c r="L377" s="55" t="n">
        <x:v>5429</x:v>
      </x:c>
      <x:c r="M377" s="55" t="n">
        <x:v>1677</x:v>
      </x:c>
      <x:c r="N377" s="55" t="n">
        <x:v>2116</x:v>
      </x:c>
      <x:c r="O377" s="55" t="n">
        <x:v>1636</x:v>
      </x:c>
      <x:c r="P377" s="55" t="n">
        <x:v>561</x:v>
      </x:c>
      <x:c r="Q377" s="55" t="n">
        <x:v>2464</x:v>
      </x:c>
      <x:c r="R377" s="55" t="n">
        <x:v>1249</x:v>
      </x:c>
      <x:c r="S377" s="55" t="n">
        <x:v>2206</x:v>
      </x:c>
      <x:c r="T377" s="55" t="n">
        <x:v>879</x:v>
      </x:c>
      <x:c r="U377" s="55" t="n">
        <x:v>1489</x:v>
      </x:c>
      <x:c r="V377" s="55" t="n">
        <x:v>10171</x:v>
      </x:c>
      <x:c r="W377" s="55" t="n">
        <x:v>7203</x:v>
      </x:c>
      <x:c r="X377" s="55" t="n">
        <x:v>2968</x:v>
      </x:c>
      <x:c r="Y377" s="55" t="n">
        <x:v>2301</x:v>
      </x:c>
      <x:c r="Z377" s="55" t="n">
        <x:v>3024</x:v>
      </x:c>
      <x:c r="AA377" s="55" t="n">
        <x:v>2656</x:v>
      </x:c>
      <x:c r="AB377" s="55" t="n">
        <x:v>916</x:v>
      </x:c>
      <x:c r="AC377" s="55" t="n">
        <x:v>8174</x:v>
      </x:c>
      <x:c r="AD377" s="55" t="n">
        <x:v>2774</x:v>
      </x:c>
      <x:c r="AE377" s="55" t="n">
        <x:v>10264</x:v>
      </x:c>
      <x:c r="AF377" s="55" t="n">
        <x:v>10171</x:v>
      </x:c>
      <x:c r="AG377" s="55" t="n">
        <x:v>93</x:v>
      </x:c>
      <x:c r="AH377" s="55" t="n">
        <x:v>124</x:v>
      </x:c>
      <x:c r="AI377" s="55" t="n">
        <x:v>10047</x:v>
      </x:c>
      <x:c r="AJ377" s="55" t="n">
        <x:v>218</x:v>
      </x:c>
      <x:c r="AK377" s="55" t="n">
        <x:v>865</x:v>
      </x:c>
      <x:c r="AL377" s="55" t="n">
        <x:v>1657</x:v>
      </x:c>
      <x:c r="AM377" s="55" t="n">
        <x:v>5002</x:v>
      </x:c>
      <x:c r="AN377" s="55" t="n">
        <x:v>2429</x:v>
      </x:c>
      <x:c r="AO377" s="55" t="n">
        <x:v>0</x:v>
      </x:c>
      <x:c r="AP377" s="55" t="n">
        <x:v>1921</x:v>
      </x:c>
      <x:c r="AQ377" s="55" t="n">
        <x:v>955</x:v>
      </x:c>
    </x:row>
    <x:row r="378">
      <x:c r="A378" s="54" t="str">
        <x:v>T0_TABLE_BLOCK</x:v>
      </x:c>
      <x:c r="B378" s="54" t="n">
        <x:v>372</x:v>
      </x:c>
      <x:c r="C378" s="54" t="str">
        <x:v>NYC-V2-R01</x:v>
      </x:c>
      <x:c r="D378" s="54" t="str">
        <x:v>V2</x:v>
      </x:c>
      <x:c r="E378" s="54" t="str">
        <x:v>ADMITTED</x:v>
      </x:c>
      <x:c r="F378" s="55" t="n">
        <x:v>30034</x:v>
      </x:c>
      <x:c r="G378" s="55" t="n">
        <x:v>6384</x:v>
      </x:c>
      <x:c r="H378" s="55" t="n">
        <x:v>3248</x:v>
      </x:c>
      <x:c r="I378" s="55" t="n">
        <x:v>1502</x:v>
      </x:c>
      <x:c r="J378" s="55" t="n">
        <x:v>333</x:v>
      </x:c>
      <x:c r="K378" s="55" t="n">
        <x:v>30034</x:v>
      </x:c>
      <x:c r="L378" s="55" t="n">
        <x:v>5803</x:v>
      </x:c>
      <x:c r="M378" s="55" t="n">
        <x:v>1751</x:v>
      </x:c>
      <x:c r="N378" s="55" t="n">
        <x:v>2245</x:v>
      </x:c>
      <x:c r="O378" s="55" t="n">
        <x:v>1807</x:v>
      </x:c>
      <x:c r="P378" s="55" t="n">
        <x:v>1013</x:v>
      </x:c>
      <x:c r="Q378" s="55" t="n">
        <x:v>3313</x:v>
      </x:c>
      <x:c r="R378" s="55" t="n">
        <x:v>2346</x:v>
      </x:c>
      <x:c r="S378" s="55" t="n">
        <x:v>3306</x:v>
      </x:c>
      <x:c r="T378" s="55" t="n">
        <x:v>1131</x:v>
      </x:c>
      <x:c r="U378" s="55" t="n">
        <x:v>1612</x:v>
      </x:c>
      <x:c r="V378" s="55" t="n">
        <x:v>9769</x:v>
      </x:c>
      <x:c r="W378" s="55" t="n">
        <x:v>6776</x:v>
      </x:c>
      <x:c r="X378" s="55" t="n">
        <x:v>2993</x:v>
      </x:c>
      <x:c r="Y378" s="55" t="n">
        <x:v>2643</x:v>
      </x:c>
      <x:c r="Z378" s="55" t="n">
        <x:v>3591</x:v>
      </x:c>
      <x:c r="AA378" s="55" t="n">
        <x:v>3040</x:v>
      </x:c>
      <x:c r="AB378" s="55" t="n">
        <x:v>1134</x:v>
      </x:c>
      <x:c r="AC378" s="55" t="n">
        <x:v>8268</x:v>
      </x:c>
      <x:c r="AD378" s="55" t="n">
        <x:v>2833</x:v>
      </x:c>
      <x:c r="AE378" s="55" t="n">
        <x:v>9897</x:v>
      </x:c>
      <x:c r="AF378" s="55" t="n">
        <x:v>9769</x:v>
      </x:c>
      <x:c r="AG378" s="55" t="n">
        <x:v>128</x:v>
      </x:c>
      <x:c r="AH378" s="55" t="n">
        <x:v>235</x:v>
      </x:c>
      <x:c r="AI378" s="55" t="n">
        <x:v>9534</x:v>
      </x:c>
      <x:c r="AJ378" s="55" t="n">
        <x:v>183</x:v>
      </x:c>
      <x:c r="AK378" s="55" t="n">
        <x:v>915</x:v>
      </x:c>
      <x:c r="AL378" s="55" t="n">
        <x:v>1844</x:v>
      </x:c>
      <x:c r="AM378" s="55" t="n">
        <x:v>5094</x:v>
      </x:c>
      <x:c r="AN378" s="55" t="n">
        <x:v>1733</x:v>
      </x:c>
      <x:c r="AO378" s="55" t="n">
        <x:v>0</x:v>
      </x:c>
      <x:c r="AP378" s="55" t="n">
        <x:v>2523</x:v>
      </x:c>
      <x:c r="AQ378" s="55" t="n">
        <x:v>953</x:v>
      </x:c>
    </x:row>
    <x:row r="379">
      <x:c r="A379" s="54" t="str">
        <x:v>T0_TABLE_BLOCK</x:v>
      </x:c>
      <x:c r="B379" s="54" t="n">
        <x:v>373</x:v>
      </x:c>
      <x:c r="C379" s="54" t="str">
        <x:v>NYC-V2-R01</x:v>
      </x:c>
      <x:c r="D379" s="54" t="str">
        <x:v>V2</x:v>
      </x:c>
      <x:c r="E379" s="54" t="str">
        <x:v>ADMITTED</x:v>
      </x:c>
      <x:c r="F379" s="55" t="n">
        <x:v>30259</x:v>
      </x:c>
      <x:c r="G379" s="55" t="n">
        <x:v>6802</x:v>
      </x:c>
      <x:c r="H379" s="55" t="n">
        <x:v>3158</x:v>
      </x:c>
      <x:c r="I379" s="55" t="n">
        <x:v>1236</x:v>
      </x:c>
      <x:c r="J379" s="55" t="n">
        <x:v>273</x:v>
      </x:c>
      <x:c r="K379" s="55" t="n">
        <x:v>30259</x:v>
      </x:c>
      <x:c r="L379" s="55" t="n">
        <x:v>5530</x:v>
      </x:c>
      <x:c r="M379" s="55" t="n">
        <x:v>1839</x:v>
      </x:c>
      <x:c r="N379" s="55" t="n">
        <x:v>2504</x:v>
      </x:c>
      <x:c r="O379" s="55" t="n">
        <x:v>1187</x:v>
      </x:c>
      <x:c r="P379" s="55" t="n">
        <x:v>907</x:v>
      </x:c>
      <x:c r="Q379" s="55" t="n">
        <x:v>2078</x:v>
      </x:c>
      <x:c r="R379" s="55" t="n">
        <x:v>2095</x:v>
      </x:c>
      <x:c r="S379" s="55" t="n">
        <x:v>1963</x:v>
      </x:c>
      <x:c r="T379" s="55" t="n">
        <x:v>1074</x:v>
      </x:c>
      <x:c r="U379" s="55" t="n">
        <x:v>2922</x:v>
      </x:c>
      <x:c r="V379" s="55" t="n">
        <x:v>10248</x:v>
      </x:c>
      <x:c r="W379" s="55" t="n">
        <x:v>6769</x:v>
      </x:c>
      <x:c r="X379" s="55" t="n">
        <x:v>3479</x:v>
      </x:c>
      <x:c r="Y379" s="55" t="n">
        <x:v>2756</x:v>
      </x:c>
      <x:c r="Z379" s="55" t="n">
        <x:v>2862</x:v>
      </x:c>
      <x:c r="AA379" s="55" t="n">
        <x:v>3158</x:v>
      </x:c>
      <x:c r="AB379" s="55" t="n">
        <x:v>1062</x:v>
      </x:c>
      <x:c r="AC379" s="55" t="n">
        <x:v>7534</x:v>
      </x:c>
      <x:c r="AD379" s="55" t="n">
        <x:v>2520</x:v>
      </x:c>
      <x:c r="AE379" s="55" t="n">
        <x:v>10381</x:v>
      </x:c>
      <x:c r="AF379" s="55" t="n">
        <x:v>10248</x:v>
      </x:c>
      <x:c r="AG379" s="55" t="n">
        <x:v>133</x:v>
      </x:c>
      <x:c r="AH379" s="55" t="n">
        <x:v>344</x:v>
      </x:c>
      <x:c r="AI379" s="55" t="n">
        <x:v>9904</x:v>
      </x:c>
      <x:c r="AJ379" s="55" t="n">
        <x:v>357</x:v>
      </x:c>
      <x:c r="AK379" s="55" t="n">
        <x:v>1032</x:v>
      </x:c>
      <x:c r="AL379" s="55" t="n">
        <x:v>1223</x:v>
      </x:c>
      <x:c r="AM379" s="55" t="n">
        <x:v>4870</x:v>
      </x:c>
      <x:c r="AN379" s="55" t="n">
        <x:v>2766</x:v>
      </x:c>
      <x:c r="AO379" s="55" t="n">
        <x:v>0</x:v>
      </x:c>
      <x:c r="AP379" s="55" t="n">
        <x:v>2622</x:v>
      </x:c>
      <x:c r="AQ379" s="55" t="n">
        <x:v>947</x:v>
      </x:c>
    </x:row>
    <x:row r="380">
      <x:c r="A380" s="54" t="str">
        <x:v>T0_TABLE_BLOCK</x:v>
      </x:c>
      <x:c r="B380" s="54" t="n">
        <x:v>374</x:v>
      </x:c>
      <x:c r="C380" s="54" t="str">
        <x:v>NYC-V2-R01</x:v>
      </x:c>
      <x:c r="D380" s="54" t="str">
        <x:v>V2</x:v>
      </x:c>
      <x:c r="E380" s="54" t="str">
        <x:v>ADMITTED</x:v>
      </x:c>
      <x:c r="F380" s="55" t="n">
        <x:v>31830</x:v>
      </x:c>
      <x:c r="G380" s="55" t="n">
        <x:v>8383</x:v>
      </x:c>
      <x:c r="H380" s="55" t="n">
        <x:v>3017</x:v>
      </x:c>
      <x:c r="I380" s="55" t="n">
        <x:v>1785</x:v>
      </x:c>
      <x:c r="J380" s="55" t="n">
        <x:v>319</x:v>
      </x:c>
      <x:c r="K380" s="55" t="n">
        <x:v>31830</x:v>
      </x:c>
      <x:c r="L380" s="55" t="n">
        <x:v>5700</x:v>
      </x:c>
      <x:c r="M380" s="55" t="n">
        <x:v>1756</x:v>
      </x:c>
      <x:c r="N380" s="55" t="n">
        <x:v>2559</x:v>
      </x:c>
      <x:c r="O380" s="55" t="n">
        <x:v>1385</x:v>
      </x:c>
      <x:c r="P380" s="55" t="n">
        <x:v>655</x:v>
      </x:c>
      <x:c r="Q380" s="55" t="n">
        <x:v>2065</x:v>
      </x:c>
      <x:c r="R380" s="55" t="n">
        <x:v>1896</x:v>
      </x:c>
      <x:c r="S380" s="55" t="n">
        <x:v>2790</x:v>
      </x:c>
      <x:c r="T380" s="55" t="n">
        <x:v>1383</x:v>
      </x:c>
      <x:c r="U380" s="55" t="n">
        <x:v>1239</x:v>
      </x:c>
      <x:c r="V380" s="55" t="n">
        <x:v>10548</x:v>
      </x:c>
      <x:c r="W380" s="55" t="n">
        <x:v>7350</x:v>
      </x:c>
      <x:c r="X380" s="55" t="n">
        <x:v>3198</x:v>
      </x:c>
      <x:c r="Y380" s="55" t="n">
        <x:v>2638</x:v>
      </x:c>
      <x:c r="Z380" s="55" t="n">
        <x:v>3736</x:v>
      </x:c>
      <x:c r="AA380" s="55" t="n">
        <x:v>3017</x:v>
      </x:c>
      <x:c r="AB380" s="55" t="n">
        <x:v>1015</x:v>
      </x:c>
      <x:c r="AC380" s="55" t="n">
        <x:v>7812</x:v>
      </x:c>
      <x:c r="AD380" s="55" t="n">
        <x:v>2880</x:v>
      </x:c>
      <x:c r="AE380" s="55" t="n">
        <x:v>10697</x:v>
      </x:c>
      <x:c r="AF380" s="55" t="n">
        <x:v>10548</x:v>
      </x:c>
      <x:c r="AG380" s="55" t="n">
        <x:v>149</x:v>
      </x:c>
      <x:c r="AH380" s="55" t="n">
        <x:v>498</x:v>
      </x:c>
      <x:c r="AI380" s="55" t="n">
        <x:v>10050</x:v>
      </x:c>
      <x:c r="AJ380" s="55" t="n">
        <x:v>181</x:v>
      </x:c>
      <x:c r="AK380" s="55" t="n">
        <x:v>982</x:v>
      </x:c>
      <x:c r="AL380" s="55" t="n">
        <x:v>1106</x:v>
      </x:c>
      <x:c r="AM380" s="55" t="n">
        <x:v>5426</x:v>
      </x:c>
      <x:c r="AN380" s="55" t="n">
        <x:v>2781</x:v>
      </x:c>
      <x:c r="AO380" s="55" t="n">
        <x:v>72</x:v>
      </x:c>
      <x:c r="AP380" s="55" t="n">
        <x:v>2507</x:v>
      </x:c>
      <x:c r="AQ380" s="55" t="n">
        <x:v>963</x:v>
      </x:c>
    </x:row>
    <x:row r="381">
      <x:c r="A381" s="54" t="str">
        <x:v>T0_TABLE_BLOCK</x:v>
      </x:c>
      <x:c r="B381" s="54" t="n">
        <x:v>375</x:v>
      </x:c>
      <x:c r="C381" s="54" t="str">
        <x:v>NYC-V2-R01</x:v>
      </x:c>
      <x:c r="D381" s="54" t="str">
        <x:v>V2</x:v>
      </x:c>
      <x:c r="E381" s="54" t="str">
        <x:v>ADMITTED</x:v>
      </x:c>
      <x:c r="F381" s="55" t="n">
        <x:v>31729</x:v>
      </x:c>
      <x:c r="G381" s="55" t="n">
        <x:v>7789</x:v>
      </x:c>
      <x:c r="H381" s="55" t="n">
        <x:v>3280</x:v>
      </x:c>
      <x:c r="I381" s="55" t="n">
        <x:v>761</x:v>
      </x:c>
      <x:c r="J381" s="55" t="n">
        <x:v>200</x:v>
      </x:c>
      <x:c r="K381" s="55" t="n">
        <x:v>31729</x:v>
      </x:c>
      <x:c r="L381" s="55" t="n">
        <x:v>5189</x:v>
      </x:c>
      <x:c r="M381" s="55" t="n">
        <x:v>1504</x:v>
      </x:c>
      <x:c r="N381" s="55" t="n">
        <x:v>2221</x:v>
      </x:c>
      <x:c r="O381" s="55" t="n">
        <x:v>1464</x:v>
      </x:c>
      <x:c r="P381" s="55" t="n">
        <x:v>902</x:v>
      </x:c>
      <x:c r="Q381" s="55" t="n">
        <x:v>3184</x:v>
      </x:c>
      <x:c r="R381" s="55" t="n">
        <x:v>1994</x:v>
      </x:c>
      <x:c r="S381" s="55" t="n">
        <x:v>2634</x:v>
      </x:c>
      <x:c r="T381" s="55" t="n">
        <x:v>915</x:v>
      </x:c>
      <x:c r="U381" s="55" t="n">
        <x:v>2317</x:v>
      </x:c>
      <x:c r="V381" s="55" t="n">
        <x:v>10570</x:v>
      </x:c>
      <x:c r="W381" s="55" t="n">
        <x:v>7387</x:v>
      </x:c>
      <x:c r="X381" s="55" t="n">
        <x:v>3183</x:v>
      </x:c>
      <x:c r="Y381" s="55" t="n">
        <x:v>2786</x:v>
      </x:c>
      <x:c r="Z381" s="55" t="n">
        <x:v>3897</x:v>
      </x:c>
      <x:c r="AA381" s="55" t="n">
        <x:v>3280</x:v>
      </x:c>
      <x:c r="AB381" s="55" t="n">
        <x:v>1469</x:v>
      </x:c>
      <x:c r="AC381" s="55" t="n">
        <x:v>7902</x:v>
      </x:c>
      <x:c r="AD381" s="55" t="n">
        <x:v>2348</x:v>
      </x:c>
      <x:c r="AE381" s="55" t="n">
        <x:v>10570</x:v>
      </x:c>
      <x:c r="AF381" s="55" t="n">
        <x:v>10570</x:v>
      </x:c>
      <x:c r="AG381" s="55" t="n">
        <x:v>0</x:v>
      </x:c>
      <x:c r="AH381" s="55" t="n">
        <x:v>390</x:v>
      </x:c>
      <x:c r="AI381" s="55" t="n">
        <x:v>10180</x:v>
      </x:c>
      <x:c r="AJ381" s="55" t="n">
        <x:v>399</x:v>
      </x:c>
      <x:c r="AK381" s="55" t="n">
        <x:v>1012</x:v>
      </x:c>
      <x:c r="AL381" s="55" t="n">
        <x:v>1776</x:v>
      </x:c>
      <x:c r="AM381" s="55" t="n">
        <x:v>4761</x:v>
      </x:c>
      <x:c r="AN381" s="55" t="n">
        <x:v>2622</x:v>
      </x:c>
      <x:c r="AO381" s="55" t="n">
        <x:v>0</x:v>
      </x:c>
      <x:c r="AP381" s="55" t="n">
        <x:v>2349</x:v>
      </x:c>
      <x:c r="AQ381" s="55" t="n">
        <x:v>984</x:v>
      </x:c>
    </x:row>
    <x:row r="382">
      <x:c r="A382" s="54" t="str">
        <x:v>T0_TABLE_BLOCK</x:v>
      </x:c>
      <x:c r="B382" s="54" t="n">
        <x:v>376</x:v>
      </x:c>
      <x:c r="C382" s="54" t="str">
        <x:v>NYC-V2-R01</x:v>
      </x:c>
      <x:c r="D382" s="54" t="str">
        <x:v>V2</x:v>
      </x:c>
      <x:c r="E382" s="54" t="str">
        <x:v>ADMITTED</x:v>
      </x:c>
      <x:c r="F382" s="55" t="n">
        <x:v>32736</x:v>
      </x:c>
      <x:c r="G382" s="55" t="n">
        <x:v>8947</x:v>
      </x:c>
      <x:c r="H382" s="55" t="n">
        <x:v>3266</x:v>
      </x:c>
      <x:c r="I382" s="55" t="n">
        <x:v>1651</x:v>
      </x:c>
      <x:c r="J382" s="55" t="n">
        <x:v>159</x:v>
      </x:c>
      <x:c r="K382" s="55" t="n">
        <x:v>32736</x:v>
      </x:c>
      <x:c r="L382" s="55" t="n">
        <x:v>6102</x:v>
      </x:c>
      <x:c r="M382" s="55" t="n">
        <x:v>1230</x:v>
      </x:c>
      <x:c r="N382" s="55" t="n">
        <x:v>2804</x:v>
      </x:c>
      <x:c r="O382" s="55" t="n">
        <x:v>2068</x:v>
      </x:c>
      <x:c r="P382" s="55" t="n">
        <x:v>1130</x:v>
      </x:c>
      <x:c r="Q382" s="55" t="n">
        <x:v>2858</x:v>
      </x:c>
      <x:c r="R382" s="55" t="n">
        <x:v>1847</x:v>
      </x:c>
      <x:c r="S382" s="55" t="n">
        <x:v>3027</x:v>
      </x:c>
      <x:c r="T382" s="55" t="n">
        <x:v>1476</x:v>
      </x:c>
      <x:c r="U382" s="55" t="n">
        <x:v>1889</x:v>
      </x:c>
      <x:c r="V382" s="55" t="n">
        <x:v>10029</x:v>
      </x:c>
      <x:c r="W382" s="55" t="n">
        <x:v>6872</x:v>
      </x:c>
      <x:c r="X382" s="55" t="n">
        <x:v>3157</x:v>
      </x:c>
      <x:c r="Y382" s="55" t="n">
        <x:v>2790</x:v>
      </x:c>
      <x:c r="Z382" s="55" t="n">
        <x:v>4072</x:v>
      </x:c>
      <x:c r="AA382" s="55" t="n">
        <x:v>2529</x:v>
      </x:c>
      <x:c r="AB382" s="55" t="n">
        <x:v>953</x:v>
      </x:c>
      <x:c r="AC382" s="55" t="n">
        <x:v>7571</x:v>
      </x:c>
      <x:c r="AD382" s="55" t="n">
        <x:v>2510</x:v>
      </x:c>
      <x:c r="AE382" s="55" t="n">
        <x:v>10102</x:v>
      </x:c>
      <x:c r="AF382" s="55" t="n">
        <x:v>10029</x:v>
      </x:c>
      <x:c r="AG382" s="55" t="n">
        <x:v>73</x:v>
      </x:c>
      <x:c r="AH382" s="55" t="n">
        <x:v>383</x:v>
      </x:c>
      <x:c r="AI382" s="55" t="n">
        <x:v>9646</x:v>
      </x:c>
      <x:c r="AJ382" s="55" t="n">
        <x:v>407</x:v>
      </x:c>
      <x:c r="AK382" s="55" t="n">
        <x:v>549</x:v>
      </x:c>
      <x:c r="AL382" s="55" t="n">
        <x:v>1905</x:v>
      </x:c>
      <x:c r="AM382" s="55" t="n">
        <x:v>4747</x:v>
      </x:c>
      <x:c r="AN382" s="55" t="n">
        <x:v>2421</x:v>
      </x:c>
      <x:c r="AO382" s="55" t="n">
        <x:v>0</x:v>
      </x:c>
      <x:c r="AP382" s="55" t="n">
        <x:v>2512</x:v>
      </x:c>
      <x:c r="AQ382" s="55" t="n">
        <x:v>937</x:v>
      </x:c>
    </x:row>
    <x:row r="383">
      <x:c r="A383" s="54" t="str">
        <x:v>T0_TABLE_BLOCK</x:v>
      </x:c>
      <x:c r="B383" s="54" t="n">
        <x:v>377</x:v>
      </x:c>
      <x:c r="C383" s="54" t="str">
        <x:v>NYC-V2-R01</x:v>
      </x:c>
      <x:c r="D383" s="54" t="str">
        <x:v>V2</x:v>
      </x:c>
      <x:c r="E383" s="54" t="str">
        <x:v>ADMITTED</x:v>
      </x:c>
      <x:c r="F383" s="55" t="n">
        <x:v>31914</x:v>
      </x:c>
      <x:c r="G383" s="55" t="n">
        <x:v>6581</x:v>
      </x:c>
      <x:c r="H383" s="55" t="n">
        <x:v>2983</x:v>
      </x:c>
      <x:c r="I383" s="55" t="n">
        <x:v>1152</x:v>
      </x:c>
      <x:c r="J383" s="55" t="n">
        <x:v>169</x:v>
      </x:c>
      <x:c r="K383" s="55" t="n">
        <x:v>31914</x:v>
      </x:c>
      <x:c r="L383" s="55" t="n">
        <x:v>6846</x:v>
      </x:c>
      <x:c r="M383" s="55" t="n">
        <x:v>1925</x:v>
      </x:c>
      <x:c r="N383" s="55" t="n">
        <x:v>2684</x:v>
      </x:c>
      <x:c r="O383" s="55" t="n">
        <x:v>2237</x:v>
      </x:c>
      <x:c r="P383" s="55" t="n">
        <x:v>1050</x:v>
      </x:c>
      <x:c r="Q383" s="55" t="n">
        <x:v>1666</x:v>
      </x:c>
      <x:c r="R383" s="55" t="n">
        <x:v>2318</x:v>
      </x:c>
      <x:c r="S383" s="55" t="n">
        <x:v>2856</x:v>
      </x:c>
      <x:c r="T383" s="55" t="n">
        <x:v>1155</x:v>
      </x:c>
      <x:c r="U383" s="55" t="n">
        <x:v>2209</x:v>
      </x:c>
      <x:c r="V383" s="55" t="n">
        <x:v>10201</x:v>
      </x:c>
      <x:c r="W383" s="55" t="n">
        <x:v>7504</x:v>
      </x:c>
      <x:c r="X383" s="55" t="n">
        <x:v>2697</x:v>
      </x:c>
      <x:c r="Y383" s="55" t="n">
        <x:v>2266</x:v>
      </x:c>
      <x:c r="Z383" s="55" t="n">
        <x:v>3593</x:v>
      </x:c>
      <x:c r="AA383" s="55" t="n">
        <x:v>2983</x:v>
      </x:c>
      <x:c r="AB383" s="55" t="n">
        <x:v>1066</x:v>
      </x:c>
      <x:c r="AC383" s="55" t="n">
        <x:v>8132</x:v>
      </x:c>
      <x:c r="AD383" s="55" t="n">
        <x:v>2655</x:v>
      </x:c>
      <x:c r="AE383" s="55" t="n">
        <x:v>10302</x:v>
      </x:c>
      <x:c r="AF383" s="55" t="n">
        <x:v>10201</x:v>
      </x:c>
      <x:c r="AG383" s="55" t="n">
        <x:v>101</x:v>
      </x:c>
      <x:c r="AH383" s="55" t="n">
        <x:v>102</x:v>
      </x:c>
      <x:c r="AI383" s="55" t="n">
        <x:v>10099</x:v>
      </x:c>
      <x:c r="AJ383" s="55" t="n">
        <x:v>332</x:v>
      </x:c>
      <x:c r="AK383" s="55" t="n">
        <x:v>1323</x:v>
      </x:c>
      <x:c r="AL383" s="55" t="n">
        <x:v>1201</x:v>
      </x:c>
      <x:c r="AM383" s="55" t="n">
        <x:v>4174</x:v>
      </x:c>
      <x:c r="AN383" s="55" t="n">
        <x:v>3091</x:v>
      </x:c>
      <x:c r="AO383" s="55" t="n">
        <x:v>80</x:v>
      </x:c>
      <x:c r="AP383" s="55" t="n">
        <x:v>2016</x:v>
      </x:c>
      <x:c r="AQ383" s="55" t="n">
        <x:v>969</x:v>
      </x:c>
    </x:row>
    <x:row r="384">
      <x:c r="A384" s="54" t="str">
        <x:v>T0_TABLE_BLOCK</x:v>
      </x:c>
      <x:c r="B384" s="54" t="n">
        <x:v>378</x:v>
      </x:c>
      <x:c r="C384" s="54" t="str">
        <x:v>NYC-V2-R01</x:v>
      </x:c>
      <x:c r="D384" s="54" t="str">
        <x:v>V2</x:v>
      </x:c>
      <x:c r="E384" s="54" t="str">
        <x:v>ADMITTED</x:v>
      </x:c>
      <x:c r="F384" s="55" t="n">
        <x:v>31034</x:v>
      </x:c>
      <x:c r="G384" s="55" t="n">
        <x:v>8933</x:v>
      </x:c>
      <x:c r="H384" s="55" t="n">
        <x:v>2895</x:v>
      </x:c>
      <x:c r="I384" s="55" t="n">
        <x:v>1213</x:v>
      </x:c>
      <x:c r="J384" s="55" t="n">
        <x:v>78</x:v>
      </x:c>
      <x:c r="K384" s="55" t="n">
        <x:v>31034</x:v>
      </x:c>
      <x:c r="L384" s="55" t="n">
        <x:v>4812</x:v>
      </x:c>
      <x:c r="M384" s="55" t="n">
        <x:v>882</x:v>
      </x:c>
      <x:c r="N384" s="55" t="n">
        <x:v>2351</x:v>
      </x:c>
      <x:c r="O384" s="55" t="n">
        <x:v>1579</x:v>
      </x:c>
      <x:c r="P384" s="55" t="n">
        <x:v>874</x:v>
      </x:c>
      <x:c r="Q384" s="55" t="n">
        <x:v>1563</x:v>
      </x:c>
      <x:c r="R384" s="55" t="n">
        <x:v>1728</x:v>
      </x:c>
      <x:c r="S384" s="55" t="n">
        <x:v>2690</x:v>
      </x:c>
      <x:c r="T384" s="55" t="n">
        <x:v>660</x:v>
      </x:c>
      <x:c r="U384" s="55" t="n">
        <x:v>2290</x:v>
      </x:c>
      <x:c r="V384" s="55" t="n">
        <x:v>10574</x:v>
      </x:c>
      <x:c r="W384" s="55" t="n">
        <x:v>7129</x:v>
      </x:c>
      <x:c r="X384" s="55" t="n">
        <x:v>3445</x:v>
      </x:c>
      <x:c r="Y384" s="55" t="n">
        <x:v>2894</x:v>
      </x:c>
      <x:c r="Z384" s="55" t="n">
        <x:v>3879</x:v>
      </x:c>
      <x:c r="AA384" s="55" t="n">
        <x:v>2820</x:v>
      </x:c>
      <x:c r="AB384" s="55" t="n">
        <x:v>1051</x:v>
      </x:c>
      <x:c r="AC384" s="55" t="n">
        <x:v>7788</x:v>
      </x:c>
      <x:c r="AD384" s="55" t="n">
        <x:v>2809</x:v>
      </x:c>
      <x:c r="AE384" s="55" t="n">
        <x:v>10691</x:v>
      </x:c>
      <x:c r="AF384" s="55" t="n">
        <x:v>10574</x:v>
      </x:c>
      <x:c r="AG384" s="55" t="n">
        <x:v>117</x:v>
      </x:c>
      <x:c r="AH384" s="55" t="n">
        <x:v>811</x:v>
      </x:c>
      <x:c r="AI384" s="55" t="n">
        <x:v>9763</x:v>
      </x:c>
      <x:c r="AJ384" s="55" t="n">
        <x:v>291</x:v>
      </x:c>
      <x:c r="AK384" s="55" t="n">
        <x:v>880</x:v>
      </x:c>
      <x:c r="AL384" s="55" t="n">
        <x:v>1363</x:v>
      </x:c>
      <x:c r="AM384" s="55" t="n">
        <x:v>4958</x:v>
      </x:c>
      <x:c r="AN384" s="55" t="n">
        <x:v>3024</x:v>
      </x:c>
      <x:c r="AO384" s="55" t="n">
        <x:v>58</x:v>
      </x:c>
      <x:c r="AP384" s="55" t="n">
        <x:v>2458</x:v>
      </x:c>
      <x:c r="AQ384" s="55" t="n">
        <x:v>942</x:v>
      </x:c>
    </x:row>
    <x:row r="385">
      <x:c r="A385" s="54" t="str">
        <x:v>T0_TABLE_BLOCK</x:v>
      </x:c>
      <x:c r="B385" s="54" t="n">
        <x:v>379</x:v>
      </x:c>
      <x:c r="C385" s="54" t="str">
        <x:v>NYC-V2-R01</x:v>
      </x:c>
      <x:c r="D385" s="54" t="str">
        <x:v>V2</x:v>
      </x:c>
      <x:c r="E385" s="54" t="str">
        <x:v>ADMITTED</x:v>
      </x:c>
      <x:c r="F385" s="55" t="n">
        <x:v>32508</x:v>
      </x:c>
      <x:c r="G385" s="55" t="n">
        <x:v>7710</x:v>
      </x:c>
      <x:c r="H385" s="55" t="n">
        <x:v>3050</x:v>
      </x:c>
      <x:c r="I385" s="55" t="n">
        <x:v>1108</x:v>
      </x:c>
      <x:c r="J385" s="55" t="n">
        <x:v>181</x:v>
      </x:c>
      <x:c r="K385" s="55" t="n">
        <x:v>32508</x:v>
      </x:c>
      <x:c r="L385" s="55" t="n">
        <x:v>5600</x:v>
      </x:c>
      <x:c r="M385" s="55" t="n">
        <x:v>811</x:v>
      </x:c>
      <x:c r="N385" s="55" t="n">
        <x:v>2881</x:v>
      </x:c>
      <x:c r="O385" s="55" t="n">
        <x:v>1908</x:v>
      </x:c>
      <x:c r="P385" s="55" t="n">
        <x:v>1175</x:v>
      </x:c>
      <x:c r="Q385" s="55" t="n">
        <x:v>1981</x:v>
      </x:c>
      <x:c r="R385" s="55" t="n">
        <x:v>1878</x:v>
      </x:c>
      <x:c r="S385" s="55" t="n">
        <x:v>2599</x:v>
      </x:c>
      <x:c r="T385" s="55" t="n">
        <x:v>1611</x:v>
      </x:c>
      <x:c r="U385" s="55" t="n">
        <x:v>1933</x:v>
      </x:c>
      <x:c r="V385" s="55" t="n">
        <x:v>10310</x:v>
      </x:c>
      <x:c r="W385" s="55" t="n">
        <x:v>7256</x:v>
      </x:c>
      <x:c r="X385" s="55" t="n">
        <x:v>3054</x:v>
      </x:c>
      <x:c r="Y385" s="55" t="n">
        <x:v>2660</x:v>
      </x:c>
      <x:c r="Z385" s="55" t="n">
        <x:v>3558</x:v>
      </x:c>
      <x:c r="AA385" s="55" t="n">
        <x:v>2999</x:v>
      </x:c>
      <x:c r="AB385" s="55" t="n">
        <x:v>1083</x:v>
      </x:c>
      <x:c r="AC385" s="55" t="n">
        <x:v>7745</x:v>
      </x:c>
      <x:c r="AD385" s="55" t="n">
        <x:v>2619</x:v>
      </x:c>
      <x:c r="AE385" s="55" t="n">
        <x:v>10381</x:v>
      </x:c>
      <x:c r="AF385" s="55" t="n">
        <x:v>10310</x:v>
      </x:c>
      <x:c r="AG385" s="55" t="n">
        <x:v>71</x:v>
      </x:c>
      <x:c r="AH385" s="55" t="n">
        <x:v>763</x:v>
      </x:c>
      <x:c r="AI385" s="55" t="n">
        <x:v>9547</x:v>
      </x:c>
      <x:c r="AJ385" s="55" t="n">
        <x:v>429</x:v>
      </x:c>
      <x:c r="AK385" s="55" t="n">
        <x:v>850</x:v>
      </x:c>
      <x:c r="AL385" s="55" t="n">
        <x:v>1311</x:v>
      </x:c>
      <x:c r="AM385" s="55" t="n">
        <x:v>4925</x:v>
      </x:c>
      <x:c r="AN385" s="55" t="n">
        <x:v>2749</x:v>
      </x:c>
      <x:c r="AO385" s="55" t="n">
        <x:v>46</x:v>
      </x:c>
      <x:c r="AP385" s="55" t="n">
        <x:v>1837</x:v>
      </x:c>
      <x:c r="AQ385" s="55" t="n">
        <x:v>1022</x:v>
      </x:c>
    </x:row>
    <x:row r="386">
      <x:c r="A386" s="54" t="str">
        <x:v>T0_TABLE_BLOCK</x:v>
      </x:c>
      <x:c r="B386" s="54" t="n">
        <x:v>380</x:v>
      </x:c>
      <x:c r="C386" s="54" t="str">
        <x:v>NYC-V2-R01</x:v>
      </x:c>
      <x:c r="D386" s="54" t="str">
        <x:v>V2</x:v>
      </x:c>
      <x:c r="E386" s="54" t="str">
        <x:v>ADMITTED</x:v>
      </x:c>
      <x:c r="F386" s="55" t="n">
        <x:v>29838</x:v>
      </x:c>
      <x:c r="G386" s="55" t="n">
        <x:v>7380</x:v>
      </x:c>
      <x:c r="H386" s="55" t="n">
        <x:v>3393</x:v>
      </x:c>
      <x:c r="I386" s="55" t="n">
        <x:v>1120</x:v>
      </x:c>
      <x:c r="J386" s="55" t="n">
        <x:v>17</x:v>
      </x:c>
      <x:c r="K386" s="55" t="n">
        <x:v>29231</x:v>
      </x:c>
      <x:c r="L386" s="55" t="n">
        <x:v>6200</x:v>
      </x:c>
      <x:c r="M386" s="55" t="n">
        <x:v>1225</x:v>
      </x:c>
      <x:c r="N386" s="55" t="n">
        <x:v>2673</x:v>
      </x:c>
      <x:c r="O386" s="55" t="n">
        <x:v>2302</x:v>
      </x:c>
      <x:c r="P386" s="55" t="n">
        <x:v>799</x:v>
      </x:c>
      <x:c r="Q386" s="55" t="n">
        <x:v>2213</x:v>
      </x:c>
      <x:c r="R386" s="55" t="n">
        <x:v>1577</x:v>
      </x:c>
      <x:c r="S386" s="55" t="n">
        <x:v>2366</x:v>
      </x:c>
      <x:c r="T386" s="55" t="n">
        <x:v>1237</x:v>
      </x:c>
      <x:c r="U386" s="55" t="n">
        <x:v>1879</x:v>
      </x:c>
      <x:c r="V386" s="55" t="n">
        <x:v>10678</x:v>
      </x:c>
      <x:c r="W386" s="55" t="n">
        <x:v>7573</x:v>
      </x:c>
      <x:c r="X386" s="55" t="n">
        <x:v>3105</x:v>
      </x:c>
      <x:c r="Y386" s="55" t="n">
        <x:v>2741</x:v>
      </x:c>
      <x:c r="Z386" s="55" t="n">
        <x:v>3554</x:v>
      </x:c>
      <x:c r="AA386" s="55" t="n">
        <x:v>3393</x:v>
      </x:c>
      <x:c r="AB386" s="55" t="n">
        <x:v>1447</x:v>
      </x:c>
      <x:c r="AC386" s="55" t="n">
        <x:v>8449</x:v>
      </x:c>
      <x:c r="AD386" s="55" t="n">
        <x:v>2877</x:v>
      </x:c>
      <x:c r="AE386" s="55" t="n">
        <x:v>10731</x:v>
      </x:c>
      <x:c r="AF386" s="55" t="n">
        <x:v>10678</x:v>
      </x:c>
      <x:c r="AG386" s="55" t="n">
        <x:v>53</x:v>
      </x:c>
      <x:c r="AH386" s="55" t="n">
        <x:v>567</x:v>
      </x:c>
      <x:c r="AI386" s="55" t="n">
        <x:v>10111</x:v>
      </x:c>
      <x:c r="AJ386" s="55" t="n">
        <x:v>433</x:v>
      </x:c>
      <x:c r="AK386" s="55" t="n">
        <x:v>928</x:v>
      </x:c>
      <x:c r="AL386" s="55" t="n">
        <x:v>1925</x:v>
      </x:c>
      <x:c r="AM386" s="55" t="n">
        <x:v>4590</x:v>
      </x:c>
      <x:c r="AN386" s="55" t="n">
        <x:v>2704</x:v>
      </x:c>
      <x:c r="AO386" s="55" t="n">
        <x:v>98</x:v>
      </x:c>
      <x:c r="AP386" s="55" t="n">
        <x:v>2428</x:v>
      </x:c>
      <x:c r="AQ386" s="55" t="n">
        <x:v>965</x:v>
      </x:c>
    </x:row>
    <x:row r="387">
      <x:c r="A387" s="54" t="str">
        <x:v>T0_TABLE_BLOCK</x:v>
      </x:c>
      <x:c r="B387" s="54" t="n">
        <x:v>381</x:v>
      </x:c>
      <x:c r="C387" s="54" t="str">
        <x:v>NYC-V2-R01</x:v>
      </x:c>
      <x:c r="D387" s="54" t="str">
        <x:v>V2</x:v>
      </x:c>
      <x:c r="E387" s="54" t="str">
        <x:v>ADMITTED</x:v>
      </x:c>
      <x:c r="F387" s="55" t="n">
        <x:v>31962</x:v>
      </x:c>
      <x:c r="G387" s="55" t="n">
        <x:v>6392</x:v>
      </x:c>
      <x:c r="H387" s="55" t="n">
        <x:v>3755</x:v>
      </x:c>
      <x:c r="I387" s="55" t="n">
        <x:v>1604</x:v>
      </x:c>
      <x:c r="J387" s="55" t="n">
        <x:v>420</x:v>
      </x:c>
      <x:c r="K387" s="55" t="n">
        <x:v>31962</x:v>
      </x:c>
      <x:c r="L387" s="55" t="n">
        <x:v>5076</x:v>
      </x:c>
      <x:c r="M387" s="55" t="n">
        <x:v>0</x:v>
      </x:c>
      <x:c r="N387" s="55" t="n">
        <x:v>3405</x:v>
      </x:c>
      <x:c r="O387" s="55" t="n">
        <x:v>1671</x:v>
      </x:c>
      <x:c r="P387" s="55" t="n">
        <x:v>1049</x:v>
      </x:c>
      <x:c r="Q387" s="55" t="n">
        <x:v>2659</x:v>
      </x:c>
      <x:c r="R387" s="55" t="n">
        <x:v>1801</x:v>
      </x:c>
      <x:c r="S387" s="55" t="n">
        <x:v>2588</x:v>
      </x:c>
      <x:c r="T387" s="55" t="n">
        <x:v>1319</x:v>
      </x:c>
      <x:c r="U387" s="55" t="n">
        <x:v>1731</x:v>
      </x:c>
      <x:c r="V387" s="55" t="n">
        <x:v>9561</x:v>
      </x:c>
      <x:c r="W387" s="55" t="n">
        <x:v>6494</x:v>
      </x:c>
      <x:c r="X387" s="55" t="n">
        <x:v>3067</x:v>
      </x:c>
      <x:c r="Y387" s="55" t="n">
        <x:v>2757</x:v>
      </x:c>
      <x:c r="Z387" s="55" t="n">
        <x:v>3569</x:v>
      </x:c>
      <x:c r="AA387" s="55" t="n">
        <x:v>2752</x:v>
      </x:c>
      <x:c r="AB387" s="55" t="n">
        <x:v>961</x:v>
      </x:c>
      <x:c r="AC387" s="55" t="n">
        <x:v>7871</x:v>
      </x:c>
      <x:c r="AD387" s="55" t="n">
        <x:v>3576</x:v>
      </x:c>
      <x:c r="AE387" s="55" t="n">
        <x:v>9646</x:v>
      </x:c>
      <x:c r="AF387" s="55" t="n">
        <x:v>9561</x:v>
      </x:c>
      <x:c r="AG387" s="55" t="n">
        <x:v>85</x:v>
      </x:c>
      <x:c r="AH387" s="55" t="n">
        <x:v>367</x:v>
      </x:c>
      <x:c r="AI387" s="55" t="n">
        <x:v>9194</x:v>
      </x:c>
      <x:c r="AJ387" s="55" t="n">
        <x:v>332</x:v>
      </x:c>
      <x:c r="AK387" s="55" t="n">
        <x:v>946</x:v>
      </x:c>
      <x:c r="AL387" s="55" t="n">
        <x:v>1244</x:v>
      </x:c>
      <x:c r="AM387" s="55" t="n">
        <x:v>4537</x:v>
      </x:c>
      <x:c r="AN387" s="55" t="n">
        <x:v>2502</x:v>
      </x:c>
      <x:c r="AO387" s="55" t="n">
        <x:v>0</x:v>
      </x:c>
      <x:c r="AP387" s="55" t="n">
        <x:v>2295</x:v>
      </x:c>
      <x:c r="AQ387" s="55" t="n">
        <x:v>951</x:v>
      </x:c>
    </x:row>
    <x:row r="388">
      <x:c r="A388" s="54" t="str">
        <x:v>T0_TABLE_BLOCK</x:v>
      </x:c>
      <x:c r="B388" s="54" t="n">
        <x:v>382</x:v>
      </x:c>
      <x:c r="C388" s="54" t="str">
        <x:v>NYC-V2-R01</x:v>
      </x:c>
      <x:c r="D388" s="54" t="str">
        <x:v>V2</x:v>
      </x:c>
      <x:c r="E388" s="54" t="str">
        <x:v>ADMITTED</x:v>
      </x:c>
      <x:c r="F388" s="55" t="n">
        <x:v>32301</x:v>
      </x:c>
      <x:c r="G388" s="55" t="n">
        <x:v>7524</x:v>
      </x:c>
      <x:c r="H388" s="55" t="n">
        <x:v>3608</x:v>
      </x:c>
      <x:c r="I388" s="55" t="n">
        <x:v>1317</x:v>
      </x:c>
      <x:c r="J388" s="55" t="n">
        <x:v>107</x:v>
      </x:c>
      <x:c r="K388" s="55" t="n">
        <x:v>32301</x:v>
      </x:c>
      <x:c r="L388" s="55" t="n">
        <x:v>5789</x:v>
      </x:c>
      <x:c r="M388" s="55" t="n">
        <x:v>1135</x:v>
      </x:c>
      <x:c r="N388" s="55" t="n">
        <x:v>2635</x:v>
      </x:c>
      <x:c r="O388" s="55" t="n">
        <x:v>2019</x:v>
      </x:c>
      <x:c r="P388" s="55" t="n">
        <x:v>1078</x:v>
      </x:c>
      <x:c r="Q388" s="55" t="n">
        <x:v>2472</x:v>
      </x:c>
      <x:c r="R388" s="55" t="n">
        <x:v>1977</x:v>
      </x:c>
      <x:c r="S388" s="55" t="n">
        <x:v>2723</x:v>
      </x:c>
      <x:c r="T388" s="55" t="n">
        <x:v>1382</x:v>
      </x:c>
      <x:c r="U388" s="55" t="n">
        <x:v>1991</x:v>
      </x:c>
      <x:c r="V388" s="55" t="n">
        <x:v>10255</x:v>
      </x:c>
      <x:c r="W388" s="55" t="n">
        <x:v>7240</x:v>
      </x:c>
      <x:c r="X388" s="55" t="n">
        <x:v>3015</x:v>
      </x:c>
      <x:c r="Y388" s="55" t="n">
        <x:v>2610</x:v>
      </x:c>
      <x:c r="Z388" s="55" t="n">
        <x:v>3643</x:v>
      </x:c>
      <x:c r="AA388" s="55" t="n">
        <x:v>3608</x:v>
      </x:c>
      <x:c r="AB388" s="55" t="n">
        <x:v>1207</x:v>
      </x:c>
      <x:c r="AC388" s="55" t="n">
        <x:v>7985</x:v>
      </x:c>
      <x:c r="AD388" s="55" t="n">
        <x:v>3099</x:v>
      </x:c>
      <x:c r="AE388" s="55" t="n">
        <x:v>10404</x:v>
      </x:c>
      <x:c r="AF388" s="55" t="n">
        <x:v>10255</x:v>
      </x:c>
      <x:c r="AG388" s="55" t="n">
        <x:v>149</x:v>
      </x:c>
      <x:c r="AH388" s="55" t="n">
        <x:v>266</x:v>
      </x:c>
      <x:c r="AI388" s="55" t="n">
        <x:v>9989</x:v>
      </x:c>
      <x:c r="AJ388" s="55" t="n">
        <x:v>246</x:v>
      </x:c>
      <x:c r="AK388" s="55" t="n">
        <x:v>1101</x:v>
      </x:c>
      <x:c r="AL388" s="55" t="n">
        <x:v>1254</x:v>
      </x:c>
      <x:c r="AM388" s="55" t="n">
        <x:v>4934</x:v>
      </x:c>
      <x:c r="AN388" s="55" t="n">
        <x:v>2688</x:v>
      </x:c>
      <x:c r="AO388" s="55" t="n">
        <x:v>32</x:v>
      </x:c>
      <x:c r="AP388" s="55" t="n">
        <x:v>1789</x:v>
      </x:c>
      <x:c r="AQ388" s="55" t="n">
        <x:v>992</x:v>
      </x:c>
    </x:row>
    <x:row r="389">
      <x:c r="A389" s="54" t="str">
        <x:v>T0_TABLE_BLOCK</x:v>
      </x:c>
      <x:c r="B389" s="54" t="n">
        <x:v>383</x:v>
      </x:c>
      <x:c r="C389" s="54" t="str">
        <x:v>NYC-V2-R01</x:v>
      </x:c>
      <x:c r="D389" s="54" t="str">
        <x:v>V2</x:v>
      </x:c>
      <x:c r="E389" s="54" t="str">
        <x:v>ADMITTED</x:v>
      </x:c>
      <x:c r="F389" s="55" t="n">
        <x:v>31125</x:v>
      </x:c>
      <x:c r="G389" s="55" t="n">
        <x:v>5687</x:v>
      </x:c>
      <x:c r="H389" s="55" t="n">
        <x:v>2810</x:v>
      </x:c>
      <x:c r="I389" s="55" t="n">
        <x:v>1382</x:v>
      </x:c>
      <x:c r="J389" s="55" t="n">
        <x:v>177</x:v>
      </x:c>
      <x:c r="K389" s="55" t="n">
        <x:v>31125</x:v>
      </x:c>
      <x:c r="L389" s="55" t="n">
        <x:v>5533</x:v>
      </x:c>
      <x:c r="M389" s="55" t="n">
        <x:v>690</x:v>
      </x:c>
      <x:c r="N389" s="55" t="n">
        <x:v>3087</x:v>
      </x:c>
      <x:c r="O389" s="55" t="n">
        <x:v>1756</x:v>
      </x:c>
      <x:c r="P389" s="55" t="n">
        <x:v>433</x:v>
      </x:c>
      <x:c r="Q389" s="55" t="n">
        <x:v>2520</x:v>
      </x:c>
      <x:c r="R389" s="55" t="n">
        <x:v>2025</x:v>
      </x:c>
      <x:c r="S389" s="55" t="n">
        <x:v>2732</x:v>
      </x:c>
      <x:c r="T389" s="55" t="n">
        <x:v>1521</x:v>
      </x:c>
      <x:c r="U389" s="55" t="n">
        <x:v>2229</x:v>
      </x:c>
      <x:c r="V389" s="55" t="n">
        <x:v>10246</x:v>
      </x:c>
      <x:c r="W389" s="55" t="n">
        <x:v>6927</x:v>
      </x:c>
      <x:c r="X389" s="55" t="n">
        <x:v>3319</x:v>
      </x:c>
      <x:c r="Y389" s="55" t="n">
        <x:v>2929</x:v>
      </x:c>
      <x:c r="Z389" s="55" t="n">
        <x:v>3560</x:v>
      </x:c>
      <x:c r="AA389" s="55" t="n">
        <x:v>2181</x:v>
      </x:c>
      <x:c r="AB389" s="55" t="n">
        <x:v>906</x:v>
      </x:c>
      <x:c r="AC389" s="55" t="n">
        <x:v>7085</x:v>
      </x:c>
      <x:c r="AD389" s="55" t="n">
        <x:v>3146</x:v>
      </x:c>
      <x:c r="AE389" s="55" t="n">
        <x:v>10283</x:v>
      </x:c>
      <x:c r="AF389" s="55" t="n">
        <x:v>10246</x:v>
      </x:c>
      <x:c r="AG389" s="55" t="n">
        <x:v>37</x:v>
      </x:c>
      <x:c r="AH389" s="55" t="n">
        <x:v>352</x:v>
      </x:c>
      <x:c r="AI389" s="55" t="n">
        <x:v>9894</x:v>
      </x:c>
      <x:c r="AJ389" s="55" t="n">
        <x:v>242</x:v>
      </x:c>
      <x:c r="AK389" s="55" t="n">
        <x:v>1231</x:v>
      </x:c>
      <x:c r="AL389" s="55" t="n">
        <x:v>1672</x:v>
      </x:c>
      <x:c r="AM389" s="55" t="n">
        <x:v>4011</x:v>
      </x:c>
      <x:c r="AN389" s="55" t="n">
        <x:v>3038</x:v>
      </x:c>
      <x:c r="AO389" s="55" t="n">
        <x:v>52</x:v>
      </x:c>
      <x:c r="AP389" s="55" t="n">
        <x:v>2842</x:v>
      </x:c>
      <x:c r="AQ389" s="55" t="n">
        <x:v>946</x:v>
      </x:c>
    </x:row>
    <x:row r="390">
      <x:c r="A390" s="54" t="str">
        <x:v>T0_TABLE_BLOCK</x:v>
      </x:c>
      <x:c r="B390" s="54" t="n">
        <x:v>384</x:v>
      </x:c>
      <x:c r="C390" s="54" t="str">
        <x:v>NYC-V2-R01</x:v>
      </x:c>
      <x:c r="D390" s="54" t="str">
        <x:v>V2</x:v>
      </x:c>
      <x:c r="E390" s="54" t="str">
        <x:v>ADMITTED</x:v>
      </x:c>
      <x:c r="F390" s="55" t="n">
        <x:v>30707</x:v>
      </x:c>
      <x:c r="G390" s="55" t="n">
        <x:v>7770</x:v>
      </x:c>
      <x:c r="H390" s="55" t="n">
        <x:v>3667</x:v>
      </x:c>
      <x:c r="I390" s="55" t="n">
        <x:v>1748</x:v>
      </x:c>
      <x:c r="J390" s="55" t="n">
        <x:v>221</x:v>
      </x:c>
      <x:c r="K390" s="55" t="n">
        <x:v>28911</x:v>
      </x:c>
      <x:c r="L390" s="55" t="n">
        <x:v>5566</x:v>
      </x:c>
      <x:c r="M390" s="55" t="n">
        <x:v>814</x:v>
      </x:c>
      <x:c r="N390" s="55" t="n">
        <x:v>3056</x:v>
      </x:c>
      <x:c r="O390" s="55" t="n">
        <x:v>1696</x:v>
      </x:c>
      <x:c r="P390" s="55" t="n">
        <x:v>151</x:v>
      </x:c>
      <x:c r="Q390" s="55" t="n">
        <x:v>1749</x:v>
      </x:c>
      <x:c r="R390" s="55" t="n">
        <x:v>2210</x:v>
      </x:c>
      <x:c r="S390" s="55" t="n">
        <x:v>2668</x:v>
      </x:c>
      <x:c r="T390" s="55" t="n">
        <x:v>1348</x:v>
      </x:c>
      <x:c r="U390" s="55" t="n">
        <x:v>2086</x:v>
      </x:c>
      <x:c r="V390" s="55" t="n">
        <x:v>10440</x:v>
      </x:c>
      <x:c r="W390" s="55" t="n">
        <x:v>7681</x:v>
      </x:c>
      <x:c r="X390" s="55" t="n">
        <x:v>2759</x:v>
      </x:c>
      <x:c r="Y390" s="55" t="n">
        <x:v>2517</x:v>
      </x:c>
      <x:c r="Z390" s="55" t="n">
        <x:v>3829</x:v>
      </x:c>
      <x:c r="AA390" s="55" t="n">
        <x:v>3334</x:v>
      </x:c>
      <x:c r="AB390" s="55" t="n">
        <x:v>1195</x:v>
      </x:c>
      <x:c r="AC390" s="55" t="n">
        <x:v>7894</x:v>
      </x:c>
      <x:c r="AD390" s="55" t="n">
        <x:v>3516</x:v>
      </x:c>
      <x:c r="AE390" s="55" t="n">
        <x:v>10509</x:v>
      </x:c>
      <x:c r="AF390" s="55" t="n">
        <x:v>10440</x:v>
      </x:c>
      <x:c r="AG390" s="55" t="n">
        <x:v>69</x:v>
      </x:c>
      <x:c r="AH390" s="55" t="n">
        <x:v>461</x:v>
      </x:c>
      <x:c r="AI390" s="55" t="n">
        <x:v>9979</x:v>
      </x:c>
      <x:c r="AJ390" s="55" t="n">
        <x:v>415</x:v>
      </x:c>
      <x:c r="AK390" s="55" t="n">
        <x:v>1187</x:v>
      </x:c>
      <x:c r="AL390" s="55" t="n">
        <x:v>1280</x:v>
      </x:c>
      <x:c r="AM390" s="55" t="n">
        <x:v>4901</x:v>
      </x:c>
      <x:c r="AN390" s="55" t="n">
        <x:v>2657</x:v>
      </x:c>
      <x:c r="AO390" s="55" t="n">
        <x:v>0</x:v>
      </x:c>
      <x:c r="AP390" s="55" t="n">
        <x:v>2278</x:v>
      </x:c>
      <x:c r="AQ390" s="55" t="n">
        <x:v>932</x:v>
      </x:c>
    </x:row>
    <x:row r="391">
      <x:c r="A391" s="54" t="str">
        <x:v>T0_TABLE_BLOCK</x:v>
      </x:c>
      <x:c r="B391" s="54" t="n">
        <x:v>385</x:v>
      </x:c>
      <x:c r="C391" s="54" t="str">
        <x:v>NYC-V2-R01</x:v>
      </x:c>
      <x:c r="D391" s="54" t="str">
        <x:v>V2</x:v>
      </x:c>
      <x:c r="E391" s="54" t="str">
        <x:v>ADMITTED</x:v>
      </x:c>
      <x:c r="F391" s="55" t="n">
        <x:v>32419</x:v>
      </x:c>
      <x:c r="G391" s="55" t="n">
        <x:v>8510</x:v>
      </x:c>
      <x:c r="H391" s="55" t="n">
        <x:v>3272</x:v>
      </x:c>
      <x:c r="I391" s="55" t="n">
        <x:v>1423</x:v>
      </x:c>
      <x:c r="J391" s="55" t="n">
        <x:v>377</x:v>
      </x:c>
      <x:c r="K391" s="55" t="n">
        <x:v>28257</x:v>
      </x:c>
      <x:c r="L391" s="55" t="n">
        <x:v>5735</x:v>
      </x:c>
      <x:c r="M391" s="55" t="n">
        <x:v>1099</x:v>
      </x:c>
      <x:c r="N391" s="55" t="n">
        <x:v>2714</x:v>
      </x:c>
      <x:c r="O391" s="55" t="n">
        <x:v>1922</x:v>
      </x:c>
      <x:c r="P391" s="55" t="n">
        <x:v>704</x:v>
      </x:c>
      <x:c r="Q391" s="55" t="n">
        <x:v>2357</x:v>
      </x:c>
      <x:c r="R391" s="55" t="n">
        <x:v>2158</x:v>
      </x:c>
      <x:c r="S391" s="55" t="n">
        <x:v>3680</x:v>
      </x:c>
      <x:c r="T391" s="55" t="n">
        <x:v>1538</x:v>
      </x:c>
      <x:c r="U391" s="55" t="n">
        <x:v>1756</x:v>
      </x:c>
      <x:c r="V391" s="55" t="n">
        <x:v>10389</x:v>
      </x:c>
      <x:c r="W391" s="55" t="n">
        <x:v>7789</x:v>
      </x:c>
      <x:c r="X391" s="55" t="n">
        <x:v>2600</x:v>
      </x:c>
      <x:c r="Y391" s="55" t="n">
        <x:v>2041</x:v>
      </x:c>
      <x:c r="Z391" s="55" t="n">
        <x:v>3507</x:v>
      </x:c>
      <x:c r="AA391" s="55" t="n">
        <x:v>3065</x:v>
      </x:c>
      <x:c r="AB391" s="55" t="n">
        <x:v>1083</x:v>
      </x:c>
      <x:c r="AC391" s="55" t="n">
        <x:v>8235</x:v>
      </x:c>
      <x:c r="AD391" s="55" t="n">
        <x:v>2807</x:v>
      </x:c>
      <x:c r="AE391" s="55" t="n">
        <x:v>10512</x:v>
      </x:c>
      <x:c r="AF391" s="55" t="n">
        <x:v>10389</x:v>
      </x:c>
      <x:c r="AG391" s="55" t="n">
        <x:v>123</x:v>
      </x:c>
      <x:c r="AH391" s="55" t="n">
        <x:v>506</x:v>
      </x:c>
      <x:c r="AI391" s="55" t="n">
        <x:v>9883</x:v>
      </x:c>
      <x:c r="AJ391" s="55" t="n">
        <x:v>384</x:v>
      </x:c>
      <x:c r="AK391" s="55" t="n">
        <x:v>912</x:v>
      </x:c>
      <x:c r="AL391" s="55" t="n">
        <x:v>1699</x:v>
      </x:c>
      <x:c r="AM391" s="55" t="n">
        <x:v>4835</x:v>
      </x:c>
      <x:c r="AN391" s="55" t="n">
        <x:v>2466</x:v>
      </x:c>
      <x:c r="AO391" s="55" t="n">
        <x:v>93</x:v>
      </x:c>
      <x:c r="AP391" s="55" t="n">
        <x:v>2183</x:v>
      </x:c>
      <x:c r="AQ391" s="55" t="n">
        <x:v>935</x:v>
      </x:c>
    </x:row>
    <x:row r="392">
      <x:c r="A392" s="54" t="str">
        <x:v>T0_TABLE_BLOCK</x:v>
      </x:c>
      <x:c r="B392" s="54" t="n">
        <x:v>386</x:v>
      </x:c>
      <x:c r="C392" s="54" t="str">
        <x:v>NYC-V2-R01</x:v>
      </x:c>
      <x:c r="D392" s="54" t="str">
        <x:v>V2</x:v>
      </x:c>
      <x:c r="E392" s="54" t="str">
        <x:v>ADMITTED</x:v>
      </x:c>
      <x:c r="F392" s="55" t="n">
        <x:v>33773</x:v>
      </x:c>
      <x:c r="G392" s="55" t="n">
        <x:v>6959</x:v>
      </x:c>
      <x:c r="H392" s="55" t="n">
        <x:v>3998</x:v>
      </x:c>
      <x:c r="I392" s="55" t="n">
        <x:v>2159</x:v>
      </x:c>
      <x:c r="J392" s="55" t="n">
        <x:v>398</x:v>
      </x:c>
      <x:c r="K392" s="55" t="n">
        <x:v>33773</x:v>
      </x:c>
      <x:c r="L392" s="55" t="n">
        <x:v>6530</x:v>
      </x:c>
      <x:c r="M392" s="55" t="n">
        <x:v>1755</x:v>
      </x:c>
      <x:c r="N392" s="55" t="n">
        <x:v>3116</x:v>
      </x:c>
      <x:c r="O392" s="55" t="n">
        <x:v>1659</x:v>
      </x:c>
      <x:c r="P392" s="55" t="n">
        <x:v>548</x:v>
      </x:c>
      <x:c r="Q392" s="55" t="n">
        <x:v>1319</x:v>
      </x:c>
      <x:c r="R392" s="55" t="n">
        <x:v>1866</x:v>
      </x:c>
      <x:c r="S392" s="55" t="n">
        <x:v>3148</x:v>
      </x:c>
      <x:c r="T392" s="55" t="n">
        <x:v>877</x:v>
      </x:c>
      <x:c r="U392" s="55" t="n">
        <x:v>2056</x:v>
      </x:c>
      <x:c r="V392" s="55" t="n">
        <x:v>10818</x:v>
      </x:c>
      <x:c r="W392" s="55" t="n">
        <x:v>8411</x:v>
      </x:c>
      <x:c r="X392" s="55" t="n">
        <x:v>2407</x:v>
      </x:c>
      <x:c r="Y392" s="55" t="n">
        <x:v>2207</x:v>
      </x:c>
      <x:c r="Z392" s="55" t="n">
        <x:v>3504</x:v>
      </x:c>
      <x:c r="AA392" s="55" t="n">
        <x:v>3533</x:v>
      </x:c>
      <x:c r="AB392" s="55" t="n">
        <x:v>1349</x:v>
      </x:c>
      <x:c r="AC392" s="55" t="n">
        <x:v>8097</x:v>
      </x:c>
      <x:c r="AD392" s="55" t="n">
        <x:v>1984</x:v>
      </x:c>
      <x:c r="AE392" s="55" t="n">
        <x:v>10944</x:v>
      </x:c>
      <x:c r="AF392" s="55" t="n">
        <x:v>10818</x:v>
      </x:c>
      <x:c r="AG392" s="55" t="n">
        <x:v>126</x:v>
      </x:c>
      <x:c r="AH392" s="55" t="n">
        <x:v>612</x:v>
      </x:c>
      <x:c r="AI392" s="55" t="n">
        <x:v>10206</x:v>
      </x:c>
      <x:c r="AJ392" s="55" t="n">
        <x:v>127</x:v>
      </x:c>
      <x:c r="AK392" s="55" t="n">
        <x:v>975</x:v>
      </x:c>
      <x:c r="AL392" s="55" t="n">
        <x:v>1560</x:v>
      </x:c>
      <x:c r="AM392" s="55" t="n">
        <x:v>5114</x:v>
      </x:c>
      <x:c r="AN392" s="55" t="n">
        <x:v>3017</x:v>
      </x:c>
      <x:c r="AO392" s="55" t="n">
        <x:v>25</x:v>
      </x:c>
      <x:c r="AP392" s="55" t="n">
        <x:v>2666</x:v>
      </x:c>
      <x:c r="AQ392" s="55" t="n">
        <x:v>967</x:v>
      </x:c>
    </x:row>
    <x:row r="393">
      <x:c r="A393" s="54" t="str">
        <x:v>T0_TABLE_BLOCK</x:v>
      </x:c>
      <x:c r="B393" s="54" t="n">
        <x:v>387</x:v>
      </x:c>
      <x:c r="C393" s="54" t="str">
        <x:v>NYC-V2-R01</x:v>
      </x:c>
      <x:c r="D393" s="54" t="str">
        <x:v>V2</x:v>
      </x:c>
      <x:c r="E393" s="54" t="str">
        <x:v>ADMITTED</x:v>
      </x:c>
      <x:c r="F393" s="55" t="n">
        <x:v>31990</x:v>
      </x:c>
      <x:c r="G393" s="55" t="n">
        <x:v>7757</x:v>
      </x:c>
      <x:c r="H393" s="55" t="n">
        <x:v>3642</x:v>
      </x:c>
      <x:c r="I393" s="55" t="n">
        <x:v>1811</x:v>
      </x:c>
      <x:c r="J393" s="55" t="n">
        <x:v>566</x:v>
      </x:c>
      <x:c r="K393" s="55" t="n">
        <x:v>31228</x:v>
      </x:c>
      <x:c r="L393" s="55" t="n">
        <x:v>5265</x:v>
      </x:c>
      <x:c r="M393" s="55" t="n">
        <x:v>904</x:v>
      </x:c>
      <x:c r="N393" s="55" t="n">
        <x:v>2566</x:v>
      </x:c>
      <x:c r="O393" s="55" t="n">
        <x:v>1795</x:v>
      </x:c>
      <x:c r="P393" s="55" t="n">
        <x:v>587</x:v>
      </x:c>
      <x:c r="Q393" s="55" t="n">
        <x:v>3119</x:v>
      </x:c>
      <x:c r="R393" s="55" t="n">
        <x:v>2053</x:v>
      </x:c>
      <x:c r="S393" s="55" t="n">
        <x:v>2717</x:v>
      </x:c>
      <x:c r="T393" s="55" t="n">
        <x:v>1093</x:v>
      </x:c>
      <x:c r="U393" s="55" t="n">
        <x:v>2010</x:v>
      </x:c>
      <x:c r="V393" s="55" t="n">
        <x:v>11153</x:v>
      </x:c>
      <x:c r="W393" s="55" t="n">
        <x:v>7700</x:v>
      </x:c>
      <x:c r="X393" s="55" t="n">
        <x:v>3453</x:v>
      </x:c>
      <x:c r="Y393" s="55" t="n">
        <x:v>2930</x:v>
      </x:c>
      <x:c r="Z393" s="55" t="n">
        <x:v>4399</x:v>
      </x:c>
      <x:c r="AA393" s="55" t="n">
        <x:v>2965</x:v>
      </x:c>
      <x:c r="AB393" s="55" t="n">
        <x:v>991</x:v>
      </x:c>
      <x:c r="AC393" s="55" t="n">
        <x:v>9070</x:v>
      </x:c>
      <x:c r="AD393" s="55" t="n">
        <x:v>2172</x:v>
      </x:c>
      <x:c r="AE393" s="55" t="n">
        <x:v>11181</x:v>
      </x:c>
      <x:c r="AF393" s="55" t="n">
        <x:v>11153</x:v>
      </x:c>
      <x:c r="AG393" s="55" t="n">
        <x:v>28</x:v>
      </x:c>
      <x:c r="AH393" s="55" t="n">
        <x:v>376</x:v>
      </x:c>
      <x:c r="AI393" s="55" t="n">
        <x:v>10777</x:v>
      </x:c>
      <x:c r="AJ393" s="55" t="n">
        <x:v>389</x:v>
      </x:c>
      <x:c r="AK393" s="55" t="n">
        <x:v>680</x:v>
      </x:c>
      <x:c r="AL393" s="55" t="n">
        <x:v>1742</x:v>
      </x:c>
      <x:c r="AM393" s="55" t="n">
        <x:v>5176</x:v>
      </x:c>
      <x:c r="AN393" s="55" t="n">
        <x:v>3118</x:v>
      </x:c>
      <x:c r="AO393" s="55" t="n">
        <x:v>48</x:v>
      </x:c>
      <x:c r="AP393" s="55" t="n">
        <x:v>2595</x:v>
      </x:c>
      <x:c r="AQ393" s="55" t="n">
        <x:v>975</x:v>
      </x:c>
    </x:row>
    <x:row r="394">
      <x:c r="A394" s="54" t="str">
        <x:v>T0_TABLE_BLOCK</x:v>
      </x:c>
      <x:c r="B394" s="54" t="n">
        <x:v>388</x:v>
      </x:c>
      <x:c r="C394" s="54" t="str">
        <x:v>NYC-V2-R01</x:v>
      </x:c>
      <x:c r="D394" s="54" t="str">
        <x:v>V2</x:v>
      </x:c>
      <x:c r="E394" s="54" t="str">
        <x:v>ADMITTED</x:v>
      </x:c>
      <x:c r="F394" s="55" t="n">
        <x:v>31505</x:v>
      </x:c>
      <x:c r="G394" s="55" t="n">
        <x:v>8287</x:v>
      </x:c>
      <x:c r="H394" s="55" t="n">
        <x:v>3108</x:v>
      </x:c>
      <x:c r="I394" s="55" t="n">
        <x:v>1339</x:v>
      </x:c>
      <x:c r="J394" s="55" t="n">
        <x:v>395</x:v>
      </x:c>
      <x:c r="K394" s="55" t="n">
        <x:v>30580</x:v>
      </x:c>
      <x:c r="L394" s="55" t="n">
        <x:v>5550</x:v>
      </x:c>
      <x:c r="M394" s="55" t="n">
        <x:v>1228</x:v>
      </x:c>
      <x:c r="N394" s="55" t="n">
        <x:v>2553</x:v>
      </x:c>
      <x:c r="O394" s="55" t="n">
        <x:v>1769</x:v>
      </x:c>
      <x:c r="P394" s="55" t="n">
        <x:v>220</x:v>
      </x:c>
      <x:c r="Q394" s="55" t="n">
        <x:v>1873</x:v>
      </x:c>
      <x:c r="R394" s="55" t="n">
        <x:v>2116</x:v>
      </x:c>
      <x:c r="S394" s="55" t="n">
        <x:v>2469</x:v>
      </x:c>
      <x:c r="T394" s="55" t="n">
        <x:v>1550</x:v>
      </x:c>
      <x:c r="U394" s="55" t="n">
        <x:v>2179</x:v>
      </x:c>
      <x:c r="V394" s="55" t="n">
        <x:v>10686</x:v>
      </x:c>
      <x:c r="W394" s="55" t="n">
        <x:v>7660</x:v>
      </x:c>
      <x:c r="X394" s="55" t="n">
        <x:v>3026</x:v>
      </x:c>
      <x:c r="Y394" s="55" t="n">
        <x:v>2551</x:v>
      </x:c>
      <x:c r="Z394" s="55" t="n">
        <x:v>3934</x:v>
      </x:c>
      <x:c r="AA394" s="55" t="n">
        <x:v>2656</x:v>
      </x:c>
      <x:c r="AB394" s="55" t="n">
        <x:v>801</x:v>
      </x:c>
      <x:c r="AC394" s="55" t="n">
        <x:v>7881</x:v>
      </x:c>
      <x:c r="AD394" s="55" t="n">
        <x:v>3454</x:v>
      </x:c>
      <x:c r="AE394" s="55" t="n">
        <x:v>10791</x:v>
      </x:c>
      <x:c r="AF394" s="55" t="n">
        <x:v>10686</x:v>
      </x:c>
      <x:c r="AG394" s="55" t="n">
        <x:v>105</x:v>
      </x:c>
      <x:c r="AH394" s="55" t="n">
        <x:v>491</x:v>
      </x:c>
      <x:c r="AI394" s="55" t="n">
        <x:v>10195</x:v>
      </x:c>
      <x:c r="AJ394" s="55" t="n">
        <x:v>254</x:v>
      </x:c>
      <x:c r="AK394" s="55" t="n">
        <x:v>1106</x:v>
      </x:c>
      <x:c r="AL394" s="55" t="n">
        <x:v>1556</x:v>
      </x:c>
      <x:c r="AM394" s="55" t="n">
        <x:v>5235</x:v>
      </x:c>
      <x:c r="AN394" s="55" t="n">
        <x:v>2535</x:v>
      </x:c>
      <x:c r="AO394" s="55" t="n">
        <x:v>0</x:v>
      </x:c>
      <x:c r="AP394" s="55" t="n">
        <x:v>2499</x:v>
      </x:c>
      <x:c r="AQ394" s="55" t="n">
        <x:v>973</x:v>
      </x:c>
    </x:row>
    <x:row r="395">
      <x:c r="A395" s="54" t="str">
        <x:v>T0_TABLE_BLOCK</x:v>
      </x:c>
      <x:c r="B395" s="54" t="n">
        <x:v>389</x:v>
      </x:c>
      <x:c r="C395" s="54" t="str">
        <x:v>NYC-V2-R01</x:v>
      </x:c>
      <x:c r="D395" s="54" t="str">
        <x:v>V2</x:v>
      </x:c>
      <x:c r="E395" s="54" t="str">
        <x:v>ADMITTED</x:v>
      </x:c>
      <x:c r="F395" s="55" t="n">
        <x:v>29631</x:v>
      </x:c>
      <x:c r="G395" s="55" t="n">
        <x:v>7441</x:v>
      </x:c>
      <x:c r="H395" s="55" t="n">
        <x:v>3020</x:v>
      </x:c>
      <x:c r="I395" s="55" t="n">
        <x:v>1091</x:v>
      </x:c>
      <x:c r="J395" s="55" t="n">
        <x:v>2</x:v>
      </x:c>
      <x:c r="K395" s="55" t="n">
        <x:v>29631</x:v>
      </x:c>
      <x:c r="L395" s="55" t="n">
        <x:v>4673</x:v>
      </x:c>
      <x:c r="M395" s="55" t="n">
        <x:v>851</x:v>
      </x:c>
      <x:c r="N395" s="55" t="n">
        <x:v>2524</x:v>
      </x:c>
      <x:c r="O395" s="55" t="n">
        <x:v>1298</x:v>
      </x:c>
      <x:c r="P395" s="55" t="n">
        <x:v>793</x:v>
      </x:c>
      <x:c r="Q395" s="55" t="n">
        <x:v>3348</x:v>
      </x:c>
      <x:c r="R395" s="55" t="n">
        <x:v>1521</x:v>
      </x:c>
      <x:c r="S395" s="55" t="n">
        <x:v>3065</x:v>
      </x:c>
      <x:c r="T395" s="55" t="n">
        <x:v>1177</x:v>
      </x:c>
      <x:c r="U395" s="55" t="n">
        <x:v>2500</x:v>
      </x:c>
      <x:c r="V395" s="55" t="n">
        <x:v>9912</x:v>
      </x:c>
      <x:c r="W395" s="55" t="n">
        <x:v>6602</x:v>
      </x:c>
      <x:c r="X395" s="55" t="n">
        <x:v>3310</x:v>
      </x:c>
      <x:c r="Y395" s="55" t="n">
        <x:v>2694</x:v>
      </x:c>
      <x:c r="Z395" s="55" t="n">
        <x:v>3131</x:v>
      </x:c>
      <x:c r="AA395" s="55" t="n">
        <x:v>3020</x:v>
      </x:c>
      <x:c r="AB395" s="55" t="n">
        <x:v>1274</x:v>
      </x:c>
      <x:c r="AC395" s="55" t="n">
        <x:v>7636</x:v>
      </x:c>
      <x:c r="AD395" s="55" t="n">
        <x:v>2996</x:v>
      </x:c>
      <x:c r="AE395" s="55" t="n">
        <x:v>9987</x:v>
      </x:c>
      <x:c r="AF395" s="55" t="n">
        <x:v>9912</x:v>
      </x:c>
      <x:c r="AG395" s="55" t="n">
        <x:v>75</x:v>
      </x:c>
      <x:c r="AH395" s="55" t="n">
        <x:v>327</x:v>
      </x:c>
      <x:c r="AI395" s="55" t="n">
        <x:v>9585</x:v>
      </x:c>
      <x:c r="AJ395" s="55" t="n">
        <x:v>398</x:v>
      </x:c>
      <x:c r="AK395" s="55" t="n">
        <x:v>1015</x:v>
      </x:c>
      <x:c r="AL395" s="55" t="n">
        <x:v>1128</x:v>
      </x:c>
      <x:c r="AM395" s="55" t="n">
        <x:v>5365</x:v>
      </x:c>
      <x:c r="AN395" s="55" t="n">
        <x:v>2006</x:v>
      </x:c>
      <x:c r="AO395" s="55" t="n">
        <x:v>0</x:v>
      </x:c>
      <x:c r="AP395" s="55" t="n">
        <x:v>1894</x:v>
      </x:c>
      <x:c r="AQ395" s="55" t="n">
        <x:v>923</x:v>
      </x:c>
    </x:row>
    <x:row r="396">
      <x:c r="A396" s="54" t="str">
        <x:v>T0_TABLE_BLOCK</x:v>
      </x:c>
      <x:c r="B396" s="54" t="n">
        <x:v>390</x:v>
      </x:c>
      <x:c r="C396" s="54" t="str">
        <x:v>NYC-V2-R01</x:v>
      </x:c>
      <x:c r="D396" s="54" t="str">
        <x:v>V2</x:v>
      </x:c>
      <x:c r="E396" s="54" t="str">
        <x:v>ADMITTED</x:v>
      </x:c>
      <x:c r="F396" s="55" t="n">
        <x:v>30582</x:v>
      </x:c>
      <x:c r="G396" s="55" t="n">
        <x:v>7820</x:v>
      </x:c>
      <x:c r="H396" s="55" t="n">
        <x:v>3528</x:v>
      </x:c>
      <x:c r="I396" s="55" t="n">
        <x:v>1426</x:v>
      </x:c>
      <x:c r="J396" s="55" t="n">
        <x:v>93</x:v>
      </x:c>
      <x:c r="K396" s="55" t="n">
        <x:v>30105</x:v>
      </x:c>
      <x:c r="L396" s="55" t="n">
        <x:v>5473</x:v>
      </x:c>
      <x:c r="M396" s="55" t="n">
        <x:v>1227</x:v>
      </x:c>
      <x:c r="N396" s="55" t="n">
        <x:v>2583</x:v>
      </x:c>
      <x:c r="O396" s="55" t="n">
        <x:v>1663</x:v>
      </x:c>
      <x:c r="P396" s="55" t="n">
        <x:v>674</x:v>
      </x:c>
      <x:c r="Q396" s="55" t="n">
        <x:v>1784</x:v>
      </x:c>
      <x:c r="R396" s="55" t="n">
        <x:v>2234</x:v>
      </x:c>
      <x:c r="S396" s="55" t="n">
        <x:v>2876</x:v>
      </x:c>
      <x:c r="T396" s="55" t="n">
        <x:v>1330</x:v>
      </x:c>
      <x:c r="U396" s="55" t="n">
        <x:v>1758</x:v>
      </x:c>
      <x:c r="V396" s="55" t="n">
        <x:v>10346</x:v>
      </x:c>
      <x:c r="W396" s="55" t="n">
        <x:v>7594</x:v>
      </x:c>
      <x:c r="X396" s="55" t="n">
        <x:v>2752</x:v>
      </x:c>
      <x:c r="Y396" s="55" t="n">
        <x:v>2169</x:v>
      </x:c>
      <x:c r="Z396" s="55" t="n">
        <x:v>3586</x:v>
      </x:c>
      <x:c r="AA396" s="55" t="n">
        <x:v>2929</x:v>
      </x:c>
      <x:c r="AB396" s="55" t="n">
        <x:v>952</x:v>
      </x:c>
      <x:c r="AC396" s="55" t="n">
        <x:v>7448</x:v>
      </x:c>
      <x:c r="AD396" s="55" t="n">
        <x:v>3489</x:v>
      </x:c>
      <x:c r="AE396" s="55" t="n">
        <x:v>10452</x:v>
      </x:c>
      <x:c r="AF396" s="55" t="n">
        <x:v>10346</x:v>
      </x:c>
      <x:c r="AG396" s="55" t="n">
        <x:v>106</x:v>
      </x:c>
      <x:c r="AH396" s="55" t="n">
        <x:v>562</x:v>
      </x:c>
      <x:c r="AI396" s="55" t="n">
        <x:v>9784</x:v>
      </x:c>
      <x:c r="AJ396" s="55" t="n">
        <x:v>329</x:v>
      </x:c>
      <x:c r="AK396" s="55" t="n">
        <x:v>652</x:v>
      </x:c>
      <x:c r="AL396" s="55" t="n">
        <x:v>1750</x:v>
      </x:c>
      <x:c r="AM396" s="55" t="n">
        <x:v>4982</x:v>
      </x:c>
      <x:c r="AN396" s="55" t="n">
        <x:v>2633</x:v>
      </x:c>
      <x:c r="AO396" s="55" t="n">
        <x:v>0</x:v>
      </x:c>
      <x:c r="AP396" s="55" t="n">
        <x:v>2301</x:v>
      </x:c>
      <x:c r="AQ396" s="55" t="n">
        <x:v>974</x:v>
      </x:c>
    </x:row>
    <x:row r="397">
      <x:c r="A397" s="54" t="str">
        <x:v>T0_TABLE_BLOCK</x:v>
      </x:c>
      <x:c r="B397" s="54" t="n">
        <x:v>391</x:v>
      </x:c>
      <x:c r="C397" s="54" t="str">
        <x:v>NYC-V2-R01</x:v>
      </x:c>
      <x:c r="D397" s="54" t="str">
        <x:v>V2</x:v>
      </x:c>
      <x:c r="E397" s="54" t="str">
        <x:v>ADMITTED</x:v>
      </x:c>
      <x:c r="F397" s="55" t="n">
        <x:v>29052</x:v>
      </x:c>
      <x:c r="G397" s="55" t="n">
        <x:v>7809</x:v>
      </x:c>
      <x:c r="H397" s="55" t="n">
        <x:v>2808</x:v>
      </x:c>
      <x:c r="I397" s="55" t="n">
        <x:v>742</x:v>
      </x:c>
      <x:c r="J397" s="55" t="n">
        <x:v>108</x:v>
      </x:c>
      <x:c r="K397" s="55" t="n">
        <x:v>25900</x:v>
      </x:c>
      <x:c r="L397" s="55" t="n">
        <x:v>4439</x:v>
      </x:c>
      <x:c r="M397" s="55" t="n">
        <x:v>0</x:v>
      </x:c>
      <x:c r="N397" s="55" t="n">
        <x:v>2743</x:v>
      </x:c>
      <x:c r="O397" s="55" t="n">
        <x:v>1696</x:v>
      </x:c>
      <x:c r="P397" s="55" t="n">
        <x:v>857</x:v>
      </x:c>
      <x:c r="Q397" s="55" t="n">
        <x:v>2614</x:v>
      </x:c>
      <x:c r="R397" s="55" t="n">
        <x:v>2440</x:v>
      </x:c>
      <x:c r="S397" s="55" t="n">
        <x:v>2607</x:v>
      </x:c>
      <x:c r="T397" s="55" t="n">
        <x:v>824</x:v>
      </x:c>
      <x:c r="U397" s="55" t="n">
        <x:v>1508</x:v>
      </x:c>
      <x:c r="V397" s="55" t="n">
        <x:v>10670</x:v>
      </x:c>
      <x:c r="W397" s="55" t="n">
        <x:v>7735</x:v>
      </x:c>
      <x:c r="X397" s="55" t="n">
        <x:v>2935</x:v>
      </x:c>
      <x:c r="Y397" s="55" t="n">
        <x:v>2377</x:v>
      </x:c>
      <x:c r="Z397" s="55" t="n">
        <x:v>3655</x:v>
      </x:c>
      <x:c r="AA397" s="55" t="n">
        <x:v>2808</x:v>
      </x:c>
      <x:c r="AB397" s="55" t="n">
        <x:v>770</x:v>
      </x:c>
      <x:c r="AC397" s="55" t="n">
        <x:v>7818</x:v>
      </x:c>
      <x:c r="AD397" s="55" t="n">
        <x:v>2612</x:v>
      </x:c>
      <x:c r="AE397" s="55" t="n">
        <x:v>10795</x:v>
      </x:c>
      <x:c r="AF397" s="55" t="n">
        <x:v>10670</x:v>
      </x:c>
      <x:c r="AG397" s="55" t="n">
        <x:v>125</x:v>
      </x:c>
      <x:c r="AH397" s="55" t="n">
        <x:v>428</x:v>
      </x:c>
      <x:c r="AI397" s="55" t="n">
        <x:v>10242</x:v>
      </x:c>
      <x:c r="AJ397" s="55" t="n">
        <x:v>262</x:v>
      </x:c>
      <x:c r="AK397" s="55" t="n">
        <x:v>1532</x:v>
      </x:c>
      <x:c r="AL397" s="55" t="n">
        <x:v>1397</x:v>
      </x:c>
      <x:c r="AM397" s="55" t="n">
        <x:v>4540</x:v>
      </x:c>
      <x:c r="AN397" s="55" t="n">
        <x:v>2939</x:v>
      </x:c>
      <x:c r="AO397" s="55" t="n">
        <x:v>0</x:v>
      </x:c>
      <x:c r="AP397" s="55" t="n">
        <x:v>2479</x:v>
      </x:c>
      <x:c r="AQ397" s="55" t="n">
        <x:v>1008</x:v>
      </x:c>
    </x:row>
    <x:row r="398">
      <x:c r="A398" s="54" t="str">
        <x:v>T0_TABLE_BLOCK</x:v>
      </x:c>
      <x:c r="B398" s="54" t="n">
        <x:v>392</x:v>
      </x:c>
      <x:c r="C398" s="54" t="str">
        <x:v>NYC-V2-R01</x:v>
      </x:c>
      <x:c r="D398" s="54" t="str">
        <x:v>V2</x:v>
      </x:c>
      <x:c r="E398" s="54" t="str">
        <x:v>ADMITTED</x:v>
      </x:c>
      <x:c r="F398" s="55" t="n">
        <x:v>32885</x:v>
      </x:c>
      <x:c r="G398" s="55" t="n">
        <x:v>9741</x:v>
      </x:c>
      <x:c r="H398" s="55" t="n">
        <x:v>3684</x:v>
      </x:c>
      <x:c r="I398" s="55" t="n">
        <x:v>1448</x:v>
      </x:c>
      <x:c r="J398" s="55" t="n">
        <x:v>254</x:v>
      </x:c>
      <x:c r="K398" s="55" t="n">
        <x:v>28598</x:v>
      </x:c>
      <x:c r="L398" s="55" t="n">
        <x:v>4175</x:v>
      </x:c>
      <x:c r="M398" s="55" t="n">
        <x:v>254</x:v>
      </x:c>
      <x:c r="N398" s="55" t="n">
        <x:v>2214</x:v>
      </x:c>
      <x:c r="O398" s="55" t="n">
        <x:v>1707</x:v>
      </x:c>
      <x:c r="P398" s="55" t="n">
        <x:v>241</x:v>
      </x:c>
      <x:c r="Q398" s="55" t="n">
        <x:v>2833</x:v>
      </x:c>
      <x:c r="R398" s="55" t="n">
        <x:v>1581</x:v>
      </x:c>
      <x:c r="S398" s="55" t="n">
        <x:v>2296</x:v>
      </x:c>
      <x:c r="T398" s="55" t="n">
        <x:v>1306</x:v>
      </x:c>
      <x:c r="U398" s="55" t="n">
        <x:v>1783</x:v>
      </x:c>
      <x:c r="V398" s="55" t="n">
        <x:v>10521</x:v>
      </x:c>
      <x:c r="W398" s="55" t="n">
        <x:v>7296</x:v>
      </x:c>
      <x:c r="X398" s="55" t="n">
        <x:v>3225</x:v>
      </x:c>
      <x:c r="Y398" s="55" t="n">
        <x:v>2770</x:v>
      </x:c>
      <x:c r="Z398" s="55" t="n">
        <x:v>4195</x:v>
      </x:c>
      <x:c r="AA398" s="55" t="n">
        <x:v>3684</x:v>
      </x:c>
      <x:c r="AB398" s="55" t="n">
        <x:v>1363</x:v>
      </x:c>
      <x:c r="AC398" s="55" t="n">
        <x:v>8340</x:v>
      </x:c>
      <x:c r="AD398" s="55" t="n">
        <x:v>2596</x:v>
      </x:c>
      <x:c r="AE398" s="55" t="n">
        <x:v>10642</x:v>
      </x:c>
      <x:c r="AF398" s="55" t="n">
        <x:v>10521</x:v>
      </x:c>
      <x:c r="AG398" s="55" t="n">
        <x:v>121</x:v>
      </x:c>
      <x:c r="AH398" s="55" t="n">
        <x:v>480</x:v>
      </x:c>
      <x:c r="AI398" s="55" t="n">
        <x:v>10041</x:v>
      </x:c>
      <x:c r="AJ398" s="55" t="n">
        <x:v>188</x:v>
      </x:c>
      <x:c r="AK398" s="55" t="n">
        <x:v>566</x:v>
      </x:c>
      <x:c r="AL398" s="55" t="n">
        <x:v>1499</x:v>
      </x:c>
      <x:c r="AM398" s="55" t="n">
        <x:v>5239</x:v>
      </x:c>
      <x:c r="AN398" s="55" t="n">
        <x:v>3029</x:v>
      </x:c>
      <x:c r="AO398" s="55" t="n">
        <x:v>0</x:v>
      </x:c>
      <x:c r="AP398" s="55" t="n">
        <x:v>2720</x:v>
      </x:c>
      <x:c r="AQ398" s="55" t="n">
        <x:v>998</x:v>
      </x:c>
    </x:row>
    <x:row r="399">
      <x:c r="A399" s="54" t="str">
        <x:v>T0_TABLE_BLOCK</x:v>
      </x:c>
      <x:c r="B399" s="54" t="n">
        <x:v>393</x:v>
      </x:c>
      <x:c r="C399" s="54" t="str">
        <x:v>NYC-V2-R01</x:v>
      </x:c>
      <x:c r="D399" s="54" t="str">
        <x:v>V2</x:v>
      </x:c>
      <x:c r="E399" s="54" t="str">
        <x:v>ADMITTED</x:v>
      </x:c>
      <x:c r="F399" s="55" t="n">
        <x:v>29810</x:v>
      </x:c>
      <x:c r="G399" s="55" t="n">
        <x:v>8047</x:v>
      </x:c>
      <x:c r="H399" s="55" t="n">
        <x:v>3193</x:v>
      </x:c>
      <x:c r="I399" s="55" t="n">
        <x:v>1034</x:v>
      </x:c>
      <x:c r="J399" s="55" t="n">
        <x:v>66</x:v>
      </x:c>
      <x:c r="K399" s="55" t="n">
        <x:v>28936</x:v>
      </x:c>
      <x:c r="L399" s="55" t="n">
        <x:v>4925</x:v>
      </x:c>
      <x:c r="M399" s="55" t="n">
        <x:v>196</x:v>
      </x:c>
      <x:c r="N399" s="55" t="n">
        <x:v>2985</x:v>
      </x:c>
      <x:c r="O399" s="55" t="n">
        <x:v>1744</x:v>
      </x:c>
      <x:c r="P399" s="55" t="n">
        <x:v>685</x:v>
      </x:c>
      <x:c r="Q399" s="55" t="n">
        <x:v>2128</x:v>
      </x:c>
      <x:c r="R399" s="55" t="n">
        <x:v>1468</x:v>
      </x:c>
      <x:c r="S399" s="55" t="n">
        <x:v>1684</x:v>
      </x:c>
      <x:c r="T399" s="55" t="n">
        <x:v>1445</x:v>
      </x:c>
      <x:c r="U399" s="55" t="n">
        <x:v>1915</x:v>
      </x:c>
      <x:c r="V399" s="55" t="n">
        <x:v>10877</x:v>
      </x:c>
      <x:c r="W399" s="55" t="n">
        <x:v>7598</x:v>
      </x:c>
      <x:c r="X399" s="55" t="n">
        <x:v>3279</x:v>
      </x:c>
      <x:c r="Y399" s="55" t="n">
        <x:v>2887</x:v>
      </x:c>
      <x:c r="Z399" s="55" t="n">
        <x:v>4376</x:v>
      </x:c>
      <x:c r="AA399" s="55" t="n">
        <x:v>3193</x:v>
      </x:c>
      <x:c r="AB399" s="55" t="n">
        <x:v>1139</x:v>
      </x:c>
      <x:c r="AC399" s="55" t="n">
        <x:v>8150</x:v>
      </x:c>
      <x:c r="AD399" s="55" t="n">
        <x:v>2814</x:v>
      </x:c>
      <x:c r="AE399" s="55" t="n">
        <x:v>10961</x:v>
      </x:c>
      <x:c r="AF399" s="55" t="n">
        <x:v>10877</x:v>
      </x:c>
      <x:c r="AG399" s="55" t="n">
        <x:v>84</x:v>
      </x:c>
      <x:c r="AH399" s="55" t="n">
        <x:v>707</x:v>
      </x:c>
      <x:c r="AI399" s="55" t="n">
        <x:v>10170</x:v>
      </x:c>
      <x:c r="AJ399" s="55" t="n">
        <x:v>265</x:v>
      </x:c>
      <x:c r="AK399" s="55" t="n">
        <x:v>1197</x:v>
      </x:c>
      <x:c r="AL399" s="55" t="n">
        <x:v>1747</x:v>
      </x:c>
      <x:c r="AM399" s="55" t="n">
        <x:v>4908</x:v>
      </x:c>
      <x:c r="AN399" s="55" t="n">
        <x:v>2760</x:v>
      </x:c>
      <x:c r="AO399" s="55" t="n">
        <x:v>0</x:v>
      </x:c>
      <x:c r="AP399" s="55" t="n">
        <x:v>2187</x:v>
      </x:c>
      <x:c r="AQ399" s="55" t="n">
        <x:v>967</x:v>
      </x:c>
    </x:row>
    <x:row r="400">
      <x:c r="A400" s="54" t="str">
        <x:v>T0_TABLE_BLOCK</x:v>
      </x:c>
      <x:c r="B400" s="54" t="n">
        <x:v>394</x:v>
      </x:c>
      <x:c r="C400" s="54" t="str">
        <x:v>NYC-V2-R01</x:v>
      </x:c>
      <x:c r="D400" s="54" t="str">
        <x:v>V2</x:v>
      </x:c>
      <x:c r="E400" s="54" t="str">
        <x:v>ADMITTED</x:v>
      </x:c>
      <x:c r="F400" s="55" t="n">
        <x:v>31139</x:v>
      </x:c>
      <x:c r="G400" s="55" t="n">
        <x:v>7634</x:v>
      </x:c>
      <x:c r="H400" s="55" t="n">
        <x:v>3442</x:v>
      </x:c>
      <x:c r="I400" s="55" t="n">
        <x:v>1510</x:v>
      </x:c>
      <x:c r="J400" s="55" t="n">
        <x:v>175</x:v>
      </x:c>
      <x:c r="K400" s="55" t="n">
        <x:v>31139</x:v>
      </x:c>
      <x:c r="L400" s="55" t="n">
        <x:v>5899</x:v>
      </x:c>
      <x:c r="M400" s="55" t="n">
        <x:v>1448</x:v>
      </x:c>
      <x:c r="N400" s="55" t="n">
        <x:v>2980</x:v>
      </x:c>
      <x:c r="O400" s="55" t="n">
        <x:v>1471</x:v>
      </x:c>
      <x:c r="P400" s="55" t="n">
        <x:v>722</x:v>
      </x:c>
      <x:c r="Q400" s="55" t="n">
        <x:v>1937</x:v>
      </x:c>
      <x:c r="R400" s="55" t="n">
        <x:v>2022</x:v>
      </x:c>
      <x:c r="S400" s="55" t="n">
        <x:v>3133</x:v>
      </x:c>
      <x:c r="T400" s="55" t="n">
        <x:v>993</x:v>
      </x:c>
      <x:c r="U400" s="55" t="n">
        <x:v>2631</x:v>
      </x:c>
      <x:c r="V400" s="55" t="n">
        <x:v>10499</x:v>
      </x:c>
      <x:c r="W400" s="55" t="n">
        <x:v>7516</x:v>
      </x:c>
      <x:c r="X400" s="55" t="n">
        <x:v>2983</x:v>
      </x:c>
      <x:c r="Y400" s="55" t="n">
        <x:v>2583</x:v>
      </x:c>
      <x:c r="Z400" s="55" t="n">
        <x:v>3825</x:v>
      </x:c>
      <x:c r="AA400" s="55" t="n">
        <x:v>3442</x:v>
      </x:c>
      <x:c r="AB400" s="55" t="n">
        <x:v>1529</x:v>
      </x:c>
      <x:c r="AC400" s="55" t="n">
        <x:v>7831</x:v>
      </x:c>
      <x:c r="AD400" s="55" t="n">
        <x:v>3239</x:v>
      </x:c>
      <x:c r="AE400" s="55" t="n">
        <x:v>10516</x:v>
      </x:c>
      <x:c r="AF400" s="55" t="n">
        <x:v>10499</x:v>
      </x:c>
      <x:c r="AG400" s="55" t="n">
        <x:v>17</x:v>
      </x:c>
      <x:c r="AH400" s="55" t="n">
        <x:v>611</x:v>
      </x:c>
      <x:c r="AI400" s="55" t="n">
        <x:v>9888</x:v>
      </x:c>
      <x:c r="AJ400" s="55" t="n">
        <x:v>135</x:v>
      </x:c>
      <x:c r="AK400" s="55" t="n">
        <x:v>1281</x:v>
      </x:c>
      <x:c r="AL400" s="55" t="n">
        <x:v>1689</x:v>
      </x:c>
      <x:c r="AM400" s="55" t="n">
        <x:v>4315</x:v>
      </x:c>
      <x:c r="AN400" s="55" t="n">
        <x:v>2996</x:v>
      </x:c>
      <x:c r="AO400" s="55" t="n">
        <x:v>83</x:v>
      </x:c>
      <x:c r="AP400" s="55" t="n">
        <x:v>2352</x:v>
      </x:c>
      <x:c r="AQ400" s="55" t="n">
        <x:v>961</x:v>
      </x:c>
    </x:row>
    <x:row r="401">
      <x:c r="A401" s="54" t="str">
        <x:v>T0_TABLE_BLOCK</x:v>
      </x:c>
      <x:c r="B401" s="54" t="n">
        <x:v>395</x:v>
      </x:c>
      <x:c r="C401" s="54" t="str">
        <x:v>NYC-V2-R01</x:v>
      </x:c>
      <x:c r="D401" s="54" t="str">
        <x:v>V2</x:v>
      </x:c>
      <x:c r="E401" s="54" t="str">
        <x:v>ADMITTED</x:v>
      </x:c>
      <x:c r="F401" s="55" t="n">
        <x:v>31895</x:v>
      </x:c>
      <x:c r="G401" s="55" t="n">
        <x:v>7960</x:v>
      </x:c>
      <x:c r="H401" s="55" t="n">
        <x:v>3478</x:v>
      </x:c>
      <x:c r="I401" s="55" t="n">
        <x:v>994</x:v>
      </x:c>
      <x:c r="J401" s="55" t="n">
        <x:v>31</x:v>
      </x:c>
      <x:c r="K401" s="55" t="n">
        <x:v>31895</x:v>
      </x:c>
      <x:c r="L401" s="55" t="n">
        <x:v>6423</x:v>
      </x:c>
      <x:c r="M401" s="55" t="n">
        <x:v>1511</x:v>
      </x:c>
      <x:c r="N401" s="55" t="n">
        <x:v>3262</x:v>
      </x:c>
      <x:c r="O401" s="55" t="n">
        <x:v>1650</x:v>
      </x:c>
      <x:c r="P401" s="55" t="n">
        <x:v>977</x:v>
      </x:c>
      <x:c r="Q401" s="55" t="n">
        <x:v>2756</x:v>
      </x:c>
      <x:c r="R401" s="55" t="n">
        <x:v>1087</x:v>
      </x:c>
      <x:c r="S401" s="55" t="n">
        <x:v>2406</x:v>
      </x:c>
      <x:c r="T401" s="55" t="n">
        <x:v>1255</x:v>
      </x:c>
      <x:c r="U401" s="55" t="n">
        <x:v>2184</x:v>
      </x:c>
      <x:c r="V401" s="55" t="n">
        <x:v>10935</x:v>
      </x:c>
      <x:c r="W401" s="55" t="n">
        <x:v>7896</x:v>
      </x:c>
      <x:c r="X401" s="55" t="n">
        <x:v>3039</x:v>
      </x:c>
      <x:c r="Y401" s="55" t="n">
        <x:v>2477</x:v>
      </x:c>
      <x:c r="Z401" s="55" t="n">
        <x:v>3867</x:v>
      </x:c>
      <x:c r="AA401" s="55" t="n">
        <x:v>2970</x:v>
      </x:c>
      <x:c r="AB401" s="55" t="n">
        <x:v>1039</x:v>
      </x:c>
      <x:c r="AC401" s="55" t="n">
        <x:v>7949</x:v>
      </x:c>
      <x:c r="AD401" s="55" t="n">
        <x:v>2994</x:v>
      </x:c>
      <x:c r="AE401" s="55" t="n">
        <x:v>10938</x:v>
      </x:c>
      <x:c r="AF401" s="55" t="n">
        <x:v>10935</x:v>
      </x:c>
      <x:c r="AG401" s="55" t="n">
        <x:v>3</x:v>
      </x:c>
      <x:c r="AH401" s="55" t="n">
        <x:v>639</x:v>
      </x:c>
      <x:c r="AI401" s="55" t="n">
        <x:v>10296</x:v>
      </x:c>
      <x:c r="AJ401" s="55" t="n">
        <x:v>355</x:v>
      </x:c>
      <x:c r="AK401" s="55" t="n">
        <x:v>1183</x:v>
      </x:c>
      <x:c r="AL401" s="55" t="n">
        <x:v>1947</x:v>
      </x:c>
      <x:c r="AM401" s="55" t="n">
        <x:v>5099</x:v>
      </x:c>
      <x:c r="AN401" s="55" t="n">
        <x:v>2316</x:v>
      </x:c>
      <x:c r="AO401" s="55" t="n">
        <x:v>35</x:v>
      </x:c>
      <x:c r="AP401" s="55" t="n">
        <x:v>2272</x:v>
      </x:c>
      <x:c r="AQ401" s="55" t="n">
        <x:v>957</x:v>
      </x:c>
    </x:row>
    <x:row r="402">
      <x:c r="A402" s="54" t="str">
        <x:v>T0_TABLE_BLOCK</x:v>
      </x:c>
      <x:c r="B402" s="54" t="n">
        <x:v>396</x:v>
      </x:c>
      <x:c r="C402" s="54" t="str">
        <x:v>NYC-V2-R01</x:v>
      </x:c>
      <x:c r="D402" s="54" t="str">
        <x:v>V2</x:v>
      </x:c>
      <x:c r="E402" s="54" t="str">
        <x:v>ADMITTED</x:v>
      </x:c>
      <x:c r="F402" s="55" t="n">
        <x:v>30717</x:v>
      </x:c>
      <x:c r="G402" s="55" t="n">
        <x:v>8602</x:v>
      </x:c>
      <x:c r="H402" s="55" t="n">
        <x:v>3401</x:v>
      </x:c>
      <x:c r="I402" s="55" t="n">
        <x:v>1663</x:v>
      </x:c>
      <x:c r="J402" s="55" t="n">
        <x:v>412</x:v>
      </x:c>
      <x:c r="K402" s="55" t="n">
        <x:v>29614</x:v>
      </x:c>
      <x:c r="L402" s="55" t="n">
        <x:v>5456</x:v>
      </x:c>
      <x:c r="M402" s="55" t="n">
        <x:v>814</x:v>
      </x:c>
      <x:c r="N402" s="55" t="n">
        <x:v>2756</x:v>
      </x:c>
      <x:c r="O402" s="55" t="n">
        <x:v>1886</x:v>
      </x:c>
      <x:c r="P402" s="55" t="n">
        <x:v>815</x:v>
      </x:c>
      <x:c r="Q402" s="55" t="n">
        <x:v>1893</x:v>
      </x:c>
      <x:c r="R402" s="55" t="n">
        <x:v>1165</x:v>
      </x:c>
      <x:c r="S402" s="55" t="n">
        <x:v>2748</x:v>
      </x:c>
      <x:c r="T402" s="55" t="n">
        <x:v>911</x:v>
      </x:c>
      <x:c r="U402" s="55" t="n">
        <x:v>1741</x:v>
      </x:c>
      <x:c r="V402" s="55" t="n">
        <x:v>10455</x:v>
      </x:c>
      <x:c r="W402" s="55" t="n">
        <x:v>7279</x:v>
      </x:c>
      <x:c r="X402" s="55" t="n">
        <x:v>3176</x:v>
      </x:c>
      <x:c r="Y402" s="55" t="n">
        <x:v>2822</x:v>
      </x:c>
      <x:c r="Z402" s="55" t="n">
        <x:v>3561</x:v>
      </x:c>
      <x:c r="AA402" s="55" t="n">
        <x:v>3229</x:v>
      </x:c>
      <x:c r="AB402" s="55" t="n">
        <x:v>1143</x:v>
      </x:c>
      <x:c r="AC402" s="55" t="n">
        <x:v>7898</x:v>
      </x:c>
      <x:c r="AD402" s="55" t="n">
        <x:v>2484</x:v>
      </x:c>
      <x:c r="AE402" s="55" t="n">
        <x:v>10628</x:v>
      </x:c>
      <x:c r="AF402" s="55" t="n">
        <x:v>10455</x:v>
      </x:c>
      <x:c r="AG402" s="55" t="n">
        <x:v>173</x:v>
      </x:c>
      <x:c r="AH402" s="55" t="n">
        <x:v>393</x:v>
      </x:c>
      <x:c r="AI402" s="55" t="n">
        <x:v>10062</x:v>
      </x:c>
      <x:c r="AJ402" s="55" t="n">
        <x:v>530</x:v>
      </x:c>
      <x:c r="AK402" s="55" t="n">
        <x:v>824</x:v>
      </x:c>
      <x:c r="AL402" s="55" t="n">
        <x:v>1585</x:v>
      </x:c>
      <x:c r="AM402" s="55" t="n">
        <x:v>4861</x:v>
      </x:c>
      <x:c r="AN402" s="55" t="n">
        <x:v>2630</x:v>
      </x:c>
      <x:c r="AO402" s="55" t="n">
        <x:v>25</x:v>
      </x:c>
      <x:c r="AP402" s="55" t="n">
        <x:v>2098</x:v>
      </x:c>
      <x:c r="AQ402" s="55" t="n">
        <x:v>973</x:v>
      </x:c>
    </x:row>
    <x:row r="403">
      <x:c r="A403" s="54" t="str">
        <x:v>T0_TABLE_BLOCK</x:v>
      </x:c>
      <x:c r="B403" s="54" t="n">
        <x:v>397</x:v>
      </x:c>
      <x:c r="C403" s="54" t="str">
        <x:v>NYC-V2-R01</x:v>
      </x:c>
      <x:c r="D403" s="54" t="str">
        <x:v>V2</x:v>
      </x:c>
      <x:c r="E403" s="54" t="str">
        <x:v>ADMITTED</x:v>
      </x:c>
      <x:c r="F403" s="55" t="n">
        <x:v>32495</x:v>
      </x:c>
      <x:c r="G403" s="55" t="n">
        <x:v>8082</x:v>
      </x:c>
      <x:c r="H403" s="55" t="n">
        <x:v>3604</x:v>
      </x:c>
      <x:c r="I403" s="55" t="n">
        <x:v>1652</x:v>
      </x:c>
      <x:c r="J403" s="55" t="n">
        <x:v>412</x:v>
      </x:c>
      <x:c r="K403" s="55" t="n">
        <x:v>31915</x:v>
      </x:c>
      <x:c r="L403" s="55" t="n">
        <x:v>6348</x:v>
      </x:c>
      <x:c r="M403" s="55" t="n">
        <x:v>1706</x:v>
      </x:c>
      <x:c r="N403" s="55" t="n">
        <x:v>2995</x:v>
      </x:c>
      <x:c r="O403" s="55" t="n">
        <x:v>1647</x:v>
      </x:c>
      <x:c r="P403" s="55" t="n">
        <x:v>495</x:v>
      </x:c>
      <x:c r="Q403" s="55" t="n">
        <x:v>1493</x:v>
      </x:c>
      <x:c r="R403" s="55" t="n">
        <x:v>1674</x:v>
      </x:c>
      <x:c r="S403" s="55" t="n">
        <x:v>2564</x:v>
      </x:c>
      <x:c r="T403" s="55" t="n">
        <x:v>1169</x:v>
      </x:c>
      <x:c r="U403" s="55" t="n">
        <x:v>2137</x:v>
      </x:c>
      <x:c r="V403" s="55" t="n">
        <x:v>10144</x:v>
      </x:c>
      <x:c r="W403" s="55" t="n">
        <x:v>7055</x:v>
      </x:c>
      <x:c r="X403" s="55" t="n">
        <x:v>3089</x:v>
      </x:c>
      <x:c r="Y403" s="55" t="n">
        <x:v>2644</x:v>
      </x:c>
      <x:c r="Z403" s="55" t="n">
        <x:v>3819</x:v>
      </x:c>
      <x:c r="AA403" s="55" t="n">
        <x:v>2919</x:v>
      </x:c>
      <x:c r="AB403" s="55" t="n">
        <x:v>1156</x:v>
      </x:c>
      <x:c r="AC403" s="55" t="n">
        <x:v>7923</x:v>
      </x:c>
      <x:c r="AD403" s="55" t="n">
        <x:v>3108</x:v>
      </x:c>
      <x:c r="AE403" s="55" t="n">
        <x:v>10213</x:v>
      </x:c>
      <x:c r="AF403" s="55" t="n">
        <x:v>10144</x:v>
      </x:c>
      <x:c r="AG403" s="55" t="n">
        <x:v>69</x:v>
      </x:c>
      <x:c r="AH403" s="55" t="n">
        <x:v>579</x:v>
      </x:c>
      <x:c r="AI403" s="55" t="n">
        <x:v>9565</x:v>
      </x:c>
      <x:c r="AJ403" s="55" t="n">
        <x:v>644</x:v>
      </x:c>
      <x:c r="AK403" s="55" t="n">
        <x:v>994</x:v>
      </x:c>
      <x:c r="AL403" s="55" t="n">
        <x:v>1621</x:v>
      </x:c>
      <x:c r="AM403" s="55" t="n">
        <x:v>4560</x:v>
      </x:c>
      <x:c r="AN403" s="55" t="n">
        <x:v>2249</x:v>
      </x:c>
      <x:c r="AO403" s="55" t="n">
        <x:v>76</x:v>
      </x:c>
      <x:c r="AP403" s="55" t="n">
        <x:v>2340</x:v>
      </x:c>
      <x:c r="AQ403" s="55" t="n">
        <x:v>915</x:v>
      </x:c>
    </x:row>
    <x:row r="404">
      <x:c r="A404" s="54" t="str">
        <x:v>T0_TABLE_BLOCK</x:v>
      </x:c>
      <x:c r="B404" s="54" t="n">
        <x:v>398</x:v>
      </x:c>
      <x:c r="C404" s="54" t="str">
        <x:v>NYC-V2-R01</x:v>
      </x:c>
      <x:c r="D404" s="54" t="str">
        <x:v>V2</x:v>
      </x:c>
      <x:c r="E404" s="54" t="str">
        <x:v>ADMITTED</x:v>
      </x:c>
      <x:c r="F404" s="55" t="n">
        <x:v>31091</x:v>
      </x:c>
      <x:c r="G404" s="55" t="n">
        <x:v>7955</x:v>
      </x:c>
      <x:c r="H404" s="55" t="n">
        <x:v>2903</x:v>
      </x:c>
      <x:c r="I404" s="55" t="n">
        <x:v>1271</x:v>
      </x:c>
      <x:c r="J404" s="55" t="n">
        <x:v>111</x:v>
      </x:c>
      <x:c r="K404" s="55" t="n">
        <x:v>30356</x:v>
      </x:c>
      <x:c r="L404" s="55" t="n">
        <x:v>6528</x:v>
      </x:c>
      <x:c r="M404" s="55" t="n">
        <x:v>1555</x:v>
      </x:c>
      <x:c r="N404" s="55" t="n">
        <x:v>2837</x:v>
      </x:c>
      <x:c r="O404" s="55" t="n">
        <x:v>2136</x:v>
      </x:c>
      <x:c r="P404" s="55" t="n">
        <x:v>669</x:v>
      </x:c>
      <x:c r="Q404" s="55" t="n">
        <x:v>2420</x:v>
      </x:c>
      <x:c r="R404" s="55" t="n">
        <x:v>1484</x:v>
      </x:c>
      <x:c r="S404" s="55" t="n">
        <x:v>3038</x:v>
      </x:c>
      <x:c r="T404" s="55" t="n">
        <x:v>1649</x:v>
      </x:c>
      <x:c r="U404" s="55" t="n">
        <x:v>2776</x:v>
      </x:c>
      <x:c r="V404" s="55" t="n">
        <x:v>10233</x:v>
      </x:c>
      <x:c r="W404" s="55" t="n">
        <x:v>7106</x:v>
      </x:c>
      <x:c r="X404" s="55" t="n">
        <x:v>3127</x:v>
      </x:c>
      <x:c r="Y404" s="55" t="n">
        <x:v>2856</x:v>
      </x:c>
      <x:c r="Z404" s="55" t="n">
        <x:v>3853</x:v>
      </x:c>
      <x:c r="AA404" s="55" t="n">
        <x:v>2755</x:v>
      </x:c>
      <x:c r="AB404" s="55" t="n">
        <x:v>1355</x:v>
      </x:c>
      <x:c r="AC404" s="55" t="n">
        <x:v>7885</x:v>
      </x:c>
      <x:c r="AD404" s="55" t="n">
        <x:v>2279</x:v>
      </x:c>
      <x:c r="AE404" s="55" t="n">
        <x:v>10273</x:v>
      </x:c>
      <x:c r="AF404" s="55" t="n">
        <x:v>10233</x:v>
      </x:c>
      <x:c r="AG404" s="55" t="n">
        <x:v>40</x:v>
      </x:c>
      <x:c r="AH404" s="55" t="n">
        <x:v>559</x:v>
      </x:c>
      <x:c r="AI404" s="55" t="n">
        <x:v>9674</x:v>
      </x:c>
      <x:c r="AJ404" s="55" t="n">
        <x:v>438</x:v>
      </x:c>
      <x:c r="AK404" s="55" t="n">
        <x:v>1083</x:v>
      </x:c>
      <x:c r="AL404" s="55" t="n">
        <x:v>1269</x:v>
      </x:c>
      <x:c r="AM404" s="55" t="n">
        <x:v>5084</x:v>
      </x:c>
      <x:c r="AN404" s="55" t="n">
        <x:v>2355</x:v>
      </x:c>
      <x:c r="AO404" s="55" t="n">
        <x:v>4</x:v>
      </x:c>
      <x:c r="AP404" s="55" t="n">
        <x:v>2396</x:v>
      </x:c>
      <x:c r="AQ404" s="55" t="n">
        <x:v>986</x:v>
      </x:c>
    </x:row>
    <x:row r="405">
      <x:c r="A405" s="54" t="str">
        <x:v>T0_TABLE_BLOCK</x:v>
      </x:c>
      <x:c r="B405" s="54" t="n">
        <x:v>399</x:v>
      </x:c>
      <x:c r="C405" s="54" t="str">
        <x:v>NYC-V2-R01</x:v>
      </x:c>
      <x:c r="D405" s="54" t="str">
        <x:v>V2</x:v>
      </x:c>
      <x:c r="E405" s="54" t="str">
        <x:v>ADMITTED</x:v>
      </x:c>
      <x:c r="F405" s="55" t="n">
        <x:v>33554</x:v>
      </x:c>
      <x:c r="G405" s="55" t="n">
        <x:v>9699</x:v>
      </x:c>
      <x:c r="H405" s="55" t="n">
        <x:v>3218</x:v>
      </x:c>
      <x:c r="I405" s="55" t="n">
        <x:v>1435</x:v>
      </x:c>
      <x:c r="J405" s="55" t="n">
        <x:v>241</x:v>
      </x:c>
      <x:c r="K405" s="55" t="n">
        <x:v>28823</x:v>
      </x:c>
      <x:c r="L405" s="55" t="n">
        <x:v>6718</x:v>
      </x:c>
      <x:c r="M405" s="55" t="n">
        <x:v>2129</x:v>
      </x:c>
      <x:c r="N405" s="55" t="n">
        <x:v>3214</x:v>
      </x:c>
      <x:c r="O405" s="55" t="n">
        <x:v>1375</x:v>
      </x:c>
      <x:c r="P405" s="55" t="n">
        <x:v>408</x:v>
      </x:c>
      <x:c r="Q405" s="55" t="n">
        <x:v>2731</x:v>
      </x:c>
      <x:c r="R405" s="55" t="n">
        <x:v>1782</x:v>
      </x:c>
      <x:c r="S405" s="55" t="n">
        <x:v>3604</x:v>
      </x:c>
      <x:c r="T405" s="55" t="n">
        <x:v>1034</x:v>
      </x:c>
      <x:c r="U405" s="55" t="n">
        <x:v>2246</x:v>
      </x:c>
      <x:c r="V405" s="55" t="n">
        <x:v>10552</x:v>
      </x:c>
      <x:c r="W405" s="55" t="n">
        <x:v>7350</x:v>
      </x:c>
      <x:c r="X405" s="55" t="n">
        <x:v>3202</x:v>
      </x:c>
      <x:c r="Y405" s="55" t="n">
        <x:v>2843</x:v>
      </x:c>
      <x:c r="Z405" s="55" t="n">
        <x:v>3456</x:v>
      </x:c>
      <x:c r="AA405" s="55" t="n">
        <x:v>3149</x:v>
      </x:c>
      <x:c r="AB405" s="55" t="n">
        <x:v>1064</x:v>
      </x:c>
      <x:c r="AC405" s="55" t="n">
        <x:v>8088</x:v>
      </x:c>
      <x:c r="AD405" s="55" t="n">
        <x:v>2969</x:v>
      </x:c>
      <x:c r="AE405" s="55" t="n">
        <x:v>10688</x:v>
      </x:c>
      <x:c r="AF405" s="55" t="n">
        <x:v>10552</x:v>
      </x:c>
      <x:c r="AG405" s="55" t="n">
        <x:v>136</x:v>
      </x:c>
      <x:c r="AH405" s="55" t="n">
        <x:v>658</x:v>
      </x:c>
      <x:c r="AI405" s="55" t="n">
        <x:v>9894</x:v>
      </x:c>
      <x:c r="AJ405" s="55" t="n">
        <x:v>425</x:v>
      </x:c>
      <x:c r="AK405" s="55" t="n">
        <x:v>1221</x:v>
      </x:c>
      <x:c r="AL405" s="55" t="n">
        <x:v>1413</x:v>
      </x:c>
      <x:c r="AM405" s="55" t="n">
        <x:v>4885</x:v>
      </x:c>
      <x:c r="AN405" s="55" t="n">
        <x:v>2608</x:v>
      </x:c>
      <x:c r="AO405" s="55" t="n">
        <x:v>0</x:v>
      </x:c>
      <x:c r="AP405" s="55" t="n">
        <x:v>2174</x:v>
      </x:c>
      <x:c r="AQ405" s="55" t="n">
        <x:v>963</x:v>
      </x:c>
    </x:row>
    <x:row r="406">
      <x:c r="A406" s="54" t="str">
        <x:v>T0_TABLE_BLOCK</x:v>
      </x:c>
      <x:c r="B406" s="54" t="n">
        <x:v>400</x:v>
      </x:c>
      <x:c r="C406" s="54" t="str">
        <x:v>NYC-V2-R01</x:v>
      </x:c>
      <x:c r="D406" s="54" t="str">
        <x:v>V2</x:v>
      </x:c>
      <x:c r="E406" s="54" t="str">
        <x:v>ADMITTED</x:v>
      </x:c>
      <x:c r="F406" s="55" t="n">
        <x:v>30821</x:v>
      </x:c>
      <x:c r="G406" s="55" t="n">
        <x:v>8832</x:v>
      </x:c>
      <x:c r="H406" s="55" t="n">
        <x:v>2819</x:v>
      </x:c>
      <x:c r="I406" s="55" t="n">
        <x:v>1115</x:v>
      </x:c>
      <x:c r="J406" s="55" t="n">
        <x:v>64</x:v>
      </x:c>
      <x:c r="K406" s="55" t="n">
        <x:v>28666</x:v>
      </x:c>
      <x:c r="L406" s="55" t="n">
        <x:v>5488</x:v>
      </x:c>
      <x:c r="M406" s="55" t="n">
        <x:v>1222</x:v>
      </x:c>
      <x:c r="N406" s="55" t="n">
        <x:v>2778</x:v>
      </x:c>
      <x:c r="O406" s="55" t="n">
        <x:v>1488</x:v>
      </x:c>
      <x:c r="P406" s="55" t="n">
        <x:v>1093</x:v>
      </x:c>
      <x:c r="Q406" s="55" t="n">
        <x:v>2232</x:v>
      </x:c>
      <x:c r="R406" s="55" t="n">
        <x:v>2629</x:v>
      </x:c>
      <x:c r="S406" s="55" t="n">
        <x:v>2425</x:v>
      </x:c>
      <x:c r="T406" s="55" t="n">
        <x:v>1162</x:v>
      </x:c>
      <x:c r="U406" s="55" t="n">
        <x:v>2141</x:v>
      </x:c>
      <x:c r="V406" s="55" t="n">
        <x:v>10642</x:v>
      </x:c>
      <x:c r="W406" s="55" t="n">
        <x:v>7280</x:v>
      </x:c>
      <x:c r="X406" s="55" t="n">
        <x:v>3362</x:v>
      </x:c>
      <x:c r="Y406" s="55" t="n">
        <x:v>3127</x:v>
      </x:c>
      <x:c r="Z406" s="55" t="n">
        <x:v>3476</x:v>
      </x:c>
      <x:c r="AA406" s="55" t="n">
        <x:v>2819</x:v>
      </x:c>
      <x:c r="AB406" s="55" t="n">
        <x:v>935</x:v>
      </x:c>
      <x:c r="AC406" s="55" t="n">
        <x:v>7714</x:v>
      </x:c>
      <x:c r="AD406" s="55" t="n">
        <x:v>3081</x:v>
      </x:c>
      <x:c r="AE406" s="55" t="n">
        <x:v>10758</x:v>
      </x:c>
      <x:c r="AF406" s="55" t="n">
        <x:v>10642</x:v>
      </x:c>
      <x:c r="AG406" s="55" t="n">
        <x:v>116</x:v>
      </x:c>
      <x:c r="AH406" s="55" t="n">
        <x:v>457</x:v>
      </x:c>
      <x:c r="AI406" s="55" t="n">
        <x:v>10185</x:v>
      </x:c>
      <x:c r="AJ406" s="55" t="n">
        <x:v>412</x:v>
      </x:c>
      <x:c r="AK406" s="55" t="n">
        <x:v>1037</x:v>
      </x:c>
      <x:c r="AL406" s="55" t="n">
        <x:v>1228</x:v>
      </x:c>
      <x:c r="AM406" s="55" t="n">
        <x:v>5653</x:v>
      </x:c>
      <x:c r="AN406" s="55" t="n">
        <x:v>2282</x:v>
      </x:c>
      <x:c r="AO406" s="55" t="n">
        <x:v>30</x:v>
      </x:c>
      <x:c r="AP406" s="55" t="n">
        <x:v>2046</x:v>
      </x:c>
      <x:c r="AQ406" s="55" t="n">
        <x:v>967</x:v>
      </x:c>
    </x:row>
    <x:row r="407">
      <x:c r="A407" s="54" t="str">
        <x:v>T0_TABLE_BLOCK</x:v>
      </x:c>
      <x:c r="B407" s="54" t="n">
        <x:v>401</x:v>
      </x:c>
      <x:c r="C407" s="54" t="str">
        <x:v>NYC-V2-R01</x:v>
      </x:c>
      <x:c r="D407" s="54" t="str">
        <x:v>V2</x:v>
      </x:c>
      <x:c r="E407" s="54" t="str">
        <x:v>ADMITTED</x:v>
      </x:c>
      <x:c r="F407" s="55" t="n">
        <x:v>32043</x:v>
      </x:c>
      <x:c r="G407" s="55" t="n">
        <x:v>8727</x:v>
      </x:c>
      <x:c r="H407" s="55" t="n">
        <x:v>3067</x:v>
      </x:c>
      <x:c r="I407" s="55" t="n">
        <x:v>1166</x:v>
      </x:c>
      <x:c r="J407" s="55" t="n">
        <x:v>230</x:v>
      </x:c>
      <x:c r="K407" s="55" t="n">
        <x:v>30339</x:v>
      </x:c>
      <x:c r="L407" s="55" t="n">
        <x:v>5030</x:v>
      </x:c>
      <x:c r="M407" s="55" t="n">
        <x:v>459</x:v>
      </x:c>
      <x:c r="N407" s="55" t="n">
        <x:v>2666</x:v>
      </x:c>
      <x:c r="O407" s="55" t="n">
        <x:v>1905</x:v>
      </x:c>
      <x:c r="P407" s="55" t="n">
        <x:v>949</x:v>
      </x:c>
      <x:c r="Q407" s="55" t="n">
        <x:v>2257</x:v>
      </x:c>
      <x:c r="R407" s="55" t="n">
        <x:v>2178</x:v>
      </x:c>
      <x:c r="S407" s="55" t="n">
        <x:v>2583</x:v>
      </x:c>
      <x:c r="T407" s="55" t="n">
        <x:v>1361</x:v>
      </x:c>
      <x:c r="U407" s="55" t="n">
        <x:v>2257</x:v>
      </x:c>
      <x:c r="V407" s="55" t="n">
        <x:v>10746</x:v>
      </x:c>
      <x:c r="W407" s="55" t="n">
        <x:v>7792</x:v>
      </x:c>
      <x:c r="X407" s="55" t="n">
        <x:v>2954</x:v>
      </x:c>
      <x:c r="Y407" s="55" t="n">
        <x:v>2631</x:v>
      </x:c>
      <x:c r="Z407" s="55" t="n">
        <x:v>3994</x:v>
      </x:c>
      <x:c r="AA407" s="55" t="n">
        <x:v>3067</x:v>
      </x:c>
      <x:c r="AB407" s="55" t="n">
        <x:v>1190</x:v>
      </x:c>
      <x:c r="AC407" s="55" t="n">
        <x:v>7958</x:v>
      </x:c>
      <x:c r="AD407" s="55" t="n">
        <x:v>3025</x:v>
      </x:c>
      <x:c r="AE407" s="55" t="n">
        <x:v>10830</x:v>
      </x:c>
      <x:c r="AF407" s="55" t="n">
        <x:v>10746</x:v>
      </x:c>
      <x:c r="AG407" s="55" t="n">
        <x:v>84</x:v>
      </x:c>
      <x:c r="AH407" s="55" t="n">
        <x:v>423</x:v>
      </x:c>
      <x:c r="AI407" s="55" t="n">
        <x:v>10323</x:v>
      </x:c>
      <x:c r="AJ407" s="55" t="n">
        <x:v>220</x:v>
      </x:c>
      <x:c r="AK407" s="55" t="n">
        <x:v>1285</x:v>
      </x:c>
      <x:c r="AL407" s="55" t="n">
        <x:v>1724</x:v>
      </x:c>
      <x:c r="AM407" s="55" t="n">
        <x:v>5221</x:v>
      </x:c>
      <x:c r="AN407" s="55" t="n">
        <x:v>2291</x:v>
      </x:c>
      <x:c r="AO407" s="55" t="n">
        <x:v>5</x:v>
      </x:c>
      <x:c r="AP407" s="55" t="n">
        <x:v>1900</x:v>
      </x:c>
      <x:c r="AQ407" s="55" t="n">
        <x:v>926</x:v>
      </x:c>
    </x:row>
    <x:row r="408">
      <x:c r="A408" s="54" t="str">
        <x:v>T0_TABLE_BLOCK</x:v>
      </x:c>
      <x:c r="B408" s="54" t="n">
        <x:v>402</x:v>
      </x:c>
      <x:c r="C408" s="54" t="str">
        <x:v>NYC-V2-R01</x:v>
      </x:c>
      <x:c r="D408" s="54" t="str">
        <x:v>V2</x:v>
      </x:c>
      <x:c r="E408" s="54" t="str">
        <x:v>ADMITTED</x:v>
      </x:c>
      <x:c r="F408" s="55" t="n">
        <x:v>31392</x:v>
      </x:c>
      <x:c r="G408" s="55" t="n">
        <x:v>8318</x:v>
      </x:c>
      <x:c r="H408" s="55" t="n">
        <x:v>2981</x:v>
      </x:c>
      <x:c r="I408" s="55" t="n">
        <x:v>782</x:v>
      </x:c>
      <x:c r="J408" s="55" t="n">
        <x:v>151</x:v>
      </x:c>
      <x:c r="K408" s="55" t="n">
        <x:v>31392</x:v>
      </x:c>
      <x:c r="L408" s="55" t="n">
        <x:v>7277</x:v>
      </x:c>
      <x:c r="M408" s="55" t="n">
        <x:v>2861</x:v>
      </x:c>
      <x:c r="N408" s="55" t="n">
        <x:v>2517</x:v>
      </x:c>
      <x:c r="O408" s="55" t="n">
        <x:v>1899</x:v>
      </x:c>
      <x:c r="P408" s="55" t="n">
        <x:v>1037</x:v>
      </x:c>
      <x:c r="Q408" s="55" t="n">
        <x:v>1479</x:v>
      </x:c>
      <x:c r="R408" s="55" t="n">
        <x:v>1789</x:v>
      </x:c>
      <x:c r="S408" s="55" t="n">
        <x:v>2905</x:v>
      </x:c>
      <x:c r="T408" s="55" t="n">
        <x:v>1349</x:v>
      </x:c>
      <x:c r="U408" s="55" t="n">
        <x:v>1839</x:v>
      </x:c>
      <x:c r="V408" s="55" t="n">
        <x:v>10260</x:v>
      </x:c>
      <x:c r="W408" s="55" t="n">
        <x:v>7004</x:v>
      </x:c>
      <x:c r="X408" s="55" t="n">
        <x:v>3256</x:v>
      </x:c>
      <x:c r="Y408" s="55" t="n">
        <x:v>2737</x:v>
      </x:c>
      <x:c r="Z408" s="55" t="n">
        <x:v>3769</x:v>
      </x:c>
      <x:c r="AA408" s="55" t="n">
        <x:v>2981</x:v>
      </x:c>
      <x:c r="AB408" s="55" t="n">
        <x:v>1255</x:v>
      </x:c>
      <x:c r="AC408" s="55" t="n">
        <x:v>7413</x:v>
      </x:c>
      <x:c r="AD408" s="55" t="n">
        <x:v>2505</x:v>
      </x:c>
      <x:c r="AE408" s="55" t="n">
        <x:v>10333</x:v>
      </x:c>
      <x:c r="AF408" s="55" t="n">
        <x:v>10260</x:v>
      </x:c>
      <x:c r="AG408" s="55" t="n">
        <x:v>73</x:v>
      </x:c>
      <x:c r="AH408" s="55" t="n">
        <x:v>451</x:v>
      </x:c>
      <x:c r="AI408" s="55" t="n">
        <x:v>9809</x:v>
      </x:c>
      <x:c r="AJ408" s="55" t="n">
        <x:v>388</x:v>
      </x:c>
      <x:c r="AK408" s="55" t="n">
        <x:v>515</x:v>
      </x:c>
      <x:c r="AL408" s="55" t="n">
        <x:v>1416</x:v>
      </x:c>
      <x:c r="AM408" s="55" t="n">
        <x:v>4749</x:v>
      </x:c>
      <x:c r="AN408" s="55" t="n">
        <x:v>3101</x:v>
      </x:c>
      <x:c r="AO408" s="55" t="n">
        <x:v>91</x:v>
      </x:c>
      <x:c r="AP408" s="55" t="n">
        <x:v>1792</x:v>
      </x:c>
      <x:c r="AQ408" s="55" t="n">
        <x:v>1033</x:v>
      </x:c>
    </x:row>
    <x:row r="409">
      <x:c r="A409" s="54" t="str">
        <x:v>T0_TABLE_BLOCK</x:v>
      </x:c>
      <x:c r="B409" s="54" t="n">
        <x:v>403</x:v>
      </x:c>
      <x:c r="C409" s="54" t="str">
        <x:v>NYC-V2-R01</x:v>
      </x:c>
      <x:c r="D409" s="54" t="str">
        <x:v>V2</x:v>
      </x:c>
      <x:c r="E409" s="54" t="str">
        <x:v>ADMITTED</x:v>
      </x:c>
      <x:c r="F409" s="55" t="n">
        <x:v>32082</x:v>
      </x:c>
      <x:c r="G409" s="55" t="n">
        <x:v>7917</x:v>
      </x:c>
      <x:c r="H409" s="55" t="n">
        <x:v>3502</x:v>
      </x:c>
      <x:c r="I409" s="55" t="n">
        <x:v>1589</x:v>
      </x:c>
      <x:c r="J409" s="55" t="n">
        <x:v>175</x:v>
      </x:c>
      <x:c r="K409" s="55" t="n">
        <x:v>32082</x:v>
      </x:c>
      <x:c r="L409" s="55" t="n">
        <x:v>6811</x:v>
      </x:c>
      <x:c r="M409" s="55" t="n">
        <x:v>2165</x:v>
      </x:c>
      <x:c r="N409" s="55" t="n">
        <x:v>2901</x:v>
      </x:c>
      <x:c r="O409" s="55" t="n">
        <x:v>1745</x:v>
      </x:c>
      <x:c r="P409" s="55" t="n">
        <x:v>909</x:v>
      </x:c>
      <x:c r="Q409" s="55" t="n">
        <x:v>1660</x:v>
      </x:c>
      <x:c r="R409" s="55" t="n">
        <x:v>1886</x:v>
      </x:c>
      <x:c r="S409" s="55" t="n">
        <x:v>2945</x:v>
      </x:c>
      <x:c r="T409" s="55" t="n">
        <x:v>1309</x:v>
      </x:c>
      <x:c r="U409" s="55" t="n">
        <x:v>1857</x:v>
      </x:c>
      <x:c r="V409" s="55" t="n">
        <x:v>10335</x:v>
      </x:c>
      <x:c r="W409" s="55" t="n">
        <x:v>7525</x:v>
      </x:c>
      <x:c r="X409" s="55" t="n">
        <x:v>2810</x:v>
      </x:c>
      <x:c r="Y409" s="55" t="n">
        <x:v>2245</x:v>
      </x:c>
      <x:c r="Z409" s="55" t="n">
        <x:v>3559</x:v>
      </x:c>
      <x:c r="AA409" s="55" t="n">
        <x:v>2466</x:v>
      </x:c>
      <x:c r="AB409" s="55" t="n">
        <x:v>842</x:v>
      </x:c>
      <x:c r="AC409" s="55" t="n">
        <x:v>7626</x:v>
      </x:c>
      <x:c r="AD409" s="55" t="n">
        <x:v>2667</x:v>
      </x:c>
      <x:c r="AE409" s="55" t="n">
        <x:v>10483</x:v>
      </x:c>
      <x:c r="AF409" s="55" t="n">
        <x:v>10335</x:v>
      </x:c>
      <x:c r="AG409" s="55" t="n">
        <x:v>148</x:v>
      </x:c>
      <x:c r="AH409" s="55" t="n">
        <x:v>474</x:v>
      </x:c>
      <x:c r="AI409" s="55" t="n">
        <x:v>9861</x:v>
      </x:c>
      <x:c r="AJ409" s="55" t="n">
        <x:v>200</x:v>
      </x:c>
      <x:c r="AK409" s="55" t="n">
        <x:v>1196</x:v>
      </x:c>
      <x:c r="AL409" s="55" t="n">
        <x:v>2023</x:v>
      </x:c>
      <x:c r="AM409" s="55" t="n">
        <x:v>4421</x:v>
      </x:c>
      <x:c r="AN409" s="55" t="n">
        <x:v>2370</x:v>
      </x:c>
      <x:c r="AO409" s="55" t="n">
        <x:v>125</x:v>
      </x:c>
      <x:c r="AP409" s="55" t="n">
        <x:v>2560</x:v>
      </x:c>
      <x:c r="AQ409" s="55" t="n">
        <x:v>939</x:v>
      </x:c>
    </x:row>
    <x:row r="410">
      <x:c r="A410" s="54" t="str">
        <x:v>T0_TABLE_BLOCK</x:v>
      </x:c>
      <x:c r="B410" s="54" t="n">
        <x:v>404</x:v>
      </x:c>
      <x:c r="C410" s="54" t="str">
        <x:v>NYC-V2-R01</x:v>
      </x:c>
      <x:c r="D410" s="54" t="str">
        <x:v>V2</x:v>
      </x:c>
      <x:c r="E410" s="54" t="str">
        <x:v>ADMITTED</x:v>
      </x:c>
      <x:c r="F410" s="55" t="n">
        <x:v>33569</x:v>
      </x:c>
      <x:c r="G410" s="55" t="n">
        <x:v>9485</x:v>
      </x:c>
      <x:c r="H410" s="55" t="n">
        <x:v>3560</x:v>
      </x:c>
      <x:c r="I410" s="55" t="n">
        <x:v>1478</x:v>
      </x:c>
      <x:c r="J410" s="55" t="n">
        <x:v>316</x:v>
      </x:c>
      <x:c r="K410" s="55" t="n">
        <x:v>32000</x:v>
      </x:c>
      <x:c r="L410" s="55" t="n">
        <x:v>6491</x:v>
      </x:c>
      <x:c r="M410" s="55" t="n">
        <x:v>3098</x:v>
      </x:c>
      <x:c r="N410" s="55" t="n">
        <x:v>2355</x:v>
      </x:c>
      <x:c r="O410" s="55" t="n">
        <x:v>1038</x:v>
      </x:c>
      <x:c r="P410" s="55" t="n">
        <x:v>1004</x:v>
      </x:c>
      <x:c r="Q410" s="55" t="n">
        <x:v>2627</x:v>
      </x:c>
      <x:c r="R410" s="55" t="n">
        <x:v>1646</x:v>
      </x:c>
      <x:c r="S410" s="55" t="n">
        <x:v>2970</x:v>
      </x:c>
      <x:c r="T410" s="55" t="n">
        <x:v>1335</x:v>
      </x:c>
      <x:c r="U410" s="55" t="n">
        <x:v>2239</x:v>
      </x:c>
      <x:c r="V410" s="55" t="n">
        <x:v>11041</x:v>
      </x:c>
      <x:c r="W410" s="55" t="n">
        <x:v>8073</x:v>
      </x:c>
      <x:c r="X410" s="55" t="n">
        <x:v>2968</x:v>
      </x:c>
      <x:c r="Y410" s="55" t="n">
        <x:v>2523</x:v>
      </x:c>
      <x:c r="Z410" s="55" t="n">
        <x:v>3383</x:v>
      </x:c>
      <x:c r="AA410" s="55" t="n">
        <x:v>3560</x:v>
      </x:c>
      <x:c r="AB410" s="55" t="n">
        <x:v>1698</x:v>
      </x:c>
      <x:c r="AC410" s="55" t="n">
        <x:v>7865</x:v>
      </x:c>
      <x:c r="AD410" s="55" t="n">
        <x:v>3210</x:v>
      </x:c>
      <x:c r="AE410" s="55" t="n">
        <x:v>11134</x:v>
      </x:c>
      <x:c r="AF410" s="55" t="n">
        <x:v>11041</x:v>
      </x:c>
      <x:c r="AG410" s="55" t="n">
        <x:v>93</x:v>
      </x:c>
      <x:c r="AH410" s="55" t="n">
        <x:v>489</x:v>
      </x:c>
      <x:c r="AI410" s="55" t="n">
        <x:v>10552</x:v>
      </x:c>
      <x:c r="AJ410" s="55" t="n">
        <x:v>254</x:v>
      </x:c>
      <x:c r="AK410" s="55" t="n">
        <x:v>1010</x:v>
      </x:c>
      <x:c r="AL410" s="55" t="n">
        <x:v>2088</x:v>
      </x:c>
      <x:c r="AM410" s="55" t="n">
        <x:v>5236</x:v>
      </x:c>
      <x:c r="AN410" s="55" t="n">
        <x:v>2368</x:v>
      </x:c>
      <x:c r="AO410" s="55" t="n">
        <x:v>85</x:v>
      </x:c>
      <x:c r="AP410" s="55" t="n">
        <x:v>2159</x:v>
      </x:c>
      <x:c r="AQ410" s="55" t="n">
        <x:v>984</x:v>
      </x:c>
    </x:row>
    <x:row r="411">
      <x:c r="A411" s="54" t="str">
        <x:v>T0_TABLE_BLOCK</x:v>
      </x:c>
      <x:c r="B411" s="54" t="n">
        <x:v>405</x:v>
      </x:c>
      <x:c r="C411" s="54" t="str">
        <x:v>NYC-V2-R01</x:v>
      </x:c>
      <x:c r="D411" s="54" t="str">
        <x:v>V2</x:v>
      </x:c>
      <x:c r="E411" s="54" t="str">
        <x:v>ADMITTED</x:v>
      </x:c>
      <x:c r="F411" s="55" t="n">
        <x:v>31015</x:v>
      </x:c>
      <x:c r="G411" s="55" t="n">
        <x:v>7227</x:v>
      </x:c>
      <x:c r="H411" s="55" t="n">
        <x:v>3327</x:v>
      </x:c>
      <x:c r="I411" s="55" t="n">
        <x:v>1123</x:v>
      </x:c>
      <x:c r="J411" s="55" t="n">
        <x:v>207</x:v>
      </x:c>
      <x:c r="K411" s="55" t="n">
        <x:v>31015</x:v>
      </x:c>
      <x:c r="L411" s="55" t="n">
        <x:v>5637</x:v>
      </x:c>
      <x:c r="M411" s="55" t="n">
        <x:v>993</x:v>
      </x:c>
      <x:c r="N411" s="55" t="n">
        <x:v>2861</x:v>
      </x:c>
      <x:c r="O411" s="55" t="n">
        <x:v>1783</x:v>
      </x:c>
      <x:c r="P411" s="55" t="n">
        <x:v>511</x:v>
      </x:c>
      <x:c r="Q411" s="55" t="n">
        <x:v>3217</x:v>
      </x:c>
      <x:c r="R411" s="55" t="n">
        <x:v>1658</x:v>
      </x:c>
      <x:c r="S411" s="55" t="n">
        <x:v>3245</x:v>
      </x:c>
      <x:c r="T411" s="55" t="n">
        <x:v>1533</x:v>
      </x:c>
      <x:c r="U411" s="55" t="n">
        <x:v>2113</x:v>
      </x:c>
      <x:c r="V411" s="55" t="n">
        <x:v>11274</x:v>
      </x:c>
      <x:c r="W411" s="55" t="n">
        <x:v>8125</x:v>
      </x:c>
      <x:c r="X411" s="55" t="n">
        <x:v>3149</x:v>
      </x:c>
      <x:c r="Y411" s="55" t="n">
        <x:v>2795</x:v>
      </x:c>
      <x:c r="Z411" s="55" t="n">
        <x:v>4040</x:v>
      </x:c>
      <x:c r="AA411" s="55" t="n">
        <x:v>3327</x:v>
      </x:c>
      <x:c r="AB411" s="55" t="n">
        <x:v>988</x:v>
      </x:c>
      <x:c r="AC411" s="55" t="n">
        <x:v>8315</x:v>
      </x:c>
      <x:c r="AD411" s="55" t="n">
        <x:v>3034</x:v>
      </x:c>
      <x:c r="AE411" s="55" t="n">
        <x:v>11375</x:v>
      </x:c>
      <x:c r="AF411" s="55" t="n">
        <x:v>11274</x:v>
      </x:c>
      <x:c r="AG411" s="55" t="n">
        <x:v>101</x:v>
      </x:c>
      <x:c r="AH411" s="55" t="n">
        <x:v>255</x:v>
      </x:c>
      <x:c r="AI411" s="55" t="n">
        <x:v>11019</x:v>
      </x:c>
      <x:c r="AJ411" s="55" t="n">
        <x:v>444</x:v>
      </x:c>
      <x:c r="AK411" s="55" t="n">
        <x:v>919</x:v>
      </x:c>
      <x:c r="AL411" s="55" t="n">
        <x:v>2188</x:v>
      </x:c>
      <x:c r="AM411" s="55" t="n">
        <x:v>4692</x:v>
      </x:c>
      <x:c r="AN411" s="55" t="n">
        <x:v>2987</x:v>
      </x:c>
      <x:c r="AO411" s="55" t="n">
        <x:v>44</x:v>
      </x:c>
      <x:c r="AP411" s="55" t="n">
        <x:v>2474</x:v>
      </x:c>
      <x:c r="AQ411" s="55" t="n">
        <x:v>959</x:v>
      </x:c>
    </x:row>
    <x:row r="412">
      <x:c r="A412" s="54" t="str">
        <x:v>T0_TABLE_BLOCK</x:v>
      </x:c>
      <x:c r="B412" s="54" t="n">
        <x:v>406</x:v>
      </x:c>
      <x:c r="C412" s="54" t="str">
        <x:v>NYC-V2-R01</x:v>
      </x:c>
      <x:c r="D412" s="54" t="str">
        <x:v>V2</x:v>
      </x:c>
      <x:c r="E412" s="54" t="str">
        <x:v>ADMITTED</x:v>
      </x:c>
      <x:c r="F412" s="55" t="n">
        <x:v>29647</x:v>
      </x:c>
      <x:c r="G412" s="55" t="n">
        <x:v>7429</x:v>
      </x:c>
      <x:c r="H412" s="55" t="n">
        <x:v>3621</x:v>
      </x:c>
      <x:c r="I412" s="55" t="n">
        <x:v>1611</x:v>
      </x:c>
      <x:c r="J412" s="55" t="n">
        <x:v>190</x:v>
      </x:c>
      <x:c r="K412" s="55" t="n">
        <x:v>27864</x:v>
      </x:c>
      <x:c r="L412" s="55" t="n">
        <x:v>4639</x:v>
      </x:c>
      <x:c r="M412" s="55" t="n">
        <x:v>675</x:v>
      </x:c>
      <x:c r="N412" s="55" t="n">
        <x:v>2070</x:v>
      </x:c>
      <x:c r="O412" s="55" t="n">
        <x:v>1894</x:v>
      </x:c>
      <x:c r="P412" s="55" t="n">
        <x:v>1205</x:v>
      </x:c>
      <x:c r="Q412" s="55" t="n">
        <x:v>3569</x:v>
      </x:c>
      <x:c r="R412" s="55" t="n">
        <x:v>1633</x:v>
      </x:c>
      <x:c r="S412" s="55" t="n">
        <x:v>2381</x:v>
      </x:c>
      <x:c r="T412" s="55" t="n">
        <x:v>1067</x:v>
      </x:c>
      <x:c r="U412" s="55" t="n">
        <x:v>2254</x:v>
      </x:c>
      <x:c r="V412" s="55" t="n">
        <x:v>10672</x:v>
      </x:c>
      <x:c r="W412" s="55" t="n">
        <x:v>7815</x:v>
      </x:c>
      <x:c r="X412" s="55" t="n">
        <x:v>2857</x:v>
      </x:c>
      <x:c r="Y412" s="55" t="n">
        <x:v>2464</x:v>
      </x:c>
      <x:c r="Z412" s="55" t="n">
        <x:v>4065</x:v>
      </x:c>
      <x:c r="AA412" s="55" t="n">
        <x:v>3621</x:v>
      </x:c>
      <x:c r="AB412" s="55" t="n">
        <x:v>1089</x:v>
      </x:c>
      <x:c r="AC412" s="55" t="n">
        <x:v>8597</x:v>
      </x:c>
      <x:c r="AD412" s="55" t="n">
        <x:v>3022</x:v>
      </x:c>
      <x:c r="AE412" s="55" t="n">
        <x:v>10751</x:v>
      </x:c>
      <x:c r="AF412" s="55" t="n">
        <x:v>10672</x:v>
      </x:c>
      <x:c r="AG412" s="55" t="n">
        <x:v>79</x:v>
      </x:c>
      <x:c r="AH412" s="55" t="n">
        <x:v>759</x:v>
      </x:c>
      <x:c r="AI412" s="55" t="n">
        <x:v>9913</x:v>
      </x:c>
      <x:c r="AJ412" s="55" t="n">
        <x:v>417</x:v>
      </x:c>
      <x:c r="AK412" s="55" t="n">
        <x:v>586</x:v>
      </x:c>
      <x:c r="AL412" s="55" t="n">
        <x:v>1366</x:v>
      </x:c>
      <x:c r="AM412" s="55" t="n">
        <x:v>4842</x:v>
      </x:c>
      <x:c r="AN412" s="55" t="n">
        <x:v>3445</x:v>
      </x:c>
      <x:c r="AO412" s="55" t="n">
        <x:v>16</x:v>
      </x:c>
      <x:c r="AP412" s="55" t="n">
        <x:v>1836</x:v>
      </x:c>
      <x:c r="AQ412" s="55" t="n">
        <x:v>972</x:v>
      </x:c>
    </x:row>
    <x:row r="413">
      <x:c r="A413" s="54" t="str">
        <x:v>T0_TABLE_BLOCK</x:v>
      </x:c>
      <x:c r="B413" s="54" t="n">
        <x:v>407</x:v>
      </x:c>
      <x:c r="C413" s="54" t="str">
        <x:v>NYC-V2-R01</x:v>
      </x:c>
      <x:c r="D413" s="54" t="str">
        <x:v>V2</x:v>
      </x:c>
      <x:c r="E413" s="54" t="str">
        <x:v>ADMITTED</x:v>
      </x:c>
      <x:c r="F413" s="55" t="n">
        <x:v>29986</x:v>
      </x:c>
      <x:c r="G413" s="55" t="n">
        <x:v>6325</x:v>
      </x:c>
      <x:c r="H413" s="55" t="n">
        <x:v>3416</x:v>
      </x:c>
      <x:c r="I413" s="55" t="n">
        <x:v>1478</x:v>
      </x:c>
      <x:c r="J413" s="55" t="n">
        <x:v>262</x:v>
      </x:c>
      <x:c r="K413" s="55" t="n">
        <x:v>29361</x:v>
      </x:c>
      <x:c r="L413" s="55" t="n">
        <x:v>5659</x:v>
      </x:c>
      <x:c r="M413" s="55" t="n">
        <x:v>1223</x:v>
      </x:c>
      <x:c r="N413" s="55" t="n">
        <x:v>2618</x:v>
      </x:c>
      <x:c r="O413" s="55" t="n">
        <x:v>1818</x:v>
      </x:c>
      <x:c r="P413" s="55" t="n">
        <x:v>1108</x:v>
      </x:c>
      <x:c r="Q413" s="55" t="n">
        <x:v>3481</x:v>
      </x:c>
      <x:c r="R413" s="55" t="n">
        <x:v>2073</x:v>
      </x:c>
      <x:c r="S413" s="55" t="n">
        <x:v>2725</x:v>
      </x:c>
      <x:c r="T413" s="55" t="n">
        <x:v>1232</x:v>
      </x:c>
      <x:c r="U413" s="55" t="n">
        <x:v>1830</x:v>
      </x:c>
      <x:c r="V413" s="55" t="n">
        <x:v>11024</x:v>
      </x:c>
      <x:c r="W413" s="55" t="n">
        <x:v>8214</x:v>
      </x:c>
      <x:c r="X413" s="55" t="n">
        <x:v>2810</x:v>
      </x:c>
      <x:c r="Y413" s="55" t="n">
        <x:v>2511</x:v>
      </x:c>
      <x:c r="Z413" s="55" t="n">
        <x:v>3350</x:v>
      </x:c>
      <x:c r="AA413" s="55" t="n">
        <x:v>3014</x:v>
      </x:c>
      <x:c r="AB413" s="55" t="n">
        <x:v>973</x:v>
      </x:c>
      <x:c r="AC413" s="55" t="n">
        <x:v>7554</x:v>
      </x:c>
      <x:c r="AD413" s="55" t="n">
        <x:v>3089</x:v>
      </x:c>
      <x:c r="AE413" s="55" t="n">
        <x:v>11024</x:v>
      </x:c>
      <x:c r="AF413" s="55" t="n">
        <x:v>11024</x:v>
      </x:c>
      <x:c r="AG413" s="55" t="n">
        <x:v>0</x:v>
      </x:c>
      <x:c r="AH413" s="55" t="n">
        <x:v>462</x:v>
      </x:c>
      <x:c r="AI413" s="55" t="n">
        <x:v>10562</x:v>
      </x:c>
      <x:c r="AJ413" s="55" t="n">
        <x:v>325</x:v>
      </x:c>
      <x:c r="AK413" s="55" t="n">
        <x:v>1163</x:v>
      </x:c>
      <x:c r="AL413" s="55" t="n">
        <x:v>1820</x:v>
      </x:c>
      <x:c r="AM413" s="55" t="n">
        <x:v>4616</x:v>
      </x:c>
      <x:c r="AN413" s="55" t="n">
        <x:v>3100</x:v>
      </x:c>
      <x:c r="AO413" s="55" t="n">
        <x:v>0</x:v>
      </x:c>
      <x:c r="AP413" s="55" t="n">
        <x:v>2196</x:v>
      </x:c>
      <x:c r="AQ413" s="55" t="n">
        <x:v>972</x:v>
      </x:c>
    </x:row>
    <x:row r="414">
      <x:c r="A414" s="54" t="str">
        <x:v>T0_TABLE_BLOCK</x:v>
      </x:c>
      <x:c r="B414" s="54" t="n">
        <x:v>408</x:v>
      </x:c>
      <x:c r="C414" s="54" t="str">
        <x:v>NYC-V2-R01</x:v>
      </x:c>
      <x:c r="D414" s="54" t="str">
        <x:v>V2</x:v>
      </x:c>
      <x:c r="E414" s="54" t="str">
        <x:v>ADMITTED</x:v>
      </x:c>
      <x:c r="F414" s="55" t="n">
        <x:v>29765</x:v>
      </x:c>
      <x:c r="G414" s="55" t="n">
        <x:v>7255</x:v>
      </x:c>
      <x:c r="H414" s="55" t="n">
        <x:v>3201</x:v>
      </x:c>
      <x:c r="I414" s="55" t="n">
        <x:v>1168</x:v>
      </x:c>
      <x:c r="J414" s="55" t="n">
        <x:v>57</x:v>
      </x:c>
      <x:c r="K414" s="55" t="n">
        <x:v>29333</x:v>
      </x:c>
      <x:c r="L414" s="55" t="n">
        <x:v>5248</x:v>
      </x:c>
      <x:c r="M414" s="55" t="n">
        <x:v>2148</x:v>
      </x:c>
      <x:c r="N414" s="55" t="n">
        <x:v>2035</x:v>
      </x:c>
      <x:c r="O414" s="55" t="n">
        <x:v>1065</x:v>
      </x:c>
      <x:c r="P414" s="55" t="n">
        <x:v>1229</x:v>
      </x:c>
      <x:c r="Q414" s="55" t="n">
        <x:v>1863</x:v>
      </x:c>
      <x:c r="R414" s="55" t="n">
        <x:v>1499</x:v>
      </x:c>
      <x:c r="S414" s="55" t="n">
        <x:v>2334</x:v>
      </x:c>
      <x:c r="T414" s="55" t="n">
        <x:v>1295</x:v>
      </x:c>
      <x:c r="U414" s="55" t="n">
        <x:v>2188</x:v>
      </x:c>
      <x:c r="V414" s="55" t="n">
        <x:v>10164</x:v>
      </x:c>
      <x:c r="W414" s="55" t="n">
        <x:v>6926</x:v>
      </x:c>
      <x:c r="X414" s="55" t="n">
        <x:v>3238</x:v>
      </x:c>
      <x:c r="Y414" s="55" t="n">
        <x:v>2658</x:v>
      </x:c>
      <x:c r="Z414" s="55" t="n">
        <x:v>3354</x:v>
      </x:c>
      <x:c r="AA414" s="55" t="n">
        <x:v>2825</x:v>
      </x:c>
      <x:c r="AB414" s="55" t="n">
        <x:v>1302</x:v>
      </x:c>
      <x:c r="AC414" s="55" t="n">
        <x:v>8144</x:v>
      </x:c>
      <x:c r="AD414" s="55" t="n">
        <x:v>3050</x:v>
      </x:c>
      <x:c r="AE414" s="55" t="n">
        <x:v>10268</x:v>
      </x:c>
      <x:c r="AF414" s="55" t="n">
        <x:v>10164</x:v>
      </x:c>
      <x:c r="AG414" s="55" t="n">
        <x:v>104</x:v>
      </x:c>
      <x:c r="AH414" s="55" t="n">
        <x:v>372</x:v>
      </x:c>
      <x:c r="AI414" s="55" t="n">
        <x:v>9792</x:v>
      </x:c>
      <x:c r="AJ414" s="55" t="n">
        <x:v>444</x:v>
      </x:c>
      <x:c r="AK414" s="55" t="n">
        <x:v>1018</x:v>
      </x:c>
      <x:c r="AL414" s="55" t="n">
        <x:v>1359</x:v>
      </x:c>
      <x:c r="AM414" s="55" t="n">
        <x:v>4532</x:v>
      </x:c>
      <x:c r="AN414" s="55" t="n">
        <x:v>2728</x:v>
      </x:c>
      <x:c r="AO414" s="55" t="n">
        <x:v>83</x:v>
      </x:c>
      <x:c r="AP414" s="55" t="n">
        <x:v>2685</x:v>
      </x:c>
      <x:c r="AQ414" s="55" t="n">
        <x:v>917</x:v>
      </x:c>
    </x:row>
    <x:row r="415">
      <x:c r="A415" s="54" t="str">
        <x:v>T0_TABLE_BLOCK</x:v>
      </x:c>
      <x:c r="B415" s="54" t="n">
        <x:v>409</x:v>
      </x:c>
      <x:c r="C415" s="54" t="str">
        <x:v>NYC-V2-R01</x:v>
      </x:c>
      <x:c r="D415" s="54" t="str">
        <x:v>V2</x:v>
      </x:c>
      <x:c r="E415" s="54" t="str">
        <x:v>ADMITTED</x:v>
      </x:c>
      <x:c r="F415" s="55" t="n">
        <x:v>31079</x:v>
      </x:c>
      <x:c r="G415" s="55" t="n">
        <x:v>8359</x:v>
      </x:c>
      <x:c r="H415" s="55" t="n">
        <x:v>3656</x:v>
      </x:c>
      <x:c r="I415" s="55" t="n">
        <x:v>1086</x:v>
      </x:c>
      <x:c r="J415" s="55" t="n">
        <x:v>324</x:v>
      </x:c>
      <x:c r="K415" s="55" t="n">
        <x:v>30492</x:v>
      </x:c>
      <x:c r="L415" s="55" t="n">
        <x:v>5909</x:v>
      </x:c>
      <x:c r="M415" s="55" t="n">
        <x:v>976</x:v>
      </x:c>
      <x:c r="N415" s="55" t="n">
        <x:v>3274</x:v>
      </x:c>
      <x:c r="O415" s="55" t="n">
        <x:v>1659</x:v>
      </x:c>
      <x:c r="P415" s="55" t="n">
        <x:v>1017</x:v>
      </x:c>
      <x:c r="Q415" s="55" t="n">
        <x:v>2893</x:v>
      </x:c>
      <x:c r="R415" s="55" t="n">
        <x:v>2527</x:v>
      </x:c>
      <x:c r="S415" s="55" t="n">
        <x:v>2598</x:v>
      </x:c>
      <x:c r="T415" s="55" t="n">
        <x:v>852</x:v>
      </x:c>
      <x:c r="U415" s="55" t="n">
        <x:v>2164</x:v>
      </x:c>
      <x:c r="V415" s="55" t="n">
        <x:v>10405</x:v>
      </x:c>
      <x:c r="W415" s="55" t="n">
        <x:v>7283</x:v>
      </x:c>
      <x:c r="X415" s="55" t="n">
        <x:v>3122</x:v>
      </x:c>
      <x:c r="Y415" s="55" t="n">
        <x:v>2744</x:v>
      </x:c>
      <x:c r="Z415" s="55" t="n">
        <x:v>3660</x:v>
      </x:c>
      <x:c r="AA415" s="55" t="n">
        <x:v>3656</x:v>
      </x:c>
      <x:c r="AB415" s="55" t="n">
        <x:v>1316</x:v>
      </x:c>
      <x:c r="AC415" s="55" t="n">
        <x:v>8290</x:v>
      </x:c>
      <x:c r="AD415" s="55" t="n">
        <x:v>3200</x:v>
      </x:c>
      <x:c r="AE415" s="55" t="n">
        <x:v>10445</x:v>
      </x:c>
      <x:c r="AF415" s="55" t="n">
        <x:v>10405</x:v>
      </x:c>
      <x:c r="AG415" s="55" t="n">
        <x:v>40</x:v>
      </x:c>
      <x:c r="AH415" s="55" t="n">
        <x:v>312</x:v>
      </x:c>
      <x:c r="AI415" s="55" t="n">
        <x:v>10093</x:v>
      </x:c>
      <x:c r="AJ415" s="55" t="n">
        <x:v>521</x:v>
      </x:c>
      <x:c r="AK415" s="55" t="n">
        <x:v>923</x:v>
      </x:c>
      <x:c r="AL415" s="55" t="n">
        <x:v>1800</x:v>
      </x:c>
      <x:c r="AM415" s="55" t="n">
        <x:v>4240</x:v>
      </x:c>
      <x:c r="AN415" s="55" t="n">
        <x:v>2866</x:v>
      </x:c>
      <x:c r="AO415" s="55" t="n">
        <x:v>55</x:v>
      </x:c>
      <x:c r="AP415" s="55" t="n">
        <x:v>2294</x:v>
      </x:c>
      <x:c r="AQ415" s="55" t="n">
        <x:v>979</x:v>
      </x:c>
    </x:row>
    <x:row r="416">
      <x:c r="A416" s="54" t="str">
        <x:v>T0_TABLE_BLOCK</x:v>
      </x:c>
      <x:c r="B416" s="54" t="n">
        <x:v>410</x:v>
      </x:c>
      <x:c r="C416" s="54" t="str">
        <x:v>NYC-V2-R01</x:v>
      </x:c>
      <x:c r="D416" s="54" t="str">
        <x:v>V2</x:v>
      </x:c>
      <x:c r="E416" s="54" t="str">
        <x:v>ADMITTED</x:v>
      </x:c>
      <x:c r="F416" s="55" t="n">
        <x:v>31180</x:v>
      </x:c>
      <x:c r="G416" s="55" t="n">
        <x:v>7160</x:v>
      </x:c>
      <x:c r="H416" s="55" t="n">
        <x:v>3134</x:v>
      </x:c>
      <x:c r="I416" s="55" t="n">
        <x:v>1550</x:v>
      </x:c>
      <x:c r="J416" s="55" t="n">
        <x:v>346</x:v>
      </x:c>
      <x:c r="K416" s="55" t="n">
        <x:v>31180</x:v>
      </x:c>
      <x:c r="L416" s="55" t="n">
        <x:v>6373</x:v>
      </x:c>
      <x:c r="M416" s="55" t="n">
        <x:v>735</x:v>
      </x:c>
      <x:c r="N416" s="55" t="n">
        <x:v>3067</x:v>
      </x:c>
      <x:c r="O416" s="55" t="n">
        <x:v>2571</x:v>
      </x:c>
      <x:c r="P416" s="55" t="n">
        <x:v>607</x:v>
      </x:c>
      <x:c r="Q416" s="55" t="n">
        <x:v>2253</x:v>
      </x:c>
      <x:c r="R416" s="55" t="n">
        <x:v>2200</x:v>
      </x:c>
      <x:c r="S416" s="55" t="n">
        <x:v>2910</x:v>
      </x:c>
      <x:c r="T416" s="55" t="n">
        <x:v>1359</x:v>
      </x:c>
      <x:c r="U416" s="55" t="n">
        <x:v>2312</x:v>
      </x:c>
      <x:c r="V416" s="55" t="n">
        <x:v>11410</x:v>
      </x:c>
      <x:c r="W416" s="55" t="n">
        <x:v>8473</x:v>
      </x:c>
      <x:c r="X416" s="55" t="n">
        <x:v>2937</x:v>
      </x:c>
      <x:c r="Y416" s="55" t="n">
        <x:v>2452</x:v>
      </x:c>
      <x:c r="Z416" s="55" t="n">
        <x:v>3880</x:v>
      </x:c>
      <x:c r="AA416" s="55" t="n">
        <x:v>3134</x:v>
      </x:c>
      <x:c r="AB416" s="55" t="n">
        <x:v>1109</x:v>
      </x:c>
      <x:c r="AC416" s="55" t="n">
        <x:v>8009</x:v>
      </x:c>
      <x:c r="AD416" s="55" t="n">
        <x:v>2710</x:v>
      </x:c>
      <x:c r="AE416" s="55" t="n">
        <x:v>11454</x:v>
      </x:c>
      <x:c r="AF416" s="55" t="n">
        <x:v>11410</x:v>
      </x:c>
      <x:c r="AG416" s="55" t="n">
        <x:v>44</x:v>
      </x:c>
      <x:c r="AH416" s="55" t="n">
        <x:v>548</x:v>
      </x:c>
      <x:c r="AI416" s="55" t="n">
        <x:v>10862</x:v>
      </x:c>
      <x:c r="AJ416" s="55" t="n">
        <x:v>319</x:v>
      </x:c>
      <x:c r="AK416" s="55" t="n">
        <x:v>956</x:v>
      </x:c>
      <x:c r="AL416" s="55" t="n">
        <x:v>1445</x:v>
      </x:c>
      <x:c r="AM416" s="55" t="n">
        <x:v>5468</x:v>
      </x:c>
      <x:c r="AN416" s="55" t="n">
        <x:v>3212</x:v>
      </x:c>
      <x:c r="AO416" s="55" t="n">
        <x:v>10</x:v>
      </x:c>
      <x:c r="AP416" s="55" t="n">
        <x:v>2459</x:v>
      </x:c>
      <x:c r="AQ416" s="55" t="n">
        <x:v>927</x:v>
      </x:c>
    </x:row>
    <x:row r="417">
      <x:c r="A417" s="54" t="str">
        <x:v>T0_TABLE_BLOCK</x:v>
      </x:c>
      <x:c r="B417" s="54" t="n">
        <x:v>411</x:v>
      </x:c>
      <x:c r="C417" s="54" t="str">
        <x:v>NYC-V2-R01</x:v>
      </x:c>
      <x:c r="D417" s="54" t="str">
        <x:v>V2</x:v>
      </x:c>
      <x:c r="E417" s="54" t="str">
        <x:v>ADMITTED</x:v>
      </x:c>
      <x:c r="F417" s="55" t="n">
        <x:v>32569</x:v>
      </x:c>
      <x:c r="G417" s="55" t="n">
        <x:v>7622</x:v>
      </x:c>
      <x:c r="H417" s="55" t="n">
        <x:v>3412</x:v>
      </x:c>
      <x:c r="I417" s="55" t="n">
        <x:v>1562</x:v>
      </x:c>
      <x:c r="J417" s="55" t="n">
        <x:v>330</x:v>
      </x:c>
      <x:c r="K417" s="55" t="n">
        <x:v>32569</x:v>
      </x:c>
      <x:c r="L417" s="55" t="n">
        <x:v>6706</x:v>
      </x:c>
      <x:c r="M417" s="55" t="n">
        <x:v>2027</x:v>
      </x:c>
      <x:c r="N417" s="55" t="n">
        <x:v>2861</x:v>
      </x:c>
      <x:c r="O417" s="55" t="n">
        <x:v>1818</x:v>
      </x:c>
      <x:c r="P417" s="55" t="n">
        <x:v>818</x:v>
      </x:c>
      <x:c r="Q417" s="55" t="n">
        <x:v>2573</x:v>
      </x:c>
      <x:c r="R417" s="55" t="n">
        <x:v>1545</x:v>
      </x:c>
      <x:c r="S417" s="55" t="n">
        <x:v>2795</x:v>
      </x:c>
      <x:c r="T417" s="55" t="n">
        <x:v>1525</x:v>
      </x:c>
      <x:c r="U417" s="55" t="n">
        <x:v>1821</x:v>
      </x:c>
      <x:c r="V417" s="55" t="n">
        <x:v>10558</x:v>
      </x:c>
      <x:c r="W417" s="55" t="n">
        <x:v>7816</x:v>
      </x:c>
      <x:c r="X417" s="55" t="n">
        <x:v>2742</x:v>
      </x:c>
      <x:c r="Y417" s="55" t="n">
        <x:v>2379</x:v>
      </x:c>
      <x:c r="Z417" s="55" t="n">
        <x:v>3552</x:v>
      </x:c>
      <x:c r="AA417" s="55" t="n">
        <x:v>2635</x:v>
      </x:c>
      <x:c r="AB417" s="55" t="n">
        <x:v>1009</x:v>
      </x:c>
      <x:c r="AC417" s="55" t="n">
        <x:v>7760</x:v>
      </x:c>
      <x:c r="AD417" s="55" t="n">
        <x:v>2565</x:v>
      </x:c>
      <x:c r="AE417" s="55" t="n">
        <x:v>10687</x:v>
      </x:c>
      <x:c r="AF417" s="55" t="n">
        <x:v>10558</x:v>
      </x:c>
      <x:c r="AG417" s="55" t="n">
        <x:v>129</x:v>
      </x:c>
      <x:c r="AH417" s="55" t="n">
        <x:v>447</x:v>
      </x:c>
      <x:c r="AI417" s="55" t="n">
        <x:v>10111</x:v>
      </x:c>
      <x:c r="AJ417" s="55" t="n">
        <x:v>400</x:v>
      </x:c>
      <x:c r="AK417" s="55" t="n">
        <x:v>961</x:v>
      </x:c>
      <x:c r="AL417" s="55" t="n">
        <x:v>1849</x:v>
      </x:c>
      <x:c r="AM417" s="55" t="n">
        <x:v>4292</x:v>
      </x:c>
      <x:c r="AN417" s="55" t="n">
        <x:v>3056</x:v>
      </x:c>
      <x:c r="AO417" s="55" t="n">
        <x:v>0</x:v>
      </x:c>
      <x:c r="AP417" s="55" t="n">
        <x:v>2537</x:v>
      </x:c>
      <x:c r="AQ417" s="55" t="n">
        <x:v>926</x:v>
      </x:c>
    </x:row>
    <x:row r="418">
      <x:c r="A418" s="54" t="str">
        <x:v>T0_TABLE_BLOCK</x:v>
      </x:c>
      <x:c r="B418" s="54" t="n">
        <x:v>412</x:v>
      </x:c>
      <x:c r="C418" s="54" t="str">
        <x:v>NYC-V2-R01</x:v>
      </x:c>
      <x:c r="D418" s="54" t="str">
        <x:v>V2</x:v>
      </x:c>
      <x:c r="E418" s="54" t="str">
        <x:v>ADMITTED</x:v>
      </x:c>
      <x:c r="F418" s="55" t="n">
        <x:v>29537</x:v>
      </x:c>
      <x:c r="G418" s="55" t="n">
        <x:v>7788</x:v>
      </x:c>
      <x:c r="H418" s="55" t="n">
        <x:v>3205</x:v>
      </x:c>
      <x:c r="I418" s="55" t="n">
        <x:v>1196</x:v>
      </x:c>
      <x:c r="J418" s="55" t="n">
        <x:v>53</x:v>
      </x:c>
      <x:c r="K418" s="55" t="n">
        <x:v>29418</x:v>
      </x:c>
      <x:c r="L418" s="55" t="n">
        <x:v>6748</x:v>
      </x:c>
      <x:c r="M418" s="55" t="n">
        <x:v>2612</x:v>
      </x:c>
      <x:c r="N418" s="55" t="n">
        <x:v>2375</x:v>
      </x:c>
      <x:c r="O418" s="55" t="n">
        <x:v>1761</x:v>
      </x:c>
      <x:c r="P418" s="55" t="n">
        <x:v>1286</x:v>
      </x:c>
      <x:c r="Q418" s="55" t="n">
        <x:v>1883</x:v>
      </x:c>
      <x:c r="R418" s="55" t="n">
        <x:v>1417</x:v>
      </x:c>
      <x:c r="S418" s="55" t="n">
        <x:v>3102</x:v>
      </x:c>
      <x:c r="T418" s="55" t="n">
        <x:v>958</x:v>
      </x:c>
      <x:c r="U418" s="55" t="n">
        <x:v>2522</x:v>
      </x:c>
      <x:c r="V418" s="55" t="n">
        <x:v>10592</x:v>
      </x:c>
      <x:c r="W418" s="55" t="n">
        <x:v>7536</x:v>
      </x:c>
      <x:c r="X418" s="55" t="n">
        <x:v>3056</x:v>
      </x:c>
      <x:c r="Y418" s="55" t="n">
        <x:v>2712</x:v>
      </x:c>
      <x:c r="Z418" s="55" t="n">
        <x:v>3808</x:v>
      </x:c>
      <x:c r="AA418" s="55" t="n">
        <x:v>3205</x:v>
      </x:c>
      <x:c r="AB418" s="55" t="n">
        <x:v>919</x:v>
      </x:c>
      <x:c r="AC418" s="55" t="n">
        <x:v>7966</x:v>
      </x:c>
      <x:c r="AD418" s="55" t="n">
        <x:v>2855</x:v>
      </x:c>
      <x:c r="AE418" s="55" t="n">
        <x:v>10741</x:v>
      </x:c>
      <x:c r="AF418" s="55" t="n">
        <x:v>10592</x:v>
      </x:c>
      <x:c r="AG418" s="55" t="n">
        <x:v>149</x:v>
      </x:c>
      <x:c r="AH418" s="55" t="n">
        <x:v>234</x:v>
      </x:c>
      <x:c r="AI418" s="55" t="n">
        <x:v>10358</x:v>
      </x:c>
      <x:c r="AJ418" s="55" t="n">
        <x:v>331</x:v>
      </x:c>
      <x:c r="AK418" s="55" t="n">
        <x:v>1324</x:v>
      </x:c>
      <x:c r="AL418" s="55" t="n">
        <x:v>1348</x:v>
      </x:c>
      <x:c r="AM418" s="55" t="n">
        <x:v>5199</x:v>
      </x:c>
      <x:c r="AN418" s="55" t="n">
        <x:v>2342</x:v>
      </x:c>
      <x:c r="AO418" s="55" t="n">
        <x:v>48</x:v>
      </x:c>
      <x:c r="AP418" s="55" t="n">
        <x:v>2673</x:v>
      </x:c>
      <x:c r="AQ418" s="55" t="n">
        <x:v>994</x:v>
      </x:c>
    </x:row>
    <x:row r="419">
      <x:c r="A419" s="54" t="str">
        <x:v>T0_TABLE_BLOCK</x:v>
      </x:c>
      <x:c r="B419" s="54" t="n">
        <x:v>413</x:v>
      </x:c>
      <x:c r="C419" s="54" t="str">
        <x:v>NYC-V2-R01</x:v>
      </x:c>
      <x:c r="D419" s="54" t="str">
        <x:v>V2</x:v>
      </x:c>
      <x:c r="E419" s="54" t="str">
        <x:v>ADMITTED</x:v>
      </x:c>
      <x:c r="F419" s="55" t="n">
        <x:v>34065</x:v>
      </x:c>
      <x:c r="G419" s="55" t="n">
        <x:v>9308</x:v>
      </x:c>
      <x:c r="H419" s="55" t="n">
        <x:v>3900</x:v>
      </x:c>
      <x:c r="I419" s="55" t="n">
        <x:v>1382</x:v>
      </x:c>
      <x:c r="J419" s="55" t="n">
        <x:v>59</x:v>
      </x:c>
      <x:c r="K419" s="55" t="n">
        <x:v>32206</x:v>
      </x:c>
      <x:c r="L419" s="55" t="n">
        <x:v>7616</x:v>
      </x:c>
      <x:c r="M419" s="55" t="n">
        <x:v>2450</x:v>
      </x:c>
      <x:c r="N419" s="55" t="n">
        <x:v>3140</x:v>
      </x:c>
      <x:c r="O419" s="55" t="n">
        <x:v>2026</x:v>
      </x:c>
      <x:c r="P419" s="55" t="n">
        <x:v>896</x:v>
      </x:c>
      <x:c r="Q419" s="55" t="n">
        <x:v>2679</x:v>
      </x:c>
      <x:c r="R419" s="55" t="n">
        <x:v>2215</x:v>
      </x:c>
      <x:c r="S419" s="55" t="n">
        <x:v>3097</x:v>
      </x:c>
      <x:c r="T419" s="55" t="n">
        <x:v>923</x:v>
      </x:c>
      <x:c r="U419" s="55" t="n">
        <x:v>2603</x:v>
      </x:c>
      <x:c r="V419" s="55" t="n">
        <x:v>11148</x:v>
      </x:c>
      <x:c r="W419" s="55" t="n">
        <x:v>8413</x:v>
      </x:c>
      <x:c r="X419" s="55" t="n">
        <x:v>2735</x:v>
      </x:c>
      <x:c r="Y419" s="55" t="n">
        <x:v>2402</x:v>
      </x:c>
      <x:c r="Z419" s="55" t="n">
        <x:v>3622</x:v>
      </x:c>
      <x:c r="AA419" s="55" t="n">
        <x:v>2523</x:v>
      </x:c>
      <x:c r="AB419" s="55" t="n">
        <x:v>712</x:v>
      </x:c>
      <x:c r="AC419" s="55" t="n">
        <x:v>7993</x:v>
      </x:c>
      <x:c r="AD419" s="55" t="n">
        <x:v>2840</x:v>
      </x:c>
      <x:c r="AE419" s="55" t="n">
        <x:v>11236</x:v>
      </x:c>
      <x:c r="AF419" s="55" t="n">
        <x:v>11148</x:v>
      </x:c>
      <x:c r="AG419" s="55" t="n">
        <x:v>88</x:v>
      </x:c>
      <x:c r="AH419" s="55" t="n">
        <x:v>624</x:v>
      </x:c>
      <x:c r="AI419" s="55" t="n">
        <x:v>10524</x:v>
      </x:c>
      <x:c r="AJ419" s="55" t="n">
        <x:v>394</x:v>
      </x:c>
      <x:c r="AK419" s="55" t="n">
        <x:v>907</x:v>
      </x:c>
      <x:c r="AL419" s="55" t="n">
        <x:v>1666</x:v>
      </x:c>
      <x:c r="AM419" s="55" t="n">
        <x:v>4868</x:v>
      </x:c>
      <x:c r="AN419" s="55" t="n">
        <x:v>3258</x:v>
      </x:c>
      <x:c r="AO419" s="55" t="n">
        <x:v>55</x:v>
      </x:c>
      <x:c r="AP419" s="55" t="n">
        <x:v>2330</x:v>
      </x:c>
      <x:c r="AQ419" s="55" t="n">
        <x:v>991</x:v>
      </x:c>
    </x:row>
    <x:row r="420">
      <x:c r="A420" s="54" t="str">
        <x:v>T0_TABLE_BLOCK</x:v>
      </x:c>
      <x:c r="B420" s="54" t="n">
        <x:v>414</x:v>
      </x:c>
      <x:c r="C420" s="54" t="str">
        <x:v>NYC-V2-R01</x:v>
      </x:c>
      <x:c r="D420" s="54" t="str">
        <x:v>V2</x:v>
      </x:c>
      <x:c r="E420" s="54" t="str">
        <x:v>ADMITTED</x:v>
      </x:c>
      <x:c r="F420" s="55" t="n">
        <x:v>33088</x:v>
      </x:c>
      <x:c r="G420" s="55" t="n">
        <x:v>8579</x:v>
      </x:c>
      <x:c r="H420" s="55" t="n">
        <x:v>3450</x:v>
      </x:c>
      <x:c r="I420" s="55" t="n">
        <x:v>1537</x:v>
      </x:c>
      <x:c r="J420" s="55" t="n">
        <x:v>180</x:v>
      </x:c>
      <x:c r="K420" s="55" t="n">
        <x:v>27559</x:v>
      </x:c>
      <x:c r="L420" s="55" t="n">
        <x:v>4249</x:v>
      </x:c>
      <x:c r="M420" s="55" t="n">
        <x:v>632</x:v>
      </x:c>
      <x:c r="N420" s="55" t="n">
        <x:v>2030</x:v>
      </x:c>
      <x:c r="O420" s="55" t="n">
        <x:v>1587</x:v>
      </x:c>
      <x:c r="P420" s="55" t="n">
        <x:v>1087</x:v>
      </x:c>
      <x:c r="Q420" s="55" t="n">
        <x:v>1632</x:v>
      </x:c>
      <x:c r="R420" s="55" t="n">
        <x:v>1830</x:v>
      </x:c>
      <x:c r="S420" s="55" t="n">
        <x:v>3512</x:v>
      </x:c>
      <x:c r="T420" s="55" t="n">
        <x:v>942</x:v>
      </x:c>
      <x:c r="U420" s="55" t="n">
        <x:v>2542</x:v>
      </x:c>
      <x:c r="V420" s="55" t="n">
        <x:v>10401</x:v>
      </x:c>
      <x:c r="W420" s="55" t="n">
        <x:v>7423</x:v>
      </x:c>
      <x:c r="X420" s="55" t="n">
        <x:v>2978</x:v>
      </x:c>
      <x:c r="Y420" s="55" t="n">
        <x:v>2563</x:v>
      </x:c>
      <x:c r="Z420" s="55" t="n">
        <x:v>3606</x:v>
      </x:c>
      <x:c r="AA420" s="55" t="n">
        <x:v>2895</x:v>
      </x:c>
      <x:c r="AB420" s="55" t="n">
        <x:v>734</x:v>
      </x:c>
      <x:c r="AC420" s="55" t="n">
        <x:v>7676</x:v>
      </x:c>
      <x:c r="AD420" s="55" t="n">
        <x:v>2425</x:v>
      </x:c>
      <x:c r="AE420" s="55" t="n">
        <x:v>10502</x:v>
      </x:c>
      <x:c r="AF420" s="55" t="n">
        <x:v>10401</x:v>
      </x:c>
      <x:c r="AG420" s="55" t="n">
        <x:v>101</x:v>
      </x:c>
      <x:c r="AH420" s="55" t="n">
        <x:v>312</x:v>
      </x:c>
      <x:c r="AI420" s="55" t="n">
        <x:v>10089</x:v>
      </x:c>
      <x:c r="AJ420" s="55" t="n">
        <x:v>245</x:v>
      </x:c>
      <x:c r="AK420" s="55" t="n">
        <x:v>1131</x:v>
      </x:c>
      <x:c r="AL420" s="55" t="n">
        <x:v>2011</x:v>
      </x:c>
      <x:c r="AM420" s="55" t="n">
        <x:v>4537</x:v>
      </x:c>
      <x:c r="AN420" s="55" t="n">
        <x:v>2428</x:v>
      </x:c>
      <x:c r="AO420" s="55" t="n">
        <x:v>49</x:v>
      </x:c>
      <x:c r="AP420" s="55" t="n">
        <x:v>2441</x:v>
      </x:c>
      <x:c r="AQ420" s="55" t="n">
        <x:v>904</x:v>
      </x:c>
    </x:row>
    <x:row r="421">
      <x:c r="A421" s="54" t="str">
        <x:v>T0_TABLE_BLOCK</x:v>
      </x:c>
      <x:c r="B421" s="54" t="n">
        <x:v>415</x:v>
      </x:c>
      <x:c r="C421" s="54" t="str">
        <x:v>NYC-V2-R01</x:v>
      </x:c>
      <x:c r="D421" s="54" t="str">
        <x:v>V2</x:v>
      </x:c>
      <x:c r="E421" s="54" t="str">
        <x:v>ADMITTED</x:v>
      </x:c>
      <x:c r="F421" s="55" t="n">
        <x:v>31514</x:v>
      </x:c>
      <x:c r="G421" s="55" t="n">
        <x:v>7371</x:v>
      </x:c>
      <x:c r="H421" s="55" t="n">
        <x:v>3627</x:v>
      </x:c>
      <x:c r="I421" s="55" t="n">
        <x:v>1639</x:v>
      </x:c>
      <x:c r="J421" s="55" t="n">
        <x:v>366</x:v>
      </x:c>
      <x:c r="K421" s="55" t="n">
        <x:v>31514</x:v>
      </x:c>
      <x:c r="L421" s="55" t="n">
        <x:v>5975</x:v>
      </x:c>
      <x:c r="M421" s="55" t="n">
        <x:v>822</x:v>
      </x:c>
      <x:c r="N421" s="55" t="n">
        <x:v>3020</x:v>
      </x:c>
      <x:c r="O421" s="55" t="n">
        <x:v>2133</x:v>
      </x:c>
      <x:c r="P421" s="55" t="n">
        <x:v>662</x:v>
      </x:c>
      <x:c r="Q421" s="55" t="n">
        <x:v>2772</x:v>
      </x:c>
      <x:c r="R421" s="55" t="n">
        <x:v>2059</x:v>
      </x:c>
      <x:c r="S421" s="55" t="n">
        <x:v>2838</x:v>
      </x:c>
      <x:c r="T421" s="55" t="n">
        <x:v>999</x:v>
      </x:c>
      <x:c r="U421" s="55" t="n">
        <x:v>1312</x:v>
      </x:c>
      <x:c r="V421" s="55" t="n">
        <x:v>10666</x:v>
      </x:c>
      <x:c r="W421" s="55" t="n">
        <x:v>7112</x:v>
      </x:c>
      <x:c r="X421" s="55" t="n">
        <x:v>3554</x:v>
      </x:c>
      <x:c r="Y421" s="55" t="n">
        <x:v>3088</x:v>
      </x:c>
      <x:c r="Z421" s="55" t="n">
        <x:v>3303</x:v>
      </x:c>
      <x:c r="AA421" s="55" t="n">
        <x:v>3627</x:v>
      </x:c>
      <x:c r="AB421" s="55" t="n">
        <x:v>1753</x:v>
      </x:c>
      <x:c r="AC421" s="55" t="n">
        <x:v>7951</x:v>
      </x:c>
      <x:c r="AD421" s="55" t="n">
        <x:v>2893</x:v>
      </x:c>
      <x:c r="AE421" s="55" t="n">
        <x:v>10699</x:v>
      </x:c>
      <x:c r="AF421" s="55" t="n">
        <x:v>10666</x:v>
      </x:c>
      <x:c r="AG421" s="55" t="n">
        <x:v>33</x:v>
      </x:c>
      <x:c r="AH421" s="55" t="n">
        <x:v>487</x:v>
      </x:c>
      <x:c r="AI421" s="55" t="n">
        <x:v>10179</x:v>
      </x:c>
      <x:c r="AJ421" s="55" t="n">
        <x:v>374</x:v>
      </x:c>
      <x:c r="AK421" s="55" t="n">
        <x:v>1171</x:v>
      </x:c>
      <x:c r="AL421" s="55" t="n">
        <x:v>1542</x:v>
      </x:c>
      <x:c r="AM421" s="55" t="n">
        <x:v>4989</x:v>
      </x:c>
      <x:c r="AN421" s="55" t="n">
        <x:v>2518</x:v>
      </x:c>
      <x:c r="AO421" s="55" t="n">
        <x:v>72</x:v>
      </x:c>
      <x:c r="AP421" s="55" t="n">
        <x:v>2206</x:v>
      </x:c>
      <x:c r="AQ421" s="55" t="n">
        <x:v>966</x:v>
      </x:c>
    </x:row>
    <x:row r="422">
      <x:c r="A422" s="54" t="str">
        <x:v>T0_TABLE_BLOCK</x:v>
      </x:c>
      <x:c r="B422" s="54" t="n">
        <x:v>416</x:v>
      </x:c>
      <x:c r="C422" s="54" t="str">
        <x:v>NYC-V2-R01</x:v>
      </x:c>
      <x:c r="D422" s="54" t="str">
        <x:v>V2</x:v>
      </x:c>
      <x:c r="E422" s="54" t="str">
        <x:v>ADMITTED</x:v>
      </x:c>
      <x:c r="F422" s="55" t="n">
        <x:v>32318</x:v>
      </x:c>
      <x:c r="G422" s="55" t="n">
        <x:v>8698</x:v>
      </x:c>
      <x:c r="H422" s="55" t="n">
        <x:v>3065</x:v>
      </x:c>
      <x:c r="I422" s="55" t="n">
        <x:v>970</x:v>
      </x:c>
      <x:c r="J422" s="55" t="n">
        <x:v>180</x:v>
      </x:c>
      <x:c r="K422" s="55" t="n">
        <x:v>30500</x:v>
      </x:c>
      <x:c r="L422" s="55" t="n">
        <x:v>4871</x:v>
      </x:c>
      <x:c r="M422" s="55" t="n">
        <x:v>1307</x:v>
      </x:c>
      <x:c r="N422" s="55" t="n">
        <x:v>2048</x:v>
      </x:c>
      <x:c r="O422" s="55" t="n">
        <x:v>1516</x:v>
      </x:c>
      <x:c r="P422" s="55" t="n">
        <x:v>706</x:v>
      </x:c>
      <x:c r="Q422" s="55" t="n">
        <x:v>2397</x:v>
      </x:c>
      <x:c r="R422" s="55" t="n">
        <x:v>1562</x:v>
      </x:c>
      <x:c r="S422" s="55" t="n">
        <x:v>2696</x:v>
      </x:c>
      <x:c r="T422" s="55" t="n">
        <x:v>1022</x:v>
      </x:c>
      <x:c r="U422" s="55" t="n">
        <x:v>2105</x:v>
      </x:c>
      <x:c r="V422" s="55" t="n">
        <x:v>10089</x:v>
      </x:c>
      <x:c r="W422" s="55" t="n">
        <x:v>7314</x:v>
      </x:c>
      <x:c r="X422" s="55" t="n">
        <x:v>2775</x:v>
      </x:c>
      <x:c r="Y422" s="55" t="n">
        <x:v>2271</x:v>
      </x:c>
      <x:c r="Z422" s="55" t="n">
        <x:v>4083</x:v>
      </x:c>
      <x:c r="AA422" s="55" t="n">
        <x:v>2455</x:v>
      </x:c>
      <x:c r="AB422" s="55" t="n">
        <x:v>957</x:v>
      </x:c>
      <x:c r="AC422" s="55" t="n">
        <x:v>8526</x:v>
      </x:c>
      <x:c r="AD422" s="55" t="n">
        <x:v>3229</x:v>
      </x:c>
      <x:c r="AE422" s="55" t="n">
        <x:v>10140</x:v>
      </x:c>
      <x:c r="AF422" s="55" t="n">
        <x:v>10089</x:v>
      </x:c>
      <x:c r="AG422" s="55" t="n">
        <x:v>51</x:v>
      </x:c>
      <x:c r="AH422" s="55" t="n">
        <x:v>493</x:v>
      </x:c>
      <x:c r="AI422" s="55" t="n">
        <x:v>9596</x:v>
      </x:c>
      <x:c r="AJ422" s="55" t="n">
        <x:v>323</x:v>
      </x:c>
      <x:c r="AK422" s="55" t="n">
        <x:v>1209</x:v>
      </x:c>
      <x:c r="AL422" s="55" t="n">
        <x:v>1512</x:v>
      </x:c>
      <x:c r="AM422" s="55" t="n">
        <x:v>5019</x:v>
      </x:c>
      <x:c r="AN422" s="55" t="n">
        <x:v>2026</x:v>
      </x:c>
      <x:c r="AO422" s="55" t="n">
        <x:v>0</x:v>
      </x:c>
      <x:c r="AP422" s="55" t="n">
        <x:v>2356</x:v>
      </x:c>
      <x:c r="AQ422" s="55" t="n">
        <x:v>969</x:v>
      </x:c>
    </x:row>
    <x:row r="423">
      <x:c r="A423" s="54" t="str">
        <x:v>T0_TABLE_BLOCK</x:v>
      </x:c>
      <x:c r="B423" s="54" t="n">
        <x:v>417</x:v>
      </x:c>
      <x:c r="C423" s="54" t="str">
        <x:v>NYC-V2-R01</x:v>
      </x:c>
      <x:c r="D423" s="54" t="str">
        <x:v>V2</x:v>
      </x:c>
      <x:c r="E423" s="54" t="str">
        <x:v>ADMITTED</x:v>
      </x:c>
      <x:c r="F423" s="55" t="n">
        <x:v>31809</x:v>
      </x:c>
      <x:c r="G423" s="55" t="n">
        <x:v>8081</x:v>
      </x:c>
      <x:c r="H423" s="55" t="n">
        <x:v>3177</x:v>
      </x:c>
      <x:c r="I423" s="55" t="n">
        <x:v>1138</x:v>
      </x:c>
      <x:c r="J423" s="55" t="n">
        <x:v>114</x:v>
      </x:c>
      <x:c r="K423" s="55" t="n">
        <x:v>31809</x:v>
      </x:c>
      <x:c r="L423" s="55" t="n">
        <x:v>6130</x:v>
      </x:c>
      <x:c r="M423" s="55" t="n">
        <x:v>1215</x:v>
      </x:c>
      <x:c r="N423" s="55" t="n">
        <x:v>2788</x:v>
      </x:c>
      <x:c r="O423" s="55" t="n">
        <x:v>2127</x:v>
      </x:c>
      <x:c r="P423" s="55" t="n">
        <x:v>1319</x:v>
      </x:c>
      <x:c r="Q423" s="55" t="n">
        <x:v>2135</x:v>
      </x:c>
      <x:c r="R423" s="55" t="n">
        <x:v>2079</x:v>
      </x:c>
      <x:c r="S423" s="55" t="n">
        <x:v>2674</x:v>
      </x:c>
      <x:c r="T423" s="55" t="n">
        <x:v>1597</x:v>
      </x:c>
      <x:c r="U423" s="55" t="n">
        <x:v>1960</x:v>
      </x:c>
      <x:c r="V423" s="55" t="n">
        <x:v>10990</x:v>
      </x:c>
      <x:c r="W423" s="55" t="n">
        <x:v>7696</x:v>
      </x:c>
      <x:c r="X423" s="55" t="n">
        <x:v>3294</x:v>
      </x:c>
      <x:c r="Y423" s="55" t="n">
        <x:v>2859</x:v>
      </x:c>
      <x:c r="Z423" s="55" t="n">
        <x:v>3284</x:v>
      </x:c>
      <x:c r="AA423" s="55" t="n">
        <x:v>3177</x:v>
      </x:c>
      <x:c r="AB423" s="55" t="n">
        <x:v>1029</x:v>
      </x:c>
      <x:c r="AC423" s="55" t="n">
        <x:v>7227</x:v>
      </x:c>
      <x:c r="AD423" s="55" t="n">
        <x:v>2534</x:v>
      </x:c>
      <x:c r="AE423" s="55" t="n">
        <x:v>10990</x:v>
      </x:c>
      <x:c r="AF423" s="55" t="n">
        <x:v>10990</x:v>
      </x:c>
      <x:c r="AG423" s="55" t="n">
        <x:v>0</x:v>
      </x:c>
      <x:c r="AH423" s="55" t="n">
        <x:v>420</x:v>
      </x:c>
      <x:c r="AI423" s="55" t="n">
        <x:v>10570</x:v>
      </x:c>
      <x:c r="AJ423" s="55" t="n">
        <x:v>439</x:v>
      </x:c>
      <x:c r="AK423" s="55" t="n">
        <x:v>757</x:v>
      </x:c>
      <x:c r="AL423" s="55" t="n">
        <x:v>2203</x:v>
      </x:c>
      <x:c r="AM423" s="55" t="n">
        <x:v>4481</x:v>
      </x:c>
      <x:c r="AN423" s="55" t="n">
        <x:v>3010</x:v>
      </x:c>
      <x:c r="AO423" s="55" t="n">
        <x:v>100</x:v>
      </x:c>
      <x:c r="AP423" s="55" t="n">
        <x:v>2630</x:v>
      </x:c>
      <x:c r="AQ423" s="55" t="n">
        <x:v>939</x:v>
      </x:c>
    </x:row>
    <x:row r="424">
      <x:c r="A424" s="54" t="str">
        <x:v>T0_TABLE_BLOCK</x:v>
      </x:c>
      <x:c r="B424" s="54" t="n">
        <x:v>418</x:v>
      </x:c>
      <x:c r="C424" s="54" t="str">
        <x:v>NYC-V2-R01</x:v>
      </x:c>
      <x:c r="D424" s="54" t="str">
        <x:v>V2</x:v>
      </x:c>
      <x:c r="E424" s="54" t="str">
        <x:v>ADMITTED</x:v>
      </x:c>
      <x:c r="F424" s="55" t="n">
        <x:v>29748</x:v>
      </x:c>
      <x:c r="G424" s="55" t="n">
        <x:v>7049</x:v>
      </x:c>
      <x:c r="H424" s="55" t="n">
        <x:v>3222</x:v>
      </x:c>
      <x:c r="I424" s="55" t="n">
        <x:v>928</x:v>
      </x:c>
      <x:c r="J424" s="55" t="n">
        <x:v>82</x:v>
      </x:c>
      <x:c r="K424" s="55" t="n">
        <x:v>29748</x:v>
      </x:c>
      <x:c r="L424" s="55" t="n">
        <x:v>6855</x:v>
      </x:c>
      <x:c r="M424" s="55" t="n">
        <x:v>978</x:v>
      </x:c>
      <x:c r="N424" s="55" t="n">
        <x:v>3495</x:v>
      </x:c>
      <x:c r="O424" s="55" t="n">
        <x:v>2382</x:v>
      </x:c>
      <x:c r="P424" s="55" t="n">
        <x:v>1102</x:v>
      </x:c>
      <x:c r="Q424" s="55" t="n">
        <x:v>2044</x:v>
      </x:c>
      <x:c r="R424" s="55" t="n">
        <x:v>1981</x:v>
      </x:c>
      <x:c r="S424" s="55" t="n">
        <x:v>3046</x:v>
      </x:c>
      <x:c r="T424" s="55" t="n">
        <x:v>978</x:v>
      </x:c>
      <x:c r="U424" s="55" t="n">
        <x:v>2320</x:v>
      </x:c>
      <x:c r="V424" s="55" t="n">
        <x:v>10945</x:v>
      </x:c>
      <x:c r="W424" s="55" t="n">
        <x:v>7448</x:v>
      </x:c>
      <x:c r="X424" s="55" t="n">
        <x:v>3497</x:v>
      </x:c>
      <x:c r="Y424" s="55" t="n">
        <x:v>2775</x:v>
      </x:c>
      <x:c r="Z424" s="55" t="n">
        <x:v>3560</x:v>
      </x:c>
      <x:c r="AA424" s="55" t="n">
        <x:v>3222</x:v>
      </x:c>
      <x:c r="AB424" s="55" t="n">
        <x:v>1327</x:v>
      </x:c>
      <x:c r="AC424" s="55" t="n">
        <x:v>8438</x:v>
      </x:c>
      <x:c r="AD424" s="55" t="n">
        <x:v>3205</x:v>
      </x:c>
      <x:c r="AE424" s="55" t="n">
        <x:v>11057</x:v>
      </x:c>
      <x:c r="AF424" s="55" t="n">
        <x:v>10945</x:v>
      </x:c>
      <x:c r="AG424" s="55" t="n">
        <x:v>112</x:v>
      </x:c>
      <x:c r="AH424" s="55" t="n">
        <x:v>354</x:v>
      </x:c>
      <x:c r="AI424" s="55" t="n">
        <x:v>10591</x:v>
      </x:c>
      <x:c r="AJ424" s="55" t="n">
        <x:v>250</x:v>
      </x:c>
      <x:c r="AK424" s="55" t="n">
        <x:v>1045</x:v>
      </x:c>
      <x:c r="AL424" s="55" t="n">
        <x:v>1907</x:v>
      </x:c>
      <x:c r="AM424" s="55" t="n">
        <x:v>5185</x:v>
      </x:c>
      <x:c r="AN424" s="55" t="n">
        <x:v>2545</x:v>
      </x:c>
      <x:c r="AO424" s="55" t="n">
        <x:v>13</x:v>
      </x:c>
      <x:c r="AP424" s="55" t="n">
        <x:v>2243</x:v>
      </x:c>
      <x:c r="AQ424" s="55" t="n">
        <x:v>966</x:v>
      </x:c>
    </x:row>
    <x:row r="425">
      <x:c r="A425" s="54" t="str">
        <x:v>T0_TABLE_BLOCK</x:v>
      </x:c>
      <x:c r="B425" s="54" t="n">
        <x:v>419</x:v>
      </x:c>
      <x:c r="C425" s="54" t="str">
        <x:v>NYC-V2-R01</x:v>
      </x:c>
      <x:c r="D425" s="54" t="str">
        <x:v>V2</x:v>
      </x:c>
      <x:c r="E425" s="54" t="str">
        <x:v>ADMITTED</x:v>
      </x:c>
      <x:c r="F425" s="55" t="n">
        <x:v>32165</x:v>
      </x:c>
      <x:c r="G425" s="55" t="n">
        <x:v>8009</x:v>
      </x:c>
      <x:c r="H425" s="55" t="n">
        <x:v>3474</x:v>
      </x:c>
      <x:c r="I425" s="55" t="n">
        <x:v>1325</x:v>
      </x:c>
      <x:c r="J425" s="55" t="n">
        <x:v>388</x:v>
      </x:c>
      <x:c r="K425" s="55" t="n">
        <x:v>28660</x:v>
      </x:c>
      <x:c r="L425" s="55" t="n">
        <x:v>4852</x:v>
      </x:c>
      <x:c r="M425" s="55" t="n">
        <x:v>1554</x:v>
      </x:c>
      <x:c r="N425" s="55" t="n">
        <x:v>1721</x:v>
      </x:c>
      <x:c r="O425" s="55" t="n">
        <x:v>1577</x:v>
      </x:c>
      <x:c r="P425" s="55" t="n">
        <x:v>831</x:v>
      </x:c>
      <x:c r="Q425" s="55" t="n">
        <x:v>2802</x:v>
      </x:c>
      <x:c r="R425" s="55" t="n">
        <x:v>1842</x:v>
      </x:c>
      <x:c r="S425" s="55" t="n">
        <x:v>3114</x:v>
      </x:c>
      <x:c r="T425" s="55" t="n">
        <x:v>1303</x:v>
      </x:c>
      <x:c r="U425" s="55" t="n">
        <x:v>1918</x:v>
      </x:c>
      <x:c r="V425" s="55" t="n">
        <x:v>10308</x:v>
      </x:c>
      <x:c r="W425" s="55" t="n">
        <x:v>7270</x:v>
      </x:c>
      <x:c r="X425" s="55" t="n">
        <x:v>3038</x:v>
      </x:c>
      <x:c r="Y425" s="55" t="n">
        <x:v>2707</x:v>
      </x:c>
      <x:c r="Z425" s="55" t="n">
        <x:v>3808</x:v>
      </x:c>
      <x:c r="AA425" s="55" t="n">
        <x:v>3250</x:v>
      </x:c>
      <x:c r="AB425" s="55" t="n">
        <x:v>957</x:v>
      </x:c>
      <x:c r="AC425" s="55" t="n">
        <x:v>8169</x:v>
      </x:c>
      <x:c r="AD425" s="55" t="n">
        <x:v>2731</x:v>
      </x:c>
      <x:c r="AE425" s="55" t="n">
        <x:v>10468</x:v>
      </x:c>
      <x:c r="AF425" s="55" t="n">
        <x:v>10308</x:v>
      </x:c>
      <x:c r="AG425" s="55" t="n">
        <x:v>160</x:v>
      </x:c>
      <x:c r="AH425" s="55" t="n">
        <x:v>214</x:v>
      </x:c>
      <x:c r="AI425" s="55" t="n">
        <x:v>10094</x:v>
      </x:c>
      <x:c r="AJ425" s="55" t="n">
        <x:v>275</x:v>
      </x:c>
      <x:c r="AK425" s="55" t="n">
        <x:v>1027</x:v>
      </x:c>
      <x:c r="AL425" s="55" t="n">
        <x:v>2123</x:v>
      </x:c>
      <x:c r="AM425" s="55" t="n">
        <x:v>4542</x:v>
      </x:c>
      <x:c r="AN425" s="55" t="n">
        <x:v>2341</x:v>
      </x:c>
      <x:c r="AO425" s="55" t="n">
        <x:v>0</x:v>
      </x:c>
      <x:c r="AP425" s="55" t="n">
        <x:v>2843</x:v>
      </x:c>
      <x:c r="AQ425" s="55" t="n">
        <x:v>971</x:v>
      </x:c>
    </x:row>
    <x:row r="426">
      <x:c r="A426" s="54" t="str">
        <x:v>T0_TABLE_BLOCK</x:v>
      </x:c>
      <x:c r="B426" s="54" t="n">
        <x:v>420</x:v>
      </x:c>
      <x:c r="C426" s="54" t="str">
        <x:v>NYC-V2-R01</x:v>
      </x:c>
      <x:c r="D426" s="54" t="str">
        <x:v>V2</x:v>
      </x:c>
      <x:c r="E426" s="54" t="str">
        <x:v>ADMITTED</x:v>
      </x:c>
      <x:c r="F426" s="55" t="n">
        <x:v>33679</x:v>
      </x:c>
      <x:c r="G426" s="55" t="n">
        <x:v>9224</x:v>
      </x:c>
      <x:c r="H426" s="55" t="n">
        <x:v>2919</x:v>
      </x:c>
      <x:c r="I426" s="55" t="n">
        <x:v>572</x:v>
      </x:c>
      <x:c r="J426" s="55" t="n">
        <x:v>132</x:v>
      </x:c>
      <x:c r="K426" s="55" t="n">
        <x:v>28270</x:v>
      </x:c>
      <x:c r="L426" s="55" t="n">
        <x:v>6018</x:v>
      </x:c>
      <x:c r="M426" s="55" t="n">
        <x:v>728</x:v>
      </x:c>
      <x:c r="N426" s="55" t="n">
        <x:v>2972</x:v>
      </x:c>
      <x:c r="O426" s="55" t="n">
        <x:v>2318</x:v>
      </x:c>
      <x:c r="P426" s="55" t="n">
        <x:v>524</x:v>
      </x:c>
      <x:c r="Q426" s="55" t="n">
        <x:v>2510</x:v>
      </x:c>
      <x:c r="R426" s="55" t="n">
        <x:v>1820</x:v>
      </x:c>
      <x:c r="S426" s="55" t="n">
        <x:v>2763</x:v>
      </x:c>
      <x:c r="T426" s="55" t="n">
        <x:v>1128</x:v>
      </x:c>
      <x:c r="U426" s="55" t="n">
        <x:v>1921</x:v>
      </x:c>
      <x:c r="V426" s="55" t="n">
        <x:v>11017</x:v>
      </x:c>
      <x:c r="W426" s="55" t="n">
        <x:v>7886</x:v>
      </x:c>
      <x:c r="X426" s="55" t="n">
        <x:v>3131</x:v>
      </x:c>
      <x:c r="Y426" s="55" t="n">
        <x:v>2679</x:v>
      </x:c>
      <x:c r="Z426" s="55" t="n">
        <x:v>4248</x:v>
      </x:c>
      <x:c r="AA426" s="55" t="n">
        <x:v>2919</x:v>
      </x:c>
      <x:c r="AB426" s="55" t="n">
        <x:v>1041</x:v>
      </x:c>
      <x:c r="AC426" s="55" t="n">
        <x:v>8094</x:v>
      </x:c>
      <x:c r="AD426" s="55" t="n">
        <x:v>3252</x:v>
      </x:c>
      <x:c r="AE426" s="55" t="n">
        <x:v>11089</x:v>
      </x:c>
      <x:c r="AF426" s="55" t="n">
        <x:v>11017</x:v>
      </x:c>
      <x:c r="AG426" s="55" t="n">
        <x:v>72</x:v>
      </x:c>
      <x:c r="AH426" s="55" t="n">
        <x:v>494</x:v>
      </x:c>
      <x:c r="AI426" s="55" t="n">
        <x:v>10523</x:v>
      </x:c>
      <x:c r="AJ426" s="55" t="n">
        <x:v>383</x:v>
      </x:c>
      <x:c r="AK426" s="55" t="n">
        <x:v>1114</x:v>
      </x:c>
      <x:c r="AL426" s="55" t="n">
        <x:v>1348</x:v>
      </x:c>
      <x:c r="AM426" s="55" t="n">
        <x:v>5004</x:v>
      </x:c>
      <x:c r="AN426" s="55" t="n">
        <x:v>3168</x:v>
      </x:c>
      <x:c r="AO426" s="55" t="n">
        <x:v>0</x:v>
      </x:c>
      <x:c r="AP426" s="55" t="n">
        <x:v>2295</x:v>
      </x:c>
      <x:c r="AQ426" s="55" t="n">
        <x:v>969</x:v>
      </x:c>
    </x:row>
    <x:row r="427">
      <x:c r="A427" s="54" t="str">
        <x:v>T0_TABLE_BLOCK</x:v>
      </x:c>
      <x:c r="B427" s="54" t="n">
        <x:v>421</x:v>
      </x:c>
      <x:c r="C427" s="54" t="str">
        <x:v>NYC-V2-R01</x:v>
      </x:c>
      <x:c r="D427" s="54" t="str">
        <x:v>V2</x:v>
      </x:c>
      <x:c r="E427" s="54" t="str">
        <x:v>ADMITTED</x:v>
      </x:c>
      <x:c r="F427" s="55" t="n">
        <x:v>32436</x:v>
      </x:c>
      <x:c r="G427" s="55" t="n">
        <x:v>8203</x:v>
      </x:c>
      <x:c r="H427" s="55" t="n">
        <x:v>3237</x:v>
      </x:c>
      <x:c r="I427" s="55" t="n">
        <x:v>1663</x:v>
      </x:c>
      <x:c r="J427" s="55" t="n">
        <x:v>186</x:v>
      </x:c>
      <x:c r="K427" s="55" t="n">
        <x:v>29788</x:v>
      </x:c>
      <x:c r="L427" s="55" t="n">
        <x:v>5002</x:v>
      </x:c>
      <x:c r="M427" s="55" t="n">
        <x:v>866</x:v>
      </x:c>
      <x:c r="N427" s="55" t="n">
        <x:v>2396</x:v>
      </x:c>
      <x:c r="O427" s="55" t="n">
        <x:v>1740</x:v>
      </x:c>
      <x:c r="P427" s="55" t="n">
        <x:v>984</x:v>
      </x:c>
      <x:c r="Q427" s="55" t="n">
        <x:v>1968</x:v>
      </x:c>
      <x:c r="R427" s="55" t="n">
        <x:v>1705</x:v>
      </x:c>
      <x:c r="S427" s="55" t="n">
        <x:v>2389</x:v>
      </x:c>
      <x:c r="T427" s="55" t="n">
        <x:v>1194</x:v>
      </x:c>
      <x:c r="U427" s="55" t="n">
        <x:v>2074</x:v>
      </x:c>
      <x:c r="V427" s="55" t="n">
        <x:v>10549</x:v>
      </x:c>
      <x:c r="W427" s="55" t="n">
        <x:v>7404</x:v>
      </x:c>
      <x:c r="X427" s="55" t="n">
        <x:v>3145</x:v>
      </x:c>
      <x:c r="Y427" s="55" t="n">
        <x:v>2848</x:v>
      </x:c>
      <x:c r="Z427" s="55" t="n">
        <x:v>3870</x:v>
      </x:c>
      <x:c r="AA427" s="55" t="n">
        <x:v>3042</x:v>
      </x:c>
      <x:c r="AB427" s="55" t="n">
        <x:v>1095</x:v>
      </x:c>
      <x:c r="AC427" s="55" t="n">
        <x:v>7741</x:v>
      </x:c>
      <x:c r="AD427" s="55" t="n">
        <x:v>2792</x:v>
      </x:c>
      <x:c r="AE427" s="55" t="n">
        <x:v>10662</x:v>
      </x:c>
      <x:c r="AF427" s="55" t="n">
        <x:v>10549</x:v>
      </x:c>
      <x:c r="AG427" s="55" t="n">
        <x:v>113</x:v>
      </x:c>
      <x:c r="AH427" s="55" t="n">
        <x:v>509</x:v>
      </x:c>
      <x:c r="AI427" s="55" t="n">
        <x:v>10040</x:v>
      </x:c>
      <x:c r="AJ427" s="55" t="n">
        <x:v>417</x:v>
      </x:c>
      <x:c r="AK427" s="55" t="n">
        <x:v>887</x:v>
      </x:c>
      <x:c r="AL427" s="55" t="n">
        <x:v>1670</x:v>
      </x:c>
      <x:c r="AM427" s="55" t="n">
        <x:v>4733</x:v>
      </x:c>
      <x:c r="AN427" s="55" t="n">
        <x:v>2779</x:v>
      </x:c>
      <x:c r="AO427" s="55" t="n">
        <x:v>63</x:v>
      </x:c>
      <x:c r="AP427" s="55" t="n">
        <x:v>2106</x:v>
      </x:c>
      <x:c r="AQ427" s="55" t="n">
        <x:v>955</x:v>
      </x:c>
    </x:row>
    <x:row r="428">
      <x:c r="A428" s="54" t="str">
        <x:v>T0_TABLE_BLOCK</x:v>
      </x:c>
      <x:c r="B428" s="54" t="n">
        <x:v>422</x:v>
      </x:c>
      <x:c r="C428" s="54" t="str">
        <x:v>NYC-V2-R01</x:v>
      </x:c>
      <x:c r="D428" s="54" t="str">
        <x:v>V2</x:v>
      </x:c>
      <x:c r="E428" s="54" t="str">
        <x:v>ADMITTED</x:v>
      </x:c>
      <x:c r="F428" s="55" t="n">
        <x:v>33252</x:v>
      </x:c>
      <x:c r="G428" s="55" t="n">
        <x:v>8888</x:v>
      </x:c>
      <x:c r="H428" s="55" t="n">
        <x:v>3538</x:v>
      </x:c>
      <x:c r="I428" s="55" t="n">
        <x:v>1250</x:v>
      </x:c>
      <x:c r="J428" s="55" t="n">
        <x:v>403</x:v>
      </x:c>
      <x:c r="K428" s="55" t="n">
        <x:v>31446</x:v>
      </x:c>
      <x:c r="L428" s="55" t="n">
        <x:v>6335</x:v>
      </x:c>
      <x:c r="M428" s="55" t="n">
        <x:v>1448</x:v>
      </x:c>
      <x:c r="N428" s="55" t="n">
        <x:v>3096</x:v>
      </x:c>
      <x:c r="O428" s="55" t="n">
        <x:v>1791</x:v>
      </x:c>
      <x:c r="P428" s="55" t="n">
        <x:v>491</x:v>
      </x:c>
      <x:c r="Q428" s="55" t="n">
        <x:v>1954</x:v>
      </x:c>
      <x:c r="R428" s="55" t="n">
        <x:v>1710</x:v>
      </x:c>
      <x:c r="S428" s="55" t="n">
        <x:v>3195</x:v>
      </x:c>
      <x:c r="T428" s="55" t="n">
        <x:v>1250</x:v>
      </x:c>
      <x:c r="U428" s="55" t="n">
        <x:v>2172</x:v>
      </x:c>
      <x:c r="V428" s="55" t="n">
        <x:v>10258</x:v>
      </x:c>
      <x:c r="W428" s="55" t="n">
        <x:v>7657</x:v>
      </x:c>
      <x:c r="X428" s="55" t="n">
        <x:v>2601</x:v>
      </x:c>
      <x:c r="Y428" s="55" t="n">
        <x:v>2385</x:v>
      </x:c>
      <x:c r="Z428" s="55" t="n">
        <x:v>4006</x:v>
      </x:c>
      <x:c r="AA428" s="55" t="n">
        <x:v>2924</x:v>
      </x:c>
      <x:c r="AB428" s="55" t="n">
        <x:v>1228</x:v>
      </x:c>
      <x:c r="AC428" s="55" t="n">
        <x:v>7149</x:v>
      </x:c>
      <x:c r="AD428" s="55" t="n">
        <x:v>2757</x:v>
      </x:c>
      <x:c r="AE428" s="55" t="n">
        <x:v>10275</x:v>
      </x:c>
      <x:c r="AF428" s="55" t="n">
        <x:v>10258</x:v>
      </x:c>
      <x:c r="AG428" s="55" t="n">
        <x:v>17</x:v>
      </x:c>
      <x:c r="AH428" s="55" t="n">
        <x:v>498</x:v>
      </x:c>
      <x:c r="AI428" s="55" t="n">
        <x:v>9760</x:v>
      </x:c>
      <x:c r="AJ428" s="55" t="n">
        <x:v>331</x:v>
      </x:c>
      <x:c r="AK428" s="55" t="n">
        <x:v>706</x:v>
      </x:c>
      <x:c r="AL428" s="55" t="n">
        <x:v>1653</x:v>
      </x:c>
      <x:c r="AM428" s="55" t="n">
        <x:v>4831</x:v>
      </x:c>
      <x:c r="AN428" s="55" t="n">
        <x:v>2737</x:v>
      </x:c>
      <x:c r="AO428" s="55" t="n">
        <x:v>0</x:v>
      </x:c>
      <x:c r="AP428" s="55" t="n">
        <x:v>2306</x:v>
      </x:c>
      <x:c r="AQ428" s="55" t="n">
        <x:v>979</x:v>
      </x:c>
    </x:row>
    <x:row r="429">
      <x:c r="A429" s="54" t="str">
        <x:v>T0_TABLE_BLOCK</x:v>
      </x:c>
      <x:c r="B429" s="54" t="n">
        <x:v>423</x:v>
      </x:c>
      <x:c r="C429" s="54" t="str">
        <x:v>NYC-V2-R01</x:v>
      </x:c>
      <x:c r="D429" s="54" t="str">
        <x:v>V2</x:v>
      </x:c>
      <x:c r="E429" s="54" t="str">
        <x:v>ADMITTED</x:v>
      </x:c>
      <x:c r="F429" s="55" t="n">
        <x:v>31429</x:v>
      </x:c>
      <x:c r="G429" s="55" t="n">
        <x:v>9680</x:v>
      </x:c>
      <x:c r="H429" s="55" t="n">
        <x:v>3580</x:v>
      </x:c>
      <x:c r="I429" s="55" t="n">
        <x:v>1255</x:v>
      </x:c>
      <x:c r="J429" s="55" t="n">
        <x:v>274</x:v>
      </x:c>
      <x:c r="K429" s="55" t="n">
        <x:v>30646</x:v>
      </x:c>
      <x:c r="L429" s="55" t="n">
        <x:v>5181</x:v>
      </x:c>
      <x:c r="M429" s="55" t="n">
        <x:v>846</x:v>
      </x:c>
      <x:c r="N429" s="55" t="n">
        <x:v>2684</x:v>
      </x:c>
      <x:c r="O429" s="55" t="n">
        <x:v>1651</x:v>
      </x:c>
      <x:c r="P429" s="55" t="n">
        <x:v>981</x:v>
      </x:c>
      <x:c r="Q429" s="55" t="n">
        <x:v>2898</x:v>
      </x:c>
      <x:c r="R429" s="55" t="n">
        <x:v>1913</x:v>
      </x:c>
      <x:c r="S429" s="55" t="n">
        <x:v>2618</x:v>
      </x:c>
      <x:c r="T429" s="55" t="n">
        <x:v>1183</x:v>
      </x:c>
      <x:c r="U429" s="55" t="n">
        <x:v>1451</x:v>
      </x:c>
      <x:c r="V429" s="55" t="n">
        <x:v>10774</x:v>
      </x:c>
      <x:c r="W429" s="55" t="n">
        <x:v>7848</x:v>
      </x:c>
      <x:c r="X429" s="55" t="n">
        <x:v>2926</x:v>
      </x:c>
      <x:c r="Y429" s="55" t="n">
        <x:v>2642</x:v>
      </x:c>
      <x:c r="Z429" s="55" t="n">
        <x:v>3995</x:v>
      </x:c>
      <x:c r="AA429" s="55" t="n">
        <x:v>2888</x:v>
      </x:c>
      <x:c r="AB429" s="55" t="n">
        <x:v>940</x:v>
      </x:c>
      <x:c r="AC429" s="55" t="n">
        <x:v>7526</x:v>
      </x:c>
      <x:c r="AD429" s="55" t="n">
        <x:v>2984</x:v>
      </x:c>
      <x:c r="AE429" s="55" t="n">
        <x:v>10898</x:v>
      </x:c>
      <x:c r="AF429" s="55" t="n">
        <x:v>10774</x:v>
      </x:c>
      <x:c r="AG429" s="55" t="n">
        <x:v>124</x:v>
      </x:c>
      <x:c r="AH429" s="55" t="n">
        <x:v>533</x:v>
      </x:c>
      <x:c r="AI429" s="55" t="n">
        <x:v>10241</x:v>
      </x:c>
      <x:c r="AJ429" s="55" t="n">
        <x:v>340</x:v>
      </x:c>
      <x:c r="AK429" s="55" t="n">
        <x:v>1009</x:v>
      </x:c>
      <x:c r="AL429" s="55" t="n">
        <x:v>1308</x:v>
      </x:c>
      <x:c r="AM429" s="55" t="n">
        <x:v>5221</x:v>
      </x:c>
      <x:c r="AN429" s="55" t="n">
        <x:v>2883</x:v>
      </x:c>
      <x:c r="AO429" s="55" t="n">
        <x:v>13</x:v>
      </x:c>
      <x:c r="AP429" s="55" t="n">
        <x:v>2512</x:v>
      </x:c>
      <x:c r="AQ429" s="55" t="n">
        <x:v>980</x:v>
      </x:c>
    </x:row>
    <x:row r="430">
      <x:c r="A430" s="54" t="str">
        <x:v>T0_TABLE_BLOCK</x:v>
      </x:c>
      <x:c r="B430" s="54" t="n">
        <x:v>424</x:v>
      </x:c>
      <x:c r="C430" s="54" t="str">
        <x:v>NYC-V2-R01</x:v>
      </x:c>
      <x:c r="D430" s="54" t="str">
        <x:v>V2</x:v>
      </x:c>
      <x:c r="E430" s="54" t="str">
        <x:v>ADMITTED</x:v>
      </x:c>
      <x:c r="F430" s="55" t="n">
        <x:v>30869</x:v>
      </x:c>
      <x:c r="G430" s="55" t="n">
        <x:v>7613</x:v>
      </x:c>
      <x:c r="H430" s="55" t="n">
        <x:v>3349</x:v>
      </x:c>
      <x:c r="I430" s="55" t="n">
        <x:v>1080</x:v>
      </x:c>
      <x:c r="J430" s="55" t="n">
        <x:v>274</x:v>
      </x:c>
      <x:c r="K430" s="55" t="n">
        <x:v>30869</x:v>
      </x:c>
      <x:c r="L430" s="55" t="n">
        <x:v>5514</x:v>
      </x:c>
      <x:c r="M430" s="55" t="n">
        <x:v>1597</x:v>
      </x:c>
      <x:c r="N430" s="55" t="n">
        <x:v>2511</x:v>
      </x:c>
      <x:c r="O430" s="55" t="n">
        <x:v>1406</x:v>
      </x:c>
      <x:c r="P430" s="55" t="n">
        <x:v>1033</x:v>
      </x:c>
      <x:c r="Q430" s="55" t="n">
        <x:v>3018</x:v>
      </x:c>
      <x:c r="R430" s="55" t="n">
        <x:v>1515</x:v>
      </x:c>
      <x:c r="S430" s="55" t="n">
        <x:v>2551</x:v>
      </x:c>
      <x:c r="T430" s="55" t="n">
        <x:v>700</x:v>
      </x:c>
      <x:c r="U430" s="55" t="n">
        <x:v>1289</x:v>
      </x:c>
      <x:c r="V430" s="55" t="n">
        <x:v>10920</x:v>
      </x:c>
      <x:c r="W430" s="55" t="n">
        <x:v>7929</x:v>
      </x:c>
      <x:c r="X430" s="55" t="n">
        <x:v>2991</x:v>
      </x:c>
      <x:c r="Y430" s="55" t="n">
        <x:v>2712</x:v>
      </x:c>
      <x:c r="Z430" s="55" t="n">
        <x:v>4240</x:v>
      </x:c>
      <x:c r="AA430" s="55" t="n">
        <x:v>3349</x:v>
      </x:c>
      <x:c r="AB430" s="55" t="n">
        <x:v>967</x:v>
      </x:c>
      <x:c r="AC430" s="55" t="n">
        <x:v>7510</x:v>
      </x:c>
      <x:c r="AD430" s="55" t="n">
        <x:v>2952</x:v>
      </x:c>
      <x:c r="AE430" s="55" t="n">
        <x:v>10965</x:v>
      </x:c>
      <x:c r="AF430" s="55" t="n">
        <x:v>10920</x:v>
      </x:c>
      <x:c r="AG430" s="55" t="n">
        <x:v>45</x:v>
      </x:c>
      <x:c r="AH430" s="55" t="n">
        <x:v>431</x:v>
      </x:c>
      <x:c r="AI430" s="55" t="n">
        <x:v>10489</x:v>
      </x:c>
      <x:c r="AJ430" s="55" t="n">
        <x:v>461</x:v>
      </x:c>
      <x:c r="AK430" s="55" t="n">
        <x:v>1382</x:v>
      </x:c>
      <x:c r="AL430" s="55" t="n">
        <x:v>1432</x:v>
      </x:c>
      <x:c r="AM430" s="55" t="n">
        <x:v>5170</x:v>
      </x:c>
      <x:c r="AN430" s="55" t="n">
        <x:v>2409</x:v>
      </x:c>
      <x:c r="AO430" s="55" t="n">
        <x:v>66</x:v>
      </x:c>
      <x:c r="AP430" s="55" t="n">
        <x:v>2290</x:v>
      </x:c>
      <x:c r="AQ430" s="55" t="n">
        <x:v>971</x:v>
      </x:c>
    </x:row>
    <x:row r="431">
      <x:c r="A431" s="54" t="str">
        <x:v>T0_TABLE_BLOCK</x:v>
      </x:c>
      <x:c r="B431" s="54" t="n">
        <x:v>425</x:v>
      </x:c>
      <x:c r="C431" s="54" t="str">
        <x:v>NYC-V2-R01</x:v>
      </x:c>
      <x:c r="D431" s="54" t="str">
        <x:v>V2</x:v>
      </x:c>
      <x:c r="E431" s="54" t="str">
        <x:v>ADMITTED</x:v>
      </x:c>
      <x:c r="F431" s="55" t="n">
        <x:v>30806</x:v>
      </x:c>
      <x:c r="G431" s="55" t="n">
        <x:v>7691</x:v>
      </x:c>
      <x:c r="H431" s="55" t="n">
        <x:v>3189</x:v>
      </x:c>
      <x:c r="I431" s="55" t="n">
        <x:v>1141</x:v>
      </x:c>
      <x:c r="J431" s="55" t="n">
        <x:v>102</x:v>
      </x:c>
      <x:c r="K431" s="55" t="n">
        <x:v>30806</x:v>
      </x:c>
      <x:c r="L431" s="55" t="n">
        <x:v>5996</x:v>
      </x:c>
      <x:c r="M431" s="55" t="n">
        <x:v>986</x:v>
      </x:c>
      <x:c r="N431" s="55" t="n">
        <x:v>2730</x:v>
      </x:c>
      <x:c r="O431" s="55" t="n">
        <x:v>2280</x:v>
      </x:c>
      <x:c r="P431" s="55" t="n">
        <x:v>862</x:v>
      </x:c>
      <x:c r="Q431" s="55" t="n">
        <x:v>1907</x:v>
      </x:c>
      <x:c r="R431" s="55" t="n">
        <x:v>1534</x:v>
      </x:c>
      <x:c r="S431" s="55" t="n">
        <x:v>2410</x:v>
      </x:c>
      <x:c r="T431" s="55" t="n">
        <x:v>961</x:v>
      </x:c>
      <x:c r="U431" s="55" t="n">
        <x:v>1705</x:v>
      </x:c>
      <x:c r="V431" s="55" t="n">
        <x:v>10348</x:v>
      </x:c>
      <x:c r="W431" s="55" t="n">
        <x:v>6922</x:v>
      </x:c>
      <x:c r="X431" s="55" t="n">
        <x:v>3426</x:v>
      </x:c>
      <x:c r="Y431" s="55" t="n">
        <x:v>2984</x:v>
      </x:c>
      <x:c r="Z431" s="55" t="n">
        <x:v>3620</x:v>
      </x:c>
      <x:c r="AA431" s="55" t="n">
        <x:v>2970</x:v>
      </x:c>
      <x:c r="AB431" s="55" t="n">
        <x:v>1133</x:v>
      </x:c>
      <x:c r="AC431" s="55" t="n">
        <x:v>8283</x:v>
      </x:c>
      <x:c r="AD431" s="55" t="n">
        <x:v>2900</x:v>
      </x:c>
      <x:c r="AE431" s="55" t="n">
        <x:v>10441</x:v>
      </x:c>
      <x:c r="AF431" s="55" t="n">
        <x:v>10348</x:v>
      </x:c>
      <x:c r="AG431" s="55" t="n">
        <x:v>93</x:v>
      </x:c>
      <x:c r="AH431" s="55" t="n">
        <x:v>478</x:v>
      </x:c>
      <x:c r="AI431" s="55" t="n">
        <x:v>9870</x:v>
      </x:c>
      <x:c r="AJ431" s="55" t="n">
        <x:v>238</x:v>
      </x:c>
      <x:c r="AK431" s="55" t="n">
        <x:v>1043</x:v>
      </x:c>
      <x:c r="AL431" s="55" t="n">
        <x:v>1375</x:v>
      </x:c>
      <x:c r="AM431" s="55" t="n">
        <x:v>5429</x:v>
      </x:c>
      <x:c r="AN431" s="55" t="n">
        <x:v>2212</x:v>
      </x:c>
      <x:c r="AO431" s="55" t="n">
        <x:v>51</x:v>
      </x:c>
      <x:c r="AP431" s="55" t="n">
        <x:v>2765</x:v>
      </x:c>
      <x:c r="AQ431" s="55" t="n">
        <x:v>959</x:v>
      </x:c>
    </x:row>
    <x:row r="432">
      <x:c r="A432" s="54" t="str">
        <x:v>T0_TABLE_BLOCK</x:v>
      </x:c>
      <x:c r="B432" s="54" t="n">
        <x:v>426</x:v>
      </x:c>
      <x:c r="C432" s="54" t="str">
        <x:v>NYC-V2-R01</x:v>
      </x:c>
      <x:c r="D432" s="54" t="str">
        <x:v>V2</x:v>
      </x:c>
      <x:c r="E432" s="54" t="str">
        <x:v>ADMITTED</x:v>
      </x:c>
      <x:c r="F432" s="55" t="n">
        <x:v>32037</x:v>
      </x:c>
      <x:c r="G432" s="55" t="n">
        <x:v>7963</x:v>
      </x:c>
      <x:c r="H432" s="55" t="n">
        <x:v>3534</x:v>
      </x:c>
      <x:c r="I432" s="55" t="n">
        <x:v>1231</x:v>
      </x:c>
      <x:c r="J432" s="55" t="n">
        <x:v>385</x:v>
      </x:c>
      <x:c r="K432" s="55" t="n">
        <x:v>29267</x:v>
      </x:c>
      <x:c r="L432" s="55" t="n">
        <x:v>5132</x:v>
      </x:c>
      <x:c r="M432" s="55" t="n">
        <x:v>0</x:v>
      </x:c>
      <x:c r="N432" s="55" t="n">
        <x:v>2632</x:v>
      </x:c>
      <x:c r="O432" s="55" t="n">
        <x:v>2500</x:v>
      </x:c>
      <x:c r="P432" s="55" t="n">
        <x:v>887</x:v>
      </x:c>
      <x:c r="Q432" s="55" t="n">
        <x:v>3386</x:v>
      </x:c>
      <x:c r="R432" s="55" t="n">
        <x:v>1907</x:v>
      </x:c>
      <x:c r="S432" s="55" t="n">
        <x:v>2323</x:v>
      </x:c>
      <x:c r="T432" s="55" t="n">
        <x:v>1387</x:v>
      </x:c>
      <x:c r="U432" s="55" t="n">
        <x:v>1562</x:v>
      </x:c>
      <x:c r="V432" s="55" t="n">
        <x:v>11052</x:v>
      </x:c>
      <x:c r="W432" s="55" t="n">
        <x:v>8094</x:v>
      </x:c>
      <x:c r="X432" s="55" t="n">
        <x:v>2958</x:v>
      </x:c>
      <x:c r="Y432" s="55" t="n">
        <x:v>2623</x:v>
      </x:c>
      <x:c r="Z432" s="55" t="n">
        <x:v>4170</x:v>
      </x:c>
      <x:c r="AA432" s="55" t="n">
        <x:v>3284</x:v>
      </x:c>
      <x:c r="AB432" s="55" t="n">
        <x:v>873</x:v>
      </x:c>
      <x:c r="AC432" s="55" t="n">
        <x:v>7705</x:v>
      </x:c>
      <x:c r="AD432" s="55" t="n">
        <x:v>3057</x:v>
      </x:c>
      <x:c r="AE432" s="55" t="n">
        <x:v>11139</x:v>
      </x:c>
      <x:c r="AF432" s="55" t="n">
        <x:v>11052</x:v>
      </x:c>
      <x:c r="AG432" s="55" t="n">
        <x:v>87</x:v>
      </x:c>
      <x:c r="AH432" s="55" t="n">
        <x:v>545</x:v>
      </x:c>
      <x:c r="AI432" s="55" t="n">
        <x:v>10507</x:v>
      </x:c>
      <x:c r="AJ432" s="55" t="n">
        <x:v>490</x:v>
      </x:c>
      <x:c r="AK432" s="55" t="n">
        <x:v>1036</x:v>
      </x:c>
      <x:c r="AL432" s="55" t="n">
        <x:v>1404</x:v>
      </x:c>
      <x:c r="AM432" s="55" t="n">
        <x:v>5285</x:v>
      </x:c>
      <x:c r="AN432" s="55" t="n">
        <x:v>2837</x:v>
      </x:c>
      <x:c r="AO432" s="55" t="n">
        <x:v>0</x:v>
      </x:c>
      <x:c r="AP432" s="55" t="n">
        <x:v>2390</x:v>
      </x:c>
      <x:c r="AQ432" s="55" t="n">
        <x:v>969</x:v>
      </x:c>
    </x:row>
    <x:row r="433">
      <x:c r="A433" s="54" t="str">
        <x:v>T0_TABLE_BLOCK</x:v>
      </x:c>
      <x:c r="B433" s="54" t="n">
        <x:v>427</x:v>
      </x:c>
      <x:c r="C433" s="54" t="str">
        <x:v>NYC-V2-R01</x:v>
      </x:c>
      <x:c r="D433" s="54" t="str">
        <x:v>V2</x:v>
      </x:c>
      <x:c r="E433" s="54" t="str">
        <x:v>ADMITTED</x:v>
      </x:c>
      <x:c r="F433" s="55" t="n">
        <x:v>31433</x:v>
      </x:c>
      <x:c r="G433" s="55" t="n">
        <x:v>6783</x:v>
      </x:c>
      <x:c r="H433" s="55" t="n">
        <x:v>4114</x:v>
      </x:c>
      <x:c r="I433" s="55" t="n">
        <x:v>1381</x:v>
      </x:c>
      <x:c r="J433" s="55" t="n">
        <x:v>326</x:v>
      </x:c>
      <x:c r="K433" s="55" t="n">
        <x:v>31433</x:v>
      </x:c>
      <x:c r="L433" s="55" t="n">
        <x:v>5892</x:v>
      </x:c>
      <x:c r="M433" s="55" t="n">
        <x:v>1455</x:v>
      </x:c>
      <x:c r="N433" s="55" t="n">
        <x:v>2747</x:v>
      </x:c>
      <x:c r="O433" s="55" t="n">
        <x:v>1690</x:v>
      </x:c>
      <x:c r="P433" s="55" t="n">
        <x:v>1072</x:v>
      </x:c>
      <x:c r="Q433" s="55" t="n">
        <x:v>2850</x:v>
      </x:c>
      <x:c r="R433" s="55" t="n">
        <x:v>1732</x:v>
      </x:c>
      <x:c r="S433" s="55" t="n">
        <x:v>3110</x:v>
      </x:c>
      <x:c r="T433" s="55" t="n">
        <x:v>968</x:v>
      </x:c>
      <x:c r="U433" s="55" t="n">
        <x:v>1537</x:v>
      </x:c>
      <x:c r="V433" s="55" t="n">
        <x:v>10071</x:v>
      </x:c>
      <x:c r="W433" s="55" t="n">
        <x:v>7376</x:v>
      </x:c>
      <x:c r="X433" s="55" t="n">
        <x:v>2695</x:v>
      </x:c>
      <x:c r="Y433" s="55" t="n">
        <x:v>2090</x:v>
      </x:c>
      <x:c r="Z433" s="55" t="n">
        <x:v>3674</x:v>
      </x:c>
      <x:c r="AA433" s="55" t="n">
        <x:v>2888</x:v>
      </x:c>
      <x:c r="AB433" s="55" t="n">
        <x:v>1191</x:v>
      </x:c>
      <x:c r="AC433" s="55" t="n">
        <x:v>8061</x:v>
      </x:c>
      <x:c r="AD433" s="55" t="n">
        <x:v>2637</x:v>
      </x:c>
      <x:c r="AE433" s="55" t="n">
        <x:v>10176</x:v>
      </x:c>
      <x:c r="AF433" s="55" t="n">
        <x:v>10071</x:v>
      </x:c>
      <x:c r="AG433" s="55" t="n">
        <x:v>105</x:v>
      </x:c>
      <x:c r="AH433" s="55" t="n">
        <x:v>235</x:v>
      </x:c>
      <x:c r="AI433" s="55" t="n">
        <x:v>9836</x:v>
      </x:c>
      <x:c r="AJ433" s="55" t="n">
        <x:v>251</x:v>
      </x:c>
      <x:c r="AK433" s="55" t="n">
        <x:v>751</x:v>
      </x:c>
      <x:c r="AL433" s="55" t="n">
        <x:v>1515</x:v>
      </x:c>
      <x:c r="AM433" s="55" t="n">
        <x:v>4367</x:v>
      </x:c>
      <x:c r="AN433" s="55" t="n">
        <x:v>3187</x:v>
      </x:c>
      <x:c r="AO433" s="55" t="n">
        <x:v>0</x:v>
      </x:c>
      <x:c r="AP433" s="55" t="n">
        <x:v>2555</x:v>
      </x:c>
      <x:c r="AQ433" s="55" t="n">
        <x:v>1000</x:v>
      </x:c>
    </x:row>
    <x:row r="434">
      <x:c r="A434" s="54" t="str">
        <x:v>T0_TABLE_BLOCK</x:v>
      </x:c>
      <x:c r="B434" s="54" t="n">
        <x:v>428</x:v>
      </x:c>
      <x:c r="C434" s="54" t="str">
        <x:v>NYC-V2-R01</x:v>
      </x:c>
      <x:c r="D434" s="54" t="str">
        <x:v>V2</x:v>
      </x:c>
      <x:c r="E434" s="54" t="str">
        <x:v>ADMITTED</x:v>
      </x:c>
      <x:c r="F434" s="55" t="n">
        <x:v>33129</x:v>
      </x:c>
      <x:c r="G434" s="55" t="n">
        <x:v>7939</x:v>
      </x:c>
      <x:c r="H434" s="55" t="n">
        <x:v>2983</x:v>
      </x:c>
      <x:c r="I434" s="55" t="n">
        <x:v>1026</x:v>
      </x:c>
      <x:c r="J434" s="55" t="n">
        <x:v>228</x:v>
      </x:c>
      <x:c r="K434" s="55" t="n">
        <x:v>33129</x:v>
      </x:c>
      <x:c r="L434" s="55" t="n">
        <x:v>6033</x:v>
      </x:c>
      <x:c r="M434" s="55" t="n">
        <x:v>1576</x:v>
      </x:c>
      <x:c r="N434" s="55" t="n">
        <x:v>2532</x:v>
      </x:c>
      <x:c r="O434" s="55" t="n">
        <x:v>1925</x:v>
      </x:c>
      <x:c r="P434" s="55" t="n">
        <x:v>610</x:v>
      </x:c>
      <x:c r="Q434" s="55" t="n">
        <x:v>3153</x:v>
      </x:c>
      <x:c r="R434" s="55" t="n">
        <x:v>1332</x:v>
      </x:c>
      <x:c r="S434" s="55" t="n">
        <x:v>2308</x:v>
      </x:c>
      <x:c r="T434" s="55" t="n">
        <x:v>1275</x:v>
      </x:c>
      <x:c r="U434" s="55" t="n">
        <x:v>2005</x:v>
      </x:c>
      <x:c r="V434" s="55" t="n">
        <x:v>10543</x:v>
      </x:c>
      <x:c r="W434" s="55" t="n">
        <x:v>7205</x:v>
      </x:c>
      <x:c r="X434" s="55" t="n">
        <x:v>3338</x:v>
      </x:c>
      <x:c r="Y434" s="55" t="n">
        <x:v>2837</x:v>
      </x:c>
      <x:c r="Z434" s="55" t="n">
        <x:v>3701</x:v>
      </x:c>
      <x:c r="AA434" s="55" t="n">
        <x:v>2235</x:v>
      </x:c>
      <x:c r="AB434" s="55" t="n">
        <x:v>1051</x:v>
      </x:c>
      <x:c r="AC434" s="55" t="n">
        <x:v>8587</x:v>
      </x:c>
      <x:c r="AD434" s="55" t="n">
        <x:v>2584</x:v>
      </x:c>
      <x:c r="AE434" s="55" t="n">
        <x:v>10657</x:v>
      </x:c>
      <x:c r="AF434" s="55" t="n">
        <x:v>10543</x:v>
      </x:c>
      <x:c r="AG434" s="55" t="n">
        <x:v>114</x:v>
      </x:c>
      <x:c r="AH434" s="55" t="n">
        <x:v>327</x:v>
      </x:c>
      <x:c r="AI434" s="55" t="n">
        <x:v>10216</x:v>
      </x:c>
      <x:c r="AJ434" s="55" t="n">
        <x:v>436</x:v>
      </x:c>
      <x:c r="AK434" s="55" t="n">
        <x:v>930</x:v>
      </x:c>
      <x:c r="AL434" s="55" t="n">
        <x:v>1668</x:v>
      </x:c>
      <x:c r="AM434" s="55" t="n">
        <x:v>5211</x:v>
      </x:c>
      <x:c r="AN434" s="55" t="n">
        <x:v>2298</x:v>
      </x:c>
      <x:c r="AO434" s="55" t="n">
        <x:v>0</x:v>
      </x:c>
      <x:c r="AP434" s="55" t="n">
        <x:v>2169</x:v>
      </x:c>
      <x:c r="AQ434" s="55" t="n">
        <x:v>958</x:v>
      </x:c>
    </x:row>
    <x:row r="435">
      <x:c r="A435" s="54" t="str">
        <x:v>T0_TABLE_BLOCK</x:v>
      </x:c>
      <x:c r="B435" s="54" t="n">
        <x:v>429</x:v>
      </x:c>
      <x:c r="C435" s="54" t="str">
        <x:v>NYC-V2-R01</x:v>
      </x:c>
      <x:c r="D435" s="54" t="str">
        <x:v>V2</x:v>
      </x:c>
      <x:c r="E435" s="54" t="str">
        <x:v>ADMITTED</x:v>
      </x:c>
      <x:c r="F435" s="55" t="n">
        <x:v>32585</x:v>
      </x:c>
      <x:c r="G435" s="55" t="n">
        <x:v>7865</x:v>
      </x:c>
      <x:c r="H435" s="55" t="n">
        <x:v>3656</x:v>
      </x:c>
      <x:c r="I435" s="55" t="n">
        <x:v>1553</x:v>
      </x:c>
      <x:c r="J435" s="55" t="n">
        <x:v>210</x:v>
      </x:c>
      <x:c r="K435" s="55" t="n">
        <x:v>32585</x:v>
      </x:c>
      <x:c r="L435" s="55" t="n">
        <x:v>6066</x:v>
      </x:c>
      <x:c r="M435" s="55" t="n">
        <x:v>1754</x:v>
      </x:c>
      <x:c r="N435" s="55" t="n">
        <x:v>2754</x:v>
      </x:c>
      <x:c r="O435" s="55" t="n">
        <x:v>1558</x:v>
      </x:c>
      <x:c r="P435" s="55" t="n">
        <x:v>1060</x:v>
      </x:c>
      <x:c r="Q435" s="55" t="n">
        <x:v>2492</x:v>
      </x:c>
      <x:c r="R435" s="55" t="n">
        <x:v>1948</x:v>
      </x:c>
      <x:c r="S435" s="55" t="n">
        <x:v>3204</x:v>
      </x:c>
      <x:c r="T435" s="55" t="n">
        <x:v>836</x:v>
      </x:c>
      <x:c r="U435" s="55" t="n">
        <x:v>1574</x:v>
      </x:c>
      <x:c r="V435" s="55" t="n">
        <x:v>10678</x:v>
      </x:c>
      <x:c r="W435" s="55" t="n">
        <x:v>7626</x:v>
      </x:c>
      <x:c r="X435" s="55" t="n">
        <x:v>3052</x:v>
      </x:c>
      <x:c r="Y435" s="55" t="n">
        <x:v>2585</x:v>
      </x:c>
      <x:c r="Z435" s="55" t="n">
        <x:v>3220</x:v>
      </x:c>
      <x:c r="AA435" s="55" t="n">
        <x:v>3234</x:v>
      </x:c>
      <x:c r="AB435" s="55" t="n">
        <x:v>1110</x:v>
      </x:c>
      <x:c r="AC435" s="55" t="n">
        <x:v>8327</x:v>
      </x:c>
      <x:c r="AD435" s="55" t="n">
        <x:v>3419</x:v>
      </x:c>
      <x:c r="AE435" s="55" t="n">
        <x:v>10763</x:v>
      </x:c>
      <x:c r="AF435" s="55" t="n">
        <x:v>10678</x:v>
      </x:c>
      <x:c r="AG435" s="55" t="n">
        <x:v>85</x:v>
      </x:c>
      <x:c r="AH435" s="55" t="n">
        <x:v>459</x:v>
      </x:c>
      <x:c r="AI435" s="55" t="n">
        <x:v>10219</x:v>
      </x:c>
      <x:c r="AJ435" s="55" t="n">
        <x:v>432</x:v>
      </x:c>
      <x:c r="AK435" s="55" t="n">
        <x:v>974</x:v>
      </x:c>
      <x:c r="AL435" s="55" t="n">
        <x:v>1365</x:v>
      </x:c>
      <x:c r="AM435" s="55" t="n">
        <x:v>5705</x:v>
      </x:c>
      <x:c r="AN435" s="55" t="n">
        <x:v>2202</x:v>
      </x:c>
      <x:c r="AO435" s="55" t="n">
        <x:v>0</x:v>
      </x:c>
      <x:c r="AP435" s="55" t="n">
        <x:v>2684</x:v>
      </x:c>
      <x:c r="AQ435" s="55" t="n">
        <x:v>884</x:v>
      </x:c>
    </x:row>
    <x:row r="436">
      <x:c r="A436" s="54" t="str">
        <x:v>T0_TABLE_BLOCK</x:v>
      </x:c>
      <x:c r="B436" s="54" t="n">
        <x:v>430</x:v>
      </x:c>
      <x:c r="C436" s="54" t="str">
        <x:v>NYC-V2-R01</x:v>
      </x:c>
      <x:c r="D436" s="54" t="str">
        <x:v>V2</x:v>
      </x:c>
      <x:c r="E436" s="54" t="str">
        <x:v>ADMITTED</x:v>
      </x:c>
      <x:c r="F436" s="55" t="n">
        <x:v>31292</x:v>
      </x:c>
      <x:c r="G436" s="55" t="n">
        <x:v>7418</x:v>
      </x:c>
      <x:c r="H436" s="55" t="n">
        <x:v>3037</x:v>
      </x:c>
      <x:c r="I436" s="55" t="n">
        <x:v>864</x:v>
      </x:c>
      <x:c r="J436" s="55" t="n">
        <x:v>311</x:v>
      </x:c>
      <x:c r="K436" s="55" t="n">
        <x:v>31292</x:v>
      </x:c>
      <x:c r="L436" s="55" t="n">
        <x:v>4910</x:v>
      </x:c>
      <x:c r="M436" s="55" t="n">
        <x:v>1060</x:v>
      </x:c>
      <x:c r="N436" s="55" t="n">
        <x:v>2088</x:v>
      </x:c>
      <x:c r="O436" s="55" t="n">
        <x:v>1762</x:v>
      </x:c>
      <x:c r="P436" s="55" t="n">
        <x:v>782</x:v>
      </x:c>
      <x:c r="Q436" s="55" t="n">
        <x:v>2934</x:v>
      </x:c>
      <x:c r="R436" s="55" t="n">
        <x:v>2040</x:v>
      </x:c>
      <x:c r="S436" s="55" t="n">
        <x:v>2992</x:v>
      </x:c>
      <x:c r="T436" s="55" t="n">
        <x:v>1875</x:v>
      </x:c>
      <x:c r="U436" s="55" t="n">
        <x:v>2326</x:v>
      </x:c>
      <x:c r="V436" s="55" t="n">
        <x:v>10753</x:v>
      </x:c>
      <x:c r="W436" s="55" t="n">
        <x:v>8094</x:v>
      </x:c>
      <x:c r="X436" s="55" t="n">
        <x:v>2659</x:v>
      </x:c>
      <x:c r="Y436" s="55" t="n">
        <x:v>2244</x:v>
      </x:c>
      <x:c r="Z436" s="55" t="n">
        <x:v>3568</x:v>
      </x:c>
      <x:c r="AA436" s="55" t="n">
        <x:v>3037</x:v>
      </x:c>
      <x:c r="AB436" s="55" t="n">
        <x:v>1165</x:v>
      </x:c>
      <x:c r="AC436" s="55" t="n">
        <x:v>8080</x:v>
      </x:c>
      <x:c r="AD436" s="55" t="n">
        <x:v>3162</x:v>
      </x:c>
      <x:c r="AE436" s="55" t="n">
        <x:v>10810</x:v>
      </x:c>
      <x:c r="AF436" s="55" t="n">
        <x:v>10753</x:v>
      </x:c>
      <x:c r="AG436" s="55" t="n">
        <x:v>57</x:v>
      </x:c>
      <x:c r="AH436" s="55" t="n">
        <x:v>642</x:v>
      </x:c>
      <x:c r="AI436" s="55" t="n">
        <x:v>10111</x:v>
      </x:c>
      <x:c r="AJ436" s="55" t="n">
        <x:v>370</x:v>
      </x:c>
      <x:c r="AK436" s="55" t="n">
        <x:v>1468</x:v>
      </x:c>
      <x:c r="AL436" s="55" t="n">
        <x:v>1351</x:v>
      </x:c>
      <x:c r="AM436" s="55" t="n">
        <x:v>4492</x:v>
      </x:c>
      <x:c r="AN436" s="55" t="n">
        <x:v>3030</x:v>
      </x:c>
      <x:c r="AO436" s="55" t="n">
        <x:v>42</x:v>
      </x:c>
      <x:c r="AP436" s="55" t="n">
        <x:v>2265</x:v>
      </x:c>
      <x:c r="AQ436" s="55" t="n">
        <x:v>960</x:v>
      </x:c>
    </x:row>
    <x:row r="437">
      <x:c r="A437" s="54" t="str">
        <x:v>T0_TABLE_BLOCK</x:v>
      </x:c>
      <x:c r="B437" s="54" t="n">
        <x:v>431</x:v>
      </x:c>
      <x:c r="C437" s="54" t="str">
        <x:v>NYC-V2-R01</x:v>
      </x:c>
      <x:c r="D437" s="54" t="str">
        <x:v>V2</x:v>
      </x:c>
      <x:c r="E437" s="54" t="str">
        <x:v>ADMITTED</x:v>
      </x:c>
      <x:c r="F437" s="55" t="n">
        <x:v>32560</x:v>
      </x:c>
      <x:c r="G437" s="55" t="n">
        <x:v>7492</x:v>
      </x:c>
      <x:c r="H437" s="55" t="n">
        <x:v>3082</x:v>
      </x:c>
      <x:c r="I437" s="55" t="n">
        <x:v>753</x:v>
      </x:c>
      <x:c r="J437" s="55" t="n">
        <x:v>134</x:v>
      </x:c>
      <x:c r="K437" s="55" t="n">
        <x:v>32560</x:v>
      </x:c>
      <x:c r="L437" s="55" t="n">
        <x:v>5756</x:v>
      </x:c>
      <x:c r="M437" s="55" t="n">
        <x:v>897</x:v>
      </x:c>
      <x:c r="N437" s="55" t="n">
        <x:v>2414</x:v>
      </x:c>
      <x:c r="O437" s="55" t="n">
        <x:v>2445</x:v>
      </x:c>
      <x:c r="P437" s="55" t="n">
        <x:v>989</x:v>
      </x:c>
      <x:c r="Q437" s="55" t="n">
        <x:v>2824</x:v>
      </x:c>
      <x:c r="R437" s="55" t="n">
        <x:v>1759</x:v>
      </x:c>
      <x:c r="S437" s="55" t="n">
        <x:v>2767</x:v>
      </x:c>
      <x:c r="T437" s="55" t="n">
        <x:v>1586</x:v>
      </x:c>
      <x:c r="U437" s="55" t="n">
        <x:v>2063</x:v>
      </x:c>
      <x:c r="V437" s="55" t="n">
        <x:v>9915</x:v>
      </x:c>
      <x:c r="W437" s="55" t="n">
        <x:v>7144</x:v>
      </x:c>
      <x:c r="X437" s="55" t="n">
        <x:v>2771</x:v>
      </x:c>
      <x:c r="Y437" s="55" t="n">
        <x:v>2607</x:v>
      </x:c>
      <x:c r="Z437" s="55" t="n">
        <x:v>3554</x:v>
      </x:c>
      <x:c r="AA437" s="55" t="n">
        <x:v>3082</x:v>
      </x:c>
      <x:c r="AB437" s="55" t="n">
        <x:v>1171</x:v>
      </x:c>
      <x:c r="AC437" s="55" t="n">
        <x:v>8617</x:v>
      </x:c>
      <x:c r="AD437" s="55" t="n">
        <x:v>2467</x:v>
      </x:c>
      <x:c r="AE437" s="55" t="n">
        <x:v>9994</x:v>
      </x:c>
      <x:c r="AF437" s="55" t="n">
        <x:v>9915</x:v>
      </x:c>
      <x:c r="AG437" s="55" t="n">
        <x:v>79</x:v>
      </x:c>
      <x:c r="AH437" s="55" t="n">
        <x:v>310</x:v>
      </x:c>
      <x:c r="AI437" s="55" t="n">
        <x:v>9605</x:v>
      </x:c>
      <x:c r="AJ437" s="55" t="n">
        <x:v>522</x:v>
      </x:c>
      <x:c r="AK437" s="55" t="n">
        <x:v>773</x:v>
      </x:c>
      <x:c r="AL437" s="55" t="n">
        <x:v>1458</x:v>
      </x:c>
      <x:c r="AM437" s="55" t="n">
        <x:v>4950</x:v>
      </x:c>
      <x:c r="AN437" s="55" t="n">
        <x:v>2212</x:v>
      </x:c>
      <x:c r="AO437" s="55" t="n">
        <x:v>0</x:v>
      </x:c>
      <x:c r="AP437" s="55" t="n">
        <x:v>2823</x:v>
      </x:c>
      <x:c r="AQ437" s="55" t="n">
        <x:v>946</x:v>
      </x:c>
    </x:row>
    <x:row r="438">
      <x:c r="A438" s="54" t="str">
        <x:v>T0_TABLE_BLOCK</x:v>
      </x:c>
      <x:c r="B438" s="54" t="n">
        <x:v>432</x:v>
      </x:c>
      <x:c r="C438" s="54" t="str">
        <x:v>NYC-V2-R01</x:v>
      </x:c>
      <x:c r="D438" s="54" t="str">
        <x:v>V2</x:v>
      </x:c>
      <x:c r="E438" s="54" t="str">
        <x:v>ADMITTED</x:v>
      </x:c>
      <x:c r="F438" s="55" t="n">
        <x:v>29467</x:v>
      </x:c>
      <x:c r="G438" s="55" t="n">
        <x:v>7997</x:v>
      </x:c>
      <x:c r="H438" s="55" t="n">
        <x:v>3362</x:v>
      </x:c>
      <x:c r="I438" s="55" t="n">
        <x:v>1484</x:v>
      </x:c>
      <x:c r="J438" s="55" t="n">
        <x:v>268</x:v>
      </x:c>
      <x:c r="K438" s="55" t="n">
        <x:v>29467</x:v>
      </x:c>
      <x:c r="L438" s="55" t="n">
        <x:v>5823</x:v>
      </x:c>
      <x:c r="M438" s="55" t="n">
        <x:v>1364</x:v>
      </x:c>
      <x:c r="N438" s="55" t="n">
        <x:v>2791</x:v>
      </x:c>
      <x:c r="O438" s="55" t="n">
        <x:v>1668</x:v>
      </x:c>
      <x:c r="P438" s="55" t="n">
        <x:v>1210</x:v>
      </x:c>
      <x:c r="Q438" s="55" t="n">
        <x:v>2220</x:v>
      </x:c>
      <x:c r="R438" s="55" t="n">
        <x:v>1435</x:v>
      </x:c>
      <x:c r="S438" s="55" t="n">
        <x:v>3182</x:v>
      </x:c>
      <x:c r="T438" s="55" t="n">
        <x:v>1528</x:v>
      </x:c>
      <x:c r="U438" s="55" t="n">
        <x:v>2668</x:v>
      </x:c>
      <x:c r="V438" s="55" t="n">
        <x:v>10487</x:v>
      </x:c>
      <x:c r="W438" s="55" t="n">
        <x:v>7494</x:v>
      </x:c>
      <x:c r="X438" s="55" t="n">
        <x:v>2993</x:v>
      </x:c>
      <x:c r="Y438" s="55" t="n">
        <x:v>2593</x:v>
      </x:c>
      <x:c r="Z438" s="55" t="n">
        <x:v>4063</x:v>
      </x:c>
      <x:c r="AA438" s="55" t="n">
        <x:v>3362</x:v>
      </x:c>
      <x:c r="AB438" s="55" t="n">
        <x:v>1133</x:v>
      </x:c>
      <x:c r="AC438" s="55" t="n">
        <x:v>8277</x:v>
      </x:c>
      <x:c r="AD438" s="55" t="n">
        <x:v>2451</x:v>
      </x:c>
      <x:c r="AE438" s="55" t="n">
        <x:v>10527</x:v>
      </x:c>
      <x:c r="AF438" s="55" t="n">
        <x:v>10487</x:v>
      </x:c>
      <x:c r="AG438" s="55" t="n">
        <x:v>40</x:v>
      </x:c>
      <x:c r="AH438" s="55" t="n">
        <x:v>634</x:v>
      </x:c>
      <x:c r="AI438" s="55" t="n">
        <x:v>9853</x:v>
      </x:c>
      <x:c r="AJ438" s="55" t="n">
        <x:v>265</x:v>
      </x:c>
      <x:c r="AK438" s="55" t="n">
        <x:v>1028</x:v>
      </x:c>
      <x:c r="AL438" s="55" t="n">
        <x:v>1872</x:v>
      </x:c>
      <x:c r="AM438" s="55" t="n">
        <x:v>4739</x:v>
      </x:c>
      <x:c r="AN438" s="55" t="n">
        <x:v>2553</x:v>
      </x:c>
      <x:c r="AO438" s="55" t="n">
        <x:v>30</x:v>
      </x:c>
      <x:c r="AP438" s="55" t="n">
        <x:v>2219</x:v>
      </x:c>
      <x:c r="AQ438" s="55" t="n">
        <x:v>945</x:v>
      </x:c>
    </x:row>
    <x:row r="439">
      <x:c r="A439" s="54" t="str">
        <x:v>T0_TABLE_BLOCK</x:v>
      </x:c>
      <x:c r="B439" s="54" t="n">
        <x:v>433</x:v>
      </x:c>
      <x:c r="C439" s="54" t="str">
        <x:v>NYC-V2-R01</x:v>
      </x:c>
      <x:c r="D439" s="54" t="str">
        <x:v>V2</x:v>
      </x:c>
      <x:c r="E439" s="54" t="str">
        <x:v>ADMITTED</x:v>
      </x:c>
      <x:c r="F439" s="55" t="n">
        <x:v>30452</x:v>
      </x:c>
      <x:c r="G439" s="55" t="n">
        <x:v>7918</x:v>
      </x:c>
      <x:c r="H439" s="55" t="n">
        <x:v>3777</x:v>
      </x:c>
      <x:c r="I439" s="55" t="n">
        <x:v>966</x:v>
      </x:c>
      <x:c r="J439" s="55" t="n">
        <x:v>459</x:v>
      </x:c>
      <x:c r="K439" s="55" t="n">
        <x:v>30452</x:v>
      </x:c>
      <x:c r="L439" s="55" t="n">
        <x:v>6746</x:v>
      </x:c>
      <x:c r="M439" s="55" t="n">
        <x:v>2740</x:v>
      </x:c>
      <x:c r="N439" s="55" t="n">
        <x:v>2549</x:v>
      </x:c>
      <x:c r="O439" s="55" t="n">
        <x:v>1457</x:v>
      </x:c>
      <x:c r="P439" s="55" t="n">
        <x:v>269</x:v>
      </x:c>
      <x:c r="Q439" s="55" t="n">
        <x:v>2325</x:v>
      </x:c>
      <x:c r="R439" s="55" t="n">
        <x:v>1386</x:v>
      </x:c>
      <x:c r="S439" s="55" t="n">
        <x:v>1525</x:v>
      </x:c>
      <x:c r="T439" s="55" t="n">
        <x:v>1080</x:v>
      </x:c>
      <x:c r="U439" s="55" t="n">
        <x:v>1043</x:v>
      </x:c>
      <x:c r="V439" s="55" t="n">
        <x:v>10449</x:v>
      </x:c>
      <x:c r="W439" s="55" t="n">
        <x:v>7294</x:v>
      </x:c>
      <x:c r="X439" s="55" t="n">
        <x:v>3155</x:v>
      </x:c>
      <x:c r="Y439" s="55" t="n">
        <x:v>2890</x:v>
      </x:c>
      <x:c r="Z439" s="55" t="n">
        <x:v>3294</x:v>
      </x:c>
      <x:c r="AA439" s="55" t="n">
        <x:v>3777</x:v>
      </x:c>
      <x:c r="AB439" s="55" t="n">
        <x:v>1420</x:v>
      </x:c>
      <x:c r="AC439" s="55" t="n">
        <x:v>8673</x:v>
      </x:c>
      <x:c r="AD439" s="55" t="n">
        <x:v>3643</x:v>
      </x:c>
      <x:c r="AE439" s="55" t="n">
        <x:v>10531</x:v>
      </x:c>
      <x:c r="AF439" s="55" t="n">
        <x:v>10449</x:v>
      </x:c>
      <x:c r="AG439" s="55" t="n">
        <x:v>82</x:v>
      </x:c>
      <x:c r="AH439" s="55" t="n">
        <x:v>544</x:v>
      </x:c>
      <x:c r="AI439" s="55" t="n">
        <x:v>9905</x:v>
      </x:c>
      <x:c r="AJ439" s="55" t="n">
        <x:v>203</x:v>
      </x:c>
      <x:c r="AK439" s="55" t="n">
        <x:v>1078</x:v>
      </x:c>
      <x:c r="AL439" s="55" t="n">
        <x:v>1707</x:v>
      </x:c>
      <x:c r="AM439" s="55" t="n">
        <x:v>4078</x:v>
      </x:c>
      <x:c r="AN439" s="55" t="n">
        <x:v>3331</x:v>
      </x:c>
      <x:c r="AO439" s="55" t="n">
        <x:v>52</x:v>
      </x:c>
      <x:c r="AP439" s="55" t="n">
        <x:v>2012</x:v>
      </x:c>
      <x:c r="AQ439" s="55" t="n">
        <x:v>995</x:v>
      </x:c>
    </x:row>
    <x:row r="440">
      <x:c r="A440" s="54" t="str">
        <x:v>T0_TABLE_BLOCK</x:v>
      </x:c>
      <x:c r="B440" s="54" t="n">
        <x:v>434</x:v>
      </x:c>
      <x:c r="C440" s="54" t="str">
        <x:v>NYC-V2-R01</x:v>
      </x:c>
      <x:c r="D440" s="54" t="str">
        <x:v>V2</x:v>
      </x:c>
      <x:c r="E440" s="54" t="str">
        <x:v>ADMITTED</x:v>
      </x:c>
      <x:c r="F440" s="55" t="n">
        <x:v>30453</x:v>
      </x:c>
      <x:c r="G440" s="55" t="n">
        <x:v>7091</x:v>
      </x:c>
      <x:c r="H440" s="55" t="n">
        <x:v>3285</x:v>
      </x:c>
      <x:c r="I440" s="55" t="n">
        <x:v>1131</x:v>
      </x:c>
      <x:c r="J440" s="55" t="n">
        <x:v>406</x:v>
      </x:c>
      <x:c r="K440" s="55" t="n">
        <x:v>30165</x:v>
      </x:c>
      <x:c r="L440" s="55" t="n">
        <x:v>6328</x:v>
      </x:c>
      <x:c r="M440" s="55" t="n">
        <x:v>2261</x:v>
      </x:c>
      <x:c r="N440" s="55" t="n">
        <x:v>2603</x:v>
      </x:c>
      <x:c r="O440" s="55" t="n">
        <x:v>1464</x:v>
      </x:c>
      <x:c r="P440" s="55" t="n">
        <x:v>790</x:v>
      </x:c>
      <x:c r="Q440" s="55" t="n">
        <x:v>2300</x:v>
      </x:c>
      <x:c r="R440" s="55" t="n">
        <x:v>2184</x:v>
      </x:c>
      <x:c r="S440" s="55" t="n">
        <x:v>2660</x:v>
      </x:c>
      <x:c r="T440" s="55" t="n">
        <x:v>1425</x:v>
      </x:c>
      <x:c r="U440" s="55" t="n">
        <x:v>1791</x:v>
      </x:c>
      <x:c r="V440" s="55" t="n">
        <x:v>9690</x:v>
      </x:c>
      <x:c r="W440" s="55" t="n">
        <x:v>6912</x:v>
      </x:c>
      <x:c r="X440" s="55" t="n">
        <x:v>2778</x:v>
      </x:c>
      <x:c r="Y440" s="55" t="n">
        <x:v>2390</x:v>
      </x:c>
      <x:c r="Z440" s="55" t="n">
        <x:v>4017</x:v>
      </x:c>
      <x:c r="AA440" s="55" t="n">
        <x:v>2927</x:v>
      </x:c>
      <x:c r="AB440" s="55" t="n">
        <x:v>693</x:v>
      </x:c>
      <x:c r="AC440" s="55" t="n">
        <x:v>7990</x:v>
      </x:c>
      <x:c r="AD440" s="55" t="n">
        <x:v>3017</x:v>
      </x:c>
      <x:c r="AE440" s="55" t="n">
        <x:v>9835</x:v>
      </x:c>
      <x:c r="AF440" s="55" t="n">
        <x:v>9690</x:v>
      </x:c>
      <x:c r="AG440" s="55" t="n">
        <x:v>145</x:v>
      </x:c>
      <x:c r="AH440" s="55" t="n">
        <x:v>80</x:v>
      </x:c>
      <x:c r="AI440" s="55" t="n">
        <x:v>9610</x:v>
      </x:c>
      <x:c r="AJ440" s="55" t="n">
        <x:v>423</x:v>
      </x:c>
      <x:c r="AK440" s="55" t="n">
        <x:v>935</x:v>
      </x:c>
      <x:c r="AL440" s="55" t="n">
        <x:v>1613</x:v>
      </x:c>
      <x:c r="AM440" s="55" t="n">
        <x:v>4192</x:v>
      </x:c>
      <x:c r="AN440" s="55" t="n">
        <x:v>2527</x:v>
      </x:c>
      <x:c r="AO440" s="55" t="n">
        <x:v>0</x:v>
      </x:c>
      <x:c r="AP440" s="55" t="n">
        <x:v>1721</x:v>
      </x:c>
      <x:c r="AQ440" s="55" t="n">
        <x:v>937</x:v>
      </x:c>
    </x:row>
    <x:row r="441">
      <x:c r="A441" s="54" t="str">
        <x:v>T0_TABLE_BLOCK</x:v>
      </x:c>
      <x:c r="B441" s="54" t="n">
        <x:v>435</x:v>
      </x:c>
      <x:c r="C441" s="54" t="str">
        <x:v>NYC-V2-R01</x:v>
      </x:c>
      <x:c r="D441" s="54" t="str">
        <x:v>V2</x:v>
      </x:c>
      <x:c r="E441" s="54" t="str">
        <x:v>ADMITTED</x:v>
      </x:c>
      <x:c r="F441" s="55" t="n">
        <x:v>32103</x:v>
      </x:c>
      <x:c r="G441" s="55" t="n">
        <x:v>7282</x:v>
      </x:c>
      <x:c r="H441" s="55" t="n">
        <x:v>3647</x:v>
      </x:c>
      <x:c r="I441" s="55" t="n">
        <x:v>999</x:v>
      </x:c>
      <x:c r="J441" s="55" t="n">
        <x:v>251</x:v>
      </x:c>
      <x:c r="K441" s="55" t="n">
        <x:v>31027</x:v>
      </x:c>
      <x:c r="L441" s="55" t="n">
        <x:v>4755</x:v>
      </x:c>
      <x:c r="M441" s="55" t="n">
        <x:v>721</x:v>
      </x:c>
      <x:c r="N441" s="55" t="n">
        <x:v>2300</x:v>
      </x:c>
      <x:c r="O441" s="55" t="n">
        <x:v>1734</x:v>
      </x:c>
      <x:c r="P441" s="55" t="n">
        <x:v>965</x:v>
      </x:c>
      <x:c r="Q441" s="55" t="n">
        <x:v>1934</x:v>
      </x:c>
      <x:c r="R441" s="55" t="n">
        <x:v>1220</x:v>
      </x:c>
      <x:c r="S441" s="55" t="n">
        <x:v>2680</x:v>
      </x:c>
      <x:c r="T441" s="55" t="n">
        <x:v>1116</x:v>
      </x:c>
      <x:c r="U441" s="55" t="n">
        <x:v>2074</x:v>
      </x:c>
      <x:c r="V441" s="55" t="n">
        <x:v>11043</x:v>
      </x:c>
      <x:c r="W441" s="55" t="n">
        <x:v>7882</x:v>
      </x:c>
      <x:c r="X441" s="55" t="n">
        <x:v>3161</x:v>
      </x:c>
      <x:c r="Y441" s="55" t="n">
        <x:v>2928</x:v>
      </x:c>
      <x:c r="Z441" s="55" t="n">
        <x:v>4295</x:v>
      </x:c>
      <x:c r="AA441" s="55" t="n">
        <x:v>3647</x:v>
      </x:c>
      <x:c r="AB441" s="55" t="n">
        <x:v>1418</x:v>
      </x:c>
      <x:c r="AC441" s="55" t="n">
        <x:v>8227</x:v>
      </x:c>
      <x:c r="AD441" s="55" t="n">
        <x:v>2955</x:v>
      </x:c>
      <x:c r="AE441" s="55" t="n">
        <x:v>11155</x:v>
      </x:c>
      <x:c r="AF441" s="55" t="n">
        <x:v>11043</x:v>
      </x:c>
      <x:c r="AG441" s="55" t="n">
        <x:v>112</x:v>
      </x:c>
      <x:c r="AH441" s="55" t="n">
        <x:v>659</x:v>
      </x:c>
      <x:c r="AI441" s="55" t="n">
        <x:v>10384</x:v>
      </x:c>
      <x:c r="AJ441" s="55" t="n">
        <x:v>324</x:v>
      </x:c>
      <x:c r="AK441" s="55" t="n">
        <x:v>877</x:v>
      </x:c>
      <x:c r="AL441" s="55" t="n">
        <x:v>1516</x:v>
      </x:c>
      <x:c r="AM441" s="55" t="n">
        <x:v>5108</x:v>
      </x:c>
      <x:c r="AN441" s="55" t="n">
        <x:v>3176</x:v>
      </x:c>
      <x:c r="AO441" s="55" t="n">
        <x:v>42</x:v>
      </x:c>
      <x:c r="AP441" s="55" t="n">
        <x:v>1931</x:v>
      </x:c>
      <x:c r="AQ441" s="55" t="n">
        <x:v>937</x:v>
      </x:c>
    </x:row>
    <x:row r="442">
      <x:c r="A442" s="54" t="str">
        <x:v>T0_TABLE_BLOCK</x:v>
      </x:c>
      <x:c r="B442" s="54" t="n">
        <x:v>436</x:v>
      </x:c>
      <x:c r="C442" s="54" t="str">
        <x:v>NYC-V2-R01</x:v>
      </x:c>
      <x:c r="D442" s="54" t="str">
        <x:v>V2</x:v>
      </x:c>
      <x:c r="E442" s="54" t="str">
        <x:v>ADMITTED</x:v>
      </x:c>
      <x:c r="F442" s="55" t="n">
        <x:v>30250</x:v>
      </x:c>
      <x:c r="G442" s="55" t="n">
        <x:v>7914</x:v>
      </x:c>
      <x:c r="H442" s="55" t="n">
        <x:v>3292</x:v>
      </x:c>
      <x:c r="I442" s="55" t="n">
        <x:v>1211</x:v>
      </x:c>
      <x:c r="J442" s="55" t="n">
        <x:v>248</x:v>
      </x:c>
      <x:c r="K442" s="55" t="n">
        <x:v>29252</x:v>
      </x:c>
      <x:c r="L442" s="55" t="n">
        <x:v>6735</x:v>
      </x:c>
      <x:c r="M442" s="55" t="n">
        <x:v>1611</x:v>
      </x:c>
      <x:c r="N442" s="55" t="n">
        <x:v>3057</x:v>
      </x:c>
      <x:c r="O442" s="55" t="n">
        <x:v>2067</x:v>
      </x:c>
      <x:c r="P442" s="55" t="n">
        <x:v>811</x:v>
      </x:c>
      <x:c r="Q442" s="55" t="n">
        <x:v>1814</x:v>
      </x:c>
      <x:c r="R442" s="55" t="n">
        <x:v>2414</x:v>
      </x:c>
      <x:c r="S442" s="55" t="n">
        <x:v>2952</x:v>
      </x:c>
      <x:c r="T442" s="55" t="n">
        <x:v>1040</x:v>
      </x:c>
      <x:c r="U442" s="55" t="n">
        <x:v>1654</x:v>
      </x:c>
      <x:c r="V442" s="55" t="n">
        <x:v>10089</x:v>
      </x:c>
      <x:c r="W442" s="55" t="n">
        <x:v>7322</x:v>
      </x:c>
      <x:c r="X442" s="55" t="n">
        <x:v>2767</x:v>
      </x:c>
      <x:c r="Y442" s="55" t="n">
        <x:v>2244</x:v>
      </x:c>
      <x:c r="Z442" s="55" t="n">
        <x:v>3914</x:v>
      </x:c>
      <x:c r="AA442" s="55" t="n">
        <x:v>3117</x:v>
      </x:c>
      <x:c r="AB442" s="55" t="n">
        <x:v>1010</x:v>
      </x:c>
      <x:c r="AC442" s="55" t="n">
        <x:v>7472</x:v>
      </x:c>
      <x:c r="AD442" s="55" t="n">
        <x:v>2543</x:v>
      </x:c>
      <x:c r="AE442" s="55" t="n">
        <x:v>10266</x:v>
      </x:c>
      <x:c r="AF442" s="55" t="n">
        <x:v>10089</x:v>
      </x:c>
      <x:c r="AG442" s="55" t="n">
        <x:v>177</x:v>
      </x:c>
      <x:c r="AH442" s="55" t="n">
        <x:v>259</x:v>
      </x:c>
      <x:c r="AI442" s="55" t="n">
        <x:v>9830</x:v>
      </x:c>
      <x:c r="AJ442" s="55" t="n">
        <x:v>287</x:v>
      </x:c>
      <x:c r="AK442" s="55" t="n">
        <x:v>1126</x:v>
      </x:c>
      <x:c r="AL442" s="55" t="n">
        <x:v>1207</x:v>
      </x:c>
      <x:c r="AM442" s="55" t="n">
        <x:v>4450</x:v>
      </x:c>
      <x:c r="AN442" s="55" t="n">
        <x:v>2928</x:v>
      </x:c>
      <x:c r="AO442" s="55" t="n">
        <x:v>91</x:v>
      </x:c>
      <x:c r="AP442" s="55" t="n">
        <x:v>2775</x:v>
      </x:c>
      <x:c r="AQ442" s="55" t="n">
        <x:v>957</x:v>
      </x:c>
    </x:row>
    <x:row r="443">
      <x:c r="A443" s="54" t="str">
        <x:v>T0_TABLE_BLOCK</x:v>
      </x:c>
      <x:c r="B443" s="54" t="n">
        <x:v>437</x:v>
      </x:c>
      <x:c r="C443" s="54" t="str">
        <x:v>NYC-V2-R01</x:v>
      </x:c>
      <x:c r="D443" s="54" t="str">
        <x:v>V2</x:v>
      </x:c>
      <x:c r="E443" s="54" t="str">
        <x:v>ADMITTED</x:v>
      </x:c>
      <x:c r="F443" s="55" t="n">
        <x:v>32031</x:v>
      </x:c>
      <x:c r="G443" s="55" t="n">
        <x:v>6738</x:v>
      </x:c>
      <x:c r="H443" s="55" t="n">
        <x:v>3289</x:v>
      </x:c>
      <x:c r="I443" s="55" t="n">
        <x:v>1295</x:v>
      </x:c>
      <x:c r="J443" s="55" t="n">
        <x:v>192</x:v>
      </x:c>
      <x:c r="K443" s="55" t="n">
        <x:v>32031</x:v>
      </x:c>
      <x:c r="L443" s="55" t="n">
        <x:v>5794</x:v>
      </x:c>
      <x:c r="M443" s="55" t="n">
        <x:v>1300</x:v>
      </x:c>
      <x:c r="N443" s="55" t="n">
        <x:v>3117</x:v>
      </x:c>
      <x:c r="O443" s="55" t="n">
        <x:v>1377</x:v>
      </x:c>
      <x:c r="P443" s="55" t="n">
        <x:v>854</x:v>
      </x:c>
      <x:c r="Q443" s="55" t="n">
        <x:v>2414</x:v>
      </x:c>
      <x:c r="R443" s="55" t="n">
        <x:v>2279</x:v>
      </x:c>
      <x:c r="S443" s="55" t="n">
        <x:v>2567</x:v>
      </x:c>
      <x:c r="T443" s="55" t="n">
        <x:v>1671</x:v>
      </x:c>
      <x:c r="U443" s="55" t="n">
        <x:v>2092</x:v>
      </x:c>
      <x:c r="V443" s="55" t="n">
        <x:v>9844</x:v>
      </x:c>
      <x:c r="W443" s="55" t="n">
        <x:v>7070</x:v>
      </x:c>
      <x:c r="X443" s="55" t="n">
        <x:v>2774</x:v>
      </x:c>
      <x:c r="Y443" s="55" t="n">
        <x:v>2259</x:v>
      </x:c>
      <x:c r="Z443" s="55" t="n">
        <x:v>4356</x:v>
      </x:c>
      <x:c r="AA443" s="55" t="n">
        <x:v>2580</x:v>
      </x:c>
      <x:c r="AB443" s="55" t="n">
        <x:v>532</x:v>
      </x:c>
      <x:c r="AC443" s="55" t="n">
        <x:v>8355</x:v>
      </x:c>
      <x:c r="AD443" s="55" t="n">
        <x:v>3775</x:v>
      </x:c>
      <x:c r="AE443" s="55" t="n">
        <x:v>10041</x:v>
      </x:c>
      <x:c r="AF443" s="55" t="n">
        <x:v>9844</x:v>
      </x:c>
      <x:c r="AG443" s="55" t="n">
        <x:v>197</x:v>
      </x:c>
      <x:c r="AH443" s="55" t="n">
        <x:v>393</x:v>
      </x:c>
      <x:c r="AI443" s="55" t="n">
        <x:v>9451</x:v>
      </x:c>
      <x:c r="AJ443" s="55" t="n">
        <x:v>231</x:v>
      </x:c>
      <x:c r="AK443" s="55" t="n">
        <x:v>471</x:v>
      </x:c>
      <x:c r="AL443" s="55" t="n">
        <x:v>1411</x:v>
      </x:c>
      <x:c r="AM443" s="55" t="n">
        <x:v>5197</x:v>
      </x:c>
      <x:c r="AN443" s="55" t="n">
        <x:v>2534</x:v>
      </x:c>
      <x:c r="AO443" s="55" t="n">
        <x:v>0</x:v>
      </x:c>
      <x:c r="AP443" s="55" t="n">
        <x:v>2280</x:v>
      </x:c>
      <x:c r="AQ443" s="55" t="n">
        <x:v>973</x:v>
      </x:c>
    </x:row>
    <x:row r="444">
      <x:c r="A444" s="54" t="str">
        <x:v>T0_TABLE_BLOCK</x:v>
      </x:c>
      <x:c r="B444" s="54" t="n">
        <x:v>438</x:v>
      </x:c>
      <x:c r="C444" s="54" t="str">
        <x:v>NYC-V2-R01</x:v>
      </x:c>
      <x:c r="D444" s="54" t="str">
        <x:v>V2</x:v>
      </x:c>
      <x:c r="E444" s="54" t="str">
        <x:v>ADMITTED</x:v>
      </x:c>
      <x:c r="F444" s="55" t="n">
        <x:v>34666</x:v>
      </x:c>
      <x:c r="G444" s="55" t="n">
        <x:v>7603</x:v>
      </x:c>
      <x:c r="H444" s="55" t="n">
        <x:v>2930</x:v>
      </x:c>
      <x:c r="I444" s="55" t="n">
        <x:v>1212</x:v>
      </x:c>
      <x:c r="J444" s="55" t="n">
        <x:v>238</x:v>
      </x:c>
      <x:c r="K444" s="55" t="n">
        <x:v>34666</x:v>
      </x:c>
      <x:c r="L444" s="55" t="n">
        <x:v>6460</x:v>
      </x:c>
      <x:c r="M444" s="55" t="n">
        <x:v>1895</x:v>
      </x:c>
      <x:c r="N444" s="55" t="n">
        <x:v>2589</x:v>
      </x:c>
      <x:c r="O444" s="55" t="n">
        <x:v>1976</x:v>
      </x:c>
      <x:c r="P444" s="55" t="n">
        <x:v>759</x:v>
      </x:c>
      <x:c r="Q444" s="55" t="n">
        <x:v>2489</x:v>
      </x:c>
      <x:c r="R444" s="55" t="n">
        <x:v>2067</x:v>
      </x:c>
      <x:c r="S444" s="55" t="n">
        <x:v>3071</x:v>
      </x:c>
      <x:c r="T444" s="55" t="n">
        <x:v>1099</x:v>
      </x:c>
      <x:c r="U444" s="55" t="n">
        <x:v>1926</x:v>
      </x:c>
      <x:c r="V444" s="55" t="n">
        <x:v>11112</x:v>
      </x:c>
      <x:c r="W444" s="55" t="n">
        <x:v>8154</x:v>
      </x:c>
      <x:c r="X444" s="55" t="n">
        <x:v>2958</x:v>
      </x:c>
      <x:c r="Y444" s="55" t="n">
        <x:v>2343</x:v>
      </x:c>
      <x:c r="Z444" s="55" t="n">
        <x:v>3778</x:v>
      </x:c>
      <x:c r="AA444" s="55" t="n">
        <x:v>2916</x:v>
      </x:c>
      <x:c r="AB444" s="55" t="n">
        <x:v>1061</x:v>
      </x:c>
      <x:c r="AC444" s="55" t="n">
        <x:v>8493</x:v>
      </x:c>
      <x:c r="AD444" s="55" t="n">
        <x:v>3271</x:v>
      </x:c>
      <x:c r="AE444" s="55" t="n">
        <x:v>11112</x:v>
      </x:c>
      <x:c r="AF444" s="55" t="n">
        <x:v>11112</x:v>
      </x:c>
      <x:c r="AG444" s="55" t="n">
        <x:v>0</x:v>
      </x:c>
      <x:c r="AH444" s="55" t="n">
        <x:v>350</x:v>
      </x:c>
      <x:c r="AI444" s="55" t="n">
        <x:v>10762</x:v>
      </x:c>
      <x:c r="AJ444" s="55" t="n">
        <x:v>267</x:v>
      </x:c>
      <x:c r="AK444" s="55" t="n">
        <x:v>1091</x:v>
      </x:c>
      <x:c r="AL444" s="55" t="n">
        <x:v>1875</x:v>
      </x:c>
      <x:c r="AM444" s="55" t="n">
        <x:v>4584</x:v>
      </x:c>
      <x:c r="AN444" s="55" t="n">
        <x:v>3280</x:v>
      </x:c>
      <x:c r="AO444" s="55" t="n">
        <x:v>15</x:v>
      </x:c>
      <x:c r="AP444" s="55" t="n">
        <x:v>1728</x:v>
      </x:c>
      <x:c r="AQ444" s="55" t="n">
        <x:v>969</x:v>
      </x:c>
    </x:row>
    <x:row r="445">
      <x:c r="A445" s="54" t="str">
        <x:v>T0_TABLE_BLOCK</x:v>
      </x:c>
      <x:c r="B445" s="54" t="n">
        <x:v>439</x:v>
      </x:c>
      <x:c r="C445" s="54" t="str">
        <x:v>NYC-V2-R01</x:v>
      </x:c>
      <x:c r="D445" s="54" t="str">
        <x:v>V2</x:v>
      </x:c>
      <x:c r="E445" s="54" t="str">
        <x:v>ADMITTED</x:v>
      </x:c>
      <x:c r="F445" s="55" t="n">
        <x:v>33451</x:v>
      </x:c>
      <x:c r="G445" s="55" t="n">
        <x:v>7702</x:v>
      </x:c>
      <x:c r="H445" s="55" t="n">
        <x:v>3044</x:v>
      </x:c>
      <x:c r="I445" s="55" t="n">
        <x:v>903</x:v>
      </x:c>
      <x:c r="J445" s="55" t="n">
        <x:v>131</x:v>
      </x:c>
      <x:c r="K445" s="55" t="n">
        <x:v>33451</x:v>
      </x:c>
      <x:c r="L445" s="55" t="n">
        <x:v>7887</x:v>
      </x:c>
      <x:c r="M445" s="55" t="n">
        <x:v>2620</x:v>
      </x:c>
      <x:c r="N445" s="55" t="n">
        <x:v>3196</x:v>
      </x:c>
      <x:c r="O445" s="55" t="n">
        <x:v>2071</x:v>
      </x:c>
      <x:c r="P445" s="55" t="n">
        <x:v>701</x:v>
      </x:c>
      <x:c r="Q445" s="55" t="n">
        <x:v>3173</x:v>
      </x:c>
      <x:c r="R445" s="55" t="n">
        <x:v>1749</x:v>
      </x:c>
      <x:c r="S445" s="55" t="n">
        <x:v>3427</x:v>
      </x:c>
      <x:c r="T445" s="55" t="n">
        <x:v>1635</x:v>
      </x:c>
      <x:c r="U445" s="55" t="n">
        <x:v>1684</x:v>
      </x:c>
      <x:c r="V445" s="55" t="n">
        <x:v>9857</x:v>
      </x:c>
      <x:c r="W445" s="55" t="n">
        <x:v>6899</x:v>
      </x:c>
      <x:c r="X445" s="55" t="n">
        <x:v>2958</x:v>
      </x:c>
      <x:c r="Y445" s="55" t="n">
        <x:v>2690</x:v>
      </x:c>
      <x:c r="Z445" s="55" t="n">
        <x:v>3817</x:v>
      </x:c>
      <x:c r="AA445" s="55" t="n">
        <x:v>3044</x:v>
      </x:c>
      <x:c r="AB445" s="55" t="n">
        <x:v>1033</x:v>
      </x:c>
      <x:c r="AC445" s="55" t="n">
        <x:v>7364</x:v>
      </x:c>
      <x:c r="AD445" s="55" t="n">
        <x:v>2069</x:v>
      </x:c>
      <x:c r="AE445" s="55" t="n">
        <x:v>9989</x:v>
      </x:c>
      <x:c r="AF445" s="55" t="n">
        <x:v>9857</x:v>
      </x:c>
      <x:c r="AG445" s="55" t="n">
        <x:v>132</x:v>
      </x:c>
      <x:c r="AH445" s="55" t="n">
        <x:v>379</x:v>
      </x:c>
      <x:c r="AI445" s="55" t="n">
        <x:v>9478</x:v>
      </x:c>
      <x:c r="AJ445" s="55" t="n">
        <x:v>282</x:v>
      </x:c>
      <x:c r="AK445" s="55" t="n">
        <x:v>1304</x:v>
      </x:c>
      <x:c r="AL445" s="55" t="n">
        <x:v>1660</x:v>
      </x:c>
      <x:c r="AM445" s="55" t="n">
        <x:v>4496</x:v>
      </x:c>
      <x:c r="AN445" s="55" t="n">
        <x:v>2044</x:v>
      </x:c>
      <x:c r="AO445" s="55" t="n">
        <x:v>71</x:v>
      </x:c>
      <x:c r="AP445" s="55" t="n">
        <x:v>2095</x:v>
      </x:c>
      <x:c r="AQ445" s="55" t="n">
        <x:v>961</x:v>
      </x:c>
    </x:row>
    <x:row r="446">
      <x:c r="A446" s="54" t="str">
        <x:v>T0_TABLE_BLOCK</x:v>
      </x:c>
      <x:c r="B446" s="54" t="n">
        <x:v>440</x:v>
      </x:c>
      <x:c r="C446" s="54" t="str">
        <x:v>NYC-V2-R01</x:v>
      </x:c>
      <x:c r="D446" s="54" t="str">
        <x:v>V2</x:v>
      </x:c>
      <x:c r="E446" s="54" t="str">
        <x:v>ADMITTED</x:v>
      </x:c>
      <x:c r="F446" s="55" t="n">
        <x:v>30546</x:v>
      </x:c>
      <x:c r="G446" s="55" t="n">
        <x:v>7222</x:v>
      </x:c>
      <x:c r="H446" s="55" t="n">
        <x:v>3213</x:v>
      </x:c>
      <x:c r="I446" s="55" t="n">
        <x:v>1021</x:v>
      </x:c>
      <x:c r="J446" s="55" t="n">
        <x:v>289</x:v>
      </x:c>
      <x:c r="K446" s="55" t="n">
        <x:v>30546</x:v>
      </x:c>
      <x:c r="L446" s="55" t="n">
        <x:v>5351</x:v>
      </x:c>
      <x:c r="M446" s="55" t="n">
        <x:v>676</x:v>
      </x:c>
      <x:c r="N446" s="55" t="n">
        <x:v>2443</x:v>
      </x:c>
      <x:c r="O446" s="55" t="n">
        <x:v>2232</x:v>
      </x:c>
      <x:c r="P446" s="55" t="n">
        <x:v>618</x:v>
      </x:c>
      <x:c r="Q446" s="55" t="n">
        <x:v>2144</x:v>
      </x:c>
      <x:c r="R446" s="55" t="n">
        <x:v>860</x:v>
      </x:c>
      <x:c r="S446" s="55" t="n">
        <x:v>2622</x:v>
      </x:c>
      <x:c r="T446" s="55" t="n">
        <x:v>1316</x:v>
      </x:c>
      <x:c r="U446" s="55" t="n">
        <x:v>1765</x:v>
      </x:c>
      <x:c r="V446" s="55" t="n">
        <x:v>10881</x:v>
      </x:c>
      <x:c r="W446" s="55" t="n">
        <x:v>8060</x:v>
      </x:c>
      <x:c r="X446" s="55" t="n">
        <x:v>2821</x:v>
      </x:c>
      <x:c r="Y446" s="55" t="n">
        <x:v>2266</x:v>
      </x:c>
      <x:c r="Z446" s="55" t="n">
        <x:v>4188</x:v>
      </x:c>
      <x:c r="AA446" s="55" t="n">
        <x:v>3213</x:v>
      </x:c>
      <x:c r="AB446" s="55" t="n">
        <x:v>1124</x:v>
      </x:c>
      <x:c r="AC446" s="55" t="n">
        <x:v>8200</x:v>
      </x:c>
      <x:c r="AD446" s="55" t="n">
        <x:v>3277</x:v>
      </x:c>
      <x:c r="AE446" s="55" t="n">
        <x:v>10945</x:v>
      </x:c>
      <x:c r="AF446" s="55" t="n">
        <x:v>10881</x:v>
      </x:c>
      <x:c r="AG446" s="55" t="n">
        <x:v>64</x:v>
      </x:c>
      <x:c r="AH446" s="55" t="n">
        <x:v>631</x:v>
      </x:c>
      <x:c r="AI446" s="55" t="n">
        <x:v>10250</x:v>
      </x:c>
      <x:c r="AJ446" s="55" t="n">
        <x:v>571</x:v>
      </x:c>
      <x:c r="AK446" s="55" t="n">
        <x:v>1007</x:v>
      </x:c>
      <x:c r="AL446" s="55" t="n">
        <x:v>1616</x:v>
      </x:c>
      <x:c r="AM446" s="55" t="n">
        <x:v>4952</x:v>
      </x:c>
      <x:c r="AN446" s="55" t="n">
        <x:v>2735</x:v>
      </x:c>
      <x:c r="AO446" s="55" t="n">
        <x:v>0</x:v>
      </x:c>
      <x:c r="AP446" s="55" t="n">
        <x:v>2332</x:v>
      </x:c>
      <x:c r="AQ446" s="55" t="n">
        <x:v>977</x:v>
      </x:c>
    </x:row>
    <x:row r="447">
      <x:c r="A447" s="54" t="str">
        <x:v>T0_TABLE_BLOCK</x:v>
      </x:c>
      <x:c r="B447" s="54" t="n">
        <x:v>441</x:v>
      </x:c>
      <x:c r="C447" s="54" t="str">
        <x:v>NYC-V2-R01</x:v>
      </x:c>
      <x:c r="D447" s="54" t="str">
        <x:v>V2</x:v>
      </x:c>
      <x:c r="E447" s="54" t="str">
        <x:v>ADMITTED</x:v>
      </x:c>
      <x:c r="F447" s="55" t="n">
        <x:v>30305</x:v>
      </x:c>
      <x:c r="G447" s="55" t="n">
        <x:v>6715</x:v>
      </x:c>
      <x:c r="H447" s="55" t="n">
        <x:v>2993</x:v>
      </x:c>
      <x:c r="I447" s="55" t="n">
        <x:v>1315</x:v>
      </x:c>
      <x:c r="J447" s="55" t="n">
        <x:v>152</x:v>
      </x:c>
      <x:c r="K447" s="55" t="n">
        <x:v>30305</x:v>
      </x:c>
      <x:c r="L447" s="55" t="n">
        <x:v>6063</x:v>
      </x:c>
      <x:c r="M447" s="55" t="n">
        <x:v>1003</x:v>
      </x:c>
      <x:c r="N447" s="55" t="n">
        <x:v>2809</x:v>
      </x:c>
      <x:c r="O447" s="55" t="n">
        <x:v>2251</x:v>
      </x:c>
      <x:c r="P447" s="55" t="n">
        <x:v>822</x:v>
      </x:c>
      <x:c r="Q447" s="55" t="n">
        <x:v>3246</x:v>
      </x:c>
      <x:c r="R447" s="55" t="n">
        <x:v>1735</x:v>
      </x:c>
      <x:c r="S447" s="55" t="n">
        <x:v>2777</x:v>
      </x:c>
      <x:c r="T447" s="55" t="n">
        <x:v>949</x:v>
      </x:c>
      <x:c r="U447" s="55" t="n">
        <x:v>2045</x:v>
      </x:c>
      <x:c r="V447" s="55" t="n">
        <x:v>10908</x:v>
      </x:c>
      <x:c r="W447" s="55" t="n">
        <x:v>8019</x:v>
      </x:c>
      <x:c r="X447" s="55" t="n">
        <x:v>2889</x:v>
      </x:c>
      <x:c r="Y447" s="55" t="n">
        <x:v>2586</x:v>
      </x:c>
      <x:c r="Z447" s="55" t="n">
        <x:v>4305</x:v>
      </x:c>
      <x:c r="AA447" s="55" t="n">
        <x:v>2695</x:v>
      </x:c>
      <x:c r="AB447" s="55" t="n">
        <x:v>1342</x:v>
      </x:c>
      <x:c r="AC447" s="55" t="n">
        <x:v>8053</x:v>
      </x:c>
      <x:c r="AD447" s="55" t="n">
        <x:v>3075</x:v>
      </x:c>
      <x:c r="AE447" s="55" t="n">
        <x:v>10953</x:v>
      </x:c>
      <x:c r="AF447" s="55" t="n">
        <x:v>10908</x:v>
      </x:c>
      <x:c r="AG447" s="55" t="n">
        <x:v>45</x:v>
      </x:c>
      <x:c r="AH447" s="55" t="n">
        <x:v>399</x:v>
      </x:c>
      <x:c r="AI447" s="55" t="n">
        <x:v>10509</x:v>
      </x:c>
      <x:c r="AJ447" s="55" t="n">
        <x:v>415</x:v>
      </x:c>
      <x:c r="AK447" s="55" t="n">
        <x:v>1336</x:v>
      </x:c>
      <x:c r="AL447" s="55" t="n">
        <x:v>1545</x:v>
      </x:c>
      <x:c r="AM447" s="55" t="n">
        <x:v>5033</x:v>
      </x:c>
      <x:c r="AN447" s="55" t="n">
        <x:v>2579</x:v>
      </x:c>
      <x:c r="AO447" s="55" t="n">
        <x:v>0</x:v>
      </x:c>
      <x:c r="AP447" s="55" t="n">
        <x:v>1876</x:v>
      </x:c>
      <x:c r="AQ447" s="55" t="n">
        <x:v>935</x:v>
      </x:c>
    </x:row>
    <x:row r="448">
      <x:c r="A448" s="54" t="str">
        <x:v>T0_TABLE_BLOCK</x:v>
      </x:c>
      <x:c r="B448" s="54" t="n">
        <x:v>442</x:v>
      </x:c>
      <x:c r="C448" s="54" t="str">
        <x:v>NYC-V2-R01</x:v>
      </x:c>
      <x:c r="D448" s="54" t="str">
        <x:v>V2</x:v>
      </x:c>
      <x:c r="E448" s="54" t="str">
        <x:v>ADMITTED</x:v>
      </x:c>
      <x:c r="F448" s="55" t="n">
        <x:v>28737</x:v>
      </x:c>
      <x:c r="G448" s="55" t="n">
        <x:v>6344</x:v>
      </x:c>
      <x:c r="H448" s="55" t="n">
        <x:v>4023</x:v>
      </x:c>
      <x:c r="I448" s="55" t="n">
        <x:v>1825</x:v>
      </x:c>
      <x:c r="J448" s="55" t="n">
        <x:v>335</x:v>
      </x:c>
      <x:c r="K448" s="55" t="n">
        <x:v>28737</x:v>
      </x:c>
      <x:c r="L448" s="55" t="n">
        <x:v>5142</x:v>
      </x:c>
      <x:c r="M448" s="55" t="n">
        <x:v>1687</x:v>
      </x:c>
      <x:c r="N448" s="55" t="n">
        <x:v>2284</x:v>
      </x:c>
      <x:c r="O448" s="55" t="n">
        <x:v>1171</x:v>
      </x:c>
      <x:c r="P448" s="55" t="n">
        <x:v>1161</x:v>
      </x:c>
      <x:c r="Q448" s="55" t="n">
        <x:v>1916</x:v>
      </x:c>
      <x:c r="R448" s="55" t="n">
        <x:v>1910</x:v>
      </x:c>
      <x:c r="S448" s="55" t="n">
        <x:v>1982</x:v>
      </x:c>
      <x:c r="T448" s="55" t="n">
        <x:v>1271</x:v>
      </x:c>
      <x:c r="U448" s="55" t="n">
        <x:v>1557</x:v>
      </x:c>
      <x:c r="V448" s="55" t="n">
        <x:v>10646</x:v>
      </x:c>
      <x:c r="W448" s="55" t="n">
        <x:v>7649</x:v>
      </x:c>
      <x:c r="X448" s="55" t="n">
        <x:v>2997</x:v>
      </x:c>
      <x:c r="Y448" s="55" t="n">
        <x:v>2653</x:v>
      </x:c>
      <x:c r="Z448" s="55" t="n">
        <x:v>3632</x:v>
      </x:c>
      <x:c r="AA448" s="55" t="n">
        <x:v>3612</x:v>
      </x:c>
      <x:c r="AB448" s="55" t="n">
        <x:v>1395</x:v>
      </x:c>
      <x:c r="AC448" s="55" t="n">
        <x:v>7707</x:v>
      </x:c>
      <x:c r="AD448" s="55" t="n">
        <x:v>3434</x:v>
      </x:c>
      <x:c r="AE448" s="55" t="n">
        <x:v>10663</x:v>
      </x:c>
      <x:c r="AF448" s="55" t="n">
        <x:v>10646</x:v>
      </x:c>
      <x:c r="AG448" s="55" t="n">
        <x:v>17</x:v>
      </x:c>
      <x:c r="AH448" s="55" t="n">
        <x:v>449</x:v>
      </x:c>
      <x:c r="AI448" s="55" t="n">
        <x:v>10197</x:v>
      </x:c>
      <x:c r="AJ448" s="55" t="n">
        <x:v>164</x:v>
      </x:c>
      <x:c r="AK448" s="55" t="n">
        <x:v>828</x:v>
      </x:c>
      <x:c r="AL448" s="55" t="n">
        <x:v>1482</x:v>
      </x:c>
      <x:c r="AM448" s="55" t="n">
        <x:v>5296</x:v>
      </x:c>
      <x:c r="AN448" s="55" t="n">
        <x:v>2876</x:v>
      </x:c>
      <x:c r="AO448" s="55" t="n">
        <x:v>0</x:v>
      </x:c>
      <x:c r="AP448" s="55" t="n">
        <x:v>2101</x:v>
      </x:c>
      <x:c r="AQ448" s="55" t="n">
        <x:v>941</x:v>
      </x:c>
    </x:row>
    <x:row r="449">
      <x:c r="A449" s="54" t="str">
        <x:v>T0_TABLE_BLOCK</x:v>
      </x:c>
      <x:c r="B449" s="54" t="n">
        <x:v>443</x:v>
      </x:c>
      <x:c r="C449" s="54" t="str">
        <x:v>NYC-V2-R01</x:v>
      </x:c>
      <x:c r="D449" s="54" t="str">
        <x:v>V2</x:v>
      </x:c>
      <x:c r="E449" s="54" t="str">
        <x:v>ADMITTED</x:v>
      </x:c>
      <x:c r="F449" s="55" t="n">
        <x:v>30801</x:v>
      </x:c>
      <x:c r="G449" s="55" t="n">
        <x:v>7612</x:v>
      </x:c>
      <x:c r="H449" s="55" t="n">
        <x:v>3309</x:v>
      </x:c>
      <x:c r="I449" s="55" t="n">
        <x:v>1202</x:v>
      </x:c>
      <x:c r="J449" s="55" t="n">
        <x:v>84</x:v>
      </x:c>
      <x:c r="K449" s="55" t="n">
        <x:v>28696</x:v>
      </x:c>
      <x:c r="L449" s="55" t="n">
        <x:v>4694</x:v>
      </x:c>
      <x:c r="M449" s="55" t="n">
        <x:v>53</x:v>
      </x:c>
      <x:c r="N449" s="55" t="n">
        <x:v>3193</x:v>
      </x:c>
      <x:c r="O449" s="55" t="n">
        <x:v>1448</x:v>
      </x:c>
      <x:c r="P449" s="55" t="n">
        <x:v>879</x:v>
      </x:c>
      <x:c r="Q449" s="55" t="n">
        <x:v>2674</x:v>
      </x:c>
      <x:c r="R449" s="55" t="n">
        <x:v>1829</x:v>
      </x:c>
      <x:c r="S449" s="55" t="n">
        <x:v>2592</x:v>
      </x:c>
      <x:c r="T449" s="55" t="n">
        <x:v>1509</x:v>
      </x:c>
      <x:c r="U449" s="55" t="n">
        <x:v>1938</x:v>
      </x:c>
      <x:c r="V449" s="55" t="n">
        <x:v>10697</x:v>
      </x:c>
      <x:c r="W449" s="55" t="n">
        <x:v>7468</x:v>
      </x:c>
      <x:c r="X449" s="55" t="n">
        <x:v>3229</x:v>
      </x:c>
      <x:c r="Y449" s="55" t="n">
        <x:v>2862</x:v>
      </x:c>
      <x:c r="Z449" s="55" t="n">
        <x:v>3715</x:v>
      </x:c>
      <x:c r="AA449" s="55" t="n">
        <x:v>2711</x:v>
      </x:c>
      <x:c r="AB449" s="55" t="n">
        <x:v>549</x:v>
      </x:c>
      <x:c r="AC449" s="55" t="n">
        <x:v>8790</x:v>
      </x:c>
      <x:c r="AD449" s="55" t="n">
        <x:v>3047</x:v>
      </x:c>
      <x:c r="AE449" s="55" t="n">
        <x:v>10764</x:v>
      </x:c>
      <x:c r="AF449" s="55" t="n">
        <x:v>10697</x:v>
      </x:c>
      <x:c r="AG449" s="55" t="n">
        <x:v>67</x:v>
      </x:c>
      <x:c r="AH449" s="55" t="n">
        <x:v>391</x:v>
      </x:c>
      <x:c r="AI449" s="55" t="n">
        <x:v>10306</x:v>
      </x:c>
      <x:c r="AJ449" s="55" t="n">
        <x:v>246</x:v>
      </x:c>
      <x:c r="AK449" s="55" t="n">
        <x:v>1111</x:v>
      </x:c>
      <x:c r="AL449" s="55" t="n">
        <x:v>1688</x:v>
      </x:c>
      <x:c r="AM449" s="55" t="n">
        <x:v>4973</x:v>
      </x:c>
      <x:c r="AN449" s="55" t="n">
        <x:v>2646</x:v>
      </x:c>
      <x:c r="AO449" s="55" t="n">
        <x:v>33</x:v>
      </x:c>
      <x:c r="AP449" s="55" t="n">
        <x:v>2141</x:v>
      </x:c>
      <x:c r="AQ449" s="55" t="n">
        <x:v>954</x:v>
      </x:c>
    </x:row>
    <x:row r="450">
      <x:c r="A450" s="54" t="str">
        <x:v>T0_TABLE_BLOCK</x:v>
      </x:c>
      <x:c r="B450" s="54" t="n">
        <x:v>444</x:v>
      </x:c>
      <x:c r="C450" s="54" t="str">
        <x:v>NYC-V2-R01</x:v>
      </x:c>
      <x:c r="D450" s="54" t="str">
        <x:v>V2</x:v>
      </x:c>
      <x:c r="E450" s="54" t="str">
        <x:v>ADMITTED</x:v>
      </x:c>
      <x:c r="F450" s="55" t="n">
        <x:v>31761</x:v>
      </x:c>
      <x:c r="G450" s="55" t="n">
        <x:v>8933</x:v>
      </x:c>
      <x:c r="H450" s="55" t="n">
        <x:v>3308</x:v>
      </x:c>
      <x:c r="I450" s="55" t="n">
        <x:v>1680</x:v>
      </x:c>
      <x:c r="J450" s="55" t="n">
        <x:v>370</x:v>
      </x:c>
      <x:c r="K450" s="55" t="n">
        <x:v>29296</x:v>
      </x:c>
      <x:c r="L450" s="55" t="n">
        <x:v>5558</x:v>
      </x:c>
      <x:c r="M450" s="55" t="n">
        <x:v>1589</x:v>
      </x:c>
      <x:c r="N450" s="55" t="n">
        <x:v>2860</x:v>
      </x:c>
      <x:c r="O450" s="55" t="n">
        <x:v>1109</x:v>
      </x:c>
      <x:c r="P450" s="55" t="n">
        <x:v>553</x:v>
      </x:c>
      <x:c r="Q450" s="55" t="n">
        <x:v>1851</x:v>
      </x:c>
      <x:c r="R450" s="55" t="n">
        <x:v>1969</x:v>
      </x:c>
      <x:c r="S450" s="55" t="n">
        <x:v>2632</x:v>
      </x:c>
      <x:c r="T450" s="55" t="n">
        <x:v>1493</x:v>
      </x:c>
      <x:c r="U450" s="55" t="n">
        <x:v>1891</x:v>
      </x:c>
      <x:c r="V450" s="55" t="n">
        <x:v>10772</x:v>
      </x:c>
      <x:c r="W450" s="55" t="n">
        <x:v>7827</x:v>
      </x:c>
      <x:c r="X450" s="55" t="n">
        <x:v>2945</x:v>
      </x:c>
      <x:c r="Y450" s="55" t="n">
        <x:v>2529</x:v>
      </x:c>
      <x:c r="Z450" s="55" t="n">
        <x:v>4168</x:v>
      </x:c>
      <x:c r="AA450" s="55" t="n">
        <x:v>3308</x:v>
      </x:c>
      <x:c r="AB450" s="55" t="n">
        <x:v>1421</x:v>
      </x:c>
      <x:c r="AC450" s="55" t="n">
        <x:v>8417</x:v>
      </x:c>
      <x:c r="AD450" s="55" t="n">
        <x:v>3243</x:v>
      </x:c>
      <x:c r="AE450" s="55" t="n">
        <x:v>10903</x:v>
      </x:c>
      <x:c r="AF450" s="55" t="n">
        <x:v>10772</x:v>
      </x:c>
      <x:c r="AG450" s="55" t="n">
        <x:v>131</x:v>
      </x:c>
      <x:c r="AH450" s="55" t="n">
        <x:v>457</x:v>
      </x:c>
      <x:c r="AI450" s="55" t="n">
        <x:v>10315</x:v>
      </x:c>
      <x:c r="AJ450" s="55" t="n">
        <x:v>395</x:v>
      </x:c>
      <x:c r="AK450" s="55" t="n">
        <x:v>1160</x:v>
      </x:c>
      <x:c r="AL450" s="55" t="n">
        <x:v>1002</x:v>
      </x:c>
      <x:c r="AM450" s="55" t="n">
        <x:v>5403</x:v>
      </x:c>
      <x:c r="AN450" s="55" t="n">
        <x:v>2790</x:v>
      </x:c>
      <x:c r="AO450" s="55" t="n">
        <x:v>22</x:v>
      </x:c>
      <x:c r="AP450" s="55" t="n">
        <x:v>2221</x:v>
      </x:c>
      <x:c r="AQ450" s="55" t="n">
        <x:v>1018</x:v>
      </x:c>
    </x:row>
    <x:row r="451">
      <x:c r="A451" s="54" t="str">
        <x:v>T0_TABLE_BLOCK</x:v>
      </x:c>
      <x:c r="B451" s="54" t="n">
        <x:v>445</x:v>
      </x:c>
      <x:c r="C451" s="54" t="str">
        <x:v>NYC-V2-R01</x:v>
      </x:c>
      <x:c r="D451" s="54" t="str">
        <x:v>V2</x:v>
      </x:c>
      <x:c r="E451" s="54" t="str">
        <x:v>ADMITTED</x:v>
      </x:c>
      <x:c r="F451" s="55" t="n">
        <x:v>31041</x:v>
      </x:c>
      <x:c r="G451" s="55" t="n">
        <x:v>5892</x:v>
      </x:c>
      <x:c r="H451" s="55" t="n">
        <x:v>3777</x:v>
      </x:c>
      <x:c r="I451" s="55" t="n">
        <x:v>1633</x:v>
      </x:c>
      <x:c r="J451" s="55" t="n">
        <x:v>260</x:v>
      </x:c>
      <x:c r="K451" s="55" t="n">
        <x:v>31041</x:v>
      </x:c>
      <x:c r="L451" s="55" t="n">
        <x:v>6877</x:v>
      </x:c>
      <x:c r="M451" s="55" t="n">
        <x:v>2029</x:v>
      </x:c>
      <x:c r="N451" s="55" t="n">
        <x:v>2584</x:v>
      </x:c>
      <x:c r="O451" s="55" t="n">
        <x:v>2264</x:v>
      </x:c>
      <x:c r="P451" s="55" t="n">
        <x:v>863</x:v>
      </x:c>
      <x:c r="Q451" s="55" t="n">
        <x:v>2160</x:v>
      </x:c>
      <x:c r="R451" s="55" t="n">
        <x:v>2220</x:v>
      </x:c>
      <x:c r="S451" s="55" t="n">
        <x:v>3014</x:v>
      </x:c>
      <x:c r="T451" s="55" t="n">
        <x:v>1126</x:v>
      </x:c>
      <x:c r="U451" s="55" t="n">
        <x:v>1901</x:v>
      </x:c>
      <x:c r="V451" s="55" t="n">
        <x:v>10538</x:v>
      </x:c>
      <x:c r="W451" s="55" t="n">
        <x:v>7702</x:v>
      </x:c>
      <x:c r="X451" s="55" t="n">
        <x:v>2836</x:v>
      </x:c>
      <x:c r="Y451" s="55" t="n">
        <x:v>2473</x:v>
      </x:c>
      <x:c r="Z451" s="55" t="n">
        <x:v>3647</x:v>
      </x:c>
      <x:c r="AA451" s="55" t="n">
        <x:v>3259</x:v>
      </x:c>
      <x:c r="AB451" s="55" t="n">
        <x:v>1260</x:v>
      </x:c>
      <x:c r="AC451" s="55" t="n">
        <x:v>7944</x:v>
      </x:c>
      <x:c r="AD451" s="55" t="n">
        <x:v>2756</x:v>
      </x:c>
      <x:c r="AE451" s="55" t="n">
        <x:v>10599</x:v>
      </x:c>
      <x:c r="AF451" s="55" t="n">
        <x:v>10538</x:v>
      </x:c>
      <x:c r="AG451" s="55" t="n">
        <x:v>61</x:v>
      </x:c>
      <x:c r="AH451" s="55" t="n">
        <x:v>499</x:v>
      </x:c>
      <x:c r="AI451" s="55" t="n">
        <x:v>10039</x:v>
      </x:c>
      <x:c r="AJ451" s="55" t="n">
        <x:v>266</x:v>
      </x:c>
      <x:c r="AK451" s="55" t="n">
        <x:v>1057</x:v>
      </x:c>
      <x:c r="AL451" s="55" t="n">
        <x:v>1534</x:v>
      </x:c>
      <x:c r="AM451" s="55" t="n">
        <x:v>5449</x:v>
      </x:c>
      <x:c r="AN451" s="55" t="n">
        <x:v>2189</x:v>
      </x:c>
      <x:c r="AO451" s="55" t="n">
        <x:v>43</x:v>
      </x:c>
      <x:c r="AP451" s="55" t="n">
        <x:v>2116</x:v>
      </x:c>
      <x:c r="AQ451" s="55" t="n">
        <x:v>950</x:v>
      </x:c>
    </x:row>
    <x:row r="452">
      <x:c r="A452" s="54" t="str">
        <x:v>T0_TABLE_BLOCK</x:v>
      </x:c>
      <x:c r="B452" s="54" t="n">
        <x:v>446</x:v>
      </x:c>
      <x:c r="C452" s="54" t="str">
        <x:v>NYC-V2-R01</x:v>
      </x:c>
      <x:c r="D452" s="54" t="str">
        <x:v>V2</x:v>
      </x:c>
      <x:c r="E452" s="54" t="str">
        <x:v>ADMITTED</x:v>
      </x:c>
      <x:c r="F452" s="55" t="n">
        <x:v>30454</x:v>
      </x:c>
      <x:c r="G452" s="55" t="n">
        <x:v>8213</x:v>
      </x:c>
      <x:c r="H452" s="55" t="n">
        <x:v>3379</x:v>
      </x:c>
      <x:c r="I452" s="55" t="n">
        <x:v>1221</x:v>
      </x:c>
      <x:c r="J452" s="55" t="n">
        <x:v>214</x:v>
      </x:c>
      <x:c r="K452" s="55" t="n">
        <x:v>30304</x:v>
      </x:c>
      <x:c r="L452" s="55" t="n">
        <x:v>6818</x:v>
      </x:c>
      <x:c r="M452" s="55" t="n">
        <x:v>2181</x:v>
      </x:c>
      <x:c r="N452" s="55" t="n">
        <x:v>2978</x:v>
      </x:c>
      <x:c r="O452" s="55" t="n">
        <x:v>1659</x:v>
      </x:c>
      <x:c r="P452" s="55" t="n">
        <x:v>682</x:v>
      </x:c>
      <x:c r="Q452" s="55" t="n">
        <x:v>868</x:v>
      </x:c>
      <x:c r="R452" s="55" t="n">
        <x:v>2784</x:v>
      </x:c>
      <x:c r="S452" s="55" t="n">
        <x:v>2644</x:v>
      </x:c>
      <x:c r="T452" s="55" t="n">
        <x:v>1212</x:v>
      </x:c>
      <x:c r="U452" s="55" t="n">
        <x:v>2403</x:v>
      </x:c>
      <x:c r="V452" s="55" t="n">
        <x:v>10529</x:v>
      </x:c>
      <x:c r="W452" s="55" t="n">
        <x:v>7632</x:v>
      </x:c>
      <x:c r="X452" s="55" t="n">
        <x:v>2897</x:v>
      </x:c>
      <x:c r="Y452" s="55" t="n">
        <x:v>2547</x:v>
      </x:c>
      <x:c r="Z452" s="55" t="n">
        <x:v>3411</x:v>
      </x:c>
      <x:c r="AA452" s="55" t="n">
        <x:v>3379</x:v>
      </x:c>
      <x:c r="AB452" s="55" t="n">
        <x:v>1632</x:v>
      </x:c>
      <x:c r="AC452" s="55" t="n">
        <x:v>8557</x:v>
      </x:c>
      <x:c r="AD452" s="55" t="n">
        <x:v>2694</x:v>
      </x:c>
      <x:c r="AE452" s="55" t="n">
        <x:v>10599</x:v>
      </x:c>
      <x:c r="AF452" s="55" t="n">
        <x:v>10529</x:v>
      </x:c>
      <x:c r="AG452" s="55" t="n">
        <x:v>70</x:v>
      </x:c>
      <x:c r="AH452" s="55" t="n">
        <x:v>478</x:v>
      </x:c>
      <x:c r="AI452" s="55" t="n">
        <x:v>10051</x:v>
      </x:c>
      <x:c r="AJ452" s="55" t="n">
        <x:v>0</x:v>
      </x:c>
      <x:c r="AK452" s="55" t="n">
        <x:v>1528</x:v>
      </x:c>
      <x:c r="AL452" s="55" t="n">
        <x:v>1845</x:v>
      </x:c>
      <x:c r="AM452" s="55" t="n">
        <x:v>4868</x:v>
      </x:c>
      <x:c r="AN452" s="55" t="n">
        <x:v>2274</x:v>
      </x:c>
      <x:c r="AO452" s="55" t="n">
        <x:v>14</x:v>
      </x:c>
      <x:c r="AP452" s="55" t="n">
        <x:v>2068</x:v>
      </x:c>
      <x:c r="AQ452" s="55" t="n">
        <x:v>906</x:v>
      </x:c>
    </x:row>
    <x:row r="453">
      <x:c r="A453" s="54" t="str">
        <x:v>T0_TABLE_BLOCK</x:v>
      </x:c>
      <x:c r="B453" s="54" t="n">
        <x:v>447</x:v>
      </x:c>
      <x:c r="C453" s="54" t="str">
        <x:v>NYC-V2-R01</x:v>
      </x:c>
      <x:c r="D453" s="54" t="str">
        <x:v>V2</x:v>
      </x:c>
      <x:c r="E453" s="54" t="str">
        <x:v>ADMITTED</x:v>
      </x:c>
      <x:c r="F453" s="55" t="n">
        <x:v>30931</x:v>
      </x:c>
      <x:c r="G453" s="55" t="n">
        <x:v>7722</x:v>
      </x:c>
      <x:c r="H453" s="55" t="n">
        <x:v>3094</x:v>
      </x:c>
      <x:c r="I453" s="55" t="n">
        <x:v>968</x:v>
      </x:c>
      <x:c r="J453" s="55" t="n">
        <x:v>278</x:v>
      </x:c>
      <x:c r="K453" s="55" t="n">
        <x:v>30931</x:v>
      </x:c>
      <x:c r="L453" s="55" t="n">
        <x:v>6415</x:v>
      </x:c>
      <x:c r="M453" s="55" t="n">
        <x:v>1706</x:v>
      </x:c>
      <x:c r="N453" s="55" t="n">
        <x:v>2913</x:v>
      </x:c>
      <x:c r="O453" s="55" t="n">
        <x:v>1796</x:v>
      </x:c>
      <x:c r="P453" s="55" t="n">
        <x:v>889</x:v>
      </x:c>
      <x:c r="Q453" s="55" t="n">
        <x:v>2095</x:v>
      </x:c>
      <x:c r="R453" s="55" t="n">
        <x:v>2086</x:v>
      </x:c>
      <x:c r="S453" s="55" t="n">
        <x:v>3055</x:v>
      </x:c>
      <x:c r="T453" s="55" t="n">
        <x:v>1224</x:v>
      </x:c>
      <x:c r="U453" s="55" t="n">
        <x:v>1334</x:v>
      </x:c>
      <x:c r="V453" s="55" t="n">
        <x:v>10757</x:v>
      </x:c>
      <x:c r="W453" s="55" t="n">
        <x:v>7552</x:v>
      </x:c>
      <x:c r="X453" s="55" t="n">
        <x:v>3205</x:v>
      </x:c>
      <x:c r="Y453" s="55" t="n">
        <x:v>2729</x:v>
      </x:c>
      <x:c r="Z453" s="55" t="n">
        <x:v>4001</x:v>
      </x:c>
      <x:c r="AA453" s="55" t="n">
        <x:v>3005</x:v>
      </x:c>
      <x:c r="AB453" s="55" t="n">
        <x:v>981</x:v>
      </x:c>
      <x:c r="AC453" s="55" t="n">
        <x:v>7890</x:v>
      </x:c>
      <x:c r="AD453" s="55" t="n">
        <x:v>3309</x:v>
      </x:c>
      <x:c r="AE453" s="55" t="n">
        <x:v>10867</x:v>
      </x:c>
      <x:c r="AF453" s="55" t="n">
        <x:v>10757</x:v>
      </x:c>
      <x:c r="AG453" s="55" t="n">
        <x:v>110</x:v>
      </x:c>
      <x:c r="AH453" s="55" t="n">
        <x:v>274</x:v>
      </x:c>
      <x:c r="AI453" s="55" t="n">
        <x:v>10483</x:v>
      </x:c>
      <x:c r="AJ453" s="55" t="n">
        <x:v>283</x:v>
      </x:c>
      <x:c r="AK453" s="55" t="n">
        <x:v>856</x:v>
      </x:c>
      <x:c r="AL453" s="55" t="n">
        <x:v>1910</x:v>
      </x:c>
      <x:c r="AM453" s="55" t="n">
        <x:v>4960</x:v>
      </x:c>
      <x:c r="AN453" s="55" t="n">
        <x:v>2631</x:v>
      </x:c>
      <x:c r="AO453" s="55" t="n">
        <x:v>117</x:v>
      </x:c>
      <x:c r="AP453" s="55" t="n">
        <x:v>2844</x:v>
      </x:c>
      <x:c r="AQ453" s="55" t="n">
        <x:v>971</x:v>
      </x:c>
    </x:row>
    <x:row r="454">
      <x:c r="A454" s="54" t="str">
        <x:v>T0_TABLE_BLOCK</x:v>
      </x:c>
      <x:c r="B454" s="54" t="n">
        <x:v>448</x:v>
      </x:c>
      <x:c r="C454" s="54" t="str">
        <x:v>NYC-V2-R01</x:v>
      </x:c>
      <x:c r="D454" s="54" t="str">
        <x:v>V2</x:v>
      </x:c>
      <x:c r="E454" s="54" t="str">
        <x:v>ADMITTED</x:v>
      </x:c>
      <x:c r="F454" s="55" t="n">
        <x:v>32879</x:v>
      </x:c>
      <x:c r="G454" s="55" t="n">
        <x:v>8546</x:v>
      </x:c>
      <x:c r="H454" s="55" t="n">
        <x:v>2988</x:v>
      </x:c>
      <x:c r="I454" s="55" t="n">
        <x:v>1253</x:v>
      </x:c>
      <x:c r="J454" s="55" t="n">
        <x:v>141</x:v>
      </x:c>
      <x:c r="K454" s="55" t="n">
        <x:v>26849</x:v>
      </x:c>
      <x:c r="L454" s="55" t="n">
        <x:v>3499</x:v>
      </x:c>
      <x:c r="M454" s="55" t="n">
        <x:v>582</x:v>
      </x:c>
      <x:c r="N454" s="55" t="n">
        <x:v>1919</x:v>
      </x:c>
      <x:c r="O454" s="55" t="n">
        <x:v>998</x:v>
      </x:c>
      <x:c r="P454" s="55" t="n">
        <x:v>1238</x:v>
      </x:c>
      <x:c r="Q454" s="55" t="n">
        <x:v>3294</x:v>
      </x:c>
      <x:c r="R454" s="55" t="n">
        <x:v>1403</x:v>
      </x:c>
      <x:c r="S454" s="55" t="n">
        <x:v>2702</x:v>
      </x:c>
      <x:c r="T454" s="55" t="n">
        <x:v>1577</x:v>
      </x:c>
      <x:c r="U454" s="55" t="n">
        <x:v>1601</x:v>
      </x:c>
      <x:c r="V454" s="55" t="n">
        <x:v>10374</x:v>
      </x:c>
      <x:c r="W454" s="55" t="n">
        <x:v>7619</x:v>
      </x:c>
      <x:c r="X454" s="55" t="n">
        <x:v>2755</x:v>
      </x:c>
      <x:c r="Y454" s="55" t="n">
        <x:v>2429</x:v>
      </x:c>
      <x:c r="Z454" s="55" t="n">
        <x:v>3812</x:v>
      </x:c>
      <x:c r="AA454" s="55" t="n">
        <x:v>2801</x:v>
      </x:c>
      <x:c r="AB454" s="55" t="n">
        <x:v>871</x:v>
      </x:c>
      <x:c r="AC454" s="55" t="n">
        <x:v>8048</x:v>
      </x:c>
      <x:c r="AD454" s="55" t="n">
        <x:v>2870</x:v>
      </x:c>
      <x:c r="AE454" s="55" t="n">
        <x:v>10386</x:v>
      </x:c>
      <x:c r="AF454" s="55" t="n">
        <x:v>10374</x:v>
      </x:c>
      <x:c r="AG454" s="55" t="n">
        <x:v>12</x:v>
      </x:c>
      <x:c r="AH454" s="55" t="n">
        <x:v>540</x:v>
      </x:c>
      <x:c r="AI454" s="55" t="n">
        <x:v>9834</x:v>
      </x:c>
      <x:c r="AJ454" s="55" t="n">
        <x:v>308</x:v>
      </x:c>
      <x:c r="AK454" s="55" t="n">
        <x:v>858</x:v>
      </x:c>
      <x:c r="AL454" s="55" t="n">
        <x:v>1558</x:v>
      </x:c>
      <x:c r="AM454" s="55" t="n">
        <x:v>4750</x:v>
      </x:c>
      <x:c r="AN454" s="55" t="n">
        <x:v>2860</x:v>
      </x:c>
      <x:c r="AO454" s="55" t="n">
        <x:v>40</x:v>
      </x:c>
      <x:c r="AP454" s="55" t="n">
        <x:v>2628</x:v>
      </x:c>
      <x:c r="AQ454" s="55" t="n">
        <x:v>992</x:v>
      </x:c>
    </x:row>
    <x:row r="455">
      <x:c r="A455" s="54" t="str">
        <x:v>T0_TABLE_BLOCK</x:v>
      </x:c>
      <x:c r="B455" s="54" t="n">
        <x:v>449</x:v>
      </x:c>
      <x:c r="C455" s="54" t="str">
        <x:v>NYC-V2-R01</x:v>
      </x:c>
      <x:c r="D455" s="54" t="str">
        <x:v>V2</x:v>
      </x:c>
      <x:c r="E455" s="54" t="str">
        <x:v>ADMITTED</x:v>
      </x:c>
      <x:c r="F455" s="55" t="n">
        <x:v>30901</x:v>
      </x:c>
      <x:c r="G455" s="55" t="n">
        <x:v>7557</x:v>
      </x:c>
      <x:c r="H455" s="55" t="n">
        <x:v>3852</x:v>
      </x:c>
      <x:c r="I455" s="55" t="n">
        <x:v>1296</x:v>
      </x:c>
      <x:c r="J455" s="55" t="n">
        <x:v>300</x:v>
      </x:c>
      <x:c r="K455" s="55" t="n">
        <x:v>30901</x:v>
      </x:c>
      <x:c r="L455" s="55" t="n">
        <x:v>6894</x:v>
      </x:c>
      <x:c r="M455" s="55" t="n">
        <x:v>1793</x:v>
      </x:c>
      <x:c r="N455" s="55" t="n">
        <x:v>3163</x:v>
      </x:c>
      <x:c r="O455" s="55" t="n">
        <x:v>1938</x:v>
      </x:c>
      <x:c r="P455" s="55" t="n">
        <x:v>1089</x:v>
      </x:c>
      <x:c r="Q455" s="55" t="n">
        <x:v>2139</x:v>
      </x:c>
      <x:c r="R455" s="55" t="n">
        <x:v>1568</x:v>
      </x:c>
      <x:c r="S455" s="55" t="n">
        <x:v>2175</x:v>
      </x:c>
      <x:c r="T455" s="55" t="n">
        <x:v>1460</x:v>
      </x:c>
      <x:c r="U455" s="55" t="n">
        <x:v>1437</x:v>
      </x:c>
      <x:c r="V455" s="55" t="n">
        <x:v>10197</x:v>
      </x:c>
      <x:c r="W455" s="55" t="n">
        <x:v>7377</x:v>
      </x:c>
      <x:c r="X455" s="55" t="n">
        <x:v>2820</x:v>
      </x:c>
      <x:c r="Y455" s="55" t="n">
        <x:v>2517</x:v>
      </x:c>
      <x:c r="Z455" s="55" t="n">
        <x:v>2736</x:v>
      </x:c>
      <x:c r="AA455" s="55" t="n">
        <x:v>3327</x:v>
      </x:c>
      <x:c r="AB455" s="55" t="n">
        <x:v>1061</x:v>
      </x:c>
      <x:c r="AC455" s="55" t="n">
        <x:v>8344</x:v>
      </x:c>
      <x:c r="AD455" s="55" t="n">
        <x:v>2770</x:v>
      </x:c>
      <x:c r="AE455" s="55" t="n">
        <x:v>10309</x:v>
      </x:c>
      <x:c r="AF455" s="55" t="n">
        <x:v>10197</x:v>
      </x:c>
      <x:c r="AG455" s="55" t="n">
        <x:v>112</x:v>
      </x:c>
      <x:c r="AH455" s="55" t="n">
        <x:v>227</x:v>
      </x:c>
      <x:c r="AI455" s="55" t="n">
        <x:v>9970</x:v>
      </x:c>
      <x:c r="AJ455" s="55" t="n">
        <x:v>354</x:v>
      </x:c>
      <x:c r="AK455" s="55" t="n">
        <x:v>764</x:v>
      </x:c>
      <x:c r="AL455" s="55" t="n">
        <x:v>1255</x:v>
      </x:c>
      <x:c r="AM455" s="55" t="n">
        <x:v>4629</x:v>
      </x:c>
      <x:c r="AN455" s="55" t="n">
        <x:v>3195</x:v>
      </x:c>
      <x:c r="AO455" s="55" t="n">
        <x:v>0</x:v>
      </x:c>
      <x:c r="AP455" s="55" t="n">
        <x:v>2122</x:v>
      </x:c>
      <x:c r="AQ455" s="55" t="n">
        <x:v>976</x:v>
      </x:c>
    </x:row>
    <x:row r="456">
      <x:c r="A456" s="54" t="str">
        <x:v>T0_TABLE_BLOCK</x:v>
      </x:c>
      <x:c r="B456" s="54" t="n">
        <x:v>450</x:v>
      </x:c>
      <x:c r="C456" s="54" t="str">
        <x:v>NYC-V2-R01</x:v>
      </x:c>
      <x:c r="D456" s="54" t="str">
        <x:v>V2</x:v>
      </x:c>
      <x:c r="E456" s="54" t="str">
        <x:v>ADMITTED</x:v>
      </x:c>
      <x:c r="F456" s="55" t="n">
        <x:v>32247</x:v>
      </x:c>
      <x:c r="G456" s="55" t="n">
        <x:v>8099</x:v>
      </x:c>
      <x:c r="H456" s="55" t="n">
        <x:v>3265</x:v>
      </x:c>
      <x:c r="I456" s="55" t="n">
        <x:v>1183</x:v>
      </x:c>
      <x:c r="J456" s="55" t="n">
        <x:v>272</x:v>
      </x:c>
      <x:c r="K456" s="55" t="n">
        <x:v>32247</x:v>
      </x:c>
      <x:c r="L456" s="55" t="n">
        <x:v>6194</x:v>
      </x:c>
      <x:c r="M456" s="55" t="n">
        <x:v>1321</x:v>
      </x:c>
      <x:c r="N456" s="55" t="n">
        <x:v>2638</x:v>
      </x:c>
      <x:c r="O456" s="55" t="n">
        <x:v>2235</x:v>
      </x:c>
      <x:c r="P456" s="55" t="n">
        <x:v>635</x:v>
      </x:c>
      <x:c r="Q456" s="55" t="n">
        <x:v>2299</x:v>
      </x:c>
      <x:c r="R456" s="55" t="n">
        <x:v>2052</x:v>
      </x:c>
      <x:c r="S456" s="55" t="n">
        <x:v>3745</x:v>
      </x:c>
      <x:c r="T456" s="55" t="n">
        <x:v>1095</x:v>
      </x:c>
      <x:c r="U456" s="55" t="n">
        <x:v>1872</x:v>
      </x:c>
      <x:c r="V456" s="55" t="n">
        <x:v>10312</x:v>
      </x:c>
      <x:c r="W456" s="55" t="n">
        <x:v>6769</x:v>
      </x:c>
      <x:c r="X456" s="55" t="n">
        <x:v>3543</x:v>
      </x:c>
      <x:c r="Y456" s="55" t="n">
        <x:v>3009</x:v>
      </x:c>
      <x:c r="Z456" s="55" t="n">
        <x:v>3461</x:v>
      </x:c>
      <x:c r="AA456" s="55" t="n">
        <x:v>3257</x:v>
      </x:c>
      <x:c r="AB456" s="55" t="n">
        <x:v>881</x:v>
      </x:c>
      <x:c r="AC456" s="55" t="n">
        <x:v>8543</x:v>
      </x:c>
      <x:c r="AD456" s="55" t="n">
        <x:v>2683</x:v>
      </x:c>
      <x:c r="AE456" s="55" t="n">
        <x:v>10428</x:v>
      </x:c>
      <x:c r="AF456" s="55" t="n">
        <x:v>10312</x:v>
      </x:c>
      <x:c r="AG456" s="55" t="n">
        <x:v>116</x:v>
      </x:c>
      <x:c r="AH456" s="55" t="n">
        <x:v>452</x:v>
      </x:c>
      <x:c r="AI456" s="55" t="n">
        <x:v>9860</x:v>
      </x:c>
      <x:c r="AJ456" s="55" t="n">
        <x:v>311</x:v>
      </x:c>
      <x:c r="AK456" s="55" t="n">
        <x:v>1138</x:v>
      </x:c>
      <x:c r="AL456" s="55" t="n">
        <x:v>1734</x:v>
      </x:c>
      <x:c r="AM456" s="55" t="n">
        <x:v>4560</x:v>
      </x:c>
      <x:c r="AN456" s="55" t="n">
        <x:v>2569</x:v>
      </x:c>
      <x:c r="AO456" s="55" t="n">
        <x:v>0</x:v>
      </x:c>
      <x:c r="AP456" s="55" t="n">
        <x:v>2055</x:v>
      </x:c>
      <x:c r="AQ456" s="55" t="n">
        <x:v>955</x:v>
      </x:c>
    </x:row>
    <x:row r="457">
      <x:c r="A457" s="54" t="str">
        <x:v>T0_TABLE_BLOCK</x:v>
      </x:c>
      <x:c r="B457" s="54" t="n">
        <x:v>451</x:v>
      </x:c>
      <x:c r="C457" s="54" t="str">
        <x:v>NYC-V2-R01</x:v>
      </x:c>
      <x:c r="D457" s="54" t="str">
        <x:v>V2</x:v>
      </x:c>
      <x:c r="E457" s="54" t="str">
        <x:v>ADMITTED</x:v>
      </x:c>
      <x:c r="F457" s="55" t="n">
        <x:v>31108</x:v>
      </x:c>
      <x:c r="G457" s="55" t="n">
        <x:v>6778</x:v>
      </x:c>
      <x:c r="H457" s="55" t="n">
        <x:v>3635</x:v>
      </x:c>
      <x:c r="I457" s="55" t="n">
        <x:v>972</x:v>
      </x:c>
      <x:c r="J457" s="55" t="n">
        <x:v>191</x:v>
      </x:c>
      <x:c r="K457" s="55" t="n">
        <x:v>30182</x:v>
      </x:c>
      <x:c r="L457" s="55" t="n">
        <x:v>5578</x:v>
      </x:c>
      <x:c r="M457" s="55" t="n">
        <x:v>777</x:v>
      </x:c>
      <x:c r="N457" s="55" t="n">
        <x:v>2726</x:v>
      </x:c>
      <x:c r="O457" s="55" t="n">
        <x:v>2075</x:v>
      </x:c>
      <x:c r="P457" s="55" t="n">
        <x:v>600</x:v>
      </x:c>
      <x:c r="Q457" s="55" t="n">
        <x:v>2345</x:v>
      </x:c>
      <x:c r="R457" s="55" t="n">
        <x:v>2043</x:v>
      </x:c>
      <x:c r="S457" s="55" t="n">
        <x:v>4126</x:v>
      </x:c>
      <x:c r="T457" s="55" t="n">
        <x:v>769</x:v>
      </x:c>
      <x:c r="U457" s="55" t="n">
        <x:v>1636</x:v>
      </x:c>
      <x:c r="V457" s="55" t="n">
        <x:v>11449</x:v>
      </x:c>
      <x:c r="W457" s="55" t="n">
        <x:v>8343</x:v>
      </x:c>
      <x:c r="X457" s="55" t="n">
        <x:v>3106</x:v>
      </x:c>
      <x:c r="Y457" s="55" t="n">
        <x:v>3043</x:v>
      </x:c>
      <x:c r="Z457" s="55" t="n">
        <x:v>3520</x:v>
      </x:c>
      <x:c r="AA457" s="55" t="n">
        <x:v>3635</x:v>
      </x:c>
      <x:c r="AB457" s="55" t="n">
        <x:v>994</x:v>
      </x:c>
      <x:c r="AC457" s="55" t="n">
        <x:v>8392</x:v>
      </x:c>
      <x:c r="AD457" s="55" t="n">
        <x:v>3303</x:v>
      </x:c>
      <x:c r="AE457" s="55" t="n">
        <x:v>11466</x:v>
      </x:c>
      <x:c r="AF457" s="55" t="n">
        <x:v>11449</x:v>
      </x:c>
      <x:c r="AG457" s="55" t="n">
        <x:v>17</x:v>
      </x:c>
      <x:c r="AH457" s="55" t="n">
        <x:v>649</x:v>
      </x:c>
      <x:c r="AI457" s="55" t="n">
        <x:v>10800</x:v>
      </x:c>
      <x:c r="AJ457" s="55" t="n">
        <x:v>474</x:v>
      </x:c>
      <x:c r="AK457" s="55" t="n">
        <x:v>1190</x:v>
      </x:c>
      <x:c r="AL457" s="55" t="n">
        <x:v>1512</x:v>
      </x:c>
      <x:c r="AM457" s="55" t="n">
        <x:v>5136</x:v>
      </x:c>
      <x:c r="AN457" s="55" t="n">
        <x:v>3084</x:v>
      </x:c>
      <x:c r="AO457" s="55" t="n">
        <x:v>53</x:v>
      </x:c>
      <x:c r="AP457" s="55" t="n">
        <x:v>2323</x:v>
      </x:c>
      <x:c r="AQ457" s="55" t="n">
        <x:v>981</x:v>
      </x:c>
    </x:row>
    <x:row r="458">
      <x:c r="A458" s="54" t="str">
        <x:v>T0_TABLE_BLOCK</x:v>
      </x:c>
      <x:c r="B458" s="54" t="n">
        <x:v>452</x:v>
      </x:c>
      <x:c r="C458" s="54" t="str">
        <x:v>NYC-V2-R01</x:v>
      </x:c>
      <x:c r="D458" s="54" t="str">
        <x:v>V2</x:v>
      </x:c>
      <x:c r="E458" s="54" t="str">
        <x:v>ADMITTED</x:v>
      </x:c>
      <x:c r="F458" s="55" t="n">
        <x:v>32618</x:v>
      </x:c>
      <x:c r="G458" s="55" t="n">
        <x:v>7179</x:v>
      </x:c>
      <x:c r="H458" s="55" t="n">
        <x:v>3634</x:v>
      </x:c>
      <x:c r="I458" s="55" t="n">
        <x:v>1391</x:v>
      </x:c>
      <x:c r="J458" s="55" t="n">
        <x:v>290</x:v>
      </x:c>
      <x:c r="K458" s="55" t="n">
        <x:v>30648</x:v>
      </x:c>
      <x:c r="L458" s="55" t="n">
        <x:v>5525</x:v>
      </x:c>
      <x:c r="M458" s="55" t="n">
        <x:v>1256</x:v>
      </x:c>
      <x:c r="N458" s="55" t="n">
        <x:v>2597</x:v>
      </x:c>
      <x:c r="O458" s="55" t="n">
        <x:v>1672</x:v>
      </x:c>
      <x:c r="P458" s="55" t="n">
        <x:v>629</x:v>
      </x:c>
      <x:c r="Q458" s="55" t="n">
        <x:v>2741</x:v>
      </x:c>
      <x:c r="R458" s="55" t="n">
        <x:v>2475</x:v>
      </x:c>
      <x:c r="S458" s="55" t="n">
        <x:v>2440</x:v>
      </x:c>
      <x:c r="T458" s="55" t="n">
        <x:v>1592</x:v>
      </x:c>
      <x:c r="U458" s="55" t="n">
        <x:v>2047</x:v>
      </x:c>
      <x:c r="V458" s="55" t="n">
        <x:v>10616</x:v>
      </x:c>
      <x:c r="W458" s="55" t="n">
        <x:v>7788</x:v>
      </x:c>
      <x:c r="X458" s="55" t="n">
        <x:v>2828</x:v>
      </x:c>
      <x:c r="Y458" s="55" t="n">
        <x:v>2506</x:v>
      </x:c>
      <x:c r="Z458" s="55" t="n">
        <x:v>4129</x:v>
      </x:c>
      <x:c r="AA458" s="55" t="n">
        <x:v>2891</x:v>
      </x:c>
      <x:c r="AB458" s="55" t="n">
        <x:v>1104</x:v>
      </x:c>
      <x:c r="AC458" s="55" t="n">
        <x:v>8511</x:v>
      </x:c>
      <x:c r="AD458" s="55" t="n">
        <x:v>2493</x:v>
      </x:c>
      <x:c r="AE458" s="55" t="n">
        <x:v>10738</x:v>
      </x:c>
      <x:c r="AF458" s="55" t="n">
        <x:v>10616</x:v>
      </x:c>
      <x:c r="AG458" s="55" t="n">
        <x:v>122</x:v>
      </x:c>
      <x:c r="AH458" s="55" t="n">
        <x:v>501</x:v>
      </x:c>
      <x:c r="AI458" s="55" t="n">
        <x:v>10115</x:v>
      </x:c>
      <x:c r="AJ458" s="55" t="n">
        <x:v>204</x:v>
      </x:c>
      <x:c r="AK458" s="55" t="n">
        <x:v>677</x:v>
      </x:c>
      <x:c r="AL458" s="55" t="n">
        <x:v>2089</x:v>
      </x:c>
      <x:c r="AM458" s="55" t="n">
        <x:v>5025</x:v>
      </x:c>
      <x:c r="AN458" s="55" t="n">
        <x:v>2621</x:v>
      </x:c>
      <x:c r="AO458" s="55" t="n">
        <x:v>0</x:v>
      </x:c>
      <x:c r="AP458" s="55" t="n">
        <x:v>1962</x:v>
      </x:c>
      <x:c r="AQ458" s="55" t="n">
        <x:v>925</x:v>
      </x:c>
    </x:row>
    <x:row r="459">
      <x:c r="A459" s="54" t="str">
        <x:v>T0_TABLE_BLOCK</x:v>
      </x:c>
      <x:c r="B459" s="54" t="n">
        <x:v>453</x:v>
      </x:c>
      <x:c r="C459" s="54" t="str">
        <x:v>NYC-V2-R01</x:v>
      </x:c>
      <x:c r="D459" s="54" t="str">
        <x:v>V2</x:v>
      </x:c>
      <x:c r="E459" s="54" t="str">
        <x:v>ADMITTED</x:v>
      </x:c>
      <x:c r="F459" s="55" t="n">
        <x:v>31268</x:v>
      </x:c>
      <x:c r="G459" s="55" t="n">
        <x:v>7465</x:v>
      </x:c>
      <x:c r="H459" s="55" t="n">
        <x:v>3374</x:v>
      </x:c>
      <x:c r="I459" s="55" t="n">
        <x:v>1348</x:v>
      </x:c>
      <x:c r="J459" s="55" t="n">
        <x:v>144</x:v>
      </x:c>
      <x:c r="K459" s="55" t="n">
        <x:v>29000</x:v>
      </x:c>
      <x:c r="L459" s="55" t="n">
        <x:v>5132</x:v>
      </x:c>
      <x:c r="M459" s="55" t="n">
        <x:v>1049</x:v>
      </x:c>
      <x:c r="N459" s="55" t="n">
        <x:v>2593</x:v>
      </x:c>
      <x:c r="O459" s="55" t="n">
        <x:v>1490</x:v>
      </x:c>
      <x:c r="P459" s="55" t="n">
        <x:v>716</x:v>
      </x:c>
      <x:c r="Q459" s="55" t="n">
        <x:v>1991</x:v>
      </x:c>
      <x:c r="R459" s="55" t="n">
        <x:v>2652</x:v>
      </x:c>
      <x:c r="S459" s="55" t="n">
        <x:v>2878</x:v>
      </x:c>
      <x:c r="T459" s="55" t="n">
        <x:v>1263</x:v>
      </x:c>
      <x:c r="U459" s="55" t="n">
        <x:v>2278</x:v>
      </x:c>
      <x:c r="V459" s="55" t="n">
        <x:v>10818</x:v>
      </x:c>
      <x:c r="W459" s="55" t="n">
        <x:v>8079</x:v>
      </x:c>
      <x:c r="X459" s="55" t="n">
        <x:v>2739</x:v>
      </x:c>
      <x:c r="Y459" s="55" t="n">
        <x:v>2063</x:v>
      </x:c>
      <x:c r="Z459" s="55" t="n">
        <x:v>3579</x:v>
      </x:c>
      <x:c r="AA459" s="55" t="n">
        <x:v>3356</x:v>
      </x:c>
      <x:c r="AB459" s="55" t="n">
        <x:v>1180</x:v>
      </x:c>
      <x:c r="AC459" s="55" t="n">
        <x:v>7999</x:v>
      </x:c>
      <x:c r="AD459" s="55" t="n">
        <x:v>2002</x:v>
      </x:c>
      <x:c r="AE459" s="55" t="n">
        <x:v>10933</x:v>
      </x:c>
      <x:c r="AF459" s="55" t="n">
        <x:v>10818</x:v>
      </x:c>
      <x:c r="AG459" s="55" t="n">
        <x:v>115</x:v>
      </x:c>
      <x:c r="AH459" s="55" t="n">
        <x:v>481</x:v>
      </x:c>
      <x:c r="AI459" s="55" t="n">
        <x:v>10337</x:v>
      </x:c>
      <x:c r="AJ459" s="55" t="n">
        <x:v>81</x:v>
      </x:c>
      <x:c r="AK459" s="55" t="n">
        <x:v>981</x:v>
      </x:c>
      <x:c r="AL459" s="55" t="n">
        <x:v>1261</x:v>
      </x:c>
      <x:c r="AM459" s="55" t="n">
        <x:v>4933</x:v>
      </x:c>
      <x:c r="AN459" s="55" t="n">
        <x:v>3534</x:v>
      </x:c>
      <x:c r="AO459" s="55" t="n">
        <x:v>28</x:v>
      </x:c>
      <x:c r="AP459" s="55" t="n">
        <x:v>2358</x:v>
      </x:c>
      <x:c r="AQ459" s="55" t="n">
        <x:v>967</x:v>
      </x:c>
    </x:row>
    <x:row r="460">
      <x:c r="A460" s="54" t="str">
        <x:v>T0_TABLE_BLOCK</x:v>
      </x:c>
      <x:c r="B460" s="54" t="n">
        <x:v>454</x:v>
      </x:c>
      <x:c r="C460" s="54" t="str">
        <x:v>NYC-V2-R01</x:v>
      </x:c>
      <x:c r="D460" s="54" t="str">
        <x:v>V2</x:v>
      </x:c>
      <x:c r="E460" s="54" t="str">
        <x:v>ADMITTED</x:v>
      </x:c>
      <x:c r="F460" s="55" t="n">
        <x:v>30939</x:v>
      </x:c>
      <x:c r="G460" s="55" t="n">
        <x:v>7089</x:v>
      </x:c>
      <x:c r="H460" s="55" t="n">
        <x:v>3367</x:v>
      </x:c>
      <x:c r="I460" s="55" t="n">
        <x:v>1451</x:v>
      </x:c>
      <x:c r="J460" s="55" t="n">
        <x:v>311</x:v>
      </x:c>
      <x:c r="K460" s="55" t="n">
        <x:v>30739</x:v>
      </x:c>
      <x:c r="L460" s="55" t="n">
        <x:v>5245</x:v>
      </x:c>
      <x:c r="M460" s="55" t="n">
        <x:v>1037</x:v>
      </x:c>
      <x:c r="N460" s="55" t="n">
        <x:v>2288</x:v>
      </x:c>
      <x:c r="O460" s="55" t="n">
        <x:v>1920</x:v>
      </x:c>
      <x:c r="P460" s="55" t="n">
        <x:v>780</x:v>
      </x:c>
      <x:c r="Q460" s="55" t="n">
        <x:v>1796</x:v>
      </x:c>
      <x:c r="R460" s="55" t="n">
        <x:v>2144</x:v>
      </x:c>
      <x:c r="S460" s="55" t="n">
        <x:v>2557</x:v>
      </x:c>
      <x:c r="T460" s="55" t="n">
        <x:v>1324</x:v>
      </x:c>
      <x:c r="U460" s="55" t="n">
        <x:v>2393</x:v>
      </x:c>
      <x:c r="V460" s="55" t="n">
        <x:v>10434</x:v>
      </x:c>
      <x:c r="W460" s="55" t="n">
        <x:v>7234</x:v>
      </x:c>
      <x:c r="X460" s="55" t="n">
        <x:v>3200</x:v>
      </x:c>
      <x:c r="Y460" s="55" t="n">
        <x:v>2808</x:v>
      </x:c>
      <x:c r="Z460" s="55" t="n">
        <x:v>4017</x:v>
      </x:c>
      <x:c r="AA460" s="55" t="n">
        <x:v>3016</x:v>
      </x:c>
      <x:c r="AB460" s="55" t="n">
        <x:v>1081</x:v>
      </x:c>
      <x:c r="AC460" s="55" t="n">
        <x:v>8415</x:v>
      </x:c>
      <x:c r="AD460" s="55" t="n">
        <x:v>2967</x:v>
      </x:c>
      <x:c r="AE460" s="55" t="n">
        <x:v>10489</x:v>
      </x:c>
      <x:c r="AF460" s="55" t="n">
        <x:v>10434</x:v>
      </x:c>
      <x:c r="AG460" s="55" t="n">
        <x:v>55</x:v>
      </x:c>
      <x:c r="AH460" s="55" t="n">
        <x:v>378</x:v>
      </x:c>
      <x:c r="AI460" s="55" t="n">
        <x:v>10056</x:v>
      </x:c>
      <x:c r="AJ460" s="55" t="n">
        <x:v>398</x:v>
      </x:c>
      <x:c r="AK460" s="55" t="n">
        <x:v>1295</x:v>
      </x:c>
      <x:c r="AL460" s="55" t="n">
        <x:v>1811</x:v>
      </x:c>
      <x:c r="AM460" s="55" t="n">
        <x:v>4439</x:v>
      </x:c>
      <x:c r="AN460" s="55" t="n">
        <x:v>2491</x:v>
      </x:c>
      <x:c r="AO460" s="55" t="n">
        <x:v>0</x:v>
      </x:c>
      <x:c r="AP460" s="55" t="n">
        <x:v>2963</x:v>
      </x:c>
      <x:c r="AQ460" s="55" t="n">
        <x:v>942</x:v>
      </x:c>
    </x:row>
    <x:row r="461">
      <x:c r="A461" s="54" t="str">
        <x:v>T0_TABLE_BLOCK</x:v>
      </x:c>
      <x:c r="B461" s="54" t="n">
        <x:v>455</x:v>
      </x:c>
      <x:c r="C461" s="54" t="str">
        <x:v>NYC-V2-R01</x:v>
      </x:c>
      <x:c r="D461" s="54" t="str">
        <x:v>V2</x:v>
      </x:c>
      <x:c r="E461" s="54" t="str">
        <x:v>ADMITTED</x:v>
      </x:c>
      <x:c r="F461" s="55" t="n">
        <x:v>30197</x:v>
      </x:c>
      <x:c r="G461" s="55" t="n">
        <x:v>8005</x:v>
      </x:c>
      <x:c r="H461" s="55" t="n">
        <x:v>3239</x:v>
      </x:c>
      <x:c r="I461" s="55" t="n">
        <x:v>1356</x:v>
      </x:c>
      <x:c r="J461" s="55" t="n">
        <x:v>196</x:v>
      </x:c>
      <x:c r="K461" s="55" t="n">
        <x:v>29529</x:v>
      </x:c>
      <x:c r="L461" s="55" t="n">
        <x:v>5506</x:v>
      </x:c>
      <x:c r="M461" s="55" t="n">
        <x:v>1263</x:v>
      </x:c>
      <x:c r="N461" s="55" t="n">
        <x:v>2593</x:v>
      </x:c>
      <x:c r="O461" s="55" t="n">
        <x:v>1650</x:v>
      </x:c>
      <x:c r="P461" s="55" t="n">
        <x:v>930</x:v>
      </x:c>
      <x:c r="Q461" s="55" t="n">
        <x:v>3034</x:v>
      </x:c>
      <x:c r="R461" s="55" t="n">
        <x:v>1777</x:v>
      </x:c>
      <x:c r="S461" s="55" t="n">
        <x:v>3391</x:v>
      </x:c>
      <x:c r="T461" s="55" t="n">
        <x:v>1273</x:v>
      </x:c>
      <x:c r="U461" s="55" t="n">
        <x:v>1967</x:v>
      </x:c>
      <x:c r="V461" s="55" t="n">
        <x:v>10500</x:v>
      </x:c>
      <x:c r="W461" s="55" t="n">
        <x:v>7227</x:v>
      </x:c>
      <x:c r="X461" s="55" t="n">
        <x:v>3273</x:v>
      </x:c>
      <x:c r="Y461" s="55" t="n">
        <x:v>2727</x:v>
      </x:c>
      <x:c r="Z461" s="55" t="n">
        <x:v>3751</x:v>
      </x:c>
      <x:c r="AA461" s="55" t="n">
        <x:v>3096</x:v>
      </x:c>
      <x:c r="AB461" s="55" t="n">
        <x:v>1362</x:v>
      </x:c>
      <x:c r="AC461" s="55" t="n">
        <x:v>7821</x:v>
      </x:c>
      <x:c r="AD461" s="55" t="n">
        <x:v>3500</x:v>
      </x:c>
      <x:c r="AE461" s="55" t="n">
        <x:v>10639</x:v>
      </x:c>
      <x:c r="AF461" s="55" t="n">
        <x:v>10500</x:v>
      </x:c>
      <x:c r="AG461" s="55" t="n">
        <x:v>139</x:v>
      </x:c>
      <x:c r="AH461" s="55" t="n">
        <x:v>492</x:v>
      </x:c>
      <x:c r="AI461" s="55" t="n">
        <x:v>10008</x:v>
      </x:c>
      <x:c r="AJ461" s="55" t="n">
        <x:v>194</x:v>
      </x:c>
      <x:c r="AK461" s="55" t="n">
        <x:v>1159</x:v>
      </x:c>
      <x:c r="AL461" s="55" t="n">
        <x:v>1776</x:v>
      </x:c>
      <x:c r="AM461" s="55" t="n">
        <x:v>4625</x:v>
      </x:c>
      <x:c r="AN461" s="55" t="n">
        <x:v>2712</x:v>
      </x:c>
      <x:c r="AO461" s="55" t="n">
        <x:v>34</x:v>
      </x:c>
      <x:c r="AP461" s="55" t="n">
        <x:v>2694</x:v>
      </x:c>
      <x:c r="AQ461" s="55" t="n">
        <x:v>968</x:v>
      </x:c>
    </x:row>
    <x:row r="462">
      <x:c r="A462" s="54" t="str">
        <x:v>T0_TABLE_BLOCK</x:v>
      </x:c>
      <x:c r="B462" s="54" t="n">
        <x:v>456</x:v>
      </x:c>
      <x:c r="C462" s="54" t="str">
        <x:v>NYC-V2-R01</x:v>
      </x:c>
      <x:c r="D462" s="54" t="str">
        <x:v>V2</x:v>
      </x:c>
      <x:c r="E462" s="54" t="str">
        <x:v>ADMITTED</x:v>
      </x:c>
      <x:c r="F462" s="55" t="n">
        <x:v>27590</x:v>
      </x:c>
      <x:c r="G462" s="55" t="n">
        <x:v>6462</x:v>
      </x:c>
      <x:c r="H462" s="55" t="n">
        <x:v>3410</x:v>
      </x:c>
      <x:c r="I462" s="55" t="n">
        <x:v>1376</x:v>
      </x:c>
      <x:c r="J462" s="55" t="n">
        <x:v>59</x:v>
      </x:c>
      <x:c r="K462" s="55" t="n">
        <x:v>27590</x:v>
      </x:c>
      <x:c r="L462" s="55" t="n">
        <x:v>4574</x:v>
      </x:c>
      <x:c r="M462" s="55" t="n">
        <x:v>163</x:v>
      </x:c>
      <x:c r="N462" s="55" t="n">
        <x:v>2616</x:v>
      </x:c>
      <x:c r="O462" s="55" t="n">
        <x:v>1795</x:v>
      </x:c>
      <x:c r="P462" s="55" t="n">
        <x:v>505</x:v>
      </x:c>
      <x:c r="Q462" s="55" t="n">
        <x:v>1589</x:v>
      </x:c>
      <x:c r="R462" s="55" t="n">
        <x:v>1671</x:v>
      </x:c>
      <x:c r="S462" s="55" t="n">
        <x:v>3376</x:v>
      </x:c>
      <x:c r="T462" s="55" t="n">
        <x:v>1660</x:v>
      </x:c>
      <x:c r="U462" s="55" t="n">
        <x:v>2055</x:v>
      </x:c>
      <x:c r="V462" s="55" t="n">
        <x:v>10199</x:v>
      </x:c>
      <x:c r="W462" s="55" t="n">
        <x:v>7356</x:v>
      </x:c>
      <x:c r="X462" s="55" t="n">
        <x:v>2843</x:v>
      </x:c>
      <x:c r="Y462" s="55" t="n">
        <x:v>2580</x:v>
      </x:c>
      <x:c r="Z462" s="55" t="n">
        <x:v>4102</x:v>
      </x:c>
      <x:c r="AA462" s="55" t="n">
        <x:v>3139</x:v>
      </x:c>
      <x:c r="AB462" s="55" t="n">
        <x:v>1156</x:v>
      </x:c>
      <x:c r="AC462" s="55" t="n">
        <x:v>8575</x:v>
      </x:c>
      <x:c r="AD462" s="55" t="n">
        <x:v>2934</x:v>
      </x:c>
      <x:c r="AE462" s="55" t="n">
        <x:v>10228</x:v>
      </x:c>
      <x:c r="AF462" s="55" t="n">
        <x:v>10199</x:v>
      </x:c>
      <x:c r="AG462" s="55" t="n">
        <x:v>29</x:v>
      </x:c>
      <x:c r="AH462" s="55" t="n">
        <x:v>313</x:v>
      </x:c>
      <x:c r="AI462" s="55" t="n">
        <x:v>9886</x:v>
      </x:c>
      <x:c r="AJ462" s="55" t="n">
        <x:v>480</x:v>
      </x:c>
      <x:c r="AK462" s="55" t="n">
        <x:v>1090</x:v>
      </x:c>
      <x:c r="AL462" s="55" t="n">
        <x:v>1646</x:v>
      </x:c>
      <x:c r="AM462" s="55" t="n">
        <x:v>4792</x:v>
      </x:c>
      <x:c r="AN462" s="55" t="n">
        <x:v>2191</x:v>
      </x:c>
      <x:c r="AO462" s="55" t="n">
        <x:v>0</x:v>
      </x:c>
      <x:c r="AP462" s="55" t="n">
        <x:v>2498</x:v>
      </x:c>
      <x:c r="AQ462" s="55" t="n">
        <x:v>961</x:v>
      </x:c>
    </x:row>
    <x:row r="463">
      <x:c r="A463" s="54" t="str">
        <x:v>T0_TABLE_BLOCK</x:v>
      </x:c>
      <x:c r="B463" s="54" t="n">
        <x:v>457</x:v>
      </x:c>
      <x:c r="C463" s="54" t="str">
        <x:v>NYC-V2-R01</x:v>
      </x:c>
      <x:c r="D463" s="54" t="str">
        <x:v>V2</x:v>
      </x:c>
      <x:c r="E463" s="54" t="str">
        <x:v>ADMITTED</x:v>
      </x:c>
      <x:c r="F463" s="55" t="n">
        <x:v>31607</x:v>
      </x:c>
      <x:c r="G463" s="55" t="n">
        <x:v>7704</x:v>
      </x:c>
      <x:c r="H463" s="55" t="n">
        <x:v>2527</x:v>
      </x:c>
      <x:c r="I463" s="55" t="n">
        <x:v>822</x:v>
      </x:c>
      <x:c r="J463" s="55" t="n">
        <x:v>0</x:v>
      </x:c>
      <x:c r="K463" s="55" t="n">
        <x:v>31607</x:v>
      </x:c>
      <x:c r="L463" s="55" t="n">
        <x:v>7610</x:v>
      </x:c>
      <x:c r="M463" s="55" t="n">
        <x:v>2678</x:v>
      </x:c>
      <x:c r="N463" s="55" t="n">
        <x:v>3306</x:v>
      </x:c>
      <x:c r="O463" s="55" t="n">
        <x:v>1626</x:v>
      </x:c>
      <x:c r="P463" s="55" t="n">
        <x:v>866</x:v>
      </x:c>
      <x:c r="Q463" s="55" t="n">
        <x:v>1841</x:v>
      </x:c>
      <x:c r="R463" s="55" t="n">
        <x:v>1720</x:v>
      </x:c>
      <x:c r="S463" s="55" t="n">
        <x:v>2561</x:v>
      </x:c>
      <x:c r="T463" s="55" t="n">
        <x:v>1279</x:v>
      </x:c>
      <x:c r="U463" s="55" t="n">
        <x:v>2370</x:v>
      </x:c>
      <x:c r="V463" s="55" t="n">
        <x:v>10386</x:v>
      </x:c>
      <x:c r="W463" s="55" t="n">
        <x:v>7103</x:v>
      </x:c>
      <x:c r="X463" s="55" t="n">
        <x:v>3283</x:v>
      </x:c>
      <x:c r="Y463" s="55" t="n">
        <x:v>2932</x:v>
      </x:c>
      <x:c r="Z463" s="55" t="n">
        <x:v>3493</x:v>
      </x:c>
      <x:c r="AA463" s="55" t="n">
        <x:v>2332</x:v>
      </x:c>
      <x:c r="AB463" s="55" t="n">
        <x:v>757</x:v>
      </x:c>
      <x:c r="AC463" s="55" t="n">
        <x:v>8324</x:v>
      </x:c>
      <x:c r="AD463" s="55" t="n">
        <x:v>3291</x:v>
      </x:c>
      <x:c r="AE463" s="55" t="n">
        <x:v>10386</x:v>
      </x:c>
      <x:c r="AF463" s="55" t="n">
        <x:v>10386</x:v>
      </x:c>
      <x:c r="AG463" s="55" t="n">
        <x:v>0</x:v>
      </x:c>
      <x:c r="AH463" s="55" t="n">
        <x:v>387</x:v>
      </x:c>
      <x:c r="AI463" s="55" t="n">
        <x:v>9999</x:v>
      </x:c>
      <x:c r="AJ463" s="55" t="n">
        <x:v>263</x:v>
      </x:c>
      <x:c r="AK463" s="55" t="n">
        <x:v>1346</x:v>
      </x:c>
      <x:c r="AL463" s="55" t="n">
        <x:v>1606</x:v>
      </x:c>
      <x:c r="AM463" s="55" t="n">
        <x:v>4746</x:v>
      </x:c>
      <x:c r="AN463" s="55" t="n">
        <x:v>2412</x:v>
      </x:c>
      <x:c r="AO463" s="55" t="n">
        <x:v>13</x:v>
      </x:c>
      <x:c r="AP463" s="55" t="n">
        <x:v>2633</x:v>
      </x:c>
      <x:c r="AQ463" s="55" t="n">
        <x:v>993</x:v>
      </x:c>
    </x:row>
    <x:row r="464">
      <x:c r="A464" s="54" t="str">
        <x:v>T0_TABLE_BLOCK</x:v>
      </x:c>
      <x:c r="B464" s="54" t="n">
        <x:v>458</x:v>
      </x:c>
      <x:c r="C464" s="54" t="str">
        <x:v>NYC-V2-R01</x:v>
      </x:c>
      <x:c r="D464" s="54" t="str">
        <x:v>V2</x:v>
      </x:c>
      <x:c r="E464" s="54" t="str">
        <x:v>ADMITTED</x:v>
      </x:c>
      <x:c r="F464" s="55" t="n">
        <x:v>31018</x:v>
      </x:c>
      <x:c r="G464" s="55" t="n">
        <x:v>6370</x:v>
      </x:c>
      <x:c r="H464" s="55" t="n">
        <x:v>3308</x:v>
      </x:c>
      <x:c r="I464" s="55" t="n">
        <x:v>1594</x:v>
      </x:c>
      <x:c r="J464" s="55" t="n">
        <x:v>260</x:v>
      </x:c>
      <x:c r="K464" s="55" t="n">
        <x:v>31018</x:v>
      </x:c>
      <x:c r="L464" s="55" t="n">
        <x:v>6808</x:v>
      </x:c>
      <x:c r="M464" s="55" t="n">
        <x:v>2011</x:v>
      </x:c>
      <x:c r="N464" s="55" t="n">
        <x:v>2854</x:v>
      </x:c>
      <x:c r="O464" s="55" t="n">
        <x:v>1943</x:v>
      </x:c>
      <x:c r="P464" s="55" t="n">
        <x:v>993</x:v>
      </x:c>
      <x:c r="Q464" s="55" t="n">
        <x:v>1615</x:v>
      </x:c>
      <x:c r="R464" s="55" t="n">
        <x:v>2103</x:v>
      </x:c>
      <x:c r="S464" s="55" t="n">
        <x:v>2805</x:v>
      </x:c>
      <x:c r="T464" s="55" t="n">
        <x:v>1010</x:v>
      </x:c>
      <x:c r="U464" s="55" t="n">
        <x:v>2174</x:v>
      </x:c>
      <x:c r="V464" s="55" t="n">
        <x:v>10093</x:v>
      </x:c>
      <x:c r="W464" s="55" t="n">
        <x:v>7199</x:v>
      </x:c>
      <x:c r="X464" s="55" t="n">
        <x:v>2894</x:v>
      </x:c>
      <x:c r="Y464" s="55" t="n">
        <x:v>2358</x:v>
      </x:c>
      <x:c r="Z464" s="55" t="n">
        <x:v>3508</x:v>
      </x:c>
      <x:c r="AA464" s="55" t="n">
        <x:v>2959</x:v>
      </x:c>
      <x:c r="AB464" s="55" t="n">
        <x:v>1324</x:v>
      </x:c>
      <x:c r="AC464" s="55" t="n">
        <x:v>7977</x:v>
      </x:c>
      <x:c r="AD464" s="55" t="n">
        <x:v>2829</x:v>
      </x:c>
      <x:c r="AE464" s="55" t="n">
        <x:v>10280</x:v>
      </x:c>
      <x:c r="AF464" s="55" t="n">
        <x:v>10093</x:v>
      </x:c>
      <x:c r="AG464" s="55" t="n">
        <x:v>187</x:v>
      </x:c>
      <x:c r="AH464" s="55" t="n">
        <x:v>478</x:v>
      </x:c>
      <x:c r="AI464" s="55" t="n">
        <x:v>9615</x:v>
      </x:c>
      <x:c r="AJ464" s="55" t="n">
        <x:v>310</x:v>
      </x:c>
      <x:c r="AK464" s="55" t="n">
        <x:v>1287</x:v>
      </x:c>
      <x:c r="AL464" s="55" t="n">
        <x:v>2062</x:v>
      </x:c>
      <x:c r="AM464" s="55" t="n">
        <x:v>4127</x:v>
      </x:c>
      <x:c r="AN464" s="55" t="n">
        <x:v>2307</x:v>
      </x:c>
      <x:c r="AO464" s="55" t="n">
        <x:v>0</x:v>
      </x:c>
      <x:c r="AP464" s="55" t="n">
        <x:v>2247</x:v>
      </x:c>
      <x:c r="AQ464" s="55" t="n">
        <x:v>963</x:v>
      </x:c>
    </x:row>
    <x:row r="465">
      <x:c r="A465" s="54" t="str">
        <x:v>T0_TABLE_BLOCK</x:v>
      </x:c>
      <x:c r="B465" s="54" t="n">
        <x:v>459</x:v>
      </x:c>
      <x:c r="C465" s="54" t="str">
        <x:v>NYC-V2-R01</x:v>
      </x:c>
      <x:c r="D465" s="54" t="str">
        <x:v>V2</x:v>
      </x:c>
      <x:c r="E465" s="54" t="str">
        <x:v>ADMITTED</x:v>
      </x:c>
      <x:c r="F465" s="55" t="n">
        <x:v>31678</x:v>
      </x:c>
      <x:c r="G465" s="55" t="n">
        <x:v>7793</x:v>
      </x:c>
      <x:c r="H465" s="55" t="n">
        <x:v>3241</x:v>
      </x:c>
      <x:c r="I465" s="55" t="n">
        <x:v>1585</x:v>
      </x:c>
      <x:c r="J465" s="55" t="n">
        <x:v>106</x:v>
      </x:c>
      <x:c r="K465" s="55" t="n">
        <x:v>31678</x:v>
      </x:c>
      <x:c r="L465" s="55" t="n">
        <x:v>5496</x:v>
      </x:c>
      <x:c r="M465" s="55" t="n">
        <x:v>992</x:v>
      </x:c>
      <x:c r="N465" s="55" t="n">
        <x:v>2842</x:v>
      </x:c>
      <x:c r="O465" s="55" t="n">
        <x:v>1662</x:v>
      </x:c>
      <x:c r="P465" s="55" t="n">
        <x:v>329</x:v>
      </x:c>
      <x:c r="Q465" s="55" t="n">
        <x:v>1394</x:v>
      </x:c>
      <x:c r="R465" s="55" t="n">
        <x:v>1707</x:v>
      </x:c>
      <x:c r="S465" s="55" t="n">
        <x:v>2868</x:v>
      </x:c>
      <x:c r="T465" s="55" t="n">
        <x:v>1123</x:v>
      </x:c>
      <x:c r="U465" s="55" t="n">
        <x:v>2244</x:v>
      </x:c>
      <x:c r="V465" s="55" t="n">
        <x:v>10273</x:v>
      </x:c>
      <x:c r="W465" s="55" t="n">
        <x:v>7243</x:v>
      </x:c>
      <x:c r="X465" s="55" t="n">
        <x:v>3030</x:v>
      </x:c>
      <x:c r="Y465" s="55" t="n">
        <x:v>2281</x:v>
      </x:c>
      <x:c r="Z465" s="55" t="n">
        <x:v>4083</x:v>
      </x:c>
      <x:c r="AA465" s="55" t="n">
        <x:v>3241</x:v>
      </x:c>
      <x:c r="AB465" s="55" t="n">
        <x:v>1080</x:v>
      </x:c>
      <x:c r="AC465" s="55" t="n">
        <x:v>7956</x:v>
      </x:c>
      <x:c r="AD465" s="55" t="n">
        <x:v>2398</x:v>
      </x:c>
      <x:c r="AE465" s="55" t="n">
        <x:v>10366</x:v>
      </x:c>
      <x:c r="AF465" s="55" t="n">
        <x:v>10273</x:v>
      </x:c>
      <x:c r="AG465" s="55" t="n">
        <x:v>93</x:v>
      </x:c>
      <x:c r="AH465" s="55" t="n">
        <x:v>412</x:v>
      </x:c>
      <x:c r="AI465" s="55" t="n">
        <x:v>9861</x:v>
      </x:c>
      <x:c r="AJ465" s="55" t="n">
        <x:v>264</x:v>
      </x:c>
      <x:c r="AK465" s="55" t="n">
        <x:v>1179</x:v>
      </x:c>
      <x:c r="AL465" s="55" t="n">
        <x:v>1595</x:v>
      </x:c>
      <x:c r="AM465" s="55" t="n">
        <x:v>5301</x:v>
      </x:c>
      <x:c r="AN465" s="55" t="n">
        <x:v>1934</x:v>
      </x:c>
      <x:c r="AO465" s="55" t="n">
        <x:v>0</x:v>
      </x:c>
      <x:c r="AP465" s="55" t="n">
        <x:v>2015</x:v>
      </x:c>
      <x:c r="AQ465" s="55" t="n">
        <x:v>948</x:v>
      </x:c>
    </x:row>
    <x:row r="466">
      <x:c r="A466" s="54" t="str">
        <x:v>T0_TABLE_BLOCK</x:v>
      </x:c>
      <x:c r="B466" s="54" t="n">
        <x:v>460</x:v>
      </x:c>
      <x:c r="C466" s="54" t="str">
        <x:v>NYC-V2-R01</x:v>
      </x:c>
      <x:c r="D466" s="54" t="str">
        <x:v>V2</x:v>
      </x:c>
      <x:c r="E466" s="54" t="str">
        <x:v>ADMITTED</x:v>
      </x:c>
      <x:c r="F466" s="55" t="n">
        <x:v>31129</x:v>
      </x:c>
      <x:c r="G466" s="55" t="n">
        <x:v>7159</x:v>
      </x:c>
      <x:c r="H466" s="55" t="n">
        <x:v>3959</x:v>
      </x:c>
      <x:c r="I466" s="55" t="n">
        <x:v>1543</x:v>
      </x:c>
      <x:c r="J466" s="55" t="n">
        <x:v>201</x:v>
      </x:c>
      <x:c r="K466" s="55" t="n">
        <x:v>28738</x:v>
      </x:c>
      <x:c r="L466" s="55" t="n">
        <x:v>4466</x:v>
      </x:c>
      <x:c r="M466" s="55" t="n">
        <x:v>0</x:v>
      </x:c>
      <x:c r="N466" s="55" t="n">
        <x:v>2698</x:v>
      </x:c>
      <x:c r="O466" s="55" t="n">
        <x:v>1768</x:v>
      </x:c>
      <x:c r="P466" s="55" t="n">
        <x:v>500</x:v>
      </x:c>
      <x:c r="Q466" s="55" t="n">
        <x:v>2986</x:v>
      </x:c>
      <x:c r="R466" s="55" t="n">
        <x:v>1575</x:v>
      </x:c>
      <x:c r="S466" s="55" t="n">
        <x:v>2317</x:v>
      </x:c>
      <x:c r="T466" s="55" t="n">
        <x:v>1246</x:v>
      </x:c>
      <x:c r="U466" s="55" t="n">
        <x:v>2127</x:v>
      </x:c>
      <x:c r="V466" s="55" t="n">
        <x:v>10032</x:v>
      </x:c>
      <x:c r="W466" s="55" t="n">
        <x:v>7136</x:v>
      </x:c>
      <x:c r="X466" s="55" t="n">
        <x:v>2896</x:v>
      </x:c>
      <x:c r="Y466" s="55" t="n">
        <x:v>2466</x:v>
      </x:c>
      <x:c r="Z466" s="55" t="n">
        <x:v>3771</x:v>
      </x:c>
      <x:c r="AA466" s="55" t="n">
        <x:v>3091</x:v>
      </x:c>
      <x:c r="AB466" s="55" t="n">
        <x:v>1460</x:v>
      </x:c>
      <x:c r="AC466" s="55" t="n">
        <x:v>7726</x:v>
      </x:c>
      <x:c r="AD466" s="55" t="n">
        <x:v>3114</x:v>
      </x:c>
      <x:c r="AE466" s="55" t="n">
        <x:v>10196</x:v>
      </x:c>
      <x:c r="AF466" s="55" t="n">
        <x:v>10032</x:v>
      </x:c>
      <x:c r="AG466" s="55" t="n">
        <x:v>164</x:v>
      </x:c>
      <x:c r="AH466" s="55" t="n">
        <x:v>382</x:v>
      </x:c>
      <x:c r="AI466" s="55" t="n">
        <x:v>9650</x:v>
      </x:c>
      <x:c r="AJ466" s="55" t="n">
        <x:v>179</x:v>
      </x:c>
      <x:c r="AK466" s="55" t="n">
        <x:v>1102</x:v>
      </x:c>
      <x:c r="AL466" s="55" t="n">
        <x:v>1702</x:v>
      </x:c>
      <x:c r="AM466" s="55" t="n">
        <x:v>4720</x:v>
      </x:c>
      <x:c r="AN466" s="55" t="n">
        <x:v>2228</x:v>
      </x:c>
      <x:c r="AO466" s="55" t="n">
        <x:v>101</x:v>
      </x:c>
      <x:c r="AP466" s="55" t="n">
        <x:v>2062</x:v>
      </x:c>
      <x:c r="AQ466" s="55" t="n">
        <x:v>943</x:v>
      </x:c>
    </x:row>
    <x:row r="467">
      <x:c r="A467" s="54" t="str">
        <x:v>T0_TABLE_BLOCK</x:v>
      </x:c>
      <x:c r="B467" s="54" t="n">
        <x:v>461</x:v>
      </x:c>
      <x:c r="C467" s="54" t="str">
        <x:v>NYC-V2-R01</x:v>
      </x:c>
      <x:c r="D467" s="54" t="str">
        <x:v>V2</x:v>
      </x:c>
      <x:c r="E467" s="54" t="str">
        <x:v>ADMITTED</x:v>
      </x:c>
      <x:c r="F467" s="55" t="n">
        <x:v>30581</x:v>
      </x:c>
      <x:c r="G467" s="55" t="n">
        <x:v>7867</x:v>
      </x:c>
      <x:c r="H467" s="55" t="n">
        <x:v>3155</x:v>
      </x:c>
      <x:c r="I467" s="55" t="n">
        <x:v>1189</x:v>
      </x:c>
      <x:c r="J467" s="55" t="n">
        <x:v>419</x:v>
      </x:c>
      <x:c r="K467" s="55" t="n">
        <x:v>30581</x:v>
      </x:c>
      <x:c r="L467" s="55" t="n">
        <x:v>5573</x:v>
      </x:c>
      <x:c r="M467" s="55" t="n">
        <x:v>1352</x:v>
      </x:c>
      <x:c r="N467" s="55" t="n">
        <x:v>2497</x:v>
      </x:c>
      <x:c r="O467" s="55" t="n">
        <x:v>1724</x:v>
      </x:c>
      <x:c r="P467" s="55" t="n">
        <x:v>579</x:v>
      </x:c>
      <x:c r="Q467" s="55" t="n">
        <x:v>2363</x:v>
      </x:c>
      <x:c r="R467" s="55" t="n">
        <x:v>1390</x:v>
      </x:c>
      <x:c r="S467" s="55" t="n">
        <x:v>3120</x:v>
      </x:c>
      <x:c r="T467" s="55" t="n">
        <x:v>800</x:v>
      </x:c>
      <x:c r="U467" s="55" t="n">
        <x:v>2030</x:v>
      </x:c>
      <x:c r="V467" s="55" t="n">
        <x:v>10608</x:v>
      </x:c>
      <x:c r="W467" s="55" t="n">
        <x:v>7880</x:v>
      </x:c>
      <x:c r="X467" s="55" t="n">
        <x:v>2728</x:v>
      </x:c>
      <x:c r="Y467" s="55" t="n">
        <x:v>2488</x:v>
      </x:c>
      <x:c r="Z467" s="55" t="n">
        <x:v>2853</x:v>
      </x:c>
      <x:c r="AA467" s="55" t="n">
        <x:v>2970</x:v>
      </x:c>
      <x:c r="AB467" s="55" t="n">
        <x:v>1046</x:v>
      </x:c>
      <x:c r="AC467" s="55" t="n">
        <x:v>8384</x:v>
      </x:c>
      <x:c r="AD467" s="55" t="n">
        <x:v>2288</x:v>
      </x:c>
      <x:c r="AE467" s="55" t="n">
        <x:v>10712</x:v>
      </x:c>
      <x:c r="AF467" s="55" t="n">
        <x:v>10608</x:v>
      </x:c>
      <x:c r="AG467" s="55" t="n">
        <x:v>104</x:v>
      </x:c>
      <x:c r="AH467" s="55" t="n">
        <x:v>374</x:v>
      </x:c>
      <x:c r="AI467" s="55" t="n">
        <x:v>10234</x:v>
      </x:c>
      <x:c r="AJ467" s="55" t="n">
        <x:v>527</x:v>
      </x:c>
      <x:c r="AK467" s="55" t="n">
        <x:v>902</x:v>
      </x:c>
      <x:c r="AL467" s="55" t="n">
        <x:v>1598</x:v>
      </x:c>
      <x:c r="AM467" s="55" t="n">
        <x:v>5013</x:v>
      </x:c>
      <x:c r="AN467" s="55" t="n">
        <x:v>2544</x:v>
      </x:c>
      <x:c r="AO467" s="55" t="n">
        <x:v>24</x:v>
      </x:c>
      <x:c r="AP467" s="55" t="n">
        <x:v>2607</x:v>
      </x:c>
      <x:c r="AQ467" s="55" t="n">
        <x:v>933</x:v>
      </x:c>
    </x:row>
    <x:row r="468">
      <x:c r="A468" s="54" t="str">
        <x:v>T0_TABLE_BLOCK</x:v>
      </x:c>
      <x:c r="B468" s="54" t="n">
        <x:v>462</x:v>
      </x:c>
      <x:c r="C468" s="54" t="str">
        <x:v>NYC-V2-R01</x:v>
      </x:c>
      <x:c r="D468" s="54" t="str">
        <x:v>V2</x:v>
      </x:c>
      <x:c r="E468" s="54" t="str">
        <x:v>ADMITTED</x:v>
      </x:c>
      <x:c r="F468" s="55" t="n">
        <x:v>30962</x:v>
      </x:c>
      <x:c r="G468" s="55" t="n">
        <x:v>7344</x:v>
      </x:c>
      <x:c r="H468" s="55" t="n">
        <x:v>3800</x:v>
      </x:c>
      <x:c r="I468" s="55" t="n">
        <x:v>1231</x:v>
      </x:c>
      <x:c r="J468" s="55" t="n">
        <x:v>239</x:v>
      </x:c>
      <x:c r="K468" s="55" t="n">
        <x:v>28373</x:v>
      </x:c>
      <x:c r="L468" s="55" t="n">
        <x:v>4542</x:v>
      </x:c>
      <x:c r="M468" s="55" t="n">
        <x:v>0</x:v>
      </x:c>
      <x:c r="N468" s="55" t="n">
        <x:v>2621</x:v>
      </x:c>
      <x:c r="O468" s="55" t="n">
        <x:v>1921</x:v>
      </x:c>
      <x:c r="P468" s="55" t="n">
        <x:v>652</x:v>
      </x:c>
      <x:c r="Q468" s="55" t="n">
        <x:v>2199</x:v>
      </x:c>
      <x:c r="R468" s="55" t="n">
        <x:v>1938</x:v>
      </x:c>
      <x:c r="S468" s="55" t="n">
        <x:v>2046</x:v>
      </x:c>
      <x:c r="T468" s="55" t="n">
        <x:v>1188</x:v>
      </x:c>
      <x:c r="U468" s="55" t="n">
        <x:v>1713</x:v>
      </x:c>
      <x:c r="V468" s="55" t="n">
        <x:v>9938</x:v>
      </x:c>
      <x:c r="W468" s="55" t="n">
        <x:v>7084</x:v>
      </x:c>
      <x:c r="X468" s="55" t="n">
        <x:v>2854</x:v>
      </x:c>
      <x:c r="Y468" s="55" t="n">
        <x:v>2417</x:v>
      </x:c>
      <x:c r="Z468" s="55" t="n">
        <x:v>3733</x:v>
      </x:c>
      <x:c r="AA468" s="55" t="n">
        <x:v>3800</x:v>
      </x:c>
      <x:c r="AB468" s="55" t="n">
        <x:v>1131</x:v>
      </x:c>
      <x:c r="AC468" s="55" t="n">
        <x:v>8349</x:v>
      </x:c>
      <x:c r="AD468" s="55" t="n">
        <x:v>2443</x:v>
      </x:c>
      <x:c r="AE468" s="55" t="n">
        <x:v>10034</x:v>
      </x:c>
      <x:c r="AF468" s="55" t="n">
        <x:v>9938</x:v>
      </x:c>
      <x:c r="AG468" s="55" t="n">
        <x:v>96</x:v>
      </x:c>
      <x:c r="AH468" s="55" t="n">
        <x:v>535</x:v>
      </x:c>
      <x:c r="AI468" s="55" t="n">
        <x:v>9403</x:v>
      </x:c>
      <x:c r="AJ468" s="55" t="n">
        <x:v>251</x:v>
      </x:c>
      <x:c r="AK468" s="55" t="n">
        <x:v>438</x:v>
      </x:c>
      <x:c r="AL468" s="55" t="n">
        <x:v>1567</x:v>
      </x:c>
      <x:c r="AM468" s="55" t="n">
        <x:v>4465</x:v>
      </x:c>
      <x:c r="AN468" s="55" t="n">
        <x:v>3160</x:v>
      </x:c>
      <x:c r="AO468" s="55" t="n">
        <x:v>57</x:v>
      </x:c>
      <x:c r="AP468" s="55" t="n">
        <x:v>2161</x:v>
      </x:c>
      <x:c r="AQ468" s="55" t="n">
        <x:v>929</x:v>
      </x:c>
    </x:row>
    <x:row r="469">
      <x:c r="A469" s="54" t="str">
        <x:v>T0_TABLE_BLOCK</x:v>
      </x:c>
      <x:c r="B469" s="54" t="n">
        <x:v>463</x:v>
      </x:c>
      <x:c r="C469" s="54" t="str">
        <x:v>NYC-V2-R01</x:v>
      </x:c>
      <x:c r="D469" s="54" t="str">
        <x:v>V2</x:v>
      </x:c>
      <x:c r="E469" s="54" t="str">
        <x:v>ADMITTED</x:v>
      </x:c>
      <x:c r="F469" s="55" t="n">
        <x:v>32177</x:v>
      </x:c>
      <x:c r="G469" s="55" t="n">
        <x:v>6718</x:v>
      </x:c>
      <x:c r="H469" s="55" t="n">
        <x:v>3261</x:v>
      </x:c>
      <x:c r="I469" s="55" t="n">
        <x:v>1001</x:v>
      </x:c>
      <x:c r="J469" s="55" t="n">
        <x:v>343</x:v>
      </x:c>
      <x:c r="K469" s="55" t="n">
        <x:v>32177</x:v>
      </x:c>
      <x:c r="L469" s="55" t="n">
        <x:v>5347</x:v>
      </x:c>
      <x:c r="M469" s="55" t="n">
        <x:v>934</x:v>
      </x:c>
      <x:c r="N469" s="55" t="n">
        <x:v>2400</x:v>
      </x:c>
      <x:c r="O469" s="55" t="n">
        <x:v>2013</x:v>
      </x:c>
      <x:c r="P469" s="55" t="n">
        <x:v>851</x:v>
      </x:c>
      <x:c r="Q469" s="55" t="n">
        <x:v>2533</x:v>
      </x:c>
      <x:c r="R469" s="55" t="n">
        <x:v>1495</x:v>
      </x:c>
      <x:c r="S469" s="55" t="n">
        <x:v>2105</x:v>
      </x:c>
      <x:c r="T469" s="55" t="n">
        <x:v>1104</x:v>
      </x:c>
      <x:c r="U469" s="55" t="n">
        <x:v>2028</x:v>
      </x:c>
      <x:c r="V469" s="55" t="n">
        <x:v>9914</x:v>
      </x:c>
      <x:c r="W469" s="55" t="n">
        <x:v>6793</x:v>
      </x:c>
      <x:c r="X469" s="55" t="n">
        <x:v>3121</x:v>
      </x:c>
      <x:c r="Y469" s="55" t="n">
        <x:v>2593</x:v>
      </x:c>
      <x:c r="Z469" s="55" t="n">
        <x:v>3905</x:v>
      </x:c>
      <x:c r="AA469" s="55" t="n">
        <x:v>3084</x:v>
      </x:c>
      <x:c r="AB469" s="55" t="n">
        <x:v>1290</x:v>
      </x:c>
      <x:c r="AC469" s="55" t="n">
        <x:v>8751</x:v>
      </x:c>
      <x:c r="AD469" s="55" t="n">
        <x:v>3552</x:v>
      </x:c>
      <x:c r="AE469" s="55" t="n">
        <x:v>10081</x:v>
      </x:c>
      <x:c r="AF469" s="55" t="n">
        <x:v>9914</x:v>
      </x:c>
      <x:c r="AG469" s="55" t="n">
        <x:v>167</x:v>
      </x:c>
      <x:c r="AH469" s="55" t="n">
        <x:v>124</x:v>
      </x:c>
      <x:c r="AI469" s="55" t="n">
        <x:v>9790</x:v>
      </x:c>
      <x:c r="AJ469" s="55" t="n">
        <x:v>217</x:v>
      </x:c>
      <x:c r="AK469" s="55" t="n">
        <x:v>1198</x:v>
      </x:c>
      <x:c r="AL469" s="55" t="n">
        <x:v>1592</x:v>
      </x:c>
      <x:c r="AM469" s="55" t="n">
        <x:v>4743</x:v>
      </x:c>
      <x:c r="AN469" s="55" t="n">
        <x:v>2140</x:v>
      </x:c>
      <x:c r="AO469" s="55" t="n">
        <x:v>24</x:v>
      </x:c>
      <x:c r="AP469" s="55" t="n">
        <x:v>1879</x:v>
      </x:c>
      <x:c r="AQ469" s="55" t="n">
        <x:v>943</x:v>
      </x:c>
    </x:row>
    <x:row r="470">
      <x:c r="A470" s="54" t="str">
        <x:v>T0_TABLE_BLOCK</x:v>
      </x:c>
      <x:c r="B470" s="54" t="n">
        <x:v>464</x:v>
      </x:c>
      <x:c r="C470" s="54" t="str">
        <x:v>NYC-V2-R01</x:v>
      </x:c>
      <x:c r="D470" s="54" t="str">
        <x:v>V2</x:v>
      </x:c>
      <x:c r="E470" s="54" t="str">
        <x:v>ADMITTED</x:v>
      </x:c>
      <x:c r="F470" s="55" t="n">
        <x:v>30717</x:v>
      </x:c>
      <x:c r="G470" s="55" t="n">
        <x:v>7908</x:v>
      </x:c>
      <x:c r="H470" s="55" t="n">
        <x:v>2924</x:v>
      </x:c>
      <x:c r="I470" s="55" t="n">
        <x:v>1015</x:v>
      </x:c>
      <x:c r="J470" s="55" t="n">
        <x:v>216</x:v>
      </x:c>
      <x:c r="K470" s="55" t="n">
        <x:v>30306</x:v>
      </x:c>
      <x:c r="L470" s="55" t="n">
        <x:v>5700</x:v>
      </x:c>
      <x:c r="M470" s="55" t="n">
        <x:v>1756</x:v>
      </x:c>
      <x:c r="N470" s="55" t="n">
        <x:v>2227</x:v>
      </x:c>
      <x:c r="O470" s="55" t="n">
        <x:v>1717</x:v>
      </x:c>
      <x:c r="P470" s="55" t="n">
        <x:v>620</x:v>
      </x:c>
      <x:c r="Q470" s="55" t="n">
        <x:v>2809</x:v>
      </x:c>
      <x:c r="R470" s="55" t="n">
        <x:v>1972</x:v>
      </x:c>
      <x:c r="S470" s="55" t="n">
        <x:v>3241</x:v>
      </x:c>
      <x:c r="T470" s="55" t="n">
        <x:v>1375</x:v>
      </x:c>
      <x:c r="U470" s="55" t="n">
        <x:v>2338</x:v>
      </x:c>
      <x:c r="V470" s="55" t="n">
        <x:v>10259</x:v>
      </x:c>
      <x:c r="W470" s="55" t="n">
        <x:v>7895</x:v>
      </x:c>
      <x:c r="X470" s="55" t="n">
        <x:v>2364</x:v>
      </x:c>
      <x:c r="Y470" s="55" t="n">
        <x:v>2197</x:v>
      </x:c>
      <x:c r="Z470" s="55" t="n">
        <x:v>3763</x:v>
      </x:c>
      <x:c r="AA470" s="55" t="n">
        <x:v>2429</x:v>
      </x:c>
      <x:c r="AB470" s="55" t="n">
        <x:v>967</x:v>
      </x:c>
      <x:c r="AC470" s="55" t="n">
        <x:v>7729</x:v>
      </x:c>
      <x:c r="AD470" s="55" t="n">
        <x:v>2642</x:v>
      </x:c>
      <x:c r="AE470" s="55" t="n">
        <x:v>10352</x:v>
      </x:c>
      <x:c r="AF470" s="55" t="n">
        <x:v>10259</x:v>
      </x:c>
      <x:c r="AG470" s="55" t="n">
        <x:v>93</x:v>
      </x:c>
      <x:c r="AH470" s="55" t="n">
        <x:v>516</x:v>
      </x:c>
      <x:c r="AI470" s="55" t="n">
        <x:v>9743</x:v>
      </x:c>
      <x:c r="AJ470" s="55" t="n">
        <x:v>456</x:v>
      </x:c>
      <x:c r="AK470" s="55" t="n">
        <x:v>1079</x:v>
      </x:c>
      <x:c r="AL470" s="55" t="n">
        <x:v>1394</x:v>
      </x:c>
      <x:c r="AM470" s="55" t="n">
        <x:v>4316</x:v>
      </x:c>
      <x:c r="AN470" s="55" t="n">
        <x:v>3014</x:v>
      </x:c>
      <x:c r="AO470" s="55" t="n">
        <x:v>0</x:v>
      </x:c>
      <x:c r="AP470" s="55" t="n">
        <x:v>2178</x:v>
      </x:c>
      <x:c r="AQ470" s="55" t="n">
        <x:v>933</x:v>
      </x:c>
    </x:row>
    <x:row r="471">
      <x:c r="A471" s="54" t="str">
        <x:v>T0_TABLE_BLOCK</x:v>
      </x:c>
      <x:c r="B471" s="54" t="n">
        <x:v>465</x:v>
      </x:c>
      <x:c r="C471" s="54" t="str">
        <x:v>NYC-V2-R01</x:v>
      </x:c>
      <x:c r="D471" s="54" t="str">
        <x:v>V2</x:v>
      </x:c>
      <x:c r="E471" s="54" t="str">
        <x:v>ADMITTED</x:v>
      </x:c>
      <x:c r="F471" s="55" t="n">
        <x:v>33962</x:v>
      </x:c>
      <x:c r="G471" s="55" t="n">
        <x:v>8796</x:v>
      </x:c>
      <x:c r="H471" s="55" t="n">
        <x:v>3961</x:v>
      </x:c>
      <x:c r="I471" s="55" t="n">
        <x:v>1293</x:v>
      </x:c>
      <x:c r="J471" s="55" t="n">
        <x:v>368</x:v>
      </x:c>
      <x:c r="K471" s="55" t="n">
        <x:v>27930</x:v>
      </x:c>
      <x:c r="L471" s="55" t="n">
        <x:v>5120</x:v>
      </x:c>
      <x:c r="M471" s="55" t="n">
        <x:v>909</x:v>
      </x:c>
      <x:c r="N471" s="55" t="n">
        <x:v>2520</x:v>
      </x:c>
      <x:c r="O471" s="55" t="n">
        <x:v>1691</x:v>
      </x:c>
      <x:c r="P471" s="55" t="n">
        <x:v>338</x:v>
      </x:c>
      <x:c r="Q471" s="55" t="n">
        <x:v>2311</x:v>
      </x:c>
      <x:c r="R471" s="55" t="n">
        <x:v>2136</x:v>
      </x:c>
      <x:c r="S471" s="55" t="n">
        <x:v>2415</x:v>
      </x:c>
      <x:c r="T471" s="55" t="n">
        <x:v>752</x:v>
      </x:c>
      <x:c r="U471" s="55" t="n">
        <x:v>2432</x:v>
      </x:c>
      <x:c r="V471" s="55" t="n">
        <x:v>11062</x:v>
      </x:c>
      <x:c r="W471" s="55" t="n">
        <x:v>7825</x:v>
      </x:c>
      <x:c r="X471" s="55" t="n">
        <x:v>3237</x:v>
      </x:c>
      <x:c r="Y471" s="55" t="n">
        <x:v>3020</x:v>
      </x:c>
      <x:c r="Z471" s="55" t="n">
        <x:v>3660</x:v>
      </x:c>
      <x:c r="AA471" s="55" t="n">
        <x:v>3272</x:v>
      </x:c>
      <x:c r="AB471" s="55" t="n">
        <x:v>1242</x:v>
      </x:c>
      <x:c r="AC471" s="55" t="n">
        <x:v>7920</x:v>
      </x:c>
      <x:c r="AD471" s="55" t="n">
        <x:v>2476</x:v>
      </x:c>
      <x:c r="AE471" s="55" t="n">
        <x:v>11191</x:v>
      </x:c>
      <x:c r="AF471" s="55" t="n">
        <x:v>11062</x:v>
      </x:c>
      <x:c r="AG471" s="55" t="n">
        <x:v>129</x:v>
      </x:c>
      <x:c r="AH471" s="55" t="n">
        <x:v>249</x:v>
      </x:c>
      <x:c r="AI471" s="55" t="n">
        <x:v>10813</x:v>
      </x:c>
      <x:c r="AJ471" s="55" t="n">
        <x:v>259</x:v>
      </x:c>
      <x:c r="AK471" s="55" t="n">
        <x:v>1054</x:v>
      </x:c>
      <x:c r="AL471" s="55" t="n">
        <x:v>1964</x:v>
      </x:c>
      <x:c r="AM471" s="55" t="n">
        <x:v>5370</x:v>
      </x:c>
      <x:c r="AN471" s="55" t="n">
        <x:v>2415</x:v>
      </x:c>
      <x:c r="AO471" s="55" t="n">
        <x:v>0</x:v>
      </x:c>
      <x:c r="AP471" s="55" t="n">
        <x:v>2340</x:v>
      </x:c>
      <x:c r="AQ471" s="55" t="n">
        <x:v>955</x:v>
      </x:c>
    </x:row>
    <x:row r="472">
      <x:c r="A472" s="54" t="str">
        <x:v>T0_TABLE_BLOCK</x:v>
      </x:c>
      <x:c r="B472" s="54" t="n">
        <x:v>466</x:v>
      </x:c>
      <x:c r="C472" s="54" t="str">
        <x:v>NYC-V2-R01</x:v>
      </x:c>
      <x:c r="D472" s="54" t="str">
        <x:v>V2</x:v>
      </x:c>
      <x:c r="E472" s="54" t="str">
        <x:v>ADMITTED</x:v>
      </x:c>
      <x:c r="F472" s="55" t="n">
        <x:v>30430</x:v>
      </x:c>
      <x:c r="G472" s="55" t="n">
        <x:v>7653</x:v>
      </x:c>
      <x:c r="H472" s="55" t="n">
        <x:v>3027</x:v>
      </x:c>
      <x:c r="I472" s="55" t="n">
        <x:v>1018</x:v>
      </x:c>
      <x:c r="J472" s="55" t="n">
        <x:v>88</x:v>
      </x:c>
      <x:c r="K472" s="55" t="n">
        <x:v>30430</x:v>
      </x:c>
      <x:c r="L472" s="55" t="n">
        <x:v>6655</x:v>
      </x:c>
      <x:c r="M472" s="55" t="n">
        <x:v>1363</x:v>
      </x:c>
      <x:c r="N472" s="55" t="n">
        <x:v>2752</x:v>
      </x:c>
      <x:c r="O472" s="55" t="n">
        <x:v>2540</x:v>
      </x:c>
      <x:c r="P472" s="55" t="n">
        <x:v>675</x:v>
      </x:c>
      <x:c r="Q472" s="55" t="n">
        <x:v>2866</x:v>
      </x:c>
      <x:c r="R472" s="55" t="n">
        <x:v>1944</x:v>
      </x:c>
      <x:c r="S472" s="55" t="n">
        <x:v>2833</x:v>
      </x:c>
      <x:c r="T472" s="55" t="n">
        <x:v>1301</x:v>
      </x:c>
      <x:c r="U472" s="55" t="n">
        <x:v>2710</x:v>
      </x:c>
      <x:c r="V472" s="55" t="n">
        <x:v>10527</x:v>
      </x:c>
      <x:c r="W472" s="55" t="n">
        <x:v>7226</x:v>
      </x:c>
      <x:c r="X472" s="55" t="n">
        <x:v>3301</x:v>
      </x:c>
      <x:c r="Y472" s="55" t="n">
        <x:v>2964</x:v>
      </x:c>
      <x:c r="Z472" s="55" t="n">
        <x:v>3987</x:v>
      </x:c>
      <x:c r="AA472" s="55" t="n">
        <x:v>2446</x:v>
      </x:c>
      <x:c r="AB472" s="55" t="n">
        <x:v>692</x:v>
      </x:c>
      <x:c r="AC472" s="55" t="n">
        <x:v>8490</x:v>
      </x:c>
      <x:c r="AD472" s="55" t="n">
        <x:v>2550</x:v>
      </x:c>
      <x:c r="AE472" s="55" t="n">
        <x:v>10557</x:v>
      </x:c>
      <x:c r="AF472" s="55" t="n">
        <x:v>10527</x:v>
      </x:c>
      <x:c r="AG472" s="55" t="n">
        <x:v>30</x:v>
      </x:c>
      <x:c r="AH472" s="55" t="n">
        <x:v>354</x:v>
      </x:c>
      <x:c r="AI472" s="55" t="n">
        <x:v>10173</x:v>
      </x:c>
      <x:c r="AJ472" s="55" t="n">
        <x:v>238</x:v>
      </x:c>
      <x:c r="AK472" s="55" t="n">
        <x:v>646</x:v>
      </x:c>
      <x:c r="AL472" s="55" t="n">
        <x:v>1592</x:v>
      </x:c>
      <x:c r="AM472" s="55" t="n">
        <x:v>5446</x:v>
      </x:c>
      <x:c r="AN472" s="55" t="n">
        <x:v>2587</x:v>
      </x:c>
      <x:c r="AO472" s="55" t="n">
        <x:v>18</x:v>
      </x:c>
      <x:c r="AP472" s="55" t="n">
        <x:v>2049</x:v>
      </x:c>
      <x:c r="AQ472" s="55" t="n">
        <x:v>972</x:v>
      </x:c>
    </x:row>
    <x:row r="473">
      <x:c r="A473" s="54" t="str">
        <x:v>T0_TABLE_BLOCK</x:v>
      </x:c>
      <x:c r="B473" s="54" t="n">
        <x:v>467</x:v>
      </x:c>
      <x:c r="C473" s="54" t="str">
        <x:v>NYC-V2-R01</x:v>
      </x:c>
      <x:c r="D473" s="54" t="str">
        <x:v>V2</x:v>
      </x:c>
      <x:c r="E473" s="54" t="str">
        <x:v>ADMITTED</x:v>
      </x:c>
      <x:c r="F473" s="55" t="n">
        <x:v>30668</x:v>
      </x:c>
      <x:c r="G473" s="55" t="n">
        <x:v>8164</x:v>
      </x:c>
      <x:c r="H473" s="55" t="n">
        <x:v>3352</x:v>
      </x:c>
      <x:c r="I473" s="55" t="n">
        <x:v>1383</x:v>
      </x:c>
      <x:c r="J473" s="55" t="n">
        <x:v>201</x:v>
      </x:c>
      <x:c r="K473" s="55" t="n">
        <x:v>29098</x:v>
      </x:c>
      <x:c r="L473" s="55" t="n">
        <x:v>5319</x:v>
      </x:c>
      <x:c r="M473" s="55" t="n">
        <x:v>1375</x:v>
      </x:c>
      <x:c r="N473" s="55" t="n">
        <x:v>2318</x:v>
      </x:c>
      <x:c r="O473" s="55" t="n">
        <x:v>1626</x:v>
      </x:c>
      <x:c r="P473" s="55" t="n">
        <x:v>834</x:v>
      </x:c>
      <x:c r="Q473" s="55" t="n">
        <x:v>916</x:v>
      </x:c>
      <x:c r="R473" s="55" t="n">
        <x:v>2334</x:v>
      </x:c>
      <x:c r="S473" s="55" t="n">
        <x:v>2948</x:v>
      </x:c>
      <x:c r="T473" s="55" t="n">
        <x:v>1437</x:v>
      </x:c>
      <x:c r="U473" s="55" t="n">
        <x:v>2421</x:v>
      </x:c>
      <x:c r="V473" s="55" t="n">
        <x:v>10812</x:v>
      </x:c>
      <x:c r="W473" s="55" t="n">
        <x:v>7553</x:v>
      </x:c>
      <x:c r="X473" s="55" t="n">
        <x:v>3259</x:v>
      </x:c>
      <x:c r="Y473" s="55" t="n">
        <x:v>2906</x:v>
      </x:c>
      <x:c r="Z473" s="55" t="n">
        <x:v>4090</x:v>
      </x:c>
      <x:c r="AA473" s="55" t="n">
        <x:v>2857</x:v>
      </x:c>
      <x:c r="AB473" s="55" t="n">
        <x:v>1158</x:v>
      </x:c>
      <x:c r="AC473" s="55" t="n">
        <x:v>7620</x:v>
      </x:c>
      <x:c r="AD473" s="55" t="n">
        <x:v>2929</x:v>
      </x:c>
      <x:c r="AE473" s="55" t="n">
        <x:v>10825</x:v>
      </x:c>
      <x:c r="AF473" s="55" t="n">
        <x:v>10812</x:v>
      </x:c>
      <x:c r="AG473" s="55" t="n">
        <x:v>13</x:v>
      </x:c>
      <x:c r="AH473" s="55" t="n">
        <x:v>721</x:v>
      </x:c>
      <x:c r="AI473" s="55" t="n">
        <x:v>10091</x:v>
      </x:c>
      <x:c r="AJ473" s="55" t="n">
        <x:v>313</x:v>
      </x:c>
      <x:c r="AK473" s="55" t="n">
        <x:v>925</x:v>
      </x:c>
      <x:c r="AL473" s="55" t="n">
        <x:v>1548</x:v>
      </x:c>
      <x:c r="AM473" s="55" t="n">
        <x:v>4930</x:v>
      </x:c>
      <x:c r="AN473" s="55" t="n">
        <x:v>3071</x:v>
      </x:c>
      <x:c r="AO473" s="55" t="n">
        <x:v>25</x:v>
      </x:c>
      <x:c r="AP473" s="55" t="n">
        <x:v>2561</x:v>
      </x:c>
      <x:c r="AQ473" s="55" t="n">
        <x:v>945</x:v>
      </x:c>
    </x:row>
    <x:row r="474">
      <x:c r="A474" s="54" t="str">
        <x:v>T0_TABLE_BLOCK</x:v>
      </x:c>
      <x:c r="B474" s="54" t="n">
        <x:v>468</x:v>
      </x:c>
      <x:c r="C474" s="54" t="str">
        <x:v>NYC-V2-R01</x:v>
      </x:c>
      <x:c r="D474" s="54" t="str">
        <x:v>V2</x:v>
      </x:c>
      <x:c r="E474" s="54" t="str">
        <x:v>ADMITTED</x:v>
      </x:c>
      <x:c r="F474" s="55" t="n">
        <x:v>32228</x:v>
      </x:c>
      <x:c r="G474" s="55" t="n">
        <x:v>7838</x:v>
      </x:c>
      <x:c r="H474" s="55" t="n">
        <x:v>3280</x:v>
      </x:c>
      <x:c r="I474" s="55" t="n">
        <x:v>1121</x:v>
      </x:c>
      <x:c r="J474" s="55" t="n">
        <x:v>295</x:v>
      </x:c>
      <x:c r="K474" s="55" t="n">
        <x:v>32228</x:v>
      </x:c>
      <x:c r="L474" s="55" t="n">
        <x:v>7378</x:v>
      </x:c>
      <x:c r="M474" s="55" t="n">
        <x:v>2297</x:v>
      </x:c>
      <x:c r="N474" s="55" t="n">
        <x:v>3434</x:v>
      </x:c>
      <x:c r="O474" s="55" t="n">
        <x:v>1647</x:v>
      </x:c>
      <x:c r="P474" s="55" t="n">
        <x:v>678</x:v>
      </x:c>
      <x:c r="Q474" s="55" t="n">
        <x:v>1274</x:v>
      </x:c>
      <x:c r="R474" s="55" t="n">
        <x:v>1621</x:v>
      </x:c>
      <x:c r="S474" s="55" t="n">
        <x:v>3175</x:v>
      </x:c>
      <x:c r="T474" s="55" t="n">
        <x:v>1136</x:v>
      </x:c>
      <x:c r="U474" s="55" t="n">
        <x:v>2271</x:v>
      </x:c>
      <x:c r="V474" s="55" t="n">
        <x:v>10455</x:v>
      </x:c>
      <x:c r="W474" s="55" t="n">
        <x:v>7407</x:v>
      </x:c>
      <x:c r="X474" s="55" t="n">
        <x:v>3048</x:v>
      </x:c>
      <x:c r="Y474" s="55" t="n">
        <x:v>2702</x:v>
      </x:c>
      <x:c r="Z474" s="55" t="n">
        <x:v>3844</x:v>
      </x:c>
      <x:c r="AA474" s="55" t="n">
        <x:v>3280</x:v>
      </x:c>
      <x:c r="AB474" s="55" t="n">
        <x:v>1019</x:v>
      </x:c>
      <x:c r="AC474" s="55" t="n">
        <x:v>8284</x:v>
      </x:c>
      <x:c r="AD474" s="55" t="n">
        <x:v>2822</x:v>
      </x:c>
      <x:c r="AE474" s="55" t="n">
        <x:v>10591</x:v>
      </x:c>
      <x:c r="AF474" s="55" t="n">
        <x:v>10455</x:v>
      </x:c>
      <x:c r="AG474" s="55" t="n">
        <x:v>136</x:v>
      </x:c>
      <x:c r="AH474" s="55" t="n">
        <x:v>557</x:v>
      </x:c>
      <x:c r="AI474" s="55" t="n">
        <x:v>9898</x:v>
      </x:c>
      <x:c r="AJ474" s="55" t="n">
        <x:v>200</x:v>
      </x:c>
      <x:c r="AK474" s="55" t="n">
        <x:v>916</x:v>
      </x:c>
      <x:c r="AL474" s="55" t="n">
        <x:v>1570</x:v>
      </x:c>
      <x:c r="AM474" s="55" t="n">
        <x:v>4924</x:v>
      </x:c>
      <x:c r="AN474" s="55" t="n">
        <x:v>2813</x:v>
      </x:c>
      <x:c r="AO474" s="55" t="n">
        <x:v>32</x:v>
      </x:c>
      <x:c r="AP474" s="55" t="n">
        <x:v>2718</x:v>
      </x:c>
      <x:c r="AQ474" s="55" t="n">
        <x:v>933</x:v>
      </x:c>
    </x:row>
    <x:row r="475">
      <x:c r="A475" s="54" t="str">
        <x:v>T0_TABLE_BLOCK</x:v>
      </x:c>
      <x:c r="B475" s="54" t="n">
        <x:v>469</x:v>
      </x:c>
      <x:c r="C475" s="54" t="str">
        <x:v>NYC-V2-R01</x:v>
      </x:c>
      <x:c r="D475" s="54" t="str">
        <x:v>V2</x:v>
      </x:c>
      <x:c r="E475" s="54" t="str">
        <x:v>ADMITTED</x:v>
      </x:c>
      <x:c r="F475" s="55" t="n">
        <x:v>32895</x:v>
      </x:c>
      <x:c r="G475" s="55" t="n">
        <x:v>8943</x:v>
      </x:c>
      <x:c r="H475" s="55" t="n">
        <x:v>3056</x:v>
      </x:c>
      <x:c r="I475" s="55" t="n">
        <x:v>1565</x:v>
      </x:c>
      <x:c r="J475" s="55" t="n">
        <x:v>72</x:v>
      </x:c>
      <x:c r="K475" s="55" t="n">
        <x:v>31478</x:v>
      </x:c>
      <x:c r="L475" s="55" t="n">
        <x:v>6024</x:v>
      </x:c>
      <x:c r="M475" s="55" t="n">
        <x:v>1932</x:v>
      </x:c>
      <x:c r="N475" s="55" t="n">
        <x:v>2708</x:v>
      </x:c>
      <x:c r="O475" s="55" t="n">
        <x:v>1384</x:v>
      </x:c>
      <x:c r="P475" s="55" t="n">
        <x:v>898</x:v>
      </x:c>
      <x:c r="Q475" s="55" t="n">
        <x:v>1951</x:v>
      </x:c>
      <x:c r="R475" s="55" t="n">
        <x:v>2385</x:v>
      </x:c>
      <x:c r="S475" s="55" t="n">
        <x:v>2901</x:v>
      </x:c>
      <x:c r="T475" s="55" t="n">
        <x:v>922</x:v>
      </x:c>
      <x:c r="U475" s="55" t="n">
        <x:v>1984</x:v>
      </x:c>
      <x:c r="V475" s="55" t="n">
        <x:v>10639</x:v>
      </x:c>
      <x:c r="W475" s="55" t="n">
        <x:v>7702</x:v>
      </x:c>
      <x:c r="X475" s="55" t="n">
        <x:v>2937</x:v>
      </x:c>
      <x:c r="Y475" s="55" t="n">
        <x:v>2577</x:v>
      </x:c>
      <x:c r="Z475" s="55" t="n">
        <x:v>3375</x:v>
      </x:c>
      <x:c r="AA475" s="55" t="n">
        <x:v>2702</x:v>
      </x:c>
      <x:c r="AB475" s="55" t="n">
        <x:v>1265</x:v>
      </x:c>
      <x:c r="AC475" s="55" t="n">
        <x:v>8066</x:v>
      </x:c>
      <x:c r="AD475" s="55" t="n">
        <x:v>2883</x:v>
      </x:c>
      <x:c r="AE475" s="55" t="n">
        <x:v>10657</x:v>
      </x:c>
      <x:c r="AF475" s="55" t="n">
        <x:v>10639</x:v>
      </x:c>
      <x:c r="AG475" s="55" t="n">
        <x:v>18</x:v>
      </x:c>
      <x:c r="AH475" s="55" t="n">
        <x:v>413</x:v>
      </x:c>
      <x:c r="AI475" s="55" t="n">
        <x:v>10226</x:v>
      </x:c>
      <x:c r="AJ475" s="55" t="n">
        <x:v>197</x:v>
      </x:c>
      <x:c r="AK475" s="55" t="n">
        <x:v>1281</x:v>
      </x:c>
      <x:c r="AL475" s="55" t="n">
        <x:v>2114</x:v>
      </x:c>
      <x:c r="AM475" s="55" t="n">
        <x:v>4608</x:v>
      </x:c>
      <x:c r="AN475" s="55" t="n">
        <x:v>2439</x:v>
      </x:c>
      <x:c r="AO475" s="55" t="n">
        <x:v>0</x:v>
      </x:c>
      <x:c r="AP475" s="55" t="n">
        <x:v>2420</x:v>
      </x:c>
      <x:c r="AQ475" s="55" t="n">
        <x:v>985</x:v>
      </x:c>
    </x:row>
    <x:row r="476">
      <x:c r="A476" s="54" t="str">
        <x:v>T0_TABLE_BLOCK</x:v>
      </x:c>
      <x:c r="B476" s="54" t="n">
        <x:v>470</x:v>
      </x:c>
      <x:c r="C476" s="54" t="str">
        <x:v>NYC-V2-R01</x:v>
      </x:c>
      <x:c r="D476" s="54" t="str">
        <x:v>V2</x:v>
      </x:c>
      <x:c r="E476" s="54" t="str">
        <x:v>ADMITTED</x:v>
      </x:c>
      <x:c r="F476" s="55" t="n">
        <x:v>30900</x:v>
      </x:c>
      <x:c r="G476" s="55" t="n">
        <x:v>6996</x:v>
      </x:c>
      <x:c r="H476" s="55" t="n">
        <x:v>2857</x:v>
      </x:c>
      <x:c r="I476" s="55" t="n">
        <x:v>1311</x:v>
      </x:c>
      <x:c r="J476" s="55" t="n">
        <x:v>267</x:v>
      </x:c>
      <x:c r="K476" s="55" t="n">
        <x:v>30900</x:v>
      </x:c>
      <x:c r="L476" s="55" t="n">
        <x:v>6130</x:v>
      </x:c>
      <x:c r="M476" s="55" t="n">
        <x:v>2754</x:v>
      </x:c>
      <x:c r="N476" s="55" t="n">
        <x:v>2190</x:v>
      </x:c>
      <x:c r="O476" s="55" t="n">
        <x:v>1186</x:v>
      </x:c>
      <x:c r="P476" s="55" t="n">
        <x:v>614</x:v>
      </x:c>
      <x:c r="Q476" s="55" t="n">
        <x:v>2007</x:v>
      </x:c>
      <x:c r="R476" s="55" t="n">
        <x:v>2168</x:v>
      </x:c>
      <x:c r="S476" s="55" t="n">
        <x:v>2452</x:v>
      </x:c>
      <x:c r="T476" s="55" t="n">
        <x:v>1225</x:v>
      </x:c>
      <x:c r="U476" s="55" t="n">
        <x:v>2537</x:v>
      </x:c>
      <x:c r="V476" s="55" t="n">
        <x:v>10129</x:v>
      </x:c>
      <x:c r="W476" s="55" t="n">
        <x:v>7025</x:v>
      </x:c>
      <x:c r="X476" s="55" t="n">
        <x:v>3104</x:v>
      </x:c>
      <x:c r="Y476" s="55" t="n">
        <x:v>2749</x:v>
      </x:c>
      <x:c r="Z476" s="55" t="n">
        <x:v>3597</x:v>
      </x:c>
      <x:c r="AA476" s="55" t="n">
        <x:v>2696</x:v>
      </x:c>
      <x:c r="AB476" s="55" t="n">
        <x:v>812</x:v>
      </x:c>
      <x:c r="AC476" s="55" t="n">
        <x:v>8366</x:v>
      </x:c>
      <x:c r="AD476" s="55" t="n">
        <x:v>2762</x:v>
      </x:c>
      <x:c r="AE476" s="55" t="n">
        <x:v>10180</x:v>
      </x:c>
      <x:c r="AF476" s="55" t="n">
        <x:v>10129</x:v>
      </x:c>
      <x:c r="AG476" s="55" t="n">
        <x:v>51</x:v>
      </x:c>
      <x:c r="AH476" s="55" t="n">
        <x:v>477</x:v>
      </x:c>
      <x:c r="AI476" s="55" t="n">
        <x:v>9652</x:v>
      </x:c>
      <x:c r="AJ476" s="55" t="n">
        <x:v>327</x:v>
      </x:c>
      <x:c r="AK476" s="55" t="n">
        <x:v>1307</x:v>
      </x:c>
      <x:c r="AL476" s="55" t="n">
        <x:v>1377</x:v>
      </x:c>
      <x:c r="AM476" s="55" t="n">
        <x:v>4635</x:v>
      </x:c>
      <x:c r="AN476" s="55" t="n">
        <x:v>2445</x:v>
      </x:c>
      <x:c r="AO476" s="55" t="n">
        <x:v>38</x:v>
      </x:c>
      <x:c r="AP476" s="55" t="n">
        <x:v>2147</x:v>
      </x:c>
      <x:c r="AQ476" s="55" t="n">
        <x:v>931</x:v>
      </x:c>
    </x:row>
    <x:row r="477">
      <x:c r="A477" s="54" t="str">
        <x:v>T0_TABLE_BLOCK</x:v>
      </x:c>
      <x:c r="B477" s="54" t="n">
        <x:v>471</x:v>
      </x:c>
      <x:c r="C477" s="54" t="str">
        <x:v>NYC-V2-R01</x:v>
      </x:c>
      <x:c r="D477" s="54" t="str">
        <x:v>V2</x:v>
      </x:c>
      <x:c r="E477" s="54" t="str">
        <x:v>ADMITTED</x:v>
      </x:c>
      <x:c r="F477" s="55" t="n">
        <x:v>31121</x:v>
      </x:c>
      <x:c r="G477" s="55" t="n">
        <x:v>8601</x:v>
      </x:c>
      <x:c r="H477" s="55" t="n">
        <x:v>3213</x:v>
      </x:c>
      <x:c r="I477" s="55" t="n">
        <x:v>1146</x:v>
      </x:c>
      <x:c r="J477" s="55" t="n">
        <x:v>178</x:v>
      </x:c>
      <x:c r="K477" s="55" t="n">
        <x:v>29779</x:v>
      </x:c>
      <x:c r="L477" s="55" t="n">
        <x:v>6046</x:v>
      </x:c>
      <x:c r="M477" s="55" t="n">
        <x:v>2203</x:v>
      </x:c>
      <x:c r="N477" s="55" t="n">
        <x:v>2221</x:v>
      </x:c>
      <x:c r="O477" s="55" t="n">
        <x:v>1622</x:v>
      </x:c>
      <x:c r="P477" s="55" t="n">
        <x:v>1007</x:v>
      </x:c>
      <x:c r="Q477" s="55" t="n">
        <x:v>2583</x:v>
      </x:c>
      <x:c r="R477" s="55" t="n">
        <x:v>1844</x:v>
      </x:c>
      <x:c r="S477" s="55" t="n">
        <x:v>3368</x:v>
      </x:c>
      <x:c r="T477" s="55" t="n">
        <x:v>1571</x:v>
      </x:c>
      <x:c r="U477" s="55" t="n">
        <x:v>2260</x:v>
      </x:c>
      <x:c r="V477" s="55" t="n">
        <x:v>10359</x:v>
      </x:c>
      <x:c r="W477" s="55" t="n">
        <x:v>7247</x:v>
      </x:c>
      <x:c r="X477" s="55" t="n">
        <x:v>3112</x:v>
      </x:c>
      <x:c r="Y477" s="55" t="n">
        <x:v>2688</x:v>
      </x:c>
      <x:c r="Z477" s="55" t="n">
        <x:v>3561</x:v>
      </x:c>
      <x:c r="AA477" s="55" t="n">
        <x:v>3085</x:v>
      </x:c>
      <x:c r="AB477" s="55" t="n">
        <x:v>936</x:v>
      </x:c>
      <x:c r="AC477" s="55" t="n">
        <x:v>8260</x:v>
      </x:c>
      <x:c r="AD477" s="55" t="n">
        <x:v>2580</x:v>
      </x:c>
      <x:c r="AE477" s="55" t="n">
        <x:v>10440</x:v>
      </x:c>
      <x:c r="AF477" s="55" t="n">
        <x:v>10359</x:v>
      </x:c>
      <x:c r="AG477" s="55" t="n">
        <x:v>81</x:v>
      </x:c>
      <x:c r="AH477" s="55" t="n">
        <x:v>309</x:v>
      </x:c>
      <x:c r="AI477" s="55" t="n">
        <x:v>10050</x:v>
      </x:c>
      <x:c r="AJ477" s="55" t="n">
        <x:v>283</x:v>
      </x:c>
      <x:c r="AK477" s="55" t="n">
        <x:v>932</x:v>
      </x:c>
      <x:c r="AL477" s="55" t="n">
        <x:v>1096</x:v>
      </x:c>
      <x:c r="AM477" s="55" t="n">
        <x:v>5561</x:v>
      </x:c>
      <x:c r="AN477" s="55" t="n">
        <x:v>2445</x:v>
      </x:c>
      <x:c r="AO477" s="55" t="n">
        <x:v>42</x:v>
      </x:c>
      <x:c r="AP477" s="55" t="n">
        <x:v>2259</x:v>
      </x:c>
      <x:c r="AQ477" s="55" t="n">
        <x:v>1027</x:v>
      </x:c>
    </x:row>
    <x:row r="478">
      <x:c r="A478" s="54" t="str">
        <x:v>T0_TABLE_BLOCK</x:v>
      </x:c>
      <x:c r="B478" s="54" t="n">
        <x:v>472</x:v>
      </x:c>
      <x:c r="C478" s="54" t="str">
        <x:v>NYC-V2-R01</x:v>
      </x:c>
      <x:c r="D478" s="54" t="str">
        <x:v>V2</x:v>
      </x:c>
      <x:c r="E478" s="54" t="str">
        <x:v>ADMITTED</x:v>
      </x:c>
      <x:c r="F478" s="55" t="n">
        <x:v>31092</x:v>
      </x:c>
      <x:c r="G478" s="55" t="n">
        <x:v>7193</x:v>
      </x:c>
      <x:c r="H478" s="55" t="n">
        <x:v>3492</x:v>
      </x:c>
      <x:c r="I478" s="55" t="n">
        <x:v>1463</x:v>
      </x:c>
      <x:c r="J478" s="55" t="n">
        <x:v>331</x:v>
      </x:c>
      <x:c r="K478" s="55" t="n">
        <x:v>31092</x:v>
      </x:c>
      <x:c r="L478" s="55" t="n">
        <x:v>6192</x:v>
      </x:c>
      <x:c r="M478" s="55" t="n">
        <x:v>1349</x:v>
      </x:c>
      <x:c r="N478" s="55" t="n">
        <x:v>2922</x:v>
      </x:c>
      <x:c r="O478" s="55" t="n">
        <x:v>1921</x:v>
      </x:c>
      <x:c r="P478" s="55" t="n">
        <x:v>844</x:v>
      </x:c>
      <x:c r="Q478" s="55" t="n">
        <x:v>2072</x:v>
      </x:c>
      <x:c r="R478" s="55" t="n">
        <x:v>1551</x:v>
      </x:c>
      <x:c r="S478" s="55" t="n">
        <x:v>3199</x:v>
      </x:c>
      <x:c r="T478" s="55" t="n">
        <x:v>1408</x:v>
      </x:c>
      <x:c r="U478" s="55" t="n">
        <x:v>2149</x:v>
      </x:c>
      <x:c r="V478" s="55" t="n">
        <x:v>10142</x:v>
      </x:c>
      <x:c r="W478" s="55" t="n">
        <x:v>7211</x:v>
      </x:c>
      <x:c r="X478" s="55" t="n">
        <x:v>2931</x:v>
      </x:c>
      <x:c r="Y478" s="55" t="n">
        <x:v>2546</x:v>
      </x:c>
      <x:c r="Z478" s="55" t="n">
        <x:v>3187</x:v>
      </x:c>
      <x:c r="AA478" s="55" t="n">
        <x:v>3492</x:v>
      </x:c>
      <x:c r="AB478" s="55" t="n">
        <x:v>1139</x:v>
      </x:c>
      <x:c r="AC478" s="55" t="n">
        <x:v>7695</x:v>
      </x:c>
      <x:c r="AD478" s="55" t="n">
        <x:v>3745</x:v>
      </x:c>
      <x:c r="AE478" s="55" t="n">
        <x:v>10216</x:v>
      </x:c>
      <x:c r="AF478" s="55" t="n">
        <x:v>10142</x:v>
      </x:c>
      <x:c r="AG478" s="55" t="n">
        <x:v>74</x:v>
      </x:c>
      <x:c r="AH478" s="55" t="n">
        <x:v>305</x:v>
      </x:c>
      <x:c r="AI478" s="55" t="n">
        <x:v>9837</x:v>
      </x:c>
      <x:c r="AJ478" s="55" t="n">
        <x:v>252</x:v>
      </x:c>
      <x:c r="AK478" s="55" t="n">
        <x:v>1112</x:v>
      </x:c>
      <x:c r="AL478" s="55" t="n">
        <x:v>1881</x:v>
      </x:c>
      <x:c r="AM478" s="55" t="n">
        <x:v>4885</x:v>
      </x:c>
      <x:c r="AN478" s="55" t="n">
        <x:v>1952</x:v>
      </x:c>
      <x:c r="AO478" s="55" t="n">
        <x:v>60</x:v>
      </x:c>
      <x:c r="AP478" s="55" t="n">
        <x:v>2315</x:v>
      </x:c>
      <x:c r="AQ478" s="55" t="n">
        <x:v>976</x:v>
      </x:c>
    </x:row>
    <x:row r="479">
      <x:c r="A479" s="54" t="str">
        <x:v>T0_TABLE_BLOCK</x:v>
      </x:c>
      <x:c r="B479" s="54" t="n">
        <x:v>473</x:v>
      </x:c>
      <x:c r="C479" s="54" t="str">
        <x:v>NYC-V2-R01</x:v>
      </x:c>
      <x:c r="D479" s="54" t="str">
        <x:v>V2</x:v>
      </x:c>
      <x:c r="E479" s="54" t="str">
        <x:v>ADMITTED</x:v>
      </x:c>
      <x:c r="F479" s="55" t="n">
        <x:v>29566</x:v>
      </x:c>
      <x:c r="G479" s="55" t="n">
        <x:v>7203</x:v>
      </x:c>
      <x:c r="H479" s="55" t="n">
        <x:v>3174</x:v>
      </x:c>
      <x:c r="I479" s="55" t="n">
        <x:v>996</x:v>
      </x:c>
      <x:c r="J479" s="55" t="n">
        <x:v>182</x:v>
      </x:c>
      <x:c r="K479" s="55" t="n">
        <x:v>29566</x:v>
      </x:c>
      <x:c r="L479" s="55" t="n">
        <x:v>4692</x:v>
      </x:c>
      <x:c r="M479" s="55" t="n">
        <x:v>1090</x:v>
      </x:c>
      <x:c r="N479" s="55" t="n">
        <x:v>2215</x:v>
      </x:c>
      <x:c r="O479" s="55" t="n">
        <x:v>1387</x:v>
      </x:c>
      <x:c r="P479" s="55" t="n">
        <x:v>762</x:v>
      </x:c>
      <x:c r="Q479" s="55" t="n">
        <x:v>2405</x:v>
      </x:c>
      <x:c r="R479" s="55" t="n">
        <x:v>1953</x:v>
      </x:c>
      <x:c r="S479" s="55" t="n">
        <x:v>1917</x:v>
      </x:c>
      <x:c r="T479" s="55" t="n">
        <x:v>1505</x:v>
      </x:c>
      <x:c r="U479" s="55" t="n">
        <x:v>1596</x:v>
      </x:c>
      <x:c r="V479" s="55" t="n">
        <x:v>11145</x:v>
      </x:c>
      <x:c r="W479" s="55" t="n">
        <x:v>8367</x:v>
      </x:c>
      <x:c r="X479" s="55" t="n">
        <x:v>2778</x:v>
      </x:c>
      <x:c r="Y479" s="55" t="n">
        <x:v>2448</x:v>
      </x:c>
      <x:c r="Z479" s="55" t="n">
        <x:v>4213</x:v>
      </x:c>
      <x:c r="AA479" s="55" t="n">
        <x:v>2317</x:v>
      </x:c>
      <x:c r="AB479" s="55" t="n">
        <x:v>641</x:v>
      </x:c>
      <x:c r="AC479" s="55" t="n">
        <x:v>8015</x:v>
      </x:c>
      <x:c r="AD479" s="55" t="n">
        <x:v>3015</x:v>
      </x:c>
      <x:c r="AE479" s="55" t="n">
        <x:v>11191</x:v>
      </x:c>
      <x:c r="AF479" s="55" t="n">
        <x:v>11145</x:v>
      </x:c>
      <x:c r="AG479" s="55" t="n">
        <x:v>46</x:v>
      </x:c>
      <x:c r="AH479" s="55" t="n">
        <x:v>448</x:v>
      </x:c>
      <x:c r="AI479" s="55" t="n">
        <x:v>10697</x:v>
      </x:c>
      <x:c r="AJ479" s="55" t="n">
        <x:v>295</x:v>
      </x:c>
      <x:c r="AK479" s="55" t="n">
        <x:v>1152</x:v>
      </x:c>
      <x:c r="AL479" s="55" t="n">
        <x:v>1319</x:v>
      </x:c>
      <x:c r="AM479" s="55" t="n">
        <x:v>5246</x:v>
      </x:c>
      <x:c r="AN479" s="55" t="n">
        <x:v>3128</x:v>
      </x:c>
      <x:c r="AO479" s="55" t="n">
        <x:v>5</x:v>
      </x:c>
      <x:c r="AP479" s="55" t="n">
        <x:v>2305</x:v>
      </x:c>
      <x:c r="AQ479" s="55" t="n">
        <x:v>957</x:v>
      </x:c>
    </x:row>
    <x:row r="480">
      <x:c r="A480" s="54" t="str">
        <x:v>T0_TABLE_BLOCK</x:v>
      </x:c>
      <x:c r="B480" s="54" t="n">
        <x:v>474</x:v>
      </x:c>
      <x:c r="C480" s="54" t="str">
        <x:v>NYC-V2-R01</x:v>
      </x:c>
      <x:c r="D480" s="54" t="str">
        <x:v>V2</x:v>
      </x:c>
      <x:c r="E480" s="54" t="str">
        <x:v>ADMITTED</x:v>
      </x:c>
      <x:c r="F480" s="55" t="n">
        <x:v>33267</x:v>
      </x:c>
      <x:c r="G480" s="55" t="n">
        <x:v>7854</x:v>
      </x:c>
      <x:c r="H480" s="55" t="n">
        <x:v>3568</x:v>
      </x:c>
      <x:c r="I480" s="55" t="n">
        <x:v>1389</x:v>
      </x:c>
      <x:c r="J480" s="55" t="n">
        <x:v>333</x:v>
      </x:c>
      <x:c r="K480" s="55" t="n">
        <x:v>32406</x:v>
      </x:c>
      <x:c r="L480" s="55" t="n">
        <x:v>5392</x:v>
      </x:c>
      <x:c r="M480" s="55" t="n">
        <x:v>776</x:v>
      </x:c>
      <x:c r="N480" s="55" t="n">
        <x:v>3191</x:v>
      </x:c>
      <x:c r="O480" s="55" t="n">
        <x:v>1425</x:v>
      </x:c>
      <x:c r="P480" s="55" t="n">
        <x:v>933</x:v>
      </x:c>
      <x:c r="Q480" s="55" t="n">
        <x:v>1825</x:v>
      </x:c>
      <x:c r="R480" s="55" t="n">
        <x:v>1316</x:v>
      </x:c>
      <x:c r="S480" s="55" t="n">
        <x:v>2067</x:v>
      </x:c>
      <x:c r="T480" s="55" t="n">
        <x:v>1003</x:v>
      </x:c>
      <x:c r="U480" s="55" t="n">
        <x:v>2308</x:v>
      </x:c>
      <x:c r="V480" s="55" t="n">
        <x:v>10506</x:v>
      </x:c>
      <x:c r="W480" s="55" t="n">
        <x:v>7459</x:v>
      </x:c>
      <x:c r="X480" s="55" t="n">
        <x:v>3047</x:v>
      </x:c>
      <x:c r="Y480" s="55" t="n">
        <x:v>2531</x:v>
      </x:c>
      <x:c r="Z480" s="55" t="n">
        <x:v>3619</x:v>
      </x:c>
      <x:c r="AA480" s="55" t="n">
        <x:v>3568</x:v>
      </x:c>
      <x:c r="AB480" s="55" t="n">
        <x:v>1141</x:v>
      </x:c>
      <x:c r="AC480" s="55" t="n">
        <x:v>7908</x:v>
      </x:c>
      <x:c r="AD480" s="55" t="n">
        <x:v>2704</x:v>
      </x:c>
      <x:c r="AE480" s="55" t="n">
        <x:v>10641</x:v>
      </x:c>
      <x:c r="AF480" s="55" t="n">
        <x:v>10506</x:v>
      </x:c>
      <x:c r="AG480" s="55" t="n">
        <x:v>135</x:v>
      </x:c>
      <x:c r="AH480" s="55" t="n">
        <x:v>532</x:v>
      </x:c>
      <x:c r="AI480" s="55" t="n">
        <x:v>9974</x:v>
      </x:c>
      <x:c r="AJ480" s="55" t="n">
        <x:v>340</x:v>
      </x:c>
      <x:c r="AK480" s="55" t="n">
        <x:v>797</x:v>
      </x:c>
      <x:c r="AL480" s="55" t="n">
        <x:v>1574</x:v>
      </x:c>
      <x:c r="AM480" s="55" t="n">
        <x:v>5113</x:v>
      </x:c>
      <x:c r="AN480" s="55" t="n">
        <x:v>2633</x:v>
      </x:c>
      <x:c r="AO480" s="55" t="n">
        <x:v>49</x:v>
      </x:c>
      <x:c r="AP480" s="55" t="n">
        <x:v>1888</x:v>
      </x:c>
      <x:c r="AQ480" s="55" t="n">
        <x:v>970</x:v>
      </x:c>
    </x:row>
    <x:row r="481">
      <x:c r="A481" s="54" t="str">
        <x:v>T0_TABLE_BLOCK</x:v>
      </x:c>
      <x:c r="B481" s="54" t="n">
        <x:v>475</x:v>
      </x:c>
      <x:c r="C481" s="54" t="str">
        <x:v>NYC-V2-R01</x:v>
      </x:c>
      <x:c r="D481" s="54" t="str">
        <x:v>V2</x:v>
      </x:c>
      <x:c r="E481" s="54" t="str">
        <x:v>ADMITTED</x:v>
      </x:c>
      <x:c r="F481" s="55" t="n">
        <x:v>31896</x:v>
      </x:c>
      <x:c r="G481" s="55" t="n">
        <x:v>7643</x:v>
      </x:c>
      <x:c r="H481" s="55" t="n">
        <x:v>3120</x:v>
      </x:c>
      <x:c r="I481" s="55" t="n">
        <x:v>855</x:v>
      </x:c>
      <x:c r="J481" s="55" t="n">
        <x:v>113</x:v>
      </x:c>
      <x:c r="K481" s="55" t="n">
        <x:v>31637</x:v>
      </x:c>
      <x:c r="L481" s="55" t="n">
        <x:v>5368</x:v>
      </x:c>
      <x:c r="M481" s="55" t="n">
        <x:v>1560</x:v>
      </x:c>
      <x:c r="N481" s="55" t="n">
        <x:v>2196</x:v>
      </x:c>
      <x:c r="O481" s="55" t="n">
        <x:v>1612</x:v>
      </x:c>
      <x:c r="P481" s="55" t="n">
        <x:v>1157</x:v>
      </x:c>
      <x:c r="Q481" s="55" t="n">
        <x:v>1959</x:v>
      </x:c>
      <x:c r="R481" s="55" t="n">
        <x:v>1922</x:v>
      </x:c>
      <x:c r="S481" s="55" t="n">
        <x:v>2211</x:v>
      </x:c>
      <x:c r="T481" s="55" t="n">
        <x:v>1485</x:v>
      </x:c>
      <x:c r="U481" s="55" t="n">
        <x:v>1681</x:v>
      </x:c>
      <x:c r="V481" s="55" t="n">
        <x:v>10332</x:v>
      </x:c>
      <x:c r="W481" s="55" t="n">
        <x:v>7248</x:v>
      </x:c>
      <x:c r="X481" s="55" t="n">
        <x:v>3084</x:v>
      </x:c>
      <x:c r="Y481" s="55" t="n">
        <x:v>2529</x:v>
      </x:c>
      <x:c r="Z481" s="55" t="n">
        <x:v>3467</x:v>
      </x:c>
      <x:c r="AA481" s="55" t="n">
        <x:v>3120</x:v>
      </x:c>
      <x:c r="AB481" s="55" t="n">
        <x:v>1014</x:v>
      </x:c>
      <x:c r="AC481" s="55" t="n">
        <x:v>7506</x:v>
      </x:c>
      <x:c r="AD481" s="55" t="n">
        <x:v>2456</x:v>
      </x:c>
      <x:c r="AE481" s="55" t="n">
        <x:v>10396</x:v>
      </x:c>
      <x:c r="AF481" s="55" t="n">
        <x:v>10332</x:v>
      </x:c>
      <x:c r="AG481" s="55" t="n">
        <x:v>64</x:v>
      </x:c>
      <x:c r="AH481" s="55" t="n">
        <x:v>306</x:v>
      </x:c>
      <x:c r="AI481" s="55" t="n">
        <x:v>10026</x:v>
      </x:c>
      <x:c r="AJ481" s="55" t="n">
        <x:v>398</x:v>
      </x:c>
      <x:c r="AK481" s="55" t="n">
        <x:v>825</x:v>
      </x:c>
      <x:c r="AL481" s="55" t="n">
        <x:v>1605</x:v>
      </x:c>
      <x:c r="AM481" s="55" t="n">
        <x:v>4735</x:v>
      </x:c>
      <x:c r="AN481" s="55" t="n">
        <x:v>2703</x:v>
      </x:c>
      <x:c r="AO481" s="55" t="n">
        <x:v>66</x:v>
      </x:c>
      <x:c r="AP481" s="55" t="n">
        <x:v>2116</x:v>
      </x:c>
      <x:c r="AQ481" s="55" t="n">
        <x:v>925</x:v>
      </x:c>
    </x:row>
    <x:row r="482">
      <x:c r="A482" s="54" t="str">
        <x:v>T0_TABLE_BLOCK</x:v>
      </x:c>
      <x:c r="B482" s="54" t="n">
        <x:v>476</x:v>
      </x:c>
      <x:c r="C482" s="54" t="str">
        <x:v>NYC-V2-R01</x:v>
      </x:c>
      <x:c r="D482" s="54" t="str">
        <x:v>V2</x:v>
      </x:c>
      <x:c r="E482" s="54" t="str">
        <x:v>ADMITTED</x:v>
      </x:c>
      <x:c r="F482" s="55" t="n">
        <x:v>34662</x:v>
      </x:c>
      <x:c r="G482" s="55" t="n">
        <x:v>9952</x:v>
      </x:c>
      <x:c r="H482" s="55" t="n">
        <x:v>3334</x:v>
      </x:c>
      <x:c r="I482" s="55" t="n">
        <x:v>710</x:v>
      </x:c>
      <x:c r="J482" s="55" t="n">
        <x:v>0</x:v>
      </x:c>
      <x:c r="K482" s="55" t="n">
        <x:v>31860</x:v>
      </x:c>
      <x:c r="L482" s="55" t="n">
        <x:v>7210</x:v>
      </x:c>
      <x:c r="M482" s="55" t="n">
        <x:v>1755</x:v>
      </x:c>
      <x:c r="N482" s="55" t="n">
        <x:v>3422</x:v>
      </x:c>
      <x:c r="O482" s="55" t="n">
        <x:v>2033</x:v>
      </x:c>
      <x:c r="P482" s="55" t="n">
        <x:v>876</x:v>
      </x:c>
      <x:c r="Q482" s="55" t="n">
        <x:v>2090</x:v>
      </x:c>
      <x:c r="R482" s="55" t="n">
        <x:v>1902</x:v>
      </x:c>
      <x:c r="S482" s="55" t="n">
        <x:v>2841</x:v>
      </x:c>
      <x:c r="T482" s="55" t="n">
        <x:v>1072</x:v>
      </x:c>
      <x:c r="U482" s="55" t="n">
        <x:v>2387</x:v>
      </x:c>
      <x:c r="V482" s="55" t="n">
        <x:v>10077</x:v>
      </x:c>
      <x:c r="W482" s="55" t="n">
        <x:v>6898</x:v>
      </x:c>
      <x:c r="X482" s="55" t="n">
        <x:v>3179</x:v>
      </x:c>
      <x:c r="Y482" s="55" t="n">
        <x:v>2780</x:v>
      </x:c>
      <x:c r="Z482" s="55" t="n">
        <x:v>4145</x:v>
      </x:c>
      <x:c r="AA482" s="55" t="n">
        <x:v>3334</x:v>
      </x:c>
      <x:c r="AB482" s="55" t="n">
        <x:v>1277</x:v>
      </x:c>
      <x:c r="AC482" s="55" t="n">
        <x:v>8035</x:v>
      </x:c>
      <x:c r="AD482" s="55" t="n">
        <x:v>3288</x:v>
      </x:c>
      <x:c r="AE482" s="55" t="n">
        <x:v>10143</x:v>
      </x:c>
      <x:c r="AF482" s="55" t="n">
        <x:v>10077</x:v>
      </x:c>
      <x:c r="AG482" s="55" t="n">
        <x:v>66</x:v>
      </x:c>
      <x:c r="AH482" s="55" t="n">
        <x:v>380</x:v>
      </x:c>
      <x:c r="AI482" s="55" t="n">
        <x:v>9697</x:v>
      </x:c>
      <x:c r="AJ482" s="55" t="n">
        <x:v>372</x:v>
      </x:c>
      <x:c r="AK482" s="55" t="n">
        <x:v>947</x:v>
      </x:c>
      <x:c r="AL482" s="55" t="n">
        <x:v>1025</x:v>
      </x:c>
      <x:c r="AM482" s="55" t="n">
        <x:v>5202</x:v>
      </x:c>
      <x:c r="AN482" s="55" t="n">
        <x:v>2515</x:v>
      </x:c>
      <x:c r="AO482" s="55" t="n">
        <x:v>16</x:v>
      </x:c>
      <x:c r="AP482" s="55" t="n">
        <x:v>2497</x:v>
      </x:c>
      <x:c r="AQ482" s="55" t="n">
        <x:v>904</x:v>
      </x:c>
    </x:row>
    <x:row r="483">
      <x:c r="A483" s="54" t="str">
        <x:v>T0_TABLE_BLOCK</x:v>
      </x:c>
      <x:c r="B483" s="54" t="n">
        <x:v>477</x:v>
      </x:c>
      <x:c r="C483" s="54" t="str">
        <x:v>NYC-V2-R01</x:v>
      </x:c>
      <x:c r="D483" s="54" t="str">
        <x:v>V2</x:v>
      </x:c>
      <x:c r="E483" s="54" t="str">
        <x:v>ADMITTED</x:v>
      </x:c>
      <x:c r="F483" s="55" t="n">
        <x:v>34012</x:v>
      </x:c>
      <x:c r="G483" s="55" t="n">
        <x:v>6853</x:v>
      </x:c>
      <x:c r="H483" s="55" t="n">
        <x:v>3997</x:v>
      </x:c>
      <x:c r="I483" s="55" t="n">
        <x:v>1755</x:v>
      </x:c>
      <x:c r="J483" s="55" t="n">
        <x:v>344</x:v>
      </x:c>
      <x:c r="K483" s="55" t="n">
        <x:v>34012</x:v>
      </x:c>
      <x:c r="L483" s="55" t="n">
        <x:v>5395</x:v>
      </x:c>
      <x:c r="M483" s="55" t="n">
        <x:v>570</x:v>
      </x:c>
      <x:c r="N483" s="55" t="n">
        <x:v>2775</x:v>
      </x:c>
      <x:c r="O483" s="55" t="n">
        <x:v>2050</x:v>
      </x:c>
      <x:c r="P483" s="55" t="n">
        <x:v>369</x:v>
      </x:c>
      <x:c r="Q483" s="55" t="n">
        <x:v>1276</x:v>
      </x:c>
      <x:c r="R483" s="55" t="n">
        <x:v>2131</x:v>
      </x:c>
      <x:c r="S483" s="55" t="n">
        <x:v>2356</x:v>
      </x:c>
      <x:c r="T483" s="55" t="n">
        <x:v>964</x:v>
      </x:c>
      <x:c r="U483" s="55" t="n">
        <x:v>1848</x:v>
      </x:c>
      <x:c r="V483" s="55" t="n">
        <x:v>11694</x:v>
      </x:c>
      <x:c r="W483" s="55" t="n">
        <x:v>8318</x:v>
      </x:c>
      <x:c r="X483" s="55" t="n">
        <x:v>3376</x:v>
      </x:c>
      <x:c r="Y483" s="55" t="n">
        <x:v>3037</x:v>
      </x:c>
      <x:c r="Z483" s="55" t="n">
        <x:v>4337</x:v>
      </x:c>
      <x:c r="AA483" s="55" t="n">
        <x:v>3232</x:v>
      </x:c>
      <x:c r="AB483" s="55" t="n">
        <x:v>1239</x:v>
      </x:c>
      <x:c r="AC483" s="55" t="n">
        <x:v>8167</x:v>
      </x:c>
      <x:c r="AD483" s="55" t="n">
        <x:v>3469</x:v>
      </x:c>
      <x:c r="AE483" s="55" t="n">
        <x:v>11796</x:v>
      </x:c>
      <x:c r="AF483" s="55" t="n">
        <x:v>11694</x:v>
      </x:c>
      <x:c r="AG483" s="55" t="n">
        <x:v>102</x:v>
      </x:c>
      <x:c r="AH483" s="55" t="n">
        <x:v>714</x:v>
      </x:c>
      <x:c r="AI483" s="55" t="n">
        <x:v>10980</x:v>
      </x:c>
      <x:c r="AJ483" s="55" t="n">
        <x:v>398</x:v>
      </x:c>
      <x:c r="AK483" s="55" t="n">
        <x:v>929</x:v>
      </x:c>
      <x:c r="AL483" s="55" t="n">
        <x:v>1858</x:v>
      </x:c>
      <x:c r="AM483" s="55" t="n">
        <x:v>5889</x:v>
      </x:c>
      <x:c r="AN483" s="55" t="n">
        <x:v>2579</x:v>
      </x:c>
      <x:c r="AO483" s="55" t="n">
        <x:v>41</x:v>
      </x:c>
      <x:c r="AP483" s="55" t="n">
        <x:v>2209</x:v>
      </x:c>
      <x:c r="AQ483" s="55" t="n">
        <x:v>976</x:v>
      </x:c>
    </x:row>
    <x:row r="484">
      <x:c r="A484" s="54" t="str">
        <x:v>T0_TABLE_BLOCK</x:v>
      </x:c>
      <x:c r="B484" s="54" t="n">
        <x:v>478</x:v>
      </x:c>
      <x:c r="C484" s="54" t="str">
        <x:v>NYC-V2-R01</x:v>
      </x:c>
      <x:c r="D484" s="54" t="str">
        <x:v>V2</x:v>
      </x:c>
      <x:c r="E484" s="54" t="str">
        <x:v>ADMITTED</x:v>
      </x:c>
      <x:c r="F484" s="55" t="n">
        <x:v>30162</x:v>
      </x:c>
      <x:c r="G484" s="55" t="n">
        <x:v>7727</x:v>
      </x:c>
      <x:c r="H484" s="55" t="n">
        <x:v>3592</x:v>
      </x:c>
      <x:c r="I484" s="55" t="n">
        <x:v>1154</x:v>
      </x:c>
      <x:c r="J484" s="55" t="n">
        <x:v>134</x:v>
      </x:c>
      <x:c r="K484" s="55" t="n">
        <x:v>29340</x:v>
      </x:c>
      <x:c r="L484" s="55" t="n">
        <x:v>4972</x:v>
      </x:c>
      <x:c r="M484" s="55" t="n">
        <x:v>0</x:v>
      </x:c>
      <x:c r="N484" s="55" t="n">
        <x:v>3271</x:v>
      </x:c>
      <x:c r="O484" s="55" t="n">
        <x:v>1701</x:v>
      </x:c>
      <x:c r="P484" s="55" t="n">
        <x:v>1305</x:v>
      </x:c>
      <x:c r="Q484" s="55" t="n">
        <x:v>2390</x:v>
      </x:c>
      <x:c r="R484" s="55" t="n">
        <x:v>2005</x:v>
      </x:c>
      <x:c r="S484" s="55" t="n">
        <x:v>2396</x:v>
      </x:c>
      <x:c r="T484" s="55" t="n">
        <x:v>717</x:v>
      </x:c>
      <x:c r="U484" s="55" t="n">
        <x:v>1616</x:v>
      </x:c>
      <x:c r="V484" s="55" t="n">
        <x:v>10989</x:v>
      </x:c>
      <x:c r="W484" s="55" t="n">
        <x:v>8292</x:v>
      </x:c>
      <x:c r="X484" s="55" t="n">
        <x:v>2697</x:v>
      </x:c>
      <x:c r="Y484" s="55" t="n">
        <x:v>2304</x:v>
      </x:c>
      <x:c r="Z484" s="55" t="n">
        <x:v>3491</x:v>
      </x:c>
      <x:c r="AA484" s="55" t="n">
        <x:v>3592</x:v>
      </x:c>
      <x:c r="AB484" s="55" t="n">
        <x:v>1279</x:v>
      </x:c>
      <x:c r="AC484" s="55" t="n">
        <x:v>8568</x:v>
      </x:c>
      <x:c r="AD484" s="55" t="n">
        <x:v>2864</x:v>
      </x:c>
      <x:c r="AE484" s="55" t="n">
        <x:v>11085</x:v>
      </x:c>
      <x:c r="AF484" s="55" t="n">
        <x:v>10989</x:v>
      </x:c>
      <x:c r="AG484" s="55" t="n">
        <x:v>96</x:v>
      </x:c>
      <x:c r="AH484" s="55" t="n">
        <x:v>448</x:v>
      </x:c>
      <x:c r="AI484" s="55" t="n">
        <x:v>10541</x:v>
      </x:c>
      <x:c r="AJ484" s="55" t="n">
        <x:v>378</x:v>
      </x:c>
      <x:c r="AK484" s="55" t="n">
        <x:v>1118</x:v>
      </x:c>
      <x:c r="AL484" s="55" t="n">
        <x:v>2068</x:v>
      </x:c>
      <x:c r="AM484" s="55" t="n">
        <x:v>4986</x:v>
      </x:c>
      <x:c r="AN484" s="55" t="n">
        <x:v>2420</x:v>
      </x:c>
      <x:c r="AO484" s="55" t="n">
        <x:v>19</x:v>
      </x:c>
      <x:c r="AP484" s="55" t="n">
        <x:v>2371</x:v>
      </x:c>
      <x:c r="AQ484" s="55" t="n">
        <x:v>969</x:v>
      </x:c>
    </x:row>
    <x:row r="485">
      <x:c r="A485" s="54" t="str">
        <x:v>T0_TABLE_BLOCK</x:v>
      </x:c>
      <x:c r="B485" s="54" t="n">
        <x:v>479</x:v>
      </x:c>
      <x:c r="C485" s="54" t="str">
        <x:v>NYC-V2-R01</x:v>
      </x:c>
      <x:c r="D485" s="54" t="str">
        <x:v>V2</x:v>
      </x:c>
      <x:c r="E485" s="54" t="str">
        <x:v>ADMITTED</x:v>
      </x:c>
      <x:c r="F485" s="55" t="n">
        <x:v>30737</x:v>
      </x:c>
      <x:c r="G485" s="55" t="n">
        <x:v>7807</x:v>
      </x:c>
      <x:c r="H485" s="55" t="n">
        <x:v>3202</x:v>
      </x:c>
      <x:c r="I485" s="55" t="n">
        <x:v>1408</x:v>
      </x:c>
      <x:c r="J485" s="55" t="n">
        <x:v>216</x:v>
      </x:c>
      <x:c r="K485" s="55" t="n">
        <x:v>28372</x:v>
      </x:c>
      <x:c r="L485" s="55" t="n">
        <x:v>5036</x:v>
      </x:c>
      <x:c r="M485" s="55" t="n">
        <x:v>614</x:v>
      </x:c>
      <x:c r="N485" s="55" t="n">
        <x:v>2550</x:v>
      </x:c>
      <x:c r="O485" s="55" t="n">
        <x:v>1872</x:v>
      </x:c>
      <x:c r="P485" s="55" t="n">
        <x:v>380</x:v>
      </x:c>
      <x:c r="Q485" s="55" t="n">
        <x:v>1767</x:v>
      </x:c>
      <x:c r="R485" s="55" t="n">
        <x:v>1637</x:v>
      </x:c>
      <x:c r="S485" s="55" t="n">
        <x:v>2799</x:v>
      </x:c>
      <x:c r="T485" s="55" t="n">
        <x:v>1380</x:v>
      </x:c>
      <x:c r="U485" s="55" t="n">
        <x:v>1424</x:v>
      </x:c>
      <x:c r="V485" s="55" t="n">
        <x:v>10128</x:v>
      </x:c>
      <x:c r="W485" s="55" t="n">
        <x:v>7614</x:v>
      </x:c>
      <x:c r="X485" s="55" t="n">
        <x:v>2514</x:v>
      </x:c>
      <x:c r="Y485" s="55" t="n">
        <x:v>2098</x:v>
      </x:c>
      <x:c r="Z485" s="55" t="n">
        <x:v>4220</x:v>
      </x:c>
      <x:c r="AA485" s="55" t="n">
        <x:v>2783</x:v>
      </x:c>
      <x:c r="AB485" s="55" t="n">
        <x:v>1054</x:v>
      </x:c>
      <x:c r="AC485" s="55" t="n">
        <x:v>7595</x:v>
      </x:c>
      <x:c r="AD485" s="55" t="n">
        <x:v>2719</x:v>
      </x:c>
      <x:c r="AE485" s="55" t="n">
        <x:v>10201</x:v>
      </x:c>
      <x:c r="AF485" s="55" t="n">
        <x:v>10128</x:v>
      </x:c>
      <x:c r="AG485" s="55" t="n">
        <x:v>73</x:v>
      </x:c>
      <x:c r="AH485" s="55" t="n">
        <x:v>196</x:v>
      </x:c>
      <x:c r="AI485" s="55" t="n">
        <x:v>9932</x:v>
      </x:c>
      <x:c r="AJ485" s="55" t="n">
        <x:v>301</x:v>
      </x:c>
      <x:c r="AK485" s="55" t="n">
        <x:v>820</x:v>
      </x:c>
      <x:c r="AL485" s="55" t="n">
        <x:v>1519</x:v>
      </x:c>
      <x:c r="AM485" s="55" t="n">
        <x:v>4579</x:v>
      </x:c>
      <x:c r="AN485" s="55" t="n">
        <x:v>2909</x:v>
      </x:c>
      <x:c r="AO485" s="55" t="n">
        <x:v>0</x:v>
      </x:c>
      <x:c r="AP485" s="55" t="n">
        <x:v>2258</x:v>
      </x:c>
      <x:c r="AQ485" s="55" t="n">
        <x:v>946</x:v>
      </x:c>
    </x:row>
    <x:row r="486">
      <x:c r="A486" s="54" t="str">
        <x:v>T0_TABLE_BLOCK</x:v>
      </x:c>
      <x:c r="B486" s="54" t="n">
        <x:v>480</x:v>
      </x:c>
      <x:c r="C486" s="54" t="str">
        <x:v>NYC-V2-R01</x:v>
      </x:c>
      <x:c r="D486" s="54" t="str">
        <x:v>V2</x:v>
      </x:c>
      <x:c r="E486" s="54" t="str">
        <x:v>ADMITTED</x:v>
      </x:c>
      <x:c r="F486" s="55" t="n">
        <x:v>28578</x:v>
      </x:c>
      <x:c r="G486" s="55" t="n">
        <x:v>6657</x:v>
      </x:c>
      <x:c r="H486" s="55" t="n">
        <x:v>3301</x:v>
      </x:c>
      <x:c r="I486" s="55" t="n">
        <x:v>1407</x:v>
      </x:c>
      <x:c r="J486" s="55" t="n">
        <x:v>293</x:v>
      </x:c>
      <x:c r="K486" s="55" t="n">
        <x:v>27119</x:v>
      </x:c>
      <x:c r="L486" s="55" t="n">
        <x:v>5487</x:v>
      </x:c>
      <x:c r="M486" s="55" t="n">
        <x:v>991</x:v>
      </x:c>
      <x:c r="N486" s="55" t="n">
        <x:v>2870</x:v>
      </x:c>
      <x:c r="O486" s="55" t="n">
        <x:v>1626</x:v>
      </x:c>
      <x:c r="P486" s="55" t="n">
        <x:v>881</x:v>
      </x:c>
      <x:c r="Q486" s="55" t="n">
        <x:v>2793</x:v>
      </x:c>
      <x:c r="R486" s="55" t="n">
        <x:v>1469</x:v>
      </x:c>
      <x:c r="S486" s="55" t="n">
        <x:v>2714</x:v>
      </x:c>
      <x:c r="T486" s="55" t="n">
        <x:v>1733</x:v>
      </x:c>
      <x:c r="U486" s="55" t="n">
        <x:v>2414</x:v>
      </x:c>
      <x:c r="V486" s="55" t="n">
        <x:v>10406</x:v>
      </x:c>
      <x:c r="W486" s="55" t="n">
        <x:v>7268</x:v>
      </x:c>
      <x:c r="X486" s="55" t="n">
        <x:v>3138</x:v>
      </x:c>
      <x:c r="Y486" s="55" t="n">
        <x:v>2746</x:v>
      </x:c>
      <x:c r="Z486" s="55" t="n">
        <x:v>4267</x:v>
      </x:c>
      <x:c r="AA486" s="55" t="n">
        <x:v>3068</x:v>
      </x:c>
      <x:c r="AB486" s="55" t="n">
        <x:v>1301</x:v>
      </x:c>
      <x:c r="AC486" s="55" t="n">
        <x:v>8622</x:v>
      </x:c>
      <x:c r="AD486" s="55" t="n">
        <x:v>3151</x:v>
      </x:c>
      <x:c r="AE486" s="55" t="n">
        <x:v>10514</x:v>
      </x:c>
      <x:c r="AF486" s="55" t="n">
        <x:v>10406</x:v>
      </x:c>
      <x:c r="AG486" s="55" t="n">
        <x:v>108</x:v>
      </x:c>
      <x:c r="AH486" s="55" t="n">
        <x:v>405</x:v>
      </x:c>
      <x:c r="AI486" s="55" t="n">
        <x:v>10001</x:v>
      </x:c>
      <x:c r="AJ486" s="55" t="n">
        <x:v>185</x:v>
      </x:c>
      <x:c r="AK486" s="55" t="n">
        <x:v>894</x:v>
      </x:c>
      <x:c r="AL486" s="55" t="n">
        <x:v>1346</x:v>
      </x:c>
      <x:c r="AM486" s="55" t="n">
        <x:v>5078</x:v>
      </x:c>
      <x:c r="AN486" s="55" t="n">
        <x:v>2903</x:v>
      </x:c>
      <x:c r="AO486" s="55" t="n">
        <x:v>0</x:v>
      </x:c>
      <x:c r="AP486" s="55" t="n">
        <x:v>2066</x:v>
      </x:c>
      <x:c r="AQ486" s="55" t="n">
        <x:v>960</x:v>
      </x:c>
    </x:row>
    <x:row r="487">
      <x:c r="A487" s="54" t="str">
        <x:v>T0_TABLE_BLOCK</x:v>
      </x:c>
      <x:c r="B487" s="54" t="n">
        <x:v>481</x:v>
      </x:c>
      <x:c r="C487" s="54" t="str">
        <x:v>NYC-V2-R01</x:v>
      </x:c>
      <x:c r="D487" s="54" t="str">
        <x:v>V2</x:v>
      </x:c>
      <x:c r="E487" s="54" t="str">
        <x:v>ADMITTED</x:v>
      </x:c>
      <x:c r="F487" s="55" t="n">
        <x:v>31519</x:v>
      </x:c>
      <x:c r="G487" s="55" t="n">
        <x:v>8415</x:v>
      </x:c>
      <x:c r="H487" s="55" t="n">
        <x:v>3092</x:v>
      </x:c>
      <x:c r="I487" s="55" t="n">
        <x:v>1491</x:v>
      </x:c>
      <x:c r="J487" s="55" t="n">
        <x:v>125</x:v>
      </x:c>
      <x:c r="K487" s="55" t="n">
        <x:v>28366</x:v>
      </x:c>
      <x:c r="L487" s="55" t="n">
        <x:v>4087</x:v>
      </x:c>
      <x:c r="M487" s="55" t="n">
        <x:v>91</x:v>
      </x:c>
      <x:c r="N487" s="55" t="n">
        <x:v>2472</x:v>
      </x:c>
      <x:c r="O487" s="55" t="n">
        <x:v>1524</x:v>
      </x:c>
      <x:c r="P487" s="55" t="n">
        <x:v>1217</x:v>
      </x:c>
      <x:c r="Q487" s="55" t="n">
        <x:v>2039</x:v>
      </x:c>
      <x:c r="R487" s="55" t="n">
        <x:v>2391</x:v>
      </x:c>
      <x:c r="S487" s="55" t="n">
        <x:v>2845</x:v>
      </x:c>
      <x:c r="T487" s="55" t="n">
        <x:v>1159</x:v>
      </x:c>
      <x:c r="U487" s="55" t="n">
        <x:v>1952</x:v>
      </x:c>
      <x:c r="V487" s="55" t="n">
        <x:v>10265</x:v>
      </x:c>
      <x:c r="W487" s="55" t="n">
        <x:v>6851</x:v>
      </x:c>
      <x:c r="X487" s="55" t="n">
        <x:v>3414</x:v>
      </x:c>
      <x:c r="Y487" s="55" t="n">
        <x:v>2951</x:v>
      </x:c>
      <x:c r="Z487" s="55" t="n">
        <x:v>3456</x:v>
      </x:c>
      <x:c r="AA487" s="55" t="n">
        <x:v>2659</x:v>
      </x:c>
      <x:c r="AB487" s="55" t="n">
        <x:v>946</x:v>
      </x:c>
      <x:c r="AC487" s="55" t="n">
        <x:v>7428</x:v>
      </x:c>
      <x:c r="AD487" s="55" t="n">
        <x:v>3169</x:v>
      </x:c>
      <x:c r="AE487" s="55" t="n">
        <x:v>10347</x:v>
      </x:c>
      <x:c r="AF487" s="55" t="n">
        <x:v>10265</x:v>
      </x:c>
      <x:c r="AG487" s="55" t="n">
        <x:v>82</x:v>
      </x:c>
      <x:c r="AH487" s="55" t="n">
        <x:v>510</x:v>
      </x:c>
      <x:c r="AI487" s="55" t="n">
        <x:v>9755</x:v>
      </x:c>
      <x:c r="AJ487" s="55" t="n">
        <x:v>299</x:v>
      </x:c>
      <x:c r="AK487" s="55" t="n">
        <x:v>930</x:v>
      </x:c>
      <x:c r="AL487" s="55" t="n">
        <x:v>1606</x:v>
      </x:c>
      <x:c r="AM487" s="55" t="n">
        <x:v>4579</x:v>
      </x:c>
      <x:c r="AN487" s="55" t="n">
        <x:v>2851</x:v>
      </x:c>
      <x:c r="AO487" s="55" t="n">
        <x:v>0</x:v>
      </x:c>
      <x:c r="AP487" s="55" t="n">
        <x:v>2017</x:v>
      </x:c>
      <x:c r="AQ487" s="55" t="n">
        <x:v>965</x:v>
      </x:c>
    </x:row>
    <x:row r="488">
      <x:c r="A488" s="54" t="str">
        <x:v>T0_TABLE_BLOCK</x:v>
      </x:c>
      <x:c r="B488" s="54" t="n">
        <x:v>482</x:v>
      </x:c>
      <x:c r="C488" s="54" t="str">
        <x:v>NYC-V2-R01</x:v>
      </x:c>
      <x:c r="D488" s="54" t="str">
        <x:v>V2</x:v>
      </x:c>
      <x:c r="E488" s="54" t="str">
        <x:v>ADMITTED</x:v>
      </x:c>
      <x:c r="F488" s="55" t="n">
        <x:v>32254</x:v>
      </x:c>
      <x:c r="G488" s="55" t="n">
        <x:v>7773</x:v>
      </x:c>
      <x:c r="H488" s="55" t="n">
        <x:v>4028</x:v>
      </x:c>
      <x:c r="I488" s="55" t="n">
        <x:v>2196</x:v>
      </x:c>
      <x:c r="J488" s="55" t="n">
        <x:v>457</x:v>
      </x:c>
      <x:c r="K488" s="55" t="n">
        <x:v>32254</x:v>
      </x:c>
      <x:c r="L488" s="55" t="n">
        <x:v>6472</x:v>
      </x:c>
      <x:c r="M488" s="55" t="n">
        <x:v>1889</x:v>
      </x:c>
      <x:c r="N488" s="55" t="n">
        <x:v>3064</x:v>
      </x:c>
      <x:c r="O488" s="55" t="n">
        <x:v>1519</x:v>
      </x:c>
      <x:c r="P488" s="55" t="n">
        <x:v>771</x:v>
      </x:c>
      <x:c r="Q488" s="55" t="n">
        <x:v>2969</x:v>
      </x:c>
      <x:c r="R488" s="55" t="n">
        <x:v>1514</x:v>
      </x:c>
      <x:c r="S488" s="55" t="n">
        <x:v>3218</x:v>
      </x:c>
      <x:c r="T488" s="55" t="n">
        <x:v>1433</x:v>
      </x:c>
      <x:c r="U488" s="55" t="n">
        <x:v>2013</x:v>
      </x:c>
      <x:c r="V488" s="55" t="n">
        <x:v>10329</x:v>
      </x:c>
      <x:c r="W488" s="55" t="n">
        <x:v>7013</x:v>
      </x:c>
      <x:c r="X488" s="55" t="n">
        <x:v>3316</x:v>
      </x:c>
      <x:c r="Y488" s="55" t="n">
        <x:v>2636</x:v>
      </x:c>
      <x:c r="Z488" s="55" t="n">
        <x:v>3642</x:v>
      </x:c>
      <x:c r="AA488" s="55" t="n">
        <x:v>3116</x:v>
      </x:c>
      <x:c r="AB488" s="55" t="n">
        <x:v>782</x:v>
      </x:c>
      <x:c r="AC488" s="55" t="n">
        <x:v>8001</x:v>
      </x:c>
      <x:c r="AD488" s="55" t="n">
        <x:v>2785</x:v>
      </x:c>
      <x:c r="AE488" s="55" t="n">
        <x:v>10344</x:v>
      </x:c>
      <x:c r="AF488" s="55" t="n">
        <x:v>10329</x:v>
      </x:c>
      <x:c r="AG488" s="55" t="n">
        <x:v>15</x:v>
      </x:c>
      <x:c r="AH488" s="55" t="n">
        <x:v>323</x:v>
      </x:c>
      <x:c r="AI488" s="55" t="n">
        <x:v>10006</x:v>
      </x:c>
      <x:c r="AJ488" s="55" t="n">
        <x:v>346</x:v>
      </x:c>
      <x:c r="AK488" s="55" t="n">
        <x:v>810</x:v>
      </x:c>
      <x:c r="AL488" s="55" t="n">
        <x:v>1961</x:v>
      </x:c>
      <x:c r="AM488" s="55" t="n">
        <x:v>5182</x:v>
      </x:c>
      <x:c r="AN488" s="55" t="n">
        <x:v>2030</x:v>
      </x:c>
      <x:c r="AO488" s="55" t="n">
        <x:v>0</x:v>
      </x:c>
      <x:c r="AP488" s="55" t="n">
        <x:v>2127</x:v>
      </x:c>
      <x:c r="AQ488" s="55" t="n">
        <x:v>951</x:v>
      </x:c>
    </x:row>
    <x:row r="489">
      <x:c r="A489" s="54" t="str">
        <x:v>T0_TABLE_BLOCK</x:v>
      </x:c>
      <x:c r="B489" s="54" t="n">
        <x:v>483</x:v>
      </x:c>
      <x:c r="C489" s="54" t="str">
        <x:v>NYC-V2-R01</x:v>
      </x:c>
      <x:c r="D489" s="54" t="str">
        <x:v>V2</x:v>
      </x:c>
      <x:c r="E489" s="54" t="str">
        <x:v>ADMITTED</x:v>
      </x:c>
      <x:c r="F489" s="55" t="n">
        <x:v>34047</x:v>
      </x:c>
      <x:c r="G489" s="55" t="n">
        <x:v>9691</x:v>
      </x:c>
      <x:c r="H489" s="55" t="n">
        <x:v>3379</x:v>
      </x:c>
      <x:c r="I489" s="55" t="n">
        <x:v>1252</x:v>
      </x:c>
      <x:c r="J489" s="55" t="n">
        <x:v>185</x:v>
      </x:c>
      <x:c r="K489" s="55" t="n">
        <x:v>28917</x:v>
      </x:c>
      <x:c r="L489" s="55" t="n">
        <x:v>5012</x:v>
      </x:c>
      <x:c r="M489" s="55" t="n">
        <x:v>951</x:v>
      </x:c>
      <x:c r="N489" s="55" t="n">
        <x:v>2480</x:v>
      </x:c>
      <x:c r="O489" s="55" t="n">
        <x:v>1581</x:v>
      </x:c>
      <x:c r="P489" s="55" t="n">
        <x:v>774</x:v>
      </x:c>
      <x:c r="Q489" s="55" t="n">
        <x:v>2354</x:v>
      </x:c>
      <x:c r="R489" s="55" t="n">
        <x:v>1715</x:v>
      </x:c>
      <x:c r="S489" s="55" t="n">
        <x:v>3068</x:v>
      </x:c>
      <x:c r="T489" s="55" t="n">
        <x:v>1289</x:v>
      </x:c>
      <x:c r="U489" s="55" t="n">
        <x:v>2446</x:v>
      </x:c>
      <x:c r="V489" s="55" t="n">
        <x:v>10594</x:v>
      </x:c>
      <x:c r="W489" s="55" t="n">
        <x:v>7420</x:v>
      </x:c>
      <x:c r="X489" s="55" t="n">
        <x:v>3174</x:v>
      </x:c>
      <x:c r="Y489" s="55" t="n">
        <x:v>2814</x:v>
      </x:c>
      <x:c r="Z489" s="55" t="n">
        <x:v>3683</x:v>
      </x:c>
      <x:c r="AA489" s="55" t="n">
        <x:v>3379</x:v>
      </x:c>
      <x:c r="AB489" s="55" t="n">
        <x:v>1420</x:v>
      </x:c>
      <x:c r="AC489" s="55" t="n">
        <x:v>8747</x:v>
      </x:c>
      <x:c r="AD489" s="55" t="n">
        <x:v>3403</x:v>
      </x:c>
      <x:c r="AE489" s="55" t="n">
        <x:v>10672</x:v>
      </x:c>
      <x:c r="AF489" s="55" t="n">
        <x:v>10594</x:v>
      </x:c>
      <x:c r="AG489" s="55" t="n">
        <x:v>78</x:v>
      </x:c>
      <x:c r="AH489" s="55" t="n">
        <x:v>341</x:v>
      </x:c>
      <x:c r="AI489" s="55" t="n">
        <x:v>10253</x:v>
      </x:c>
      <x:c r="AJ489" s="55" t="n">
        <x:v>613</x:v>
      </x:c>
      <x:c r="AK489" s="55" t="n">
        <x:v>868</x:v>
      </x:c>
      <x:c r="AL489" s="55" t="n">
        <x:v>1459</x:v>
      </x:c>
      <x:c r="AM489" s="55" t="n">
        <x:v>5139</x:v>
      </x:c>
      <x:c r="AN489" s="55" t="n">
        <x:v>2515</x:v>
      </x:c>
      <x:c r="AO489" s="55" t="n">
        <x:v>0</x:v>
      </x:c>
      <x:c r="AP489" s="55" t="n">
        <x:v>1674</x:v>
      </x:c>
      <x:c r="AQ489" s="55" t="n">
        <x:v>918</x:v>
      </x:c>
    </x:row>
    <x:row r="490">
      <x:c r="A490" s="54" t="str">
        <x:v>T0_TABLE_BLOCK</x:v>
      </x:c>
      <x:c r="B490" s="54" t="n">
        <x:v>484</x:v>
      </x:c>
      <x:c r="C490" s="54" t="str">
        <x:v>NYC-V2-R01</x:v>
      </x:c>
      <x:c r="D490" s="54" t="str">
        <x:v>V2</x:v>
      </x:c>
      <x:c r="E490" s="54" t="str">
        <x:v>ADMITTED</x:v>
      </x:c>
      <x:c r="F490" s="55" t="n">
        <x:v>29800</x:v>
      </x:c>
      <x:c r="G490" s="55" t="n">
        <x:v>7999</x:v>
      </x:c>
      <x:c r="H490" s="55" t="n">
        <x:v>3723</x:v>
      </x:c>
      <x:c r="I490" s="55" t="n">
        <x:v>762</x:v>
      </x:c>
      <x:c r="J490" s="55" t="n">
        <x:v>0</x:v>
      </x:c>
      <x:c r="K490" s="55" t="n">
        <x:v>29800</x:v>
      </x:c>
      <x:c r="L490" s="55" t="n">
        <x:v>5728</x:v>
      </x:c>
      <x:c r="M490" s="55" t="n">
        <x:v>1808</x:v>
      </x:c>
      <x:c r="N490" s="55" t="n">
        <x:v>2571</x:v>
      </x:c>
      <x:c r="O490" s="55" t="n">
        <x:v>1349</x:v>
      </x:c>
      <x:c r="P490" s="55" t="n">
        <x:v>419</x:v>
      </x:c>
      <x:c r="Q490" s="55" t="n">
        <x:v>2582</x:v>
      </x:c>
      <x:c r="R490" s="55" t="n">
        <x:v>1933</x:v>
      </x:c>
      <x:c r="S490" s="55" t="n">
        <x:v>2539</x:v>
      </x:c>
      <x:c r="T490" s="55" t="n">
        <x:v>1431</x:v>
      </x:c>
      <x:c r="U490" s="55" t="n">
        <x:v>1994</x:v>
      </x:c>
      <x:c r="V490" s="55" t="n">
        <x:v>10213</x:v>
      </x:c>
      <x:c r="W490" s="55" t="n">
        <x:v>6867</x:v>
      </x:c>
      <x:c r="X490" s="55" t="n">
        <x:v>3346</x:v>
      </x:c>
      <x:c r="Y490" s="55" t="n">
        <x:v>2996</x:v>
      </x:c>
      <x:c r="Z490" s="55" t="n">
        <x:v>3499</x:v>
      </x:c>
      <x:c r="AA490" s="55" t="n">
        <x:v>3723</x:v>
      </x:c>
      <x:c r="AB490" s="55" t="n">
        <x:v>1739</x:v>
      </x:c>
      <x:c r="AC490" s="55" t="n">
        <x:v>8154</x:v>
      </x:c>
      <x:c r="AD490" s="55" t="n">
        <x:v>2717</x:v>
      </x:c>
      <x:c r="AE490" s="55" t="n">
        <x:v>10319</x:v>
      </x:c>
      <x:c r="AF490" s="55" t="n">
        <x:v>10213</x:v>
      </x:c>
      <x:c r="AG490" s="55" t="n">
        <x:v>106</x:v>
      </x:c>
      <x:c r="AH490" s="55" t="n">
        <x:v>436</x:v>
      </x:c>
      <x:c r="AI490" s="55" t="n">
        <x:v>9777</x:v>
      </x:c>
      <x:c r="AJ490" s="55" t="n">
        <x:v>372</x:v>
      </x:c>
      <x:c r="AK490" s="55" t="n">
        <x:v>1007</x:v>
      </x:c>
      <x:c r="AL490" s="55" t="n">
        <x:v>1258</x:v>
      </x:c>
      <x:c r="AM490" s="55" t="n">
        <x:v>4430</x:v>
      </x:c>
      <x:c r="AN490" s="55" t="n">
        <x:v>3108</x:v>
      </x:c>
      <x:c r="AO490" s="55" t="n">
        <x:v>38</x:v>
      </x:c>
      <x:c r="AP490" s="55" t="n">
        <x:v>2805</x:v>
      </x:c>
      <x:c r="AQ490" s="55" t="n">
        <x:v>937</x:v>
      </x:c>
    </x:row>
    <x:row r="491">
      <x:c r="A491" s="54" t="str">
        <x:v>T0_TABLE_BLOCK</x:v>
      </x:c>
      <x:c r="B491" s="54" t="n">
        <x:v>485</x:v>
      </x:c>
      <x:c r="C491" s="54" t="str">
        <x:v>NYC-V2-R01</x:v>
      </x:c>
      <x:c r="D491" s="54" t="str">
        <x:v>V2</x:v>
      </x:c>
      <x:c r="E491" s="54" t="str">
        <x:v>ADMITTED</x:v>
      </x:c>
      <x:c r="F491" s="55" t="n">
        <x:v>27907</x:v>
      </x:c>
      <x:c r="G491" s="55" t="n">
        <x:v>7211</x:v>
      </x:c>
      <x:c r="H491" s="55" t="n">
        <x:v>3132</x:v>
      </x:c>
      <x:c r="I491" s="55" t="n">
        <x:v>1343</x:v>
      </x:c>
      <x:c r="J491" s="55" t="n">
        <x:v>217</x:v>
      </x:c>
      <x:c r="K491" s="55" t="n">
        <x:v>27028</x:v>
      </x:c>
      <x:c r="L491" s="55" t="n">
        <x:v>4434</x:v>
      </x:c>
      <x:c r="M491" s="55" t="n">
        <x:v>0</x:v>
      </x:c>
      <x:c r="N491" s="55" t="n">
        <x:v>2807</x:v>
      </x:c>
      <x:c r="O491" s="55" t="n">
        <x:v>1627</x:v>
      </x:c>
      <x:c r="P491" s="55" t="n">
        <x:v>1429</x:v>
      </x:c>
      <x:c r="Q491" s="55" t="n">
        <x:v>2993</x:v>
      </x:c>
      <x:c r="R491" s="55" t="n">
        <x:v>2501</x:v>
      </x:c>
      <x:c r="S491" s="55" t="n">
        <x:v>2578</x:v>
      </x:c>
      <x:c r="T491" s="55" t="n">
        <x:v>1152</x:v>
      </x:c>
      <x:c r="U491" s="55" t="n">
        <x:v>1961</x:v>
      </x:c>
      <x:c r="V491" s="55" t="n">
        <x:v>9700</x:v>
      </x:c>
      <x:c r="W491" s="55" t="n">
        <x:v>6650</x:v>
      </x:c>
      <x:c r="X491" s="55" t="n">
        <x:v>3050</x:v>
      </x:c>
      <x:c r="Y491" s="55" t="n">
        <x:v>2495</x:v>
      </x:c>
      <x:c r="Z491" s="55" t="n">
        <x:v>3852</x:v>
      </x:c>
      <x:c r="AA491" s="55" t="n">
        <x:v>2835</x:v>
      </x:c>
      <x:c r="AB491" s="55" t="n">
        <x:v>940</x:v>
      </x:c>
      <x:c r="AC491" s="55" t="n">
        <x:v>8004</x:v>
      </x:c>
      <x:c r="AD491" s="55" t="n">
        <x:v>2976</x:v>
      </x:c>
      <x:c r="AE491" s="55" t="n">
        <x:v>9819</x:v>
      </x:c>
      <x:c r="AF491" s="55" t="n">
        <x:v>9700</x:v>
      </x:c>
      <x:c r="AG491" s="55" t="n">
        <x:v>119</x:v>
      </x:c>
      <x:c r="AH491" s="55" t="n">
        <x:v>183</x:v>
      </x:c>
      <x:c r="AI491" s="55" t="n">
        <x:v>9517</x:v>
      </x:c>
      <x:c r="AJ491" s="55" t="n">
        <x:v>130</x:v>
      </x:c>
      <x:c r="AK491" s="55" t="n">
        <x:v>849</x:v>
      </x:c>
      <x:c r="AL491" s="55" t="n">
        <x:v>1182</x:v>
      </x:c>
      <x:c r="AM491" s="55" t="n">
        <x:v>5015</x:v>
      </x:c>
      <x:c r="AN491" s="55" t="n">
        <x:v>2496</x:v>
      </x:c>
      <x:c r="AO491" s="55" t="n">
        <x:v>28</x:v>
      </x:c>
      <x:c r="AP491" s="55" t="n">
        <x:v>2416</x:v>
      </x:c>
      <x:c r="AQ491" s="55" t="n">
        <x:v>1010</x:v>
      </x:c>
    </x:row>
    <x:row r="492">
      <x:c r="A492" s="54" t="str">
        <x:v>T0_TABLE_BLOCK</x:v>
      </x:c>
      <x:c r="B492" s="54" t="n">
        <x:v>486</x:v>
      </x:c>
      <x:c r="C492" s="54" t="str">
        <x:v>NYC-V2-R01</x:v>
      </x:c>
      <x:c r="D492" s="54" t="str">
        <x:v>V2</x:v>
      </x:c>
      <x:c r="E492" s="54" t="str">
        <x:v>ADMITTED</x:v>
      </x:c>
      <x:c r="F492" s="55" t="n">
        <x:v>30557</x:v>
      </x:c>
      <x:c r="G492" s="55" t="n">
        <x:v>7212</x:v>
      </x:c>
      <x:c r="H492" s="55" t="n">
        <x:v>3734</x:v>
      </x:c>
      <x:c r="I492" s="55" t="n">
        <x:v>1596</x:v>
      </x:c>
      <x:c r="J492" s="55" t="n">
        <x:v>414</x:v>
      </x:c>
      <x:c r="K492" s="55" t="n">
        <x:v>30152</x:v>
      </x:c>
      <x:c r="L492" s="55" t="n">
        <x:v>6286</x:v>
      </x:c>
      <x:c r="M492" s="55" t="n">
        <x:v>2033</x:v>
      </x:c>
      <x:c r="N492" s="55" t="n">
        <x:v>2493</x:v>
      </x:c>
      <x:c r="O492" s="55" t="n">
        <x:v>1760</x:v>
      </x:c>
      <x:c r="P492" s="55" t="n">
        <x:v>824</x:v>
      </x:c>
      <x:c r="Q492" s="55" t="n">
        <x:v>2194</x:v>
      </x:c>
      <x:c r="R492" s="55" t="n">
        <x:v>1594</x:v>
      </x:c>
      <x:c r="S492" s="55" t="n">
        <x:v>2897</x:v>
      </x:c>
      <x:c r="T492" s="55" t="n">
        <x:v>1163</x:v>
      </x:c>
      <x:c r="U492" s="55" t="n">
        <x:v>2296</x:v>
      </x:c>
      <x:c r="V492" s="55" t="n">
        <x:v>10116</x:v>
      </x:c>
      <x:c r="W492" s="55" t="n">
        <x:v>6806</x:v>
      </x:c>
      <x:c r="X492" s="55" t="n">
        <x:v>3310</x:v>
      </x:c>
      <x:c r="Y492" s="55" t="n">
        <x:v>2615</x:v>
      </x:c>
      <x:c r="Z492" s="55" t="n">
        <x:v>3972</x:v>
      </x:c>
      <x:c r="AA492" s="55" t="n">
        <x:v>2359</x:v>
      </x:c>
      <x:c r="AB492" s="55" t="n">
        <x:v>1356</x:v>
      </x:c>
      <x:c r="AC492" s="55" t="n">
        <x:v>8371</x:v>
      </x:c>
      <x:c r="AD492" s="55" t="n">
        <x:v>2472</x:v>
      </x:c>
      <x:c r="AE492" s="55" t="n">
        <x:v>10265</x:v>
      </x:c>
      <x:c r="AF492" s="55" t="n">
        <x:v>10116</x:v>
      </x:c>
      <x:c r="AG492" s="55" t="n">
        <x:v>149</x:v>
      </x:c>
      <x:c r="AH492" s="55" t="n">
        <x:v>782</x:v>
      </x:c>
      <x:c r="AI492" s="55" t="n">
        <x:v>9334</x:v>
      </x:c>
      <x:c r="AJ492" s="55" t="n">
        <x:v>529</x:v>
      </x:c>
      <x:c r="AK492" s="55" t="n">
        <x:v>1024</x:v>
      </x:c>
      <x:c r="AL492" s="55" t="n">
        <x:v>1623</x:v>
      </x:c>
      <x:c r="AM492" s="55" t="n">
        <x:v>4161</x:v>
      </x:c>
      <x:c r="AN492" s="55" t="n">
        <x:v>2745</x:v>
      </x:c>
      <x:c r="AO492" s="55" t="n">
        <x:v>34</x:v>
      </x:c>
      <x:c r="AP492" s="55" t="n">
        <x:v>2672</x:v>
      </x:c>
      <x:c r="AQ492" s="55" t="n">
        <x:v>973</x:v>
      </x:c>
    </x:row>
    <x:row r="493">
      <x:c r="A493" s="54" t="str">
        <x:v>T0_TABLE_BLOCK</x:v>
      </x:c>
      <x:c r="B493" s="54" t="n">
        <x:v>487</x:v>
      </x:c>
      <x:c r="C493" s="54" t="str">
        <x:v>NYC-V2-R01</x:v>
      </x:c>
      <x:c r="D493" s="54" t="str">
        <x:v>V2</x:v>
      </x:c>
      <x:c r="E493" s="54" t="str">
        <x:v>ADMITTED</x:v>
      </x:c>
      <x:c r="F493" s="55" t="n">
        <x:v>29607</x:v>
      </x:c>
      <x:c r="G493" s="55" t="n">
        <x:v>6163</x:v>
      </x:c>
      <x:c r="H493" s="55" t="n">
        <x:v>3432</x:v>
      </x:c>
      <x:c r="I493" s="55" t="n">
        <x:v>1256</x:v>
      </x:c>
      <x:c r="J493" s="55" t="n">
        <x:v>264</x:v>
      </x:c>
      <x:c r="K493" s="55" t="n">
        <x:v>29607</x:v>
      </x:c>
      <x:c r="L493" s="55" t="n">
        <x:v>5990</x:v>
      </x:c>
      <x:c r="M493" s="55" t="n">
        <x:v>1011</x:v>
      </x:c>
      <x:c r="N493" s="55" t="n">
        <x:v>3131</x:v>
      </x:c>
      <x:c r="O493" s="55" t="n">
        <x:v>1848</x:v>
      </x:c>
      <x:c r="P493" s="55" t="n">
        <x:v>648</x:v>
      </x:c>
      <x:c r="Q493" s="55" t="n">
        <x:v>2408</x:v>
      </x:c>
      <x:c r="R493" s="55" t="n">
        <x:v>2139</x:v>
      </x:c>
      <x:c r="S493" s="55" t="n">
        <x:v>2088</x:v>
      </x:c>
      <x:c r="T493" s="55" t="n">
        <x:v>870</x:v>
      </x:c>
      <x:c r="U493" s="55" t="n">
        <x:v>1657</x:v>
      </x:c>
      <x:c r="V493" s="55" t="n">
        <x:v>10795</x:v>
      </x:c>
      <x:c r="W493" s="55" t="n">
        <x:v>7896</x:v>
      </x:c>
      <x:c r="X493" s="55" t="n">
        <x:v>2899</x:v>
      </x:c>
      <x:c r="Y493" s="55" t="n">
        <x:v>2433</x:v>
      </x:c>
      <x:c r="Z493" s="55" t="n">
        <x:v>3436</x:v>
      </x:c>
      <x:c r="AA493" s="55" t="n">
        <x:v>2785</x:v>
      </x:c>
      <x:c r="AB493" s="55" t="n">
        <x:v>945</x:v>
      </x:c>
      <x:c r="AC493" s="55" t="n">
        <x:v>8191</x:v>
      </x:c>
      <x:c r="AD493" s="55" t="n">
        <x:v>2429</x:v>
      </x:c>
      <x:c r="AE493" s="55" t="n">
        <x:v>10915</x:v>
      </x:c>
      <x:c r="AF493" s="55" t="n">
        <x:v>10795</x:v>
      </x:c>
      <x:c r="AG493" s="55" t="n">
        <x:v>120</x:v>
      </x:c>
      <x:c r="AH493" s="55" t="n">
        <x:v>508</x:v>
      </x:c>
      <x:c r="AI493" s="55" t="n">
        <x:v>10287</x:v>
      </x:c>
      <x:c r="AJ493" s="55" t="n">
        <x:v>209</x:v>
      </x:c>
      <x:c r="AK493" s="55" t="n">
        <x:v>1374</x:v>
      </x:c>
      <x:c r="AL493" s="55" t="n">
        <x:v>1382</x:v>
      </x:c>
      <x:c r="AM493" s="55" t="n">
        <x:v>4923</x:v>
      </x:c>
      <x:c r="AN493" s="55" t="n">
        <x:v>2894</x:v>
      </x:c>
      <x:c r="AO493" s="55" t="n">
        <x:v>13</x:v>
      </x:c>
      <x:c r="AP493" s="55" t="n">
        <x:v>2570</x:v>
      </x:c>
      <x:c r="AQ493" s="55" t="n">
        <x:v>958</x:v>
      </x:c>
    </x:row>
    <x:row r="494">
      <x:c r="A494" s="54" t="str">
        <x:v>T0_TABLE_BLOCK</x:v>
      </x:c>
      <x:c r="B494" s="54" t="n">
        <x:v>488</x:v>
      </x:c>
      <x:c r="C494" s="54" t="str">
        <x:v>NYC-V2-R01</x:v>
      </x:c>
      <x:c r="D494" s="54" t="str">
        <x:v>V2</x:v>
      </x:c>
      <x:c r="E494" s="54" t="str">
        <x:v>ADMITTED</x:v>
      </x:c>
      <x:c r="F494" s="55" t="n">
        <x:v>34206</x:v>
      </x:c>
      <x:c r="G494" s="55" t="n">
        <x:v>8928</x:v>
      </x:c>
      <x:c r="H494" s="55" t="n">
        <x:v>3333</x:v>
      </x:c>
      <x:c r="I494" s="55" t="n">
        <x:v>1122</x:v>
      </x:c>
      <x:c r="J494" s="55" t="n">
        <x:v>246</x:v>
      </x:c>
      <x:c r="K494" s="55" t="n">
        <x:v>30507</x:v>
      </x:c>
      <x:c r="L494" s="55" t="n">
        <x:v>4992</x:v>
      </x:c>
      <x:c r="M494" s="55" t="n">
        <x:v>1271</x:v>
      </x:c>
      <x:c r="N494" s="55" t="n">
        <x:v>2138</x:v>
      </x:c>
      <x:c r="O494" s="55" t="n">
        <x:v>1583</x:v>
      </x:c>
      <x:c r="P494" s="55" t="n">
        <x:v>776</x:v>
      </x:c>
      <x:c r="Q494" s="55" t="n">
        <x:v>2505</x:v>
      </x:c>
      <x:c r="R494" s="55" t="n">
        <x:v>1437</x:v>
      </x:c>
      <x:c r="S494" s="55" t="n">
        <x:v>2532</x:v>
      </x:c>
      <x:c r="T494" s="55" t="n">
        <x:v>1319</x:v>
      </x:c>
      <x:c r="U494" s="55" t="n">
        <x:v>2376</x:v>
      </x:c>
      <x:c r="V494" s="55" t="n">
        <x:v>10051</x:v>
      </x:c>
      <x:c r="W494" s="55" t="n">
        <x:v>6657</x:v>
      </x:c>
      <x:c r="X494" s="55" t="n">
        <x:v>3394</x:v>
      </x:c>
      <x:c r="Y494" s="55" t="n">
        <x:v>2930</x:v>
      </x:c>
      <x:c r="Z494" s="55" t="n">
        <x:v>3327</x:v>
      </x:c>
      <x:c r="AA494" s="55" t="n">
        <x:v>3333</x:v>
      </x:c>
      <x:c r="AB494" s="55" t="n">
        <x:v>1148</x:v>
      </x:c>
      <x:c r="AC494" s="55" t="n">
        <x:v>8091</x:v>
      </x:c>
      <x:c r="AD494" s="55" t="n">
        <x:v>3312</x:v>
      </x:c>
      <x:c r="AE494" s="55" t="n">
        <x:v>10132</x:v>
      </x:c>
      <x:c r="AF494" s="55" t="n">
        <x:v>10051</x:v>
      </x:c>
      <x:c r="AG494" s="55" t="n">
        <x:v>81</x:v>
      </x:c>
      <x:c r="AH494" s="55" t="n">
        <x:v>376</x:v>
      </x:c>
      <x:c r="AI494" s="55" t="n">
        <x:v>9675</x:v>
      </x:c>
      <x:c r="AJ494" s="55" t="n">
        <x:v>283</x:v>
      </x:c>
      <x:c r="AK494" s="55" t="n">
        <x:v>925</x:v>
      </x:c>
      <x:c r="AL494" s="55" t="n">
        <x:v>1341</x:v>
      </x:c>
      <x:c r="AM494" s="55" t="n">
        <x:v>4952</x:v>
      </x:c>
      <x:c r="AN494" s="55" t="n">
        <x:v>2523</x:v>
      </x:c>
      <x:c r="AO494" s="55" t="n">
        <x:v>27</x:v>
      </x:c>
      <x:c r="AP494" s="55" t="n">
        <x:v>2558</x:v>
      </x:c>
      <x:c r="AQ494" s="55" t="n">
        <x:v>965</x:v>
      </x:c>
    </x:row>
    <x:row r="495">
      <x:c r="A495" s="54" t="str">
        <x:v>T0_TABLE_BLOCK</x:v>
      </x:c>
      <x:c r="B495" s="54" t="n">
        <x:v>489</x:v>
      </x:c>
      <x:c r="C495" s="54" t="str">
        <x:v>NYC-V2-R01</x:v>
      </x:c>
      <x:c r="D495" s="54" t="str">
        <x:v>V2</x:v>
      </x:c>
      <x:c r="E495" s="54" t="str">
        <x:v>ADMITTED</x:v>
      </x:c>
      <x:c r="F495" s="55" t="n">
        <x:v>30194</x:v>
      </x:c>
      <x:c r="G495" s="55" t="n">
        <x:v>7941</x:v>
      </x:c>
      <x:c r="H495" s="55" t="n">
        <x:v>3144</x:v>
      </x:c>
      <x:c r="I495" s="55" t="n">
        <x:v>1102</x:v>
      </x:c>
      <x:c r="J495" s="55" t="n">
        <x:v>218</x:v>
      </x:c>
      <x:c r="K495" s="55" t="n">
        <x:v>30194</x:v>
      </x:c>
      <x:c r="L495" s="55" t="n">
        <x:v>5670</x:v>
      </x:c>
      <x:c r="M495" s="55" t="n">
        <x:v>1535</x:v>
      </x:c>
      <x:c r="N495" s="55" t="n">
        <x:v>2335</x:v>
      </x:c>
      <x:c r="O495" s="55" t="n">
        <x:v>1800</x:v>
      </x:c>
      <x:c r="P495" s="55" t="n">
        <x:v>892</x:v>
      </x:c>
      <x:c r="Q495" s="55" t="n">
        <x:v>1437</x:v>
      </x:c>
      <x:c r="R495" s="55" t="n">
        <x:v>1556</x:v>
      </x:c>
      <x:c r="S495" s="55" t="n">
        <x:v>2935</x:v>
      </x:c>
      <x:c r="T495" s="55" t="n">
        <x:v>1197</x:v>
      </x:c>
      <x:c r="U495" s="55" t="n">
        <x:v>1691</x:v>
      </x:c>
      <x:c r="V495" s="55" t="n">
        <x:v>10019</x:v>
      </x:c>
      <x:c r="W495" s="55" t="n">
        <x:v>6278</x:v>
      </x:c>
      <x:c r="X495" s="55" t="n">
        <x:v>3741</x:v>
      </x:c>
      <x:c r="Y495" s="55" t="n">
        <x:v>3257</x:v>
      </x:c>
      <x:c r="Z495" s="55" t="n">
        <x:v>3505</x:v>
      </x:c>
      <x:c r="AA495" s="55" t="n">
        <x:v>3144</x:v>
      </x:c>
      <x:c r="AB495" s="55" t="n">
        <x:v>1042</x:v>
      </x:c>
      <x:c r="AC495" s="55" t="n">
        <x:v>7483</x:v>
      </x:c>
      <x:c r="AD495" s="55" t="n">
        <x:v>3332</x:v>
      </x:c>
      <x:c r="AE495" s="55" t="n">
        <x:v>10129</x:v>
      </x:c>
      <x:c r="AF495" s="55" t="n">
        <x:v>10019</x:v>
      </x:c>
      <x:c r="AG495" s="55" t="n">
        <x:v>110</x:v>
      </x:c>
      <x:c r="AH495" s="55" t="n">
        <x:v>378</x:v>
      </x:c>
      <x:c r="AI495" s="55" t="n">
        <x:v>9641</x:v>
      </x:c>
      <x:c r="AJ495" s="55" t="n">
        <x:v>390</x:v>
      </x:c>
      <x:c r="AK495" s="55" t="n">
        <x:v>1135</x:v>
      </x:c>
      <x:c r="AL495" s="55" t="n">
        <x:v>1317</x:v>
      </x:c>
      <x:c r="AM495" s="55" t="n">
        <x:v>4288</x:v>
      </x:c>
      <x:c r="AN495" s="55" t="n">
        <x:v>2842</x:v>
      </x:c>
      <x:c r="AO495" s="55" t="n">
        <x:v>47</x:v>
      </x:c>
      <x:c r="AP495" s="55" t="n">
        <x:v>2351</x:v>
      </x:c>
      <x:c r="AQ495" s="55" t="n">
        <x:v>895</x:v>
      </x:c>
    </x:row>
    <x:row r="496">
      <x:c r="A496" s="54" t="str">
        <x:v>T0_TABLE_BLOCK</x:v>
      </x:c>
      <x:c r="B496" s="54" t="n">
        <x:v>490</x:v>
      </x:c>
      <x:c r="C496" s="54" t="str">
        <x:v>NYC-V2-R01</x:v>
      </x:c>
      <x:c r="D496" s="54" t="str">
        <x:v>V2</x:v>
      </x:c>
      <x:c r="E496" s="54" t="str">
        <x:v>ADMITTED</x:v>
      </x:c>
      <x:c r="F496" s="55" t="n">
        <x:v>33328</x:v>
      </x:c>
      <x:c r="G496" s="55" t="n">
        <x:v>7775</x:v>
      </x:c>
      <x:c r="H496" s="55" t="n">
        <x:v>4245</x:v>
      </x:c>
      <x:c r="I496" s="55" t="n">
        <x:v>1977</x:v>
      </x:c>
      <x:c r="J496" s="55" t="n">
        <x:v>386</x:v>
      </x:c>
      <x:c r="K496" s="55" t="n">
        <x:v>29913</x:v>
      </x:c>
      <x:c r="L496" s="55" t="n">
        <x:v>5588</x:v>
      </x:c>
      <x:c r="M496" s="55" t="n">
        <x:v>1272</x:v>
      </x:c>
      <x:c r="N496" s="55" t="n">
        <x:v>2536</x:v>
      </x:c>
      <x:c r="O496" s="55" t="n">
        <x:v>1780</x:v>
      </x:c>
      <x:c r="P496" s="55" t="n">
        <x:v>347</x:v>
      </x:c>
      <x:c r="Q496" s="55" t="n">
        <x:v>2226</x:v>
      </x:c>
      <x:c r="R496" s="55" t="n">
        <x:v>1905</x:v>
      </x:c>
      <x:c r="S496" s="55" t="n">
        <x:v>2371</x:v>
      </x:c>
      <x:c r="T496" s="55" t="n">
        <x:v>1475</x:v>
      </x:c>
      <x:c r="U496" s="55" t="n">
        <x:v>2153</x:v>
      </x:c>
      <x:c r="V496" s="55" t="n">
        <x:v>10251</x:v>
      </x:c>
      <x:c r="W496" s="55" t="n">
        <x:v>7281</x:v>
      </x:c>
      <x:c r="X496" s="55" t="n">
        <x:v>2970</x:v>
      </x:c>
      <x:c r="Y496" s="55" t="n">
        <x:v>2585</x:v>
      </x:c>
      <x:c r="Z496" s="55" t="n">
        <x:v>3659</x:v>
      </x:c>
      <x:c r="AA496" s="55" t="n">
        <x:v>3200</x:v>
      </x:c>
      <x:c r="AB496" s="55" t="n">
        <x:v>1232</x:v>
      </x:c>
      <x:c r="AC496" s="55" t="n">
        <x:v>7281</x:v>
      </x:c>
      <x:c r="AD496" s="55" t="n">
        <x:v>2923</x:v>
      </x:c>
      <x:c r="AE496" s="55" t="n">
        <x:v>10346</x:v>
      </x:c>
      <x:c r="AF496" s="55" t="n">
        <x:v>10251</x:v>
      </x:c>
      <x:c r="AG496" s="55" t="n">
        <x:v>95</x:v>
      </x:c>
      <x:c r="AH496" s="55" t="n">
        <x:v>350</x:v>
      </x:c>
      <x:c r="AI496" s="55" t="n">
        <x:v>9901</x:v>
      </x:c>
      <x:c r="AJ496" s="55" t="n">
        <x:v>524</x:v>
      </x:c>
      <x:c r="AK496" s="55" t="n">
        <x:v>881</x:v>
      </x:c>
      <x:c r="AL496" s="55" t="n">
        <x:v>1234</x:v>
      </x:c>
      <x:c r="AM496" s="55" t="n">
        <x:v>5060</x:v>
      </x:c>
      <x:c r="AN496" s="55" t="n">
        <x:v>2552</x:v>
      </x:c>
      <x:c r="AO496" s="55" t="n">
        <x:v>0</x:v>
      </x:c>
      <x:c r="AP496" s="55" t="n">
        <x:v>2248</x:v>
      </x:c>
      <x:c r="AQ496" s="55" t="n">
        <x:v>933</x:v>
      </x:c>
    </x:row>
    <x:row r="497">
      <x:c r="A497" s="54" t="str">
        <x:v>T0_TABLE_BLOCK</x:v>
      </x:c>
      <x:c r="B497" s="54" t="n">
        <x:v>491</x:v>
      </x:c>
      <x:c r="C497" s="54" t="str">
        <x:v>NYC-V2-R01</x:v>
      </x:c>
      <x:c r="D497" s="54" t="str">
        <x:v>V2</x:v>
      </x:c>
      <x:c r="E497" s="54" t="str">
        <x:v>ADMITTED</x:v>
      </x:c>
      <x:c r="F497" s="55" t="n">
        <x:v>31910</x:v>
      </x:c>
      <x:c r="G497" s="55" t="n">
        <x:v>7676</x:v>
      </x:c>
      <x:c r="H497" s="55" t="n">
        <x:v>3248</x:v>
      </x:c>
      <x:c r="I497" s="55" t="n">
        <x:v>1176</x:v>
      </x:c>
      <x:c r="J497" s="55" t="n">
        <x:v>179</x:v>
      </x:c>
      <x:c r="K497" s="55" t="n">
        <x:v>31910</x:v>
      </x:c>
      <x:c r="L497" s="55" t="n">
        <x:v>6549</x:v>
      </x:c>
      <x:c r="M497" s="55" t="n">
        <x:v>1538</x:v>
      </x:c>
      <x:c r="N497" s="55" t="n">
        <x:v>2955</x:v>
      </x:c>
      <x:c r="O497" s="55" t="n">
        <x:v>2056</x:v>
      </x:c>
      <x:c r="P497" s="55" t="n">
        <x:v>1030</x:v>
      </x:c>
      <x:c r="Q497" s="55" t="n">
        <x:v>2176</x:v>
      </x:c>
      <x:c r="R497" s="55" t="n">
        <x:v>1692</x:v>
      </x:c>
      <x:c r="S497" s="55" t="n">
        <x:v>2260</x:v>
      </x:c>
      <x:c r="T497" s="55" t="n">
        <x:v>1145</x:v>
      </x:c>
      <x:c r="U497" s="55" t="n">
        <x:v>2197</x:v>
      </x:c>
      <x:c r="V497" s="55" t="n">
        <x:v>10920</x:v>
      </x:c>
      <x:c r="W497" s="55" t="n">
        <x:v>7580</x:v>
      </x:c>
      <x:c r="X497" s="55" t="n">
        <x:v>3340</x:v>
      </x:c>
      <x:c r="Y497" s="55" t="n">
        <x:v>3021</x:v>
      </x:c>
      <x:c r="Z497" s="55" t="n">
        <x:v>4262</x:v>
      </x:c>
      <x:c r="AA497" s="55" t="n">
        <x:v>2883</x:v>
      </x:c>
      <x:c r="AB497" s="55" t="n">
        <x:v>1025</x:v>
      </x:c>
      <x:c r="AC497" s="55" t="n">
        <x:v>7487</x:v>
      </x:c>
      <x:c r="AD497" s="55" t="n">
        <x:v>3537</x:v>
      </x:c>
      <x:c r="AE497" s="55" t="n">
        <x:v>11006</x:v>
      </x:c>
      <x:c r="AF497" s="55" t="n">
        <x:v>10920</x:v>
      </x:c>
      <x:c r="AG497" s="55" t="n">
        <x:v>86</x:v>
      </x:c>
      <x:c r="AH497" s="55" t="n">
        <x:v>635</x:v>
      </x:c>
      <x:c r="AI497" s="55" t="n">
        <x:v>10285</x:v>
      </x:c>
      <x:c r="AJ497" s="55" t="n">
        <x:v>488</x:v>
      </x:c>
      <x:c r="AK497" s="55" t="n">
        <x:v>861</x:v>
      </x:c>
      <x:c r="AL497" s="55" t="n">
        <x:v>1526</x:v>
      </x:c>
      <x:c r="AM497" s="55" t="n">
        <x:v>5142</x:v>
      </x:c>
      <x:c r="AN497" s="55" t="n">
        <x:v>2844</x:v>
      </x:c>
      <x:c r="AO497" s="55" t="n">
        <x:v>59</x:v>
      </x:c>
      <x:c r="AP497" s="55" t="n">
        <x:v>2143</x:v>
      </x:c>
      <x:c r="AQ497" s="55" t="n">
        <x:v>985</x:v>
      </x:c>
    </x:row>
    <x:row r="498">
      <x:c r="A498" s="54" t="str">
        <x:v>T0_TABLE_BLOCK</x:v>
      </x:c>
      <x:c r="B498" s="54" t="n">
        <x:v>492</x:v>
      </x:c>
      <x:c r="C498" s="54" t="str">
        <x:v>NYC-V2-R01</x:v>
      </x:c>
      <x:c r="D498" s="54" t="str">
        <x:v>V2</x:v>
      </x:c>
      <x:c r="E498" s="54" t="str">
        <x:v>ADMITTED</x:v>
      </x:c>
      <x:c r="F498" s="55" t="n">
        <x:v>29699</x:v>
      </x:c>
      <x:c r="G498" s="55" t="n">
        <x:v>6995</x:v>
      </x:c>
      <x:c r="H498" s="55" t="n">
        <x:v>3511</x:v>
      </x:c>
      <x:c r="I498" s="55" t="n">
        <x:v>1453</x:v>
      </x:c>
      <x:c r="J498" s="55" t="n">
        <x:v>347</x:v>
      </x:c>
      <x:c r="K498" s="55" t="n">
        <x:v>29602</x:v>
      </x:c>
      <x:c r="L498" s="55" t="n">
        <x:v>4614</x:v>
      </x:c>
      <x:c r="M498" s="55" t="n">
        <x:v>827</x:v>
      </x:c>
      <x:c r="N498" s="55" t="n">
        <x:v>2351</x:v>
      </x:c>
      <x:c r="O498" s="55" t="n">
        <x:v>1436</x:v>
      </x:c>
      <x:c r="P498" s="55" t="n">
        <x:v>1143</x:v>
      </x:c>
      <x:c r="Q498" s="55" t="n">
        <x:v>2971</x:v>
      </x:c>
      <x:c r="R498" s="55" t="n">
        <x:v>1821</x:v>
      </x:c>
      <x:c r="S498" s="55" t="n">
        <x:v>2185</x:v>
      </x:c>
      <x:c r="T498" s="55" t="n">
        <x:v>1193</x:v>
      </x:c>
      <x:c r="U498" s="55" t="n">
        <x:v>2483</x:v>
      </x:c>
      <x:c r="V498" s="55" t="n">
        <x:v>10657</x:v>
      </x:c>
      <x:c r="W498" s="55" t="n">
        <x:v>7825</x:v>
      </x:c>
      <x:c r="X498" s="55" t="n">
        <x:v>2832</x:v>
      </x:c>
      <x:c r="Y498" s="55" t="n">
        <x:v>2613</x:v>
      </x:c>
      <x:c r="Z498" s="55" t="n">
        <x:v>3612</x:v>
      </x:c>
      <x:c r="AA498" s="55" t="n">
        <x:v>3511</x:v>
      </x:c>
      <x:c r="AB498" s="55" t="n">
        <x:v>1452</x:v>
      </x:c>
      <x:c r="AC498" s="55" t="n">
        <x:v>7684</x:v>
      </x:c>
      <x:c r="AD498" s="55" t="n">
        <x:v>2516</x:v>
      </x:c>
      <x:c r="AE498" s="55" t="n">
        <x:v>10734</x:v>
      </x:c>
      <x:c r="AF498" s="55" t="n">
        <x:v>10657</x:v>
      </x:c>
      <x:c r="AG498" s="55" t="n">
        <x:v>77</x:v>
      </x:c>
      <x:c r="AH498" s="55" t="n">
        <x:v>559</x:v>
      </x:c>
      <x:c r="AI498" s="55" t="n">
        <x:v>10098</x:v>
      </x:c>
      <x:c r="AJ498" s="55" t="n">
        <x:v>537</x:v>
      </x:c>
      <x:c r="AK498" s="55" t="n">
        <x:v>1294</x:v>
      </x:c>
      <x:c r="AL498" s="55" t="n">
        <x:v>1619</x:v>
      </x:c>
      <x:c r="AM498" s="55" t="n">
        <x:v>4685</x:v>
      </x:c>
      <x:c r="AN498" s="55" t="n">
        <x:v>2474</x:v>
      </x:c>
      <x:c r="AO498" s="55" t="n">
        <x:v>48</x:v>
      </x:c>
      <x:c r="AP498" s="55" t="n">
        <x:v>2327</x:v>
      </x:c>
      <x:c r="AQ498" s="55" t="n">
        <x:v>963</x:v>
      </x:c>
    </x:row>
    <x:row r="499">
      <x:c r="A499" s="54" t="str">
        <x:v>T0_TABLE_BLOCK</x:v>
      </x:c>
      <x:c r="B499" s="54" t="n">
        <x:v>493</x:v>
      </x:c>
      <x:c r="C499" s="54" t="str">
        <x:v>NYC-V2-R01</x:v>
      </x:c>
      <x:c r="D499" s="54" t="str">
        <x:v>V2</x:v>
      </x:c>
      <x:c r="E499" s="54" t="str">
        <x:v>ADMITTED</x:v>
      </x:c>
      <x:c r="F499" s="55" t="n">
        <x:v>28458</x:v>
      </x:c>
      <x:c r="G499" s="55" t="n">
        <x:v>7024</x:v>
      </x:c>
      <x:c r="H499" s="55" t="n">
        <x:v>3276</x:v>
      </x:c>
      <x:c r="I499" s="55" t="n">
        <x:v>1400</x:v>
      </x:c>
      <x:c r="J499" s="55" t="n">
        <x:v>78</x:v>
      </x:c>
      <x:c r="K499" s="55" t="n">
        <x:v>27068</x:v>
      </x:c>
      <x:c r="L499" s="55" t="n">
        <x:v>5184</x:v>
      </x:c>
      <x:c r="M499" s="55" t="n">
        <x:v>956</x:v>
      </x:c>
      <x:c r="N499" s="55" t="n">
        <x:v>2894</x:v>
      </x:c>
      <x:c r="O499" s="55" t="n">
        <x:v>1334</x:v>
      </x:c>
      <x:c r="P499" s="55" t="n">
        <x:v>452</x:v>
      </x:c>
      <x:c r="Q499" s="55" t="n">
        <x:v>2713</x:v>
      </x:c>
      <x:c r="R499" s="55" t="n">
        <x:v>1532</x:v>
      </x:c>
      <x:c r="S499" s="55" t="n">
        <x:v>3266</x:v>
      </x:c>
      <x:c r="T499" s="55" t="n">
        <x:v>1033</x:v>
      </x:c>
      <x:c r="U499" s="55" t="n">
        <x:v>1907</x:v>
      </x:c>
      <x:c r="V499" s="55" t="n">
        <x:v>10677</x:v>
      </x:c>
      <x:c r="W499" s="55" t="n">
        <x:v>8116</x:v>
      </x:c>
      <x:c r="X499" s="55" t="n">
        <x:v>2561</x:v>
      </x:c>
      <x:c r="Y499" s="55" t="n">
        <x:v>2259</x:v>
      </x:c>
      <x:c r="Z499" s="55" t="n">
        <x:v>3439</x:v>
      </x:c>
      <x:c r="AA499" s="55" t="n">
        <x:v>2896</x:v>
      </x:c>
      <x:c r="AB499" s="55" t="n">
        <x:v>1238</x:v>
      </x:c>
      <x:c r="AC499" s="55" t="n">
        <x:v>7376</x:v>
      </x:c>
      <x:c r="AD499" s="55" t="n">
        <x:v>3346</x:v>
      </x:c>
      <x:c r="AE499" s="55" t="n">
        <x:v>10780</x:v>
      </x:c>
      <x:c r="AF499" s="55" t="n">
        <x:v>10677</x:v>
      </x:c>
      <x:c r="AG499" s="55" t="n">
        <x:v>103</x:v>
      </x:c>
      <x:c r="AH499" s="55" t="n">
        <x:v>704</x:v>
      </x:c>
      <x:c r="AI499" s="55" t="n">
        <x:v>9973</x:v>
      </x:c>
      <x:c r="AJ499" s="55" t="n">
        <x:v>213</x:v>
      </x:c>
      <x:c r="AK499" s="55" t="n">
        <x:v>878</x:v>
      </x:c>
      <x:c r="AL499" s="55" t="n">
        <x:v>1423</x:v>
      </x:c>
      <x:c r="AM499" s="55" t="n">
        <x:v>5009</x:v>
      </x:c>
      <x:c r="AN499" s="55" t="n">
        <x:v>3154</x:v>
      </x:c>
      <x:c r="AO499" s="55" t="n">
        <x:v>0</x:v>
      </x:c>
      <x:c r="AP499" s="55" t="n">
        <x:v>2023</x:v>
      </x:c>
      <x:c r="AQ499" s="55" t="n">
        <x:v>987</x:v>
      </x:c>
    </x:row>
    <x:row r="500">
      <x:c r="A500" s="54" t="str">
        <x:v>T0_TABLE_BLOCK</x:v>
      </x:c>
      <x:c r="B500" s="54" t="n">
        <x:v>494</x:v>
      </x:c>
      <x:c r="C500" s="54" t="str">
        <x:v>NYC-V2-R01</x:v>
      </x:c>
      <x:c r="D500" s="54" t="str">
        <x:v>V2</x:v>
      </x:c>
      <x:c r="E500" s="54" t="str">
        <x:v>ADMITTED</x:v>
      </x:c>
      <x:c r="F500" s="55" t="n">
        <x:v>31230</x:v>
      </x:c>
      <x:c r="G500" s="55" t="n">
        <x:v>8042</x:v>
      </x:c>
      <x:c r="H500" s="55" t="n">
        <x:v>3144</x:v>
      </x:c>
      <x:c r="I500" s="55" t="n">
        <x:v>948</x:v>
      </x:c>
      <x:c r="J500" s="55" t="n">
        <x:v>198</x:v>
      </x:c>
      <x:c r="K500" s="55" t="n">
        <x:v>29901</x:v>
      </x:c>
      <x:c r="L500" s="55" t="n">
        <x:v>6303</x:v>
      </x:c>
      <x:c r="M500" s="55" t="n">
        <x:v>1487</x:v>
      </x:c>
      <x:c r="N500" s="55" t="n">
        <x:v>2770</x:v>
      </x:c>
      <x:c r="O500" s="55" t="n">
        <x:v>2046</x:v>
      </x:c>
      <x:c r="P500" s="55" t="n">
        <x:v>456</x:v>
      </x:c>
      <x:c r="Q500" s="55" t="n">
        <x:v>2757</x:v>
      </x:c>
      <x:c r="R500" s="55" t="n">
        <x:v>2016</x:v>
      </x:c>
      <x:c r="S500" s="55" t="n">
        <x:v>3137</x:v>
      </x:c>
      <x:c r="T500" s="55" t="n">
        <x:v>974</x:v>
      </x:c>
      <x:c r="U500" s="55" t="n">
        <x:v>2734</x:v>
      </x:c>
      <x:c r="V500" s="55" t="n">
        <x:v>11803</x:v>
      </x:c>
      <x:c r="W500" s="55" t="n">
        <x:v>8754</x:v>
      </x:c>
      <x:c r="X500" s="55" t="n">
        <x:v>3049</x:v>
      </x:c>
      <x:c r="Y500" s="55" t="n">
        <x:v>2619</x:v>
      </x:c>
      <x:c r="Z500" s="55" t="n">
        <x:v>3360</x:v>
      </x:c>
      <x:c r="AA500" s="55" t="n">
        <x:v>2860</x:v>
      </x:c>
      <x:c r="AB500" s="55" t="n">
        <x:v>1415</x:v>
      </x:c>
      <x:c r="AC500" s="55" t="n">
        <x:v>8075</x:v>
      </x:c>
      <x:c r="AD500" s="55" t="n">
        <x:v>3479</x:v>
      </x:c>
      <x:c r="AE500" s="55" t="n">
        <x:v>11831</x:v>
      </x:c>
      <x:c r="AF500" s="55" t="n">
        <x:v>11803</x:v>
      </x:c>
      <x:c r="AG500" s="55" t="n">
        <x:v>28</x:v>
      </x:c>
      <x:c r="AH500" s="55" t="n">
        <x:v>680</x:v>
      </x:c>
      <x:c r="AI500" s="55" t="n">
        <x:v>11123</x:v>
      </x:c>
      <x:c r="AJ500" s="55" t="n">
        <x:v>341</x:v>
      </x:c>
      <x:c r="AK500" s="55" t="n">
        <x:v>759</x:v>
      </x:c>
      <x:c r="AL500" s="55" t="n">
        <x:v>1966</x:v>
      </x:c>
      <x:c r="AM500" s="55" t="n">
        <x:v>5313</x:v>
      </x:c>
      <x:c r="AN500" s="55" t="n">
        <x:v>3355</x:v>
      </x:c>
      <x:c r="AO500" s="55" t="n">
        <x:v>69</x:v>
      </x:c>
      <x:c r="AP500" s="55" t="n">
        <x:v>2856</x:v>
      </x:c>
      <x:c r="AQ500" s="55" t="n">
        <x:v>954</x:v>
      </x:c>
    </x:row>
    <x:row r="501">
      <x:c r="A501" s="54" t="str">
        <x:v>T0_TABLE_BLOCK</x:v>
      </x:c>
      <x:c r="B501" s="54" t="n">
        <x:v>495</x:v>
      </x:c>
      <x:c r="C501" s="54" t="str">
        <x:v>NYC-V2-R01</x:v>
      </x:c>
      <x:c r="D501" s="54" t="str">
        <x:v>V2</x:v>
      </x:c>
      <x:c r="E501" s="54" t="str">
        <x:v>ADMITTED</x:v>
      </x:c>
      <x:c r="F501" s="55" t="n">
        <x:v>31427</x:v>
      </x:c>
      <x:c r="G501" s="55" t="n">
        <x:v>8018</x:v>
      </x:c>
      <x:c r="H501" s="55" t="n">
        <x:v>3318</x:v>
      </x:c>
      <x:c r="I501" s="55" t="n">
        <x:v>1380</x:v>
      </x:c>
      <x:c r="J501" s="55" t="n">
        <x:v>29</x:v>
      </x:c>
      <x:c r="K501" s="55" t="n">
        <x:v>30563</x:v>
      </x:c>
      <x:c r="L501" s="55" t="n">
        <x:v>5665</x:v>
      </x:c>
      <x:c r="M501" s="55" t="n">
        <x:v>1498</x:v>
      </x:c>
      <x:c r="N501" s="55" t="n">
        <x:v>2190</x:v>
      </x:c>
      <x:c r="O501" s="55" t="n">
        <x:v>1977</x:v>
      </x:c>
      <x:c r="P501" s="55" t="n">
        <x:v>749</x:v>
      </x:c>
      <x:c r="Q501" s="55" t="n">
        <x:v>2702</x:v>
      </x:c>
      <x:c r="R501" s="55" t="n">
        <x:v>1627</x:v>
      </x:c>
      <x:c r="S501" s="55" t="n">
        <x:v>2984</x:v>
      </x:c>
      <x:c r="T501" s="55" t="n">
        <x:v>1442</x:v>
      </x:c>
      <x:c r="U501" s="55" t="n">
        <x:v>2117</x:v>
      </x:c>
      <x:c r="V501" s="55" t="n">
        <x:v>10114</x:v>
      </x:c>
      <x:c r="W501" s="55" t="n">
        <x:v>7486</x:v>
      </x:c>
      <x:c r="X501" s="55" t="n">
        <x:v>2628</x:v>
      </x:c>
      <x:c r="Y501" s="55" t="n">
        <x:v>2414</x:v>
      </x:c>
      <x:c r="Z501" s="55" t="n">
        <x:v>4723</x:v>
      </x:c>
      <x:c r="AA501" s="55" t="n">
        <x:v>2677</x:v>
      </x:c>
      <x:c r="AB501" s="55" t="n">
        <x:v>731</x:v>
      </x:c>
      <x:c r="AC501" s="55" t="n">
        <x:v>7848</x:v>
      </x:c>
      <x:c r="AD501" s="55" t="n">
        <x:v>3371</x:v>
      </x:c>
      <x:c r="AE501" s="55" t="n">
        <x:v>10203</x:v>
      </x:c>
      <x:c r="AF501" s="55" t="n">
        <x:v>10114</x:v>
      </x:c>
      <x:c r="AG501" s="55" t="n">
        <x:v>89</x:v>
      </x:c>
      <x:c r="AH501" s="55" t="n">
        <x:v>617</x:v>
      </x:c>
      <x:c r="AI501" s="55" t="n">
        <x:v>9497</x:v>
      </x:c>
      <x:c r="AJ501" s="55" t="n">
        <x:v>353</x:v>
      </x:c>
      <x:c r="AK501" s="55" t="n">
        <x:v>732</x:v>
      </x:c>
      <x:c r="AL501" s="55" t="n">
        <x:v>1203</x:v>
      </x:c>
      <x:c r="AM501" s="55" t="n">
        <x:v>4795</x:v>
      </x:c>
      <x:c r="AN501" s="55" t="n">
        <x:v>3023</x:v>
      </x:c>
      <x:c r="AO501" s="55" t="n">
        <x:v>8</x:v>
      </x:c>
      <x:c r="AP501" s="55" t="n">
        <x:v>2500</x:v>
      </x:c>
      <x:c r="AQ501" s="55" t="n">
        <x:v>960</x:v>
      </x:c>
    </x:row>
    <x:row r="502">
      <x:c r="A502" s="54" t="str">
        <x:v>T0_TABLE_BLOCK</x:v>
      </x:c>
      <x:c r="B502" s="54" t="n">
        <x:v>496</x:v>
      </x:c>
      <x:c r="C502" s="54" t="str">
        <x:v>NYC-V2-R01</x:v>
      </x:c>
      <x:c r="D502" s="54" t="str">
        <x:v>V2</x:v>
      </x:c>
      <x:c r="E502" s="54" t="str">
        <x:v>ADMITTED</x:v>
      </x:c>
      <x:c r="F502" s="55" t="n">
        <x:v>32343</x:v>
      </x:c>
      <x:c r="G502" s="55" t="n">
        <x:v>7514</x:v>
      </x:c>
      <x:c r="H502" s="55" t="n">
        <x:v>3454</x:v>
      </x:c>
      <x:c r="I502" s="55" t="n">
        <x:v>1258</x:v>
      </x:c>
      <x:c r="J502" s="55" t="n">
        <x:v>143</x:v>
      </x:c>
      <x:c r="K502" s="55" t="n">
        <x:v>32343</x:v>
      </x:c>
      <x:c r="L502" s="55" t="n">
        <x:v>6948</x:v>
      </x:c>
      <x:c r="M502" s="55" t="n">
        <x:v>2263</x:v>
      </x:c>
      <x:c r="N502" s="55" t="n">
        <x:v>3177</x:v>
      </x:c>
      <x:c r="O502" s="55" t="n">
        <x:v>1508</x:v>
      </x:c>
      <x:c r="P502" s="55" t="n">
        <x:v>712</x:v>
      </x:c>
      <x:c r="Q502" s="55" t="n">
        <x:v>1514</x:v>
      </x:c>
      <x:c r="R502" s="55" t="n">
        <x:v>1179</x:v>
      </x:c>
      <x:c r="S502" s="55" t="n">
        <x:v>3164</x:v>
      </x:c>
      <x:c r="T502" s="55" t="n">
        <x:v>840</x:v>
      </x:c>
      <x:c r="U502" s="55" t="n">
        <x:v>2227</x:v>
      </x:c>
      <x:c r="V502" s="55" t="n">
        <x:v>10917</x:v>
      </x:c>
      <x:c r="W502" s="55" t="n">
        <x:v>7692</x:v>
      </x:c>
      <x:c r="X502" s="55" t="n">
        <x:v>3225</x:v>
      </x:c>
      <x:c r="Y502" s="55" t="n">
        <x:v>2914</x:v>
      </x:c>
      <x:c r="Z502" s="55" t="n">
        <x:v>3973</x:v>
      </x:c>
      <x:c r="AA502" s="55" t="n">
        <x:v>2932</x:v>
      </x:c>
      <x:c r="AB502" s="55" t="n">
        <x:v>997</x:v>
      </x:c>
      <x:c r="AC502" s="55" t="n">
        <x:v>8404</x:v>
      </x:c>
      <x:c r="AD502" s="55" t="n">
        <x:v>2939</x:v>
      </x:c>
      <x:c r="AE502" s="55" t="n">
        <x:v>10920</x:v>
      </x:c>
      <x:c r="AF502" s="55" t="n">
        <x:v>10917</x:v>
      </x:c>
      <x:c r="AG502" s="55" t="n">
        <x:v>3</x:v>
      </x:c>
      <x:c r="AH502" s="55" t="n">
        <x:v>429</x:v>
      </x:c>
      <x:c r="AI502" s="55" t="n">
        <x:v>10488</x:v>
      </x:c>
      <x:c r="AJ502" s="55" t="n">
        <x:v>264</x:v>
      </x:c>
      <x:c r="AK502" s="55" t="n">
        <x:v>603</x:v>
      </x:c>
      <x:c r="AL502" s="55" t="n">
        <x:v>1127</x:v>
      </x:c>
      <x:c r="AM502" s="55" t="n">
        <x:v>5678</x:v>
      </x:c>
      <x:c r="AN502" s="55" t="n">
        <x:v>3245</x:v>
      </x:c>
      <x:c r="AO502" s="55" t="n">
        <x:v>0</x:v>
      </x:c>
      <x:c r="AP502" s="55" t="n">
        <x:v>2027</x:v>
      </x:c>
      <x:c r="AQ502" s="55" t="n">
        <x:v>980</x:v>
      </x:c>
    </x:row>
    <x:row r="503">
      <x:c r="A503" s="54" t="str">
        <x:v>T0_TABLE_BLOCK</x:v>
      </x:c>
      <x:c r="B503" s="54" t="n">
        <x:v>497</x:v>
      </x:c>
      <x:c r="C503" s="54" t="str">
        <x:v>NYC-V2-R01</x:v>
      </x:c>
      <x:c r="D503" s="54" t="str">
        <x:v>V2</x:v>
      </x:c>
      <x:c r="E503" s="54" t="str">
        <x:v>ADMITTED</x:v>
      </x:c>
      <x:c r="F503" s="55" t="n">
        <x:v>34000</x:v>
      </x:c>
      <x:c r="G503" s="55" t="n">
        <x:v>9116</x:v>
      </x:c>
      <x:c r="H503" s="55" t="n">
        <x:v>3434</x:v>
      </x:c>
      <x:c r="I503" s="55" t="n">
        <x:v>1188</x:v>
      </x:c>
      <x:c r="J503" s="55" t="n">
        <x:v>378</x:v>
      </x:c>
      <x:c r="K503" s="55" t="n">
        <x:v>30941</x:v>
      </x:c>
      <x:c r="L503" s="55" t="n">
        <x:v>6867</x:v>
      </x:c>
      <x:c r="M503" s="55" t="n">
        <x:v>2296</x:v>
      </x:c>
      <x:c r="N503" s="55" t="n">
        <x:v>3028</x:v>
      </x:c>
      <x:c r="O503" s="55" t="n">
        <x:v>1543</x:v>
      </x:c>
      <x:c r="P503" s="55" t="n">
        <x:v>906</x:v>
      </x:c>
      <x:c r="Q503" s="55" t="n">
        <x:v>2151</x:v>
      </x:c>
      <x:c r="R503" s="55" t="n">
        <x:v>1641</x:v>
      </x:c>
      <x:c r="S503" s="55" t="n">
        <x:v>2942</x:v>
      </x:c>
      <x:c r="T503" s="55" t="n">
        <x:v>540</x:v>
      </x:c>
      <x:c r="U503" s="55" t="n">
        <x:v>2494</x:v>
      </x:c>
      <x:c r="V503" s="55" t="n">
        <x:v>9249</x:v>
      </x:c>
      <x:c r="W503" s="55" t="n">
        <x:v>6402</x:v>
      </x:c>
      <x:c r="X503" s="55" t="n">
        <x:v>2847</x:v>
      </x:c>
      <x:c r="Y503" s="55" t="n">
        <x:v>2500</x:v>
      </x:c>
      <x:c r="Z503" s="55" t="n">
        <x:v>3544</x:v>
      </x:c>
      <x:c r="AA503" s="55" t="n">
        <x:v>3163</x:v>
      </x:c>
      <x:c r="AB503" s="55" t="n">
        <x:v>1228</x:v>
      </x:c>
      <x:c r="AC503" s="55" t="n">
        <x:v>7750</x:v>
      </x:c>
      <x:c r="AD503" s="55" t="n">
        <x:v>3320</x:v>
      </x:c>
      <x:c r="AE503" s="55" t="n">
        <x:v>9385</x:v>
      </x:c>
      <x:c r="AF503" s="55" t="n">
        <x:v>9249</x:v>
      </x:c>
      <x:c r="AG503" s="55" t="n">
        <x:v>136</x:v>
      </x:c>
      <x:c r="AH503" s="55" t="n">
        <x:v>290</x:v>
      </x:c>
      <x:c r="AI503" s="55" t="n">
        <x:v>8959</x:v>
      </x:c>
      <x:c r="AJ503" s="55" t="n">
        <x:v>209</x:v>
      </x:c>
      <x:c r="AK503" s="55" t="n">
        <x:v>913</x:v>
      </x:c>
      <x:c r="AL503" s="55" t="n">
        <x:v>1858</x:v>
      </x:c>
      <x:c r="AM503" s="55" t="n">
        <x:v>3824</x:v>
      </x:c>
      <x:c r="AN503" s="55" t="n">
        <x:v>2425</x:v>
      </x:c>
      <x:c r="AO503" s="55" t="n">
        <x:v>20</x:v>
      </x:c>
      <x:c r="AP503" s="55" t="n">
        <x:v>1968</x:v>
      </x:c>
      <x:c r="AQ503" s="55" t="n">
        <x:v>913</x:v>
      </x:c>
    </x:row>
    <x:row r="504">
      <x:c r="A504" s="54" t="str">
        <x:v>T0_TABLE_BLOCK</x:v>
      </x:c>
      <x:c r="B504" s="54" t="n">
        <x:v>498</x:v>
      </x:c>
      <x:c r="C504" s="54" t="str">
        <x:v>NYC-V2-R01</x:v>
      </x:c>
      <x:c r="D504" s="54" t="str">
        <x:v>V2</x:v>
      </x:c>
      <x:c r="E504" s="54" t="str">
        <x:v>ADMITTED</x:v>
      </x:c>
      <x:c r="F504" s="55" t="n">
        <x:v>33072</x:v>
      </x:c>
      <x:c r="G504" s="55" t="n">
        <x:v>7678</x:v>
      </x:c>
      <x:c r="H504" s="55" t="n">
        <x:v>3390</x:v>
      </x:c>
      <x:c r="I504" s="55" t="n">
        <x:v>1147</x:v>
      </x:c>
      <x:c r="J504" s="55" t="n">
        <x:v>315</x:v>
      </x:c>
      <x:c r="K504" s="55" t="n">
        <x:v>32050</x:v>
      </x:c>
      <x:c r="L504" s="55" t="n">
        <x:v>5643</x:v>
      </x:c>
      <x:c r="M504" s="55" t="n">
        <x:v>1247</x:v>
      </x:c>
      <x:c r="N504" s="55" t="n">
        <x:v>2728</x:v>
      </x:c>
      <x:c r="O504" s="55" t="n">
        <x:v>1668</x:v>
      </x:c>
      <x:c r="P504" s="55" t="n">
        <x:v>872</x:v>
      </x:c>
      <x:c r="Q504" s="55" t="n">
        <x:v>2274</x:v>
      </x:c>
      <x:c r="R504" s="55" t="n">
        <x:v>1920</x:v>
      </x:c>
      <x:c r="S504" s="55" t="n">
        <x:v>2931</x:v>
      </x:c>
      <x:c r="T504" s="55" t="n">
        <x:v>1229</x:v>
      </x:c>
      <x:c r="U504" s="55" t="n">
        <x:v>1700</x:v>
      </x:c>
      <x:c r="V504" s="55" t="n">
        <x:v>10141</x:v>
      </x:c>
      <x:c r="W504" s="55" t="n">
        <x:v>6855</x:v>
      </x:c>
      <x:c r="X504" s="55" t="n">
        <x:v>3286</x:v>
      </x:c>
      <x:c r="Y504" s="55" t="n">
        <x:v>2867</x:v>
      </x:c>
      <x:c r="Z504" s="55" t="n">
        <x:v>3466</x:v>
      </x:c>
      <x:c r="AA504" s="55" t="n">
        <x:v>3390</x:v>
      </x:c>
      <x:c r="AB504" s="55" t="n">
        <x:v>977</x:v>
      </x:c>
      <x:c r="AC504" s="55" t="n">
        <x:v>8115</x:v>
      </x:c>
      <x:c r="AD504" s="55" t="n">
        <x:v>3053</x:v>
      </x:c>
      <x:c r="AE504" s="55" t="n">
        <x:v>10234</x:v>
      </x:c>
      <x:c r="AF504" s="55" t="n">
        <x:v>10141</x:v>
      </x:c>
      <x:c r="AG504" s="55" t="n">
        <x:v>93</x:v>
      </x:c>
      <x:c r="AH504" s="55" t="n">
        <x:v>315</x:v>
      </x:c>
      <x:c r="AI504" s="55" t="n">
        <x:v>9826</x:v>
      </x:c>
      <x:c r="AJ504" s="55" t="n">
        <x:v>303</x:v>
      </x:c>
      <x:c r="AK504" s="55" t="n">
        <x:v>1135</x:v>
      </x:c>
      <x:c r="AL504" s="55" t="n">
        <x:v>1492</x:v>
      </x:c>
      <x:c r="AM504" s="55" t="n">
        <x:v>4210</x:v>
      </x:c>
      <x:c r="AN504" s="55" t="n">
        <x:v>3001</x:v>
      </x:c>
      <x:c r="AO504" s="55" t="n">
        <x:v>0</x:v>
      </x:c>
      <x:c r="AP504" s="55" t="n">
        <x:v>2200</x:v>
      </x:c>
      <x:c r="AQ504" s="55" t="n">
        <x:v>935</x:v>
      </x:c>
    </x:row>
    <x:row r="505">
      <x:c r="A505" s="54" t="str">
        <x:v>T0_TABLE_BLOCK</x:v>
      </x:c>
      <x:c r="B505" s="54" t="n">
        <x:v>499</x:v>
      </x:c>
      <x:c r="C505" s="54" t="str">
        <x:v>NYC-V2-R01</x:v>
      </x:c>
      <x:c r="D505" s="54" t="str">
        <x:v>V2</x:v>
      </x:c>
      <x:c r="E505" s="54" t="str">
        <x:v>ADMITTED</x:v>
      </x:c>
      <x:c r="F505" s="55" t="n">
        <x:v>32434</x:v>
      </x:c>
      <x:c r="G505" s="55" t="n">
        <x:v>6033</x:v>
      </x:c>
      <x:c r="H505" s="55" t="n">
        <x:v>3862</x:v>
      </x:c>
      <x:c r="I505" s="55" t="n">
        <x:v>1070</x:v>
      </x:c>
      <x:c r="J505" s="55" t="n">
        <x:v>255</x:v>
      </x:c>
      <x:c r="K505" s="55" t="n">
        <x:v>32434</x:v>
      </x:c>
      <x:c r="L505" s="55" t="n">
        <x:v>6905</x:v>
      </x:c>
      <x:c r="M505" s="55" t="n">
        <x:v>1814</x:v>
      </x:c>
      <x:c r="N505" s="55" t="n">
        <x:v>3427</x:v>
      </x:c>
      <x:c r="O505" s="55" t="n">
        <x:v>1664</x:v>
      </x:c>
      <x:c r="P505" s="55" t="n">
        <x:v>302</x:v>
      </x:c>
      <x:c r="Q505" s="55" t="n">
        <x:v>2551</x:v>
      </x:c>
      <x:c r="R505" s="55" t="n">
        <x:v>2302</x:v>
      </x:c>
      <x:c r="S505" s="55" t="n">
        <x:v>2778</x:v>
      </x:c>
      <x:c r="T505" s="55" t="n">
        <x:v>984</x:v>
      </x:c>
      <x:c r="U505" s="55" t="n">
        <x:v>2069</x:v>
      </x:c>
      <x:c r="V505" s="55" t="n">
        <x:v>10630</x:v>
      </x:c>
      <x:c r="W505" s="55" t="n">
        <x:v>7398</x:v>
      </x:c>
      <x:c r="X505" s="55" t="n">
        <x:v>3232</x:v>
      </x:c>
      <x:c r="Y505" s="55" t="n">
        <x:v>3050</x:v>
      </x:c>
      <x:c r="Z505" s="55" t="n">
        <x:v>4128</x:v>
      </x:c>
      <x:c r="AA505" s="55" t="n">
        <x:v>3690</x:v>
      </x:c>
      <x:c r="AB505" s="55" t="n">
        <x:v>1332</x:v>
      </x:c>
      <x:c r="AC505" s="55" t="n">
        <x:v>7783</x:v>
      </x:c>
      <x:c r="AD505" s="55" t="n">
        <x:v>2899</x:v>
      </x:c>
      <x:c r="AE505" s="55" t="n">
        <x:v>10733</x:v>
      </x:c>
      <x:c r="AF505" s="55" t="n">
        <x:v>10630</x:v>
      </x:c>
      <x:c r="AG505" s="55" t="n">
        <x:v>103</x:v>
      </x:c>
      <x:c r="AH505" s="55" t="n">
        <x:v>213</x:v>
      </x:c>
      <x:c r="AI505" s="55" t="n">
        <x:v>10417</x:v>
      </x:c>
      <x:c r="AJ505" s="55" t="n">
        <x:v>341</x:v>
      </x:c>
      <x:c r="AK505" s="55" t="n">
        <x:v>1027</x:v>
      </x:c>
      <x:c r="AL505" s="55" t="n">
        <x:v>1214</x:v>
      </x:c>
      <x:c r="AM505" s="55" t="n">
        <x:v>4738</x:v>
      </x:c>
      <x:c r="AN505" s="55" t="n">
        <x:v>3310</x:v>
      </x:c>
      <x:c r="AO505" s="55" t="n">
        <x:v>0</x:v>
      </x:c>
      <x:c r="AP505" s="55" t="n">
        <x:v>2388</x:v>
      </x:c>
      <x:c r="AQ505" s="55" t="n">
        <x:v>934</x:v>
      </x:c>
    </x:row>
    <x:row r="506">
      <x:c r="A506" s="54" t="str">
        <x:v>T0_TABLE_BLOCK</x:v>
      </x:c>
      <x:c r="B506" s="54" t="n">
        <x:v>500</x:v>
      </x:c>
      <x:c r="C506" s="54" t="str">
        <x:v>NYC-V2-R01</x:v>
      </x:c>
      <x:c r="D506" s="54" t="str">
        <x:v>V2</x:v>
      </x:c>
      <x:c r="E506" s="54" t="str">
        <x:v>ADMITTED</x:v>
      </x:c>
      <x:c r="F506" s="55" t="n">
        <x:v>33304</x:v>
      </x:c>
      <x:c r="G506" s="55" t="n">
        <x:v>7936</x:v>
      </x:c>
      <x:c r="H506" s="55" t="n">
        <x:v>3361</x:v>
      </x:c>
      <x:c r="I506" s="55" t="n">
        <x:v>1051</x:v>
      </x:c>
      <x:c r="J506" s="55" t="n">
        <x:v>60</x:v>
      </x:c>
      <x:c r="K506" s="55" t="n">
        <x:v>28747</x:v>
      </x:c>
      <x:c r="L506" s="55" t="n">
        <x:v>5307</x:v>
      </x:c>
      <x:c r="M506" s="55" t="n">
        <x:v>535</x:v>
      </x:c>
      <x:c r="N506" s="55" t="n">
        <x:v>3251</x:v>
      </x:c>
      <x:c r="O506" s="55" t="n">
        <x:v>1521</x:v>
      </x:c>
      <x:c r="P506" s="55" t="n">
        <x:v>1377</x:v>
      </x:c>
      <x:c r="Q506" s="55" t="n">
        <x:v>1974</x:v>
      </x:c>
      <x:c r="R506" s="55" t="n">
        <x:v>1295</x:v>
      </x:c>
      <x:c r="S506" s="55" t="n">
        <x:v>2400</x:v>
      </x:c>
      <x:c r="T506" s="55" t="n">
        <x:v>1248</x:v>
      </x:c>
      <x:c r="U506" s="55" t="n">
        <x:v>2037</x:v>
      </x:c>
      <x:c r="V506" s="55" t="n">
        <x:v>10397</x:v>
      </x:c>
      <x:c r="W506" s="55" t="n">
        <x:v>7527</x:v>
      </x:c>
      <x:c r="X506" s="55" t="n">
        <x:v>2870</x:v>
      </x:c>
      <x:c r="Y506" s="55" t="n">
        <x:v>2613</x:v>
      </x:c>
      <x:c r="Z506" s="55" t="n">
        <x:v>3089</x:v>
      </x:c>
      <x:c r="AA506" s="55" t="n">
        <x:v>3361</x:v>
      </x:c>
      <x:c r="AB506" s="55" t="n">
        <x:v>816</x:v>
      </x:c>
      <x:c r="AC506" s="55" t="n">
        <x:v>7670</x:v>
      </x:c>
      <x:c r="AD506" s="55" t="n">
        <x:v>2910</x:v>
      </x:c>
      <x:c r="AE506" s="55" t="n">
        <x:v>10463</x:v>
      </x:c>
      <x:c r="AF506" s="55" t="n">
        <x:v>10397</x:v>
      </x:c>
      <x:c r="AG506" s="55" t="n">
        <x:v>66</x:v>
      </x:c>
      <x:c r="AH506" s="55" t="n">
        <x:v>307</x:v>
      </x:c>
      <x:c r="AI506" s="55" t="n">
        <x:v>10090</x:v>
      </x:c>
      <x:c r="AJ506" s="55" t="n">
        <x:v>267</x:v>
      </x:c>
      <x:c r="AK506" s="55" t="n">
        <x:v>788</x:v>
      </x:c>
      <x:c r="AL506" s="55" t="n">
        <x:v>1234</x:v>
      </x:c>
      <x:c r="AM506" s="55" t="n">
        <x:v>5118</x:v>
      </x:c>
      <x:c r="AN506" s="55" t="n">
        <x:v>2990</x:v>
      </x:c>
      <x:c r="AO506" s="55" t="n">
        <x:v>0</x:v>
      </x:c>
      <x:c r="AP506" s="55" t="n">
        <x:v>3186</x:v>
      </x:c>
      <x:c r="AQ506" s="55" t="n">
        <x:v>960</x:v>
      </x:c>
    </x:row>
    <x:row r="507">
      <x:c r="A507" s="54" t="str">
        <x:v>T0_TABLE_BLOCK</x:v>
      </x:c>
      <x:c r="B507" s="54" t="n">
        <x:v>501</x:v>
      </x:c>
      <x:c r="C507" s="54" t="str">
        <x:v>NYC-V2-R01</x:v>
      </x:c>
      <x:c r="D507" s="54" t="str">
        <x:v>V2</x:v>
      </x:c>
      <x:c r="E507" s="54" t="str">
        <x:v>ADMITTED</x:v>
      </x:c>
      <x:c r="F507" s="55" t="n">
        <x:v>30072</x:v>
      </x:c>
      <x:c r="G507" s="55" t="n">
        <x:v>7148</x:v>
      </x:c>
      <x:c r="H507" s="55" t="n">
        <x:v>3350</x:v>
      </x:c>
      <x:c r="I507" s="55" t="n">
        <x:v>1066</x:v>
      </x:c>
      <x:c r="J507" s="55" t="n">
        <x:v>180</x:v>
      </x:c>
      <x:c r="K507" s="55" t="n">
        <x:v>29393</x:v>
      </x:c>
      <x:c r="L507" s="55" t="n">
        <x:v>5928</x:v>
      </x:c>
      <x:c r="M507" s="55" t="n">
        <x:v>453</x:v>
      </x:c>
      <x:c r="N507" s="55" t="n">
        <x:v>3520</x:v>
      </x:c>
      <x:c r="O507" s="55" t="n">
        <x:v>1955</x:v>
      </x:c>
      <x:c r="P507" s="55" t="n">
        <x:v>1009</x:v>
      </x:c>
      <x:c r="Q507" s="55" t="n">
        <x:v>2778</x:v>
      </x:c>
      <x:c r="R507" s="55" t="n">
        <x:v>1628</x:v>
      </x:c>
      <x:c r="S507" s="55" t="n">
        <x:v>2831</x:v>
      </x:c>
      <x:c r="T507" s="55" t="n">
        <x:v>806</x:v>
      </x:c>
      <x:c r="U507" s="55" t="n">
        <x:v>1609</x:v>
      </x:c>
      <x:c r="V507" s="55" t="n">
        <x:v>10753</x:v>
      </x:c>
      <x:c r="W507" s="55" t="n">
        <x:v>7443</x:v>
      </x:c>
      <x:c r="X507" s="55" t="n">
        <x:v>3310</x:v>
      </x:c>
      <x:c r="Y507" s="55" t="n">
        <x:v>2752</x:v>
      </x:c>
      <x:c r="Z507" s="55" t="n">
        <x:v>4369</x:v>
      </x:c>
      <x:c r="AA507" s="55" t="n">
        <x:v>3205</x:v>
      </x:c>
      <x:c r="AB507" s="55" t="n">
        <x:v>1121</x:v>
      </x:c>
      <x:c r="AC507" s="55" t="n">
        <x:v>7679</x:v>
      </x:c>
      <x:c r="AD507" s="55" t="n">
        <x:v>3375</x:v>
      </x:c>
      <x:c r="AE507" s="55" t="n">
        <x:v>10864</x:v>
      </x:c>
      <x:c r="AF507" s="55" t="n">
        <x:v>10753</x:v>
      </x:c>
      <x:c r="AG507" s="55" t="n">
        <x:v>111</x:v>
      </x:c>
      <x:c r="AH507" s="55" t="n">
        <x:v>278</x:v>
      </x:c>
      <x:c r="AI507" s="55" t="n">
        <x:v>10475</x:v>
      </x:c>
      <x:c r="AJ507" s="55" t="n">
        <x:v>389</x:v>
      </x:c>
      <x:c r="AK507" s="55" t="n">
        <x:v>685</x:v>
      </x:c>
      <x:c r="AL507" s="55" t="n">
        <x:v>1571</x:v>
      </x:c>
      <x:c r="AM507" s="55" t="n">
        <x:v>4959</x:v>
      </x:c>
      <x:c r="AN507" s="55" t="n">
        <x:v>3149</x:v>
      </x:c>
      <x:c r="AO507" s="55" t="n">
        <x:v>0</x:v>
      </x:c>
      <x:c r="AP507" s="55" t="n">
        <x:v>2891</x:v>
      </x:c>
      <x:c r="AQ507" s="55" t="n">
        <x:v>1011</x:v>
      </x:c>
    </x:row>
    <x:row r="508">
      <x:c r="A508" s="54" t="str">
        <x:v>T0_TABLE_BLOCK</x:v>
      </x:c>
      <x:c r="B508" s="54" t="n">
        <x:v>502</x:v>
      </x:c>
      <x:c r="C508" s="54" t="str">
        <x:v>NYC-V2-R01</x:v>
      </x:c>
      <x:c r="D508" s="54" t="str">
        <x:v>V2</x:v>
      </x:c>
      <x:c r="E508" s="54" t="str">
        <x:v>ADMITTED</x:v>
      </x:c>
      <x:c r="F508" s="55" t="n">
        <x:v>30734</x:v>
      </x:c>
      <x:c r="G508" s="55" t="n">
        <x:v>8168</x:v>
      </x:c>
      <x:c r="H508" s="55" t="n">
        <x:v>3064</x:v>
      </x:c>
      <x:c r="I508" s="55" t="n">
        <x:v>1177</x:v>
      </x:c>
      <x:c r="J508" s="55" t="n">
        <x:v>0</x:v>
      </x:c>
      <x:c r="K508" s="55" t="n">
        <x:v>30262</x:v>
      </x:c>
      <x:c r="L508" s="55" t="n">
        <x:v>6245</x:v>
      </x:c>
      <x:c r="M508" s="55" t="n">
        <x:v>623</x:v>
      </x:c>
      <x:c r="N508" s="55" t="n">
        <x:v>3252</x:v>
      </x:c>
      <x:c r="O508" s="55" t="n">
        <x:v>2370</x:v>
      </x:c>
      <x:c r="P508" s="55" t="n">
        <x:v>1244</x:v>
      </x:c>
      <x:c r="Q508" s="55" t="n">
        <x:v>2916</x:v>
      </x:c>
      <x:c r="R508" s="55" t="n">
        <x:v>1904</x:v>
      </x:c>
      <x:c r="S508" s="55" t="n">
        <x:v>2974</x:v>
      </x:c>
      <x:c r="T508" s="55" t="n">
        <x:v>916</x:v>
      </x:c>
      <x:c r="U508" s="55" t="n">
        <x:v>2094</x:v>
      </x:c>
      <x:c r="V508" s="55" t="n">
        <x:v>11055</x:v>
      </x:c>
      <x:c r="W508" s="55" t="n">
        <x:v>7230</x:v>
      </x:c>
      <x:c r="X508" s="55" t="n">
        <x:v>3825</x:v>
      </x:c>
      <x:c r="Y508" s="55" t="n">
        <x:v>3602</x:v>
      </x:c>
      <x:c r="Z508" s="55" t="n">
        <x:v>3750</x:v>
      </x:c>
      <x:c r="AA508" s="55" t="n">
        <x:v>3064</x:v>
      </x:c>
      <x:c r="AB508" s="55" t="n">
        <x:v>850</x:v>
      </x:c>
      <x:c r="AC508" s="55" t="n">
        <x:v>8935</x:v>
      </x:c>
      <x:c r="AD508" s="55" t="n">
        <x:v>2233</x:v>
      </x:c>
      <x:c r="AE508" s="55" t="n">
        <x:v>11082</x:v>
      </x:c>
      <x:c r="AF508" s="55" t="n">
        <x:v>11055</x:v>
      </x:c>
      <x:c r="AG508" s="55" t="n">
        <x:v>27</x:v>
      </x:c>
      <x:c r="AH508" s="55" t="n">
        <x:v>490</x:v>
      </x:c>
      <x:c r="AI508" s="55" t="n">
        <x:v>10565</x:v>
      </x:c>
      <x:c r="AJ508" s="55" t="n">
        <x:v>372</x:v>
      </x:c>
      <x:c r="AK508" s="55" t="n">
        <x:v>1163</x:v>
      </x:c>
      <x:c r="AL508" s="55" t="n">
        <x:v>1728</x:v>
      </x:c>
      <x:c r="AM508" s="55" t="n">
        <x:v>4926</x:v>
      </x:c>
      <x:c r="AN508" s="55" t="n">
        <x:v>2866</x:v>
      </x:c>
      <x:c r="AO508" s="55" t="n">
        <x:v>0</x:v>
      </x:c>
      <x:c r="AP508" s="55" t="n">
        <x:v>2268</x:v>
      </x:c>
      <x:c r="AQ508" s="55" t="n">
        <x:v>960</x:v>
      </x:c>
    </x:row>
    <x:row r="509">
      <x:c r="A509" s="54" t="str">
        <x:v>T0_TABLE_BLOCK</x:v>
      </x:c>
      <x:c r="B509" s="54" t="n">
        <x:v>503</x:v>
      </x:c>
      <x:c r="C509" s="54" t="str">
        <x:v>NYC-V2-R01</x:v>
      </x:c>
      <x:c r="D509" s="54" t="str">
        <x:v>V2</x:v>
      </x:c>
      <x:c r="E509" s="54" t="str">
        <x:v>ADMITTED</x:v>
      </x:c>
      <x:c r="F509" s="55" t="n">
        <x:v>31092</x:v>
      </x:c>
      <x:c r="G509" s="55" t="n">
        <x:v>6530</x:v>
      </x:c>
      <x:c r="H509" s="55" t="n">
        <x:v>3071</x:v>
      </x:c>
      <x:c r="I509" s="55" t="n">
        <x:v>1175</x:v>
      </x:c>
      <x:c r="J509" s="55" t="n">
        <x:v>305</x:v>
      </x:c>
      <x:c r="K509" s="55" t="n">
        <x:v>31092</x:v>
      </x:c>
      <x:c r="L509" s="55" t="n">
        <x:v>5338</x:v>
      </x:c>
      <x:c r="M509" s="55" t="n">
        <x:v>1173</x:v>
      </x:c>
      <x:c r="N509" s="55" t="n">
        <x:v>2355</x:v>
      </x:c>
      <x:c r="O509" s="55" t="n">
        <x:v>1810</x:v>
      </x:c>
      <x:c r="P509" s="55" t="n">
        <x:v>454</x:v>
      </x:c>
      <x:c r="Q509" s="55" t="n">
        <x:v>2454</x:v>
      </x:c>
      <x:c r="R509" s="55" t="n">
        <x:v>2109</x:v>
      </x:c>
      <x:c r="S509" s="55" t="n">
        <x:v>2947</x:v>
      </x:c>
      <x:c r="T509" s="55" t="n">
        <x:v>1179</x:v>
      </x:c>
      <x:c r="U509" s="55" t="n">
        <x:v>1978</x:v>
      </x:c>
      <x:c r="V509" s="55" t="n">
        <x:v>10868</x:v>
      </x:c>
      <x:c r="W509" s="55" t="n">
        <x:v>8025</x:v>
      </x:c>
      <x:c r="X509" s="55" t="n">
        <x:v>2843</x:v>
      </x:c>
      <x:c r="Y509" s="55" t="n">
        <x:v>2594</x:v>
      </x:c>
      <x:c r="Z509" s="55" t="n">
        <x:v>3183</x:v>
      </x:c>
      <x:c r="AA509" s="55" t="n">
        <x:v>2705</x:v>
      </x:c>
      <x:c r="AB509" s="55" t="n">
        <x:v>1242</x:v>
      </x:c>
      <x:c r="AC509" s="55" t="n">
        <x:v>7199</x:v>
      </x:c>
      <x:c r="AD509" s="55" t="n">
        <x:v>2732</x:v>
      </x:c>
      <x:c r="AE509" s="55" t="n">
        <x:v>10897</x:v>
      </x:c>
      <x:c r="AF509" s="55" t="n">
        <x:v>10868</x:v>
      </x:c>
      <x:c r="AG509" s="55" t="n">
        <x:v>29</x:v>
      </x:c>
      <x:c r="AH509" s="55" t="n">
        <x:v>344</x:v>
      </x:c>
      <x:c r="AI509" s="55" t="n">
        <x:v>10524</x:v>
      </x:c>
      <x:c r="AJ509" s="55" t="n">
        <x:v>296</x:v>
      </x:c>
      <x:c r="AK509" s="55" t="n">
        <x:v>1444</x:v>
      </x:c>
      <x:c r="AL509" s="55" t="n">
        <x:v>1480</x:v>
      </x:c>
      <x:c r="AM509" s="55" t="n">
        <x:v>4901</x:v>
      </x:c>
      <x:c r="AN509" s="55" t="n">
        <x:v>2747</x:v>
      </x:c>
      <x:c r="AO509" s="55" t="n">
        <x:v>0</x:v>
      </x:c>
      <x:c r="AP509" s="55" t="n">
        <x:v>2270</x:v>
      </x:c>
      <x:c r="AQ509" s="55" t="n">
        <x:v>948</x:v>
      </x:c>
    </x:row>
    <x:row r="510">
      <x:c r="A510" s="54" t="str">
        <x:v>T0_TABLE_BLOCK</x:v>
      </x:c>
      <x:c r="B510" s="54" t="n">
        <x:v>504</x:v>
      </x:c>
      <x:c r="C510" s="54" t="str">
        <x:v>NYC-V2-R01</x:v>
      </x:c>
      <x:c r="D510" s="54" t="str">
        <x:v>V2</x:v>
      </x:c>
      <x:c r="E510" s="54" t="str">
        <x:v>ADMITTED</x:v>
      </x:c>
      <x:c r="F510" s="55" t="n">
        <x:v>32100</x:v>
      </x:c>
      <x:c r="G510" s="55" t="n">
        <x:v>8484</x:v>
      </x:c>
      <x:c r="H510" s="55" t="n">
        <x:v>3524</x:v>
      </x:c>
      <x:c r="I510" s="55" t="n">
        <x:v>1627</x:v>
      </x:c>
      <x:c r="J510" s="55" t="n">
        <x:v>329</x:v>
      </x:c>
      <x:c r="K510" s="55" t="n">
        <x:v>32100</x:v>
      </x:c>
      <x:c r="L510" s="55" t="n">
        <x:v>5659</x:v>
      </x:c>
      <x:c r="M510" s="55" t="n">
        <x:v>1305</x:v>
      </x:c>
      <x:c r="N510" s="55" t="n">
        <x:v>2595</x:v>
      </x:c>
      <x:c r="O510" s="55" t="n">
        <x:v>1759</x:v>
      </x:c>
      <x:c r="P510" s="55" t="n">
        <x:v>842</x:v>
      </x:c>
      <x:c r="Q510" s="55" t="n">
        <x:v>2336</x:v>
      </x:c>
      <x:c r="R510" s="55" t="n">
        <x:v>2092</x:v>
      </x:c>
      <x:c r="S510" s="55" t="n">
        <x:v>2886</x:v>
      </x:c>
      <x:c r="T510" s="55" t="n">
        <x:v>1677</x:v>
      </x:c>
      <x:c r="U510" s="55" t="n">
        <x:v>1819</x:v>
      </x:c>
      <x:c r="V510" s="55" t="n">
        <x:v>10274</x:v>
      </x:c>
      <x:c r="W510" s="55" t="n">
        <x:v>7653</x:v>
      </x:c>
      <x:c r="X510" s="55" t="n">
        <x:v>2621</x:v>
      </x:c>
      <x:c r="Y510" s="55" t="n">
        <x:v>2304</x:v>
      </x:c>
      <x:c r="Z510" s="55" t="n">
        <x:v>3700</x:v>
      </x:c>
      <x:c r="AA510" s="55" t="n">
        <x:v>2705</x:v>
      </x:c>
      <x:c r="AB510" s="55" t="n">
        <x:v>868</x:v>
      </x:c>
      <x:c r="AC510" s="55" t="n">
        <x:v>8176</x:v>
      </x:c>
      <x:c r="AD510" s="55" t="n">
        <x:v>2794</x:v>
      </x:c>
      <x:c r="AE510" s="55" t="n">
        <x:v>10392</x:v>
      </x:c>
      <x:c r="AF510" s="55" t="n">
        <x:v>10274</x:v>
      </x:c>
      <x:c r="AG510" s="55" t="n">
        <x:v>118</x:v>
      </x:c>
      <x:c r="AH510" s="55" t="n">
        <x:v>276</x:v>
      </x:c>
      <x:c r="AI510" s="55" t="n">
        <x:v>9998</x:v>
      </x:c>
      <x:c r="AJ510" s="55" t="n">
        <x:v>107</x:v>
      </x:c>
      <x:c r="AK510" s="55" t="n">
        <x:v>1346</x:v>
      </x:c>
      <x:c r="AL510" s="55" t="n">
        <x:v>1806</x:v>
      </x:c>
      <x:c r="AM510" s="55" t="n">
        <x:v>4805</x:v>
      </x:c>
      <x:c r="AN510" s="55" t="n">
        <x:v>2210</x:v>
      </x:c>
      <x:c r="AO510" s="55" t="n">
        <x:v>0</x:v>
      </x:c>
      <x:c r="AP510" s="55" t="n">
        <x:v>2355</x:v>
      </x:c>
      <x:c r="AQ510" s="55" t="n">
        <x:v>970</x:v>
      </x:c>
    </x:row>
    <x:row r="511">
      <x:c r="A511" s="54" t="str">
        <x:v>T0_TABLE_BLOCK</x:v>
      </x:c>
      <x:c r="B511" s="54" t="n">
        <x:v>505</x:v>
      </x:c>
      <x:c r="C511" s="54" t="str">
        <x:v>NYC-V2-R01</x:v>
      </x:c>
      <x:c r="D511" s="54" t="str">
        <x:v>V2</x:v>
      </x:c>
      <x:c r="E511" s="54" t="str">
        <x:v>ADMITTED</x:v>
      </x:c>
      <x:c r="F511" s="55" t="n">
        <x:v>31207</x:v>
      </x:c>
      <x:c r="G511" s="55" t="n">
        <x:v>7575</x:v>
      </x:c>
      <x:c r="H511" s="55" t="n">
        <x:v>3186</x:v>
      </x:c>
      <x:c r="I511" s="55" t="n">
        <x:v>929</x:v>
      </x:c>
      <x:c r="J511" s="55" t="n">
        <x:v>46</x:v>
      </x:c>
      <x:c r="K511" s="55" t="n">
        <x:v>29793</x:v>
      </x:c>
      <x:c r="L511" s="55" t="n">
        <x:v>4958</x:v>
      </x:c>
      <x:c r="M511" s="55" t="n">
        <x:v>1422</x:v>
      </x:c>
      <x:c r="N511" s="55" t="n">
        <x:v>1989</x:v>
      </x:c>
      <x:c r="O511" s="55" t="n">
        <x:v>1547</x:v>
      </x:c>
      <x:c r="P511" s="55" t="n">
        <x:v>558</x:v>
      </x:c>
      <x:c r="Q511" s="55" t="n">
        <x:v>1877</x:v>
      </x:c>
      <x:c r="R511" s="55" t="n">
        <x:v>1629</x:v>
      </x:c>
      <x:c r="S511" s="55" t="n">
        <x:v>2296</x:v>
      </x:c>
      <x:c r="T511" s="55" t="n">
        <x:v>1612</x:v>
      </x:c>
      <x:c r="U511" s="55" t="n">
        <x:v>1703</x:v>
      </x:c>
      <x:c r="V511" s="55" t="n">
        <x:v>9594</x:v>
      </x:c>
      <x:c r="W511" s="55" t="n">
        <x:v>6932</x:v>
      </x:c>
      <x:c r="X511" s="55" t="n">
        <x:v>2662</x:v>
      </x:c>
      <x:c r="Y511" s="55" t="n">
        <x:v>2250</x:v>
      </x:c>
      <x:c r="Z511" s="55" t="n">
        <x:v>3276</x:v>
      </x:c>
      <x:c r="AA511" s="55" t="n">
        <x:v>3186</x:v>
      </x:c>
      <x:c r="AB511" s="55" t="n">
        <x:v>728</x:v>
      </x:c>
      <x:c r="AC511" s="55" t="n">
        <x:v>7833</x:v>
      </x:c>
      <x:c r="AD511" s="55" t="n">
        <x:v>3298</x:v>
      </x:c>
      <x:c r="AE511" s="55" t="n">
        <x:v>9670</x:v>
      </x:c>
      <x:c r="AF511" s="55" t="n">
        <x:v>9594</x:v>
      </x:c>
      <x:c r="AG511" s="55" t="n">
        <x:v>76</x:v>
      </x:c>
      <x:c r="AH511" s="55" t="n">
        <x:v>358</x:v>
      </x:c>
      <x:c r="AI511" s="55" t="n">
        <x:v>9236</x:v>
      </x:c>
      <x:c r="AJ511" s="55" t="n">
        <x:v>159</x:v>
      </x:c>
      <x:c r="AK511" s="55" t="n">
        <x:v>949</x:v>
      </x:c>
      <x:c r="AL511" s="55" t="n">
        <x:v>1438</x:v>
      </x:c>
      <x:c r="AM511" s="55" t="n">
        <x:v>5101</x:v>
      </x:c>
      <x:c r="AN511" s="55" t="n">
        <x:v>1947</x:v>
      </x:c>
      <x:c r="AO511" s="55" t="n">
        <x:v>0</x:v>
      </x:c>
      <x:c r="AP511" s="55" t="n">
        <x:v>2396</x:v>
      </x:c>
      <x:c r="AQ511" s="55" t="n">
        <x:v>936</x:v>
      </x:c>
    </x:row>
    <x:row r="512">
      <x:c r="A512" s="54" t="str">
        <x:v>T0_TABLE_BLOCK</x:v>
      </x:c>
      <x:c r="B512" s="54" t="n">
        <x:v>506</x:v>
      </x:c>
      <x:c r="C512" s="54" t="str">
        <x:v>NYC-V2-R01</x:v>
      </x:c>
      <x:c r="D512" s="54" t="str">
        <x:v>V2</x:v>
      </x:c>
      <x:c r="E512" s="54" t="str">
        <x:v>ADMITTED</x:v>
      </x:c>
      <x:c r="F512" s="55" t="n">
        <x:v>30909</x:v>
      </x:c>
      <x:c r="G512" s="55" t="n">
        <x:v>7115</x:v>
      </x:c>
      <x:c r="H512" s="55" t="n">
        <x:v>3570</x:v>
      </x:c>
      <x:c r="I512" s="55" t="n">
        <x:v>1196</x:v>
      </x:c>
      <x:c r="J512" s="55" t="n">
        <x:v>336</x:v>
      </x:c>
      <x:c r="K512" s="55" t="n">
        <x:v>28219</x:v>
      </x:c>
      <x:c r="L512" s="55" t="n">
        <x:v>5309</x:v>
      </x:c>
      <x:c r="M512" s="55" t="n">
        <x:v>854</x:v>
      </x:c>
      <x:c r="N512" s="55" t="n">
        <x:v>2355</x:v>
      </x:c>
      <x:c r="O512" s="55" t="n">
        <x:v>2100</x:v>
      </x:c>
      <x:c r="P512" s="55" t="n">
        <x:v>858</x:v>
      </x:c>
      <x:c r="Q512" s="55" t="n">
        <x:v>2020</x:v>
      </x:c>
      <x:c r="R512" s="55" t="n">
        <x:v>1411</x:v>
      </x:c>
      <x:c r="S512" s="55" t="n">
        <x:v>3243</x:v>
      </x:c>
      <x:c r="T512" s="55" t="n">
        <x:v>1226</x:v>
      </x:c>
      <x:c r="U512" s="55" t="n">
        <x:v>1787</x:v>
      </x:c>
      <x:c r="V512" s="55" t="n">
        <x:v>10449</x:v>
      </x:c>
      <x:c r="W512" s="55" t="n">
        <x:v>7289</x:v>
      </x:c>
      <x:c r="X512" s="55" t="n">
        <x:v>3160</x:v>
      </x:c>
      <x:c r="Y512" s="55" t="n">
        <x:v>2750</x:v>
      </x:c>
      <x:c r="Z512" s="55" t="n">
        <x:v>4132</x:v>
      </x:c>
      <x:c r="AA512" s="55" t="n">
        <x:v>3158</x:v>
      </x:c>
      <x:c r="AB512" s="55" t="n">
        <x:v>1173</x:v>
      </x:c>
      <x:c r="AC512" s="55" t="n">
        <x:v>7602</x:v>
      </x:c>
      <x:c r="AD512" s="55" t="n">
        <x:v>2769</x:v>
      </x:c>
      <x:c r="AE512" s="55" t="n">
        <x:v>10508</x:v>
      </x:c>
      <x:c r="AF512" s="55" t="n">
        <x:v>10449</x:v>
      </x:c>
      <x:c r="AG512" s="55" t="n">
        <x:v>59</x:v>
      </x:c>
      <x:c r="AH512" s="55" t="n">
        <x:v>514</x:v>
      </x:c>
      <x:c r="AI512" s="55" t="n">
        <x:v>9935</x:v>
      </x:c>
      <x:c r="AJ512" s="55" t="n">
        <x:v>639</x:v>
      </x:c>
      <x:c r="AK512" s="55" t="n">
        <x:v>880</x:v>
      </x:c>
      <x:c r="AL512" s="55" t="n">
        <x:v>1848</x:v>
      </x:c>
      <x:c r="AM512" s="55" t="n">
        <x:v>4967</x:v>
      </x:c>
      <x:c r="AN512" s="55" t="n">
        <x:v>2115</x:v>
      </x:c>
      <x:c r="AO512" s="55" t="n">
        <x:v>0</x:v>
      </x:c>
      <x:c r="AP512" s="55" t="n">
        <x:v>1782</x:v>
      </x:c>
      <x:c r="AQ512" s="55" t="n">
        <x:v>967</x:v>
      </x:c>
    </x:row>
    <x:row r="513">
      <x:c r="A513" s="54" t="str">
        <x:v>T0_TABLE_BLOCK</x:v>
      </x:c>
      <x:c r="B513" s="54" t="n">
        <x:v>507</x:v>
      </x:c>
      <x:c r="C513" s="54" t="str">
        <x:v>NYC-V2-R01</x:v>
      </x:c>
      <x:c r="D513" s="54" t="str">
        <x:v>V2</x:v>
      </x:c>
      <x:c r="E513" s="54" t="str">
        <x:v>ADMITTED</x:v>
      </x:c>
      <x:c r="F513" s="55" t="n">
        <x:v>32610</x:v>
      </x:c>
      <x:c r="G513" s="55" t="n">
        <x:v>6831</x:v>
      </x:c>
      <x:c r="H513" s="55" t="n">
        <x:v>3296</x:v>
      </x:c>
      <x:c r="I513" s="55" t="n">
        <x:v>1166</x:v>
      </x:c>
      <x:c r="J513" s="55" t="n">
        <x:v>403</x:v>
      </x:c>
      <x:c r="K513" s="55" t="n">
        <x:v>32610</x:v>
      </x:c>
      <x:c r="L513" s="55" t="n">
        <x:v>5555</x:v>
      </x:c>
      <x:c r="M513" s="55" t="n">
        <x:v>1668</x:v>
      </x:c>
      <x:c r="N513" s="55" t="n">
        <x:v>2451</x:v>
      </x:c>
      <x:c r="O513" s="55" t="n">
        <x:v>1436</x:v>
      </x:c>
      <x:c r="P513" s="55" t="n">
        <x:v>806</x:v>
      </x:c>
      <x:c r="Q513" s="55" t="n">
        <x:v>2167</x:v>
      </x:c>
      <x:c r="R513" s="55" t="n">
        <x:v>1543</x:v>
      </x:c>
      <x:c r="S513" s="55" t="n">
        <x:v>3008</x:v>
      </x:c>
      <x:c r="T513" s="55" t="n">
        <x:v>1171</x:v>
      </x:c>
      <x:c r="U513" s="55" t="n">
        <x:v>1919</x:v>
      </x:c>
      <x:c r="V513" s="55" t="n">
        <x:v>10294</x:v>
      </x:c>
      <x:c r="W513" s="55" t="n">
        <x:v>7317</x:v>
      </x:c>
      <x:c r="X513" s="55" t="n">
        <x:v>2977</x:v>
      </x:c>
      <x:c r="Y513" s="55" t="n">
        <x:v>2547</x:v>
      </x:c>
      <x:c r="Z513" s="55" t="n">
        <x:v>3662</x:v>
      </x:c>
      <x:c r="AA513" s="55" t="n">
        <x:v>2014</x:v>
      </x:c>
      <x:c r="AB513" s="55" t="n">
        <x:v>659</x:v>
      </x:c>
      <x:c r="AC513" s="55" t="n">
        <x:v>8084</x:v>
      </x:c>
      <x:c r="AD513" s="55" t="n">
        <x:v>2956</x:v>
      </x:c>
      <x:c r="AE513" s="55" t="n">
        <x:v>10346</x:v>
      </x:c>
      <x:c r="AF513" s="55" t="n">
        <x:v>10294</x:v>
      </x:c>
      <x:c r="AG513" s="55" t="n">
        <x:v>52</x:v>
      </x:c>
      <x:c r="AH513" s="55" t="n">
        <x:v>582</x:v>
      </x:c>
      <x:c r="AI513" s="55" t="n">
        <x:v>9712</x:v>
      </x:c>
      <x:c r="AJ513" s="55" t="n">
        <x:v>366</x:v>
      </x:c>
      <x:c r="AK513" s="55" t="n">
        <x:v>1103</x:v>
      </x:c>
      <x:c r="AL513" s="55" t="n">
        <x:v>1262</x:v>
      </x:c>
      <x:c r="AM513" s="55" t="n">
        <x:v>4852</x:v>
      </x:c>
      <x:c r="AN513" s="55" t="n">
        <x:v>2680</x:v>
      </x:c>
      <x:c r="AO513" s="55" t="n">
        <x:v>31</x:v>
      </x:c>
      <x:c r="AP513" s="55" t="n">
        <x:v>2341</x:v>
      </x:c>
      <x:c r="AQ513" s="55" t="n">
        <x:v>990</x:v>
      </x:c>
    </x:row>
    <x:row r="514">
      <x:c r="A514" s="54" t="str">
        <x:v>T0_TABLE_BLOCK</x:v>
      </x:c>
      <x:c r="B514" s="54" t="n">
        <x:v>508</x:v>
      </x:c>
      <x:c r="C514" s="54" t="str">
        <x:v>NYC-V2-R01</x:v>
      </x:c>
      <x:c r="D514" s="54" t="str">
        <x:v>V2</x:v>
      </x:c>
      <x:c r="E514" s="54" t="str">
        <x:v>ADMITTED</x:v>
      </x:c>
      <x:c r="F514" s="55" t="n">
        <x:v>29199</x:v>
      </x:c>
      <x:c r="G514" s="55" t="n">
        <x:v>6402</x:v>
      </x:c>
      <x:c r="H514" s="55" t="n">
        <x:v>2949</x:v>
      </x:c>
      <x:c r="I514" s="55" t="n">
        <x:v>1596</x:v>
      </x:c>
      <x:c r="J514" s="55" t="n">
        <x:v>315</x:v>
      </x:c>
      <x:c r="K514" s="55" t="n">
        <x:v>29199</x:v>
      </x:c>
      <x:c r="L514" s="55" t="n">
        <x:v>5562</x:v>
      </x:c>
      <x:c r="M514" s="55" t="n">
        <x:v>1417</x:v>
      </x:c>
      <x:c r="N514" s="55" t="n">
        <x:v>2692</x:v>
      </x:c>
      <x:c r="O514" s="55" t="n">
        <x:v>1453</x:v>
      </x:c>
      <x:c r="P514" s="55" t="n">
        <x:v>566</x:v>
      </x:c>
      <x:c r="Q514" s="55" t="n">
        <x:v>1865</x:v>
      </x:c>
      <x:c r="R514" s="55" t="n">
        <x:v>1685</x:v>
      </x:c>
      <x:c r="S514" s="55" t="n">
        <x:v>2340</x:v>
      </x:c>
      <x:c r="T514" s="55" t="n">
        <x:v>1290</x:v>
      </x:c>
      <x:c r="U514" s="55" t="n">
        <x:v>1960</x:v>
      </x:c>
      <x:c r="V514" s="55" t="n">
        <x:v>10634</x:v>
      </x:c>
      <x:c r="W514" s="55" t="n">
        <x:v>7591</x:v>
      </x:c>
      <x:c r="X514" s="55" t="n">
        <x:v>3043</x:v>
      </x:c>
      <x:c r="Y514" s="55" t="n">
        <x:v>2608</x:v>
      </x:c>
      <x:c r="Z514" s="55" t="n">
        <x:v>3079</x:v>
      </x:c>
      <x:c r="AA514" s="55" t="n">
        <x:v>2802</x:v>
      </x:c>
      <x:c r="AB514" s="55" t="n">
        <x:v>798</x:v>
      </x:c>
      <x:c r="AC514" s="55" t="n">
        <x:v>7886</x:v>
      </x:c>
      <x:c r="AD514" s="55" t="n">
        <x:v>3050</x:v>
      </x:c>
      <x:c r="AE514" s="55" t="n">
        <x:v>10755</x:v>
      </x:c>
      <x:c r="AF514" s="55" t="n">
        <x:v>10634</x:v>
      </x:c>
      <x:c r="AG514" s="55" t="n">
        <x:v>121</x:v>
      </x:c>
      <x:c r="AH514" s="55" t="n">
        <x:v>780</x:v>
      </x:c>
      <x:c r="AI514" s="55" t="n">
        <x:v>9854</x:v>
      </x:c>
      <x:c r="AJ514" s="55" t="n">
        <x:v>228</x:v>
      </x:c>
      <x:c r="AK514" s="55" t="n">
        <x:v>872</x:v>
      </x:c>
      <x:c r="AL514" s="55" t="n">
        <x:v>1591</x:v>
      </x:c>
      <x:c r="AM514" s="55" t="n">
        <x:v>5340</x:v>
      </x:c>
      <x:c r="AN514" s="55" t="n">
        <x:v>2585</x:v>
      </x:c>
      <x:c r="AO514" s="55" t="n">
        <x:v>18</x:v>
      </x:c>
      <x:c r="AP514" s="55" t="n">
        <x:v>2160</x:v>
      </x:c>
      <x:c r="AQ514" s="55" t="n">
        <x:v>953</x:v>
      </x:c>
    </x:row>
    <x:row r="515">
      <x:c r="A515" s="54" t="str">
        <x:v>T0_TABLE_BLOCK</x:v>
      </x:c>
      <x:c r="B515" s="54" t="n">
        <x:v>509</x:v>
      </x:c>
      <x:c r="C515" s="54" t="str">
        <x:v>NYC-V2-R01</x:v>
      </x:c>
      <x:c r="D515" s="54" t="str">
        <x:v>V2</x:v>
      </x:c>
      <x:c r="E515" s="54" t="str">
        <x:v>ADMITTED</x:v>
      </x:c>
      <x:c r="F515" s="55" t="n">
        <x:v>33461</x:v>
      </x:c>
      <x:c r="G515" s="55" t="n">
        <x:v>8459</x:v>
      </x:c>
      <x:c r="H515" s="55" t="n">
        <x:v>3574</x:v>
      </x:c>
      <x:c r="I515" s="55" t="n">
        <x:v>1176</x:v>
      </x:c>
      <x:c r="J515" s="55" t="n">
        <x:v>307</x:v>
      </x:c>
      <x:c r="K515" s="55" t="n">
        <x:v>30357</x:v>
      </x:c>
      <x:c r="L515" s="55" t="n">
        <x:v>4945</x:v>
      </x:c>
      <x:c r="M515" s="55" t="n">
        <x:v>1594</x:v>
      </x:c>
      <x:c r="N515" s="55" t="n">
        <x:v>2536</x:v>
      </x:c>
      <x:c r="O515" s="55" t="n">
        <x:v>815</x:v>
      </x:c>
      <x:c r="P515" s="55" t="n">
        <x:v>1091</x:v>
      </x:c>
      <x:c r="Q515" s="55" t="n">
        <x:v>2585</x:v>
      </x:c>
      <x:c r="R515" s="55" t="n">
        <x:v>2272</x:v>
      </x:c>
      <x:c r="S515" s="55" t="n">
        <x:v>2582</x:v>
      </x:c>
      <x:c r="T515" s="55" t="n">
        <x:v>1299</x:v>
      </x:c>
      <x:c r="U515" s="55" t="n">
        <x:v>1753</x:v>
      </x:c>
      <x:c r="V515" s="55" t="n">
        <x:v>10643</x:v>
      </x:c>
      <x:c r="W515" s="55" t="n">
        <x:v>7974</x:v>
      </x:c>
      <x:c r="X515" s="55" t="n">
        <x:v>2669</x:v>
      </x:c>
      <x:c r="Y515" s="55" t="n">
        <x:v>2312</x:v>
      </x:c>
      <x:c r="Z515" s="55" t="n">
        <x:v>4302</x:v>
      </x:c>
      <x:c r="AA515" s="55" t="n">
        <x:v>2698</x:v>
      </x:c>
      <x:c r="AB515" s="55" t="n">
        <x:v>680</x:v>
      </x:c>
      <x:c r="AC515" s="55" t="n">
        <x:v>8273</x:v>
      </x:c>
      <x:c r="AD515" s="55" t="n">
        <x:v>2733</x:v>
      </x:c>
      <x:c r="AE515" s="55" t="n">
        <x:v>10658</x:v>
      </x:c>
      <x:c r="AF515" s="55" t="n">
        <x:v>10643</x:v>
      </x:c>
      <x:c r="AG515" s="55" t="n">
        <x:v>15</x:v>
      </x:c>
      <x:c r="AH515" s="55" t="n">
        <x:v>220</x:v>
      </x:c>
      <x:c r="AI515" s="55" t="n">
        <x:v>10423</x:v>
      </x:c>
      <x:c r="AJ515" s="55" t="n">
        <x:v>277</x:v>
      </x:c>
      <x:c r="AK515" s="55" t="n">
        <x:v>1213</x:v>
      </x:c>
      <x:c r="AL515" s="55" t="n">
        <x:v>1646</x:v>
      </x:c>
      <x:c r="AM515" s="55" t="n">
        <x:v>4592</x:v>
      </x:c>
      <x:c r="AN515" s="55" t="n">
        <x:v>2886</x:v>
      </x:c>
      <x:c r="AO515" s="55" t="n">
        <x:v>29</x:v>
      </x:c>
      <x:c r="AP515" s="55" t="n">
        <x:v>2222</x:v>
      </x:c>
      <x:c r="AQ515" s="55" t="n">
        <x:v>926</x:v>
      </x:c>
    </x:row>
    <x:row r="516">
      <x:c r="A516" s="54" t="str">
        <x:v>T0_TABLE_BLOCK</x:v>
      </x:c>
      <x:c r="B516" s="54" t="n">
        <x:v>510</x:v>
      </x:c>
      <x:c r="C516" s="54" t="str">
        <x:v>NYC-V2-R01</x:v>
      </x:c>
      <x:c r="D516" s="54" t="str">
        <x:v>V2</x:v>
      </x:c>
      <x:c r="E516" s="54" t="str">
        <x:v>ADMITTED</x:v>
      </x:c>
      <x:c r="F516" s="55" t="n">
        <x:v>32763</x:v>
      </x:c>
      <x:c r="G516" s="55" t="n">
        <x:v>6756</x:v>
      </x:c>
      <x:c r="H516" s="55" t="n">
        <x:v>3421</x:v>
      </x:c>
      <x:c r="I516" s="55" t="n">
        <x:v>1259</x:v>
      </x:c>
      <x:c r="J516" s="55" t="n">
        <x:v>277</x:v>
      </x:c>
      <x:c r="K516" s="55" t="n">
        <x:v>32763</x:v>
      </x:c>
      <x:c r="L516" s="55" t="n">
        <x:v>7137</x:v>
      </x:c>
      <x:c r="M516" s="55" t="n">
        <x:v>2568</x:v>
      </x:c>
      <x:c r="N516" s="55" t="n">
        <x:v>2956</x:v>
      </x:c>
      <x:c r="O516" s="55" t="n">
        <x:v>1613</x:v>
      </x:c>
      <x:c r="P516" s="55" t="n">
        <x:v>766</x:v>
      </x:c>
      <x:c r="Q516" s="55" t="n">
        <x:v>1975</x:v>
      </x:c>
      <x:c r="R516" s="55" t="n">
        <x:v>2363</x:v>
      </x:c>
      <x:c r="S516" s="55" t="n">
        <x:v>2647</x:v>
      </x:c>
      <x:c r="T516" s="55" t="n">
        <x:v>984</x:v>
      </x:c>
      <x:c r="U516" s="55" t="n">
        <x:v>1910</x:v>
      </x:c>
      <x:c r="V516" s="55" t="n">
        <x:v>10454</x:v>
      </x:c>
      <x:c r="W516" s="55" t="n">
        <x:v>6736</x:v>
      </x:c>
      <x:c r="X516" s="55" t="n">
        <x:v>3718</x:v>
      </x:c>
      <x:c r="Y516" s="55" t="n">
        <x:v>3404</x:v>
      </x:c>
      <x:c r="Z516" s="55" t="n">
        <x:v>3900</x:v>
      </x:c>
      <x:c r="AA516" s="55" t="n">
        <x:v>2694</x:v>
      </x:c>
      <x:c r="AB516" s="55" t="n">
        <x:v>1129</x:v>
      </x:c>
      <x:c r="AC516" s="55" t="n">
        <x:v>7371</x:v>
      </x:c>
      <x:c r="AD516" s="55" t="n">
        <x:v>3141</x:v>
      </x:c>
      <x:c r="AE516" s="55" t="n">
        <x:v>10522</x:v>
      </x:c>
      <x:c r="AF516" s="55" t="n">
        <x:v>10454</x:v>
      </x:c>
      <x:c r="AG516" s="55" t="n">
        <x:v>68</x:v>
      </x:c>
      <x:c r="AH516" s="55" t="n">
        <x:v>284</x:v>
      </x:c>
      <x:c r="AI516" s="55" t="n">
        <x:v>10170</x:v>
      </x:c>
      <x:c r="AJ516" s="55" t="n">
        <x:v>439</x:v>
      </x:c>
      <x:c r="AK516" s="55" t="n">
        <x:v>751</x:v>
      </x:c>
      <x:c r="AL516" s="55" t="n">
        <x:v>1764</x:v>
      </x:c>
      <x:c r="AM516" s="55" t="n">
        <x:v>4571</x:v>
      </x:c>
      <x:c r="AN516" s="55" t="n">
        <x:v>2868</x:v>
      </x:c>
      <x:c r="AO516" s="55" t="n">
        <x:v>61</x:v>
      </x:c>
      <x:c r="AP516" s="55" t="n">
        <x:v>2581</x:v>
      </x:c>
      <x:c r="AQ516" s="55" t="n">
        <x:v>962</x:v>
      </x:c>
    </x:row>
    <x:row r="517">
      <x:c r="A517" s="54" t="str">
        <x:v>T0_TABLE_BLOCK</x:v>
      </x:c>
      <x:c r="B517" s="54" t="n">
        <x:v>511</x:v>
      </x:c>
      <x:c r="C517" s="54" t="str">
        <x:v>NYC-V2-R01</x:v>
      </x:c>
      <x:c r="D517" s="54" t="str">
        <x:v>V2</x:v>
      </x:c>
      <x:c r="E517" s="54" t="str">
        <x:v>ADMITTED</x:v>
      </x:c>
      <x:c r="F517" s="55" t="n">
        <x:v>31138</x:v>
      </x:c>
      <x:c r="G517" s="55" t="n">
        <x:v>7483</x:v>
      </x:c>
      <x:c r="H517" s="55" t="n">
        <x:v>3568</x:v>
      </x:c>
      <x:c r="I517" s="55" t="n">
        <x:v>1330</x:v>
      </x:c>
      <x:c r="J517" s="55" t="n">
        <x:v>229</x:v>
      </x:c>
      <x:c r="K517" s="55" t="n">
        <x:v>29474</x:v>
      </x:c>
      <x:c r="L517" s="55" t="n">
        <x:v>4970</x:v>
      </x:c>
      <x:c r="M517" s="55" t="n">
        <x:v>1270</x:v>
      </x:c>
      <x:c r="N517" s="55" t="n">
        <x:v>1848</x:v>
      </x:c>
      <x:c r="O517" s="55" t="n">
        <x:v>1852</x:v>
      </x:c>
      <x:c r="P517" s="55" t="n">
        <x:v>615</x:v>
      </x:c>
      <x:c r="Q517" s="55" t="n">
        <x:v>2406</x:v>
      </x:c>
      <x:c r="R517" s="55" t="n">
        <x:v>1417</x:v>
      </x:c>
      <x:c r="S517" s="55" t="n">
        <x:v>2834</x:v>
      </x:c>
      <x:c r="T517" s="55" t="n">
        <x:v>1005</x:v>
      </x:c>
      <x:c r="U517" s="55" t="n">
        <x:v>2286</x:v>
      </x:c>
      <x:c r="V517" s="55" t="n">
        <x:v>10946</x:v>
      </x:c>
      <x:c r="W517" s="55" t="n">
        <x:v>8007</x:v>
      </x:c>
      <x:c r="X517" s="55" t="n">
        <x:v>2939</x:v>
      </x:c>
      <x:c r="Y517" s="55" t="n">
        <x:v>2381</x:v>
      </x:c>
      <x:c r="Z517" s="55" t="n">
        <x:v>3498</x:v>
      </x:c>
      <x:c r="AA517" s="55" t="n">
        <x:v>3104</x:v>
      </x:c>
      <x:c r="AB517" s="55" t="n">
        <x:v>872</x:v>
      </x:c>
      <x:c r="AC517" s="55" t="n">
        <x:v>8098</x:v>
      </x:c>
      <x:c r="AD517" s="55" t="n">
        <x:v>3004</x:v>
      </x:c>
      <x:c r="AE517" s="55" t="n">
        <x:v>11064</x:v>
      </x:c>
      <x:c r="AF517" s="55" t="n">
        <x:v>10946</x:v>
      </x:c>
      <x:c r="AG517" s="55" t="n">
        <x:v>118</x:v>
      </x:c>
      <x:c r="AH517" s="55" t="n">
        <x:v>480</x:v>
      </x:c>
      <x:c r="AI517" s="55" t="n">
        <x:v>10466</x:v>
      </x:c>
      <x:c r="AJ517" s="55" t="n">
        <x:v>393</x:v>
      </x:c>
      <x:c r="AK517" s="55" t="n">
        <x:v>1366</x:v>
      </x:c>
      <x:c r="AL517" s="55" t="n">
        <x:v>1500</x:v>
      </x:c>
      <x:c r="AM517" s="55" t="n">
        <x:v>4969</x:v>
      </x:c>
      <x:c r="AN517" s="55" t="n">
        <x:v>2701</x:v>
      </x:c>
      <x:c r="AO517" s="55" t="n">
        <x:v>17</x:v>
      </x:c>
      <x:c r="AP517" s="55" t="n">
        <x:v>2020</x:v>
      </x:c>
      <x:c r="AQ517" s="55" t="n">
        <x:v>968</x:v>
      </x:c>
    </x:row>
    <x:row r="518">
      <x:c r="A518" s="54" t="str">
        <x:v>T0_TABLE_BLOCK</x:v>
      </x:c>
      <x:c r="B518" s="54" t="n">
        <x:v>512</x:v>
      </x:c>
      <x:c r="C518" s="54" t="str">
        <x:v>NYC-V2-R01</x:v>
      </x:c>
      <x:c r="D518" s="54" t="str">
        <x:v>V2</x:v>
      </x:c>
      <x:c r="E518" s="54" t="str">
        <x:v>ADMITTED</x:v>
      </x:c>
      <x:c r="F518" s="55" t="n">
        <x:v>31497</x:v>
      </x:c>
      <x:c r="G518" s="55" t="n">
        <x:v>7481</x:v>
      </x:c>
      <x:c r="H518" s="55" t="n">
        <x:v>3206</x:v>
      </x:c>
      <x:c r="I518" s="55" t="n">
        <x:v>1388</x:v>
      </x:c>
      <x:c r="J518" s="55" t="n">
        <x:v>268</x:v>
      </x:c>
      <x:c r="K518" s="55" t="n">
        <x:v>28340</x:v>
      </x:c>
      <x:c r="L518" s="55" t="n">
        <x:v>5341</x:v>
      </x:c>
      <x:c r="M518" s="55" t="n">
        <x:v>740</x:v>
      </x:c>
      <x:c r="N518" s="55" t="n">
        <x:v>2464</x:v>
      </x:c>
      <x:c r="O518" s="55" t="n">
        <x:v>2137</x:v>
      </x:c>
      <x:c r="P518" s="55" t="n">
        <x:v>780</x:v>
      </x:c>
      <x:c r="Q518" s="55" t="n">
        <x:v>3028</x:v>
      </x:c>
      <x:c r="R518" s="55" t="n">
        <x:v>2212</x:v>
      </x:c>
      <x:c r="S518" s="55" t="n">
        <x:v>2922</x:v>
      </x:c>
      <x:c r="T518" s="55" t="n">
        <x:v>446</x:v>
      </x:c>
      <x:c r="U518" s="55" t="n">
        <x:v>2245</x:v>
      </x:c>
      <x:c r="V518" s="55" t="n">
        <x:v>10630</x:v>
      </x:c>
      <x:c r="W518" s="55" t="n">
        <x:v>7555</x:v>
      </x:c>
      <x:c r="X518" s="55" t="n">
        <x:v>3075</x:v>
      </x:c>
      <x:c r="Y518" s="55" t="n">
        <x:v>2821</x:v>
      </x:c>
      <x:c r="Z518" s="55" t="n">
        <x:v>3621</x:v>
      </x:c>
      <x:c r="AA518" s="55" t="n">
        <x:v>2756</x:v>
      </x:c>
      <x:c r="AB518" s="55" t="n">
        <x:v>1497</x:v>
      </x:c>
      <x:c r="AC518" s="55" t="n">
        <x:v>8050</x:v>
      </x:c>
      <x:c r="AD518" s="55" t="n">
        <x:v>2812</x:v>
      </x:c>
      <x:c r="AE518" s="55" t="n">
        <x:v>10802</x:v>
      </x:c>
      <x:c r="AF518" s="55" t="n">
        <x:v>10630</x:v>
      </x:c>
      <x:c r="AG518" s="55" t="n">
        <x:v>172</x:v>
      </x:c>
      <x:c r="AH518" s="55" t="n">
        <x:v>539</x:v>
      </x:c>
      <x:c r="AI518" s="55" t="n">
        <x:v>10091</x:v>
      </x:c>
      <x:c r="AJ518" s="55" t="n">
        <x:v>380</x:v>
      </x:c>
      <x:c r="AK518" s="55" t="n">
        <x:v>616</x:v>
      </x:c>
      <x:c r="AL518" s="55" t="n">
        <x:v>1498</x:v>
      </x:c>
      <x:c r="AM518" s="55" t="n">
        <x:v>5304</x:v>
      </x:c>
      <x:c r="AN518" s="55" t="n">
        <x:v>2728</x:v>
      </x:c>
      <x:c r="AO518" s="55" t="n">
        <x:v>104</x:v>
      </x:c>
      <x:c r="AP518" s="55" t="n">
        <x:v>2188</x:v>
      </x:c>
      <x:c r="AQ518" s="55" t="n">
        <x:v>991</x:v>
      </x:c>
    </x:row>
    <x:row r="519">
      <x:c r="A519" s="54" t="str">
        <x:v>T0_TABLE_BLOCK</x:v>
      </x:c>
      <x:c r="B519" s="54" t="n">
        <x:v>513</x:v>
      </x:c>
      <x:c r="C519" s="54" t="str">
        <x:v>NYC-V2-R01</x:v>
      </x:c>
      <x:c r="D519" s="54" t="str">
        <x:v>V2</x:v>
      </x:c>
      <x:c r="E519" s="54" t="str">
        <x:v>ADMITTED</x:v>
      </x:c>
      <x:c r="F519" s="55" t="n">
        <x:v>30585</x:v>
      </x:c>
      <x:c r="G519" s="55" t="n">
        <x:v>7675</x:v>
      </x:c>
      <x:c r="H519" s="55" t="n">
        <x:v>3126</x:v>
      </x:c>
      <x:c r="I519" s="55" t="n">
        <x:v>1238</x:v>
      </x:c>
      <x:c r="J519" s="55" t="n">
        <x:v>163</x:v>
      </x:c>
      <x:c r="K519" s="55" t="n">
        <x:v>30585</x:v>
      </x:c>
      <x:c r="L519" s="55" t="n">
        <x:v>5860</x:v>
      </x:c>
      <x:c r="M519" s="55" t="n">
        <x:v>1162</x:v>
      </x:c>
      <x:c r="N519" s="55" t="n">
        <x:v>2922</x:v>
      </x:c>
      <x:c r="O519" s="55" t="n">
        <x:v>1776</x:v>
      </x:c>
      <x:c r="P519" s="55" t="n">
        <x:v>830</x:v>
      </x:c>
      <x:c r="Q519" s="55" t="n">
        <x:v>2258</x:v>
      </x:c>
      <x:c r="R519" s="55" t="n">
        <x:v>1654</x:v>
      </x:c>
      <x:c r="S519" s="55" t="n">
        <x:v>3533</x:v>
      </x:c>
      <x:c r="T519" s="55" t="n">
        <x:v>1562</x:v>
      </x:c>
      <x:c r="U519" s="55" t="n">
        <x:v>2125</x:v>
      </x:c>
      <x:c r="V519" s="55" t="n">
        <x:v>10826</x:v>
      </x:c>
      <x:c r="W519" s="55" t="n">
        <x:v>8019</x:v>
      </x:c>
      <x:c r="X519" s="55" t="n">
        <x:v>2807</x:v>
      </x:c>
      <x:c r="Y519" s="55" t="n">
        <x:v>2545</x:v>
      </x:c>
      <x:c r="Z519" s="55" t="n">
        <x:v>3705</x:v>
      </x:c>
      <x:c r="AA519" s="55" t="n">
        <x:v>2696</x:v>
      </x:c>
      <x:c r="AB519" s="55" t="n">
        <x:v>1050</x:v>
      </x:c>
      <x:c r="AC519" s="55" t="n">
        <x:v>7719</x:v>
      </x:c>
      <x:c r="AD519" s="55" t="n">
        <x:v>3037</x:v>
      </x:c>
      <x:c r="AE519" s="55" t="n">
        <x:v>10843</x:v>
      </x:c>
      <x:c r="AF519" s="55" t="n">
        <x:v>10826</x:v>
      </x:c>
      <x:c r="AG519" s="55" t="n">
        <x:v>17</x:v>
      </x:c>
      <x:c r="AH519" s="55" t="n">
        <x:v>516</x:v>
      </x:c>
      <x:c r="AI519" s="55" t="n">
        <x:v>10310</x:v>
      </x:c>
      <x:c r="AJ519" s="55" t="n">
        <x:v>252</x:v>
      </x:c>
      <x:c r="AK519" s="55" t="n">
        <x:v>806</x:v>
      </x:c>
      <x:c r="AL519" s="55" t="n">
        <x:v>2041</x:v>
      </x:c>
      <x:c r="AM519" s="55" t="n">
        <x:v>5582</x:v>
      </x:c>
      <x:c r="AN519" s="55" t="n">
        <x:v>2145</x:v>
      </x:c>
      <x:c r="AO519" s="55" t="n">
        <x:v>0</x:v>
      </x:c>
      <x:c r="AP519" s="55" t="n">
        <x:v>2216</x:v>
      </x:c>
      <x:c r="AQ519" s="55" t="n">
        <x:v>1004</x:v>
      </x:c>
    </x:row>
    <x:row r="520">
      <x:c r="A520" s="54" t="str">
        <x:v>T0_TABLE_BLOCK</x:v>
      </x:c>
      <x:c r="B520" s="54" t="n">
        <x:v>514</x:v>
      </x:c>
      <x:c r="C520" s="54" t="str">
        <x:v>NYC-V2-R01</x:v>
      </x:c>
      <x:c r="D520" s="54" t="str">
        <x:v>V2</x:v>
      </x:c>
      <x:c r="E520" s="54" t="str">
        <x:v>ADMITTED</x:v>
      </x:c>
      <x:c r="F520" s="55" t="n">
        <x:v>30456</x:v>
      </x:c>
      <x:c r="G520" s="55" t="n">
        <x:v>7997</x:v>
      </x:c>
      <x:c r="H520" s="55" t="n">
        <x:v>3215</x:v>
      </x:c>
      <x:c r="I520" s="55" t="n">
        <x:v>1221</x:v>
      </x:c>
      <x:c r="J520" s="55" t="n">
        <x:v>171</x:v>
      </x:c>
      <x:c r="K520" s="55" t="n">
        <x:v>29732</x:v>
      </x:c>
      <x:c r="L520" s="55" t="n">
        <x:v>5188</x:v>
      </x:c>
      <x:c r="M520" s="55" t="n">
        <x:v>1325</x:v>
      </x:c>
      <x:c r="N520" s="55" t="n">
        <x:v>2501</x:v>
      </x:c>
      <x:c r="O520" s="55" t="n">
        <x:v>1362</x:v>
      </x:c>
      <x:c r="P520" s="55" t="n">
        <x:v>773</x:v>
      </x:c>
      <x:c r="Q520" s="55" t="n">
        <x:v>1794</x:v>
      </x:c>
      <x:c r="R520" s="55" t="n">
        <x:v>2123</x:v>
      </x:c>
      <x:c r="S520" s="55" t="n">
        <x:v>2524</x:v>
      </x:c>
      <x:c r="T520" s="55" t="n">
        <x:v>1069</x:v>
      </x:c>
      <x:c r="U520" s="55" t="n">
        <x:v>1202</x:v>
      </x:c>
      <x:c r="V520" s="55" t="n">
        <x:v>10544</x:v>
      </x:c>
      <x:c r="W520" s="55" t="n">
        <x:v>7234</x:v>
      </x:c>
      <x:c r="X520" s="55" t="n">
        <x:v>3310</x:v>
      </x:c>
      <x:c r="Y520" s="55" t="n">
        <x:v>2828</x:v>
      </x:c>
      <x:c r="Z520" s="55" t="n">
        <x:v>4151</x:v>
      </x:c>
      <x:c r="AA520" s="55" t="n">
        <x:v>3215</x:v>
      </x:c>
      <x:c r="AB520" s="55" t="n">
        <x:v>1480</x:v>
      </x:c>
      <x:c r="AC520" s="55" t="n">
        <x:v>8531</x:v>
      </x:c>
      <x:c r="AD520" s="55" t="n">
        <x:v>2609</x:v>
      </x:c>
      <x:c r="AE520" s="55" t="n">
        <x:v>10633</x:v>
      </x:c>
      <x:c r="AF520" s="55" t="n">
        <x:v>10544</x:v>
      </x:c>
      <x:c r="AG520" s="55" t="n">
        <x:v>89</x:v>
      </x:c>
      <x:c r="AH520" s="55" t="n">
        <x:v>358</x:v>
      </x:c>
      <x:c r="AI520" s="55" t="n">
        <x:v>10186</x:v>
      </x:c>
      <x:c r="AJ520" s="55" t="n">
        <x:v>149</x:v>
      </x:c>
      <x:c r="AK520" s="55" t="n">
        <x:v>1207</x:v>
      </x:c>
      <x:c r="AL520" s="55" t="n">
        <x:v>1346</x:v>
      </x:c>
      <x:c r="AM520" s="55" t="n">
        <x:v>5673</x:v>
      </x:c>
      <x:c r="AN520" s="55" t="n">
        <x:v>2139</x:v>
      </x:c>
      <x:c r="AO520" s="55" t="n">
        <x:v>30</x:v>
      </x:c>
      <x:c r="AP520" s="55" t="n">
        <x:v>2201</x:v>
      </x:c>
      <x:c r="AQ520" s="55" t="n">
        <x:v>989</x:v>
      </x:c>
    </x:row>
    <x:row r="521">
      <x:c r="A521" s="54" t="str">
        <x:v>T0_TABLE_BLOCK</x:v>
      </x:c>
      <x:c r="B521" s="54" t="n">
        <x:v>515</x:v>
      </x:c>
      <x:c r="C521" s="54" t="str">
        <x:v>NYC-V2-R01</x:v>
      </x:c>
      <x:c r="D521" s="54" t="str">
        <x:v>V2</x:v>
      </x:c>
      <x:c r="E521" s="54" t="str">
        <x:v>ADMITTED</x:v>
      </x:c>
      <x:c r="F521" s="55" t="n">
        <x:v>32757</x:v>
      </x:c>
      <x:c r="G521" s="55" t="n">
        <x:v>8534</x:v>
      </x:c>
      <x:c r="H521" s="55" t="n">
        <x:v>3622</x:v>
      </x:c>
      <x:c r="I521" s="55" t="n">
        <x:v>1280</x:v>
      </x:c>
      <x:c r="J521" s="55" t="n">
        <x:v>178</x:v>
      </x:c>
      <x:c r="K521" s="55" t="n">
        <x:v>29669</x:v>
      </x:c>
      <x:c r="L521" s="55" t="n">
        <x:v>5909</x:v>
      </x:c>
      <x:c r="M521" s="55" t="n">
        <x:v>2116</x:v>
      </x:c>
      <x:c r="N521" s="55" t="n">
        <x:v>2673</x:v>
      </x:c>
      <x:c r="O521" s="55" t="n">
        <x:v>1120</x:v>
      </x:c>
      <x:c r="P521" s="55" t="n">
        <x:v>125</x:v>
      </x:c>
      <x:c r="Q521" s="55" t="n">
        <x:v>3049</x:v>
      </x:c>
      <x:c r="R521" s="55" t="n">
        <x:v>1752</x:v>
      </x:c>
      <x:c r="S521" s="55" t="n">
        <x:v>2209</x:v>
      </x:c>
      <x:c r="T521" s="55" t="n">
        <x:v>1251</x:v>
      </x:c>
      <x:c r="U521" s="55" t="n">
        <x:v>2087</x:v>
      </x:c>
      <x:c r="V521" s="55" t="n">
        <x:v>10630</x:v>
      </x:c>
      <x:c r="W521" s="55" t="n">
        <x:v>7383</x:v>
      </x:c>
      <x:c r="X521" s="55" t="n">
        <x:v>3247</x:v>
      </x:c>
      <x:c r="Y521" s="55" t="n">
        <x:v>2854</x:v>
      </x:c>
      <x:c r="Z521" s="55" t="n">
        <x:v>4045</x:v>
      </x:c>
      <x:c r="AA521" s="55" t="n">
        <x:v>3622</x:v>
      </x:c>
      <x:c r="AB521" s="55" t="n">
        <x:v>1238</x:v>
      </x:c>
      <x:c r="AC521" s="55" t="n">
        <x:v>8579</x:v>
      </x:c>
      <x:c r="AD521" s="55" t="n">
        <x:v>2431</x:v>
      </x:c>
      <x:c r="AE521" s="55" t="n">
        <x:v>10856</x:v>
      </x:c>
      <x:c r="AF521" s="55" t="n">
        <x:v>10630</x:v>
      </x:c>
      <x:c r="AG521" s="55" t="n">
        <x:v>226</x:v>
      </x:c>
      <x:c r="AH521" s="55" t="n">
        <x:v>264</x:v>
      </x:c>
      <x:c r="AI521" s="55" t="n">
        <x:v>10366</x:v>
      </x:c>
      <x:c r="AJ521" s="55" t="n">
        <x:v>216</x:v>
      </x:c>
      <x:c r="AK521" s="55" t="n">
        <x:v>1140</x:v>
      </x:c>
      <x:c r="AL521" s="55" t="n">
        <x:v>1431</x:v>
      </x:c>
      <x:c r="AM521" s="55" t="n">
        <x:v>4893</x:v>
      </x:c>
      <x:c r="AN521" s="55" t="n">
        <x:v>2950</x:v>
      </x:c>
      <x:c r="AO521" s="55" t="n">
        <x:v>0</x:v>
      </x:c>
      <x:c r="AP521" s="55" t="n">
        <x:v>2500</x:v>
      </x:c>
      <x:c r="AQ521" s="55" t="n">
        <x:v>943</x:v>
      </x:c>
    </x:row>
    <x:row r="522">
      <x:c r="A522" s="54" t="str">
        <x:v>T0_TABLE_BLOCK</x:v>
      </x:c>
      <x:c r="B522" s="54" t="n">
        <x:v>516</x:v>
      </x:c>
      <x:c r="C522" s="54" t="str">
        <x:v>NYC-V2-R01</x:v>
      </x:c>
      <x:c r="D522" s="54" t="str">
        <x:v>V2</x:v>
      </x:c>
      <x:c r="E522" s="54" t="str">
        <x:v>ADMITTED</x:v>
      </x:c>
      <x:c r="F522" s="55" t="n">
        <x:v>31949</x:v>
      </x:c>
      <x:c r="G522" s="55" t="n">
        <x:v>7271</x:v>
      </x:c>
      <x:c r="H522" s="55" t="n">
        <x:v>3884</x:v>
      </x:c>
      <x:c r="I522" s="55" t="n">
        <x:v>1284</x:v>
      </x:c>
      <x:c r="J522" s="55" t="n">
        <x:v>188</x:v>
      </x:c>
      <x:c r="K522" s="55" t="n">
        <x:v>31949</x:v>
      </x:c>
      <x:c r="L522" s="55" t="n">
        <x:v>5571</x:v>
      </x:c>
      <x:c r="M522" s="55" t="n">
        <x:v>2342</x:v>
      </x:c>
      <x:c r="N522" s="55" t="n">
        <x:v>1798</x:v>
      </x:c>
      <x:c r="O522" s="55" t="n">
        <x:v>1431</x:v>
      </x:c>
      <x:c r="P522" s="55" t="n">
        <x:v>803</x:v>
      </x:c>
      <x:c r="Q522" s="55" t="n">
        <x:v>1760</x:v>
      </x:c>
      <x:c r="R522" s="55" t="n">
        <x:v>1946</x:v>
      </x:c>
      <x:c r="S522" s="55" t="n">
        <x:v>2267</x:v>
      </x:c>
      <x:c r="T522" s="55" t="n">
        <x:v>979</x:v>
      </x:c>
      <x:c r="U522" s="55" t="n">
        <x:v>2394</x:v>
      </x:c>
      <x:c r="V522" s="55" t="n">
        <x:v>10730</x:v>
      </x:c>
      <x:c r="W522" s="55" t="n">
        <x:v>7282</x:v>
      </x:c>
      <x:c r="X522" s="55" t="n">
        <x:v>3448</x:v>
      </x:c>
      <x:c r="Y522" s="55" t="n">
        <x:v>2831</x:v>
      </x:c>
      <x:c r="Z522" s="55" t="n">
        <x:v>3982</x:v>
      </x:c>
      <x:c r="AA522" s="55" t="n">
        <x:v>3884</x:v>
      </x:c>
      <x:c r="AB522" s="55" t="n">
        <x:v>1031</x:v>
      </x:c>
      <x:c r="AC522" s="55" t="n">
        <x:v>8141</x:v>
      </x:c>
      <x:c r="AD522" s="55" t="n">
        <x:v>3235</x:v>
      </x:c>
      <x:c r="AE522" s="55" t="n">
        <x:v>10836</x:v>
      </x:c>
      <x:c r="AF522" s="55" t="n">
        <x:v>10730</x:v>
      </x:c>
      <x:c r="AG522" s="55" t="n">
        <x:v>106</x:v>
      </x:c>
      <x:c r="AH522" s="55" t="n">
        <x:v>240</x:v>
      </x:c>
      <x:c r="AI522" s="55" t="n">
        <x:v>10490</x:v>
      </x:c>
      <x:c r="AJ522" s="55" t="n">
        <x:v>313</x:v>
      </x:c>
      <x:c r="AK522" s="55" t="n">
        <x:v>837</x:v>
      </x:c>
      <x:c r="AL522" s="55" t="n">
        <x:v>1529</x:v>
      </x:c>
      <x:c r="AM522" s="55" t="n">
        <x:v>5067</x:v>
      </x:c>
      <x:c r="AN522" s="55" t="n">
        <x:v>2984</x:v>
      </x:c>
      <x:c r="AO522" s="55" t="n">
        <x:v>0</x:v>
      </x:c>
      <x:c r="AP522" s="55" t="n">
        <x:v>2775</x:v>
      </x:c>
      <x:c r="AQ522" s="55" t="n">
        <x:v>936</x:v>
      </x:c>
    </x:row>
    <x:row r="523">
      <x:c r="A523" s="54" t="str">
        <x:v>T0_TABLE_BLOCK</x:v>
      </x:c>
      <x:c r="B523" s="54" t="n">
        <x:v>517</x:v>
      </x:c>
      <x:c r="C523" s="54" t="str">
        <x:v>NYC-V2-R01</x:v>
      </x:c>
      <x:c r="D523" s="54" t="str">
        <x:v>V2</x:v>
      </x:c>
      <x:c r="E523" s="54" t="str">
        <x:v>ADMITTED</x:v>
      </x:c>
      <x:c r="F523" s="55" t="n">
        <x:v>31974</x:v>
      </x:c>
      <x:c r="G523" s="55" t="n">
        <x:v>8476</x:v>
      </x:c>
      <x:c r="H523" s="55" t="n">
        <x:v>3114</x:v>
      </x:c>
      <x:c r="I523" s="55" t="n">
        <x:v>1171</x:v>
      </x:c>
      <x:c r="J523" s="55" t="n">
        <x:v>344</x:v>
      </x:c>
      <x:c r="K523" s="55" t="n">
        <x:v>31974</x:v>
      </x:c>
      <x:c r="L523" s="55" t="n">
        <x:v>5633</x:v>
      </x:c>
      <x:c r="M523" s="55" t="n">
        <x:v>1007</x:v>
      </x:c>
      <x:c r="N523" s="55" t="n">
        <x:v>2691</x:v>
      </x:c>
      <x:c r="O523" s="55" t="n">
        <x:v>1935</x:v>
      </x:c>
      <x:c r="P523" s="55" t="n">
        <x:v>714</x:v>
      </x:c>
      <x:c r="Q523" s="55" t="n">
        <x:v>2558</x:v>
      </x:c>
      <x:c r="R523" s="55" t="n">
        <x:v>1523</x:v>
      </x:c>
      <x:c r="S523" s="55" t="n">
        <x:v>2433</x:v>
      </x:c>
      <x:c r="T523" s="55" t="n">
        <x:v>1540</x:v>
      </x:c>
      <x:c r="U523" s="55" t="n">
        <x:v>1455</x:v>
      </x:c>
      <x:c r="V523" s="55" t="n">
        <x:v>10458</x:v>
      </x:c>
      <x:c r="W523" s="55" t="n">
        <x:v>7498</x:v>
      </x:c>
      <x:c r="X523" s="55" t="n">
        <x:v>2960</x:v>
      </x:c>
      <x:c r="Y523" s="55" t="n">
        <x:v>2818</x:v>
      </x:c>
      <x:c r="Z523" s="55" t="n">
        <x:v>3971</x:v>
      </x:c>
      <x:c r="AA523" s="55" t="n">
        <x:v>2483</x:v>
      </x:c>
      <x:c r="AB523" s="55" t="n">
        <x:v>632</x:v>
      </x:c>
      <x:c r="AC523" s="55" t="n">
        <x:v>8513</x:v>
      </x:c>
      <x:c r="AD523" s="55" t="n">
        <x:v>2779</x:v>
      </x:c>
      <x:c r="AE523" s="55" t="n">
        <x:v>10527</x:v>
      </x:c>
      <x:c r="AF523" s="55" t="n">
        <x:v>10458</x:v>
      </x:c>
      <x:c r="AG523" s="55" t="n">
        <x:v>69</x:v>
      </x:c>
      <x:c r="AH523" s="55" t="n">
        <x:v>723</x:v>
      </x:c>
      <x:c r="AI523" s="55" t="n">
        <x:v>9735</x:v>
      </x:c>
      <x:c r="AJ523" s="55" t="n">
        <x:v>472</x:v>
      </x:c>
      <x:c r="AK523" s="55" t="n">
        <x:v>973</x:v>
      </x:c>
      <x:c r="AL523" s="55" t="n">
        <x:v>1776</x:v>
      </x:c>
      <x:c r="AM523" s="55" t="n">
        <x:v>4762</x:v>
      </x:c>
      <x:c r="AN523" s="55" t="n">
        <x:v>2435</x:v>
      </x:c>
      <x:c r="AO523" s="55" t="n">
        <x:v>40</x:v>
      </x:c>
      <x:c r="AP523" s="55" t="n">
        <x:v>2545</x:v>
      </x:c>
      <x:c r="AQ523" s="55" t="n">
        <x:v>938</x:v>
      </x:c>
    </x:row>
    <x:row r="524">
      <x:c r="A524" s="54" t="str">
        <x:v>T0_TABLE_BLOCK</x:v>
      </x:c>
      <x:c r="B524" s="54" t="n">
        <x:v>518</x:v>
      </x:c>
      <x:c r="C524" s="54" t="str">
        <x:v>NYC-V2-R01</x:v>
      </x:c>
      <x:c r="D524" s="54" t="str">
        <x:v>V2</x:v>
      </x:c>
      <x:c r="E524" s="54" t="str">
        <x:v>ADMITTED</x:v>
      </x:c>
      <x:c r="F524" s="55" t="n">
        <x:v>32207</x:v>
      </x:c>
      <x:c r="G524" s="55" t="n">
        <x:v>6288</x:v>
      </x:c>
      <x:c r="H524" s="55" t="n">
        <x:v>3039</x:v>
      </x:c>
      <x:c r="I524" s="55" t="n">
        <x:v>1467</x:v>
      </x:c>
      <x:c r="J524" s="55" t="n">
        <x:v>284</x:v>
      </x:c>
      <x:c r="K524" s="55" t="n">
        <x:v>32207</x:v>
      </x:c>
      <x:c r="L524" s="55" t="n">
        <x:v>6237</x:v>
      </x:c>
      <x:c r="M524" s="55" t="n">
        <x:v>1178</x:v>
      </x:c>
      <x:c r="N524" s="55" t="n">
        <x:v>3337</x:v>
      </x:c>
      <x:c r="O524" s="55" t="n">
        <x:v>1722</x:v>
      </x:c>
      <x:c r="P524" s="55" t="n">
        <x:v>919</x:v>
      </x:c>
      <x:c r="Q524" s="55" t="n">
        <x:v>3352</x:v>
      </x:c>
      <x:c r="R524" s="55" t="n">
        <x:v>1838</x:v>
      </x:c>
      <x:c r="S524" s="55" t="n">
        <x:v>2471</x:v>
      </x:c>
      <x:c r="T524" s="55" t="n">
        <x:v>846</x:v>
      </x:c>
      <x:c r="U524" s="55" t="n">
        <x:v>2225</x:v>
      </x:c>
      <x:c r="V524" s="55" t="n">
        <x:v>10486</x:v>
      </x:c>
      <x:c r="W524" s="55" t="n">
        <x:v>7493</x:v>
      </x:c>
      <x:c r="X524" s="55" t="n">
        <x:v>2993</x:v>
      </x:c>
      <x:c r="Y524" s="55" t="n">
        <x:v>2842</x:v>
      </x:c>
      <x:c r="Z524" s="55" t="n">
        <x:v>3699</x:v>
      </x:c>
      <x:c r="AA524" s="55" t="n">
        <x:v>3039</x:v>
      </x:c>
      <x:c r="AB524" s="55" t="n">
        <x:v>1221</x:v>
      </x:c>
      <x:c r="AC524" s="55" t="n">
        <x:v>8090</x:v>
      </x:c>
      <x:c r="AD524" s="55" t="n">
        <x:v>2037</x:v>
      </x:c>
      <x:c r="AE524" s="55" t="n">
        <x:v>10582</x:v>
      </x:c>
      <x:c r="AF524" s="55" t="n">
        <x:v>10486</x:v>
      </x:c>
      <x:c r="AG524" s="55" t="n">
        <x:v>96</x:v>
      </x:c>
      <x:c r="AH524" s="55" t="n">
        <x:v>540</x:v>
      </x:c>
      <x:c r="AI524" s="55" t="n">
        <x:v>9946</x:v>
      </x:c>
      <x:c r="AJ524" s="55" t="n">
        <x:v>402</x:v>
      </x:c>
      <x:c r="AK524" s="55" t="n">
        <x:v>888</x:v>
      </x:c>
      <x:c r="AL524" s="55" t="n">
        <x:v>1665</x:v>
      </x:c>
      <x:c r="AM524" s="55" t="n">
        <x:v>5143</x:v>
      </x:c>
      <x:c r="AN524" s="55" t="n">
        <x:v>2388</x:v>
      </x:c>
      <x:c r="AO524" s="55" t="n">
        <x:v>0</x:v>
      </x:c>
      <x:c r="AP524" s="55" t="n">
        <x:v>1948</x:v>
      </x:c>
      <x:c r="AQ524" s="55" t="n">
        <x:v>976</x:v>
      </x:c>
    </x:row>
    <x:row r="525">
      <x:c r="A525" s="54" t="str">
        <x:v>T0_TABLE_BLOCK</x:v>
      </x:c>
      <x:c r="B525" s="54" t="n">
        <x:v>519</x:v>
      </x:c>
      <x:c r="C525" s="54" t="str">
        <x:v>NYC-V2-R01</x:v>
      </x:c>
      <x:c r="D525" s="54" t="str">
        <x:v>V2</x:v>
      </x:c>
      <x:c r="E525" s="54" t="str">
        <x:v>ADMITTED</x:v>
      </x:c>
      <x:c r="F525" s="55" t="n">
        <x:v>30589</x:v>
      </x:c>
      <x:c r="G525" s="55" t="n">
        <x:v>6749</x:v>
      </x:c>
      <x:c r="H525" s="55" t="n">
        <x:v>2634</x:v>
      </x:c>
      <x:c r="I525" s="55" t="n">
        <x:v>1206</x:v>
      </x:c>
      <x:c r="J525" s="55" t="n">
        <x:v>214</x:v>
      </x:c>
      <x:c r="K525" s="55" t="n">
        <x:v>30589</x:v>
      </x:c>
      <x:c r="L525" s="55" t="n">
        <x:v>6448</x:v>
      </x:c>
      <x:c r="M525" s="55" t="n">
        <x:v>1764</x:v>
      </x:c>
      <x:c r="N525" s="55" t="n">
        <x:v>2828</x:v>
      </x:c>
      <x:c r="O525" s="55" t="n">
        <x:v>1856</x:v>
      </x:c>
      <x:c r="P525" s="55" t="n">
        <x:v>789</x:v>
      </x:c>
      <x:c r="Q525" s="55" t="n">
        <x:v>1912</x:v>
      </x:c>
      <x:c r="R525" s="55" t="n">
        <x:v>1853</x:v>
      </x:c>
      <x:c r="S525" s="55" t="n">
        <x:v>2290</x:v>
      </x:c>
      <x:c r="T525" s="55" t="n">
        <x:v>1595</x:v>
      </x:c>
      <x:c r="U525" s="55" t="n">
        <x:v>2236</x:v>
      </x:c>
      <x:c r="V525" s="55" t="n">
        <x:v>10504</x:v>
      </x:c>
      <x:c r="W525" s="55" t="n">
        <x:v>7616</x:v>
      </x:c>
      <x:c r="X525" s="55" t="n">
        <x:v>2888</x:v>
      </x:c>
      <x:c r="Y525" s="55" t="n">
        <x:v>2566</x:v>
      </x:c>
      <x:c r="Z525" s="55" t="n">
        <x:v>3701</x:v>
      </x:c>
      <x:c r="AA525" s="55" t="n">
        <x:v>2634</x:v>
      </x:c>
      <x:c r="AB525" s="55" t="n">
        <x:v>1052</x:v>
      </x:c>
      <x:c r="AC525" s="55" t="n">
        <x:v>7445</x:v>
      </x:c>
      <x:c r="AD525" s="55" t="n">
        <x:v>2749</x:v>
      </x:c>
      <x:c r="AE525" s="55" t="n">
        <x:v>10535</x:v>
      </x:c>
      <x:c r="AF525" s="55" t="n">
        <x:v>10504</x:v>
      </x:c>
      <x:c r="AG525" s="55" t="n">
        <x:v>31</x:v>
      </x:c>
      <x:c r="AH525" s="55" t="n">
        <x:v>633</x:v>
      </x:c>
      <x:c r="AI525" s="55" t="n">
        <x:v>9871</x:v>
      </x:c>
      <x:c r="AJ525" s="55" t="n">
        <x:v>565</x:v>
      </x:c>
      <x:c r="AK525" s="55" t="n">
        <x:v>1234</x:v>
      </x:c>
      <x:c r="AL525" s="55" t="n">
        <x:v>1362</x:v>
      </x:c>
      <x:c r="AM525" s="55" t="n">
        <x:v>5055</x:v>
      </x:c>
      <x:c r="AN525" s="55" t="n">
        <x:v>2182</x:v>
      </x:c>
      <x:c r="AO525" s="55" t="n">
        <x:v>106</x:v>
      </x:c>
      <x:c r="AP525" s="55" t="n">
        <x:v>1860</x:v>
      </x:c>
      <x:c r="AQ525" s="55" t="n">
        <x:v>970</x:v>
      </x:c>
    </x:row>
    <x:row r="526">
      <x:c r="A526" s="54" t="str">
        <x:v>T0_TABLE_BLOCK</x:v>
      </x:c>
      <x:c r="B526" s="54" t="n">
        <x:v>520</x:v>
      </x:c>
      <x:c r="C526" s="54" t="str">
        <x:v>NYC-V2-R01</x:v>
      </x:c>
      <x:c r="D526" s="54" t="str">
        <x:v>V2</x:v>
      </x:c>
      <x:c r="E526" s="54" t="str">
        <x:v>ADMITTED</x:v>
      </x:c>
      <x:c r="F526" s="55" t="n">
        <x:v>30977</x:v>
      </x:c>
      <x:c r="G526" s="55" t="n">
        <x:v>7806</x:v>
      </x:c>
      <x:c r="H526" s="55" t="n">
        <x:v>3503</x:v>
      </x:c>
      <x:c r="I526" s="55" t="n">
        <x:v>801</x:v>
      </x:c>
      <x:c r="J526" s="55" t="n">
        <x:v>37</x:v>
      </x:c>
      <x:c r="K526" s="55" t="n">
        <x:v>29822</x:v>
      </x:c>
      <x:c r="L526" s="55" t="n">
        <x:v>5572</x:v>
      </x:c>
      <x:c r="M526" s="55" t="n">
        <x:v>1624</x:v>
      </x:c>
      <x:c r="N526" s="55" t="n">
        <x:v>2570</x:v>
      </x:c>
      <x:c r="O526" s="55" t="n">
        <x:v>1378</x:v>
      </x:c>
      <x:c r="P526" s="55" t="n">
        <x:v>881</x:v>
      </x:c>
      <x:c r="Q526" s="55" t="n">
        <x:v>2665</x:v>
      </x:c>
      <x:c r="R526" s="55" t="n">
        <x:v>2196</x:v>
      </x:c>
      <x:c r="S526" s="55" t="n">
        <x:v>2637</x:v>
      </x:c>
      <x:c r="T526" s="55" t="n">
        <x:v>1484</x:v>
      </x:c>
      <x:c r="U526" s="55" t="n">
        <x:v>1473</x:v>
      </x:c>
      <x:c r="V526" s="55" t="n">
        <x:v>10136</x:v>
      </x:c>
      <x:c r="W526" s="55" t="n">
        <x:v>7389</x:v>
      </x:c>
      <x:c r="X526" s="55" t="n">
        <x:v>2747</x:v>
      </x:c>
      <x:c r="Y526" s="55" t="n">
        <x:v>2293</x:v>
      </x:c>
      <x:c r="Z526" s="55" t="n">
        <x:v>3279</x:v>
      </x:c>
      <x:c r="AA526" s="55" t="n">
        <x:v>3503</x:v>
      </x:c>
      <x:c r="AB526" s="55" t="n">
        <x:v>1266</x:v>
      </x:c>
      <x:c r="AC526" s="55" t="n">
        <x:v>7928</x:v>
      </x:c>
      <x:c r="AD526" s="55" t="n">
        <x:v>3334</x:v>
      </x:c>
      <x:c r="AE526" s="55" t="n">
        <x:v>10200</x:v>
      </x:c>
      <x:c r="AF526" s="55" t="n">
        <x:v>10136</x:v>
      </x:c>
      <x:c r="AG526" s="55" t="n">
        <x:v>64</x:v>
      </x:c>
      <x:c r="AH526" s="55" t="n">
        <x:v>383</x:v>
      </x:c>
      <x:c r="AI526" s="55" t="n">
        <x:v>9753</x:v>
      </x:c>
      <x:c r="AJ526" s="55" t="n">
        <x:v>339</x:v>
      </x:c>
      <x:c r="AK526" s="55" t="n">
        <x:v>1029</x:v>
      </x:c>
      <x:c r="AL526" s="55" t="n">
        <x:v>1504</x:v>
      </x:c>
      <x:c r="AM526" s="55" t="n">
        <x:v>5289</x:v>
      </x:c>
      <x:c r="AN526" s="55" t="n">
        <x:v>1975</x:v>
      </x:c>
      <x:c r="AO526" s="55" t="n">
        <x:v>0</x:v>
      </x:c>
      <x:c r="AP526" s="55" t="n">
        <x:v>2068</x:v>
      </x:c>
      <x:c r="AQ526" s="55" t="n">
        <x:v>964</x:v>
      </x:c>
    </x:row>
    <x:row r="527">
      <x:c r="A527" s="54" t="str">
        <x:v>T0_TABLE_BLOCK</x:v>
      </x:c>
      <x:c r="B527" s="54" t="n">
        <x:v>521</x:v>
      </x:c>
      <x:c r="C527" s="54" t="str">
        <x:v>NYC-V2-R01</x:v>
      </x:c>
      <x:c r="D527" s="54" t="str">
        <x:v>V2</x:v>
      </x:c>
      <x:c r="E527" s="54" t="str">
        <x:v>ADMITTED</x:v>
      </x:c>
      <x:c r="F527" s="55" t="n">
        <x:v>30414</x:v>
      </x:c>
      <x:c r="G527" s="55" t="n">
        <x:v>6805</x:v>
      </x:c>
      <x:c r="H527" s="55" t="n">
        <x:v>3784</x:v>
      </x:c>
      <x:c r="I527" s="55" t="n">
        <x:v>1744</x:v>
      </x:c>
      <x:c r="J527" s="55" t="n">
        <x:v>107</x:v>
      </x:c>
      <x:c r="K527" s="55" t="n">
        <x:v>30414</x:v>
      </x:c>
      <x:c r="L527" s="55" t="n">
        <x:v>5779</x:v>
      </x:c>
      <x:c r="M527" s="55" t="n">
        <x:v>1311</x:v>
      </x:c>
      <x:c r="N527" s="55" t="n">
        <x:v>2301</x:v>
      </x:c>
      <x:c r="O527" s="55" t="n">
        <x:v>2167</x:v>
      </x:c>
      <x:c r="P527" s="55" t="n">
        <x:v>935</x:v>
      </x:c>
      <x:c r="Q527" s="55" t="n">
        <x:v>2119</x:v>
      </x:c>
      <x:c r="R527" s="55" t="n">
        <x:v>2016</x:v>
      </x:c>
      <x:c r="S527" s="55" t="n">
        <x:v>3329</x:v>
      </x:c>
      <x:c r="T527" s="55" t="n">
        <x:v>1143</x:v>
      </x:c>
      <x:c r="U527" s="55" t="n">
        <x:v>2303</x:v>
      </x:c>
      <x:c r="V527" s="55" t="n">
        <x:v>10381</x:v>
      </x:c>
      <x:c r="W527" s="55" t="n">
        <x:v>7346</x:v>
      </x:c>
      <x:c r="X527" s="55" t="n">
        <x:v>3035</x:v>
      </x:c>
      <x:c r="Y527" s="55" t="n">
        <x:v>2777</x:v>
      </x:c>
      <x:c r="Z527" s="55" t="n">
        <x:v>3821</x:v>
      </x:c>
      <x:c r="AA527" s="55" t="n">
        <x:v>3784</x:v>
      </x:c>
      <x:c r="AB527" s="55" t="n">
        <x:v>1083</x:v>
      </x:c>
      <x:c r="AC527" s="55" t="n">
        <x:v>7943</x:v>
      </x:c>
      <x:c r="AD527" s="55" t="n">
        <x:v>3030</x:v>
      </x:c>
      <x:c r="AE527" s="55" t="n">
        <x:v>10478</x:v>
      </x:c>
      <x:c r="AF527" s="55" t="n">
        <x:v>10381</x:v>
      </x:c>
      <x:c r="AG527" s="55" t="n">
        <x:v>97</x:v>
      </x:c>
      <x:c r="AH527" s="55" t="n">
        <x:v>269</x:v>
      </x:c>
      <x:c r="AI527" s="55" t="n">
        <x:v>10112</x:v>
      </x:c>
      <x:c r="AJ527" s="55" t="n">
        <x:v>210</x:v>
      </x:c>
      <x:c r="AK527" s="55" t="n">
        <x:v>699</x:v>
      </x:c>
      <x:c r="AL527" s="55" t="n">
        <x:v>2159</x:v>
      </x:c>
      <x:c r="AM527" s="55" t="n">
        <x:v>4812</x:v>
      </x:c>
      <x:c r="AN527" s="55" t="n">
        <x:v>2501</x:v>
      </x:c>
      <x:c r="AO527" s="55" t="n">
        <x:v>0</x:v>
      </x:c>
      <x:c r="AP527" s="55" t="n">
        <x:v>2084</x:v>
      </x:c>
      <x:c r="AQ527" s="55" t="n">
        <x:v>940</x:v>
      </x:c>
    </x:row>
    <x:row r="528">
      <x:c r="A528" s="54" t="str">
        <x:v>T0_TABLE_BLOCK</x:v>
      </x:c>
      <x:c r="B528" s="54" t="n">
        <x:v>522</x:v>
      </x:c>
      <x:c r="C528" s="54" t="str">
        <x:v>NYC-V2-R01</x:v>
      </x:c>
      <x:c r="D528" s="54" t="str">
        <x:v>V2</x:v>
      </x:c>
      <x:c r="E528" s="54" t="str">
        <x:v>ADMITTED</x:v>
      </x:c>
      <x:c r="F528" s="55" t="n">
        <x:v>31109</x:v>
      </x:c>
      <x:c r="G528" s="55" t="n">
        <x:v>8341</x:v>
      </x:c>
      <x:c r="H528" s="55" t="n">
        <x:v>3310</x:v>
      </x:c>
      <x:c r="I528" s="55" t="n">
        <x:v>1227</x:v>
      </x:c>
      <x:c r="J528" s="55" t="n">
        <x:v>207</x:v>
      </x:c>
      <x:c r="K528" s="55" t="n">
        <x:v>29747</x:v>
      </x:c>
      <x:c r="L528" s="55" t="n">
        <x:v>5699</x:v>
      </x:c>
      <x:c r="M528" s="55" t="n">
        <x:v>703</x:v>
      </x:c>
      <x:c r="N528" s="55" t="n">
        <x:v>2707</x:v>
      </x:c>
      <x:c r="O528" s="55" t="n">
        <x:v>2289</x:v>
      </x:c>
      <x:c r="P528" s="55" t="n">
        <x:v>778</x:v>
      </x:c>
      <x:c r="Q528" s="55" t="n">
        <x:v>1462</x:v>
      </x:c>
      <x:c r="R528" s="55" t="n">
        <x:v>1125</x:v>
      </x:c>
      <x:c r="S528" s="55" t="n">
        <x:v>3063</x:v>
      </x:c>
      <x:c r="T528" s="55" t="n">
        <x:v>968</x:v>
      </x:c>
      <x:c r="U528" s="55" t="n">
        <x:v>2046</x:v>
      </x:c>
      <x:c r="V528" s="55" t="n">
        <x:v>10622</x:v>
      </x:c>
      <x:c r="W528" s="55" t="n">
        <x:v>8162</x:v>
      </x:c>
      <x:c r="X528" s="55" t="n">
        <x:v>2460</x:v>
      </x:c>
      <x:c r="Y528" s="55" t="n">
        <x:v>2312</x:v>
      </x:c>
      <x:c r="Z528" s="55" t="n">
        <x:v>4124</x:v>
      </x:c>
      <x:c r="AA528" s="55" t="n">
        <x:v>3310</x:v>
      </x:c>
      <x:c r="AB528" s="55" t="n">
        <x:v>1080</x:v>
      </x:c>
      <x:c r="AC528" s="55" t="n">
        <x:v>7892</x:v>
      </x:c>
      <x:c r="AD528" s="55" t="n">
        <x:v>3229</x:v>
      </x:c>
      <x:c r="AE528" s="55" t="n">
        <x:v>10718</x:v>
      </x:c>
      <x:c r="AF528" s="55" t="n">
        <x:v>10622</x:v>
      </x:c>
      <x:c r="AG528" s="55" t="n">
        <x:v>96</x:v>
      </x:c>
      <x:c r="AH528" s="55" t="n">
        <x:v>353</x:v>
      </x:c>
      <x:c r="AI528" s="55" t="n">
        <x:v>10269</x:v>
      </x:c>
      <x:c r="AJ528" s="55" t="n">
        <x:v>319</x:v>
      </x:c>
      <x:c r="AK528" s="55" t="n">
        <x:v>792</x:v>
      </x:c>
      <x:c r="AL528" s="55" t="n">
        <x:v>1964</x:v>
      </x:c>
      <x:c r="AM528" s="55" t="n">
        <x:v>5049</x:v>
      </x:c>
      <x:c r="AN528" s="55" t="n">
        <x:v>2408</x:v>
      </x:c>
      <x:c r="AO528" s="55" t="n">
        <x:v>90</x:v>
      </x:c>
      <x:c r="AP528" s="55" t="n">
        <x:v>2457</x:v>
      </x:c>
      <x:c r="AQ528" s="55" t="n">
        <x:v>994</x:v>
      </x:c>
    </x:row>
    <x:row r="529">
      <x:c r="A529" s="54" t="str">
        <x:v>T0_TABLE_BLOCK</x:v>
      </x:c>
      <x:c r="B529" s="54" t="n">
        <x:v>523</x:v>
      </x:c>
      <x:c r="C529" s="54" t="str">
        <x:v>NYC-V2-R01</x:v>
      </x:c>
      <x:c r="D529" s="54" t="str">
        <x:v>V2</x:v>
      </x:c>
      <x:c r="E529" s="54" t="str">
        <x:v>ADMITTED</x:v>
      </x:c>
      <x:c r="F529" s="55" t="n">
        <x:v>34229</x:v>
      </x:c>
      <x:c r="G529" s="55" t="n">
        <x:v>9640</x:v>
      </x:c>
      <x:c r="H529" s="55" t="n">
        <x:v>3518</x:v>
      </x:c>
      <x:c r="I529" s="55" t="n">
        <x:v>1345</x:v>
      </x:c>
      <x:c r="J529" s="55" t="n">
        <x:v>341</x:v>
      </x:c>
      <x:c r="K529" s="55" t="n">
        <x:v>31773</x:v>
      </x:c>
      <x:c r="L529" s="55" t="n">
        <x:v>6973</x:v>
      </x:c>
      <x:c r="M529" s="55" t="n">
        <x:v>2407</x:v>
      </x:c>
      <x:c r="N529" s="55" t="n">
        <x:v>3234</x:v>
      </x:c>
      <x:c r="O529" s="55" t="n">
        <x:v>1332</x:v>
      </x:c>
      <x:c r="P529" s="55" t="n">
        <x:v>780</x:v>
      </x:c>
      <x:c r="Q529" s="55" t="n">
        <x:v>2831</x:v>
      </x:c>
      <x:c r="R529" s="55" t="n">
        <x:v>1597</x:v>
      </x:c>
      <x:c r="S529" s="55" t="n">
        <x:v>2756</x:v>
      </x:c>
      <x:c r="T529" s="55" t="n">
        <x:v>927</x:v>
      </x:c>
      <x:c r="U529" s="55" t="n">
        <x:v>2178</x:v>
      </x:c>
      <x:c r="V529" s="55" t="n">
        <x:v>9702</x:v>
      </x:c>
      <x:c r="W529" s="55" t="n">
        <x:v>6741</x:v>
      </x:c>
      <x:c r="X529" s="55" t="n">
        <x:v>2961</x:v>
      </x:c>
      <x:c r="Y529" s="55" t="n">
        <x:v>2475</x:v>
      </x:c>
      <x:c r="Z529" s="55" t="n">
        <x:v>3310</x:v>
      </x:c>
      <x:c r="AA529" s="55" t="n">
        <x:v>3001</x:v>
      </x:c>
      <x:c r="AB529" s="55" t="n">
        <x:v>876</x:v>
      </x:c>
      <x:c r="AC529" s="55" t="n">
        <x:v>8506</x:v>
      </x:c>
      <x:c r="AD529" s="55" t="n">
        <x:v>2690</x:v>
      </x:c>
      <x:c r="AE529" s="55" t="n">
        <x:v>9747</x:v>
      </x:c>
      <x:c r="AF529" s="55" t="n">
        <x:v>9702</x:v>
      </x:c>
      <x:c r="AG529" s="55" t="n">
        <x:v>45</x:v>
      </x:c>
      <x:c r="AH529" s="55" t="n">
        <x:v>363</x:v>
      </x:c>
      <x:c r="AI529" s="55" t="n">
        <x:v>9339</x:v>
      </x:c>
      <x:c r="AJ529" s="55" t="n">
        <x:v>257</x:v>
      </x:c>
      <x:c r="AK529" s="55" t="n">
        <x:v>751</x:v>
      </x:c>
      <x:c r="AL529" s="55" t="n">
        <x:v>1623</x:v>
      </x:c>
      <x:c r="AM529" s="55" t="n">
        <x:v>5287</x:v>
      </x:c>
      <x:c r="AN529" s="55" t="n">
        <x:v>1784</x:v>
      </x:c>
      <x:c r="AO529" s="55" t="n">
        <x:v>0</x:v>
      </x:c>
      <x:c r="AP529" s="55" t="n">
        <x:v>2446</x:v>
      </x:c>
      <x:c r="AQ529" s="55" t="n">
        <x:v>1039</x:v>
      </x:c>
    </x:row>
    <x:row r="530">
      <x:c r="A530" s="54" t="str">
        <x:v>T0_TABLE_BLOCK</x:v>
      </x:c>
      <x:c r="B530" s="54" t="n">
        <x:v>524</x:v>
      </x:c>
      <x:c r="C530" s="54" t="str">
        <x:v>NYC-V2-R01</x:v>
      </x:c>
      <x:c r="D530" s="54" t="str">
        <x:v>V2</x:v>
      </x:c>
      <x:c r="E530" s="54" t="str">
        <x:v>ADMITTED</x:v>
      </x:c>
      <x:c r="F530" s="55" t="n">
        <x:v>30901</x:v>
      </x:c>
      <x:c r="G530" s="55" t="n">
        <x:v>6463</x:v>
      </x:c>
      <x:c r="H530" s="55" t="n">
        <x:v>2854</x:v>
      </x:c>
      <x:c r="I530" s="55" t="n">
        <x:v>1263</x:v>
      </x:c>
      <x:c r="J530" s="55" t="n">
        <x:v>182</x:v>
      </x:c>
      <x:c r="K530" s="55" t="n">
        <x:v>30901</x:v>
      </x:c>
      <x:c r="L530" s="55" t="n">
        <x:v>7341</x:v>
      </x:c>
      <x:c r="M530" s="55" t="n">
        <x:v>2314</x:v>
      </x:c>
      <x:c r="N530" s="55" t="n">
        <x:v>3310</x:v>
      </x:c>
      <x:c r="O530" s="55" t="n">
        <x:v>1717</x:v>
      </x:c>
      <x:c r="P530" s="55" t="n">
        <x:v>436</x:v>
      </x:c>
      <x:c r="Q530" s="55" t="n">
        <x:v>2148</x:v>
      </x:c>
      <x:c r="R530" s="55" t="n">
        <x:v>1373</x:v>
      </x:c>
      <x:c r="S530" s="55" t="n">
        <x:v>3047</x:v>
      </x:c>
      <x:c r="T530" s="55" t="n">
        <x:v>879</x:v>
      </x:c>
      <x:c r="U530" s="55" t="n">
        <x:v>2068</x:v>
      </x:c>
      <x:c r="V530" s="55" t="n">
        <x:v>10771</x:v>
      </x:c>
      <x:c r="W530" s="55" t="n">
        <x:v>7915</x:v>
      </x:c>
      <x:c r="X530" s="55" t="n">
        <x:v>2856</x:v>
      </x:c>
      <x:c r="Y530" s="55" t="n">
        <x:v>2577</x:v>
      </x:c>
      <x:c r="Z530" s="55" t="n">
        <x:v>3554</x:v>
      </x:c>
      <x:c r="AA530" s="55" t="n">
        <x:v>2854</x:v>
      </x:c>
      <x:c r="AB530" s="55" t="n">
        <x:v>1119</x:v>
      </x:c>
      <x:c r="AC530" s="55" t="n">
        <x:v>7913</x:v>
      </x:c>
      <x:c r="AD530" s="55" t="n">
        <x:v>2379</x:v>
      </x:c>
      <x:c r="AE530" s="55" t="n">
        <x:v>10834</x:v>
      </x:c>
      <x:c r="AF530" s="55" t="n">
        <x:v>10771</x:v>
      </x:c>
      <x:c r="AG530" s="55" t="n">
        <x:v>63</x:v>
      </x:c>
      <x:c r="AH530" s="55" t="n">
        <x:v>230</x:v>
      </x:c>
      <x:c r="AI530" s="55" t="n">
        <x:v>10541</x:v>
      </x:c>
      <x:c r="AJ530" s="55" t="n">
        <x:v>495</x:v>
      </x:c>
      <x:c r="AK530" s="55" t="n">
        <x:v>849</x:v>
      </x:c>
      <x:c r="AL530" s="55" t="n">
        <x:v>1566</x:v>
      </x:c>
      <x:c r="AM530" s="55" t="n">
        <x:v>4741</x:v>
      </x:c>
      <x:c r="AN530" s="55" t="n">
        <x:v>2996</x:v>
      </x:c>
      <x:c r="AO530" s="55" t="n">
        <x:v>124</x:v>
      </x:c>
      <x:c r="AP530" s="55" t="n">
        <x:v>2492</x:v>
      </x:c>
      <x:c r="AQ530" s="55" t="n">
        <x:v>979</x:v>
      </x:c>
    </x:row>
    <x:row r="531">
      <x:c r="A531" s="54" t="str">
        <x:v>T0_TABLE_BLOCK</x:v>
      </x:c>
      <x:c r="B531" s="54" t="n">
        <x:v>525</x:v>
      </x:c>
      <x:c r="C531" s="54" t="str">
        <x:v>NYC-V2-R01</x:v>
      </x:c>
      <x:c r="D531" s="54" t="str">
        <x:v>V2</x:v>
      </x:c>
      <x:c r="E531" s="54" t="str">
        <x:v>ADMITTED</x:v>
      </x:c>
      <x:c r="F531" s="55" t="n">
        <x:v>28891</x:v>
      </x:c>
      <x:c r="G531" s="55" t="n">
        <x:v>6529</x:v>
      </x:c>
      <x:c r="H531" s="55" t="n">
        <x:v>3935</x:v>
      </x:c>
      <x:c r="I531" s="55" t="n">
        <x:v>2303</x:v>
      </x:c>
      <x:c r="J531" s="55" t="n">
        <x:v>254</x:v>
      </x:c>
      <x:c r="K531" s="55" t="n">
        <x:v>28891</x:v>
      </x:c>
      <x:c r="L531" s="55" t="n">
        <x:v>4785</x:v>
      </x:c>
      <x:c r="M531" s="55" t="n">
        <x:v>1099</x:v>
      </x:c>
      <x:c r="N531" s="55" t="n">
        <x:v>2445</x:v>
      </x:c>
      <x:c r="O531" s="55" t="n">
        <x:v>1241</x:v>
      </x:c>
      <x:c r="P531" s="55" t="n">
        <x:v>473</x:v>
      </x:c>
      <x:c r="Q531" s="55" t="n">
        <x:v>3003</x:v>
      </x:c>
      <x:c r="R531" s="55" t="n">
        <x:v>1962</x:v>
      </x:c>
      <x:c r="S531" s="55" t="n">
        <x:v>2726</x:v>
      </x:c>
      <x:c r="T531" s="55" t="n">
        <x:v>1200</x:v>
      </x:c>
      <x:c r="U531" s="55" t="n">
        <x:v>1843</x:v>
      </x:c>
      <x:c r="V531" s="55" t="n">
        <x:v>10642</x:v>
      </x:c>
      <x:c r="W531" s="55" t="n">
        <x:v>7629</x:v>
      </x:c>
      <x:c r="X531" s="55" t="n">
        <x:v>3013</x:v>
      </x:c>
      <x:c r="Y531" s="55" t="n">
        <x:v>2608</x:v>
      </x:c>
      <x:c r="Z531" s="55" t="n">
        <x:v>3633</x:v>
      </x:c>
      <x:c r="AA531" s="55" t="n">
        <x:v>2869</x:v>
      </x:c>
      <x:c r="AB531" s="55" t="n">
        <x:v>1066</x:v>
      </x:c>
      <x:c r="AC531" s="55" t="n">
        <x:v>7762</x:v>
      </x:c>
      <x:c r="AD531" s="55" t="n">
        <x:v>2646</x:v>
      </x:c>
      <x:c r="AE531" s="55" t="n">
        <x:v>10694</x:v>
      </x:c>
      <x:c r="AF531" s="55" t="n">
        <x:v>10642</x:v>
      </x:c>
      <x:c r="AG531" s="55" t="n">
        <x:v>52</x:v>
      </x:c>
      <x:c r="AH531" s="55" t="n">
        <x:v>609</x:v>
      </x:c>
      <x:c r="AI531" s="55" t="n">
        <x:v>10033</x:v>
      </x:c>
      <x:c r="AJ531" s="55" t="n">
        <x:v>343</x:v>
      </x:c>
      <x:c r="AK531" s="55" t="n">
        <x:v>896</x:v>
      </x:c>
      <x:c r="AL531" s="55" t="n">
        <x:v>1840</x:v>
      </x:c>
      <x:c r="AM531" s="55" t="n">
        <x:v>5060</x:v>
      </x:c>
      <x:c r="AN531" s="55" t="n">
        <x:v>2445</x:v>
      </x:c>
      <x:c r="AO531" s="55" t="n">
        <x:v>58</x:v>
      </x:c>
      <x:c r="AP531" s="55" t="n">
        <x:v>2259</x:v>
      </x:c>
      <x:c r="AQ531" s="55" t="n">
        <x:v>943</x:v>
      </x:c>
    </x:row>
    <x:row r="532">
      <x:c r="A532" s="54" t="str">
        <x:v>T0_TABLE_BLOCK</x:v>
      </x:c>
      <x:c r="B532" s="54" t="n">
        <x:v>526</x:v>
      </x:c>
      <x:c r="C532" s="54" t="str">
        <x:v>NYC-V2-R01</x:v>
      </x:c>
      <x:c r="D532" s="54" t="str">
        <x:v>V2</x:v>
      </x:c>
      <x:c r="E532" s="54" t="str">
        <x:v>ADMITTED</x:v>
      </x:c>
      <x:c r="F532" s="55" t="n">
        <x:v>32230</x:v>
      </x:c>
      <x:c r="G532" s="55" t="n">
        <x:v>8283</x:v>
      </x:c>
      <x:c r="H532" s="55" t="n">
        <x:v>3134</x:v>
      </x:c>
      <x:c r="I532" s="55" t="n">
        <x:v>1149</x:v>
      </x:c>
      <x:c r="J532" s="55" t="n">
        <x:v>181</x:v>
      </x:c>
      <x:c r="K532" s="55" t="n">
        <x:v>32230</x:v>
      </x:c>
      <x:c r="L532" s="55" t="n">
        <x:v>5903</x:v>
      </x:c>
      <x:c r="M532" s="55" t="n">
        <x:v>1832</x:v>
      </x:c>
      <x:c r="N532" s="55" t="n">
        <x:v>2441</x:v>
      </x:c>
      <x:c r="O532" s="55" t="n">
        <x:v>1630</x:v>
      </x:c>
      <x:c r="P532" s="55" t="n">
        <x:v>671</x:v>
      </x:c>
      <x:c r="Q532" s="55" t="n">
        <x:v>2620</x:v>
      </x:c>
      <x:c r="R532" s="55" t="n">
        <x:v>1817</x:v>
      </x:c>
      <x:c r="S532" s="55" t="n">
        <x:v>3239</x:v>
      </x:c>
      <x:c r="T532" s="55" t="n">
        <x:v>1107</x:v>
      </x:c>
      <x:c r="U532" s="55" t="n">
        <x:v>1870</x:v>
      </x:c>
      <x:c r="V532" s="55" t="n">
        <x:v>10576</x:v>
      </x:c>
      <x:c r="W532" s="55" t="n">
        <x:v>7524</x:v>
      </x:c>
      <x:c r="X532" s="55" t="n">
        <x:v>3052</x:v>
      </x:c>
      <x:c r="Y532" s="55" t="n">
        <x:v>2439</x:v>
      </x:c>
      <x:c r="Z532" s="55" t="n">
        <x:v>3037</x:v>
      </x:c>
      <x:c r="AA532" s="55" t="n">
        <x:v>3082</x:v>
      </x:c>
      <x:c r="AB532" s="55" t="n">
        <x:v>982</x:v>
      </x:c>
      <x:c r="AC532" s="55" t="n">
        <x:v>8160</x:v>
      </x:c>
      <x:c r="AD532" s="55" t="n">
        <x:v>3511</x:v>
      </x:c>
      <x:c r="AE532" s="55" t="n">
        <x:v>10670</x:v>
      </x:c>
      <x:c r="AF532" s="55" t="n">
        <x:v>10576</x:v>
      </x:c>
      <x:c r="AG532" s="55" t="n">
        <x:v>94</x:v>
      </x:c>
      <x:c r="AH532" s="55" t="n">
        <x:v>676</x:v>
      </x:c>
      <x:c r="AI532" s="55" t="n">
        <x:v>9900</x:v>
      </x:c>
      <x:c r="AJ532" s="55" t="n">
        <x:v>479</x:v>
      </x:c>
      <x:c r="AK532" s="55" t="n">
        <x:v>1154</x:v>
      </x:c>
      <x:c r="AL532" s="55" t="n">
        <x:v>1917</x:v>
      </x:c>
      <x:c r="AM532" s="55" t="n">
        <x:v>4236</x:v>
      </x:c>
      <x:c r="AN532" s="55" t="n">
        <x:v>2734</x:v>
      </x:c>
      <x:c r="AO532" s="55" t="n">
        <x:v>56</x:v>
      </x:c>
      <x:c r="AP532" s="55" t="n">
        <x:v>2002</x:v>
      </x:c>
      <x:c r="AQ532" s="55" t="n">
        <x:v>955</x:v>
      </x:c>
    </x:row>
    <x:row r="533">
      <x:c r="A533" s="54" t="str">
        <x:v>T0_TABLE_BLOCK</x:v>
      </x:c>
      <x:c r="B533" s="54" t="n">
        <x:v>527</x:v>
      </x:c>
      <x:c r="C533" s="54" t="str">
        <x:v>NYC-V2-R01</x:v>
      </x:c>
      <x:c r="D533" s="54" t="str">
        <x:v>V2</x:v>
      </x:c>
      <x:c r="E533" s="54" t="str">
        <x:v>ADMITTED</x:v>
      </x:c>
      <x:c r="F533" s="55" t="n">
        <x:v>31239</x:v>
      </x:c>
      <x:c r="G533" s="55" t="n">
        <x:v>7815</x:v>
      </x:c>
      <x:c r="H533" s="55" t="n">
        <x:v>3206</x:v>
      </x:c>
      <x:c r="I533" s="55" t="n">
        <x:v>1037</x:v>
      </x:c>
      <x:c r="J533" s="55" t="n">
        <x:v>174</x:v>
      </x:c>
      <x:c r="K533" s="55" t="n">
        <x:v>31239</x:v>
      </x:c>
      <x:c r="L533" s="55" t="n">
        <x:v>6671</x:v>
      </x:c>
      <x:c r="M533" s="55" t="n">
        <x:v>1699</x:v>
      </x:c>
      <x:c r="N533" s="55" t="n">
        <x:v>3082</x:v>
      </x:c>
      <x:c r="O533" s="55" t="n">
        <x:v>1890</x:v>
      </x:c>
      <x:c r="P533" s="55" t="n">
        <x:v>801</x:v>
      </x:c>
      <x:c r="Q533" s="55" t="n">
        <x:v>1751</x:v>
      </x:c>
      <x:c r="R533" s="55" t="n">
        <x:v>2531</x:v>
      </x:c>
      <x:c r="S533" s="55" t="n">
        <x:v>2852</x:v>
      </x:c>
      <x:c r="T533" s="55" t="n">
        <x:v>1244</x:v>
      </x:c>
      <x:c r="U533" s="55" t="n">
        <x:v>1925</x:v>
      </x:c>
      <x:c r="V533" s="55" t="n">
        <x:v>9943</x:v>
      </x:c>
      <x:c r="W533" s="55" t="n">
        <x:v>6930</x:v>
      </x:c>
      <x:c r="X533" s="55" t="n">
        <x:v>3013</x:v>
      </x:c>
      <x:c r="Y533" s="55" t="n">
        <x:v>2572</x:v>
      </x:c>
      <x:c r="Z533" s="55" t="n">
        <x:v>3439</x:v>
      </x:c>
      <x:c r="AA533" s="55" t="n">
        <x:v>3206</x:v>
      </x:c>
      <x:c r="AB533" s="55" t="n">
        <x:v>1222</x:v>
      </x:c>
      <x:c r="AC533" s="55" t="n">
        <x:v>8474</x:v>
      </x:c>
      <x:c r="AD533" s="55" t="n">
        <x:v>2509</x:v>
      </x:c>
      <x:c r="AE533" s="55" t="n">
        <x:v>10034</x:v>
      </x:c>
      <x:c r="AF533" s="55" t="n">
        <x:v>9943</x:v>
      </x:c>
      <x:c r="AG533" s="55" t="n">
        <x:v>91</x:v>
      </x:c>
      <x:c r="AH533" s="55" t="n">
        <x:v>683</x:v>
      </x:c>
      <x:c r="AI533" s="55" t="n">
        <x:v>9260</x:v>
      </x:c>
      <x:c r="AJ533" s="55" t="n">
        <x:v>405</x:v>
      </x:c>
      <x:c r="AK533" s="55" t="n">
        <x:v>1073</x:v>
      </x:c>
      <x:c r="AL533" s="55" t="n">
        <x:v>1236</x:v>
      </x:c>
      <x:c r="AM533" s="55" t="n">
        <x:v>4266</x:v>
      </x:c>
      <x:c r="AN533" s="55" t="n">
        <x:v>2915</x:v>
      </x:c>
      <x:c r="AO533" s="55" t="n">
        <x:v>48</x:v>
      </x:c>
      <x:c r="AP533" s="55" t="n">
        <x:v>2231</x:v>
      </x:c>
      <x:c r="AQ533" s="55" t="n">
        <x:v>952</x:v>
      </x:c>
    </x:row>
    <x:row r="534">
      <x:c r="A534" s="54" t="str">
        <x:v>T0_TABLE_BLOCK</x:v>
      </x:c>
      <x:c r="B534" s="54" t="n">
        <x:v>528</x:v>
      </x:c>
      <x:c r="C534" s="54" t="str">
        <x:v>NYC-V2-R01</x:v>
      </x:c>
      <x:c r="D534" s="54" t="str">
        <x:v>V2</x:v>
      </x:c>
      <x:c r="E534" s="54" t="str">
        <x:v>ADMITTED</x:v>
      </x:c>
      <x:c r="F534" s="55" t="n">
        <x:v>33355</x:v>
      </x:c>
      <x:c r="G534" s="55" t="n">
        <x:v>8023</x:v>
      </x:c>
      <x:c r="H534" s="55" t="n">
        <x:v>3144</x:v>
      </x:c>
      <x:c r="I534" s="55" t="n">
        <x:v>1317</x:v>
      </x:c>
      <x:c r="J534" s="55" t="n">
        <x:v>415</x:v>
      </x:c>
      <x:c r="K534" s="55" t="n">
        <x:v>29802</x:v>
      </x:c>
      <x:c r="L534" s="55" t="n">
        <x:v>5855</x:v>
      </x:c>
      <x:c r="M534" s="55" t="n">
        <x:v>1045</x:v>
      </x:c>
      <x:c r="N534" s="55" t="n">
        <x:v>2701</x:v>
      </x:c>
      <x:c r="O534" s="55" t="n">
        <x:v>2109</x:v>
      </x:c>
      <x:c r="P534" s="55" t="n">
        <x:v>500</x:v>
      </x:c>
      <x:c r="Q534" s="55" t="n">
        <x:v>1944</x:v>
      </x:c>
      <x:c r="R534" s="55" t="n">
        <x:v>2430</x:v>
      </x:c>
      <x:c r="S534" s="55" t="n">
        <x:v>3275</x:v>
      </x:c>
      <x:c r="T534" s="55" t="n">
        <x:v>1100</x:v>
      </x:c>
      <x:c r="U534" s="55" t="n">
        <x:v>1992</x:v>
      </x:c>
      <x:c r="V534" s="55" t="n">
        <x:v>10231</x:v>
      </x:c>
      <x:c r="W534" s="55" t="n">
        <x:v>7469</x:v>
      </x:c>
      <x:c r="X534" s="55" t="n">
        <x:v>2762</x:v>
      </x:c>
      <x:c r="Y534" s="55" t="n">
        <x:v>2354</x:v>
      </x:c>
      <x:c r="Z534" s="55" t="n">
        <x:v>4316</x:v>
      </x:c>
      <x:c r="AA534" s="55" t="n">
        <x:v>2590</x:v>
      </x:c>
      <x:c r="AB534" s="55" t="n">
        <x:v>1138</x:v>
      </x:c>
      <x:c r="AC534" s="55" t="n">
        <x:v>8434</x:v>
      </x:c>
      <x:c r="AD534" s="55" t="n">
        <x:v>2599</x:v>
      </x:c>
      <x:c r="AE534" s="55" t="n">
        <x:v>10323</x:v>
      </x:c>
      <x:c r="AF534" s="55" t="n">
        <x:v>10231</x:v>
      </x:c>
      <x:c r="AG534" s="55" t="n">
        <x:v>92</x:v>
      </x:c>
      <x:c r="AH534" s="55" t="n">
        <x:v>391</x:v>
      </x:c>
      <x:c r="AI534" s="55" t="n">
        <x:v>9840</x:v>
      </x:c>
      <x:c r="AJ534" s="55" t="n">
        <x:v>344</x:v>
      </x:c>
      <x:c r="AK534" s="55" t="n">
        <x:v>1035</x:v>
      </x:c>
      <x:c r="AL534" s="55" t="n">
        <x:v>1049</x:v>
      </x:c>
      <x:c r="AM534" s="55" t="n">
        <x:v>5016</x:v>
      </x:c>
      <x:c r="AN534" s="55" t="n">
        <x:v>2760</x:v>
      </x:c>
      <x:c r="AO534" s="55" t="n">
        <x:v>27</x:v>
      </x:c>
      <x:c r="AP534" s="55" t="n">
        <x:v>2426</x:v>
      </x:c>
      <x:c r="AQ534" s="55" t="n">
        <x:v>1011</x:v>
      </x:c>
    </x:row>
    <x:row r="535">
      <x:c r="A535" s="54" t="str">
        <x:v>T0_TABLE_BLOCK</x:v>
      </x:c>
      <x:c r="B535" s="54" t="n">
        <x:v>529</x:v>
      </x:c>
      <x:c r="C535" s="54" t="str">
        <x:v>NYC-V2-R01</x:v>
      </x:c>
      <x:c r="D535" s="54" t="str">
        <x:v>V2</x:v>
      </x:c>
      <x:c r="E535" s="54" t="str">
        <x:v>ADMITTED</x:v>
      </x:c>
      <x:c r="F535" s="55" t="n">
        <x:v>31082</x:v>
      </x:c>
      <x:c r="G535" s="55" t="n">
        <x:v>7924</x:v>
      </x:c>
      <x:c r="H535" s="55" t="n">
        <x:v>3078</x:v>
      </x:c>
      <x:c r="I535" s="55" t="n">
        <x:v>1042</x:v>
      </x:c>
      <x:c r="J535" s="55" t="n">
        <x:v>124</x:v>
      </x:c>
      <x:c r="K535" s="55" t="n">
        <x:v>29366</x:v>
      </x:c>
      <x:c r="L535" s="55" t="n">
        <x:v>5073</x:v>
      </x:c>
      <x:c r="M535" s="55" t="n">
        <x:v>0</x:v>
      </x:c>
      <x:c r="N535" s="55" t="n">
        <x:v>3185</x:v>
      </x:c>
      <x:c r="O535" s="55" t="n">
        <x:v>1888</x:v>
      </x:c>
      <x:c r="P535" s="55" t="n">
        <x:v>973</x:v>
      </x:c>
      <x:c r="Q535" s="55" t="n">
        <x:v>3182</x:v>
      </x:c>
      <x:c r="R535" s="55" t="n">
        <x:v>1777</x:v>
      </x:c>
      <x:c r="S535" s="55" t="n">
        <x:v>1753</x:v>
      </x:c>
      <x:c r="T535" s="55" t="n">
        <x:v>1504</x:v>
      </x:c>
      <x:c r="U535" s="55" t="n">
        <x:v>2503</x:v>
      </x:c>
      <x:c r="V535" s="55" t="n">
        <x:v>10791</x:v>
      </x:c>
      <x:c r="W535" s="55" t="n">
        <x:v>7647</x:v>
      </x:c>
      <x:c r="X535" s="55" t="n">
        <x:v>3144</x:v>
      </x:c>
      <x:c r="Y535" s="55" t="n">
        <x:v>2660</x:v>
      </x:c>
      <x:c r="Z535" s="55" t="n">
        <x:v>3277</x:v>
      </x:c>
      <x:c r="AA535" s="55" t="n">
        <x:v>3078</x:v>
      </x:c>
      <x:c r="AB535" s="55" t="n">
        <x:v>995</x:v>
      </x:c>
      <x:c r="AC535" s="55" t="n">
        <x:v>8495</x:v>
      </x:c>
      <x:c r="AD535" s="55" t="n">
        <x:v>3275</x:v>
      </x:c>
      <x:c r="AE535" s="55" t="n">
        <x:v>10901</x:v>
      </x:c>
      <x:c r="AF535" s="55" t="n">
        <x:v>10791</x:v>
      </x:c>
      <x:c r="AG535" s="55" t="n">
        <x:v>110</x:v>
      </x:c>
      <x:c r="AH535" s="55" t="n">
        <x:v>449</x:v>
      </x:c>
      <x:c r="AI535" s="55" t="n">
        <x:v>10342</x:v>
      </x:c>
      <x:c r="AJ535" s="55" t="n">
        <x:v>120</x:v>
      </x:c>
      <x:c r="AK535" s="55" t="n">
        <x:v>1062</x:v>
      </x:c>
      <x:c r="AL535" s="55" t="n">
        <x:v>1415</x:v>
      </x:c>
      <x:c r="AM535" s="55" t="n">
        <x:v>5224</x:v>
      </x:c>
      <x:c r="AN535" s="55" t="n">
        <x:v>2885</x:v>
      </x:c>
      <x:c r="AO535" s="55" t="n">
        <x:v>85</x:v>
      </x:c>
      <x:c r="AP535" s="55" t="n">
        <x:v>2461</x:v>
      </x:c>
      <x:c r="AQ535" s="55" t="n">
        <x:v>963</x:v>
      </x:c>
    </x:row>
    <x:row r="536">
      <x:c r="A536" s="54" t="str">
        <x:v>T0_TABLE_BLOCK</x:v>
      </x:c>
      <x:c r="B536" s="54" t="n">
        <x:v>530</x:v>
      </x:c>
      <x:c r="C536" s="54" t="str">
        <x:v>NYC-V2-R01</x:v>
      </x:c>
      <x:c r="D536" s="54" t="str">
        <x:v>V2</x:v>
      </x:c>
      <x:c r="E536" s="54" t="str">
        <x:v>ADMITTED</x:v>
      </x:c>
      <x:c r="F536" s="55" t="n">
        <x:v>32221</x:v>
      </x:c>
      <x:c r="G536" s="55" t="n">
        <x:v>7084</x:v>
      </x:c>
      <x:c r="H536" s="55" t="n">
        <x:v>3245</x:v>
      </x:c>
      <x:c r="I536" s="55" t="n">
        <x:v>1427</x:v>
      </x:c>
      <x:c r="J536" s="55" t="n">
        <x:v>67</x:v>
      </x:c>
      <x:c r="K536" s="55" t="n">
        <x:v>32221</x:v>
      </x:c>
      <x:c r="L536" s="55" t="n">
        <x:v>5599</x:v>
      </x:c>
      <x:c r="M536" s="55" t="n">
        <x:v>1125</x:v>
      </x:c>
      <x:c r="N536" s="55" t="n">
        <x:v>2683</x:v>
      </x:c>
      <x:c r="O536" s="55" t="n">
        <x:v>1791</x:v>
      </x:c>
      <x:c r="P536" s="55" t="n">
        <x:v>683</x:v>
      </x:c>
      <x:c r="Q536" s="55" t="n">
        <x:v>2048</x:v>
      </x:c>
      <x:c r="R536" s="55" t="n">
        <x:v>1965</x:v>
      </x:c>
      <x:c r="S536" s="55" t="n">
        <x:v>2399</x:v>
      </x:c>
      <x:c r="T536" s="55" t="n">
        <x:v>1322</x:v>
      </x:c>
      <x:c r="U536" s="55" t="n">
        <x:v>2511</x:v>
      </x:c>
      <x:c r="V536" s="55" t="n">
        <x:v>10154</x:v>
      </x:c>
      <x:c r="W536" s="55" t="n">
        <x:v>7370</x:v>
      </x:c>
      <x:c r="X536" s="55" t="n">
        <x:v>2784</x:v>
      </x:c>
      <x:c r="Y536" s="55" t="n">
        <x:v>2475</x:v>
      </x:c>
      <x:c r="Z536" s="55" t="n">
        <x:v>3500</x:v>
      </x:c>
      <x:c r="AA536" s="55" t="n">
        <x:v>2624</x:v>
      </x:c>
      <x:c r="AB536" s="55" t="n">
        <x:v>1230</x:v>
      </x:c>
      <x:c r="AC536" s="55" t="n">
        <x:v>8111</x:v>
      </x:c>
      <x:c r="AD536" s="55" t="n">
        <x:v>2545</x:v>
      </x:c>
      <x:c r="AE536" s="55" t="n">
        <x:v>10233</x:v>
      </x:c>
      <x:c r="AF536" s="55" t="n">
        <x:v>10154</x:v>
      </x:c>
      <x:c r="AG536" s="55" t="n">
        <x:v>79</x:v>
      </x:c>
      <x:c r="AH536" s="55" t="n">
        <x:v>373</x:v>
      </x:c>
      <x:c r="AI536" s="55" t="n">
        <x:v>9781</x:v>
      </x:c>
      <x:c r="AJ536" s="55" t="n">
        <x:v>422</x:v>
      </x:c>
      <x:c r="AK536" s="55" t="n">
        <x:v>443</x:v>
      </x:c>
      <x:c r="AL536" s="55" t="n">
        <x:v>1805</x:v>
      </x:c>
      <x:c r="AM536" s="55" t="n">
        <x:v>4619</x:v>
      </x:c>
      <x:c r="AN536" s="55" t="n">
        <x:v>2865</x:v>
      </x:c>
      <x:c r="AO536" s="55" t="n">
        <x:v>0</x:v>
      </x:c>
      <x:c r="AP536" s="55" t="n">
        <x:v>2698</x:v>
      </x:c>
      <x:c r="AQ536" s="55" t="n">
        <x:v>918</x:v>
      </x:c>
    </x:row>
    <x:row r="537">
      <x:c r="A537" s="54" t="str">
        <x:v>T0_TABLE_BLOCK</x:v>
      </x:c>
      <x:c r="B537" s="54" t="n">
        <x:v>531</x:v>
      </x:c>
      <x:c r="C537" s="54" t="str">
        <x:v>NYC-V2-R01</x:v>
      </x:c>
      <x:c r="D537" s="54" t="str">
        <x:v>V2</x:v>
      </x:c>
      <x:c r="E537" s="54" t="str">
        <x:v>ADMITTED</x:v>
      </x:c>
      <x:c r="F537" s="55" t="n">
        <x:v>31476</x:v>
      </x:c>
      <x:c r="G537" s="55" t="n">
        <x:v>7564</x:v>
      </x:c>
      <x:c r="H537" s="55" t="n">
        <x:v>3073</x:v>
      </x:c>
      <x:c r="I537" s="55" t="n">
        <x:v>1289</x:v>
      </x:c>
      <x:c r="J537" s="55" t="n">
        <x:v>185</x:v>
      </x:c>
      <x:c r="K537" s="55" t="n">
        <x:v>31476</x:v>
      </x:c>
      <x:c r="L537" s="55" t="n">
        <x:v>5166</x:v>
      </x:c>
      <x:c r="M537" s="55" t="n">
        <x:v>806</x:v>
      </x:c>
      <x:c r="N537" s="55" t="n">
        <x:v>2381</x:v>
      </x:c>
      <x:c r="O537" s="55" t="n">
        <x:v>1979</x:v>
      </x:c>
      <x:c r="P537" s="55" t="n">
        <x:v>698</x:v>
      </x:c>
      <x:c r="Q537" s="55" t="n">
        <x:v>2263</x:v>
      </x:c>
      <x:c r="R537" s="55" t="n">
        <x:v>2253</x:v>
      </x:c>
      <x:c r="S537" s="55" t="n">
        <x:v>2796</x:v>
      </x:c>
      <x:c r="T537" s="55" t="n">
        <x:v>697</x:v>
      </x:c>
      <x:c r="U537" s="55" t="n">
        <x:v>2110</x:v>
      </x:c>
      <x:c r="V537" s="55" t="n">
        <x:v>10226</x:v>
      </x:c>
      <x:c r="W537" s="55" t="n">
        <x:v>7068</x:v>
      </x:c>
      <x:c r="X537" s="55" t="n">
        <x:v>3158</x:v>
      </x:c>
      <x:c r="Y537" s="55" t="n">
        <x:v>2766</x:v>
      </x:c>
      <x:c r="Z537" s="55" t="n">
        <x:v>3935</x:v>
      </x:c>
      <x:c r="AA537" s="55" t="n">
        <x:v>2985</x:v>
      </x:c>
      <x:c r="AB537" s="55" t="n">
        <x:v>951</x:v>
      </x:c>
      <x:c r="AC537" s="55" t="n">
        <x:v>8135</x:v>
      </x:c>
      <x:c r="AD537" s="55" t="n">
        <x:v>2428</x:v>
      </x:c>
      <x:c r="AE537" s="55" t="n">
        <x:v>10370</x:v>
      </x:c>
      <x:c r="AF537" s="55" t="n">
        <x:v>10226</x:v>
      </x:c>
      <x:c r="AG537" s="55" t="n">
        <x:v>144</x:v>
      </x:c>
      <x:c r="AH537" s="55" t="n">
        <x:v>577</x:v>
      </x:c>
      <x:c r="AI537" s="55" t="n">
        <x:v>9649</x:v>
      </x:c>
      <x:c r="AJ537" s="55" t="n">
        <x:v>233</x:v>
      </x:c>
      <x:c r="AK537" s="55" t="n">
        <x:v>1083</x:v>
      </x:c>
      <x:c r="AL537" s="55" t="n">
        <x:v>1681</x:v>
      </x:c>
      <x:c r="AM537" s="55" t="n">
        <x:v>5101</x:v>
      </x:c>
      <x:c r="AN537" s="55" t="n">
        <x:v>2049</x:v>
      </x:c>
      <x:c r="AO537" s="55" t="n">
        <x:v>79</x:v>
      </x:c>
      <x:c r="AP537" s="55" t="n">
        <x:v>2026</x:v>
      </x:c>
      <x:c r="AQ537" s="55" t="n">
        <x:v>902</x:v>
      </x:c>
    </x:row>
    <x:row r="538">
      <x:c r="A538" s="54" t="str">
        <x:v>T0_TABLE_BLOCK</x:v>
      </x:c>
      <x:c r="B538" s="54" t="n">
        <x:v>532</x:v>
      </x:c>
      <x:c r="C538" s="54" t="str">
        <x:v>NYC-V2-R01</x:v>
      </x:c>
      <x:c r="D538" s="54" t="str">
        <x:v>V2</x:v>
      </x:c>
      <x:c r="E538" s="54" t="str">
        <x:v>ADMITTED</x:v>
      </x:c>
      <x:c r="F538" s="55" t="n">
        <x:v>31420</x:v>
      </x:c>
      <x:c r="G538" s="55" t="n">
        <x:v>7791</x:v>
      </x:c>
      <x:c r="H538" s="55" t="n">
        <x:v>3153</x:v>
      </x:c>
      <x:c r="I538" s="55" t="n">
        <x:v>1120</x:v>
      </x:c>
      <x:c r="J538" s="55" t="n">
        <x:v>136</x:v>
      </x:c>
      <x:c r="K538" s="55" t="n">
        <x:v>31070</x:v>
      </x:c>
      <x:c r="L538" s="55" t="n">
        <x:v>4997</x:v>
      </x:c>
      <x:c r="M538" s="55" t="n">
        <x:v>524</x:v>
      </x:c>
      <x:c r="N538" s="55" t="n">
        <x:v>2660</x:v>
      </x:c>
      <x:c r="O538" s="55" t="n">
        <x:v>1813</x:v>
      </x:c>
      <x:c r="P538" s="55" t="n">
        <x:v>623</x:v>
      </x:c>
      <x:c r="Q538" s="55" t="n">
        <x:v>2087</x:v>
      </x:c>
      <x:c r="R538" s="55" t="n">
        <x:v>1298</x:v>
      </x:c>
      <x:c r="S538" s="55" t="n">
        <x:v>2804</x:v>
      </x:c>
      <x:c r="T538" s="55" t="n">
        <x:v>1348</x:v>
      </x:c>
      <x:c r="U538" s="55" t="n">
        <x:v>1998</x:v>
      </x:c>
      <x:c r="V538" s="55" t="n">
        <x:v>10528</x:v>
      </x:c>
      <x:c r="W538" s="55" t="n">
        <x:v>7350</x:v>
      </x:c>
      <x:c r="X538" s="55" t="n">
        <x:v>3178</x:v>
      </x:c>
      <x:c r="Y538" s="55" t="n">
        <x:v>2579</x:v>
      </x:c>
      <x:c r="Z538" s="55" t="n">
        <x:v>3585</x:v>
      </x:c>
      <x:c r="AA538" s="55" t="n">
        <x:v>2992</x:v>
      </x:c>
      <x:c r="AB538" s="55" t="n">
        <x:v>842</x:v>
      </x:c>
      <x:c r="AC538" s="55" t="n">
        <x:v>7605</x:v>
      </x:c>
      <x:c r="AD538" s="55" t="n">
        <x:v>2736</x:v>
      </x:c>
      <x:c r="AE538" s="55" t="n">
        <x:v>10665</x:v>
      </x:c>
      <x:c r="AF538" s="55" t="n">
        <x:v>10528</x:v>
      </x:c>
      <x:c r="AG538" s="55" t="n">
        <x:v>137</x:v>
      </x:c>
      <x:c r="AH538" s="55" t="n">
        <x:v>178</x:v>
      </x:c>
      <x:c r="AI538" s="55" t="n">
        <x:v>10350</x:v>
      </x:c>
      <x:c r="AJ538" s="55" t="n">
        <x:v>291</x:v>
      </x:c>
      <x:c r="AK538" s="55" t="n">
        <x:v>788</x:v>
      </x:c>
      <x:c r="AL538" s="55" t="n">
        <x:v>1566</x:v>
      </x:c>
      <x:c r="AM538" s="55" t="n">
        <x:v>5272</x:v>
      </x:c>
      <x:c r="AN538" s="55" t="n">
        <x:v>2565</x:v>
      </x:c>
      <x:c r="AO538" s="55" t="n">
        <x:v>46</x:v>
      </x:c>
      <x:c r="AP538" s="55" t="n">
        <x:v>2452</x:v>
      </x:c>
      <x:c r="AQ538" s="55" t="n">
        <x:v>901</x:v>
      </x:c>
    </x:row>
    <x:row r="539">
      <x:c r="A539" s="54" t="str">
        <x:v>T0_TABLE_BLOCK</x:v>
      </x:c>
      <x:c r="B539" s="54" t="n">
        <x:v>533</x:v>
      </x:c>
      <x:c r="C539" s="54" t="str">
        <x:v>NYC-V2-R01</x:v>
      </x:c>
      <x:c r="D539" s="54" t="str">
        <x:v>V2</x:v>
      </x:c>
      <x:c r="E539" s="54" t="str">
        <x:v>ADMITTED</x:v>
      </x:c>
      <x:c r="F539" s="55" t="n">
        <x:v>31154</x:v>
      </x:c>
      <x:c r="G539" s="55" t="n">
        <x:v>8228</x:v>
      </x:c>
      <x:c r="H539" s="55" t="n">
        <x:v>2932</x:v>
      </x:c>
      <x:c r="I539" s="55" t="n">
        <x:v>1086</x:v>
      </x:c>
      <x:c r="J539" s="55" t="n">
        <x:v>97</x:v>
      </x:c>
      <x:c r="K539" s="55" t="n">
        <x:v>31154</x:v>
      </x:c>
      <x:c r="L539" s="55" t="n">
        <x:v>7114</x:v>
      </x:c>
      <x:c r="M539" s="55" t="n">
        <x:v>1716</x:v>
      </x:c>
      <x:c r="N539" s="55" t="n">
        <x:v>3266</x:v>
      </x:c>
      <x:c r="O539" s="55" t="n">
        <x:v>2132</x:v>
      </x:c>
      <x:c r="P539" s="55" t="n">
        <x:v>691</x:v>
      </x:c>
      <x:c r="Q539" s="55" t="n">
        <x:v>2106</x:v>
      </x:c>
      <x:c r="R539" s="55" t="n">
        <x:v>1651</x:v>
      </x:c>
      <x:c r="S539" s="55" t="n">
        <x:v>2469</x:v>
      </x:c>
      <x:c r="T539" s="55" t="n">
        <x:v>1135</x:v>
      </x:c>
      <x:c r="U539" s="55" t="n">
        <x:v>1880</x:v>
      </x:c>
      <x:c r="V539" s="55" t="n">
        <x:v>10799</x:v>
      </x:c>
      <x:c r="W539" s="55" t="n">
        <x:v>8015</x:v>
      </x:c>
      <x:c r="X539" s="55" t="n">
        <x:v>2784</x:v>
      </x:c>
      <x:c r="Y539" s="55" t="n">
        <x:v>2408</x:v>
      </x:c>
      <x:c r="Z539" s="55" t="n">
        <x:v>4027</x:v>
      </x:c>
      <x:c r="AA539" s="55" t="n">
        <x:v>2932</x:v>
      </x:c>
      <x:c r="AB539" s="55" t="n">
        <x:v>991</x:v>
      </x:c>
      <x:c r="AC539" s="55" t="n">
        <x:v>7459</x:v>
      </x:c>
      <x:c r="AD539" s="55" t="n">
        <x:v>2252</x:v>
      </x:c>
      <x:c r="AE539" s="55" t="n">
        <x:v>10841</x:v>
      </x:c>
      <x:c r="AF539" s="55" t="n">
        <x:v>10799</x:v>
      </x:c>
      <x:c r="AG539" s="55" t="n">
        <x:v>42</x:v>
      </x:c>
      <x:c r="AH539" s="55" t="n">
        <x:v>446</x:v>
      </x:c>
      <x:c r="AI539" s="55" t="n">
        <x:v>10353</x:v>
      </x:c>
      <x:c r="AJ539" s="55" t="n">
        <x:v>501</x:v>
      </x:c>
      <x:c r="AK539" s="55" t="n">
        <x:v>1349</x:v>
      </x:c>
      <x:c r="AL539" s="55" t="n">
        <x:v>1788</x:v>
      </x:c>
      <x:c r="AM539" s="55" t="n">
        <x:v>4493</x:v>
      </x:c>
      <x:c r="AN539" s="55" t="n">
        <x:v>2663</x:v>
      </x:c>
      <x:c r="AO539" s="55" t="n">
        <x:v>5</x:v>
      </x:c>
      <x:c r="AP539" s="55" t="n">
        <x:v>2246</x:v>
      </x:c>
      <x:c r="AQ539" s="55" t="n">
        <x:v>948</x:v>
      </x:c>
    </x:row>
    <x:row r="540">
      <x:c r="A540" s="54" t="str">
        <x:v>T0_TABLE_BLOCK</x:v>
      </x:c>
      <x:c r="B540" s="54" t="n">
        <x:v>534</x:v>
      </x:c>
      <x:c r="C540" s="54" t="str">
        <x:v>NYC-V2-R01</x:v>
      </x:c>
      <x:c r="D540" s="54" t="str">
        <x:v>V2</x:v>
      </x:c>
      <x:c r="E540" s="54" t="str">
        <x:v>ADMITTED</x:v>
      </x:c>
      <x:c r="F540" s="55" t="n">
        <x:v>32534</x:v>
      </x:c>
      <x:c r="G540" s="55" t="n">
        <x:v>6978</x:v>
      </x:c>
      <x:c r="H540" s="55" t="n">
        <x:v>3339</x:v>
      </x:c>
      <x:c r="I540" s="55" t="n">
        <x:v>1772</x:v>
      </x:c>
      <x:c r="J540" s="55" t="n">
        <x:v>195</x:v>
      </x:c>
      <x:c r="K540" s="55" t="n">
        <x:v>32534</x:v>
      </x:c>
      <x:c r="L540" s="55" t="n">
        <x:v>6531</x:v>
      </x:c>
      <x:c r="M540" s="55" t="n">
        <x:v>1562</x:v>
      </x:c>
      <x:c r="N540" s="55" t="n">
        <x:v>2731</x:v>
      </x:c>
      <x:c r="O540" s="55" t="n">
        <x:v>2238</x:v>
      </x:c>
      <x:c r="P540" s="55" t="n">
        <x:v>1124</x:v>
      </x:c>
      <x:c r="Q540" s="55" t="n">
        <x:v>2847</x:v>
      </x:c>
      <x:c r="R540" s="55" t="n">
        <x:v>1998</x:v>
      </x:c>
      <x:c r="S540" s="55" t="n">
        <x:v>2788</x:v>
      </x:c>
      <x:c r="T540" s="55" t="n">
        <x:v>1287</x:v>
      </x:c>
      <x:c r="U540" s="55" t="n">
        <x:v>2155</x:v>
      </x:c>
      <x:c r="V540" s="55" t="n">
        <x:v>11131</x:v>
      </x:c>
      <x:c r="W540" s="55" t="n">
        <x:v>7976</x:v>
      </x:c>
      <x:c r="X540" s="55" t="n">
        <x:v>3155</x:v>
      </x:c>
      <x:c r="Y540" s="55" t="n">
        <x:v>2591</x:v>
      </x:c>
      <x:c r="Z540" s="55" t="n">
        <x:v>3214</x:v>
      </x:c>
      <x:c r="AA540" s="55" t="n">
        <x:v>2606</x:v>
      </x:c>
      <x:c r="AB540" s="55" t="n">
        <x:v>1195</x:v>
      </x:c>
      <x:c r="AC540" s="55" t="n">
        <x:v>7956</x:v>
      </x:c>
      <x:c r="AD540" s="55" t="n">
        <x:v>3435</x:v>
      </x:c>
      <x:c r="AE540" s="55" t="n">
        <x:v>11131</x:v>
      </x:c>
      <x:c r="AF540" s="55" t="n">
        <x:v>11131</x:v>
      </x:c>
      <x:c r="AG540" s="55" t="n">
        <x:v>0</x:v>
      </x:c>
      <x:c r="AH540" s="55" t="n">
        <x:v>523</x:v>
      </x:c>
      <x:c r="AI540" s="55" t="n">
        <x:v>10608</x:v>
      </x:c>
      <x:c r="AJ540" s="55" t="n">
        <x:v>330</x:v>
      </x:c>
      <x:c r="AK540" s="55" t="n">
        <x:v>615</x:v>
      </x:c>
      <x:c r="AL540" s="55" t="n">
        <x:v>1550</x:v>
      </x:c>
      <x:c r="AM540" s="55" t="n">
        <x:v>5703</x:v>
      </x:c>
      <x:c r="AN540" s="55" t="n">
        <x:v>2933</x:v>
      </x:c>
      <x:c r="AO540" s="55" t="n">
        <x:v>0</x:v>
      </x:c>
      <x:c r="AP540" s="55" t="n">
        <x:v>2252</x:v>
      </x:c>
      <x:c r="AQ540" s="55" t="n">
        <x:v>901</x:v>
      </x:c>
    </x:row>
    <x:row r="541">
      <x:c r="A541" s="54" t="str">
        <x:v>T0_TABLE_BLOCK</x:v>
      </x:c>
      <x:c r="B541" s="54" t="n">
        <x:v>535</x:v>
      </x:c>
      <x:c r="C541" s="54" t="str">
        <x:v>NYC-V2-R01</x:v>
      </x:c>
      <x:c r="D541" s="54" t="str">
        <x:v>V2</x:v>
      </x:c>
      <x:c r="E541" s="54" t="str">
        <x:v>ADMITTED</x:v>
      </x:c>
      <x:c r="F541" s="55" t="n">
        <x:v>31445</x:v>
      </x:c>
      <x:c r="G541" s="55" t="n">
        <x:v>8535</x:v>
      </x:c>
      <x:c r="H541" s="55" t="n">
        <x:v>3715</x:v>
      </x:c>
      <x:c r="I541" s="55" t="n">
        <x:v>1610</x:v>
      </x:c>
      <x:c r="J541" s="55" t="n">
        <x:v>186</x:v>
      </x:c>
      <x:c r="K541" s="55" t="n">
        <x:v>31223</x:v>
      </x:c>
      <x:c r="L541" s="55" t="n">
        <x:v>5595</x:v>
      </x:c>
      <x:c r="M541" s="55" t="n">
        <x:v>839</x:v>
      </x:c>
      <x:c r="N541" s="55" t="n">
        <x:v>2533</x:v>
      </x:c>
      <x:c r="O541" s="55" t="n">
        <x:v>2223</x:v>
      </x:c>
      <x:c r="P541" s="55" t="n">
        <x:v>948</x:v>
      </x:c>
      <x:c r="Q541" s="55" t="n">
        <x:v>2445</x:v>
      </x:c>
      <x:c r="R541" s="55" t="n">
        <x:v>1601</x:v>
      </x:c>
      <x:c r="S541" s="55" t="n">
        <x:v>2515</x:v>
      </x:c>
      <x:c r="T541" s="55" t="n">
        <x:v>1308</x:v>
      </x:c>
      <x:c r="U541" s="55" t="n">
        <x:v>2354</x:v>
      </x:c>
      <x:c r="V541" s="55" t="n">
        <x:v>10531</x:v>
      </x:c>
      <x:c r="W541" s="55" t="n">
        <x:v>7518</x:v>
      </x:c>
      <x:c r="X541" s="55" t="n">
        <x:v>3013</x:v>
      </x:c>
      <x:c r="Y541" s="55" t="n">
        <x:v>2656</x:v>
      </x:c>
      <x:c r="Z541" s="55" t="n">
        <x:v>3984</x:v>
      </x:c>
      <x:c r="AA541" s="55" t="n">
        <x:v>3447</x:v>
      </x:c>
      <x:c r="AB541" s="55" t="n">
        <x:v>1406</x:v>
      </x:c>
      <x:c r="AC541" s="55" t="n">
        <x:v>7697</x:v>
      </x:c>
      <x:c r="AD541" s="55" t="n">
        <x:v>3444</x:v>
      </x:c>
      <x:c r="AE541" s="55" t="n">
        <x:v>10636</x:v>
      </x:c>
      <x:c r="AF541" s="55" t="n">
        <x:v>10531</x:v>
      </x:c>
      <x:c r="AG541" s="55" t="n">
        <x:v>105</x:v>
      </x:c>
      <x:c r="AH541" s="55" t="n">
        <x:v>704</x:v>
      </x:c>
      <x:c r="AI541" s="55" t="n">
        <x:v>9827</x:v>
      </x:c>
      <x:c r="AJ541" s="55" t="n">
        <x:v>309</x:v>
      </x:c>
      <x:c r="AK541" s="55" t="n">
        <x:v>1015</x:v>
      </x:c>
      <x:c r="AL541" s="55" t="n">
        <x:v>1837</x:v>
      </x:c>
      <x:c r="AM541" s="55" t="n">
        <x:v>4990</x:v>
      </x:c>
      <x:c r="AN541" s="55" t="n">
        <x:v>2308</x:v>
      </x:c>
      <x:c r="AO541" s="55" t="n">
        <x:v>72</x:v>
      </x:c>
      <x:c r="AP541" s="55" t="n">
        <x:v>1707</x:v>
      </x:c>
      <x:c r="AQ541" s="55" t="n">
        <x:v>972</x:v>
      </x:c>
    </x:row>
    <x:row r="542">
      <x:c r="A542" s="54" t="str">
        <x:v>T0_TABLE_BLOCK</x:v>
      </x:c>
      <x:c r="B542" s="54" t="n">
        <x:v>536</x:v>
      </x:c>
      <x:c r="C542" s="54" t="str">
        <x:v>NYC-V2-R01</x:v>
      </x:c>
      <x:c r="D542" s="54" t="str">
        <x:v>V2</x:v>
      </x:c>
      <x:c r="E542" s="54" t="str">
        <x:v>ADMITTED</x:v>
      </x:c>
      <x:c r="F542" s="55" t="n">
        <x:v>31231</x:v>
      </x:c>
      <x:c r="G542" s="55" t="n">
        <x:v>8267</x:v>
      </x:c>
      <x:c r="H542" s="55" t="n">
        <x:v>3539</x:v>
      </x:c>
      <x:c r="I542" s="55" t="n">
        <x:v>1292</x:v>
      </x:c>
      <x:c r="J542" s="55" t="n">
        <x:v>167</x:v>
      </x:c>
      <x:c r="K542" s="55" t="n">
        <x:v>28625</x:v>
      </x:c>
      <x:c r="L542" s="55" t="n">
        <x:v>5003</x:v>
      </x:c>
      <x:c r="M542" s="55" t="n">
        <x:v>680</x:v>
      </x:c>
      <x:c r="N542" s="55" t="n">
        <x:v>2332</x:v>
      </x:c>
      <x:c r="O542" s="55" t="n">
        <x:v>1991</x:v>
      </x:c>
      <x:c r="P542" s="55" t="n">
        <x:v>609</x:v>
      </x:c>
      <x:c r="Q542" s="55" t="n">
        <x:v>1645</x:v>
      </x:c>
      <x:c r="R542" s="55" t="n">
        <x:v>1804</x:v>
      </x:c>
      <x:c r="S542" s="55" t="n">
        <x:v>2564</x:v>
      </x:c>
      <x:c r="T542" s="55" t="n">
        <x:v>1117</x:v>
      </x:c>
      <x:c r="U542" s="55" t="n">
        <x:v>1679</x:v>
      </x:c>
      <x:c r="V542" s="55" t="n">
        <x:v>10958</x:v>
      </x:c>
      <x:c r="W542" s="55" t="n">
        <x:v>7980</x:v>
      </x:c>
      <x:c r="X542" s="55" t="n">
        <x:v>2978</x:v>
      </x:c>
      <x:c r="Y542" s="55" t="n">
        <x:v>2236</x:v>
      </x:c>
      <x:c r="Z542" s="55" t="n">
        <x:v>4080</x:v>
      </x:c>
      <x:c r="AA542" s="55" t="n">
        <x:v>3539</x:v>
      </x:c>
      <x:c r="AB542" s="55" t="n">
        <x:v>1347</x:v>
      </x:c>
      <x:c r="AC542" s="55" t="n">
        <x:v>7736</x:v>
      </x:c>
      <x:c r="AD542" s="55" t="n">
        <x:v>3465</x:v>
      </x:c>
      <x:c r="AE542" s="55" t="n">
        <x:v>10990</x:v>
      </x:c>
      <x:c r="AF542" s="55" t="n">
        <x:v>10958</x:v>
      </x:c>
      <x:c r="AG542" s="55" t="n">
        <x:v>32</x:v>
      </x:c>
      <x:c r="AH542" s="55" t="n">
        <x:v>131</x:v>
      </x:c>
      <x:c r="AI542" s="55" t="n">
        <x:v>10827</x:v>
      </x:c>
      <x:c r="AJ542" s="55" t="n">
        <x:v>388</x:v>
      </x:c>
      <x:c r="AK542" s="55" t="n">
        <x:v>1575</x:v>
      </x:c>
      <x:c r="AL542" s="55" t="n">
        <x:v>1273</x:v>
      </x:c>
      <x:c r="AM542" s="55" t="n">
        <x:v>5114</x:v>
      </x:c>
      <x:c r="AN542" s="55" t="n">
        <x:v>2562</x:v>
      </x:c>
      <x:c r="AO542" s="55" t="n">
        <x:v>46</x:v>
      </x:c>
      <x:c r="AP542" s="55" t="n">
        <x:v>2937</x:v>
      </x:c>
      <x:c r="AQ542" s="55" t="n">
        <x:v>953</x:v>
      </x:c>
    </x:row>
    <x:row r="543">
      <x:c r="A543" s="54" t="str">
        <x:v>T0_TABLE_BLOCK</x:v>
      </x:c>
      <x:c r="B543" s="54" t="n">
        <x:v>537</x:v>
      </x:c>
      <x:c r="C543" s="54" t="str">
        <x:v>NYC-V2-R01</x:v>
      </x:c>
      <x:c r="D543" s="54" t="str">
        <x:v>V2</x:v>
      </x:c>
      <x:c r="E543" s="54" t="str">
        <x:v>ADMITTED</x:v>
      </x:c>
      <x:c r="F543" s="55" t="n">
        <x:v>32041</x:v>
      </x:c>
      <x:c r="G543" s="55" t="n">
        <x:v>5621</x:v>
      </x:c>
      <x:c r="H543" s="55" t="n">
        <x:v>3046</x:v>
      </x:c>
      <x:c r="I543" s="55" t="n">
        <x:v>1148</x:v>
      </x:c>
      <x:c r="J543" s="55" t="n">
        <x:v>77</x:v>
      </x:c>
      <x:c r="K543" s="55" t="n">
        <x:v>32041</x:v>
      </x:c>
      <x:c r="L543" s="55" t="n">
        <x:v>7216</x:v>
      </x:c>
      <x:c r="M543" s="55" t="n">
        <x:v>2045</x:v>
      </x:c>
      <x:c r="N543" s="55" t="n">
        <x:v>3157</x:v>
      </x:c>
      <x:c r="O543" s="55" t="n">
        <x:v>2014</x:v>
      </x:c>
      <x:c r="P543" s="55" t="n">
        <x:v>717</x:v>
      </x:c>
      <x:c r="Q543" s="55" t="n">
        <x:v>3758</x:v>
      </x:c>
      <x:c r="R543" s="55" t="n">
        <x:v>1911</x:v>
      </x:c>
      <x:c r="S543" s="55" t="n">
        <x:v>2884</x:v>
      </x:c>
      <x:c r="T543" s="55" t="n">
        <x:v>1122</x:v>
      </x:c>
      <x:c r="U543" s="55" t="n">
        <x:v>1797</x:v>
      </x:c>
      <x:c r="V543" s="55" t="n">
        <x:v>11456</x:v>
      </x:c>
      <x:c r="W543" s="55" t="n">
        <x:v>7894</x:v>
      </x:c>
      <x:c r="X543" s="55" t="n">
        <x:v>3562</x:v>
      </x:c>
      <x:c r="Y543" s="55" t="n">
        <x:v>3057</x:v>
      </x:c>
      <x:c r="Z543" s="55" t="n">
        <x:v>4114</x:v>
      </x:c>
      <x:c r="AA543" s="55" t="n">
        <x:v>2843</x:v>
      </x:c>
      <x:c r="AB543" s="55" t="n">
        <x:v>1021</x:v>
      </x:c>
      <x:c r="AC543" s="55" t="n">
        <x:v>7975</x:v>
      </x:c>
      <x:c r="AD543" s="55" t="n">
        <x:v>2846</x:v>
      </x:c>
      <x:c r="AE543" s="55" t="n">
        <x:v>11531</x:v>
      </x:c>
      <x:c r="AF543" s="55" t="n">
        <x:v>11456</x:v>
      </x:c>
      <x:c r="AG543" s="55" t="n">
        <x:v>75</x:v>
      </x:c>
      <x:c r="AH543" s="55" t="n">
        <x:v>471</x:v>
      </x:c>
      <x:c r="AI543" s="55" t="n">
        <x:v>10985</x:v>
      </x:c>
      <x:c r="AJ543" s="55" t="n">
        <x:v>450</x:v>
      </x:c>
      <x:c r="AK543" s="55" t="n">
        <x:v>962</x:v>
      </x:c>
      <x:c r="AL543" s="55" t="n">
        <x:v>1314</x:v>
      </x:c>
      <x:c r="AM543" s="55" t="n">
        <x:v>5845</x:v>
      </x:c>
      <x:c r="AN543" s="55" t="n">
        <x:v>2859</x:v>
      </x:c>
      <x:c r="AO543" s="55" t="n">
        <x:v>26</x:v>
      </x:c>
      <x:c r="AP543" s="55" t="n">
        <x:v>2394</x:v>
      </x:c>
      <x:c r="AQ543" s="55" t="n">
        <x:v>959</x:v>
      </x:c>
    </x:row>
    <x:row r="544">
      <x:c r="A544" s="54" t="str">
        <x:v>T0_TABLE_BLOCK</x:v>
      </x:c>
      <x:c r="B544" s="54" t="n">
        <x:v>538</x:v>
      </x:c>
      <x:c r="C544" s="54" t="str">
        <x:v>NYC-V2-R01</x:v>
      </x:c>
      <x:c r="D544" s="54" t="str">
        <x:v>V2</x:v>
      </x:c>
      <x:c r="E544" s="54" t="str">
        <x:v>ADMITTED</x:v>
      </x:c>
      <x:c r="F544" s="55" t="n">
        <x:v>32920</x:v>
      </x:c>
      <x:c r="G544" s="55" t="n">
        <x:v>8839</x:v>
      </x:c>
      <x:c r="H544" s="55" t="n">
        <x:v>3205</x:v>
      </x:c>
      <x:c r="I544" s="55" t="n">
        <x:v>1551</x:v>
      </x:c>
      <x:c r="J544" s="55" t="n">
        <x:v>382</x:v>
      </x:c>
      <x:c r="K544" s="55" t="n">
        <x:v>31811</x:v>
      </x:c>
      <x:c r="L544" s="55" t="n">
        <x:v>6270</x:v>
      </x:c>
      <x:c r="M544" s="55" t="n">
        <x:v>1646</x:v>
      </x:c>
      <x:c r="N544" s="55" t="n">
        <x:v>2737</x:v>
      </x:c>
      <x:c r="O544" s="55" t="n">
        <x:v>1887</x:v>
      </x:c>
      <x:c r="P544" s="55" t="n">
        <x:v>1275</x:v>
      </x:c>
      <x:c r="Q544" s="55" t="n">
        <x:v>2281</x:v>
      </x:c>
      <x:c r="R544" s="55" t="n">
        <x:v>2154</x:v>
      </x:c>
      <x:c r="S544" s="55" t="n">
        <x:v>2490</x:v>
      </x:c>
      <x:c r="T544" s="55" t="n">
        <x:v>1038</x:v>
      </x:c>
      <x:c r="U544" s="55" t="n">
        <x:v>1712</x:v>
      </x:c>
      <x:c r="V544" s="55" t="n">
        <x:v>10351</x:v>
      </x:c>
      <x:c r="W544" s="55" t="n">
        <x:v>7185</x:v>
      </x:c>
      <x:c r="X544" s="55" t="n">
        <x:v>3166</x:v>
      </x:c>
      <x:c r="Y544" s="55" t="n">
        <x:v>2809</x:v>
      </x:c>
      <x:c r="Z544" s="55" t="n">
        <x:v>3516</x:v>
      </x:c>
      <x:c r="AA544" s="55" t="n">
        <x:v>3205</x:v>
      </x:c>
      <x:c r="AB544" s="55" t="n">
        <x:v>1322</x:v>
      </x:c>
      <x:c r="AC544" s="55" t="n">
        <x:v>8156</x:v>
      </x:c>
      <x:c r="AD544" s="55" t="n">
        <x:v>3339</x:v>
      </x:c>
      <x:c r="AE544" s="55" t="n">
        <x:v>10502</x:v>
      </x:c>
      <x:c r="AF544" s="55" t="n">
        <x:v>10351</x:v>
      </x:c>
      <x:c r="AG544" s="55" t="n">
        <x:v>151</x:v>
      </x:c>
      <x:c r="AH544" s="55" t="n">
        <x:v>267</x:v>
      </x:c>
      <x:c r="AI544" s="55" t="n">
        <x:v>10084</x:v>
      </x:c>
      <x:c r="AJ544" s="55" t="n">
        <x:v>417</x:v>
      </x:c>
      <x:c r="AK544" s="55" t="n">
        <x:v>1593</x:v>
      </x:c>
      <x:c r="AL544" s="55" t="n">
        <x:v>1302</x:v>
      </x:c>
      <x:c r="AM544" s="55" t="n">
        <x:v>4688</x:v>
      </x:c>
      <x:c r="AN544" s="55" t="n">
        <x:v>2285</x:v>
      </x:c>
      <x:c r="AO544" s="55" t="n">
        <x:v>66</x:v>
      </x:c>
      <x:c r="AP544" s="55" t="n">
        <x:v>2464</x:v>
      </x:c>
      <x:c r="AQ544" s="55" t="n">
        <x:v>949</x:v>
      </x:c>
    </x:row>
    <x:row r="545">
      <x:c r="A545" s="54" t="str">
        <x:v>T0_TABLE_BLOCK</x:v>
      </x:c>
      <x:c r="B545" s="54" t="n">
        <x:v>539</x:v>
      </x:c>
      <x:c r="C545" s="54" t="str">
        <x:v>NYC-V2-R01</x:v>
      </x:c>
      <x:c r="D545" s="54" t="str">
        <x:v>V2</x:v>
      </x:c>
      <x:c r="E545" s="54" t="str">
        <x:v>ADMITTED</x:v>
      </x:c>
      <x:c r="F545" s="55" t="n">
        <x:v>32200</x:v>
      </x:c>
      <x:c r="G545" s="55" t="n">
        <x:v>8170</x:v>
      </x:c>
      <x:c r="H545" s="55" t="n">
        <x:v>3931</x:v>
      </x:c>
      <x:c r="I545" s="55" t="n">
        <x:v>1488</x:v>
      </x:c>
      <x:c r="J545" s="55" t="n">
        <x:v>205</x:v>
      </x:c>
      <x:c r="K545" s="55" t="n">
        <x:v>27766</x:v>
      </x:c>
      <x:c r="L545" s="55" t="n">
        <x:v>4762</x:v>
      </x:c>
      <x:c r="M545" s="55" t="n">
        <x:v>0</x:v>
      </x:c>
      <x:c r="N545" s="55" t="n">
        <x:v>2882</x:v>
      </x:c>
      <x:c r="O545" s="55" t="n">
        <x:v>1880</x:v>
      </x:c>
      <x:c r="P545" s="55" t="n">
        <x:v>476</x:v>
      </x:c>
      <x:c r="Q545" s="55" t="n">
        <x:v>1488</x:v>
      </x:c>
      <x:c r="R545" s="55" t="n">
        <x:v>1608</x:v>
      </x:c>
      <x:c r="S545" s="55" t="n">
        <x:v>2195</x:v>
      </x:c>
      <x:c r="T545" s="55" t="n">
        <x:v>1053</x:v>
      </x:c>
      <x:c r="U545" s="55" t="n">
        <x:v>2590</x:v>
      </x:c>
      <x:c r="V545" s="55" t="n">
        <x:v>10731</x:v>
      </x:c>
      <x:c r="W545" s="55" t="n">
        <x:v>7306</x:v>
      </x:c>
      <x:c r="X545" s="55" t="n">
        <x:v>3425</x:v>
      </x:c>
      <x:c r="Y545" s="55" t="n">
        <x:v>2824</x:v>
      </x:c>
      <x:c r="Z545" s="55" t="n">
        <x:v>3945</x:v>
      </x:c>
      <x:c r="AA545" s="55" t="n">
        <x:v>3931</x:v>
      </x:c>
      <x:c r="AB545" s="55" t="n">
        <x:v>1482</x:v>
      </x:c>
      <x:c r="AC545" s="55" t="n">
        <x:v>7136</x:v>
      </x:c>
      <x:c r="AD545" s="55" t="n">
        <x:v>2295</x:v>
      </x:c>
      <x:c r="AE545" s="55" t="n">
        <x:v>10831</x:v>
      </x:c>
      <x:c r="AF545" s="55" t="n">
        <x:v>10731</x:v>
      </x:c>
      <x:c r="AG545" s="55" t="n">
        <x:v>100</x:v>
      </x:c>
      <x:c r="AH545" s="55" t="n">
        <x:v>510</x:v>
      </x:c>
      <x:c r="AI545" s="55" t="n">
        <x:v>10221</x:v>
      </x:c>
      <x:c r="AJ545" s="55" t="n">
        <x:v>446</x:v>
      </x:c>
      <x:c r="AK545" s="55" t="n">
        <x:v>1345</x:v>
      </x:c>
      <x:c r="AL545" s="55" t="n">
        <x:v>1601</x:v>
      </x:c>
      <x:c r="AM545" s="55" t="n">
        <x:v>4734</x:v>
      </x:c>
      <x:c r="AN545" s="55" t="n">
        <x:v>2554</x:v>
      </x:c>
      <x:c r="AO545" s="55" t="n">
        <x:v>51</x:v>
      </x:c>
      <x:c r="AP545" s="55" t="n">
        <x:v>2499</x:v>
      </x:c>
      <x:c r="AQ545" s="55" t="n">
        <x:v>933</x:v>
      </x:c>
    </x:row>
    <x:row r="546">
      <x:c r="A546" s="54" t="str">
        <x:v>T0_TABLE_BLOCK</x:v>
      </x:c>
      <x:c r="B546" s="54" t="n">
        <x:v>540</x:v>
      </x:c>
      <x:c r="C546" s="54" t="str">
        <x:v>NYC-V2-R01</x:v>
      </x:c>
      <x:c r="D546" s="54" t="str">
        <x:v>V2</x:v>
      </x:c>
      <x:c r="E546" s="54" t="str">
        <x:v>ADMITTED</x:v>
      </x:c>
      <x:c r="F546" s="55" t="n">
        <x:v>32899</x:v>
      </x:c>
      <x:c r="G546" s="55" t="n">
        <x:v>5935</x:v>
      </x:c>
      <x:c r="H546" s="55" t="n">
        <x:v>3583</x:v>
      </x:c>
      <x:c r="I546" s="55" t="n">
        <x:v>1478</x:v>
      </x:c>
      <x:c r="J546" s="55" t="n">
        <x:v>337</x:v>
      </x:c>
      <x:c r="K546" s="55" t="n">
        <x:v>32899</x:v>
      </x:c>
      <x:c r="L546" s="55" t="n">
        <x:v>6481</x:v>
      </x:c>
      <x:c r="M546" s="55" t="n">
        <x:v>2285</x:v>
      </x:c>
      <x:c r="N546" s="55" t="n">
        <x:v>2493</x:v>
      </x:c>
      <x:c r="O546" s="55" t="n">
        <x:v>1703</x:v>
      </x:c>
      <x:c r="P546" s="55" t="n">
        <x:v>611</x:v>
      </x:c>
      <x:c r="Q546" s="55" t="n">
        <x:v>2774</x:v>
      </x:c>
      <x:c r="R546" s="55" t="n">
        <x:v>2125</x:v>
      </x:c>
      <x:c r="S546" s="55" t="n">
        <x:v>3073</x:v>
      </x:c>
      <x:c r="T546" s="55" t="n">
        <x:v>1105</x:v>
      </x:c>
      <x:c r="U546" s="55" t="n">
        <x:v>1766</x:v>
      </x:c>
      <x:c r="V546" s="55" t="n">
        <x:v>10242</x:v>
      </x:c>
      <x:c r="W546" s="55" t="n">
        <x:v>7032</x:v>
      </x:c>
      <x:c r="X546" s="55" t="n">
        <x:v>3210</x:v>
      </x:c>
      <x:c r="Y546" s="55" t="n">
        <x:v>2800</x:v>
      </x:c>
      <x:c r="Z546" s="55" t="n">
        <x:v>3211</x:v>
      </x:c>
      <x:c r="AA546" s="55" t="n">
        <x:v>2462</x:v>
      </x:c>
      <x:c r="AB546" s="55" t="n">
        <x:v>1023</x:v>
      </x:c>
      <x:c r="AC546" s="55" t="n">
        <x:v>7983</x:v>
      </x:c>
      <x:c r="AD546" s="55" t="n">
        <x:v>2900</x:v>
      </x:c>
      <x:c r="AE546" s="55" t="n">
        <x:v>10367</x:v>
      </x:c>
      <x:c r="AF546" s="55" t="n">
        <x:v>10242</x:v>
      </x:c>
      <x:c r="AG546" s="55" t="n">
        <x:v>125</x:v>
      </x:c>
      <x:c r="AH546" s="55" t="n">
        <x:v>487</x:v>
      </x:c>
      <x:c r="AI546" s="55" t="n">
        <x:v>9755</x:v>
      </x:c>
      <x:c r="AJ546" s="55" t="n">
        <x:v>413</x:v>
      </x:c>
      <x:c r="AK546" s="55" t="n">
        <x:v>522</x:v>
      </x:c>
      <x:c r="AL546" s="55" t="n">
        <x:v>1589</x:v>
      </x:c>
      <x:c r="AM546" s="55" t="n">
        <x:v>5056</x:v>
      </x:c>
      <x:c r="AN546" s="55" t="n">
        <x:v>2662</x:v>
      </x:c>
      <x:c r="AO546" s="55" t="n">
        <x:v>0</x:v>
      </x:c>
      <x:c r="AP546" s="55" t="n">
        <x:v>2401</x:v>
      </x:c>
      <x:c r="AQ546" s="55" t="n">
        <x:v>946</x:v>
      </x:c>
    </x:row>
    <x:row r="547">
      <x:c r="A547" s="54" t="str">
        <x:v>T0_TABLE_BLOCK</x:v>
      </x:c>
      <x:c r="B547" s="54" t="n">
        <x:v>541</x:v>
      </x:c>
      <x:c r="C547" s="54" t="str">
        <x:v>NYC-V2-R01</x:v>
      </x:c>
      <x:c r="D547" s="54" t="str">
        <x:v>V2</x:v>
      </x:c>
      <x:c r="E547" s="54" t="str">
        <x:v>ADMITTED</x:v>
      </x:c>
      <x:c r="F547" s="55" t="n">
        <x:v>35432</x:v>
      </x:c>
      <x:c r="G547" s="55" t="n">
        <x:v>7795</x:v>
      </x:c>
      <x:c r="H547" s="55" t="n">
        <x:v>3804</x:v>
      </x:c>
      <x:c r="I547" s="55" t="n">
        <x:v>1461</x:v>
      </x:c>
      <x:c r="J547" s="55" t="n">
        <x:v>287</x:v>
      </x:c>
      <x:c r="K547" s="55" t="n">
        <x:v>35432</x:v>
      </x:c>
      <x:c r="L547" s="55" t="n">
        <x:v>7281</x:v>
      </x:c>
      <x:c r="M547" s="55" t="n">
        <x:v>2580</x:v>
      </x:c>
      <x:c r="N547" s="55" t="n">
        <x:v>3164</x:v>
      </x:c>
      <x:c r="O547" s="55" t="n">
        <x:v>1537</x:v>
      </x:c>
      <x:c r="P547" s="55" t="n">
        <x:v>689</x:v>
      </x:c>
      <x:c r="Q547" s="55" t="n">
        <x:v>2230</x:v>
      </x:c>
      <x:c r="R547" s="55" t="n">
        <x:v>2185</x:v>
      </x:c>
      <x:c r="S547" s="55" t="n">
        <x:v>2698</x:v>
      </x:c>
      <x:c r="T547" s="55" t="n">
        <x:v>1428</x:v>
      </x:c>
      <x:c r="U547" s="55" t="n">
        <x:v>1530</x:v>
      </x:c>
      <x:c r="V547" s="55" t="n">
        <x:v>10380</x:v>
      </x:c>
      <x:c r="W547" s="55" t="n">
        <x:v>7170</x:v>
      </x:c>
      <x:c r="X547" s="55" t="n">
        <x:v>3210</x:v>
      </x:c>
      <x:c r="Y547" s="55" t="n">
        <x:v>2837</x:v>
      </x:c>
      <x:c r="Z547" s="55" t="n">
        <x:v>3870</x:v>
      </x:c>
      <x:c r="AA547" s="55" t="n">
        <x:v>3109</x:v>
      </x:c>
      <x:c r="AB547" s="55" t="n">
        <x:v>1142</x:v>
      </x:c>
      <x:c r="AC547" s="55" t="n">
        <x:v>8636</x:v>
      </x:c>
      <x:c r="AD547" s="55" t="n">
        <x:v>2538</x:v>
      </x:c>
      <x:c r="AE547" s="55" t="n">
        <x:v>10488</x:v>
      </x:c>
      <x:c r="AF547" s="55" t="n">
        <x:v>10380</x:v>
      </x:c>
      <x:c r="AG547" s="55" t="n">
        <x:v>108</x:v>
      </x:c>
      <x:c r="AH547" s="55" t="n">
        <x:v>485</x:v>
      </x:c>
      <x:c r="AI547" s="55" t="n">
        <x:v>9895</x:v>
      </x:c>
      <x:c r="AJ547" s="55" t="n">
        <x:v>332</x:v>
      </x:c>
      <x:c r="AK547" s="55" t="n">
        <x:v>1236</x:v>
      </x:c>
      <x:c r="AL547" s="55" t="n">
        <x:v>1116</x:v>
      </x:c>
      <x:c r="AM547" s="55" t="n">
        <x:v>4533</x:v>
      </x:c>
      <x:c r="AN547" s="55" t="n">
        <x:v>3163</x:v>
      </x:c>
      <x:c r="AO547" s="55" t="n">
        <x:v>0</x:v>
      </x:c>
      <x:c r="AP547" s="55" t="n">
        <x:v>2414</x:v>
      </x:c>
      <x:c r="AQ547" s="55" t="n">
        <x:v>903</x:v>
      </x:c>
    </x:row>
    <x:row r="548">
      <x:c r="A548" s="54" t="str">
        <x:v>T0_TABLE_BLOCK</x:v>
      </x:c>
      <x:c r="B548" s="54" t="n">
        <x:v>542</x:v>
      </x:c>
      <x:c r="C548" s="54" t="str">
        <x:v>NYC-V2-R01</x:v>
      </x:c>
      <x:c r="D548" s="54" t="str">
        <x:v>V2</x:v>
      </x:c>
      <x:c r="E548" s="54" t="str">
        <x:v>ADMITTED</x:v>
      </x:c>
      <x:c r="F548" s="55" t="n">
        <x:v>31290</x:v>
      </x:c>
      <x:c r="G548" s="55" t="n">
        <x:v>7670</x:v>
      </x:c>
      <x:c r="H548" s="55" t="n">
        <x:v>3217</x:v>
      </x:c>
      <x:c r="I548" s="55" t="n">
        <x:v>1566</x:v>
      </x:c>
      <x:c r="J548" s="55" t="n">
        <x:v>229</x:v>
      </x:c>
      <x:c r="K548" s="55" t="n">
        <x:v>31290</x:v>
      </x:c>
      <x:c r="L548" s="55" t="n">
        <x:v>6531</x:v>
      </x:c>
      <x:c r="M548" s="55" t="n">
        <x:v>1608</x:v>
      </x:c>
      <x:c r="N548" s="55" t="n">
        <x:v>2914</x:v>
      </x:c>
      <x:c r="O548" s="55" t="n">
        <x:v>2009</x:v>
      </x:c>
      <x:c r="P548" s="55" t="n">
        <x:v>664</x:v>
      </x:c>
      <x:c r="Q548" s="55" t="n">
        <x:v>3142</x:v>
      </x:c>
      <x:c r="R548" s="55" t="n">
        <x:v>1940</x:v>
      </x:c>
      <x:c r="S548" s="55" t="n">
        <x:v>2764</x:v>
      </x:c>
      <x:c r="T548" s="55" t="n">
        <x:v>889</x:v>
      </x:c>
      <x:c r="U548" s="55" t="n">
        <x:v>1764</x:v>
      </x:c>
      <x:c r="V548" s="55" t="n">
        <x:v>10121</x:v>
      </x:c>
      <x:c r="W548" s="55" t="n">
        <x:v>7106</x:v>
      </x:c>
      <x:c r="X548" s="55" t="n">
        <x:v>3015</x:v>
      </x:c>
      <x:c r="Y548" s="55" t="n">
        <x:v>2675</x:v>
      </x:c>
      <x:c r="Z548" s="55" t="n">
        <x:v>3930</x:v>
      </x:c>
      <x:c r="AA548" s="55" t="n">
        <x:v>3034</x:v>
      </x:c>
      <x:c r="AB548" s="55" t="n">
        <x:v>907</x:v>
      </x:c>
      <x:c r="AC548" s="55" t="n">
        <x:v>8444</x:v>
      </x:c>
      <x:c r="AD548" s="55" t="n">
        <x:v>2082</x:v>
      </x:c>
      <x:c r="AE548" s="55" t="n">
        <x:v>10196</x:v>
      </x:c>
      <x:c r="AF548" s="55" t="n">
        <x:v>10121</x:v>
      </x:c>
      <x:c r="AG548" s="55" t="n">
        <x:v>75</x:v>
      </x:c>
      <x:c r="AH548" s="55" t="n">
        <x:v>428</x:v>
      </x:c>
      <x:c r="AI548" s="55" t="n">
        <x:v>9693</x:v>
      </x:c>
      <x:c r="AJ548" s="55" t="n">
        <x:v>648</x:v>
      </x:c>
      <x:c r="AK548" s="55" t="n">
        <x:v>1025</x:v>
      </x:c>
      <x:c r="AL548" s="55" t="n">
        <x:v>1303</x:v>
      </x:c>
      <x:c r="AM548" s="55" t="n">
        <x:v>4805</x:v>
      </x:c>
      <x:c r="AN548" s="55" t="n">
        <x:v>2237</x:v>
      </x:c>
      <x:c r="AO548" s="55" t="n">
        <x:v>103</x:v>
      </x:c>
      <x:c r="AP548" s="55" t="n">
        <x:v>2119</x:v>
      </x:c>
      <x:c r="AQ548" s="55" t="n">
        <x:v>982</x:v>
      </x:c>
    </x:row>
    <x:row r="549">
      <x:c r="A549" s="54" t="str">
        <x:v>T0_TABLE_BLOCK</x:v>
      </x:c>
      <x:c r="B549" s="54" t="n">
        <x:v>543</x:v>
      </x:c>
      <x:c r="C549" s="54" t="str">
        <x:v>NYC-V2-R01</x:v>
      </x:c>
      <x:c r="D549" s="54" t="str">
        <x:v>V2</x:v>
      </x:c>
      <x:c r="E549" s="54" t="str">
        <x:v>ADMITTED</x:v>
      </x:c>
      <x:c r="F549" s="55" t="n">
        <x:v>30519</x:v>
      </x:c>
      <x:c r="G549" s="55" t="n">
        <x:v>6620</x:v>
      </x:c>
      <x:c r="H549" s="55" t="n">
        <x:v>3981</x:v>
      </x:c>
      <x:c r="I549" s="55" t="n">
        <x:v>1410</x:v>
      </x:c>
      <x:c r="J549" s="55" t="n">
        <x:v>384</x:v>
      </x:c>
      <x:c r="K549" s="55" t="n">
        <x:v>27507</x:v>
      </x:c>
      <x:c r="L549" s="55" t="n">
        <x:v>5105</x:v>
      </x:c>
      <x:c r="M549" s="55" t="n">
        <x:v>0</x:v>
      </x:c>
      <x:c r="N549" s="55" t="n">
        <x:v>3132</x:v>
      </x:c>
      <x:c r="O549" s="55" t="n">
        <x:v>1973</x:v>
      </x:c>
      <x:c r="P549" s="55" t="n">
        <x:v>577</x:v>
      </x:c>
      <x:c r="Q549" s="55" t="n">
        <x:v>3022</x:v>
      </x:c>
      <x:c r="R549" s="55" t="n">
        <x:v>1759</x:v>
      </x:c>
      <x:c r="S549" s="55" t="n">
        <x:v>3508</x:v>
      </x:c>
      <x:c r="T549" s="55" t="n">
        <x:v>1424</x:v>
      </x:c>
      <x:c r="U549" s="55" t="n">
        <x:v>2744</x:v>
      </x:c>
      <x:c r="V549" s="55" t="n">
        <x:v>10521</x:v>
      </x:c>
      <x:c r="W549" s="55" t="n">
        <x:v>7009</x:v>
      </x:c>
      <x:c r="X549" s="55" t="n">
        <x:v>3512</x:v>
      </x:c>
      <x:c r="Y549" s="55" t="n">
        <x:v>2927</x:v>
      </x:c>
      <x:c r="Z549" s="55" t="n">
        <x:v>3754</x:v>
      </x:c>
      <x:c r="AA549" s="55" t="n">
        <x:v>2987</x:v>
      </x:c>
      <x:c r="AB549" s="55" t="n">
        <x:v>1061</x:v>
      </x:c>
      <x:c r="AC549" s="55" t="n">
        <x:v>8212</x:v>
      </x:c>
      <x:c r="AD549" s="55" t="n">
        <x:v>3453</x:v>
      </x:c>
      <x:c r="AE549" s="55" t="n">
        <x:v>10630</x:v>
      </x:c>
      <x:c r="AF549" s="55" t="n">
        <x:v>10521</x:v>
      </x:c>
      <x:c r="AG549" s="55" t="n">
        <x:v>109</x:v>
      </x:c>
      <x:c r="AH549" s="55" t="n">
        <x:v>70</x:v>
      </x:c>
      <x:c r="AI549" s="55" t="n">
        <x:v>10451</x:v>
      </x:c>
      <x:c r="AJ549" s="55" t="n">
        <x:v>255</x:v>
      </x:c>
      <x:c r="AK549" s="55" t="n">
        <x:v>1151</x:v>
      </x:c>
      <x:c r="AL549" s="55" t="n">
        <x:v>1593</x:v>
      </x:c>
      <x:c r="AM549" s="55" t="n">
        <x:v>4813</x:v>
      </x:c>
      <x:c r="AN549" s="55" t="n">
        <x:v>2687</x:v>
      </x:c>
      <x:c r="AO549" s="55" t="n">
        <x:v>22</x:v>
      </x:c>
      <x:c r="AP549" s="55" t="n">
        <x:v>2425</x:v>
      </x:c>
      <x:c r="AQ549" s="55" t="n">
        <x:v>920</x:v>
      </x:c>
    </x:row>
    <x:row r="550">
      <x:c r="A550" s="54" t="str">
        <x:v>T0_TABLE_BLOCK</x:v>
      </x:c>
      <x:c r="B550" s="54" t="n">
        <x:v>544</x:v>
      </x:c>
      <x:c r="C550" s="54" t="str">
        <x:v>NYC-V2-R01</x:v>
      </x:c>
      <x:c r="D550" s="54" t="str">
        <x:v>V2</x:v>
      </x:c>
      <x:c r="E550" s="54" t="str">
        <x:v>ADMITTED</x:v>
      </x:c>
      <x:c r="F550" s="55" t="n">
        <x:v>31937</x:v>
      </x:c>
      <x:c r="G550" s="55" t="n">
        <x:v>8419</x:v>
      </x:c>
      <x:c r="H550" s="55" t="n">
        <x:v>3416</x:v>
      </x:c>
      <x:c r="I550" s="55" t="n">
        <x:v>1327</x:v>
      </x:c>
      <x:c r="J550" s="55" t="n">
        <x:v>211</x:v>
      </x:c>
      <x:c r="K550" s="55" t="n">
        <x:v>30747</x:v>
      </x:c>
      <x:c r="L550" s="55" t="n">
        <x:v>4946</x:v>
      </x:c>
      <x:c r="M550" s="55" t="n">
        <x:v>582</x:v>
      </x:c>
      <x:c r="N550" s="55" t="n">
        <x:v>2541</x:v>
      </x:c>
      <x:c r="O550" s="55" t="n">
        <x:v>1823</x:v>
      </x:c>
      <x:c r="P550" s="55" t="n">
        <x:v>928</x:v>
      </x:c>
      <x:c r="Q550" s="55" t="n">
        <x:v>3110</x:v>
      </x:c>
      <x:c r="R550" s="55" t="n">
        <x:v>1964</x:v>
      </x:c>
      <x:c r="S550" s="55" t="n">
        <x:v>2418</x:v>
      </x:c>
      <x:c r="T550" s="55" t="n">
        <x:v>1630</x:v>
      </x:c>
      <x:c r="U550" s="55" t="n">
        <x:v>2150</x:v>
      </x:c>
      <x:c r="V550" s="55" t="n">
        <x:v>10498</x:v>
      </x:c>
      <x:c r="W550" s="55" t="n">
        <x:v>7194</x:v>
      </x:c>
      <x:c r="X550" s="55" t="n">
        <x:v>3304</x:v>
      </x:c>
      <x:c r="Y550" s="55" t="n">
        <x:v>2876</x:v>
      </x:c>
      <x:c r="Z550" s="55" t="n">
        <x:v>3617</x:v>
      </x:c>
      <x:c r="AA550" s="55" t="n">
        <x:v>2821</x:v>
      </x:c>
      <x:c r="AB550" s="55" t="n">
        <x:v>1236</x:v>
      </x:c>
      <x:c r="AC550" s="55" t="n">
        <x:v>8042</x:v>
      </x:c>
      <x:c r="AD550" s="55" t="n">
        <x:v>2308</x:v>
      </x:c>
      <x:c r="AE550" s="55" t="n">
        <x:v>10574</x:v>
      </x:c>
      <x:c r="AF550" s="55" t="n">
        <x:v>10498</x:v>
      </x:c>
      <x:c r="AG550" s="55" t="n">
        <x:v>76</x:v>
      </x:c>
      <x:c r="AH550" s="55" t="n">
        <x:v>570</x:v>
      </x:c>
      <x:c r="AI550" s="55" t="n">
        <x:v>9928</x:v>
      </x:c>
      <x:c r="AJ550" s="55" t="n">
        <x:v>206</x:v>
      </x:c>
      <x:c r="AK550" s="55" t="n">
        <x:v>1144</x:v>
      </x:c>
      <x:c r="AL550" s="55" t="n">
        <x:v>1455</x:v>
      </x:c>
      <x:c r="AM550" s="55" t="n">
        <x:v>4896</x:v>
      </x:c>
      <x:c r="AN550" s="55" t="n">
        <x:v>2797</x:v>
      </x:c>
      <x:c r="AO550" s="55" t="n">
        <x:v>0</x:v>
      </x:c>
      <x:c r="AP550" s="55" t="n">
        <x:v>2214</x:v>
      </x:c>
      <x:c r="AQ550" s="55" t="n">
        <x:v>977</x:v>
      </x:c>
    </x:row>
    <x:row r="551">
      <x:c r="A551" s="54" t="str">
        <x:v>T0_TABLE_BLOCK</x:v>
      </x:c>
      <x:c r="B551" s="54" t="n">
        <x:v>545</x:v>
      </x:c>
      <x:c r="C551" s="54" t="str">
        <x:v>NYC-V2-R01</x:v>
      </x:c>
      <x:c r="D551" s="54" t="str">
        <x:v>V2</x:v>
      </x:c>
      <x:c r="E551" s="54" t="str">
        <x:v>ADMITTED</x:v>
      </x:c>
      <x:c r="F551" s="55" t="n">
        <x:v>31863</x:v>
      </x:c>
      <x:c r="G551" s="55" t="n">
        <x:v>8788</x:v>
      </x:c>
      <x:c r="H551" s="55" t="n">
        <x:v>2875</x:v>
      </x:c>
      <x:c r="I551" s="55" t="n">
        <x:v>963</x:v>
      </x:c>
      <x:c r="J551" s="55" t="n">
        <x:v>42</x:v>
      </x:c>
      <x:c r="K551" s="55" t="n">
        <x:v>31287</x:v>
      </x:c>
      <x:c r="L551" s="55" t="n">
        <x:v>7254</x:v>
      </x:c>
      <x:c r="M551" s="55" t="n">
        <x:v>2129</x:v>
      </x:c>
      <x:c r="N551" s="55" t="n">
        <x:v>3196</x:v>
      </x:c>
      <x:c r="O551" s="55" t="n">
        <x:v>1929</x:v>
      </x:c>
      <x:c r="P551" s="55" t="n">
        <x:v>581</x:v>
      </x:c>
      <x:c r="Q551" s="55" t="n">
        <x:v>2255</x:v>
      </x:c>
      <x:c r="R551" s="55" t="n">
        <x:v>1714</x:v>
      </x:c>
      <x:c r="S551" s="55" t="n">
        <x:v>2320</x:v>
      </x:c>
      <x:c r="T551" s="55" t="n">
        <x:v>1435</x:v>
      </x:c>
      <x:c r="U551" s="55" t="n">
        <x:v>1938</x:v>
      </x:c>
      <x:c r="V551" s="55" t="n">
        <x:v>10340</x:v>
      </x:c>
      <x:c r="W551" s="55" t="n">
        <x:v>7403</x:v>
      </x:c>
      <x:c r="X551" s="55" t="n">
        <x:v>2937</x:v>
      </x:c>
      <x:c r="Y551" s="55" t="n">
        <x:v>2686</x:v>
      </x:c>
      <x:c r="Z551" s="55" t="n">
        <x:v>3950</x:v>
      </x:c>
      <x:c r="AA551" s="55" t="n">
        <x:v>2875</x:v>
      </x:c>
      <x:c r="AB551" s="55" t="n">
        <x:v>1259</x:v>
      </x:c>
      <x:c r="AC551" s="55" t="n">
        <x:v>8175</x:v>
      </x:c>
      <x:c r="AD551" s="55" t="n">
        <x:v>2524</x:v>
      </x:c>
      <x:c r="AE551" s="55" t="n">
        <x:v>10456</x:v>
      </x:c>
      <x:c r="AF551" s="55" t="n">
        <x:v>10340</x:v>
      </x:c>
      <x:c r="AG551" s="55" t="n">
        <x:v>116</x:v>
      </x:c>
      <x:c r="AH551" s="55" t="n">
        <x:v>336</x:v>
      </x:c>
      <x:c r="AI551" s="55" t="n">
        <x:v>10004</x:v>
      </x:c>
      <x:c r="AJ551" s="55" t="n">
        <x:v>216</x:v>
      </x:c>
      <x:c r="AK551" s="55" t="n">
        <x:v>1332</x:v>
      </x:c>
      <x:c r="AL551" s="55" t="n">
        <x:v>1747</x:v>
      </x:c>
      <x:c r="AM551" s="55" t="n">
        <x:v>4824</x:v>
      </x:c>
      <x:c r="AN551" s="55" t="n">
        <x:v>2221</x:v>
      </x:c>
      <x:c r="AO551" s="55" t="n">
        <x:v>0</x:v>
      </x:c>
      <x:c r="AP551" s="55" t="n">
        <x:v>2635</x:v>
      </x:c>
      <x:c r="AQ551" s="55" t="n">
        <x:v>947</x:v>
      </x:c>
    </x:row>
    <x:row r="552">
      <x:c r="A552" s="54" t="str">
        <x:v>T0_TABLE_BLOCK</x:v>
      </x:c>
      <x:c r="B552" s="54" t="n">
        <x:v>546</x:v>
      </x:c>
      <x:c r="C552" s="54" t="str">
        <x:v>NYC-V2-R01</x:v>
      </x:c>
      <x:c r="D552" s="54" t="str">
        <x:v>V2</x:v>
      </x:c>
      <x:c r="E552" s="54" t="str">
        <x:v>ADMITTED</x:v>
      </x:c>
      <x:c r="F552" s="55" t="n">
        <x:v>30419</x:v>
      </x:c>
      <x:c r="G552" s="55" t="n">
        <x:v>8204</x:v>
      </x:c>
      <x:c r="H552" s="55" t="n">
        <x:v>2822</x:v>
      </x:c>
      <x:c r="I552" s="55" t="n">
        <x:v>898</x:v>
      </x:c>
      <x:c r="J552" s="55" t="n">
        <x:v>169</x:v>
      </x:c>
      <x:c r="K552" s="55" t="n">
        <x:v>28012</x:v>
      </x:c>
      <x:c r="L552" s="55" t="n">
        <x:v>5467</x:v>
      </x:c>
      <x:c r="M552" s="55" t="n">
        <x:v>463</x:v>
      </x:c>
      <x:c r="N552" s="55" t="n">
        <x:v>3276</x:v>
      </x:c>
      <x:c r="O552" s="55" t="n">
        <x:v>1728</x:v>
      </x:c>
      <x:c r="P552" s="55" t="n">
        <x:v>211</x:v>
      </x:c>
      <x:c r="Q552" s="55" t="n">
        <x:v>2670</x:v>
      </x:c>
      <x:c r="R552" s="55" t="n">
        <x:v>1913</x:v>
      </x:c>
      <x:c r="S552" s="55" t="n">
        <x:v>2233</x:v>
      </x:c>
      <x:c r="T552" s="55" t="n">
        <x:v>1608</x:v>
      </x:c>
      <x:c r="U552" s="55" t="n">
        <x:v>1480</x:v>
      </x:c>
      <x:c r="V552" s="55" t="n">
        <x:v>10722</x:v>
      </x:c>
      <x:c r="W552" s="55" t="n">
        <x:v>7581</x:v>
      </x:c>
      <x:c r="X552" s="55" t="n">
        <x:v>3141</x:v>
      </x:c>
      <x:c r="Y552" s="55" t="n">
        <x:v>2893</x:v>
      </x:c>
      <x:c r="Z552" s="55" t="n">
        <x:v>4157</x:v>
      </x:c>
      <x:c r="AA552" s="55" t="n">
        <x:v>2822</x:v>
      </x:c>
      <x:c r="AB552" s="55" t="n">
        <x:v>958</x:v>
      </x:c>
      <x:c r="AC552" s="55" t="n">
        <x:v>8152</x:v>
      </x:c>
      <x:c r="AD552" s="55" t="n">
        <x:v>2360</x:v>
      </x:c>
      <x:c r="AE552" s="55" t="n">
        <x:v>10776</x:v>
      </x:c>
      <x:c r="AF552" s="55" t="n">
        <x:v>10722</x:v>
      </x:c>
      <x:c r="AG552" s="55" t="n">
        <x:v>54</x:v>
      </x:c>
      <x:c r="AH552" s="55" t="n">
        <x:v>552</x:v>
      </x:c>
      <x:c r="AI552" s="55" t="n">
        <x:v>10170</x:v>
      </x:c>
      <x:c r="AJ552" s="55" t="n">
        <x:v>246</x:v>
      </x:c>
      <x:c r="AK552" s="55" t="n">
        <x:v>792</x:v>
      </x:c>
      <x:c r="AL552" s="55" t="n">
        <x:v>1792</x:v>
      </x:c>
      <x:c r="AM552" s="55" t="n">
        <x:v>4943</x:v>
      </x:c>
      <x:c r="AN552" s="55" t="n">
        <x:v>2837</x:v>
      </x:c>
      <x:c r="AO552" s="55" t="n">
        <x:v>112</x:v>
      </x:c>
      <x:c r="AP552" s="55" t="n">
        <x:v>2333</x:v>
      </x:c>
      <x:c r="AQ552" s="55" t="n">
        <x:v>921</x:v>
      </x:c>
    </x:row>
    <x:row r="553">
      <x:c r="A553" s="54" t="str">
        <x:v>T0_TABLE_BLOCK</x:v>
      </x:c>
      <x:c r="B553" s="54" t="n">
        <x:v>547</x:v>
      </x:c>
      <x:c r="C553" s="54" t="str">
        <x:v>NYC-V2-R01</x:v>
      </x:c>
      <x:c r="D553" s="54" t="str">
        <x:v>V2</x:v>
      </x:c>
      <x:c r="E553" s="54" t="str">
        <x:v>ADMITTED</x:v>
      </x:c>
      <x:c r="F553" s="55" t="n">
        <x:v>34462</x:v>
      </x:c>
      <x:c r="G553" s="55" t="n">
        <x:v>9506</x:v>
      </x:c>
      <x:c r="H553" s="55" t="n">
        <x:v>3694</x:v>
      </x:c>
      <x:c r="I553" s="55" t="n">
        <x:v>958</x:v>
      </x:c>
      <x:c r="J553" s="55" t="n">
        <x:v>173</x:v>
      </x:c>
      <x:c r="K553" s="55" t="n">
        <x:v>30780</x:v>
      </x:c>
      <x:c r="L553" s="55" t="n">
        <x:v>6189</x:v>
      </x:c>
      <x:c r="M553" s="55" t="n">
        <x:v>1724</x:v>
      </x:c>
      <x:c r="N553" s="55" t="n">
        <x:v>2862</x:v>
      </x:c>
      <x:c r="O553" s="55" t="n">
        <x:v>1603</x:v>
      </x:c>
      <x:c r="P553" s="55" t="n">
        <x:v>484</x:v>
      </x:c>
      <x:c r="Q553" s="55" t="n">
        <x:v>2775</x:v>
      </x:c>
      <x:c r="R553" s="55" t="n">
        <x:v>1814</x:v>
      </x:c>
      <x:c r="S553" s="55" t="n">
        <x:v>3349</x:v>
      </x:c>
      <x:c r="T553" s="55" t="n">
        <x:v>1167</x:v>
      </x:c>
      <x:c r="U553" s="55" t="n">
        <x:v>1939</x:v>
      </x:c>
      <x:c r="V553" s="55" t="n">
        <x:v>10127</x:v>
      </x:c>
      <x:c r="W553" s="55" t="n">
        <x:v>7542</x:v>
      </x:c>
      <x:c r="X553" s="55" t="n">
        <x:v>2585</x:v>
      </x:c>
      <x:c r="Y553" s="55" t="n">
        <x:v>1973</x:v>
      </x:c>
      <x:c r="Z553" s="55" t="n">
        <x:v>4284</x:v>
      </x:c>
      <x:c r="AA553" s="55" t="n">
        <x:v>3694</x:v>
      </x:c>
      <x:c r="AB553" s="55" t="n">
        <x:v>1222</x:v>
      </x:c>
      <x:c r="AC553" s="55" t="n">
        <x:v>7664</x:v>
      </x:c>
      <x:c r="AD553" s="55" t="n">
        <x:v>2881</x:v>
      </x:c>
      <x:c r="AE553" s="55" t="n">
        <x:v>10251</x:v>
      </x:c>
      <x:c r="AF553" s="55" t="n">
        <x:v>10127</x:v>
      </x:c>
      <x:c r="AG553" s="55" t="n">
        <x:v>124</x:v>
      </x:c>
      <x:c r="AH553" s="55" t="n">
        <x:v>291</x:v>
      </x:c>
      <x:c r="AI553" s="55" t="n">
        <x:v>9836</x:v>
      </x:c>
      <x:c r="AJ553" s="55" t="n">
        <x:v>357</x:v>
      </x:c>
      <x:c r="AK553" s="55" t="n">
        <x:v>1187</x:v>
      </x:c>
      <x:c r="AL553" s="55" t="n">
        <x:v>1457</x:v>
      </x:c>
      <x:c r="AM553" s="55" t="n">
        <x:v>4683</x:v>
      </x:c>
      <x:c r="AN553" s="55" t="n">
        <x:v>2443</x:v>
      </x:c>
      <x:c r="AO553" s="55" t="n">
        <x:v>0</x:v>
      </x:c>
      <x:c r="AP553" s="55" t="n">
        <x:v>2394</x:v>
      </x:c>
      <x:c r="AQ553" s="55" t="n">
        <x:v>915</x:v>
      </x:c>
    </x:row>
    <x:row r="554">
      <x:c r="A554" s="54" t="str">
        <x:v>T0_TABLE_BLOCK</x:v>
      </x:c>
      <x:c r="B554" s="54" t="n">
        <x:v>548</x:v>
      </x:c>
      <x:c r="C554" s="54" t="str">
        <x:v>NYC-V2-R01</x:v>
      </x:c>
      <x:c r="D554" s="54" t="str">
        <x:v>V2</x:v>
      </x:c>
      <x:c r="E554" s="54" t="str">
        <x:v>ADMITTED</x:v>
      </x:c>
      <x:c r="F554" s="55" t="n">
        <x:v>31613</x:v>
      </x:c>
      <x:c r="G554" s="55" t="n">
        <x:v>8284</x:v>
      </x:c>
      <x:c r="H554" s="55" t="n">
        <x:v>3448</x:v>
      </x:c>
      <x:c r="I554" s="55" t="n">
        <x:v>1165</x:v>
      </x:c>
      <x:c r="J554" s="55" t="n">
        <x:v>133</x:v>
      </x:c>
      <x:c r="K554" s="55" t="n">
        <x:v>31613</x:v>
      </x:c>
      <x:c r="L554" s="55" t="n">
        <x:v>6284</x:v>
      </x:c>
      <x:c r="M554" s="55" t="n">
        <x:v>2183</x:v>
      </x:c>
      <x:c r="N554" s="55" t="n">
        <x:v>3061</x:v>
      </x:c>
      <x:c r="O554" s="55" t="n">
        <x:v>1040</x:v>
      </x:c>
      <x:c r="P554" s="55" t="n">
        <x:v>1114</x:v>
      </x:c>
      <x:c r="Q554" s="55" t="n">
        <x:v>1698</x:v>
      </x:c>
      <x:c r="R554" s="55" t="n">
        <x:v>1771</x:v>
      </x:c>
      <x:c r="S554" s="55" t="n">
        <x:v>2674</x:v>
      </x:c>
      <x:c r="T554" s="55" t="n">
        <x:v>1077</x:v>
      </x:c>
      <x:c r="U554" s="55" t="n">
        <x:v>1723</x:v>
      </x:c>
      <x:c r="V554" s="55" t="n">
        <x:v>10307</x:v>
      </x:c>
      <x:c r="W554" s="55" t="n">
        <x:v>7850</x:v>
      </x:c>
      <x:c r="X554" s="55" t="n">
        <x:v>2457</x:v>
      </x:c>
      <x:c r="Y554" s="55" t="n">
        <x:v>1905</x:v>
      </x:c>
      <x:c r="Z554" s="55" t="n">
        <x:v>3374</x:v>
      </x:c>
      <x:c r="AA554" s="55" t="n">
        <x:v>3257</x:v>
      </x:c>
      <x:c r="AB554" s="55" t="n">
        <x:v>1347</x:v>
      </x:c>
      <x:c r="AC554" s="55" t="n">
        <x:v>8276</x:v>
      </x:c>
      <x:c r="AD554" s="55" t="n">
        <x:v>2812</x:v>
      </x:c>
      <x:c r="AE554" s="55" t="n">
        <x:v>10395</x:v>
      </x:c>
      <x:c r="AF554" s="55" t="n">
        <x:v>10307</x:v>
      </x:c>
      <x:c r="AG554" s="55" t="n">
        <x:v>88</x:v>
      </x:c>
      <x:c r="AH554" s="55" t="n">
        <x:v>659</x:v>
      </x:c>
      <x:c r="AI554" s="55" t="n">
        <x:v>9648</x:v>
      </x:c>
      <x:c r="AJ554" s="55" t="n">
        <x:v>333</x:v>
      </x:c>
      <x:c r="AK554" s="55" t="n">
        <x:v>864</x:v>
      </x:c>
      <x:c r="AL554" s="55" t="n">
        <x:v>1419</x:v>
      </x:c>
      <x:c r="AM554" s="55" t="n">
        <x:v>4655</x:v>
      </x:c>
      <x:c r="AN554" s="55" t="n">
        <x:v>3036</x:v>
      </x:c>
      <x:c r="AO554" s="55" t="n">
        <x:v>0</x:v>
      </x:c>
      <x:c r="AP554" s="55" t="n">
        <x:v>2748</x:v>
      </x:c>
      <x:c r="AQ554" s="55" t="n">
        <x:v>932</x:v>
      </x:c>
    </x:row>
    <x:row r="555">
      <x:c r="A555" s="54" t="str">
        <x:v>T0_TABLE_BLOCK</x:v>
      </x:c>
      <x:c r="B555" s="54" t="n">
        <x:v>549</x:v>
      </x:c>
      <x:c r="C555" s="54" t="str">
        <x:v>NYC-V2-R01</x:v>
      </x:c>
      <x:c r="D555" s="54" t="str">
        <x:v>V2</x:v>
      </x:c>
      <x:c r="E555" s="54" t="str">
        <x:v>ADMITTED</x:v>
      </x:c>
      <x:c r="F555" s="55" t="n">
        <x:v>31556</x:v>
      </x:c>
      <x:c r="G555" s="55" t="n">
        <x:v>7887</x:v>
      </x:c>
      <x:c r="H555" s="55" t="n">
        <x:v>2886</x:v>
      </x:c>
      <x:c r="I555" s="55" t="n">
        <x:v>1202</x:v>
      </x:c>
      <x:c r="J555" s="55" t="n">
        <x:v>134</x:v>
      </x:c>
      <x:c r="K555" s="55" t="n">
        <x:v>31556</x:v>
      </x:c>
      <x:c r="L555" s="55" t="n">
        <x:v>6159</x:v>
      </x:c>
      <x:c r="M555" s="55" t="n">
        <x:v>1803</x:v>
      </x:c>
      <x:c r="N555" s="55" t="n">
        <x:v>2891</x:v>
      </x:c>
      <x:c r="O555" s="55" t="n">
        <x:v>1465</x:v>
      </x:c>
      <x:c r="P555" s="55" t="n">
        <x:v>942</x:v>
      </x:c>
      <x:c r="Q555" s="55" t="n">
        <x:v>2520</x:v>
      </x:c>
      <x:c r="R555" s="55" t="n">
        <x:v>1702</x:v>
      </x:c>
      <x:c r="S555" s="55" t="n">
        <x:v>3160</x:v>
      </x:c>
      <x:c r="T555" s="55" t="n">
        <x:v>1565</x:v>
      </x:c>
      <x:c r="U555" s="55" t="n">
        <x:v>1435</x:v>
      </x:c>
      <x:c r="V555" s="55" t="n">
        <x:v>10793</x:v>
      </x:c>
      <x:c r="W555" s="55" t="n">
        <x:v>7750</x:v>
      </x:c>
      <x:c r="X555" s="55" t="n">
        <x:v>3043</x:v>
      </x:c>
      <x:c r="Y555" s="55" t="n">
        <x:v>2676</x:v>
      </x:c>
      <x:c r="Z555" s="55" t="n">
        <x:v>3398</x:v>
      </x:c>
      <x:c r="AA555" s="55" t="n">
        <x:v>2491</x:v>
      </x:c>
      <x:c r="AB555" s="55" t="n">
        <x:v>758</x:v>
      </x:c>
      <x:c r="AC555" s="55" t="n">
        <x:v>8596</x:v>
      </x:c>
      <x:c r="AD555" s="55" t="n">
        <x:v>3367</x:v>
      </x:c>
      <x:c r="AE555" s="55" t="n">
        <x:v>10842</x:v>
      </x:c>
      <x:c r="AF555" s="55" t="n">
        <x:v>10793</x:v>
      </x:c>
      <x:c r="AG555" s="55" t="n">
        <x:v>49</x:v>
      </x:c>
      <x:c r="AH555" s="55" t="n">
        <x:v>815</x:v>
      </x:c>
      <x:c r="AI555" s="55" t="n">
        <x:v>9978</x:v>
      </x:c>
      <x:c r="AJ555" s="55" t="n">
        <x:v>514</x:v>
      </x:c>
      <x:c r="AK555" s="55" t="n">
        <x:v>1319</x:v>
      </x:c>
      <x:c r="AL555" s="55" t="n">
        <x:v>1836</x:v>
      </x:c>
      <x:c r="AM555" s="55" t="n">
        <x:v>4453</x:v>
      </x:c>
      <x:c r="AN555" s="55" t="n">
        <x:v>2671</x:v>
      </x:c>
      <x:c r="AO555" s="55" t="n">
        <x:v>0</x:v>
      </x:c>
      <x:c r="AP555" s="55" t="n">
        <x:v>2050</x:v>
      </x:c>
      <x:c r="AQ555" s="55" t="n">
        <x:v>967</x:v>
      </x:c>
    </x:row>
    <x:row r="556">
      <x:c r="A556" s="54" t="str">
        <x:v>T0_TABLE_BLOCK</x:v>
      </x:c>
      <x:c r="B556" s="54" t="n">
        <x:v>550</x:v>
      </x:c>
      <x:c r="C556" s="54" t="str">
        <x:v>NYC-V2-R01</x:v>
      </x:c>
      <x:c r="D556" s="54" t="str">
        <x:v>V2</x:v>
      </x:c>
      <x:c r="E556" s="54" t="str">
        <x:v>ADMITTED</x:v>
      </x:c>
      <x:c r="F556" s="55" t="n">
        <x:v>29588</x:v>
      </x:c>
      <x:c r="G556" s="55" t="n">
        <x:v>6905</x:v>
      </x:c>
      <x:c r="H556" s="55" t="n">
        <x:v>3647</x:v>
      </x:c>
      <x:c r="I556" s="55" t="n">
        <x:v>1525</x:v>
      </x:c>
      <x:c r="J556" s="55" t="n">
        <x:v>346</x:v>
      </x:c>
      <x:c r="K556" s="55" t="n">
        <x:v>29588</x:v>
      </x:c>
      <x:c r="L556" s="55" t="n">
        <x:v>5584</x:v>
      </x:c>
      <x:c r="M556" s="55" t="n">
        <x:v>1043</x:v>
      </x:c>
      <x:c r="N556" s="55" t="n">
        <x:v>2476</x:v>
      </x:c>
      <x:c r="O556" s="55" t="n">
        <x:v>2065</x:v>
      </x:c>
      <x:c r="P556" s="55" t="n">
        <x:v>507</x:v>
      </x:c>
      <x:c r="Q556" s="55" t="n">
        <x:v>2009</x:v>
      </x:c>
      <x:c r="R556" s="55" t="n">
        <x:v>1704</x:v>
      </x:c>
      <x:c r="S556" s="55" t="n">
        <x:v>2369</x:v>
      </x:c>
      <x:c r="T556" s="55" t="n">
        <x:v>1050</x:v>
      </x:c>
      <x:c r="U556" s="55" t="n">
        <x:v>1577</x:v>
      </x:c>
      <x:c r="V556" s="55" t="n">
        <x:v>11181</x:v>
      </x:c>
      <x:c r="W556" s="55" t="n">
        <x:v>8190</x:v>
      </x:c>
      <x:c r="X556" s="55" t="n">
        <x:v>2991</x:v>
      </x:c>
      <x:c r="Y556" s="55" t="n">
        <x:v>2553</x:v>
      </x:c>
      <x:c r="Z556" s="55" t="n">
        <x:v>4025</x:v>
      </x:c>
      <x:c r="AA556" s="55" t="n">
        <x:v>2823</x:v>
      </x:c>
      <x:c r="AB556" s="55" t="n">
        <x:v>1047</x:v>
      </x:c>
      <x:c r="AC556" s="55" t="n">
        <x:v>7825</x:v>
      </x:c>
      <x:c r="AD556" s="55" t="n">
        <x:v>3311</x:v>
      </x:c>
      <x:c r="AE556" s="55" t="n">
        <x:v>11229</x:v>
      </x:c>
      <x:c r="AF556" s="55" t="n">
        <x:v>11181</x:v>
      </x:c>
      <x:c r="AG556" s="55" t="n">
        <x:v>48</x:v>
      </x:c>
      <x:c r="AH556" s="55" t="n">
        <x:v>580</x:v>
      </x:c>
      <x:c r="AI556" s="55" t="n">
        <x:v>10601</x:v>
      </x:c>
      <x:c r="AJ556" s="55" t="n">
        <x:v>275</x:v>
      </x:c>
      <x:c r="AK556" s="55" t="n">
        <x:v>1119</x:v>
      </x:c>
      <x:c r="AL556" s="55" t="n">
        <x:v>2090</x:v>
      </x:c>
      <x:c r="AM556" s="55" t="n">
        <x:v>5461</x:v>
      </x:c>
      <x:c r="AN556" s="55" t="n">
        <x:v>2236</x:v>
      </x:c>
      <x:c r="AO556" s="55" t="n">
        <x:v>0</x:v>
      </x:c>
      <x:c r="AP556" s="55" t="n">
        <x:v>2518</x:v>
      </x:c>
      <x:c r="AQ556" s="55" t="n">
        <x:v>936</x:v>
      </x:c>
    </x:row>
    <x:row r="557">
      <x:c r="A557" s="54" t="str">
        <x:v>T0_TABLE_BLOCK</x:v>
      </x:c>
      <x:c r="B557" s="54" t="n">
        <x:v>551</x:v>
      </x:c>
      <x:c r="C557" s="54" t="str">
        <x:v>NYC-V2-R01</x:v>
      </x:c>
      <x:c r="D557" s="54" t="str">
        <x:v>V2</x:v>
      </x:c>
      <x:c r="E557" s="54" t="str">
        <x:v>ADMITTED</x:v>
      </x:c>
      <x:c r="F557" s="55" t="n">
        <x:v>31716</x:v>
      </x:c>
      <x:c r="G557" s="55" t="n">
        <x:v>9015</x:v>
      </x:c>
      <x:c r="H557" s="55" t="n">
        <x:v>3509</x:v>
      </x:c>
      <x:c r="I557" s="55" t="n">
        <x:v>1700</x:v>
      </x:c>
      <x:c r="J557" s="55" t="n">
        <x:v>285</x:v>
      </x:c>
      <x:c r="K557" s="55" t="n">
        <x:v>30793</x:v>
      </x:c>
      <x:c r="L557" s="55" t="n">
        <x:v>4046</x:v>
      </x:c>
      <x:c r="M557" s="55" t="n">
        <x:v>357</x:v>
      </x:c>
      <x:c r="N557" s="55" t="n">
        <x:v>2377</x:v>
      </x:c>
      <x:c r="O557" s="55" t="n">
        <x:v>1312</x:v>
      </x:c>
      <x:c r="P557" s="55" t="n">
        <x:v>957</x:v>
      </x:c>
      <x:c r="Q557" s="55" t="n">
        <x:v>2746</x:v>
      </x:c>
      <x:c r="R557" s="55" t="n">
        <x:v>2381</x:v>
      </x:c>
      <x:c r="S557" s="55" t="n">
        <x:v>2343</x:v>
      </x:c>
      <x:c r="T557" s="55" t="n">
        <x:v>1186</x:v>
      </x:c>
      <x:c r="U557" s="55" t="n">
        <x:v>1683</x:v>
      </x:c>
      <x:c r="V557" s="55" t="n">
        <x:v>10300</x:v>
      </x:c>
      <x:c r="W557" s="55" t="n">
        <x:v>7752</x:v>
      </x:c>
      <x:c r="X557" s="55" t="n">
        <x:v>2548</x:v>
      </x:c>
      <x:c r="Y557" s="55" t="n">
        <x:v>1989</x:v>
      </x:c>
      <x:c r="Z557" s="55" t="n">
        <x:v>3698</x:v>
      </x:c>
      <x:c r="AA557" s="55" t="n">
        <x:v>2722</x:v>
      </x:c>
      <x:c r="AB557" s="55" t="n">
        <x:v>1151</x:v>
      </x:c>
      <x:c r="AC557" s="55" t="n">
        <x:v>7992</x:v>
      </x:c>
      <x:c r="AD557" s="55" t="n">
        <x:v>3058</x:v>
      </x:c>
      <x:c r="AE557" s="55" t="n">
        <x:v>10508</x:v>
      </x:c>
      <x:c r="AF557" s="55" t="n">
        <x:v>10300</x:v>
      </x:c>
      <x:c r="AG557" s="55" t="n">
        <x:v>208</x:v>
      </x:c>
      <x:c r="AH557" s="55" t="n">
        <x:v>611</x:v>
      </x:c>
      <x:c r="AI557" s="55" t="n">
        <x:v>9689</x:v>
      </x:c>
      <x:c r="AJ557" s="55" t="n">
        <x:v>331</x:v>
      </x:c>
      <x:c r="AK557" s="55" t="n">
        <x:v>1323</x:v>
      </x:c>
      <x:c r="AL557" s="55" t="n">
        <x:v>1893</x:v>
      </x:c>
      <x:c r="AM557" s="55" t="n">
        <x:v>4093</x:v>
      </x:c>
      <x:c r="AN557" s="55" t="n">
        <x:v>2660</x:v>
      </x:c>
      <x:c r="AO557" s="55" t="n">
        <x:v>0</x:v>
      </x:c>
      <x:c r="AP557" s="55" t="n">
        <x:v>2453</x:v>
      </x:c>
      <x:c r="AQ557" s="55" t="n">
        <x:v>940</x:v>
      </x:c>
    </x:row>
    <x:row r="558">
      <x:c r="A558" s="54" t="str">
        <x:v>T0_TABLE_BLOCK</x:v>
      </x:c>
      <x:c r="B558" s="54" t="n">
        <x:v>552</x:v>
      </x:c>
      <x:c r="C558" s="54" t="str">
        <x:v>NYC-V2-R01</x:v>
      </x:c>
      <x:c r="D558" s="54" t="str">
        <x:v>V2</x:v>
      </x:c>
      <x:c r="E558" s="54" t="str">
        <x:v>ADMITTED</x:v>
      </x:c>
      <x:c r="F558" s="55" t="n">
        <x:v>31147</x:v>
      </x:c>
      <x:c r="G558" s="55" t="n">
        <x:v>7575</x:v>
      </x:c>
      <x:c r="H558" s="55" t="n">
        <x:v>3602</x:v>
      </x:c>
      <x:c r="I558" s="55" t="n">
        <x:v>1763</x:v>
      </x:c>
      <x:c r="J558" s="55" t="n">
        <x:v>222</x:v>
      </x:c>
      <x:c r="K558" s="55" t="n">
        <x:v>31147</x:v>
      </x:c>
      <x:c r="L558" s="55" t="n">
        <x:v>5440</x:v>
      </x:c>
      <x:c r="M558" s="55" t="n">
        <x:v>1199</x:v>
      </x:c>
      <x:c r="N558" s="55" t="n">
        <x:v>2167</x:v>
      </x:c>
      <x:c r="O558" s="55" t="n">
        <x:v>2074</x:v>
      </x:c>
      <x:c r="P558" s="55" t="n">
        <x:v>939</x:v>
      </x:c>
      <x:c r="Q558" s="55" t="n">
        <x:v>1379</x:v>
      </x:c>
      <x:c r="R558" s="55" t="n">
        <x:v>2518</x:v>
      </x:c>
      <x:c r="S558" s="55" t="n">
        <x:v>2455</x:v>
      </x:c>
      <x:c r="T558" s="55" t="n">
        <x:v>1420</x:v>
      </x:c>
      <x:c r="U558" s="55" t="n">
        <x:v>1563</x:v>
      </x:c>
      <x:c r="V558" s="55" t="n">
        <x:v>9701</x:v>
      </x:c>
      <x:c r="W558" s="55" t="n">
        <x:v>6641</x:v>
      </x:c>
      <x:c r="X558" s="55" t="n">
        <x:v>3060</x:v>
      </x:c>
      <x:c r="Y558" s="55" t="n">
        <x:v>2775</x:v>
      </x:c>
      <x:c r="Z558" s="55" t="n">
        <x:v>3513</x:v>
      </x:c>
      <x:c r="AA558" s="55" t="n">
        <x:v>3602</x:v>
      </x:c>
      <x:c r="AB558" s="55" t="n">
        <x:v>1121</x:v>
      </x:c>
      <x:c r="AC558" s="55" t="n">
        <x:v>8436</x:v>
      </x:c>
      <x:c r="AD558" s="55" t="n">
        <x:v>3014</x:v>
      </x:c>
      <x:c r="AE558" s="55" t="n">
        <x:v>9841</x:v>
      </x:c>
      <x:c r="AF558" s="55" t="n">
        <x:v>9701</x:v>
      </x:c>
      <x:c r="AG558" s="55" t="n">
        <x:v>140</x:v>
      </x:c>
      <x:c r="AH558" s="55" t="n">
        <x:v>283</x:v>
      </x:c>
      <x:c r="AI558" s="55" t="n">
        <x:v>9418</x:v>
      </x:c>
      <x:c r="AJ558" s="55" t="n">
        <x:v>415</x:v>
      </x:c>
      <x:c r="AK558" s="55" t="n">
        <x:v>741</x:v>
      </x:c>
      <x:c r="AL558" s="55" t="n">
        <x:v>1650</x:v>
      </x:c>
      <x:c r="AM558" s="55" t="n">
        <x:v>4082</x:v>
      </x:c>
      <x:c r="AN558" s="55" t="n">
        <x:v>2810</x:v>
      </x:c>
      <x:c r="AO558" s="55" t="n">
        <x:v>3</x:v>
      </x:c>
      <x:c r="AP558" s="55" t="n">
        <x:v>2262</x:v>
      </x:c>
      <x:c r="AQ558" s="55" t="n">
        <x:v>914</x:v>
      </x:c>
    </x:row>
    <x:row r="559">
      <x:c r="A559" s="54" t="str">
        <x:v>T0_TABLE_BLOCK</x:v>
      </x:c>
      <x:c r="B559" s="54" t="n">
        <x:v>553</x:v>
      </x:c>
      <x:c r="C559" s="54" t="str">
        <x:v>NYC-V2-R01</x:v>
      </x:c>
      <x:c r="D559" s="54" t="str">
        <x:v>V2</x:v>
      </x:c>
      <x:c r="E559" s="54" t="str">
        <x:v>ADMITTED</x:v>
      </x:c>
      <x:c r="F559" s="55" t="n">
        <x:v>33367</x:v>
      </x:c>
      <x:c r="G559" s="55" t="n">
        <x:v>9956</x:v>
      </x:c>
      <x:c r="H559" s="55" t="n">
        <x:v>3173</x:v>
      </x:c>
      <x:c r="I559" s="55" t="n">
        <x:v>1131</x:v>
      </x:c>
      <x:c r="J559" s="55" t="n">
        <x:v>393</x:v>
      </x:c>
      <x:c r="K559" s="55" t="n">
        <x:v>31046</x:v>
      </x:c>
      <x:c r="L559" s="55" t="n">
        <x:v>5570</x:v>
      </x:c>
      <x:c r="M559" s="55" t="n">
        <x:v>1398</x:v>
      </x:c>
      <x:c r="N559" s="55" t="n">
        <x:v>2622</x:v>
      </x:c>
      <x:c r="O559" s="55" t="n">
        <x:v>1550</x:v>
      </x:c>
      <x:c r="P559" s="55" t="n">
        <x:v>1101</x:v>
      </x:c>
      <x:c r="Q559" s="55" t="n">
        <x:v>2549</x:v>
      </x:c>
      <x:c r="R559" s="55" t="n">
        <x:v>1776</x:v>
      </x:c>
      <x:c r="S559" s="55" t="n">
        <x:v>2933</x:v>
      </x:c>
      <x:c r="T559" s="55" t="n">
        <x:v>1262</x:v>
      </x:c>
      <x:c r="U559" s="55" t="n">
        <x:v>2318</x:v>
      </x:c>
      <x:c r="V559" s="55" t="n">
        <x:v>10385</x:v>
      </x:c>
      <x:c r="W559" s="55" t="n">
        <x:v>7309</x:v>
      </x:c>
      <x:c r="X559" s="55" t="n">
        <x:v>3076</x:v>
      </x:c>
      <x:c r="Y559" s="55" t="n">
        <x:v>2761</x:v>
      </x:c>
      <x:c r="Z559" s="55" t="n">
        <x:v>3586</x:v>
      </x:c>
      <x:c r="AA559" s="55" t="n">
        <x:v>3173</x:v>
      </x:c>
      <x:c r="AB559" s="55" t="n">
        <x:v>1532</x:v>
      </x:c>
      <x:c r="AC559" s="55" t="n">
        <x:v>8388</x:v>
      </x:c>
      <x:c r="AD559" s="55" t="n">
        <x:v>3246</x:v>
      </x:c>
      <x:c r="AE559" s="55" t="n">
        <x:v>10436</x:v>
      </x:c>
      <x:c r="AF559" s="55" t="n">
        <x:v>10385</x:v>
      </x:c>
      <x:c r="AG559" s="55" t="n">
        <x:v>51</x:v>
      </x:c>
      <x:c r="AH559" s="55" t="n">
        <x:v>480</x:v>
      </x:c>
      <x:c r="AI559" s="55" t="n">
        <x:v>9905</x:v>
      </x:c>
      <x:c r="AJ559" s="55" t="n">
        <x:v>507</x:v>
      </x:c>
      <x:c r="AK559" s="55" t="n">
        <x:v>605</x:v>
      </x:c>
      <x:c r="AL559" s="55" t="n">
        <x:v>1879</x:v>
      </x:c>
      <x:c r="AM559" s="55" t="n">
        <x:v>4361</x:v>
      </x:c>
      <x:c r="AN559" s="55" t="n">
        <x:v>3033</x:v>
      </x:c>
      <x:c r="AO559" s="55" t="n">
        <x:v>0</x:v>
      </x:c>
      <x:c r="AP559" s="55" t="n">
        <x:v>2207</x:v>
      </x:c>
      <x:c r="AQ559" s="55" t="n">
        <x:v>984</x:v>
      </x:c>
    </x:row>
    <x:row r="560">
      <x:c r="A560" s="54" t="str">
        <x:v>T0_TABLE_BLOCK</x:v>
      </x:c>
      <x:c r="B560" s="54" t="n">
        <x:v>554</x:v>
      </x:c>
      <x:c r="C560" s="54" t="str">
        <x:v>NYC-V2-R01</x:v>
      </x:c>
      <x:c r="D560" s="54" t="str">
        <x:v>V2</x:v>
      </x:c>
      <x:c r="E560" s="54" t="str">
        <x:v>ADMITTED</x:v>
      </x:c>
      <x:c r="F560" s="55" t="n">
        <x:v>34294</x:v>
      </x:c>
      <x:c r="G560" s="55" t="n">
        <x:v>8320</x:v>
      </x:c>
      <x:c r="H560" s="55" t="n">
        <x:v>3715</x:v>
      </x:c>
      <x:c r="I560" s="55" t="n">
        <x:v>1124</x:v>
      </x:c>
      <x:c r="J560" s="55" t="n">
        <x:v>248</x:v>
      </x:c>
      <x:c r="K560" s="55" t="n">
        <x:v>29418</x:v>
      </x:c>
      <x:c r="L560" s="55" t="n">
        <x:v>5450</x:v>
      </x:c>
      <x:c r="M560" s="55" t="n">
        <x:v>1645</x:v>
      </x:c>
      <x:c r="N560" s="55" t="n">
        <x:v>2440</x:v>
      </x:c>
      <x:c r="O560" s="55" t="n">
        <x:v>1365</x:v>
      </x:c>
      <x:c r="P560" s="55" t="n">
        <x:v>999</x:v>
      </x:c>
      <x:c r="Q560" s="55" t="n">
        <x:v>1373</x:v>
      </x:c>
      <x:c r="R560" s="55" t="n">
        <x:v>1583</x:v>
      </x:c>
      <x:c r="S560" s="55" t="n">
        <x:v>1725</x:v>
      </x:c>
      <x:c r="T560" s="55" t="n">
        <x:v>1797</x:v>
      </x:c>
      <x:c r="U560" s="55" t="n">
        <x:v>1273</x:v>
      </x:c>
      <x:c r="V560" s="55" t="n">
        <x:v>10658</x:v>
      </x:c>
      <x:c r="W560" s="55" t="n">
        <x:v>7696</x:v>
      </x:c>
      <x:c r="X560" s="55" t="n">
        <x:v>2962</x:v>
      </x:c>
      <x:c r="Y560" s="55" t="n">
        <x:v>2837</x:v>
      </x:c>
      <x:c r="Z560" s="55" t="n">
        <x:v>4206</x:v>
      </x:c>
      <x:c r="AA560" s="55" t="n">
        <x:v>3715</x:v>
      </x:c>
      <x:c r="AB560" s="55" t="n">
        <x:v>1440</x:v>
      </x:c>
      <x:c r="AC560" s="55" t="n">
        <x:v>8117</x:v>
      </x:c>
      <x:c r="AD560" s="55" t="n">
        <x:v>2945</x:v>
      </x:c>
      <x:c r="AE560" s="55" t="n">
        <x:v>10734</x:v>
      </x:c>
      <x:c r="AF560" s="55" t="n">
        <x:v>10658</x:v>
      </x:c>
      <x:c r="AG560" s="55" t="n">
        <x:v>76</x:v>
      </x:c>
      <x:c r="AH560" s="55" t="n">
        <x:v>438</x:v>
      </x:c>
      <x:c r="AI560" s="55" t="n">
        <x:v>10220</x:v>
      </x:c>
      <x:c r="AJ560" s="55" t="n">
        <x:v>419</x:v>
      </x:c>
      <x:c r="AK560" s="55" t="n">
        <x:v>1072</x:v>
      </x:c>
      <x:c r="AL560" s="55" t="n">
        <x:v>1787</x:v>
      </x:c>
      <x:c r="AM560" s="55" t="n">
        <x:v>4529</x:v>
      </x:c>
      <x:c r="AN560" s="55" t="n">
        <x:v>2851</x:v>
      </x:c>
      <x:c r="AO560" s="55" t="n">
        <x:v>0</x:v>
      </x:c>
      <x:c r="AP560" s="55" t="n">
        <x:v>2556</x:v>
      </x:c>
      <x:c r="AQ560" s="55" t="n">
        <x:v>954</x:v>
      </x:c>
    </x:row>
    <x:row r="561">
      <x:c r="A561" s="54" t="str">
        <x:v>T0_TABLE_BLOCK</x:v>
      </x:c>
      <x:c r="B561" s="54" t="n">
        <x:v>555</x:v>
      </x:c>
      <x:c r="C561" s="54" t="str">
        <x:v>NYC-V2-R01</x:v>
      </x:c>
      <x:c r="D561" s="54" t="str">
        <x:v>V2</x:v>
      </x:c>
      <x:c r="E561" s="54" t="str">
        <x:v>ADMITTED</x:v>
      </x:c>
      <x:c r="F561" s="55" t="n">
        <x:v>30647</x:v>
      </x:c>
      <x:c r="G561" s="55" t="n">
        <x:v>7530</x:v>
      </x:c>
      <x:c r="H561" s="55" t="n">
        <x:v>3353</x:v>
      </x:c>
      <x:c r="I561" s="55" t="n">
        <x:v>1265</x:v>
      </x:c>
      <x:c r="J561" s="55" t="n">
        <x:v>92</x:v>
      </x:c>
      <x:c r="K561" s="55" t="n">
        <x:v>30621</x:v>
      </x:c>
      <x:c r="L561" s="55" t="n">
        <x:v>5429</x:v>
      </x:c>
      <x:c r="M561" s="55" t="n">
        <x:v>1567</x:v>
      </x:c>
      <x:c r="N561" s="55" t="n">
        <x:v>2245</x:v>
      </x:c>
      <x:c r="O561" s="55" t="n">
        <x:v>1617</x:v>
      </x:c>
      <x:c r="P561" s="55" t="n">
        <x:v>825</x:v>
      </x:c>
      <x:c r="Q561" s="55" t="n">
        <x:v>2371</x:v>
      </x:c>
      <x:c r="R561" s="55" t="n">
        <x:v>1474</x:v>
      </x:c>
      <x:c r="S561" s="55" t="n">
        <x:v>2909</x:v>
      </x:c>
      <x:c r="T561" s="55" t="n">
        <x:v>1183</x:v>
      </x:c>
      <x:c r="U561" s="55" t="n">
        <x:v>1981</x:v>
      </x:c>
      <x:c r="V561" s="55" t="n">
        <x:v>10801</x:v>
      </x:c>
      <x:c r="W561" s="55" t="n">
        <x:v>7785</x:v>
      </x:c>
      <x:c r="X561" s="55" t="n">
        <x:v>3016</x:v>
      </x:c>
      <x:c r="Y561" s="55" t="n">
        <x:v>2720</x:v>
      </x:c>
      <x:c r="Z561" s="55" t="n">
        <x:v>3563</x:v>
      </x:c>
      <x:c r="AA561" s="55" t="n">
        <x:v>2801</x:v>
      </x:c>
      <x:c r="AB561" s="55" t="n">
        <x:v>905</x:v>
      </x:c>
      <x:c r="AC561" s="55" t="n">
        <x:v>7856</x:v>
      </x:c>
      <x:c r="AD561" s="55" t="n">
        <x:v>2205</x:v>
      </x:c>
      <x:c r="AE561" s="55" t="n">
        <x:v>10819</x:v>
      </x:c>
      <x:c r="AF561" s="55" t="n">
        <x:v>10801</x:v>
      </x:c>
      <x:c r="AG561" s="55" t="n">
        <x:v>18</x:v>
      </x:c>
      <x:c r="AH561" s="55" t="n">
        <x:v>433</x:v>
      </x:c>
      <x:c r="AI561" s="55" t="n">
        <x:v>10368</x:v>
      </x:c>
      <x:c r="AJ561" s="55" t="n">
        <x:v>166</x:v>
      </x:c>
      <x:c r="AK561" s="55" t="n">
        <x:v>1161</x:v>
      </x:c>
      <x:c r="AL561" s="55" t="n">
        <x:v>1764</x:v>
      </x:c>
      <x:c r="AM561" s="55" t="n">
        <x:v>4866</x:v>
      </x:c>
      <x:c r="AN561" s="55" t="n">
        <x:v>2844</x:v>
      </x:c>
      <x:c r="AO561" s="55" t="n">
        <x:v>0</x:v>
      </x:c>
      <x:c r="AP561" s="55" t="n">
        <x:v>2589</x:v>
      </x:c>
      <x:c r="AQ561" s="55" t="n">
        <x:v>972</x:v>
      </x:c>
    </x:row>
    <x:row r="562">
      <x:c r="A562" s="54" t="str">
        <x:v>T0_TABLE_BLOCK</x:v>
      </x:c>
      <x:c r="B562" s="54" t="n">
        <x:v>556</x:v>
      </x:c>
      <x:c r="C562" s="54" t="str">
        <x:v>NYC-V2-R01</x:v>
      </x:c>
      <x:c r="D562" s="54" t="str">
        <x:v>V2</x:v>
      </x:c>
      <x:c r="E562" s="54" t="str">
        <x:v>ADMITTED</x:v>
      </x:c>
      <x:c r="F562" s="55" t="n">
        <x:v>34760</x:v>
      </x:c>
      <x:c r="G562" s="55" t="n">
        <x:v>6923</x:v>
      </x:c>
      <x:c r="H562" s="55" t="n">
        <x:v>3336</x:v>
      </x:c>
      <x:c r="I562" s="55" t="n">
        <x:v>1332</x:v>
      </x:c>
      <x:c r="J562" s="55" t="n">
        <x:v>234</x:v>
      </x:c>
      <x:c r="K562" s="55" t="n">
        <x:v>34760</x:v>
      </x:c>
      <x:c r="L562" s="55" t="n">
        <x:v>6640</x:v>
      </x:c>
      <x:c r="M562" s="55" t="n">
        <x:v>1739</x:v>
      </x:c>
      <x:c r="N562" s="55" t="n">
        <x:v>2436</x:v>
      </x:c>
      <x:c r="O562" s="55" t="n">
        <x:v>2465</x:v>
      </x:c>
      <x:c r="P562" s="55" t="n">
        <x:v>613</x:v>
      </x:c>
      <x:c r="Q562" s="55" t="n">
        <x:v>1686</x:v>
      </x:c>
      <x:c r="R562" s="55" t="n">
        <x:v>2160</x:v>
      </x:c>
      <x:c r="S562" s="55" t="n">
        <x:v>3028</x:v>
      </x:c>
      <x:c r="T562" s="55" t="n">
        <x:v>1530</x:v>
      </x:c>
      <x:c r="U562" s="55" t="n">
        <x:v>1968</x:v>
      </x:c>
      <x:c r="V562" s="55" t="n">
        <x:v>10247</x:v>
      </x:c>
      <x:c r="W562" s="55" t="n">
        <x:v>6901</x:v>
      </x:c>
      <x:c r="X562" s="55" t="n">
        <x:v>3346</x:v>
      </x:c>
      <x:c r="Y562" s="55" t="n">
        <x:v>2675</x:v>
      </x:c>
      <x:c r="Z562" s="55" t="n">
        <x:v>3471</x:v>
      </x:c>
      <x:c r="AA562" s="55" t="n">
        <x:v>3336</x:v>
      </x:c>
      <x:c r="AB562" s="55" t="n">
        <x:v>685</x:v>
      </x:c>
      <x:c r="AC562" s="55" t="n">
        <x:v>7934</x:v>
      </x:c>
      <x:c r="AD562" s="55" t="n">
        <x:v>3028</x:v>
      </x:c>
      <x:c r="AE562" s="55" t="n">
        <x:v>10324</x:v>
      </x:c>
      <x:c r="AF562" s="55" t="n">
        <x:v>10247</x:v>
      </x:c>
      <x:c r="AG562" s="55" t="n">
        <x:v>77</x:v>
      </x:c>
      <x:c r="AH562" s="55" t="n">
        <x:v>94</x:v>
      </x:c>
      <x:c r="AI562" s="55" t="n">
        <x:v>10153</x:v>
      </x:c>
      <x:c r="AJ562" s="55" t="n">
        <x:v>388</x:v>
      </x:c>
      <x:c r="AK562" s="55" t="n">
        <x:v>744</x:v>
      </x:c>
      <x:c r="AL562" s="55" t="n">
        <x:v>1149</x:v>
      </x:c>
      <x:c r="AM562" s="55" t="n">
        <x:v>5327</x:v>
      </x:c>
      <x:c r="AN562" s="55" t="n">
        <x:v>2599</x:v>
      </x:c>
      <x:c r="AO562" s="55" t="n">
        <x:v>40</x:v>
      </x:c>
      <x:c r="AP562" s="55" t="n">
        <x:v>2472</x:v>
      </x:c>
      <x:c r="AQ562" s="55" t="n">
        <x:v>959</x:v>
      </x:c>
    </x:row>
    <x:row r="563">
      <x:c r="A563" s="54" t="str">
        <x:v>T0_TABLE_BLOCK</x:v>
      </x:c>
      <x:c r="B563" s="54" t="n">
        <x:v>557</x:v>
      </x:c>
      <x:c r="C563" s="54" t="str">
        <x:v>NYC-V2-R01</x:v>
      </x:c>
      <x:c r="D563" s="54" t="str">
        <x:v>V2</x:v>
      </x:c>
      <x:c r="E563" s="54" t="str">
        <x:v>ADMITTED</x:v>
      </x:c>
      <x:c r="F563" s="55" t="n">
        <x:v>31522</x:v>
      </x:c>
      <x:c r="G563" s="55" t="n">
        <x:v>8622</x:v>
      </x:c>
      <x:c r="H563" s="55" t="n">
        <x:v>3251</x:v>
      </x:c>
      <x:c r="I563" s="55" t="n">
        <x:v>1081</x:v>
      </x:c>
      <x:c r="J563" s="55" t="n">
        <x:v>123</x:v>
      </x:c>
      <x:c r="K563" s="55" t="n">
        <x:v>29165</x:v>
      </x:c>
      <x:c r="L563" s="55" t="n">
        <x:v>5944</x:v>
      </x:c>
      <x:c r="M563" s="55" t="n">
        <x:v>1662</x:v>
      </x:c>
      <x:c r="N563" s="55" t="n">
        <x:v>2390</x:v>
      </x:c>
      <x:c r="O563" s="55" t="n">
        <x:v>1892</x:v>
      </x:c>
      <x:c r="P563" s="55" t="n">
        <x:v>1126</x:v>
      </x:c>
      <x:c r="Q563" s="55" t="n">
        <x:v>2839</x:v>
      </x:c>
      <x:c r="R563" s="55" t="n">
        <x:v>1908</x:v>
      </x:c>
      <x:c r="S563" s="55" t="n">
        <x:v>2002</x:v>
      </x:c>
      <x:c r="T563" s="55" t="n">
        <x:v>1203</x:v>
      </x:c>
      <x:c r="U563" s="55" t="n">
        <x:v>2228</x:v>
      </x:c>
      <x:c r="V563" s="55" t="n">
        <x:v>10392</x:v>
      </x:c>
      <x:c r="W563" s="55" t="n">
        <x:v>7394</x:v>
      </x:c>
      <x:c r="X563" s="55" t="n">
        <x:v>2998</x:v>
      </x:c>
      <x:c r="Y563" s="55" t="n">
        <x:v>2666</x:v>
      </x:c>
      <x:c r="Z563" s="55" t="n">
        <x:v>3367</x:v>
      </x:c>
      <x:c r="AA563" s="55" t="n">
        <x:v>2897</x:v>
      </x:c>
      <x:c r="AB563" s="55" t="n">
        <x:v>970</x:v>
      </x:c>
      <x:c r="AC563" s="55" t="n">
        <x:v>8131</x:v>
      </x:c>
      <x:c r="AD563" s="55" t="n">
        <x:v>3358</x:v>
      </x:c>
      <x:c r="AE563" s="55" t="n">
        <x:v>10513</x:v>
      </x:c>
      <x:c r="AF563" s="55" t="n">
        <x:v>10392</x:v>
      </x:c>
      <x:c r="AG563" s="55" t="n">
        <x:v>121</x:v>
      </x:c>
      <x:c r="AH563" s="55" t="n">
        <x:v>453</x:v>
      </x:c>
      <x:c r="AI563" s="55" t="n">
        <x:v>9939</x:v>
      </x:c>
      <x:c r="AJ563" s="55" t="n">
        <x:v>378</x:v>
      </x:c>
      <x:c r="AK563" s="55" t="n">
        <x:v>1099</x:v>
      </x:c>
      <x:c r="AL563" s="55" t="n">
        <x:v>1393</x:v>
      </x:c>
      <x:c r="AM563" s="55" t="n">
        <x:v>4788</x:v>
      </x:c>
      <x:c r="AN563" s="55" t="n">
        <x:v>2711</x:v>
      </x:c>
      <x:c r="AO563" s="55" t="n">
        <x:v>23</x:v>
      </x:c>
      <x:c r="AP563" s="55" t="n">
        <x:v>2365</x:v>
      </x:c>
      <x:c r="AQ563" s="55" t="n">
        <x:v>985</x:v>
      </x:c>
    </x:row>
    <x:row r="564">
      <x:c r="A564" s="54" t="str">
        <x:v>T0_TABLE_BLOCK</x:v>
      </x:c>
      <x:c r="B564" s="54" t="n">
        <x:v>558</x:v>
      </x:c>
      <x:c r="C564" s="54" t="str">
        <x:v>NYC-V2-R01</x:v>
      </x:c>
      <x:c r="D564" s="54" t="str">
        <x:v>V2</x:v>
      </x:c>
      <x:c r="E564" s="54" t="str">
        <x:v>ADMITTED</x:v>
      </x:c>
      <x:c r="F564" s="55" t="n">
        <x:v>32018</x:v>
      </x:c>
      <x:c r="G564" s="55" t="n">
        <x:v>6885</x:v>
      </x:c>
      <x:c r="H564" s="55" t="n">
        <x:v>3173</x:v>
      </x:c>
      <x:c r="I564" s="55" t="n">
        <x:v>1267</x:v>
      </x:c>
      <x:c r="J564" s="55" t="n">
        <x:v>101</x:v>
      </x:c>
      <x:c r="K564" s="55" t="n">
        <x:v>32018</x:v>
      </x:c>
      <x:c r="L564" s="55" t="n">
        <x:v>6725</x:v>
      </x:c>
      <x:c r="M564" s="55" t="n">
        <x:v>1379</x:v>
      </x:c>
      <x:c r="N564" s="55" t="n">
        <x:v>3426</x:v>
      </x:c>
      <x:c r="O564" s="55" t="n">
        <x:v>1920</x:v>
      </x:c>
      <x:c r="P564" s="55" t="n">
        <x:v>621</x:v>
      </x:c>
      <x:c r="Q564" s="55" t="n">
        <x:v>1962</x:v>
      </x:c>
      <x:c r="R564" s="55" t="n">
        <x:v>1480</x:v>
      </x:c>
      <x:c r="S564" s="55" t="n">
        <x:v>2585</x:v>
      </x:c>
      <x:c r="T564" s="55" t="n">
        <x:v>1639</x:v>
      </x:c>
      <x:c r="U564" s="55" t="n">
        <x:v>1651</x:v>
      </x:c>
      <x:c r="V564" s="55" t="n">
        <x:v>10168</x:v>
      </x:c>
      <x:c r="W564" s="55" t="n">
        <x:v>7306</x:v>
      </x:c>
      <x:c r="X564" s="55" t="n">
        <x:v>2862</x:v>
      </x:c>
      <x:c r="Y564" s="55" t="n">
        <x:v>2463</x:v>
      </x:c>
      <x:c r="Z564" s="55" t="n">
        <x:v>3495</x:v>
      </x:c>
      <x:c r="AA564" s="55" t="n">
        <x:v>3155</x:v>
      </x:c>
      <x:c r="AB564" s="55" t="n">
        <x:v>988</x:v>
      </x:c>
      <x:c r="AC564" s="55" t="n">
        <x:v>8626</x:v>
      </x:c>
      <x:c r="AD564" s="55" t="n">
        <x:v>3082</x:v>
      </x:c>
      <x:c r="AE564" s="55" t="n">
        <x:v>10217</x:v>
      </x:c>
      <x:c r="AF564" s="55" t="n">
        <x:v>10168</x:v>
      </x:c>
      <x:c r="AG564" s="55" t="n">
        <x:v>49</x:v>
      </x:c>
      <x:c r="AH564" s="55" t="n">
        <x:v>461</x:v>
      </x:c>
      <x:c r="AI564" s="55" t="n">
        <x:v>9707</x:v>
      </x:c>
      <x:c r="AJ564" s="55" t="n">
        <x:v>376</x:v>
      </x:c>
      <x:c r="AK564" s="55" t="n">
        <x:v>716</x:v>
      </x:c>
      <x:c r="AL564" s="55" t="n">
        <x:v>1226</x:v>
      </x:c>
      <x:c r="AM564" s="55" t="n">
        <x:v>5192</x:v>
      </x:c>
      <x:c r="AN564" s="55" t="n">
        <x:v>2583</x:v>
      </x:c>
      <x:c r="AO564" s="55" t="n">
        <x:v>75</x:v>
      </x:c>
      <x:c r="AP564" s="55" t="n">
        <x:v>2866</x:v>
      </x:c>
      <x:c r="AQ564" s="55" t="n">
        <x:v>975</x:v>
      </x:c>
    </x:row>
    <x:row r="565">
      <x:c r="A565" s="54" t="str">
        <x:v>T0_TABLE_BLOCK</x:v>
      </x:c>
      <x:c r="B565" s="54" t="n">
        <x:v>559</x:v>
      </x:c>
      <x:c r="C565" s="54" t="str">
        <x:v>NYC-V2-R01</x:v>
      </x:c>
      <x:c r="D565" s="54" t="str">
        <x:v>V2</x:v>
      </x:c>
      <x:c r="E565" s="54" t="str">
        <x:v>ADMITTED</x:v>
      </x:c>
      <x:c r="F565" s="55" t="n">
        <x:v>32108</x:v>
      </x:c>
      <x:c r="G565" s="55" t="n">
        <x:v>6949</x:v>
      </x:c>
      <x:c r="H565" s="55" t="n">
        <x:v>3724</x:v>
      </x:c>
      <x:c r="I565" s="55" t="n">
        <x:v>1195</x:v>
      </x:c>
      <x:c r="J565" s="55" t="n">
        <x:v>245</x:v>
      </x:c>
      <x:c r="K565" s="55" t="n">
        <x:v>32108</x:v>
      </x:c>
      <x:c r="L565" s="55" t="n">
        <x:v>5556</x:v>
      </x:c>
      <x:c r="M565" s="55" t="n">
        <x:v>791</x:v>
      </x:c>
      <x:c r="N565" s="55" t="n">
        <x:v>2958</x:v>
      </x:c>
      <x:c r="O565" s="55" t="n">
        <x:v>1807</x:v>
      </x:c>
      <x:c r="P565" s="55" t="n">
        <x:v>1043</x:v>
      </x:c>
      <x:c r="Q565" s="55" t="n">
        <x:v>2421</x:v>
      </x:c>
      <x:c r="R565" s="55" t="n">
        <x:v>1783</x:v>
      </x:c>
      <x:c r="S565" s="55" t="n">
        <x:v>2256</x:v>
      </x:c>
      <x:c r="T565" s="55" t="n">
        <x:v>1016</x:v>
      </x:c>
      <x:c r="U565" s="55" t="n">
        <x:v>2054</x:v>
      </x:c>
      <x:c r="V565" s="55" t="n">
        <x:v>10248</x:v>
      </x:c>
      <x:c r="W565" s="55" t="n">
        <x:v>7829</x:v>
      </x:c>
      <x:c r="X565" s="55" t="n">
        <x:v>2419</x:v>
      </x:c>
      <x:c r="Y565" s="55" t="n">
        <x:v>2164</x:v>
      </x:c>
      <x:c r="Z565" s="55" t="n">
        <x:v>3861</x:v>
      </x:c>
      <x:c r="AA565" s="55" t="n">
        <x:v>3724</x:v>
      </x:c>
      <x:c r="AB565" s="55" t="n">
        <x:v>1077</x:v>
      </x:c>
      <x:c r="AC565" s="55" t="n">
        <x:v>8471</x:v>
      </x:c>
      <x:c r="AD565" s="55" t="n">
        <x:v>2591</x:v>
      </x:c>
      <x:c r="AE565" s="55" t="n">
        <x:v>10356</x:v>
      </x:c>
      <x:c r="AF565" s="55" t="n">
        <x:v>10248</x:v>
      </x:c>
      <x:c r="AG565" s="55" t="n">
        <x:v>108</x:v>
      </x:c>
      <x:c r="AH565" s="55" t="n">
        <x:v>373</x:v>
      </x:c>
      <x:c r="AI565" s="55" t="n">
        <x:v>9875</x:v>
      </x:c>
      <x:c r="AJ565" s="55" t="n">
        <x:v>243</x:v>
      </x:c>
      <x:c r="AK565" s="55" t="n">
        <x:v>868</x:v>
      </x:c>
      <x:c r="AL565" s="55" t="n">
        <x:v>1946</x:v>
      </x:c>
      <x:c r="AM565" s="55" t="n">
        <x:v>5159</x:v>
      </x:c>
      <x:c r="AN565" s="55" t="n">
        <x:v>2005</x:v>
      </x:c>
      <x:c r="AO565" s="55" t="n">
        <x:v>27</x:v>
      </x:c>
      <x:c r="AP565" s="55" t="n">
        <x:v>2098</x:v>
      </x:c>
      <x:c r="AQ565" s="55" t="n">
        <x:v>1006</x:v>
      </x:c>
    </x:row>
    <x:row r="566">
      <x:c r="A566" s="54" t="str">
        <x:v>T0_TABLE_BLOCK</x:v>
      </x:c>
      <x:c r="B566" s="54" t="n">
        <x:v>560</x:v>
      </x:c>
      <x:c r="C566" s="54" t="str">
        <x:v>NYC-V2-R01</x:v>
      </x:c>
      <x:c r="D566" s="54" t="str">
        <x:v>V2</x:v>
      </x:c>
      <x:c r="E566" s="54" t="str">
        <x:v>ADMITTED</x:v>
      </x:c>
      <x:c r="F566" s="55" t="n">
        <x:v>30436</x:v>
      </x:c>
      <x:c r="G566" s="55" t="n">
        <x:v>7090</x:v>
      </x:c>
      <x:c r="H566" s="55" t="n">
        <x:v>3261</x:v>
      </x:c>
      <x:c r="I566" s="55" t="n">
        <x:v>914</x:v>
      </x:c>
      <x:c r="J566" s="55" t="n">
        <x:v>43</x:v>
      </x:c>
      <x:c r="K566" s="55" t="n">
        <x:v>29100</x:v>
      </x:c>
      <x:c r="L566" s="55" t="n">
        <x:v>4803</x:v>
      </x:c>
      <x:c r="M566" s="55" t="n">
        <x:v>355</x:v>
      </x:c>
      <x:c r="N566" s="55" t="n">
        <x:v>2844</x:v>
      </x:c>
      <x:c r="O566" s="55" t="n">
        <x:v>1604</x:v>
      </x:c>
      <x:c r="P566" s="55" t="n">
        <x:v>783</x:v>
      </x:c>
      <x:c r="Q566" s="55" t="n">
        <x:v>2098</x:v>
      </x:c>
      <x:c r="R566" s="55" t="n">
        <x:v>1975</x:v>
      </x:c>
      <x:c r="S566" s="55" t="n">
        <x:v>2420</x:v>
      </x:c>
      <x:c r="T566" s="55" t="n">
        <x:v>1241</x:v>
      </x:c>
      <x:c r="U566" s="55" t="n">
        <x:v>2408</x:v>
      </x:c>
      <x:c r="V566" s="55" t="n">
        <x:v>10810</x:v>
      </x:c>
      <x:c r="W566" s="55" t="n">
        <x:v>7005</x:v>
      </x:c>
      <x:c r="X566" s="55" t="n">
        <x:v>3805</x:v>
      </x:c>
      <x:c r="Y566" s="55" t="n">
        <x:v>3343</x:v>
      </x:c>
      <x:c r="Z566" s="55" t="n">
        <x:v>3604</x:v>
      </x:c>
      <x:c r="AA566" s="55" t="n">
        <x:v>3002</x:v>
      </x:c>
      <x:c r="AB566" s="55" t="n">
        <x:v>1101</x:v>
      </x:c>
      <x:c r="AC566" s="55" t="n">
        <x:v>7612</x:v>
      </x:c>
      <x:c r="AD566" s="55" t="n">
        <x:v>2997</x:v>
      </x:c>
      <x:c r="AE566" s="55" t="n">
        <x:v>10837</x:v>
      </x:c>
      <x:c r="AF566" s="55" t="n">
        <x:v>10810</x:v>
      </x:c>
      <x:c r="AG566" s="55" t="n">
        <x:v>27</x:v>
      </x:c>
      <x:c r="AH566" s="55" t="n">
        <x:v>540</x:v>
      </x:c>
      <x:c r="AI566" s="55" t="n">
        <x:v>10270</x:v>
      </x:c>
      <x:c r="AJ566" s="55" t="n">
        <x:v>392</x:v>
      </x:c>
      <x:c r="AK566" s="55" t="n">
        <x:v>1214</x:v>
      </x:c>
      <x:c r="AL566" s="55" t="n">
        <x:v>1343</x:v>
      </x:c>
      <x:c r="AM566" s="55" t="n">
        <x:v>5096</x:v>
      </x:c>
      <x:c r="AN566" s="55" t="n">
        <x:v>2765</x:v>
      </x:c>
      <x:c r="AO566" s="55" t="n">
        <x:v>0</x:v>
      </x:c>
      <x:c r="AP566" s="55" t="n">
        <x:v>2835</x:v>
      </x:c>
      <x:c r="AQ566" s="55" t="n">
        <x:v>925</x:v>
      </x:c>
    </x:row>
    <x:row r="567">
      <x:c r="A567" s="54" t="str">
        <x:v>T0_TABLE_BLOCK</x:v>
      </x:c>
      <x:c r="B567" s="54" t="n">
        <x:v>561</x:v>
      </x:c>
      <x:c r="C567" s="54" t="str">
        <x:v>NYC-V2-R01</x:v>
      </x:c>
      <x:c r="D567" s="54" t="str">
        <x:v>V2</x:v>
      </x:c>
      <x:c r="E567" s="54" t="str">
        <x:v>ADMITTED</x:v>
      </x:c>
      <x:c r="F567" s="55" t="n">
        <x:v>32005</x:v>
      </x:c>
      <x:c r="G567" s="55" t="n">
        <x:v>8560</x:v>
      </x:c>
      <x:c r="H567" s="55" t="n">
        <x:v>3340</x:v>
      </x:c>
      <x:c r="I567" s="55" t="n">
        <x:v>1404</x:v>
      </x:c>
      <x:c r="J567" s="55" t="n">
        <x:v>573</x:v>
      </x:c>
      <x:c r="K567" s="55" t="n">
        <x:v>30445</x:v>
      </x:c>
      <x:c r="L567" s="55" t="n">
        <x:v>7466</x:v>
      </x:c>
      <x:c r="M567" s="55" t="n">
        <x:v>3375</x:v>
      </x:c>
      <x:c r="N567" s="55" t="n">
        <x:v>2461</x:v>
      </x:c>
      <x:c r="O567" s="55" t="n">
        <x:v>1630</x:v>
      </x:c>
      <x:c r="P567" s="55" t="n">
        <x:v>1241</x:v>
      </x:c>
      <x:c r="Q567" s="55" t="n">
        <x:v>2677</x:v>
      </x:c>
      <x:c r="R567" s="55" t="n">
        <x:v>1649</x:v>
      </x:c>
      <x:c r="S567" s="55" t="n">
        <x:v>2591</x:v>
      </x:c>
      <x:c r="T567" s="55" t="n">
        <x:v>1064</x:v>
      </x:c>
      <x:c r="U567" s="55" t="n">
        <x:v>2160</x:v>
      </x:c>
      <x:c r="V567" s="55" t="n">
        <x:v>10050</x:v>
      </x:c>
      <x:c r="W567" s="55" t="n">
        <x:v>6693</x:v>
      </x:c>
      <x:c r="X567" s="55" t="n">
        <x:v>3357</x:v>
      </x:c>
      <x:c r="Y567" s="55" t="n">
        <x:v>2928</x:v>
      </x:c>
      <x:c r="Z567" s="55" t="n">
        <x:v>3513</x:v>
      </x:c>
      <x:c r="AA567" s="55" t="n">
        <x:v>3340</x:v>
      </x:c>
      <x:c r="AB567" s="55" t="n">
        <x:v>1082</x:v>
      </x:c>
      <x:c r="AC567" s="55" t="n">
        <x:v>8292</x:v>
      </x:c>
      <x:c r="AD567" s="55" t="n">
        <x:v>2406</x:v>
      </x:c>
      <x:c r="AE567" s="55" t="n">
        <x:v>10112</x:v>
      </x:c>
      <x:c r="AF567" s="55" t="n">
        <x:v>10050</x:v>
      </x:c>
      <x:c r="AG567" s="55" t="n">
        <x:v>62</x:v>
      </x:c>
      <x:c r="AH567" s="55" t="n">
        <x:v>242</x:v>
      </x:c>
      <x:c r="AI567" s="55" t="n">
        <x:v>9808</x:v>
      </x:c>
      <x:c r="AJ567" s="55" t="n">
        <x:v>516</x:v>
      </x:c>
      <x:c r="AK567" s="55" t="n">
        <x:v>631</x:v>
      </x:c>
      <x:c r="AL567" s="55" t="n">
        <x:v>1427</x:v>
      </x:c>
      <x:c r="AM567" s="55" t="n">
        <x:v>5073</x:v>
      </x:c>
      <x:c r="AN567" s="55" t="n">
        <x:v>2403</x:v>
      </x:c>
      <x:c r="AO567" s="55" t="n">
        <x:v>0</x:v>
      </x:c>
      <x:c r="AP567" s="55" t="n">
        <x:v>2140</x:v>
      </x:c>
      <x:c r="AQ567" s="55" t="n">
        <x:v>1014</x:v>
      </x:c>
    </x:row>
    <x:row r="568">
      <x:c r="A568" s="54" t="str">
        <x:v>T0_TABLE_BLOCK</x:v>
      </x:c>
      <x:c r="B568" s="54" t="n">
        <x:v>562</x:v>
      </x:c>
      <x:c r="C568" s="54" t="str">
        <x:v>NYC-V2-R01</x:v>
      </x:c>
      <x:c r="D568" s="54" t="str">
        <x:v>V2</x:v>
      </x:c>
      <x:c r="E568" s="54" t="str">
        <x:v>ADMITTED</x:v>
      </x:c>
      <x:c r="F568" s="55" t="n">
        <x:v>32134</x:v>
      </x:c>
      <x:c r="G568" s="55" t="n">
        <x:v>6606</x:v>
      </x:c>
      <x:c r="H568" s="55" t="n">
        <x:v>3308</x:v>
      </x:c>
      <x:c r="I568" s="55" t="n">
        <x:v>1401</x:v>
      </x:c>
      <x:c r="J568" s="55" t="n">
        <x:v>229</x:v>
      </x:c>
      <x:c r="K568" s="55" t="n">
        <x:v>32134</x:v>
      </x:c>
      <x:c r="L568" s="55" t="n">
        <x:v>5780</x:v>
      </x:c>
      <x:c r="M568" s="55" t="n">
        <x:v>2161</x:v>
      </x:c>
      <x:c r="N568" s="55" t="n">
        <x:v>2116</x:v>
      </x:c>
      <x:c r="O568" s="55" t="n">
        <x:v>1503</x:v>
      </x:c>
      <x:c r="P568" s="55" t="n">
        <x:v>1401</x:v>
      </x:c>
      <x:c r="Q568" s="55" t="n">
        <x:v>2269</x:v>
      </x:c>
      <x:c r="R568" s="55" t="n">
        <x:v>1879</x:v>
      </x:c>
      <x:c r="S568" s="55" t="n">
        <x:v>2799</x:v>
      </x:c>
      <x:c r="T568" s="55" t="n">
        <x:v>1056</x:v>
      </x:c>
      <x:c r="U568" s="55" t="n">
        <x:v>2419</x:v>
      </x:c>
      <x:c r="V568" s="55" t="n">
        <x:v>10873</x:v>
      </x:c>
      <x:c r="W568" s="55" t="n">
        <x:v>8271</x:v>
      </x:c>
      <x:c r="X568" s="55" t="n">
        <x:v>2602</x:v>
      </x:c>
      <x:c r="Y568" s="55" t="n">
        <x:v>2297</x:v>
      </x:c>
      <x:c r="Z568" s="55" t="n">
        <x:v>4044</x:v>
      </x:c>
      <x:c r="AA568" s="55" t="n">
        <x:v>3308</x:v>
      </x:c>
      <x:c r="AB568" s="55" t="n">
        <x:v>1083</x:v>
      </x:c>
      <x:c r="AC568" s="55" t="n">
        <x:v>7919</x:v>
      </x:c>
      <x:c r="AD568" s="55" t="n">
        <x:v>3156</x:v>
      </x:c>
      <x:c r="AE568" s="55" t="n">
        <x:v>10947</x:v>
      </x:c>
      <x:c r="AF568" s="55" t="n">
        <x:v>10873</x:v>
      </x:c>
      <x:c r="AG568" s="55" t="n">
        <x:v>74</x:v>
      </x:c>
      <x:c r="AH568" s="55" t="n">
        <x:v>412</x:v>
      </x:c>
      <x:c r="AI568" s="55" t="n">
        <x:v>10461</x:v>
      </x:c>
      <x:c r="AJ568" s="55" t="n">
        <x:v>413</x:v>
      </x:c>
      <x:c r="AK568" s="55" t="n">
        <x:v>1345</x:v>
      </x:c>
      <x:c r="AL568" s="55" t="n">
        <x:v>1360</x:v>
      </x:c>
      <x:c r="AM568" s="55" t="n">
        <x:v>5002</x:v>
      </x:c>
      <x:c r="AN568" s="55" t="n">
        <x:v>2736</x:v>
      </x:c>
      <x:c r="AO568" s="55" t="n">
        <x:v>17</x:v>
      </x:c>
      <x:c r="AP568" s="55" t="n">
        <x:v>2657</x:v>
      </x:c>
      <x:c r="AQ568" s="55" t="n">
        <x:v>949</x:v>
      </x:c>
    </x:row>
    <x:row r="569">
      <x:c r="A569" s="54" t="str">
        <x:v>T0_TABLE_BLOCK</x:v>
      </x:c>
      <x:c r="B569" s="54" t="n">
        <x:v>563</x:v>
      </x:c>
      <x:c r="C569" s="54" t="str">
        <x:v>NYC-V2-R01</x:v>
      </x:c>
      <x:c r="D569" s="54" t="str">
        <x:v>V2</x:v>
      </x:c>
      <x:c r="E569" s="54" t="str">
        <x:v>ADMITTED</x:v>
      </x:c>
      <x:c r="F569" s="55" t="n">
        <x:v>34040</x:v>
      </x:c>
      <x:c r="G569" s="55" t="n">
        <x:v>9843</x:v>
      </x:c>
      <x:c r="H569" s="55" t="n">
        <x:v>3074</x:v>
      </x:c>
      <x:c r="I569" s="55" t="n">
        <x:v>645</x:v>
      </x:c>
      <x:c r="J569" s="55" t="n">
        <x:v>73</x:v>
      </x:c>
      <x:c r="K569" s="55" t="n">
        <x:v>32392</x:v>
      </x:c>
      <x:c r="L569" s="55" t="n">
        <x:v>5616</x:v>
      </x:c>
      <x:c r="M569" s="55" t="n">
        <x:v>1322</x:v>
      </x:c>
      <x:c r="N569" s="55" t="n">
        <x:v>2461</x:v>
      </x:c>
      <x:c r="O569" s="55" t="n">
        <x:v>1833</x:v>
      </x:c>
      <x:c r="P569" s="55" t="n">
        <x:v>757</x:v>
      </x:c>
      <x:c r="Q569" s="55" t="n">
        <x:v>2202</x:v>
      </x:c>
      <x:c r="R569" s="55" t="n">
        <x:v>2549</x:v>
      </x:c>
      <x:c r="S569" s="55" t="n">
        <x:v>3270</x:v>
      </x:c>
      <x:c r="T569" s="55" t="n">
        <x:v>976</x:v>
      </x:c>
      <x:c r="U569" s="55" t="n">
        <x:v>1882</x:v>
      </x:c>
      <x:c r="V569" s="55" t="n">
        <x:v>9698</x:v>
      </x:c>
      <x:c r="W569" s="55" t="n">
        <x:v>6737</x:v>
      </x:c>
      <x:c r="X569" s="55" t="n">
        <x:v>2961</x:v>
      </x:c>
      <x:c r="Y569" s="55" t="n">
        <x:v>2683</x:v>
      </x:c>
      <x:c r="Z569" s="55" t="n">
        <x:v>3647</x:v>
      </x:c>
      <x:c r="AA569" s="55" t="n">
        <x:v>3025</x:v>
      </x:c>
      <x:c r="AB569" s="55" t="n">
        <x:v>1024</x:v>
      </x:c>
      <x:c r="AC569" s="55" t="n">
        <x:v>8044</x:v>
      </x:c>
      <x:c r="AD569" s="55" t="n">
        <x:v>3318</x:v>
      </x:c>
      <x:c r="AE569" s="55" t="n">
        <x:v>9738</x:v>
      </x:c>
      <x:c r="AF569" s="55" t="n">
        <x:v>9698</x:v>
      </x:c>
      <x:c r="AG569" s="55" t="n">
        <x:v>40</x:v>
      </x:c>
      <x:c r="AH569" s="55" t="n">
        <x:v>426</x:v>
      </x:c>
      <x:c r="AI569" s="55" t="n">
        <x:v>9272</x:v>
      </x:c>
      <x:c r="AJ569" s="55" t="n">
        <x:v>254</x:v>
      </x:c>
      <x:c r="AK569" s="55" t="n">
        <x:v>757</x:v>
      </x:c>
      <x:c r="AL569" s="55" t="n">
        <x:v>1556</x:v>
      </x:c>
      <x:c r="AM569" s="55" t="n">
        <x:v>4391</x:v>
      </x:c>
      <x:c r="AN569" s="55" t="n">
        <x:v>2740</x:v>
      </x:c>
      <x:c r="AO569" s="55" t="n">
        <x:v>0</x:v>
      </x:c>
      <x:c r="AP569" s="55" t="n">
        <x:v>2197</x:v>
      </x:c>
      <x:c r="AQ569" s="55" t="n">
        <x:v>1036</x:v>
      </x:c>
    </x:row>
    <x:row r="570">
      <x:c r="A570" s="54" t="str">
        <x:v>T0_TABLE_BLOCK</x:v>
      </x:c>
      <x:c r="B570" s="54" t="n">
        <x:v>564</x:v>
      </x:c>
      <x:c r="C570" s="54" t="str">
        <x:v>NYC-V2-R01</x:v>
      </x:c>
      <x:c r="D570" s="54" t="str">
        <x:v>V2</x:v>
      </x:c>
      <x:c r="E570" s="54" t="str">
        <x:v>ADMITTED</x:v>
      </x:c>
      <x:c r="F570" s="55" t="n">
        <x:v>31034</x:v>
      </x:c>
      <x:c r="G570" s="55" t="n">
        <x:v>7922</x:v>
      </x:c>
      <x:c r="H570" s="55" t="n">
        <x:v>3617</x:v>
      </x:c>
      <x:c r="I570" s="55" t="n">
        <x:v>1789</x:v>
      </x:c>
      <x:c r="J570" s="55" t="n">
        <x:v>298</x:v>
      </x:c>
      <x:c r="K570" s="55" t="n">
        <x:v>28601</x:v>
      </x:c>
      <x:c r="L570" s="55" t="n">
        <x:v>4801</x:v>
      </x:c>
      <x:c r="M570" s="55" t="n">
        <x:v>84</x:v>
      </x:c>
      <x:c r="N570" s="55" t="n">
        <x:v>2978</x:v>
      </x:c>
      <x:c r="O570" s="55" t="n">
        <x:v>1739</x:v>
      </x:c>
      <x:c r="P570" s="55" t="n">
        <x:v>651</x:v>
      </x:c>
      <x:c r="Q570" s="55" t="n">
        <x:v>1764</x:v>
      </x:c>
      <x:c r="R570" s="55" t="n">
        <x:v>1932</x:v>
      </x:c>
      <x:c r="S570" s="55" t="n">
        <x:v>2953</x:v>
      </x:c>
      <x:c r="T570" s="55" t="n">
        <x:v>1673</x:v>
      </x:c>
      <x:c r="U570" s="55" t="n">
        <x:v>2431</x:v>
      </x:c>
      <x:c r="V570" s="55" t="n">
        <x:v>11325</x:v>
      </x:c>
      <x:c r="W570" s="55" t="n">
        <x:v>8235</x:v>
      </x:c>
      <x:c r="X570" s="55" t="n">
        <x:v>3090</x:v>
      </x:c>
      <x:c r="Y570" s="55" t="n">
        <x:v>2642</x:v>
      </x:c>
      <x:c r="Z570" s="55" t="n">
        <x:v>3978</x:v>
      </x:c>
      <x:c r="AA570" s="55" t="n">
        <x:v>2835</x:v>
      </x:c>
      <x:c r="AB570" s="55" t="n">
        <x:v>1131</x:v>
      </x:c>
      <x:c r="AC570" s="55" t="n">
        <x:v>7827</x:v>
      </x:c>
      <x:c r="AD570" s="55" t="n">
        <x:v>2809</x:v>
      </x:c>
      <x:c r="AE570" s="55" t="n">
        <x:v>11375</x:v>
      </x:c>
      <x:c r="AF570" s="55" t="n">
        <x:v>11325</x:v>
      </x:c>
      <x:c r="AG570" s="55" t="n">
        <x:v>50</x:v>
      </x:c>
      <x:c r="AH570" s="55" t="n">
        <x:v>422</x:v>
      </x:c>
      <x:c r="AI570" s="55" t="n">
        <x:v>10903</x:v>
      </x:c>
      <x:c r="AJ570" s="55" t="n">
        <x:v>380</x:v>
      </x:c>
      <x:c r="AK570" s="55" t="n">
        <x:v>1194</x:v>
      </x:c>
      <x:c r="AL570" s="55" t="n">
        <x:v>1215</x:v>
      </x:c>
      <x:c r="AM570" s="55" t="n">
        <x:v>5205</x:v>
      </x:c>
      <x:c r="AN570" s="55" t="n">
        <x:v>3213</x:v>
      </x:c>
      <x:c r="AO570" s="55" t="n">
        <x:v>118</x:v>
      </x:c>
      <x:c r="AP570" s="55" t="n">
        <x:v>2111</x:v>
      </x:c>
      <x:c r="AQ570" s="55" t="n">
        <x:v>963</x:v>
      </x:c>
    </x:row>
    <x:row r="571">
      <x:c r="A571" s="54" t="str">
        <x:v>T0_TABLE_BLOCK</x:v>
      </x:c>
      <x:c r="B571" s="54" t="n">
        <x:v>565</x:v>
      </x:c>
      <x:c r="C571" s="54" t="str">
        <x:v>NYC-V2-R01</x:v>
      </x:c>
      <x:c r="D571" s="54" t="str">
        <x:v>V2</x:v>
      </x:c>
      <x:c r="E571" s="54" t="str">
        <x:v>ADMITTED</x:v>
      </x:c>
      <x:c r="F571" s="55" t="n">
        <x:v>30982</x:v>
      </x:c>
      <x:c r="G571" s="55" t="n">
        <x:v>6807</x:v>
      </x:c>
      <x:c r="H571" s="55" t="n">
        <x:v>3111</x:v>
      </x:c>
      <x:c r="I571" s="55" t="n">
        <x:v>1242</x:v>
      </x:c>
      <x:c r="J571" s="55" t="n">
        <x:v>230</x:v>
      </x:c>
      <x:c r="K571" s="55" t="n">
        <x:v>30982</x:v>
      </x:c>
      <x:c r="L571" s="55" t="n">
        <x:v>5326</x:v>
      </x:c>
      <x:c r="M571" s="55" t="n">
        <x:v>1690</x:v>
      </x:c>
      <x:c r="N571" s="55" t="n">
        <x:v>2220</x:v>
      </x:c>
      <x:c r="O571" s="55" t="n">
        <x:v>1416</x:v>
      </x:c>
      <x:c r="P571" s="55" t="n">
        <x:v>831</x:v>
      </x:c>
      <x:c r="Q571" s="55" t="n">
        <x:v>2141</x:v>
      </x:c>
      <x:c r="R571" s="55" t="n">
        <x:v>1878</x:v>
      </x:c>
      <x:c r="S571" s="55" t="n">
        <x:v>2784</x:v>
      </x:c>
      <x:c r="T571" s="55" t="n">
        <x:v>1352</x:v>
      </x:c>
      <x:c r="U571" s="55" t="n">
        <x:v>2366</x:v>
      </x:c>
      <x:c r="V571" s="55" t="n">
        <x:v>10686</x:v>
      </x:c>
      <x:c r="W571" s="55" t="n">
        <x:v>7562</x:v>
      </x:c>
      <x:c r="X571" s="55" t="n">
        <x:v>3124</x:v>
      </x:c>
      <x:c r="Y571" s="55" t="n">
        <x:v>2872</x:v>
      </x:c>
      <x:c r="Z571" s="55" t="n">
        <x:v>3914</x:v>
      </x:c>
      <x:c r="AA571" s="55" t="n">
        <x:v>3111</x:v>
      </x:c>
      <x:c r="AB571" s="55" t="n">
        <x:v>1030</x:v>
      </x:c>
      <x:c r="AC571" s="55" t="n">
        <x:v>8305</x:v>
      </x:c>
      <x:c r="AD571" s="55" t="n">
        <x:v>3061</x:v>
      </x:c>
      <x:c r="AE571" s="55" t="n">
        <x:v>10827</x:v>
      </x:c>
      <x:c r="AF571" s="55" t="n">
        <x:v>10686</x:v>
      </x:c>
      <x:c r="AG571" s="55" t="n">
        <x:v>141</x:v>
      </x:c>
      <x:c r="AH571" s="55" t="n">
        <x:v>507</x:v>
      </x:c>
      <x:c r="AI571" s="55" t="n">
        <x:v>10179</x:v>
      </x:c>
      <x:c r="AJ571" s="55" t="n">
        <x:v>225</x:v>
      </x:c>
      <x:c r="AK571" s="55" t="n">
        <x:v>984</x:v>
      </x:c>
      <x:c r="AL571" s="55" t="n">
        <x:v>1667</x:v>
      </x:c>
      <x:c r="AM571" s="55" t="n">
        <x:v>5214</x:v>
      </x:c>
      <x:c r="AN571" s="55" t="n">
        <x:v>2596</x:v>
      </x:c>
      <x:c r="AO571" s="55" t="n">
        <x:v>0</x:v>
      </x:c>
      <x:c r="AP571" s="55" t="n">
        <x:v>2657</x:v>
      </x:c>
      <x:c r="AQ571" s="55" t="n">
        <x:v>963</x:v>
      </x:c>
    </x:row>
    <x:row r="572">
      <x:c r="A572" s="54" t="str">
        <x:v>T0_TABLE_BLOCK</x:v>
      </x:c>
      <x:c r="B572" s="54" t="n">
        <x:v>566</x:v>
      </x:c>
      <x:c r="C572" s="54" t="str">
        <x:v>NYC-V2-R01</x:v>
      </x:c>
      <x:c r="D572" s="54" t="str">
        <x:v>V2</x:v>
      </x:c>
      <x:c r="E572" s="54" t="str">
        <x:v>ADMITTED</x:v>
      </x:c>
      <x:c r="F572" s="55" t="n">
        <x:v>30441</x:v>
      </x:c>
      <x:c r="G572" s="55" t="n">
        <x:v>7952</x:v>
      </x:c>
      <x:c r="H572" s="55" t="n">
        <x:v>3416</x:v>
      </x:c>
      <x:c r="I572" s="55" t="n">
        <x:v>1649</x:v>
      </x:c>
      <x:c r="J572" s="55" t="n">
        <x:v>176</x:v>
      </x:c>
      <x:c r="K572" s="55" t="n">
        <x:v>29693</x:v>
      </x:c>
      <x:c r="L572" s="55" t="n">
        <x:v>6480</x:v>
      </x:c>
      <x:c r="M572" s="55" t="n">
        <x:v>2335</x:v>
      </x:c>
      <x:c r="N572" s="55" t="n">
        <x:v>2415</x:v>
      </x:c>
      <x:c r="O572" s="55" t="n">
        <x:v>1730</x:v>
      </x:c>
      <x:c r="P572" s="55" t="n">
        <x:v>331</x:v>
      </x:c>
      <x:c r="Q572" s="55" t="n">
        <x:v>2302</x:v>
      </x:c>
      <x:c r="R572" s="55" t="n">
        <x:v>1745</x:v>
      </x:c>
      <x:c r="S572" s="55" t="n">
        <x:v>2441</x:v>
      </x:c>
      <x:c r="T572" s="55" t="n">
        <x:v>1341</x:v>
      </x:c>
      <x:c r="U572" s="55" t="n">
        <x:v>1554</x:v>
      </x:c>
      <x:c r="V572" s="55" t="n">
        <x:v>10302</x:v>
      </x:c>
      <x:c r="W572" s="55" t="n">
        <x:v>7146</x:v>
      </x:c>
      <x:c r="X572" s="55" t="n">
        <x:v>3156</x:v>
      </x:c>
      <x:c r="Y572" s="55" t="n">
        <x:v>2581</x:v>
      </x:c>
      <x:c r="Z572" s="55" t="n">
        <x:v>3544</x:v>
      </x:c>
      <x:c r="AA572" s="55" t="n">
        <x:v>2829</x:v>
      </x:c>
      <x:c r="AB572" s="55" t="n">
        <x:v>1240</x:v>
      </x:c>
      <x:c r="AC572" s="55" t="n">
        <x:v>8254</x:v>
      </x:c>
      <x:c r="AD572" s="55" t="n">
        <x:v>2889</x:v>
      </x:c>
      <x:c r="AE572" s="55" t="n">
        <x:v>10413</x:v>
      </x:c>
      <x:c r="AF572" s="55" t="n">
        <x:v>10302</x:v>
      </x:c>
      <x:c r="AG572" s="55" t="n">
        <x:v>111</x:v>
      </x:c>
      <x:c r="AH572" s="55" t="n">
        <x:v>339</x:v>
      </x:c>
      <x:c r="AI572" s="55" t="n">
        <x:v>9963</x:v>
      </x:c>
      <x:c r="AJ572" s="55" t="n">
        <x:v>428</x:v>
      </x:c>
      <x:c r="AK572" s="55" t="n">
        <x:v>1050</x:v>
      </x:c>
      <x:c r="AL572" s="55" t="n">
        <x:v>1614</x:v>
      </x:c>
      <x:c r="AM572" s="55" t="n">
        <x:v>4999</x:v>
      </x:c>
      <x:c r="AN572" s="55" t="n">
        <x:v>2182</x:v>
      </x:c>
      <x:c r="AO572" s="55" t="n">
        <x:v>29</x:v>
      </x:c>
      <x:c r="AP572" s="55" t="n">
        <x:v>2382</x:v>
      </x:c>
      <x:c r="AQ572" s="55" t="n">
        <x:v>964</x:v>
      </x:c>
    </x:row>
    <x:row r="573">
      <x:c r="A573" s="54" t="str">
        <x:v>T0_TABLE_BLOCK</x:v>
      </x:c>
      <x:c r="B573" s="54" t="n">
        <x:v>567</x:v>
      </x:c>
      <x:c r="C573" s="54" t="str">
        <x:v>NYC-V2-R01</x:v>
      </x:c>
      <x:c r="D573" s="54" t="str">
        <x:v>V2</x:v>
      </x:c>
      <x:c r="E573" s="54" t="str">
        <x:v>ADMITTED</x:v>
      </x:c>
      <x:c r="F573" s="55" t="n">
        <x:v>30751</x:v>
      </x:c>
      <x:c r="G573" s="55" t="n">
        <x:v>8608</x:v>
      </x:c>
      <x:c r="H573" s="55" t="n">
        <x:v>3204</x:v>
      </x:c>
      <x:c r="I573" s="55" t="n">
        <x:v>1433</x:v>
      </x:c>
      <x:c r="J573" s="55" t="n">
        <x:v>265</x:v>
      </x:c>
      <x:c r="K573" s="55" t="n">
        <x:v>28906</x:v>
      </x:c>
      <x:c r="L573" s="55" t="n">
        <x:v>6544</x:v>
      </x:c>
      <x:c r="M573" s="55" t="n">
        <x:v>2111</x:v>
      </x:c>
      <x:c r="N573" s="55" t="n">
        <x:v>3080</x:v>
      </x:c>
      <x:c r="O573" s="55" t="n">
        <x:v>1353</x:v>
      </x:c>
      <x:c r="P573" s="55" t="n">
        <x:v>660</x:v>
      </x:c>
      <x:c r="Q573" s="55" t="n">
        <x:v>3477</x:v>
      </x:c>
      <x:c r="R573" s="55" t="n">
        <x:v>2197</x:v>
      </x:c>
      <x:c r="S573" s="55" t="n">
        <x:v>3484</x:v>
      </x:c>
      <x:c r="T573" s="55" t="n">
        <x:v>1347</x:v>
      </x:c>
      <x:c r="U573" s="55" t="n">
        <x:v>1426</x:v>
      </x:c>
      <x:c r="V573" s="55" t="n">
        <x:v>10461</x:v>
      </x:c>
      <x:c r="W573" s="55" t="n">
        <x:v>7410</x:v>
      </x:c>
      <x:c r="X573" s="55" t="n">
        <x:v>3051</x:v>
      </x:c>
      <x:c r="Y573" s="55" t="n">
        <x:v>2657</x:v>
      </x:c>
      <x:c r="Z573" s="55" t="n">
        <x:v>3758</x:v>
      </x:c>
      <x:c r="AA573" s="55" t="n">
        <x:v>3084</x:v>
      </x:c>
      <x:c r="AB573" s="55" t="n">
        <x:v>1087</x:v>
      </x:c>
      <x:c r="AC573" s="55" t="n">
        <x:v>8011</x:v>
      </x:c>
      <x:c r="AD573" s="55" t="n">
        <x:v>2716</x:v>
      </x:c>
      <x:c r="AE573" s="55" t="n">
        <x:v>10558</x:v>
      </x:c>
      <x:c r="AF573" s="55" t="n">
        <x:v>10461</x:v>
      </x:c>
      <x:c r="AG573" s="55" t="n">
        <x:v>97</x:v>
      </x:c>
      <x:c r="AH573" s="55" t="n">
        <x:v>328</x:v>
      </x:c>
      <x:c r="AI573" s="55" t="n">
        <x:v>10133</x:v>
      </x:c>
      <x:c r="AJ573" s="55" t="n">
        <x:v>215</x:v>
      </x:c>
      <x:c r="AK573" s="55" t="n">
        <x:v>889</x:v>
      </x:c>
      <x:c r="AL573" s="55" t="n">
        <x:v>1293</x:v>
      </x:c>
      <x:c r="AM573" s="55" t="n">
        <x:v>4864</x:v>
      </x:c>
      <x:c r="AN573" s="55" t="n">
        <x:v>3200</x:v>
      </x:c>
      <x:c r="AO573" s="55" t="n">
        <x:v>0</x:v>
      </x:c>
      <x:c r="AP573" s="55" t="n">
        <x:v>2344</x:v>
      </x:c>
      <x:c r="AQ573" s="55" t="n">
        <x:v>981</x:v>
      </x:c>
    </x:row>
    <x:row r="574">
      <x:c r="A574" s="54" t="str">
        <x:v>T0_TABLE_BLOCK</x:v>
      </x:c>
      <x:c r="B574" s="54" t="n">
        <x:v>568</x:v>
      </x:c>
      <x:c r="C574" s="54" t="str">
        <x:v>NYC-V2-R01</x:v>
      </x:c>
      <x:c r="D574" s="54" t="str">
        <x:v>V2</x:v>
      </x:c>
      <x:c r="E574" s="54" t="str">
        <x:v>ADMITTED</x:v>
      </x:c>
      <x:c r="F574" s="55" t="n">
        <x:v>32573</x:v>
      </x:c>
      <x:c r="G574" s="55" t="n">
        <x:v>8508</x:v>
      </x:c>
      <x:c r="H574" s="55" t="n">
        <x:v>3436</x:v>
      </x:c>
      <x:c r="I574" s="55" t="n">
        <x:v>1315</x:v>
      </x:c>
      <x:c r="J574" s="55" t="n">
        <x:v>283</x:v>
      </x:c>
      <x:c r="K574" s="55" t="n">
        <x:v>32573</x:v>
      </x:c>
      <x:c r="L574" s="55" t="n">
        <x:v>5903</x:v>
      </x:c>
      <x:c r="M574" s="55" t="n">
        <x:v>1100</x:v>
      </x:c>
      <x:c r="N574" s="55" t="n">
        <x:v>3217</x:v>
      </x:c>
      <x:c r="O574" s="55" t="n">
        <x:v>1586</x:v>
      </x:c>
      <x:c r="P574" s="55" t="n">
        <x:v>859</x:v>
      </x:c>
      <x:c r="Q574" s="55" t="n">
        <x:v>2589</x:v>
      </x:c>
      <x:c r="R574" s="55" t="n">
        <x:v>1865</x:v>
      </x:c>
      <x:c r="S574" s="55" t="n">
        <x:v>2430</x:v>
      </x:c>
      <x:c r="T574" s="55" t="n">
        <x:v>516</x:v>
      </x:c>
      <x:c r="U574" s="55" t="n">
        <x:v>2011</x:v>
      </x:c>
      <x:c r="V574" s="55" t="n">
        <x:v>10015</x:v>
      </x:c>
      <x:c r="W574" s="55" t="n">
        <x:v>6926</x:v>
      </x:c>
      <x:c r="X574" s="55" t="n">
        <x:v>3089</x:v>
      </x:c>
      <x:c r="Y574" s="55" t="n">
        <x:v>2725</x:v>
      </x:c>
      <x:c r="Z574" s="55" t="n">
        <x:v>3198</x:v>
      </x:c>
      <x:c r="AA574" s="55" t="n">
        <x:v>3019</x:v>
      </x:c>
      <x:c r="AB574" s="55" t="n">
        <x:v>801</x:v>
      </x:c>
      <x:c r="AC574" s="55" t="n">
        <x:v>8182</x:v>
      </x:c>
      <x:c r="AD574" s="55" t="n">
        <x:v>3026</x:v>
      </x:c>
      <x:c r="AE574" s="55" t="n">
        <x:v>10123</x:v>
      </x:c>
      <x:c r="AF574" s="55" t="n">
        <x:v>10015</x:v>
      </x:c>
      <x:c r="AG574" s="55" t="n">
        <x:v>108</x:v>
      </x:c>
      <x:c r="AH574" s="55" t="n">
        <x:v>335</x:v>
      </x:c>
      <x:c r="AI574" s="55" t="n">
        <x:v>9680</x:v>
      </x:c>
      <x:c r="AJ574" s="55" t="n">
        <x:v>438</x:v>
      </x:c>
      <x:c r="AK574" s="55" t="n">
        <x:v>673</x:v>
      </x:c>
      <x:c r="AL574" s="55" t="n">
        <x:v>1424</x:v>
      </x:c>
      <x:c r="AM574" s="55" t="n">
        <x:v>5065</x:v>
      </x:c>
      <x:c r="AN574" s="55" t="n">
        <x:v>2359</x:v>
      </x:c>
      <x:c r="AO574" s="55" t="n">
        <x:v>56</x:v>
      </x:c>
      <x:c r="AP574" s="55" t="n">
        <x:v>2116</x:v>
      </x:c>
      <x:c r="AQ574" s="55" t="n">
        <x:v>985</x:v>
      </x:c>
    </x:row>
    <x:row r="575">
      <x:c r="A575" s="54" t="str">
        <x:v>T0_TABLE_BLOCK</x:v>
      </x:c>
      <x:c r="B575" s="54" t="n">
        <x:v>569</x:v>
      </x:c>
      <x:c r="C575" s="54" t="str">
        <x:v>NYC-V2-R01</x:v>
      </x:c>
      <x:c r="D575" s="54" t="str">
        <x:v>V2</x:v>
      </x:c>
      <x:c r="E575" s="54" t="str">
        <x:v>ADMITTED</x:v>
      </x:c>
      <x:c r="F575" s="55" t="n">
        <x:v>32276</x:v>
      </x:c>
      <x:c r="G575" s="55" t="n">
        <x:v>7373</x:v>
      </x:c>
      <x:c r="H575" s="55" t="n">
        <x:v>2861</x:v>
      </x:c>
      <x:c r="I575" s="55" t="n">
        <x:v>983</x:v>
      </x:c>
      <x:c r="J575" s="55" t="n">
        <x:v>292</x:v>
      </x:c>
      <x:c r="K575" s="55" t="n">
        <x:v>32276</x:v>
      </x:c>
      <x:c r="L575" s="55" t="n">
        <x:v>6456</x:v>
      </x:c>
      <x:c r="M575" s="55" t="n">
        <x:v>1835</x:v>
      </x:c>
      <x:c r="N575" s="55" t="n">
        <x:v>2869</x:v>
      </x:c>
      <x:c r="O575" s="55" t="n">
        <x:v>1752</x:v>
      </x:c>
      <x:c r="P575" s="55" t="n">
        <x:v>812</x:v>
      </x:c>
      <x:c r="Q575" s="55" t="n">
        <x:v>2733</x:v>
      </x:c>
      <x:c r="R575" s="55" t="n">
        <x:v>1578</x:v>
      </x:c>
      <x:c r="S575" s="55" t="n">
        <x:v>2336</x:v>
      </x:c>
      <x:c r="T575" s="55" t="n">
        <x:v>1238</x:v>
      </x:c>
      <x:c r="U575" s="55" t="n">
        <x:v>2056</x:v>
      </x:c>
      <x:c r="V575" s="55" t="n">
        <x:v>10603</x:v>
      </x:c>
      <x:c r="W575" s="55" t="n">
        <x:v>7609</x:v>
      </x:c>
      <x:c r="X575" s="55" t="n">
        <x:v>2994</x:v>
      </x:c>
      <x:c r="Y575" s="55" t="n">
        <x:v>2474</x:v>
      </x:c>
      <x:c r="Z575" s="55" t="n">
        <x:v>3507</x:v>
      </x:c>
      <x:c r="AA575" s="55" t="n">
        <x:v>2861</x:v>
      </x:c>
      <x:c r="AB575" s="55" t="n">
        <x:v>1201</x:v>
      </x:c>
      <x:c r="AC575" s="55" t="n">
        <x:v>7836</x:v>
      </x:c>
      <x:c r="AD575" s="55" t="n">
        <x:v>3259</x:v>
      </x:c>
      <x:c r="AE575" s="55" t="n">
        <x:v>10749</x:v>
      </x:c>
      <x:c r="AF575" s="55" t="n">
        <x:v>10603</x:v>
      </x:c>
      <x:c r="AG575" s="55" t="n">
        <x:v>146</x:v>
      </x:c>
      <x:c r="AH575" s="55" t="n">
        <x:v>343</x:v>
      </x:c>
      <x:c r="AI575" s="55" t="n">
        <x:v>10260</x:v>
      </x:c>
      <x:c r="AJ575" s="55" t="n">
        <x:v>474</x:v>
      </x:c>
      <x:c r="AK575" s="55" t="n">
        <x:v>1215</x:v>
      </x:c>
      <x:c r="AL575" s="55" t="n">
        <x:v>1385</x:v>
      </x:c>
      <x:c r="AM575" s="55" t="n">
        <x:v>4412</x:v>
      </x:c>
      <x:c r="AN575" s="55" t="n">
        <x:v>3085</x:v>
      </x:c>
      <x:c r="AO575" s="55" t="n">
        <x:v>32</x:v>
      </x:c>
      <x:c r="AP575" s="55" t="n">
        <x:v>2108</x:v>
      </x:c>
      <x:c r="AQ575" s="55" t="n">
        <x:v>989</x:v>
      </x:c>
    </x:row>
    <x:row r="576">
      <x:c r="A576" s="54" t="str">
        <x:v>T0_TABLE_BLOCK</x:v>
      </x:c>
      <x:c r="B576" s="54" t="n">
        <x:v>570</x:v>
      </x:c>
      <x:c r="C576" s="54" t="str">
        <x:v>NYC-V2-R01</x:v>
      </x:c>
      <x:c r="D576" s="54" t="str">
        <x:v>V2</x:v>
      </x:c>
      <x:c r="E576" s="54" t="str">
        <x:v>ADMITTED</x:v>
      </x:c>
      <x:c r="F576" s="55" t="n">
        <x:v>30824</x:v>
      </x:c>
      <x:c r="G576" s="55" t="n">
        <x:v>7611</x:v>
      </x:c>
      <x:c r="H576" s="55" t="n">
        <x:v>3103</x:v>
      </x:c>
      <x:c r="I576" s="55" t="n">
        <x:v>1328</x:v>
      </x:c>
      <x:c r="J576" s="55" t="n">
        <x:v>310</x:v>
      </x:c>
      <x:c r="K576" s="55" t="n">
        <x:v>30824</x:v>
      </x:c>
      <x:c r="L576" s="55" t="n">
        <x:v>6451</x:v>
      </x:c>
      <x:c r="M576" s="55" t="n">
        <x:v>1488</x:v>
      </x:c>
      <x:c r="N576" s="55" t="n">
        <x:v>3364</x:v>
      </x:c>
      <x:c r="O576" s="55" t="n">
        <x:v>1599</x:v>
      </x:c>
      <x:c r="P576" s="55" t="n">
        <x:v>986</x:v>
      </x:c>
      <x:c r="Q576" s="55" t="n">
        <x:v>2518</x:v>
      </x:c>
      <x:c r="R576" s="55" t="n">
        <x:v>2243</x:v>
      </x:c>
      <x:c r="S576" s="55" t="n">
        <x:v>3232</x:v>
      </x:c>
      <x:c r="T576" s="55" t="n">
        <x:v>1688</x:v>
      </x:c>
      <x:c r="U576" s="55" t="n">
        <x:v>1839</x:v>
      </x:c>
      <x:c r="V576" s="55" t="n">
        <x:v>11133</x:v>
      </x:c>
      <x:c r="W576" s="55" t="n">
        <x:v>7965</x:v>
      </x:c>
      <x:c r="X576" s="55" t="n">
        <x:v>3168</x:v>
      </x:c>
      <x:c r="Y576" s="55" t="n">
        <x:v>2553</x:v>
      </x:c>
      <x:c r="Z576" s="55" t="n">
        <x:v>4165</x:v>
      </x:c>
      <x:c r="AA576" s="55" t="n">
        <x:v>3103</x:v>
      </x:c>
      <x:c r="AB576" s="55" t="n">
        <x:v>954</x:v>
      </x:c>
      <x:c r="AC576" s="55" t="n">
        <x:v>7615</x:v>
      </x:c>
      <x:c r="AD576" s="55" t="n">
        <x:v>3094</x:v>
      </x:c>
      <x:c r="AE576" s="55" t="n">
        <x:v>11193</x:v>
      </x:c>
      <x:c r="AF576" s="55" t="n">
        <x:v>11133</x:v>
      </x:c>
      <x:c r="AG576" s="55" t="n">
        <x:v>60</x:v>
      </x:c>
      <x:c r="AH576" s="55" t="n">
        <x:v>480</x:v>
      </x:c>
      <x:c r="AI576" s="55" t="n">
        <x:v>10653</x:v>
      </x:c>
      <x:c r="AJ576" s="55" t="n">
        <x:v>360</x:v>
      </x:c>
      <x:c r="AK576" s="55" t="n">
        <x:v>779</x:v>
      </x:c>
      <x:c r="AL576" s="55" t="n">
        <x:v>1606</x:v>
      </x:c>
      <x:c r="AM576" s="55" t="n">
        <x:v>5102</x:v>
      </x:c>
      <x:c r="AN576" s="55" t="n">
        <x:v>3286</x:v>
      </x:c>
      <x:c r="AO576" s="55" t="n">
        <x:v>0</x:v>
      </x:c>
      <x:c r="AP576" s="55" t="n">
        <x:v>2022</x:v>
      </x:c>
      <x:c r="AQ576" s="55" t="n">
        <x:v>947</x:v>
      </x:c>
    </x:row>
    <x:row r="577">
      <x:c r="A577" s="54" t="str">
        <x:v>T0_TABLE_BLOCK</x:v>
      </x:c>
      <x:c r="B577" s="54" t="n">
        <x:v>571</x:v>
      </x:c>
      <x:c r="C577" s="54" t="str">
        <x:v>NYC-V2-R01</x:v>
      </x:c>
      <x:c r="D577" s="54" t="str">
        <x:v>V2</x:v>
      </x:c>
      <x:c r="E577" s="54" t="str">
        <x:v>ADMITTED</x:v>
      </x:c>
      <x:c r="F577" s="55" t="n">
        <x:v>31067</x:v>
      </x:c>
      <x:c r="G577" s="55" t="n">
        <x:v>7570</x:v>
      </x:c>
      <x:c r="H577" s="55" t="n">
        <x:v>3232</x:v>
      </x:c>
      <x:c r="I577" s="55" t="n">
        <x:v>841</x:v>
      </x:c>
      <x:c r="J577" s="55" t="n">
        <x:v>117</x:v>
      </x:c>
      <x:c r="K577" s="55" t="n">
        <x:v>31067</x:v>
      </x:c>
      <x:c r="L577" s="55" t="n">
        <x:v>5150</x:v>
      </x:c>
      <x:c r="M577" s="55" t="n">
        <x:v>1228</x:v>
      </x:c>
      <x:c r="N577" s="55" t="n">
        <x:v>2141</x:v>
      </x:c>
      <x:c r="O577" s="55" t="n">
        <x:v>1781</x:v>
      </x:c>
      <x:c r="P577" s="55" t="n">
        <x:v>706</x:v>
      </x:c>
      <x:c r="Q577" s="55" t="n">
        <x:v>2139</x:v>
      </x:c>
      <x:c r="R577" s="55" t="n">
        <x:v>1593</x:v>
      </x:c>
      <x:c r="S577" s="55" t="n">
        <x:v>3400</x:v>
      </x:c>
      <x:c r="T577" s="55" t="n">
        <x:v>1519</x:v>
      </x:c>
      <x:c r="U577" s="55" t="n">
        <x:v>1844</x:v>
      </x:c>
      <x:c r="V577" s="55" t="n">
        <x:v>11083</x:v>
      </x:c>
      <x:c r="W577" s="55" t="n">
        <x:v>8190</x:v>
      </x:c>
      <x:c r="X577" s="55" t="n">
        <x:v>2893</x:v>
      </x:c>
      <x:c r="Y577" s="55" t="n">
        <x:v>2528</x:v>
      </x:c>
      <x:c r="Z577" s="55" t="n">
        <x:v>3366</x:v>
      </x:c>
      <x:c r="AA577" s="55" t="n">
        <x:v>3232</x:v>
      </x:c>
      <x:c r="AB577" s="55" t="n">
        <x:v>1104</x:v>
      </x:c>
      <x:c r="AC577" s="55" t="n">
        <x:v>7509</x:v>
      </x:c>
      <x:c r="AD577" s="55" t="n">
        <x:v>2175</x:v>
      </x:c>
      <x:c r="AE577" s="55" t="n">
        <x:v>11155</x:v>
      </x:c>
      <x:c r="AF577" s="55" t="n">
        <x:v>11083</x:v>
      </x:c>
      <x:c r="AG577" s="55" t="n">
        <x:v>72</x:v>
      </x:c>
      <x:c r="AH577" s="55" t="n">
        <x:v>585</x:v>
      </x:c>
      <x:c r="AI577" s="55" t="n">
        <x:v>10498</x:v>
      </x:c>
      <x:c r="AJ577" s="55" t="n">
        <x:v>362</x:v>
      </x:c>
      <x:c r="AK577" s="55" t="n">
        <x:v>1044</x:v>
      </x:c>
      <x:c r="AL577" s="55" t="n">
        <x:v>1663</x:v>
      </x:c>
      <x:c r="AM577" s="55" t="n">
        <x:v>5156</x:v>
      </x:c>
      <x:c r="AN577" s="55" t="n">
        <x:v>2858</x:v>
      </x:c>
      <x:c r="AO577" s="55" t="n">
        <x:v>0</x:v>
      </x:c>
      <x:c r="AP577" s="55" t="n">
        <x:v>2451</x:v>
      </x:c>
      <x:c r="AQ577" s="55" t="n">
        <x:v>927</x:v>
      </x:c>
    </x:row>
    <x:row r="578">
      <x:c r="A578" s="54" t="str">
        <x:v>T0_TABLE_BLOCK</x:v>
      </x:c>
      <x:c r="B578" s="54" t="n">
        <x:v>572</x:v>
      </x:c>
      <x:c r="C578" s="54" t="str">
        <x:v>NYC-V2-R01</x:v>
      </x:c>
      <x:c r="D578" s="54" t="str">
        <x:v>V2</x:v>
      </x:c>
      <x:c r="E578" s="54" t="str">
        <x:v>ADMITTED</x:v>
      </x:c>
      <x:c r="F578" s="55" t="n">
        <x:v>31402</x:v>
      </x:c>
      <x:c r="G578" s="55" t="n">
        <x:v>7544</x:v>
      </x:c>
      <x:c r="H578" s="55" t="n">
        <x:v>3333</x:v>
      </x:c>
      <x:c r="I578" s="55" t="n">
        <x:v>1638</x:v>
      </x:c>
      <x:c r="J578" s="55" t="n">
        <x:v>223</x:v>
      </x:c>
      <x:c r="K578" s="55" t="n">
        <x:v>29335</x:v>
      </x:c>
      <x:c r="L578" s="55" t="n">
        <x:v>5611</x:v>
      </x:c>
      <x:c r="M578" s="55" t="n">
        <x:v>1028</x:v>
      </x:c>
      <x:c r="N578" s="55" t="n">
        <x:v>2420</x:v>
      </x:c>
      <x:c r="O578" s="55" t="n">
        <x:v>2163</x:v>
      </x:c>
      <x:c r="P578" s="55" t="n">
        <x:v>416</x:v>
      </x:c>
      <x:c r="Q578" s="55" t="n">
        <x:v>834</x:v>
      </x:c>
      <x:c r="R578" s="55" t="n">
        <x:v>1670</x:v>
      </x:c>
      <x:c r="S578" s="55" t="n">
        <x:v>3465</x:v>
      </x:c>
      <x:c r="T578" s="55" t="n">
        <x:v>924</x:v>
      </x:c>
      <x:c r="U578" s="55" t="n">
        <x:v>1832</x:v>
      </x:c>
      <x:c r="V578" s="55" t="n">
        <x:v>10169</x:v>
      </x:c>
      <x:c r="W578" s="55" t="n">
        <x:v>7136</x:v>
      </x:c>
      <x:c r="X578" s="55" t="n">
        <x:v>3033</x:v>
      </x:c>
      <x:c r="Y578" s="55" t="n">
        <x:v>2732</x:v>
      </x:c>
      <x:c r="Z578" s="55" t="n">
        <x:v>3160</x:v>
      </x:c>
      <x:c r="AA578" s="55" t="n">
        <x:v>2826</x:v>
      </x:c>
      <x:c r="AB578" s="55" t="n">
        <x:v>1114</x:v>
      </x:c>
      <x:c r="AC578" s="55" t="n">
        <x:v>8139</x:v>
      </x:c>
      <x:c r="AD578" s="55" t="n">
        <x:v>2262</x:v>
      </x:c>
      <x:c r="AE578" s="55" t="n">
        <x:v>10343</x:v>
      </x:c>
      <x:c r="AF578" s="55" t="n">
        <x:v>10169</x:v>
      </x:c>
      <x:c r="AG578" s="55" t="n">
        <x:v>174</x:v>
      </x:c>
      <x:c r="AH578" s="55" t="n">
        <x:v>373</x:v>
      </x:c>
      <x:c r="AI578" s="55" t="n">
        <x:v>9796</x:v>
      </x:c>
      <x:c r="AJ578" s="55" t="n">
        <x:v>365</x:v>
      </x:c>
      <x:c r="AK578" s="55" t="n">
        <x:v>1224</x:v>
      </x:c>
      <x:c r="AL578" s="55" t="n">
        <x:v>1607</x:v>
      </x:c>
      <x:c r="AM578" s="55" t="n">
        <x:v>4269</x:v>
      </x:c>
      <x:c r="AN578" s="55" t="n">
        <x:v>2704</x:v>
      </x:c>
      <x:c r="AO578" s="55" t="n">
        <x:v>0</x:v>
      </x:c>
      <x:c r="AP578" s="55" t="n">
        <x:v>2202</x:v>
      </x:c>
      <x:c r="AQ578" s="55" t="n">
        <x:v>937</x:v>
      </x:c>
    </x:row>
    <x:row r="579">
      <x:c r="A579" s="54" t="str">
        <x:v>T0_TABLE_BLOCK</x:v>
      </x:c>
      <x:c r="B579" s="54" t="n">
        <x:v>573</x:v>
      </x:c>
      <x:c r="C579" s="54" t="str">
        <x:v>NYC-V2-R01</x:v>
      </x:c>
      <x:c r="D579" s="54" t="str">
        <x:v>V2</x:v>
      </x:c>
      <x:c r="E579" s="54" t="str">
        <x:v>ADMITTED</x:v>
      </x:c>
      <x:c r="F579" s="55" t="n">
        <x:v>28724</x:v>
      </x:c>
      <x:c r="G579" s="55" t="n">
        <x:v>5734</x:v>
      </x:c>
      <x:c r="H579" s="55" t="n">
        <x:v>3171</x:v>
      </x:c>
      <x:c r="I579" s="55" t="n">
        <x:v>1629</x:v>
      </x:c>
      <x:c r="J579" s="55" t="n">
        <x:v>95</x:v>
      </x:c>
      <x:c r="K579" s="55" t="n">
        <x:v>28724</x:v>
      </x:c>
      <x:c r="L579" s="55" t="n">
        <x:v>4500</x:v>
      </x:c>
      <x:c r="M579" s="55" t="n">
        <x:v>0</x:v>
      </x:c>
      <x:c r="N579" s="55" t="n">
        <x:v>2668</x:v>
      </x:c>
      <x:c r="O579" s="55" t="n">
        <x:v>1832</x:v>
      </x:c>
      <x:c r="P579" s="55" t="n">
        <x:v>546</x:v>
      </x:c>
      <x:c r="Q579" s="55" t="n">
        <x:v>1953</x:v>
      </x:c>
      <x:c r="R579" s="55" t="n">
        <x:v>2357</x:v>
      </x:c>
      <x:c r="S579" s="55" t="n">
        <x:v>2818</x:v>
      </x:c>
      <x:c r="T579" s="55" t="n">
        <x:v>1331</x:v>
      </x:c>
      <x:c r="U579" s="55" t="n">
        <x:v>1535</x:v>
      </x:c>
      <x:c r="V579" s="55" t="n">
        <x:v>10852</x:v>
      </x:c>
      <x:c r="W579" s="55" t="n">
        <x:v>7727</x:v>
      </x:c>
      <x:c r="X579" s="55" t="n">
        <x:v>3125</x:v>
      </x:c>
      <x:c r="Y579" s="55" t="n">
        <x:v>2927</x:v>
      </x:c>
      <x:c r="Z579" s="55" t="n">
        <x:v>3418</x:v>
      </x:c>
      <x:c r="AA579" s="55" t="n">
        <x:v>2828</x:v>
      </x:c>
      <x:c r="AB579" s="55" t="n">
        <x:v>1075</x:v>
      </x:c>
      <x:c r="AC579" s="55" t="n">
        <x:v>8150</x:v>
      </x:c>
      <x:c r="AD579" s="55" t="n">
        <x:v>3091</x:v>
      </x:c>
      <x:c r="AE579" s="55" t="n">
        <x:v>10942</x:v>
      </x:c>
      <x:c r="AF579" s="55" t="n">
        <x:v>10852</x:v>
      </x:c>
      <x:c r="AG579" s="55" t="n">
        <x:v>90</x:v>
      </x:c>
      <x:c r="AH579" s="55" t="n">
        <x:v>438</x:v>
      </x:c>
      <x:c r="AI579" s="55" t="n">
        <x:v>10414</x:v>
      </x:c>
      <x:c r="AJ579" s="55" t="n">
        <x:v>296</x:v>
      </x:c>
      <x:c r="AK579" s="55" t="n">
        <x:v>902</x:v>
      </x:c>
      <x:c r="AL579" s="55" t="n">
        <x:v>1852</x:v>
      </x:c>
      <x:c r="AM579" s="55" t="n">
        <x:v>4980</x:v>
      </x:c>
      <x:c r="AN579" s="55" t="n">
        <x:v>2822</x:v>
      </x:c>
      <x:c r="AO579" s="55" t="n">
        <x:v>0</x:v>
      </x:c>
      <x:c r="AP579" s="55" t="n">
        <x:v>2234</x:v>
      </x:c>
      <x:c r="AQ579" s="55" t="n">
        <x:v>986</x:v>
      </x:c>
    </x:row>
    <x:row r="580">
      <x:c r="A580" s="54" t="str">
        <x:v>T0_TABLE_BLOCK</x:v>
      </x:c>
      <x:c r="B580" s="54" t="n">
        <x:v>574</x:v>
      </x:c>
      <x:c r="C580" s="54" t="str">
        <x:v>NYC-V2-R01</x:v>
      </x:c>
      <x:c r="D580" s="54" t="str">
        <x:v>V2</x:v>
      </x:c>
      <x:c r="E580" s="54" t="str">
        <x:v>ADMITTED</x:v>
      </x:c>
      <x:c r="F580" s="55" t="n">
        <x:v>31829</x:v>
      </x:c>
      <x:c r="G580" s="55" t="n">
        <x:v>7994</x:v>
      </x:c>
      <x:c r="H580" s="55" t="n">
        <x:v>3421</x:v>
      </x:c>
      <x:c r="I580" s="55" t="n">
        <x:v>1225</x:v>
      </x:c>
      <x:c r="J580" s="55" t="n">
        <x:v>200</x:v>
      </x:c>
      <x:c r="K580" s="55" t="n">
        <x:v>28113</x:v>
      </x:c>
      <x:c r="L580" s="55" t="n">
        <x:v>6895</x:v>
      </x:c>
      <x:c r="M580" s="55" t="n">
        <x:v>1918</x:v>
      </x:c>
      <x:c r="N580" s="55" t="n">
        <x:v>2871</x:v>
      </x:c>
      <x:c r="O580" s="55" t="n">
        <x:v>2106</x:v>
      </x:c>
      <x:c r="P580" s="55" t="n">
        <x:v>972</x:v>
      </x:c>
      <x:c r="Q580" s="55" t="n">
        <x:v>2313</x:v>
      </x:c>
      <x:c r="R580" s="55" t="n">
        <x:v>1660</x:v>
      </x:c>
      <x:c r="S580" s="55" t="n">
        <x:v>3440</x:v>
      </x:c>
      <x:c r="T580" s="55" t="n">
        <x:v>1757</x:v>
      </x:c>
      <x:c r="U580" s="55" t="n">
        <x:v>2096</x:v>
      </x:c>
      <x:c r="V580" s="55" t="n">
        <x:v>11060</x:v>
      </x:c>
      <x:c r="W580" s="55" t="n">
        <x:v>7975</x:v>
      </x:c>
      <x:c r="X580" s="55" t="n">
        <x:v>3085</x:v>
      </x:c>
      <x:c r="Y580" s="55" t="n">
        <x:v>2758</x:v>
      </x:c>
      <x:c r="Z580" s="55" t="n">
        <x:v>3711</x:v>
      </x:c>
      <x:c r="AA580" s="55" t="n">
        <x:v>3318</x:v>
      </x:c>
      <x:c r="AB580" s="55" t="n">
        <x:v>1446</x:v>
      </x:c>
      <x:c r="AC580" s="55" t="n">
        <x:v>8072</x:v>
      </x:c>
      <x:c r="AD580" s="55" t="n">
        <x:v>3301</x:v>
      </x:c>
      <x:c r="AE580" s="55" t="n">
        <x:v>11126</x:v>
      </x:c>
      <x:c r="AF580" s="55" t="n">
        <x:v>11060</x:v>
      </x:c>
      <x:c r="AG580" s="55" t="n">
        <x:v>66</x:v>
      </x:c>
      <x:c r="AH580" s="55" t="n">
        <x:v>365</x:v>
      </x:c>
      <x:c r="AI580" s="55" t="n">
        <x:v>10695</x:v>
      </x:c>
      <x:c r="AJ580" s="55" t="n">
        <x:v>275</x:v>
      </x:c>
      <x:c r="AK580" s="55" t="n">
        <x:v>867</x:v>
      </x:c>
      <x:c r="AL580" s="55" t="n">
        <x:v>1414</x:v>
      </x:c>
      <x:c r="AM580" s="55" t="n">
        <x:v>4864</x:v>
      </x:c>
      <x:c r="AN580" s="55" t="n">
        <x:v>3562</x:v>
      </x:c>
      <x:c r="AO580" s="55" t="n">
        <x:v>78</x:v>
      </x:c>
      <x:c r="AP580" s="55" t="n">
        <x:v>2148</x:v>
      </x:c>
      <x:c r="AQ580" s="55" t="n">
        <x:v>973</x:v>
      </x:c>
    </x:row>
    <x:row r="581">
      <x:c r="A581" s="54" t="str">
        <x:v>T0_TABLE_BLOCK</x:v>
      </x:c>
      <x:c r="B581" s="54" t="n">
        <x:v>575</x:v>
      </x:c>
      <x:c r="C581" s="54" t="str">
        <x:v>NYC-V2-R01</x:v>
      </x:c>
      <x:c r="D581" s="54" t="str">
        <x:v>V2</x:v>
      </x:c>
      <x:c r="E581" s="54" t="str">
        <x:v>ADMITTED</x:v>
      </x:c>
      <x:c r="F581" s="55" t="n">
        <x:v>32056</x:v>
      </x:c>
      <x:c r="G581" s="55" t="n">
        <x:v>8040</x:v>
      </x:c>
      <x:c r="H581" s="55" t="n">
        <x:v>3486</x:v>
      </x:c>
      <x:c r="I581" s="55" t="n">
        <x:v>1466</x:v>
      </x:c>
      <x:c r="J581" s="55" t="n">
        <x:v>364</x:v>
      </x:c>
      <x:c r="K581" s="55" t="n">
        <x:v>32056</x:v>
      </x:c>
      <x:c r="L581" s="55" t="n">
        <x:v>5640</x:v>
      </x:c>
      <x:c r="M581" s="55" t="n">
        <x:v>1811</x:v>
      </x:c>
      <x:c r="N581" s="55" t="n">
        <x:v>2201</x:v>
      </x:c>
      <x:c r="O581" s="55" t="n">
        <x:v>1628</x:v>
      </x:c>
      <x:c r="P581" s="55" t="n">
        <x:v>1079</x:v>
      </x:c>
      <x:c r="Q581" s="55" t="n">
        <x:v>1800</x:v>
      </x:c>
      <x:c r="R581" s="55" t="n">
        <x:v>1866</x:v>
      </x:c>
      <x:c r="S581" s="55" t="n">
        <x:v>3125</x:v>
      </x:c>
      <x:c r="T581" s="55" t="n">
        <x:v>753</x:v>
      </x:c>
      <x:c r="U581" s="55" t="n">
        <x:v>2170</x:v>
      </x:c>
      <x:c r="V581" s="55" t="n">
        <x:v>10144</x:v>
      </x:c>
      <x:c r="W581" s="55" t="n">
        <x:v>7162</x:v>
      </x:c>
      <x:c r="X581" s="55" t="n">
        <x:v>2982</x:v>
      </x:c>
      <x:c r="Y581" s="55" t="n">
        <x:v>2491</x:v>
      </x:c>
      <x:c r="Z581" s="55" t="n">
        <x:v>3338</x:v>
      </x:c>
      <x:c r="AA581" s="55" t="n">
        <x:v>3486</x:v>
      </x:c>
      <x:c r="AB581" s="55" t="n">
        <x:v>1363</x:v>
      </x:c>
      <x:c r="AC581" s="55" t="n">
        <x:v>8211</x:v>
      </x:c>
      <x:c r="AD581" s="55" t="n">
        <x:v>2702</x:v>
      </x:c>
      <x:c r="AE581" s="55" t="n">
        <x:v>10244</x:v>
      </x:c>
      <x:c r="AF581" s="55" t="n">
        <x:v>10144</x:v>
      </x:c>
      <x:c r="AG581" s="55" t="n">
        <x:v>100</x:v>
      </x:c>
      <x:c r="AH581" s="55" t="n">
        <x:v>609</x:v>
      </x:c>
      <x:c r="AI581" s="55" t="n">
        <x:v>9535</x:v>
      </x:c>
      <x:c r="AJ581" s="55" t="n">
        <x:v>285</x:v>
      </x:c>
      <x:c r="AK581" s="55" t="n">
        <x:v>1217</x:v>
      </x:c>
      <x:c r="AL581" s="55" t="n">
        <x:v>1872</x:v>
      </x:c>
      <x:c r="AM581" s="55" t="n">
        <x:v>4981</x:v>
      </x:c>
      <x:c r="AN581" s="55" t="n">
        <x:v>1789</x:v>
      </x:c>
      <x:c r="AO581" s="55" t="n">
        <x:v>0</x:v>
      </x:c>
      <x:c r="AP581" s="55" t="n">
        <x:v>2522</x:v>
      </x:c>
      <x:c r="AQ581" s="55" t="n">
        <x:v>963</x:v>
      </x:c>
    </x:row>
    <x:row r="582">
      <x:c r="A582" s="54" t="str">
        <x:v>T0_TABLE_BLOCK</x:v>
      </x:c>
      <x:c r="B582" s="54" t="n">
        <x:v>576</x:v>
      </x:c>
      <x:c r="C582" s="54" t="str">
        <x:v>NYC-V2-R01</x:v>
      </x:c>
      <x:c r="D582" s="54" t="str">
        <x:v>V2</x:v>
      </x:c>
      <x:c r="E582" s="54" t="str">
        <x:v>ADMITTED</x:v>
      </x:c>
      <x:c r="F582" s="55" t="n">
        <x:v>30946</x:v>
      </x:c>
      <x:c r="G582" s="55" t="n">
        <x:v>7248</x:v>
      </x:c>
      <x:c r="H582" s="55" t="n">
        <x:v>3656</x:v>
      </x:c>
      <x:c r="I582" s="55" t="n">
        <x:v>1463</x:v>
      </x:c>
      <x:c r="J582" s="55" t="n">
        <x:v>314</x:v>
      </x:c>
      <x:c r="K582" s="55" t="n">
        <x:v>30946</x:v>
      </x:c>
      <x:c r="L582" s="55" t="n">
        <x:v>6149</x:v>
      </x:c>
      <x:c r="M582" s="55" t="n">
        <x:v>1112</x:v>
      </x:c>
      <x:c r="N582" s="55" t="n">
        <x:v>2449</x:v>
      </x:c>
      <x:c r="O582" s="55" t="n">
        <x:v>2588</x:v>
      </x:c>
      <x:c r="P582" s="55" t="n">
        <x:v>914</x:v>
      </x:c>
      <x:c r="Q582" s="55" t="n">
        <x:v>2158</x:v>
      </x:c>
      <x:c r="R582" s="55" t="n">
        <x:v>1906</x:v>
      </x:c>
      <x:c r="S582" s="55" t="n">
        <x:v>2458</x:v>
      </x:c>
      <x:c r="T582" s="55" t="n">
        <x:v>1516</x:v>
      </x:c>
      <x:c r="U582" s="55" t="n">
        <x:v>1643</x:v>
      </x:c>
      <x:c r="V582" s="55" t="n">
        <x:v>9744</x:v>
      </x:c>
      <x:c r="W582" s="55" t="n">
        <x:v>7475</x:v>
      </x:c>
      <x:c r="X582" s="55" t="n">
        <x:v>2269</x:v>
      </x:c>
      <x:c r="Y582" s="55" t="n">
        <x:v>2213</x:v>
      </x:c>
      <x:c r="Z582" s="55" t="n">
        <x:v>3462</x:v>
      </x:c>
      <x:c r="AA582" s="55" t="n">
        <x:v>2964</x:v>
      </x:c>
      <x:c r="AB582" s="55" t="n">
        <x:v>260</x:v>
      </x:c>
      <x:c r="AC582" s="55" t="n">
        <x:v>8229</x:v>
      </x:c>
      <x:c r="AD582" s="55" t="n">
        <x:v>2703</x:v>
      </x:c>
      <x:c r="AE582" s="55" t="n">
        <x:v>9827</x:v>
      </x:c>
      <x:c r="AF582" s="55" t="n">
        <x:v>9744</x:v>
      </x:c>
      <x:c r="AG582" s="55" t="n">
        <x:v>83</x:v>
      </x:c>
      <x:c r="AH582" s="55" t="n">
        <x:v>360</x:v>
      </x:c>
      <x:c r="AI582" s="55" t="n">
        <x:v>9384</x:v>
      </x:c>
      <x:c r="AJ582" s="55" t="n">
        <x:v>195</x:v>
      </x:c>
      <x:c r="AK582" s="55" t="n">
        <x:v>980</x:v>
      </x:c>
      <x:c r="AL582" s="55" t="n">
        <x:v>1215</x:v>
      </x:c>
      <x:c r="AM582" s="55" t="n">
        <x:v>4463</x:v>
      </x:c>
      <x:c r="AN582" s="55" t="n">
        <x:v>2878</x:v>
      </x:c>
      <x:c r="AO582" s="55" t="n">
        <x:v>13</x:v>
      </x:c>
      <x:c r="AP582" s="55" t="n">
        <x:v>2548</x:v>
      </x:c>
      <x:c r="AQ582" s="55" t="n">
        <x:v>954</x:v>
      </x:c>
    </x:row>
    <x:row r="583">
      <x:c r="A583" s="54" t="str">
        <x:v>T0_TABLE_BLOCK</x:v>
      </x:c>
      <x:c r="B583" s="54" t="n">
        <x:v>577</x:v>
      </x:c>
      <x:c r="C583" s="54" t="str">
        <x:v>NYC-V2-R01</x:v>
      </x:c>
      <x:c r="D583" s="54" t="str">
        <x:v>V2</x:v>
      </x:c>
      <x:c r="E583" s="54" t="str">
        <x:v>ADMITTED</x:v>
      </x:c>
      <x:c r="F583" s="55" t="n">
        <x:v>32540</x:v>
      </x:c>
      <x:c r="G583" s="55" t="n">
        <x:v>7497</x:v>
      </x:c>
      <x:c r="H583" s="55" t="n">
        <x:v>3742</x:v>
      </x:c>
      <x:c r="I583" s="55" t="n">
        <x:v>883</x:v>
      </x:c>
      <x:c r="J583" s="55" t="n">
        <x:v>138</x:v>
      </x:c>
      <x:c r="K583" s="55" t="n">
        <x:v>32540</x:v>
      </x:c>
      <x:c r="L583" s="55" t="n">
        <x:v>6246</x:v>
      </x:c>
      <x:c r="M583" s="55" t="n">
        <x:v>1757</x:v>
      </x:c>
      <x:c r="N583" s="55" t="n">
        <x:v>2637</x:v>
      </x:c>
      <x:c r="O583" s="55" t="n">
        <x:v>1852</x:v>
      </x:c>
      <x:c r="P583" s="55" t="n">
        <x:v>745</x:v>
      </x:c>
      <x:c r="Q583" s="55" t="n">
        <x:v>2658</x:v>
      </x:c>
      <x:c r="R583" s="55" t="n">
        <x:v>1598</x:v>
      </x:c>
      <x:c r="S583" s="55" t="n">
        <x:v>2895</x:v>
      </x:c>
      <x:c r="T583" s="55" t="n">
        <x:v>1113</x:v>
      </x:c>
      <x:c r="U583" s="55" t="n">
        <x:v>2040</x:v>
      </x:c>
      <x:c r="V583" s="55" t="n">
        <x:v>9907</x:v>
      </x:c>
      <x:c r="W583" s="55" t="n">
        <x:v>7015</x:v>
      </x:c>
      <x:c r="X583" s="55" t="n">
        <x:v>2892</x:v>
      </x:c>
      <x:c r="Y583" s="55" t="n">
        <x:v>2455</x:v>
      </x:c>
      <x:c r="Z583" s="55" t="n">
        <x:v>3354</x:v>
      </x:c>
      <x:c r="AA583" s="55" t="n">
        <x:v>3742</x:v>
      </x:c>
      <x:c r="AB583" s="55" t="n">
        <x:v>1292</x:v>
      </x:c>
      <x:c r="AC583" s="55" t="n">
        <x:v>7716</x:v>
      </x:c>
      <x:c r="AD583" s="55" t="n">
        <x:v>2698</x:v>
      </x:c>
      <x:c r="AE583" s="55" t="n">
        <x:v>10000</x:v>
      </x:c>
      <x:c r="AF583" s="55" t="n">
        <x:v>9907</x:v>
      </x:c>
      <x:c r="AG583" s="55" t="n">
        <x:v>93</x:v>
      </x:c>
      <x:c r="AH583" s="55" t="n">
        <x:v>487</x:v>
      </x:c>
      <x:c r="AI583" s="55" t="n">
        <x:v>9420</x:v>
      </x:c>
      <x:c r="AJ583" s="55" t="n">
        <x:v>231</x:v>
      </x:c>
      <x:c r="AK583" s="55" t="n">
        <x:v>662</x:v>
      </x:c>
      <x:c r="AL583" s="55" t="n">
        <x:v>1695</x:v>
      </x:c>
      <x:c r="AM583" s="55" t="n">
        <x:v>4904</x:v>
      </x:c>
      <x:c r="AN583" s="55" t="n">
        <x:v>2415</x:v>
      </x:c>
      <x:c r="AO583" s="55" t="n">
        <x:v>0</x:v>
      </x:c>
      <x:c r="AP583" s="55" t="n">
        <x:v>2454</x:v>
      </x:c>
      <x:c r="AQ583" s="55" t="n">
        <x:v>998</x:v>
      </x:c>
    </x:row>
    <x:row r="584">
      <x:c r="A584" s="54" t="str">
        <x:v>T0_TABLE_BLOCK</x:v>
      </x:c>
      <x:c r="B584" s="54" t="n">
        <x:v>578</x:v>
      </x:c>
      <x:c r="C584" s="54" t="str">
        <x:v>NYC-V2-R01</x:v>
      </x:c>
      <x:c r="D584" s="54" t="str">
        <x:v>V2</x:v>
      </x:c>
      <x:c r="E584" s="54" t="str">
        <x:v>ADMITTED</x:v>
      </x:c>
      <x:c r="F584" s="55" t="n">
        <x:v>31108</x:v>
      </x:c>
      <x:c r="G584" s="55" t="n">
        <x:v>7508</x:v>
      </x:c>
      <x:c r="H584" s="55" t="n">
        <x:v>3208</x:v>
      </x:c>
      <x:c r="I584" s="55" t="n">
        <x:v>1267</x:v>
      </x:c>
      <x:c r="J584" s="55" t="n">
        <x:v>307</x:v>
      </x:c>
      <x:c r="K584" s="55" t="n">
        <x:v>30129</x:v>
      </x:c>
      <x:c r="L584" s="55" t="n">
        <x:v>5395</x:v>
      </x:c>
      <x:c r="M584" s="55" t="n">
        <x:v>1489</x:v>
      </x:c>
      <x:c r="N584" s="55" t="n">
        <x:v>2573</x:v>
      </x:c>
      <x:c r="O584" s="55" t="n">
        <x:v>1333</x:v>
      </x:c>
      <x:c r="P584" s="55" t="n">
        <x:v>470</x:v>
      </x:c>
      <x:c r="Q584" s="55" t="n">
        <x:v>2210</x:v>
      </x:c>
      <x:c r="R584" s="55" t="n">
        <x:v>1827</x:v>
      </x:c>
      <x:c r="S584" s="55" t="n">
        <x:v>3146</x:v>
      </x:c>
      <x:c r="T584" s="55" t="n">
        <x:v>666</x:v>
      </x:c>
      <x:c r="U584" s="55" t="n">
        <x:v>1831</x:v>
      </x:c>
      <x:c r="V584" s="55" t="n">
        <x:v>11004</x:v>
      </x:c>
      <x:c r="W584" s="55" t="n">
        <x:v>7893</x:v>
      </x:c>
      <x:c r="X584" s="55" t="n">
        <x:v>3111</x:v>
      </x:c>
      <x:c r="Y584" s="55" t="n">
        <x:v>2666</x:v>
      </x:c>
      <x:c r="Z584" s="55" t="n">
        <x:v>3948</x:v>
      </x:c>
      <x:c r="AA584" s="55" t="n">
        <x:v>3208</x:v>
      </x:c>
      <x:c r="AB584" s="55" t="n">
        <x:v>958</x:v>
      </x:c>
      <x:c r="AC584" s="55" t="n">
        <x:v>7996</x:v>
      </x:c>
      <x:c r="AD584" s="55" t="n">
        <x:v>2932</x:v>
      </x:c>
      <x:c r="AE584" s="55" t="n">
        <x:v>11004</x:v>
      </x:c>
      <x:c r="AF584" s="55" t="n">
        <x:v>11004</x:v>
      </x:c>
      <x:c r="AG584" s="55" t="n">
        <x:v>0</x:v>
      </x:c>
      <x:c r="AH584" s="55" t="n">
        <x:v>455</x:v>
      </x:c>
      <x:c r="AI584" s="55" t="n">
        <x:v>10549</x:v>
      </x:c>
      <x:c r="AJ584" s="55" t="n">
        <x:v>377</x:v>
      </x:c>
      <x:c r="AK584" s="55" t="n">
        <x:v>1201</x:v>
      </x:c>
      <x:c r="AL584" s="55" t="n">
        <x:v>1557</x:v>
      </x:c>
      <x:c r="AM584" s="55" t="n">
        <x:v>5395</x:v>
      </x:c>
      <x:c r="AN584" s="55" t="n">
        <x:v>2474</x:v>
      </x:c>
      <x:c r="AO584" s="55" t="n">
        <x:v>0</x:v>
      </x:c>
      <x:c r="AP584" s="55" t="n">
        <x:v>2863</x:v>
      </x:c>
      <x:c r="AQ584" s="55" t="n">
        <x:v>968</x:v>
      </x:c>
    </x:row>
    <x:row r="585">
      <x:c r="A585" s="54" t="str">
        <x:v>T0_TABLE_BLOCK</x:v>
      </x:c>
      <x:c r="B585" s="54" t="n">
        <x:v>579</x:v>
      </x:c>
      <x:c r="C585" s="54" t="str">
        <x:v>NYC-V2-R01</x:v>
      </x:c>
      <x:c r="D585" s="54" t="str">
        <x:v>V2</x:v>
      </x:c>
      <x:c r="E585" s="54" t="str">
        <x:v>ADMITTED</x:v>
      </x:c>
      <x:c r="F585" s="55" t="n">
        <x:v>30014</x:v>
      </x:c>
      <x:c r="G585" s="55" t="n">
        <x:v>7337</x:v>
      </x:c>
      <x:c r="H585" s="55" t="n">
        <x:v>3320</x:v>
      </x:c>
      <x:c r="I585" s="55" t="n">
        <x:v>1311</x:v>
      </x:c>
      <x:c r="J585" s="55" t="n">
        <x:v>326</x:v>
      </x:c>
      <x:c r="K585" s="55" t="n">
        <x:v>30014</x:v>
      </x:c>
      <x:c r="L585" s="55" t="n">
        <x:v>4745</x:v>
      </x:c>
      <x:c r="M585" s="55" t="n">
        <x:v>0</x:v>
      </x:c>
      <x:c r="N585" s="55" t="n">
        <x:v>3242</x:v>
      </x:c>
      <x:c r="O585" s="55" t="n">
        <x:v>1503</x:v>
      </x:c>
      <x:c r="P585" s="55" t="n">
        <x:v>492</x:v>
      </x:c>
      <x:c r="Q585" s="55" t="n">
        <x:v>2063</x:v>
      </x:c>
      <x:c r="R585" s="55" t="n">
        <x:v>1394</x:v>
      </x:c>
      <x:c r="S585" s="55" t="n">
        <x:v>2388</x:v>
      </x:c>
      <x:c r="T585" s="55" t="n">
        <x:v>1331</x:v>
      </x:c>
      <x:c r="U585" s="55" t="n">
        <x:v>2324</x:v>
      </x:c>
      <x:c r="V585" s="55" t="n">
        <x:v>10088</x:v>
      </x:c>
      <x:c r="W585" s="55" t="n">
        <x:v>7004</x:v>
      </x:c>
      <x:c r="X585" s="55" t="n">
        <x:v>3084</x:v>
      </x:c>
      <x:c r="Y585" s="55" t="n">
        <x:v>2859</x:v>
      </x:c>
      <x:c r="Z585" s="55" t="n">
        <x:v>3348</x:v>
      </x:c>
      <x:c r="AA585" s="55" t="n">
        <x:v>3320</x:v>
      </x:c>
      <x:c r="AB585" s="55" t="n">
        <x:v>1184</x:v>
      </x:c>
      <x:c r="AC585" s="55" t="n">
        <x:v>7755</x:v>
      </x:c>
      <x:c r="AD585" s="55" t="n">
        <x:v>2747</x:v>
      </x:c>
      <x:c r="AE585" s="55" t="n">
        <x:v>10152</x:v>
      </x:c>
      <x:c r="AF585" s="55" t="n">
        <x:v>10088</x:v>
      </x:c>
      <x:c r="AG585" s="55" t="n">
        <x:v>64</x:v>
      </x:c>
      <x:c r="AH585" s="55" t="n">
        <x:v>353</x:v>
      </x:c>
      <x:c r="AI585" s="55" t="n">
        <x:v>9735</x:v>
      </x:c>
      <x:c r="AJ585" s="55" t="n">
        <x:v>321</x:v>
      </x:c>
      <x:c r="AK585" s="55" t="n">
        <x:v>1351</x:v>
      </x:c>
      <x:c r="AL585" s="55" t="n">
        <x:v>1492</x:v>
      </x:c>
      <x:c r="AM585" s="55" t="n">
        <x:v>4732</x:v>
      </x:c>
      <x:c r="AN585" s="55" t="n">
        <x:v>2192</x:v>
      </x:c>
      <x:c r="AO585" s="55" t="n">
        <x:v>0</x:v>
      </x:c>
      <x:c r="AP585" s="55" t="n">
        <x:v>2285</x:v>
      </x:c>
      <x:c r="AQ585" s="55" t="n">
        <x:v>996</x:v>
      </x:c>
    </x:row>
    <x:row r="586">
      <x:c r="A586" s="54" t="str">
        <x:v>T0_TABLE_BLOCK</x:v>
      </x:c>
      <x:c r="B586" s="54" t="n">
        <x:v>580</x:v>
      </x:c>
      <x:c r="C586" s="54" t="str">
        <x:v>NYC-V2-R01</x:v>
      </x:c>
      <x:c r="D586" s="54" t="str">
        <x:v>V2</x:v>
      </x:c>
      <x:c r="E586" s="54" t="str">
        <x:v>ADMITTED</x:v>
      </x:c>
      <x:c r="F586" s="55" t="n">
        <x:v>31193</x:v>
      </x:c>
      <x:c r="G586" s="55" t="n">
        <x:v>8268</x:v>
      </x:c>
      <x:c r="H586" s="55" t="n">
        <x:v>3433</x:v>
      </x:c>
      <x:c r="I586" s="55" t="n">
        <x:v>1324</x:v>
      </x:c>
      <x:c r="J586" s="55" t="n">
        <x:v>475</x:v>
      </x:c>
      <x:c r="K586" s="55" t="n">
        <x:v>30311</x:v>
      </x:c>
      <x:c r="L586" s="55" t="n">
        <x:v>6559</x:v>
      </x:c>
      <x:c r="M586" s="55" t="n">
        <x:v>1247</x:v>
      </x:c>
      <x:c r="N586" s="55" t="n">
        <x:v>3394</x:v>
      </x:c>
      <x:c r="O586" s="55" t="n">
        <x:v>1918</x:v>
      </x:c>
      <x:c r="P586" s="55" t="n">
        <x:v>902</x:v>
      </x:c>
      <x:c r="Q586" s="55" t="n">
        <x:v>3453</x:v>
      </x:c>
      <x:c r="R586" s="55" t="n">
        <x:v>1571</x:v>
      </x:c>
      <x:c r="S586" s="55" t="n">
        <x:v>3016</x:v>
      </x:c>
      <x:c r="T586" s="55" t="n">
        <x:v>1662</x:v>
      </x:c>
      <x:c r="U586" s="55" t="n">
        <x:v>2204</x:v>
      </x:c>
      <x:c r="V586" s="55" t="n">
        <x:v>9934</x:v>
      </x:c>
      <x:c r="W586" s="55" t="n">
        <x:v>6602</x:v>
      </x:c>
      <x:c r="X586" s="55" t="n">
        <x:v>3332</x:v>
      </x:c>
      <x:c r="Y586" s="55" t="n">
        <x:v>3007</x:v>
      </x:c>
      <x:c r="Z586" s="55" t="n">
        <x:v>3582</x:v>
      </x:c>
      <x:c r="AA586" s="55" t="n">
        <x:v>3433</x:v>
      </x:c>
      <x:c r="AB586" s="55" t="n">
        <x:v>1339</x:v>
      </x:c>
      <x:c r="AC586" s="55" t="n">
        <x:v>8226</x:v>
      </x:c>
      <x:c r="AD586" s="55" t="n">
        <x:v>3187</x:v>
      </x:c>
      <x:c r="AE586" s="55" t="n">
        <x:v>10076</x:v>
      </x:c>
      <x:c r="AF586" s="55" t="n">
        <x:v>9934</x:v>
      </x:c>
      <x:c r="AG586" s="55" t="n">
        <x:v>142</x:v>
      </x:c>
      <x:c r="AH586" s="55" t="n">
        <x:v>359</x:v>
      </x:c>
      <x:c r="AI586" s="55" t="n">
        <x:v>9575</x:v>
      </x:c>
      <x:c r="AJ586" s="55" t="n">
        <x:v>170</x:v>
      </x:c>
      <x:c r="AK586" s="55" t="n">
        <x:v>1089</x:v>
      </x:c>
      <x:c r="AL586" s="55" t="n">
        <x:v>1451</x:v>
      </x:c>
      <x:c r="AM586" s="55" t="n">
        <x:v>4537</x:v>
      </x:c>
      <x:c r="AN586" s="55" t="n">
        <x:v>2671</x:v>
      </x:c>
      <x:c r="AO586" s="55" t="n">
        <x:v>16</x:v>
      </x:c>
      <x:c r="AP586" s="55" t="n">
        <x:v>2552</x:v>
      </x:c>
      <x:c r="AQ586" s="55" t="n">
        <x:v>954</x:v>
      </x:c>
    </x:row>
    <x:row r="587">
      <x:c r="A587" s="54" t="str">
        <x:v>T0_TABLE_BLOCK</x:v>
      </x:c>
      <x:c r="B587" s="54" t="n">
        <x:v>581</x:v>
      </x:c>
      <x:c r="C587" s="54" t="str">
        <x:v>NYC-V2-R01</x:v>
      </x:c>
      <x:c r="D587" s="54" t="str">
        <x:v>V2</x:v>
      </x:c>
      <x:c r="E587" s="54" t="str">
        <x:v>ADMITTED</x:v>
      </x:c>
      <x:c r="F587" s="55" t="n">
        <x:v>32705</x:v>
      </x:c>
      <x:c r="G587" s="55" t="n">
        <x:v>9099</x:v>
      </x:c>
      <x:c r="H587" s="55" t="n">
        <x:v>3016</x:v>
      </x:c>
      <x:c r="I587" s="55" t="n">
        <x:v>1175</x:v>
      </x:c>
      <x:c r="J587" s="55" t="n">
        <x:v>245</x:v>
      </x:c>
      <x:c r="K587" s="55" t="n">
        <x:v>31576</x:v>
      </x:c>
      <x:c r="L587" s="55" t="n">
        <x:v>6567</x:v>
      </x:c>
      <x:c r="M587" s="55" t="n">
        <x:v>2086</x:v>
      </x:c>
      <x:c r="N587" s="55" t="n">
        <x:v>2685</x:v>
      </x:c>
      <x:c r="O587" s="55" t="n">
        <x:v>1796</x:v>
      </x:c>
      <x:c r="P587" s="55" t="n">
        <x:v>826</x:v>
      </x:c>
      <x:c r="Q587" s="55" t="n">
        <x:v>2685</x:v>
      </x:c>
      <x:c r="R587" s="55" t="n">
        <x:v>1882</x:v>
      </x:c>
      <x:c r="S587" s="55" t="n">
        <x:v>2972</x:v>
      </x:c>
      <x:c r="T587" s="55" t="n">
        <x:v>1968</x:v>
      </x:c>
      <x:c r="U587" s="55" t="n">
        <x:v>2411</x:v>
      </x:c>
      <x:c r="V587" s="55" t="n">
        <x:v>9760</x:v>
      </x:c>
      <x:c r="W587" s="55" t="n">
        <x:v>6335</x:v>
      </x:c>
      <x:c r="X587" s="55" t="n">
        <x:v>3425</x:v>
      </x:c>
      <x:c r="Y587" s="55" t="n">
        <x:v>3063</x:v>
      </x:c>
      <x:c r="Z587" s="55" t="n">
        <x:v>3169</x:v>
      </x:c>
      <x:c r="AA587" s="55" t="n">
        <x:v>2533</x:v>
      </x:c>
      <x:c r="AB587" s="55" t="n">
        <x:v>837</x:v>
      </x:c>
      <x:c r="AC587" s="55" t="n">
        <x:v>7789</x:v>
      </x:c>
      <x:c r="AD587" s="55" t="n">
        <x:v>3045</x:v>
      </x:c>
      <x:c r="AE587" s="55" t="n">
        <x:v>9925</x:v>
      </x:c>
      <x:c r="AF587" s="55" t="n">
        <x:v>9760</x:v>
      </x:c>
      <x:c r="AG587" s="55" t="n">
        <x:v>165</x:v>
      </x:c>
      <x:c r="AH587" s="55" t="n">
        <x:v>150</x:v>
      </x:c>
      <x:c r="AI587" s="55" t="n">
        <x:v>9610</x:v>
      </x:c>
      <x:c r="AJ587" s="55" t="n">
        <x:v>448</x:v>
      </x:c>
      <x:c r="AK587" s="55" t="n">
        <x:v>764</x:v>
      </x:c>
      <x:c r="AL587" s="55" t="n">
        <x:v>1451</x:v>
      </x:c>
      <x:c r="AM587" s="55" t="n">
        <x:v>4454</x:v>
      </x:c>
      <x:c r="AN587" s="55" t="n">
        <x:v>2643</x:v>
      </x:c>
      <x:c r="AO587" s="55" t="n">
        <x:v>0</x:v>
      </x:c>
      <x:c r="AP587" s="55" t="n">
        <x:v>1969</x:v>
      </x:c>
      <x:c r="AQ587" s="55" t="n">
        <x:v>952</x:v>
      </x:c>
    </x:row>
    <x:row r="588">
      <x:c r="A588" s="54" t="str">
        <x:v>T0_TABLE_BLOCK</x:v>
      </x:c>
      <x:c r="B588" s="54" t="n">
        <x:v>582</x:v>
      </x:c>
      <x:c r="C588" s="54" t="str">
        <x:v>NYC-V2-R01</x:v>
      </x:c>
      <x:c r="D588" s="54" t="str">
        <x:v>V2</x:v>
      </x:c>
      <x:c r="E588" s="54" t="str">
        <x:v>ADMITTED</x:v>
      </x:c>
      <x:c r="F588" s="55" t="n">
        <x:v>29871</x:v>
      </x:c>
      <x:c r="G588" s="55" t="n">
        <x:v>8345</x:v>
      </x:c>
      <x:c r="H588" s="55" t="n">
        <x:v>3422</x:v>
      </x:c>
      <x:c r="I588" s="55" t="n">
        <x:v>1811</x:v>
      </x:c>
      <x:c r="J588" s="55" t="n">
        <x:v>386</x:v>
      </x:c>
      <x:c r="K588" s="55" t="n">
        <x:v>29871</x:v>
      </x:c>
      <x:c r="L588" s="55" t="n">
        <x:v>5427</x:v>
      </x:c>
      <x:c r="M588" s="55" t="n">
        <x:v>1126</x:v>
      </x:c>
      <x:c r="N588" s="55" t="n">
        <x:v>2736</x:v>
      </x:c>
      <x:c r="O588" s="55" t="n">
        <x:v>1565</x:v>
      </x:c>
      <x:c r="P588" s="55" t="n">
        <x:v>530</x:v>
      </x:c>
      <x:c r="Q588" s="55" t="n">
        <x:v>2380</x:v>
      </x:c>
      <x:c r="R588" s="55" t="n">
        <x:v>2205</x:v>
      </x:c>
      <x:c r="S588" s="55" t="n">
        <x:v>3228</x:v>
      </x:c>
      <x:c r="T588" s="55" t="n">
        <x:v>856</x:v>
      </x:c>
      <x:c r="U588" s="55" t="n">
        <x:v>2496</x:v>
      </x:c>
      <x:c r="V588" s="55" t="n">
        <x:v>10266</x:v>
      </x:c>
      <x:c r="W588" s="55" t="n">
        <x:v>7113</x:v>
      </x:c>
      <x:c r="X588" s="55" t="n">
        <x:v>3153</x:v>
      </x:c>
      <x:c r="Y588" s="55" t="n">
        <x:v>2753</x:v>
      </x:c>
      <x:c r="Z588" s="55" t="n">
        <x:v>3811</x:v>
      </x:c>
      <x:c r="AA588" s="55" t="n">
        <x:v>3359</x:v>
      </x:c>
      <x:c r="AB588" s="55" t="n">
        <x:v>1354</x:v>
      </x:c>
      <x:c r="AC588" s="55" t="n">
        <x:v>8079</x:v>
      </x:c>
      <x:c r="AD588" s="55" t="n">
        <x:v>2965</x:v>
      </x:c>
      <x:c r="AE588" s="55" t="n">
        <x:v>10325</x:v>
      </x:c>
      <x:c r="AF588" s="55" t="n">
        <x:v>10266</x:v>
      </x:c>
      <x:c r="AG588" s="55" t="n">
        <x:v>59</x:v>
      </x:c>
      <x:c r="AH588" s="55" t="n">
        <x:v>503</x:v>
      </x:c>
      <x:c r="AI588" s="55" t="n">
        <x:v>9763</x:v>
      </x:c>
      <x:c r="AJ588" s="55" t="n">
        <x:v>137</x:v>
      </x:c>
      <x:c r="AK588" s="55" t="n">
        <x:v>1027</x:v>
      </x:c>
      <x:c r="AL588" s="55" t="n">
        <x:v>1450</x:v>
      </x:c>
      <x:c r="AM588" s="55" t="n">
        <x:v>4546</x:v>
      </x:c>
      <x:c r="AN588" s="55" t="n">
        <x:v>3012</x:v>
      </x:c>
      <x:c r="AO588" s="55" t="n">
        <x:v>94</x:v>
      </x:c>
      <x:c r="AP588" s="55" t="n">
        <x:v>1903</x:v>
      </x:c>
      <x:c r="AQ588" s="55" t="n">
        <x:v>939</x:v>
      </x:c>
    </x:row>
    <x:row r="589">
      <x:c r="A589" s="54" t="str">
        <x:v>T0_TABLE_BLOCK</x:v>
      </x:c>
      <x:c r="B589" s="54" t="n">
        <x:v>583</x:v>
      </x:c>
      <x:c r="C589" s="54" t="str">
        <x:v>NYC-V2-R01</x:v>
      </x:c>
      <x:c r="D589" s="54" t="str">
        <x:v>V2</x:v>
      </x:c>
      <x:c r="E589" s="54" t="str">
        <x:v>ADMITTED</x:v>
      </x:c>
      <x:c r="F589" s="55" t="n">
        <x:v>30872</x:v>
      </x:c>
      <x:c r="G589" s="55" t="n">
        <x:v>6692</x:v>
      </x:c>
      <x:c r="H589" s="55" t="n">
        <x:v>3687</x:v>
      </x:c>
      <x:c r="I589" s="55" t="n">
        <x:v>1360</x:v>
      </x:c>
      <x:c r="J589" s="55" t="n">
        <x:v>305</x:v>
      </x:c>
      <x:c r="K589" s="55" t="n">
        <x:v>30872</x:v>
      </x:c>
      <x:c r="L589" s="55" t="n">
        <x:v>5548</x:v>
      </x:c>
      <x:c r="M589" s="55" t="n">
        <x:v>1607</x:v>
      </x:c>
      <x:c r="N589" s="55" t="n">
        <x:v>2222</x:v>
      </x:c>
      <x:c r="O589" s="55" t="n">
        <x:v>1719</x:v>
      </x:c>
      <x:c r="P589" s="55" t="n">
        <x:v>1204</x:v>
      </x:c>
      <x:c r="Q589" s="55" t="n">
        <x:v>1234</x:v>
      </x:c>
      <x:c r="R589" s="55" t="n">
        <x:v>1809</x:v>
      </x:c>
      <x:c r="S589" s="55" t="n">
        <x:v>3011</x:v>
      </x:c>
      <x:c r="T589" s="55" t="n">
        <x:v>1558</x:v>
      </x:c>
      <x:c r="U589" s="55" t="n">
        <x:v>2048</x:v>
      </x:c>
      <x:c r="V589" s="55" t="n">
        <x:v>10801</x:v>
      </x:c>
      <x:c r="W589" s="55" t="n">
        <x:v>7900</x:v>
      </x:c>
      <x:c r="X589" s="55" t="n">
        <x:v>2901</x:v>
      </x:c>
      <x:c r="Y589" s="55" t="n">
        <x:v>2343</x:v>
      </x:c>
      <x:c r="Z589" s="55" t="n">
        <x:v>4443</x:v>
      </x:c>
      <x:c r="AA589" s="55" t="n">
        <x:v>3687</x:v>
      </x:c>
      <x:c r="AB589" s="55" t="n">
        <x:v>1512</x:v>
      </x:c>
      <x:c r="AC589" s="55" t="n">
        <x:v>7221</x:v>
      </x:c>
      <x:c r="AD589" s="55" t="n">
        <x:v>2371</x:v>
      </x:c>
      <x:c r="AE589" s="55" t="n">
        <x:v>10851</x:v>
      </x:c>
      <x:c r="AF589" s="55" t="n">
        <x:v>10801</x:v>
      </x:c>
      <x:c r="AG589" s="55" t="n">
        <x:v>50</x:v>
      </x:c>
      <x:c r="AH589" s="55" t="n">
        <x:v>585</x:v>
      </x:c>
      <x:c r="AI589" s="55" t="n">
        <x:v>10216</x:v>
      </x:c>
      <x:c r="AJ589" s="55" t="n">
        <x:v>424</x:v>
      </x:c>
      <x:c r="AK589" s="55" t="n">
        <x:v>1254</x:v>
      </x:c>
      <x:c r="AL589" s="55" t="n">
        <x:v>1391</x:v>
      </x:c>
      <x:c r="AM589" s="55" t="n">
        <x:v>5143</x:v>
      </x:c>
      <x:c r="AN589" s="55" t="n">
        <x:v>2525</x:v>
      </x:c>
      <x:c r="AO589" s="55" t="n">
        <x:v>64</x:v>
      </x:c>
      <x:c r="AP589" s="55" t="n">
        <x:v>2306</x:v>
      </x:c>
      <x:c r="AQ589" s="55" t="n">
        <x:v>973</x:v>
      </x:c>
    </x:row>
    <x:row r="590">
      <x:c r="A590" s="54" t="str">
        <x:v>T0_TABLE_BLOCK</x:v>
      </x:c>
      <x:c r="B590" s="54" t="n">
        <x:v>584</x:v>
      </x:c>
      <x:c r="C590" s="54" t="str">
        <x:v>NYC-V2-R01</x:v>
      </x:c>
      <x:c r="D590" s="54" t="str">
        <x:v>V2</x:v>
      </x:c>
      <x:c r="E590" s="54" t="str">
        <x:v>ADMITTED</x:v>
      </x:c>
      <x:c r="F590" s="55" t="n">
        <x:v>28548</x:v>
      </x:c>
      <x:c r="G590" s="55" t="n">
        <x:v>7028</x:v>
      </x:c>
      <x:c r="H590" s="55" t="n">
        <x:v>3222</x:v>
      </x:c>
      <x:c r="I590" s="55" t="n">
        <x:v>1723</x:v>
      </x:c>
      <x:c r="J590" s="55" t="n">
        <x:v>342</x:v>
      </x:c>
      <x:c r="K590" s="55" t="n">
        <x:v>28548</x:v>
      </x:c>
      <x:c r="L590" s="55" t="n">
        <x:v>6054</x:v>
      </x:c>
      <x:c r="M590" s="55" t="n">
        <x:v>934</x:v>
      </x:c>
      <x:c r="N590" s="55" t="n">
        <x:v>3319</x:v>
      </x:c>
      <x:c r="O590" s="55" t="n">
        <x:v>1801</x:v>
      </x:c>
      <x:c r="P590" s="55" t="n">
        <x:v>1007</x:v>
      </x:c>
      <x:c r="Q590" s="55" t="n">
        <x:v>1296</x:v>
      </x:c>
      <x:c r="R590" s="55" t="n">
        <x:v>2203</x:v>
      </x:c>
      <x:c r="S590" s="55" t="n">
        <x:v>3040</x:v>
      </x:c>
      <x:c r="T590" s="55" t="n">
        <x:v>583</x:v>
      </x:c>
      <x:c r="U590" s="55" t="n">
        <x:v>2061</x:v>
      </x:c>
      <x:c r="V590" s="55" t="n">
        <x:v>10178</x:v>
      </x:c>
      <x:c r="W590" s="55" t="n">
        <x:v>7391</x:v>
      </x:c>
      <x:c r="X590" s="55" t="n">
        <x:v>2787</x:v>
      </x:c>
      <x:c r="Y590" s="55" t="n">
        <x:v>1958</x:v>
      </x:c>
      <x:c r="Z590" s="55" t="n">
        <x:v>3745</x:v>
      </x:c>
      <x:c r="AA590" s="55" t="n">
        <x:v>2889</x:v>
      </x:c>
      <x:c r="AB590" s="55" t="n">
        <x:v>1185</x:v>
      </x:c>
      <x:c r="AC590" s="55" t="n">
        <x:v>7315</x:v>
      </x:c>
      <x:c r="AD590" s="55" t="n">
        <x:v>2592</x:v>
      </x:c>
      <x:c r="AE590" s="55" t="n">
        <x:v>10284</x:v>
      </x:c>
      <x:c r="AF590" s="55" t="n">
        <x:v>10178</x:v>
      </x:c>
      <x:c r="AG590" s="55" t="n">
        <x:v>106</x:v>
      </x:c>
      <x:c r="AH590" s="55" t="n">
        <x:v>221</x:v>
      </x:c>
      <x:c r="AI590" s="55" t="n">
        <x:v>9957</x:v>
      </x:c>
      <x:c r="AJ590" s="55" t="n">
        <x:v>289</x:v>
      </x:c>
      <x:c r="AK590" s="55" t="n">
        <x:v>800</x:v>
      </x:c>
      <x:c r="AL590" s="55" t="n">
        <x:v>1356</x:v>
      </x:c>
      <x:c r="AM590" s="55" t="n">
        <x:v>5187</x:v>
      </x:c>
      <x:c r="AN590" s="55" t="n">
        <x:v>2546</x:v>
      </x:c>
      <x:c r="AO590" s="55" t="n">
        <x:v>0</x:v>
      </x:c>
      <x:c r="AP590" s="55" t="n">
        <x:v>2138</x:v>
      </x:c>
      <x:c r="AQ590" s="55" t="n">
        <x:v>909</x:v>
      </x:c>
    </x:row>
    <x:row r="591">
      <x:c r="A591" s="54" t="str">
        <x:v>T0_TABLE_BLOCK</x:v>
      </x:c>
      <x:c r="B591" s="54" t="n">
        <x:v>585</x:v>
      </x:c>
      <x:c r="C591" s="54" t="str">
        <x:v>NYC-V2-R01</x:v>
      </x:c>
      <x:c r="D591" s="54" t="str">
        <x:v>V2</x:v>
      </x:c>
      <x:c r="E591" s="54" t="str">
        <x:v>ADMITTED</x:v>
      </x:c>
      <x:c r="F591" s="55" t="n">
        <x:v>30473</x:v>
      </x:c>
      <x:c r="G591" s="55" t="n">
        <x:v>8399</x:v>
      </x:c>
      <x:c r="H591" s="55" t="n">
        <x:v>3357</x:v>
      </x:c>
      <x:c r="I591" s="55" t="n">
        <x:v>1008</x:v>
      </x:c>
      <x:c r="J591" s="55" t="n">
        <x:v>223</x:v>
      </x:c>
      <x:c r="K591" s="55" t="n">
        <x:v>29466</x:v>
      </x:c>
      <x:c r="L591" s="55" t="n">
        <x:v>4201</x:v>
      </x:c>
      <x:c r="M591" s="55" t="n">
        <x:v>389</x:v>
      </x:c>
      <x:c r="N591" s="55" t="n">
        <x:v>1755</x:v>
      </x:c>
      <x:c r="O591" s="55" t="n">
        <x:v>2057</x:v>
      </x:c>
      <x:c r="P591" s="55" t="n">
        <x:v>411</x:v>
      </x:c>
      <x:c r="Q591" s="55" t="n">
        <x:v>1410</x:v>
      </x:c>
      <x:c r="R591" s="55" t="n">
        <x:v>2282</x:v>
      </x:c>
      <x:c r="S591" s="55" t="n">
        <x:v>1938</x:v>
      </x:c>
      <x:c r="T591" s="55" t="n">
        <x:v>1507</x:v>
      </x:c>
      <x:c r="U591" s="55" t="n">
        <x:v>2514</x:v>
      </x:c>
      <x:c r="V591" s="55" t="n">
        <x:v>10944</x:v>
      </x:c>
      <x:c r="W591" s="55" t="n">
        <x:v>8430</x:v>
      </x:c>
      <x:c r="X591" s="55" t="n">
        <x:v>2514</x:v>
      </x:c>
      <x:c r="Y591" s="55" t="n">
        <x:v>2056</x:v>
      </x:c>
      <x:c r="Z591" s="55" t="n">
        <x:v>4314</x:v>
      </x:c>
      <x:c r="AA591" s="55" t="n">
        <x:v>3357</x:v>
      </x:c>
      <x:c r="AB591" s="55" t="n">
        <x:v>1144</x:v>
      </x:c>
      <x:c r="AC591" s="55" t="n">
        <x:v>7653</x:v>
      </x:c>
      <x:c r="AD591" s="55" t="n">
        <x:v>3685</x:v>
      </x:c>
      <x:c r="AE591" s="55" t="n">
        <x:v>11029</x:v>
      </x:c>
      <x:c r="AF591" s="55" t="n">
        <x:v>10944</x:v>
      </x:c>
      <x:c r="AG591" s="55" t="n">
        <x:v>85</x:v>
      </x:c>
      <x:c r="AH591" s="55" t="n">
        <x:v>515</x:v>
      </x:c>
      <x:c r="AI591" s="55" t="n">
        <x:v>10429</x:v>
      </x:c>
      <x:c r="AJ591" s="55" t="n">
        <x:v>378</x:v>
      </x:c>
      <x:c r="AK591" s="55" t="n">
        <x:v>760</x:v>
      </x:c>
      <x:c r="AL591" s="55" t="n">
        <x:v>1970</x:v>
      </x:c>
      <x:c r="AM591" s="55" t="n">
        <x:v>5096</x:v>
      </x:c>
      <x:c r="AN591" s="55" t="n">
        <x:v>2666</x:v>
      </x:c>
      <x:c r="AO591" s="55" t="n">
        <x:v>74</x:v>
      </x:c>
      <x:c r="AP591" s="55" t="n">
        <x:v>2225</x:v>
      </x:c>
      <x:c r="AQ591" s="55" t="n">
        <x:v>954</x:v>
      </x:c>
    </x:row>
    <x:row r="592">
      <x:c r="A592" s="54" t="str">
        <x:v>T0_TABLE_BLOCK</x:v>
      </x:c>
      <x:c r="B592" s="54" t="n">
        <x:v>586</x:v>
      </x:c>
      <x:c r="C592" s="54" t="str">
        <x:v>NYC-V2-R01</x:v>
      </x:c>
      <x:c r="D592" s="54" t="str">
        <x:v>V2</x:v>
      </x:c>
      <x:c r="E592" s="54" t="str">
        <x:v>ADMITTED</x:v>
      </x:c>
      <x:c r="F592" s="55" t="n">
        <x:v>30897</x:v>
      </x:c>
      <x:c r="G592" s="55" t="n">
        <x:v>8555</x:v>
      </x:c>
      <x:c r="H592" s="55" t="n">
        <x:v>3562</x:v>
      </x:c>
      <x:c r="I592" s="55" t="n">
        <x:v>1004</x:v>
      </x:c>
      <x:c r="J592" s="55" t="n">
        <x:v>56</x:v>
      </x:c>
      <x:c r="K592" s="55" t="n">
        <x:v>29825</x:v>
      </x:c>
      <x:c r="L592" s="55" t="n">
        <x:v>5789</x:v>
      </x:c>
      <x:c r="M592" s="55" t="n">
        <x:v>1505</x:v>
      </x:c>
      <x:c r="N592" s="55" t="n">
        <x:v>2727</x:v>
      </x:c>
      <x:c r="O592" s="55" t="n">
        <x:v>1557</x:v>
      </x:c>
      <x:c r="P592" s="55" t="n">
        <x:v>1055</x:v>
      </x:c>
      <x:c r="Q592" s="55" t="n">
        <x:v>2409</x:v>
      </x:c>
      <x:c r="R592" s="55" t="n">
        <x:v>1357</x:v>
      </x:c>
      <x:c r="S592" s="55" t="n">
        <x:v>2862</x:v>
      </x:c>
      <x:c r="T592" s="55" t="n">
        <x:v>897</x:v>
      </x:c>
      <x:c r="U592" s="55" t="n">
        <x:v>2064</x:v>
      </x:c>
      <x:c r="V592" s="55" t="n">
        <x:v>10117</x:v>
      </x:c>
      <x:c r="W592" s="55" t="n">
        <x:v>6615</x:v>
      </x:c>
      <x:c r="X592" s="55" t="n">
        <x:v>3502</x:v>
      </x:c>
      <x:c r="Y592" s="55" t="n">
        <x:v>2994</x:v>
      </x:c>
      <x:c r="Z592" s="55" t="n">
        <x:v>4007</x:v>
      </x:c>
      <x:c r="AA592" s="55" t="n">
        <x:v>3562</x:v>
      </x:c>
      <x:c r="AB592" s="55" t="n">
        <x:v>1499</x:v>
      </x:c>
      <x:c r="AC592" s="55" t="n">
        <x:v>7598</x:v>
      </x:c>
      <x:c r="AD592" s="55" t="n">
        <x:v>2387</x:v>
      </x:c>
      <x:c r="AE592" s="55" t="n">
        <x:v>10168</x:v>
      </x:c>
      <x:c r="AF592" s="55" t="n">
        <x:v>10117</x:v>
      </x:c>
      <x:c r="AG592" s="55" t="n">
        <x:v>51</x:v>
      </x:c>
      <x:c r="AH592" s="55" t="n">
        <x:v>394</x:v>
      </x:c>
      <x:c r="AI592" s="55" t="n">
        <x:v>9723</x:v>
      </x:c>
      <x:c r="AJ592" s="55" t="n">
        <x:v>203</x:v>
      </x:c>
      <x:c r="AK592" s="55" t="n">
        <x:v>904</x:v>
      </x:c>
      <x:c r="AL592" s="55" t="n">
        <x:v>1637</x:v>
      </x:c>
      <x:c r="AM592" s="55" t="n">
        <x:v>4726</x:v>
      </x:c>
      <x:c r="AN592" s="55" t="n">
        <x:v>2647</x:v>
      </x:c>
      <x:c r="AO592" s="55" t="n">
        <x:v>0</x:v>
      </x:c>
      <x:c r="AP592" s="55" t="n">
        <x:v>2161</x:v>
      </x:c>
      <x:c r="AQ592" s="55" t="n">
        <x:v>957</x:v>
      </x:c>
    </x:row>
    <x:row r="593">
      <x:c r="A593" s="54" t="str">
        <x:v>T0_TABLE_BLOCK</x:v>
      </x:c>
      <x:c r="B593" s="54" t="n">
        <x:v>587</x:v>
      </x:c>
      <x:c r="C593" s="54" t="str">
        <x:v>NYC-V2-R01</x:v>
      </x:c>
      <x:c r="D593" s="54" t="str">
        <x:v>V2</x:v>
      </x:c>
      <x:c r="E593" s="54" t="str">
        <x:v>ADMITTED</x:v>
      </x:c>
      <x:c r="F593" s="55" t="n">
        <x:v>31614</x:v>
      </x:c>
      <x:c r="G593" s="55" t="n">
        <x:v>6918</x:v>
      </x:c>
      <x:c r="H593" s="55" t="n">
        <x:v>3762</x:v>
      </x:c>
      <x:c r="I593" s="55" t="n">
        <x:v>1845</x:v>
      </x:c>
      <x:c r="J593" s="55" t="n">
        <x:v>99</x:v>
      </x:c>
      <x:c r="K593" s="55" t="n">
        <x:v>31614</x:v>
      </x:c>
      <x:c r="L593" s="55" t="n">
        <x:v>6181</x:v>
      </x:c>
      <x:c r="M593" s="55" t="n">
        <x:v>1977</x:v>
      </x:c>
      <x:c r="N593" s="55" t="n">
        <x:v>1989</x:v>
      </x:c>
      <x:c r="O593" s="55" t="n">
        <x:v>2215</x:v>
      </x:c>
      <x:c r="P593" s="55" t="n">
        <x:v>542</x:v>
      </x:c>
      <x:c r="Q593" s="55" t="n">
        <x:v>1884</x:v>
      </x:c>
      <x:c r="R593" s="55" t="n">
        <x:v>2003</x:v>
      </x:c>
      <x:c r="S593" s="55" t="n">
        <x:v>1854</x:v>
      </x:c>
      <x:c r="T593" s="55" t="n">
        <x:v>1343</x:v>
      </x:c>
      <x:c r="U593" s="55" t="n">
        <x:v>2433</x:v>
      </x:c>
      <x:c r="V593" s="55" t="n">
        <x:v>10007</x:v>
      </x:c>
      <x:c r="W593" s="55" t="n">
        <x:v>6967</x:v>
      </x:c>
      <x:c r="X593" s="55" t="n">
        <x:v>3040</x:v>
      </x:c>
      <x:c r="Y593" s="55" t="n">
        <x:v>2707</x:v>
      </x:c>
      <x:c r="Z593" s="55" t="n">
        <x:v>4326</x:v>
      </x:c>
      <x:c r="AA593" s="55" t="n">
        <x:v>2991</x:v>
      </x:c>
      <x:c r="AB593" s="55" t="n">
        <x:v>1381</x:v>
      </x:c>
      <x:c r="AC593" s="55" t="n">
        <x:v>8013</x:v>
      </x:c>
      <x:c r="AD593" s="55" t="n">
        <x:v>2558</x:v>
      </x:c>
      <x:c r="AE593" s="55" t="n">
        <x:v>10067</x:v>
      </x:c>
      <x:c r="AF593" s="55" t="n">
        <x:v>10007</x:v>
      </x:c>
      <x:c r="AG593" s="55" t="n">
        <x:v>60</x:v>
      </x:c>
      <x:c r="AH593" s="55" t="n">
        <x:v>480</x:v>
      </x:c>
      <x:c r="AI593" s="55" t="n">
        <x:v>9527</x:v>
      </x:c>
      <x:c r="AJ593" s="55" t="n">
        <x:v>387</x:v>
      </x:c>
      <x:c r="AK593" s="55" t="n">
        <x:v>698</x:v>
      </x:c>
      <x:c r="AL593" s="55" t="n">
        <x:v>1600</x:v>
      </x:c>
      <x:c r="AM593" s="55" t="n">
        <x:v>4585</x:v>
      </x:c>
      <x:c r="AN593" s="55" t="n">
        <x:v>2689</x:v>
      </x:c>
      <x:c r="AO593" s="55" t="n">
        <x:v>48</x:v>
      </x:c>
      <x:c r="AP593" s="55" t="n">
        <x:v>2570</x:v>
      </x:c>
      <x:c r="AQ593" s="55" t="n">
        <x:v>941</x:v>
      </x:c>
    </x:row>
    <x:row r="594">
      <x:c r="A594" s="54" t="str">
        <x:v>T0_TABLE_BLOCK</x:v>
      </x:c>
      <x:c r="B594" s="54" t="n">
        <x:v>588</x:v>
      </x:c>
      <x:c r="C594" s="54" t="str">
        <x:v>NYC-V2-R01</x:v>
      </x:c>
      <x:c r="D594" s="54" t="str">
        <x:v>V2</x:v>
      </x:c>
      <x:c r="E594" s="54" t="str">
        <x:v>ADMITTED</x:v>
      </x:c>
      <x:c r="F594" s="55" t="n">
        <x:v>31483</x:v>
      </x:c>
      <x:c r="G594" s="55" t="n">
        <x:v>7704</x:v>
      </x:c>
      <x:c r="H594" s="55" t="n">
        <x:v>2654</x:v>
      </x:c>
      <x:c r="I594" s="55" t="n">
        <x:v>1114</x:v>
      </x:c>
      <x:c r="J594" s="55" t="n">
        <x:v>108</x:v>
      </x:c>
      <x:c r="K594" s="55" t="n">
        <x:v>30764</x:v>
      </x:c>
      <x:c r="L594" s="55" t="n">
        <x:v>5192</x:v>
      </x:c>
      <x:c r="M594" s="55" t="n">
        <x:v>843</x:v>
      </x:c>
      <x:c r="N594" s="55" t="n">
        <x:v>2108</x:v>
      </x:c>
      <x:c r="O594" s="55" t="n">
        <x:v>2241</x:v>
      </x:c>
      <x:c r="P594" s="55" t="n">
        <x:v>555</x:v>
      </x:c>
      <x:c r="Q594" s="55" t="n">
        <x:v>2303</x:v>
      </x:c>
      <x:c r="R594" s="55" t="n">
        <x:v>1709</x:v>
      </x:c>
      <x:c r="S594" s="55" t="n">
        <x:v>2691</x:v>
      </x:c>
      <x:c r="T594" s="55" t="n">
        <x:v>1030</x:v>
      </x:c>
      <x:c r="U594" s="55" t="n">
        <x:v>2042</x:v>
      </x:c>
      <x:c r="V594" s="55" t="n">
        <x:v>10544</x:v>
      </x:c>
      <x:c r="W594" s="55" t="n">
        <x:v>7401</x:v>
      </x:c>
      <x:c r="X594" s="55" t="n">
        <x:v>3143</x:v>
      </x:c>
      <x:c r="Y594" s="55" t="n">
        <x:v>2869</x:v>
      </x:c>
      <x:c r="Z594" s="55" t="n">
        <x:v>3660</x:v>
      </x:c>
      <x:c r="AA594" s="55" t="n">
        <x:v>2602</x:v>
      </x:c>
      <x:c r="AB594" s="55" t="n">
        <x:v>1051</x:v>
      </x:c>
      <x:c r="AC594" s="55" t="n">
        <x:v>8269</x:v>
      </x:c>
      <x:c r="AD594" s="55" t="n">
        <x:v>3568</x:v>
      </x:c>
      <x:c r="AE594" s="55" t="n">
        <x:v>10627</x:v>
      </x:c>
      <x:c r="AF594" s="55" t="n">
        <x:v>10544</x:v>
      </x:c>
      <x:c r="AG594" s="55" t="n">
        <x:v>83</x:v>
      </x:c>
      <x:c r="AH594" s="55" t="n">
        <x:v>499</x:v>
      </x:c>
      <x:c r="AI594" s="55" t="n">
        <x:v>10045</x:v>
      </x:c>
      <x:c r="AJ594" s="55" t="n">
        <x:v>404</x:v>
      </x:c>
      <x:c r="AK594" s="55" t="n">
        <x:v>874</x:v>
      </x:c>
      <x:c r="AL594" s="55" t="n">
        <x:v>1199</x:v>
      </x:c>
      <x:c r="AM594" s="55" t="n">
        <x:v>4665</x:v>
      </x:c>
      <x:c r="AN594" s="55" t="n">
        <x:v>3384</x:v>
      </x:c>
      <x:c r="AO594" s="55" t="n">
        <x:v>18</x:v>
      </x:c>
      <x:c r="AP594" s="55" t="n">
        <x:v>2012</x:v>
      </x:c>
      <x:c r="AQ594" s="55" t="n">
        <x:v>954</x:v>
      </x:c>
    </x:row>
    <x:row r="595">
      <x:c r="A595" s="54" t="str">
        <x:v>T0_TABLE_BLOCK</x:v>
      </x:c>
      <x:c r="B595" s="54" t="n">
        <x:v>589</x:v>
      </x:c>
      <x:c r="C595" s="54" t="str">
        <x:v>NYC-V2-R01</x:v>
      </x:c>
      <x:c r="D595" s="54" t="str">
        <x:v>V2</x:v>
      </x:c>
      <x:c r="E595" s="54" t="str">
        <x:v>ADMITTED</x:v>
      </x:c>
      <x:c r="F595" s="55" t="n">
        <x:v>31568</x:v>
      </x:c>
      <x:c r="G595" s="55" t="n">
        <x:v>6343</x:v>
      </x:c>
      <x:c r="H595" s="55" t="n">
        <x:v>3557</x:v>
      </x:c>
      <x:c r="I595" s="55" t="n">
        <x:v>1417</x:v>
      </x:c>
      <x:c r="J595" s="55" t="n">
        <x:v>138</x:v>
      </x:c>
      <x:c r="K595" s="55" t="n">
        <x:v>31568</x:v>
      </x:c>
      <x:c r="L595" s="55" t="n">
        <x:v>5334</x:v>
      </x:c>
      <x:c r="M595" s="55" t="n">
        <x:v>1649</x:v>
      </x:c>
      <x:c r="N595" s="55" t="n">
        <x:v>2194</x:v>
      </x:c>
      <x:c r="O595" s="55" t="n">
        <x:v>1491</x:v>
      </x:c>
      <x:c r="P595" s="55" t="n">
        <x:v>751</x:v>
      </x:c>
      <x:c r="Q595" s="55" t="n">
        <x:v>2218</x:v>
      </x:c>
      <x:c r="R595" s="55" t="n">
        <x:v>1611</x:v>
      </x:c>
      <x:c r="S595" s="55" t="n">
        <x:v>2402</x:v>
      </x:c>
      <x:c r="T595" s="55" t="n">
        <x:v>1286</x:v>
      </x:c>
      <x:c r="U595" s="55" t="n">
        <x:v>1390</x:v>
      </x:c>
      <x:c r="V595" s="55" t="n">
        <x:v>10025</x:v>
      </x:c>
      <x:c r="W595" s="55" t="n">
        <x:v>7063</x:v>
      </x:c>
      <x:c r="X595" s="55" t="n">
        <x:v>2962</x:v>
      </x:c>
      <x:c r="Y595" s="55" t="n">
        <x:v>2793</x:v>
      </x:c>
      <x:c r="Z595" s="55" t="n">
        <x:v>4286</x:v>
      </x:c>
      <x:c r="AA595" s="55" t="n">
        <x:v>3557</x:v>
      </x:c>
      <x:c r="AB595" s="55" t="n">
        <x:v>1356</x:v>
      </x:c>
      <x:c r="AC595" s="55" t="n">
        <x:v>7038</x:v>
      </x:c>
      <x:c r="AD595" s="55" t="n">
        <x:v>3393</x:v>
      </x:c>
      <x:c r="AE595" s="55" t="n">
        <x:v>10175</x:v>
      </x:c>
      <x:c r="AF595" s="55" t="n">
        <x:v>10025</x:v>
      </x:c>
      <x:c r="AG595" s="55" t="n">
        <x:v>150</x:v>
      </x:c>
      <x:c r="AH595" s="55" t="n">
        <x:v>416</x:v>
      </x:c>
      <x:c r="AI595" s="55" t="n">
        <x:v>9609</x:v>
      </x:c>
      <x:c r="AJ595" s="55" t="n">
        <x:v>488</x:v>
      </x:c>
      <x:c r="AK595" s="55" t="n">
        <x:v>749</x:v>
      </x:c>
      <x:c r="AL595" s="55" t="n">
        <x:v>1291</x:v>
      </x:c>
      <x:c r="AM595" s="55" t="n">
        <x:v>4993</x:v>
      </x:c>
      <x:c r="AN595" s="55" t="n">
        <x:v>2454</x:v>
      </x:c>
      <x:c r="AO595" s="55" t="n">
        <x:v>50</x:v>
      </x:c>
      <x:c r="AP595" s="55" t="n">
        <x:v>2375</x:v>
      </x:c>
      <x:c r="AQ595" s="55" t="n">
        <x:v>965</x:v>
      </x:c>
    </x:row>
    <x:row r="596">
      <x:c r="A596" s="54" t="str">
        <x:v>T0_TABLE_BLOCK</x:v>
      </x:c>
      <x:c r="B596" s="54" t="n">
        <x:v>590</x:v>
      </x:c>
      <x:c r="C596" s="54" t="str">
        <x:v>NYC-V2-R01</x:v>
      </x:c>
      <x:c r="D596" s="54" t="str">
        <x:v>V2</x:v>
      </x:c>
      <x:c r="E596" s="54" t="str">
        <x:v>ADMITTED</x:v>
      </x:c>
      <x:c r="F596" s="55" t="n">
        <x:v>32823</x:v>
      </x:c>
      <x:c r="G596" s="55" t="n">
        <x:v>8319</x:v>
      </x:c>
      <x:c r="H596" s="55" t="n">
        <x:v>3370</x:v>
      </x:c>
      <x:c r="I596" s="55" t="n">
        <x:v>1371</x:v>
      </x:c>
      <x:c r="J596" s="55" t="n">
        <x:v>293</x:v>
      </x:c>
      <x:c r="K596" s="55" t="n">
        <x:v>27557</x:v>
      </x:c>
      <x:c r="L596" s="55" t="n">
        <x:v>4684</x:v>
      </x:c>
      <x:c r="M596" s="55" t="n">
        <x:v>1219</x:v>
      </x:c>
      <x:c r="N596" s="55" t="n">
        <x:v>2438</x:v>
      </x:c>
      <x:c r="O596" s="55" t="n">
        <x:v>1027</x:v>
      </x:c>
      <x:c r="P596" s="55" t="n">
        <x:v>284</x:v>
      </x:c>
      <x:c r="Q596" s="55" t="n">
        <x:v>2364</x:v>
      </x:c>
      <x:c r="R596" s="55" t="n">
        <x:v>1888</x:v>
      </x:c>
      <x:c r="S596" s="55" t="n">
        <x:v>3112</x:v>
      </x:c>
      <x:c r="T596" s="55" t="n">
        <x:v>955</x:v>
      </x:c>
      <x:c r="U596" s="55" t="n">
        <x:v>2473</x:v>
      </x:c>
      <x:c r="V596" s="55" t="n">
        <x:v>10245</x:v>
      </x:c>
      <x:c r="W596" s="55" t="n">
        <x:v>7233</x:v>
      </x:c>
      <x:c r="X596" s="55" t="n">
        <x:v>3012</x:v>
      </x:c>
      <x:c r="Y596" s="55" t="n">
        <x:v>2651</x:v>
      </x:c>
      <x:c r="Z596" s="55" t="n">
        <x:v>3696</x:v>
      </x:c>
      <x:c r="AA596" s="55" t="n">
        <x:v>3370</x:v>
      </x:c>
      <x:c r="AB596" s="55" t="n">
        <x:v>1007</x:v>
      </x:c>
      <x:c r="AC596" s="55" t="n">
        <x:v>7769</x:v>
      </x:c>
      <x:c r="AD596" s="55" t="n">
        <x:v>2381</x:v>
      </x:c>
      <x:c r="AE596" s="55" t="n">
        <x:v>10328</x:v>
      </x:c>
      <x:c r="AF596" s="55" t="n">
        <x:v>10245</x:v>
      </x:c>
      <x:c r="AG596" s="55" t="n">
        <x:v>83</x:v>
      </x:c>
      <x:c r="AH596" s="55" t="n">
        <x:v>497</x:v>
      </x:c>
      <x:c r="AI596" s="55" t="n">
        <x:v>9748</x:v>
      </x:c>
      <x:c r="AJ596" s="55" t="n">
        <x:v>381</x:v>
      </x:c>
      <x:c r="AK596" s="55" t="n">
        <x:v>713</x:v>
      </x:c>
      <x:c r="AL596" s="55" t="n">
        <x:v>1520</x:v>
      </x:c>
      <x:c r="AM596" s="55" t="n">
        <x:v>5044</x:v>
      </x:c>
      <x:c r="AN596" s="55" t="n">
        <x:v>2587</x:v>
      </x:c>
      <x:c r="AO596" s="55" t="n">
        <x:v>0</x:v>
      </x:c>
      <x:c r="AP596" s="55" t="n">
        <x:v>2195</x:v>
      </x:c>
      <x:c r="AQ596" s="55" t="n">
        <x:v>933</x:v>
      </x:c>
    </x:row>
    <x:row r="597">
      <x:c r="A597" s="54" t="str">
        <x:v>T0_TABLE_BLOCK</x:v>
      </x:c>
      <x:c r="B597" s="54" t="n">
        <x:v>591</x:v>
      </x:c>
      <x:c r="C597" s="54" t="str">
        <x:v>NYC-V2-R01</x:v>
      </x:c>
      <x:c r="D597" s="54" t="str">
        <x:v>V2</x:v>
      </x:c>
      <x:c r="E597" s="54" t="str">
        <x:v>ADMITTED</x:v>
      </x:c>
      <x:c r="F597" s="55" t="n">
        <x:v>30567</x:v>
      </x:c>
      <x:c r="G597" s="55" t="n">
        <x:v>7943</x:v>
      </x:c>
      <x:c r="H597" s="55" t="n">
        <x:v>3141</x:v>
      </x:c>
      <x:c r="I597" s="55" t="n">
        <x:v>1111</x:v>
      </x:c>
      <x:c r="J597" s="55" t="n">
        <x:v>153</x:v>
      </x:c>
      <x:c r="K597" s="55" t="n">
        <x:v>30523</x:v>
      </x:c>
      <x:c r="L597" s="55" t="n">
        <x:v>5129</x:v>
      </x:c>
      <x:c r="M597" s="55" t="n">
        <x:v>1165</x:v>
      </x:c>
      <x:c r="N597" s="55" t="n">
        <x:v>2287</x:v>
      </x:c>
      <x:c r="O597" s="55" t="n">
        <x:v>1677</x:v>
      </x:c>
      <x:c r="P597" s="55" t="n">
        <x:v>764</x:v>
      </x:c>
      <x:c r="Q597" s="55" t="n">
        <x:v>1754</x:v>
      </x:c>
      <x:c r="R597" s="55" t="n">
        <x:v>2020</x:v>
      </x:c>
      <x:c r="S597" s="55" t="n">
        <x:v>3517</x:v>
      </x:c>
      <x:c r="T597" s="55" t="n">
        <x:v>1320</x:v>
      </x:c>
      <x:c r="U597" s="55" t="n">
        <x:v>1688</x:v>
      </x:c>
      <x:c r="V597" s="55" t="n">
        <x:v>10180</x:v>
      </x:c>
      <x:c r="W597" s="55" t="n">
        <x:v>7007</x:v>
      </x:c>
      <x:c r="X597" s="55" t="n">
        <x:v>3173</x:v>
      </x:c>
      <x:c r="Y597" s="55" t="n">
        <x:v>2711</x:v>
      </x:c>
      <x:c r="Z597" s="55" t="n">
        <x:v>3507</x:v>
      </x:c>
      <x:c r="AA597" s="55" t="n">
        <x:v>3141</x:v>
      </x:c>
      <x:c r="AB597" s="55" t="n">
        <x:v>1009</x:v>
      </x:c>
      <x:c r="AC597" s="55" t="n">
        <x:v>7687</x:v>
      </x:c>
      <x:c r="AD597" s="55" t="n">
        <x:v>2616</x:v>
      </x:c>
      <x:c r="AE597" s="55" t="n">
        <x:v>10264</x:v>
      </x:c>
      <x:c r="AF597" s="55" t="n">
        <x:v>10180</x:v>
      </x:c>
      <x:c r="AG597" s="55" t="n">
        <x:v>84</x:v>
      </x:c>
      <x:c r="AH597" s="55" t="n">
        <x:v>287</x:v>
      </x:c>
      <x:c r="AI597" s="55" t="n">
        <x:v>9893</x:v>
      </x:c>
      <x:c r="AJ597" s="55" t="n">
        <x:v>325</x:v>
      </x:c>
      <x:c r="AK597" s="55" t="n">
        <x:v>813</x:v>
      </x:c>
      <x:c r="AL597" s="55" t="n">
        <x:v>1432</x:v>
      </x:c>
      <x:c r="AM597" s="55" t="n">
        <x:v>5329</x:v>
      </x:c>
      <x:c r="AN597" s="55" t="n">
        <x:v>2251</x:v>
      </x:c>
      <x:c r="AO597" s="55" t="n">
        <x:v>30</x:v>
      </x:c>
      <x:c r="AP597" s="55" t="n">
        <x:v>2415</x:v>
      </x:c>
      <x:c r="AQ597" s="55" t="n">
        <x:v>959</x:v>
      </x:c>
    </x:row>
    <x:row r="598">
      <x:c r="A598" s="54" t="str">
        <x:v>T0_TABLE_BLOCK</x:v>
      </x:c>
      <x:c r="B598" s="54" t="n">
        <x:v>592</x:v>
      </x:c>
      <x:c r="C598" s="54" t="str">
        <x:v>NYC-V2-R01</x:v>
      </x:c>
      <x:c r="D598" s="54" t="str">
        <x:v>V2</x:v>
      </x:c>
      <x:c r="E598" s="54" t="str">
        <x:v>ADMITTED</x:v>
      </x:c>
      <x:c r="F598" s="55" t="n">
        <x:v>31301</x:v>
      </x:c>
      <x:c r="G598" s="55" t="n">
        <x:v>7825</x:v>
      </x:c>
      <x:c r="H598" s="55" t="n">
        <x:v>3018</x:v>
      </x:c>
      <x:c r="I598" s="55" t="n">
        <x:v>1134</x:v>
      </x:c>
      <x:c r="J598" s="55" t="n">
        <x:v>0</x:v>
      </x:c>
      <x:c r="K598" s="55" t="n">
        <x:v>31301</x:v>
      </x:c>
      <x:c r="L598" s="55" t="n">
        <x:v>6575</x:v>
      </x:c>
      <x:c r="M598" s="55" t="n">
        <x:v>2211</x:v>
      </x:c>
      <x:c r="N598" s="55" t="n">
        <x:v>2847</x:v>
      </x:c>
      <x:c r="O598" s="55" t="n">
        <x:v>1517</x:v>
      </x:c>
      <x:c r="P598" s="55" t="n">
        <x:v>874</x:v>
      </x:c>
      <x:c r="Q598" s="55" t="n">
        <x:v>1849</x:v>
      </x:c>
      <x:c r="R598" s="55" t="n">
        <x:v>1329</x:v>
      </x:c>
      <x:c r="S598" s="55" t="n">
        <x:v>2439</x:v>
      </x:c>
      <x:c r="T598" s="55" t="n">
        <x:v>828</x:v>
      </x:c>
      <x:c r="U598" s="55" t="n">
        <x:v>1543</x:v>
      </x:c>
      <x:c r="V598" s="55" t="n">
        <x:v>10403</x:v>
      </x:c>
      <x:c r="W598" s="55" t="n">
        <x:v>7891</x:v>
      </x:c>
      <x:c r="X598" s="55" t="n">
        <x:v>2512</x:v>
      </x:c>
      <x:c r="Y598" s="55" t="n">
        <x:v>2113</x:v>
      </x:c>
      <x:c r="Z598" s="55" t="n">
        <x:v>3933</x:v>
      </x:c>
      <x:c r="AA598" s="55" t="n">
        <x:v>3018</x:v>
      </x:c>
      <x:c r="AB598" s="55" t="n">
        <x:v>975</x:v>
      </x:c>
      <x:c r="AC598" s="55" t="n">
        <x:v>8206</x:v>
      </x:c>
      <x:c r="AD598" s="55" t="n">
        <x:v>3198</x:v>
      </x:c>
      <x:c r="AE598" s="55" t="n">
        <x:v>10513</x:v>
      </x:c>
      <x:c r="AF598" s="55" t="n">
        <x:v>10403</x:v>
      </x:c>
      <x:c r="AG598" s="55" t="n">
        <x:v>110</x:v>
      </x:c>
      <x:c r="AH598" s="55" t="n">
        <x:v>372</x:v>
      </x:c>
      <x:c r="AI598" s="55" t="n">
        <x:v>10031</x:v>
      </x:c>
      <x:c r="AJ598" s="55" t="n">
        <x:v>249</x:v>
      </x:c>
      <x:c r="AK598" s="55" t="n">
        <x:v>886</x:v>
      </x:c>
      <x:c r="AL598" s="55" t="n">
        <x:v>1664</x:v>
      </x:c>
      <x:c r="AM598" s="55" t="n">
        <x:v>5135</x:v>
      </x:c>
      <x:c r="AN598" s="55" t="n">
        <x:v>2469</x:v>
      </x:c>
      <x:c r="AO598" s="55" t="n">
        <x:v>0</x:v>
      </x:c>
      <x:c r="AP598" s="55" t="n">
        <x:v>1879</x:v>
      </x:c>
      <x:c r="AQ598" s="55" t="n">
        <x:v>992</x:v>
      </x:c>
    </x:row>
    <x:row r="599">
      <x:c r="A599" s="54" t="str">
        <x:v>T0_TABLE_BLOCK</x:v>
      </x:c>
      <x:c r="B599" s="54" t="n">
        <x:v>593</x:v>
      </x:c>
      <x:c r="C599" s="54" t="str">
        <x:v>NYC-V2-R01</x:v>
      </x:c>
      <x:c r="D599" s="54" t="str">
        <x:v>V2</x:v>
      </x:c>
      <x:c r="E599" s="54" t="str">
        <x:v>ADMITTED</x:v>
      </x:c>
      <x:c r="F599" s="55" t="n">
        <x:v>31999</x:v>
      </x:c>
      <x:c r="G599" s="55" t="n">
        <x:v>6858</x:v>
      </x:c>
      <x:c r="H599" s="55" t="n">
        <x:v>3914</x:v>
      </x:c>
      <x:c r="I599" s="55" t="n">
        <x:v>1901</x:v>
      </x:c>
      <x:c r="J599" s="55" t="n">
        <x:v>135</x:v>
      </x:c>
      <x:c r="K599" s="55" t="n">
        <x:v>28788</x:v>
      </x:c>
      <x:c r="L599" s="55" t="n">
        <x:v>5733</x:v>
      </x:c>
      <x:c r="M599" s="55" t="n">
        <x:v>1574</x:v>
      </x:c>
      <x:c r="N599" s="55" t="n">
        <x:v>2508</x:v>
      </x:c>
      <x:c r="O599" s="55" t="n">
        <x:v>1651</x:v>
      </x:c>
      <x:c r="P599" s="55" t="n">
        <x:v>823</x:v>
      </x:c>
      <x:c r="Q599" s="55" t="n">
        <x:v>2298</x:v>
      </x:c>
      <x:c r="R599" s="55" t="n">
        <x:v>1977</x:v>
      </x:c>
      <x:c r="S599" s="55" t="n">
        <x:v>2557</x:v>
      </x:c>
      <x:c r="T599" s="55" t="n">
        <x:v>1569</x:v>
      </x:c>
      <x:c r="U599" s="55" t="n">
        <x:v>2347</x:v>
      </x:c>
      <x:c r="V599" s="55" t="n">
        <x:v>10658</x:v>
      </x:c>
      <x:c r="W599" s="55" t="n">
        <x:v>7894</x:v>
      </x:c>
      <x:c r="X599" s="55" t="n">
        <x:v>2764</x:v>
      </x:c>
      <x:c r="Y599" s="55" t="n">
        <x:v>2336</x:v>
      </x:c>
      <x:c r="Z599" s="55" t="n">
        <x:v>3596</x:v>
      </x:c>
      <x:c r="AA599" s="55" t="n">
        <x:v>3481</x:v>
      </x:c>
      <x:c r="AB599" s="55" t="n">
        <x:v>1249</x:v>
      </x:c>
      <x:c r="AC599" s="55" t="n">
        <x:v>8329</x:v>
      </x:c>
      <x:c r="AD599" s="55" t="n">
        <x:v>2930</x:v>
      </x:c>
      <x:c r="AE599" s="55" t="n">
        <x:v>10658</x:v>
      </x:c>
      <x:c r="AF599" s="55" t="n">
        <x:v>10658</x:v>
      </x:c>
      <x:c r="AG599" s="55" t="n">
        <x:v>0</x:v>
      </x:c>
      <x:c r="AH599" s="55" t="n">
        <x:v>571</x:v>
      </x:c>
      <x:c r="AI599" s="55" t="n">
        <x:v>10087</x:v>
      </x:c>
      <x:c r="AJ599" s="55" t="n">
        <x:v>399</x:v>
      </x:c>
      <x:c r="AK599" s="55" t="n">
        <x:v>1032</x:v>
      </x:c>
      <x:c r="AL599" s="55" t="n">
        <x:v>1588</x:v>
      </x:c>
      <x:c r="AM599" s="55" t="n">
        <x:v>4715</x:v>
      </x:c>
      <x:c r="AN599" s="55" t="n">
        <x:v>2892</x:v>
      </x:c>
      <x:c r="AO599" s="55" t="n">
        <x:v>32</x:v>
      </x:c>
      <x:c r="AP599" s="55" t="n">
        <x:v>2087</x:v>
      </x:c>
      <x:c r="AQ599" s="55" t="n">
        <x:v>927</x:v>
      </x:c>
    </x:row>
    <x:row r="600">
      <x:c r="A600" s="54" t="str">
        <x:v>T0_TABLE_BLOCK</x:v>
      </x:c>
      <x:c r="B600" s="54" t="n">
        <x:v>594</x:v>
      </x:c>
      <x:c r="C600" s="54" t="str">
        <x:v>NYC-V2-R01</x:v>
      </x:c>
      <x:c r="D600" s="54" t="str">
        <x:v>V2</x:v>
      </x:c>
      <x:c r="E600" s="54" t="str">
        <x:v>ADMITTED</x:v>
      </x:c>
      <x:c r="F600" s="55" t="n">
        <x:v>30927</x:v>
      </x:c>
      <x:c r="G600" s="55" t="n">
        <x:v>6909</x:v>
      </x:c>
      <x:c r="H600" s="55" t="n">
        <x:v>3308</x:v>
      </x:c>
      <x:c r="I600" s="55" t="n">
        <x:v>969</x:v>
      </x:c>
      <x:c r="J600" s="55" t="n">
        <x:v>310</x:v>
      </x:c>
      <x:c r="K600" s="55" t="n">
        <x:v>30927</x:v>
      </x:c>
      <x:c r="L600" s="55" t="n">
        <x:v>5820</x:v>
      </x:c>
      <x:c r="M600" s="55" t="n">
        <x:v>648</x:v>
      </x:c>
      <x:c r="N600" s="55" t="n">
        <x:v>3144</x:v>
      </x:c>
      <x:c r="O600" s="55" t="n">
        <x:v>2028</x:v>
      </x:c>
      <x:c r="P600" s="55" t="n">
        <x:v>604</x:v>
      </x:c>
      <x:c r="Q600" s="55" t="n">
        <x:v>3285</x:v>
      </x:c>
      <x:c r="R600" s="55" t="n">
        <x:v>1829</x:v>
      </x:c>
      <x:c r="S600" s="55" t="n">
        <x:v>2711</x:v>
      </x:c>
      <x:c r="T600" s="55" t="n">
        <x:v>1329</x:v>
      </x:c>
      <x:c r="U600" s="55" t="n">
        <x:v>1918</x:v>
      </x:c>
      <x:c r="V600" s="55" t="n">
        <x:v>10490</x:v>
      </x:c>
      <x:c r="W600" s="55" t="n">
        <x:v>7295</x:v>
      </x:c>
      <x:c r="X600" s="55" t="n">
        <x:v>3195</x:v>
      </x:c>
      <x:c r="Y600" s="55" t="n">
        <x:v>2628</x:v>
      </x:c>
      <x:c r="Z600" s="55" t="n">
        <x:v>3482</x:v>
      </x:c>
      <x:c r="AA600" s="55" t="n">
        <x:v>3308</x:v>
      </x:c>
      <x:c r="AB600" s="55" t="n">
        <x:v>1145</x:v>
      </x:c>
      <x:c r="AC600" s="55" t="n">
        <x:v>8282</x:v>
      </x:c>
      <x:c r="AD600" s="55" t="n">
        <x:v>2708</x:v>
      </x:c>
      <x:c r="AE600" s="55" t="n">
        <x:v>10588</x:v>
      </x:c>
      <x:c r="AF600" s="55" t="n">
        <x:v>10490</x:v>
      </x:c>
      <x:c r="AG600" s="55" t="n">
        <x:v>98</x:v>
      </x:c>
      <x:c r="AH600" s="55" t="n">
        <x:v>327</x:v>
      </x:c>
      <x:c r="AI600" s="55" t="n">
        <x:v>10163</x:v>
      </x:c>
      <x:c r="AJ600" s="55" t="n">
        <x:v>348</x:v>
      </x:c>
      <x:c r="AK600" s="55" t="n">
        <x:v>682</x:v>
      </x:c>
      <x:c r="AL600" s="55" t="n">
        <x:v>1911</x:v>
      </x:c>
      <x:c r="AM600" s="55" t="n">
        <x:v>4865</x:v>
      </x:c>
      <x:c r="AN600" s="55" t="n">
        <x:v>2684</x:v>
      </x:c>
      <x:c r="AO600" s="55" t="n">
        <x:v>0</x:v>
      </x:c>
      <x:c r="AP600" s="55" t="n">
        <x:v>2197</x:v>
      </x:c>
      <x:c r="AQ600" s="55" t="n">
        <x:v>975</x:v>
      </x:c>
    </x:row>
    <x:row r="601">
      <x:c r="A601" s="54" t="str">
        <x:v>T0_TABLE_BLOCK</x:v>
      </x:c>
      <x:c r="B601" s="54" t="n">
        <x:v>595</x:v>
      </x:c>
      <x:c r="C601" s="54" t="str">
        <x:v>NYC-V2-R01</x:v>
      </x:c>
      <x:c r="D601" s="54" t="str">
        <x:v>V2</x:v>
      </x:c>
      <x:c r="E601" s="54" t="str">
        <x:v>ADMITTED</x:v>
      </x:c>
      <x:c r="F601" s="55" t="n">
        <x:v>31621</x:v>
      </x:c>
      <x:c r="G601" s="55" t="n">
        <x:v>8384</x:v>
      </x:c>
      <x:c r="H601" s="55" t="n">
        <x:v>3507</x:v>
      </x:c>
      <x:c r="I601" s="55" t="n">
        <x:v>1321</x:v>
      </x:c>
      <x:c r="J601" s="55" t="n">
        <x:v>343</x:v>
      </x:c>
      <x:c r="K601" s="55" t="n">
        <x:v>30424</x:v>
      </x:c>
      <x:c r="L601" s="55" t="n">
        <x:v>5153</x:v>
      </x:c>
      <x:c r="M601" s="55" t="n">
        <x:v>924</x:v>
      </x:c>
      <x:c r="N601" s="55" t="n">
        <x:v>2426</x:v>
      </x:c>
      <x:c r="O601" s="55" t="n">
        <x:v>1803</x:v>
      </x:c>
      <x:c r="P601" s="55" t="n">
        <x:v>1283</x:v>
      </x:c>
      <x:c r="Q601" s="55" t="n">
        <x:v>2242</x:v>
      </x:c>
      <x:c r="R601" s="55" t="n">
        <x:v>1710</x:v>
      </x:c>
      <x:c r="S601" s="55" t="n">
        <x:v>2108</x:v>
      </x:c>
      <x:c r="T601" s="55" t="n">
        <x:v>1397</x:v>
      </x:c>
      <x:c r="U601" s="55" t="n">
        <x:v>2442</x:v>
      </x:c>
      <x:c r="V601" s="55" t="n">
        <x:v>10241</x:v>
      </x:c>
      <x:c r="W601" s="55" t="n">
        <x:v>6880</x:v>
      </x:c>
      <x:c r="X601" s="55" t="n">
        <x:v>3361</x:v>
      </x:c>
      <x:c r="Y601" s="55" t="n">
        <x:v>2768</x:v>
      </x:c>
      <x:c r="Z601" s="55" t="n">
        <x:v>3656</x:v>
      </x:c>
      <x:c r="AA601" s="55" t="n">
        <x:v>3164</x:v>
      </x:c>
      <x:c r="AB601" s="55" t="n">
        <x:v>1050</x:v>
      </x:c>
      <x:c r="AC601" s="55" t="n">
        <x:v>8250</x:v>
      </x:c>
      <x:c r="AD601" s="55" t="n">
        <x:v>3011</x:v>
      </x:c>
      <x:c r="AE601" s="55" t="n">
        <x:v>10296</x:v>
      </x:c>
      <x:c r="AF601" s="55" t="n">
        <x:v>10241</x:v>
      </x:c>
      <x:c r="AG601" s="55" t="n">
        <x:v>55</x:v>
      </x:c>
      <x:c r="AH601" s="55" t="n">
        <x:v>525</x:v>
      </x:c>
      <x:c r="AI601" s="55" t="n">
        <x:v>9716</x:v>
      </x:c>
      <x:c r="AJ601" s="55" t="n">
        <x:v>287</x:v>
      </x:c>
      <x:c r="AK601" s="55" t="n">
        <x:v>976</x:v>
      </x:c>
      <x:c r="AL601" s="55" t="n">
        <x:v>1498</x:v>
      </x:c>
      <x:c r="AM601" s="55" t="n">
        <x:v>5132</x:v>
      </x:c>
      <x:c r="AN601" s="55" t="n">
        <x:v>2348</x:v>
      </x:c>
      <x:c r="AO601" s="55" t="n">
        <x:v>0</x:v>
      </x:c>
      <x:c r="AP601" s="55" t="n">
        <x:v>2110</x:v>
      </x:c>
      <x:c r="AQ601" s="55" t="n">
        <x:v>936</x:v>
      </x:c>
    </x:row>
    <x:row r="602">
      <x:c r="A602" s="54" t="str">
        <x:v>T0_TABLE_BLOCK</x:v>
      </x:c>
      <x:c r="B602" s="54" t="n">
        <x:v>596</x:v>
      </x:c>
      <x:c r="C602" s="54" t="str">
        <x:v>NYC-V2-R01</x:v>
      </x:c>
      <x:c r="D602" s="54" t="str">
        <x:v>V2</x:v>
      </x:c>
      <x:c r="E602" s="54" t="str">
        <x:v>ADMITTED</x:v>
      </x:c>
      <x:c r="F602" s="55" t="n">
        <x:v>30876</x:v>
      </x:c>
      <x:c r="G602" s="55" t="n">
        <x:v>6809</x:v>
      </x:c>
      <x:c r="H602" s="55" t="n">
        <x:v>3225</x:v>
      </x:c>
      <x:c r="I602" s="55" t="n">
        <x:v>1375</x:v>
      </x:c>
      <x:c r="J602" s="55" t="n">
        <x:v>170</x:v>
      </x:c>
      <x:c r="K602" s="55" t="n">
        <x:v>28496</x:v>
      </x:c>
      <x:c r="L602" s="55" t="n">
        <x:v>4855</x:v>
      </x:c>
      <x:c r="M602" s="55" t="n">
        <x:v>525</x:v>
      </x:c>
      <x:c r="N602" s="55" t="n">
        <x:v>3083</x:v>
      </x:c>
      <x:c r="O602" s="55" t="n">
        <x:v>1247</x:v>
      </x:c>
      <x:c r="P602" s="55" t="n">
        <x:v>493</x:v>
      </x:c>
      <x:c r="Q602" s="55" t="n">
        <x:v>2179</x:v>
      </x:c>
      <x:c r="R602" s="55" t="n">
        <x:v>2158</x:v>
      </x:c>
      <x:c r="S602" s="55" t="n">
        <x:v>2580</x:v>
      </x:c>
      <x:c r="T602" s="55" t="n">
        <x:v>1336</x:v>
      </x:c>
      <x:c r="U602" s="55" t="n">
        <x:v>1583</x:v>
      </x:c>
      <x:c r="V602" s="55" t="n">
        <x:v>9925</x:v>
      </x:c>
      <x:c r="W602" s="55" t="n">
        <x:v>6892</x:v>
      </x:c>
      <x:c r="X602" s="55" t="n">
        <x:v>3033</x:v>
      </x:c>
      <x:c r="Y602" s="55" t="n">
        <x:v>2821</x:v>
      </x:c>
      <x:c r="Z602" s="55" t="n">
        <x:v>3422</x:v>
      </x:c>
      <x:c r="AA602" s="55" t="n">
        <x:v>2884</x:v>
      </x:c>
      <x:c r="AB602" s="55" t="n">
        <x:v>941</x:v>
      </x:c>
      <x:c r="AC602" s="55" t="n">
        <x:v>7739</x:v>
      </x:c>
      <x:c r="AD602" s="55" t="n">
        <x:v>1953</x:v>
      </x:c>
      <x:c r="AE602" s="55" t="n">
        <x:v>9943</x:v>
      </x:c>
      <x:c r="AF602" s="55" t="n">
        <x:v>9925</x:v>
      </x:c>
      <x:c r="AG602" s="55" t="n">
        <x:v>18</x:v>
      </x:c>
      <x:c r="AH602" s="55" t="n">
        <x:v>309</x:v>
      </x:c>
      <x:c r="AI602" s="55" t="n">
        <x:v>9616</x:v>
      </x:c>
      <x:c r="AJ602" s="55" t="n">
        <x:v>406</x:v>
      </x:c>
      <x:c r="AK602" s="55" t="n">
        <x:v>1246</x:v>
      </x:c>
      <x:c r="AL602" s="55" t="n">
        <x:v>1333</x:v>
      </x:c>
      <x:c r="AM602" s="55" t="n">
        <x:v>4356</x:v>
      </x:c>
      <x:c r="AN602" s="55" t="n">
        <x:v>2584</x:v>
      </x:c>
      <x:c r="AO602" s="55" t="n">
        <x:v>0</x:v>
      </x:c>
      <x:c r="AP602" s="55" t="n">
        <x:v>2415</x:v>
      </x:c>
      <x:c r="AQ602" s="55" t="n">
        <x:v>986</x:v>
      </x:c>
    </x:row>
    <x:row r="603">
      <x:c r="A603" s="54" t="str">
        <x:v>T0_TABLE_BLOCK</x:v>
      </x:c>
      <x:c r="B603" s="54" t="n">
        <x:v>597</x:v>
      </x:c>
      <x:c r="C603" s="54" t="str">
        <x:v>NYC-V2-R01</x:v>
      </x:c>
      <x:c r="D603" s="54" t="str">
        <x:v>V2</x:v>
      </x:c>
      <x:c r="E603" s="54" t="str">
        <x:v>ADMITTED</x:v>
      </x:c>
      <x:c r="F603" s="55" t="n">
        <x:v>33970</x:v>
      </x:c>
      <x:c r="G603" s="55" t="n">
        <x:v>9934</x:v>
      </x:c>
      <x:c r="H603" s="55" t="n">
        <x:v>3182</x:v>
      </x:c>
      <x:c r="I603" s="55" t="n">
        <x:v>1428</x:v>
      </x:c>
      <x:c r="J603" s="55" t="n">
        <x:v>244</x:v>
      </x:c>
      <x:c r="K603" s="55" t="n">
        <x:v>26011</x:v>
      </x:c>
      <x:c r="L603" s="55" t="n">
        <x:v>5270</x:v>
      </x:c>
      <x:c r="M603" s="55" t="n">
        <x:v>1287</x:v>
      </x:c>
      <x:c r="N603" s="55" t="n">
        <x:v>2484</x:v>
      </x:c>
      <x:c r="O603" s="55" t="n">
        <x:v>1499</x:v>
      </x:c>
      <x:c r="P603" s="55" t="n">
        <x:v>410</x:v>
      </x:c>
      <x:c r="Q603" s="55" t="n">
        <x:v>2168</x:v>
      </x:c>
      <x:c r="R603" s="55" t="n">
        <x:v>2352</x:v>
      </x:c>
      <x:c r="S603" s="55" t="n">
        <x:v>2844</x:v>
      </x:c>
      <x:c r="T603" s="55" t="n">
        <x:v>1115</x:v>
      </x:c>
      <x:c r="U603" s="55" t="n">
        <x:v>2257</x:v>
      </x:c>
      <x:c r="V603" s="55" t="n">
        <x:v>10588</x:v>
      </x:c>
      <x:c r="W603" s="55" t="n">
        <x:v>7686</x:v>
      </x:c>
      <x:c r="X603" s="55" t="n">
        <x:v>2902</x:v>
      </x:c>
      <x:c r="Y603" s="55" t="n">
        <x:v>2556</x:v>
      </x:c>
      <x:c r="Z603" s="55" t="n">
        <x:v>4339</x:v>
      </x:c>
      <x:c r="AA603" s="55" t="n">
        <x:v>3182</x:v>
      </x:c>
      <x:c r="AB603" s="55" t="n">
        <x:v>996</x:v>
      </x:c>
      <x:c r="AC603" s="55" t="n">
        <x:v>7544</x:v>
      </x:c>
      <x:c r="AD603" s="55" t="n">
        <x:v>2395</x:v>
      </x:c>
      <x:c r="AE603" s="55" t="n">
        <x:v>10783</x:v>
      </x:c>
      <x:c r="AF603" s="55" t="n">
        <x:v>10588</x:v>
      </x:c>
      <x:c r="AG603" s="55" t="n">
        <x:v>195</x:v>
      </x:c>
      <x:c r="AH603" s="55" t="n">
        <x:v>473</x:v>
      </x:c>
      <x:c r="AI603" s="55" t="n">
        <x:v>10115</x:v>
      </x:c>
      <x:c r="AJ603" s="55" t="n">
        <x:v>231</x:v>
      </x:c>
      <x:c r="AK603" s="55" t="n">
        <x:v>773</x:v>
      </x:c>
      <x:c r="AL603" s="55" t="n">
        <x:v>2344</x:v>
      </x:c>
      <x:c r="AM603" s="55" t="n">
        <x:v>4273</x:v>
      </x:c>
      <x:c r="AN603" s="55" t="n">
        <x:v>2967</x:v>
      </x:c>
      <x:c r="AO603" s="55" t="n">
        <x:v>0</x:v>
      </x:c>
      <x:c r="AP603" s="55" t="n">
        <x:v>2301</x:v>
      </x:c>
      <x:c r="AQ603" s="55" t="n">
        <x:v>912</x:v>
      </x:c>
    </x:row>
    <x:row r="604">
      <x:c r="A604" s="54" t="str">
        <x:v>T0_TABLE_BLOCK</x:v>
      </x:c>
      <x:c r="B604" s="54" t="n">
        <x:v>598</x:v>
      </x:c>
      <x:c r="C604" s="54" t="str">
        <x:v>NYC-V2-R01</x:v>
      </x:c>
      <x:c r="D604" s="54" t="str">
        <x:v>V2</x:v>
      </x:c>
      <x:c r="E604" s="54" t="str">
        <x:v>ADMITTED</x:v>
      </x:c>
      <x:c r="F604" s="55" t="n">
        <x:v>32632</x:v>
      </x:c>
      <x:c r="G604" s="55" t="n">
        <x:v>8575</x:v>
      </x:c>
      <x:c r="H604" s="55" t="n">
        <x:v>3227</x:v>
      </x:c>
      <x:c r="I604" s="55" t="n">
        <x:v>1308</x:v>
      </x:c>
      <x:c r="J604" s="55" t="n">
        <x:v>176</x:v>
      </x:c>
      <x:c r="K604" s="55" t="n">
        <x:v>32632</x:v>
      </x:c>
      <x:c r="L604" s="55" t="n">
        <x:v>6390</x:v>
      </x:c>
      <x:c r="M604" s="55" t="n">
        <x:v>1136</x:v>
      </x:c>
      <x:c r="N604" s="55" t="n">
        <x:v>3052</x:v>
      </x:c>
      <x:c r="O604" s="55" t="n">
        <x:v>2202</x:v>
      </x:c>
      <x:c r="P604" s="55" t="n">
        <x:v>804</x:v>
      </x:c>
      <x:c r="Q604" s="55" t="n">
        <x:v>1515</x:v>
      </x:c>
      <x:c r="R604" s="55" t="n">
        <x:v>2305</x:v>
      </x:c>
      <x:c r="S604" s="55" t="n">
        <x:v>3166</x:v>
      </x:c>
      <x:c r="T604" s="55" t="n">
        <x:v>822</x:v>
      </x:c>
      <x:c r="U604" s="55" t="n">
        <x:v>2283</x:v>
      </x:c>
      <x:c r="V604" s="55" t="n">
        <x:v>10852</x:v>
      </x:c>
      <x:c r="W604" s="55" t="n">
        <x:v>7845</x:v>
      </x:c>
      <x:c r="X604" s="55" t="n">
        <x:v>3007</x:v>
      </x:c>
      <x:c r="Y604" s="55" t="n">
        <x:v>2635</x:v>
      </x:c>
      <x:c r="Z604" s="55" t="n">
        <x:v>3838</x:v>
      </x:c>
      <x:c r="AA604" s="55" t="n">
        <x:v>2603</x:v>
      </x:c>
      <x:c r="AB604" s="55" t="n">
        <x:v>899</x:v>
      </x:c>
      <x:c r="AC604" s="55" t="n">
        <x:v>7583</x:v>
      </x:c>
      <x:c r="AD604" s="55" t="n">
        <x:v>3313</x:v>
      </x:c>
      <x:c r="AE604" s="55" t="n">
        <x:v>10937</x:v>
      </x:c>
      <x:c r="AF604" s="55" t="n">
        <x:v>10852</x:v>
      </x:c>
      <x:c r="AG604" s="55" t="n">
        <x:v>85</x:v>
      </x:c>
      <x:c r="AH604" s="55" t="n">
        <x:v>395</x:v>
      </x:c>
      <x:c r="AI604" s="55" t="n">
        <x:v>10457</x:v>
      </x:c>
      <x:c r="AJ604" s="55" t="n">
        <x:v>387</x:v>
      </x:c>
      <x:c r="AK604" s="55" t="n">
        <x:v>1277</x:v>
      </x:c>
      <x:c r="AL604" s="55" t="n">
        <x:v>1114</x:v>
      </x:c>
      <x:c r="AM604" s="55" t="n">
        <x:v>5238</x:v>
      </x:c>
      <x:c r="AN604" s="55" t="n">
        <x:v>2836</x:v>
      </x:c>
      <x:c r="AO604" s="55" t="n">
        <x:v>0</x:v>
      </x:c>
      <x:c r="AP604" s="55" t="n">
        <x:v>2136</x:v>
      </x:c>
      <x:c r="AQ604" s="55" t="n">
        <x:v>964</x:v>
      </x:c>
    </x:row>
    <x:row r="605">
      <x:c r="A605" s="54" t="str">
        <x:v>T0_TABLE_BLOCK</x:v>
      </x:c>
      <x:c r="B605" s="54" t="n">
        <x:v>599</x:v>
      </x:c>
      <x:c r="C605" s="54" t="str">
        <x:v>NYC-V2-R01</x:v>
      </x:c>
      <x:c r="D605" s="54" t="str">
        <x:v>V2</x:v>
      </x:c>
      <x:c r="E605" s="54" t="str">
        <x:v>ADMITTED</x:v>
      </x:c>
      <x:c r="F605" s="55" t="n">
        <x:v>33604</x:v>
      </x:c>
      <x:c r="G605" s="55" t="n">
        <x:v>8251</x:v>
      </x:c>
      <x:c r="H605" s="55" t="n">
        <x:v>3370</x:v>
      </x:c>
      <x:c r="I605" s="55" t="n">
        <x:v>1252</x:v>
      </x:c>
      <x:c r="J605" s="55" t="n">
        <x:v>143</x:v>
      </x:c>
      <x:c r="K605" s="55" t="n">
        <x:v>29347</x:v>
      </x:c>
      <x:c r="L605" s="55" t="n">
        <x:v>5372</x:v>
      </x:c>
      <x:c r="M605" s="55" t="n">
        <x:v>1149</x:v>
      </x:c>
      <x:c r="N605" s="55" t="n">
        <x:v>2662</x:v>
      </x:c>
      <x:c r="O605" s="55" t="n">
        <x:v>1561</x:v>
      </x:c>
      <x:c r="P605" s="55" t="n">
        <x:v>551</x:v>
      </x:c>
      <x:c r="Q605" s="55" t="n">
        <x:v>2524</x:v>
      </x:c>
      <x:c r="R605" s="55" t="n">
        <x:v>1979</x:v>
      </x:c>
      <x:c r="S605" s="55" t="n">
        <x:v>1909</x:v>
      </x:c>
      <x:c r="T605" s="55" t="n">
        <x:v>1307</x:v>
      </x:c>
      <x:c r="U605" s="55" t="n">
        <x:v>2689</x:v>
      </x:c>
      <x:c r="V605" s="55" t="n">
        <x:v>11038</x:v>
      </x:c>
      <x:c r="W605" s="55" t="n">
        <x:v>8129</x:v>
      </x:c>
      <x:c r="X605" s="55" t="n">
        <x:v>2909</x:v>
      </x:c>
      <x:c r="Y605" s="55" t="n">
        <x:v>2449</x:v>
      </x:c>
      <x:c r="Z605" s="55" t="n">
        <x:v>3652</x:v>
      </x:c>
      <x:c r="AA605" s="55" t="n">
        <x:v>3370</x:v>
      </x:c>
      <x:c r="AB605" s="55" t="n">
        <x:v>1273</x:v>
      </x:c>
      <x:c r="AC605" s="55" t="n">
        <x:v>7728</x:v>
      </x:c>
      <x:c r="AD605" s="55" t="n">
        <x:v>2276</x:v>
      </x:c>
      <x:c r="AE605" s="55" t="n">
        <x:v>11142</x:v>
      </x:c>
      <x:c r="AF605" s="55" t="n">
        <x:v>11038</x:v>
      </x:c>
      <x:c r="AG605" s="55" t="n">
        <x:v>104</x:v>
      </x:c>
      <x:c r="AH605" s="55" t="n">
        <x:v>656</x:v>
      </x:c>
      <x:c r="AI605" s="55" t="n">
        <x:v>10382</x:v>
      </x:c>
      <x:c r="AJ605" s="55" t="n">
        <x:v>455</x:v>
      </x:c>
      <x:c r="AK605" s="55" t="n">
        <x:v>974</x:v>
      </x:c>
      <x:c r="AL605" s="55" t="n">
        <x:v>1311</x:v>
      </x:c>
      <x:c r="AM605" s="55" t="n">
        <x:v>5145</x:v>
      </x:c>
      <x:c r="AN605" s="55" t="n">
        <x:v>3153</x:v>
      </x:c>
      <x:c r="AO605" s="55" t="n">
        <x:v>0</x:v>
      </x:c>
      <x:c r="AP605" s="55" t="n">
        <x:v>2497</x:v>
      </x:c>
      <x:c r="AQ605" s="55" t="n">
        <x:v>976</x:v>
      </x:c>
    </x:row>
    <x:row r="606">
      <x:c r="A606" s="54" t="str">
        <x:v>T0_TABLE_BLOCK</x:v>
      </x:c>
      <x:c r="B606" s="54" t="n">
        <x:v>600</x:v>
      </x:c>
      <x:c r="C606" s="54" t="str">
        <x:v>NYC-V2-R01</x:v>
      </x:c>
      <x:c r="D606" s="54" t="str">
        <x:v>V2</x:v>
      </x:c>
      <x:c r="E606" s="54" t="str">
        <x:v>ADMITTED</x:v>
      </x:c>
      <x:c r="F606" s="55" t="n">
        <x:v>31885</x:v>
      </x:c>
      <x:c r="G606" s="55" t="n">
        <x:v>6786</x:v>
      </x:c>
      <x:c r="H606" s="55" t="n">
        <x:v>3436</x:v>
      </x:c>
      <x:c r="I606" s="55" t="n">
        <x:v>1490</x:v>
      </x:c>
      <x:c r="J606" s="55" t="n">
        <x:v>259</x:v>
      </x:c>
      <x:c r="K606" s="55" t="n">
        <x:v>28272</x:v>
      </x:c>
      <x:c r="L606" s="55" t="n">
        <x:v>5709</x:v>
      </x:c>
      <x:c r="M606" s="55" t="n">
        <x:v>1140</x:v>
      </x:c>
      <x:c r="N606" s="55" t="n">
        <x:v>3013</x:v>
      </x:c>
      <x:c r="O606" s="55" t="n">
        <x:v>1556</x:v>
      </x:c>
      <x:c r="P606" s="55" t="n">
        <x:v>1103</x:v>
      </x:c>
      <x:c r="Q606" s="55" t="n">
        <x:v>2910</x:v>
      </x:c>
      <x:c r="R606" s="55" t="n">
        <x:v>2179</x:v>
      </x:c>
      <x:c r="S606" s="55" t="n">
        <x:v>2874</x:v>
      </x:c>
      <x:c r="T606" s="55" t="n">
        <x:v>1651</x:v>
      </x:c>
      <x:c r="U606" s="55" t="n">
        <x:v>1641</x:v>
      </x:c>
      <x:c r="V606" s="55" t="n">
        <x:v>10422</x:v>
      </x:c>
      <x:c r="W606" s="55" t="n">
        <x:v>7315</x:v>
      </x:c>
      <x:c r="X606" s="55" t="n">
        <x:v>3107</x:v>
      </x:c>
      <x:c r="Y606" s="55" t="n">
        <x:v>2548</x:v>
      </x:c>
      <x:c r="Z606" s="55" t="n">
        <x:v>3916</x:v>
      </x:c>
      <x:c r="AA606" s="55" t="n">
        <x:v>2804</x:v>
      </x:c>
      <x:c r="AB606" s="55" t="n">
        <x:v>1060</x:v>
      </x:c>
      <x:c r="AC606" s="55" t="n">
        <x:v>7883</x:v>
      </x:c>
      <x:c r="AD606" s="55" t="n">
        <x:v>3003</x:v>
      </x:c>
      <x:c r="AE606" s="55" t="n">
        <x:v>10536</x:v>
      </x:c>
      <x:c r="AF606" s="55" t="n">
        <x:v>10422</x:v>
      </x:c>
      <x:c r="AG606" s="55" t="n">
        <x:v>114</x:v>
      </x:c>
      <x:c r="AH606" s="55" t="n">
        <x:v>486</x:v>
      </x:c>
      <x:c r="AI606" s="55" t="n">
        <x:v>9936</x:v>
      </x:c>
      <x:c r="AJ606" s="55" t="n">
        <x:v>476</x:v>
      </x:c>
      <x:c r="AK606" s="55" t="n">
        <x:v>1066</x:v>
      </x:c>
      <x:c r="AL606" s="55" t="n">
        <x:v>1709</x:v>
      </x:c>
      <x:c r="AM606" s="55" t="n">
        <x:v>4548</x:v>
      </x:c>
      <x:c r="AN606" s="55" t="n">
        <x:v>2623</x:v>
      </x:c>
      <x:c r="AO606" s="55" t="n">
        <x:v>0</x:v>
      </x:c>
      <x:c r="AP606" s="55" t="n">
        <x:v>2448</x:v>
      </x:c>
      <x:c r="AQ606" s="55" t="n">
        <x:v>929</x:v>
      </x:c>
    </x:row>
    <x:row r="607">
      <x:c r="A607" s="54" t="str">
        <x:v>T0_TABLE_BLOCK</x:v>
      </x:c>
      <x:c r="B607" s="54" t="n">
        <x:v>601</x:v>
      </x:c>
      <x:c r="C607" s="54" t="str">
        <x:v>NYC-V2-R01</x:v>
      </x:c>
      <x:c r="D607" s="54" t="str">
        <x:v>V2</x:v>
      </x:c>
      <x:c r="E607" s="54" t="str">
        <x:v>ADMITTED</x:v>
      </x:c>
      <x:c r="F607" s="55" t="n">
        <x:v>32407</x:v>
      </x:c>
      <x:c r="G607" s="55" t="n">
        <x:v>8908</x:v>
      </x:c>
      <x:c r="H607" s="55" t="n">
        <x:v>3370</x:v>
      </x:c>
      <x:c r="I607" s="55" t="n">
        <x:v>1031</x:v>
      </x:c>
      <x:c r="J607" s="55" t="n">
        <x:v>128</x:v>
      </x:c>
      <x:c r="K607" s="55" t="n">
        <x:v>32407</x:v>
      </x:c>
      <x:c r="L607" s="55" t="n">
        <x:v>6954</x:v>
      </x:c>
      <x:c r="M607" s="55" t="n">
        <x:v>2595</x:v>
      </x:c>
      <x:c r="N607" s="55" t="n">
        <x:v>2672</x:v>
      </x:c>
      <x:c r="O607" s="55" t="n">
        <x:v>1687</x:v>
      </x:c>
      <x:c r="P607" s="55" t="n">
        <x:v>1220</x:v>
      </x:c>
      <x:c r="Q607" s="55" t="n">
        <x:v>4100</x:v>
      </x:c>
      <x:c r="R607" s="55" t="n">
        <x:v>2583</x:v>
      </x:c>
      <x:c r="S607" s="55" t="n">
        <x:v>2203</x:v>
      </x:c>
      <x:c r="T607" s="55" t="n">
        <x:v>1256</x:v>
      </x:c>
      <x:c r="U607" s="55" t="n">
        <x:v>1722</x:v>
      </x:c>
      <x:c r="V607" s="55" t="n">
        <x:v>9936</x:v>
      </x:c>
      <x:c r="W607" s="55" t="n">
        <x:v>6699</x:v>
      </x:c>
      <x:c r="X607" s="55" t="n">
        <x:v>3237</x:v>
      </x:c>
      <x:c r="Y607" s="55" t="n">
        <x:v>2580</x:v>
      </x:c>
      <x:c r="Z607" s="55" t="n">
        <x:v>3247</x:v>
      </x:c>
      <x:c r="AA607" s="55" t="n">
        <x:v>3370</x:v>
      </x:c>
      <x:c r="AB607" s="55" t="n">
        <x:v>1164</x:v>
      </x:c>
      <x:c r="AC607" s="55" t="n">
        <x:v>8031</x:v>
      </x:c>
      <x:c r="AD607" s="55" t="n">
        <x:v>2648</x:v>
      </x:c>
      <x:c r="AE607" s="55" t="n">
        <x:v>10017</x:v>
      </x:c>
      <x:c r="AF607" s="55" t="n">
        <x:v>9936</x:v>
      </x:c>
      <x:c r="AG607" s="55" t="n">
        <x:v>81</x:v>
      </x:c>
      <x:c r="AH607" s="55" t="n">
        <x:v>186</x:v>
      </x:c>
      <x:c r="AI607" s="55" t="n">
        <x:v>9750</x:v>
      </x:c>
      <x:c r="AJ607" s="55" t="n">
        <x:v>357</x:v>
      </x:c>
      <x:c r="AK607" s="55" t="n">
        <x:v>501</x:v>
      </x:c>
      <x:c r="AL607" s="55" t="n">
        <x:v>1543</x:v>
      </x:c>
      <x:c r="AM607" s="55" t="n">
        <x:v>4361</x:v>
      </x:c>
      <x:c r="AN607" s="55" t="n">
        <x:v>3124</x:v>
      </x:c>
      <x:c r="AO607" s="55" t="n">
        <x:v>50</x:v>
      </x:c>
      <x:c r="AP607" s="55" t="n">
        <x:v>2170</x:v>
      </x:c>
      <x:c r="AQ607" s="55" t="n">
        <x:v>975</x:v>
      </x:c>
    </x:row>
    <x:row r="608">
      <x:c r="A608" s="54" t="str">
        <x:v>T0_TABLE_BLOCK</x:v>
      </x:c>
      <x:c r="B608" s="54" t="n">
        <x:v>602</x:v>
      </x:c>
      <x:c r="C608" s="54" t="str">
        <x:v>NYC-V2-R01</x:v>
      </x:c>
      <x:c r="D608" s="54" t="str">
        <x:v>V2</x:v>
      </x:c>
      <x:c r="E608" s="54" t="str">
        <x:v>ADMITTED</x:v>
      </x:c>
      <x:c r="F608" s="55" t="n">
        <x:v>33023</x:v>
      </x:c>
      <x:c r="G608" s="55" t="n">
        <x:v>9782</x:v>
      </x:c>
      <x:c r="H608" s="55" t="n">
        <x:v>3284</x:v>
      </x:c>
      <x:c r="I608" s="55" t="n">
        <x:v>1356</x:v>
      </x:c>
      <x:c r="J608" s="55" t="n">
        <x:v>471</x:v>
      </x:c>
      <x:c r="K608" s="55" t="n">
        <x:v>31691</x:v>
      </x:c>
      <x:c r="L608" s="55" t="n">
        <x:v>6513</x:v>
      </x:c>
      <x:c r="M608" s="55" t="n">
        <x:v>1988</x:v>
      </x:c>
      <x:c r="N608" s="55" t="n">
        <x:v>2737</x:v>
      </x:c>
      <x:c r="O608" s="55" t="n">
        <x:v>1788</x:v>
      </x:c>
      <x:c r="P608" s="55" t="n">
        <x:v>1313</x:v>
      </x:c>
      <x:c r="Q608" s="55" t="n">
        <x:v>2948</x:v>
      </x:c>
      <x:c r="R608" s="55" t="n">
        <x:v>1860</x:v>
      </x:c>
      <x:c r="S608" s="55" t="n">
        <x:v>2639</x:v>
      </x:c>
      <x:c r="T608" s="55" t="n">
        <x:v>1231</x:v>
      </x:c>
      <x:c r="U608" s="55" t="n">
        <x:v>2200</x:v>
      </x:c>
      <x:c r="V608" s="55" t="n">
        <x:v>10554</x:v>
      </x:c>
      <x:c r="W608" s="55" t="n">
        <x:v>7925</x:v>
      </x:c>
      <x:c r="X608" s="55" t="n">
        <x:v>2629</x:v>
      </x:c>
      <x:c r="Y608" s="55" t="n">
        <x:v>2436</x:v>
      </x:c>
      <x:c r="Z608" s="55" t="n">
        <x:v>3539</x:v>
      </x:c>
      <x:c r="AA608" s="55" t="n">
        <x:v>3055</x:v>
      </x:c>
      <x:c r="AB608" s="55" t="n">
        <x:v>914</x:v>
      </x:c>
      <x:c r="AC608" s="55" t="n">
        <x:v>8063</x:v>
      </x:c>
      <x:c r="AD608" s="55" t="n">
        <x:v>3764</x:v>
      </x:c>
      <x:c r="AE608" s="55" t="n">
        <x:v>10615</x:v>
      </x:c>
      <x:c r="AF608" s="55" t="n">
        <x:v>10554</x:v>
      </x:c>
      <x:c r="AG608" s="55" t="n">
        <x:v>61</x:v>
      </x:c>
      <x:c r="AH608" s="55" t="n">
        <x:v>514</x:v>
      </x:c>
      <x:c r="AI608" s="55" t="n">
        <x:v>10040</x:v>
      </x:c>
      <x:c r="AJ608" s="55" t="n">
        <x:v>419</x:v>
      </x:c>
      <x:c r="AK608" s="55" t="n">
        <x:v>1160</x:v>
      </x:c>
      <x:c r="AL608" s="55" t="n">
        <x:v>1753</x:v>
      </x:c>
      <x:c r="AM608" s="55" t="n">
        <x:v>5253</x:v>
      </x:c>
      <x:c r="AN608" s="55" t="n">
        <x:v>1969</x:v>
      </x:c>
      <x:c r="AO608" s="55" t="n">
        <x:v>0</x:v>
      </x:c>
      <x:c r="AP608" s="55" t="n">
        <x:v>2317</x:v>
      </x:c>
      <x:c r="AQ608" s="55" t="n">
        <x:v>974</x:v>
      </x:c>
    </x:row>
    <x:row r="609">
      <x:c r="A609" s="54" t="str">
        <x:v>T0_TABLE_BLOCK</x:v>
      </x:c>
      <x:c r="B609" s="54" t="n">
        <x:v>603</x:v>
      </x:c>
      <x:c r="C609" s="54" t="str">
        <x:v>NYC-V2-R01</x:v>
      </x:c>
      <x:c r="D609" s="54" t="str">
        <x:v>V2</x:v>
      </x:c>
      <x:c r="E609" s="54" t="str">
        <x:v>ADMITTED</x:v>
      </x:c>
      <x:c r="F609" s="55" t="n">
        <x:v>30326</x:v>
      </x:c>
      <x:c r="G609" s="55" t="n">
        <x:v>7562</x:v>
      </x:c>
      <x:c r="H609" s="55" t="n">
        <x:v>3086</x:v>
      </x:c>
      <x:c r="I609" s="55" t="n">
        <x:v>1126</x:v>
      </x:c>
      <x:c r="J609" s="55" t="n">
        <x:v>76</x:v>
      </x:c>
      <x:c r="K609" s="55" t="n">
        <x:v>29315</x:v>
      </x:c>
      <x:c r="L609" s="55" t="n">
        <x:v>5488</x:v>
      </x:c>
      <x:c r="M609" s="55" t="n">
        <x:v>611</x:v>
      </x:c>
      <x:c r="N609" s="55" t="n">
        <x:v>2773</x:v>
      </x:c>
      <x:c r="O609" s="55" t="n">
        <x:v>2104</x:v>
      </x:c>
      <x:c r="P609" s="55" t="n">
        <x:v>1163</x:v>
      </x:c>
      <x:c r="Q609" s="55" t="n">
        <x:v>2387</x:v>
      </x:c>
      <x:c r="R609" s="55" t="n">
        <x:v>1986</x:v>
      </x:c>
      <x:c r="S609" s="55" t="n">
        <x:v>2538</x:v>
      </x:c>
      <x:c r="T609" s="55" t="n">
        <x:v>1453</x:v>
      </x:c>
      <x:c r="U609" s="55" t="n">
        <x:v>1899</x:v>
      </x:c>
      <x:c r="V609" s="55" t="n">
        <x:v>10378</x:v>
      </x:c>
      <x:c r="W609" s="55" t="n">
        <x:v>7183</x:v>
      </x:c>
      <x:c r="X609" s="55" t="n">
        <x:v>3195</x:v>
      </x:c>
      <x:c r="Y609" s="55" t="n">
        <x:v>2754</x:v>
      </x:c>
      <x:c r="Z609" s="55" t="n">
        <x:v>3865</x:v>
      </x:c>
      <x:c r="AA609" s="55" t="n">
        <x:v>2521</x:v>
      </x:c>
      <x:c r="AB609" s="55" t="n">
        <x:v>1047</x:v>
      </x:c>
      <x:c r="AC609" s="55" t="n">
        <x:v>8311</x:v>
      </x:c>
      <x:c r="AD609" s="55" t="n">
        <x:v>3385</x:v>
      </x:c>
      <x:c r="AE609" s="55" t="n">
        <x:v>10422</x:v>
      </x:c>
      <x:c r="AF609" s="55" t="n">
        <x:v>10378</x:v>
      </x:c>
      <x:c r="AG609" s="55" t="n">
        <x:v>44</x:v>
      </x:c>
      <x:c r="AH609" s="55" t="n">
        <x:v>375</x:v>
      </x:c>
      <x:c r="AI609" s="55" t="n">
        <x:v>10003</x:v>
      </x:c>
      <x:c r="AJ609" s="55" t="n">
        <x:v>365</x:v>
      </x:c>
      <x:c r="AK609" s="55" t="n">
        <x:v>567</x:v>
      </x:c>
      <x:c r="AL609" s="55" t="n">
        <x:v>1561</x:v>
      </x:c>
      <x:c r="AM609" s="55" t="n">
        <x:v>4885</x:v>
      </x:c>
      <x:c r="AN609" s="55" t="n">
        <x:v>3000</x:v>
      </x:c>
      <x:c r="AO609" s="55" t="n">
        <x:v>0</x:v>
      </x:c>
      <x:c r="AP609" s="55" t="n">
        <x:v>2339</x:v>
      </x:c>
      <x:c r="AQ609" s="55" t="n">
        <x:v>955</x:v>
      </x:c>
    </x:row>
    <x:row r="610">
      <x:c r="A610" s="54" t="str">
        <x:v>T0_TABLE_BLOCK</x:v>
      </x:c>
      <x:c r="B610" s="54" t="n">
        <x:v>604</x:v>
      </x:c>
      <x:c r="C610" s="54" t="str">
        <x:v>NYC-V2-R01</x:v>
      </x:c>
      <x:c r="D610" s="54" t="str">
        <x:v>V2</x:v>
      </x:c>
      <x:c r="E610" s="54" t="str">
        <x:v>ADMITTED</x:v>
      </x:c>
      <x:c r="F610" s="55" t="n">
        <x:v>31682</x:v>
      </x:c>
      <x:c r="G610" s="55" t="n">
        <x:v>9291</x:v>
      </x:c>
      <x:c r="H610" s="55" t="n">
        <x:v>3154</x:v>
      </x:c>
      <x:c r="I610" s="55" t="n">
        <x:v>1358</x:v>
      </x:c>
      <x:c r="J610" s="55" t="n">
        <x:v>262</x:v>
      </x:c>
      <x:c r="K610" s="55" t="n">
        <x:v>26615</x:v>
      </x:c>
      <x:c r="L610" s="55" t="n">
        <x:v>4635</x:v>
      </x:c>
      <x:c r="M610" s="55" t="n">
        <x:v>452</x:v>
      </x:c>
      <x:c r="N610" s="55" t="n">
        <x:v>2690</x:v>
      </x:c>
      <x:c r="O610" s="55" t="n">
        <x:v>1493</x:v>
      </x:c>
      <x:c r="P610" s="55" t="n">
        <x:v>810</x:v>
      </x:c>
      <x:c r="Q610" s="55" t="n">
        <x:v>2962</x:v>
      </x:c>
      <x:c r="R610" s="55" t="n">
        <x:v>1855</x:v>
      </x:c>
      <x:c r="S610" s="55" t="n">
        <x:v>2857</x:v>
      </x:c>
      <x:c r="T610" s="55" t="n">
        <x:v>1901</x:v>
      </x:c>
      <x:c r="U610" s="55" t="n">
        <x:v>2132</x:v>
      </x:c>
      <x:c r="V610" s="55" t="n">
        <x:v>10364</x:v>
      </x:c>
      <x:c r="W610" s="55" t="n">
        <x:v>7607</x:v>
      </x:c>
      <x:c r="X610" s="55" t="n">
        <x:v>2757</x:v>
      </x:c>
      <x:c r="Y610" s="55" t="n">
        <x:v>2387</x:v>
      </x:c>
      <x:c r="Z610" s="55" t="n">
        <x:v>3728</x:v>
      </x:c>
      <x:c r="AA610" s="55" t="n">
        <x:v>3059</x:v>
      </x:c>
      <x:c r="AB610" s="55" t="n">
        <x:v>1290</x:v>
      </x:c>
      <x:c r="AC610" s="55" t="n">
        <x:v>7852</x:v>
      </x:c>
      <x:c r="AD610" s="55" t="n">
        <x:v>2581</x:v>
      </x:c>
      <x:c r="AE610" s="55" t="n">
        <x:v>10457</x:v>
      </x:c>
      <x:c r="AF610" s="55" t="n">
        <x:v>10364</x:v>
      </x:c>
      <x:c r="AG610" s="55" t="n">
        <x:v>93</x:v>
      </x:c>
      <x:c r="AH610" s="55" t="n">
        <x:v>509</x:v>
      </x:c>
      <x:c r="AI610" s="55" t="n">
        <x:v>9855</x:v>
      </x:c>
      <x:c r="AJ610" s="55" t="n">
        <x:v>485</x:v>
      </x:c>
      <x:c r="AK610" s="55" t="n">
        <x:v>1066</x:v>
      </x:c>
      <x:c r="AL610" s="55" t="n">
        <x:v>1711</x:v>
      </x:c>
      <x:c r="AM610" s="55" t="n">
        <x:v>4952</x:v>
      </x:c>
      <x:c r="AN610" s="55" t="n">
        <x:v>2092</x:v>
      </x:c>
      <x:c r="AO610" s="55" t="n">
        <x:v>58</x:v>
      </x:c>
      <x:c r="AP610" s="55" t="n">
        <x:v>2557</x:v>
      </x:c>
      <x:c r="AQ610" s="55" t="n">
        <x:v>948</x:v>
      </x:c>
    </x:row>
    <x:row r="611">
      <x:c r="A611" s="54" t="str">
        <x:v>T0_TABLE_BLOCK</x:v>
      </x:c>
      <x:c r="B611" s="54" t="n">
        <x:v>605</x:v>
      </x:c>
      <x:c r="C611" s="54" t="str">
        <x:v>NYC-V2-R01</x:v>
      </x:c>
      <x:c r="D611" s="54" t="str">
        <x:v>V2</x:v>
      </x:c>
      <x:c r="E611" s="54" t="str">
        <x:v>ADMITTED</x:v>
      </x:c>
      <x:c r="F611" s="55" t="n">
        <x:v>32542</x:v>
      </x:c>
      <x:c r="G611" s="55" t="n">
        <x:v>7788</x:v>
      </x:c>
      <x:c r="H611" s="55" t="n">
        <x:v>3080</x:v>
      </x:c>
      <x:c r="I611" s="55" t="n">
        <x:v>1232</x:v>
      </x:c>
      <x:c r="J611" s="55" t="n">
        <x:v>106</x:v>
      </x:c>
      <x:c r="K611" s="55" t="n">
        <x:v>32542</x:v>
      </x:c>
      <x:c r="L611" s="55" t="n">
        <x:v>6184</x:v>
      </x:c>
      <x:c r="M611" s="55" t="n">
        <x:v>1117</x:v>
      </x:c>
      <x:c r="N611" s="55" t="n">
        <x:v>3051</x:v>
      </x:c>
      <x:c r="O611" s="55" t="n">
        <x:v>2016</x:v>
      </x:c>
      <x:c r="P611" s="55" t="n">
        <x:v>964</x:v>
      </x:c>
      <x:c r="Q611" s="55" t="n">
        <x:v>2624</x:v>
      </x:c>
      <x:c r="R611" s="55" t="n">
        <x:v>1858</x:v>
      </x:c>
      <x:c r="S611" s="55" t="n">
        <x:v>3095</x:v>
      </x:c>
      <x:c r="T611" s="55" t="n">
        <x:v>1065</x:v>
      </x:c>
      <x:c r="U611" s="55" t="n">
        <x:v>1984</x:v>
      </x:c>
      <x:c r="V611" s="55" t="n">
        <x:v>10020</x:v>
      </x:c>
      <x:c r="W611" s="55" t="n">
        <x:v>6947</x:v>
      </x:c>
      <x:c r="X611" s="55" t="n">
        <x:v>3073</x:v>
      </x:c>
      <x:c r="Y611" s="55" t="n">
        <x:v>2760</x:v>
      </x:c>
      <x:c r="Z611" s="55" t="n">
        <x:v>4252</x:v>
      </x:c>
      <x:c r="AA611" s="55" t="n">
        <x:v>3080</x:v>
      </x:c>
      <x:c r="AB611" s="55" t="n">
        <x:v>1005</x:v>
      </x:c>
      <x:c r="AC611" s="55" t="n">
        <x:v>8047</x:v>
      </x:c>
      <x:c r="AD611" s="55" t="n">
        <x:v>3428</x:v>
      </x:c>
      <x:c r="AE611" s="55" t="n">
        <x:v>10100</x:v>
      </x:c>
      <x:c r="AF611" s="55" t="n">
        <x:v>10020</x:v>
      </x:c>
      <x:c r="AG611" s="55" t="n">
        <x:v>80</x:v>
      </x:c>
      <x:c r="AH611" s="55" t="n">
        <x:v>688</x:v>
      </x:c>
      <x:c r="AI611" s="55" t="n">
        <x:v>9332</x:v>
      </x:c>
      <x:c r="AJ611" s="55" t="n">
        <x:v>211</x:v>
      </x:c>
      <x:c r="AK611" s="55" t="n">
        <x:v>1025</x:v>
      </x:c>
      <x:c r="AL611" s="55" t="n">
        <x:v>1258</x:v>
      </x:c>
      <x:c r="AM611" s="55" t="n">
        <x:v>5276</x:v>
      </x:c>
      <x:c r="AN611" s="55" t="n">
        <x:v>2250</x:v>
      </x:c>
      <x:c r="AO611" s="55" t="n">
        <x:v>0</x:v>
      </x:c>
      <x:c r="AP611" s="55" t="n">
        <x:v>2012</x:v>
      </x:c>
      <x:c r="AQ611" s="55" t="n">
        <x:v>927</x:v>
      </x:c>
    </x:row>
    <x:row r="612">
      <x:c r="A612" s="54" t="str">
        <x:v>T0_TABLE_BLOCK</x:v>
      </x:c>
      <x:c r="B612" s="54" t="n">
        <x:v>606</x:v>
      </x:c>
      <x:c r="C612" s="54" t="str">
        <x:v>NYC-V2-R01</x:v>
      </x:c>
      <x:c r="D612" s="54" t="str">
        <x:v>V2</x:v>
      </x:c>
      <x:c r="E612" s="54" t="str">
        <x:v>ADMITTED</x:v>
      </x:c>
      <x:c r="F612" s="55" t="n">
        <x:v>32911</x:v>
      </x:c>
      <x:c r="G612" s="55" t="n">
        <x:v>8020</x:v>
      </x:c>
      <x:c r="H612" s="55" t="n">
        <x:v>3428</x:v>
      </x:c>
      <x:c r="I612" s="55" t="n">
        <x:v>1448</x:v>
      </x:c>
      <x:c r="J612" s="55" t="n">
        <x:v>188</x:v>
      </x:c>
      <x:c r="K612" s="55" t="n">
        <x:v>32911</x:v>
      </x:c>
      <x:c r="L612" s="55" t="n">
        <x:v>7571</x:v>
      </x:c>
      <x:c r="M612" s="55" t="n">
        <x:v>2683</x:v>
      </x:c>
      <x:c r="N612" s="55" t="n">
        <x:v>2786</x:v>
      </x:c>
      <x:c r="O612" s="55" t="n">
        <x:v>2102</x:v>
      </x:c>
      <x:c r="P612" s="55" t="n">
        <x:v>983</x:v>
      </x:c>
      <x:c r="Q612" s="55" t="n">
        <x:v>3117</x:v>
      </x:c>
      <x:c r="R612" s="55" t="n">
        <x:v>2049</x:v>
      </x:c>
      <x:c r="S612" s="55" t="n">
        <x:v>3054</x:v>
      </x:c>
      <x:c r="T612" s="55" t="n">
        <x:v>1589</x:v>
      </x:c>
      <x:c r="U612" s="55" t="n">
        <x:v>1995</x:v>
      </x:c>
      <x:c r="V612" s="55" t="n">
        <x:v>10266</x:v>
      </x:c>
      <x:c r="W612" s="55" t="n">
        <x:v>7190</x:v>
      </x:c>
      <x:c r="X612" s="55" t="n">
        <x:v>3076</x:v>
      </x:c>
      <x:c r="Y612" s="55" t="n">
        <x:v>2599</x:v>
      </x:c>
      <x:c r="Z612" s="55" t="n">
        <x:v>3499</x:v>
      </x:c>
      <x:c r="AA612" s="55" t="n">
        <x:v>3295</x:v>
      </x:c>
      <x:c r="AB612" s="55" t="n">
        <x:v>970</x:v>
      </x:c>
      <x:c r="AC612" s="55" t="n">
        <x:v>7963</x:v>
      </x:c>
      <x:c r="AD612" s="55" t="n">
        <x:v>3324</x:v>
      </x:c>
      <x:c r="AE612" s="55" t="n">
        <x:v>10317</x:v>
      </x:c>
      <x:c r="AF612" s="55" t="n">
        <x:v>10266</x:v>
      </x:c>
      <x:c r="AG612" s="55" t="n">
        <x:v>51</x:v>
      </x:c>
      <x:c r="AH612" s="55" t="n">
        <x:v>424</x:v>
      </x:c>
      <x:c r="AI612" s="55" t="n">
        <x:v>9842</x:v>
      </x:c>
      <x:c r="AJ612" s="55" t="n">
        <x:v>353</x:v>
      </x:c>
      <x:c r="AK612" s="55" t="n">
        <x:v>941</x:v>
      </x:c>
      <x:c r="AL612" s="55" t="n">
        <x:v>1589</x:v>
      </x:c>
      <x:c r="AM612" s="55" t="n">
        <x:v>4431</x:v>
      </x:c>
      <x:c r="AN612" s="55" t="n">
        <x:v>2952</x:v>
      </x:c>
      <x:c r="AO612" s="55" t="n">
        <x:v>0</x:v>
      </x:c>
      <x:c r="AP612" s="55" t="n">
        <x:v>1816</x:v>
      </x:c>
      <x:c r="AQ612" s="55" t="n">
        <x:v>992</x:v>
      </x:c>
    </x:row>
    <x:row r="613">
      <x:c r="A613" s="54" t="str">
        <x:v>T0_TABLE_BLOCK</x:v>
      </x:c>
      <x:c r="B613" s="54" t="n">
        <x:v>607</x:v>
      </x:c>
      <x:c r="C613" s="54" t="str">
        <x:v>NYC-V2-R01</x:v>
      </x:c>
      <x:c r="D613" s="54" t="str">
        <x:v>V2</x:v>
      </x:c>
      <x:c r="E613" s="54" t="str">
        <x:v>ADMITTED</x:v>
      </x:c>
      <x:c r="F613" s="55" t="n">
        <x:v>29515</x:v>
      </x:c>
      <x:c r="G613" s="55" t="n">
        <x:v>7336</x:v>
      </x:c>
      <x:c r="H613" s="55" t="n">
        <x:v>2813</x:v>
      </x:c>
      <x:c r="I613" s="55" t="n">
        <x:v>961</x:v>
      </x:c>
      <x:c r="J613" s="55" t="n">
        <x:v>313</x:v>
      </x:c>
      <x:c r="K613" s="55" t="n">
        <x:v>29515</x:v>
      </x:c>
      <x:c r="L613" s="55" t="n">
        <x:v>5367</x:v>
      </x:c>
      <x:c r="M613" s="55" t="n">
        <x:v>1319</x:v>
      </x:c>
      <x:c r="N613" s="55" t="n">
        <x:v>2406</x:v>
      </x:c>
      <x:c r="O613" s="55" t="n">
        <x:v>1642</x:v>
      </x:c>
      <x:c r="P613" s="55" t="n">
        <x:v>1637</x:v>
      </x:c>
      <x:c r="Q613" s="55" t="n">
        <x:v>1112</x:v>
      </x:c>
      <x:c r="R613" s="55" t="n">
        <x:v>1327</x:v>
      </x:c>
      <x:c r="S613" s="55" t="n">
        <x:v>2612</x:v>
      </x:c>
      <x:c r="T613" s="55" t="n">
        <x:v>1288</x:v>
      </x:c>
      <x:c r="U613" s="55" t="n">
        <x:v>2637</x:v>
      </x:c>
      <x:c r="V613" s="55" t="n">
        <x:v>10549</x:v>
      </x:c>
      <x:c r="W613" s="55" t="n">
        <x:v>7591</x:v>
      </x:c>
      <x:c r="X613" s="55" t="n">
        <x:v>2958</x:v>
      </x:c>
      <x:c r="Y613" s="55" t="n">
        <x:v>2563</x:v>
      </x:c>
      <x:c r="Z613" s="55" t="n">
        <x:v>3565</x:v>
      </x:c>
      <x:c r="AA613" s="55" t="n">
        <x:v>2813</x:v>
      </x:c>
      <x:c r="AB613" s="55" t="n">
        <x:v>903</x:v>
      </x:c>
      <x:c r="AC613" s="55" t="n">
        <x:v>8418</x:v>
      </x:c>
      <x:c r="AD613" s="55" t="n">
        <x:v>2360</x:v>
      </x:c>
      <x:c r="AE613" s="55" t="n">
        <x:v>10600</x:v>
      </x:c>
      <x:c r="AF613" s="55" t="n">
        <x:v>10549</x:v>
      </x:c>
      <x:c r="AG613" s="55" t="n">
        <x:v>51</x:v>
      </x:c>
      <x:c r="AH613" s="55" t="n">
        <x:v>470</x:v>
      </x:c>
      <x:c r="AI613" s="55" t="n">
        <x:v>10079</x:v>
      </x:c>
      <x:c r="AJ613" s="55" t="n">
        <x:v>458</x:v>
      </x:c>
      <x:c r="AK613" s="55" t="n">
        <x:v>820</x:v>
      </x:c>
      <x:c r="AL613" s="55" t="n">
        <x:v>1866</x:v>
      </x:c>
      <x:c r="AM613" s="55" t="n">
        <x:v>4628</x:v>
      </x:c>
      <x:c r="AN613" s="55" t="n">
        <x:v>2699</x:v>
      </x:c>
      <x:c r="AO613" s="55" t="n">
        <x:v>78</x:v>
      </x:c>
      <x:c r="AP613" s="55" t="n">
        <x:v>2451</x:v>
      </x:c>
      <x:c r="AQ613" s="55" t="n">
        <x:v>950</x:v>
      </x:c>
    </x:row>
    <x:row r="614">
      <x:c r="A614" s="54" t="str">
        <x:v>T0_TABLE_BLOCK</x:v>
      </x:c>
      <x:c r="B614" s="54" t="n">
        <x:v>608</x:v>
      </x:c>
      <x:c r="C614" s="54" t="str">
        <x:v>NYC-V2-R01</x:v>
      </x:c>
      <x:c r="D614" s="54" t="str">
        <x:v>V2</x:v>
      </x:c>
      <x:c r="E614" s="54" t="str">
        <x:v>ADMITTED</x:v>
      </x:c>
      <x:c r="F614" s="55" t="n">
        <x:v>30800</x:v>
      </x:c>
      <x:c r="G614" s="55" t="n">
        <x:v>7081</x:v>
      </x:c>
      <x:c r="H614" s="55" t="n">
        <x:v>3217</x:v>
      </x:c>
      <x:c r="I614" s="55" t="n">
        <x:v>699</x:v>
      </x:c>
      <x:c r="J614" s="55" t="n">
        <x:v>116</x:v>
      </x:c>
      <x:c r="K614" s="55" t="n">
        <x:v>30800</x:v>
      </x:c>
      <x:c r="L614" s="55" t="n">
        <x:v>5654</x:v>
      </x:c>
      <x:c r="M614" s="55" t="n">
        <x:v>919</x:v>
      </x:c>
      <x:c r="N614" s="55" t="n">
        <x:v>2833</x:v>
      </x:c>
      <x:c r="O614" s="55" t="n">
        <x:v>1902</x:v>
      </x:c>
      <x:c r="P614" s="55" t="n">
        <x:v>1047</x:v>
      </x:c>
      <x:c r="Q614" s="55" t="n">
        <x:v>1787</x:v>
      </x:c>
      <x:c r="R614" s="55" t="n">
        <x:v>1770</x:v>
      </x:c>
      <x:c r="S614" s="55" t="n">
        <x:v>2053</x:v>
      </x:c>
      <x:c r="T614" s="55" t="n">
        <x:v>795</x:v>
      </x:c>
      <x:c r="U614" s="55" t="n">
        <x:v>2480</x:v>
      </x:c>
      <x:c r="V614" s="55" t="n">
        <x:v>10296</x:v>
      </x:c>
      <x:c r="W614" s="55" t="n">
        <x:v>7534</x:v>
      </x:c>
      <x:c r="X614" s="55" t="n">
        <x:v>2762</x:v>
      </x:c>
      <x:c r="Y614" s="55" t="n">
        <x:v>2431</x:v>
      </x:c>
      <x:c r="Z614" s="55" t="n">
        <x:v>3510</x:v>
      </x:c>
      <x:c r="AA614" s="55" t="n">
        <x:v>3217</x:v>
      </x:c>
      <x:c r="AB614" s="55" t="n">
        <x:v>1118</x:v>
      </x:c>
      <x:c r="AC614" s="55" t="n">
        <x:v>7843</x:v>
      </x:c>
      <x:c r="AD614" s="55" t="n">
        <x:v>3116</x:v>
      </x:c>
      <x:c r="AE614" s="55" t="n">
        <x:v>10341</x:v>
      </x:c>
      <x:c r="AF614" s="55" t="n">
        <x:v>10296</x:v>
      </x:c>
      <x:c r="AG614" s="55" t="n">
        <x:v>45</x:v>
      </x:c>
      <x:c r="AH614" s="55" t="n">
        <x:v>219</x:v>
      </x:c>
      <x:c r="AI614" s="55" t="n">
        <x:v>10077</x:v>
      </x:c>
      <x:c r="AJ614" s="55" t="n">
        <x:v>286</x:v>
      </x:c>
      <x:c r="AK614" s="55" t="n">
        <x:v>973</x:v>
      </x:c>
      <x:c r="AL614" s="55" t="n">
        <x:v>1313</x:v>
      </x:c>
      <x:c r="AM614" s="55" t="n">
        <x:v>4967</x:v>
      </x:c>
      <x:c r="AN614" s="55" t="n">
        <x:v>2675</x:v>
      </x:c>
      <x:c r="AO614" s="55" t="n">
        <x:v>82</x:v>
      </x:c>
      <x:c r="AP614" s="55" t="n">
        <x:v>2866</x:v>
      </x:c>
      <x:c r="AQ614" s="55" t="n">
        <x:v>977</x:v>
      </x:c>
    </x:row>
    <x:row r="615">
      <x:c r="A615" s="54" t="str">
        <x:v>T0_TABLE_BLOCK</x:v>
      </x:c>
      <x:c r="B615" s="54" t="n">
        <x:v>609</x:v>
      </x:c>
      <x:c r="C615" s="54" t="str">
        <x:v>NYC-V2-R01</x:v>
      </x:c>
      <x:c r="D615" s="54" t="str">
        <x:v>V2</x:v>
      </x:c>
      <x:c r="E615" s="54" t="str">
        <x:v>ADMITTED</x:v>
      </x:c>
      <x:c r="F615" s="55" t="n">
        <x:v>30884</x:v>
      </x:c>
      <x:c r="G615" s="55" t="n">
        <x:v>8844</x:v>
      </x:c>
      <x:c r="H615" s="55" t="n">
        <x:v>3130</x:v>
      </x:c>
      <x:c r="I615" s="55" t="n">
        <x:v>1123</x:v>
      </x:c>
      <x:c r="J615" s="55" t="n">
        <x:v>251</x:v>
      </x:c>
      <x:c r="K615" s="55" t="n">
        <x:v>30884</x:v>
      </x:c>
      <x:c r="L615" s="55" t="n">
        <x:v>6594</x:v>
      </x:c>
      <x:c r="M615" s="55" t="n">
        <x:v>1852</x:v>
      </x:c>
      <x:c r="N615" s="55" t="n">
        <x:v>2797</x:v>
      </x:c>
      <x:c r="O615" s="55" t="n">
        <x:v>1945</x:v>
      </x:c>
      <x:c r="P615" s="55" t="n">
        <x:v>666</x:v>
      </x:c>
      <x:c r="Q615" s="55" t="n">
        <x:v>3193</x:v>
      </x:c>
      <x:c r="R615" s="55" t="n">
        <x:v>2407</x:v>
      </x:c>
      <x:c r="S615" s="55" t="n">
        <x:v>1973</x:v>
      </x:c>
      <x:c r="T615" s="55" t="n">
        <x:v>1258</x:v>
      </x:c>
      <x:c r="U615" s="55" t="n">
        <x:v>2231</x:v>
      </x:c>
      <x:c r="V615" s="55" t="n">
        <x:v>10282</x:v>
      </x:c>
      <x:c r="W615" s="55" t="n">
        <x:v>7511</x:v>
      </x:c>
      <x:c r="X615" s="55" t="n">
        <x:v>2771</x:v>
      </x:c>
      <x:c r="Y615" s="55" t="n">
        <x:v>2449</x:v>
      </x:c>
      <x:c r="Z615" s="55" t="n">
        <x:v>3825</x:v>
      </x:c>
      <x:c r="AA615" s="55" t="n">
        <x:v>3075</x:v>
      </x:c>
      <x:c r="AB615" s="55" t="n">
        <x:v>1157</x:v>
      </x:c>
      <x:c r="AC615" s="55" t="n">
        <x:v>7804</x:v>
      </x:c>
      <x:c r="AD615" s="55" t="n">
        <x:v>3009</x:v>
      </x:c>
      <x:c r="AE615" s="55" t="n">
        <x:v>10421</x:v>
      </x:c>
      <x:c r="AF615" s="55" t="n">
        <x:v>10282</x:v>
      </x:c>
      <x:c r="AG615" s="55" t="n">
        <x:v>139</x:v>
      </x:c>
      <x:c r="AH615" s="55" t="n">
        <x:v>603</x:v>
      </x:c>
      <x:c r="AI615" s="55" t="n">
        <x:v>9679</x:v>
      </x:c>
      <x:c r="AJ615" s="55" t="n">
        <x:v>317</x:v>
      </x:c>
      <x:c r="AK615" s="55" t="n">
        <x:v>685</x:v>
      </x:c>
      <x:c r="AL615" s="55" t="n">
        <x:v>1129</x:v>
      </x:c>
      <x:c r="AM615" s="55" t="n">
        <x:v>5117</x:v>
      </x:c>
      <x:c r="AN615" s="55" t="n">
        <x:v>3034</x:v>
      </x:c>
      <x:c r="AO615" s="55" t="n">
        <x:v>0</x:v>
      </x:c>
      <x:c r="AP615" s="55" t="n">
        <x:v>2181</x:v>
      </x:c>
      <x:c r="AQ615" s="55" t="n">
        <x:v>970</x:v>
      </x:c>
    </x:row>
    <x:row r="616">
      <x:c r="A616" s="54" t="str">
        <x:v>T0_TABLE_BLOCK</x:v>
      </x:c>
      <x:c r="B616" s="54" t="n">
        <x:v>610</x:v>
      </x:c>
      <x:c r="C616" s="54" t="str">
        <x:v>NYC-V2-R01</x:v>
      </x:c>
      <x:c r="D616" s="54" t="str">
        <x:v>V2</x:v>
      </x:c>
      <x:c r="E616" s="54" t="str">
        <x:v>ADMITTED</x:v>
      </x:c>
      <x:c r="F616" s="55" t="n">
        <x:v>30676</x:v>
      </x:c>
      <x:c r="G616" s="55" t="n">
        <x:v>7567</x:v>
      </x:c>
      <x:c r="H616" s="55" t="n">
        <x:v>3070</x:v>
      </x:c>
      <x:c r="I616" s="55" t="n">
        <x:v>1468</x:v>
      </x:c>
      <x:c r="J616" s="55" t="n">
        <x:v>47</x:v>
      </x:c>
      <x:c r="K616" s="55" t="n">
        <x:v>27075</x:v>
      </x:c>
      <x:c r="L616" s="55" t="n">
        <x:v>4328</x:v>
      </x:c>
      <x:c r="M616" s="55" t="n">
        <x:v>0</x:v>
      </x:c>
      <x:c r="N616" s="55" t="n">
        <x:v>2222</x:v>
      </x:c>
      <x:c r="O616" s="55" t="n">
        <x:v>2106</x:v>
      </x:c>
      <x:c r="P616" s="55" t="n">
        <x:v>464</x:v>
      </x:c>
      <x:c r="Q616" s="55" t="n">
        <x:v>2094</x:v>
      </x:c>
      <x:c r="R616" s="55" t="n">
        <x:v>1747</x:v>
      </x:c>
      <x:c r="S616" s="55" t="n">
        <x:v>2311</x:v>
      </x:c>
      <x:c r="T616" s="55" t="n">
        <x:v>1124</x:v>
      </x:c>
      <x:c r="U616" s="55" t="n">
        <x:v>1834</x:v>
      </x:c>
      <x:c r="V616" s="55" t="n">
        <x:v>10228</x:v>
      </x:c>
      <x:c r="W616" s="55" t="n">
        <x:v>7414</x:v>
      </x:c>
      <x:c r="X616" s="55" t="n">
        <x:v>2814</x:v>
      </x:c>
      <x:c r="Y616" s="55" t="n">
        <x:v>2208</x:v>
      </x:c>
      <x:c r="Z616" s="55" t="n">
        <x:v>3775</x:v>
      </x:c>
      <x:c r="AA616" s="55" t="n">
        <x:v>2979</x:v>
      </x:c>
      <x:c r="AB616" s="55" t="n">
        <x:v>1162</x:v>
      </x:c>
      <x:c r="AC616" s="55" t="n">
        <x:v>8364</x:v>
      </x:c>
      <x:c r="AD616" s="55" t="n">
        <x:v>2963</x:v>
      </x:c>
      <x:c r="AE616" s="55" t="n">
        <x:v>10300</x:v>
      </x:c>
      <x:c r="AF616" s="55" t="n">
        <x:v>10228</x:v>
      </x:c>
      <x:c r="AG616" s="55" t="n">
        <x:v>72</x:v>
      </x:c>
      <x:c r="AH616" s="55" t="n">
        <x:v>172</x:v>
      </x:c>
      <x:c r="AI616" s="55" t="n">
        <x:v>10056</x:v>
      </x:c>
      <x:c r="AJ616" s="55" t="n">
        <x:v>274</x:v>
      </x:c>
      <x:c r="AK616" s="55" t="n">
        <x:v>1185</x:v>
      </x:c>
      <x:c r="AL616" s="55" t="n">
        <x:v>1432</x:v>
      </x:c>
      <x:c r="AM616" s="55" t="n">
        <x:v>4735</x:v>
      </x:c>
      <x:c r="AN616" s="55" t="n">
        <x:v>2597</x:v>
      </x:c>
      <x:c r="AO616" s="55" t="n">
        <x:v>5</x:v>
      </x:c>
      <x:c r="AP616" s="55" t="n">
        <x:v>2268</x:v>
      </x:c>
      <x:c r="AQ616" s="55" t="n">
        <x:v>974</x:v>
      </x:c>
    </x:row>
    <x:row r="617">
      <x:c r="A617" s="54" t="str">
        <x:v>T0_TABLE_BLOCK</x:v>
      </x:c>
      <x:c r="B617" s="54" t="n">
        <x:v>611</x:v>
      </x:c>
      <x:c r="C617" s="54" t="str">
        <x:v>NYC-V2-R01</x:v>
      </x:c>
      <x:c r="D617" s="54" t="str">
        <x:v>V2</x:v>
      </x:c>
      <x:c r="E617" s="54" t="str">
        <x:v>ADMITTED</x:v>
      </x:c>
      <x:c r="F617" s="55" t="n">
        <x:v>32838</x:v>
      </x:c>
      <x:c r="G617" s="55" t="n">
        <x:v>7591</x:v>
      </x:c>
      <x:c r="H617" s="55" t="n">
        <x:v>3513</x:v>
      </x:c>
      <x:c r="I617" s="55" t="n">
        <x:v>1450</x:v>
      </x:c>
      <x:c r="J617" s="55" t="n">
        <x:v>218</x:v>
      </x:c>
      <x:c r="K617" s="55" t="n">
        <x:v>32079</x:v>
      </x:c>
      <x:c r="L617" s="55" t="n">
        <x:v>5660</x:v>
      </x:c>
      <x:c r="M617" s="55" t="n">
        <x:v>1451</x:v>
      </x:c>
      <x:c r="N617" s="55" t="n">
        <x:v>2760</x:v>
      </x:c>
      <x:c r="O617" s="55" t="n">
        <x:v>1449</x:v>
      </x:c>
      <x:c r="P617" s="55" t="n">
        <x:v>1122</x:v>
      </x:c>
      <x:c r="Q617" s="55" t="n">
        <x:v>3703</x:v>
      </x:c>
      <x:c r="R617" s="55" t="n">
        <x:v>1538</x:v>
      </x:c>
      <x:c r="S617" s="55" t="n">
        <x:v>2645</x:v>
      </x:c>
      <x:c r="T617" s="55" t="n">
        <x:v>1326</x:v>
      </x:c>
      <x:c r="U617" s="55" t="n">
        <x:v>2134</x:v>
      </x:c>
      <x:c r="V617" s="55" t="n">
        <x:v>10592</x:v>
      </x:c>
      <x:c r="W617" s="55" t="n">
        <x:v>7267</x:v>
      </x:c>
      <x:c r="X617" s="55" t="n">
        <x:v>3325</x:v>
      </x:c>
      <x:c r="Y617" s="55" t="n">
        <x:v>2879</x:v>
      </x:c>
      <x:c r="Z617" s="55" t="n">
        <x:v>4152</x:v>
      </x:c>
      <x:c r="AA617" s="55" t="n">
        <x:v>2708</x:v>
      </x:c>
      <x:c r="AB617" s="55" t="n">
        <x:v>1303</x:v>
      </x:c>
      <x:c r="AC617" s="55" t="n">
        <x:v>8054</x:v>
      </x:c>
      <x:c r="AD617" s="55" t="n">
        <x:v>2542</x:v>
      </x:c>
      <x:c r="AE617" s="55" t="n">
        <x:v>10592</x:v>
      </x:c>
      <x:c r="AF617" s="55" t="n">
        <x:v>10592</x:v>
      </x:c>
      <x:c r="AG617" s="55" t="n">
        <x:v>0</x:v>
      </x:c>
      <x:c r="AH617" s="55" t="n">
        <x:v>489</x:v>
      </x:c>
      <x:c r="AI617" s="55" t="n">
        <x:v>10103</x:v>
      </x:c>
      <x:c r="AJ617" s="55" t="n">
        <x:v>201</x:v>
      </x:c>
      <x:c r="AK617" s="55" t="n">
        <x:v>703</x:v>
      </x:c>
      <x:c r="AL617" s="55" t="n">
        <x:v>1194</x:v>
      </x:c>
      <x:c r="AM617" s="55" t="n">
        <x:v>5030</x:v>
      </x:c>
      <x:c r="AN617" s="55" t="n">
        <x:v>3411</x:v>
      </x:c>
      <x:c r="AO617" s="55" t="n">
        <x:v>53</x:v>
      </x:c>
      <x:c r="AP617" s="55" t="n">
        <x:v>2109</x:v>
      </x:c>
      <x:c r="AQ617" s="55" t="n">
        <x:v>924</x:v>
      </x:c>
    </x:row>
    <x:row r="618">
      <x:c r="A618" s="54" t="str">
        <x:v>T0_TABLE_BLOCK</x:v>
      </x:c>
      <x:c r="B618" s="54" t="n">
        <x:v>612</x:v>
      </x:c>
      <x:c r="C618" s="54" t="str">
        <x:v>NYC-V2-R01</x:v>
      </x:c>
      <x:c r="D618" s="54" t="str">
        <x:v>V2</x:v>
      </x:c>
      <x:c r="E618" s="54" t="str">
        <x:v>ADMITTED</x:v>
      </x:c>
      <x:c r="F618" s="55" t="n">
        <x:v>31752</x:v>
      </x:c>
      <x:c r="G618" s="55" t="n">
        <x:v>8225</x:v>
      </x:c>
      <x:c r="H618" s="55" t="n">
        <x:v>3153</x:v>
      </x:c>
      <x:c r="I618" s="55" t="n">
        <x:v>533</x:v>
      </x:c>
      <x:c r="J618" s="55" t="n">
        <x:v>161</x:v>
      </x:c>
      <x:c r="K618" s="55" t="n">
        <x:v>31752</x:v>
      </x:c>
      <x:c r="L618" s="55" t="n">
        <x:v>5790</x:v>
      </x:c>
      <x:c r="M618" s="55" t="n">
        <x:v>1905</x:v>
      </x:c>
      <x:c r="N618" s="55" t="n">
        <x:v>2533</x:v>
      </x:c>
      <x:c r="O618" s="55" t="n">
        <x:v>1352</x:v>
      </x:c>
      <x:c r="P618" s="55" t="n">
        <x:v>889</x:v>
      </x:c>
      <x:c r="Q618" s="55" t="n">
        <x:v>2784</x:v>
      </x:c>
      <x:c r="R618" s="55" t="n">
        <x:v>1935</x:v>
      </x:c>
      <x:c r="S618" s="55" t="n">
        <x:v>1816</x:v>
      </x:c>
      <x:c r="T618" s="55" t="n">
        <x:v>1162</x:v>
      </x:c>
      <x:c r="U618" s="55" t="n">
        <x:v>1975</x:v>
      </x:c>
      <x:c r="V618" s="55" t="n">
        <x:v>10794</x:v>
      </x:c>
      <x:c r="W618" s="55" t="n">
        <x:v>7915</x:v>
      </x:c>
      <x:c r="X618" s="55" t="n">
        <x:v>2879</x:v>
      </x:c>
      <x:c r="Y618" s="55" t="n">
        <x:v>2589</x:v>
      </x:c>
      <x:c r="Z618" s="55" t="n">
        <x:v>3877</x:v>
      </x:c>
      <x:c r="AA618" s="55" t="n">
        <x:v>3153</x:v>
      </x:c>
      <x:c r="AB618" s="55" t="n">
        <x:v>1445</x:v>
      </x:c>
      <x:c r="AC618" s="55" t="n">
        <x:v>7765</x:v>
      </x:c>
      <x:c r="AD618" s="55" t="n">
        <x:v>2346</x:v>
      </x:c>
      <x:c r="AE618" s="55" t="n">
        <x:v>10889</x:v>
      </x:c>
      <x:c r="AF618" s="55" t="n">
        <x:v>10794</x:v>
      </x:c>
      <x:c r="AG618" s="55" t="n">
        <x:v>95</x:v>
      </x:c>
      <x:c r="AH618" s="55" t="n">
        <x:v>454</x:v>
      </x:c>
      <x:c r="AI618" s="55" t="n">
        <x:v>10340</x:v>
      </x:c>
      <x:c r="AJ618" s="55" t="n">
        <x:v>270</x:v>
      </x:c>
      <x:c r="AK618" s="55" t="n">
        <x:v>1097</x:v>
      </x:c>
      <x:c r="AL618" s="55" t="n">
        <x:v>1653</x:v>
      </x:c>
      <x:c r="AM618" s="55" t="n">
        <x:v>4526</x:v>
      </x:c>
      <x:c r="AN618" s="55" t="n">
        <x:v>3248</x:v>
      </x:c>
      <x:c r="AO618" s="55" t="n">
        <x:v>0</x:v>
      </x:c>
      <x:c r="AP618" s="55" t="n">
        <x:v>2466</x:v>
      </x:c>
      <x:c r="AQ618" s="55" t="n">
        <x:v>910</x:v>
      </x:c>
    </x:row>
    <x:row r="619">
      <x:c r="A619" s="54" t="str">
        <x:v>T0_TABLE_BLOCK</x:v>
      </x:c>
      <x:c r="B619" s="54" t="n">
        <x:v>613</x:v>
      </x:c>
      <x:c r="C619" s="54" t="str">
        <x:v>NYC-V2-R01</x:v>
      </x:c>
      <x:c r="D619" s="54" t="str">
        <x:v>V2</x:v>
      </x:c>
      <x:c r="E619" s="54" t="str">
        <x:v>ADMITTED</x:v>
      </x:c>
      <x:c r="F619" s="55" t="n">
        <x:v>31338</x:v>
      </x:c>
      <x:c r="G619" s="55" t="n">
        <x:v>7625</x:v>
      </x:c>
      <x:c r="H619" s="55" t="n">
        <x:v>3627</x:v>
      </x:c>
      <x:c r="I619" s="55" t="n">
        <x:v>1647</x:v>
      </x:c>
      <x:c r="J619" s="55" t="n">
        <x:v>268</x:v>
      </x:c>
      <x:c r="K619" s="55" t="n">
        <x:v>31338</x:v>
      </x:c>
      <x:c r="L619" s="55" t="n">
        <x:v>5892</x:v>
      </x:c>
      <x:c r="M619" s="55" t="n">
        <x:v>1434</x:v>
      </x:c>
      <x:c r="N619" s="55" t="n">
        <x:v>2872</x:v>
      </x:c>
      <x:c r="O619" s="55" t="n">
        <x:v>1586</x:v>
      </x:c>
      <x:c r="P619" s="55" t="n">
        <x:v>1014</x:v>
      </x:c>
      <x:c r="Q619" s="55" t="n">
        <x:v>696</x:v>
      </x:c>
      <x:c r="R619" s="55" t="n">
        <x:v>1854</x:v>
      </x:c>
      <x:c r="S619" s="55" t="n">
        <x:v>3003</x:v>
      </x:c>
      <x:c r="T619" s="55" t="n">
        <x:v>1701</x:v>
      </x:c>
      <x:c r="U619" s="55" t="n">
        <x:v>1807</x:v>
      </x:c>
      <x:c r="V619" s="55" t="n">
        <x:v>10391</x:v>
      </x:c>
      <x:c r="W619" s="55" t="n">
        <x:v>7177</x:v>
      </x:c>
      <x:c r="X619" s="55" t="n">
        <x:v>3214</x:v>
      </x:c>
      <x:c r="Y619" s="55" t="n">
        <x:v>2821</x:v>
      </x:c>
      <x:c r="Z619" s="55" t="n">
        <x:v>3532</x:v>
      </x:c>
      <x:c r="AA619" s="55" t="n">
        <x:v>2933</x:v>
      </x:c>
      <x:c r="AB619" s="55" t="n">
        <x:v>1013</x:v>
      </x:c>
      <x:c r="AC619" s="55" t="n">
        <x:v>8368</x:v>
      </x:c>
      <x:c r="AD619" s="55" t="n">
        <x:v>3222</x:v>
      </x:c>
      <x:c r="AE619" s="55" t="n">
        <x:v>10424</x:v>
      </x:c>
      <x:c r="AF619" s="55" t="n">
        <x:v>10391</x:v>
      </x:c>
      <x:c r="AG619" s="55" t="n">
        <x:v>33</x:v>
      </x:c>
      <x:c r="AH619" s="55" t="n">
        <x:v>368</x:v>
      </x:c>
      <x:c r="AI619" s="55" t="n">
        <x:v>10023</x:v>
      </x:c>
      <x:c r="AJ619" s="55" t="n">
        <x:v>329</x:v>
      </x:c>
      <x:c r="AK619" s="55" t="n">
        <x:v>1003</x:v>
      </x:c>
      <x:c r="AL619" s="55" t="n">
        <x:v>1933</x:v>
      </x:c>
      <x:c r="AM619" s="55" t="n">
        <x:v>4363</x:v>
      </x:c>
      <x:c r="AN619" s="55" t="n">
        <x:v>2743</x:v>
      </x:c>
      <x:c r="AO619" s="55" t="n">
        <x:v>20</x:v>
      </x:c>
      <x:c r="AP619" s="55" t="n">
        <x:v>2337</x:v>
      </x:c>
      <x:c r="AQ619" s="55" t="n">
        <x:v>948</x:v>
      </x:c>
    </x:row>
    <x:row r="620">
      <x:c r="A620" s="54" t="str">
        <x:v>T0_TABLE_BLOCK</x:v>
      </x:c>
      <x:c r="B620" s="54" t="n">
        <x:v>614</x:v>
      </x:c>
      <x:c r="C620" s="54" t="str">
        <x:v>NYC-V2-R01</x:v>
      </x:c>
      <x:c r="D620" s="54" t="str">
        <x:v>V2</x:v>
      </x:c>
      <x:c r="E620" s="54" t="str">
        <x:v>ADMITTED</x:v>
      </x:c>
      <x:c r="F620" s="55" t="n">
        <x:v>31752</x:v>
      </x:c>
      <x:c r="G620" s="55" t="n">
        <x:v>8616</x:v>
      </x:c>
      <x:c r="H620" s="55" t="n">
        <x:v>3288</x:v>
      </x:c>
      <x:c r="I620" s="55" t="n">
        <x:v>1650</x:v>
      </x:c>
      <x:c r="J620" s="55" t="n">
        <x:v>187</x:v>
      </x:c>
      <x:c r="K620" s="55" t="n">
        <x:v>29677</x:v>
      </x:c>
      <x:c r="L620" s="55" t="n">
        <x:v>6225</x:v>
      </x:c>
      <x:c r="M620" s="55" t="n">
        <x:v>1869</x:v>
      </x:c>
      <x:c r="N620" s="55" t="n">
        <x:v>2713</x:v>
      </x:c>
      <x:c r="O620" s="55" t="n">
        <x:v>1643</x:v>
      </x:c>
      <x:c r="P620" s="55" t="n">
        <x:v>640</x:v>
      </x:c>
      <x:c r="Q620" s="55" t="n">
        <x:v>2340</x:v>
      </x:c>
      <x:c r="R620" s="55" t="n">
        <x:v>2191</x:v>
      </x:c>
      <x:c r="S620" s="55" t="n">
        <x:v>3201</x:v>
      </x:c>
      <x:c r="T620" s="55" t="n">
        <x:v>1179</x:v>
      </x:c>
      <x:c r="U620" s="55" t="n">
        <x:v>2389</x:v>
      </x:c>
      <x:c r="V620" s="55" t="n">
        <x:v>9923</x:v>
      </x:c>
      <x:c r="W620" s="55" t="n">
        <x:v>7026</x:v>
      </x:c>
      <x:c r="X620" s="55" t="n">
        <x:v>2897</x:v>
      </x:c>
      <x:c r="Y620" s="55" t="n">
        <x:v>2602</x:v>
      </x:c>
      <x:c r="Z620" s="55" t="n">
        <x:v>3798</x:v>
      </x:c>
      <x:c r="AA620" s="55" t="n">
        <x:v>3119</x:v>
      </x:c>
      <x:c r="AB620" s="55" t="n">
        <x:v>1338</x:v>
      </x:c>
      <x:c r="AC620" s="55" t="n">
        <x:v>7683</x:v>
      </x:c>
      <x:c r="AD620" s="55" t="n">
        <x:v>2283</x:v>
      </x:c>
      <x:c r="AE620" s="55" t="n">
        <x:v>9923</x:v>
      </x:c>
      <x:c r="AF620" s="55" t="n">
        <x:v>9923</x:v>
      </x:c>
      <x:c r="AG620" s="55" t="n">
        <x:v>0</x:v>
      </x:c>
      <x:c r="AH620" s="55" t="n">
        <x:v>466</x:v>
      </x:c>
      <x:c r="AI620" s="55" t="n">
        <x:v>9457</x:v>
      </x:c>
      <x:c r="AJ620" s="55" t="n">
        <x:v>375</x:v>
      </x:c>
      <x:c r="AK620" s="55" t="n">
        <x:v>1025</x:v>
      </x:c>
      <x:c r="AL620" s="55" t="n">
        <x:v>1759</x:v>
      </x:c>
      <x:c r="AM620" s="55" t="n">
        <x:v>4574</x:v>
      </x:c>
      <x:c r="AN620" s="55" t="n">
        <x:v>2190</x:v>
      </x:c>
      <x:c r="AO620" s="55" t="n">
        <x:v>0</x:v>
      </x:c>
      <x:c r="AP620" s="55" t="n">
        <x:v>2697</x:v>
      </x:c>
      <x:c r="AQ620" s="55" t="n">
        <x:v>959</x:v>
      </x:c>
    </x:row>
    <x:row r="621">
      <x:c r="A621" s="54" t="str">
        <x:v>T0_TABLE_BLOCK</x:v>
      </x:c>
      <x:c r="B621" s="54" t="n">
        <x:v>615</x:v>
      </x:c>
      <x:c r="C621" s="54" t="str">
        <x:v>NYC-V2-R01</x:v>
      </x:c>
      <x:c r="D621" s="54" t="str">
        <x:v>V2</x:v>
      </x:c>
      <x:c r="E621" s="54" t="str">
        <x:v>ADMITTED</x:v>
      </x:c>
      <x:c r="F621" s="55" t="n">
        <x:v>29905</x:v>
      </x:c>
      <x:c r="G621" s="55" t="n">
        <x:v>7465</x:v>
      </x:c>
      <x:c r="H621" s="55" t="n">
        <x:v>3629</x:v>
      </x:c>
      <x:c r="I621" s="55" t="n">
        <x:v>850</x:v>
      </x:c>
      <x:c r="J621" s="55" t="n">
        <x:v>72</x:v>
      </x:c>
      <x:c r="K621" s="55" t="n">
        <x:v>29905</x:v>
      </x:c>
      <x:c r="L621" s="55" t="n">
        <x:v>5399</x:v>
      </x:c>
      <x:c r="M621" s="55" t="n">
        <x:v>2099</x:v>
      </x:c>
      <x:c r="N621" s="55" t="n">
        <x:v>1568</x:v>
      </x:c>
      <x:c r="O621" s="55" t="n">
        <x:v>1732</x:v>
      </x:c>
      <x:c r="P621" s="55" t="n">
        <x:v>761</x:v>
      </x:c>
      <x:c r="Q621" s="55" t="n">
        <x:v>3059</x:v>
      </x:c>
      <x:c r="R621" s="55" t="n">
        <x:v>1788</x:v>
      </x:c>
      <x:c r="S621" s="55" t="n">
        <x:v>2782</x:v>
      </x:c>
      <x:c r="T621" s="55" t="n">
        <x:v>1285</x:v>
      </x:c>
      <x:c r="U621" s="55" t="n">
        <x:v>1523</x:v>
      </x:c>
      <x:c r="V621" s="55" t="n">
        <x:v>10117</x:v>
      </x:c>
      <x:c r="W621" s="55" t="n">
        <x:v>6617</x:v>
      </x:c>
      <x:c r="X621" s="55" t="n">
        <x:v>3500</x:v>
      </x:c>
      <x:c r="Y621" s="55" t="n">
        <x:v>2839</x:v>
      </x:c>
      <x:c r="Z621" s="55" t="n">
        <x:v>3492</x:v>
      </x:c>
      <x:c r="AA621" s="55" t="n">
        <x:v>3629</x:v>
      </x:c>
      <x:c r="AB621" s="55" t="n">
        <x:v>998</x:v>
      </x:c>
      <x:c r="AC621" s="55" t="n">
        <x:v>8301</x:v>
      </x:c>
      <x:c r="AD621" s="55" t="n">
        <x:v>2913</x:v>
      </x:c>
      <x:c r="AE621" s="55" t="n">
        <x:v>10136</x:v>
      </x:c>
      <x:c r="AF621" s="55" t="n">
        <x:v>10117</x:v>
      </x:c>
      <x:c r="AG621" s="55" t="n">
        <x:v>19</x:v>
      </x:c>
      <x:c r="AH621" s="55" t="n">
        <x:v>297</x:v>
      </x:c>
      <x:c r="AI621" s="55" t="n">
        <x:v>9820</x:v>
      </x:c>
      <x:c r="AJ621" s="55" t="n">
        <x:v>456</x:v>
      </x:c>
      <x:c r="AK621" s="55" t="n">
        <x:v>688</x:v>
      </x:c>
      <x:c r="AL621" s="55" t="n">
        <x:v>1739</x:v>
      </x:c>
      <x:c r="AM621" s="55" t="n">
        <x:v>4363</x:v>
      </x:c>
      <x:c r="AN621" s="55" t="n">
        <x:v>2846</x:v>
      </x:c>
      <x:c r="AO621" s="55" t="n">
        <x:v>25</x:v>
      </x:c>
      <x:c r="AP621" s="55" t="n">
        <x:v>1733</x:v>
      </x:c>
      <x:c r="AQ621" s="55" t="n">
        <x:v>940</x:v>
      </x:c>
    </x:row>
    <x:row r="622">
      <x:c r="A622" s="54" t="str">
        <x:v>T0_TABLE_BLOCK</x:v>
      </x:c>
      <x:c r="B622" s="54" t="n">
        <x:v>616</x:v>
      </x:c>
      <x:c r="C622" s="54" t="str">
        <x:v>NYC-V2-R01</x:v>
      </x:c>
      <x:c r="D622" s="54" t="str">
        <x:v>V2</x:v>
      </x:c>
      <x:c r="E622" s="54" t="str">
        <x:v>ADMITTED</x:v>
      </x:c>
      <x:c r="F622" s="55" t="n">
        <x:v>31500</x:v>
      </x:c>
      <x:c r="G622" s="55" t="n">
        <x:v>8010</x:v>
      </x:c>
      <x:c r="H622" s="55" t="n">
        <x:v>3728</x:v>
      </x:c>
      <x:c r="I622" s="55" t="n">
        <x:v>1625</x:v>
      </x:c>
      <x:c r="J622" s="55" t="n">
        <x:v>373</x:v>
      </x:c>
      <x:c r="K622" s="55" t="n">
        <x:v>27185</x:v>
      </x:c>
      <x:c r="L622" s="55" t="n">
        <x:v>4555</x:v>
      </x:c>
      <x:c r="M622" s="55" t="n">
        <x:v>10</x:v>
      </x:c>
      <x:c r="N622" s="55" t="n">
        <x:v>2645</x:v>
      </x:c>
      <x:c r="O622" s="55" t="n">
        <x:v>1900</x:v>
      </x:c>
      <x:c r="P622" s="55" t="n">
        <x:v>1330</x:v>
      </x:c>
      <x:c r="Q622" s="55" t="n">
        <x:v>2174</x:v>
      </x:c>
      <x:c r="R622" s="55" t="n">
        <x:v>2130</x:v>
      </x:c>
      <x:c r="S622" s="55" t="n">
        <x:v>2765</x:v>
      </x:c>
      <x:c r="T622" s="55" t="n">
        <x:v>820</x:v>
      </x:c>
      <x:c r="U622" s="55" t="n">
        <x:v>1941</x:v>
      </x:c>
      <x:c r="V622" s="55" t="n">
        <x:v>10560</x:v>
      </x:c>
      <x:c r="W622" s="55" t="n">
        <x:v>7392</x:v>
      </x:c>
      <x:c r="X622" s="55" t="n">
        <x:v>3168</x:v>
      </x:c>
      <x:c r="Y622" s="55" t="n">
        <x:v>2696</x:v>
      </x:c>
      <x:c r="Z622" s="55" t="n">
        <x:v>3750</x:v>
      </x:c>
      <x:c r="AA622" s="55" t="n">
        <x:v>3019</x:v>
      </x:c>
      <x:c r="AB622" s="55" t="n">
        <x:v>1094</x:v>
      </x:c>
      <x:c r="AC622" s="55" t="n">
        <x:v>8743</x:v>
      </x:c>
      <x:c r="AD622" s="55" t="n">
        <x:v>3480</x:v>
      </x:c>
      <x:c r="AE622" s="55" t="n">
        <x:v>10595</x:v>
      </x:c>
      <x:c r="AF622" s="55" t="n">
        <x:v>10560</x:v>
      </x:c>
      <x:c r="AG622" s="55" t="n">
        <x:v>35</x:v>
      </x:c>
      <x:c r="AH622" s="55" t="n">
        <x:v>351</x:v>
      </x:c>
      <x:c r="AI622" s="55" t="n">
        <x:v>10209</x:v>
      </x:c>
      <x:c r="AJ622" s="55" t="n">
        <x:v>287</x:v>
      </x:c>
      <x:c r="AK622" s="55" t="n">
        <x:v>935</x:v>
      </x:c>
      <x:c r="AL622" s="55" t="n">
        <x:v>1192</x:v>
      </x:c>
      <x:c r="AM622" s="55" t="n">
        <x:v>5302</x:v>
      </x:c>
      <x:c r="AN622" s="55" t="n">
        <x:v>2788</x:v>
      </x:c>
      <x:c r="AO622" s="55" t="n">
        <x:v>56</x:v>
      </x:c>
      <x:c r="AP622" s="55" t="n">
        <x:v>2640</x:v>
      </x:c>
      <x:c r="AQ622" s="55" t="n">
        <x:v>974</x:v>
      </x:c>
    </x:row>
    <x:row r="623">
      <x:c r="A623" s="54" t="str">
        <x:v>T0_TABLE_BLOCK</x:v>
      </x:c>
      <x:c r="B623" s="54" t="n">
        <x:v>617</x:v>
      </x:c>
      <x:c r="C623" s="54" t="str">
        <x:v>NYC-V2-R01</x:v>
      </x:c>
      <x:c r="D623" s="54" t="str">
        <x:v>V2</x:v>
      </x:c>
      <x:c r="E623" s="54" t="str">
        <x:v>ADMITTED</x:v>
      </x:c>
      <x:c r="F623" s="55" t="n">
        <x:v>31244</x:v>
      </x:c>
      <x:c r="G623" s="55" t="n">
        <x:v>8645</x:v>
      </x:c>
      <x:c r="H623" s="55" t="n">
        <x:v>3667</x:v>
      </x:c>
      <x:c r="I623" s="55" t="n">
        <x:v>1226</x:v>
      </x:c>
      <x:c r="J623" s="55" t="n">
        <x:v>70</x:v>
      </x:c>
      <x:c r="K623" s="55" t="n">
        <x:v>31244</x:v>
      </x:c>
      <x:c r="L623" s="55" t="n">
        <x:v>6319</x:v>
      </x:c>
      <x:c r="M623" s="55" t="n">
        <x:v>2030</x:v>
      </x:c>
      <x:c r="N623" s="55" t="n">
        <x:v>2802</x:v>
      </x:c>
      <x:c r="O623" s="55" t="n">
        <x:v>1487</x:v>
      </x:c>
      <x:c r="P623" s="55" t="n">
        <x:v>563</x:v>
      </x:c>
      <x:c r="Q623" s="55" t="n">
        <x:v>2196</x:v>
      </x:c>
      <x:c r="R623" s="55" t="n">
        <x:v>1319</x:v>
      </x:c>
      <x:c r="S623" s="55" t="n">
        <x:v>2198</x:v>
      </x:c>
      <x:c r="T623" s="55" t="n">
        <x:v>1389</x:v>
      </x:c>
      <x:c r="U623" s="55" t="n">
        <x:v>2093</x:v>
      </x:c>
      <x:c r="V623" s="55" t="n">
        <x:v>10450</x:v>
      </x:c>
      <x:c r="W623" s="55" t="n">
        <x:v>7276</x:v>
      </x:c>
      <x:c r="X623" s="55" t="n">
        <x:v>3174</x:v>
      </x:c>
      <x:c r="Y623" s="55" t="n">
        <x:v>2799</x:v>
      </x:c>
      <x:c r="Z623" s="55" t="n">
        <x:v>3883</x:v>
      </x:c>
      <x:c r="AA623" s="55" t="n">
        <x:v>3667</x:v>
      </x:c>
      <x:c r="AB623" s="55" t="n">
        <x:v>1267</x:v>
      </x:c>
      <x:c r="AC623" s="55" t="n">
        <x:v>7536</x:v>
      </x:c>
      <x:c r="AD623" s="55" t="n">
        <x:v>2670</x:v>
      </x:c>
      <x:c r="AE623" s="55" t="n">
        <x:v>10525</x:v>
      </x:c>
      <x:c r="AF623" s="55" t="n">
        <x:v>10450</x:v>
      </x:c>
      <x:c r="AG623" s="55" t="n">
        <x:v>75</x:v>
      </x:c>
      <x:c r="AH623" s="55" t="n">
        <x:v>291</x:v>
      </x:c>
      <x:c r="AI623" s="55" t="n">
        <x:v>10159</x:v>
      </x:c>
      <x:c r="AJ623" s="55" t="n">
        <x:v>480</x:v>
      </x:c>
      <x:c r="AK623" s="55" t="n">
        <x:v>1622</x:v>
      </x:c>
      <x:c r="AL623" s="55" t="n">
        <x:v>1616</x:v>
      </x:c>
      <x:c r="AM623" s="55" t="n">
        <x:v>4971</x:v>
      </x:c>
      <x:c r="AN623" s="55" t="n">
        <x:v>1761</x:v>
      </x:c>
      <x:c r="AO623" s="55" t="n">
        <x:v>0</x:v>
      </x:c>
      <x:c r="AP623" s="55" t="n">
        <x:v>2654</x:v>
      </x:c>
      <x:c r="AQ623" s="55" t="n">
        <x:v>985</x:v>
      </x:c>
    </x:row>
    <x:row r="624">
      <x:c r="A624" s="54" t="str">
        <x:v>T0_TABLE_BLOCK</x:v>
      </x:c>
      <x:c r="B624" s="54" t="n">
        <x:v>618</x:v>
      </x:c>
      <x:c r="C624" s="54" t="str">
        <x:v>NYC-V2-R01</x:v>
      </x:c>
      <x:c r="D624" s="54" t="str">
        <x:v>V2</x:v>
      </x:c>
      <x:c r="E624" s="54" t="str">
        <x:v>ADMITTED</x:v>
      </x:c>
      <x:c r="F624" s="55" t="n">
        <x:v>31303</x:v>
      </x:c>
      <x:c r="G624" s="55" t="n">
        <x:v>6769</x:v>
      </x:c>
      <x:c r="H624" s="55" t="n">
        <x:v>3341</x:v>
      </x:c>
      <x:c r="I624" s="55" t="n">
        <x:v>1373</x:v>
      </x:c>
      <x:c r="J624" s="55" t="n">
        <x:v>244</x:v>
      </x:c>
      <x:c r="K624" s="55" t="n">
        <x:v>29452</x:v>
      </x:c>
      <x:c r="L624" s="55" t="n">
        <x:v>5291</x:v>
      </x:c>
      <x:c r="M624" s="55" t="n">
        <x:v>768</x:v>
      </x:c>
      <x:c r="N624" s="55" t="n">
        <x:v>2988</x:v>
      </x:c>
      <x:c r="O624" s="55" t="n">
        <x:v>1535</x:v>
      </x:c>
      <x:c r="P624" s="55" t="n">
        <x:v>854</x:v>
      </x:c>
      <x:c r="Q624" s="55" t="n">
        <x:v>2214</x:v>
      </x:c>
      <x:c r="R624" s="55" t="n">
        <x:v>2042</x:v>
      </x:c>
      <x:c r="S624" s="55" t="n">
        <x:v>3433</x:v>
      </x:c>
      <x:c r="T624" s="55" t="n">
        <x:v>1098</x:v>
      </x:c>
      <x:c r="U624" s="55" t="n">
        <x:v>1975</x:v>
      </x:c>
      <x:c r="V624" s="55" t="n">
        <x:v>10421</x:v>
      </x:c>
      <x:c r="W624" s="55" t="n">
        <x:v>7053</x:v>
      </x:c>
      <x:c r="X624" s="55" t="n">
        <x:v>3368</x:v>
      </x:c>
      <x:c r="Y624" s="55" t="n">
        <x:v>2971</x:v>
      </x:c>
      <x:c r="Z624" s="55" t="n">
        <x:v>3897</x:v>
      </x:c>
      <x:c r="AA624" s="55" t="n">
        <x:v>3254</x:v>
      </x:c>
      <x:c r="AB624" s="55" t="n">
        <x:v>1217</x:v>
      </x:c>
      <x:c r="AC624" s="55" t="n">
        <x:v>8201</x:v>
      </x:c>
      <x:c r="AD624" s="55" t="n">
        <x:v>3018</x:v>
      </x:c>
      <x:c r="AE624" s="55" t="n">
        <x:v>10524</x:v>
      </x:c>
      <x:c r="AF624" s="55" t="n">
        <x:v>10421</x:v>
      </x:c>
      <x:c r="AG624" s="55" t="n">
        <x:v>103</x:v>
      </x:c>
      <x:c r="AH624" s="55" t="n">
        <x:v>396</x:v>
      </x:c>
      <x:c r="AI624" s="55" t="n">
        <x:v>10025</x:v>
      </x:c>
      <x:c r="AJ624" s="55" t="n">
        <x:v>420</x:v>
      </x:c>
      <x:c r="AK624" s="55" t="n">
        <x:v>1205</x:v>
      </x:c>
      <x:c r="AL624" s="55" t="n">
        <x:v>1409</x:v>
      </x:c>
      <x:c r="AM624" s="55" t="n">
        <x:v>4932</x:v>
      </x:c>
      <x:c r="AN624" s="55" t="n">
        <x:v>2416</x:v>
      </x:c>
      <x:c r="AO624" s="55" t="n">
        <x:v>39</x:v>
      </x:c>
      <x:c r="AP624" s="55" t="n">
        <x:v>2918</x:v>
      </x:c>
      <x:c r="AQ624" s="55" t="n">
        <x:v>924</x:v>
      </x:c>
    </x:row>
    <x:row r="625">
      <x:c r="A625" s="54" t="str">
        <x:v>T0_TABLE_BLOCK</x:v>
      </x:c>
      <x:c r="B625" s="54" t="n">
        <x:v>619</x:v>
      </x:c>
      <x:c r="C625" s="54" t="str">
        <x:v>NYC-V2-R01</x:v>
      </x:c>
      <x:c r="D625" s="54" t="str">
        <x:v>V2</x:v>
      </x:c>
      <x:c r="E625" s="54" t="str">
        <x:v>ADMITTED</x:v>
      </x:c>
      <x:c r="F625" s="55" t="n">
        <x:v>31848</x:v>
      </x:c>
      <x:c r="G625" s="55" t="n">
        <x:v>9282</x:v>
      </x:c>
      <x:c r="H625" s="55" t="n">
        <x:v>2791</x:v>
      </x:c>
      <x:c r="I625" s="55" t="n">
        <x:v>731</x:v>
      </x:c>
      <x:c r="J625" s="55" t="n">
        <x:v>131</x:v>
      </x:c>
      <x:c r="K625" s="55" t="n">
        <x:v>29244</x:v>
      </x:c>
      <x:c r="L625" s="55" t="n">
        <x:v>6117</x:v>
      </x:c>
      <x:c r="M625" s="55" t="n">
        <x:v>1435</x:v>
      </x:c>
      <x:c r="N625" s="55" t="n">
        <x:v>2885</x:v>
      </x:c>
      <x:c r="O625" s="55" t="n">
        <x:v>1797</x:v>
      </x:c>
      <x:c r="P625" s="55" t="n">
        <x:v>642</x:v>
      </x:c>
      <x:c r="Q625" s="55" t="n">
        <x:v>1251</x:v>
      </x:c>
      <x:c r="R625" s="55" t="n">
        <x:v>1635</x:v>
      </x:c>
      <x:c r="S625" s="55" t="n">
        <x:v>3770</x:v>
      </x:c>
      <x:c r="T625" s="55" t="n">
        <x:v>781</x:v>
      </x:c>
      <x:c r="U625" s="55" t="n">
        <x:v>1856</x:v>
      </x:c>
      <x:c r="V625" s="55" t="n">
        <x:v>9904</x:v>
      </x:c>
      <x:c r="W625" s="55" t="n">
        <x:v>6770</x:v>
      </x:c>
      <x:c r="X625" s="55" t="n">
        <x:v>3134</x:v>
      </x:c>
      <x:c r="Y625" s="55" t="n">
        <x:v>2601</x:v>
      </x:c>
      <x:c r="Z625" s="55" t="n">
        <x:v>3397</x:v>
      </x:c>
      <x:c r="AA625" s="55" t="n">
        <x:v>2791</x:v>
      </x:c>
      <x:c r="AB625" s="55" t="n">
        <x:v>1042</x:v>
      </x:c>
      <x:c r="AC625" s="55" t="n">
        <x:v>8342</x:v>
      </x:c>
      <x:c r="AD625" s="55" t="n">
        <x:v>2774</x:v>
      </x:c>
      <x:c r="AE625" s="55" t="n">
        <x:v>9969</x:v>
      </x:c>
      <x:c r="AF625" s="55" t="n">
        <x:v>9904</x:v>
      </x:c>
      <x:c r="AG625" s="55" t="n">
        <x:v>65</x:v>
      </x:c>
      <x:c r="AH625" s="55" t="n">
        <x:v>579</x:v>
      </x:c>
      <x:c r="AI625" s="55" t="n">
        <x:v>9325</x:v>
      </x:c>
      <x:c r="AJ625" s="55" t="n">
        <x:v>192</x:v>
      </x:c>
      <x:c r="AK625" s="55" t="n">
        <x:v>1075</x:v>
      </x:c>
      <x:c r="AL625" s="55" t="n">
        <x:v>1434</x:v>
      </x:c>
      <x:c r="AM625" s="55" t="n">
        <x:v>4664</x:v>
      </x:c>
      <x:c r="AN625" s="55" t="n">
        <x:v>2479</x:v>
      </x:c>
      <x:c r="AO625" s="55" t="n">
        <x:v>60</x:v>
      </x:c>
      <x:c r="AP625" s="55" t="n">
        <x:v>2161</x:v>
      </x:c>
      <x:c r="AQ625" s="55" t="n">
        <x:v>983</x:v>
      </x:c>
    </x:row>
    <x:row r="626">
      <x:c r="A626" s="54" t="str">
        <x:v>T0_TABLE_BLOCK</x:v>
      </x:c>
      <x:c r="B626" s="54" t="n">
        <x:v>620</x:v>
      </x:c>
      <x:c r="C626" s="54" t="str">
        <x:v>NYC-V2-R01</x:v>
      </x:c>
      <x:c r="D626" s="54" t="str">
        <x:v>V2</x:v>
      </x:c>
      <x:c r="E626" s="54" t="str">
        <x:v>ADMITTED</x:v>
      </x:c>
      <x:c r="F626" s="55" t="n">
        <x:v>32701</x:v>
      </x:c>
      <x:c r="G626" s="55" t="n">
        <x:v>7093</x:v>
      </x:c>
      <x:c r="H626" s="55" t="n">
        <x:v>3533</x:v>
      </x:c>
      <x:c r="I626" s="55" t="n">
        <x:v>1764</x:v>
      </x:c>
      <x:c r="J626" s="55" t="n">
        <x:v>176</x:v>
      </x:c>
      <x:c r="K626" s="55" t="n">
        <x:v>32701</x:v>
      </x:c>
      <x:c r="L626" s="55" t="n">
        <x:v>5578</x:v>
      </x:c>
      <x:c r="M626" s="55" t="n">
        <x:v>1441</x:v>
      </x:c>
      <x:c r="N626" s="55" t="n">
        <x:v>2406</x:v>
      </x:c>
      <x:c r="O626" s="55" t="n">
        <x:v>1731</x:v>
      </x:c>
      <x:c r="P626" s="55" t="n">
        <x:v>703</x:v>
      </x:c>
      <x:c r="Q626" s="55" t="n">
        <x:v>1805</x:v>
      </x:c>
      <x:c r="R626" s="55" t="n">
        <x:v>1773</x:v>
      </x:c>
      <x:c r="S626" s="55" t="n">
        <x:v>3122</x:v>
      </x:c>
      <x:c r="T626" s="55" t="n">
        <x:v>1280</x:v>
      </x:c>
      <x:c r="U626" s="55" t="n">
        <x:v>2101</x:v>
      </x:c>
      <x:c r="V626" s="55" t="n">
        <x:v>10719</x:v>
      </x:c>
      <x:c r="W626" s="55" t="n">
        <x:v>7262</x:v>
      </x:c>
      <x:c r="X626" s="55" t="n">
        <x:v>3457</x:v>
      </x:c>
      <x:c r="Y626" s="55" t="n">
        <x:v>3069</x:v>
      </x:c>
      <x:c r="Z626" s="55" t="n">
        <x:v>3364</x:v>
      </x:c>
      <x:c r="AA626" s="55" t="n">
        <x:v>3186</x:v>
      </x:c>
      <x:c r="AB626" s="55" t="n">
        <x:v>1137</x:v>
      </x:c>
      <x:c r="AC626" s="55" t="n">
        <x:v>8420</x:v>
      </x:c>
      <x:c r="AD626" s="55" t="n">
        <x:v>3402</x:v>
      </x:c>
      <x:c r="AE626" s="55" t="n">
        <x:v>10795</x:v>
      </x:c>
      <x:c r="AF626" s="55" t="n">
        <x:v>10719</x:v>
      </x:c>
      <x:c r="AG626" s="55" t="n">
        <x:v>76</x:v>
      </x:c>
      <x:c r="AH626" s="55" t="n">
        <x:v>439</x:v>
      </x:c>
      <x:c r="AI626" s="55" t="n">
        <x:v>10280</x:v>
      </x:c>
      <x:c r="AJ626" s="55" t="n">
        <x:v>197</x:v>
      </x:c>
      <x:c r="AK626" s="55" t="n">
        <x:v>1063</x:v>
      </x:c>
      <x:c r="AL626" s="55" t="n">
        <x:v>1441</x:v>
      </x:c>
      <x:c r="AM626" s="55" t="n">
        <x:v>5098</x:v>
      </x:c>
      <x:c r="AN626" s="55" t="n">
        <x:v>2796</x:v>
      </x:c>
      <x:c r="AO626" s="55" t="n">
        <x:v>124</x:v>
      </x:c>
      <x:c r="AP626" s="55" t="n">
        <x:v>1824</x:v>
      </x:c>
      <x:c r="AQ626" s="55" t="n">
        <x:v>947</x:v>
      </x:c>
    </x:row>
    <x:row r="627">
      <x:c r="A627" s="54" t="str">
        <x:v>T0_TABLE_BLOCK</x:v>
      </x:c>
      <x:c r="B627" s="54" t="n">
        <x:v>621</x:v>
      </x:c>
      <x:c r="C627" s="54" t="str">
        <x:v>NYC-V2-R01</x:v>
      </x:c>
      <x:c r="D627" s="54" t="str">
        <x:v>V2</x:v>
      </x:c>
      <x:c r="E627" s="54" t="str">
        <x:v>ADMITTED</x:v>
      </x:c>
      <x:c r="F627" s="55" t="n">
        <x:v>31658</x:v>
      </x:c>
      <x:c r="G627" s="55" t="n">
        <x:v>8131</x:v>
      </x:c>
      <x:c r="H627" s="55" t="n">
        <x:v>3217</x:v>
      </x:c>
      <x:c r="I627" s="55" t="n">
        <x:v>850</x:v>
      </x:c>
      <x:c r="J627" s="55" t="n">
        <x:v>63</x:v>
      </x:c>
      <x:c r="K627" s="55" t="n">
        <x:v>29352</x:v>
      </x:c>
      <x:c r="L627" s="55" t="n">
        <x:v>5190</x:v>
      </x:c>
      <x:c r="M627" s="55" t="n">
        <x:v>1281</x:v>
      </x:c>
      <x:c r="N627" s="55" t="n">
        <x:v>2188</x:v>
      </x:c>
      <x:c r="O627" s="55" t="n">
        <x:v>1721</x:v>
      </x:c>
      <x:c r="P627" s="55" t="n">
        <x:v>961</x:v>
      </x:c>
      <x:c r="Q627" s="55" t="n">
        <x:v>2864</x:v>
      </x:c>
      <x:c r="R627" s="55" t="n">
        <x:v>1890</x:v>
      </x:c>
      <x:c r="S627" s="55" t="n">
        <x:v>1270</x:v>
      </x:c>
      <x:c r="T627" s="55" t="n">
        <x:v>981</x:v>
      </x:c>
      <x:c r="U627" s="55" t="n">
        <x:v>1687</x:v>
      </x:c>
      <x:c r="V627" s="55" t="n">
        <x:v>10315</x:v>
      </x:c>
      <x:c r="W627" s="55" t="n">
        <x:v>6957</x:v>
      </x:c>
      <x:c r="X627" s="55" t="n">
        <x:v>3358</x:v>
      </x:c>
      <x:c r="Y627" s="55" t="n">
        <x:v>2887</x:v>
      </x:c>
      <x:c r="Z627" s="55" t="n">
        <x:v>3830</x:v>
      </x:c>
      <x:c r="AA627" s="55" t="n">
        <x:v>2713</x:v>
      </x:c>
      <x:c r="AB627" s="55" t="n">
        <x:v>858</x:v>
      </x:c>
      <x:c r="AC627" s="55" t="n">
        <x:v>7911</x:v>
      </x:c>
      <x:c r="AD627" s="55" t="n">
        <x:v>3536</x:v>
      </x:c>
      <x:c r="AE627" s="55" t="n">
        <x:v>10399</x:v>
      </x:c>
      <x:c r="AF627" s="55" t="n">
        <x:v>10315</x:v>
      </x:c>
      <x:c r="AG627" s="55" t="n">
        <x:v>84</x:v>
      </x:c>
      <x:c r="AH627" s="55" t="n">
        <x:v>409</x:v>
      </x:c>
      <x:c r="AI627" s="55" t="n">
        <x:v>9906</x:v>
      </x:c>
      <x:c r="AJ627" s="55" t="n">
        <x:v>399</x:v>
      </x:c>
      <x:c r="AK627" s="55" t="n">
        <x:v>952</x:v>
      </x:c>
      <x:c r="AL627" s="55" t="n">
        <x:v>1726</x:v>
      </x:c>
      <x:c r="AM627" s="55" t="n">
        <x:v>4734</x:v>
      </x:c>
      <x:c r="AN627" s="55" t="n">
        <x:v>2452</x:v>
      </x:c>
      <x:c r="AO627" s="55" t="n">
        <x:v>52</x:v>
      </x:c>
      <x:c r="AP627" s="55" t="n">
        <x:v>2030</x:v>
      </x:c>
      <x:c r="AQ627" s="55" t="n">
        <x:v>928</x:v>
      </x:c>
    </x:row>
    <x:row r="628">
      <x:c r="A628" s="54" t="str">
        <x:v>T0_TABLE_BLOCK</x:v>
      </x:c>
      <x:c r="B628" s="54" t="n">
        <x:v>622</x:v>
      </x:c>
      <x:c r="C628" s="54" t="str">
        <x:v>NYC-V2-R01</x:v>
      </x:c>
      <x:c r="D628" s="54" t="str">
        <x:v>V2</x:v>
      </x:c>
      <x:c r="E628" s="54" t="str">
        <x:v>ADMITTED</x:v>
      </x:c>
      <x:c r="F628" s="55" t="n">
        <x:v>31064</x:v>
      </x:c>
      <x:c r="G628" s="55" t="n">
        <x:v>7361</x:v>
      </x:c>
      <x:c r="H628" s="55" t="n">
        <x:v>3310</x:v>
      </x:c>
      <x:c r="I628" s="55" t="n">
        <x:v>1410</x:v>
      </x:c>
      <x:c r="J628" s="55" t="n">
        <x:v>319</x:v>
      </x:c>
      <x:c r="K628" s="55" t="n">
        <x:v>30759</x:v>
      </x:c>
      <x:c r="L628" s="55" t="n">
        <x:v>6344</x:v>
      </x:c>
      <x:c r="M628" s="55" t="n">
        <x:v>2393</x:v>
      </x:c>
      <x:c r="N628" s="55" t="n">
        <x:v>2303</x:v>
      </x:c>
      <x:c r="O628" s="55" t="n">
        <x:v>1648</x:v>
      </x:c>
      <x:c r="P628" s="55" t="n">
        <x:v>876</x:v>
      </x:c>
      <x:c r="Q628" s="55" t="n">
        <x:v>1540</x:v>
      </x:c>
      <x:c r="R628" s="55" t="n">
        <x:v>2145</x:v>
      </x:c>
      <x:c r="S628" s="55" t="n">
        <x:v>2574</x:v>
      </x:c>
      <x:c r="T628" s="55" t="n">
        <x:v>1292</x:v>
      </x:c>
      <x:c r="U628" s="55" t="n">
        <x:v>1774</x:v>
      </x:c>
      <x:c r="V628" s="55" t="n">
        <x:v>10359</x:v>
      </x:c>
      <x:c r="W628" s="55" t="n">
        <x:v>7588</x:v>
      </x:c>
      <x:c r="X628" s="55" t="n">
        <x:v>2771</x:v>
      </x:c>
      <x:c r="Y628" s="55" t="n">
        <x:v>2266</x:v>
      </x:c>
      <x:c r="Z628" s="55" t="n">
        <x:v>3460</x:v>
      </x:c>
      <x:c r="AA628" s="55" t="n">
        <x:v>2770</x:v>
      </x:c>
      <x:c r="AB628" s="55" t="n">
        <x:v>1085</x:v>
      </x:c>
      <x:c r="AC628" s="55" t="n">
        <x:v>7863</x:v>
      </x:c>
      <x:c r="AD628" s="55" t="n">
        <x:v>2327</x:v>
      </x:c>
      <x:c r="AE628" s="55" t="n">
        <x:v>10403</x:v>
      </x:c>
      <x:c r="AF628" s="55" t="n">
        <x:v>10359</x:v>
      </x:c>
      <x:c r="AG628" s="55" t="n">
        <x:v>44</x:v>
      </x:c>
      <x:c r="AH628" s="55" t="n">
        <x:v>392</x:v>
      </x:c>
      <x:c r="AI628" s="55" t="n">
        <x:v>9967</x:v>
      </x:c>
      <x:c r="AJ628" s="55" t="n">
        <x:v>182</x:v>
      </x:c>
      <x:c r="AK628" s="55" t="n">
        <x:v>619</x:v>
      </x:c>
      <x:c r="AL628" s="55" t="n">
        <x:v>1447</x:v>
      </x:c>
      <x:c r="AM628" s="55" t="n">
        <x:v>5479</x:v>
      </x:c>
      <x:c r="AN628" s="55" t="n">
        <x:v>2570</x:v>
      </x:c>
      <x:c r="AO628" s="55" t="n">
        <x:v>62</x:v>
      </x:c>
      <x:c r="AP628" s="55" t="n">
        <x:v>2252</x:v>
      </x:c>
      <x:c r="AQ628" s="55" t="n">
        <x:v>963</x:v>
      </x:c>
    </x:row>
    <x:row r="629">
      <x:c r="A629" s="54" t="str">
        <x:v>T0_TABLE_BLOCK</x:v>
      </x:c>
      <x:c r="B629" s="54" t="n">
        <x:v>623</x:v>
      </x:c>
      <x:c r="C629" s="54" t="str">
        <x:v>NYC-V2-R01</x:v>
      </x:c>
      <x:c r="D629" s="54" t="str">
        <x:v>V2</x:v>
      </x:c>
      <x:c r="E629" s="54" t="str">
        <x:v>ADMITTED</x:v>
      </x:c>
      <x:c r="F629" s="55" t="n">
        <x:v>31212</x:v>
      </x:c>
      <x:c r="G629" s="55" t="n">
        <x:v>7896</x:v>
      </x:c>
      <x:c r="H629" s="55" t="n">
        <x:v>3581</x:v>
      </x:c>
      <x:c r="I629" s="55" t="n">
        <x:v>1630</x:v>
      </x:c>
      <x:c r="J629" s="55" t="n">
        <x:v>354</x:v>
      </x:c>
      <x:c r="K629" s="55" t="n">
        <x:v>31212</x:v>
      </x:c>
      <x:c r="L629" s="55" t="n">
        <x:v>5880</x:v>
      </x:c>
      <x:c r="M629" s="55" t="n">
        <x:v>1410</x:v>
      </x:c>
      <x:c r="N629" s="55" t="n">
        <x:v>2820</x:v>
      </x:c>
      <x:c r="O629" s="55" t="n">
        <x:v>1650</x:v>
      </x:c>
      <x:c r="P629" s="55" t="n">
        <x:v>317</x:v>
      </x:c>
      <x:c r="Q629" s="55" t="n">
        <x:v>3878</x:v>
      </x:c>
      <x:c r="R629" s="55" t="n">
        <x:v>2009</x:v>
      </x:c>
      <x:c r="S629" s="55" t="n">
        <x:v>3176</x:v>
      </x:c>
      <x:c r="T629" s="55" t="n">
        <x:v>851</x:v>
      </x:c>
      <x:c r="U629" s="55" t="n">
        <x:v>2467</x:v>
      </x:c>
      <x:c r="V629" s="55" t="n">
        <x:v>10135</x:v>
      </x:c>
      <x:c r="W629" s="55" t="n">
        <x:v>7118</x:v>
      </x:c>
      <x:c r="X629" s="55" t="n">
        <x:v>3017</x:v>
      </x:c>
      <x:c r="Y629" s="55" t="n">
        <x:v>2690</x:v>
      </x:c>
      <x:c r="Z629" s="55" t="n">
        <x:v>3080</x:v>
      </x:c>
      <x:c r="AA629" s="55" t="n">
        <x:v>3013</x:v>
      </x:c>
      <x:c r="AB629" s="55" t="n">
        <x:v>1074</x:v>
      </x:c>
      <x:c r="AC629" s="55" t="n">
        <x:v>8155</x:v>
      </x:c>
      <x:c r="AD629" s="55" t="n">
        <x:v>2843</x:v>
      </x:c>
      <x:c r="AE629" s="55" t="n">
        <x:v>10183</x:v>
      </x:c>
      <x:c r="AF629" s="55" t="n">
        <x:v>10135</x:v>
      </x:c>
      <x:c r="AG629" s="55" t="n">
        <x:v>48</x:v>
      </x:c>
      <x:c r="AH629" s="55" t="n">
        <x:v>173</x:v>
      </x:c>
      <x:c r="AI629" s="55" t="n">
        <x:v>9962</x:v>
      </x:c>
      <x:c r="AJ629" s="55" t="n">
        <x:v>364</x:v>
      </x:c>
      <x:c r="AK629" s="55" t="n">
        <x:v>1026</x:v>
      </x:c>
      <x:c r="AL629" s="55" t="n">
        <x:v>1555</x:v>
      </x:c>
      <x:c r="AM629" s="55" t="n">
        <x:v>4961</x:v>
      </x:c>
      <x:c r="AN629" s="55" t="n">
        <x:v>2201</x:v>
      </x:c>
      <x:c r="AO629" s="55" t="n">
        <x:v>28</x:v>
      </x:c>
      <x:c r="AP629" s="55" t="n">
        <x:v>2117</x:v>
      </x:c>
      <x:c r="AQ629" s="55" t="n">
        <x:v>974</x:v>
      </x:c>
    </x:row>
    <x:row r="630">
      <x:c r="A630" s="54" t="str">
        <x:v>T0_TABLE_BLOCK</x:v>
      </x:c>
      <x:c r="B630" s="54" t="n">
        <x:v>624</x:v>
      </x:c>
      <x:c r="C630" s="54" t="str">
        <x:v>NYC-V2-R01</x:v>
      </x:c>
      <x:c r="D630" s="54" t="str">
        <x:v>V2</x:v>
      </x:c>
      <x:c r="E630" s="54" t="str">
        <x:v>ADMITTED</x:v>
      </x:c>
      <x:c r="F630" s="55" t="n">
        <x:v>32864</x:v>
      </x:c>
      <x:c r="G630" s="55" t="n">
        <x:v>7658</x:v>
      </x:c>
      <x:c r="H630" s="55" t="n">
        <x:v>3165</x:v>
      </x:c>
      <x:c r="I630" s="55" t="n">
        <x:v>1373</x:v>
      </x:c>
      <x:c r="J630" s="55" t="n">
        <x:v>11</x:v>
      </x:c>
      <x:c r="K630" s="55" t="n">
        <x:v>32864</x:v>
      </x:c>
      <x:c r="L630" s="55" t="n">
        <x:v>6759</x:v>
      </x:c>
      <x:c r="M630" s="55" t="n">
        <x:v>2808</x:v>
      </x:c>
      <x:c r="N630" s="55" t="n">
        <x:v>2509</x:v>
      </x:c>
      <x:c r="O630" s="55" t="n">
        <x:v>1442</x:v>
      </x:c>
      <x:c r="P630" s="55" t="n">
        <x:v>816</x:v>
      </x:c>
      <x:c r="Q630" s="55" t="n">
        <x:v>2544</x:v>
      </x:c>
      <x:c r="R630" s="55" t="n">
        <x:v>1725</x:v>
      </x:c>
      <x:c r="S630" s="55" t="n">
        <x:v>2728</x:v>
      </x:c>
      <x:c r="T630" s="55" t="n">
        <x:v>1193</x:v>
      </x:c>
      <x:c r="U630" s="55" t="n">
        <x:v>1647</x:v>
      </x:c>
      <x:c r="V630" s="55" t="n">
        <x:v>10715</x:v>
      </x:c>
      <x:c r="W630" s="55" t="n">
        <x:v>8098</x:v>
      </x:c>
      <x:c r="X630" s="55" t="n">
        <x:v>2617</x:v>
      </x:c>
      <x:c r="Y630" s="55" t="n">
        <x:v>2330</x:v>
      </x:c>
      <x:c r="Z630" s="55" t="n">
        <x:v>3756</x:v>
      </x:c>
      <x:c r="AA630" s="55" t="n">
        <x:v>2784</x:v>
      </x:c>
      <x:c r="AB630" s="55" t="n">
        <x:v>1011</x:v>
      </x:c>
      <x:c r="AC630" s="55" t="n">
        <x:v>7963</x:v>
      </x:c>
      <x:c r="AD630" s="55" t="n">
        <x:v>2797</x:v>
      </x:c>
      <x:c r="AE630" s="55" t="n">
        <x:v>10850</x:v>
      </x:c>
      <x:c r="AF630" s="55" t="n">
        <x:v>10715</x:v>
      </x:c>
      <x:c r="AG630" s="55" t="n">
        <x:v>135</x:v>
      </x:c>
      <x:c r="AH630" s="55" t="n">
        <x:v>558</x:v>
      </x:c>
      <x:c r="AI630" s="55" t="n">
        <x:v>10157</x:v>
      </x:c>
      <x:c r="AJ630" s="55" t="n">
        <x:v>588</x:v>
      </x:c>
      <x:c r="AK630" s="55" t="n">
        <x:v>1392</x:v>
      </x:c>
      <x:c r="AL630" s="55" t="n">
        <x:v>1720</x:v>
      </x:c>
      <x:c r="AM630" s="55" t="n">
        <x:v>4641</x:v>
      </x:c>
      <x:c r="AN630" s="55" t="n">
        <x:v>2336</x:v>
      </x:c>
      <x:c r="AO630" s="55" t="n">
        <x:v>38</x:v>
      </x:c>
      <x:c r="AP630" s="55" t="n">
        <x:v>2314</x:v>
      </x:c>
      <x:c r="AQ630" s="55" t="n">
        <x:v>955</x:v>
      </x:c>
    </x:row>
    <x:row r="631">
      <x:c r="A631" s="54" t="str">
        <x:v>T0_TABLE_BLOCK</x:v>
      </x:c>
      <x:c r="B631" s="54" t="n">
        <x:v>625</x:v>
      </x:c>
      <x:c r="C631" s="54" t="str">
        <x:v>NYC-V2-R01</x:v>
      </x:c>
      <x:c r="D631" s="54" t="str">
        <x:v>V2</x:v>
      </x:c>
      <x:c r="E631" s="54" t="str">
        <x:v>ADMITTED</x:v>
      </x:c>
      <x:c r="F631" s="55" t="n">
        <x:v>29847</x:v>
      </x:c>
      <x:c r="G631" s="55" t="n">
        <x:v>7673</x:v>
      </x:c>
      <x:c r="H631" s="55" t="n">
        <x:v>3189</x:v>
      </x:c>
      <x:c r="I631" s="55" t="n">
        <x:v>1167</x:v>
      </x:c>
      <x:c r="J631" s="55" t="n">
        <x:v>290</x:v>
      </x:c>
      <x:c r="K631" s="55" t="n">
        <x:v>29804</x:v>
      </x:c>
      <x:c r="L631" s="55" t="n">
        <x:v>5375</x:v>
      </x:c>
      <x:c r="M631" s="55" t="n">
        <x:v>1145</x:v>
      </x:c>
      <x:c r="N631" s="55" t="n">
        <x:v>2367</x:v>
      </x:c>
      <x:c r="O631" s="55" t="n">
        <x:v>1863</x:v>
      </x:c>
      <x:c r="P631" s="55" t="n">
        <x:v>1001</x:v>
      </x:c>
      <x:c r="Q631" s="55" t="n">
        <x:v>2315</x:v>
      </x:c>
      <x:c r="R631" s="55" t="n">
        <x:v>2054</x:v>
      </x:c>
      <x:c r="S631" s="55" t="n">
        <x:v>2467</x:v>
      </x:c>
      <x:c r="T631" s="55" t="n">
        <x:v>1283</x:v>
      </x:c>
      <x:c r="U631" s="55" t="n">
        <x:v>2006</x:v>
      </x:c>
      <x:c r="V631" s="55" t="n">
        <x:v>10124</x:v>
      </x:c>
      <x:c r="W631" s="55" t="n">
        <x:v>6809</x:v>
      </x:c>
      <x:c r="X631" s="55" t="n">
        <x:v>3315</x:v>
      </x:c>
      <x:c r="Y631" s="55" t="n">
        <x:v>2676</x:v>
      </x:c>
      <x:c r="Z631" s="55" t="n">
        <x:v>3973</x:v>
      </x:c>
      <x:c r="AA631" s="55" t="n">
        <x:v>2957</x:v>
      </x:c>
      <x:c r="AB631" s="55" t="n">
        <x:v>784</x:v>
      </x:c>
      <x:c r="AC631" s="55" t="n">
        <x:v>8130</x:v>
      </x:c>
      <x:c r="AD631" s="55" t="n">
        <x:v>3195</x:v>
      </x:c>
      <x:c r="AE631" s="55" t="n">
        <x:v>10182</x:v>
      </x:c>
      <x:c r="AF631" s="55" t="n">
        <x:v>10124</x:v>
      </x:c>
      <x:c r="AG631" s="55" t="n">
        <x:v>58</x:v>
      </x:c>
      <x:c r="AH631" s="55" t="n">
        <x:v>524</x:v>
      </x:c>
      <x:c r="AI631" s="55" t="n">
        <x:v>9600</x:v>
      </x:c>
      <x:c r="AJ631" s="55" t="n">
        <x:v>186</x:v>
      </x:c>
      <x:c r="AK631" s="55" t="n">
        <x:v>945</x:v>
      </x:c>
      <x:c r="AL631" s="55" t="n">
        <x:v>1455</x:v>
      </x:c>
      <x:c r="AM631" s="55" t="n">
        <x:v>5174</x:v>
      </x:c>
      <x:c r="AN631" s="55" t="n">
        <x:v>2364</x:v>
      </x:c>
      <x:c r="AO631" s="55" t="n">
        <x:v>0</x:v>
      </x:c>
      <x:c r="AP631" s="55" t="n">
        <x:v>2764</x:v>
      </x:c>
      <x:c r="AQ631" s="55" t="n">
        <x:v>922</x:v>
      </x:c>
    </x:row>
    <x:row r="632">
      <x:c r="A632" s="54" t="str">
        <x:v>T0_TABLE_BLOCK</x:v>
      </x:c>
      <x:c r="B632" s="54" t="n">
        <x:v>626</x:v>
      </x:c>
      <x:c r="C632" s="54" t="str">
        <x:v>NYC-V2-R01</x:v>
      </x:c>
      <x:c r="D632" s="54" t="str">
        <x:v>V2</x:v>
      </x:c>
      <x:c r="E632" s="54" t="str">
        <x:v>ADMITTED</x:v>
      </x:c>
      <x:c r="F632" s="55" t="n">
        <x:v>31460</x:v>
      </x:c>
      <x:c r="G632" s="55" t="n">
        <x:v>8008</x:v>
      </x:c>
      <x:c r="H632" s="55" t="n">
        <x:v>2951</x:v>
      </x:c>
      <x:c r="I632" s="55" t="n">
        <x:v>982</x:v>
      </x:c>
      <x:c r="J632" s="55" t="n">
        <x:v>0</x:v>
      </x:c>
      <x:c r="K632" s="55" t="n">
        <x:v>29298</x:v>
      </x:c>
      <x:c r="L632" s="55" t="n">
        <x:v>6726</x:v>
      </x:c>
      <x:c r="M632" s="55" t="n">
        <x:v>1720</x:v>
      </x:c>
      <x:c r="N632" s="55" t="n">
        <x:v>3170</x:v>
      </x:c>
      <x:c r="O632" s="55" t="n">
        <x:v>1836</x:v>
      </x:c>
      <x:c r="P632" s="55" t="n">
        <x:v>862</x:v>
      </x:c>
      <x:c r="Q632" s="55" t="n">
        <x:v>2070</x:v>
      </x:c>
      <x:c r="R632" s="55" t="n">
        <x:v>2471</x:v>
      </x:c>
      <x:c r="S632" s="55" t="n">
        <x:v>2742</x:v>
      </x:c>
      <x:c r="T632" s="55" t="n">
        <x:v>1477</x:v>
      </x:c>
      <x:c r="U632" s="55" t="n">
        <x:v>2018</x:v>
      </x:c>
      <x:c r="V632" s="55" t="n">
        <x:v>10423</x:v>
      </x:c>
      <x:c r="W632" s="55" t="n">
        <x:v>7250</x:v>
      </x:c>
      <x:c r="X632" s="55" t="n">
        <x:v>3173</x:v>
      </x:c>
      <x:c r="Y632" s="55" t="n">
        <x:v>2792</x:v>
      </x:c>
      <x:c r="Z632" s="55" t="n">
        <x:v>3744</x:v>
      </x:c>
      <x:c r="AA632" s="55" t="n">
        <x:v>2768</x:v>
      </x:c>
      <x:c r="AB632" s="55" t="n">
        <x:v>1440</x:v>
      </x:c>
      <x:c r="AC632" s="55" t="n">
        <x:v>7321</x:v>
      </x:c>
      <x:c r="AD632" s="55" t="n">
        <x:v>2552</x:v>
      </x:c>
      <x:c r="AE632" s="55" t="n">
        <x:v>10603</x:v>
      </x:c>
      <x:c r="AF632" s="55" t="n">
        <x:v>10423</x:v>
      </x:c>
      <x:c r="AG632" s="55" t="n">
        <x:v>180</x:v>
      </x:c>
      <x:c r="AH632" s="55" t="n">
        <x:v>417</x:v>
      </x:c>
      <x:c r="AI632" s="55" t="n">
        <x:v>10006</x:v>
      </x:c>
      <x:c r="AJ632" s="55" t="n">
        <x:v>178</x:v>
      </x:c>
      <x:c r="AK632" s="55" t="n">
        <x:v>1015</x:v>
      </x:c>
      <x:c r="AL632" s="55" t="n">
        <x:v>1424</x:v>
      </x:c>
      <x:c r="AM632" s="55" t="n">
        <x:v>5265</x:v>
      </x:c>
      <x:c r="AN632" s="55" t="n">
        <x:v>2475</x:v>
      </x:c>
      <x:c r="AO632" s="55" t="n">
        <x:v>66</x:v>
      </x:c>
      <x:c r="AP632" s="55" t="n">
        <x:v>2424</x:v>
      </x:c>
      <x:c r="AQ632" s="55" t="n">
        <x:v>924</x:v>
      </x:c>
    </x:row>
    <x:row r="633">
      <x:c r="A633" s="54" t="str">
        <x:v>T0_TABLE_BLOCK</x:v>
      </x:c>
      <x:c r="B633" s="54" t="n">
        <x:v>627</x:v>
      </x:c>
      <x:c r="C633" s="54" t="str">
        <x:v>NYC-V2-R01</x:v>
      </x:c>
      <x:c r="D633" s="54" t="str">
        <x:v>V2</x:v>
      </x:c>
      <x:c r="E633" s="54" t="str">
        <x:v>ADMITTED</x:v>
      </x:c>
      <x:c r="F633" s="55" t="n">
        <x:v>30943</x:v>
      </x:c>
      <x:c r="G633" s="55" t="n">
        <x:v>7717</x:v>
      </x:c>
      <x:c r="H633" s="55" t="n">
        <x:v>3638</x:v>
      </x:c>
      <x:c r="I633" s="55" t="n">
        <x:v>1155</x:v>
      </x:c>
      <x:c r="J633" s="55" t="n">
        <x:v>98</x:v>
      </x:c>
      <x:c r="K633" s="55" t="n">
        <x:v>29389</x:v>
      </x:c>
      <x:c r="L633" s="55" t="n">
        <x:v>3906</x:v>
      </x:c>
      <x:c r="M633" s="55" t="n">
        <x:v>0</x:v>
      </x:c>
      <x:c r="N633" s="55" t="n">
        <x:v>2343</x:v>
      </x:c>
      <x:c r="O633" s="55" t="n">
        <x:v>1563</x:v>
      </x:c>
      <x:c r="P633" s="55" t="n">
        <x:v>765</x:v>
      </x:c>
      <x:c r="Q633" s="55" t="n">
        <x:v>2332</x:v>
      </x:c>
      <x:c r="R633" s="55" t="n">
        <x:v>1500</x:v>
      </x:c>
      <x:c r="S633" s="55" t="n">
        <x:v>2357</x:v>
      </x:c>
      <x:c r="T633" s="55" t="n">
        <x:v>1817</x:v>
      </x:c>
      <x:c r="U633" s="55" t="n">
        <x:v>1668</x:v>
      </x:c>
      <x:c r="V633" s="55" t="n">
        <x:v>10162</x:v>
      </x:c>
      <x:c r="W633" s="55" t="n">
        <x:v>7117</x:v>
      </x:c>
      <x:c r="X633" s="55" t="n">
        <x:v>3045</x:v>
      </x:c>
      <x:c r="Y633" s="55" t="n">
        <x:v>2680</x:v>
      </x:c>
      <x:c r="Z633" s="55" t="n">
        <x:v>3662</x:v>
      </x:c>
      <x:c r="AA633" s="55" t="n">
        <x:v>3638</x:v>
      </x:c>
      <x:c r="AB633" s="55" t="n">
        <x:v>1365</x:v>
      </x:c>
      <x:c r="AC633" s="55" t="n">
        <x:v>7641</x:v>
      </x:c>
      <x:c r="AD633" s="55" t="n">
        <x:v>2897</x:v>
      </x:c>
      <x:c r="AE633" s="55" t="n">
        <x:v>10199</x:v>
      </x:c>
      <x:c r="AF633" s="55" t="n">
        <x:v>10162</x:v>
      </x:c>
      <x:c r="AG633" s="55" t="n">
        <x:v>37</x:v>
      </x:c>
      <x:c r="AH633" s="55" t="n">
        <x:v>376</x:v>
      </x:c>
      <x:c r="AI633" s="55" t="n">
        <x:v>9786</x:v>
      </x:c>
      <x:c r="AJ633" s="55" t="n">
        <x:v>400</x:v>
      </x:c>
      <x:c r="AK633" s="55" t="n">
        <x:v>1151</x:v>
      </x:c>
      <x:c r="AL633" s="55" t="n">
        <x:v>1383</x:v>
      </x:c>
      <x:c r="AM633" s="55" t="n">
        <x:v>4575</x:v>
      </x:c>
      <x:c r="AN633" s="55" t="n">
        <x:v>2653</x:v>
      </x:c>
      <x:c r="AO633" s="55" t="n">
        <x:v>0</x:v>
      </x:c>
      <x:c r="AP633" s="55" t="n">
        <x:v>2769</x:v>
      </x:c>
      <x:c r="AQ633" s="55" t="n">
        <x:v>885</x:v>
      </x:c>
    </x:row>
    <x:row r="634">
      <x:c r="A634" s="54" t="str">
        <x:v>T0_TABLE_BLOCK</x:v>
      </x:c>
      <x:c r="B634" s="54" t="n">
        <x:v>628</x:v>
      </x:c>
      <x:c r="C634" s="54" t="str">
        <x:v>NYC-V2-R01</x:v>
      </x:c>
      <x:c r="D634" s="54" t="str">
        <x:v>V2</x:v>
      </x:c>
      <x:c r="E634" s="54" t="str">
        <x:v>ADMITTED</x:v>
      </x:c>
      <x:c r="F634" s="55" t="n">
        <x:v>29915</x:v>
      </x:c>
      <x:c r="G634" s="55" t="n">
        <x:v>7012</x:v>
      </x:c>
      <x:c r="H634" s="55" t="n">
        <x:v>3582</x:v>
      </x:c>
      <x:c r="I634" s="55" t="n">
        <x:v>1280</x:v>
      </x:c>
      <x:c r="J634" s="55" t="n">
        <x:v>437</x:v>
      </x:c>
      <x:c r="K634" s="55" t="n">
        <x:v>28655</x:v>
      </x:c>
      <x:c r="L634" s="55" t="n">
        <x:v>4653</x:v>
      </x:c>
      <x:c r="M634" s="55" t="n">
        <x:v>379</x:v>
      </x:c>
      <x:c r="N634" s="55" t="n">
        <x:v>2673</x:v>
      </x:c>
      <x:c r="O634" s="55" t="n">
        <x:v>1601</x:v>
      </x:c>
      <x:c r="P634" s="55" t="n">
        <x:v>905</x:v>
      </x:c>
      <x:c r="Q634" s="55" t="n">
        <x:v>2505</x:v>
      </x:c>
      <x:c r="R634" s="55" t="n">
        <x:v>2024</x:v>
      </x:c>
      <x:c r="S634" s="55" t="n">
        <x:v>3848</x:v>
      </x:c>
      <x:c r="T634" s="55" t="n">
        <x:v>1323</x:v>
      </x:c>
      <x:c r="U634" s="55" t="n">
        <x:v>2570</x:v>
      </x:c>
      <x:c r="V634" s="55" t="n">
        <x:v>10529</x:v>
      </x:c>
      <x:c r="W634" s="55" t="n">
        <x:v>6890</x:v>
      </x:c>
      <x:c r="X634" s="55" t="n">
        <x:v>3639</x:v>
      </x:c>
      <x:c r="Y634" s="55" t="n">
        <x:v>3088</x:v>
      </x:c>
      <x:c r="Z634" s="55" t="n">
        <x:v>3044</x:v>
      </x:c>
      <x:c r="AA634" s="55" t="n">
        <x:v>3267</x:v>
      </x:c>
      <x:c r="AB634" s="55" t="n">
        <x:v>623</x:v>
      </x:c>
      <x:c r="AC634" s="55" t="n">
        <x:v>7973</x:v>
      </x:c>
      <x:c r="AD634" s="55" t="n">
        <x:v>3634</x:v>
      </x:c>
      <x:c r="AE634" s="55" t="n">
        <x:v>10682</x:v>
      </x:c>
      <x:c r="AF634" s="55" t="n">
        <x:v>10529</x:v>
      </x:c>
      <x:c r="AG634" s="55" t="n">
        <x:v>153</x:v>
      </x:c>
      <x:c r="AH634" s="55" t="n">
        <x:v>455</x:v>
      </x:c>
      <x:c r="AI634" s="55" t="n">
        <x:v>10074</x:v>
      </x:c>
      <x:c r="AJ634" s="55" t="n">
        <x:v>231</x:v>
      </x:c>
      <x:c r="AK634" s="55" t="n">
        <x:v>1224</x:v>
      </x:c>
      <x:c r="AL634" s="55" t="n">
        <x:v>832</x:v>
      </x:c>
      <x:c r="AM634" s="55" t="n">
        <x:v>5094</x:v>
      </x:c>
      <x:c r="AN634" s="55" t="n">
        <x:v>3148</x:v>
      </x:c>
      <x:c r="AO634" s="55" t="n">
        <x:v>0</x:v>
      </x:c>
      <x:c r="AP634" s="55" t="n">
        <x:v>2655</x:v>
      </x:c>
      <x:c r="AQ634" s="55" t="n">
        <x:v>913</x:v>
      </x:c>
    </x:row>
    <x:row r="635">
      <x:c r="A635" s="54" t="str">
        <x:v>T0_TABLE_BLOCK</x:v>
      </x:c>
      <x:c r="B635" s="54" t="n">
        <x:v>629</x:v>
      </x:c>
      <x:c r="C635" s="54" t="str">
        <x:v>NYC-V2-R01</x:v>
      </x:c>
      <x:c r="D635" s="54" t="str">
        <x:v>V2</x:v>
      </x:c>
      <x:c r="E635" s="54" t="str">
        <x:v>ADMITTED</x:v>
      </x:c>
      <x:c r="F635" s="55" t="n">
        <x:v>31549</x:v>
      </x:c>
      <x:c r="G635" s="55" t="n">
        <x:v>7390</x:v>
      </x:c>
      <x:c r="H635" s="55" t="n">
        <x:v>3488</x:v>
      </x:c>
      <x:c r="I635" s="55" t="n">
        <x:v>1117</x:v>
      </x:c>
      <x:c r="J635" s="55" t="n">
        <x:v>297</x:v>
      </x:c>
      <x:c r="K635" s="55" t="n">
        <x:v>31549</x:v>
      </x:c>
      <x:c r="L635" s="55" t="n">
        <x:v>5042</x:v>
      </x:c>
      <x:c r="M635" s="55" t="n">
        <x:v>1071</x:v>
      </x:c>
      <x:c r="N635" s="55" t="n">
        <x:v>2183</x:v>
      </x:c>
      <x:c r="O635" s="55" t="n">
        <x:v>1788</x:v>
      </x:c>
      <x:c r="P635" s="55" t="n">
        <x:v>630</x:v>
      </x:c>
      <x:c r="Q635" s="55" t="n">
        <x:v>2675</x:v>
      </x:c>
      <x:c r="R635" s="55" t="n">
        <x:v>1820</x:v>
      </x:c>
      <x:c r="S635" s="55" t="n">
        <x:v>2836</x:v>
      </x:c>
      <x:c r="T635" s="55" t="n">
        <x:v>1296</x:v>
      </x:c>
      <x:c r="U635" s="55" t="n">
        <x:v>2032</x:v>
      </x:c>
      <x:c r="V635" s="55" t="n">
        <x:v>11071</x:v>
      </x:c>
      <x:c r="W635" s="55" t="n">
        <x:v>8295</x:v>
      </x:c>
      <x:c r="X635" s="55" t="n">
        <x:v>2776</x:v>
      </x:c>
      <x:c r="Y635" s="55" t="n">
        <x:v>2429</x:v>
      </x:c>
      <x:c r="Z635" s="55" t="n">
        <x:v>3451</x:v>
      </x:c>
      <x:c r="AA635" s="55" t="n">
        <x:v>2835</x:v>
      </x:c>
      <x:c r="AB635" s="55" t="n">
        <x:v>1007</x:v>
      </x:c>
      <x:c r="AC635" s="55" t="n">
        <x:v>8166</x:v>
      </x:c>
      <x:c r="AD635" s="55" t="n">
        <x:v>2959</x:v>
      </x:c>
      <x:c r="AE635" s="55" t="n">
        <x:v>11158</x:v>
      </x:c>
      <x:c r="AF635" s="55" t="n">
        <x:v>11071</x:v>
      </x:c>
      <x:c r="AG635" s="55" t="n">
        <x:v>87</x:v>
      </x:c>
      <x:c r="AH635" s="55" t="n">
        <x:v>457</x:v>
      </x:c>
      <x:c r="AI635" s="55" t="n">
        <x:v>10614</x:v>
      </x:c>
      <x:c r="AJ635" s="55" t="n">
        <x:v>355</x:v>
      </x:c>
      <x:c r="AK635" s="55" t="n">
        <x:v>1244</x:v>
      </x:c>
      <x:c r="AL635" s="55" t="n">
        <x:v>1714</x:v>
      </x:c>
      <x:c r="AM635" s="55" t="n">
        <x:v>5095</x:v>
      </x:c>
      <x:c r="AN635" s="55" t="n">
        <x:v>2663</x:v>
      </x:c>
      <x:c r="AO635" s="55" t="n">
        <x:v>0</x:v>
      </x:c>
      <x:c r="AP635" s="55" t="n">
        <x:v>2189</x:v>
      </x:c>
      <x:c r="AQ635" s="55" t="n">
        <x:v>976</x:v>
      </x:c>
    </x:row>
    <x:row r="636">
      <x:c r="A636" s="54" t="str">
        <x:v>T0_TABLE_BLOCK</x:v>
      </x:c>
      <x:c r="B636" s="54" t="n">
        <x:v>630</x:v>
      </x:c>
      <x:c r="C636" s="54" t="str">
        <x:v>NYC-V2-R01</x:v>
      </x:c>
      <x:c r="D636" s="54" t="str">
        <x:v>V2</x:v>
      </x:c>
      <x:c r="E636" s="54" t="str">
        <x:v>ADMITTED</x:v>
      </x:c>
      <x:c r="F636" s="55" t="n">
        <x:v>30470</x:v>
      </x:c>
      <x:c r="G636" s="55" t="n">
        <x:v>8099</x:v>
      </x:c>
      <x:c r="H636" s="55" t="n">
        <x:v>3509</x:v>
      </x:c>
      <x:c r="I636" s="55" t="n">
        <x:v>1598</x:v>
      </x:c>
      <x:c r="J636" s="55" t="n">
        <x:v>181</x:v>
      </x:c>
      <x:c r="K636" s="55" t="n">
        <x:v>29823</x:v>
      </x:c>
      <x:c r="L636" s="55" t="n">
        <x:v>6566</x:v>
      </x:c>
      <x:c r="M636" s="55" t="n">
        <x:v>2450</x:v>
      </x:c>
      <x:c r="N636" s="55" t="n">
        <x:v>2138</x:v>
      </x:c>
      <x:c r="O636" s="55" t="n">
        <x:v>1978</x:v>
      </x:c>
      <x:c r="P636" s="55" t="n">
        <x:v>888</x:v>
      </x:c>
      <x:c r="Q636" s="55" t="n">
        <x:v>2802</x:v>
      </x:c>
      <x:c r="R636" s="55" t="n">
        <x:v>2106</x:v>
      </x:c>
      <x:c r="S636" s="55" t="n">
        <x:v>2938</x:v>
      </x:c>
      <x:c r="T636" s="55" t="n">
        <x:v>833</x:v>
      </x:c>
      <x:c r="U636" s="55" t="n">
        <x:v>2220</x:v>
      </x:c>
      <x:c r="V636" s="55" t="n">
        <x:v>9822</x:v>
      </x:c>
      <x:c r="W636" s="55" t="n">
        <x:v>6625</x:v>
      </x:c>
      <x:c r="X636" s="55" t="n">
        <x:v>3197</x:v>
      </x:c>
      <x:c r="Y636" s="55" t="n">
        <x:v>2888</x:v>
      </x:c>
      <x:c r="Z636" s="55" t="n">
        <x:v>3408</x:v>
      </x:c>
      <x:c r="AA636" s="55" t="n">
        <x:v>2411</x:v>
      </x:c>
      <x:c r="AB636" s="55" t="n">
        <x:v>595</x:v>
      </x:c>
      <x:c r="AC636" s="55" t="n">
        <x:v>8096</x:v>
      </x:c>
      <x:c r="AD636" s="55" t="n">
        <x:v>2880</x:v>
      </x:c>
      <x:c r="AE636" s="55" t="n">
        <x:v>9896</x:v>
      </x:c>
      <x:c r="AF636" s="55" t="n">
        <x:v>9822</x:v>
      </x:c>
      <x:c r="AG636" s="55" t="n">
        <x:v>74</x:v>
      </x:c>
      <x:c r="AH636" s="55" t="n">
        <x:v>242</x:v>
      </x:c>
      <x:c r="AI636" s="55" t="n">
        <x:v>9580</x:v>
      </x:c>
      <x:c r="AJ636" s="55" t="n">
        <x:v>513</x:v>
      </x:c>
      <x:c r="AK636" s="55" t="n">
        <x:v>712</x:v>
      </x:c>
      <x:c r="AL636" s="55" t="n">
        <x:v>1611</x:v>
      </x:c>
      <x:c r="AM636" s="55" t="n">
        <x:v>4030</x:v>
      </x:c>
      <x:c r="AN636" s="55" t="n">
        <x:v>2956</x:v>
      </x:c>
      <x:c r="AO636" s="55" t="n">
        <x:v>0</x:v>
      </x:c>
      <x:c r="AP636" s="55" t="n">
        <x:v>2298</x:v>
      </x:c>
      <x:c r="AQ636" s="55" t="n">
        <x:v>957</x:v>
      </x:c>
    </x:row>
    <x:row r="637">
      <x:c r="A637" s="54" t="str">
        <x:v>T0_TABLE_BLOCK</x:v>
      </x:c>
      <x:c r="B637" s="54" t="n">
        <x:v>631</x:v>
      </x:c>
      <x:c r="C637" s="54" t="str">
        <x:v>NYC-V2-R01</x:v>
      </x:c>
      <x:c r="D637" s="54" t="str">
        <x:v>V2</x:v>
      </x:c>
      <x:c r="E637" s="54" t="str">
        <x:v>ADMITTED</x:v>
      </x:c>
      <x:c r="F637" s="55" t="n">
        <x:v>31716</x:v>
      </x:c>
      <x:c r="G637" s="55" t="n">
        <x:v>8024</x:v>
      </x:c>
      <x:c r="H637" s="55" t="n">
        <x:v>2908</x:v>
      </x:c>
      <x:c r="I637" s="55" t="n">
        <x:v>1324</x:v>
      </x:c>
      <x:c r="J637" s="55" t="n">
        <x:v>308</x:v>
      </x:c>
      <x:c r="K637" s="55" t="n">
        <x:v>29963</x:v>
      </x:c>
      <x:c r="L637" s="55" t="n">
        <x:v>4304</x:v>
      </x:c>
      <x:c r="M637" s="55" t="n">
        <x:v>544</x:v>
      </x:c>
      <x:c r="N637" s="55" t="n">
        <x:v>2197</x:v>
      </x:c>
      <x:c r="O637" s="55" t="n">
        <x:v>1563</x:v>
      </x:c>
      <x:c r="P637" s="55" t="n">
        <x:v>1070</x:v>
      </x:c>
      <x:c r="Q637" s="55" t="n">
        <x:v>2253</x:v>
      </x:c>
      <x:c r="R637" s="55" t="n">
        <x:v>2061</x:v>
      </x:c>
      <x:c r="S637" s="55" t="n">
        <x:v>3205</x:v>
      </x:c>
      <x:c r="T637" s="55" t="n">
        <x:v>791</x:v>
      </x:c>
      <x:c r="U637" s="55" t="n">
        <x:v>1695</x:v>
      </x:c>
      <x:c r="V637" s="55" t="n">
        <x:v>10142</x:v>
      </x:c>
      <x:c r="W637" s="55" t="n">
        <x:v>7108</x:v>
      </x:c>
      <x:c r="X637" s="55" t="n">
        <x:v>3034</x:v>
      </x:c>
      <x:c r="Y637" s="55" t="n">
        <x:v>2606</x:v>
      </x:c>
      <x:c r="Z637" s="55" t="n">
        <x:v>3788</x:v>
      </x:c>
      <x:c r="AA637" s="55" t="n">
        <x:v>2908</x:v>
      </x:c>
      <x:c r="AB637" s="55" t="n">
        <x:v>1016</x:v>
      </x:c>
      <x:c r="AC637" s="55" t="n">
        <x:v>7638</x:v>
      </x:c>
      <x:c r="AD637" s="55" t="n">
        <x:v>3619</x:v>
      </x:c>
      <x:c r="AE637" s="55" t="n">
        <x:v>10354</x:v>
      </x:c>
      <x:c r="AF637" s="55" t="n">
        <x:v>10142</x:v>
      </x:c>
      <x:c r="AG637" s="55" t="n">
        <x:v>212</x:v>
      </x:c>
      <x:c r="AH637" s="55" t="n">
        <x:v>395</x:v>
      </x:c>
      <x:c r="AI637" s="55" t="n">
        <x:v>9747</x:v>
      </x:c>
      <x:c r="AJ637" s="55" t="n">
        <x:v>271</x:v>
      </x:c>
      <x:c r="AK637" s="55" t="n">
        <x:v>930</x:v>
      </x:c>
      <x:c r="AL637" s="55" t="n">
        <x:v>2050</x:v>
      </x:c>
      <x:c r="AM637" s="55" t="n">
        <x:v>4647</x:v>
      </x:c>
      <x:c r="AN637" s="55" t="n">
        <x:v>2217</x:v>
      </x:c>
      <x:c r="AO637" s="55" t="n">
        <x:v>27</x:v>
      </x:c>
      <x:c r="AP637" s="55" t="n">
        <x:v>2510</x:v>
      </x:c>
      <x:c r="AQ637" s="55" t="n">
        <x:v>960</x:v>
      </x:c>
    </x:row>
    <x:row r="638">
      <x:c r="A638" s="54" t="str">
        <x:v>T0_TABLE_BLOCK</x:v>
      </x:c>
      <x:c r="B638" s="54" t="n">
        <x:v>632</x:v>
      </x:c>
      <x:c r="C638" s="54" t="str">
        <x:v>NYC-V2-R01</x:v>
      </x:c>
      <x:c r="D638" s="54" t="str">
        <x:v>V2</x:v>
      </x:c>
      <x:c r="E638" s="54" t="str">
        <x:v>ADMITTED</x:v>
      </x:c>
      <x:c r="F638" s="55" t="n">
        <x:v>31535</x:v>
      </x:c>
      <x:c r="G638" s="55" t="n">
        <x:v>6805</x:v>
      </x:c>
      <x:c r="H638" s="55" t="n">
        <x:v>2884</x:v>
      </x:c>
      <x:c r="I638" s="55" t="n">
        <x:v>1106</x:v>
      </x:c>
      <x:c r="J638" s="55" t="n">
        <x:v>149</x:v>
      </x:c>
      <x:c r="K638" s="55" t="n">
        <x:v>31535</x:v>
      </x:c>
      <x:c r="L638" s="55" t="n">
        <x:v>5316</x:v>
      </x:c>
      <x:c r="M638" s="55" t="n">
        <x:v>529</x:v>
      </x:c>
      <x:c r="N638" s="55" t="n">
        <x:v>2697</x:v>
      </x:c>
      <x:c r="O638" s="55" t="n">
        <x:v>2090</x:v>
      </x:c>
      <x:c r="P638" s="55" t="n">
        <x:v>654</x:v>
      </x:c>
      <x:c r="Q638" s="55" t="n">
        <x:v>2595</x:v>
      </x:c>
      <x:c r="R638" s="55" t="n">
        <x:v>1909</x:v>
      </x:c>
      <x:c r="S638" s="55" t="n">
        <x:v>3080</x:v>
      </x:c>
      <x:c r="T638" s="55" t="n">
        <x:v>1300</x:v>
      </x:c>
      <x:c r="U638" s="55" t="n">
        <x:v>1163</x:v>
      </x:c>
      <x:c r="V638" s="55" t="n">
        <x:v>10183</x:v>
      </x:c>
      <x:c r="W638" s="55" t="n">
        <x:v>6940</x:v>
      </x:c>
      <x:c r="X638" s="55" t="n">
        <x:v>3243</x:v>
      </x:c>
      <x:c r="Y638" s="55" t="n">
        <x:v>2859</x:v>
      </x:c>
      <x:c r="Z638" s="55" t="n">
        <x:v>4220</x:v>
      </x:c>
      <x:c r="AA638" s="55" t="n">
        <x:v>2586</x:v>
      </x:c>
      <x:c r="AB638" s="55" t="n">
        <x:v>694</x:v>
      </x:c>
      <x:c r="AC638" s="55" t="n">
        <x:v>7953</x:v>
      </x:c>
      <x:c r="AD638" s="55" t="n">
        <x:v>3698</x:v>
      </x:c>
      <x:c r="AE638" s="55" t="n">
        <x:v>10231</x:v>
      </x:c>
      <x:c r="AF638" s="55" t="n">
        <x:v>10183</x:v>
      </x:c>
      <x:c r="AG638" s="55" t="n">
        <x:v>48</x:v>
      </x:c>
      <x:c r="AH638" s="55" t="n">
        <x:v>476</x:v>
      </x:c>
      <x:c r="AI638" s="55" t="n">
        <x:v>9707</x:v>
      </x:c>
      <x:c r="AJ638" s="55" t="n">
        <x:v>359</x:v>
      </x:c>
      <x:c r="AK638" s="55" t="n">
        <x:v>1412</x:v>
      </x:c>
      <x:c r="AL638" s="55" t="n">
        <x:v>1228</x:v>
      </x:c>
      <x:c r="AM638" s="55" t="n">
        <x:v>4863</x:v>
      </x:c>
      <x:c r="AN638" s="55" t="n">
        <x:v>2321</x:v>
      </x:c>
      <x:c r="AO638" s="55" t="n">
        <x:v>0</x:v>
      </x:c>
      <x:c r="AP638" s="55" t="n">
        <x:v>2793</x:v>
      </x:c>
      <x:c r="AQ638" s="55" t="n">
        <x:v>948</x:v>
      </x:c>
    </x:row>
    <x:row r="639">
      <x:c r="A639" s="54" t="str">
        <x:v>T0_TABLE_BLOCK</x:v>
      </x:c>
      <x:c r="B639" s="54" t="n">
        <x:v>633</x:v>
      </x:c>
      <x:c r="C639" s="54" t="str">
        <x:v>NYC-V2-R01</x:v>
      </x:c>
      <x:c r="D639" s="54" t="str">
        <x:v>V2</x:v>
      </x:c>
      <x:c r="E639" s="54" t="str">
        <x:v>ADMITTED</x:v>
      </x:c>
      <x:c r="F639" s="55" t="n">
        <x:v>31617</x:v>
      </x:c>
      <x:c r="G639" s="55" t="n">
        <x:v>7994</x:v>
      </x:c>
      <x:c r="H639" s="55" t="n">
        <x:v>3326</x:v>
      </x:c>
      <x:c r="I639" s="55" t="n">
        <x:v>1614</x:v>
      </x:c>
      <x:c r="J639" s="55" t="n">
        <x:v>267</x:v>
      </x:c>
      <x:c r="K639" s="55" t="n">
        <x:v>29979</x:v>
      </x:c>
      <x:c r="L639" s="55" t="n">
        <x:v>4626</x:v>
      </x:c>
      <x:c r="M639" s="55" t="n">
        <x:v>531</x:v>
      </x:c>
      <x:c r="N639" s="55" t="n">
        <x:v>2425</x:v>
      </x:c>
      <x:c r="O639" s="55" t="n">
        <x:v>1670</x:v>
      </x:c>
      <x:c r="P639" s="55" t="n">
        <x:v>596</x:v>
      </x:c>
      <x:c r="Q639" s="55" t="n">
        <x:v>1814</x:v>
      </x:c>
      <x:c r="R639" s="55" t="n">
        <x:v>2101</x:v>
      </x:c>
      <x:c r="S639" s="55" t="n">
        <x:v>2619</x:v>
      </x:c>
      <x:c r="T639" s="55" t="n">
        <x:v>1245</x:v>
      </x:c>
      <x:c r="U639" s="55" t="n">
        <x:v>1517</x:v>
      </x:c>
      <x:c r="V639" s="55" t="n">
        <x:v>9841</x:v>
      </x:c>
      <x:c r="W639" s="55" t="n">
        <x:v>6559</x:v>
      </x:c>
      <x:c r="X639" s="55" t="n">
        <x:v>3282</x:v>
      </x:c>
      <x:c r="Y639" s="55" t="n">
        <x:v>2726</x:v>
      </x:c>
      <x:c r="Z639" s="55" t="n">
        <x:v>3621</x:v>
      </x:c>
      <x:c r="AA639" s="55" t="n">
        <x:v>3205</x:v>
      </x:c>
      <x:c r="AB639" s="55" t="n">
        <x:v>943</x:v>
      </x:c>
      <x:c r="AC639" s="55" t="n">
        <x:v>7437</x:v>
      </x:c>
      <x:c r="AD639" s="55" t="n">
        <x:v>3270</x:v>
      </x:c>
      <x:c r="AE639" s="55" t="n">
        <x:v>9966</x:v>
      </x:c>
      <x:c r="AF639" s="55" t="n">
        <x:v>9841</x:v>
      </x:c>
      <x:c r="AG639" s="55" t="n">
        <x:v>125</x:v>
      </x:c>
      <x:c r="AH639" s="55" t="n">
        <x:v>86</x:v>
      </x:c>
      <x:c r="AI639" s="55" t="n">
        <x:v>9755</x:v>
      </x:c>
      <x:c r="AJ639" s="55" t="n">
        <x:v>366</x:v>
      </x:c>
      <x:c r="AK639" s="55" t="n">
        <x:v>1235</x:v>
      </x:c>
      <x:c r="AL639" s="55" t="n">
        <x:v>1466</x:v>
      </x:c>
      <x:c r="AM639" s="55" t="n">
        <x:v>4540</x:v>
      </x:c>
      <x:c r="AN639" s="55" t="n">
        <x:v>2234</x:v>
      </x:c>
      <x:c r="AO639" s="55" t="n">
        <x:v>0</x:v>
      </x:c>
      <x:c r="AP639" s="55" t="n">
        <x:v>2876</x:v>
      </x:c>
      <x:c r="AQ639" s="55" t="n">
        <x:v>953</x:v>
      </x:c>
    </x:row>
    <x:row r="640">
      <x:c r="A640" s="54" t="str">
        <x:v>T0_TABLE_BLOCK</x:v>
      </x:c>
      <x:c r="B640" s="54" t="n">
        <x:v>634</x:v>
      </x:c>
      <x:c r="C640" s="54" t="str">
        <x:v>NYC-V2-R01</x:v>
      </x:c>
      <x:c r="D640" s="54" t="str">
        <x:v>V2</x:v>
      </x:c>
      <x:c r="E640" s="54" t="str">
        <x:v>ADMITTED</x:v>
      </x:c>
      <x:c r="F640" s="55" t="n">
        <x:v>31565</x:v>
      </x:c>
      <x:c r="G640" s="55" t="n">
        <x:v>7902</x:v>
      </x:c>
      <x:c r="H640" s="55" t="n">
        <x:v>3410</x:v>
      </x:c>
      <x:c r="I640" s="55" t="n">
        <x:v>1496</x:v>
      </x:c>
      <x:c r="J640" s="55" t="n">
        <x:v>490</x:v>
      </x:c>
      <x:c r="K640" s="55" t="n">
        <x:v>31565</x:v>
      </x:c>
      <x:c r="L640" s="55" t="n">
        <x:v>6389</x:v>
      </x:c>
      <x:c r="M640" s="55" t="n">
        <x:v>1158</x:v>
      </x:c>
      <x:c r="N640" s="55" t="n">
        <x:v>2798</x:v>
      </x:c>
      <x:c r="O640" s="55" t="n">
        <x:v>2433</x:v>
      </x:c>
      <x:c r="P640" s="55" t="n">
        <x:v>511</x:v>
      </x:c>
      <x:c r="Q640" s="55" t="n">
        <x:v>1743</x:v>
      </x:c>
      <x:c r="R640" s="55" t="n">
        <x:v>2006</x:v>
      </x:c>
      <x:c r="S640" s="55" t="n">
        <x:v>2744</x:v>
      </x:c>
      <x:c r="T640" s="55" t="n">
        <x:v>686</x:v>
      </x:c>
      <x:c r="U640" s="55" t="n">
        <x:v>2071</x:v>
      </x:c>
      <x:c r="V640" s="55" t="n">
        <x:v>10052</x:v>
      </x:c>
      <x:c r="W640" s="55" t="n">
        <x:v>6550</x:v>
      </x:c>
      <x:c r="X640" s="55" t="n">
        <x:v>3502</x:v>
      </x:c>
      <x:c r="Y640" s="55" t="n">
        <x:v>3207</x:v>
      </x:c>
      <x:c r="Z640" s="55" t="n">
        <x:v>3292</x:v>
      </x:c>
      <x:c r="AA640" s="55" t="n">
        <x:v>2930</x:v>
      </x:c>
      <x:c r="AB640" s="55" t="n">
        <x:v>1310</x:v>
      </x:c>
      <x:c r="AC640" s="55" t="n">
        <x:v>8498</x:v>
      </x:c>
      <x:c r="AD640" s="55" t="n">
        <x:v>2825</x:v>
      </x:c>
      <x:c r="AE640" s="55" t="n">
        <x:v>10173</x:v>
      </x:c>
      <x:c r="AF640" s="55" t="n">
        <x:v>10052</x:v>
      </x:c>
      <x:c r="AG640" s="55" t="n">
        <x:v>121</x:v>
      </x:c>
      <x:c r="AH640" s="55" t="n">
        <x:v>430</x:v>
      </x:c>
      <x:c r="AI640" s="55" t="n">
        <x:v>9622</x:v>
      </x:c>
      <x:c r="AJ640" s="55" t="n">
        <x:v>63</x:v>
      </x:c>
      <x:c r="AK640" s="55" t="n">
        <x:v>778</x:v>
      </x:c>
      <x:c r="AL640" s="55" t="n">
        <x:v>1413</x:v>
      </x:c>
      <x:c r="AM640" s="55" t="n">
        <x:v>4999</x:v>
      </x:c>
      <x:c r="AN640" s="55" t="n">
        <x:v>2762</x:v>
      </x:c>
      <x:c r="AO640" s="55" t="n">
        <x:v>37</x:v>
      </x:c>
      <x:c r="AP640" s="55" t="n">
        <x:v>1728</x:v>
      </x:c>
      <x:c r="AQ640" s="55" t="n">
        <x:v>953</x:v>
      </x:c>
    </x:row>
    <x:row r="641">
      <x:c r="A641" s="54" t="str">
        <x:v>T0_TABLE_BLOCK</x:v>
      </x:c>
      <x:c r="B641" s="54" t="n">
        <x:v>635</x:v>
      </x:c>
      <x:c r="C641" s="54" t="str">
        <x:v>NYC-V2-R01</x:v>
      </x:c>
      <x:c r="D641" s="54" t="str">
        <x:v>V2</x:v>
      </x:c>
      <x:c r="E641" s="54" t="str">
        <x:v>ADMITTED</x:v>
      </x:c>
      <x:c r="F641" s="55" t="n">
        <x:v>29355</x:v>
      </x:c>
      <x:c r="G641" s="55" t="n">
        <x:v>6408</x:v>
      </x:c>
      <x:c r="H641" s="55" t="n">
        <x:v>3167</x:v>
      </x:c>
      <x:c r="I641" s="55" t="n">
        <x:v>1291</x:v>
      </x:c>
      <x:c r="J641" s="55" t="n">
        <x:v>207</x:v>
      </x:c>
      <x:c r="K641" s="55" t="n">
        <x:v>29355</x:v>
      </x:c>
      <x:c r="L641" s="55" t="n">
        <x:v>4422</x:v>
      </x:c>
      <x:c r="M641" s="55" t="n">
        <x:v>584</x:v>
      </x:c>
      <x:c r="N641" s="55" t="n">
        <x:v>2425</x:v>
      </x:c>
      <x:c r="O641" s="55" t="n">
        <x:v>1413</x:v>
      </x:c>
      <x:c r="P641" s="55" t="n">
        <x:v>982</x:v>
      </x:c>
      <x:c r="Q641" s="55" t="n">
        <x:v>2586</x:v>
      </x:c>
      <x:c r="R641" s="55" t="n">
        <x:v>2104</x:v>
      </x:c>
      <x:c r="S641" s="55" t="n">
        <x:v>3209</x:v>
      </x:c>
      <x:c r="T641" s="55" t="n">
        <x:v>1382</x:v>
      </x:c>
      <x:c r="U641" s="55" t="n">
        <x:v>1903</x:v>
      </x:c>
      <x:c r="V641" s="55" t="n">
        <x:v>10298</x:v>
      </x:c>
      <x:c r="W641" s="55" t="n">
        <x:v>7320</x:v>
      </x:c>
      <x:c r="X641" s="55" t="n">
        <x:v>2978</x:v>
      </x:c>
      <x:c r="Y641" s="55" t="n">
        <x:v>2405</x:v>
      </x:c>
      <x:c r="Z641" s="55" t="n">
        <x:v>3390</x:v>
      </x:c>
      <x:c r="AA641" s="55" t="n">
        <x:v>2855</x:v>
      </x:c>
      <x:c r="AB641" s="55" t="n">
        <x:v>1418</x:v>
      </x:c>
      <x:c r="AC641" s="55" t="n">
        <x:v>8318</x:v>
      </x:c>
      <x:c r="AD641" s="55" t="n">
        <x:v>2760</x:v>
      </x:c>
      <x:c r="AE641" s="55" t="n">
        <x:v>10373</x:v>
      </x:c>
      <x:c r="AF641" s="55" t="n">
        <x:v>10298</x:v>
      </x:c>
      <x:c r="AG641" s="55" t="n">
        <x:v>75</x:v>
      </x:c>
      <x:c r="AH641" s="55" t="n">
        <x:v>359</x:v>
      </x:c>
      <x:c r="AI641" s="55" t="n">
        <x:v>9939</x:v>
      </x:c>
      <x:c r="AJ641" s="55" t="n">
        <x:v>262</x:v>
      </x:c>
      <x:c r="AK641" s="55" t="n">
        <x:v>552</x:v>
      </x:c>
      <x:c r="AL641" s="55" t="n">
        <x:v>1697</x:v>
      </x:c>
      <x:c r="AM641" s="55" t="n">
        <x:v>5191</x:v>
      </x:c>
      <x:c r="AN641" s="55" t="n">
        <x:v>2596</x:v>
      </x:c>
      <x:c r="AO641" s="55" t="n">
        <x:v>0</x:v>
      </x:c>
      <x:c r="AP641" s="55" t="n">
        <x:v>2482</x:v>
      </x:c>
      <x:c r="AQ641" s="55" t="n">
        <x:v>966</x:v>
      </x:c>
    </x:row>
    <x:row r="642">
      <x:c r="A642" s="54" t="str">
        <x:v>T0_TABLE_BLOCK</x:v>
      </x:c>
      <x:c r="B642" s="54" t="n">
        <x:v>636</x:v>
      </x:c>
      <x:c r="C642" s="54" t="str">
        <x:v>NYC-V2-R01</x:v>
      </x:c>
      <x:c r="D642" s="54" t="str">
        <x:v>V2</x:v>
      </x:c>
      <x:c r="E642" s="54" t="str">
        <x:v>ADMITTED</x:v>
      </x:c>
      <x:c r="F642" s="55" t="n">
        <x:v>28810</x:v>
      </x:c>
      <x:c r="G642" s="55" t="n">
        <x:v>7339</x:v>
      </x:c>
      <x:c r="H642" s="55" t="n">
        <x:v>3205</x:v>
      </x:c>
      <x:c r="I642" s="55" t="n">
        <x:v>1374</x:v>
      </x:c>
      <x:c r="J642" s="55" t="n">
        <x:v>168</x:v>
      </x:c>
      <x:c r="K642" s="55" t="n">
        <x:v>28679</x:v>
      </x:c>
      <x:c r="L642" s="55" t="n">
        <x:v>5779</x:v>
      </x:c>
      <x:c r="M642" s="55" t="n">
        <x:v>822</x:v>
      </x:c>
      <x:c r="N642" s="55" t="n">
        <x:v>3351</x:v>
      </x:c>
      <x:c r="O642" s="55" t="n">
        <x:v>1606</x:v>
      </x:c>
      <x:c r="P642" s="55" t="n">
        <x:v>732</x:v>
      </x:c>
      <x:c r="Q642" s="55" t="n">
        <x:v>2626</x:v>
      </x:c>
      <x:c r="R642" s="55" t="n">
        <x:v>1889</x:v>
      </x:c>
      <x:c r="S642" s="55" t="n">
        <x:v>2509</x:v>
      </x:c>
      <x:c r="T642" s="55" t="n">
        <x:v>965</x:v>
      </x:c>
      <x:c r="U642" s="55" t="n">
        <x:v>2192</x:v>
      </x:c>
      <x:c r="V642" s="55" t="n">
        <x:v>10009</x:v>
      </x:c>
      <x:c r="W642" s="55" t="n">
        <x:v>7085</x:v>
      </x:c>
      <x:c r="X642" s="55" t="n">
        <x:v>2924</x:v>
      </x:c>
      <x:c r="Y642" s="55" t="n">
        <x:v>2516</x:v>
      </x:c>
      <x:c r="Z642" s="55" t="n">
        <x:v>3232</x:v>
      </x:c>
      <x:c r="AA642" s="55" t="n">
        <x:v>3205</x:v>
      </x:c>
      <x:c r="AB642" s="55" t="n">
        <x:v>1266</x:v>
      </x:c>
      <x:c r="AC642" s="55" t="n">
        <x:v>8159</x:v>
      </x:c>
      <x:c r="AD642" s="55" t="n">
        <x:v>2855</x:v>
      </x:c>
      <x:c r="AE642" s="55" t="n">
        <x:v>10139</x:v>
      </x:c>
      <x:c r="AF642" s="55" t="n">
        <x:v>10009</x:v>
      </x:c>
      <x:c r="AG642" s="55" t="n">
        <x:v>130</x:v>
      </x:c>
      <x:c r="AH642" s="55" t="n">
        <x:v>355</x:v>
      </x:c>
      <x:c r="AI642" s="55" t="n">
        <x:v>9654</x:v>
      </x:c>
      <x:c r="AJ642" s="55" t="n">
        <x:v>368</x:v>
      </x:c>
      <x:c r="AK642" s="55" t="n">
        <x:v>641</x:v>
      </x:c>
      <x:c r="AL642" s="55" t="n">
        <x:v>1610</x:v>
      </x:c>
      <x:c r="AM642" s="55" t="n">
        <x:v>4490</x:v>
      </x:c>
      <x:c r="AN642" s="55" t="n">
        <x:v>2832</x:v>
      </x:c>
      <x:c r="AO642" s="55" t="n">
        <x:v>68</x:v>
      </x:c>
      <x:c r="AP642" s="55" t="n">
        <x:v>1751</x:v>
      </x:c>
      <x:c r="AQ642" s="55" t="n">
        <x:v>995</x:v>
      </x:c>
    </x:row>
    <x:row r="643">
      <x:c r="A643" s="54" t="str">
        <x:v>T0_TABLE_BLOCK</x:v>
      </x:c>
      <x:c r="B643" s="54" t="n">
        <x:v>637</x:v>
      </x:c>
      <x:c r="C643" s="54" t="str">
        <x:v>NYC-V2-R01</x:v>
      </x:c>
      <x:c r="D643" s="54" t="str">
        <x:v>V2</x:v>
      </x:c>
      <x:c r="E643" s="54" t="str">
        <x:v>ADMITTED</x:v>
      </x:c>
      <x:c r="F643" s="55" t="n">
        <x:v>33141</x:v>
      </x:c>
      <x:c r="G643" s="55" t="n">
        <x:v>8622</x:v>
      </x:c>
      <x:c r="H643" s="55" t="n">
        <x:v>3733</x:v>
      </x:c>
      <x:c r="I643" s="55" t="n">
        <x:v>1647</x:v>
      </x:c>
      <x:c r="J643" s="55" t="n">
        <x:v>294</x:v>
      </x:c>
      <x:c r="K643" s="55" t="n">
        <x:v>29799</x:v>
      </x:c>
      <x:c r="L643" s="55" t="n">
        <x:v>6382</x:v>
      </x:c>
      <x:c r="M643" s="55" t="n">
        <x:v>1751</x:v>
      </x:c>
      <x:c r="N643" s="55" t="n">
        <x:v>2875</x:v>
      </x:c>
      <x:c r="O643" s="55" t="n">
        <x:v>1756</x:v>
      </x:c>
      <x:c r="P643" s="55" t="n">
        <x:v>1135</x:v>
      </x:c>
      <x:c r="Q643" s="55" t="n">
        <x:v>2109</x:v>
      </x:c>
      <x:c r="R643" s="55" t="n">
        <x:v>1678</x:v>
      </x:c>
      <x:c r="S643" s="55" t="n">
        <x:v>2315</x:v>
      </x:c>
      <x:c r="T643" s="55" t="n">
        <x:v>1365</x:v>
      </x:c>
      <x:c r="U643" s="55" t="n">
        <x:v>1710</x:v>
      </x:c>
      <x:c r="V643" s="55" t="n">
        <x:v>10196</x:v>
      </x:c>
      <x:c r="W643" s="55" t="n">
        <x:v>6981</x:v>
      </x:c>
      <x:c r="X643" s="55" t="n">
        <x:v>3215</x:v>
      </x:c>
      <x:c r="Y643" s="55" t="n">
        <x:v>2738</x:v>
      </x:c>
      <x:c r="Z643" s="55" t="n">
        <x:v>3193</x:v>
      </x:c>
      <x:c r="AA643" s="55" t="n">
        <x:v>2630</x:v>
      </x:c>
      <x:c r="AB643" s="55" t="n">
        <x:v>928</x:v>
      </x:c>
      <x:c r="AC643" s="55" t="n">
        <x:v>8670</x:v>
      </x:c>
      <x:c r="AD643" s="55" t="n">
        <x:v>2985</x:v>
      </x:c>
      <x:c r="AE643" s="55" t="n">
        <x:v>10295</x:v>
      </x:c>
      <x:c r="AF643" s="55" t="n">
        <x:v>10196</x:v>
      </x:c>
      <x:c r="AG643" s="55" t="n">
        <x:v>99</x:v>
      </x:c>
      <x:c r="AH643" s="55" t="n">
        <x:v>528</x:v>
      </x:c>
      <x:c r="AI643" s="55" t="n">
        <x:v>9668</x:v>
      </x:c>
      <x:c r="AJ643" s="55" t="n">
        <x:v>301</x:v>
      </x:c>
      <x:c r="AK643" s="55" t="n">
        <x:v>944</x:v>
      </x:c>
      <x:c r="AL643" s="55" t="n">
        <x:v>1350</x:v>
      </x:c>
      <x:c r="AM643" s="55" t="n">
        <x:v>4055</x:v>
      </x:c>
      <x:c r="AN643" s="55" t="n">
        <x:v>3480</x:v>
      </x:c>
      <x:c r="AO643" s="55" t="n">
        <x:v>66</x:v>
      </x:c>
      <x:c r="AP643" s="55" t="n">
        <x:v>2223</x:v>
      </x:c>
      <x:c r="AQ643" s="55" t="n">
        <x:v>970</x:v>
      </x:c>
    </x:row>
    <x:row r="644">
      <x:c r="A644" s="54" t="str">
        <x:v>T0_TABLE_BLOCK</x:v>
      </x:c>
      <x:c r="B644" s="54" t="n">
        <x:v>638</x:v>
      </x:c>
      <x:c r="C644" s="54" t="str">
        <x:v>NYC-V2-R01</x:v>
      </x:c>
      <x:c r="D644" s="54" t="str">
        <x:v>V2</x:v>
      </x:c>
      <x:c r="E644" s="54" t="str">
        <x:v>ADMITTED</x:v>
      </x:c>
      <x:c r="F644" s="55" t="n">
        <x:v>31858</x:v>
      </x:c>
      <x:c r="G644" s="55" t="n">
        <x:v>7347</x:v>
      </x:c>
      <x:c r="H644" s="55" t="n">
        <x:v>2901</x:v>
      </x:c>
      <x:c r="I644" s="55" t="n">
        <x:v>822</x:v>
      </x:c>
      <x:c r="J644" s="55" t="n">
        <x:v>66</x:v>
      </x:c>
      <x:c r="K644" s="55" t="n">
        <x:v>31858</x:v>
      </x:c>
      <x:c r="L644" s="55" t="n">
        <x:v>6240</x:v>
      </x:c>
      <x:c r="M644" s="55" t="n">
        <x:v>1476</x:v>
      </x:c>
      <x:c r="N644" s="55" t="n">
        <x:v>2441</x:v>
      </x:c>
      <x:c r="O644" s="55" t="n">
        <x:v>2323</x:v>
      </x:c>
      <x:c r="P644" s="55" t="n">
        <x:v>1024</x:v>
      </x:c>
      <x:c r="Q644" s="55" t="n">
        <x:v>2490</x:v>
      </x:c>
      <x:c r="R644" s="55" t="n">
        <x:v>1472</x:v>
      </x:c>
      <x:c r="S644" s="55" t="n">
        <x:v>3496</x:v>
      </x:c>
      <x:c r="T644" s="55" t="n">
        <x:v>951</x:v>
      </x:c>
      <x:c r="U644" s="55" t="n">
        <x:v>1770</x:v>
      </x:c>
      <x:c r="V644" s="55" t="n">
        <x:v>11396</x:v>
      </x:c>
      <x:c r="W644" s="55" t="n">
        <x:v>8054</x:v>
      </x:c>
      <x:c r="X644" s="55" t="n">
        <x:v>3342</x:v>
      </x:c>
      <x:c r="Y644" s="55" t="n">
        <x:v>2831</x:v>
      </x:c>
      <x:c r="Z644" s="55" t="n">
        <x:v>3230</x:v>
      </x:c>
      <x:c r="AA644" s="55" t="n">
        <x:v>2901</x:v>
      </x:c>
      <x:c r="AB644" s="55" t="n">
        <x:v>1099</x:v>
      </x:c>
      <x:c r="AC644" s="55" t="n">
        <x:v>8124</x:v>
      </x:c>
      <x:c r="AD644" s="55" t="n">
        <x:v>2163</x:v>
      </x:c>
      <x:c r="AE644" s="55" t="n">
        <x:v>11455</x:v>
      </x:c>
      <x:c r="AF644" s="55" t="n">
        <x:v>11396</x:v>
      </x:c>
      <x:c r="AG644" s="55" t="n">
        <x:v>59</x:v>
      </x:c>
      <x:c r="AH644" s="55" t="n">
        <x:v>685</x:v>
      </x:c>
      <x:c r="AI644" s="55" t="n">
        <x:v>10711</x:v>
      </x:c>
      <x:c r="AJ644" s="55" t="n">
        <x:v>306</x:v>
      </x:c>
      <x:c r="AK644" s="55" t="n">
        <x:v>837</x:v>
      </x:c>
      <x:c r="AL644" s="55" t="n">
        <x:v>1565</x:v>
      </x:c>
      <x:c r="AM644" s="55" t="n">
        <x:v>5347</x:v>
      </x:c>
      <x:c r="AN644" s="55" t="n">
        <x:v>3274</x:v>
      </x:c>
      <x:c r="AO644" s="55" t="n">
        <x:v>67</x:v>
      </x:c>
      <x:c r="AP644" s="55" t="n">
        <x:v>2403</x:v>
      </x:c>
      <x:c r="AQ644" s="55" t="n">
        <x:v>982</x:v>
      </x:c>
    </x:row>
    <x:row r="645">
      <x:c r="A645" s="54" t="str">
        <x:v>T0_TABLE_BLOCK</x:v>
      </x:c>
      <x:c r="B645" s="54" t="n">
        <x:v>639</x:v>
      </x:c>
      <x:c r="C645" s="54" t="str">
        <x:v>NYC-V2-R01</x:v>
      </x:c>
      <x:c r="D645" s="54" t="str">
        <x:v>V2</x:v>
      </x:c>
      <x:c r="E645" s="54" t="str">
        <x:v>ADMITTED</x:v>
      </x:c>
      <x:c r="F645" s="55" t="n">
        <x:v>30474</x:v>
      </x:c>
      <x:c r="G645" s="55" t="n">
        <x:v>7148</x:v>
      </x:c>
      <x:c r="H645" s="55" t="n">
        <x:v>3351</x:v>
      </x:c>
      <x:c r="I645" s="55" t="n">
        <x:v>1272</x:v>
      </x:c>
      <x:c r="J645" s="55" t="n">
        <x:v>343</x:v>
      </x:c>
      <x:c r="K645" s="55" t="n">
        <x:v>27527</x:v>
      </x:c>
      <x:c r="L645" s="55" t="n">
        <x:v>5481</x:v>
      </x:c>
      <x:c r="M645" s="55" t="n">
        <x:v>1243</x:v>
      </x:c>
      <x:c r="N645" s="55" t="n">
        <x:v>2921</x:v>
      </x:c>
      <x:c r="O645" s="55" t="n">
        <x:v>1317</x:v>
      </x:c>
      <x:c r="P645" s="55" t="n">
        <x:v>342</x:v>
      </x:c>
      <x:c r="Q645" s="55" t="n">
        <x:v>2561</x:v>
      </x:c>
      <x:c r="R645" s="55" t="n">
        <x:v>2329</x:v>
      </x:c>
      <x:c r="S645" s="55" t="n">
        <x:v>2324</x:v>
      </x:c>
      <x:c r="T645" s="55" t="n">
        <x:v>1520</x:v>
      </x:c>
      <x:c r="U645" s="55" t="n">
        <x:v>1505</x:v>
      </x:c>
      <x:c r="V645" s="55" t="n">
        <x:v>10155</x:v>
      </x:c>
      <x:c r="W645" s="55" t="n">
        <x:v>7311</x:v>
      </x:c>
      <x:c r="X645" s="55" t="n">
        <x:v>2844</x:v>
      </x:c>
      <x:c r="Y645" s="55" t="n">
        <x:v>2547</x:v>
      </x:c>
      <x:c r="Z645" s="55" t="n">
        <x:v>4271</x:v>
      </x:c>
      <x:c r="AA645" s="55" t="n">
        <x:v>2990</x:v>
      </x:c>
      <x:c r="AB645" s="55" t="n">
        <x:v>947</x:v>
      </x:c>
      <x:c r="AC645" s="55" t="n">
        <x:v>7871</x:v>
      </x:c>
      <x:c r="AD645" s="55" t="n">
        <x:v>3073</x:v>
      </x:c>
      <x:c r="AE645" s="55" t="n">
        <x:v>10240</x:v>
      </x:c>
      <x:c r="AF645" s="55" t="n">
        <x:v>10155</x:v>
      </x:c>
      <x:c r="AG645" s="55" t="n">
        <x:v>85</x:v>
      </x:c>
      <x:c r="AH645" s="55" t="n">
        <x:v>429</x:v>
      </x:c>
      <x:c r="AI645" s="55" t="n">
        <x:v>9726</x:v>
      </x:c>
      <x:c r="AJ645" s="55" t="n">
        <x:v>376</x:v>
      </x:c>
      <x:c r="AK645" s="55" t="n">
        <x:v>797</x:v>
      </x:c>
      <x:c r="AL645" s="55" t="n">
        <x:v>1604</x:v>
      </x:c>
      <x:c r="AM645" s="55" t="n">
        <x:v>5140</x:v>
      </x:c>
      <x:c r="AN645" s="55" t="n">
        <x:v>2190</x:v>
      </x:c>
      <x:c r="AO645" s="55" t="n">
        <x:v>48</x:v>
      </x:c>
      <x:c r="AP645" s="55" t="n">
        <x:v>2344</x:v>
      </x:c>
      <x:c r="AQ645" s="55" t="n">
        <x:v>962</x:v>
      </x:c>
    </x:row>
    <x:row r="646">
      <x:c r="A646" s="54" t="str">
        <x:v>T0_TABLE_BLOCK</x:v>
      </x:c>
      <x:c r="B646" s="54" t="n">
        <x:v>640</x:v>
      </x:c>
      <x:c r="C646" s="54" t="str">
        <x:v>NYC-V2-R01</x:v>
      </x:c>
      <x:c r="D646" s="54" t="str">
        <x:v>V2</x:v>
      </x:c>
      <x:c r="E646" s="54" t="str">
        <x:v>ADMITTED</x:v>
      </x:c>
      <x:c r="F646" s="55" t="n">
        <x:v>30010</x:v>
      </x:c>
      <x:c r="G646" s="55" t="n">
        <x:v>6229</x:v>
      </x:c>
      <x:c r="H646" s="55" t="n">
        <x:v>3751</x:v>
      </x:c>
      <x:c r="I646" s="55" t="n">
        <x:v>1807</x:v>
      </x:c>
      <x:c r="J646" s="55" t="n">
        <x:v>152</x:v>
      </x:c>
      <x:c r="K646" s="55" t="n">
        <x:v>30010</x:v>
      </x:c>
      <x:c r="L646" s="55" t="n">
        <x:v>3902</x:v>
      </x:c>
      <x:c r="M646" s="55" t="n">
        <x:v>0</x:v>
      </x:c>
      <x:c r="N646" s="55" t="n">
        <x:v>2625</x:v>
      </x:c>
      <x:c r="O646" s="55" t="n">
        <x:v>1277</x:v>
      </x:c>
      <x:c r="P646" s="55" t="n">
        <x:v>943</x:v>
      </x:c>
      <x:c r="Q646" s="55" t="n">
        <x:v>1454</x:v>
      </x:c>
      <x:c r="R646" s="55" t="n">
        <x:v>1676</x:v>
      </x:c>
      <x:c r="S646" s="55" t="n">
        <x:v>2552</x:v>
      </x:c>
      <x:c r="T646" s="55" t="n">
        <x:v>1182</x:v>
      </x:c>
      <x:c r="U646" s="55" t="n">
        <x:v>2017</x:v>
      </x:c>
      <x:c r="V646" s="55" t="n">
        <x:v>9872</x:v>
      </x:c>
      <x:c r="W646" s="55" t="n">
        <x:v>6607</x:v>
      </x:c>
      <x:c r="X646" s="55" t="n">
        <x:v>3265</x:v>
      </x:c>
      <x:c r="Y646" s="55" t="n">
        <x:v>2865</x:v>
      </x:c>
      <x:c r="Z646" s="55" t="n">
        <x:v>3494</x:v>
      </x:c>
      <x:c r="AA646" s="55" t="n">
        <x:v>2098</x:v>
      </x:c>
      <x:c r="AB646" s="55" t="n">
        <x:v>697</x:v>
      </x:c>
      <x:c r="AC646" s="55" t="n">
        <x:v>8262</x:v>
      </x:c>
      <x:c r="AD646" s="55" t="n">
        <x:v>2672</x:v>
      </x:c>
      <x:c r="AE646" s="55" t="n">
        <x:v>9975</x:v>
      </x:c>
      <x:c r="AF646" s="55" t="n">
        <x:v>9872</x:v>
      </x:c>
      <x:c r="AG646" s="55" t="n">
        <x:v>103</x:v>
      </x:c>
      <x:c r="AH646" s="55" t="n">
        <x:v>595</x:v>
      </x:c>
      <x:c r="AI646" s="55" t="n">
        <x:v>9277</x:v>
      </x:c>
      <x:c r="AJ646" s="55" t="n">
        <x:v>434</x:v>
      </x:c>
      <x:c r="AK646" s="55" t="n">
        <x:v>1028</x:v>
      </x:c>
      <x:c r="AL646" s="55" t="n">
        <x:v>1121</x:v>
      </x:c>
      <x:c r="AM646" s="55" t="n">
        <x:v>5115</x:v>
      </x:c>
      <x:c r="AN646" s="55" t="n">
        <x:v>2153</x:v>
      </x:c>
      <x:c r="AO646" s="55" t="n">
        <x:v>21</x:v>
      </x:c>
      <x:c r="AP646" s="55" t="n">
        <x:v>2372</x:v>
      </x:c>
      <x:c r="AQ646" s="55" t="n">
        <x:v>991</x:v>
      </x:c>
    </x:row>
    <x:row r="647">
      <x:c r="A647" s="54" t="str">
        <x:v>T0_TABLE_BLOCK</x:v>
      </x:c>
      <x:c r="B647" s="54" t="n">
        <x:v>641</x:v>
      </x:c>
      <x:c r="C647" s="54" t="str">
        <x:v>NYC-V2-R01</x:v>
      </x:c>
      <x:c r="D647" s="54" t="str">
        <x:v>V2</x:v>
      </x:c>
      <x:c r="E647" s="54" t="str">
        <x:v>ADMITTED</x:v>
      </x:c>
      <x:c r="F647" s="55" t="n">
        <x:v>31976</x:v>
      </x:c>
      <x:c r="G647" s="55" t="n">
        <x:v>7726</x:v>
      </x:c>
      <x:c r="H647" s="55" t="n">
        <x:v>3490</x:v>
      </x:c>
      <x:c r="I647" s="55" t="n">
        <x:v>1473</x:v>
      </x:c>
      <x:c r="J647" s="55" t="n">
        <x:v>392</x:v>
      </x:c>
      <x:c r="K647" s="55" t="n">
        <x:v>31165</x:v>
      </x:c>
      <x:c r="L647" s="55" t="n">
        <x:v>7753</x:v>
      </x:c>
      <x:c r="M647" s="55" t="n">
        <x:v>2345</x:v>
      </x:c>
      <x:c r="N647" s="55" t="n">
        <x:v>2980</x:v>
      </x:c>
      <x:c r="O647" s="55" t="n">
        <x:v>2428</x:v>
      </x:c>
      <x:c r="P647" s="55" t="n">
        <x:v>877</x:v>
      </x:c>
      <x:c r="Q647" s="55" t="n">
        <x:v>2462</x:v>
      </x:c>
      <x:c r="R647" s="55" t="n">
        <x:v>2442</x:v>
      </x:c>
      <x:c r="S647" s="55" t="n">
        <x:v>2955</x:v>
      </x:c>
      <x:c r="T647" s="55" t="n">
        <x:v>1255</x:v>
      </x:c>
      <x:c r="U647" s="55" t="n">
        <x:v>2371</x:v>
      </x:c>
      <x:c r="V647" s="55" t="n">
        <x:v>10899</x:v>
      </x:c>
      <x:c r="W647" s="55" t="n">
        <x:v>7562</x:v>
      </x:c>
      <x:c r="X647" s="55" t="n">
        <x:v>3337</x:v>
      </x:c>
      <x:c r="Y647" s="55" t="n">
        <x:v>2878</x:v>
      </x:c>
      <x:c r="Z647" s="55" t="n">
        <x:v>3403</x:v>
      </x:c>
      <x:c r="AA647" s="55" t="n">
        <x:v>3490</x:v>
      </x:c>
      <x:c r="AB647" s="55" t="n">
        <x:v>952</x:v>
      </x:c>
      <x:c r="AC647" s="55" t="n">
        <x:v>7065</x:v>
      </x:c>
      <x:c r="AD647" s="55" t="n">
        <x:v>2677</x:v>
      </x:c>
      <x:c r="AE647" s="55" t="n">
        <x:v>10964</x:v>
      </x:c>
      <x:c r="AF647" s="55" t="n">
        <x:v>10899</x:v>
      </x:c>
      <x:c r="AG647" s="55" t="n">
        <x:v>65</x:v>
      </x:c>
      <x:c r="AH647" s="55" t="n">
        <x:v>774</x:v>
      </x:c>
      <x:c r="AI647" s="55" t="n">
        <x:v>10125</x:v>
      </x:c>
      <x:c r="AJ647" s="55" t="n">
        <x:v>386</x:v>
      </x:c>
      <x:c r="AK647" s="55" t="n">
        <x:v>1111</x:v>
      </x:c>
      <x:c r="AL647" s="55" t="n">
        <x:v>1428</x:v>
      </x:c>
      <x:c r="AM647" s="55" t="n">
        <x:v>5354</x:v>
      </x:c>
      <x:c r="AN647" s="55" t="n">
        <x:v>2584</x:v>
      </x:c>
      <x:c r="AO647" s="55" t="n">
        <x:v>36</x:v>
      </x:c>
      <x:c r="AP647" s="55" t="n">
        <x:v>2321</x:v>
      </x:c>
      <x:c r="AQ647" s="55" t="n">
        <x:v>966</x:v>
      </x:c>
    </x:row>
    <x:row r="648">
      <x:c r="A648" s="54" t="str">
        <x:v>T0_TABLE_BLOCK</x:v>
      </x:c>
      <x:c r="B648" s="54" t="n">
        <x:v>642</x:v>
      </x:c>
      <x:c r="C648" s="54" t="str">
        <x:v>NYC-V2-R01</x:v>
      </x:c>
      <x:c r="D648" s="54" t="str">
        <x:v>V2</x:v>
      </x:c>
      <x:c r="E648" s="54" t="str">
        <x:v>ADMITTED</x:v>
      </x:c>
      <x:c r="F648" s="55" t="n">
        <x:v>32386</x:v>
      </x:c>
      <x:c r="G648" s="55" t="n">
        <x:v>8710</x:v>
      </x:c>
      <x:c r="H648" s="55" t="n">
        <x:v>3018</x:v>
      </x:c>
      <x:c r="I648" s="55" t="n">
        <x:v>1399</x:v>
      </x:c>
      <x:c r="J648" s="55" t="n">
        <x:v>75</x:v>
      </x:c>
      <x:c r="K648" s="55" t="n">
        <x:v>32386</x:v>
      </x:c>
      <x:c r="L648" s="55" t="n">
        <x:v>5405</x:v>
      </x:c>
      <x:c r="M648" s="55" t="n">
        <x:v>1172</x:v>
      </x:c>
      <x:c r="N648" s="55" t="n">
        <x:v>2487</x:v>
      </x:c>
      <x:c r="O648" s="55" t="n">
        <x:v>1746</x:v>
      </x:c>
      <x:c r="P648" s="55" t="n">
        <x:v>866</x:v>
      </x:c>
      <x:c r="Q648" s="55" t="n">
        <x:v>1663</x:v>
      </x:c>
      <x:c r="R648" s="55" t="n">
        <x:v>1557</x:v>
      </x:c>
      <x:c r="S648" s="55" t="n">
        <x:v>3077</x:v>
      </x:c>
      <x:c r="T648" s="55" t="n">
        <x:v>970</x:v>
      </x:c>
      <x:c r="U648" s="55" t="n">
        <x:v>1885</x:v>
      </x:c>
      <x:c r="V648" s="55" t="n">
        <x:v>10839</x:v>
      </x:c>
      <x:c r="W648" s="55" t="n">
        <x:v>8308</x:v>
      </x:c>
      <x:c r="X648" s="55" t="n">
        <x:v>2531</x:v>
      </x:c>
      <x:c r="Y648" s="55" t="n">
        <x:v>2416</x:v>
      </x:c>
      <x:c r="Z648" s="55" t="n">
        <x:v>4053</x:v>
      </x:c>
      <x:c r="AA648" s="55" t="n">
        <x:v>2282</x:v>
      </x:c>
      <x:c r="AB648" s="55" t="n">
        <x:v>468</x:v>
      </x:c>
      <x:c r="AC648" s="55" t="n">
        <x:v>7305</x:v>
      </x:c>
      <x:c r="AD648" s="55" t="n">
        <x:v>3204</x:v>
      </x:c>
      <x:c r="AE648" s="55" t="n">
        <x:v>10877</x:v>
      </x:c>
      <x:c r="AF648" s="55" t="n">
        <x:v>10839</x:v>
      </x:c>
      <x:c r="AG648" s="55" t="n">
        <x:v>38</x:v>
      </x:c>
      <x:c r="AH648" s="55" t="n">
        <x:v>350</x:v>
      </x:c>
      <x:c r="AI648" s="55" t="n">
        <x:v>10489</x:v>
      </x:c>
      <x:c r="AJ648" s="55" t="n">
        <x:v>292</x:v>
      </x:c>
      <x:c r="AK648" s="55" t="n">
        <x:v>1196</x:v>
      </x:c>
      <x:c r="AL648" s="55" t="n">
        <x:v>1455</x:v>
      </x:c>
      <x:c r="AM648" s="55" t="n">
        <x:v>5152</x:v>
      </x:c>
      <x:c r="AN648" s="55" t="n">
        <x:v>2744</x:v>
      </x:c>
      <x:c r="AO648" s="55" t="n">
        <x:v>0</x:v>
      </x:c>
      <x:c r="AP648" s="55" t="n">
        <x:v>2404</x:v>
      </x:c>
      <x:c r="AQ648" s="55" t="n">
        <x:v>999</x:v>
      </x:c>
    </x:row>
    <x:row r="649">
      <x:c r="A649" s="54" t="str">
        <x:v>T0_TABLE_BLOCK</x:v>
      </x:c>
      <x:c r="B649" s="54" t="n">
        <x:v>643</x:v>
      </x:c>
      <x:c r="C649" s="54" t="str">
        <x:v>NYC-V2-R01</x:v>
      </x:c>
      <x:c r="D649" s="54" t="str">
        <x:v>V2</x:v>
      </x:c>
      <x:c r="E649" s="54" t="str">
        <x:v>ADMITTED</x:v>
      </x:c>
      <x:c r="F649" s="55" t="n">
        <x:v>33586</x:v>
      </x:c>
      <x:c r="G649" s="55" t="n">
        <x:v>8471</x:v>
      </x:c>
      <x:c r="H649" s="55" t="n">
        <x:v>2996</x:v>
      </x:c>
      <x:c r="I649" s="55" t="n">
        <x:v>1229</x:v>
      </x:c>
      <x:c r="J649" s="55" t="n">
        <x:v>116</x:v>
      </x:c>
      <x:c r="K649" s="55" t="n">
        <x:v>33586</x:v>
      </x:c>
      <x:c r="L649" s="55" t="n">
        <x:v>7833</x:v>
      </x:c>
      <x:c r="M649" s="55" t="n">
        <x:v>2617</x:v>
      </x:c>
      <x:c r="N649" s="55" t="n">
        <x:v>3391</x:v>
      </x:c>
      <x:c r="O649" s="55" t="n">
        <x:v>1825</x:v>
      </x:c>
      <x:c r="P649" s="55" t="n">
        <x:v>538</x:v>
      </x:c>
      <x:c r="Q649" s="55" t="n">
        <x:v>1903</x:v>
      </x:c>
      <x:c r="R649" s="55" t="n">
        <x:v>1895</x:v>
      </x:c>
      <x:c r="S649" s="55" t="n">
        <x:v>3016</x:v>
      </x:c>
      <x:c r="T649" s="55" t="n">
        <x:v>1194</x:v>
      </x:c>
      <x:c r="U649" s="55" t="n">
        <x:v>2598</x:v>
      </x:c>
      <x:c r="V649" s="55" t="n">
        <x:v>10534</x:v>
      </x:c>
      <x:c r="W649" s="55" t="n">
        <x:v>7536</x:v>
      </x:c>
      <x:c r="X649" s="55" t="n">
        <x:v>2998</x:v>
      </x:c>
      <x:c r="Y649" s="55" t="n">
        <x:v>2664</x:v>
      </x:c>
      <x:c r="Z649" s="55" t="n">
        <x:v>3690</x:v>
      </x:c>
      <x:c r="AA649" s="55" t="n">
        <x:v>2761</x:v>
      </x:c>
      <x:c r="AB649" s="55" t="n">
        <x:v>731</x:v>
      </x:c>
      <x:c r="AC649" s="55" t="n">
        <x:v>7419</x:v>
      </x:c>
      <x:c r="AD649" s="55" t="n">
        <x:v>3125</x:v>
      </x:c>
      <x:c r="AE649" s="55" t="n">
        <x:v>10586</x:v>
      </x:c>
      <x:c r="AF649" s="55" t="n">
        <x:v>10534</x:v>
      </x:c>
      <x:c r="AG649" s="55" t="n">
        <x:v>52</x:v>
      </x:c>
      <x:c r="AH649" s="55" t="n">
        <x:v>244</x:v>
      </x:c>
      <x:c r="AI649" s="55" t="n">
        <x:v>10290</x:v>
      </x:c>
      <x:c r="AJ649" s="55" t="n">
        <x:v>258</x:v>
      </x:c>
      <x:c r="AK649" s="55" t="n">
        <x:v>866</x:v>
      </x:c>
      <x:c r="AL649" s="55" t="n">
        <x:v>1934</x:v>
      </x:c>
      <x:c r="AM649" s="55" t="n">
        <x:v>4926</x:v>
      </x:c>
      <x:c r="AN649" s="55" t="n">
        <x:v>2531</x:v>
      </x:c>
      <x:c r="AO649" s="55" t="n">
        <x:v>19</x:v>
      </x:c>
      <x:c r="AP649" s="55" t="n">
        <x:v>2635</x:v>
      </x:c>
      <x:c r="AQ649" s="55" t="n">
        <x:v>978</x:v>
      </x:c>
    </x:row>
    <x:row r="650">
      <x:c r="A650" s="54" t="str">
        <x:v>T0_TABLE_BLOCK</x:v>
      </x:c>
      <x:c r="B650" s="54" t="n">
        <x:v>644</x:v>
      </x:c>
      <x:c r="C650" s="54" t="str">
        <x:v>NYC-V2-R01</x:v>
      </x:c>
      <x:c r="D650" s="54" t="str">
        <x:v>V2</x:v>
      </x:c>
      <x:c r="E650" s="54" t="str">
        <x:v>ADMITTED</x:v>
      </x:c>
      <x:c r="F650" s="55" t="n">
        <x:v>31031</x:v>
      </x:c>
      <x:c r="G650" s="55" t="n">
        <x:v>7668</x:v>
      </x:c>
      <x:c r="H650" s="55" t="n">
        <x:v>3633</x:v>
      </x:c>
      <x:c r="I650" s="55" t="n">
        <x:v>1125</x:v>
      </x:c>
      <x:c r="J650" s="55" t="n">
        <x:v>271</x:v>
      </x:c>
      <x:c r="K650" s="55" t="n">
        <x:v>29473</x:v>
      </x:c>
      <x:c r="L650" s="55" t="n">
        <x:v>5601</x:v>
      </x:c>
      <x:c r="M650" s="55" t="n">
        <x:v>1375</x:v>
      </x:c>
      <x:c r="N650" s="55" t="n">
        <x:v>2202</x:v>
      </x:c>
      <x:c r="O650" s="55" t="n">
        <x:v>2024</x:v>
      </x:c>
      <x:c r="P650" s="55" t="n">
        <x:v>1085</x:v>
      </x:c>
      <x:c r="Q650" s="55" t="n">
        <x:v>2317</x:v>
      </x:c>
      <x:c r="R650" s="55" t="n">
        <x:v>2135</x:v>
      </x:c>
      <x:c r="S650" s="55" t="n">
        <x:v>2504</x:v>
      </x:c>
      <x:c r="T650" s="55" t="n">
        <x:v>920</x:v>
      </x:c>
      <x:c r="U650" s="55" t="n">
        <x:v>1803</x:v>
      </x:c>
      <x:c r="V650" s="55" t="n">
        <x:v>11057</x:v>
      </x:c>
      <x:c r="W650" s="55" t="n">
        <x:v>7785</x:v>
      </x:c>
      <x:c r="X650" s="55" t="n">
        <x:v>3272</x:v>
      </x:c>
      <x:c r="Y650" s="55" t="n">
        <x:v>3030</x:v>
      </x:c>
      <x:c r="Z650" s="55" t="n">
        <x:v>3892</x:v>
      </x:c>
      <x:c r="AA650" s="55" t="n">
        <x:v>3633</x:v>
      </x:c>
      <x:c r="AB650" s="55" t="n">
        <x:v>1276</x:v>
      </x:c>
      <x:c r="AC650" s="55" t="n">
        <x:v>7760</x:v>
      </x:c>
      <x:c r="AD650" s="55" t="n">
        <x:v>3237</x:v>
      </x:c>
      <x:c r="AE650" s="55" t="n">
        <x:v>11057</x:v>
      </x:c>
      <x:c r="AF650" s="55" t="n">
        <x:v>11057</x:v>
      </x:c>
      <x:c r="AG650" s="55" t="n">
        <x:v>0</x:v>
      </x:c>
      <x:c r="AH650" s="55" t="n">
        <x:v>518</x:v>
      </x:c>
      <x:c r="AI650" s="55" t="n">
        <x:v>10539</x:v>
      </x:c>
      <x:c r="AJ650" s="55" t="n">
        <x:v>184</x:v>
      </x:c>
      <x:c r="AK650" s="55" t="n">
        <x:v>992</x:v>
      </x:c>
      <x:c r="AL650" s="55" t="n">
        <x:v>1821</x:v>
      </x:c>
      <x:c r="AM650" s="55" t="n">
        <x:v>5590</x:v>
      </x:c>
      <x:c r="AN650" s="55" t="n">
        <x:v>2387</x:v>
      </x:c>
      <x:c r="AO650" s="55" t="n">
        <x:v>83</x:v>
      </x:c>
      <x:c r="AP650" s="55" t="n">
        <x:v>2342</x:v>
      </x:c>
      <x:c r="AQ650" s="55" t="n">
        <x:v>906</x:v>
      </x:c>
    </x:row>
    <x:row r="651">
      <x:c r="A651" s="54" t="str">
        <x:v>T0_TABLE_BLOCK</x:v>
      </x:c>
      <x:c r="B651" s="54" t="n">
        <x:v>645</x:v>
      </x:c>
      <x:c r="C651" s="54" t="str">
        <x:v>NYC-V2-R01</x:v>
      </x:c>
      <x:c r="D651" s="54" t="str">
        <x:v>V2</x:v>
      </x:c>
      <x:c r="E651" s="54" t="str">
        <x:v>ADMITTED</x:v>
      </x:c>
      <x:c r="F651" s="55" t="n">
        <x:v>32785</x:v>
      </x:c>
      <x:c r="G651" s="55" t="n">
        <x:v>8875</x:v>
      </x:c>
      <x:c r="H651" s="55" t="n">
        <x:v>3217</x:v>
      </x:c>
      <x:c r="I651" s="55" t="n">
        <x:v>1035</x:v>
      </x:c>
      <x:c r="J651" s="55" t="n">
        <x:v>244</x:v>
      </x:c>
      <x:c r="K651" s="55" t="n">
        <x:v>31952</x:v>
      </x:c>
      <x:c r="L651" s="55" t="n">
        <x:v>5886</x:v>
      </x:c>
      <x:c r="M651" s="55" t="n">
        <x:v>1587</x:v>
      </x:c>
      <x:c r="N651" s="55" t="n">
        <x:v>2649</x:v>
      </x:c>
      <x:c r="O651" s="55" t="n">
        <x:v>1650</x:v>
      </x:c>
      <x:c r="P651" s="55" t="n">
        <x:v>951</x:v>
      </x:c>
      <x:c r="Q651" s="55" t="n">
        <x:v>2082</x:v>
      </x:c>
      <x:c r="R651" s="55" t="n">
        <x:v>2271</x:v>
      </x:c>
      <x:c r="S651" s="55" t="n">
        <x:v>3338</x:v>
      </x:c>
      <x:c r="T651" s="55" t="n">
        <x:v>1012</x:v>
      </x:c>
      <x:c r="U651" s="55" t="n">
        <x:v>1890</x:v>
      </x:c>
      <x:c r="V651" s="55" t="n">
        <x:v>10306</x:v>
      </x:c>
      <x:c r="W651" s="55" t="n">
        <x:v>7543</x:v>
      </x:c>
      <x:c r="X651" s="55" t="n">
        <x:v>2763</x:v>
      </x:c>
      <x:c r="Y651" s="55" t="n">
        <x:v>2526</x:v>
      </x:c>
      <x:c r="Z651" s="55" t="n">
        <x:v>3545</x:v>
      </x:c>
      <x:c r="AA651" s="55" t="n">
        <x:v>2903</x:v>
      </x:c>
      <x:c r="AB651" s="55" t="n">
        <x:v>1116</x:v>
      </x:c>
      <x:c r="AC651" s="55" t="n">
        <x:v>8193</x:v>
      </x:c>
      <x:c r="AD651" s="55" t="n">
        <x:v>2836</x:v>
      </x:c>
      <x:c r="AE651" s="55" t="n">
        <x:v>10366</x:v>
      </x:c>
      <x:c r="AF651" s="55" t="n">
        <x:v>10306</x:v>
      </x:c>
      <x:c r="AG651" s="55" t="n">
        <x:v>60</x:v>
      </x:c>
      <x:c r="AH651" s="55" t="n">
        <x:v>557</x:v>
      </x:c>
      <x:c r="AI651" s="55" t="n">
        <x:v>9749</x:v>
      </x:c>
      <x:c r="AJ651" s="55" t="n">
        <x:v>327</x:v>
      </x:c>
      <x:c r="AK651" s="55" t="n">
        <x:v>808</x:v>
      </x:c>
      <x:c r="AL651" s="55" t="n">
        <x:v>1347</x:v>
      </x:c>
      <x:c r="AM651" s="55" t="n">
        <x:v>5133</x:v>
      </x:c>
      <x:c r="AN651" s="55" t="n">
        <x:v>2691</x:v>
      </x:c>
      <x:c r="AO651" s="55" t="n">
        <x:v>0</x:v>
      </x:c>
      <x:c r="AP651" s="55" t="n">
        <x:v>2149</x:v>
      </x:c>
      <x:c r="AQ651" s="55" t="n">
        <x:v>989</x:v>
      </x:c>
    </x:row>
    <x:row r="652">
      <x:c r="A652" s="54" t="str">
        <x:v>T0_TABLE_BLOCK</x:v>
      </x:c>
      <x:c r="B652" s="54" t="n">
        <x:v>646</x:v>
      </x:c>
      <x:c r="C652" s="54" t="str">
        <x:v>NYC-V2-R01</x:v>
      </x:c>
      <x:c r="D652" s="54" t="str">
        <x:v>V2</x:v>
      </x:c>
      <x:c r="E652" s="54" t="str">
        <x:v>ADMITTED</x:v>
      </x:c>
      <x:c r="F652" s="55" t="n">
        <x:v>31363</x:v>
      </x:c>
      <x:c r="G652" s="55" t="n">
        <x:v>8815</x:v>
      </x:c>
      <x:c r="H652" s="55" t="n">
        <x:v>3524</x:v>
      </x:c>
      <x:c r="I652" s="55" t="n">
        <x:v>957</x:v>
      </x:c>
      <x:c r="J652" s="55" t="n">
        <x:v>198</x:v>
      </x:c>
      <x:c r="K652" s="55" t="n">
        <x:v>28868</x:v>
      </x:c>
      <x:c r="L652" s="55" t="n">
        <x:v>4757</x:v>
      </x:c>
      <x:c r="M652" s="55" t="n">
        <x:v>333</x:v>
      </x:c>
      <x:c r="N652" s="55" t="n">
        <x:v>2878</x:v>
      </x:c>
      <x:c r="O652" s="55" t="n">
        <x:v>1546</x:v>
      </x:c>
      <x:c r="P652" s="55" t="n">
        <x:v>1393</x:v>
      </x:c>
      <x:c r="Q652" s="55" t="n">
        <x:v>1820</x:v>
      </x:c>
      <x:c r="R652" s="55" t="n">
        <x:v>1150</x:v>
      </x:c>
      <x:c r="S652" s="55" t="n">
        <x:v>2811</x:v>
      </x:c>
      <x:c r="T652" s="55" t="n">
        <x:v>863</x:v>
      </x:c>
      <x:c r="U652" s="55" t="n">
        <x:v>2222</x:v>
      </x:c>
      <x:c r="V652" s="55" t="n">
        <x:v>10767</x:v>
      </x:c>
      <x:c r="W652" s="55" t="n">
        <x:v>7769</x:v>
      </x:c>
      <x:c r="X652" s="55" t="n">
        <x:v>2998</x:v>
      </x:c>
      <x:c r="Y652" s="55" t="n">
        <x:v>2711</x:v>
      </x:c>
      <x:c r="Z652" s="55" t="n">
        <x:v>2808</x:v>
      </x:c>
      <x:c r="AA652" s="55" t="n">
        <x:v>3524</x:v>
      </x:c>
      <x:c r="AB652" s="55" t="n">
        <x:v>1366</x:v>
      </x:c>
      <x:c r="AC652" s="55" t="n">
        <x:v>8009</x:v>
      </x:c>
      <x:c r="AD652" s="55" t="n">
        <x:v>2758</x:v>
      </x:c>
      <x:c r="AE652" s="55" t="n">
        <x:v>10847</x:v>
      </x:c>
      <x:c r="AF652" s="55" t="n">
        <x:v>10767</x:v>
      </x:c>
      <x:c r="AG652" s="55" t="n">
        <x:v>80</x:v>
      </x:c>
      <x:c r="AH652" s="55" t="n">
        <x:v>433</x:v>
      </x:c>
      <x:c r="AI652" s="55" t="n">
        <x:v>10334</x:v>
      </x:c>
      <x:c r="AJ652" s="55" t="n">
        <x:v>452</x:v>
      </x:c>
      <x:c r="AK652" s="55" t="n">
        <x:v>746</x:v>
      </x:c>
      <x:c r="AL652" s="55" t="n">
        <x:v>1789</x:v>
      </x:c>
      <x:c r="AM652" s="55" t="n">
        <x:v>4953</x:v>
      </x:c>
      <x:c r="AN652" s="55" t="n">
        <x:v>2827</x:v>
      </x:c>
      <x:c r="AO652" s="55" t="n">
        <x:v>0</x:v>
      </x:c>
      <x:c r="AP652" s="55" t="n">
        <x:v>2127</x:v>
      </x:c>
      <x:c r="AQ652" s="55" t="n">
        <x:v>1022</x:v>
      </x:c>
    </x:row>
    <x:row r="653">
      <x:c r="A653" s="54" t="str">
        <x:v>T0_TABLE_BLOCK</x:v>
      </x:c>
      <x:c r="B653" s="54" t="n">
        <x:v>647</x:v>
      </x:c>
      <x:c r="C653" s="54" t="str">
        <x:v>NYC-V2-R01</x:v>
      </x:c>
      <x:c r="D653" s="54" t="str">
        <x:v>V2</x:v>
      </x:c>
      <x:c r="E653" s="54" t="str">
        <x:v>ADMITTED</x:v>
      </x:c>
      <x:c r="F653" s="55" t="n">
        <x:v>30477</x:v>
      </x:c>
      <x:c r="G653" s="55" t="n">
        <x:v>7133</x:v>
      </x:c>
      <x:c r="H653" s="55" t="n">
        <x:v>3063</x:v>
      </x:c>
      <x:c r="I653" s="55" t="n">
        <x:v>855</x:v>
      </x:c>
      <x:c r="J653" s="55" t="n">
        <x:v>0</x:v>
      </x:c>
      <x:c r="K653" s="55" t="n">
        <x:v>30477</x:v>
      </x:c>
      <x:c r="L653" s="55" t="n">
        <x:v>5347</x:v>
      </x:c>
      <x:c r="M653" s="55" t="n">
        <x:v>712</x:v>
      </x:c>
      <x:c r="N653" s="55" t="n">
        <x:v>2977</x:v>
      </x:c>
      <x:c r="O653" s="55" t="n">
        <x:v>1658</x:v>
      </x:c>
      <x:c r="P653" s="55" t="n">
        <x:v>549</x:v>
      </x:c>
      <x:c r="Q653" s="55" t="n">
        <x:v>1969</x:v>
      </x:c>
      <x:c r="R653" s="55" t="n">
        <x:v>1802</x:v>
      </x:c>
      <x:c r="S653" s="55" t="n">
        <x:v>3407</x:v>
      </x:c>
      <x:c r="T653" s="55" t="n">
        <x:v>1045</x:v>
      </x:c>
      <x:c r="U653" s="55" t="n">
        <x:v>2028</x:v>
      </x:c>
      <x:c r="V653" s="55" t="n">
        <x:v>11149</x:v>
      </x:c>
      <x:c r="W653" s="55" t="n">
        <x:v>8752</x:v>
      </x:c>
      <x:c r="X653" s="55" t="n">
        <x:v>2397</x:v>
      </x:c>
      <x:c r="Y653" s="55" t="n">
        <x:v>1898</x:v>
      </x:c>
      <x:c r="Z653" s="55" t="n">
        <x:v>3766</x:v>
      </x:c>
      <x:c r="AA653" s="55" t="n">
        <x:v>3027</x:v>
      </x:c>
      <x:c r="AB653" s="55" t="n">
        <x:v>1119</x:v>
      </x:c>
      <x:c r="AC653" s="55" t="n">
        <x:v>8082</x:v>
      </x:c>
      <x:c r="AD653" s="55" t="n">
        <x:v>2482</x:v>
      </x:c>
      <x:c r="AE653" s="55" t="n">
        <x:v>11258</x:v>
      </x:c>
      <x:c r="AF653" s="55" t="n">
        <x:v>11149</x:v>
      </x:c>
      <x:c r="AG653" s="55" t="n">
        <x:v>109</x:v>
      </x:c>
      <x:c r="AH653" s="55" t="n">
        <x:v>347</x:v>
      </x:c>
      <x:c r="AI653" s="55" t="n">
        <x:v>10802</x:v>
      </x:c>
      <x:c r="AJ653" s="55" t="n">
        <x:v>243</x:v>
      </x:c>
      <x:c r="AK653" s="55" t="n">
        <x:v>1002</x:v>
      </x:c>
      <x:c r="AL653" s="55" t="n">
        <x:v>1839</x:v>
      </x:c>
      <x:c r="AM653" s="55" t="n">
        <x:v>5245</x:v>
      </x:c>
      <x:c r="AN653" s="55" t="n">
        <x:v>2732</x:v>
      </x:c>
      <x:c r="AO653" s="55" t="n">
        <x:v>88</x:v>
      </x:c>
      <x:c r="AP653" s="55" t="n">
        <x:v>2349</x:v>
      </x:c>
      <x:c r="AQ653" s="55" t="n">
        <x:v>956</x:v>
      </x:c>
    </x:row>
    <x:row r="654">
      <x:c r="A654" s="54" t="str">
        <x:v>T0_TABLE_BLOCK</x:v>
      </x:c>
      <x:c r="B654" s="54" t="n">
        <x:v>648</x:v>
      </x:c>
      <x:c r="C654" s="54" t="str">
        <x:v>NYC-V2-R01</x:v>
      </x:c>
      <x:c r="D654" s="54" t="str">
        <x:v>V2</x:v>
      </x:c>
      <x:c r="E654" s="54" t="str">
        <x:v>ADMITTED</x:v>
      </x:c>
      <x:c r="F654" s="55" t="n">
        <x:v>31455</x:v>
      </x:c>
      <x:c r="G654" s="55" t="n">
        <x:v>6332</x:v>
      </x:c>
      <x:c r="H654" s="55" t="n">
        <x:v>3193</x:v>
      </x:c>
      <x:c r="I654" s="55" t="n">
        <x:v>1542</x:v>
      </x:c>
      <x:c r="J654" s="55" t="n">
        <x:v>161</x:v>
      </x:c>
      <x:c r="K654" s="55" t="n">
        <x:v>31455</x:v>
      </x:c>
      <x:c r="L654" s="55" t="n">
        <x:v>6103</x:v>
      </x:c>
      <x:c r="M654" s="55" t="n">
        <x:v>983</x:v>
      </x:c>
      <x:c r="N654" s="55" t="n">
        <x:v>2724</x:v>
      </x:c>
      <x:c r="O654" s="55" t="n">
        <x:v>2396</x:v>
      </x:c>
      <x:c r="P654" s="55" t="n">
        <x:v>658</x:v>
      </x:c>
      <x:c r="Q654" s="55" t="n">
        <x:v>2535</x:v>
      </x:c>
      <x:c r="R654" s="55" t="n">
        <x:v>1795</x:v>
      </x:c>
      <x:c r="S654" s="55" t="n">
        <x:v>2284</x:v>
      </x:c>
      <x:c r="T654" s="55" t="n">
        <x:v>1112</x:v>
      </x:c>
      <x:c r="U654" s="55" t="n">
        <x:v>2396</x:v>
      </x:c>
      <x:c r="V654" s="55" t="n">
        <x:v>10709</x:v>
      </x:c>
      <x:c r="W654" s="55" t="n">
        <x:v>7948</x:v>
      </x:c>
      <x:c r="X654" s="55" t="n">
        <x:v>2761</x:v>
      </x:c>
      <x:c r="Y654" s="55" t="n">
        <x:v>2454</x:v>
      </x:c>
      <x:c r="Z654" s="55" t="n">
        <x:v>3439</x:v>
      </x:c>
      <x:c r="AA654" s="55" t="n">
        <x:v>3193</x:v>
      </x:c>
      <x:c r="AB654" s="55" t="n">
        <x:v>1036</x:v>
      </x:c>
      <x:c r="AC654" s="55" t="n">
        <x:v>7959</x:v>
      </x:c>
      <x:c r="AD654" s="55" t="n">
        <x:v>2566</x:v>
      </x:c>
      <x:c r="AE654" s="55" t="n">
        <x:v>10764</x:v>
      </x:c>
      <x:c r="AF654" s="55" t="n">
        <x:v>10709</x:v>
      </x:c>
      <x:c r="AG654" s="55" t="n">
        <x:v>55</x:v>
      </x:c>
      <x:c r="AH654" s="55" t="n">
        <x:v>398</x:v>
      </x:c>
      <x:c r="AI654" s="55" t="n">
        <x:v>10311</x:v>
      </x:c>
      <x:c r="AJ654" s="55" t="n">
        <x:v>418</x:v>
      </x:c>
      <x:c r="AK654" s="55" t="n">
        <x:v>1112</x:v>
      </x:c>
      <x:c r="AL654" s="55" t="n">
        <x:v>1125</x:v>
      </x:c>
      <x:c r="AM654" s="55" t="n">
        <x:v>5203</x:v>
      </x:c>
      <x:c r="AN654" s="55" t="n">
        <x:v>2851</x:v>
      </x:c>
      <x:c r="AO654" s="55" t="n">
        <x:v>0</x:v>
      </x:c>
      <x:c r="AP654" s="55" t="n">
        <x:v>2697</x:v>
      </x:c>
      <x:c r="AQ654" s="55" t="n">
        <x:v>928</x:v>
      </x:c>
    </x:row>
    <x:row r="655">
      <x:c r="A655" s="54" t="str">
        <x:v>T0_TABLE_BLOCK</x:v>
      </x:c>
      <x:c r="B655" s="54" t="n">
        <x:v>649</x:v>
      </x:c>
      <x:c r="C655" s="54" t="str">
        <x:v>NYC-V2-R01</x:v>
      </x:c>
      <x:c r="D655" s="54" t="str">
        <x:v>V2</x:v>
      </x:c>
      <x:c r="E655" s="54" t="str">
        <x:v>ADMITTED</x:v>
      </x:c>
      <x:c r="F655" s="55" t="n">
        <x:v>32816</x:v>
      </x:c>
      <x:c r="G655" s="55" t="n">
        <x:v>7526</x:v>
      </x:c>
      <x:c r="H655" s="55" t="n">
        <x:v>3214</x:v>
      </x:c>
      <x:c r="I655" s="55" t="n">
        <x:v>1427</x:v>
      </x:c>
      <x:c r="J655" s="55" t="n">
        <x:v>350</x:v>
      </x:c>
      <x:c r="K655" s="55" t="n">
        <x:v>29013</x:v>
      </x:c>
      <x:c r="L655" s="55" t="n">
        <x:v>4867</x:v>
      </x:c>
      <x:c r="M655" s="55" t="n">
        <x:v>46</x:v>
      </x:c>
      <x:c r="N655" s="55" t="n">
        <x:v>2800</x:v>
      </x:c>
      <x:c r="O655" s="55" t="n">
        <x:v>2021</x:v>
      </x:c>
      <x:c r="P655" s="55" t="n">
        <x:v>562</x:v>
      </x:c>
      <x:c r="Q655" s="55" t="n">
        <x:v>2395</x:v>
      </x:c>
      <x:c r="R655" s="55" t="n">
        <x:v>2394</x:v>
      </x:c>
      <x:c r="S655" s="55" t="n">
        <x:v>3224</x:v>
      </x:c>
      <x:c r="T655" s="55" t="n">
        <x:v>1140</x:v>
      </x:c>
      <x:c r="U655" s="55" t="n">
        <x:v>2434</x:v>
      </x:c>
      <x:c r="V655" s="55" t="n">
        <x:v>10486</x:v>
      </x:c>
      <x:c r="W655" s="55" t="n">
        <x:v>6888</x:v>
      </x:c>
      <x:c r="X655" s="55" t="n">
        <x:v>3598</x:v>
      </x:c>
      <x:c r="Y655" s="55" t="n">
        <x:v>3041</x:v>
      </x:c>
      <x:c r="Z655" s="55" t="n">
        <x:v>3723</x:v>
      </x:c>
      <x:c r="AA655" s="55" t="n">
        <x:v>2330</x:v>
      </x:c>
      <x:c r="AB655" s="55" t="n">
        <x:v>539</x:v>
      </x:c>
      <x:c r="AC655" s="55" t="n">
        <x:v>8308</x:v>
      </x:c>
      <x:c r="AD655" s="55" t="n">
        <x:v>2955</x:v>
      </x:c>
      <x:c r="AE655" s="55" t="n">
        <x:v>10578</x:v>
      </x:c>
      <x:c r="AF655" s="55" t="n">
        <x:v>10486</x:v>
      </x:c>
      <x:c r="AG655" s="55" t="n">
        <x:v>92</x:v>
      </x:c>
      <x:c r="AH655" s="55" t="n">
        <x:v>431</x:v>
      </x:c>
      <x:c r="AI655" s="55" t="n">
        <x:v>10055</x:v>
      </x:c>
      <x:c r="AJ655" s="55" t="n">
        <x:v>481</x:v>
      </x:c>
      <x:c r="AK655" s="55" t="n">
        <x:v>952</x:v>
      </x:c>
      <x:c r="AL655" s="55" t="n">
        <x:v>1112</x:v>
      </x:c>
      <x:c r="AM655" s="55" t="n">
        <x:v>4856</x:v>
      </x:c>
      <x:c r="AN655" s="55" t="n">
        <x:v>2949</x:v>
      </x:c>
      <x:c r="AO655" s="55" t="n">
        <x:v>136</x:v>
      </x:c>
      <x:c r="AP655" s="55" t="n">
        <x:v>2001</x:v>
      </x:c>
      <x:c r="AQ655" s="55" t="n">
        <x:v>919</x:v>
      </x:c>
    </x:row>
    <x:row r="656">
      <x:c r="A656" s="54" t="str">
        <x:v>T0_TABLE_BLOCK</x:v>
      </x:c>
      <x:c r="B656" s="54" t="n">
        <x:v>650</x:v>
      </x:c>
      <x:c r="C656" s="54" t="str">
        <x:v>NYC-V2-R01</x:v>
      </x:c>
      <x:c r="D656" s="54" t="str">
        <x:v>V2</x:v>
      </x:c>
      <x:c r="E656" s="54" t="str">
        <x:v>ADMITTED</x:v>
      </x:c>
      <x:c r="F656" s="55" t="n">
        <x:v>30054</x:v>
      </x:c>
      <x:c r="G656" s="55" t="n">
        <x:v>6206</x:v>
      </x:c>
      <x:c r="H656" s="55" t="n">
        <x:v>3595</x:v>
      </x:c>
      <x:c r="I656" s="55" t="n">
        <x:v>1647</x:v>
      </x:c>
      <x:c r="J656" s="55" t="n">
        <x:v>194</x:v>
      </x:c>
      <x:c r="K656" s="55" t="n">
        <x:v>30054</x:v>
      </x:c>
      <x:c r="L656" s="55" t="n">
        <x:v>6034</x:v>
      </x:c>
      <x:c r="M656" s="55" t="n">
        <x:v>1175</x:v>
      </x:c>
      <x:c r="N656" s="55" t="n">
        <x:v>3246</x:v>
      </x:c>
      <x:c r="O656" s="55" t="n">
        <x:v>1613</x:v>
      </x:c>
      <x:c r="P656" s="55" t="n">
        <x:v>808</x:v>
      </x:c>
      <x:c r="Q656" s="55" t="n">
        <x:v>1909</x:v>
      </x:c>
      <x:c r="R656" s="55" t="n">
        <x:v>1937</x:v>
      </x:c>
      <x:c r="S656" s="55" t="n">
        <x:v>2183</x:v>
      </x:c>
      <x:c r="T656" s="55" t="n">
        <x:v>1315</x:v>
      </x:c>
      <x:c r="U656" s="55" t="n">
        <x:v>1718</x:v>
      </x:c>
      <x:c r="V656" s="55" t="n">
        <x:v>10217</x:v>
      </x:c>
      <x:c r="W656" s="55" t="n">
        <x:v>6947</x:v>
      </x:c>
      <x:c r="X656" s="55" t="n">
        <x:v>3270</x:v>
      </x:c>
      <x:c r="Y656" s="55" t="n">
        <x:v>2894</x:v>
      </x:c>
      <x:c r="Z656" s="55" t="n">
        <x:v>3927</x:v>
      </x:c>
      <x:c r="AA656" s="55" t="n">
        <x:v>3047</x:v>
      </x:c>
      <x:c r="AB656" s="55" t="n">
        <x:v>985</x:v>
      </x:c>
      <x:c r="AC656" s="55" t="n">
        <x:v>7659</x:v>
      </x:c>
      <x:c r="AD656" s="55" t="n">
        <x:v>3491</x:v>
      </x:c>
      <x:c r="AE656" s="55" t="n">
        <x:v>10288</x:v>
      </x:c>
      <x:c r="AF656" s="55" t="n">
        <x:v>10217</x:v>
      </x:c>
      <x:c r="AG656" s="55" t="n">
        <x:v>71</x:v>
      </x:c>
      <x:c r="AH656" s="55" t="n">
        <x:v>552</x:v>
      </x:c>
      <x:c r="AI656" s="55" t="n">
        <x:v>9665</x:v>
      </x:c>
      <x:c r="AJ656" s="55" t="n">
        <x:v>57</x:v>
      </x:c>
      <x:c r="AK656" s="55" t="n">
        <x:v>1037</x:v>
      </x:c>
      <x:c r="AL656" s="55" t="n">
        <x:v>1311</x:v>
      </x:c>
      <x:c r="AM656" s="55" t="n">
        <x:v>5022</x:v>
      </x:c>
      <x:c r="AN656" s="55" t="n">
        <x:v>2777</x:v>
      </x:c>
      <x:c r="AO656" s="55" t="n">
        <x:v>13</x:v>
      </x:c>
      <x:c r="AP656" s="55" t="n">
        <x:v>2389</x:v>
      </x:c>
      <x:c r="AQ656" s="55" t="n">
        <x:v>960</x:v>
      </x:c>
    </x:row>
    <x:row r="657">
      <x:c r="A657" s="54" t="str">
        <x:v>T0_TABLE_BLOCK</x:v>
      </x:c>
      <x:c r="B657" s="54" t="n">
        <x:v>651</x:v>
      </x:c>
      <x:c r="C657" s="54" t="str">
        <x:v>NYC-V2-R01</x:v>
      </x:c>
      <x:c r="D657" s="54" t="str">
        <x:v>V2</x:v>
      </x:c>
      <x:c r="E657" s="54" t="str">
        <x:v>ADMITTED</x:v>
      </x:c>
      <x:c r="F657" s="55" t="n">
        <x:v>32075</x:v>
      </x:c>
      <x:c r="G657" s="55" t="n">
        <x:v>7696</x:v>
      </x:c>
      <x:c r="H657" s="55" t="n">
        <x:v>3219</x:v>
      </x:c>
      <x:c r="I657" s="55" t="n">
        <x:v>1088</x:v>
      </x:c>
      <x:c r="J657" s="55" t="n">
        <x:v>96</x:v>
      </x:c>
      <x:c r="K657" s="55" t="n">
        <x:v>28763</x:v>
      </x:c>
      <x:c r="L657" s="55" t="n">
        <x:v>5860</x:v>
      </x:c>
      <x:c r="M657" s="55" t="n">
        <x:v>1618</x:v>
      </x:c>
      <x:c r="N657" s="55" t="n">
        <x:v>2922</x:v>
      </x:c>
      <x:c r="O657" s="55" t="n">
        <x:v>1320</x:v>
      </x:c>
      <x:c r="P657" s="55" t="n">
        <x:v>834</x:v>
      </x:c>
      <x:c r="Q657" s="55" t="n">
        <x:v>2055</x:v>
      </x:c>
      <x:c r="R657" s="55" t="n">
        <x:v>1970</x:v>
      </x:c>
      <x:c r="S657" s="55" t="n">
        <x:v>3640</x:v>
      </x:c>
      <x:c r="T657" s="55" t="n">
        <x:v>1156</x:v>
      </x:c>
      <x:c r="U657" s="55" t="n">
        <x:v>1403</x:v>
      </x:c>
      <x:c r="V657" s="55" t="n">
        <x:v>10811</x:v>
      </x:c>
      <x:c r="W657" s="55" t="n">
        <x:v>8080</x:v>
      </x:c>
      <x:c r="X657" s="55" t="n">
        <x:v>2731</x:v>
      </x:c>
      <x:c r="Y657" s="55" t="n">
        <x:v>2367</x:v>
      </x:c>
      <x:c r="Z657" s="55" t="n">
        <x:v>4174</x:v>
      </x:c>
      <x:c r="AA657" s="55" t="n">
        <x:v>3219</x:v>
      </x:c>
      <x:c r="AB657" s="55" t="n">
        <x:v>1323</x:v>
      </x:c>
      <x:c r="AC657" s="55" t="n">
        <x:v>8345</x:v>
      </x:c>
      <x:c r="AD657" s="55" t="n">
        <x:v>2711</x:v>
      </x:c>
      <x:c r="AE657" s="55" t="n">
        <x:v>10886</x:v>
      </x:c>
      <x:c r="AF657" s="55" t="n">
        <x:v>10811</x:v>
      </x:c>
      <x:c r="AG657" s="55" t="n">
        <x:v>75</x:v>
      </x:c>
      <x:c r="AH657" s="55" t="n">
        <x:v>280</x:v>
      </x:c>
      <x:c r="AI657" s="55" t="n">
        <x:v>10531</x:v>
      </x:c>
      <x:c r="AJ657" s="55" t="n">
        <x:v>453</x:v>
      </x:c>
      <x:c r="AK657" s="55" t="n">
        <x:v>632</x:v>
      </x:c>
      <x:c r="AL657" s="55" t="n">
        <x:v>1809</x:v>
      </x:c>
      <x:c r="AM657" s="55" t="n">
        <x:v>4808</x:v>
      </x:c>
      <x:c r="AN657" s="55" t="n">
        <x:v>3059</x:v>
      </x:c>
      <x:c r="AO657" s="55" t="n">
        <x:v>50</x:v>
      </x:c>
      <x:c r="AP657" s="55" t="n">
        <x:v>1963</x:v>
      </x:c>
      <x:c r="AQ657" s="55" t="n">
        <x:v>979</x:v>
      </x:c>
    </x:row>
    <x:row r="658">
      <x:c r="A658" s="54" t="str">
        <x:v>T0_TABLE_BLOCK</x:v>
      </x:c>
      <x:c r="B658" s="54" t="n">
        <x:v>652</x:v>
      </x:c>
      <x:c r="C658" s="54" t="str">
        <x:v>NYC-V2-R01</x:v>
      </x:c>
      <x:c r="D658" s="54" t="str">
        <x:v>V2</x:v>
      </x:c>
      <x:c r="E658" s="54" t="str">
        <x:v>ADMITTED</x:v>
      </x:c>
      <x:c r="F658" s="55" t="n">
        <x:v>31761</x:v>
      </x:c>
      <x:c r="G658" s="55" t="n">
        <x:v>7751</x:v>
      </x:c>
      <x:c r="H658" s="55" t="n">
        <x:v>3755</x:v>
      </x:c>
      <x:c r="I658" s="55" t="n">
        <x:v>1730</x:v>
      </x:c>
      <x:c r="J658" s="55" t="n">
        <x:v>315</x:v>
      </x:c>
      <x:c r="K658" s="55" t="n">
        <x:v>30464</x:v>
      </x:c>
      <x:c r="L658" s="55" t="n">
        <x:v>5739</x:v>
      </x:c>
      <x:c r="M658" s="55" t="n">
        <x:v>1504</x:v>
      </x:c>
      <x:c r="N658" s="55" t="n">
        <x:v>2433</x:v>
      </x:c>
      <x:c r="O658" s="55" t="n">
        <x:v>1802</x:v>
      </x:c>
      <x:c r="P658" s="55" t="n">
        <x:v>828</x:v>
      </x:c>
      <x:c r="Q658" s="55" t="n">
        <x:v>2222</x:v>
      </x:c>
      <x:c r="R658" s="55" t="n">
        <x:v>2080</x:v>
      </x:c>
      <x:c r="S658" s="55" t="n">
        <x:v>2629</x:v>
      </x:c>
      <x:c r="T658" s="55" t="n">
        <x:v>839</x:v>
      </x:c>
      <x:c r="U658" s="55" t="n">
        <x:v>1860</x:v>
      </x:c>
      <x:c r="V658" s="55" t="n">
        <x:v>10216</x:v>
      </x:c>
      <x:c r="W658" s="55" t="n">
        <x:v>7198</x:v>
      </x:c>
      <x:c r="X658" s="55" t="n">
        <x:v>3018</x:v>
      </x:c>
      <x:c r="Y658" s="55" t="n">
        <x:v>2562</x:v>
      </x:c>
      <x:c r="Z658" s="55" t="n">
        <x:v>3899</x:v>
      </x:c>
      <x:c r="AA658" s="55" t="n">
        <x:v>3252</x:v>
      </x:c>
      <x:c r="AB658" s="55" t="n">
        <x:v>1147</x:v>
      </x:c>
      <x:c r="AC658" s="55" t="n">
        <x:v>8321</x:v>
      </x:c>
      <x:c r="AD658" s="55" t="n">
        <x:v>2011</x:v>
      </x:c>
      <x:c r="AE658" s="55" t="n">
        <x:v>10293</x:v>
      </x:c>
      <x:c r="AF658" s="55" t="n">
        <x:v>10216</x:v>
      </x:c>
      <x:c r="AG658" s="55" t="n">
        <x:v>77</x:v>
      </x:c>
      <x:c r="AH658" s="55" t="n">
        <x:v>549</x:v>
      </x:c>
      <x:c r="AI658" s="55" t="n">
        <x:v>9667</x:v>
      </x:c>
      <x:c r="AJ658" s="55" t="n">
        <x:v>291</x:v>
      </x:c>
      <x:c r="AK658" s="55" t="n">
        <x:v>1444</x:v>
      </x:c>
      <x:c r="AL658" s="55" t="n">
        <x:v>1297</x:v>
      </x:c>
      <x:c r="AM658" s="55" t="n">
        <x:v>4308</x:v>
      </x:c>
      <x:c r="AN658" s="55" t="n">
        <x:v>2876</x:v>
      </x:c>
      <x:c r="AO658" s="55" t="n">
        <x:v>0</x:v>
      </x:c>
      <x:c r="AP658" s="55" t="n">
        <x:v>2488</x:v>
      </x:c>
      <x:c r="AQ658" s="55" t="n">
        <x:v>887</x:v>
      </x:c>
    </x:row>
    <x:row r="659">
      <x:c r="A659" s="54" t="str">
        <x:v>T0_TABLE_BLOCK</x:v>
      </x:c>
      <x:c r="B659" s="54" t="n">
        <x:v>653</x:v>
      </x:c>
      <x:c r="C659" s="54" t="str">
        <x:v>NYC-V2-R01</x:v>
      </x:c>
      <x:c r="D659" s="54" t="str">
        <x:v>V2</x:v>
      </x:c>
      <x:c r="E659" s="54" t="str">
        <x:v>ADMITTED</x:v>
      </x:c>
      <x:c r="F659" s="55" t="n">
        <x:v>33049</x:v>
      </x:c>
      <x:c r="G659" s="55" t="n">
        <x:v>7859</x:v>
      </x:c>
      <x:c r="H659" s="55" t="n">
        <x:v>4070</x:v>
      </x:c>
      <x:c r="I659" s="55" t="n">
        <x:v>1543</x:v>
      </x:c>
      <x:c r="J659" s="55" t="n">
        <x:v>210</x:v>
      </x:c>
      <x:c r="K659" s="55" t="n">
        <x:v>28996</x:v>
      </x:c>
      <x:c r="L659" s="55" t="n">
        <x:v>5309</x:v>
      </x:c>
      <x:c r="M659" s="55" t="n">
        <x:v>769</x:v>
      </x:c>
      <x:c r="N659" s="55" t="n">
        <x:v>3040</x:v>
      </x:c>
      <x:c r="O659" s="55" t="n">
        <x:v>1500</x:v>
      </x:c>
      <x:c r="P659" s="55" t="n">
        <x:v>1142</x:v>
      </x:c>
      <x:c r="Q659" s="55" t="n">
        <x:v>2725</x:v>
      </x:c>
      <x:c r="R659" s="55" t="n">
        <x:v>1363</x:v>
      </x:c>
      <x:c r="S659" s="55" t="n">
        <x:v>2382</x:v>
      </x:c>
      <x:c r="T659" s="55" t="n">
        <x:v>1035</x:v>
      </x:c>
      <x:c r="U659" s="55" t="n">
        <x:v>2083</x:v>
      </x:c>
      <x:c r="V659" s="55" t="n">
        <x:v>10736</x:v>
      </x:c>
      <x:c r="W659" s="55" t="n">
        <x:v>8024</x:v>
      </x:c>
      <x:c r="X659" s="55" t="n">
        <x:v>2712</x:v>
      </x:c>
      <x:c r="Y659" s="55" t="n">
        <x:v>2579</x:v>
      </x:c>
      <x:c r="Z659" s="55" t="n">
        <x:v>3665</x:v>
      </x:c>
      <x:c r="AA659" s="55" t="n">
        <x:v>3462</x:v>
      </x:c>
      <x:c r="AB659" s="55" t="n">
        <x:v>1291</x:v>
      </x:c>
      <x:c r="AC659" s="55" t="n">
        <x:v>7771</x:v>
      </x:c>
      <x:c r="AD659" s="55" t="n">
        <x:v>2920</x:v>
      </x:c>
      <x:c r="AE659" s="55" t="n">
        <x:v>10829</x:v>
      </x:c>
      <x:c r="AF659" s="55" t="n">
        <x:v>10736</x:v>
      </x:c>
      <x:c r="AG659" s="55" t="n">
        <x:v>93</x:v>
      </x:c>
      <x:c r="AH659" s="55" t="n">
        <x:v>619</x:v>
      </x:c>
      <x:c r="AI659" s="55" t="n">
        <x:v>10117</x:v>
      </x:c>
      <x:c r="AJ659" s="55" t="n">
        <x:v>227</x:v>
      </x:c>
      <x:c r="AK659" s="55" t="n">
        <x:v>1156</x:v>
      </x:c>
      <x:c r="AL659" s="55" t="n">
        <x:v>1464</x:v>
      </x:c>
      <x:c r="AM659" s="55" t="n">
        <x:v>4707</x:v>
      </x:c>
      <x:c r="AN659" s="55" t="n">
        <x:v>3182</x:v>
      </x:c>
      <x:c r="AO659" s="55" t="n">
        <x:v>0</x:v>
      </x:c>
      <x:c r="AP659" s="55" t="n">
        <x:v>2929</x:v>
      </x:c>
      <x:c r="AQ659" s="55" t="n">
        <x:v>937</x:v>
      </x:c>
    </x:row>
    <x:row r="660">
      <x:c r="A660" s="54" t="str">
        <x:v>T0_TABLE_BLOCK</x:v>
      </x:c>
      <x:c r="B660" s="54" t="n">
        <x:v>654</x:v>
      </x:c>
      <x:c r="C660" s="54" t="str">
        <x:v>NYC-V2-R01</x:v>
      </x:c>
      <x:c r="D660" s="54" t="str">
        <x:v>V2</x:v>
      </x:c>
      <x:c r="E660" s="54" t="str">
        <x:v>ADMITTED</x:v>
      </x:c>
      <x:c r="F660" s="55" t="n">
        <x:v>34042</x:v>
      </x:c>
      <x:c r="G660" s="55" t="n">
        <x:v>7694</x:v>
      </x:c>
      <x:c r="H660" s="55" t="n">
        <x:v>3671</x:v>
      </x:c>
      <x:c r="I660" s="55" t="n">
        <x:v>1566</x:v>
      </x:c>
      <x:c r="J660" s="55" t="n">
        <x:v>201</x:v>
      </x:c>
      <x:c r="K660" s="55" t="n">
        <x:v>34042</x:v>
      </x:c>
      <x:c r="L660" s="55" t="n">
        <x:v>6317</x:v>
      </x:c>
      <x:c r="M660" s="55" t="n">
        <x:v>1110</x:v>
      </x:c>
      <x:c r="N660" s="55" t="n">
        <x:v>3118</x:v>
      </x:c>
      <x:c r="O660" s="55" t="n">
        <x:v>2089</x:v>
      </x:c>
      <x:c r="P660" s="55" t="n">
        <x:v>589</x:v>
      </x:c>
      <x:c r="Q660" s="55" t="n">
        <x:v>2321</x:v>
      </x:c>
      <x:c r="R660" s="55" t="n">
        <x:v>1450</x:v>
      </x:c>
      <x:c r="S660" s="55" t="n">
        <x:v>2664</x:v>
      </x:c>
      <x:c r="T660" s="55" t="n">
        <x:v>893</x:v>
      </x:c>
      <x:c r="U660" s="55" t="n">
        <x:v>2356</x:v>
      </x:c>
      <x:c r="V660" s="55" t="n">
        <x:v>10202</x:v>
      </x:c>
      <x:c r="W660" s="55" t="n">
        <x:v>7230</x:v>
      </x:c>
      <x:c r="X660" s="55" t="n">
        <x:v>2972</x:v>
      </x:c>
      <x:c r="Y660" s="55" t="n">
        <x:v>2519</x:v>
      </x:c>
      <x:c r="Z660" s="55" t="n">
        <x:v>3602</x:v>
      </x:c>
      <x:c r="AA660" s="55" t="n">
        <x:v>3407</x:v>
      </x:c>
      <x:c r="AB660" s="55" t="n">
        <x:v>1282</x:v>
      </x:c>
      <x:c r="AC660" s="55" t="n">
        <x:v>8402</x:v>
      </x:c>
      <x:c r="AD660" s="55" t="n">
        <x:v>3719</x:v>
      </x:c>
      <x:c r="AE660" s="55" t="n">
        <x:v>10358</x:v>
      </x:c>
      <x:c r="AF660" s="55" t="n">
        <x:v>10202</x:v>
      </x:c>
      <x:c r="AG660" s="55" t="n">
        <x:v>156</x:v>
      </x:c>
      <x:c r="AH660" s="55" t="n">
        <x:v>314</x:v>
      </x:c>
      <x:c r="AI660" s="55" t="n">
        <x:v>9888</x:v>
      </x:c>
      <x:c r="AJ660" s="55" t="n">
        <x:v>308</x:v>
      </x:c>
      <x:c r="AK660" s="55" t="n">
        <x:v>743</x:v>
      </x:c>
      <x:c r="AL660" s="55" t="n">
        <x:v>1089</x:v>
      </x:c>
      <x:c r="AM660" s="55" t="n">
        <x:v>5509</x:v>
      </x:c>
      <x:c r="AN660" s="55" t="n">
        <x:v>2526</x:v>
      </x:c>
      <x:c r="AO660" s="55" t="n">
        <x:v>27</x:v>
      </x:c>
      <x:c r="AP660" s="55" t="n">
        <x:v>2452</x:v>
      </x:c>
      <x:c r="AQ660" s="55" t="n">
        <x:v>973</x:v>
      </x:c>
    </x:row>
    <x:row r="661">
      <x:c r="A661" s="54" t="str">
        <x:v>T0_TABLE_BLOCK</x:v>
      </x:c>
      <x:c r="B661" s="54" t="n">
        <x:v>655</x:v>
      </x:c>
      <x:c r="C661" s="54" t="str">
        <x:v>NYC-V2-R01</x:v>
      </x:c>
      <x:c r="D661" s="54" t="str">
        <x:v>V2</x:v>
      </x:c>
      <x:c r="E661" s="54" t="str">
        <x:v>ADMITTED</x:v>
      </x:c>
      <x:c r="F661" s="55" t="n">
        <x:v>32783</x:v>
      </x:c>
      <x:c r="G661" s="55" t="n">
        <x:v>7704</x:v>
      </x:c>
      <x:c r="H661" s="55" t="n">
        <x:v>3502</x:v>
      </x:c>
      <x:c r="I661" s="55" t="n">
        <x:v>1105</x:v>
      </x:c>
      <x:c r="J661" s="55" t="n">
        <x:v>310</x:v>
      </x:c>
      <x:c r="K661" s="55" t="n">
        <x:v>30106</x:v>
      </x:c>
      <x:c r="L661" s="55" t="n">
        <x:v>5307</x:v>
      </x:c>
      <x:c r="M661" s="55" t="n">
        <x:v>1690</x:v>
      </x:c>
      <x:c r="N661" s="55" t="n">
        <x:v>1919</x:v>
      </x:c>
      <x:c r="O661" s="55" t="n">
        <x:v>1698</x:v>
      </x:c>
      <x:c r="P661" s="55" t="n">
        <x:v>1088</x:v>
      </x:c>
      <x:c r="Q661" s="55" t="n">
        <x:v>1841</x:v>
      </x:c>
      <x:c r="R661" s="55" t="n">
        <x:v>1402</x:v>
      </x:c>
      <x:c r="S661" s="55" t="n">
        <x:v>2842</x:v>
      </x:c>
      <x:c r="T661" s="55" t="n">
        <x:v>1175</x:v>
      </x:c>
      <x:c r="U661" s="55" t="n">
        <x:v>2062</x:v>
      </x:c>
      <x:c r="V661" s="55" t="n">
        <x:v>10966</x:v>
      </x:c>
      <x:c r="W661" s="55" t="n">
        <x:v>8012</x:v>
      </x:c>
      <x:c r="X661" s="55" t="n">
        <x:v>2954</x:v>
      </x:c>
      <x:c r="Y661" s="55" t="n">
        <x:v>2663</x:v>
      </x:c>
      <x:c r="Z661" s="55" t="n">
        <x:v>3459</x:v>
      </x:c>
      <x:c r="AA661" s="55" t="n">
        <x:v>2983</x:v>
      </x:c>
      <x:c r="AB661" s="55" t="n">
        <x:v>1082</x:v>
      </x:c>
      <x:c r="AC661" s="55" t="n">
        <x:v>8198</x:v>
      </x:c>
      <x:c r="AD661" s="55" t="n">
        <x:v>3216</x:v>
      </x:c>
      <x:c r="AE661" s="55" t="n">
        <x:v>11096</x:v>
      </x:c>
      <x:c r="AF661" s="55" t="n">
        <x:v>10966</x:v>
      </x:c>
      <x:c r="AG661" s="55" t="n">
        <x:v>130</x:v>
      </x:c>
      <x:c r="AH661" s="55" t="n">
        <x:v>435</x:v>
      </x:c>
      <x:c r="AI661" s="55" t="n">
        <x:v>10531</x:v>
      </x:c>
      <x:c r="AJ661" s="55" t="n">
        <x:v>363</x:v>
      </x:c>
      <x:c r="AK661" s="55" t="n">
        <x:v>1169</x:v>
      </x:c>
      <x:c r="AL661" s="55" t="n">
        <x:v>2053</x:v>
      </x:c>
      <x:c r="AM661" s="55" t="n">
        <x:v>4934</x:v>
      </x:c>
      <x:c r="AN661" s="55" t="n">
        <x:v>2447</x:v>
      </x:c>
      <x:c r="AO661" s="55" t="n">
        <x:v>0</x:v>
      </x:c>
      <x:c r="AP661" s="55" t="n">
        <x:v>2338</x:v>
      </x:c>
      <x:c r="AQ661" s="55" t="n">
        <x:v>979</x:v>
      </x:c>
    </x:row>
    <x:row r="662">
      <x:c r="A662" s="54" t="str">
        <x:v>T0_TABLE_BLOCK</x:v>
      </x:c>
      <x:c r="B662" s="54" t="n">
        <x:v>656</x:v>
      </x:c>
      <x:c r="C662" s="54" t="str">
        <x:v>NYC-V2-R01</x:v>
      </x:c>
      <x:c r="D662" s="54" t="str">
        <x:v>V2</x:v>
      </x:c>
      <x:c r="E662" s="54" t="str">
        <x:v>ADMITTED</x:v>
      </x:c>
      <x:c r="F662" s="55" t="n">
        <x:v>31122</x:v>
      </x:c>
      <x:c r="G662" s="55" t="n">
        <x:v>8296</x:v>
      </x:c>
      <x:c r="H662" s="55" t="n">
        <x:v>3630</x:v>
      </x:c>
      <x:c r="I662" s="55" t="n">
        <x:v>1250</x:v>
      </x:c>
      <x:c r="J662" s="55" t="n">
        <x:v>0</x:v>
      </x:c>
      <x:c r="K662" s="55" t="n">
        <x:v>31122</x:v>
      </x:c>
      <x:c r="L662" s="55" t="n">
        <x:v>7093</x:v>
      </x:c>
      <x:c r="M662" s="55" t="n">
        <x:v>3475</x:v>
      </x:c>
      <x:c r="N662" s="55" t="n">
        <x:v>2374</x:v>
      </x:c>
      <x:c r="O662" s="55" t="n">
        <x:v>1244</x:v>
      </x:c>
      <x:c r="P662" s="55" t="n">
        <x:v>797</x:v>
      </x:c>
      <x:c r="Q662" s="55" t="n">
        <x:v>2763</x:v>
      </x:c>
      <x:c r="R662" s="55" t="n">
        <x:v>1799</x:v>
      </x:c>
      <x:c r="S662" s="55" t="n">
        <x:v>2059</x:v>
      </x:c>
      <x:c r="T662" s="55" t="n">
        <x:v>1154</x:v>
      </x:c>
      <x:c r="U662" s="55" t="n">
        <x:v>2402</x:v>
      </x:c>
      <x:c r="V662" s="55" t="n">
        <x:v>10141</x:v>
      </x:c>
      <x:c r="W662" s="55" t="n">
        <x:v>6932</x:v>
      </x:c>
      <x:c r="X662" s="55" t="n">
        <x:v>3209</x:v>
      </x:c>
      <x:c r="Y662" s="55" t="n">
        <x:v>2562</x:v>
      </x:c>
      <x:c r="Z662" s="55" t="n">
        <x:v>3543</x:v>
      </x:c>
      <x:c r="AA662" s="55" t="n">
        <x:v>3630</x:v>
      </x:c>
      <x:c r="AB662" s="55" t="n">
        <x:v>1317</x:v>
      </x:c>
      <x:c r="AC662" s="55" t="n">
        <x:v>8703</x:v>
      </x:c>
      <x:c r="AD662" s="55" t="n">
        <x:v>3851</x:v>
      </x:c>
      <x:c r="AE662" s="55" t="n">
        <x:v>10254</x:v>
      </x:c>
      <x:c r="AF662" s="55" t="n">
        <x:v>10141</x:v>
      </x:c>
      <x:c r="AG662" s="55" t="n">
        <x:v>113</x:v>
      </x:c>
      <x:c r="AH662" s="55" t="n">
        <x:v>385</x:v>
      </x:c>
      <x:c r="AI662" s="55" t="n">
        <x:v>9756</x:v>
      </x:c>
      <x:c r="AJ662" s="55" t="n">
        <x:v>164</x:v>
      </x:c>
      <x:c r="AK662" s="55" t="n">
        <x:v>785</x:v>
      </x:c>
      <x:c r="AL662" s="55" t="n">
        <x:v>1792</x:v>
      </x:c>
      <x:c r="AM662" s="55" t="n">
        <x:v>5048</x:v>
      </x:c>
      <x:c r="AN662" s="55" t="n">
        <x:v>2262</x:v>
      </x:c>
      <x:c r="AO662" s="55" t="n">
        <x:v>90</x:v>
      </x:c>
      <x:c r="AP662" s="55" t="n">
        <x:v>2418</x:v>
      </x:c>
      <x:c r="AQ662" s="55" t="n">
        <x:v>965</x:v>
      </x:c>
    </x:row>
    <x:row r="663">
      <x:c r="A663" s="54" t="str">
        <x:v>T0_TABLE_BLOCK</x:v>
      </x:c>
      <x:c r="B663" s="54" t="n">
        <x:v>657</x:v>
      </x:c>
      <x:c r="C663" s="54" t="str">
        <x:v>NYC-V2-R01</x:v>
      </x:c>
      <x:c r="D663" s="54" t="str">
        <x:v>V2</x:v>
      </x:c>
      <x:c r="E663" s="54" t="str">
        <x:v>ADMITTED</x:v>
      </x:c>
      <x:c r="F663" s="55" t="n">
        <x:v>31571</x:v>
      </x:c>
      <x:c r="G663" s="55" t="n">
        <x:v>6824</x:v>
      </x:c>
      <x:c r="H663" s="55" t="n">
        <x:v>3838</x:v>
      </x:c>
      <x:c r="I663" s="55" t="n">
        <x:v>1476</x:v>
      </x:c>
      <x:c r="J663" s="55" t="n">
        <x:v>336</x:v>
      </x:c>
      <x:c r="K663" s="55" t="n">
        <x:v>31571</x:v>
      </x:c>
      <x:c r="L663" s="55" t="n">
        <x:v>6242</x:v>
      </x:c>
      <x:c r="M663" s="55" t="n">
        <x:v>1754</x:v>
      </x:c>
      <x:c r="N663" s="55" t="n">
        <x:v>2588</x:v>
      </x:c>
      <x:c r="O663" s="55" t="n">
        <x:v>1900</x:v>
      </x:c>
      <x:c r="P663" s="55" t="n">
        <x:v>835</x:v>
      </x:c>
      <x:c r="Q663" s="55" t="n">
        <x:v>3366</x:v>
      </x:c>
      <x:c r="R663" s="55" t="n">
        <x:v>2219</x:v>
      </x:c>
      <x:c r="S663" s="55" t="n">
        <x:v>3189</x:v>
      </x:c>
      <x:c r="T663" s="55" t="n">
        <x:v>1773</x:v>
      </x:c>
      <x:c r="U663" s="55" t="n">
        <x:v>1281</x:v>
      </x:c>
      <x:c r="V663" s="55" t="n">
        <x:v>10005</x:v>
      </x:c>
      <x:c r="W663" s="55" t="n">
        <x:v>7355</x:v>
      </x:c>
      <x:c r="X663" s="55" t="n">
        <x:v>2650</x:v>
      </x:c>
      <x:c r="Y663" s="55" t="n">
        <x:v>2535</x:v>
      </x:c>
      <x:c r="Z663" s="55" t="n">
        <x:v>3721</x:v>
      </x:c>
      <x:c r="AA663" s="55" t="n">
        <x:v>3135</x:v>
      </x:c>
      <x:c r="AB663" s="55" t="n">
        <x:v>1016</x:v>
      </x:c>
      <x:c r="AC663" s="55" t="n">
        <x:v>7786</x:v>
      </x:c>
      <x:c r="AD663" s="55" t="n">
        <x:v>2875</x:v>
      </x:c>
      <x:c r="AE663" s="55" t="n">
        <x:v>10033</x:v>
      </x:c>
      <x:c r="AF663" s="55" t="n">
        <x:v>10005</x:v>
      </x:c>
      <x:c r="AG663" s="55" t="n">
        <x:v>28</x:v>
      </x:c>
      <x:c r="AH663" s="55" t="n">
        <x:v>338</x:v>
      </x:c>
      <x:c r="AI663" s="55" t="n">
        <x:v>9667</x:v>
      </x:c>
      <x:c r="AJ663" s="55" t="n">
        <x:v>481</x:v>
      </x:c>
      <x:c r="AK663" s="55" t="n">
        <x:v>1330</x:v>
      </x:c>
      <x:c r="AL663" s="55" t="n">
        <x:v>1477</x:v>
      </x:c>
      <x:c r="AM663" s="55" t="n">
        <x:v>4089</x:v>
      </x:c>
      <x:c r="AN663" s="55" t="n">
        <x:v>2575</x:v>
      </x:c>
      <x:c r="AO663" s="55" t="n">
        <x:v>53</x:v>
      </x:c>
      <x:c r="AP663" s="55" t="n">
        <x:v>2158</x:v>
      </x:c>
      <x:c r="AQ663" s="55" t="n">
        <x:v>962</x:v>
      </x:c>
    </x:row>
    <x:row r="664">
      <x:c r="A664" s="54" t="str">
        <x:v>T0_TABLE_BLOCK</x:v>
      </x:c>
      <x:c r="B664" s="54" t="n">
        <x:v>658</x:v>
      </x:c>
      <x:c r="C664" s="54" t="str">
        <x:v>NYC-V2-R01</x:v>
      </x:c>
      <x:c r="D664" s="54" t="str">
        <x:v>V2</x:v>
      </x:c>
      <x:c r="E664" s="54" t="str">
        <x:v>ADMITTED</x:v>
      </x:c>
      <x:c r="F664" s="55" t="n">
        <x:v>29467</x:v>
      </x:c>
      <x:c r="G664" s="55" t="n">
        <x:v>7673</x:v>
      </x:c>
      <x:c r="H664" s="55" t="n">
        <x:v>2779</x:v>
      </x:c>
      <x:c r="I664" s="55" t="n">
        <x:v>951</x:v>
      </x:c>
      <x:c r="J664" s="55" t="n">
        <x:v>0</x:v>
      </x:c>
      <x:c r="K664" s="55" t="n">
        <x:v>29188</x:v>
      </x:c>
      <x:c r="L664" s="55" t="n">
        <x:v>5162</x:v>
      </x:c>
      <x:c r="M664" s="55" t="n">
        <x:v>577</x:v>
      </x:c>
      <x:c r="N664" s="55" t="n">
        <x:v>3043</x:v>
      </x:c>
      <x:c r="O664" s="55" t="n">
        <x:v>1542</x:v>
      </x:c>
      <x:c r="P664" s="55" t="n">
        <x:v>1099</x:v>
      </x:c>
      <x:c r="Q664" s="55" t="n">
        <x:v>2089</x:v>
      </x:c>
      <x:c r="R664" s="55" t="n">
        <x:v>2332</x:v>
      </x:c>
      <x:c r="S664" s="55" t="n">
        <x:v>2605</x:v>
      </x:c>
      <x:c r="T664" s="55" t="n">
        <x:v>748</x:v>
      </x:c>
      <x:c r="U664" s="55" t="n">
        <x:v>1951</x:v>
      </x:c>
      <x:c r="V664" s="55" t="n">
        <x:v>10238</x:v>
      </x:c>
      <x:c r="W664" s="55" t="n">
        <x:v>7075</x:v>
      </x:c>
      <x:c r="X664" s="55" t="n">
        <x:v>3163</x:v>
      </x:c>
      <x:c r="Y664" s="55" t="n">
        <x:v>2827</x:v>
      </x:c>
      <x:c r="Z664" s="55" t="n">
        <x:v>3859</x:v>
      </x:c>
      <x:c r="AA664" s="55" t="n">
        <x:v>2346</x:v>
      </x:c>
      <x:c r="AB664" s="55" t="n">
        <x:v>935</x:v>
      </x:c>
      <x:c r="AC664" s="55" t="n">
        <x:v>8824</x:v>
      </x:c>
      <x:c r="AD664" s="55" t="n">
        <x:v>2885</x:v>
      </x:c>
      <x:c r="AE664" s="55" t="n">
        <x:v>10328</x:v>
      </x:c>
      <x:c r="AF664" s="55" t="n">
        <x:v>10238</x:v>
      </x:c>
      <x:c r="AG664" s="55" t="n">
        <x:v>90</x:v>
      </x:c>
      <x:c r="AH664" s="55" t="n">
        <x:v>289</x:v>
      </x:c>
      <x:c r="AI664" s="55" t="n">
        <x:v>9949</x:v>
      </x:c>
      <x:c r="AJ664" s="55" t="n">
        <x:v>288</x:v>
      </x:c>
      <x:c r="AK664" s="55" t="n">
        <x:v>1239</x:v>
      </x:c>
      <x:c r="AL664" s="55" t="n">
        <x:v>1122</x:v>
      </x:c>
      <x:c r="AM664" s="55" t="n">
        <x:v>5058</x:v>
      </x:c>
      <x:c r="AN664" s="55" t="n">
        <x:v>2496</x:v>
      </x:c>
      <x:c r="AO664" s="55" t="n">
        <x:v>35</x:v>
      </x:c>
      <x:c r="AP664" s="55" t="n">
        <x:v>1975</x:v>
      </x:c>
      <x:c r="AQ664" s="55" t="n">
        <x:v>959</x:v>
      </x:c>
    </x:row>
    <x:row r="665">
      <x:c r="A665" s="54" t="str">
        <x:v>T0_TABLE_BLOCK</x:v>
      </x:c>
      <x:c r="B665" s="54" t="n">
        <x:v>659</x:v>
      </x:c>
      <x:c r="C665" s="54" t="str">
        <x:v>NYC-V2-R01</x:v>
      </x:c>
      <x:c r="D665" s="54" t="str">
        <x:v>V2</x:v>
      </x:c>
      <x:c r="E665" s="54" t="str">
        <x:v>ADMITTED</x:v>
      </x:c>
      <x:c r="F665" s="55" t="n">
        <x:v>27886</x:v>
      </x:c>
      <x:c r="G665" s="55" t="n">
        <x:v>6657</x:v>
      </x:c>
      <x:c r="H665" s="55" t="n">
        <x:v>3129</x:v>
      </x:c>
      <x:c r="I665" s="55" t="n">
        <x:v>1108</x:v>
      </x:c>
      <x:c r="J665" s="55" t="n">
        <x:v>214</x:v>
      </x:c>
      <x:c r="K665" s="55" t="n">
        <x:v>27886</x:v>
      </x:c>
      <x:c r="L665" s="55" t="n">
        <x:v>4383</x:v>
      </x:c>
      <x:c r="M665" s="55" t="n">
        <x:v>483</x:v>
      </x:c>
      <x:c r="N665" s="55" t="n">
        <x:v>1621</x:v>
      </x:c>
      <x:c r="O665" s="55" t="n">
        <x:v>2279</x:v>
      </x:c>
      <x:c r="P665" s="55" t="n">
        <x:v>1144</x:v>
      </x:c>
      <x:c r="Q665" s="55" t="n">
        <x:v>2877</x:v>
      </x:c>
      <x:c r="R665" s="55" t="n">
        <x:v>1286</x:v>
      </x:c>
      <x:c r="S665" s="55" t="n">
        <x:v>2643</x:v>
      </x:c>
      <x:c r="T665" s="55" t="n">
        <x:v>906</x:v>
      </x:c>
      <x:c r="U665" s="55" t="n">
        <x:v>1800</x:v>
      </x:c>
      <x:c r="V665" s="55" t="n">
        <x:v>9997</x:v>
      </x:c>
      <x:c r="W665" s="55" t="n">
        <x:v>7427</x:v>
      </x:c>
      <x:c r="X665" s="55" t="n">
        <x:v>2570</x:v>
      </x:c>
      <x:c r="Y665" s="55" t="n">
        <x:v>2324</x:v>
      </x:c>
      <x:c r="Z665" s="55" t="n">
        <x:v>3421</x:v>
      </x:c>
      <x:c r="AA665" s="55" t="n">
        <x:v>3018</x:v>
      </x:c>
      <x:c r="AB665" s="55" t="n">
        <x:v>1340</x:v>
      </x:c>
      <x:c r="AC665" s="55" t="n">
        <x:v>8256</x:v>
      </x:c>
      <x:c r="AD665" s="55" t="n">
        <x:v>2942</x:v>
      </x:c>
      <x:c r="AE665" s="55" t="n">
        <x:v>10069</x:v>
      </x:c>
      <x:c r="AF665" s="55" t="n">
        <x:v>9997</x:v>
      </x:c>
      <x:c r="AG665" s="55" t="n">
        <x:v>72</x:v>
      </x:c>
      <x:c r="AH665" s="55" t="n">
        <x:v>209</x:v>
      </x:c>
      <x:c r="AI665" s="55" t="n">
        <x:v>9788</x:v>
      </x:c>
      <x:c r="AJ665" s="55" t="n">
        <x:v>334</x:v>
      </x:c>
      <x:c r="AK665" s="55" t="n">
        <x:v>858</x:v>
      </x:c>
      <x:c r="AL665" s="55" t="n">
        <x:v>1881</x:v>
      </x:c>
      <x:c r="AM665" s="55" t="n">
        <x:v>4574</x:v>
      </x:c>
      <x:c r="AN665" s="55" t="n">
        <x:v>2346</x:v>
      </x:c>
      <x:c r="AO665" s="55" t="n">
        <x:v>4</x:v>
      </x:c>
      <x:c r="AP665" s="55" t="n">
        <x:v>2192</x:v>
      </x:c>
      <x:c r="AQ665" s="55" t="n">
        <x:v>945</x:v>
      </x:c>
    </x:row>
    <x:row r="666">
      <x:c r="A666" s="54" t="str">
        <x:v>T0_TABLE_BLOCK</x:v>
      </x:c>
      <x:c r="B666" s="54" t="n">
        <x:v>660</x:v>
      </x:c>
      <x:c r="C666" s="54" t="str">
        <x:v>NYC-V2-R01</x:v>
      </x:c>
      <x:c r="D666" s="54" t="str">
        <x:v>V2</x:v>
      </x:c>
      <x:c r="E666" s="54" t="str">
        <x:v>ADMITTED</x:v>
      </x:c>
      <x:c r="F666" s="55" t="n">
        <x:v>32741</x:v>
      </x:c>
      <x:c r="G666" s="55" t="n">
        <x:v>6955</x:v>
      </x:c>
      <x:c r="H666" s="55" t="n">
        <x:v>3839</x:v>
      </x:c>
      <x:c r="I666" s="55" t="n">
        <x:v>1738</x:v>
      </x:c>
      <x:c r="J666" s="55" t="n">
        <x:v>453</x:v>
      </x:c>
      <x:c r="K666" s="55" t="n">
        <x:v>32741</x:v>
      </x:c>
      <x:c r="L666" s="55" t="n">
        <x:v>6722</x:v>
      </x:c>
      <x:c r="M666" s="55" t="n">
        <x:v>1730</x:v>
      </x:c>
      <x:c r="N666" s="55" t="n">
        <x:v>3183</x:v>
      </x:c>
      <x:c r="O666" s="55" t="n">
        <x:v>1809</x:v>
      </x:c>
      <x:c r="P666" s="55" t="n">
        <x:v>791</x:v>
      </x:c>
      <x:c r="Q666" s="55" t="n">
        <x:v>1977</x:v>
      </x:c>
      <x:c r="R666" s="55" t="n">
        <x:v>2081</x:v>
      </x:c>
      <x:c r="S666" s="55" t="n">
        <x:v>2698</x:v>
      </x:c>
      <x:c r="T666" s="55" t="n">
        <x:v>1013</x:v>
      </x:c>
      <x:c r="U666" s="55" t="n">
        <x:v>1842</x:v>
      </x:c>
      <x:c r="V666" s="55" t="n">
        <x:v>10341</x:v>
      </x:c>
      <x:c r="W666" s="55" t="n">
        <x:v>7137</x:v>
      </x:c>
      <x:c r="X666" s="55" t="n">
        <x:v>3204</x:v>
      </x:c>
      <x:c r="Y666" s="55" t="n">
        <x:v>2571</x:v>
      </x:c>
      <x:c r="Z666" s="55" t="n">
        <x:v>3933</x:v>
      </x:c>
      <x:c r="AA666" s="55" t="n">
        <x:v>2625</x:v>
      </x:c>
      <x:c r="AB666" s="55" t="n">
        <x:v>823</x:v>
      </x:c>
      <x:c r="AC666" s="55" t="n">
        <x:v>8121</x:v>
      </x:c>
      <x:c r="AD666" s="55" t="n">
        <x:v>2540</x:v>
      </x:c>
      <x:c r="AE666" s="55" t="n">
        <x:v>10451</x:v>
      </x:c>
      <x:c r="AF666" s="55" t="n">
        <x:v>10341</x:v>
      </x:c>
      <x:c r="AG666" s="55" t="n">
        <x:v>110</x:v>
      </x:c>
      <x:c r="AH666" s="55" t="n">
        <x:v>413</x:v>
      </x:c>
      <x:c r="AI666" s="55" t="n">
        <x:v>9928</x:v>
      </x:c>
      <x:c r="AJ666" s="55" t="n">
        <x:v>335</x:v>
      </x:c>
      <x:c r="AK666" s="55" t="n">
        <x:v>744</x:v>
      </x:c>
      <x:c r="AL666" s="55" t="n">
        <x:v>1841</x:v>
      </x:c>
      <x:c r="AM666" s="55" t="n">
        <x:v>4938</x:v>
      </x:c>
      <x:c r="AN666" s="55" t="n">
        <x:v>2483</x:v>
      </x:c>
      <x:c r="AO666" s="55" t="n">
        <x:v>0</x:v>
      </x:c>
      <x:c r="AP666" s="55" t="n">
        <x:v>2648</x:v>
      </x:c>
      <x:c r="AQ666" s="55" t="n">
        <x:v>954</x:v>
      </x:c>
    </x:row>
    <x:row r="667">
      <x:c r="A667" s="54" t="str">
        <x:v>T0_TABLE_BLOCK</x:v>
      </x:c>
      <x:c r="B667" s="54" t="n">
        <x:v>661</x:v>
      </x:c>
      <x:c r="C667" s="54" t="str">
        <x:v>NYC-V2-R01</x:v>
      </x:c>
      <x:c r="D667" s="54" t="str">
        <x:v>V2</x:v>
      </x:c>
      <x:c r="E667" s="54" t="str">
        <x:v>ADMITTED</x:v>
      </x:c>
      <x:c r="F667" s="55" t="n">
        <x:v>29140</x:v>
      </x:c>
      <x:c r="G667" s="55" t="n">
        <x:v>6602</x:v>
      </x:c>
      <x:c r="H667" s="55" t="n">
        <x:v>3133</x:v>
      </x:c>
      <x:c r="I667" s="55" t="n">
        <x:v>936</x:v>
      </x:c>
      <x:c r="J667" s="55" t="n">
        <x:v>83</x:v>
      </x:c>
      <x:c r="K667" s="55" t="n">
        <x:v>29140</x:v>
      </x:c>
      <x:c r="L667" s="55" t="n">
        <x:v>5349</x:v>
      </x:c>
      <x:c r="M667" s="55" t="n">
        <x:v>2055</x:v>
      </x:c>
      <x:c r="N667" s="55" t="n">
        <x:v>1998</x:v>
      </x:c>
      <x:c r="O667" s="55" t="n">
        <x:v>1296</x:v>
      </x:c>
      <x:c r="P667" s="55" t="n">
        <x:v>873</x:v>
      </x:c>
      <x:c r="Q667" s="55" t="n">
        <x:v>2184</x:v>
      </x:c>
      <x:c r="R667" s="55" t="n">
        <x:v>1926</x:v>
      </x:c>
      <x:c r="S667" s="55" t="n">
        <x:v>2969</x:v>
      </x:c>
      <x:c r="T667" s="55" t="n">
        <x:v>1085</x:v>
      </x:c>
      <x:c r="U667" s="55" t="n">
        <x:v>2560</x:v>
      </x:c>
      <x:c r="V667" s="55" t="n">
        <x:v>10564</x:v>
      </x:c>
      <x:c r="W667" s="55" t="n">
        <x:v>7692</x:v>
      </x:c>
      <x:c r="X667" s="55" t="n">
        <x:v>2872</x:v>
      </x:c>
      <x:c r="Y667" s="55" t="n">
        <x:v>2720</x:v>
      </x:c>
      <x:c r="Z667" s="55" t="n">
        <x:v>3905</x:v>
      </x:c>
      <x:c r="AA667" s="55" t="n">
        <x:v>2838</x:v>
      </x:c>
      <x:c r="AB667" s="55" t="n">
        <x:v>1197</x:v>
      </x:c>
      <x:c r="AC667" s="55" t="n">
        <x:v>7879</x:v>
      </x:c>
      <x:c r="AD667" s="55" t="n">
        <x:v>2906</x:v>
      </x:c>
      <x:c r="AE667" s="55" t="n">
        <x:v>10611</x:v>
      </x:c>
      <x:c r="AF667" s="55" t="n">
        <x:v>10564</x:v>
      </x:c>
      <x:c r="AG667" s="55" t="n">
        <x:v>47</x:v>
      </x:c>
      <x:c r="AH667" s="55" t="n">
        <x:v>453</x:v>
      </x:c>
      <x:c r="AI667" s="55" t="n">
        <x:v>10111</x:v>
      </x:c>
      <x:c r="AJ667" s="55" t="n">
        <x:v>473</x:v>
      </x:c>
      <x:c r="AK667" s="55" t="n">
        <x:v>1019</x:v>
      </x:c>
      <x:c r="AL667" s="55" t="n">
        <x:v>1395</x:v>
      </x:c>
      <x:c r="AM667" s="55" t="n">
        <x:v>4529</x:v>
      </x:c>
      <x:c r="AN667" s="55" t="n">
        <x:v>3148</x:v>
      </x:c>
      <x:c r="AO667" s="55" t="n">
        <x:v>0</x:v>
      </x:c>
      <x:c r="AP667" s="55" t="n">
        <x:v>2829</x:v>
      </x:c>
      <x:c r="AQ667" s="55" t="n">
        <x:v>986</x:v>
      </x:c>
    </x:row>
    <x:row r="668">
      <x:c r="A668" s="54" t="str">
        <x:v>T0_TABLE_BLOCK</x:v>
      </x:c>
      <x:c r="B668" s="54" t="n">
        <x:v>662</x:v>
      </x:c>
      <x:c r="C668" s="54" t="str">
        <x:v>NYC-V2-R01</x:v>
      </x:c>
      <x:c r="D668" s="54" t="str">
        <x:v>V2</x:v>
      </x:c>
      <x:c r="E668" s="54" t="str">
        <x:v>ADMITTED</x:v>
      </x:c>
      <x:c r="F668" s="55" t="n">
        <x:v>31040</x:v>
      </x:c>
      <x:c r="G668" s="55" t="n">
        <x:v>8060</x:v>
      </x:c>
      <x:c r="H668" s="55" t="n">
        <x:v>3223</x:v>
      </x:c>
      <x:c r="I668" s="55" t="n">
        <x:v>1082</x:v>
      </x:c>
      <x:c r="J668" s="55" t="n">
        <x:v>220</x:v>
      </x:c>
      <x:c r="K668" s="55" t="n">
        <x:v>30538</x:v>
      </x:c>
      <x:c r="L668" s="55" t="n">
        <x:v>5069</x:v>
      </x:c>
      <x:c r="M668" s="55" t="n">
        <x:v>1305</x:v>
      </x:c>
      <x:c r="N668" s="55" t="n">
        <x:v>2036</x:v>
      </x:c>
      <x:c r="O668" s="55" t="n">
        <x:v>1728</x:v>
      </x:c>
      <x:c r="P668" s="55" t="n">
        <x:v>864</x:v>
      </x:c>
      <x:c r="Q668" s="55" t="n">
        <x:v>1187</x:v>
      </x:c>
      <x:c r="R668" s="55" t="n">
        <x:v>1851</x:v>
      </x:c>
      <x:c r="S668" s="55" t="n">
        <x:v>2517</x:v>
      </x:c>
      <x:c r="T668" s="55" t="n">
        <x:v>1412</x:v>
      </x:c>
      <x:c r="U668" s="55" t="n">
        <x:v>2385</x:v>
      </x:c>
      <x:c r="V668" s="55" t="n">
        <x:v>10378</x:v>
      </x:c>
      <x:c r="W668" s="55" t="n">
        <x:v>7291</x:v>
      </x:c>
      <x:c r="X668" s="55" t="n">
        <x:v>3087</x:v>
      </x:c>
      <x:c r="Y668" s="55" t="n">
        <x:v>2703</x:v>
      </x:c>
      <x:c r="Z668" s="55" t="n">
        <x:v>4155</x:v>
      </x:c>
      <x:c r="AA668" s="55" t="n">
        <x:v>2844</x:v>
      </x:c>
      <x:c r="AB668" s="55" t="n">
        <x:v>922</x:v>
      </x:c>
      <x:c r="AC668" s="55" t="n">
        <x:v>7929</x:v>
      </x:c>
      <x:c r="AD668" s="55" t="n">
        <x:v>2638</x:v>
      </x:c>
      <x:c r="AE668" s="55" t="n">
        <x:v>10468</x:v>
      </x:c>
      <x:c r="AF668" s="55" t="n">
        <x:v>10378</x:v>
      </x:c>
      <x:c r="AG668" s="55" t="n">
        <x:v>90</x:v>
      </x:c>
      <x:c r="AH668" s="55" t="n">
        <x:v>589</x:v>
      </x:c>
      <x:c r="AI668" s="55" t="n">
        <x:v>9789</x:v>
      </x:c>
      <x:c r="AJ668" s="55" t="n">
        <x:v>345</x:v>
      </x:c>
      <x:c r="AK668" s="55" t="n">
        <x:v>917</x:v>
      </x:c>
      <x:c r="AL668" s="55" t="n">
        <x:v>1497</x:v>
      </x:c>
      <x:c r="AM668" s="55" t="n">
        <x:v>4970</x:v>
      </x:c>
      <x:c r="AN668" s="55" t="n">
        <x:v>2642</x:v>
      </x:c>
      <x:c r="AO668" s="55" t="n">
        <x:v>7</x:v>
      </x:c>
      <x:c r="AP668" s="55" t="n">
        <x:v>2324</x:v>
      </x:c>
      <x:c r="AQ668" s="55" t="n">
        <x:v>971</x:v>
      </x:c>
    </x:row>
    <x:row r="669">
      <x:c r="A669" s="54" t="str">
        <x:v>T0_TABLE_BLOCK</x:v>
      </x:c>
      <x:c r="B669" s="54" t="n">
        <x:v>663</x:v>
      </x:c>
      <x:c r="C669" s="54" t="str">
        <x:v>NYC-V2-R01</x:v>
      </x:c>
      <x:c r="D669" s="54" t="str">
        <x:v>V2</x:v>
      </x:c>
      <x:c r="E669" s="54" t="str">
        <x:v>ADMITTED</x:v>
      </x:c>
      <x:c r="F669" s="55" t="n">
        <x:v>31570</x:v>
      </x:c>
      <x:c r="G669" s="55" t="n">
        <x:v>8770</x:v>
      </x:c>
      <x:c r="H669" s="55" t="n">
        <x:v>3106</x:v>
      </x:c>
      <x:c r="I669" s="55" t="n">
        <x:v>1093</x:v>
      </x:c>
      <x:c r="J669" s="55" t="n">
        <x:v>370</x:v>
      </x:c>
      <x:c r="K669" s="55" t="n">
        <x:v>31570</x:v>
      </x:c>
      <x:c r="L669" s="55" t="n">
        <x:v>4715</x:v>
      </x:c>
      <x:c r="M669" s="55" t="n">
        <x:v>490</x:v>
      </x:c>
      <x:c r="N669" s="55" t="n">
        <x:v>2437</x:v>
      </x:c>
      <x:c r="O669" s="55" t="n">
        <x:v>1788</x:v>
      </x:c>
      <x:c r="P669" s="55" t="n">
        <x:v>837</x:v>
      </x:c>
      <x:c r="Q669" s="55" t="n">
        <x:v>1335</x:v>
      </x:c>
      <x:c r="R669" s="55" t="n">
        <x:v>2248</x:v>
      </x:c>
      <x:c r="S669" s="55" t="n">
        <x:v>2807</x:v>
      </x:c>
      <x:c r="T669" s="55" t="n">
        <x:v>1216</x:v>
      </x:c>
      <x:c r="U669" s="55" t="n">
        <x:v>1836</x:v>
      </x:c>
      <x:c r="V669" s="55" t="n">
        <x:v>11068</x:v>
      </x:c>
      <x:c r="W669" s="55" t="n">
        <x:v>8309</x:v>
      </x:c>
      <x:c r="X669" s="55" t="n">
        <x:v>2759</x:v>
      </x:c>
      <x:c r="Y669" s="55" t="n">
        <x:v>2345</x:v>
      </x:c>
      <x:c r="Z669" s="55" t="n">
        <x:v>3962</x:v>
      </x:c>
      <x:c r="AA669" s="55" t="n">
        <x:v>3106</x:v>
      </x:c>
      <x:c r="AB669" s="55" t="n">
        <x:v>948</x:v>
      </x:c>
      <x:c r="AC669" s="55" t="n">
        <x:v>7850</x:v>
      </x:c>
      <x:c r="AD669" s="55" t="n">
        <x:v>3264</x:v>
      </x:c>
      <x:c r="AE669" s="55" t="n">
        <x:v>11176</x:v>
      </x:c>
      <x:c r="AF669" s="55" t="n">
        <x:v>11068</x:v>
      </x:c>
      <x:c r="AG669" s="55" t="n">
        <x:v>108</x:v>
      </x:c>
      <x:c r="AH669" s="55" t="n">
        <x:v>258</x:v>
      </x:c>
      <x:c r="AI669" s="55" t="n">
        <x:v>10810</x:v>
      </x:c>
      <x:c r="AJ669" s="55" t="n">
        <x:v>295</x:v>
      </x:c>
      <x:c r="AK669" s="55" t="n">
        <x:v>1159</x:v>
      </x:c>
      <x:c r="AL669" s="55" t="n">
        <x:v>1504</x:v>
      </x:c>
      <x:c r="AM669" s="55" t="n">
        <x:v>4941</x:v>
      </x:c>
      <x:c r="AN669" s="55" t="n">
        <x:v>3138</x:v>
      </x:c>
      <x:c r="AO669" s="55" t="n">
        <x:v>31</x:v>
      </x:c>
      <x:c r="AP669" s="55" t="n">
        <x:v>2015</x:v>
      </x:c>
      <x:c r="AQ669" s="55" t="n">
        <x:v>973</x:v>
      </x:c>
    </x:row>
    <x:row r="670">
      <x:c r="A670" s="54" t="str">
        <x:v>T0_TABLE_BLOCK</x:v>
      </x:c>
      <x:c r="B670" s="54" t="n">
        <x:v>664</x:v>
      </x:c>
      <x:c r="C670" s="54" t="str">
        <x:v>NYC-V2-R01</x:v>
      </x:c>
      <x:c r="D670" s="54" t="str">
        <x:v>V2</x:v>
      </x:c>
      <x:c r="E670" s="54" t="str">
        <x:v>ADMITTED</x:v>
      </x:c>
      <x:c r="F670" s="55" t="n">
        <x:v>31040</x:v>
      </x:c>
      <x:c r="G670" s="55" t="n">
        <x:v>8269</x:v>
      </x:c>
      <x:c r="H670" s="55" t="n">
        <x:v>3363</x:v>
      </x:c>
      <x:c r="I670" s="55" t="n">
        <x:v>1333</x:v>
      </x:c>
      <x:c r="J670" s="55" t="n">
        <x:v>307</x:v>
      </x:c>
      <x:c r="K670" s="55" t="n">
        <x:v>31040</x:v>
      </x:c>
      <x:c r="L670" s="55" t="n">
        <x:v>6215</x:v>
      </x:c>
      <x:c r="M670" s="55" t="n">
        <x:v>612</x:v>
      </x:c>
      <x:c r="N670" s="55" t="n">
        <x:v>3438</x:v>
      </x:c>
      <x:c r="O670" s="55" t="n">
        <x:v>2165</x:v>
      </x:c>
      <x:c r="P670" s="55" t="n">
        <x:v>371</x:v>
      </x:c>
      <x:c r="Q670" s="55" t="n">
        <x:v>2403</x:v>
      </x:c>
      <x:c r="R670" s="55" t="n">
        <x:v>2007</x:v>
      </x:c>
      <x:c r="S670" s="55" t="n">
        <x:v>2229</x:v>
      </x:c>
      <x:c r="T670" s="55" t="n">
        <x:v>1724</x:v>
      </x:c>
      <x:c r="U670" s="55" t="n">
        <x:v>2664</x:v>
      </x:c>
      <x:c r="V670" s="55" t="n">
        <x:v>9979</x:v>
      </x:c>
      <x:c r="W670" s="55" t="n">
        <x:v>7073</x:v>
      </x:c>
      <x:c r="X670" s="55" t="n">
        <x:v>2906</x:v>
      </x:c>
      <x:c r="Y670" s="55" t="n">
        <x:v>2544</x:v>
      </x:c>
      <x:c r="Z670" s="55" t="n">
        <x:v>3774</x:v>
      </x:c>
      <x:c r="AA670" s="55" t="n">
        <x:v>3224</x:v>
      </x:c>
      <x:c r="AB670" s="55" t="n">
        <x:v>1049</x:v>
      </x:c>
      <x:c r="AC670" s="55" t="n">
        <x:v>8484</x:v>
      </x:c>
      <x:c r="AD670" s="55" t="n">
        <x:v>2910</x:v>
      </x:c>
      <x:c r="AE670" s="55" t="n">
        <x:v>10048</x:v>
      </x:c>
      <x:c r="AF670" s="55" t="n">
        <x:v>9979</x:v>
      </x:c>
      <x:c r="AG670" s="55" t="n">
        <x:v>69</x:v>
      </x:c>
      <x:c r="AH670" s="55" t="n">
        <x:v>339</x:v>
      </x:c>
      <x:c r="AI670" s="55" t="n">
        <x:v>9640</x:v>
      </x:c>
      <x:c r="AJ670" s="55" t="n">
        <x:v>255</x:v>
      </x:c>
      <x:c r="AK670" s="55" t="n">
        <x:v>1226</x:v>
      </x:c>
      <x:c r="AL670" s="55" t="n">
        <x:v>1469</x:v>
      </x:c>
      <x:c r="AM670" s="55" t="n">
        <x:v>4185</x:v>
      </x:c>
      <x:c r="AN670" s="55" t="n">
        <x:v>2844</x:v>
      </x:c>
      <x:c r="AO670" s="55" t="n">
        <x:v>0</x:v>
      </x:c>
      <x:c r="AP670" s="55" t="n">
        <x:v>2324</x:v>
      </x:c>
      <x:c r="AQ670" s="55" t="n">
        <x:v>928</x:v>
      </x:c>
    </x:row>
    <x:row r="671">
      <x:c r="A671" s="54" t="str">
        <x:v>T0_TABLE_BLOCK</x:v>
      </x:c>
      <x:c r="B671" s="54" t="n">
        <x:v>665</x:v>
      </x:c>
      <x:c r="C671" s="54" t="str">
        <x:v>NYC-V2-R01</x:v>
      </x:c>
      <x:c r="D671" s="54" t="str">
        <x:v>V2</x:v>
      </x:c>
      <x:c r="E671" s="54" t="str">
        <x:v>ADMITTED</x:v>
      </x:c>
      <x:c r="F671" s="55" t="n">
        <x:v>31718</x:v>
      </x:c>
      <x:c r="G671" s="55" t="n">
        <x:v>7152</x:v>
      </x:c>
      <x:c r="H671" s="55" t="n">
        <x:v>3270</x:v>
      </x:c>
      <x:c r="I671" s="55" t="n">
        <x:v>1546</x:v>
      </x:c>
      <x:c r="J671" s="55" t="n">
        <x:v>299</x:v>
      </x:c>
      <x:c r="K671" s="55" t="n">
        <x:v>31718</x:v>
      </x:c>
      <x:c r="L671" s="55" t="n">
        <x:v>6064</x:v>
      </x:c>
      <x:c r="M671" s="55" t="n">
        <x:v>865</x:v>
      </x:c>
      <x:c r="N671" s="55" t="n">
        <x:v>3150</x:v>
      </x:c>
      <x:c r="O671" s="55" t="n">
        <x:v>2049</x:v>
      </x:c>
      <x:c r="P671" s="55" t="n">
        <x:v>571</x:v>
      </x:c>
      <x:c r="Q671" s="55" t="n">
        <x:v>2615</x:v>
      </x:c>
      <x:c r="R671" s="55" t="n">
        <x:v>1845</x:v>
      </x:c>
      <x:c r="S671" s="55" t="n">
        <x:v>2084</x:v>
      </x:c>
      <x:c r="T671" s="55" t="n">
        <x:v>1190</x:v>
      </x:c>
      <x:c r="U671" s="55" t="n">
        <x:v>1461</x:v>
      </x:c>
      <x:c r="V671" s="55" t="n">
        <x:v>10508</x:v>
      </x:c>
      <x:c r="W671" s="55" t="n">
        <x:v>7486</x:v>
      </x:c>
      <x:c r="X671" s="55" t="n">
        <x:v>3022</x:v>
      </x:c>
      <x:c r="Y671" s="55" t="n">
        <x:v>2659</x:v>
      </x:c>
      <x:c r="Z671" s="55" t="n">
        <x:v>3759</x:v>
      </x:c>
      <x:c r="AA671" s="55" t="n">
        <x:v>2814</x:v>
      </x:c>
      <x:c r="AB671" s="55" t="n">
        <x:v>960</x:v>
      </x:c>
      <x:c r="AC671" s="55" t="n">
        <x:v>8104</x:v>
      </x:c>
      <x:c r="AD671" s="55" t="n">
        <x:v>2696</x:v>
      </x:c>
      <x:c r="AE671" s="55" t="n">
        <x:v>10610</x:v>
      </x:c>
      <x:c r="AF671" s="55" t="n">
        <x:v>10508</x:v>
      </x:c>
      <x:c r="AG671" s="55" t="n">
        <x:v>102</x:v>
      </x:c>
      <x:c r="AH671" s="55" t="n">
        <x:v>370</x:v>
      </x:c>
      <x:c r="AI671" s="55" t="n">
        <x:v>10138</x:v>
      </x:c>
      <x:c r="AJ671" s="55" t="n">
        <x:v>399</x:v>
      </x:c>
      <x:c r="AK671" s="55" t="n">
        <x:v>639</x:v>
      </x:c>
      <x:c r="AL671" s="55" t="n">
        <x:v>1723</x:v>
      </x:c>
      <x:c r="AM671" s="55" t="n">
        <x:v>5451</x:v>
      </x:c>
      <x:c r="AN671" s="55" t="n">
        <x:v>2285</x:v>
      </x:c>
      <x:c r="AO671" s="55" t="n">
        <x:v>11</x:v>
      </x:c>
      <x:c r="AP671" s="55" t="n">
        <x:v>2777</x:v>
      </x:c>
      <x:c r="AQ671" s="55" t="n">
        <x:v>990</x:v>
      </x:c>
    </x:row>
    <x:row r="672">
      <x:c r="A672" s="54" t="str">
        <x:v>T0_TABLE_BLOCK</x:v>
      </x:c>
      <x:c r="B672" s="54" t="n">
        <x:v>666</x:v>
      </x:c>
      <x:c r="C672" s="54" t="str">
        <x:v>NYC-V2-R01</x:v>
      </x:c>
      <x:c r="D672" s="54" t="str">
        <x:v>V2</x:v>
      </x:c>
      <x:c r="E672" s="54" t="str">
        <x:v>ADMITTED</x:v>
      </x:c>
      <x:c r="F672" s="55" t="n">
        <x:v>31744</x:v>
      </x:c>
      <x:c r="G672" s="55" t="n">
        <x:v>9073</x:v>
      </x:c>
      <x:c r="H672" s="55" t="n">
        <x:v>3015</x:v>
      </x:c>
      <x:c r="I672" s="55" t="n">
        <x:v>1206</x:v>
      </x:c>
      <x:c r="J672" s="55" t="n">
        <x:v>53</x:v>
      </x:c>
      <x:c r="K672" s="55" t="n">
        <x:v>29705</x:v>
      </x:c>
      <x:c r="L672" s="55" t="n">
        <x:v>5606</x:v>
      </x:c>
      <x:c r="M672" s="55" t="n">
        <x:v>1326</x:v>
      </x:c>
      <x:c r="N672" s="55" t="n">
        <x:v>2395</x:v>
      </x:c>
      <x:c r="O672" s="55" t="n">
        <x:v>1885</x:v>
      </x:c>
      <x:c r="P672" s="55" t="n">
        <x:v>363</x:v>
      </x:c>
      <x:c r="Q672" s="55" t="n">
        <x:v>3441</x:v>
      </x:c>
      <x:c r="R672" s="55" t="n">
        <x:v>1689</x:v>
      </x:c>
      <x:c r="S672" s="55" t="n">
        <x:v>2907</x:v>
      </x:c>
      <x:c r="T672" s="55" t="n">
        <x:v>1522</x:v>
      </x:c>
      <x:c r="U672" s="55" t="n">
        <x:v>1670</x:v>
      </x:c>
      <x:c r="V672" s="55" t="n">
        <x:v>9927</x:v>
      </x:c>
      <x:c r="W672" s="55" t="n">
        <x:v>7410</x:v>
      </x:c>
      <x:c r="X672" s="55" t="n">
        <x:v>2517</x:v>
      </x:c>
      <x:c r="Y672" s="55" t="n">
        <x:v>2318</x:v>
      </x:c>
      <x:c r="Z672" s="55" t="n">
        <x:v>3859</x:v>
      </x:c>
      <x:c r="AA672" s="55" t="n">
        <x:v>3007</x:v>
      </x:c>
      <x:c r="AB672" s="55" t="n">
        <x:v>1378</x:v>
      </x:c>
      <x:c r="AC672" s="55" t="n">
        <x:v>8607</x:v>
      </x:c>
      <x:c r="AD672" s="55" t="n">
        <x:v>4085</x:v>
      </x:c>
      <x:c r="AE672" s="55" t="n">
        <x:v>9971</x:v>
      </x:c>
      <x:c r="AF672" s="55" t="n">
        <x:v>9927</x:v>
      </x:c>
      <x:c r="AG672" s="55" t="n">
        <x:v>44</x:v>
      </x:c>
      <x:c r="AH672" s="55" t="n">
        <x:v>246</x:v>
      </x:c>
      <x:c r="AI672" s="55" t="n">
        <x:v>9681</x:v>
      </x:c>
      <x:c r="AJ672" s="55" t="n">
        <x:v>326</x:v>
      </x:c>
      <x:c r="AK672" s="55" t="n">
        <x:v>858</x:v>
      </x:c>
      <x:c r="AL672" s="55" t="n">
        <x:v>1346</x:v>
      </x:c>
      <x:c r="AM672" s="55" t="n">
        <x:v>4567</x:v>
      </x:c>
      <x:c r="AN672" s="55" t="n">
        <x:v>2821</x:v>
      </x:c>
      <x:c r="AO672" s="55" t="n">
        <x:v>9</x:v>
      </x:c>
      <x:c r="AP672" s="55" t="n">
        <x:v>2304</x:v>
      </x:c>
      <x:c r="AQ672" s="55" t="n">
        <x:v>908</x:v>
      </x:c>
    </x:row>
    <x:row r="673">
      <x:c r="A673" s="54" t="str">
        <x:v>T0_TABLE_BLOCK</x:v>
      </x:c>
      <x:c r="B673" s="54" t="n">
        <x:v>667</x:v>
      </x:c>
      <x:c r="C673" s="54" t="str">
        <x:v>NYC-V2-R01</x:v>
      </x:c>
      <x:c r="D673" s="54" t="str">
        <x:v>V2</x:v>
      </x:c>
      <x:c r="E673" s="54" t="str">
        <x:v>ADMITTED</x:v>
      </x:c>
      <x:c r="F673" s="55" t="n">
        <x:v>31460</x:v>
      </x:c>
      <x:c r="G673" s="55" t="n">
        <x:v>8157</x:v>
      </x:c>
      <x:c r="H673" s="55" t="n">
        <x:v>2960</x:v>
      </x:c>
      <x:c r="I673" s="55" t="n">
        <x:v>1040</x:v>
      </x:c>
      <x:c r="J673" s="55" t="n">
        <x:v>144</x:v>
      </x:c>
      <x:c r="K673" s="55" t="n">
        <x:v>31046</x:v>
      </x:c>
      <x:c r="L673" s="55" t="n">
        <x:v>6001</x:v>
      </x:c>
      <x:c r="M673" s="55" t="n">
        <x:v>1855</x:v>
      </x:c>
      <x:c r="N673" s="55" t="n">
        <x:v>2638</x:v>
      </x:c>
      <x:c r="O673" s="55" t="n">
        <x:v>1508</x:v>
      </x:c>
      <x:c r="P673" s="55" t="n">
        <x:v>843</x:v>
      </x:c>
      <x:c r="Q673" s="55" t="n">
        <x:v>2900</x:v>
      </x:c>
      <x:c r="R673" s="55" t="n">
        <x:v>1350</x:v>
      </x:c>
      <x:c r="S673" s="55" t="n">
        <x:v>2528</x:v>
      </x:c>
      <x:c r="T673" s="55" t="n">
        <x:v>1058</x:v>
      </x:c>
      <x:c r="U673" s="55" t="n">
        <x:v>2610</x:v>
      </x:c>
      <x:c r="V673" s="55" t="n">
        <x:v>10588</x:v>
      </x:c>
      <x:c r="W673" s="55" t="n">
        <x:v>7564</x:v>
      </x:c>
      <x:c r="X673" s="55" t="n">
        <x:v>3024</x:v>
      </x:c>
      <x:c r="Y673" s="55" t="n">
        <x:v>2882</x:v>
      </x:c>
      <x:c r="Z673" s="55" t="n">
        <x:v>3944</x:v>
      </x:c>
      <x:c r="AA673" s="55" t="n">
        <x:v>2954</x:v>
      </x:c>
      <x:c r="AB673" s="55" t="n">
        <x:v>1007</x:v>
      </x:c>
      <x:c r="AC673" s="55" t="n">
        <x:v>7743</x:v>
      </x:c>
      <x:c r="AD673" s="55" t="n">
        <x:v>2740</x:v>
      </x:c>
      <x:c r="AE673" s="55" t="n">
        <x:v>10695</x:v>
      </x:c>
      <x:c r="AF673" s="55" t="n">
        <x:v>10588</x:v>
      </x:c>
      <x:c r="AG673" s="55" t="n">
        <x:v>107</x:v>
      </x:c>
      <x:c r="AH673" s="55" t="n">
        <x:v>431</x:v>
      </x:c>
      <x:c r="AI673" s="55" t="n">
        <x:v>10157</x:v>
      </x:c>
      <x:c r="AJ673" s="55" t="n">
        <x:v>116</x:v>
      </x:c>
      <x:c r="AK673" s="55" t="n">
        <x:v>1467</x:v>
      </x:c>
      <x:c r="AL673" s="55" t="n">
        <x:v>1645</x:v>
      </x:c>
      <x:c r="AM673" s="55" t="n">
        <x:v>4932</x:v>
      </x:c>
      <x:c r="AN673" s="55" t="n">
        <x:v>2428</x:v>
      </x:c>
      <x:c r="AO673" s="55" t="n">
        <x:v>0</x:v>
      </x:c>
      <x:c r="AP673" s="55" t="n">
        <x:v>2079</x:v>
      </x:c>
      <x:c r="AQ673" s="55" t="n">
        <x:v>943</x:v>
      </x:c>
    </x:row>
    <x:row r="674">
      <x:c r="A674" s="54" t="str">
        <x:v>T0_TABLE_BLOCK</x:v>
      </x:c>
      <x:c r="B674" s="54" t="n">
        <x:v>668</x:v>
      </x:c>
      <x:c r="C674" s="54" t="str">
        <x:v>NYC-V2-R01</x:v>
      </x:c>
      <x:c r="D674" s="54" t="str">
        <x:v>V2</x:v>
      </x:c>
      <x:c r="E674" s="54" t="str">
        <x:v>ADMITTED</x:v>
      </x:c>
      <x:c r="F674" s="55" t="n">
        <x:v>33070</x:v>
      </x:c>
      <x:c r="G674" s="55" t="n">
        <x:v>7233</x:v>
      </x:c>
      <x:c r="H674" s="55" t="n">
        <x:v>3298</x:v>
      </x:c>
      <x:c r="I674" s="55" t="n">
        <x:v>877</x:v>
      </x:c>
      <x:c r="J674" s="55" t="n">
        <x:v>35</x:v>
      </x:c>
      <x:c r="K674" s="55" t="n">
        <x:v>33070</x:v>
      </x:c>
      <x:c r="L674" s="55" t="n">
        <x:v>5855</x:v>
      </x:c>
      <x:c r="M674" s="55" t="n">
        <x:v>1768</x:v>
      </x:c>
      <x:c r="N674" s="55" t="n">
        <x:v>2498</x:v>
      </x:c>
      <x:c r="O674" s="55" t="n">
        <x:v>1589</x:v>
      </x:c>
      <x:c r="P674" s="55" t="n">
        <x:v>1209</x:v>
      </x:c>
      <x:c r="Q674" s="55" t="n">
        <x:v>2644</x:v>
      </x:c>
      <x:c r="R674" s="55" t="n">
        <x:v>1807</x:v>
      </x:c>
      <x:c r="S674" s="55" t="n">
        <x:v>3033</x:v>
      </x:c>
      <x:c r="T674" s="55" t="n">
        <x:v>1325</x:v>
      </x:c>
      <x:c r="U674" s="55" t="n">
        <x:v>1985</x:v>
      </x:c>
      <x:c r="V674" s="55" t="n">
        <x:v>10405</x:v>
      </x:c>
      <x:c r="W674" s="55" t="n">
        <x:v>6963</x:v>
      </x:c>
      <x:c r="X674" s="55" t="n">
        <x:v>3442</x:v>
      </x:c>
      <x:c r="Y674" s="55" t="n">
        <x:v>2922</x:v>
      </x:c>
      <x:c r="Z674" s="55" t="n">
        <x:v>3905</x:v>
      </x:c>
      <x:c r="AA674" s="55" t="n">
        <x:v>3298</x:v>
      </x:c>
      <x:c r="AB674" s="55" t="n">
        <x:v>1328</x:v>
      </x:c>
      <x:c r="AC674" s="55" t="n">
        <x:v>7766</x:v>
      </x:c>
      <x:c r="AD674" s="55" t="n">
        <x:v>2618</x:v>
      </x:c>
      <x:c r="AE674" s="55" t="n">
        <x:v>10505</x:v>
      </x:c>
      <x:c r="AF674" s="55" t="n">
        <x:v>10405</x:v>
      </x:c>
      <x:c r="AG674" s="55" t="n">
        <x:v>100</x:v>
      </x:c>
      <x:c r="AH674" s="55" t="n">
        <x:v>459</x:v>
      </x:c>
      <x:c r="AI674" s="55" t="n">
        <x:v>9946</x:v>
      </x:c>
      <x:c r="AJ674" s="55" t="n">
        <x:v>283</x:v>
      </x:c>
      <x:c r="AK674" s="55" t="n">
        <x:v>909</x:v>
      </x:c>
      <x:c r="AL674" s="55" t="n">
        <x:v>1724</x:v>
      </x:c>
      <x:c r="AM674" s="55" t="n">
        <x:v>5449</x:v>
      </x:c>
      <x:c r="AN674" s="55" t="n">
        <x:v>1994</x:v>
      </x:c>
      <x:c r="AO674" s="55" t="n">
        <x:v>46</x:v>
      </x:c>
      <x:c r="AP674" s="55" t="n">
        <x:v>2282</x:v>
      </x:c>
      <x:c r="AQ674" s="55" t="n">
        <x:v>960</x:v>
      </x:c>
    </x:row>
    <x:row r="675">
      <x:c r="A675" s="54" t="str">
        <x:v>T0_TABLE_BLOCK</x:v>
      </x:c>
      <x:c r="B675" s="54" t="n">
        <x:v>669</x:v>
      </x:c>
      <x:c r="C675" s="54" t="str">
        <x:v>NYC-V2-R01</x:v>
      </x:c>
      <x:c r="D675" s="54" t="str">
        <x:v>V2</x:v>
      </x:c>
      <x:c r="E675" s="54" t="str">
        <x:v>ADMITTED</x:v>
      </x:c>
      <x:c r="F675" s="55" t="n">
        <x:v>29666</x:v>
      </x:c>
      <x:c r="G675" s="55" t="n">
        <x:v>6966</x:v>
      </x:c>
      <x:c r="H675" s="55" t="n">
        <x:v>3237</x:v>
      </x:c>
      <x:c r="I675" s="55" t="n">
        <x:v>1328</x:v>
      </x:c>
      <x:c r="J675" s="55" t="n">
        <x:v>132</x:v>
      </x:c>
      <x:c r="K675" s="55" t="n">
        <x:v>29666</x:v>
      </x:c>
      <x:c r="L675" s="55" t="n">
        <x:v>5177</x:v>
      </x:c>
      <x:c r="M675" s="55" t="n">
        <x:v>1287</x:v>
      </x:c>
      <x:c r="N675" s="55" t="n">
        <x:v>2518</x:v>
      </x:c>
      <x:c r="O675" s="55" t="n">
        <x:v>1372</x:v>
      </x:c>
      <x:c r="P675" s="55" t="n">
        <x:v>886</x:v>
      </x:c>
      <x:c r="Q675" s="55" t="n">
        <x:v>2350</x:v>
      </x:c>
      <x:c r="R675" s="55" t="n">
        <x:v>1700</x:v>
      </x:c>
      <x:c r="S675" s="55" t="n">
        <x:v>2848</x:v>
      </x:c>
      <x:c r="T675" s="55" t="n">
        <x:v>1278</x:v>
      </x:c>
      <x:c r="U675" s="55" t="n">
        <x:v>2002</x:v>
      </x:c>
      <x:c r="V675" s="55" t="n">
        <x:v>10541</x:v>
      </x:c>
      <x:c r="W675" s="55" t="n">
        <x:v>7523</x:v>
      </x:c>
      <x:c r="X675" s="55" t="n">
        <x:v>3018</x:v>
      </x:c>
      <x:c r="Y675" s="55" t="n">
        <x:v>2533</x:v>
      </x:c>
      <x:c r="Z675" s="55" t="n">
        <x:v>4379</x:v>
      </x:c>
      <x:c r="AA675" s="55" t="n">
        <x:v>2703</x:v>
      </x:c>
      <x:c r="AB675" s="55" t="n">
        <x:v>1370</x:v>
      </x:c>
      <x:c r="AC675" s="55" t="n">
        <x:v>7593</x:v>
      </x:c>
      <x:c r="AD675" s="55" t="n">
        <x:v>2210</x:v>
      </x:c>
      <x:c r="AE675" s="55" t="n">
        <x:v>10541</x:v>
      </x:c>
      <x:c r="AF675" s="55" t="n">
        <x:v>10541</x:v>
      </x:c>
      <x:c r="AG675" s="55" t="n">
        <x:v>0</x:v>
      </x:c>
      <x:c r="AH675" s="55" t="n">
        <x:v>562</x:v>
      </x:c>
      <x:c r="AI675" s="55" t="n">
        <x:v>9979</x:v>
      </x:c>
      <x:c r="AJ675" s="55" t="n">
        <x:v>285</x:v>
      </x:c>
      <x:c r="AK675" s="55" t="n">
        <x:v>1006</x:v>
      </x:c>
      <x:c r="AL675" s="55" t="n">
        <x:v>1476</x:v>
      </x:c>
      <x:c r="AM675" s="55" t="n">
        <x:v>4907</x:v>
      </x:c>
      <x:c r="AN675" s="55" t="n">
        <x:v>2867</x:v>
      </x:c>
      <x:c r="AO675" s="55" t="n">
        <x:v>0</x:v>
      </x:c>
      <x:c r="AP675" s="55" t="n">
        <x:v>2459</x:v>
      </x:c>
      <x:c r="AQ675" s="55" t="n">
        <x:v>974</x:v>
      </x:c>
    </x:row>
    <x:row r="676">
      <x:c r="A676" s="54" t="str">
        <x:v>T0_TABLE_BLOCK</x:v>
      </x:c>
      <x:c r="B676" s="54" t="n">
        <x:v>670</x:v>
      </x:c>
      <x:c r="C676" s="54" t="str">
        <x:v>NYC-V2-R01</x:v>
      </x:c>
      <x:c r="D676" s="54" t="str">
        <x:v>V2</x:v>
      </x:c>
      <x:c r="E676" s="54" t="str">
        <x:v>ADMITTED</x:v>
      </x:c>
      <x:c r="F676" s="55" t="n">
        <x:v>31260</x:v>
      </x:c>
      <x:c r="G676" s="55" t="n">
        <x:v>7683</x:v>
      </x:c>
      <x:c r="H676" s="55" t="n">
        <x:v>3540</x:v>
      </x:c>
      <x:c r="I676" s="55" t="n">
        <x:v>1159</x:v>
      </x:c>
      <x:c r="J676" s="55" t="n">
        <x:v>290</x:v>
      </x:c>
      <x:c r="K676" s="55" t="n">
        <x:v>31260</x:v>
      </x:c>
      <x:c r="L676" s="55" t="n">
        <x:v>6139</x:v>
      </x:c>
      <x:c r="M676" s="55" t="n">
        <x:v>1047</x:v>
      </x:c>
      <x:c r="N676" s="55" t="n">
        <x:v>2905</x:v>
      </x:c>
      <x:c r="O676" s="55" t="n">
        <x:v>2187</x:v>
      </x:c>
      <x:c r="P676" s="55" t="n">
        <x:v>1059</x:v>
      </x:c>
      <x:c r="Q676" s="55" t="n">
        <x:v>3079</x:v>
      </x:c>
      <x:c r="R676" s="55" t="n">
        <x:v>2291</x:v>
      </x:c>
      <x:c r="S676" s="55" t="n">
        <x:v>3597</x:v>
      </x:c>
      <x:c r="T676" s="55" t="n">
        <x:v>1491</x:v>
      </x:c>
      <x:c r="U676" s="55" t="n">
        <x:v>2152</x:v>
      </x:c>
      <x:c r="V676" s="55" t="n">
        <x:v>10448</x:v>
      </x:c>
      <x:c r="W676" s="55" t="n">
        <x:v>7292</x:v>
      </x:c>
      <x:c r="X676" s="55" t="n">
        <x:v>3156</x:v>
      </x:c>
      <x:c r="Y676" s="55" t="n">
        <x:v>2576</x:v>
      </x:c>
      <x:c r="Z676" s="55" t="n">
        <x:v>3355</x:v>
      </x:c>
      <x:c r="AA676" s="55" t="n">
        <x:v>2687</x:v>
      </x:c>
      <x:c r="AB676" s="55" t="n">
        <x:v>1185</x:v>
      </x:c>
      <x:c r="AC676" s="55" t="n">
        <x:v>7808</x:v>
      </x:c>
      <x:c r="AD676" s="55" t="n">
        <x:v>2614</x:v>
      </x:c>
      <x:c r="AE676" s="55" t="n">
        <x:v>10465</x:v>
      </x:c>
      <x:c r="AF676" s="55" t="n">
        <x:v>10448</x:v>
      </x:c>
      <x:c r="AG676" s="55" t="n">
        <x:v>17</x:v>
      </x:c>
      <x:c r="AH676" s="55" t="n">
        <x:v>194</x:v>
      </x:c>
      <x:c r="AI676" s="55" t="n">
        <x:v>10254</x:v>
      </x:c>
      <x:c r="AJ676" s="55" t="n">
        <x:v>144</x:v>
      </x:c>
      <x:c r="AK676" s="55" t="n">
        <x:v>738</x:v>
      </x:c>
      <x:c r="AL676" s="55" t="n">
        <x:v>1303</x:v>
      </x:c>
      <x:c r="AM676" s="55" t="n">
        <x:v>5716</x:v>
      </x:c>
      <x:c r="AN676" s="55" t="n">
        <x:v>2547</x:v>
      </x:c>
      <x:c r="AO676" s="55" t="n">
        <x:v>0</x:v>
      </x:c>
      <x:c r="AP676" s="55" t="n">
        <x:v>2803</x:v>
      </x:c>
      <x:c r="AQ676" s="55" t="n">
        <x:v>939</x:v>
      </x:c>
    </x:row>
    <x:row r="677">
      <x:c r="A677" s="54" t="str">
        <x:v>T0_TABLE_BLOCK</x:v>
      </x:c>
      <x:c r="B677" s="54" t="n">
        <x:v>671</x:v>
      </x:c>
      <x:c r="C677" s="54" t="str">
        <x:v>NYC-V2-R01</x:v>
      </x:c>
      <x:c r="D677" s="54" t="str">
        <x:v>V2</x:v>
      </x:c>
      <x:c r="E677" s="54" t="str">
        <x:v>ADMITTED</x:v>
      </x:c>
      <x:c r="F677" s="55" t="n">
        <x:v>30723</x:v>
      </x:c>
      <x:c r="G677" s="55" t="n">
        <x:v>7597</x:v>
      </x:c>
      <x:c r="H677" s="55" t="n">
        <x:v>3597</x:v>
      </x:c>
      <x:c r="I677" s="55" t="n">
        <x:v>1346</x:v>
      </x:c>
      <x:c r="J677" s="55" t="n">
        <x:v>112</x:v>
      </x:c>
      <x:c r="K677" s="55" t="n">
        <x:v>30723</x:v>
      </x:c>
      <x:c r="L677" s="55" t="n">
        <x:v>5919</x:v>
      </x:c>
      <x:c r="M677" s="55" t="n">
        <x:v>1005</x:v>
      </x:c>
      <x:c r="N677" s="55" t="n">
        <x:v>3052</x:v>
      </x:c>
      <x:c r="O677" s="55" t="n">
        <x:v>1862</x:v>
      </x:c>
      <x:c r="P677" s="55" t="n">
        <x:v>322</x:v>
      </x:c>
      <x:c r="Q677" s="55" t="n">
        <x:v>2755</x:v>
      </x:c>
      <x:c r="R677" s="55" t="n">
        <x:v>1928</x:v>
      </x:c>
      <x:c r="S677" s="55" t="n">
        <x:v>3548</x:v>
      </x:c>
      <x:c r="T677" s="55" t="n">
        <x:v>1133</x:v>
      </x:c>
      <x:c r="U677" s="55" t="n">
        <x:v>2250</x:v>
      </x:c>
      <x:c r="V677" s="55" t="n">
        <x:v>10993</x:v>
      </x:c>
      <x:c r="W677" s="55" t="n">
        <x:v>7981</x:v>
      </x:c>
      <x:c r="X677" s="55" t="n">
        <x:v>3012</x:v>
      </x:c>
      <x:c r="Y677" s="55" t="n">
        <x:v>2538</x:v>
      </x:c>
      <x:c r="Z677" s="55" t="n">
        <x:v>3698</x:v>
      </x:c>
      <x:c r="AA677" s="55" t="n">
        <x:v>3195</x:v>
      </x:c>
      <x:c r="AB677" s="55" t="n">
        <x:v>1103</x:v>
      </x:c>
      <x:c r="AC677" s="55" t="n">
        <x:v>7935</x:v>
      </x:c>
      <x:c r="AD677" s="55" t="n">
        <x:v>3241</x:v>
      </x:c>
      <x:c r="AE677" s="55" t="n">
        <x:v>11041</x:v>
      </x:c>
      <x:c r="AF677" s="55" t="n">
        <x:v>10993</x:v>
      </x:c>
      <x:c r="AG677" s="55" t="n">
        <x:v>48</x:v>
      </x:c>
      <x:c r="AH677" s="55" t="n">
        <x:v>508</x:v>
      </x:c>
      <x:c r="AI677" s="55" t="n">
        <x:v>10485</x:v>
      </x:c>
      <x:c r="AJ677" s="55" t="n">
        <x:v>131</x:v>
      </x:c>
      <x:c r="AK677" s="55" t="n">
        <x:v>1103</x:v>
      </x:c>
      <x:c r="AL677" s="55" t="n">
        <x:v>1415</x:v>
      </x:c>
      <x:c r="AM677" s="55" t="n">
        <x:v>5299</x:v>
      </x:c>
      <x:c r="AN677" s="55" t="n">
        <x:v>3045</x:v>
      </x:c>
      <x:c r="AO677" s="55" t="n">
        <x:v>0</x:v>
      </x:c>
      <x:c r="AP677" s="55" t="n">
        <x:v>2370</x:v>
      </x:c>
      <x:c r="AQ677" s="55" t="n">
        <x:v>932</x:v>
      </x:c>
    </x:row>
    <x:row r="678">
      <x:c r="A678" s="54" t="str">
        <x:v>T0_TABLE_BLOCK</x:v>
      </x:c>
      <x:c r="B678" s="54" t="n">
        <x:v>672</x:v>
      </x:c>
      <x:c r="C678" s="54" t="str">
        <x:v>NYC-V2-R01</x:v>
      </x:c>
      <x:c r="D678" s="54" t="str">
        <x:v>V2</x:v>
      </x:c>
      <x:c r="E678" s="54" t="str">
        <x:v>ADMITTED</x:v>
      </x:c>
      <x:c r="F678" s="55" t="n">
        <x:v>30873</x:v>
      </x:c>
      <x:c r="G678" s="55" t="n">
        <x:v>7998</x:v>
      </x:c>
      <x:c r="H678" s="55" t="n">
        <x:v>3113</x:v>
      </x:c>
      <x:c r="I678" s="55" t="n">
        <x:v>1170</x:v>
      </x:c>
      <x:c r="J678" s="55" t="n">
        <x:v>0</x:v>
      </x:c>
      <x:c r="K678" s="55" t="n">
        <x:v>28750</x:v>
      </x:c>
      <x:c r="L678" s="55" t="n">
        <x:v>6028</x:v>
      </x:c>
      <x:c r="M678" s="55" t="n">
        <x:v>1894</x:v>
      </x:c>
      <x:c r="N678" s="55" t="n">
        <x:v>2837</x:v>
      </x:c>
      <x:c r="O678" s="55" t="n">
        <x:v>1297</x:v>
      </x:c>
      <x:c r="P678" s="55" t="n">
        <x:v>447</x:v>
      </x:c>
      <x:c r="Q678" s="55" t="n">
        <x:v>2435</x:v>
      </x:c>
      <x:c r="R678" s="55" t="n">
        <x:v>1623</x:v>
      </x:c>
      <x:c r="S678" s="55" t="n">
        <x:v>2692</x:v>
      </x:c>
      <x:c r="T678" s="55" t="n">
        <x:v>1072</x:v>
      </x:c>
      <x:c r="U678" s="55" t="n">
        <x:v>2123</x:v>
      </x:c>
      <x:c r="V678" s="55" t="n">
        <x:v>10506</x:v>
      </x:c>
      <x:c r="W678" s="55" t="n">
        <x:v>7155</x:v>
      </x:c>
      <x:c r="X678" s="55" t="n">
        <x:v>3351</x:v>
      </x:c>
      <x:c r="Y678" s="55" t="n">
        <x:v>2813</x:v>
      </x:c>
      <x:c r="Z678" s="55" t="n">
        <x:v>4303</x:v>
      </x:c>
      <x:c r="AA678" s="55" t="n">
        <x:v>3113</x:v>
      </x:c>
      <x:c r="AB678" s="55" t="n">
        <x:v>1304</x:v>
      </x:c>
      <x:c r="AC678" s="55" t="n">
        <x:v>7917</x:v>
      </x:c>
      <x:c r="AD678" s="55" t="n">
        <x:v>2946</x:v>
      </x:c>
      <x:c r="AE678" s="55" t="n">
        <x:v>10590</x:v>
      </x:c>
      <x:c r="AF678" s="55" t="n">
        <x:v>10506</x:v>
      </x:c>
      <x:c r="AG678" s="55" t="n">
        <x:v>84</x:v>
      </x:c>
      <x:c r="AH678" s="55" t="n">
        <x:v>498</x:v>
      </x:c>
      <x:c r="AI678" s="55" t="n">
        <x:v>10008</x:v>
      </x:c>
      <x:c r="AJ678" s="55" t="n">
        <x:v>461</x:v>
      </x:c>
      <x:c r="AK678" s="55" t="n">
        <x:v>1071</x:v>
      </x:c>
      <x:c r="AL678" s="55" t="n">
        <x:v>1430</x:v>
      </x:c>
      <x:c r="AM678" s="55" t="n">
        <x:v>5113</x:v>
      </x:c>
      <x:c r="AN678" s="55" t="n">
        <x:v>2375</x:v>
      </x:c>
      <x:c r="AO678" s="55" t="n">
        <x:v>56</x:v>
      </x:c>
      <x:c r="AP678" s="55" t="n">
        <x:v>1846</x:v>
      </x:c>
      <x:c r="AQ678" s="55" t="n">
        <x:v>1026</x:v>
      </x:c>
    </x:row>
    <x:row r="679">
      <x:c r="A679" s="54" t="str">
        <x:v>T0_TABLE_BLOCK</x:v>
      </x:c>
      <x:c r="B679" s="54" t="n">
        <x:v>673</x:v>
      </x:c>
      <x:c r="C679" s="54" t="str">
        <x:v>NYC-V2-R01</x:v>
      </x:c>
      <x:c r="D679" s="54" t="str">
        <x:v>V2</x:v>
      </x:c>
      <x:c r="E679" s="54" t="str">
        <x:v>ADMITTED</x:v>
      </x:c>
      <x:c r="F679" s="55" t="n">
        <x:v>29938</x:v>
      </x:c>
      <x:c r="G679" s="55" t="n">
        <x:v>6826</x:v>
      </x:c>
      <x:c r="H679" s="55" t="n">
        <x:v>3387</x:v>
      </x:c>
      <x:c r="I679" s="55" t="n">
        <x:v>1257</x:v>
      </x:c>
      <x:c r="J679" s="55" t="n">
        <x:v>148</x:v>
      </x:c>
      <x:c r="K679" s="55" t="n">
        <x:v>29938</x:v>
      </x:c>
      <x:c r="L679" s="55" t="n">
        <x:v>5831</x:v>
      </x:c>
      <x:c r="M679" s="55" t="n">
        <x:v>2037</x:v>
      </x:c>
      <x:c r="N679" s="55" t="n">
        <x:v>2427</x:v>
      </x:c>
      <x:c r="O679" s="55" t="n">
        <x:v>1367</x:v>
      </x:c>
      <x:c r="P679" s="55" t="n">
        <x:v>520</x:v>
      </x:c>
      <x:c r="Q679" s="55" t="n">
        <x:v>2348</x:v>
      </x:c>
      <x:c r="R679" s="55" t="n">
        <x:v>2324</x:v>
      </x:c>
      <x:c r="S679" s="55" t="n">
        <x:v>2719</x:v>
      </x:c>
      <x:c r="T679" s="55" t="n">
        <x:v>1738</x:v>
      </x:c>
      <x:c r="U679" s="55" t="n">
        <x:v>2721</x:v>
      </x:c>
      <x:c r="V679" s="55" t="n">
        <x:v>11288</x:v>
      </x:c>
      <x:c r="W679" s="55" t="n">
        <x:v>8238</x:v>
      </x:c>
      <x:c r="X679" s="55" t="n">
        <x:v>3050</x:v>
      </x:c>
      <x:c r="Y679" s="55" t="n">
        <x:v>2714</x:v>
      </x:c>
      <x:c r="Z679" s="55" t="n">
        <x:v>4372</x:v>
      </x:c>
      <x:c r="AA679" s="55" t="n">
        <x:v>3387</x:v>
      </x:c>
      <x:c r="AB679" s="55" t="n">
        <x:v>1261</x:v>
      </x:c>
      <x:c r="AC679" s="55" t="n">
        <x:v>6951</x:v>
      </x:c>
      <x:c r="AD679" s="55" t="n">
        <x:v>2857</x:v>
      </x:c>
      <x:c r="AE679" s="55" t="n">
        <x:v>11372</x:v>
      </x:c>
      <x:c r="AF679" s="55" t="n">
        <x:v>11288</x:v>
      </x:c>
      <x:c r="AG679" s="55" t="n">
        <x:v>84</x:v>
      </x:c>
      <x:c r="AH679" s="55" t="n">
        <x:v>656</x:v>
      </x:c>
      <x:c r="AI679" s="55" t="n">
        <x:v>10632</x:v>
      </x:c>
      <x:c r="AJ679" s="55" t="n">
        <x:v>354</x:v>
      </x:c>
      <x:c r="AK679" s="55" t="n">
        <x:v>1159</x:v>
      </x:c>
      <x:c r="AL679" s="55" t="n">
        <x:v>1860</x:v>
      </x:c>
      <x:c r="AM679" s="55" t="n">
        <x:v>5225</x:v>
      </x:c>
      <x:c r="AN679" s="55" t="n">
        <x:v>2690</x:v>
      </x:c>
      <x:c r="AO679" s="55" t="n">
        <x:v>0</x:v>
      </x:c>
      <x:c r="AP679" s="55" t="n">
        <x:v>2230</x:v>
      </x:c>
      <x:c r="AQ679" s="55" t="n">
        <x:v>933</x:v>
      </x:c>
    </x:row>
    <x:row r="680">
      <x:c r="A680" s="54" t="str">
        <x:v>T0_TABLE_BLOCK</x:v>
      </x:c>
      <x:c r="B680" s="54" t="n">
        <x:v>674</x:v>
      </x:c>
      <x:c r="C680" s="54" t="str">
        <x:v>NYC-V2-R01</x:v>
      </x:c>
      <x:c r="D680" s="54" t="str">
        <x:v>V2</x:v>
      </x:c>
      <x:c r="E680" s="54" t="str">
        <x:v>ADMITTED</x:v>
      </x:c>
      <x:c r="F680" s="55" t="n">
        <x:v>34219</x:v>
      </x:c>
      <x:c r="G680" s="55" t="n">
        <x:v>9512</x:v>
      </x:c>
      <x:c r="H680" s="55" t="n">
        <x:v>3080</x:v>
      </x:c>
      <x:c r="I680" s="55" t="n">
        <x:v>951</x:v>
      </x:c>
      <x:c r="J680" s="55" t="n">
        <x:v>123</x:v>
      </x:c>
      <x:c r="K680" s="55" t="n">
        <x:v>29110</x:v>
      </x:c>
      <x:c r="L680" s="55" t="n">
        <x:v>4813</x:v>
      </x:c>
      <x:c r="M680" s="55" t="n">
        <x:v>1060</x:v>
      </x:c>
      <x:c r="N680" s="55" t="n">
        <x:v>2411</x:v>
      </x:c>
      <x:c r="O680" s="55" t="n">
        <x:v>1342</x:v>
      </x:c>
      <x:c r="P680" s="55" t="n">
        <x:v>1131</x:v>
      </x:c>
      <x:c r="Q680" s="55" t="n">
        <x:v>2837</x:v>
      </x:c>
      <x:c r="R680" s="55" t="n">
        <x:v>1870</x:v>
      </x:c>
      <x:c r="S680" s="55" t="n">
        <x:v>2891</x:v>
      </x:c>
      <x:c r="T680" s="55" t="n">
        <x:v>1337</x:v>
      </x:c>
      <x:c r="U680" s="55" t="n">
        <x:v>1935</x:v>
      </x:c>
      <x:c r="V680" s="55" t="n">
        <x:v>10439</x:v>
      </x:c>
      <x:c r="W680" s="55" t="n">
        <x:v>7492</x:v>
      </x:c>
      <x:c r="X680" s="55" t="n">
        <x:v>2947</x:v>
      </x:c>
      <x:c r="Y680" s="55" t="n">
        <x:v>2664</x:v>
      </x:c>
      <x:c r="Z680" s="55" t="n">
        <x:v>3678</x:v>
      </x:c>
      <x:c r="AA680" s="55" t="n">
        <x:v>3080</x:v>
      </x:c>
      <x:c r="AB680" s="55" t="n">
        <x:v>831</x:v>
      </x:c>
      <x:c r="AC680" s="55" t="n">
        <x:v>8385</x:v>
      </x:c>
      <x:c r="AD680" s="55" t="n">
        <x:v>3584</x:v>
      </x:c>
      <x:c r="AE680" s="55" t="n">
        <x:v>10439</x:v>
      </x:c>
      <x:c r="AF680" s="55" t="n">
        <x:v>10439</x:v>
      </x:c>
      <x:c r="AG680" s="55" t="n">
        <x:v>0</x:v>
      </x:c>
      <x:c r="AH680" s="55" t="n">
        <x:v>426</x:v>
      </x:c>
      <x:c r="AI680" s="55" t="n">
        <x:v>10013</x:v>
      </x:c>
      <x:c r="AJ680" s="55" t="n">
        <x:v>166</x:v>
      </x:c>
      <x:c r="AK680" s="55" t="n">
        <x:v>1116</x:v>
      </x:c>
      <x:c r="AL680" s="55" t="n">
        <x:v>1618</x:v>
      </x:c>
      <x:c r="AM680" s="55" t="n">
        <x:v>5152</x:v>
      </x:c>
      <x:c r="AN680" s="55" t="n">
        <x:v>2387</x:v>
      </x:c>
      <x:c r="AO680" s="55" t="n">
        <x:v>0</x:v>
      </x:c>
      <x:c r="AP680" s="55" t="n">
        <x:v>1824</x:v>
      </x:c>
      <x:c r="AQ680" s="55" t="n">
        <x:v>953</x:v>
      </x:c>
    </x:row>
    <x:row r="681">
      <x:c r="A681" s="54" t="str">
        <x:v>T0_TABLE_BLOCK</x:v>
      </x:c>
      <x:c r="B681" s="54" t="n">
        <x:v>675</x:v>
      </x:c>
      <x:c r="C681" s="54" t="str">
        <x:v>NYC-V2-R01</x:v>
      </x:c>
      <x:c r="D681" s="54" t="str">
        <x:v>V2</x:v>
      </x:c>
      <x:c r="E681" s="54" t="str">
        <x:v>ADMITTED</x:v>
      </x:c>
      <x:c r="F681" s="55" t="n">
        <x:v>29486</x:v>
      </x:c>
      <x:c r="G681" s="55" t="n">
        <x:v>6558</x:v>
      </x:c>
      <x:c r="H681" s="55" t="n">
        <x:v>3747</x:v>
      </x:c>
      <x:c r="I681" s="55" t="n">
        <x:v>1470</x:v>
      </x:c>
      <x:c r="J681" s="55" t="n">
        <x:v>258</x:v>
      </x:c>
      <x:c r="K681" s="55" t="n">
        <x:v>29486</x:v>
      </x:c>
      <x:c r="L681" s="55" t="n">
        <x:v>5936</x:v>
      </x:c>
      <x:c r="M681" s="55" t="n">
        <x:v>1627</x:v>
      </x:c>
      <x:c r="N681" s="55" t="n">
        <x:v>2736</x:v>
      </x:c>
      <x:c r="O681" s="55" t="n">
        <x:v>1573</x:v>
      </x:c>
      <x:c r="P681" s="55" t="n">
        <x:v>649</x:v>
      </x:c>
      <x:c r="Q681" s="55" t="n">
        <x:v>2982</x:v>
      </x:c>
      <x:c r="R681" s="55" t="n">
        <x:v>2030</x:v>
      </x:c>
      <x:c r="S681" s="55" t="n">
        <x:v>2353</x:v>
      </x:c>
      <x:c r="T681" s="55" t="n">
        <x:v>1327</x:v>
      </x:c>
      <x:c r="U681" s="55" t="n">
        <x:v>2351</x:v>
      </x:c>
      <x:c r="V681" s="55" t="n">
        <x:v>10454</x:v>
      </x:c>
      <x:c r="W681" s="55" t="n">
        <x:v>7543</x:v>
      </x:c>
      <x:c r="X681" s="55" t="n">
        <x:v>2911</x:v>
      </x:c>
      <x:c r="Y681" s="55" t="n">
        <x:v>2528</x:v>
      </x:c>
      <x:c r="Z681" s="55" t="n">
        <x:v>3972</x:v>
      </x:c>
      <x:c r="AA681" s="55" t="n">
        <x:v>3244</x:v>
      </x:c>
      <x:c r="AB681" s="55" t="n">
        <x:v>1205</x:v>
      </x:c>
      <x:c r="AC681" s="55" t="n">
        <x:v>8187</x:v>
      </x:c>
      <x:c r="AD681" s="55" t="n">
        <x:v>3078</x:v>
      </x:c>
      <x:c r="AE681" s="55" t="n">
        <x:v>10563</x:v>
      </x:c>
      <x:c r="AF681" s="55" t="n">
        <x:v>10454</x:v>
      </x:c>
      <x:c r="AG681" s="55" t="n">
        <x:v>109</x:v>
      </x:c>
      <x:c r="AH681" s="55" t="n">
        <x:v>653</x:v>
      </x:c>
      <x:c r="AI681" s="55" t="n">
        <x:v>9801</x:v>
      </x:c>
      <x:c r="AJ681" s="55" t="n">
        <x:v>382</x:v>
      </x:c>
      <x:c r="AK681" s="55" t="n">
        <x:v>1049</x:v>
      </x:c>
      <x:c r="AL681" s="55" t="n">
        <x:v>1639</x:v>
      </x:c>
      <x:c r="AM681" s="55" t="n">
        <x:v>5236</x:v>
      </x:c>
      <x:c r="AN681" s="55" t="n">
        <x:v>2105</x:v>
      </x:c>
      <x:c r="AO681" s="55" t="n">
        <x:v>43</x:v>
      </x:c>
      <x:c r="AP681" s="55" t="n">
        <x:v>2346</x:v>
      </x:c>
      <x:c r="AQ681" s="55" t="n">
        <x:v>999</x:v>
      </x:c>
    </x:row>
    <x:row r="682">
      <x:c r="A682" s="54" t="str">
        <x:v>T0_TABLE_BLOCK</x:v>
      </x:c>
      <x:c r="B682" s="54" t="n">
        <x:v>676</x:v>
      </x:c>
      <x:c r="C682" s="54" t="str">
        <x:v>NYC-V2-R01</x:v>
      </x:c>
      <x:c r="D682" s="54" t="str">
        <x:v>V2</x:v>
      </x:c>
      <x:c r="E682" s="54" t="str">
        <x:v>ADMITTED</x:v>
      </x:c>
      <x:c r="F682" s="55" t="n">
        <x:v>32689</x:v>
      </x:c>
      <x:c r="G682" s="55" t="n">
        <x:v>8325</x:v>
      </x:c>
      <x:c r="H682" s="55" t="n">
        <x:v>2980</x:v>
      </x:c>
      <x:c r="I682" s="55" t="n">
        <x:v>1224</x:v>
      </x:c>
      <x:c r="J682" s="55" t="n">
        <x:v>55</x:v>
      </x:c>
      <x:c r="K682" s="55" t="n">
        <x:v>30315</x:v>
      </x:c>
      <x:c r="L682" s="55" t="n">
        <x:v>5004</x:v>
      </x:c>
      <x:c r="M682" s="55" t="n">
        <x:v>913</x:v>
      </x:c>
      <x:c r="N682" s="55" t="n">
        <x:v>2366</x:v>
      </x:c>
      <x:c r="O682" s="55" t="n">
        <x:v>1725</x:v>
      </x:c>
      <x:c r="P682" s="55" t="n">
        <x:v>526</x:v>
      </x:c>
      <x:c r="Q682" s="55" t="n">
        <x:v>2961</x:v>
      </x:c>
      <x:c r="R682" s="55" t="n">
        <x:v>1813</x:v>
      </x:c>
      <x:c r="S682" s="55" t="n">
        <x:v>2902</x:v>
      </x:c>
      <x:c r="T682" s="55" t="n">
        <x:v>725</x:v>
      </x:c>
      <x:c r="U682" s="55" t="n">
        <x:v>1408</x:v>
      </x:c>
      <x:c r="V682" s="55" t="n">
        <x:v>10822</x:v>
      </x:c>
      <x:c r="W682" s="55" t="n">
        <x:v>8025</x:v>
      </x:c>
      <x:c r="X682" s="55" t="n">
        <x:v>2797</x:v>
      </x:c>
      <x:c r="Y682" s="55" t="n">
        <x:v>2298</x:v>
      </x:c>
      <x:c r="Z682" s="55" t="n">
        <x:v>3597</x:v>
      </x:c>
      <x:c r="AA682" s="55" t="n">
        <x:v>2827</x:v>
      </x:c>
      <x:c r="AB682" s="55" t="n">
        <x:v>1093</x:v>
      </x:c>
      <x:c r="AC682" s="55" t="n">
        <x:v>7619</x:v>
      </x:c>
      <x:c r="AD682" s="55" t="n">
        <x:v>3253</x:v>
      </x:c>
      <x:c r="AE682" s="55" t="n">
        <x:v>10928</x:v>
      </x:c>
      <x:c r="AF682" s="55" t="n">
        <x:v>10822</x:v>
      </x:c>
      <x:c r="AG682" s="55" t="n">
        <x:v>106</x:v>
      </x:c>
      <x:c r="AH682" s="55" t="n">
        <x:v>712</x:v>
      </x:c>
      <x:c r="AI682" s="55" t="n">
        <x:v>10110</x:v>
      </x:c>
      <x:c r="AJ682" s="55" t="n">
        <x:v>481</x:v>
      </x:c>
      <x:c r="AK682" s="55" t="n">
        <x:v>1158</x:v>
      </x:c>
      <x:c r="AL682" s="55" t="n">
        <x:v>1606</x:v>
      </x:c>
      <x:c r="AM682" s="55" t="n">
        <x:v>4595</x:v>
      </x:c>
      <x:c r="AN682" s="55" t="n">
        <x:v>2982</x:v>
      </x:c>
      <x:c r="AO682" s="55" t="n">
        <x:v>0</x:v>
      </x:c>
      <x:c r="AP682" s="55" t="n">
        <x:v>2554</x:v>
      </x:c>
      <x:c r="AQ682" s="55" t="n">
        <x:v>971</x:v>
      </x:c>
    </x:row>
    <x:row r="683">
      <x:c r="A683" s="54" t="str">
        <x:v>T0_TABLE_BLOCK</x:v>
      </x:c>
      <x:c r="B683" s="54" t="n">
        <x:v>677</x:v>
      </x:c>
      <x:c r="C683" s="54" t="str">
        <x:v>NYC-V2-R01</x:v>
      </x:c>
      <x:c r="D683" s="54" t="str">
        <x:v>V2</x:v>
      </x:c>
      <x:c r="E683" s="54" t="str">
        <x:v>ADMITTED</x:v>
      </x:c>
      <x:c r="F683" s="55" t="n">
        <x:v>29780</x:v>
      </x:c>
      <x:c r="G683" s="55" t="n">
        <x:v>7645</x:v>
      </x:c>
      <x:c r="H683" s="55" t="n">
        <x:v>3192</x:v>
      </x:c>
      <x:c r="I683" s="55" t="n">
        <x:v>1082</x:v>
      </x:c>
      <x:c r="J683" s="55" t="n">
        <x:v>0</x:v>
      </x:c>
      <x:c r="K683" s="55" t="n">
        <x:v>28098</x:v>
      </x:c>
      <x:c r="L683" s="55" t="n">
        <x:v>5033</x:v>
      </x:c>
      <x:c r="M683" s="55" t="n">
        <x:v>135</x:v>
      </x:c>
      <x:c r="N683" s="55" t="n">
        <x:v>3035</x:v>
      </x:c>
      <x:c r="O683" s="55" t="n">
        <x:v>1863</x:v>
      </x:c>
      <x:c r="P683" s="55" t="n">
        <x:v>953</x:v>
      </x:c>
      <x:c r="Q683" s="55" t="n">
        <x:v>2826</x:v>
      </x:c>
      <x:c r="R683" s="55" t="n">
        <x:v>1232</x:v>
      </x:c>
      <x:c r="S683" s="55" t="n">
        <x:v>2961</x:v>
      </x:c>
      <x:c r="T683" s="55" t="n">
        <x:v>1334</x:v>
      </x:c>
      <x:c r="U683" s="55" t="n">
        <x:v>1878</x:v>
      </x:c>
      <x:c r="V683" s="55" t="n">
        <x:v>10729</x:v>
      </x:c>
      <x:c r="W683" s="55" t="n">
        <x:v>7445</x:v>
      </x:c>
      <x:c r="X683" s="55" t="n">
        <x:v>3284</x:v>
      </x:c>
      <x:c r="Y683" s="55" t="n">
        <x:v>2747</x:v>
      </x:c>
      <x:c r="Z683" s="55" t="n">
        <x:v>3914</x:v>
      </x:c>
      <x:c r="AA683" s="55" t="n">
        <x:v>2805</x:v>
      </x:c>
      <x:c r="AB683" s="55" t="n">
        <x:v>1218</x:v>
      </x:c>
      <x:c r="AC683" s="55" t="n">
        <x:v>8163</x:v>
      </x:c>
      <x:c r="AD683" s="55" t="n">
        <x:v>3548</x:v>
      </x:c>
      <x:c r="AE683" s="55" t="n">
        <x:v>10871</x:v>
      </x:c>
      <x:c r="AF683" s="55" t="n">
        <x:v>10729</x:v>
      </x:c>
      <x:c r="AG683" s="55" t="n">
        <x:v>142</x:v>
      </x:c>
      <x:c r="AH683" s="55" t="n">
        <x:v>539</x:v>
      </x:c>
      <x:c r="AI683" s="55" t="n">
        <x:v>10190</x:v>
      </x:c>
      <x:c r="AJ683" s="55" t="n">
        <x:v>404</x:v>
      </x:c>
      <x:c r="AK683" s="55" t="n">
        <x:v>959</x:v>
      </x:c>
      <x:c r="AL683" s="55" t="n">
        <x:v>2126</x:v>
      </x:c>
      <x:c r="AM683" s="55" t="n">
        <x:v>4572</x:v>
      </x:c>
      <x:c r="AN683" s="55" t="n">
        <x:v>2668</x:v>
      </x:c>
      <x:c r="AO683" s="55" t="n">
        <x:v>0</x:v>
      </x:c>
      <x:c r="AP683" s="55" t="n">
        <x:v>2283</x:v>
      </x:c>
      <x:c r="AQ683" s="55" t="n">
        <x:v>977</x:v>
      </x:c>
    </x:row>
    <x:row r="684">
      <x:c r="A684" s="54" t="str">
        <x:v>T0_TABLE_BLOCK</x:v>
      </x:c>
      <x:c r="B684" s="54" t="n">
        <x:v>678</x:v>
      </x:c>
      <x:c r="C684" s="54" t="str">
        <x:v>NYC-V2-R01</x:v>
      </x:c>
      <x:c r="D684" s="54" t="str">
        <x:v>V2</x:v>
      </x:c>
      <x:c r="E684" s="54" t="str">
        <x:v>ADMITTED</x:v>
      </x:c>
      <x:c r="F684" s="55" t="n">
        <x:v>32052</x:v>
      </x:c>
      <x:c r="G684" s="55" t="n">
        <x:v>8073</x:v>
      </x:c>
      <x:c r="H684" s="55" t="n">
        <x:v>3171</x:v>
      </x:c>
      <x:c r="I684" s="55" t="n">
        <x:v>1259</x:v>
      </x:c>
      <x:c r="J684" s="55" t="n">
        <x:v>365</x:v>
      </x:c>
      <x:c r="K684" s="55" t="n">
        <x:v>32052</x:v>
      </x:c>
      <x:c r="L684" s="55" t="n">
        <x:v>5787</x:v>
      </x:c>
      <x:c r="M684" s="55" t="n">
        <x:v>1130</x:v>
      </x:c>
      <x:c r="N684" s="55" t="n">
        <x:v>2290</x:v>
      </x:c>
      <x:c r="O684" s="55" t="n">
        <x:v>2367</x:v>
      </x:c>
      <x:c r="P684" s="55" t="n">
        <x:v>946</x:v>
      </x:c>
      <x:c r="Q684" s="55" t="n">
        <x:v>1935</x:v>
      </x:c>
      <x:c r="R684" s="55" t="n">
        <x:v>1973</x:v>
      </x:c>
      <x:c r="S684" s="55" t="n">
        <x:v>3092</x:v>
      </x:c>
      <x:c r="T684" s="55" t="n">
        <x:v>1123</x:v>
      </x:c>
      <x:c r="U684" s="55" t="n">
        <x:v>3029</x:v>
      </x:c>
      <x:c r="V684" s="55" t="n">
        <x:v>10817</x:v>
      </x:c>
      <x:c r="W684" s="55" t="n">
        <x:v>7523</x:v>
      </x:c>
      <x:c r="X684" s="55" t="n">
        <x:v>3294</x:v>
      </x:c>
      <x:c r="Y684" s="55" t="n">
        <x:v>2852</x:v>
      </x:c>
      <x:c r="Z684" s="55" t="n">
        <x:v>3617</x:v>
      </x:c>
      <x:c r="AA684" s="55" t="n">
        <x:v>3171</x:v>
      </x:c>
      <x:c r="AB684" s="55" t="n">
        <x:v>1086</x:v>
      </x:c>
      <x:c r="AC684" s="55" t="n">
        <x:v>8153</x:v>
      </x:c>
      <x:c r="AD684" s="55" t="n">
        <x:v>3342</x:v>
      </x:c>
      <x:c r="AE684" s="55" t="n">
        <x:v>10960</x:v>
      </x:c>
      <x:c r="AF684" s="55" t="n">
        <x:v>10817</x:v>
      </x:c>
      <x:c r="AG684" s="55" t="n">
        <x:v>143</x:v>
      </x:c>
      <x:c r="AH684" s="55" t="n">
        <x:v>486</x:v>
      </x:c>
      <x:c r="AI684" s="55" t="n">
        <x:v>10331</x:v>
      </x:c>
      <x:c r="AJ684" s="55" t="n">
        <x:v>388</x:v>
      </x:c>
      <x:c r="AK684" s="55" t="n">
        <x:v>644</x:v>
      </x:c>
      <x:c r="AL684" s="55" t="n">
        <x:v>1659</x:v>
      </x:c>
      <x:c r="AM684" s="55" t="n">
        <x:v>4992</x:v>
      </x:c>
      <x:c r="AN684" s="55" t="n">
        <x:v>3134</x:v>
      </x:c>
      <x:c r="AO684" s="55" t="n">
        <x:v>0</x:v>
      </x:c>
      <x:c r="AP684" s="55" t="n">
        <x:v>2426</x:v>
      </x:c>
      <x:c r="AQ684" s="55" t="n">
        <x:v>931</x:v>
      </x:c>
    </x:row>
    <x:row r="685">
      <x:c r="A685" s="54" t="str">
        <x:v>T0_TABLE_BLOCK</x:v>
      </x:c>
      <x:c r="B685" s="54" t="n">
        <x:v>679</x:v>
      </x:c>
      <x:c r="C685" s="54" t="str">
        <x:v>NYC-V2-R01</x:v>
      </x:c>
      <x:c r="D685" s="54" t="str">
        <x:v>V2</x:v>
      </x:c>
      <x:c r="E685" s="54" t="str">
        <x:v>ADMITTED</x:v>
      </x:c>
      <x:c r="F685" s="55" t="n">
        <x:v>31702</x:v>
      </x:c>
      <x:c r="G685" s="55" t="n">
        <x:v>8144</x:v>
      </x:c>
      <x:c r="H685" s="55" t="n">
        <x:v>3483</x:v>
      </x:c>
      <x:c r="I685" s="55" t="n">
        <x:v>1349</x:v>
      </x:c>
      <x:c r="J685" s="55" t="n">
        <x:v>101</x:v>
      </x:c>
      <x:c r="K685" s="55" t="n">
        <x:v>30753</x:v>
      </x:c>
      <x:c r="L685" s="55" t="n">
        <x:v>6064</x:v>
      </x:c>
      <x:c r="M685" s="55" t="n">
        <x:v>1135</x:v>
      </x:c>
      <x:c r="N685" s="55" t="n">
        <x:v>3272</x:v>
      </x:c>
      <x:c r="O685" s="55" t="n">
        <x:v>1657</x:v>
      </x:c>
      <x:c r="P685" s="55" t="n">
        <x:v>955</x:v>
      </x:c>
      <x:c r="Q685" s="55" t="n">
        <x:v>2467</x:v>
      </x:c>
      <x:c r="R685" s="55" t="n">
        <x:v>1990</x:v>
      </x:c>
      <x:c r="S685" s="55" t="n">
        <x:v>2526</x:v>
      </x:c>
      <x:c r="T685" s="55" t="n">
        <x:v>1218</x:v>
      </x:c>
      <x:c r="U685" s="55" t="n">
        <x:v>1503</x:v>
      </x:c>
      <x:c r="V685" s="55" t="n">
        <x:v>10478</x:v>
      </x:c>
      <x:c r="W685" s="55" t="n">
        <x:v>7782</x:v>
      </x:c>
      <x:c r="X685" s="55" t="n">
        <x:v>2696</x:v>
      </x:c>
      <x:c r="Y685" s="55" t="n">
        <x:v>2298</x:v>
      </x:c>
      <x:c r="Z685" s="55" t="n">
        <x:v>3553</x:v>
      </x:c>
      <x:c r="AA685" s="55" t="n">
        <x:v>3483</x:v>
      </x:c>
      <x:c r="AB685" s="55" t="n">
        <x:v>914</x:v>
      </x:c>
      <x:c r="AC685" s="55" t="n">
        <x:v>7870</x:v>
      </x:c>
      <x:c r="AD685" s="55" t="n">
        <x:v>2839</x:v>
      </x:c>
      <x:c r="AE685" s="55" t="n">
        <x:v>10542</x:v>
      </x:c>
      <x:c r="AF685" s="55" t="n">
        <x:v>10478</x:v>
      </x:c>
      <x:c r="AG685" s="55" t="n">
        <x:v>64</x:v>
      </x:c>
      <x:c r="AH685" s="55" t="n">
        <x:v>321</x:v>
      </x:c>
      <x:c r="AI685" s="55" t="n">
        <x:v>10157</x:v>
      </x:c>
      <x:c r="AJ685" s="55" t="n">
        <x:v>185</x:v>
      </x:c>
      <x:c r="AK685" s="55" t="n">
        <x:v>878</x:v>
      </x:c>
      <x:c r="AL685" s="55" t="n">
        <x:v>1465</x:v>
      </x:c>
      <x:c r="AM685" s="55" t="n">
        <x:v>5153</x:v>
      </x:c>
      <x:c r="AN685" s="55" t="n">
        <x:v>2797</x:v>
      </x:c>
      <x:c r="AO685" s="55" t="n">
        <x:v>0</x:v>
      </x:c>
      <x:c r="AP685" s="55" t="n">
        <x:v>2413</x:v>
      </x:c>
      <x:c r="AQ685" s="55" t="n">
        <x:v>953</x:v>
      </x:c>
    </x:row>
    <x:row r="686">
      <x:c r="A686" s="54" t="str">
        <x:v>T0_TABLE_BLOCK</x:v>
      </x:c>
      <x:c r="B686" s="54" t="n">
        <x:v>680</x:v>
      </x:c>
      <x:c r="C686" s="54" t="str">
        <x:v>NYC-V2-R01</x:v>
      </x:c>
      <x:c r="D686" s="54" t="str">
        <x:v>V2</x:v>
      </x:c>
      <x:c r="E686" s="54" t="str">
        <x:v>ADMITTED</x:v>
      </x:c>
      <x:c r="F686" s="55" t="n">
        <x:v>32327</x:v>
      </x:c>
      <x:c r="G686" s="55" t="n">
        <x:v>9228</x:v>
      </x:c>
      <x:c r="H686" s="55" t="n">
        <x:v>3427</x:v>
      </x:c>
      <x:c r="I686" s="55" t="n">
        <x:v>1382</x:v>
      </x:c>
      <x:c r="J686" s="55" t="n">
        <x:v>281</x:v>
      </x:c>
      <x:c r="K686" s="55" t="n">
        <x:v>30946</x:v>
      </x:c>
      <x:c r="L686" s="55" t="n">
        <x:v>5372</x:v>
      </x:c>
      <x:c r="M686" s="55" t="n">
        <x:v>1190</x:v>
      </x:c>
      <x:c r="N686" s="55" t="n">
        <x:v>2820</x:v>
      </x:c>
      <x:c r="O686" s="55" t="n">
        <x:v>1362</x:v>
      </x:c>
      <x:c r="P686" s="55" t="n">
        <x:v>651</x:v>
      </x:c>
      <x:c r="Q686" s="55" t="n">
        <x:v>1286</x:v>
      </x:c>
      <x:c r="R686" s="55" t="n">
        <x:v>2217</x:v>
      </x:c>
      <x:c r="S686" s="55" t="n">
        <x:v>3356</x:v>
      </x:c>
      <x:c r="T686" s="55" t="n">
        <x:v>991</x:v>
      </x:c>
      <x:c r="U686" s="55" t="n">
        <x:v>2104</x:v>
      </x:c>
      <x:c r="V686" s="55" t="n">
        <x:v>10254</x:v>
      </x:c>
      <x:c r="W686" s="55" t="n">
        <x:v>7305</x:v>
      </x:c>
      <x:c r="X686" s="55" t="n">
        <x:v>2949</x:v>
      </x:c>
      <x:c r="Y686" s="55" t="n">
        <x:v>2600</x:v>
      </x:c>
      <x:c r="Z686" s="55" t="n">
        <x:v>3655</x:v>
      </x:c>
      <x:c r="AA686" s="55" t="n">
        <x:v>3427</x:v>
      </x:c>
      <x:c r="AB686" s="55" t="n">
        <x:v>1358</x:v>
      </x:c>
      <x:c r="AC686" s="55" t="n">
        <x:v>8655</x:v>
      </x:c>
      <x:c r="AD686" s="55" t="n">
        <x:v>3134</x:v>
      </x:c>
      <x:c r="AE686" s="55" t="n">
        <x:v>10362</x:v>
      </x:c>
      <x:c r="AF686" s="55" t="n">
        <x:v>10254</x:v>
      </x:c>
      <x:c r="AG686" s="55" t="n">
        <x:v>108</x:v>
      </x:c>
      <x:c r="AH686" s="55" t="n">
        <x:v>217</x:v>
      </x:c>
      <x:c r="AI686" s="55" t="n">
        <x:v>10037</x:v>
      </x:c>
      <x:c r="AJ686" s="55" t="n">
        <x:v>202</x:v>
      </x:c>
      <x:c r="AK686" s="55" t="n">
        <x:v>910</x:v>
      </x:c>
      <x:c r="AL686" s="55" t="n">
        <x:v>1237</x:v>
      </x:c>
      <x:c r="AM686" s="55" t="n">
        <x:v>5183</x:v>
      </x:c>
      <x:c r="AN686" s="55" t="n">
        <x:v>2722</x:v>
      </x:c>
      <x:c r="AO686" s="55" t="n">
        <x:v>0</x:v>
      </x:c>
      <x:c r="AP686" s="55" t="n">
        <x:v>2455</x:v>
      </x:c>
      <x:c r="AQ686" s="55" t="n">
        <x:v>925</x:v>
      </x:c>
    </x:row>
    <x:row r="687">
      <x:c r="A687" s="54" t="str">
        <x:v>T0_TABLE_BLOCK</x:v>
      </x:c>
      <x:c r="B687" s="54" t="n">
        <x:v>681</x:v>
      </x:c>
      <x:c r="C687" s="54" t="str">
        <x:v>NYC-V2-R01</x:v>
      </x:c>
      <x:c r="D687" s="54" t="str">
        <x:v>V2</x:v>
      </x:c>
      <x:c r="E687" s="54" t="str">
        <x:v>ADMITTED</x:v>
      </x:c>
      <x:c r="F687" s="55" t="n">
        <x:v>31551</x:v>
      </x:c>
      <x:c r="G687" s="55" t="n">
        <x:v>5732</x:v>
      </x:c>
      <x:c r="H687" s="55" t="n">
        <x:v>3958</x:v>
      </x:c>
      <x:c r="I687" s="55" t="n">
        <x:v>1617</x:v>
      </x:c>
      <x:c r="J687" s="55" t="n">
        <x:v>249</x:v>
      </x:c>
      <x:c r="K687" s="55" t="n">
        <x:v>31551</x:v>
      </x:c>
      <x:c r="L687" s="55" t="n">
        <x:v>4909</x:v>
      </x:c>
      <x:c r="M687" s="55" t="n">
        <x:v>1312</x:v>
      </x:c>
      <x:c r="N687" s="55" t="n">
        <x:v>2222</x:v>
      </x:c>
      <x:c r="O687" s="55" t="n">
        <x:v>1375</x:v>
      </x:c>
      <x:c r="P687" s="55" t="n">
        <x:v>929</x:v>
      </x:c>
      <x:c r="Q687" s="55" t="n">
        <x:v>2792</x:v>
      </x:c>
      <x:c r="R687" s="55" t="n">
        <x:v>2127</x:v>
      </x:c>
      <x:c r="S687" s="55" t="n">
        <x:v>2243</x:v>
      </x:c>
      <x:c r="T687" s="55" t="n">
        <x:v>1297</x:v>
      </x:c>
      <x:c r="U687" s="55" t="n">
        <x:v>2377</x:v>
      </x:c>
      <x:c r="V687" s="55" t="n">
        <x:v>10218</x:v>
      </x:c>
      <x:c r="W687" s="55" t="n">
        <x:v>7426</x:v>
      </x:c>
      <x:c r="X687" s="55" t="n">
        <x:v>2792</x:v>
      </x:c>
      <x:c r="Y687" s="55" t="n">
        <x:v>2516</x:v>
      </x:c>
      <x:c r="Z687" s="55" t="n">
        <x:v>3920</x:v>
      </x:c>
      <x:c r="AA687" s="55" t="n">
        <x:v>2879</x:v>
      </x:c>
      <x:c r="AB687" s="55" t="n">
        <x:v>1035</x:v>
      </x:c>
      <x:c r="AC687" s="55" t="n">
        <x:v>8431</x:v>
      </x:c>
      <x:c r="AD687" s="55" t="n">
        <x:v>2786</x:v>
      </x:c>
      <x:c r="AE687" s="55" t="n">
        <x:v>10356</x:v>
      </x:c>
      <x:c r="AF687" s="55" t="n">
        <x:v>10218</x:v>
      </x:c>
      <x:c r="AG687" s="55" t="n">
        <x:v>138</x:v>
      </x:c>
      <x:c r="AH687" s="55" t="n">
        <x:v>446</x:v>
      </x:c>
      <x:c r="AI687" s="55" t="n">
        <x:v>9772</x:v>
      </x:c>
      <x:c r="AJ687" s="55" t="n">
        <x:v>14</x:v>
      </x:c>
      <x:c r="AK687" s="55" t="n">
        <x:v>932</x:v>
      </x:c>
      <x:c r="AL687" s="55" t="n">
        <x:v>1888</x:v>
      </x:c>
      <x:c r="AM687" s="55" t="n">
        <x:v>5097</x:v>
      </x:c>
      <x:c r="AN687" s="55" t="n">
        <x:v>2287</x:v>
      </x:c>
      <x:c r="AO687" s="55" t="n">
        <x:v>0</x:v>
      </x:c>
      <x:c r="AP687" s="55" t="n">
        <x:v>2053</x:v>
      </x:c>
      <x:c r="AQ687" s="55" t="n">
        <x:v>997</x:v>
      </x:c>
    </x:row>
    <x:row r="688">
      <x:c r="A688" s="54" t="str">
        <x:v>T0_TABLE_BLOCK</x:v>
      </x:c>
      <x:c r="B688" s="54" t="n">
        <x:v>682</x:v>
      </x:c>
      <x:c r="C688" s="54" t="str">
        <x:v>NYC-V2-R01</x:v>
      </x:c>
      <x:c r="D688" s="54" t="str">
        <x:v>V2</x:v>
      </x:c>
      <x:c r="E688" s="54" t="str">
        <x:v>ADMITTED</x:v>
      </x:c>
      <x:c r="F688" s="55" t="n">
        <x:v>32901</x:v>
      </x:c>
      <x:c r="G688" s="55" t="n">
        <x:v>7182</x:v>
      </x:c>
      <x:c r="H688" s="55" t="n">
        <x:v>3695</x:v>
      </x:c>
      <x:c r="I688" s="55" t="n">
        <x:v>1743</x:v>
      </x:c>
      <x:c r="J688" s="55" t="n">
        <x:v>244</x:v>
      </x:c>
      <x:c r="K688" s="55" t="n">
        <x:v>30253</x:v>
      </x:c>
      <x:c r="L688" s="55" t="n">
        <x:v>6354</x:v>
      </x:c>
      <x:c r="M688" s="55" t="n">
        <x:v>2351</x:v>
      </x:c>
      <x:c r="N688" s="55" t="n">
        <x:v>2531</x:v>
      </x:c>
      <x:c r="O688" s="55" t="n">
        <x:v>1472</x:v>
      </x:c>
      <x:c r="P688" s="55" t="n">
        <x:v>1180</x:v>
      </x:c>
      <x:c r="Q688" s="55" t="n">
        <x:v>2503</x:v>
      </x:c>
      <x:c r="R688" s="55" t="n">
        <x:v>1918</x:v>
      </x:c>
      <x:c r="S688" s="55" t="n">
        <x:v>2602</x:v>
      </x:c>
      <x:c r="T688" s="55" t="n">
        <x:v>1718</x:v>
      </x:c>
      <x:c r="U688" s="55" t="n">
        <x:v>2702</x:v>
      </x:c>
      <x:c r="V688" s="55" t="n">
        <x:v>10517</x:v>
      </x:c>
      <x:c r="W688" s="55" t="n">
        <x:v>7134</x:v>
      </x:c>
      <x:c r="X688" s="55" t="n">
        <x:v>3383</x:v>
      </x:c>
      <x:c r="Y688" s="55" t="n">
        <x:v>2950</x:v>
      </x:c>
      <x:c r="Z688" s="55" t="n">
        <x:v>3849</x:v>
      </x:c>
      <x:c r="AA688" s="55" t="n">
        <x:v>3120</x:v>
      </x:c>
      <x:c r="AB688" s="55" t="n">
        <x:v>1485</x:v>
      </x:c>
      <x:c r="AC688" s="55" t="n">
        <x:v>7404</x:v>
      </x:c>
      <x:c r="AD688" s="55" t="n">
        <x:v>3384</x:v>
      </x:c>
      <x:c r="AE688" s="55" t="n">
        <x:v>10597</x:v>
      </x:c>
      <x:c r="AF688" s="55" t="n">
        <x:v>10517</x:v>
      </x:c>
      <x:c r="AG688" s="55" t="n">
        <x:v>80</x:v>
      </x:c>
      <x:c r="AH688" s="55" t="n">
        <x:v>385</x:v>
      </x:c>
      <x:c r="AI688" s="55" t="n">
        <x:v>10132</x:v>
      </x:c>
      <x:c r="AJ688" s="55" t="n">
        <x:v>261</x:v>
      </x:c>
      <x:c r="AK688" s="55" t="n">
        <x:v>1221</x:v>
      </x:c>
      <x:c r="AL688" s="55" t="n">
        <x:v>1555</x:v>
      </x:c>
      <x:c r="AM688" s="55" t="n">
        <x:v>4652</x:v>
      </x:c>
      <x:c r="AN688" s="55" t="n">
        <x:v>2749</x:v>
      </x:c>
      <x:c r="AO688" s="55" t="n">
        <x:v>79</x:v>
      </x:c>
      <x:c r="AP688" s="55" t="n">
        <x:v>2642</x:v>
      </x:c>
      <x:c r="AQ688" s="55" t="n">
        <x:v>936</x:v>
      </x:c>
    </x:row>
    <x:row r="689">
      <x:c r="A689" s="54" t="str">
        <x:v>T0_TABLE_BLOCK</x:v>
      </x:c>
      <x:c r="B689" s="54" t="n">
        <x:v>683</x:v>
      </x:c>
      <x:c r="C689" s="54" t="str">
        <x:v>NYC-V2-R01</x:v>
      </x:c>
      <x:c r="D689" s="54" t="str">
        <x:v>V2</x:v>
      </x:c>
      <x:c r="E689" s="54" t="str">
        <x:v>ADMITTED</x:v>
      </x:c>
      <x:c r="F689" s="55" t="n">
        <x:v>33171</x:v>
      </x:c>
      <x:c r="G689" s="55" t="n">
        <x:v>9396</x:v>
      </x:c>
      <x:c r="H689" s="55" t="n">
        <x:v>3443</x:v>
      </x:c>
      <x:c r="I689" s="55" t="n">
        <x:v>1450</x:v>
      </x:c>
      <x:c r="J689" s="55" t="n">
        <x:v>200</x:v>
      </x:c>
      <x:c r="K689" s="55" t="n">
        <x:v>31873</x:v>
      </x:c>
      <x:c r="L689" s="55" t="n">
        <x:v>6399</x:v>
      </x:c>
      <x:c r="M689" s="55" t="n">
        <x:v>1738</x:v>
      </x:c>
      <x:c r="N689" s="55" t="n">
        <x:v>2619</x:v>
      </x:c>
      <x:c r="O689" s="55" t="n">
        <x:v>2042</x:v>
      </x:c>
      <x:c r="P689" s="55" t="n">
        <x:v>890</x:v>
      </x:c>
      <x:c r="Q689" s="55" t="n">
        <x:v>2655</x:v>
      </x:c>
      <x:c r="R689" s="55" t="n">
        <x:v>1589</x:v>
      </x:c>
      <x:c r="S689" s="55" t="n">
        <x:v>2888</x:v>
      </x:c>
      <x:c r="T689" s="55" t="n">
        <x:v>1387</x:v>
      </x:c>
      <x:c r="U689" s="55" t="n">
        <x:v>2241</x:v>
      </x:c>
      <x:c r="V689" s="55" t="n">
        <x:v>10843</x:v>
      </x:c>
      <x:c r="W689" s="55" t="n">
        <x:v>7859</x:v>
      </x:c>
      <x:c r="X689" s="55" t="n">
        <x:v>2984</x:v>
      </x:c>
      <x:c r="Y689" s="55" t="n">
        <x:v>2565</x:v>
      </x:c>
      <x:c r="Z689" s="55" t="n">
        <x:v>4015</x:v>
      </x:c>
      <x:c r="AA689" s="55" t="n">
        <x:v>2923</x:v>
      </x:c>
      <x:c r="AB689" s="55" t="n">
        <x:v>1472</x:v>
      </x:c>
      <x:c r="AC689" s="55" t="n">
        <x:v>7696</x:v>
      </x:c>
      <x:c r="AD689" s="55" t="n">
        <x:v>3378</x:v>
      </x:c>
      <x:c r="AE689" s="55" t="n">
        <x:v>10908</x:v>
      </x:c>
      <x:c r="AF689" s="55" t="n">
        <x:v>10843</x:v>
      </x:c>
      <x:c r="AG689" s="55" t="n">
        <x:v>65</x:v>
      </x:c>
      <x:c r="AH689" s="55" t="n">
        <x:v>507</x:v>
      </x:c>
      <x:c r="AI689" s="55" t="n">
        <x:v>10336</x:v>
      </x:c>
      <x:c r="AJ689" s="55" t="n">
        <x:v>154</x:v>
      </x:c>
      <x:c r="AK689" s="55" t="n">
        <x:v>1226</x:v>
      </x:c>
      <x:c r="AL689" s="55" t="n">
        <x:v>1869</x:v>
      </x:c>
      <x:c r="AM689" s="55" t="n">
        <x:v>4702</x:v>
      </x:c>
      <x:c r="AN689" s="55" t="n">
        <x:v>2826</x:v>
      </x:c>
      <x:c r="AO689" s="55" t="n">
        <x:v>66</x:v>
      </x:c>
      <x:c r="AP689" s="55" t="n">
        <x:v>2412</x:v>
      </x:c>
      <x:c r="AQ689" s="55" t="n">
        <x:v>975</x:v>
      </x:c>
    </x:row>
    <x:row r="690">
      <x:c r="A690" s="54" t="str">
        <x:v>T0_TABLE_BLOCK</x:v>
      </x:c>
      <x:c r="B690" s="54" t="n">
        <x:v>684</x:v>
      </x:c>
      <x:c r="C690" s="54" t="str">
        <x:v>NYC-V2-R01</x:v>
      </x:c>
      <x:c r="D690" s="54" t="str">
        <x:v>V2</x:v>
      </x:c>
      <x:c r="E690" s="54" t="str">
        <x:v>ADMITTED</x:v>
      </x:c>
      <x:c r="F690" s="55" t="n">
        <x:v>29826</x:v>
      </x:c>
      <x:c r="G690" s="55" t="n">
        <x:v>7856</x:v>
      </x:c>
      <x:c r="H690" s="55" t="n">
        <x:v>3162</x:v>
      </x:c>
      <x:c r="I690" s="55" t="n">
        <x:v>1465</x:v>
      </x:c>
      <x:c r="J690" s="55" t="n">
        <x:v>127</x:v>
      </x:c>
      <x:c r="K690" s="55" t="n">
        <x:v>29105</x:v>
      </x:c>
      <x:c r="L690" s="55" t="n">
        <x:v>4983</x:v>
      </x:c>
      <x:c r="M690" s="55" t="n">
        <x:v>715</x:v>
      </x:c>
      <x:c r="N690" s="55" t="n">
        <x:v>1872</x:v>
      </x:c>
      <x:c r="O690" s="55" t="n">
        <x:v>2396</x:v>
      </x:c>
      <x:c r="P690" s="55" t="n">
        <x:v>794</x:v>
      </x:c>
      <x:c r="Q690" s="55" t="n">
        <x:v>2595</x:v>
      </x:c>
      <x:c r="R690" s="55" t="n">
        <x:v>2022</x:v>
      </x:c>
      <x:c r="S690" s="55" t="n">
        <x:v>2862</x:v>
      </x:c>
      <x:c r="T690" s="55" t="n">
        <x:v>1181</x:v>
      </x:c>
      <x:c r="U690" s="55" t="n">
        <x:v>2050</x:v>
      </x:c>
      <x:c r="V690" s="55" t="n">
        <x:v>10581</x:v>
      </x:c>
      <x:c r="W690" s="55" t="n">
        <x:v>7755</x:v>
      </x:c>
      <x:c r="X690" s="55" t="n">
        <x:v>2826</x:v>
      </x:c>
      <x:c r="Y690" s="55" t="n">
        <x:v>2402</x:v>
      </x:c>
      <x:c r="Z690" s="55" t="n">
        <x:v>3968</x:v>
      </x:c>
      <x:c r="AA690" s="55" t="n">
        <x:v>2691</x:v>
      </x:c>
      <x:c r="AB690" s="55" t="n">
        <x:v>844</x:v>
      </x:c>
      <x:c r="AC690" s="55" t="n">
        <x:v>8037</x:v>
      </x:c>
      <x:c r="AD690" s="55" t="n">
        <x:v>2693</x:v>
      </x:c>
      <x:c r="AE690" s="55" t="n">
        <x:v>10729</x:v>
      </x:c>
      <x:c r="AF690" s="55" t="n">
        <x:v>10581</x:v>
      </x:c>
      <x:c r="AG690" s="55" t="n">
        <x:v>148</x:v>
      </x:c>
      <x:c r="AH690" s="55" t="n">
        <x:v>370</x:v>
      </x:c>
      <x:c r="AI690" s="55" t="n">
        <x:v>10211</x:v>
      </x:c>
      <x:c r="AJ690" s="55" t="n">
        <x:v>271</x:v>
      </x:c>
      <x:c r="AK690" s="55" t="n">
        <x:v>1282</x:v>
      </x:c>
      <x:c r="AL690" s="55" t="n">
        <x:v>1545</x:v>
      </x:c>
      <x:c r="AM690" s="55" t="n">
        <x:v>4712</x:v>
      </x:c>
      <x:c r="AN690" s="55" t="n">
        <x:v>2665</x:v>
      </x:c>
      <x:c r="AO690" s="55" t="n">
        <x:v>106</x:v>
      </x:c>
      <x:c r="AP690" s="55" t="n">
        <x:v>2698</x:v>
      </x:c>
      <x:c r="AQ690" s="55" t="n">
        <x:v>983</x:v>
      </x:c>
    </x:row>
    <x:row r="691">
      <x:c r="A691" s="54" t="str">
        <x:v>T0_TABLE_BLOCK</x:v>
      </x:c>
      <x:c r="B691" s="54" t="n">
        <x:v>685</x:v>
      </x:c>
      <x:c r="C691" s="54" t="str">
        <x:v>NYC-V2-R01</x:v>
      </x:c>
      <x:c r="D691" s="54" t="str">
        <x:v>V2</x:v>
      </x:c>
      <x:c r="E691" s="54" t="str">
        <x:v>ADMITTED</x:v>
      </x:c>
      <x:c r="F691" s="55" t="n">
        <x:v>31393</x:v>
      </x:c>
      <x:c r="G691" s="55" t="n">
        <x:v>6874</x:v>
      </x:c>
      <x:c r="H691" s="55" t="n">
        <x:v>3002</x:v>
      </x:c>
      <x:c r="I691" s="55" t="n">
        <x:v>1226</x:v>
      </x:c>
      <x:c r="J691" s="55" t="n">
        <x:v>434</x:v>
      </x:c>
      <x:c r="K691" s="55" t="n">
        <x:v>31393</x:v>
      </x:c>
      <x:c r="L691" s="55" t="n">
        <x:v>5669</x:v>
      </x:c>
      <x:c r="M691" s="55" t="n">
        <x:v>780</x:v>
      </x:c>
      <x:c r="N691" s="55" t="n">
        <x:v>2841</x:v>
      </x:c>
      <x:c r="O691" s="55" t="n">
        <x:v>2048</x:v>
      </x:c>
      <x:c r="P691" s="55" t="n">
        <x:v>1081</x:v>
      </x:c>
      <x:c r="Q691" s="55" t="n">
        <x:v>2639</x:v>
      </x:c>
      <x:c r="R691" s="55" t="n">
        <x:v>1961</x:v>
      </x:c>
      <x:c r="S691" s="55" t="n">
        <x:v>2858</x:v>
      </x:c>
      <x:c r="T691" s="55" t="n">
        <x:v>1051</x:v>
      </x:c>
      <x:c r="U691" s="55" t="n">
        <x:v>2545</x:v>
      </x:c>
      <x:c r="V691" s="55" t="n">
        <x:v>10648</x:v>
      </x:c>
      <x:c r="W691" s="55" t="n">
        <x:v>7563</x:v>
      </x:c>
      <x:c r="X691" s="55" t="n">
        <x:v>3085</x:v>
      </x:c>
      <x:c r="Y691" s="55" t="n">
        <x:v>2759</x:v>
      </x:c>
      <x:c r="Z691" s="55" t="n">
        <x:v>4094</x:v>
      </x:c>
      <x:c r="AA691" s="55" t="n">
        <x:v>2959</x:v>
      </x:c>
      <x:c r="AB691" s="55" t="n">
        <x:v>1179</x:v>
      </x:c>
      <x:c r="AC691" s="55" t="n">
        <x:v>8014</x:v>
      </x:c>
      <x:c r="AD691" s="55" t="n">
        <x:v>2735</x:v>
      </x:c>
      <x:c r="AE691" s="55" t="n">
        <x:v>10724</x:v>
      </x:c>
      <x:c r="AF691" s="55" t="n">
        <x:v>10648</x:v>
      </x:c>
      <x:c r="AG691" s="55" t="n">
        <x:v>76</x:v>
      </x:c>
      <x:c r="AH691" s="55" t="n">
        <x:v>352</x:v>
      </x:c>
      <x:c r="AI691" s="55" t="n">
        <x:v>10296</x:v>
      </x:c>
      <x:c r="AJ691" s="55" t="n">
        <x:v>207</x:v>
      </x:c>
      <x:c r="AK691" s="55" t="n">
        <x:v>1481</x:v>
      </x:c>
      <x:c r="AL691" s="55" t="n">
        <x:v>1173</x:v>
      </x:c>
      <x:c r="AM691" s="55" t="n">
        <x:v>4887</x:v>
      </x:c>
      <x:c r="AN691" s="55" t="n">
        <x:v>2900</x:v>
      </x:c>
      <x:c r="AO691" s="55" t="n">
        <x:v>0</x:v>
      </x:c>
      <x:c r="AP691" s="55" t="n">
        <x:v>2169</x:v>
      </x:c>
      <x:c r="AQ691" s="55" t="n">
        <x:v>1006</x:v>
      </x:c>
    </x:row>
    <x:row r="692">
      <x:c r="A692" s="54" t="str">
        <x:v>T0_TABLE_BLOCK</x:v>
      </x:c>
      <x:c r="B692" s="54" t="n">
        <x:v>686</x:v>
      </x:c>
      <x:c r="C692" s="54" t="str">
        <x:v>NYC-V2-R01</x:v>
      </x:c>
      <x:c r="D692" s="54" t="str">
        <x:v>V2</x:v>
      </x:c>
      <x:c r="E692" s="54" t="str">
        <x:v>ADMITTED</x:v>
      </x:c>
      <x:c r="F692" s="55" t="n">
        <x:v>31774</x:v>
      </x:c>
      <x:c r="G692" s="55" t="n">
        <x:v>8795</x:v>
      </x:c>
      <x:c r="H692" s="55" t="n">
        <x:v>3730</x:v>
      </x:c>
      <x:c r="I692" s="55" t="n">
        <x:v>1720</x:v>
      </x:c>
      <x:c r="J692" s="55" t="n">
        <x:v>229</x:v>
      </x:c>
      <x:c r="K692" s="55" t="n">
        <x:v>28500</x:v>
      </x:c>
      <x:c r="L692" s="55" t="n">
        <x:v>4934</x:v>
      </x:c>
      <x:c r="M692" s="55" t="n">
        <x:v>49</x:v>
      </x:c>
      <x:c r="N692" s="55" t="n">
        <x:v>3002</x:v>
      </x:c>
      <x:c r="O692" s="55" t="n">
        <x:v>1883</x:v>
      </x:c>
      <x:c r="P692" s="55" t="n">
        <x:v>925</x:v>
      </x:c>
      <x:c r="Q692" s="55" t="n">
        <x:v>2539</x:v>
      </x:c>
      <x:c r="R692" s="55" t="n">
        <x:v>1453</x:v>
      </x:c>
      <x:c r="S692" s="55" t="n">
        <x:v>3653</x:v>
      </x:c>
      <x:c r="T692" s="55" t="n">
        <x:v>1148</x:v>
      </x:c>
      <x:c r="U692" s="55" t="n">
        <x:v>1386</x:v>
      </x:c>
      <x:c r="V692" s="55" t="n">
        <x:v>10257</x:v>
      </x:c>
      <x:c r="W692" s="55" t="n">
        <x:v>6681</x:v>
      </x:c>
      <x:c r="X692" s="55" t="n">
        <x:v>3576</x:v>
      </x:c>
      <x:c r="Y692" s="55" t="n">
        <x:v>3100</x:v>
      </x:c>
      <x:c r="Z692" s="55" t="n">
        <x:v>3722</x:v>
      </x:c>
      <x:c r="AA692" s="55" t="n">
        <x:v>2744</x:v>
      </x:c>
      <x:c r="AB692" s="55" t="n">
        <x:v>1231</x:v>
      </x:c>
      <x:c r="AC692" s="55" t="n">
        <x:v>7849</x:v>
      </x:c>
      <x:c r="AD692" s="55" t="n">
        <x:v>2799</x:v>
      </x:c>
      <x:c r="AE692" s="55" t="n">
        <x:v>10394</x:v>
      </x:c>
      <x:c r="AF692" s="55" t="n">
        <x:v>10257</x:v>
      </x:c>
      <x:c r="AG692" s="55" t="n">
        <x:v>137</x:v>
      </x:c>
      <x:c r="AH692" s="55" t="n">
        <x:v>403</x:v>
      </x:c>
      <x:c r="AI692" s="55" t="n">
        <x:v>9854</x:v>
      </x:c>
      <x:c r="AJ692" s="55" t="n">
        <x:v>241</x:v>
      </x:c>
      <x:c r="AK692" s="55" t="n">
        <x:v>698</x:v>
      </x:c>
      <x:c r="AL692" s="55" t="n">
        <x:v>1515</x:v>
      </x:c>
      <x:c r="AM692" s="55" t="n">
        <x:v>4956</x:v>
      </x:c>
      <x:c r="AN692" s="55" t="n">
        <x:v>2835</x:v>
      </x:c>
      <x:c r="AO692" s="55" t="n">
        <x:v>12</x:v>
      </x:c>
      <x:c r="AP692" s="55" t="n">
        <x:v>1997</x:v>
      </x:c>
      <x:c r="AQ692" s="55" t="n">
        <x:v>960</x:v>
      </x:c>
    </x:row>
    <x:row r="693">
      <x:c r="A693" s="54" t="str">
        <x:v>T0_TABLE_BLOCK</x:v>
      </x:c>
      <x:c r="B693" s="54" t="n">
        <x:v>687</x:v>
      </x:c>
      <x:c r="C693" s="54" t="str">
        <x:v>NYC-V2-R01</x:v>
      </x:c>
      <x:c r="D693" s="54" t="str">
        <x:v>V2</x:v>
      </x:c>
      <x:c r="E693" s="54" t="str">
        <x:v>ADMITTED</x:v>
      </x:c>
      <x:c r="F693" s="55" t="n">
        <x:v>31923</x:v>
      </x:c>
      <x:c r="G693" s="55" t="n">
        <x:v>8864</x:v>
      </x:c>
      <x:c r="H693" s="55" t="n">
        <x:v>2963</x:v>
      </x:c>
      <x:c r="I693" s="55" t="n">
        <x:v>1336</x:v>
      </x:c>
      <x:c r="J693" s="55" t="n">
        <x:v>151</x:v>
      </x:c>
      <x:c r="K693" s="55" t="n">
        <x:v>31730</x:v>
      </x:c>
      <x:c r="L693" s="55" t="n">
        <x:v>5055</x:v>
      </x:c>
      <x:c r="M693" s="55" t="n">
        <x:v>1047</x:v>
      </x:c>
      <x:c r="N693" s="55" t="n">
        <x:v>2148</x:v>
      </x:c>
      <x:c r="O693" s="55" t="n">
        <x:v>1860</x:v>
      </x:c>
      <x:c r="P693" s="55" t="n">
        <x:v>898</x:v>
      </x:c>
      <x:c r="Q693" s="55" t="n">
        <x:v>2478</x:v>
      </x:c>
      <x:c r="R693" s="55" t="n">
        <x:v>1754</x:v>
      </x:c>
      <x:c r="S693" s="55" t="n">
        <x:v>2676</x:v>
      </x:c>
      <x:c r="T693" s="55" t="n">
        <x:v>265</x:v>
      </x:c>
      <x:c r="U693" s="55" t="n">
        <x:v>1414</x:v>
      </x:c>
      <x:c r="V693" s="55" t="n">
        <x:v>10292</x:v>
      </x:c>
      <x:c r="W693" s="55" t="n">
        <x:v>7435</x:v>
      </x:c>
      <x:c r="X693" s="55" t="n">
        <x:v>2857</x:v>
      </x:c>
      <x:c r="Y693" s="55" t="n">
        <x:v>2260</x:v>
      </x:c>
      <x:c r="Z693" s="55" t="n">
        <x:v>3702</x:v>
      </x:c>
      <x:c r="AA693" s="55" t="n">
        <x:v>2884</x:v>
      </x:c>
      <x:c r="AB693" s="55" t="n">
        <x:v>643</x:v>
      </x:c>
      <x:c r="AC693" s="55" t="n">
        <x:v>8338</x:v>
      </x:c>
      <x:c r="AD693" s="55" t="n">
        <x:v>3182</x:v>
      </x:c>
      <x:c r="AE693" s="55" t="n">
        <x:v>10301</x:v>
      </x:c>
      <x:c r="AF693" s="55" t="n">
        <x:v>10292</x:v>
      </x:c>
      <x:c r="AG693" s="55" t="n">
        <x:v>9</x:v>
      </x:c>
      <x:c r="AH693" s="55" t="n">
        <x:v>431</x:v>
      </x:c>
      <x:c r="AI693" s="55" t="n">
        <x:v>9861</x:v>
      </x:c>
      <x:c r="AJ693" s="55" t="n">
        <x:v>208</x:v>
      </x:c>
      <x:c r="AK693" s="55" t="n">
        <x:v>787</x:v>
      </x:c>
      <x:c r="AL693" s="55" t="n">
        <x:v>1023</x:v>
      </x:c>
      <x:c r="AM693" s="55" t="n">
        <x:v>5265</x:v>
      </x:c>
      <x:c r="AN693" s="55" t="n">
        <x:v>2977</x:v>
      </x:c>
      <x:c r="AO693" s="55" t="n">
        <x:v>32</x:v>
      </x:c>
      <x:c r="AP693" s="55" t="n">
        <x:v>2256</x:v>
      </x:c>
      <x:c r="AQ693" s="55" t="n">
        <x:v>996</x:v>
      </x:c>
    </x:row>
    <x:row r="694">
      <x:c r="A694" s="54" t="str">
        <x:v>T0_TABLE_BLOCK</x:v>
      </x:c>
      <x:c r="B694" s="54" t="n">
        <x:v>688</x:v>
      </x:c>
      <x:c r="C694" s="54" t="str">
        <x:v>NYC-V2-R01</x:v>
      </x:c>
      <x:c r="D694" s="54" t="str">
        <x:v>V2</x:v>
      </x:c>
      <x:c r="E694" s="54" t="str">
        <x:v>ADMITTED</x:v>
      </x:c>
      <x:c r="F694" s="55" t="n">
        <x:v>32043</x:v>
      </x:c>
      <x:c r="G694" s="55" t="n">
        <x:v>8390</x:v>
      </x:c>
      <x:c r="H694" s="55" t="n">
        <x:v>3232</x:v>
      </x:c>
      <x:c r="I694" s="55" t="n">
        <x:v>1582</x:v>
      </x:c>
      <x:c r="J694" s="55" t="n">
        <x:v>232</x:v>
      </x:c>
      <x:c r="K694" s="55" t="n">
        <x:v>32043</x:v>
      </x:c>
      <x:c r="L694" s="55" t="n">
        <x:v>5987</x:v>
      </x:c>
      <x:c r="M694" s="55" t="n">
        <x:v>1497</x:v>
      </x:c>
      <x:c r="N694" s="55" t="n">
        <x:v>2554</x:v>
      </x:c>
      <x:c r="O694" s="55" t="n">
        <x:v>1936</x:v>
      </x:c>
      <x:c r="P694" s="55" t="n">
        <x:v>752</x:v>
      </x:c>
      <x:c r="Q694" s="55" t="n">
        <x:v>3320</x:v>
      </x:c>
      <x:c r="R694" s="55" t="n">
        <x:v>1617</x:v>
      </x:c>
      <x:c r="S694" s="55" t="n">
        <x:v>3128</x:v>
      </x:c>
      <x:c r="T694" s="55" t="n">
        <x:v>1695</x:v>
      </x:c>
      <x:c r="U694" s="55" t="n">
        <x:v>1442</x:v>
      </x:c>
      <x:c r="V694" s="55" t="n">
        <x:v>10912</x:v>
      </x:c>
      <x:c r="W694" s="55" t="n">
        <x:v>8120</x:v>
      </x:c>
      <x:c r="X694" s="55" t="n">
        <x:v>2792</x:v>
      </x:c>
      <x:c r="Y694" s="55" t="n">
        <x:v>2160</x:v>
      </x:c>
      <x:c r="Z694" s="55" t="n">
        <x:v>4084</x:v>
      </x:c>
      <x:c r="AA694" s="55" t="n">
        <x:v>3006</x:v>
      </x:c>
      <x:c r="AB694" s="55" t="n">
        <x:v>1017</x:v>
      </x:c>
      <x:c r="AC694" s="55" t="n">
        <x:v>8229</x:v>
      </x:c>
      <x:c r="AD694" s="55" t="n">
        <x:v>3016</x:v>
      </x:c>
      <x:c r="AE694" s="55" t="n">
        <x:v>11060</x:v>
      </x:c>
      <x:c r="AF694" s="55" t="n">
        <x:v>10912</x:v>
      </x:c>
      <x:c r="AG694" s="55" t="n">
        <x:v>148</x:v>
      </x:c>
      <x:c r="AH694" s="55" t="n">
        <x:v>688</x:v>
      </x:c>
      <x:c r="AI694" s="55" t="n">
        <x:v>10224</x:v>
      </x:c>
      <x:c r="AJ694" s="55" t="n">
        <x:v>302</x:v>
      </x:c>
      <x:c r="AK694" s="55" t="n">
        <x:v>832</x:v>
      </x:c>
      <x:c r="AL694" s="55" t="n">
        <x:v>1606</x:v>
      </x:c>
      <x:c r="AM694" s="55" t="n">
        <x:v>5324</x:v>
      </x:c>
      <x:c r="AN694" s="55" t="n">
        <x:v>2802</x:v>
      </x:c>
      <x:c r="AO694" s="55" t="n">
        <x:v>46</x:v>
      </x:c>
      <x:c r="AP694" s="55" t="n">
        <x:v>2453</x:v>
      </x:c>
      <x:c r="AQ694" s="55" t="n">
        <x:v>970</x:v>
      </x:c>
    </x:row>
    <x:row r="695">
      <x:c r="A695" s="54" t="str">
        <x:v>T0_TABLE_BLOCK</x:v>
      </x:c>
      <x:c r="B695" s="54" t="n">
        <x:v>689</x:v>
      </x:c>
      <x:c r="C695" s="54" t="str">
        <x:v>NYC-V2-R01</x:v>
      </x:c>
      <x:c r="D695" s="54" t="str">
        <x:v>V2</x:v>
      </x:c>
      <x:c r="E695" s="54" t="str">
        <x:v>ADMITTED</x:v>
      </x:c>
      <x:c r="F695" s="55" t="n">
        <x:v>33133</x:v>
      </x:c>
      <x:c r="G695" s="55" t="n">
        <x:v>7431</x:v>
      </x:c>
      <x:c r="H695" s="55" t="n">
        <x:v>3148</x:v>
      </x:c>
      <x:c r="I695" s="55" t="n">
        <x:v>1204</x:v>
      </x:c>
      <x:c r="J695" s="55" t="n">
        <x:v>191</x:v>
      </x:c>
      <x:c r="K695" s="55" t="n">
        <x:v>33133</x:v>
      </x:c>
      <x:c r="L695" s="55" t="n">
        <x:v>7099</x:v>
      </x:c>
      <x:c r="M695" s="55" t="n">
        <x:v>1800</x:v>
      </x:c>
      <x:c r="N695" s="55" t="n">
        <x:v>3737</x:v>
      </x:c>
      <x:c r="O695" s="55" t="n">
        <x:v>1562</x:v>
      </x:c>
      <x:c r="P695" s="55" t="n">
        <x:v>894</x:v>
      </x:c>
      <x:c r="Q695" s="55" t="n">
        <x:v>1918</x:v>
      </x:c>
      <x:c r="R695" s="55" t="n">
        <x:v>1860</x:v>
      </x:c>
      <x:c r="S695" s="55" t="n">
        <x:v>2825</x:v>
      </x:c>
      <x:c r="T695" s="55" t="n">
        <x:v>1292</x:v>
      </x:c>
      <x:c r="U695" s="55" t="n">
        <x:v>2107</x:v>
      </x:c>
      <x:c r="V695" s="55" t="n">
        <x:v>10902</x:v>
      </x:c>
      <x:c r="W695" s="55" t="n">
        <x:v>7838</x:v>
      </x:c>
      <x:c r="X695" s="55" t="n">
        <x:v>3064</x:v>
      </x:c>
      <x:c r="Y695" s="55" t="n">
        <x:v>2689</x:v>
      </x:c>
      <x:c r="Z695" s="55" t="n">
        <x:v>3969</x:v>
      </x:c>
      <x:c r="AA695" s="55" t="n">
        <x:v>3133</x:v>
      </x:c>
      <x:c r="AB695" s="55" t="n">
        <x:v>1441</x:v>
      </x:c>
      <x:c r="AC695" s="55" t="n">
        <x:v>7877</x:v>
      </x:c>
      <x:c r="AD695" s="55" t="n">
        <x:v>2968</x:v>
      </x:c>
      <x:c r="AE695" s="55" t="n">
        <x:v>10902</x:v>
      </x:c>
      <x:c r="AF695" s="55" t="n">
        <x:v>10902</x:v>
      </x:c>
      <x:c r="AG695" s="55" t="n">
        <x:v>0</x:v>
      </x:c>
      <x:c r="AH695" s="55" t="n">
        <x:v>205</x:v>
      </x:c>
      <x:c r="AI695" s="55" t="n">
        <x:v>10697</x:v>
      </x:c>
      <x:c r="AJ695" s="55" t="n">
        <x:v>232</x:v>
      </x:c>
      <x:c r="AK695" s="55" t="n">
        <x:v>996</x:v>
      </x:c>
      <x:c r="AL695" s="55" t="n">
        <x:v>2098</x:v>
      </x:c>
      <x:c r="AM695" s="55" t="n">
        <x:v>4998</x:v>
      </x:c>
      <x:c r="AN695" s="55" t="n">
        <x:v>2525</x:v>
      </x:c>
      <x:c r="AO695" s="55" t="n">
        <x:v>53</x:v>
      </x:c>
      <x:c r="AP695" s="55" t="n">
        <x:v>2594</x:v>
      </x:c>
      <x:c r="AQ695" s="55" t="n">
        <x:v>907</x:v>
      </x:c>
    </x:row>
    <x:row r="696">
      <x:c r="A696" s="54" t="str">
        <x:v>T0_TABLE_BLOCK</x:v>
      </x:c>
      <x:c r="B696" s="54" t="n">
        <x:v>690</x:v>
      </x:c>
      <x:c r="C696" s="54" t="str">
        <x:v>NYC-V2-R01</x:v>
      </x:c>
      <x:c r="D696" s="54" t="str">
        <x:v>V2</x:v>
      </x:c>
      <x:c r="E696" s="54" t="str">
        <x:v>ADMITTED</x:v>
      </x:c>
      <x:c r="F696" s="55" t="n">
        <x:v>34044</x:v>
      </x:c>
      <x:c r="G696" s="55" t="n">
        <x:v>9328</x:v>
      </x:c>
      <x:c r="H696" s="55" t="n">
        <x:v>3481</x:v>
      </x:c>
      <x:c r="I696" s="55" t="n">
        <x:v>1272</x:v>
      </x:c>
      <x:c r="J696" s="55" t="n">
        <x:v>360</x:v>
      </x:c>
      <x:c r="K696" s="55" t="n">
        <x:v>29247</x:v>
      </x:c>
      <x:c r="L696" s="55" t="n">
        <x:v>4846</x:v>
      </x:c>
      <x:c r="M696" s="55" t="n">
        <x:v>1709</x:v>
      </x:c>
      <x:c r="N696" s="55" t="n">
        <x:v>1906</x:v>
      </x:c>
      <x:c r="O696" s="55" t="n">
        <x:v>1231</x:v>
      </x:c>
      <x:c r="P696" s="55" t="n">
        <x:v>1095</x:v>
      </x:c>
      <x:c r="Q696" s="55" t="n">
        <x:v>2393</x:v>
      </x:c>
      <x:c r="R696" s="55" t="n">
        <x:v>1892</x:v>
      </x:c>
      <x:c r="S696" s="55" t="n">
        <x:v>2911</x:v>
      </x:c>
      <x:c r="T696" s="55" t="n">
        <x:v>1161</x:v>
      </x:c>
      <x:c r="U696" s="55" t="n">
        <x:v>2195</x:v>
      </x:c>
      <x:c r="V696" s="55" t="n">
        <x:v>9786</x:v>
      </x:c>
      <x:c r="W696" s="55" t="n">
        <x:v>7037</x:v>
      </x:c>
      <x:c r="X696" s="55" t="n">
        <x:v>2749</x:v>
      </x:c>
      <x:c r="Y696" s="55" t="n">
        <x:v>2383</x:v>
      </x:c>
      <x:c r="Z696" s="55" t="n">
        <x:v>3241</x:v>
      </x:c>
      <x:c r="AA696" s="55" t="n">
        <x:v>3238</x:v>
      </x:c>
      <x:c r="AB696" s="55" t="n">
        <x:v>1008</x:v>
      </x:c>
      <x:c r="AC696" s="55" t="n">
        <x:v>7732</x:v>
      </x:c>
      <x:c r="AD696" s="55" t="n">
        <x:v>3214</x:v>
      </x:c>
      <x:c r="AE696" s="55" t="n">
        <x:v>9810</x:v>
      </x:c>
      <x:c r="AF696" s="55" t="n">
        <x:v>9786</x:v>
      </x:c>
      <x:c r="AG696" s="55" t="n">
        <x:v>24</x:v>
      </x:c>
      <x:c r="AH696" s="55" t="n">
        <x:v>487</x:v>
      </x:c>
      <x:c r="AI696" s="55" t="n">
        <x:v>9299</x:v>
      </x:c>
      <x:c r="AJ696" s="55" t="n">
        <x:v>360</x:v>
      </x:c>
      <x:c r="AK696" s="55" t="n">
        <x:v>893</x:v>
      </x:c>
      <x:c r="AL696" s="55" t="n">
        <x:v>1180</x:v>
      </x:c>
      <x:c r="AM696" s="55" t="n">
        <x:v>5312</x:v>
      </x:c>
      <x:c r="AN696" s="55" t="n">
        <x:v>2041</x:v>
      </x:c>
      <x:c r="AO696" s="55" t="n">
        <x:v>0</x:v>
      </x:c>
      <x:c r="AP696" s="55" t="n">
        <x:v>2407</x:v>
      </x:c>
      <x:c r="AQ696" s="55" t="n">
        <x:v>961</x:v>
      </x:c>
    </x:row>
    <x:row r="697">
      <x:c r="A697" s="54" t="str">
        <x:v>T0_TABLE_BLOCK</x:v>
      </x:c>
      <x:c r="B697" s="54" t="n">
        <x:v>691</x:v>
      </x:c>
      <x:c r="C697" s="54" t="str">
        <x:v>NYC-V2-R01</x:v>
      </x:c>
      <x:c r="D697" s="54" t="str">
        <x:v>V2</x:v>
      </x:c>
      <x:c r="E697" s="54" t="str">
        <x:v>ADMITTED</x:v>
      </x:c>
      <x:c r="F697" s="55" t="n">
        <x:v>29646</x:v>
      </x:c>
      <x:c r="G697" s="55" t="n">
        <x:v>8400</x:v>
      </x:c>
      <x:c r="H697" s="55" t="n">
        <x:v>3132</x:v>
      </x:c>
      <x:c r="I697" s="55" t="n">
        <x:v>1320</x:v>
      </x:c>
      <x:c r="J697" s="55" t="n">
        <x:v>312</x:v>
      </x:c>
      <x:c r="K697" s="55" t="n">
        <x:v>26968</x:v>
      </x:c>
      <x:c r="L697" s="55" t="n">
        <x:v>4787</x:v>
      </x:c>
      <x:c r="M697" s="55" t="n">
        <x:v>507</x:v>
      </x:c>
      <x:c r="N697" s="55" t="n">
        <x:v>2477</x:v>
      </x:c>
      <x:c r="O697" s="55" t="n">
        <x:v>1803</x:v>
      </x:c>
      <x:c r="P697" s="55" t="n">
        <x:v>189</x:v>
      </x:c>
      <x:c r="Q697" s="55" t="n">
        <x:v>3160</x:v>
      </x:c>
      <x:c r="R697" s="55" t="n">
        <x:v>1837</x:v>
      </x:c>
      <x:c r="S697" s="55" t="n">
        <x:v>2659</x:v>
      </x:c>
      <x:c r="T697" s="55" t="n">
        <x:v>1451</x:v>
      </x:c>
      <x:c r="U697" s="55" t="n">
        <x:v>1674</x:v>
      </x:c>
      <x:c r="V697" s="55" t="n">
        <x:v>10733</x:v>
      </x:c>
      <x:c r="W697" s="55" t="n">
        <x:v>7186</x:v>
      </x:c>
      <x:c r="X697" s="55" t="n">
        <x:v>3547</x:v>
      </x:c>
      <x:c r="Y697" s="55" t="n">
        <x:v>2878</x:v>
      </x:c>
      <x:c r="Z697" s="55" t="n">
        <x:v>3520</x:v>
      </x:c>
      <x:c r="AA697" s="55" t="n">
        <x:v>3031</x:v>
      </x:c>
      <x:c r="AB697" s="55" t="n">
        <x:v>1095</x:v>
      </x:c>
      <x:c r="AC697" s="55" t="n">
        <x:v>7424</x:v>
      </x:c>
      <x:c r="AD697" s="55" t="n">
        <x:v>2724</x:v>
      </x:c>
      <x:c r="AE697" s="55" t="n">
        <x:v>10804</x:v>
      </x:c>
      <x:c r="AF697" s="55" t="n">
        <x:v>10733</x:v>
      </x:c>
      <x:c r="AG697" s="55" t="n">
        <x:v>71</x:v>
      </x:c>
      <x:c r="AH697" s="55" t="n">
        <x:v>407</x:v>
      </x:c>
      <x:c r="AI697" s="55" t="n">
        <x:v>10326</x:v>
      </x:c>
      <x:c r="AJ697" s="55" t="n">
        <x:v>377</x:v>
      </x:c>
      <x:c r="AK697" s="55" t="n">
        <x:v>936</x:v>
      </x:c>
      <x:c r="AL697" s="55" t="n">
        <x:v>1931</x:v>
      </x:c>
      <x:c r="AM697" s="55" t="n">
        <x:v>5154</x:v>
      </x:c>
      <x:c r="AN697" s="55" t="n">
        <x:v>2335</x:v>
      </x:c>
      <x:c r="AO697" s="55" t="n">
        <x:v>0</x:v>
      </x:c>
      <x:c r="AP697" s="55" t="n">
        <x:v>2425</x:v>
      </x:c>
      <x:c r="AQ697" s="55" t="n">
        <x:v>979</x:v>
      </x:c>
    </x:row>
    <x:row r="698">
      <x:c r="A698" s="54" t="str">
        <x:v>T0_TABLE_BLOCK</x:v>
      </x:c>
      <x:c r="B698" s="54" t="n">
        <x:v>692</x:v>
      </x:c>
      <x:c r="C698" s="54" t="str">
        <x:v>NYC-V2-R01</x:v>
      </x:c>
      <x:c r="D698" s="54" t="str">
        <x:v>V2</x:v>
      </x:c>
      <x:c r="E698" s="54" t="str">
        <x:v>ADMITTED</x:v>
      </x:c>
      <x:c r="F698" s="55" t="n">
        <x:v>31672</x:v>
      </x:c>
      <x:c r="G698" s="55" t="n">
        <x:v>7545</x:v>
      </x:c>
      <x:c r="H698" s="55" t="n">
        <x:v>3261</x:v>
      </x:c>
      <x:c r="I698" s="55" t="n">
        <x:v>1312</x:v>
      </x:c>
      <x:c r="J698" s="55" t="n">
        <x:v>518</x:v>
      </x:c>
      <x:c r="K698" s="55" t="n">
        <x:v>31672</x:v>
      </x:c>
      <x:c r="L698" s="55" t="n">
        <x:v>6091</x:v>
      </x:c>
      <x:c r="M698" s="55" t="n">
        <x:v>1147</x:v>
      </x:c>
      <x:c r="N698" s="55" t="n">
        <x:v>3458</x:v>
      </x:c>
      <x:c r="O698" s="55" t="n">
        <x:v>1486</x:v>
      </x:c>
      <x:c r="P698" s="55" t="n">
        <x:v>384</x:v>
      </x:c>
      <x:c r="Q698" s="55" t="n">
        <x:v>2190</x:v>
      </x:c>
      <x:c r="R698" s="55" t="n">
        <x:v>2089</x:v>
      </x:c>
      <x:c r="S698" s="55" t="n">
        <x:v>2775</x:v>
      </x:c>
      <x:c r="T698" s="55" t="n">
        <x:v>1377</x:v>
      </x:c>
      <x:c r="U698" s="55" t="n">
        <x:v>2320</x:v>
      </x:c>
      <x:c r="V698" s="55" t="n">
        <x:v>10605</x:v>
      </x:c>
      <x:c r="W698" s="55" t="n">
        <x:v>7597</x:v>
      </x:c>
      <x:c r="X698" s="55" t="n">
        <x:v>3008</x:v>
      </x:c>
      <x:c r="Y698" s="55" t="n">
        <x:v>2591</x:v>
      </x:c>
      <x:c r="Z698" s="55" t="n">
        <x:v>3231</x:v>
      </x:c>
      <x:c r="AA698" s="55" t="n">
        <x:v>2899</x:v>
      </x:c>
      <x:c r="AB698" s="55" t="n">
        <x:v>1096</x:v>
      </x:c>
      <x:c r="AC698" s="55" t="n">
        <x:v>7902</x:v>
      </x:c>
      <x:c r="AD698" s="55" t="n">
        <x:v>3290</x:v>
      </x:c>
      <x:c r="AE698" s="55" t="n">
        <x:v>10652</x:v>
      </x:c>
      <x:c r="AF698" s="55" t="n">
        <x:v>10605</x:v>
      </x:c>
      <x:c r="AG698" s="55" t="n">
        <x:v>47</x:v>
      </x:c>
      <x:c r="AH698" s="55" t="n">
        <x:v>483</x:v>
      </x:c>
      <x:c r="AI698" s="55" t="n">
        <x:v>10122</x:v>
      </x:c>
      <x:c r="AJ698" s="55" t="n">
        <x:v>305</x:v>
      </x:c>
      <x:c r="AK698" s="55" t="n">
        <x:v>978</x:v>
      </x:c>
      <x:c r="AL698" s="55" t="n">
        <x:v>1723</x:v>
      </x:c>
      <x:c r="AM698" s="55" t="n">
        <x:v>5200</x:v>
      </x:c>
      <x:c r="AN698" s="55" t="n">
        <x:v>2399</x:v>
      </x:c>
      <x:c r="AO698" s="55" t="n">
        <x:v>0</x:v>
      </x:c>
      <x:c r="AP698" s="55" t="n">
        <x:v>2510</x:v>
      </x:c>
      <x:c r="AQ698" s="55" t="n">
        <x:v>971</x:v>
      </x:c>
    </x:row>
    <x:row r="699">
      <x:c r="A699" s="54" t="str">
        <x:v>T0_TABLE_BLOCK</x:v>
      </x:c>
      <x:c r="B699" s="54" t="n">
        <x:v>693</x:v>
      </x:c>
      <x:c r="C699" s="54" t="str">
        <x:v>NYC-V2-R01</x:v>
      </x:c>
      <x:c r="D699" s="54" t="str">
        <x:v>V2</x:v>
      </x:c>
      <x:c r="E699" s="54" t="str">
        <x:v>ADMITTED</x:v>
      </x:c>
      <x:c r="F699" s="55" t="n">
        <x:v>30031</x:v>
      </x:c>
      <x:c r="G699" s="55" t="n">
        <x:v>8550</x:v>
      </x:c>
      <x:c r="H699" s="55" t="n">
        <x:v>2957</x:v>
      </x:c>
      <x:c r="I699" s="55" t="n">
        <x:v>861</x:v>
      </x:c>
      <x:c r="J699" s="55" t="n">
        <x:v>56</x:v>
      </x:c>
      <x:c r="K699" s="55" t="n">
        <x:v>29156</x:v>
      </x:c>
      <x:c r="L699" s="55" t="n">
        <x:v>5391</x:v>
      </x:c>
      <x:c r="M699" s="55" t="n">
        <x:v>1329</x:v>
      </x:c>
      <x:c r="N699" s="55" t="n">
        <x:v>2724</x:v>
      </x:c>
      <x:c r="O699" s="55" t="n">
        <x:v>1338</x:v>
      </x:c>
      <x:c r="P699" s="55" t="n">
        <x:v>807</x:v>
      </x:c>
      <x:c r="Q699" s="55" t="n">
        <x:v>2179</x:v>
      </x:c>
      <x:c r="R699" s="55" t="n">
        <x:v>2003</x:v>
      </x:c>
      <x:c r="S699" s="55" t="n">
        <x:v>2907</x:v>
      </x:c>
      <x:c r="T699" s="55" t="n">
        <x:v>944</x:v>
      </x:c>
      <x:c r="U699" s="55" t="n">
        <x:v>2290</x:v>
      </x:c>
      <x:c r="V699" s="55" t="n">
        <x:v>10767</x:v>
      </x:c>
      <x:c r="W699" s="55" t="n">
        <x:v>8057</x:v>
      </x:c>
      <x:c r="X699" s="55" t="n">
        <x:v>2710</x:v>
      </x:c>
      <x:c r="Y699" s="55" t="n">
        <x:v>2434</x:v>
      </x:c>
      <x:c r="Z699" s="55" t="n">
        <x:v>3676</x:v>
      </x:c>
      <x:c r="AA699" s="55" t="n">
        <x:v>2957</x:v>
      </x:c>
      <x:c r="AB699" s="55" t="n">
        <x:v>1076</x:v>
      </x:c>
      <x:c r="AC699" s="55" t="n">
        <x:v>7579</x:v>
      </x:c>
      <x:c r="AD699" s="55" t="n">
        <x:v>3160</x:v>
      </x:c>
      <x:c r="AE699" s="55" t="n">
        <x:v>10767</x:v>
      </x:c>
      <x:c r="AF699" s="55" t="n">
        <x:v>10767</x:v>
      </x:c>
      <x:c r="AG699" s="55" t="n">
        <x:v>0</x:v>
      </x:c>
      <x:c r="AH699" s="55" t="n">
        <x:v>510</x:v>
      </x:c>
      <x:c r="AI699" s="55" t="n">
        <x:v>10257</x:v>
      </x:c>
      <x:c r="AJ699" s="55" t="n">
        <x:v>241</x:v>
      </x:c>
      <x:c r="AK699" s="55" t="n">
        <x:v>1279</x:v>
      </x:c>
      <x:c r="AL699" s="55" t="n">
        <x:v>1096</x:v>
      </x:c>
      <x:c r="AM699" s="55" t="n">
        <x:v>5177</x:v>
      </x:c>
      <x:c r="AN699" s="55" t="n">
        <x:v>2974</x:v>
      </x:c>
      <x:c r="AO699" s="55" t="n">
        <x:v>0</x:v>
      </x:c>
      <x:c r="AP699" s="55" t="n">
        <x:v>2153</x:v>
      </x:c>
      <x:c r="AQ699" s="55" t="n">
        <x:v>963</x:v>
      </x:c>
    </x:row>
    <x:row r="700">
      <x:c r="A700" s="54" t="str">
        <x:v>T0_TABLE_BLOCK</x:v>
      </x:c>
      <x:c r="B700" s="54" t="n">
        <x:v>694</x:v>
      </x:c>
      <x:c r="C700" s="54" t="str">
        <x:v>NYC-V2-R01</x:v>
      </x:c>
      <x:c r="D700" s="54" t="str">
        <x:v>V2</x:v>
      </x:c>
      <x:c r="E700" s="54" t="str">
        <x:v>ADMITTED</x:v>
      </x:c>
      <x:c r="F700" s="55" t="n">
        <x:v>33330</x:v>
      </x:c>
      <x:c r="G700" s="55" t="n">
        <x:v>7597</x:v>
      </x:c>
      <x:c r="H700" s="55" t="n">
        <x:v>2967</x:v>
      </x:c>
      <x:c r="I700" s="55" t="n">
        <x:v>842</x:v>
      </x:c>
      <x:c r="J700" s="55" t="n">
        <x:v>248</x:v>
      </x:c>
      <x:c r="K700" s="55" t="n">
        <x:v>33330</x:v>
      </x:c>
      <x:c r="L700" s="55" t="n">
        <x:v>7078</x:v>
      </x:c>
      <x:c r="M700" s="55" t="n">
        <x:v>2299</x:v>
      </x:c>
      <x:c r="N700" s="55" t="n">
        <x:v>2936</x:v>
      </x:c>
      <x:c r="O700" s="55" t="n">
        <x:v>1843</x:v>
      </x:c>
      <x:c r="P700" s="55" t="n">
        <x:v>707</x:v>
      </x:c>
      <x:c r="Q700" s="55" t="n">
        <x:v>2975</x:v>
      </x:c>
      <x:c r="R700" s="55" t="n">
        <x:v>1819</x:v>
      </x:c>
      <x:c r="S700" s="55" t="n">
        <x:v>2287</x:v>
      </x:c>
      <x:c r="T700" s="55" t="n">
        <x:v>648</x:v>
      </x:c>
      <x:c r="U700" s="55" t="n">
        <x:v>1980</x:v>
      </x:c>
      <x:c r="V700" s="55" t="n">
        <x:v>10125</x:v>
      </x:c>
      <x:c r="W700" s="55" t="n">
        <x:v>6650</x:v>
      </x:c>
      <x:c r="X700" s="55" t="n">
        <x:v>3475</x:v>
      </x:c>
      <x:c r="Y700" s="55" t="n">
        <x:v>2965</x:v>
      </x:c>
      <x:c r="Z700" s="55" t="n">
        <x:v>3406</x:v>
      </x:c>
      <x:c r="AA700" s="55" t="n">
        <x:v>2705</x:v>
      </x:c>
      <x:c r="AB700" s="55" t="n">
        <x:v>919</x:v>
      </x:c>
      <x:c r="AC700" s="55" t="n">
        <x:v>8127</x:v>
      </x:c>
      <x:c r="AD700" s="55" t="n">
        <x:v>2913</x:v>
      </x:c>
      <x:c r="AE700" s="55" t="n">
        <x:v>10167</x:v>
      </x:c>
      <x:c r="AF700" s="55" t="n">
        <x:v>10125</x:v>
      </x:c>
      <x:c r="AG700" s="55" t="n">
        <x:v>42</x:v>
      </x:c>
      <x:c r="AH700" s="55" t="n">
        <x:v>476</x:v>
      </x:c>
      <x:c r="AI700" s="55" t="n">
        <x:v>9649</x:v>
      </x:c>
      <x:c r="AJ700" s="55" t="n">
        <x:v>354</x:v>
      </x:c>
      <x:c r="AK700" s="55" t="n">
        <x:v>964</x:v>
      </x:c>
      <x:c r="AL700" s="55" t="n">
        <x:v>2043</x:v>
      </x:c>
      <x:c r="AM700" s="55" t="n">
        <x:v>4656</x:v>
      </x:c>
      <x:c r="AN700" s="55" t="n">
        <x:v>2091</x:v>
      </x:c>
      <x:c r="AO700" s="55" t="n">
        <x:v>17</x:v>
      </x:c>
      <x:c r="AP700" s="55" t="n">
        <x:v>1831</x:v>
      </x:c>
      <x:c r="AQ700" s="55" t="n">
        <x:v>976</x:v>
      </x:c>
    </x:row>
    <x:row r="701">
      <x:c r="A701" s="54" t="str">
        <x:v>T0_TABLE_BLOCK</x:v>
      </x:c>
      <x:c r="B701" s="54" t="n">
        <x:v>695</x:v>
      </x:c>
      <x:c r="C701" s="54" t="str">
        <x:v>NYC-V2-R01</x:v>
      </x:c>
      <x:c r="D701" s="54" t="str">
        <x:v>V2</x:v>
      </x:c>
      <x:c r="E701" s="54" t="str">
        <x:v>ADMITTED</x:v>
      </x:c>
      <x:c r="F701" s="55" t="n">
        <x:v>31927</x:v>
      </x:c>
      <x:c r="G701" s="55" t="n">
        <x:v>6350</x:v>
      </x:c>
      <x:c r="H701" s="55" t="n">
        <x:v>3645</x:v>
      </x:c>
      <x:c r="I701" s="55" t="n">
        <x:v>1371</x:v>
      </x:c>
      <x:c r="J701" s="55" t="n">
        <x:v>444</x:v>
      </x:c>
      <x:c r="K701" s="55" t="n">
        <x:v>31927</x:v>
      </x:c>
      <x:c r="L701" s="55" t="n">
        <x:v>6779</x:v>
      </x:c>
      <x:c r="M701" s="55" t="n">
        <x:v>2363</x:v>
      </x:c>
      <x:c r="N701" s="55" t="n">
        <x:v>2622</x:v>
      </x:c>
      <x:c r="O701" s="55" t="n">
        <x:v>1794</x:v>
      </x:c>
      <x:c r="P701" s="55" t="n">
        <x:v>441</x:v>
      </x:c>
      <x:c r="Q701" s="55" t="n">
        <x:v>2081</x:v>
      </x:c>
      <x:c r="R701" s="55" t="n">
        <x:v>1445</x:v>
      </x:c>
      <x:c r="S701" s="55" t="n">
        <x:v>2654</x:v>
      </x:c>
      <x:c r="T701" s="55" t="n">
        <x:v>1220</x:v>
      </x:c>
      <x:c r="U701" s="55" t="n">
        <x:v>1958</x:v>
      </x:c>
      <x:c r="V701" s="55" t="n">
        <x:v>10424</x:v>
      </x:c>
      <x:c r="W701" s="55" t="n">
        <x:v>7410</x:v>
      </x:c>
      <x:c r="X701" s="55" t="n">
        <x:v>3014</x:v>
      </x:c>
      <x:c r="Y701" s="55" t="n">
        <x:v>2452</x:v>
      </x:c>
      <x:c r="Z701" s="55" t="n">
        <x:v>3711</x:v>
      </x:c>
      <x:c r="AA701" s="55" t="n">
        <x:v>3645</x:v>
      </x:c>
      <x:c r="AB701" s="55" t="n">
        <x:v>1406</x:v>
      </x:c>
      <x:c r="AC701" s="55" t="n">
        <x:v>8376</x:v>
      </x:c>
      <x:c r="AD701" s="55" t="n">
        <x:v>3316</x:v>
      </x:c>
      <x:c r="AE701" s="55" t="n">
        <x:v>10519</x:v>
      </x:c>
      <x:c r="AF701" s="55" t="n">
        <x:v>10424</x:v>
      </x:c>
      <x:c r="AG701" s="55" t="n">
        <x:v>95</x:v>
      </x:c>
      <x:c r="AH701" s="55" t="n">
        <x:v>395</x:v>
      </x:c>
      <x:c r="AI701" s="55" t="n">
        <x:v>10029</x:v>
      </x:c>
      <x:c r="AJ701" s="55" t="n">
        <x:v>238</x:v>
      </x:c>
      <x:c r="AK701" s="55" t="n">
        <x:v>913</x:v>
      </x:c>
      <x:c r="AL701" s="55" t="n">
        <x:v>1268</x:v>
      </x:c>
      <x:c r="AM701" s="55" t="n">
        <x:v>5346</x:v>
      </x:c>
      <x:c r="AN701" s="55" t="n">
        <x:v>2659</x:v>
      </x:c>
      <x:c r="AO701" s="55" t="n">
        <x:v>0</x:v>
      </x:c>
      <x:c r="AP701" s="55" t="n">
        <x:v>1939</x:v>
      </x:c>
      <x:c r="AQ701" s="55" t="n">
        <x:v>959</x:v>
      </x:c>
    </x:row>
    <x:row r="702">
      <x:c r="A702" s="54" t="str">
        <x:v>T0_TABLE_BLOCK</x:v>
      </x:c>
      <x:c r="B702" s="54" t="n">
        <x:v>696</x:v>
      </x:c>
      <x:c r="C702" s="54" t="str">
        <x:v>NYC-V2-R01</x:v>
      </x:c>
      <x:c r="D702" s="54" t="str">
        <x:v>V2</x:v>
      </x:c>
      <x:c r="E702" s="54" t="str">
        <x:v>ADMITTED</x:v>
      </x:c>
      <x:c r="F702" s="55" t="n">
        <x:v>29527</x:v>
      </x:c>
      <x:c r="G702" s="55" t="n">
        <x:v>8063</x:v>
      </x:c>
      <x:c r="H702" s="55" t="n">
        <x:v>3580</x:v>
      </x:c>
      <x:c r="I702" s="55" t="n">
        <x:v>1063</x:v>
      </x:c>
      <x:c r="J702" s="55" t="n">
        <x:v>242</x:v>
      </x:c>
      <x:c r="K702" s="55" t="n">
        <x:v>29373</x:v>
      </x:c>
      <x:c r="L702" s="55" t="n">
        <x:v>5089</x:v>
      </x:c>
      <x:c r="M702" s="55" t="n">
        <x:v>682</x:v>
      </x:c>
      <x:c r="N702" s="55" t="n">
        <x:v>2560</x:v>
      </x:c>
      <x:c r="O702" s="55" t="n">
        <x:v>1847</x:v>
      </x:c>
      <x:c r="P702" s="55" t="n">
        <x:v>974</x:v>
      </x:c>
      <x:c r="Q702" s="55" t="n">
        <x:v>2372</x:v>
      </x:c>
      <x:c r="R702" s="55" t="n">
        <x:v>1606</x:v>
      </x:c>
      <x:c r="S702" s="55" t="n">
        <x:v>2915</x:v>
      </x:c>
      <x:c r="T702" s="55" t="n">
        <x:v>2034</x:v>
      </x:c>
      <x:c r="U702" s="55" t="n">
        <x:v>2360</x:v>
      </x:c>
      <x:c r="V702" s="55" t="n">
        <x:v>9933</x:v>
      </x:c>
      <x:c r="W702" s="55" t="n">
        <x:v>7152</x:v>
      </x:c>
      <x:c r="X702" s="55" t="n">
        <x:v>2781</x:v>
      </x:c>
      <x:c r="Y702" s="55" t="n">
        <x:v>2213</x:v>
      </x:c>
      <x:c r="Z702" s="55" t="n">
        <x:v>3354</x:v>
      </x:c>
      <x:c r="AA702" s="55" t="n">
        <x:v>3580</x:v>
      </x:c>
      <x:c r="AB702" s="55" t="n">
        <x:v>1274</x:v>
      </x:c>
      <x:c r="AC702" s="55" t="n">
        <x:v>7925</x:v>
      </x:c>
      <x:c r="AD702" s="55" t="n">
        <x:v>3418</x:v>
      </x:c>
      <x:c r="AE702" s="55" t="n">
        <x:v>9973</x:v>
      </x:c>
      <x:c r="AF702" s="55" t="n">
        <x:v>9933</x:v>
      </x:c>
      <x:c r="AG702" s="55" t="n">
        <x:v>40</x:v>
      </x:c>
      <x:c r="AH702" s="55" t="n">
        <x:v>139</x:v>
      </x:c>
      <x:c r="AI702" s="55" t="n">
        <x:v>9794</x:v>
      </x:c>
      <x:c r="AJ702" s="55" t="n">
        <x:v>405</x:v>
      </x:c>
      <x:c r="AK702" s="55" t="n">
        <x:v>613</x:v>
      </x:c>
      <x:c r="AL702" s="55" t="n">
        <x:v>1645</x:v>
      </x:c>
      <x:c r="AM702" s="55" t="n">
        <x:v>4945</x:v>
      </x:c>
      <x:c r="AN702" s="55" t="n">
        <x:v>2325</x:v>
      </x:c>
      <x:c r="AO702" s="55" t="n">
        <x:v>0</x:v>
      </x:c>
      <x:c r="AP702" s="55" t="n">
        <x:v>2566</x:v>
      </x:c>
      <x:c r="AQ702" s="55" t="n">
        <x:v>931</x:v>
      </x:c>
    </x:row>
    <x:row r="703">
      <x:c r="A703" s="54" t="str">
        <x:v>T0_TABLE_BLOCK</x:v>
      </x:c>
      <x:c r="B703" s="54" t="n">
        <x:v>697</x:v>
      </x:c>
      <x:c r="C703" s="54" t="str">
        <x:v>NYC-V2-R01</x:v>
      </x:c>
      <x:c r="D703" s="54" t="str">
        <x:v>V2</x:v>
      </x:c>
      <x:c r="E703" s="54" t="str">
        <x:v>ADMITTED</x:v>
      </x:c>
      <x:c r="F703" s="55" t="n">
        <x:v>31157</x:v>
      </x:c>
      <x:c r="G703" s="55" t="n">
        <x:v>7153</x:v>
      </x:c>
      <x:c r="H703" s="55" t="n">
        <x:v>3165</x:v>
      </x:c>
      <x:c r="I703" s="55" t="n">
        <x:v>1371</x:v>
      </x:c>
      <x:c r="J703" s="55" t="n">
        <x:v>168</x:v>
      </x:c>
      <x:c r="K703" s="55" t="n">
        <x:v>31157</x:v>
      </x:c>
      <x:c r="L703" s="55" t="n">
        <x:v>5133</x:v>
      </x:c>
      <x:c r="M703" s="55" t="n">
        <x:v>921</x:v>
      </x:c>
      <x:c r="N703" s="55" t="n">
        <x:v>2484</x:v>
      </x:c>
      <x:c r="O703" s="55" t="n">
        <x:v>1728</x:v>
      </x:c>
      <x:c r="P703" s="55" t="n">
        <x:v>529</x:v>
      </x:c>
      <x:c r="Q703" s="55" t="n">
        <x:v>2715</x:v>
      </x:c>
      <x:c r="R703" s="55" t="n">
        <x:v>2031</x:v>
      </x:c>
      <x:c r="S703" s="55" t="n">
        <x:v>2665</x:v>
      </x:c>
      <x:c r="T703" s="55" t="n">
        <x:v>1257</x:v>
      </x:c>
      <x:c r="U703" s="55" t="n">
        <x:v>2083</x:v>
      </x:c>
      <x:c r="V703" s="55" t="n">
        <x:v>10649</x:v>
      </x:c>
      <x:c r="W703" s="55" t="n">
        <x:v>7445</x:v>
      </x:c>
      <x:c r="X703" s="55" t="n">
        <x:v>3204</x:v>
      </x:c>
      <x:c r="Y703" s="55" t="n">
        <x:v>2663</x:v>
      </x:c>
      <x:c r="Z703" s="55" t="n">
        <x:v>3309</x:v>
      </x:c>
      <x:c r="AA703" s="55" t="n">
        <x:v>3165</x:v>
      </x:c>
      <x:c r="AB703" s="55" t="n">
        <x:v>1308</x:v>
      </x:c>
      <x:c r="AC703" s="55" t="n">
        <x:v>8343</x:v>
      </x:c>
      <x:c r="AD703" s="55" t="n">
        <x:v>3039</x:v>
      </x:c>
      <x:c r="AE703" s="55" t="n">
        <x:v>10754</x:v>
      </x:c>
      <x:c r="AF703" s="55" t="n">
        <x:v>10649</x:v>
      </x:c>
      <x:c r="AG703" s="55" t="n">
        <x:v>105</x:v>
      </x:c>
      <x:c r="AH703" s="55" t="n">
        <x:v>437</x:v>
      </x:c>
      <x:c r="AI703" s="55" t="n">
        <x:v>10212</x:v>
      </x:c>
      <x:c r="AJ703" s="55" t="n">
        <x:v>403</x:v>
      </x:c>
      <x:c r="AK703" s="55" t="n">
        <x:v>786</x:v>
      </x:c>
      <x:c r="AL703" s="55" t="n">
        <x:v>1224</x:v>
      </x:c>
      <x:c r="AM703" s="55" t="n">
        <x:v>5124</x:v>
      </x:c>
      <x:c r="AN703" s="55" t="n">
        <x:v>3104</x:v>
      </x:c>
      <x:c r="AO703" s="55" t="n">
        <x:v>8</x:v>
      </x:c>
      <x:c r="AP703" s="55" t="n">
        <x:v>2133</x:v>
      </x:c>
      <x:c r="AQ703" s="55" t="n">
        <x:v>960</x:v>
      </x:c>
    </x:row>
    <x:row r="704">
      <x:c r="A704" s="54" t="str">
        <x:v>T0_TABLE_BLOCK</x:v>
      </x:c>
      <x:c r="B704" s="54" t="n">
        <x:v>698</x:v>
      </x:c>
      <x:c r="C704" s="54" t="str">
        <x:v>NYC-V2-R01</x:v>
      </x:c>
      <x:c r="D704" s="54" t="str">
        <x:v>V2</x:v>
      </x:c>
      <x:c r="E704" s="54" t="str">
        <x:v>ADMITTED</x:v>
      </x:c>
      <x:c r="F704" s="55" t="n">
        <x:v>30031</x:v>
      </x:c>
      <x:c r="G704" s="55" t="n">
        <x:v>7245</x:v>
      </x:c>
      <x:c r="H704" s="55" t="n">
        <x:v>3126</x:v>
      </x:c>
      <x:c r="I704" s="55" t="n">
        <x:v>1339</x:v>
      </x:c>
      <x:c r="J704" s="55" t="n">
        <x:v>33</x:v>
      </x:c>
      <x:c r="K704" s="55" t="n">
        <x:v>30006</x:v>
      </x:c>
      <x:c r="L704" s="55" t="n">
        <x:v>4581</x:v>
      </x:c>
      <x:c r="M704" s="55" t="n">
        <x:v>491</x:v>
      </x:c>
      <x:c r="N704" s="55" t="n">
        <x:v>2513</x:v>
      </x:c>
      <x:c r="O704" s="55" t="n">
        <x:v>1577</x:v>
      </x:c>
      <x:c r="P704" s="55" t="n">
        <x:v>923</x:v>
      </x:c>
      <x:c r="Q704" s="55" t="n">
        <x:v>1639</x:v>
      </x:c>
      <x:c r="R704" s="55" t="n">
        <x:v>2173</x:v>
      </x:c>
      <x:c r="S704" s="55" t="n">
        <x:v>3411</x:v>
      </x:c>
      <x:c r="T704" s="55" t="n">
        <x:v>1150</x:v>
      </x:c>
      <x:c r="U704" s="55" t="n">
        <x:v>2129</x:v>
      </x:c>
      <x:c r="V704" s="55" t="n">
        <x:v>9713</x:v>
      </x:c>
      <x:c r="W704" s="55" t="n">
        <x:v>6467</x:v>
      </x:c>
      <x:c r="X704" s="55" t="n">
        <x:v>3246</x:v>
      </x:c>
      <x:c r="Y704" s="55" t="n">
        <x:v>2880</x:v>
      </x:c>
      <x:c r="Z704" s="55" t="n">
        <x:v>4102</x:v>
      </x:c>
      <x:c r="AA704" s="55" t="n">
        <x:v>2329</x:v>
      </x:c>
      <x:c r="AB704" s="55" t="n">
        <x:v>788</x:v>
      </x:c>
      <x:c r="AC704" s="55" t="n">
        <x:v>8039</x:v>
      </x:c>
      <x:c r="AD704" s="55" t="n">
        <x:v>2826</x:v>
      </x:c>
      <x:c r="AE704" s="55" t="n">
        <x:v>9857</x:v>
      </x:c>
      <x:c r="AF704" s="55" t="n">
        <x:v>9713</x:v>
      </x:c>
      <x:c r="AG704" s="55" t="n">
        <x:v>144</x:v>
      </x:c>
      <x:c r="AH704" s="55" t="n">
        <x:v>177</x:v>
      </x:c>
      <x:c r="AI704" s="55" t="n">
        <x:v>9536</x:v>
      </x:c>
      <x:c r="AJ704" s="55" t="n">
        <x:v>250</x:v>
      </x:c>
      <x:c r="AK704" s="55" t="n">
        <x:v>959</x:v>
      </x:c>
      <x:c r="AL704" s="55" t="n">
        <x:v>1223</x:v>
      </x:c>
      <x:c r="AM704" s="55" t="n">
        <x:v>4727</x:v>
      </x:c>
      <x:c r="AN704" s="55" t="n">
        <x:v>2524</x:v>
      </x:c>
      <x:c r="AO704" s="55" t="n">
        <x:v>30</x:v>
      </x:c>
      <x:c r="AP704" s="55" t="n">
        <x:v>2261</x:v>
      </x:c>
      <x:c r="AQ704" s="55" t="n">
        <x:v>958</x:v>
      </x:c>
    </x:row>
    <x:row r="705">
      <x:c r="A705" s="54" t="str">
        <x:v>T0_TABLE_BLOCK</x:v>
      </x:c>
      <x:c r="B705" s="54" t="n">
        <x:v>699</x:v>
      </x:c>
      <x:c r="C705" s="54" t="str">
        <x:v>NYC-V2-R01</x:v>
      </x:c>
      <x:c r="D705" s="54" t="str">
        <x:v>V2</x:v>
      </x:c>
      <x:c r="E705" s="54" t="str">
        <x:v>ADMITTED</x:v>
      </x:c>
      <x:c r="F705" s="55" t="n">
        <x:v>30989</x:v>
      </x:c>
      <x:c r="G705" s="55" t="n">
        <x:v>7123</x:v>
      </x:c>
      <x:c r="H705" s="55" t="n">
        <x:v>3197</x:v>
      </x:c>
      <x:c r="I705" s="55" t="n">
        <x:v>1502</x:v>
      </x:c>
      <x:c r="J705" s="55" t="n">
        <x:v>269</x:v>
      </x:c>
      <x:c r="K705" s="55" t="n">
        <x:v>30038</x:v>
      </x:c>
      <x:c r="L705" s="55" t="n">
        <x:v>6500</x:v>
      </x:c>
      <x:c r="M705" s="55" t="n">
        <x:v>1448</x:v>
      </x:c>
      <x:c r="N705" s="55" t="n">
        <x:v>3413</x:v>
      </x:c>
      <x:c r="O705" s="55" t="n">
        <x:v>1639</x:v>
      </x:c>
      <x:c r="P705" s="55" t="n">
        <x:v>657</x:v>
      </x:c>
      <x:c r="Q705" s="55" t="n">
        <x:v>2014</x:v>
      </x:c>
      <x:c r="R705" s="55" t="n">
        <x:v>1803</x:v>
      </x:c>
      <x:c r="S705" s="55" t="n">
        <x:v>2747</x:v>
      </x:c>
      <x:c r="T705" s="55" t="n">
        <x:v>1210</x:v>
      </x:c>
      <x:c r="U705" s="55" t="n">
        <x:v>2142</x:v>
      </x:c>
      <x:c r="V705" s="55" t="n">
        <x:v>10753</x:v>
      </x:c>
      <x:c r="W705" s="55" t="n">
        <x:v>7260</x:v>
      </x:c>
      <x:c r="X705" s="55" t="n">
        <x:v>3493</x:v>
      </x:c>
      <x:c r="Y705" s="55" t="n">
        <x:v>3157</x:v>
      </x:c>
      <x:c r="Z705" s="55" t="n">
        <x:v>4227</x:v>
      </x:c>
      <x:c r="AA705" s="55" t="n">
        <x:v>2803</x:v>
      </x:c>
      <x:c r="AB705" s="55" t="n">
        <x:v>707</x:v>
      </x:c>
      <x:c r="AC705" s="55" t="n">
        <x:v>7430</x:v>
      </x:c>
      <x:c r="AD705" s="55" t="n">
        <x:v>1799</x:v>
      </x:c>
      <x:c r="AE705" s="55" t="n">
        <x:v>10780</x:v>
      </x:c>
      <x:c r="AF705" s="55" t="n">
        <x:v>10753</x:v>
      </x:c>
      <x:c r="AG705" s="55" t="n">
        <x:v>27</x:v>
      </x:c>
      <x:c r="AH705" s="55" t="n">
        <x:v>700</x:v>
      </x:c>
      <x:c r="AI705" s="55" t="n">
        <x:v>10053</x:v>
      </x:c>
      <x:c r="AJ705" s="55" t="n">
        <x:v>221</x:v>
      </x:c>
      <x:c r="AK705" s="55" t="n">
        <x:v>985</x:v>
      </x:c>
      <x:c r="AL705" s="55" t="n">
        <x:v>1719</x:v>
      </x:c>
      <x:c r="AM705" s="55" t="n">
        <x:v>5062</x:v>
      </x:c>
      <x:c r="AN705" s="55" t="n">
        <x:v>2766</x:v>
      </x:c>
      <x:c r="AO705" s="55" t="n">
        <x:v>0</x:v>
      </x:c>
      <x:c r="AP705" s="55" t="n">
        <x:v>2603</x:v>
      </x:c>
      <x:c r="AQ705" s="55" t="n">
        <x:v>975</x:v>
      </x:c>
    </x:row>
    <x:row r="706">
      <x:c r="A706" s="54" t="str">
        <x:v>T0_TABLE_BLOCK</x:v>
      </x:c>
      <x:c r="B706" s="54" t="n">
        <x:v>700</x:v>
      </x:c>
      <x:c r="C706" s="54" t="str">
        <x:v>NYC-V2-R01</x:v>
      </x:c>
      <x:c r="D706" s="54" t="str">
        <x:v>V2</x:v>
      </x:c>
      <x:c r="E706" s="54" t="str">
        <x:v>ADMITTED</x:v>
      </x:c>
      <x:c r="F706" s="55" t="n">
        <x:v>31041</x:v>
      </x:c>
      <x:c r="G706" s="55" t="n">
        <x:v>7039</x:v>
      </x:c>
      <x:c r="H706" s="55" t="n">
        <x:v>3053</x:v>
      </x:c>
      <x:c r="I706" s="55" t="n">
        <x:v>1132</x:v>
      </x:c>
      <x:c r="J706" s="55" t="n">
        <x:v>415</x:v>
      </x:c>
      <x:c r="K706" s="55" t="n">
        <x:v>31041</x:v>
      </x:c>
      <x:c r="L706" s="55" t="n">
        <x:v>5949</x:v>
      </x:c>
      <x:c r="M706" s="55" t="n">
        <x:v>2443</x:v>
      </x:c>
      <x:c r="N706" s="55" t="n">
        <x:v>2230</x:v>
      </x:c>
      <x:c r="O706" s="55" t="n">
        <x:v>1276</x:v>
      </x:c>
      <x:c r="P706" s="55" t="n">
        <x:v>926</x:v>
      </x:c>
      <x:c r="Q706" s="55" t="n">
        <x:v>2035</x:v>
      </x:c>
      <x:c r="R706" s="55" t="n">
        <x:v>1702</x:v>
      </x:c>
      <x:c r="S706" s="55" t="n">
        <x:v>2397</x:v>
      </x:c>
      <x:c r="T706" s="55" t="n">
        <x:v>1119</x:v>
      </x:c>
      <x:c r="U706" s="55" t="n">
        <x:v>1730</x:v>
      </x:c>
      <x:c r="V706" s="55" t="n">
        <x:v>10203</x:v>
      </x:c>
      <x:c r="W706" s="55" t="n">
        <x:v>6964</x:v>
      </x:c>
      <x:c r="X706" s="55" t="n">
        <x:v>3239</x:v>
      </x:c>
      <x:c r="Y706" s="55" t="n">
        <x:v>2763</x:v>
      </x:c>
      <x:c r="Z706" s="55" t="n">
        <x:v>3229</x:v>
      </x:c>
      <x:c r="AA706" s="55" t="n">
        <x:v>3019</x:v>
      </x:c>
      <x:c r="AB706" s="55" t="n">
        <x:v>1101</x:v>
      </x:c>
      <x:c r="AC706" s="55" t="n">
        <x:v>8380</x:v>
      </x:c>
      <x:c r="AD706" s="55" t="n">
        <x:v>3532</x:v>
      </x:c>
      <x:c r="AE706" s="55" t="n">
        <x:v>10330</x:v>
      </x:c>
      <x:c r="AF706" s="55" t="n">
        <x:v>10203</x:v>
      </x:c>
      <x:c r="AG706" s="55" t="n">
        <x:v>127</x:v>
      </x:c>
      <x:c r="AH706" s="55" t="n">
        <x:v>427</x:v>
      </x:c>
      <x:c r="AI706" s="55" t="n">
        <x:v>9776</x:v>
      </x:c>
      <x:c r="AJ706" s="55" t="n">
        <x:v>241</x:v>
      </x:c>
      <x:c r="AK706" s="55" t="n">
        <x:v>1226</x:v>
      </x:c>
      <x:c r="AL706" s="55" t="n">
        <x:v>1519</x:v>
      </x:c>
      <x:c r="AM706" s="55" t="n">
        <x:v>4282</x:v>
      </x:c>
      <x:c r="AN706" s="55" t="n">
        <x:v>2935</x:v>
      </x:c>
      <x:c r="AO706" s="55" t="n">
        <x:v>0</x:v>
      </x:c>
      <x:c r="AP706" s="55" t="n">
        <x:v>2299</x:v>
      </x:c>
      <x:c r="AQ706" s="55" t="n">
        <x:v>948</x:v>
      </x:c>
    </x:row>
    <x:row r="707">
      <x:c r="A707" s="54" t="str">
        <x:v>T0_TABLE_BLOCK</x:v>
      </x:c>
      <x:c r="B707" s="54" t="n">
        <x:v>701</x:v>
      </x:c>
      <x:c r="C707" s="54" t="str">
        <x:v>NYC-V2-R01</x:v>
      </x:c>
      <x:c r="D707" s="54" t="str">
        <x:v>V2</x:v>
      </x:c>
      <x:c r="E707" s="54" t="str">
        <x:v>ADMITTED</x:v>
      </x:c>
      <x:c r="F707" s="55" t="n">
        <x:v>30971</x:v>
      </x:c>
      <x:c r="G707" s="55" t="n">
        <x:v>7947</x:v>
      </x:c>
      <x:c r="H707" s="55" t="n">
        <x:v>2902</x:v>
      </x:c>
      <x:c r="I707" s="55" t="n">
        <x:v>896</x:v>
      </x:c>
      <x:c r="J707" s="55" t="n">
        <x:v>2</x:v>
      </x:c>
      <x:c r="K707" s="55" t="n">
        <x:v>30971</x:v>
      </x:c>
      <x:c r="L707" s="55" t="n">
        <x:v>5098</x:v>
      </x:c>
      <x:c r="M707" s="55" t="n">
        <x:v>633</x:v>
      </x:c>
      <x:c r="N707" s="55" t="n">
        <x:v>2720</x:v>
      </x:c>
      <x:c r="O707" s="55" t="n">
        <x:v>1745</x:v>
      </x:c>
      <x:c r="P707" s="55" t="n">
        <x:v>882</x:v>
      </x:c>
      <x:c r="Q707" s="55" t="n">
        <x:v>2860</x:v>
      </x:c>
      <x:c r="R707" s="55" t="n">
        <x:v>1992</x:v>
      </x:c>
      <x:c r="S707" s="55" t="n">
        <x:v>3259</x:v>
      </x:c>
      <x:c r="T707" s="55" t="n">
        <x:v>1499</x:v>
      </x:c>
      <x:c r="U707" s="55" t="n">
        <x:v>2043</x:v>
      </x:c>
      <x:c r="V707" s="55" t="n">
        <x:v>10169</x:v>
      </x:c>
      <x:c r="W707" s="55" t="n">
        <x:v>7441</x:v>
      </x:c>
      <x:c r="X707" s="55" t="n">
        <x:v>2728</x:v>
      </x:c>
      <x:c r="Y707" s="55" t="n">
        <x:v>2399</x:v>
      </x:c>
      <x:c r="Z707" s="55" t="n">
        <x:v>3334</x:v>
      </x:c>
      <x:c r="AA707" s="55" t="n">
        <x:v>2410</x:v>
      </x:c>
      <x:c r="AB707" s="55" t="n">
        <x:v>801</x:v>
      </x:c>
      <x:c r="AC707" s="55" t="n">
        <x:v>8519</x:v>
      </x:c>
      <x:c r="AD707" s="55" t="n">
        <x:v>2875</x:v>
      </x:c>
      <x:c r="AE707" s="55" t="n">
        <x:v>10220</x:v>
      </x:c>
      <x:c r="AF707" s="55" t="n">
        <x:v>10169</x:v>
      </x:c>
      <x:c r="AG707" s="55" t="n">
        <x:v>51</x:v>
      </x:c>
      <x:c r="AH707" s="55" t="n">
        <x:v>348</x:v>
      </x:c>
      <x:c r="AI707" s="55" t="n">
        <x:v>9821</x:v>
      </x:c>
      <x:c r="AJ707" s="55" t="n">
        <x:v>246</x:v>
      </x:c>
      <x:c r="AK707" s="55" t="n">
        <x:v>1184</x:v>
      </x:c>
      <x:c r="AL707" s="55" t="n">
        <x:v>1625</x:v>
      </x:c>
      <x:c r="AM707" s="55" t="n">
        <x:v>4538</x:v>
      </x:c>
      <x:c r="AN707" s="55" t="n">
        <x:v>2576</x:v>
      </x:c>
      <x:c r="AO707" s="55" t="n">
        <x:v>0</x:v>
      </x:c>
      <x:c r="AP707" s="55" t="n">
        <x:v>2262</x:v>
      </x:c>
      <x:c r="AQ707" s="55" t="n">
        <x:v>956</x:v>
      </x:c>
    </x:row>
    <x:row r="708">
      <x:c r="A708" s="54" t="str">
        <x:v>T0_TABLE_BLOCK</x:v>
      </x:c>
      <x:c r="B708" s="54" t="n">
        <x:v>702</x:v>
      </x:c>
      <x:c r="C708" s="54" t="str">
        <x:v>NYC-V2-R01</x:v>
      </x:c>
      <x:c r="D708" s="54" t="str">
        <x:v>V2</x:v>
      </x:c>
      <x:c r="E708" s="54" t="str">
        <x:v>ADMITTED</x:v>
      </x:c>
      <x:c r="F708" s="55" t="n">
        <x:v>28796</x:v>
      </x:c>
      <x:c r="G708" s="55" t="n">
        <x:v>6566</x:v>
      </x:c>
      <x:c r="H708" s="55" t="n">
        <x:v>3637</x:v>
      </x:c>
      <x:c r="I708" s="55" t="n">
        <x:v>1285</x:v>
      </x:c>
      <x:c r="J708" s="55" t="n">
        <x:v>266</x:v>
      </x:c>
      <x:c r="K708" s="55" t="n">
        <x:v>27637</x:v>
      </x:c>
      <x:c r="L708" s="55" t="n">
        <x:v>5387</x:v>
      </x:c>
      <x:c r="M708" s="55" t="n">
        <x:v>1151</x:v>
      </x:c>
      <x:c r="N708" s="55" t="n">
        <x:v>2615</x:v>
      </x:c>
      <x:c r="O708" s="55" t="n">
        <x:v>1621</x:v>
      </x:c>
      <x:c r="P708" s="55" t="n">
        <x:v>868</x:v>
      </x:c>
      <x:c r="Q708" s="55" t="n">
        <x:v>2569</x:v>
      </x:c>
      <x:c r="R708" s="55" t="n">
        <x:v>1794</x:v>
      </x:c>
      <x:c r="S708" s="55" t="n">
        <x:v>2705</x:v>
      </x:c>
      <x:c r="T708" s="55" t="n">
        <x:v>1529</x:v>
      </x:c>
      <x:c r="U708" s="55" t="n">
        <x:v>1824</x:v>
      </x:c>
      <x:c r="V708" s="55" t="n">
        <x:v>10629</x:v>
      </x:c>
      <x:c r="W708" s="55" t="n">
        <x:v>8009</x:v>
      </x:c>
      <x:c r="X708" s="55" t="n">
        <x:v>2620</x:v>
      </x:c>
      <x:c r="Y708" s="55" t="n">
        <x:v>2192</x:v>
      </x:c>
      <x:c r="Z708" s="55" t="n">
        <x:v>3450</x:v>
      </x:c>
      <x:c r="AA708" s="55" t="n">
        <x:v>3637</x:v>
      </x:c>
      <x:c r="AB708" s="55" t="n">
        <x:v>1911</x:v>
      </x:c>
      <x:c r="AC708" s="55" t="n">
        <x:v>7811</x:v>
      </x:c>
      <x:c r="AD708" s="55" t="n">
        <x:v>3077</x:v>
      </x:c>
      <x:c r="AE708" s="55" t="n">
        <x:v>10629</x:v>
      </x:c>
      <x:c r="AF708" s="55" t="n">
        <x:v>10629</x:v>
      </x:c>
      <x:c r="AG708" s="55" t="n">
        <x:v>0</x:v>
      </x:c>
      <x:c r="AH708" s="55" t="n">
        <x:v>407</x:v>
      </x:c>
      <x:c r="AI708" s="55" t="n">
        <x:v>10222</x:v>
      </x:c>
      <x:c r="AJ708" s="55" t="n">
        <x:v>495</x:v>
      </x:c>
      <x:c r="AK708" s="55" t="n">
        <x:v>725</x:v>
      </x:c>
      <x:c r="AL708" s="55" t="n">
        <x:v>2040</x:v>
      </x:c>
      <x:c r="AM708" s="55" t="n">
        <x:v>4540</x:v>
      </x:c>
      <x:c r="AN708" s="55" t="n">
        <x:v>2789</x:v>
      </x:c>
      <x:c r="AO708" s="55" t="n">
        <x:v>40</x:v>
      </x:c>
      <x:c r="AP708" s="55" t="n">
        <x:v>2523</x:v>
      </x:c>
      <x:c r="AQ708" s="55" t="n">
        <x:v>934</x:v>
      </x:c>
    </x:row>
    <x:row r="709">
      <x:c r="A709" s="54" t="str">
        <x:v>T0_TABLE_BLOCK</x:v>
      </x:c>
      <x:c r="B709" s="54" t="n">
        <x:v>703</x:v>
      </x:c>
      <x:c r="C709" s="54" t="str">
        <x:v>NYC-V2-R01</x:v>
      </x:c>
      <x:c r="D709" s="54" t="str">
        <x:v>V2</x:v>
      </x:c>
      <x:c r="E709" s="54" t="str">
        <x:v>ADMITTED</x:v>
      </x:c>
      <x:c r="F709" s="55" t="n">
        <x:v>32109</x:v>
      </x:c>
      <x:c r="G709" s="55" t="n">
        <x:v>8407</x:v>
      </x:c>
      <x:c r="H709" s="55" t="n">
        <x:v>3373</x:v>
      </x:c>
      <x:c r="I709" s="55" t="n">
        <x:v>1488</x:v>
      </x:c>
      <x:c r="J709" s="55" t="n">
        <x:v>506</x:v>
      </x:c>
      <x:c r="K709" s="55" t="n">
        <x:v>31204</x:v>
      </x:c>
      <x:c r="L709" s="55" t="n">
        <x:v>5315</x:v>
      </x:c>
      <x:c r="M709" s="55" t="n">
        <x:v>1091</x:v>
      </x:c>
      <x:c r="N709" s="55" t="n">
        <x:v>2193</x:v>
      </x:c>
      <x:c r="O709" s="55" t="n">
        <x:v>2031</x:v>
      </x:c>
      <x:c r="P709" s="55" t="n">
        <x:v>1023</x:v>
      </x:c>
      <x:c r="Q709" s="55" t="n">
        <x:v>3128</x:v>
      </x:c>
      <x:c r="R709" s="55" t="n">
        <x:v>2163</x:v>
      </x:c>
      <x:c r="S709" s="55" t="n">
        <x:v>3107</x:v>
      </x:c>
      <x:c r="T709" s="55" t="n">
        <x:v>1396</x:v>
      </x:c>
      <x:c r="U709" s="55" t="n">
        <x:v>1447</x:v>
      </x:c>
      <x:c r="V709" s="55" t="n">
        <x:v>9922</x:v>
      </x:c>
      <x:c r="W709" s="55" t="n">
        <x:v>6919</x:v>
      </x:c>
      <x:c r="X709" s="55" t="n">
        <x:v>3003</x:v>
      </x:c>
      <x:c r="Y709" s="55" t="n">
        <x:v>2616</x:v>
      </x:c>
      <x:c r="Z709" s="55" t="n">
        <x:v>3302</x:v>
      </x:c>
      <x:c r="AA709" s="55" t="n">
        <x:v>2788</x:v>
      </x:c>
      <x:c r="AB709" s="55" t="n">
        <x:v>1024</x:v>
      </x:c>
      <x:c r="AC709" s="55" t="n">
        <x:v>8336</x:v>
      </x:c>
      <x:c r="AD709" s="55" t="n">
        <x:v>2787</x:v>
      </x:c>
      <x:c r="AE709" s="55" t="n">
        <x:v>9993</x:v>
      </x:c>
      <x:c r="AF709" s="55" t="n">
        <x:v>9922</x:v>
      </x:c>
      <x:c r="AG709" s="55" t="n">
        <x:v>71</x:v>
      </x:c>
      <x:c r="AH709" s="55" t="n">
        <x:v>223</x:v>
      </x:c>
      <x:c r="AI709" s="55" t="n">
        <x:v>9699</x:v>
      </x:c>
      <x:c r="AJ709" s="55" t="n">
        <x:v>310</x:v>
      </x:c>
      <x:c r="AK709" s="55" t="n">
        <x:v>951</x:v>
      </x:c>
      <x:c r="AL709" s="55" t="n">
        <x:v>1070</x:v>
      </x:c>
      <x:c r="AM709" s="55" t="n">
        <x:v>4913</x:v>
      </x:c>
      <x:c r="AN709" s="55" t="n">
        <x:v>2602</x:v>
      </x:c>
      <x:c r="AO709" s="55" t="n">
        <x:v>76</x:v>
      </x:c>
      <x:c r="AP709" s="55" t="n">
        <x:v>2331</x:v>
      </x:c>
      <x:c r="AQ709" s="55" t="n">
        <x:v>942</x:v>
      </x:c>
    </x:row>
    <x:row r="710">
      <x:c r="A710" s="54" t="str">
        <x:v>T0_TABLE_BLOCK</x:v>
      </x:c>
      <x:c r="B710" s="54" t="n">
        <x:v>704</x:v>
      </x:c>
      <x:c r="C710" s="54" t="str">
        <x:v>NYC-V2-R01</x:v>
      </x:c>
      <x:c r="D710" s="54" t="str">
        <x:v>V2</x:v>
      </x:c>
      <x:c r="E710" s="54" t="str">
        <x:v>ADMITTED</x:v>
      </x:c>
      <x:c r="F710" s="55" t="n">
        <x:v>33559</x:v>
      </x:c>
      <x:c r="G710" s="55" t="n">
        <x:v>8879</x:v>
      </x:c>
      <x:c r="H710" s="55" t="n">
        <x:v>3210</x:v>
      </x:c>
      <x:c r="I710" s="55" t="n">
        <x:v>538</x:v>
      </x:c>
      <x:c r="J710" s="55" t="n">
        <x:v>10</x:v>
      </x:c>
      <x:c r="K710" s="55" t="n">
        <x:v>33559</x:v>
      </x:c>
      <x:c r="L710" s="55" t="n">
        <x:v>5782</x:v>
      </x:c>
      <x:c r="M710" s="55" t="n">
        <x:v>1072</x:v>
      </x:c>
      <x:c r="N710" s="55" t="n">
        <x:v>2483</x:v>
      </x:c>
      <x:c r="O710" s="55" t="n">
        <x:v>2227</x:v>
      </x:c>
      <x:c r="P710" s="55" t="n">
        <x:v>544</x:v>
      </x:c>
      <x:c r="Q710" s="55" t="n">
        <x:v>1474</x:v>
      </x:c>
      <x:c r="R710" s="55" t="n">
        <x:v>1566</x:v>
      </x:c>
      <x:c r="S710" s="55" t="n">
        <x:v>3108</x:v>
      </x:c>
      <x:c r="T710" s="55" t="n">
        <x:v>1002</x:v>
      </x:c>
      <x:c r="U710" s="55" t="n">
        <x:v>2265</x:v>
      </x:c>
      <x:c r="V710" s="55" t="n">
        <x:v>10436</x:v>
      </x:c>
      <x:c r="W710" s="55" t="n">
        <x:v>7732</x:v>
      </x:c>
      <x:c r="X710" s="55" t="n">
        <x:v>2704</x:v>
      </x:c>
      <x:c r="Y710" s="55" t="n">
        <x:v>2223</x:v>
      </x:c>
      <x:c r="Z710" s="55" t="n">
        <x:v>3676</x:v>
      </x:c>
      <x:c r="AA710" s="55" t="n">
        <x:v>3210</x:v>
      </x:c>
      <x:c r="AB710" s="55" t="n">
        <x:v>1262</x:v>
      </x:c>
      <x:c r="AC710" s="55" t="n">
        <x:v>8257</x:v>
      </x:c>
      <x:c r="AD710" s="55" t="n">
        <x:v>2532</x:v>
      </x:c>
      <x:c r="AE710" s="55" t="n">
        <x:v>10570</x:v>
      </x:c>
      <x:c r="AF710" s="55" t="n">
        <x:v>10436</x:v>
      </x:c>
      <x:c r="AG710" s="55" t="n">
        <x:v>134</x:v>
      </x:c>
      <x:c r="AH710" s="55" t="n">
        <x:v>458</x:v>
      </x:c>
      <x:c r="AI710" s="55" t="n">
        <x:v>9978</x:v>
      </x:c>
      <x:c r="AJ710" s="55" t="n">
        <x:v>309</x:v>
      </x:c>
      <x:c r="AK710" s="55" t="n">
        <x:v>850</x:v>
      </x:c>
      <x:c r="AL710" s="55" t="n">
        <x:v>1611</x:v>
      </x:c>
      <x:c r="AM710" s="55" t="n">
        <x:v>5118</x:v>
      </x:c>
      <x:c r="AN710" s="55" t="n">
        <x:v>2536</x:v>
      </x:c>
      <x:c r="AO710" s="55" t="n">
        <x:v>12</x:v>
      </x:c>
      <x:c r="AP710" s="55" t="n">
        <x:v>2242</x:v>
      </x:c>
      <x:c r="AQ710" s="55" t="n">
        <x:v>961</x:v>
      </x:c>
    </x:row>
    <x:row r="711">
      <x:c r="A711" s="54" t="str">
        <x:v>T0_TABLE_BLOCK</x:v>
      </x:c>
      <x:c r="B711" s="54" t="n">
        <x:v>705</x:v>
      </x:c>
      <x:c r="C711" s="54" t="str">
        <x:v>NYC-V2-R01</x:v>
      </x:c>
      <x:c r="D711" s="54" t="str">
        <x:v>V2</x:v>
      </x:c>
      <x:c r="E711" s="54" t="str">
        <x:v>ADMITTED</x:v>
      </x:c>
      <x:c r="F711" s="55" t="n">
        <x:v>32001</x:v>
      </x:c>
      <x:c r="G711" s="55" t="n">
        <x:v>6742</x:v>
      </x:c>
      <x:c r="H711" s="55" t="n">
        <x:v>3299</x:v>
      </x:c>
      <x:c r="I711" s="55" t="n">
        <x:v>1016</x:v>
      </x:c>
      <x:c r="J711" s="55" t="n">
        <x:v>205</x:v>
      </x:c>
      <x:c r="K711" s="55" t="n">
        <x:v>32001</x:v>
      </x:c>
      <x:c r="L711" s="55" t="n">
        <x:v>5537</x:v>
      </x:c>
      <x:c r="M711" s="55" t="n">
        <x:v>1025</x:v>
      </x:c>
      <x:c r="N711" s="55" t="n">
        <x:v>2759</x:v>
      </x:c>
      <x:c r="O711" s="55" t="n">
        <x:v>1753</x:v>
      </x:c>
      <x:c r="P711" s="55" t="n">
        <x:v>770</x:v>
      </x:c>
      <x:c r="Q711" s="55" t="n">
        <x:v>2729</x:v>
      </x:c>
      <x:c r="R711" s="55" t="n">
        <x:v>1988</x:v>
      </x:c>
      <x:c r="S711" s="55" t="n">
        <x:v>3263</x:v>
      </x:c>
      <x:c r="T711" s="55" t="n">
        <x:v>975</x:v>
      </x:c>
      <x:c r="U711" s="55" t="n">
        <x:v>2136</x:v>
      </x:c>
      <x:c r="V711" s="55" t="n">
        <x:v>11001</x:v>
      </x:c>
      <x:c r="W711" s="55" t="n">
        <x:v>7877</x:v>
      </x:c>
      <x:c r="X711" s="55" t="n">
        <x:v>3124</x:v>
      </x:c>
      <x:c r="Y711" s="55" t="n">
        <x:v>2527</x:v>
      </x:c>
      <x:c r="Z711" s="55" t="n">
        <x:v>4066</x:v>
      </x:c>
      <x:c r="AA711" s="55" t="n">
        <x:v>3299</x:v>
      </x:c>
      <x:c r="AB711" s="55" t="n">
        <x:v>1414</x:v>
      </x:c>
      <x:c r="AC711" s="55" t="n">
        <x:v>8148</x:v>
      </x:c>
      <x:c r="AD711" s="55" t="n">
        <x:v>3666</x:v>
      </x:c>
      <x:c r="AE711" s="55" t="n">
        <x:v>11075</x:v>
      </x:c>
      <x:c r="AF711" s="55" t="n">
        <x:v>11001</x:v>
      </x:c>
      <x:c r="AG711" s="55" t="n">
        <x:v>74</x:v>
      </x:c>
      <x:c r="AH711" s="55" t="n">
        <x:v>503</x:v>
      </x:c>
      <x:c r="AI711" s="55" t="n">
        <x:v>10498</x:v>
      </x:c>
      <x:c r="AJ711" s="55" t="n">
        <x:v>437</x:v>
      </x:c>
      <x:c r="AK711" s="55" t="n">
        <x:v>1090</x:v>
      </x:c>
      <x:c r="AL711" s="55" t="n">
        <x:v>1273</x:v>
      </x:c>
      <x:c r="AM711" s="55" t="n">
        <x:v>4826</x:v>
      </x:c>
      <x:c r="AN711" s="55" t="n">
        <x:v>3275</x:v>
      </x:c>
      <x:c r="AO711" s="55" t="n">
        <x:v>100</x:v>
      </x:c>
      <x:c r="AP711" s="55" t="n">
        <x:v>2429</x:v>
      </x:c>
      <x:c r="AQ711" s="55" t="n">
        <x:v>903</x:v>
      </x:c>
    </x:row>
    <x:row r="712">
      <x:c r="A712" s="54" t="str">
        <x:v>T0_TABLE_BLOCK</x:v>
      </x:c>
      <x:c r="B712" s="54" t="n">
        <x:v>706</x:v>
      </x:c>
      <x:c r="C712" s="54" t="str">
        <x:v>NYC-V2-R01</x:v>
      </x:c>
      <x:c r="D712" s="54" t="str">
        <x:v>V2</x:v>
      </x:c>
      <x:c r="E712" s="54" t="str">
        <x:v>ADMITTED</x:v>
      </x:c>
      <x:c r="F712" s="55" t="n">
        <x:v>32837</x:v>
      </x:c>
      <x:c r="G712" s="55" t="n">
        <x:v>8460</x:v>
      </x:c>
      <x:c r="H712" s="55" t="n">
        <x:v>3664</x:v>
      </x:c>
      <x:c r="I712" s="55" t="n">
        <x:v>1619</x:v>
      </x:c>
      <x:c r="J712" s="55" t="n">
        <x:v>375</x:v>
      </x:c>
      <x:c r="K712" s="55" t="n">
        <x:v>31917</x:v>
      </x:c>
      <x:c r="L712" s="55" t="n">
        <x:v>4797</x:v>
      </x:c>
      <x:c r="M712" s="55" t="n">
        <x:v>1444</x:v>
      </x:c>
      <x:c r="N712" s="55" t="n">
        <x:v>2196</x:v>
      </x:c>
      <x:c r="O712" s="55" t="n">
        <x:v>1157</x:v>
      </x:c>
      <x:c r="P712" s="55" t="n">
        <x:v>749</x:v>
      </x:c>
      <x:c r="Q712" s="55" t="n">
        <x:v>2382</x:v>
      </x:c>
      <x:c r="R712" s="55" t="n">
        <x:v>1460</x:v>
      </x:c>
      <x:c r="S712" s="55" t="n">
        <x:v>2820</x:v>
      </x:c>
      <x:c r="T712" s="55" t="n">
        <x:v>1317</x:v>
      </x:c>
      <x:c r="U712" s="55" t="n">
        <x:v>3056</x:v>
      </x:c>
      <x:c r="V712" s="55" t="n">
        <x:v>10630</x:v>
      </x:c>
      <x:c r="W712" s="55" t="n">
        <x:v>7316</x:v>
      </x:c>
      <x:c r="X712" s="55" t="n">
        <x:v>3314</x:v>
      </x:c>
      <x:c r="Y712" s="55" t="n">
        <x:v>2962</x:v>
      </x:c>
      <x:c r="Z712" s="55" t="n">
        <x:v>3822</x:v>
      </x:c>
      <x:c r="AA712" s="55" t="n">
        <x:v>2832</x:v>
      </x:c>
      <x:c r="AB712" s="55" t="n">
        <x:v>852</x:v>
      </x:c>
      <x:c r="AC712" s="55" t="n">
        <x:v>7939</x:v>
      </x:c>
      <x:c r="AD712" s="55" t="n">
        <x:v>3032</x:v>
      </x:c>
      <x:c r="AE712" s="55" t="n">
        <x:v>10693</x:v>
      </x:c>
      <x:c r="AF712" s="55" t="n">
        <x:v>10630</x:v>
      </x:c>
      <x:c r="AG712" s="55" t="n">
        <x:v>63</x:v>
      </x:c>
      <x:c r="AH712" s="55" t="n">
        <x:v>601</x:v>
      </x:c>
      <x:c r="AI712" s="55" t="n">
        <x:v>10029</x:v>
      </x:c>
      <x:c r="AJ712" s="55" t="n">
        <x:v>504</x:v>
      </x:c>
      <x:c r="AK712" s="55" t="n">
        <x:v>1252</x:v>
      </x:c>
      <x:c r="AL712" s="55" t="n">
        <x:v>1427</x:v>
      </x:c>
      <x:c r="AM712" s="55" t="n">
        <x:v>4516</x:v>
      </x:c>
      <x:c r="AN712" s="55" t="n">
        <x:v>2897</x:v>
      </x:c>
      <x:c r="AO712" s="55" t="n">
        <x:v>34</x:v>
      </x:c>
      <x:c r="AP712" s="55" t="n">
        <x:v>2088</x:v>
      </x:c>
      <x:c r="AQ712" s="55" t="n">
        <x:v>969</x:v>
      </x:c>
    </x:row>
    <x:row r="713">
      <x:c r="A713" s="54" t="str">
        <x:v>T0_TABLE_BLOCK</x:v>
      </x:c>
      <x:c r="B713" s="54" t="n">
        <x:v>707</x:v>
      </x:c>
      <x:c r="C713" s="54" t="str">
        <x:v>NYC-V2-R01</x:v>
      </x:c>
      <x:c r="D713" s="54" t="str">
        <x:v>V2</x:v>
      </x:c>
      <x:c r="E713" s="54" t="str">
        <x:v>ADMITTED</x:v>
      </x:c>
      <x:c r="F713" s="55" t="n">
        <x:v>32498</x:v>
      </x:c>
      <x:c r="G713" s="55" t="n">
        <x:v>7575</x:v>
      </x:c>
      <x:c r="H713" s="55" t="n">
        <x:v>3333</x:v>
      </x:c>
      <x:c r="I713" s="55" t="n">
        <x:v>1361</x:v>
      </x:c>
      <x:c r="J713" s="55" t="n">
        <x:v>272</x:v>
      </x:c>
      <x:c r="K713" s="55" t="n">
        <x:v>32498</x:v>
      </x:c>
      <x:c r="L713" s="55" t="n">
        <x:v>6172</x:v>
      </x:c>
      <x:c r="M713" s="55" t="n">
        <x:v>1651</x:v>
      </x:c>
      <x:c r="N713" s="55" t="n">
        <x:v>2595</x:v>
      </x:c>
      <x:c r="O713" s="55" t="n">
        <x:v>1926</x:v>
      </x:c>
      <x:c r="P713" s="55" t="n">
        <x:v>523</x:v>
      </x:c>
      <x:c r="Q713" s="55" t="n">
        <x:v>3064</x:v>
      </x:c>
      <x:c r="R713" s="55" t="n">
        <x:v>2372</x:v>
      </x:c>
      <x:c r="S713" s="55" t="n">
        <x:v>3454</x:v>
      </x:c>
      <x:c r="T713" s="55" t="n">
        <x:v>773</x:v>
      </x:c>
      <x:c r="U713" s="55" t="n">
        <x:v>1943</x:v>
      </x:c>
      <x:c r="V713" s="55" t="n">
        <x:v>9733</x:v>
      </x:c>
      <x:c r="W713" s="55" t="n">
        <x:v>6410</x:v>
      </x:c>
      <x:c r="X713" s="55" t="n">
        <x:v>3323</x:v>
      </x:c>
      <x:c r="Y713" s="55" t="n">
        <x:v>3000</x:v>
      </x:c>
      <x:c r="Z713" s="55" t="n">
        <x:v>3282</x:v>
      </x:c>
      <x:c r="AA713" s="55" t="n">
        <x:v>3333</x:v>
      </x:c>
      <x:c r="AB713" s="55" t="n">
        <x:v>1016</x:v>
      </x:c>
      <x:c r="AC713" s="55" t="n">
        <x:v>7998</x:v>
      </x:c>
      <x:c r="AD713" s="55" t="n">
        <x:v>2610</x:v>
      </x:c>
      <x:c r="AE713" s="55" t="n">
        <x:v>9802</x:v>
      </x:c>
      <x:c r="AF713" s="55" t="n">
        <x:v>9733</x:v>
      </x:c>
      <x:c r="AG713" s="55" t="n">
        <x:v>69</x:v>
      </x:c>
      <x:c r="AH713" s="55" t="n">
        <x:v>74</x:v>
      </x:c>
      <x:c r="AI713" s="55" t="n">
        <x:v>9659</x:v>
      </x:c>
      <x:c r="AJ713" s="55" t="n">
        <x:v>340</x:v>
      </x:c>
      <x:c r="AK713" s="55" t="n">
        <x:v>1023</x:v>
      </x:c>
      <x:c r="AL713" s="55" t="n">
        <x:v>1252</x:v>
      </x:c>
      <x:c r="AM713" s="55" t="n">
        <x:v>4324</x:v>
      </x:c>
      <x:c r="AN713" s="55" t="n">
        <x:v>2729</x:v>
      </x:c>
      <x:c r="AO713" s="55" t="n">
        <x:v>65</x:v>
      </x:c>
      <x:c r="AP713" s="55" t="n">
        <x:v>2144</x:v>
      </x:c>
      <x:c r="AQ713" s="55" t="n">
        <x:v>961</x:v>
      </x:c>
    </x:row>
    <x:row r="714">
      <x:c r="A714" s="54" t="str">
        <x:v>T0_TABLE_BLOCK</x:v>
      </x:c>
      <x:c r="B714" s="54" t="n">
        <x:v>708</x:v>
      </x:c>
      <x:c r="C714" s="54" t="str">
        <x:v>NYC-V2-R01</x:v>
      </x:c>
      <x:c r="D714" s="54" t="str">
        <x:v>V2</x:v>
      </x:c>
      <x:c r="E714" s="54" t="str">
        <x:v>ADMITTED</x:v>
      </x:c>
      <x:c r="F714" s="55" t="n">
        <x:v>31412</x:v>
      </x:c>
      <x:c r="G714" s="55" t="n">
        <x:v>6046</x:v>
      </x:c>
      <x:c r="H714" s="55" t="n">
        <x:v>3320</x:v>
      </x:c>
      <x:c r="I714" s="55" t="n">
        <x:v>938</x:v>
      </x:c>
      <x:c r="J714" s="55" t="n">
        <x:v>55</x:v>
      </x:c>
      <x:c r="K714" s="55" t="n">
        <x:v>31412</x:v>
      </x:c>
      <x:c r="L714" s="55" t="n">
        <x:v>5647</x:v>
      </x:c>
      <x:c r="M714" s="55" t="n">
        <x:v>731</x:v>
      </x:c>
      <x:c r="N714" s="55" t="n">
        <x:v>2946</x:v>
      </x:c>
      <x:c r="O714" s="55" t="n">
        <x:v>1970</x:v>
      </x:c>
      <x:c r="P714" s="55" t="n">
        <x:v>576</x:v>
      </x:c>
      <x:c r="Q714" s="55" t="n">
        <x:v>2474</x:v>
      </x:c>
      <x:c r="R714" s="55" t="n">
        <x:v>1576</x:v>
      </x:c>
      <x:c r="S714" s="55" t="n">
        <x:v>2348</x:v>
      </x:c>
      <x:c r="T714" s="55" t="n">
        <x:v>1450</x:v>
      </x:c>
      <x:c r="U714" s="55" t="n">
        <x:v>1114</x:v>
      </x:c>
      <x:c r="V714" s="55" t="n">
        <x:v>10536</x:v>
      </x:c>
      <x:c r="W714" s="55" t="n">
        <x:v>7437</x:v>
      </x:c>
      <x:c r="X714" s="55" t="n">
        <x:v>3099</x:v>
      </x:c>
      <x:c r="Y714" s="55" t="n">
        <x:v>2700</x:v>
      </x:c>
      <x:c r="Z714" s="55" t="n">
        <x:v>4007</x:v>
      </x:c>
      <x:c r="AA714" s="55" t="n">
        <x:v>3119</x:v>
      </x:c>
      <x:c r="AB714" s="55" t="n">
        <x:v>988</x:v>
      </x:c>
      <x:c r="AC714" s="55" t="n">
        <x:v>8252</x:v>
      </x:c>
      <x:c r="AD714" s="55" t="n">
        <x:v>3041</x:v>
      </x:c>
      <x:c r="AE714" s="55" t="n">
        <x:v>10593</x:v>
      </x:c>
      <x:c r="AF714" s="55" t="n">
        <x:v>10536</x:v>
      </x:c>
      <x:c r="AG714" s="55" t="n">
        <x:v>57</x:v>
      </x:c>
      <x:c r="AH714" s="55" t="n">
        <x:v>465</x:v>
      </x:c>
      <x:c r="AI714" s="55" t="n">
        <x:v>10071</x:v>
      </x:c>
      <x:c r="AJ714" s="55" t="n">
        <x:v>300</x:v>
      </x:c>
      <x:c r="AK714" s="55" t="n">
        <x:v>979</x:v>
      </x:c>
      <x:c r="AL714" s="55" t="n">
        <x:v>1478</x:v>
      </x:c>
      <x:c r="AM714" s="55" t="n">
        <x:v>4643</x:v>
      </x:c>
      <x:c r="AN714" s="55" t="n">
        <x:v>3121</x:v>
      </x:c>
      <x:c r="AO714" s="55" t="n">
        <x:v>15</x:v>
      </x:c>
      <x:c r="AP714" s="55" t="n">
        <x:v>2688</x:v>
      </x:c>
      <x:c r="AQ714" s="55" t="n">
        <x:v>930</x:v>
      </x:c>
    </x:row>
    <x:row r="715">
      <x:c r="A715" s="54" t="str">
        <x:v>T0_TABLE_BLOCK</x:v>
      </x:c>
      <x:c r="B715" s="54" t="n">
        <x:v>709</x:v>
      </x:c>
      <x:c r="C715" s="54" t="str">
        <x:v>NYC-V2-R01</x:v>
      </x:c>
      <x:c r="D715" s="54" t="str">
        <x:v>V2</x:v>
      </x:c>
      <x:c r="E715" s="54" t="str">
        <x:v>ADMITTED</x:v>
      </x:c>
      <x:c r="F715" s="55" t="n">
        <x:v>30583</x:v>
      </x:c>
      <x:c r="G715" s="55" t="n">
        <x:v>6946</x:v>
      </x:c>
      <x:c r="H715" s="55" t="n">
        <x:v>3329</x:v>
      </x:c>
      <x:c r="I715" s="55" t="n">
        <x:v>1524</x:v>
      </x:c>
      <x:c r="J715" s="55" t="n">
        <x:v>464</x:v>
      </x:c>
      <x:c r="K715" s="55" t="n">
        <x:v>30583</x:v>
      </x:c>
      <x:c r="L715" s="55" t="n">
        <x:v>6326</x:v>
      </x:c>
      <x:c r="M715" s="55" t="n">
        <x:v>1406</x:v>
      </x:c>
      <x:c r="N715" s="55" t="n">
        <x:v>2775</x:v>
      </x:c>
      <x:c r="O715" s="55" t="n">
        <x:v>2145</x:v>
      </x:c>
      <x:c r="P715" s="55" t="n">
        <x:v>624</x:v>
      </x:c>
      <x:c r="Q715" s="55" t="n">
        <x:v>2432</x:v>
      </x:c>
      <x:c r="R715" s="55" t="n">
        <x:v>1899</x:v>
      </x:c>
      <x:c r="S715" s="55" t="n">
        <x:v>3005</x:v>
      </x:c>
      <x:c r="T715" s="55" t="n">
        <x:v>1457</x:v>
      </x:c>
      <x:c r="U715" s="55" t="n">
        <x:v>2057</x:v>
      </x:c>
      <x:c r="V715" s="55" t="n">
        <x:v>11157</x:v>
      </x:c>
      <x:c r="W715" s="55" t="n">
        <x:v>8534</x:v>
      </x:c>
      <x:c r="X715" s="55" t="n">
        <x:v>2623</x:v>
      </x:c>
      <x:c r="Y715" s="55" t="n">
        <x:v>2533</x:v>
      </x:c>
      <x:c r="Z715" s="55" t="n">
        <x:v>3697</x:v>
      </x:c>
      <x:c r="AA715" s="55" t="n">
        <x:v>3201</x:v>
      </x:c>
      <x:c r="AB715" s="55" t="n">
        <x:v>1136</x:v>
      </x:c>
      <x:c r="AC715" s="55" t="n">
        <x:v>8108</x:v>
      </x:c>
      <x:c r="AD715" s="55" t="n">
        <x:v>2665</x:v>
      </x:c>
      <x:c r="AE715" s="55" t="n">
        <x:v>11296</x:v>
      </x:c>
      <x:c r="AF715" s="55" t="n">
        <x:v>11157</x:v>
      </x:c>
      <x:c r="AG715" s="55" t="n">
        <x:v>139</x:v>
      </x:c>
      <x:c r="AH715" s="55" t="n">
        <x:v>542</x:v>
      </x:c>
      <x:c r="AI715" s="55" t="n">
        <x:v>10615</x:v>
      </x:c>
      <x:c r="AJ715" s="55" t="n">
        <x:v>221</x:v>
      </x:c>
      <x:c r="AK715" s="55" t="n">
        <x:v>1036</x:v>
      </x:c>
      <x:c r="AL715" s="55" t="n">
        <x:v>1573</x:v>
      </x:c>
      <x:c r="AM715" s="55" t="n">
        <x:v>5540</x:v>
      </x:c>
      <x:c r="AN715" s="55" t="n">
        <x:v>2775</x:v>
      </x:c>
      <x:c r="AO715" s="55" t="n">
        <x:v>12</x:v>
      </x:c>
      <x:c r="AP715" s="55" t="n">
        <x:v>2142</x:v>
      </x:c>
      <x:c r="AQ715" s="55" t="n">
        <x:v>918</x:v>
      </x:c>
    </x:row>
    <x:row r="716">
      <x:c r="A716" s="54" t="str">
        <x:v>T0_TABLE_BLOCK</x:v>
      </x:c>
      <x:c r="B716" s="54" t="n">
        <x:v>710</x:v>
      </x:c>
      <x:c r="C716" s="54" t="str">
        <x:v>NYC-V2-R01</x:v>
      </x:c>
      <x:c r="D716" s="54" t="str">
        <x:v>V2</x:v>
      </x:c>
      <x:c r="E716" s="54" t="str">
        <x:v>ADMITTED</x:v>
      </x:c>
      <x:c r="F716" s="55" t="n">
        <x:v>30192</x:v>
      </x:c>
      <x:c r="G716" s="55" t="n">
        <x:v>6856</x:v>
      </x:c>
      <x:c r="H716" s="55" t="n">
        <x:v>3232</x:v>
      </x:c>
      <x:c r="I716" s="55" t="n">
        <x:v>1272</x:v>
      </x:c>
      <x:c r="J716" s="55" t="n">
        <x:v>265</x:v>
      </x:c>
      <x:c r="K716" s="55" t="n">
        <x:v>30192</x:v>
      </x:c>
      <x:c r="L716" s="55" t="n">
        <x:v>5986</x:v>
      </x:c>
      <x:c r="M716" s="55" t="n">
        <x:v>1053</x:v>
      </x:c>
      <x:c r="N716" s="55" t="n">
        <x:v>2862</x:v>
      </x:c>
      <x:c r="O716" s="55" t="n">
        <x:v>2071</x:v>
      </x:c>
      <x:c r="P716" s="55" t="n">
        <x:v>809</x:v>
      </x:c>
      <x:c r="Q716" s="55" t="n">
        <x:v>2027</x:v>
      </x:c>
      <x:c r="R716" s="55" t="n">
        <x:v>1492</x:v>
      </x:c>
      <x:c r="S716" s="55" t="n">
        <x:v>2870</x:v>
      </x:c>
      <x:c r="T716" s="55" t="n">
        <x:v>1234</x:v>
      </x:c>
      <x:c r="U716" s="55" t="n">
        <x:v>2493</x:v>
      </x:c>
      <x:c r="V716" s="55" t="n">
        <x:v>10121</x:v>
      </x:c>
      <x:c r="W716" s="55" t="n">
        <x:v>7075</x:v>
      </x:c>
      <x:c r="X716" s="55" t="n">
        <x:v>3046</x:v>
      </x:c>
      <x:c r="Y716" s="55" t="n">
        <x:v>2600</x:v>
      </x:c>
      <x:c r="Z716" s="55" t="n">
        <x:v>3230</x:v>
      </x:c>
      <x:c r="AA716" s="55" t="n">
        <x:v>3232</x:v>
      </x:c>
      <x:c r="AB716" s="55" t="n">
        <x:v>1040</x:v>
      </x:c>
      <x:c r="AC716" s="55" t="n">
        <x:v>7796</x:v>
      </x:c>
      <x:c r="AD716" s="55" t="n">
        <x:v>2953</x:v>
      </x:c>
      <x:c r="AE716" s="55" t="n">
        <x:v>10219</x:v>
      </x:c>
      <x:c r="AF716" s="55" t="n">
        <x:v>10121</x:v>
      </x:c>
      <x:c r="AG716" s="55" t="n">
        <x:v>98</x:v>
      </x:c>
      <x:c r="AH716" s="55" t="n">
        <x:v>496</x:v>
      </x:c>
      <x:c r="AI716" s="55" t="n">
        <x:v>9625</x:v>
      </x:c>
      <x:c r="AJ716" s="55" t="n">
        <x:v>434</x:v>
      </x:c>
      <x:c r="AK716" s="55" t="n">
        <x:v>1035</x:v>
      </x:c>
      <x:c r="AL716" s="55" t="n">
        <x:v>1221</x:v>
      </x:c>
      <x:c r="AM716" s="55" t="n">
        <x:v>4674</x:v>
      </x:c>
      <x:c r="AN716" s="55" t="n">
        <x:v>2757</x:v>
      </x:c>
      <x:c r="AO716" s="55" t="n">
        <x:v>0</x:v>
      </x:c>
      <x:c r="AP716" s="55" t="n">
        <x:v>2792</x:v>
      </x:c>
      <x:c r="AQ716" s="55" t="n">
        <x:v>1071</x:v>
      </x:c>
    </x:row>
    <x:row r="717">
      <x:c r="A717" s="54" t="str">
        <x:v>T0_TABLE_BLOCK</x:v>
      </x:c>
      <x:c r="B717" s="54" t="n">
        <x:v>711</x:v>
      </x:c>
      <x:c r="C717" s="54" t="str">
        <x:v>NYC-V2-R01</x:v>
      </x:c>
      <x:c r="D717" s="54" t="str">
        <x:v>V2</x:v>
      </x:c>
      <x:c r="E717" s="54" t="str">
        <x:v>ADMITTED</x:v>
      </x:c>
      <x:c r="F717" s="55" t="n">
        <x:v>33029</x:v>
      </x:c>
      <x:c r="G717" s="55" t="n">
        <x:v>4950</x:v>
      </x:c>
      <x:c r="H717" s="55" t="n">
        <x:v>3162</x:v>
      </x:c>
      <x:c r="I717" s="55" t="n">
        <x:v>891</x:v>
      </x:c>
      <x:c r="J717" s="55" t="n">
        <x:v>155</x:v>
      </x:c>
      <x:c r="K717" s="55" t="n">
        <x:v>33029</x:v>
      </x:c>
      <x:c r="L717" s="55" t="n">
        <x:v>6227</x:v>
      </x:c>
      <x:c r="M717" s="55" t="n">
        <x:v>1341</x:v>
      </x:c>
      <x:c r="N717" s="55" t="n">
        <x:v>2929</x:v>
      </x:c>
      <x:c r="O717" s="55" t="n">
        <x:v>1957</x:v>
      </x:c>
      <x:c r="P717" s="55" t="n">
        <x:v>397</x:v>
      </x:c>
      <x:c r="Q717" s="55" t="n">
        <x:v>3015</x:v>
      </x:c>
      <x:c r="R717" s="55" t="n">
        <x:v>2058</x:v>
      </x:c>
      <x:c r="S717" s="55" t="n">
        <x:v>3020</x:v>
      </x:c>
      <x:c r="T717" s="55" t="n">
        <x:v>1259</x:v>
      </x:c>
      <x:c r="U717" s="55" t="n">
        <x:v>1800</x:v>
      </x:c>
      <x:c r="V717" s="55" t="n">
        <x:v>10751</x:v>
      </x:c>
      <x:c r="W717" s="55" t="n">
        <x:v>7342</x:v>
      </x:c>
      <x:c r="X717" s="55" t="n">
        <x:v>3409</x:v>
      </x:c>
      <x:c r="Y717" s="55" t="n">
        <x:v>2992</x:v>
      </x:c>
      <x:c r="Z717" s="55" t="n">
        <x:v>3727</x:v>
      </x:c>
      <x:c r="AA717" s="55" t="n">
        <x:v>2941</x:v>
      </x:c>
      <x:c r="AB717" s="55" t="n">
        <x:v>1024</x:v>
      </x:c>
      <x:c r="AC717" s="55" t="n">
        <x:v>7972</x:v>
      </x:c>
      <x:c r="AD717" s="55" t="n">
        <x:v>2663</x:v>
      </x:c>
      <x:c r="AE717" s="55" t="n">
        <x:v>10878</x:v>
      </x:c>
      <x:c r="AF717" s="55" t="n">
        <x:v>10751</x:v>
      </x:c>
      <x:c r="AG717" s="55" t="n">
        <x:v>127</x:v>
      </x:c>
      <x:c r="AH717" s="55" t="n">
        <x:v>441</x:v>
      </x:c>
      <x:c r="AI717" s="55" t="n">
        <x:v>10310</x:v>
      </x:c>
      <x:c r="AJ717" s="55" t="n">
        <x:v>389</x:v>
      </x:c>
      <x:c r="AK717" s="55" t="n">
        <x:v>736</x:v>
      </x:c>
      <x:c r="AL717" s="55" t="n">
        <x:v>1994</x:v>
      </x:c>
      <x:c r="AM717" s="55" t="n">
        <x:v>5349</x:v>
      </x:c>
      <x:c r="AN717" s="55" t="n">
        <x:v>2283</x:v>
      </x:c>
      <x:c r="AO717" s="55" t="n">
        <x:v>0</x:v>
      </x:c>
      <x:c r="AP717" s="55" t="n">
        <x:v>2417</x:v>
      </x:c>
      <x:c r="AQ717" s="55" t="n">
        <x:v>925</x:v>
      </x:c>
    </x:row>
    <x:row r="718">
      <x:c r="A718" s="54" t="str">
        <x:v>T0_TABLE_BLOCK</x:v>
      </x:c>
      <x:c r="B718" s="54" t="n">
        <x:v>712</x:v>
      </x:c>
      <x:c r="C718" s="54" t="str">
        <x:v>NYC-V2-R01</x:v>
      </x:c>
      <x:c r="D718" s="54" t="str">
        <x:v>V2</x:v>
      </x:c>
      <x:c r="E718" s="54" t="str">
        <x:v>ADMITTED</x:v>
      </x:c>
      <x:c r="F718" s="55" t="n">
        <x:v>30889</x:v>
      </x:c>
      <x:c r="G718" s="55" t="n">
        <x:v>8225</x:v>
      </x:c>
      <x:c r="H718" s="55" t="n">
        <x:v>3144</x:v>
      </x:c>
      <x:c r="I718" s="55" t="n">
        <x:v>1059</x:v>
      </x:c>
      <x:c r="J718" s="55" t="n">
        <x:v>81</x:v>
      </x:c>
      <x:c r="K718" s="55" t="n">
        <x:v>29300</x:v>
      </x:c>
      <x:c r="L718" s="55" t="n">
        <x:v>5136</x:v>
      </x:c>
      <x:c r="M718" s="55" t="n">
        <x:v>815</x:v>
      </x:c>
      <x:c r="N718" s="55" t="n">
        <x:v>2588</x:v>
      </x:c>
      <x:c r="O718" s="55" t="n">
        <x:v>1733</x:v>
      </x:c>
      <x:c r="P718" s="55" t="n">
        <x:v>517</x:v>
      </x:c>
      <x:c r="Q718" s="55" t="n">
        <x:v>2635</x:v>
      </x:c>
      <x:c r="R718" s="55" t="n">
        <x:v>2064</x:v>
      </x:c>
      <x:c r="S718" s="55" t="n">
        <x:v>3268</x:v>
      </x:c>
      <x:c r="T718" s="55" t="n">
        <x:v>1282</x:v>
      </x:c>
      <x:c r="U718" s="55" t="n">
        <x:v>2214</x:v>
      </x:c>
      <x:c r="V718" s="55" t="n">
        <x:v>11259</x:v>
      </x:c>
      <x:c r="W718" s="55" t="n">
        <x:v>8317</x:v>
      </x:c>
      <x:c r="X718" s="55" t="n">
        <x:v>2942</x:v>
      </x:c>
      <x:c r="Y718" s="55" t="n">
        <x:v>2723</x:v>
      </x:c>
      <x:c r="Z718" s="55" t="n">
        <x:v>4112</x:v>
      </x:c>
      <x:c r="AA718" s="55" t="n">
        <x:v>3144</x:v>
      </x:c>
      <x:c r="AB718" s="55" t="n">
        <x:v>782</x:v>
      </x:c>
      <x:c r="AC718" s="55" t="n">
        <x:v>7647</x:v>
      </x:c>
      <x:c r="AD718" s="55" t="n">
        <x:v>2625</x:v>
      </x:c>
      <x:c r="AE718" s="55" t="n">
        <x:v>11334</x:v>
      </x:c>
      <x:c r="AF718" s="55" t="n">
        <x:v>11259</x:v>
      </x:c>
      <x:c r="AG718" s="55" t="n">
        <x:v>75</x:v>
      </x:c>
      <x:c r="AH718" s="55" t="n">
        <x:v>346</x:v>
      </x:c>
      <x:c r="AI718" s="55" t="n">
        <x:v>10913</x:v>
      </x:c>
      <x:c r="AJ718" s="55" t="n">
        <x:v>357</x:v>
      </x:c>
      <x:c r="AK718" s="55" t="n">
        <x:v>1463</x:v>
      </x:c>
      <x:c r="AL718" s="55" t="n">
        <x:v>1626</x:v>
      </x:c>
      <x:c r="AM718" s="55" t="n">
        <x:v>5294</x:v>
      </x:c>
      <x:c r="AN718" s="55" t="n">
        <x:v>2469</x:v>
      </x:c>
      <x:c r="AO718" s="55" t="n">
        <x:v>50</x:v>
      </x:c>
      <x:c r="AP718" s="55" t="n">
        <x:v>2220</x:v>
      </x:c>
      <x:c r="AQ718" s="55" t="n">
        <x:v>933</x:v>
      </x:c>
    </x:row>
    <x:row r="719">
      <x:c r="A719" s="54" t="str">
        <x:v>T0_TABLE_BLOCK</x:v>
      </x:c>
      <x:c r="B719" s="54" t="n">
        <x:v>713</x:v>
      </x:c>
      <x:c r="C719" s="54" t="str">
        <x:v>NYC-V2-R01</x:v>
      </x:c>
      <x:c r="D719" s="54" t="str">
        <x:v>V2</x:v>
      </x:c>
      <x:c r="E719" s="54" t="str">
        <x:v>ADMITTED</x:v>
      </x:c>
      <x:c r="F719" s="55" t="n">
        <x:v>30502</x:v>
      </x:c>
      <x:c r="G719" s="55" t="n">
        <x:v>6922</x:v>
      </x:c>
      <x:c r="H719" s="55" t="n">
        <x:v>3694</x:v>
      </x:c>
      <x:c r="I719" s="55" t="n">
        <x:v>1661</x:v>
      </x:c>
      <x:c r="J719" s="55" t="n">
        <x:v>548</x:v>
      </x:c>
      <x:c r="K719" s="55" t="n">
        <x:v>29484</x:v>
      </x:c>
      <x:c r="L719" s="55" t="n">
        <x:v>4907</x:v>
      </x:c>
      <x:c r="M719" s="55" t="n">
        <x:v>992</x:v>
      </x:c>
      <x:c r="N719" s="55" t="n">
        <x:v>2225</x:v>
      </x:c>
      <x:c r="O719" s="55" t="n">
        <x:v>1690</x:v>
      </x:c>
      <x:c r="P719" s="55" t="n">
        <x:v>860</x:v>
      </x:c>
      <x:c r="Q719" s="55" t="n">
        <x:v>964</x:v>
      </x:c>
      <x:c r="R719" s="55" t="n">
        <x:v>1693</x:v>
      </x:c>
      <x:c r="S719" s="55" t="n">
        <x:v>2876</x:v>
      </x:c>
      <x:c r="T719" s="55" t="n">
        <x:v>956</x:v>
      </x:c>
      <x:c r="U719" s="55" t="n">
        <x:v>2000</x:v>
      </x:c>
      <x:c r="V719" s="55" t="n">
        <x:v>10587</x:v>
      </x:c>
      <x:c r="W719" s="55" t="n">
        <x:v>7632</x:v>
      </x:c>
      <x:c r="X719" s="55" t="n">
        <x:v>2955</x:v>
      </x:c>
      <x:c r="Y719" s="55" t="n">
        <x:v>2709</x:v>
      </x:c>
      <x:c r="Z719" s="55" t="n">
        <x:v>4027</x:v>
      </x:c>
      <x:c r="AA719" s="55" t="n">
        <x:v>3141</x:v>
      </x:c>
      <x:c r="AB719" s="55" t="n">
        <x:v>1151</x:v>
      </x:c>
      <x:c r="AC719" s="55" t="n">
        <x:v>7481</x:v>
      </x:c>
      <x:c r="AD719" s="55" t="n">
        <x:v>3139</x:v>
      </x:c>
      <x:c r="AE719" s="55" t="n">
        <x:v>10649</x:v>
      </x:c>
      <x:c r="AF719" s="55" t="n">
        <x:v>10587</x:v>
      </x:c>
      <x:c r="AG719" s="55" t="n">
        <x:v>62</x:v>
      </x:c>
      <x:c r="AH719" s="55" t="n">
        <x:v>493</x:v>
      </x:c>
      <x:c r="AI719" s="55" t="n">
        <x:v>10094</x:v>
      </x:c>
      <x:c r="AJ719" s="55" t="n">
        <x:v>308</x:v>
      </x:c>
      <x:c r="AK719" s="55" t="n">
        <x:v>1109</x:v>
      </x:c>
      <x:c r="AL719" s="55" t="n">
        <x:v>2081</x:v>
      </x:c>
      <x:c r="AM719" s="55" t="n">
        <x:v>4605</x:v>
      </x:c>
      <x:c r="AN719" s="55" t="n">
        <x:v>2483</x:v>
      </x:c>
      <x:c r="AO719" s="55" t="n">
        <x:v>1</x:v>
      </x:c>
      <x:c r="AP719" s="55" t="n">
        <x:v>1563</x:v>
      </x:c>
      <x:c r="AQ719" s="55" t="n">
        <x:v>965</x:v>
      </x:c>
    </x:row>
    <x:row r="720">
      <x:c r="A720" s="54" t="str">
        <x:v>T0_TABLE_BLOCK</x:v>
      </x:c>
      <x:c r="B720" s="54" t="n">
        <x:v>714</x:v>
      </x:c>
      <x:c r="C720" s="54" t="str">
        <x:v>NYC-V2-R01</x:v>
      </x:c>
      <x:c r="D720" s="54" t="str">
        <x:v>V2</x:v>
      </x:c>
      <x:c r="E720" s="54" t="str">
        <x:v>ADMITTED</x:v>
      </x:c>
      <x:c r="F720" s="55" t="n">
        <x:v>33639</x:v>
      </x:c>
      <x:c r="G720" s="55" t="n">
        <x:v>8252</x:v>
      </x:c>
      <x:c r="H720" s="55" t="n">
        <x:v>4068</x:v>
      </x:c>
      <x:c r="I720" s="55" t="n">
        <x:v>1808</x:v>
      </x:c>
      <x:c r="J720" s="55" t="n">
        <x:v>393</x:v>
      </x:c>
      <x:c r="K720" s="55" t="n">
        <x:v>32908</x:v>
      </x:c>
      <x:c r="L720" s="55" t="n">
        <x:v>6077</x:v>
      </x:c>
      <x:c r="M720" s="55" t="n">
        <x:v>1554</x:v>
      </x:c>
      <x:c r="N720" s="55" t="n">
        <x:v>2504</x:v>
      </x:c>
      <x:c r="O720" s="55" t="n">
        <x:v>2019</x:v>
      </x:c>
      <x:c r="P720" s="55" t="n">
        <x:v>892</x:v>
      </x:c>
      <x:c r="Q720" s="55" t="n">
        <x:v>1955</x:v>
      </x:c>
      <x:c r="R720" s="55" t="n">
        <x:v>2095</x:v>
      </x:c>
      <x:c r="S720" s="55" t="n">
        <x:v>2600</x:v>
      </x:c>
      <x:c r="T720" s="55" t="n">
        <x:v>1448</x:v>
      </x:c>
      <x:c r="U720" s="55" t="n">
        <x:v>2550</x:v>
      </x:c>
      <x:c r="V720" s="55" t="n">
        <x:v>10558</x:v>
      </x:c>
      <x:c r="W720" s="55" t="n">
        <x:v>7489</x:v>
      </x:c>
      <x:c r="X720" s="55" t="n">
        <x:v>3069</x:v>
      </x:c>
      <x:c r="Y720" s="55" t="n">
        <x:v>2660</x:v>
      </x:c>
      <x:c r="Z720" s="55" t="n">
        <x:v>3873</x:v>
      </x:c>
      <x:c r="AA720" s="55" t="n">
        <x:v>4068</x:v>
      </x:c>
      <x:c r="AB720" s="55" t="n">
        <x:v>1687</x:v>
      </x:c>
      <x:c r="AC720" s="55" t="n">
        <x:v>7894</x:v>
      </x:c>
      <x:c r="AD720" s="55" t="n">
        <x:v>2646</x:v>
      </x:c>
      <x:c r="AE720" s="55" t="n">
        <x:v>10671</x:v>
      </x:c>
      <x:c r="AF720" s="55" t="n">
        <x:v>10558</x:v>
      </x:c>
      <x:c r="AG720" s="55" t="n">
        <x:v>113</x:v>
      </x:c>
      <x:c r="AH720" s="55" t="n">
        <x:v>268</x:v>
      </x:c>
      <x:c r="AI720" s="55" t="n">
        <x:v>10290</x:v>
      </x:c>
      <x:c r="AJ720" s="55" t="n">
        <x:v>359</x:v>
      </x:c>
      <x:c r="AK720" s="55" t="n">
        <x:v>911</x:v>
      </x:c>
      <x:c r="AL720" s="55" t="n">
        <x:v>1765</x:v>
      </x:c>
      <x:c r="AM720" s="55" t="n">
        <x:v>4781</x:v>
      </x:c>
      <x:c r="AN720" s="55" t="n">
        <x:v>2715</x:v>
      </x:c>
      <x:c r="AO720" s="55" t="n">
        <x:v>27</x:v>
      </x:c>
      <x:c r="AP720" s="55" t="n">
        <x:v>2063</x:v>
      </x:c>
      <x:c r="AQ720" s="55" t="n">
        <x:v>967</x:v>
      </x:c>
    </x:row>
    <x:row r="721">
      <x:c r="A721" s="54" t="str">
        <x:v>T0_TABLE_BLOCK</x:v>
      </x:c>
      <x:c r="B721" s="54" t="n">
        <x:v>715</x:v>
      </x:c>
      <x:c r="C721" s="54" t="str">
        <x:v>NYC-V2-R01</x:v>
      </x:c>
      <x:c r="D721" s="54" t="str">
        <x:v>V2</x:v>
      </x:c>
      <x:c r="E721" s="54" t="str">
        <x:v>ADMITTED</x:v>
      </x:c>
      <x:c r="F721" s="55" t="n">
        <x:v>32270</x:v>
      </x:c>
      <x:c r="G721" s="55" t="n">
        <x:v>8396</x:v>
      </x:c>
      <x:c r="H721" s="55" t="n">
        <x:v>2996</x:v>
      </x:c>
      <x:c r="I721" s="55" t="n">
        <x:v>893</x:v>
      </x:c>
      <x:c r="J721" s="55" t="n">
        <x:v>279</x:v>
      </x:c>
      <x:c r="K721" s="55" t="n">
        <x:v>29218</x:v>
      </x:c>
      <x:c r="L721" s="55" t="n">
        <x:v>6782</x:v>
      </x:c>
      <x:c r="M721" s="55" t="n">
        <x:v>2169</x:v>
      </x:c>
      <x:c r="N721" s="55" t="n">
        <x:v>3431</x:v>
      </x:c>
      <x:c r="O721" s="55" t="n">
        <x:v>1182</x:v>
      </x:c>
      <x:c r="P721" s="55" t="n">
        <x:v>1479</x:v>
      </x:c>
      <x:c r="Q721" s="55" t="n">
        <x:v>2937</x:v>
      </x:c>
      <x:c r="R721" s="55" t="n">
        <x:v>2311</x:v>
      </x:c>
      <x:c r="S721" s="55" t="n">
        <x:v>2700</x:v>
      </x:c>
      <x:c r="T721" s="55" t="n">
        <x:v>903</x:v>
      </x:c>
      <x:c r="U721" s="55" t="n">
        <x:v>2380</x:v>
      </x:c>
      <x:c r="V721" s="55" t="n">
        <x:v>10169</x:v>
      </x:c>
      <x:c r="W721" s="55" t="n">
        <x:v>6562</x:v>
      </x:c>
      <x:c r="X721" s="55" t="n">
        <x:v>3607</x:v>
      </x:c>
      <x:c r="Y721" s="55" t="n">
        <x:v>3090</x:v>
      </x:c>
      <x:c r="Z721" s="55" t="n">
        <x:v>3362</x:v>
      </x:c>
      <x:c r="AA721" s="55" t="n">
        <x:v>2976</x:v>
      </x:c>
      <x:c r="AB721" s="55" t="n">
        <x:v>751</x:v>
      </x:c>
      <x:c r="AC721" s="55" t="n">
        <x:v>8593</x:v>
      </x:c>
      <x:c r="AD721" s="55" t="n">
        <x:v>2599</x:v>
      </x:c>
      <x:c r="AE721" s="55" t="n">
        <x:v>10342</x:v>
      </x:c>
      <x:c r="AF721" s="55" t="n">
        <x:v>10169</x:v>
      </x:c>
      <x:c r="AG721" s="55" t="n">
        <x:v>173</x:v>
      </x:c>
      <x:c r="AH721" s="55" t="n">
        <x:v>349</x:v>
      </x:c>
      <x:c r="AI721" s="55" t="n">
        <x:v>9820</x:v>
      </x:c>
      <x:c r="AJ721" s="55" t="n">
        <x:v>373</x:v>
      </x:c>
      <x:c r="AK721" s="55" t="n">
        <x:v>584</x:v>
      </x:c>
      <x:c r="AL721" s="55" t="n">
        <x:v>1582</x:v>
      </x:c>
      <x:c r="AM721" s="55" t="n">
        <x:v>5047</x:v>
      </x:c>
      <x:c r="AN721" s="55" t="n">
        <x:v>2583</x:v>
      </x:c>
      <x:c r="AO721" s="55" t="n">
        <x:v>0</x:v>
      </x:c>
      <x:c r="AP721" s="55" t="n">
        <x:v>2460</x:v>
      </x:c>
      <x:c r="AQ721" s="55" t="n">
        <x:v>982</x:v>
      </x:c>
    </x:row>
    <x:row r="722">
      <x:c r="A722" s="54" t="str">
        <x:v>T0_TABLE_BLOCK</x:v>
      </x:c>
      <x:c r="B722" s="54" t="n">
        <x:v>716</x:v>
      </x:c>
      <x:c r="C722" s="54" t="str">
        <x:v>NYC-V2-R01</x:v>
      </x:c>
      <x:c r="D722" s="54" t="str">
        <x:v>V2</x:v>
      </x:c>
      <x:c r="E722" s="54" t="str">
        <x:v>ADMITTED</x:v>
      </x:c>
      <x:c r="F722" s="55" t="n">
        <x:v>31212</x:v>
      </x:c>
      <x:c r="G722" s="55" t="n">
        <x:v>8551</x:v>
      </x:c>
      <x:c r="H722" s="55" t="n">
        <x:v>2906</x:v>
      </x:c>
      <x:c r="I722" s="55" t="n">
        <x:v>1297</x:v>
      </x:c>
      <x:c r="J722" s="55" t="n">
        <x:v>212</x:v>
      </x:c>
      <x:c r="K722" s="55" t="n">
        <x:v>31212</x:v>
      </x:c>
      <x:c r="L722" s="55" t="n">
        <x:v>6112</x:v>
      </x:c>
      <x:c r="M722" s="55" t="n">
        <x:v>1506</x:v>
      </x:c>
      <x:c r="N722" s="55" t="n">
        <x:v>2565</x:v>
      </x:c>
      <x:c r="O722" s="55" t="n">
        <x:v>2041</x:v>
      </x:c>
      <x:c r="P722" s="55" t="n">
        <x:v>967</x:v>
      </x:c>
      <x:c r="Q722" s="55" t="n">
        <x:v>1397</x:v>
      </x:c>
      <x:c r="R722" s="55" t="n">
        <x:v>1533</x:v>
      </x:c>
      <x:c r="S722" s="55" t="n">
        <x:v>2449</x:v>
      </x:c>
      <x:c r="T722" s="55" t="n">
        <x:v>1362</x:v>
      </x:c>
      <x:c r="U722" s="55" t="n">
        <x:v>2536</x:v>
      </x:c>
      <x:c r="V722" s="55" t="n">
        <x:v>10322</x:v>
      </x:c>
      <x:c r="W722" s="55" t="n">
        <x:v>7212</x:v>
      </x:c>
      <x:c r="X722" s="55" t="n">
        <x:v>3110</x:v>
      </x:c>
      <x:c r="Y722" s="55" t="n">
        <x:v>2584</x:v>
      </x:c>
      <x:c r="Z722" s="55" t="n">
        <x:v>3373</x:v>
      </x:c>
      <x:c r="AA722" s="55" t="n">
        <x:v>2787</x:v>
      </x:c>
      <x:c r="AB722" s="55" t="n">
        <x:v>989</x:v>
      </x:c>
      <x:c r="AC722" s="55" t="n">
        <x:v>8548</x:v>
      </x:c>
      <x:c r="AD722" s="55" t="n">
        <x:v>2935</x:v>
      </x:c>
      <x:c r="AE722" s="55" t="n">
        <x:v>10444</x:v>
      </x:c>
      <x:c r="AF722" s="55" t="n">
        <x:v>10322</x:v>
      </x:c>
      <x:c r="AG722" s="55" t="n">
        <x:v>122</x:v>
      </x:c>
      <x:c r="AH722" s="55" t="n">
        <x:v>581</x:v>
      </x:c>
      <x:c r="AI722" s="55" t="n">
        <x:v>9741</x:v>
      </x:c>
      <x:c r="AJ722" s="55" t="n">
        <x:v>254</x:v>
      </x:c>
      <x:c r="AK722" s="55" t="n">
        <x:v>1015</x:v>
      </x:c>
      <x:c r="AL722" s="55" t="n">
        <x:v>1659</x:v>
      </x:c>
      <x:c r="AM722" s="55" t="n">
        <x:v>4625</x:v>
      </x:c>
      <x:c r="AN722" s="55" t="n">
        <x:v>2677</x:v>
      </x:c>
      <x:c r="AO722" s="55" t="n">
        <x:v>92</x:v>
      </x:c>
      <x:c r="AP722" s="55" t="n">
        <x:v>2393</x:v>
      </x:c>
      <x:c r="AQ722" s="55" t="n">
        <x:v>996</x:v>
      </x:c>
    </x:row>
    <x:row r="723">
      <x:c r="A723" s="54" t="str">
        <x:v>T0_TABLE_BLOCK</x:v>
      </x:c>
      <x:c r="B723" s="54" t="n">
        <x:v>717</x:v>
      </x:c>
      <x:c r="C723" s="54" t="str">
        <x:v>NYC-V2-R01</x:v>
      </x:c>
      <x:c r="D723" s="54" t="str">
        <x:v>V2</x:v>
      </x:c>
      <x:c r="E723" s="54" t="str">
        <x:v>ADMITTED</x:v>
      </x:c>
      <x:c r="F723" s="55" t="n">
        <x:v>32090</x:v>
      </x:c>
      <x:c r="G723" s="55" t="n">
        <x:v>8931</x:v>
      </x:c>
      <x:c r="H723" s="55" t="n">
        <x:v>3227</x:v>
      </x:c>
      <x:c r="I723" s="55" t="n">
        <x:v>713</x:v>
      </x:c>
      <x:c r="J723" s="55" t="n">
        <x:v>91</x:v>
      </x:c>
      <x:c r="K723" s="55" t="n">
        <x:v>31078</x:v>
      </x:c>
      <x:c r="L723" s="55" t="n">
        <x:v>5320</x:v>
      </x:c>
      <x:c r="M723" s="55" t="n">
        <x:v>900</x:v>
      </x:c>
      <x:c r="N723" s="55" t="n">
        <x:v>3174</x:v>
      </x:c>
      <x:c r="O723" s="55" t="n">
        <x:v>1246</x:v>
      </x:c>
      <x:c r="P723" s="55" t="n">
        <x:v>761</x:v>
      </x:c>
      <x:c r="Q723" s="55" t="n">
        <x:v>1829</x:v>
      </x:c>
      <x:c r="R723" s="55" t="n">
        <x:v>1685</x:v>
      </x:c>
      <x:c r="S723" s="55" t="n">
        <x:v>2838</x:v>
      </x:c>
      <x:c r="T723" s="55" t="n">
        <x:v>1479</x:v>
      </x:c>
      <x:c r="U723" s="55" t="n">
        <x:v>1776</x:v>
      </x:c>
      <x:c r="V723" s="55" t="n">
        <x:v>10928</x:v>
      </x:c>
      <x:c r="W723" s="55" t="n">
        <x:v>7541</x:v>
      </x:c>
      <x:c r="X723" s="55" t="n">
        <x:v>3387</x:v>
      </x:c>
      <x:c r="Y723" s="55" t="n">
        <x:v>3156</x:v>
      </x:c>
      <x:c r="Z723" s="55" t="n">
        <x:v>3618</x:v>
      </x:c>
      <x:c r="AA723" s="55" t="n">
        <x:v>3227</x:v>
      </x:c>
      <x:c r="AB723" s="55" t="n">
        <x:v>1070</x:v>
      </x:c>
      <x:c r="AC723" s="55" t="n">
        <x:v>7690</x:v>
      </x:c>
      <x:c r="AD723" s="55" t="n">
        <x:v>2754</x:v>
      </x:c>
      <x:c r="AE723" s="55" t="n">
        <x:v>10988</x:v>
      </x:c>
      <x:c r="AF723" s="55" t="n">
        <x:v>10928</x:v>
      </x:c>
      <x:c r="AG723" s="55" t="n">
        <x:v>60</x:v>
      </x:c>
      <x:c r="AH723" s="55" t="n">
        <x:v>504</x:v>
      </x:c>
      <x:c r="AI723" s="55" t="n">
        <x:v>10424</x:v>
      </x:c>
      <x:c r="AJ723" s="55" t="n">
        <x:v>284</x:v>
      </x:c>
      <x:c r="AK723" s="55" t="n">
        <x:v>1221</x:v>
      </x:c>
      <x:c r="AL723" s="55" t="n">
        <x:v>1764</x:v>
      </x:c>
      <x:c r="AM723" s="55" t="n">
        <x:v>4853</x:v>
      </x:c>
      <x:c r="AN723" s="55" t="n">
        <x:v>2758</x:v>
      </x:c>
      <x:c r="AO723" s="55" t="n">
        <x:v>48</x:v>
      </x:c>
      <x:c r="AP723" s="55" t="n">
        <x:v>2319</x:v>
      </x:c>
      <x:c r="AQ723" s="55" t="n">
        <x:v>966</x:v>
      </x:c>
    </x:row>
    <x:row r="724">
      <x:c r="A724" s="54" t="str">
        <x:v>T0_TABLE_BLOCK</x:v>
      </x:c>
      <x:c r="B724" s="54" t="n">
        <x:v>718</x:v>
      </x:c>
      <x:c r="C724" s="54" t="str">
        <x:v>NYC-V2-R01</x:v>
      </x:c>
      <x:c r="D724" s="54" t="str">
        <x:v>V2</x:v>
      </x:c>
      <x:c r="E724" s="54" t="str">
        <x:v>ADMITTED</x:v>
      </x:c>
      <x:c r="F724" s="55" t="n">
        <x:v>33057</x:v>
      </x:c>
      <x:c r="G724" s="55" t="n">
        <x:v>7050</x:v>
      </x:c>
      <x:c r="H724" s="55" t="n">
        <x:v>3466</x:v>
      </x:c>
      <x:c r="I724" s="55" t="n">
        <x:v>1558</x:v>
      </x:c>
      <x:c r="J724" s="55" t="n">
        <x:v>169</x:v>
      </x:c>
      <x:c r="K724" s="55" t="n">
        <x:v>33057</x:v>
      </x:c>
      <x:c r="L724" s="55" t="n">
        <x:v>5522</x:v>
      </x:c>
      <x:c r="M724" s="55" t="n">
        <x:v>911</x:v>
      </x:c>
      <x:c r="N724" s="55" t="n">
        <x:v>2861</x:v>
      </x:c>
      <x:c r="O724" s="55" t="n">
        <x:v>1750</x:v>
      </x:c>
      <x:c r="P724" s="55" t="n">
        <x:v>734</x:v>
      </x:c>
      <x:c r="Q724" s="55" t="n">
        <x:v>1725</x:v>
      </x:c>
      <x:c r="R724" s="55" t="n">
        <x:v>2063</x:v>
      </x:c>
      <x:c r="S724" s="55" t="n">
        <x:v>2314</x:v>
      </x:c>
      <x:c r="T724" s="55" t="n">
        <x:v>1119</x:v>
      </x:c>
      <x:c r="U724" s="55" t="n">
        <x:v>2540</x:v>
      </x:c>
      <x:c r="V724" s="55" t="n">
        <x:v>11106</x:v>
      </x:c>
      <x:c r="W724" s="55" t="n">
        <x:v>8505</x:v>
      </x:c>
      <x:c r="X724" s="55" t="n">
        <x:v>2601</x:v>
      </x:c>
      <x:c r="Y724" s="55" t="n">
        <x:v>2187</x:v>
      </x:c>
      <x:c r="Z724" s="55" t="n">
        <x:v>3693</x:v>
      </x:c>
      <x:c r="AA724" s="55" t="n">
        <x:v>3024</x:v>
      </x:c>
      <x:c r="AB724" s="55" t="n">
        <x:v>1162</x:v>
      </x:c>
      <x:c r="AC724" s="55" t="n">
        <x:v>8394</x:v>
      </x:c>
      <x:c r="AD724" s="55" t="n">
        <x:v>2635</x:v>
      </x:c>
      <x:c r="AE724" s="55" t="n">
        <x:v>11198</x:v>
      </x:c>
      <x:c r="AF724" s="55" t="n">
        <x:v>11106</x:v>
      </x:c>
      <x:c r="AG724" s="55" t="n">
        <x:v>92</x:v>
      </x:c>
      <x:c r="AH724" s="55" t="n">
        <x:v>525</x:v>
      </x:c>
      <x:c r="AI724" s="55" t="n">
        <x:v>10581</x:v>
      </x:c>
      <x:c r="AJ724" s="55" t="n">
        <x:v>173</x:v>
      </x:c>
      <x:c r="AK724" s="55" t="n">
        <x:v>1114</x:v>
      </x:c>
      <x:c r="AL724" s="55" t="n">
        <x:v>1334</x:v>
      </x:c>
      <x:c r="AM724" s="55" t="n">
        <x:v>4969</x:v>
      </x:c>
      <x:c r="AN724" s="55" t="n">
        <x:v>3471</x:v>
      </x:c>
      <x:c r="AO724" s="55" t="n">
        <x:v>45</x:v>
      </x:c>
      <x:c r="AP724" s="55" t="n">
        <x:v>2745</x:v>
      </x:c>
      <x:c r="AQ724" s="55" t="n">
        <x:v>950</x:v>
      </x:c>
    </x:row>
    <x:row r="725">
      <x:c r="A725" s="54" t="str">
        <x:v>T0_TABLE_BLOCK</x:v>
      </x:c>
      <x:c r="B725" s="54" t="n">
        <x:v>719</x:v>
      </x:c>
      <x:c r="C725" s="54" t="str">
        <x:v>NYC-V2-R01</x:v>
      </x:c>
      <x:c r="D725" s="54" t="str">
        <x:v>V2</x:v>
      </x:c>
      <x:c r="E725" s="54" t="str">
        <x:v>ADMITTED</x:v>
      </x:c>
      <x:c r="F725" s="55" t="n">
        <x:v>32146</x:v>
      </x:c>
      <x:c r="G725" s="55" t="n">
        <x:v>8134</x:v>
      </x:c>
      <x:c r="H725" s="55" t="n">
        <x:v>3571</x:v>
      </x:c>
      <x:c r="I725" s="55" t="n">
        <x:v>1139</x:v>
      </x:c>
      <x:c r="J725" s="55" t="n">
        <x:v>346</x:v>
      </x:c>
      <x:c r="K725" s="55" t="n">
        <x:v>30067</x:v>
      </x:c>
      <x:c r="L725" s="55" t="n">
        <x:v>4402</x:v>
      </x:c>
      <x:c r="M725" s="55" t="n">
        <x:v>339</x:v>
      </x:c>
      <x:c r="N725" s="55" t="n">
        <x:v>2503</x:v>
      </x:c>
      <x:c r="O725" s="55" t="n">
        <x:v>1560</x:v>
      </x:c>
      <x:c r="P725" s="55" t="n">
        <x:v>816</x:v>
      </x:c>
      <x:c r="Q725" s="55" t="n">
        <x:v>2527</x:v>
      </x:c>
      <x:c r="R725" s="55" t="n">
        <x:v>2309</x:v>
      </x:c>
      <x:c r="S725" s="55" t="n">
        <x:v>3286</x:v>
      </x:c>
      <x:c r="T725" s="55" t="n">
        <x:v>1230</x:v>
      </x:c>
      <x:c r="U725" s="55" t="n">
        <x:v>2021</x:v>
      </x:c>
      <x:c r="V725" s="55" t="n">
        <x:v>10827</x:v>
      </x:c>
      <x:c r="W725" s="55" t="n">
        <x:v>7923</x:v>
      </x:c>
      <x:c r="X725" s="55" t="n">
        <x:v>2904</x:v>
      </x:c>
      <x:c r="Y725" s="55" t="n">
        <x:v>2791</x:v>
      </x:c>
      <x:c r="Z725" s="55" t="n">
        <x:v>3746</x:v>
      </x:c>
      <x:c r="AA725" s="55" t="n">
        <x:v>3426</x:v>
      </x:c>
      <x:c r="AB725" s="55" t="n">
        <x:v>1049</x:v>
      </x:c>
      <x:c r="AC725" s="55" t="n">
        <x:v>8576</x:v>
      </x:c>
      <x:c r="AD725" s="55" t="n">
        <x:v>2949</x:v>
      </x:c>
      <x:c r="AE725" s="55" t="n">
        <x:v>10867</x:v>
      </x:c>
      <x:c r="AF725" s="55" t="n">
        <x:v>10827</x:v>
      </x:c>
      <x:c r="AG725" s="55" t="n">
        <x:v>40</x:v>
      </x:c>
      <x:c r="AH725" s="55" t="n">
        <x:v>271</x:v>
      </x:c>
      <x:c r="AI725" s="55" t="n">
        <x:v>10556</x:v>
      </x:c>
      <x:c r="AJ725" s="55" t="n">
        <x:v>407</x:v>
      </x:c>
      <x:c r="AK725" s="55" t="n">
        <x:v>933</x:v>
      </x:c>
      <x:c r="AL725" s="55" t="n">
        <x:v>1600</x:v>
      </x:c>
      <x:c r="AM725" s="55" t="n">
        <x:v>4868</x:v>
      </x:c>
      <x:c r="AN725" s="55" t="n">
        <x:v>2996</x:v>
      </x:c>
      <x:c r="AO725" s="55" t="n">
        <x:v>23</x:v>
      </x:c>
      <x:c r="AP725" s="55" t="n">
        <x:v>1857</x:v>
      </x:c>
      <x:c r="AQ725" s="55" t="n">
        <x:v>970</x:v>
      </x:c>
    </x:row>
    <x:row r="726">
      <x:c r="A726" s="54" t="str">
        <x:v>T0_TABLE_BLOCK</x:v>
      </x:c>
      <x:c r="B726" s="54" t="n">
        <x:v>720</x:v>
      </x:c>
      <x:c r="C726" s="54" t="str">
        <x:v>NYC-V2-R01</x:v>
      </x:c>
      <x:c r="D726" s="54" t="str">
        <x:v>V2</x:v>
      </x:c>
      <x:c r="E726" s="54" t="str">
        <x:v>ADMITTED</x:v>
      </x:c>
      <x:c r="F726" s="55" t="n">
        <x:v>34046</x:v>
      </x:c>
      <x:c r="G726" s="55" t="n">
        <x:v>7636</x:v>
      </x:c>
      <x:c r="H726" s="55" t="n">
        <x:v>3611</x:v>
      </x:c>
      <x:c r="I726" s="55" t="n">
        <x:v>1008</x:v>
      </x:c>
      <x:c r="J726" s="55" t="n">
        <x:v>183</x:v>
      </x:c>
      <x:c r="K726" s="55" t="n">
        <x:v>34046</x:v>
      </x:c>
      <x:c r="L726" s="55" t="n">
        <x:v>6887</x:v>
      </x:c>
      <x:c r="M726" s="55" t="n">
        <x:v>2404</x:v>
      </x:c>
      <x:c r="N726" s="55" t="n">
        <x:v>2528</x:v>
      </x:c>
      <x:c r="O726" s="55" t="n">
        <x:v>1955</x:v>
      </x:c>
      <x:c r="P726" s="55" t="n">
        <x:v>878</x:v>
      </x:c>
      <x:c r="Q726" s="55" t="n">
        <x:v>1428</x:v>
      </x:c>
      <x:c r="R726" s="55" t="n">
        <x:v>1739</x:v>
      </x:c>
      <x:c r="S726" s="55" t="n">
        <x:v>3315</x:v>
      </x:c>
      <x:c r="T726" s="55" t="n">
        <x:v>1164</x:v>
      </x:c>
      <x:c r="U726" s="55" t="n">
        <x:v>1806</x:v>
      </x:c>
      <x:c r="V726" s="55" t="n">
        <x:v>10500</x:v>
      </x:c>
      <x:c r="W726" s="55" t="n">
        <x:v>7601</x:v>
      </x:c>
      <x:c r="X726" s="55" t="n">
        <x:v>2899</x:v>
      </x:c>
      <x:c r="Y726" s="55" t="n">
        <x:v>2320</x:v>
      </x:c>
      <x:c r="Z726" s="55" t="n">
        <x:v>3711</x:v>
      </x:c>
      <x:c r="AA726" s="55" t="n">
        <x:v>3611</x:v>
      </x:c>
      <x:c r="AB726" s="55" t="n">
        <x:v>1438</x:v>
      </x:c>
      <x:c r="AC726" s="55" t="n">
        <x:v>8313</x:v>
      </x:c>
      <x:c r="AD726" s="55" t="n">
        <x:v>2501</x:v>
      </x:c>
      <x:c r="AE726" s="55" t="n">
        <x:v>10500</x:v>
      </x:c>
      <x:c r="AF726" s="55" t="n">
        <x:v>10500</x:v>
      </x:c>
      <x:c r="AG726" s="55" t="n">
        <x:v>0</x:v>
      </x:c>
      <x:c r="AH726" s="55" t="n">
        <x:v>619</x:v>
      </x:c>
      <x:c r="AI726" s="55" t="n">
        <x:v>9881</x:v>
      </x:c>
      <x:c r="AJ726" s="55" t="n">
        <x:v>298</x:v>
      </x:c>
      <x:c r="AK726" s="55" t="n">
        <x:v>1171</x:v>
      </x:c>
      <x:c r="AL726" s="55" t="n">
        <x:v>1758</x:v>
      </x:c>
      <x:c r="AM726" s="55" t="n">
        <x:v>4644</x:v>
      </x:c>
      <x:c r="AN726" s="55" t="n">
        <x:v>2562</x:v>
      </x:c>
      <x:c r="AO726" s="55" t="n">
        <x:v>67</x:v>
      </x:c>
      <x:c r="AP726" s="55" t="n">
        <x:v>2738</x:v>
      </x:c>
      <x:c r="AQ726" s="55" t="n">
        <x:v>940</x:v>
      </x:c>
    </x:row>
    <x:row r="727">
      <x:c r="A727" s="54" t="str">
        <x:v>T0_TABLE_BLOCK</x:v>
      </x:c>
      <x:c r="B727" s="54" t="n">
        <x:v>721</x:v>
      </x:c>
      <x:c r="C727" s="54" t="str">
        <x:v>NYC-V2-R01</x:v>
      </x:c>
      <x:c r="D727" s="54" t="str">
        <x:v>V2</x:v>
      </x:c>
      <x:c r="E727" s="54" t="str">
        <x:v>ADMITTED</x:v>
      </x:c>
      <x:c r="F727" s="55" t="n">
        <x:v>29888</x:v>
      </x:c>
      <x:c r="G727" s="55" t="n">
        <x:v>7452</x:v>
      </x:c>
      <x:c r="H727" s="55" t="n">
        <x:v>3494</x:v>
      </x:c>
      <x:c r="I727" s="55" t="n">
        <x:v>1695</x:v>
      </x:c>
      <x:c r="J727" s="55" t="n">
        <x:v>437</x:v>
      </x:c>
      <x:c r="K727" s="55" t="n">
        <x:v>29888</x:v>
      </x:c>
      <x:c r="L727" s="55" t="n">
        <x:v>5589</x:v>
      </x:c>
      <x:c r="M727" s="55" t="n">
        <x:v>752</x:v>
      </x:c>
      <x:c r="N727" s="55" t="n">
        <x:v>3153</x:v>
      </x:c>
      <x:c r="O727" s="55" t="n">
        <x:v>1684</x:v>
      </x:c>
      <x:c r="P727" s="55" t="n">
        <x:v>1120</x:v>
      </x:c>
      <x:c r="Q727" s="55" t="n">
        <x:v>2126</x:v>
      </x:c>
      <x:c r="R727" s="55" t="n">
        <x:v>1726</x:v>
      </x:c>
      <x:c r="S727" s="55" t="n">
        <x:v>2760</x:v>
      </x:c>
      <x:c r="T727" s="55" t="n">
        <x:v>1464</x:v>
      </x:c>
      <x:c r="U727" s="55" t="n">
        <x:v>2079</x:v>
      </x:c>
      <x:c r="V727" s="55" t="n">
        <x:v>10390</x:v>
      </x:c>
      <x:c r="W727" s="55" t="n">
        <x:v>7387</x:v>
      </x:c>
      <x:c r="X727" s="55" t="n">
        <x:v>3003</x:v>
      </x:c>
      <x:c r="Y727" s="55" t="n">
        <x:v>2571</x:v>
      </x:c>
      <x:c r="Z727" s="55" t="n">
        <x:v>3919</x:v>
      </x:c>
      <x:c r="AA727" s="55" t="n">
        <x:v>2928</x:v>
      </x:c>
      <x:c r="AB727" s="55" t="n">
        <x:v>876</x:v>
      </x:c>
      <x:c r="AC727" s="55" t="n">
        <x:v>8055</x:v>
      </x:c>
      <x:c r="AD727" s="55" t="n">
        <x:v>3262</x:v>
      </x:c>
      <x:c r="AE727" s="55" t="n">
        <x:v>10428</x:v>
      </x:c>
      <x:c r="AF727" s="55" t="n">
        <x:v>10390</x:v>
      </x:c>
      <x:c r="AG727" s="55" t="n">
        <x:v>38</x:v>
      </x:c>
      <x:c r="AH727" s="55" t="n">
        <x:v>434</x:v>
      </x:c>
      <x:c r="AI727" s="55" t="n">
        <x:v>9956</x:v>
      </x:c>
      <x:c r="AJ727" s="55" t="n">
        <x:v>330</x:v>
      </x:c>
      <x:c r="AK727" s="55" t="n">
        <x:v>1199</x:v>
      </x:c>
      <x:c r="AL727" s="55" t="n">
        <x:v>1524</x:v>
      </x:c>
      <x:c r="AM727" s="55" t="n">
        <x:v>4688</x:v>
      </x:c>
      <x:c r="AN727" s="55" t="n">
        <x:v>2649</x:v>
      </x:c>
      <x:c r="AO727" s="55" t="n">
        <x:v>0</x:v>
      </x:c>
      <x:c r="AP727" s="55" t="n">
        <x:v>2023</x:v>
      </x:c>
      <x:c r="AQ727" s="55" t="n">
        <x:v>947</x:v>
      </x:c>
    </x:row>
    <x:row r="728">
      <x:c r="A728" s="54" t="str">
        <x:v>T0_TABLE_BLOCK</x:v>
      </x:c>
      <x:c r="B728" s="54" t="n">
        <x:v>722</x:v>
      </x:c>
      <x:c r="C728" s="54" t="str">
        <x:v>NYC-V2-R01</x:v>
      </x:c>
      <x:c r="D728" s="54" t="str">
        <x:v>V2</x:v>
      </x:c>
      <x:c r="E728" s="54" t="str">
        <x:v>ADMITTED</x:v>
      </x:c>
      <x:c r="F728" s="55" t="n">
        <x:v>31035</x:v>
      </x:c>
      <x:c r="G728" s="55" t="n">
        <x:v>8845</x:v>
      </x:c>
      <x:c r="H728" s="55" t="n">
        <x:v>3282</x:v>
      </x:c>
      <x:c r="I728" s="55" t="n">
        <x:v>944</x:v>
      </x:c>
      <x:c r="J728" s="55" t="n">
        <x:v>242</x:v>
      </x:c>
      <x:c r="K728" s="55" t="n">
        <x:v>29442</x:v>
      </x:c>
      <x:c r="L728" s="55" t="n">
        <x:v>5777</x:v>
      </x:c>
      <x:c r="M728" s="55" t="n">
        <x:v>1738</x:v>
      </x:c>
      <x:c r="N728" s="55" t="n">
        <x:v>2165</x:v>
      </x:c>
      <x:c r="O728" s="55" t="n">
        <x:v>1874</x:v>
      </x:c>
      <x:c r="P728" s="55" t="n">
        <x:v>823</x:v>
      </x:c>
      <x:c r="Q728" s="55" t="n">
        <x:v>2710</x:v>
      </x:c>
      <x:c r="R728" s="55" t="n">
        <x:v>1718</x:v>
      </x:c>
      <x:c r="S728" s="55" t="n">
        <x:v>2081</x:v>
      </x:c>
      <x:c r="T728" s="55" t="n">
        <x:v>1473</x:v>
      </x:c>
      <x:c r="U728" s="55" t="n">
        <x:v>1999</x:v>
      </x:c>
      <x:c r="V728" s="55" t="n">
        <x:v>10051</x:v>
      </x:c>
      <x:c r="W728" s="55" t="n">
        <x:v>7014</x:v>
      </x:c>
      <x:c r="X728" s="55" t="n">
        <x:v>3037</x:v>
      </x:c>
      <x:c r="Y728" s="55" t="n">
        <x:v>2624</x:v>
      </x:c>
      <x:c r="Z728" s="55" t="n">
        <x:v>3760</x:v>
      </x:c>
      <x:c r="AA728" s="55" t="n">
        <x:v>3282</x:v>
      </x:c>
      <x:c r="AB728" s="55" t="n">
        <x:v>1363</x:v>
      </x:c>
      <x:c r="AC728" s="55" t="n">
        <x:v>8237</x:v>
      </x:c>
      <x:c r="AD728" s="55" t="n">
        <x:v>2925</x:v>
      </x:c>
      <x:c r="AE728" s="55" t="n">
        <x:v>10125</x:v>
      </x:c>
      <x:c r="AF728" s="55" t="n">
        <x:v>10051</x:v>
      </x:c>
      <x:c r="AG728" s="55" t="n">
        <x:v>74</x:v>
      </x:c>
      <x:c r="AH728" s="55" t="n">
        <x:v>344</x:v>
      </x:c>
      <x:c r="AI728" s="55" t="n">
        <x:v>9707</x:v>
      </x:c>
      <x:c r="AJ728" s="55" t="n">
        <x:v>266</x:v>
      </x:c>
      <x:c r="AK728" s="55" t="n">
        <x:v>792</x:v>
      </x:c>
      <x:c r="AL728" s="55" t="n">
        <x:v>1535</x:v>
      </x:c>
      <x:c r="AM728" s="55" t="n">
        <x:v>4782</x:v>
      </x:c>
      <x:c r="AN728" s="55" t="n">
        <x:v>2668</x:v>
      </x:c>
      <x:c r="AO728" s="55" t="n">
        <x:v>8</x:v>
      </x:c>
      <x:c r="AP728" s="55" t="n">
        <x:v>1755</x:v>
      </x:c>
      <x:c r="AQ728" s="55" t="n">
        <x:v>991</x:v>
      </x:c>
    </x:row>
    <x:row r="729">
      <x:c r="A729" s="54" t="str">
        <x:v>T0_TABLE_BLOCK</x:v>
      </x:c>
      <x:c r="B729" s="54" t="n">
        <x:v>723</x:v>
      </x:c>
      <x:c r="C729" s="54" t="str">
        <x:v>NYC-V2-R01</x:v>
      </x:c>
      <x:c r="D729" s="54" t="str">
        <x:v>V2</x:v>
      </x:c>
      <x:c r="E729" s="54" t="str">
        <x:v>ADMITTED</x:v>
      </x:c>
      <x:c r="F729" s="55" t="n">
        <x:v>32847</x:v>
      </x:c>
      <x:c r="G729" s="55" t="n">
        <x:v>8190</x:v>
      </x:c>
      <x:c r="H729" s="55" t="n">
        <x:v>3499</x:v>
      </x:c>
      <x:c r="I729" s="55" t="n">
        <x:v>1392</x:v>
      </x:c>
      <x:c r="J729" s="55" t="n">
        <x:v>150</x:v>
      </x:c>
      <x:c r="K729" s="55" t="n">
        <x:v>27801</x:v>
      </x:c>
      <x:c r="L729" s="55" t="n">
        <x:v>5817</x:v>
      </x:c>
      <x:c r="M729" s="55" t="n">
        <x:v>1368</x:v>
      </x:c>
      <x:c r="N729" s="55" t="n">
        <x:v>2501</x:v>
      </x:c>
      <x:c r="O729" s="55" t="n">
        <x:v>1948</x:v>
      </x:c>
      <x:c r="P729" s="55" t="n">
        <x:v>727</x:v>
      </x:c>
      <x:c r="Q729" s="55" t="n">
        <x:v>2618</x:v>
      </x:c>
      <x:c r="R729" s="55" t="n">
        <x:v>2171</x:v>
      </x:c>
      <x:c r="S729" s="55" t="n">
        <x:v>1798</x:v>
      </x:c>
      <x:c r="T729" s="55" t="n">
        <x:v>1840</x:v>
      </x:c>
      <x:c r="U729" s="55" t="n">
        <x:v>2557</x:v>
      </x:c>
      <x:c r="V729" s="55" t="n">
        <x:v>11192</x:v>
      </x:c>
      <x:c r="W729" s="55" t="n">
        <x:v>8421</x:v>
      </x:c>
      <x:c r="X729" s="55" t="n">
        <x:v>2771</x:v>
      </x:c>
      <x:c r="Y729" s="55" t="n">
        <x:v>2269</x:v>
      </x:c>
      <x:c r="Z729" s="55" t="n">
        <x:v>3199</x:v>
      </x:c>
      <x:c r="AA729" s="55" t="n">
        <x:v>3322</x:v>
      </x:c>
      <x:c r="AB729" s="55" t="n">
        <x:v>942</x:v>
      </x:c>
      <x:c r="AC729" s="55" t="n">
        <x:v>7861</x:v>
      </x:c>
      <x:c r="AD729" s="55" t="n">
        <x:v>3294</x:v>
      </x:c>
      <x:c r="AE729" s="55" t="n">
        <x:v>11278</x:v>
      </x:c>
      <x:c r="AF729" s="55" t="n">
        <x:v>11192</x:v>
      </x:c>
      <x:c r="AG729" s="55" t="n">
        <x:v>86</x:v>
      </x:c>
      <x:c r="AH729" s="55" t="n">
        <x:v>643</x:v>
      </x:c>
      <x:c r="AI729" s="55" t="n">
        <x:v>10549</x:v>
      </x:c>
      <x:c r="AJ729" s="55" t="n">
        <x:v>215</x:v>
      </x:c>
      <x:c r="AK729" s="55" t="n">
        <x:v>1029</x:v>
      </x:c>
      <x:c r="AL729" s="55" t="n">
        <x:v>1395</x:v>
      </x:c>
      <x:c r="AM729" s="55" t="n">
        <x:v>5285</x:v>
      </x:c>
      <x:c r="AN729" s="55" t="n">
        <x:v>3220</x:v>
      </x:c>
      <x:c r="AO729" s="55" t="n">
        <x:v>48</x:v>
      </x:c>
      <x:c r="AP729" s="55" t="n">
        <x:v>2217</x:v>
      </x:c>
      <x:c r="AQ729" s="55" t="n">
        <x:v>931</x:v>
      </x:c>
    </x:row>
    <x:row r="730">
      <x:c r="A730" s="54" t="str">
        <x:v>T0_TABLE_BLOCK</x:v>
      </x:c>
      <x:c r="B730" s="54" t="n">
        <x:v>724</x:v>
      </x:c>
      <x:c r="C730" s="54" t="str">
        <x:v>NYC-V2-R01</x:v>
      </x:c>
      <x:c r="D730" s="54" t="str">
        <x:v>V2</x:v>
      </x:c>
      <x:c r="E730" s="54" t="str">
        <x:v>ADMITTED</x:v>
      </x:c>
      <x:c r="F730" s="55" t="n">
        <x:v>29964</x:v>
      </x:c>
      <x:c r="G730" s="55" t="n">
        <x:v>7056</x:v>
      </x:c>
      <x:c r="H730" s="55" t="n">
        <x:v>3201</x:v>
      </x:c>
      <x:c r="I730" s="55" t="n">
        <x:v>1394</x:v>
      </x:c>
      <x:c r="J730" s="55" t="n">
        <x:v>254</x:v>
      </x:c>
      <x:c r="K730" s="55" t="n">
        <x:v>29964</x:v>
      </x:c>
      <x:c r="L730" s="55" t="n">
        <x:v>5987</x:v>
      </x:c>
      <x:c r="M730" s="55" t="n">
        <x:v>1619</x:v>
      </x:c>
      <x:c r="N730" s="55" t="n">
        <x:v>2803</x:v>
      </x:c>
      <x:c r="O730" s="55" t="n">
        <x:v>1565</x:v>
      </x:c>
      <x:c r="P730" s="55" t="n">
        <x:v>1025</x:v>
      </x:c>
      <x:c r="Q730" s="55" t="n">
        <x:v>2400</x:v>
      </x:c>
      <x:c r="R730" s="55" t="n">
        <x:v>2177</x:v>
      </x:c>
      <x:c r="S730" s="55" t="n">
        <x:v>2877</x:v>
      </x:c>
      <x:c r="T730" s="55" t="n">
        <x:v>966</x:v>
      </x:c>
      <x:c r="U730" s="55" t="n">
        <x:v>2454</x:v>
      </x:c>
      <x:c r="V730" s="55" t="n">
        <x:v>9984</x:v>
      </x:c>
      <x:c r="W730" s="55" t="n">
        <x:v>7204</x:v>
      </x:c>
      <x:c r="X730" s="55" t="n">
        <x:v>2780</x:v>
      </x:c>
      <x:c r="Y730" s="55" t="n">
        <x:v>2245</x:v>
      </x:c>
      <x:c r="Z730" s="55" t="n">
        <x:v>3952</x:v>
      </x:c>
      <x:c r="AA730" s="55" t="n">
        <x:v>3201</x:v>
      </x:c>
      <x:c r="AB730" s="55" t="n">
        <x:v>1202</x:v>
      </x:c>
      <x:c r="AC730" s="55" t="n">
        <x:v>7781</x:v>
      </x:c>
      <x:c r="AD730" s="55" t="n">
        <x:v>3203</x:v>
      </x:c>
      <x:c r="AE730" s="55" t="n">
        <x:v>10048</x:v>
      </x:c>
      <x:c r="AF730" s="55" t="n">
        <x:v>9984</x:v>
      </x:c>
      <x:c r="AG730" s="55" t="n">
        <x:v>64</x:v>
      </x:c>
      <x:c r="AH730" s="55" t="n">
        <x:v>287</x:v>
      </x:c>
      <x:c r="AI730" s="55" t="n">
        <x:v>9697</x:v>
      </x:c>
      <x:c r="AJ730" s="55" t="n">
        <x:v>299</x:v>
      </x:c>
      <x:c r="AK730" s="55" t="n">
        <x:v>1157</x:v>
      </x:c>
      <x:c r="AL730" s="55" t="n">
        <x:v>1550</x:v>
      </x:c>
      <x:c r="AM730" s="55" t="n">
        <x:v>4594</x:v>
      </x:c>
      <x:c r="AN730" s="55" t="n">
        <x:v>2384</x:v>
      </x:c>
      <x:c r="AO730" s="55" t="n">
        <x:v>0</x:v>
      </x:c>
      <x:c r="AP730" s="55" t="n">
        <x:v>2731</x:v>
      </x:c>
      <x:c r="AQ730" s="55" t="n">
        <x:v>936</x:v>
      </x:c>
    </x:row>
    <x:row r="731">
      <x:c r="A731" s="54" t="str">
        <x:v>T0_TABLE_BLOCK</x:v>
      </x:c>
      <x:c r="B731" s="54" t="n">
        <x:v>725</x:v>
      </x:c>
      <x:c r="C731" s="54" t="str">
        <x:v>NYC-V2-R01</x:v>
      </x:c>
      <x:c r="D731" s="54" t="str">
        <x:v>V2</x:v>
      </x:c>
      <x:c r="E731" s="54" t="str">
        <x:v>ADMITTED</x:v>
      </x:c>
      <x:c r="F731" s="55" t="n">
        <x:v>30487</x:v>
      </x:c>
      <x:c r="G731" s="55" t="n">
        <x:v>7345</x:v>
      </x:c>
      <x:c r="H731" s="55" t="n">
        <x:v>3381</x:v>
      </x:c>
      <x:c r="I731" s="55" t="n">
        <x:v>1298</x:v>
      </x:c>
      <x:c r="J731" s="55" t="n">
        <x:v>127</x:v>
      </x:c>
      <x:c r="K731" s="55" t="n">
        <x:v>29899</x:v>
      </x:c>
      <x:c r="L731" s="55" t="n">
        <x:v>4740</x:v>
      </x:c>
      <x:c r="M731" s="55" t="n">
        <x:v>0</x:v>
      </x:c>
      <x:c r="N731" s="55" t="n">
        <x:v>2763</x:v>
      </x:c>
      <x:c r="O731" s="55" t="n">
        <x:v>1977</x:v>
      </x:c>
      <x:c r="P731" s="55" t="n">
        <x:v>676</x:v>
      </x:c>
      <x:c r="Q731" s="55" t="n">
        <x:v>1809</x:v>
      </x:c>
      <x:c r="R731" s="55" t="n">
        <x:v>1811</x:v>
      </x:c>
      <x:c r="S731" s="55" t="n">
        <x:v>2544</x:v>
      </x:c>
      <x:c r="T731" s="55" t="n">
        <x:v>910</x:v>
      </x:c>
      <x:c r="U731" s="55" t="n">
        <x:v>1727</x:v>
      </x:c>
      <x:c r="V731" s="55" t="n">
        <x:v>10574</x:v>
      </x:c>
      <x:c r="W731" s="55" t="n">
        <x:v>7584</x:v>
      </x:c>
      <x:c r="X731" s="55" t="n">
        <x:v>2990</x:v>
      </x:c>
      <x:c r="Y731" s="55" t="n">
        <x:v>2712</x:v>
      </x:c>
      <x:c r="Z731" s="55" t="n">
        <x:v>3978</x:v>
      </x:c>
      <x:c r="AA731" s="55" t="n">
        <x:v>2970</x:v>
      </x:c>
      <x:c r="AB731" s="55" t="n">
        <x:v>1202</x:v>
      </x:c>
      <x:c r="AC731" s="55" t="n">
        <x:v>8029</x:v>
      </x:c>
      <x:c r="AD731" s="55" t="n">
        <x:v>3035</x:v>
      </x:c>
      <x:c r="AE731" s="55" t="n">
        <x:v>10597</x:v>
      </x:c>
      <x:c r="AF731" s="55" t="n">
        <x:v>10574</x:v>
      </x:c>
      <x:c r="AG731" s="55" t="n">
        <x:v>23</x:v>
      </x:c>
      <x:c r="AH731" s="55" t="n">
        <x:v>569</x:v>
      </x:c>
      <x:c r="AI731" s="55" t="n">
        <x:v>10005</x:v>
      </x:c>
      <x:c r="AJ731" s="55" t="n">
        <x:v>239</x:v>
      </x:c>
      <x:c r="AK731" s="55" t="n">
        <x:v>527</x:v>
      </x:c>
      <x:c r="AL731" s="55" t="n">
        <x:v>1809</x:v>
      </x:c>
      <x:c r="AM731" s="55" t="n">
        <x:v>5353</x:v>
      </x:c>
      <x:c r="AN731" s="55" t="n">
        <x:v>2600</x:v>
      </x:c>
      <x:c r="AO731" s="55" t="n">
        <x:v>46</x:v>
      </x:c>
      <x:c r="AP731" s="55" t="n">
        <x:v>2394</x:v>
      </x:c>
      <x:c r="AQ731" s="55" t="n">
        <x:v>898</x:v>
      </x:c>
    </x:row>
    <x:row r="732">
      <x:c r="A732" s="54" t="str">
        <x:v>T0_TABLE_BLOCK</x:v>
      </x:c>
      <x:c r="B732" s="54" t="n">
        <x:v>726</x:v>
      </x:c>
      <x:c r="C732" s="54" t="str">
        <x:v>NYC-V2-R01</x:v>
      </x:c>
      <x:c r="D732" s="54" t="str">
        <x:v>V2</x:v>
      </x:c>
      <x:c r="E732" s="54" t="str">
        <x:v>ADMITTED</x:v>
      </x:c>
      <x:c r="F732" s="55" t="n">
        <x:v>32698</x:v>
      </x:c>
      <x:c r="G732" s="55" t="n">
        <x:v>8030</x:v>
      </x:c>
      <x:c r="H732" s="55" t="n">
        <x:v>3411</x:v>
      </x:c>
      <x:c r="I732" s="55" t="n">
        <x:v>1350</x:v>
      </x:c>
      <x:c r="J732" s="55" t="n">
        <x:v>490</x:v>
      </x:c>
      <x:c r="K732" s="55" t="n">
        <x:v>27291</x:v>
      </x:c>
      <x:c r="L732" s="55" t="n">
        <x:v>4914</x:v>
      </x:c>
      <x:c r="M732" s="55" t="n">
        <x:v>1305</x:v>
      </x:c>
      <x:c r="N732" s="55" t="n">
        <x:v>2145</x:v>
      </x:c>
      <x:c r="O732" s="55" t="n">
        <x:v>1464</x:v>
      </x:c>
      <x:c r="P732" s="55" t="n">
        <x:v>636</x:v>
      </x:c>
      <x:c r="Q732" s="55" t="n">
        <x:v>3158</x:v>
      </x:c>
      <x:c r="R732" s="55" t="n">
        <x:v>2146</x:v>
      </x:c>
      <x:c r="S732" s="55" t="n">
        <x:v>2445</x:v>
      </x:c>
      <x:c r="T732" s="55" t="n">
        <x:v>1092</x:v>
      </x:c>
      <x:c r="U732" s="55" t="n">
        <x:v>1815</x:v>
      </x:c>
      <x:c r="V732" s="55" t="n">
        <x:v>10472</x:v>
      </x:c>
      <x:c r="W732" s="55" t="n">
        <x:v>7230</x:v>
      </x:c>
      <x:c r="X732" s="55" t="n">
        <x:v>3242</x:v>
      </x:c>
      <x:c r="Y732" s="55" t="n">
        <x:v>2713</x:v>
      </x:c>
      <x:c r="Z732" s="55" t="n">
        <x:v>4121</x:v>
      </x:c>
      <x:c r="AA732" s="55" t="n">
        <x:v>2719</x:v>
      </x:c>
      <x:c r="AB732" s="55" t="n">
        <x:v>1014</x:v>
      </x:c>
      <x:c r="AC732" s="55" t="n">
        <x:v>7490</x:v>
      </x:c>
      <x:c r="AD732" s="55" t="n">
        <x:v>3093</x:v>
      </x:c>
      <x:c r="AE732" s="55" t="n">
        <x:v>10615</x:v>
      </x:c>
      <x:c r="AF732" s="55" t="n">
        <x:v>10472</x:v>
      </x:c>
      <x:c r="AG732" s="55" t="n">
        <x:v>143</x:v>
      </x:c>
      <x:c r="AH732" s="55" t="n">
        <x:v>436</x:v>
      </x:c>
      <x:c r="AI732" s="55" t="n">
        <x:v>10036</x:v>
      </x:c>
      <x:c r="AJ732" s="55" t="n">
        <x:v>532</x:v>
      </x:c>
      <x:c r="AK732" s="55" t="n">
        <x:v>1097</x:v>
      </x:c>
      <x:c r="AL732" s="55" t="n">
        <x:v>1578</x:v>
      </x:c>
      <x:c r="AM732" s="55" t="n">
        <x:v>5047</x:v>
      </x:c>
      <x:c r="AN732" s="55" t="n">
        <x:v>2152</x:v>
      </x:c>
      <x:c r="AO732" s="55" t="n">
        <x:v>66</x:v>
      </x:c>
      <x:c r="AP732" s="55" t="n">
        <x:v>2238</x:v>
      </x:c>
      <x:c r="AQ732" s="55" t="n">
        <x:v>968</x:v>
      </x:c>
    </x:row>
    <x:row r="733">
      <x:c r="A733" s="54" t="str">
        <x:v>T0_TABLE_BLOCK</x:v>
      </x:c>
      <x:c r="B733" s="54" t="n">
        <x:v>727</x:v>
      </x:c>
      <x:c r="C733" s="54" t="str">
        <x:v>NYC-V2-R01</x:v>
      </x:c>
      <x:c r="D733" s="54" t="str">
        <x:v>V2</x:v>
      </x:c>
      <x:c r="E733" s="54" t="str">
        <x:v>ADMITTED</x:v>
      </x:c>
      <x:c r="F733" s="55" t="n">
        <x:v>29919</x:v>
      </x:c>
      <x:c r="G733" s="55" t="n">
        <x:v>6771</x:v>
      </x:c>
      <x:c r="H733" s="55" t="n">
        <x:v>3240</x:v>
      </x:c>
      <x:c r="I733" s="55" t="n">
        <x:v>950</x:v>
      </x:c>
      <x:c r="J733" s="55" t="n">
        <x:v>385</x:v>
      </x:c>
      <x:c r="K733" s="55" t="n">
        <x:v>29400</x:v>
      </x:c>
      <x:c r="L733" s="55" t="n">
        <x:v>4396</x:v>
      </x:c>
      <x:c r="M733" s="55" t="n">
        <x:v>201</x:v>
      </x:c>
      <x:c r="N733" s="55" t="n">
        <x:v>2556</x:v>
      </x:c>
      <x:c r="O733" s="55" t="n">
        <x:v>1639</x:v>
      </x:c>
      <x:c r="P733" s="55" t="n">
        <x:v>899</x:v>
      </x:c>
      <x:c r="Q733" s="55" t="n">
        <x:v>2643</x:v>
      </x:c>
      <x:c r="R733" s="55" t="n">
        <x:v>1792</x:v>
      </x:c>
      <x:c r="S733" s="55" t="n">
        <x:v>2577</x:v>
      </x:c>
      <x:c r="T733" s="55" t="n">
        <x:v>1581</x:v>
      </x:c>
      <x:c r="U733" s="55" t="n">
        <x:v>1620</x:v>
      </x:c>
      <x:c r="V733" s="55" t="n">
        <x:v>9869</x:v>
      </x:c>
      <x:c r="W733" s="55" t="n">
        <x:v>7044</x:v>
      </x:c>
      <x:c r="X733" s="55" t="n">
        <x:v>2825</x:v>
      </x:c>
      <x:c r="Y733" s="55" t="n">
        <x:v>2508</x:v>
      </x:c>
      <x:c r="Z733" s="55" t="n">
        <x:v>3598</x:v>
      </x:c>
      <x:c r="AA733" s="55" t="n">
        <x:v>3113</x:v>
      </x:c>
      <x:c r="AB733" s="55" t="n">
        <x:v>1022</x:v>
      </x:c>
      <x:c r="AC733" s="55" t="n">
        <x:v>8076</x:v>
      </x:c>
      <x:c r="AD733" s="55" t="n">
        <x:v>2443</x:v>
      </x:c>
      <x:c r="AE733" s="55" t="n">
        <x:v>9999</x:v>
      </x:c>
      <x:c r="AF733" s="55" t="n">
        <x:v>9869</x:v>
      </x:c>
      <x:c r="AG733" s="55" t="n">
        <x:v>130</x:v>
      </x:c>
      <x:c r="AH733" s="55" t="n">
        <x:v>407</x:v>
      </x:c>
      <x:c r="AI733" s="55" t="n">
        <x:v>9462</x:v>
      </x:c>
      <x:c r="AJ733" s="55" t="n">
        <x:v>63</x:v>
      </x:c>
      <x:c r="AK733" s="55" t="n">
        <x:v>971</x:v>
      </x:c>
      <x:c r="AL733" s="55" t="n">
        <x:v>1664</x:v>
      </x:c>
      <x:c r="AM733" s="55" t="n">
        <x:v>4740</x:v>
      </x:c>
      <x:c r="AN733" s="55" t="n">
        <x:v>2380</x:v>
      </x:c>
      <x:c r="AO733" s="55" t="n">
        <x:v>51</x:v>
      </x:c>
      <x:c r="AP733" s="55" t="n">
        <x:v>1964</x:v>
      </x:c>
      <x:c r="AQ733" s="55" t="n">
        <x:v>926</x:v>
      </x:c>
    </x:row>
    <x:row r="734">
      <x:c r="A734" s="54" t="str">
        <x:v>T0_TABLE_BLOCK</x:v>
      </x:c>
      <x:c r="B734" s="54" t="n">
        <x:v>728</x:v>
      </x:c>
      <x:c r="C734" s="54" t="str">
        <x:v>NYC-V2-R01</x:v>
      </x:c>
      <x:c r="D734" s="54" t="str">
        <x:v>V2</x:v>
      </x:c>
      <x:c r="E734" s="54" t="str">
        <x:v>ADMITTED</x:v>
      </x:c>
      <x:c r="F734" s="55" t="n">
        <x:v>31778</x:v>
      </x:c>
      <x:c r="G734" s="55" t="n">
        <x:v>7387</x:v>
      </x:c>
      <x:c r="H734" s="55" t="n">
        <x:v>3307</x:v>
      </x:c>
      <x:c r="I734" s="55" t="n">
        <x:v>1891</x:v>
      </x:c>
      <x:c r="J734" s="55" t="n">
        <x:v>61</x:v>
      </x:c>
      <x:c r="K734" s="55" t="n">
        <x:v>31778</x:v>
      </x:c>
      <x:c r="L734" s="55" t="n">
        <x:v>6209</x:v>
      </x:c>
      <x:c r="M734" s="55" t="n">
        <x:v>1642</x:v>
      </x:c>
      <x:c r="N734" s="55" t="n">
        <x:v>2862</x:v>
      </x:c>
      <x:c r="O734" s="55" t="n">
        <x:v>1705</x:v>
      </x:c>
      <x:c r="P734" s="55" t="n">
        <x:v>539</x:v>
      </x:c>
      <x:c r="Q734" s="55" t="n">
        <x:v>1720</x:v>
      </x:c>
      <x:c r="R734" s="55" t="n">
        <x:v>1528</x:v>
      </x:c>
      <x:c r="S734" s="55" t="n">
        <x:v>2615</x:v>
      </x:c>
      <x:c r="T734" s="55" t="n">
        <x:v>1384</x:v>
      </x:c>
      <x:c r="U734" s="55" t="n">
        <x:v>2167</x:v>
      </x:c>
      <x:c r="V734" s="55" t="n">
        <x:v>10277</x:v>
      </x:c>
      <x:c r="W734" s="55" t="n">
        <x:v>7584</x:v>
      </x:c>
      <x:c r="X734" s="55" t="n">
        <x:v>2693</x:v>
      </x:c>
      <x:c r="Y734" s="55" t="n">
        <x:v>2308</x:v>
      </x:c>
      <x:c r="Z734" s="55" t="n">
        <x:v>3378</x:v>
      </x:c>
      <x:c r="AA734" s="55" t="n">
        <x:v>3307</x:v>
      </x:c>
      <x:c r="AB734" s="55" t="n">
        <x:v>900</x:v>
      </x:c>
      <x:c r="AC734" s="55" t="n">
        <x:v>7573</x:v>
      </x:c>
      <x:c r="AD734" s="55" t="n">
        <x:v>3103</x:v>
      </x:c>
      <x:c r="AE734" s="55" t="n">
        <x:v>10363</x:v>
      </x:c>
      <x:c r="AF734" s="55" t="n">
        <x:v>10277</x:v>
      </x:c>
      <x:c r="AG734" s="55" t="n">
        <x:v>86</x:v>
      </x:c>
      <x:c r="AH734" s="55" t="n">
        <x:v>365</x:v>
      </x:c>
      <x:c r="AI734" s="55" t="n">
        <x:v>9912</x:v>
      </x:c>
      <x:c r="AJ734" s="55" t="n">
        <x:v>286</x:v>
      </x:c>
      <x:c r="AK734" s="55" t="n">
        <x:v>1237</x:v>
      </x:c>
      <x:c r="AL734" s="55" t="n">
        <x:v>1831</x:v>
      </x:c>
      <x:c r="AM734" s="55" t="n">
        <x:v>4438</x:v>
      </x:c>
      <x:c r="AN734" s="55" t="n">
        <x:v>2479</x:v>
      </x:c>
      <x:c r="AO734" s="55" t="n">
        <x:v>6</x:v>
      </x:c>
      <x:c r="AP734" s="55" t="n">
        <x:v>2346</x:v>
      </x:c>
      <x:c r="AQ734" s="55" t="n">
        <x:v>998</x:v>
      </x:c>
    </x:row>
    <x:row r="735">
      <x:c r="A735" s="54" t="str">
        <x:v>T0_TABLE_BLOCK</x:v>
      </x:c>
      <x:c r="B735" s="54" t="n">
        <x:v>729</x:v>
      </x:c>
      <x:c r="C735" s="54" t="str">
        <x:v>NYC-V2-R01</x:v>
      </x:c>
      <x:c r="D735" s="54" t="str">
        <x:v>V2</x:v>
      </x:c>
      <x:c r="E735" s="54" t="str">
        <x:v>ADMITTED</x:v>
      </x:c>
      <x:c r="F735" s="55" t="n">
        <x:v>30568</x:v>
      </x:c>
      <x:c r="G735" s="55" t="n">
        <x:v>7271</x:v>
      </x:c>
      <x:c r="H735" s="55" t="n">
        <x:v>3166</x:v>
      </x:c>
      <x:c r="I735" s="55" t="n">
        <x:v>1380</x:v>
      </x:c>
      <x:c r="J735" s="55" t="n">
        <x:v>158</x:v>
      </x:c>
      <x:c r="K735" s="55" t="n">
        <x:v>26600</x:v>
      </x:c>
      <x:c r="L735" s="55" t="n">
        <x:v>4782</x:v>
      </x:c>
      <x:c r="M735" s="55" t="n">
        <x:v>196</x:v>
      </x:c>
      <x:c r="N735" s="55" t="n">
        <x:v>2483</x:v>
      </x:c>
      <x:c r="O735" s="55" t="n">
        <x:v>2103</x:v>
      </x:c>
      <x:c r="P735" s="55" t="n">
        <x:v>991</x:v>
      </x:c>
      <x:c r="Q735" s="55" t="n">
        <x:v>3229</x:v>
      </x:c>
      <x:c r="R735" s="55" t="n">
        <x:v>1674</x:v>
      </x:c>
      <x:c r="S735" s="55" t="n">
        <x:v>2792</x:v>
      </x:c>
      <x:c r="T735" s="55" t="n">
        <x:v>1538</x:v>
      </x:c>
      <x:c r="U735" s="55" t="n">
        <x:v>1559</x:v>
      </x:c>
      <x:c r="V735" s="55" t="n">
        <x:v>10504</x:v>
      </x:c>
      <x:c r="W735" s="55" t="n">
        <x:v>7477</x:v>
      </x:c>
      <x:c r="X735" s="55" t="n">
        <x:v>3027</x:v>
      </x:c>
      <x:c r="Y735" s="55" t="n">
        <x:v>2555</x:v>
      </x:c>
      <x:c r="Z735" s="55" t="n">
        <x:v>3683</x:v>
      </x:c>
      <x:c r="AA735" s="55" t="n">
        <x:v>3026</x:v>
      </x:c>
      <x:c r="AB735" s="55" t="n">
        <x:v>1144</x:v>
      </x:c>
      <x:c r="AC735" s="55" t="n">
        <x:v>8333</x:v>
      </x:c>
      <x:c r="AD735" s="55" t="n">
        <x:v>3617</x:v>
      </x:c>
      <x:c r="AE735" s="55" t="n">
        <x:v>10579</x:v>
      </x:c>
      <x:c r="AF735" s="55" t="n">
        <x:v>10504</x:v>
      </x:c>
      <x:c r="AG735" s="55" t="n">
        <x:v>75</x:v>
      </x:c>
      <x:c r="AH735" s="55" t="n">
        <x:v>416</x:v>
      </x:c>
      <x:c r="AI735" s="55" t="n">
        <x:v>10088</x:v>
      </x:c>
      <x:c r="AJ735" s="55" t="n">
        <x:v>32</x:v>
      </x:c>
      <x:c r="AK735" s="55" t="n">
        <x:v>1445</x:v>
      </x:c>
      <x:c r="AL735" s="55" t="n">
        <x:v>1902</x:v>
      </x:c>
      <x:c r="AM735" s="55" t="n">
        <x:v>4620</x:v>
      </x:c>
      <x:c r="AN735" s="55" t="n">
        <x:v>2484</x:v>
      </x:c>
      <x:c r="AO735" s="55" t="n">
        <x:v>21</x:v>
      </x:c>
      <x:c r="AP735" s="55" t="n">
        <x:v>2094</x:v>
      </x:c>
      <x:c r="AQ735" s="55" t="n">
        <x:v>976</x:v>
      </x:c>
    </x:row>
    <x:row r="736">
      <x:c r="A736" s="54" t="str">
        <x:v>T0_TABLE_BLOCK</x:v>
      </x:c>
      <x:c r="B736" s="54" t="n">
        <x:v>730</x:v>
      </x:c>
      <x:c r="C736" s="54" t="str">
        <x:v>NYC-V2-R01</x:v>
      </x:c>
      <x:c r="D736" s="54" t="str">
        <x:v>V2</x:v>
      </x:c>
      <x:c r="E736" s="54" t="str">
        <x:v>ADMITTED</x:v>
      </x:c>
      <x:c r="F736" s="55" t="n">
        <x:v>30542</x:v>
      </x:c>
      <x:c r="G736" s="55" t="n">
        <x:v>7510</x:v>
      </x:c>
      <x:c r="H736" s="55" t="n">
        <x:v>3272</x:v>
      </x:c>
      <x:c r="I736" s="55" t="n">
        <x:v>1461</x:v>
      </x:c>
      <x:c r="J736" s="55" t="n">
        <x:v>214</x:v>
      </x:c>
      <x:c r="K736" s="55" t="n">
        <x:v>29375</x:v>
      </x:c>
      <x:c r="L736" s="55" t="n">
        <x:v>4321</x:v>
      </x:c>
      <x:c r="M736" s="55" t="n">
        <x:v>141</x:v>
      </x:c>
      <x:c r="N736" s="55" t="n">
        <x:v>2818</x:v>
      </x:c>
      <x:c r="O736" s="55" t="n">
        <x:v>1362</x:v>
      </x:c>
      <x:c r="P736" s="55" t="n">
        <x:v>85</x:v>
      </x:c>
      <x:c r="Q736" s="55" t="n">
        <x:v>1568</x:v>
      </x:c>
      <x:c r="R736" s="55" t="n">
        <x:v>1903</x:v>
      </x:c>
      <x:c r="S736" s="55" t="n">
        <x:v>2867</x:v>
      </x:c>
      <x:c r="T736" s="55" t="n">
        <x:v>1229</x:v>
      </x:c>
      <x:c r="U736" s="55" t="n">
        <x:v>1228</x:v>
      </x:c>
      <x:c r="V736" s="55" t="n">
        <x:v>10794</x:v>
      </x:c>
      <x:c r="W736" s="55" t="n">
        <x:v>7653</x:v>
      </x:c>
      <x:c r="X736" s="55" t="n">
        <x:v>3141</x:v>
      </x:c>
      <x:c r="Y736" s="55" t="n">
        <x:v>2648</x:v>
      </x:c>
      <x:c r="Z736" s="55" t="n">
        <x:v>3965</x:v>
      </x:c>
      <x:c r="AA736" s="55" t="n">
        <x:v>3272</x:v>
      </x:c>
      <x:c r="AB736" s="55" t="n">
        <x:v>1423</x:v>
      </x:c>
      <x:c r="AC736" s="55" t="n">
        <x:v>8196</x:v>
      </x:c>
      <x:c r="AD736" s="55" t="n">
        <x:v>2447</x:v>
      </x:c>
      <x:c r="AE736" s="55" t="n">
        <x:v>10838</x:v>
      </x:c>
      <x:c r="AF736" s="55" t="n">
        <x:v>10794</x:v>
      </x:c>
      <x:c r="AG736" s="55" t="n">
        <x:v>44</x:v>
      </x:c>
      <x:c r="AH736" s="55" t="n">
        <x:v>333</x:v>
      </x:c>
      <x:c r="AI736" s="55" t="n">
        <x:v>10461</x:v>
      </x:c>
      <x:c r="AJ736" s="55" t="n">
        <x:v>543</x:v>
      </x:c>
      <x:c r="AK736" s="55" t="n">
        <x:v>756</x:v>
      </x:c>
      <x:c r="AL736" s="55" t="n">
        <x:v>1539</x:v>
      </x:c>
      <x:c r="AM736" s="55" t="n">
        <x:v>4993</x:v>
      </x:c>
      <x:c r="AN736" s="55" t="n">
        <x:v>2963</x:v>
      </x:c>
      <x:c r="AO736" s="55" t="n">
        <x:v>0</x:v>
      </x:c>
      <x:c r="AP736" s="55" t="n">
        <x:v>2157</x:v>
      </x:c>
      <x:c r="AQ736" s="55" t="n">
        <x:v>951</x:v>
      </x:c>
    </x:row>
    <x:row r="737">
      <x:c r="A737" s="54" t="str">
        <x:v>T0_TABLE_BLOCK</x:v>
      </x:c>
      <x:c r="B737" s="54" t="n">
        <x:v>731</x:v>
      </x:c>
      <x:c r="C737" s="54" t="str">
        <x:v>NYC-V2-R01</x:v>
      </x:c>
      <x:c r="D737" s="54" t="str">
        <x:v>V2</x:v>
      </x:c>
      <x:c r="E737" s="54" t="str">
        <x:v>ADMITTED</x:v>
      </x:c>
      <x:c r="F737" s="55" t="n">
        <x:v>32401</x:v>
      </x:c>
      <x:c r="G737" s="55" t="n">
        <x:v>7136</x:v>
      </x:c>
      <x:c r="H737" s="55" t="n">
        <x:v>3329</x:v>
      </x:c>
      <x:c r="I737" s="55" t="n">
        <x:v>1309</x:v>
      </x:c>
      <x:c r="J737" s="55" t="n">
        <x:v>321</x:v>
      </x:c>
      <x:c r="K737" s="55" t="n">
        <x:v>32401</x:v>
      </x:c>
      <x:c r="L737" s="55" t="n">
        <x:v>5218</x:v>
      </x:c>
      <x:c r="M737" s="55" t="n">
        <x:v>1083</x:v>
      </x:c>
      <x:c r="N737" s="55" t="n">
        <x:v>2212</x:v>
      </x:c>
      <x:c r="O737" s="55" t="n">
        <x:v>1923</x:v>
      </x:c>
      <x:c r="P737" s="55" t="n">
        <x:v>785</x:v>
      </x:c>
      <x:c r="Q737" s="55" t="n">
        <x:v>1769</x:v>
      </x:c>
      <x:c r="R737" s="55" t="n">
        <x:v>1383</x:v>
      </x:c>
      <x:c r="S737" s="55" t="n">
        <x:v>2532</x:v>
      </x:c>
      <x:c r="T737" s="55" t="n">
        <x:v>858</x:v>
      </x:c>
      <x:c r="U737" s="55" t="n">
        <x:v>1605</x:v>
      </x:c>
      <x:c r="V737" s="55" t="n">
        <x:v>10755</x:v>
      </x:c>
      <x:c r="W737" s="55" t="n">
        <x:v>7793</x:v>
      </x:c>
      <x:c r="X737" s="55" t="n">
        <x:v>2962</x:v>
      </x:c>
      <x:c r="Y737" s="55" t="n">
        <x:v>2649</x:v>
      </x:c>
      <x:c r="Z737" s="55" t="n">
        <x:v>3529</x:v>
      </x:c>
      <x:c r="AA737" s="55" t="n">
        <x:v>3112</x:v>
      </x:c>
      <x:c r="AB737" s="55" t="n">
        <x:v>812</x:v>
      </x:c>
      <x:c r="AC737" s="55" t="n">
        <x:v>8185</x:v>
      </x:c>
      <x:c r="AD737" s="55" t="n">
        <x:v>3254</x:v>
      </x:c>
      <x:c r="AE737" s="55" t="n">
        <x:v>10806</x:v>
      </x:c>
      <x:c r="AF737" s="55" t="n">
        <x:v>10755</x:v>
      </x:c>
      <x:c r="AG737" s="55" t="n">
        <x:v>51</x:v>
      </x:c>
      <x:c r="AH737" s="55" t="n">
        <x:v>457</x:v>
      </x:c>
      <x:c r="AI737" s="55" t="n">
        <x:v>10298</x:v>
      </x:c>
      <x:c r="AJ737" s="55" t="n">
        <x:v>291</x:v>
      </x:c>
      <x:c r="AK737" s="55" t="n">
        <x:v>889</x:v>
      </x:c>
      <x:c r="AL737" s="55" t="n">
        <x:v>1556</x:v>
      </x:c>
      <x:c r="AM737" s="55" t="n">
        <x:v>5286</x:v>
      </x:c>
      <x:c r="AN737" s="55" t="n">
        <x:v>2733</x:v>
      </x:c>
      <x:c r="AO737" s="55" t="n">
        <x:v>0</x:v>
      </x:c>
      <x:c r="AP737" s="55" t="n">
        <x:v>2350</x:v>
      </x:c>
      <x:c r="AQ737" s="55" t="n">
        <x:v>940</x:v>
      </x:c>
    </x:row>
    <x:row r="738">
      <x:c r="A738" s="54" t="str">
        <x:v>T0_TABLE_BLOCK</x:v>
      </x:c>
      <x:c r="B738" s="54" t="n">
        <x:v>732</x:v>
      </x:c>
      <x:c r="C738" s="54" t="str">
        <x:v>NYC-V2-R01</x:v>
      </x:c>
      <x:c r="D738" s="54" t="str">
        <x:v>V2</x:v>
      </x:c>
      <x:c r="E738" s="54" t="str">
        <x:v>ADMITTED</x:v>
      </x:c>
      <x:c r="F738" s="55" t="n">
        <x:v>29680</x:v>
      </x:c>
      <x:c r="G738" s="55" t="n">
        <x:v>7192</x:v>
      </x:c>
      <x:c r="H738" s="55" t="n">
        <x:v>3104</x:v>
      </x:c>
      <x:c r="I738" s="55" t="n">
        <x:v>1042</x:v>
      </x:c>
      <x:c r="J738" s="55" t="n">
        <x:v>248</x:v>
      </x:c>
      <x:c r="K738" s="55" t="n">
        <x:v>29680</x:v>
      </x:c>
      <x:c r="L738" s="55" t="n">
        <x:v>5378</x:v>
      </x:c>
      <x:c r="M738" s="55" t="n">
        <x:v>637</x:v>
      </x:c>
      <x:c r="N738" s="55" t="n">
        <x:v>2919</x:v>
      </x:c>
      <x:c r="O738" s="55" t="n">
        <x:v>1822</x:v>
      </x:c>
      <x:c r="P738" s="55" t="n">
        <x:v>1096</x:v>
      </x:c>
      <x:c r="Q738" s="55" t="n">
        <x:v>2499</x:v>
      </x:c>
      <x:c r="R738" s="55" t="n">
        <x:v>1609</x:v>
      </x:c>
      <x:c r="S738" s="55" t="n">
        <x:v>2569</x:v>
      </x:c>
      <x:c r="T738" s="55" t="n">
        <x:v>1551</x:v>
      </x:c>
      <x:c r="U738" s="55" t="n">
        <x:v>1738</x:v>
      </x:c>
      <x:c r="V738" s="55" t="n">
        <x:v>9798</x:v>
      </x:c>
      <x:c r="W738" s="55" t="n">
        <x:v>6500</x:v>
      </x:c>
      <x:c r="X738" s="55" t="n">
        <x:v>3298</x:v>
      </x:c>
      <x:c r="Y738" s="55" t="n">
        <x:v>2954</x:v>
      </x:c>
      <x:c r="Z738" s="55" t="n">
        <x:v>3646</x:v>
      </x:c>
      <x:c r="AA738" s="55" t="n">
        <x:v>3104</x:v>
      </x:c>
      <x:c r="AB738" s="55" t="n">
        <x:v>953</x:v>
      </x:c>
      <x:c r="AC738" s="55" t="n">
        <x:v>7806</x:v>
      </x:c>
      <x:c r="AD738" s="55" t="n">
        <x:v>3100</x:v>
      </x:c>
      <x:c r="AE738" s="55" t="n">
        <x:v>9844</x:v>
      </x:c>
      <x:c r="AF738" s="55" t="n">
        <x:v>9798</x:v>
      </x:c>
      <x:c r="AG738" s="55" t="n">
        <x:v>46</x:v>
      </x:c>
      <x:c r="AH738" s="55" t="n">
        <x:v>358</x:v>
      </x:c>
      <x:c r="AI738" s="55" t="n">
        <x:v>9440</x:v>
      </x:c>
      <x:c r="AJ738" s="55" t="n">
        <x:v>412</x:v>
      </x:c>
      <x:c r="AK738" s="55" t="n">
        <x:v>863</x:v>
      </x:c>
      <x:c r="AL738" s="55" t="n">
        <x:v>1414</x:v>
      </x:c>
      <x:c r="AM738" s="55" t="n">
        <x:v>4802</x:v>
      </x:c>
      <x:c r="AN738" s="55" t="n">
        <x:v>2233</x:v>
      </x:c>
      <x:c r="AO738" s="55" t="n">
        <x:v>74</x:v>
      </x:c>
      <x:c r="AP738" s="55" t="n">
        <x:v>1640</x:v>
      </x:c>
      <x:c r="AQ738" s="55" t="n">
        <x:v>959</x:v>
      </x:c>
    </x:row>
    <x:row r="739">
      <x:c r="A739" s="54" t="str">
        <x:v>T0_TABLE_BLOCK</x:v>
      </x:c>
      <x:c r="B739" s="54" t="n">
        <x:v>733</x:v>
      </x:c>
      <x:c r="C739" s="54" t="str">
        <x:v>NYC-V2-R01</x:v>
      </x:c>
      <x:c r="D739" s="54" t="str">
        <x:v>V2</x:v>
      </x:c>
      <x:c r="E739" s="54" t="str">
        <x:v>ADMITTED</x:v>
      </x:c>
      <x:c r="F739" s="55" t="n">
        <x:v>30215</x:v>
      </x:c>
      <x:c r="G739" s="55" t="n">
        <x:v>7626</x:v>
      </x:c>
      <x:c r="H739" s="55" t="n">
        <x:v>3239</x:v>
      </x:c>
      <x:c r="I739" s="55" t="n">
        <x:v>1311</x:v>
      </x:c>
      <x:c r="J739" s="55" t="n">
        <x:v>62</x:v>
      </x:c>
      <x:c r="K739" s="55" t="n">
        <x:v>30215</x:v>
      </x:c>
      <x:c r="L739" s="55" t="n">
        <x:v>5630</x:v>
      </x:c>
      <x:c r="M739" s="55" t="n">
        <x:v>342</x:v>
      </x:c>
      <x:c r="N739" s="55" t="n">
        <x:v>3039</x:v>
      </x:c>
      <x:c r="O739" s="55" t="n">
        <x:v>2249</x:v>
      </x:c>
      <x:c r="P739" s="55" t="n">
        <x:v>458</x:v>
      </x:c>
      <x:c r="Q739" s="55" t="n">
        <x:v>2662</x:v>
      </x:c>
      <x:c r="R739" s="55" t="n">
        <x:v>2044</x:v>
      </x:c>
      <x:c r="S739" s="55" t="n">
        <x:v>3309</x:v>
      </x:c>
      <x:c r="T739" s="55" t="n">
        <x:v>740</x:v>
      </x:c>
      <x:c r="U739" s="55" t="n">
        <x:v>2200</x:v>
      </x:c>
      <x:c r="V739" s="55" t="n">
        <x:v>11236</x:v>
      </x:c>
      <x:c r="W739" s="55" t="n">
        <x:v>8192</x:v>
      </x:c>
      <x:c r="X739" s="55" t="n">
        <x:v>3044</x:v>
      </x:c>
      <x:c r="Y739" s="55" t="n">
        <x:v>2580</x:v>
      </x:c>
      <x:c r="Z739" s="55" t="n">
        <x:v>4142</x:v>
      </x:c>
      <x:c r="AA739" s="55" t="n">
        <x:v>3239</x:v>
      </x:c>
      <x:c r="AB739" s="55" t="n">
        <x:v>672</x:v>
      </x:c>
      <x:c r="AC739" s="55" t="n">
        <x:v>8323</x:v>
      </x:c>
      <x:c r="AD739" s="55" t="n">
        <x:v>3474</x:v>
      </x:c>
      <x:c r="AE739" s="55" t="n">
        <x:v>11264</x:v>
      </x:c>
      <x:c r="AF739" s="55" t="n">
        <x:v>11236</x:v>
      </x:c>
      <x:c r="AG739" s="55" t="n">
        <x:v>28</x:v>
      </x:c>
      <x:c r="AH739" s="55" t="n">
        <x:v>634</x:v>
      </x:c>
      <x:c r="AI739" s="55" t="n">
        <x:v>10602</x:v>
      </x:c>
      <x:c r="AJ739" s="55" t="n">
        <x:v>341</x:v>
      </x:c>
      <x:c r="AK739" s="55" t="n">
        <x:v>1463</x:v>
      </x:c>
      <x:c r="AL739" s="55" t="n">
        <x:v>1702</x:v>
      </x:c>
      <x:c r="AM739" s="55" t="n">
        <x:v>5016</x:v>
      </x:c>
      <x:c r="AN739" s="55" t="n">
        <x:v>2694</x:v>
      </x:c>
      <x:c r="AO739" s="55" t="n">
        <x:v>20</x:v>
      </x:c>
      <x:c r="AP739" s="55" t="n">
        <x:v>2257</x:v>
      </x:c>
      <x:c r="AQ739" s="55" t="n">
        <x:v>1021</x:v>
      </x:c>
    </x:row>
    <x:row r="740">
      <x:c r="A740" s="54" t="str">
        <x:v>T0_TABLE_BLOCK</x:v>
      </x:c>
      <x:c r="B740" s="54" t="n">
        <x:v>734</x:v>
      </x:c>
      <x:c r="C740" s="54" t="str">
        <x:v>NYC-V2-R01</x:v>
      </x:c>
      <x:c r="D740" s="54" t="str">
        <x:v>V2</x:v>
      </x:c>
      <x:c r="E740" s="54" t="str">
        <x:v>ADMITTED</x:v>
      </x:c>
      <x:c r="F740" s="55" t="n">
        <x:v>33383</x:v>
      </x:c>
      <x:c r="G740" s="55" t="n">
        <x:v>7566</x:v>
      </x:c>
      <x:c r="H740" s="55" t="n">
        <x:v>4168</x:v>
      </x:c>
      <x:c r="I740" s="55" t="n">
        <x:v>2076</x:v>
      </x:c>
      <x:c r="J740" s="55" t="n">
        <x:v>333</x:v>
      </x:c>
      <x:c r="K740" s="55" t="n">
        <x:v>33383</x:v>
      </x:c>
      <x:c r="L740" s="55" t="n">
        <x:v>6591</x:v>
      </x:c>
      <x:c r="M740" s="55" t="n">
        <x:v>1950</x:v>
      </x:c>
      <x:c r="N740" s="55" t="n">
        <x:v>2492</x:v>
      </x:c>
      <x:c r="O740" s="55" t="n">
        <x:v>2149</x:v>
      </x:c>
      <x:c r="P740" s="55" t="n">
        <x:v>828</x:v>
      </x:c>
      <x:c r="Q740" s="55" t="n">
        <x:v>2245</x:v>
      </x:c>
      <x:c r="R740" s="55" t="n">
        <x:v>2073</x:v>
      </x:c>
      <x:c r="S740" s="55" t="n">
        <x:v>3220</x:v>
      </x:c>
      <x:c r="T740" s="55" t="n">
        <x:v>990</x:v>
      </x:c>
      <x:c r="U740" s="55" t="n">
        <x:v>2247</x:v>
      </x:c>
      <x:c r="V740" s="55" t="n">
        <x:v>10230</x:v>
      </x:c>
      <x:c r="W740" s="55" t="n">
        <x:v>6773</x:v>
      </x:c>
      <x:c r="X740" s="55" t="n">
        <x:v>3457</x:v>
      </x:c>
      <x:c r="Y740" s="55" t="n">
        <x:v>3118</x:v>
      </x:c>
      <x:c r="Z740" s="55" t="n">
        <x:v>2975</x:v>
      </x:c>
      <x:c r="AA740" s="55" t="n">
        <x:v>2851</x:v>
      </x:c>
      <x:c r="AB740" s="55" t="n">
        <x:v>865</x:v>
      </x:c>
      <x:c r="AC740" s="55" t="n">
        <x:v>8614</x:v>
      </x:c>
      <x:c r="AD740" s="55" t="n">
        <x:v>2823</x:v>
      </x:c>
      <x:c r="AE740" s="55" t="n">
        <x:v>10315</x:v>
      </x:c>
      <x:c r="AF740" s="55" t="n">
        <x:v>10230</x:v>
      </x:c>
      <x:c r="AG740" s="55" t="n">
        <x:v>85</x:v>
      </x:c>
      <x:c r="AH740" s="55" t="n">
        <x:v>338</x:v>
      </x:c>
      <x:c r="AI740" s="55" t="n">
        <x:v>9892</x:v>
      </x:c>
      <x:c r="AJ740" s="55" t="n">
        <x:v>270</x:v>
      </x:c>
      <x:c r="AK740" s="55" t="n">
        <x:v>726</x:v>
      </x:c>
      <x:c r="AL740" s="55" t="n">
        <x:v>2085</x:v>
      </x:c>
      <x:c r="AM740" s="55" t="n">
        <x:v>4627</x:v>
      </x:c>
      <x:c r="AN740" s="55" t="n">
        <x:v>2432</x:v>
      </x:c>
      <x:c r="AO740" s="55" t="n">
        <x:v>90</x:v>
      </x:c>
      <x:c r="AP740" s="55" t="n">
        <x:v>2075</x:v>
      </x:c>
      <x:c r="AQ740" s="55" t="n">
        <x:v>971</x:v>
      </x:c>
    </x:row>
    <x:row r="741">
      <x:c r="A741" s="54" t="str">
        <x:v>T0_TABLE_BLOCK</x:v>
      </x:c>
      <x:c r="B741" s="54" t="n">
        <x:v>735</x:v>
      </x:c>
      <x:c r="C741" s="54" t="str">
        <x:v>NYC-V2-R01</x:v>
      </x:c>
      <x:c r="D741" s="54" t="str">
        <x:v>V2</x:v>
      </x:c>
      <x:c r="E741" s="54" t="str">
        <x:v>ADMITTED</x:v>
      </x:c>
      <x:c r="F741" s="55" t="n">
        <x:v>31036</x:v>
      </x:c>
      <x:c r="G741" s="55" t="n">
        <x:v>8426</x:v>
      </x:c>
      <x:c r="H741" s="55" t="n">
        <x:v>3159</x:v>
      </x:c>
      <x:c r="I741" s="55" t="n">
        <x:v>1426</x:v>
      </x:c>
      <x:c r="J741" s="55" t="n">
        <x:v>94</x:v>
      </x:c>
      <x:c r="K741" s="55" t="n">
        <x:v>29192</x:v>
      </x:c>
      <x:c r="L741" s="55" t="n">
        <x:v>4565</x:v>
      </x:c>
      <x:c r="M741" s="55" t="n">
        <x:v>554</x:v>
      </x:c>
      <x:c r="N741" s="55" t="n">
        <x:v>2085</x:v>
      </x:c>
      <x:c r="O741" s="55" t="n">
        <x:v>1926</x:v>
      </x:c>
      <x:c r="P741" s="55" t="n">
        <x:v>1028</x:v>
      </x:c>
      <x:c r="Q741" s="55" t="n">
        <x:v>1572</x:v>
      </x:c>
      <x:c r="R741" s="55" t="n">
        <x:v>1849</x:v>
      </x:c>
      <x:c r="S741" s="55" t="n">
        <x:v>2919</x:v>
      </x:c>
      <x:c r="T741" s="55" t="n">
        <x:v>1208</x:v>
      </x:c>
      <x:c r="U741" s="55" t="n">
        <x:v>2256</x:v>
      </x:c>
      <x:c r="V741" s="55" t="n">
        <x:v>11007</x:v>
      </x:c>
      <x:c r="W741" s="55" t="n">
        <x:v>7935</x:v>
      </x:c>
      <x:c r="X741" s="55" t="n">
        <x:v>3072</x:v>
      </x:c>
      <x:c r="Y741" s="55" t="n">
        <x:v>2761</x:v>
      </x:c>
      <x:c r="Z741" s="55" t="n">
        <x:v>3673</x:v>
      </x:c>
      <x:c r="AA741" s="55" t="n">
        <x:v>2779</x:v>
      </x:c>
      <x:c r="AB741" s="55" t="n">
        <x:v>1220</x:v>
      </x:c>
      <x:c r="AC741" s="55" t="n">
        <x:v>8802</x:v>
      </x:c>
      <x:c r="AD741" s="55" t="n">
        <x:v>3566</x:v>
      </x:c>
      <x:c r="AE741" s="55" t="n">
        <x:v>11028</x:v>
      </x:c>
      <x:c r="AF741" s="55" t="n">
        <x:v>11007</x:v>
      </x:c>
      <x:c r="AG741" s="55" t="n">
        <x:v>21</x:v>
      </x:c>
      <x:c r="AH741" s="55" t="n">
        <x:v>372</x:v>
      </x:c>
      <x:c r="AI741" s="55" t="n">
        <x:v>10635</x:v>
      </x:c>
      <x:c r="AJ741" s="55" t="n">
        <x:v>250</x:v>
      </x:c>
      <x:c r="AK741" s="55" t="n">
        <x:v>976</x:v>
      </x:c>
      <x:c r="AL741" s="55" t="n">
        <x:v>1883</x:v>
      </x:c>
      <x:c r="AM741" s="55" t="n">
        <x:v>4900</x:v>
      </x:c>
      <x:c r="AN741" s="55" t="n">
        <x:v>2981</x:v>
      </x:c>
      <x:c r="AO741" s="55" t="n">
        <x:v>17</x:v>
      </x:c>
      <x:c r="AP741" s="55" t="n">
        <x:v>2400</x:v>
      </x:c>
      <x:c r="AQ741" s="55" t="n">
        <x:v>1042</x:v>
      </x:c>
    </x:row>
    <x:row r="742">
      <x:c r="A742" s="54" t="str">
        <x:v>T0_TABLE_BLOCK</x:v>
      </x:c>
      <x:c r="B742" s="54" t="n">
        <x:v>736</x:v>
      </x:c>
      <x:c r="C742" s="54" t="str">
        <x:v>NYC-V2-R01</x:v>
      </x:c>
      <x:c r="D742" s="54" t="str">
        <x:v>V2</x:v>
      </x:c>
      <x:c r="E742" s="54" t="str">
        <x:v>ADMITTED</x:v>
      </x:c>
      <x:c r="F742" s="55" t="n">
        <x:v>31997</x:v>
      </x:c>
      <x:c r="G742" s="55" t="n">
        <x:v>6241</x:v>
      </x:c>
      <x:c r="H742" s="55" t="n">
        <x:v>3278</x:v>
      </x:c>
      <x:c r="I742" s="55" t="n">
        <x:v>1416</x:v>
      </x:c>
      <x:c r="J742" s="55" t="n">
        <x:v>151</x:v>
      </x:c>
      <x:c r="K742" s="55" t="n">
        <x:v>31997</x:v>
      </x:c>
      <x:c r="L742" s="55" t="n">
        <x:v>5892</x:v>
      </x:c>
      <x:c r="M742" s="55" t="n">
        <x:v>2000</x:v>
      </x:c>
      <x:c r="N742" s="55" t="n">
        <x:v>2300</x:v>
      </x:c>
      <x:c r="O742" s="55" t="n">
        <x:v>1592</x:v>
      </x:c>
      <x:c r="P742" s="55" t="n">
        <x:v>1053</x:v>
      </x:c>
      <x:c r="Q742" s="55" t="n">
        <x:v>2880</x:v>
      </x:c>
      <x:c r="R742" s="55" t="n">
        <x:v>2071</x:v>
      </x:c>
      <x:c r="S742" s="55" t="n">
        <x:v>2961</x:v>
      </x:c>
      <x:c r="T742" s="55" t="n">
        <x:v>1214</x:v>
      </x:c>
      <x:c r="U742" s="55" t="n">
        <x:v>1699</x:v>
      </x:c>
      <x:c r="V742" s="55" t="n">
        <x:v>10783</x:v>
      </x:c>
      <x:c r="W742" s="55" t="n">
        <x:v>7380</x:v>
      </x:c>
      <x:c r="X742" s="55" t="n">
        <x:v>3403</x:v>
      </x:c>
      <x:c r="Y742" s="55" t="n">
        <x:v>2990</x:v>
      </x:c>
      <x:c r="Z742" s="55" t="n">
        <x:v>3796</x:v>
      </x:c>
      <x:c r="AA742" s="55" t="n">
        <x:v>3278</x:v>
      </x:c>
      <x:c r="AB742" s="55" t="n">
        <x:v>927</x:v>
      </x:c>
      <x:c r="AC742" s="55" t="n">
        <x:v>7817</x:v>
      </x:c>
      <x:c r="AD742" s="55" t="n">
        <x:v>2790</x:v>
      </x:c>
      <x:c r="AE742" s="55" t="n">
        <x:v>10799</x:v>
      </x:c>
      <x:c r="AF742" s="55" t="n">
        <x:v>10783</x:v>
      </x:c>
      <x:c r="AG742" s="55" t="n">
        <x:v>16</x:v>
      </x:c>
      <x:c r="AH742" s="55" t="n">
        <x:v>627</x:v>
      </x:c>
      <x:c r="AI742" s="55" t="n">
        <x:v>10156</x:v>
      </x:c>
      <x:c r="AJ742" s="55" t="n">
        <x:v>304</x:v>
      </x:c>
      <x:c r="AK742" s="55" t="n">
        <x:v>1206</x:v>
      </x:c>
      <x:c r="AL742" s="55" t="n">
        <x:v>2164</x:v>
      </x:c>
      <x:c r="AM742" s="55" t="n">
        <x:v>4482</x:v>
      </x:c>
      <x:c r="AN742" s="55" t="n">
        <x:v>2627</x:v>
      </x:c>
      <x:c r="AO742" s="55" t="n">
        <x:v>0</x:v>
      </x:c>
      <x:c r="AP742" s="55" t="n">
        <x:v>2354</x:v>
      </x:c>
      <x:c r="AQ742" s="55" t="n">
        <x:v>891</x:v>
      </x:c>
    </x:row>
    <x:row r="743">
      <x:c r="A743" s="54" t="str">
        <x:v>T0_TABLE_BLOCK</x:v>
      </x:c>
      <x:c r="B743" s="54" t="n">
        <x:v>737</x:v>
      </x:c>
      <x:c r="C743" s="54" t="str">
        <x:v>NYC-V2-R01</x:v>
      </x:c>
      <x:c r="D743" s="54" t="str">
        <x:v>V2</x:v>
      </x:c>
      <x:c r="E743" s="54" t="str">
        <x:v>ADMITTED</x:v>
      </x:c>
      <x:c r="F743" s="55" t="n">
        <x:v>30849</x:v>
      </x:c>
      <x:c r="G743" s="55" t="n">
        <x:v>7868</x:v>
      </x:c>
      <x:c r="H743" s="55" t="n">
        <x:v>3437</x:v>
      </x:c>
      <x:c r="I743" s="55" t="n">
        <x:v>915</x:v>
      </x:c>
      <x:c r="J743" s="55" t="n">
        <x:v>184</x:v>
      </x:c>
      <x:c r="K743" s="55" t="n">
        <x:v>29336</x:v>
      </x:c>
      <x:c r="L743" s="55" t="n">
        <x:v>4657</x:v>
      </x:c>
      <x:c r="M743" s="55" t="n">
        <x:v>366</x:v>
      </x:c>
      <x:c r="N743" s="55" t="n">
        <x:v>2704</x:v>
      </x:c>
      <x:c r="O743" s="55" t="n">
        <x:v>1587</x:v>
      </x:c>
      <x:c r="P743" s="55" t="n">
        <x:v>768</x:v>
      </x:c>
      <x:c r="Q743" s="55" t="n">
        <x:v>3039</x:v>
      </x:c>
      <x:c r="R743" s="55" t="n">
        <x:v>1872</x:v>
      </x:c>
      <x:c r="S743" s="55" t="n">
        <x:v>3577</x:v>
      </x:c>
      <x:c r="T743" s="55" t="n">
        <x:v>1078</x:v>
      </x:c>
      <x:c r="U743" s="55" t="n">
        <x:v>2487</x:v>
      </x:c>
      <x:c r="V743" s="55" t="n">
        <x:v>10650</x:v>
      </x:c>
      <x:c r="W743" s="55" t="n">
        <x:v>7860</x:v>
      </x:c>
      <x:c r="X743" s="55" t="n">
        <x:v>2790</x:v>
      </x:c>
      <x:c r="Y743" s="55" t="n">
        <x:v>2424</x:v>
      </x:c>
      <x:c r="Z743" s="55" t="n">
        <x:v>3657</x:v>
      </x:c>
      <x:c r="AA743" s="55" t="n">
        <x:v>3437</x:v>
      </x:c>
      <x:c r="AB743" s="55" t="n">
        <x:v>1138</x:v>
      </x:c>
      <x:c r="AC743" s="55" t="n">
        <x:v>7468</x:v>
      </x:c>
      <x:c r="AD743" s="55" t="n">
        <x:v>2752</x:v>
      </x:c>
      <x:c r="AE743" s="55" t="n">
        <x:v>10740</x:v>
      </x:c>
      <x:c r="AF743" s="55" t="n">
        <x:v>10650</x:v>
      </x:c>
      <x:c r="AG743" s="55" t="n">
        <x:v>90</x:v>
      </x:c>
      <x:c r="AH743" s="55" t="n">
        <x:v>514</x:v>
      </x:c>
      <x:c r="AI743" s="55" t="n">
        <x:v>10136</x:v>
      </x:c>
      <x:c r="AJ743" s="55" t="n">
        <x:v>371</x:v>
      </x:c>
      <x:c r="AK743" s="55" t="n">
        <x:v>938</x:v>
      </x:c>
      <x:c r="AL743" s="55" t="n">
        <x:v>2276</x:v>
      </x:c>
      <x:c r="AM743" s="55" t="n">
        <x:v>4673</x:v>
      </x:c>
      <x:c r="AN743" s="55" t="n">
        <x:v>2392</x:v>
      </x:c>
      <x:c r="AO743" s="55" t="n">
        <x:v>0</x:v>
      </x:c>
      <x:c r="AP743" s="55" t="n">
        <x:v>2490</x:v>
      </x:c>
      <x:c r="AQ743" s="55" t="n">
        <x:v>974</x:v>
      </x:c>
    </x:row>
    <x:row r="744">
      <x:c r="A744" s="54" t="str">
        <x:v>T0_TABLE_BLOCK</x:v>
      </x:c>
      <x:c r="B744" s="54" t="n">
        <x:v>738</x:v>
      </x:c>
      <x:c r="C744" s="54" t="str">
        <x:v>NYC-V2-R01</x:v>
      </x:c>
      <x:c r="D744" s="54" t="str">
        <x:v>V2</x:v>
      </x:c>
      <x:c r="E744" s="54" t="str">
        <x:v>ADMITTED</x:v>
      </x:c>
      <x:c r="F744" s="55" t="n">
        <x:v>32352</x:v>
      </x:c>
      <x:c r="G744" s="55" t="n">
        <x:v>9947</x:v>
      </x:c>
      <x:c r="H744" s="55" t="n">
        <x:v>3350</x:v>
      </x:c>
      <x:c r="I744" s="55" t="n">
        <x:v>822</x:v>
      </x:c>
      <x:c r="J744" s="55" t="n">
        <x:v>259</x:v>
      </x:c>
      <x:c r="K744" s="55" t="n">
        <x:v>29312</x:v>
      </x:c>
      <x:c r="L744" s="55" t="n">
        <x:v>4648</x:v>
      </x:c>
      <x:c r="M744" s="55" t="n">
        <x:v>225</x:v>
      </x:c>
      <x:c r="N744" s="55" t="n">
        <x:v>2114</x:v>
      </x:c>
      <x:c r="O744" s="55" t="n">
        <x:v>2309</x:v>
      </x:c>
      <x:c r="P744" s="55" t="n">
        <x:v>895</x:v>
      </x:c>
      <x:c r="Q744" s="55" t="n">
        <x:v>3511</x:v>
      </x:c>
      <x:c r="R744" s="55" t="n">
        <x:v>2046</x:v>
      </x:c>
      <x:c r="S744" s="55" t="n">
        <x:v>2148</x:v>
      </x:c>
      <x:c r="T744" s="55" t="n">
        <x:v>843</x:v>
      </x:c>
      <x:c r="U744" s="55" t="n">
        <x:v>2233</x:v>
      </x:c>
      <x:c r="V744" s="55" t="n">
        <x:v>10049</x:v>
      </x:c>
      <x:c r="W744" s="55" t="n">
        <x:v>7157</x:v>
      </x:c>
      <x:c r="X744" s="55" t="n">
        <x:v>2892</x:v>
      </x:c>
      <x:c r="Y744" s="55" t="n">
        <x:v>2529</x:v>
      </x:c>
      <x:c r="Z744" s="55" t="n">
        <x:v>3497</x:v>
      </x:c>
      <x:c r="AA744" s="55" t="n">
        <x:v>3350</x:v>
      </x:c>
      <x:c r="AB744" s="55" t="n">
        <x:v>1002</x:v>
      </x:c>
      <x:c r="AC744" s="55" t="n">
        <x:v>7993</x:v>
      </x:c>
      <x:c r="AD744" s="55" t="n">
        <x:v>2755</x:v>
      </x:c>
      <x:c r="AE744" s="55" t="n">
        <x:v>10243</x:v>
      </x:c>
      <x:c r="AF744" s="55" t="n">
        <x:v>10049</x:v>
      </x:c>
      <x:c r="AG744" s="55" t="n">
        <x:v>194</x:v>
      </x:c>
      <x:c r="AH744" s="55" t="n">
        <x:v>273</x:v>
      </x:c>
      <x:c r="AI744" s="55" t="n">
        <x:v>9776</x:v>
      </x:c>
      <x:c r="AJ744" s="55" t="n">
        <x:v>220</x:v>
      </x:c>
      <x:c r="AK744" s="55" t="n">
        <x:v>902</x:v>
      </x:c>
      <x:c r="AL744" s="55" t="n">
        <x:v>1951</x:v>
      </x:c>
      <x:c r="AM744" s="55" t="n">
        <x:v>4493</x:v>
      </x:c>
      <x:c r="AN744" s="55" t="n">
        <x:v>2435</x:v>
      </x:c>
      <x:c r="AO744" s="55" t="n">
        <x:v>48</x:v>
      </x:c>
      <x:c r="AP744" s="55" t="n">
        <x:v>2509</x:v>
      </x:c>
      <x:c r="AQ744" s="55" t="n">
        <x:v>986</x:v>
      </x:c>
    </x:row>
    <x:row r="745">
      <x:c r="A745" s="54" t="str">
        <x:v>T0_TABLE_BLOCK</x:v>
      </x:c>
      <x:c r="B745" s="54" t="n">
        <x:v>739</x:v>
      </x:c>
      <x:c r="C745" s="54" t="str">
        <x:v>NYC-V2-R01</x:v>
      </x:c>
      <x:c r="D745" s="54" t="str">
        <x:v>V2</x:v>
      </x:c>
      <x:c r="E745" s="54" t="str">
        <x:v>ADMITTED</x:v>
      </x:c>
      <x:c r="F745" s="55" t="n">
        <x:v>30876</x:v>
      </x:c>
      <x:c r="G745" s="55" t="n">
        <x:v>6378</x:v>
      </x:c>
      <x:c r="H745" s="55" t="n">
        <x:v>3687</x:v>
      </x:c>
      <x:c r="I745" s="55" t="n">
        <x:v>1287</x:v>
      </x:c>
      <x:c r="J745" s="55" t="n">
        <x:v>192</x:v>
      </x:c>
      <x:c r="K745" s="55" t="n">
        <x:v>30876</x:v>
      </x:c>
      <x:c r="L745" s="55" t="n">
        <x:v>6079</x:v>
      </x:c>
      <x:c r="M745" s="55" t="n">
        <x:v>2073</x:v>
      </x:c>
      <x:c r="N745" s="55" t="n">
        <x:v>2558</x:v>
      </x:c>
      <x:c r="O745" s="55" t="n">
        <x:v>1448</x:v>
      </x:c>
      <x:c r="P745" s="55" t="n">
        <x:v>814</x:v>
      </x:c>
      <x:c r="Q745" s="55" t="n">
        <x:v>1629</x:v>
      </x:c>
      <x:c r="R745" s="55" t="n">
        <x:v>1999</x:v>
      </x:c>
      <x:c r="S745" s="55" t="n">
        <x:v>2214</x:v>
      </x:c>
      <x:c r="T745" s="55" t="n">
        <x:v>972</x:v>
      </x:c>
      <x:c r="U745" s="55" t="n">
        <x:v>1692</x:v>
      </x:c>
      <x:c r="V745" s="55" t="n">
        <x:v>10034</x:v>
      </x:c>
      <x:c r="W745" s="55" t="n">
        <x:v>6804</x:v>
      </x:c>
      <x:c r="X745" s="55" t="n">
        <x:v>3230</x:v>
      </x:c>
      <x:c r="Y745" s="55" t="n">
        <x:v>2684</x:v>
      </x:c>
      <x:c r="Z745" s="55" t="n">
        <x:v>3678</x:v>
      </x:c>
      <x:c r="AA745" s="55" t="n">
        <x:v>3060</x:v>
      </x:c>
      <x:c r="AB745" s="55" t="n">
        <x:v>1166</x:v>
      </x:c>
      <x:c r="AC745" s="55" t="n">
        <x:v>8478</x:v>
      </x:c>
      <x:c r="AD745" s="55" t="n">
        <x:v>2533</x:v>
      </x:c>
      <x:c r="AE745" s="55" t="n">
        <x:v>10070</x:v>
      </x:c>
      <x:c r="AF745" s="55" t="n">
        <x:v>10034</x:v>
      </x:c>
      <x:c r="AG745" s="55" t="n">
        <x:v>36</x:v>
      </x:c>
      <x:c r="AH745" s="55" t="n">
        <x:v>332</x:v>
      </x:c>
      <x:c r="AI745" s="55" t="n">
        <x:v>9702</x:v>
      </x:c>
      <x:c r="AJ745" s="55" t="n">
        <x:v>254</x:v>
      </x:c>
      <x:c r="AK745" s="55" t="n">
        <x:v>1068</x:v>
      </x:c>
      <x:c r="AL745" s="55" t="n">
        <x:v>1224</x:v>
      </x:c>
      <x:c r="AM745" s="55" t="n">
        <x:v>4681</x:v>
      </x:c>
      <x:c r="AN745" s="55" t="n">
        <x:v>2807</x:v>
      </x:c>
      <x:c r="AO745" s="55" t="n">
        <x:v>0</x:v>
      </x:c>
      <x:c r="AP745" s="55" t="n">
        <x:v>2329</x:v>
      </x:c>
      <x:c r="AQ745" s="55" t="n">
        <x:v>923</x:v>
      </x:c>
    </x:row>
    <x:row r="746">
      <x:c r="A746" s="54" t="str">
        <x:v>T0_TABLE_BLOCK</x:v>
      </x:c>
      <x:c r="B746" s="54" t="n">
        <x:v>740</x:v>
      </x:c>
      <x:c r="C746" s="54" t="str">
        <x:v>NYC-V2-R01</x:v>
      </x:c>
      <x:c r="D746" s="54" t="str">
        <x:v>V2</x:v>
      </x:c>
      <x:c r="E746" s="54" t="str">
        <x:v>ADMITTED</x:v>
      </x:c>
      <x:c r="F746" s="55" t="n">
        <x:v>32024</x:v>
      </x:c>
      <x:c r="G746" s="55" t="n">
        <x:v>8380</x:v>
      </x:c>
      <x:c r="H746" s="55" t="n">
        <x:v>3637</x:v>
      </x:c>
      <x:c r="I746" s="55" t="n">
        <x:v>1065</x:v>
      </x:c>
      <x:c r="J746" s="55" t="n">
        <x:v>338</x:v>
      </x:c>
      <x:c r="K746" s="55" t="n">
        <x:v>30030</x:v>
      </x:c>
      <x:c r="L746" s="55" t="n">
        <x:v>5415</x:v>
      </x:c>
      <x:c r="M746" s="55" t="n">
        <x:v>656</x:v>
      </x:c>
      <x:c r="N746" s="55" t="n">
        <x:v>2723</x:v>
      </x:c>
      <x:c r="O746" s="55" t="n">
        <x:v>2036</x:v>
      </x:c>
      <x:c r="P746" s="55" t="n">
        <x:v>504</x:v>
      </x:c>
      <x:c r="Q746" s="55" t="n">
        <x:v>2278</x:v>
      </x:c>
      <x:c r="R746" s="55" t="n">
        <x:v>1682</x:v>
      </x:c>
      <x:c r="S746" s="55" t="n">
        <x:v>2981</x:v>
      </x:c>
      <x:c r="T746" s="55" t="n">
        <x:v>1270</x:v>
      </x:c>
      <x:c r="U746" s="55" t="n">
        <x:v>1637</x:v>
      </x:c>
      <x:c r="V746" s="55" t="n">
        <x:v>10292</x:v>
      </x:c>
      <x:c r="W746" s="55" t="n">
        <x:v>7469</x:v>
      </x:c>
      <x:c r="X746" s="55" t="n">
        <x:v>2823</x:v>
      </x:c>
      <x:c r="Y746" s="55" t="n">
        <x:v>2523</x:v>
      </x:c>
      <x:c r="Z746" s="55" t="n">
        <x:v>4246</x:v>
      </x:c>
      <x:c r="AA746" s="55" t="n">
        <x:v>2988</x:v>
      </x:c>
      <x:c r="AB746" s="55" t="n">
        <x:v>845</x:v>
      </x:c>
      <x:c r="AC746" s="55" t="n">
        <x:v>8409</x:v>
      </x:c>
      <x:c r="AD746" s="55" t="n">
        <x:v>3284</x:v>
      </x:c>
      <x:c r="AE746" s="55" t="n">
        <x:v>10383</x:v>
      </x:c>
      <x:c r="AF746" s="55" t="n">
        <x:v>10292</x:v>
      </x:c>
      <x:c r="AG746" s="55" t="n">
        <x:v>91</x:v>
      </x:c>
      <x:c r="AH746" s="55" t="n">
        <x:v>522</x:v>
      </x:c>
      <x:c r="AI746" s="55" t="n">
        <x:v>9770</x:v>
      </x:c>
      <x:c r="AJ746" s="55" t="n">
        <x:v>515</x:v>
      </x:c>
      <x:c r="AK746" s="55" t="n">
        <x:v>572</x:v>
      </x:c>
      <x:c r="AL746" s="55" t="n">
        <x:v>1502</x:v>
      </x:c>
      <x:c r="AM746" s="55" t="n">
        <x:v>4833</x:v>
      </x:c>
      <x:c r="AN746" s="55" t="n">
        <x:v>2790</x:v>
      </x:c>
      <x:c r="AO746" s="55" t="n">
        <x:v>80</x:v>
      </x:c>
      <x:c r="AP746" s="55" t="n">
        <x:v>2507</x:v>
      </x:c>
      <x:c r="AQ746" s="55" t="n">
        <x:v>964</x:v>
      </x:c>
    </x:row>
    <x:row r="747">
      <x:c r="A747" s="54" t="str">
        <x:v>T0_TABLE_BLOCK</x:v>
      </x:c>
      <x:c r="B747" s="54" t="n">
        <x:v>741</x:v>
      </x:c>
      <x:c r="C747" s="54" t="str">
        <x:v>NYC-V2-R01</x:v>
      </x:c>
      <x:c r="D747" s="54" t="str">
        <x:v>V2</x:v>
      </x:c>
      <x:c r="E747" s="54" t="str">
        <x:v>ADMITTED</x:v>
      </x:c>
      <x:c r="F747" s="55" t="n">
        <x:v>29795</x:v>
      </x:c>
      <x:c r="G747" s="55" t="n">
        <x:v>5928</x:v>
      </x:c>
      <x:c r="H747" s="55" t="n">
        <x:v>3672</x:v>
      </x:c>
      <x:c r="I747" s="55" t="n">
        <x:v>1296</x:v>
      </x:c>
      <x:c r="J747" s="55" t="n">
        <x:v>18</x:v>
      </x:c>
      <x:c r="K747" s="55" t="n">
        <x:v>29795</x:v>
      </x:c>
      <x:c r="L747" s="55" t="n">
        <x:v>5318</x:v>
      </x:c>
      <x:c r="M747" s="55" t="n">
        <x:v>1011</x:v>
      </x:c>
      <x:c r="N747" s="55" t="n">
        <x:v>2124</x:v>
      </x:c>
      <x:c r="O747" s="55" t="n">
        <x:v>2183</x:v>
      </x:c>
      <x:c r="P747" s="55" t="n">
        <x:v>1015</x:v>
      </x:c>
      <x:c r="Q747" s="55" t="n">
        <x:v>3399</x:v>
      </x:c>
      <x:c r="R747" s="55" t="n">
        <x:v>1980</x:v>
      </x:c>
      <x:c r="S747" s="55" t="n">
        <x:v>2011</x:v>
      </x:c>
      <x:c r="T747" s="55" t="n">
        <x:v>1685</x:v>
      </x:c>
      <x:c r="U747" s="55" t="n">
        <x:v>1666</x:v>
      </x:c>
      <x:c r="V747" s="55" t="n">
        <x:v>10369</x:v>
      </x:c>
      <x:c r="W747" s="55" t="n">
        <x:v>7109</x:v>
      </x:c>
      <x:c r="X747" s="55" t="n">
        <x:v>3260</x:v>
      </x:c>
      <x:c r="Y747" s="55" t="n">
        <x:v>2821</x:v>
      </x:c>
      <x:c r="Z747" s="55" t="n">
        <x:v>3588</x:v>
      </x:c>
      <x:c r="AA747" s="55" t="n">
        <x:v>3672</x:v>
      </x:c>
      <x:c r="AB747" s="55" t="n">
        <x:v>1002</x:v>
      </x:c>
      <x:c r="AC747" s="55" t="n">
        <x:v>8391</x:v>
      </x:c>
      <x:c r="AD747" s="55" t="n">
        <x:v>2634</x:v>
      </x:c>
      <x:c r="AE747" s="55" t="n">
        <x:v>10482</x:v>
      </x:c>
      <x:c r="AF747" s="55" t="n">
        <x:v>10369</x:v>
      </x:c>
      <x:c r="AG747" s="55" t="n">
        <x:v>113</x:v>
      </x:c>
      <x:c r="AH747" s="55" t="n">
        <x:v>645</x:v>
      </x:c>
      <x:c r="AI747" s="55" t="n">
        <x:v>9724</x:v>
      </x:c>
      <x:c r="AJ747" s="55" t="n">
        <x:v>373</x:v>
      </x:c>
      <x:c r="AK747" s="55" t="n">
        <x:v>895</x:v>
      </x:c>
      <x:c r="AL747" s="55" t="n">
        <x:v>1281</x:v>
      </x:c>
      <x:c r="AM747" s="55" t="n">
        <x:v>5011</x:v>
      </x:c>
      <x:c r="AN747" s="55" t="n">
        <x:v>2684</x:v>
      </x:c>
      <x:c r="AO747" s="55" t="n">
        <x:v>125</x:v>
      </x:c>
      <x:c r="AP747" s="55" t="n">
        <x:v>2293</x:v>
      </x:c>
      <x:c r="AQ747" s="55" t="n">
        <x:v>1038</x:v>
      </x:c>
    </x:row>
    <x:row r="748">
      <x:c r="A748" s="54" t="str">
        <x:v>T0_TABLE_BLOCK</x:v>
      </x:c>
      <x:c r="B748" s="54" t="n">
        <x:v>742</x:v>
      </x:c>
      <x:c r="C748" s="54" t="str">
        <x:v>NYC-V2-R01</x:v>
      </x:c>
      <x:c r="D748" s="54" t="str">
        <x:v>V2</x:v>
      </x:c>
      <x:c r="E748" s="54" t="str">
        <x:v>ADMITTED</x:v>
      </x:c>
      <x:c r="F748" s="55" t="n">
        <x:v>31363</x:v>
      </x:c>
      <x:c r="G748" s="55" t="n">
        <x:v>7148</x:v>
      </x:c>
      <x:c r="H748" s="55" t="n">
        <x:v>3438</x:v>
      </x:c>
      <x:c r="I748" s="55" t="n">
        <x:v>1306</x:v>
      </x:c>
      <x:c r="J748" s="55" t="n">
        <x:v>213</x:v>
      </x:c>
      <x:c r="K748" s="55" t="n">
        <x:v>31363</x:v>
      </x:c>
      <x:c r="L748" s="55" t="n">
        <x:v>6529</x:v>
      </x:c>
      <x:c r="M748" s="55" t="n">
        <x:v>1836</x:v>
      </x:c>
      <x:c r="N748" s="55" t="n">
        <x:v>2990</x:v>
      </x:c>
      <x:c r="O748" s="55" t="n">
        <x:v>1703</x:v>
      </x:c>
      <x:c r="P748" s="55" t="n">
        <x:v>484</x:v>
      </x:c>
      <x:c r="Q748" s="55" t="n">
        <x:v>2815</x:v>
      </x:c>
      <x:c r="R748" s="55" t="n">
        <x:v>2188</x:v>
      </x:c>
      <x:c r="S748" s="55" t="n">
        <x:v>2562</x:v>
      </x:c>
      <x:c r="T748" s="55" t="n">
        <x:v>1378</x:v>
      </x:c>
      <x:c r="U748" s="55" t="n">
        <x:v>1965</x:v>
      </x:c>
      <x:c r="V748" s="55" t="n">
        <x:v>10561</x:v>
      </x:c>
      <x:c r="W748" s="55" t="n">
        <x:v>7356</x:v>
      </x:c>
      <x:c r="X748" s="55" t="n">
        <x:v>3205</x:v>
      </x:c>
      <x:c r="Y748" s="55" t="n">
        <x:v>2750</x:v>
      </x:c>
      <x:c r="Z748" s="55" t="n">
        <x:v>3710</x:v>
      </x:c>
      <x:c r="AA748" s="55" t="n">
        <x:v>3174</x:v>
      </x:c>
      <x:c r="AB748" s="55" t="n">
        <x:v>1362</x:v>
      </x:c>
      <x:c r="AC748" s="55" t="n">
        <x:v>8777</x:v>
      </x:c>
      <x:c r="AD748" s="55" t="n">
        <x:v>2894</x:v>
      </x:c>
      <x:c r="AE748" s="55" t="n">
        <x:v>10729</x:v>
      </x:c>
      <x:c r="AF748" s="55" t="n">
        <x:v>10561</x:v>
      </x:c>
      <x:c r="AG748" s="55" t="n">
        <x:v>168</x:v>
      </x:c>
      <x:c r="AH748" s="55" t="n">
        <x:v>180</x:v>
      </x:c>
      <x:c r="AI748" s="55" t="n">
        <x:v>10381</x:v>
      </x:c>
      <x:c r="AJ748" s="55" t="n">
        <x:v>446</x:v>
      </x:c>
      <x:c r="AK748" s="55" t="n">
        <x:v>682</x:v>
      </x:c>
      <x:c r="AL748" s="55" t="n">
        <x:v>1668</x:v>
      </x:c>
      <x:c r="AM748" s="55" t="n">
        <x:v>5354</x:v>
      </x:c>
      <x:c r="AN748" s="55" t="n">
        <x:v>2246</x:v>
      </x:c>
      <x:c r="AO748" s="55" t="n">
        <x:v>165</x:v>
      </x:c>
      <x:c r="AP748" s="55" t="n">
        <x:v>2493</x:v>
      </x:c>
      <x:c r="AQ748" s="55" t="n">
        <x:v>960</x:v>
      </x:c>
    </x:row>
    <x:row r="749">
      <x:c r="A749" s="54" t="str">
        <x:v>T0_TABLE_BLOCK</x:v>
      </x:c>
      <x:c r="B749" s="54" t="n">
        <x:v>743</x:v>
      </x:c>
      <x:c r="C749" s="54" t="str">
        <x:v>NYC-V2-R01</x:v>
      </x:c>
      <x:c r="D749" s="54" t="str">
        <x:v>V2</x:v>
      </x:c>
      <x:c r="E749" s="54" t="str">
        <x:v>ADMITTED</x:v>
      </x:c>
      <x:c r="F749" s="55" t="n">
        <x:v>31937</x:v>
      </x:c>
      <x:c r="G749" s="55" t="n">
        <x:v>6779</x:v>
      </x:c>
      <x:c r="H749" s="55" t="n">
        <x:v>3170</x:v>
      </x:c>
      <x:c r="I749" s="55" t="n">
        <x:v>1085</x:v>
      </x:c>
      <x:c r="J749" s="55" t="n">
        <x:v>408</x:v>
      </x:c>
      <x:c r="K749" s="55" t="n">
        <x:v>27658</x:v>
      </x:c>
      <x:c r="L749" s="55" t="n">
        <x:v>4269</x:v>
      </x:c>
      <x:c r="M749" s="55" t="n">
        <x:v>858</x:v>
      </x:c>
      <x:c r="N749" s="55" t="n">
        <x:v>2123</x:v>
      </x:c>
      <x:c r="O749" s="55" t="n">
        <x:v>1288</x:v>
      </x:c>
      <x:c r="P749" s="55" t="n">
        <x:v>910</x:v>
      </x:c>
      <x:c r="Q749" s="55" t="n">
        <x:v>2604</x:v>
      </x:c>
      <x:c r="R749" s="55" t="n">
        <x:v>1944</x:v>
      </x:c>
      <x:c r="S749" s="55" t="n">
        <x:v>2404</x:v>
      </x:c>
      <x:c r="T749" s="55" t="n">
        <x:v>1377</x:v>
      </x:c>
      <x:c r="U749" s="55" t="n">
        <x:v>1917</x:v>
      </x:c>
      <x:c r="V749" s="55" t="n">
        <x:v>10420</x:v>
      </x:c>
      <x:c r="W749" s="55" t="n">
        <x:v>7274</x:v>
      </x:c>
      <x:c r="X749" s="55" t="n">
        <x:v>3146</x:v>
      </x:c>
      <x:c r="Y749" s="55" t="n">
        <x:v>2771</x:v>
      </x:c>
      <x:c r="Z749" s="55" t="n">
        <x:v>3696</x:v>
      </x:c>
      <x:c r="AA749" s="55" t="n">
        <x:v>3045</x:v>
      </x:c>
      <x:c r="AB749" s="55" t="n">
        <x:v>941</x:v>
      </x:c>
      <x:c r="AC749" s="55" t="n">
        <x:v>7517</x:v>
      </x:c>
      <x:c r="AD749" s="55" t="n">
        <x:v>2895</x:v>
      </x:c>
      <x:c r="AE749" s="55" t="n">
        <x:v>10490</x:v>
      </x:c>
      <x:c r="AF749" s="55" t="n">
        <x:v>10420</x:v>
      </x:c>
      <x:c r="AG749" s="55" t="n">
        <x:v>70</x:v>
      </x:c>
      <x:c r="AH749" s="55" t="n">
        <x:v>162</x:v>
      </x:c>
      <x:c r="AI749" s="55" t="n">
        <x:v>10258</x:v>
      </x:c>
      <x:c r="AJ749" s="55" t="n">
        <x:v>233</x:v>
      </x:c>
      <x:c r="AK749" s="55" t="n">
        <x:v>1044</x:v>
      </x:c>
      <x:c r="AL749" s="55" t="n">
        <x:v>1848</x:v>
      </x:c>
      <x:c r="AM749" s="55" t="n">
        <x:v>4926</x:v>
      </x:c>
      <x:c r="AN749" s="55" t="n">
        <x:v>2369</x:v>
      </x:c>
      <x:c r="AO749" s="55" t="n">
        <x:v>0</x:v>
      </x:c>
      <x:c r="AP749" s="55" t="n">
        <x:v>2530</x:v>
      </x:c>
      <x:c r="AQ749" s="55" t="n">
        <x:v>975</x:v>
      </x:c>
    </x:row>
    <x:row r="750">
      <x:c r="A750" s="54" t="str">
        <x:v>T0_TABLE_BLOCK</x:v>
      </x:c>
      <x:c r="B750" s="54" t="n">
        <x:v>744</x:v>
      </x:c>
      <x:c r="C750" s="54" t="str">
        <x:v>NYC-V2-R01</x:v>
      </x:c>
      <x:c r="D750" s="54" t="str">
        <x:v>V2</x:v>
      </x:c>
      <x:c r="E750" s="54" t="str">
        <x:v>ADMITTED</x:v>
      </x:c>
      <x:c r="F750" s="55" t="n">
        <x:v>32611</x:v>
      </x:c>
      <x:c r="G750" s="55" t="n">
        <x:v>9385</x:v>
      </x:c>
      <x:c r="H750" s="55" t="n">
        <x:v>3469</x:v>
      </x:c>
      <x:c r="I750" s="55" t="n">
        <x:v>1144</x:v>
      </x:c>
      <x:c r="J750" s="55" t="n">
        <x:v>348</x:v>
      </x:c>
      <x:c r="K750" s="55" t="n">
        <x:v>32415</x:v>
      </x:c>
      <x:c r="L750" s="55" t="n">
        <x:v>6667</x:v>
      </x:c>
      <x:c r="M750" s="55" t="n">
        <x:v>1670</x:v>
      </x:c>
      <x:c r="N750" s="55" t="n">
        <x:v>2934</x:v>
      </x:c>
      <x:c r="O750" s="55" t="n">
        <x:v>2063</x:v>
      </x:c>
      <x:c r="P750" s="55" t="n">
        <x:v>480</x:v>
      </x:c>
      <x:c r="Q750" s="55" t="n">
        <x:v>3029</x:v>
      </x:c>
      <x:c r="R750" s="55" t="n">
        <x:v>2417</x:v>
      </x:c>
      <x:c r="S750" s="55" t="n">
        <x:v>2616</x:v>
      </x:c>
      <x:c r="T750" s="55" t="n">
        <x:v>1394</x:v>
      </x:c>
      <x:c r="U750" s="55" t="n">
        <x:v>2389</x:v>
      </x:c>
      <x:c r="V750" s="55" t="n">
        <x:v>10421</x:v>
      </x:c>
      <x:c r="W750" s="55" t="n">
        <x:v>7378</x:v>
      </x:c>
      <x:c r="X750" s="55" t="n">
        <x:v>3043</x:v>
      </x:c>
      <x:c r="Y750" s="55" t="n">
        <x:v>2844</x:v>
      </x:c>
      <x:c r="Z750" s="55" t="n">
        <x:v>3609</x:v>
      </x:c>
      <x:c r="AA750" s="55" t="n">
        <x:v>3469</x:v>
      </x:c>
      <x:c r="AB750" s="55" t="n">
        <x:v>1437</x:v>
      </x:c>
      <x:c r="AC750" s="55" t="n">
        <x:v>7988</x:v>
      </x:c>
      <x:c r="AD750" s="55" t="n">
        <x:v>3390</x:v>
      </x:c>
      <x:c r="AE750" s="55" t="n">
        <x:v>10471</x:v>
      </x:c>
      <x:c r="AF750" s="55" t="n">
        <x:v>10421</x:v>
      </x:c>
      <x:c r="AG750" s="55" t="n">
        <x:v>50</x:v>
      </x:c>
      <x:c r="AH750" s="55" t="n">
        <x:v>515</x:v>
      </x:c>
      <x:c r="AI750" s="55" t="n">
        <x:v>9906</x:v>
      </x:c>
      <x:c r="AJ750" s="55" t="n">
        <x:v>216</x:v>
      </x:c>
      <x:c r="AK750" s="55" t="n">
        <x:v>840</x:v>
      </x:c>
      <x:c r="AL750" s="55" t="n">
        <x:v>1166</x:v>
      </x:c>
      <x:c r="AM750" s="55" t="n">
        <x:v>5109</x:v>
      </x:c>
      <x:c r="AN750" s="55" t="n">
        <x:v>3061</x:v>
      </x:c>
      <x:c r="AO750" s="55" t="n">
        <x:v>29</x:v>
      </x:c>
      <x:c r="AP750" s="55" t="n">
        <x:v>2895</x:v>
      </x:c>
      <x:c r="AQ750" s="55" t="n">
        <x:v>988</x:v>
      </x:c>
    </x:row>
    <x:row r="751">
      <x:c r="A751" s="54" t="str">
        <x:v>T0_TABLE_BLOCK</x:v>
      </x:c>
      <x:c r="B751" s="54" t="n">
        <x:v>745</x:v>
      </x:c>
      <x:c r="C751" s="54" t="str">
        <x:v>NYC-V2-R01</x:v>
      </x:c>
      <x:c r="D751" s="54" t="str">
        <x:v>V2</x:v>
      </x:c>
      <x:c r="E751" s="54" t="str">
        <x:v>ADMITTED</x:v>
      </x:c>
      <x:c r="F751" s="55" t="n">
        <x:v>30223</x:v>
      </x:c>
      <x:c r="G751" s="55" t="n">
        <x:v>8045</x:v>
      </x:c>
      <x:c r="H751" s="55" t="n">
        <x:v>3413</x:v>
      </x:c>
      <x:c r="I751" s="55" t="n">
        <x:v>1277</x:v>
      </x:c>
      <x:c r="J751" s="55" t="n">
        <x:v>187</x:v>
      </x:c>
      <x:c r="K751" s="55" t="n">
        <x:v>30223</x:v>
      </x:c>
      <x:c r="L751" s="55" t="n">
        <x:v>6706</x:v>
      </x:c>
      <x:c r="M751" s="55" t="n">
        <x:v>2103</x:v>
      </x:c>
      <x:c r="N751" s="55" t="n">
        <x:v>2939</x:v>
      </x:c>
      <x:c r="O751" s="55" t="n">
        <x:v>1664</x:v>
      </x:c>
      <x:c r="P751" s="55" t="n">
        <x:v>916</x:v>
      </x:c>
      <x:c r="Q751" s="55" t="n">
        <x:v>2940</x:v>
      </x:c>
      <x:c r="R751" s="55" t="n">
        <x:v>2260</x:v>
      </x:c>
      <x:c r="S751" s="55" t="n">
        <x:v>2661</x:v>
      </x:c>
      <x:c r="T751" s="55" t="n">
        <x:v>1198</x:v>
      </x:c>
      <x:c r="U751" s="55" t="n">
        <x:v>1970</x:v>
      </x:c>
      <x:c r="V751" s="55" t="n">
        <x:v>10837</x:v>
      </x:c>
      <x:c r="W751" s="55" t="n">
        <x:v>7951</x:v>
      </x:c>
      <x:c r="X751" s="55" t="n">
        <x:v>2886</x:v>
      </x:c>
      <x:c r="Y751" s="55" t="n">
        <x:v>2497</x:v>
      </x:c>
      <x:c r="Z751" s="55" t="n">
        <x:v>3606</x:v>
      </x:c>
      <x:c r="AA751" s="55" t="n">
        <x:v>3413</x:v>
      </x:c>
      <x:c r="AB751" s="55" t="n">
        <x:v>954</x:v>
      </x:c>
      <x:c r="AC751" s="55" t="n">
        <x:v>8460</x:v>
      </x:c>
      <x:c r="AD751" s="55" t="n">
        <x:v>2127</x:v>
      </x:c>
      <x:c r="AE751" s="55" t="n">
        <x:v>10979</x:v>
      </x:c>
      <x:c r="AF751" s="55" t="n">
        <x:v>10837</x:v>
      </x:c>
      <x:c r="AG751" s="55" t="n">
        <x:v>142</x:v>
      </x:c>
      <x:c r="AH751" s="55" t="n">
        <x:v>679</x:v>
      </x:c>
      <x:c r="AI751" s="55" t="n">
        <x:v>10158</x:v>
      </x:c>
      <x:c r="AJ751" s="55" t="n">
        <x:v>509</x:v>
      </x:c>
      <x:c r="AK751" s="55" t="n">
        <x:v>788</x:v>
      </x:c>
      <x:c r="AL751" s="55" t="n">
        <x:v>1725</x:v>
      </x:c>
      <x:c r="AM751" s="55" t="n">
        <x:v>5192</x:v>
      </x:c>
      <x:c r="AN751" s="55" t="n">
        <x:v>2599</x:v>
      </x:c>
      <x:c r="AO751" s="55" t="n">
        <x:v>24</x:v>
      </x:c>
      <x:c r="AP751" s="55" t="n">
        <x:v>2249</x:v>
      </x:c>
      <x:c r="AQ751" s="55" t="n">
        <x:v>906</x:v>
      </x:c>
    </x:row>
    <x:row r="752">
      <x:c r="A752" s="54" t="str">
        <x:v>T0_TABLE_BLOCK</x:v>
      </x:c>
      <x:c r="B752" s="54" t="n">
        <x:v>746</x:v>
      </x:c>
      <x:c r="C752" s="54" t="str">
        <x:v>NYC-V2-R01</x:v>
      </x:c>
      <x:c r="D752" s="54" t="str">
        <x:v>V2</x:v>
      </x:c>
      <x:c r="E752" s="54" t="str">
        <x:v>ADMITTED</x:v>
      </x:c>
      <x:c r="F752" s="55" t="n">
        <x:v>32713</x:v>
      </x:c>
      <x:c r="G752" s="55" t="n">
        <x:v>7644</x:v>
      </x:c>
      <x:c r="H752" s="55" t="n">
        <x:v>3003</x:v>
      </x:c>
      <x:c r="I752" s="55" t="n">
        <x:v>728</x:v>
      </x:c>
      <x:c r="J752" s="55" t="n">
        <x:v>0</x:v>
      </x:c>
      <x:c r="K752" s="55" t="n">
        <x:v>32713</x:v>
      </x:c>
      <x:c r="L752" s="55" t="n">
        <x:v>5939</x:v>
      </x:c>
      <x:c r="M752" s="55" t="n">
        <x:v>1095</x:v>
      </x:c>
      <x:c r="N752" s="55" t="n">
        <x:v>2827</x:v>
      </x:c>
      <x:c r="O752" s="55" t="n">
        <x:v>2017</x:v>
      </x:c>
      <x:c r="P752" s="55" t="n">
        <x:v>741</x:v>
      </x:c>
      <x:c r="Q752" s="55" t="n">
        <x:v>2043</x:v>
      </x:c>
      <x:c r="R752" s="55" t="n">
        <x:v>1565</x:v>
      </x:c>
      <x:c r="S752" s="55" t="n">
        <x:v>2855</x:v>
      </x:c>
      <x:c r="T752" s="55" t="n">
        <x:v>1507</x:v>
      </x:c>
      <x:c r="U752" s="55" t="n">
        <x:v>2424</x:v>
      </x:c>
      <x:c r="V752" s="55" t="n">
        <x:v>10753</x:v>
      </x:c>
      <x:c r="W752" s="55" t="n">
        <x:v>7450</x:v>
      </x:c>
      <x:c r="X752" s="55" t="n">
        <x:v>3303</x:v>
      </x:c>
      <x:c r="Y752" s="55" t="n">
        <x:v>3067</x:v>
      </x:c>
      <x:c r="Z752" s="55" t="n">
        <x:v>3118</x:v>
      </x:c>
      <x:c r="AA752" s="55" t="n">
        <x:v>3003</x:v>
      </x:c>
      <x:c r="AB752" s="55" t="n">
        <x:v>664</x:v>
      </x:c>
      <x:c r="AC752" s="55" t="n">
        <x:v>7523</x:v>
      </x:c>
      <x:c r="AD752" s="55" t="n">
        <x:v>2940</x:v>
      </x:c>
      <x:c r="AE752" s="55" t="n">
        <x:v>10916</x:v>
      </x:c>
      <x:c r="AF752" s="55" t="n">
        <x:v>10753</x:v>
      </x:c>
      <x:c r="AG752" s="55" t="n">
        <x:v>163</x:v>
      </x:c>
      <x:c r="AH752" s="55" t="n">
        <x:v>501</x:v>
      </x:c>
      <x:c r="AI752" s="55" t="n">
        <x:v>10252</x:v>
      </x:c>
      <x:c r="AJ752" s="55" t="n">
        <x:v>486</x:v>
      </x:c>
      <x:c r="AK752" s="55" t="n">
        <x:v>750</x:v>
      </x:c>
      <x:c r="AL752" s="55" t="n">
        <x:v>1437</x:v>
      </x:c>
      <x:c r="AM752" s="55" t="n">
        <x:v>5786</x:v>
      </x:c>
      <x:c r="AN752" s="55" t="n">
        <x:v>2294</x:v>
      </x:c>
      <x:c r="AO752" s="55" t="n">
        <x:v>0</x:v>
      </x:c>
      <x:c r="AP752" s="55" t="n">
        <x:v>2566</x:v>
      </x:c>
      <x:c r="AQ752" s="55" t="n">
        <x:v>944</x:v>
      </x:c>
    </x:row>
    <x:row r="753">
      <x:c r="A753" s="54" t="str">
        <x:v>T0_TABLE_BLOCK</x:v>
      </x:c>
      <x:c r="B753" s="54" t="n">
        <x:v>747</x:v>
      </x:c>
      <x:c r="C753" s="54" t="str">
        <x:v>NYC-V2-R01</x:v>
      </x:c>
      <x:c r="D753" s="54" t="str">
        <x:v>V2</x:v>
      </x:c>
      <x:c r="E753" s="54" t="str">
        <x:v>ADMITTED</x:v>
      </x:c>
      <x:c r="F753" s="55" t="n">
        <x:v>31230</x:v>
      </x:c>
      <x:c r="G753" s="55" t="n">
        <x:v>6206</x:v>
      </x:c>
      <x:c r="H753" s="55" t="n">
        <x:v>2857</x:v>
      </x:c>
      <x:c r="I753" s="55" t="n">
        <x:v>1345</x:v>
      </x:c>
      <x:c r="J753" s="55" t="n">
        <x:v>177</x:v>
      </x:c>
      <x:c r="K753" s="55" t="n">
        <x:v>31230</x:v>
      </x:c>
      <x:c r="L753" s="55" t="n">
        <x:v>4892</x:v>
      </x:c>
      <x:c r="M753" s="55" t="n">
        <x:v>728</x:v>
      </x:c>
      <x:c r="N753" s="55" t="n">
        <x:v>2661</x:v>
      </x:c>
      <x:c r="O753" s="55" t="n">
        <x:v>1503</x:v>
      </x:c>
      <x:c r="P753" s="55" t="n">
        <x:v>1029</x:v>
      </x:c>
      <x:c r="Q753" s="55" t="n">
        <x:v>1973</x:v>
      </x:c>
      <x:c r="R753" s="55" t="n">
        <x:v>2093</x:v>
      </x:c>
      <x:c r="S753" s="55" t="n">
        <x:v>2755</x:v>
      </x:c>
      <x:c r="T753" s="55" t="n">
        <x:v>731</x:v>
      </x:c>
      <x:c r="U753" s="55" t="n">
        <x:v>2289</x:v>
      </x:c>
      <x:c r="V753" s="55" t="n">
        <x:v>9939</x:v>
      </x:c>
      <x:c r="W753" s="55" t="n">
        <x:v>6976</x:v>
      </x:c>
      <x:c r="X753" s="55" t="n">
        <x:v>2963</x:v>
      </x:c>
      <x:c r="Y753" s="55" t="n">
        <x:v>2465</x:v>
      </x:c>
      <x:c r="Z753" s="55" t="n">
        <x:v>3894</x:v>
      </x:c>
      <x:c r="AA753" s="55" t="n">
        <x:v>2671</x:v>
      </x:c>
      <x:c r="AB753" s="55" t="n">
        <x:v>996</x:v>
      </x:c>
      <x:c r="AC753" s="55" t="n">
        <x:v>8621</x:v>
      </x:c>
      <x:c r="AD753" s="55" t="n">
        <x:v>2928</x:v>
      </x:c>
      <x:c r="AE753" s="55" t="n">
        <x:v>10065</x:v>
      </x:c>
      <x:c r="AF753" s="55" t="n">
        <x:v>9939</x:v>
      </x:c>
      <x:c r="AG753" s="55" t="n">
        <x:v>126</x:v>
      </x:c>
      <x:c r="AH753" s="55" t="n">
        <x:v>347</x:v>
      </x:c>
      <x:c r="AI753" s="55" t="n">
        <x:v>9592</x:v>
      </x:c>
      <x:c r="AJ753" s="55" t="n">
        <x:v>409</x:v>
      </x:c>
      <x:c r="AK753" s="55" t="n">
        <x:v>978</x:v>
      </x:c>
      <x:c r="AL753" s="55" t="n">
        <x:v>1571</x:v>
      </x:c>
      <x:c r="AM753" s="55" t="n">
        <x:v>4273</x:v>
      </x:c>
      <x:c r="AN753" s="55" t="n">
        <x:v>2705</x:v>
      </x:c>
      <x:c r="AO753" s="55" t="n">
        <x:v>3</x:v>
      </x:c>
      <x:c r="AP753" s="55" t="n">
        <x:v>2270</x:v>
      </x:c>
      <x:c r="AQ753" s="55" t="n">
        <x:v>942</x:v>
      </x:c>
    </x:row>
    <x:row r="754">
      <x:c r="A754" s="54" t="str">
        <x:v>T0_TABLE_BLOCK</x:v>
      </x:c>
      <x:c r="B754" s="54" t="n">
        <x:v>748</x:v>
      </x:c>
      <x:c r="C754" s="54" t="str">
        <x:v>NYC-V2-R01</x:v>
      </x:c>
      <x:c r="D754" s="54" t="str">
        <x:v>V2</x:v>
      </x:c>
      <x:c r="E754" s="54" t="str">
        <x:v>ADMITTED</x:v>
      </x:c>
      <x:c r="F754" s="55" t="n">
        <x:v>33193</x:v>
      </x:c>
      <x:c r="G754" s="55" t="n">
        <x:v>8685</x:v>
      </x:c>
      <x:c r="H754" s="55" t="n">
        <x:v>2922</x:v>
      </x:c>
      <x:c r="I754" s="55" t="n">
        <x:v>1136</x:v>
      </x:c>
      <x:c r="J754" s="55" t="n">
        <x:v>136</x:v>
      </x:c>
      <x:c r="K754" s="55" t="n">
        <x:v>31393</x:v>
      </x:c>
      <x:c r="L754" s="55" t="n">
        <x:v>5114</x:v>
      </x:c>
      <x:c r="M754" s="55" t="n">
        <x:v>1733</x:v>
      </x:c>
      <x:c r="N754" s="55" t="n">
        <x:v>2059</x:v>
      </x:c>
      <x:c r="O754" s="55" t="n">
        <x:v>1322</x:v>
      </x:c>
      <x:c r="P754" s="55" t="n">
        <x:v>756</x:v>
      </x:c>
      <x:c r="Q754" s="55" t="n">
        <x:v>2989</x:v>
      </x:c>
      <x:c r="R754" s="55" t="n">
        <x:v>1894</x:v>
      </x:c>
      <x:c r="S754" s="55" t="n">
        <x:v>2249</x:v>
      </x:c>
      <x:c r="T754" s="55" t="n">
        <x:v>1242</x:v>
      </x:c>
      <x:c r="U754" s="55" t="n">
        <x:v>1780</x:v>
      </x:c>
      <x:c r="V754" s="55" t="n">
        <x:v>10429</x:v>
      </x:c>
      <x:c r="W754" s="55" t="n">
        <x:v>7049</x:v>
      </x:c>
      <x:c r="X754" s="55" t="n">
        <x:v>3380</x:v>
      </x:c>
      <x:c r="Y754" s="55" t="n">
        <x:v>3007</x:v>
      </x:c>
      <x:c r="Z754" s="55" t="n">
        <x:v>3823</x:v>
      </x:c>
      <x:c r="AA754" s="55" t="n">
        <x:v>2520</x:v>
      </x:c>
      <x:c r="AB754" s="55" t="n">
        <x:v>808</x:v>
      </x:c>
      <x:c r="AC754" s="55" t="n">
        <x:v>8017</x:v>
      </x:c>
      <x:c r="AD754" s="55" t="n">
        <x:v>3013</x:v>
      </x:c>
      <x:c r="AE754" s="55" t="n">
        <x:v>10514</x:v>
      </x:c>
      <x:c r="AF754" s="55" t="n">
        <x:v>10429</x:v>
      </x:c>
      <x:c r="AG754" s="55" t="n">
        <x:v>85</x:v>
      </x:c>
      <x:c r="AH754" s="55" t="n">
        <x:v>652</x:v>
      </x:c>
      <x:c r="AI754" s="55" t="n">
        <x:v>9777</x:v>
      </x:c>
      <x:c r="AJ754" s="55" t="n">
        <x:v>652</x:v>
      </x:c>
      <x:c r="AK754" s="55" t="n">
        <x:v>980</x:v>
      </x:c>
      <x:c r="AL754" s="55" t="n">
        <x:v>1274</x:v>
      </x:c>
      <x:c r="AM754" s="55" t="n">
        <x:v>5258</x:v>
      </x:c>
      <x:c r="AN754" s="55" t="n">
        <x:v>2207</x:v>
      </x:c>
      <x:c r="AO754" s="55" t="n">
        <x:v>58</x:v>
      </x:c>
      <x:c r="AP754" s="55" t="n">
        <x:v>2325</x:v>
      </x:c>
      <x:c r="AQ754" s="55" t="n">
        <x:v>937</x:v>
      </x:c>
    </x:row>
    <x:row r="755">
      <x:c r="A755" s="54" t="str">
        <x:v>T0_TABLE_BLOCK</x:v>
      </x:c>
      <x:c r="B755" s="54" t="n">
        <x:v>749</x:v>
      </x:c>
      <x:c r="C755" s="54" t="str">
        <x:v>NYC-V2-R01</x:v>
      </x:c>
      <x:c r="D755" s="54" t="str">
        <x:v>V2</x:v>
      </x:c>
      <x:c r="E755" s="54" t="str">
        <x:v>ADMITTED</x:v>
      </x:c>
      <x:c r="F755" s="55" t="n">
        <x:v>31068</x:v>
      </x:c>
      <x:c r="G755" s="55" t="n">
        <x:v>8157</x:v>
      </x:c>
      <x:c r="H755" s="55" t="n">
        <x:v>2962</x:v>
      </x:c>
      <x:c r="I755" s="55" t="n">
        <x:v>1350</x:v>
      </x:c>
      <x:c r="J755" s="55" t="n">
        <x:v>133</x:v>
      </x:c>
      <x:c r="K755" s="55" t="n">
        <x:v>31065</x:v>
      </x:c>
      <x:c r="L755" s="55" t="n">
        <x:v>5451</x:v>
      </x:c>
      <x:c r="M755" s="55" t="n">
        <x:v>1569</x:v>
      </x:c>
      <x:c r="N755" s="55" t="n">
        <x:v>2300</x:v>
      </x:c>
      <x:c r="O755" s="55" t="n">
        <x:v>1582</x:v>
      </x:c>
      <x:c r="P755" s="55" t="n">
        <x:v>978</x:v>
      </x:c>
      <x:c r="Q755" s="55" t="n">
        <x:v>2456</x:v>
      </x:c>
      <x:c r="R755" s="55" t="n">
        <x:v>1706</x:v>
      </x:c>
      <x:c r="S755" s="55" t="n">
        <x:v>2680</x:v>
      </x:c>
      <x:c r="T755" s="55" t="n">
        <x:v>1137</x:v>
      </x:c>
      <x:c r="U755" s="55" t="n">
        <x:v>2161</x:v>
      </x:c>
      <x:c r="V755" s="55" t="n">
        <x:v>9826</x:v>
      </x:c>
      <x:c r="W755" s="55" t="n">
        <x:v>6989</x:v>
      </x:c>
      <x:c r="X755" s="55" t="n">
        <x:v>2837</x:v>
      </x:c>
      <x:c r="Y755" s="55" t="n">
        <x:v>2395</x:v>
      </x:c>
      <x:c r="Z755" s="55" t="n">
        <x:v>3777</x:v>
      </x:c>
      <x:c r="AA755" s="55" t="n">
        <x:v>2962</x:v>
      </x:c>
      <x:c r="AB755" s="55" t="n">
        <x:v>971</x:v>
      </x:c>
      <x:c r="AC755" s="55" t="n">
        <x:v>8223</x:v>
      </x:c>
      <x:c r="AD755" s="55" t="n">
        <x:v>3019</x:v>
      </x:c>
      <x:c r="AE755" s="55" t="n">
        <x:v>9993</x:v>
      </x:c>
      <x:c r="AF755" s="55" t="n">
        <x:v>9826</x:v>
      </x:c>
      <x:c r="AG755" s="55" t="n">
        <x:v>167</x:v>
      </x:c>
      <x:c r="AH755" s="55" t="n">
        <x:v>163</x:v>
      </x:c>
      <x:c r="AI755" s="55" t="n">
        <x:v>9663</x:v>
      </x:c>
      <x:c r="AJ755" s="55" t="n">
        <x:v>418</x:v>
      </x:c>
      <x:c r="AK755" s="55" t="n">
        <x:v>981</x:v>
      </x:c>
      <x:c r="AL755" s="55" t="n">
        <x:v>1228</x:v>
      </x:c>
      <x:c r="AM755" s="55" t="n">
        <x:v>4441</x:v>
      </x:c>
      <x:c r="AN755" s="55" t="n">
        <x:v>2758</x:v>
      </x:c>
      <x:c r="AO755" s="55" t="n">
        <x:v>0</x:v>
      </x:c>
      <x:c r="AP755" s="55" t="n">
        <x:v>2405</x:v>
      </x:c>
      <x:c r="AQ755" s="55" t="n">
        <x:v>958</x:v>
      </x:c>
    </x:row>
    <x:row r="756">
      <x:c r="A756" s="54" t="str">
        <x:v>T0_TABLE_BLOCK</x:v>
      </x:c>
      <x:c r="B756" s="54" t="n">
        <x:v>750</x:v>
      </x:c>
      <x:c r="C756" s="54" t="str">
        <x:v>NYC-V2-R01</x:v>
      </x:c>
      <x:c r="D756" s="54" t="str">
        <x:v>V2</x:v>
      </x:c>
      <x:c r="E756" s="54" t="str">
        <x:v>ADMITTED</x:v>
      </x:c>
      <x:c r="F756" s="55" t="n">
        <x:v>29485</x:v>
      </x:c>
      <x:c r="G756" s="55" t="n">
        <x:v>6710</x:v>
      </x:c>
      <x:c r="H756" s="55" t="n">
        <x:v>3401</x:v>
      </x:c>
      <x:c r="I756" s="55" t="n">
        <x:v>1457</x:v>
      </x:c>
      <x:c r="J756" s="55" t="n">
        <x:v>186</x:v>
      </x:c>
      <x:c r="K756" s="55" t="n">
        <x:v>27827</x:v>
      </x:c>
      <x:c r="L756" s="55" t="n">
        <x:v>4614</x:v>
      </x:c>
      <x:c r="M756" s="55" t="n">
        <x:v>268</x:v>
      </x:c>
      <x:c r="N756" s="55" t="n">
        <x:v>2431</x:v>
      </x:c>
      <x:c r="O756" s="55" t="n">
        <x:v>1915</x:v>
      </x:c>
      <x:c r="P756" s="55" t="n">
        <x:v>1037</x:v>
      </x:c>
      <x:c r="Q756" s="55" t="n">
        <x:v>1871</x:v>
      </x:c>
      <x:c r="R756" s="55" t="n">
        <x:v>1983</x:v>
      </x:c>
      <x:c r="S756" s="55" t="n">
        <x:v>2975</x:v>
      </x:c>
      <x:c r="T756" s="55" t="n">
        <x:v>1196</x:v>
      </x:c>
      <x:c r="U756" s="55" t="n">
        <x:v>1762</x:v>
      </x:c>
      <x:c r="V756" s="55" t="n">
        <x:v>10436</x:v>
      </x:c>
      <x:c r="W756" s="55" t="n">
        <x:v>7316</x:v>
      </x:c>
      <x:c r="X756" s="55" t="n">
        <x:v>3120</x:v>
      </x:c>
      <x:c r="Y756" s="55" t="n">
        <x:v>2526</x:v>
      </x:c>
      <x:c r="Z756" s="55" t="n">
        <x:v>3644</x:v>
      </x:c>
      <x:c r="AA756" s="55" t="n">
        <x:v>3386</x:v>
      </x:c>
      <x:c r="AB756" s="55" t="n">
        <x:v>1005</x:v>
      </x:c>
      <x:c r="AC756" s="55" t="n">
        <x:v>8603</x:v>
      </x:c>
      <x:c r="AD756" s="55" t="n">
        <x:v>3066</x:v>
      </x:c>
      <x:c r="AE756" s="55" t="n">
        <x:v>10516</x:v>
      </x:c>
      <x:c r="AF756" s="55" t="n">
        <x:v>10436</x:v>
      </x:c>
      <x:c r="AG756" s="55" t="n">
        <x:v>80</x:v>
      </x:c>
      <x:c r="AH756" s="55" t="n">
        <x:v>513</x:v>
      </x:c>
      <x:c r="AI756" s="55" t="n">
        <x:v>9923</x:v>
      </x:c>
      <x:c r="AJ756" s="55" t="n">
        <x:v>141</x:v>
      </x:c>
      <x:c r="AK756" s="55" t="n">
        <x:v>954</x:v>
      </x:c>
      <x:c r="AL756" s="55" t="n">
        <x:v>1488</x:v>
      </x:c>
      <x:c r="AM756" s="55" t="n">
        <x:v>5310</x:v>
      </x:c>
      <x:c r="AN756" s="55" t="n">
        <x:v>2543</x:v>
      </x:c>
      <x:c r="AO756" s="55" t="n">
        <x:v>0</x:v>
      </x:c>
      <x:c r="AP756" s="55" t="n">
        <x:v>2253</x:v>
      </x:c>
      <x:c r="AQ756" s="55" t="n">
        <x:v>963</x:v>
      </x:c>
    </x:row>
    <x:row r="757">
      <x:c r="A757" s="54" t="str">
        <x:v>T0_TABLE_BLOCK</x:v>
      </x:c>
      <x:c r="B757" s="54" t="n">
        <x:v>751</x:v>
      </x:c>
      <x:c r="C757" s="54" t="str">
        <x:v>NYC-V2-R01</x:v>
      </x:c>
      <x:c r="D757" s="54" t="str">
        <x:v>V2</x:v>
      </x:c>
      <x:c r="E757" s="54" t="str">
        <x:v>ADMITTED</x:v>
      </x:c>
      <x:c r="F757" s="55" t="n">
        <x:v>33705</x:v>
      </x:c>
      <x:c r="G757" s="55" t="n">
        <x:v>7655</x:v>
      </x:c>
      <x:c r="H757" s="55" t="n">
        <x:v>3229</x:v>
      </x:c>
      <x:c r="I757" s="55" t="n">
        <x:v>1319</x:v>
      </x:c>
      <x:c r="J757" s="55" t="n">
        <x:v>86</x:v>
      </x:c>
      <x:c r="K757" s="55" t="n">
        <x:v>33705</x:v>
      </x:c>
      <x:c r="L757" s="55" t="n">
        <x:v>6432</x:v>
      </x:c>
      <x:c r="M757" s="55" t="n">
        <x:v>1791</x:v>
      </x:c>
      <x:c r="N757" s="55" t="n">
        <x:v>2415</x:v>
      </x:c>
      <x:c r="O757" s="55" t="n">
        <x:v>2226</x:v>
      </x:c>
      <x:c r="P757" s="55" t="n">
        <x:v>724</x:v>
      </x:c>
      <x:c r="Q757" s="55" t="n">
        <x:v>2120</x:v>
      </x:c>
      <x:c r="R757" s="55" t="n">
        <x:v>1664</x:v>
      </x:c>
      <x:c r="S757" s="55" t="n">
        <x:v>2363</x:v>
      </x:c>
      <x:c r="T757" s="55" t="n">
        <x:v>1541</x:v>
      </x:c>
      <x:c r="U757" s="55" t="n">
        <x:v>1873</x:v>
      </x:c>
      <x:c r="V757" s="55" t="n">
        <x:v>10677</x:v>
      </x:c>
      <x:c r="W757" s="55" t="n">
        <x:v>8087</x:v>
      </x:c>
      <x:c r="X757" s="55" t="n">
        <x:v>2590</x:v>
      </x:c>
      <x:c r="Y757" s="55" t="n">
        <x:v>2544</x:v>
      </x:c>
      <x:c r="Z757" s="55" t="n">
        <x:v>3650</x:v>
      </x:c>
      <x:c r="AA757" s="55" t="n">
        <x:v>3132</x:v>
      </x:c>
      <x:c r="AB757" s="55" t="n">
        <x:v>1014</x:v>
      </x:c>
      <x:c r="AC757" s="55" t="n">
        <x:v>8021</x:v>
      </x:c>
      <x:c r="AD757" s="55" t="n">
        <x:v>2865</x:v>
      </x:c>
      <x:c r="AE757" s="55" t="n">
        <x:v>10794</x:v>
      </x:c>
      <x:c r="AF757" s="55" t="n">
        <x:v>10677</x:v>
      </x:c>
      <x:c r="AG757" s="55" t="n">
        <x:v>117</x:v>
      </x:c>
      <x:c r="AH757" s="55" t="n">
        <x:v>443</x:v>
      </x:c>
      <x:c r="AI757" s="55" t="n">
        <x:v>10234</x:v>
      </x:c>
      <x:c r="AJ757" s="55" t="n">
        <x:v>369</x:v>
      </x:c>
      <x:c r="AK757" s="55" t="n">
        <x:v>815</x:v>
      </x:c>
      <x:c r="AL757" s="55" t="n">
        <x:v>1603</x:v>
      </x:c>
      <x:c r="AM757" s="55" t="n">
        <x:v>5283</x:v>
      </x:c>
      <x:c r="AN757" s="55" t="n">
        <x:v>2579</x:v>
      </x:c>
      <x:c r="AO757" s="55" t="n">
        <x:v>28</x:v>
      </x:c>
      <x:c r="AP757" s="55" t="n">
        <x:v>2573</x:v>
      </x:c>
      <x:c r="AQ757" s="55" t="n">
        <x:v>937</x:v>
      </x:c>
    </x:row>
    <x:row r="758">
      <x:c r="A758" s="54" t="str">
        <x:v>T0_TABLE_BLOCK</x:v>
      </x:c>
      <x:c r="B758" s="54" t="n">
        <x:v>752</x:v>
      </x:c>
      <x:c r="C758" s="54" t="str">
        <x:v>NYC-V2-R01</x:v>
      </x:c>
      <x:c r="D758" s="54" t="str">
        <x:v>V2</x:v>
      </x:c>
      <x:c r="E758" s="54" t="str">
        <x:v>ADMITTED</x:v>
      </x:c>
      <x:c r="F758" s="55" t="n">
        <x:v>31629</x:v>
      </x:c>
      <x:c r="G758" s="55" t="n">
        <x:v>8607</x:v>
      </x:c>
      <x:c r="H758" s="55" t="n">
        <x:v>3537</x:v>
      </x:c>
      <x:c r="I758" s="55" t="n">
        <x:v>1113</x:v>
      </x:c>
      <x:c r="J758" s="55" t="n">
        <x:v>15</x:v>
      </x:c>
      <x:c r="K758" s="55" t="n">
        <x:v>29387</x:v>
      </x:c>
      <x:c r="L758" s="55" t="n">
        <x:v>5260</x:v>
      </x:c>
      <x:c r="M758" s="55" t="n">
        <x:v>967</x:v>
      </x:c>
      <x:c r="N758" s="55" t="n">
        <x:v>2503</x:v>
      </x:c>
      <x:c r="O758" s="55" t="n">
        <x:v>1790</x:v>
      </x:c>
      <x:c r="P758" s="55" t="n">
        <x:v>595</x:v>
      </x:c>
      <x:c r="Q758" s="55" t="n">
        <x:v>2488</x:v>
      </x:c>
      <x:c r="R758" s="55" t="n">
        <x:v>1757</x:v>
      </x:c>
      <x:c r="S758" s="55" t="n">
        <x:v>2738</x:v>
      </x:c>
      <x:c r="T758" s="55" t="n">
        <x:v>901</x:v>
      </x:c>
      <x:c r="U758" s="55" t="n">
        <x:v>2004</x:v>
      </x:c>
      <x:c r="V758" s="55" t="n">
        <x:v>11174</x:v>
      </x:c>
      <x:c r="W758" s="55" t="n">
        <x:v>8206</x:v>
      </x:c>
      <x:c r="X758" s="55" t="n">
        <x:v>2968</x:v>
      </x:c>
      <x:c r="Y758" s="55" t="n">
        <x:v>2507</x:v>
      </x:c>
      <x:c r="Z758" s="55" t="n">
        <x:v>3876</x:v>
      </x:c>
      <x:c r="AA758" s="55" t="n">
        <x:v>3537</x:v>
      </x:c>
      <x:c r="AB758" s="55" t="n">
        <x:v>1095</x:v>
      </x:c>
      <x:c r="AC758" s="55" t="n">
        <x:v>8508</x:v>
      </x:c>
      <x:c r="AD758" s="55" t="n">
        <x:v>2776</x:v>
      </x:c>
      <x:c r="AE758" s="55" t="n">
        <x:v>11258</x:v>
      </x:c>
      <x:c r="AF758" s="55" t="n">
        <x:v>11174</x:v>
      </x:c>
      <x:c r="AG758" s="55" t="n">
        <x:v>84</x:v>
      </x:c>
      <x:c r="AH758" s="55" t="n">
        <x:v>247</x:v>
      </x:c>
      <x:c r="AI758" s="55" t="n">
        <x:v>10927</x:v>
      </x:c>
      <x:c r="AJ758" s="55" t="n">
        <x:v>443</x:v>
      </x:c>
      <x:c r="AK758" s="55" t="n">
        <x:v>560</x:v>
      </x:c>
      <x:c r="AL758" s="55" t="n">
        <x:v>2033</x:v>
      </x:c>
      <x:c r="AM758" s="55" t="n">
        <x:v>4553</x:v>
      </x:c>
      <x:c r="AN758" s="55" t="n">
        <x:v>3542</x:v>
      </x:c>
      <x:c r="AO758" s="55" t="n">
        <x:v>43</x:v>
      </x:c>
      <x:c r="AP758" s="55" t="n">
        <x:v>1896</x:v>
      </x:c>
      <x:c r="AQ758" s="55" t="n">
        <x:v>986</x:v>
      </x:c>
    </x:row>
    <x:row r="759">
      <x:c r="A759" s="54" t="str">
        <x:v>T0_TABLE_BLOCK</x:v>
      </x:c>
      <x:c r="B759" s="54" t="n">
        <x:v>753</x:v>
      </x:c>
      <x:c r="C759" s="54" t="str">
        <x:v>NYC-V2-R01</x:v>
      </x:c>
      <x:c r="D759" s="54" t="str">
        <x:v>V2</x:v>
      </x:c>
      <x:c r="E759" s="54" t="str">
        <x:v>ADMITTED</x:v>
      </x:c>
      <x:c r="F759" s="55" t="n">
        <x:v>31911</x:v>
      </x:c>
      <x:c r="G759" s="55" t="n">
        <x:v>8514</x:v>
      </x:c>
      <x:c r="H759" s="55" t="n">
        <x:v>3100</x:v>
      </x:c>
      <x:c r="I759" s="55" t="n">
        <x:v>868</x:v>
      </x:c>
      <x:c r="J759" s="55" t="n">
        <x:v>0</x:v>
      </x:c>
      <x:c r="K759" s="55" t="n">
        <x:v>31911</x:v>
      </x:c>
      <x:c r="L759" s="55" t="n">
        <x:v>6362</x:v>
      </x:c>
      <x:c r="M759" s="55" t="n">
        <x:v>1240</x:v>
      </x:c>
      <x:c r="N759" s="55" t="n">
        <x:v>3339</x:v>
      </x:c>
      <x:c r="O759" s="55" t="n">
        <x:v>1783</x:v>
      </x:c>
      <x:c r="P759" s="55" t="n">
        <x:v>693</x:v>
      </x:c>
      <x:c r="Q759" s="55" t="n">
        <x:v>2507</x:v>
      </x:c>
      <x:c r="R759" s="55" t="n">
        <x:v>1506</x:v>
      </x:c>
      <x:c r="S759" s="55" t="n">
        <x:v>2677</x:v>
      </x:c>
      <x:c r="T759" s="55" t="n">
        <x:v>1294</x:v>
      </x:c>
      <x:c r="U759" s="55" t="n">
        <x:v>2652</x:v>
      </x:c>
      <x:c r="V759" s="55" t="n">
        <x:v>10080</x:v>
      </x:c>
      <x:c r="W759" s="55" t="n">
        <x:v>7071</x:v>
      </x:c>
      <x:c r="X759" s="55" t="n">
        <x:v>3009</x:v>
      </x:c>
      <x:c r="Y759" s="55" t="n">
        <x:v>2418</x:v>
      </x:c>
      <x:c r="Z759" s="55" t="n">
        <x:v>3943</x:v>
      </x:c>
      <x:c r="AA759" s="55" t="n">
        <x:v>2977</x:v>
      </x:c>
      <x:c r="AB759" s="55" t="n">
        <x:v>1168</x:v>
      </x:c>
      <x:c r="AC759" s="55" t="n">
        <x:v>7360</x:v>
      </x:c>
      <x:c r="AD759" s="55" t="n">
        <x:v>2948</x:v>
      </x:c>
      <x:c r="AE759" s="55" t="n">
        <x:v>10258</x:v>
      </x:c>
      <x:c r="AF759" s="55" t="n">
        <x:v>10080</x:v>
      </x:c>
      <x:c r="AG759" s="55" t="n">
        <x:v>178</x:v>
      </x:c>
      <x:c r="AH759" s="55" t="n">
        <x:v>539</x:v>
      </x:c>
      <x:c r="AI759" s="55" t="n">
        <x:v>9541</x:v>
      </x:c>
      <x:c r="AJ759" s="55" t="n">
        <x:v>353</x:v>
      </x:c>
      <x:c r="AK759" s="55" t="n">
        <x:v>1056</x:v>
      </x:c>
      <x:c r="AL759" s="55" t="n">
        <x:v>1683</x:v>
      </x:c>
      <x:c r="AM759" s="55" t="n">
        <x:v>4694</x:v>
      </x:c>
      <x:c r="AN759" s="55" t="n">
        <x:v>2294</x:v>
      </x:c>
      <x:c r="AO759" s="55" t="n">
        <x:v>0</x:v>
      </x:c>
      <x:c r="AP759" s="55" t="n">
        <x:v>2224</x:v>
      </x:c>
      <x:c r="AQ759" s="55" t="n">
        <x:v>961</x:v>
      </x:c>
    </x:row>
    <x:row r="760">
      <x:c r="A760" s="54" t="str">
        <x:v>T0_TABLE_BLOCK</x:v>
      </x:c>
      <x:c r="B760" s="54" t="n">
        <x:v>754</x:v>
      </x:c>
      <x:c r="C760" s="54" t="str">
        <x:v>NYC-V2-R01</x:v>
      </x:c>
      <x:c r="D760" s="54" t="str">
        <x:v>V2</x:v>
      </x:c>
      <x:c r="E760" s="54" t="str">
        <x:v>ADMITTED</x:v>
      </x:c>
      <x:c r="F760" s="55" t="n">
        <x:v>33135</x:v>
      </x:c>
      <x:c r="G760" s="55" t="n">
        <x:v>9243</x:v>
      </x:c>
      <x:c r="H760" s="55" t="n">
        <x:v>3367</x:v>
      </x:c>
      <x:c r="I760" s="55" t="n">
        <x:v>1361</x:v>
      </x:c>
      <x:c r="J760" s="55" t="n">
        <x:v>278</x:v>
      </x:c>
      <x:c r="K760" s="55" t="n">
        <x:v>29670</x:v>
      </x:c>
      <x:c r="L760" s="55" t="n">
        <x:v>5663</x:v>
      </x:c>
      <x:c r="M760" s="55" t="n">
        <x:v>1065</x:v>
      </x:c>
      <x:c r="N760" s="55" t="n">
        <x:v>2826</x:v>
      </x:c>
      <x:c r="O760" s="55" t="n">
        <x:v>1772</x:v>
      </x:c>
      <x:c r="P760" s="55" t="n">
        <x:v>731</x:v>
      </x:c>
      <x:c r="Q760" s="55" t="n">
        <x:v>1597</x:v>
      </x:c>
      <x:c r="R760" s="55" t="n">
        <x:v>1807</x:v>
      </x:c>
      <x:c r="S760" s="55" t="n">
        <x:v>2724</x:v>
      </x:c>
      <x:c r="T760" s="55" t="n">
        <x:v>1310</x:v>
      </x:c>
      <x:c r="U760" s="55" t="n">
        <x:v>2207</x:v>
      </x:c>
      <x:c r="V760" s="55" t="n">
        <x:v>10645</x:v>
      </x:c>
      <x:c r="W760" s="55" t="n">
        <x:v>6943</x:v>
      </x:c>
      <x:c r="X760" s="55" t="n">
        <x:v>3702</x:v>
      </x:c>
      <x:c r="Y760" s="55" t="n">
        <x:v>3188</x:v>
      </x:c>
      <x:c r="Z760" s="55" t="n">
        <x:v>3574</x:v>
      </x:c>
      <x:c r="AA760" s="55" t="n">
        <x:v>2621</x:v>
      </x:c>
      <x:c r="AB760" s="55" t="n">
        <x:v>868</x:v>
      </x:c>
      <x:c r="AC760" s="55" t="n">
        <x:v>7803</x:v>
      </x:c>
      <x:c r="AD760" s="55" t="n">
        <x:v>2603</x:v>
      </x:c>
      <x:c r="AE760" s="55" t="n">
        <x:v>10733</x:v>
      </x:c>
      <x:c r="AF760" s="55" t="n">
        <x:v>10645</x:v>
      </x:c>
      <x:c r="AG760" s="55" t="n">
        <x:v>88</x:v>
      </x:c>
      <x:c r="AH760" s="55" t="n">
        <x:v>473</x:v>
      </x:c>
      <x:c r="AI760" s="55" t="n">
        <x:v>10172</x:v>
      </x:c>
      <x:c r="AJ760" s="55" t="n">
        <x:v>284</x:v>
      </x:c>
      <x:c r="AK760" s="55" t="n">
        <x:v>1078</x:v>
      </x:c>
      <x:c r="AL760" s="55" t="n">
        <x:v>1699</x:v>
      </x:c>
      <x:c r="AM760" s="55" t="n">
        <x:v>5027</x:v>
      </x:c>
      <x:c r="AN760" s="55" t="n">
        <x:v>2557</x:v>
      </x:c>
      <x:c r="AO760" s="55" t="n">
        <x:v>0</x:v>
      </x:c>
      <x:c r="AP760" s="55" t="n">
        <x:v>2514</x:v>
      </x:c>
      <x:c r="AQ760" s="55" t="n">
        <x:v>933</x:v>
      </x:c>
    </x:row>
    <x:row r="761">
      <x:c r="A761" s="54" t="str">
        <x:v>T0_TABLE_BLOCK</x:v>
      </x:c>
      <x:c r="B761" s="54" t="n">
        <x:v>755</x:v>
      </x:c>
      <x:c r="C761" s="54" t="str">
        <x:v>NYC-V2-R01</x:v>
      </x:c>
      <x:c r="D761" s="54" t="str">
        <x:v>V2</x:v>
      </x:c>
      <x:c r="E761" s="54" t="str">
        <x:v>ADMITTED</x:v>
      </x:c>
      <x:c r="F761" s="55" t="n">
        <x:v>32864</x:v>
      </x:c>
      <x:c r="G761" s="55" t="n">
        <x:v>8222</x:v>
      </x:c>
      <x:c r="H761" s="55" t="n">
        <x:v>3550</x:v>
      </x:c>
      <x:c r="I761" s="55" t="n">
        <x:v>1126</x:v>
      </x:c>
      <x:c r="J761" s="55" t="n">
        <x:v>252</x:v>
      </x:c>
      <x:c r="K761" s="55" t="n">
        <x:v>31129</x:v>
      </x:c>
      <x:c r="L761" s="55" t="n">
        <x:v>6049</x:v>
      </x:c>
      <x:c r="M761" s="55" t="n">
        <x:v>1455</x:v>
      </x:c>
      <x:c r="N761" s="55" t="n">
        <x:v>3097</x:v>
      </x:c>
      <x:c r="O761" s="55" t="n">
        <x:v>1497</x:v>
      </x:c>
      <x:c r="P761" s="55" t="n">
        <x:v>856</x:v>
      </x:c>
      <x:c r="Q761" s="55" t="n">
        <x:v>1877</x:v>
      </x:c>
      <x:c r="R761" s="55" t="n">
        <x:v>2389</x:v>
      </x:c>
      <x:c r="S761" s="55" t="n">
        <x:v>2781</x:v>
      </x:c>
      <x:c r="T761" s="55" t="n">
        <x:v>1083</x:v>
      </x:c>
      <x:c r="U761" s="55" t="n">
        <x:v>2177</x:v>
      </x:c>
      <x:c r="V761" s="55" t="n">
        <x:v>10746</x:v>
      </x:c>
      <x:c r="W761" s="55" t="n">
        <x:v>7470</x:v>
      </x:c>
      <x:c r="X761" s="55" t="n">
        <x:v>3276</x:v>
      </x:c>
      <x:c r="Y761" s="55" t="n">
        <x:v>2803</x:v>
      </x:c>
      <x:c r="Z761" s="55" t="n">
        <x:v>3589</x:v>
      </x:c>
      <x:c r="AA761" s="55" t="n">
        <x:v>2992</x:v>
      </x:c>
      <x:c r="AB761" s="55" t="n">
        <x:v>1024</x:v>
      </x:c>
      <x:c r="AC761" s="55" t="n">
        <x:v>8220</x:v>
      </x:c>
      <x:c r="AD761" s="55" t="n">
        <x:v>2862</x:v>
      </x:c>
      <x:c r="AE761" s="55" t="n">
        <x:v>10802</x:v>
      </x:c>
      <x:c r="AF761" s="55" t="n">
        <x:v>10746</x:v>
      </x:c>
      <x:c r="AG761" s="55" t="n">
        <x:v>56</x:v>
      </x:c>
      <x:c r="AH761" s="55" t="n">
        <x:v>299</x:v>
      </x:c>
      <x:c r="AI761" s="55" t="n">
        <x:v>10447</x:v>
      </x:c>
      <x:c r="AJ761" s="55" t="n">
        <x:v>531</x:v>
      </x:c>
      <x:c r="AK761" s="55" t="n">
        <x:v>1123</x:v>
      </x:c>
      <x:c r="AL761" s="55" t="n">
        <x:v>1524</x:v>
      </x:c>
      <x:c r="AM761" s="55" t="n">
        <x:v>5211</x:v>
      </x:c>
      <x:c r="AN761" s="55" t="n">
        <x:v>2325</x:v>
      </x:c>
      <x:c r="AO761" s="55" t="n">
        <x:v>32</x:v>
      </x:c>
      <x:c r="AP761" s="55" t="n">
        <x:v>2534</x:v>
      </x:c>
      <x:c r="AQ761" s="55" t="n">
        <x:v>905</x:v>
      </x:c>
    </x:row>
    <x:row r="762">
      <x:c r="A762" s="54" t="str">
        <x:v>T0_TABLE_BLOCK</x:v>
      </x:c>
      <x:c r="B762" s="54" t="n">
        <x:v>756</x:v>
      </x:c>
      <x:c r="C762" s="54" t="str">
        <x:v>NYC-V2-R01</x:v>
      </x:c>
      <x:c r="D762" s="54" t="str">
        <x:v>V2</x:v>
      </x:c>
      <x:c r="E762" s="54" t="str">
        <x:v>ADMITTED</x:v>
      </x:c>
      <x:c r="F762" s="55" t="n">
        <x:v>31106</x:v>
      </x:c>
      <x:c r="G762" s="55" t="n">
        <x:v>6701</x:v>
      </x:c>
      <x:c r="H762" s="55" t="n">
        <x:v>3956</x:v>
      </x:c>
      <x:c r="I762" s="55" t="n">
        <x:v>1478</x:v>
      </x:c>
      <x:c r="J762" s="55" t="n">
        <x:v>524</x:v>
      </x:c>
      <x:c r="K762" s="55" t="n">
        <x:v>28877</x:v>
      </x:c>
      <x:c r="L762" s="55" t="n">
        <x:v>5352</x:v>
      </x:c>
      <x:c r="M762" s="55" t="n">
        <x:v>494</x:v>
      </x:c>
      <x:c r="N762" s="55" t="n">
        <x:v>3132</x:v>
      </x:c>
      <x:c r="O762" s="55" t="n">
        <x:v>1726</x:v>
      </x:c>
      <x:c r="P762" s="55" t="n">
        <x:v>847</x:v>
      </x:c>
      <x:c r="Q762" s="55" t="n">
        <x:v>2116</x:v>
      </x:c>
      <x:c r="R762" s="55" t="n">
        <x:v>1720</x:v>
      </x:c>
      <x:c r="S762" s="55" t="n">
        <x:v>3395</x:v>
      </x:c>
      <x:c r="T762" s="55" t="n">
        <x:v>1617</x:v>
      </x:c>
      <x:c r="U762" s="55" t="n">
        <x:v>2727</x:v>
      </x:c>
      <x:c r="V762" s="55" t="n">
        <x:v>10263</x:v>
      </x:c>
      <x:c r="W762" s="55" t="n">
        <x:v>7138</x:v>
      </x:c>
      <x:c r="X762" s="55" t="n">
        <x:v>3125</x:v>
      </x:c>
      <x:c r="Y762" s="55" t="n">
        <x:v>2682</x:v>
      </x:c>
      <x:c r="Z762" s="55" t="n">
        <x:v>3740</x:v>
      </x:c>
      <x:c r="AA762" s="55" t="n">
        <x:v>2778</x:v>
      </x:c>
      <x:c r="AB762" s="55" t="n">
        <x:v>1258</x:v>
      </x:c>
      <x:c r="AC762" s="55" t="n">
        <x:v>8173</x:v>
      </x:c>
      <x:c r="AD762" s="55" t="n">
        <x:v>3360</x:v>
      </x:c>
      <x:c r="AE762" s="55" t="n">
        <x:v>10366</x:v>
      </x:c>
      <x:c r="AF762" s="55" t="n">
        <x:v>10263</x:v>
      </x:c>
      <x:c r="AG762" s="55" t="n">
        <x:v>103</x:v>
      </x:c>
      <x:c r="AH762" s="55" t="n">
        <x:v>175</x:v>
      </x:c>
      <x:c r="AI762" s="55" t="n">
        <x:v>10088</x:v>
      </x:c>
      <x:c r="AJ762" s="55" t="n">
        <x:v>429</x:v>
      </x:c>
      <x:c r="AK762" s="55" t="n">
        <x:v>863</x:v>
      </x:c>
      <x:c r="AL762" s="55" t="n">
        <x:v>1064</x:v>
      </x:c>
      <x:c r="AM762" s="55" t="n">
        <x:v>4708</x:v>
      </x:c>
      <x:c r="AN762" s="55" t="n">
        <x:v>3170</x:v>
      </x:c>
      <x:c r="AO762" s="55" t="n">
        <x:v>29</x:v>
      </x:c>
      <x:c r="AP762" s="55" t="n">
        <x:v>2667</x:v>
      </x:c>
      <x:c r="AQ762" s="55" t="n">
        <x:v>1009</x:v>
      </x:c>
    </x:row>
    <x:row r="763">
      <x:c r="A763" s="54" t="str">
        <x:v>T0_TABLE_BLOCK</x:v>
      </x:c>
      <x:c r="B763" s="54" t="n">
        <x:v>757</x:v>
      </x:c>
      <x:c r="C763" s="54" t="str">
        <x:v>NYC-V2-R01</x:v>
      </x:c>
      <x:c r="D763" s="54" t="str">
        <x:v>V2</x:v>
      </x:c>
      <x:c r="E763" s="54" t="str">
        <x:v>ADMITTED</x:v>
      </x:c>
      <x:c r="F763" s="55" t="n">
        <x:v>32950</x:v>
      </x:c>
      <x:c r="G763" s="55" t="n">
        <x:v>7474</x:v>
      </x:c>
      <x:c r="H763" s="55" t="n">
        <x:v>3702</x:v>
      </x:c>
      <x:c r="I763" s="55" t="n">
        <x:v>1305</x:v>
      </x:c>
      <x:c r="J763" s="55" t="n">
        <x:v>264</x:v>
      </x:c>
      <x:c r="K763" s="55" t="n">
        <x:v>32950</x:v>
      </x:c>
      <x:c r="L763" s="55" t="n">
        <x:v>6356</x:v>
      </x:c>
      <x:c r="M763" s="55" t="n">
        <x:v>1283</x:v>
      </x:c>
      <x:c r="N763" s="55" t="n">
        <x:v>2704</x:v>
      </x:c>
      <x:c r="O763" s="55" t="n">
        <x:v>2369</x:v>
      </x:c>
      <x:c r="P763" s="55" t="n">
        <x:v>1136</x:v>
      </x:c>
      <x:c r="Q763" s="55" t="n">
        <x:v>2311</x:v>
      </x:c>
      <x:c r="R763" s="55" t="n">
        <x:v>1914</x:v>
      </x:c>
      <x:c r="S763" s="55" t="n">
        <x:v>2187</x:v>
      </x:c>
      <x:c r="T763" s="55" t="n">
        <x:v>1096</x:v>
      </x:c>
      <x:c r="U763" s="55" t="n">
        <x:v>1626</x:v>
      </x:c>
      <x:c r="V763" s="55" t="n">
        <x:v>10408</x:v>
      </x:c>
      <x:c r="W763" s="55" t="n">
        <x:v>7333</x:v>
      </x:c>
      <x:c r="X763" s="55" t="n">
        <x:v>3075</x:v>
      </x:c>
      <x:c r="Y763" s="55" t="n">
        <x:v>2477</x:v>
      </x:c>
      <x:c r="Z763" s="55" t="n">
        <x:v>3956</x:v>
      </x:c>
      <x:c r="AA763" s="55" t="n">
        <x:v>3309</x:v>
      </x:c>
      <x:c r="AB763" s="55" t="n">
        <x:v>1322</x:v>
      </x:c>
      <x:c r="AC763" s="55" t="n">
        <x:v>8034</x:v>
      </x:c>
      <x:c r="AD763" s="55" t="n">
        <x:v>3458</x:v>
      </x:c>
      <x:c r="AE763" s="55" t="n">
        <x:v>10469</x:v>
      </x:c>
      <x:c r="AF763" s="55" t="n">
        <x:v>10408</x:v>
      </x:c>
      <x:c r="AG763" s="55" t="n">
        <x:v>61</x:v>
      </x:c>
      <x:c r="AH763" s="55" t="n">
        <x:v>520</x:v>
      </x:c>
      <x:c r="AI763" s="55" t="n">
        <x:v>9888</x:v>
      </x:c>
      <x:c r="AJ763" s="55" t="n">
        <x:v>299</x:v>
      </x:c>
      <x:c r="AK763" s="55" t="n">
        <x:v>1066</x:v>
      </x:c>
      <x:c r="AL763" s="55" t="n">
        <x:v>1275</x:v>
      </x:c>
      <x:c r="AM763" s="55" t="n">
        <x:v>4967</x:v>
      </x:c>
      <x:c r="AN763" s="55" t="n">
        <x:v>2801</x:v>
      </x:c>
      <x:c r="AO763" s="55" t="n">
        <x:v>0</x:v>
      </x:c>
      <x:c r="AP763" s="55" t="n">
        <x:v>2218</x:v>
      </x:c>
      <x:c r="AQ763" s="55" t="n">
        <x:v>949</x:v>
      </x:c>
    </x:row>
    <x:row r="764">
      <x:c r="A764" s="54" t="str">
        <x:v>T0_TABLE_BLOCK</x:v>
      </x:c>
      <x:c r="B764" s="54" t="n">
        <x:v>758</x:v>
      </x:c>
      <x:c r="C764" s="54" t="str">
        <x:v>NYC-V2-R01</x:v>
      </x:c>
      <x:c r="D764" s="54" t="str">
        <x:v>V2</x:v>
      </x:c>
      <x:c r="E764" s="54" t="str">
        <x:v>ADMITTED</x:v>
      </x:c>
      <x:c r="F764" s="55" t="n">
        <x:v>29852</x:v>
      </x:c>
      <x:c r="G764" s="55" t="n">
        <x:v>7622</x:v>
      </x:c>
      <x:c r="H764" s="55" t="n">
        <x:v>2848</x:v>
      </x:c>
      <x:c r="I764" s="55" t="n">
        <x:v>1439</x:v>
      </x:c>
      <x:c r="J764" s="55" t="n">
        <x:v>236</x:v>
      </x:c>
      <x:c r="K764" s="55" t="n">
        <x:v>29852</x:v>
      </x:c>
      <x:c r="L764" s="55" t="n">
        <x:v>4881</x:v>
      </x:c>
      <x:c r="M764" s="55" t="n">
        <x:v>900</x:v>
      </x:c>
      <x:c r="N764" s="55" t="n">
        <x:v>1947</x:v>
      </x:c>
      <x:c r="O764" s="55" t="n">
        <x:v>2034</x:v>
      </x:c>
      <x:c r="P764" s="55" t="n">
        <x:v>906</x:v>
      </x:c>
      <x:c r="Q764" s="55" t="n">
        <x:v>1705</x:v>
      </x:c>
      <x:c r="R764" s="55" t="n">
        <x:v>2422</x:v>
      </x:c>
      <x:c r="S764" s="55" t="n">
        <x:v>2805</x:v>
      </x:c>
      <x:c r="T764" s="55" t="n">
        <x:v>949</x:v>
      </x:c>
      <x:c r="U764" s="55" t="n">
        <x:v>1874</x:v>
      </x:c>
      <x:c r="V764" s="55" t="n">
        <x:v>10974</x:v>
      </x:c>
      <x:c r="W764" s="55" t="n">
        <x:v>7666</x:v>
      </x:c>
      <x:c r="X764" s="55" t="n">
        <x:v>3308</x:v>
      </x:c>
      <x:c r="Y764" s="55" t="n">
        <x:v>2806</x:v>
      </x:c>
      <x:c r="Z764" s="55" t="n">
        <x:v>3472</x:v>
      </x:c>
      <x:c r="AA764" s="55" t="n">
        <x:v>2664</x:v>
      </x:c>
      <x:c r="AB764" s="55" t="n">
        <x:v>1049</x:v>
      </x:c>
      <x:c r="AC764" s="55" t="n">
        <x:v>7724</x:v>
      </x:c>
      <x:c r="AD764" s="55" t="n">
        <x:v>3071</x:v>
      </x:c>
      <x:c r="AE764" s="55" t="n">
        <x:v>11080</x:v>
      </x:c>
      <x:c r="AF764" s="55" t="n">
        <x:v>10974</x:v>
      </x:c>
      <x:c r="AG764" s="55" t="n">
        <x:v>106</x:v>
      </x:c>
      <x:c r="AH764" s="55" t="n">
        <x:v>579</x:v>
      </x:c>
      <x:c r="AI764" s="55" t="n">
        <x:v>10395</x:v>
      </x:c>
      <x:c r="AJ764" s="55" t="n">
        <x:v>423</x:v>
      </x:c>
      <x:c r="AK764" s="55" t="n">
        <x:v>1120</x:v>
      </x:c>
      <x:c r="AL764" s="55" t="n">
        <x:v>2096</x:v>
      </x:c>
      <x:c r="AM764" s="55" t="n">
        <x:v>4456</x:v>
      </x:c>
      <x:c r="AN764" s="55" t="n">
        <x:v>2834</x:v>
      </x:c>
      <x:c r="AO764" s="55" t="n">
        <x:v>45</x:v>
      </x:c>
      <x:c r="AP764" s="55" t="n">
        <x:v>2405</x:v>
      </x:c>
      <x:c r="AQ764" s="55" t="n">
        <x:v>957</x:v>
      </x:c>
    </x:row>
    <x:row r="765">
      <x:c r="A765" s="54" t="str">
        <x:v>T0_TABLE_BLOCK</x:v>
      </x:c>
      <x:c r="B765" s="54" t="n">
        <x:v>759</x:v>
      </x:c>
      <x:c r="C765" s="54" t="str">
        <x:v>NYC-V2-R01</x:v>
      </x:c>
      <x:c r="D765" s="54" t="str">
        <x:v>V2</x:v>
      </x:c>
      <x:c r="E765" s="54" t="str">
        <x:v>ADMITTED</x:v>
      </x:c>
      <x:c r="F765" s="55" t="n">
        <x:v>31932</x:v>
      </x:c>
      <x:c r="G765" s="55" t="n">
        <x:v>8008</x:v>
      </x:c>
      <x:c r="H765" s="55" t="n">
        <x:v>3605</x:v>
      </x:c>
      <x:c r="I765" s="55" t="n">
        <x:v>1432</x:v>
      </x:c>
      <x:c r="J765" s="55" t="n">
        <x:v>365</x:v>
      </x:c>
      <x:c r="K765" s="55" t="n">
        <x:v>28815</x:v>
      </x:c>
      <x:c r="L765" s="55" t="n">
        <x:v>6125</x:v>
      </x:c>
      <x:c r="M765" s="55" t="n">
        <x:v>1594</x:v>
      </x:c>
      <x:c r="N765" s="55" t="n">
        <x:v>3138</x:v>
      </x:c>
      <x:c r="O765" s="55" t="n">
        <x:v>1393</x:v>
      </x:c>
      <x:c r="P765" s="55" t="n">
        <x:v>719</x:v>
      </x:c>
      <x:c r="Q765" s="55" t="n">
        <x:v>2333</x:v>
      </x:c>
      <x:c r="R765" s="55" t="n">
        <x:v>1310</x:v>
      </x:c>
      <x:c r="S765" s="55" t="n">
        <x:v>2141</x:v>
      </x:c>
      <x:c r="T765" s="55" t="n">
        <x:v>1338</x:v>
      </x:c>
      <x:c r="U765" s="55" t="n">
        <x:v>2478</x:v>
      </x:c>
      <x:c r="V765" s="55" t="n">
        <x:v>10701</x:v>
      </x:c>
      <x:c r="W765" s="55" t="n">
        <x:v>7593</x:v>
      </x:c>
      <x:c r="X765" s="55" t="n">
        <x:v>3108</x:v>
      </x:c>
      <x:c r="Y765" s="55" t="n">
        <x:v>2911</x:v>
      </x:c>
      <x:c r="Z765" s="55" t="n">
        <x:v>3929</x:v>
      </x:c>
      <x:c r="AA765" s="55" t="n">
        <x:v>2806</x:v>
      </x:c>
      <x:c r="AB765" s="55" t="n">
        <x:v>972</x:v>
      </x:c>
      <x:c r="AC765" s="55" t="n">
        <x:v>7906</x:v>
      </x:c>
      <x:c r="AD765" s="55" t="n">
        <x:v>2686</x:v>
      </x:c>
      <x:c r="AE765" s="55" t="n">
        <x:v>10748</x:v>
      </x:c>
      <x:c r="AF765" s="55" t="n">
        <x:v>10701</x:v>
      </x:c>
      <x:c r="AG765" s="55" t="n">
        <x:v>47</x:v>
      </x:c>
      <x:c r="AH765" s="55" t="n">
        <x:v>317</x:v>
      </x:c>
      <x:c r="AI765" s="55" t="n">
        <x:v>10384</x:v>
      </x:c>
      <x:c r="AJ765" s="55" t="n">
        <x:v>475</x:v>
      </x:c>
      <x:c r="AK765" s="55" t="n">
        <x:v>1051</x:v>
      </x:c>
      <x:c r="AL765" s="55" t="n">
        <x:v>1286</x:v>
      </x:c>
      <x:c r="AM765" s="55" t="n">
        <x:v>5562</x:v>
      </x:c>
      <x:c r="AN765" s="55" t="n">
        <x:v>2320</x:v>
      </x:c>
      <x:c r="AO765" s="55" t="n">
        <x:v>7</x:v>
      </x:c>
      <x:c r="AP765" s="55" t="n">
        <x:v>2317</x:v>
      </x:c>
      <x:c r="AQ765" s="55" t="n">
        <x:v>936</x:v>
      </x:c>
    </x:row>
    <x:row r="766">
      <x:c r="A766" s="54" t="str">
        <x:v>T0_TABLE_BLOCK</x:v>
      </x:c>
      <x:c r="B766" s="54" t="n">
        <x:v>760</x:v>
      </x:c>
      <x:c r="C766" s="54" t="str">
        <x:v>NYC-V2-R01</x:v>
      </x:c>
      <x:c r="D766" s="54" t="str">
        <x:v>V2</x:v>
      </x:c>
      <x:c r="E766" s="54" t="str">
        <x:v>ADMITTED</x:v>
      </x:c>
      <x:c r="F766" s="55" t="n">
        <x:v>32493</x:v>
      </x:c>
      <x:c r="G766" s="55" t="n">
        <x:v>7410</x:v>
      </x:c>
      <x:c r="H766" s="55" t="n">
        <x:v>3195</x:v>
      </x:c>
      <x:c r="I766" s="55" t="n">
        <x:v>1293</x:v>
      </x:c>
      <x:c r="J766" s="55" t="n">
        <x:v>196</x:v>
      </x:c>
      <x:c r="K766" s="55" t="n">
        <x:v>30954</x:v>
      </x:c>
      <x:c r="L766" s="55" t="n">
        <x:v>6405</x:v>
      </x:c>
      <x:c r="M766" s="55" t="n">
        <x:v>1696</x:v>
      </x:c>
      <x:c r="N766" s="55" t="n">
        <x:v>2786</x:v>
      </x:c>
      <x:c r="O766" s="55" t="n">
        <x:v>1923</x:v>
      </x:c>
      <x:c r="P766" s="55" t="n">
        <x:v>723</x:v>
      </x:c>
      <x:c r="Q766" s="55" t="n">
        <x:v>2155</x:v>
      </x:c>
      <x:c r="R766" s="55" t="n">
        <x:v>2134</x:v>
      </x:c>
      <x:c r="S766" s="55" t="n">
        <x:v>3044</x:v>
      </x:c>
      <x:c r="T766" s="55" t="n">
        <x:v>1251</x:v>
      </x:c>
      <x:c r="U766" s="55" t="n">
        <x:v>2112</x:v>
      </x:c>
      <x:c r="V766" s="55" t="n">
        <x:v>10272</x:v>
      </x:c>
      <x:c r="W766" s="55" t="n">
        <x:v>7178</x:v>
      </x:c>
      <x:c r="X766" s="55" t="n">
        <x:v>3094</x:v>
      </x:c>
      <x:c r="Y766" s="55" t="n">
        <x:v>2487</x:v>
      </x:c>
      <x:c r="Z766" s="55" t="n">
        <x:v>3649</x:v>
      </x:c>
      <x:c r="AA766" s="55" t="n">
        <x:v>3090</x:v>
      </x:c>
      <x:c r="AB766" s="55" t="n">
        <x:v>877</x:v>
      </x:c>
      <x:c r="AC766" s="55" t="n">
        <x:v>7950</x:v>
      </x:c>
      <x:c r="AD766" s="55" t="n">
        <x:v>2877</x:v>
      </x:c>
      <x:c r="AE766" s="55" t="n">
        <x:v>10285</x:v>
      </x:c>
      <x:c r="AF766" s="55" t="n">
        <x:v>10272</x:v>
      </x:c>
      <x:c r="AG766" s="55" t="n">
        <x:v>13</x:v>
      </x:c>
      <x:c r="AH766" s="55" t="n">
        <x:v>690</x:v>
      </x:c>
      <x:c r="AI766" s="55" t="n">
        <x:v>9582</x:v>
      </x:c>
      <x:c r="AJ766" s="55" t="n">
        <x:v>102</x:v>
      </x:c>
      <x:c r="AK766" s="55" t="n">
        <x:v>1064</x:v>
      </x:c>
      <x:c r="AL766" s="55" t="n">
        <x:v>1354</x:v>
      </x:c>
      <x:c r="AM766" s="55" t="n">
        <x:v>4493</x:v>
      </x:c>
      <x:c r="AN766" s="55" t="n">
        <x:v>3259</x:v>
      </x:c>
      <x:c r="AO766" s="55" t="n">
        <x:v>0</x:v>
      </x:c>
      <x:c r="AP766" s="55" t="n">
        <x:v>2166</x:v>
      </x:c>
      <x:c r="AQ766" s="55" t="n">
        <x:v>945</x:v>
      </x:c>
    </x:row>
    <x:row r="767">
      <x:c r="A767" s="54" t="str">
        <x:v>T0_TABLE_BLOCK</x:v>
      </x:c>
      <x:c r="B767" s="54" t="n">
        <x:v>761</x:v>
      </x:c>
      <x:c r="C767" s="54" t="str">
        <x:v>NYC-V2-R01</x:v>
      </x:c>
      <x:c r="D767" s="54" t="str">
        <x:v>V2</x:v>
      </x:c>
      <x:c r="E767" s="54" t="str">
        <x:v>ADMITTED</x:v>
      </x:c>
      <x:c r="F767" s="55" t="n">
        <x:v>31019</x:v>
      </x:c>
      <x:c r="G767" s="55" t="n">
        <x:v>8236</x:v>
      </x:c>
      <x:c r="H767" s="55" t="n">
        <x:v>3543</x:v>
      </x:c>
      <x:c r="I767" s="55" t="n">
        <x:v>1332</x:v>
      </x:c>
      <x:c r="J767" s="55" t="n">
        <x:v>324</x:v>
      </x:c>
      <x:c r="K767" s="55" t="n">
        <x:v>28940</x:v>
      </x:c>
      <x:c r="L767" s="55" t="n">
        <x:v>5660</x:v>
      </x:c>
      <x:c r="M767" s="55" t="n">
        <x:v>364</x:v>
      </x:c>
      <x:c r="N767" s="55" t="n">
        <x:v>3257</x:v>
      </x:c>
      <x:c r="O767" s="55" t="n">
        <x:v>2039</x:v>
      </x:c>
      <x:c r="P767" s="55" t="n">
        <x:v>704</x:v>
      </x:c>
      <x:c r="Q767" s="55" t="n">
        <x:v>1734</x:v>
      </x:c>
      <x:c r="R767" s="55" t="n">
        <x:v>1816</x:v>
      </x:c>
      <x:c r="S767" s="55" t="n">
        <x:v>2931</x:v>
      </x:c>
      <x:c r="T767" s="55" t="n">
        <x:v>925</x:v>
      </x:c>
      <x:c r="U767" s="55" t="n">
        <x:v>1693</x:v>
      </x:c>
      <x:c r="V767" s="55" t="n">
        <x:v>10672</x:v>
      </x:c>
      <x:c r="W767" s="55" t="n">
        <x:v>7747</x:v>
      </x:c>
      <x:c r="X767" s="55" t="n">
        <x:v>2925</x:v>
      </x:c>
      <x:c r="Y767" s="55" t="n">
        <x:v>2564</x:v>
      </x:c>
      <x:c r="Z767" s="55" t="n">
        <x:v>3567</x:v>
      </x:c>
      <x:c r="AA767" s="55" t="n">
        <x:v>3543</x:v>
      </x:c>
      <x:c r="AB767" s="55" t="n">
        <x:v>964</x:v>
      </x:c>
      <x:c r="AC767" s="55" t="n">
        <x:v>9170</x:v>
      </x:c>
      <x:c r="AD767" s="55" t="n">
        <x:v>2453</x:v>
      </x:c>
      <x:c r="AE767" s="55" t="n">
        <x:v>10685</x:v>
      </x:c>
      <x:c r="AF767" s="55" t="n">
        <x:v>10672</x:v>
      </x:c>
      <x:c r="AG767" s="55" t="n">
        <x:v>13</x:v>
      </x:c>
      <x:c r="AH767" s="55" t="n">
        <x:v>648</x:v>
      </x:c>
      <x:c r="AI767" s="55" t="n">
        <x:v>10024</x:v>
      </x:c>
      <x:c r="AJ767" s="55" t="n">
        <x:v>268</x:v>
      </x:c>
      <x:c r="AK767" s="55" t="n">
        <x:v>1179</x:v>
      </x:c>
      <x:c r="AL767" s="55" t="n">
        <x:v>1598</x:v>
      </x:c>
      <x:c r="AM767" s="55" t="n">
        <x:v>5420</x:v>
      </x:c>
      <x:c r="AN767" s="55" t="n">
        <x:v>2207</x:v>
      </x:c>
      <x:c r="AO767" s="55" t="n">
        <x:v>0</x:v>
      </x:c>
      <x:c r="AP767" s="55" t="n">
        <x:v>2615</x:v>
      </x:c>
      <x:c r="AQ767" s="55" t="n">
        <x:v>931</x:v>
      </x:c>
    </x:row>
    <x:row r="768">
      <x:c r="A768" s="54" t="str">
        <x:v>T0_TABLE_BLOCK</x:v>
      </x:c>
      <x:c r="B768" s="54" t="n">
        <x:v>762</x:v>
      </x:c>
      <x:c r="C768" s="54" t="str">
        <x:v>NYC-V2-R01</x:v>
      </x:c>
      <x:c r="D768" s="54" t="str">
        <x:v>V2</x:v>
      </x:c>
      <x:c r="E768" s="54" t="str">
        <x:v>ADMITTED</x:v>
      </x:c>
      <x:c r="F768" s="55" t="n">
        <x:v>31781</x:v>
      </x:c>
      <x:c r="G768" s="55" t="n">
        <x:v>6903</x:v>
      </x:c>
      <x:c r="H768" s="55" t="n">
        <x:v>3651</x:v>
      </x:c>
      <x:c r="I768" s="55" t="n">
        <x:v>1871</x:v>
      </x:c>
      <x:c r="J768" s="55" t="n">
        <x:v>411</x:v>
      </x:c>
      <x:c r="K768" s="55" t="n">
        <x:v>31781</x:v>
      </x:c>
      <x:c r="L768" s="55" t="n">
        <x:v>5487</x:v>
      </x:c>
      <x:c r="M768" s="55" t="n">
        <x:v>679</x:v>
      </x:c>
      <x:c r="N768" s="55" t="n">
        <x:v>2923</x:v>
      </x:c>
      <x:c r="O768" s="55" t="n">
        <x:v>1885</x:v>
      </x:c>
      <x:c r="P768" s="55" t="n">
        <x:v>725</x:v>
      </x:c>
      <x:c r="Q768" s="55" t="n">
        <x:v>2173</x:v>
      </x:c>
      <x:c r="R768" s="55" t="n">
        <x:v>2258</x:v>
      </x:c>
      <x:c r="S768" s="55" t="n">
        <x:v>3116</x:v>
      </x:c>
      <x:c r="T768" s="55" t="n">
        <x:v>940</x:v>
      </x:c>
      <x:c r="U768" s="55" t="n">
        <x:v>2280</x:v>
      </x:c>
      <x:c r="V768" s="55" t="n">
        <x:v>10373</x:v>
      </x:c>
      <x:c r="W768" s="55" t="n">
        <x:v>7190</x:v>
      </x:c>
      <x:c r="X768" s="55" t="n">
        <x:v>3183</x:v>
      </x:c>
      <x:c r="Y768" s="55" t="n">
        <x:v>2741</x:v>
      </x:c>
      <x:c r="Z768" s="55" t="n">
        <x:v>3683</x:v>
      </x:c>
      <x:c r="AA768" s="55" t="n">
        <x:v>2387</x:v>
      </x:c>
      <x:c r="AB768" s="55" t="n">
        <x:v>601</x:v>
      </x:c>
      <x:c r="AC768" s="55" t="n">
        <x:v>7450</x:v>
      </x:c>
      <x:c r="AD768" s="55" t="n">
        <x:v>2102</x:v>
      </x:c>
      <x:c r="AE768" s="55" t="n">
        <x:v>10504</x:v>
      </x:c>
      <x:c r="AF768" s="55" t="n">
        <x:v>10373</x:v>
      </x:c>
      <x:c r="AG768" s="55" t="n">
        <x:v>131</x:v>
      </x:c>
      <x:c r="AH768" s="55" t="n">
        <x:v>313</x:v>
      </x:c>
      <x:c r="AI768" s="55" t="n">
        <x:v>10060</x:v>
      </x:c>
      <x:c r="AJ768" s="55" t="n">
        <x:v>174</x:v>
      </x:c>
      <x:c r="AK768" s="55" t="n">
        <x:v>1151</x:v>
      </x:c>
      <x:c r="AL768" s="55" t="n">
        <x:v>1565</x:v>
      </x:c>
      <x:c r="AM768" s="55" t="n">
        <x:v>4452</x:v>
      </x:c>
      <x:c r="AN768" s="55" t="n">
        <x:v>2950</x:v>
      </x:c>
      <x:c r="AO768" s="55" t="n">
        <x:v>81</x:v>
      </x:c>
      <x:c r="AP768" s="55" t="n">
        <x:v>2134</x:v>
      </x:c>
      <x:c r="AQ768" s="55" t="n">
        <x:v>1006</x:v>
      </x:c>
    </x:row>
    <x:row r="769">
      <x:c r="A769" s="54" t="str">
        <x:v>T0_TABLE_BLOCK</x:v>
      </x:c>
      <x:c r="B769" s="54" t="n">
        <x:v>763</x:v>
      </x:c>
      <x:c r="C769" s="54" t="str">
        <x:v>NYC-V2-R01</x:v>
      </x:c>
      <x:c r="D769" s="54" t="str">
        <x:v>V2</x:v>
      </x:c>
      <x:c r="E769" s="54" t="str">
        <x:v>ADMITTED</x:v>
      </x:c>
      <x:c r="F769" s="55" t="n">
        <x:v>35047</x:v>
      </x:c>
      <x:c r="G769" s="55" t="n">
        <x:v>10826</x:v>
      </x:c>
      <x:c r="H769" s="55" t="n">
        <x:v>3044</x:v>
      </x:c>
      <x:c r="I769" s="55" t="n">
        <x:v>1327</x:v>
      </x:c>
      <x:c r="J769" s="55" t="n">
        <x:v>71</x:v>
      </x:c>
      <x:c r="K769" s="55" t="n">
        <x:v>33094</x:v>
      </x:c>
      <x:c r="L769" s="55" t="n">
        <x:v>6411</x:v>
      </x:c>
      <x:c r="M769" s="55" t="n">
        <x:v>2165</x:v>
      </x:c>
      <x:c r="N769" s="55" t="n">
        <x:v>2661</x:v>
      </x:c>
      <x:c r="O769" s="55" t="n">
        <x:v>1585</x:v>
      </x:c>
      <x:c r="P769" s="55" t="n">
        <x:v>915</x:v>
      </x:c>
      <x:c r="Q769" s="55" t="n">
        <x:v>1010</x:v>
      </x:c>
      <x:c r="R769" s="55" t="n">
        <x:v>1959</x:v>
      </x:c>
      <x:c r="S769" s="55" t="n">
        <x:v>2840</x:v>
      </x:c>
      <x:c r="T769" s="55" t="n">
        <x:v>1624</x:v>
      </x:c>
      <x:c r="U769" s="55" t="n">
        <x:v>2862</x:v>
      </x:c>
      <x:c r="V769" s="55" t="n">
        <x:v>11077</x:v>
      </x:c>
      <x:c r="W769" s="55" t="n">
        <x:v>8344</x:v>
      </x:c>
      <x:c r="X769" s="55" t="n">
        <x:v>2733</x:v>
      </x:c>
      <x:c r="Y769" s="55" t="n">
        <x:v>2379</x:v>
      </x:c>
      <x:c r="Z769" s="55" t="n">
        <x:v>3055</x:v>
      </x:c>
      <x:c r="AA769" s="55" t="n">
        <x:v>3044</x:v>
      </x:c>
      <x:c r="AB769" s="55" t="n">
        <x:v>1126</x:v>
      </x:c>
      <x:c r="AC769" s="55" t="n">
        <x:v>8539</x:v>
      </x:c>
      <x:c r="AD769" s="55" t="n">
        <x:v>2866</x:v>
      </x:c>
      <x:c r="AE769" s="55" t="n">
        <x:v>11129</x:v>
      </x:c>
      <x:c r="AF769" s="55" t="n">
        <x:v>11077</x:v>
      </x:c>
      <x:c r="AG769" s="55" t="n">
        <x:v>52</x:v>
      </x:c>
      <x:c r="AH769" s="55" t="n">
        <x:v>377</x:v>
      </x:c>
      <x:c r="AI769" s="55" t="n">
        <x:v>10700</x:v>
      </x:c>
      <x:c r="AJ769" s="55" t="n">
        <x:v>468</x:v>
      </x:c>
      <x:c r="AK769" s="55" t="n">
        <x:v>1364</x:v>
      </x:c>
      <x:c r="AL769" s="55" t="n">
        <x:v>1358</x:v>
      </x:c>
      <x:c r="AM769" s="55" t="n">
        <x:v>5383</x:v>
      </x:c>
      <x:c r="AN769" s="55" t="n">
        <x:v>2504</x:v>
      </x:c>
      <x:c r="AO769" s="55" t="n">
        <x:v>0</x:v>
      </x:c>
      <x:c r="AP769" s="55" t="n">
        <x:v>2416</x:v>
      </x:c>
      <x:c r="AQ769" s="55" t="n">
        <x:v>996</x:v>
      </x:c>
    </x:row>
    <x:row r="770">
      <x:c r="A770" s="54" t="str">
        <x:v>T0_TABLE_BLOCK</x:v>
      </x:c>
      <x:c r="B770" s="54" t="n">
        <x:v>764</x:v>
      </x:c>
      <x:c r="C770" s="54" t="str">
        <x:v>NYC-V2-R01</x:v>
      </x:c>
      <x:c r="D770" s="54" t="str">
        <x:v>V2</x:v>
      </x:c>
      <x:c r="E770" s="54" t="str">
        <x:v>ADMITTED</x:v>
      </x:c>
      <x:c r="F770" s="55" t="n">
        <x:v>31541</x:v>
      </x:c>
      <x:c r="G770" s="55" t="n">
        <x:v>8281</x:v>
      </x:c>
      <x:c r="H770" s="55" t="n">
        <x:v>3479</x:v>
      </x:c>
      <x:c r="I770" s="55" t="n">
        <x:v>769</x:v>
      </x:c>
      <x:c r="J770" s="55" t="n">
        <x:v>210</x:v>
      </x:c>
      <x:c r="K770" s="55" t="n">
        <x:v>31541</x:v>
      </x:c>
      <x:c r="L770" s="55" t="n">
        <x:v>5334</x:v>
      </x:c>
      <x:c r="M770" s="55" t="n">
        <x:v>1228</x:v>
      </x:c>
      <x:c r="N770" s="55" t="n">
        <x:v>2940</x:v>
      </x:c>
      <x:c r="O770" s="55" t="n">
        <x:v>1166</x:v>
      </x:c>
      <x:c r="P770" s="55" t="n">
        <x:v>779</x:v>
      </x:c>
      <x:c r="Q770" s="55" t="n">
        <x:v>2328</x:v>
      </x:c>
      <x:c r="R770" s="55" t="n">
        <x:v>2115</x:v>
      </x:c>
      <x:c r="S770" s="55" t="n">
        <x:v>3715</x:v>
      </x:c>
      <x:c r="T770" s="55" t="n">
        <x:v>1355</x:v>
      </x:c>
      <x:c r="U770" s="55" t="n">
        <x:v>2119</x:v>
      </x:c>
      <x:c r="V770" s="55" t="n">
        <x:v>10642</x:v>
      </x:c>
      <x:c r="W770" s="55" t="n">
        <x:v>6998</x:v>
      </x:c>
      <x:c r="X770" s="55" t="n">
        <x:v>3644</x:v>
      </x:c>
      <x:c r="Y770" s="55" t="n">
        <x:v>2869</x:v>
      </x:c>
      <x:c r="Z770" s="55" t="n">
        <x:v>3541</x:v>
      </x:c>
      <x:c r="AA770" s="55" t="n">
        <x:v>3187</x:v>
      </x:c>
      <x:c r="AB770" s="55" t="n">
        <x:v>1320</x:v>
      </x:c>
      <x:c r="AC770" s="55" t="n">
        <x:v>8243</x:v>
      </x:c>
      <x:c r="AD770" s="55" t="n">
        <x:v>2892</x:v>
      </x:c>
      <x:c r="AE770" s="55" t="n">
        <x:v>10712</x:v>
      </x:c>
      <x:c r="AF770" s="55" t="n">
        <x:v>10642</x:v>
      </x:c>
      <x:c r="AG770" s="55" t="n">
        <x:v>70</x:v>
      </x:c>
      <x:c r="AH770" s="55" t="n">
        <x:v>388</x:v>
      </x:c>
      <x:c r="AI770" s="55" t="n">
        <x:v>10254</x:v>
      </x:c>
      <x:c r="AJ770" s="55" t="n">
        <x:v>301</x:v>
      </x:c>
      <x:c r="AK770" s="55" t="n">
        <x:v>1001</x:v>
      </x:c>
      <x:c r="AL770" s="55" t="n">
        <x:v>2078</x:v>
      </x:c>
      <x:c r="AM770" s="55" t="n">
        <x:v>4182</x:v>
      </x:c>
      <x:c r="AN770" s="55" t="n">
        <x:v>3057</x:v>
      </x:c>
      <x:c r="AO770" s="55" t="n">
        <x:v>23</x:v>
      </x:c>
      <x:c r="AP770" s="55" t="n">
        <x:v>2300</x:v>
      </x:c>
      <x:c r="AQ770" s="55" t="n">
        <x:v>1012</x:v>
      </x:c>
    </x:row>
    <x:row r="771">
      <x:c r="A771" s="54" t="str">
        <x:v>T0_TABLE_BLOCK</x:v>
      </x:c>
      <x:c r="B771" s="54" t="n">
        <x:v>765</x:v>
      </x:c>
      <x:c r="C771" s="54" t="str">
        <x:v>NYC-V2-R01</x:v>
      </x:c>
      <x:c r="D771" s="54" t="str">
        <x:v>V2</x:v>
      </x:c>
      <x:c r="E771" s="54" t="str">
        <x:v>ADMITTED</x:v>
      </x:c>
      <x:c r="F771" s="55" t="n">
        <x:v>28916</x:v>
      </x:c>
      <x:c r="G771" s="55" t="n">
        <x:v>6345</x:v>
      </x:c>
      <x:c r="H771" s="55" t="n">
        <x:v>2836</x:v>
      </x:c>
      <x:c r="I771" s="55" t="n">
        <x:v>1274</x:v>
      </x:c>
      <x:c r="J771" s="55" t="n">
        <x:v>78</x:v>
      </x:c>
      <x:c r="K771" s="55" t="n">
        <x:v>28679</x:v>
      </x:c>
      <x:c r="L771" s="55" t="n">
        <x:v>5683</x:v>
      </x:c>
      <x:c r="M771" s="55" t="n">
        <x:v>1477</x:v>
      </x:c>
      <x:c r="N771" s="55" t="n">
        <x:v>2893</x:v>
      </x:c>
      <x:c r="O771" s="55" t="n">
        <x:v>1313</x:v>
      </x:c>
      <x:c r="P771" s="55" t="n">
        <x:v>376</x:v>
      </x:c>
      <x:c r="Q771" s="55" t="n">
        <x:v>1581</x:v>
      </x:c>
      <x:c r="R771" s="55" t="n">
        <x:v>2249</x:v>
      </x:c>
      <x:c r="S771" s="55" t="n">
        <x:v>3374</x:v>
      </x:c>
      <x:c r="T771" s="55" t="n">
        <x:v>1311</x:v>
      </x:c>
      <x:c r="U771" s="55" t="n">
        <x:v>1773</x:v>
      </x:c>
      <x:c r="V771" s="55" t="n">
        <x:v>10007</x:v>
      </x:c>
      <x:c r="W771" s="55" t="n">
        <x:v>7588</x:v>
      </x:c>
      <x:c r="X771" s="55" t="n">
        <x:v>2419</x:v>
      </x:c>
      <x:c r="Y771" s="55" t="n">
        <x:v>1796</x:v>
      </x:c>
      <x:c r="Z771" s="55" t="n">
        <x:v>3595</x:v>
      </x:c>
      <x:c r="AA771" s="55" t="n">
        <x:v>2836</x:v>
      </x:c>
      <x:c r="AB771" s="55" t="n">
        <x:v>1234</x:v>
      </x:c>
      <x:c r="AC771" s="55" t="n">
        <x:v>8220</x:v>
      </x:c>
      <x:c r="AD771" s="55" t="n">
        <x:v>2573</x:v>
      </x:c>
      <x:c r="AE771" s="55" t="n">
        <x:v>10029</x:v>
      </x:c>
      <x:c r="AF771" s="55" t="n">
        <x:v>10007</x:v>
      </x:c>
      <x:c r="AG771" s="55" t="n">
        <x:v>22</x:v>
      </x:c>
      <x:c r="AH771" s="55" t="n">
        <x:v>304</x:v>
      </x:c>
      <x:c r="AI771" s="55" t="n">
        <x:v>9703</x:v>
      </x:c>
      <x:c r="AJ771" s="55" t="n">
        <x:v>257</x:v>
      </x:c>
      <x:c r="AK771" s="55" t="n">
        <x:v>889</x:v>
      </x:c>
      <x:c r="AL771" s="55" t="n">
        <x:v>2080</x:v>
      </x:c>
      <x:c r="AM771" s="55" t="n">
        <x:v>4417</x:v>
      </x:c>
      <x:c r="AN771" s="55" t="n">
        <x:v>2364</x:v>
      </x:c>
      <x:c r="AO771" s="55" t="n">
        <x:v>0</x:v>
      </x:c>
      <x:c r="AP771" s="55" t="n">
        <x:v>2605</x:v>
      </x:c>
      <x:c r="AQ771" s="55" t="n">
        <x:v>982</x:v>
      </x:c>
    </x:row>
    <x:row r="772">
      <x:c r="A772" s="54" t="str">
        <x:v>T0_TABLE_BLOCK</x:v>
      </x:c>
      <x:c r="B772" s="54" t="n">
        <x:v>766</x:v>
      </x:c>
      <x:c r="C772" s="54" t="str">
        <x:v>NYC-V2-R01</x:v>
      </x:c>
      <x:c r="D772" s="54" t="str">
        <x:v>V2</x:v>
      </x:c>
      <x:c r="E772" s="54" t="str">
        <x:v>ADMITTED</x:v>
      </x:c>
      <x:c r="F772" s="55" t="n">
        <x:v>31520</x:v>
      </x:c>
      <x:c r="G772" s="55" t="n">
        <x:v>7349</x:v>
      </x:c>
      <x:c r="H772" s="55" t="n">
        <x:v>2920</x:v>
      </x:c>
      <x:c r="I772" s="55" t="n">
        <x:v>997</x:v>
      </x:c>
      <x:c r="J772" s="55" t="n">
        <x:v>151</x:v>
      </x:c>
      <x:c r="K772" s="55" t="n">
        <x:v>31520</x:v>
      </x:c>
      <x:c r="L772" s="55" t="n">
        <x:v>6068</x:v>
      </x:c>
      <x:c r="M772" s="55" t="n">
        <x:v>1759</x:v>
      </x:c>
      <x:c r="N772" s="55" t="n">
        <x:v>2986</x:v>
      </x:c>
      <x:c r="O772" s="55" t="n">
        <x:v>1323</x:v>
      </x:c>
      <x:c r="P772" s="55" t="n">
        <x:v>1229</x:v>
      </x:c>
      <x:c r="Q772" s="55" t="n">
        <x:v>3099</x:v>
      </x:c>
      <x:c r="R772" s="55" t="n">
        <x:v>1421</x:v>
      </x:c>
      <x:c r="S772" s="55" t="n">
        <x:v>2427</x:v>
      </x:c>
      <x:c r="T772" s="55" t="n">
        <x:v>1169</x:v>
      </x:c>
      <x:c r="U772" s="55" t="n">
        <x:v>1736</x:v>
      </x:c>
      <x:c r="V772" s="55" t="n">
        <x:v>9904</x:v>
      </x:c>
      <x:c r="W772" s="55" t="n">
        <x:v>6973</x:v>
      </x:c>
      <x:c r="X772" s="55" t="n">
        <x:v>2931</x:v>
      </x:c>
      <x:c r="Y772" s="55" t="n">
        <x:v>2315</x:v>
      </x:c>
      <x:c r="Z772" s="55" t="n">
        <x:v>4299</x:v>
      </x:c>
      <x:c r="AA772" s="55" t="n">
        <x:v>2638</x:v>
      </x:c>
      <x:c r="AB772" s="55" t="n">
        <x:v>995</x:v>
      </x:c>
      <x:c r="AC772" s="55" t="n">
        <x:v>8372</x:v>
      </x:c>
      <x:c r="AD772" s="55" t="n">
        <x:v>2409</x:v>
      </x:c>
      <x:c r="AE772" s="55" t="n">
        <x:v>9999</x:v>
      </x:c>
      <x:c r="AF772" s="55" t="n">
        <x:v>9904</x:v>
      </x:c>
      <x:c r="AG772" s="55" t="n">
        <x:v>95</x:v>
      </x:c>
      <x:c r="AH772" s="55" t="n">
        <x:v>329</x:v>
      </x:c>
      <x:c r="AI772" s="55" t="n">
        <x:v>9575</x:v>
      </x:c>
      <x:c r="AJ772" s="55" t="n">
        <x:v>341</x:v>
      </x:c>
      <x:c r="AK772" s="55" t="n">
        <x:v>1080</x:v>
      </x:c>
      <x:c r="AL772" s="55" t="n">
        <x:v>1783</x:v>
      </x:c>
      <x:c r="AM772" s="55" t="n">
        <x:v>4116</x:v>
      </x:c>
      <x:c r="AN772" s="55" t="n">
        <x:v>2584</x:v>
      </x:c>
      <x:c r="AO772" s="55" t="n">
        <x:v>0</x:v>
      </x:c>
      <x:c r="AP772" s="55" t="n">
        <x:v>2672</x:v>
      </x:c>
      <x:c r="AQ772" s="55" t="n">
        <x:v>936</x:v>
      </x:c>
    </x:row>
    <x:row r="773">
      <x:c r="A773" s="54" t="str">
        <x:v>T0_TABLE_BLOCK</x:v>
      </x:c>
      <x:c r="B773" s="54" t="n">
        <x:v>767</x:v>
      </x:c>
      <x:c r="C773" s="54" t="str">
        <x:v>NYC-V2-R01</x:v>
      </x:c>
      <x:c r="D773" s="54" t="str">
        <x:v>V2</x:v>
      </x:c>
      <x:c r="E773" s="54" t="str">
        <x:v>ADMITTED</x:v>
      </x:c>
      <x:c r="F773" s="55" t="n">
        <x:v>33712</x:v>
      </x:c>
      <x:c r="G773" s="55" t="n">
        <x:v>6552</x:v>
      </x:c>
      <x:c r="H773" s="55" t="n">
        <x:v>3438</x:v>
      </x:c>
      <x:c r="I773" s="55" t="n">
        <x:v>1514</x:v>
      </x:c>
      <x:c r="J773" s="55" t="n">
        <x:v>214</x:v>
      </x:c>
      <x:c r="K773" s="55" t="n">
        <x:v>33712</x:v>
      </x:c>
      <x:c r="L773" s="55" t="n">
        <x:v>5544</x:v>
      </x:c>
      <x:c r="M773" s="55" t="n">
        <x:v>911</x:v>
      </x:c>
      <x:c r="N773" s="55" t="n">
        <x:v>2811</x:v>
      </x:c>
      <x:c r="O773" s="55" t="n">
        <x:v>1822</x:v>
      </x:c>
      <x:c r="P773" s="55" t="n">
        <x:v>920</x:v>
      </x:c>
      <x:c r="Q773" s="55" t="n">
        <x:v>1528</x:v>
      </x:c>
      <x:c r="R773" s="55" t="n">
        <x:v>1993</x:v>
      </x:c>
      <x:c r="S773" s="55" t="n">
        <x:v>3320</x:v>
      </x:c>
      <x:c r="T773" s="55" t="n">
        <x:v>946</x:v>
      </x:c>
      <x:c r="U773" s="55" t="n">
        <x:v>2109</x:v>
      </x:c>
      <x:c r="V773" s="55" t="n">
        <x:v>10443</x:v>
      </x:c>
      <x:c r="W773" s="55" t="n">
        <x:v>7749</x:v>
      </x:c>
      <x:c r="X773" s="55" t="n">
        <x:v>2694</x:v>
      </x:c>
      <x:c r="Y773" s="55" t="n">
        <x:v>2236</x:v>
      </x:c>
      <x:c r="Z773" s="55" t="n">
        <x:v>3957</x:v>
      </x:c>
      <x:c r="AA773" s="55" t="n">
        <x:v>3008</x:v>
      </x:c>
      <x:c r="AB773" s="55" t="n">
        <x:v>961</x:v>
      </x:c>
      <x:c r="AC773" s="55" t="n">
        <x:v>8080</x:v>
      </x:c>
      <x:c r="AD773" s="55" t="n">
        <x:v>2496</x:v>
      </x:c>
      <x:c r="AE773" s="55" t="n">
        <x:v>10503</x:v>
      </x:c>
      <x:c r="AF773" s="55" t="n">
        <x:v>10443</x:v>
      </x:c>
      <x:c r="AG773" s="55" t="n">
        <x:v>60</x:v>
      </x:c>
      <x:c r="AH773" s="55" t="n">
        <x:v>364</x:v>
      </x:c>
      <x:c r="AI773" s="55" t="n">
        <x:v>10079</x:v>
      </x:c>
      <x:c r="AJ773" s="55" t="n">
        <x:v>278</x:v>
      </x:c>
      <x:c r="AK773" s="55" t="n">
        <x:v>1261</x:v>
      </x:c>
      <x:c r="AL773" s="55" t="n">
        <x:v>1405</x:v>
      </x:c>
      <x:c r="AM773" s="55" t="n">
        <x:v>4989</x:v>
      </x:c>
      <x:c r="AN773" s="55" t="n">
        <x:v>2510</x:v>
      </x:c>
      <x:c r="AO773" s="55" t="n">
        <x:v>0</x:v>
      </x:c>
      <x:c r="AP773" s="55" t="n">
        <x:v>2402</x:v>
      </x:c>
      <x:c r="AQ773" s="55" t="n">
        <x:v>962</x:v>
      </x:c>
    </x:row>
    <x:row r="774">
      <x:c r="A774" s="54" t="str">
        <x:v>T0_TABLE_BLOCK</x:v>
      </x:c>
      <x:c r="B774" s="54" t="n">
        <x:v>768</x:v>
      </x:c>
      <x:c r="C774" s="54" t="str">
        <x:v>NYC-V2-R01</x:v>
      </x:c>
      <x:c r="D774" s="54" t="str">
        <x:v>V2</x:v>
      </x:c>
      <x:c r="E774" s="54" t="str">
        <x:v>ADMITTED</x:v>
      </x:c>
      <x:c r="F774" s="55" t="n">
        <x:v>31190</x:v>
      </x:c>
      <x:c r="G774" s="55" t="n">
        <x:v>7737</x:v>
      </x:c>
      <x:c r="H774" s="55" t="n">
        <x:v>3135</x:v>
      </x:c>
      <x:c r="I774" s="55" t="n">
        <x:v>1291</x:v>
      </x:c>
      <x:c r="J774" s="55" t="n">
        <x:v>210</x:v>
      </x:c>
      <x:c r="K774" s="55" t="n">
        <x:v>26482</x:v>
      </x:c>
      <x:c r="L774" s="55" t="n">
        <x:v>4610</x:v>
      </x:c>
      <x:c r="M774" s="55" t="n">
        <x:v>298</x:v>
      </x:c>
      <x:c r="N774" s="55" t="n">
        <x:v>2238</x:v>
      </x:c>
      <x:c r="O774" s="55" t="n">
        <x:v>2074</x:v>
      </x:c>
      <x:c r="P774" s="55" t="n">
        <x:v>712</x:v>
      </x:c>
      <x:c r="Q774" s="55" t="n">
        <x:v>1533</x:v>
      </x:c>
      <x:c r="R774" s="55" t="n">
        <x:v>1510</x:v>
      </x:c>
      <x:c r="S774" s="55" t="n">
        <x:v>2451</x:v>
      </x:c>
      <x:c r="T774" s="55" t="n">
        <x:v>1206</x:v>
      </x:c>
      <x:c r="U774" s="55" t="n">
        <x:v>1853</x:v>
      </x:c>
      <x:c r="V774" s="55" t="n">
        <x:v>10112</x:v>
      </x:c>
      <x:c r="W774" s="55" t="n">
        <x:v>6575</x:v>
      </x:c>
      <x:c r="X774" s="55" t="n">
        <x:v>3537</x:v>
      </x:c>
      <x:c r="Y774" s="55" t="n">
        <x:v>3018</x:v>
      </x:c>
      <x:c r="Z774" s="55" t="n">
        <x:v>4412</x:v>
      </x:c>
      <x:c r="AA774" s="55" t="n">
        <x:v>2955</x:v>
      </x:c>
      <x:c r="AB774" s="55" t="n">
        <x:v>759</x:v>
      </x:c>
      <x:c r="AC774" s="55" t="n">
        <x:v>8428</x:v>
      </x:c>
      <x:c r="AD774" s="55" t="n">
        <x:v>2425</x:v>
      </x:c>
      <x:c r="AE774" s="55" t="n">
        <x:v>10239</x:v>
      </x:c>
      <x:c r="AF774" s="55" t="n">
        <x:v>10112</x:v>
      </x:c>
      <x:c r="AG774" s="55" t="n">
        <x:v>127</x:v>
      </x:c>
      <x:c r="AH774" s="55" t="n">
        <x:v>411</x:v>
      </x:c>
      <x:c r="AI774" s="55" t="n">
        <x:v>9701</x:v>
      </x:c>
      <x:c r="AJ774" s="55" t="n">
        <x:v>491</x:v>
      </x:c>
      <x:c r="AK774" s="55" t="n">
        <x:v>997</x:v>
      </x:c>
      <x:c r="AL774" s="55" t="n">
        <x:v>1276</x:v>
      </x:c>
      <x:c r="AM774" s="55" t="n">
        <x:v>4854</x:v>
      </x:c>
      <x:c r="AN774" s="55" t="n">
        <x:v>2481</x:v>
      </x:c>
      <x:c r="AO774" s="55" t="n">
        <x:v>13</x:v>
      </x:c>
      <x:c r="AP774" s="55" t="n">
        <x:v>2301</x:v>
      </x:c>
      <x:c r="AQ774" s="55" t="n">
        <x:v>977</x:v>
      </x:c>
    </x:row>
    <x:row r="775">
      <x:c r="A775" s="54" t="str">
        <x:v>T0_TABLE_BLOCK</x:v>
      </x:c>
      <x:c r="B775" s="54" t="n">
        <x:v>769</x:v>
      </x:c>
      <x:c r="C775" s="54" t="str">
        <x:v>NYC-V2-R01</x:v>
      </x:c>
      <x:c r="D775" s="54" t="str">
        <x:v>V2</x:v>
      </x:c>
      <x:c r="E775" s="54" t="str">
        <x:v>ADMITTED</x:v>
      </x:c>
      <x:c r="F775" s="55" t="n">
        <x:v>32302</x:v>
      </x:c>
      <x:c r="G775" s="55" t="n">
        <x:v>6979</x:v>
      </x:c>
      <x:c r="H775" s="55" t="n">
        <x:v>3664</x:v>
      </x:c>
      <x:c r="I775" s="55" t="n">
        <x:v>1277</x:v>
      </x:c>
      <x:c r="J775" s="55" t="n">
        <x:v>155</x:v>
      </x:c>
      <x:c r="K775" s="55" t="n">
        <x:v>32302</x:v>
      </x:c>
      <x:c r="L775" s="55" t="n">
        <x:v>5047</x:v>
      </x:c>
      <x:c r="M775" s="55" t="n">
        <x:v>0</x:v>
      </x:c>
      <x:c r="N775" s="55" t="n">
        <x:v>2912</x:v>
      </x:c>
      <x:c r="O775" s="55" t="n">
        <x:v>2135</x:v>
      </x:c>
      <x:c r="P775" s="55" t="n">
        <x:v>879</x:v>
      </x:c>
      <x:c r="Q775" s="55" t="n">
        <x:v>2198</x:v>
      </x:c>
      <x:c r="R775" s="55" t="n">
        <x:v>2142</x:v>
      </x:c>
      <x:c r="S775" s="55" t="n">
        <x:v>2707</x:v>
      </x:c>
      <x:c r="T775" s="55" t="n">
        <x:v>1709</x:v>
      </x:c>
      <x:c r="U775" s="55" t="n">
        <x:v>1716</x:v>
      </x:c>
      <x:c r="V775" s="55" t="n">
        <x:v>9991</x:v>
      </x:c>
      <x:c r="W775" s="55" t="n">
        <x:v>6361</x:v>
      </x:c>
      <x:c r="X775" s="55" t="n">
        <x:v>3630</x:v>
      </x:c>
      <x:c r="Y775" s="55" t="n">
        <x:v>3165</x:v>
      </x:c>
      <x:c r="Z775" s="55" t="n">
        <x:v>3606</x:v>
      </x:c>
      <x:c r="AA775" s="55" t="n">
        <x:v>3664</x:v>
      </x:c>
      <x:c r="AB775" s="55" t="n">
        <x:v>908</x:v>
      </x:c>
      <x:c r="AC775" s="55" t="n">
        <x:v>7779</x:v>
      </x:c>
      <x:c r="AD775" s="55" t="n">
        <x:v>3174</x:v>
      </x:c>
      <x:c r="AE775" s="55" t="n">
        <x:v>10102</x:v>
      </x:c>
      <x:c r="AF775" s="55" t="n">
        <x:v>9991</x:v>
      </x:c>
      <x:c r="AG775" s="55" t="n">
        <x:v>111</x:v>
      </x:c>
      <x:c r="AH775" s="55" t="n">
        <x:v>458</x:v>
      </x:c>
      <x:c r="AI775" s="55" t="n">
        <x:v>9533</x:v>
      </x:c>
      <x:c r="AJ775" s="55" t="n">
        <x:v>283</x:v>
      </x:c>
      <x:c r="AK775" s="55" t="n">
        <x:v>907</x:v>
      </x:c>
      <x:c r="AL775" s="55" t="n">
        <x:v>2295</x:v>
      </x:c>
      <x:c r="AM775" s="55" t="n">
        <x:v>3908</x:v>
      </x:c>
      <x:c r="AN775" s="55" t="n">
        <x:v>2598</x:v>
      </x:c>
      <x:c r="AO775" s="55" t="n">
        <x:v>0</x:v>
      </x:c>
      <x:c r="AP775" s="55" t="n">
        <x:v>1953</x:v>
      </x:c>
      <x:c r="AQ775" s="55" t="n">
        <x:v>971</x:v>
      </x:c>
    </x:row>
    <x:row r="776">
      <x:c r="A776" s="54" t="str">
        <x:v>T0_TABLE_BLOCK</x:v>
      </x:c>
      <x:c r="B776" s="54" t="n">
        <x:v>770</x:v>
      </x:c>
      <x:c r="C776" s="54" t="str">
        <x:v>NYC-V2-R01</x:v>
      </x:c>
      <x:c r="D776" s="54" t="str">
        <x:v>V2</x:v>
      </x:c>
      <x:c r="E776" s="54" t="str">
        <x:v>ADMITTED</x:v>
      </x:c>
      <x:c r="F776" s="55" t="n">
        <x:v>30719</x:v>
      </x:c>
      <x:c r="G776" s="55" t="n">
        <x:v>6670</x:v>
      </x:c>
      <x:c r="H776" s="55" t="n">
        <x:v>3131</x:v>
      </x:c>
      <x:c r="I776" s="55" t="n">
        <x:v>1630</x:v>
      </x:c>
      <x:c r="J776" s="55" t="n">
        <x:v>299</x:v>
      </x:c>
      <x:c r="K776" s="55" t="n">
        <x:v>30719</x:v>
      </x:c>
      <x:c r="L776" s="55" t="n">
        <x:v>6037</x:v>
      </x:c>
      <x:c r="M776" s="55" t="n">
        <x:v>1243</x:v>
      </x:c>
      <x:c r="N776" s="55" t="n">
        <x:v>2759</x:v>
      </x:c>
      <x:c r="O776" s="55" t="n">
        <x:v>2035</x:v>
      </x:c>
      <x:c r="P776" s="55" t="n">
        <x:v>949</x:v>
      </x:c>
      <x:c r="Q776" s="55" t="n">
        <x:v>3148</x:v>
      </x:c>
      <x:c r="R776" s="55" t="n">
        <x:v>1869</x:v>
      </x:c>
      <x:c r="S776" s="55" t="n">
        <x:v>3290</x:v>
      </x:c>
      <x:c r="T776" s="55" t="n">
        <x:v>1240</x:v>
      </x:c>
      <x:c r="U776" s="55" t="n">
        <x:v>1810</x:v>
      </x:c>
      <x:c r="V776" s="55" t="n">
        <x:v>10398</x:v>
      </x:c>
      <x:c r="W776" s="55" t="n">
        <x:v>7317</x:v>
      </x:c>
      <x:c r="X776" s="55" t="n">
        <x:v>3081</x:v>
      </x:c>
      <x:c r="Y776" s="55" t="n">
        <x:v>2651</x:v>
      </x:c>
      <x:c r="Z776" s="55" t="n">
        <x:v>4025</x:v>
      </x:c>
      <x:c r="AA776" s="55" t="n">
        <x:v>2737</x:v>
      </x:c>
      <x:c r="AB776" s="55" t="n">
        <x:v>997</x:v>
      </x:c>
      <x:c r="AC776" s="55" t="n">
        <x:v>7369</x:v>
      </x:c>
      <x:c r="AD776" s="55" t="n">
        <x:v>3111</x:v>
      </x:c>
      <x:c r="AE776" s="55" t="n">
        <x:v>10530</x:v>
      </x:c>
      <x:c r="AF776" s="55" t="n">
        <x:v>10398</x:v>
      </x:c>
      <x:c r="AG776" s="55" t="n">
        <x:v>132</x:v>
      </x:c>
      <x:c r="AH776" s="55" t="n">
        <x:v>327</x:v>
      </x:c>
      <x:c r="AI776" s="55" t="n">
        <x:v>10071</x:v>
      </x:c>
      <x:c r="AJ776" s="55" t="n">
        <x:v>409</x:v>
      </x:c>
      <x:c r="AK776" s="55" t="n">
        <x:v>913</x:v>
      </x:c>
      <x:c r="AL776" s="55" t="n">
        <x:v>1629</x:v>
      </x:c>
      <x:c r="AM776" s="55" t="n">
        <x:v>4923</x:v>
      </x:c>
      <x:c r="AN776" s="55" t="n">
        <x:v>2524</x:v>
      </x:c>
      <x:c r="AO776" s="55" t="n">
        <x:v>0</x:v>
      </x:c>
      <x:c r="AP776" s="55" t="n">
        <x:v>2399</x:v>
      </x:c>
      <x:c r="AQ776" s="55" t="n">
        <x:v>936</x:v>
      </x:c>
    </x:row>
    <x:row r="777">
      <x:c r="A777" s="54" t="str">
        <x:v>T0_TABLE_BLOCK</x:v>
      </x:c>
      <x:c r="B777" s="54" t="n">
        <x:v>771</x:v>
      </x:c>
      <x:c r="C777" s="54" t="str">
        <x:v>NYC-V2-R01</x:v>
      </x:c>
      <x:c r="D777" s="54" t="str">
        <x:v>V2</x:v>
      </x:c>
      <x:c r="E777" s="54" t="str">
        <x:v>ADMITTED</x:v>
      </x:c>
      <x:c r="F777" s="55" t="n">
        <x:v>31490</x:v>
      </x:c>
      <x:c r="G777" s="55" t="n">
        <x:v>8713</x:v>
      </x:c>
      <x:c r="H777" s="55" t="n">
        <x:v>2894</x:v>
      </x:c>
      <x:c r="I777" s="55" t="n">
        <x:v>698</x:v>
      </x:c>
      <x:c r="J777" s="55" t="n">
        <x:v>206</x:v>
      </x:c>
      <x:c r="K777" s="55" t="n">
        <x:v>31483</x:v>
      </x:c>
      <x:c r="L777" s="55" t="n">
        <x:v>6111</x:v>
      </x:c>
      <x:c r="M777" s="55" t="n">
        <x:v>909</x:v>
      </x:c>
      <x:c r="N777" s="55" t="n">
        <x:v>2916</x:v>
      </x:c>
      <x:c r="O777" s="55" t="n">
        <x:v>2286</x:v>
      </x:c>
      <x:c r="P777" s="55" t="n">
        <x:v>868</x:v>
      </x:c>
      <x:c r="Q777" s="55" t="n">
        <x:v>2716</x:v>
      </x:c>
      <x:c r="R777" s="55" t="n">
        <x:v>2119</x:v>
      </x:c>
      <x:c r="S777" s="55" t="n">
        <x:v>2620</x:v>
      </x:c>
      <x:c r="T777" s="55" t="n">
        <x:v>1416</x:v>
      </x:c>
      <x:c r="U777" s="55" t="n">
        <x:v>2173</x:v>
      </x:c>
      <x:c r="V777" s="55" t="n">
        <x:v>10169</x:v>
      </x:c>
      <x:c r="W777" s="55" t="n">
        <x:v>7353</x:v>
      </x:c>
      <x:c r="X777" s="55" t="n">
        <x:v>2816</x:v>
      </x:c>
      <x:c r="Y777" s="55" t="n">
        <x:v>2363</x:v>
      </x:c>
      <x:c r="Z777" s="55" t="n">
        <x:v>3773</x:v>
      </x:c>
      <x:c r="AA777" s="55" t="n">
        <x:v>2638</x:v>
      </x:c>
      <x:c r="AB777" s="55" t="n">
        <x:v>757</x:v>
      </x:c>
      <x:c r="AC777" s="55" t="n">
        <x:v>8869</x:v>
      </x:c>
      <x:c r="AD777" s="55" t="n">
        <x:v>2270</x:v>
      </x:c>
      <x:c r="AE777" s="55" t="n">
        <x:v>10285</x:v>
      </x:c>
      <x:c r="AF777" s="55" t="n">
        <x:v>10169</x:v>
      </x:c>
      <x:c r="AG777" s="55" t="n">
        <x:v>116</x:v>
      </x:c>
      <x:c r="AH777" s="55" t="n">
        <x:v>424</x:v>
      </x:c>
      <x:c r="AI777" s="55" t="n">
        <x:v>9745</x:v>
      </x:c>
      <x:c r="AJ777" s="55" t="n">
        <x:v>378</x:v>
      </x:c>
      <x:c r="AK777" s="55" t="n">
        <x:v>764</x:v>
      </x:c>
      <x:c r="AL777" s="55" t="n">
        <x:v>1641</x:v>
      </x:c>
      <x:c r="AM777" s="55" t="n">
        <x:v>4693</x:v>
      </x:c>
      <x:c r="AN777" s="55" t="n">
        <x:v>2693</x:v>
      </x:c>
      <x:c r="AO777" s="55" t="n">
        <x:v>0</x:v>
      </x:c>
      <x:c r="AP777" s="55" t="n">
        <x:v>2268</x:v>
      </x:c>
      <x:c r="AQ777" s="55" t="n">
        <x:v>987</x:v>
      </x:c>
    </x:row>
    <x:row r="778">
      <x:c r="A778" s="54" t="str">
        <x:v>T0_TABLE_BLOCK</x:v>
      </x:c>
      <x:c r="B778" s="54" t="n">
        <x:v>772</x:v>
      </x:c>
      <x:c r="C778" s="54" t="str">
        <x:v>NYC-V2-R01</x:v>
      </x:c>
      <x:c r="D778" s="54" t="str">
        <x:v>V2</x:v>
      </x:c>
      <x:c r="E778" s="54" t="str">
        <x:v>ADMITTED</x:v>
      </x:c>
      <x:c r="F778" s="55" t="n">
        <x:v>29088</x:v>
      </x:c>
      <x:c r="G778" s="55" t="n">
        <x:v>7134</x:v>
      </x:c>
      <x:c r="H778" s="55" t="n">
        <x:v>3461</x:v>
      </x:c>
      <x:c r="I778" s="55" t="n">
        <x:v>715</x:v>
      </x:c>
      <x:c r="J778" s="55" t="n">
        <x:v>0</x:v>
      </x:c>
      <x:c r="K778" s="55" t="n">
        <x:v>29088</x:v>
      </x:c>
      <x:c r="L778" s="55" t="n">
        <x:v>4587</x:v>
      </x:c>
      <x:c r="M778" s="55" t="n">
        <x:v>561</x:v>
      </x:c>
      <x:c r="N778" s="55" t="n">
        <x:v>2215</x:v>
      </x:c>
      <x:c r="O778" s="55" t="n">
        <x:v>1811</x:v>
      </x:c>
      <x:c r="P778" s="55" t="n">
        <x:v>355</x:v>
      </x:c>
      <x:c r="Q778" s="55" t="n">
        <x:v>2272</x:v>
      </x:c>
      <x:c r="R778" s="55" t="n">
        <x:v>1727</x:v>
      </x:c>
      <x:c r="S778" s="55" t="n">
        <x:v>2994</x:v>
      </x:c>
      <x:c r="T778" s="55" t="n">
        <x:v>1125</x:v>
      </x:c>
      <x:c r="U778" s="55" t="n">
        <x:v>1786</x:v>
      </x:c>
      <x:c r="V778" s="55" t="n">
        <x:v>10392</x:v>
      </x:c>
      <x:c r="W778" s="55" t="n">
        <x:v>7376</x:v>
      </x:c>
      <x:c r="X778" s="55" t="n">
        <x:v>3016</x:v>
      </x:c>
      <x:c r="Y778" s="55" t="n">
        <x:v>2589</x:v>
      </x:c>
      <x:c r="Z778" s="55" t="n">
        <x:v>3470</x:v>
      </x:c>
      <x:c r="AA778" s="55" t="n">
        <x:v>3461</x:v>
      </x:c>
      <x:c r="AB778" s="55" t="n">
        <x:v>1176</x:v>
      </x:c>
      <x:c r="AC778" s="55" t="n">
        <x:v>8289</x:v>
      </x:c>
      <x:c r="AD778" s="55" t="n">
        <x:v>2439</x:v>
      </x:c>
      <x:c r="AE778" s="55" t="n">
        <x:v>10444</x:v>
      </x:c>
      <x:c r="AF778" s="55" t="n">
        <x:v>10392</x:v>
      </x:c>
      <x:c r="AG778" s="55" t="n">
        <x:v>52</x:v>
      </x:c>
      <x:c r="AH778" s="55" t="n">
        <x:v>399</x:v>
      </x:c>
      <x:c r="AI778" s="55" t="n">
        <x:v>9993</x:v>
      </x:c>
      <x:c r="AJ778" s="55" t="n">
        <x:v>372</x:v>
      </x:c>
      <x:c r="AK778" s="55" t="n">
        <x:v>1021</x:v>
      </x:c>
      <x:c r="AL778" s="55" t="n">
        <x:v>1329</x:v>
      </x:c>
      <x:c r="AM778" s="55" t="n">
        <x:v>5171</x:v>
      </x:c>
      <x:c r="AN778" s="55" t="n">
        <x:v>2458</x:v>
      </x:c>
      <x:c r="AO778" s="55" t="n">
        <x:v>41</x:v>
      </x:c>
      <x:c r="AP778" s="55" t="n">
        <x:v>2179</x:v>
      </x:c>
      <x:c r="AQ778" s="55" t="n">
        <x:v>951</x:v>
      </x:c>
    </x:row>
    <x:row r="779">
      <x:c r="A779" s="54" t="str">
        <x:v>T0_TABLE_BLOCK</x:v>
      </x:c>
      <x:c r="B779" s="54" t="n">
        <x:v>773</x:v>
      </x:c>
      <x:c r="C779" s="54" t="str">
        <x:v>NYC-V2-R01</x:v>
      </x:c>
      <x:c r="D779" s="54" t="str">
        <x:v>V2</x:v>
      </x:c>
      <x:c r="E779" s="54" t="str">
        <x:v>ADMITTED</x:v>
      </x:c>
      <x:c r="F779" s="55" t="n">
        <x:v>33866</x:v>
      </x:c>
      <x:c r="G779" s="55" t="n">
        <x:v>7987</x:v>
      </x:c>
      <x:c r="H779" s="55" t="n">
        <x:v>3519</x:v>
      </x:c>
      <x:c r="I779" s="55" t="n">
        <x:v>1352</x:v>
      </x:c>
      <x:c r="J779" s="55" t="n">
        <x:v>260</x:v>
      </x:c>
      <x:c r="K779" s="55" t="n">
        <x:v>33866</x:v>
      </x:c>
      <x:c r="L779" s="55" t="n">
        <x:v>7769</x:v>
      </x:c>
      <x:c r="M779" s="55" t="n">
        <x:v>2000</x:v>
      </x:c>
      <x:c r="N779" s="55" t="n">
        <x:v>3593</x:v>
      </x:c>
      <x:c r="O779" s="55" t="n">
        <x:v>2176</x:v>
      </x:c>
      <x:c r="P779" s="55" t="n">
        <x:v>991</x:v>
      </x:c>
      <x:c r="Q779" s="55" t="n">
        <x:v>2680</x:v>
      </x:c>
      <x:c r="R779" s="55" t="n">
        <x:v>1874</x:v>
      </x:c>
      <x:c r="S779" s="55" t="n">
        <x:v>2036</x:v>
      </x:c>
      <x:c r="T779" s="55" t="n">
        <x:v>1573</x:v>
      </x:c>
      <x:c r="U779" s="55" t="n">
        <x:v>1850</x:v>
      </x:c>
      <x:c r="V779" s="55" t="n">
        <x:v>10393</x:v>
      </x:c>
      <x:c r="W779" s="55" t="n">
        <x:v>7434</x:v>
      </x:c>
      <x:c r="X779" s="55" t="n">
        <x:v>2959</x:v>
      </x:c>
      <x:c r="Y779" s="55" t="n">
        <x:v>2483</x:v>
      </x:c>
      <x:c r="Z779" s="55" t="n">
        <x:v>3826</x:v>
      </x:c>
      <x:c r="AA779" s="55" t="n">
        <x:v>3060</x:v>
      </x:c>
      <x:c r="AB779" s="55" t="n">
        <x:v>1167</x:v>
      </x:c>
      <x:c r="AC779" s="55" t="n">
        <x:v>8065</x:v>
      </x:c>
      <x:c r="AD779" s="55" t="n">
        <x:v>3149</x:v>
      </x:c>
      <x:c r="AE779" s="55" t="n">
        <x:v>10521</x:v>
      </x:c>
      <x:c r="AF779" s="55" t="n">
        <x:v>10393</x:v>
      </x:c>
      <x:c r="AG779" s="55" t="n">
        <x:v>128</x:v>
      </x:c>
      <x:c r="AH779" s="55" t="n">
        <x:v>350</x:v>
      </x:c>
      <x:c r="AI779" s="55" t="n">
        <x:v>10043</x:v>
      </x:c>
      <x:c r="AJ779" s="55" t="n">
        <x:v>545</x:v>
      </x:c>
      <x:c r="AK779" s="55" t="n">
        <x:v>1174</x:v>
      </x:c>
      <x:c r="AL779" s="55" t="n">
        <x:v>1589</x:v>
      </x:c>
      <x:c r="AM779" s="55" t="n">
        <x:v>4483</x:v>
      </x:c>
      <x:c r="AN779" s="55" t="n">
        <x:v>2592</x:v>
      </x:c>
      <x:c r="AO779" s="55" t="n">
        <x:v>10</x:v>
      </x:c>
      <x:c r="AP779" s="55" t="n">
        <x:v>2017</x:v>
      </x:c>
      <x:c r="AQ779" s="55" t="n">
        <x:v>995</x:v>
      </x:c>
    </x:row>
    <x:row r="780">
      <x:c r="A780" s="54" t="str">
        <x:v>T0_TABLE_BLOCK</x:v>
      </x:c>
      <x:c r="B780" s="54" t="n">
        <x:v>774</x:v>
      </x:c>
      <x:c r="C780" s="54" t="str">
        <x:v>NYC-V2-R01</x:v>
      </x:c>
      <x:c r="D780" s="54" t="str">
        <x:v>V2</x:v>
      </x:c>
      <x:c r="E780" s="54" t="str">
        <x:v>ADMITTED</x:v>
      </x:c>
      <x:c r="F780" s="55" t="n">
        <x:v>30234</x:v>
      </x:c>
      <x:c r="G780" s="55" t="n">
        <x:v>8598</x:v>
      </x:c>
      <x:c r="H780" s="55" t="n">
        <x:v>3473</x:v>
      </x:c>
      <x:c r="I780" s="55" t="n">
        <x:v>1334</x:v>
      </x:c>
      <x:c r="J780" s="55" t="n">
        <x:v>446</x:v>
      </x:c>
      <x:c r="K780" s="55" t="n">
        <x:v>29822</x:v>
      </x:c>
      <x:c r="L780" s="55" t="n">
        <x:v>5037</x:v>
      </x:c>
      <x:c r="M780" s="55" t="n">
        <x:v>867</x:v>
      </x:c>
      <x:c r="N780" s="55" t="n">
        <x:v>2694</x:v>
      </x:c>
      <x:c r="O780" s="55" t="n">
        <x:v>1476</x:v>
      </x:c>
      <x:c r="P780" s="55" t="n">
        <x:v>1191</x:v>
      </x:c>
      <x:c r="Q780" s="55" t="n">
        <x:v>3105</x:v>
      </x:c>
      <x:c r="R780" s="55" t="n">
        <x:v>2644</x:v>
      </x:c>
      <x:c r="S780" s="55" t="n">
        <x:v>2484</x:v>
      </x:c>
      <x:c r="T780" s="55" t="n">
        <x:v>605</x:v>
      </x:c>
      <x:c r="U780" s="55" t="n">
        <x:v>1850</x:v>
      </x:c>
      <x:c r="V780" s="55" t="n">
        <x:v>10501</x:v>
      </x:c>
      <x:c r="W780" s="55" t="n">
        <x:v>8067</x:v>
      </x:c>
      <x:c r="X780" s="55" t="n">
        <x:v>2434</x:v>
      </x:c>
      <x:c r="Y780" s="55" t="n">
        <x:v>2095</x:v>
      </x:c>
      <x:c r="Z780" s="55" t="n">
        <x:v>3721</x:v>
      </x:c>
      <x:c r="AA780" s="55" t="n">
        <x:v>2879</x:v>
      </x:c>
      <x:c r="AB780" s="55" t="n">
        <x:v>1337</x:v>
      </x:c>
      <x:c r="AC780" s="55" t="n">
        <x:v>7876</x:v>
      </x:c>
      <x:c r="AD780" s="55" t="n">
        <x:v>2741</x:v>
      </x:c>
      <x:c r="AE780" s="55" t="n">
        <x:v>10590</x:v>
      </x:c>
      <x:c r="AF780" s="55" t="n">
        <x:v>10501</x:v>
      </x:c>
      <x:c r="AG780" s="55" t="n">
        <x:v>89</x:v>
      </x:c>
      <x:c r="AH780" s="55" t="n">
        <x:v>309</x:v>
      </x:c>
      <x:c r="AI780" s="55" t="n">
        <x:v>10192</x:v>
      </x:c>
      <x:c r="AJ780" s="55" t="n">
        <x:v>286</x:v>
      </x:c>
      <x:c r="AK780" s="55" t="n">
        <x:v>1180</x:v>
      </x:c>
      <x:c r="AL780" s="55" t="n">
        <x:v>1695</x:v>
      </x:c>
      <x:c r="AM780" s="55" t="n">
        <x:v>5465</x:v>
      </x:c>
      <x:c r="AN780" s="55" t="n">
        <x:v>1860</x:v>
      </x:c>
      <x:c r="AO780" s="55" t="n">
        <x:v>15</x:v>
      </x:c>
      <x:c r="AP780" s="55" t="n">
        <x:v>2031</x:v>
      </x:c>
      <x:c r="AQ780" s="55" t="n">
        <x:v>977</x:v>
      </x:c>
    </x:row>
    <x:row r="781">
      <x:c r="A781" s="54" t="str">
        <x:v>T0_TABLE_BLOCK</x:v>
      </x:c>
      <x:c r="B781" s="54" t="n">
        <x:v>775</x:v>
      </x:c>
      <x:c r="C781" s="54" t="str">
        <x:v>NYC-V2-R01</x:v>
      </x:c>
      <x:c r="D781" s="54" t="str">
        <x:v>V2</x:v>
      </x:c>
      <x:c r="E781" s="54" t="str">
        <x:v>ADMITTED</x:v>
      </x:c>
      <x:c r="F781" s="55" t="n">
        <x:v>30148</x:v>
      </x:c>
      <x:c r="G781" s="55" t="n">
        <x:v>7645</x:v>
      </x:c>
      <x:c r="H781" s="55" t="n">
        <x:v>3518</x:v>
      </x:c>
      <x:c r="I781" s="55" t="n">
        <x:v>1425</x:v>
      </x:c>
      <x:c r="J781" s="55" t="n">
        <x:v>176</x:v>
      </x:c>
      <x:c r="K781" s="55" t="n">
        <x:v>28157</x:v>
      </x:c>
      <x:c r="L781" s="55" t="n">
        <x:v>4403</x:v>
      </x:c>
      <x:c r="M781" s="55" t="n">
        <x:v>97</x:v>
      </x:c>
      <x:c r="N781" s="55" t="n">
        <x:v>2837</x:v>
      </x:c>
      <x:c r="O781" s="55" t="n">
        <x:v>1469</x:v>
      </x:c>
      <x:c r="P781" s="55" t="n">
        <x:v>601</x:v>
      </x:c>
      <x:c r="Q781" s="55" t="n">
        <x:v>2600</x:v>
      </x:c>
      <x:c r="R781" s="55" t="n">
        <x:v>2117</x:v>
      </x:c>
      <x:c r="S781" s="55" t="n">
        <x:v>2163</x:v>
      </x:c>
      <x:c r="T781" s="55" t="n">
        <x:v>1351</x:v>
      </x:c>
      <x:c r="U781" s="55" t="n">
        <x:v>2634</x:v>
      </x:c>
      <x:c r="V781" s="55" t="n">
        <x:v>10385</x:v>
      </x:c>
      <x:c r="W781" s="55" t="n">
        <x:v>7324</x:v>
      </x:c>
      <x:c r="X781" s="55" t="n">
        <x:v>3061</x:v>
      </x:c>
      <x:c r="Y781" s="55" t="n">
        <x:v>2537</x:v>
      </x:c>
      <x:c r="Z781" s="55" t="n">
        <x:v>4344</x:v>
      </x:c>
      <x:c r="AA781" s="55" t="n">
        <x:v>2425</x:v>
      </x:c>
      <x:c r="AB781" s="55" t="n">
        <x:v>890</x:v>
      </x:c>
      <x:c r="AC781" s="55" t="n">
        <x:v>8639</x:v>
      </x:c>
      <x:c r="AD781" s="55" t="n">
        <x:v>2986</x:v>
      </x:c>
      <x:c r="AE781" s="55" t="n">
        <x:v>10487</x:v>
      </x:c>
      <x:c r="AF781" s="55" t="n">
        <x:v>10385</x:v>
      </x:c>
      <x:c r="AG781" s="55" t="n">
        <x:v>102</x:v>
      </x:c>
      <x:c r="AH781" s="55" t="n">
        <x:v>539</x:v>
      </x:c>
      <x:c r="AI781" s="55" t="n">
        <x:v>9846</x:v>
      </x:c>
      <x:c r="AJ781" s="55" t="n">
        <x:v>337</x:v>
      </x:c>
      <x:c r="AK781" s="55" t="n">
        <x:v>735</x:v>
      </x:c>
      <x:c r="AL781" s="55" t="n">
        <x:v>1856</x:v>
      </x:c>
      <x:c r="AM781" s="55" t="n">
        <x:v>4972</x:v>
      </x:c>
      <x:c r="AN781" s="55" t="n">
        <x:v>2472</x:v>
      </x:c>
      <x:c r="AO781" s="55" t="n">
        <x:v>13</x:v>
      </x:c>
      <x:c r="AP781" s="55" t="n">
        <x:v>2486</x:v>
      </x:c>
      <x:c r="AQ781" s="55" t="n">
        <x:v>959</x:v>
      </x:c>
    </x:row>
    <x:row r="782">
      <x:c r="A782" s="54" t="str">
        <x:v>T0_TABLE_BLOCK</x:v>
      </x:c>
      <x:c r="B782" s="54" t="n">
        <x:v>776</x:v>
      </x:c>
      <x:c r="C782" s="54" t="str">
        <x:v>NYC-V2-R01</x:v>
      </x:c>
      <x:c r="D782" s="54" t="str">
        <x:v>V2</x:v>
      </x:c>
      <x:c r="E782" s="54" t="str">
        <x:v>ADMITTED</x:v>
      </x:c>
      <x:c r="F782" s="55" t="n">
        <x:v>32323</x:v>
      </x:c>
      <x:c r="G782" s="55" t="n">
        <x:v>9160</x:v>
      </x:c>
      <x:c r="H782" s="55" t="n">
        <x:v>3188</x:v>
      </x:c>
      <x:c r="I782" s="55" t="n">
        <x:v>1262</x:v>
      </x:c>
      <x:c r="J782" s="55" t="n">
        <x:v>323</x:v>
      </x:c>
      <x:c r="K782" s="55" t="n">
        <x:v>29801</x:v>
      </x:c>
      <x:c r="L782" s="55" t="n">
        <x:v>5536</x:v>
      </x:c>
      <x:c r="M782" s="55" t="n">
        <x:v>1048</x:v>
      </x:c>
      <x:c r="N782" s="55" t="n">
        <x:v>2841</x:v>
      </x:c>
      <x:c r="O782" s="55" t="n">
        <x:v>1647</x:v>
      </x:c>
      <x:c r="P782" s="55" t="n">
        <x:v>743</x:v>
      </x:c>
      <x:c r="Q782" s="55" t="n">
        <x:v>2307</x:v>
      </x:c>
      <x:c r="R782" s="55" t="n">
        <x:v>1396</x:v>
      </x:c>
      <x:c r="S782" s="55" t="n">
        <x:v>2682</x:v>
      </x:c>
      <x:c r="T782" s="55" t="n">
        <x:v>1318</x:v>
      </x:c>
      <x:c r="U782" s="55" t="n">
        <x:v>2127</x:v>
      </x:c>
      <x:c r="V782" s="55" t="n">
        <x:v>10655</x:v>
      </x:c>
      <x:c r="W782" s="55" t="n">
        <x:v>7916</x:v>
      </x:c>
      <x:c r="X782" s="55" t="n">
        <x:v>2739</x:v>
      </x:c>
      <x:c r="Y782" s="55" t="n">
        <x:v>2370</x:v>
      </x:c>
      <x:c r="Z782" s="55" t="n">
        <x:v>4006</x:v>
      </x:c>
      <x:c r="AA782" s="55" t="n">
        <x:v>3188</x:v>
      </x:c>
      <x:c r="AB782" s="55" t="n">
        <x:v>1360</x:v>
      </x:c>
      <x:c r="AC782" s="55" t="n">
        <x:v>8686</x:v>
      </x:c>
      <x:c r="AD782" s="55" t="n">
        <x:v>2870</x:v>
      </x:c>
      <x:c r="AE782" s="55" t="n">
        <x:v>10699</x:v>
      </x:c>
      <x:c r="AF782" s="55" t="n">
        <x:v>10655</x:v>
      </x:c>
      <x:c r="AG782" s="55" t="n">
        <x:v>44</x:v>
      </x:c>
      <x:c r="AH782" s="55" t="n">
        <x:v>359</x:v>
      </x:c>
      <x:c r="AI782" s="55" t="n">
        <x:v>10296</x:v>
      </x:c>
      <x:c r="AJ782" s="55" t="n">
        <x:v>319</x:v>
      </x:c>
      <x:c r="AK782" s="55" t="n">
        <x:v>946</x:v>
      </x:c>
      <x:c r="AL782" s="55" t="n">
        <x:v>1857</x:v>
      </x:c>
      <x:c r="AM782" s="55" t="n">
        <x:v>5005</x:v>
      </x:c>
      <x:c r="AN782" s="55" t="n">
        <x:v>2523</x:v>
      </x:c>
      <x:c r="AO782" s="55" t="n">
        <x:v>5</x:v>
      </x:c>
      <x:c r="AP782" s="55" t="n">
        <x:v>2232</x:v>
      </x:c>
      <x:c r="AQ782" s="55" t="n">
        <x:v>1003</x:v>
      </x:c>
    </x:row>
    <x:row r="783">
      <x:c r="A783" s="54" t="str">
        <x:v>T0_TABLE_BLOCK</x:v>
      </x:c>
      <x:c r="B783" s="54" t="n">
        <x:v>777</x:v>
      </x:c>
      <x:c r="C783" s="54" t="str">
        <x:v>NYC-V2-R01</x:v>
      </x:c>
      <x:c r="D783" s="54" t="str">
        <x:v>V2</x:v>
      </x:c>
      <x:c r="E783" s="54" t="str">
        <x:v>ADMITTED</x:v>
      </x:c>
      <x:c r="F783" s="55" t="n">
        <x:v>30312</x:v>
      </x:c>
      <x:c r="G783" s="55" t="n">
        <x:v>5876</x:v>
      </x:c>
      <x:c r="H783" s="55" t="n">
        <x:v>2901</x:v>
      </x:c>
      <x:c r="I783" s="55" t="n">
        <x:v>1385</x:v>
      </x:c>
      <x:c r="J783" s="55" t="n">
        <x:v>66</x:v>
      </x:c>
      <x:c r="K783" s="55" t="n">
        <x:v>30312</x:v>
      </x:c>
      <x:c r="L783" s="55" t="n">
        <x:v>6145</x:v>
      </x:c>
      <x:c r="M783" s="55" t="n">
        <x:v>1728</x:v>
      </x:c>
      <x:c r="N783" s="55" t="n">
        <x:v>2598</x:v>
      </x:c>
      <x:c r="O783" s="55" t="n">
        <x:v>1819</x:v>
      </x:c>
      <x:c r="P783" s="55" t="n">
        <x:v>593</x:v>
      </x:c>
      <x:c r="Q783" s="55" t="n">
        <x:v>3490</x:v>
      </x:c>
      <x:c r="R783" s="55" t="n">
        <x:v>1591</x:v>
      </x:c>
      <x:c r="S783" s="55" t="n">
        <x:v>2423</x:v>
      </x:c>
      <x:c r="T783" s="55" t="n">
        <x:v>1101</x:v>
      </x:c>
      <x:c r="U783" s="55" t="n">
        <x:v>1356</x:v>
      </x:c>
      <x:c r="V783" s="55" t="n">
        <x:v>11053</x:v>
      </x:c>
      <x:c r="W783" s="55" t="n">
        <x:v>8217</x:v>
      </x:c>
      <x:c r="X783" s="55" t="n">
        <x:v>2836</x:v>
      </x:c>
      <x:c r="Y783" s="55" t="n">
        <x:v>2535</x:v>
      </x:c>
      <x:c r="Z783" s="55" t="n">
        <x:v>3697</x:v>
      </x:c>
      <x:c r="AA783" s="55" t="n">
        <x:v>2464</x:v>
      </x:c>
      <x:c r="AB783" s="55" t="n">
        <x:v>808</x:v>
      </x:c>
      <x:c r="AC783" s="55" t="n">
        <x:v>8298</x:v>
      </x:c>
      <x:c r="AD783" s="55" t="n">
        <x:v>2729</x:v>
      </x:c>
      <x:c r="AE783" s="55" t="n">
        <x:v>11109</x:v>
      </x:c>
      <x:c r="AF783" s="55" t="n">
        <x:v>11053</x:v>
      </x:c>
      <x:c r="AG783" s="55" t="n">
        <x:v>56</x:v>
      </x:c>
      <x:c r="AH783" s="55" t="n">
        <x:v>645</x:v>
      </x:c>
      <x:c r="AI783" s="55" t="n">
        <x:v>10408</x:v>
      </x:c>
      <x:c r="AJ783" s="55" t="n">
        <x:v>432</x:v>
      </x:c>
      <x:c r="AK783" s="55" t="n">
        <x:v>1185</x:v>
      </x:c>
      <x:c r="AL783" s="55" t="n">
        <x:v>1770</x:v>
      </x:c>
      <x:c r="AM783" s="55" t="n">
        <x:v>5028</x:v>
      </x:c>
      <x:c r="AN783" s="55" t="n">
        <x:v>2614</x:v>
      </x:c>
      <x:c r="AO783" s="55" t="n">
        <x:v>24</x:v>
      </x:c>
      <x:c r="AP783" s="55" t="n">
        <x:v>1784</x:v>
      </x:c>
      <x:c r="AQ783" s="55" t="n">
        <x:v>947</x:v>
      </x:c>
    </x:row>
    <x:row r="784">
      <x:c r="A784" s="54" t="str">
        <x:v>T0_TABLE_BLOCK</x:v>
      </x:c>
      <x:c r="B784" s="54" t="n">
        <x:v>778</x:v>
      </x:c>
      <x:c r="C784" s="54" t="str">
        <x:v>NYC-V2-R01</x:v>
      </x:c>
      <x:c r="D784" s="54" t="str">
        <x:v>V2</x:v>
      </x:c>
      <x:c r="E784" s="54" t="str">
        <x:v>ADMITTED</x:v>
      </x:c>
      <x:c r="F784" s="55" t="n">
        <x:v>31960</x:v>
      </x:c>
      <x:c r="G784" s="55" t="n">
        <x:v>7508</x:v>
      </x:c>
      <x:c r="H784" s="55" t="n">
        <x:v>3197</x:v>
      </x:c>
      <x:c r="I784" s="55" t="n">
        <x:v>1344</x:v>
      </x:c>
      <x:c r="J784" s="55" t="n">
        <x:v>516</x:v>
      </x:c>
      <x:c r="K784" s="55" t="n">
        <x:v>29456</x:v>
      </x:c>
      <x:c r="L784" s="55" t="n">
        <x:v>5929</x:v>
      </x:c>
      <x:c r="M784" s="55" t="n">
        <x:v>1913</x:v>
      </x:c>
      <x:c r="N784" s="55" t="n">
        <x:v>2793</x:v>
      </x:c>
      <x:c r="O784" s="55" t="n">
        <x:v>1223</x:v>
      </x:c>
      <x:c r="P784" s="55" t="n">
        <x:v>716</x:v>
      </x:c>
      <x:c r="Q784" s="55" t="n">
        <x:v>2006</x:v>
      </x:c>
      <x:c r="R784" s="55" t="n">
        <x:v>2087</x:v>
      </x:c>
      <x:c r="S784" s="55" t="n">
        <x:v>2879</x:v>
      </x:c>
      <x:c r="T784" s="55" t="n">
        <x:v>1560</x:v>
      </x:c>
      <x:c r="U784" s="55" t="n">
        <x:v>2253</x:v>
      </x:c>
      <x:c r="V784" s="55" t="n">
        <x:v>10697</x:v>
      </x:c>
      <x:c r="W784" s="55" t="n">
        <x:v>7715</x:v>
      </x:c>
      <x:c r="X784" s="55" t="n">
        <x:v>2982</x:v>
      </x:c>
      <x:c r="Y784" s="55" t="n">
        <x:v>2490</x:v>
      </x:c>
      <x:c r="Z784" s="55" t="n">
        <x:v>3469</x:v>
      </x:c>
      <x:c r="AA784" s="55" t="n">
        <x:v>2788</x:v>
      </x:c>
      <x:c r="AB784" s="55" t="n">
        <x:v>863</x:v>
      </x:c>
      <x:c r="AC784" s="55" t="n">
        <x:v>8281</x:v>
      </x:c>
      <x:c r="AD784" s="55" t="n">
        <x:v>3654</x:v>
      </x:c>
      <x:c r="AE784" s="55" t="n">
        <x:v>10760</x:v>
      </x:c>
      <x:c r="AF784" s="55" t="n">
        <x:v>10697</x:v>
      </x:c>
      <x:c r="AG784" s="55" t="n">
        <x:v>63</x:v>
      </x:c>
      <x:c r="AH784" s="55" t="n">
        <x:v>653</x:v>
      </x:c>
      <x:c r="AI784" s="55" t="n">
        <x:v>10044</x:v>
      </x:c>
      <x:c r="AJ784" s="55" t="n">
        <x:v>212</x:v>
      </x:c>
      <x:c r="AK784" s="55" t="n">
        <x:v>1093</x:v>
      </x:c>
      <x:c r="AL784" s="55" t="n">
        <x:v>2046</x:v>
      </x:c>
      <x:c r="AM784" s="55" t="n">
        <x:v>4253</x:v>
      </x:c>
      <x:c r="AN784" s="55" t="n">
        <x:v>3078</x:v>
      </x:c>
      <x:c r="AO784" s="55" t="n">
        <x:v>15</x:v>
      </x:c>
      <x:c r="AP784" s="55" t="n">
        <x:v>2895</x:v>
      </x:c>
      <x:c r="AQ784" s="55" t="n">
        <x:v>946</x:v>
      </x:c>
    </x:row>
    <x:row r="785">
      <x:c r="A785" s="54" t="str">
        <x:v>T0_TABLE_BLOCK</x:v>
      </x:c>
      <x:c r="B785" s="54" t="n">
        <x:v>779</x:v>
      </x:c>
      <x:c r="C785" s="54" t="str">
        <x:v>NYC-V2-R01</x:v>
      </x:c>
      <x:c r="D785" s="54" t="str">
        <x:v>V2</x:v>
      </x:c>
      <x:c r="E785" s="54" t="str">
        <x:v>ADMITTED</x:v>
      </x:c>
      <x:c r="F785" s="55" t="n">
        <x:v>31726</x:v>
      </x:c>
      <x:c r="G785" s="55" t="n">
        <x:v>8746</x:v>
      </x:c>
      <x:c r="H785" s="55" t="n">
        <x:v>2996</x:v>
      </x:c>
      <x:c r="I785" s="55" t="n">
        <x:v>1259</x:v>
      </x:c>
      <x:c r="J785" s="55" t="n">
        <x:v>159</x:v>
      </x:c>
      <x:c r="K785" s="55" t="n">
        <x:v>29857</x:v>
      </x:c>
      <x:c r="L785" s="55" t="n">
        <x:v>5735</x:v>
      </x:c>
      <x:c r="M785" s="55" t="n">
        <x:v>1293</x:v>
      </x:c>
      <x:c r="N785" s="55" t="n">
        <x:v>2692</x:v>
      </x:c>
      <x:c r="O785" s="55" t="n">
        <x:v>1750</x:v>
      </x:c>
      <x:c r="P785" s="55" t="n">
        <x:v>653</x:v>
      </x:c>
      <x:c r="Q785" s="55" t="n">
        <x:v>3336</x:v>
      </x:c>
      <x:c r="R785" s="55" t="n">
        <x:v>2223</x:v>
      </x:c>
      <x:c r="S785" s="55" t="n">
        <x:v>3031</x:v>
      </x:c>
      <x:c r="T785" s="55" t="n">
        <x:v>1526</x:v>
      </x:c>
      <x:c r="U785" s="55" t="n">
        <x:v>1888</x:v>
      </x:c>
      <x:c r="V785" s="55" t="n">
        <x:v>10257</x:v>
      </x:c>
      <x:c r="W785" s="55" t="n">
        <x:v>7021</x:v>
      </x:c>
      <x:c r="X785" s="55" t="n">
        <x:v>3236</x:v>
      </x:c>
      <x:c r="Y785" s="55" t="n">
        <x:v>2662</x:v>
      </x:c>
      <x:c r="Z785" s="55" t="n">
        <x:v>3844</x:v>
      </x:c>
      <x:c r="AA785" s="55" t="n">
        <x:v>2996</x:v>
      </x:c>
      <x:c r="AB785" s="55" t="n">
        <x:v>1090</x:v>
      </x:c>
      <x:c r="AC785" s="55" t="n">
        <x:v>8068</x:v>
      </x:c>
      <x:c r="AD785" s="55" t="n">
        <x:v>2772</x:v>
      </x:c>
      <x:c r="AE785" s="55" t="n">
        <x:v>10296</x:v>
      </x:c>
      <x:c r="AF785" s="55" t="n">
        <x:v>10257</x:v>
      </x:c>
      <x:c r="AG785" s="55" t="n">
        <x:v>39</x:v>
      </x:c>
      <x:c r="AH785" s="55" t="n">
        <x:v>633</x:v>
      </x:c>
      <x:c r="AI785" s="55" t="n">
        <x:v>9624</x:v>
      </x:c>
      <x:c r="AJ785" s="55" t="n">
        <x:v>366</x:v>
      </x:c>
      <x:c r="AK785" s="55" t="n">
        <x:v>1042</x:v>
      </x:c>
      <x:c r="AL785" s="55" t="n">
        <x:v>1499</x:v>
      </x:c>
      <x:c r="AM785" s="55" t="n">
        <x:v>4925</x:v>
      </x:c>
      <x:c r="AN785" s="55" t="n">
        <x:v>2425</x:v>
      </x:c>
      <x:c r="AO785" s="55" t="n">
        <x:v>0</x:v>
      </x:c>
      <x:c r="AP785" s="55" t="n">
        <x:v>2146</x:v>
      </x:c>
      <x:c r="AQ785" s="55" t="n">
        <x:v>928</x:v>
      </x:c>
    </x:row>
    <x:row r="786">
      <x:c r="A786" s="54" t="str">
        <x:v>T0_TABLE_BLOCK</x:v>
      </x:c>
      <x:c r="B786" s="54" t="n">
        <x:v>780</x:v>
      </x:c>
      <x:c r="C786" s="54" t="str">
        <x:v>NYC-V2-R01</x:v>
      </x:c>
      <x:c r="D786" s="54" t="str">
        <x:v>V2</x:v>
      </x:c>
      <x:c r="E786" s="54" t="str">
        <x:v>ADMITTED</x:v>
      </x:c>
      <x:c r="F786" s="55" t="n">
        <x:v>31544</x:v>
      </x:c>
      <x:c r="G786" s="55" t="n">
        <x:v>7834</x:v>
      </x:c>
      <x:c r="H786" s="55" t="n">
        <x:v>3520</x:v>
      </x:c>
      <x:c r="I786" s="55" t="n">
        <x:v>1445</x:v>
      </x:c>
      <x:c r="J786" s="55" t="n">
        <x:v>296</x:v>
      </x:c>
      <x:c r="K786" s="55" t="n">
        <x:v>31544</x:v>
      </x:c>
      <x:c r="L786" s="55" t="n">
        <x:v>5616</x:v>
      </x:c>
      <x:c r="M786" s="55" t="n">
        <x:v>1159</x:v>
      </x:c>
      <x:c r="N786" s="55" t="n">
        <x:v>2561</x:v>
      </x:c>
      <x:c r="O786" s="55" t="n">
        <x:v>1896</x:v>
      </x:c>
      <x:c r="P786" s="55" t="n">
        <x:v>1017</x:v>
      </x:c>
      <x:c r="Q786" s="55" t="n">
        <x:v>2450</x:v>
      </x:c>
      <x:c r="R786" s="55" t="n">
        <x:v>2129</x:v>
      </x:c>
      <x:c r="S786" s="55" t="n">
        <x:v>3057</x:v>
      </x:c>
      <x:c r="T786" s="55" t="n">
        <x:v>1138</x:v>
      </x:c>
      <x:c r="U786" s="55" t="n">
        <x:v>2209</x:v>
      </x:c>
      <x:c r="V786" s="55" t="n">
        <x:v>11023</x:v>
      </x:c>
      <x:c r="W786" s="55" t="n">
        <x:v>8078</x:v>
      </x:c>
      <x:c r="X786" s="55" t="n">
        <x:v>2945</x:v>
      </x:c>
      <x:c r="Y786" s="55" t="n">
        <x:v>2607</x:v>
      </x:c>
      <x:c r="Z786" s="55" t="n">
        <x:v>3303</x:v>
      </x:c>
      <x:c r="AA786" s="55" t="n">
        <x:v>3520</x:v>
      </x:c>
      <x:c r="AB786" s="55" t="n">
        <x:v>1293</x:v>
      </x:c>
      <x:c r="AC786" s="55" t="n">
        <x:v>7814</x:v>
      </x:c>
      <x:c r="AD786" s="55" t="n">
        <x:v>2399</x:v>
      </x:c>
      <x:c r="AE786" s="55" t="n">
        <x:v>11096</x:v>
      </x:c>
      <x:c r="AF786" s="55" t="n">
        <x:v>11023</x:v>
      </x:c>
      <x:c r="AG786" s="55" t="n">
        <x:v>73</x:v>
      </x:c>
      <x:c r="AH786" s="55" t="n">
        <x:v>777</x:v>
      </x:c>
      <x:c r="AI786" s="55" t="n">
        <x:v>10246</x:v>
      </x:c>
      <x:c r="AJ786" s="55" t="n">
        <x:v>206</x:v>
      </x:c>
      <x:c r="AK786" s="55" t="n">
        <x:v>999</x:v>
      </x:c>
      <x:c r="AL786" s="55" t="n">
        <x:v>1688</x:v>
      </x:c>
      <x:c r="AM786" s="55" t="n">
        <x:v>5670</x:v>
      </x:c>
      <x:c r="AN786" s="55" t="n">
        <x:v>2460</x:v>
      </x:c>
      <x:c r="AO786" s="55" t="n">
        <x:v>0</x:v>
      </x:c>
      <x:c r="AP786" s="55" t="n">
        <x:v>2868</x:v>
      </x:c>
      <x:c r="AQ786" s="55" t="n">
        <x:v>1017</x:v>
      </x:c>
    </x:row>
    <x:row r="787">
      <x:c r="A787" s="54" t="str">
        <x:v>T0_TABLE_BLOCK</x:v>
      </x:c>
      <x:c r="B787" s="54" t="n">
        <x:v>781</x:v>
      </x:c>
      <x:c r="C787" s="54" t="str">
        <x:v>NYC-V2-R01</x:v>
      </x:c>
      <x:c r="D787" s="54" t="str">
        <x:v>V2</x:v>
      </x:c>
      <x:c r="E787" s="54" t="str">
        <x:v>ADMITTED</x:v>
      </x:c>
      <x:c r="F787" s="55" t="n">
        <x:v>32370</x:v>
      </x:c>
      <x:c r="G787" s="55" t="n">
        <x:v>6363</x:v>
      </x:c>
      <x:c r="H787" s="55" t="n">
        <x:v>3442</x:v>
      </x:c>
      <x:c r="I787" s="55" t="n">
        <x:v>1437</x:v>
      </x:c>
      <x:c r="J787" s="55" t="n">
        <x:v>193</x:v>
      </x:c>
      <x:c r="K787" s="55" t="n">
        <x:v>32370</x:v>
      </x:c>
      <x:c r="L787" s="55" t="n">
        <x:v>7119</x:v>
      </x:c>
      <x:c r="M787" s="55" t="n">
        <x:v>1947</x:v>
      </x:c>
      <x:c r="N787" s="55" t="n">
        <x:v>3189</x:v>
      </x:c>
      <x:c r="O787" s="55" t="n">
        <x:v>1983</x:v>
      </x:c>
      <x:c r="P787" s="55" t="n">
        <x:v>1034</x:v>
      </x:c>
      <x:c r="Q787" s="55" t="n">
        <x:v>1774</x:v>
      </x:c>
      <x:c r="R787" s="55" t="n">
        <x:v>1434</x:v>
      </x:c>
      <x:c r="S787" s="55" t="n">
        <x:v>2845</x:v>
      </x:c>
      <x:c r="T787" s="55" t="n">
        <x:v>1224</x:v>
      </x:c>
      <x:c r="U787" s="55" t="n">
        <x:v>1760</x:v>
      </x:c>
      <x:c r="V787" s="55" t="n">
        <x:v>11097</x:v>
      </x:c>
      <x:c r="W787" s="55" t="n">
        <x:v>8041</x:v>
      </x:c>
      <x:c r="X787" s="55" t="n">
        <x:v>3056</x:v>
      </x:c>
      <x:c r="Y787" s="55" t="n">
        <x:v>2553</x:v>
      </x:c>
      <x:c r="Z787" s="55" t="n">
        <x:v>3860</x:v>
      </x:c>
      <x:c r="AA787" s="55" t="n">
        <x:v>3442</x:v>
      </x:c>
      <x:c r="AB787" s="55" t="n">
        <x:v>1330</x:v>
      </x:c>
      <x:c r="AC787" s="55" t="n">
        <x:v>7967</x:v>
      </x:c>
      <x:c r="AD787" s="55" t="n">
        <x:v>2682</x:v>
      </x:c>
      <x:c r="AE787" s="55" t="n">
        <x:v>11125</x:v>
      </x:c>
      <x:c r="AF787" s="55" t="n">
        <x:v>11097</x:v>
      </x:c>
      <x:c r="AG787" s="55" t="n">
        <x:v>28</x:v>
      </x:c>
      <x:c r="AH787" s="55" t="n">
        <x:v>621</x:v>
      </x:c>
      <x:c r="AI787" s="55" t="n">
        <x:v>10476</x:v>
      </x:c>
      <x:c r="AJ787" s="55" t="n">
        <x:v>295</x:v>
      </x:c>
      <x:c r="AK787" s="55" t="n">
        <x:v>1157</x:v>
      </x:c>
      <x:c r="AL787" s="55" t="n">
        <x:v>1790</x:v>
      </x:c>
      <x:c r="AM787" s="55" t="n">
        <x:v>4795</x:v>
      </x:c>
      <x:c r="AN787" s="55" t="n">
        <x:v>3060</x:v>
      </x:c>
      <x:c r="AO787" s="55" t="n">
        <x:v>0</x:v>
      </x:c>
      <x:c r="AP787" s="55" t="n">
        <x:v>2654</x:v>
      </x:c>
      <x:c r="AQ787" s="55" t="n">
        <x:v>933</x:v>
      </x:c>
    </x:row>
    <x:row r="788">
      <x:c r="A788" s="54" t="str">
        <x:v>T0_TABLE_BLOCK</x:v>
      </x:c>
      <x:c r="B788" s="54" t="n">
        <x:v>782</x:v>
      </x:c>
      <x:c r="C788" s="54" t="str">
        <x:v>NYC-V2-R01</x:v>
      </x:c>
      <x:c r="D788" s="54" t="str">
        <x:v>V2</x:v>
      </x:c>
      <x:c r="E788" s="54" t="str">
        <x:v>ADMITTED</x:v>
      </x:c>
      <x:c r="F788" s="55" t="n">
        <x:v>31060</x:v>
      </x:c>
      <x:c r="G788" s="55" t="n">
        <x:v>8403</x:v>
      </x:c>
      <x:c r="H788" s="55" t="n">
        <x:v>3660</x:v>
      </x:c>
      <x:c r="I788" s="55" t="n">
        <x:v>1362</x:v>
      </x:c>
      <x:c r="J788" s="55" t="n">
        <x:v>119</x:v>
      </x:c>
      <x:c r="K788" s="55" t="n">
        <x:v>29407</x:v>
      </x:c>
      <x:c r="L788" s="55" t="n">
        <x:v>7226</x:v>
      </x:c>
      <x:c r="M788" s="55" t="n">
        <x:v>2246</x:v>
      </x:c>
      <x:c r="N788" s="55" t="n">
        <x:v>3383</x:v>
      </x:c>
      <x:c r="O788" s="55" t="n">
        <x:v>1597</x:v>
      </x:c>
      <x:c r="P788" s="55" t="n">
        <x:v>840</x:v>
      </x:c>
      <x:c r="Q788" s="55" t="n">
        <x:v>2425</x:v>
      </x:c>
      <x:c r="R788" s="55" t="n">
        <x:v>2193</x:v>
      </x:c>
      <x:c r="S788" s="55" t="n">
        <x:v>2809</x:v>
      </x:c>
      <x:c r="T788" s="55" t="n">
        <x:v>1141</x:v>
      </x:c>
      <x:c r="U788" s="55" t="n">
        <x:v>2089</x:v>
      </x:c>
      <x:c r="V788" s="55" t="n">
        <x:v>9913</x:v>
      </x:c>
      <x:c r="W788" s="55" t="n">
        <x:v>6875</x:v>
      </x:c>
      <x:c r="X788" s="55" t="n">
        <x:v>3038</x:v>
      </x:c>
      <x:c r="Y788" s="55" t="n">
        <x:v>2556</x:v>
      </x:c>
      <x:c r="Z788" s="55" t="n">
        <x:v>3638</x:v>
      </x:c>
      <x:c r="AA788" s="55" t="n">
        <x:v>3359</x:v>
      </x:c>
      <x:c r="AB788" s="55" t="n">
        <x:v>1414</x:v>
      </x:c>
      <x:c r="AC788" s="55" t="n">
        <x:v>8215</x:v>
      </x:c>
      <x:c r="AD788" s="55" t="n">
        <x:v>3001</x:v>
      </x:c>
      <x:c r="AE788" s="55" t="n">
        <x:v>9977</x:v>
      </x:c>
      <x:c r="AF788" s="55" t="n">
        <x:v>9913</x:v>
      </x:c>
      <x:c r="AG788" s="55" t="n">
        <x:v>64</x:v>
      </x:c>
      <x:c r="AH788" s="55" t="n">
        <x:v>246</x:v>
      </x:c>
      <x:c r="AI788" s="55" t="n">
        <x:v>9667</x:v>
      </x:c>
      <x:c r="AJ788" s="55" t="n">
        <x:v>433</x:v>
      </x:c>
      <x:c r="AK788" s="55" t="n">
        <x:v>815</x:v>
      </x:c>
      <x:c r="AL788" s="55" t="n">
        <x:v>1278</x:v>
      </x:c>
      <x:c r="AM788" s="55" t="n">
        <x:v>4852</x:v>
      </x:c>
      <x:c r="AN788" s="55" t="n">
        <x:v>2506</x:v>
      </x:c>
      <x:c r="AO788" s="55" t="n">
        <x:v>29</x:v>
      </x:c>
      <x:c r="AP788" s="55" t="n">
        <x:v>2565</x:v>
      </x:c>
      <x:c r="AQ788" s="55" t="n">
        <x:v>963</x:v>
      </x:c>
    </x:row>
    <x:row r="789">
      <x:c r="A789" s="54" t="str">
        <x:v>T0_TABLE_BLOCK</x:v>
      </x:c>
      <x:c r="B789" s="54" t="n">
        <x:v>783</x:v>
      </x:c>
      <x:c r="C789" s="54" t="str">
        <x:v>NYC-V2-R01</x:v>
      </x:c>
      <x:c r="D789" s="54" t="str">
        <x:v>V2</x:v>
      </x:c>
      <x:c r="E789" s="54" t="str">
        <x:v>ADMITTED</x:v>
      </x:c>
      <x:c r="F789" s="55" t="n">
        <x:v>30697</x:v>
      </x:c>
      <x:c r="G789" s="55" t="n">
        <x:v>6964</x:v>
      </x:c>
      <x:c r="H789" s="55" t="n">
        <x:v>3391</x:v>
      </x:c>
      <x:c r="I789" s="55" t="n">
        <x:v>1510</x:v>
      </x:c>
      <x:c r="J789" s="55" t="n">
        <x:v>238</x:v>
      </x:c>
      <x:c r="K789" s="55" t="n">
        <x:v>27922</x:v>
      </x:c>
      <x:c r="L789" s="55" t="n">
        <x:v>5747</x:v>
      </x:c>
      <x:c r="M789" s="55" t="n">
        <x:v>1005</x:v>
      </x:c>
      <x:c r="N789" s="55" t="n">
        <x:v>2786</x:v>
      </x:c>
      <x:c r="O789" s="55" t="n">
        <x:v>1956</x:v>
      </x:c>
      <x:c r="P789" s="55" t="n">
        <x:v>754</x:v>
      </x:c>
      <x:c r="Q789" s="55" t="n">
        <x:v>2267</x:v>
      </x:c>
      <x:c r="R789" s="55" t="n">
        <x:v>1780</x:v>
      </x:c>
      <x:c r="S789" s="55" t="n">
        <x:v>2112</x:v>
      </x:c>
      <x:c r="T789" s="55" t="n">
        <x:v>1018</x:v>
      </x:c>
      <x:c r="U789" s="55" t="n">
        <x:v>2563</x:v>
      </x:c>
      <x:c r="V789" s="55" t="n">
        <x:v>10806</x:v>
      </x:c>
      <x:c r="W789" s="55" t="n">
        <x:v>7508</x:v>
      </x:c>
      <x:c r="X789" s="55" t="n">
        <x:v>3298</x:v>
      </x:c>
      <x:c r="Y789" s="55" t="n">
        <x:v>2734</x:v>
      </x:c>
      <x:c r="Z789" s="55" t="n">
        <x:v>3232</x:v>
      </x:c>
      <x:c r="AA789" s="55" t="n">
        <x:v>3176</x:v>
      </x:c>
      <x:c r="AB789" s="55" t="n">
        <x:v>1183</x:v>
      </x:c>
      <x:c r="AC789" s="55" t="n">
        <x:v>7382</x:v>
      </x:c>
      <x:c r="AD789" s="55" t="n">
        <x:v>3119</x:v>
      </x:c>
      <x:c r="AE789" s="55" t="n">
        <x:v>10989</x:v>
      </x:c>
      <x:c r="AF789" s="55" t="n">
        <x:v>10806</x:v>
      </x:c>
      <x:c r="AG789" s="55" t="n">
        <x:v>183</x:v>
      </x:c>
      <x:c r="AH789" s="55" t="n">
        <x:v>330</x:v>
      </x:c>
      <x:c r="AI789" s="55" t="n">
        <x:v>10476</x:v>
      </x:c>
      <x:c r="AJ789" s="55" t="n">
        <x:v>563</x:v>
      </x:c>
      <x:c r="AK789" s="55" t="n">
        <x:v>1237</x:v>
      </x:c>
      <x:c r="AL789" s="55" t="n">
        <x:v>1261</x:v>
      </x:c>
      <x:c r="AM789" s="55" t="n">
        <x:v>4759</x:v>
      </x:c>
      <x:c r="AN789" s="55" t="n">
        <x:v>2986</x:v>
      </x:c>
      <x:c r="AO789" s="55" t="n">
        <x:v>0</x:v>
      </x:c>
      <x:c r="AP789" s="55" t="n">
        <x:v>2678</x:v>
      </x:c>
      <x:c r="AQ789" s="55" t="n">
        <x:v>939</x:v>
      </x:c>
    </x:row>
    <x:row r="790">
      <x:c r="A790" s="54" t="str">
        <x:v>T0_TABLE_BLOCK</x:v>
      </x:c>
      <x:c r="B790" s="54" t="n">
        <x:v>784</x:v>
      </x:c>
      <x:c r="C790" s="54" t="str">
        <x:v>NYC-V2-R01</x:v>
      </x:c>
      <x:c r="D790" s="54" t="str">
        <x:v>V2</x:v>
      </x:c>
      <x:c r="E790" s="54" t="str">
        <x:v>ADMITTED</x:v>
      </x:c>
      <x:c r="F790" s="55" t="n">
        <x:v>31467</x:v>
      </x:c>
      <x:c r="G790" s="55" t="n">
        <x:v>7438</x:v>
      </x:c>
      <x:c r="H790" s="55" t="n">
        <x:v>3238</x:v>
      </x:c>
      <x:c r="I790" s="55" t="n">
        <x:v>998</x:v>
      </x:c>
      <x:c r="J790" s="55" t="n">
        <x:v>216</x:v>
      </x:c>
      <x:c r="K790" s="55" t="n">
        <x:v>30855</x:v>
      </x:c>
      <x:c r="L790" s="55" t="n">
        <x:v>7031</x:v>
      </x:c>
      <x:c r="M790" s="55" t="n">
        <x:v>2005</x:v>
      </x:c>
      <x:c r="N790" s="55" t="n">
        <x:v>3100</x:v>
      </x:c>
      <x:c r="O790" s="55" t="n">
        <x:v>1926</x:v>
      </x:c>
      <x:c r="P790" s="55" t="n">
        <x:v>738</x:v>
      </x:c>
      <x:c r="Q790" s="55" t="n">
        <x:v>1508</x:v>
      </x:c>
      <x:c r="R790" s="55" t="n">
        <x:v>2466</x:v>
      </x:c>
      <x:c r="S790" s="55" t="n">
        <x:v>2883</x:v>
      </x:c>
      <x:c r="T790" s="55" t="n">
        <x:v>1129</x:v>
      </x:c>
      <x:c r="U790" s="55" t="n">
        <x:v>2165</x:v>
      </x:c>
      <x:c r="V790" s="55" t="n">
        <x:v>10546</x:v>
      </x:c>
      <x:c r="W790" s="55" t="n">
        <x:v>7593</x:v>
      </x:c>
      <x:c r="X790" s="55" t="n">
        <x:v>2953</x:v>
      </x:c>
      <x:c r="Y790" s="55" t="n">
        <x:v>2250</x:v>
      </x:c>
      <x:c r="Z790" s="55" t="n">
        <x:v>3869</x:v>
      </x:c>
      <x:c r="AA790" s="55" t="n">
        <x:v>3238</x:v>
      </x:c>
      <x:c r="AB790" s="55" t="n">
        <x:v>1368</x:v>
      </x:c>
      <x:c r="AC790" s="55" t="n">
        <x:v>8414</x:v>
      </x:c>
      <x:c r="AD790" s="55" t="n">
        <x:v>3022</x:v>
      </x:c>
      <x:c r="AE790" s="55" t="n">
        <x:v>10624</x:v>
      </x:c>
      <x:c r="AF790" s="55" t="n">
        <x:v>10546</x:v>
      </x:c>
      <x:c r="AG790" s="55" t="n">
        <x:v>78</x:v>
      </x:c>
      <x:c r="AH790" s="55" t="n">
        <x:v>568</x:v>
      </x:c>
      <x:c r="AI790" s="55" t="n">
        <x:v>9978</x:v>
      </x:c>
      <x:c r="AJ790" s="55" t="n">
        <x:v>313</x:v>
      </x:c>
      <x:c r="AK790" s="55" t="n">
        <x:v>1103</x:v>
      </x:c>
      <x:c r="AL790" s="55" t="n">
        <x:v>1636</x:v>
      </x:c>
      <x:c r="AM790" s="55" t="n">
        <x:v>4999</x:v>
      </x:c>
      <x:c r="AN790" s="55" t="n">
        <x:v>2495</x:v>
      </x:c>
      <x:c r="AO790" s="55" t="n">
        <x:v>0</x:v>
      </x:c>
      <x:c r="AP790" s="55" t="n">
        <x:v>2334</x:v>
      </x:c>
      <x:c r="AQ790" s="55" t="n">
        <x:v>917</x:v>
      </x:c>
    </x:row>
    <x:row r="791">
      <x:c r="A791" s="54" t="str">
        <x:v>T0_TABLE_BLOCK</x:v>
      </x:c>
      <x:c r="B791" s="54" t="n">
        <x:v>785</x:v>
      </x:c>
      <x:c r="C791" s="54" t="str">
        <x:v>NYC-V2-R01</x:v>
      </x:c>
      <x:c r="D791" s="54" t="str">
        <x:v>V2</x:v>
      </x:c>
      <x:c r="E791" s="54" t="str">
        <x:v>ADMITTED</x:v>
      </x:c>
      <x:c r="F791" s="55" t="n">
        <x:v>31820</x:v>
      </x:c>
      <x:c r="G791" s="55" t="n">
        <x:v>8020</x:v>
      </x:c>
      <x:c r="H791" s="55" t="n">
        <x:v>3363</x:v>
      </x:c>
      <x:c r="I791" s="55" t="n">
        <x:v>1384</x:v>
      </x:c>
      <x:c r="J791" s="55" t="n">
        <x:v>115</x:v>
      </x:c>
      <x:c r="K791" s="55" t="n">
        <x:v>29727</x:v>
      </x:c>
      <x:c r="L791" s="55" t="n">
        <x:v>4787</x:v>
      </x:c>
      <x:c r="M791" s="55" t="n">
        <x:v>891</x:v>
      </x:c>
      <x:c r="N791" s="55" t="n">
        <x:v>2420</x:v>
      </x:c>
      <x:c r="O791" s="55" t="n">
        <x:v>1476</x:v>
      </x:c>
      <x:c r="P791" s="55" t="n">
        <x:v>994</x:v>
      </x:c>
      <x:c r="Q791" s="55" t="n">
        <x:v>2293</x:v>
      </x:c>
      <x:c r="R791" s="55" t="n">
        <x:v>2301</x:v>
      </x:c>
      <x:c r="S791" s="55" t="n">
        <x:v>3134</x:v>
      </x:c>
      <x:c r="T791" s="55" t="n">
        <x:v>1007</x:v>
      </x:c>
      <x:c r="U791" s="55" t="n">
        <x:v>1858</x:v>
      </x:c>
      <x:c r="V791" s="55" t="n">
        <x:v>10765</x:v>
      </x:c>
      <x:c r="W791" s="55" t="n">
        <x:v>7578</x:v>
      </x:c>
      <x:c r="X791" s="55" t="n">
        <x:v>3187</x:v>
      </x:c>
      <x:c r="Y791" s="55" t="n">
        <x:v>2791</x:v>
      </x:c>
      <x:c r="Z791" s="55" t="n">
        <x:v>3934</x:v>
      </x:c>
      <x:c r="AA791" s="55" t="n">
        <x:v>3363</x:v>
      </x:c>
      <x:c r="AB791" s="55" t="n">
        <x:v>1393</x:v>
      </x:c>
      <x:c r="AC791" s="55" t="n">
        <x:v>7776</x:v>
      </x:c>
      <x:c r="AD791" s="55" t="n">
        <x:v>2990</x:v>
      </x:c>
      <x:c r="AE791" s="55" t="n">
        <x:v>10866</x:v>
      </x:c>
      <x:c r="AF791" s="55" t="n">
        <x:v>10765</x:v>
      </x:c>
      <x:c r="AG791" s="55" t="n">
        <x:v>101</x:v>
      </x:c>
      <x:c r="AH791" s="55" t="n">
        <x:v>478</x:v>
      </x:c>
      <x:c r="AI791" s="55" t="n">
        <x:v>10287</x:v>
      </x:c>
      <x:c r="AJ791" s="55" t="n">
        <x:v>484</x:v>
      </x:c>
      <x:c r="AK791" s="55" t="n">
        <x:v>908</x:v>
      </x:c>
      <x:c r="AL791" s="55" t="n">
        <x:v>2127</x:v>
      </x:c>
      <x:c r="AM791" s="55" t="n">
        <x:v>3976</x:v>
      </x:c>
      <x:c r="AN791" s="55" t="n">
        <x:v>3150</x:v>
      </x:c>
      <x:c r="AO791" s="55" t="n">
        <x:v>120</x:v>
      </x:c>
      <x:c r="AP791" s="55" t="n">
        <x:v>2168</x:v>
      </x:c>
      <x:c r="AQ791" s="55" t="n">
        <x:v>994</x:v>
      </x:c>
    </x:row>
    <x:row r="792">
      <x:c r="A792" s="54" t="str">
        <x:v>T0_TABLE_BLOCK</x:v>
      </x:c>
      <x:c r="B792" s="54" t="n">
        <x:v>786</x:v>
      </x:c>
      <x:c r="C792" s="54" t="str">
        <x:v>NYC-V2-R01</x:v>
      </x:c>
      <x:c r="D792" s="54" t="str">
        <x:v>V2</x:v>
      </x:c>
      <x:c r="E792" s="54" t="str">
        <x:v>ADMITTED</x:v>
      </x:c>
      <x:c r="F792" s="55" t="n">
        <x:v>30804</x:v>
      </x:c>
      <x:c r="G792" s="55" t="n">
        <x:v>7043</x:v>
      </x:c>
      <x:c r="H792" s="55" t="n">
        <x:v>3102</x:v>
      </x:c>
      <x:c r="I792" s="55" t="n">
        <x:v>1100</x:v>
      </x:c>
      <x:c r="J792" s="55" t="n">
        <x:v>215</x:v>
      </x:c>
      <x:c r="K792" s="55" t="n">
        <x:v>30804</x:v>
      </x:c>
      <x:c r="L792" s="55" t="n">
        <x:v>6425</x:v>
      </x:c>
      <x:c r="M792" s="55" t="n">
        <x:v>1180</x:v>
      </x:c>
      <x:c r="N792" s="55" t="n">
        <x:v>3458</x:v>
      </x:c>
      <x:c r="O792" s="55" t="n">
        <x:v>1787</x:v>
      </x:c>
      <x:c r="P792" s="55" t="n">
        <x:v>643</x:v>
      </x:c>
      <x:c r="Q792" s="55" t="n">
        <x:v>2265</x:v>
      </x:c>
      <x:c r="R792" s="55" t="n">
        <x:v>1639</x:v>
      </x:c>
      <x:c r="S792" s="55" t="n">
        <x:v>1883</x:v>
      </x:c>
      <x:c r="T792" s="55" t="n">
        <x:v>986</x:v>
      </x:c>
      <x:c r="U792" s="55" t="n">
        <x:v>2348</x:v>
      </x:c>
      <x:c r="V792" s="55" t="n">
        <x:v>10826</x:v>
      </x:c>
      <x:c r="W792" s="55" t="n">
        <x:v>7506</x:v>
      </x:c>
      <x:c r="X792" s="55" t="n">
        <x:v>3320</x:v>
      </x:c>
      <x:c r="Y792" s="55" t="n">
        <x:v>2819</x:v>
      </x:c>
      <x:c r="Z792" s="55" t="n">
        <x:v>4172</x:v>
      </x:c>
      <x:c r="AA792" s="55" t="n">
        <x:v>2866</x:v>
      </x:c>
      <x:c r="AB792" s="55" t="n">
        <x:v>1187</x:v>
      </x:c>
      <x:c r="AC792" s="55" t="n">
        <x:v>7650</x:v>
      </x:c>
      <x:c r="AD792" s="55" t="n">
        <x:v>3169</x:v>
      </x:c>
      <x:c r="AE792" s="55" t="n">
        <x:v>10863</x:v>
      </x:c>
      <x:c r="AF792" s="55" t="n">
        <x:v>10826</x:v>
      </x:c>
      <x:c r="AG792" s="55" t="n">
        <x:v>37</x:v>
      </x:c>
      <x:c r="AH792" s="55" t="n">
        <x:v>277</x:v>
      </x:c>
      <x:c r="AI792" s="55" t="n">
        <x:v>10549</x:v>
      </x:c>
      <x:c r="AJ792" s="55" t="n">
        <x:v>350</x:v>
      </x:c>
      <x:c r="AK792" s="55" t="n">
        <x:v>1139</x:v>
      </x:c>
      <x:c r="AL792" s="55" t="n">
        <x:v>1517</x:v>
      </x:c>
      <x:c r="AM792" s="55" t="n">
        <x:v>5693</x:v>
      </x:c>
      <x:c r="AN792" s="55" t="n">
        <x:v>2121</x:v>
      </x:c>
      <x:c r="AO792" s="55" t="n">
        <x:v>6</x:v>
      </x:c>
      <x:c r="AP792" s="55" t="n">
        <x:v>1728</x:v>
      </x:c>
      <x:c r="AQ792" s="55" t="n">
        <x:v>961</x:v>
      </x:c>
    </x:row>
    <x:row r="793">
      <x:c r="A793" s="54" t="str">
        <x:v>T0_TABLE_BLOCK</x:v>
      </x:c>
      <x:c r="B793" s="54" t="n">
        <x:v>787</x:v>
      </x:c>
      <x:c r="C793" s="54" t="str">
        <x:v>NYC-V2-R01</x:v>
      </x:c>
      <x:c r="D793" s="54" t="str">
        <x:v>V2</x:v>
      </x:c>
      <x:c r="E793" s="54" t="str">
        <x:v>ADMITTED</x:v>
      </x:c>
      <x:c r="F793" s="55" t="n">
        <x:v>31257</x:v>
      </x:c>
      <x:c r="G793" s="55" t="n">
        <x:v>8467</x:v>
      </x:c>
      <x:c r="H793" s="55" t="n">
        <x:v>2878</x:v>
      </x:c>
      <x:c r="I793" s="55" t="n">
        <x:v>1383</x:v>
      </x:c>
      <x:c r="J793" s="55" t="n">
        <x:v>180</x:v>
      </x:c>
      <x:c r="K793" s="55" t="n">
        <x:v>29580</x:v>
      </x:c>
      <x:c r="L793" s="55" t="n">
        <x:v>5462</x:v>
      </x:c>
      <x:c r="M793" s="55" t="n">
        <x:v>1369</x:v>
      </x:c>
      <x:c r="N793" s="55" t="n">
        <x:v>2308</x:v>
      </x:c>
      <x:c r="O793" s="55" t="n">
        <x:v>1785</x:v>
      </x:c>
      <x:c r="P793" s="55" t="n">
        <x:v>1153</x:v>
      </x:c>
      <x:c r="Q793" s="55" t="n">
        <x:v>2571</x:v>
      </x:c>
      <x:c r="R793" s="55" t="n">
        <x:v>2880</x:v>
      </x:c>
      <x:c r="S793" s="55" t="n">
        <x:v>3131</x:v>
      </x:c>
      <x:c r="T793" s="55" t="n">
        <x:v>1341</x:v>
      </x:c>
      <x:c r="U793" s="55" t="n">
        <x:v>2045</x:v>
      </x:c>
      <x:c r="V793" s="55" t="n">
        <x:v>10438</x:v>
      </x:c>
      <x:c r="W793" s="55" t="n">
        <x:v>7072</x:v>
      </x:c>
      <x:c r="X793" s="55" t="n">
        <x:v>3366</x:v>
      </x:c>
      <x:c r="Y793" s="55" t="n">
        <x:v>2994</x:v>
      </x:c>
      <x:c r="Z793" s="55" t="n">
        <x:v>4121</x:v>
      </x:c>
      <x:c r="AA793" s="55" t="n">
        <x:v>2878</x:v>
      </x:c>
      <x:c r="AB793" s="55" t="n">
        <x:v>1192</x:v>
      </x:c>
      <x:c r="AC793" s="55" t="n">
        <x:v>7977</x:v>
      </x:c>
      <x:c r="AD793" s="55" t="n">
        <x:v>2768</x:v>
      </x:c>
      <x:c r="AE793" s="55" t="n">
        <x:v>10591</x:v>
      </x:c>
      <x:c r="AF793" s="55" t="n">
        <x:v>10438</x:v>
      </x:c>
      <x:c r="AG793" s="55" t="n">
        <x:v>153</x:v>
      </x:c>
      <x:c r="AH793" s="55" t="n">
        <x:v>242</x:v>
      </x:c>
      <x:c r="AI793" s="55" t="n">
        <x:v>10196</x:v>
      </x:c>
      <x:c r="AJ793" s="55" t="n">
        <x:v>492</x:v>
      </x:c>
      <x:c r="AK793" s="55" t="n">
        <x:v>1152</x:v>
      </x:c>
      <x:c r="AL793" s="55" t="n">
        <x:v>1822</x:v>
      </x:c>
      <x:c r="AM793" s="55" t="n">
        <x:v>4182</x:v>
      </x:c>
      <x:c r="AN793" s="55" t="n">
        <x:v>2753</x:v>
      </x:c>
      <x:c r="AO793" s="55" t="n">
        <x:v>37</x:v>
      </x:c>
      <x:c r="AP793" s="55" t="n">
        <x:v>2714</x:v>
      </x:c>
      <x:c r="AQ793" s="55" t="n">
        <x:v>968</x:v>
      </x:c>
    </x:row>
    <x:row r="794">
      <x:c r="A794" s="54" t="str">
        <x:v>T0_TABLE_BLOCK</x:v>
      </x:c>
      <x:c r="B794" s="54" t="n">
        <x:v>788</x:v>
      </x:c>
      <x:c r="C794" s="54" t="str">
        <x:v>NYC-V2-R01</x:v>
      </x:c>
      <x:c r="D794" s="54" t="str">
        <x:v>V2</x:v>
      </x:c>
      <x:c r="E794" s="54" t="str">
        <x:v>ADMITTED</x:v>
      </x:c>
      <x:c r="F794" s="55" t="n">
        <x:v>31988</x:v>
      </x:c>
      <x:c r="G794" s="55" t="n">
        <x:v>8190</x:v>
      </x:c>
      <x:c r="H794" s="55" t="n">
        <x:v>3157</x:v>
      </x:c>
      <x:c r="I794" s="55" t="n">
        <x:v>1137</x:v>
      </x:c>
      <x:c r="J794" s="55" t="n">
        <x:v>122</x:v>
      </x:c>
      <x:c r="K794" s="55" t="n">
        <x:v>30844</x:v>
      </x:c>
      <x:c r="L794" s="55" t="n">
        <x:v>4748</x:v>
      </x:c>
      <x:c r="M794" s="55" t="n">
        <x:v>1202</x:v>
      </x:c>
      <x:c r="N794" s="55" t="n">
        <x:v>2641</x:v>
      </x:c>
      <x:c r="O794" s="55" t="n">
        <x:v>905</x:v>
      </x:c>
      <x:c r="P794" s="55" t="n">
        <x:v>599</x:v>
      </x:c>
      <x:c r="Q794" s="55" t="n">
        <x:v>2666</x:v>
      </x:c>
      <x:c r="R794" s="55" t="n">
        <x:v>1844</x:v>
      </x:c>
      <x:c r="S794" s="55" t="n">
        <x:v>3700</x:v>
      </x:c>
      <x:c r="T794" s="55" t="n">
        <x:v>953</x:v>
      </x:c>
      <x:c r="U794" s="55" t="n">
        <x:v>1572</x:v>
      </x:c>
      <x:c r="V794" s="55" t="n">
        <x:v>10766</x:v>
      </x:c>
      <x:c r="W794" s="55" t="n">
        <x:v>8327</x:v>
      </x:c>
      <x:c r="X794" s="55" t="n">
        <x:v>2439</x:v>
      </x:c>
      <x:c r="Y794" s="55" t="n">
        <x:v>2120</x:v>
      </x:c>
      <x:c r="Z794" s="55" t="n">
        <x:v>3052</x:v>
      </x:c>
      <x:c r="AA794" s="55" t="n">
        <x:v>3037</x:v>
      </x:c>
      <x:c r="AB794" s="55" t="n">
        <x:v>998</x:v>
      </x:c>
      <x:c r="AC794" s="55" t="n">
        <x:v>7706</x:v>
      </x:c>
      <x:c r="AD794" s="55" t="n">
        <x:v>2859</x:v>
      </x:c>
      <x:c r="AE794" s="55" t="n">
        <x:v>11005</x:v>
      </x:c>
      <x:c r="AF794" s="55" t="n">
        <x:v>10766</x:v>
      </x:c>
      <x:c r="AG794" s="55" t="n">
        <x:v>239</x:v>
      </x:c>
      <x:c r="AH794" s="55" t="n">
        <x:v>436</x:v>
      </x:c>
      <x:c r="AI794" s="55" t="n">
        <x:v>10330</x:v>
      </x:c>
      <x:c r="AJ794" s="55" t="n">
        <x:v>329</x:v>
      </x:c>
      <x:c r="AK794" s="55" t="n">
        <x:v>1095</x:v>
      </x:c>
      <x:c r="AL794" s="55" t="n">
        <x:v>1982</x:v>
      </x:c>
      <x:c r="AM794" s="55" t="n">
        <x:v>4755</x:v>
      </x:c>
      <x:c r="AN794" s="55" t="n">
        <x:v>2556</x:v>
      </x:c>
      <x:c r="AO794" s="55" t="n">
        <x:v>49</x:v>
      </x:c>
      <x:c r="AP794" s="55" t="n">
        <x:v>3003</x:v>
      </x:c>
      <x:c r="AQ794" s="55" t="n">
        <x:v>962</x:v>
      </x:c>
    </x:row>
    <x:row r="795">
      <x:c r="A795" s="54" t="str">
        <x:v>T0_TABLE_BLOCK</x:v>
      </x:c>
      <x:c r="B795" s="54" t="n">
        <x:v>789</x:v>
      </x:c>
      <x:c r="C795" s="54" t="str">
        <x:v>NYC-V2-R01</x:v>
      </x:c>
      <x:c r="D795" s="54" t="str">
        <x:v>V2</x:v>
      </x:c>
      <x:c r="E795" s="54" t="str">
        <x:v>ADMITTED</x:v>
      </x:c>
      <x:c r="F795" s="55" t="n">
        <x:v>31966</x:v>
      </x:c>
      <x:c r="G795" s="55" t="n">
        <x:v>7472</x:v>
      </x:c>
      <x:c r="H795" s="55" t="n">
        <x:v>3543</x:v>
      </x:c>
      <x:c r="I795" s="55" t="n">
        <x:v>1469</x:v>
      </x:c>
      <x:c r="J795" s="55" t="n">
        <x:v>346</x:v>
      </x:c>
      <x:c r="K795" s="55" t="n">
        <x:v>31966</x:v>
      </x:c>
      <x:c r="L795" s="55" t="n">
        <x:v>6876</x:v>
      </x:c>
      <x:c r="M795" s="55" t="n">
        <x:v>2750</x:v>
      </x:c>
      <x:c r="N795" s="55" t="n">
        <x:v>2485</x:v>
      </x:c>
      <x:c r="O795" s="55" t="n">
        <x:v>1641</x:v>
      </x:c>
      <x:c r="P795" s="55" t="n">
        <x:v>607</x:v>
      </x:c>
      <x:c r="Q795" s="55" t="n">
        <x:v>2895</x:v>
      </x:c>
      <x:c r="R795" s="55" t="n">
        <x:v>1520</x:v>
      </x:c>
      <x:c r="S795" s="55" t="n">
        <x:v>2411</x:v>
      </x:c>
      <x:c r="T795" s="55" t="n">
        <x:v>1406</x:v>
      </x:c>
      <x:c r="U795" s="55" t="n">
        <x:v>2185</x:v>
      </x:c>
      <x:c r="V795" s="55" t="n">
        <x:v>10297</x:v>
      </x:c>
      <x:c r="W795" s="55" t="n">
        <x:v>6925</x:v>
      </x:c>
      <x:c r="X795" s="55" t="n">
        <x:v>3372</x:v>
      </x:c>
      <x:c r="Y795" s="55" t="n">
        <x:v>3001</x:v>
      </x:c>
      <x:c r="Z795" s="55" t="n">
        <x:v>3887</x:v>
      </x:c>
      <x:c r="AA795" s="55" t="n">
        <x:v>2947</x:v>
      </x:c>
      <x:c r="AB795" s="55" t="n">
        <x:v>718</x:v>
      </x:c>
      <x:c r="AC795" s="55" t="n">
        <x:v>7673</x:v>
      </x:c>
      <x:c r="AD795" s="55" t="n">
        <x:v>2680</x:v>
      </x:c>
      <x:c r="AE795" s="55" t="n">
        <x:v>10391</x:v>
      </x:c>
      <x:c r="AF795" s="55" t="n">
        <x:v>10297</x:v>
      </x:c>
      <x:c r="AG795" s="55" t="n">
        <x:v>94</x:v>
      </x:c>
      <x:c r="AH795" s="55" t="n">
        <x:v>353</x:v>
      </x:c>
      <x:c r="AI795" s="55" t="n">
        <x:v>9944</x:v>
      </x:c>
      <x:c r="AJ795" s="55" t="n">
        <x:v>200</x:v>
      </x:c>
      <x:c r="AK795" s="55" t="n">
        <x:v>675</x:v>
      </x:c>
      <x:c r="AL795" s="55" t="n">
        <x:v>950</x:v>
      </x:c>
      <x:c r="AM795" s="55" t="n">
        <x:v>5441</x:v>
      </x:c>
      <x:c r="AN795" s="55" t="n">
        <x:v>3031</x:v>
      </x:c>
      <x:c r="AO795" s="55" t="n">
        <x:v>0</x:v>
      </x:c>
      <x:c r="AP795" s="55" t="n">
        <x:v>2444</x:v>
      </x:c>
      <x:c r="AQ795" s="55" t="n">
        <x:v>954</x:v>
      </x:c>
    </x:row>
    <x:row r="796">
      <x:c r="A796" s="54" t="str">
        <x:v>T0_TABLE_BLOCK</x:v>
      </x:c>
      <x:c r="B796" s="54" t="n">
        <x:v>790</x:v>
      </x:c>
      <x:c r="C796" s="54" t="str">
        <x:v>NYC-V2-R01</x:v>
      </x:c>
      <x:c r="D796" s="54" t="str">
        <x:v>V2</x:v>
      </x:c>
      <x:c r="E796" s="54" t="str">
        <x:v>ADMITTED</x:v>
      </x:c>
      <x:c r="F796" s="55" t="n">
        <x:v>31059</x:v>
      </x:c>
      <x:c r="G796" s="55" t="n">
        <x:v>7514</x:v>
      </x:c>
      <x:c r="H796" s="55" t="n">
        <x:v>3493</x:v>
      </x:c>
      <x:c r="I796" s="55" t="n">
        <x:v>1183</x:v>
      </x:c>
      <x:c r="J796" s="55" t="n">
        <x:v>169</x:v>
      </x:c>
      <x:c r="K796" s="55" t="n">
        <x:v>31059</x:v>
      </x:c>
      <x:c r="L796" s="55" t="n">
        <x:v>5908</x:v>
      </x:c>
      <x:c r="M796" s="55" t="n">
        <x:v>2084</x:v>
      </x:c>
      <x:c r="N796" s="55" t="n">
        <x:v>2362</x:v>
      </x:c>
      <x:c r="O796" s="55" t="n">
        <x:v>1462</x:v>
      </x:c>
      <x:c r="P796" s="55" t="n">
        <x:v>467</x:v>
      </x:c>
      <x:c r="Q796" s="55" t="n">
        <x:v>2543</x:v>
      </x:c>
      <x:c r="R796" s="55" t="n">
        <x:v>1825</x:v>
      </x:c>
      <x:c r="S796" s="55" t="n">
        <x:v>2533</x:v>
      </x:c>
      <x:c r="T796" s="55" t="n">
        <x:v>1371</x:v>
      </x:c>
      <x:c r="U796" s="55" t="n">
        <x:v>2187</x:v>
      </x:c>
      <x:c r="V796" s="55" t="n">
        <x:v>10231</x:v>
      </x:c>
      <x:c r="W796" s="55" t="n">
        <x:v>7585</x:v>
      </x:c>
      <x:c r="X796" s="55" t="n">
        <x:v>2646</x:v>
      </x:c>
      <x:c r="Y796" s="55" t="n">
        <x:v>2068</x:v>
      </x:c>
      <x:c r="Z796" s="55" t="n">
        <x:v>3917</x:v>
      </x:c>
      <x:c r="AA796" s="55" t="n">
        <x:v>3493</x:v>
      </x:c>
      <x:c r="AB796" s="55" t="n">
        <x:v>1071</x:v>
      </x:c>
      <x:c r="AC796" s="55" t="n">
        <x:v>7703</x:v>
      </x:c>
      <x:c r="AD796" s="55" t="n">
        <x:v>1937</x:v>
      </x:c>
      <x:c r="AE796" s="55" t="n">
        <x:v>10313</x:v>
      </x:c>
      <x:c r="AF796" s="55" t="n">
        <x:v>10231</x:v>
      </x:c>
      <x:c r="AG796" s="55" t="n">
        <x:v>82</x:v>
      </x:c>
      <x:c r="AH796" s="55" t="n">
        <x:v>287</x:v>
      </x:c>
      <x:c r="AI796" s="55" t="n">
        <x:v>9944</x:v>
      </x:c>
      <x:c r="AJ796" s="55" t="n">
        <x:v>245</x:v>
      </x:c>
      <x:c r="AK796" s="55" t="n">
        <x:v>919</x:v>
      </x:c>
      <x:c r="AL796" s="55" t="n">
        <x:v>1539</x:v>
      </x:c>
      <x:c r="AM796" s="55" t="n">
        <x:v>4662</x:v>
      </x:c>
      <x:c r="AN796" s="55" t="n">
        <x:v>2800</x:v>
      </x:c>
      <x:c r="AO796" s="55" t="n">
        <x:v>66</x:v>
      </x:c>
      <x:c r="AP796" s="55" t="n">
        <x:v>2708</x:v>
      </x:c>
      <x:c r="AQ796" s="55" t="n">
        <x:v>988</x:v>
      </x:c>
    </x:row>
    <x:row r="797">
      <x:c r="A797" s="54" t="str">
        <x:v>T0_TABLE_BLOCK</x:v>
      </x:c>
      <x:c r="B797" s="54" t="n">
        <x:v>791</x:v>
      </x:c>
      <x:c r="C797" s="54" t="str">
        <x:v>NYC-V2-R01</x:v>
      </x:c>
      <x:c r="D797" s="54" t="str">
        <x:v>V2</x:v>
      </x:c>
      <x:c r="E797" s="54" t="str">
        <x:v>ADMITTED</x:v>
      </x:c>
      <x:c r="F797" s="55" t="n">
        <x:v>33757</x:v>
      </x:c>
      <x:c r="G797" s="55" t="n">
        <x:v>7864</x:v>
      </x:c>
      <x:c r="H797" s="55" t="n">
        <x:v>3833</x:v>
      </x:c>
      <x:c r="I797" s="55" t="n">
        <x:v>1804</x:v>
      </x:c>
      <x:c r="J797" s="55" t="n">
        <x:v>400</x:v>
      </x:c>
      <x:c r="K797" s="55" t="n">
        <x:v>29419</x:v>
      </x:c>
      <x:c r="L797" s="55" t="n">
        <x:v>5512</x:v>
      </x:c>
      <x:c r="M797" s="55" t="n">
        <x:v>1314</x:v>
      </x:c>
      <x:c r="N797" s="55" t="n">
        <x:v>2725</x:v>
      </x:c>
      <x:c r="O797" s="55" t="n">
        <x:v>1473</x:v>
      </x:c>
      <x:c r="P797" s="55" t="n">
        <x:v>1354</x:v>
      </x:c>
      <x:c r="Q797" s="55" t="n">
        <x:v>2886</x:v>
      </x:c>
      <x:c r="R797" s="55" t="n">
        <x:v>1441</x:v>
      </x:c>
      <x:c r="S797" s="55" t="n">
        <x:v>3188</x:v>
      </x:c>
      <x:c r="T797" s="55" t="n">
        <x:v>1247</x:v>
      </x:c>
      <x:c r="U797" s="55" t="n">
        <x:v>2167</x:v>
      </x:c>
      <x:c r="V797" s="55" t="n">
        <x:v>10539</x:v>
      </x:c>
      <x:c r="W797" s="55" t="n">
        <x:v>7389</x:v>
      </x:c>
      <x:c r="X797" s="55" t="n">
        <x:v>3150</x:v>
      </x:c>
      <x:c r="Y797" s="55" t="n">
        <x:v>2883</x:v>
      </x:c>
      <x:c r="Z797" s="55" t="n">
        <x:v>3841</x:v>
      </x:c>
      <x:c r="AA797" s="55" t="n">
        <x:v>3029</x:v>
      </x:c>
      <x:c r="AB797" s="55" t="n">
        <x:v>894</x:v>
      </x:c>
      <x:c r="AC797" s="55" t="n">
        <x:v>7948</x:v>
      </x:c>
      <x:c r="AD797" s="55" t="n">
        <x:v>3088</x:v>
      </x:c>
      <x:c r="AE797" s="55" t="n">
        <x:v>10599</x:v>
      </x:c>
      <x:c r="AF797" s="55" t="n">
        <x:v>10539</x:v>
      </x:c>
      <x:c r="AG797" s="55" t="n">
        <x:v>60</x:v>
      </x:c>
      <x:c r="AH797" s="55" t="n">
        <x:v>671</x:v>
      </x:c>
      <x:c r="AI797" s="55" t="n">
        <x:v>9868</x:v>
      </x:c>
      <x:c r="AJ797" s="55" t="n">
        <x:v>407</x:v>
      </x:c>
      <x:c r="AK797" s="55" t="n">
        <x:v>1210</x:v>
      </x:c>
      <x:c r="AL797" s="55" t="n">
        <x:v>1220</x:v>
      </x:c>
      <x:c r="AM797" s="55" t="n">
        <x:v>5089</x:v>
      </x:c>
      <x:c r="AN797" s="55" t="n">
        <x:v>2549</x:v>
      </x:c>
      <x:c r="AO797" s="55" t="n">
        <x:v>64</x:v>
      </x:c>
      <x:c r="AP797" s="55" t="n">
        <x:v>2978</x:v>
      </x:c>
      <x:c r="AQ797" s="55" t="n">
        <x:v>910</x:v>
      </x:c>
    </x:row>
    <x:row r="798">
      <x:c r="A798" s="54" t="str">
        <x:v>T0_TABLE_BLOCK</x:v>
      </x:c>
      <x:c r="B798" s="54" t="n">
        <x:v>792</x:v>
      </x:c>
      <x:c r="C798" s="54" t="str">
        <x:v>NYC-V2-R01</x:v>
      </x:c>
      <x:c r="D798" s="54" t="str">
        <x:v>V2</x:v>
      </x:c>
      <x:c r="E798" s="54" t="str">
        <x:v>ADMITTED</x:v>
      </x:c>
      <x:c r="F798" s="55" t="n">
        <x:v>30438</x:v>
      </x:c>
      <x:c r="G798" s="55" t="n">
        <x:v>7746</x:v>
      </x:c>
      <x:c r="H798" s="55" t="n">
        <x:v>3156</x:v>
      </x:c>
      <x:c r="I798" s="55" t="n">
        <x:v>1391</x:v>
      </x:c>
      <x:c r="J798" s="55" t="n">
        <x:v>387</x:v>
      </x:c>
      <x:c r="K798" s="55" t="n">
        <x:v>29752</x:v>
      </x:c>
      <x:c r="L798" s="55" t="n">
        <x:v>6449</x:v>
      </x:c>
      <x:c r="M798" s="55" t="n">
        <x:v>1565</x:v>
      </x:c>
      <x:c r="N798" s="55" t="n">
        <x:v>2888</x:v>
      </x:c>
      <x:c r="O798" s="55" t="n">
        <x:v>1996</x:v>
      </x:c>
      <x:c r="P798" s="55" t="n">
        <x:v>758</x:v>
      </x:c>
      <x:c r="Q798" s="55" t="n">
        <x:v>2697</x:v>
      </x:c>
      <x:c r="R798" s="55" t="n">
        <x:v>1666</x:v>
      </x:c>
      <x:c r="S798" s="55" t="n">
        <x:v>2391</x:v>
      </x:c>
      <x:c r="T798" s="55" t="n">
        <x:v>1114</x:v>
      </x:c>
      <x:c r="U798" s="55" t="n">
        <x:v>2447</x:v>
      </x:c>
      <x:c r="V798" s="55" t="n">
        <x:v>10711</x:v>
      </x:c>
      <x:c r="W798" s="55" t="n">
        <x:v>7493</x:v>
      </x:c>
      <x:c r="X798" s="55" t="n">
        <x:v>3218</x:v>
      </x:c>
      <x:c r="Y798" s="55" t="n">
        <x:v>2878</x:v>
      </x:c>
      <x:c r="Z798" s="55" t="n">
        <x:v>3437</x:v>
      </x:c>
      <x:c r="AA798" s="55" t="n">
        <x:v>3103</x:v>
      </x:c>
      <x:c r="AB798" s="55" t="n">
        <x:v>1055</x:v>
      </x:c>
      <x:c r="AC798" s="55" t="n">
        <x:v>8774</x:v>
      </x:c>
      <x:c r="AD798" s="55" t="n">
        <x:v>3113</x:v>
      </x:c>
      <x:c r="AE798" s="55" t="n">
        <x:v>10798</x:v>
      </x:c>
      <x:c r="AF798" s="55" t="n">
        <x:v>10711</x:v>
      </x:c>
      <x:c r="AG798" s="55" t="n">
        <x:v>87</x:v>
      </x:c>
      <x:c r="AH798" s="55" t="n">
        <x:v>434</x:v>
      </x:c>
      <x:c r="AI798" s="55" t="n">
        <x:v>10277</x:v>
      </x:c>
      <x:c r="AJ798" s="55" t="n">
        <x:v>352</x:v>
      </x:c>
      <x:c r="AK798" s="55" t="n">
        <x:v>1244</x:v>
      </x:c>
      <x:c r="AL798" s="55" t="n">
        <x:v>1455</x:v>
      </x:c>
      <x:c r="AM798" s="55" t="n">
        <x:v>4603</x:v>
      </x:c>
      <x:c r="AN798" s="55" t="n">
        <x:v>3057</x:v>
      </x:c>
      <x:c r="AO798" s="55" t="n">
        <x:v>0</x:v>
      </x:c>
      <x:c r="AP798" s="55" t="n">
        <x:v>1948</x:v>
      </x:c>
      <x:c r="AQ798" s="55" t="n">
        <x:v>972</x:v>
      </x:c>
    </x:row>
    <x:row r="799">
      <x:c r="A799" s="54" t="str">
        <x:v>T0_TABLE_BLOCK</x:v>
      </x:c>
      <x:c r="B799" s="54" t="n">
        <x:v>793</x:v>
      </x:c>
      <x:c r="C799" s="54" t="str">
        <x:v>NYC-V2-R01</x:v>
      </x:c>
      <x:c r="D799" s="54" t="str">
        <x:v>V2</x:v>
      </x:c>
      <x:c r="E799" s="54" t="str">
        <x:v>ADMITTED</x:v>
      </x:c>
      <x:c r="F799" s="55" t="n">
        <x:v>31451</x:v>
      </x:c>
      <x:c r="G799" s="55" t="n">
        <x:v>7783</x:v>
      </x:c>
      <x:c r="H799" s="55" t="n">
        <x:v>3825</x:v>
      </x:c>
      <x:c r="I799" s="55" t="n">
        <x:v>1695</x:v>
      </x:c>
      <x:c r="J799" s="55" t="n">
        <x:v>257</x:v>
      </x:c>
      <x:c r="K799" s="55" t="n">
        <x:v>29093</x:v>
      </x:c>
      <x:c r="L799" s="55" t="n">
        <x:v>5866</x:v>
      </x:c>
      <x:c r="M799" s="55" t="n">
        <x:v>2208</x:v>
      </x:c>
      <x:c r="N799" s="55" t="n">
        <x:v>2573</x:v>
      </x:c>
      <x:c r="O799" s="55" t="n">
        <x:v>1085</x:v>
      </x:c>
      <x:c r="P799" s="55" t="n">
        <x:v>812</x:v>
      </x:c>
      <x:c r="Q799" s="55" t="n">
        <x:v>2058</x:v>
      </x:c>
      <x:c r="R799" s="55" t="n">
        <x:v>1952</x:v>
      </x:c>
      <x:c r="S799" s="55" t="n">
        <x:v>2304</x:v>
      </x:c>
      <x:c r="T799" s="55" t="n">
        <x:v>1201</x:v>
      </x:c>
      <x:c r="U799" s="55" t="n">
        <x:v>2941</x:v>
      </x:c>
      <x:c r="V799" s="55" t="n">
        <x:v>10931</x:v>
      </x:c>
      <x:c r="W799" s="55" t="n">
        <x:v>7877</x:v>
      </x:c>
      <x:c r="X799" s="55" t="n">
        <x:v>3054</x:v>
      </x:c>
      <x:c r="Y799" s="55" t="n">
        <x:v>2588</x:v>
      </x:c>
      <x:c r="Z799" s="55" t="n">
        <x:v>3836</x:v>
      </x:c>
      <x:c r="AA799" s="55" t="n">
        <x:v>3118</x:v>
      </x:c>
      <x:c r="AB799" s="55" t="n">
        <x:v>805</x:v>
      </x:c>
      <x:c r="AC799" s="55" t="n">
        <x:v>8296</x:v>
      </x:c>
      <x:c r="AD799" s="55" t="n">
        <x:v>2975</x:v>
      </x:c>
      <x:c r="AE799" s="55" t="n">
        <x:v>11005</x:v>
      </x:c>
      <x:c r="AF799" s="55" t="n">
        <x:v>10931</x:v>
      </x:c>
      <x:c r="AG799" s="55" t="n">
        <x:v>74</x:v>
      </x:c>
      <x:c r="AH799" s="55" t="n">
        <x:v>547</x:v>
      </x:c>
      <x:c r="AI799" s="55" t="n">
        <x:v>10384</x:v>
      </x:c>
      <x:c r="AJ799" s="55" t="n">
        <x:v>392</x:v>
      </x:c>
      <x:c r="AK799" s="55" t="n">
        <x:v>790</x:v>
      </x:c>
      <x:c r="AL799" s="55" t="n">
        <x:v>1289</x:v>
      </x:c>
      <x:c r="AM799" s="55" t="n">
        <x:v>5501</x:v>
      </x:c>
      <x:c r="AN799" s="55" t="n">
        <x:v>2888</x:v>
      </x:c>
      <x:c r="AO799" s="55" t="n">
        <x:v>71</x:v>
      </x:c>
      <x:c r="AP799" s="55" t="n">
        <x:v>2141</x:v>
      </x:c>
      <x:c r="AQ799" s="55" t="n">
        <x:v>930</x:v>
      </x:c>
    </x:row>
    <x:row r="800">
      <x:c r="A800" s="54" t="str">
        <x:v>T0_TABLE_BLOCK</x:v>
      </x:c>
      <x:c r="B800" s="54" t="n">
        <x:v>794</x:v>
      </x:c>
      <x:c r="C800" s="54" t="str">
        <x:v>NYC-V2-R01</x:v>
      </x:c>
      <x:c r="D800" s="54" t="str">
        <x:v>V2</x:v>
      </x:c>
      <x:c r="E800" s="54" t="str">
        <x:v>ADMITTED</x:v>
      </x:c>
      <x:c r="F800" s="55" t="n">
        <x:v>30849</x:v>
      </x:c>
      <x:c r="G800" s="55" t="n">
        <x:v>7488</x:v>
      </x:c>
      <x:c r="H800" s="55" t="n">
        <x:v>3246</x:v>
      </x:c>
      <x:c r="I800" s="55" t="n">
        <x:v>1586</x:v>
      </x:c>
      <x:c r="J800" s="55" t="n">
        <x:v>236</x:v>
      </x:c>
      <x:c r="K800" s="55" t="n">
        <x:v>30849</x:v>
      </x:c>
      <x:c r="L800" s="55" t="n">
        <x:v>5722</x:v>
      </x:c>
      <x:c r="M800" s="55" t="n">
        <x:v>1232</x:v>
      </x:c>
      <x:c r="N800" s="55" t="n">
        <x:v>2484</x:v>
      </x:c>
      <x:c r="O800" s="55" t="n">
        <x:v>2006</x:v>
      </x:c>
      <x:c r="P800" s="55" t="n">
        <x:v>1040</x:v>
      </x:c>
      <x:c r="Q800" s="55" t="n">
        <x:v>2707</x:v>
      </x:c>
      <x:c r="R800" s="55" t="n">
        <x:v>2174</x:v>
      </x:c>
      <x:c r="S800" s="55" t="n">
        <x:v>2097</x:v>
      </x:c>
      <x:c r="T800" s="55" t="n">
        <x:v>1091</x:v>
      </x:c>
      <x:c r="U800" s="55" t="n">
        <x:v>1751</x:v>
      </x:c>
      <x:c r="V800" s="55" t="n">
        <x:v>10639</x:v>
      </x:c>
      <x:c r="W800" s="55" t="n">
        <x:v>7499</x:v>
      </x:c>
      <x:c r="X800" s="55" t="n">
        <x:v>3140</x:v>
      </x:c>
      <x:c r="Y800" s="55" t="n">
        <x:v>2758</x:v>
      </x:c>
      <x:c r="Z800" s="55" t="n">
        <x:v>3421</x:v>
      </x:c>
      <x:c r="AA800" s="55" t="n">
        <x:v>2893</x:v>
      </x:c>
      <x:c r="AB800" s="55" t="n">
        <x:v>782</x:v>
      </x:c>
      <x:c r="AC800" s="55" t="n">
        <x:v>8441</x:v>
      </x:c>
      <x:c r="AD800" s="55" t="n">
        <x:v>3327</x:v>
      </x:c>
      <x:c r="AE800" s="55" t="n">
        <x:v>10670</x:v>
      </x:c>
      <x:c r="AF800" s="55" t="n">
        <x:v>10639</x:v>
      </x:c>
      <x:c r="AG800" s="55" t="n">
        <x:v>31</x:v>
      </x:c>
      <x:c r="AH800" s="55" t="n">
        <x:v>592</x:v>
      </x:c>
      <x:c r="AI800" s="55" t="n">
        <x:v>10047</x:v>
      </x:c>
      <x:c r="AJ800" s="55" t="n">
        <x:v>249</x:v>
      </x:c>
      <x:c r="AK800" s="55" t="n">
        <x:v>834</x:v>
      </x:c>
      <x:c r="AL800" s="55" t="n">
        <x:v>1971</x:v>
      </x:c>
      <x:c r="AM800" s="55" t="n">
        <x:v>4783</x:v>
      </x:c>
      <x:c r="AN800" s="55" t="n">
        <x:v>2802</x:v>
      </x:c>
      <x:c r="AO800" s="55" t="n">
        <x:v>0</x:v>
      </x:c>
      <x:c r="AP800" s="55" t="n">
        <x:v>2168</x:v>
      </x:c>
      <x:c r="AQ800" s="55" t="n">
        <x:v>930</x:v>
      </x:c>
    </x:row>
    <x:row r="801">
      <x:c r="A801" s="54" t="str">
        <x:v>T0_TABLE_BLOCK</x:v>
      </x:c>
      <x:c r="B801" s="54" t="n">
        <x:v>795</x:v>
      </x:c>
      <x:c r="C801" s="54" t="str">
        <x:v>NYC-V2-R01</x:v>
      </x:c>
      <x:c r="D801" s="54" t="str">
        <x:v>V2</x:v>
      </x:c>
      <x:c r="E801" s="54" t="str">
        <x:v>ADMITTED</x:v>
      </x:c>
      <x:c r="F801" s="55" t="n">
        <x:v>33937</x:v>
      </x:c>
      <x:c r="G801" s="55" t="n">
        <x:v>6252</x:v>
      </x:c>
      <x:c r="H801" s="55" t="n">
        <x:v>3712</x:v>
      </x:c>
      <x:c r="I801" s="55" t="n">
        <x:v>1583</x:v>
      </x:c>
      <x:c r="J801" s="55" t="n">
        <x:v>484</x:v>
      </x:c>
      <x:c r="K801" s="55" t="n">
        <x:v>33937</x:v>
      </x:c>
      <x:c r="L801" s="55" t="n">
        <x:v>6186</x:v>
      </x:c>
      <x:c r="M801" s="55" t="n">
        <x:v>2093</x:v>
      </x:c>
      <x:c r="N801" s="55" t="n">
        <x:v>2459</x:v>
      </x:c>
      <x:c r="O801" s="55" t="n">
        <x:v>1634</x:v>
      </x:c>
      <x:c r="P801" s="55" t="n">
        <x:v>1308</x:v>
      </x:c>
      <x:c r="Q801" s="55" t="n">
        <x:v>1653</x:v>
      </x:c>
      <x:c r="R801" s="55" t="n">
        <x:v>2348</x:v>
      </x:c>
      <x:c r="S801" s="55" t="n">
        <x:v>2589</x:v>
      </x:c>
      <x:c r="T801" s="55" t="n">
        <x:v>1648</x:v>
      </x:c>
      <x:c r="U801" s="55" t="n">
        <x:v>2486</x:v>
      </x:c>
      <x:c r="V801" s="55" t="n">
        <x:v>9838</x:v>
      </x:c>
      <x:c r="W801" s="55" t="n">
        <x:v>7121</x:v>
      </x:c>
      <x:c r="X801" s="55" t="n">
        <x:v>2717</x:v>
      </x:c>
      <x:c r="Y801" s="55" t="n">
        <x:v>2235</x:v>
      </x:c>
      <x:c r="Z801" s="55" t="n">
        <x:v>3522</x:v>
      </x:c>
      <x:c r="AA801" s="55" t="n">
        <x:v>3079</x:v>
      </x:c>
      <x:c r="AB801" s="55" t="n">
        <x:v>802</x:v>
      </x:c>
      <x:c r="AC801" s="55" t="n">
        <x:v>8062</x:v>
      </x:c>
      <x:c r="AD801" s="55" t="n">
        <x:v>2828</x:v>
      </x:c>
      <x:c r="AE801" s="55" t="n">
        <x:v>9993</x:v>
      </x:c>
      <x:c r="AF801" s="55" t="n">
        <x:v>9838</x:v>
      </x:c>
      <x:c r="AG801" s="55" t="n">
        <x:v>155</x:v>
      </x:c>
      <x:c r="AH801" s="55" t="n">
        <x:v>660</x:v>
      </x:c>
      <x:c r="AI801" s="55" t="n">
        <x:v>9178</x:v>
      </x:c>
      <x:c r="AJ801" s="55" t="n">
        <x:v>434</x:v>
      </x:c>
      <x:c r="AK801" s="55" t="n">
        <x:v>673</x:v>
      </x:c>
      <x:c r="AL801" s="55" t="n">
        <x:v>1489</x:v>
      </x:c>
      <x:c r="AM801" s="55" t="n">
        <x:v>4663</x:v>
      </x:c>
      <x:c r="AN801" s="55" t="n">
        <x:v>2562</x:v>
      </x:c>
      <x:c r="AO801" s="55" t="n">
        <x:v>17</x:v>
      </x:c>
      <x:c r="AP801" s="55" t="n">
        <x:v>1979</x:v>
      </x:c>
      <x:c r="AQ801" s="55" t="n">
        <x:v>943</x:v>
      </x:c>
    </x:row>
    <x:row r="802">
      <x:c r="A802" s="54" t="str">
        <x:v>T0_TABLE_BLOCK</x:v>
      </x:c>
      <x:c r="B802" s="54" t="n">
        <x:v>796</x:v>
      </x:c>
      <x:c r="C802" s="54" t="str">
        <x:v>NYC-V2-R01</x:v>
      </x:c>
      <x:c r="D802" s="54" t="str">
        <x:v>V2</x:v>
      </x:c>
      <x:c r="E802" s="54" t="str">
        <x:v>ADMITTED</x:v>
      </x:c>
      <x:c r="F802" s="55" t="n">
        <x:v>33867</x:v>
      </x:c>
      <x:c r="G802" s="55" t="n">
        <x:v>8624</x:v>
      </x:c>
      <x:c r="H802" s="55" t="n">
        <x:v>3290</x:v>
      </x:c>
      <x:c r="I802" s="55" t="n">
        <x:v>1166</x:v>
      </x:c>
      <x:c r="J802" s="55" t="n">
        <x:v>137</x:v>
      </x:c>
      <x:c r="K802" s="55" t="n">
        <x:v>33867</x:v>
      </x:c>
      <x:c r="L802" s="55" t="n">
        <x:v>6732</x:v>
      </x:c>
      <x:c r="M802" s="55" t="n">
        <x:v>1889</x:v>
      </x:c>
      <x:c r="N802" s="55" t="n">
        <x:v>3129</x:v>
      </x:c>
      <x:c r="O802" s="55" t="n">
        <x:v>1714</x:v>
      </x:c>
      <x:c r="P802" s="55" t="n">
        <x:v>429</x:v>
      </x:c>
      <x:c r="Q802" s="55" t="n">
        <x:v>1942</x:v>
      </x:c>
      <x:c r="R802" s="55" t="n">
        <x:v>1618</x:v>
      </x:c>
      <x:c r="S802" s="55" t="n">
        <x:v>2507</x:v>
      </x:c>
      <x:c r="T802" s="55" t="n">
        <x:v>1441</x:v>
      </x:c>
      <x:c r="U802" s="55" t="n">
        <x:v>2457</x:v>
      </x:c>
      <x:c r="V802" s="55" t="n">
        <x:v>10820</x:v>
      </x:c>
      <x:c r="W802" s="55" t="n">
        <x:v>7778</x:v>
      </x:c>
      <x:c r="X802" s="55" t="n">
        <x:v>3042</x:v>
      </x:c>
      <x:c r="Y802" s="55" t="n">
        <x:v>2642</x:v>
      </x:c>
      <x:c r="Z802" s="55" t="n">
        <x:v>3811</x:v>
      </x:c>
      <x:c r="AA802" s="55" t="n">
        <x:v>3230</x:v>
      </x:c>
      <x:c r="AB802" s="55" t="n">
        <x:v>962</x:v>
      </x:c>
      <x:c r="AC802" s="55" t="n">
        <x:v>8180</x:v>
      </x:c>
      <x:c r="AD802" s="55" t="n">
        <x:v>2868</x:v>
      </x:c>
      <x:c r="AE802" s="55" t="n">
        <x:v>10949</x:v>
      </x:c>
      <x:c r="AF802" s="55" t="n">
        <x:v>10820</x:v>
      </x:c>
      <x:c r="AG802" s="55" t="n">
        <x:v>129</x:v>
      </x:c>
      <x:c r="AH802" s="55" t="n">
        <x:v>433</x:v>
      </x:c>
      <x:c r="AI802" s="55" t="n">
        <x:v>10387</x:v>
      </x:c>
      <x:c r="AJ802" s="55" t="n">
        <x:v>256</x:v>
      </x:c>
      <x:c r="AK802" s="55" t="n">
        <x:v>1039</x:v>
      </x:c>
      <x:c r="AL802" s="55" t="n">
        <x:v>1633</x:v>
      </x:c>
      <x:c r="AM802" s="55" t="n">
        <x:v>5081</x:v>
      </x:c>
      <x:c r="AN802" s="55" t="n">
        <x:v>2682</x:v>
      </x:c>
      <x:c r="AO802" s="55" t="n">
        <x:v>129</x:v>
      </x:c>
      <x:c r="AP802" s="55" t="n">
        <x:v>2525</x:v>
      </x:c>
      <x:c r="AQ802" s="55" t="n">
        <x:v>920</x:v>
      </x:c>
    </x:row>
    <x:row r="803">
      <x:c r="A803" s="54" t="str">
        <x:v>T0_TABLE_BLOCK</x:v>
      </x:c>
      <x:c r="B803" s="54" t="n">
        <x:v>797</x:v>
      </x:c>
      <x:c r="C803" s="54" t="str">
        <x:v>NYC-V2-R01</x:v>
      </x:c>
      <x:c r="D803" s="54" t="str">
        <x:v>V2</x:v>
      </x:c>
      <x:c r="E803" s="54" t="str">
        <x:v>ADMITTED</x:v>
      </x:c>
      <x:c r="F803" s="55" t="n">
        <x:v>33036</x:v>
      </x:c>
      <x:c r="G803" s="55" t="n">
        <x:v>9294</x:v>
      </x:c>
      <x:c r="H803" s="55" t="n">
        <x:v>2995</x:v>
      </x:c>
      <x:c r="I803" s="55" t="n">
        <x:v>1162</x:v>
      </x:c>
      <x:c r="J803" s="55" t="n">
        <x:v>45</x:v>
      </x:c>
      <x:c r="K803" s="55" t="n">
        <x:v>26818</x:v>
      </x:c>
      <x:c r="L803" s="55" t="n">
        <x:v>5070</x:v>
      </x:c>
      <x:c r="M803" s="55" t="n">
        <x:v>1044</x:v>
      </x:c>
      <x:c r="N803" s="55" t="n">
        <x:v>2392</x:v>
      </x:c>
      <x:c r="O803" s="55" t="n">
        <x:v>1634</x:v>
      </x:c>
      <x:c r="P803" s="55" t="n">
        <x:v>850</x:v>
      </x:c>
      <x:c r="Q803" s="55" t="n">
        <x:v>1896</x:v>
      </x:c>
      <x:c r="R803" s="55" t="n">
        <x:v>2035</x:v>
      </x:c>
      <x:c r="S803" s="55" t="n">
        <x:v>2480</x:v>
      </x:c>
      <x:c r="T803" s="55" t="n">
        <x:v>895</x:v>
      </x:c>
      <x:c r="U803" s="55" t="n">
        <x:v>2675</x:v>
      </x:c>
      <x:c r="V803" s="55" t="n">
        <x:v>10570</x:v>
      </x:c>
      <x:c r="W803" s="55" t="n">
        <x:v>7312</x:v>
      </x:c>
      <x:c r="X803" s="55" t="n">
        <x:v>3258</x:v>
      </x:c>
      <x:c r="Y803" s="55" t="n">
        <x:v>2782</x:v>
      </x:c>
      <x:c r="Z803" s="55" t="n">
        <x:v>3949</x:v>
      </x:c>
      <x:c r="AA803" s="55" t="n">
        <x:v>2995</x:v>
      </x:c>
      <x:c r="AB803" s="55" t="n">
        <x:v>957</x:v>
      </x:c>
      <x:c r="AC803" s="55" t="n">
        <x:v>8966</x:v>
      </x:c>
      <x:c r="AD803" s="55" t="n">
        <x:v>2728</x:v>
      </x:c>
      <x:c r="AE803" s="55" t="n">
        <x:v>10640</x:v>
      </x:c>
      <x:c r="AF803" s="55" t="n">
        <x:v>10570</x:v>
      </x:c>
      <x:c r="AG803" s="55" t="n">
        <x:v>70</x:v>
      </x:c>
      <x:c r="AH803" s="55" t="n">
        <x:v>432</x:v>
      </x:c>
      <x:c r="AI803" s="55" t="n">
        <x:v>10138</x:v>
      </x:c>
      <x:c r="AJ803" s="55" t="n">
        <x:v>347</x:v>
      </x:c>
      <x:c r="AK803" s="55" t="n">
        <x:v>821</x:v>
      </x:c>
      <x:c r="AL803" s="55" t="n">
        <x:v>1530</x:v>
      </x:c>
      <x:c r="AM803" s="55" t="n">
        <x:v>5194</x:v>
      </x:c>
      <x:c r="AN803" s="55" t="n">
        <x:v>2678</x:v>
      </x:c>
      <x:c r="AO803" s="55" t="n">
        <x:v>0</x:v>
      </x:c>
      <x:c r="AP803" s="55" t="n">
        <x:v>2458</x:v>
      </x:c>
      <x:c r="AQ803" s="55" t="n">
        <x:v>952</x:v>
      </x:c>
    </x:row>
    <x:row r="804">
      <x:c r="A804" s="54" t="str">
        <x:v>T0_TABLE_BLOCK</x:v>
      </x:c>
      <x:c r="B804" s="54" t="n">
        <x:v>798</x:v>
      </x:c>
      <x:c r="C804" s="54" t="str">
        <x:v>NYC-V2-R01</x:v>
      </x:c>
      <x:c r="D804" s="54" t="str">
        <x:v>V2</x:v>
      </x:c>
      <x:c r="E804" s="54" t="str">
        <x:v>ADMITTED</x:v>
      </x:c>
      <x:c r="F804" s="55" t="n">
        <x:v>29834</x:v>
      </x:c>
      <x:c r="G804" s="55" t="n">
        <x:v>7601</x:v>
      </x:c>
      <x:c r="H804" s="55" t="n">
        <x:v>3395</x:v>
      </x:c>
      <x:c r="I804" s="55" t="n">
        <x:v>1151</x:v>
      </x:c>
      <x:c r="J804" s="55" t="n">
        <x:v>241</x:v>
      </x:c>
      <x:c r="K804" s="55" t="n">
        <x:v>29834</x:v>
      </x:c>
      <x:c r="L804" s="55" t="n">
        <x:v>5118</x:v>
      </x:c>
      <x:c r="M804" s="55" t="n">
        <x:v>407</x:v>
      </x:c>
      <x:c r="N804" s="55" t="n">
        <x:v>2389</x:v>
      </x:c>
      <x:c r="O804" s="55" t="n">
        <x:v>2322</x:v>
      </x:c>
      <x:c r="P804" s="55" t="n">
        <x:v>789</x:v>
      </x:c>
      <x:c r="Q804" s="55" t="n">
        <x:v>3010</x:v>
      </x:c>
      <x:c r="R804" s="55" t="n">
        <x:v>1877</x:v>
      </x:c>
      <x:c r="S804" s="55" t="n">
        <x:v>2269</x:v>
      </x:c>
      <x:c r="T804" s="55" t="n">
        <x:v>1067</x:v>
      </x:c>
      <x:c r="U804" s="55" t="n">
        <x:v>2242</x:v>
      </x:c>
      <x:c r="V804" s="55" t="n">
        <x:v>10368</x:v>
      </x:c>
      <x:c r="W804" s="55" t="n">
        <x:v>7261</x:v>
      </x:c>
      <x:c r="X804" s="55" t="n">
        <x:v>3107</x:v>
      </x:c>
      <x:c r="Y804" s="55" t="n">
        <x:v>2877</x:v>
      </x:c>
      <x:c r="Z804" s="55" t="n">
        <x:v>3848</x:v>
      </x:c>
      <x:c r="AA804" s="55" t="n">
        <x:v>3395</x:v>
      </x:c>
      <x:c r="AB804" s="55" t="n">
        <x:v>1569</x:v>
      </x:c>
      <x:c r="AC804" s="55" t="n">
        <x:v>8097</x:v>
      </x:c>
      <x:c r="AD804" s="55" t="n">
        <x:v>2669</x:v>
      </x:c>
      <x:c r="AE804" s="55" t="n">
        <x:v>10523</x:v>
      </x:c>
      <x:c r="AF804" s="55" t="n">
        <x:v>10368</x:v>
      </x:c>
      <x:c r="AG804" s="55" t="n">
        <x:v>155</x:v>
      </x:c>
      <x:c r="AH804" s="55" t="n">
        <x:v>425</x:v>
      </x:c>
      <x:c r="AI804" s="55" t="n">
        <x:v>9943</x:v>
      </x:c>
      <x:c r="AJ804" s="55" t="n">
        <x:v>285</x:v>
      </x:c>
      <x:c r="AK804" s="55" t="n">
        <x:v>933</x:v>
      </x:c>
      <x:c r="AL804" s="55" t="n">
        <x:v>1974</x:v>
      </x:c>
      <x:c r="AM804" s="55" t="n">
        <x:v>4772</x:v>
      </x:c>
      <x:c r="AN804" s="55" t="n">
        <x:v>2404</x:v>
      </x:c>
      <x:c r="AO804" s="55" t="n">
        <x:v>0</x:v>
      </x:c>
      <x:c r="AP804" s="55" t="n">
        <x:v>2985</x:v>
      </x:c>
      <x:c r="AQ804" s="55" t="n">
        <x:v>964</x:v>
      </x:c>
    </x:row>
    <x:row r="805">
      <x:c r="A805" s="54" t="str">
        <x:v>T0_TABLE_BLOCK</x:v>
      </x:c>
      <x:c r="B805" s="54" t="n">
        <x:v>799</x:v>
      </x:c>
      <x:c r="C805" s="54" t="str">
        <x:v>NYC-V2-R01</x:v>
      </x:c>
      <x:c r="D805" s="54" t="str">
        <x:v>V2</x:v>
      </x:c>
      <x:c r="E805" s="54" t="str">
        <x:v>ADMITTED</x:v>
      </x:c>
      <x:c r="F805" s="55" t="n">
        <x:v>32821</x:v>
      </x:c>
      <x:c r="G805" s="55" t="n">
        <x:v>7584</x:v>
      </x:c>
      <x:c r="H805" s="55" t="n">
        <x:v>3160</x:v>
      </x:c>
      <x:c r="I805" s="55" t="n">
        <x:v>971</x:v>
      </x:c>
      <x:c r="J805" s="55" t="n">
        <x:v>213</x:v>
      </x:c>
      <x:c r="K805" s="55" t="n">
        <x:v>32821</x:v>
      </x:c>
      <x:c r="L805" s="55" t="n">
        <x:v>6436</x:v>
      </x:c>
      <x:c r="M805" s="55" t="n">
        <x:v>2094</x:v>
      </x:c>
      <x:c r="N805" s="55" t="n">
        <x:v>2481</x:v>
      </x:c>
      <x:c r="O805" s="55" t="n">
        <x:v>1861</x:v>
      </x:c>
      <x:c r="P805" s="55" t="n">
        <x:v>644</x:v>
      </x:c>
      <x:c r="Q805" s="55" t="n">
        <x:v>3634</x:v>
      </x:c>
      <x:c r="R805" s="55" t="n">
        <x:v>1796</x:v>
      </x:c>
      <x:c r="S805" s="55" t="n">
        <x:v>2238</x:v>
      </x:c>
      <x:c r="T805" s="55" t="n">
        <x:v>1275</x:v>
      </x:c>
      <x:c r="U805" s="55" t="n">
        <x:v>2337</x:v>
      </x:c>
      <x:c r="V805" s="55" t="n">
        <x:v>10388</x:v>
      </x:c>
      <x:c r="W805" s="55" t="n">
        <x:v>7320</x:v>
      </x:c>
      <x:c r="X805" s="55" t="n">
        <x:v>3068</x:v>
      </x:c>
      <x:c r="Y805" s="55" t="n">
        <x:v>2695</x:v>
      </x:c>
      <x:c r="Z805" s="55" t="n">
        <x:v>3235</x:v>
      </x:c>
      <x:c r="AA805" s="55" t="n">
        <x:v>3160</x:v>
      </x:c>
      <x:c r="AB805" s="55" t="n">
        <x:v>1078</x:v>
      </x:c>
      <x:c r="AC805" s="55" t="n">
        <x:v>8698</x:v>
      </x:c>
      <x:c r="AD805" s="55" t="n">
        <x:v>2248</x:v>
      </x:c>
      <x:c r="AE805" s="55" t="n">
        <x:v>10524</x:v>
      </x:c>
      <x:c r="AF805" s="55" t="n">
        <x:v>10388</x:v>
      </x:c>
      <x:c r="AG805" s="55" t="n">
        <x:v>136</x:v>
      </x:c>
      <x:c r="AH805" s="55" t="n">
        <x:v>478</x:v>
      </x:c>
      <x:c r="AI805" s="55" t="n">
        <x:v>9910</x:v>
      </x:c>
      <x:c r="AJ805" s="55" t="n">
        <x:v>103</x:v>
      </x:c>
      <x:c r="AK805" s="55" t="n">
        <x:v>922</x:v>
      </x:c>
      <x:c r="AL805" s="55" t="n">
        <x:v>1379</x:v>
      </x:c>
      <x:c r="AM805" s="55" t="n">
        <x:v>4861</x:v>
      </x:c>
      <x:c r="AN805" s="55" t="n">
        <x:v>3123</x:v>
      </x:c>
      <x:c r="AO805" s="55" t="n">
        <x:v>0</x:v>
      </x:c>
      <x:c r="AP805" s="55" t="n">
        <x:v>2479</x:v>
      </x:c>
      <x:c r="AQ805" s="55" t="n">
        <x:v>935</x:v>
      </x:c>
    </x:row>
    <x:row r="806">
      <x:c r="A806" s="54" t="str">
        <x:v>T0_TABLE_BLOCK</x:v>
      </x:c>
      <x:c r="B806" s="54" t="n">
        <x:v>800</x:v>
      </x:c>
      <x:c r="C806" s="54" t="str">
        <x:v>NYC-V2-R01</x:v>
      </x:c>
      <x:c r="D806" s="54" t="str">
        <x:v>V2</x:v>
      </x:c>
      <x:c r="E806" s="54" t="str">
        <x:v>ADMITTED</x:v>
      </x:c>
      <x:c r="F806" s="55" t="n">
        <x:v>30017</x:v>
      </x:c>
      <x:c r="G806" s="55" t="n">
        <x:v>7116</x:v>
      </x:c>
      <x:c r="H806" s="55" t="n">
        <x:v>3371</x:v>
      </x:c>
      <x:c r="I806" s="55" t="n">
        <x:v>1800</x:v>
      </x:c>
      <x:c r="J806" s="55" t="n">
        <x:v>180</x:v>
      </x:c>
      <x:c r="K806" s="55" t="n">
        <x:v>30017</x:v>
      </x:c>
      <x:c r="L806" s="55" t="n">
        <x:v>4980</x:v>
      </x:c>
      <x:c r="M806" s="55" t="n">
        <x:v>1058</x:v>
      </x:c>
      <x:c r="N806" s="55" t="n">
        <x:v>2159</x:v>
      </x:c>
      <x:c r="O806" s="55" t="n">
        <x:v>1763</x:v>
      </x:c>
      <x:c r="P806" s="55" t="n">
        <x:v>795</x:v>
      </x:c>
      <x:c r="Q806" s="55" t="n">
        <x:v>2389</x:v>
      </x:c>
      <x:c r="R806" s="55" t="n">
        <x:v>2561</x:v>
      </x:c>
      <x:c r="S806" s="55" t="n">
        <x:v>2414</x:v>
      </x:c>
      <x:c r="T806" s="55" t="n">
        <x:v>1054</x:v>
      </x:c>
      <x:c r="U806" s="55" t="n">
        <x:v>2895</x:v>
      </x:c>
      <x:c r="V806" s="55" t="n">
        <x:v>10872</x:v>
      </x:c>
      <x:c r="W806" s="55" t="n">
        <x:v>7542</x:v>
      </x:c>
      <x:c r="X806" s="55" t="n">
        <x:v>3330</x:v>
      </x:c>
      <x:c r="Y806" s="55" t="n">
        <x:v>3030</x:v>
      </x:c>
      <x:c r="Z806" s="55" t="n">
        <x:v>3985</x:v>
      </x:c>
      <x:c r="AA806" s="55" t="n">
        <x:v>3119</x:v>
      </x:c>
      <x:c r="AB806" s="55" t="n">
        <x:v>991</x:v>
      </x:c>
      <x:c r="AC806" s="55" t="n">
        <x:v>8086</x:v>
      </x:c>
      <x:c r="AD806" s="55" t="n">
        <x:v>2564</x:v>
      </x:c>
      <x:c r="AE806" s="55" t="n">
        <x:v>10967</x:v>
      </x:c>
      <x:c r="AF806" s="55" t="n">
        <x:v>10872</x:v>
      </x:c>
      <x:c r="AG806" s="55" t="n">
        <x:v>95</x:v>
      </x:c>
      <x:c r="AH806" s="55" t="n">
        <x:v>747</x:v>
      </x:c>
      <x:c r="AI806" s="55" t="n">
        <x:v>10125</x:v>
      </x:c>
      <x:c r="AJ806" s="55" t="n">
        <x:v>519</x:v>
      </x:c>
      <x:c r="AK806" s="55" t="n">
        <x:v>1006</x:v>
      </x:c>
      <x:c r="AL806" s="55" t="n">
        <x:v>1428</x:v>
      </x:c>
      <x:c r="AM806" s="55" t="n">
        <x:v>5082</x:v>
      </x:c>
      <x:c r="AN806" s="55" t="n">
        <x:v>2828</x:v>
      </x:c>
      <x:c r="AO806" s="55" t="n">
        <x:v>9</x:v>
      </x:c>
      <x:c r="AP806" s="55" t="n">
        <x:v>1904</x:v>
      </x:c>
      <x:c r="AQ806" s="55" t="n">
        <x:v>950</x:v>
      </x:c>
    </x:row>
    <x:row r="807">
      <x:c r="A807" s="54" t="str">
        <x:v>T0_TABLE_BLOCK</x:v>
      </x:c>
      <x:c r="B807" s="54" t="n">
        <x:v>801</x:v>
      </x:c>
      <x:c r="C807" s="54" t="str">
        <x:v>NYC-V2-R01</x:v>
      </x:c>
      <x:c r="D807" s="54" t="str">
        <x:v>V2</x:v>
      </x:c>
      <x:c r="E807" s="54" t="str">
        <x:v>ADMITTED</x:v>
      </x:c>
      <x:c r="F807" s="55" t="n">
        <x:v>29929</x:v>
      </x:c>
      <x:c r="G807" s="55" t="n">
        <x:v>7770</x:v>
      </x:c>
      <x:c r="H807" s="55" t="n">
        <x:v>3086</x:v>
      </x:c>
      <x:c r="I807" s="55" t="n">
        <x:v>817</x:v>
      </x:c>
      <x:c r="J807" s="55" t="n">
        <x:v>195</x:v>
      </x:c>
      <x:c r="K807" s="55" t="n">
        <x:v>28458</x:v>
      </x:c>
      <x:c r="L807" s="55" t="n">
        <x:v>4408</x:v>
      </x:c>
      <x:c r="M807" s="55" t="n">
        <x:v>139</x:v>
      </x:c>
      <x:c r="N807" s="55" t="n">
        <x:v>2288</x:v>
      </x:c>
      <x:c r="O807" s="55" t="n">
        <x:v>1981</x:v>
      </x:c>
      <x:c r="P807" s="55" t="n">
        <x:v>489</x:v>
      </x:c>
      <x:c r="Q807" s="55" t="n">
        <x:v>3053</x:v>
      </x:c>
      <x:c r="R807" s="55" t="n">
        <x:v>1897</x:v>
      </x:c>
      <x:c r="S807" s="55" t="n">
        <x:v>3237</x:v>
      </x:c>
      <x:c r="T807" s="55" t="n">
        <x:v>1360</x:v>
      </x:c>
      <x:c r="U807" s="55" t="n">
        <x:v>1829</x:v>
      </x:c>
      <x:c r="V807" s="55" t="n">
        <x:v>11107</x:v>
      </x:c>
      <x:c r="W807" s="55" t="n">
        <x:v>8186</x:v>
      </x:c>
      <x:c r="X807" s="55" t="n">
        <x:v>2921</x:v>
      </x:c>
      <x:c r="Y807" s="55" t="n">
        <x:v>2557</x:v>
      </x:c>
      <x:c r="Z807" s="55" t="n">
        <x:v>3559</x:v>
      </x:c>
      <x:c r="AA807" s="55" t="n">
        <x:v>3086</x:v>
      </x:c>
      <x:c r="AB807" s="55" t="n">
        <x:v>1069</x:v>
      </x:c>
      <x:c r="AC807" s="55" t="n">
        <x:v>7342</x:v>
      </x:c>
      <x:c r="AD807" s="55" t="n">
        <x:v>2796</x:v>
      </x:c>
      <x:c r="AE807" s="55" t="n">
        <x:v>11173</x:v>
      </x:c>
      <x:c r="AF807" s="55" t="n">
        <x:v>11107</x:v>
      </x:c>
      <x:c r="AG807" s="55" t="n">
        <x:v>66</x:v>
      </x:c>
      <x:c r="AH807" s="55" t="n">
        <x:v>410</x:v>
      </x:c>
      <x:c r="AI807" s="55" t="n">
        <x:v>10697</x:v>
      </x:c>
      <x:c r="AJ807" s="55" t="n">
        <x:v>317</x:v>
      </x:c>
      <x:c r="AK807" s="55" t="n">
        <x:v>893</x:v>
      </x:c>
      <x:c r="AL807" s="55" t="n">
        <x:v>1821</x:v>
      </x:c>
      <x:c r="AM807" s="55" t="n">
        <x:v>5423</x:v>
      </x:c>
      <x:c r="AN807" s="55" t="n">
        <x:v>2578</x:v>
      </x:c>
      <x:c r="AO807" s="55" t="n">
        <x:v>75</x:v>
      </x:c>
      <x:c r="AP807" s="55" t="n">
        <x:v>2473</x:v>
      </x:c>
      <x:c r="AQ807" s="55" t="n">
        <x:v>952</x:v>
      </x:c>
    </x:row>
    <x:row r="808">
      <x:c r="A808" s="54" t="str">
        <x:v>T0_TABLE_BLOCK</x:v>
      </x:c>
      <x:c r="B808" s="54" t="n">
        <x:v>802</x:v>
      </x:c>
      <x:c r="C808" s="54" t="str">
        <x:v>NYC-V2-R01</x:v>
      </x:c>
      <x:c r="D808" s="54" t="str">
        <x:v>V2</x:v>
      </x:c>
      <x:c r="E808" s="54" t="str">
        <x:v>ADMITTED</x:v>
      </x:c>
      <x:c r="F808" s="55" t="n">
        <x:v>34037</x:v>
      </x:c>
      <x:c r="G808" s="55" t="n">
        <x:v>9364</x:v>
      </x:c>
      <x:c r="H808" s="55" t="n">
        <x:v>3510</x:v>
      </x:c>
      <x:c r="I808" s="55" t="n">
        <x:v>1373</x:v>
      </x:c>
      <x:c r="J808" s="55" t="n">
        <x:v>360</x:v>
      </x:c>
      <x:c r="K808" s="55" t="n">
        <x:v>30079</x:v>
      </x:c>
      <x:c r="L808" s="55" t="n">
        <x:v>4717</x:v>
      </x:c>
      <x:c r="M808" s="55" t="n">
        <x:v>582</x:v>
      </x:c>
      <x:c r="N808" s="55" t="n">
        <x:v>2490</x:v>
      </x:c>
      <x:c r="O808" s="55" t="n">
        <x:v>1645</x:v>
      </x:c>
      <x:c r="P808" s="55" t="n">
        <x:v>666</x:v>
      </x:c>
      <x:c r="Q808" s="55" t="n">
        <x:v>3186</x:v>
      </x:c>
      <x:c r="R808" s="55" t="n">
        <x:v>2454</x:v>
      </x:c>
      <x:c r="S808" s="55" t="n">
        <x:v>3386</x:v>
      </x:c>
      <x:c r="T808" s="55" t="n">
        <x:v>746</x:v>
      </x:c>
      <x:c r="U808" s="55" t="n">
        <x:v>1929</x:v>
      </x:c>
      <x:c r="V808" s="55" t="n">
        <x:v>10444</x:v>
      </x:c>
      <x:c r="W808" s="55" t="n">
        <x:v>7821</x:v>
      </x:c>
      <x:c r="X808" s="55" t="n">
        <x:v>2623</x:v>
      </x:c>
      <x:c r="Y808" s="55" t="n">
        <x:v>2205</x:v>
      </x:c>
      <x:c r="Z808" s="55" t="n">
        <x:v>3364</x:v>
      </x:c>
      <x:c r="AA808" s="55" t="n">
        <x:v>3510</x:v>
      </x:c>
      <x:c r="AB808" s="55" t="n">
        <x:v>1343</x:v>
      </x:c>
      <x:c r="AC808" s="55" t="n">
        <x:v>7492</x:v>
      </x:c>
      <x:c r="AD808" s="55" t="n">
        <x:v>3085</x:v>
      </x:c>
      <x:c r="AE808" s="55" t="n">
        <x:v>10487</x:v>
      </x:c>
      <x:c r="AF808" s="55" t="n">
        <x:v>10444</x:v>
      </x:c>
      <x:c r="AG808" s="55" t="n">
        <x:v>43</x:v>
      </x:c>
      <x:c r="AH808" s="55" t="n">
        <x:v>527</x:v>
      </x:c>
      <x:c r="AI808" s="55" t="n">
        <x:v>9917</x:v>
      </x:c>
      <x:c r="AJ808" s="55" t="n">
        <x:v>298</x:v>
      </x:c>
      <x:c r="AK808" s="55" t="n">
        <x:v>1163</x:v>
      </x:c>
      <x:c r="AL808" s="55" t="n">
        <x:v>1372</x:v>
      </x:c>
      <x:c r="AM808" s="55" t="n">
        <x:v>5014</x:v>
      </x:c>
      <x:c r="AN808" s="55" t="n">
        <x:v>2585</x:v>
      </x:c>
      <x:c r="AO808" s="55" t="n">
        <x:v>12</x:v>
      </x:c>
      <x:c r="AP808" s="55" t="n">
        <x:v>2324</x:v>
      </x:c>
      <x:c r="AQ808" s="55" t="n">
        <x:v>958</x:v>
      </x:c>
    </x:row>
    <x:row r="809">
      <x:c r="A809" s="54" t="str">
        <x:v>T0_TABLE_BLOCK</x:v>
      </x:c>
      <x:c r="B809" s="54" t="n">
        <x:v>803</x:v>
      </x:c>
      <x:c r="C809" s="54" t="str">
        <x:v>NYC-V2-R01</x:v>
      </x:c>
      <x:c r="D809" s="54" t="str">
        <x:v>V2</x:v>
      </x:c>
      <x:c r="E809" s="54" t="str">
        <x:v>ADMITTED</x:v>
      </x:c>
      <x:c r="F809" s="55" t="n">
        <x:v>29314</x:v>
      </x:c>
      <x:c r="G809" s="55" t="n">
        <x:v>7484</x:v>
      </x:c>
      <x:c r="H809" s="55" t="n">
        <x:v>3014</x:v>
      </x:c>
      <x:c r="I809" s="55" t="n">
        <x:v>1372</x:v>
      </x:c>
      <x:c r="J809" s="55" t="n">
        <x:v>218</x:v>
      </x:c>
      <x:c r="K809" s="55" t="n">
        <x:v>29314</x:v>
      </x:c>
      <x:c r="L809" s="55" t="n">
        <x:v>5222</x:v>
      </x:c>
      <x:c r="M809" s="55" t="n">
        <x:v>182</x:v>
      </x:c>
      <x:c r="N809" s="55" t="n">
        <x:v>2981</x:v>
      </x:c>
      <x:c r="O809" s="55" t="n">
        <x:v>2059</x:v>
      </x:c>
      <x:c r="P809" s="55" t="n">
        <x:v>747</x:v>
      </x:c>
      <x:c r="Q809" s="55" t="n">
        <x:v>3235</x:v>
      </x:c>
      <x:c r="R809" s="55" t="n">
        <x:v>1659</x:v>
      </x:c>
      <x:c r="S809" s="55" t="n">
        <x:v>2987</x:v>
      </x:c>
      <x:c r="T809" s="55" t="n">
        <x:v>1151</x:v>
      </x:c>
      <x:c r="U809" s="55" t="n">
        <x:v>2618</x:v>
      </x:c>
      <x:c r="V809" s="55" t="n">
        <x:v>10290</x:v>
      </x:c>
      <x:c r="W809" s="55" t="n">
        <x:v>7441</x:v>
      </x:c>
      <x:c r="X809" s="55" t="n">
        <x:v>2849</x:v>
      </x:c>
      <x:c r="Y809" s="55" t="n">
        <x:v>2275</x:v>
      </x:c>
      <x:c r="Z809" s="55" t="n">
        <x:v>3766</x:v>
      </x:c>
      <x:c r="AA809" s="55" t="n">
        <x:v>2906</x:v>
      </x:c>
      <x:c r="AB809" s="55" t="n">
        <x:v>722</x:v>
      </x:c>
      <x:c r="AC809" s="55" t="n">
        <x:v>7966</x:v>
      </x:c>
      <x:c r="AD809" s="55" t="n">
        <x:v>3735</x:v>
      </x:c>
      <x:c r="AE809" s="55" t="n">
        <x:v>10387</x:v>
      </x:c>
      <x:c r="AF809" s="55" t="n">
        <x:v>10290</x:v>
      </x:c>
      <x:c r="AG809" s="55" t="n">
        <x:v>97</x:v>
      </x:c>
      <x:c r="AH809" s="55" t="n">
        <x:v>333</x:v>
      </x:c>
      <x:c r="AI809" s="55" t="n">
        <x:v>9957</x:v>
      </x:c>
      <x:c r="AJ809" s="55" t="n">
        <x:v>182</x:v>
      </x:c>
      <x:c r="AK809" s="55" t="n">
        <x:v>1056</x:v>
      </x:c>
      <x:c r="AL809" s="55" t="n">
        <x:v>1540</x:v>
      </x:c>
      <x:c r="AM809" s="55" t="n">
        <x:v>4937</x:v>
      </x:c>
      <x:c r="AN809" s="55" t="n">
        <x:v>2522</x:v>
      </x:c>
      <x:c r="AO809" s="55" t="n">
        <x:v>53</x:v>
      </x:c>
      <x:c r="AP809" s="55" t="n">
        <x:v>2297</x:v>
      </x:c>
      <x:c r="AQ809" s="55" t="n">
        <x:v>941</x:v>
      </x:c>
    </x:row>
    <x:row r="810">
      <x:c r="A810" s="54" t="str">
        <x:v>T0_TABLE_BLOCK</x:v>
      </x:c>
      <x:c r="B810" s="54" t="n">
        <x:v>804</x:v>
      </x:c>
      <x:c r="C810" s="54" t="str">
        <x:v>NYC-V2-R01</x:v>
      </x:c>
      <x:c r="D810" s="54" t="str">
        <x:v>V2</x:v>
      </x:c>
      <x:c r="E810" s="54" t="str">
        <x:v>ADMITTED</x:v>
      </x:c>
      <x:c r="F810" s="55" t="n">
        <x:v>31741</x:v>
      </x:c>
      <x:c r="G810" s="55" t="n">
        <x:v>7523</x:v>
      </x:c>
      <x:c r="H810" s="55" t="n">
        <x:v>3332</x:v>
      </x:c>
      <x:c r="I810" s="55" t="n">
        <x:v>1076</x:v>
      </x:c>
      <x:c r="J810" s="55" t="n">
        <x:v>169</x:v>
      </x:c>
      <x:c r="K810" s="55" t="n">
        <x:v>30997</x:v>
      </x:c>
      <x:c r="L810" s="55" t="n">
        <x:v>6435</x:v>
      </x:c>
      <x:c r="M810" s="55" t="n">
        <x:v>1993</x:v>
      </x:c>
      <x:c r="N810" s="55" t="n">
        <x:v>2854</x:v>
      </x:c>
      <x:c r="O810" s="55" t="n">
        <x:v>1588</x:v>
      </x:c>
      <x:c r="P810" s="55" t="n">
        <x:v>647</x:v>
      </x:c>
      <x:c r="Q810" s="55" t="n">
        <x:v>2128</x:v>
      </x:c>
      <x:c r="R810" s="55" t="n">
        <x:v>1669</x:v>
      </x:c>
      <x:c r="S810" s="55" t="n">
        <x:v>2758</x:v>
      </x:c>
      <x:c r="T810" s="55" t="n">
        <x:v>933</x:v>
      </x:c>
      <x:c r="U810" s="55" t="n">
        <x:v>2323</x:v>
      </x:c>
      <x:c r="V810" s="55" t="n">
        <x:v>10297</x:v>
      </x:c>
      <x:c r="W810" s="55" t="n">
        <x:v>6802</x:v>
      </x:c>
      <x:c r="X810" s="55" t="n">
        <x:v>3495</x:v>
      </x:c>
      <x:c r="Y810" s="55" t="n">
        <x:v>2997</x:v>
      </x:c>
      <x:c r="Z810" s="55" t="n">
        <x:v>3121</x:v>
      </x:c>
      <x:c r="AA810" s="55" t="n">
        <x:v>3332</x:v>
      </x:c>
      <x:c r="AB810" s="55" t="n">
        <x:v>810</x:v>
      </x:c>
      <x:c r="AC810" s="55" t="n">
        <x:v>7667</x:v>
      </x:c>
      <x:c r="AD810" s="55" t="n">
        <x:v>2314</x:v>
      </x:c>
      <x:c r="AE810" s="55" t="n">
        <x:v>10331</x:v>
      </x:c>
      <x:c r="AF810" s="55" t="n">
        <x:v>10297</x:v>
      </x:c>
      <x:c r="AG810" s="55" t="n">
        <x:v>34</x:v>
      </x:c>
      <x:c r="AH810" s="55" t="n">
        <x:v>485</x:v>
      </x:c>
      <x:c r="AI810" s="55" t="n">
        <x:v>9812</x:v>
      </x:c>
      <x:c r="AJ810" s="55" t="n">
        <x:v>287</x:v>
      </x:c>
      <x:c r="AK810" s="55" t="n">
        <x:v>1134</x:v>
      </x:c>
      <x:c r="AL810" s="55" t="n">
        <x:v>1339</x:v>
      </x:c>
      <x:c r="AM810" s="55" t="n">
        <x:v>5051</x:v>
      </x:c>
      <x:c r="AN810" s="55" t="n">
        <x:v>2415</x:v>
      </x:c>
      <x:c r="AO810" s="55" t="n">
        <x:v>71</x:v>
      </x:c>
      <x:c r="AP810" s="55" t="n">
        <x:v>2226</x:v>
      </x:c>
      <x:c r="AQ810" s="55" t="n">
        <x:v>956</x:v>
      </x:c>
    </x:row>
    <x:row r="811">
      <x:c r="A811" s="54" t="str">
        <x:v>T0_TABLE_BLOCK</x:v>
      </x:c>
      <x:c r="B811" s="54" t="n">
        <x:v>805</x:v>
      </x:c>
      <x:c r="C811" s="54" t="str">
        <x:v>NYC-V2-R01</x:v>
      </x:c>
      <x:c r="D811" s="54" t="str">
        <x:v>V2</x:v>
      </x:c>
      <x:c r="E811" s="54" t="str">
        <x:v>ADMITTED</x:v>
      </x:c>
      <x:c r="F811" s="55" t="n">
        <x:v>30330</x:v>
      </x:c>
      <x:c r="G811" s="55" t="n">
        <x:v>8101</x:v>
      </x:c>
      <x:c r="H811" s="55" t="n">
        <x:v>3329</x:v>
      </x:c>
      <x:c r="I811" s="55" t="n">
        <x:v>936</x:v>
      </x:c>
      <x:c r="J811" s="55" t="n">
        <x:v>12</x:v>
      </x:c>
      <x:c r="K811" s="55" t="n">
        <x:v>28840</x:v>
      </x:c>
      <x:c r="L811" s="55" t="n">
        <x:v>4729</x:v>
      </x:c>
      <x:c r="M811" s="55" t="n">
        <x:v>1052</x:v>
      </x:c>
      <x:c r="N811" s="55" t="n">
        <x:v>2394</x:v>
      </x:c>
      <x:c r="O811" s="55" t="n">
        <x:v>1283</x:v>
      </x:c>
      <x:c r="P811" s="55" t="n">
        <x:v>918</x:v>
      </x:c>
      <x:c r="Q811" s="55" t="n">
        <x:v>3209</x:v>
      </x:c>
      <x:c r="R811" s="55" t="n">
        <x:v>1885</x:v>
      </x:c>
      <x:c r="S811" s="55" t="n">
        <x:v>2685</x:v>
      </x:c>
      <x:c r="T811" s="55" t="n">
        <x:v>1147</x:v>
      </x:c>
      <x:c r="U811" s="55" t="n">
        <x:v>2372</x:v>
      </x:c>
      <x:c r="V811" s="55" t="n">
        <x:v>10199</x:v>
      </x:c>
      <x:c r="W811" s="55" t="n">
        <x:v>7642</x:v>
      </x:c>
      <x:c r="X811" s="55" t="n">
        <x:v>2557</x:v>
      </x:c>
      <x:c r="Y811" s="55" t="n">
        <x:v>2108</x:v>
      </x:c>
      <x:c r="Z811" s="55" t="n">
        <x:v>3775</x:v>
      </x:c>
      <x:c r="AA811" s="55" t="n">
        <x:v>3329</x:v>
      </x:c>
      <x:c r="AB811" s="55" t="n">
        <x:v>1317</x:v>
      </x:c>
      <x:c r="AC811" s="55" t="n">
        <x:v>9061</x:v>
      </x:c>
      <x:c r="AD811" s="55" t="n">
        <x:v>2657</x:v>
      </x:c>
      <x:c r="AE811" s="55" t="n">
        <x:v>10354</x:v>
      </x:c>
      <x:c r="AF811" s="55" t="n">
        <x:v>10199</x:v>
      </x:c>
      <x:c r="AG811" s="55" t="n">
        <x:v>155</x:v>
      </x:c>
      <x:c r="AH811" s="55" t="n">
        <x:v>191</x:v>
      </x:c>
      <x:c r="AI811" s="55" t="n">
        <x:v>10008</x:v>
      </x:c>
      <x:c r="AJ811" s="55" t="n">
        <x:v>155</x:v>
      </x:c>
      <x:c r="AK811" s="55" t="n">
        <x:v>774</x:v>
      </x:c>
      <x:c r="AL811" s="55" t="n">
        <x:v>1501</x:v>
      </x:c>
      <x:c r="AM811" s="55" t="n">
        <x:v>4931</x:v>
      </x:c>
      <x:c r="AN811" s="55" t="n">
        <x:v>2789</x:v>
      </x:c>
      <x:c r="AO811" s="55" t="n">
        <x:v>49</x:v>
      </x:c>
      <x:c r="AP811" s="55" t="n">
        <x:v>2134</x:v>
      </x:c>
      <x:c r="AQ811" s="55" t="n">
        <x:v>979</x:v>
      </x:c>
    </x:row>
    <x:row r="812">
      <x:c r="A812" s="54" t="str">
        <x:v>T0_TABLE_BLOCK</x:v>
      </x:c>
      <x:c r="B812" s="54" t="n">
        <x:v>806</x:v>
      </x:c>
      <x:c r="C812" s="54" t="str">
        <x:v>NYC-V2-R01</x:v>
      </x:c>
      <x:c r="D812" s="54" t="str">
        <x:v>V2</x:v>
      </x:c>
      <x:c r="E812" s="54" t="str">
        <x:v>ADMITTED</x:v>
      </x:c>
      <x:c r="F812" s="55" t="n">
        <x:v>33008</x:v>
      </x:c>
      <x:c r="G812" s="55" t="n">
        <x:v>9323</x:v>
      </x:c>
      <x:c r="H812" s="55" t="n">
        <x:v>3213</x:v>
      </x:c>
      <x:c r="I812" s="55" t="n">
        <x:v>1255</x:v>
      </x:c>
      <x:c r="J812" s="55" t="n">
        <x:v>265</x:v>
      </x:c>
      <x:c r="K812" s="55" t="n">
        <x:v>30694</x:v>
      </x:c>
      <x:c r="L812" s="55" t="n">
        <x:v>5813</x:v>
      </x:c>
      <x:c r="M812" s="55" t="n">
        <x:v>1754</x:v>
      </x:c>
      <x:c r="N812" s="55" t="n">
        <x:v>2404</x:v>
      </x:c>
      <x:c r="O812" s="55" t="n">
        <x:v>1655</x:v>
      </x:c>
      <x:c r="P812" s="55" t="n">
        <x:v>822</x:v>
      </x:c>
      <x:c r="Q812" s="55" t="n">
        <x:v>3836</x:v>
      </x:c>
      <x:c r="R812" s="55" t="n">
        <x:v>1291</x:v>
      </x:c>
      <x:c r="S812" s="55" t="n">
        <x:v>2900</x:v>
      </x:c>
      <x:c r="T812" s="55" t="n">
        <x:v>1579</x:v>
      </x:c>
      <x:c r="U812" s="55" t="n">
        <x:v>2073</x:v>
      </x:c>
      <x:c r="V812" s="55" t="n">
        <x:v>10401</x:v>
      </x:c>
      <x:c r="W812" s="55" t="n">
        <x:v>7350</x:v>
      </x:c>
      <x:c r="X812" s="55" t="n">
        <x:v>3051</x:v>
      </x:c>
      <x:c r="Y812" s="55" t="n">
        <x:v>2482</x:v>
      </x:c>
      <x:c r="Z812" s="55" t="n">
        <x:v>3940</x:v>
      </x:c>
      <x:c r="AA812" s="55" t="n">
        <x:v>3213</x:v>
      </x:c>
      <x:c r="AB812" s="55" t="n">
        <x:v>941</x:v>
      </x:c>
      <x:c r="AC812" s="55" t="n">
        <x:v>7675</x:v>
      </x:c>
      <x:c r="AD812" s="55" t="n">
        <x:v>2326</x:v>
      </x:c>
      <x:c r="AE812" s="55" t="n">
        <x:v>10476</x:v>
      </x:c>
      <x:c r="AF812" s="55" t="n">
        <x:v>10401</x:v>
      </x:c>
      <x:c r="AG812" s="55" t="n">
        <x:v>75</x:v>
      </x:c>
      <x:c r="AH812" s="55" t="n">
        <x:v>449</x:v>
      </x:c>
      <x:c r="AI812" s="55" t="n">
        <x:v>9952</x:v>
      </x:c>
      <x:c r="AJ812" s="55" t="n">
        <x:v>612</x:v>
      </x:c>
      <x:c r="AK812" s="55" t="n">
        <x:v>822</x:v>
      </x:c>
      <x:c r="AL812" s="55" t="n">
        <x:v>1246</x:v>
      </x:c>
      <x:c r="AM812" s="55" t="n">
        <x:v>5163</x:v>
      </x:c>
      <x:c r="AN812" s="55" t="n">
        <x:v>2460</x:v>
      </x:c>
      <x:c r="AO812" s="55" t="n">
        <x:v>98</x:v>
      </x:c>
      <x:c r="AP812" s="55" t="n">
        <x:v>2536</x:v>
      </x:c>
      <x:c r="AQ812" s="55" t="n">
        <x:v>999</x:v>
      </x:c>
    </x:row>
    <x:row r="813">
      <x:c r="A813" s="54" t="str">
        <x:v>T0_TABLE_BLOCK</x:v>
      </x:c>
      <x:c r="B813" s="54" t="n">
        <x:v>807</x:v>
      </x:c>
      <x:c r="C813" s="54" t="str">
        <x:v>NYC-V2-R01</x:v>
      </x:c>
      <x:c r="D813" s="54" t="str">
        <x:v>V2</x:v>
      </x:c>
      <x:c r="E813" s="54" t="str">
        <x:v>ADMITTED</x:v>
      </x:c>
      <x:c r="F813" s="55" t="n">
        <x:v>29465</x:v>
      </x:c>
      <x:c r="G813" s="55" t="n">
        <x:v>7134</x:v>
      </x:c>
      <x:c r="H813" s="55" t="n">
        <x:v>3386</x:v>
      </x:c>
      <x:c r="I813" s="55" t="n">
        <x:v>991</x:v>
      </x:c>
      <x:c r="J813" s="55" t="n">
        <x:v>129</x:v>
      </x:c>
      <x:c r="K813" s="55" t="n">
        <x:v>29465</x:v>
      </x:c>
      <x:c r="L813" s="55" t="n">
        <x:v>3847</x:v>
      </x:c>
      <x:c r="M813" s="55" t="n">
        <x:v>214</x:v>
      </x:c>
      <x:c r="N813" s="55" t="n">
        <x:v>2045</x:v>
      </x:c>
      <x:c r="O813" s="55" t="n">
        <x:v>1588</x:v>
      </x:c>
      <x:c r="P813" s="55" t="n">
        <x:v>837</x:v>
      </x:c>
      <x:c r="Q813" s="55" t="n">
        <x:v>2530</x:v>
      </x:c>
      <x:c r="R813" s="55" t="n">
        <x:v>2085</x:v>
      </x:c>
      <x:c r="S813" s="55" t="n">
        <x:v>2850</x:v>
      </x:c>
      <x:c r="T813" s="55" t="n">
        <x:v>560</x:v>
      </x:c>
      <x:c r="U813" s="55" t="n">
        <x:v>2259</x:v>
      </x:c>
      <x:c r="V813" s="55" t="n">
        <x:v>11125</x:v>
      </x:c>
      <x:c r="W813" s="55" t="n">
        <x:v>8085</x:v>
      </x:c>
      <x:c r="X813" s="55" t="n">
        <x:v>3040</x:v>
      </x:c>
      <x:c r="Y813" s="55" t="n">
        <x:v>2551</x:v>
      </x:c>
      <x:c r="Z813" s="55" t="n">
        <x:v>4109</x:v>
      </x:c>
      <x:c r="AA813" s="55" t="n">
        <x:v>3167</x:v>
      </x:c>
      <x:c r="AB813" s="55" t="n">
        <x:v>1144</x:v>
      </x:c>
      <x:c r="AC813" s="55" t="n">
        <x:v>7643</x:v>
      </x:c>
      <x:c r="AD813" s="55" t="n">
        <x:v>2316</x:v>
      </x:c>
      <x:c r="AE813" s="55" t="n">
        <x:v>11230</x:v>
      </x:c>
      <x:c r="AF813" s="55" t="n">
        <x:v>11125</x:v>
      </x:c>
      <x:c r="AG813" s="55" t="n">
        <x:v>105</x:v>
      </x:c>
      <x:c r="AH813" s="55" t="n">
        <x:v>622</x:v>
      </x:c>
      <x:c r="AI813" s="55" t="n">
        <x:v>10503</x:v>
      </x:c>
      <x:c r="AJ813" s="55" t="n">
        <x:v>390</x:v>
      </x:c>
      <x:c r="AK813" s="55" t="n">
        <x:v>1036</x:v>
      </x:c>
      <x:c r="AL813" s="55" t="n">
        <x:v>2012</x:v>
      </x:c>
      <x:c r="AM813" s="55" t="n">
        <x:v>5420</x:v>
      </x:c>
      <x:c r="AN813" s="55" t="n">
        <x:v>2151</x:v>
      </x:c>
      <x:c r="AO813" s="55" t="n">
        <x:v>116</x:v>
      </x:c>
      <x:c r="AP813" s="55" t="n">
        <x:v>2325</x:v>
      </x:c>
      <x:c r="AQ813" s="55" t="n">
        <x:v>961</x:v>
      </x:c>
    </x:row>
    <x:row r="814">
      <x:c r="A814" s="54" t="str">
        <x:v>T0_TABLE_BLOCK</x:v>
      </x:c>
      <x:c r="B814" s="54" t="n">
        <x:v>808</x:v>
      </x:c>
      <x:c r="C814" s="54" t="str">
        <x:v>NYC-V2-R01</x:v>
      </x:c>
      <x:c r="D814" s="54" t="str">
        <x:v>V2</x:v>
      </x:c>
      <x:c r="E814" s="54" t="str">
        <x:v>ADMITTED</x:v>
      </x:c>
      <x:c r="F814" s="55" t="n">
        <x:v>29700</x:v>
      </x:c>
      <x:c r="G814" s="55" t="n">
        <x:v>5176</x:v>
      </x:c>
      <x:c r="H814" s="55" t="n">
        <x:v>3386</x:v>
      </x:c>
      <x:c r="I814" s="55" t="n">
        <x:v>1485</x:v>
      </x:c>
      <x:c r="J814" s="55" t="n">
        <x:v>257</x:v>
      </x:c>
      <x:c r="K814" s="55" t="n">
        <x:v>29700</x:v>
      </x:c>
      <x:c r="L814" s="55" t="n">
        <x:v>4355</x:v>
      </x:c>
      <x:c r="M814" s="55" t="n">
        <x:v>140</x:v>
      </x:c>
      <x:c r="N814" s="55" t="n">
        <x:v>2448</x:v>
      </x:c>
      <x:c r="O814" s="55" t="n">
        <x:v>1767</x:v>
      </x:c>
      <x:c r="P814" s="55" t="n">
        <x:v>574</x:v>
      </x:c>
      <x:c r="Q814" s="55" t="n">
        <x:v>2522</x:v>
      </x:c>
      <x:c r="R814" s="55" t="n">
        <x:v>1264</x:v>
      </x:c>
      <x:c r="S814" s="55" t="n">
        <x:v>2771</x:v>
      </x:c>
      <x:c r="T814" s="55" t="n">
        <x:v>1494</x:v>
      </x:c>
      <x:c r="U814" s="55" t="n">
        <x:v>2181</x:v>
      </x:c>
      <x:c r="V814" s="55" t="n">
        <x:v>10047</x:v>
      </x:c>
      <x:c r="W814" s="55" t="n">
        <x:v>6689</x:v>
      </x:c>
      <x:c r="X814" s="55" t="n">
        <x:v>3358</x:v>
      </x:c>
      <x:c r="Y814" s="55" t="n">
        <x:v>2878</x:v>
      </x:c>
      <x:c r="Z814" s="55" t="n">
        <x:v>3726</x:v>
      </x:c>
      <x:c r="AA814" s="55" t="n">
        <x:v>3314</x:v>
      </x:c>
      <x:c r="AB814" s="55" t="n">
        <x:v>1236</x:v>
      </x:c>
      <x:c r="AC814" s="55" t="n">
        <x:v>7840</x:v>
      </x:c>
      <x:c r="AD814" s="55" t="n">
        <x:v>2783</x:v>
      </x:c>
      <x:c r="AE814" s="55" t="n">
        <x:v>10117</x:v>
      </x:c>
      <x:c r="AF814" s="55" t="n">
        <x:v>10047</x:v>
      </x:c>
      <x:c r="AG814" s="55" t="n">
        <x:v>70</x:v>
      </x:c>
      <x:c r="AH814" s="55" t="n">
        <x:v>571</x:v>
      </x:c>
      <x:c r="AI814" s="55" t="n">
        <x:v>9476</x:v>
      </x:c>
      <x:c r="AJ814" s="55" t="n">
        <x:v>249</x:v>
      </x:c>
      <x:c r="AK814" s="55" t="n">
        <x:v>674</x:v>
      </x:c>
      <x:c r="AL814" s="55" t="n">
        <x:v>1752</x:v>
      </x:c>
      <x:c r="AM814" s="55" t="n">
        <x:v>4607</x:v>
      </x:c>
      <x:c r="AN814" s="55" t="n">
        <x:v>2765</x:v>
      </x:c>
      <x:c r="AO814" s="55" t="n">
        <x:v>0</x:v>
      </x:c>
      <x:c r="AP814" s="55" t="n">
        <x:v>2683</x:v>
      </x:c>
      <x:c r="AQ814" s="55" t="n">
        <x:v>975</x:v>
      </x:c>
    </x:row>
    <x:row r="815">
      <x:c r="A815" s="54" t="str">
        <x:v>T0_TABLE_BLOCK</x:v>
      </x:c>
      <x:c r="B815" s="54" t="n">
        <x:v>809</x:v>
      </x:c>
      <x:c r="C815" s="54" t="str">
        <x:v>NYC-V2-R01</x:v>
      </x:c>
      <x:c r="D815" s="54" t="str">
        <x:v>V2</x:v>
      </x:c>
      <x:c r="E815" s="54" t="str">
        <x:v>ADMITTED</x:v>
      </x:c>
      <x:c r="F815" s="55" t="n">
        <x:v>31457</x:v>
      </x:c>
      <x:c r="G815" s="55" t="n">
        <x:v>7035</x:v>
      </x:c>
      <x:c r="H815" s="55" t="n">
        <x:v>3020</x:v>
      </x:c>
      <x:c r="I815" s="55" t="n">
        <x:v>1097</x:v>
      </x:c>
      <x:c r="J815" s="55" t="n">
        <x:v>0</x:v>
      </x:c>
      <x:c r="K815" s="55" t="n">
        <x:v>31457</x:v>
      </x:c>
      <x:c r="L815" s="55" t="n">
        <x:v>5651</x:v>
      </x:c>
      <x:c r="M815" s="55" t="n">
        <x:v>1849</x:v>
      </x:c>
      <x:c r="N815" s="55" t="n">
        <x:v>2359</x:v>
      </x:c>
      <x:c r="O815" s="55" t="n">
        <x:v>1443</x:v>
      </x:c>
      <x:c r="P815" s="55" t="n">
        <x:v>404</x:v>
      </x:c>
      <x:c r="Q815" s="55" t="n">
        <x:v>2428</x:v>
      </x:c>
      <x:c r="R815" s="55" t="n">
        <x:v>1615</x:v>
      </x:c>
      <x:c r="S815" s="55" t="n">
        <x:v>2687</x:v>
      </x:c>
      <x:c r="T815" s="55" t="n">
        <x:v>1081</x:v>
      </x:c>
      <x:c r="U815" s="55" t="n">
        <x:v>2007</x:v>
      </x:c>
      <x:c r="V815" s="55" t="n">
        <x:v>10651</x:v>
      </x:c>
      <x:c r="W815" s="55" t="n">
        <x:v>7363</x:v>
      </x:c>
      <x:c r="X815" s="55" t="n">
        <x:v>3288</x:v>
      </x:c>
      <x:c r="Y815" s="55" t="n">
        <x:v>2750</x:v>
      </x:c>
      <x:c r="Z815" s="55" t="n">
        <x:v>4080</x:v>
      </x:c>
      <x:c r="AA815" s="55" t="n">
        <x:v>3020</x:v>
      </x:c>
      <x:c r="AB815" s="55" t="n">
        <x:v>1147</x:v>
      </x:c>
      <x:c r="AC815" s="55" t="n">
        <x:v>7263</x:v>
      </x:c>
      <x:c r="AD815" s="55" t="n">
        <x:v>2777</x:v>
      </x:c>
      <x:c r="AE815" s="55" t="n">
        <x:v>10688</x:v>
      </x:c>
      <x:c r="AF815" s="55" t="n">
        <x:v>10651</x:v>
      </x:c>
      <x:c r="AG815" s="55" t="n">
        <x:v>37</x:v>
      </x:c>
      <x:c r="AH815" s="55" t="n">
        <x:v>514</x:v>
      </x:c>
      <x:c r="AI815" s="55" t="n">
        <x:v>10137</x:v>
      </x:c>
      <x:c r="AJ815" s="55" t="n">
        <x:v>210</x:v>
      </x:c>
      <x:c r="AK815" s="55" t="n">
        <x:v>730</x:v>
      </x:c>
      <x:c r="AL815" s="55" t="n">
        <x:v>1492</x:v>
      </x:c>
      <x:c r="AM815" s="55" t="n">
        <x:v>5424</x:v>
      </x:c>
      <x:c r="AN815" s="55" t="n">
        <x:v>2690</x:v>
      </x:c>
      <x:c r="AO815" s="55" t="n">
        <x:v>105</x:v>
      </x:c>
      <x:c r="AP815" s="55" t="n">
        <x:v>2395</x:v>
      </x:c>
      <x:c r="AQ815" s="55" t="n">
        <x:v>955</x:v>
      </x:c>
    </x:row>
    <x:row r="816">
      <x:c r="A816" s="54" t="str">
        <x:v>T0_TABLE_BLOCK</x:v>
      </x:c>
      <x:c r="B816" s="54" t="n">
        <x:v>810</x:v>
      </x:c>
      <x:c r="C816" s="54" t="str">
        <x:v>NYC-V2-R01</x:v>
      </x:c>
      <x:c r="D816" s="54" t="str">
        <x:v>V2</x:v>
      </x:c>
      <x:c r="E816" s="54" t="str">
        <x:v>ADMITTED</x:v>
      </x:c>
      <x:c r="F816" s="55" t="n">
        <x:v>30933</x:v>
      </x:c>
      <x:c r="G816" s="55" t="n">
        <x:v>6517</x:v>
      </x:c>
      <x:c r="H816" s="55" t="n">
        <x:v>3533</x:v>
      </x:c>
      <x:c r="I816" s="55" t="n">
        <x:v>1584</x:v>
      </x:c>
      <x:c r="J816" s="55" t="n">
        <x:v>310</x:v>
      </x:c>
      <x:c r="K816" s="55" t="n">
        <x:v>30933</x:v>
      </x:c>
      <x:c r="L816" s="55" t="n">
        <x:v>6141</x:v>
      </x:c>
      <x:c r="M816" s="55" t="n">
        <x:v>1473</x:v>
      </x:c>
      <x:c r="N816" s="55" t="n">
        <x:v>3029</x:v>
      </x:c>
      <x:c r="O816" s="55" t="n">
        <x:v>1639</x:v>
      </x:c>
      <x:c r="P816" s="55" t="n">
        <x:v>800</x:v>
      </x:c>
      <x:c r="Q816" s="55" t="n">
        <x:v>1832</x:v>
      </x:c>
      <x:c r="R816" s="55" t="n">
        <x:v>1642</x:v>
      </x:c>
      <x:c r="S816" s="55" t="n">
        <x:v>2957</x:v>
      </x:c>
      <x:c r="T816" s="55" t="n">
        <x:v>909</x:v>
      </x:c>
      <x:c r="U816" s="55" t="n">
        <x:v>1707</x:v>
      </x:c>
      <x:c r="V816" s="55" t="n">
        <x:v>10319</x:v>
      </x:c>
      <x:c r="W816" s="55" t="n">
        <x:v>7368</x:v>
      </x:c>
      <x:c r="X816" s="55" t="n">
        <x:v>2951</x:v>
      </x:c>
      <x:c r="Y816" s="55" t="n">
        <x:v>2491</x:v>
      </x:c>
      <x:c r="Z816" s="55" t="n">
        <x:v>3737</x:v>
      </x:c>
      <x:c r="AA816" s="55" t="n">
        <x:v>3249</x:v>
      </x:c>
      <x:c r="AB816" s="55" t="n">
        <x:v>911</x:v>
      </x:c>
      <x:c r="AC816" s="55" t="n">
        <x:v>7785</x:v>
      </x:c>
      <x:c r="AD816" s="55" t="n">
        <x:v>2337</x:v>
      </x:c>
      <x:c r="AE816" s="55" t="n">
        <x:v>10399</x:v>
      </x:c>
      <x:c r="AF816" s="55" t="n">
        <x:v>10319</x:v>
      </x:c>
      <x:c r="AG816" s="55" t="n">
        <x:v>80</x:v>
      </x:c>
      <x:c r="AH816" s="55" t="n">
        <x:v>426</x:v>
      </x:c>
      <x:c r="AI816" s="55" t="n">
        <x:v>9893</x:v>
      </x:c>
      <x:c r="AJ816" s="55" t="n">
        <x:v>423</x:v>
      </x:c>
      <x:c r="AK816" s="55" t="n">
        <x:v>834</x:v>
      </x:c>
      <x:c r="AL816" s="55" t="n">
        <x:v>1712</x:v>
      </x:c>
      <x:c r="AM816" s="55" t="n">
        <x:v>4926</x:v>
      </x:c>
      <x:c r="AN816" s="55" t="n">
        <x:v>2369</x:v>
      </x:c>
      <x:c r="AO816" s="55" t="n">
        <x:v>55</x:v>
      </x:c>
      <x:c r="AP816" s="55" t="n">
        <x:v>2134</x:v>
      </x:c>
      <x:c r="AQ816" s="55" t="n">
        <x:v>957</x:v>
      </x:c>
    </x:row>
    <x:row r="817">
      <x:c r="A817" s="54" t="str">
        <x:v>T0_TABLE_BLOCK</x:v>
      </x:c>
      <x:c r="B817" s="54" t="n">
        <x:v>811</x:v>
      </x:c>
      <x:c r="C817" s="54" t="str">
        <x:v>NYC-V2-R01</x:v>
      </x:c>
      <x:c r="D817" s="54" t="str">
        <x:v>V2</x:v>
      </x:c>
      <x:c r="E817" s="54" t="str">
        <x:v>ADMITTED</x:v>
      </x:c>
      <x:c r="F817" s="55" t="n">
        <x:v>32139</x:v>
      </x:c>
      <x:c r="G817" s="55" t="n">
        <x:v>8280</x:v>
      </x:c>
      <x:c r="H817" s="55" t="n">
        <x:v>3343</x:v>
      </x:c>
      <x:c r="I817" s="55" t="n">
        <x:v>1460</x:v>
      </x:c>
      <x:c r="J817" s="55" t="n">
        <x:v>235</x:v>
      </x:c>
      <x:c r="K817" s="55" t="n">
        <x:v>32139</x:v>
      </x:c>
      <x:c r="L817" s="55" t="n">
        <x:v>5753</x:v>
      </x:c>
      <x:c r="M817" s="55" t="n">
        <x:v>1740</x:v>
      </x:c>
      <x:c r="N817" s="55" t="n">
        <x:v>2322</x:v>
      </x:c>
      <x:c r="O817" s="55" t="n">
        <x:v>1691</x:v>
      </x:c>
      <x:c r="P817" s="55" t="n">
        <x:v>536</x:v>
      </x:c>
      <x:c r="Q817" s="55" t="n">
        <x:v>2829</x:v>
      </x:c>
      <x:c r="R817" s="55" t="n">
        <x:v>1586</x:v>
      </x:c>
      <x:c r="S817" s="55" t="n">
        <x:v>3070</x:v>
      </x:c>
      <x:c r="T817" s="55" t="n">
        <x:v>1373</x:v>
      </x:c>
      <x:c r="U817" s="55" t="n">
        <x:v>1526</x:v>
      </x:c>
      <x:c r="V817" s="55" t="n">
        <x:v>10104</x:v>
      </x:c>
      <x:c r="W817" s="55" t="n">
        <x:v>7144</x:v>
      </x:c>
      <x:c r="X817" s="55" t="n">
        <x:v>2960</x:v>
      </x:c>
      <x:c r="Y817" s="55" t="n">
        <x:v>2645</x:v>
      </x:c>
      <x:c r="Z817" s="55" t="n">
        <x:v>3521</x:v>
      </x:c>
      <x:c r="AA817" s="55" t="n">
        <x:v>2850</x:v>
      </x:c>
      <x:c r="AB817" s="55" t="n">
        <x:v>1120</x:v>
      </x:c>
      <x:c r="AC817" s="55" t="n">
        <x:v>8068</x:v>
      </x:c>
      <x:c r="AD817" s="55" t="n">
        <x:v>2572</x:v>
      </x:c>
      <x:c r="AE817" s="55" t="n">
        <x:v>10232</x:v>
      </x:c>
      <x:c r="AF817" s="55" t="n">
        <x:v>10104</x:v>
      </x:c>
      <x:c r="AG817" s="55" t="n">
        <x:v>128</x:v>
      </x:c>
      <x:c r="AH817" s="55" t="n">
        <x:v>493</x:v>
      </x:c>
      <x:c r="AI817" s="55" t="n">
        <x:v>9611</x:v>
      </x:c>
      <x:c r="AJ817" s="55" t="n">
        <x:v>294</x:v>
      </x:c>
      <x:c r="AK817" s="55" t="n">
        <x:v>967</x:v>
      </x:c>
      <x:c r="AL817" s="55" t="n">
        <x:v>1165</x:v>
      </x:c>
      <x:c r="AM817" s="55" t="n">
        <x:v>5231</x:v>
      </x:c>
      <x:c r="AN817" s="55" t="n">
        <x:v>2376</x:v>
      </x:c>
      <x:c r="AO817" s="55" t="n">
        <x:v>71</x:v>
      </x:c>
      <x:c r="AP817" s="55" t="n">
        <x:v>2810</x:v>
      </x:c>
      <x:c r="AQ817" s="55" t="n">
        <x:v>933</x:v>
      </x:c>
    </x:row>
    <x:row r="818">
      <x:c r="A818" s="54" t="str">
        <x:v>T0_TABLE_BLOCK</x:v>
      </x:c>
      <x:c r="B818" s="54" t="n">
        <x:v>812</x:v>
      </x:c>
      <x:c r="C818" s="54" t="str">
        <x:v>NYC-V2-R01</x:v>
      </x:c>
      <x:c r="D818" s="54" t="str">
        <x:v>V2</x:v>
      </x:c>
      <x:c r="E818" s="54" t="str">
        <x:v>ADMITTED</x:v>
      </x:c>
      <x:c r="F818" s="55" t="n">
        <x:v>33120</x:v>
      </x:c>
      <x:c r="G818" s="55" t="n">
        <x:v>9056</x:v>
      </x:c>
      <x:c r="H818" s="55" t="n">
        <x:v>3270</x:v>
      </x:c>
      <x:c r="I818" s="55" t="n">
        <x:v>917</x:v>
      </x:c>
      <x:c r="J818" s="55" t="n">
        <x:v>217</x:v>
      </x:c>
      <x:c r="K818" s="55" t="n">
        <x:v>31922</x:v>
      </x:c>
      <x:c r="L818" s="55" t="n">
        <x:v>5948</x:v>
      </x:c>
      <x:c r="M818" s="55" t="n">
        <x:v>1109</x:v>
      </x:c>
      <x:c r="N818" s="55" t="n">
        <x:v>3013</x:v>
      </x:c>
      <x:c r="O818" s="55" t="n">
        <x:v>1826</x:v>
      </x:c>
      <x:c r="P818" s="55" t="n">
        <x:v>842</x:v>
      </x:c>
      <x:c r="Q818" s="55" t="n">
        <x:v>2994</x:v>
      </x:c>
      <x:c r="R818" s="55" t="n">
        <x:v>1524</x:v>
      </x:c>
      <x:c r="S818" s="55" t="n">
        <x:v>2797</x:v>
      </x:c>
      <x:c r="T818" s="55" t="n">
        <x:v>1425</x:v>
      </x:c>
      <x:c r="U818" s="55" t="n">
        <x:v>1494</x:v>
      </x:c>
      <x:c r="V818" s="55" t="n">
        <x:v>9576</x:v>
      </x:c>
      <x:c r="W818" s="55" t="n">
        <x:v>6241</x:v>
      </x:c>
      <x:c r="X818" s="55" t="n">
        <x:v>3335</x:v>
      </x:c>
      <x:c r="Y818" s="55" t="n">
        <x:v>2967</x:v>
      </x:c>
      <x:c r="Z818" s="55" t="n">
        <x:v>3344</x:v>
      </x:c>
      <x:c r="AA818" s="55" t="n">
        <x:v>2750</x:v>
      </x:c>
      <x:c r="AB818" s="55" t="n">
        <x:v>948</x:v>
      </x:c>
      <x:c r="AC818" s="55" t="n">
        <x:v>8165</x:v>
      </x:c>
      <x:c r="AD818" s="55" t="n">
        <x:v>3414</x:v>
      </x:c>
      <x:c r="AE818" s="55" t="n">
        <x:v>9757</x:v>
      </x:c>
      <x:c r="AF818" s="55" t="n">
        <x:v>9576</x:v>
      </x:c>
      <x:c r="AG818" s="55" t="n">
        <x:v>181</x:v>
      </x:c>
      <x:c r="AH818" s="55" t="n">
        <x:v>197</x:v>
      </x:c>
      <x:c r="AI818" s="55" t="n">
        <x:v>9379</x:v>
      </x:c>
      <x:c r="AJ818" s="55" t="n">
        <x:v>170</x:v>
      </x:c>
      <x:c r="AK818" s="55" t="n">
        <x:v>923</x:v>
      </x:c>
      <x:c r="AL818" s="55" t="n">
        <x:v>1160</x:v>
      </x:c>
      <x:c r="AM818" s="55" t="n">
        <x:v>4943</x:v>
      </x:c>
      <x:c r="AN818" s="55" t="n">
        <x:v>2380</x:v>
      </x:c>
      <x:c r="AO818" s="55" t="n">
        <x:v>0</x:v>
      </x:c>
      <x:c r="AP818" s="55" t="n">
        <x:v>2578</x:v>
      </x:c>
      <x:c r="AQ818" s="55" t="n">
        <x:v>953</x:v>
      </x:c>
    </x:row>
    <x:row r="819">
      <x:c r="A819" s="54" t="str">
        <x:v>T0_TABLE_BLOCK</x:v>
      </x:c>
      <x:c r="B819" s="54" t="n">
        <x:v>813</x:v>
      </x:c>
      <x:c r="C819" s="54" t="str">
        <x:v>NYC-V2-R01</x:v>
      </x:c>
      <x:c r="D819" s="54" t="str">
        <x:v>V2</x:v>
      </x:c>
      <x:c r="E819" s="54" t="str">
        <x:v>ADMITTED</x:v>
      </x:c>
      <x:c r="F819" s="55" t="n">
        <x:v>32336</x:v>
      </x:c>
      <x:c r="G819" s="55" t="n">
        <x:v>9032</x:v>
      </x:c>
      <x:c r="H819" s="55" t="n">
        <x:v>3085</x:v>
      </x:c>
      <x:c r="I819" s="55" t="n">
        <x:v>644</x:v>
      </x:c>
      <x:c r="J819" s="55" t="n">
        <x:v>0</x:v>
      </x:c>
      <x:c r="K819" s="55" t="n">
        <x:v>32170</x:v>
      </x:c>
      <x:c r="L819" s="55" t="n">
        <x:v>5972</x:v>
      </x:c>
      <x:c r="M819" s="55" t="n">
        <x:v>1755</x:v>
      </x:c>
      <x:c r="N819" s="55" t="n">
        <x:v>2269</x:v>
      </x:c>
      <x:c r="O819" s="55" t="n">
        <x:v>1948</x:v>
      </x:c>
      <x:c r="P819" s="55" t="n">
        <x:v>710</x:v>
      </x:c>
      <x:c r="Q819" s="55" t="n">
        <x:v>1966</x:v>
      </x:c>
      <x:c r="R819" s="55" t="n">
        <x:v>2336</x:v>
      </x:c>
      <x:c r="S819" s="55" t="n">
        <x:v>3952</x:v>
      </x:c>
      <x:c r="T819" s="55" t="n">
        <x:v>1102</x:v>
      </x:c>
      <x:c r="U819" s="55" t="n">
        <x:v>1293</x:v>
      </x:c>
      <x:c r="V819" s="55" t="n">
        <x:v>9232</x:v>
      </x:c>
      <x:c r="W819" s="55" t="n">
        <x:v>6255</x:v>
      </x:c>
      <x:c r="X819" s="55" t="n">
        <x:v>2977</x:v>
      </x:c>
      <x:c r="Y819" s="55" t="n">
        <x:v>2676</x:v>
      </x:c>
      <x:c r="Z819" s="55" t="n">
        <x:v>3677</x:v>
      </x:c>
      <x:c r="AA819" s="55" t="n">
        <x:v>3085</x:v>
      </x:c>
      <x:c r="AB819" s="55" t="n">
        <x:v>1006</x:v>
      </x:c>
      <x:c r="AC819" s="55" t="n">
        <x:v>7540</x:v>
      </x:c>
      <x:c r="AD819" s="55" t="n">
        <x:v>3184</x:v>
      </x:c>
      <x:c r="AE819" s="55" t="n">
        <x:v>9297</x:v>
      </x:c>
      <x:c r="AF819" s="55" t="n">
        <x:v>9232</x:v>
      </x:c>
      <x:c r="AG819" s="55" t="n">
        <x:v>65</x:v>
      </x:c>
      <x:c r="AH819" s="55" t="n">
        <x:v>312</x:v>
      </x:c>
      <x:c r="AI819" s="55" t="n">
        <x:v>8920</x:v>
      </x:c>
      <x:c r="AJ819" s="55" t="n">
        <x:v>470</x:v>
      </x:c>
      <x:c r="AK819" s="55" t="n">
        <x:v>665</x:v>
      </x:c>
      <x:c r="AL819" s="55" t="n">
        <x:v>1527</x:v>
      </x:c>
      <x:c r="AM819" s="55" t="n">
        <x:v>4765</x:v>
      </x:c>
      <x:c r="AN819" s="55" t="n">
        <x:v>1762</x:v>
      </x:c>
      <x:c r="AO819" s="55" t="n">
        <x:v>43</x:v>
      </x:c>
      <x:c r="AP819" s="55" t="n">
        <x:v>2250</x:v>
      </x:c>
      <x:c r="AQ819" s="55" t="n">
        <x:v>978</x:v>
      </x:c>
    </x:row>
    <x:row r="820">
      <x:c r="A820" s="54" t="str">
        <x:v>T0_TABLE_BLOCK</x:v>
      </x:c>
      <x:c r="B820" s="54" t="n">
        <x:v>814</x:v>
      </x:c>
      <x:c r="C820" s="54" t="str">
        <x:v>NYC-V2-R01</x:v>
      </x:c>
      <x:c r="D820" s="54" t="str">
        <x:v>V2</x:v>
      </x:c>
      <x:c r="E820" s="54" t="str">
        <x:v>ADMITTED</x:v>
      </x:c>
      <x:c r="F820" s="55" t="n">
        <x:v>31311</x:v>
      </x:c>
      <x:c r="G820" s="55" t="n">
        <x:v>7802</x:v>
      </x:c>
      <x:c r="H820" s="55" t="n">
        <x:v>2778</x:v>
      </x:c>
      <x:c r="I820" s="55" t="n">
        <x:v>1065</x:v>
      </x:c>
      <x:c r="J820" s="55" t="n">
        <x:v>75</x:v>
      </x:c>
      <x:c r="K820" s="55" t="n">
        <x:v>30487</x:v>
      </x:c>
      <x:c r="L820" s="55" t="n">
        <x:v>5784</x:v>
      </x:c>
      <x:c r="M820" s="55" t="n">
        <x:v>1490</x:v>
      </x:c>
      <x:c r="N820" s="55" t="n">
        <x:v>3042</x:v>
      </x:c>
      <x:c r="O820" s="55" t="n">
        <x:v>1252</x:v>
      </x:c>
      <x:c r="P820" s="55" t="n">
        <x:v>746</x:v>
      </x:c>
      <x:c r="Q820" s="55" t="n">
        <x:v>2133</x:v>
      </x:c>
      <x:c r="R820" s="55" t="n">
        <x:v>2297</x:v>
      </x:c>
      <x:c r="S820" s="55" t="n">
        <x:v>2461</x:v>
      </x:c>
      <x:c r="T820" s="55" t="n">
        <x:v>1419</x:v>
      </x:c>
      <x:c r="U820" s="55" t="n">
        <x:v>2027</x:v>
      </x:c>
      <x:c r="V820" s="55" t="n">
        <x:v>10700</x:v>
      </x:c>
      <x:c r="W820" s="55" t="n">
        <x:v>8365</x:v>
      </x:c>
      <x:c r="X820" s="55" t="n">
        <x:v>2335</x:v>
      </x:c>
      <x:c r="Y820" s="55" t="n">
        <x:v>1819</x:v>
      </x:c>
      <x:c r="Z820" s="55" t="n">
        <x:v>3847</x:v>
      </x:c>
      <x:c r="AA820" s="55" t="n">
        <x:v>2778</x:v>
      </x:c>
      <x:c r="AB820" s="55" t="n">
        <x:v>1035</x:v>
      </x:c>
      <x:c r="AC820" s="55" t="n">
        <x:v>7240</x:v>
      </x:c>
      <x:c r="AD820" s="55" t="n">
        <x:v>3828</x:v>
      </x:c>
      <x:c r="AE820" s="55" t="n">
        <x:v>10746</x:v>
      </x:c>
      <x:c r="AF820" s="55" t="n">
        <x:v>10700</x:v>
      </x:c>
      <x:c r="AG820" s="55" t="n">
        <x:v>46</x:v>
      </x:c>
      <x:c r="AH820" s="55" t="n">
        <x:v>341</x:v>
      </x:c>
      <x:c r="AI820" s="55" t="n">
        <x:v>10359</x:v>
      </x:c>
      <x:c r="AJ820" s="55" t="n">
        <x:v>291</x:v>
      </x:c>
      <x:c r="AK820" s="55" t="n">
        <x:v>1047</x:v>
      </x:c>
      <x:c r="AL820" s="55" t="n">
        <x:v>1726</x:v>
      </x:c>
      <x:c r="AM820" s="55" t="n">
        <x:v>5073</x:v>
      </x:c>
      <x:c r="AN820" s="55" t="n">
        <x:v>2563</x:v>
      </x:c>
      <x:c r="AO820" s="55" t="n">
        <x:v>0</x:v>
      </x:c>
      <x:c r="AP820" s="55" t="n">
        <x:v>2666</x:v>
      </x:c>
      <x:c r="AQ820" s="55" t="n">
        <x:v>957</x:v>
      </x:c>
    </x:row>
    <x:row r="821">
      <x:c r="A821" s="54" t="str">
        <x:v>T0_TABLE_BLOCK</x:v>
      </x:c>
      <x:c r="B821" s="54" t="n">
        <x:v>815</x:v>
      </x:c>
      <x:c r="C821" s="54" t="str">
        <x:v>NYC-V2-R01</x:v>
      </x:c>
      <x:c r="D821" s="54" t="str">
        <x:v>V2</x:v>
      </x:c>
      <x:c r="E821" s="54" t="str">
        <x:v>ADMITTED</x:v>
      </x:c>
      <x:c r="F821" s="55" t="n">
        <x:v>33412</x:v>
      </x:c>
      <x:c r="G821" s="55" t="n">
        <x:v>7540</x:v>
      </x:c>
      <x:c r="H821" s="55" t="n">
        <x:v>3572</x:v>
      </x:c>
      <x:c r="I821" s="55" t="n">
        <x:v>1443</x:v>
      </x:c>
      <x:c r="J821" s="55" t="n">
        <x:v>245</x:v>
      </x:c>
      <x:c r="K821" s="55" t="n">
        <x:v>33412</x:v>
      </x:c>
      <x:c r="L821" s="55" t="n">
        <x:v>6614</x:v>
      </x:c>
      <x:c r="M821" s="55" t="n">
        <x:v>1392</x:v>
      </x:c>
      <x:c r="N821" s="55" t="n">
        <x:v>3606</x:v>
      </x:c>
      <x:c r="O821" s="55" t="n">
        <x:v>1616</x:v>
      </x:c>
      <x:c r="P821" s="55" t="n">
        <x:v>1071</x:v>
      </x:c>
      <x:c r="Q821" s="55" t="n">
        <x:v>1792</x:v>
      </x:c>
      <x:c r="R821" s="55" t="n">
        <x:v>2227</x:v>
      </x:c>
      <x:c r="S821" s="55" t="n">
        <x:v>3103</x:v>
      </x:c>
      <x:c r="T821" s="55" t="n">
        <x:v>1584</x:v>
      </x:c>
      <x:c r="U821" s="55" t="n">
        <x:v>2053</x:v>
      </x:c>
      <x:c r="V821" s="55" t="n">
        <x:v>10002</x:v>
      </x:c>
      <x:c r="W821" s="55" t="n">
        <x:v>7360</x:v>
      </x:c>
      <x:c r="X821" s="55" t="n">
        <x:v>2642</x:v>
      </x:c>
      <x:c r="Y821" s="55" t="n">
        <x:v>2427</x:v>
      </x:c>
      <x:c r="Z821" s="55" t="n">
        <x:v>3968</x:v>
      </x:c>
      <x:c r="AA821" s="55" t="n">
        <x:v>3572</x:v>
      </x:c>
      <x:c r="AB821" s="55" t="n">
        <x:v>1735</x:v>
      </x:c>
      <x:c r="AC821" s="55" t="n">
        <x:v>8815</x:v>
      </x:c>
      <x:c r="AD821" s="55" t="n">
        <x:v>3130</x:v>
      </x:c>
      <x:c r="AE821" s="55" t="n">
        <x:v>10137</x:v>
      </x:c>
      <x:c r="AF821" s="55" t="n">
        <x:v>10002</x:v>
      </x:c>
      <x:c r="AG821" s="55" t="n">
        <x:v>135</x:v>
      </x:c>
      <x:c r="AH821" s="55" t="n">
        <x:v>246</x:v>
      </x:c>
      <x:c r="AI821" s="55" t="n">
        <x:v>9756</x:v>
      </x:c>
      <x:c r="AJ821" s="55" t="n">
        <x:v>412</x:v>
      </x:c>
      <x:c r="AK821" s="55" t="n">
        <x:v>875</x:v>
      </x:c>
      <x:c r="AL821" s="55" t="n">
        <x:v>735</x:v>
      </x:c>
      <x:c r="AM821" s="55" t="n">
        <x:v>4361</x:v>
      </x:c>
      <x:c r="AN821" s="55" t="n">
        <x:v>3619</x:v>
      </x:c>
      <x:c r="AO821" s="55" t="n">
        <x:v>0</x:v>
      </x:c>
      <x:c r="AP821" s="55" t="n">
        <x:v>2184</x:v>
      </x:c>
      <x:c r="AQ821" s="55" t="n">
        <x:v>949</x:v>
      </x:c>
    </x:row>
    <x:row r="822">
      <x:c r="A822" s="54" t="str">
        <x:v>T0_TABLE_BLOCK</x:v>
      </x:c>
      <x:c r="B822" s="54" t="n">
        <x:v>816</x:v>
      </x:c>
      <x:c r="C822" s="54" t="str">
        <x:v>NYC-V2-R01</x:v>
      </x:c>
      <x:c r="D822" s="54" t="str">
        <x:v>V2</x:v>
      </x:c>
      <x:c r="E822" s="54" t="str">
        <x:v>ADMITTED</x:v>
      </x:c>
      <x:c r="F822" s="55" t="n">
        <x:v>31370</x:v>
      </x:c>
      <x:c r="G822" s="55" t="n">
        <x:v>7897</x:v>
      </x:c>
      <x:c r="H822" s="55" t="n">
        <x:v>3753</x:v>
      </x:c>
      <x:c r="I822" s="55" t="n">
        <x:v>1443</x:v>
      </x:c>
      <x:c r="J822" s="55" t="n">
        <x:v>384</x:v>
      </x:c>
      <x:c r="K822" s="55" t="n">
        <x:v>30308</x:v>
      </x:c>
      <x:c r="L822" s="55" t="n">
        <x:v>6058</x:v>
      </x:c>
      <x:c r="M822" s="55" t="n">
        <x:v>636</x:v>
      </x:c>
      <x:c r="N822" s="55" t="n">
        <x:v>3376</x:v>
      </x:c>
      <x:c r="O822" s="55" t="n">
        <x:v>2046</x:v>
      </x:c>
      <x:c r="P822" s="55" t="n">
        <x:v>853</x:v>
      </x:c>
      <x:c r="Q822" s="55" t="n">
        <x:v>2765</x:v>
      </x:c>
      <x:c r="R822" s="55" t="n">
        <x:v>2051</x:v>
      </x:c>
      <x:c r="S822" s="55" t="n">
        <x:v>2947</x:v>
      </x:c>
      <x:c r="T822" s="55" t="n">
        <x:v>1350</x:v>
      </x:c>
      <x:c r="U822" s="55" t="n">
        <x:v>1892</x:v>
      </x:c>
      <x:c r="V822" s="55" t="n">
        <x:v>10376</x:v>
      </x:c>
      <x:c r="W822" s="55" t="n">
        <x:v>7582</x:v>
      </x:c>
      <x:c r="X822" s="55" t="n">
        <x:v>2794</x:v>
      </x:c>
      <x:c r="Y822" s="55" t="n">
        <x:v>2474</x:v>
      </x:c>
      <x:c r="Z822" s="55" t="n">
        <x:v>3535</x:v>
      </x:c>
      <x:c r="AA822" s="55" t="n">
        <x:v>2450</x:v>
      </x:c>
      <x:c r="AB822" s="55" t="n">
        <x:v>695</x:v>
      </x:c>
      <x:c r="AC822" s="55" t="n">
        <x:v>7797</x:v>
      </x:c>
      <x:c r="AD822" s="55" t="n">
        <x:v>3208</x:v>
      </x:c>
      <x:c r="AE822" s="55" t="n">
        <x:v>10459</x:v>
      </x:c>
      <x:c r="AF822" s="55" t="n">
        <x:v>10376</x:v>
      </x:c>
      <x:c r="AG822" s="55" t="n">
        <x:v>83</x:v>
      </x:c>
      <x:c r="AH822" s="55" t="n">
        <x:v>250</x:v>
      </x:c>
      <x:c r="AI822" s="55" t="n">
        <x:v>10126</x:v>
      </x:c>
      <x:c r="AJ822" s="55" t="n">
        <x:v>130</x:v>
      </x:c>
      <x:c r="AK822" s="55" t="n">
        <x:v>769</x:v>
      </x:c>
      <x:c r="AL822" s="55" t="n">
        <x:v>1285</x:v>
      </x:c>
      <x:c r="AM822" s="55" t="n">
        <x:v>4712</x:v>
      </x:c>
      <x:c r="AN822" s="55" t="n">
        <x:v>3460</x:v>
      </x:c>
      <x:c r="AO822" s="55" t="n">
        <x:v>20</x:v>
      </x:c>
      <x:c r="AP822" s="55" t="n">
        <x:v>2055</x:v>
      </x:c>
      <x:c r="AQ822" s="55" t="n">
        <x:v>909</x:v>
      </x:c>
    </x:row>
    <x:row r="823">
      <x:c r="A823" s="54" t="str">
        <x:v>T0_TABLE_BLOCK</x:v>
      </x:c>
      <x:c r="B823" s="54" t="n">
        <x:v>817</x:v>
      </x:c>
      <x:c r="C823" s="54" t="str">
        <x:v>NYC-V2-R01</x:v>
      </x:c>
      <x:c r="D823" s="54" t="str">
        <x:v>V2</x:v>
      </x:c>
      <x:c r="E823" s="54" t="str">
        <x:v>ADMITTED</x:v>
      </x:c>
      <x:c r="F823" s="55" t="n">
        <x:v>32129</x:v>
      </x:c>
      <x:c r="G823" s="55" t="n">
        <x:v>9014</x:v>
      </x:c>
      <x:c r="H823" s="55" t="n">
        <x:v>2757</x:v>
      </x:c>
      <x:c r="I823" s="55" t="n">
        <x:v>1111</x:v>
      </x:c>
      <x:c r="J823" s="55" t="n">
        <x:v>65</x:v>
      </x:c>
      <x:c r="K823" s="55" t="n">
        <x:v>32129</x:v>
      </x:c>
      <x:c r="L823" s="55" t="n">
        <x:v>5433</x:v>
      </x:c>
      <x:c r="M823" s="55" t="n">
        <x:v>878</x:v>
      </x:c>
      <x:c r="N823" s="55" t="n">
        <x:v>2477</x:v>
      </x:c>
      <x:c r="O823" s="55" t="n">
        <x:v>2078</x:v>
      </x:c>
      <x:c r="P823" s="55" t="n">
        <x:v>674</x:v>
      </x:c>
      <x:c r="Q823" s="55" t="n">
        <x:v>2327</x:v>
      </x:c>
      <x:c r="R823" s="55" t="n">
        <x:v>1734</x:v>
      </x:c>
      <x:c r="S823" s="55" t="n">
        <x:v>3296</x:v>
      </x:c>
      <x:c r="T823" s="55" t="n">
        <x:v>1632</x:v>
      </x:c>
      <x:c r="U823" s="55" t="n">
        <x:v>1967</x:v>
      </x:c>
      <x:c r="V823" s="55" t="n">
        <x:v>10238</x:v>
      </x:c>
      <x:c r="W823" s="55" t="n">
        <x:v>7075</x:v>
      </x:c>
      <x:c r="X823" s="55" t="n">
        <x:v>3163</x:v>
      </x:c>
      <x:c r="Y823" s="55" t="n">
        <x:v>2786</x:v>
      </x:c>
      <x:c r="Z823" s="55" t="n">
        <x:v>3557</x:v>
      </x:c>
      <x:c r="AA823" s="55" t="n">
        <x:v>2757</x:v>
      </x:c>
      <x:c r="AB823" s="55" t="n">
        <x:v>875</x:v>
      </x:c>
      <x:c r="AC823" s="55" t="n">
        <x:v>8092</x:v>
      </x:c>
      <x:c r="AD823" s="55" t="n">
        <x:v>3505</x:v>
      </x:c>
      <x:c r="AE823" s="55" t="n">
        <x:v>10266</x:v>
      </x:c>
      <x:c r="AF823" s="55" t="n">
        <x:v>10238</x:v>
      </x:c>
      <x:c r="AG823" s="55" t="n">
        <x:v>28</x:v>
      </x:c>
      <x:c r="AH823" s="55" t="n">
        <x:v>531</x:v>
      </x:c>
      <x:c r="AI823" s="55" t="n">
        <x:v>9707</x:v>
      </x:c>
      <x:c r="AJ823" s="55" t="n">
        <x:v>480</x:v>
      </x:c>
      <x:c r="AK823" s="55" t="n">
        <x:v>1171</x:v>
      </x:c>
      <x:c r="AL823" s="55" t="n">
        <x:v>1304</x:v>
      </x:c>
      <x:c r="AM823" s="55" t="n">
        <x:v>4841</x:v>
      </x:c>
      <x:c r="AN823" s="55" t="n">
        <x:v>2404</x:v>
      </x:c>
      <x:c r="AO823" s="55" t="n">
        <x:v>38</x:v>
      </x:c>
      <x:c r="AP823" s="55" t="n">
        <x:v>2719</x:v>
      </x:c>
      <x:c r="AQ823" s="55" t="n">
        <x:v>1011</x:v>
      </x:c>
    </x:row>
    <x:row r="824">
      <x:c r="A824" s="54" t="str">
        <x:v>T0_TABLE_BLOCK</x:v>
      </x:c>
      <x:c r="B824" s="54" t="n">
        <x:v>818</x:v>
      </x:c>
      <x:c r="C824" s="54" t="str">
        <x:v>NYC-V2-R01</x:v>
      </x:c>
      <x:c r="D824" s="54" t="str">
        <x:v>V2</x:v>
      </x:c>
      <x:c r="E824" s="54" t="str">
        <x:v>ADMITTED</x:v>
      </x:c>
      <x:c r="F824" s="55" t="n">
        <x:v>30966</x:v>
      </x:c>
      <x:c r="G824" s="55" t="n">
        <x:v>5802</x:v>
      </x:c>
      <x:c r="H824" s="55" t="n">
        <x:v>3552</x:v>
      </x:c>
      <x:c r="I824" s="55" t="n">
        <x:v>998</x:v>
      </x:c>
      <x:c r="J824" s="55" t="n">
        <x:v>245</x:v>
      </x:c>
      <x:c r="K824" s="55" t="n">
        <x:v>30966</x:v>
      </x:c>
      <x:c r="L824" s="55" t="n">
        <x:v>5981</x:v>
      </x:c>
      <x:c r="M824" s="55" t="n">
        <x:v>1213</x:v>
      </x:c>
      <x:c r="N824" s="55" t="n">
        <x:v>3191</x:v>
      </x:c>
      <x:c r="O824" s="55" t="n">
        <x:v>1577</x:v>
      </x:c>
      <x:c r="P824" s="55" t="n">
        <x:v>423</x:v>
      </x:c>
      <x:c r="Q824" s="55" t="n">
        <x:v>2552</x:v>
      </x:c>
      <x:c r="R824" s="55" t="n">
        <x:v>2047</x:v>
      </x:c>
      <x:c r="S824" s="55" t="n">
        <x:v>2512</x:v>
      </x:c>
      <x:c r="T824" s="55" t="n">
        <x:v>1004</x:v>
      </x:c>
      <x:c r="U824" s="55" t="n">
        <x:v>2265</x:v>
      </x:c>
      <x:c r="V824" s="55" t="n">
        <x:v>10480</x:v>
      </x:c>
      <x:c r="W824" s="55" t="n">
        <x:v>7520</x:v>
      </x:c>
      <x:c r="X824" s="55" t="n">
        <x:v>2960</x:v>
      </x:c>
      <x:c r="Y824" s="55" t="n">
        <x:v>2723</x:v>
      </x:c>
      <x:c r="Z824" s="55" t="n">
        <x:v>3841</x:v>
      </x:c>
      <x:c r="AA824" s="55" t="n">
        <x:v>3552</x:v>
      </x:c>
      <x:c r="AB824" s="55" t="n">
        <x:v>1046</x:v>
      </x:c>
      <x:c r="AC824" s="55" t="n">
        <x:v>8060</x:v>
      </x:c>
      <x:c r="AD824" s="55" t="n">
        <x:v>2464</x:v>
      </x:c>
      <x:c r="AE824" s="55" t="n">
        <x:v>10601</x:v>
      </x:c>
      <x:c r="AF824" s="55" t="n">
        <x:v>10480</x:v>
      </x:c>
      <x:c r="AG824" s="55" t="n">
        <x:v>121</x:v>
      </x:c>
      <x:c r="AH824" s="55" t="n">
        <x:v>506</x:v>
      </x:c>
      <x:c r="AI824" s="55" t="n">
        <x:v>9974</x:v>
      </x:c>
      <x:c r="AJ824" s="55" t="n">
        <x:v>229</x:v>
      </x:c>
      <x:c r="AK824" s="55" t="n">
        <x:v>1067</x:v>
      </x:c>
      <x:c r="AL824" s="55" t="n">
        <x:v>2170</x:v>
      </x:c>
      <x:c r="AM824" s="55" t="n">
        <x:v>4919</x:v>
      </x:c>
      <x:c r="AN824" s="55" t="n">
        <x:v>2027</x:v>
      </x:c>
      <x:c r="AO824" s="55" t="n">
        <x:v>68</x:v>
      </x:c>
      <x:c r="AP824" s="55" t="n">
        <x:v>2218</x:v>
      </x:c>
      <x:c r="AQ824" s="55" t="n">
        <x:v>936</x:v>
      </x:c>
    </x:row>
    <x:row r="825">
      <x:c r="A825" s="54" t="str">
        <x:v>T0_TABLE_BLOCK</x:v>
      </x:c>
      <x:c r="B825" s="54" t="n">
        <x:v>819</x:v>
      </x:c>
      <x:c r="C825" s="54" t="str">
        <x:v>NYC-V2-R01</x:v>
      </x:c>
      <x:c r="D825" s="54" t="str">
        <x:v>V2</x:v>
      </x:c>
      <x:c r="E825" s="54" t="str">
        <x:v>ADMITTED</x:v>
      </x:c>
      <x:c r="F825" s="55" t="n">
        <x:v>32199</x:v>
      </x:c>
      <x:c r="G825" s="55" t="n">
        <x:v>8556</x:v>
      </x:c>
      <x:c r="H825" s="55" t="n">
        <x:v>2846</x:v>
      </x:c>
      <x:c r="I825" s="55" t="n">
        <x:v>1293</x:v>
      </x:c>
      <x:c r="J825" s="55" t="n">
        <x:v>0</x:v>
      </x:c>
      <x:c r="K825" s="55" t="n">
        <x:v>32199</x:v>
      </x:c>
      <x:c r="L825" s="55" t="n">
        <x:v>5612</x:v>
      </x:c>
      <x:c r="M825" s="55" t="n">
        <x:v>1561</x:v>
      </x:c>
      <x:c r="N825" s="55" t="n">
        <x:v>2227</x:v>
      </x:c>
      <x:c r="O825" s="55" t="n">
        <x:v>1824</x:v>
      </x:c>
      <x:c r="P825" s="55" t="n">
        <x:v>722</x:v>
      </x:c>
      <x:c r="Q825" s="55" t="n">
        <x:v>3044</x:v>
      </x:c>
      <x:c r="R825" s="55" t="n">
        <x:v>1427</x:v>
      </x:c>
      <x:c r="S825" s="55" t="n">
        <x:v>2474</x:v>
      </x:c>
      <x:c r="T825" s="55" t="n">
        <x:v>1105</x:v>
      </x:c>
      <x:c r="U825" s="55" t="n">
        <x:v>2232</x:v>
      </x:c>
      <x:c r="V825" s="55" t="n">
        <x:v>10631</x:v>
      </x:c>
      <x:c r="W825" s="55" t="n">
        <x:v>7498</x:v>
      </x:c>
      <x:c r="X825" s="55" t="n">
        <x:v>3133</x:v>
      </x:c>
      <x:c r="Y825" s="55" t="n">
        <x:v>2793</x:v>
      </x:c>
      <x:c r="Z825" s="55" t="n">
        <x:v>3307</x:v>
      </x:c>
      <x:c r="AA825" s="55" t="n">
        <x:v>2761</x:v>
      </x:c>
      <x:c r="AB825" s="55" t="n">
        <x:v>821</x:v>
      </x:c>
      <x:c r="AC825" s="55" t="n">
        <x:v>7591</x:v>
      </x:c>
      <x:c r="AD825" s="55" t="n">
        <x:v>2433</x:v>
      </x:c>
      <x:c r="AE825" s="55" t="n">
        <x:v>10654</x:v>
      </x:c>
      <x:c r="AF825" s="55" t="n">
        <x:v>10631</x:v>
      </x:c>
      <x:c r="AG825" s="55" t="n">
        <x:v>23</x:v>
      </x:c>
      <x:c r="AH825" s="55" t="n">
        <x:v>693</x:v>
      </x:c>
      <x:c r="AI825" s="55" t="n">
        <x:v>9938</x:v>
      </x:c>
      <x:c r="AJ825" s="55" t="n">
        <x:v>446</x:v>
      </x:c>
      <x:c r="AK825" s="55" t="n">
        <x:v>1221</x:v>
      </x:c>
      <x:c r="AL825" s="55" t="n">
        <x:v>1466</x:v>
      </x:c>
      <x:c r="AM825" s="55" t="n">
        <x:v>5077</x:v>
      </x:c>
      <x:c r="AN825" s="55" t="n">
        <x:v>2409</x:v>
      </x:c>
      <x:c r="AO825" s="55" t="n">
        <x:v>12</x:v>
      </x:c>
      <x:c r="AP825" s="55" t="n">
        <x:v>2485</x:v>
      </x:c>
      <x:c r="AQ825" s="55" t="n">
        <x:v>936</x:v>
      </x:c>
    </x:row>
    <x:row r="826">
      <x:c r="A826" s="54" t="str">
        <x:v>T0_TABLE_BLOCK</x:v>
      </x:c>
      <x:c r="B826" s="54" t="n">
        <x:v>820</x:v>
      </x:c>
      <x:c r="C826" s="54" t="str">
        <x:v>NYC-V2-R01</x:v>
      </x:c>
      <x:c r="D826" s="54" t="str">
        <x:v>V2</x:v>
      </x:c>
      <x:c r="E826" s="54" t="str">
        <x:v>ADMITTED</x:v>
      </x:c>
      <x:c r="F826" s="55" t="n">
        <x:v>29871</x:v>
      </x:c>
      <x:c r="G826" s="55" t="n">
        <x:v>7649</x:v>
      </x:c>
      <x:c r="H826" s="55" t="n">
        <x:v>3530</x:v>
      </x:c>
      <x:c r="I826" s="55" t="n">
        <x:v>1170</x:v>
      </x:c>
      <x:c r="J826" s="55" t="n">
        <x:v>0</x:v>
      </x:c>
      <x:c r="K826" s="55" t="n">
        <x:v>29871</x:v>
      </x:c>
      <x:c r="L826" s="55" t="n">
        <x:v>6332</x:v>
      </x:c>
      <x:c r="M826" s="55" t="n">
        <x:v>1700</x:v>
      </x:c>
      <x:c r="N826" s="55" t="n">
        <x:v>3003</x:v>
      </x:c>
      <x:c r="O826" s="55" t="n">
        <x:v>1629</x:v>
      </x:c>
      <x:c r="P826" s="55" t="n">
        <x:v>708</x:v>
      </x:c>
      <x:c r="Q826" s="55" t="n">
        <x:v>2461</x:v>
      </x:c>
      <x:c r="R826" s="55" t="n">
        <x:v>1695</x:v>
      </x:c>
      <x:c r="S826" s="55" t="n">
        <x:v>3343</x:v>
      </x:c>
      <x:c r="T826" s="55" t="n">
        <x:v>1042</x:v>
      </x:c>
      <x:c r="U826" s="55" t="n">
        <x:v>1588</x:v>
      </x:c>
      <x:c r="V826" s="55" t="n">
        <x:v>10134</x:v>
      </x:c>
      <x:c r="W826" s="55" t="n">
        <x:v>7291</x:v>
      </x:c>
      <x:c r="X826" s="55" t="n">
        <x:v>2843</x:v>
      </x:c>
      <x:c r="Y826" s="55" t="n">
        <x:v>2684</x:v>
      </x:c>
      <x:c r="Z826" s="55" t="n">
        <x:v>4459</x:v>
      </x:c>
      <x:c r="AA826" s="55" t="n">
        <x:v>3530</x:v>
      </x:c>
      <x:c r="AB826" s="55" t="n">
        <x:v>1391</x:v>
      </x:c>
      <x:c r="AC826" s="55" t="n">
        <x:v>8125</x:v>
      </x:c>
      <x:c r="AD826" s="55" t="n">
        <x:v>3178</x:v>
      </x:c>
      <x:c r="AE826" s="55" t="n">
        <x:v>10309</x:v>
      </x:c>
      <x:c r="AF826" s="55" t="n">
        <x:v>10134</x:v>
      </x:c>
      <x:c r="AG826" s="55" t="n">
        <x:v>175</x:v>
      </x:c>
      <x:c r="AH826" s="55" t="n">
        <x:v>242</x:v>
      </x:c>
      <x:c r="AI826" s="55" t="n">
        <x:v>9892</x:v>
      </x:c>
      <x:c r="AJ826" s="55" t="n">
        <x:v>430</x:v>
      </x:c>
      <x:c r="AK826" s="55" t="n">
        <x:v>901</x:v>
      </x:c>
      <x:c r="AL826" s="55" t="n">
        <x:v>1412</x:v>
      </x:c>
      <x:c r="AM826" s="55" t="n">
        <x:v>4581</x:v>
      </x:c>
      <x:c r="AN826" s="55" t="n">
        <x:v>2810</x:v>
      </x:c>
      <x:c r="AO826" s="55" t="n">
        <x:v>0</x:v>
      </x:c>
      <x:c r="AP826" s="55" t="n">
        <x:v>2115</x:v>
      </x:c>
      <x:c r="AQ826" s="55" t="n">
        <x:v>965</x:v>
      </x:c>
    </x:row>
    <x:row r="827">
      <x:c r="A827" s="54" t="str">
        <x:v>T0_TABLE_BLOCK</x:v>
      </x:c>
      <x:c r="B827" s="54" t="n">
        <x:v>821</x:v>
      </x:c>
      <x:c r="C827" s="54" t="str">
        <x:v>NYC-V2-R01</x:v>
      </x:c>
      <x:c r="D827" s="54" t="str">
        <x:v>V2</x:v>
      </x:c>
      <x:c r="E827" s="54" t="str">
        <x:v>ADMITTED</x:v>
      </x:c>
      <x:c r="F827" s="55" t="n">
        <x:v>31787</x:v>
      </x:c>
      <x:c r="G827" s="55" t="n">
        <x:v>8360</x:v>
      </x:c>
      <x:c r="H827" s="55" t="n">
        <x:v>3326</x:v>
      </x:c>
      <x:c r="I827" s="55" t="n">
        <x:v>1230</x:v>
      </x:c>
      <x:c r="J827" s="55" t="n">
        <x:v>71</x:v>
      </x:c>
      <x:c r="K827" s="55" t="n">
        <x:v>28063</x:v>
      </x:c>
      <x:c r="L827" s="55" t="n">
        <x:v>4443</x:v>
      </x:c>
      <x:c r="M827" s="55" t="n">
        <x:v>0</x:v>
      </x:c>
      <x:c r="N827" s="55" t="n">
        <x:v>2647</x:v>
      </x:c>
      <x:c r="O827" s="55" t="n">
        <x:v>1796</x:v>
      </x:c>
      <x:c r="P827" s="55" t="n">
        <x:v>509</x:v>
      </x:c>
      <x:c r="Q827" s="55" t="n">
        <x:v>2415</x:v>
      </x:c>
      <x:c r="R827" s="55" t="n">
        <x:v>2282</x:v>
      </x:c>
      <x:c r="S827" s="55" t="n">
        <x:v>2596</x:v>
      </x:c>
      <x:c r="T827" s="55" t="n">
        <x:v>1022</x:v>
      </x:c>
      <x:c r="U827" s="55" t="n">
        <x:v>2645</x:v>
      </x:c>
      <x:c r="V827" s="55" t="n">
        <x:v>9847</x:v>
      </x:c>
      <x:c r="W827" s="55" t="n">
        <x:v>6590</x:v>
      </x:c>
      <x:c r="X827" s="55" t="n">
        <x:v>3257</x:v>
      </x:c>
      <x:c r="Y827" s="55" t="n">
        <x:v>2904</x:v>
      </x:c>
      <x:c r="Z827" s="55" t="n">
        <x:v>3961</x:v>
      </x:c>
      <x:c r="AA827" s="55" t="n">
        <x:v>3258</x:v>
      </x:c>
      <x:c r="AB827" s="55" t="n">
        <x:v>1016</x:v>
      </x:c>
      <x:c r="AC827" s="55" t="n">
        <x:v>8057</x:v>
      </x:c>
      <x:c r="AD827" s="55" t="n">
        <x:v>2687</x:v>
      </x:c>
      <x:c r="AE827" s="55" t="n">
        <x:v>9920</x:v>
      </x:c>
      <x:c r="AF827" s="55" t="n">
        <x:v>9847</x:v>
      </x:c>
      <x:c r="AG827" s="55" t="n">
        <x:v>73</x:v>
      </x:c>
      <x:c r="AH827" s="55" t="n">
        <x:v>307</x:v>
      </x:c>
      <x:c r="AI827" s="55" t="n">
        <x:v>9540</x:v>
      </x:c>
      <x:c r="AJ827" s="55" t="n">
        <x:v>334</x:v>
      </x:c>
      <x:c r="AK827" s="55" t="n">
        <x:v>953</x:v>
      </x:c>
      <x:c r="AL827" s="55" t="n">
        <x:v>1124</x:v>
      </x:c>
      <x:c r="AM827" s="55" t="n">
        <x:v>5003</x:v>
      </x:c>
      <x:c r="AN827" s="55" t="n">
        <x:v>2433</x:v>
      </x:c>
      <x:c r="AO827" s="55" t="n">
        <x:v>0</x:v>
      </x:c>
      <x:c r="AP827" s="55" t="n">
        <x:v>1976</x:v>
      </x:c>
      <x:c r="AQ827" s="55" t="n">
        <x:v>1007</x:v>
      </x:c>
    </x:row>
    <x:row r="828">
      <x:c r="A828" s="54" t="str">
        <x:v>T0_TABLE_BLOCK</x:v>
      </x:c>
      <x:c r="B828" s="54" t="n">
        <x:v>822</x:v>
      </x:c>
      <x:c r="C828" s="54" t="str">
        <x:v>NYC-V2-R01</x:v>
      </x:c>
      <x:c r="D828" s="54" t="str">
        <x:v>V2</x:v>
      </x:c>
      <x:c r="E828" s="54" t="str">
        <x:v>ADMITTED</x:v>
      </x:c>
      <x:c r="F828" s="55" t="n">
        <x:v>30797</x:v>
      </x:c>
      <x:c r="G828" s="55" t="n">
        <x:v>8034</x:v>
      </x:c>
      <x:c r="H828" s="55" t="n">
        <x:v>3058</x:v>
      </x:c>
      <x:c r="I828" s="55" t="n">
        <x:v>1212</x:v>
      </x:c>
      <x:c r="J828" s="55" t="n">
        <x:v>303</x:v>
      </x:c>
      <x:c r="K828" s="55" t="n">
        <x:v>30011</x:v>
      </x:c>
      <x:c r="L828" s="55" t="n">
        <x:v>5744</x:v>
      </x:c>
      <x:c r="M828" s="55" t="n">
        <x:v>1511</x:v>
      </x:c>
      <x:c r="N828" s="55" t="n">
        <x:v>2345</x:v>
      </x:c>
      <x:c r="O828" s="55" t="n">
        <x:v>1888</x:v>
      </x:c>
      <x:c r="P828" s="55" t="n">
        <x:v>775</x:v>
      </x:c>
      <x:c r="Q828" s="55" t="n">
        <x:v>2059</x:v>
      </x:c>
      <x:c r="R828" s="55" t="n">
        <x:v>1337</x:v>
      </x:c>
      <x:c r="S828" s="55" t="n">
        <x:v>3252</x:v>
      </x:c>
      <x:c r="T828" s="55" t="n">
        <x:v>1146</x:v>
      </x:c>
      <x:c r="U828" s="55" t="n">
        <x:v>2162</x:v>
      </x:c>
      <x:c r="V828" s="55" t="n">
        <x:v>10875</x:v>
      </x:c>
      <x:c r="W828" s="55" t="n">
        <x:v>7872</x:v>
      </x:c>
      <x:c r="X828" s="55" t="n">
        <x:v>3003</x:v>
      </x:c>
      <x:c r="Y828" s="55" t="n">
        <x:v>2566</x:v>
      </x:c>
      <x:c r="Z828" s="55" t="n">
        <x:v>3746</x:v>
      </x:c>
      <x:c r="AA828" s="55" t="n">
        <x:v>3058</x:v>
      </x:c>
      <x:c r="AB828" s="55" t="n">
        <x:v>1139</x:v>
      </x:c>
      <x:c r="AC828" s="55" t="n">
        <x:v>8234</x:v>
      </x:c>
      <x:c r="AD828" s="55" t="n">
        <x:v>3079</x:v>
      </x:c>
      <x:c r="AE828" s="55" t="n">
        <x:v>11012</x:v>
      </x:c>
      <x:c r="AF828" s="55" t="n">
        <x:v>10875</x:v>
      </x:c>
      <x:c r="AG828" s="55" t="n">
        <x:v>137</x:v>
      </x:c>
      <x:c r="AH828" s="55" t="n">
        <x:v>610</x:v>
      </x:c>
      <x:c r="AI828" s="55" t="n">
        <x:v>10265</x:v>
      </x:c>
      <x:c r="AJ828" s="55" t="n">
        <x:v>355</x:v>
      </x:c>
      <x:c r="AK828" s="55" t="n">
        <x:v>1408</x:v>
      </x:c>
      <x:c r="AL828" s="55" t="n">
        <x:v>1730</x:v>
      </x:c>
      <x:c r="AM828" s="55" t="n">
        <x:v>4560</x:v>
      </x:c>
      <x:c r="AN828" s="55" t="n">
        <x:v>2822</x:v>
      </x:c>
      <x:c r="AO828" s="55" t="n">
        <x:v>0</x:v>
      </x:c>
      <x:c r="AP828" s="55" t="n">
        <x:v>2031</x:v>
      </x:c>
      <x:c r="AQ828" s="55" t="n">
        <x:v>958</x:v>
      </x:c>
    </x:row>
    <x:row r="829">
      <x:c r="A829" s="54" t="str">
        <x:v>T0_TABLE_BLOCK</x:v>
      </x:c>
      <x:c r="B829" s="54" t="n">
        <x:v>823</x:v>
      </x:c>
      <x:c r="C829" s="54" t="str">
        <x:v>NYC-V2-R01</x:v>
      </x:c>
      <x:c r="D829" s="54" t="str">
        <x:v>V2</x:v>
      </x:c>
      <x:c r="E829" s="54" t="str">
        <x:v>ADMITTED</x:v>
      </x:c>
      <x:c r="F829" s="55" t="n">
        <x:v>32746</x:v>
      </x:c>
      <x:c r="G829" s="55" t="n">
        <x:v>7873</x:v>
      </x:c>
      <x:c r="H829" s="55" t="n">
        <x:v>3384</x:v>
      </x:c>
      <x:c r="I829" s="55" t="n">
        <x:v>1359</x:v>
      </x:c>
      <x:c r="J829" s="55" t="n">
        <x:v>281</x:v>
      </x:c>
      <x:c r="K829" s="55" t="n">
        <x:v>32746</x:v>
      </x:c>
      <x:c r="L829" s="55" t="n">
        <x:v>6589</x:v>
      </x:c>
      <x:c r="M829" s="55" t="n">
        <x:v>2056</x:v>
      </x:c>
      <x:c r="N829" s="55" t="n">
        <x:v>3063</x:v>
      </x:c>
      <x:c r="O829" s="55" t="n">
        <x:v>1470</x:v>
      </x:c>
      <x:c r="P829" s="55" t="n">
        <x:v>869</x:v>
      </x:c>
      <x:c r="Q829" s="55" t="n">
        <x:v>1550</x:v>
      </x:c>
      <x:c r="R829" s="55" t="n">
        <x:v>2208</x:v>
      </x:c>
      <x:c r="S829" s="55" t="n">
        <x:v>2463</x:v>
      </x:c>
      <x:c r="T829" s="55" t="n">
        <x:v>1358</x:v>
      </x:c>
      <x:c r="U829" s="55" t="n">
        <x:v>2270</x:v>
      </x:c>
      <x:c r="V829" s="55" t="n">
        <x:v>10290</x:v>
      </x:c>
      <x:c r="W829" s="55" t="n">
        <x:v>7346</x:v>
      </x:c>
      <x:c r="X829" s="55" t="n">
        <x:v>2944</x:v>
      </x:c>
      <x:c r="Y829" s="55" t="n">
        <x:v>2408</x:v>
      </x:c>
      <x:c r="Z829" s="55" t="n">
        <x:v>3413</x:v>
      </x:c>
      <x:c r="AA829" s="55" t="n">
        <x:v>2434</x:v>
      </x:c>
      <x:c r="AB829" s="55" t="n">
        <x:v>541</x:v>
      </x:c>
      <x:c r="AC829" s="55" t="n">
        <x:v>8231</x:v>
      </x:c>
      <x:c r="AD829" s="55" t="n">
        <x:v>3425</x:v>
      </x:c>
      <x:c r="AE829" s="55" t="n">
        <x:v>10404</x:v>
      </x:c>
      <x:c r="AF829" s="55" t="n">
        <x:v>10290</x:v>
      </x:c>
      <x:c r="AG829" s="55" t="n">
        <x:v>114</x:v>
      </x:c>
      <x:c r="AH829" s="55" t="n">
        <x:v>299</x:v>
      </x:c>
      <x:c r="AI829" s="55" t="n">
        <x:v>9991</x:v>
      </x:c>
      <x:c r="AJ829" s="55" t="n">
        <x:v>469</x:v>
      </x:c>
      <x:c r="AK829" s="55" t="n">
        <x:v>943</x:v>
      </x:c>
      <x:c r="AL829" s="55" t="n">
        <x:v>1342</x:v>
      </x:c>
      <x:c r="AM829" s="55" t="n">
        <x:v>4773</x:v>
      </x:c>
      <x:c r="AN829" s="55" t="n">
        <x:v>2698</x:v>
      </x:c>
      <x:c r="AO829" s="55" t="n">
        <x:v>65</x:v>
      </x:c>
      <x:c r="AP829" s="55" t="n">
        <x:v>2245</x:v>
      </x:c>
      <x:c r="AQ829" s="55" t="n">
        <x:v>959</x:v>
      </x:c>
    </x:row>
    <x:row r="830">
      <x:c r="A830" s="54" t="str">
        <x:v>T0_TABLE_BLOCK</x:v>
      </x:c>
      <x:c r="B830" s="54" t="n">
        <x:v>824</x:v>
      </x:c>
      <x:c r="C830" s="54" t="str">
        <x:v>NYC-V2-R01</x:v>
      </x:c>
      <x:c r="D830" s="54" t="str">
        <x:v>V2</x:v>
      </x:c>
      <x:c r="E830" s="54" t="str">
        <x:v>ADMITTED</x:v>
      </x:c>
      <x:c r="F830" s="55" t="n">
        <x:v>31822</x:v>
      </x:c>
      <x:c r="G830" s="55" t="n">
        <x:v>7657</x:v>
      </x:c>
      <x:c r="H830" s="55" t="n">
        <x:v>3447</x:v>
      </x:c>
      <x:c r="I830" s="55" t="n">
        <x:v>1873</x:v>
      </x:c>
      <x:c r="J830" s="55" t="n">
        <x:v>354</x:v>
      </x:c>
      <x:c r="K830" s="55" t="n">
        <x:v>31802</x:v>
      </x:c>
      <x:c r="L830" s="55" t="n">
        <x:v>6182</x:v>
      </x:c>
      <x:c r="M830" s="55" t="n">
        <x:v>2104</x:v>
      </x:c>
      <x:c r="N830" s="55" t="n">
        <x:v>2606</x:v>
      </x:c>
      <x:c r="O830" s="55" t="n">
        <x:v>1472</x:v>
      </x:c>
      <x:c r="P830" s="55" t="n">
        <x:v>739</x:v>
      </x:c>
      <x:c r="Q830" s="55" t="n">
        <x:v>3072</x:v>
      </x:c>
      <x:c r="R830" s="55" t="n">
        <x:v>1625</x:v>
      </x:c>
      <x:c r="S830" s="55" t="n">
        <x:v>2392</x:v>
      </x:c>
      <x:c r="T830" s="55" t="n">
        <x:v>918</x:v>
      </x:c>
      <x:c r="U830" s="55" t="n">
        <x:v>1847</x:v>
      </x:c>
      <x:c r="V830" s="55" t="n">
        <x:v>10226</x:v>
      </x:c>
      <x:c r="W830" s="55" t="n">
        <x:v>6938</x:v>
      </x:c>
      <x:c r="X830" s="55" t="n">
        <x:v>3288</x:v>
      </x:c>
      <x:c r="Y830" s="55" t="n">
        <x:v>2816</x:v>
      </x:c>
      <x:c r="Z830" s="55" t="n">
        <x:v>3685</x:v>
      </x:c>
      <x:c r="AA830" s="55" t="n">
        <x:v>3353</x:v>
      </x:c>
      <x:c r="AB830" s="55" t="n">
        <x:v>1087</x:v>
      </x:c>
      <x:c r="AC830" s="55" t="n">
        <x:v>7865</x:v>
      </x:c>
      <x:c r="AD830" s="55" t="n">
        <x:v>2393</x:v>
      </x:c>
      <x:c r="AE830" s="55" t="n">
        <x:v>10318</x:v>
      </x:c>
      <x:c r="AF830" s="55" t="n">
        <x:v>10226</x:v>
      </x:c>
      <x:c r="AG830" s="55" t="n">
        <x:v>92</x:v>
      </x:c>
      <x:c r="AH830" s="55" t="n">
        <x:v>281</x:v>
      </x:c>
      <x:c r="AI830" s="55" t="n">
        <x:v>9945</x:v>
      </x:c>
      <x:c r="AJ830" s="55" t="n">
        <x:v>343</x:v>
      </x:c>
      <x:c r="AK830" s="55" t="n">
        <x:v>861</x:v>
      </x:c>
      <x:c r="AL830" s="55" t="n">
        <x:v>1619</x:v>
      </x:c>
      <x:c r="AM830" s="55" t="n">
        <x:v>5075</x:v>
      </x:c>
      <x:c r="AN830" s="55" t="n">
        <x:v>2322</x:v>
      </x:c>
      <x:c r="AO830" s="55" t="n">
        <x:v>6</x:v>
      </x:c>
      <x:c r="AP830" s="55" t="n">
        <x:v>2116</x:v>
      </x:c>
      <x:c r="AQ830" s="55" t="n">
        <x:v>954</x:v>
      </x:c>
    </x:row>
    <x:row r="831">
      <x:c r="A831" s="54" t="str">
        <x:v>T0_TABLE_BLOCK</x:v>
      </x:c>
      <x:c r="B831" s="54" t="n">
        <x:v>825</x:v>
      </x:c>
      <x:c r="C831" s="54" t="str">
        <x:v>NYC-V2-R01</x:v>
      </x:c>
      <x:c r="D831" s="54" t="str">
        <x:v>V2</x:v>
      </x:c>
      <x:c r="E831" s="54" t="str">
        <x:v>ADMITTED</x:v>
      </x:c>
      <x:c r="F831" s="55" t="n">
        <x:v>30194</x:v>
      </x:c>
      <x:c r="G831" s="55" t="n">
        <x:v>6968</x:v>
      </x:c>
      <x:c r="H831" s="55" t="n">
        <x:v>3547</x:v>
      </x:c>
      <x:c r="I831" s="55" t="n">
        <x:v>1286</x:v>
      </x:c>
      <x:c r="J831" s="55" t="n">
        <x:v>359</x:v>
      </x:c>
      <x:c r="K831" s="55" t="n">
        <x:v>30194</x:v>
      </x:c>
      <x:c r="L831" s="55" t="n">
        <x:v>5355</x:v>
      </x:c>
      <x:c r="M831" s="55" t="n">
        <x:v>1069</x:v>
      </x:c>
      <x:c r="N831" s="55" t="n">
        <x:v>2376</x:v>
      </x:c>
      <x:c r="O831" s="55" t="n">
        <x:v>1910</x:v>
      </x:c>
      <x:c r="P831" s="55" t="n">
        <x:v>852</x:v>
      </x:c>
      <x:c r="Q831" s="55" t="n">
        <x:v>2037</x:v>
      </x:c>
      <x:c r="R831" s="55" t="n">
        <x:v>1441</x:v>
      </x:c>
      <x:c r="S831" s="55" t="n">
        <x:v>1957</x:v>
      </x:c>
      <x:c r="T831" s="55" t="n">
        <x:v>1501</x:v>
      </x:c>
      <x:c r="U831" s="55" t="n">
        <x:v>1652</x:v>
      </x:c>
      <x:c r="V831" s="55" t="n">
        <x:v>10013</x:v>
      </x:c>
      <x:c r="W831" s="55" t="n">
        <x:v>6460</x:v>
      </x:c>
      <x:c r="X831" s="55" t="n">
        <x:v>3553</x:v>
      </x:c>
      <x:c r="Y831" s="55" t="n">
        <x:v>2858</x:v>
      </x:c>
      <x:c r="Z831" s="55" t="n">
        <x:v>3447</x:v>
      </x:c>
      <x:c r="AA831" s="55" t="n">
        <x:v>3217</x:v>
      </x:c>
      <x:c r="AB831" s="55" t="n">
        <x:v>1208</x:v>
      </x:c>
      <x:c r="AC831" s="55" t="n">
        <x:v>7889</x:v>
      </x:c>
      <x:c r="AD831" s="55" t="n">
        <x:v>2579</x:v>
      </x:c>
      <x:c r="AE831" s="55" t="n">
        <x:v>10169</x:v>
      </x:c>
      <x:c r="AF831" s="55" t="n">
        <x:v>10013</x:v>
      </x:c>
      <x:c r="AG831" s="55" t="n">
        <x:v>156</x:v>
      </x:c>
      <x:c r="AH831" s="55" t="n">
        <x:v>354</x:v>
      </x:c>
      <x:c r="AI831" s="55" t="n">
        <x:v>9659</x:v>
      </x:c>
      <x:c r="AJ831" s="55" t="n">
        <x:v>324</x:v>
      </x:c>
      <x:c r="AK831" s="55" t="n">
        <x:v>953</x:v>
      </x:c>
      <x:c r="AL831" s="55" t="n">
        <x:v>1494</x:v>
      </x:c>
      <x:c r="AM831" s="55" t="n">
        <x:v>4640</x:v>
      </x:c>
      <x:c r="AN831" s="55" t="n">
        <x:v>2602</x:v>
      </x:c>
      <x:c r="AO831" s="55" t="n">
        <x:v>0</x:v>
      </x:c>
      <x:c r="AP831" s="55" t="n">
        <x:v>2520</x:v>
      </x:c>
      <x:c r="AQ831" s="55" t="n">
        <x:v>932</x:v>
      </x:c>
    </x:row>
    <x:row r="832">
      <x:c r="A832" s="54" t="str">
        <x:v>T0_TABLE_BLOCK</x:v>
      </x:c>
      <x:c r="B832" s="54" t="n">
        <x:v>826</x:v>
      </x:c>
      <x:c r="C832" s="54" t="str">
        <x:v>NYC-V2-R01</x:v>
      </x:c>
      <x:c r="D832" s="54" t="str">
        <x:v>V2</x:v>
      </x:c>
      <x:c r="E832" s="54" t="str">
        <x:v>ADMITTED</x:v>
      </x:c>
      <x:c r="F832" s="55" t="n">
        <x:v>34209</x:v>
      </x:c>
      <x:c r="G832" s="55" t="n">
        <x:v>7957</x:v>
      </x:c>
      <x:c r="H832" s="55" t="n">
        <x:v>3972</x:v>
      </x:c>
      <x:c r="I832" s="55" t="n">
        <x:v>1609</x:v>
      </x:c>
      <x:c r="J832" s="55" t="n">
        <x:v>359</x:v>
      </x:c>
      <x:c r="K832" s="55" t="n">
        <x:v>30193</x:v>
      </x:c>
      <x:c r="L832" s="55" t="n">
        <x:v>5168</x:v>
      </x:c>
      <x:c r="M832" s="55" t="n">
        <x:v>720</x:v>
      </x:c>
      <x:c r="N832" s="55" t="n">
        <x:v>2450</x:v>
      </x:c>
      <x:c r="O832" s="55" t="n">
        <x:v>1998</x:v>
      </x:c>
      <x:c r="P832" s="55" t="n">
        <x:v>634</x:v>
      </x:c>
      <x:c r="Q832" s="55" t="n">
        <x:v>2425</x:v>
      </x:c>
      <x:c r="R832" s="55" t="n">
        <x:v>1799</x:v>
      </x:c>
      <x:c r="S832" s="55" t="n">
        <x:v>2752</x:v>
      </x:c>
      <x:c r="T832" s="55" t="n">
        <x:v>1232</x:v>
      </x:c>
      <x:c r="U832" s="55" t="n">
        <x:v>1745</x:v>
      </x:c>
      <x:c r="V832" s="55" t="n">
        <x:v>10470</x:v>
      </x:c>
      <x:c r="W832" s="55" t="n">
        <x:v>7235</x:v>
      </x:c>
      <x:c r="X832" s="55" t="n">
        <x:v>3235</x:v>
      </x:c>
      <x:c r="Y832" s="55" t="n">
        <x:v>2650</x:v>
      </x:c>
      <x:c r="Z832" s="55" t="n">
        <x:v>4055</x:v>
      </x:c>
      <x:c r="AA832" s="55" t="n">
        <x:v>3415</x:v>
      </x:c>
      <x:c r="AB832" s="55" t="n">
        <x:v>1375</x:v>
      </x:c>
      <x:c r="AC832" s="55" t="n">
        <x:v>8572</x:v>
      </x:c>
      <x:c r="AD832" s="55" t="n">
        <x:v>2962</x:v>
      </x:c>
      <x:c r="AE832" s="55" t="n">
        <x:v>10552</x:v>
      </x:c>
      <x:c r="AF832" s="55" t="n">
        <x:v>10470</x:v>
      </x:c>
      <x:c r="AG832" s="55" t="n">
        <x:v>82</x:v>
      </x:c>
      <x:c r="AH832" s="55" t="n">
        <x:v>484</x:v>
      </x:c>
      <x:c r="AI832" s="55" t="n">
        <x:v>9986</x:v>
      </x:c>
      <x:c r="AJ832" s="55" t="n">
        <x:v>353</x:v>
      </x:c>
      <x:c r="AK832" s="55" t="n">
        <x:v>1288</x:v>
      </x:c>
      <x:c r="AL832" s="55" t="n">
        <x:v>1515</x:v>
      </x:c>
      <x:c r="AM832" s="55" t="n">
        <x:v>5050</x:v>
      </x:c>
      <x:c r="AN832" s="55" t="n">
        <x:v>2261</x:v>
      </x:c>
      <x:c r="AO832" s="55" t="n">
        <x:v>3</x:v>
      </x:c>
      <x:c r="AP832" s="55" t="n">
        <x:v>2304</x:v>
      </x:c>
      <x:c r="AQ832" s="55" t="n">
        <x:v>998</x:v>
      </x:c>
    </x:row>
    <x:row r="833">
      <x:c r="A833" s="54" t="str">
        <x:v>T0_TABLE_BLOCK</x:v>
      </x:c>
      <x:c r="B833" s="54" t="n">
        <x:v>827</x:v>
      </x:c>
      <x:c r="C833" s="54" t="str">
        <x:v>NYC-V2-R01</x:v>
      </x:c>
      <x:c r="D833" s="54" t="str">
        <x:v>V2</x:v>
      </x:c>
      <x:c r="E833" s="54" t="str">
        <x:v>ADMITTED</x:v>
      </x:c>
      <x:c r="F833" s="55" t="n">
        <x:v>30254</x:v>
      </x:c>
      <x:c r="G833" s="55" t="n">
        <x:v>6568</x:v>
      </x:c>
      <x:c r="H833" s="55" t="n">
        <x:v>3414</x:v>
      </x:c>
      <x:c r="I833" s="55" t="n">
        <x:v>1647</x:v>
      </x:c>
      <x:c r="J833" s="55" t="n">
        <x:v>169</x:v>
      </x:c>
      <x:c r="K833" s="55" t="n">
        <x:v>29938</x:v>
      </x:c>
      <x:c r="L833" s="55" t="n">
        <x:v>5802</x:v>
      </x:c>
      <x:c r="M833" s="55" t="n">
        <x:v>2019</x:v>
      </x:c>
      <x:c r="N833" s="55" t="n">
        <x:v>2512</x:v>
      </x:c>
      <x:c r="O833" s="55" t="n">
        <x:v>1271</x:v>
      </x:c>
      <x:c r="P833" s="55" t="n">
        <x:v>1177</x:v>
      </x:c>
      <x:c r="Q833" s="55" t="n">
        <x:v>2161</x:v>
      </x:c>
      <x:c r="R833" s="55" t="n">
        <x:v>1732</x:v>
      </x:c>
      <x:c r="S833" s="55" t="n">
        <x:v>1900</x:v>
      </x:c>
      <x:c r="T833" s="55" t="n">
        <x:v>762</x:v>
      </x:c>
      <x:c r="U833" s="55" t="n">
        <x:v>1655</x:v>
      </x:c>
      <x:c r="V833" s="55" t="n">
        <x:v>9674</x:v>
      </x:c>
      <x:c r="W833" s="55" t="n">
        <x:v>6157</x:v>
      </x:c>
      <x:c r="X833" s="55" t="n">
        <x:v>3517</x:v>
      </x:c>
      <x:c r="Y833" s="55" t="n">
        <x:v>3084</x:v>
      </x:c>
      <x:c r="Z833" s="55" t="n">
        <x:v>3491</x:v>
      </x:c>
      <x:c r="AA833" s="55" t="n">
        <x:v>2842</x:v>
      </x:c>
      <x:c r="AB833" s="55" t="n">
        <x:v>1412</x:v>
      </x:c>
      <x:c r="AC833" s="55" t="n">
        <x:v>7465</x:v>
      </x:c>
      <x:c r="AD833" s="55" t="n">
        <x:v>3284</x:v>
      </x:c>
      <x:c r="AE833" s="55" t="n">
        <x:v>9780</x:v>
      </x:c>
      <x:c r="AF833" s="55" t="n">
        <x:v>9674</x:v>
      </x:c>
      <x:c r="AG833" s="55" t="n">
        <x:v>106</x:v>
      </x:c>
      <x:c r="AH833" s="55" t="n">
        <x:v>64</x:v>
      </x:c>
      <x:c r="AI833" s="55" t="n">
        <x:v>9610</x:v>
      </x:c>
      <x:c r="AJ833" s="55" t="n">
        <x:v>311</x:v>
      </x:c>
      <x:c r="AK833" s="55" t="n">
        <x:v>720</x:v>
      </x:c>
      <x:c r="AL833" s="55" t="n">
        <x:v>1205</x:v>
      </x:c>
      <x:c r="AM833" s="55" t="n">
        <x:v>5224</x:v>
      </x:c>
      <x:c r="AN833" s="55" t="n">
        <x:v>2195</x:v>
      </x:c>
      <x:c r="AO833" s="55" t="n">
        <x:v>19</x:v>
      </x:c>
      <x:c r="AP833" s="55" t="n">
        <x:v>2333</x:v>
      </x:c>
      <x:c r="AQ833" s="55" t="n">
        <x:v>977</x:v>
      </x:c>
    </x:row>
    <x:row r="834">
      <x:c r="A834" s="54" t="str">
        <x:v>T0_TABLE_BLOCK</x:v>
      </x:c>
      <x:c r="B834" s="54" t="n">
        <x:v>828</x:v>
      </x:c>
      <x:c r="C834" s="54" t="str">
        <x:v>NYC-V2-R01</x:v>
      </x:c>
      <x:c r="D834" s="54" t="str">
        <x:v>V2</x:v>
      </x:c>
      <x:c r="E834" s="54" t="str">
        <x:v>ADMITTED</x:v>
      </x:c>
      <x:c r="F834" s="55" t="n">
        <x:v>30732</x:v>
      </x:c>
      <x:c r="G834" s="55" t="n">
        <x:v>6943</x:v>
      </x:c>
      <x:c r="H834" s="55" t="n">
        <x:v>3292</x:v>
      </x:c>
      <x:c r="I834" s="55" t="n">
        <x:v>959</x:v>
      </x:c>
      <x:c r="J834" s="55" t="n">
        <x:v>319</x:v>
      </x:c>
      <x:c r="K834" s="55" t="n">
        <x:v>26174</x:v>
      </x:c>
      <x:c r="L834" s="55" t="n">
        <x:v>4426</x:v>
      </x:c>
      <x:c r="M834" s="55" t="n">
        <x:v>0</x:v>
      </x:c>
      <x:c r="N834" s="55" t="n">
        <x:v>2871</x:v>
      </x:c>
      <x:c r="O834" s="55" t="n">
        <x:v>1555</x:v>
      </x:c>
      <x:c r="P834" s="55" t="n">
        <x:v>1034</x:v>
      </x:c>
      <x:c r="Q834" s="55" t="n">
        <x:v>2322</x:v>
      </x:c>
      <x:c r="R834" s="55" t="n">
        <x:v>2151</x:v>
      </x:c>
      <x:c r="S834" s="55" t="n">
        <x:v>3044</x:v>
      </x:c>
      <x:c r="T834" s="55" t="n">
        <x:v>766</x:v>
      </x:c>
      <x:c r="U834" s="55" t="n">
        <x:v>2037</x:v>
      </x:c>
      <x:c r="V834" s="55" t="n">
        <x:v>10678</x:v>
      </x:c>
      <x:c r="W834" s="55" t="n">
        <x:v>7839</x:v>
      </x:c>
      <x:c r="X834" s="55" t="n">
        <x:v>2839</x:v>
      </x:c>
      <x:c r="Y834" s="55" t="n">
        <x:v>2545</x:v>
      </x:c>
      <x:c r="Z834" s="55" t="n">
        <x:v>4147</x:v>
      </x:c>
      <x:c r="AA834" s="55" t="n">
        <x:v>3031</x:v>
      </x:c>
      <x:c r="AB834" s="55" t="n">
        <x:v>1337</x:v>
      </x:c>
      <x:c r="AC834" s="55" t="n">
        <x:v>7794</x:v>
      </x:c>
      <x:c r="AD834" s="55" t="n">
        <x:v>2902</x:v>
      </x:c>
      <x:c r="AE834" s="55" t="n">
        <x:v>10678</x:v>
      </x:c>
      <x:c r="AF834" s="55" t="n">
        <x:v>10678</x:v>
      </x:c>
      <x:c r="AG834" s="55" t="n">
        <x:v>0</x:v>
      </x:c>
      <x:c r="AH834" s="55" t="n">
        <x:v>298</x:v>
      </x:c>
      <x:c r="AI834" s="55" t="n">
        <x:v>10380</x:v>
      </x:c>
      <x:c r="AJ834" s="55" t="n">
        <x:v>305</x:v>
      </x:c>
      <x:c r="AK834" s="55" t="n">
        <x:v>882</x:v>
      </x:c>
      <x:c r="AL834" s="55" t="n">
        <x:v>1447</x:v>
      </x:c>
      <x:c r="AM834" s="55" t="n">
        <x:v>4572</x:v>
      </x:c>
      <x:c r="AN834" s="55" t="n">
        <x:v>3472</x:v>
      </x:c>
      <x:c r="AO834" s="55" t="n">
        <x:v>0</x:v>
      </x:c>
      <x:c r="AP834" s="55" t="n">
        <x:v>2710</x:v>
      </x:c>
      <x:c r="AQ834" s="55" t="n">
        <x:v>941</x:v>
      </x:c>
    </x:row>
    <x:row r="835">
      <x:c r="A835" s="54" t="str">
        <x:v>T0_TABLE_BLOCK</x:v>
      </x:c>
      <x:c r="B835" s="54" t="n">
        <x:v>829</x:v>
      </x:c>
      <x:c r="C835" s="54" t="str">
        <x:v>NYC-V2-R01</x:v>
      </x:c>
      <x:c r="D835" s="54" t="str">
        <x:v>V2</x:v>
      </x:c>
      <x:c r="E835" s="54" t="str">
        <x:v>ADMITTED</x:v>
      </x:c>
      <x:c r="F835" s="55" t="n">
        <x:v>31062</x:v>
      </x:c>
      <x:c r="G835" s="55" t="n">
        <x:v>7728</x:v>
      </x:c>
      <x:c r="H835" s="55" t="n">
        <x:v>3082</x:v>
      </x:c>
      <x:c r="I835" s="55" t="n">
        <x:v>1047</x:v>
      </x:c>
      <x:c r="J835" s="55" t="n">
        <x:v>42</x:v>
      </x:c>
      <x:c r="K835" s="55" t="n">
        <x:v>31062</x:v>
      </x:c>
      <x:c r="L835" s="55" t="n">
        <x:v>5453</x:v>
      </x:c>
      <x:c r="M835" s="55" t="n">
        <x:v>1312</x:v>
      </x:c>
      <x:c r="N835" s="55" t="n">
        <x:v>2308</x:v>
      </x:c>
      <x:c r="O835" s="55" t="n">
        <x:v>1833</x:v>
      </x:c>
      <x:c r="P835" s="55" t="n">
        <x:v>817</x:v>
      </x:c>
      <x:c r="Q835" s="55" t="n">
        <x:v>1931</x:v>
      </x:c>
      <x:c r="R835" s="55" t="n">
        <x:v>1937</x:v>
      </x:c>
      <x:c r="S835" s="55" t="n">
        <x:v>2761</x:v>
      </x:c>
      <x:c r="T835" s="55" t="n">
        <x:v>1031</x:v>
      </x:c>
      <x:c r="U835" s="55" t="n">
        <x:v>1826</x:v>
      </x:c>
      <x:c r="V835" s="55" t="n">
        <x:v>10415</x:v>
      </x:c>
      <x:c r="W835" s="55" t="n">
        <x:v>7093</x:v>
      </x:c>
      <x:c r="X835" s="55" t="n">
        <x:v>3322</x:v>
      </x:c>
      <x:c r="Y835" s="55" t="n">
        <x:v>3098</x:v>
      </x:c>
      <x:c r="Z835" s="55" t="n">
        <x:v>3574</x:v>
      </x:c>
      <x:c r="AA835" s="55" t="n">
        <x:v>3082</x:v>
      </x:c>
      <x:c r="AB835" s="55" t="n">
        <x:v>1002</x:v>
      </x:c>
      <x:c r="AC835" s="55" t="n">
        <x:v>8445</x:v>
      </x:c>
      <x:c r="AD835" s="55" t="n">
        <x:v>2450</x:v>
      </x:c>
      <x:c r="AE835" s="55" t="n">
        <x:v>10520</x:v>
      </x:c>
      <x:c r="AF835" s="55" t="n">
        <x:v>10415</x:v>
      </x:c>
      <x:c r="AG835" s="55" t="n">
        <x:v>105</x:v>
      </x:c>
      <x:c r="AH835" s="55" t="n">
        <x:v>647</x:v>
      </x:c>
      <x:c r="AI835" s="55" t="n">
        <x:v>9768</x:v>
      </x:c>
      <x:c r="AJ835" s="55" t="n">
        <x:v>322</x:v>
      </x:c>
      <x:c r="AK835" s="55" t="n">
        <x:v>598</x:v>
      </x:c>
      <x:c r="AL835" s="55" t="n">
        <x:v>1498</x:v>
      </x:c>
      <x:c r="AM835" s="55" t="n">
        <x:v>5773</x:v>
      </x:c>
      <x:c r="AN835" s="55" t="n">
        <x:v>2224</x:v>
      </x:c>
      <x:c r="AO835" s="55" t="n">
        <x:v>0</x:v>
      </x:c>
      <x:c r="AP835" s="55" t="n">
        <x:v>2270</x:v>
      </x:c>
      <x:c r="AQ835" s="55" t="n">
        <x:v>1002</x:v>
      </x:c>
    </x:row>
    <x:row r="836">
      <x:c r="A836" s="54" t="str">
        <x:v>T0_TABLE_BLOCK</x:v>
      </x:c>
      <x:c r="B836" s="54" t="n">
        <x:v>830</x:v>
      </x:c>
      <x:c r="C836" s="54" t="str">
        <x:v>NYC-V2-R01</x:v>
      </x:c>
      <x:c r="D836" s="54" t="str">
        <x:v>V2</x:v>
      </x:c>
      <x:c r="E836" s="54" t="str">
        <x:v>ADMITTED</x:v>
      </x:c>
      <x:c r="F836" s="55" t="n">
        <x:v>34490</x:v>
      </x:c>
      <x:c r="G836" s="55" t="n">
        <x:v>8242</x:v>
      </x:c>
      <x:c r="H836" s="55" t="n">
        <x:v>3109</x:v>
      </x:c>
      <x:c r="I836" s="55" t="n">
        <x:v>1295</x:v>
      </x:c>
      <x:c r="J836" s="55" t="n">
        <x:v>80</x:v>
      </x:c>
      <x:c r="K836" s="55" t="n">
        <x:v>34490</x:v>
      </x:c>
      <x:c r="L836" s="55" t="n">
        <x:v>7593</x:v>
      </x:c>
      <x:c r="M836" s="55" t="n">
        <x:v>2973</x:v>
      </x:c>
      <x:c r="N836" s="55" t="n">
        <x:v>2875</x:v>
      </x:c>
      <x:c r="O836" s="55" t="n">
        <x:v>1745</x:v>
      </x:c>
      <x:c r="P836" s="55" t="n">
        <x:v>599</x:v>
      </x:c>
      <x:c r="Q836" s="55" t="n">
        <x:v>2025</x:v>
      </x:c>
      <x:c r="R836" s="55" t="n">
        <x:v>2231</x:v>
      </x:c>
      <x:c r="S836" s="55" t="n">
        <x:v>2166</x:v>
      </x:c>
      <x:c r="T836" s="55" t="n">
        <x:v>1088</x:v>
      </x:c>
      <x:c r="U836" s="55" t="n">
        <x:v>2311</x:v>
      </x:c>
      <x:c r="V836" s="55" t="n">
        <x:v>10420</x:v>
      </x:c>
      <x:c r="W836" s="55" t="n">
        <x:v>7230</x:v>
      </x:c>
      <x:c r="X836" s="55" t="n">
        <x:v>3190</x:v>
      </x:c>
      <x:c r="Y836" s="55" t="n">
        <x:v>2979</x:v>
      </x:c>
      <x:c r="Z836" s="55" t="n">
        <x:v>3658</x:v>
      </x:c>
      <x:c r="AA836" s="55" t="n">
        <x:v>3109</x:v>
      </x:c>
      <x:c r="AB836" s="55" t="n">
        <x:v>1115</x:v>
      </x:c>
      <x:c r="AC836" s="55" t="n">
        <x:v>8406</x:v>
      </x:c>
      <x:c r="AD836" s="55" t="n">
        <x:v>3224</x:v>
      </x:c>
      <x:c r="AE836" s="55" t="n">
        <x:v>10484</x:v>
      </x:c>
      <x:c r="AF836" s="55" t="n">
        <x:v>10420</x:v>
      </x:c>
      <x:c r="AG836" s="55" t="n">
        <x:v>64</x:v>
      </x:c>
      <x:c r="AH836" s="55" t="n">
        <x:v>453</x:v>
      </x:c>
      <x:c r="AI836" s="55" t="n">
        <x:v>9967</x:v>
      </x:c>
      <x:c r="AJ836" s="55" t="n">
        <x:v>149</x:v>
      </x:c>
      <x:c r="AK836" s="55" t="n">
        <x:v>616</x:v>
      </x:c>
      <x:c r="AL836" s="55" t="n">
        <x:v>1692</x:v>
      </x:c>
      <x:c r="AM836" s="55" t="n">
        <x:v>4949</x:v>
      </x:c>
      <x:c r="AN836" s="55" t="n">
        <x:v>3014</x:v>
      </x:c>
      <x:c r="AO836" s="55" t="n">
        <x:v>0</x:v>
      </x:c>
      <x:c r="AP836" s="55" t="n">
        <x:v>2137</x:v>
      </x:c>
      <x:c r="AQ836" s="55" t="n">
        <x:v>908</x:v>
      </x:c>
    </x:row>
    <x:row r="837">
      <x:c r="A837" s="54" t="str">
        <x:v>T0_TABLE_BLOCK</x:v>
      </x:c>
      <x:c r="B837" s="54" t="n">
        <x:v>831</x:v>
      </x:c>
      <x:c r="C837" s="54" t="str">
        <x:v>NYC-V2-R01</x:v>
      </x:c>
      <x:c r="D837" s="54" t="str">
        <x:v>V2</x:v>
      </x:c>
      <x:c r="E837" s="54" t="str">
        <x:v>ADMITTED</x:v>
      </x:c>
      <x:c r="F837" s="55" t="n">
        <x:v>34259</x:v>
      </x:c>
      <x:c r="G837" s="55" t="n">
        <x:v>9061</x:v>
      </x:c>
      <x:c r="H837" s="55" t="n">
        <x:v>3826</x:v>
      </x:c>
      <x:c r="I837" s="55" t="n">
        <x:v>1440</x:v>
      </x:c>
      <x:c r="J837" s="55" t="n">
        <x:v>16</x:v>
      </x:c>
      <x:c r="K837" s="55" t="n">
        <x:v>34259</x:v>
      </x:c>
      <x:c r="L837" s="55" t="n">
        <x:v>6111</x:v>
      </x:c>
      <x:c r="M837" s="55" t="n">
        <x:v>1922</x:v>
      </x:c>
      <x:c r="N837" s="55" t="n">
        <x:v>2194</x:v>
      </x:c>
      <x:c r="O837" s="55" t="n">
        <x:v>1995</x:v>
      </x:c>
      <x:c r="P837" s="55" t="n">
        <x:v>1364</x:v>
      </x:c>
      <x:c r="Q837" s="55" t="n">
        <x:v>2068</x:v>
      </x:c>
      <x:c r="R837" s="55" t="n">
        <x:v>2070</x:v>
      </x:c>
      <x:c r="S837" s="55" t="n">
        <x:v>2302</x:v>
      </x:c>
      <x:c r="T837" s="55" t="n">
        <x:v>1089</x:v>
      </x:c>
      <x:c r="U837" s="55" t="n">
        <x:v>2173</x:v>
      </x:c>
      <x:c r="V837" s="55" t="n">
        <x:v>11020</x:v>
      </x:c>
      <x:c r="W837" s="55" t="n">
        <x:v>8226</x:v>
      </x:c>
      <x:c r="X837" s="55" t="n">
        <x:v>2794</x:v>
      </x:c>
      <x:c r="Y837" s="55" t="n">
        <x:v>2722</x:v>
      </x:c>
      <x:c r="Z837" s="55" t="n">
        <x:v>4001</x:v>
      </x:c>
      <x:c r="AA837" s="55" t="n">
        <x:v>3826</x:v>
      </x:c>
      <x:c r="AB837" s="55" t="n">
        <x:v>1506</x:v>
      </x:c>
      <x:c r="AC837" s="55" t="n">
        <x:v>8195</x:v>
      </x:c>
      <x:c r="AD837" s="55" t="n">
        <x:v>2157</x:v>
      </x:c>
      <x:c r="AE837" s="55" t="n">
        <x:v>11133</x:v>
      </x:c>
      <x:c r="AF837" s="55" t="n">
        <x:v>11020</x:v>
      </x:c>
      <x:c r="AG837" s="55" t="n">
        <x:v>113</x:v>
      </x:c>
      <x:c r="AH837" s="55" t="n">
        <x:v>334</x:v>
      </x:c>
      <x:c r="AI837" s="55" t="n">
        <x:v>10686</x:v>
      </x:c>
      <x:c r="AJ837" s="55" t="n">
        <x:v>300</x:v>
      </x:c>
      <x:c r="AK837" s="55" t="n">
        <x:v>1277</x:v>
      </x:c>
      <x:c r="AL837" s="55" t="n">
        <x:v>1744</x:v>
      </x:c>
      <x:c r="AM837" s="55" t="n">
        <x:v>4660</x:v>
      </x:c>
      <x:c r="AN837" s="55" t="n">
        <x:v>3028</x:v>
      </x:c>
      <x:c r="AO837" s="55" t="n">
        <x:v>11</x:v>
      </x:c>
      <x:c r="AP837" s="55" t="n">
        <x:v>2336</x:v>
      </x:c>
      <x:c r="AQ837" s="55" t="n">
        <x:v>963</x:v>
      </x:c>
    </x:row>
    <x:row r="838">
      <x:c r="A838" s="54" t="str">
        <x:v>T0_TABLE_BLOCK</x:v>
      </x:c>
      <x:c r="B838" s="54" t="n">
        <x:v>832</x:v>
      </x:c>
      <x:c r="C838" s="54" t="str">
        <x:v>NYC-V2-R01</x:v>
      </x:c>
      <x:c r="D838" s="54" t="str">
        <x:v>V2</x:v>
      </x:c>
      <x:c r="E838" s="54" t="str">
        <x:v>ADMITTED</x:v>
      </x:c>
      <x:c r="F838" s="55" t="n">
        <x:v>32142</x:v>
      </x:c>
      <x:c r="G838" s="55" t="n">
        <x:v>7308</x:v>
      </x:c>
      <x:c r="H838" s="55" t="n">
        <x:v>3321</x:v>
      </x:c>
      <x:c r="I838" s="55" t="n">
        <x:v>1385</x:v>
      </x:c>
      <x:c r="J838" s="55" t="n">
        <x:v>185</x:v>
      </x:c>
      <x:c r="K838" s="55" t="n">
        <x:v>32142</x:v>
      </x:c>
      <x:c r="L838" s="55" t="n">
        <x:v>6569</x:v>
      </x:c>
      <x:c r="M838" s="55" t="n">
        <x:v>1070</x:v>
      </x:c>
      <x:c r="N838" s="55" t="n">
        <x:v>3422</x:v>
      </x:c>
      <x:c r="O838" s="55" t="n">
        <x:v>2077</x:v>
      </x:c>
      <x:c r="P838" s="55" t="n">
        <x:v>792</x:v>
      </x:c>
      <x:c r="Q838" s="55" t="n">
        <x:v>2954</x:v>
      </x:c>
      <x:c r="R838" s="55" t="n">
        <x:v>1647</x:v>
      </x:c>
      <x:c r="S838" s="55" t="n">
        <x:v>3157</x:v>
      </x:c>
      <x:c r="T838" s="55" t="n">
        <x:v>994</x:v>
      </x:c>
      <x:c r="U838" s="55" t="n">
        <x:v>2369</x:v>
      </x:c>
      <x:c r="V838" s="55" t="n">
        <x:v>10451</x:v>
      </x:c>
      <x:c r="W838" s="55" t="n">
        <x:v>7715</x:v>
      </x:c>
      <x:c r="X838" s="55" t="n">
        <x:v>2736</x:v>
      </x:c>
      <x:c r="Y838" s="55" t="n">
        <x:v>2290</x:v>
      </x:c>
      <x:c r="Z838" s="55" t="n">
        <x:v>3419</x:v>
      </x:c>
      <x:c r="AA838" s="55" t="n">
        <x:v>2922</x:v>
      </x:c>
      <x:c r="AB838" s="55" t="n">
        <x:v>968</x:v>
      </x:c>
      <x:c r="AC838" s="55" t="n">
        <x:v>7547</x:v>
      </x:c>
      <x:c r="AD838" s="55" t="n">
        <x:v>2685</x:v>
      </x:c>
      <x:c r="AE838" s="55" t="n">
        <x:v>10468</x:v>
      </x:c>
      <x:c r="AF838" s="55" t="n">
        <x:v>10451</x:v>
      </x:c>
      <x:c r="AG838" s="55" t="n">
        <x:v>17</x:v>
      </x:c>
      <x:c r="AH838" s="55" t="n">
        <x:v>439</x:v>
      </x:c>
      <x:c r="AI838" s="55" t="n">
        <x:v>10012</x:v>
      </x:c>
      <x:c r="AJ838" s="55" t="n">
        <x:v>174</x:v>
      </x:c>
      <x:c r="AK838" s="55" t="n">
        <x:v>1148</x:v>
      </x:c>
      <x:c r="AL838" s="55" t="n">
        <x:v>1596</x:v>
      </x:c>
      <x:c r="AM838" s="55" t="n">
        <x:v>5365</x:v>
      </x:c>
      <x:c r="AN838" s="55" t="n">
        <x:v>2168</x:v>
      </x:c>
      <x:c r="AO838" s="55" t="n">
        <x:v>0</x:v>
      </x:c>
      <x:c r="AP838" s="55" t="n">
        <x:v>2398</x:v>
      </x:c>
      <x:c r="AQ838" s="55" t="n">
        <x:v>953</x:v>
      </x:c>
    </x:row>
    <x:row r="839">
      <x:c r="A839" s="54" t="str">
        <x:v>T0_TABLE_BLOCK</x:v>
      </x:c>
      <x:c r="B839" s="54" t="n">
        <x:v>833</x:v>
      </x:c>
      <x:c r="C839" s="54" t="str">
        <x:v>NYC-V2-R01</x:v>
      </x:c>
      <x:c r="D839" s="54" t="str">
        <x:v>V2</x:v>
      </x:c>
      <x:c r="E839" s="54" t="str">
        <x:v>ADMITTED</x:v>
      </x:c>
      <x:c r="F839" s="55" t="n">
        <x:v>31636</x:v>
      </x:c>
      <x:c r="G839" s="55" t="n">
        <x:v>6118</x:v>
      </x:c>
      <x:c r="H839" s="55" t="n">
        <x:v>3631</x:v>
      </x:c>
      <x:c r="I839" s="55" t="n">
        <x:v>1682</x:v>
      </x:c>
      <x:c r="J839" s="55" t="n">
        <x:v>326</x:v>
      </x:c>
      <x:c r="K839" s="55" t="n">
        <x:v>31636</x:v>
      </x:c>
      <x:c r="L839" s="55" t="n">
        <x:v>6507</x:v>
      </x:c>
      <x:c r="M839" s="55" t="n">
        <x:v>2037</x:v>
      </x:c>
      <x:c r="N839" s="55" t="n">
        <x:v>2659</x:v>
      </x:c>
      <x:c r="O839" s="55" t="n">
        <x:v>1811</x:v>
      </x:c>
      <x:c r="P839" s="55" t="n">
        <x:v>570</x:v>
      </x:c>
      <x:c r="Q839" s="55" t="n">
        <x:v>2486</x:v>
      </x:c>
      <x:c r="R839" s="55" t="n">
        <x:v>2099</x:v>
      </x:c>
      <x:c r="S839" s="55" t="n">
        <x:v>2596</x:v>
      </x:c>
      <x:c r="T839" s="55" t="n">
        <x:v>1267</x:v>
      </x:c>
      <x:c r="U839" s="55" t="n">
        <x:v>1705</x:v>
      </x:c>
      <x:c r="V839" s="55" t="n">
        <x:v>10295</x:v>
      </x:c>
      <x:c r="W839" s="55" t="n">
        <x:v>7452</x:v>
      </x:c>
      <x:c r="X839" s="55" t="n">
        <x:v>2843</x:v>
      </x:c>
      <x:c r="Y839" s="55" t="n">
        <x:v>2521</x:v>
      </x:c>
      <x:c r="Z839" s="55" t="n">
        <x:v>3988</x:v>
      </x:c>
      <x:c r="AA839" s="55" t="n">
        <x:v>3227</x:v>
      </x:c>
      <x:c r="AB839" s="55" t="n">
        <x:v>1299</x:v>
      </x:c>
      <x:c r="AC839" s="55" t="n">
        <x:v>8714</x:v>
      </x:c>
      <x:c r="AD839" s="55" t="n">
        <x:v>2800</x:v>
      </x:c>
      <x:c r="AE839" s="55" t="n">
        <x:v>10419</x:v>
      </x:c>
      <x:c r="AF839" s="55" t="n">
        <x:v>10295</x:v>
      </x:c>
      <x:c r="AG839" s="55" t="n">
        <x:v>124</x:v>
      </x:c>
      <x:c r="AH839" s="55" t="n">
        <x:v>578</x:v>
      </x:c>
      <x:c r="AI839" s="55" t="n">
        <x:v>9717</x:v>
      </x:c>
      <x:c r="AJ839" s="55" t="n">
        <x:v>224</x:v>
      </x:c>
      <x:c r="AK839" s="55" t="n">
        <x:v>1064</x:v>
      </x:c>
      <x:c r="AL839" s="55" t="n">
        <x:v>2107</x:v>
      </x:c>
      <x:c r="AM839" s="55" t="n">
        <x:v>4184</x:v>
      </x:c>
      <x:c r="AN839" s="55" t="n">
        <x:v>2716</x:v>
      </x:c>
      <x:c r="AO839" s="55" t="n">
        <x:v>0</x:v>
      </x:c>
      <x:c r="AP839" s="55" t="n">
        <x:v>2301</x:v>
      </x:c>
      <x:c r="AQ839" s="55" t="n">
        <x:v>985</x:v>
      </x:c>
    </x:row>
    <x:row r="840">
      <x:c r="A840" s="54" t="str">
        <x:v>T0_TABLE_BLOCK</x:v>
      </x:c>
      <x:c r="B840" s="54" t="n">
        <x:v>834</x:v>
      </x:c>
      <x:c r="C840" s="54" t="str">
        <x:v>NYC-V2-R01</x:v>
      </x:c>
      <x:c r="D840" s="54" t="str">
        <x:v>V2</x:v>
      </x:c>
      <x:c r="E840" s="54" t="str">
        <x:v>ADMITTED</x:v>
      </x:c>
      <x:c r="F840" s="55" t="n">
        <x:v>34526</x:v>
      </x:c>
      <x:c r="G840" s="55" t="n">
        <x:v>8610</x:v>
      </x:c>
      <x:c r="H840" s="55" t="n">
        <x:v>3744</x:v>
      </x:c>
      <x:c r="I840" s="55" t="n">
        <x:v>1236</x:v>
      </x:c>
      <x:c r="J840" s="55" t="n">
        <x:v>400</x:v>
      </x:c>
      <x:c r="K840" s="55" t="n">
        <x:v>28785</x:v>
      </x:c>
      <x:c r="L840" s="55" t="n">
        <x:v>6945</x:v>
      </x:c>
      <x:c r="M840" s="55" t="n">
        <x:v>2012</x:v>
      </x:c>
      <x:c r="N840" s="55" t="n">
        <x:v>3242</x:v>
      </x:c>
      <x:c r="O840" s="55" t="n">
        <x:v>1691</x:v>
      </x:c>
      <x:c r="P840" s="55" t="n">
        <x:v>736</x:v>
      </x:c>
      <x:c r="Q840" s="55" t="n">
        <x:v>2857</x:v>
      </x:c>
      <x:c r="R840" s="55" t="n">
        <x:v>2114</x:v>
      </x:c>
      <x:c r="S840" s="55" t="n">
        <x:v>2539</x:v>
      </x:c>
      <x:c r="T840" s="55" t="n">
        <x:v>1305</x:v>
      </x:c>
      <x:c r="U840" s="55" t="n">
        <x:v>2212</x:v>
      </x:c>
      <x:c r="V840" s="55" t="n">
        <x:v>10016</x:v>
      </x:c>
      <x:c r="W840" s="55" t="n">
        <x:v>6542</x:v>
      </x:c>
      <x:c r="X840" s="55" t="n">
        <x:v>3474</x:v>
      </x:c>
      <x:c r="Y840" s="55" t="n">
        <x:v>3024</x:v>
      </x:c>
      <x:c r="Z840" s="55" t="n">
        <x:v>3160</x:v>
      </x:c>
      <x:c r="AA840" s="55" t="n">
        <x:v>3744</x:v>
      </x:c>
      <x:c r="AB840" s="55" t="n">
        <x:v>1512</x:v>
      </x:c>
      <x:c r="AC840" s="55" t="n">
        <x:v>7252</x:v>
      </x:c>
      <x:c r="AD840" s="55" t="n">
        <x:v>2236</x:v>
      </x:c>
      <x:c r="AE840" s="55" t="n">
        <x:v>10105</x:v>
      </x:c>
      <x:c r="AF840" s="55" t="n">
        <x:v>10016</x:v>
      </x:c>
      <x:c r="AG840" s="55" t="n">
        <x:v>89</x:v>
      </x:c>
      <x:c r="AH840" s="55" t="n">
        <x:v>335</x:v>
      </x:c>
      <x:c r="AI840" s="55" t="n">
        <x:v>9681</x:v>
      </x:c>
      <x:c r="AJ840" s="55" t="n">
        <x:v>409</x:v>
      </x:c>
      <x:c r="AK840" s="55" t="n">
        <x:v>773</x:v>
      </x:c>
      <x:c r="AL840" s="55" t="n">
        <x:v>1452</x:v>
      </x:c>
      <x:c r="AM840" s="55" t="n">
        <x:v>4880</x:v>
      </x:c>
      <x:c r="AN840" s="55" t="n">
        <x:v>2473</x:v>
      </x:c>
      <x:c r="AO840" s="55" t="n">
        <x:v>29</x:v>
      </x:c>
      <x:c r="AP840" s="55" t="n">
        <x:v>2271</x:v>
      </x:c>
      <x:c r="AQ840" s="55" t="n">
        <x:v>942</x:v>
      </x:c>
    </x:row>
    <x:row r="841">
      <x:c r="A841" s="54" t="str">
        <x:v>T0_TABLE_BLOCK</x:v>
      </x:c>
      <x:c r="B841" s="54" t="n">
        <x:v>835</x:v>
      </x:c>
      <x:c r="C841" s="54" t="str">
        <x:v>NYC-V2-R01</x:v>
      </x:c>
      <x:c r="D841" s="54" t="str">
        <x:v>V2</x:v>
      </x:c>
      <x:c r="E841" s="54" t="str">
        <x:v>ADMITTED</x:v>
      </x:c>
      <x:c r="F841" s="55" t="n">
        <x:v>32577</x:v>
      </x:c>
      <x:c r="G841" s="55" t="n">
        <x:v>8246</x:v>
      </x:c>
      <x:c r="H841" s="55" t="n">
        <x:v>3519</x:v>
      </x:c>
      <x:c r="I841" s="55" t="n">
        <x:v>1347</x:v>
      </x:c>
      <x:c r="J841" s="55" t="n">
        <x:v>372</x:v>
      </x:c>
      <x:c r="K841" s="55" t="n">
        <x:v>32577</x:v>
      </x:c>
      <x:c r="L841" s="55" t="n">
        <x:v>5931</x:v>
      </x:c>
      <x:c r="M841" s="55" t="n">
        <x:v>1950</x:v>
      </x:c>
      <x:c r="N841" s="55" t="n">
        <x:v>2623</x:v>
      </x:c>
      <x:c r="O841" s="55" t="n">
        <x:v>1358</x:v>
      </x:c>
      <x:c r="P841" s="55" t="n">
        <x:v>688</x:v>
      </x:c>
      <x:c r="Q841" s="55" t="n">
        <x:v>2496</x:v>
      </x:c>
      <x:c r="R841" s="55" t="n">
        <x:v>1408</x:v>
      </x:c>
      <x:c r="S841" s="55" t="n">
        <x:v>2339</x:v>
      </x:c>
      <x:c r="T841" s="55" t="n">
        <x:v>1028</x:v>
      </x:c>
      <x:c r="U841" s="55" t="n">
        <x:v>1947</x:v>
      </x:c>
      <x:c r="V841" s="55" t="n">
        <x:v>10358</x:v>
      </x:c>
      <x:c r="W841" s="55" t="n">
        <x:v>7011</x:v>
      </x:c>
      <x:c r="X841" s="55" t="n">
        <x:v>3347</x:v>
      </x:c>
      <x:c r="Y841" s="55" t="n">
        <x:v>2835</x:v>
      </x:c>
      <x:c r="Z841" s="55" t="n">
        <x:v>2925</x:v>
      </x:c>
      <x:c r="AA841" s="55" t="n">
        <x:v>3519</x:v>
      </x:c>
      <x:c r="AB841" s="55" t="n">
        <x:v>1182</x:v>
      </x:c>
      <x:c r="AC841" s="55" t="n">
        <x:v>8177</x:v>
      </x:c>
      <x:c r="AD841" s="55" t="n">
        <x:v>3211</x:v>
      </x:c>
      <x:c r="AE841" s="55" t="n">
        <x:v>10384</x:v>
      </x:c>
      <x:c r="AF841" s="55" t="n">
        <x:v>10358</x:v>
      </x:c>
      <x:c r="AG841" s="55" t="n">
        <x:v>26</x:v>
      </x:c>
      <x:c r="AH841" s="55" t="n">
        <x:v>411</x:v>
      </x:c>
      <x:c r="AI841" s="55" t="n">
        <x:v>9947</x:v>
      </x:c>
      <x:c r="AJ841" s="55" t="n">
        <x:v>325</x:v>
      </x:c>
      <x:c r="AK841" s="55" t="n">
        <x:v>995</x:v>
      </x:c>
      <x:c r="AL841" s="55" t="n">
        <x:v>1673</x:v>
      </x:c>
      <x:c r="AM841" s="55" t="n">
        <x:v>4676</x:v>
      </x:c>
      <x:c r="AN841" s="55" t="n">
        <x:v>2652</x:v>
      </x:c>
      <x:c r="AO841" s="55" t="n">
        <x:v>37</x:v>
      </x:c>
      <x:c r="AP841" s="55" t="n">
        <x:v>1870</x:v>
      </x:c>
      <x:c r="AQ841" s="55" t="n">
        <x:v>927</x:v>
      </x:c>
    </x:row>
    <x:row r="842">
      <x:c r="A842" s="54" t="str">
        <x:v>T0_TABLE_BLOCK</x:v>
      </x:c>
      <x:c r="B842" s="54" t="n">
        <x:v>836</x:v>
      </x:c>
      <x:c r="C842" s="54" t="str">
        <x:v>NYC-V2-R01</x:v>
      </x:c>
      <x:c r="D842" s="54" t="str">
        <x:v>V2</x:v>
      </x:c>
      <x:c r="E842" s="54" t="str">
        <x:v>ADMITTED</x:v>
      </x:c>
      <x:c r="F842" s="55" t="n">
        <x:v>31132</x:v>
      </x:c>
      <x:c r="G842" s="55" t="n">
        <x:v>7001</x:v>
      </x:c>
      <x:c r="H842" s="55" t="n">
        <x:v>3746</x:v>
      </x:c>
      <x:c r="I842" s="55" t="n">
        <x:v>1365</x:v>
      </x:c>
      <x:c r="J842" s="55" t="n">
        <x:v>234</x:v>
      </x:c>
      <x:c r="K842" s="55" t="n">
        <x:v>31132</x:v>
      </x:c>
      <x:c r="L842" s="55" t="n">
        <x:v>5747</x:v>
      </x:c>
      <x:c r="M842" s="55" t="n">
        <x:v>1389</x:v>
      </x:c>
      <x:c r="N842" s="55" t="n">
        <x:v>2536</x:v>
      </x:c>
      <x:c r="O842" s="55" t="n">
        <x:v>1822</x:v>
      </x:c>
      <x:c r="P842" s="55" t="n">
        <x:v>980</x:v>
      </x:c>
      <x:c r="Q842" s="55" t="n">
        <x:v>2607</x:v>
      </x:c>
      <x:c r="R842" s="55" t="n">
        <x:v>2477</x:v>
      </x:c>
      <x:c r="S842" s="55" t="n">
        <x:v>2648</x:v>
      </x:c>
      <x:c r="T842" s="55" t="n">
        <x:v>1392</x:v>
      </x:c>
      <x:c r="U842" s="55" t="n">
        <x:v>1343</x:v>
      </x:c>
      <x:c r="V842" s="55" t="n">
        <x:v>10498</x:v>
      </x:c>
      <x:c r="W842" s="55" t="n">
        <x:v>7611</x:v>
      </x:c>
      <x:c r="X842" s="55" t="n">
        <x:v>2887</x:v>
      </x:c>
      <x:c r="Y842" s="55" t="n">
        <x:v>2576</x:v>
      </x:c>
      <x:c r="Z842" s="55" t="n">
        <x:v>3792</x:v>
      </x:c>
      <x:c r="AA842" s="55" t="n">
        <x:v>3746</x:v>
      </x:c>
      <x:c r="AB842" s="55" t="n">
        <x:v>1411</x:v>
      </x:c>
      <x:c r="AC842" s="55" t="n">
        <x:v>8052</x:v>
      </x:c>
      <x:c r="AD842" s="55" t="n">
        <x:v>3296</x:v>
      </x:c>
      <x:c r="AE842" s="55" t="n">
        <x:v>10590</x:v>
      </x:c>
      <x:c r="AF842" s="55" t="n">
        <x:v>10498</x:v>
      </x:c>
      <x:c r="AG842" s="55" t="n">
        <x:v>92</x:v>
      </x:c>
      <x:c r="AH842" s="55" t="n">
        <x:v>401</x:v>
      </x:c>
      <x:c r="AI842" s="55" t="n">
        <x:v>10097</x:v>
      </x:c>
      <x:c r="AJ842" s="55" t="n">
        <x:v>384</x:v>
      </x:c>
      <x:c r="AK842" s="55" t="n">
        <x:v>536</x:v>
      </x:c>
      <x:c r="AL842" s="55" t="n">
        <x:v>1687</x:v>
      </x:c>
      <x:c r="AM842" s="55" t="n">
        <x:v>4477</x:v>
      </x:c>
      <x:c r="AN842" s="55" t="n">
        <x:v>3408</x:v>
      </x:c>
      <x:c r="AO842" s="55" t="n">
        <x:v>6</x:v>
      </x:c>
      <x:c r="AP842" s="55" t="n">
        <x:v>2999</x:v>
      </x:c>
      <x:c r="AQ842" s="55" t="n">
        <x:v>928</x:v>
      </x:c>
    </x:row>
    <x:row r="843">
      <x:c r="A843" s="54" t="str">
        <x:v>T0_TABLE_BLOCK</x:v>
      </x:c>
      <x:c r="B843" s="54" t="n">
        <x:v>837</x:v>
      </x:c>
      <x:c r="C843" s="54" t="str">
        <x:v>NYC-V2-R01</x:v>
      </x:c>
      <x:c r="D843" s="54" t="str">
        <x:v>V2</x:v>
      </x:c>
      <x:c r="E843" s="54" t="str">
        <x:v>ADMITTED</x:v>
      </x:c>
      <x:c r="F843" s="55" t="n">
        <x:v>31191</x:v>
      </x:c>
      <x:c r="G843" s="55" t="n">
        <x:v>8031</x:v>
      </x:c>
      <x:c r="H843" s="55" t="n">
        <x:v>3219</x:v>
      </x:c>
      <x:c r="I843" s="55" t="n">
        <x:v>1248</x:v>
      </x:c>
      <x:c r="J843" s="55" t="n">
        <x:v>126</x:v>
      </x:c>
      <x:c r="K843" s="55" t="n">
        <x:v>27974</x:v>
      </x:c>
      <x:c r="L843" s="55" t="n">
        <x:v>5861</x:v>
      </x:c>
      <x:c r="M843" s="55" t="n">
        <x:v>1114</x:v>
      </x:c>
      <x:c r="N843" s="55" t="n">
        <x:v>3337</x:v>
      </x:c>
      <x:c r="O843" s="55" t="n">
        <x:v>1410</x:v>
      </x:c>
      <x:c r="P843" s="55" t="n">
        <x:v>721</x:v>
      </x:c>
      <x:c r="Q843" s="55" t="n">
        <x:v>2286</x:v>
      </x:c>
      <x:c r="R843" s="55" t="n">
        <x:v>1943</x:v>
      </x:c>
      <x:c r="S843" s="55" t="n">
        <x:v>3194</x:v>
      </x:c>
      <x:c r="T843" s="55" t="n">
        <x:v>1188</x:v>
      </x:c>
      <x:c r="U843" s="55" t="n">
        <x:v>2146</x:v>
      </x:c>
      <x:c r="V843" s="55" t="n">
        <x:v>10559</x:v>
      </x:c>
      <x:c r="W843" s="55" t="n">
        <x:v>7592</x:v>
      </x:c>
      <x:c r="X843" s="55" t="n">
        <x:v>2967</x:v>
      </x:c>
      <x:c r="Y843" s="55" t="n">
        <x:v>2353</x:v>
      </x:c>
      <x:c r="Z843" s="55" t="n">
        <x:v>3576</x:v>
      </x:c>
      <x:c r="AA843" s="55" t="n">
        <x:v>3120</x:v>
      </x:c>
      <x:c r="AB843" s="55" t="n">
        <x:v>1128</x:v>
      </x:c>
      <x:c r="AC843" s="55" t="n">
        <x:v>8424</x:v>
      </x:c>
      <x:c r="AD843" s="55" t="n">
        <x:v>2849</x:v>
      </x:c>
      <x:c r="AE843" s="55" t="n">
        <x:v>10637</x:v>
      </x:c>
      <x:c r="AF843" s="55" t="n">
        <x:v>10559</x:v>
      </x:c>
      <x:c r="AG843" s="55" t="n">
        <x:v>78</x:v>
      </x:c>
      <x:c r="AH843" s="55" t="n">
        <x:v>498</x:v>
      </x:c>
      <x:c r="AI843" s="55" t="n">
        <x:v>10061</x:v>
      </x:c>
      <x:c r="AJ843" s="55" t="n">
        <x:v>374</x:v>
      </x:c>
      <x:c r="AK843" s="55" t="n">
        <x:v>868</x:v>
      </x:c>
      <x:c r="AL843" s="55" t="n">
        <x:v>1719</x:v>
      </x:c>
      <x:c r="AM843" s="55" t="n">
        <x:v>5041</x:v>
      </x:c>
      <x:c r="AN843" s="55" t="n">
        <x:v>2465</x:v>
      </x:c>
      <x:c r="AO843" s="55" t="n">
        <x:v>92</x:v>
      </x:c>
      <x:c r="AP843" s="55" t="n">
        <x:v>2443</x:v>
      </x:c>
      <x:c r="AQ843" s="55" t="n">
        <x:v>945</x:v>
      </x:c>
    </x:row>
    <x:row r="844">
      <x:c r="A844" s="54" t="str">
        <x:v>T0_TABLE_BLOCK</x:v>
      </x:c>
      <x:c r="B844" s="54" t="n">
        <x:v>838</x:v>
      </x:c>
      <x:c r="C844" s="54" t="str">
        <x:v>NYC-V2-R01</x:v>
      </x:c>
      <x:c r="D844" s="54" t="str">
        <x:v>V2</x:v>
      </x:c>
      <x:c r="E844" s="54" t="str">
        <x:v>ADMITTED</x:v>
      </x:c>
      <x:c r="F844" s="55" t="n">
        <x:v>35678</x:v>
      </x:c>
      <x:c r="G844" s="55" t="n">
        <x:v>6310</x:v>
      </x:c>
      <x:c r="H844" s="55" t="n">
        <x:v>3849</x:v>
      </x:c>
      <x:c r="I844" s="55" t="n">
        <x:v>1683</x:v>
      </x:c>
      <x:c r="J844" s="55" t="n">
        <x:v>267</x:v>
      </x:c>
      <x:c r="K844" s="55" t="n">
        <x:v>35678</x:v>
      </x:c>
      <x:c r="L844" s="55" t="n">
        <x:v>6472</x:v>
      </x:c>
      <x:c r="M844" s="55" t="n">
        <x:v>1461</x:v>
      </x:c>
      <x:c r="N844" s="55" t="n">
        <x:v>3121</x:v>
      </x:c>
      <x:c r="O844" s="55" t="n">
        <x:v>1890</x:v>
      </x:c>
      <x:c r="P844" s="55" t="n">
        <x:v>1299</x:v>
      </x:c>
      <x:c r="Q844" s="55" t="n">
        <x:v>2439</x:v>
      </x:c>
      <x:c r="R844" s="55" t="n">
        <x:v>1718</x:v>
      </x:c>
      <x:c r="S844" s="55" t="n">
        <x:v>2652</x:v>
      </x:c>
      <x:c r="T844" s="55" t="n">
        <x:v>1436</x:v>
      </x:c>
      <x:c r="U844" s="55" t="n">
        <x:v>2218</x:v>
      </x:c>
      <x:c r="V844" s="55" t="n">
        <x:v>10159</x:v>
      </x:c>
      <x:c r="W844" s="55" t="n">
        <x:v>7243</x:v>
      </x:c>
      <x:c r="X844" s="55" t="n">
        <x:v>2916</x:v>
      </x:c>
      <x:c r="Y844" s="55" t="n">
        <x:v>2487</x:v>
      </x:c>
      <x:c r="Z844" s="55" t="n">
        <x:v>3912</x:v>
      </x:c>
      <x:c r="AA844" s="55" t="n">
        <x:v>2759</x:v>
      </x:c>
      <x:c r="AB844" s="55" t="n">
        <x:v>901</x:v>
      </x:c>
      <x:c r="AC844" s="55" t="n">
        <x:v>7569</x:v>
      </x:c>
      <x:c r="AD844" s="55" t="n">
        <x:v>2550</x:v>
      </x:c>
      <x:c r="AE844" s="55" t="n">
        <x:v>10278</x:v>
      </x:c>
      <x:c r="AF844" s="55" t="n">
        <x:v>10159</x:v>
      </x:c>
      <x:c r="AG844" s="55" t="n">
        <x:v>119</x:v>
      </x:c>
      <x:c r="AH844" s="55" t="n">
        <x:v>331</x:v>
      </x:c>
      <x:c r="AI844" s="55" t="n">
        <x:v>9828</x:v>
      </x:c>
      <x:c r="AJ844" s="55" t="n">
        <x:v>202</x:v>
      </x:c>
      <x:c r="AK844" s="55" t="n">
        <x:v>923</x:v>
      </x:c>
      <x:c r="AL844" s="55" t="n">
        <x:v>1152</x:v>
      </x:c>
      <x:c r="AM844" s="55" t="n">
        <x:v>4744</x:v>
      </x:c>
      <x:c r="AN844" s="55" t="n">
        <x:v>3138</x:v>
      </x:c>
      <x:c r="AO844" s="55" t="n">
        <x:v>0</x:v>
      </x:c>
      <x:c r="AP844" s="55" t="n">
        <x:v>2237</x:v>
      </x:c>
      <x:c r="AQ844" s="55" t="n">
        <x:v>1022</x:v>
      </x:c>
    </x:row>
    <x:row r="845">
      <x:c r="A845" s="54" t="str">
        <x:v>T0_TABLE_BLOCK</x:v>
      </x:c>
      <x:c r="B845" s="54" t="n">
        <x:v>839</x:v>
      </x:c>
      <x:c r="C845" s="54" t="str">
        <x:v>NYC-V2-R01</x:v>
      </x:c>
      <x:c r="D845" s="54" t="str">
        <x:v>V2</x:v>
      </x:c>
      <x:c r="E845" s="54" t="str">
        <x:v>ADMITTED</x:v>
      </x:c>
      <x:c r="F845" s="55" t="n">
        <x:v>32371</x:v>
      </x:c>
      <x:c r="G845" s="55" t="n">
        <x:v>8112</x:v>
      </x:c>
      <x:c r="H845" s="55" t="n">
        <x:v>3123</x:v>
      </x:c>
      <x:c r="I845" s="55" t="n">
        <x:v>768</x:v>
      </x:c>
      <x:c r="J845" s="55" t="n">
        <x:v>147</x:v>
      </x:c>
      <x:c r="K845" s="55" t="n">
        <x:v>32371</x:v>
      </x:c>
      <x:c r="L845" s="55" t="n">
        <x:v>6836</x:v>
      </x:c>
      <x:c r="M845" s="55" t="n">
        <x:v>2433</x:v>
      </x:c>
      <x:c r="N845" s="55" t="n">
        <x:v>2547</x:v>
      </x:c>
      <x:c r="O845" s="55" t="n">
        <x:v>1856</x:v>
      </x:c>
      <x:c r="P845" s="55" t="n">
        <x:v>1040</x:v>
      </x:c>
      <x:c r="Q845" s="55" t="n">
        <x:v>2870</x:v>
      </x:c>
      <x:c r="R845" s="55" t="n">
        <x:v>1631</x:v>
      </x:c>
      <x:c r="S845" s="55" t="n">
        <x:v>3135</x:v>
      </x:c>
      <x:c r="T845" s="55" t="n">
        <x:v>1489</x:v>
      </x:c>
      <x:c r="U845" s="55" t="n">
        <x:v>2426</x:v>
      </x:c>
      <x:c r="V845" s="55" t="n">
        <x:v>10770</x:v>
      </x:c>
      <x:c r="W845" s="55" t="n">
        <x:v>7877</x:v>
      </x:c>
      <x:c r="X845" s="55" t="n">
        <x:v>2893</x:v>
      </x:c>
      <x:c r="Y845" s="55" t="n">
        <x:v>2530</x:v>
      </x:c>
      <x:c r="Z845" s="55" t="n">
        <x:v>3904</x:v>
      </x:c>
      <x:c r="AA845" s="55" t="n">
        <x:v>3108</x:v>
      </x:c>
      <x:c r="AB845" s="55" t="n">
        <x:v>1049</x:v>
      </x:c>
      <x:c r="AC845" s="55" t="n">
        <x:v>8042</x:v>
      </x:c>
      <x:c r="AD845" s="55" t="n">
        <x:v>3498</x:v>
      </x:c>
      <x:c r="AE845" s="55" t="n">
        <x:v>10838</x:v>
      </x:c>
      <x:c r="AF845" s="55" t="n">
        <x:v>10770</x:v>
      </x:c>
      <x:c r="AG845" s="55" t="n">
        <x:v>68</x:v>
      </x:c>
      <x:c r="AH845" s="55" t="n">
        <x:v>433</x:v>
      </x:c>
      <x:c r="AI845" s="55" t="n">
        <x:v>10337</x:v>
      </x:c>
      <x:c r="AJ845" s="55" t="n">
        <x:v>243</x:v>
      </x:c>
      <x:c r="AK845" s="55" t="n">
        <x:v>1290</x:v>
      </x:c>
      <x:c r="AL845" s="55" t="n">
        <x:v>1439</x:v>
      </x:c>
      <x:c r="AM845" s="55" t="n">
        <x:v>5316</x:v>
      </x:c>
      <x:c r="AN845" s="55" t="n">
        <x:v>2482</x:v>
      </x:c>
      <x:c r="AO845" s="55" t="n">
        <x:v>0</x:v>
      </x:c>
      <x:c r="AP845" s="55" t="n">
        <x:v>2460</x:v>
      </x:c>
      <x:c r="AQ845" s="55" t="n">
        <x:v>966</x:v>
      </x:c>
    </x:row>
    <x:row r="846">
      <x:c r="A846" s="54" t="str">
        <x:v>T0_TABLE_BLOCK</x:v>
      </x:c>
      <x:c r="B846" s="54" t="n">
        <x:v>840</x:v>
      </x:c>
      <x:c r="C846" s="54" t="str">
        <x:v>NYC-V2-R01</x:v>
      </x:c>
      <x:c r="D846" s="54" t="str">
        <x:v>V2</x:v>
      </x:c>
      <x:c r="E846" s="54" t="str">
        <x:v>ADMITTED</x:v>
      </x:c>
      <x:c r="F846" s="55" t="n">
        <x:v>29120</x:v>
      </x:c>
      <x:c r="G846" s="55" t="n">
        <x:v>7091</x:v>
      </x:c>
      <x:c r="H846" s="55" t="n">
        <x:v>2982</x:v>
      </x:c>
      <x:c r="I846" s="55" t="n">
        <x:v>1304</x:v>
      </x:c>
      <x:c r="J846" s="55" t="n">
        <x:v>328</x:v>
      </x:c>
      <x:c r="K846" s="55" t="n">
        <x:v>29120</x:v>
      </x:c>
      <x:c r="L846" s="55" t="n">
        <x:v>5652</x:v>
      </x:c>
      <x:c r="M846" s="55" t="n">
        <x:v>1575</x:v>
      </x:c>
      <x:c r="N846" s="55" t="n">
        <x:v>2539</x:v>
      </x:c>
      <x:c r="O846" s="55" t="n">
        <x:v>1538</x:v>
      </x:c>
      <x:c r="P846" s="55" t="n">
        <x:v>794</x:v>
      </x:c>
      <x:c r="Q846" s="55" t="n">
        <x:v>2471</x:v>
      </x:c>
      <x:c r="R846" s="55" t="n">
        <x:v>1919</x:v>
      </x:c>
      <x:c r="S846" s="55" t="n">
        <x:v>2593</x:v>
      </x:c>
      <x:c r="T846" s="55" t="n">
        <x:v>1455</x:v>
      </x:c>
      <x:c r="U846" s="55" t="n">
        <x:v>2582</x:v>
      </x:c>
      <x:c r="V846" s="55" t="n">
        <x:v>10776</x:v>
      </x:c>
      <x:c r="W846" s="55" t="n">
        <x:v>7473</x:v>
      </x:c>
      <x:c r="X846" s="55" t="n">
        <x:v>3303</x:v>
      </x:c>
      <x:c r="Y846" s="55" t="n">
        <x:v>2784</x:v>
      </x:c>
      <x:c r="Z846" s="55" t="n">
        <x:v>4014</x:v>
      </x:c>
      <x:c r="AA846" s="55" t="n">
        <x:v>2670</x:v>
      </x:c>
      <x:c r="AB846" s="55" t="n">
        <x:v>1004</x:v>
      </x:c>
      <x:c r="AC846" s="55" t="n">
        <x:v>8278</x:v>
      </x:c>
      <x:c r="AD846" s="55" t="n">
        <x:v>3047</x:v>
      </x:c>
      <x:c r="AE846" s="55" t="n">
        <x:v>10898</x:v>
      </x:c>
      <x:c r="AF846" s="55" t="n">
        <x:v>10776</x:v>
      </x:c>
      <x:c r="AG846" s="55" t="n">
        <x:v>122</x:v>
      </x:c>
      <x:c r="AH846" s="55" t="n">
        <x:v>577</x:v>
      </x:c>
      <x:c r="AI846" s="55" t="n">
        <x:v>10199</x:v>
      </x:c>
      <x:c r="AJ846" s="55" t="n">
        <x:v>147</x:v>
      </x:c>
      <x:c r="AK846" s="55" t="n">
        <x:v>1177</x:v>
      </x:c>
      <x:c r="AL846" s="55" t="n">
        <x:v>1238</x:v>
      </x:c>
      <x:c r="AM846" s="55" t="n">
        <x:v>5402</x:v>
      </x:c>
      <x:c r="AN846" s="55" t="n">
        <x:v>2752</x:v>
      </x:c>
      <x:c r="AO846" s="55" t="n">
        <x:v>60</x:v>
      </x:c>
      <x:c r="AP846" s="55" t="n">
        <x:v>2178</x:v>
      </x:c>
      <x:c r="AQ846" s="55" t="n">
        <x:v>983</x:v>
      </x:c>
    </x:row>
    <x:row r="847">
      <x:c r="A847" s="54" t="str">
        <x:v>T0_TABLE_BLOCK</x:v>
      </x:c>
      <x:c r="B847" s="54" t="n">
        <x:v>841</x:v>
      </x:c>
      <x:c r="C847" s="54" t="str">
        <x:v>NYC-V2-R01</x:v>
      </x:c>
      <x:c r="D847" s="54" t="str">
        <x:v>V2</x:v>
      </x:c>
      <x:c r="E847" s="54" t="str">
        <x:v>ADMITTED</x:v>
      </x:c>
      <x:c r="F847" s="55" t="n">
        <x:v>30893</x:v>
      </x:c>
      <x:c r="G847" s="55" t="n">
        <x:v>8237</x:v>
      </x:c>
      <x:c r="H847" s="55" t="n">
        <x:v>3786</x:v>
      </x:c>
      <x:c r="I847" s="55" t="n">
        <x:v>1202</x:v>
      </x:c>
      <x:c r="J847" s="55" t="n">
        <x:v>421</x:v>
      </x:c>
      <x:c r="K847" s="55" t="n">
        <x:v>30474</x:v>
      </x:c>
      <x:c r="L847" s="55" t="n">
        <x:v>6645</x:v>
      </x:c>
      <x:c r="M847" s="55" t="n">
        <x:v>1917</x:v>
      </x:c>
      <x:c r="N847" s="55" t="n">
        <x:v>2559</x:v>
      </x:c>
      <x:c r="O847" s="55" t="n">
        <x:v>2169</x:v>
      </x:c>
      <x:c r="P847" s="55" t="n">
        <x:v>702</x:v>
      </x:c>
      <x:c r="Q847" s="55" t="n">
        <x:v>3550</x:v>
      </x:c>
      <x:c r="R847" s="55" t="n">
        <x:v>1712</x:v>
      </x:c>
      <x:c r="S847" s="55" t="n">
        <x:v>2990</x:v>
      </x:c>
      <x:c r="T847" s="55" t="n">
        <x:v>1036</x:v>
      </x:c>
      <x:c r="U847" s="55" t="n">
        <x:v>2091</x:v>
      </x:c>
      <x:c r="V847" s="55" t="n">
        <x:v>10398</x:v>
      </x:c>
      <x:c r="W847" s="55" t="n">
        <x:v>7220</x:v>
      </x:c>
      <x:c r="X847" s="55" t="n">
        <x:v>3178</x:v>
      </x:c>
      <x:c r="Y847" s="55" t="n">
        <x:v>2805</x:v>
      </x:c>
      <x:c r="Z847" s="55" t="n">
        <x:v>3496</x:v>
      </x:c>
      <x:c r="AA847" s="55" t="n">
        <x:v>3786</x:v>
      </x:c>
      <x:c r="AB847" s="55" t="n">
        <x:v>1581</x:v>
      </x:c>
      <x:c r="AC847" s="55" t="n">
        <x:v>7873</x:v>
      </x:c>
      <x:c r="AD847" s="55" t="n">
        <x:v>3054</x:v>
      </x:c>
      <x:c r="AE847" s="55" t="n">
        <x:v>10497</x:v>
      </x:c>
      <x:c r="AF847" s="55" t="n">
        <x:v>10398</x:v>
      </x:c>
      <x:c r="AG847" s="55" t="n">
        <x:v>99</x:v>
      </x:c>
      <x:c r="AH847" s="55" t="n">
        <x:v>401</x:v>
      </x:c>
      <x:c r="AI847" s="55" t="n">
        <x:v>9997</x:v>
      </x:c>
      <x:c r="AJ847" s="55" t="n">
        <x:v>279</x:v>
      </x:c>
      <x:c r="AK847" s="55" t="n">
        <x:v>1255</x:v>
      </x:c>
      <x:c r="AL847" s="55" t="n">
        <x:v>2087</x:v>
      </x:c>
      <x:c r="AM847" s="55" t="n">
        <x:v>4096</x:v>
      </x:c>
      <x:c r="AN847" s="55" t="n">
        <x:v>2681</x:v>
      </x:c>
      <x:c r="AO847" s="55" t="n">
        <x:v>0</x:v>
      </x:c>
      <x:c r="AP847" s="55" t="n">
        <x:v>1743</x:v>
      </x:c>
      <x:c r="AQ847" s="55" t="n">
        <x:v>958</x:v>
      </x:c>
    </x:row>
    <x:row r="848">
      <x:c r="A848" s="54" t="str">
        <x:v>T0_TABLE_BLOCK</x:v>
      </x:c>
      <x:c r="B848" s="54" t="n">
        <x:v>842</x:v>
      </x:c>
      <x:c r="C848" s="54" t="str">
        <x:v>NYC-V2-R01</x:v>
      </x:c>
      <x:c r="D848" s="54" t="str">
        <x:v>V2</x:v>
      </x:c>
      <x:c r="E848" s="54" t="str">
        <x:v>ADMITTED</x:v>
      </x:c>
      <x:c r="F848" s="55" t="n">
        <x:v>31018</x:v>
      </x:c>
      <x:c r="G848" s="55" t="n">
        <x:v>9112</x:v>
      </x:c>
      <x:c r="H848" s="55" t="n">
        <x:v>3444</x:v>
      </x:c>
      <x:c r="I848" s="55" t="n">
        <x:v>1534</x:v>
      </x:c>
      <x:c r="J848" s="55" t="n">
        <x:v>98</x:v>
      </x:c>
      <x:c r="K848" s="55" t="n">
        <x:v>30002</x:v>
      </x:c>
      <x:c r="L848" s="55" t="n">
        <x:v>4338</x:v>
      </x:c>
      <x:c r="M848" s="55" t="n">
        <x:v>78</x:v>
      </x:c>
      <x:c r="N848" s="55" t="n">
        <x:v>2702</x:v>
      </x:c>
      <x:c r="O848" s="55" t="n">
        <x:v>1558</x:v>
      </x:c>
      <x:c r="P848" s="55" t="n">
        <x:v>728</x:v>
      </x:c>
      <x:c r="Q848" s="55" t="n">
        <x:v>1656</x:v>
      </x:c>
      <x:c r="R848" s="55" t="n">
        <x:v>1729</x:v>
      </x:c>
      <x:c r="S848" s="55" t="n">
        <x:v>3614</x:v>
      </x:c>
      <x:c r="T848" s="55" t="n">
        <x:v>1614</x:v>
      </x:c>
      <x:c r="U848" s="55" t="n">
        <x:v>2196</x:v>
      </x:c>
      <x:c r="V848" s="55" t="n">
        <x:v>10321</x:v>
      </x:c>
      <x:c r="W848" s="55" t="n">
        <x:v>7809</x:v>
      </x:c>
      <x:c r="X848" s="55" t="n">
        <x:v>2512</x:v>
      </x:c>
      <x:c r="Y848" s="55" t="n">
        <x:v>2283</x:v>
      </x:c>
      <x:c r="Z848" s="55" t="n">
        <x:v>3671</x:v>
      </x:c>
      <x:c r="AA848" s="55" t="n">
        <x:v>3444</x:v>
      </x:c>
      <x:c r="AB848" s="55" t="n">
        <x:v>1300</x:v>
      </x:c>
      <x:c r="AC848" s="55" t="n">
        <x:v>7409</x:v>
      </x:c>
      <x:c r="AD848" s="55" t="n">
        <x:v>3555</x:v>
      </x:c>
      <x:c r="AE848" s="55" t="n">
        <x:v>10404</x:v>
      </x:c>
      <x:c r="AF848" s="55" t="n">
        <x:v>10321</x:v>
      </x:c>
      <x:c r="AG848" s="55" t="n">
        <x:v>83</x:v>
      </x:c>
      <x:c r="AH848" s="55" t="n">
        <x:v>389</x:v>
      </x:c>
      <x:c r="AI848" s="55" t="n">
        <x:v>9932</x:v>
      </x:c>
      <x:c r="AJ848" s="55" t="n">
        <x:v>503</x:v>
      </x:c>
      <x:c r="AK848" s="55" t="n">
        <x:v>1034</x:v>
      </x:c>
      <x:c r="AL848" s="55" t="n">
        <x:v>1220</x:v>
      </x:c>
      <x:c r="AM848" s="55" t="n">
        <x:v>4727</x:v>
      </x:c>
      <x:c r="AN848" s="55" t="n">
        <x:v>2837</x:v>
      </x:c>
      <x:c r="AO848" s="55" t="n">
        <x:v>0</x:v>
      </x:c>
      <x:c r="AP848" s="55" t="n">
        <x:v>2177</x:v>
      </x:c>
      <x:c r="AQ848" s="55" t="n">
        <x:v>950</x:v>
      </x:c>
    </x:row>
    <x:row r="849">
      <x:c r="A849" s="54" t="str">
        <x:v>T0_TABLE_BLOCK</x:v>
      </x:c>
      <x:c r="B849" s="54" t="n">
        <x:v>843</x:v>
      </x:c>
      <x:c r="C849" s="54" t="str">
        <x:v>NYC-V2-R01</x:v>
      </x:c>
      <x:c r="D849" s="54" t="str">
        <x:v>V2</x:v>
      </x:c>
      <x:c r="E849" s="54" t="str">
        <x:v>ADMITTED</x:v>
      </x:c>
      <x:c r="F849" s="55" t="n">
        <x:v>30902</x:v>
      </x:c>
      <x:c r="G849" s="55" t="n">
        <x:v>8011</x:v>
      </x:c>
      <x:c r="H849" s="55" t="n">
        <x:v>2817</x:v>
      </x:c>
      <x:c r="I849" s="55" t="n">
        <x:v>804</x:v>
      </x:c>
      <x:c r="J849" s="55" t="n">
        <x:v>114</x:v>
      </x:c>
      <x:c r="K849" s="55" t="n">
        <x:v>30902</x:v>
      </x:c>
      <x:c r="L849" s="55" t="n">
        <x:v>4674</x:v>
      </x:c>
      <x:c r="M849" s="55" t="n">
        <x:v>770</x:v>
      </x:c>
      <x:c r="N849" s="55" t="n">
        <x:v>2461</x:v>
      </x:c>
      <x:c r="O849" s="55" t="n">
        <x:v>1443</x:v>
      </x:c>
      <x:c r="P849" s="55" t="n">
        <x:v>617</x:v>
      </x:c>
      <x:c r="Q849" s="55" t="n">
        <x:v>2186</x:v>
      </x:c>
      <x:c r="R849" s="55" t="n">
        <x:v>1639</x:v>
      </x:c>
      <x:c r="S849" s="55" t="n">
        <x:v>2041</x:v>
      </x:c>
      <x:c r="T849" s="55" t="n">
        <x:v>849</x:v>
      </x:c>
      <x:c r="U849" s="55" t="n">
        <x:v>1511</x:v>
      </x:c>
      <x:c r="V849" s="55" t="n">
        <x:v>10557</x:v>
      </x:c>
      <x:c r="W849" s="55" t="n">
        <x:v>7366</x:v>
      </x:c>
      <x:c r="X849" s="55" t="n">
        <x:v>3191</x:v>
      </x:c>
      <x:c r="Y849" s="55" t="n">
        <x:v>2539</x:v>
      </x:c>
      <x:c r="Z849" s="55" t="n">
        <x:v>4534</x:v>
      </x:c>
      <x:c r="AA849" s="55" t="n">
        <x:v>2700</x:v>
      </x:c>
      <x:c r="AB849" s="55" t="n">
        <x:v>1071</x:v>
      </x:c>
      <x:c r="AC849" s="55" t="n">
        <x:v>8265</x:v>
      </x:c>
      <x:c r="AD849" s="55" t="n">
        <x:v>2639</x:v>
      </x:c>
      <x:c r="AE849" s="55" t="n">
        <x:v>10663</x:v>
      </x:c>
      <x:c r="AF849" s="55" t="n">
        <x:v>10557</x:v>
      </x:c>
      <x:c r="AG849" s="55" t="n">
        <x:v>106</x:v>
      </x:c>
      <x:c r="AH849" s="55" t="n">
        <x:v>386</x:v>
      </x:c>
      <x:c r="AI849" s="55" t="n">
        <x:v>10171</x:v>
      </x:c>
      <x:c r="AJ849" s="55" t="n">
        <x:v>439</x:v>
      </x:c>
      <x:c r="AK849" s="55" t="n">
        <x:v>922</x:v>
      </x:c>
      <x:c r="AL849" s="55" t="n">
        <x:v>1662</x:v>
      </x:c>
      <x:c r="AM849" s="55" t="n">
        <x:v>4524</x:v>
      </x:c>
      <x:c r="AN849" s="55" t="n">
        <x:v>2932</x:v>
      </x:c>
      <x:c r="AO849" s="55" t="n">
        <x:v>78</x:v>
      </x:c>
      <x:c r="AP849" s="55" t="n">
        <x:v>2761</x:v>
      </x:c>
      <x:c r="AQ849" s="55" t="n">
        <x:v>1002</x:v>
      </x:c>
    </x:row>
    <x:row r="850">
      <x:c r="A850" s="54" t="str">
        <x:v>T0_TABLE_BLOCK</x:v>
      </x:c>
      <x:c r="B850" s="54" t="n">
        <x:v>844</x:v>
      </x:c>
      <x:c r="C850" s="54" t="str">
        <x:v>NYC-V2-R01</x:v>
      </x:c>
      <x:c r="D850" s="54" t="str">
        <x:v>V2</x:v>
      </x:c>
      <x:c r="E850" s="54" t="str">
        <x:v>ADMITTED</x:v>
      </x:c>
      <x:c r="F850" s="55" t="n">
        <x:v>30543</x:v>
      </x:c>
      <x:c r="G850" s="55" t="n">
        <x:v>6920</x:v>
      </x:c>
      <x:c r="H850" s="55" t="n">
        <x:v>3813</x:v>
      </x:c>
      <x:c r="I850" s="55" t="n">
        <x:v>1535</x:v>
      </x:c>
      <x:c r="J850" s="55" t="n">
        <x:v>263</x:v>
      </x:c>
      <x:c r="K850" s="55" t="n">
        <x:v>30543</x:v>
      </x:c>
      <x:c r="L850" s="55" t="n">
        <x:v>4626</x:v>
      </x:c>
      <x:c r="M850" s="55" t="n">
        <x:v>330</x:v>
      </x:c>
      <x:c r="N850" s="55" t="n">
        <x:v>2406</x:v>
      </x:c>
      <x:c r="O850" s="55" t="n">
        <x:v>1890</x:v>
      </x:c>
      <x:c r="P850" s="55" t="n">
        <x:v>976</x:v>
      </x:c>
      <x:c r="Q850" s="55" t="n">
        <x:v>2150</x:v>
      </x:c>
      <x:c r="R850" s="55" t="n">
        <x:v>1831</x:v>
      </x:c>
      <x:c r="S850" s="55" t="n">
        <x:v>3304</x:v>
      </x:c>
      <x:c r="T850" s="55" t="n">
        <x:v>1071</x:v>
      </x:c>
      <x:c r="U850" s="55" t="n">
        <x:v>1886</x:v>
      </x:c>
      <x:c r="V850" s="55" t="n">
        <x:v>9837</x:v>
      </x:c>
      <x:c r="W850" s="55" t="n">
        <x:v>6895</x:v>
      </x:c>
      <x:c r="X850" s="55" t="n">
        <x:v>2942</x:v>
      </x:c>
      <x:c r="Y850" s="55" t="n">
        <x:v>2523</x:v>
      </x:c>
      <x:c r="Z850" s="55" t="n">
        <x:v>3799</x:v>
      </x:c>
      <x:c r="AA850" s="55" t="n">
        <x:v>3813</x:v>
      </x:c>
      <x:c r="AB850" s="55" t="n">
        <x:v>1516</x:v>
      </x:c>
      <x:c r="AC850" s="55" t="n">
        <x:v>7911</x:v>
      </x:c>
      <x:c r="AD850" s="55" t="n">
        <x:v>2367</x:v>
      </x:c>
      <x:c r="AE850" s="55" t="n">
        <x:v>9963</x:v>
      </x:c>
      <x:c r="AF850" s="55" t="n">
        <x:v>9837</x:v>
      </x:c>
      <x:c r="AG850" s="55" t="n">
        <x:v>126</x:v>
      </x:c>
      <x:c r="AH850" s="55" t="n">
        <x:v>383</x:v>
      </x:c>
      <x:c r="AI850" s="55" t="n">
        <x:v>9454</x:v>
      </x:c>
      <x:c r="AJ850" s="55" t="n">
        <x:v>323</x:v>
      </x:c>
      <x:c r="AK850" s="55" t="n">
        <x:v>873</x:v>
      </x:c>
      <x:c r="AL850" s="55" t="n">
        <x:v>1054</x:v>
      </x:c>
      <x:c r="AM850" s="55" t="n">
        <x:v>4953</x:v>
      </x:c>
      <x:c r="AN850" s="55" t="n">
        <x:v>2634</x:v>
      </x:c>
      <x:c r="AO850" s="55" t="n">
        <x:v>0</x:v>
      </x:c>
      <x:c r="AP850" s="55" t="n">
        <x:v>2720</x:v>
      </x:c>
      <x:c r="AQ850" s="55" t="n">
        <x:v>946</x:v>
      </x:c>
    </x:row>
    <x:row r="851">
      <x:c r="A851" s="54" t="str">
        <x:v>T0_TABLE_BLOCK</x:v>
      </x:c>
      <x:c r="B851" s="54" t="n">
        <x:v>845</x:v>
      </x:c>
      <x:c r="C851" s="54" t="str">
        <x:v>NYC-V2-R01</x:v>
      </x:c>
      <x:c r="D851" s="54" t="str">
        <x:v>V2</x:v>
      </x:c>
      <x:c r="E851" s="54" t="str">
        <x:v>ADMITTED</x:v>
      </x:c>
      <x:c r="F851" s="55" t="n">
        <x:v>30439</x:v>
      </x:c>
      <x:c r="G851" s="55" t="n">
        <x:v>7425</x:v>
      </x:c>
      <x:c r="H851" s="55" t="n">
        <x:v>2901</x:v>
      </x:c>
      <x:c r="I851" s="55" t="n">
        <x:v>1167</x:v>
      </x:c>
      <x:c r="J851" s="55" t="n">
        <x:v>229</x:v>
      </x:c>
      <x:c r="K851" s="55" t="n">
        <x:v>30439</x:v>
      </x:c>
      <x:c r="L851" s="55" t="n">
        <x:v>5671</x:v>
      </x:c>
      <x:c r="M851" s="55" t="n">
        <x:v>1212</x:v>
      </x:c>
      <x:c r="N851" s="55" t="n">
        <x:v>2566</x:v>
      </x:c>
      <x:c r="O851" s="55" t="n">
        <x:v>1893</x:v>
      </x:c>
      <x:c r="P851" s="55" t="n">
        <x:v>591</x:v>
      </x:c>
      <x:c r="Q851" s="55" t="n">
        <x:v>2161</x:v>
      </x:c>
      <x:c r="R851" s="55" t="n">
        <x:v>2225</x:v>
      </x:c>
      <x:c r="S851" s="55" t="n">
        <x:v>3363</x:v>
      </x:c>
      <x:c r="T851" s="55" t="n">
        <x:v>1094</x:v>
      </x:c>
      <x:c r="U851" s="55" t="n">
        <x:v>1993</x:v>
      </x:c>
      <x:c r="V851" s="55" t="n">
        <x:v>9908</x:v>
      </x:c>
      <x:c r="W851" s="55" t="n">
        <x:v>6351</x:v>
      </x:c>
      <x:c r="X851" s="55" t="n">
        <x:v>3557</x:v>
      </x:c>
      <x:c r="Y851" s="55" t="n">
        <x:v>3152</x:v>
      </x:c>
      <x:c r="Z851" s="55" t="n">
        <x:v>3077</x:v>
      </x:c>
      <x:c r="AA851" s="55" t="n">
        <x:v>2635</x:v>
      </x:c>
      <x:c r="AB851" s="55" t="n">
        <x:v>764</x:v>
      </x:c>
      <x:c r="AC851" s="55" t="n">
        <x:v>7720</x:v>
      </x:c>
      <x:c r="AD851" s="55" t="n">
        <x:v>2888</x:v>
      </x:c>
      <x:c r="AE851" s="55" t="n">
        <x:v>9985</x:v>
      </x:c>
      <x:c r="AF851" s="55" t="n">
        <x:v>9908</x:v>
      </x:c>
      <x:c r="AG851" s="55" t="n">
        <x:v>77</x:v>
      </x:c>
      <x:c r="AH851" s="55" t="n">
        <x:v>401</x:v>
      </x:c>
      <x:c r="AI851" s="55" t="n">
        <x:v>9507</x:v>
      </x:c>
      <x:c r="AJ851" s="55" t="n">
        <x:v>601</x:v>
      </x:c>
      <x:c r="AK851" s="55" t="n">
        <x:v>1075</x:v>
      </x:c>
      <x:c r="AL851" s="55" t="n">
        <x:v>1488</x:v>
      </x:c>
      <x:c r="AM851" s="55" t="n">
        <x:v>4714</x:v>
      </x:c>
      <x:c r="AN851" s="55" t="n">
        <x:v>1989</x:v>
      </x:c>
      <x:c r="AO851" s="55" t="n">
        <x:v>41</x:v>
      </x:c>
      <x:c r="AP851" s="55" t="n">
        <x:v>2976</x:v>
      </x:c>
      <x:c r="AQ851" s="55" t="n">
        <x:v>948</x:v>
      </x:c>
    </x:row>
    <x:row r="852">
      <x:c r="A852" s="54" t="str">
        <x:v>T0_TABLE_BLOCK</x:v>
      </x:c>
      <x:c r="B852" s="54" t="n">
        <x:v>846</x:v>
      </x:c>
      <x:c r="C852" s="54" t="str">
        <x:v>NYC-V2-R01</x:v>
      </x:c>
      <x:c r="D852" s="54" t="str">
        <x:v>V2</x:v>
      </x:c>
      <x:c r="E852" s="54" t="str">
        <x:v>ADMITTED</x:v>
      </x:c>
      <x:c r="F852" s="55" t="n">
        <x:v>32613</x:v>
      </x:c>
      <x:c r="G852" s="55" t="n">
        <x:v>7939</x:v>
      </x:c>
      <x:c r="H852" s="55" t="n">
        <x:v>3376</x:v>
      </x:c>
      <x:c r="I852" s="55" t="n">
        <x:v>1630</x:v>
      </x:c>
      <x:c r="J852" s="55" t="n">
        <x:v>240</x:v>
      </x:c>
      <x:c r="K852" s="55" t="n">
        <x:v>31965</x:v>
      </x:c>
      <x:c r="L852" s="55" t="n">
        <x:v>5109</x:v>
      </x:c>
      <x:c r="M852" s="55" t="n">
        <x:v>723</x:v>
      </x:c>
      <x:c r="N852" s="55" t="n">
        <x:v>2746</x:v>
      </x:c>
      <x:c r="O852" s="55" t="n">
        <x:v>1640</x:v>
      </x:c>
      <x:c r="P852" s="55" t="n">
        <x:v>687</x:v>
      </x:c>
      <x:c r="Q852" s="55" t="n">
        <x:v>1923</x:v>
      </x:c>
      <x:c r="R852" s="55" t="n">
        <x:v>1884</x:v>
      </x:c>
      <x:c r="S852" s="55" t="n">
        <x:v>2994</x:v>
      </x:c>
      <x:c r="T852" s="55" t="n">
        <x:v>1000</x:v>
      </x:c>
      <x:c r="U852" s="55" t="n">
        <x:v>2272</x:v>
      </x:c>
      <x:c r="V852" s="55" t="n">
        <x:v>10182</x:v>
      </x:c>
      <x:c r="W852" s="55" t="n">
        <x:v>7038</x:v>
      </x:c>
      <x:c r="X852" s="55" t="n">
        <x:v>3144</x:v>
      </x:c>
      <x:c r="Y852" s="55" t="n">
        <x:v>2880</x:v>
      </x:c>
      <x:c r="Z852" s="55" t="n">
        <x:v>3839</x:v>
      </x:c>
      <x:c r="AA852" s="55" t="n">
        <x:v>2632</x:v>
      </x:c>
      <x:c r="AB852" s="55" t="n">
        <x:v>1106</x:v>
      </x:c>
      <x:c r="AC852" s="55" t="n">
        <x:v>7338</x:v>
      </x:c>
      <x:c r="AD852" s="55" t="n">
        <x:v>2721</x:v>
      </x:c>
      <x:c r="AE852" s="55" t="n">
        <x:v>10241</x:v>
      </x:c>
      <x:c r="AF852" s="55" t="n">
        <x:v>10182</x:v>
      </x:c>
      <x:c r="AG852" s="55" t="n">
        <x:v>59</x:v>
      </x:c>
      <x:c r="AH852" s="55" t="n">
        <x:v>597</x:v>
      </x:c>
      <x:c r="AI852" s="55" t="n">
        <x:v>9585</x:v>
      </x:c>
      <x:c r="AJ852" s="55" t="n">
        <x:v>235</x:v>
      </x:c>
      <x:c r="AK852" s="55" t="n">
        <x:v>910</x:v>
      </x:c>
      <x:c r="AL852" s="55" t="n">
        <x:v>1332</x:v>
      </x:c>
      <x:c r="AM852" s="55" t="n">
        <x:v>4699</x:v>
      </x:c>
      <x:c r="AN852" s="55" t="n">
        <x:v>3006</x:v>
      </x:c>
      <x:c r="AO852" s="55" t="n">
        <x:v>0</x:v>
      </x:c>
      <x:c r="AP852" s="55" t="n">
        <x:v>2570</x:v>
      </x:c>
      <x:c r="AQ852" s="55" t="n">
        <x:v>962</x:v>
      </x:c>
    </x:row>
    <x:row r="853">
      <x:c r="A853" s="54" t="str">
        <x:v>T0_TABLE_BLOCK</x:v>
      </x:c>
      <x:c r="B853" s="54" t="n">
        <x:v>847</x:v>
      </x:c>
      <x:c r="C853" s="54" t="str">
        <x:v>NYC-V2-R01</x:v>
      </x:c>
      <x:c r="D853" s="54" t="str">
        <x:v>V2</x:v>
      </x:c>
      <x:c r="E853" s="54" t="str">
        <x:v>ADMITTED</x:v>
      </x:c>
      <x:c r="F853" s="55" t="n">
        <x:v>30802</x:v>
      </x:c>
      <x:c r="G853" s="55" t="n">
        <x:v>6915</x:v>
      </x:c>
      <x:c r="H853" s="55" t="n">
        <x:v>3373</x:v>
      </x:c>
      <x:c r="I853" s="55" t="n">
        <x:v>1029</x:v>
      </x:c>
      <x:c r="J853" s="55" t="n">
        <x:v>225</x:v>
      </x:c>
      <x:c r="K853" s="55" t="n">
        <x:v>30802</x:v>
      </x:c>
      <x:c r="L853" s="55" t="n">
        <x:v>5439</x:v>
      </x:c>
      <x:c r="M853" s="55" t="n">
        <x:v>1225</x:v>
      </x:c>
      <x:c r="N853" s="55" t="n">
        <x:v>2176</x:v>
      </x:c>
      <x:c r="O853" s="55" t="n">
        <x:v>2038</x:v>
      </x:c>
      <x:c r="P853" s="55" t="n">
        <x:v>767</x:v>
      </x:c>
      <x:c r="Q853" s="55" t="n">
        <x:v>3133</x:v>
      </x:c>
      <x:c r="R853" s="55" t="n">
        <x:v>1574</x:v>
      </x:c>
      <x:c r="S853" s="55" t="n">
        <x:v>2775</x:v>
      </x:c>
      <x:c r="T853" s="55" t="n">
        <x:v>1544</x:v>
      </x:c>
      <x:c r="U853" s="55" t="n">
        <x:v>1812</x:v>
      </x:c>
      <x:c r="V853" s="55" t="n">
        <x:v>11120</x:v>
      </x:c>
      <x:c r="W853" s="55" t="n">
        <x:v>7826</x:v>
      </x:c>
      <x:c r="X853" s="55" t="n">
        <x:v>3294</x:v>
      </x:c>
      <x:c r="Y853" s="55" t="n">
        <x:v>2923</x:v>
      </x:c>
      <x:c r="Z853" s="55" t="n">
        <x:v>3300</x:v>
      </x:c>
      <x:c r="AA853" s="55" t="n">
        <x:v>3373</x:v>
      </x:c>
      <x:c r="AB853" s="55" t="n">
        <x:v>856</x:v>
      </x:c>
      <x:c r="AC853" s="55" t="n">
        <x:v>8093</x:v>
      </x:c>
      <x:c r="AD853" s="55" t="n">
        <x:v>3798</x:v>
      </x:c>
      <x:c r="AE853" s="55" t="n">
        <x:v>11236</x:v>
      </x:c>
      <x:c r="AF853" s="55" t="n">
        <x:v>11120</x:v>
      </x:c>
      <x:c r="AG853" s="55" t="n">
        <x:v>116</x:v>
      </x:c>
      <x:c r="AH853" s="55" t="n">
        <x:v>655</x:v>
      </x:c>
      <x:c r="AI853" s="55" t="n">
        <x:v>10465</x:v>
      </x:c>
      <x:c r="AJ853" s="55" t="n">
        <x:v>309</x:v>
      </x:c>
      <x:c r="AK853" s="55" t="n">
        <x:v>1167</x:v>
      </x:c>
      <x:c r="AL853" s="55" t="n">
        <x:v>1624</x:v>
      </x:c>
      <x:c r="AM853" s="55" t="n">
        <x:v>5102</x:v>
      </x:c>
      <x:c r="AN853" s="55" t="n">
        <x:v>2895</x:v>
      </x:c>
      <x:c r="AO853" s="55" t="n">
        <x:v>23</x:v>
      </x:c>
      <x:c r="AP853" s="55" t="n">
        <x:v>2520</x:v>
      </x:c>
      <x:c r="AQ853" s="55" t="n">
        <x:v>949</x:v>
      </x:c>
    </x:row>
    <x:row r="854">
      <x:c r="A854" s="54" t="str">
        <x:v>T0_TABLE_BLOCK</x:v>
      </x:c>
      <x:c r="B854" s="54" t="n">
        <x:v>848</x:v>
      </x:c>
      <x:c r="C854" s="54" t="str">
        <x:v>NYC-V2-R01</x:v>
      </x:c>
      <x:c r="D854" s="54" t="str">
        <x:v>V2</x:v>
      </x:c>
      <x:c r="E854" s="54" t="str">
        <x:v>ADMITTED</x:v>
      </x:c>
      <x:c r="F854" s="55" t="n">
        <x:v>31421</x:v>
      </x:c>
      <x:c r="G854" s="55" t="n">
        <x:v>8091</x:v>
      </x:c>
      <x:c r="H854" s="55" t="n">
        <x:v>3089</x:v>
      </x:c>
      <x:c r="I854" s="55" t="n">
        <x:v>942</x:v>
      </x:c>
      <x:c r="J854" s="55" t="n">
        <x:v>122</x:v>
      </x:c>
      <x:c r="K854" s="55" t="n">
        <x:v>31421</x:v>
      </x:c>
      <x:c r="L854" s="55" t="n">
        <x:v>6256</x:v>
      </x:c>
      <x:c r="M854" s="55" t="n">
        <x:v>1352</x:v>
      </x:c>
      <x:c r="N854" s="55" t="n">
        <x:v>3216</x:v>
      </x:c>
      <x:c r="O854" s="55" t="n">
        <x:v>1688</x:v>
      </x:c>
      <x:c r="P854" s="55" t="n">
        <x:v>930</x:v>
      </x:c>
      <x:c r="Q854" s="55" t="n">
        <x:v>1689</x:v>
      </x:c>
      <x:c r="R854" s="55" t="n">
        <x:v>1762</x:v>
      </x:c>
      <x:c r="S854" s="55" t="n">
        <x:v>2951</x:v>
      </x:c>
      <x:c r="T854" s="55" t="n">
        <x:v>1063</x:v>
      </x:c>
      <x:c r="U854" s="55" t="n">
        <x:v>1578</x:v>
      </x:c>
      <x:c r="V854" s="55" t="n">
        <x:v>9954</x:v>
      </x:c>
      <x:c r="W854" s="55" t="n">
        <x:v>6734</x:v>
      </x:c>
      <x:c r="X854" s="55" t="n">
        <x:v>3220</x:v>
      </x:c>
      <x:c r="Y854" s="55" t="n">
        <x:v>2798</x:v>
      </x:c>
      <x:c r="Z854" s="55" t="n">
        <x:v>3987</x:v>
      </x:c>
      <x:c r="AA854" s="55" t="n">
        <x:v>3072</x:v>
      </x:c>
      <x:c r="AB854" s="55" t="n">
        <x:v>1157</x:v>
      </x:c>
      <x:c r="AC854" s="55" t="n">
        <x:v>8731</x:v>
      </x:c>
      <x:c r="AD854" s="55" t="n">
        <x:v>2995</x:v>
      </x:c>
      <x:c r="AE854" s="55" t="n">
        <x:v>9954</x:v>
      </x:c>
      <x:c r="AF854" s="55" t="n">
        <x:v>9954</x:v>
      </x:c>
      <x:c r="AG854" s="55" t="n">
        <x:v>0</x:v>
      </x:c>
      <x:c r="AH854" s="55" t="n">
        <x:v>251</x:v>
      </x:c>
      <x:c r="AI854" s="55" t="n">
        <x:v>9703</x:v>
      </x:c>
      <x:c r="AJ854" s="55" t="n">
        <x:v>445</x:v>
      </x:c>
      <x:c r="AK854" s="55" t="n">
        <x:v>419</x:v>
      </x:c>
      <x:c r="AL854" s="55" t="n">
        <x:v>1847</x:v>
      </x:c>
      <x:c r="AM854" s="55" t="n">
        <x:v>4781</x:v>
      </x:c>
      <x:c r="AN854" s="55" t="n">
        <x:v>2462</x:v>
      </x:c>
      <x:c r="AO854" s="55" t="n">
        <x:v>0</x:v>
      </x:c>
      <x:c r="AP854" s="55" t="n">
        <x:v>2139</x:v>
      </x:c>
      <x:c r="AQ854" s="55" t="n">
        <x:v>1006</x:v>
      </x:c>
    </x:row>
    <x:row r="855">
      <x:c r="A855" s="54" t="str">
        <x:v>T0_TABLE_BLOCK</x:v>
      </x:c>
      <x:c r="B855" s="54" t="n">
        <x:v>849</x:v>
      </x:c>
      <x:c r="C855" s="54" t="str">
        <x:v>NYC-V2-R01</x:v>
      </x:c>
      <x:c r="D855" s="54" t="str">
        <x:v>V2</x:v>
      </x:c>
      <x:c r="E855" s="54" t="str">
        <x:v>ADMITTED</x:v>
      </x:c>
      <x:c r="F855" s="55" t="n">
        <x:v>31988</x:v>
      </x:c>
      <x:c r="G855" s="55" t="n">
        <x:v>6699</x:v>
      </x:c>
      <x:c r="H855" s="55" t="n">
        <x:v>3557</x:v>
      </x:c>
      <x:c r="I855" s="55" t="n">
        <x:v>1434</x:v>
      </x:c>
      <x:c r="J855" s="55" t="n">
        <x:v>198</x:v>
      </x:c>
      <x:c r="K855" s="55" t="n">
        <x:v>31988</x:v>
      </x:c>
      <x:c r="L855" s="55" t="n">
        <x:v>5737</x:v>
      </x:c>
      <x:c r="M855" s="55" t="n">
        <x:v>1746</x:v>
      </x:c>
      <x:c r="N855" s="55" t="n">
        <x:v>2247</x:v>
      </x:c>
      <x:c r="O855" s="55" t="n">
        <x:v>1744</x:v>
      </x:c>
      <x:c r="P855" s="55" t="n">
        <x:v>1076</x:v>
      </x:c>
      <x:c r="Q855" s="55" t="n">
        <x:v>1986</x:v>
      </x:c>
      <x:c r="R855" s="55" t="n">
        <x:v>1835</x:v>
      </x:c>
      <x:c r="S855" s="55" t="n">
        <x:v>2734</x:v>
      </x:c>
      <x:c r="T855" s="55" t="n">
        <x:v>1076</x:v>
      </x:c>
      <x:c r="U855" s="55" t="n">
        <x:v>2131</x:v>
      </x:c>
      <x:c r="V855" s="55" t="n">
        <x:v>11162</x:v>
      </x:c>
      <x:c r="W855" s="55" t="n">
        <x:v>8236</x:v>
      </x:c>
      <x:c r="X855" s="55" t="n">
        <x:v>2926</x:v>
      </x:c>
      <x:c r="Y855" s="55" t="n">
        <x:v>2368</x:v>
      </x:c>
      <x:c r="Z855" s="55" t="n">
        <x:v>3289</x:v>
      </x:c>
      <x:c r="AA855" s="55" t="n">
        <x:v>3173</x:v>
      </x:c>
      <x:c r="AB855" s="55" t="n">
        <x:v>1125</x:v>
      </x:c>
      <x:c r="AC855" s="55" t="n">
        <x:v>8463</x:v>
      </x:c>
      <x:c r="AD855" s="55" t="n">
        <x:v>3067</x:v>
      </x:c>
      <x:c r="AE855" s="55" t="n">
        <x:v>11263</x:v>
      </x:c>
      <x:c r="AF855" s="55" t="n">
        <x:v>11162</x:v>
      </x:c>
      <x:c r="AG855" s="55" t="n">
        <x:v>101</x:v>
      </x:c>
      <x:c r="AH855" s="55" t="n">
        <x:v>410</x:v>
      </x:c>
      <x:c r="AI855" s="55" t="n">
        <x:v>10752</x:v>
      </x:c>
      <x:c r="AJ855" s="55" t="n">
        <x:v>199</x:v>
      </x:c>
      <x:c r="AK855" s="55" t="n">
        <x:v>1294</x:v>
      </x:c>
      <x:c r="AL855" s="55" t="n">
        <x:v>1394</x:v>
      </x:c>
      <x:c r="AM855" s="55" t="n">
        <x:v>5268</x:v>
      </x:c>
      <x:c r="AN855" s="55" t="n">
        <x:v>2991</x:v>
      </x:c>
      <x:c r="AO855" s="55" t="n">
        <x:v>16</x:v>
      </x:c>
      <x:c r="AP855" s="55" t="n">
        <x:v>2344</x:v>
      </x:c>
      <x:c r="AQ855" s="55" t="n">
        <x:v>966</x:v>
      </x:c>
    </x:row>
    <x:row r="856">
      <x:c r="A856" s="54" t="str">
        <x:v>T0_TABLE_BLOCK</x:v>
      </x:c>
      <x:c r="B856" s="54" t="n">
        <x:v>850</x:v>
      </x:c>
      <x:c r="C856" s="54" t="str">
        <x:v>NYC-V2-R01</x:v>
      </x:c>
      <x:c r="D856" s="54" t="str">
        <x:v>V2</x:v>
      </x:c>
      <x:c r="E856" s="54" t="str">
        <x:v>ADMITTED</x:v>
      </x:c>
      <x:c r="F856" s="55" t="n">
        <x:v>32836</x:v>
      </x:c>
      <x:c r="G856" s="55" t="n">
        <x:v>8639</x:v>
      </x:c>
      <x:c r="H856" s="55" t="n">
        <x:v>3327</x:v>
      </x:c>
      <x:c r="I856" s="55" t="n">
        <x:v>1490</x:v>
      </x:c>
      <x:c r="J856" s="55" t="n">
        <x:v>175</x:v>
      </x:c>
      <x:c r="K856" s="55" t="n">
        <x:v>32836</x:v>
      </x:c>
      <x:c r="L856" s="55" t="n">
        <x:v>5867</x:v>
      </x:c>
      <x:c r="M856" s="55" t="n">
        <x:v>1629</x:v>
      </x:c>
      <x:c r="N856" s="55" t="n">
        <x:v>2722</x:v>
      </x:c>
      <x:c r="O856" s="55" t="n">
        <x:v>1516</x:v>
      </x:c>
      <x:c r="P856" s="55" t="n">
        <x:v>438</x:v>
      </x:c>
      <x:c r="Q856" s="55" t="n">
        <x:v>2032</x:v>
      </x:c>
      <x:c r="R856" s="55" t="n">
        <x:v>1560</x:v>
      </x:c>
      <x:c r="S856" s="55" t="n">
        <x:v>2772</x:v>
      </x:c>
      <x:c r="T856" s="55" t="n">
        <x:v>1189</x:v>
      </x:c>
      <x:c r="U856" s="55" t="n">
        <x:v>1893</x:v>
      </x:c>
      <x:c r="V856" s="55" t="n">
        <x:v>10489</x:v>
      </x:c>
      <x:c r="W856" s="55" t="n">
        <x:v>7544</x:v>
      </x:c>
      <x:c r="X856" s="55" t="n">
        <x:v>2945</x:v>
      </x:c>
      <x:c r="Y856" s="55" t="n">
        <x:v>2526</x:v>
      </x:c>
      <x:c r="Z856" s="55" t="n">
        <x:v>3704</x:v>
      </x:c>
      <x:c r="AA856" s="55" t="n">
        <x:v>3327</x:v>
      </x:c>
      <x:c r="AB856" s="55" t="n">
        <x:v>1375</x:v>
      </x:c>
      <x:c r="AC856" s="55" t="n">
        <x:v>7552</x:v>
      </x:c>
      <x:c r="AD856" s="55" t="n">
        <x:v>2916</x:v>
      </x:c>
      <x:c r="AE856" s="55" t="n">
        <x:v>10573</x:v>
      </x:c>
      <x:c r="AF856" s="55" t="n">
        <x:v>10489</x:v>
      </x:c>
      <x:c r="AG856" s="55" t="n">
        <x:v>84</x:v>
      </x:c>
      <x:c r="AH856" s="55" t="n">
        <x:v>457</x:v>
      </x:c>
      <x:c r="AI856" s="55" t="n">
        <x:v>10032</x:v>
      </x:c>
      <x:c r="AJ856" s="55" t="n">
        <x:v>350</x:v>
      </x:c>
      <x:c r="AK856" s="55" t="n">
        <x:v>890</x:v>
      </x:c>
      <x:c r="AL856" s="55" t="n">
        <x:v>1162</x:v>
      </x:c>
      <x:c r="AM856" s="55" t="n">
        <x:v>5192</x:v>
      </x:c>
      <x:c r="AN856" s="55" t="n">
        <x:v>2828</x:v>
      </x:c>
      <x:c r="AO856" s="55" t="n">
        <x:v>67</x:v>
      </x:c>
      <x:c r="AP856" s="55" t="n">
        <x:v>2146</x:v>
      </x:c>
      <x:c r="AQ856" s="55" t="n">
        <x:v>954</x:v>
      </x:c>
    </x:row>
    <x:row r="857">
      <x:c r="A857" s="54" t="str">
        <x:v>T0_TABLE_BLOCK</x:v>
      </x:c>
      <x:c r="B857" s="54" t="n">
        <x:v>851</x:v>
      </x:c>
      <x:c r="C857" s="54" t="str">
        <x:v>NYC-V2-R01</x:v>
      </x:c>
      <x:c r="D857" s="54" t="str">
        <x:v>V2</x:v>
      </x:c>
      <x:c r="E857" s="54" t="str">
        <x:v>ADMITTED</x:v>
      </x:c>
      <x:c r="F857" s="55" t="n">
        <x:v>30974</x:v>
      </x:c>
      <x:c r="G857" s="55" t="n">
        <x:v>7305</x:v>
      </x:c>
      <x:c r="H857" s="55" t="n">
        <x:v>2788</x:v>
      </x:c>
      <x:c r="I857" s="55" t="n">
        <x:v>1169</x:v>
      </x:c>
      <x:c r="J857" s="55" t="n">
        <x:v>142</x:v>
      </x:c>
      <x:c r="K857" s="55" t="n">
        <x:v>29174</x:v>
      </x:c>
      <x:c r="L857" s="55" t="n">
        <x:v>5784</x:v>
      </x:c>
      <x:c r="M857" s="55" t="n">
        <x:v>915</x:v>
      </x:c>
      <x:c r="N857" s="55" t="n">
        <x:v>3040</x:v>
      </x:c>
      <x:c r="O857" s="55" t="n">
        <x:v>1829</x:v>
      </x:c>
      <x:c r="P857" s="55" t="n">
        <x:v>713</x:v>
      </x:c>
      <x:c r="Q857" s="55" t="n">
        <x:v>2368</x:v>
      </x:c>
      <x:c r="R857" s="55" t="n">
        <x:v>1915</x:v>
      </x:c>
      <x:c r="S857" s="55" t="n">
        <x:v>2610</x:v>
      </x:c>
      <x:c r="T857" s="55" t="n">
        <x:v>1462</x:v>
      </x:c>
      <x:c r="U857" s="55" t="n">
        <x:v>1973</x:v>
      </x:c>
      <x:c r="V857" s="55" t="n">
        <x:v>10443</x:v>
      </x:c>
      <x:c r="W857" s="55" t="n">
        <x:v>7477</x:v>
      </x:c>
      <x:c r="X857" s="55" t="n">
        <x:v>2966</x:v>
      </x:c>
      <x:c r="Y857" s="55" t="n">
        <x:v>2444</x:v>
      </x:c>
      <x:c r="Z857" s="55" t="n">
        <x:v>3893</x:v>
      </x:c>
      <x:c r="AA857" s="55" t="n">
        <x:v>2469</x:v>
      </x:c>
      <x:c r="AB857" s="55" t="n">
        <x:v>799</x:v>
      </x:c>
      <x:c r="AC857" s="55" t="n">
        <x:v>7969</x:v>
      </x:c>
      <x:c r="AD857" s="55" t="n">
        <x:v>3102</x:v>
      </x:c>
      <x:c r="AE857" s="55" t="n">
        <x:v>10522</x:v>
      </x:c>
      <x:c r="AF857" s="55" t="n">
        <x:v>10443</x:v>
      </x:c>
      <x:c r="AG857" s="55" t="n">
        <x:v>79</x:v>
      </x:c>
      <x:c r="AH857" s="55" t="n">
        <x:v>408</x:v>
      </x:c>
      <x:c r="AI857" s="55" t="n">
        <x:v>10035</x:v>
      </x:c>
      <x:c r="AJ857" s="55" t="n">
        <x:v>316</x:v>
      </x:c>
      <x:c r="AK857" s="55" t="n">
        <x:v>888</x:v>
      </x:c>
      <x:c r="AL857" s="55" t="n">
        <x:v>1618</x:v>
      </x:c>
      <x:c r="AM857" s="55" t="n">
        <x:v>4815</x:v>
      </x:c>
      <x:c r="AN857" s="55" t="n">
        <x:v>2724</x:v>
      </x:c>
      <x:c r="AO857" s="55" t="n">
        <x:v>82</x:v>
      </x:c>
      <x:c r="AP857" s="55" t="n">
        <x:v>2216</x:v>
      </x:c>
      <x:c r="AQ857" s="55" t="n">
        <x:v>919</x:v>
      </x:c>
    </x:row>
    <x:row r="858">
      <x:c r="A858" s="54" t="str">
        <x:v>T0_TABLE_BLOCK</x:v>
      </x:c>
      <x:c r="B858" s="54" t="n">
        <x:v>852</x:v>
      </x:c>
      <x:c r="C858" s="54" t="str">
        <x:v>NYC-V2-R01</x:v>
      </x:c>
      <x:c r="D858" s="54" t="str">
        <x:v>V2</x:v>
      </x:c>
      <x:c r="E858" s="54" t="str">
        <x:v>ADMITTED</x:v>
      </x:c>
      <x:c r="F858" s="55" t="n">
        <x:v>31782</x:v>
      </x:c>
      <x:c r="G858" s="55" t="n">
        <x:v>8120</x:v>
      </x:c>
      <x:c r="H858" s="55" t="n">
        <x:v>3239</x:v>
      </x:c>
      <x:c r="I858" s="55" t="n">
        <x:v>787</x:v>
      </x:c>
      <x:c r="J858" s="55" t="n">
        <x:v>109</x:v>
      </x:c>
      <x:c r="K858" s="55" t="n">
        <x:v>29121</x:v>
      </x:c>
      <x:c r="L858" s="55" t="n">
        <x:v>5812</x:v>
      </x:c>
      <x:c r="M858" s="55" t="n">
        <x:v>865</x:v>
      </x:c>
      <x:c r="N858" s="55" t="n">
        <x:v>2999</x:v>
      </x:c>
      <x:c r="O858" s="55" t="n">
        <x:v>1948</x:v>
      </x:c>
      <x:c r="P858" s="55" t="n">
        <x:v>958</x:v>
      </x:c>
      <x:c r="Q858" s="55" t="n">
        <x:v>2928</x:v>
      </x:c>
      <x:c r="R858" s="55" t="n">
        <x:v>1343</x:v>
      </x:c>
      <x:c r="S858" s="55" t="n">
        <x:v>2943</x:v>
      </x:c>
      <x:c r="T858" s="55" t="n">
        <x:v>1345</x:v>
      </x:c>
      <x:c r="U858" s="55" t="n">
        <x:v>2526</x:v>
      </x:c>
      <x:c r="V858" s="55" t="n">
        <x:v>10339</x:v>
      </x:c>
      <x:c r="W858" s="55" t="n">
        <x:v>7093</x:v>
      </x:c>
      <x:c r="X858" s="55" t="n">
        <x:v>3246</x:v>
      </x:c>
      <x:c r="Y858" s="55" t="n">
        <x:v>2680</x:v>
      </x:c>
      <x:c r="Z858" s="55" t="n">
        <x:v>3369</x:v>
      </x:c>
      <x:c r="AA858" s="55" t="n">
        <x:v>3239</x:v>
      </x:c>
      <x:c r="AB858" s="55" t="n">
        <x:v>1072</x:v>
      </x:c>
      <x:c r="AC858" s="55" t="n">
        <x:v>8559</x:v>
      </x:c>
      <x:c r="AD858" s="55" t="n">
        <x:v>2939</x:v>
      </x:c>
      <x:c r="AE858" s="55" t="n">
        <x:v>10498</x:v>
      </x:c>
      <x:c r="AF858" s="55" t="n">
        <x:v>10339</x:v>
      </x:c>
      <x:c r="AG858" s="55" t="n">
        <x:v>159</x:v>
      </x:c>
      <x:c r="AH858" s="55" t="n">
        <x:v>383</x:v>
      </x:c>
      <x:c r="AI858" s="55" t="n">
        <x:v>9956</x:v>
      </x:c>
      <x:c r="AJ858" s="55" t="n">
        <x:v>219</x:v>
      </x:c>
      <x:c r="AK858" s="55" t="n">
        <x:v>820</x:v>
      </x:c>
      <x:c r="AL858" s="55" t="n">
        <x:v>1631</x:v>
      </x:c>
      <x:c r="AM858" s="55" t="n">
        <x:v>5193</x:v>
      </x:c>
      <x:c r="AN858" s="55" t="n">
        <x:v>2448</x:v>
      </x:c>
      <x:c r="AO858" s="55" t="n">
        <x:v>28</x:v>
      </x:c>
      <x:c r="AP858" s="55" t="n">
        <x:v>2019</x:v>
      </x:c>
      <x:c r="AQ858" s="55" t="n">
        <x:v>909</x:v>
      </x:c>
    </x:row>
    <x:row r="859">
      <x:c r="A859" s="54" t="str">
        <x:v>T0_TABLE_BLOCK</x:v>
      </x:c>
      <x:c r="B859" s="54" t="n">
        <x:v>853</x:v>
      </x:c>
      <x:c r="C859" s="54" t="str">
        <x:v>NYC-V2-R01</x:v>
      </x:c>
      <x:c r="D859" s="54" t="str">
        <x:v>V2</x:v>
      </x:c>
      <x:c r="E859" s="54" t="str">
        <x:v>ADMITTED</x:v>
      </x:c>
      <x:c r="F859" s="55" t="n">
        <x:v>30612</x:v>
      </x:c>
      <x:c r="G859" s="55" t="n">
        <x:v>8580</x:v>
      </x:c>
      <x:c r="H859" s="55" t="n">
        <x:v>3353</x:v>
      </x:c>
      <x:c r="I859" s="55" t="n">
        <x:v>1129</x:v>
      </x:c>
      <x:c r="J859" s="55" t="n">
        <x:v>300</x:v>
      </x:c>
      <x:c r="K859" s="55" t="n">
        <x:v>30612</x:v>
      </x:c>
      <x:c r="L859" s="55" t="n">
        <x:v>6159</x:v>
      </x:c>
      <x:c r="M859" s="55" t="n">
        <x:v>1579</x:v>
      </x:c>
      <x:c r="N859" s="55" t="n">
        <x:v>2906</x:v>
      </x:c>
      <x:c r="O859" s="55" t="n">
        <x:v>1674</x:v>
      </x:c>
      <x:c r="P859" s="55" t="n">
        <x:v>670</x:v>
      </x:c>
      <x:c r="Q859" s="55" t="n">
        <x:v>1857</x:v>
      </x:c>
      <x:c r="R859" s="55" t="n">
        <x:v>1863</x:v>
      </x:c>
      <x:c r="S859" s="55" t="n">
        <x:v>1993</x:v>
      </x:c>
      <x:c r="T859" s="55" t="n">
        <x:v>979</x:v>
      </x:c>
      <x:c r="U859" s="55" t="n">
        <x:v>2147</x:v>
      </x:c>
      <x:c r="V859" s="55" t="n">
        <x:v>10103</x:v>
      </x:c>
      <x:c r="W859" s="55" t="n">
        <x:v>7390</x:v>
      </x:c>
      <x:c r="X859" s="55" t="n">
        <x:v>2713</x:v>
      </x:c>
      <x:c r="Y859" s="55" t="n">
        <x:v>2062</x:v>
      </x:c>
      <x:c r="Z859" s="55" t="n">
        <x:v>3554</x:v>
      </x:c>
      <x:c r="AA859" s="55" t="n">
        <x:v>3097</x:v>
      </x:c>
      <x:c r="AB859" s="55" t="n">
        <x:v>1223</x:v>
      </x:c>
      <x:c r="AC859" s="55" t="n">
        <x:v>8680</x:v>
      </x:c>
      <x:c r="AD859" s="55" t="n">
        <x:v>3052</x:v>
      </x:c>
      <x:c r="AE859" s="55" t="n">
        <x:v>10186</x:v>
      </x:c>
      <x:c r="AF859" s="55" t="n">
        <x:v>10103</x:v>
      </x:c>
      <x:c r="AG859" s="55" t="n">
        <x:v>83</x:v>
      </x:c>
      <x:c r="AH859" s="55" t="n">
        <x:v>276</x:v>
      </x:c>
      <x:c r="AI859" s="55" t="n">
        <x:v>9827</x:v>
      </x:c>
      <x:c r="AJ859" s="55" t="n">
        <x:v>295</x:v>
      </x:c>
      <x:c r="AK859" s="55" t="n">
        <x:v>853</x:v>
      </x:c>
      <x:c r="AL859" s="55" t="n">
        <x:v>1473</x:v>
      </x:c>
      <x:c r="AM859" s="55" t="n">
        <x:v>4480</x:v>
      </x:c>
      <x:c r="AN859" s="55" t="n">
        <x:v>3002</x:v>
      </x:c>
      <x:c r="AO859" s="55" t="n">
        <x:v>0</x:v>
      </x:c>
      <x:c r="AP859" s="55" t="n">
        <x:v>2341</x:v>
      </x:c>
      <x:c r="AQ859" s="55" t="n">
        <x:v>947</x:v>
      </x:c>
    </x:row>
    <x:row r="860">
      <x:c r="A860" s="54" t="str">
        <x:v>T0_TABLE_BLOCK</x:v>
      </x:c>
      <x:c r="B860" s="54" t="n">
        <x:v>854</x:v>
      </x:c>
      <x:c r="C860" s="54" t="str">
        <x:v>NYC-V2-R01</x:v>
      </x:c>
      <x:c r="D860" s="54" t="str">
        <x:v>V2</x:v>
      </x:c>
      <x:c r="E860" s="54" t="str">
        <x:v>ADMITTED</x:v>
      </x:c>
      <x:c r="F860" s="55" t="n">
        <x:v>29875</x:v>
      </x:c>
      <x:c r="G860" s="55" t="n">
        <x:v>7580</x:v>
      </x:c>
      <x:c r="H860" s="55" t="n">
        <x:v>3505</x:v>
      </x:c>
      <x:c r="I860" s="55" t="n">
        <x:v>1354</x:v>
      </x:c>
      <x:c r="J860" s="55" t="n">
        <x:v>92</x:v>
      </x:c>
      <x:c r="K860" s="55" t="n">
        <x:v>29875</x:v>
      </x:c>
      <x:c r="L860" s="55" t="n">
        <x:v>4153</x:v>
      </x:c>
      <x:c r="M860" s="55" t="n">
        <x:v>0</x:v>
      </x:c>
      <x:c r="N860" s="55" t="n">
        <x:v>2120</x:v>
      </x:c>
      <x:c r="O860" s="55" t="n">
        <x:v>2033</x:v>
      </x:c>
      <x:c r="P860" s="55" t="n">
        <x:v>1189</x:v>
      </x:c>
      <x:c r="Q860" s="55" t="n">
        <x:v>3169</x:v>
      </x:c>
      <x:c r="R860" s="55" t="n">
        <x:v>1736</x:v>
      </x:c>
      <x:c r="S860" s="55" t="n">
        <x:v>2996</x:v>
      </x:c>
      <x:c r="T860" s="55" t="n">
        <x:v>868</x:v>
      </x:c>
      <x:c r="U860" s="55" t="n">
        <x:v>2276</x:v>
      </x:c>
      <x:c r="V860" s="55" t="n">
        <x:v>9681</x:v>
      </x:c>
      <x:c r="W860" s="55" t="n">
        <x:v>6485</x:v>
      </x:c>
      <x:c r="X860" s="55" t="n">
        <x:v>3196</x:v>
      </x:c>
      <x:c r="Y860" s="55" t="n">
        <x:v>2718</x:v>
      </x:c>
      <x:c r="Z860" s="55" t="n">
        <x:v>3955</x:v>
      </x:c>
      <x:c r="AA860" s="55" t="n">
        <x:v>3376</x:v>
      </x:c>
      <x:c r="AB860" s="55" t="n">
        <x:v>1180</x:v>
      </x:c>
      <x:c r="AC860" s="55" t="n">
        <x:v>7774</x:v>
      </x:c>
      <x:c r="AD860" s="55" t="n">
        <x:v>2587</x:v>
      </x:c>
      <x:c r="AE860" s="55" t="n">
        <x:v>9811</x:v>
      </x:c>
      <x:c r="AF860" s="55" t="n">
        <x:v>9681</x:v>
      </x:c>
      <x:c r="AG860" s="55" t="n">
        <x:v>130</x:v>
      </x:c>
      <x:c r="AH860" s="55" t="n">
        <x:v>354</x:v>
      </x:c>
      <x:c r="AI860" s="55" t="n">
        <x:v>9327</x:v>
      </x:c>
      <x:c r="AJ860" s="55" t="n">
        <x:v>222</x:v>
      </x:c>
      <x:c r="AK860" s="55" t="n">
        <x:v>1160</x:v>
      </x:c>
      <x:c r="AL860" s="55" t="n">
        <x:v>1661</x:v>
      </x:c>
      <x:c r="AM860" s="55" t="n">
        <x:v>4212</x:v>
      </x:c>
      <x:c r="AN860" s="55" t="n">
        <x:v>2384</x:v>
      </x:c>
      <x:c r="AO860" s="55" t="n">
        <x:v>42</x:v>
      </x:c>
      <x:c r="AP860" s="55" t="n">
        <x:v>2144</x:v>
      </x:c>
      <x:c r="AQ860" s="55" t="n">
        <x:v>950</x:v>
      </x:c>
    </x:row>
    <x:row r="861">
      <x:c r="A861" s="54" t="str">
        <x:v>T0_TABLE_BLOCK</x:v>
      </x:c>
      <x:c r="B861" s="54" t="n">
        <x:v>855</x:v>
      </x:c>
      <x:c r="C861" s="54" t="str">
        <x:v>NYC-V2-R01</x:v>
      </x:c>
      <x:c r="D861" s="54" t="str">
        <x:v>V2</x:v>
      </x:c>
      <x:c r="E861" s="54" t="str">
        <x:v>ADMITTED</x:v>
      </x:c>
      <x:c r="F861" s="55" t="n">
        <x:v>31479</x:v>
      </x:c>
      <x:c r="G861" s="55" t="n">
        <x:v>6772</x:v>
      </x:c>
      <x:c r="H861" s="55" t="n">
        <x:v>3935</x:v>
      </x:c>
      <x:c r="I861" s="55" t="n">
        <x:v>1604</x:v>
      </x:c>
      <x:c r="J861" s="55" t="n">
        <x:v>427</x:v>
      </x:c>
      <x:c r="K861" s="55" t="n">
        <x:v>28235</x:v>
      </x:c>
      <x:c r="L861" s="55" t="n">
        <x:v>5817</x:v>
      </x:c>
      <x:c r="M861" s="55" t="n">
        <x:v>1881</x:v>
      </x:c>
      <x:c r="N861" s="55" t="n">
        <x:v>2315</x:v>
      </x:c>
      <x:c r="O861" s="55" t="n">
        <x:v>1621</x:v>
      </x:c>
      <x:c r="P861" s="55" t="n">
        <x:v>660</x:v>
      </x:c>
      <x:c r="Q861" s="55" t="n">
        <x:v>2767</x:v>
      </x:c>
      <x:c r="R861" s="55" t="n">
        <x:v>1764</x:v>
      </x:c>
      <x:c r="S861" s="55" t="n">
        <x:v>2865</x:v>
      </x:c>
      <x:c r="T861" s="55" t="n">
        <x:v>1041</x:v>
      </x:c>
      <x:c r="U861" s="55" t="n">
        <x:v>2621</x:v>
      </x:c>
      <x:c r="V861" s="55" t="n">
        <x:v>10398</x:v>
      </x:c>
      <x:c r="W861" s="55" t="n">
        <x:v>7440</x:v>
      </x:c>
      <x:c r="X861" s="55" t="n">
        <x:v>2958</x:v>
      </x:c>
      <x:c r="Y861" s="55" t="n">
        <x:v>2673</x:v>
      </x:c>
      <x:c r="Z861" s="55" t="n">
        <x:v>3532</x:v>
      </x:c>
      <x:c r="AA861" s="55" t="n">
        <x:v>3073</x:v>
      </x:c>
      <x:c r="AB861" s="55" t="n">
        <x:v>1333</x:v>
      </x:c>
      <x:c r="AC861" s="55" t="n">
        <x:v>8074</x:v>
      </x:c>
      <x:c r="AD861" s="55" t="n">
        <x:v>2606</x:v>
      </x:c>
      <x:c r="AE861" s="55" t="n">
        <x:v>10480</x:v>
      </x:c>
      <x:c r="AF861" s="55" t="n">
        <x:v>10398</x:v>
      </x:c>
      <x:c r="AG861" s="55" t="n">
        <x:v>82</x:v>
      </x:c>
      <x:c r="AH861" s="55" t="n">
        <x:v>332</x:v>
      </x:c>
      <x:c r="AI861" s="55" t="n">
        <x:v>10066</x:v>
      </x:c>
      <x:c r="AJ861" s="55" t="n">
        <x:v>252</x:v>
      </x:c>
      <x:c r="AK861" s="55" t="n">
        <x:v>1461</x:v>
      </x:c>
      <x:c r="AL861" s="55" t="n">
        <x:v>1283</x:v>
      </x:c>
      <x:c r="AM861" s="55" t="n">
        <x:v>4141</x:v>
      </x:c>
      <x:c r="AN861" s="55" t="n">
        <x:v>3189</x:v>
      </x:c>
      <x:c r="AO861" s="55" t="n">
        <x:v>72</x:v>
      </x:c>
      <x:c r="AP861" s="55" t="n">
        <x:v>2023</x:v>
      </x:c>
      <x:c r="AQ861" s="55" t="n">
        <x:v>929</x:v>
      </x:c>
    </x:row>
    <x:row r="862">
      <x:c r="A862" s="54" t="str">
        <x:v>T0_TABLE_BLOCK</x:v>
      </x:c>
      <x:c r="B862" s="54" t="n">
        <x:v>856</x:v>
      </x:c>
      <x:c r="C862" s="54" t="str">
        <x:v>NYC-V2-R01</x:v>
      </x:c>
      <x:c r="D862" s="54" t="str">
        <x:v>V2</x:v>
      </x:c>
      <x:c r="E862" s="54" t="str">
        <x:v>ADMITTED</x:v>
      </x:c>
      <x:c r="F862" s="55" t="n">
        <x:v>29814</x:v>
      </x:c>
      <x:c r="G862" s="55" t="n">
        <x:v>7238</x:v>
      </x:c>
      <x:c r="H862" s="55" t="n">
        <x:v>3125</x:v>
      </x:c>
      <x:c r="I862" s="55" t="n">
        <x:v>1135</x:v>
      </x:c>
      <x:c r="J862" s="55" t="n">
        <x:v>183</x:v>
      </x:c>
      <x:c r="K862" s="55" t="n">
        <x:v>29814</x:v>
      </x:c>
      <x:c r="L862" s="55" t="n">
        <x:v>5641</x:v>
      </x:c>
      <x:c r="M862" s="55" t="n">
        <x:v>1773</x:v>
      </x:c>
      <x:c r="N862" s="55" t="n">
        <x:v>1989</x:v>
      </x:c>
      <x:c r="O862" s="55" t="n">
        <x:v>1879</x:v>
      </x:c>
      <x:c r="P862" s="55" t="n">
        <x:v>832</x:v>
      </x:c>
      <x:c r="Q862" s="55" t="n">
        <x:v>2360</x:v>
      </x:c>
      <x:c r="R862" s="55" t="n">
        <x:v>1211</x:v>
      </x:c>
      <x:c r="S862" s="55" t="n">
        <x:v>2152</x:v>
      </x:c>
      <x:c r="T862" s="55" t="n">
        <x:v>1428</x:v>
      </x:c>
      <x:c r="U862" s="55" t="n">
        <x:v>2314</x:v>
      </x:c>
      <x:c r="V862" s="55" t="n">
        <x:v>10054</x:v>
      </x:c>
      <x:c r="W862" s="55" t="n">
        <x:v>7483</x:v>
      </x:c>
      <x:c r="X862" s="55" t="n">
        <x:v>2571</x:v>
      </x:c>
      <x:c r="Y862" s="55" t="n">
        <x:v>2137</x:v>
      </x:c>
      <x:c r="Z862" s="55" t="n">
        <x:v>4005</x:v>
      </x:c>
      <x:c r="AA862" s="55" t="n">
        <x:v>3125</x:v>
      </x:c>
      <x:c r="AB862" s="55" t="n">
        <x:v>1665</x:v>
      </x:c>
      <x:c r="AC862" s="55" t="n">
        <x:v>8400</x:v>
      </x:c>
      <x:c r="AD862" s="55" t="n">
        <x:v>2988</x:v>
      </x:c>
      <x:c r="AE862" s="55" t="n">
        <x:v>10147</x:v>
      </x:c>
      <x:c r="AF862" s="55" t="n">
        <x:v>10054</x:v>
      </x:c>
      <x:c r="AG862" s="55" t="n">
        <x:v>93</x:v>
      </x:c>
      <x:c r="AH862" s="55" t="n">
        <x:v>314</x:v>
      </x:c>
      <x:c r="AI862" s="55" t="n">
        <x:v>9740</x:v>
      </x:c>
      <x:c r="AJ862" s="55" t="n">
        <x:v>484</x:v>
      </x:c>
      <x:c r="AK862" s="55" t="n">
        <x:v>712</x:v>
      </x:c>
      <x:c r="AL862" s="55" t="n">
        <x:v>1299</x:v>
      </x:c>
      <x:c r="AM862" s="55" t="n">
        <x:v>4458</x:v>
      </x:c>
      <x:c r="AN862" s="55" t="n">
        <x:v>3084</x:v>
      </x:c>
      <x:c r="AO862" s="55" t="n">
        <x:v>17</x:v>
      </x:c>
      <x:c r="AP862" s="55" t="n">
        <x:v>2449</x:v>
      </x:c>
      <x:c r="AQ862" s="55" t="n">
        <x:v>987</x:v>
      </x:c>
    </x:row>
    <x:row r="863">
      <x:c r="A863" s="54" t="str">
        <x:v>T0_TABLE_BLOCK</x:v>
      </x:c>
      <x:c r="B863" s="54" t="n">
        <x:v>857</x:v>
      </x:c>
      <x:c r="C863" s="54" t="str">
        <x:v>NYC-V2-R01</x:v>
      </x:c>
      <x:c r="D863" s="54" t="str">
        <x:v>V2</x:v>
      </x:c>
      <x:c r="E863" s="54" t="str">
        <x:v>ADMITTED</x:v>
      </x:c>
      <x:c r="F863" s="55" t="n">
        <x:v>31890</x:v>
      </x:c>
      <x:c r="G863" s="55" t="n">
        <x:v>9164</x:v>
      </x:c>
      <x:c r="H863" s="55" t="n">
        <x:v>3052</x:v>
      </x:c>
      <x:c r="I863" s="55" t="n">
        <x:v>935</x:v>
      </x:c>
      <x:c r="J863" s="55" t="n">
        <x:v>112</x:v>
      </x:c>
      <x:c r="K863" s="55" t="n">
        <x:v>28656</x:v>
      </x:c>
      <x:c r="L863" s="55" t="n">
        <x:v>5432</x:v>
      </x:c>
      <x:c r="M863" s="55" t="n">
        <x:v>550</x:v>
      </x:c>
      <x:c r="N863" s="55" t="n">
        <x:v>2854</x:v>
      </x:c>
      <x:c r="O863" s="55" t="n">
        <x:v>2028</x:v>
      </x:c>
      <x:c r="P863" s="55" t="n">
        <x:v>821</x:v>
      </x:c>
      <x:c r="Q863" s="55" t="n">
        <x:v>1346</x:v>
      </x:c>
      <x:c r="R863" s="55" t="n">
        <x:v>1493</x:v>
      </x:c>
      <x:c r="S863" s="55" t="n">
        <x:v>3423</x:v>
      </x:c>
      <x:c r="T863" s="55" t="n">
        <x:v>1011</x:v>
      </x:c>
      <x:c r="U863" s="55" t="n">
        <x:v>1907</x:v>
      </x:c>
      <x:c r="V863" s="55" t="n">
        <x:v>9894</x:v>
      </x:c>
      <x:c r="W863" s="55" t="n">
        <x:v>6818</x:v>
      </x:c>
      <x:c r="X863" s="55" t="n">
        <x:v>3076</x:v>
      </x:c>
      <x:c r="Y863" s="55" t="n">
        <x:v>2642</x:v>
      </x:c>
      <x:c r="Z863" s="55" t="n">
        <x:v>4161</x:v>
      </x:c>
      <x:c r="AA863" s="55" t="n">
        <x:v>2998</x:v>
      </x:c>
      <x:c r="AB863" s="55" t="n">
        <x:v>941</x:v>
      </x:c>
      <x:c r="AC863" s="55" t="n">
        <x:v>8202</x:v>
      </x:c>
      <x:c r="AD863" s="55" t="n">
        <x:v>2461</x:v>
      </x:c>
      <x:c r="AE863" s="55" t="n">
        <x:v>9977</x:v>
      </x:c>
      <x:c r="AF863" s="55" t="n">
        <x:v>9894</x:v>
      </x:c>
      <x:c r="AG863" s="55" t="n">
        <x:v>83</x:v>
      </x:c>
      <x:c r="AH863" s="55" t="n">
        <x:v>312</x:v>
      </x:c>
      <x:c r="AI863" s="55" t="n">
        <x:v>9582</x:v>
      </x:c>
      <x:c r="AJ863" s="55" t="n">
        <x:v>383</x:v>
      </x:c>
      <x:c r="AK863" s="55" t="n">
        <x:v>1086</x:v>
      </x:c>
      <x:c r="AL863" s="55" t="n">
        <x:v>1933</x:v>
      </x:c>
      <x:c r="AM863" s="55" t="n">
        <x:v>3878</x:v>
      </x:c>
      <x:c r="AN863" s="55" t="n">
        <x:v>2614</x:v>
      </x:c>
      <x:c r="AO863" s="55" t="n">
        <x:v>0</x:v>
      </x:c>
      <x:c r="AP863" s="55" t="n">
        <x:v>2318</x:v>
      </x:c>
      <x:c r="AQ863" s="55" t="n">
        <x:v>921</x:v>
      </x:c>
    </x:row>
    <x:row r="864">
      <x:c r="A864" s="54" t="str">
        <x:v>T0_TABLE_BLOCK</x:v>
      </x:c>
      <x:c r="B864" s="54" t="n">
        <x:v>858</x:v>
      </x:c>
      <x:c r="C864" s="54" t="str">
        <x:v>NYC-V2-R01</x:v>
      </x:c>
      <x:c r="D864" s="54" t="str">
        <x:v>V2</x:v>
      </x:c>
      <x:c r="E864" s="54" t="str">
        <x:v>ADMITTED</x:v>
      </x:c>
      <x:c r="F864" s="55" t="n">
        <x:v>31657</x:v>
      </x:c>
      <x:c r="G864" s="55" t="n">
        <x:v>9479</x:v>
      </x:c>
      <x:c r="H864" s="55" t="n">
        <x:v>2736</x:v>
      </x:c>
      <x:c r="I864" s="55" t="n">
        <x:v>1144</x:v>
      </x:c>
      <x:c r="J864" s="55" t="n">
        <x:v>217</x:v>
      </x:c>
      <x:c r="K864" s="55" t="n">
        <x:v>31617</x:v>
      </x:c>
      <x:c r="L864" s="55" t="n">
        <x:v>5524</x:v>
      </x:c>
      <x:c r="M864" s="55" t="n">
        <x:v>1418</x:v>
      </x:c>
      <x:c r="N864" s="55" t="n">
        <x:v>2363</x:v>
      </x:c>
      <x:c r="O864" s="55" t="n">
        <x:v>1743</x:v>
      </x:c>
      <x:c r="P864" s="55" t="n">
        <x:v>897</x:v>
      </x:c>
      <x:c r="Q864" s="55" t="n">
        <x:v>2555</x:v>
      </x:c>
      <x:c r="R864" s="55" t="n">
        <x:v>2038</x:v>
      </x:c>
      <x:c r="S864" s="55" t="n">
        <x:v>3144</x:v>
      </x:c>
      <x:c r="T864" s="55" t="n">
        <x:v>935</x:v>
      </x:c>
      <x:c r="U864" s="55" t="n">
        <x:v>2189</x:v>
      </x:c>
      <x:c r="V864" s="55" t="n">
        <x:v>10396</x:v>
      </x:c>
      <x:c r="W864" s="55" t="n">
        <x:v>7234</x:v>
      </x:c>
      <x:c r="X864" s="55" t="n">
        <x:v>3162</x:v>
      </x:c>
      <x:c r="Y864" s="55" t="n">
        <x:v>2602</x:v>
      </x:c>
      <x:c r="Z864" s="55" t="n">
        <x:v>3792</x:v>
      </x:c>
      <x:c r="AA864" s="55" t="n">
        <x:v>2618</x:v>
      </x:c>
      <x:c r="AB864" s="55" t="n">
        <x:v>1090</x:v>
      </x:c>
      <x:c r="AC864" s="55" t="n">
        <x:v>8325</x:v>
      </x:c>
      <x:c r="AD864" s="55" t="n">
        <x:v>2805</x:v>
      </x:c>
      <x:c r="AE864" s="55" t="n">
        <x:v>10503</x:v>
      </x:c>
      <x:c r="AF864" s="55" t="n">
        <x:v>10396</x:v>
      </x:c>
      <x:c r="AG864" s="55" t="n">
        <x:v>107</x:v>
      </x:c>
      <x:c r="AH864" s="55" t="n">
        <x:v>500</x:v>
      </x:c>
      <x:c r="AI864" s="55" t="n">
        <x:v>9896</x:v>
      </x:c>
      <x:c r="AJ864" s="55" t="n">
        <x:v>421</x:v>
      </x:c>
      <x:c r="AK864" s="55" t="n">
        <x:v>915</x:v>
      </x:c>
      <x:c r="AL864" s="55" t="n">
        <x:v>1866</x:v>
      </x:c>
      <x:c r="AM864" s="55" t="n">
        <x:v>4459</x:v>
      </x:c>
      <x:c r="AN864" s="55" t="n">
        <x:v>2735</x:v>
      </x:c>
      <x:c r="AO864" s="55" t="n">
        <x:v>0</x:v>
      </x:c>
      <x:c r="AP864" s="55" t="n">
        <x:v>2145</x:v>
      </x:c>
      <x:c r="AQ864" s="55" t="n">
        <x:v>958</x:v>
      </x:c>
    </x:row>
    <x:row r="865">
      <x:c r="A865" s="54" t="str">
        <x:v>T0_TABLE_BLOCK</x:v>
      </x:c>
      <x:c r="B865" s="54" t="n">
        <x:v>859</x:v>
      </x:c>
      <x:c r="C865" s="54" t="str">
        <x:v>NYC-V2-R01</x:v>
      </x:c>
      <x:c r="D865" s="54" t="str">
        <x:v>V2</x:v>
      </x:c>
      <x:c r="E865" s="54" t="str">
        <x:v>ADMITTED</x:v>
      </x:c>
      <x:c r="F865" s="55" t="n">
        <x:v>34387</x:v>
      </x:c>
      <x:c r="G865" s="55" t="n">
        <x:v>7595</x:v>
      </x:c>
      <x:c r="H865" s="55" t="n">
        <x:v>2997</x:v>
      </x:c>
      <x:c r="I865" s="55" t="n">
        <x:v>933</x:v>
      </x:c>
      <x:c r="J865" s="55" t="n">
        <x:v>164</x:v>
      </x:c>
      <x:c r="K865" s="55" t="n">
        <x:v>34387</x:v>
      </x:c>
      <x:c r="L865" s="55" t="n">
        <x:v>5810</x:v>
      </x:c>
      <x:c r="M865" s="55" t="n">
        <x:v>1752</x:v>
      </x:c>
      <x:c r="N865" s="55" t="n">
        <x:v>2537</x:v>
      </x:c>
      <x:c r="O865" s="55" t="n">
        <x:v>1521</x:v>
      </x:c>
      <x:c r="P865" s="55" t="n">
        <x:v>560</x:v>
      </x:c>
      <x:c r="Q865" s="55" t="n">
        <x:v>2001</x:v>
      </x:c>
      <x:c r="R865" s="55" t="n">
        <x:v>1484</x:v>
      </x:c>
      <x:c r="S865" s="55" t="n">
        <x:v>2709</x:v>
      </x:c>
      <x:c r="T865" s="55" t="n">
        <x:v>1510</x:v>
      </x:c>
      <x:c r="U865" s="55" t="n">
        <x:v>2156</x:v>
      </x:c>
      <x:c r="V865" s="55" t="n">
        <x:v>10485</x:v>
      </x:c>
      <x:c r="W865" s="55" t="n">
        <x:v>7341</x:v>
      </x:c>
      <x:c r="X865" s="55" t="n">
        <x:v>3144</x:v>
      </x:c>
      <x:c r="Y865" s="55" t="n">
        <x:v>2666</x:v>
      </x:c>
      <x:c r="Z865" s="55" t="n">
        <x:v>4032</x:v>
      </x:c>
      <x:c r="AA865" s="55" t="n">
        <x:v>2684</x:v>
      </x:c>
      <x:c r="AB865" s="55" t="n">
        <x:v>923</x:v>
      </x:c>
      <x:c r="AC865" s="55" t="n">
        <x:v>8260</x:v>
      </x:c>
      <x:c r="AD865" s="55" t="n">
        <x:v>2847</x:v>
      </x:c>
      <x:c r="AE865" s="55" t="n">
        <x:v>10635</x:v>
      </x:c>
      <x:c r="AF865" s="55" t="n">
        <x:v>10485</x:v>
      </x:c>
      <x:c r="AG865" s="55" t="n">
        <x:v>150</x:v>
      </x:c>
      <x:c r="AH865" s="55" t="n">
        <x:v>563</x:v>
      </x:c>
      <x:c r="AI865" s="55" t="n">
        <x:v>9922</x:v>
      </x:c>
      <x:c r="AJ865" s="55" t="n">
        <x:v>303</x:v>
      </x:c>
      <x:c r="AK865" s="55" t="n">
        <x:v>1616</x:v>
      </x:c>
      <x:c r="AL865" s="55" t="n">
        <x:v>1064</x:v>
      </x:c>
      <x:c r="AM865" s="55" t="n">
        <x:v>5442</x:v>
      </x:c>
      <x:c r="AN865" s="55" t="n">
        <x:v>2017</x:v>
      </x:c>
      <x:c r="AO865" s="55" t="n">
        <x:v>43</x:v>
      </x:c>
      <x:c r="AP865" s="55" t="n">
        <x:v>2535</x:v>
      </x:c>
      <x:c r="AQ865" s="55" t="n">
        <x:v>939</x:v>
      </x:c>
    </x:row>
    <x:row r="866">
      <x:c r="A866" s="54" t="str">
        <x:v>T0_TABLE_BLOCK</x:v>
      </x:c>
      <x:c r="B866" s="54" t="n">
        <x:v>860</x:v>
      </x:c>
      <x:c r="C866" s="54" t="str">
        <x:v>NYC-V2-R01</x:v>
      </x:c>
      <x:c r="D866" s="54" t="str">
        <x:v>V2</x:v>
      </x:c>
      <x:c r="E866" s="54" t="str">
        <x:v>ADMITTED</x:v>
      </x:c>
      <x:c r="F866" s="55" t="n">
        <x:v>31560</x:v>
      </x:c>
      <x:c r="G866" s="55" t="n">
        <x:v>7301</x:v>
      </x:c>
      <x:c r="H866" s="55" t="n">
        <x:v>3489</x:v>
      </x:c>
      <x:c r="I866" s="55" t="n">
        <x:v>1471</x:v>
      </x:c>
      <x:c r="J866" s="55" t="n">
        <x:v>77</x:v>
      </x:c>
      <x:c r="K866" s="55" t="n">
        <x:v>30983</x:v>
      </x:c>
      <x:c r="L866" s="55" t="n">
        <x:v>5849</x:v>
      </x:c>
      <x:c r="M866" s="55" t="n">
        <x:v>2403</x:v>
      </x:c>
      <x:c r="N866" s="55" t="n">
        <x:v>1760</x:v>
      </x:c>
      <x:c r="O866" s="55" t="n">
        <x:v>1686</x:v>
      </x:c>
      <x:c r="P866" s="55" t="n">
        <x:v>1003</x:v>
      </x:c>
      <x:c r="Q866" s="55" t="n">
        <x:v>2633</x:v>
      </x:c>
      <x:c r="R866" s="55" t="n">
        <x:v>1839</x:v>
      </x:c>
      <x:c r="S866" s="55" t="n">
        <x:v>2941</x:v>
      </x:c>
      <x:c r="T866" s="55" t="n">
        <x:v>1279</x:v>
      </x:c>
      <x:c r="U866" s="55" t="n">
        <x:v>1784</x:v>
      </x:c>
      <x:c r="V866" s="55" t="n">
        <x:v>9764</x:v>
      </x:c>
      <x:c r="W866" s="55" t="n">
        <x:v>6679</x:v>
      </x:c>
      <x:c r="X866" s="55" t="n">
        <x:v>3085</x:v>
      </x:c>
      <x:c r="Y866" s="55" t="n">
        <x:v>2597</x:v>
      </x:c>
      <x:c r="Z866" s="55" t="n">
        <x:v>3573</x:v>
      </x:c>
      <x:c r="AA866" s="55" t="n">
        <x:v>3104</x:v>
      </x:c>
      <x:c r="AB866" s="55" t="n">
        <x:v>1216</x:v>
      </x:c>
      <x:c r="AC866" s="55" t="n">
        <x:v>7896</x:v>
      </x:c>
      <x:c r="AD866" s="55" t="n">
        <x:v>2924</x:v>
      </x:c>
      <x:c r="AE866" s="55" t="n">
        <x:v>9863</x:v>
      </x:c>
      <x:c r="AF866" s="55" t="n">
        <x:v>9764</x:v>
      </x:c>
      <x:c r="AG866" s="55" t="n">
        <x:v>99</x:v>
      </x:c>
      <x:c r="AH866" s="55" t="n">
        <x:v>156</x:v>
      </x:c>
      <x:c r="AI866" s="55" t="n">
        <x:v>9608</x:v>
      </x:c>
      <x:c r="AJ866" s="55" t="n">
        <x:v>230</x:v>
      </x:c>
      <x:c r="AK866" s="55" t="n">
        <x:v>1216</x:v>
      </x:c>
      <x:c r="AL866" s="55" t="n">
        <x:v>1792</x:v>
      </x:c>
      <x:c r="AM866" s="55" t="n">
        <x:v>3928</x:v>
      </x:c>
      <x:c r="AN866" s="55" t="n">
        <x:v>2566</x:v>
      </x:c>
      <x:c r="AO866" s="55" t="n">
        <x:v>32</x:v>
      </x:c>
      <x:c r="AP866" s="55" t="n">
        <x:v>2225</x:v>
      </x:c>
      <x:c r="AQ866" s="55" t="n">
        <x:v>947</x:v>
      </x:c>
    </x:row>
    <x:row r="867">
      <x:c r="A867" s="54" t="str">
        <x:v>T0_TABLE_BLOCK</x:v>
      </x:c>
      <x:c r="B867" s="54" t="n">
        <x:v>861</x:v>
      </x:c>
      <x:c r="C867" s="54" t="str">
        <x:v>NYC-V2-R01</x:v>
      </x:c>
      <x:c r="D867" s="54" t="str">
        <x:v>V2</x:v>
      </x:c>
      <x:c r="E867" s="54" t="str">
        <x:v>ADMITTED</x:v>
      </x:c>
      <x:c r="F867" s="55" t="n">
        <x:v>31451</x:v>
      </x:c>
      <x:c r="G867" s="55" t="n">
        <x:v>9031</x:v>
      </x:c>
      <x:c r="H867" s="55" t="n">
        <x:v>3227</x:v>
      </x:c>
      <x:c r="I867" s="55" t="n">
        <x:v>1193</x:v>
      </x:c>
      <x:c r="J867" s="55" t="n">
        <x:v>210</x:v>
      </x:c>
      <x:c r="K867" s="55" t="n">
        <x:v>26117</x:v>
      </x:c>
      <x:c r="L867" s="55" t="n">
        <x:v>4035</x:v>
      </x:c>
      <x:c r="M867" s="55" t="n">
        <x:v>750</x:v>
      </x:c>
      <x:c r="N867" s="55" t="n">
        <x:v>1846</x:v>
      </x:c>
      <x:c r="O867" s="55" t="n">
        <x:v>1439</x:v>
      </x:c>
      <x:c r="P867" s="55" t="n">
        <x:v>1047</x:v>
      </x:c>
      <x:c r="Q867" s="55" t="n">
        <x:v>2804</x:v>
      </x:c>
      <x:c r="R867" s="55" t="n">
        <x:v>1504</x:v>
      </x:c>
      <x:c r="S867" s="55" t="n">
        <x:v>3154</x:v>
      </x:c>
      <x:c r="T867" s="55" t="n">
        <x:v>1109</x:v>
      </x:c>
      <x:c r="U867" s="55" t="n">
        <x:v>1988</x:v>
      </x:c>
      <x:c r="V867" s="55" t="n">
        <x:v>10621</x:v>
      </x:c>
      <x:c r="W867" s="55" t="n">
        <x:v>7734</x:v>
      </x:c>
      <x:c r="X867" s="55" t="n">
        <x:v>2887</x:v>
      </x:c>
      <x:c r="Y867" s="55" t="n">
        <x:v>2513</x:v>
      </x:c>
      <x:c r="Z867" s="55" t="n">
        <x:v>3602</x:v>
      </x:c>
      <x:c r="AA867" s="55" t="n">
        <x:v>3227</x:v>
      </x:c>
      <x:c r="AB867" s="55" t="n">
        <x:v>1085</x:v>
      </x:c>
      <x:c r="AC867" s="55" t="n">
        <x:v>8848</x:v>
      </x:c>
      <x:c r="AD867" s="55" t="n">
        <x:v>3117</x:v>
      </x:c>
      <x:c r="AE867" s="55" t="n">
        <x:v>10840</x:v>
      </x:c>
      <x:c r="AF867" s="55" t="n">
        <x:v>10621</x:v>
      </x:c>
      <x:c r="AG867" s="55" t="n">
        <x:v>219</x:v>
      </x:c>
      <x:c r="AH867" s="55" t="n">
        <x:v>401</x:v>
      </x:c>
      <x:c r="AI867" s="55" t="n">
        <x:v>10220</x:v>
      </x:c>
      <x:c r="AJ867" s="55" t="n">
        <x:v>234</x:v>
      </x:c>
      <x:c r="AK867" s="55" t="n">
        <x:v>1261</x:v>
      </x:c>
      <x:c r="AL867" s="55" t="n">
        <x:v>1100</x:v>
      </x:c>
      <x:c r="AM867" s="55" t="n">
        <x:v>5477</x:v>
      </x:c>
      <x:c r="AN867" s="55" t="n">
        <x:v>2549</x:v>
      </x:c>
      <x:c r="AO867" s="55" t="n">
        <x:v>0</x:v>
      </x:c>
      <x:c r="AP867" s="55" t="n">
        <x:v>2290</x:v>
      </x:c>
      <x:c r="AQ867" s="55" t="n">
        <x:v>986</x:v>
      </x:c>
    </x:row>
    <x:row r="868">
      <x:c r="A868" s="54" t="str">
        <x:v>T0_TABLE_BLOCK</x:v>
      </x:c>
      <x:c r="B868" s="54" t="n">
        <x:v>862</x:v>
      </x:c>
      <x:c r="C868" s="54" t="str">
        <x:v>NYC-V2-R01</x:v>
      </x:c>
      <x:c r="D868" s="54" t="str">
        <x:v>V2</x:v>
      </x:c>
      <x:c r="E868" s="54" t="str">
        <x:v>ADMITTED</x:v>
      </x:c>
      <x:c r="F868" s="55" t="n">
        <x:v>31201</x:v>
      </x:c>
      <x:c r="G868" s="55" t="n">
        <x:v>5154</x:v>
      </x:c>
      <x:c r="H868" s="55" t="n">
        <x:v>3312</x:v>
      </x:c>
      <x:c r="I868" s="55" t="n">
        <x:v>1386</x:v>
      </x:c>
      <x:c r="J868" s="55" t="n">
        <x:v>311</x:v>
      </x:c>
      <x:c r="K868" s="55" t="n">
        <x:v>31201</x:v>
      </x:c>
      <x:c r="L868" s="55" t="n">
        <x:v>5868</x:v>
      </x:c>
      <x:c r="M868" s="55" t="n">
        <x:v>1385</x:v>
      </x:c>
      <x:c r="N868" s="55" t="n">
        <x:v>2934</x:v>
      </x:c>
      <x:c r="O868" s="55" t="n">
        <x:v>1549</x:v>
      </x:c>
      <x:c r="P868" s="55" t="n">
        <x:v>663</x:v>
      </x:c>
      <x:c r="Q868" s="55" t="n">
        <x:v>2512</x:v>
      </x:c>
      <x:c r="R868" s="55" t="n">
        <x:v>1766</x:v>
      </x:c>
      <x:c r="S868" s="55" t="n">
        <x:v>2966</x:v>
      </x:c>
      <x:c r="T868" s="55" t="n">
        <x:v>959</x:v>
      </x:c>
      <x:c r="U868" s="55" t="n">
        <x:v>1949</x:v>
      </x:c>
      <x:c r="V868" s="55" t="n">
        <x:v>10527</x:v>
      </x:c>
      <x:c r="W868" s="55" t="n">
        <x:v>7459</x:v>
      </x:c>
      <x:c r="X868" s="55" t="n">
        <x:v>3068</x:v>
      </x:c>
      <x:c r="Y868" s="55" t="n">
        <x:v>2594</x:v>
      </x:c>
      <x:c r="Z868" s="55" t="n">
        <x:v>2850</x:v>
      </x:c>
      <x:c r="AA868" s="55" t="n">
        <x:v>2978</x:v>
      </x:c>
      <x:c r="AB868" s="55" t="n">
        <x:v>1528</x:v>
      </x:c>
      <x:c r="AC868" s="55" t="n">
        <x:v>7847</x:v>
      </x:c>
      <x:c r="AD868" s="55" t="n">
        <x:v>2994</x:v>
      </x:c>
      <x:c r="AE868" s="55" t="n">
        <x:v>10557</x:v>
      </x:c>
      <x:c r="AF868" s="55" t="n">
        <x:v>10527</x:v>
      </x:c>
      <x:c r="AG868" s="55" t="n">
        <x:v>30</x:v>
      </x:c>
      <x:c r="AH868" s="55" t="n">
        <x:v>452</x:v>
      </x:c>
      <x:c r="AI868" s="55" t="n">
        <x:v>10075</x:v>
      </x:c>
      <x:c r="AJ868" s="55" t="n">
        <x:v>375</x:v>
      </x:c>
      <x:c r="AK868" s="55" t="n">
        <x:v>1113</x:v>
      </x:c>
      <x:c r="AL868" s="55" t="n">
        <x:v>1628</x:v>
      </x:c>
      <x:c r="AM868" s="55" t="n">
        <x:v>4825</x:v>
      </x:c>
      <x:c r="AN868" s="55" t="n">
        <x:v>2571</x:v>
      </x:c>
      <x:c r="AO868" s="55" t="n">
        <x:v>15</x:v>
      </x:c>
      <x:c r="AP868" s="55" t="n">
        <x:v>2680</x:v>
      </x:c>
      <x:c r="AQ868" s="55" t="n">
        <x:v>951</x:v>
      </x:c>
    </x:row>
    <x:row r="869">
      <x:c r="A869" s="54" t="str">
        <x:v>T0_TABLE_BLOCK</x:v>
      </x:c>
      <x:c r="B869" s="54" t="n">
        <x:v>863</x:v>
      </x:c>
      <x:c r="C869" s="54" t="str">
        <x:v>NYC-V2-R01</x:v>
      </x:c>
      <x:c r="D869" s="54" t="str">
        <x:v>V2</x:v>
      </x:c>
      <x:c r="E869" s="54" t="str">
        <x:v>ADMITTED</x:v>
      </x:c>
      <x:c r="F869" s="55" t="n">
        <x:v>32997</x:v>
      </x:c>
      <x:c r="G869" s="55" t="n">
        <x:v>9608</x:v>
      </x:c>
      <x:c r="H869" s="55" t="n">
        <x:v>3070</x:v>
      </x:c>
      <x:c r="I869" s="55" t="n">
        <x:v>1009</x:v>
      </x:c>
      <x:c r="J869" s="55" t="n">
        <x:v>237</x:v>
      </x:c>
      <x:c r="K869" s="55" t="n">
        <x:v>29864</x:v>
      </x:c>
      <x:c r="L869" s="55" t="n">
        <x:v>4476</x:v>
      </x:c>
      <x:c r="M869" s="55" t="n">
        <x:v>1062</x:v>
      </x:c>
      <x:c r="N869" s="55" t="n">
        <x:v>1798</x:v>
      </x:c>
      <x:c r="O869" s="55" t="n">
        <x:v>1616</x:v>
      </x:c>
      <x:c r="P869" s="55" t="n">
        <x:v>903</x:v>
      </x:c>
      <x:c r="Q869" s="55" t="n">
        <x:v>2076</x:v>
      </x:c>
      <x:c r="R869" s="55" t="n">
        <x:v>1620</x:v>
      </x:c>
      <x:c r="S869" s="55" t="n">
        <x:v>2986</x:v>
      </x:c>
      <x:c r="T869" s="55" t="n">
        <x:v>1086</x:v>
      </x:c>
      <x:c r="U869" s="55" t="n">
        <x:v>2277</x:v>
      </x:c>
      <x:c r="V869" s="55" t="n">
        <x:v>10213</x:v>
      </x:c>
      <x:c r="W869" s="55" t="n">
        <x:v>7527</x:v>
      </x:c>
      <x:c r="X869" s="55" t="n">
        <x:v>2686</x:v>
      </x:c>
      <x:c r="Y869" s="55" t="n">
        <x:v>2301</x:v>
      </x:c>
      <x:c r="Z869" s="55" t="n">
        <x:v>3329</x:v>
      </x:c>
      <x:c r="AA869" s="55" t="n">
        <x:v>3070</x:v>
      </x:c>
      <x:c r="AB869" s="55" t="n">
        <x:v>1129</x:v>
      </x:c>
      <x:c r="AC869" s="55" t="n">
        <x:v>7700</x:v>
      </x:c>
      <x:c r="AD869" s="55" t="n">
        <x:v>3368</x:v>
      </x:c>
      <x:c r="AE869" s="55" t="n">
        <x:v>10315</x:v>
      </x:c>
      <x:c r="AF869" s="55" t="n">
        <x:v>10213</x:v>
      </x:c>
      <x:c r="AG869" s="55" t="n">
        <x:v>102</x:v>
      </x:c>
      <x:c r="AH869" s="55" t="n">
        <x:v>480</x:v>
      </x:c>
      <x:c r="AI869" s="55" t="n">
        <x:v>9733</x:v>
      </x:c>
      <x:c r="AJ869" s="55" t="n">
        <x:v>526</x:v>
      </x:c>
      <x:c r="AK869" s="55" t="n">
        <x:v>1280</x:v>
      </x:c>
      <x:c r="AL869" s="55" t="n">
        <x:v>889</x:v>
      </x:c>
      <x:c r="AM869" s="55" t="n">
        <x:v>5140</x:v>
      </x:c>
      <x:c r="AN869" s="55" t="n">
        <x:v>2356</x:v>
      </x:c>
      <x:c r="AO869" s="55" t="n">
        <x:v>22</x:v>
      </x:c>
      <x:c r="AP869" s="55" t="n">
        <x:v>2627</x:v>
      </x:c>
      <x:c r="AQ869" s="55" t="n">
        <x:v>965</x:v>
      </x:c>
    </x:row>
    <x:row r="870">
      <x:c r="A870" s="54" t="str">
        <x:v>T0_TABLE_BLOCK</x:v>
      </x:c>
      <x:c r="B870" s="54" t="n">
        <x:v>864</x:v>
      </x:c>
      <x:c r="C870" s="54" t="str">
        <x:v>NYC-V2-R01</x:v>
      </x:c>
      <x:c r="D870" s="54" t="str">
        <x:v>V2</x:v>
      </x:c>
      <x:c r="E870" s="54" t="str">
        <x:v>ADMITTED</x:v>
      </x:c>
      <x:c r="F870" s="55" t="n">
        <x:v>29845</x:v>
      </x:c>
      <x:c r="G870" s="55" t="n">
        <x:v>6657</x:v>
      </x:c>
      <x:c r="H870" s="55" t="n">
        <x:v>3785</x:v>
      </x:c>
      <x:c r="I870" s="55" t="n">
        <x:v>1239</x:v>
      </x:c>
      <x:c r="J870" s="55" t="n">
        <x:v>142</x:v>
      </x:c>
      <x:c r="K870" s="55" t="n">
        <x:v>28760</x:v>
      </x:c>
      <x:c r="L870" s="55" t="n">
        <x:v>6083</x:v>
      </x:c>
      <x:c r="M870" s="55" t="n">
        <x:v>1255</x:v>
      </x:c>
      <x:c r="N870" s="55" t="n">
        <x:v>2722</x:v>
      </x:c>
      <x:c r="O870" s="55" t="n">
        <x:v>2106</x:v>
      </x:c>
      <x:c r="P870" s="55" t="n">
        <x:v>947</x:v>
      </x:c>
      <x:c r="Q870" s="55" t="n">
        <x:v>2019</x:v>
      </x:c>
      <x:c r="R870" s="55" t="n">
        <x:v>2066</x:v>
      </x:c>
      <x:c r="S870" s="55" t="n">
        <x:v>2170</x:v>
      </x:c>
      <x:c r="T870" s="55" t="n">
        <x:v>881</x:v>
      </x:c>
      <x:c r="U870" s="55" t="n">
        <x:v>2238</x:v>
      </x:c>
      <x:c r="V870" s="55" t="n">
        <x:v>10260</x:v>
      </x:c>
      <x:c r="W870" s="55" t="n">
        <x:v>6975</x:v>
      </x:c>
      <x:c r="X870" s="55" t="n">
        <x:v>3285</x:v>
      </x:c>
      <x:c r="Y870" s="55" t="n">
        <x:v>2981</x:v>
      </x:c>
      <x:c r="Z870" s="55" t="n">
        <x:v>3737</x:v>
      </x:c>
      <x:c r="AA870" s="55" t="n">
        <x:v>3785</x:v>
      </x:c>
      <x:c r="AB870" s="55" t="n">
        <x:v>1495</x:v>
      </x:c>
      <x:c r="AC870" s="55" t="n">
        <x:v>8119</x:v>
      </x:c>
      <x:c r="AD870" s="55" t="n">
        <x:v>2977</x:v>
      </x:c>
      <x:c r="AE870" s="55" t="n">
        <x:v>10315</x:v>
      </x:c>
      <x:c r="AF870" s="55" t="n">
        <x:v>10260</x:v>
      </x:c>
      <x:c r="AG870" s="55" t="n">
        <x:v>55</x:v>
      </x:c>
      <x:c r="AH870" s="55" t="n">
        <x:v>357</x:v>
      </x:c>
      <x:c r="AI870" s="55" t="n">
        <x:v>9903</x:v>
      </x:c>
      <x:c r="AJ870" s="55" t="n">
        <x:v>446</x:v>
      </x:c>
      <x:c r="AK870" s="55" t="n">
        <x:v>1097</x:v>
      </x:c>
      <x:c r="AL870" s="55" t="n">
        <x:v>1743</x:v>
      </x:c>
      <x:c r="AM870" s="55" t="n">
        <x:v>4168</x:v>
      </x:c>
      <x:c r="AN870" s="55" t="n">
        <x:v>2787</x:v>
      </x:c>
      <x:c r="AO870" s="55" t="n">
        <x:v>19</x:v>
      </x:c>
      <x:c r="AP870" s="55" t="n">
        <x:v>2652</x:v>
      </x:c>
      <x:c r="AQ870" s="55" t="n">
        <x:v>969</x:v>
      </x:c>
    </x:row>
    <x:row r="871">
      <x:c r="A871" s="54" t="str">
        <x:v>T0_TABLE_BLOCK</x:v>
      </x:c>
      <x:c r="B871" s="54" t="n">
        <x:v>865</x:v>
      </x:c>
      <x:c r="C871" s="54" t="str">
        <x:v>NYC-V2-R01</x:v>
      </x:c>
      <x:c r="D871" s="54" t="str">
        <x:v>V2</x:v>
      </x:c>
      <x:c r="E871" s="54" t="str">
        <x:v>ADMITTED</x:v>
      </x:c>
      <x:c r="F871" s="55" t="n">
        <x:v>31701</x:v>
      </x:c>
      <x:c r="G871" s="55" t="n">
        <x:v>6884</x:v>
      </x:c>
      <x:c r="H871" s="55" t="n">
        <x:v>3396</x:v>
      </x:c>
      <x:c r="I871" s="55" t="n">
        <x:v>1328</x:v>
      </x:c>
      <x:c r="J871" s="55" t="n">
        <x:v>49</x:v>
      </x:c>
      <x:c r="K871" s="55" t="n">
        <x:v>31701</x:v>
      </x:c>
      <x:c r="L871" s="55" t="n">
        <x:v>7081</x:v>
      </x:c>
      <x:c r="M871" s="55" t="n">
        <x:v>2329</x:v>
      </x:c>
      <x:c r="N871" s="55" t="n">
        <x:v>2897</x:v>
      </x:c>
      <x:c r="O871" s="55" t="n">
        <x:v>1855</x:v>
      </x:c>
      <x:c r="P871" s="55" t="n">
        <x:v>1005</x:v>
      </x:c>
      <x:c r="Q871" s="55" t="n">
        <x:v>1989</x:v>
      </x:c>
      <x:c r="R871" s="55" t="n">
        <x:v>2376</x:v>
      </x:c>
      <x:c r="S871" s="55" t="n">
        <x:v>2934</x:v>
      </x:c>
      <x:c r="T871" s="55" t="n">
        <x:v>1135</x:v>
      </x:c>
      <x:c r="U871" s="55" t="n">
        <x:v>1876</x:v>
      </x:c>
      <x:c r="V871" s="55" t="n">
        <x:v>11233</x:v>
      </x:c>
      <x:c r="W871" s="55" t="n">
        <x:v>8202</x:v>
      </x:c>
      <x:c r="X871" s="55" t="n">
        <x:v>3031</x:v>
      </x:c>
      <x:c r="Y871" s="55" t="n">
        <x:v>2371</x:v>
      </x:c>
      <x:c r="Z871" s="55" t="n">
        <x:v>4329</x:v>
      </x:c>
      <x:c r="AA871" s="55" t="n">
        <x:v>2918</x:v>
      </x:c>
      <x:c r="AB871" s="55" t="n">
        <x:v>900</x:v>
      </x:c>
      <x:c r="AC871" s="55" t="n">
        <x:v>7947</x:v>
      </x:c>
      <x:c r="AD871" s="55" t="n">
        <x:v>2489</x:v>
      </x:c>
      <x:c r="AE871" s="55" t="n">
        <x:v>11233</x:v>
      </x:c>
      <x:c r="AF871" s="55" t="n">
        <x:v>11233</x:v>
      </x:c>
      <x:c r="AG871" s="55" t="n">
        <x:v>0</x:v>
      </x:c>
      <x:c r="AH871" s="55" t="n">
        <x:v>592</x:v>
      </x:c>
      <x:c r="AI871" s="55" t="n">
        <x:v>10641</x:v>
      </x:c>
      <x:c r="AJ871" s="55" t="n">
        <x:v>261</x:v>
      </x:c>
      <x:c r="AK871" s="55" t="n">
        <x:v>1158</x:v>
      </x:c>
      <x:c r="AL871" s="55" t="n">
        <x:v>2039</x:v>
      </x:c>
      <x:c r="AM871" s="55" t="n">
        <x:v>4758</x:v>
      </x:c>
      <x:c r="AN871" s="55" t="n">
        <x:v>2981</x:v>
      </x:c>
      <x:c r="AO871" s="55" t="n">
        <x:v>36</x:v>
      </x:c>
      <x:c r="AP871" s="55" t="n">
        <x:v>2299</x:v>
      </x:c>
      <x:c r="AQ871" s="55" t="n">
        <x:v>936</x:v>
      </x:c>
    </x:row>
    <x:row r="872">
      <x:c r="A872" s="54" t="str">
        <x:v>T0_TABLE_BLOCK</x:v>
      </x:c>
      <x:c r="B872" s="54" t="n">
        <x:v>866</x:v>
      </x:c>
      <x:c r="C872" s="54" t="str">
        <x:v>NYC-V2-R01</x:v>
      </x:c>
      <x:c r="D872" s="54" t="str">
        <x:v>V2</x:v>
      </x:c>
      <x:c r="E872" s="54" t="str">
        <x:v>ADMITTED</x:v>
      </x:c>
      <x:c r="F872" s="55" t="n">
        <x:v>29863</x:v>
      </x:c>
      <x:c r="G872" s="55" t="n">
        <x:v>7242</x:v>
      </x:c>
      <x:c r="H872" s="55" t="n">
        <x:v>3116</x:v>
      </x:c>
      <x:c r="I872" s="55" t="n">
        <x:v>1048</x:v>
      </x:c>
      <x:c r="J872" s="55" t="n">
        <x:v>155</x:v>
      </x:c>
      <x:c r="K872" s="55" t="n">
        <x:v>26008</x:v>
      </x:c>
      <x:c r="L872" s="55" t="n">
        <x:v>4486</x:v>
      </x:c>
      <x:c r="M872" s="55" t="n">
        <x:v>482</x:v>
      </x:c>
      <x:c r="N872" s="55" t="n">
        <x:v>2593</x:v>
      </x:c>
      <x:c r="O872" s="55" t="n">
        <x:v>1411</x:v>
      </x:c>
      <x:c r="P872" s="55" t="n">
        <x:v>693</x:v>
      </x:c>
      <x:c r="Q872" s="55" t="n">
        <x:v>2355</x:v>
      </x:c>
      <x:c r="R872" s="55" t="n">
        <x:v>2266</x:v>
      </x:c>
      <x:c r="S872" s="55" t="n">
        <x:v>3565</x:v>
      </x:c>
      <x:c r="T872" s="55" t="n">
        <x:v>1270</x:v>
      </x:c>
      <x:c r="U872" s="55" t="n">
        <x:v>2015</x:v>
      </x:c>
      <x:c r="V872" s="55" t="n">
        <x:v>10262</x:v>
      </x:c>
      <x:c r="W872" s="55" t="n">
        <x:v>6939</x:v>
      </x:c>
      <x:c r="X872" s="55" t="n">
        <x:v>3323</x:v>
      </x:c>
      <x:c r="Y872" s="55" t="n">
        <x:v>2844</x:v>
      </x:c>
      <x:c r="Z872" s="55" t="n">
        <x:v>3746</x:v>
      </x:c>
      <x:c r="AA872" s="55" t="n">
        <x:v>2815</x:v>
      </x:c>
      <x:c r="AB872" s="55" t="n">
        <x:v>993</x:v>
      </x:c>
      <x:c r="AC872" s="55" t="n">
        <x:v>7918</x:v>
      </x:c>
      <x:c r="AD872" s="55" t="n">
        <x:v>2783</x:v>
      </x:c>
      <x:c r="AE872" s="55" t="n">
        <x:v>10333</x:v>
      </x:c>
      <x:c r="AF872" s="55" t="n">
        <x:v>10262</x:v>
      </x:c>
      <x:c r="AG872" s="55" t="n">
        <x:v>71</x:v>
      </x:c>
      <x:c r="AH872" s="55" t="n">
        <x:v>181</x:v>
      </x:c>
      <x:c r="AI872" s="55" t="n">
        <x:v>10081</x:v>
      </x:c>
      <x:c r="AJ872" s="55" t="n">
        <x:v>287</x:v>
      </x:c>
      <x:c r="AK872" s="55" t="n">
        <x:v>580</x:v>
      </x:c>
      <x:c r="AL872" s="55" t="n">
        <x:v>1192</x:v>
      </x:c>
      <x:c r="AM872" s="55" t="n">
        <x:v>4555</x:v>
      </x:c>
      <x:c r="AN872" s="55" t="n">
        <x:v>3541</x:v>
      </x:c>
      <x:c r="AO872" s="55" t="n">
        <x:v>107</x:v>
      </x:c>
      <x:c r="AP872" s="55" t="n">
        <x:v>2592</x:v>
      </x:c>
      <x:c r="AQ872" s="55" t="n">
        <x:v>928</x:v>
      </x:c>
    </x:row>
    <x:row r="873">
      <x:c r="A873" s="54" t="str">
        <x:v>T0_TABLE_BLOCK</x:v>
      </x:c>
      <x:c r="B873" s="54" t="n">
        <x:v>867</x:v>
      </x:c>
      <x:c r="C873" s="54" t="str">
        <x:v>NYC-V2-R01</x:v>
      </x:c>
      <x:c r="D873" s="54" t="str">
        <x:v>V2</x:v>
      </x:c>
      <x:c r="E873" s="54" t="str">
        <x:v>ADMITTED</x:v>
      </x:c>
      <x:c r="F873" s="55" t="n">
        <x:v>32679</x:v>
      </x:c>
      <x:c r="G873" s="55" t="n">
        <x:v>7837</x:v>
      </x:c>
      <x:c r="H873" s="55" t="n">
        <x:v>3413</x:v>
      </x:c>
      <x:c r="I873" s="55" t="n">
        <x:v>1470</x:v>
      </x:c>
      <x:c r="J873" s="55" t="n">
        <x:v>210</x:v>
      </x:c>
      <x:c r="K873" s="55" t="n">
        <x:v>32679</x:v>
      </x:c>
      <x:c r="L873" s="55" t="n">
        <x:v>7121</x:v>
      </x:c>
      <x:c r="M873" s="55" t="n">
        <x:v>2381</x:v>
      </x:c>
      <x:c r="N873" s="55" t="n">
        <x:v>2870</x:v>
      </x:c>
      <x:c r="O873" s="55" t="n">
        <x:v>1870</x:v>
      </x:c>
      <x:c r="P873" s="55" t="n">
        <x:v>787</x:v>
      </x:c>
      <x:c r="Q873" s="55" t="n">
        <x:v>1607</x:v>
      </x:c>
      <x:c r="R873" s="55" t="n">
        <x:v>1756</x:v>
      </x:c>
      <x:c r="S873" s="55" t="n">
        <x:v>3280</x:v>
      </x:c>
      <x:c r="T873" s="55" t="n">
        <x:v>1253</x:v>
      </x:c>
      <x:c r="U873" s="55" t="n">
        <x:v>1896</x:v>
      </x:c>
      <x:c r="V873" s="55" t="n">
        <x:v>10238</x:v>
      </x:c>
      <x:c r="W873" s="55" t="n">
        <x:v>7320</x:v>
      </x:c>
      <x:c r="X873" s="55" t="n">
        <x:v>2918</x:v>
      </x:c>
      <x:c r="Y873" s="55" t="n">
        <x:v>2801</x:v>
      </x:c>
      <x:c r="Z873" s="55" t="n">
        <x:v>4147</x:v>
      </x:c>
      <x:c r="AA873" s="55" t="n">
        <x:v>3031</x:v>
      </x:c>
      <x:c r="AB873" s="55" t="n">
        <x:v>893</x:v>
      </x:c>
      <x:c r="AC873" s="55" t="n">
        <x:v>7733</x:v>
      </x:c>
      <x:c r="AD873" s="55" t="n">
        <x:v>2622</x:v>
      </x:c>
      <x:c r="AE873" s="55" t="n">
        <x:v>10387</x:v>
      </x:c>
      <x:c r="AF873" s="55" t="n">
        <x:v>10238</x:v>
      </x:c>
      <x:c r="AG873" s="55" t="n">
        <x:v>149</x:v>
      </x:c>
      <x:c r="AH873" s="55" t="n">
        <x:v>466</x:v>
      </x:c>
      <x:c r="AI873" s="55" t="n">
        <x:v>9772</x:v>
      </x:c>
      <x:c r="AJ873" s="55" t="n">
        <x:v>305</x:v>
      </x:c>
      <x:c r="AK873" s="55" t="n">
        <x:v>829</x:v>
      </x:c>
      <x:c r="AL873" s="55" t="n">
        <x:v>1993</x:v>
      </x:c>
      <x:c r="AM873" s="55" t="n">
        <x:v>4796</x:v>
      </x:c>
      <x:c r="AN873" s="55" t="n">
        <x:v>2312</x:v>
      </x:c>
      <x:c r="AO873" s="55" t="n">
        <x:v>3</x:v>
      </x:c>
      <x:c r="AP873" s="55" t="n">
        <x:v>2474</x:v>
      </x:c>
      <x:c r="AQ873" s="55" t="n">
        <x:v>955</x:v>
      </x:c>
    </x:row>
    <x:row r="874">
      <x:c r="A874" s="54" t="str">
        <x:v>T0_TABLE_BLOCK</x:v>
      </x:c>
      <x:c r="B874" s="54" t="n">
        <x:v>868</x:v>
      </x:c>
      <x:c r="C874" s="54" t="str">
        <x:v>NYC-V2-R01</x:v>
      </x:c>
      <x:c r="D874" s="54" t="str">
        <x:v>V2</x:v>
      </x:c>
      <x:c r="E874" s="54" t="str">
        <x:v>ADMITTED</x:v>
      </x:c>
      <x:c r="F874" s="55" t="n">
        <x:v>33101</x:v>
      </x:c>
      <x:c r="G874" s="55" t="n">
        <x:v>9049</x:v>
      </x:c>
      <x:c r="H874" s="55" t="n">
        <x:v>3313</x:v>
      </x:c>
      <x:c r="I874" s="55" t="n">
        <x:v>1462</x:v>
      </x:c>
      <x:c r="J874" s="55" t="n">
        <x:v>107</x:v>
      </x:c>
      <x:c r="K874" s="55" t="n">
        <x:v>31918</x:v>
      </x:c>
      <x:c r="L874" s="55" t="n">
        <x:v>7249</x:v>
      </x:c>
      <x:c r="M874" s="55" t="n">
        <x:v>1794</x:v>
      </x:c>
      <x:c r="N874" s="55" t="n">
        <x:v>3469</x:v>
      </x:c>
      <x:c r="O874" s="55" t="n">
        <x:v>1986</x:v>
      </x:c>
      <x:c r="P874" s="55" t="n">
        <x:v>1011</x:v>
      </x:c>
      <x:c r="Q874" s="55" t="n">
        <x:v>2346</x:v>
      </x:c>
      <x:c r="R874" s="55" t="n">
        <x:v>2165</x:v>
      </x:c>
      <x:c r="S874" s="55" t="n">
        <x:v>3380</x:v>
      </x:c>
      <x:c r="T874" s="55" t="n">
        <x:v>1637</x:v>
      </x:c>
      <x:c r="U874" s="55" t="n">
        <x:v>1734</x:v>
      </x:c>
      <x:c r="V874" s="55" t="n">
        <x:v>10230</x:v>
      </x:c>
      <x:c r="W874" s="55" t="n">
        <x:v>6866</x:v>
      </x:c>
      <x:c r="X874" s="55" t="n">
        <x:v>3364</x:v>
      </x:c>
      <x:c r="Y874" s="55" t="n">
        <x:v>3100</x:v>
      </x:c>
      <x:c r="Z874" s="55" t="n">
        <x:v>3971</x:v>
      </x:c>
      <x:c r="AA874" s="55" t="n">
        <x:v>3293</x:v>
      </x:c>
      <x:c r="AB874" s="55" t="n">
        <x:v>1564</x:v>
      </x:c>
      <x:c r="AC874" s="55" t="n">
        <x:v>7954</x:v>
      </x:c>
      <x:c r="AD874" s="55" t="n">
        <x:v>3056</x:v>
      </x:c>
      <x:c r="AE874" s="55" t="n">
        <x:v>10275</x:v>
      </x:c>
      <x:c r="AF874" s="55" t="n">
        <x:v>10230</x:v>
      </x:c>
      <x:c r="AG874" s="55" t="n">
        <x:v>45</x:v>
      </x:c>
      <x:c r="AH874" s="55" t="n">
        <x:v>281</x:v>
      </x:c>
      <x:c r="AI874" s="55" t="n">
        <x:v>9949</x:v>
      </x:c>
      <x:c r="AJ874" s="55" t="n">
        <x:v>187</x:v>
      </x:c>
      <x:c r="AK874" s="55" t="n">
        <x:v>970</x:v>
      </x:c>
      <x:c r="AL874" s="55" t="n">
        <x:v>1976</x:v>
      </x:c>
      <x:c r="AM874" s="55" t="n">
        <x:v>5036</x:v>
      </x:c>
      <x:c r="AN874" s="55" t="n">
        <x:v>1989</x:v>
      </x:c>
      <x:c r="AO874" s="55" t="n">
        <x:v>72</x:v>
      </x:c>
      <x:c r="AP874" s="55" t="n">
        <x:v>2397</x:v>
      </x:c>
      <x:c r="AQ874" s="55" t="n">
        <x:v>956</x:v>
      </x:c>
    </x:row>
    <x:row r="875">
      <x:c r="A875" s="54" t="str">
        <x:v>T0_TABLE_BLOCK</x:v>
      </x:c>
      <x:c r="B875" s="54" t="n">
        <x:v>869</x:v>
      </x:c>
      <x:c r="C875" s="54" t="str">
        <x:v>NYC-V2-R01</x:v>
      </x:c>
      <x:c r="D875" s="54" t="str">
        <x:v>V2</x:v>
      </x:c>
      <x:c r="E875" s="54" t="str">
        <x:v>ADMITTED</x:v>
      </x:c>
      <x:c r="F875" s="55" t="n">
        <x:v>31548</x:v>
      </x:c>
      <x:c r="G875" s="55" t="n">
        <x:v>7762</x:v>
      </x:c>
      <x:c r="H875" s="55" t="n">
        <x:v>3404</x:v>
      </x:c>
      <x:c r="I875" s="55" t="n">
        <x:v>1601</x:v>
      </x:c>
      <x:c r="J875" s="55" t="n">
        <x:v>170</x:v>
      </x:c>
      <x:c r="K875" s="55" t="n">
        <x:v>28792</x:v>
      </x:c>
      <x:c r="L875" s="55" t="n">
        <x:v>5244</x:v>
      </x:c>
      <x:c r="M875" s="55" t="n">
        <x:v>1106</x:v>
      </x:c>
      <x:c r="N875" s="55" t="n">
        <x:v>2575</x:v>
      </x:c>
      <x:c r="O875" s="55" t="n">
        <x:v>1563</x:v>
      </x:c>
      <x:c r="P875" s="55" t="n">
        <x:v>1182</x:v>
      </x:c>
      <x:c r="Q875" s="55" t="n">
        <x:v>2384</x:v>
      </x:c>
      <x:c r="R875" s="55" t="n">
        <x:v>1496</x:v>
      </x:c>
      <x:c r="S875" s="55" t="n">
        <x:v>2670</x:v>
      </x:c>
      <x:c r="T875" s="55" t="n">
        <x:v>1236</x:v>
      </x:c>
      <x:c r="U875" s="55" t="n">
        <x:v>1989</x:v>
      </x:c>
      <x:c r="V875" s="55" t="n">
        <x:v>10510</x:v>
      </x:c>
      <x:c r="W875" s="55" t="n">
        <x:v>7246</x:v>
      </x:c>
      <x:c r="X875" s="55" t="n">
        <x:v>3264</x:v>
      </x:c>
      <x:c r="Y875" s="55" t="n">
        <x:v>2662</x:v>
      </x:c>
      <x:c r="Z875" s="55" t="n">
        <x:v>3428</x:v>
      </x:c>
      <x:c r="AA875" s="55" t="n">
        <x:v>2321</x:v>
      </x:c>
      <x:c r="AB875" s="55" t="n">
        <x:v>766</x:v>
      </x:c>
      <x:c r="AC875" s="55" t="n">
        <x:v>7742</x:v>
      </x:c>
      <x:c r="AD875" s="55" t="n">
        <x:v>2745</x:v>
      </x:c>
      <x:c r="AE875" s="55" t="n">
        <x:v>10556</x:v>
      </x:c>
      <x:c r="AF875" s="55" t="n">
        <x:v>10510</x:v>
      </x:c>
      <x:c r="AG875" s="55" t="n">
        <x:v>46</x:v>
      </x:c>
      <x:c r="AH875" s="55" t="n">
        <x:v>432</x:v>
      </x:c>
      <x:c r="AI875" s="55" t="n">
        <x:v>10078</x:v>
      </x:c>
      <x:c r="AJ875" s="55" t="n">
        <x:v>379</x:v>
      </x:c>
      <x:c r="AK875" s="55" t="n">
        <x:v>1195</x:v>
      </x:c>
      <x:c r="AL875" s="55" t="n">
        <x:v>1181</x:v>
      </x:c>
      <x:c r="AM875" s="55" t="n">
        <x:v>5472</x:v>
      </x:c>
      <x:c r="AN875" s="55" t="n">
        <x:v>2283</x:v>
      </x:c>
      <x:c r="AO875" s="55" t="n">
        <x:v>0</x:v>
      </x:c>
      <x:c r="AP875" s="55" t="n">
        <x:v>2078</x:v>
      </x:c>
      <x:c r="AQ875" s="55" t="n">
        <x:v>935</x:v>
      </x:c>
    </x:row>
    <x:row r="876">
      <x:c r="A876" s="54" t="str">
        <x:v>T0_TABLE_BLOCK</x:v>
      </x:c>
      <x:c r="B876" s="54" t="n">
        <x:v>870</x:v>
      </x:c>
      <x:c r="C876" s="54" t="str">
        <x:v>NYC-V2-R01</x:v>
      </x:c>
      <x:c r="D876" s="54" t="str">
        <x:v>V2</x:v>
      </x:c>
      <x:c r="E876" s="54" t="str">
        <x:v>ADMITTED</x:v>
      </x:c>
      <x:c r="F876" s="55" t="n">
        <x:v>30807</x:v>
      </x:c>
      <x:c r="G876" s="55" t="n">
        <x:v>7072</x:v>
      </x:c>
      <x:c r="H876" s="55" t="n">
        <x:v>3277</x:v>
      </x:c>
      <x:c r="I876" s="55" t="n">
        <x:v>1399</x:v>
      </x:c>
      <x:c r="J876" s="55" t="n">
        <x:v>339</x:v>
      </x:c>
      <x:c r="K876" s="55" t="n">
        <x:v>30807</x:v>
      </x:c>
      <x:c r="L876" s="55" t="n">
        <x:v>5316</x:v>
      </x:c>
      <x:c r="M876" s="55" t="n">
        <x:v>439</x:v>
      </x:c>
      <x:c r="N876" s="55" t="n">
        <x:v>2635</x:v>
      </x:c>
      <x:c r="O876" s="55" t="n">
        <x:v>2242</x:v>
      </x:c>
      <x:c r="P876" s="55" t="n">
        <x:v>776</x:v>
      </x:c>
      <x:c r="Q876" s="55" t="n">
        <x:v>2854</x:v>
      </x:c>
      <x:c r="R876" s="55" t="n">
        <x:v>1778</x:v>
      </x:c>
      <x:c r="S876" s="55" t="n">
        <x:v>2736</x:v>
      </x:c>
      <x:c r="T876" s="55" t="n">
        <x:v>1407</x:v>
      </x:c>
      <x:c r="U876" s="55" t="n">
        <x:v>2417</x:v>
      </x:c>
      <x:c r="V876" s="55" t="n">
        <x:v>10663</x:v>
      </x:c>
      <x:c r="W876" s="55" t="n">
        <x:v>7792</x:v>
      </x:c>
      <x:c r="X876" s="55" t="n">
        <x:v>2871</x:v>
      </x:c>
      <x:c r="Y876" s="55" t="n">
        <x:v>2438</x:v>
      </x:c>
      <x:c r="Z876" s="55" t="n">
        <x:v>3964</x:v>
      </x:c>
      <x:c r="AA876" s="55" t="n">
        <x:v>3277</x:v>
      </x:c>
      <x:c r="AB876" s="55" t="n">
        <x:v>963</x:v>
      </x:c>
      <x:c r="AC876" s="55" t="n">
        <x:v>8133</x:v>
      </x:c>
      <x:c r="AD876" s="55" t="n">
        <x:v>2520</x:v>
      </x:c>
      <x:c r="AE876" s="55" t="n">
        <x:v>10672</x:v>
      </x:c>
      <x:c r="AF876" s="55" t="n">
        <x:v>10663</x:v>
      </x:c>
      <x:c r="AG876" s="55" t="n">
        <x:v>9</x:v>
      </x:c>
      <x:c r="AH876" s="55" t="n">
        <x:v>269</x:v>
      </x:c>
      <x:c r="AI876" s="55" t="n">
        <x:v>10394</x:v>
      </x:c>
      <x:c r="AJ876" s="55" t="n">
        <x:v>581</x:v>
      </x:c>
      <x:c r="AK876" s="55" t="n">
        <x:v>873</x:v>
      </x:c>
      <x:c r="AL876" s="55" t="n">
        <x:v>1880</x:v>
      </x:c>
      <x:c r="AM876" s="55" t="n">
        <x:v>4554</x:v>
      </x:c>
      <x:c r="AN876" s="55" t="n">
        <x:v>2771</x:v>
      </x:c>
      <x:c r="AO876" s="55" t="n">
        <x:v>4</x:v>
      </x:c>
      <x:c r="AP876" s="55" t="n">
        <x:v>2671</x:v>
      </x:c>
      <x:c r="AQ876" s="55" t="n">
        <x:v>961</x:v>
      </x:c>
    </x:row>
    <x:row r="877">
      <x:c r="A877" s="54" t="str">
        <x:v>T0_TABLE_BLOCK</x:v>
      </x:c>
      <x:c r="B877" s="54" t="n">
        <x:v>871</x:v>
      </x:c>
      <x:c r="C877" s="54" t="str">
        <x:v>NYC-V2-R01</x:v>
      </x:c>
      <x:c r="D877" s="54" t="str">
        <x:v>V2</x:v>
      </x:c>
      <x:c r="E877" s="54" t="str">
        <x:v>ADMITTED</x:v>
      </x:c>
      <x:c r="F877" s="55" t="n">
        <x:v>30485</x:v>
      </x:c>
      <x:c r="G877" s="55" t="n">
        <x:v>7788</x:v>
      </x:c>
      <x:c r="H877" s="55" t="n">
        <x:v>3619</x:v>
      </x:c>
      <x:c r="I877" s="55" t="n">
        <x:v>1302</x:v>
      </x:c>
      <x:c r="J877" s="55" t="n">
        <x:v>164</x:v>
      </x:c>
      <x:c r="K877" s="55" t="n">
        <x:v>28401</x:v>
      </x:c>
      <x:c r="L877" s="55" t="n">
        <x:v>6411</x:v>
      </x:c>
      <x:c r="M877" s="55" t="n">
        <x:v>1219</x:v>
      </x:c>
      <x:c r="N877" s="55" t="n">
        <x:v>3082</x:v>
      </x:c>
      <x:c r="O877" s="55" t="n">
        <x:v>2110</x:v>
      </x:c>
      <x:c r="P877" s="55" t="n">
        <x:v>245</x:v>
      </x:c>
      <x:c r="Q877" s="55" t="n">
        <x:v>2821</x:v>
      </x:c>
      <x:c r="R877" s="55" t="n">
        <x:v>1512</x:v>
      </x:c>
      <x:c r="S877" s="55" t="n">
        <x:v>3197</x:v>
      </x:c>
      <x:c r="T877" s="55" t="n">
        <x:v>1444</x:v>
      </x:c>
      <x:c r="U877" s="55" t="n">
        <x:v>2341</x:v>
      </x:c>
      <x:c r="V877" s="55" t="n">
        <x:v>10698</x:v>
      </x:c>
      <x:c r="W877" s="55" t="n">
        <x:v>7950</x:v>
      </x:c>
      <x:c r="X877" s="55" t="n">
        <x:v>2748</x:v>
      </x:c>
      <x:c r="Y877" s="55" t="n">
        <x:v>2562</x:v>
      </x:c>
      <x:c r="Z877" s="55" t="n">
        <x:v>3668</x:v>
      </x:c>
      <x:c r="AA877" s="55" t="n">
        <x:v>3216</x:v>
      </x:c>
      <x:c r="AB877" s="55" t="n">
        <x:v>516</x:v>
      </x:c>
      <x:c r="AC877" s="55" t="n">
        <x:v>7921</x:v>
      </x:c>
      <x:c r="AD877" s="55" t="n">
        <x:v>2416</x:v>
      </x:c>
      <x:c r="AE877" s="55" t="n">
        <x:v>10791</x:v>
      </x:c>
      <x:c r="AF877" s="55" t="n">
        <x:v>10698</x:v>
      </x:c>
      <x:c r="AG877" s="55" t="n">
        <x:v>93</x:v>
      </x:c>
      <x:c r="AH877" s="55" t="n">
        <x:v>401</x:v>
      </x:c>
      <x:c r="AI877" s="55" t="n">
        <x:v>10297</x:v>
      </x:c>
      <x:c r="AJ877" s="55" t="n">
        <x:v>370</x:v>
      </x:c>
      <x:c r="AK877" s="55" t="n">
        <x:v>1131</x:v>
      </x:c>
      <x:c r="AL877" s="55" t="n">
        <x:v>1191</x:v>
      </x:c>
      <x:c r="AM877" s="55" t="n">
        <x:v>4675</x:v>
      </x:c>
      <x:c r="AN877" s="55" t="n">
        <x:v>3272</x:v>
      </x:c>
      <x:c r="AO877" s="55" t="n">
        <x:v>59</x:v>
      </x:c>
      <x:c r="AP877" s="55" t="n">
        <x:v>2329</x:v>
      </x:c>
      <x:c r="AQ877" s="55" t="n">
        <x:v>955</x:v>
      </x:c>
    </x:row>
    <x:row r="878">
      <x:c r="A878" s="54" t="str">
        <x:v>T0_TABLE_BLOCK</x:v>
      </x:c>
      <x:c r="B878" s="54" t="n">
        <x:v>872</x:v>
      </x:c>
      <x:c r="C878" s="54" t="str">
        <x:v>NYC-V2-R01</x:v>
      </x:c>
      <x:c r="D878" s="54" t="str">
        <x:v>V2</x:v>
      </x:c>
      <x:c r="E878" s="54" t="str">
        <x:v>ADMITTED</x:v>
      </x:c>
      <x:c r="F878" s="55" t="n">
        <x:v>31995</x:v>
      </x:c>
      <x:c r="G878" s="55" t="n">
        <x:v>8882</x:v>
      </x:c>
      <x:c r="H878" s="55" t="n">
        <x:v>3105</x:v>
      </x:c>
      <x:c r="I878" s="55" t="n">
        <x:v>1203</x:v>
      </x:c>
      <x:c r="J878" s="55" t="n">
        <x:v>96</x:v>
      </x:c>
      <x:c r="K878" s="55" t="n">
        <x:v>27525</x:v>
      </x:c>
      <x:c r="L878" s="55" t="n">
        <x:v>5086</x:v>
      </x:c>
      <x:c r="M878" s="55" t="n">
        <x:v>541</x:v>
      </x:c>
      <x:c r="N878" s="55" t="n">
        <x:v>2540</x:v>
      </x:c>
      <x:c r="O878" s="55" t="n">
        <x:v>2005</x:v>
      </x:c>
      <x:c r="P878" s="55" t="n">
        <x:v>900</x:v>
      </x:c>
      <x:c r="Q878" s="55" t="n">
        <x:v>2740</x:v>
      </x:c>
      <x:c r="R878" s="55" t="n">
        <x:v>1530</x:v>
      </x:c>
      <x:c r="S878" s="55" t="n">
        <x:v>2746</x:v>
      </x:c>
      <x:c r="T878" s="55" t="n">
        <x:v>1222</x:v>
      </x:c>
      <x:c r="U878" s="55" t="n">
        <x:v>1631</x:v>
      </x:c>
      <x:c r="V878" s="55" t="n">
        <x:v>9787</x:v>
      </x:c>
      <x:c r="W878" s="55" t="n">
        <x:v>6757</x:v>
      </x:c>
      <x:c r="X878" s="55" t="n">
        <x:v>3030</x:v>
      </x:c>
      <x:c r="Y878" s="55" t="n">
        <x:v>2581</x:v>
      </x:c>
      <x:c r="Z878" s="55" t="n">
        <x:v>3569</x:v>
      </x:c>
      <x:c r="AA878" s="55" t="n">
        <x:v>3064</x:v>
      </x:c>
      <x:c r="AB878" s="55" t="n">
        <x:v>1040</x:v>
      </x:c>
      <x:c r="AC878" s="55" t="n">
        <x:v>7747</x:v>
      </x:c>
      <x:c r="AD878" s="55" t="n">
        <x:v>2697</x:v>
      </x:c>
      <x:c r="AE878" s="55" t="n">
        <x:v>9875</x:v>
      </x:c>
      <x:c r="AF878" s="55" t="n">
        <x:v>9787</x:v>
      </x:c>
      <x:c r="AG878" s="55" t="n">
        <x:v>88</x:v>
      </x:c>
      <x:c r="AH878" s="55" t="n">
        <x:v>389</x:v>
      </x:c>
      <x:c r="AI878" s="55" t="n">
        <x:v>9398</x:v>
      </x:c>
      <x:c r="AJ878" s="55" t="n">
        <x:v>511</x:v>
      </x:c>
      <x:c r="AK878" s="55" t="n">
        <x:v>868</x:v>
      </x:c>
      <x:c r="AL878" s="55" t="n">
        <x:v>1384</x:v>
      </x:c>
      <x:c r="AM878" s="55" t="n">
        <x:v>4621</x:v>
      </x:c>
      <x:c r="AN878" s="55" t="n">
        <x:v>2403</x:v>
      </x:c>
      <x:c r="AO878" s="55" t="n">
        <x:v>0</x:v>
      </x:c>
      <x:c r="AP878" s="55" t="n">
        <x:v>2631</x:v>
      </x:c>
      <x:c r="AQ878" s="55" t="n">
        <x:v>965</x:v>
      </x:c>
    </x:row>
    <x:row r="879">
      <x:c r="A879" s="54" t="str">
        <x:v>T0_TABLE_BLOCK</x:v>
      </x:c>
      <x:c r="B879" s="54" t="n">
        <x:v>873</x:v>
      </x:c>
      <x:c r="C879" s="54" t="str">
        <x:v>NYC-V2-R01</x:v>
      </x:c>
      <x:c r="D879" s="54" t="str">
        <x:v>V2</x:v>
      </x:c>
      <x:c r="E879" s="54" t="str">
        <x:v>ADMITTED</x:v>
      </x:c>
      <x:c r="F879" s="55" t="n">
        <x:v>30474</x:v>
      </x:c>
      <x:c r="G879" s="55" t="n">
        <x:v>7649</x:v>
      </x:c>
      <x:c r="H879" s="55" t="n">
        <x:v>3280</x:v>
      </x:c>
      <x:c r="I879" s="55" t="n">
        <x:v>1576</x:v>
      </x:c>
      <x:c r="J879" s="55" t="n">
        <x:v>333</x:v>
      </x:c>
      <x:c r="K879" s="55" t="n">
        <x:v>30458</x:v>
      </x:c>
      <x:c r="L879" s="55" t="n">
        <x:v>5793</x:v>
      </x:c>
      <x:c r="M879" s="55" t="n">
        <x:v>1554</x:v>
      </x:c>
      <x:c r="N879" s="55" t="n">
        <x:v>2329</x:v>
      </x:c>
      <x:c r="O879" s="55" t="n">
        <x:v>1910</x:v>
      </x:c>
      <x:c r="P879" s="55" t="n">
        <x:v>263</x:v>
      </x:c>
      <x:c r="Q879" s="55" t="n">
        <x:v>1983</x:v>
      </x:c>
      <x:c r="R879" s="55" t="n">
        <x:v>1900</x:v>
      </x:c>
      <x:c r="S879" s="55" t="n">
        <x:v>2829</x:v>
      </x:c>
      <x:c r="T879" s="55" t="n">
        <x:v>812</x:v>
      </x:c>
      <x:c r="U879" s="55" t="n">
        <x:v>1727</x:v>
      </x:c>
      <x:c r="V879" s="55" t="n">
        <x:v>10726</x:v>
      </x:c>
      <x:c r="W879" s="55" t="n">
        <x:v>7592</x:v>
      </x:c>
      <x:c r="X879" s="55" t="n">
        <x:v>3134</x:v>
      </x:c>
      <x:c r="Y879" s="55" t="n">
        <x:v>2673</x:v>
      </x:c>
      <x:c r="Z879" s="55" t="n">
        <x:v>3733</x:v>
      </x:c>
      <x:c r="AA879" s="55" t="n">
        <x:v>3015</x:v>
      </x:c>
      <x:c r="AB879" s="55" t="n">
        <x:v>982</x:v>
      </x:c>
      <x:c r="AC879" s="55" t="n">
        <x:v>7987</x:v>
      </x:c>
      <x:c r="AD879" s="55" t="n">
        <x:v>2628</x:v>
      </x:c>
      <x:c r="AE879" s="55" t="n">
        <x:v>10780</x:v>
      </x:c>
      <x:c r="AF879" s="55" t="n">
        <x:v>10726</x:v>
      </x:c>
      <x:c r="AG879" s="55" t="n">
        <x:v>54</x:v>
      </x:c>
      <x:c r="AH879" s="55" t="n">
        <x:v>599</x:v>
      </x:c>
      <x:c r="AI879" s="55" t="n">
        <x:v>10127</x:v>
      </x:c>
      <x:c r="AJ879" s="55" t="n">
        <x:v>333</x:v>
      </x:c>
      <x:c r="AK879" s="55" t="n">
        <x:v>963</x:v>
      </x:c>
      <x:c r="AL879" s="55" t="n">
        <x:v>2019</x:v>
      </x:c>
      <x:c r="AM879" s="55" t="n">
        <x:v>4421</x:v>
      </x:c>
      <x:c r="AN879" s="55" t="n">
        <x:v>2950</x:v>
      </x:c>
      <x:c r="AO879" s="55" t="n">
        <x:v>40</x:v>
      </x:c>
      <x:c r="AP879" s="55" t="n">
        <x:v>2220</x:v>
      </x:c>
      <x:c r="AQ879" s="55" t="n">
        <x:v>948</x:v>
      </x:c>
    </x:row>
    <x:row r="880">
      <x:c r="A880" s="54" t="str">
        <x:v>T0_TABLE_BLOCK</x:v>
      </x:c>
      <x:c r="B880" s="54" t="n">
        <x:v>874</x:v>
      </x:c>
      <x:c r="C880" s="54" t="str">
        <x:v>NYC-V2-R01</x:v>
      </x:c>
      <x:c r="D880" s="54" t="str">
        <x:v>V2</x:v>
      </x:c>
      <x:c r="E880" s="54" t="str">
        <x:v>ADMITTED</x:v>
      </x:c>
      <x:c r="F880" s="55" t="n">
        <x:v>32586</x:v>
      </x:c>
      <x:c r="G880" s="55" t="n">
        <x:v>9391</x:v>
      </x:c>
      <x:c r="H880" s="55" t="n">
        <x:v>3555</x:v>
      </x:c>
      <x:c r="I880" s="55" t="n">
        <x:v>1301</x:v>
      </x:c>
      <x:c r="J880" s="55" t="n">
        <x:v>289</x:v>
      </x:c>
      <x:c r="K880" s="55" t="n">
        <x:v>31397</x:v>
      </x:c>
      <x:c r="L880" s="55" t="n">
        <x:v>5752</x:v>
      </x:c>
      <x:c r="M880" s="55" t="n">
        <x:v>1366</x:v>
      </x:c>
      <x:c r="N880" s="55" t="n">
        <x:v>2369</x:v>
      </x:c>
      <x:c r="O880" s="55" t="n">
        <x:v>2017</x:v>
      </x:c>
      <x:c r="P880" s="55" t="n">
        <x:v>585</x:v>
      </x:c>
      <x:c r="Q880" s="55" t="n">
        <x:v>1779</x:v>
      </x:c>
      <x:c r="R880" s="55" t="n">
        <x:v>1194</x:v>
      </x:c>
      <x:c r="S880" s="55" t="n">
        <x:v>2384</x:v>
      </x:c>
      <x:c r="T880" s="55" t="n">
        <x:v>930</x:v>
      </x:c>
      <x:c r="U880" s="55" t="n">
        <x:v>2181</x:v>
      </x:c>
      <x:c r="V880" s="55" t="n">
        <x:v>10245</x:v>
      </x:c>
      <x:c r="W880" s="55" t="n">
        <x:v>7209</x:v>
      </x:c>
      <x:c r="X880" s="55" t="n">
        <x:v>3036</x:v>
      </x:c>
      <x:c r="Y880" s="55" t="n">
        <x:v>2621</x:v>
      </x:c>
      <x:c r="Z880" s="55" t="n">
        <x:v>3389</x:v>
      </x:c>
      <x:c r="AA880" s="55" t="n">
        <x:v>3087</x:v>
      </x:c>
      <x:c r="AB880" s="55" t="n">
        <x:v>1229</x:v>
      </x:c>
      <x:c r="AC880" s="55" t="n">
        <x:v>8565</x:v>
      </x:c>
      <x:c r="AD880" s="55" t="n">
        <x:v>3148</x:v>
      </x:c>
      <x:c r="AE880" s="55" t="n">
        <x:v>10356</x:v>
      </x:c>
      <x:c r="AF880" s="55" t="n">
        <x:v>10245</x:v>
      </x:c>
      <x:c r="AG880" s="55" t="n">
        <x:v>111</x:v>
      </x:c>
      <x:c r="AH880" s="55" t="n">
        <x:v>504</x:v>
      </x:c>
      <x:c r="AI880" s="55" t="n">
        <x:v>9741</x:v>
      </x:c>
      <x:c r="AJ880" s="55" t="n">
        <x:v>353</x:v>
      </x:c>
      <x:c r="AK880" s="55" t="n">
        <x:v>1005</x:v>
      </x:c>
      <x:c r="AL880" s="55" t="n">
        <x:v>1282</x:v>
      </x:c>
      <x:c r="AM880" s="55" t="n">
        <x:v>4537</x:v>
      </x:c>
      <x:c r="AN880" s="55" t="n">
        <x:v>3068</x:v>
      </x:c>
      <x:c r="AO880" s="55" t="n">
        <x:v>0</x:v>
      </x:c>
      <x:c r="AP880" s="55" t="n">
        <x:v>2151</x:v>
      </x:c>
      <x:c r="AQ880" s="55" t="n">
        <x:v>951</x:v>
      </x:c>
    </x:row>
    <x:row r="881">
      <x:c r="A881" s="54" t="str">
        <x:v>T0_TABLE_BLOCK</x:v>
      </x:c>
      <x:c r="B881" s="54" t="n">
        <x:v>875</x:v>
      </x:c>
      <x:c r="C881" s="54" t="str">
        <x:v>NYC-V2-R01</x:v>
      </x:c>
      <x:c r="D881" s="54" t="str">
        <x:v>V2</x:v>
      </x:c>
      <x:c r="E881" s="54" t="str">
        <x:v>ADMITTED</x:v>
      </x:c>
      <x:c r="F881" s="55" t="n">
        <x:v>31939</x:v>
      </x:c>
      <x:c r="G881" s="55" t="n">
        <x:v>6484</x:v>
      </x:c>
      <x:c r="H881" s="55" t="n">
        <x:v>3204</x:v>
      </x:c>
      <x:c r="I881" s="55" t="n">
        <x:v>1485</x:v>
      </x:c>
      <x:c r="J881" s="55" t="n">
        <x:v>298</x:v>
      </x:c>
      <x:c r="K881" s="55" t="n">
        <x:v>31939</x:v>
      </x:c>
      <x:c r="L881" s="55" t="n">
        <x:v>5202</x:v>
      </x:c>
      <x:c r="M881" s="55" t="n">
        <x:v>2068</x:v>
      </x:c>
      <x:c r="N881" s="55" t="n">
        <x:v>1759</x:v>
      </x:c>
      <x:c r="O881" s="55" t="n">
        <x:v>1375</x:v>
      </x:c>
      <x:c r="P881" s="55" t="n">
        <x:v>1255</x:v>
      </x:c>
      <x:c r="Q881" s="55" t="n">
        <x:v>2482</x:v>
      </x:c>
      <x:c r="R881" s="55" t="n">
        <x:v>1550</x:v>
      </x:c>
      <x:c r="S881" s="55" t="n">
        <x:v>2629</x:v>
      </x:c>
      <x:c r="T881" s="55" t="n">
        <x:v>1446</x:v>
      </x:c>
      <x:c r="U881" s="55" t="n">
        <x:v>2145</x:v>
      </x:c>
      <x:c r="V881" s="55" t="n">
        <x:v>10377</x:v>
      </x:c>
      <x:c r="W881" s="55" t="n">
        <x:v>7354</x:v>
      </x:c>
      <x:c r="X881" s="55" t="n">
        <x:v>3023</x:v>
      </x:c>
      <x:c r="Y881" s="55" t="n">
        <x:v>2695</x:v>
      </x:c>
      <x:c r="Z881" s="55" t="n">
        <x:v>3877</x:v>
      </x:c>
      <x:c r="AA881" s="55" t="n">
        <x:v>3104</x:v>
      </x:c>
      <x:c r="AB881" s="55" t="n">
        <x:v>1007</x:v>
      </x:c>
      <x:c r="AC881" s="55" t="n">
        <x:v>7713</x:v>
      </x:c>
      <x:c r="AD881" s="55" t="n">
        <x:v>2959</x:v>
      </x:c>
      <x:c r="AE881" s="55" t="n">
        <x:v>10427</x:v>
      </x:c>
      <x:c r="AF881" s="55" t="n">
        <x:v>10377</x:v>
      </x:c>
      <x:c r="AG881" s="55" t="n">
        <x:v>50</x:v>
      </x:c>
      <x:c r="AH881" s="55" t="n">
        <x:v>277</x:v>
      </x:c>
      <x:c r="AI881" s="55" t="n">
        <x:v>10100</x:v>
      </x:c>
      <x:c r="AJ881" s="55" t="n">
        <x:v>274</x:v>
      </x:c>
      <x:c r="AK881" s="55" t="n">
        <x:v>805</x:v>
      </x:c>
      <x:c r="AL881" s="55" t="n">
        <x:v>1161</x:v>
      </x:c>
      <x:c r="AM881" s="55" t="n">
        <x:v>4868</x:v>
      </x:c>
      <x:c r="AN881" s="55" t="n">
        <x:v>3232</x:v>
      </x:c>
      <x:c r="AO881" s="55" t="n">
        <x:v>37</x:v>
      </x:c>
      <x:c r="AP881" s="55" t="n">
        <x:v>1755</x:v>
      </x:c>
      <x:c r="AQ881" s="55" t="n">
        <x:v>974</x:v>
      </x:c>
    </x:row>
    <x:row r="882">
      <x:c r="A882" s="54" t="str">
        <x:v>T0_TABLE_BLOCK</x:v>
      </x:c>
      <x:c r="B882" s="54" t="n">
        <x:v>876</x:v>
      </x:c>
      <x:c r="C882" s="54" t="str">
        <x:v>NYC-V2-R01</x:v>
      </x:c>
      <x:c r="D882" s="54" t="str">
        <x:v>V2</x:v>
      </x:c>
      <x:c r="E882" s="54" t="str">
        <x:v>ADMITTED</x:v>
      </x:c>
      <x:c r="F882" s="55" t="n">
        <x:v>30914</x:v>
      </x:c>
      <x:c r="G882" s="55" t="n">
        <x:v>7329</x:v>
      </x:c>
      <x:c r="H882" s="55" t="n">
        <x:v>3527</x:v>
      </x:c>
      <x:c r="I882" s="55" t="n">
        <x:v>1217</x:v>
      </x:c>
      <x:c r="J882" s="55" t="n">
        <x:v>124</x:v>
      </x:c>
      <x:c r="K882" s="55" t="n">
        <x:v>29557</x:v>
      </x:c>
      <x:c r="L882" s="55" t="n">
        <x:v>4474</x:v>
      </x:c>
      <x:c r="M882" s="55" t="n">
        <x:v>88</x:v>
      </x:c>
      <x:c r="N882" s="55" t="n">
        <x:v>2745</x:v>
      </x:c>
      <x:c r="O882" s="55" t="n">
        <x:v>1641</x:v>
      </x:c>
      <x:c r="P882" s="55" t="n">
        <x:v>995</x:v>
      </x:c>
      <x:c r="Q882" s="55" t="n">
        <x:v>2443</x:v>
      </x:c>
      <x:c r="R882" s="55" t="n">
        <x:v>1825</x:v>
      </x:c>
      <x:c r="S882" s="55" t="n">
        <x:v>3215</x:v>
      </x:c>
      <x:c r="T882" s="55" t="n">
        <x:v>656</x:v>
      </x:c>
      <x:c r="U882" s="55" t="n">
        <x:v>2205</x:v>
      </x:c>
      <x:c r="V882" s="55" t="n">
        <x:v>10392</x:v>
      </x:c>
      <x:c r="W882" s="55" t="n">
        <x:v>7438</x:v>
      </x:c>
      <x:c r="X882" s="55" t="n">
        <x:v>2954</x:v>
      </x:c>
      <x:c r="Y882" s="55" t="n">
        <x:v>2496</x:v>
      </x:c>
      <x:c r="Z882" s="55" t="n">
        <x:v>4004</x:v>
      </x:c>
      <x:c r="AA882" s="55" t="n">
        <x:v>3007</x:v>
      </x:c>
      <x:c r="AB882" s="55" t="n">
        <x:v>774</x:v>
      </x:c>
      <x:c r="AC882" s="55" t="n">
        <x:v>8410</x:v>
      </x:c>
      <x:c r="AD882" s="55" t="n">
        <x:v>2851</x:v>
      </x:c>
      <x:c r="AE882" s="55" t="n">
        <x:v>10400</x:v>
      </x:c>
      <x:c r="AF882" s="55" t="n">
        <x:v>10392</x:v>
      </x:c>
      <x:c r="AG882" s="55" t="n">
        <x:v>8</x:v>
      </x:c>
      <x:c r="AH882" s="55" t="n">
        <x:v>587</x:v>
      </x:c>
      <x:c r="AI882" s="55" t="n">
        <x:v>9805</x:v>
      </x:c>
      <x:c r="AJ882" s="55" t="n">
        <x:v>464</x:v>
      </x:c>
      <x:c r="AK882" s="55" t="n">
        <x:v>722</x:v>
      </x:c>
      <x:c r="AL882" s="55" t="n">
        <x:v>1627</x:v>
      </x:c>
      <x:c r="AM882" s="55" t="n">
        <x:v>4754</x:v>
      </x:c>
      <x:c r="AN882" s="55" t="n">
        <x:v>2824</x:v>
      </x:c>
      <x:c r="AO882" s="55" t="n">
        <x:v>1</x:v>
      </x:c>
      <x:c r="AP882" s="55" t="n">
        <x:v>2433</x:v>
      </x:c>
      <x:c r="AQ882" s="55" t="n">
        <x:v>923</x:v>
      </x:c>
    </x:row>
    <x:row r="883">
      <x:c r="A883" s="54" t="str">
        <x:v>T0_TABLE_BLOCK</x:v>
      </x:c>
      <x:c r="B883" s="54" t="n">
        <x:v>877</x:v>
      </x:c>
      <x:c r="C883" s="54" t="str">
        <x:v>NYC-V2-R01</x:v>
      </x:c>
      <x:c r="D883" s="54" t="str">
        <x:v>V2</x:v>
      </x:c>
      <x:c r="E883" s="54" t="str">
        <x:v>ADMITTED</x:v>
      </x:c>
      <x:c r="F883" s="55" t="n">
        <x:v>29785</x:v>
      </x:c>
      <x:c r="G883" s="55" t="n">
        <x:v>7730</x:v>
      </x:c>
      <x:c r="H883" s="55" t="n">
        <x:v>3263</x:v>
      </x:c>
      <x:c r="I883" s="55" t="n">
        <x:v>1509</x:v>
      </x:c>
      <x:c r="J883" s="55" t="n">
        <x:v>132</x:v>
      </x:c>
      <x:c r="K883" s="55" t="n">
        <x:v>27202</x:v>
      </x:c>
      <x:c r="L883" s="55" t="n">
        <x:v>5179</x:v>
      </x:c>
      <x:c r="M883" s="55" t="n">
        <x:v>637</x:v>
      </x:c>
      <x:c r="N883" s="55" t="n">
        <x:v>2888</x:v>
      </x:c>
      <x:c r="O883" s="55" t="n">
        <x:v>1654</x:v>
      </x:c>
      <x:c r="P883" s="55" t="n">
        <x:v>306</x:v>
      </x:c>
      <x:c r="Q883" s="55" t="n">
        <x:v>2795</x:v>
      </x:c>
      <x:c r="R883" s="55" t="n">
        <x:v>2264</x:v>
      </x:c>
      <x:c r="S883" s="55" t="n">
        <x:v>2779</x:v>
      </x:c>
      <x:c r="T883" s="55" t="n">
        <x:v>1236</x:v>
      </x:c>
      <x:c r="U883" s="55" t="n">
        <x:v>1930</x:v>
      </x:c>
      <x:c r="V883" s="55" t="n">
        <x:v>10751</x:v>
      </x:c>
      <x:c r="W883" s="55" t="n">
        <x:v>7233</x:v>
      </x:c>
      <x:c r="X883" s="55" t="n">
        <x:v>3518</x:v>
      </x:c>
      <x:c r="Y883" s="55" t="n">
        <x:v>2976</x:v>
      </x:c>
      <x:c r="Z883" s="55" t="n">
        <x:v>3447</x:v>
      </x:c>
      <x:c r="AA883" s="55" t="n">
        <x:v>3068</x:v>
      </x:c>
      <x:c r="AB883" s="55" t="n">
        <x:v>1062</x:v>
      </x:c>
      <x:c r="AC883" s="55" t="n">
        <x:v>8070</x:v>
      </x:c>
      <x:c r="AD883" s="55" t="n">
        <x:v>2835</x:v>
      </x:c>
      <x:c r="AE883" s="55" t="n">
        <x:v>10840</x:v>
      </x:c>
      <x:c r="AF883" s="55" t="n">
        <x:v>10751</x:v>
      </x:c>
      <x:c r="AG883" s="55" t="n">
        <x:v>89</x:v>
      </x:c>
      <x:c r="AH883" s="55" t="n">
        <x:v>97</x:v>
      </x:c>
      <x:c r="AI883" s="55" t="n">
        <x:v>10654</x:v>
      </x:c>
      <x:c r="AJ883" s="55" t="n">
        <x:v>353</x:v>
      </x:c>
      <x:c r="AK883" s="55" t="n">
        <x:v>895</x:v>
      </x:c>
      <x:c r="AL883" s="55" t="n">
        <x:v>1187</x:v>
      </x:c>
      <x:c r="AM883" s="55" t="n">
        <x:v>5340</x:v>
      </x:c>
      <x:c r="AN883" s="55" t="n">
        <x:v>2975</x:v>
      </x:c>
      <x:c r="AO883" s="55" t="n">
        <x:v>1</x:v>
      </x:c>
      <x:c r="AP883" s="55" t="n">
        <x:v>2201</x:v>
      </x:c>
      <x:c r="AQ883" s="55" t="n">
        <x:v>940</x:v>
      </x:c>
    </x:row>
    <x:row r="884">
      <x:c r="A884" s="54" t="str">
        <x:v>T0_TABLE_BLOCK</x:v>
      </x:c>
      <x:c r="B884" s="54" t="n">
        <x:v>878</x:v>
      </x:c>
      <x:c r="C884" s="54" t="str">
        <x:v>NYC-V2-R01</x:v>
      </x:c>
      <x:c r="D884" s="54" t="str">
        <x:v>V2</x:v>
      </x:c>
      <x:c r="E884" s="54" t="str">
        <x:v>ADMITTED</x:v>
      </x:c>
      <x:c r="F884" s="55" t="n">
        <x:v>29920</x:v>
      </x:c>
      <x:c r="G884" s="55" t="n">
        <x:v>7284</x:v>
      </x:c>
      <x:c r="H884" s="55" t="n">
        <x:v>3354</x:v>
      </x:c>
      <x:c r="I884" s="55" t="n">
        <x:v>1053</x:v>
      </x:c>
      <x:c r="J884" s="55" t="n">
        <x:v>80</x:v>
      </x:c>
      <x:c r="K884" s="55" t="n">
        <x:v>29591</x:v>
      </x:c>
      <x:c r="L884" s="55" t="n">
        <x:v>5851</x:v>
      </x:c>
      <x:c r="M884" s="55" t="n">
        <x:v>499</x:v>
      </x:c>
      <x:c r="N884" s="55" t="n">
        <x:v>3408</x:v>
      </x:c>
      <x:c r="O884" s="55" t="n">
        <x:v>1944</x:v>
      </x:c>
      <x:c r="P884" s="55" t="n">
        <x:v>695</x:v>
      </x:c>
      <x:c r="Q884" s="55" t="n">
        <x:v>2574</x:v>
      </x:c>
      <x:c r="R884" s="55" t="n">
        <x:v>1271</x:v>
      </x:c>
      <x:c r="S884" s="55" t="n">
        <x:v>2979</x:v>
      </x:c>
      <x:c r="T884" s="55" t="n">
        <x:v>885</x:v>
      </x:c>
      <x:c r="U884" s="55" t="n">
        <x:v>1854</x:v>
      </x:c>
      <x:c r="V884" s="55" t="n">
        <x:v>10301</x:v>
      </x:c>
      <x:c r="W884" s="55" t="n">
        <x:v>7011</x:v>
      </x:c>
      <x:c r="X884" s="55" t="n">
        <x:v>3290</x:v>
      </x:c>
      <x:c r="Y884" s="55" t="n">
        <x:v>2800</x:v>
      </x:c>
      <x:c r="Z884" s="55" t="n">
        <x:v>4054</x:v>
      </x:c>
      <x:c r="AA884" s="55" t="n">
        <x:v>3251</x:v>
      </x:c>
      <x:c r="AB884" s="55" t="n">
        <x:v>1338</x:v>
      </x:c>
      <x:c r="AC884" s="55" t="n">
        <x:v>8352</x:v>
      </x:c>
      <x:c r="AD884" s="55" t="n">
        <x:v>2595</x:v>
      </x:c>
      <x:c r="AE884" s="55" t="n">
        <x:v>10430</x:v>
      </x:c>
      <x:c r="AF884" s="55" t="n">
        <x:v>10301</x:v>
      </x:c>
      <x:c r="AG884" s="55" t="n">
        <x:v>129</x:v>
      </x:c>
      <x:c r="AH884" s="55" t="n">
        <x:v>269</x:v>
      </x:c>
      <x:c r="AI884" s="55" t="n">
        <x:v>10032</x:v>
      </x:c>
      <x:c r="AJ884" s="55" t="n">
        <x:v>323</x:v>
      </x:c>
      <x:c r="AK884" s="55" t="n">
        <x:v>997</x:v>
      </x:c>
      <x:c r="AL884" s="55" t="n">
        <x:v>1795</x:v>
      </x:c>
      <x:c r="AM884" s="55" t="n">
        <x:v>4741</x:v>
      </x:c>
      <x:c r="AN884" s="55" t="n">
        <x:v>2398</x:v>
      </x:c>
      <x:c r="AO884" s="55" t="n">
        <x:v>47</x:v>
      </x:c>
      <x:c r="AP884" s="55" t="n">
        <x:v>2533</x:v>
      </x:c>
      <x:c r="AQ884" s="55" t="n">
        <x:v>959</x:v>
      </x:c>
    </x:row>
    <x:row r="885">
      <x:c r="A885" s="54" t="str">
        <x:v>T0_TABLE_BLOCK</x:v>
      </x:c>
      <x:c r="B885" s="54" t="n">
        <x:v>879</x:v>
      </x:c>
      <x:c r="C885" s="54" t="str">
        <x:v>NYC-V2-R01</x:v>
      </x:c>
      <x:c r="D885" s="54" t="str">
        <x:v>V2</x:v>
      </x:c>
      <x:c r="E885" s="54" t="str">
        <x:v>ADMITTED</x:v>
      </x:c>
      <x:c r="F885" s="55" t="n">
        <x:v>34325</x:v>
      </x:c>
      <x:c r="G885" s="55" t="n">
        <x:v>6505</x:v>
      </x:c>
      <x:c r="H885" s="55" t="n">
        <x:v>3629</x:v>
      </x:c>
      <x:c r="I885" s="55" t="n">
        <x:v>1662</x:v>
      </x:c>
      <x:c r="J885" s="55" t="n">
        <x:v>308</x:v>
      </x:c>
      <x:c r="K885" s="55" t="n">
        <x:v>34325</x:v>
      </x:c>
      <x:c r="L885" s="55" t="n">
        <x:v>6256</x:v>
      </x:c>
      <x:c r="M885" s="55" t="n">
        <x:v>1456</x:v>
      </x:c>
      <x:c r="N885" s="55" t="n">
        <x:v>2641</x:v>
      </x:c>
      <x:c r="O885" s="55" t="n">
        <x:v>2159</x:v>
      </x:c>
      <x:c r="P885" s="55" t="n">
        <x:v>633</x:v>
      </x:c>
      <x:c r="Q885" s="55" t="n">
        <x:v>1611</x:v>
      </x:c>
      <x:c r="R885" s="55" t="n">
        <x:v>1376</x:v>
      </x:c>
      <x:c r="S885" s="55" t="n">
        <x:v>2575</x:v>
      </x:c>
      <x:c r="T885" s="55" t="n">
        <x:v>1094</x:v>
      </x:c>
      <x:c r="U885" s="55" t="n">
        <x:v>1084</x:v>
      </x:c>
      <x:c r="V885" s="55" t="n">
        <x:v>10029</x:v>
      </x:c>
      <x:c r="W885" s="55" t="n">
        <x:v>6782</x:v>
      </x:c>
      <x:c r="X885" s="55" t="n">
        <x:v>3247</x:v>
      </x:c>
      <x:c r="Y885" s="55" t="n">
        <x:v>2766</x:v>
      </x:c>
      <x:c r="Z885" s="55" t="n">
        <x:v>3546</x:v>
      </x:c>
      <x:c r="AA885" s="55" t="n">
        <x:v>3267</x:v>
      </x:c>
      <x:c r="AB885" s="55" t="n">
        <x:v>734</x:v>
      </x:c>
      <x:c r="AC885" s="55" t="n">
        <x:v>7679</x:v>
      </x:c>
      <x:c r="AD885" s="55" t="n">
        <x:v>3348</x:v>
      </x:c>
      <x:c r="AE885" s="55" t="n">
        <x:v>10141</x:v>
      </x:c>
      <x:c r="AF885" s="55" t="n">
        <x:v>10029</x:v>
      </x:c>
      <x:c r="AG885" s="55" t="n">
        <x:v>112</x:v>
      </x:c>
      <x:c r="AH885" s="55" t="n">
        <x:v>520</x:v>
      </x:c>
      <x:c r="AI885" s="55" t="n">
        <x:v>9509</x:v>
      </x:c>
      <x:c r="AJ885" s="55" t="n">
        <x:v>293</x:v>
      </x:c>
      <x:c r="AK885" s="55" t="n">
        <x:v>994</x:v>
      </x:c>
      <x:c r="AL885" s="55" t="n">
        <x:v>1633</x:v>
      </x:c>
      <x:c r="AM885" s="55" t="n">
        <x:v>4924</x:v>
      </x:c>
      <x:c r="AN885" s="55" t="n">
        <x:v>2185</x:v>
      </x:c>
      <x:c r="AO885" s="55" t="n">
        <x:v>0</x:v>
      </x:c>
      <x:c r="AP885" s="55" t="n">
        <x:v>2444</x:v>
      </x:c>
      <x:c r="AQ885" s="55" t="n">
        <x:v>951</x:v>
      </x:c>
    </x:row>
    <x:row r="886">
      <x:c r="A886" s="54" t="str">
        <x:v>T0_TABLE_BLOCK</x:v>
      </x:c>
      <x:c r="B886" s="54" t="n">
        <x:v>880</x:v>
      </x:c>
      <x:c r="C886" s="54" t="str">
        <x:v>NYC-V2-R01</x:v>
      </x:c>
      <x:c r="D886" s="54" t="str">
        <x:v>V2</x:v>
      </x:c>
      <x:c r="E886" s="54" t="str">
        <x:v>ADMITTED</x:v>
      </x:c>
      <x:c r="F886" s="55" t="n">
        <x:v>32518</x:v>
      </x:c>
      <x:c r="G886" s="55" t="n">
        <x:v>8304</x:v>
      </x:c>
      <x:c r="H886" s="55" t="n">
        <x:v>3257</x:v>
      </x:c>
      <x:c r="I886" s="55" t="n">
        <x:v>1257</x:v>
      </x:c>
      <x:c r="J886" s="55" t="n">
        <x:v>263</x:v>
      </x:c>
      <x:c r="K886" s="55" t="n">
        <x:v>30817</x:v>
      </x:c>
      <x:c r="L886" s="55" t="n">
        <x:v>5920</x:v>
      </x:c>
      <x:c r="M886" s="55" t="n">
        <x:v>1302</x:v>
      </x:c>
      <x:c r="N886" s="55" t="n">
        <x:v>2799</x:v>
      </x:c>
      <x:c r="O886" s="55" t="n">
        <x:v>1819</x:v>
      </x:c>
      <x:c r="P886" s="55" t="n">
        <x:v>1174</x:v>
      </x:c>
      <x:c r="Q886" s="55" t="n">
        <x:v>2289</x:v>
      </x:c>
      <x:c r="R886" s="55" t="n">
        <x:v>1932</x:v>
      </x:c>
      <x:c r="S886" s="55" t="n">
        <x:v>2964</x:v>
      </x:c>
      <x:c r="T886" s="55" t="n">
        <x:v>1782</x:v>
      </x:c>
      <x:c r="U886" s="55" t="n">
        <x:v>2578</x:v>
      </x:c>
      <x:c r="V886" s="55" t="n">
        <x:v>10495</x:v>
      </x:c>
      <x:c r="W886" s="55" t="n">
        <x:v>6896</x:v>
      </x:c>
      <x:c r="X886" s="55" t="n">
        <x:v>3599</x:v>
      </x:c>
      <x:c r="Y886" s="55" t="n">
        <x:v>3208</x:v>
      </x:c>
      <x:c r="Z886" s="55" t="n">
        <x:v>4010</x:v>
      </x:c>
      <x:c r="AA886" s="55" t="n">
        <x:v>3257</x:v>
      </x:c>
      <x:c r="AB886" s="55" t="n">
        <x:v>1275</x:v>
      </x:c>
      <x:c r="AC886" s="55" t="n">
        <x:v>7932</x:v>
      </x:c>
      <x:c r="AD886" s="55" t="n">
        <x:v>2481</x:v>
      </x:c>
      <x:c r="AE886" s="55" t="n">
        <x:v>10622</x:v>
      </x:c>
      <x:c r="AF886" s="55" t="n">
        <x:v>10495</x:v>
      </x:c>
      <x:c r="AG886" s="55" t="n">
        <x:v>127</x:v>
      </x:c>
      <x:c r="AH886" s="55" t="n">
        <x:v>408</x:v>
      </x:c>
      <x:c r="AI886" s="55" t="n">
        <x:v>10087</x:v>
      </x:c>
      <x:c r="AJ886" s="55" t="n">
        <x:v>384</x:v>
      </x:c>
      <x:c r="AK886" s="55" t="n">
        <x:v>919</x:v>
      </x:c>
      <x:c r="AL886" s="55" t="n">
        <x:v>2155</x:v>
      </x:c>
      <x:c r="AM886" s="55" t="n">
        <x:v>4082</x:v>
      </x:c>
      <x:c r="AN886" s="55" t="n">
        <x:v>2866</x:v>
      </x:c>
      <x:c r="AO886" s="55" t="n">
        <x:v>89</x:v>
      </x:c>
      <x:c r="AP886" s="55" t="n">
        <x:v>2468</x:v>
      </x:c>
      <x:c r="AQ886" s="55" t="n">
        <x:v>995</x:v>
      </x:c>
    </x:row>
    <x:row r="887">
      <x:c r="A887" s="54" t="str">
        <x:v>T0_TABLE_BLOCK</x:v>
      </x:c>
      <x:c r="B887" s="54" t="n">
        <x:v>881</x:v>
      </x:c>
      <x:c r="C887" s="54" t="str">
        <x:v>NYC-V2-R01</x:v>
      </x:c>
      <x:c r="D887" s="54" t="str">
        <x:v>V2</x:v>
      </x:c>
      <x:c r="E887" s="54" t="str">
        <x:v>ADMITTED</x:v>
      </x:c>
      <x:c r="F887" s="55" t="n">
        <x:v>31811</x:v>
      </x:c>
      <x:c r="G887" s="55" t="n">
        <x:v>8064</x:v>
      </x:c>
      <x:c r="H887" s="55" t="n">
        <x:v>3901</x:v>
      </x:c>
      <x:c r="I887" s="55" t="n">
        <x:v>1279</x:v>
      </x:c>
      <x:c r="J887" s="55" t="n">
        <x:v>233</x:v>
      </x:c>
      <x:c r="K887" s="55" t="n">
        <x:v>31284</x:v>
      </x:c>
      <x:c r="L887" s="55" t="n">
        <x:v>5915</x:v>
      </x:c>
      <x:c r="M887" s="55" t="n">
        <x:v>2266</x:v>
      </x:c>
      <x:c r="N887" s="55" t="n">
        <x:v>2078</x:v>
      </x:c>
      <x:c r="O887" s="55" t="n">
        <x:v>1571</x:v>
      </x:c>
      <x:c r="P887" s="55" t="n">
        <x:v>1214</x:v>
      </x:c>
      <x:c r="Q887" s="55" t="n">
        <x:v>2295</x:v>
      </x:c>
      <x:c r="R887" s="55" t="n">
        <x:v>2237</x:v>
      </x:c>
      <x:c r="S887" s="55" t="n">
        <x:v>2893</x:v>
      </x:c>
      <x:c r="T887" s="55" t="n">
        <x:v>1110</x:v>
      </x:c>
      <x:c r="U887" s="55" t="n">
        <x:v>2508</x:v>
      </x:c>
      <x:c r="V887" s="55" t="n">
        <x:v>10397</x:v>
      </x:c>
      <x:c r="W887" s="55" t="n">
        <x:v>7178</x:v>
      </x:c>
      <x:c r="X887" s="55" t="n">
        <x:v>3219</x:v>
      </x:c>
      <x:c r="Y887" s="55" t="n">
        <x:v>2737</x:v>
      </x:c>
      <x:c r="Z887" s="55" t="n">
        <x:v>3870</x:v>
      </x:c>
      <x:c r="AA887" s="55" t="n">
        <x:v>3256</x:v>
      </x:c>
      <x:c r="AB887" s="55" t="n">
        <x:v>1161</x:v>
      </x:c>
      <x:c r="AC887" s="55" t="n">
        <x:v>7838</x:v>
      </x:c>
      <x:c r="AD887" s="55" t="n">
        <x:v>3191</x:v>
      </x:c>
      <x:c r="AE887" s="55" t="n">
        <x:v>10468</x:v>
      </x:c>
      <x:c r="AF887" s="55" t="n">
        <x:v>10397</x:v>
      </x:c>
      <x:c r="AG887" s="55" t="n">
        <x:v>71</x:v>
      </x:c>
      <x:c r="AH887" s="55" t="n">
        <x:v>395</x:v>
      </x:c>
      <x:c r="AI887" s="55" t="n">
        <x:v>10002</x:v>
      </x:c>
      <x:c r="AJ887" s="55" t="n">
        <x:v>186</x:v>
      </x:c>
      <x:c r="AK887" s="55" t="n">
        <x:v>844</x:v>
      </x:c>
      <x:c r="AL887" s="55" t="n">
        <x:v>1475</x:v>
      </x:c>
      <x:c r="AM887" s="55" t="n">
        <x:v>4969</x:v>
      </x:c>
      <x:c r="AN887" s="55" t="n">
        <x:v>2923</x:v>
      </x:c>
      <x:c r="AO887" s="55" t="n">
        <x:v>0</x:v>
      </x:c>
      <x:c r="AP887" s="55" t="n">
        <x:v>2593</x:v>
      </x:c>
      <x:c r="AQ887" s="55" t="n">
        <x:v>922</x:v>
      </x:c>
    </x:row>
    <x:row r="888">
      <x:c r="A888" s="54" t="str">
        <x:v>T0_TABLE_BLOCK</x:v>
      </x:c>
      <x:c r="B888" s="54" t="n">
        <x:v>882</x:v>
      </x:c>
      <x:c r="C888" s="54" t="str">
        <x:v>NYC-V2-R01</x:v>
      </x:c>
      <x:c r="D888" s="54" t="str">
        <x:v>V2</x:v>
      </x:c>
      <x:c r="E888" s="54" t="str">
        <x:v>ADMITTED</x:v>
      </x:c>
      <x:c r="F888" s="55" t="n">
        <x:v>31212</x:v>
      </x:c>
      <x:c r="G888" s="55" t="n">
        <x:v>7288</x:v>
      </x:c>
      <x:c r="H888" s="55" t="n">
        <x:v>3182</x:v>
      </x:c>
      <x:c r="I888" s="55" t="n">
        <x:v>1093</x:v>
      </x:c>
      <x:c r="J888" s="55" t="n">
        <x:v>0</x:v>
      </x:c>
      <x:c r="K888" s="55" t="n">
        <x:v>31212</x:v>
      </x:c>
      <x:c r="L888" s="55" t="n">
        <x:v>5569</x:v>
      </x:c>
      <x:c r="M888" s="55" t="n">
        <x:v>1097</x:v>
      </x:c>
      <x:c r="N888" s="55" t="n">
        <x:v>2879</x:v>
      </x:c>
      <x:c r="O888" s="55" t="n">
        <x:v>1593</x:v>
      </x:c>
      <x:c r="P888" s="55" t="n">
        <x:v>931</x:v>
      </x:c>
      <x:c r="Q888" s="55" t="n">
        <x:v>3403</x:v>
      </x:c>
      <x:c r="R888" s="55" t="n">
        <x:v>1848</x:v>
      </x:c>
      <x:c r="S888" s="55" t="n">
        <x:v>2436</x:v>
      </x:c>
      <x:c r="T888" s="55" t="n">
        <x:v>866</x:v>
      </x:c>
      <x:c r="U888" s="55" t="n">
        <x:v>2022</x:v>
      </x:c>
      <x:c r="V888" s="55" t="n">
        <x:v>10454</x:v>
      </x:c>
      <x:c r="W888" s="55" t="n">
        <x:v>7553</x:v>
      </x:c>
      <x:c r="X888" s="55" t="n">
        <x:v>2901</x:v>
      </x:c>
      <x:c r="Y888" s="55" t="n">
        <x:v>2468</x:v>
      </x:c>
      <x:c r="Z888" s="55" t="n">
        <x:v>3445</x:v>
      </x:c>
      <x:c r="AA888" s="55" t="n">
        <x:v>3182</x:v>
      </x:c>
      <x:c r="AB888" s="55" t="n">
        <x:v>807</x:v>
      </x:c>
      <x:c r="AC888" s="55" t="n">
        <x:v>8005</x:v>
      </x:c>
      <x:c r="AD888" s="55" t="n">
        <x:v>2816</x:v>
      </x:c>
      <x:c r="AE888" s="55" t="n">
        <x:v>10551</x:v>
      </x:c>
      <x:c r="AF888" s="55" t="n">
        <x:v>10454</x:v>
      </x:c>
      <x:c r="AG888" s="55" t="n">
        <x:v>97</x:v>
      </x:c>
      <x:c r="AH888" s="55" t="n">
        <x:v>271</x:v>
      </x:c>
      <x:c r="AI888" s="55" t="n">
        <x:v>10183</x:v>
      </x:c>
      <x:c r="AJ888" s="55" t="n">
        <x:v>433</x:v>
      </x:c>
      <x:c r="AK888" s="55" t="n">
        <x:v>1254</x:v>
      </x:c>
      <x:c r="AL888" s="55" t="n">
        <x:v>1789</x:v>
      </x:c>
      <x:c r="AM888" s="55" t="n">
        <x:v>4495</x:v>
      </x:c>
      <x:c r="AN888" s="55" t="n">
        <x:v>2483</x:v>
      </x:c>
      <x:c r="AO888" s="55" t="n">
        <x:v>0</x:v>
      </x:c>
      <x:c r="AP888" s="55" t="n">
        <x:v>2788</x:v>
      </x:c>
      <x:c r="AQ888" s="55" t="n">
        <x:v>920</x:v>
      </x:c>
    </x:row>
    <x:row r="889">
      <x:c r="A889" s="54" t="str">
        <x:v>T0_TABLE_BLOCK</x:v>
      </x:c>
      <x:c r="B889" s="54" t="n">
        <x:v>883</x:v>
      </x:c>
      <x:c r="C889" s="54" t="str">
        <x:v>NYC-V2-R01</x:v>
      </x:c>
      <x:c r="D889" s="54" t="str">
        <x:v>V2</x:v>
      </x:c>
      <x:c r="E889" s="54" t="str">
        <x:v>ADMITTED</x:v>
      </x:c>
      <x:c r="F889" s="55" t="n">
        <x:v>31073</x:v>
      </x:c>
      <x:c r="G889" s="55" t="n">
        <x:v>6674</x:v>
      </x:c>
      <x:c r="H889" s="55" t="n">
        <x:v>3294</x:v>
      </x:c>
      <x:c r="I889" s="55" t="n">
        <x:v>1192</x:v>
      </x:c>
      <x:c r="J889" s="55" t="n">
        <x:v>177</x:v>
      </x:c>
      <x:c r="K889" s="55" t="n">
        <x:v>31073</x:v>
      </x:c>
      <x:c r="L889" s="55" t="n">
        <x:v>5868</x:v>
      </x:c>
      <x:c r="M889" s="55" t="n">
        <x:v>2203</x:v>
      </x:c>
      <x:c r="N889" s="55" t="n">
        <x:v>2378</x:v>
      </x:c>
      <x:c r="O889" s="55" t="n">
        <x:v>1287</x:v>
      </x:c>
      <x:c r="P889" s="55" t="n">
        <x:v>554</x:v>
      </x:c>
      <x:c r="Q889" s="55" t="n">
        <x:v>2704</x:v>
      </x:c>
      <x:c r="R889" s="55" t="n">
        <x:v>2015</x:v>
      </x:c>
      <x:c r="S889" s="55" t="n">
        <x:v>2372</x:v>
      </x:c>
      <x:c r="T889" s="55" t="n">
        <x:v>1047</x:v>
      </x:c>
      <x:c r="U889" s="55" t="n">
        <x:v>2827</x:v>
      </x:c>
      <x:c r="V889" s="55" t="n">
        <x:v>9359</x:v>
      </x:c>
      <x:c r="W889" s="55" t="n">
        <x:v>6740</x:v>
      </x:c>
      <x:c r="X889" s="55" t="n">
        <x:v>2619</x:v>
      </x:c>
      <x:c r="Y889" s="55" t="n">
        <x:v>2229</x:v>
      </x:c>
      <x:c r="Z889" s="55" t="n">
        <x:v>3860</x:v>
      </x:c>
      <x:c r="AA889" s="55" t="n">
        <x:v>3001</x:v>
      </x:c>
      <x:c r="AB889" s="55" t="n">
        <x:v>1181</x:v>
      </x:c>
      <x:c r="AC889" s="55" t="n">
        <x:v>8503</x:v>
      </x:c>
      <x:c r="AD889" s="55" t="n">
        <x:v>2982</x:v>
      </x:c>
      <x:c r="AE889" s="55" t="n">
        <x:v>9439</x:v>
      </x:c>
      <x:c r="AF889" s="55" t="n">
        <x:v>9359</x:v>
      </x:c>
      <x:c r="AG889" s="55" t="n">
        <x:v>80</x:v>
      </x:c>
      <x:c r="AH889" s="55" t="n">
        <x:v>393</x:v>
      </x:c>
      <x:c r="AI889" s="55" t="n">
        <x:v>8966</x:v>
      </x:c>
      <x:c r="AJ889" s="55" t="n">
        <x:v>256</x:v>
      </x:c>
      <x:c r="AK889" s="55" t="n">
        <x:v>1022</x:v>
      </x:c>
      <x:c r="AL889" s="55" t="n">
        <x:v>1199</x:v>
      </x:c>
      <x:c r="AM889" s="55" t="n">
        <x:v>4145</x:v>
      </x:c>
      <x:c r="AN889" s="55" t="n">
        <x:v>2592</x:v>
      </x:c>
      <x:c r="AO889" s="55" t="n">
        <x:v>145</x:v>
      </x:c>
      <x:c r="AP889" s="55" t="n">
        <x:v>2477</x:v>
      </x:c>
      <x:c r="AQ889" s="55" t="n">
        <x:v>970</x:v>
      </x:c>
    </x:row>
    <x:row r="890">
      <x:c r="A890" s="54" t="str">
        <x:v>T0_TABLE_BLOCK</x:v>
      </x:c>
      <x:c r="B890" s="54" t="n">
        <x:v>884</x:v>
      </x:c>
      <x:c r="C890" s="54" t="str">
        <x:v>NYC-V2-R01</x:v>
      </x:c>
      <x:c r="D890" s="54" t="str">
        <x:v>V2</x:v>
      </x:c>
      <x:c r="E890" s="54" t="str">
        <x:v>ADMITTED</x:v>
      </x:c>
      <x:c r="F890" s="55" t="n">
        <x:v>32305</x:v>
      </x:c>
      <x:c r="G890" s="55" t="n">
        <x:v>6058</x:v>
      </x:c>
      <x:c r="H890" s="55" t="n">
        <x:v>3320</x:v>
      </x:c>
      <x:c r="I890" s="55" t="n">
        <x:v>1472</x:v>
      </x:c>
      <x:c r="J890" s="55" t="n">
        <x:v>292</x:v>
      </x:c>
      <x:c r="K890" s="55" t="n">
        <x:v>32305</x:v>
      </x:c>
      <x:c r="L890" s="55" t="n">
        <x:v>5768</x:v>
      </x:c>
      <x:c r="M890" s="55" t="n">
        <x:v>1294</x:v>
      </x:c>
      <x:c r="N890" s="55" t="n">
        <x:v>2612</x:v>
      </x:c>
      <x:c r="O890" s="55" t="n">
        <x:v>1862</x:v>
      </x:c>
      <x:c r="P890" s="55" t="n">
        <x:v>532</x:v>
      </x:c>
      <x:c r="Q890" s="55" t="n">
        <x:v>2145</x:v>
      </x:c>
      <x:c r="R890" s="55" t="n">
        <x:v>2010</x:v>
      </x:c>
      <x:c r="S890" s="55" t="n">
        <x:v>2481</x:v>
      </x:c>
      <x:c r="T890" s="55" t="n">
        <x:v>1497</x:v>
      </x:c>
      <x:c r="U890" s="55" t="n">
        <x:v>1904</x:v>
      </x:c>
      <x:c r="V890" s="55" t="n">
        <x:v>10597</x:v>
      </x:c>
      <x:c r="W890" s="55" t="n">
        <x:v>7833</x:v>
      </x:c>
      <x:c r="X890" s="55" t="n">
        <x:v>2764</x:v>
      </x:c>
      <x:c r="Y890" s="55" t="n">
        <x:v>2442</x:v>
      </x:c>
      <x:c r="Z890" s="55" t="n">
        <x:v>2918</x:v>
      </x:c>
      <x:c r="AA890" s="55" t="n">
        <x:v>3320</x:v>
      </x:c>
      <x:c r="AB890" s="55" t="n">
        <x:v>1103</x:v>
      </x:c>
      <x:c r="AC890" s="55" t="n">
        <x:v>7393</x:v>
      </x:c>
      <x:c r="AD890" s="55" t="n">
        <x:v>3466</x:v>
      </x:c>
      <x:c r="AE890" s="55" t="n">
        <x:v>10755</x:v>
      </x:c>
      <x:c r="AF890" s="55" t="n">
        <x:v>10597</x:v>
      </x:c>
      <x:c r="AG890" s="55" t="n">
        <x:v>158</x:v>
      </x:c>
      <x:c r="AH890" s="55" t="n">
        <x:v>413</x:v>
      </x:c>
      <x:c r="AI890" s="55" t="n">
        <x:v>10184</x:v>
      </x:c>
      <x:c r="AJ890" s="55" t="n">
        <x:v>486</x:v>
      </x:c>
      <x:c r="AK890" s="55" t="n">
        <x:v>789</x:v>
      </x:c>
      <x:c r="AL890" s="55" t="n">
        <x:v>1616</x:v>
      </x:c>
      <x:c r="AM890" s="55" t="n">
        <x:v>4858</x:v>
      </x:c>
      <x:c r="AN890" s="55" t="n">
        <x:v>2802</x:v>
      </x:c>
      <x:c r="AO890" s="55" t="n">
        <x:v>46</x:v>
      </x:c>
      <x:c r="AP890" s="55" t="n">
        <x:v>2590</x:v>
      </x:c>
      <x:c r="AQ890" s="55" t="n">
        <x:v>950</x:v>
      </x:c>
    </x:row>
    <x:row r="891">
      <x:c r="A891" s="54" t="str">
        <x:v>T0_TABLE_BLOCK</x:v>
      </x:c>
      <x:c r="B891" s="54" t="n">
        <x:v>885</x:v>
      </x:c>
      <x:c r="C891" s="54" t="str">
        <x:v>NYC-V2-R01</x:v>
      </x:c>
      <x:c r="D891" s="54" t="str">
        <x:v>V2</x:v>
      </x:c>
      <x:c r="E891" s="54" t="str">
        <x:v>ADMITTED</x:v>
      </x:c>
      <x:c r="F891" s="55" t="n">
        <x:v>30864</x:v>
      </x:c>
      <x:c r="G891" s="55" t="n">
        <x:v>8188</x:v>
      </x:c>
      <x:c r="H891" s="55" t="n">
        <x:v>3542</x:v>
      </x:c>
      <x:c r="I891" s="55" t="n">
        <x:v>1644</x:v>
      </x:c>
      <x:c r="J891" s="55" t="n">
        <x:v>313</x:v>
      </x:c>
      <x:c r="K891" s="55" t="n">
        <x:v>28941</x:v>
      </x:c>
      <x:c r="L891" s="55" t="n">
        <x:v>5090</x:v>
      </x:c>
      <x:c r="M891" s="55" t="n">
        <x:v>754</x:v>
      </x:c>
      <x:c r="N891" s="55" t="n">
        <x:v>2818</x:v>
      </x:c>
      <x:c r="O891" s="55" t="n">
        <x:v>1518</x:v>
      </x:c>
      <x:c r="P891" s="55" t="n">
        <x:v>588</x:v>
      </x:c>
      <x:c r="Q891" s="55" t="n">
        <x:v>3248</x:v>
      </x:c>
      <x:c r="R891" s="55" t="n">
        <x:v>1735</x:v>
      </x:c>
      <x:c r="S891" s="55" t="n">
        <x:v>2523</x:v>
      </x:c>
      <x:c r="T891" s="55" t="n">
        <x:v>1430</x:v>
      </x:c>
      <x:c r="U891" s="55" t="n">
        <x:v>2753</x:v>
      </x:c>
      <x:c r="V891" s="55" t="n">
        <x:v>10564</x:v>
      </x:c>
      <x:c r="W891" s="55" t="n">
        <x:v>7622</x:v>
      </x:c>
      <x:c r="X891" s="55" t="n">
        <x:v>2942</x:v>
      </x:c>
      <x:c r="Y891" s="55" t="n">
        <x:v>2482</x:v>
      </x:c>
      <x:c r="Z891" s="55" t="n">
        <x:v>3666</x:v>
      </x:c>
      <x:c r="AA891" s="55" t="n">
        <x:v>3021</x:v>
      </x:c>
      <x:c r="AB891" s="55" t="n">
        <x:v>930</x:v>
      </x:c>
      <x:c r="AC891" s="55" t="n">
        <x:v>8145</x:v>
      </x:c>
      <x:c r="AD891" s="55" t="n">
        <x:v>3226</x:v>
      </x:c>
      <x:c r="AE891" s="55" t="n">
        <x:v>10628</x:v>
      </x:c>
      <x:c r="AF891" s="55" t="n">
        <x:v>10564</x:v>
      </x:c>
      <x:c r="AG891" s="55" t="n">
        <x:v>64</x:v>
      </x:c>
      <x:c r="AH891" s="55" t="n">
        <x:v>777</x:v>
      </x:c>
      <x:c r="AI891" s="55" t="n">
        <x:v>9787</x:v>
      </x:c>
      <x:c r="AJ891" s="55" t="n">
        <x:v>360</x:v>
      </x:c>
      <x:c r="AK891" s="55" t="n">
        <x:v>900</x:v>
      </x:c>
      <x:c r="AL891" s="55" t="n">
        <x:v>1623</x:v>
      </x:c>
      <x:c r="AM891" s="55" t="n">
        <x:v>4903</x:v>
      </x:c>
      <x:c r="AN891" s="55" t="n">
        <x:v>2770</x:v>
      </x:c>
      <x:c r="AO891" s="55" t="n">
        <x:v>8</x:v>
      </x:c>
      <x:c r="AP891" s="55" t="n">
        <x:v>1816</x:v>
      </x:c>
      <x:c r="AQ891" s="55" t="n">
        <x:v>1002</x:v>
      </x:c>
    </x:row>
    <x:row r="892">
      <x:c r="A892" s="54" t="str">
        <x:v>T0_TABLE_BLOCK</x:v>
      </x:c>
      <x:c r="B892" s="54" t="n">
        <x:v>886</x:v>
      </x:c>
      <x:c r="C892" s="54" t="str">
        <x:v>NYC-V2-R01</x:v>
      </x:c>
      <x:c r="D892" s="54" t="str">
        <x:v>V2</x:v>
      </x:c>
      <x:c r="E892" s="54" t="str">
        <x:v>ADMITTED</x:v>
      </x:c>
      <x:c r="F892" s="55" t="n">
        <x:v>31958</x:v>
      </x:c>
      <x:c r="G892" s="55" t="n">
        <x:v>8317</x:v>
      </x:c>
      <x:c r="H892" s="55" t="n">
        <x:v>3954</x:v>
      </x:c>
      <x:c r="I892" s="55" t="n">
        <x:v>1602</x:v>
      </x:c>
      <x:c r="J892" s="55" t="n">
        <x:v>235</x:v>
      </x:c>
      <x:c r="K892" s="55" t="n">
        <x:v>27919</x:v>
      </x:c>
      <x:c r="L892" s="55" t="n">
        <x:v>4824</x:v>
      </x:c>
      <x:c r="M892" s="55" t="n">
        <x:v>512</x:v>
      </x:c>
      <x:c r="N892" s="55" t="n">
        <x:v>2478</x:v>
      </x:c>
      <x:c r="O892" s="55" t="n">
        <x:v>1834</x:v>
      </x:c>
      <x:c r="P892" s="55" t="n">
        <x:v>686</x:v>
      </x:c>
      <x:c r="Q892" s="55" t="n">
        <x:v>2481</x:v>
      </x:c>
      <x:c r="R892" s="55" t="n">
        <x:v>1901</x:v>
      </x:c>
      <x:c r="S892" s="55" t="n">
        <x:v>2353</x:v>
      </x:c>
      <x:c r="T892" s="55" t="n">
        <x:v>1153</x:v>
      </x:c>
      <x:c r="U892" s="55" t="n">
        <x:v>1987</x:v>
      </x:c>
      <x:c r="V892" s="55" t="n">
        <x:v>10301</x:v>
      </x:c>
      <x:c r="W892" s="55" t="n">
        <x:v>7453</x:v>
      </x:c>
      <x:c r="X892" s="55" t="n">
        <x:v>2848</x:v>
      </x:c>
      <x:c r="Y892" s="55" t="n">
        <x:v>2449</x:v>
      </x:c>
      <x:c r="Z892" s="55" t="n">
        <x:v>4028</x:v>
      </x:c>
      <x:c r="AA892" s="55" t="n">
        <x:v>3049</x:v>
      </x:c>
      <x:c r="AB892" s="55" t="n">
        <x:v>912</x:v>
      </x:c>
      <x:c r="AC892" s="55" t="n">
        <x:v>7942</x:v>
      </x:c>
      <x:c r="AD892" s="55" t="n">
        <x:v>3177</x:v>
      </x:c>
      <x:c r="AE892" s="55" t="n">
        <x:v>10418</x:v>
      </x:c>
      <x:c r="AF892" s="55" t="n">
        <x:v>10301</x:v>
      </x:c>
      <x:c r="AG892" s="55" t="n">
        <x:v>117</x:v>
      </x:c>
      <x:c r="AH892" s="55" t="n">
        <x:v>535</x:v>
      </x:c>
      <x:c r="AI892" s="55" t="n">
        <x:v>9766</x:v>
      </x:c>
      <x:c r="AJ892" s="55" t="n">
        <x:v>310</x:v>
      </x:c>
      <x:c r="AK892" s="55" t="n">
        <x:v>997</x:v>
      </x:c>
      <x:c r="AL892" s="55" t="n">
        <x:v>1678</x:v>
      </x:c>
      <x:c r="AM892" s="55" t="n">
        <x:v>4780</x:v>
      </x:c>
      <x:c r="AN892" s="55" t="n">
        <x:v>2520</x:v>
      </x:c>
      <x:c r="AO892" s="55" t="n">
        <x:v>16</x:v>
      </x:c>
      <x:c r="AP892" s="55" t="n">
        <x:v>2386</x:v>
      </x:c>
      <x:c r="AQ892" s="55" t="n">
        <x:v>966</x:v>
      </x:c>
    </x:row>
    <x:row r="893">
      <x:c r="A893" s="54" t="str">
        <x:v>T0_TABLE_BLOCK</x:v>
      </x:c>
      <x:c r="B893" s="54" t="n">
        <x:v>887</x:v>
      </x:c>
      <x:c r="C893" s="54" t="str">
        <x:v>NYC-V2-R01</x:v>
      </x:c>
      <x:c r="D893" s="54" t="str">
        <x:v>V2</x:v>
      </x:c>
      <x:c r="E893" s="54" t="str">
        <x:v>ADMITTED</x:v>
      </x:c>
      <x:c r="F893" s="55" t="n">
        <x:v>31549</x:v>
      </x:c>
      <x:c r="G893" s="55" t="n">
        <x:v>10012</x:v>
      </x:c>
      <x:c r="H893" s="55" t="n">
        <x:v>2756</x:v>
      </x:c>
      <x:c r="I893" s="55" t="n">
        <x:v>959</x:v>
      </x:c>
      <x:c r="J893" s="55" t="n">
        <x:v>0</x:v>
      </x:c>
      <x:c r="K893" s="55" t="n">
        <x:v>30040</x:v>
      </x:c>
      <x:c r="L893" s="55" t="n">
        <x:v>5981</x:v>
      </x:c>
      <x:c r="M893" s="55" t="n">
        <x:v>1423</x:v>
      </x:c>
      <x:c r="N893" s="55" t="n">
        <x:v>2655</x:v>
      </x:c>
      <x:c r="O893" s="55" t="n">
        <x:v>1903</x:v>
      </x:c>
      <x:c r="P893" s="55" t="n">
        <x:v>496</x:v>
      </x:c>
      <x:c r="Q893" s="55" t="n">
        <x:v>2228</x:v>
      </x:c>
      <x:c r="R893" s="55" t="n">
        <x:v>2235</x:v>
      </x:c>
      <x:c r="S893" s="55" t="n">
        <x:v>2815</x:v>
      </x:c>
      <x:c r="T893" s="55" t="n">
        <x:v>1226</x:v>
      </x:c>
      <x:c r="U893" s="55" t="n">
        <x:v>2460</x:v>
      </x:c>
      <x:c r="V893" s="55" t="n">
        <x:v>10501</x:v>
      </x:c>
      <x:c r="W893" s="55" t="n">
        <x:v>7496</x:v>
      </x:c>
      <x:c r="X893" s="55" t="n">
        <x:v>3005</x:v>
      </x:c>
      <x:c r="Y893" s="55" t="n">
        <x:v>2713</x:v>
      </x:c>
      <x:c r="Z893" s="55" t="n">
        <x:v>3776</x:v>
      </x:c>
      <x:c r="AA893" s="55" t="n">
        <x:v>2756</x:v>
      </x:c>
      <x:c r="AB893" s="55" t="n">
        <x:v>716</x:v>
      </x:c>
      <x:c r="AC893" s="55" t="n">
        <x:v>8101</x:v>
      </x:c>
      <x:c r="AD893" s="55" t="n">
        <x:v>2529</x:v>
      </x:c>
      <x:c r="AE893" s="55" t="n">
        <x:v>10529</x:v>
      </x:c>
      <x:c r="AF893" s="55" t="n">
        <x:v>10501</x:v>
      </x:c>
      <x:c r="AG893" s="55" t="n">
        <x:v>28</x:v>
      </x:c>
      <x:c r="AH893" s="55" t="n">
        <x:v>305</x:v>
      </x:c>
      <x:c r="AI893" s="55" t="n">
        <x:v>10196</x:v>
      </x:c>
      <x:c r="AJ893" s="55" t="n">
        <x:v>60</x:v>
      </x:c>
      <x:c r="AK893" s="55" t="n">
        <x:v>1270</x:v>
      </x:c>
      <x:c r="AL893" s="55" t="n">
        <x:v>1756</x:v>
      </x:c>
      <x:c r="AM893" s="55" t="n">
        <x:v>5384</x:v>
      </x:c>
      <x:c r="AN893" s="55" t="n">
        <x:v>2031</x:v>
      </x:c>
      <x:c r="AO893" s="55" t="n">
        <x:v>0</x:v>
      </x:c>
      <x:c r="AP893" s="55" t="n">
        <x:v>2630</x:v>
      </x:c>
      <x:c r="AQ893" s="55" t="n">
        <x:v>922</x:v>
      </x:c>
    </x:row>
    <x:row r="894">
      <x:c r="A894" s="54" t="str">
        <x:v>T0_TABLE_BLOCK</x:v>
      </x:c>
      <x:c r="B894" s="54" t="n">
        <x:v>888</x:v>
      </x:c>
      <x:c r="C894" s="54" t="str">
        <x:v>NYC-V2-R01</x:v>
      </x:c>
      <x:c r="D894" s="54" t="str">
        <x:v>V2</x:v>
      </x:c>
      <x:c r="E894" s="54" t="str">
        <x:v>ADMITTED</x:v>
      </x:c>
      <x:c r="F894" s="55" t="n">
        <x:v>30226</x:v>
      </x:c>
      <x:c r="G894" s="55" t="n">
        <x:v>7114</x:v>
      </x:c>
      <x:c r="H894" s="55" t="n">
        <x:v>3329</x:v>
      </x:c>
      <x:c r="I894" s="55" t="n">
        <x:v>1376</x:v>
      </x:c>
      <x:c r="J894" s="55" t="n">
        <x:v>372</x:v>
      </x:c>
      <x:c r="K894" s="55" t="n">
        <x:v>29886</x:v>
      </x:c>
      <x:c r="L894" s="55" t="n">
        <x:v>5222</x:v>
      </x:c>
      <x:c r="M894" s="55" t="n">
        <x:v>1401</x:v>
      </x:c>
      <x:c r="N894" s="55" t="n">
        <x:v>1886</x:v>
      </x:c>
      <x:c r="O894" s="55" t="n">
        <x:v>1935</x:v>
      </x:c>
      <x:c r="P894" s="55" t="n">
        <x:v>677</x:v>
      </x:c>
      <x:c r="Q894" s="55" t="n">
        <x:v>2979</x:v>
      </x:c>
      <x:c r="R894" s="55" t="n">
        <x:v>2606</x:v>
      </x:c>
      <x:c r="S894" s="55" t="n">
        <x:v>2652</x:v>
      </x:c>
      <x:c r="T894" s="55" t="n">
        <x:v>1471</x:v>
      </x:c>
      <x:c r="U894" s="55" t="n">
        <x:v>2313</x:v>
      </x:c>
      <x:c r="V894" s="55" t="n">
        <x:v>11306</x:v>
      </x:c>
      <x:c r="W894" s="55" t="n">
        <x:v>8317</x:v>
      </x:c>
      <x:c r="X894" s="55" t="n">
        <x:v>2989</x:v>
      </x:c>
      <x:c r="Y894" s="55" t="n">
        <x:v>2305</x:v>
      </x:c>
      <x:c r="Z894" s="55" t="n">
        <x:v>3655</x:v>
      </x:c>
      <x:c r="AA894" s="55" t="n">
        <x:v>3073</x:v>
      </x:c>
      <x:c r="AB894" s="55" t="n">
        <x:v>1228</x:v>
      </x:c>
      <x:c r="AC894" s="55" t="n">
        <x:v>8136</x:v>
      </x:c>
      <x:c r="AD894" s="55" t="n">
        <x:v>1829</x:v>
      </x:c>
      <x:c r="AE894" s="55" t="n">
        <x:v>11350</x:v>
      </x:c>
      <x:c r="AF894" s="55" t="n">
        <x:v>11306</x:v>
      </x:c>
      <x:c r="AG894" s="55" t="n">
        <x:v>44</x:v>
      </x:c>
      <x:c r="AH894" s="55" t="n">
        <x:v>503</x:v>
      </x:c>
      <x:c r="AI894" s="55" t="n">
        <x:v>10803</x:v>
      </x:c>
      <x:c r="AJ894" s="55" t="n">
        <x:v>305</x:v>
      </x:c>
      <x:c r="AK894" s="55" t="n">
        <x:v>1258</x:v>
      </x:c>
      <x:c r="AL894" s="55" t="n">
        <x:v>2097</x:v>
      </x:c>
      <x:c r="AM894" s="55" t="n">
        <x:v>4671</x:v>
      </x:c>
      <x:c r="AN894" s="55" t="n">
        <x:v>2975</x:v>
      </x:c>
      <x:c r="AO894" s="55" t="n">
        <x:v>0</x:v>
      </x:c>
      <x:c r="AP894" s="55" t="n">
        <x:v>2284</x:v>
      </x:c>
      <x:c r="AQ894" s="55" t="n">
        <x:v>930</x:v>
      </x:c>
    </x:row>
    <x:row r="895">
      <x:c r="A895" s="54" t="str">
        <x:v>T0_TABLE_BLOCK</x:v>
      </x:c>
      <x:c r="B895" s="54" t="n">
        <x:v>889</x:v>
      </x:c>
      <x:c r="C895" s="54" t="str">
        <x:v>NYC-V2-R01</x:v>
      </x:c>
      <x:c r="D895" s="54" t="str">
        <x:v>V2</x:v>
      </x:c>
      <x:c r="E895" s="54" t="str">
        <x:v>ADMITTED</x:v>
      </x:c>
      <x:c r="F895" s="55" t="n">
        <x:v>33061</x:v>
      </x:c>
      <x:c r="G895" s="55" t="n">
        <x:v>7812</x:v>
      </x:c>
      <x:c r="H895" s="55" t="n">
        <x:v>3311</x:v>
      </x:c>
      <x:c r="I895" s="55" t="n">
        <x:v>1054</x:v>
      </x:c>
      <x:c r="J895" s="55" t="n">
        <x:v>223</x:v>
      </x:c>
      <x:c r="K895" s="55" t="n">
        <x:v>33061</x:v>
      </x:c>
      <x:c r="L895" s="55" t="n">
        <x:v>5842</x:v>
      </x:c>
      <x:c r="M895" s="55" t="n">
        <x:v>1304</x:v>
      </x:c>
      <x:c r="N895" s="55" t="n">
        <x:v>2793</x:v>
      </x:c>
      <x:c r="O895" s="55" t="n">
        <x:v>1745</x:v>
      </x:c>
      <x:c r="P895" s="55" t="n">
        <x:v>568</x:v>
      </x:c>
      <x:c r="Q895" s="55" t="n">
        <x:v>1862</x:v>
      </x:c>
      <x:c r="R895" s="55" t="n">
        <x:v>1723</x:v>
      </x:c>
      <x:c r="S895" s="55" t="n">
        <x:v>2178</x:v>
      </x:c>
      <x:c r="T895" s="55" t="n">
        <x:v>1357</x:v>
      </x:c>
      <x:c r="U895" s="55" t="n">
        <x:v>2262</x:v>
      </x:c>
      <x:c r="V895" s="55" t="n">
        <x:v>10261</x:v>
      </x:c>
      <x:c r="W895" s="55" t="n">
        <x:v>7272</x:v>
      </x:c>
      <x:c r="X895" s="55" t="n">
        <x:v>2989</x:v>
      </x:c>
      <x:c r="Y895" s="55" t="n">
        <x:v>2642</x:v>
      </x:c>
      <x:c r="Z895" s="55" t="n">
        <x:v>3940</x:v>
      </x:c>
      <x:c r="AA895" s="55" t="n">
        <x:v>2760</x:v>
      </x:c>
      <x:c r="AB895" s="55" t="n">
        <x:v>1229</x:v>
      </x:c>
      <x:c r="AC895" s="55" t="n">
        <x:v>7908</x:v>
      </x:c>
      <x:c r="AD895" s="55" t="n">
        <x:v>2999</x:v>
      </x:c>
      <x:c r="AE895" s="55" t="n">
        <x:v>10261</x:v>
      </x:c>
      <x:c r="AF895" s="55" t="n">
        <x:v>10261</x:v>
      </x:c>
      <x:c r="AG895" s="55" t="n">
        <x:v>0</x:v>
      </x:c>
      <x:c r="AH895" s="55" t="n">
        <x:v>481</x:v>
      </x:c>
      <x:c r="AI895" s="55" t="n">
        <x:v>9780</x:v>
      </x:c>
      <x:c r="AJ895" s="55" t="n">
        <x:v>368</x:v>
      </x:c>
      <x:c r="AK895" s="55" t="n">
        <x:v>814</x:v>
      </x:c>
      <x:c r="AL895" s="55" t="n">
        <x:v>1666</x:v>
      </x:c>
      <x:c r="AM895" s="55" t="n">
        <x:v>4394</x:v>
      </x:c>
      <x:c r="AN895" s="55" t="n">
        <x:v>2989</x:v>
      </x:c>
      <x:c r="AO895" s="55" t="n">
        <x:v>30</x:v>
      </x:c>
      <x:c r="AP895" s="55" t="n">
        <x:v>2415</x:v>
      </x:c>
      <x:c r="AQ895" s="55" t="n">
        <x:v>965</x:v>
      </x:c>
    </x:row>
    <x:row r="896">
      <x:c r="A896" s="54" t="str">
        <x:v>T0_TABLE_BLOCK</x:v>
      </x:c>
      <x:c r="B896" s="54" t="n">
        <x:v>890</x:v>
      </x:c>
      <x:c r="C896" s="54" t="str">
        <x:v>NYC-V2-R01</x:v>
      </x:c>
      <x:c r="D896" s="54" t="str">
        <x:v>V2</x:v>
      </x:c>
      <x:c r="E896" s="54" t="str">
        <x:v>ADMITTED</x:v>
      </x:c>
      <x:c r="F896" s="55" t="n">
        <x:v>31447</x:v>
      </x:c>
      <x:c r="G896" s="55" t="n">
        <x:v>8433</x:v>
      </x:c>
      <x:c r="H896" s="55" t="n">
        <x:v>3324</x:v>
      </x:c>
      <x:c r="I896" s="55" t="n">
        <x:v>1442</x:v>
      </x:c>
      <x:c r="J896" s="55" t="n">
        <x:v>443</x:v>
      </x:c>
      <x:c r="K896" s="55" t="n">
        <x:v>30060</x:v>
      </x:c>
      <x:c r="L896" s="55" t="n">
        <x:v>5642</x:v>
      </x:c>
      <x:c r="M896" s="55" t="n">
        <x:v>1319</x:v>
      </x:c>
      <x:c r="N896" s="55" t="n">
        <x:v>3031</x:v>
      </x:c>
      <x:c r="O896" s="55" t="n">
        <x:v>1292</x:v>
      </x:c>
      <x:c r="P896" s="55" t="n">
        <x:v>952</x:v>
      </x:c>
      <x:c r="Q896" s="55" t="n">
        <x:v>2537</x:v>
      </x:c>
      <x:c r="R896" s="55" t="n">
        <x:v>2588</x:v>
      </x:c>
      <x:c r="S896" s="55" t="n">
        <x:v>2277</x:v>
      </x:c>
      <x:c r="T896" s="55" t="n">
        <x:v>1144</x:v>
      </x:c>
      <x:c r="U896" s="55" t="n">
        <x:v>1955</x:v>
      </x:c>
      <x:c r="V896" s="55" t="n">
        <x:v>11019</x:v>
      </x:c>
      <x:c r="W896" s="55" t="n">
        <x:v>7834</x:v>
      </x:c>
      <x:c r="X896" s="55" t="n">
        <x:v>3185</x:v>
      </x:c>
      <x:c r="Y896" s="55" t="n">
        <x:v>2747</x:v>
      </x:c>
      <x:c r="Z896" s="55" t="n">
        <x:v>3828</x:v>
      </x:c>
      <x:c r="AA896" s="55" t="n">
        <x:v>3324</x:v>
      </x:c>
      <x:c r="AB896" s="55" t="n">
        <x:v>1111</x:v>
      </x:c>
      <x:c r="AC896" s="55" t="n">
        <x:v>8545</x:v>
      </x:c>
      <x:c r="AD896" s="55" t="n">
        <x:v>3126</x:v>
      </x:c>
      <x:c r="AE896" s="55" t="n">
        <x:v>11181</x:v>
      </x:c>
      <x:c r="AF896" s="55" t="n">
        <x:v>11019</x:v>
      </x:c>
      <x:c r="AG896" s="55" t="n">
        <x:v>162</x:v>
      </x:c>
      <x:c r="AH896" s="55" t="n">
        <x:v>523</x:v>
      </x:c>
      <x:c r="AI896" s="55" t="n">
        <x:v>10496</x:v>
      </x:c>
      <x:c r="AJ896" s="55" t="n">
        <x:v>411</x:v>
      </x:c>
      <x:c r="AK896" s="55" t="n">
        <x:v>1157</x:v>
      </x:c>
      <x:c r="AL896" s="55" t="n">
        <x:v>1553</x:v>
      </x:c>
      <x:c r="AM896" s="55" t="n">
        <x:v>4947</x:v>
      </x:c>
      <x:c r="AN896" s="55" t="n">
        <x:v>2951</x:v>
      </x:c>
      <x:c r="AO896" s="55" t="n">
        <x:v>0</x:v>
      </x:c>
      <x:c r="AP896" s="55" t="n">
        <x:v>2434</x:v>
      </x:c>
      <x:c r="AQ896" s="55" t="n">
        <x:v>954</x:v>
      </x:c>
    </x:row>
    <x:row r="897">
      <x:c r="A897" s="54" t="str">
        <x:v>T0_TABLE_BLOCK</x:v>
      </x:c>
      <x:c r="B897" s="54" t="n">
        <x:v>891</x:v>
      </x:c>
      <x:c r="C897" s="54" t="str">
        <x:v>NYC-V2-R01</x:v>
      </x:c>
      <x:c r="D897" s="54" t="str">
        <x:v>V2</x:v>
      </x:c>
      <x:c r="E897" s="54" t="str">
        <x:v>ADMITTED</x:v>
      </x:c>
      <x:c r="F897" s="55" t="n">
        <x:v>32768</x:v>
      </x:c>
      <x:c r="G897" s="55" t="n">
        <x:v>7692</x:v>
      </x:c>
      <x:c r="H897" s="55" t="n">
        <x:v>3185</x:v>
      </x:c>
      <x:c r="I897" s="55" t="n">
        <x:v>1264</x:v>
      </x:c>
      <x:c r="J897" s="55" t="n">
        <x:v>129</x:v>
      </x:c>
      <x:c r="K897" s="55" t="n">
        <x:v>32768</x:v>
      </x:c>
      <x:c r="L897" s="55" t="n">
        <x:v>8383</x:v>
      </x:c>
      <x:c r="M897" s="55" t="n">
        <x:v>3198</x:v>
      </x:c>
      <x:c r="N897" s="55" t="n">
        <x:v>3096</x:v>
      </x:c>
      <x:c r="O897" s="55" t="n">
        <x:v>2089</x:v>
      </x:c>
      <x:c r="P897" s="55" t="n">
        <x:v>997</x:v>
      </x:c>
      <x:c r="Q897" s="55" t="n">
        <x:v>2788</x:v>
      </x:c>
      <x:c r="R897" s="55" t="n">
        <x:v>1930</x:v>
      </x:c>
      <x:c r="S897" s="55" t="n">
        <x:v>2272</x:v>
      </x:c>
      <x:c r="T897" s="55" t="n">
        <x:v>1513</x:v>
      </x:c>
      <x:c r="U897" s="55" t="n">
        <x:v>2070</x:v>
      </x:c>
      <x:c r="V897" s="55" t="n">
        <x:v>10450</x:v>
      </x:c>
      <x:c r="W897" s="55" t="n">
        <x:v>6593</x:v>
      </x:c>
      <x:c r="X897" s="55" t="n">
        <x:v>3857</x:v>
      </x:c>
      <x:c r="Y897" s="55" t="n">
        <x:v>3341</x:v>
      </x:c>
      <x:c r="Z897" s="55" t="n">
        <x:v>3507</x:v>
      </x:c>
      <x:c r="AA897" s="55" t="n">
        <x:v>2953</x:v>
      </x:c>
      <x:c r="AB897" s="55" t="n">
        <x:v>1353</x:v>
      </x:c>
      <x:c r="AC897" s="55" t="n">
        <x:v>8586</x:v>
      </x:c>
      <x:c r="AD897" s="55" t="n">
        <x:v>2458</x:v>
      </x:c>
      <x:c r="AE897" s="55" t="n">
        <x:v>10534</x:v>
      </x:c>
      <x:c r="AF897" s="55" t="n">
        <x:v>10450</x:v>
      </x:c>
      <x:c r="AG897" s="55" t="n">
        <x:v>84</x:v>
      </x:c>
      <x:c r="AH897" s="55" t="n">
        <x:v>425</x:v>
      </x:c>
      <x:c r="AI897" s="55" t="n">
        <x:v>10025</x:v>
      </x:c>
      <x:c r="AJ897" s="55" t="n">
        <x:v>404</x:v>
      </x:c>
      <x:c r="AK897" s="55" t="n">
        <x:v>968</x:v>
      </x:c>
      <x:c r="AL897" s="55" t="n">
        <x:v>1550</x:v>
      </x:c>
      <x:c r="AM897" s="55" t="n">
        <x:v>5221</x:v>
      </x:c>
      <x:c r="AN897" s="55" t="n">
        <x:v>2257</x:v>
      </x:c>
      <x:c r="AO897" s="55" t="n">
        <x:v>50</x:v>
      </x:c>
      <x:c r="AP897" s="55" t="n">
        <x:v>2159</x:v>
      </x:c>
      <x:c r="AQ897" s="55" t="n">
        <x:v>908</x:v>
      </x:c>
    </x:row>
    <x:row r="898">
      <x:c r="A898" s="54" t="str">
        <x:v>T0_TABLE_BLOCK</x:v>
      </x:c>
      <x:c r="B898" s="54" t="n">
        <x:v>892</x:v>
      </x:c>
      <x:c r="C898" s="54" t="str">
        <x:v>NYC-V2-R01</x:v>
      </x:c>
      <x:c r="D898" s="54" t="str">
        <x:v>V2</x:v>
      </x:c>
      <x:c r="E898" s="54" t="str">
        <x:v>ADMITTED</x:v>
      </x:c>
      <x:c r="F898" s="55" t="n">
        <x:v>31889</x:v>
      </x:c>
      <x:c r="G898" s="55" t="n">
        <x:v>7722</x:v>
      </x:c>
      <x:c r="H898" s="55" t="n">
        <x:v>3159</x:v>
      </x:c>
      <x:c r="I898" s="55" t="n">
        <x:v>1069</x:v>
      </x:c>
      <x:c r="J898" s="55" t="n">
        <x:v>193</x:v>
      </x:c>
      <x:c r="K898" s="55" t="n">
        <x:v>31889</x:v>
      </x:c>
      <x:c r="L898" s="55" t="n">
        <x:v>5571</x:v>
      </x:c>
      <x:c r="M898" s="55" t="n">
        <x:v>1270</x:v>
      </x:c>
      <x:c r="N898" s="55" t="n">
        <x:v>2539</x:v>
      </x:c>
      <x:c r="O898" s="55" t="n">
        <x:v>1762</x:v>
      </x:c>
      <x:c r="P898" s="55" t="n">
        <x:v>884</x:v>
      </x:c>
      <x:c r="Q898" s="55" t="n">
        <x:v>2275</x:v>
      </x:c>
      <x:c r="R898" s="55" t="n">
        <x:v>1783</x:v>
      </x:c>
      <x:c r="S898" s="55" t="n">
        <x:v>2494</x:v>
      </x:c>
      <x:c r="T898" s="55" t="n">
        <x:v>786</x:v>
      </x:c>
      <x:c r="U898" s="55" t="n">
        <x:v>1795</x:v>
      </x:c>
      <x:c r="V898" s="55" t="n">
        <x:v>10243</x:v>
      </x:c>
      <x:c r="W898" s="55" t="n">
        <x:v>7271</x:v>
      </x:c>
      <x:c r="X898" s="55" t="n">
        <x:v>2972</x:v>
      </x:c>
      <x:c r="Y898" s="55" t="n">
        <x:v>2616</x:v>
      </x:c>
      <x:c r="Z898" s="55" t="n">
        <x:v>4000</x:v>
      </x:c>
      <x:c r="AA898" s="55" t="n">
        <x:v>2907</x:v>
      </x:c>
      <x:c r="AB898" s="55" t="n">
        <x:v>1166</x:v>
      </x:c>
      <x:c r="AC898" s="55" t="n">
        <x:v>8396</x:v>
      </x:c>
      <x:c r="AD898" s="55" t="n">
        <x:v>2658</x:v>
      </x:c>
      <x:c r="AE898" s="55" t="n">
        <x:v>10355</x:v>
      </x:c>
      <x:c r="AF898" s="55" t="n">
        <x:v>10243</x:v>
      </x:c>
      <x:c r="AG898" s="55" t="n">
        <x:v>112</x:v>
      </x:c>
      <x:c r="AH898" s="55" t="n">
        <x:v>196</x:v>
      </x:c>
      <x:c r="AI898" s="55" t="n">
        <x:v>10047</x:v>
      </x:c>
      <x:c r="AJ898" s="55" t="n">
        <x:v>434</x:v>
      </x:c>
      <x:c r="AK898" s="55" t="n">
        <x:v>923</x:v>
      </x:c>
      <x:c r="AL898" s="55" t="n">
        <x:v>1757</x:v>
      </x:c>
      <x:c r="AM898" s="55" t="n">
        <x:v>4595</x:v>
      </x:c>
      <x:c r="AN898" s="55" t="n">
        <x:v>2534</x:v>
      </x:c>
      <x:c r="AO898" s="55" t="n">
        <x:v>0</x:v>
      </x:c>
      <x:c r="AP898" s="55" t="n">
        <x:v>2750</x:v>
      </x:c>
      <x:c r="AQ898" s="55" t="n">
        <x:v>892</x:v>
      </x:c>
    </x:row>
    <x:row r="899">
      <x:c r="A899" s="54" t="str">
        <x:v>T0_TABLE_BLOCK</x:v>
      </x:c>
      <x:c r="B899" s="54" t="n">
        <x:v>893</x:v>
      </x:c>
      <x:c r="C899" s="54" t="str">
        <x:v>NYC-V2-R01</x:v>
      </x:c>
      <x:c r="D899" s="54" t="str">
        <x:v>V2</x:v>
      </x:c>
      <x:c r="E899" s="54" t="str">
        <x:v>ADMITTED</x:v>
      </x:c>
      <x:c r="F899" s="55" t="n">
        <x:v>33125</x:v>
      </x:c>
      <x:c r="G899" s="55" t="n">
        <x:v>8095</x:v>
      </x:c>
      <x:c r="H899" s="55" t="n">
        <x:v>3192</x:v>
      </x:c>
      <x:c r="I899" s="55" t="n">
        <x:v>659</x:v>
      </x:c>
      <x:c r="J899" s="55" t="n">
        <x:v>98</x:v>
      </x:c>
      <x:c r="K899" s="55" t="n">
        <x:v>33125</x:v>
      </x:c>
      <x:c r="L899" s="55" t="n">
        <x:v>6066</x:v>
      </x:c>
      <x:c r="M899" s="55" t="n">
        <x:v>1911</x:v>
      </x:c>
      <x:c r="N899" s="55" t="n">
        <x:v>2961</x:v>
      </x:c>
      <x:c r="O899" s="55" t="n">
        <x:v>1194</x:v>
      </x:c>
      <x:c r="P899" s="55" t="n">
        <x:v>750</x:v>
      </x:c>
      <x:c r="Q899" s="55" t="n">
        <x:v>2687</x:v>
      </x:c>
      <x:c r="R899" s="55" t="n">
        <x:v>2757</x:v>
      </x:c>
      <x:c r="S899" s="55" t="n">
        <x:v>2926</x:v>
      </x:c>
      <x:c r="T899" s="55" t="n">
        <x:v>1879</x:v>
      </x:c>
      <x:c r="U899" s="55" t="n">
        <x:v>1744</x:v>
      </x:c>
      <x:c r="V899" s="55" t="n">
        <x:v>10363</x:v>
      </x:c>
      <x:c r="W899" s="55" t="n">
        <x:v>6919</x:v>
      </x:c>
      <x:c r="X899" s="55" t="n">
        <x:v>3444</x:v>
      </x:c>
      <x:c r="Y899" s="55" t="n">
        <x:v>3186</x:v>
      </x:c>
      <x:c r="Z899" s="55" t="n">
        <x:v>3483</x:v>
      </x:c>
      <x:c r="AA899" s="55" t="n">
        <x:v>3192</x:v>
      </x:c>
      <x:c r="AB899" s="55" t="n">
        <x:v>1078</x:v>
      </x:c>
      <x:c r="AC899" s="55" t="n">
        <x:v>7900</x:v>
      </x:c>
      <x:c r="AD899" s="55" t="n">
        <x:v>2514</x:v>
      </x:c>
      <x:c r="AE899" s="55" t="n">
        <x:v>10450</x:v>
      </x:c>
      <x:c r="AF899" s="55" t="n">
        <x:v>10363</x:v>
      </x:c>
      <x:c r="AG899" s="55" t="n">
        <x:v>87</x:v>
      </x:c>
      <x:c r="AH899" s="55" t="n">
        <x:v>667</x:v>
      </x:c>
      <x:c r="AI899" s="55" t="n">
        <x:v>9696</x:v>
      </x:c>
      <x:c r="AJ899" s="55" t="n">
        <x:v>366</x:v>
      </x:c>
      <x:c r="AK899" s="55" t="n">
        <x:v>1202</x:v>
      </x:c>
      <x:c r="AL899" s="55" t="n">
        <x:v>1393</x:v>
      </x:c>
      <x:c r="AM899" s="55" t="n">
        <x:v>4709</x:v>
      </x:c>
      <x:c r="AN899" s="55" t="n">
        <x:v>2693</x:v>
      </x:c>
      <x:c r="AO899" s="55" t="n">
        <x:v>0</x:v>
      </x:c>
      <x:c r="AP899" s="55" t="n">
        <x:v>2652</x:v>
      </x:c>
      <x:c r="AQ899" s="55" t="n">
        <x:v>968</x:v>
      </x:c>
    </x:row>
    <x:row r="900">
      <x:c r="A900" s="54" t="str">
        <x:v>T0_TABLE_BLOCK</x:v>
      </x:c>
      <x:c r="B900" s="54" t="n">
        <x:v>894</x:v>
      </x:c>
      <x:c r="C900" s="54" t="str">
        <x:v>NYC-V2-R01</x:v>
      </x:c>
      <x:c r="D900" s="54" t="str">
        <x:v>V2</x:v>
      </x:c>
      <x:c r="E900" s="54" t="str">
        <x:v>ADMITTED</x:v>
      </x:c>
      <x:c r="F900" s="55" t="n">
        <x:v>29207</x:v>
      </x:c>
      <x:c r="G900" s="55" t="n">
        <x:v>6484</x:v>
      </x:c>
      <x:c r="H900" s="55" t="n">
        <x:v>3498</x:v>
      </x:c>
      <x:c r="I900" s="55" t="n">
        <x:v>1208</x:v>
      </x:c>
      <x:c r="J900" s="55" t="n">
        <x:v>107</x:v>
      </x:c>
      <x:c r="K900" s="55" t="n">
        <x:v>28507</x:v>
      </x:c>
      <x:c r="L900" s="55" t="n">
        <x:v>4993</x:v>
      </x:c>
      <x:c r="M900" s="55" t="n">
        <x:v>965</x:v>
      </x:c>
      <x:c r="N900" s="55" t="n">
        <x:v>2614</x:v>
      </x:c>
      <x:c r="O900" s="55" t="n">
        <x:v>1414</x:v>
      </x:c>
      <x:c r="P900" s="55" t="n">
        <x:v>908</x:v>
      </x:c>
      <x:c r="Q900" s="55" t="n">
        <x:v>3308</x:v>
      </x:c>
      <x:c r="R900" s="55" t="n">
        <x:v>1760</x:v>
      </x:c>
      <x:c r="S900" s="55" t="n">
        <x:v>3784</x:v>
      </x:c>
      <x:c r="T900" s="55" t="n">
        <x:v>1604</x:v>
      </x:c>
      <x:c r="U900" s="55" t="n">
        <x:v>1253</x:v>
      </x:c>
      <x:c r="V900" s="55" t="n">
        <x:v>10801</x:v>
      </x:c>
      <x:c r="W900" s="55" t="n">
        <x:v>7445</x:v>
      </x:c>
      <x:c r="X900" s="55" t="n">
        <x:v>3356</x:v>
      </x:c>
      <x:c r="Y900" s="55" t="n">
        <x:v>3004</x:v>
      </x:c>
      <x:c r="Z900" s="55" t="n">
        <x:v>4197</x:v>
      </x:c>
      <x:c r="AA900" s="55" t="n">
        <x:v>3498</x:v>
      </x:c>
      <x:c r="AB900" s="55" t="n">
        <x:v>871</x:v>
      </x:c>
      <x:c r="AC900" s="55" t="n">
        <x:v>8294</x:v>
      </x:c>
      <x:c r="AD900" s="55" t="n">
        <x:v>2921</x:v>
      </x:c>
      <x:c r="AE900" s="55" t="n">
        <x:v>10951</x:v>
      </x:c>
      <x:c r="AF900" s="55" t="n">
        <x:v>10801</x:v>
      </x:c>
      <x:c r="AG900" s="55" t="n">
        <x:v>150</x:v>
      </x:c>
      <x:c r="AH900" s="55" t="n">
        <x:v>643</x:v>
      </x:c>
      <x:c r="AI900" s="55" t="n">
        <x:v>10158</x:v>
      </x:c>
      <x:c r="AJ900" s="55" t="n">
        <x:v>516</x:v>
      </x:c>
      <x:c r="AK900" s="55" t="n">
        <x:v>1014</x:v>
      </x:c>
      <x:c r="AL900" s="55" t="n">
        <x:v>1543</x:v>
      </x:c>
      <x:c r="AM900" s="55" t="n">
        <x:v>5082</x:v>
      </x:c>
      <x:c r="AN900" s="55" t="n">
        <x:v>2547</x:v>
      </x:c>
      <x:c r="AO900" s="55" t="n">
        <x:v>99</x:v>
      </x:c>
      <x:c r="AP900" s="55" t="n">
        <x:v>2326</x:v>
      </x:c>
      <x:c r="AQ900" s="55" t="n">
        <x:v>997</x:v>
      </x:c>
    </x:row>
    <x:row r="901">
      <x:c r="A901" s="54" t="str">
        <x:v>T0_TABLE_BLOCK</x:v>
      </x:c>
      <x:c r="B901" s="54" t="n">
        <x:v>895</x:v>
      </x:c>
      <x:c r="C901" s="54" t="str">
        <x:v>NYC-V2-R01</x:v>
      </x:c>
      <x:c r="D901" s="54" t="str">
        <x:v>V2</x:v>
      </x:c>
      <x:c r="E901" s="54" t="str">
        <x:v>ADMITTED</x:v>
      </x:c>
      <x:c r="F901" s="55" t="n">
        <x:v>31391</x:v>
      </x:c>
      <x:c r="G901" s="55" t="n">
        <x:v>8619</x:v>
      </x:c>
      <x:c r="H901" s="55" t="n">
        <x:v>3239</x:v>
      </x:c>
      <x:c r="I901" s="55" t="n">
        <x:v>949</x:v>
      </x:c>
      <x:c r="J901" s="55" t="n">
        <x:v>193</x:v>
      </x:c>
      <x:c r="K901" s="55" t="n">
        <x:v>28735</x:v>
      </x:c>
      <x:c r="L901" s="55" t="n">
        <x:v>6076</x:v>
      </x:c>
      <x:c r="M901" s="55" t="n">
        <x:v>694</x:v>
      </x:c>
      <x:c r="N901" s="55" t="n">
        <x:v>3279</x:v>
      </x:c>
      <x:c r="O901" s="55" t="n">
        <x:v>2103</x:v>
      </x:c>
      <x:c r="P901" s="55" t="n">
        <x:v>911</x:v>
      </x:c>
      <x:c r="Q901" s="55" t="n">
        <x:v>2051</x:v>
      </x:c>
      <x:c r="R901" s="55" t="n">
        <x:v>1988</x:v>
      </x:c>
      <x:c r="S901" s="55" t="n">
        <x:v>2827</x:v>
      </x:c>
      <x:c r="T901" s="55" t="n">
        <x:v>814</x:v>
      </x:c>
      <x:c r="U901" s="55" t="n">
        <x:v>2330</x:v>
      </x:c>
      <x:c r="V901" s="55" t="n">
        <x:v>10788</x:v>
      </x:c>
      <x:c r="W901" s="55" t="n">
        <x:v>7279</x:v>
      </x:c>
      <x:c r="X901" s="55" t="n">
        <x:v>3509</x:v>
      </x:c>
      <x:c r="Y901" s="55" t="n">
        <x:v>3067</x:v>
      </x:c>
      <x:c r="Z901" s="55" t="n">
        <x:v>4069</x:v>
      </x:c>
      <x:c r="AA901" s="55" t="n">
        <x:v>3239</x:v>
      </x:c>
      <x:c r="AB901" s="55" t="n">
        <x:v>1454</x:v>
      </x:c>
      <x:c r="AC901" s="55" t="n">
        <x:v>8645</x:v>
      </x:c>
      <x:c r="AD901" s="55" t="n">
        <x:v>3439</x:v>
      </x:c>
      <x:c r="AE901" s="55" t="n">
        <x:v>10878</x:v>
      </x:c>
      <x:c r="AF901" s="55" t="n">
        <x:v>10788</x:v>
      </x:c>
      <x:c r="AG901" s="55" t="n">
        <x:v>90</x:v>
      </x:c>
      <x:c r="AH901" s="55" t="n">
        <x:v>641</x:v>
      </x:c>
      <x:c r="AI901" s="55" t="n">
        <x:v>10147</x:v>
      </x:c>
      <x:c r="AJ901" s="55" t="n">
        <x:v>384</x:v>
      </x:c>
      <x:c r="AK901" s="55" t="n">
        <x:v>882</x:v>
      </x:c>
      <x:c r="AL901" s="55" t="n">
        <x:v>1439</x:v>
      </x:c>
      <x:c r="AM901" s="55" t="n">
        <x:v>5012</x:v>
      </x:c>
      <x:c r="AN901" s="55" t="n">
        <x:v>3044</x:v>
      </x:c>
      <x:c r="AO901" s="55" t="n">
        <x:v>27</x:v>
      </x:c>
      <x:c r="AP901" s="55" t="n">
        <x:v>2363</x:v>
      </x:c>
      <x:c r="AQ901" s="55" t="n">
        <x:v>936</x:v>
      </x:c>
    </x:row>
    <x:row r="902">
      <x:c r="A902" s="54" t="str">
        <x:v>T0_TABLE_BLOCK</x:v>
      </x:c>
      <x:c r="B902" s="54" t="n">
        <x:v>896</x:v>
      </x:c>
      <x:c r="C902" s="54" t="str">
        <x:v>NYC-V2-R01</x:v>
      </x:c>
      <x:c r="D902" s="54" t="str">
        <x:v>V2</x:v>
      </x:c>
      <x:c r="E902" s="54" t="str">
        <x:v>ADMITTED</x:v>
      </x:c>
      <x:c r="F902" s="55" t="n">
        <x:v>32626</x:v>
      </x:c>
      <x:c r="G902" s="55" t="n">
        <x:v>9604</x:v>
      </x:c>
      <x:c r="H902" s="55" t="n">
        <x:v>3095</x:v>
      </x:c>
      <x:c r="I902" s="55" t="n">
        <x:v>1440</x:v>
      </x:c>
      <x:c r="J902" s="55" t="n">
        <x:v>0</x:v>
      </x:c>
      <x:c r="K902" s="55" t="n">
        <x:v>30788</x:v>
      </x:c>
      <x:c r="L902" s="55" t="n">
        <x:v>4471</x:v>
      </x:c>
      <x:c r="M902" s="55" t="n">
        <x:v>828</x:v>
      </x:c>
      <x:c r="N902" s="55" t="n">
        <x:v>2041</x:v>
      </x:c>
      <x:c r="O902" s="55" t="n">
        <x:v>1602</x:v>
      </x:c>
      <x:c r="P902" s="55" t="n">
        <x:v>580</x:v>
      </x:c>
      <x:c r="Q902" s="55" t="n">
        <x:v>3091</x:v>
      </x:c>
      <x:c r="R902" s="55" t="n">
        <x:v>1652</x:v>
      </x:c>
      <x:c r="S902" s="55" t="n">
        <x:v>3179</x:v>
      </x:c>
      <x:c r="T902" s="55" t="n">
        <x:v>961</x:v>
      </x:c>
      <x:c r="U902" s="55" t="n">
        <x:v>2214</x:v>
      </x:c>
      <x:c r="V902" s="55" t="n">
        <x:v>10771</x:v>
      </x:c>
      <x:c r="W902" s="55" t="n">
        <x:v>7658</x:v>
      </x:c>
      <x:c r="X902" s="55" t="n">
        <x:v>3113</x:v>
      </x:c>
      <x:c r="Y902" s="55" t="n">
        <x:v>2525</x:v>
      </x:c>
      <x:c r="Z902" s="55" t="n">
        <x:v>3689</x:v>
      </x:c>
      <x:c r="AA902" s="55" t="n">
        <x:v>2292</x:v>
      </x:c>
      <x:c r="AB902" s="55" t="n">
        <x:v>741</x:v>
      </x:c>
      <x:c r="AC902" s="55" t="n">
        <x:v>8025</x:v>
      </x:c>
      <x:c r="AD902" s="55" t="n">
        <x:v>2351</x:v>
      </x:c>
      <x:c r="AE902" s="55" t="n">
        <x:v>10858</x:v>
      </x:c>
      <x:c r="AF902" s="55" t="n">
        <x:v>10771</x:v>
      </x:c>
      <x:c r="AG902" s="55" t="n">
        <x:v>87</x:v>
      </x:c>
      <x:c r="AH902" s="55" t="n">
        <x:v>693</x:v>
      </x:c>
      <x:c r="AI902" s="55" t="n">
        <x:v>10078</x:v>
      </x:c>
      <x:c r="AJ902" s="55" t="n">
        <x:v>182</x:v>
      </x:c>
      <x:c r="AK902" s="55" t="n">
        <x:v>1359</x:v>
      </x:c>
      <x:c r="AL902" s="55" t="n">
        <x:v>1502</x:v>
      </x:c>
      <x:c r="AM902" s="55" t="n">
        <x:v>4719</x:v>
      </x:c>
      <x:c r="AN902" s="55" t="n">
        <x:v>2934</x:v>
      </x:c>
      <x:c r="AO902" s="55" t="n">
        <x:v>75</x:v>
      </x:c>
      <x:c r="AP902" s="55" t="n">
        <x:v>2829</x:v>
      </x:c>
      <x:c r="AQ902" s="55" t="n">
        <x:v>935</x:v>
      </x:c>
    </x:row>
    <x:row r="903">
      <x:c r="A903" s="54" t="str">
        <x:v>T0_TABLE_BLOCK</x:v>
      </x:c>
      <x:c r="B903" s="54" t="n">
        <x:v>897</x:v>
      </x:c>
      <x:c r="C903" s="54" t="str">
        <x:v>NYC-V2-R01</x:v>
      </x:c>
      <x:c r="D903" s="54" t="str">
        <x:v>V2</x:v>
      </x:c>
      <x:c r="E903" s="54" t="str">
        <x:v>ADMITTED</x:v>
      </x:c>
      <x:c r="F903" s="55" t="n">
        <x:v>30653</x:v>
      </x:c>
      <x:c r="G903" s="55" t="n">
        <x:v>8456</x:v>
      </x:c>
      <x:c r="H903" s="55" t="n">
        <x:v>2810</x:v>
      </x:c>
      <x:c r="I903" s="55" t="n">
        <x:v>860</x:v>
      </x:c>
      <x:c r="J903" s="55" t="n">
        <x:v>99</x:v>
      </x:c>
      <x:c r="K903" s="55" t="n">
        <x:v>30653</x:v>
      </x:c>
      <x:c r="L903" s="55" t="n">
        <x:v>5576</x:v>
      </x:c>
      <x:c r="M903" s="55" t="n">
        <x:v>974</x:v>
      </x:c>
      <x:c r="N903" s="55" t="n">
        <x:v>2699</x:v>
      </x:c>
      <x:c r="O903" s="55" t="n">
        <x:v>1903</x:v>
      </x:c>
      <x:c r="P903" s="55" t="n">
        <x:v>679</x:v>
      </x:c>
      <x:c r="Q903" s="55" t="n">
        <x:v>1739</x:v>
      </x:c>
      <x:c r="R903" s="55" t="n">
        <x:v>1187</x:v>
      </x:c>
      <x:c r="S903" s="55" t="n">
        <x:v>2703</x:v>
      </x:c>
      <x:c r="T903" s="55" t="n">
        <x:v>1034</x:v>
      </x:c>
      <x:c r="U903" s="55" t="n">
        <x:v>1820</x:v>
      </x:c>
      <x:c r="V903" s="55" t="n">
        <x:v>10204</x:v>
      </x:c>
      <x:c r="W903" s="55" t="n">
        <x:v>7071</x:v>
      </x:c>
      <x:c r="X903" s="55" t="n">
        <x:v>3133</x:v>
      </x:c>
      <x:c r="Y903" s="55" t="n">
        <x:v>2695</x:v>
      </x:c>
      <x:c r="Z903" s="55" t="n">
        <x:v>3182</x:v>
      </x:c>
      <x:c r="AA903" s="55" t="n">
        <x:v>2741</x:v>
      </x:c>
      <x:c r="AB903" s="55" t="n">
        <x:v>1145</x:v>
      </x:c>
      <x:c r="AC903" s="55" t="n">
        <x:v>7725</x:v>
      </x:c>
      <x:c r="AD903" s="55" t="n">
        <x:v>3272</x:v>
      </x:c>
      <x:c r="AE903" s="55" t="n">
        <x:v>10309</x:v>
      </x:c>
      <x:c r="AF903" s="55" t="n">
        <x:v>10204</x:v>
      </x:c>
      <x:c r="AG903" s="55" t="n">
        <x:v>105</x:v>
      </x:c>
      <x:c r="AH903" s="55" t="n">
        <x:v>457</x:v>
      </x:c>
      <x:c r="AI903" s="55" t="n">
        <x:v>9747</x:v>
      </x:c>
      <x:c r="AJ903" s="55" t="n">
        <x:v>420</x:v>
      </x:c>
      <x:c r="AK903" s="55" t="n">
        <x:v>1145</x:v>
      </x:c>
      <x:c r="AL903" s="55" t="n">
        <x:v>1512</x:v>
      </x:c>
      <x:c r="AM903" s="55" t="n">
        <x:v>4922</x:v>
      </x:c>
      <x:c r="AN903" s="55" t="n">
        <x:v>2125</x:v>
      </x:c>
      <x:c r="AO903" s="55" t="n">
        <x:v>80</x:v>
      </x:c>
      <x:c r="AP903" s="55" t="n">
        <x:v>1895</x:v>
      </x:c>
      <x:c r="AQ903" s="55" t="n">
        <x:v>923</x:v>
      </x:c>
    </x:row>
    <x:row r="904">
      <x:c r="A904" s="54" t="str">
        <x:v>T0_TABLE_BLOCK</x:v>
      </x:c>
      <x:c r="B904" s="54" t="n">
        <x:v>898</x:v>
      </x:c>
      <x:c r="C904" s="54" t="str">
        <x:v>NYC-V2-R01</x:v>
      </x:c>
      <x:c r="D904" s="54" t="str">
        <x:v>V2</x:v>
      </x:c>
      <x:c r="E904" s="54" t="str">
        <x:v>ADMITTED</x:v>
      </x:c>
      <x:c r="F904" s="55" t="n">
        <x:v>30519</x:v>
      </x:c>
      <x:c r="G904" s="55" t="n">
        <x:v>7994</x:v>
      </x:c>
      <x:c r="H904" s="55" t="n">
        <x:v>3327</x:v>
      </x:c>
      <x:c r="I904" s="55" t="n">
        <x:v>1548</x:v>
      </x:c>
      <x:c r="J904" s="55" t="n">
        <x:v>436</x:v>
      </x:c>
      <x:c r="K904" s="55" t="n">
        <x:v>29711</x:v>
      </x:c>
      <x:c r="L904" s="55" t="n">
        <x:v>6814</x:v>
      </x:c>
      <x:c r="M904" s="55" t="n">
        <x:v>2160</x:v>
      </x:c>
      <x:c r="N904" s="55" t="n">
        <x:v>2565</x:v>
      </x:c>
      <x:c r="O904" s="55" t="n">
        <x:v>2089</x:v>
      </x:c>
      <x:c r="P904" s="55" t="n">
        <x:v>1236</x:v>
      </x:c>
      <x:c r="Q904" s="55" t="n">
        <x:v>2137</x:v>
      </x:c>
      <x:c r="R904" s="55" t="n">
        <x:v>1055</x:v>
      </x:c>
      <x:c r="S904" s="55" t="n">
        <x:v>2500</x:v>
      </x:c>
      <x:c r="T904" s="55" t="n">
        <x:v>1414</x:v>
      </x:c>
      <x:c r="U904" s="55" t="n">
        <x:v>1865</x:v>
      </x:c>
      <x:c r="V904" s="55" t="n">
        <x:v>10809</x:v>
      </x:c>
      <x:c r="W904" s="55" t="n">
        <x:v>8152</x:v>
      </x:c>
      <x:c r="X904" s="55" t="n">
        <x:v>2657</x:v>
      </x:c>
      <x:c r="Y904" s="55" t="n">
        <x:v>2617</x:v>
      </x:c>
      <x:c r="Z904" s="55" t="n">
        <x:v>3538</x:v>
      </x:c>
      <x:c r="AA904" s="55" t="n">
        <x:v>2806</x:v>
      </x:c>
      <x:c r="AB904" s="55" t="n">
        <x:v>1297</x:v>
      </x:c>
      <x:c r="AC904" s="55" t="n">
        <x:v>8317</x:v>
      </x:c>
      <x:c r="AD904" s="55" t="n">
        <x:v>2762</x:v>
      </x:c>
      <x:c r="AE904" s="55" t="n">
        <x:v>10923</x:v>
      </x:c>
      <x:c r="AF904" s="55" t="n">
        <x:v>10809</x:v>
      </x:c>
      <x:c r="AG904" s="55" t="n">
        <x:v>114</x:v>
      </x:c>
      <x:c r="AH904" s="55" t="n">
        <x:v>613</x:v>
      </x:c>
      <x:c r="AI904" s="55" t="n">
        <x:v>10196</x:v>
      </x:c>
      <x:c r="AJ904" s="55" t="n">
        <x:v>181</x:v>
      </x:c>
      <x:c r="AK904" s="55" t="n">
        <x:v>868</x:v>
      </x:c>
      <x:c r="AL904" s="55" t="n">
        <x:v>1514</x:v>
      </x:c>
      <x:c r="AM904" s="55" t="n">
        <x:v>5593</x:v>
      </x:c>
      <x:c r="AN904" s="55" t="n">
        <x:v>2646</x:v>
      </x:c>
      <x:c r="AO904" s="55" t="n">
        <x:v>7</x:v>
      </x:c>
      <x:c r="AP904" s="55" t="n">
        <x:v>2191</x:v>
      </x:c>
      <x:c r="AQ904" s="55" t="n">
        <x:v>963</x:v>
      </x:c>
    </x:row>
    <x:row r="905">
      <x:c r="A905" s="54" t="str">
        <x:v>T0_TABLE_BLOCK</x:v>
      </x:c>
      <x:c r="B905" s="54" t="n">
        <x:v>899</x:v>
      </x:c>
      <x:c r="C905" s="54" t="str">
        <x:v>NYC-V2-R01</x:v>
      </x:c>
      <x:c r="D905" s="54" t="str">
        <x:v>V2</x:v>
      </x:c>
      <x:c r="E905" s="54" t="str">
        <x:v>ADMITTED</x:v>
      </x:c>
      <x:c r="F905" s="55" t="n">
        <x:v>30747</x:v>
      </x:c>
      <x:c r="G905" s="55" t="n">
        <x:v>6053</x:v>
      </x:c>
      <x:c r="H905" s="55" t="n">
        <x:v>3155</x:v>
      </x:c>
      <x:c r="I905" s="55" t="n">
        <x:v>942</x:v>
      </x:c>
      <x:c r="J905" s="55" t="n">
        <x:v>269</x:v>
      </x:c>
      <x:c r="K905" s="55" t="n">
        <x:v>30747</x:v>
      </x:c>
      <x:c r="L905" s="55" t="n">
        <x:v>6023</x:v>
      </x:c>
      <x:c r="M905" s="55" t="n">
        <x:v>2554</x:v>
      </x:c>
      <x:c r="N905" s="55" t="n">
        <x:v>2350</x:v>
      </x:c>
      <x:c r="O905" s="55" t="n">
        <x:v>1119</x:v>
      </x:c>
      <x:c r="P905" s="55" t="n">
        <x:v>1109</x:v>
      </x:c>
      <x:c r="Q905" s="55" t="n">
        <x:v>2224</x:v>
      </x:c>
      <x:c r="R905" s="55" t="n">
        <x:v>2674</x:v>
      </x:c>
      <x:c r="S905" s="55" t="n">
        <x:v>2622</x:v>
      </x:c>
      <x:c r="T905" s="55" t="n">
        <x:v>1267</x:v>
      </x:c>
      <x:c r="U905" s="55" t="n">
        <x:v>1550</x:v>
      </x:c>
      <x:c r="V905" s="55" t="n">
        <x:v>10510</x:v>
      </x:c>
      <x:c r="W905" s="55" t="n">
        <x:v>7115</x:v>
      </x:c>
      <x:c r="X905" s="55" t="n">
        <x:v>3395</x:v>
      </x:c>
      <x:c r="Y905" s="55" t="n">
        <x:v>2845</x:v>
      </x:c>
      <x:c r="Z905" s="55" t="n">
        <x:v>3760</x:v>
      </x:c>
      <x:c r="AA905" s="55" t="n">
        <x:v>2987</x:v>
      </x:c>
      <x:c r="AB905" s="55" t="n">
        <x:v>722</x:v>
      </x:c>
      <x:c r="AC905" s="55" t="n">
        <x:v>8535</x:v>
      </x:c>
      <x:c r="AD905" s="55" t="n">
        <x:v>3131</x:v>
      </x:c>
      <x:c r="AE905" s="55" t="n">
        <x:v>10629</x:v>
      </x:c>
      <x:c r="AF905" s="55" t="n">
        <x:v>10510</x:v>
      </x:c>
      <x:c r="AG905" s="55" t="n">
        <x:v>119</x:v>
      </x:c>
      <x:c r="AH905" s="55" t="n">
        <x:v>301</x:v>
      </x:c>
      <x:c r="AI905" s="55" t="n">
        <x:v>10209</x:v>
      </x:c>
      <x:c r="AJ905" s="55" t="n">
        <x:v>266</x:v>
      </x:c>
      <x:c r="AK905" s="55" t="n">
        <x:v>1466</x:v>
      </x:c>
      <x:c r="AL905" s="55" t="n">
        <x:v>1759</x:v>
      </x:c>
      <x:c r="AM905" s="55" t="n">
        <x:v>4825</x:v>
      </x:c>
      <x:c r="AN905" s="55" t="n">
        <x:v>2194</x:v>
      </x:c>
      <x:c r="AO905" s="55" t="n">
        <x:v>0</x:v>
      </x:c>
      <x:c r="AP905" s="55" t="n">
        <x:v>2067</x:v>
      </x:c>
      <x:c r="AQ905" s="55" t="n">
        <x:v>946</x:v>
      </x:c>
    </x:row>
    <x:row r="906">
      <x:c r="A906" s="54" t="str">
        <x:v>T0_TABLE_BLOCK</x:v>
      </x:c>
      <x:c r="B906" s="54" t="n">
        <x:v>900</x:v>
      </x:c>
      <x:c r="C906" s="54" t="str">
        <x:v>NYC-V2-R01</x:v>
      </x:c>
      <x:c r="D906" s="54" t="str">
        <x:v>V2</x:v>
      </x:c>
      <x:c r="E906" s="54" t="str">
        <x:v>ADMITTED</x:v>
      </x:c>
      <x:c r="F906" s="55" t="n">
        <x:v>29892</x:v>
      </x:c>
      <x:c r="G906" s="55" t="n">
        <x:v>7070</x:v>
      </x:c>
      <x:c r="H906" s="55" t="n">
        <x:v>3088</x:v>
      </x:c>
      <x:c r="I906" s="55" t="n">
        <x:v>1328</x:v>
      </x:c>
      <x:c r="J906" s="55" t="n">
        <x:v>167</x:v>
      </x:c>
      <x:c r="K906" s="55" t="n">
        <x:v>29877</x:v>
      </x:c>
      <x:c r="L906" s="55" t="n">
        <x:v>5588</x:v>
      </x:c>
      <x:c r="M906" s="55" t="n">
        <x:v>956</x:v>
      </x:c>
      <x:c r="N906" s="55" t="n">
        <x:v>2627</x:v>
      </x:c>
      <x:c r="O906" s="55" t="n">
        <x:v>2005</x:v>
      </x:c>
      <x:c r="P906" s="55" t="n">
        <x:v>800</x:v>
      </x:c>
      <x:c r="Q906" s="55" t="n">
        <x:v>1992</x:v>
      </x:c>
      <x:c r="R906" s="55" t="n">
        <x:v>1923</x:v>
      </x:c>
      <x:c r="S906" s="55" t="n">
        <x:v>3051</x:v>
      </x:c>
      <x:c r="T906" s="55" t="n">
        <x:v>1383</x:v>
      </x:c>
      <x:c r="U906" s="55" t="n">
        <x:v>2116</x:v>
      </x:c>
      <x:c r="V906" s="55" t="n">
        <x:v>10504</x:v>
      </x:c>
      <x:c r="W906" s="55" t="n">
        <x:v>7773</x:v>
      </x:c>
      <x:c r="X906" s="55" t="n">
        <x:v>2731</x:v>
      </x:c>
      <x:c r="Y906" s="55" t="n">
        <x:v>2267</x:v>
      </x:c>
      <x:c r="Z906" s="55" t="n">
        <x:v>3990</x:v>
      </x:c>
      <x:c r="AA906" s="55" t="n">
        <x:v>2806</x:v>
      </x:c>
      <x:c r="AB906" s="55" t="n">
        <x:v>898</x:v>
      </x:c>
      <x:c r="AC906" s="55" t="n">
        <x:v>8103</x:v>
      </x:c>
      <x:c r="AD906" s="55" t="n">
        <x:v>2486</x:v>
      </x:c>
      <x:c r="AE906" s="55" t="n">
        <x:v>10628</x:v>
      </x:c>
      <x:c r="AF906" s="55" t="n">
        <x:v>10504</x:v>
      </x:c>
      <x:c r="AG906" s="55" t="n">
        <x:v>124</x:v>
      </x:c>
      <x:c r="AH906" s="55" t="n">
        <x:v>504</x:v>
      </x:c>
      <x:c r="AI906" s="55" t="n">
        <x:v>10000</x:v>
      </x:c>
      <x:c r="AJ906" s="55" t="n">
        <x:v>238</x:v>
      </x:c>
      <x:c r="AK906" s="55" t="n">
        <x:v>1086</x:v>
      </x:c>
      <x:c r="AL906" s="55" t="n">
        <x:v>1455</x:v>
      </x:c>
      <x:c r="AM906" s="55" t="n">
        <x:v>4758</x:v>
      </x:c>
      <x:c r="AN906" s="55" t="n">
        <x:v>2950</x:v>
      </x:c>
      <x:c r="AO906" s="55" t="n">
        <x:v>17</x:v>
      </x:c>
      <x:c r="AP906" s="55" t="n">
        <x:v>2227</x:v>
      </x:c>
      <x:c r="AQ906" s="55" t="n">
        <x:v>960</x:v>
      </x:c>
    </x:row>
    <x:row r="907">
      <x:c r="A907" s="54" t="str">
        <x:v>T0_TABLE_BLOCK</x:v>
      </x:c>
      <x:c r="B907" s="54" t="n">
        <x:v>901</x:v>
      </x:c>
      <x:c r="C907" s="54" t="str">
        <x:v>NYC-V2-R01</x:v>
      </x:c>
      <x:c r="D907" s="54" t="str">
        <x:v>V2</x:v>
      </x:c>
      <x:c r="E907" s="54" t="str">
        <x:v>ADMITTED</x:v>
      </x:c>
      <x:c r="F907" s="55" t="n">
        <x:v>31882</x:v>
      </x:c>
      <x:c r="G907" s="55" t="n">
        <x:v>7954</x:v>
      </x:c>
      <x:c r="H907" s="55" t="n">
        <x:v>3453</x:v>
      </x:c>
      <x:c r="I907" s="55" t="n">
        <x:v>1048</x:v>
      </x:c>
      <x:c r="J907" s="55" t="n">
        <x:v>471</x:v>
      </x:c>
      <x:c r="K907" s="55" t="n">
        <x:v>31882</x:v>
      </x:c>
      <x:c r="L907" s="55" t="n">
        <x:v>7253</x:v>
      </x:c>
      <x:c r="M907" s="55" t="n">
        <x:v>2274</x:v>
      </x:c>
      <x:c r="N907" s="55" t="n">
        <x:v>3275</x:v>
      </x:c>
      <x:c r="O907" s="55" t="n">
        <x:v>1704</x:v>
      </x:c>
      <x:c r="P907" s="55" t="n">
        <x:v>583</x:v>
      </x:c>
      <x:c r="Q907" s="55" t="n">
        <x:v>1927</x:v>
      </x:c>
      <x:c r="R907" s="55" t="n">
        <x:v>2503</x:v>
      </x:c>
      <x:c r="S907" s="55" t="n">
        <x:v>2739</x:v>
      </x:c>
      <x:c r="T907" s="55" t="n">
        <x:v>1061</x:v>
      </x:c>
      <x:c r="U907" s="55" t="n">
        <x:v>2030</x:v>
      </x:c>
      <x:c r="V907" s="55" t="n">
        <x:v>10966</x:v>
      </x:c>
      <x:c r="W907" s="55" t="n">
        <x:v>8473</x:v>
      </x:c>
      <x:c r="X907" s="55" t="n">
        <x:v>2493</x:v>
      </x:c>
      <x:c r="Y907" s="55" t="n">
        <x:v>2180</x:v>
      </x:c>
      <x:c r="Z907" s="55" t="n">
        <x:v>3351</x:v>
      </x:c>
      <x:c r="AA907" s="55" t="n">
        <x:v>2697</x:v>
      </x:c>
      <x:c r="AB907" s="55" t="n">
        <x:v>981</x:v>
      </x:c>
      <x:c r="AC907" s="55" t="n">
        <x:v>8248</x:v>
      </x:c>
      <x:c r="AD907" s="55" t="n">
        <x:v>2974</x:v>
      </x:c>
      <x:c r="AE907" s="55" t="n">
        <x:v>11014</x:v>
      </x:c>
      <x:c r="AF907" s="55" t="n">
        <x:v>10966</x:v>
      </x:c>
      <x:c r="AG907" s="55" t="n">
        <x:v>48</x:v>
      </x:c>
      <x:c r="AH907" s="55" t="n">
        <x:v>699</x:v>
      </x:c>
      <x:c r="AI907" s="55" t="n">
        <x:v>10267</x:v>
      </x:c>
      <x:c r="AJ907" s="55" t="n">
        <x:v>373</x:v>
      </x:c>
      <x:c r="AK907" s="55" t="n">
        <x:v>1021</x:v>
      </x:c>
      <x:c r="AL907" s="55" t="n">
        <x:v>1516</x:v>
      </x:c>
      <x:c r="AM907" s="55" t="n">
        <x:v>4875</x:v>
      </x:c>
      <x:c r="AN907" s="55" t="n">
        <x:v>3122</x:v>
      </x:c>
      <x:c r="AO907" s="55" t="n">
        <x:v>59</x:v>
      </x:c>
      <x:c r="AP907" s="55" t="n">
        <x:v>2178</x:v>
      </x:c>
      <x:c r="AQ907" s="55" t="n">
        <x:v>945</x:v>
      </x:c>
    </x:row>
    <x:row r="908">
      <x:c r="A908" s="54" t="str">
        <x:v>T0_TABLE_BLOCK</x:v>
      </x:c>
      <x:c r="B908" s="54" t="n">
        <x:v>902</x:v>
      </x:c>
      <x:c r="C908" s="54" t="str">
        <x:v>NYC-V2-R01</x:v>
      </x:c>
      <x:c r="D908" s="54" t="str">
        <x:v>V2</x:v>
      </x:c>
      <x:c r="E908" s="54" t="str">
        <x:v>ADMITTED</x:v>
      </x:c>
      <x:c r="F908" s="55" t="n">
        <x:v>32873</x:v>
      </x:c>
      <x:c r="G908" s="55" t="n">
        <x:v>8778</x:v>
      </x:c>
      <x:c r="H908" s="55" t="n">
        <x:v>3496</x:v>
      </x:c>
      <x:c r="I908" s="55" t="n">
        <x:v>895</x:v>
      </x:c>
      <x:c r="J908" s="55" t="n">
        <x:v>198</x:v>
      </x:c>
      <x:c r="K908" s="55" t="n">
        <x:v>29453</x:v>
      </x:c>
      <x:c r="L908" s="55" t="n">
        <x:v>6407</x:v>
      </x:c>
      <x:c r="M908" s="55" t="n">
        <x:v>2158</x:v>
      </x:c>
      <x:c r="N908" s="55" t="n">
        <x:v>2365</x:v>
      </x:c>
      <x:c r="O908" s="55" t="n">
        <x:v>1884</x:v>
      </x:c>
      <x:c r="P908" s="55" t="n">
        <x:v>940</x:v>
      </x:c>
      <x:c r="Q908" s="55" t="n">
        <x:v>2072</x:v>
      </x:c>
      <x:c r="R908" s="55" t="n">
        <x:v>1834</x:v>
      </x:c>
      <x:c r="S908" s="55" t="n">
        <x:v>2714</x:v>
      </x:c>
      <x:c r="T908" s="55" t="n">
        <x:v>1192</x:v>
      </x:c>
      <x:c r="U908" s="55" t="n">
        <x:v>2067</x:v>
      </x:c>
      <x:c r="V908" s="55" t="n">
        <x:v>10163</x:v>
      </x:c>
      <x:c r="W908" s="55" t="n">
        <x:v>6892</x:v>
      </x:c>
      <x:c r="X908" s="55" t="n">
        <x:v>3271</x:v>
      </x:c>
      <x:c r="Y908" s="55" t="n">
        <x:v>2938</x:v>
      </x:c>
      <x:c r="Z908" s="55" t="n">
        <x:v>3349</x:v>
      </x:c>
      <x:c r="AA908" s="55" t="n">
        <x:v>3496</x:v>
      </x:c>
      <x:c r="AB908" s="55" t="n">
        <x:v>1284</x:v>
      </x:c>
      <x:c r="AC908" s="55" t="n">
        <x:v>8218</x:v>
      </x:c>
      <x:c r="AD908" s="55" t="n">
        <x:v>3142</x:v>
      </x:c>
      <x:c r="AE908" s="55" t="n">
        <x:v>10166</x:v>
      </x:c>
      <x:c r="AF908" s="55" t="n">
        <x:v>10163</x:v>
      </x:c>
      <x:c r="AG908" s="55" t="n">
        <x:v>3</x:v>
      </x:c>
      <x:c r="AH908" s="55" t="n">
        <x:v>454</x:v>
      </x:c>
      <x:c r="AI908" s="55" t="n">
        <x:v>9709</x:v>
      </x:c>
      <x:c r="AJ908" s="55" t="n">
        <x:v>456</x:v>
      </x:c>
      <x:c r="AK908" s="55" t="n">
        <x:v>1157</x:v>
      </x:c>
      <x:c r="AL908" s="55" t="n">
        <x:v>1727</x:v>
      </x:c>
      <x:c r="AM908" s="55" t="n">
        <x:v>4587</x:v>
      </x:c>
      <x:c r="AN908" s="55" t="n">
        <x:v>2224</x:v>
      </x:c>
      <x:c r="AO908" s="55" t="n">
        <x:v>12</x:v>
      </x:c>
      <x:c r="AP908" s="55" t="n">
        <x:v>2354</x:v>
      </x:c>
      <x:c r="AQ908" s="55" t="n">
        <x:v>1020</x:v>
      </x:c>
    </x:row>
    <x:row r="909">
      <x:c r="A909" s="54" t="str">
        <x:v>T0_TABLE_BLOCK</x:v>
      </x:c>
      <x:c r="B909" s="54" t="n">
        <x:v>903</x:v>
      </x:c>
      <x:c r="C909" s="54" t="str">
        <x:v>NYC-V2-R01</x:v>
      </x:c>
      <x:c r="D909" s="54" t="str">
        <x:v>V2</x:v>
      </x:c>
      <x:c r="E909" s="54" t="str">
        <x:v>ADMITTED</x:v>
      </x:c>
      <x:c r="F909" s="55" t="n">
        <x:v>30469</x:v>
      </x:c>
      <x:c r="G909" s="55" t="n">
        <x:v>7811</x:v>
      </x:c>
      <x:c r="H909" s="55" t="n">
        <x:v>3154</x:v>
      </x:c>
      <x:c r="I909" s="55" t="n">
        <x:v>1282</x:v>
      </x:c>
      <x:c r="J909" s="55" t="n">
        <x:v>106</x:v>
      </x:c>
      <x:c r="K909" s="55" t="n">
        <x:v>29536</x:v>
      </x:c>
      <x:c r="L909" s="55" t="n">
        <x:v>4223</x:v>
      </x:c>
      <x:c r="M909" s="55" t="n">
        <x:v>795</x:v>
      </x:c>
      <x:c r="N909" s="55" t="n">
        <x:v>2006</x:v>
      </x:c>
      <x:c r="O909" s="55" t="n">
        <x:v>1422</x:v>
      </x:c>
      <x:c r="P909" s="55" t="n">
        <x:v>771</x:v>
      </x:c>
      <x:c r="Q909" s="55" t="n">
        <x:v>1940</x:v>
      </x:c>
      <x:c r="R909" s="55" t="n">
        <x:v>1786</x:v>
      </x:c>
      <x:c r="S909" s="55" t="n">
        <x:v>2822</x:v>
      </x:c>
      <x:c r="T909" s="55" t="n">
        <x:v>1178</x:v>
      </x:c>
      <x:c r="U909" s="55" t="n">
        <x:v>2102</x:v>
      </x:c>
      <x:c r="V909" s="55" t="n">
        <x:v>9457</x:v>
      </x:c>
      <x:c r="W909" s="55" t="n">
        <x:v>6207</x:v>
      </x:c>
      <x:c r="X909" s="55" t="n">
        <x:v>3250</x:v>
      </x:c>
      <x:c r="Y909" s="55" t="n">
        <x:v>2916</x:v>
      </x:c>
      <x:c r="Z909" s="55" t="n">
        <x:v>4347</x:v>
      </x:c>
      <x:c r="AA909" s="55" t="n">
        <x:v>3154</x:v>
      </x:c>
      <x:c r="AB909" s="55" t="n">
        <x:v>747</x:v>
      </x:c>
      <x:c r="AC909" s="55" t="n">
        <x:v>7172</x:v>
      </x:c>
      <x:c r="AD909" s="55" t="n">
        <x:v>2722</x:v>
      </x:c>
      <x:c r="AE909" s="55" t="n">
        <x:v>9594</x:v>
      </x:c>
      <x:c r="AF909" s="55" t="n">
        <x:v>9457</x:v>
      </x:c>
      <x:c r="AG909" s="55" t="n">
        <x:v>137</x:v>
      </x:c>
      <x:c r="AH909" s="55" t="n">
        <x:v>208</x:v>
      </x:c>
      <x:c r="AI909" s="55" t="n">
        <x:v>9249</x:v>
      </x:c>
      <x:c r="AJ909" s="55" t="n">
        <x:v>52</x:v>
      </x:c>
      <x:c r="AK909" s="55" t="n">
        <x:v>966</x:v>
      </x:c>
      <x:c r="AL909" s="55" t="n">
        <x:v>1404</x:v>
      </x:c>
      <x:c r="AM909" s="55" t="n">
        <x:v>4538</x:v>
      </x:c>
      <x:c r="AN909" s="55" t="n">
        <x:v>2497</x:v>
      </x:c>
      <x:c r="AO909" s="55" t="n">
        <x:v>0</x:v>
      </x:c>
      <x:c r="AP909" s="55" t="n">
        <x:v>2303</x:v>
      </x:c>
      <x:c r="AQ909" s="55" t="n">
        <x:v>917</x:v>
      </x:c>
    </x:row>
    <x:row r="910">
      <x:c r="A910" s="54" t="str">
        <x:v>T0_TABLE_BLOCK</x:v>
      </x:c>
      <x:c r="B910" s="54" t="n">
        <x:v>904</x:v>
      </x:c>
      <x:c r="C910" s="54" t="str">
        <x:v>NYC-V2-R01</x:v>
      </x:c>
      <x:c r="D910" s="54" t="str">
        <x:v>V2</x:v>
      </x:c>
      <x:c r="E910" s="54" t="str">
        <x:v>ADMITTED</x:v>
      </x:c>
      <x:c r="F910" s="55" t="n">
        <x:v>30447</x:v>
      </x:c>
      <x:c r="G910" s="55" t="n">
        <x:v>5954</x:v>
      </x:c>
      <x:c r="H910" s="55" t="n">
        <x:v>3258</x:v>
      </x:c>
      <x:c r="I910" s="55" t="n">
        <x:v>802</x:v>
      </x:c>
      <x:c r="J910" s="55" t="n">
        <x:v>76</x:v>
      </x:c>
      <x:c r="K910" s="55" t="n">
        <x:v>30447</x:v>
      </x:c>
      <x:c r="L910" s="55" t="n">
        <x:v>6762</x:v>
      </x:c>
      <x:c r="M910" s="55" t="n">
        <x:v>1661</x:v>
      </x:c>
      <x:c r="N910" s="55" t="n">
        <x:v>2871</x:v>
      </x:c>
      <x:c r="O910" s="55" t="n">
        <x:v>2230</x:v>
      </x:c>
      <x:c r="P910" s="55" t="n">
        <x:v>1056</x:v>
      </x:c>
      <x:c r="Q910" s="55" t="n">
        <x:v>2759</x:v>
      </x:c>
      <x:c r="R910" s="55" t="n">
        <x:v>1926</x:v>
      </x:c>
      <x:c r="S910" s="55" t="n">
        <x:v>3037</x:v>
      </x:c>
      <x:c r="T910" s="55" t="n">
        <x:v>1313</x:v>
      </x:c>
      <x:c r="U910" s="55" t="n">
        <x:v>2383</x:v>
      </x:c>
      <x:c r="V910" s="55" t="n">
        <x:v>9889</x:v>
      </x:c>
      <x:c r="W910" s="55" t="n">
        <x:v>7118</x:v>
      </x:c>
      <x:c r="X910" s="55" t="n">
        <x:v>2771</x:v>
      </x:c>
      <x:c r="Y910" s="55" t="n">
        <x:v>2400</x:v>
      </x:c>
      <x:c r="Z910" s="55" t="n">
        <x:v>3556</x:v>
      </x:c>
      <x:c r="AA910" s="55" t="n">
        <x:v>3258</x:v>
      </x:c>
      <x:c r="AB910" s="55" t="n">
        <x:v>1101</x:v>
      </x:c>
      <x:c r="AC910" s="55" t="n">
        <x:v>8088</x:v>
      </x:c>
      <x:c r="AD910" s="55" t="n">
        <x:v>2522</x:v>
      </x:c>
      <x:c r="AE910" s="55" t="n">
        <x:v>9950</x:v>
      </x:c>
      <x:c r="AF910" s="55" t="n">
        <x:v>9889</x:v>
      </x:c>
      <x:c r="AG910" s="55" t="n">
        <x:v>61</x:v>
      </x:c>
      <x:c r="AH910" s="55" t="n">
        <x:v>472</x:v>
      </x:c>
      <x:c r="AI910" s="55" t="n">
        <x:v>9417</x:v>
      </x:c>
      <x:c r="AJ910" s="55" t="n">
        <x:v>206</x:v>
      </x:c>
      <x:c r="AK910" s="55" t="n">
        <x:v>1214</x:v>
      </x:c>
      <x:c r="AL910" s="55" t="n">
        <x:v>1389</x:v>
      </x:c>
      <x:c r="AM910" s="55" t="n">
        <x:v>4867</x:v>
      </x:c>
      <x:c r="AN910" s="55" t="n">
        <x:v>2161</x:v>
      </x:c>
      <x:c r="AO910" s="55" t="n">
        <x:v>52</x:v>
      </x:c>
      <x:c r="AP910" s="55" t="n">
        <x:v>2481</x:v>
      </x:c>
      <x:c r="AQ910" s="55" t="n">
        <x:v>1023</x:v>
      </x:c>
    </x:row>
    <x:row r="911">
      <x:c r="A911" s="54" t="str">
        <x:v>T0_TABLE_BLOCK</x:v>
      </x:c>
      <x:c r="B911" s="54" t="n">
        <x:v>905</x:v>
      </x:c>
      <x:c r="C911" s="54" t="str">
        <x:v>NYC-V2-R01</x:v>
      </x:c>
      <x:c r="D911" s="54" t="str">
        <x:v>V2</x:v>
      </x:c>
      <x:c r="E911" s="54" t="str">
        <x:v>ADMITTED</x:v>
      </x:c>
      <x:c r="F911" s="55" t="n">
        <x:v>30125</x:v>
      </x:c>
      <x:c r="G911" s="55" t="n">
        <x:v>7425</x:v>
      </x:c>
      <x:c r="H911" s="55" t="n">
        <x:v>3554</x:v>
      </x:c>
      <x:c r="I911" s="55" t="n">
        <x:v>1606</x:v>
      </x:c>
      <x:c r="J911" s="55" t="n">
        <x:v>483</x:v>
      </x:c>
      <x:c r="K911" s="55" t="n">
        <x:v>28876</x:v>
      </x:c>
      <x:c r="L911" s="55" t="n">
        <x:v>3925</x:v>
      </x:c>
      <x:c r="M911" s="55" t="n">
        <x:v>315</x:v>
      </x:c>
      <x:c r="N911" s="55" t="n">
        <x:v>2416</x:v>
      </x:c>
      <x:c r="O911" s="55" t="n">
        <x:v>1194</x:v>
      </x:c>
      <x:c r="P911" s="55" t="n">
        <x:v>937</x:v>
      </x:c>
      <x:c r="Q911" s="55" t="n">
        <x:v>2357</x:v>
      </x:c>
      <x:c r="R911" s="55" t="n">
        <x:v>2026</x:v>
      </x:c>
      <x:c r="S911" s="55" t="n">
        <x:v>3075</x:v>
      </x:c>
      <x:c r="T911" s="55" t="n">
        <x:v>777</x:v>
      </x:c>
      <x:c r="U911" s="55" t="n">
        <x:v>2149</x:v>
      </x:c>
      <x:c r="V911" s="55" t="n">
        <x:v>9419</x:v>
      </x:c>
      <x:c r="W911" s="55" t="n">
        <x:v>6125</x:v>
      </x:c>
      <x:c r="X911" s="55" t="n">
        <x:v>3294</x:v>
      </x:c>
      <x:c r="Y911" s="55" t="n">
        <x:v>2951</x:v>
      </x:c>
      <x:c r="Z911" s="55" t="n">
        <x:v>4222</x:v>
      </x:c>
      <x:c r="AA911" s="55" t="n">
        <x:v>3554</x:v>
      </x:c>
      <x:c r="AB911" s="55" t="n">
        <x:v>1213</x:v>
      </x:c>
      <x:c r="AC911" s="55" t="n">
        <x:v>7960</x:v>
      </x:c>
      <x:c r="AD911" s="55" t="n">
        <x:v>3097</x:v>
      </x:c>
      <x:c r="AE911" s="55" t="n">
        <x:v>9517</x:v>
      </x:c>
      <x:c r="AF911" s="55" t="n">
        <x:v>9419</x:v>
      </x:c>
      <x:c r="AG911" s="55" t="n">
        <x:v>98</x:v>
      </x:c>
      <x:c r="AH911" s="55" t="n">
        <x:v>387</x:v>
      </x:c>
      <x:c r="AI911" s="55" t="n">
        <x:v>9032</x:v>
      </x:c>
      <x:c r="AJ911" s="55" t="n">
        <x:v>141</x:v>
      </x:c>
      <x:c r="AK911" s="55" t="n">
        <x:v>1027</x:v>
      </x:c>
      <x:c r="AL911" s="55" t="n">
        <x:v>1363</x:v>
      </x:c>
      <x:c r="AM911" s="55" t="n">
        <x:v>4744</x:v>
      </x:c>
      <x:c r="AN911" s="55" t="n">
        <x:v>2144</x:v>
      </x:c>
      <x:c r="AO911" s="55" t="n">
        <x:v>0</x:v>
      </x:c>
      <x:c r="AP911" s="55" t="n">
        <x:v>2356</x:v>
      </x:c>
      <x:c r="AQ911" s="55" t="n">
        <x:v>961</x:v>
      </x:c>
    </x:row>
    <x:row r="912">
      <x:c r="A912" s="54" t="str">
        <x:v>T0_TABLE_BLOCK</x:v>
      </x:c>
      <x:c r="B912" s="54" t="n">
        <x:v>906</x:v>
      </x:c>
      <x:c r="C912" s="54" t="str">
        <x:v>NYC-V2-R01</x:v>
      </x:c>
      <x:c r="D912" s="54" t="str">
        <x:v>V2</x:v>
      </x:c>
      <x:c r="E912" s="54" t="str">
        <x:v>ADMITTED</x:v>
      </x:c>
      <x:c r="F912" s="55" t="n">
        <x:v>33208</x:v>
      </x:c>
      <x:c r="G912" s="55" t="n">
        <x:v>7952</x:v>
      </x:c>
      <x:c r="H912" s="55" t="n">
        <x:v>4276</x:v>
      </x:c>
      <x:c r="I912" s="55" t="n">
        <x:v>1776</x:v>
      </x:c>
      <x:c r="J912" s="55" t="n">
        <x:v>476</x:v>
      </x:c>
      <x:c r="K912" s="55" t="n">
        <x:v>27302</x:v>
      </x:c>
      <x:c r="L912" s="55" t="n">
        <x:v>5685</x:v>
      </x:c>
      <x:c r="M912" s="55" t="n">
        <x:v>842</x:v>
      </x:c>
      <x:c r="N912" s="55" t="n">
        <x:v>3046</x:v>
      </x:c>
      <x:c r="O912" s="55" t="n">
        <x:v>1797</x:v>
      </x:c>
      <x:c r="P912" s="55" t="n">
        <x:v>699</x:v>
      </x:c>
      <x:c r="Q912" s="55" t="n">
        <x:v>1179</x:v>
      </x:c>
      <x:c r="R912" s="55" t="n">
        <x:v>2012</x:v>
      </x:c>
      <x:c r="S912" s="55" t="n">
        <x:v>2251</x:v>
      </x:c>
      <x:c r="T912" s="55" t="n">
        <x:v>708</x:v>
      </x:c>
      <x:c r="U912" s="55" t="n">
        <x:v>2793</x:v>
      </x:c>
      <x:c r="V912" s="55" t="n">
        <x:v>10134</x:v>
      </x:c>
      <x:c r="W912" s="55" t="n">
        <x:v>7085</x:v>
      </x:c>
      <x:c r="X912" s="55" t="n">
        <x:v>3049</x:v>
      </x:c>
      <x:c r="Y912" s="55" t="n">
        <x:v>2657</x:v>
      </x:c>
      <x:c r="Z912" s="55" t="n">
        <x:v>3445</x:v>
      </x:c>
      <x:c r="AA912" s="55" t="n">
        <x:v>3816</x:v>
      </x:c>
      <x:c r="AB912" s="55" t="n">
        <x:v>1158</x:v>
      </x:c>
      <x:c r="AC912" s="55" t="n">
        <x:v>8272</x:v>
      </x:c>
      <x:c r="AD912" s="55" t="n">
        <x:v>2804</x:v>
      </x:c>
      <x:c r="AE912" s="55" t="n">
        <x:v>10236</x:v>
      </x:c>
      <x:c r="AF912" s="55" t="n">
        <x:v>10134</x:v>
      </x:c>
      <x:c r="AG912" s="55" t="n">
        <x:v>102</x:v>
      </x:c>
      <x:c r="AH912" s="55" t="n">
        <x:v>166</x:v>
      </x:c>
      <x:c r="AI912" s="55" t="n">
        <x:v>9968</x:v>
      </x:c>
      <x:c r="AJ912" s="55" t="n">
        <x:v>110</x:v>
      </x:c>
      <x:c r="AK912" s="55" t="n">
        <x:v>619</x:v>
      </x:c>
      <x:c r="AL912" s="55" t="n">
        <x:v>1993</x:v>
      </x:c>
      <x:c r="AM912" s="55" t="n">
        <x:v>5095</x:v>
      </x:c>
      <x:c r="AN912" s="55" t="n">
        <x:v>2274</x:v>
      </x:c>
      <x:c r="AO912" s="55" t="n">
        <x:v>43</x:v>
      </x:c>
      <x:c r="AP912" s="55" t="n">
        <x:v>2680</x:v>
      </x:c>
      <x:c r="AQ912" s="55" t="n">
        <x:v>921</x:v>
      </x:c>
    </x:row>
    <x:row r="913">
      <x:c r="A913" s="54" t="str">
        <x:v>T0_TABLE_BLOCK</x:v>
      </x:c>
      <x:c r="B913" s="54" t="n">
        <x:v>907</x:v>
      </x:c>
      <x:c r="C913" s="54" t="str">
        <x:v>NYC-V2-R01</x:v>
      </x:c>
      <x:c r="D913" s="54" t="str">
        <x:v>V2</x:v>
      </x:c>
      <x:c r="E913" s="54" t="str">
        <x:v>ADMITTED</x:v>
      </x:c>
      <x:c r="F913" s="55" t="n">
        <x:v>32802</x:v>
      </x:c>
      <x:c r="G913" s="55" t="n">
        <x:v>8967</x:v>
      </x:c>
      <x:c r="H913" s="55" t="n">
        <x:v>3382</x:v>
      </x:c>
      <x:c r="I913" s="55" t="n">
        <x:v>677</x:v>
      </x:c>
      <x:c r="J913" s="55" t="n">
        <x:v>155</x:v>
      </x:c>
      <x:c r="K913" s="55" t="n">
        <x:v>30964</x:v>
      </x:c>
      <x:c r="L913" s="55" t="n">
        <x:v>4549</x:v>
      </x:c>
      <x:c r="M913" s="55" t="n">
        <x:v>0</x:v>
      </x:c>
      <x:c r="N913" s="55" t="n">
        <x:v>2701</x:v>
      </x:c>
      <x:c r="O913" s="55" t="n">
        <x:v>1848</x:v>
      </x:c>
      <x:c r="P913" s="55" t="n">
        <x:v>1105</x:v>
      </x:c>
      <x:c r="Q913" s="55" t="n">
        <x:v>1915</x:v>
      </x:c>
      <x:c r="R913" s="55" t="n">
        <x:v>1954</x:v>
      </x:c>
      <x:c r="S913" s="55" t="n">
        <x:v>2426</x:v>
      </x:c>
      <x:c r="T913" s="55" t="n">
        <x:v>1374</x:v>
      </x:c>
      <x:c r="U913" s="55" t="n">
        <x:v>1326</x:v>
      </x:c>
      <x:c r="V913" s="55" t="n">
        <x:v>10590</x:v>
      </x:c>
      <x:c r="W913" s="55" t="n">
        <x:v>7452</x:v>
      </x:c>
      <x:c r="X913" s="55" t="n">
        <x:v>3138</x:v>
      </x:c>
      <x:c r="Y913" s="55" t="n">
        <x:v>2611</x:v>
      </x:c>
      <x:c r="Z913" s="55" t="n">
        <x:v>4483</x:v>
      </x:c>
      <x:c r="AA913" s="55" t="n">
        <x:v>3382</x:v>
      </x:c>
      <x:c r="AB913" s="55" t="n">
        <x:v>950</x:v>
      </x:c>
      <x:c r="AC913" s="55" t="n">
        <x:v>7498</x:v>
      </x:c>
      <x:c r="AD913" s="55" t="n">
        <x:v>2586</x:v>
      </x:c>
      <x:c r="AE913" s="55" t="n">
        <x:v>10695</x:v>
      </x:c>
      <x:c r="AF913" s="55" t="n">
        <x:v>10590</x:v>
      </x:c>
      <x:c r="AG913" s="55" t="n">
        <x:v>105</x:v>
      </x:c>
      <x:c r="AH913" s="55" t="n">
        <x:v>420</x:v>
      </x:c>
      <x:c r="AI913" s="55" t="n">
        <x:v>10170</x:v>
      </x:c>
      <x:c r="AJ913" s="55" t="n">
        <x:v>279</x:v>
      </x:c>
      <x:c r="AK913" s="55" t="n">
        <x:v>1328</x:v>
      </x:c>
      <x:c r="AL913" s="55" t="n">
        <x:v>927</x:v>
      </x:c>
      <x:c r="AM913" s="55" t="n">
        <x:v>5383</x:v>
      </x:c>
      <x:c r="AN913" s="55" t="n">
        <x:v>2641</x:v>
      </x:c>
      <x:c r="AO913" s="55" t="n">
        <x:v>32</x:v>
      </x:c>
      <x:c r="AP913" s="55" t="n">
        <x:v>2818</x:v>
      </x:c>
      <x:c r="AQ913" s="55" t="n">
        <x:v>986</x:v>
      </x:c>
    </x:row>
    <x:row r="914">
      <x:c r="A914" s="54" t="str">
        <x:v>T0_TABLE_BLOCK</x:v>
      </x:c>
      <x:c r="B914" s="54" t="n">
        <x:v>908</x:v>
      </x:c>
      <x:c r="C914" s="54" t="str">
        <x:v>NYC-V2-R01</x:v>
      </x:c>
      <x:c r="D914" s="54" t="str">
        <x:v>V2</x:v>
      </x:c>
      <x:c r="E914" s="54" t="str">
        <x:v>ADMITTED</x:v>
      </x:c>
      <x:c r="F914" s="55" t="n">
        <x:v>31007</x:v>
      </x:c>
      <x:c r="G914" s="55" t="n">
        <x:v>7088</x:v>
      </x:c>
      <x:c r="H914" s="55" t="n">
        <x:v>2999</x:v>
      </x:c>
      <x:c r="I914" s="55" t="n">
        <x:v>1189</x:v>
      </x:c>
      <x:c r="J914" s="55" t="n">
        <x:v>0</x:v>
      </x:c>
      <x:c r="K914" s="55" t="n">
        <x:v>31007</x:v>
      </x:c>
      <x:c r="L914" s="55" t="n">
        <x:v>6781</x:v>
      </x:c>
      <x:c r="M914" s="55" t="n">
        <x:v>1863</x:v>
      </x:c>
      <x:c r="N914" s="55" t="n">
        <x:v>2919</x:v>
      </x:c>
      <x:c r="O914" s="55" t="n">
        <x:v>1999</x:v>
      </x:c>
      <x:c r="P914" s="55" t="n">
        <x:v>388</x:v>
      </x:c>
      <x:c r="Q914" s="55" t="n">
        <x:v>2720</x:v>
      </x:c>
      <x:c r="R914" s="55" t="n">
        <x:v>1387</x:v>
      </x:c>
      <x:c r="S914" s="55" t="n">
        <x:v>2940</x:v>
      </x:c>
      <x:c r="T914" s="55" t="n">
        <x:v>1020</x:v>
      </x:c>
      <x:c r="U914" s="55" t="n">
        <x:v>2449</x:v>
      </x:c>
      <x:c r="V914" s="55" t="n">
        <x:v>10252</x:v>
      </x:c>
      <x:c r="W914" s="55" t="n">
        <x:v>7479</x:v>
      </x:c>
      <x:c r="X914" s="55" t="n">
        <x:v>2773</x:v>
      </x:c>
      <x:c r="Y914" s="55" t="n">
        <x:v>2363</x:v>
      </x:c>
      <x:c r="Z914" s="55" t="n">
        <x:v>3876</x:v>
      </x:c>
      <x:c r="AA914" s="55" t="n">
        <x:v>2999</x:v>
      </x:c>
      <x:c r="AB914" s="55" t="n">
        <x:v>958</x:v>
      </x:c>
      <x:c r="AC914" s="55" t="n">
        <x:v>8451</x:v>
      </x:c>
      <x:c r="AD914" s="55" t="n">
        <x:v>3153</x:v>
      </x:c>
      <x:c r="AE914" s="55" t="n">
        <x:v>10422</x:v>
      </x:c>
      <x:c r="AF914" s="55" t="n">
        <x:v>10252</x:v>
      </x:c>
      <x:c r="AG914" s="55" t="n">
        <x:v>170</x:v>
      </x:c>
      <x:c r="AH914" s="55" t="n">
        <x:v>251</x:v>
      </x:c>
      <x:c r="AI914" s="55" t="n">
        <x:v>10001</x:v>
      </x:c>
      <x:c r="AJ914" s="55" t="n">
        <x:v>243</x:v>
      </x:c>
      <x:c r="AK914" s="55" t="n">
        <x:v>1243</x:v>
      </x:c>
      <x:c r="AL914" s="55" t="n">
        <x:v>1248</x:v>
      </x:c>
      <x:c r="AM914" s="55" t="n">
        <x:v>4490</x:v>
      </x:c>
      <x:c r="AN914" s="55" t="n">
        <x:v>3028</x:v>
      </x:c>
      <x:c r="AO914" s="55" t="n">
        <x:v>0</x:v>
      </x:c>
      <x:c r="AP914" s="55" t="n">
        <x:v>2326</x:v>
      </x:c>
      <x:c r="AQ914" s="55" t="n">
        <x:v>939</x:v>
      </x:c>
    </x:row>
    <x:row r="915">
      <x:c r="A915" s="54" t="str">
        <x:v>T0_TABLE_BLOCK</x:v>
      </x:c>
      <x:c r="B915" s="54" t="n">
        <x:v>909</x:v>
      </x:c>
      <x:c r="C915" s="54" t="str">
        <x:v>NYC-V2-R01</x:v>
      </x:c>
      <x:c r="D915" s="54" t="str">
        <x:v>V2</x:v>
      </x:c>
      <x:c r="E915" s="54" t="str">
        <x:v>ADMITTED</x:v>
      </x:c>
      <x:c r="F915" s="55" t="n">
        <x:v>31036</x:v>
      </x:c>
      <x:c r="G915" s="55" t="n">
        <x:v>7069</x:v>
      </x:c>
      <x:c r="H915" s="55" t="n">
        <x:v>3250</x:v>
      </x:c>
      <x:c r="I915" s="55" t="n">
        <x:v>1038</x:v>
      </x:c>
      <x:c r="J915" s="55" t="n">
        <x:v>315</x:v>
      </x:c>
      <x:c r="K915" s="55" t="n">
        <x:v>31036</x:v>
      </x:c>
      <x:c r="L915" s="55" t="n">
        <x:v>5158</x:v>
      </x:c>
      <x:c r="M915" s="55" t="n">
        <x:v>755</x:v>
      </x:c>
      <x:c r="N915" s="55" t="n">
        <x:v>2871</x:v>
      </x:c>
      <x:c r="O915" s="55" t="n">
        <x:v>1532</x:v>
      </x:c>
      <x:c r="P915" s="55" t="n">
        <x:v>744</x:v>
      </x:c>
      <x:c r="Q915" s="55" t="n">
        <x:v>2041</x:v>
      </x:c>
      <x:c r="R915" s="55" t="n">
        <x:v>1716</x:v>
      </x:c>
      <x:c r="S915" s="55" t="n">
        <x:v>2553</x:v>
      </x:c>
      <x:c r="T915" s="55" t="n">
        <x:v>715</x:v>
      </x:c>
      <x:c r="U915" s="55" t="n">
        <x:v>1487</x:v>
      </x:c>
      <x:c r="V915" s="55" t="n">
        <x:v>10034</x:v>
      </x:c>
      <x:c r="W915" s="55" t="n">
        <x:v>6927</x:v>
      </x:c>
      <x:c r="X915" s="55" t="n">
        <x:v>3107</x:v>
      </x:c>
      <x:c r="Y915" s="55" t="n">
        <x:v>2678</x:v>
      </x:c>
      <x:c r="Z915" s="55" t="n">
        <x:v>3762</x:v>
      </x:c>
      <x:c r="AA915" s="55" t="n">
        <x:v>3250</x:v>
      </x:c>
      <x:c r="AB915" s="55" t="n">
        <x:v>931</x:v>
      </x:c>
      <x:c r="AC915" s="55" t="n">
        <x:v>7752</x:v>
      </x:c>
      <x:c r="AD915" s="55" t="n">
        <x:v>3163</x:v>
      </x:c>
      <x:c r="AE915" s="55" t="n">
        <x:v>10086</x:v>
      </x:c>
      <x:c r="AF915" s="55" t="n">
        <x:v>10034</x:v>
      </x:c>
      <x:c r="AG915" s="55" t="n">
        <x:v>52</x:v>
      </x:c>
      <x:c r="AH915" s="55" t="n">
        <x:v>316</x:v>
      </x:c>
      <x:c r="AI915" s="55" t="n">
        <x:v>9718</x:v>
      </x:c>
      <x:c r="AJ915" s="55" t="n">
        <x:v>515</x:v>
      </x:c>
      <x:c r="AK915" s="55" t="n">
        <x:v>1273</x:v>
      </x:c>
      <x:c r="AL915" s="55" t="n">
        <x:v>1724</x:v>
      </x:c>
      <x:c r="AM915" s="55" t="n">
        <x:v>4014</x:v>
      </x:c>
      <x:c r="AN915" s="55" t="n">
        <x:v>2508</x:v>
      </x:c>
      <x:c r="AO915" s="55" t="n">
        <x:v>0</x:v>
      </x:c>
      <x:c r="AP915" s="55" t="n">
        <x:v>2372</x:v>
      </x:c>
      <x:c r="AQ915" s="55" t="n">
        <x:v>976</x:v>
      </x:c>
    </x:row>
    <x:row r="916">
      <x:c r="A916" s="54" t="str">
        <x:v>T0_TABLE_BLOCK</x:v>
      </x:c>
      <x:c r="B916" s="54" t="n">
        <x:v>910</x:v>
      </x:c>
      <x:c r="C916" s="54" t="str">
        <x:v>NYC-V2-R01</x:v>
      </x:c>
      <x:c r="D916" s="54" t="str">
        <x:v>V2</x:v>
      </x:c>
      <x:c r="E916" s="54" t="str">
        <x:v>ADMITTED</x:v>
      </x:c>
      <x:c r="F916" s="55" t="n">
        <x:v>30725</x:v>
      </x:c>
      <x:c r="G916" s="55" t="n">
        <x:v>8415</x:v>
      </x:c>
      <x:c r="H916" s="55" t="n">
        <x:v>3065</x:v>
      </x:c>
      <x:c r="I916" s="55" t="n">
        <x:v>1114</x:v>
      </x:c>
      <x:c r="J916" s="55" t="n">
        <x:v>147</x:v>
      </x:c>
      <x:c r="K916" s="55" t="n">
        <x:v>29908</x:v>
      </x:c>
      <x:c r="L916" s="55" t="n">
        <x:v>4856</x:v>
      </x:c>
      <x:c r="M916" s="55" t="n">
        <x:v>1135</x:v>
      </x:c>
      <x:c r="N916" s="55" t="n">
        <x:v>2426</x:v>
      </x:c>
      <x:c r="O916" s="55" t="n">
        <x:v>1295</x:v>
      </x:c>
      <x:c r="P916" s="55" t="n">
        <x:v>959</x:v>
      </x:c>
      <x:c r="Q916" s="55" t="n">
        <x:v>2577</x:v>
      </x:c>
      <x:c r="R916" s="55" t="n">
        <x:v>1667</x:v>
      </x:c>
      <x:c r="S916" s="55" t="n">
        <x:v>3212</x:v>
      </x:c>
      <x:c r="T916" s="55" t="n">
        <x:v>1219</x:v>
      </x:c>
      <x:c r="U916" s="55" t="n">
        <x:v>1660</x:v>
      </x:c>
      <x:c r="V916" s="55" t="n">
        <x:v>9771</x:v>
      </x:c>
      <x:c r="W916" s="55" t="n">
        <x:v>6949</x:v>
      </x:c>
      <x:c r="X916" s="55" t="n">
        <x:v>2822</x:v>
      </x:c>
      <x:c r="Y916" s="55" t="n">
        <x:v>2403</x:v>
      </x:c>
      <x:c r="Z916" s="55" t="n">
        <x:v>4271</x:v>
      </x:c>
      <x:c r="AA916" s="55" t="n">
        <x:v>3030</x:v>
      </x:c>
      <x:c r="AB916" s="55" t="n">
        <x:v>1482</x:v>
      </x:c>
      <x:c r="AC916" s="55" t="n">
        <x:v>8304</x:v>
      </x:c>
      <x:c r="AD916" s="55" t="n">
        <x:v>2473</x:v>
      </x:c>
      <x:c r="AE916" s="55" t="n">
        <x:v>10006</x:v>
      </x:c>
      <x:c r="AF916" s="55" t="n">
        <x:v>9771</x:v>
      </x:c>
      <x:c r="AG916" s="55" t="n">
        <x:v>235</x:v>
      </x:c>
      <x:c r="AH916" s="55" t="n">
        <x:v>358</x:v>
      </x:c>
      <x:c r="AI916" s="55" t="n">
        <x:v>9413</x:v>
      </x:c>
      <x:c r="AJ916" s="55" t="n">
        <x:v>165</x:v>
      </x:c>
      <x:c r="AK916" s="55" t="n">
        <x:v>1057</x:v>
      </x:c>
      <x:c r="AL916" s="55" t="n">
        <x:v>812</x:v>
      </x:c>
      <x:c r="AM916" s="55" t="n">
        <x:v>5225</x:v>
      </x:c>
      <x:c r="AN916" s="55" t="n">
        <x:v>2505</x:v>
      </x:c>
      <x:c r="AO916" s="55" t="n">
        <x:v>7</x:v>
      </x:c>
      <x:c r="AP916" s="55" t="n">
        <x:v>2009</x:v>
      </x:c>
      <x:c r="AQ916" s="55" t="n">
        <x:v>952</x:v>
      </x:c>
    </x:row>
    <x:row r="917">
      <x:c r="A917" s="54" t="str">
        <x:v>T0_TABLE_BLOCK</x:v>
      </x:c>
      <x:c r="B917" s="54" t="n">
        <x:v>911</x:v>
      </x:c>
      <x:c r="C917" s="54" t="str">
        <x:v>NYC-V2-R01</x:v>
      </x:c>
      <x:c r="D917" s="54" t="str">
        <x:v>V2</x:v>
      </x:c>
      <x:c r="E917" s="54" t="str">
        <x:v>ADMITTED</x:v>
      </x:c>
      <x:c r="F917" s="55" t="n">
        <x:v>32597</x:v>
      </x:c>
      <x:c r="G917" s="55" t="n">
        <x:v>8928</x:v>
      </x:c>
      <x:c r="H917" s="55" t="n">
        <x:v>3178</x:v>
      </x:c>
      <x:c r="I917" s="55" t="n">
        <x:v>1251</x:v>
      </x:c>
      <x:c r="J917" s="55" t="n">
        <x:v>296</x:v>
      </x:c>
      <x:c r="K917" s="55" t="n">
        <x:v>28541</x:v>
      </x:c>
      <x:c r="L917" s="55" t="n">
        <x:v>5829</x:v>
      </x:c>
      <x:c r="M917" s="55" t="n">
        <x:v>821</x:v>
      </x:c>
      <x:c r="N917" s="55" t="n">
        <x:v>3067</x:v>
      </x:c>
      <x:c r="O917" s="55" t="n">
        <x:v>1941</x:v>
      </x:c>
      <x:c r="P917" s="55" t="n">
        <x:v>871</x:v>
      </x:c>
      <x:c r="Q917" s="55" t="n">
        <x:v>2110</x:v>
      </x:c>
      <x:c r="R917" s="55" t="n">
        <x:v>1823</x:v>
      </x:c>
      <x:c r="S917" s="55" t="n">
        <x:v>2871</x:v>
      </x:c>
      <x:c r="T917" s="55" t="n">
        <x:v>1432</x:v>
      </x:c>
      <x:c r="U917" s="55" t="n">
        <x:v>2334</x:v>
      </x:c>
      <x:c r="V917" s="55" t="n">
        <x:v>10814</x:v>
      </x:c>
      <x:c r="W917" s="55" t="n">
        <x:v>7586</x:v>
      </x:c>
      <x:c r="X917" s="55" t="n">
        <x:v>3228</x:v>
      </x:c>
      <x:c r="Y917" s="55" t="n">
        <x:v>2793</x:v>
      </x:c>
      <x:c r="Z917" s="55" t="n">
        <x:v>2995</x:v>
      </x:c>
      <x:c r="AA917" s="55" t="n">
        <x:v>3178</x:v>
      </x:c>
      <x:c r="AB917" s="55" t="n">
        <x:v>1001</x:v>
      </x:c>
      <x:c r="AC917" s="55" t="n">
        <x:v>7709</x:v>
      </x:c>
      <x:c r="AD917" s="55" t="n">
        <x:v>3107</x:v>
      </x:c>
      <x:c r="AE917" s="55" t="n">
        <x:v>10814</x:v>
      </x:c>
      <x:c r="AF917" s="55" t="n">
        <x:v>10814</x:v>
      </x:c>
      <x:c r="AG917" s="55" t="n">
        <x:v>0</x:v>
      </x:c>
      <x:c r="AH917" s="55" t="n">
        <x:v>541</x:v>
      </x:c>
      <x:c r="AI917" s="55" t="n">
        <x:v>10273</x:v>
      </x:c>
      <x:c r="AJ917" s="55" t="n">
        <x:v>386</x:v>
      </x:c>
      <x:c r="AK917" s="55" t="n">
        <x:v>1207</x:v>
      </x:c>
      <x:c r="AL917" s="55" t="n">
        <x:v>1983</x:v>
      </x:c>
      <x:c r="AM917" s="55" t="n">
        <x:v>4526</x:v>
      </x:c>
      <x:c r="AN917" s="55" t="n">
        <x:v>2712</x:v>
      </x:c>
      <x:c r="AO917" s="55" t="n">
        <x:v>0</x:v>
      </x:c>
      <x:c r="AP917" s="55" t="n">
        <x:v>2529</x:v>
      </x:c>
      <x:c r="AQ917" s="55" t="n">
        <x:v>956</x:v>
      </x:c>
    </x:row>
    <x:row r="918">
      <x:c r="A918" s="54" t="str">
        <x:v>T0_TABLE_BLOCK</x:v>
      </x:c>
      <x:c r="B918" s="54" t="n">
        <x:v>912</x:v>
      </x:c>
      <x:c r="C918" s="54" t="str">
        <x:v>NYC-V2-R01</x:v>
      </x:c>
      <x:c r="D918" s="54" t="str">
        <x:v>V2</x:v>
      </x:c>
      <x:c r="E918" s="54" t="str">
        <x:v>ADMITTED</x:v>
      </x:c>
      <x:c r="F918" s="55" t="n">
        <x:v>31623</x:v>
      </x:c>
      <x:c r="G918" s="55" t="n">
        <x:v>8075</x:v>
      </x:c>
      <x:c r="H918" s="55" t="n">
        <x:v>3629</x:v>
      </x:c>
      <x:c r="I918" s="55" t="n">
        <x:v>1658</x:v>
      </x:c>
      <x:c r="J918" s="55" t="n">
        <x:v>259</x:v>
      </x:c>
      <x:c r="K918" s="55" t="n">
        <x:v>31126</x:v>
      </x:c>
      <x:c r="L918" s="55" t="n">
        <x:v>5864</x:v>
      </x:c>
      <x:c r="M918" s="55" t="n">
        <x:v>2243</x:v>
      </x:c>
      <x:c r="N918" s="55" t="n">
        <x:v>2427</x:v>
      </x:c>
      <x:c r="O918" s="55" t="n">
        <x:v>1194</x:v>
      </x:c>
      <x:c r="P918" s="55" t="n">
        <x:v>734</x:v>
      </x:c>
      <x:c r="Q918" s="55" t="n">
        <x:v>2746</x:v>
      </x:c>
      <x:c r="R918" s="55" t="n">
        <x:v>2366</x:v>
      </x:c>
      <x:c r="S918" s="55" t="n">
        <x:v>3170</x:v>
      </x:c>
      <x:c r="T918" s="55" t="n">
        <x:v>995</x:v>
      </x:c>
      <x:c r="U918" s="55" t="n">
        <x:v>2281</x:v>
      </x:c>
      <x:c r="V918" s="55" t="n">
        <x:v>10463</x:v>
      </x:c>
      <x:c r="W918" s="55" t="n">
        <x:v>7252</x:v>
      </x:c>
      <x:c r="X918" s="55" t="n">
        <x:v>3211</x:v>
      </x:c>
      <x:c r="Y918" s="55" t="n">
        <x:v>2976</x:v>
      </x:c>
      <x:c r="Z918" s="55" t="n">
        <x:v>3942</x:v>
      </x:c>
      <x:c r="AA918" s="55" t="n">
        <x:v>2646</x:v>
      </x:c>
      <x:c r="AB918" s="55" t="n">
        <x:v>1061</x:v>
      </x:c>
      <x:c r="AC918" s="55" t="n">
        <x:v>8528</x:v>
      </x:c>
      <x:c r="AD918" s="55" t="n">
        <x:v>3329</x:v>
      </x:c>
      <x:c r="AE918" s="55" t="n">
        <x:v>10572</x:v>
      </x:c>
      <x:c r="AF918" s="55" t="n">
        <x:v>10463</x:v>
      </x:c>
      <x:c r="AG918" s="55" t="n">
        <x:v>109</x:v>
      </x:c>
      <x:c r="AH918" s="55" t="n">
        <x:v>218</x:v>
      </x:c>
      <x:c r="AI918" s="55" t="n">
        <x:v>10245</x:v>
      </x:c>
      <x:c r="AJ918" s="55" t="n">
        <x:v>210</x:v>
      </x:c>
      <x:c r="AK918" s="55" t="n">
        <x:v>1118</x:v>
      </x:c>
      <x:c r="AL918" s="55" t="n">
        <x:v>1771</x:v>
      </x:c>
      <x:c r="AM918" s="55" t="n">
        <x:v>5127</x:v>
      </x:c>
      <x:c r="AN918" s="55" t="n">
        <x:v>2203</x:v>
      </x:c>
      <x:c r="AO918" s="55" t="n">
        <x:v>34</x:v>
      </x:c>
      <x:c r="AP918" s="55" t="n">
        <x:v>2772</x:v>
      </x:c>
      <x:c r="AQ918" s="55" t="n">
        <x:v>942</x:v>
      </x:c>
    </x:row>
    <x:row r="919">
      <x:c r="A919" s="54" t="str">
        <x:v>T0_TABLE_BLOCK</x:v>
      </x:c>
      <x:c r="B919" s="54" t="n">
        <x:v>913</x:v>
      </x:c>
      <x:c r="C919" s="54" t="str">
        <x:v>NYC-V2-R01</x:v>
      </x:c>
      <x:c r="D919" s="54" t="str">
        <x:v>V2</x:v>
      </x:c>
      <x:c r="E919" s="54" t="str">
        <x:v>ADMITTED</x:v>
      </x:c>
      <x:c r="F919" s="55" t="n">
        <x:v>32040</x:v>
      </x:c>
      <x:c r="G919" s="55" t="n">
        <x:v>7479</x:v>
      </x:c>
      <x:c r="H919" s="55" t="n">
        <x:v>3317</x:v>
      </x:c>
      <x:c r="I919" s="55" t="n">
        <x:v>1134</x:v>
      </x:c>
      <x:c r="J919" s="55" t="n">
        <x:v>226</x:v>
      </x:c>
      <x:c r="K919" s="55" t="n">
        <x:v>32040</x:v>
      </x:c>
      <x:c r="L919" s="55" t="n">
        <x:v>5471</x:v>
      </x:c>
      <x:c r="M919" s="55" t="n">
        <x:v>1221</x:v>
      </x:c>
      <x:c r="N919" s="55" t="n">
        <x:v>2527</x:v>
      </x:c>
      <x:c r="O919" s="55" t="n">
        <x:v>1723</x:v>
      </x:c>
      <x:c r="P919" s="55" t="n">
        <x:v>755</x:v>
      </x:c>
      <x:c r="Q919" s="55" t="n">
        <x:v>2580</x:v>
      </x:c>
      <x:c r="R919" s="55" t="n">
        <x:v>2078</x:v>
      </x:c>
      <x:c r="S919" s="55" t="n">
        <x:v>2549</x:v>
      </x:c>
      <x:c r="T919" s="55" t="n">
        <x:v>1129</x:v>
      </x:c>
      <x:c r="U919" s="55" t="n">
        <x:v>1617</x:v>
      </x:c>
      <x:c r="V919" s="55" t="n">
        <x:v>9807</x:v>
      </x:c>
      <x:c r="W919" s="55" t="n">
        <x:v>6456</x:v>
      </x:c>
      <x:c r="X919" s="55" t="n">
        <x:v>3351</x:v>
      </x:c>
      <x:c r="Y919" s="55" t="n">
        <x:v>3048</x:v>
      </x:c>
      <x:c r="Z919" s="55" t="n">
        <x:v>3273</x:v>
      </x:c>
      <x:c r="AA919" s="55" t="n">
        <x:v>3317</x:v>
      </x:c>
      <x:c r="AB919" s="55" t="n">
        <x:v>1218</x:v>
      </x:c>
      <x:c r="AC919" s="55" t="n">
        <x:v>8370</x:v>
      </x:c>
      <x:c r="AD919" s="55" t="n">
        <x:v>3044</x:v>
      </x:c>
      <x:c r="AE919" s="55" t="n">
        <x:v>9969</x:v>
      </x:c>
      <x:c r="AF919" s="55" t="n">
        <x:v>9807</x:v>
      </x:c>
      <x:c r="AG919" s="55" t="n">
        <x:v>162</x:v>
      </x:c>
      <x:c r="AH919" s="55" t="n">
        <x:v>514</x:v>
      </x:c>
      <x:c r="AI919" s="55" t="n">
        <x:v>9293</x:v>
      </x:c>
      <x:c r="AJ919" s="55" t="n">
        <x:v>169</x:v>
      </x:c>
      <x:c r="AK919" s="55" t="n">
        <x:v>939</x:v>
      </x:c>
      <x:c r="AL919" s="55" t="n">
        <x:v>1846</x:v>
      </x:c>
      <x:c r="AM919" s="55" t="n">
        <x:v>4544</x:v>
      </x:c>
      <x:c r="AN919" s="55" t="n">
        <x:v>2309</x:v>
      </x:c>
      <x:c r="AO919" s="55" t="n">
        <x:v>0</x:v>
      </x:c>
      <x:c r="AP919" s="55" t="n">
        <x:v>2874</x:v>
      </x:c>
      <x:c r="AQ919" s="55" t="n">
        <x:v>929</x:v>
      </x:c>
    </x:row>
    <x:row r="920">
      <x:c r="A920" s="54" t="str">
        <x:v>T0_TABLE_BLOCK</x:v>
      </x:c>
      <x:c r="B920" s="54" t="n">
        <x:v>914</x:v>
      </x:c>
      <x:c r="C920" s="54" t="str">
        <x:v>NYC-V2-R01</x:v>
      </x:c>
      <x:c r="D920" s="54" t="str">
        <x:v>V2</x:v>
      </x:c>
      <x:c r="E920" s="54" t="str">
        <x:v>ADMITTED</x:v>
      </x:c>
      <x:c r="F920" s="55" t="n">
        <x:v>32383</x:v>
      </x:c>
      <x:c r="G920" s="55" t="n">
        <x:v>8224</x:v>
      </x:c>
      <x:c r="H920" s="55" t="n">
        <x:v>3585</x:v>
      </x:c>
      <x:c r="I920" s="55" t="n">
        <x:v>1582</x:v>
      </x:c>
      <x:c r="J920" s="55" t="n">
        <x:v>324</x:v>
      </x:c>
      <x:c r="K920" s="55" t="n">
        <x:v>32383</x:v>
      </x:c>
      <x:c r="L920" s="55" t="n">
        <x:v>5975</x:v>
      </x:c>
      <x:c r="M920" s="55" t="n">
        <x:v>598</x:v>
      </x:c>
      <x:c r="N920" s="55" t="n">
        <x:v>3210</x:v>
      </x:c>
      <x:c r="O920" s="55" t="n">
        <x:v>2167</x:v>
      </x:c>
      <x:c r="P920" s="55" t="n">
        <x:v>718</x:v>
      </x:c>
      <x:c r="Q920" s="55" t="n">
        <x:v>2418</x:v>
      </x:c>
      <x:c r="R920" s="55" t="n">
        <x:v>1790</x:v>
      </x:c>
      <x:c r="S920" s="55" t="n">
        <x:v>2718</x:v>
      </x:c>
      <x:c r="T920" s="55" t="n">
        <x:v>613</x:v>
      </x:c>
      <x:c r="U920" s="55" t="n">
        <x:v>1615</x:v>
      </x:c>
      <x:c r="V920" s="55" t="n">
        <x:v>11230</x:v>
      </x:c>
      <x:c r="W920" s="55" t="n">
        <x:v>8175</x:v>
      </x:c>
      <x:c r="X920" s="55" t="n">
        <x:v>3055</x:v>
      </x:c>
      <x:c r="Y920" s="55" t="n">
        <x:v>2470</x:v>
      </x:c>
      <x:c r="Z920" s="55" t="n">
        <x:v>3826</x:v>
      </x:c>
      <x:c r="AA920" s="55" t="n">
        <x:v>3585</x:v>
      </x:c>
      <x:c r="AB920" s="55" t="n">
        <x:v>1348</x:v>
      </x:c>
      <x:c r="AC920" s="55" t="n">
        <x:v>8023</x:v>
      </x:c>
      <x:c r="AD920" s="55" t="n">
        <x:v>2831</x:v>
      </x:c>
      <x:c r="AE920" s="55" t="n">
        <x:v>11306</x:v>
      </x:c>
      <x:c r="AF920" s="55" t="n">
        <x:v>11230</x:v>
      </x:c>
      <x:c r="AG920" s="55" t="n">
        <x:v>76</x:v>
      </x:c>
      <x:c r="AH920" s="55" t="n">
        <x:v>673</x:v>
      </x:c>
      <x:c r="AI920" s="55" t="n">
        <x:v>10557</x:v>
      </x:c>
      <x:c r="AJ920" s="55" t="n">
        <x:v>380</x:v>
      </x:c>
      <x:c r="AK920" s="55" t="n">
        <x:v>1047</x:v>
      </x:c>
      <x:c r="AL920" s="55" t="n">
        <x:v>1621</x:v>
      </x:c>
      <x:c r="AM920" s="55" t="n">
        <x:v>4972</x:v>
      </x:c>
      <x:c r="AN920" s="55" t="n">
        <x:v>3210</x:v>
      </x:c>
      <x:c r="AO920" s="55" t="n">
        <x:v>0</x:v>
      </x:c>
      <x:c r="AP920" s="55" t="n">
        <x:v>2331</x:v>
      </x:c>
      <x:c r="AQ920" s="55" t="n">
        <x:v>916</x:v>
      </x:c>
    </x:row>
    <x:row r="921">
      <x:c r="A921" s="54" t="str">
        <x:v>T0_TABLE_BLOCK</x:v>
      </x:c>
      <x:c r="B921" s="54" t="n">
        <x:v>915</x:v>
      </x:c>
      <x:c r="C921" s="54" t="str">
        <x:v>NYC-V2-R01</x:v>
      </x:c>
      <x:c r="D921" s="54" t="str">
        <x:v>V2</x:v>
      </x:c>
      <x:c r="E921" s="54" t="str">
        <x:v>ADMITTED</x:v>
      </x:c>
      <x:c r="F921" s="55" t="n">
        <x:v>33663</x:v>
      </x:c>
      <x:c r="G921" s="55" t="n">
        <x:v>8491</x:v>
      </x:c>
      <x:c r="H921" s="55" t="n">
        <x:v>3103</x:v>
      </x:c>
      <x:c r="I921" s="55" t="n">
        <x:v>1018</x:v>
      </x:c>
      <x:c r="J921" s="55" t="n">
        <x:v>96</x:v>
      </x:c>
      <x:c r="K921" s="55" t="n">
        <x:v>25685</x:v>
      </x:c>
      <x:c r="L921" s="55" t="n">
        <x:v>5546</x:v>
      </x:c>
      <x:c r="M921" s="55" t="n">
        <x:v>1024</x:v>
      </x:c>
      <x:c r="N921" s="55" t="n">
        <x:v>2438</x:v>
      </x:c>
      <x:c r="O921" s="55" t="n">
        <x:v>2084</x:v>
      </x:c>
      <x:c r="P921" s="55" t="n">
        <x:v>1139</x:v>
      </x:c>
      <x:c r="Q921" s="55" t="n">
        <x:v>1671</x:v>
      </x:c>
      <x:c r="R921" s="55" t="n">
        <x:v>1920</x:v>
      </x:c>
      <x:c r="S921" s="55" t="n">
        <x:v>2550</x:v>
      </x:c>
      <x:c r="T921" s="55" t="n">
        <x:v>1466</x:v>
      </x:c>
      <x:c r="U921" s="55" t="n">
        <x:v>2024</x:v>
      </x:c>
      <x:c r="V921" s="55" t="n">
        <x:v>10448</x:v>
      </x:c>
      <x:c r="W921" s="55" t="n">
        <x:v>7633</x:v>
      </x:c>
      <x:c r="X921" s="55" t="n">
        <x:v>2815</x:v>
      </x:c>
      <x:c r="Y921" s="55" t="n">
        <x:v>2291</x:v>
      </x:c>
      <x:c r="Z921" s="55" t="n">
        <x:v>4079</x:v>
      </x:c>
      <x:c r="AA921" s="55" t="n">
        <x:v>3103</x:v>
      </x:c>
      <x:c r="AB921" s="55" t="n">
        <x:v>957</x:v>
      </x:c>
      <x:c r="AC921" s="55" t="n">
        <x:v>7503</x:v>
      </x:c>
      <x:c r="AD921" s="55" t="n">
        <x:v>3249</x:v>
      </x:c>
      <x:c r="AE921" s="55" t="n">
        <x:v>10486</x:v>
      </x:c>
      <x:c r="AF921" s="55" t="n">
        <x:v>10448</x:v>
      </x:c>
      <x:c r="AG921" s="55" t="n">
        <x:v>38</x:v>
      </x:c>
      <x:c r="AH921" s="55" t="n">
        <x:v>265</x:v>
      </x:c>
      <x:c r="AI921" s="55" t="n">
        <x:v>10183</x:v>
      </x:c>
      <x:c r="AJ921" s="55" t="n">
        <x:v>405</x:v>
      </x:c>
      <x:c r="AK921" s="55" t="n">
        <x:v>903</x:v>
      </x:c>
      <x:c r="AL921" s="55" t="n">
        <x:v>1825</x:v>
      </x:c>
      <x:c r="AM921" s="55" t="n">
        <x:v>5050</x:v>
      </x:c>
      <x:c r="AN921" s="55" t="n">
        <x:v>2265</x:v>
      </x:c>
      <x:c r="AO921" s="55" t="n">
        <x:v>0</x:v>
      </x:c>
      <x:c r="AP921" s="55" t="n">
        <x:v>2123</x:v>
      </x:c>
      <x:c r="AQ921" s="55" t="n">
        <x:v>988</x:v>
      </x:c>
    </x:row>
    <x:row r="922">
      <x:c r="A922" s="54" t="str">
        <x:v>T0_TABLE_BLOCK</x:v>
      </x:c>
      <x:c r="B922" s="54" t="n">
        <x:v>916</x:v>
      </x:c>
      <x:c r="C922" s="54" t="str">
        <x:v>NYC-V2-R01</x:v>
      </x:c>
      <x:c r="D922" s="54" t="str">
        <x:v>V2</x:v>
      </x:c>
      <x:c r="E922" s="54" t="str">
        <x:v>ADMITTED</x:v>
      </x:c>
      <x:c r="F922" s="55" t="n">
        <x:v>32389</x:v>
      </x:c>
      <x:c r="G922" s="55" t="n">
        <x:v>7767</x:v>
      </x:c>
      <x:c r="H922" s="55" t="n">
        <x:v>3480</x:v>
      </x:c>
      <x:c r="I922" s="55" t="n">
        <x:v>1776</x:v>
      </x:c>
      <x:c r="J922" s="55" t="n">
        <x:v>161</x:v>
      </x:c>
      <x:c r="K922" s="55" t="n">
        <x:v>29943</x:v>
      </x:c>
      <x:c r="L922" s="55" t="n">
        <x:v>5521</x:v>
      </x:c>
      <x:c r="M922" s="55" t="n">
        <x:v>1038</x:v>
      </x:c>
      <x:c r="N922" s="55" t="n">
        <x:v>3014</x:v>
      </x:c>
      <x:c r="O922" s="55" t="n">
        <x:v>1469</x:v>
      </x:c>
      <x:c r="P922" s="55" t="n">
        <x:v>1292</x:v>
      </x:c>
      <x:c r="Q922" s="55" t="n">
        <x:v>2285</x:v>
      </x:c>
      <x:c r="R922" s="55" t="n">
        <x:v>2434</x:v>
      </x:c>
      <x:c r="S922" s="55" t="n">
        <x:v>3327</x:v>
      </x:c>
      <x:c r="T922" s="55" t="n">
        <x:v>1246</x:v>
      </x:c>
      <x:c r="U922" s="55" t="n">
        <x:v>2301</x:v>
      </x:c>
      <x:c r="V922" s="55" t="n">
        <x:v>10208</x:v>
      </x:c>
      <x:c r="W922" s="55" t="n">
        <x:v>7466</x:v>
      </x:c>
      <x:c r="X922" s="55" t="n">
        <x:v>2742</x:v>
      </x:c>
      <x:c r="Y922" s="55" t="n">
        <x:v>2288</x:v>
      </x:c>
      <x:c r="Z922" s="55" t="n">
        <x:v>3426</x:v>
      </x:c>
      <x:c r="AA922" s="55" t="n">
        <x:v>2582</x:v>
      </x:c>
      <x:c r="AB922" s="55" t="n">
        <x:v>1130</x:v>
      </x:c>
      <x:c r="AC922" s="55" t="n">
        <x:v>8330</x:v>
      </x:c>
      <x:c r="AD922" s="55" t="n">
        <x:v>3151</x:v>
      </x:c>
      <x:c r="AE922" s="55" t="n">
        <x:v>10326</x:v>
      </x:c>
      <x:c r="AF922" s="55" t="n">
        <x:v>10208</x:v>
      </x:c>
      <x:c r="AG922" s="55" t="n">
        <x:v>118</x:v>
      </x:c>
      <x:c r="AH922" s="55" t="n">
        <x:v>286</x:v>
      </x:c>
      <x:c r="AI922" s="55" t="n">
        <x:v>9922</x:v>
      </x:c>
      <x:c r="AJ922" s="55" t="n">
        <x:v>392</x:v>
      </x:c>
      <x:c r="AK922" s="55" t="n">
        <x:v>924</x:v>
      </x:c>
      <x:c r="AL922" s="55" t="n">
        <x:v>1564</x:v>
      </x:c>
      <x:c r="AM922" s="55" t="n">
        <x:v>4401</x:v>
      </x:c>
      <x:c r="AN922" s="55" t="n">
        <x:v>2927</x:v>
      </x:c>
      <x:c r="AO922" s="55" t="n">
        <x:v>0</x:v>
      </x:c>
      <x:c r="AP922" s="55" t="n">
        <x:v>2088</x:v>
      </x:c>
      <x:c r="AQ922" s="55" t="n">
        <x:v>963</x:v>
      </x:c>
    </x:row>
    <x:row r="923">
      <x:c r="A923" s="54" t="str">
        <x:v>T0_TABLE_BLOCK</x:v>
      </x:c>
      <x:c r="B923" s="54" t="n">
        <x:v>917</x:v>
      </x:c>
      <x:c r="C923" s="54" t="str">
        <x:v>NYC-V2-R01</x:v>
      </x:c>
      <x:c r="D923" s="54" t="str">
        <x:v>V2</x:v>
      </x:c>
      <x:c r="E923" s="54" t="str">
        <x:v>ADMITTED</x:v>
      </x:c>
      <x:c r="F923" s="55" t="n">
        <x:v>30939</x:v>
      </x:c>
      <x:c r="G923" s="55" t="n">
        <x:v>8907</x:v>
      </x:c>
      <x:c r="H923" s="55" t="n">
        <x:v>3055</x:v>
      </x:c>
      <x:c r="I923" s="55" t="n">
        <x:v>754</x:v>
      </x:c>
      <x:c r="J923" s="55" t="n">
        <x:v>248</x:v>
      </x:c>
      <x:c r="K923" s="55" t="n">
        <x:v>30270</x:v>
      </x:c>
      <x:c r="L923" s="55" t="n">
        <x:v>6412</x:v>
      </x:c>
      <x:c r="M923" s="55" t="n">
        <x:v>2420</x:v>
      </x:c>
      <x:c r="N923" s="55" t="n">
        <x:v>2197</x:v>
      </x:c>
      <x:c r="O923" s="55" t="n">
        <x:v>1795</x:v>
      </x:c>
      <x:c r="P923" s="55" t="n">
        <x:v>845</x:v>
      </x:c>
      <x:c r="Q923" s="55" t="n">
        <x:v>2889</x:v>
      </x:c>
      <x:c r="R923" s="55" t="n">
        <x:v>2167</x:v>
      </x:c>
      <x:c r="S923" s="55" t="n">
        <x:v>2566</x:v>
      </x:c>
      <x:c r="T923" s="55" t="n">
        <x:v>1160</x:v>
      </x:c>
      <x:c r="U923" s="55" t="n">
        <x:v>2531</x:v>
      </x:c>
      <x:c r="V923" s="55" t="n">
        <x:v>10494</x:v>
      </x:c>
      <x:c r="W923" s="55" t="n">
        <x:v>7750</x:v>
      </x:c>
      <x:c r="X923" s="55" t="n">
        <x:v>2744</x:v>
      </x:c>
      <x:c r="Y923" s="55" t="n">
        <x:v>2557</x:v>
      </x:c>
      <x:c r="Z923" s="55" t="n">
        <x:v>3674</x:v>
      </x:c>
      <x:c r="AA923" s="55" t="n">
        <x:v>2653</x:v>
      </x:c>
      <x:c r="AB923" s="55" t="n">
        <x:v>1201</x:v>
      </x:c>
      <x:c r="AC923" s="55" t="n">
        <x:v>7667</x:v>
      </x:c>
      <x:c r="AD923" s="55" t="n">
        <x:v>3521</x:v>
      </x:c>
      <x:c r="AE923" s="55" t="n">
        <x:v>10505</x:v>
      </x:c>
      <x:c r="AF923" s="55" t="n">
        <x:v>10494</x:v>
      </x:c>
      <x:c r="AG923" s="55" t="n">
        <x:v>11</x:v>
      </x:c>
      <x:c r="AH923" s="55" t="n">
        <x:v>289</x:v>
      </x:c>
      <x:c r="AI923" s="55" t="n">
        <x:v>10205</x:v>
      </x:c>
      <x:c r="AJ923" s="55" t="n">
        <x:v>338</x:v>
      </x:c>
      <x:c r="AK923" s="55" t="n">
        <x:v>983</x:v>
      </x:c>
      <x:c r="AL923" s="55" t="n">
        <x:v>1429</x:v>
      </x:c>
      <x:c r="AM923" s="55" t="n">
        <x:v>4607</x:v>
      </x:c>
      <x:c r="AN923" s="55" t="n">
        <x:v>3119</x:v>
      </x:c>
      <x:c r="AO923" s="55" t="n">
        <x:v>18</x:v>
      </x:c>
      <x:c r="AP923" s="55" t="n">
        <x:v>2004</x:v>
      </x:c>
      <x:c r="AQ923" s="55" t="n">
        <x:v>1005</x:v>
      </x:c>
    </x:row>
    <x:row r="924">
      <x:c r="A924" s="54" t="str">
        <x:v>T0_TABLE_BLOCK</x:v>
      </x:c>
      <x:c r="B924" s="54" t="n">
        <x:v>918</x:v>
      </x:c>
      <x:c r="C924" s="54" t="str">
        <x:v>NYC-V2-R01</x:v>
      </x:c>
      <x:c r="D924" s="54" t="str">
        <x:v>V2</x:v>
      </x:c>
      <x:c r="E924" s="54" t="str">
        <x:v>ADMITTED</x:v>
      </x:c>
      <x:c r="F924" s="55" t="n">
        <x:v>31688</x:v>
      </x:c>
      <x:c r="G924" s="55" t="n">
        <x:v>7759</x:v>
      </x:c>
      <x:c r="H924" s="55" t="n">
        <x:v>3262</x:v>
      </x:c>
      <x:c r="I924" s="55" t="n">
        <x:v>1269</x:v>
      </x:c>
      <x:c r="J924" s="55" t="n">
        <x:v>225</x:v>
      </x:c>
      <x:c r="K924" s="55" t="n">
        <x:v>29526</x:v>
      </x:c>
      <x:c r="L924" s="55" t="n">
        <x:v>4348</x:v>
      </x:c>
      <x:c r="M924" s="55" t="n">
        <x:v>40</x:v>
      </x:c>
      <x:c r="N924" s="55" t="n">
        <x:v>2344</x:v>
      </x:c>
      <x:c r="O924" s="55" t="n">
        <x:v>1964</x:v>
      </x:c>
      <x:c r="P924" s="55" t="n">
        <x:v>1077</x:v>
      </x:c>
      <x:c r="Q924" s="55" t="n">
        <x:v>2901</x:v>
      </x:c>
      <x:c r="R924" s="55" t="n">
        <x:v>1603</x:v>
      </x:c>
      <x:c r="S924" s="55" t="n">
        <x:v>2024</x:v>
      </x:c>
      <x:c r="T924" s="55" t="n">
        <x:v>1302</x:v>
      </x:c>
      <x:c r="U924" s="55" t="n">
        <x:v>1542</x:v>
      </x:c>
      <x:c r="V924" s="55" t="n">
        <x:v>10238</x:v>
      </x:c>
      <x:c r="W924" s="55" t="n">
        <x:v>7071</x:v>
      </x:c>
      <x:c r="X924" s="55" t="n">
        <x:v>3167</x:v>
      </x:c>
      <x:c r="Y924" s="55" t="n">
        <x:v>2945</x:v>
      </x:c>
      <x:c r="Z924" s="55" t="n">
        <x:v>4049</x:v>
      </x:c>
      <x:c r="AA924" s="55" t="n">
        <x:v>2578</x:v>
      </x:c>
      <x:c r="AB924" s="55" t="n">
        <x:v>999</x:v>
      </x:c>
      <x:c r="AC924" s="55" t="n">
        <x:v>8348</x:v>
      </x:c>
      <x:c r="AD924" s="55" t="n">
        <x:v>3599</x:v>
      </x:c>
      <x:c r="AE924" s="55" t="n">
        <x:v>10308</x:v>
      </x:c>
      <x:c r="AF924" s="55" t="n">
        <x:v>10238</x:v>
      </x:c>
      <x:c r="AG924" s="55" t="n">
        <x:v>70</x:v>
      </x:c>
      <x:c r="AH924" s="55" t="n">
        <x:v>214</x:v>
      </x:c>
      <x:c r="AI924" s="55" t="n">
        <x:v>10024</x:v>
      </x:c>
      <x:c r="AJ924" s="55" t="n">
        <x:v>426</x:v>
      </x:c>
      <x:c r="AK924" s="55" t="n">
        <x:v>690</x:v>
      </x:c>
      <x:c r="AL924" s="55" t="n">
        <x:v>1513</x:v>
      </x:c>
      <x:c r="AM924" s="55" t="n">
        <x:v>5280</x:v>
      </x:c>
      <x:c r="AN924" s="55" t="n">
        <x:v>2329</x:v>
      </x:c>
      <x:c r="AO924" s="55" t="n">
        <x:v>0</x:v>
      </x:c>
      <x:c r="AP924" s="55" t="n">
        <x:v>2081</x:v>
      </x:c>
      <x:c r="AQ924" s="55" t="n">
        <x:v>929</x:v>
      </x:c>
    </x:row>
    <x:row r="925">
      <x:c r="A925" s="54" t="str">
        <x:v>T0_TABLE_BLOCK</x:v>
      </x:c>
      <x:c r="B925" s="54" t="n">
        <x:v>919</x:v>
      </x:c>
      <x:c r="C925" s="54" t="str">
        <x:v>NYC-V2-R01</x:v>
      </x:c>
      <x:c r="D925" s="54" t="str">
        <x:v>V2</x:v>
      </x:c>
      <x:c r="E925" s="54" t="str">
        <x:v>ADMITTED</x:v>
      </x:c>
      <x:c r="F925" s="55" t="n">
        <x:v>32288</x:v>
      </x:c>
      <x:c r="G925" s="55" t="n">
        <x:v>8589</x:v>
      </x:c>
      <x:c r="H925" s="55" t="n">
        <x:v>2937</x:v>
      </x:c>
      <x:c r="I925" s="55" t="n">
        <x:v>1224</x:v>
      </x:c>
      <x:c r="J925" s="55" t="n">
        <x:v>348</x:v>
      </x:c>
      <x:c r="K925" s="55" t="n">
        <x:v>29861</x:v>
      </x:c>
      <x:c r="L925" s="55" t="n">
        <x:v>5647</x:v>
      </x:c>
      <x:c r="M925" s="55" t="n">
        <x:v>917</x:v>
      </x:c>
      <x:c r="N925" s="55" t="n">
        <x:v>2860</x:v>
      </x:c>
      <x:c r="O925" s="55" t="n">
        <x:v>1870</x:v>
      </x:c>
      <x:c r="P925" s="55" t="n">
        <x:v>932</x:v>
      </x:c>
      <x:c r="Q925" s="55" t="n">
        <x:v>2843</x:v>
      </x:c>
      <x:c r="R925" s="55" t="n">
        <x:v>1968</x:v>
      </x:c>
      <x:c r="S925" s="55" t="n">
        <x:v>2924</x:v>
      </x:c>
      <x:c r="T925" s="55" t="n">
        <x:v>1024</x:v>
      </x:c>
      <x:c r="U925" s="55" t="n">
        <x:v>1869</x:v>
      </x:c>
      <x:c r="V925" s="55" t="n">
        <x:v>10385</x:v>
      </x:c>
      <x:c r="W925" s="55" t="n">
        <x:v>7292</x:v>
      </x:c>
      <x:c r="X925" s="55" t="n">
        <x:v>3093</x:v>
      </x:c>
      <x:c r="Y925" s="55" t="n">
        <x:v>2287</x:v>
      </x:c>
      <x:c r="Z925" s="55" t="n">
        <x:v>3500</x:v>
      </x:c>
      <x:c r="AA925" s="55" t="n">
        <x:v>2937</x:v>
      </x:c>
      <x:c r="AB925" s="55" t="n">
        <x:v>1054</x:v>
      </x:c>
      <x:c r="AC925" s="55" t="n">
        <x:v>7841</x:v>
      </x:c>
      <x:c r="AD925" s="55" t="n">
        <x:v>3406</x:v>
      </x:c>
      <x:c r="AE925" s="55" t="n">
        <x:v>10485</x:v>
      </x:c>
      <x:c r="AF925" s="55" t="n">
        <x:v>10385</x:v>
      </x:c>
      <x:c r="AG925" s="55" t="n">
        <x:v>100</x:v>
      </x:c>
      <x:c r="AH925" s="55" t="n">
        <x:v>502</x:v>
      </x:c>
      <x:c r="AI925" s="55" t="n">
        <x:v>9883</x:v>
      </x:c>
      <x:c r="AJ925" s="55" t="n">
        <x:v>240</x:v>
      </x:c>
      <x:c r="AK925" s="55" t="n">
        <x:v>980</x:v>
      </x:c>
      <x:c r="AL925" s="55" t="n">
        <x:v>1702</x:v>
      </x:c>
      <x:c r="AM925" s="55" t="n">
        <x:v>4688</x:v>
      </x:c>
      <x:c r="AN925" s="55" t="n">
        <x:v>2735</x:v>
      </x:c>
      <x:c r="AO925" s="55" t="n">
        <x:v>40</x:v>
      </x:c>
      <x:c r="AP925" s="55" t="n">
        <x:v>2224</x:v>
      </x:c>
      <x:c r="AQ925" s="55" t="n">
        <x:v>925</x:v>
      </x:c>
    </x:row>
    <x:row r="926">
      <x:c r="A926" s="54" t="str">
        <x:v>T0_TABLE_BLOCK</x:v>
      </x:c>
      <x:c r="B926" s="54" t="n">
        <x:v>920</x:v>
      </x:c>
      <x:c r="C926" s="54" t="str">
        <x:v>NYC-V2-R01</x:v>
      </x:c>
      <x:c r="D926" s="54" t="str">
        <x:v>V2</x:v>
      </x:c>
      <x:c r="E926" s="54" t="str">
        <x:v>ADMITTED</x:v>
      </x:c>
      <x:c r="F926" s="55" t="n">
        <x:v>30857</x:v>
      </x:c>
      <x:c r="G926" s="55" t="n">
        <x:v>7778</x:v>
      </x:c>
      <x:c r="H926" s="55" t="n">
        <x:v>3723</x:v>
      </x:c>
      <x:c r="I926" s="55" t="n">
        <x:v>1520</x:v>
      </x:c>
      <x:c r="J926" s="55" t="n">
        <x:v>352</x:v>
      </x:c>
      <x:c r="K926" s="55" t="n">
        <x:v>29444</x:v>
      </x:c>
      <x:c r="L926" s="55" t="n">
        <x:v>5981</x:v>
      </x:c>
      <x:c r="M926" s="55" t="n">
        <x:v>1180</x:v>
      </x:c>
      <x:c r="N926" s="55" t="n">
        <x:v>2989</x:v>
      </x:c>
      <x:c r="O926" s="55" t="n">
        <x:v>1812</x:v>
      </x:c>
      <x:c r="P926" s="55" t="n">
        <x:v>1154</x:v>
      </x:c>
      <x:c r="Q926" s="55" t="n">
        <x:v>2611</x:v>
      </x:c>
      <x:c r="R926" s="55" t="n">
        <x:v>2023</x:v>
      </x:c>
      <x:c r="S926" s="55" t="n">
        <x:v>2261</x:v>
      </x:c>
      <x:c r="T926" s="55" t="n">
        <x:v>1265</x:v>
      </x:c>
      <x:c r="U926" s="55" t="n">
        <x:v>1953</x:v>
      </x:c>
      <x:c r="V926" s="55" t="n">
        <x:v>10504</x:v>
      </x:c>
      <x:c r="W926" s="55" t="n">
        <x:v>7293</x:v>
      </x:c>
      <x:c r="X926" s="55" t="n">
        <x:v>3211</x:v>
      </x:c>
      <x:c r="Y926" s="55" t="n">
        <x:v>2872</x:v>
      </x:c>
      <x:c r="Z926" s="55" t="n">
        <x:v>4206</x:v>
      </x:c>
      <x:c r="AA926" s="55" t="n">
        <x:v>2893</x:v>
      </x:c>
      <x:c r="AB926" s="55" t="n">
        <x:v>974</x:v>
      </x:c>
      <x:c r="AC926" s="55" t="n">
        <x:v>7799</x:v>
      </x:c>
      <x:c r="AD926" s="55" t="n">
        <x:v>2054</x:v>
      </x:c>
      <x:c r="AE926" s="55" t="n">
        <x:v>10625</x:v>
      </x:c>
      <x:c r="AF926" s="55" t="n">
        <x:v>10504</x:v>
      </x:c>
      <x:c r="AG926" s="55" t="n">
        <x:v>121</x:v>
      </x:c>
      <x:c r="AH926" s="55" t="n">
        <x:v>519</x:v>
      </x:c>
      <x:c r="AI926" s="55" t="n">
        <x:v>9985</x:v>
      </x:c>
      <x:c r="AJ926" s="55" t="n">
        <x:v>298</x:v>
      </x:c>
      <x:c r="AK926" s="55" t="n">
        <x:v>919</x:v>
      </x:c>
      <x:c r="AL926" s="55" t="n">
        <x:v>1940</x:v>
      </x:c>
      <x:c r="AM926" s="55" t="n">
        <x:v>4469</x:v>
      </x:c>
      <x:c r="AN926" s="55" t="n">
        <x:v>2734</x:v>
      </x:c>
      <x:c r="AO926" s="55" t="n">
        <x:v>144</x:v>
      </x:c>
      <x:c r="AP926" s="55" t="n">
        <x:v>2629</x:v>
      </x:c>
      <x:c r="AQ926" s="55" t="n">
        <x:v>968</x:v>
      </x:c>
    </x:row>
    <x:row r="927">
      <x:c r="A927" s="54" t="str">
        <x:v>T0_TABLE_BLOCK</x:v>
      </x:c>
      <x:c r="B927" s="54" t="n">
        <x:v>921</x:v>
      </x:c>
      <x:c r="C927" s="54" t="str">
        <x:v>NYC-V2-R01</x:v>
      </x:c>
      <x:c r="D927" s="54" t="str">
        <x:v>V2</x:v>
      </x:c>
      <x:c r="E927" s="54" t="str">
        <x:v>ADMITTED</x:v>
      </x:c>
      <x:c r="F927" s="55" t="n">
        <x:v>30950</x:v>
      </x:c>
      <x:c r="G927" s="55" t="n">
        <x:v>8221</x:v>
      </x:c>
      <x:c r="H927" s="55" t="n">
        <x:v>3350</x:v>
      </x:c>
      <x:c r="I927" s="55" t="n">
        <x:v>1095</x:v>
      </x:c>
      <x:c r="J927" s="55" t="n">
        <x:v>257</x:v>
      </x:c>
      <x:c r="K927" s="55" t="n">
        <x:v>26512</x:v>
      </x:c>
      <x:c r="L927" s="55" t="n">
        <x:v>6678</x:v>
      </x:c>
      <x:c r="M927" s="55" t="n">
        <x:v>1153</x:v>
      </x:c>
      <x:c r="N927" s="55" t="n">
        <x:v>3111</x:v>
      </x:c>
      <x:c r="O927" s="55" t="n">
        <x:v>2414</x:v>
      </x:c>
      <x:c r="P927" s="55" t="n">
        <x:v>986</x:v>
      </x:c>
      <x:c r="Q927" s="55" t="n">
        <x:v>2493</x:v>
      </x:c>
      <x:c r="R927" s="55" t="n">
        <x:v>1939</x:v>
      </x:c>
      <x:c r="S927" s="55" t="n">
        <x:v>2486</x:v>
      </x:c>
      <x:c r="T927" s="55" t="n">
        <x:v>1593</x:v>
      </x:c>
      <x:c r="U927" s="55" t="n">
        <x:v>1913</x:v>
      </x:c>
      <x:c r="V927" s="55" t="n">
        <x:v>10520</x:v>
      </x:c>
      <x:c r="W927" s="55" t="n">
        <x:v>7298</x:v>
      </x:c>
      <x:c r="X927" s="55" t="n">
        <x:v>3222</x:v>
      </x:c>
      <x:c r="Y927" s="55" t="n">
        <x:v>2697</x:v>
      </x:c>
      <x:c r="Z927" s="55" t="n">
        <x:v>3239</x:v>
      </x:c>
      <x:c r="AA927" s="55" t="n">
        <x:v>3350</x:v>
      </x:c>
      <x:c r="AB927" s="55" t="n">
        <x:v>1259</x:v>
      </x:c>
      <x:c r="AC927" s="55" t="n">
        <x:v>7563</x:v>
      </x:c>
      <x:c r="AD927" s="55" t="n">
        <x:v>3144</x:v>
      </x:c>
      <x:c r="AE927" s="55" t="n">
        <x:v>10615</x:v>
      </x:c>
      <x:c r="AF927" s="55" t="n">
        <x:v>10520</x:v>
      </x:c>
      <x:c r="AG927" s="55" t="n">
        <x:v>95</x:v>
      </x:c>
      <x:c r="AH927" s="55" t="n">
        <x:v>334</x:v>
      </x:c>
      <x:c r="AI927" s="55" t="n">
        <x:v>10186</x:v>
      </x:c>
      <x:c r="AJ927" s="55" t="n">
        <x:v>303</x:v>
      </x:c>
      <x:c r="AK927" s="55" t="n">
        <x:v>1115</x:v>
      </x:c>
      <x:c r="AL927" s="55" t="n">
        <x:v>1495</x:v>
      </x:c>
      <x:c r="AM927" s="55" t="n">
        <x:v>4729</x:v>
      </x:c>
      <x:c r="AN927" s="55" t="n">
        <x:v>2878</x:v>
      </x:c>
      <x:c r="AO927" s="55" t="n">
        <x:v>0</x:v>
      </x:c>
      <x:c r="AP927" s="55" t="n">
        <x:v>2690</x:v>
      </x:c>
      <x:c r="AQ927" s="55" t="n">
        <x:v>966</x:v>
      </x:c>
    </x:row>
    <x:row r="928">
      <x:c r="A928" s="54" t="str">
        <x:v>T0_TABLE_BLOCK</x:v>
      </x:c>
      <x:c r="B928" s="54" t="n">
        <x:v>922</x:v>
      </x:c>
      <x:c r="C928" s="54" t="str">
        <x:v>NYC-V2-R01</x:v>
      </x:c>
      <x:c r="D928" s="54" t="str">
        <x:v>V2</x:v>
      </x:c>
      <x:c r="E928" s="54" t="str">
        <x:v>ADMITTED</x:v>
      </x:c>
      <x:c r="F928" s="55" t="n">
        <x:v>29478</x:v>
      </x:c>
      <x:c r="G928" s="55" t="n">
        <x:v>7452</x:v>
      </x:c>
      <x:c r="H928" s="55" t="n">
        <x:v>2866</x:v>
      </x:c>
      <x:c r="I928" s="55" t="n">
        <x:v>940</x:v>
      </x:c>
      <x:c r="J928" s="55" t="n">
        <x:v>138</x:v>
      </x:c>
      <x:c r="K928" s="55" t="n">
        <x:v>27809</x:v>
      </x:c>
      <x:c r="L928" s="55" t="n">
        <x:v>4733</x:v>
      </x:c>
      <x:c r="M928" s="55" t="n">
        <x:v>978</x:v>
      </x:c>
      <x:c r="N928" s="55" t="n">
        <x:v>2120</x:v>
      </x:c>
      <x:c r="O928" s="55" t="n">
        <x:v>1635</x:v>
      </x:c>
      <x:c r="P928" s="55" t="n">
        <x:v>1051</x:v>
      </x:c>
      <x:c r="Q928" s="55" t="n">
        <x:v>1500</x:v>
      </x:c>
      <x:c r="R928" s="55" t="n">
        <x:v>2202</x:v>
      </x:c>
      <x:c r="S928" s="55" t="n">
        <x:v>3082</x:v>
      </x:c>
      <x:c r="T928" s="55" t="n">
        <x:v>1666</x:v>
      </x:c>
      <x:c r="U928" s="55" t="n">
        <x:v>2469</x:v>
      </x:c>
      <x:c r="V928" s="55" t="n">
        <x:v>10672</x:v>
      </x:c>
      <x:c r="W928" s="55" t="n">
        <x:v>7530</x:v>
      </x:c>
      <x:c r="X928" s="55" t="n">
        <x:v>3142</x:v>
      </x:c>
      <x:c r="Y928" s="55" t="n">
        <x:v>2771</x:v>
      </x:c>
      <x:c r="Z928" s="55" t="n">
        <x:v>4083</x:v>
      </x:c>
      <x:c r="AA928" s="55" t="n">
        <x:v>2741</x:v>
      </x:c>
      <x:c r="AB928" s="55" t="n">
        <x:v>1207</x:v>
      </x:c>
      <x:c r="AC928" s="55" t="n">
        <x:v>8007</x:v>
      </x:c>
      <x:c r="AD928" s="55" t="n">
        <x:v>2841</x:v>
      </x:c>
      <x:c r="AE928" s="55" t="n">
        <x:v>10806</x:v>
      </x:c>
      <x:c r="AF928" s="55" t="n">
        <x:v>10672</x:v>
      </x:c>
      <x:c r="AG928" s="55" t="n">
        <x:v>134</x:v>
      </x:c>
      <x:c r="AH928" s="55" t="n">
        <x:v>518</x:v>
      </x:c>
      <x:c r="AI928" s="55" t="n">
        <x:v>10154</x:v>
      </x:c>
      <x:c r="AJ928" s="55" t="n">
        <x:v>330</x:v>
      </x:c>
      <x:c r="AK928" s="55" t="n">
        <x:v>991</x:v>
      </x:c>
      <x:c r="AL928" s="55" t="n">
        <x:v>1673</x:v>
      </x:c>
      <x:c r="AM928" s="55" t="n">
        <x:v>5111</x:v>
      </x:c>
      <x:c r="AN928" s="55" t="n">
        <x:v>2558</x:v>
      </x:c>
      <x:c r="AO928" s="55" t="n">
        <x:v>9</x:v>
      </x:c>
      <x:c r="AP928" s="55" t="n">
        <x:v>2448</x:v>
      </x:c>
      <x:c r="AQ928" s="55" t="n">
        <x:v>921</x:v>
      </x:c>
    </x:row>
    <x:row r="929">
      <x:c r="A929" s="54" t="str">
        <x:v>T0_TABLE_BLOCK</x:v>
      </x:c>
      <x:c r="B929" s="54" t="n">
        <x:v>923</x:v>
      </x:c>
      <x:c r="C929" s="54" t="str">
        <x:v>NYC-V2-R01</x:v>
      </x:c>
      <x:c r="D929" s="54" t="str">
        <x:v>V2</x:v>
      </x:c>
      <x:c r="E929" s="54" t="str">
        <x:v>ADMITTED</x:v>
      </x:c>
      <x:c r="F929" s="55" t="n">
        <x:v>33451</x:v>
      </x:c>
      <x:c r="G929" s="55" t="n">
        <x:v>8556</x:v>
      </x:c>
      <x:c r="H929" s="55" t="n">
        <x:v>3049</x:v>
      </x:c>
      <x:c r="I929" s="55" t="n">
        <x:v>967</x:v>
      </x:c>
      <x:c r="J929" s="55" t="n">
        <x:v>325</x:v>
      </x:c>
      <x:c r="K929" s="55" t="n">
        <x:v>31787</x:v>
      </x:c>
      <x:c r="L929" s="55" t="n">
        <x:v>6232</x:v>
      </x:c>
      <x:c r="M929" s="55" t="n">
        <x:v>2010</x:v>
      </x:c>
      <x:c r="N929" s="55" t="n">
        <x:v>2827</x:v>
      </x:c>
      <x:c r="O929" s="55" t="n">
        <x:v>1395</x:v>
      </x:c>
      <x:c r="P929" s="55" t="n">
        <x:v>296</x:v>
      </x:c>
      <x:c r="Q929" s="55" t="n">
        <x:v>2103</x:v>
      </x:c>
      <x:c r="R929" s="55" t="n">
        <x:v>1740</x:v>
      </x:c>
      <x:c r="S929" s="55" t="n">
        <x:v>3034</x:v>
      </x:c>
      <x:c r="T929" s="55" t="n">
        <x:v>1249</x:v>
      </x:c>
      <x:c r="U929" s="55" t="n">
        <x:v>1862</x:v>
      </x:c>
      <x:c r="V929" s="55" t="n">
        <x:v>10571</x:v>
      </x:c>
      <x:c r="W929" s="55" t="n">
        <x:v>7536</x:v>
      </x:c>
      <x:c r="X929" s="55" t="n">
        <x:v>3035</x:v>
      </x:c>
      <x:c r="Y929" s="55" t="n">
        <x:v>2872</x:v>
      </x:c>
      <x:c r="Z929" s="55" t="n">
        <x:v>3929</x:v>
      </x:c>
      <x:c r="AA929" s="55" t="n">
        <x:v>2840</x:v>
      </x:c>
      <x:c r="AB929" s="55" t="n">
        <x:v>767</x:v>
      </x:c>
      <x:c r="AC929" s="55" t="n">
        <x:v>8025</x:v>
      </x:c>
      <x:c r="AD929" s="55" t="n">
        <x:v>2470</x:v>
      </x:c>
      <x:c r="AE929" s="55" t="n">
        <x:v>10611</x:v>
      </x:c>
      <x:c r="AF929" s="55" t="n">
        <x:v>10571</x:v>
      </x:c>
      <x:c r="AG929" s="55" t="n">
        <x:v>40</x:v>
      </x:c>
      <x:c r="AH929" s="55" t="n">
        <x:v>439</x:v>
      </x:c>
      <x:c r="AI929" s="55" t="n">
        <x:v>10132</x:v>
      </x:c>
      <x:c r="AJ929" s="55" t="n">
        <x:v>405</x:v>
      </x:c>
      <x:c r="AK929" s="55" t="n">
        <x:v>1118</x:v>
      </x:c>
      <x:c r="AL929" s="55" t="n">
        <x:v>1728</x:v>
      </x:c>
      <x:c r="AM929" s="55" t="n">
        <x:v>4626</x:v>
      </x:c>
      <x:c r="AN929" s="55" t="n">
        <x:v>2694</x:v>
      </x:c>
      <x:c r="AO929" s="55" t="n">
        <x:v>0</x:v>
      </x:c>
      <x:c r="AP929" s="55" t="n">
        <x:v>2517</x:v>
      </x:c>
      <x:c r="AQ929" s="55" t="n">
        <x:v>953</x:v>
      </x:c>
    </x:row>
    <x:row r="930">
      <x:c r="A930" s="54" t="str">
        <x:v>T0_TABLE_BLOCK</x:v>
      </x:c>
      <x:c r="B930" s="54" t="n">
        <x:v>924</x:v>
      </x:c>
      <x:c r="C930" s="54" t="str">
        <x:v>NYC-V2-R01</x:v>
      </x:c>
      <x:c r="D930" s="54" t="str">
        <x:v>V2</x:v>
      </x:c>
      <x:c r="E930" s="54" t="str">
        <x:v>ADMITTED</x:v>
      </x:c>
      <x:c r="F930" s="55" t="n">
        <x:v>29945</x:v>
      </x:c>
      <x:c r="G930" s="55" t="n">
        <x:v>7693</x:v>
      </x:c>
      <x:c r="H930" s="55" t="n">
        <x:v>3726</x:v>
      </x:c>
      <x:c r="I930" s="55" t="n">
        <x:v>1489</x:v>
      </x:c>
      <x:c r="J930" s="55" t="n">
        <x:v>460</x:v>
      </x:c>
      <x:c r="K930" s="55" t="n">
        <x:v>27956</x:v>
      </x:c>
      <x:c r="L930" s="55" t="n">
        <x:v>5608</x:v>
      </x:c>
      <x:c r="M930" s="55" t="n">
        <x:v>981</x:v>
      </x:c>
      <x:c r="N930" s="55" t="n">
        <x:v>2469</x:v>
      </x:c>
      <x:c r="O930" s="55" t="n">
        <x:v>2158</x:v>
      </x:c>
      <x:c r="P930" s="55" t="n">
        <x:v>968</x:v>
      </x:c>
      <x:c r="Q930" s="55" t="n">
        <x:v>2874</x:v>
      </x:c>
      <x:c r="R930" s="55" t="n">
        <x:v>1742</x:v>
      </x:c>
      <x:c r="S930" s="55" t="n">
        <x:v>2813</x:v>
      </x:c>
      <x:c r="T930" s="55" t="n">
        <x:v>1534</x:v>
      </x:c>
      <x:c r="U930" s="55" t="n">
        <x:v>2025</x:v>
      </x:c>
      <x:c r="V930" s="55" t="n">
        <x:v>9941</x:v>
      </x:c>
      <x:c r="W930" s="55" t="n">
        <x:v>6920</x:v>
      </x:c>
      <x:c r="X930" s="55" t="n">
        <x:v>3021</x:v>
      </x:c>
      <x:c r="Y930" s="55" t="n">
        <x:v>2905</x:v>
      </x:c>
      <x:c r="Z930" s="55" t="n">
        <x:v>3936</x:v>
      </x:c>
      <x:c r="AA930" s="55" t="n">
        <x:v>3009</x:v>
      </x:c>
      <x:c r="AB930" s="55" t="n">
        <x:v>975</x:v>
      </x:c>
      <x:c r="AC930" s="55" t="n">
        <x:v>7285</x:v>
      </x:c>
      <x:c r="AD930" s="55" t="n">
        <x:v>2817</x:v>
      </x:c>
      <x:c r="AE930" s="55" t="n">
        <x:v>9999</x:v>
      </x:c>
      <x:c r="AF930" s="55" t="n">
        <x:v>9941</x:v>
      </x:c>
      <x:c r="AG930" s="55" t="n">
        <x:v>58</x:v>
      </x:c>
      <x:c r="AH930" s="55" t="n">
        <x:v>195</x:v>
      </x:c>
      <x:c r="AI930" s="55" t="n">
        <x:v>9746</x:v>
      </x:c>
      <x:c r="AJ930" s="55" t="n">
        <x:v>307</x:v>
      </x:c>
      <x:c r="AK930" s="55" t="n">
        <x:v>901</x:v>
      </x:c>
      <x:c r="AL930" s="55" t="n">
        <x:v>1752</x:v>
      </x:c>
      <x:c r="AM930" s="55" t="n">
        <x:v>4343</x:v>
      </x:c>
      <x:c r="AN930" s="55" t="n">
        <x:v>2638</x:v>
      </x:c>
      <x:c r="AO930" s="55" t="n">
        <x:v>0</x:v>
      </x:c>
      <x:c r="AP930" s="55" t="n">
        <x:v>2613</x:v>
      </x:c>
      <x:c r="AQ930" s="55" t="n">
        <x:v>966</x:v>
      </x:c>
    </x:row>
    <x:row r="931">
      <x:c r="A931" s="54" t="str">
        <x:v>T0_TABLE_BLOCK</x:v>
      </x:c>
      <x:c r="B931" s="54" t="n">
        <x:v>925</x:v>
      </x:c>
      <x:c r="C931" s="54" t="str">
        <x:v>NYC-V2-R01</x:v>
      </x:c>
      <x:c r="D931" s="54" t="str">
        <x:v>V2</x:v>
      </x:c>
      <x:c r="E931" s="54" t="str">
        <x:v>ADMITTED</x:v>
      </x:c>
      <x:c r="F931" s="55" t="n">
        <x:v>30803</x:v>
      </x:c>
      <x:c r="G931" s="55" t="n">
        <x:v>8102</x:v>
      </x:c>
      <x:c r="H931" s="55" t="n">
        <x:v>3111</x:v>
      </x:c>
      <x:c r="I931" s="55" t="n">
        <x:v>1379</x:v>
      </x:c>
      <x:c r="J931" s="55" t="n">
        <x:v>119</x:v>
      </x:c>
      <x:c r="K931" s="55" t="n">
        <x:v>30747</x:v>
      </x:c>
      <x:c r="L931" s="55" t="n">
        <x:v>6397</x:v>
      </x:c>
      <x:c r="M931" s="55" t="n">
        <x:v>2719</x:v>
      </x:c>
      <x:c r="N931" s="55" t="n">
        <x:v>2093</x:v>
      </x:c>
      <x:c r="O931" s="55" t="n">
        <x:v>1585</x:v>
      </x:c>
      <x:c r="P931" s="55" t="n">
        <x:v>988</x:v>
      </x:c>
      <x:c r="Q931" s="55" t="n">
        <x:v>2562</x:v>
      </x:c>
      <x:c r="R931" s="55" t="n">
        <x:v>2277</x:v>
      </x:c>
      <x:c r="S931" s="55" t="n">
        <x:v>3119</x:v>
      </x:c>
      <x:c r="T931" s="55" t="n">
        <x:v>1044</x:v>
      </x:c>
      <x:c r="U931" s="55" t="n">
        <x:v>2033</x:v>
      </x:c>
      <x:c r="V931" s="55" t="n">
        <x:v>10302</x:v>
      </x:c>
      <x:c r="W931" s="55" t="n">
        <x:v>7103</x:v>
      </x:c>
      <x:c r="X931" s="55" t="n">
        <x:v>3199</x:v>
      </x:c>
      <x:c r="Y931" s="55" t="n">
        <x:v>2826</x:v>
      </x:c>
      <x:c r="Z931" s="55" t="n">
        <x:v>3559</x:v>
      </x:c>
      <x:c r="AA931" s="55" t="n">
        <x:v>3111</x:v>
      </x:c>
      <x:c r="AB931" s="55" t="n">
        <x:v>750</x:v>
      </x:c>
      <x:c r="AC931" s="55" t="n">
        <x:v>8267</x:v>
      </x:c>
      <x:c r="AD931" s="55" t="n">
        <x:v>2919</x:v>
      </x:c>
      <x:c r="AE931" s="55" t="n">
        <x:v>10431</x:v>
      </x:c>
      <x:c r="AF931" s="55" t="n">
        <x:v>10302</x:v>
      </x:c>
      <x:c r="AG931" s="55" t="n">
        <x:v>129</x:v>
      </x:c>
      <x:c r="AH931" s="55" t="n">
        <x:v>203</x:v>
      </x:c>
      <x:c r="AI931" s="55" t="n">
        <x:v>10099</x:v>
      </x:c>
      <x:c r="AJ931" s="55" t="n">
        <x:v>359</x:v>
      </x:c>
      <x:c r="AK931" s="55" t="n">
        <x:v>1185</x:v>
      </x:c>
      <x:c r="AL931" s="55" t="n">
        <x:v>1167</x:v>
      </x:c>
      <x:c r="AM931" s="55" t="n">
        <x:v>5332</x:v>
      </x:c>
      <x:c r="AN931" s="55" t="n">
        <x:v>2227</x:v>
      </x:c>
      <x:c r="AO931" s="55" t="n">
        <x:v>32</x:v>
      </x:c>
      <x:c r="AP931" s="55" t="n">
        <x:v>2204</x:v>
      </x:c>
      <x:c r="AQ931" s="55" t="n">
        <x:v>1013</x:v>
      </x:c>
    </x:row>
    <x:row r="932">
      <x:c r="A932" s="54" t="str">
        <x:v>T0_TABLE_BLOCK</x:v>
      </x:c>
      <x:c r="B932" s="54" t="n">
        <x:v>926</x:v>
      </x:c>
      <x:c r="C932" s="54" t="str">
        <x:v>NYC-V2-R01</x:v>
      </x:c>
      <x:c r="D932" s="54" t="str">
        <x:v>V2</x:v>
      </x:c>
      <x:c r="E932" s="54" t="str">
        <x:v>ADMITTED</x:v>
      </x:c>
      <x:c r="F932" s="55" t="n">
        <x:v>30815</x:v>
      </x:c>
      <x:c r="G932" s="55" t="n">
        <x:v>6257</x:v>
      </x:c>
      <x:c r="H932" s="55" t="n">
        <x:v>3560</x:v>
      </x:c>
      <x:c r="I932" s="55" t="n">
        <x:v>1160</x:v>
      </x:c>
      <x:c r="J932" s="55" t="n">
        <x:v>280</x:v>
      </x:c>
      <x:c r="K932" s="55" t="n">
        <x:v>28431</x:v>
      </x:c>
      <x:c r="L932" s="55" t="n">
        <x:v>5035</x:v>
      </x:c>
      <x:c r="M932" s="55" t="n">
        <x:v>799</x:v>
      </x:c>
      <x:c r="N932" s="55" t="n">
        <x:v>2538</x:v>
      </x:c>
      <x:c r="O932" s="55" t="n">
        <x:v>1698</x:v>
      </x:c>
      <x:c r="P932" s="55" t="n">
        <x:v>1202</x:v>
      </x:c>
      <x:c r="Q932" s="55" t="n">
        <x:v>2652</x:v>
      </x:c>
      <x:c r="R932" s="55" t="n">
        <x:v>1983</x:v>
      </x:c>
      <x:c r="S932" s="55" t="n">
        <x:v>2365</x:v>
      </x:c>
      <x:c r="T932" s="55" t="n">
        <x:v>1300</x:v>
      </x:c>
      <x:c r="U932" s="55" t="n">
        <x:v>1823</x:v>
      </x:c>
      <x:c r="V932" s="55" t="n">
        <x:v>10811</x:v>
      </x:c>
      <x:c r="W932" s="55" t="n">
        <x:v>7613</x:v>
      </x:c>
      <x:c r="X932" s="55" t="n">
        <x:v>3198</x:v>
      </x:c>
      <x:c r="Y932" s="55" t="n">
        <x:v>2891</x:v>
      </x:c>
      <x:c r="Z932" s="55" t="n">
        <x:v>4240</x:v>
      </x:c>
      <x:c r="AA932" s="55" t="n">
        <x:v>3004</x:v>
      </x:c>
      <x:c r="AB932" s="55" t="n">
        <x:v>1298</x:v>
      </x:c>
      <x:c r="AC932" s="55" t="n">
        <x:v>7791</x:v>
      </x:c>
      <x:c r="AD932" s="55" t="n">
        <x:v>2344</x:v>
      </x:c>
      <x:c r="AE932" s="55" t="n">
        <x:v>10885</x:v>
      </x:c>
      <x:c r="AF932" s="55" t="n">
        <x:v>10811</x:v>
      </x:c>
      <x:c r="AG932" s="55" t="n">
        <x:v>74</x:v>
      </x:c>
      <x:c r="AH932" s="55" t="n">
        <x:v>665</x:v>
      </x:c>
      <x:c r="AI932" s="55" t="n">
        <x:v>10146</x:v>
      </x:c>
      <x:c r="AJ932" s="55" t="n">
        <x:v>209</x:v>
      </x:c>
      <x:c r="AK932" s="55" t="n">
        <x:v>1387</x:v>
      </x:c>
      <x:c r="AL932" s="55" t="n">
        <x:v>1047</x:v>
      </x:c>
      <x:c r="AM932" s="55" t="n">
        <x:v>4999</x:v>
      </x:c>
      <x:c r="AN932" s="55" t="n">
        <x:v>3121</x:v>
      </x:c>
      <x:c r="AO932" s="55" t="n">
        <x:v>48</x:v>
      </x:c>
      <x:c r="AP932" s="55" t="n">
        <x:v>2518</x:v>
      </x:c>
      <x:c r="AQ932" s="55" t="n">
        <x:v>946</x:v>
      </x:c>
    </x:row>
    <x:row r="933">
      <x:c r="A933" s="54" t="str">
        <x:v>T0_TABLE_BLOCK</x:v>
      </x:c>
      <x:c r="B933" s="54" t="n">
        <x:v>927</x:v>
      </x:c>
      <x:c r="C933" s="54" t="str">
        <x:v>NYC-V2-R01</x:v>
      </x:c>
      <x:c r="D933" s="54" t="str">
        <x:v>V2</x:v>
      </x:c>
      <x:c r="E933" s="54" t="str">
        <x:v>ADMITTED</x:v>
      </x:c>
      <x:c r="F933" s="55" t="n">
        <x:v>31566</x:v>
      </x:c>
      <x:c r="G933" s="55" t="n">
        <x:v>7418</x:v>
      </x:c>
      <x:c r="H933" s="55" t="n">
        <x:v>3418</x:v>
      </x:c>
      <x:c r="I933" s="55" t="n">
        <x:v>1592</x:v>
      </x:c>
      <x:c r="J933" s="55" t="n">
        <x:v>242</x:v>
      </x:c>
      <x:c r="K933" s="55" t="n">
        <x:v>31566</x:v>
      </x:c>
      <x:c r="L933" s="55" t="n">
        <x:v>6142</x:v>
      </x:c>
      <x:c r="M933" s="55" t="n">
        <x:v>1650</x:v>
      </x:c>
      <x:c r="N933" s="55" t="n">
        <x:v>2800</x:v>
      </x:c>
      <x:c r="O933" s="55" t="n">
        <x:v>1692</x:v>
      </x:c>
      <x:c r="P933" s="55" t="n">
        <x:v>891</x:v>
      </x:c>
      <x:c r="Q933" s="55" t="n">
        <x:v>1438</x:v>
      </x:c>
      <x:c r="R933" s="55" t="n">
        <x:v>2076</x:v>
      </x:c>
      <x:c r="S933" s="55" t="n">
        <x:v>2792</x:v>
      </x:c>
      <x:c r="T933" s="55" t="n">
        <x:v>1185</x:v>
      </x:c>
      <x:c r="U933" s="55" t="n">
        <x:v>2298</x:v>
      </x:c>
      <x:c r="V933" s="55" t="n">
        <x:v>10395</x:v>
      </x:c>
      <x:c r="W933" s="55" t="n">
        <x:v>7359</x:v>
      </x:c>
      <x:c r="X933" s="55" t="n">
        <x:v>3036</x:v>
      </x:c>
      <x:c r="Y933" s="55" t="n">
        <x:v>2591</x:v>
      </x:c>
      <x:c r="Z933" s="55" t="n">
        <x:v>3702</x:v>
      </x:c>
      <x:c r="AA933" s="55" t="n">
        <x:v>2955</x:v>
      </x:c>
      <x:c r="AB933" s="55" t="n">
        <x:v>948</x:v>
      </x:c>
      <x:c r="AC933" s="55" t="n">
        <x:v>7823</x:v>
      </x:c>
      <x:c r="AD933" s="55" t="n">
        <x:v>3484</x:v>
      </x:c>
      <x:c r="AE933" s="55" t="n">
        <x:v>10466</x:v>
      </x:c>
      <x:c r="AF933" s="55" t="n">
        <x:v>10395</x:v>
      </x:c>
      <x:c r="AG933" s="55" t="n">
        <x:v>71</x:v>
      </x:c>
      <x:c r="AH933" s="55" t="n">
        <x:v>394</x:v>
      </x:c>
      <x:c r="AI933" s="55" t="n">
        <x:v>10001</x:v>
      </x:c>
      <x:c r="AJ933" s="55" t="n">
        <x:v>442</x:v>
      </x:c>
      <x:c r="AK933" s="55" t="n">
        <x:v>578</x:v>
      </x:c>
      <x:c r="AL933" s="55" t="n">
        <x:v>1515</x:v>
      </x:c>
      <x:c r="AM933" s="55" t="n">
        <x:v>4842</x:v>
      </x:c>
      <x:c r="AN933" s="55" t="n">
        <x:v>2999</x:v>
      </x:c>
      <x:c r="AO933" s="55" t="n">
        <x:v>19</x:v>
      </x:c>
      <x:c r="AP933" s="55" t="n">
        <x:v>2331</x:v>
      </x:c>
      <x:c r="AQ933" s="55" t="n">
        <x:v>983</x:v>
      </x:c>
    </x:row>
    <x:row r="934">
      <x:c r="A934" s="54" t="str">
        <x:v>T0_TABLE_BLOCK</x:v>
      </x:c>
      <x:c r="B934" s="54" t="n">
        <x:v>928</x:v>
      </x:c>
      <x:c r="C934" s="54" t="str">
        <x:v>NYC-V2-R01</x:v>
      </x:c>
      <x:c r="D934" s="54" t="str">
        <x:v>V2</x:v>
      </x:c>
      <x:c r="E934" s="54" t="str">
        <x:v>ADMITTED</x:v>
      </x:c>
      <x:c r="F934" s="55" t="n">
        <x:v>33493</x:v>
      </x:c>
      <x:c r="G934" s="55" t="n">
        <x:v>7257</x:v>
      </x:c>
      <x:c r="H934" s="55" t="n">
        <x:v>3037</x:v>
      </x:c>
      <x:c r="I934" s="55" t="n">
        <x:v>1417</x:v>
      </x:c>
      <x:c r="J934" s="55" t="n">
        <x:v>318</x:v>
      </x:c>
      <x:c r="K934" s="55" t="n">
        <x:v>33493</x:v>
      </x:c>
      <x:c r="L934" s="55" t="n">
        <x:v>6050</x:v>
      </x:c>
      <x:c r="M934" s="55" t="n">
        <x:v>1986</x:v>
      </x:c>
      <x:c r="N934" s="55" t="n">
        <x:v>2505</x:v>
      </x:c>
      <x:c r="O934" s="55" t="n">
        <x:v>1559</x:v>
      </x:c>
      <x:c r="P934" s="55" t="n">
        <x:v>638</x:v>
      </x:c>
      <x:c r="Q934" s="55" t="n">
        <x:v>2377</x:v>
      </x:c>
      <x:c r="R934" s="55" t="n">
        <x:v>1658</x:v>
      </x:c>
      <x:c r="S934" s="55" t="n">
        <x:v>3524</x:v>
      </x:c>
      <x:c r="T934" s="55" t="n">
        <x:v>1158</x:v>
      </x:c>
      <x:c r="U934" s="55" t="n">
        <x:v>2332</x:v>
      </x:c>
      <x:c r="V934" s="55" t="n">
        <x:v>10535</x:v>
      </x:c>
      <x:c r="W934" s="55" t="n">
        <x:v>7583</x:v>
      </x:c>
      <x:c r="X934" s="55" t="n">
        <x:v>2952</x:v>
      </x:c>
      <x:c r="Y934" s="55" t="n">
        <x:v>2665</x:v>
      </x:c>
      <x:c r="Z934" s="55" t="n">
        <x:v>3964</x:v>
      </x:c>
      <x:c r="AA934" s="55" t="n">
        <x:v>3037</x:v>
      </x:c>
      <x:c r="AB934" s="55" t="n">
        <x:v>1244</x:v>
      </x:c>
      <x:c r="AC934" s="55" t="n">
        <x:v>8523</x:v>
      </x:c>
      <x:c r="AD934" s="55" t="n">
        <x:v>3136</x:v>
      </x:c>
      <x:c r="AE934" s="55" t="n">
        <x:v>10594</x:v>
      </x:c>
      <x:c r="AF934" s="55" t="n">
        <x:v>10535</x:v>
      </x:c>
      <x:c r="AG934" s="55" t="n">
        <x:v>59</x:v>
      </x:c>
      <x:c r="AH934" s="55" t="n">
        <x:v>581</x:v>
      </x:c>
      <x:c r="AI934" s="55" t="n">
        <x:v>9954</x:v>
      </x:c>
      <x:c r="AJ934" s="55" t="n">
        <x:v>465</x:v>
      </x:c>
      <x:c r="AK934" s="55" t="n">
        <x:v>1405</x:v>
      </x:c>
      <x:c r="AL934" s="55" t="n">
        <x:v>1488</x:v>
      </x:c>
      <x:c r="AM934" s="55" t="n">
        <x:v>4625</x:v>
      </x:c>
      <x:c r="AN934" s="55" t="n">
        <x:v>2518</x:v>
      </x:c>
      <x:c r="AO934" s="55" t="n">
        <x:v>34</x:v>
      </x:c>
      <x:c r="AP934" s="55" t="n">
        <x:v>2368</x:v>
      </x:c>
      <x:c r="AQ934" s="55" t="n">
        <x:v>939</x:v>
      </x:c>
    </x:row>
    <x:row r="935">
      <x:c r="A935" s="54" t="str">
        <x:v>T0_TABLE_BLOCK</x:v>
      </x:c>
      <x:c r="B935" s="54" t="n">
        <x:v>929</x:v>
      </x:c>
      <x:c r="C935" s="54" t="str">
        <x:v>NYC-V2-R01</x:v>
      </x:c>
      <x:c r="D935" s="54" t="str">
        <x:v>V2</x:v>
      </x:c>
      <x:c r="E935" s="54" t="str">
        <x:v>ADMITTED</x:v>
      </x:c>
      <x:c r="F935" s="55" t="n">
        <x:v>33085</x:v>
      </x:c>
      <x:c r="G935" s="55" t="n">
        <x:v>8627</x:v>
      </x:c>
      <x:c r="H935" s="55" t="n">
        <x:v>3312</x:v>
      </x:c>
      <x:c r="I935" s="55" t="n">
        <x:v>1365</x:v>
      </x:c>
      <x:c r="J935" s="55" t="n">
        <x:v>83</x:v>
      </x:c>
      <x:c r="K935" s="55" t="n">
        <x:v>33085</x:v>
      </x:c>
      <x:c r="L935" s="55" t="n">
        <x:v>7489</x:v>
      </x:c>
      <x:c r="M935" s="55" t="n">
        <x:v>1883</x:v>
      </x:c>
      <x:c r="N935" s="55" t="n">
        <x:v>3455</x:v>
      </x:c>
      <x:c r="O935" s="55" t="n">
        <x:v>2151</x:v>
      </x:c>
      <x:c r="P935" s="55" t="n">
        <x:v>763</x:v>
      </x:c>
      <x:c r="Q935" s="55" t="n">
        <x:v>2818</x:v>
      </x:c>
      <x:c r="R935" s="55" t="n">
        <x:v>2083</x:v>
      </x:c>
      <x:c r="S935" s="55" t="n">
        <x:v>2904</x:v>
      </x:c>
      <x:c r="T935" s="55" t="n">
        <x:v>1171</x:v>
      </x:c>
      <x:c r="U935" s="55" t="n">
        <x:v>2305</x:v>
      </x:c>
      <x:c r="V935" s="55" t="n">
        <x:v>10819</x:v>
      </x:c>
      <x:c r="W935" s="55" t="n">
        <x:v>8102</x:v>
      </x:c>
      <x:c r="X935" s="55" t="n">
        <x:v>2717</x:v>
      </x:c>
      <x:c r="Y935" s="55" t="n">
        <x:v>2351</x:v>
      </x:c>
      <x:c r="Z935" s="55" t="n">
        <x:v>3745</x:v>
      </x:c>
      <x:c r="AA935" s="55" t="n">
        <x:v>3312</x:v>
      </x:c>
      <x:c r="AB935" s="55" t="n">
        <x:v>1275</x:v>
      </x:c>
      <x:c r="AC935" s="55" t="n">
        <x:v>8112</x:v>
      </x:c>
      <x:c r="AD935" s="55" t="n">
        <x:v>3069</x:v>
      </x:c>
      <x:c r="AE935" s="55" t="n">
        <x:v>10893</x:v>
      </x:c>
      <x:c r="AF935" s="55" t="n">
        <x:v>10819</x:v>
      </x:c>
      <x:c r="AG935" s="55" t="n">
        <x:v>74</x:v>
      </x:c>
      <x:c r="AH935" s="55" t="n">
        <x:v>509</x:v>
      </x:c>
      <x:c r="AI935" s="55" t="n">
        <x:v>10310</x:v>
      </x:c>
      <x:c r="AJ935" s="55" t="n">
        <x:v>435</x:v>
      </x:c>
      <x:c r="AK935" s="55" t="n">
        <x:v>1196</x:v>
      </x:c>
      <x:c r="AL935" s="55" t="n">
        <x:v>1206</x:v>
      </x:c>
      <x:c r="AM935" s="55" t="n">
        <x:v>5325</x:v>
      </x:c>
      <x:c r="AN935" s="55" t="n">
        <x:v>2657</x:v>
      </x:c>
      <x:c r="AO935" s="55" t="n">
        <x:v>0</x:v>
      </x:c>
      <x:c r="AP935" s="55" t="n">
        <x:v>2441</x:v>
      </x:c>
      <x:c r="AQ935" s="55" t="n">
        <x:v>970</x:v>
      </x:c>
    </x:row>
    <x:row r="936">
      <x:c r="A936" s="54" t="str">
        <x:v>T0_TABLE_BLOCK</x:v>
      </x:c>
      <x:c r="B936" s="54" t="n">
        <x:v>930</x:v>
      </x:c>
      <x:c r="C936" s="54" t="str">
        <x:v>NYC-V2-R01</x:v>
      </x:c>
      <x:c r="D936" s="54" t="str">
        <x:v>V2</x:v>
      </x:c>
      <x:c r="E936" s="54" t="str">
        <x:v>ADMITTED</x:v>
      </x:c>
      <x:c r="F936" s="55" t="n">
        <x:v>33745</x:v>
      </x:c>
      <x:c r="G936" s="55" t="n">
        <x:v>7104</x:v>
      </x:c>
      <x:c r="H936" s="55" t="n">
        <x:v>3752</x:v>
      </x:c>
      <x:c r="I936" s="55" t="n">
        <x:v>1602</x:v>
      </x:c>
      <x:c r="J936" s="55" t="n">
        <x:v>242</x:v>
      </x:c>
      <x:c r="K936" s="55" t="n">
        <x:v>33745</x:v>
      </x:c>
      <x:c r="L936" s="55" t="n">
        <x:v>5978</x:v>
      </x:c>
      <x:c r="M936" s="55" t="n">
        <x:v>1675</x:v>
      </x:c>
      <x:c r="N936" s="55" t="n">
        <x:v>2686</x:v>
      </x:c>
      <x:c r="O936" s="55" t="n">
        <x:v>1617</x:v>
      </x:c>
      <x:c r="P936" s="55" t="n">
        <x:v>684</x:v>
      </x:c>
      <x:c r="Q936" s="55" t="n">
        <x:v>1045</x:v>
      </x:c>
      <x:c r="R936" s="55" t="n">
        <x:v>1872</x:v>
      </x:c>
      <x:c r="S936" s="55" t="n">
        <x:v>2999</x:v>
      </x:c>
      <x:c r="T936" s="55" t="n">
        <x:v>1658</x:v>
      </x:c>
      <x:c r="U936" s="55" t="n">
        <x:v>1370</x:v>
      </x:c>
      <x:c r="V936" s="55" t="n">
        <x:v>10666</x:v>
      </x:c>
      <x:c r="W936" s="55" t="n">
        <x:v>7502</x:v>
      </x:c>
      <x:c r="X936" s="55" t="n">
        <x:v>3164</x:v>
      </x:c>
      <x:c r="Y936" s="55" t="n">
        <x:v>2602</x:v>
      </x:c>
      <x:c r="Z936" s="55" t="n">
        <x:v>3531</x:v>
      </x:c>
      <x:c r="AA936" s="55" t="n">
        <x:v>3752</x:v>
      </x:c>
      <x:c r="AB936" s="55" t="n">
        <x:v>1131</x:v>
      </x:c>
      <x:c r="AC936" s="55" t="n">
        <x:v>7816</x:v>
      </x:c>
      <x:c r="AD936" s="55" t="n">
        <x:v>2765</x:v>
      </x:c>
      <x:c r="AE936" s="55" t="n">
        <x:v>10803</x:v>
      </x:c>
      <x:c r="AF936" s="55" t="n">
        <x:v>10666</x:v>
      </x:c>
      <x:c r="AG936" s="55" t="n">
        <x:v>137</x:v>
      </x:c>
      <x:c r="AH936" s="55" t="n">
        <x:v>469</x:v>
      </x:c>
      <x:c r="AI936" s="55" t="n">
        <x:v>10197</x:v>
      </x:c>
      <x:c r="AJ936" s="55" t="n">
        <x:v>468</x:v>
      </x:c>
      <x:c r="AK936" s="55" t="n">
        <x:v>974</x:v>
      </x:c>
      <x:c r="AL936" s="55" t="n">
        <x:v>1732</x:v>
      </x:c>
      <x:c r="AM936" s="55" t="n">
        <x:v>5023</x:v>
      </x:c>
      <x:c r="AN936" s="55" t="n">
        <x:v>2447</x:v>
      </x:c>
      <x:c r="AO936" s="55" t="n">
        <x:v>22</x:v>
      </x:c>
      <x:c r="AP936" s="55" t="n">
        <x:v>2891</x:v>
      </x:c>
      <x:c r="AQ936" s="55" t="n">
        <x:v>978</x:v>
      </x:c>
    </x:row>
    <x:row r="937">
      <x:c r="A937" s="54" t="str">
        <x:v>T0_TABLE_BLOCK</x:v>
      </x:c>
      <x:c r="B937" s="54" t="n">
        <x:v>931</x:v>
      </x:c>
      <x:c r="C937" s="54" t="str">
        <x:v>NYC-V2-R01</x:v>
      </x:c>
      <x:c r="D937" s="54" t="str">
        <x:v>V2</x:v>
      </x:c>
      <x:c r="E937" s="54" t="str">
        <x:v>ADMITTED</x:v>
      </x:c>
      <x:c r="F937" s="55" t="n">
        <x:v>30814</x:v>
      </x:c>
      <x:c r="G937" s="55" t="n">
        <x:v>7320</x:v>
      </x:c>
      <x:c r="H937" s="55" t="n">
        <x:v>3600</x:v>
      </x:c>
      <x:c r="I937" s="55" t="n">
        <x:v>1372</x:v>
      </x:c>
      <x:c r="J937" s="55" t="n">
        <x:v>250</x:v>
      </x:c>
      <x:c r="K937" s="55" t="n">
        <x:v>28889</x:v>
      </x:c>
      <x:c r="L937" s="55" t="n">
        <x:v>6417</x:v>
      </x:c>
      <x:c r="M937" s="55" t="n">
        <x:v>1683</x:v>
      </x:c>
      <x:c r="N937" s="55" t="n">
        <x:v>3160</x:v>
      </x:c>
      <x:c r="O937" s="55" t="n">
        <x:v>1574</x:v>
      </x:c>
      <x:c r="P937" s="55" t="n">
        <x:v>1194</x:v>
      </x:c>
      <x:c r="Q937" s="55" t="n">
        <x:v>1728</x:v>
      </x:c>
      <x:c r="R937" s="55" t="n">
        <x:v>2401</x:v>
      </x:c>
      <x:c r="S937" s="55" t="n">
        <x:v>3249</x:v>
      </x:c>
      <x:c r="T937" s="55" t="n">
        <x:v>1204</x:v>
      </x:c>
      <x:c r="U937" s="55" t="n">
        <x:v>2344</x:v>
      </x:c>
      <x:c r="V937" s="55" t="n">
        <x:v>10642</x:v>
      </x:c>
      <x:c r="W937" s="55" t="n">
        <x:v>7872</x:v>
      </x:c>
      <x:c r="X937" s="55" t="n">
        <x:v>2770</x:v>
      </x:c>
      <x:c r="Y937" s="55" t="n">
        <x:v>2335</x:v>
      </x:c>
      <x:c r="Z937" s="55" t="n">
        <x:v>3670</x:v>
      </x:c>
      <x:c r="AA937" s="55" t="n">
        <x:v>2986</x:v>
      </x:c>
      <x:c r="AB937" s="55" t="n">
        <x:v>1424</x:v>
      </x:c>
      <x:c r="AC937" s="55" t="n">
        <x:v>7588</x:v>
      </x:c>
      <x:c r="AD937" s="55" t="n">
        <x:v>3087</x:v>
      </x:c>
      <x:c r="AE937" s="55" t="n">
        <x:v>10663</x:v>
      </x:c>
      <x:c r="AF937" s="55" t="n">
        <x:v>10642</x:v>
      </x:c>
      <x:c r="AG937" s="55" t="n">
        <x:v>21</x:v>
      </x:c>
      <x:c r="AH937" s="55" t="n">
        <x:v>217</x:v>
      </x:c>
      <x:c r="AI937" s="55" t="n">
        <x:v>10425</x:v>
      </x:c>
      <x:c r="AJ937" s="55" t="n">
        <x:v>82</x:v>
      </x:c>
      <x:c r="AK937" s="55" t="n">
        <x:v>1160</x:v>
      </x:c>
      <x:c r="AL937" s="55" t="n">
        <x:v>1585</x:v>
      </x:c>
      <x:c r="AM937" s="55" t="n">
        <x:v>5111</x:v>
      </x:c>
      <x:c r="AN937" s="55" t="n">
        <x:v>2704</x:v>
      </x:c>
      <x:c r="AO937" s="55" t="n">
        <x:v>0</x:v>
      </x:c>
      <x:c r="AP937" s="55" t="n">
        <x:v>2384</x:v>
      </x:c>
      <x:c r="AQ937" s="55" t="n">
        <x:v>945</x:v>
      </x:c>
    </x:row>
    <x:row r="938">
      <x:c r="A938" s="54" t="str">
        <x:v>T0_TABLE_BLOCK</x:v>
      </x:c>
      <x:c r="B938" s="54" t="n">
        <x:v>932</x:v>
      </x:c>
      <x:c r="C938" s="54" t="str">
        <x:v>NYC-V2-R01</x:v>
      </x:c>
      <x:c r="D938" s="54" t="str">
        <x:v>V2</x:v>
      </x:c>
      <x:c r="E938" s="54" t="str">
        <x:v>ADMITTED</x:v>
      </x:c>
      <x:c r="F938" s="55" t="n">
        <x:v>28867</x:v>
      </x:c>
      <x:c r="G938" s="55" t="n">
        <x:v>6675</x:v>
      </x:c>
      <x:c r="H938" s="55" t="n">
        <x:v>2798</x:v>
      </x:c>
      <x:c r="I938" s="55" t="n">
        <x:v>624</x:v>
      </x:c>
      <x:c r="J938" s="55" t="n">
        <x:v>73</x:v>
      </x:c>
      <x:c r="K938" s="55" t="n">
        <x:v>27451</x:v>
      </x:c>
      <x:c r="L938" s="55" t="n">
        <x:v>3815</x:v>
      </x:c>
      <x:c r="M938" s="55" t="n">
        <x:v>0</x:v>
      </x:c>
      <x:c r="N938" s="55" t="n">
        <x:v>2355</x:v>
      </x:c>
      <x:c r="O938" s="55" t="n">
        <x:v>1460</x:v>
      </x:c>
      <x:c r="P938" s="55" t="n">
        <x:v>730</x:v>
      </x:c>
      <x:c r="Q938" s="55" t="n">
        <x:v>1417</x:v>
      </x:c>
      <x:c r="R938" s="55" t="n">
        <x:v>1585</x:v>
      </x:c>
      <x:c r="S938" s="55" t="n">
        <x:v>2689</x:v>
      </x:c>
      <x:c r="T938" s="55" t="n">
        <x:v>1354</x:v>
      </x:c>
      <x:c r="U938" s="55" t="n">
        <x:v>1962</x:v>
      </x:c>
      <x:c r="V938" s="55" t="n">
        <x:v>9937</x:v>
      </x:c>
      <x:c r="W938" s="55" t="n">
        <x:v>6655</x:v>
      </x:c>
      <x:c r="X938" s="55" t="n">
        <x:v>3282</x:v>
      </x:c>
      <x:c r="Y938" s="55" t="n">
        <x:v>2556</x:v>
      </x:c>
      <x:c r="Z938" s="55" t="n">
        <x:v>3948</x:v>
      </x:c>
      <x:c r="AA938" s="55" t="n">
        <x:v>2779</x:v>
      </x:c>
      <x:c r="AB938" s="55" t="n">
        <x:v>1271</x:v>
      </x:c>
      <x:c r="AC938" s="55" t="n">
        <x:v>8019</x:v>
      </x:c>
      <x:c r="AD938" s="55" t="n">
        <x:v>3171</x:v>
      </x:c>
      <x:c r="AE938" s="55" t="n">
        <x:v>10151</x:v>
      </x:c>
      <x:c r="AF938" s="55" t="n">
        <x:v>9937</x:v>
      </x:c>
      <x:c r="AG938" s="55" t="n">
        <x:v>214</x:v>
      </x:c>
      <x:c r="AH938" s="55" t="n">
        <x:v>514</x:v>
      </x:c>
      <x:c r="AI938" s="55" t="n">
        <x:v>9423</x:v>
      </x:c>
      <x:c r="AJ938" s="55" t="n">
        <x:v>565</x:v>
      </x:c>
      <x:c r="AK938" s="55" t="n">
        <x:v>891</x:v>
      </x:c>
      <x:c r="AL938" s="55" t="n">
        <x:v>2382</x:v>
      </x:c>
      <x:c r="AM938" s="55" t="n">
        <x:v>4143</x:v>
      </x:c>
      <x:c r="AN938" s="55" t="n">
        <x:v>1956</x:v>
      </x:c>
      <x:c r="AO938" s="55" t="n">
        <x:v>0</x:v>
      </x:c>
      <x:c r="AP938" s="55" t="n">
        <x:v>1998</x:v>
      </x:c>
      <x:c r="AQ938" s="55" t="n">
        <x:v>973</x:v>
      </x:c>
    </x:row>
    <x:row r="939">
      <x:c r="A939" s="54" t="str">
        <x:v>T0_TABLE_BLOCK</x:v>
      </x:c>
      <x:c r="B939" s="54" t="n">
        <x:v>933</x:v>
      </x:c>
      <x:c r="C939" s="54" t="str">
        <x:v>NYC-V2-R01</x:v>
      </x:c>
      <x:c r="D939" s="54" t="str">
        <x:v>V2</x:v>
      </x:c>
      <x:c r="E939" s="54" t="str">
        <x:v>ADMITTED</x:v>
      </x:c>
      <x:c r="F939" s="55" t="n">
        <x:v>30844</x:v>
      </x:c>
      <x:c r="G939" s="55" t="n">
        <x:v>6991</x:v>
      </x:c>
      <x:c r="H939" s="55" t="n">
        <x:v>3417</x:v>
      </x:c>
      <x:c r="I939" s="55" t="n">
        <x:v>1078</x:v>
      </x:c>
      <x:c r="J939" s="55" t="n">
        <x:v>121</x:v>
      </x:c>
      <x:c r="K939" s="55" t="n">
        <x:v>29970</x:v>
      </x:c>
      <x:c r="L939" s="55" t="n">
        <x:v>5876</x:v>
      </x:c>
      <x:c r="M939" s="55" t="n">
        <x:v>600</x:v>
      </x:c>
      <x:c r="N939" s="55" t="n">
        <x:v>3020</x:v>
      </x:c>
      <x:c r="O939" s="55" t="n">
        <x:v>2256</x:v>
      </x:c>
      <x:c r="P939" s="55" t="n">
        <x:v>904</x:v>
      </x:c>
      <x:c r="Q939" s="55" t="n">
        <x:v>1948</x:v>
      </x:c>
      <x:c r="R939" s="55" t="n">
        <x:v>2058</x:v>
      </x:c>
      <x:c r="S939" s="55" t="n">
        <x:v>2730</x:v>
      </x:c>
      <x:c r="T939" s="55" t="n">
        <x:v>1421</x:v>
      </x:c>
      <x:c r="U939" s="55" t="n">
        <x:v>2076</x:v>
      </x:c>
      <x:c r="V939" s="55" t="n">
        <x:v>10117</x:v>
      </x:c>
      <x:c r="W939" s="55" t="n">
        <x:v>6893</x:v>
      </x:c>
      <x:c r="X939" s="55" t="n">
        <x:v>3224</x:v>
      </x:c>
      <x:c r="Y939" s="55" t="n">
        <x:v>2832</x:v>
      </x:c>
      <x:c r="Z939" s="55" t="n">
        <x:v>3339</x:v>
      </x:c>
      <x:c r="AA939" s="55" t="n">
        <x:v>3168</x:v>
      </x:c>
      <x:c r="AB939" s="55" t="n">
        <x:v>1079</x:v>
      </x:c>
      <x:c r="AC939" s="55" t="n">
        <x:v>7564</x:v>
      </x:c>
      <x:c r="AD939" s="55" t="n">
        <x:v>2674</x:v>
      </x:c>
      <x:c r="AE939" s="55" t="n">
        <x:v>10174</x:v>
      </x:c>
      <x:c r="AF939" s="55" t="n">
        <x:v>10117</x:v>
      </x:c>
      <x:c r="AG939" s="55" t="n">
        <x:v>57</x:v>
      </x:c>
      <x:c r="AH939" s="55" t="n">
        <x:v>358</x:v>
      </x:c>
      <x:c r="AI939" s="55" t="n">
        <x:v>9759</x:v>
      </x:c>
      <x:c r="AJ939" s="55" t="n">
        <x:v>322</x:v>
      </x:c>
      <x:c r="AK939" s="55" t="n">
        <x:v>899</x:v>
      </x:c>
      <x:c r="AL939" s="55" t="n">
        <x:v>1586</x:v>
      </x:c>
      <x:c r="AM939" s="55" t="n">
        <x:v>4692</x:v>
      </x:c>
      <x:c r="AN939" s="55" t="n">
        <x:v>2506</x:v>
      </x:c>
      <x:c r="AO939" s="55" t="n">
        <x:v>112</x:v>
      </x:c>
      <x:c r="AP939" s="55" t="n">
        <x:v>1761</x:v>
      </x:c>
      <x:c r="AQ939" s="55" t="n">
        <x:v>943</x:v>
      </x:c>
    </x:row>
    <x:row r="940">
      <x:c r="A940" s="54" t="str">
        <x:v>T0_TABLE_BLOCK</x:v>
      </x:c>
      <x:c r="B940" s="54" t="n">
        <x:v>934</x:v>
      </x:c>
      <x:c r="C940" s="54" t="str">
        <x:v>NYC-V2-R01</x:v>
      </x:c>
      <x:c r="D940" s="54" t="str">
        <x:v>V2</x:v>
      </x:c>
      <x:c r="E940" s="54" t="str">
        <x:v>ADMITTED</x:v>
      </x:c>
      <x:c r="F940" s="55" t="n">
        <x:v>32662</x:v>
      </x:c>
      <x:c r="G940" s="55" t="n">
        <x:v>7887</x:v>
      </x:c>
      <x:c r="H940" s="55" t="n">
        <x:v>3513</x:v>
      </x:c>
      <x:c r="I940" s="55" t="n">
        <x:v>1502</x:v>
      </x:c>
      <x:c r="J940" s="55" t="n">
        <x:v>233</x:v>
      </x:c>
      <x:c r="K940" s="55" t="n">
        <x:v>31414</x:v>
      </x:c>
      <x:c r="L940" s="55" t="n">
        <x:v>5097</x:v>
      </x:c>
      <x:c r="M940" s="55" t="n">
        <x:v>1175</x:v>
      </x:c>
      <x:c r="N940" s="55" t="n">
        <x:v>2057</x:v>
      </x:c>
      <x:c r="O940" s="55" t="n">
        <x:v>1865</x:v>
      </x:c>
      <x:c r="P940" s="55" t="n">
        <x:v>864</x:v>
      </x:c>
      <x:c r="Q940" s="55" t="n">
        <x:v>3254</x:v>
      </x:c>
      <x:c r="R940" s="55" t="n">
        <x:v>2317</x:v>
      </x:c>
      <x:c r="S940" s="55" t="n">
        <x:v>2927</x:v>
      </x:c>
      <x:c r="T940" s="55" t="n">
        <x:v>1554</x:v>
      </x:c>
      <x:c r="U940" s="55" t="n">
        <x:v>2193</x:v>
      </x:c>
      <x:c r="V940" s="55" t="n">
        <x:v>10523</x:v>
      </x:c>
      <x:c r="W940" s="55" t="n">
        <x:v>7609</x:v>
      </x:c>
      <x:c r="X940" s="55" t="n">
        <x:v>2914</x:v>
      </x:c>
      <x:c r="Y940" s="55" t="n">
        <x:v>2772</x:v>
      </x:c>
      <x:c r="Z940" s="55" t="n">
        <x:v>3761</x:v>
      </x:c>
      <x:c r="AA940" s="55" t="n">
        <x:v>3513</x:v>
      </x:c>
      <x:c r="AB940" s="55" t="n">
        <x:v>1006</x:v>
      </x:c>
      <x:c r="AC940" s="55" t="n">
        <x:v>7984</x:v>
      </x:c>
      <x:c r="AD940" s="55" t="n">
        <x:v>3280</x:v>
      </x:c>
      <x:c r="AE940" s="55" t="n">
        <x:v>10696</x:v>
      </x:c>
      <x:c r="AF940" s="55" t="n">
        <x:v>10523</x:v>
      </x:c>
      <x:c r="AG940" s="55" t="n">
        <x:v>173</x:v>
      </x:c>
      <x:c r="AH940" s="55" t="n">
        <x:v>311</x:v>
      </x:c>
      <x:c r="AI940" s="55" t="n">
        <x:v>10212</x:v>
      </x:c>
      <x:c r="AJ940" s="55" t="n">
        <x:v>390</x:v>
      </x:c>
      <x:c r="AK940" s="55" t="n">
        <x:v>955</x:v>
      </x:c>
      <x:c r="AL940" s="55" t="n">
        <x:v>1527</x:v>
      </x:c>
      <x:c r="AM940" s="55" t="n">
        <x:v>4724</x:v>
      </x:c>
      <x:c r="AN940" s="55" t="n">
        <x:v>2927</x:v>
      </x:c>
      <x:c r="AO940" s="55" t="n">
        <x:v>0</x:v>
      </x:c>
      <x:c r="AP940" s="55" t="n">
        <x:v>2019</x:v>
      </x:c>
      <x:c r="AQ940" s="55" t="n">
        <x:v>910</x:v>
      </x:c>
    </x:row>
    <x:row r="941">
      <x:c r="A941" s="54" t="str">
        <x:v>T0_TABLE_BLOCK</x:v>
      </x:c>
      <x:c r="B941" s="54" t="n">
        <x:v>935</x:v>
      </x:c>
      <x:c r="C941" s="54" t="str">
        <x:v>NYC-V2-R01</x:v>
      </x:c>
      <x:c r="D941" s="54" t="str">
        <x:v>V2</x:v>
      </x:c>
      <x:c r="E941" s="54" t="str">
        <x:v>ADMITTED</x:v>
      </x:c>
      <x:c r="F941" s="55" t="n">
        <x:v>30264</x:v>
      </x:c>
      <x:c r="G941" s="55" t="n">
        <x:v>7443</x:v>
      </x:c>
      <x:c r="H941" s="55" t="n">
        <x:v>2942</x:v>
      </x:c>
      <x:c r="I941" s="55" t="n">
        <x:v>893</x:v>
      </x:c>
      <x:c r="J941" s="55" t="n">
        <x:v>249</x:v>
      </x:c>
      <x:c r="K941" s="55" t="n">
        <x:v>30264</x:v>
      </x:c>
      <x:c r="L941" s="55" t="n">
        <x:v>5554</x:v>
      </x:c>
      <x:c r="M941" s="55" t="n">
        <x:v>630</x:v>
      </x:c>
      <x:c r="N941" s="55" t="n">
        <x:v>3369</x:v>
      </x:c>
      <x:c r="O941" s="55" t="n">
        <x:v>1555</x:v>
      </x:c>
      <x:c r="P941" s="55" t="n">
        <x:v>1165</x:v>
      </x:c>
      <x:c r="Q941" s="55" t="n">
        <x:v>1822</x:v>
      </x:c>
      <x:c r="R941" s="55" t="n">
        <x:v>2140</x:v>
      </x:c>
      <x:c r="S941" s="55" t="n">
        <x:v>3299</x:v>
      </x:c>
      <x:c r="T941" s="55" t="n">
        <x:v>1080</x:v>
      </x:c>
      <x:c r="U941" s="55" t="n">
        <x:v>1633</x:v>
      </x:c>
      <x:c r="V941" s="55" t="n">
        <x:v>11116</x:v>
      </x:c>
      <x:c r="W941" s="55" t="n">
        <x:v>7969</x:v>
      </x:c>
      <x:c r="X941" s="55" t="n">
        <x:v>3147</x:v>
      </x:c>
      <x:c r="Y941" s="55" t="n">
        <x:v>2769</x:v>
      </x:c>
      <x:c r="Z941" s="55" t="n">
        <x:v>3911</x:v>
      </x:c>
      <x:c r="AA941" s="55" t="n">
        <x:v>2942</x:v>
      </x:c>
      <x:c r="AB941" s="55" t="n">
        <x:v>1060</x:v>
      </x:c>
      <x:c r="AC941" s="55" t="n">
        <x:v>8239</x:v>
      </x:c>
      <x:c r="AD941" s="55" t="n">
        <x:v>2654</x:v>
      </x:c>
      <x:c r="AE941" s="55" t="n">
        <x:v>11172</x:v>
      </x:c>
      <x:c r="AF941" s="55" t="n">
        <x:v>11116</x:v>
      </x:c>
      <x:c r="AG941" s="55" t="n">
        <x:v>56</x:v>
      </x:c>
      <x:c r="AH941" s="55" t="n">
        <x:v>566</x:v>
      </x:c>
      <x:c r="AI941" s="55" t="n">
        <x:v>10550</x:v>
      </x:c>
      <x:c r="AJ941" s="55" t="n">
        <x:v>582</x:v>
      </x:c>
      <x:c r="AK941" s="55" t="n">
        <x:v>918</x:v>
      </x:c>
      <x:c r="AL941" s="55" t="n">
        <x:v>1711</x:v>
      </x:c>
      <x:c r="AM941" s="55" t="n">
        <x:v>5228</x:v>
      </x:c>
      <x:c r="AN941" s="55" t="n">
        <x:v>2677</x:v>
      </x:c>
      <x:c r="AO941" s="55" t="n">
        <x:v>0</x:v>
      </x:c>
      <x:c r="AP941" s="55" t="n">
        <x:v>1571</x:v>
      </x:c>
      <x:c r="AQ941" s="55" t="n">
        <x:v>954</x:v>
      </x:c>
    </x:row>
    <x:row r="942">
      <x:c r="A942" s="54" t="str">
        <x:v>T0_TABLE_BLOCK</x:v>
      </x:c>
      <x:c r="B942" s="54" t="n">
        <x:v>936</x:v>
      </x:c>
      <x:c r="C942" s="54" t="str">
        <x:v>NYC-V2-R01</x:v>
      </x:c>
      <x:c r="D942" s="54" t="str">
        <x:v>V2</x:v>
      </x:c>
      <x:c r="E942" s="54" t="str">
        <x:v>ADMITTED</x:v>
      </x:c>
      <x:c r="F942" s="55" t="n">
        <x:v>30089</x:v>
      </x:c>
      <x:c r="G942" s="55" t="n">
        <x:v>7651</x:v>
      </x:c>
      <x:c r="H942" s="55" t="n">
        <x:v>3430</x:v>
      </x:c>
      <x:c r="I942" s="55" t="n">
        <x:v>1245</x:v>
      </x:c>
      <x:c r="J942" s="55" t="n">
        <x:v>289</x:v>
      </x:c>
      <x:c r="K942" s="55" t="n">
        <x:v>29515</x:v>
      </x:c>
      <x:c r="L942" s="55" t="n">
        <x:v>4621</x:v>
      </x:c>
      <x:c r="M942" s="55" t="n">
        <x:v>0</x:v>
      </x:c>
      <x:c r="N942" s="55" t="n">
        <x:v>2787</x:v>
      </x:c>
      <x:c r="O942" s="55" t="n">
        <x:v>1834</x:v>
      </x:c>
      <x:c r="P942" s="55" t="n">
        <x:v>1065</x:v>
      </x:c>
      <x:c r="Q942" s="55" t="n">
        <x:v>1886</x:v>
      </x:c>
      <x:c r="R942" s="55" t="n">
        <x:v>2109</x:v>
      </x:c>
      <x:c r="S942" s="55" t="n">
        <x:v>3185</x:v>
      </x:c>
      <x:c r="T942" s="55" t="n">
        <x:v>1261</x:v>
      </x:c>
      <x:c r="U942" s="55" t="n">
        <x:v>2307</x:v>
      </x:c>
      <x:c r="V942" s="55" t="n">
        <x:v>10141</x:v>
      </x:c>
      <x:c r="W942" s="55" t="n">
        <x:v>7454</x:v>
      </x:c>
      <x:c r="X942" s="55" t="n">
        <x:v>2687</x:v>
      </x:c>
      <x:c r="Y942" s="55" t="n">
        <x:v>2376</x:v>
      </x:c>
      <x:c r="Z942" s="55" t="n">
        <x:v>4229</x:v>
      </x:c>
      <x:c r="AA942" s="55" t="n">
        <x:v>2935</x:v>
      </x:c>
      <x:c r="AB942" s="55" t="n">
        <x:v>968</x:v>
      </x:c>
      <x:c r="AC942" s="55" t="n">
        <x:v>8381</x:v>
      </x:c>
      <x:c r="AD942" s="55" t="n">
        <x:v>2872</x:v>
      </x:c>
      <x:c r="AE942" s="55" t="n">
        <x:v>10303</x:v>
      </x:c>
      <x:c r="AF942" s="55" t="n">
        <x:v>10141</x:v>
      </x:c>
      <x:c r="AG942" s="55" t="n">
        <x:v>162</x:v>
      </x:c>
      <x:c r="AH942" s="55" t="n">
        <x:v>312</x:v>
      </x:c>
      <x:c r="AI942" s="55" t="n">
        <x:v>9829</x:v>
      </x:c>
      <x:c r="AJ942" s="55" t="n">
        <x:v>347</x:v>
      </x:c>
      <x:c r="AK942" s="55" t="n">
        <x:v>1054</x:v>
      </x:c>
      <x:c r="AL942" s="55" t="n">
        <x:v>1612</x:v>
      </x:c>
      <x:c r="AM942" s="55" t="n">
        <x:v>4307</x:v>
      </x:c>
      <x:c r="AN942" s="55" t="n">
        <x:v>2821</x:v>
      </x:c>
      <x:c r="AO942" s="55" t="n">
        <x:v>0</x:v>
      </x:c>
      <x:c r="AP942" s="55" t="n">
        <x:v>2465</x:v>
      </x:c>
      <x:c r="AQ942" s="55" t="n">
        <x:v>916</x:v>
      </x:c>
    </x:row>
    <x:row r="943">
      <x:c r="A943" s="54" t="str">
        <x:v>T0_TABLE_BLOCK</x:v>
      </x:c>
      <x:c r="B943" s="54" t="n">
        <x:v>937</x:v>
      </x:c>
      <x:c r="C943" s="54" t="str">
        <x:v>NYC-V2-R01</x:v>
      </x:c>
      <x:c r="D943" s="54" t="str">
        <x:v>V2</x:v>
      </x:c>
      <x:c r="E943" s="54" t="str">
        <x:v>ADMITTED</x:v>
      </x:c>
      <x:c r="F943" s="55" t="n">
        <x:v>31988</x:v>
      </x:c>
      <x:c r="G943" s="55" t="n">
        <x:v>8779</x:v>
      </x:c>
      <x:c r="H943" s="55" t="n">
        <x:v>3308</x:v>
      </x:c>
      <x:c r="I943" s="55" t="n">
        <x:v>951</x:v>
      </x:c>
      <x:c r="J943" s="55" t="n">
        <x:v>222</x:v>
      </x:c>
      <x:c r="K943" s="55" t="n">
        <x:v>28516</x:v>
      </x:c>
      <x:c r="L943" s="55" t="n">
        <x:v>4435</x:v>
      </x:c>
      <x:c r="M943" s="55" t="n">
        <x:v>0</x:v>
      </x:c>
      <x:c r="N943" s="55" t="n">
        <x:v>2490</x:v>
      </x:c>
      <x:c r="O943" s="55" t="n">
        <x:v>1945</x:v>
      </x:c>
      <x:c r="P943" s="55" t="n">
        <x:v>1167</x:v>
      </x:c>
      <x:c r="Q943" s="55" t="n">
        <x:v>2361</x:v>
      </x:c>
      <x:c r="R943" s="55" t="n">
        <x:v>2055</x:v>
      </x:c>
      <x:c r="S943" s="55" t="n">
        <x:v>3162</x:v>
      </x:c>
      <x:c r="T943" s="55" t="n">
        <x:v>1413</x:v>
      </x:c>
      <x:c r="U943" s="55" t="n">
        <x:v>1926</x:v>
      </x:c>
      <x:c r="V943" s="55" t="n">
        <x:v>11302</x:v>
      </x:c>
      <x:c r="W943" s="55" t="n">
        <x:v>7707</x:v>
      </x:c>
      <x:c r="X943" s="55" t="n">
        <x:v>3595</x:v>
      </x:c>
      <x:c r="Y943" s="55" t="n">
        <x:v>3134</x:v>
      </x:c>
      <x:c r="Z943" s="55" t="n">
        <x:v>3708</x:v>
      </x:c>
      <x:c r="AA943" s="55" t="n">
        <x:v>3105</x:v>
      </x:c>
      <x:c r="AB943" s="55" t="n">
        <x:v>1313</x:v>
      </x:c>
      <x:c r="AC943" s="55" t="n">
        <x:v>9006</x:v>
      </x:c>
      <x:c r="AD943" s="55" t="n">
        <x:v>2569</x:v>
      </x:c>
      <x:c r="AE943" s="55" t="n">
        <x:v>11354</x:v>
      </x:c>
      <x:c r="AF943" s="55" t="n">
        <x:v>11302</x:v>
      </x:c>
      <x:c r="AG943" s="55" t="n">
        <x:v>52</x:v>
      </x:c>
      <x:c r="AH943" s="55" t="n">
        <x:v>401</x:v>
      </x:c>
      <x:c r="AI943" s="55" t="n">
        <x:v>10901</x:v>
      </x:c>
      <x:c r="AJ943" s="55" t="n">
        <x:v>463</x:v>
      </x:c>
      <x:c r="AK943" s="55" t="n">
        <x:v>891</x:v>
      </x:c>
      <x:c r="AL943" s="55" t="n">
        <x:v>1544</x:v>
      </x:c>
      <x:c r="AM943" s="55" t="n">
        <x:v>4933</x:v>
      </x:c>
      <x:c r="AN943" s="55" t="n">
        <x:v>3464</x:v>
      </x:c>
      <x:c r="AO943" s="55" t="n">
        <x:v>7</x:v>
      </x:c>
      <x:c r="AP943" s="55" t="n">
        <x:v>2815</x:v>
      </x:c>
      <x:c r="AQ943" s="55" t="n">
        <x:v>981</x:v>
      </x:c>
    </x:row>
    <x:row r="944">
      <x:c r="A944" s="54" t="str">
        <x:v>T0_TABLE_BLOCK</x:v>
      </x:c>
      <x:c r="B944" s="54" t="n">
        <x:v>938</x:v>
      </x:c>
      <x:c r="C944" s="54" t="str">
        <x:v>NYC-V2-R01</x:v>
      </x:c>
      <x:c r="D944" s="54" t="str">
        <x:v>V2</x:v>
      </x:c>
      <x:c r="E944" s="54" t="str">
        <x:v>ADMITTED</x:v>
      </x:c>
      <x:c r="F944" s="55" t="n">
        <x:v>31852</x:v>
      </x:c>
      <x:c r="G944" s="55" t="n">
        <x:v>7900</x:v>
      </x:c>
      <x:c r="H944" s="55" t="n">
        <x:v>3705</x:v>
      </x:c>
      <x:c r="I944" s="55" t="n">
        <x:v>1404</x:v>
      </x:c>
      <x:c r="J944" s="55" t="n">
        <x:v>170</x:v>
      </x:c>
      <x:c r="K944" s="55" t="n">
        <x:v>31852</x:v>
      </x:c>
      <x:c r="L944" s="55" t="n">
        <x:v>6046</x:v>
      </x:c>
      <x:c r="M944" s="55" t="n">
        <x:v>1413</x:v>
      </x:c>
      <x:c r="N944" s="55" t="n">
        <x:v>2726</x:v>
      </x:c>
      <x:c r="O944" s="55" t="n">
        <x:v>1907</x:v>
      </x:c>
      <x:c r="P944" s="55" t="n">
        <x:v>980</x:v>
      </x:c>
      <x:c r="Q944" s="55" t="n">
        <x:v>3273</x:v>
      </x:c>
      <x:c r="R944" s="55" t="n">
        <x:v>1517</x:v>
      </x:c>
      <x:c r="S944" s="55" t="n">
        <x:v>3024</x:v>
      </x:c>
      <x:c r="T944" s="55" t="n">
        <x:v>1391</x:v>
      </x:c>
      <x:c r="U944" s="55" t="n">
        <x:v>1956</x:v>
      </x:c>
      <x:c r="V944" s="55" t="n">
        <x:v>10619</x:v>
      </x:c>
      <x:c r="W944" s="55" t="n">
        <x:v>7767</x:v>
      </x:c>
      <x:c r="X944" s="55" t="n">
        <x:v>2852</x:v>
      </x:c>
      <x:c r="Y944" s="55" t="n">
        <x:v>2501</x:v>
      </x:c>
      <x:c r="Z944" s="55" t="n">
        <x:v>3751</x:v>
      </x:c>
      <x:c r="AA944" s="55" t="n">
        <x:v>3705</x:v>
      </x:c>
      <x:c r="AB944" s="55" t="n">
        <x:v>1535</x:v>
      </x:c>
      <x:c r="AC944" s="55" t="n">
        <x:v>8029</x:v>
      </x:c>
      <x:c r="AD944" s="55" t="n">
        <x:v>2744</x:v>
      </x:c>
      <x:c r="AE944" s="55" t="n">
        <x:v>10670</x:v>
      </x:c>
      <x:c r="AF944" s="55" t="n">
        <x:v>10619</x:v>
      </x:c>
      <x:c r="AG944" s="55" t="n">
        <x:v>51</x:v>
      </x:c>
      <x:c r="AH944" s="55" t="n">
        <x:v>170</x:v>
      </x:c>
      <x:c r="AI944" s="55" t="n">
        <x:v>10449</x:v>
      </x:c>
      <x:c r="AJ944" s="55" t="n">
        <x:v>254</x:v>
      </x:c>
      <x:c r="AK944" s="55" t="n">
        <x:v>1095</x:v>
      </x:c>
      <x:c r="AL944" s="55" t="n">
        <x:v>1384</x:v>
      </x:c>
      <x:c r="AM944" s="55" t="n">
        <x:v>4966</x:v>
      </x:c>
      <x:c r="AN944" s="55" t="n">
        <x:v>2906</x:v>
      </x:c>
      <x:c r="AO944" s="55" t="n">
        <x:v>14</x:v>
      </x:c>
      <x:c r="AP944" s="55" t="n">
        <x:v>2726</x:v>
      </x:c>
      <x:c r="AQ944" s="55" t="n">
        <x:v>988</x:v>
      </x:c>
    </x:row>
    <x:row r="945">
      <x:c r="A945" s="54" t="str">
        <x:v>T0_TABLE_BLOCK</x:v>
      </x:c>
      <x:c r="B945" s="54" t="n">
        <x:v>939</x:v>
      </x:c>
      <x:c r="C945" s="54" t="str">
        <x:v>NYC-V2-R01</x:v>
      </x:c>
      <x:c r="D945" s="54" t="str">
        <x:v>V2</x:v>
      </x:c>
      <x:c r="E945" s="54" t="str">
        <x:v>ADMITTED</x:v>
      </x:c>
      <x:c r="F945" s="55" t="n">
        <x:v>32804</x:v>
      </x:c>
      <x:c r="G945" s="55" t="n">
        <x:v>9139</x:v>
      </x:c>
      <x:c r="H945" s="55" t="n">
        <x:v>3690</x:v>
      </x:c>
      <x:c r="I945" s="55" t="n">
        <x:v>1255</x:v>
      </x:c>
      <x:c r="J945" s="55" t="n">
        <x:v>313</x:v>
      </x:c>
      <x:c r="K945" s="55" t="n">
        <x:v>31968</x:v>
      </x:c>
      <x:c r="L945" s="55" t="n">
        <x:v>7129</x:v>
      </x:c>
      <x:c r="M945" s="55" t="n">
        <x:v>2069</x:v>
      </x:c>
      <x:c r="N945" s="55" t="n">
        <x:v>3157</x:v>
      </x:c>
      <x:c r="O945" s="55" t="n">
        <x:v>1903</x:v>
      </x:c>
      <x:c r="P945" s="55" t="n">
        <x:v>1045</x:v>
      </x:c>
      <x:c r="Q945" s="55" t="n">
        <x:v>2750</x:v>
      </x:c>
      <x:c r="R945" s="55" t="n">
        <x:v>1744</x:v>
      </x:c>
      <x:c r="S945" s="55" t="n">
        <x:v>2560</x:v>
      </x:c>
      <x:c r="T945" s="55" t="n">
        <x:v>1333</x:v>
      </x:c>
      <x:c r="U945" s="55" t="n">
        <x:v>1924</x:v>
      </x:c>
      <x:c r="V945" s="55" t="n">
        <x:v>9450</x:v>
      </x:c>
      <x:c r="W945" s="55" t="n">
        <x:v>5980</x:v>
      </x:c>
      <x:c r="X945" s="55" t="n">
        <x:v>3470</x:v>
      </x:c>
      <x:c r="Y945" s="55" t="n">
        <x:v>3049</x:v>
      </x:c>
      <x:c r="Z945" s="55" t="n">
        <x:v>3544</x:v>
      </x:c>
      <x:c r="AA945" s="55" t="n">
        <x:v>3690</x:v>
      </x:c>
      <x:c r="AB945" s="55" t="n">
        <x:v>1616</x:v>
      </x:c>
      <x:c r="AC945" s="55" t="n">
        <x:v>7897</x:v>
      </x:c>
      <x:c r="AD945" s="55" t="n">
        <x:v>2854</x:v>
      </x:c>
      <x:c r="AE945" s="55" t="n">
        <x:v>9544</x:v>
      </x:c>
      <x:c r="AF945" s="55" t="n">
        <x:v>9450</x:v>
      </x:c>
      <x:c r="AG945" s="55" t="n">
        <x:v>94</x:v>
      </x:c>
      <x:c r="AH945" s="55" t="n">
        <x:v>160</x:v>
      </x:c>
      <x:c r="AI945" s="55" t="n">
        <x:v>9290</x:v>
      </x:c>
      <x:c r="AJ945" s="55" t="n">
        <x:v>355</x:v>
      </x:c>
      <x:c r="AK945" s="55" t="n">
        <x:v>987</x:v>
      </x:c>
      <x:c r="AL945" s="55" t="n">
        <x:v>1488</x:v>
      </x:c>
      <x:c r="AM945" s="55" t="n">
        <x:v>4549</x:v>
      </x:c>
      <x:c r="AN945" s="55" t="n">
        <x:v>2052</x:v>
      </x:c>
      <x:c r="AO945" s="55" t="n">
        <x:v>19</x:v>
      </x:c>
      <x:c r="AP945" s="55" t="n">
        <x:v>2256</x:v>
      </x:c>
      <x:c r="AQ945" s="55" t="n">
        <x:v>948</x:v>
      </x:c>
    </x:row>
    <x:row r="946">
      <x:c r="A946" s="54" t="str">
        <x:v>T0_TABLE_BLOCK</x:v>
      </x:c>
      <x:c r="B946" s="54" t="n">
        <x:v>940</x:v>
      </x:c>
      <x:c r="C946" s="54" t="str">
        <x:v>NYC-V2-R01</x:v>
      </x:c>
      <x:c r="D946" s="54" t="str">
        <x:v>V2</x:v>
      </x:c>
      <x:c r="E946" s="54" t="str">
        <x:v>ADMITTED</x:v>
      </x:c>
      <x:c r="F946" s="55" t="n">
        <x:v>31844</x:v>
      </x:c>
      <x:c r="G946" s="55" t="n">
        <x:v>7390</x:v>
      </x:c>
      <x:c r="H946" s="55" t="n">
        <x:v>3173</x:v>
      </x:c>
      <x:c r="I946" s="55" t="n">
        <x:v>1304</x:v>
      </x:c>
      <x:c r="J946" s="55" t="n">
        <x:v>364</x:v>
      </x:c>
      <x:c r="K946" s="55" t="n">
        <x:v>30125</x:v>
      </x:c>
      <x:c r="L946" s="55" t="n">
        <x:v>5452</x:v>
      </x:c>
      <x:c r="M946" s="55" t="n">
        <x:v>1352</x:v>
      </x:c>
      <x:c r="N946" s="55" t="n">
        <x:v>2323</x:v>
      </x:c>
      <x:c r="O946" s="55" t="n">
        <x:v>1777</x:v>
      </x:c>
      <x:c r="P946" s="55" t="n">
        <x:v>627</x:v>
      </x:c>
      <x:c r="Q946" s="55" t="n">
        <x:v>2005</x:v>
      </x:c>
      <x:c r="R946" s="55" t="n">
        <x:v>2036</x:v>
      </x:c>
      <x:c r="S946" s="55" t="n">
        <x:v>2536</x:v>
      </x:c>
      <x:c r="T946" s="55" t="n">
        <x:v>1273</x:v>
      </x:c>
      <x:c r="U946" s="55" t="n">
        <x:v>1603</x:v>
      </x:c>
      <x:c r="V946" s="55" t="n">
        <x:v>10482</x:v>
      </x:c>
      <x:c r="W946" s="55" t="n">
        <x:v>6792</x:v>
      </x:c>
      <x:c r="X946" s="55" t="n">
        <x:v>3690</x:v>
      </x:c>
      <x:c r="Y946" s="55" t="n">
        <x:v>3233</x:v>
      </x:c>
      <x:c r="Z946" s="55" t="n">
        <x:v>3382</x:v>
      </x:c>
      <x:c r="AA946" s="55" t="n">
        <x:v>3045</x:v>
      </x:c>
      <x:c r="AB946" s="55" t="n">
        <x:v>1258</x:v>
      </x:c>
      <x:c r="AC946" s="55" t="n">
        <x:v>8035</x:v>
      </x:c>
      <x:c r="AD946" s="55" t="n">
        <x:v>2819</x:v>
      </x:c>
      <x:c r="AE946" s="55" t="n">
        <x:v>10639</x:v>
      </x:c>
      <x:c r="AF946" s="55" t="n">
        <x:v>10482</x:v>
      </x:c>
      <x:c r="AG946" s="55" t="n">
        <x:v>157</x:v>
      </x:c>
      <x:c r="AH946" s="55" t="n">
        <x:v>422</x:v>
      </x:c>
      <x:c r="AI946" s="55" t="n">
        <x:v>10060</x:v>
      </x:c>
      <x:c r="AJ946" s="55" t="n">
        <x:v>366</x:v>
      </x:c>
      <x:c r="AK946" s="55" t="n">
        <x:v>889</x:v>
      </x:c>
      <x:c r="AL946" s="55" t="n">
        <x:v>1781</x:v>
      </x:c>
      <x:c r="AM946" s="55" t="n">
        <x:v>4551</x:v>
      </x:c>
      <x:c r="AN946" s="55" t="n">
        <x:v>2895</x:v>
      </x:c>
      <x:c r="AO946" s="55" t="n">
        <x:v>0</x:v>
      </x:c>
      <x:c r="AP946" s="55" t="n">
        <x:v>2759</x:v>
      </x:c>
      <x:c r="AQ946" s="55" t="n">
        <x:v>918</x:v>
      </x:c>
    </x:row>
    <x:row r="947">
      <x:c r="A947" s="54" t="str">
        <x:v>T0_TABLE_BLOCK</x:v>
      </x:c>
      <x:c r="B947" s="54" t="n">
        <x:v>941</x:v>
      </x:c>
      <x:c r="C947" s="54" t="str">
        <x:v>NYC-V2-R01</x:v>
      </x:c>
      <x:c r="D947" s="54" t="str">
        <x:v>V2</x:v>
      </x:c>
      <x:c r="E947" s="54" t="str">
        <x:v>ADMITTED</x:v>
      </x:c>
      <x:c r="F947" s="55" t="n">
        <x:v>33836</x:v>
      </x:c>
      <x:c r="G947" s="55" t="n">
        <x:v>8055</x:v>
      </x:c>
      <x:c r="H947" s="55" t="n">
        <x:v>3211</x:v>
      </x:c>
      <x:c r="I947" s="55" t="n">
        <x:v>1017</x:v>
      </x:c>
      <x:c r="J947" s="55" t="n">
        <x:v>227</x:v>
      </x:c>
      <x:c r="K947" s="55" t="n">
        <x:v>33836</x:v>
      </x:c>
      <x:c r="L947" s="55" t="n">
        <x:v>7020</x:v>
      </x:c>
      <x:c r="M947" s="55" t="n">
        <x:v>2234</x:v>
      </x:c>
      <x:c r="N947" s="55" t="n">
        <x:v>3059</x:v>
      </x:c>
      <x:c r="O947" s="55" t="n">
        <x:v>1727</x:v>
      </x:c>
      <x:c r="P947" s="55" t="n">
        <x:v>941</x:v>
      </x:c>
      <x:c r="Q947" s="55" t="n">
        <x:v>2514</x:v>
      </x:c>
      <x:c r="R947" s="55" t="n">
        <x:v>1560</x:v>
      </x:c>
      <x:c r="S947" s="55" t="n">
        <x:v>2769</x:v>
      </x:c>
      <x:c r="T947" s="55" t="n">
        <x:v>1173</x:v>
      </x:c>
      <x:c r="U947" s="55" t="n">
        <x:v>2184</x:v>
      </x:c>
      <x:c r="V947" s="55" t="n">
        <x:v>10225</x:v>
      </x:c>
      <x:c r="W947" s="55" t="n">
        <x:v>7317</x:v>
      </x:c>
      <x:c r="X947" s="55" t="n">
        <x:v>2908</x:v>
      </x:c>
      <x:c r="Y947" s="55" t="n">
        <x:v>2499</x:v>
      </x:c>
      <x:c r="Z947" s="55" t="n">
        <x:v>3653</x:v>
      </x:c>
      <x:c r="AA947" s="55" t="n">
        <x:v>3211</x:v>
      </x:c>
      <x:c r="AB947" s="55" t="n">
        <x:v>1374</x:v>
      </x:c>
      <x:c r="AC947" s="55" t="n">
        <x:v>7855</x:v>
      </x:c>
      <x:c r="AD947" s="55" t="n">
        <x:v>3006</x:v>
      </x:c>
      <x:c r="AE947" s="55" t="n">
        <x:v>10322</x:v>
      </x:c>
      <x:c r="AF947" s="55" t="n">
        <x:v>10225</x:v>
      </x:c>
      <x:c r="AG947" s="55" t="n">
        <x:v>97</x:v>
      </x:c>
      <x:c r="AH947" s="55" t="n">
        <x:v>358</x:v>
      </x:c>
      <x:c r="AI947" s="55" t="n">
        <x:v>9867</x:v>
      </x:c>
      <x:c r="AJ947" s="55" t="n">
        <x:v>349</x:v>
      </x:c>
      <x:c r="AK947" s="55" t="n">
        <x:v>968</x:v>
      </x:c>
      <x:c r="AL947" s="55" t="n">
        <x:v>1492</x:v>
      </x:c>
      <x:c r="AM947" s="55" t="n">
        <x:v>4664</x:v>
      </x:c>
      <x:c r="AN947" s="55" t="n">
        <x:v>2752</x:v>
      </x:c>
      <x:c r="AO947" s="55" t="n">
        <x:v>0</x:v>
      </x:c>
      <x:c r="AP947" s="55" t="n">
        <x:v>2228</x:v>
      </x:c>
      <x:c r="AQ947" s="55" t="n">
        <x:v>964</x:v>
      </x:c>
    </x:row>
    <x:row r="948">
      <x:c r="A948" s="54" t="str">
        <x:v>T0_TABLE_BLOCK</x:v>
      </x:c>
      <x:c r="B948" s="54" t="n">
        <x:v>942</x:v>
      </x:c>
      <x:c r="C948" s="54" t="str">
        <x:v>NYC-V2-R01</x:v>
      </x:c>
      <x:c r="D948" s="54" t="str">
        <x:v>V2</x:v>
      </x:c>
      <x:c r="E948" s="54" t="str">
        <x:v>ADMITTED</x:v>
      </x:c>
      <x:c r="F948" s="55" t="n">
        <x:v>32955</x:v>
      </x:c>
      <x:c r="G948" s="55" t="n">
        <x:v>6167</x:v>
      </x:c>
      <x:c r="H948" s="55" t="n">
        <x:v>3662</x:v>
      </x:c>
      <x:c r="I948" s="55" t="n">
        <x:v>1914</x:v>
      </x:c>
      <x:c r="J948" s="55" t="n">
        <x:v>323</x:v>
      </x:c>
      <x:c r="K948" s="55" t="n">
        <x:v>32955</x:v>
      </x:c>
      <x:c r="L948" s="55" t="n">
        <x:v>7500</x:v>
      </x:c>
      <x:c r="M948" s="55" t="n">
        <x:v>2525</x:v>
      </x:c>
      <x:c r="N948" s="55" t="n">
        <x:v>3050</x:v>
      </x:c>
      <x:c r="O948" s="55" t="n">
        <x:v>1925</x:v>
      </x:c>
      <x:c r="P948" s="55" t="n">
        <x:v>737</x:v>
      </x:c>
      <x:c r="Q948" s="55" t="n">
        <x:v>1836</x:v>
      </x:c>
      <x:c r="R948" s="55" t="n">
        <x:v>2033</x:v>
      </x:c>
      <x:c r="S948" s="55" t="n">
        <x:v>2824</x:v>
      </x:c>
      <x:c r="T948" s="55" t="n">
        <x:v>1438</x:v>
      </x:c>
      <x:c r="U948" s="55" t="n">
        <x:v>2012</x:v>
      </x:c>
      <x:c r="V948" s="55" t="n">
        <x:v>11245</x:v>
      </x:c>
      <x:c r="W948" s="55" t="n">
        <x:v>8302</x:v>
      </x:c>
      <x:c r="X948" s="55" t="n">
        <x:v>2943</x:v>
      </x:c>
      <x:c r="Y948" s="55" t="n">
        <x:v>2545</x:v>
      </x:c>
      <x:c r="Z948" s="55" t="n">
        <x:v>3953</x:v>
      </x:c>
      <x:c r="AA948" s="55" t="n">
        <x:v>2644</x:v>
      </x:c>
      <x:c r="AB948" s="55" t="n">
        <x:v>1147</x:v>
      </x:c>
      <x:c r="AC948" s="55" t="n">
        <x:v>8365</x:v>
      </x:c>
      <x:c r="AD948" s="55" t="n">
        <x:v>2907</x:v>
      </x:c>
      <x:c r="AE948" s="55" t="n">
        <x:v>11361</x:v>
      </x:c>
      <x:c r="AF948" s="55" t="n">
        <x:v>11245</x:v>
      </x:c>
      <x:c r="AG948" s="55" t="n">
        <x:v>116</x:v>
      </x:c>
      <x:c r="AH948" s="55" t="n">
        <x:v>651</x:v>
      </x:c>
      <x:c r="AI948" s="55" t="n">
        <x:v>10594</x:v>
      </x:c>
      <x:c r="AJ948" s="55" t="n">
        <x:v>184</x:v>
      </x:c>
      <x:c r="AK948" s="55" t="n">
        <x:v>870</x:v>
      </x:c>
      <x:c r="AL948" s="55" t="n">
        <x:v>2086</x:v>
      </x:c>
      <x:c r="AM948" s="55" t="n">
        <x:v>4820</x:v>
      </x:c>
      <x:c r="AN948" s="55" t="n">
        <x:v>3285</x:v>
      </x:c>
      <x:c r="AO948" s="55" t="n">
        <x:v>0</x:v>
      </x:c>
      <x:c r="AP948" s="55" t="n">
        <x:v>2639</x:v>
      </x:c>
      <x:c r="AQ948" s="55" t="n">
        <x:v>916</x:v>
      </x:c>
    </x:row>
    <x:row r="949">
      <x:c r="A949" s="54" t="str">
        <x:v>T0_TABLE_BLOCK</x:v>
      </x:c>
      <x:c r="B949" s="54" t="n">
        <x:v>943</x:v>
      </x:c>
      <x:c r="C949" s="54" t="str">
        <x:v>NYC-V2-R01</x:v>
      </x:c>
      <x:c r="D949" s="54" t="str">
        <x:v>V2</x:v>
      </x:c>
      <x:c r="E949" s="54" t="str">
        <x:v>ADMITTED</x:v>
      </x:c>
      <x:c r="F949" s="55" t="n">
        <x:v>33181</x:v>
      </x:c>
      <x:c r="G949" s="55" t="n">
        <x:v>7046</x:v>
      </x:c>
      <x:c r="H949" s="55" t="n">
        <x:v>3313</x:v>
      </x:c>
      <x:c r="I949" s="55" t="n">
        <x:v>1322</x:v>
      </x:c>
      <x:c r="J949" s="55" t="n">
        <x:v>267</x:v>
      </x:c>
      <x:c r="K949" s="55" t="n">
        <x:v>33181</x:v>
      </x:c>
      <x:c r="L949" s="55" t="n">
        <x:v>5808</x:v>
      </x:c>
      <x:c r="M949" s="55" t="n">
        <x:v>1258</x:v>
      </x:c>
      <x:c r="N949" s="55" t="n">
        <x:v>2874</x:v>
      </x:c>
      <x:c r="O949" s="55" t="n">
        <x:v>1676</x:v>
      </x:c>
      <x:c r="P949" s="55" t="n">
        <x:v>1019</x:v>
      </x:c>
      <x:c r="Q949" s="55" t="n">
        <x:v>3612</x:v>
      </x:c>
      <x:c r="R949" s="55" t="n">
        <x:v>1429</x:v>
      </x:c>
      <x:c r="S949" s="55" t="n">
        <x:v>3361</x:v>
      </x:c>
      <x:c r="T949" s="55" t="n">
        <x:v>872</x:v>
      </x:c>
      <x:c r="U949" s="55" t="n">
        <x:v>2407</x:v>
      </x:c>
      <x:c r="V949" s="55" t="n">
        <x:v>10235</x:v>
      </x:c>
      <x:c r="W949" s="55" t="n">
        <x:v>7101</x:v>
      </x:c>
      <x:c r="X949" s="55" t="n">
        <x:v>3134</x:v>
      </x:c>
      <x:c r="Y949" s="55" t="n">
        <x:v>2694</x:v>
      </x:c>
      <x:c r="Z949" s="55" t="n">
        <x:v>3576</x:v>
      </x:c>
      <x:c r="AA949" s="55" t="n">
        <x:v>2604</x:v>
      </x:c>
      <x:c r="AB949" s="55" t="n">
        <x:v>1273</x:v>
      </x:c>
      <x:c r="AC949" s="55" t="n">
        <x:v>8106</x:v>
      </x:c>
      <x:c r="AD949" s="55" t="n">
        <x:v>2981</x:v>
      </x:c>
      <x:c r="AE949" s="55" t="n">
        <x:v>10354</x:v>
      </x:c>
      <x:c r="AF949" s="55" t="n">
        <x:v>10235</x:v>
      </x:c>
      <x:c r="AG949" s="55" t="n">
        <x:v>119</x:v>
      </x:c>
      <x:c r="AH949" s="55" t="n">
        <x:v>361</x:v>
      </x:c>
      <x:c r="AI949" s="55" t="n">
        <x:v>9874</x:v>
      </x:c>
      <x:c r="AJ949" s="55" t="n">
        <x:v>282</x:v>
      </x:c>
      <x:c r="AK949" s="55" t="n">
        <x:v>1219</x:v>
      </x:c>
      <x:c r="AL949" s="55" t="n">
        <x:v>1263</x:v>
      </x:c>
      <x:c r="AM949" s="55" t="n">
        <x:v>4876</x:v>
      </x:c>
      <x:c r="AN949" s="55" t="n">
        <x:v>2569</x:v>
      </x:c>
      <x:c r="AO949" s="55" t="n">
        <x:v>26</x:v>
      </x:c>
      <x:c r="AP949" s="55" t="n">
        <x:v>2023</x:v>
      </x:c>
      <x:c r="AQ949" s="55" t="n">
        <x:v>967</x:v>
      </x:c>
    </x:row>
    <x:row r="950">
      <x:c r="A950" s="54" t="str">
        <x:v>T0_TABLE_BLOCK</x:v>
      </x:c>
      <x:c r="B950" s="54" t="n">
        <x:v>944</x:v>
      </x:c>
      <x:c r="C950" s="54" t="str">
        <x:v>NYC-V2-R01</x:v>
      </x:c>
      <x:c r="D950" s="54" t="str">
        <x:v>V2</x:v>
      </x:c>
      <x:c r="E950" s="54" t="str">
        <x:v>ADMITTED</x:v>
      </x:c>
      <x:c r="F950" s="55" t="n">
        <x:v>29903</x:v>
      </x:c>
      <x:c r="G950" s="55" t="n">
        <x:v>6911</x:v>
      </x:c>
      <x:c r="H950" s="55" t="n">
        <x:v>2960</x:v>
      </x:c>
      <x:c r="I950" s="55" t="n">
        <x:v>1292</x:v>
      </x:c>
      <x:c r="J950" s="55" t="n">
        <x:v>8</x:v>
      </x:c>
      <x:c r="K950" s="55" t="n">
        <x:v>29903</x:v>
      </x:c>
      <x:c r="L950" s="55" t="n">
        <x:v>6068</x:v>
      </x:c>
      <x:c r="M950" s="55" t="n">
        <x:v>1906</x:v>
      </x:c>
      <x:c r="N950" s="55" t="n">
        <x:v>2220</x:v>
      </x:c>
      <x:c r="O950" s="55" t="n">
        <x:v>1942</x:v>
      </x:c>
      <x:c r="P950" s="55" t="n">
        <x:v>848</x:v>
      </x:c>
      <x:c r="Q950" s="55" t="n">
        <x:v>2441</x:v>
      </x:c>
      <x:c r="R950" s="55" t="n">
        <x:v>1863</x:v>
      </x:c>
      <x:c r="S950" s="55" t="n">
        <x:v>2695</x:v>
      </x:c>
      <x:c r="T950" s="55" t="n">
        <x:v>1363</x:v>
      </x:c>
      <x:c r="U950" s="55" t="n">
        <x:v>1789</x:v>
      </x:c>
      <x:c r="V950" s="55" t="n">
        <x:v>10622</x:v>
      </x:c>
      <x:c r="W950" s="55" t="n">
        <x:v>7402</x:v>
      </x:c>
      <x:c r="X950" s="55" t="n">
        <x:v>3220</x:v>
      </x:c>
      <x:c r="Y950" s="55" t="n">
        <x:v>2635</x:v>
      </x:c>
      <x:c r="Z950" s="55" t="n">
        <x:v>3637</x:v>
      </x:c>
      <x:c r="AA950" s="55" t="n">
        <x:v>2960</x:v>
      </x:c>
      <x:c r="AB950" s="55" t="n">
        <x:v>1074</x:v>
      </x:c>
      <x:c r="AC950" s="55" t="n">
        <x:v>7859</x:v>
      </x:c>
      <x:c r="AD950" s="55" t="n">
        <x:v>3344</x:v>
      </x:c>
      <x:c r="AE950" s="55" t="n">
        <x:v>10740</x:v>
      </x:c>
      <x:c r="AF950" s="55" t="n">
        <x:v>10622</x:v>
      </x:c>
      <x:c r="AG950" s="55" t="n">
        <x:v>118</x:v>
      </x:c>
      <x:c r="AH950" s="55" t="n">
        <x:v>417</x:v>
      </x:c>
      <x:c r="AI950" s="55" t="n">
        <x:v>10205</x:v>
      </x:c>
      <x:c r="AJ950" s="55" t="n">
        <x:v>291</x:v>
      </x:c>
      <x:c r="AK950" s="55" t="n">
        <x:v>1412</x:v>
      </x:c>
      <x:c r="AL950" s="55" t="n">
        <x:v>1458</x:v>
      </x:c>
      <x:c r="AM950" s="55" t="n">
        <x:v>5845</x:v>
      </x:c>
      <x:c r="AN950" s="55" t="n">
        <x:v>1616</x:v>
      </x:c>
      <x:c r="AO950" s="55" t="n">
        <x:v>0</x:v>
      </x:c>
      <x:c r="AP950" s="55" t="n">
        <x:v>2129</x:v>
      </x:c>
      <x:c r="AQ950" s="55" t="n">
        <x:v>980</x:v>
      </x:c>
    </x:row>
    <x:row r="951">
      <x:c r="A951" s="54" t="str">
        <x:v>T0_TABLE_BLOCK</x:v>
      </x:c>
      <x:c r="B951" s="54" t="n">
        <x:v>945</x:v>
      </x:c>
      <x:c r="C951" s="54" t="str">
        <x:v>NYC-V2-R01</x:v>
      </x:c>
      <x:c r="D951" s="54" t="str">
        <x:v>V2</x:v>
      </x:c>
      <x:c r="E951" s="54" t="str">
        <x:v>ADMITTED</x:v>
      </x:c>
      <x:c r="F951" s="55" t="n">
        <x:v>32201</x:v>
      </x:c>
      <x:c r="G951" s="55" t="n">
        <x:v>6854</x:v>
      </x:c>
      <x:c r="H951" s="55" t="n">
        <x:v>2940</x:v>
      </x:c>
      <x:c r="I951" s="55" t="n">
        <x:v>1137</x:v>
      </x:c>
      <x:c r="J951" s="55" t="n">
        <x:v>291</x:v>
      </x:c>
      <x:c r="K951" s="55" t="n">
        <x:v>32201</x:v>
      </x:c>
      <x:c r="L951" s="55" t="n">
        <x:v>5033</x:v>
      </x:c>
      <x:c r="M951" s="55" t="n">
        <x:v>1136</x:v>
      </x:c>
      <x:c r="N951" s="55" t="n">
        <x:v>2684</x:v>
      </x:c>
      <x:c r="O951" s="55" t="n">
        <x:v>1213</x:v>
      </x:c>
      <x:c r="P951" s="55" t="n">
        <x:v>970</x:v>
      </x:c>
      <x:c r="Q951" s="55" t="n">
        <x:v>2096</x:v>
      </x:c>
      <x:c r="R951" s="55" t="n">
        <x:v>1681</x:v>
      </x:c>
      <x:c r="S951" s="55" t="n">
        <x:v>2476</x:v>
      </x:c>
      <x:c r="T951" s="55" t="n">
        <x:v>1547</x:v>
      </x:c>
      <x:c r="U951" s="55" t="n">
        <x:v>2440</x:v>
      </x:c>
      <x:c r="V951" s="55" t="n">
        <x:v>9886</x:v>
      </x:c>
      <x:c r="W951" s="55" t="n">
        <x:v>7267</x:v>
      </x:c>
      <x:c r="X951" s="55" t="n">
        <x:v>2619</x:v>
      </x:c>
      <x:c r="Y951" s="55" t="n">
        <x:v>1926</x:v>
      </x:c>
      <x:c r="Z951" s="55" t="n">
        <x:v>3157</x:v>
      </x:c>
      <x:c r="AA951" s="55" t="n">
        <x:v>2398</x:v>
      </x:c>
      <x:c r="AB951" s="55" t="n">
        <x:v>835</x:v>
      </x:c>
      <x:c r="AC951" s="55" t="n">
        <x:v>8244</x:v>
      </x:c>
      <x:c r="AD951" s="55" t="n">
        <x:v>2643</x:v>
      </x:c>
      <x:c r="AE951" s="55" t="n">
        <x:v>10046</x:v>
      </x:c>
      <x:c r="AF951" s="55" t="n">
        <x:v>9886</x:v>
      </x:c>
      <x:c r="AG951" s="55" t="n">
        <x:v>160</x:v>
      </x:c>
      <x:c r="AH951" s="55" t="n">
        <x:v>390</x:v>
      </x:c>
      <x:c r="AI951" s="55" t="n">
        <x:v>9496</x:v>
      </x:c>
      <x:c r="AJ951" s="55" t="n">
        <x:v>159</x:v>
      </x:c>
      <x:c r="AK951" s="55" t="n">
        <x:v>1027</x:v>
      </x:c>
      <x:c r="AL951" s="55" t="n">
        <x:v>1809</x:v>
      </x:c>
      <x:c r="AM951" s="55" t="n">
        <x:v>4429</x:v>
      </x:c>
      <x:c r="AN951" s="55" t="n">
        <x:v>2404</x:v>
      </x:c>
      <x:c r="AO951" s="55" t="n">
        <x:v>58</x:v>
      </x:c>
      <x:c r="AP951" s="55" t="n">
        <x:v>1854</x:v>
      </x:c>
      <x:c r="AQ951" s="55" t="n">
        <x:v>922</x:v>
      </x:c>
    </x:row>
    <x:row r="952">
      <x:c r="A952" s="54" t="str">
        <x:v>T0_TABLE_BLOCK</x:v>
      </x:c>
      <x:c r="B952" s="54" t="n">
        <x:v>946</x:v>
      </x:c>
      <x:c r="C952" s="54" t="str">
        <x:v>NYC-V2-R01</x:v>
      </x:c>
      <x:c r="D952" s="54" t="str">
        <x:v>V2</x:v>
      </x:c>
      <x:c r="E952" s="54" t="str">
        <x:v>ADMITTED</x:v>
      </x:c>
      <x:c r="F952" s="55" t="n">
        <x:v>32523</x:v>
      </x:c>
      <x:c r="G952" s="55" t="n">
        <x:v>8087</x:v>
      </x:c>
      <x:c r="H952" s="55" t="n">
        <x:v>3653</x:v>
      </x:c>
      <x:c r="I952" s="55" t="n">
        <x:v>1033</x:v>
      </x:c>
      <x:c r="J952" s="55" t="n">
        <x:v>271</x:v>
      </x:c>
      <x:c r="K952" s="55" t="n">
        <x:v>32523</x:v>
      </x:c>
      <x:c r="L952" s="55" t="n">
        <x:v>6271</x:v>
      </x:c>
      <x:c r="M952" s="55" t="n">
        <x:v>1616</x:v>
      </x:c>
      <x:c r="N952" s="55" t="n">
        <x:v>2937</x:v>
      </x:c>
      <x:c r="O952" s="55" t="n">
        <x:v>1718</x:v>
      </x:c>
      <x:c r="P952" s="55" t="n">
        <x:v>1223</x:v>
      </x:c>
      <x:c r="Q952" s="55" t="n">
        <x:v>2192</x:v>
      </x:c>
      <x:c r="R952" s="55" t="n">
        <x:v>1644</x:v>
      </x:c>
      <x:c r="S952" s="55" t="n">
        <x:v>3086</x:v>
      </x:c>
      <x:c r="T952" s="55" t="n">
        <x:v>1399</x:v>
      </x:c>
      <x:c r="U952" s="55" t="n">
        <x:v>1897</x:v>
      </x:c>
      <x:c r="V952" s="55" t="n">
        <x:v>10679</x:v>
      </x:c>
      <x:c r="W952" s="55" t="n">
        <x:v>7758</x:v>
      </x:c>
      <x:c r="X952" s="55" t="n">
        <x:v>2921</x:v>
      </x:c>
      <x:c r="Y952" s="55" t="n">
        <x:v>2448</x:v>
      </x:c>
      <x:c r="Z952" s="55" t="n">
        <x:v>4017</x:v>
      </x:c>
      <x:c r="AA952" s="55" t="n">
        <x:v>3653</x:v>
      </x:c>
      <x:c r="AB952" s="55" t="n">
        <x:v>1213</x:v>
      </x:c>
      <x:c r="AC952" s="55" t="n">
        <x:v>8455</x:v>
      </x:c>
      <x:c r="AD952" s="55" t="n">
        <x:v>2791</x:v>
      </x:c>
      <x:c r="AE952" s="55" t="n">
        <x:v>10784</x:v>
      </x:c>
      <x:c r="AF952" s="55" t="n">
        <x:v>10679</x:v>
      </x:c>
      <x:c r="AG952" s="55" t="n">
        <x:v>105</x:v>
      </x:c>
      <x:c r="AH952" s="55" t="n">
        <x:v>454</x:v>
      </x:c>
      <x:c r="AI952" s="55" t="n">
        <x:v>10225</x:v>
      </x:c>
      <x:c r="AJ952" s="55" t="n">
        <x:v>297</x:v>
      </x:c>
      <x:c r="AK952" s="55" t="n">
        <x:v>1109</x:v>
      </x:c>
      <x:c r="AL952" s="55" t="n">
        <x:v>1680</x:v>
      </x:c>
      <x:c r="AM952" s="55" t="n">
        <x:v>4902</x:v>
      </x:c>
      <x:c r="AN952" s="55" t="n">
        <x:v>2691</x:v>
      </x:c>
      <x:c r="AO952" s="55" t="n">
        <x:v>0</x:v>
      </x:c>
      <x:c r="AP952" s="55" t="n">
        <x:v>2831</x:v>
      </x:c>
      <x:c r="AQ952" s="55" t="n">
        <x:v>946</x:v>
      </x:c>
    </x:row>
    <x:row r="953">
      <x:c r="A953" s="54" t="str">
        <x:v>T0_TABLE_BLOCK</x:v>
      </x:c>
      <x:c r="B953" s="54" t="n">
        <x:v>947</x:v>
      </x:c>
      <x:c r="C953" s="54" t="str">
        <x:v>NYC-V2-R01</x:v>
      </x:c>
      <x:c r="D953" s="54" t="str">
        <x:v>V2</x:v>
      </x:c>
      <x:c r="E953" s="54" t="str">
        <x:v>ADMITTED</x:v>
      </x:c>
      <x:c r="F953" s="55" t="n">
        <x:v>30875</x:v>
      </x:c>
      <x:c r="G953" s="55" t="n">
        <x:v>8720</x:v>
      </x:c>
      <x:c r="H953" s="55" t="n">
        <x:v>3326</x:v>
      </x:c>
      <x:c r="I953" s="55" t="n">
        <x:v>1522</x:v>
      </x:c>
      <x:c r="J953" s="55" t="n">
        <x:v>162</x:v>
      </x:c>
      <x:c r="K953" s="55" t="n">
        <x:v>28982</x:v>
      </x:c>
      <x:c r="L953" s="55" t="n">
        <x:v>5385</x:v>
      </x:c>
      <x:c r="M953" s="55" t="n">
        <x:v>1118</x:v>
      </x:c>
      <x:c r="N953" s="55" t="n">
        <x:v>2728</x:v>
      </x:c>
      <x:c r="O953" s="55" t="n">
        <x:v>1539</x:v>
      </x:c>
      <x:c r="P953" s="55" t="n">
        <x:v>921</x:v>
      </x:c>
      <x:c r="Q953" s="55" t="n">
        <x:v>2207</x:v>
      </x:c>
      <x:c r="R953" s="55" t="n">
        <x:v>2018</x:v>
      </x:c>
      <x:c r="S953" s="55" t="n">
        <x:v>3141</x:v>
      </x:c>
      <x:c r="T953" s="55" t="n">
        <x:v>1763</x:v>
      </x:c>
      <x:c r="U953" s="55" t="n">
        <x:v>2085</x:v>
      </x:c>
      <x:c r="V953" s="55" t="n">
        <x:v>10134</x:v>
      </x:c>
      <x:c r="W953" s="55" t="n">
        <x:v>7007</x:v>
      </x:c>
      <x:c r="X953" s="55" t="n">
        <x:v>3127</x:v>
      </x:c>
      <x:c r="Y953" s="55" t="n">
        <x:v>2582</x:v>
      </x:c>
      <x:c r="Z953" s="55" t="n">
        <x:v>3755</x:v>
      </x:c>
      <x:c r="AA953" s="55" t="n">
        <x:v>2998</x:v>
      </x:c>
      <x:c r="AB953" s="55" t="n">
        <x:v>1382</x:v>
      </x:c>
      <x:c r="AC953" s="55" t="n">
        <x:v>7936</x:v>
      </x:c>
      <x:c r="AD953" s="55" t="n">
        <x:v>2860</x:v>
      </x:c>
      <x:c r="AE953" s="55" t="n">
        <x:v>10157</x:v>
      </x:c>
      <x:c r="AF953" s="55" t="n">
        <x:v>10134</x:v>
      </x:c>
      <x:c r="AG953" s="55" t="n">
        <x:v>23</x:v>
      </x:c>
      <x:c r="AH953" s="55" t="n">
        <x:v>592</x:v>
      </x:c>
      <x:c r="AI953" s="55" t="n">
        <x:v>9542</x:v>
      </x:c>
      <x:c r="AJ953" s="55" t="n">
        <x:v>471</x:v>
      </x:c>
      <x:c r="AK953" s="55" t="n">
        <x:v>931</x:v>
      </x:c>
      <x:c r="AL953" s="55" t="n">
        <x:v>1698</x:v>
      </x:c>
      <x:c r="AM953" s="55" t="n">
        <x:v>4815</x:v>
      </x:c>
      <x:c r="AN953" s="55" t="n">
        <x:v>2160</x:v>
      </x:c>
      <x:c r="AO953" s="55" t="n">
        <x:v>59</x:v>
      </x:c>
      <x:c r="AP953" s="55" t="n">
        <x:v>2859</x:v>
      </x:c>
      <x:c r="AQ953" s="55" t="n">
        <x:v>970</x:v>
      </x:c>
    </x:row>
    <x:row r="954">
      <x:c r="A954" s="54" t="str">
        <x:v>T0_TABLE_BLOCK</x:v>
      </x:c>
      <x:c r="B954" s="54" t="n">
        <x:v>948</x:v>
      </x:c>
      <x:c r="C954" s="54" t="str">
        <x:v>NYC-V2-R01</x:v>
      </x:c>
      <x:c r="D954" s="54" t="str">
        <x:v>V2</x:v>
      </x:c>
      <x:c r="E954" s="54" t="str">
        <x:v>ADMITTED</x:v>
      </x:c>
      <x:c r="F954" s="55" t="n">
        <x:v>31644</x:v>
      </x:c>
      <x:c r="G954" s="55" t="n">
        <x:v>8541</x:v>
      </x:c>
      <x:c r="H954" s="55" t="n">
        <x:v>3229</x:v>
      </x:c>
      <x:c r="I954" s="55" t="n">
        <x:v>924</x:v>
      </x:c>
      <x:c r="J954" s="55" t="n">
        <x:v>34</x:v>
      </x:c>
      <x:c r="K954" s="55" t="n">
        <x:v>29160</x:v>
      </x:c>
      <x:c r="L954" s="55" t="n">
        <x:v>4885</x:v>
      </x:c>
      <x:c r="M954" s="55" t="n">
        <x:v>702</x:v>
      </x:c>
      <x:c r="N954" s="55" t="n">
        <x:v>2370</x:v>
      </x:c>
      <x:c r="O954" s="55" t="n">
        <x:v>1813</x:v>
      </x:c>
      <x:c r="P954" s="55" t="n">
        <x:v>628</x:v>
      </x:c>
      <x:c r="Q954" s="55" t="n">
        <x:v>2647</x:v>
      </x:c>
      <x:c r="R954" s="55" t="n">
        <x:v>1254</x:v>
      </x:c>
      <x:c r="S954" s="55" t="n">
        <x:v>2916</x:v>
      </x:c>
      <x:c r="T954" s="55" t="n">
        <x:v>1481</x:v>
      </x:c>
      <x:c r="U954" s="55" t="n">
        <x:v>2140</x:v>
      </x:c>
      <x:c r="V954" s="55" t="n">
        <x:v>10759</x:v>
      </x:c>
      <x:c r="W954" s="55" t="n">
        <x:v>7558</x:v>
      </x:c>
      <x:c r="X954" s="55" t="n">
        <x:v>3201</x:v>
      </x:c>
      <x:c r="Y954" s="55" t="n">
        <x:v>2792</x:v>
      </x:c>
      <x:c r="Z954" s="55" t="n">
        <x:v>3877</x:v>
      </x:c>
      <x:c r="AA954" s="55" t="n">
        <x:v>3229</x:v>
      </x:c>
      <x:c r="AB954" s="55" t="n">
        <x:v>1345</x:v>
      </x:c>
      <x:c r="AC954" s="55" t="n">
        <x:v>8049</x:v>
      </x:c>
      <x:c r="AD954" s="55" t="n">
        <x:v>2710</x:v>
      </x:c>
      <x:c r="AE954" s="55" t="n">
        <x:v>10821</x:v>
      </x:c>
      <x:c r="AF954" s="55" t="n">
        <x:v>10759</x:v>
      </x:c>
      <x:c r="AG954" s="55" t="n">
        <x:v>62</x:v>
      </x:c>
      <x:c r="AH954" s="55" t="n">
        <x:v>523</x:v>
      </x:c>
      <x:c r="AI954" s="55" t="n">
        <x:v>10236</x:v>
      </x:c>
      <x:c r="AJ954" s="55" t="n">
        <x:v>431</x:v>
      </x:c>
      <x:c r="AK954" s="55" t="n">
        <x:v>973</x:v>
      </x:c>
      <x:c r="AL954" s="55" t="n">
        <x:v>1862</x:v>
      </x:c>
      <x:c r="AM954" s="55" t="n">
        <x:v>5045</x:v>
      </x:c>
      <x:c r="AN954" s="55" t="n">
        <x:v>2414</x:v>
      </x:c>
      <x:c r="AO954" s="55" t="n">
        <x:v>34</x:v>
      </x:c>
      <x:c r="AP954" s="55" t="n">
        <x:v>2510</x:v>
      </x:c>
      <x:c r="AQ954" s="55" t="n">
        <x:v>960</x:v>
      </x:c>
    </x:row>
    <x:row r="955">
      <x:c r="A955" s="54" t="str">
        <x:v>T0_TABLE_BLOCK</x:v>
      </x:c>
      <x:c r="B955" s="54" t="n">
        <x:v>949</x:v>
      </x:c>
      <x:c r="C955" s="54" t="str">
        <x:v>NYC-V2-R01</x:v>
      </x:c>
      <x:c r="D955" s="54" t="str">
        <x:v>V2</x:v>
      </x:c>
      <x:c r="E955" s="54" t="str">
        <x:v>ADMITTED</x:v>
      </x:c>
      <x:c r="F955" s="55" t="n">
        <x:v>32628</x:v>
      </x:c>
      <x:c r="G955" s="55" t="n">
        <x:v>8322</x:v>
      </x:c>
      <x:c r="H955" s="55" t="n">
        <x:v>3212</x:v>
      </x:c>
      <x:c r="I955" s="55" t="n">
        <x:v>1313</x:v>
      </x:c>
      <x:c r="J955" s="55" t="n">
        <x:v>301</x:v>
      </x:c>
      <x:c r="K955" s="55" t="n">
        <x:v>30023</x:v>
      </x:c>
      <x:c r="L955" s="55" t="n">
        <x:v>5330</x:v>
      </x:c>
      <x:c r="M955" s="55" t="n">
        <x:v>1429</x:v>
      </x:c>
      <x:c r="N955" s="55" t="n">
        <x:v>2729</x:v>
      </x:c>
      <x:c r="O955" s="55" t="n">
        <x:v>1172</x:v>
      </x:c>
      <x:c r="P955" s="55" t="n">
        <x:v>1009</x:v>
      </x:c>
      <x:c r="Q955" s="55" t="n">
        <x:v>3083</x:v>
      </x:c>
      <x:c r="R955" s="55" t="n">
        <x:v>1538</x:v>
      </x:c>
      <x:c r="S955" s="55" t="n">
        <x:v>2137</x:v>
      </x:c>
      <x:c r="T955" s="55" t="n">
        <x:v>998</x:v>
      </x:c>
      <x:c r="U955" s="55" t="n">
        <x:v>1936</x:v>
      </x:c>
      <x:c r="V955" s="55" t="n">
        <x:v>10558</x:v>
      </x:c>
      <x:c r="W955" s="55" t="n">
        <x:v>7300</x:v>
      </x:c>
      <x:c r="X955" s="55" t="n">
        <x:v>3258</x:v>
      </x:c>
      <x:c r="Y955" s="55" t="n">
        <x:v>2862</x:v>
      </x:c>
      <x:c r="Z955" s="55" t="n">
        <x:v>3445</x:v>
      </x:c>
      <x:c r="AA955" s="55" t="n">
        <x:v>3212</x:v>
      </x:c>
      <x:c r="AB955" s="55" t="n">
        <x:v>857</x:v>
      </x:c>
      <x:c r="AC955" s="55" t="n">
        <x:v>8189</x:v>
      </x:c>
      <x:c r="AD955" s="55" t="n">
        <x:v>2561</x:v>
      </x:c>
      <x:c r="AE955" s="55" t="n">
        <x:v>10652</x:v>
      </x:c>
      <x:c r="AF955" s="55" t="n">
        <x:v>10558</x:v>
      </x:c>
      <x:c r="AG955" s="55" t="n">
        <x:v>94</x:v>
      </x:c>
      <x:c r="AH955" s="55" t="n">
        <x:v>383</x:v>
      </x:c>
      <x:c r="AI955" s="55" t="n">
        <x:v>10175</x:v>
      </x:c>
      <x:c r="AJ955" s="55" t="n">
        <x:v>350</x:v>
      </x:c>
      <x:c r="AK955" s="55" t="n">
        <x:v>889</x:v>
      </x:c>
      <x:c r="AL955" s="55" t="n">
        <x:v>1510</x:v>
      </x:c>
      <x:c r="AM955" s="55" t="n">
        <x:v>5106</x:v>
      </x:c>
      <x:c r="AN955" s="55" t="n">
        <x:v>2703</x:v>
      </x:c>
      <x:c r="AO955" s="55" t="n">
        <x:v>0</x:v>
      </x:c>
      <x:c r="AP955" s="55" t="n">
        <x:v>2418</x:v>
      </x:c>
      <x:c r="AQ955" s="55" t="n">
        <x:v>965</x:v>
      </x:c>
    </x:row>
    <x:row r="956">
      <x:c r="A956" s="54" t="str">
        <x:v>T0_TABLE_BLOCK</x:v>
      </x:c>
      <x:c r="B956" s="54" t="n">
        <x:v>950</x:v>
      </x:c>
      <x:c r="C956" s="54" t="str">
        <x:v>NYC-V2-R01</x:v>
      </x:c>
      <x:c r="D956" s="54" t="str">
        <x:v>V2</x:v>
      </x:c>
      <x:c r="E956" s="54" t="str">
        <x:v>ADMITTED</x:v>
      </x:c>
      <x:c r="F956" s="55" t="n">
        <x:v>29620</x:v>
      </x:c>
      <x:c r="G956" s="55" t="n">
        <x:v>7498</x:v>
      </x:c>
      <x:c r="H956" s="55" t="n">
        <x:v>3380</x:v>
      </x:c>
      <x:c r="I956" s="55" t="n">
        <x:v>1110</x:v>
      </x:c>
      <x:c r="J956" s="55" t="n">
        <x:v>274</x:v>
      </x:c>
      <x:c r="K956" s="55" t="n">
        <x:v>29620</x:v>
      </x:c>
      <x:c r="L956" s="55" t="n">
        <x:v>5563</x:v>
      </x:c>
      <x:c r="M956" s="55" t="n">
        <x:v>1273</x:v>
      </x:c>
      <x:c r="N956" s="55" t="n">
        <x:v>2623</x:v>
      </x:c>
      <x:c r="O956" s="55" t="n">
        <x:v>1667</x:v>
      </x:c>
      <x:c r="P956" s="55" t="n">
        <x:v>625</x:v>
      </x:c>
      <x:c r="Q956" s="55" t="n">
        <x:v>3201</x:v>
      </x:c>
      <x:c r="R956" s="55" t="n">
        <x:v>1568</x:v>
      </x:c>
      <x:c r="S956" s="55" t="n">
        <x:v>2898</x:v>
      </x:c>
      <x:c r="T956" s="55" t="n">
        <x:v>1223</x:v>
      </x:c>
      <x:c r="U956" s="55" t="n">
        <x:v>2689</x:v>
      </x:c>
      <x:c r="V956" s="55" t="n">
        <x:v>9962</x:v>
      </x:c>
      <x:c r="W956" s="55" t="n">
        <x:v>6674</x:v>
      </x:c>
      <x:c r="X956" s="55" t="n">
        <x:v>3288</x:v>
      </x:c>
      <x:c r="Y956" s="55" t="n">
        <x:v>2738</x:v>
      </x:c>
      <x:c r="Z956" s="55" t="n">
        <x:v>3906</x:v>
      </x:c>
      <x:c r="AA956" s="55" t="n">
        <x:v>3380</x:v>
      </x:c>
      <x:c r="AB956" s="55" t="n">
        <x:v>1142</x:v>
      </x:c>
      <x:c r="AC956" s="55" t="n">
        <x:v>7904</x:v>
      </x:c>
      <x:c r="AD956" s="55" t="n">
        <x:v>2706</x:v>
      </x:c>
      <x:c r="AE956" s="55" t="n">
        <x:v>10013</x:v>
      </x:c>
      <x:c r="AF956" s="55" t="n">
        <x:v>9962</x:v>
      </x:c>
      <x:c r="AG956" s="55" t="n">
        <x:v>51</x:v>
      </x:c>
      <x:c r="AH956" s="55" t="n">
        <x:v>444</x:v>
      </x:c>
      <x:c r="AI956" s="55" t="n">
        <x:v>9518</x:v>
      </x:c>
      <x:c r="AJ956" s="55" t="n">
        <x:v>220</x:v>
      </x:c>
      <x:c r="AK956" s="55" t="n">
        <x:v>1127</x:v>
      </x:c>
      <x:c r="AL956" s="55" t="n">
        <x:v>1686</x:v>
      </x:c>
      <x:c r="AM956" s="55" t="n">
        <x:v>4753</x:v>
      </x:c>
      <x:c r="AN956" s="55" t="n">
        <x:v>2176</x:v>
      </x:c>
      <x:c r="AO956" s="55" t="n">
        <x:v>0</x:v>
      </x:c>
      <x:c r="AP956" s="55" t="n">
        <x:v>2715</x:v>
      </x:c>
      <x:c r="AQ956" s="55" t="n">
        <x:v>973</x:v>
      </x:c>
    </x:row>
    <x:row r="957">
      <x:c r="A957" s="54" t="str">
        <x:v>T0_TABLE_BLOCK</x:v>
      </x:c>
      <x:c r="B957" s="54" t="n">
        <x:v>951</x:v>
      </x:c>
      <x:c r="C957" s="54" t="str">
        <x:v>NYC-V2-R01</x:v>
      </x:c>
      <x:c r="D957" s="54" t="str">
        <x:v>V2</x:v>
      </x:c>
      <x:c r="E957" s="54" t="str">
        <x:v>ADMITTED</x:v>
      </x:c>
      <x:c r="F957" s="55" t="n">
        <x:v>32089</x:v>
      </x:c>
      <x:c r="G957" s="55" t="n">
        <x:v>7356</x:v>
      </x:c>
      <x:c r="H957" s="55" t="n">
        <x:v>3332</x:v>
      </x:c>
      <x:c r="I957" s="55" t="n">
        <x:v>1093</x:v>
      </x:c>
      <x:c r="J957" s="55" t="n">
        <x:v>232</x:v>
      </x:c>
      <x:c r="K957" s="55" t="n">
        <x:v>32089</x:v>
      </x:c>
      <x:c r="L957" s="55" t="n">
        <x:v>5984</x:v>
      </x:c>
      <x:c r="M957" s="55" t="n">
        <x:v>1402</x:v>
      </x:c>
      <x:c r="N957" s="55" t="n">
        <x:v>2749</x:v>
      </x:c>
      <x:c r="O957" s="55" t="n">
        <x:v>1833</x:v>
      </x:c>
      <x:c r="P957" s="55" t="n">
        <x:v>424</x:v>
      </x:c>
      <x:c r="Q957" s="55" t="n">
        <x:v>3429</x:v>
      </x:c>
      <x:c r="R957" s="55" t="n">
        <x:v>2288</x:v>
      </x:c>
      <x:c r="S957" s="55" t="n">
        <x:v>3151</x:v>
      </x:c>
      <x:c r="T957" s="55" t="n">
        <x:v>1207</x:v>
      </x:c>
      <x:c r="U957" s="55" t="n">
        <x:v>1757</x:v>
      </x:c>
      <x:c r="V957" s="55" t="n">
        <x:v>10431</x:v>
      </x:c>
      <x:c r="W957" s="55" t="n">
        <x:v>7333</x:v>
      </x:c>
      <x:c r="X957" s="55" t="n">
        <x:v>3098</x:v>
      </x:c>
      <x:c r="Y957" s="55" t="n">
        <x:v>2589</x:v>
      </x:c>
      <x:c r="Z957" s="55" t="n">
        <x:v>3579</x:v>
      </x:c>
      <x:c r="AA957" s="55" t="n">
        <x:v>3332</x:v>
      </x:c>
      <x:c r="AB957" s="55" t="n">
        <x:v>1144</x:v>
      </x:c>
      <x:c r="AC957" s="55" t="n">
        <x:v>7528</x:v>
      </x:c>
      <x:c r="AD957" s="55" t="n">
        <x:v>2970</x:v>
      </x:c>
      <x:c r="AE957" s="55" t="n">
        <x:v>10533</x:v>
      </x:c>
      <x:c r="AF957" s="55" t="n">
        <x:v>10431</x:v>
      </x:c>
      <x:c r="AG957" s="55" t="n">
        <x:v>102</x:v>
      </x:c>
      <x:c r="AH957" s="55" t="n">
        <x:v>389</x:v>
      </x:c>
      <x:c r="AI957" s="55" t="n">
        <x:v>10042</x:v>
      </x:c>
      <x:c r="AJ957" s="55" t="n">
        <x:v>441</x:v>
      </x:c>
      <x:c r="AK957" s="55" t="n">
        <x:v>668</x:v>
      </x:c>
      <x:c r="AL957" s="55" t="n">
        <x:v>1153</x:v>
      </x:c>
      <x:c r="AM957" s="55" t="n">
        <x:v>5313</x:v>
      </x:c>
      <x:c r="AN957" s="55" t="n">
        <x:v>2856</x:v>
      </x:c>
      <x:c r="AO957" s="55" t="n">
        <x:v>0</x:v>
      </x:c>
      <x:c r="AP957" s="55" t="n">
        <x:v>2622</x:v>
      </x:c>
      <x:c r="AQ957" s="55" t="n">
        <x:v>959</x:v>
      </x:c>
    </x:row>
    <x:row r="958">
      <x:c r="A958" s="54" t="str">
        <x:v>T0_TABLE_BLOCK</x:v>
      </x:c>
      <x:c r="B958" s="54" t="n">
        <x:v>952</x:v>
      </x:c>
      <x:c r="C958" s="54" t="str">
        <x:v>NYC-V2-R01</x:v>
      </x:c>
      <x:c r="D958" s="54" t="str">
        <x:v>V2</x:v>
      </x:c>
      <x:c r="E958" s="54" t="str">
        <x:v>ADMITTED</x:v>
      </x:c>
      <x:c r="F958" s="55" t="n">
        <x:v>32072</x:v>
      </x:c>
      <x:c r="G958" s="55" t="n">
        <x:v>5191</x:v>
      </x:c>
      <x:c r="H958" s="55" t="n">
        <x:v>3586</x:v>
      </x:c>
      <x:c r="I958" s="55" t="n">
        <x:v>1974</x:v>
      </x:c>
      <x:c r="J958" s="55" t="n">
        <x:v>365</x:v>
      </x:c>
      <x:c r="K958" s="55" t="n">
        <x:v>32072</x:v>
      </x:c>
      <x:c r="L958" s="55" t="n">
        <x:v>5189</x:v>
      </x:c>
      <x:c r="M958" s="55" t="n">
        <x:v>1490</x:v>
      </x:c>
      <x:c r="N958" s="55" t="n">
        <x:v>2129</x:v>
      </x:c>
      <x:c r="O958" s="55" t="n">
        <x:v>1570</x:v>
      </x:c>
      <x:c r="P958" s="55" t="n">
        <x:v>872</x:v>
      </x:c>
      <x:c r="Q958" s="55" t="n">
        <x:v>3283</x:v>
      </x:c>
      <x:c r="R958" s="55" t="n">
        <x:v>964</x:v>
      </x:c>
      <x:c r="S958" s="55" t="n">
        <x:v>3098</x:v>
      </x:c>
      <x:c r="T958" s="55" t="n">
        <x:v>1276</x:v>
      </x:c>
      <x:c r="U958" s="55" t="n">
        <x:v>1491</x:v>
      </x:c>
      <x:c r="V958" s="55" t="n">
        <x:v>10501</x:v>
      </x:c>
      <x:c r="W958" s="55" t="n">
        <x:v>7368</x:v>
      </x:c>
      <x:c r="X958" s="55" t="n">
        <x:v>3133</x:v>
      </x:c>
      <x:c r="Y958" s="55" t="n">
        <x:v>2893</x:v>
      </x:c>
      <x:c r="Z958" s="55" t="n">
        <x:v>3940</x:v>
      </x:c>
      <x:c r="AA958" s="55" t="n">
        <x:v>3221</x:v>
      </x:c>
      <x:c r="AB958" s="55" t="n">
        <x:v>1010</x:v>
      </x:c>
      <x:c r="AC958" s="55" t="n">
        <x:v>8489</x:v>
      </x:c>
      <x:c r="AD958" s="55" t="n">
        <x:v>3190</x:v>
      </x:c>
      <x:c r="AE958" s="55" t="n">
        <x:v>10580</x:v>
      </x:c>
      <x:c r="AF958" s="55" t="n">
        <x:v>10501</x:v>
      </x:c>
      <x:c r="AG958" s="55" t="n">
        <x:v>79</x:v>
      </x:c>
      <x:c r="AH958" s="55" t="n">
        <x:v>503</x:v>
      </x:c>
      <x:c r="AI958" s="55" t="n">
        <x:v>9998</x:v>
      </x:c>
      <x:c r="AJ958" s="55" t="n">
        <x:v>319</x:v>
      </x:c>
      <x:c r="AK958" s="55" t="n">
        <x:v>820</x:v>
      </x:c>
      <x:c r="AL958" s="55" t="n">
        <x:v>1209</x:v>
      </x:c>
      <x:c r="AM958" s="55" t="n">
        <x:v>5036</x:v>
      </x:c>
      <x:c r="AN958" s="55" t="n">
        <x:v>3117</x:v>
      </x:c>
      <x:c r="AO958" s="55" t="n">
        <x:v>0</x:v>
      </x:c>
      <x:c r="AP958" s="55" t="n">
        <x:v>1983</x:v>
      </x:c>
      <x:c r="AQ958" s="55" t="n">
        <x:v>986</x:v>
      </x:c>
    </x:row>
    <x:row r="959">
      <x:c r="A959" s="54" t="str">
        <x:v>T0_TABLE_BLOCK</x:v>
      </x:c>
      <x:c r="B959" s="54" t="n">
        <x:v>953</x:v>
      </x:c>
      <x:c r="C959" s="54" t="str">
        <x:v>NYC-V2-R01</x:v>
      </x:c>
      <x:c r="D959" s="54" t="str">
        <x:v>V2</x:v>
      </x:c>
      <x:c r="E959" s="54" t="str">
        <x:v>ADMITTED</x:v>
      </x:c>
      <x:c r="F959" s="55" t="n">
        <x:v>32328</x:v>
      </x:c>
      <x:c r="G959" s="55" t="n">
        <x:v>6151</x:v>
      </x:c>
      <x:c r="H959" s="55" t="n">
        <x:v>3280</x:v>
      </x:c>
      <x:c r="I959" s="55" t="n">
        <x:v>1097</x:v>
      </x:c>
      <x:c r="J959" s="55" t="n">
        <x:v>251</x:v>
      </x:c>
      <x:c r="K959" s="55" t="n">
        <x:v>32328</x:v>
      </x:c>
      <x:c r="L959" s="55" t="n">
        <x:v>6181</x:v>
      </x:c>
      <x:c r="M959" s="55" t="n">
        <x:v>1920</x:v>
      </x:c>
      <x:c r="N959" s="55" t="n">
        <x:v>2502</x:v>
      </x:c>
      <x:c r="O959" s="55" t="n">
        <x:v>1759</x:v>
      </x:c>
      <x:c r="P959" s="55" t="n">
        <x:v>963</x:v>
      </x:c>
      <x:c r="Q959" s="55" t="n">
        <x:v>3590</x:v>
      </x:c>
      <x:c r="R959" s="55" t="n">
        <x:v>2182</x:v>
      </x:c>
      <x:c r="S959" s="55" t="n">
        <x:v>2983</x:v>
      </x:c>
      <x:c r="T959" s="55" t="n">
        <x:v>1410</x:v>
      </x:c>
      <x:c r="U959" s="55" t="n">
        <x:v>2059</x:v>
      </x:c>
      <x:c r="V959" s="55" t="n">
        <x:v>10618</x:v>
      </x:c>
      <x:c r="W959" s="55" t="n">
        <x:v>7665</x:v>
      </x:c>
      <x:c r="X959" s="55" t="n">
        <x:v>2953</x:v>
      </x:c>
      <x:c r="Y959" s="55" t="n">
        <x:v>2421</x:v>
      </x:c>
      <x:c r="Z959" s="55" t="n">
        <x:v>3588</x:v>
      </x:c>
      <x:c r="AA959" s="55" t="n">
        <x:v>3280</x:v>
      </x:c>
      <x:c r="AB959" s="55" t="n">
        <x:v>1117</x:v>
      </x:c>
      <x:c r="AC959" s="55" t="n">
        <x:v>7978</x:v>
      </x:c>
      <x:c r="AD959" s="55" t="n">
        <x:v>2418</x:v>
      </x:c>
      <x:c r="AE959" s="55" t="n">
        <x:v>10703</x:v>
      </x:c>
      <x:c r="AF959" s="55" t="n">
        <x:v>10618</x:v>
      </x:c>
      <x:c r="AG959" s="55" t="n">
        <x:v>85</x:v>
      </x:c>
      <x:c r="AH959" s="55" t="n">
        <x:v>382</x:v>
      </x:c>
      <x:c r="AI959" s="55" t="n">
        <x:v>10236</x:v>
      </x:c>
      <x:c r="AJ959" s="55" t="n">
        <x:v>348</x:v>
      </x:c>
      <x:c r="AK959" s="55" t="n">
        <x:v>1120</x:v>
      </x:c>
      <x:c r="AL959" s="55" t="n">
        <x:v>1839</x:v>
      </x:c>
      <x:c r="AM959" s="55" t="n">
        <x:v>5293</x:v>
      </x:c>
      <x:c r="AN959" s="55" t="n">
        <x:v>1953</x:v>
      </x:c>
      <x:c r="AO959" s="55" t="n">
        <x:v>65</x:v>
      </x:c>
      <x:c r="AP959" s="55" t="n">
        <x:v>2510</x:v>
      </x:c>
      <x:c r="AQ959" s="55" t="n">
        <x:v>956</x:v>
      </x:c>
    </x:row>
    <x:row r="960">
      <x:c r="A960" s="54" t="str">
        <x:v>T0_TABLE_BLOCK</x:v>
      </x:c>
      <x:c r="B960" s="54" t="n">
        <x:v>954</x:v>
      </x:c>
      <x:c r="C960" s="54" t="str">
        <x:v>NYC-V2-R01</x:v>
      </x:c>
      <x:c r="D960" s="54" t="str">
        <x:v>V2</x:v>
      </x:c>
      <x:c r="E960" s="54" t="str">
        <x:v>ADMITTED</x:v>
      </x:c>
      <x:c r="F960" s="55" t="n">
        <x:v>30975</x:v>
      </x:c>
      <x:c r="G960" s="55" t="n">
        <x:v>7092</x:v>
      </x:c>
      <x:c r="H960" s="55" t="n">
        <x:v>3138</x:v>
      </x:c>
      <x:c r="I960" s="55" t="n">
        <x:v>1353</x:v>
      </x:c>
      <x:c r="J960" s="55" t="n">
        <x:v>239</x:v>
      </x:c>
      <x:c r="K960" s="55" t="n">
        <x:v>30975</x:v>
      </x:c>
      <x:c r="L960" s="55" t="n">
        <x:v>5144</x:v>
      </x:c>
      <x:c r="M960" s="55" t="n">
        <x:v>1150</x:v>
      </x:c>
      <x:c r="N960" s="55" t="n">
        <x:v>1912</x:v>
      </x:c>
      <x:c r="O960" s="55" t="n">
        <x:v>2082</x:v>
      </x:c>
      <x:c r="P960" s="55" t="n">
        <x:v>1060</x:v>
      </x:c>
      <x:c r="Q960" s="55" t="n">
        <x:v>2928</x:v>
      </x:c>
      <x:c r="R960" s="55" t="n">
        <x:v>1947</x:v>
      </x:c>
      <x:c r="S960" s="55" t="n">
        <x:v>2608</x:v>
      </x:c>
      <x:c r="T960" s="55" t="n">
        <x:v>1487</x:v>
      </x:c>
      <x:c r="U960" s="55" t="n">
        <x:v>1922</x:v>
      </x:c>
      <x:c r="V960" s="55" t="n">
        <x:v>11110</x:v>
      </x:c>
      <x:c r="W960" s="55" t="n">
        <x:v>8374</x:v>
      </x:c>
      <x:c r="X960" s="55" t="n">
        <x:v>2736</x:v>
      </x:c>
      <x:c r="Y960" s="55" t="n">
        <x:v>2185</x:v>
      </x:c>
      <x:c r="Z960" s="55" t="n">
        <x:v>3527</x:v>
      </x:c>
      <x:c r="AA960" s="55" t="n">
        <x:v>2565</x:v>
      </x:c>
      <x:c r="AB960" s="55" t="n">
        <x:v>1024</x:v>
      </x:c>
      <x:c r="AC960" s="55" t="n">
        <x:v>7521</x:v>
      </x:c>
      <x:c r="AD960" s="55" t="n">
        <x:v>2661</x:v>
      </x:c>
      <x:c r="AE960" s="55" t="n">
        <x:v>11110</x:v>
      </x:c>
      <x:c r="AF960" s="55" t="n">
        <x:v>11110</x:v>
      </x:c>
      <x:c r="AG960" s="55" t="n">
        <x:v>0</x:v>
      </x:c>
      <x:c r="AH960" s="55" t="n">
        <x:v>352</x:v>
      </x:c>
      <x:c r="AI960" s="55" t="n">
        <x:v>10758</x:v>
      </x:c>
      <x:c r="AJ960" s="55" t="n">
        <x:v>311</x:v>
      </x:c>
      <x:c r="AK960" s="55" t="n">
        <x:v>1288</x:v>
      </x:c>
      <x:c r="AL960" s="55" t="n">
        <x:v>1830</x:v>
      </x:c>
      <x:c r="AM960" s="55" t="n">
        <x:v>4954</x:v>
      </x:c>
      <x:c r="AN960" s="55" t="n">
        <x:v>2691</x:v>
      </x:c>
      <x:c r="AO960" s="55" t="n">
        <x:v>36</x:v>
      </x:c>
      <x:c r="AP960" s="55" t="n">
        <x:v>1989</x:v>
      </x:c>
      <x:c r="AQ960" s="55" t="n">
        <x:v>959</x:v>
      </x:c>
    </x:row>
    <x:row r="961">
      <x:c r="A961" s="54" t="str">
        <x:v>T0_TABLE_BLOCK</x:v>
      </x:c>
      <x:c r="B961" s="54" t="n">
        <x:v>955</x:v>
      </x:c>
      <x:c r="C961" s="54" t="str">
        <x:v>NYC-V2-R01</x:v>
      </x:c>
      <x:c r="D961" s="54" t="str">
        <x:v>V2</x:v>
      </x:c>
      <x:c r="E961" s="54" t="str">
        <x:v>ADMITTED</x:v>
      </x:c>
      <x:c r="F961" s="55" t="n">
        <x:v>33257</x:v>
      </x:c>
      <x:c r="G961" s="55" t="n">
        <x:v>7585</x:v>
      </x:c>
      <x:c r="H961" s="55" t="n">
        <x:v>3647</x:v>
      </x:c>
      <x:c r="I961" s="55" t="n">
        <x:v>1346</x:v>
      </x:c>
      <x:c r="J961" s="55" t="n">
        <x:v>314</x:v>
      </x:c>
      <x:c r="K961" s="55" t="n">
        <x:v>33257</x:v>
      </x:c>
      <x:c r="L961" s="55" t="n">
        <x:v>6817</x:v>
      </x:c>
      <x:c r="M961" s="55" t="n">
        <x:v>1567</x:v>
      </x:c>
      <x:c r="N961" s="55" t="n">
        <x:v>3311</x:v>
      </x:c>
      <x:c r="O961" s="55" t="n">
        <x:v>1939</x:v>
      </x:c>
      <x:c r="P961" s="55" t="n">
        <x:v>680</x:v>
      </x:c>
      <x:c r="Q961" s="55" t="n">
        <x:v>2451</x:v>
      </x:c>
      <x:c r="R961" s="55" t="n">
        <x:v>1880</x:v>
      </x:c>
      <x:c r="S961" s="55" t="n">
        <x:v>3448</x:v>
      </x:c>
      <x:c r="T961" s="55" t="n">
        <x:v>1404</x:v>
      </x:c>
      <x:c r="U961" s="55" t="n">
        <x:v>2009</x:v>
      </x:c>
      <x:c r="V961" s="55" t="n">
        <x:v>10484</x:v>
      </x:c>
      <x:c r="W961" s="55" t="n">
        <x:v>7332</x:v>
      </x:c>
      <x:c r="X961" s="55" t="n">
        <x:v>3152</x:v>
      </x:c>
      <x:c r="Y961" s="55" t="n">
        <x:v>2787</x:v>
      </x:c>
      <x:c r="Z961" s="55" t="n">
        <x:v>3498</x:v>
      </x:c>
      <x:c r="AA961" s="55" t="n">
        <x:v>3246</x:v>
      </x:c>
      <x:c r="AB961" s="55" t="n">
        <x:v>1231</x:v>
      </x:c>
      <x:c r="AC961" s="55" t="n">
        <x:v>7608</x:v>
      </x:c>
      <x:c r="AD961" s="55" t="n">
        <x:v>2830</x:v>
      </x:c>
      <x:c r="AE961" s="55" t="n">
        <x:v>10541</x:v>
      </x:c>
      <x:c r="AF961" s="55" t="n">
        <x:v>10484</x:v>
      </x:c>
      <x:c r="AG961" s="55" t="n">
        <x:v>57</x:v>
      </x:c>
      <x:c r="AH961" s="55" t="n">
        <x:v>371</x:v>
      </x:c>
      <x:c r="AI961" s="55" t="n">
        <x:v>10113</x:v>
      </x:c>
      <x:c r="AJ961" s="55" t="n">
        <x:v>254</x:v>
      </x:c>
      <x:c r="AK961" s="55" t="n">
        <x:v>395</x:v>
      </x:c>
      <x:c r="AL961" s="55" t="n">
        <x:v>1788</x:v>
      </x:c>
      <x:c r="AM961" s="55" t="n">
        <x:v>5857</x:v>
      </x:c>
      <x:c r="AN961" s="55" t="n">
        <x:v>2190</x:v>
      </x:c>
      <x:c r="AO961" s="55" t="n">
        <x:v>0</x:v>
      </x:c>
      <x:c r="AP961" s="55" t="n">
        <x:v>2461</x:v>
      </x:c>
      <x:c r="AQ961" s="55" t="n">
        <x:v>942</x:v>
      </x:c>
    </x:row>
    <x:row r="962">
      <x:c r="A962" s="54" t="str">
        <x:v>T0_TABLE_BLOCK</x:v>
      </x:c>
      <x:c r="B962" s="54" t="n">
        <x:v>956</x:v>
      </x:c>
      <x:c r="C962" s="54" t="str">
        <x:v>NYC-V2-R01</x:v>
      </x:c>
      <x:c r="D962" s="54" t="str">
        <x:v>V2</x:v>
      </x:c>
      <x:c r="E962" s="54" t="str">
        <x:v>ADMITTED</x:v>
      </x:c>
      <x:c r="F962" s="55" t="n">
        <x:v>30405</x:v>
      </x:c>
      <x:c r="G962" s="55" t="n">
        <x:v>8060</x:v>
      </x:c>
      <x:c r="H962" s="55" t="n">
        <x:v>3301</x:v>
      </x:c>
      <x:c r="I962" s="55" t="n">
        <x:v>875</x:v>
      </x:c>
      <x:c r="J962" s="55" t="n">
        <x:v>219</x:v>
      </x:c>
      <x:c r="K962" s="55" t="n">
        <x:v>30405</x:v>
      </x:c>
      <x:c r="L962" s="55" t="n">
        <x:v>6053</x:v>
      </x:c>
      <x:c r="M962" s="55" t="n">
        <x:v>1297</x:v>
      </x:c>
      <x:c r="N962" s="55" t="n">
        <x:v>2968</x:v>
      </x:c>
      <x:c r="O962" s="55" t="n">
        <x:v>1788</x:v>
      </x:c>
      <x:c r="P962" s="55" t="n">
        <x:v>1067</x:v>
      </x:c>
      <x:c r="Q962" s="55" t="n">
        <x:v>3380</x:v>
      </x:c>
      <x:c r="R962" s="55" t="n">
        <x:v>1692</x:v>
      </x:c>
      <x:c r="S962" s="55" t="n">
        <x:v>2293</x:v>
      </x:c>
      <x:c r="T962" s="55" t="n">
        <x:v>1313</x:v>
      </x:c>
      <x:c r="U962" s="55" t="n">
        <x:v>2075</x:v>
      </x:c>
      <x:c r="V962" s="55" t="n">
        <x:v>10939</x:v>
      </x:c>
      <x:c r="W962" s="55" t="n">
        <x:v>8020</x:v>
      </x:c>
      <x:c r="X962" s="55" t="n">
        <x:v>2919</x:v>
      </x:c>
      <x:c r="Y962" s="55" t="n">
        <x:v>2466</x:v>
      </x:c>
      <x:c r="Z962" s="55" t="n">
        <x:v>4011</x:v>
      </x:c>
      <x:c r="AA962" s="55" t="n">
        <x:v>3301</x:v>
      </x:c>
      <x:c r="AB962" s="55" t="n">
        <x:v>949</x:v>
      </x:c>
      <x:c r="AC962" s="55" t="n">
        <x:v>8208</x:v>
      </x:c>
      <x:c r="AD962" s="55" t="n">
        <x:v>2492</x:v>
      </x:c>
      <x:c r="AE962" s="55" t="n">
        <x:v>11015</x:v>
      </x:c>
      <x:c r="AF962" s="55" t="n">
        <x:v>10939</x:v>
      </x:c>
      <x:c r="AG962" s="55" t="n">
        <x:v>76</x:v>
      </x:c>
      <x:c r="AH962" s="55" t="n">
        <x:v>345</x:v>
      </x:c>
      <x:c r="AI962" s="55" t="n">
        <x:v>10594</x:v>
      </x:c>
      <x:c r="AJ962" s="55" t="n">
        <x:v>455</x:v>
      </x:c>
      <x:c r="AK962" s="55" t="n">
        <x:v>1082</x:v>
      </x:c>
      <x:c r="AL962" s="55" t="n">
        <x:v>1929</x:v>
      </x:c>
      <x:c r="AM962" s="55" t="n">
        <x:v>5087</x:v>
      </x:c>
      <x:c r="AN962" s="55" t="n">
        <x:v>2386</x:v>
      </x:c>
      <x:c r="AO962" s="55" t="n">
        <x:v>0</x:v>
      </x:c>
      <x:c r="AP962" s="55" t="n">
        <x:v>2426</x:v>
      </x:c>
      <x:c r="AQ962" s="55" t="n">
        <x:v>977</x:v>
      </x:c>
    </x:row>
    <x:row r="963">
      <x:c r="A963" s="54" t="str">
        <x:v>T0_TABLE_BLOCK</x:v>
      </x:c>
      <x:c r="B963" s="54" t="n">
        <x:v>957</x:v>
      </x:c>
      <x:c r="C963" s="54" t="str">
        <x:v>NYC-V2-R01</x:v>
      </x:c>
      <x:c r="D963" s="54" t="str">
        <x:v>V2</x:v>
      </x:c>
      <x:c r="E963" s="54" t="str">
        <x:v>ADMITTED</x:v>
      </x:c>
      <x:c r="F963" s="55" t="n">
        <x:v>31158</x:v>
      </x:c>
      <x:c r="G963" s="55" t="n">
        <x:v>8081</x:v>
      </x:c>
      <x:c r="H963" s="55" t="n">
        <x:v>3160</x:v>
      </x:c>
      <x:c r="I963" s="55" t="n">
        <x:v>1084</x:v>
      </x:c>
      <x:c r="J963" s="55" t="n">
        <x:v>0</x:v>
      </x:c>
      <x:c r="K963" s="55" t="n">
        <x:v>31158</x:v>
      </x:c>
      <x:c r="L963" s="55" t="n">
        <x:v>5088</x:v>
      </x:c>
      <x:c r="M963" s="55" t="n">
        <x:v>989</x:v>
      </x:c>
      <x:c r="N963" s="55" t="n">
        <x:v>2642</x:v>
      </x:c>
      <x:c r="O963" s="55" t="n">
        <x:v>1457</x:v>
      </x:c>
      <x:c r="P963" s="55" t="n">
        <x:v>349</x:v>
      </x:c>
      <x:c r="Q963" s="55" t="n">
        <x:v>1855</x:v>
      </x:c>
      <x:c r="R963" s="55" t="n">
        <x:v>1476</x:v>
      </x:c>
      <x:c r="S963" s="55" t="n">
        <x:v>3058</x:v>
      </x:c>
      <x:c r="T963" s="55" t="n">
        <x:v>1467</x:v>
      </x:c>
      <x:c r="U963" s="55" t="n">
        <x:v>2223</x:v>
      </x:c>
      <x:c r="V963" s="55" t="n">
        <x:v>9776</x:v>
      </x:c>
      <x:c r="W963" s="55" t="n">
        <x:v>6336</x:v>
      </x:c>
      <x:c r="X963" s="55" t="n">
        <x:v>3440</x:v>
      </x:c>
      <x:c r="Y963" s="55" t="n">
        <x:v>2884</x:v>
      </x:c>
      <x:c r="Z963" s="55" t="n">
        <x:v>3364</x:v>
      </x:c>
      <x:c r="AA963" s="55" t="n">
        <x:v>3160</x:v>
      </x:c>
      <x:c r="AB963" s="55" t="n">
        <x:v>1253</x:v>
      </x:c>
      <x:c r="AC963" s="55" t="n">
        <x:v>7820</x:v>
      </x:c>
      <x:c r="AD963" s="55" t="n">
        <x:v>2842</x:v>
      </x:c>
      <x:c r="AE963" s="55" t="n">
        <x:v>9811</x:v>
      </x:c>
      <x:c r="AF963" s="55" t="n">
        <x:v>9776</x:v>
      </x:c>
      <x:c r="AG963" s="55" t="n">
        <x:v>35</x:v>
      </x:c>
      <x:c r="AH963" s="55" t="n">
        <x:v>391</x:v>
      </x:c>
      <x:c r="AI963" s="55" t="n">
        <x:v>9385</x:v>
      </x:c>
      <x:c r="AJ963" s="55" t="n">
        <x:v>276</x:v>
      </x:c>
      <x:c r="AK963" s="55" t="n">
        <x:v>853</x:v>
      </x:c>
      <x:c r="AL963" s="55" t="n">
        <x:v>1485</x:v>
      </x:c>
      <x:c r="AM963" s="55" t="n">
        <x:v>4344</x:v>
      </x:c>
      <x:c r="AN963" s="55" t="n">
        <x:v>2730</x:v>
      </x:c>
      <x:c r="AO963" s="55" t="n">
        <x:v>88</x:v>
      </x:c>
      <x:c r="AP963" s="55" t="n">
        <x:v>1967</x:v>
      </x:c>
      <x:c r="AQ963" s="55" t="n">
        <x:v>960</x:v>
      </x:c>
    </x:row>
    <x:row r="964">
      <x:c r="A964" s="54" t="str">
        <x:v>T0_TABLE_BLOCK</x:v>
      </x:c>
      <x:c r="B964" s="54" t="n">
        <x:v>958</x:v>
      </x:c>
      <x:c r="C964" s="54" t="str">
        <x:v>NYC-V2-R01</x:v>
      </x:c>
      <x:c r="D964" s="54" t="str">
        <x:v>V2</x:v>
      </x:c>
      <x:c r="E964" s="54" t="str">
        <x:v>ADMITTED</x:v>
      </x:c>
      <x:c r="F964" s="55" t="n">
        <x:v>31816</x:v>
      </x:c>
      <x:c r="G964" s="55" t="n">
        <x:v>8538</x:v>
      </x:c>
      <x:c r="H964" s="55" t="n">
        <x:v>3637</x:v>
      </x:c>
      <x:c r="I964" s="55" t="n">
        <x:v>1542</x:v>
      </x:c>
      <x:c r="J964" s="55" t="n">
        <x:v>340</x:v>
      </x:c>
      <x:c r="K964" s="55" t="n">
        <x:v>29581</x:v>
      </x:c>
      <x:c r="L964" s="55" t="n">
        <x:v>5446</x:v>
      </x:c>
      <x:c r="M964" s="55" t="n">
        <x:v>1442</x:v>
      </x:c>
      <x:c r="N964" s="55" t="n">
        <x:v>2680</x:v>
      </x:c>
      <x:c r="O964" s="55" t="n">
        <x:v>1324</x:v>
      </x:c>
      <x:c r="P964" s="55" t="n">
        <x:v>668</x:v>
      </x:c>
      <x:c r="Q964" s="55" t="n">
        <x:v>1561</x:v>
      </x:c>
      <x:c r="R964" s="55" t="n">
        <x:v>1487</x:v>
      </x:c>
      <x:c r="S964" s="55" t="n">
        <x:v>2731</x:v>
      </x:c>
      <x:c r="T964" s="55" t="n">
        <x:v>1023</x:v>
      </x:c>
      <x:c r="U964" s="55" t="n">
        <x:v>2139</x:v>
      </x:c>
      <x:c r="V964" s="55" t="n">
        <x:v>9571</x:v>
      </x:c>
      <x:c r="W964" s="55" t="n">
        <x:v>6456</x:v>
      </x:c>
      <x:c r="X964" s="55" t="n">
        <x:v>3115</x:v>
      </x:c>
      <x:c r="Y964" s="55" t="n">
        <x:v>2550</x:v>
      </x:c>
      <x:c r="Z964" s="55" t="n">
        <x:v>3791</x:v>
      </x:c>
      <x:c r="AA964" s="55" t="n">
        <x:v>2869</x:v>
      </x:c>
      <x:c r="AB964" s="55" t="n">
        <x:v>1233</x:v>
      </x:c>
      <x:c r="AC964" s="55" t="n">
        <x:v>8205</x:v>
      </x:c>
      <x:c r="AD964" s="55" t="n">
        <x:v>2651</x:v>
      </x:c>
      <x:c r="AE964" s="55" t="n">
        <x:v>9734</x:v>
      </x:c>
      <x:c r="AF964" s="55" t="n">
        <x:v>9571</x:v>
      </x:c>
      <x:c r="AG964" s="55" t="n">
        <x:v>163</x:v>
      </x:c>
      <x:c r="AH964" s="55" t="n">
        <x:v>122</x:v>
      </x:c>
      <x:c r="AI964" s="55" t="n">
        <x:v>9449</x:v>
      </x:c>
      <x:c r="AJ964" s="55" t="n">
        <x:v>321</x:v>
      </x:c>
      <x:c r="AK964" s="55" t="n">
        <x:v>698</x:v>
      </x:c>
      <x:c r="AL964" s="55" t="n">
        <x:v>1288</x:v>
      </x:c>
      <x:c r="AM964" s="55" t="n">
        <x:v>5003</x:v>
      </x:c>
      <x:c r="AN964" s="55" t="n">
        <x:v>2244</x:v>
      </x:c>
      <x:c r="AO964" s="55" t="n">
        <x:v>17</x:v>
      </x:c>
      <x:c r="AP964" s="55" t="n">
        <x:v>2313</x:v>
      </x:c>
      <x:c r="AQ964" s="55" t="n">
        <x:v>983</x:v>
      </x:c>
    </x:row>
    <x:row r="965">
      <x:c r="A965" s="54" t="str">
        <x:v>T0_TABLE_BLOCK</x:v>
      </x:c>
      <x:c r="B965" s="54" t="n">
        <x:v>959</x:v>
      </x:c>
      <x:c r="C965" s="54" t="str">
        <x:v>NYC-V2-R01</x:v>
      </x:c>
      <x:c r="D965" s="54" t="str">
        <x:v>V2</x:v>
      </x:c>
      <x:c r="E965" s="54" t="str">
        <x:v>ADMITTED</x:v>
      </x:c>
      <x:c r="F965" s="55" t="n">
        <x:v>32011</x:v>
      </x:c>
      <x:c r="G965" s="55" t="n">
        <x:v>6720</x:v>
      </x:c>
      <x:c r="H965" s="55" t="n">
        <x:v>3589</x:v>
      </x:c>
      <x:c r="I965" s="55" t="n">
        <x:v>1426</x:v>
      </x:c>
      <x:c r="J965" s="55" t="n">
        <x:v>228</x:v>
      </x:c>
      <x:c r="K965" s="55" t="n">
        <x:v>32011</x:v>
      </x:c>
      <x:c r="L965" s="55" t="n">
        <x:v>5887</x:v>
      </x:c>
      <x:c r="M965" s="55" t="n">
        <x:v>1257</x:v>
      </x:c>
      <x:c r="N965" s="55" t="n">
        <x:v>3046</x:v>
      </x:c>
      <x:c r="O965" s="55" t="n">
        <x:v>1584</x:v>
      </x:c>
      <x:c r="P965" s="55" t="n">
        <x:v>1259</x:v>
      </x:c>
      <x:c r="Q965" s="55" t="n">
        <x:v>1898</x:v>
      </x:c>
      <x:c r="R965" s="55" t="n">
        <x:v>2320</x:v>
      </x:c>
      <x:c r="S965" s="55" t="n">
        <x:v>2749</x:v>
      </x:c>
      <x:c r="T965" s="55" t="n">
        <x:v>942</x:v>
      </x:c>
      <x:c r="U965" s="55" t="n">
        <x:v>2106</x:v>
      </x:c>
      <x:c r="V965" s="55" t="n">
        <x:v>10129</x:v>
      </x:c>
      <x:c r="W965" s="55" t="n">
        <x:v>6762</x:v>
      </x:c>
      <x:c r="X965" s="55" t="n">
        <x:v>3367</x:v>
      </x:c>
      <x:c r="Y965" s="55" t="n">
        <x:v>2858</x:v>
      </x:c>
      <x:c r="Z965" s="55" t="n">
        <x:v>3869</x:v>
      </x:c>
      <x:c r="AA965" s="55" t="n">
        <x:v>3589</x:v>
      </x:c>
      <x:c r="AB965" s="55" t="n">
        <x:v>1163</x:v>
      </x:c>
      <x:c r="AC965" s="55" t="n">
        <x:v>8114</x:v>
      </x:c>
      <x:c r="AD965" s="55" t="n">
        <x:v>2631</x:v>
      </x:c>
      <x:c r="AE965" s="55" t="n">
        <x:v>10154</x:v>
      </x:c>
      <x:c r="AF965" s="55" t="n">
        <x:v>10129</x:v>
      </x:c>
      <x:c r="AG965" s="55" t="n">
        <x:v>25</x:v>
      </x:c>
      <x:c r="AH965" s="55" t="n">
        <x:v>395</x:v>
      </x:c>
      <x:c r="AI965" s="55" t="n">
        <x:v>9734</x:v>
      </x:c>
      <x:c r="AJ965" s="55" t="n">
        <x:v>255</x:v>
      </x:c>
      <x:c r="AK965" s="55" t="n">
        <x:v>611</x:v>
      </x:c>
      <x:c r="AL965" s="55" t="n">
        <x:v>1054</x:v>
      </x:c>
      <x:c r="AM965" s="55" t="n">
        <x:v>5067</x:v>
      </x:c>
      <x:c r="AN965" s="55" t="n">
        <x:v>3075</x:v>
      </x:c>
      <x:c r="AO965" s="55" t="n">
        <x:v>67</x:v>
      </x:c>
      <x:c r="AP965" s="55" t="n">
        <x:v>2876</x:v>
      </x:c>
      <x:c r="AQ965" s="55" t="n">
        <x:v>981</x:v>
      </x:c>
    </x:row>
    <x:row r="966">
      <x:c r="A966" s="54" t="str">
        <x:v>T0_TABLE_BLOCK</x:v>
      </x:c>
      <x:c r="B966" s="54" t="n">
        <x:v>960</x:v>
      </x:c>
      <x:c r="C966" s="54" t="str">
        <x:v>NYC-V2-R01</x:v>
      </x:c>
      <x:c r="D966" s="54" t="str">
        <x:v>V2</x:v>
      </x:c>
      <x:c r="E966" s="54" t="str">
        <x:v>ADMITTED</x:v>
      </x:c>
      <x:c r="F966" s="55" t="n">
        <x:v>30603</x:v>
      </x:c>
      <x:c r="G966" s="55" t="n">
        <x:v>6299</x:v>
      </x:c>
      <x:c r="H966" s="55" t="n">
        <x:v>3464</x:v>
      </x:c>
      <x:c r="I966" s="55" t="n">
        <x:v>730</x:v>
      </x:c>
      <x:c r="J966" s="55" t="n">
        <x:v>67</x:v>
      </x:c>
      <x:c r="K966" s="55" t="n">
        <x:v>30603</x:v>
      </x:c>
      <x:c r="L966" s="55" t="n">
        <x:v>5322</x:v>
      </x:c>
      <x:c r="M966" s="55" t="n">
        <x:v>1053</x:v>
      </x:c>
      <x:c r="N966" s="55" t="n">
        <x:v>2630</x:v>
      </x:c>
      <x:c r="O966" s="55" t="n">
        <x:v>1639</x:v>
      </x:c>
      <x:c r="P966" s="55" t="n">
        <x:v>849</x:v>
      </x:c>
      <x:c r="Q966" s="55" t="n">
        <x:v>2701</x:v>
      </x:c>
      <x:c r="R966" s="55" t="n">
        <x:v>1465</x:v>
      </x:c>
      <x:c r="S966" s="55" t="n">
        <x:v>2569</x:v>
      </x:c>
      <x:c r="T966" s="55" t="n">
        <x:v>802</x:v>
      </x:c>
      <x:c r="U966" s="55" t="n">
        <x:v>1742</x:v>
      </x:c>
      <x:c r="V966" s="55" t="n">
        <x:v>10837</x:v>
      </x:c>
      <x:c r="W966" s="55" t="n">
        <x:v>7641</x:v>
      </x:c>
      <x:c r="X966" s="55" t="n">
        <x:v>3196</x:v>
      </x:c>
      <x:c r="Y966" s="55" t="n">
        <x:v>2724</x:v>
      </x:c>
      <x:c r="Z966" s="55" t="n">
        <x:v>3959</x:v>
      </x:c>
      <x:c r="AA966" s="55" t="n">
        <x:v>3464</x:v>
      </x:c>
      <x:c r="AB966" s="55" t="n">
        <x:v>1574</x:v>
      </x:c>
      <x:c r="AC966" s="55" t="n">
        <x:v>8759</x:v>
      </x:c>
      <x:c r="AD966" s="55" t="n">
        <x:v>3166</x:v>
      </x:c>
      <x:c r="AE966" s="55" t="n">
        <x:v>10964</x:v>
      </x:c>
      <x:c r="AF966" s="55" t="n">
        <x:v>10837</x:v>
      </x:c>
      <x:c r="AG966" s="55" t="n">
        <x:v>127</x:v>
      </x:c>
      <x:c r="AH966" s="55" t="n">
        <x:v>471</x:v>
      </x:c>
      <x:c r="AI966" s="55" t="n">
        <x:v>10366</x:v>
      </x:c>
      <x:c r="AJ966" s="55" t="n">
        <x:v>454</x:v>
      </x:c>
      <x:c r="AK966" s="55" t="n">
        <x:v>947</x:v>
      </x:c>
      <x:c r="AL966" s="55" t="n">
        <x:v>1605</x:v>
      </x:c>
      <x:c r="AM966" s="55" t="n">
        <x:v>4692</x:v>
      </x:c>
      <x:c r="AN966" s="55" t="n">
        <x:v>3054</x:v>
      </x:c>
      <x:c r="AO966" s="55" t="n">
        <x:v>85</x:v>
      </x:c>
      <x:c r="AP966" s="55" t="n">
        <x:v>2903</x:v>
      </x:c>
      <x:c r="AQ966" s="55" t="n">
        <x:v>911</x:v>
      </x:c>
    </x:row>
    <x:row r="967">
      <x:c r="A967" s="54" t="str">
        <x:v>T0_TABLE_BLOCK</x:v>
      </x:c>
      <x:c r="B967" s="54" t="n">
        <x:v>961</x:v>
      </x:c>
      <x:c r="C967" s="54" t="str">
        <x:v>NYC-V2-R01</x:v>
      </x:c>
      <x:c r="D967" s="54" t="str">
        <x:v>V2</x:v>
      </x:c>
      <x:c r="E967" s="54" t="str">
        <x:v>ADMITTED</x:v>
      </x:c>
      <x:c r="F967" s="55" t="n">
        <x:v>30977</x:v>
      </x:c>
      <x:c r="G967" s="55" t="n">
        <x:v>7298</x:v>
      </x:c>
      <x:c r="H967" s="55" t="n">
        <x:v>3486</x:v>
      </x:c>
      <x:c r="I967" s="55" t="n">
        <x:v>996</x:v>
      </x:c>
      <x:c r="J967" s="55" t="n">
        <x:v>142</x:v>
      </x:c>
      <x:c r="K967" s="55" t="n">
        <x:v>30977</x:v>
      </x:c>
      <x:c r="L967" s="55" t="n">
        <x:v>6000</x:v>
      </x:c>
      <x:c r="M967" s="55" t="n">
        <x:v>762</x:v>
      </x:c>
      <x:c r="N967" s="55" t="n">
        <x:v>3459</x:v>
      </x:c>
      <x:c r="O967" s="55" t="n">
        <x:v>1779</x:v>
      </x:c>
      <x:c r="P967" s="55" t="n">
        <x:v>648</x:v>
      </x:c>
      <x:c r="Q967" s="55" t="n">
        <x:v>2722</x:v>
      </x:c>
      <x:c r="R967" s="55" t="n">
        <x:v>2344</x:v>
      </x:c>
      <x:c r="S967" s="55" t="n">
        <x:v>2585</x:v>
      </x:c>
      <x:c r="T967" s="55" t="n">
        <x:v>914</x:v>
      </x:c>
      <x:c r="U967" s="55" t="n">
        <x:v>2122</x:v>
      </x:c>
      <x:c r="V967" s="55" t="n">
        <x:v>10280</x:v>
      </x:c>
      <x:c r="W967" s="55" t="n">
        <x:v>7202</x:v>
      </x:c>
      <x:c r="X967" s="55" t="n">
        <x:v>3078</x:v>
      </x:c>
      <x:c r="Y967" s="55" t="n">
        <x:v>2732</x:v>
      </x:c>
      <x:c r="Z967" s="55" t="n">
        <x:v>3361</x:v>
      </x:c>
      <x:c r="AA967" s="55" t="n">
        <x:v>3486</x:v>
      </x:c>
      <x:c r="AB967" s="55" t="n">
        <x:v>1247</x:v>
      </x:c>
      <x:c r="AC967" s="55" t="n">
        <x:v>8189</x:v>
      </x:c>
      <x:c r="AD967" s="55" t="n">
        <x:v>3198</x:v>
      </x:c>
      <x:c r="AE967" s="55" t="n">
        <x:v>10370</x:v>
      </x:c>
      <x:c r="AF967" s="55" t="n">
        <x:v>10280</x:v>
      </x:c>
      <x:c r="AG967" s="55" t="n">
        <x:v>90</x:v>
      </x:c>
      <x:c r="AH967" s="55" t="n">
        <x:v>427</x:v>
      </x:c>
      <x:c r="AI967" s="55" t="n">
        <x:v>9853</x:v>
      </x:c>
      <x:c r="AJ967" s="55" t="n">
        <x:v>195</x:v>
      </x:c>
      <x:c r="AK967" s="55" t="n">
        <x:v>1025</x:v>
      </x:c>
      <x:c r="AL967" s="55" t="n">
        <x:v>1619</x:v>
      </x:c>
      <x:c r="AM967" s="55" t="n">
        <x:v>4576</x:v>
      </x:c>
      <x:c r="AN967" s="55" t="n">
        <x:v>2838</x:v>
      </x:c>
      <x:c r="AO967" s="55" t="n">
        <x:v>27</x:v>
      </x:c>
      <x:c r="AP967" s="55" t="n">
        <x:v>2172</x:v>
      </x:c>
      <x:c r="AQ967" s="55" t="n">
        <x:v>968</x:v>
      </x:c>
    </x:row>
    <x:row r="968">
      <x:c r="A968" s="54" t="str">
        <x:v>T0_TABLE_BLOCK</x:v>
      </x:c>
      <x:c r="B968" s="54" t="n">
        <x:v>962</x:v>
      </x:c>
      <x:c r="C968" s="54" t="str">
        <x:v>NYC-V2-R01</x:v>
      </x:c>
      <x:c r="D968" s="54" t="str">
        <x:v>V2</x:v>
      </x:c>
      <x:c r="E968" s="54" t="str">
        <x:v>ADMITTED</x:v>
      </x:c>
      <x:c r="F968" s="55" t="n">
        <x:v>34015</x:v>
      </x:c>
      <x:c r="G968" s="55" t="n">
        <x:v>9434</x:v>
      </x:c>
      <x:c r="H968" s="55" t="n">
        <x:v>3438</x:v>
      </x:c>
      <x:c r="I968" s="55" t="n">
        <x:v>1170</x:v>
      </x:c>
      <x:c r="J968" s="55" t="n">
        <x:v>162</x:v>
      </x:c>
      <x:c r="K968" s="55" t="n">
        <x:v>32209</x:v>
      </x:c>
      <x:c r="L968" s="55" t="n">
        <x:v>6987</x:v>
      </x:c>
      <x:c r="M968" s="55" t="n">
        <x:v>1768</x:v>
      </x:c>
      <x:c r="N968" s="55" t="n">
        <x:v>3562</x:v>
      </x:c>
      <x:c r="O968" s="55" t="n">
        <x:v>1657</x:v>
      </x:c>
      <x:c r="P968" s="55" t="n">
        <x:v>459</x:v>
      </x:c>
      <x:c r="Q968" s="55" t="n">
        <x:v>2910</x:v>
      </x:c>
      <x:c r="R968" s="55" t="n">
        <x:v>1788</x:v>
      </x:c>
      <x:c r="S968" s="55" t="n">
        <x:v>2408</x:v>
      </x:c>
      <x:c r="T968" s="55" t="n">
        <x:v>832</x:v>
      </x:c>
      <x:c r="U968" s="55" t="n">
        <x:v>2098</x:v>
      </x:c>
      <x:c r="V968" s="55" t="n">
        <x:v>10310</x:v>
      </x:c>
      <x:c r="W968" s="55" t="n">
        <x:v>7278</x:v>
      </x:c>
      <x:c r="X968" s="55" t="n">
        <x:v>3032</x:v>
      </x:c>
      <x:c r="Y968" s="55" t="n">
        <x:v>2561</x:v>
      </x:c>
      <x:c r="Z968" s="55" t="n">
        <x:v>3499</x:v>
      </x:c>
      <x:c r="AA968" s="55" t="n">
        <x:v>3438</x:v>
      </x:c>
      <x:c r="AB968" s="55" t="n">
        <x:v>1506</x:v>
      </x:c>
      <x:c r="AC968" s="55" t="n">
        <x:v>7924</x:v>
      </x:c>
      <x:c r="AD968" s="55" t="n">
        <x:v>3121</x:v>
      </x:c>
      <x:c r="AE968" s="55" t="n">
        <x:v>10406</x:v>
      </x:c>
      <x:c r="AF968" s="55" t="n">
        <x:v>10310</x:v>
      </x:c>
      <x:c r="AG968" s="55" t="n">
        <x:v>96</x:v>
      </x:c>
      <x:c r="AH968" s="55" t="n">
        <x:v>338</x:v>
      </x:c>
      <x:c r="AI968" s="55" t="n">
        <x:v>9972</x:v>
      </x:c>
      <x:c r="AJ968" s="55" t="n">
        <x:v>325</x:v>
      </x:c>
      <x:c r="AK968" s="55" t="n">
        <x:v>885</x:v>
      </x:c>
      <x:c r="AL968" s="55" t="n">
        <x:v>1269</x:v>
      </x:c>
      <x:c r="AM968" s="55" t="n">
        <x:v>4924</x:v>
      </x:c>
      <x:c r="AN968" s="55" t="n">
        <x:v>2877</x:v>
      </x:c>
      <x:c r="AO968" s="55" t="n">
        <x:v>30</x:v>
      </x:c>
      <x:c r="AP968" s="55" t="n">
        <x:v>2819</x:v>
      </x:c>
      <x:c r="AQ968" s="55" t="n">
        <x:v>978</x:v>
      </x:c>
    </x:row>
    <x:row r="969">
      <x:c r="A969" s="54" t="str">
        <x:v>T0_TABLE_BLOCK</x:v>
      </x:c>
      <x:c r="B969" s="54" t="n">
        <x:v>963</x:v>
      </x:c>
      <x:c r="C969" s="54" t="str">
        <x:v>NYC-V2-R01</x:v>
      </x:c>
      <x:c r="D969" s="54" t="str">
        <x:v>V2</x:v>
      </x:c>
      <x:c r="E969" s="54" t="str">
        <x:v>ADMITTED</x:v>
      </x:c>
      <x:c r="F969" s="55" t="n">
        <x:v>28247</x:v>
      </x:c>
      <x:c r="G969" s="55" t="n">
        <x:v>7074</x:v>
      </x:c>
      <x:c r="H969" s="55" t="n">
        <x:v>3078</x:v>
      </x:c>
      <x:c r="I969" s="55" t="n">
        <x:v>1516</x:v>
      </x:c>
      <x:c r="J969" s="55" t="n">
        <x:v>388</x:v>
      </x:c>
      <x:c r="K969" s="55" t="n">
        <x:v>27007</x:v>
      </x:c>
      <x:c r="L969" s="55" t="n">
        <x:v>5281</x:v>
      </x:c>
      <x:c r="M969" s="55" t="n">
        <x:v>754</x:v>
      </x:c>
      <x:c r="N969" s="55" t="n">
        <x:v>2708</x:v>
      </x:c>
      <x:c r="O969" s="55" t="n">
        <x:v>1819</x:v>
      </x:c>
      <x:c r="P969" s="55" t="n">
        <x:v>1110</x:v>
      </x:c>
      <x:c r="Q969" s="55" t="n">
        <x:v>1590</x:v>
      </x:c>
      <x:c r="R969" s="55" t="n">
        <x:v>1117</x:v>
      </x:c>
      <x:c r="S969" s="55" t="n">
        <x:v>2221</x:v>
      </x:c>
      <x:c r="T969" s="55" t="n">
        <x:v>937</x:v>
      </x:c>
      <x:c r="U969" s="55" t="n">
        <x:v>2811</x:v>
      </x:c>
      <x:c r="V969" s="55" t="n">
        <x:v>10620</x:v>
      </x:c>
      <x:c r="W969" s="55" t="n">
        <x:v>7375</x:v>
      </x:c>
      <x:c r="X969" s="55" t="n">
        <x:v>3245</x:v>
      </x:c>
      <x:c r="Y969" s="55" t="n">
        <x:v>2876</x:v>
      </x:c>
      <x:c r="Z969" s="55" t="n">
        <x:v>3984</x:v>
      </x:c>
      <x:c r="AA969" s="55" t="n">
        <x:v>2066</x:v>
      </x:c>
      <x:c r="AB969" s="55" t="n">
        <x:v>1234</x:v>
      </x:c>
      <x:c r="AC969" s="55" t="n">
        <x:v>8285</x:v>
      </x:c>
      <x:c r="AD969" s="55" t="n">
        <x:v>3355</x:v>
      </x:c>
      <x:c r="AE969" s="55" t="n">
        <x:v>10737</x:v>
      </x:c>
      <x:c r="AF969" s="55" t="n">
        <x:v>10620</x:v>
      </x:c>
      <x:c r="AG969" s="55" t="n">
        <x:v>117</x:v>
      </x:c>
      <x:c r="AH969" s="55" t="n">
        <x:v>495</x:v>
      </x:c>
      <x:c r="AI969" s="55" t="n">
        <x:v>10125</x:v>
      </x:c>
      <x:c r="AJ969" s="55" t="n">
        <x:v>240</x:v>
      </x:c>
      <x:c r="AK969" s="55" t="n">
        <x:v>786</x:v>
      </x:c>
      <x:c r="AL969" s="55" t="n">
        <x:v>1716</x:v>
      </x:c>
      <x:c r="AM969" s="55" t="n">
        <x:v>5015</x:v>
      </x:c>
      <x:c r="AN969" s="55" t="n">
        <x:v>2863</x:v>
      </x:c>
      <x:c r="AO969" s="55" t="n">
        <x:v>0</x:v>
      </x:c>
      <x:c r="AP969" s="55" t="n">
        <x:v>2565</x:v>
      </x:c>
      <x:c r="AQ969" s="55" t="n">
        <x:v>898</x:v>
      </x:c>
    </x:row>
    <x:row r="970">
      <x:c r="A970" s="54" t="str">
        <x:v>T0_TABLE_BLOCK</x:v>
      </x:c>
      <x:c r="B970" s="54" t="n">
        <x:v>964</x:v>
      </x:c>
      <x:c r="C970" s="54" t="str">
        <x:v>NYC-V2-R01</x:v>
      </x:c>
      <x:c r="D970" s="54" t="str">
        <x:v>V2</x:v>
      </x:c>
      <x:c r="E970" s="54" t="str">
        <x:v>ADMITTED</x:v>
      </x:c>
      <x:c r="F970" s="55" t="n">
        <x:v>30994</x:v>
      </x:c>
      <x:c r="G970" s="55" t="n">
        <x:v>7027</x:v>
      </x:c>
      <x:c r="H970" s="55" t="n">
        <x:v>3413</x:v>
      </x:c>
      <x:c r="I970" s="55" t="n">
        <x:v>1538</x:v>
      </x:c>
      <x:c r="J970" s="55" t="n">
        <x:v>253</x:v>
      </x:c>
      <x:c r="K970" s="55" t="n">
        <x:v>30234</x:v>
      </x:c>
      <x:c r="L970" s="55" t="n">
        <x:v>5032</x:v>
      </x:c>
      <x:c r="M970" s="55" t="n">
        <x:v>540</x:v>
      </x:c>
      <x:c r="N970" s="55" t="n">
        <x:v>2802</x:v>
      </x:c>
      <x:c r="O970" s="55" t="n">
        <x:v>1690</x:v>
      </x:c>
      <x:c r="P970" s="55" t="n">
        <x:v>606</x:v>
      </x:c>
      <x:c r="Q970" s="55" t="n">
        <x:v>1329</x:v>
      </x:c>
      <x:c r="R970" s="55" t="n">
        <x:v>1921</x:v>
      </x:c>
      <x:c r="S970" s="55" t="n">
        <x:v>2657</x:v>
      </x:c>
      <x:c r="T970" s="55" t="n">
        <x:v>1575</x:v>
      </x:c>
      <x:c r="U970" s="55" t="n">
        <x:v>2293</x:v>
      </x:c>
      <x:c r="V970" s="55" t="n">
        <x:v>10096</x:v>
      </x:c>
      <x:c r="W970" s="55" t="n">
        <x:v>6961</x:v>
      </x:c>
      <x:c r="X970" s="55" t="n">
        <x:v>3135</x:v>
      </x:c>
      <x:c r="Y970" s="55" t="n">
        <x:v>2734</x:v>
      </x:c>
      <x:c r="Z970" s="55" t="n">
        <x:v>4026</x:v>
      </x:c>
      <x:c r="AA970" s="55" t="n">
        <x:v>2245</x:v>
      </x:c>
      <x:c r="AB970" s="55" t="n">
        <x:v>509</x:v>
      </x:c>
      <x:c r="AC970" s="55" t="n">
        <x:v>8360</x:v>
      </x:c>
      <x:c r="AD970" s="55" t="n">
        <x:v>3904</x:v>
      </x:c>
      <x:c r="AE970" s="55" t="n">
        <x:v>10170</x:v>
      </x:c>
      <x:c r="AF970" s="55" t="n">
        <x:v>10096</x:v>
      </x:c>
      <x:c r="AG970" s="55" t="n">
        <x:v>74</x:v>
      </x:c>
      <x:c r="AH970" s="55" t="n">
        <x:v>249</x:v>
      </x:c>
      <x:c r="AI970" s="55" t="n">
        <x:v>9847</x:v>
      </x:c>
      <x:c r="AJ970" s="55" t="n">
        <x:v>170</x:v>
      </x:c>
      <x:c r="AK970" s="55" t="n">
        <x:v>905</x:v>
      </x:c>
      <x:c r="AL970" s="55" t="n">
        <x:v>1526</x:v>
      </x:c>
      <x:c r="AM970" s="55" t="n">
        <x:v>4615</x:v>
      </x:c>
      <x:c r="AN970" s="55" t="n">
        <x:v>2880</x:v>
      </x:c>
      <x:c r="AO970" s="55" t="n">
        <x:v>0</x:v>
      </x:c>
      <x:c r="AP970" s="55" t="n">
        <x:v>2647</x:v>
      </x:c>
      <x:c r="AQ970" s="55" t="n">
        <x:v>943</x:v>
      </x:c>
    </x:row>
    <x:row r="971">
      <x:c r="A971" s="54" t="str">
        <x:v>T0_TABLE_BLOCK</x:v>
      </x:c>
      <x:c r="B971" s="54" t="n">
        <x:v>965</x:v>
      </x:c>
      <x:c r="C971" s="54" t="str">
        <x:v>NYC-V2-R01</x:v>
      </x:c>
      <x:c r="D971" s="54" t="str">
        <x:v>V2</x:v>
      </x:c>
      <x:c r="E971" s="54" t="str">
        <x:v>ADMITTED</x:v>
      </x:c>
      <x:c r="F971" s="55" t="n">
        <x:v>33797</x:v>
      </x:c>
      <x:c r="G971" s="55" t="n">
        <x:v>6731</x:v>
      </x:c>
      <x:c r="H971" s="55" t="n">
        <x:v>3142</x:v>
      </x:c>
      <x:c r="I971" s="55" t="n">
        <x:v>1438</x:v>
      </x:c>
      <x:c r="J971" s="55" t="n">
        <x:v>324</x:v>
      </x:c>
      <x:c r="K971" s="55" t="n">
        <x:v>33797</x:v>
      </x:c>
      <x:c r="L971" s="55" t="n">
        <x:v>6849</x:v>
      </x:c>
      <x:c r="M971" s="55" t="n">
        <x:v>1772</x:v>
      </x:c>
      <x:c r="N971" s="55" t="n">
        <x:v>2911</x:v>
      </x:c>
      <x:c r="O971" s="55" t="n">
        <x:v>2166</x:v>
      </x:c>
      <x:c r="P971" s="55" t="n">
        <x:v>700</x:v>
      </x:c>
      <x:c r="Q971" s="55" t="n">
        <x:v>2250</x:v>
      </x:c>
      <x:c r="R971" s="55" t="n">
        <x:v>1245</x:v>
      </x:c>
      <x:c r="S971" s="55" t="n">
        <x:v>2127</x:v>
      </x:c>
      <x:c r="T971" s="55" t="n">
        <x:v>1198</x:v>
      </x:c>
      <x:c r="U971" s="55" t="n">
        <x:v>1866</x:v>
      </x:c>
      <x:c r="V971" s="55" t="n">
        <x:v>10649</x:v>
      </x:c>
      <x:c r="W971" s="55" t="n">
        <x:v>7278</x:v>
      </x:c>
      <x:c r="X971" s="55" t="n">
        <x:v>3371</x:v>
      </x:c>
      <x:c r="Y971" s="55" t="n">
        <x:v>2946</x:v>
      </x:c>
      <x:c r="Z971" s="55" t="n">
        <x:v>3574</x:v>
      </x:c>
      <x:c r="AA971" s="55" t="n">
        <x:v>3069</x:v>
      </x:c>
      <x:c r="AB971" s="55" t="n">
        <x:v>1142</x:v>
      </x:c>
      <x:c r="AC971" s="55" t="n">
        <x:v>8287</x:v>
      </x:c>
      <x:c r="AD971" s="55" t="n">
        <x:v>2820</x:v>
      </x:c>
      <x:c r="AE971" s="55" t="n">
        <x:v>10787</x:v>
      </x:c>
      <x:c r="AF971" s="55" t="n">
        <x:v>10649</x:v>
      </x:c>
      <x:c r="AG971" s="55" t="n">
        <x:v>138</x:v>
      </x:c>
      <x:c r="AH971" s="55" t="n">
        <x:v>593</x:v>
      </x:c>
      <x:c r="AI971" s="55" t="n">
        <x:v>10056</x:v>
      </x:c>
      <x:c r="AJ971" s="55" t="n">
        <x:v>146</x:v>
      </x:c>
      <x:c r="AK971" s="55" t="n">
        <x:v>777</x:v>
      </x:c>
      <x:c r="AL971" s="55" t="n">
        <x:v>1378</x:v>
      </x:c>
      <x:c r="AM971" s="55" t="n">
        <x:v>6122</x:v>
      </x:c>
      <x:c r="AN971" s="55" t="n">
        <x:v>2226</x:v>
      </x:c>
      <x:c r="AO971" s="55" t="n">
        <x:v>0</x:v>
      </x:c>
      <x:c r="AP971" s="55" t="n">
        <x:v>2066</x:v>
      </x:c>
      <x:c r="AQ971" s="55" t="n">
        <x:v>1019</x:v>
      </x:c>
    </x:row>
    <x:row r="972">
      <x:c r="A972" s="54" t="str">
        <x:v>T0_TABLE_BLOCK</x:v>
      </x:c>
      <x:c r="B972" s="54" t="n">
        <x:v>966</x:v>
      </x:c>
      <x:c r="C972" s="54" t="str">
        <x:v>NYC-V2-R01</x:v>
      </x:c>
      <x:c r="D972" s="54" t="str">
        <x:v>V2</x:v>
      </x:c>
      <x:c r="E972" s="54" t="str">
        <x:v>ADMITTED</x:v>
      </x:c>
      <x:c r="F972" s="55" t="n">
        <x:v>32104</x:v>
      </x:c>
      <x:c r="G972" s="55" t="n">
        <x:v>7304</x:v>
      </x:c>
      <x:c r="H972" s="55" t="n">
        <x:v>3325</x:v>
      </x:c>
      <x:c r="I972" s="55" t="n">
        <x:v>1148</x:v>
      </x:c>
      <x:c r="J972" s="55" t="n">
        <x:v>324</x:v>
      </x:c>
      <x:c r="K972" s="55" t="n">
        <x:v>31384</x:v>
      </x:c>
      <x:c r="L972" s="55" t="n">
        <x:v>4924</x:v>
      </x:c>
      <x:c r="M972" s="55" t="n">
        <x:v>754</x:v>
      </x:c>
      <x:c r="N972" s="55" t="n">
        <x:v>2589</x:v>
      </x:c>
      <x:c r="O972" s="55" t="n">
        <x:v>1581</x:v>
      </x:c>
      <x:c r="P972" s="55" t="n">
        <x:v>912</x:v>
      </x:c>
      <x:c r="Q972" s="55" t="n">
        <x:v>1695</x:v>
      </x:c>
      <x:c r="R972" s="55" t="n">
        <x:v>1767</x:v>
      </x:c>
      <x:c r="S972" s="55" t="n">
        <x:v>3469</x:v>
      </x:c>
      <x:c r="T972" s="55" t="n">
        <x:v>629</x:v>
      </x:c>
      <x:c r="U972" s="55" t="n">
        <x:v>2518</x:v>
      </x:c>
      <x:c r="V972" s="55" t="n">
        <x:v>10330</x:v>
      </x:c>
      <x:c r="W972" s="55" t="n">
        <x:v>7007</x:v>
      </x:c>
      <x:c r="X972" s="55" t="n">
        <x:v>3323</x:v>
      </x:c>
      <x:c r="Y972" s="55" t="n">
        <x:v>2858</x:v>
      </x:c>
      <x:c r="Z972" s="55" t="n">
        <x:v>3490</x:v>
      </x:c>
      <x:c r="AA972" s="55" t="n">
        <x:v>2735</x:v>
      </x:c>
      <x:c r="AB972" s="55" t="n">
        <x:v>556</x:v>
      </x:c>
      <x:c r="AC972" s="55" t="n">
        <x:v>8003</x:v>
      </x:c>
      <x:c r="AD972" s="55" t="n">
        <x:v>2477</x:v>
      </x:c>
      <x:c r="AE972" s="55" t="n">
        <x:v>10393</x:v>
      </x:c>
      <x:c r="AF972" s="55" t="n">
        <x:v>10330</x:v>
      </x:c>
      <x:c r="AG972" s="55" t="n">
        <x:v>63</x:v>
      </x:c>
      <x:c r="AH972" s="55" t="n">
        <x:v>482</x:v>
      </x:c>
      <x:c r="AI972" s="55" t="n">
        <x:v>9848</x:v>
      </x:c>
      <x:c r="AJ972" s="55" t="n">
        <x:v>243</x:v>
      </x:c>
      <x:c r="AK972" s="55" t="n">
        <x:v>1000</x:v>
      </x:c>
      <x:c r="AL972" s="55" t="n">
        <x:v>1841</x:v>
      </x:c>
      <x:c r="AM972" s="55" t="n">
        <x:v>4763</x:v>
      </x:c>
      <x:c r="AN972" s="55" t="n">
        <x:v>2483</x:v>
      </x:c>
      <x:c r="AO972" s="55" t="n">
        <x:v>0</x:v>
      </x:c>
      <x:c r="AP972" s="55" t="n">
        <x:v>1690</x:v>
      </x:c>
      <x:c r="AQ972" s="55" t="n">
        <x:v>909</x:v>
      </x:c>
    </x:row>
    <x:row r="973">
      <x:c r="A973" s="54" t="str">
        <x:v>T0_TABLE_BLOCK</x:v>
      </x:c>
      <x:c r="B973" s="54" t="n">
        <x:v>967</x:v>
      </x:c>
      <x:c r="C973" s="54" t="str">
        <x:v>NYC-V2-R01</x:v>
      </x:c>
      <x:c r="D973" s="54" t="str">
        <x:v>V2</x:v>
      </x:c>
      <x:c r="E973" s="54" t="str">
        <x:v>ADMITTED</x:v>
      </x:c>
      <x:c r="F973" s="55" t="n">
        <x:v>30525</x:v>
      </x:c>
      <x:c r="G973" s="55" t="n">
        <x:v>7665</x:v>
      </x:c>
      <x:c r="H973" s="55" t="n">
        <x:v>3058</x:v>
      </x:c>
      <x:c r="I973" s="55" t="n">
        <x:v>887</x:v>
      </x:c>
      <x:c r="J973" s="55" t="n">
        <x:v>229</x:v>
      </x:c>
      <x:c r="K973" s="55" t="n">
        <x:v>29759</x:v>
      </x:c>
      <x:c r="L973" s="55" t="n">
        <x:v>5498</x:v>
      </x:c>
      <x:c r="M973" s="55" t="n">
        <x:v>874</x:v>
      </x:c>
      <x:c r="N973" s="55" t="n">
        <x:v>2563</x:v>
      </x:c>
      <x:c r="O973" s="55" t="n">
        <x:v>2061</x:v>
      </x:c>
      <x:c r="P973" s="55" t="n">
        <x:v>1031</x:v>
      </x:c>
      <x:c r="Q973" s="55" t="n">
        <x:v>2205</x:v>
      </x:c>
      <x:c r="R973" s="55" t="n">
        <x:v>2496</x:v>
      </x:c>
      <x:c r="S973" s="55" t="n">
        <x:v>3174</x:v>
      </x:c>
      <x:c r="T973" s="55" t="n">
        <x:v>1369</x:v>
      </x:c>
      <x:c r="U973" s="55" t="n">
        <x:v>1594</x:v>
      </x:c>
      <x:c r="V973" s="55" t="n">
        <x:v>10898</x:v>
      </x:c>
      <x:c r="W973" s="55" t="n">
        <x:v>7998</x:v>
      </x:c>
      <x:c r="X973" s="55" t="n">
        <x:v>2900</x:v>
      </x:c>
      <x:c r="Y973" s="55" t="n">
        <x:v>2640</x:v>
      </x:c>
      <x:c r="Z973" s="55" t="n">
        <x:v>3847</x:v>
      </x:c>
      <x:c r="AA973" s="55" t="n">
        <x:v>2802</x:v>
      </x:c>
      <x:c r="AB973" s="55" t="n">
        <x:v>1111</x:v>
      </x:c>
      <x:c r="AC973" s="55" t="n">
        <x:v>8358</x:v>
      </x:c>
      <x:c r="AD973" s="55" t="n">
        <x:v>2142</x:v>
      </x:c>
      <x:c r="AE973" s="55" t="n">
        <x:v>10913</x:v>
      </x:c>
      <x:c r="AF973" s="55" t="n">
        <x:v>10898</x:v>
      </x:c>
      <x:c r="AG973" s="55" t="n">
        <x:v>15</x:v>
      </x:c>
      <x:c r="AH973" s="55" t="n">
        <x:v>585</x:v>
      </x:c>
      <x:c r="AI973" s="55" t="n">
        <x:v>10313</x:v>
      </x:c>
      <x:c r="AJ973" s="55" t="n">
        <x:v>475</x:v>
      </x:c>
      <x:c r="AK973" s="55" t="n">
        <x:v>1190</x:v>
      </x:c>
      <x:c r="AL973" s="55" t="n">
        <x:v>2031</x:v>
      </x:c>
      <x:c r="AM973" s="55" t="n">
        <x:v>4605</x:v>
      </x:c>
      <x:c r="AN973" s="55" t="n">
        <x:v>2597</x:v>
      </x:c>
      <x:c r="AO973" s="55" t="n">
        <x:v>0</x:v>
      </x:c>
      <x:c r="AP973" s="55" t="n">
        <x:v>2415</x:v>
      </x:c>
      <x:c r="AQ973" s="55" t="n">
        <x:v>957</x:v>
      </x:c>
    </x:row>
    <x:row r="974">
      <x:c r="A974" s="54" t="str">
        <x:v>T0_TABLE_BLOCK</x:v>
      </x:c>
      <x:c r="B974" s="54" t="n">
        <x:v>968</x:v>
      </x:c>
      <x:c r="C974" s="54" t="str">
        <x:v>NYC-V2-R01</x:v>
      </x:c>
      <x:c r="D974" s="54" t="str">
        <x:v>V2</x:v>
      </x:c>
      <x:c r="E974" s="54" t="str">
        <x:v>ADMITTED</x:v>
      </x:c>
      <x:c r="F974" s="55" t="n">
        <x:v>32383</x:v>
      </x:c>
      <x:c r="G974" s="55" t="n">
        <x:v>8300</x:v>
      </x:c>
      <x:c r="H974" s="55" t="n">
        <x:v>3594</x:v>
      </x:c>
      <x:c r="I974" s="55" t="n">
        <x:v>864</x:v>
      </x:c>
      <x:c r="J974" s="55" t="n">
        <x:v>418</x:v>
      </x:c>
      <x:c r="K974" s="55" t="n">
        <x:v>32383</x:v>
      </x:c>
      <x:c r="L974" s="55" t="n">
        <x:v>5426</x:v>
      </x:c>
      <x:c r="M974" s="55" t="n">
        <x:v>1034</x:v>
      </x:c>
      <x:c r="N974" s="55" t="n">
        <x:v>2586</x:v>
      </x:c>
      <x:c r="O974" s="55" t="n">
        <x:v>1806</x:v>
      </x:c>
      <x:c r="P974" s="55" t="n">
        <x:v>632</x:v>
      </x:c>
      <x:c r="Q974" s="55" t="n">
        <x:v>2919</x:v>
      </x:c>
      <x:c r="R974" s="55" t="n">
        <x:v>2097</x:v>
      </x:c>
      <x:c r="S974" s="55" t="n">
        <x:v>2637</x:v>
      </x:c>
      <x:c r="T974" s="55" t="n">
        <x:v>1156</x:v>
      </x:c>
      <x:c r="U974" s="55" t="n">
        <x:v>1593</x:v>
      </x:c>
      <x:c r="V974" s="55" t="n">
        <x:v>10158</x:v>
      </x:c>
      <x:c r="W974" s="55" t="n">
        <x:v>7280</x:v>
      </x:c>
      <x:c r="X974" s="55" t="n">
        <x:v>2878</x:v>
      </x:c>
      <x:c r="Y974" s="55" t="n">
        <x:v>2376</x:v>
      </x:c>
      <x:c r="Z974" s="55" t="n">
        <x:v>3880</x:v>
      </x:c>
      <x:c r="AA974" s="55" t="n">
        <x:v>3594</x:v>
      </x:c>
      <x:c r="AB974" s="55" t="n">
        <x:v>1081</x:v>
      </x:c>
      <x:c r="AC974" s="55" t="n">
        <x:v>7982</x:v>
      </x:c>
      <x:c r="AD974" s="55" t="n">
        <x:v>2807</x:v>
      </x:c>
      <x:c r="AE974" s="55" t="n">
        <x:v>10332</x:v>
      </x:c>
      <x:c r="AF974" s="55" t="n">
        <x:v>10158</x:v>
      </x:c>
      <x:c r="AG974" s="55" t="n">
        <x:v>174</x:v>
      </x:c>
      <x:c r="AH974" s="55" t="n">
        <x:v>427</x:v>
      </x:c>
      <x:c r="AI974" s="55" t="n">
        <x:v>9731</x:v>
      </x:c>
      <x:c r="AJ974" s="55" t="n">
        <x:v>297</x:v>
      </x:c>
      <x:c r="AK974" s="55" t="n">
        <x:v>1111</x:v>
      </x:c>
      <x:c r="AL974" s="55" t="n">
        <x:v>1230</x:v>
      </x:c>
      <x:c r="AM974" s="55" t="n">
        <x:v>4674</x:v>
      </x:c>
      <x:c r="AN974" s="55" t="n">
        <x:v>2799</x:v>
      </x:c>
      <x:c r="AO974" s="55" t="n">
        <x:v>47</x:v>
      </x:c>
      <x:c r="AP974" s="55" t="n">
        <x:v>1901</x:v>
      </x:c>
      <x:c r="AQ974" s="55" t="n">
        <x:v>985</x:v>
      </x:c>
    </x:row>
    <x:row r="975">
      <x:c r="A975" s="54" t="str">
        <x:v>T0_TABLE_BLOCK</x:v>
      </x:c>
      <x:c r="B975" s="54" t="n">
        <x:v>969</x:v>
      </x:c>
      <x:c r="C975" s="54" t="str">
        <x:v>NYC-V2-R01</x:v>
      </x:c>
      <x:c r="D975" s="54" t="str">
        <x:v>V2</x:v>
      </x:c>
      <x:c r="E975" s="54" t="str">
        <x:v>ADMITTED</x:v>
      </x:c>
      <x:c r="F975" s="55" t="n">
        <x:v>31508</x:v>
      </x:c>
      <x:c r="G975" s="55" t="n">
        <x:v>7135</x:v>
      </x:c>
      <x:c r="H975" s="55" t="n">
        <x:v>3347</x:v>
      </x:c>
      <x:c r="I975" s="55" t="n">
        <x:v>1254</x:v>
      </x:c>
      <x:c r="J975" s="55" t="n">
        <x:v>257</x:v>
      </x:c>
      <x:c r="K975" s="55" t="n">
        <x:v>31238</x:v>
      </x:c>
      <x:c r="L975" s="55" t="n">
        <x:v>6077</x:v>
      </x:c>
      <x:c r="M975" s="55" t="n">
        <x:v>630</x:v>
      </x:c>
      <x:c r="N975" s="55" t="n">
        <x:v>3398</x:v>
      </x:c>
      <x:c r="O975" s="55" t="n">
        <x:v>2049</x:v>
      </x:c>
      <x:c r="P975" s="55" t="n">
        <x:v>1021</x:v>
      </x:c>
      <x:c r="Q975" s="55" t="n">
        <x:v>1711</x:v>
      </x:c>
      <x:c r="R975" s="55" t="n">
        <x:v>1769</x:v>
      </x:c>
      <x:c r="S975" s="55" t="n">
        <x:v>3090</x:v>
      </x:c>
      <x:c r="T975" s="55" t="n">
        <x:v>1274</x:v>
      </x:c>
      <x:c r="U975" s="55" t="n">
        <x:v>1945</x:v>
      </x:c>
      <x:c r="V975" s="55" t="n">
        <x:v>10500</x:v>
      </x:c>
      <x:c r="W975" s="55" t="n">
        <x:v>7754</x:v>
      </x:c>
      <x:c r="X975" s="55" t="n">
        <x:v>2746</x:v>
      </x:c>
      <x:c r="Y975" s="55" t="n">
        <x:v>2481</x:v>
      </x:c>
      <x:c r="Z975" s="55" t="n">
        <x:v>3504</x:v>
      </x:c>
      <x:c r="AA975" s="55" t="n">
        <x:v>3314</x:v>
      </x:c>
      <x:c r="AB975" s="55" t="n">
        <x:v>920</x:v>
      </x:c>
      <x:c r="AC975" s="55" t="n">
        <x:v>7748</x:v>
      </x:c>
      <x:c r="AD975" s="55" t="n">
        <x:v>2972</x:v>
      </x:c>
      <x:c r="AE975" s="55" t="n">
        <x:v>10587</x:v>
      </x:c>
      <x:c r="AF975" s="55" t="n">
        <x:v>10500</x:v>
      </x:c>
      <x:c r="AG975" s="55" t="n">
        <x:v>87</x:v>
      </x:c>
      <x:c r="AH975" s="55" t="n">
        <x:v>373</x:v>
      </x:c>
      <x:c r="AI975" s="55" t="n">
        <x:v>10127</x:v>
      </x:c>
      <x:c r="AJ975" s="55" t="n">
        <x:v>370</x:v>
      </x:c>
      <x:c r="AK975" s="55" t="n">
        <x:v>1309</x:v>
      </x:c>
      <x:c r="AL975" s="55" t="n">
        <x:v>1554</x:v>
      </x:c>
      <x:c r="AM975" s="55" t="n">
        <x:v>4877</x:v>
      </x:c>
      <x:c r="AN975" s="55" t="n">
        <x:v>2365</x:v>
      </x:c>
      <x:c r="AO975" s="55" t="n">
        <x:v>25</x:v>
      </x:c>
      <x:c r="AP975" s="55" t="n">
        <x:v>2133</x:v>
      </x:c>
      <x:c r="AQ975" s="55" t="n">
        <x:v>979</x:v>
      </x:c>
    </x:row>
    <x:row r="976">
      <x:c r="A976" s="54" t="str">
        <x:v>T0_TABLE_BLOCK</x:v>
      </x:c>
      <x:c r="B976" s="54" t="n">
        <x:v>970</x:v>
      </x:c>
      <x:c r="C976" s="54" t="str">
        <x:v>NYC-V2-R01</x:v>
      </x:c>
      <x:c r="D976" s="54" t="str">
        <x:v>V2</x:v>
      </x:c>
      <x:c r="E976" s="54" t="str">
        <x:v>ADMITTED</x:v>
      </x:c>
      <x:c r="F976" s="55" t="n">
        <x:v>31246</x:v>
      </x:c>
      <x:c r="G976" s="55" t="n">
        <x:v>7819</x:v>
      </x:c>
      <x:c r="H976" s="55" t="n">
        <x:v>3363</x:v>
      </x:c>
      <x:c r="I976" s="55" t="n">
        <x:v>1272</x:v>
      </x:c>
      <x:c r="J976" s="55" t="n">
        <x:v>180</x:v>
      </x:c>
      <x:c r="K976" s="55" t="n">
        <x:v>29874</x:v>
      </x:c>
      <x:c r="L976" s="55" t="n">
        <x:v>4991</x:v>
      </x:c>
      <x:c r="M976" s="55" t="n">
        <x:v>1191</x:v>
      </x:c>
      <x:c r="N976" s="55" t="n">
        <x:v>2325</x:v>
      </x:c>
      <x:c r="O976" s="55" t="n">
        <x:v>1475</x:v>
      </x:c>
      <x:c r="P976" s="55" t="n">
        <x:v>1336</x:v>
      </x:c>
      <x:c r="Q976" s="55" t="n">
        <x:v>2799</x:v>
      </x:c>
      <x:c r="R976" s="55" t="n">
        <x:v>2241</x:v>
      </x:c>
      <x:c r="S976" s="55" t="n">
        <x:v>2097</x:v>
      </x:c>
      <x:c r="T976" s="55" t="n">
        <x:v>1264</x:v>
      </x:c>
      <x:c r="U976" s="55" t="n">
        <x:v>1813</x:v>
      </x:c>
      <x:c r="V976" s="55" t="n">
        <x:v>10207</x:v>
      </x:c>
      <x:c r="W976" s="55" t="n">
        <x:v>7752</x:v>
      </x:c>
      <x:c r="X976" s="55" t="n">
        <x:v>2455</x:v>
      </x:c>
      <x:c r="Y976" s="55" t="n">
        <x:v>2264</x:v>
      </x:c>
      <x:c r="Z976" s="55" t="n">
        <x:v>3564</x:v>
      </x:c>
      <x:c r="AA976" s="55" t="n">
        <x:v>3007</x:v>
      </x:c>
      <x:c r="AB976" s="55" t="n">
        <x:v>1117</x:v>
      </x:c>
      <x:c r="AC976" s="55" t="n">
        <x:v>8553</x:v>
      </x:c>
      <x:c r="AD976" s="55" t="n">
        <x:v>2937</x:v>
      </x:c>
      <x:c r="AE976" s="55" t="n">
        <x:v>10261</x:v>
      </x:c>
      <x:c r="AF976" s="55" t="n">
        <x:v>10207</x:v>
      </x:c>
      <x:c r="AG976" s="55" t="n">
        <x:v>54</x:v>
      </x:c>
      <x:c r="AH976" s="55" t="n">
        <x:v>436</x:v>
      </x:c>
      <x:c r="AI976" s="55" t="n">
        <x:v>9771</x:v>
      </x:c>
      <x:c r="AJ976" s="55" t="n">
        <x:v>422</x:v>
      </x:c>
      <x:c r="AK976" s="55" t="n">
        <x:v>920</x:v>
      </x:c>
      <x:c r="AL976" s="55" t="n">
        <x:v>1205</x:v>
      </x:c>
      <x:c r="AM976" s="55" t="n">
        <x:v>4585</x:v>
      </x:c>
      <x:c r="AN976" s="55" t="n">
        <x:v>3009</x:v>
      </x:c>
      <x:c r="AO976" s="55" t="n">
        <x:v>66</x:v>
      </x:c>
      <x:c r="AP976" s="55" t="n">
        <x:v>2475</x:v>
      </x:c>
      <x:c r="AQ976" s="55" t="n">
        <x:v>950</x:v>
      </x:c>
    </x:row>
    <x:row r="977">
      <x:c r="A977" s="54" t="str">
        <x:v>T0_TABLE_BLOCK</x:v>
      </x:c>
      <x:c r="B977" s="54" t="n">
        <x:v>971</x:v>
      </x:c>
      <x:c r="C977" s="54" t="str">
        <x:v>NYC-V2-R01</x:v>
      </x:c>
      <x:c r="D977" s="54" t="str">
        <x:v>V2</x:v>
      </x:c>
      <x:c r="E977" s="54" t="str">
        <x:v>ADMITTED</x:v>
      </x:c>
      <x:c r="F977" s="55" t="n">
        <x:v>31396</x:v>
      </x:c>
      <x:c r="G977" s="55" t="n">
        <x:v>7565</x:v>
      </x:c>
      <x:c r="H977" s="55" t="n">
        <x:v>3612</x:v>
      </x:c>
      <x:c r="I977" s="55" t="n">
        <x:v>1881</x:v>
      </x:c>
      <x:c r="J977" s="55" t="n">
        <x:v>511</x:v>
      </x:c>
      <x:c r="K977" s="55" t="n">
        <x:v>28627</x:v>
      </x:c>
      <x:c r="L977" s="55" t="n">
        <x:v>5077</x:v>
      </x:c>
      <x:c r="M977" s="55" t="n">
        <x:v>774</x:v>
      </x:c>
      <x:c r="N977" s="55" t="n">
        <x:v>2407</x:v>
      </x:c>
      <x:c r="O977" s="55" t="n">
        <x:v>1896</x:v>
      </x:c>
      <x:c r="P977" s="55" t="n">
        <x:v>819</x:v>
      </x:c>
      <x:c r="Q977" s="55" t="n">
        <x:v>1674</x:v>
      </x:c>
      <x:c r="R977" s="55" t="n">
        <x:v>1950</x:v>
      </x:c>
      <x:c r="S977" s="55" t="n">
        <x:v>2633</x:v>
      </x:c>
      <x:c r="T977" s="55" t="n">
        <x:v>1027</x:v>
      </x:c>
      <x:c r="U977" s="55" t="n">
        <x:v>2296</x:v>
      </x:c>
      <x:c r="V977" s="55" t="n">
        <x:v>10783</x:v>
      </x:c>
      <x:c r="W977" s="55" t="n">
        <x:v>7600</x:v>
      </x:c>
      <x:c r="X977" s="55" t="n">
        <x:v>3183</x:v>
      </x:c>
      <x:c r="Y977" s="55" t="n">
        <x:v>2820</x:v>
      </x:c>
      <x:c r="Z977" s="55" t="n">
        <x:v>4046</x:v>
      </x:c>
      <x:c r="AA977" s="55" t="n">
        <x:v>3118</x:v>
      </x:c>
      <x:c r="AB977" s="55" t="n">
        <x:v>1287</x:v>
      </x:c>
      <x:c r="AC977" s="55" t="n">
        <x:v>7866</x:v>
      </x:c>
      <x:c r="AD977" s="55" t="n">
        <x:v>3268</x:v>
      </x:c>
      <x:c r="AE977" s="55" t="n">
        <x:v>10878</x:v>
      </x:c>
      <x:c r="AF977" s="55" t="n">
        <x:v>10783</x:v>
      </x:c>
      <x:c r="AG977" s="55" t="n">
        <x:v>95</x:v>
      </x:c>
      <x:c r="AH977" s="55" t="n">
        <x:v>631</x:v>
      </x:c>
      <x:c r="AI977" s="55" t="n">
        <x:v>10152</x:v>
      </x:c>
      <x:c r="AJ977" s="55" t="n">
        <x:v>390</x:v>
      </x:c>
      <x:c r="AK977" s="55" t="n">
        <x:v>1174</x:v>
      </x:c>
      <x:c r="AL977" s="55" t="n">
        <x:v>1749</x:v>
      </x:c>
      <x:c r="AM977" s="55" t="n">
        <x:v>4762</x:v>
      </x:c>
      <x:c r="AN977" s="55" t="n">
        <x:v>2681</x:v>
      </x:c>
      <x:c r="AO977" s="55" t="n">
        <x:v>27</x:v>
      </x:c>
      <x:c r="AP977" s="55" t="n">
        <x:v>2423</x:v>
      </x:c>
      <x:c r="AQ977" s="55" t="n">
        <x:v>1011</x:v>
      </x:c>
    </x:row>
    <x:row r="978">
      <x:c r="A978" s="54" t="str">
        <x:v>T0_TABLE_BLOCK</x:v>
      </x:c>
      <x:c r="B978" s="54" t="n">
        <x:v>972</x:v>
      </x:c>
      <x:c r="C978" s="54" t="str">
        <x:v>NYC-V2-R01</x:v>
      </x:c>
      <x:c r="D978" s="54" t="str">
        <x:v>V2</x:v>
      </x:c>
      <x:c r="E978" s="54" t="str">
        <x:v>ADMITTED</x:v>
      </x:c>
      <x:c r="F978" s="55" t="n">
        <x:v>30380</x:v>
      </x:c>
      <x:c r="G978" s="55" t="n">
        <x:v>7765</x:v>
      </x:c>
      <x:c r="H978" s="55" t="n">
        <x:v>3156</x:v>
      </x:c>
      <x:c r="I978" s="55" t="n">
        <x:v>1203</x:v>
      </x:c>
      <x:c r="J978" s="55" t="n">
        <x:v>170</x:v>
      </x:c>
      <x:c r="K978" s="55" t="n">
        <x:v>29286</x:v>
      </x:c>
      <x:c r="L978" s="55" t="n">
        <x:v>5819</x:v>
      </x:c>
      <x:c r="M978" s="55" t="n">
        <x:v>1742</x:v>
      </x:c>
      <x:c r="N978" s="55" t="n">
        <x:v>2561</x:v>
      </x:c>
      <x:c r="O978" s="55" t="n">
        <x:v>1516</x:v>
      </x:c>
      <x:c r="P978" s="55" t="n">
        <x:v>1000</x:v>
      </x:c>
      <x:c r="Q978" s="55" t="n">
        <x:v>3221</x:v>
      </x:c>
      <x:c r="R978" s="55" t="n">
        <x:v>1634</x:v>
      </x:c>
      <x:c r="S978" s="55" t="n">
        <x:v>2786</x:v>
      </x:c>
      <x:c r="T978" s="55" t="n">
        <x:v>1009</x:v>
      </x:c>
      <x:c r="U978" s="55" t="n">
        <x:v>1569</x:v>
      </x:c>
      <x:c r="V978" s="55" t="n">
        <x:v>11197</x:v>
      </x:c>
      <x:c r="W978" s="55" t="n">
        <x:v>7423</x:v>
      </x:c>
      <x:c r="X978" s="55" t="n">
        <x:v>3774</x:v>
      </x:c>
      <x:c r="Y978" s="55" t="n">
        <x:v>3474</x:v>
      </x:c>
      <x:c r="Z978" s="55" t="n">
        <x:v>3752</x:v>
      </x:c>
      <x:c r="AA978" s="55" t="n">
        <x:v>3150</x:v>
      </x:c>
      <x:c r="AB978" s="55" t="n">
        <x:v>1009</x:v>
      </x:c>
      <x:c r="AC978" s="55" t="n">
        <x:v>7830</x:v>
      </x:c>
      <x:c r="AD978" s="55" t="n">
        <x:v>2507</x:v>
      </x:c>
      <x:c r="AE978" s="55" t="n">
        <x:v>11202</x:v>
      </x:c>
      <x:c r="AF978" s="55" t="n">
        <x:v>11197</x:v>
      </x:c>
      <x:c r="AG978" s="55" t="n">
        <x:v>5</x:v>
      </x:c>
      <x:c r="AH978" s="55" t="n">
        <x:v>607</x:v>
      </x:c>
      <x:c r="AI978" s="55" t="n">
        <x:v>10590</x:v>
      </x:c>
      <x:c r="AJ978" s="55" t="n">
        <x:v>346</x:v>
      </x:c>
      <x:c r="AK978" s="55" t="n">
        <x:v>1235</x:v>
      </x:c>
      <x:c r="AL978" s="55" t="n">
        <x:v>1794</x:v>
      </x:c>
      <x:c r="AM978" s="55" t="n">
        <x:v>5171</x:v>
      </x:c>
      <x:c r="AN978" s="55" t="n">
        <x:v>2649</x:v>
      </x:c>
      <x:c r="AO978" s="55" t="n">
        <x:v>2</x:v>
      </x:c>
      <x:c r="AP978" s="55" t="n">
        <x:v>2504</x:v>
      </x:c>
      <x:c r="AQ978" s="55" t="n">
        <x:v>1012</x:v>
      </x:c>
    </x:row>
    <x:row r="979">
      <x:c r="A979" s="54" t="str">
        <x:v>T0_TABLE_BLOCK</x:v>
      </x:c>
      <x:c r="B979" s="54" t="n">
        <x:v>973</x:v>
      </x:c>
      <x:c r="C979" s="54" t="str">
        <x:v>NYC-V2-R01</x:v>
      </x:c>
      <x:c r="D979" s="54" t="str">
        <x:v>V2</x:v>
      </x:c>
      <x:c r="E979" s="54" t="str">
        <x:v>ADMITTED</x:v>
      </x:c>
      <x:c r="F979" s="55" t="n">
        <x:v>30471</x:v>
      </x:c>
      <x:c r="G979" s="55" t="n">
        <x:v>7593</x:v>
      </x:c>
      <x:c r="H979" s="55" t="n">
        <x:v>3368</x:v>
      </x:c>
      <x:c r="I979" s="55" t="n">
        <x:v>1109</x:v>
      </x:c>
      <x:c r="J979" s="55" t="n">
        <x:v>70</x:v>
      </x:c>
      <x:c r="K979" s="55" t="n">
        <x:v>28754</x:v>
      </x:c>
      <x:c r="L979" s="55" t="n">
        <x:v>5943</x:v>
      </x:c>
      <x:c r="M979" s="55" t="n">
        <x:v>1212</x:v>
      </x:c>
      <x:c r="N979" s="55" t="n">
        <x:v>2671</x:v>
      </x:c>
      <x:c r="O979" s="55" t="n">
        <x:v>2060</x:v>
      </x:c>
      <x:c r="P979" s="55" t="n">
        <x:v>449</x:v>
      </x:c>
      <x:c r="Q979" s="55" t="n">
        <x:v>1891</x:v>
      </x:c>
      <x:c r="R979" s="55" t="n">
        <x:v>1748</x:v>
      </x:c>
      <x:c r="S979" s="55" t="n">
        <x:v>2603</x:v>
      </x:c>
      <x:c r="T979" s="55" t="n">
        <x:v>1060</x:v>
      </x:c>
      <x:c r="U979" s="55" t="n">
        <x:v>2251</x:v>
      </x:c>
      <x:c r="V979" s="55" t="n">
        <x:v>11053</x:v>
      </x:c>
      <x:c r="W979" s="55" t="n">
        <x:v>8211</x:v>
      </x:c>
      <x:c r="X979" s="55" t="n">
        <x:v>2842</x:v>
      </x:c>
      <x:c r="Y979" s="55" t="n">
        <x:v>2428</x:v>
      </x:c>
      <x:c r="Z979" s="55" t="n">
        <x:v>3617</x:v>
      </x:c>
      <x:c r="AA979" s="55" t="n">
        <x:v>3368</x:v>
      </x:c>
      <x:c r="AB979" s="55" t="n">
        <x:v>1164</x:v>
      </x:c>
      <x:c r="AC979" s="55" t="n">
        <x:v>8168</x:v>
      </x:c>
      <x:c r="AD979" s="55" t="n">
        <x:v>2927</x:v>
      </x:c>
      <x:c r="AE979" s="55" t="n">
        <x:v>11136</x:v>
      </x:c>
      <x:c r="AF979" s="55" t="n">
        <x:v>11053</x:v>
      </x:c>
      <x:c r="AG979" s="55" t="n">
        <x:v>83</x:v>
      </x:c>
      <x:c r="AH979" s="55" t="n">
        <x:v>757</x:v>
      </x:c>
      <x:c r="AI979" s="55" t="n">
        <x:v>10296</x:v>
      </x:c>
      <x:c r="AJ979" s="55" t="n">
        <x:v>211</x:v>
      </x:c>
      <x:c r="AK979" s="55" t="n">
        <x:v>1012</x:v>
      </x:c>
      <x:c r="AL979" s="55" t="n">
        <x:v>2207</x:v>
      </x:c>
      <x:c r="AM979" s="55" t="n">
        <x:v>4863</x:v>
      </x:c>
      <x:c r="AN979" s="55" t="n">
        <x:v>2708</x:v>
      </x:c>
      <x:c r="AO979" s="55" t="n">
        <x:v>52</x:v>
      </x:c>
      <x:c r="AP979" s="55" t="n">
        <x:v>3241</x:v>
      </x:c>
      <x:c r="AQ979" s="55" t="n">
        <x:v>971</x:v>
      </x:c>
    </x:row>
    <x:row r="980">
      <x:c r="A980" s="54" t="str">
        <x:v>T0_TABLE_BLOCK</x:v>
      </x:c>
      <x:c r="B980" s="54" t="n">
        <x:v>974</x:v>
      </x:c>
      <x:c r="C980" s="54" t="str">
        <x:v>NYC-V2-R01</x:v>
      </x:c>
      <x:c r="D980" s="54" t="str">
        <x:v>V2</x:v>
      </x:c>
      <x:c r="E980" s="54" t="str">
        <x:v>ADMITTED</x:v>
      </x:c>
      <x:c r="F980" s="55" t="n">
        <x:v>31527</x:v>
      </x:c>
      <x:c r="G980" s="55" t="n">
        <x:v>7888</x:v>
      </x:c>
      <x:c r="H980" s="55" t="n">
        <x:v>3296</x:v>
      </x:c>
      <x:c r="I980" s="55" t="n">
        <x:v>1440</x:v>
      </x:c>
      <x:c r="J980" s="55" t="n">
        <x:v>241</x:v>
      </x:c>
      <x:c r="K980" s="55" t="n">
        <x:v>30300</x:v>
      </x:c>
      <x:c r="L980" s="55" t="n">
        <x:v>6043</x:v>
      </x:c>
      <x:c r="M980" s="55" t="n">
        <x:v>1080</x:v>
      </x:c>
      <x:c r="N980" s="55" t="n">
        <x:v>2858</x:v>
      </x:c>
      <x:c r="O980" s="55" t="n">
        <x:v>2105</x:v>
      </x:c>
      <x:c r="P980" s="55" t="n">
        <x:v>857</x:v>
      </x:c>
      <x:c r="Q980" s="55" t="n">
        <x:v>1995</x:v>
      </x:c>
      <x:c r="R980" s="55" t="n">
        <x:v>2028</x:v>
      </x:c>
      <x:c r="S980" s="55" t="n">
        <x:v>2625</x:v>
      </x:c>
      <x:c r="T980" s="55" t="n">
        <x:v>1368</x:v>
      </x:c>
      <x:c r="U980" s="55" t="n">
        <x:v>1963</x:v>
      </x:c>
      <x:c r="V980" s="55" t="n">
        <x:v>10957</x:v>
      </x:c>
      <x:c r="W980" s="55" t="n">
        <x:v>7606</x:v>
      </x:c>
      <x:c r="X980" s="55" t="n">
        <x:v>3351</x:v>
      </x:c>
      <x:c r="Y980" s="55" t="n">
        <x:v>3094</x:v>
      </x:c>
      <x:c r="Z980" s="55" t="n">
        <x:v>3405</x:v>
      </x:c>
      <x:c r="AA980" s="55" t="n">
        <x:v>2990</x:v>
      </x:c>
      <x:c r="AB980" s="55" t="n">
        <x:v>1168</x:v>
      </x:c>
      <x:c r="AC980" s="55" t="n">
        <x:v>8452</x:v>
      </x:c>
      <x:c r="AD980" s="55" t="n">
        <x:v>3024</x:v>
      </x:c>
      <x:c r="AE980" s="55" t="n">
        <x:v>10983</x:v>
      </x:c>
      <x:c r="AF980" s="55" t="n">
        <x:v>10957</x:v>
      </x:c>
      <x:c r="AG980" s="55" t="n">
        <x:v>26</x:v>
      </x:c>
      <x:c r="AH980" s="55" t="n">
        <x:v>399</x:v>
      </x:c>
      <x:c r="AI980" s="55" t="n">
        <x:v>10558</x:v>
      </x:c>
      <x:c r="AJ980" s="55" t="n">
        <x:v>356</x:v>
      </x:c>
      <x:c r="AK980" s="55" t="n">
        <x:v>1098</x:v>
      </x:c>
      <x:c r="AL980" s="55" t="n">
        <x:v>1943</x:v>
      </x:c>
      <x:c r="AM980" s="55" t="n">
        <x:v>5051</x:v>
      </x:c>
      <x:c r="AN980" s="55" t="n">
        <x:v>2499</x:v>
      </x:c>
      <x:c r="AO980" s="55" t="n">
        <x:v>10</x:v>
      </x:c>
      <x:c r="AP980" s="55" t="n">
        <x:v>2719</x:v>
      </x:c>
      <x:c r="AQ980" s="55" t="n">
        <x:v>962</x:v>
      </x:c>
    </x:row>
    <x:row r="981">
      <x:c r="A981" s="54" t="str">
        <x:v>T0_TABLE_BLOCK</x:v>
      </x:c>
      <x:c r="B981" s="54" t="n">
        <x:v>975</x:v>
      </x:c>
      <x:c r="C981" s="54" t="str">
        <x:v>NYC-V2-R01</x:v>
      </x:c>
      <x:c r="D981" s="54" t="str">
        <x:v>V2</x:v>
      </x:c>
      <x:c r="E981" s="54" t="str">
        <x:v>ADMITTED</x:v>
      </x:c>
      <x:c r="F981" s="55" t="n">
        <x:v>31122</x:v>
      </x:c>
      <x:c r="G981" s="55" t="n">
        <x:v>6374</x:v>
      </x:c>
      <x:c r="H981" s="55" t="n">
        <x:v>3903</x:v>
      </x:c>
      <x:c r="I981" s="55" t="n">
        <x:v>1394</x:v>
      </x:c>
      <x:c r="J981" s="55" t="n">
        <x:v>293</x:v>
      </x:c>
      <x:c r="K981" s="55" t="n">
        <x:v>31122</x:v>
      </x:c>
      <x:c r="L981" s="55" t="n">
        <x:v>7491</x:v>
      </x:c>
      <x:c r="M981" s="55" t="n">
        <x:v>2623</x:v>
      </x:c>
      <x:c r="N981" s="55" t="n">
        <x:v>3202</x:v>
      </x:c>
      <x:c r="O981" s="55" t="n">
        <x:v>1666</x:v>
      </x:c>
      <x:c r="P981" s="55" t="n">
        <x:v>233</x:v>
      </x:c>
      <x:c r="Q981" s="55" t="n">
        <x:v>1844</x:v>
      </x:c>
      <x:c r="R981" s="55" t="n">
        <x:v>1831</x:v>
      </x:c>
      <x:c r="S981" s="55" t="n">
        <x:v>2800</x:v>
      </x:c>
      <x:c r="T981" s="55" t="n">
        <x:v>1459</x:v>
      </x:c>
      <x:c r="U981" s="55" t="n">
        <x:v>2771</x:v>
      </x:c>
      <x:c r="V981" s="55" t="n">
        <x:v>11017</x:v>
      </x:c>
      <x:c r="W981" s="55" t="n">
        <x:v>7927</x:v>
      </x:c>
      <x:c r="X981" s="55" t="n">
        <x:v>3090</x:v>
      </x:c>
      <x:c r="Y981" s="55" t="n">
        <x:v>2676</x:v>
      </x:c>
      <x:c r="Z981" s="55" t="n">
        <x:v>3577</x:v>
      </x:c>
      <x:c r="AA981" s="55" t="n">
        <x:v>3403</x:v>
      </x:c>
      <x:c r="AB981" s="55" t="n">
        <x:v>1286</x:v>
      </x:c>
      <x:c r="AC981" s="55" t="n">
        <x:v>8661</x:v>
      </x:c>
      <x:c r="AD981" s="55" t="n">
        <x:v>3161</x:v>
      </x:c>
      <x:c r="AE981" s="55" t="n">
        <x:v>11164</x:v>
      </x:c>
      <x:c r="AF981" s="55" t="n">
        <x:v>11017</x:v>
      </x:c>
      <x:c r="AG981" s="55" t="n">
        <x:v>147</x:v>
      </x:c>
      <x:c r="AH981" s="55" t="n">
        <x:v>618</x:v>
      </x:c>
      <x:c r="AI981" s="55" t="n">
        <x:v>10399</x:v>
      </x:c>
      <x:c r="AJ981" s="55" t="n">
        <x:v>259</x:v>
      </x:c>
      <x:c r="AK981" s="55" t="n">
        <x:v>1069</x:v>
      </x:c>
      <x:c r="AL981" s="55" t="n">
        <x:v>1648</x:v>
      </x:c>
      <x:c r="AM981" s="55" t="n">
        <x:v>5709</x:v>
      </x:c>
      <x:c r="AN981" s="55" t="n">
        <x:v>2332</x:v>
      </x:c>
      <x:c r="AO981" s="55" t="n">
        <x:v>0</x:v>
      </x:c>
      <x:c r="AP981" s="55" t="n">
        <x:v>2101</x:v>
      </x:c>
      <x:c r="AQ981" s="55" t="n">
        <x:v>941</x:v>
      </x:c>
    </x:row>
    <x:row r="982">
      <x:c r="A982" s="54" t="str">
        <x:v>T0_TABLE_BLOCK</x:v>
      </x:c>
      <x:c r="B982" s="54" t="n">
        <x:v>976</x:v>
      </x:c>
      <x:c r="C982" s="54" t="str">
        <x:v>NYC-V2-R01</x:v>
      </x:c>
      <x:c r="D982" s="54" t="str">
        <x:v>V2</x:v>
      </x:c>
      <x:c r="E982" s="54" t="str">
        <x:v>ADMITTED</x:v>
      </x:c>
      <x:c r="F982" s="55" t="n">
        <x:v>32313</x:v>
      </x:c>
      <x:c r="G982" s="55" t="n">
        <x:v>8674</x:v>
      </x:c>
      <x:c r="H982" s="55" t="n">
        <x:v>3505</x:v>
      </x:c>
      <x:c r="I982" s="55" t="n">
        <x:v>1583</x:v>
      </x:c>
      <x:c r="J982" s="55" t="n">
        <x:v>392</x:v>
      </x:c>
      <x:c r="K982" s="55" t="n">
        <x:v>32271</x:v>
      </x:c>
      <x:c r="L982" s="55" t="n">
        <x:v>6524</x:v>
      </x:c>
      <x:c r="M982" s="55" t="n">
        <x:v>2152</x:v>
      </x:c>
      <x:c r="N982" s="55" t="n">
        <x:v>2716</x:v>
      </x:c>
      <x:c r="O982" s="55" t="n">
        <x:v>1656</x:v>
      </x:c>
      <x:c r="P982" s="55" t="n">
        <x:v>1442</x:v>
      </x:c>
      <x:c r="Q982" s="55" t="n">
        <x:v>2942</x:v>
      </x:c>
      <x:c r="R982" s="55" t="n">
        <x:v>2213</x:v>
      </x:c>
      <x:c r="S982" s="55" t="n">
        <x:v>2716</x:v>
      </x:c>
      <x:c r="T982" s="55" t="n">
        <x:v>1366</x:v>
      </x:c>
      <x:c r="U982" s="55" t="n">
        <x:v>1781</x:v>
      </x:c>
      <x:c r="V982" s="55" t="n">
        <x:v>10103</x:v>
      </x:c>
      <x:c r="W982" s="55" t="n">
        <x:v>6935</x:v>
      </x:c>
      <x:c r="X982" s="55" t="n">
        <x:v>3168</x:v>
      </x:c>
      <x:c r="Y982" s="55" t="n">
        <x:v>2608</x:v>
      </x:c>
      <x:c r="Z982" s="55" t="n">
        <x:v>3824</x:v>
      </x:c>
      <x:c r="AA982" s="55" t="n">
        <x:v>2211</x:v>
      </x:c>
      <x:c r="AB982" s="55" t="n">
        <x:v>522</x:v>
      </x:c>
      <x:c r="AC982" s="55" t="n">
        <x:v>7624</x:v>
      </x:c>
      <x:c r="AD982" s="55" t="n">
        <x:v>3218</x:v>
      </x:c>
      <x:c r="AE982" s="55" t="n">
        <x:v>10246</x:v>
      </x:c>
      <x:c r="AF982" s="55" t="n">
        <x:v>10103</x:v>
      </x:c>
      <x:c r="AG982" s="55" t="n">
        <x:v>143</x:v>
      </x:c>
      <x:c r="AH982" s="55" t="n">
        <x:v>308</x:v>
      </x:c>
      <x:c r="AI982" s="55" t="n">
        <x:v>9795</x:v>
      </x:c>
      <x:c r="AJ982" s="55" t="n">
        <x:v>352</x:v>
      </x:c>
      <x:c r="AK982" s="55" t="n">
        <x:v>771</x:v>
      </x:c>
      <x:c r="AL982" s="55" t="n">
        <x:v>1922</x:v>
      </x:c>
      <x:c r="AM982" s="55" t="n">
        <x:v>4376</x:v>
      </x:c>
      <x:c r="AN982" s="55" t="n">
        <x:v>2682</x:v>
      </x:c>
      <x:c r="AO982" s="55" t="n">
        <x:v>0</x:v>
      </x:c>
      <x:c r="AP982" s="55" t="n">
        <x:v>1858</x:v>
      </x:c>
      <x:c r="AQ982" s="55" t="n">
        <x:v>931</x:v>
      </x:c>
    </x:row>
    <x:row r="983">
      <x:c r="A983" s="54" t="str">
        <x:v>T0_TABLE_BLOCK</x:v>
      </x:c>
      <x:c r="B983" s="54" t="n">
        <x:v>977</x:v>
      </x:c>
      <x:c r="C983" s="54" t="str">
        <x:v>NYC-V2-R01</x:v>
      </x:c>
      <x:c r="D983" s="54" t="str">
        <x:v>V2</x:v>
      </x:c>
      <x:c r="E983" s="54" t="str">
        <x:v>ADMITTED</x:v>
      </x:c>
      <x:c r="F983" s="55" t="n">
        <x:v>32006</x:v>
      </x:c>
      <x:c r="G983" s="55" t="n">
        <x:v>7271</x:v>
      </x:c>
      <x:c r="H983" s="55" t="n">
        <x:v>4072</x:v>
      </x:c>
      <x:c r="I983" s="55" t="n">
        <x:v>1851</x:v>
      </x:c>
      <x:c r="J983" s="55" t="n">
        <x:v>590</x:v>
      </x:c>
      <x:c r="K983" s="55" t="n">
        <x:v>31383</x:v>
      </x:c>
      <x:c r="L983" s="55" t="n">
        <x:v>6027</x:v>
      </x:c>
      <x:c r="M983" s="55" t="n">
        <x:v>2237</x:v>
      </x:c>
      <x:c r="N983" s="55" t="n">
        <x:v>2670</x:v>
      </x:c>
      <x:c r="O983" s="55" t="n">
        <x:v>1120</x:v>
      </x:c>
      <x:c r="P983" s="55" t="n">
        <x:v>394</x:v>
      </x:c>
      <x:c r="Q983" s="55" t="n">
        <x:v>2234</x:v>
      </x:c>
      <x:c r="R983" s="55" t="n">
        <x:v>1846</x:v>
      </x:c>
      <x:c r="S983" s="55" t="n">
        <x:v>2376</x:v>
      </x:c>
      <x:c r="T983" s="55" t="n">
        <x:v>1164</x:v>
      </x:c>
      <x:c r="U983" s="55" t="n">
        <x:v>1466</x:v>
      </x:c>
      <x:c r="V983" s="55" t="n">
        <x:v>10303</x:v>
      </x:c>
      <x:c r="W983" s="55" t="n">
        <x:v>7230</x:v>
      </x:c>
      <x:c r="X983" s="55" t="n">
        <x:v>3073</x:v>
      </x:c>
      <x:c r="Y983" s="55" t="n">
        <x:v>2579</x:v>
      </x:c>
      <x:c r="Z983" s="55" t="n">
        <x:v>3691</x:v>
      </x:c>
      <x:c r="AA983" s="55" t="n">
        <x:v>3494</x:v>
      </x:c>
      <x:c r="AB983" s="55" t="n">
        <x:v>1353</x:v>
      </x:c>
      <x:c r="AC983" s="55" t="n">
        <x:v>8486</x:v>
      </x:c>
      <x:c r="AD983" s="55" t="n">
        <x:v>3244</x:v>
      </x:c>
      <x:c r="AE983" s="55" t="n">
        <x:v>10428</x:v>
      </x:c>
      <x:c r="AF983" s="55" t="n">
        <x:v>10303</x:v>
      </x:c>
      <x:c r="AG983" s="55" t="n">
        <x:v>125</x:v>
      </x:c>
      <x:c r="AH983" s="55" t="n">
        <x:v>531</x:v>
      </x:c>
      <x:c r="AI983" s="55" t="n">
        <x:v>9772</x:v>
      </x:c>
      <x:c r="AJ983" s="55" t="n">
        <x:v>299</x:v>
      </x:c>
      <x:c r="AK983" s="55" t="n">
        <x:v>1032</x:v>
      </x:c>
      <x:c r="AL983" s="55" t="n">
        <x:v>1213</x:v>
      </x:c>
      <x:c r="AM983" s="55" t="n">
        <x:v>5132</x:v>
      </x:c>
      <x:c r="AN983" s="55" t="n">
        <x:v>2585</x:v>
      </x:c>
      <x:c r="AO983" s="55" t="n">
        <x:v>42</x:v>
      </x:c>
      <x:c r="AP983" s="55" t="n">
        <x:v>2167</x:v>
      </x:c>
      <x:c r="AQ983" s="55" t="n">
        <x:v>1019</x:v>
      </x:c>
    </x:row>
    <x:row r="984">
      <x:c r="A984" s="54" t="str">
        <x:v>T0_TABLE_BLOCK</x:v>
      </x:c>
      <x:c r="B984" s="54" t="n">
        <x:v>978</x:v>
      </x:c>
      <x:c r="C984" s="54" t="str">
        <x:v>NYC-V2-R01</x:v>
      </x:c>
      <x:c r="D984" s="54" t="str">
        <x:v>V2</x:v>
      </x:c>
      <x:c r="E984" s="54" t="str">
        <x:v>ADMITTED</x:v>
      </x:c>
      <x:c r="F984" s="55" t="n">
        <x:v>33089</x:v>
      </x:c>
      <x:c r="G984" s="55" t="n">
        <x:v>7324</x:v>
      </x:c>
      <x:c r="H984" s="55" t="n">
        <x:v>3155</x:v>
      </x:c>
      <x:c r="I984" s="55" t="n">
        <x:v>1633</x:v>
      </x:c>
      <x:c r="J984" s="55" t="n">
        <x:v>278</x:v>
      </x:c>
      <x:c r="K984" s="55" t="n">
        <x:v>33089</x:v>
      </x:c>
      <x:c r="L984" s="55" t="n">
        <x:v>5685</x:v>
      </x:c>
      <x:c r="M984" s="55" t="n">
        <x:v>1136</x:v>
      </x:c>
      <x:c r="N984" s="55" t="n">
        <x:v>3079</x:v>
      </x:c>
      <x:c r="O984" s="55" t="n">
        <x:v>1470</x:v>
      </x:c>
      <x:c r="P984" s="55" t="n">
        <x:v>784</x:v>
      </x:c>
      <x:c r="Q984" s="55" t="n">
        <x:v>2124</x:v>
      </x:c>
      <x:c r="R984" s="55" t="n">
        <x:v>2041</x:v>
      </x:c>
      <x:c r="S984" s="55" t="n">
        <x:v>1939</x:v>
      </x:c>
      <x:c r="T984" s="55" t="n">
        <x:v>1599</x:v>
      </x:c>
      <x:c r="U984" s="55" t="n">
        <x:v>1748</x:v>
      </x:c>
      <x:c r="V984" s="55" t="n">
        <x:v>10794</x:v>
      </x:c>
      <x:c r="W984" s="55" t="n">
        <x:v>7591</x:v>
      </x:c>
      <x:c r="X984" s="55" t="n">
        <x:v>3203</x:v>
      </x:c>
      <x:c r="Y984" s="55" t="n">
        <x:v>2847</x:v>
      </x:c>
      <x:c r="Z984" s="55" t="n">
        <x:v>3507</x:v>
      </x:c>
      <x:c r="AA984" s="55" t="n">
        <x:v>2633</x:v>
      </x:c>
      <x:c r="AB984" s="55" t="n">
        <x:v>553</x:v>
      </x:c>
      <x:c r="AC984" s="55" t="n">
        <x:v>7757</x:v>
      </x:c>
      <x:c r="AD984" s="55" t="n">
        <x:v>2555</x:v>
      </x:c>
      <x:c r="AE984" s="55" t="n">
        <x:v>10865</x:v>
      </x:c>
      <x:c r="AF984" s="55" t="n">
        <x:v>10794</x:v>
      </x:c>
      <x:c r="AG984" s="55" t="n">
        <x:v>71</x:v>
      </x:c>
      <x:c r="AH984" s="55" t="n">
        <x:v>529</x:v>
      </x:c>
      <x:c r="AI984" s="55" t="n">
        <x:v>10265</x:v>
      </x:c>
      <x:c r="AJ984" s="55" t="n">
        <x:v>286</x:v>
      </x:c>
      <x:c r="AK984" s="55" t="n">
        <x:v>823</x:v>
      </x:c>
      <x:c r="AL984" s="55" t="n">
        <x:v>1434</x:v>
      </x:c>
      <x:c r="AM984" s="55" t="n">
        <x:v>5261</x:v>
      </x:c>
      <x:c r="AN984" s="55" t="n">
        <x:v>2899</x:v>
      </x:c>
      <x:c r="AO984" s="55" t="n">
        <x:v>91</x:v>
      </x:c>
      <x:c r="AP984" s="55" t="n">
        <x:v>2217</x:v>
      </x:c>
      <x:c r="AQ984" s="55" t="n">
        <x:v>985</x:v>
      </x:c>
    </x:row>
    <x:row r="985">
      <x:c r="A985" s="54" t="str">
        <x:v>T0_TABLE_BLOCK</x:v>
      </x:c>
      <x:c r="B985" s="54" t="n">
        <x:v>979</x:v>
      </x:c>
      <x:c r="C985" s="54" t="str">
        <x:v>NYC-V2-R01</x:v>
      </x:c>
      <x:c r="D985" s="54" t="str">
        <x:v>V2</x:v>
      </x:c>
      <x:c r="E985" s="54" t="str">
        <x:v>ADMITTED</x:v>
      </x:c>
      <x:c r="F985" s="55" t="n">
        <x:v>31528</x:v>
      </x:c>
      <x:c r="G985" s="55" t="n">
        <x:v>7372</x:v>
      </x:c>
      <x:c r="H985" s="55" t="n">
        <x:v>3566</x:v>
      </x:c>
      <x:c r="I985" s="55" t="n">
        <x:v>1224</x:v>
      </x:c>
      <x:c r="J985" s="55" t="n">
        <x:v>105</x:v>
      </x:c>
      <x:c r="K985" s="55" t="n">
        <x:v>31528</x:v>
      </x:c>
      <x:c r="L985" s="55" t="n">
        <x:v>4342</x:v>
      </x:c>
      <x:c r="M985" s="55" t="n">
        <x:v>360</x:v>
      </x:c>
      <x:c r="N985" s="55" t="n">
        <x:v>2598</x:v>
      </x:c>
      <x:c r="O985" s="55" t="n">
        <x:v>1384</x:v>
      </x:c>
      <x:c r="P985" s="55" t="n">
        <x:v>696</x:v>
      </x:c>
      <x:c r="Q985" s="55" t="n">
        <x:v>2692</x:v>
      </x:c>
      <x:c r="R985" s="55" t="n">
        <x:v>1967</x:v>
      </x:c>
      <x:c r="S985" s="55" t="n">
        <x:v>2667</x:v>
      </x:c>
      <x:c r="T985" s="55" t="n">
        <x:v>1132</x:v>
      </x:c>
      <x:c r="U985" s="55" t="n">
        <x:v>1320</x:v>
      </x:c>
      <x:c r="V985" s="55" t="n">
        <x:v>10313</x:v>
      </x:c>
      <x:c r="W985" s="55" t="n">
        <x:v>7599</x:v>
      </x:c>
      <x:c r="X985" s="55" t="n">
        <x:v>2714</x:v>
      </x:c>
      <x:c r="Y985" s="55" t="n">
        <x:v>2271</x:v>
      </x:c>
      <x:c r="Z985" s="55" t="n">
        <x:v>3300</x:v>
      </x:c>
      <x:c r="AA985" s="55" t="n">
        <x:v>3566</x:v>
      </x:c>
      <x:c r="AB985" s="55" t="n">
        <x:v>1314</x:v>
      </x:c>
      <x:c r="AC985" s="55" t="n">
        <x:v>7627</x:v>
      </x:c>
      <x:c r="AD985" s="55" t="n">
        <x:v>2763</x:v>
      </x:c>
      <x:c r="AE985" s="55" t="n">
        <x:v>10408</x:v>
      </x:c>
      <x:c r="AF985" s="55" t="n">
        <x:v>10313</x:v>
      </x:c>
      <x:c r="AG985" s="55" t="n">
        <x:v>95</x:v>
      </x:c>
      <x:c r="AH985" s="55" t="n">
        <x:v>276</x:v>
      </x:c>
      <x:c r="AI985" s="55" t="n">
        <x:v>10037</x:v>
      </x:c>
      <x:c r="AJ985" s="55" t="n">
        <x:v>231</x:v>
      </x:c>
      <x:c r="AK985" s="55" t="n">
        <x:v>964</x:v>
      </x:c>
      <x:c r="AL985" s="55" t="n">
        <x:v>1794</x:v>
      </x:c>
      <x:c r="AM985" s="55" t="n">
        <x:v>4261</x:v>
      </x:c>
      <x:c r="AN985" s="55" t="n">
        <x:v>3063</x:v>
      </x:c>
      <x:c r="AO985" s="55" t="n">
        <x:v>0</x:v>
      </x:c>
      <x:c r="AP985" s="55" t="n">
        <x:v>2815</x:v>
      </x:c>
      <x:c r="AQ985" s="55" t="n">
        <x:v>977</x:v>
      </x:c>
    </x:row>
    <x:row r="986">
      <x:c r="A986" s="54" t="str">
        <x:v>T0_TABLE_BLOCK</x:v>
      </x:c>
      <x:c r="B986" s="54" t="n">
        <x:v>980</x:v>
      </x:c>
      <x:c r="C986" s="54" t="str">
        <x:v>NYC-V2-R01</x:v>
      </x:c>
      <x:c r="D986" s="54" t="str">
        <x:v>V2</x:v>
      </x:c>
      <x:c r="E986" s="54" t="str">
        <x:v>ADMITTED</x:v>
      </x:c>
      <x:c r="F986" s="55" t="n">
        <x:v>32181</x:v>
      </x:c>
      <x:c r="G986" s="55" t="n">
        <x:v>8506</x:v>
      </x:c>
      <x:c r="H986" s="55" t="n">
        <x:v>3308</x:v>
      </x:c>
      <x:c r="I986" s="55" t="n">
        <x:v>902</x:v>
      </x:c>
      <x:c r="J986" s="55" t="n">
        <x:v>29</x:v>
      </x:c>
      <x:c r="K986" s="55" t="n">
        <x:v>28948</x:v>
      </x:c>
      <x:c r="L986" s="55" t="n">
        <x:v>5401</x:v>
      </x:c>
      <x:c r="M986" s="55" t="n">
        <x:v>1149</x:v>
      </x:c>
      <x:c r="N986" s="55" t="n">
        <x:v>2689</x:v>
      </x:c>
      <x:c r="O986" s="55" t="n">
        <x:v>1563</x:v>
      </x:c>
      <x:c r="P986" s="55" t="n">
        <x:v>966</x:v>
      </x:c>
      <x:c r="Q986" s="55" t="n">
        <x:v>2217</x:v>
      </x:c>
      <x:c r="R986" s="55" t="n">
        <x:v>1548</x:v>
      </x:c>
      <x:c r="S986" s="55" t="n">
        <x:v>2122</x:v>
      </x:c>
      <x:c r="T986" s="55" t="n">
        <x:v>1486</x:v>
      </x:c>
      <x:c r="U986" s="55" t="n">
        <x:v>1622</x:v>
      </x:c>
      <x:c r="V986" s="55" t="n">
        <x:v>11084</x:v>
      </x:c>
      <x:c r="W986" s="55" t="n">
        <x:v>8468</x:v>
      </x:c>
      <x:c r="X986" s="55" t="n">
        <x:v>2616</x:v>
      </x:c>
      <x:c r="Y986" s="55" t="n">
        <x:v>2097</x:v>
      </x:c>
      <x:c r="Z986" s="55" t="n">
        <x:v>4052</x:v>
      </x:c>
      <x:c r="AA986" s="55" t="n">
        <x:v>3308</x:v>
      </x:c>
      <x:c r="AB986" s="55" t="n">
        <x:v>1298</x:v>
      </x:c>
      <x:c r="AC986" s="55" t="n">
        <x:v>8354</x:v>
      </x:c>
      <x:c r="AD986" s="55" t="n">
        <x:v>2884</x:v>
      </x:c>
      <x:c r="AE986" s="55" t="n">
        <x:v>11126</x:v>
      </x:c>
      <x:c r="AF986" s="55" t="n">
        <x:v>11084</x:v>
      </x:c>
      <x:c r="AG986" s="55" t="n">
        <x:v>42</x:v>
      </x:c>
      <x:c r="AH986" s="55" t="n">
        <x:v>688</x:v>
      </x:c>
      <x:c r="AI986" s="55" t="n">
        <x:v>10396</x:v>
      </x:c>
      <x:c r="AJ986" s="55" t="n">
        <x:v>246</x:v>
      </x:c>
      <x:c r="AK986" s="55" t="n">
        <x:v>1044</x:v>
      </x:c>
      <x:c r="AL986" s="55" t="n">
        <x:v>1926</x:v>
      </x:c>
      <x:c r="AM986" s="55" t="n">
        <x:v>4891</x:v>
      </x:c>
      <x:c r="AN986" s="55" t="n">
        <x:v>2922</x:v>
      </x:c>
      <x:c r="AO986" s="55" t="n">
        <x:v>55</x:v>
      </x:c>
      <x:c r="AP986" s="55" t="n">
        <x:v>2995</x:v>
      </x:c>
      <x:c r="AQ986" s="55" t="n">
        <x:v>956</x:v>
      </x:c>
    </x:row>
    <x:row r="987">
      <x:c r="A987" s="54" t="str">
        <x:v>T0_TABLE_BLOCK</x:v>
      </x:c>
      <x:c r="B987" s="54" t="n">
        <x:v>981</x:v>
      </x:c>
      <x:c r="C987" s="54" t="str">
        <x:v>NYC-V2-R01</x:v>
      </x:c>
      <x:c r="D987" s="54" t="str">
        <x:v>V2</x:v>
      </x:c>
      <x:c r="E987" s="54" t="str">
        <x:v>ADMITTED</x:v>
      </x:c>
      <x:c r="F987" s="55" t="n">
        <x:v>30525</x:v>
      </x:c>
      <x:c r="G987" s="55" t="n">
        <x:v>7152</x:v>
      </x:c>
      <x:c r="H987" s="55" t="n">
        <x:v>3188</x:v>
      </x:c>
      <x:c r="I987" s="55" t="n">
        <x:v>1314</x:v>
      </x:c>
      <x:c r="J987" s="55" t="n">
        <x:v>199</x:v>
      </x:c>
      <x:c r="K987" s="55" t="n">
        <x:v>30525</x:v>
      </x:c>
      <x:c r="L987" s="55" t="n">
        <x:v>5453</x:v>
      </x:c>
      <x:c r="M987" s="55" t="n">
        <x:v>1328</x:v>
      </x:c>
      <x:c r="N987" s="55" t="n">
        <x:v>2101</x:v>
      </x:c>
      <x:c r="O987" s="55" t="n">
        <x:v>2024</x:v>
      </x:c>
      <x:c r="P987" s="55" t="n">
        <x:v>512</x:v>
      </x:c>
      <x:c r="Q987" s="55" t="n">
        <x:v>2565</x:v>
      </x:c>
      <x:c r="R987" s="55" t="n">
        <x:v>1972</x:v>
      </x:c>
      <x:c r="S987" s="55" t="n">
        <x:v>2326</x:v>
      </x:c>
      <x:c r="T987" s="55" t="n">
        <x:v>1127</x:v>
      </x:c>
      <x:c r="U987" s="55" t="n">
        <x:v>1913</x:v>
      </x:c>
      <x:c r="V987" s="55" t="n">
        <x:v>10739</x:v>
      </x:c>
      <x:c r="W987" s="55" t="n">
        <x:v>7253</x:v>
      </x:c>
      <x:c r="X987" s="55" t="n">
        <x:v>3486</x:v>
      </x:c>
      <x:c r="Y987" s="55" t="n">
        <x:v>2916</x:v>
      </x:c>
      <x:c r="Z987" s="55" t="n">
        <x:v>3936</x:v>
      </x:c>
      <x:c r="AA987" s="55" t="n">
        <x:v>3188</x:v>
      </x:c>
      <x:c r="AB987" s="55" t="n">
        <x:v>1020</x:v>
      </x:c>
      <x:c r="AC987" s="55" t="n">
        <x:v>7828</x:v>
      </x:c>
      <x:c r="AD987" s="55" t="n">
        <x:v>2719</x:v>
      </x:c>
      <x:c r="AE987" s="55" t="n">
        <x:v>10916</x:v>
      </x:c>
      <x:c r="AF987" s="55" t="n">
        <x:v>10739</x:v>
      </x:c>
      <x:c r="AG987" s="55" t="n">
        <x:v>177</x:v>
      </x:c>
      <x:c r="AH987" s="55" t="n">
        <x:v>234</x:v>
      </x:c>
      <x:c r="AI987" s="55" t="n">
        <x:v>10505</x:v>
      </x:c>
      <x:c r="AJ987" s="55" t="n">
        <x:v>394</x:v>
      </x:c>
      <x:c r="AK987" s="55" t="n">
        <x:v>1288</x:v>
      </x:c>
      <x:c r="AL987" s="55" t="n">
        <x:v>1064</x:v>
      </x:c>
      <x:c r="AM987" s="55" t="n">
        <x:v>5287</x:v>
      </x:c>
      <x:c r="AN987" s="55" t="n">
        <x:v>2636</x:v>
      </x:c>
      <x:c r="AO987" s="55" t="n">
        <x:v>70</x:v>
      </x:c>
      <x:c r="AP987" s="55" t="n">
        <x:v>2540</x:v>
      </x:c>
      <x:c r="AQ987" s="55" t="n">
        <x:v>953</x:v>
      </x:c>
    </x:row>
    <x:row r="988">
      <x:c r="A988" s="54" t="str">
        <x:v>T0_TABLE_BLOCK</x:v>
      </x:c>
      <x:c r="B988" s="54" t="n">
        <x:v>982</x:v>
      </x:c>
      <x:c r="C988" s="54" t="str">
        <x:v>NYC-V2-R01</x:v>
      </x:c>
      <x:c r="D988" s="54" t="str">
        <x:v>V2</x:v>
      </x:c>
      <x:c r="E988" s="54" t="str">
        <x:v>ADMITTED</x:v>
      </x:c>
      <x:c r="F988" s="55" t="n">
        <x:v>30194</x:v>
      </x:c>
      <x:c r="G988" s="55" t="n">
        <x:v>6241</x:v>
      </x:c>
      <x:c r="H988" s="55" t="n">
        <x:v>3430</x:v>
      </x:c>
      <x:c r="I988" s="55" t="n">
        <x:v>1372</x:v>
      </x:c>
      <x:c r="J988" s="55" t="n">
        <x:v>291</x:v>
      </x:c>
      <x:c r="K988" s="55" t="n">
        <x:v>30194</x:v>
      </x:c>
      <x:c r="L988" s="55" t="n">
        <x:v>5048</x:v>
      </x:c>
      <x:c r="M988" s="55" t="n">
        <x:v>1277</x:v>
      </x:c>
      <x:c r="N988" s="55" t="n">
        <x:v>2101</x:v>
      </x:c>
      <x:c r="O988" s="55" t="n">
        <x:v>1670</x:v>
      </x:c>
      <x:c r="P988" s="55" t="n">
        <x:v>619</x:v>
      </x:c>
      <x:c r="Q988" s="55" t="n">
        <x:v>2966</x:v>
      </x:c>
      <x:c r="R988" s="55" t="n">
        <x:v>1546</x:v>
      </x:c>
      <x:c r="S988" s="55" t="n">
        <x:v>2631</x:v>
      </x:c>
      <x:c r="T988" s="55" t="n">
        <x:v>1049</x:v>
      </x:c>
      <x:c r="U988" s="55" t="n">
        <x:v>1902</x:v>
      </x:c>
      <x:c r="V988" s="55" t="n">
        <x:v>10810</x:v>
      </x:c>
      <x:c r="W988" s="55" t="n">
        <x:v>7235</x:v>
      </x:c>
      <x:c r="X988" s="55" t="n">
        <x:v>3575</x:v>
      </x:c>
      <x:c r="Y988" s="55" t="n">
        <x:v>2932</x:v>
      </x:c>
      <x:c r="Z988" s="55" t="n">
        <x:v>3189</x:v>
      </x:c>
      <x:c r="AA988" s="55" t="n">
        <x:v>3430</x:v>
      </x:c>
      <x:c r="AB988" s="55" t="n">
        <x:v>869</x:v>
      </x:c>
      <x:c r="AC988" s="55" t="n">
        <x:v>8720</x:v>
      </x:c>
      <x:c r="AD988" s="55" t="n">
        <x:v>2715</x:v>
      </x:c>
      <x:c r="AE988" s="55" t="n">
        <x:v>10879</x:v>
      </x:c>
      <x:c r="AF988" s="55" t="n">
        <x:v>10810</x:v>
      </x:c>
      <x:c r="AG988" s="55" t="n">
        <x:v>69</x:v>
      </x:c>
      <x:c r="AH988" s="55" t="n">
        <x:v>620</x:v>
      </x:c>
      <x:c r="AI988" s="55" t="n">
        <x:v>10190</x:v>
      </x:c>
      <x:c r="AJ988" s="55" t="n">
        <x:v>441</x:v>
      </x:c>
      <x:c r="AK988" s="55" t="n">
        <x:v>1102</x:v>
      </x:c>
      <x:c r="AL988" s="55" t="n">
        <x:v>1162</x:v>
      </x:c>
      <x:c r="AM988" s="55" t="n">
        <x:v>4927</x:v>
      </x:c>
      <x:c r="AN988" s="55" t="n">
        <x:v>3178</x:v>
      </x:c>
      <x:c r="AO988" s="55" t="n">
        <x:v>0</x:v>
      </x:c>
      <x:c r="AP988" s="55" t="n">
        <x:v>2139</x:v>
      </x:c>
      <x:c r="AQ988" s="55" t="n">
        <x:v>937</x:v>
      </x:c>
    </x:row>
    <x:row r="989">
      <x:c r="A989" s="54" t="str">
        <x:v>T0_TABLE_BLOCK</x:v>
      </x:c>
      <x:c r="B989" s="54" t="n">
        <x:v>983</x:v>
      </x:c>
      <x:c r="C989" s="54" t="str">
        <x:v>NYC-V2-R01</x:v>
      </x:c>
      <x:c r="D989" s="54" t="str">
        <x:v>V2</x:v>
      </x:c>
      <x:c r="E989" s="54" t="str">
        <x:v>ADMITTED</x:v>
      </x:c>
      <x:c r="F989" s="55" t="n">
        <x:v>30881</x:v>
      </x:c>
      <x:c r="G989" s="55" t="n">
        <x:v>8298</x:v>
      </x:c>
      <x:c r="H989" s="55" t="n">
        <x:v>3337</x:v>
      </x:c>
      <x:c r="I989" s="55" t="n">
        <x:v>1352</x:v>
      </x:c>
      <x:c r="J989" s="55" t="n">
        <x:v>316</x:v>
      </x:c>
      <x:c r="K989" s="55" t="n">
        <x:v>30881</x:v>
      </x:c>
      <x:c r="L989" s="55" t="n">
        <x:v>5335</x:v>
      </x:c>
      <x:c r="M989" s="55" t="n">
        <x:v>1089</x:v>
      </x:c>
      <x:c r="N989" s="55" t="n">
        <x:v>2290</x:v>
      </x:c>
      <x:c r="O989" s="55" t="n">
        <x:v>1956</x:v>
      </x:c>
      <x:c r="P989" s="55" t="n">
        <x:v>1084</x:v>
      </x:c>
      <x:c r="Q989" s="55" t="n">
        <x:v>2691</x:v>
      </x:c>
      <x:c r="R989" s="55" t="n">
        <x:v>1951</x:v>
      </x:c>
      <x:c r="S989" s="55" t="n">
        <x:v>2373</x:v>
      </x:c>
      <x:c r="T989" s="55" t="n">
        <x:v>1400</x:v>
      </x:c>
      <x:c r="U989" s="55" t="n">
        <x:v>1932</x:v>
      </x:c>
      <x:c r="V989" s="55" t="n">
        <x:v>10895</x:v>
      </x:c>
      <x:c r="W989" s="55" t="n">
        <x:v>7576</x:v>
      </x:c>
      <x:c r="X989" s="55" t="n">
        <x:v>3319</x:v>
      </x:c>
      <x:c r="Y989" s="55" t="n">
        <x:v>2953</x:v>
      </x:c>
      <x:c r="Z989" s="55" t="n">
        <x:v>3718</x:v>
      </x:c>
      <x:c r="AA989" s="55" t="n">
        <x:v>3337</x:v>
      </x:c>
      <x:c r="AB989" s="55" t="n">
        <x:v>1015</x:v>
      </x:c>
      <x:c r="AC989" s="55" t="n">
        <x:v>7634</x:v>
      </x:c>
      <x:c r="AD989" s="55" t="n">
        <x:v>2980</x:v>
      </x:c>
      <x:c r="AE989" s="55" t="n">
        <x:v>10934</x:v>
      </x:c>
      <x:c r="AF989" s="55" t="n">
        <x:v>10895</x:v>
      </x:c>
      <x:c r="AG989" s="55" t="n">
        <x:v>39</x:v>
      </x:c>
      <x:c r="AH989" s="55" t="n">
        <x:v>458</x:v>
      </x:c>
      <x:c r="AI989" s="55" t="n">
        <x:v>10437</x:v>
      </x:c>
      <x:c r="AJ989" s="55" t="n">
        <x:v>438</x:v>
      </x:c>
      <x:c r="AK989" s="55" t="n">
        <x:v>1349</x:v>
      </x:c>
      <x:c r="AL989" s="55" t="n">
        <x:v>1123</x:v>
      </x:c>
      <x:c r="AM989" s="55" t="n">
        <x:v>5321</x:v>
      </x:c>
      <x:c r="AN989" s="55" t="n">
        <x:v>2605</x:v>
      </x:c>
      <x:c r="AO989" s="55" t="n">
        <x:v>59</x:v>
      </x:c>
      <x:c r="AP989" s="55" t="n">
        <x:v>2019</x:v>
      </x:c>
      <x:c r="AQ989" s="55" t="n">
        <x:v>935</x:v>
      </x:c>
    </x:row>
    <x:row r="990">
      <x:c r="A990" s="54" t="str">
        <x:v>T0_TABLE_BLOCK</x:v>
      </x:c>
      <x:c r="B990" s="54" t="n">
        <x:v>984</x:v>
      </x:c>
      <x:c r="C990" s="54" t="str">
        <x:v>NYC-V2-R01</x:v>
      </x:c>
      <x:c r="D990" s="54" t="str">
        <x:v>V2</x:v>
      </x:c>
      <x:c r="E990" s="54" t="str">
        <x:v>ADMITTED</x:v>
      </x:c>
      <x:c r="F990" s="55" t="n">
        <x:v>32063</x:v>
      </x:c>
      <x:c r="G990" s="55" t="n">
        <x:v>8323</x:v>
      </x:c>
      <x:c r="H990" s="55" t="n">
        <x:v>3075</x:v>
      </x:c>
      <x:c r="I990" s="55" t="n">
        <x:v>903</x:v>
      </x:c>
      <x:c r="J990" s="55" t="n">
        <x:v>80</x:v>
      </x:c>
      <x:c r="K990" s="55" t="n">
        <x:v>30521</x:v>
      </x:c>
      <x:c r="L990" s="55" t="n">
        <x:v>6079</x:v>
      </x:c>
      <x:c r="M990" s="55" t="n">
        <x:v>543</x:v>
      </x:c>
      <x:c r="N990" s="55" t="n">
        <x:v>3585</x:v>
      </x:c>
      <x:c r="O990" s="55" t="n">
        <x:v>1951</x:v>
      </x:c>
      <x:c r="P990" s="55" t="n">
        <x:v>782</x:v>
      </x:c>
      <x:c r="Q990" s="55" t="n">
        <x:v>1147</x:v>
      </x:c>
      <x:c r="R990" s="55" t="n">
        <x:v>1463</x:v>
      </x:c>
      <x:c r="S990" s="55" t="n">
        <x:v>2519</x:v>
      </x:c>
      <x:c r="T990" s="55" t="n">
        <x:v>1304</x:v>
      </x:c>
      <x:c r="U990" s="55" t="n">
        <x:v>2328</x:v>
      </x:c>
      <x:c r="V990" s="55" t="n">
        <x:v>11057</x:v>
      </x:c>
      <x:c r="W990" s="55" t="n">
        <x:v>7881</x:v>
      </x:c>
      <x:c r="X990" s="55" t="n">
        <x:v>3176</x:v>
      </x:c>
      <x:c r="Y990" s="55" t="n">
        <x:v>3030</x:v>
      </x:c>
      <x:c r="Z990" s="55" t="n">
        <x:v>3185</x:v>
      </x:c>
      <x:c r="AA990" s="55" t="n">
        <x:v>3075</x:v>
      </x:c>
      <x:c r="AB990" s="55" t="n">
        <x:v>1478</x:v>
      </x:c>
      <x:c r="AC990" s="55" t="n">
        <x:v>7882</x:v>
      </x:c>
      <x:c r="AD990" s="55" t="n">
        <x:v>3412</x:v>
      </x:c>
      <x:c r="AE990" s="55" t="n">
        <x:v>11119</x:v>
      </x:c>
      <x:c r="AF990" s="55" t="n">
        <x:v>11057</x:v>
      </x:c>
      <x:c r="AG990" s="55" t="n">
        <x:v>62</x:v>
      </x:c>
      <x:c r="AH990" s="55" t="n">
        <x:v>388</x:v>
      </x:c>
      <x:c r="AI990" s="55" t="n">
        <x:v>10669</x:v>
      </x:c>
      <x:c r="AJ990" s="55" t="n">
        <x:v>314</x:v>
      </x:c>
      <x:c r="AK990" s="55" t="n">
        <x:v>967</x:v>
      </x:c>
      <x:c r="AL990" s="55" t="n">
        <x:v>1775</x:v>
      </x:c>
      <x:c r="AM990" s="55" t="n">
        <x:v>5324</x:v>
      </x:c>
      <x:c r="AN990" s="55" t="n">
        <x:v>2677</x:v>
      </x:c>
      <x:c r="AO990" s="55" t="n">
        <x:v>0</x:v>
      </x:c>
      <x:c r="AP990" s="55" t="n">
        <x:v>2469</x:v>
      </x:c>
      <x:c r="AQ990" s="55" t="n">
        <x:v>971</x:v>
      </x:c>
    </x:row>
    <x:row r="991">
      <x:c r="A991" s="54" t="str">
        <x:v>T0_TABLE_BLOCK</x:v>
      </x:c>
      <x:c r="B991" s="54" t="n">
        <x:v>985</x:v>
      </x:c>
      <x:c r="C991" s="54" t="str">
        <x:v>NYC-V2-R01</x:v>
      </x:c>
      <x:c r="D991" s="54" t="str">
        <x:v>V2</x:v>
      </x:c>
      <x:c r="E991" s="54" t="str">
        <x:v>ADMITTED</x:v>
      </x:c>
      <x:c r="F991" s="55" t="n">
        <x:v>30732</x:v>
      </x:c>
      <x:c r="G991" s="55" t="n">
        <x:v>5995</x:v>
      </x:c>
      <x:c r="H991" s="55" t="n">
        <x:v>3092</x:v>
      </x:c>
      <x:c r="I991" s="55" t="n">
        <x:v>1259</x:v>
      </x:c>
      <x:c r="J991" s="55" t="n">
        <x:v>415</x:v>
      </x:c>
      <x:c r="K991" s="55" t="n">
        <x:v>30732</x:v>
      </x:c>
      <x:c r="L991" s="55" t="n">
        <x:v>5336</x:v>
      </x:c>
      <x:c r="M991" s="55" t="n">
        <x:v>2030</x:v>
      </x:c>
      <x:c r="N991" s="55" t="n">
        <x:v>1983</x:v>
      </x:c>
      <x:c r="O991" s="55" t="n">
        <x:v>1323</x:v>
      </x:c>
      <x:c r="P991" s="55" t="n">
        <x:v>846</x:v>
      </x:c>
      <x:c r="Q991" s="55" t="n">
        <x:v>3305</x:v>
      </x:c>
      <x:c r="R991" s="55" t="n">
        <x:v>2001</x:v>
      </x:c>
      <x:c r="S991" s="55" t="n">
        <x:v>2497</x:v>
      </x:c>
      <x:c r="T991" s="55" t="n">
        <x:v>989</x:v>
      </x:c>
      <x:c r="U991" s="55" t="n">
        <x:v>1909</x:v>
      </x:c>
      <x:c r="V991" s="55" t="n">
        <x:v>10161</x:v>
      </x:c>
      <x:c r="W991" s="55" t="n">
        <x:v>7032</x:v>
      </x:c>
      <x:c r="X991" s="55" t="n">
        <x:v>3129</x:v>
      </x:c>
      <x:c r="Y991" s="55" t="n">
        <x:v>2749</x:v>
      </x:c>
      <x:c r="Z991" s="55" t="n">
        <x:v>3791</x:v>
      </x:c>
      <x:c r="AA991" s="55" t="n">
        <x:v>3082</x:v>
      </x:c>
      <x:c r="AB991" s="55" t="n">
        <x:v>1117</x:v>
      </x:c>
      <x:c r="AC991" s="55" t="n">
        <x:v>7946</x:v>
      </x:c>
      <x:c r="AD991" s="55" t="n">
        <x:v>3048</x:v>
      </x:c>
      <x:c r="AE991" s="55" t="n">
        <x:v>10255</x:v>
      </x:c>
      <x:c r="AF991" s="55" t="n">
        <x:v>10161</x:v>
      </x:c>
      <x:c r="AG991" s="55" t="n">
        <x:v>94</x:v>
      </x:c>
      <x:c r="AH991" s="55" t="n">
        <x:v>603</x:v>
      </x:c>
      <x:c r="AI991" s="55" t="n">
        <x:v>9558</x:v>
      </x:c>
      <x:c r="AJ991" s="55" t="n">
        <x:v>314</x:v>
      </x:c>
      <x:c r="AK991" s="55" t="n">
        <x:v>977</x:v>
      </x:c>
      <x:c r="AL991" s="55" t="n">
        <x:v>1406</x:v>
      </x:c>
      <x:c r="AM991" s="55" t="n">
        <x:v>5003</x:v>
      </x:c>
      <x:c r="AN991" s="55" t="n">
        <x:v>2461</x:v>
      </x:c>
      <x:c r="AO991" s="55" t="n">
        <x:v>0</x:v>
      </x:c>
      <x:c r="AP991" s="55" t="n">
        <x:v>2708</x:v>
      </x:c>
      <x:c r="AQ991" s="55" t="n">
        <x:v>959</x:v>
      </x:c>
    </x:row>
    <x:row r="992">
      <x:c r="A992" s="54" t="str">
        <x:v>T0_TABLE_BLOCK</x:v>
      </x:c>
      <x:c r="B992" s="54" t="n">
        <x:v>986</x:v>
      </x:c>
      <x:c r="C992" s="54" t="str">
        <x:v>NYC-V2-R01</x:v>
      </x:c>
      <x:c r="D992" s="54" t="str">
        <x:v>V2</x:v>
      </x:c>
      <x:c r="E992" s="54" t="str">
        <x:v>ADMITTED</x:v>
      </x:c>
      <x:c r="F992" s="55" t="n">
        <x:v>32505</x:v>
      </x:c>
      <x:c r="G992" s="55" t="n">
        <x:v>7996</x:v>
      </x:c>
      <x:c r="H992" s="55" t="n">
        <x:v>3545</x:v>
      </x:c>
      <x:c r="I992" s="55" t="n">
        <x:v>974</x:v>
      </x:c>
      <x:c r="J992" s="55" t="n">
        <x:v>121</x:v>
      </x:c>
      <x:c r="K992" s="55" t="n">
        <x:v>32505</x:v>
      </x:c>
      <x:c r="L992" s="55" t="n">
        <x:v>7342</x:v>
      </x:c>
      <x:c r="M992" s="55" t="n">
        <x:v>2421</x:v>
      </x:c>
      <x:c r="N992" s="55" t="n">
        <x:v>2997</x:v>
      </x:c>
      <x:c r="O992" s="55" t="n">
        <x:v>1924</x:v>
      </x:c>
      <x:c r="P992" s="55" t="n">
        <x:v>1062</x:v>
      </x:c>
      <x:c r="Q992" s="55" t="n">
        <x:v>3000</x:v>
      </x:c>
      <x:c r="R992" s="55" t="n">
        <x:v>1554</x:v>
      </x:c>
      <x:c r="S992" s="55" t="n">
        <x:v>3099</x:v>
      </x:c>
      <x:c r="T992" s="55" t="n">
        <x:v>1074</x:v>
      </x:c>
      <x:c r="U992" s="55" t="n">
        <x:v>1755</x:v>
      </x:c>
      <x:c r="V992" s="55" t="n">
        <x:v>10501</x:v>
      </x:c>
      <x:c r="W992" s="55" t="n">
        <x:v>7737</x:v>
      </x:c>
      <x:c r="X992" s="55" t="n">
        <x:v>2764</x:v>
      </x:c>
      <x:c r="Y992" s="55" t="n">
        <x:v>2270</x:v>
      </x:c>
      <x:c r="Z992" s="55" t="n">
        <x:v>3244</x:v>
      </x:c>
      <x:c r="AA992" s="55" t="n">
        <x:v>3545</x:v>
      </x:c>
      <x:c r="AB992" s="55" t="n">
        <x:v>993</x:v>
      </x:c>
      <x:c r="AC992" s="55" t="n">
        <x:v>8117</x:v>
      </x:c>
      <x:c r="AD992" s="55" t="n">
        <x:v>2298</x:v>
      </x:c>
      <x:c r="AE992" s="55" t="n">
        <x:v>10618</x:v>
      </x:c>
      <x:c r="AF992" s="55" t="n">
        <x:v>10501</x:v>
      </x:c>
      <x:c r="AG992" s="55" t="n">
        <x:v>117</x:v>
      </x:c>
      <x:c r="AH992" s="55" t="n">
        <x:v>569</x:v>
      </x:c>
      <x:c r="AI992" s="55" t="n">
        <x:v>9932</x:v>
      </x:c>
      <x:c r="AJ992" s="55" t="n">
        <x:v>288</x:v>
      </x:c>
      <x:c r="AK992" s="55" t="n">
        <x:v>689</x:v>
      </x:c>
      <x:c r="AL992" s="55" t="n">
        <x:v>1696</x:v>
      </x:c>
      <x:c r="AM992" s="55" t="n">
        <x:v>5327</x:v>
      </x:c>
      <x:c r="AN992" s="55" t="n">
        <x:v>2440</x:v>
      </x:c>
      <x:c r="AO992" s="55" t="n">
        <x:v>61</x:v>
      </x:c>
      <x:c r="AP992" s="55" t="n">
        <x:v>2262</x:v>
      </x:c>
      <x:c r="AQ992" s="55" t="n">
        <x:v>910</x:v>
      </x:c>
    </x:row>
    <x:row r="993">
      <x:c r="A993" s="54" t="str">
        <x:v>T0_TABLE_BLOCK</x:v>
      </x:c>
      <x:c r="B993" s="54" t="n">
        <x:v>987</x:v>
      </x:c>
      <x:c r="C993" s="54" t="str">
        <x:v>NYC-V2-R01</x:v>
      </x:c>
      <x:c r="D993" s="54" t="str">
        <x:v>V2</x:v>
      </x:c>
      <x:c r="E993" s="54" t="str">
        <x:v>ADMITTED</x:v>
      </x:c>
      <x:c r="F993" s="55" t="n">
        <x:v>31275</x:v>
      </x:c>
      <x:c r="G993" s="55" t="n">
        <x:v>9311</x:v>
      </x:c>
      <x:c r="H993" s="55" t="n">
        <x:v>2897</x:v>
      </x:c>
      <x:c r="I993" s="55" t="n">
        <x:v>586</x:v>
      </x:c>
      <x:c r="J993" s="55" t="n">
        <x:v>0</x:v>
      </x:c>
      <x:c r="K993" s="55" t="n">
        <x:v>27813</x:v>
      </x:c>
      <x:c r="L993" s="55" t="n">
        <x:v>5513</x:v>
      </x:c>
      <x:c r="M993" s="55" t="n">
        <x:v>1382</x:v>
      </x:c>
      <x:c r="N993" s="55" t="n">
        <x:v>3001</x:v>
      </x:c>
      <x:c r="O993" s="55" t="n">
        <x:v>1130</x:v>
      </x:c>
      <x:c r="P993" s="55" t="n">
        <x:v>682</x:v>
      </x:c>
      <x:c r="Q993" s="55" t="n">
        <x:v>2234</x:v>
      </x:c>
      <x:c r="R993" s="55" t="n">
        <x:v>2112</x:v>
      </x:c>
      <x:c r="S993" s="55" t="n">
        <x:v>1602</x:v>
      </x:c>
      <x:c r="T993" s="55" t="n">
        <x:v>1213</x:v>
      </x:c>
      <x:c r="U993" s="55" t="n">
        <x:v>2036</x:v>
      </x:c>
      <x:c r="V993" s="55" t="n">
        <x:v>11039</x:v>
      </x:c>
      <x:c r="W993" s="55" t="n">
        <x:v>7894</x:v>
      </x:c>
      <x:c r="X993" s="55" t="n">
        <x:v>3145</x:v>
      </x:c>
      <x:c r="Y993" s="55" t="n">
        <x:v>2803</x:v>
      </x:c>
      <x:c r="Z993" s="55" t="n">
        <x:v>3870</x:v>
      </x:c>
      <x:c r="AA993" s="55" t="n">
        <x:v>2897</x:v>
      </x:c>
      <x:c r="AB993" s="55" t="n">
        <x:v>1058</x:v>
      </x:c>
      <x:c r="AC993" s="55" t="n">
        <x:v>7691</x:v>
      </x:c>
      <x:c r="AD993" s="55" t="n">
        <x:v>2219</x:v>
      </x:c>
      <x:c r="AE993" s="55" t="n">
        <x:v>11146</x:v>
      </x:c>
      <x:c r="AF993" s="55" t="n">
        <x:v>11039</x:v>
      </x:c>
      <x:c r="AG993" s="55" t="n">
        <x:v>107</x:v>
      </x:c>
      <x:c r="AH993" s="55" t="n">
        <x:v>450</x:v>
      </x:c>
      <x:c r="AI993" s="55" t="n">
        <x:v>10589</x:v>
      </x:c>
      <x:c r="AJ993" s="55" t="n">
        <x:v>312</x:v>
      </x:c>
      <x:c r="AK993" s="55" t="n">
        <x:v>1022</x:v>
      </x:c>
      <x:c r="AL993" s="55" t="n">
        <x:v>1742</x:v>
      </x:c>
      <x:c r="AM993" s="55" t="n">
        <x:v>4791</x:v>
      </x:c>
      <x:c r="AN993" s="55" t="n">
        <x:v>3143</x:v>
      </x:c>
      <x:c r="AO993" s="55" t="n">
        <x:v>29</x:v>
      </x:c>
      <x:c r="AP993" s="55" t="n">
        <x:v>2738</x:v>
      </x:c>
      <x:c r="AQ993" s="55" t="n">
        <x:v>938</x:v>
      </x:c>
    </x:row>
    <x:row r="994">
      <x:c r="A994" s="54" t="str">
        <x:v>T0_TABLE_BLOCK</x:v>
      </x:c>
      <x:c r="B994" s="54" t="n">
        <x:v>988</x:v>
      </x:c>
      <x:c r="C994" s="54" t="str">
        <x:v>NYC-V2-R01</x:v>
      </x:c>
      <x:c r="D994" s="54" t="str">
        <x:v>V2</x:v>
      </x:c>
      <x:c r="E994" s="54" t="str">
        <x:v>ADMITTED</x:v>
      </x:c>
      <x:c r="F994" s="55" t="n">
        <x:v>31888</x:v>
      </x:c>
      <x:c r="G994" s="55" t="n">
        <x:v>6857</x:v>
      </x:c>
      <x:c r="H994" s="55" t="n">
        <x:v>3315</x:v>
      </x:c>
      <x:c r="I994" s="55" t="n">
        <x:v>1447</x:v>
      </x:c>
      <x:c r="J994" s="55" t="n">
        <x:v>304</x:v>
      </x:c>
      <x:c r="K994" s="55" t="n">
        <x:v>31888</x:v>
      </x:c>
      <x:c r="L994" s="55" t="n">
        <x:v>6872</x:v>
      </x:c>
      <x:c r="M994" s="55" t="n">
        <x:v>1477</x:v>
      </x:c>
      <x:c r="N994" s="55" t="n">
        <x:v>3512</x:v>
      </x:c>
      <x:c r="O994" s="55" t="n">
        <x:v>1883</x:v>
      </x:c>
      <x:c r="P994" s="55" t="n">
        <x:v>518</x:v>
      </x:c>
      <x:c r="Q994" s="55" t="n">
        <x:v>2411</x:v>
      </x:c>
      <x:c r="R994" s="55" t="n">
        <x:v>994</x:v>
      </x:c>
      <x:c r="S994" s="55" t="n">
        <x:v>2721</x:v>
      </x:c>
      <x:c r="T994" s="55" t="n">
        <x:v>1211</x:v>
      </x:c>
      <x:c r="U994" s="55" t="n">
        <x:v>2363</x:v>
      </x:c>
      <x:c r="V994" s="55" t="n">
        <x:v>11249</x:v>
      </x:c>
      <x:c r="W994" s="55" t="n">
        <x:v>7852</x:v>
      </x:c>
      <x:c r="X994" s="55" t="n">
        <x:v>3397</x:v>
      </x:c>
      <x:c r="Y994" s="55" t="n">
        <x:v>2877</x:v>
      </x:c>
      <x:c r="Z994" s="55" t="n">
        <x:v>3442</x:v>
      </x:c>
      <x:c r="AA994" s="55" t="n">
        <x:v>3093</x:v>
      </x:c>
      <x:c r="AB994" s="55" t="n">
        <x:v>1163</x:v>
      </x:c>
      <x:c r="AC994" s="55" t="n">
        <x:v>7556</x:v>
      </x:c>
      <x:c r="AD994" s="55" t="n">
        <x:v>2905</x:v>
      </x:c>
      <x:c r="AE994" s="55" t="n">
        <x:v>11252</x:v>
      </x:c>
      <x:c r="AF994" s="55" t="n">
        <x:v>11249</x:v>
      </x:c>
      <x:c r="AG994" s="55" t="n">
        <x:v>3</x:v>
      </x:c>
      <x:c r="AH994" s="55" t="n">
        <x:v>516</x:v>
      </x:c>
      <x:c r="AI994" s="55" t="n">
        <x:v>10733</x:v>
      </x:c>
      <x:c r="AJ994" s="55" t="n">
        <x:v>515</x:v>
      </x:c>
      <x:c r="AK994" s="55" t="n">
        <x:v>959</x:v>
      </x:c>
      <x:c r="AL994" s="55" t="n">
        <x:v>1252</x:v>
      </x:c>
      <x:c r="AM994" s="55" t="n">
        <x:v>5439</x:v>
      </x:c>
      <x:c r="AN994" s="55" t="n">
        <x:v>3084</x:v>
      </x:c>
      <x:c r="AO994" s="55" t="n">
        <x:v>0</x:v>
      </x:c>
      <x:c r="AP994" s="55" t="n">
        <x:v>2265</x:v>
      </x:c>
      <x:c r="AQ994" s="55" t="n">
        <x:v>992</x:v>
      </x:c>
    </x:row>
    <x:row r="995">
      <x:c r="A995" s="54" t="str">
        <x:v>T0_TABLE_BLOCK</x:v>
      </x:c>
      <x:c r="B995" s="54" t="n">
        <x:v>989</x:v>
      </x:c>
      <x:c r="C995" s="54" t="str">
        <x:v>NYC-V2-R01</x:v>
      </x:c>
      <x:c r="D995" s="54" t="str">
        <x:v>V2</x:v>
      </x:c>
      <x:c r="E995" s="54" t="str">
        <x:v>ADMITTED</x:v>
      </x:c>
      <x:c r="F995" s="55" t="n">
        <x:v>31138</x:v>
      </x:c>
      <x:c r="G995" s="55" t="n">
        <x:v>7426</x:v>
      </x:c>
      <x:c r="H995" s="55" t="n">
        <x:v>3174</x:v>
      </x:c>
      <x:c r="I995" s="55" t="n">
        <x:v>1383</x:v>
      </x:c>
      <x:c r="J995" s="55" t="n">
        <x:v>128</x:v>
      </x:c>
      <x:c r="K995" s="55" t="n">
        <x:v>31138</x:v>
      </x:c>
      <x:c r="L995" s="55" t="n">
        <x:v>6191</x:v>
      </x:c>
      <x:c r="M995" s="55" t="n">
        <x:v>1343</x:v>
      </x:c>
      <x:c r="N995" s="55" t="n">
        <x:v>3363</x:v>
      </x:c>
      <x:c r="O995" s="55" t="n">
        <x:v>1485</x:v>
      </x:c>
      <x:c r="P995" s="55" t="n">
        <x:v>1150</x:v>
      </x:c>
      <x:c r="Q995" s="55" t="n">
        <x:v>2628</x:v>
      </x:c>
      <x:c r="R995" s="55" t="n">
        <x:v>1842</x:v>
      </x:c>
      <x:c r="S995" s="55" t="n">
        <x:v>2071</x:v>
      </x:c>
      <x:c r="T995" s="55" t="n">
        <x:v>1441</x:v>
      </x:c>
      <x:c r="U995" s="55" t="n">
        <x:v>2114</x:v>
      </x:c>
      <x:c r="V995" s="55" t="n">
        <x:v>11485</x:v>
      </x:c>
      <x:c r="W995" s="55" t="n">
        <x:v>8484</x:v>
      </x:c>
      <x:c r="X995" s="55" t="n">
        <x:v>3001</x:v>
      </x:c>
      <x:c r="Y995" s="55" t="n">
        <x:v>2407</x:v>
      </x:c>
      <x:c r="Z995" s="55" t="n">
        <x:v>4118</x:v>
      </x:c>
      <x:c r="AA995" s="55" t="n">
        <x:v>2886</x:v>
      </x:c>
      <x:c r="AB995" s="55" t="n">
        <x:v>711</x:v>
      </x:c>
      <x:c r="AC995" s="55" t="n">
        <x:v>7631</x:v>
      </x:c>
      <x:c r="AD995" s="55" t="n">
        <x:v>2901</x:v>
      </x:c>
      <x:c r="AE995" s="55" t="n">
        <x:v>11502</x:v>
      </x:c>
      <x:c r="AF995" s="55" t="n">
        <x:v>11485</x:v>
      </x:c>
      <x:c r="AG995" s="55" t="n">
        <x:v>17</x:v>
      </x:c>
      <x:c r="AH995" s="55" t="n">
        <x:v>341</x:v>
      </x:c>
      <x:c r="AI995" s="55" t="n">
        <x:v>11144</x:v>
      </x:c>
      <x:c r="AJ995" s="55" t="n">
        <x:v>225</x:v>
      </x:c>
      <x:c r="AK995" s="55" t="n">
        <x:v>1206</x:v>
      </x:c>
      <x:c r="AL995" s="55" t="n">
        <x:v>1929</x:v>
      </x:c>
      <x:c r="AM995" s="55" t="n">
        <x:v>4709</x:v>
      </x:c>
      <x:c r="AN995" s="55" t="n">
        <x:v>3380</x:v>
      </x:c>
      <x:c r="AO995" s="55" t="n">
        <x:v>36</x:v>
      </x:c>
      <x:c r="AP995" s="55" t="n">
        <x:v>2091</x:v>
      </x:c>
      <x:c r="AQ995" s="55" t="n">
        <x:v>947</x:v>
      </x:c>
    </x:row>
    <x:row r="996">
      <x:c r="A996" s="54" t="str">
        <x:v>T0_TABLE_BLOCK</x:v>
      </x:c>
      <x:c r="B996" s="54" t="n">
        <x:v>990</x:v>
      </x:c>
      <x:c r="C996" s="54" t="str">
        <x:v>NYC-V2-R01</x:v>
      </x:c>
      <x:c r="D996" s="54" t="str">
        <x:v>V2</x:v>
      </x:c>
      <x:c r="E996" s="54" t="str">
        <x:v>ADMITTED</x:v>
      </x:c>
      <x:c r="F996" s="55" t="n">
        <x:v>31687</x:v>
      </x:c>
      <x:c r="G996" s="55" t="n">
        <x:v>7479</x:v>
      </x:c>
      <x:c r="H996" s="55" t="n">
        <x:v>3113</x:v>
      </x:c>
      <x:c r="I996" s="55" t="n">
        <x:v>1634</x:v>
      </x:c>
      <x:c r="J996" s="55" t="n">
        <x:v>274</x:v>
      </x:c>
      <x:c r="K996" s="55" t="n">
        <x:v>31687</x:v>
      </x:c>
      <x:c r="L996" s="55" t="n">
        <x:v>6414</x:v>
      </x:c>
      <x:c r="M996" s="55" t="n">
        <x:v>1554</x:v>
      </x:c>
      <x:c r="N996" s="55" t="n">
        <x:v>2804</x:v>
      </x:c>
      <x:c r="O996" s="55" t="n">
        <x:v>2056</x:v>
      </x:c>
      <x:c r="P996" s="55" t="n">
        <x:v>1268</x:v>
      </x:c>
      <x:c r="Q996" s="55" t="n">
        <x:v>2739</x:v>
      </x:c>
      <x:c r="R996" s="55" t="n">
        <x:v>1673</x:v>
      </x:c>
      <x:c r="S996" s="55" t="n">
        <x:v>2330</x:v>
      </x:c>
      <x:c r="T996" s="55" t="n">
        <x:v>1386</x:v>
      </x:c>
      <x:c r="U996" s="55" t="n">
        <x:v>991</x:v>
      </x:c>
      <x:c r="V996" s="55" t="n">
        <x:v>10011</x:v>
      </x:c>
      <x:c r="W996" s="55" t="n">
        <x:v>7199</x:v>
      </x:c>
      <x:c r="X996" s="55" t="n">
        <x:v>2812</x:v>
      </x:c>
      <x:c r="Y996" s="55" t="n">
        <x:v>2473</x:v>
      </x:c>
      <x:c r="Z996" s="55" t="n">
        <x:v>3074</x:v>
      </x:c>
      <x:c r="AA996" s="55" t="n">
        <x:v>2966</x:v>
      </x:c>
      <x:c r="AB996" s="55" t="n">
        <x:v>961</x:v>
      </x:c>
      <x:c r="AC996" s="55" t="n">
        <x:v>7655</x:v>
      </x:c>
      <x:c r="AD996" s="55" t="n">
        <x:v>2578</x:v>
      </x:c>
      <x:c r="AE996" s="55" t="n">
        <x:v>10063</x:v>
      </x:c>
      <x:c r="AF996" s="55" t="n">
        <x:v>10011</x:v>
      </x:c>
      <x:c r="AG996" s="55" t="n">
        <x:v>52</x:v>
      </x:c>
      <x:c r="AH996" s="55" t="n">
        <x:v>354</x:v>
      </x:c>
      <x:c r="AI996" s="55" t="n">
        <x:v>9657</x:v>
      </x:c>
      <x:c r="AJ996" s="55" t="n">
        <x:v>237</x:v>
      </x:c>
      <x:c r="AK996" s="55" t="n">
        <x:v>1261</x:v>
      </x:c>
      <x:c r="AL996" s="55" t="n">
        <x:v>1472</x:v>
      </x:c>
      <x:c r="AM996" s="55" t="n">
        <x:v>4326</x:v>
      </x:c>
      <x:c r="AN996" s="55" t="n">
        <x:v>2618</x:v>
      </x:c>
      <x:c r="AO996" s="55" t="n">
        <x:v>97</x:v>
      </x:c>
      <x:c r="AP996" s="55" t="n">
        <x:v>2259</x:v>
      </x:c>
      <x:c r="AQ996" s="55" t="n">
        <x:v>959</x:v>
      </x:c>
    </x:row>
    <x:row r="997">
      <x:c r="A997" s="54" t="str">
        <x:v>T0_TABLE_BLOCK</x:v>
      </x:c>
      <x:c r="B997" s="54" t="n">
        <x:v>991</x:v>
      </x:c>
      <x:c r="C997" s="54" t="str">
        <x:v>NYC-V2-R01</x:v>
      </x:c>
      <x:c r="D997" s="54" t="str">
        <x:v>V2</x:v>
      </x:c>
      <x:c r="E997" s="54" t="str">
        <x:v>ADMITTED</x:v>
      </x:c>
      <x:c r="F997" s="55" t="n">
        <x:v>31985</x:v>
      </x:c>
      <x:c r="G997" s="55" t="n">
        <x:v>7761</x:v>
      </x:c>
      <x:c r="H997" s="55" t="n">
        <x:v>2735</x:v>
      </x:c>
      <x:c r="I997" s="55" t="n">
        <x:v>1459</x:v>
      </x:c>
      <x:c r="J997" s="55" t="n">
        <x:v>168</x:v>
      </x:c>
      <x:c r="K997" s="55" t="n">
        <x:v>30338</x:v>
      </x:c>
      <x:c r="L997" s="55" t="n">
        <x:v>6425</x:v>
      </x:c>
      <x:c r="M997" s="55" t="n">
        <x:v>1259</x:v>
      </x:c>
      <x:c r="N997" s="55" t="n">
        <x:v>3303</x:v>
      </x:c>
      <x:c r="O997" s="55" t="n">
        <x:v>1863</x:v>
      </x:c>
      <x:c r="P997" s="55" t="n">
        <x:v>838</x:v>
      </x:c>
      <x:c r="Q997" s="55" t="n">
        <x:v>2401</x:v>
      </x:c>
      <x:c r="R997" s="55" t="n">
        <x:v>2148</x:v>
      </x:c>
      <x:c r="S997" s="55" t="n">
        <x:v>2453</x:v>
      </x:c>
      <x:c r="T997" s="55" t="n">
        <x:v>1215</x:v>
      </x:c>
      <x:c r="U997" s="55" t="n">
        <x:v>2081</x:v>
      </x:c>
      <x:c r="V997" s="55" t="n">
        <x:v>10938</x:v>
      </x:c>
      <x:c r="W997" s="55" t="n">
        <x:v>8045</x:v>
      </x:c>
      <x:c r="X997" s="55" t="n">
        <x:v>2893</x:v>
      </x:c>
      <x:c r="Y997" s="55" t="n">
        <x:v>2509</x:v>
      </x:c>
      <x:c r="Z997" s="55" t="n">
        <x:v>3612</x:v>
      </x:c>
      <x:c r="AA997" s="55" t="n">
        <x:v>2521</x:v>
      </x:c>
      <x:c r="AB997" s="55" t="n">
        <x:v>1177</x:v>
      </x:c>
      <x:c r="AC997" s="55" t="n">
        <x:v>7475</x:v>
      </x:c>
      <x:c r="AD997" s="55" t="n">
        <x:v>2110</x:v>
      </x:c>
      <x:c r="AE997" s="55" t="n">
        <x:v>10998</x:v>
      </x:c>
      <x:c r="AF997" s="55" t="n">
        <x:v>10938</x:v>
      </x:c>
      <x:c r="AG997" s="55" t="n">
        <x:v>60</x:v>
      </x:c>
      <x:c r="AH997" s="55" t="n">
        <x:v>441</x:v>
      </x:c>
      <x:c r="AI997" s="55" t="n">
        <x:v>10497</x:v>
      </x:c>
      <x:c r="AJ997" s="55" t="n">
        <x:v>59</x:v>
      </x:c>
      <x:c r="AK997" s="55" t="n">
        <x:v>1286</x:v>
      </x:c>
      <x:c r="AL997" s="55" t="n">
        <x:v>1542</x:v>
      </x:c>
      <x:c r="AM997" s="55" t="n">
        <x:v>5326</x:v>
      </x:c>
      <x:c r="AN997" s="55" t="n">
        <x:v>2663</x:v>
      </x:c>
      <x:c r="AO997" s="55" t="n">
        <x:v>62</x:v>
      </x:c>
      <x:c r="AP997" s="55" t="n">
        <x:v>2246</x:v>
      </x:c>
      <x:c r="AQ997" s="55" t="n">
        <x:v>938</x:v>
      </x:c>
    </x:row>
    <x:row r="998">
      <x:c r="A998" s="54" t="str">
        <x:v>T0_TABLE_BLOCK</x:v>
      </x:c>
      <x:c r="B998" s="54" t="n">
        <x:v>992</x:v>
      </x:c>
      <x:c r="C998" s="54" t="str">
        <x:v>NYC-V2-R01</x:v>
      </x:c>
      <x:c r="D998" s="54" t="str">
        <x:v>V2</x:v>
      </x:c>
      <x:c r="E998" s="54" t="str">
        <x:v>ADMITTED</x:v>
      </x:c>
      <x:c r="F998" s="55" t="n">
        <x:v>31204</x:v>
      </x:c>
      <x:c r="G998" s="55" t="n">
        <x:v>7494</x:v>
      </x:c>
      <x:c r="H998" s="55" t="n">
        <x:v>3285</x:v>
      </x:c>
      <x:c r="I998" s="55" t="n">
        <x:v>1193</x:v>
      </x:c>
      <x:c r="J998" s="55" t="n">
        <x:v>373</x:v>
      </x:c>
      <x:c r="K998" s="55" t="n">
        <x:v>30710</x:v>
      </x:c>
      <x:c r="L998" s="55" t="n">
        <x:v>6232</x:v>
      </x:c>
      <x:c r="M998" s="55" t="n">
        <x:v>1471</x:v>
      </x:c>
      <x:c r="N998" s="55" t="n">
        <x:v>3092</x:v>
      </x:c>
      <x:c r="O998" s="55" t="n">
        <x:v>1669</x:v>
      </x:c>
      <x:c r="P998" s="55" t="n">
        <x:v>772</x:v>
      </x:c>
      <x:c r="Q998" s="55" t="n">
        <x:v>2248</x:v>
      </x:c>
      <x:c r="R998" s="55" t="n">
        <x:v>1956</x:v>
      </x:c>
      <x:c r="S998" s="55" t="n">
        <x:v>3065</x:v>
      </x:c>
      <x:c r="T998" s="55" t="n">
        <x:v>1474</x:v>
      </x:c>
      <x:c r="U998" s="55" t="n">
        <x:v>1662</x:v>
      </x:c>
      <x:c r="V998" s="55" t="n">
        <x:v>11885</x:v>
      </x:c>
      <x:c r="W998" s="55" t="n">
        <x:v>9052</x:v>
      </x:c>
      <x:c r="X998" s="55" t="n">
        <x:v>2833</x:v>
      </x:c>
      <x:c r="Y998" s="55" t="n">
        <x:v>2287</x:v>
      </x:c>
      <x:c r="Z998" s="55" t="n">
        <x:v>3577</x:v>
      </x:c>
      <x:c r="AA998" s="55" t="n">
        <x:v>3285</x:v>
      </x:c>
      <x:c r="AB998" s="55" t="n">
        <x:v>1019</x:v>
      </x:c>
      <x:c r="AC998" s="55" t="n">
        <x:v>8144</x:v>
      </x:c>
      <x:c r="AD998" s="55" t="n">
        <x:v>3306</x:v>
      </x:c>
      <x:c r="AE998" s="55" t="n">
        <x:v>11945</x:v>
      </x:c>
      <x:c r="AF998" s="55" t="n">
        <x:v>11885</x:v>
      </x:c>
      <x:c r="AG998" s="55" t="n">
        <x:v>60</x:v>
      </x:c>
      <x:c r="AH998" s="55" t="n">
        <x:v>805</x:v>
      </x:c>
      <x:c r="AI998" s="55" t="n">
        <x:v>11080</x:v>
      </x:c>
      <x:c r="AJ998" s="55" t="n">
        <x:v>584</x:v>
      </x:c>
      <x:c r="AK998" s="55" t="n">
        <x:v>1334</x:v>
      </x:c>
      <x:c r="AL998" s="55" t="n">
        <x:v>2073</x:v>
      </x:c>
      <x:c r="AM998" s="55" t="n">
        <x:v>5092</x:v>
      </x:c>
      <x:c r="AN998" s="55" t="n">
        <x:v>2778</x:v>
      </x:c>
      <x:c r="AO998" s="55" t="n">
        <x:v>24</x:v>
      </x:c>
      <x:c r="AP998" s="55" t="n">
        <x:v>2767</x:v>
      </x:c>
      <x:c r="AQ998" s="55" t="n">
        <x:v>949</x:v>
      </x:c>
    </x:row>
    <x:row r="999">
      <x:c r="A999" s="54" t="str">
        <x:v>T0_TABLE_BLOCK</x:v>
      </x:c>
      <x:c r="B999" s="54" t="n">
        <x:v>993</x:v>
      </x:c>
      <x:c r="C999" s="54" t="str">
        <x:v>NYC-V2-R01</x:v>
      </x:c>
      <x:c r="D999" s="54" t="str">
        <x:v>V2</x:v>
      </x:c>
      <x:c r="E999" s="54" t="str">
        <x:v>ADMITTED</x:v>
      </x:c>
      <x:c r="F999" s="55" t="n">
        <x:v>33790</x:v>
      </x:c>
      <x:c r="G999" s="55" t="n">
        <x:v>9934</x:v>
      </x:c>
      <x:c r="H999" s="55" t="n">
        <x:v>3584</x:v>
      </x:c>
      <x:c r="I999" s="55" t="n">
        <x:v>1054</x:v>
      </x:c>
      <x:c r="J999" s="55" t="n">
        <x:v>2</x:v>
      </x:c>
      <x:c r="K999" s="55" t="n">
        <x:v>31043</x:v>
      </x:c>
      <x:c r="L999" s="55" t="n">
        <x:v>5798</x:v>
      </x:c>
      <x:c r="M999" s="55" t="n">
        <x:v>1650</x:v>
      </x:c>
      <x:c r="N999" s="55" t="n">
        <x:v>2559</x:v>
      </x:c>
      <x:c r="O999" s="55" t="n">
        <x:v>1589</x:v>
      </x:c>
      <x:c r="P999" s="55" t="n">
        <x:v>609</x:v>
      </x:c>
      <x:c r="Q999" s="55" t="n">
        <x:v>1625</x:v>
      </x:c>
      <x:c r="R999" s="55" t="n">
        <x:v>2156</x:v>
      </x:c>
      <x:c r="S999" s="55" t="n">
        <x:v>3061</x:v>
      </x:c>
      <x:c r="T999" s="55" t="n">
        <x:v>1402</x:v>
      </x:c>
      <x:c r="U999" s="55" t="n">
        <x:v>2118</x:v>
      </x:c>
      <x:c r="V999" s="55" t="n">
        <x:v>10402</x:v>
      </x:c>
      <x:c r="W999" s="55" t="n">
        <x:v>7035</x:v>
      </x:c>
      <x:c r="X999" s="55" t="n">
        <x:v>3367</x:v>
      </x:c>
      <x:c r="Y999" s="55" t="n">
        <x:v>2818</x:v>
      </x:c>
      <x:c r="Z999" s="55" t="n">
        <x:v>3777</x:v>
      </x:c>
      <x:c r="AA999" s="55" t="n">
        <x:v>3584</x:v>
      </x:c>
      <x:c r="AB999" s="55" t="n">
        <x:v>1451</x:v>
      </x:c>
      <x:c r="AC999" s="55" t="n">
        <x:v>7887</x:v>
      </x:c>
      <x:c r="AD999" s="55" t="n">
        <x:v>2504</x:v>
      </x:c>
      <x:c r="AE999" s="55" t="n">
        <x:v>10463</x:v>
      </x:c>
      <x:c r="AF999" s="55" t="n">
        <x:v>10402</x:v>
      </x:c>
      <x:c r="AG999" s="55" t="n">
        <x:v>61</x:v>
      </x:c>
      <x:c r="AH999" s="55" t="n">
        <x:v>403</x:v>
      </x:c>
      <x:c r="AI999" s="55" t="n">
        <x:v>9999</x:v>
      </x:c>
      <x:c r="AJ999" s="55" t="n">
        <x:v>288</x:v>
      </x:c>
      <x:c r="AK999" s="55" t="n">
        <x:v>884</x:v>
      </x:c>
      <x:c r="AL999" s="55" t="n">
        <x:v>2414</x:v>
      </x:c>
      <x:c r="AM999" s="55" t="n">
        <x:v>4327</x:v>
      </x:c>
      <x:c r="AN999" s="55" t="n">
        <x:v>2472</x:v>
      </x:c>
      <x:c r="AO999" s="55" t="n">
        <x:v>17</x:v>
      </x:c>
      <x:c r="AP999" s="55" t="n">
        <x:v>2177</x:v>
      </x:c>
      <x:c r="AQ999" s="55" t="n">
        <x:v>965</x:v>
      </x:c>
    </x:row>
    <x:row r="1000">
      <x:c r="A1000" s="54" t="str">
        <x:v>T0_TABLE_BLOCK</x:v>
      </x:c>
      <x:c r="B1000" s="54" t="n">
        <x:v>994</x:v>
      </x:c>
      <x:c r="C1000" s="54" t="str">
        <x:v>NYC-V2-R01</x:v>
      </x:c>
      <x:c r="D1000" s="54" t="str">
        <x:v>V2</x:v>
      </x:c>
      <x:c r="E1000" s="54" t="str">
        <x:v>ADMITTED</x:v>
      </x:c>
      <x:c r="F1000" s="55" t="n">
        <x:v>35103</x:v>
      </x:c>
      <x:c r="G1000" s="55" t="n">
        <x:v>8317</x:v>
      </x:c>
      <x:c r="H1000" s="55" t="n">
        <x:v>3596</x:v>
      </x:c>
      <x:c r="I1000" s="55" t="n">
        <x:v>892</x:v>
      </x:c>
      <x:c r="J1000" s="55" t="n">
        <x:v>130</x:v>
      </x:c>
      <x:c r="K1000" s="55" t="n">
        <x:v>35103</x:v>
      </x:c>
      <x:c r="L1000" s="55" t="n">
        <x:v>7095</x:v>
      </x:c>
      <x:c r="M1000" s="55" t="n">
        <x:v>2037</x:v>
      </x:c>
      <x:c r="N1000" s="55" t="n">
        <x:v>2937</x:v>
      </x:c>
      <x:c r="O1000" s="55" t="n">
        <x:v>2121</x:v>
      </x:c>
      <x:c r="P1000" s="55" t="n">
        <x:v>934</x:v>
      </x:c>
      <x:c r="Q1000" s="55" t="n">
        <x:v>2603</x:v>
      </x:c>
      <x:c r="R1000" s="55" t="n">
        <x:v>1958</x:v>
      </x:c>
      <x:c r="S1000" s="55" t="n">
        <x:v>3023</x:v>
      </x:c>
      <x:c r="T1000" s="55" t="n">
        <x:v>873</x:v>
      </x:c>
      <x:c r="U1000" s="55" t="n">
        <x:v>1357</x:v>
      </x:c>
      <x:c r="V1000" s="55" t="n">
        <x:v>10486</x:v>
      </x:c>
      <x:c r="W1000" s="55" t="n">
        <x:v>7521</x:v>
      </x:c>
      <x:c r="X1000" s="55" t="n">
        <x:v>2965</x:v>
      </x:c>
      <x:c r="Y1000" s="55" t="n">
        <x:v>2548</x:v>
      </x:c>
      <x:c r="Z1000" s="55" t="n">
        <x:v>3588</x:v>
      </x:c>
      <x:c r="AA1000" s="55" t="n">
        <x:v>3596</x:v>
      </x:c>
      <x:c r="AB1000" s="55" t="n">
        <x:v>934</x:v>
      </x:c>
      <x:c r="AC1000" s="55" t="n">
        <x:v>8004</x:v>
      </x:c>
      <x:c r="AD1000" s="55" t="n">
        <x:v>3592</x:v>
      </x:c>
      <x:c r="AE1000" s="55" t="n">
        <x:v>10587</x:v>
      </x:c>
      <x:c r="AF1000" s="55" t="n">
        <x:v>10486</x:v>
      </x:c>
      <x:c r="AG1000" s="55" t="n">
        <x:v>101</x:v>
      </x:c>
      <x:c r="AH1000" s="55" t="n">
        <x:v>227</x:v>
      </x:c>
      <x:c r="AI1000" s="55" t="n">
        <x:v>10259</x:v>
      </x:c>
      <x:c r="AJ1000" s="55" t="n">
        <x:v>562</x:v>
      </x:c>
      <x:c r="AK1000" s="55" t="n">
        <x:v>725</x:v>
      </x:c>
      <x:c r="AL1000" s="55" t="n">
        <x:v>1654</x:v>
      </x:c>
      <x:c r="AM1000" s="55" t="n">
        <x:v>5117</x:v>
      </x:c>
      <x:c r="AN1000" s="55" t="n">
        <x:v>2373</x:v>
      </x:c>
      <x:c r="AO1000" s="55" t="n">
        <x:v>55</x:v>
      </x:c>
      <x:c r="AP1000" s="55" t="n">
        <x:v>2236</x:v>
      </x:c>
      <x:c r="AQ1000" s="55" t="n">
        <x:v>985</x:v>
      </x:c>
    </x:row>
    <x:row r="1001">
      <x:c r="A1001" s="54" t="str">
        <x:v>T0_TABLE_BLOCK</x:v>
      </x:c>
      <x:c r="B1001" s="54" t="n">
        <x:v>995</x:v>
      </x:c>
      <x:c r="C1001" s="54" t="str">
        <x:v>NYC-V2-R01</x:v>
      </x:c>
      <x:c r="D1001" s="54" t="str">
        <x:v>V2</x:v>
      </x:c>
      <x:c r="E1001" s="54" t="str">
        <x:v>ADMITTED</x:v>
      </x:c>
      <x:c r="F1001" s="55" t="n">
        <x:v>30207</x:v>
      </x:c>
      <x:c r="G1001" s="55" t="n">
        <x:v>7899</x:v>
      </x:c>
      <x:c r="H1001" s="55" t="n">
        <x:v>3205</x:v>
      </x:c>
      <x:c r="I1001" s="55" t="n">
        <x:v>835</x:v>
      </x:c>
      <x:c r="J1001" s="55" t="n">
        <x:v>194</x:v>
      </x:c>
      <x:c r="K1001" s="55" t="n">
        <x:v>29627</x:v>
      </x:c>
      <x:c r="L1001" s="55" t="n">
        <x:v>5054</x:v>
      </x:c>
      <x:c r="M1001" s="55" t="n">
        <x:v>873</x:v>
      </x:c>
      <x:c r="N1001" s="55" t="n">
        <x:v>2552</x:v>
      </x:c>
      <x:c r="O1001" s="55" t="n">
        <x:v>1629</x:v>
      </x:c>
      <x:c r="P1001" s="55" t="n">
        <x:v>1118</x:v>
      </x:c>
      <x:c r="Q1001" s="55" t="n">
        <x:v>2466</x:v>
      </x:c>
      <x:c r="R1001" s="55" t="n">
        <x:v>1687</x:v>
      </x:c>
      <x:c r="S1001" s="55" t="n">
        <x:v>2491</x:v>
      </x:c>
      <x:c r="T1001" s="55" t="n">
        <x:v>1174</x:v>
      </x:c>
      <x:c r="U1001" s="55" t="n">
        <x:v>2600</x:v>
      </x:c>
      <x:c r="V1001" s="55" t="n">
        <x:v>10113</x:v>
      </x:c>
      <x:c r="W1001" s="55" t="n">
        <x:v>7326</x:v>
      </x:c>
      <x:c r="X1001" s="55" t="n">
        <x:v>2787</x:v>
      </x:c>
      <x:c r="Y1001" s="55" t="n">
        <x:v>2557</x:v>
      </x:c>
      <x:c r="Z1001" s="55" t="n">
        <x:v>4167</x:v>
      </x:c>
      <x:c r="AA1001" s="55" t="n">
        <x:v>2870</x:v>
      </x:c>
      <x:c r="AB1001" s="55" t="n">
        <x:v>1113</x:v>
      </x:c>
      <x:c r="AC1001" s="55" t="n">
        <x:v>7991</x:v>
      </x:c>
      <x:c r="AD1001" s="55" t="n">
        <x:v>2514</x:v>
      </x:c>
      <x:c r="AE1001" s="55" t="n">
        <x:v>10136</x:v>
      </x:c>
      <x:c r="AF1001" s="55" t="n">
        <x:v>10113</x:v>
      </x:c>
      <x:c r="AG1001" s="55" t="n">
        <x:v>23</x:v>
      </x:c>
      <x:c r="AH1001" s="55" t="n">
        <x:v>396</x:v>
      </x:c>
      <x:c r="AI1001" s="55" t="n">
        <x:v>9717</x:v>
      </x:c>
      <x:c r="AJ1001" s="55" t="n">
        <x:v>104</x:v>
      </x:c>
      <x:c r="AK1001" s="55" t="n">
        <x:v>1192</x:v>
      </x:c>
      <x:c r="AL1001" s="55" t="n">
        <x:v>1791</x:v>
      </x:c>
      <x:c r="AM1001" s="55" t="n">
        <x:v>4566</x:v>
      </x:c>
      <x:c r="AN1001" s="55" t="n">
        <x:v>2347</x:v>
      </x:c>
      <x:c r="AO1001" s="55" t="n">
        <x:v>113</x:v>
      </x:c>
      <x:c r="AP1001" s="55" t="n">
        <x:v>2485</x:v>
      </x:c>
      <x:c r="AQ1001" s="55" t="n">
        <x:v>941</x:v>
      </x:c>
    </x:row>
    <x:row r="1002">
      <x:c r="A1002" s="54" t="str">
        <x:v>T0_TABLE_BLOCK</x:v>
      </x:c>
      <x:c r="B1002" s="54" t="n">
        <x:v>996</x:v>
      </x:c>
      <x:c r="C1002" s="54" t="str">
        <x:v>NYC-V2-R01</x:v>
      </x:c>
      <x:c r="D1002" s="54" t="str">
        <x:v>V2</x:v>
      </x:c>
      <x:c r="E1002" s="54" t="str">
        <x:v>ADMITTED</x:v>
      </x:c>
      <x:c r="F1002" s="55" t="n">
        <x:v>30771</x:v>
      </x:c>
      <x:c r="G1002" s="55" t="n">
        <x:v>8840</x:v>
      </x:c>
      <x:c r="H1002" s="55" t="n">
        <x:v>3844</x:v>
      </x:c>
      <x:c r="I1002" s="55" t="n">
        <x:v>913</x:v>
      </x:c>
      <x:c r="J1002" s="55" t="n">
        <x:v>198</x:v>
      </x:c>
      <x:c r="K1002" s="55" t="n">
        <x:v>30359</x:v>
      </x:c>
      <x:c r="L1002" s="55" t="n">
        <x:v>6820</x:v>
      </x:c>
      <x:c r="M1002" s="55" t="n">
        <x:v>2317</x:v>
      </x:c>
      <x:c r="N1002" s="55" t="n">
        <x:v>2816</x:v>
      </x:c>
      <x:c r="O1002" s="55" t="n">
        <x:v>1687</x:v>
      </x:c>
      <x:c r="P1002" s="55" t="n">
        <x:v>1073</x:v>
      </x:c>
      <x:c r="Q1002" s="55" t="n">
        <x:v>2810</x:v>
      </x:c>
      <x:c r="R1002" s="55" t="n">
        <x:v>2068</x:v>
      </x:c>
      <x:c r="S1002" s="55" t="n">
        <x:v>2224</x:v>
      </x:c>
      <x:c r="T1002" s="55" t="n">
        <x:v>1166</x:v>
      </x:c>
      <x:c r="U1002" s="55" t="n">
        <x:v>1678</x:v>
      </x:c>
      <x:c r="V1002" s="55" t="n">
        <x:v>11345</x:v>
      </x:c>
      <x:c r="W1002" s="55" t="n">
        <x:v>8408</x:v>
      </x:c>
      <x:c r="X1002" s="55" t="n">
        <x:v>2937</x:v>
      </x:c>
      <x:c r="Y1002" s="55" t="n">
        <x:v>2656</x:v>
      </x:c>
      <x:c r="Z1002" s="55" t="n">
        <x:v>3955</x:v>
      </x:c>
      <x:c r="AA1002" s="55" t="n">
        <x:v>3844</x:v>
      </x:c>
      <x:c r="AB1002" s="55" t="n">
        <x:v>1259</x:v>
      </x:c>
      <x:c r="AC1002" s="55" t="n">
        <x:v>8171</x:v>
      </x:c>
      <x:c r="AD1002" s="55" t="n">
        <x:v>3231</x:v>
      </x:c>
      <x:c r="AE1002" s="55" t="n">
        <x:v>11497</x:v>
      </x:c>
      <x:c r="AF1002" s="55" t="n">
        <x:v>11345</x:v>
      </x:c>
      <x:c r="AG1002" s="55" t="n">
        <x:v>152</x:v>
      </x:c>
      <x:c r="AH1002" s="55" t="n">
        <x:v>727</x:v>
      </x:c>
      <x:c r="AI1002" s="55" t="n">
        <x:v>10618</x:v>
      </x:c>
      <x:c r="AJ1002" s="55" t="n">
        <x:v>332</x:v>
      </x:c>
      <x:c r="AK1002" s="55" t="n">
        <x:v>1136</x:v>
      </x:c>
      <x:c r="AL1002" s="55" t="n">
        <x:v>1565</x:v>
      </x:c>
      <x:c r="AM1002" s="55" t="n">
        <x:v>5320</x:v>
      </x:c>
      <x:c r="AN1002" s="55" t="n">
        <x:v>2980</x:v>
      </x:c>
      <x:c r="AO1002" s="55" t="n">
        <x:v>12</x:v>
      </x:c>
      <x:c r="AP1002" s="55" t="n">
        <x:v>2730</x:v>
      </x:c>
      <x:c r="AQ1002" s="55" t="n">
        <x:v>979</x:v>
      </x:c>
    </x:row>
    <x:row r="1003">
      <x:c r="A1003" s="54" t="str">
        <x:v>T0_TABLE_BLOCK</x:v>
      </x:c>
      <x:c r="B1003" s="54" t="n">
        <x:v>997</x:v>
      </x:c>
      <x:c r="C1003" s="54" t="str">
        <x:v>NYC-V2-R01</x:v>
      </x:c>
      <x:c r="D1003" s="54" t="str">
        <x:v>V2</x:v>
      </x:c>
      <x:c r="E1003" s="54" t="str">
        <x:v>ADMITTED</x:v>
      </x:c>
      <x:c r="F1003" s="55" t="n">
        <x:v>31366</x:v>
      </x:c>
      <x:c r="G1003" s="55" t="n">
        <x:v>8339</x:v>
      </x:c>
      <x:c r="H1003" s="55" t="n">
        <x:v>2981</x:v>
      </x:c>
      <x:c r="I1003" s="55" t="n">
        <x:v>890</x:v>
      </x:c>
      <x:c r="J1003" s="55" t="n">
        <x:v>152</x:v>
      </x:c>
      <x:c r="K1003" s="55" t="n">
        <x:v>31366</x:v>
      </x:c>
      <x:c r="L1003" s="55" t="n">
        <x:v>6051</x:v>
      </x:c>
      <x:c r="M1003" s="55" t="n">
        <x:v>1789</x:v>
      </x:c>
      <x:c r="N1003" s="55" t="n">
        <x:v>2603</x:v>
      </x:c>
      <x:c r="O1003" s="55" t="n">
        <x:v>1659</x:v>
      </x:c>
      <x:c r="P1003" s="55" t="n">
        <x:v>798</x:v>
      </x:c>
      <x:c r="Q1003" s="55" t="n">
        <x:v>1256</x:v>
      </x:c>
      <x:c r="R1003" s="55" t="n">
        <x:v>2137</x:v>
      </x:c>
      <x:c r="S1003" s="55" t="n">
        <x:v>2546</x:v>
      </x:c>
      <x:c r="T1003" s="55" t="n">
        <x:v>1857</x:v>
      </x:c>
      <x:c r="U1003" s="55" t="n">
        <x:v>2269</x:v>
      </x:c>
      <x:c r="V1003" s="55" t="n">
        <x:v>10955</x:v>
      </x:c>
      <x:c r="W1003" s="55" t="n">
        <x:v>8102</x:v>
      </x:c>
      <x:c r="X1003" s="55" t="n">
        <x:v>2853</x:v>
      </x:c>
      <x:c r="Y1003" s="55" t="n">
        <x:v>2511</x:v>
      </x:c>
      <x:c r="Z1003" s="55" t="n">
        <x:v>3697</x:v>
      </x:c>
      <x:c r="AA1003" s="55" t="n">
        <x:v>2949</x:v>
      </x:c>
      <x:c r="AB1003" s="55" t="n">
        <x:v>909</x:v>
      </x:c>
      <x:c r="AC1003" s="55" t="n">
        <x:v>8240</x:v>
      </x:c>
      <x:c r="AD1003" s="55" t="n">
        <x:v>2620</x:v>
      </x:c>
      <x:c r="AE1003" s="55" t="n">
        <x:v>10991</x:v>
      </x:c>
      <x:c r="AF1003" s="55" t="n">
        <x:v>10955</x:v>
      </x:c>
      <x:c r="AG1003" s="55" t="n">
        <x:v>36</x:v>
      </x:c>
      <x:c r="AH1003" s="55" t="n">
        <x:v>298</x:v>
      </x:c>
      <x:c r="AI1003" s="55" t="n">
        <x:v>10657</x:v>
      </x:c>
      <x:c r="AJ1003" s="55" t="n">
        <x:v>468</x:v>
      </x:c>
      <x:c r="AK1003" s="55" t="n">
        <x:v>952</x:v>
      </x:c>
      <x:c r="AL1003" s="55" t="n">
        <x:v>1664</x:v>
      </x:c>
      <x:c r="AM1003" s="55" t="n">
        <x:v>5279</x:v>
      </x:c>
      <x:c r="AN1003" s="55" t="n">
        <x:v>2523</x:v>
      </x:c>
      <x:c r="AO1003" s="55" t="n">
        <x:v>69</x:v>
      </x:c>
      <x:c r="AP1003" s="55" t="n">
        <x:v>3122</x:v>
      </x:c>
      <x:c r="AQ1003" s="55" t="n">
        <x:v>978</x:v>
      </x:c>
    </x:row>
    <x:row r="1004">
      <x:c r="A1004" s="54" t="str">
        <x:v>T0_TABLE_BLOCK</x:v>
      </x:c>
      <x:c r="B1004" s="54" t="n">
        <x:v>998</x:v>
      </x:c>
      <x:c r="C1004" s="54" t="str">
        <x:v>NYC-V2-R01</x:v>
      </x:c>
      <x:c r="D1004" s="54" t="str">
        <x:v>V2</x:v>
      </x:c>
      <x:c r="E1004" s="54" t="str">
        <x:v>ADMITTED</x:v>
      </x:c>
      <x:c r="F1004" s="55" t="n">
        <x:v>33151</x:v>
      </x:c>
      <x:c r="G1004" s="55" t="n">
        <x:v>7897</x:v>
      </x:c>
      <x:c r="H1004" s="55" t="n">
        <x:v>3731</x:v>
      </x:c>
      <x:c r="I1004" s="55" t="n">
        <x:v>1207</x:v>
      </x:c>
      <x:c r="J1004" s="55" t="n">
        <x:v>411</x:v>
      </x:c>
      <x:c r="K1004" s="55" t="n">
        <x:v>30786</x:v>
      </x:c>
      <x:c r="L1004" s="55" t="n">
        <x:v>5494</x:v>
      </x:c>
      <x:c r="M1004" s="55" t="n">
        <x:v>1378</x:v>
      </x:c>
      <x:c r="N1004" s="55" t="n">
        <x:v>2699</x:v>
      </x:c>
      <x:c r="O1004" s="55" t="n">
        <x:v>1417</x:v>
      </x:c>
      <x:c r="P1004" s="55" t="n">
        <x:v>1160</x:v>
      </x:c>
      <x:c r="Q1004" s="55" t="n">
        <x:v>1620</x:v>
      </x:c>
      <x:c r="R1004" s="55" t="n">
        <x:v>1697</x:v>
      </x:c>
      <x:c r="S1004" s="55" t="n">
        <x:v>2672</x:v>
      </x:c>
      <x:c r="T1004" s="55" t="n">
        <x:v>884</x:v>
      </x:c>
      <x:c r="U1004" s="55" t="n">
        <x:v>1600</x:v>
      </x:c>
      <x:c r="V1004" s="55" t="n">
        <x:v>10874</x:v>
      </x:c>
      <x:c r="W1004" s="55" t="n">
        <x:v>8084</x:v>
      </x:c>
      <x:c r="X1004" s="55" t="n">
        <x:v>2790</x:v>
      </x:c>
      <x:c r="Y1004" s="55" t="n">
        <x:v>2499</x:v>
      </x:c>
      <x:c r="Z1004" s="55" t="n">
        <x:v>4117</x:v>
      </x:c>
      <x:c r="AA1004" s="55" t="n">
        <x:v>2477</x:v>
      </x:c>
      <x:c r="AB1004" s="55" t="n">
        <x:v>881</x:v>
      </x:c>
      <x:c r="AC1004" s="55" t="n">
        <x:v>8888</x:v>
      </x:c>
      <x:c r="AD1004" s="55" t="n">
        <x:v>2189</x:v>
      </x:c>
      <x:c r="AE1004" s="55" t="n">
        <x:v>10929</x:v>
      </x:c>
      <x:c r="AF1004" s="55" t="n">
        <x:v>10874</x:v>
      </x:c>
      <x:c r="AG1004" s="55" t="n">
        <x:v>55</x:v>
      </x:c>
      <x:c r="AH1004" s="55" t="n">
        <x:v>437</x:v>
      </x:c>
      <x:c r="AI1004" s="55" t="n">
        <x:v>10437</x:v>
      </x:c>
      <x:c r="AJ1004" s="55" t="n">
        <x:v>401</x:v>
      </x:c>
      <x:c r="AK1004" s="55" t="n">
        <x:v>1084</x:v>
      </x:c>
      <x:c r="AL1004" s="55" t="n">
        <x:v>1114</x:v>
      </x:c>
      <x:c r="AM1004" s="55" t="n">
        <x:v>5221</x:v>
      </x:c>
      <x:c r="AN1004" s="55" t="n">
        <x:v>2996</x:v>
      </x:c>
      <x:c r="AO1004" s="55" t="n">
        <x:v>58</x:v>
      </x:c>
      <x:c r="AP1004" s="55" t="n">
        <x:v>2155</x:v>
      </x:c>
      <x:c r="AQ1004" s="55" t="n">
        <x:v>996</x:v>
      </x:c>
    </x:row>
    <x:row r="1005">
      <x:c r="A1005" s="54" t="str">
        <x:v>T0_TABLE_BLOCK</x:v>
      </x:c>
      <x:c r="B1005" s="54" t="n">
        <x:v>999</x:v>
      </x:c>
      <x:c r="C1005" s="54" t="str">
        <x:v>NYC-V2-R01</x:v>
      </x:c>
      <x:c r="D1005" s="54" t="str">
        <x:v>V2</x:v>
      </x:c>
      <x:c r="E1005" s="54" t="str">
        <x:v>ADMITTED</x:v>
      </x:c>
      <x:c r="F1005" s="55" t="n">
        <x:v>32106</x:v>
      </x:c>
      <x:c r="G1005" s="55" t="n">
        <x:v>8161</x:v>
      </x:c>
      <x:c r="H1005" s="55" t="n">
        <x:v>3240</x:v>
      </x:c>
      <x:c r="I1005" s="55" t="n">
        <x:v>1003</x:v>
      </x:c>
      <x:c r="J1005" s="55" t="n">
        <x:v>313</x:v>
      </x:c>
      <x:c r="K1005" s="55" t="n">
        <x:v>32106</x:v>
      </x:c>
      <x:c r="L1005" s="55" t="n">
        <x:v>5767</x:v>
      </x:c>
      <x:c r="M1005" s="55" t="n">
        <x:v>298</x:v>
      </x:c>
      <x:c r="N1005" s="55" t="n">
        <x:v>3281</x:v>
      </x:c>
      <x:c r="O1005" s="55" t="n">
        <x:v>2188</x:v>
      </x:c>
      <x:c r="P1005" s="55" t="n">
        <x:v>672</x:v>
      </x:c>
      <x:c r="Q1005" s="55" t="n">
        <x:v>2238</x:v>
      </x:c>
      <x:c r="R1005" s="55" t="n">
        <x:v>1750</x:v>
      </x:c>
      <x:c r="S1005" s="55" t="n">
        <x:v>2502</x:v>
      </x:c>
      <x:c r="T1005" s="55" t="n">
        <x:v>1746</x:v>
      </x:c>
      <x:c r="U1005" s="55" t="n">
        <x:v>1792</x:v>
      </x:c>
      <x:c r="V1005" s="55" t="n">
        <x:v>10696</x:v>
      </x:c>
      <x:c r="W1005" s="55" t="n">
        <x:v>7669</x:v>
      </x:c>
      <x:c r="X1005" s="55" t="n">
        <x:v>3027</x:v>
      </x:c>
      <x:c r="Y1005" s="55" t="n">
        <x:v>2645</x:v>
      </x:c>
      <x:c r="Z1005" s="55" t="n">
        <x:v>3787</x:v>
      </x:c>
      <x:c r="AA1005" s="55" t="n">
        <x:v>2800</x:v>
      </x:c>
      <x:c r="AB1005" s="55" t="n">
        <x:v>1218</x:v>
      </x:c>
      <x:c r="AC1005" s="55" t="n">
        <x:v>8001</x:v>
      </x:c>
      <x:c r="AD1005" s="55" t="n">
        <x:v>3109</x:v>
      </x:c>
      <x:c r="AE1005" s="55" t="n">
        <x:v>10792</x:v>
      </x:c>
      <x:c r="AF1005" s="55" t="n">
        <x:v>10696</x:v>
      </x:c>
      <x:c r="AG1005" s="55" t="n">
        <x:v>96</x:v>
      </x:c>
      <x:c r="AH1005" s="55" t="n">
        <x:v>397</x:v>
      </x:c>
      <x:c r="AI1005" s="55" t="n">
        <x:v>10299</x:v>
      </x:c>
      <x:c r="AJ1005" s="55" t="n">
        <x:v>140</x:v>
      </x:c>
      <x:c r="AK1005" s="55" t="n">
        <x:v>323</x:v>
      </x:c>
      <x:c r="AL1005" s="55" t="n">
        <x:v>1486</x:v>
      </x:c>
      <x:c r="AM1005" s="55" t="n">
        <x:v>5047</x:v>
      </x:c>
      <x:c r="AN1005" s="55" t="n">
        <x:v>3700</x:v>
      </x:c>
      <x:c r="AO1005" s="55" t="n">
        <x:v>0</x:v>
      </x:c>
      <x:c r="AP1005" s="55" t="n">
        <x:v>2682</x:v>
      </x:c>
      <x:c r="AQ1005" s="55" t="n">
        <x:v>927</x:v>
      </x:c>
    </x:row>
    <x:row r="1006">
      <x:c r="A1006" s="56" t="str">
        <x:v>T0_TABLE_BLOCK</x:v>
      </x:c>
      <x:c r="B1006" s="56" t="n">
        <x:v>1000</x:v>
      </x:c>
      <x:c r="C1006" s="56" t="str">
        <x:v>NYC-V2-R01</x:v>
      </x:c>
      <x:c r="D1006" s="56" t="str">
        <x:v>V2</x:v>
      </x:c>
      <x:c r="E1006" s="56" t="str">
        <x:v>ADMITTED</x:v>
      </x:c>
      <x:c r="F1006" s="57" t="n">
        <x:v>30498</x:v>
      </x:c>
      <x:c r="G1006" s="57" t="n">
        <x:v>7986</x:v>
      </x:c>
      <x:c r="H1006" s="57" t="n">
        <x:v>3212</x:v>
      </x:c>
      <x:c r="I1006" s="57" t="n">
        <x:v>1129</x:v>
      </x:c>
      <x:c r="J1006" s="57" t="n">
        <x:v>216</x:v>
      </x:c>
      <x:c r="K1006" s="57" t="n">
        <x:v>28478</x:v>
      </x:c>
      <x:c r="L1006" s="57" t="n">
        <x:v>5451</x:v>
      </x:c>
      <x:c r="M1006" s="57" t="n">
        <x:v>760</x:v>
      </x:c>
      <x:c r="N1006" s="57" t="n">
        <x:v>2829</x:v>
      </x:c>
      <x:c r="O1006" s="57" t="n">
        <x:v>1862</x:v>
      </x:c>
      <x:c r="P1006" s="57" t="n">
        <x:v>883</x:v>
      </x:c>
      <x:c r="Q1006" s="57" t="n">
        <x:v>2344</x:v>
      </x:c>
      <x:c r="R1006" s="57" t="n">
        <x:v>1996</x:v>
      </x:c>
      <x:c r="S1006" s="57" t="n">
        <x:v>3012</x:v>
      </x:c>
      <x:c r="T1006" s="57" t="n">
        <x:v>683</x:v>
      </x:c>
      <x:c r="U1006" s="57" t="n">
        <x:v>2399</x:v>
      </x:c>
      <x:c r="V1006" s="57" t="n">
        <x:v>10567</x:v>
      </x:c>
      <x:c r="W1006" s="57" t="n">
        <x:v>7528</x:v>
      </x:c>
      <x:c r="X1006" s="57" t="n">
        <x:v>3039</x:v>
      </x:c>
      <x:c r="Y1006" s="57" t="n">
        <x:v>2500</x:v>
      </x:c>
      <x:c r="Z1006" s="57" t="n">
        <x:v>3712</x:v>
      </x:c>
      <x:c r="AA1006" s="57" t="n">
        <x:v>3019</x:v>
      </x:c>
      <x:c r="AB1006" s="57" t="n">
        <x:v>1106</x:v>
      </x:c>
      <x:c r="AC1006" s="57" t="n">
        <x:v>8467</x:v>
      </x:c>
      <x:c r="AD1006" s="57" t="n">
        <x:v>3063</x:v>
      </x:c>
      <x:c r="AE1006" s="57" t="n">
        <x:v>10708</x:v>
      </x:c>
      <x:c r="AF1006" s="57" t="n">
        <x:v>10567</x:v>
      </x:c>
      <x:c r="AG1006" s="57" t="n">
        <x:v>141</x:v>
      </x:c>
      <x:c r="AH1006" s="57" t="n">
        <x:v>417</x:v>
      </x:c>
      <x:c r="AI1006" s="57" t="n">
        <x:v>10150</x:v>
      </x:c>
      <x:c r="AJ1006" s="57" t="n">
        <x:v>161</x:v>
      </x:c>
      <x:c r="AK1006" s="57" t="n">
        <x:v>713</x:v>
      </x:c>
      <x:c r="AL1006" s="57" t="n">
        <x:v>1882</x:v>
      </x:c>
      <x:c r="AM1006" s="57" t="n">
        <x:v>4572</x:v>
      </x:c>
      <x:c r="AN1006" s="57" t="n">
        <x:v>3239</x:v>
      </x:c>
      <x:c r="AO1006" s="57" t="n">
        <x:v>0</x:v>
      </x:c>
      <x:c r="AP1006" s="57" t="n">
        <x:v>2550</x:v>
      </x:c>
      <x:c r="AQ1006" s="57" t="n">
        <x:v>966</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T1</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T1_SHARED_CATCHMENT: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52" t="str">
        <x:v>T1_SHARED_CATCHMENT</x:v>
      </x:c>
      <x:c r="B7" s="52" t="n">
        <x:v>1</x:v>
      </x:c>
      <x:c r="C7" s="52" t="str">
        <x:v>NYC-V2-R01</x:v>
      </x:c>
      <x:c r="D7" s="52" t="str">
        <x:v>V2</x:v>
      </x:c>
      <x:c r="E7" s="52" t="str">
        <x:v>ADMITTED</x:v>
      </x:c>
      <x:c r="F7" s="53" t="n">
        <x:v>31207</x:v>
      </x:c>
      <x:c r="G7" s="53" t="n">
        <x:v>7883</x:v>
      </x:c>
      <x:c r="H7" s="53" t="n">
        <x:v>3222</x:v>
      </x:c>
      <x:c r="I7" s="53" t="n">
        <x:v>770</x:v>
      </x:c>
      <x:c r="J7" s="53" t="n">
        <x:v>190</x:v>
      </x:c>
      <x:c r="K7" s="53" t="n">
        <x:v>30578</x:v>
      </x:c>
      <x:c r="L7" s="53" t="n">
        <x:v>5992</x:v>
      </x:c>
      <x:c r="M7" s="53" t="n">
        <x:v>1392</x:v>
      </x:c>
      <x:c r="N7" s="53" t="n">
        <x:v>2886</x:v>
      </x:c>
      <x:c r="O7" s="53" t="n">
        <x:v>1714</x:v>
      </x:c>
      <x:c r="P7" s="53" t="n">
        <x:v>914</x:v>
      </x:c>
      <x:c r="Q7" s="53" t="n">
        <x:v>2940</x:v>
      </x:c>
      <x:c r="R7" s="53" t="n">
        <x:v>2334</x:v>
      </x:c>
      <x:c r="S7" s="53" t="n">
        <x:v>3663</x:v>
      </x:c>
      <x:c r="T7" s="53" t="n">
        <x:v>887</x:v>
      </x:c>
      <x:c r="U7" s="53" t="n">
        <x:v>2168</x:v>
      </x:c>
      <x:c r="V7" s="53" t="n">
        <x:v>10637</x:v>
      </x:c>
      <x:c r="W7" s="53" t="n">
        <x:v>7119</x:v>
      </x:c>
      <x:c r="X7" s="53" t="n">
        <x:v>3518</x:v>
      </x:c>
      <x:c r="Y7" s="53" t="n">
        <x:v>3113</x:v>
      </x:c>
      <x:c r="Z7" s="53" t="n">
        <x:v>3858</x:v>
      </x:c>
      <x:c r="AA7" s="53" t="n">
        <x:v>3222</x:v>
      </x:c>
      <x:c r="AB7" s="53" t="n">
        <x:v>901</x:v>
      </x:c>
      <x:c r="AC7" s="53" t="n">
        <x:v>8417</x:v>
      </x:c>
      <x:c r="AD7" s="53" t="n">
        <x:v>2849</x:v>
      </x:c>
      <x:c r="AE7" s="53" t="n">
        <x:v>10789</x:v>
      </x:c>
      <x:c r="AF7" s="53" t="n">
        <x:v>10637</x:v>
      </x:c>
      <x:c r="AG7" s="53" t="n">
        <x:v>152</x:v>
      </x:c>
      <x:c r="AH7" s="53" t="n">
        <x:v>583</x:v>
      </x:c>
      <x:c r="AI7" s="53" t="n">
        <x:v>10054</x:v>
      </x:c>
      <x:c r="AJ7" s="53" t="n">
        <x:v>322</x:v>
      </x:c>
      <x:c r="AK7" s="53" t="n">
        <x:v>1027</x:v>
      </x:c>
      <x:c r="AL7" s="53" t="n">
        <x:v>2117</x:v>
      </x:c>
      <x:c r="AM7" s="53" t="n">
        <x:v>4814</x:v>
      </x:c>
      <x:c r="AN7" s="53" t="n">
        <x:v>2345</x:v>
      </x:c>
      <x:c r="AO7" s="53" t="n">
        <x:v>12</x:v>
      </x:c>
      <x:c r="AP7" s="53" t="n">
        <x:v>2356</x:v>
      </x:c>
      <x:c r="AQ7" s="53" t="n">
        <x:v>969</x:v>
      </x:c>
    </x:row>
    <x:row r="8">
      <x:c r="A8" s="54" t="str">
        <x:v>T1_SHARED_CATCHMENT</x:v>
      </x:c>
      <x:c r="B8" s="54" t="n">
        <x:v>2</x:v>
      </x:c>
      <x:c r="C8" s="54" t="str">
        <x:v>NYC-V2-R01</x:v>
      </x:c>
      <x:c r="D8" s="54" t="str">
        <x:v>V2</x:v>
      </x:c>
      <x:c r="E8" s="54" t="str">
        <x:v>ADMITTED</x:v>
      </x:c>
      <x:c r="F8" s="55" t="n">
        <x:v>31748</x:v>
      </x:c>
      <x:c r="G8" s="55" t="n">
        <x:v>8260</x:v>
      </x:c>
      <x:c r="H8" s="55" t="n">
        <x:v>3197</x:v>
      </x:c>
      <x:c r="I8" s="55" t="n">
        <x:v>1122</x:v>
      </x:c>
      <x:c r="J8" s="55" t="n">
        <x:v>183</x:v>
      </x:c>
      <x:c r="K8" s="55" t="n">
        <x:v>30339</x:v>
      </x:c>
      <x:c r="L8" s="55" t="n">
        <x:v>5297</x:v>
      </x:c>
      <x:c r="M8" s="55" t="n">
        <x:v>543</x:v>
      </x:c>
      <x:c r="N8" s="55" t="n">
        <x:v>2935</x:v>
      </x:c>
      <x:c r="O8" s="55" t="n">
        <x:v>1819</x:v>
      </x:c>
      <x:c r="P8" s="55" t="n">
        <x:v>934</x:v>
      </x:c>
      <x:c r="Q8" s="55" t="n">
        <x:v>1476</x:v>
      </x:c>
      <x:c r="R8" s="55" t="n">
        <x:v>2018</x:v>
      </x:c>
      <x:c r="S8" s="55" t="n">
        <x:v>2963</x:v>
      </x:c>
      <x:c r="T8" s="55" t="n">
        <x:v>1173</x:v>
      </x:c>
      <x:c r="U8" s="55" t="n">
        <x:v>1415</x:v>
      </x:c>
      <x:c r="V8" s="55" t="n">
        <x:v>10989</x:v>
      </x:c>
      <x:c r="W8" s="55" t="n">
        <x:v>7910</x:v>
      </x:c>
      <x:c r="X8" s="55" t="n">
        <x:v>3079</x:v>
      </x:c>
      <x:c r="Y8" s="55" t="n">
        <x:v>2500</x:v>
      </x:c>
      <x:c r="Z8" s="55" t="n">
        <x:v>3577</x:v>
      </x:c>
      <x:c r="AA8" s="55" t="n">
        <x:v>3197</x:v>
      </x:c>
      <x:c r="AB8" s="55" t="n">
        <x:v>1324</x:v>
      </x:c>
      <x:c r="AC8" s="55" t="n">
        <x:v>7586</x:v>
      </x:c>
      <x:c r="AD8" s="55" t="n">
        <x:v>2371</x:v>
      </x:c>
      <x:c r="AE8" s="55" t="n">
        <x:v>11111</x:v>
      </x:c>
      <x:c r="AF8" s="55" t="n">
        <x:v>10989</x:v>
      </x:c>
      <x:c r="AG8" s="55" t="n">
        <x:v>122</x:v>
      </x:c>
      <x:c r="AH8" s="55" t="n">
        <x:v>549</x:v>
      </x:c>
      <x:c r="AI8" s="55" t="n">
        <x:v>10440</x:v>
      </x:c>
      <x:c r="AJ8" s="55" t="n">
        <x:v>326</x:v>
      </x:c>
      <x:c r="AK8" s="55" t="n">
        <x:v>1555</x:v>
      </x:c>
      <x:c r="AL8" s="55" t="n">
        <x:v>1651</x:v>
      </x:c>
      <x:c r="AM8" s="55" t="n">
        <x:v>4807</x:v>
      </x:c>
      <x:c r="AN8" s="55" t="n">
        <x:v>2650</x:v>
      </x:c>
      <x:c r="AO8" s="55" t="n">
        <x:v>0</x:v>
      </x:c>
      <x:c r="AP8" s="55" t="n">
        <x:v>2370</x:v>
      </x:c>
      <x:c r="AQ8" s="55" t="n">
        <x:v>963</x:v>
      </x:c>
    </x:row>
    <x:row r="9">
      <x:c r="A9" s="54" t="str">
        <x:v>T1_SHARED_CATCHMENT</x:v>
      </x:c>
      <x:c r="B9" s="54" t="n">
        <x:v>3</x:v>
      </x:c>
      <x:c r="C9" s="54" t="str">
        <x:v>NYC-V2-R01</x:v>
      </x:c>
      <x:c r="D9" s="54" t="str">
        <x:v>V2</x:v>
      </x:c>
      <x:c r="E9" s="54" t="str">
        <x:v>ADMITTED</x:v>
      </x:c>
      <x:c r="F9" s="55" t="n">
        <x:v>29425</x:v>
      </x:c>
      <x:c r="G9" s="55" t="n">
        <x:v>8201</x:v>
      </x:c>
      <x:c r="H9" s="55" t="n">
        <x:v>3350</x:v>
      </x:c>
      <x:c r="I9" s="55" t="n">
        <x:v>1297</x:v>
      </x:c>
      <x:c r="J9" s="55" t="n">
        <x:v>338</x:v>
      </x:c>
      <x:c r="K9" s="55" t="n">
        <x:v>29425</x:v>
      </x:c>
      <x:c r="L9" s="55" t="n">
        <x:v>6035</x:v>
      </x:c>
      <x:c r="M9" s="55" t="n">
        <x:v>1364</x:v>
      </x:c>
      <x:c r="N9" s="55" t="n">
        <x:v>3081</x:v>
      </x:c>
      <x:c r="O9" s="55" t="n">
        <x:v>1590</x:v>
      </x:c>
      <x:c r="P9" s="55" t="n">
        <x:v>1061</x:v>
      </x:c>
      <x:c r="Q9" s="55" t="n">
        <x:v>2288</x:v>
      </x:c>
      <x:c r="R9" s="55" t="n">
        <x:v>1768</x:v>
      </x:c>
      <x:c r="S9" s="55" t="n">
        <x:v>2629</x:v>
      </x:c>
      <x:c r="T9" s="55" t="n">
        <x:v>956</x:v>
      </x:c>
      <x:c r="U9" s="55" t="n">
        <x:v>1929</x:v>
      </x:c>
      <x:c r="V9" s="55" t="n">
        <x:v>10552</x:v>
      </x:c>
      <x:c r="W9" s="55" t="n">
        <x:v>7520</x:v>
      </x:c>
      <x:c r="X9" s="55" t="n">
        <x:v>3032</x:v>
      </x:c>
      <x:c r="Y9" s="55" t="n">
        <x:v>2780</x:v>
      </x:c>
      <x:c r="Z9" s="55" t="n">
        <x:v>3747</x:v>
      </x:c>
      <x:c r="AA9" s="55" t="n">
        <x:v>3350</x:v>
      </x:c>
      <x:c r="AB9" s="55" t="n">
        <x:v>989</x:v>
      </x:c>
      <x:c r="AC9" s="55" t="n">
        <x:v>7637</x:v>
      </x:c>
      <x:c r="AD9" s="55" t="n">
        <x:v>3634</x:v>
      </x:c>
      <x:c r="AE9" s="55" t="n">
        <x:v>10596</x:v>
      </x:c>
      <x:c r="AF9" s="55" t="n">
        <x:v>10552</x:v>
      </x:c>
      <x:c r="AG9" s="55" t="n">
        <x:v>44</x:v>
      </x:c>
      <x:c r="AH9" s="55" t="n">
        <x:v>370</x:v>
      </x:c>
      <x:c r="AI9" s="55" t="n">
        <x:v>10182</x:v>
      </x:c>
      <x:c r="AJ9" s="55" t="n">
        <x:v>546</x:v>
      </x:c>
      <x:c r="AK9" s="55" t="n">
        <x:v>1278</x:v>
      </x:c>
      <x:c r="AL9" s="55" t="n">
        <x:v>1430</x:v>
      </x:c>
      <x:c r="AM9" s="55" t="n">
        <x:v>4582</x:v>
      </x:c>
      <x:c r="AN9" s="55" t="n">
        <x:v>2657</x:v>
      </x:c>
      <x:c r="AO9" s="55" t="n">
        <x:v>59</x:v>
      </x:c>
      <x:c r="AP9" s="55" t="n">
        <x:v>2597</x:v>
      </x:c>
      <x:c r="AQ9" s="55" t="n">
        <x:v>924</x:v>
      </x:c>
    </x:row>
    <x:row r="10">
      <x:c r="A10" s="54" t="str">
        <x:v>T1_SHARED_CATCHMENT</x:v>
      </x:c>
      <x:c r="B10" s="54" t="n">
        <x:v>4</x:v>
      </x:c>
      <x:c r="C10" s="54" t="str">
        <x:v>NYC-V2-R01</x:v>
      </x:c>
      <x:c r="D10" s="54" t="str">
        <x:v>V2</x:v>
      </x:c>
      <x:c r="E10" s="54" t="str">
        <x:v>ADMITTED</x:v>
      </x:c>
      <x:c r="F10" s="55" t="n">
        <x:v>32490</x:v>
      </x:c>
      <x:c r="G10" s="55" t="n">
        <x:v>8464</x:v>
      </x:c>
      <x:c r="H10" s="55" t="n">
        <x:v>3948</x:v>
      </x:c>
      <x:c r="I10" s="55" t="n">
        <x:v>1310</x:v>
      </x:c>
      <x:c r="J10" s="55" t="n">
        <x:v>97</x:v>
      </x:c>
      <x:c r="K10" s="55" t="n">
        <x:v>32490</x:v>
      </x:c>
      <x:c r="L10" s="55" t="n">
        <x:v>6091</x:v>
      </x:c>
      <x:c r="M10" s="55" t="n">
        <x:v>947</x:v>
      </x:c>
      <x:c r="N10" s="55" t="n">
        <x:v>2910</x:v>
      </x:c>
      <x:c r="O10" s="55" t="n">
        <x:v>2234</x:v>
      </x:c>
      <x:c r="P10" s="55" t="n">
        <x:v>1357</x:v>
      </x:c>
      <x:c r="Q10" s="55" t="n">
        <x:v>2386</x:v>
      </x:c>
      <x:c r="R10" s="55" t="n">
        <x:v>1599</x:v>
      </x:c>
      <x:c r="S10" s="55" t="n">
        <x:v>2245</x:v>
      </x:c>
      <x:c r="T10" s="55" t="n">
        <x:v>1232</x:v>
      </x:c>
      <x:c r="U10" s="55" t="n">
        <x:v>1972</x:v>
      </x:c>
      <x:c r="V10" s="55" t="n">
        <x:v>10744</x:v>
      </x:c>
      <x:c r="W10" s="55" t="n">
        <x:v>7484</x:v>
      </x:c>
      <x:c r="X10" s="55" t="n">
        <x:v>3260</x:v>
      </x:c>
      <x:c r="Y10" s="55" t="n">
        <x:v>2878</x:v>
      </x:c>
      <x:c r="Z10" s="55" t="n">
        <x:v>4040</x:v>
      </x:c>
      <x:c r="AA10" s="55" t="n">
        <x:v>3948</x:v>
      </x:c>
      <x:c r="AB10" s="55" t="n">
        <x:v>1232</x:v>
      </x:c>
      <x:c r="AC10" s="55" t="n">
        <x:v>7820</x:v>
      </x:c>
      <x:c r="AD10" s="55" t="n">
        <x:v>2454</x:v>
      </x:c>
      <x:c r="AE10" s="55" t="n">
        <x:v>10765</x:v>
      </x:c>
      <x:c r="AF10" s="55" t="n">
        <x:v>10744</x:v>
      </x:c>
      <x:c r="AG10" s="55" t="n">
        <x:v>21</x:v>
      </x:c>
      <x:c r="AH10" s="55" t="n">
        <x:v>352</x:v>
      </x:c>
      <x:c r="AI10" s="55" t="n">
        <x:v>10392</x:v>
      </x:c>
      <x:c r="AJ10" s="55" t="n">
        <x:v>288</x:v>
      </x:c>
      <x:c r="AK10" s="55" t="n">
        <x:v>1097</x:v>
      </x:c>
      <x:c r="AL10" s="55" t="n">
        <x:v>1540</x:v>
      </x:c>
      <x:c r="AM10" s="55" t="n">
        <x:v>5027</x:v>
      </x:c>
      <x:c r="AN10" s="55" t="n">
        <x:v>2780</x:v>
      </x:c>
      <x:c r="AO10" s="55" t="n">
        <x:v>12</x:v>
      </x:c>
      <x:c r="AP10" s="55" t="n">
        <x:v>2433</x:v>
      </x:c>
      <x:c r="AQ10" s="55" t="n">
        <x:v>961</x:v>
      </x:c>
    </x:row>
    <x:row r="11">
      <x:c r="A11" s="54" t="str">
        <x:v>T1_SHARED_CATCHMENT</x:v>
      </x:c>
      <x:c r="B11" s="54" t="n">
        <x:v>5</x:v>
      </x:c>
      <x:c r="C11" s="54" t="str">
        <x:v>NYC-V2-R01</x:v>
      </x:c>
      <x:c r="D11" s="54" t="str">
        <x:v>V2</x:v>
      </x:c>
      <x:c r="E11" s="54" t="str">
        <x:v>ADMITTED</x:v>
      </x:c>
      <x:c r="F11" s="55" t="n">
        <x:v>31936</x:v>
      </x:c>
      <x:c r="G11" s="55" t="n">
        <x:v>7481</x:v>
      </x:c>
      <x:c r="H11" s="55" t="n">
        <x:v>3173</x:v>
      </x:c>
      <x:c r="I11" s="55" t="n">
        <x:v>1032</x:v>
      </x:c>
      <x:c r="J11" s="55" t="n">
        <x:v>189</x:v>
      </x:c>
      <x:c r="K11" s="55" t="n">
        <x:v>26452</x:v>
      </x:c>
      <x:c r="L11" s="55" t="n">
        <x:v>4241</x:v>
      </x:c>
      <x:c r="M11" s="55" t="n">
        <x:v>200</x:v>
      </x:c>
      <x:c r="N11" s="55" t="n">
        <x:v>2389</x:v>
      </x:c>
      <x:c r="O11" s="55" t="n">
        <x:v>1652</x:v>
      </x:c>
      <x:c r="P11" s="55" t="n">
        <x:v>784</x:v>
      </x:c>
      <x:c r="Q11" s="55" t="n">
        <x:v>2510</x:v>
      </x:c>
      <x:c r="R11" s="55" t="n">
        <x:v>1500</x:v>
      </x:c>
      <x:c r="S11" s="55" t="n">
        <x:v>2616</x:v>
      </x:c>
      <x:c r="T11" s="55" t="n">
        <x:v>977</x:v>
      </x:c>
      <x:c r="U11" s="55" t="n">
        <x:v>2464</x:v>
      </x:c>
      <x:c r="V11" s="55" t="n">
        <x:v>10575</x:v>
      </x:c>
      <x:c r="W11" s="55" t="n">
        <x:v>7588</x:v>
      </x:c>
      <x:c r="X11" s="55" t="n">
        <x:v>2987</x:v>
      </x:c>
      <x:c r="Y11" s="55" t="n">
        <x:v>2495</x:v>
      </x:c>
      <x:c r="Z11" s="55" t="n">
        <x:v>3474</x:v>
      </x:c>
      <x:c r="AA11" s="55" t="n">
        <x:v>2618</x:v>
      </x:c>
      <x:c r="AB11" s="55" t="n">
        <x:v>812</x:v>
      </x:c>
      <x:c r="AC11" s="55" t="n">
        <x:v>7873</x:v>
      </x:c>
      <x:c r="AD11" s="55" t="n">
        <x:v>2943</x:v>
      </x:c>
      <x:c r="AE11" s="55" t="n">
        <x:v>10575</x:v>
      </x:c>
      <x:c r="AF11" s="55" t="n">
        <x:v>10575</x:v>
      </x:c>
      <x:c r="AG11" s="55" t="n">
        <x:v>0</x:v>
      </x:c>
      <x:c r="AH11" s="55" t="n">
        <x:v>326</x:v>
      </x:c>
      <x:c r="AI11" s="55" t="n">
        <x:v>10249</x:v>
      </x:c>
      <x:c r="AJ11" s="55" t="n">
        <x:v>207</x:v>
      </x:c>
      <x:c r="AK11" s="55" t="n">
        <x:v>1187</x:v>
      </x:c>
      <x:c r="AL11" s="55" t="n">
        <x:v>1429</x:v>
      </x:c>
      <x:c r="AM11" s="55" t="n">
        <x:v>5019</x:v>
      </x:c>
      <x:c r="AN11" s="55" t="n">
        <x:v>2641</x:v>
      </x:c>
      <x:c r="AO11" s="55" t="n">
        <x:v>92</x:v>
      </x:c>
      <x:c r="AP11" s="55" t="n">
        <x:v>2153</x:v>
      </x:c>
      <x:c r="AQ11" s="55" t="n">
        <x:v>986</x:v>
      </x:c>
    </x:row>
    <x:row r="12">
      <x:c r="A12" s="54" t="str">
        <x:v>T1_SHARED_CATCHMENT</x:v>
      </x:c>
      <x:c r="B12" s="54" t="n">
        <x:v>6</x:v>
      </x:c>
      <x:c r="C12" s="54" t="str">
        <x:v>NYC-V2-R01</x:v>
      </x:c>
      <x:c r="D12" s="54" t="str">
        <x:v>V2</x:v>
      </x:c>
      <x:c r="E12" s="54" t="str">
        <x:v>ADMITTED</x:v>
      </x:c>
      <x:c r="F12" s="55" t="n">
        <x:v>30419</x:v>
      </x:c>
      <x:c r="G12" s="55" t="n">
        <x:v>6271</x:v>
      </x:c>
      <x:c r="H12" s="55" t="n">
        <x:v>3376</x:v>
      </x:c>
      <x:c r="I12" s="55" t="n">
        <x:v>1578</x:v>
      </x:c>
      <x:c r="J12" s="55" t="n">
        <x:v>299</x:v>
      </x:c>
      <x:c r="K12" s="55" t="n">
        <x:v>30419</x:v>
      </x:c>
      <x:c r="L12" s="55" t="n">
        <x:v>5472</x:v>
      </x:c>
      <x:c r="M12" s="55" t="n">
        <x:v>1626</x:v>
      </x:c>
      <x:c r="N12" s="55" t="n">
        <x:v>2275</x:v>
      </x:c>
      <x:c r="O12" s="55" t="n">
        <x:v>1571</x:v>
      </x:c>
      <x:c r="P12" s="55" t="n">
        <x:v>729</x:v>
      </x:c>
      <x:c r="Q12" s="55" t="n">
        <x:v>2995</x:v>
      </x:c>
      <x:c r="R12" s="55" t="n">
        <x:v>1793</x:v>
      </x:c>
      <x:c r="S12" s="55" t="n">
        <x:v>2247</x:v>
      </x:c>
      <x:c r="T12" s="55" t="n">
        <x:v>1152</x:v>
      </x:c>
      <x:c r="U12" s="55" t="n">
        <x:v>1744</x:v>
      </x:c>
      <x:c r="V12" s="55" t="n">
        <x:v>9614</x:v>
      </x:c>
      <x:c r="W12" s="55" t="n">
        <x:v>6371</x:v>
      </x:c>
      <x:c r="X12" s="55" t="n">
        <x:v>3243</x:v>
      </x:c>
      <x:c r="Y12" s="55" t="n">
        <x:v>2698</x:v>
      </x:c>
      <x:c r="Z12" s="55" t="n">
        <x:v>3447</x:v>
      </x:c>
      <x:c r="AA12" s="55" t="n">
        <x:v>2796</x:v>
      </x:c>
      <x:c r="AB12" s="55" t="n">
        <x:v>814</x:v>
      </x:c>
      <x:c r="AC12" s="55" t="n">
        <x:v>7675</x:v>
      </x:c>
      <x:c r="AD12" s="55" t="n">
        <x:v>3202</x:v>
      </x:c>
      <x:c r="AE12" s="55" t="n">
        <x:v>9707</x:v>
      </x:c>
      <x:c r="AF12" s="55" t="n">
        <x:v>9614</x:v>
      </x:c>
      <x:c r="AG12" s="55" t="n">
        <x:v>93</x:v>
      </x:c>
      <x:c r="AH12" s="55" t="n">
        <x:v>377</x:v>
      </x:c>
      <x:c r="AI12" s="55" t="n">
        <x:v>9237</x:v>
      </x:c>
      <x:c r="AJ12" s="55" t="n">
        <x:v>233</x:v>
      </x:c>
      <x:c r="AK12" s="55" t="n">
        <x:v>873</x:v>
      </x:c>
      <x:c r="AL12" s="55" t="n">
        <x:v>1455</x:v>
      </x:c>
      <x:c r="AM12" s="55" t="n">
        <x:v>4451</x:v>
      </x:c>
      <x:c r="AN12" s="55" t="n">
        <x:v>2572</x:v>
      </x:c>
      <x:c r="AO12" s="55" t="n">
        <x:v>30</x:v>
      </x:c>
      <x:c r="AP12" s="55" t="n">
        <x:v>2079</x:v>
      </x:c>
      <x:c r="AQ12" s="55" t="n">
        <x:v>961</x:v>
      </x:c>
    </x:row>
    <x:row r="13">
      <x:c r="A13" s="54" t="str">
        <x:v>T1_SHARED_CATCHMENT</x:v>
      </x:c>
      <x:c r="B13" s="54" t="n">
        <x:v>7</x:v>
      </x:c>
      <x:c r="C13" s="54" t="str">
        <x:v>NYC-V2-R01</x:v>
      </x:c>
      <x:c r="D13" s="54" t="str">
        <x:v>V2</x:v>
      </x:c>
      <x:c r="E13" s="54" t="str">
        <x:v>ADMITTED</x:v>
      </x:c>
      <x:c r="F13" s="55" t="n">
        <x:v>30393</x:v>
      </x:c>
      <x:c r="G13" s="55" t="n">
        <x:v>7628</x:v>
      </x:c>
      <x:c r="H13" s="55" t="n">
        <x:v>3095</x:v>
      </x:c>
      <x:c r="I13" s="55" t="n">
        <x:v>1146</x:v>
      </x:c>
      <x:c r="J13" s="55" t="n">
        <x:v>340</x:v>
      </x:c>
      <x:c r="K13" s="55" t="n">
        <x:v>29779</x:v>
      </x:c>
      <x:c r="L13" s="55" t="n">
        <x:v>4627</x:v>
      </x:c>
      <x:c r="M13" s="55" t="n">
        <x:v>307</x:v>
      </x:c>
      <x:c r="N13" s="55" t="n">
        <x:v>2746</x:v>
      </x:c>
      <x:c r="O13" s="55" t="n">
        <x:v>1574</x:v>
      </x:c>
      <x:c r="P13" s="55" t="n">
        <x:v>1293</x:v>
      </x:c>
      <x:c r="Q13" s="55" t="n">
        <x:v>2995</x:v>
      </x:c>
      <x:c r="R13" s="55" t="n">
        <x:v>2501</x:v>
      </x:c>
      <x:c r="S13" s="55" t="n">
        <x:v>2514</x:v>
      </x:c>
      <x:c r="T13" s="55" t="n">
        <x:v>972</x:v>
      </x:c>
      <x:c r="U13" s="55" t="n">
        <x:v>2002</x:v>
      </x:c>
      <x:c r="V13" s="55" t="n">
        <x:v>10284</x:v>
      </x:c>
      <x:c r="W13" s="55" t="n">
        <x:v>7644</x:v>
      </x:c>
      <x:c r="X13" s="55" t="n">
        <x:v>2640</x:v>
      </x:c>
      <x:c r="Y13" s="55" t="n">
        <x:v>2186</x:v>
      </x:c>
      <x:c r="Z13" s="55" t="n">
        <x:v>4149</x:v>
      </x:c>
      <x:c r="AA13" s="55" t="n">
        <x:v>3018</x:v>
      </x:c>
      <x:c r="AB13" s="55" t="n">
        <x:v>1119</x:v>
      </x:c>
      <x:c r="AC13" s="55" t="n">
        <x:v>8135</x:v>
      </x:c>
      <x:c r="AD13" s="55" t="n">
        <x:v>2976</x:v>
      </x:c>
      <x:c r="AE13" s="55" t="n">
        <x:v>10336</x:v>
      </x:c>
      <x:c r="AF13" s="55" t="n">
        <x:v>10284</x:v>
      </x:c>
      <x:c r="AG13" s="55" t="n">
        <x:v>52</x:v>
      </x:c>
      <x:c r="AH13" s="55" t="n">
        <x:v>497</x:v>
      </x:c>
      <x:c r="AI13" s="55" t="n">
        <x:v>9787</x:v>
      </x:c>
      <x:c r="AJ13" s="55" t="n">
        <x:v>336</x:v>
      </x:c>
      <x:c r="AK13" s="55" t="n">
        <x:v>538</x:v>
      </x:c>
      <x:c r="AL13" s="55" t="n">
        <x:v>1463</x:v>
      </x:c>
      <x:c r="AM13" s="55" t="n">
        <x:v>5524</x:v>
      </x:c>
      <x:c r="AN13" s="55" t="n">
        <x:v>2423</x:v>
      </x:c>
      <x:c r="AO13" s="55" t="n">
        <x:v>0</x:v>
      </x:c>
      <x:c r="AP13" s="55" t="n">
        <x:v>2008</x:v>
      </x:c>
      <x:c r="AQ13" s="55" t="n">
        <x:v>1002</x:v>
      </x:c>
    </x:row>
    <x:row r="14">
      <x:c r="A14" s="54" t="str">
        <x:v>T1_SHARED_CATCHMENT</x:v>
      </x:c>
      <x:c r="B14" s="54" t="n">
        <x:v>8</x:v>
      </x:c>
      <x:c r="C14" s="54" t="str">
        <x:v>NYC-V2-R01</x:v>
      </x:c>
      <x:c r="D14" s="54" t="str">
        <x:v>V2</x:v>
      </x:c>
      <x:c r="E14" s="54" t="str">
        <x:v>ADMITTED</x:v>
      </x:c>
      <x:c r="F14" s="55" t="n">
        <x:v>28627</x:v>
      </x:c>
      <x:c r="G14" s="55" t="n">
        <x:v>5696</x:v>
      </x:c>
      <x:c r="H14" s="55" t="n">
        <x:v>3195</x:v>
      </x:c>
      <x:c r="I14" s="55" t="n">
        <x:v>1310</x:v>
      </x:c>
      <x:c r="J14" s="55" t="n">
        <x:v>326</x:v>
      </x:c>
      <x:c r="K14" s="55" t="n">
        <x:v>28627</x:v>
      </x:c>
      <x:c r="L14" s="55" t="n">
        <x:v>4715</x:v>
      </x:c>
      <x:c r="M14" s="55" t="n">
        <x:v>1080</x:v>
      </x:c>
      <x:c r="N14" s="55" t="n">
        <x:v>2205</x:v>
      </x:c>
      <x:c r="O14" s="55" t="n">
        <x:v>1430</x:v>
      </x:c>
      <x:c r="P14" s="55" t="n">
        <x:v>667</x:v>
      </x:c>
      <x:c r="Q14" s="55" t="n">
        <x:v>1908</x:v>
      </x:c>
      <x:c r="R14" s="55" t="n">
        <x:v>1813</x:v>
      </x:c>
      <x:c r="S14" s="55" t="n">
        <x:v>2110</x:v>
      </x:c>
      <x:c r="T14" s="55" t="n">
        <x:v>1224</x:v>
      </x:c>
      <x:c r="U14" s="55" t="n">
        <x:v>1871</x:v>
      </x:c>
      <x:c r="V14" s="55" t="n">
        <x:v>9613</x:v>
      </x:c>
      <x:c r="W14" s="55" t="n">
        <x:v>6885</x:v>
      </x:c>
      <x:c r="X14" s="55" t="n">
        <x:v>2728</x:v>
      </x:c>
      <x:c r="Y14" s="55" t="n">
        <x:v>2176</x:v>
      </x:c>
      <x:c r="Z14" s="55" t="n">
        <x:v>4049</x:v>
      </x:c>
      <x:c r="AA14" s="55" t="n">
        <x:v>2976</x:v>
      </x:c>
      <x:c r="AB14" s="55" t="n">
        <x:v>1192</x:v>
      </x:c>
      <x:c r="AC14" s="55" t="n">
        <x:v>7388</x:v>
      </x:c>
      <x:c r="AD14" s="55" t="n">
        <x:v>2051</x:v>
      </x:c>
      <x:c r="AE14" s="55" t="n">
        <x:v>9777</x:v>
      </x:c>
      <x:c r="AF14" s="55" t="n">
        <x:v>9613</x:v>
      </x:c>
      <x:c r="AG14" s="55" t="n">
        <x:v>164</x:v>
      </x:c>
      <x:c r="AH14" s="55" t="n">
        <x:v>238</x:v>
      </x:c>
      <x:c r="AI14" s="55" t="n">
        <x:v>9375</x:v>
      </x:c>
      <x:c r="AJ14" s="55" t="n">
        <x:v>424</x:v>
      </x:c>
      <x:c r="AK14" s="55" t="n">
        <x:v>621</x:v>
      </x:c>
      <x:c r="AL14" s="55" t="n">
        <x:v>1580</x:v>
      </x:c>
      <x:c r="AM14" s="55" t="n">
        <x:v>4746</x:v>
      </x:c>
      <x:c r="AN14" s="55" t="n">
        <x:v>2242</x:v>
      </x:c>
      <x:c r="AO14" s="55" t="n">
        <x:v>0</x:v>
      </x:c>
      <x:c r="AP14" s="55" t="n">
        <x:v>1926</x:v>
      </x:c>
      <x:c r="AQ14" s="55" t="n">
        <x:v>991</x:v>
      </x:c>
    </x:row>
    <x:row r="15">
      <x:c r="A15" s="54" t="str">
        <x:v>T1_SHARED_CATCHMENT</x:v>
      </x:c>
      <x:c r="B15" s="54" t="n">
        <x:v>9</x:v>
      </x:c>
      <x:c r="C15" s="54" t="str">
        <x:v>NYC-V2-R01</x:v>
      </x:c>
      <x:c r="D15" s="54" t="str">
        <x:v>V2</x:v>
      </x:c>
      <x:c r="E15" s="54" t="str">
        <x:v>ADMITTED</x:v>
      </x:c>
      <x:c r="F15" s="55" t="n">
        <x:v>31474</x:v>
      </x:c>
      <x:c r="G15" s="55" t="n">
        <x:v>9345</x:v>
      </x:c>
      <x:c r="H15" s="55" t="n">
        <x:v>3242</x:v>
      </x:c>
      <x:c r="I15" s="55" t="n">
        <x:v>893</x:v>
      </x:c>
      <x:c r="J15" s="55" t="n">
        <x:v>153</x:v>
      </x:c>
      <x:c r="K15" s="55" t="n">
        <x:v>29679</x:v>
      </x:c>
      <x:c r="L15" s="55" t="n">
        <x:v>6117</x:v>
      </x:c>
      <x:c r="M15" s="55" t="n">
        <x:v>1559</x:v>
      </x:c>
      <x:c r="N15" s="55" t="n">
        <x:v>3022</x:v>
      </x:c>
      <x:c r="O15" s="55" t="n">
        <x:v>1536</x:v>
      </x:c>
      <x:c r="P15" s="55" t="n">
        <x:v>829</x:v>
      </x:c>
      <x:c r="Q15" s="55" t="n">
        <x:v>2113</x:v>
      </x:c>
      <x:c r="R15" s="55" t="n">
        <x:v>2302</x:v>
      </x:c>
      <x:c r="S15" s="55" t="n">
        <x:v>3097</x:v>
      </x:c>
      <x:c r="T15" s="55" t="n">
        <x:v>1335</x:v>
      </x:c>
      <x:c r="U15" s="55" t="n">
        <x:v>2594</x:v>
      </x:c>
      <x:c r="V15" s="55" t="n">
        <x:v>10107</x:v>
      </x:c>
      <x:c r="W15" s="55" t="n">
        <x:v>6830</x:v>
      </x:c>
      <x:c r="X15" s="55" t="n">
        <x:v>3277</x:v>
      </x:c>
      <x:c r="Y15" s="55" t="n">
        <x:v>2769</x:v>
      </x:c>
      <x:c r="Z15" s="55" t="n">
        <x:v>4538</x:v>
      </x:c>
      <x:c r="AA15" s="55" t="n">
        <x:v>3042</x:v>
      </x:c>
      <x:c r="AB15" s="55" t="n">
        <x:v>1111</x:v>
      </x:c>
      <x:c r="AC15" s="55" t="n">
        <x:v>8555</x:v>
      </x:c>
      <x:c r="AD15" s="55" t="n">
        <x:v>3946</x:v>
      </x:c>
      <x:c r="AE15" s="55" t="n">
        <x:v>10302</x:v>
      </x:c>
      <x:c r="AF15" s="55" t="n">
        <x:v>10107</x:v>
      </x:c>
      <x:c r="AG15" s="55" t="n">
        <x:v>195</x:v>
      </x:c>
      <x:c r="AH15" s="55" t="n">
        <x:v>434</x:v>
      </x:c>
      <x:c r="AI15" s="55" t="n">
        <x:v>9673</x:v>
      </x:c>
      <x:c r="AJ15" s="55" t="n">
        <x:v>380</x:v>
      </x:c>
      <x:c r="AK15" s="55" t="n">
        <x:v>988</x:v>
      </x:c>
      <x:c r="AL15" s="55" t="n">
        <x:v>1721</x:v>
      </x:c>
      <x:c r="AM15" s="55" t="n">
        <x:v>4573</x:v>
      </x:c>
      <x:c r="AN15" s="55" t="n">
        <x:v>2261</x:v>
      </x:c>
      <x:c r="AO15" s="55" t="n">
        <x:v>184</x:v>
      </x:c>
      <x:c r="AP15" s="55" t="n">
        <x:v>2422</x:v>
      </x:c>
      <x:c r="AQ15" s="55" t="n">
        <x:v>956</x:v>
      </x:c>
    </x:row>
    <x:row r="16">
      <x:c r="A16" s="54" t="str">
        <x:v>T1_SHARED_CATCHMENT</x:v>
      </x:c>
      <x:c r="B16" s="54" t="n">
        <x:v>10</x:v>
      </x:c>
      <x:c r="C16" s="54" t="str">
        <x:v>NYC-V2-R01</x:v>
      </x:c>
      <x:c r="D16" s="54" t="str">
        <x:v>V2</x:v>
      </x:c>
      <x:c r="E16" s="54" t="str">
        <x:v>ADMITTED</x:v>
      </x:c>
      <x:c r="F16" s="55" t="n">
        <x:v>31151</x:v>
      </x:c>
      <x:c r="G16" s="55" t="n">
        <x:v>7875</x:v>
      </x:c>
      <x:c r="H16" s="55" t="n">
        <x:v>3434</x:v>
      </x:c>
      <x:c r="I16" s="55" t="n">
        <x:v>1587</x:v>
      </x:c>
      <x:c r="J16" s="55" t="n">
        <x:v>410</x:v>
      </x:c>
      <x:c r="K16" s="55" t="n">
        <x:v>31001</x:v>
      </x:c>
      <x:c r="L16" s="55" t="n">
        <x:v>6090</x:v>
      </x:c>
      <x:c r="M16" s="55" t="n">
        <x:v>1190</x:v>
      </x:c>
      <x:c r="N16" s="55" t="n">
        <x:v>2880</x:v>
      </x:c>
      <x:c r="O16" s="55" t="n">
        <x:v>2020</x:v>
      </x:c>
      <x:c r="P16" s="55" t="n">
        <x:v>639</x:v>
      </x:c>
      <x:c r="Q16" s="55" t="n">
        <x:v>2467</x:v>
      </x:c>
      <x:c r="R16" s="55" t="n">
        <x:v>1483</x:v>
      </x:c>
      <x:c r="S16" s="55" t="n">
        <x:v>2089</x:v>
      </x:c>
      <x:c r="T16" s="55" t="n">
        <x:v>728</x:v>
      </x:c>
      <x:c r="U16" s="55" t="n">
        <x:v>1781</x:v>
      </x:c>
      <x:c r="V16" s="55" t="n">
        <x:v>10231</x:v>
      </x:c>
      <x:c r="W16" s="55" t="n">
        <x:v>7173</x:v>
      </x:c>
      <x:c r="X16" s="55" t="n">
        <x:v>3058</x:v>
      </x:c>
      <x:c r="Y16" s="55" t="n">
        <x:v>2619</x:v>
      </x:c>
      <x:c r="Z16" s="55" t="n">
        <x:v>3586</x:v>
      </x:c>
      <x:c r="AA16" s="55" t="n">
        <x:v>3096</x:v>
      </x:c>
      <x:c r="AB16" s="55" t="n">
        <x:v>1091</x:v>
      </x:c>
      <x:c r="AC16" s="55" t="n">
        <x:v>8150</x:v>
      </x:c>
      <x:c r="AD16" s="55" t="n">
        <x:v>2472</x:v>
      </x:c>
      <x:c r="AE16" s="55" t="n">
        <x:v>10279</x:v>
      </x:c>
      <x:c r="AF16" s="55" t="n">
        <x:v>10231</x:v>
      </x:c>
      <x:c r="AG16" s="55" t="n">
        <x:v>48</x:v>
      </x:c>
      <x:c r="AH16" s="55" t="n">
        <x:v>340</x:v>
      </x:c>
      <x:c r="AI16" s="55" t="n">
        <x:v>9891</x:v>
      </x:c>
      <x:c r="AJ16" s="55" t="n">
        <x:v>350</x:v>
      </x:c>
      <x:c r="AK16" s="55" t="n">
        <x:v>1016</x:v>
      </x:c>
      <x:c r="AL16" s="55" t="n">
        <x:v>1435</x:v>
      </x:c>
      <x:c r="AM16" s="55" t="n">
        <x:v>4849</x:v>
      </x:c>
      <x:c r="AN16" s="55" t="n">
        <x:v>2581</x:v>
      </x:c>
      <x:c r="AO16" s="55" t="n">
        <x:v>0</x:v>
      </x:c>
      <x:c r="AP16" s="55" t="n">
        <x:v>2487</x:v>
      </x:c>
      <x:c r="AQ16" s="55" t="n">
        <x:v>920</x:v>
      </x:c>
    </x:row>
    <x:row r="17">
      <x:c r="A17" s="54" t="str">
        <x:v>T1_SHARED_CATCHMENT</x:v>
      </x:c>
      <x:c r="B17" s="54" t="n">
        <x:v>11</x:v>
      </x:c>
      <x:c r="C17" s="54" t="str">
        <x:v>NYC-V2-R01</x:v>
      </x:c>
      <x:c r="D17" s="54" t="str">
        <x:v>V2</x:v>
      </x:c>
      <x:c r="E17" s="54" t="str">
        <x:v>ADMITTED</x:v>
      </x:c>
      <x:c r="F17" s="55" t="n">
        <x:v>32664</x:v>
      </x:c>
      <x:c r="G17" s="55" t="n">
        <x:v>7970</x:v>
      </x:c>
      <x:c r="H17" s="55" t="n">
        <x:v>3399</x:v>
      </x:c>
      <x:c r="I17" s="55" t="n">
        <x:v>1397</x:v>
      </x:c>
      <x:c r="J17" s="55" t="n">
        <x:v>321</x:v>
      </x:c>
      <x:c r="K17" s="55" t="n">
        <x:v>28072</x:v>
      </x:c>
      <x:c r="L17" s="55" t="n">
        <x:v>5492</x:v>
      </x:c>
      <x:c r="M17" s="55" t="n">
        <x:v>1317</x:v>
      </x:c>
      <x:c r="N17" s="55" t="n">
        <x:v>2659</x:v>
      </x:c>
      <x:c r="O17" s="55" t="n">
        <x:v>1516</x:v>
      </x:c>
      <x:c r="P17" s="55" t="n">
        <x:v>1148</x:v>
      </x:c>
      <x:c r="Q17" s="55" t="n">
        <x:v>2433</x:v>
      </x:c>
      <x:c r="R17" s="55" t="n">
        <x:v>1973</x:v>
      </x:c>
      <x:c r="S17" s="55" t="n">
        <x:v>3074</x:v>
      </x:c>
      <x:c r="T17" s="55" t="n">
        <x:v>1401</x:v>
      </x:c>
      <x:c r="U17" s="55" t="n">
        <x:v>2445</x:v>
      </x:c>
      <x:c r="V17" s="55" t="n">
        <x:v>10981</x:v>
      </x:c>
      <x:c r="W17" s="55" t="n">
        <x:v>7875</x:v>
      </x:c>
      <x:c r="X17" s="55" t="n">
        <x:v>3106</x:v>
      </x:c>
      <x:c r="Y17" s="55" t="n">
        <x:v>2626</x:v>
      </x:c>
      <x:c r="Z17" s="55" t="n">
        <x:v>3825</x:v>
      </x:c>
      <x:c r="AA17" s="55" t="n">
        <x:v>3257</x:v>
      </x:c>
      <x:c r="AB17" s="55" t="n">
        <x:v>907</x:v>
      </x:c>
      <x:c r="AC17" s="55" t="n">
        <x:v>8118</x:v>
      </x:c>
      <x:c r="AD17" s="55" t="n">
        <x:v>2758</x:v>
      </x:c>
      <x:c r="AE17" s="55" t="n">
        <x:v>11128</x:v>
      </x:c>
      <x:c r="AF17" s="55" t="n">
        <x:v>10981</x:v>
      </x:c>
      <x:c r="AG17" s="55" t="n">
        <x:v>147</x:v>
      </x:c>
      <x:c r="AH17" s="55" t="n">
        <x:v>522</x:v>
      </x:c>
      <x:c r="AI17" s="55" t="n">
        <x:v>10459</x:v>
      </x:c>
      <x:c r="AJ17" s="55" t="n">
        <x:v>260</x:v>
      </x:c>
      <x:c r="AK17" s="55" t="n">
        <x:v>1436</x:v>
      </x:c>
      <x:c r="AL17" s="55" t="n">
        <x:v>1737</x:v>
      </x:c>
      <x:c r="AM17" s="55" t="n">
        <x:v>4721</x:v>
      </x:c>
      <x:c r="AN17" s="55" t="n">
        <x:v>2827</x:v>
      </x:c>
      <x:c r="AO17" s="55" t="n">
        <x:v>0</x:v>
      </x:c>
      <x:c r="AP17" s="55" t="n">
        <x:v>2560</x:v>
      </x:c>
      <x:c r="AQ17" s="55" t="n">
        <x:v>974</x:v>
      </x:c>
    </x:row>
    <x:row r="18">
      <x:c r="A18" s="54" t="str">
        <x:v>T1_SHARED_CATCHMENT</x:v>
      </x:c>
      <x:c r="B18" s="54" t="n">
        <x:v>12</x:v>
      </x:c>
      <x:c r="C18" s="54" t="str">
        <x:v>NYC-V2-R01</x:v>
      </x:c>
      <x:c r="D18" s="54" t="str">
        <x:v>V2</x:v>
      </x:c>
      <x:c r="E18" s="54" t="str">
        <x:v>ADMITTED</x:v>
      </x:c>
      <x:c r="F18" s="55" t="n">
        <x:v>33862</x:v>
      </x:c>
      <x:c r="G18" s="55" t="n">
        <x:v>7577</x:v>
      </x:c>
      <x:c r="H18" s="55" t="n">
        <x:v>3569</x:v>
      </x:c>
      <x:c r="I18" s="55" t="n">
        <x:v>1740</x:v>
      </x:c>
      <x:c r="J18" s="55" t="n">
        <x:v>504</x:v>
      </x:c>
      <x:c r="K18" s="55" t="n">
        <x:v>33862</x:v>
      </x:c>
      <x:c r="L18" s="55" t="n">
        <x:v>6648</x:v>
      </x:c>
      <x:c r="M18" s="55" t="n">
        <x:v>1975</x:v>
      </x:c>
      <x:c r="N18" s="55" t="n">
        <x:v>2471</x:v>
      </x:c>
      <x:c r="O18" s="55" t="n">
        <x:v>2202</x:v>
      </x:c>
      <x:c r="P18" s="55" t="n">
        <x:v>1273</x:v>
      </x:c>
      <x:c r="Q18" s="55" t="n">
        <x:v>3103</x:v>
      </x:c>
      <x:c r="R18" s="55" t="n">
        <x:v>2245</x:v>
      </x:c>
      <x:c r="S18" s="55" t="n">
        <x:v>3335</x:v>
      </x:c>
      <x:c r="T18" s="55" t="n">
        <x:v>1794</x:v>
      </x:c>
      <x:c r="U18" s="55" t="n">
        <x:v>2805</x:v>
      </x:c>
      <x:c r="V18" s="55" t="n">
        <x:v>9967</x:v>
      </x:c>
      <x:c r="W18" s="55" t="n">
        <x:v>6389</x:v>
      </x:c>
      <x:c r="X18" s="55" t="n">
        <x:v>3578</x:v>
      </x:c>
      <x:c r="Y18" s="55" t="n">
        <x:v>3137</x:v>
      </x:c>
      <x:c r="Z18" s="55" t="n">
        <x:v>4371</x:v>
      </x:c>
      <x:c r="AA18" s="55" t="n">
        <x:v>3376</x:v>
      </x:c>
      <x:c r="AB18" s="55" t="n">
        <x:v>1489</x:v>
      </x:c>
      <x:c r="AC18" s="55" t="n">
        <x:v>8577</x:v>
      </x:c>
      <x:c r="AD18" s="55" t="n">
        <x:v>3410</x:v>
      </x:c>
      <x:c r="AE18" s="55" t="n">
        <x:v>10133</x:v>
      </x:c>
      <x:c r="AF18" s="55" t="n">
        <x:v>9967</x:v>
      </x:c>
      <x:c r="AG18" s="55" t="n">
        <x:v>166</x:v>
      </x:c>
      <x:c r="AH18" s="55" t="n">
        <x:v>435</x:v>
      </x:c>
      <x:c r="AI18" s="55" t="n">
        <x:v>9532</x:v>
      </x:c>
      <x:c r="AJ18" s="55" t="n">
        <x:v>432</x:v>
      </x:c>
      <x:c r="AK18" s="55" t="n">
        <x:v>1107</x:v>
      </x:c>
      <x:c r="AL18" s="55" t="n">
        <x:v>1525</x:v>
      </x:c>
      <x:c r="AM18" s="55" t="n">
        <x:v>4646</x:v>
      </x:c>
      <x:c r="AN18" s="55" t="n">
        <x:v>2173</x:v>
      </x:c>
      <x:c r="AO18" s="55" t="n">
        <x:v>84</x:v>
      </x:c>
      <x:c r="AP18" s="55" t="n">
        <x:v>2653</x:v>
      </x:c>
      <x:c r="AQ18" s="55" t="n">
        <x:v>1020</x:v>
      </x:c>
    </x:row>
    <x:row r="19">
      <x:c r="A19" s="54" t="str">
        <x:v>T1_SHARED_CATCHMENT</x:v>
      </x:c>
      <x:c r="B19" s="54" t="n">
        <x:v>13</x:v>
      </x:c>
      <x:c r="C19" s="54" t="str">
        <x:v>NYC-V2-R01</x:v>
      </x:c>
      <x:c r="D19" s="54" t="str">
        <x:v>V2</x:v>
      </x:c>
      <x:c r="E19" s="54" t="str">
        <x:v>ADMITTED</x:v>
      </x:c>
      <x:c r="F19" s="55" t="n">
        <x:v>32793</x:v>
      </x:c>
      <x:c r="G19" s="55" t="n">
        <x:v>8209</x:v>
      </x:c>
      <x:c r="H19" s="55" t="n">
        <x:v>3346</x:v>
      </x:c>
      <x:c r="I19" s="55" t="n">
        <x:v>1715</x:v>
      </x:c>
      <x:c r="J19" s="55" t="n">
        <x:v>323</x:v>
      </x:c>
      <x:c r="K19" s="55" t="n">
        <x:v>32793</x:v>
      </x:c>
      <x:c r="L19" s="55" t="n">
        <x:v>6616</x:v>
      </x:c>
      <x:c r="M19" s="55" t="n">
        <x:v>1604</x:v>
      </x:c>
      <x:c r="N19" s="55" t="n">
        <x:v>2992</x:v>
      </x:c>
      <x:c r="O19" s="55" t="n">
        <x:v>2020</x:v>
      </x:c>
      <x:c r="P19" s="55" t="n">
        <x:v>1136</x:v>
      </x:c>
      <x:c r="Q19" s="55" t="n">
        <x:v>1950</x:v>
      </x:c>
      <x:c r="R19" s="55" t="n">
        <x:v>1399</x:v>
      </x:c>
      <x:c r="S19" s="55" t="n">
        <x:v>3062</x:v>
      </x:c>
      <x:c r="T19" s="55" t="n">
        <x:v>1682</x:v>
      </x:c>
      <x:c r="U19" s="55" t="n">
        <x:v>2468</x:v>
      </x:c>
      <x:c r="V19" s="55" t="n">
        <x:v>10524</x:v>
      </x:c>
      <x:c r="W19" s="55" t="n">
        <x:v>7378</x:v>
      </x:c>
      <x:c r="X19" s="55" t="n">
        <x:v>3146</x:v>
      </x:c>
      <x:c r="Y19" s="55" t="n">
        <x:v>2679</x:v>
      </x:c>
      <x:c r="Z19" s="55" t="n">
        <x:v>3147</x:v>
      </x:c>
      <x:c r="AA19" s="55" t="n">
        <x:v>2828</x:v>
      </x:c>
      <x:c r="AB19" s="55" t="n">
        <x:v>1335</x:v>
      </x:c>
      <x:c r="AC19" s="55" t="n">
        <x:v>8136</x:v>
      </x:c>
      <x:c r="AD19" s="55" t="n">
        <x:v>2630</x:v>
      </x:c>
      <x:c r="AE19" s="55" t="n">
        <x:v>10604</x:v>
      </x:c>
      <x:c r="AF19" s="55" t="n">
        <x:v>10524</x:v>
      </x:c>
      <x:c r="AG19" s="55" t="n">
        <x:v>80</x:v>
      </x:c>
      <x:c r="AH19" s="55" t="n">
        <x:v>582</x:v>
      </x:c>
      <x:c r="AI19" s="55" t="n">
        <x:v>9942</x:v>
      </x:c>
      <x:c r="AJ19" s="55" t="n">
        <x:v>419</x:v>
      </x:c>
      <x:c r="AK19" s="55" t="n">
        <x:v>1150</x:v>
      </x:c>
      <x:c r="AL19" s="55" t="n">
        <x:v>1523</x:v>
      </x:c>
      <x:c r="AM19" s="55" t="n">
        <x:v>4894</x:v>
      </x:c>
      <x:c r="AN19" s="55" t="n">
        <x:v>2450</x:v>
      </x:c>
      <x:c r="AO19" s="55" t="n">
        <x:v>88</x:v>
      </x:c>
      <x:c r="AP19" s="55" t="n">
        <x:v>2795</x:v>
      </x:c>
      <x:c r="AQ19" s="55" t="n">
        <x:v>978</x:v>
      </x:c>
    </x:row>
    <x:row r="20">
      <x:c r="A20" s="54" t="str">
        <x:v>T1_SHARED_CATCHMENT</x:v>
      </x:c>
      <x:c r="B20" s="54" t="n">
        <x:v>14</x:v>
      </x:c>
      <x:c r="C20" s="54" t="str">
        <x:v>NYC-V2-R01</x:v>
      </x:c>
      <x:c r="D20" s="54" t="str">
        <x:v>V2</x:v>
      </x:c>
      <x:c r="E20" s="54" t="str">
        <x:v>ADMITTED</x:v>
      </x:c>
      <x:c r="F20" s="55" t="n">
        <x:v>35190</x:v>
      </x:c>
      <x:c r="G20" s="55" t="n">
        <x:v>7228</x:v>
      </x:c>
      <x:c r="H20" s="55" t="n">
        <x:v>3821</x:v>
      </x:c>
      <x:c r="I20" s="55" t="n">
        <x:v>1588</x:v>
      </x:c>
      <x:c r="J20" s="55" t="n">
        <x:v>217</x:v>
      </x:c>
      <x:c r="K20" s="55" t="n">
        <x:v>35190</x:v>
      </x:c>
      <x:c r="L20" s="55" t="n">
        <x:v>8800</x:v>
      </x:c>
      <x:c r="M20" s="55" t="n">
        <x:v>3393</x:v>
      </x:c>
      <x:c r="N20" s="55" t="n">
        <x:v>3361</x:v>
      </x:c>
      <x:c r="O20" s="55" t="n">
        <x:v>2046</x:v>
      </x:c>
      <x:c r="P20" s="55" t="n">
        <x:v>654</x:v>
      </x:c>
      <x:c r="Q20" s="55" t="n">
        <x:v>1663</x:v>
      </x:c>
      <x:c r="R20" s="55" t="n">
        <x:v>2025</x:v>
      </x:c>
      <x:c r="S20" s="55" t="n">
        <x:v>2857</x:v>
      </x:c>
      <x:c r="T20" s="55" t="n">
        <x:v>1395</x:v>
      </x:c>
      <x:c r="U20" s="55" t="n">
        <x:v>2026</x:v>
      </x:c>
      <x:c r="V20" s="55" t="n">
        <x:v>9966</x:v>
      </x:c>
      <x:c r="W20" s="55" t="n">
        <x:v>7018</x:v>
      </x:c>
      <x:c r="X20" s="55" t="n">
        <x:v>2948</x:v>
      </x:c>
      <x:c r="Y20" s="55" t="n">
        <x:v>2520</x:v>
      </x:c>
      <x:c r="Z20" s="55" t="n">
        <x:v>4036</x:v>
      </x:c>
      <x:c r="AA20" s="55" t="n">
        <x:v>3030</x:v>
      </x:c>
      <x:c r="AB20" s="55" t="n">
        <x:v>1195</x:v>
      </x:c>
      <x:c r="AC20" s="55" t="n">
        <x:v>8323</x:v>
      </x:c>
      <x:c r="AD20" s="55" t="n">
        <x:v>2519</x:v>
      </x:c>
      <x:c r="AE20" s="55" t="n">
        <x:v>10123</x:v>
      </x:c>
      <x:c r="AF20" s="55" t="n">
        <x:v>9966</x:v>
      </x:c>
      <x:c r="AG20" s="55" t="n">
        <x:v>157</x:v>
      </x:c>
      <x:c r="AH20" s="55" t="n">
        <x:v>303</x:v>
      </x:c>
      <x:c r="AI20" s="55" t="n">
        <x:v>9663</x:v>
      </x:c>
      <x:c r="AJ20" s="55" t="n">
        <x:v>323</x:v>
      </x:c>
      <x:c r="AK20" s="55" t="n">
        <x:v>1259</x:v>
      </x:c>
      <x:c r="AL20" s="55" t="n">
        <x:v>1648</x:v>
      </x:c>
      <x:c r="AM20" s="55" t="n">
        <x:v>4682</x:v>
      </x:c>
      <x:c r="AN20" s="55" t="n">
        <x:v>1995</x:v>
      </x:c>
      <x:c r="AO20" s="55" t="n">
        <x:v>59</x:v>
      </x:c>
      <x:c r="AP20" s="55" t="n">
        <x:v>2331</x:v>
      </x:c>
      <x:c r="AQ20" s="55" t="n">
        <x:v>977</x:v>
      </x:c>
    </x:row>
    <x:row r="21">
      <x:c r="A21" s="54" t="str">
        <x:v>T1_SHARED_CATCHMENT</x:v>
      </x:c>
      <x:c r="B21" s="54" t="n">
        <x:v>15</x:v>
      </x:c>
      <x:c r="C21" s="54" t="str">
        <x:v>NYC-V2-R01</x:v>
      </x:c>
      <x:c r="D21" s="54" t="str">
        <x:v>V2</x:v>
      </x:c>
      <x:c r="E21" s="54" t="str">
        <x:v>ADMITTED</x:v>
      </x:c>
      <x:c r="F21" s="55" t="n">
        <x:v>31581</x:v>
      </x:c>
      <x:c r="G21" s="55" t="n">
        <x:v>6461</x:v>
      </x:c>
      <x:c r="H21" s="55" t="n">
        <x:v>3376</x:v>
      </x:c>
      <x:c r="I21" s="55" t="n">
        <x:v>1346</x:v>
      </x:c>
      <x:c r="J21" s="55" t="n">
        <x:v>286</x:v>
      </x:c>
      <x:c r="K21" s="55" t="n">
        <x:v>31581</x:v>
      </x:c>
      <x:c r="L21" s="55" t="n">
        <x:v>6788</x:v>
      </x:c>
      <x:c r="M21" s="55" t="n">
        <x:v>2046</x:v>
      </x:c>
      <x:c r="N21" s="55" t="n">
        <x:v>2875</x:v>
      </x:c>
      <x:c r="O21" s="55" t="n">
        <x:v>1867</x:v>
      </x:c>
      <x:c r="P21" s="55" t="n">
        <x:v>815</x:v>
      </x:c>
      <x:c r="Q21" s="55" t="n">
        <x:v>2475</x:v>
      </x:c>
      <x:c r="R21" s="55" t="n">
        <x:v>1545</x:v>
      </x:c>
      <x:c r="S21" s="55" t="n">
        <x:v>3278</x:v>
      </x:c>
      <x:c r="T21" s="55" t="n">
        <x:v>859</x:v>
      </x:c>
      <x:c r="U21" s="55" t="n">
        <x:v>2033</x:v>
      </x:c>
      <x:c r="V21" s="55" t="n">
        <x:v>10385</x:v>
      </x:c>
      <x:c r="W21" s="55" t="n">
        <x:v>7379</x:v>
      </x:c>
      <x:c r="X21" s="55" t="n">
        <x:v>3006</x:v>
      </x:c>
      <x:c r="Y21" s="55" t="n">
        <x:v>2600</x:v>
      </x:c>
      <x:c r="Z21" s="55" t="n">
        <x:v>3603</x:v>
      </x:c>
      <x:c r="AA21" s="55" t="n">
        <x:v>3112</x:v>
      </x:c>
      <x:c r="AB21" s="55" t="n">
        <x:v>1001</x:v>
      </x:c>
      <x:c r="AC21" s="55" t="n">
        <x:v>8819</x:v>
      </x:c>
      <x:c r="AD21" s="55" t="n">
        <x:v>2893</x:v>
      </x:c>
      <x:c r="AE21" s="55" t="n">
        <x:v>10451</x:v>
      </x:c>
      <x:c r="AF21" s="55" t="n">
        <x:v>10385</x:v>
      </x:c>
      <x:c r="AG21" s="55" t="n">
        <x:v>66</x:v>
      </x:c>
      <x:c r="AH21" s="55" t="n">
        <x:v>567</x:v>
      </x:c>
      <x:c r="AI21" s="55" t="n">
        <x:v>9818</x:v>
      </x:c>
      <x:c r="AJ21" s="55" t="n">
        <x:v>270</x:v>
      </x:c>
      <x:c r="AK21" s="55" t="n">
        <x:v>742</x:v>
      </x:c>
      <x:c r="AL21" s="55" t="n">
        <x:v>1622</x:v>
      </x:c>
      <x:c r="AM21" s="55" t="n">
        <x:v>4649</x:v>
      </x:c>
      <x:c r="AN21" s="55" t="n">
        <x:v>3102</x:v>
      </x:c>
      <x:c r="AO21" s="55" t="n">
        <x:v>0</x:v>
      </x:c>
      <x:c r="AP21" s="55" t="n">
        <x:v>1907</x:v>
      </x:c>
      <x:c r="AQ21" s="55" t="n">
        <x:v>1007</x:v>
      </x:c>
    </x:row>
    <x:row r="22">
      <x:c r="A22" s="54" t="str">
        <x:v>T1_SHARED_CATCHMENT</x:v>
      </x:c>
      <x:c r="B22" s="54" t="n">
        <x:v>16</x:v>
      </x:c>
      <x:c r="C22" s="54" t="str">
        <x:v>NYC-V2-R01</x:v>
      </x:c>
      <x:c r="D22" s="54" t="str">
        <x:v>V2</x:v>
      </x:c>
      <x:c r="E22" s="54" t="str">
        <x:v>ADMITTED</x:v>
      </x:c>
      <x:c r="F22" s="55" t="n">
        <x:v>32395</x:v>
      </x:c>
      <x:c r="G22" s="55" t="n">
        <x:v>7816</x:v>
      </x:c>
      <x:c r="H22" s="55" t="n">
        <x:v>2928</x:v>
      </x:c>
      <x:c r="I22" s="55" t="n">
        <x:v>1266</x:v>
      </x:c>
      <x:c r="J22" s="55" t="n">
        <x:v>352</x:v>
      </x:c>
      <x:c r="K22" s="55" t="n">
        <x:v>32395</x:v>
      </x:c>
      <x:c r="L22" s="55" t="n">
        <x:v>7400</x:v>
      </x:c>
      <x:c r="M22" s="55" t="n">
        <x:v>2401</x:v>
      </x:c>
      <x:c r="N22" s="55" t="n">
        <x:v>3044</x:v>
      </x:c>
      <x:c r="O22" s="55" t="n">
        <x:v>1955</x:v>
      </x:c>
      <x:c r="P22" s="55" t="n">
        <x:v>540</x:v>
      </x:c>
      <x:c r="Q22" s="55" t="n">
        <x:v>3307</x:v>
      </x:c>
      <x:c r="R22" s="55" t="n">
        <x:v>2183</x:v>
      </x:c>
      <x:c r="S22" s="55" t="n">
        <x:v>2813</x:v>
      </x:c>
      <x:c r="T22" s="55" t="n">
        <x:v>1383</x:v>
      </x:c>
      <x:c r="U22" s="55" t="n">
        <x:v>2440</x:v>
      </x:c>
      <x:c r="V22" s="55" t="n">
        <x:v>10483</x:v>
      </x:c>
      <x:c r="W22" s="55" t="n">
        <x:v>7338</x:v>
      </x:c>
      <x:c r="X22" s="55" t="n">
        <x:v>3145</x:v>
      </x:c>
      <x:c r="Y22" s="55" t="n">
        <x:v>2501</x:v>
      </x:c>
      <x:c r="Z22" s="55" t="n">
        <x:v>4119</x:v>
      </x:c>
      <x:c r="AA22" s="55" t="n">
        <x:v>2715</x:v>
      </x:c>
      <x:c r="AB22" s="55" t="n">
        <x:v>1214</x:v>
      </x:c>
      <x:c r="AC22" s="55" t="n">
        <x:v>8376</x:v>
      </x:c>
      <x:c r="AD22" s="55" t="n">
        <x:v>3478</x:v>
      </x:c>
      <x:c r="AE22" s="55" t="n">
        <x:v>10522</x:v>
      </x:c>
      <x:c r="AF22" s="55" t="n">
        <x:v>10483</x:v>
      </x:c>
      <x:c r="AG22" s="55" t="n">
        <x:v>39</x:v>
      </x:c>
      <x:c r="AH22" s="55" t="n">
        <x:v>551</x:v>
      </x:c>
      <x:c r="AI22" s="55" t="n">
        <x:v>9932</x:v>
      </x:c>
      <x:c r="AJ22" s="55" t="n">
        <x:v>379</x:v>
      </x:c>
      <x:c r="AK22" s="55" t="n">
        <x:v>815</x:v>
      </x:c>
      <x:c r="AL22" s="55" t="n">
        <x:v>1576</x:v>
      </x:c>
      <x:c r="AM22" s="55" t="n">
        <x:v>5222</x:v>
      </x:c>
      <x:c r="AN22" s="55" t="n">
        <x:v>2480</x:v>
      </x:c>
      <x:c r="AO22" s="55" t="n">
        <x:v>11</x:v>
      </x:c>
      <x:c r="AP22" s="55" t="n">
        <x:v>3172</x:v>
      </x:c>
      <x:c r="AQ22" s="55" t="n">
        <x:v>967</x:v>
      </x:c>
    </x:row>
    <x:row r="23">
      <x:c r="A23" s="54" t="str">
        <x:v>T1_SHARED_CATCHMENT</x:v>
      </x:c>
      <x:c r="B23" s="54" t="n">
        <x:v>17</x:v>
      </x:c>
      <x:c r="C23" s="54" t="str">
        <x:v>NYC-V2-R01</x:v>
      </x:c>
      <x:c r="D23" s="54" t="str">
        <x:v>V2</x:v>
      </x:c>
      <x:c r="E23" s="54" t="str">
        <x:v>ADMITTED</x:v>
      </x:c>
      <x:c r="F23" s="55" t="n">
        <x:v>29731</x:v>
      </x:c>
      <x:c r="G23" s="55" t="n">
        <x:v>5612</x:v>
      </x:c>
      <x:c r="H23" s="55" t="n">
        <x:v>3337</x:v>
      </x:c>
      <x:c r="I23" s="55" t="n">
        <x:v>1387</x:v>
      </x:c>
      <x:c r="J23" s="55" t="n">
        <x:v>224</x:v>
      </x:c>
      <x:c r="K23" s="55" t="n">
        <x:v>29731</x:v>
      </x:c>
      <x:c r="L23" s="55" t="n">
        <x:v>4331</x:v>
      </x:c>
      <x:c r="M23" s="55" t="n">
        <x:v>399</x:v>
      </x:c>
      <x:c r="N23" s="55" t="n">
        <x:v>2207</x:v>
      </x:c>
      <x:c r="O23" s="55" t="n">
        <x:v>1725</x:v>
      </x:c>
      <x:c r="P23" s="55" t="n">
        <x:v>407</x:v>
      </x:c>
      <x:c r="Q23" s="55" t="n">
        <x:v>2926</x:v>
      </x:c>
      <x:c r="R23" s="55" t="n">
        <x:v>1641</x:v>
      </x:c>
      <x:c r="S23" s="55" t="n">
        <x:v>2437</x:v>
      </x:c>
      <x:c r="T23" s="55" t="n">
        <x:v>720</x:v>
      </x:c>
      <x:c r="U23" s="55" t="n">
        <x:v>1886</x:v>
      </x:c>
      <x:c r="V23" s="55" t="n">
        <x:v>9609</x:v>
      </x:c>
      <x:c r="W23" s="55" t="n">
        <x:v>6572</x:v>
      </x:c>
      <x:c r="X23" s="55" t="n">
        <x:v>3037</x:v>
      </x:c>
      <x:c r="Y23" s="55" t="n">
        <x:v>2655</x:v>
      </x:c>
      <x:c r="Z23" s="55" t="n">
        <x:v>3383</x:v>
      </x:c>
      <x:c r="AA23" s="55" t="n">
        <x:v>2851</x:v>
      </x:c>
      <x:c r="AB23" s="55" t="n">
        <x:v>1009</x:v>
      </x:c>
      <x:c r="AC23" s="55" t="n">
        <x:v>7952</x:v>
      </x:c>
      <x:c r="AD23" s="55" t="n">
        <x:v>2497</x:v>
      </x:c>
      <x:c r="AE23" s="55" t="n">
        <x:v>9729</x:v>
      </x:c>
      <x:c r="AF23" s="55" t="n">
        <x:v>9609</x:v>
      </x:c>
      <x:c r="AG23" s="55" t="n">
        <x:v>120</x:v>
      </x:c>
      <x:c r="AH23" s="55" t="n">
        <x:v>412</x:v>
      </x:c>
      <x:c r="AI23" s="55" t="n">
        <x:v>9197</x:v>
      </x:c>
      <x:c r="AJ23" s="55" t="n">
        <x:v>163</x:v>
      </x:c>
      <x:c r="AK23" s="55" t="n">
        <x:v>969</x:v>
      </x:c>
      <x:c r="AL23" s="55" t="n">
        <x:v>1061</x:v>
      </x:c>
      <x:c r="AM23" s="55" t="n">
        <x:v>4825</x:v>
      </x:c>
      <x:c r="AN23" s="55" t="n">
        <x:v>2591</x:v>
      </x:c>
      <x:c r="AO23" s="55" t="n">
        <x:v>0</x:v>
      </x:c>
      <x:c r="AP23" s="55" t="n">
        <x:v>2151</x:v>
      </x:c>
      <x:c r="AQ23" s="55" t="n">
        <x:v>910</x:v>
      </x:c>
    </x:row>
    <x:row r="24">
      <x:c r="A24" s="54" t="str">
        <x:v>T1_SHARED_CATCHMENT</x:v>
      </x:c>
      <x:c r="B24" s="54" t="n">
        <x:v>18</x:v>
      </x:c>
      <x:c r="C24" s="54" t="str">
        <x:v>NYC-V2-R01</x:v>
      </x:c>
      <x:c r="D24" s="54" t="str">
        <x:v>V2</x:v>
      </x:c>
      <x:c r="E24" s="54" t="str">
        <x:v>ADMITTED</x:v>
      </x:c>
      <x:c r="F24" s="55" t="n">
        <x:v>33071</x:v>
      </x:c>
      <x:c r="G24" s="55" t="n">
        <x:v>8902</x:v>
      </x:c>
      <x:c r="H24" s="55" t="n">
        <x:v>3004</x:v>
      </x:c>
      <x:c r="I24" s="55" t="n">
        <x:v>953</x:v>
      </x:c>
      <x:c r="J24" s="55" t="n">
        <x:v>87</x:v>
      </x:c>
      <x:c r="K24" s="55" t="n">
        <x:v>33071</x:v>
      </x:c>
      <x:c r="L24" s="55" t="n">
        <x:v>6283</x:v>
      </x:c>
      <x:c r="M24" s="55" t="n">
        <x:v>1857</x:v>
      </x:c>
      <x:c r="N24" s="55" t="n">
        <x:v>2749</x:v>
      </x:c>
      <x:c r="O24" s="55" t="n">
        <x:v>1677</x:v>
      </x:c>
      <x:c r="P24" s="55" t="n">
        <x:v>804</x:v>
      </x:c>
      <x:c r="Q24" s="55" t="n">
        <x:v>3144</x:v>
      </x:c>
      <x:c r="R24" s="55" t="n">
        <x:v>1428</x:v>
      </x:c>
      <x:c r="S24" s="55" t="n">
        <x:v>2133</x:v>
      </x:c>
      <x:c r="T24" s="55" t="n">
        <x:v>1673</x:v>
      </x:c>
      <x:c r="U24" s="55" t="n">
        <x:v>1991</x:v>
      </x:c>
      <x:c r="V24" s="55" t="n">
        <x:v>10419</x:v>
      </x:c>
      <x:c r="W24" s="55" t="n">
        <x:v>7393</x:v>
      </x:c>
      <x:c r="X24" s="55" t="n">
        <x:v>3026</x:v>
      </x:c>
      <x:c r="Y24" s="55" t="n">
        <x:v>2436</x:v>
      </x:c>
      <x:c r="Z24" s="55" t="n">
        <x:v>3542</x:v>
      </x:c>
      <x:c r="AA24" s="55" t="n">
        <x:v>3004</x:v>
      </x:c>
      <x:c r="AB24" s="55" t="n">
        <x:v>1309</x:v>
      </x:c>
      <x:c r="AC24" s="55" t="n">
        <x:v>7877</x:v>
      </x:c>
      <x:c r="AD24" s="55" t="n">
        <x:v>2802</x:v>
      </x:c>
      <x:c r="AE24" s="55" t="n">
        <x:v>10501</x:v>
      </x:c>
      <x:c r="AF24" s="55" t="n">
        <x:v>10419</x:v>
      </x:c>
      <x:c r="AG24" s="55" t="n">
        <x:v>82</x:v>
      </x:c>
      <x:c r="AH24" s="55" t="n">
        <x:v>446</x:v>
      </x:c>
      <x:c r="AI24" s="55" t="n">
        <x:v>9973</x:v>
      </x:c>
      <x:c r="AJ24" s="55" t="n">
        <x:v>230</x:v>
      </x:c>
      <x:c r="AK24" s="55" t="n">
        <x:v>971</x:v>
      </x:c>
      <x:c r="AL24" s="55" t="n">
        <x:v>1561</x:v>
      </x:c>
      <x:c r="AM24" s="55" t="n">
        <x:v>4638</x:v>
      </x:c>
      <x:c r="AN24" s="55" t="n">
        <x:v>3000</x:v>
      </x:c>
      <x:c r="AO24" s="55" t="n">
        <x:v>19</x:v>
      </x:c>
      <x:c r="AP24" s="55" t="n">
        <x:v>2397</x:v>
      </x:c>
      <x:c r="AQ24" s="55" t="n">
        <x:v>958</x:v>
      </x:c>
    </x:row>
    <x:row r="25">
      <x:c r="A25" s="54" t="str">
        <x:v>T1_SHARED_CATCHMENT</x:v>
      </x:c>
      <x:c r="B25" s="54" t="n">
        <x:v>19</x:v>
      </x:c>
      <x:c r="C25" s="54" t="str">
        <x:v>NYC-V2-R01</x:v>
      </x:c>
      <x:c r="D25" s="54" t="str">
        <x:v>V2</x:v>
      </x:c>
      <x:c r="E25" s="54" t="str">
        <x:v>ADMITTED</x:v>
      </x:c>
      <x:c r="F25" s="55" t="n">
        <x:v>29262</x:v>
      </x:c>
      <x:c r="G25" s="55" t="n">
        <x:v>6631</x:v>
      </x:c>
      <x:c r="H25" s="55" t="n">
        <x:v>3083</x:v>
      </x:c>
      <x:c r="I25" s="55" t="n">
        <x:v>1186</x:v>
      </x:c>
      <x:c r="J25" s="55" t="n">
        <x:v>340</x:v>
      </x:c>
      <x:c r="K25" s="55" t="n">
        <x:v>28758</x:v>
      </x:c>
      <x:c r="L25" s="55" t="n">
        <x:v>4026</x:v>
      </x:c>
      <x:c r="M25" s="55" t="n">
        <x:v>11</x:v>
      </x:c>
      <x:c r="N25" s="55" t="n">
        <x:v>2140</x:v>
      </x:c>
      <x:c r="O25" s="55" t="n">
        <x:v>1875</x:v>
      </x:c>
      <x:c r="P25" s="55" t="n">
        <x:v>1019</x:v>
      </x:c>
      <x:c r="Q25" s="55" t="n">
        <x:v>2882</x:v>
      </x:c>
      <x:c r="R25" s="55" t="n">
        <x:v>1425</x:v>
      </x:c>
      <x:c r="S25" s="55" t="n">
        <x:v>1650</x:v>
      </x:c>
      <x:c r="T25" s="55" t="n">
        <x:v>986</x:v>
      </x:c>
      <x:c r="U25" s="55" t="n">
        <x:v>2301</x:v>
      </x:c>
      <x:c r="V25" s="55" t="n">
        <x:v>10262</x:v>
      </x:c>
      <x:c r="W25" s="55" t="n">
        <x:v>7392</x:v>
      </x:c>
      <x:c r="X25" s="55" t="n">
        <x:v>2870</x:v>
      </x:c>
      <x:c r="Y25" s="55" t="n">
        <x:v>2444</x:v>
      </x:c>
      <x:c r="Z25" s="55" t="n">
        <x:v>3317</x:v>
      </x:c>
      <x:c r="AA25" s="55" t="n">
        <x:v>3063</x:v>
      </x:c>
      <x:c r="AB25" s="55" t="n">
        <x:v>1195</x:v>
      </x:c>
      <x:c r="AC25" s="55" t="n">
        <x:v>7695</x:v>
      </x:c>
      <x:c r="AD25" s="55" t="n">
        <x:v>2718</x:v>
      </x:c>
      <x:c r="AE25" s="55" t="n">
        <x:v>10343</x:v>
      </x:c>
      <x:c r="AF25" s="55" t="n">
        <x:v>10262</x:v>
      </x:c>
      <x:c r="AG25" s="55" t="n">
        <x:v>81</x:v>
      </x:c>
      <x:c r="AH25" s="55" t="n">
        <x:v>524</x:v>
      </x:c>
      <x:c r="AI25" s="55" t="n">
        <x:v>9738</x:v>
      </x:c>
      <x:c r="AJ25" s="55" t="n">
        <x:v>324</x:v>
      </x:c>
      <x:c r="AK25" s="55" t="n">
        <x:v>733</x:v>
      </x:c>
      <x:c r="AL25" s="55" t="n">
        <x:v>1748</x:v>
      </x:c>
      <x:c r="AM25" s="55" t="n">
        <x:v>5180</x:v>
      </x:c>
      <x:c r="AN25" s="55" t="n">
        <x:v>2277</x:v>
      </x:c>
      <x:c r="AO25" s="55" t="n">
        <x:v>0</x:v>
      </x:c>
      <x:c r="AP25" s="55" t="n">
        <x:v>2332</x:v>
      </x:c>
      <x:c r="AQ25" s="55" t="n">
        <x:v>908</x:v>
      </x:c>
    </x:row>
    <x:row r="26">
      <x:c r="A26" s="54" t="str">
        <x:v>T1_SHARED_CATCHMENT</x:v>
      </x:c>
      <x:c r="B26" s="54" t="n">
        <x:v>20</x:v>
      </x:c>
      <x:c r="C26" s="54" t="str">
        <x:v>NYC-V2-R01</x:v>
      </x:c>
      <x:c r="D26" s="54" t="str">
        <x:v>V2</x:v>
      </x:c>
      <x:c r="E26" s="54" t="str">
        <x:v>ADMITTED</x:v>
      </x:c>
      <x:c r="F26" s="55" t="n">
        <x:v>32518</x:v>
      </x:c>
      <x:c r="G26" s="55" t="n">
        <x:v>8734</x:v>
      </x:c>
      <x:c r="H26" s="55" t="n">
        <x:v>3320</x:v>
      </x:c>
      <x:c r="I26" s="55" t="n">
        <x:v>1380</x:v>
      </x:c>
      <x:c r="J26" s="55" t="n">
        <x:v>189</x:v>
      </x:c>
      <x:c r="K26" s="55" t="n">
        <x:v>32518</x:v>
      </x:c>
      <x:c r="L26" s="55" t="n">
        <x:v>6301</x:v>
      </x:c>
      <x:c r="M26" s="55" t="n">
        <x:v>1438</x:v>
      </x:c>
      <x:c r="N26" s="55" t="n">
        <x:v>3108</x:v>
      </x:c>
      <x:c r="O26" s="55" t="n">
        <x:v>1755</x:v>
      </x:c>
      <x:c r="P26" s="55" t="n">
        <x:v>712</x:v>
      </x:c>
      <x:c r="Q26" s="55" t="n">
        <x:v>2447</x:v>
      </x:c>
      <x:c r="R26" s="55" t="n">
        <x:v>1643</x:v>
      </x:c>
      <x:c r="S26" s="55" t="n">
        <x:v>3244</x:v>
      </x:c>
      <x:c r="T26" s="55" t="n">
        <x:v>1121</x:v>
      </x:c>
      <x:c r="U26" s="55" t="n">
        <x:v>1966</x:v>
      </x:c>
      <x:c r="V26" s="55" t="n">
        <x:v>10968</x:v>
      </x:c>
      <x:c r="W26" s="55" t="n">
        <x:v>8157</x:v>
      </x:c>
      <x:c r="X26" s="55" t="n">
        <x:v>2811</x:v>
      </x:c>
      <x:c r="Y26" s="55" t="n">
        <x:v>2383</x:v>
      </x:c>
      <x:c r="Z26" s="55" t="n">
        <x:v>3911</x:v>
      </x:c>
      <x:c r="AA26" s="55" t="n">
        <x:v>3067</x:v>
      </x:c>
      <x:c r="AB26" s="55" t="n">
        <x:v>1325</x:v>
      </x:c>
      <x:c r="AC26" s="55" t="n">
        <x:v>8100</x:v>
      </x:c>
      <x:c r="AD26" s="55" t="n">
        <x:v>3636</x:v>
      </x:c>
      <x:c r="AE26" s="55" t="n">
        <x:v>11045</x:v>
      </x:c>
      <x:c r="AF26" s="55" t="n">
        <x:v>10968</x:v>
      </x:c>
      <x:c r="AG26" s="55" t="n">
        <x:v>77</x:v>
      </x:c>
      <x:c r="AH26" s="55" t="n">
        <x:v>512</x:v>
      </x:c>
      <x:c r="AI26" s="55" t="n">
        <x:v>10456</x:v>
      </x:c>
      <x:c r="AJ26" s="55" t="n">
        <x:v>134</x:v>
      </x:c>
      <x:c r="AK26" s="55" t="n">
        <x:v>1113</x:v>
      </x:c>
      <x:c r="AL26" s="55" t="n">
        <x:v>2033</x:v>
      </x:c>
      <x:c r="AM26" s="55" t="n">
        <x:v>5289</x:v>
      </x:c>
      <x:c r="AN26" s="55" t="n">
        <x:v>2384</x:v>
      </x:c>
      <x:c r="AO26" s="55" t="n">
        <x:v>15</x:v>
      </x:c>
      <x:c r="AP26" s="55" t="n">
        <x:v>1938</x:v>
      </x:c>
      <x:c r="AQ26" s="55" t="n">
        <x:v>929</x:v>
      </x:c>
    </x:row>
    <x:row r="27">
      <x:c r="A27" s="54" t="str">
        <x:v>T1_SHARED_CATCHMENT</x:v>
      </x:c>
      <x:c r="B27" s="54" t="n">
        <x:v>21</x:v>
      </x:c>
      <x:c r="C27" s="54" t="str">
        <x:v>NYC-V2-R01</x:v>
      </x:c>
      <x:c r="D27" s="54" t="str">
        <x:v>V2</x:v>
      </x:c>
      <x:c r="E27" s="54" t="str">
        <x:v>ADMITTED</x:v>
      </x:c>
      <x:c r="F27" s="55" t="n">
        <x:v>29380</x:v>
      </x:c>
      <x:c r="G27" s="55" t="n">
        <x:v>6927</x:v>
      </x:c>
      <x:c r="H27" s="55" t="n">
        <x:v>3356</x:v>
      </x:c>
      <x:c r="I27" s="55" t="n">
        <x:v>1443</x:v>
      </x:c>
      <x:c r="J27" s="55" t="n">
        <x:v>152</x:v>
      </x:c>
      <x:c r="K27" s="55" t="n">
        <x:v>29380</x:v>
      </x:c>
      <x:c r="L27" s="55" t="n">
        <x:v>4967</x:v>
      </x:c>
      <x:c r="M27" s="55" t="n">
        <x:v>690</x:v>
      </x:c>
      <x:c r="N27" s="55" t="n">
        <x:v>3046</x:v>
      </x:c>
      <x:c r="O27" s="55" t="n">
        <x:v>1231</x:v>
      </x:c>
      <x:c r="P27" s="55" t="n">
        <x:v>721</x:v>
      </x:c>
      <x:c r="Q27" s="55" t="n">
        <x:v>2111</x:v>
      </x:c>
      <x:c r="R27" s="55" t="n">
        <x:v>2540</x:v>
      </x:c>
      <x:c r="S27" s="55" t="n">
        <x:v>2616</x:v>
      </x:c>
      <x:c r="T27" s="55" t="n">
        <x:v>1178</x:v>
      </x:c>
      <x:c r="U27" s="55" t="n">
        <x:v>2165</x:v>
      </x:c>
      <x:c r="V27" s="55" t="n">
        <x:v>10205</x:v>
      </x:c>
      <x:c r="W27" s="55" t="n">
        <x:v>7130</x:v>
      </x:c>
      <x:c r="X27" s="55" t="n">
        <x:v>3075</x:v>
      </x:c>
      <x:c r="Y27" s="55" t="n">
        <x:v>2547</x:v>
      </x:c>
      <x:c r="Z27" s="55" t="n">
        <x:v>3828</x:v>
      </x:c>
      <x:c r="AA27" s="55" t="n">
        <x:v>3356</x:v>
      </x:c>
      <x:c r="AB27" s="55" t="n">
        <x:v>1125</x:v>
      </x:c>
      <x:c r="AC27" s="55" t="n">
        <x:v>7938</x:v>
      </x:c>
      <x:c r="AD27" s="55" t="n">
        <x:v>2894</x:v>
      </x:c>
      <x:c r="AE27" s="55" t="n">
        <x:v>10318</x:v>
      </x:c>
      <x:c r="AF27" s="55" t="n">
        <x:v>10205</x:v>
      </x:c>
      <x:c r="AG27" s="55" t="n">
        <x:v>113</x:v>
      </x:c>
      <x:c r="AH27" s="55" t="n">
        <x:v>0</x:v>
      </x:c>
      <x:c r="AI27" s="55" t="n">
        <x:v>10205</x:v>
      </x:c>
      <x:c r="AJ27" s="55" t="n">
        <x:v>311</x:v>
      </x:c>
      <x:c r="AK27" s="55" t="n">
        <x:v>1305</x:v>
      </x:c>
      <x:c r="AL27" s="55" t="n">
        <x:v>991</x:v>
      </x:c>
      <x:c r="AM27" s="55" t="n">
        <x:v>4571</x:v>
      </x:c>
      <x:c r="AN27" s="55" t="n">
        <x:v>3027</x:v>
      </x:c>
      <x:c r="AO27" s="55" t="n">
        <x:v>0</x:v>
      </x:c>
      <x:c r="AP27" s="55" t="n">
        <x:v>2259</x:v>
      </x:c>
      <x:c r="AQ27" s="55" t="n">
        <x:v>942</x:v>
      </x:c>
    </x:row>
    <x:row r="28">
      <x:c r="A28" s="54" t="str">
        <x:v>T1_SHARED_CATCHMENT</x:v>
      </x:c>
      <x:c r="B28" s="54" t="n">
        <x:v>22</x:v>
      </x:c>
      <x:c r="C28" s="54" t="str">
        <x:v>NYC-V2-R01</x:v>
      </x:c>
      <x:c r="D28" s="54" t="str">
        <x:v>V2</x:v>
      </x:c>
      <x:c r="E28" s="54" t="str">
        <x:v>ADMITTED</x:v>
      </x:c>
      <x:c r="F28" s="55" t="n">
        <x:v>33047</x:v>
      </x:c>
      <x:c r="G28" s="55" t="n">
        <x:v>6676</x:v>
      </x:c>
      <x:c r="H28" s="55" t="n">
        <x:v>3404</x:v>
      </x:c>
      <x:c r="I28" s="55" t="n">
        <x:v>1385</x:v>
      </x:c>
      <x:c r="J28" s="55" t="n">
        <x:v>194</x:v>
      </x:c>
      <x:c r="K28" s="55" t="n">
        <x:v>33047</x:v>
      </x:c>
      <x:c r="L28" s="55" t="n">
        <x:v>7202</x:v>
      </x:c>
      <x:c r="M28" s="55" t="n">
        <x:v>2169</x:v>
      </x:c>
      <x:c r="N28" s="55" t="n">
        <x:v>3203</x:v>
      </x:c>
      <x:c r="O28" s="55" t="n">
        <x:v>1830</x:v>
      </x:c>
      <x:c r="P28" s="55" t="n">
        <x:v>863</x:v>
      </x:c>
      <x:c r="Q28" s="55" t="n">
        <x:v>3135</x:v>
      </x:c>
      <x:c r="R28" s="55" t="n">
        <x:v>1993</x:v>
      </x:c>
      <x:c r="S28" s="55" t="n">
        <x:v>3262</x:v>
      </x:c>
      <x:c r="T28" s="55" t="n">
        <x:v>1000</x:v>
      </x:c>
      <x:c r="U28" s="55" t="n">
        <x:v>1999</x:v>
      </x:c>
      <x:c r="V28" s="55" t="n">
        <x:v>10747</x:v>
      </x:c>
      <x:c r="W28" s="55" t="n">
        <x:v>7533</x:v>
      </x:c>
      <x:c r="X28" s="55" t="n">
        <x:v>3214</x:v>
      </x:c>
      <x:c r="Y28" s="55" t="n">
        <x:v>2770</x:v>
      </x:c>
      <x:c r="Z28" s="55" t="n">
        <x:v>4353</x:v>
      </x:c>
      <x:c r="AA28" s="55" t="n">
        <x:v>2578</x:v>
      </x:c>
      <x:c r="AB28" s="55" t="n">
        <x:v>917</x:v>
      </x:c>
      <x:c r="AC28" s="55" t="n">
        <x:v>7967</x:v>
      </x:c>
      <x:c r="AD28" s="55" t="n">
        <x:v>2224</x:v>
      </x:c>
      <x:c r="AE28" s="55" t="n">
        <x:v>10804</x:v>
      </x:c>
      <x:c r="AF28" s="55" t="n">
        <x:v>10747</x:v>
      </x:c>
      <x:c r="AG28" s="55" t="n">
        <x:v>57</x:v>
      </x:c>
      <x:c r="AH28" s="55" t="n">
        <x:v>210</x:v>
      </x:c>
      <x:c r="AI28" s="55" t="n">
        <x:v>10537</x:v>
      </x:c>
      <x:c r="AJ28" s="55" t="n">
        <x:v>355</x:v>
      </x:c>
      <x:c r="AK28" s="55" t="n">
        <x:v>1358</x:v>
      </x:c>
      <x:c r="AL28" s="55" t="n">
        <x:v>1725</x:v>
      </x:c>
      <x:c r="AM28" s="55" t="n">
        <x:v>4457</x:v>
      </x:c>
      <x:c r="AN28" s="55" t="n">
        <x:v>2852</x:v>
      </x:c>
      <x:c r="AO28" s="55" t="n">
        <x:v>0</x:v>
      </x:c>
      <x:c r="AP28" s="55" t="n">
        <x:v>2886</x:v>
      </x:c>
      <x:c r="AQ28" s="55" t="n">
        <x:v>955</x:v>
      </x:c>
    </x:row>
    <x:row r="29">
      <x:c r="A29" s="54" t="str">
        <x:v>T1_SHARED_CATCHMENT</x:v>
      </x:c>
      <x:c r="B29" s="54" t="n">
        <x:v>23</x:v>
      </x:c>
      <x:c r="C29" s="54" t="str">
        <x:v>NYC-V2-R01</x:v>
      </x:c>
      <x:c r="D29" s="54" t="str">
        <x:v>V2</x:v>
      </x:c>
      <x:c r="E29" s="54" t="str">
        <x:v>ADMITTED</x:v>
      </x:c>
      <x:c r="F29" s="55" t="n">
        <x:v>30850</x:v>
      </x:c>
      <x:c r="G29" s="55" t="n">
        <x:v>8294</x:v>
      </x:c>
      <x:c r="H29" s="55" t="n">
        <x:v>3168</x:v>
      </x:c>
      <x:c r="I29" s="55" t="n">
        <x:v>1316</x:v>
      </x:c>
      <x:c r="J29" s="55" t="n">
        <x:v>39</x:v>
      </x:c>
      <x:c r="K29" s="55" t="n">
        <x:v>30850</x:v>
      </x:c>
      <x:c r="L29" s="55" t="n">
        <x:v>5730</x:v>
      </x:c>
      <x:c r="M29" s="55" t="n">
        <x:v>1501</x:v>
      </x:c>
      <x:c r="N29" s="55" t="n">
        <x:v>2159</x:v>
      </x:c>
      <x:c r="O29" s="55" t="n">
        <x:v>2070</x:v>
      </x:c>
      <x:c r="P29" s="55" t="n">
        <x:v>671</x:v>
      </x:c>
      <x:c r="Q29" s="55" t="n">
        <x:v>2240</x:v>
      </x:c>
      <x:c r="R29" s="55" t="n">
        <x:v>2209</x:v>
      </x:c>
      <x:c r="S29" s="55" t="n">
        <x:v>2560</x:v>
      </x:c>
      <x:c r="T29" s="55" t="n">
        <x:v>651</x:v>
      </x:c>
      <x:c r="U29" s="55" t="n">
        <x:v>1856</x:v>
      </x:c>
      <x:c r="V29" s="55" t="n">
        <x:v>10714</x:v>
      </x:c>
      <x:c r="W29" s="55" t="n">
        <x:v>7776</x:v>
      </x:c>
      <x:c r="X29" s="55" t="n">
        <x:v>2938</x:v>
      </x:c>
      <x:c r="Y29" s="55" t="n">
        <x:v>2767</x:v>
      </x:c>
      <x:c r="Z29" s="55" t="n">
        <x:v>4079</x:v>
      </x:c>
      <x:c r="AA29" s="55" t="n">
        <x:v>2822</x:v>
      </x:c>
      <x:c r="AB29" s="55" t="n">
        <x:v>1001</x:v>
      </x:c>
      <x:c r="AC29" s="55" t="n">
        <x:v>8414</x:v>
      </x:c>
      <x:c r="AD29" s="55" t="n">
        <x:v>3013</x:v>
      </x:c>
      <x:c r="AE29" s="55" t="n">
        <x:v>10760</x:v>
      </x:c>
      <x:c r="AF29" s="55" t="n">
        <x:v>10714</x:v>
      </x:c>
      <x:c r="AG29" s="55" t="n">
        <x:v>46</x:v>
      </x:c>
      <x:c r="AH29" s="55" t="n">
        <x:v>417</x:v>
      </x:c>
      <x:c r="AI29" s="55" t="n">
        <x:v>10297</x:v>
      </x:c>
      <x:c r="AJ29" s="55" t="n">
        <x:v>283</x:v>
      </x:c>
      <x:c r="AK29" s="55" t="n">
        <x:v>1003</x:v>
      </x:c>
      <x:c r="AL29" s="55" t="n">
        <x:v>1765</x:v>
      </x:c>
      <x:c r="AM29" s="55" t="n">
        <x:v>5556</x:v>
      </x:c>
      <x:c r="AN29" s="55" t="n">
        <x:v>2107</x:v>
      </x:c>
      <x:c r="AO29" s="55" t="n">
        <x:v>0</x:v>
      </x:c>
      <x:c r="AP29" s="55" t="n">
        <x:v>2531</x:v>
      </x:c>
      <x:c r="AQ29" s="55" t="n">
        <x:v>933</x:v>
      </x:c>
    </x:row>
    <x:row r="30">
      <x:c r="A30" s="54" t="str">
        <x:v>T1_SHARED_CATCHMENT</x:v>
      </x:c>
      <x:c r="B30" s="54" t="n">
        <x:v>24</x:v>
      </x:c>
      <x:c r="C30" s="54" t="str">
        <x:v>NYC-V2-R01</x:v>
      </x:c>
      <x:c r="D30" s="54" t="str">
        <x:v>V2</x:v>
      </x:c>
      <x:c r="E30" s="54" t="str">
        <x:v>ADMITTED</x:v>
      </x:c>
      <x:c r="F30" s="55" t="n">
        <x:v>29950</x:v>
      </x:c>
      <x:c r="G30" s="55" t="n">
        <x:v>7367</x:v>
      </x:c>
      <x:c r="H30" s="55" t="n">
        <x:v>3660</x:v>
      </x:c>
      <x:c r="I30" s="55" t="n">
        <x:v>1276</x:v>
      </x:c>
      <x:c r="J30" s="55" t="n">
        <x:v>238</x:v>
      </x:c>
      <x:c r="K30" s="55" t="n">
        <x:v>27456</x:v>
      </x:c>
      <x:c r="L30" s="55" t="n">
        <x:v>4318</x:v>
      </x:c>
      <x:c r="M30" s="55" t="n">
        <x:v>225</x:v>
      </x:c>
      <x:c r="N30" s="55" t="n">
        <x:v>2273</x:v>
      </x:c>
      <x:c r="O30" s="55" t="n">
        <x:v>1820</x:v>
      </x:c>
      <x:c r="P30" s="55" t="n">
        <x:v>917</x:v>
      </x:c>
      <x:c r="Q30" s="55" t="n">
        <x:v>2444</x:v>
      </x:c>
      <x:c r="R30" s="55" t="n">
        <x:v>1789</x:v>
      </x:c>
      <x:c r="S30" s="55" t="n">
        <x:v>2284</x:v>
      </x:c>
      <x:c r="T30" s="55" t="n">
        <x:v>1240</x:v>
      </x:c>
      <x:c r="U30" s="55" t="n">
        <x:v>1611</x:v>
      </x:c>
      <x:c r="V30" s="55" t="n">
        <x:v>10093</x:v>
      </x:c>
      <x:c r="W30" s="55" t="n">
        <x:v>7378</x:v>
      </x:c>
      <x:c r="X30" s="55" t="n">
        <x:v>2715</x:v>
      </x:c>
      <x:c r="Y30" s="55" t="n">
        <x:v>2516</x:v>
      </x:c>
      <x:c r="Z30" s="55" t="n">
        <x:v>3615</x:v>
      </x:c>
      <x:c r="AA30" s="55" t="n">
        <x:v>3085</x:v>
      </x:c>
      <x:c r="AB30" s="55" t="n">
        <x:v>1128</x:v>
      </x:c>
      <x:c r="AC30" s="55" t="n">
        <x:v>8147</x:v>
      </x:c>
      <x:c r="AD30" s="55" t="n">
        <x:v>2375</x:v>
      </x:c>
      <x:c r="AE30" s="55" t="n">
        <x:v>10147</x:v>
      </x:c>
      <x:c r="AF30" s="55" t="n">
        <x:v>10093</x:v>
      </x:c>
      <x:c r="AG30" s="55" t="n">
        <x:v>54</x:v>
      </x:c>
      <x:c r="AH30" s="55" t="n">
        <x:v>355</x:v>
      </x:c>
      <x:c r="AI30" s="55" t="n">
        <x:v>9738</x:v>
      </x:c>
      <x:c r="AJ30" s="55" t="n">
        <x:v>279</x:v>
      </x:c>
      <x:c r="AK30" s="55" t="n">
        <x:v>1076</x:v>
      </x:c>
      <x:c r="AL30" s="55" t="n">
        <x:v>1694</x:v>
      </x:c>
      <x:c r="AM30" s="55" t="n">
        <x:v>4323</x:v>
      </x:c>
      <x:c r="AN30" s="55" t="n">
        <x:v>2662</x:v>
      </x:c>
      <x:c r="AO30" s="55" t="n">
        <x:v>59</x:v>
      </x:c>
      <x:c r="AP30" s="55" t="n">
        <x:v>2061</x:v>
      </x:c>
      <x:c r="AQ30" s="55" t="n">
        <x:v>921</x:v>
      </x:c>
    </x:row>
    <x:row r="31">
      <x:c r="A31" s="54" t="str">
        <x:v>T1_SHARED_CATCHMENT</x:v>
      </x:c>
      <x:c r="B31" s="54" t="n">
        <x:v>25</x:v>
      </x:c>
      <x:c r="C31" s="54" t="str">
        <x:v>NYC-V2-R01</x:v>
      </x:c>
      <x:c r="D31" s="54" t="str">
        <x:v>V2</x:v>
      </x:c>
      <x:c r="E31" s="54" t="str">
        <x:v>ADMITTED</x:v>
      </x:c>
      <x:c r="F31" s="55" t="n">
        <x:v>31502</x:v>
      </x:c>
      <x:c r="G31" s="55" t="n">
        <x:v>8739</x:v>
      </x:c>
      <x:c r="H31" s="55" t="n">
        <x:v>3726</x:v>
      </x:c>
      <x:c r="I31" s="55" t="n">
        <x:v>1215</x:v>
      </x:c>
      <x:c r="J31" s="55" t="n">
        <x:v>219</x:v>
      </x:c>
      <x:c r="K31" s="55" t="n">
        <x:v>28133</x:v>
      </x:c>
      <x:c r="L31" s="55" t="n">
        <x:v>5334</x:v>
      </x:c>
      <x:c r="M31" s="55" t="n">
        <x:v>349</x:v>
      </x:c>
      <x:c r="N31" s="55" t="n">
        <x:v>2837</x:v>
      </x:c>
      <x:c r="O31" s="55" t="n">
        <x:v>2148</x:v>
      </x:c>
      <x:c r="P31" s="55" t="n">
        <x:v>706</x:v>
      </x:c>
      <x:c r="Q31" s="55" t="n">
        <x:v>2908</x:v>
      </x:c>
      <x:c r="R31" s="55" t="n">
        <x:v>2109</x:v>
      </x:c>
      <x:c r="S31" s="55" t="n">
        <x:v>3079</x:v>
      </x:c>
      <x:c r="T31" s="55" t="n">
        <x:v>1707</x:v>
      </x:c>
      <x:c r="U31" s="55" t="n">
        <x:v>2263</x:v>
      </x:c>
      <x:c r="V31" s="55" t="n">
        <x:v>10392</x:v>
      </x:c>
      <x:c r="W31" s="55" t="n">
        <x:v>6868</x:v>
      </x:c>
      <x:c r="X31" s="55" t="n">
        <x:v>3524</x:v>
      </x:c>
      <x:c r="Y31" s="55" t="n">
        <x:v>2933</x:v>
      </x:c>
      <x:c r="Z31" s="55" t="n">
        <x:v>3898</x:v>
      </x:c>
      <x:c r="AA31" s="55" t="n">
        <x:v>3726</x:v>
      </x:c>
      <x:c r="AB31" s="55" t="n">
        <x:v>1508</x:v>
      </x:c>
      <x:c r="AC31" s="55" t="n">
        <x:v>8374</x:v>
      </x:c>
      <x:c r="AD31" s="55" t="n">
        <x:v>3368</x:v>
      </x:c>
      <x:c r="AE31" s="55" t="n">
        <x:v>10538</x:v>
      </x:c>
      <x:c r="AF31" s="55" t="n">
        <x:v>10392</x:v>
      </x:c>
      <x:c r="AG31" s="55" t="n">
        <x:v>146</x:v>
      </x:c>
      <x:c r="AH31" s="55" t="n">
        <x:v>394</x:v>
      </x:c>
      <x:c r="AI31" s="55" t="n">
        <x:v>9998</x:v>
      </x:c>
      <x:c r="AJ31" s="55" t="n">
        <x:v>323</x:v>
      </x:c>
      <x:c r="AK31" s="55" t="n">
        <x:v>1259</x:v>
      </x:c>
      <x:c r="AL31" s="55" t="n">
        <x:v>1418</x:v>
      </x:c>
      <x:c r="AM31" s="55" t="n">
        <x:v>5138</x:v>
      </x:c>
      <x:c r="AN31" s="55" t="n">
        <x:v>2254</x:v>
      </x:c>
      <x:c r="AO31" s="55" t="n">
        <x:v>0</x:v>
      </x:c>
      <x:c r="AP31" s="55" t="n">
        <x:v>2429</x:v>
      </x:c>
      <x:c r="AQ31" s="55" t="n">
        <x:v>985</x:v>
      </x:c>
    </x:row>
    <x:row r="32">
      <x:c r="A32" s="54" t="str">
        <x:v>T1_SHARED_CATCHMENT</x:v>
      </x:c>
      <x:c r="B32" s="54" t="n">
        <x:v>26</x:v>
      </x:c>
      <x:c r="C32" s="54" t="str">
        <x:v>NYC-V2-R01</x:v>
      </x:c>
      <x:c r="D32" s="54" t="str">
        <x:v>V2</x:v>
      </x:c>
      <x:c r="E32" s="54" t="str">
        <x:v>ADMITTED</x:v>
      </x:c>
      <x:c r="F32" s="55" t="n">
        <x:v>32181</x:v>
      </x:c>
      <x:c r="G32" s="55" t="n">
        <x:v>7546</x:v>
      </x:c>
      <x:c r="H32" s="55" t="n">
        <x:v>3391</x:v>
      </x:c>
      <x:c r="I32" s="55" t="n">
        <x:v>1299</x:v>
      </x:c>
      <x:c r="J32" s="55" t="n">
        <x:v>139</x:v>
      </x:c>
      <x:c r="K32" s="55" t="n">
        <x:v>32181</x:v>
      </x:c>
      <x:c r="L32" s="55" t="n">
        <x:v>6378</x:v>
      </x:c>
      <x:c r="M32" s="55" t="n">
        <x:v>1778</x:v>
      </x:c>
      <x:c r="N32" s="55" t="n">
        <x:v>3016</x:v>
      </x:c>
      <x:c r="O32" s="55" t="n">
        <x:v>1584</x:v>
      </x:c>
      <x:c r="P32" s="55" t="n">
        <x:v>1393</x:v>
      </x:c>
      <x:c r="Q32" s="55" t="n">
        <x:v>1947</x:v>
      </x:c>
      <x:c r="R32" s="55" t="n">
        <x:v>1842</x:v>
      </x:c>
      <x:c r="S32" s="55" t="n">
        <x:v>3239</x:v>
      </x:c>
      <x:c r="T32" s="55" t="n">
        <x:v>1189</x:v>
      </x:c>
      <x:c r="U32" s="55" t="n">
        <x:v>2192</x:v>
      </x:c>
      <x:c r="V32" s="55" t="n">
        <x:v>10860</x:v>
      </x:c>
      <x:c r="W32" s="55" t="n">
        <x:v>7852</x:v>
      </x:c>
      <x:c r="X32" s="55" t="n">
        <x:v>3008</x:v>
      </x:c>
      <x:c r="Y32" s="55" t="n">
        <x:v>2733</x:v>
      </x:c>
      <x:c r="Z32" s="55" t="n">
        <x:v>3565</x:v>
      </x:c>
      <x:c r="AA32" s="55" t="n">
        <x:v>3391</x:v>
      </x:c>
      <x:c r="AB32" s="55" t="n">
        <x:v>1211</x:v>
      </x:c>
      <x:c r="AC32" s="55" t="n">
        <x:v>8057</x:v>
      </x:c>
      <x:c r="AD32" s="55" t="n">
        <x:v>3456</x:v>
      </x:c>
      <x:c r="AE32" s="55" t="n">
        <x:v>10873</x:v>
      </x:c>
      <x:c r="AF32" s="55" t="n">
        <x:v>10860</x:v>
      </x:c>
      <x:c r="AG32" s="55" t="n">
        <x:v>13</x:v>
      </x:c>
      <x:c r="AH32" s="55" t="n">
        <x:v>310</x:v>
      </x:c>
      <x:c r="AI32" s="55" t="n">
        <x:v>10550</x:v>
      </x:c>
      <x:c r="AJ32" s="55" t="n">
        <x:v>396</x:v>
      </x:c>
      <x:c r="AK32" s="55" t="n">
        <x:v>1276</x:v>
      </x:c>
      <x:c r="AL32" s="55" t="n">
        <x:v>2109</x:v>
      </x:c>
      <x:c r="AM32" s="55" t="n">
        <x:v>4457</x:v>
      </x:c>
      <x:c r="AN32" s="55" t="n">
        <x:v>2618</x:v>
      </x:c>
      <x:c r="AO32" s="55" t="n">
        <x:v>4</x:v>
      </x:c>
      <x:c r="AP32" s="55" t="n">
        <x:v>2312</x:v>
      </x:c>
      <x:c r="AQ32" s="55" t="n">
        <x:v>951</x:v>
      </x:c>
    </x:row>
    <x:row r="33">
      <x:c r="A33" s="54" t="str">
        <x:v>T1_SHARED_CATCHMENT</x:v>
      </x:c>
      <x:c r="B33" s="54" t="n">
        <x:v>27</x:v>
      </x:c>
      <x:c r="C33" s="54" t="str">
        <x:v>NYC-V2-R01</x:v>
      </x:c>
      <x:c r="D33" s="54" t="str">
        <x:v>V2</x:v>
      </x:c>
      <x:c r="E33" s="54" t="str">
        <x:v>ADMITTED</x:v>
      </x:c>
      <x:c r="F33" s="55" t="n">
        <x:v>28879</x:v>
      </x:c>
      <x:c r="G33" s="55" t="n">
        <x:v>6107</x:v>
      </x:c>
      <x:c r="H33" s="55" t="n">
        <x:v>4021</x:v>
      </x:c>
      <x:c r="I33" s="55" t="n">
        <x:v>2101</x:v>
      </x:c>
      <x:c r="J33" s="55" t="n">
        <x:v>456</x:v>
      </x:c>
      <x:c r="K33" s="55" t="n">
        <x:v>28879</x:v>
      </x:c>
      <x:c r="L33" s="55" t="n">
        <x:v>5372</x:v>
      </x:c>
      <x:c r="M33" s="55" t="n">
        <x:v>1197</x:v>
      </x:c>
      <x:c r="N33" s="55" t="n">
        <x:v>3193</x:v>
      </x:c>
      <x:c r="O33" s="55" t="n">
        <x:v>982</x:v>
      </x:c>
      <x:c r="P33" s="55" t="n">
        <x:v>1269</x:v>
      </x:c>
      <x:c r="Q33" s="55" t="n">
        <x:v>3026</x:v>
      </x:c>
      <x:c r="R33" s="55" t="n">
        <x:v>1909</x:v>
      </x:c>
      <x:c r="S33" s="55" t="n">
        <x:v>2939</x:v>
      </x:c>
      <x:c r="T33" s="55" t="n">
        <x:v>1483</x:v>
      </x:c>
      <x:c r="U33" s="55" t="n">
        <x:v>2065</x:v>
      </x:c>
      <x:c r="V33" s="55" t="n">
        <x:v>10415</x:v>
      </x:c>
      <x:c r="W33" s="55" t="n">
        <x:v>7242</x:v>
      </x:c>
      <x:c r="X33" s="55" t="n">
        <x:v>3173</x:v>
      </x:c>
      <x:c r="Y33" s="55" t="n">
        <x:v>2835</x:v>
      </x:c>
      <x:c r="Z33" s="55" t="n">
        <x:v>3539</x:v>
      </x:c>
      <x:c r="AA33" s="55" t="n">
        <x:v>2877</x:v>
      </x:c>
      <x:c r="AB33" s="55" t="n">
        <x:v>1019</x:v>
      </x:c>
      <x:c r="AC33" s="55" t="n">
        <x:v>7736</x:v>
      </x:c>
      <x:c r="AD33" s="55" t="n">
        <x:v>3194</x:v>
      </x:c>
      <x:c r="AE33" s="55" t="n">
        <x:v>10521</x:v>
      </x:c>
      <x:c r="AF33" s="55" t="n">
        <x:v>10415</x:v>
      </x:c>
      <x:c r="AG33" s="55" t="n">
        <x:v>106</x:v>
      </x:c>
      <x:c r="AH33" s="55" t="n">
        <x:v>424</x:v>
      </x:c>
      <x:c r="AI33" s="55" t="n">
        <x:v>9991</x:v>
      </x:c>
      <x:c r="AJ33" s="55" t="n">
        <x:v>219</x:v>
      </x:c>
      <x:c r="AK33" s="55" t="n">
        <x:v>964</x:v>
      </x:c>
      <x:c r="AL33" s="55" t="n">
        <x:v>1591</x:v>
      </x:c>
      <x:c r="AM33" s="55" t="n">
        <x:v>4761</x:v>
      </x:c>
      <x:c r="AN33" s="55" t="n">
        <x:v>2820</x:v>
      </x:c>
      <x:c r="AO33" s="55" t="n">
        <x:v>60</x:v>
      </x:c>
      <x:c r="AP33" s="55" t="n">
        <x:v>2496</x:v>
      </x:c>
      <x:c r="AQ33" s="55" t="n">
        <x:v>919</x:v>
      </x:c>
    </x:row>
    <x:row r="34">
      <x:c r="A34" s="54" t="str">
        <x:v>T1_SHARED_CATCHMENT</x:v>
      </x:c>
      <x:c r="B34" s="54" t="n">
        <x:v>28</x:v>
      </x:c>
      <x:c r="C34" s="54" t="str">
        <x:v>NYC-V2-R01</x:v>
      </x:c>
      <x:c r="D34" s="54" t="str">
        <x:v>V2</x:v>
      </x:c>
      <x:c r="E34" s="54" t="str">
        <x:v>ADMITTED</x:v>
      </x:c>
      <x:c r="F34" s="55" t="n">
        <x:v>32034</x:v>
      </x:c>
      <x:c r="G34" s="55" t="n">
        <x:v>7938</x:v>
      </x:c>
      <x:c r="H34" s="55" t="n">
        <x:v>2952</x:v>
      </x:c>
      <x:c r="I34" s="55" t="n">
        <x:v>973</x:v>
      </x:c>
      <x:c r="J34" s="55" t="n">
        <x:v>65</x:v>
      </x:c>
      <x:c r="K34" s="55" t="n">
        <x:v>32034</x:v>
      </x:c>
      <x:c r="L34" s="55" t="n">
        <x:v>5623</x:v>
      </x:c>
      <x:c r="M34" s="55" t="n">
        <x:v>1679</x:v>
      </x:c>
      <x:c r="N34" s="55" t="n">
        <x:v>2641</x:v>
      </x:c>
      <x:c r="O34" s="55" t="n">
        <x:v>1303</x:v>
      </x:c>
      <x:c r="P34" s="55" t="n">
        <x:v>918</x:v>
      </x:c>
      <x:c r="Q34" s="55" t="n">
        <x:v>2061</x:v>
      </x:c>
      <x:c r="R34" s="55" t="n">
        <x:v>1695</x:v>
      </x:c>
      <x:c r="S34" s="55" t="n">
        <x:v>2468</x:v>
      </x:c>
      <x:c r="T34" s="55" t="n">
        <x:v>794</x:v>
      </x:c>
      <x:c r="U34" s="55" t="n">
        <x:v>1460</x:v>
      </x:c>
      <x:c r="V34" s="55" t="n">
        <x:v>10340</x:v>
      </x:c>
      <x:c r="W34" s="55" t="n">
        <x:v>7753</x:v>
      </x:c>
      <x:c r="X34" s="55" t="n">
        <x:v>2587</x:v>
      </x:c>
      <x:c r="Y34" s="55" t="n">
        <x:v>2220</x:v>
      </x:c>
      <x:c r="Z34" s="55" t="n">
        <x:v>3831</x:v>
      </x:c>
      <x:c r="AA34" s="55" t="n">
        <x:v>2952</x:v>
      </x:c>
      <x:c r="AB34" s="55" t="n">
        <x:v>1128</x:v>
      </x:c>
      <x:c r="AC34" s="55" t="n">
        <x:v>7874</x:v>
      </x:c>
      <x:c r="AD34" s="55" t="n">
        <x:v>2950</x:v>
      </x:c>
      <x:c r="AE34" s="55" t="n">
        <x:v>10340</x:v>
      </x:c>
      <x:c r="AF34" s="55" t="n">
        <x:v>10340</x:v>
      </x:c>
      <x:c r="AG34" s="55" t="n">
        <x:v>0</x:v>
      </x:c>
      <x:c r="AH34" s="55" t="n">
        <x:v>525</x:v>
      </x:c>
      <x:c r="AI34" s="55" t="n">
        <x:v>9815</x:v>
      </x:c>
      <x:c r="AJ34" s="55" t="n">
        <x:v>243</x:v>
      </x:c>
      <x:c r="AK34" s="55" t="n">
        <x:v>965</x:v>
      </x:c>
      <x:c r="AL34" s="55" t="n">
        <x:v>1440</x:v>
      </x:c>
      <x:c r="AM34" s="55" t="n">
        <x:v>5088</x:v>
      </x:c>
      <x:c r="AN34" s="55" t="n">
        <x:v>2601</x:v>
      </x:c>
      <x:c r="AO34" s="55" t="n">
        <x:v>3</x:v>
      </x:c>
      <x:c r="AP34" s="55" t="n">
        <x:v>1886</x:v>
      </x:c>
      <x:c r="AQ34" s="55" t="n">
        <x:v>959</x:v>
      </x:c>
    </x:row>
    <x:row r="35">
      <x:c r="A35" s="54" t="str">
        <x:v>T1_SHARED_CATCHMENT</x:v>
      </x:c>
      <x:c r="B35" s="54" t="n">
        <x:v>29</x:v>
      </x:c>
      <x:c r="C35" s="54" t="str">
        <x:v>NYC-V2-R01</x:v>
      </x:c>
      <x:c r="D35" s="54" t="str">
        <x:v>V2</x:v>
      </x:c>
      <x:c r="E35" s="54" t="str">
        <x:v>ADMITTED</x:v>
      </x:c>
      <x:c r="F35" s="55" t="n">
        <x:v>31247</x:v>
      </x:c>
      <x:c r="G35" s="55" t="n">
        <x:v>7130</x:v>
      </x:c>
      <x:c r="H35" s="55" t="n">
        <x:v>3264</x:v>
      </x:c>
      <x:c r="I35" s="55" t="n">
        <x:v>1217</x:v>
      </x:c>
      <x:c r="J35" s="55" t="n">
        <x:v>283</x:v>
      </x:c>
      <x:c r="K35" s="55" t="n">
        <x:v>29539</x:v>
      </x:c>
      <x:c r="L35" s="55" t="n">
        <x:v>5245</x:v>
      </x:c>
      <x:c r="M35" s="55" t="n">
        <x:v>642</x:v>
      </x:c>
      <x:c r="N35" s="55" t="n">
        <x:v>3004</x:v>
      </x:c>
      <x:c r="O35" s="55" t="n">
        <x:v>1599</x:v>
      </x:c>
      <x:c r="P35" s="55" t="n">
        <x:v>1043</x:v>
      </x:c>
      <x:c r="Q35" s="55" t="n">
        <x:v>2328</x:v>
      </x:c>
      <x:c r="R35" s="55" t="n">
        <x:v>1427</x:v>
      </x:c>
      <x:c r="S35" s="55" t="n">
        <x:v>2754</x:v>
      </x:c>
      <x:c r="T35" s="55" t="n">
        <x:v>1035</x:v>
      </x:c>
      <x:c r="U35" s="55" t="n">
        <x:v>2113</x:v>
      </x:c>
      <x:c r="V35" s="55" t="n">
        <x:v>10165</x:v>
      </x:c>
      <x:c r="W35" s="55" t="n">
        <x:v>7050</x:v>
      </x:c>
      <x:c r="X35" s="55" t="n">
        <x:v>3115</x:v>
      </x:c>
      <x:c r="Y35" s="55" t="n">
        <x:v>2680</x:v>
      </x:c>
      <x:c r="Z35" s="55" t="n">
        <x:v>3406</x:v>
      </x:c>
      <x:c r="AA35" s="55" t="n">
        <x:v>2474</x:v>
      </x:c>
      <x:c r="AB35" s="55" t="n">
        <x:v>734</x:v>
      </x:c>
      <x:c r="AC35" s="55" t="n">
        <x:v>7555</x:v>
      </x:c>
      <x:c r="AD35" s="55" t="n">
        <x:v>2489</x:v>
      </x:c>
      <x:c r="AE35" s="55" t="n">
        <x:v>10214</x:v>
      </x:c>
      <x:c r="AF35" s="55" t="n">
        <x:v>10165</x:v>
      </x:c>
      <x:c r="AG35" s="55" t="n">
        <x:v>49</x:v>
      </x:c>
      <x:c r="AH35" s="55" t="n">
        <x:v>391</x:v>
      </x:c>
      <x:c r="AI35" s="55" t="n">
        <x:v>9774</x:v>
      </x:c>
      <x:c r="AJ35" s="55" t="n">
        <x:v>222</x:v>
      </x:c>
      <x:c r="AK35" s="55" t="n">
        <x:v>811</x:v>
      </x:c>
      <x:c r="AL35" s="55" t="n">
        <x:v>1515</x:v>
      </x:c>
      <x:c r="AM35" s="55" t="n">
        <x:v>4797</x:v>
      </x:c>
      <x:c r="AN35" s="55" t="n">
        <x:v>2771</x:v>
      </x:c>
      <x:c r="AO35" s="55" t="n">
        <x:v>49</x:v>
      </x:c>
      <x:c r="AP35" s="55" t="n">
        <x:v>1993</x:v>
      </x:c>
      <x:c r="AQ35" s="55" t="n">
        <x:v>973</x:v>
      </x:c>
    </x:row>
    <x:row r="36">
      <x:c r="A36" s="54" t="str">
        <x:v>T1_SHARED_CATCHMENT</x:v>
      </x:c>
      <x:c r="B36" s="54" t="n">
        <x:v>30</x:v>
      </x:c>
      <x:c r="C36" s="54" t="str">
        <x:v>NYC-V2-R01</x:v>
      </x:c>
      <x:c r="D36" s="54" t="str">
        <x:v>V2</x:v>
      </x:c>
      <x:c r="E36" s="54" t="str">
        <x:v>ADMITTED</x:v>
      </x:c>
      <x:c r="F36" s="55" t="n">
        <x:v>36148</x:v>
      </x:c>
      <x:c r="G36" s="55" t="n">
        <x:v>8804</x:v>
      </x:c>
      <x:c r="H36" s="55" t="n">
        <x:v>3979</x:v>
      </x:c>
      <x:c r="I36" s="55" t="n">
        <x:v>1586</x:v>
      </x:c>
      <x:c r="J36" s="55" t="n">
        <x:v>380</x:v>
      </x:c>
      <x:c r="K36" s="55" t="n">
        <x:v>31290</x:v>
      </x:c>
      <x:c r="L36" s="55" t="n">
        <x:v>6166</x:v>
      </x:c>
      <x:c r="M36" s="55" t="n">
        <x:v>1943</x:v>
      </x:c>
      <x:c r="N36" s="55" t="n">
        <x:v>2438</x:v>
      </x:c>
      <x:c r="O36" s="55" t="n">
        <x:v>1785</x:v>
      </x:c>
      <x:c r="P36" s="55" t="n">
        <x:v>921</x:v>
      </x:c>
      <x:c r="Q36" s="55" t="n">
        <x:v>2953</x:v>
      </x:c>
      <x:c r="R36" s="55" t="n">
        <x:v>2681</x:v>
      </x:c>
      <x:c r="S36" s="55" t="n">
        <x:v>2814</x:v>
      </x:c>
      <x:c r="T36" s="55" t="n">
        <x:v>903</x:v>
      </x:c>
      <x:c r="U36" s="55" t="n">
        <x:v>1762</x:v>
      </x:c>
      <x:c r="V36" s="55" t="n">
        <x:v>10664</x:v>
      </x:c>
      <x:c r="W36" s="55" t="n">
        <x:v>7876</x:v>
      </x:c>
      <x:c r="X36" s="55" t="n">
        <x:v>2788</x:v>
      </x:c>
      <x:c r="Y36" s="55" t="n">
        <x:v>2307</x:v>
      </x:c>
      <x:c r="Z36" s="55" t="n">
        <x:v>4402</x:v>
      </x:c>
      <x:c r="AA36" s="55" t="n">
        <x:v>3269</x:v>
      </x:c>
      <x:c r="AB36" s="55" t="n">
        <x:v>1341</x:v>
      </x:c>
      <x:c r="AC36" s="55" t="n">
        <x:v>8229</x:v>
      </x:c>
      <x:c r="AD36" s="55" t="n">
        <x:v>3111</x:v>
      </x:c>
      <x:c r="AE36" s="55" t="n">
        <x:v>10774</x:v>
      </x:c>
      <x:c r="AF36" s="55" t="n">
        <x:v>10664</x:v>
      </x:c>
      <x:c r="AG36" s="55" t="n">
        <x:v>110</x:v>
      </x:c>
      <x:c r="AH36" s="55" t="n">
        <x:v>481</x:v>
      </x:c>
      <x:c r="AI36" s="55" t="n">
        <x:v>10183</x:v>
      </x:c>
      <x:c r="AJ36" s="55" t="n">
        <x:v>305</x:v>
      </x:c>
      <x:c r="AK36" s="55" t="n">
        <x:v>1112</x:v>
      </x:c>
      <x:c r="AL36" s="55" t="n">
        <x:v>1709</x:v>
      </x:c>
      <x:c r="AM36" s="55" t="n">
        <x:v>4510</x:v>
      </x:c>
      <x:c r="AN36" s="55" t="n">
        <x:v>3028</x:v>
      </x:c>
      <x:c r="AO36" s="55" t="n">
        <x:v>0</x:v>
      </x:c>
      <x:c r="AP36" s="55" t="n">
        <x:v>2475</x:v>
      </x:c>
      <x:c r="AQ36" s="55" t="n">
        <x:v>996</x:v>
      </x:c>
    </x:row>
    <x:row r="37">
      <x:c r="A37" s="54" t="str">
        <x:v>T1_SHARED_CATCHMENT</x:v>
      </x:c>
      <x:c r="B37" s="54" t="n">
        <x:v>31</x:v>
      </x:c>
      <x:c r="C37" s="54" t="str">
        <x:v>NYC-V2-R01</x:v>
      </x:c>
      <x:c r="D37" s="54" t="str">
        <x:v>V2</x:v>
      </x:c>
      <x:c r="E37" s="54" t="str">
        <x:v>ADMITTED</x:v>
      </x:c>
      <x:c r="F37" s="55" t="n">
        <x:v>31840</x:v>
      </x:c>
      <x:c r="G37" s="55" t="n">
        <x:v>8532</x:v>
      </x:c>
      <x:c r="H37" s="55" t="n">
        <x:v>3263</x:v>
      </x:c>
      <x:c r="I37" s="55" t="n">
        <x:v>1078</x:v>
      </x:c>
      <x:c r="J37" s="55" t="n">
        <x:v>22</x:v>
      </x:c>
      <x:c r="K37" s="55" t="n">
        <x:v>30663</x:v>
      </x:c>
      <x:c r="L37" s="55" t="n">
        <x:v>5907</x:v>
      </x:c>
      <x:c r="M37" s="55" t="n">
        <x:v>1265</x:v>
      </x:c>
      <x:c r="N37" s="55" t="n">
        <x:v>2497</x:v>
      </x:c>
      <x:c r="O37" s="55" t="n">
        <x:v>2145</x:v>
      </x:c>
      <x:c r="P37" s="55" t="n">
        <x:v>188</x:v>
      </x:c>
      <x:c r="Q37" s="55" t="n">
        <x:v>2359</x:v>
      </x:c>
      <x:c r="R37" s="55" t="n">
        <x:v>1761</x:v>
      </x:c>
      <x:c r="S37" s="55" t="n">
        <x:v>2653</x:v>
      </x:c>
      <x:c r="T37" s="55" t="n">
        <x:v>1102</x:v>
      </x:c>
      <x:c r="U37" s="55" t="n">
        <x:v>1175</x:v>
      </x:c>
      <x:c r="V37" s="55" t="n">
        <x:v>10283</x:v>
      </x:c>
      <x:c r="W37" s="55" t="n">
        <x:v>7457</x:v>
      </x:c>
      <x:c r="X37" s="55" t="n">
        <x:v>2826</x:v>
      </x:c>
      <x:c r="Y37" s="55" t="n">
        <x:v>2231</x:v>
      </x:c>
      <x:c r="Z37" s="55" t="n">
        <x:v>3510</x:v>
      </x:c>
      <x:c r="AA37" s="55" t="n">
        <x:v>3263</x:v>
      </x:c>
      <x:c r="AB37" s="55" t="n">
        <x:v>1133</x:v>
      </x:c>
      <x:c r="AC37" s="55" t="n">
        <x:v>8051</x:v>
      </x:c>
      <x:c r="AD37" s="55" t="n">
        <x:v>2743</x:v>
      </x:c>
      <x:c r="AE37" s="55" t="n">
        <x:v>10291</x:v>
      </x:c>
      <x:c r="AF37" s="55" t="n">
        <x:v>10283</x:v>
      </x:c>
      <x:c r="AG37" s="55" t="n">
        <x:v>8</x:v>
      </x:c>
      <x:c r="AH37" s="55" t="n">
        <x:v>321</x:v>
      </x:c>
      <x:c r="AI37" s="55" t="n">
        <x:v>9962</x:v>
      </x:c>
      <x:c r="AJ37" s="55" t="n">
        <x:v>279</x:v>
      </x:c>
      <x:c r="AK37" s="55" t="n">
        <x:v>825</x:v>
      </x:c>
      <x:c r="AL37" s="55" t="n">
        <x:v>1902</x:v>
      </x:c>
      <x:c r="AM37" s="55" t="n">
        <x:v>4495</x:v>
      </x:c>
      <x:c r="AN37" s="55" t="n">
        <x:v>2782</x:v>
      </x:c>
      <x:c r="AO37" s="55" t="n">
        <x:v>0</x:v>
      </x:c>
      <x:c r="AP37" s="55" t="n">
        <x:v>2132</x:v>
      </x:c>
      <x:c r="AQ37" s="55" t="n">
        <x:v>864</x:v>
      </x:c>
    </x:row>
    <x:row r="38">
      <x:c r="A38" s="54" t="str">
        <x:v>T1_SHARED_CATCHMENT</x:v>
      </x:c>
      <x:c r="B38" s="54" t="n">
        <x:v>32</x:v>
      </x:c>
      <x:c r="C38" s="54" t="str">
        <x:v>NYC-V2-R01</x:v>
      </x:c>
      <x:c r="D38" s="54" t="str">
        <x:v>V2</x:v>
      </x:c>
      <x:c r="E38" s="54" t="str">
        <x:v>ADMITTED</x:v>
      </x:c>
      <x:c r="F38" s="55" t="n">
        <x:v>27738</x:v>
      </x:c>
      <x:c r="G38" s="55" t="n">
        <x:v>6715</x:v>
      </x:c>
      <x:c r="H38" s="55" t="n">
        <x:v>3549</x:v>
      </x:c>
      <x:c r="I38" s="55" t="n">
        <x:v>1430</x:v>
      </x:c>
      <x:c r="J38" s="55" t="n">
        <x:v>268</x:v>
      </x:c>
      <x:c r="K38" s="55" t="n">
        <x:v>27298</x:v>
      </x:c>
      <x:c r="L38" s="55" t="n">
        <x:v>3942</x:v>
      </x:c>
      <x:c r="M38" s="55" t="n">
        <x:v>608</x:v>
      </x:c>
      <x:c r="N38" s="55" t="n">
        <x:v>1611</x:v>
      </x:c>
      <x:c r="O38" s="55" t="n">
        <x:v>1723</x:v>
      </x:c>
      <x:c r="P38" s="55" t="n">
        <x:v>993</x:v>
      </x:c>
      <x:c r="Q38" s="55" t="n">
        <x:v>2106</x:v>
      </x:c>
      <x:c r="R38" s="55" t="n">
        <x:v>1868</x:v>
      </x:c>
      <x:c r="S38" s="55" t="n">
        <x:v>2098</x:v>
      </x:c>
      <x:c r="T38" s="55" t="n">
        <x:v>1205</x:v>
      </x:c>
      <x:c r="U38" s="55" t="n">
        <x:v>2589</x:v>
      </x:c>
      <x:c r="V38" s="55" t="n">
        <x:v>10293</x:v>
      </x:c>
      <x:c r="W38" s="55" t="n">
        <x:v>7416</x:v>
      </x:c>
      <x:c r="X38" s="55" t="n">
        <x:v>2877</x:v>
      </x:c>
      <x:c r="Y38" s="55" t="n">
        <x:v>2332</x:v>
      </x:c>
      <x:c r="Z38" s="55" t="n">
        <x:v>3708</x:v>
      </x:c>
      <x:c r="AA38" s="55" t="n">
        <x:v>3224</x:v>
      </x:c>
      <x:c r="AB38" s="55" t="n">
        <x:v>1268</x:v>
      </x:c>
      <x:c r="AC38" s="55" t="n">
        <x:v>8254</x:v>
      </x:c>
      <x:c r="AD38" s="55" t="n">
        <x:v>2440</x:v>
      </x:c>
      <x:c r="AE38" s="55" t="n">
        <x:v>10321</x:v>
      </x:c>
      <x:c r="AF38" s="55" t="n">
        <x:v>10293</x:v>
      </x:c>
      <x:c r="AG38" s="55" t="n">
        <x:v>28</x:v>
      </x:c>
      <x:c r="AH38" s="55" t="n">
        <x:v>586</x:v>
      </x:c>
      <x:c r="AI38" s="55" t="n">
        <x:v>9707</x:v>
      </x:c>
      <x:c r="AJ38" s="55" t="n">
        <x:v>465</x:v>
      </x:c>
      <x:c r="AK38" s="55" t="n">
        <x:v>1040</x:v>
      </x:c>
      <x:c r="AL38" s="55" t="n">
        <x:v>1466</x:v>
      </x:c>
      <x:c r="AM38" s="55" t="n">
        <x:v>4755</x:v>
      </x:c>
      <x:c r="AN38" s="55" t="n">
        <x:v>2567</x:v>
      </x:c>
      <x:c r="AO38" s="55" t="n">
        <x:v>0</x:v>
      </x:c>
      <x:c r="AP38" s="55" t="n">
        <x:v>2124</x:v>
      </x:c>
      <x:c r="AQ38" s="55" t="n">
        <x:v>976</x:v>
      </x:c>
    </x:row>
    <x:row r="39">
      <x:c r="A39" s="54" t="str">
        <x:v>T1_SHARED_CATCHMENT</x:v>
      </x:c>
      <x:c r="B39" s="54" t="n">
        <x:v>33</x:v>
      </x:c>
      <x:c r="C39" s="54" t="str">
        <x:v>NYC-V2-R01</x:v>
      </x:c>
      <x:c r="D39" s="54" t="str">
        <x:v>V2</x:v>
      </x:c>
      <x:c r="E39" s="54" t="str">
        <x:v>ADMITTED</x:v>
      </x:c>
      <x:c r="F39" s="55" t="n">
        <x:v>31700</x:v>
      </x:c>
      <x:c r="G39" s="55" t="n">
        <x:v>7979</x:v>
      </x:c>
      <x:c r="H39" s="55" t="n">
        <x:v>3458</x:v>
      </x:c>
      <x:c r="I39" s="55" t="n">
        <x:v>1223</x:v>
      </x:c>
      <x:c r="J39" s="55" t="n">
        <x:v>18</x:v>
      </x:c>
      <x:c r="K39" s="55" t="n">
        <x:v>27555</x:v>
      </x:c>
      <x:c r="L39" s="55" t="n">
        <x:v>5203</x:v>
      </x:c>
      <x:c r="M39" s="55" t="n">
        <x:v>1086</x:v>
      </x:c>
      <x:c r="N39" s="55" t="n">
        <x:v>2646</x:v>
      </x:c>
      <x:c r="O39" s="55" t="n">
        <x:v>1471</x:v>
      </x:c>
      <x:c r="P39" s="55" t="n">
        <x:v>891</x:v>
      </x:c>
      <x:c r="Q39" s="55" t="n">
        <x:v>2692</x:v>
      </x:c>
      <x:c r="R39" s="55" t="n">
        <x:v>2023</x:v>
      </x:c>
      <x:c r="S39" s="55" t="n">
        <x:v>2314</x:v>
      </x:c>
      <x:c r="T39" s="55" t="n">
        <x:v>1622</x:v>
      </x:c>
      <x:c r="U39" s="55" t="n">
        <x:v>1637</x:v>
      </x:c>
      <x:c r="V39" s="55" t="n">
        <x:v>10486</x:v>
      </x:c>
      <x:c r="W39" s="55" t="n">
        <x:v>7485</x:v>
      </x:c>
      <x:c r="X39" s="55" t="n">
        <x:v>3001</x:v>
      </x:c>
      <x:c r="Y39" s="55" t="n">
        <x:v>2581</x:v>
      </x:c>
      <x:c r="Z39" s="55" t="n">
        <x:v>4069</x:v>
      </x:c>
      <x:c r="AA39" s="55" t="n">
        <x:v>2868</x:v>
      </x:c>
      <x:c r="AB39" s="55" t="n">
        <x:v>884</x:v>
      </x:c>
      <x:c r="AC39" s="55" t="n">
        <x:v>7568</x:v>
      </x:c>
      <x:c r="AD39" s="55" t="n">
        <x:v>2689</x:v>
      </x:c>
      <x:c r="AE39" s="55" t="n">
        <x:v>10540</x:v>
      </x:c>
      <x:c r="AF39" s="55" t="n">
        <x:v>10486</x:v>
      </x:c>
      <x:c r="AG39" s="55" t="n">
        <x:v>54</x:v>
      </x:c>
      <x:c r="AH39" s="55" t="n">
        <x:v>424</x:v>
      </x:c>
      <x:c r="AI39" s="55" t="n">
        <x:v>10062</x:v>
      </x:c>
      <x:c r="AJ39" s="55" t="n">
        <x:v>419</x:v>
      </x:c>
      <x:c r="AK39" s="55" t="n">
        <x:v>932</x:v>
      </x:c>
      <x:c r="AL39" s="55" t="n">
        <x:v>1652</x:v>
      </x:c>
      <x:c r="AM39" s="55" t="n">
        <x:v>4831</x:v>
      </x:c>
      <x:c r="AN39" s="55" t="n">
        <x:v>2559</x:v>
      </x:c>
      <x:c r="AO39" s="55" t="n">
        <x:v>93</x:v>
      </x:c>
      <x:c r="AP39" s="55" t="n">
        <x:v>2344</x:v>
      </x:c>
      <x:c r="AQ39" s="55" t="n">
        <x:v>952</x:v>
      </x:c>
    </x:row>
    <x:row r="40">
      <x:c r="A40" s="54" t="str">
        <x:v>T1_SHARED_CATCHMENT</x:v>
      </x:c>
      <x:c r="B40" s="54" t="n">
        <x:v>34</x:v>
      </x:c>
      <x:c r="C40" s="54" t="str">
        <x:v>NYC-V2-R01</x:v>
      </x:c>
      <x:c r="D40" s="54" t="str">
        <x:v>V2</x:v>
      </x:c>
      <x:c r="E40" s="54" t="str">
        <x:v>ADMITTED</x:v>
      </x:c>
      <x:c r="F40" s="55" t="n">
        <x:v>29506</x:v>
      </x:c>
      <x:c r="G40" s="55" t="n">
        <x:v>7221</x:v>
      </x:c>
      <x:c r="H40" s="55" t="n">
        <x:v>2784</x:v>
      </x:c>
      <x:c r="I40" s="55" t="n">
        <x:v>1248</x:v>
      </x:c>
      <x:c r="J40" s="55" t="n">
        <x:v>146</x:v>
      </x:c>
      <x:c r="K40" s="55" t="n">
        <x:v>29506</x:v>
      </x:c>
      <x:c r="L40" s="55" t="n">
        <x:v>4517</x:v>
      </x:c>
      <x:c r="M40" s="55" t="n">
        <x:v>467</x:v>
      </x:c>
      <x:c r="N40" s="55" t="n">
        <x:v>2121</x:v>
      </x:c>
      <x:c r="O40" s="55" t="n">
        <x:v>1929</x:v>
      </x:c>
      <x:c r="P40" s="55" t="n">
        <x:v>610</x:v>
      </x:c>
      <x:c r="Q40" s="55" t="n">
        <x:v>2580</x:v>
      </x:c>
      <x:c r="R40" s="55" t="n">
        <x:v>1902</x:v>
      </x:c>
      <x:c r="S40" s="55" t="n">
        <x:v>2814</x:v>
      </x:c>
      <x:c r="T40" s="55" t="n">
        <x:v>1487</x:v>
      </x:c>
      <x:c r="U40" s="55" t="n">
        <x:v>1763</x:v>
      </x:c>
      <x:c r="V40" s="55" t="n">
        <x:v>10577</x:v>
      </x:c>
      <x:c r="W40" s="55" t="n">
        <x:v>7742</x:v>
      </x:c>
      <x:c r="X40" s="55" t="n">
        <x:v>2835</x:v>
      </x:c>
      <x:c r="Y40" s="55" t="n">
        <x:v>2429</x:v>
      </x:c>
      <x:c r="Z40" s="55" t="n">
        <x:v>4159</x:v>
      </x:c>
      <x:c r="AA40" s="55" t="n">
        <x:v>2753</x:v>
      </x:c>
      <x:c r="AB40" s="55" t="n">
        <x:v>1017</x:v>
      </x:c>
      <x:c r="AC40" s="55" t="n">
        <x:v>7548</x:v>
      </x:c>
      <x:c r="AD40" s="55" t="n">
        <x:v>2661</x:v>
      </x:c>
      <x:c r="AE40" s="55" t="n">
        <x:v>10577</x:v>
      </x:c>
      <x:c r="AF40" s="55" t="n">
        <x:v>10577</x:v>
      </x:c>
      <x:c r="AG40" s="55" t="n">
        <x:v>0</x:v>
      </x:c>
      <x:c r="AH40" s="55" t="n">
        <x:v>474</x:v>
      </x:c>
      <x:c r="AI40" s="55" t="n">
        <x:v>10103</x:v>
      </x:c>
      <x:c r="AJ40" s="55" t="n">
        <x:v>402</x:v>
      </x:c>
      <x:c r="AK40" s="55" t="n">
        <x:v>955</x:v>
      </x:c>
      <x:c r="AL40" s="55" t="n">
        <x:v>1210</x:v>
      </x:c>
      <x:c r="AM40" s="55" t="n">
        <x:v>5061</x:v>
      </x:c>
      <x:c r="AN40" s="55" t="n">
        <x:v>2921</x:v>
      </x:c>
      <x:c r="AO40" s="55" t="n">
        <x:v>28</x:v>
      </x:c>
      <x:c r="AP40" s="55" t="n">
        <x:v>2309</x:v>
      </x:c>
      <x:c r="AQ40" s="55" t="n">
        <x:v>917</x:v>
      </x:c>
    </x:row>
    <x:row r="41">
      <x:c r="A41" s="54" t="str">
        <x:v>T1_SHARED_CATCHMENT</x:v>
      </x:c>
      <x:c r="B41" s="54" t="n">
        <x:v>35</x:v>
      </x:c>
      <x:c r="C41" s="54" t="str">
        <x:v>NYC-V2-R01</x:v>
      </x:c>
      <x:c r="D41" s="54" t="str">
        <x:v>V2</x:v>
      </x:c>
      <x:c r="E41" s="54" t="str">
        <x:v>ADMITTED</x:v>
      </x:c>
      <x:c r="F41" s="55" t="n">
        <x:v>31066</x:v>
      </x:c>
      <x:c r="G41" s="55" t="n">
        <x:v>8686</x:v>
      </x:c>
      <x:c r="H41" s="55" t="n">
        <x:v>3025</x:v>
      </x:c>
      <x:c r="I41" s="55" t="n">
        <x:v>1108</x:v>
      </x:c>
      <x:c r="J41" s="55" t="n">
        <x:v>193</x:v>
      </x:c>
      <x:c r="K41" s="55" t="n">
        <x:v>28220</x:v>
      </x:c>
      <x:c r="L41" s="55" t="n">
        <x:v>5267</x:v>
      </x:c>
      <x:c r="M41" s="55" t="n">
        <x:v>1785</x:v>
      </x:c>
      <x:c r="N41" s="55" t="n">
        <x:v>2033</x:v>
      </x:c>
      <x:c r="O41" s="55" t="n">
        <x:v>1449</x:v>
      </x:c>
      <x:c r="P41" s="55" t="n">
        <x:v>422</x:v>
      </x:c>
      <x:c r="Q41" s="55" t="n">
        <x:v>3249</x:v>
      </x:c>
      <x:c r="R41" s="55" t="n">
        <x:v>1732</x:v>
      </x:c>
      <x:c r="S41" s="55" t="n">
        <x:v>2664</x:v>
      </x:c>
      <x:c r="T41" s="55" t="n">
        <x:v>914</x:v>
      </x:c>
      <x:c r="U41" s="55" t="n">
        <x:v>1852</x:v>
      </x:c>
      <x:c r="V41" s="55" t="n">
        <x:v>10163</x:v>
      </x:c>
      <x:c r="W41" s="55" t="n">
        <x:v>6745</x:v>
      </x:c>
      <x:c r="X41" s="55" t="n">
        <x:v>3418</x:v>
      </x:c>
      <x:c r="Y41" s="55" t="n">
        <x:v>2943</x:v>
      </x:c>
      <x:c r="Z41" s="55" t="n">
        <x:v>3257</x:v>
      </x:c>
      <x:c r="AA41" s="55" t="n">
        <x:v>3025</x:v>
      </x:c>
      <x:c r="AB41" s="55" t="n">
        <x:v>736</x:v>
      </x:c>
      <x:c r="AC41" s="55" t="n">
        <x:v>7669</x:v>
      </x:c>
      <x:c r="AD41" s="55" t="n">
        <x:v>3316</x:v>
      </x:c>
      <x:c r="AE41" s="55" t="n">
        <x:v>10252</x:v>
      </x:c>
      <x:c r="AF41" s="55" t="n">
        <x:v>10163</x:v>
      </x:c>
      <x:c r="AG41" s="55" t="n">
        <x:v>89</x:v>
      </x:c>
      <x:c r="AH41" s="55" t="n">
        <x:v>559</x:v>
      </x:c>
      <x:c r="AI41" s="55" t="n">
        <x:v>9604</x:v>
      </x:c>
      <x:c r="AJ41" s="55" t="n">
        <x:v>74</x:v>
      </x:c>
      <x:c r="AK41" s="55" t="n">
        <x:v>670</x:v>
      </x:c>
      <x:c r="AL41" s="55" t="n">
        <x:v>1647</x:v>
      </x:c>
      <x:c r="AM41" s="55" t="n">
        <x:v>4993</x:v>
      </x:c>
      <x:c r="AN41" s="55" t="n">
        <x:v>2779</x:v>
      </x:c>
      <x:c r="AO41" s="55" t="n">
        <x:v>0</x:v>
      </x:c>
      <x:c r="AP41" s="55" t="n">
        <x:v>2181</x:v>
      </x:c>
      <x:c r="AQ41" s="55" t="n">
        <x:v>950</x:v>
      </x:c>
    </x:row>
    <x:row r="42">
      <x:c r="A42" s="54" t="str">
        <x:v>T1_SHARED_CATCHMENT</x:v>
      </x:c>
      <x:c r="B42" s="54" t="n">
        <x:v>36</x:v>
      </x:c>
      <x:c r="C42" s="54" t="str">
        <x:v>NYC-V2-R01</x:v>
      </x:c>
      <x:c r="D42" s="54" t="str">
        <x:v>V2</x:v>
      </x:c>
      <x:c r="E42" s="54" t="str">
        <x:v>ADMITTED</x:v>
      </x:c>
      <x:c r="F42" s="55" t="n">
        <x:v>31094</x:v>
      </x:c>
      <x:c r="G42" s="55" t="n">
        <x:v>7429</x:v>
      </x:c>
      <x:c r="H42" s="55" t="n">
        <x:v>3641</x:v>
      </x:c>
      <x:c r="I42" s="55" t="n">
        <x:v>1103</x:v>
      </x:c>
      <x:c r="J42" s="55" t="n">
        <x:v>141</x:v>
      </x:c>
      <x:c r="K42" s="55" t="n">
        <x:v>30986</x:v>
      </x:c>
      <x:c r="L42" s="55" t="n">
        <x:v>4968</x:v>
      </x:c>
      <x:c r="M42" s="55" t="n">
        <x:v>573</x:v>
      </x:c>
      <x:c r="N42" s="55" t="n">
        <x:v>2620</x:v>
      </x:c>
      <x:c r="O42" s="55" t="n">
        <x:v>1775</x:v>
      </x:c>
      <x:c r="P42" s="55" t="n">
        <x:v>640</x:v>
      </x:c>
      <x:c r="Q42" s="55" t="n">
        <x:v>2457</x:v>
      </x:c>
      <x:c r="R42" s="55" t="n">
        <x:v>1661</x:v>
      </x:c>
      <x:c r="S42" s="55" t="n">
        <x:v>2686</x:v>
      </x:c>
      <x:c r="T42" s="55" t="n">
        <x:v>804</x:v>
      </x:c>
      <x:c r="U42" s="55" t="n">
        <x:v>1853</x:v>
      </x:c>
      <x:c r="V42" s="55" t="n">
        <x:v>10628</x:v>
      </x:c>
      <x:c r="W42" s="55" t="n">
        <x:v>7395</x:v>
      </x:c>
      <x:c r="X42" s="55" t="n">
        <x:v>3233</x:v>
      </x:c>
      <x:c r="Y42" s="55" t="n">
        <x:v>2706</x:v>
      </x:c>
      <x:c r="Z42" s="55" t="n">
        <x:v>3518</x:v>
      </x:c>
      <x:c r="AA42" s="55" t="n">
        <x:v>3641</x:v>
      </x:c>
      <x:c r="AB42" s="55" t="n">
        <x:v>1170</x:v>
      </x:c>
      <x:c r="AC42" s="55" t="n">
        <x:v>8646</x:v>
      </x:c>
      <x:c r="AD42" s="55" t="n">
        <x:v>3218</x:v>
      </x:c>
      <x:c r="AE42" s="55" t="n">
        <x:v>10760</x:v>
      </x:c>
      <x:c r="AF42" s="55" t="n">
        <x:v>10628</x:v>
      </x:c>
      <x:c r="AG42" s="55" t="n">
        <x:v>132</x:v>
      </x:c>
      <x:c r="AH42" s="55" t="n">
        <x:v>627</x:v>
      </x:c>
      <x:c r="AI42" s="55" t="n">
        <x:v>10001</x:v>
      </x:c>
      <x:c r="AJ42" s="55" t="n">
        <x:v>390</x:v>
      </x:c>
      <x:c r="AK42" s="55" t="n">
        <x:v>1004</x:v>
      </x:c>
      <x:c r="AL42" s="55" t="n">
        <x:v>1975</x:v>
      </x:c>
      <x:c r="AM42" s="55" t="n">
        <x:v>4818</x:v>
      </x:c>
      <x:c r="AN42" s="55" t="n">
        <x:v>2406</x:v>
      </x:c>
      <x:c r="AO42" s="55" t="n">
        <x:v>35</x:v>
      </x:c>
      <x:c r="AP42" s="55" t="n">
        <x:v>2252</x:v>
      </x:c>
      <x:c r="AQ42" s="55" t="n">
        <x:v>963</x:v>
      </x:c>
    </x:row>
    <x:row r="43">
      <x:c r="A43" s="54" t="str">
        <x:v>T1_SHARED_CATCHMENT</x:v>
      </x:c>
      <x:c r="B43" s="54" t="n">
        <x:v>37</x:v>
      </x:c>
      <x:c r="C43" s="54" t="str">
        <x:v>NYC-V2-R01</x:v>
      </x:c>
      <x:c r="D43" s="54" t="str">
        <x:v>V2</x:v>
      </x:c>
      <x:c r="E43" s="54" t="str">
        <x:v>ADMITTED</x:v>
      </x:c>
      <x:c r="F43" s="55" t="n">
        <x:v>30771</x:v>
      </x:c>
      <x:c r="G43" s="55" t="n">
        <x:v>7845</x:v>
      </x:c>
      <x:c r="H43" s="55" t="n">
        <x:v>2980</x:v>
      </x:c>
      <x:c r="I43" s="55" t="n">
        <x:v>1120</x:v>
      </x:c>
      <x:c r="J43" s="55" t="n">
        <x:v>40</x:v>
      </x:c>
      <x:c r="K43" s="55" t="n">
        <x:v>30771</x:v>
      </x:c>
      <x:c r="L43" s="55" t="n">
        <x:v>5595</x:v>
      </x:c>
      <x:c r="M43" s="55" t="n">
        <x:v>1531</x:v>
      </x:c>
      <x:c r="N43" s="55" t="n">
        <x:v>2380</x:v>
      </x:c>
      <x:c r="O43" s="55" t="n">
        <x:v>1684</x:v>
      </x:c>
      <x:c r="P43" s="55" t="n">
        <x:v>746</x:v>
      </x:c>
      <x:c r="Q43" s="55" t="n">
        <x:v>2147</x:v>
      </x:c>
      <x:c r="R43" s="55" t="n">
        <x:v>1515</x:v>
      </x:c>
      <x:c r="S43" s="55" t="n">
        <x:v>2915</x:v>
      </x:c>
      <x:c r="T43" s="55" t="n">
        <x:v>1383</x:v>
      </x:c>
      <x:c r="U43" s="55" t="n">
        <x:v>2019</x:v>
      </x:c>
      <x:c r="V43" s="55" t="n">
        <x:v>10060</x:v>
      </x:c>
      <x:c r="W43" s="55" t="n">
        <x:v>7381</x:v>
      </x:c>
      <x:c r="X43" s="55" t="n">
        <x:v>2679</x:v>
      </x:c>
      <x:c r="Y43" s="55" t="n">
        <x:v>2456</x:v>
      </x:c>
      <x:c r="Z43" s="55" t="n">
        <x:v>3520</x:v>
      </x:c>
      <x:c r="AA43" s="55" t="n">
        <x:v>2617</x:v>
      </x:c>
      <x:c r="AB43" s="55" t="n">
        <x:v>740</x:v>
      </x:c>
      <x:c r="AC43" s="55" t="n">
        <x:v>7431</x:v>
      </x:c>
      <x:c r="AD43" s="55" t="n">
        <x:v>2563</x:v>
      </x:c>
      <x:c r="AE43" s="55" t="n">
        <x:v>10110</x:v>
      </x:c>
      <x:c r="AF43" s="55" t="n">
        <x:v>10060</x:v>
      </x:c>
      <x:c r="AG43" s="55" t="n">
        <x:v>50</x:v>
      </x:c>
      <x:c r="AH43" s="55" t="n">
        <x:v>477</x:v>
      </x:c>
      <x:c r="AI43" s="55" t="n">
        <x:v>9583</x:v>
      </x:c>
      <x:c r="AJ43" s="55" t="n">
        <x:v>258</x:v>
      </x:c>
      <x:c r="AK43" s="55" t="n">
        <x:v>1252</x:v>
      </x:c>
      <x:c r="AL43" s="55" t="n">
        <x:v>1236</x:v>
      </x:c>
      <x:c r="AM43" s="55" t="n">
        <x:v>5056</x:v>
      </x:c>
      <x:c r="AN43" s="55" t="n">
        <x:v>2258</x:v>
      </x:c>
      <x:c r="AO43" s="55" t="n">
        <x:v>0</x:v>
      </x:c>
      <x:c r="AP43" s="55" t="n">
        <x:v>2669</x:v>
      </x:c>
      <x:c r="AQ43" s="55" t="n">
        <x:v>953</x:v>
      </x:c>
    </x:row>
    <x:row r="44">
      <x:c r="A44" s="54" t="str">
        <x:v>T1_SHARED_CATCHMENT</x:v>
      </x:c>
      <x:c r="B44" s="54" t="n">
        <x:v>38</x:v>
      </x:c>
      <x:c r="C44" s="54" t="str">
        <x:v>NYC-V2-R01</x:v>
      </x:c>
      <x:c r="D44" s="54" t="str">
        <x:v>V2</x:v>
      </x:c>
      <x:c r="E44" s="54" t="str">
        <x:v>ADMITTED</x:v>
      </x:c>
      <x:c r="F44" s="55" t="n">
        <x:v>30857</x:v>
      </x:c>
      <x:c r="G44" s="55" t="n">
        <x:v>7155</x:v>
      </x:c>
      <x:c r="H44" s="55" t="n">
        <x:v>3143</x:v>
      </x:c>
      <x:c r="I44" s="55" t="n">
        <x:v>982</x:v>
      </x:c>
      <x:c r="J44" s="55" t="n">
        <x:v>325</x:v>
      </x:c>
      <x:c r="K44" s="55" t="n">
        <x:v>30596</x:v>
      </x:c>
      <x:c r="L44" s="55" t="n">
        <x:v>5905</x:v>
      </x:c>
      <x:c r="M44" s="55" t="n">
        <x:v>2087</x:v>
      </x:c>
      <x:c r="N44" s="55" t="n">
        <x:v>2286</x:v>
      </x:c>
      <x:c r="O44" s="55" t="n">
        <x:v>1532</x:v>
      </x:c>
      <x:c r="P44" s="55" t="n">
        <x:v>807</x:v>
      </x:c>
      <x:c r="Q44" s="55" t="n">
        <x:v>2767</x:v>
      </x:c>
      <x:c r="R44" s="55" t="n">
        <x:v>1723</x:v>
      </x:c>
      <x:c r="S44" s="55" t="n">
        <x:v>3255</x:v>
      </x:c>
      <x:c r="T44" s="55" t="n">
        <x:v>1546</x:v>
      </x:c>
      <x:c r="U44" s="55" t="n">
        <x:v>2763</x:v>
      </x:c>
      <x:c r="V44" s="55" t="n">
        <x:v>10689</x:v>
      </x:c>
      <x:c r="W44" s="55" t="n">
        <x:v>7818</x:v>
      </x:c>
      <x:c r="X44" s="55" t="n">
        <x:v>2871</x:v>
      </x:c>
      <x:c r="Y44" s="55" t="n">
        <x:v>2341</x:v>
      </x:c>
      <x:c r="Z44" s="55" t="n">
        <x:v>3635</x:v>
      </x:c>
      <x:c r="AA44" s="55" t="n">
        <x:v>3057</x:v>
      </x:c>
      <x:c r="AB44" s="55" t="n">
        <x:v>913</x:v>
      </x:c>
      <x:c r="AC44" s="55" t="n">
        <x:v>7702</x:v>
      </x:c>
      <x:c r="AD44" s="55" t="n">
        <x:v>2958</x:v>
      </x:c>
      <x:c r="AE44" s="55" t="n">
        <x:v>10738</x:v>
      </x:c>
      <x:c r="AF44" s="55" t="n">
        <x:v>10689</x:v>
      </x:c>
      <x:c r="AG44" s="55" t="n">
        <x:v>49</x:v>
      </x:c>
      <x:c r="AH44" s="55" t="n">
        <x:v>543</x:v>
      </x:c>
      <x:c r="AI44" s="55" t="n">
        <x:v>10146</x:v>
      </x:c>
      <x:c r="AJ44" s="55" t="n">
        <x:v>174</x:v>
      </x:c>
      <x:c r="AK44" s="55" t="n">
        <x:v>1146</x:v>
      </x:c>
      <x:c r="AL44" s="55" t="n">
        <x:v>1823</x:v>
      </x:c>
      <x:c r="AM44" s="55" t="n">
        <x:v>5451</x:v>
      </x:c>
      <x:c r="AN44" s="55" t="n">
        <x:v>2015</x:v>
      </x:c>
      <x:c r="AO44" s="55" t="n">
        <x:v>80</x:v>
      </x:c>
      <x:c r="AP44" s="55" t="n">
        <x:v>2391</x:v>
      </x:c>
      <x:c r="AQ44" s="55" t="n">
        <x:v>948</x:v>
      </x:c>
    </x:row>
    <x:row r="45">
      <x:c r="A45" s="54" t="str">
        <x:v>T1_SHARED_CATCHMENT</x:v>
      </x:c>
      <x:c r="B45" s="54" t="n">
        <x:v>39</x:v>
      </x:c>
      <x:c r="C45" s="54" t="str">
        <x:v>NYC-V2-R01</x:v>
      </x:c>
      <x:c r="D45" s="54" t="str">
        <x:v>V2</x:v>
      </x:c>
      <x:c r="E45" s="54" t="str">
        <x:v>ADMITTED</x:v>
      </x:c>
      <x:c r="F45" s="55" t="n">
        <x:v>30164</x:v>
      </x:c>
      <x:c r="G45" s="55" t="n">
        <x:v>6367</x:v>
      </x:c>
      <x:c r="H45" s="55" t="n">
        <x:v>3546</x:v>
      </x:c>
      <x:c r="I45" s="55" t="n">
        <x:v>1705</x:v>
      </x:c>
      <x:c r="J45" s="55" t="n">
        <x:v>406</x:v>
      </x:c>
      <x:c r="K45" s="55" t="n">
        <x:v>30164</x:v>
      </x:c>
      <x:c r="L45" s="55" t="n">
        <x:v>5855</x:v>
      </x:c>
      <x:c r="M45" s="55" t="n">
        <x:v>1183</x:v>
      </x:c>
      <x:c r="N45" s="55" t="n">
        <x:v>2729</x:v>
      </x:c>
      <x:c r="O45" s="55" t="n">
        <x:v>1943</x:v>
      </x:c>
      <x:c r="P45" s="55" t="n">
        <x:v>851</x:v>
      </x:c>
      <x:c r="Q45" s="55" t="n">
        <x:v>2536</x:v>
      </x:c>
      <x:c r="R45" s="55" t="n">
        <x:v>2075</x:v>
      </x:c>
      <x:c r="S45" s="55" t="n">
        <x:v>2146</x:v>
      </x:c>
      <x:c r="T45" s="55" t="n">
        <x:v>1441</x:v>
      </x:c>
      <x:c r="U45" s="55" t="n">
        <x:v>1880</x:v>
      </x:c>
      <x:c r="V45" s="55" t="n">
        <x:v>10300</x:v>
      </x:c>
      <x:c r="W45" s="55" t="n">
        <x:v>6897</x:v>
      </x:c>
      <x:c r="X45" s="55" t="n">
        <x:v>3403</x:v>
      </x:c>
      <x:c r="Y45" s="55" t="n">
        <x:v>3026</x:v>
      </x:c>
      <x:c r="Z45" s="55" t="n">
        <x:v>3236</x:v>
      </x:c>
      <x:c r="AA45" s="55" t="n">
        <x:v>3398</x:v>
      </x:c>
      <x:c r="AB45" s="55" t="n">
        <x:v>1229</x:v>
      </x:c>
      <x:c r="AC45" s="55" t="n">
        <x:v>8070</x:v>
      </x:c>
      <x:c r="AD45" s="55" t="n">
        <x:v>2613</x:v>
      </x:c>
      <x:c r="AE45" s="55" t="n">
        <x:v>10395</x:v>
      </x:c>
      <x:c r="AF45" s="55" t="n">
        <x:v>10300</x:v>
      </x:c>
      <x:c r="AG45" s="55" t="n">
        <x:v>95</x:v>
      </x:c>
      <x:c r="AH45" s="55" t="n">
        <x:v>254</x:v>
      </x:c>
      <x:c r="AI45" s="55" t="n">
        <x:v>10046</x:v>
      </x:c>
      <x:c r="AJ45" s="55" t="n">
        <x:v>215</x:v>
      </x:c>
      <x:c r="AK45" s="55" t="n">
        <x:v>1180</x:v>
      </x:c>
      <x:c r="AL45" s="55" t="n">
        <x:v>1201</x:v>
      </x:c>
      <x:c r="AM45" s="55" t="n">
        <x:v>4714</x:v>
      </x:c>
      <x:c r="AN45" s="55" t="n">
        <x:v>2938</x:v>
      </x:c>
      <x:c r="AO45" s="55" t="n">
        <x:v>52</x:v>
      </x:c>
      <x:c r="AP45" s="55" t="n">
        <x:v>2852</x:v>
      </x:c>
      <x:c r="AQ45" s="55" t="n">
        <x:v>933</x:v>
      </x:c>
    </x:row>
    <x:row r="46">
      <x:c r="A46" s="54" t="str">
        <x:v>T1_SHARED_CATCHMENT</x:v>
      </x:c>
      <x:c r="B46" s="54" t="n">
        <x:v>40</x:v>
      </x:c>
      <x:c r="C46" s="54" t="str">
        <x:v>NYC-V2-R01</x:v>
      </x:c>
      <x:c r="D46" s="54" t="str">
        <x:v>V2</x:v>
      </x:c>
      <x:c r="E46" s="54" t="str">
        <x:v>ADMITTED</x:v>
      </x:c>
      <x:c r="F46" s="55" t="n">
        <x:v>30469</x:v>
      </x:c>
      <x:c r="G46" s="55" t="n">
        <x:v>6628</x:v>
      </x:c>
      <x:c r="H46" s="55" t="n">
        <x:v>2778</x:v>
      </x:c>
      <x:c r="I46" s="55" t="n">
        <x:v>1227</x:v>
      </x:c>
      <x:c r="J46" s="55" t="n">
        <x:v>109</x:v>
      </x:c>
      <x:c r="K46" s="55" t="n">
        <x:v>29540</x:v>
      </x:c>
      <x:c r="L46" s="55" t="n">
        <x:v>4564</x:v>
      </x:c>
      <x:c r="M46" s="55" t="n">
        <x:v>1101</x:v>
      </x:c>
      <x:c r="N46" s="55" t="n">
        <x:v>2490</x:v>
      </x:c>
      <x:c r="O46" s="55" t="n">
        <x:v>973</x:v>
      </x:c>
      <x:c r="P46" s="55" t="n">
        <x:v>701</x:v>
      </x:c>
      <x:c r="Q46" s="55" t="n">
        <x:v>2226</x:v>
      </x:c>
      <x:c r="R46" s="55" t="n">
        <x:v>1284</x:v>
      </x:c>
      <x:c r="S46" s="55" t="n">
        <x:v>2433</x:v>
      </x:c>
      <x:c r="T46" s="55" t="n">
        <x:v>1034</x:v>
      </x:c>
      <x:c r="U46" s="55" t="n">
        <x:v>1220</x:v>
      </x:c>
      <x:c r="V46" s="55" t="n">
        <x:v>9364</x:v>
      </x:c>
      <x:c r="W46" s="55" t="n">
        <x:v>6610</x:v>
      </x:c>
      <x:c r="X46" s="55" t="n">
        <x:v>2754</x:v>
      </x:c>
      <x:c r="Y46" s="55" t="n">
        <x:v>2454</x:v>
      </x:c>
      <x:c r="Z46" s="55" t="n">
        <x:v>3525</x:v>
      </x:c>
      <x:c r="AA46" s="55" t="n">
        <x:v>2743</x:v>
      </x:c>
      <x:c r="AB46" s="55" t="n">
        <x:v>775</x:v>
      </x:c>
      <x:c r="AC46" s="55" t="n">
        <x:v>7943</x:v>
      </x:c>
      <x:c r="AD46" s="55" t="n">
        <x:v>2350</x:v>
      </x:c>
      <x:c r="AE46" s="55" t="n">
        <x:v>9444</x:v>
      </x:c>
      <x:c r="AF46" s="55" t="n">
        <x:v>9364</x:v>
      </x:c>
      <x:c r="AG46" s="55" t="n">
        <x:v>80</x:v>
      </x:c>
      <x:c r="AH46" s="55" t="n">
        <x:v>219</x:v>
      </x:c>
      <x:c r="AI46" s="55" t="n">
        <x:v>9145</x:v>
      </x:c>
      <x:c r="AJ46" s="55" t="n">
        <x:v>152</x:v>
      </x:c>
      <x:c r="AK46" s="55" t="n">
        <x:v>467</x:v>
      </x:c>
      <x:c r="AL46" s="55" t="n">
        <x:v>1703</x:v>
      </x:c>
      <x:c r="AM46" s="55" t="n">
        <x:v>4559</x:v>
      </x:c>
      <x:c r="AN46" s="55" t="n">
        <x:v>2483</x:v>
      </x:c>
      <x:c r="AO46" s="55" t="n">
        <x:v>0</x:v>
      </x:c>
      <x:c r="AP46" s="55" t="n">
        <x:v>2519</x:v>
      </x:c>
      <x:c r="AQ46" s="55" t="n">
        <x:v>943</x:v>
      </x:c>
    </x:row>
    <x:row r="47">
      <x:c r="A47" s="54" t="str">
        <x:v>T1_SHARED_CATCHMENT</x:v>
      </x:c>
      <x:c r="B47" s="54" t="n">
        <x:v>41</x:v>
      </x:c>
      <x:c r="C47" s="54" t="str">
        <x:v>NYC-V2-R01</x:v>
      </x:c>
      <x:c r="D47" s="54" t="str">
        <x:v>V2</x:v>
      </x:c>
      <x:c r="E47" s="54" t="str">
        <x:v>ADMITTED</x:v>
      </x:c>
      <x:c r="F47" s="55" t="n">
        <x:v>32158</x:v>
      </x:c>
      <x:c r="G47" s="55" t="n">
        <x:v>7756</x:v>
      </x:c>
      <x:c r="H47" s="55" t="n">
        <x:v>3190</x:v>
      </x:c>
      <x:c r="I47" s="55" t="n">
        <x:v>1282</x:v>
      </x:c>
      <x:c r="J47" s="55" t="n">
        <x:v>116</x:v>
      </x:c>
      <x:c r="K47" s="55" t="n">
        <x:v>32158</x:v>
      </x:c>
      <x:c r="L47" s="55" t="n">
        <x:v>5960</x:v>
      </x:c>
      <x:c r="M47" s="55" t="n">
        <x:v>1723</x:v>
      </x:c>
      <x:c r="N47" s="55" t="n">
        <x:v>2811</x:v>
      </x:c>
      <x:c r="O47" s="55" t="n">
        <x:v>1426</x:v>
      </x:c>
      <x:c r="P47" s="55" t="n">
        <x:v>1014</x:v>
      </x:c>
      <x:c r="Q47" s="55" t="n">
        <x:v>2373</x:v>
      </x:c>
      <x:c r="R47" s="55" t="n">
        <x:v>1674</x:v>
      </x:c>
      <x:c r="S47" s="55" t="n">
        <x:v>3445</x:v>
      </x:c>
      <x:c r="T47" s="55" t="n">
        <x:v>1389</x:v>
      </x:c>
      <x:c r="U47" s="55" t="n">
        <x:v>2198</x:v>
      </x:c>
      <x:c r="V47" s="55" t="n">
        <x:v>10783</x:v>
      </x:c>
      <x:c r="W47" s="55" t="n">
        <x:v>7230</x:v>
      </x:c>
      <x:c r="X47" s="55" t="n">
        <x:v>3553</x:v>
      </x:c>
      <x:c r="Y47" s="55" t="n">
        <x:v>2962</x:v>
      </x:c>
      <x:c r="Z47" s="55" t="n">
        <x:v>3613</x:v>
      </x:c>
      <x:c r="AA47" s="55" t="n">
        <x:v>3152</x:v>
      </x:c>
      <x:c r="AB47" s="55" t="n">
        <x:v>1230</x:v>
      </x:c>
      <x:c r="AC47" s="55" t="n">
        <x:v>7809</x:v>
      </x:c>
      <x:c r="AD47" s="55" t="n">
        <x:v>3274</x:v>
      </x:c>
      <x:c r="AE47" s="55" t="n">
        <x:v>10885</x:v>
      </x:c>
      <x:c r="AF47" s="55" t="n">
        <x:v>10783</x:v>
      </x:c>
      <x:c r="AG47" s="55" t="n">
        <x:v>102</x:v>
      </x:c>
      <x:c r="AH47" s="55" t="n">
        <x:v>236</x:v>
      </x:c>
      <x:c r="AI47" s="55" t="n">
        <x:v>10547</x:v>
      </x:c>
      <x:c r="AJ47" s="55" t="n">
        <x:v>382</x:v>
      </x:c>
      <x:c r="AK47" s="55" t="n">
        <x:v>750</x:v>
      </x:c>
      <x:c r="AL47" s="55" t="n">
        <x:v>1538</x:v>
      </x:c>
      <x:c r="AM47" s="55" t="n">
        <x:v>5215</x:v>
      </x:c>
      <x:c r="AN47" s="55" t="n">
        <x:v>2791</x:v>
      </x:c>
      <x:c r="AO47" s="55" t="n">
        <x:v>107</x:v>
      </x:c>
      <x:c r="AP47" s="55" t="n">
        <x:v>2465</x:v>
      </x:c>
      <x:c r="AQ47" s="55" t="n">
        <x:v>961</x:v>
      </x:c>
    </x:row>
    <x:row r="48">
      <x:c r="A48" s="54" t="str">
        <x:v>T1_SHARED_CATCHMENT</x:v>
      </x:c>
      <x:c r="B48" s="54" t="n">
        <x:v>42</x:v>
      </x:c>
      <x:c r="C48" s="54" t="str">
        <x:v>NYC-V2-R01</x:v>
      </x:c>
      <x:c r="D48" s="54" t="str">
        <x:v>V2</x:v>
      </x:c>
      <x:c r="E48" s="54" t="str">
        <x:v>ADMITTED</x:v>
      </x:c>
      <x:c r="F48" s="55" t="n">
        <x:v>31495</x:v>
      </x:c>
      <x:c r="G48" s="55" t="n">
        <x:v>8636</x:v>
      </x:c>
      <x:c r="H48" s="55" t="n">
        <x:v>3464</x:v>
      </x:c>
      <x:c r="I48" s="55" t="n">
        <x:v>1387</x:v>
      </x:c>
      <x:c r="J48" s="55" t="n">
        <x:v>204</x:v>
      </x:c>
      <x:c r="K48" s="55" t="n">
        <x:v>30748</x:v>
      </x:c>
      <x:c r="L48" s="55" t="n">
        <x:v>6428</x:v>
      </x:c>
      <x:c r="M48" s="55" t="n">
        <x:v>1690</x:v>
      </x:c>
      <x:c r="N48" s="55" t="n">
        <x:v>2497</x:v>
      </x:c>
      <x:c r="O48" s="55" t="n">
        <x:v>2241</x:v>
      </x:c>
      <x:c r="P48" s="55" t="n">
        <x:v>870</x:v>
      </x:c>
      <x:c r="Q48" s="55" t="n">
        <x:v>2073</x:v>
      </x:c>
      <x:c r="R48" s="55" t="n">
        <x:v>2118</x:v>
      </x:c>
      <x:c r="S48" s="55" t="n">
        <x:v>2721</x:v>
      </x:c>
      <x:c r="T48" s="55" t="n">
        <x:v>1389</x:v>
      </x:c>
      <x:c r="U48" s="55" t="n">
        <x:v>2959</x:v>
      </x:c>
      <x:c r="V48" s="55" t="n">
        <x:v>11474</x:v>
      </x:c>
      <x:c r="W48" s="55" t="n">
        <x:v>8614</x:v>
      </x:c>
      <x:c r="X48" s="55" t="n">
        <x:v>2860</x:v>
      </x:c>
      <x:c r="Y48" s="55" t="n">
        <x:v>2698</x:v>
      </x:c>
      <x:c r="Z48" s="55" t="n">
        <x:v>3953</x:v>
      </x:c>
      <x:c r="AA48" s="55" t="n">
        <x:v>3383</x:v>
      </x:c>
      <x:c r="AB48" s="55" t="n">
        <x:v>1571</x:v>
      </x:c>
      <x:c r="AC48" s="55" t="n">
        <x:v>8549</x:v>
      </x:c>
      <x:c r="AD48" s="55" t="n">
        <x:v>3642</x:v>
      </x:c>
      <x:c r="AE48" s="55" t="n">
        <x:v>11614</x:v>
      </x:c>
      <x:c r="AF48" s="55" t="n">
        <x:v>11474</x:v>
      </x:c>
      <x:c r="AG48" s="55" t="n">
        <x:v>140</x:v>
      </x:c>
      <x:c r="AH48" s="55" t="n">
        <x:v>674</x:v>
      </x:c>
      <x:c r="AI48" s="55" t="n">
        <x:v>10800</x:v>
      </x:c>
      <x:c r="AJ48" s="55" t="n">
        <x:v>342</x:v>
      </x:c>
      <x:c r="AK48" s="55" t="n">
        <x:v>992</x:v>
      </x:c>
      <x:c r="AL48" s="55" t="n">
        <x:v>1749</x:v>
      </x:c>
      <x:c r="AM48" s="55" t="n">
        <x:v>4580</x:v>
      </x:c>
      <x:c r="AN48" s="55" t="n">
        <x:v>3744</x:v>
      </x:c>
      <x:c r="AO48" s="55" t="n">
        <x:v>67</x:v>
      </x:c>
      <x:c r="AP48" s="55" t="n">
        <x:v>2364</x:v>
      </x:c>
      <x:c r="AQ48" s="55" t="n">
        <x:v>937</x:v>
      </x:c>
    </x:row>
    <x:row r="49">
      <x:c r="A49" s="54" t="str">
        <x:v>T1_SHARED_CATCHMENT</x:v>
      </x:c>
      <x:c r="B49" s="54" t="n">
        <x:v>43</x:v>
      </x:c>
      <x:c r="C49" s="54" t="str">
        <x:v>NYC-V2-R01</x:v>
      </x:c>
      <x:c r="D49" s="54" t="str">
        <x:v>V2</x:v>
      </x:c>
      <x:c r="E49" s="54" t="str">
        <x:v>ADMITTED</x:v>
      </x:c>
      <x:c r="F49" s="55" t="n">
        <x:v>30356</x:v>
      </x:c>
      <x:c r="G49" s="55" t="n">
        <x:v>7000</x:v>
      </x:c>
      <x:c r="H49" s="55" t="n">
        <x:v>3027</x:v>
      </x:c>
      <x:c r="I49" s="55" t="n">
        <x:v>676</x:v>
      </x:c>
      <x:c r="J49" s="55" t="n">
        <x:v>26</x:v>
      </x:c>
      <x:c r="K49" s="55" t="n">
        <x:v>30356</x:v>
      </x:c>
      <x:c r="L49" s="55" t="n">
        <x:v>4267</x:v>
      </x:c>
      <x:c r="M49" s="55" t="n">
        <x:v>1043</x:v>
      </x:c>
      <x:c r="N49" s="55" t="n">
        <x:v>1810</x:v>
      </x:c>
      <x:c r="O49" s="55" t="n">
        <x:v>1414</x:v>
      </x:c>
      <x:c r="P49" s="55" t="n">
        <x:v>680</x:v>
      </x:c>
      <x:c r="Q49" s="55" t="n">
        <x:v>1962</x:v>
      </x:c>
      <x:c r="R49" s="55" t="n">
        <x:v>2028</x:v>
      </x:c>
      <x:c r="S49" s="55" t="n">
        <x:v>2949</x:v>
      </x:c>
      <x:c r="T49" s="55" t="n">
        <x:v>1032</x:v>
      </x:c>
      <x:c r="U49" s="55" t="n">
        <x:v>1782</x:v>
      </x:c>
      <x:c r="V49" s="55" t="n">
        <x:v>10052</x:v>
      </x:c>
      <x:c r="W49" s="55" t="n">
        <x:v>7346</x:v>
      </x:c>
      <x:c r="X49" s="55" t="n">
        <x:v>2706</x:v>
      </x:c>
      <x:c r="Y49" s="55" t="n">
        <x:v>2527</x:v>
      </x:c>
      <x:c r="Z49" s="55" t="n">
        <x:v>3052</x:v>
      </x:c>
      <x:c r="AA49" s="55" t="n">
        <x:v>2423</x:v>
      </x:c>
      <x:c r="AB49" s="55" t="n">
        <x:v>727</x:v>
      </x:c>
      <x:c r="AC49" s="55" t="n">
        <x:v>8487</x:v>
      </x:c>
      <x:c r="AD49" s="55" t="n">
        <x:v>3026</x:v>
      </x:c>
      <x:c r="AE49" s="55" t="n">
        <x:v>10117</x:v>
      </x:c>
      <x:c r="AF49" s="55" t="n">
        <x:v>10052</x:v>
      </x:c>
      <x:c r="AG49" s="55" t="n">
        <x:v>65</x:v>
      </x:c>
      <x:c r="AH49" s="55" t="n">
        <x:v>269</x:v>
      </x:c>
      <x:c r="AI49" s="55" t="n">
        <x:v>9783</x:v>
      </x:c>
      <x:c r="AJ49" s="55" t="n">
        <x:v>524</x:v>
      </x:c>
      <x:c r="AK49" s="55" t="n">
        <x:v>753</x:v>
      </x:c>
      <x:c r="AL49" s="55" t="n">
        <x:v>1292</x:v>
      </x:c>
      <x:c r="AM49" s="55" t="n">
        <x:v>5011</x:v>
      </x:c>
      <x:c r="AN49" s="55" t="n">
        <x:v>2472</x:v>
      </x:c>
      <x:c r="AO49" s="55" t="n">
        <x:v>0</x:v>
      </x:c>
      <x:c r="AP49" s="55" t="n">
        <x:v>1719</x:v>
      </x:c>
      <x:c r="AQ49" s="55" t="n">
        <x:v>945</x:v>
      </x:c>
    </x:row>
    <x:row r="50">
      <x:c r="A50" s="54" t="str">
        <x:v>T1_SHARED_CATCHMENT</x:v>
      </x:c>
      <x:c r="B50" s="54" t="n">
        <x:v>44</x:v>
      </x:c>
      <x:c r="C50" s="54" t="str">
        <x:v>NYC-V2-R01</x:v>
      </x:c>
      <x:c r="D50" s="54" t="str">
        <x:v>V2</x:v>
      </x:c>
      <x:c r="E50" s="54" t="str">
        <x:v>ADMITTED</x:v>
      </x:c>
      <x:c r="F50" s="55" t="n">
        <x:v>30792</x:v>
      </x:c>
      <x:c r="G50" s="55" t="n">
        <x:v>8277</x:v>
      </x:c>
      <x:c r="H50" s="55" t="n">
        <x:v>3255</x:v>
      </x:c>
      <x:c r="I50" s="55" t="n">
        <x:v>1011</x:v>
      </x:c>
      <x:c r="J50" s="55" t="n">
        <x:v>199</x:v>
      </x:c>
      <x:c r="K50" s="55" t="n">
        <x:v>28203</x:v>
      </x:c>
      <x:c r="L50" s="55" t="n">
        <x:v>3995</x:v>
      </x:c>
      <x:c r="M50" s="55" t="n">
        <x:v>140</x:v>
      </x:c>
      <x:c r="N50" s="55" t="n">
        <x:v>2429</x:v>
      </x:c>
      <x:c r="O50" s="55" t="n">
        <x:v>1426</x:v>
      </x:c>
      <x:c r="P50" s="55" t="n">
        <x:v>692</x:v>
      </x:c>
      <x:c r="Q50" s="55" t="n">
        <x:v>2266</x:v>
      </x:c>
      <x:c r="R50" s="55" t="n">
        <x:v>1479</x:v>
      </x:c>
      <x:c r="S50" s="55" t="n">
        <x:v>2870</x:v>
      </x:c>
      <x:c r="T50" s="55" t="n">
        <x:v>1225</x:v>
      </x:c>
      <x:c r="U50" s="55" t="n">
        <x:v>1954</x:v>
      </x:c>
      <x:c r="V50" s="55" t="n">
        <x:v>10131</x:v>
      </x:c>
      <x:c r="W50" s="55" t="n">
        <x:v>7050</x:v>
      </x:c>
      <x:c r="X50" s="55" t="n">
        <x:v>3081</x:v>
      </x:c>
      <x:c r="Y50" s="55" t="n">
        <x:v>2682</x:v>
      </x:c>
      <x:c r="Z50" s="55" t="n">
        <x:v>3646</x:v>
      </x:c>
      <x:c r="AA50" s="55" t="n">
        <x:v>2508</x:v>
      </x:c>
      <x:c r="AB50" s="55" t="n">
        <x:v>844</x:v>
      </x:c>
      <x:c r="AC50" s="55" t="n">
        <x:v>8450</x:v>
      </x:c>
      <x:c r="AD50" s="55" t="n">
        <x:v>2849</x:v>
      </x:c>
      <x:c r="AE50" s="55" t="n">
        <x:v>10250</x:v>
      </x:c>
      <x:c r="AF50" s="55" t="n">
        <x:v>10131</x:v>
      </x:c>
      <x:c r="AG50" s="55" t="n">
        <x:v>119</x:v>
      </x:c>
      <x:c r="AH50" s="55" t="n">
        <x:v>488</x:v>
      </x:c>
      <x:c r="AI50" s="55" t="n">
        <x:v>9643</x:v>
      </x:c>
      <x:c r="AJ50" s="55" t="n">
        <x:v>361</x:v>
      </x:c>
      <x:c r="AK50" s="55" t="n">
        <x:v>1051</x:v>
      </x:c>
      <x:c r="AL50" s="55" t="n">
        <x:v>1195</x:v>
      </x:c>
      <x:c r="AM50" s="55" t="n">
        <x:v>5224</x:v>
      </x:c>
      <x:c r="AN50" s="55" t="n">
        <x:v>2300</x:v>
      </x:c>
      <x:c r="AO50" s="55" t="n">
        <x:v>0</x:v>
      </x:c>
      <x:c r="AP50" s="55" t="n">
        <x:v>2562</x:v>
      </x:c>
      <x:c r="AQ50" s="55" t="n">
        <x:v>941</x:v>
      </x:c>
    </x:row>
    <x:row r="51">
      <x:c r="A51" s="54" t="str">
        <x:v>T1_SHARED_CATCHMENT</x:v>
      </x:c>
      <x:c r="B51" s="54" t="n">
        <x:v>45</x:v>
      </x:c>
      <x:c r="C51" s="54" t="str">
        <x:v>NYC-V2-R01</x:v>
      </x:c>
      <x:c r="D51" s="54" t="str">
        <x:v>V2</x:v>
      </x:c>
      <x:c r="E51" s="54" t="str">
        <x:v>ADMITTED</x:v>
      </x:c>
      <x:c r="F51" s="55" t="n">
        <x:v>31509</x:v>
      </x:c>
      <x:c r="G51" s="55" t="n">
        <x:v>8721</x:v>
      </x:c>
      <x:c r="H51" s="55" t="n">
        <x:v>3026</x:v>
      </x:c>
      <x:c r="I51" s="55" t="n">
        <x:v>1562</x:v>
      </x:c>
      <x:c r="J51" s="55" t="n">
        <x:v>32</x:v>
      </x:c>
      <x:c r="K51" s="55" t="n">
        <x:v>29552</x:v>
      </x:c>
      <x:c r="L51" s="55" t="n">
        <x:v>5162</x:v>
      </x:c>
      <x:c r="M51" s="55" t="n">
        <x:v>492</x:v>
      </x:c>
      <x:c r="N51" s="55" t="n">
        <x:v>3014</x:v>
      </x:c>
      <x:c r="O51" s="55" t="n">
        <x:v>1656</x:v>
      </x:c>
      <x:c r="P51" s="55" t="n">
        <x:v>604</x:v>
      </x:c>
      <x:c r="Q51" s="55" t="n">
        <x:v>2780</x:v>
      </x:c>
      <x:c r="R51" s="55" t="n">
        <x:v>1750</x:v>
      </x:c>
      <x:c r="S51" s="55" t="n">
        <x:v>3068</x:v>
      </x:c>
      <x:c r="T51" s="55" t="n">
        <x:v>1215</x:v>
      </x:c>
      <x:c r="U51" s="55" t="n">
        <x:v>2240</x:v>
      </x:c>
      <x:c r="V51" s="55" t="n">
        <x:v>10826</x:v>
      </x:c>
      <x:c r="W51" s="55" t="n">
        <x:v>7684</x:v>
      </x:c>
      <x:c r="X51" s="55" t="n">
        <x:v>3142</x:v>
      </x:c>
      <x:c r="Y51" s="55" t="n">
        <x:v>2742</x:v>
      </x:c>
      <x:c r="Z51" s="55" t="n">
        <x:v>3192</x:v>
      </x:c>
      <x:c r="AA51" s="55" t="n">
        <x:v>2489</x:v>
      </x:c>
      <x:c r="AB51" s="55" t="n">
        <x:v>1244</x:v>
      </x:c>
      <x:c r="AC51" s="55" t="n">
        <x:v>7696</x:v>
      </x:c>
      <x:c r="AD51" s="55" t="n">
        <x:v>3187</x:v>
      </x:c>
      <x:c r="AE51" s="55" t="n">
        <x:v>10927</x:v>
      </x:c>
      <x:c r="AF51" s="55" t="n">
        <x:v>10826</x:v>
      </x:c>
      <x:c r="AG51" s="55" t="n">
        <x:v>101</x:v>
      </x:c>
      <x:c r="AH51" s="55" t="n">
        <x:v>235</x:v>
      </x:c>
      <x:c r="AI51" s="55" t="n">
        <x:v>10591</x:v>
      </x:c>
      <x:c r="AJ51" s="55" t="n">
        <x:v>355</x:v>
      </x:c>
      <x:c r="AK51" s="55" t="n">
        <x:v>853</x:v>
      </x:c>
      <x:c r="AL51" s="55" t="n">
        <x:v>1556</x:v>
      </x:c>
      <x:c r="AM51" s="55" t="n">
        <x:v>5133</x:v>
      </x:c>
      <x:c r="AN51" s="55" t="n">
        <x:v>2923</x:v>
      </x:c>
      <x:c r="AO51" s="55" t="n">
        <x:v>6</x:v>
      </x:c>
      <x:c r="AP51" s="55" t="n">
        <x:v>1918</x:v>
      </x:c>
      <x:c r="AQ51" s="55" t="n">
        <x:v>962</x:v>
      </x:c>
    </x:row>
    <x:row r="52">
      <x:c r="A52" s="54" t="str">
        <x:v>T1_SHARED_CATCHMENT</x:v>
      </x:c>
      <x:c r="B52" s="54" t="n">
        <x:v>46</x:v>
      </x:c>
      <x:c r="C52" s="54" t="str">
        <x:v>NYC-V2-R01</x:v>
      </x:c>
      <x:c r="D52" s="54" t="str">
        <x:v>V2</x:v>
      </x:c>
      <x:c r="E52" s="54" t="str">
        <x:v>ADMITTED</x:v>
      </x:c>
      <x:c r="F52" s="55" t="n">
        <x:v>30457</x:v>
      </x:c>
      <x:c r="G52" s="55" t="n">
        <x:v>8780</x:v>
      </x:c>
      <x:c r="H52" s="55" t="n">
        <x:v>3978</x:v>
      </x:c>
      <x:c r="I52" s="55" t="n">
        <x:v>1070</x:v>
      </x:c>
      <x:c r="J52" s="55" t="n">
        <x:v>182</x:v>
      </x:c>
      <x:c r="K52" s="55" t="n">
        <x:v>30142</x:v>
      </x:c>
      <x:c r="L52" s="55" t="n">
        <x:v>5666</x:v>
      </x:c>
      <x:c r="M52" s="55" t="n">
        <x:v>1126</x:v>
      </x:c>
      <x:c r="N52" s="55" t="n">
        <x:v>2648</x:v>
      </x:c>
      <x:c r="O52" s="55" t="n">
        <x:v>1892</x:v>
      </x:c>
      <x:c r="P52" s="55" t="n">
        <x:v>804</x:v>
      </x:c>
      <x:c r="Q52" s="55" t="n">
        <x:v>2588</x:v>
      </x:c>
      <x:c r="R52" s="55" t="n">
        <x:v>2101</x:v>
      </x:c>
      <x:c r="S52" s="55" t="n">
        <x:v>3300</x:v>
      </x:c>
      <x:c r="T52" s="55" t="n">
        <x:v>1202</x:v>
      </x:c>
      <x:c r="U52" s="55" t="n">
        <x:v>2449</x:v>
      </x:c>
      <x:c r="V52" s="55" t="n">
        <x:v>11068</x:v>
      </x:c>
      <x:c r="W52" s="55" t="n">
        <x:v>7683</x:v>
      </x:c>
      <x:c r="X52" s="55" t="n">
        <x:v>3385</x:v>
      </x:c>
      <x:c r="Y52" s="55" t="n">
        <x:v>2972</x:v>
      </x:c>
      <x:c r="Z52" s="55" t="n">
        <x:v>4327</x:v>
      </x:c>
      <x:c r="AA52" s="55" t="n">
        <x:v>3978</x:v>
      </x:c>
      <x:c r="AB52" s="55" t="n">
        <x:v>1626</x:v>
      </x:c>
      <x:c r="AC52" s="55" t="n">
        <x:v>8808</x:v>
      </x:c>
      <x:c r="AD52" s="55" t="n">
        <x:v>3449</x:v>
      </x:c>
      <x:c r="AE52" s="55" t="n">
        <x:v>11170</x:v>
      </x:c>
      <x:c r="AF52" s="55" t="n">
        <x:v>11068</x:v>
      </x:c>
      <x:c r="AG52" s="55" t="n">
        <x:v>102</x:v>
      </x:c>
      <x:c r="AH52" s="55" t="n">
        <x:v>588</x:v>
      </x:c>
      <x:c r="AI52" s="55" t="n">
        <x:v>10480</x:v>
      </x:c>
      <x:c r="AJ52" s="55" t="n">
        <x:v>559</x:v>
      </x:c>
      <x:c r="AK52" s="55" t="n">
        <x:v>1017</x:v>
      </x:c>
      <x:c r="AL52" s="55" t="n">
        <x:v>1678</x:v>
      </x:c>
      <x:c r="AM52" s="55" t="n">
        <x:v>5123</x:v>
      </x:c>
      <x:c r="AN52" s="55" t="n">
        <x:v>2691</x:v>
      </x:c>
      <x:c r="AO52" s="55" t="n">
        <x:v>0</x:v>
      </x:c>
      <x:c r="AP52" s="55" t="n">
        <x:v>2556</x:v>
      </x:c>
      <x:c r="AQ52" s="55" t="n">
        <x:v>981</x:v>
      </x:c>
    </x:row>
    <x:row r="53">
      <x:c r="A53" s="54" t="str">
        <x:v>T1_SHARED_CATCHMENT</x:v>
      </x:c>
      <x:c r="B53" s="54" t="n">
        <x:v>47</x:v>
      </x:c>
      <x:c r="C53" s="54" t="str">
        <x:v>NYC-V2-R01</x:v>
      </x:c>
      <x:c r="D53" s="54" t="str">
        <x:v>V2</x:v>
      </x:c>
      <x:c r="E53" s="54" t="str">
        <x:v>ADMITTED</x:v>
      </x:c>
      <x:c r="F53" s="55" t="n">
        <x:v>30263</x:v>
      </x:c>
      <x:c r="G53" s="55" t="n">
        <x:v>7095</x:v>
      </x:c>
      <x:c r="H53" s="55" t="n">
        <x:v>3215</x:v>
      </x:c>
      <x:c r="I53" s="55" t="n">
        <x:v>1555</x:v>
      </x:c>
      <x:c r="J53" s="55" t="n">
        <x:v>81</x:v>
      </x:c>
      <x:c r="K53" s="55" t="n">
        <x:v>30154</x:v>
      </x:c>
      <x:c r="L53" s="55" t="n">
        <x:v>5847</x:v>
      </x:c>
      <x:c r="M53" s="55" t="n">
        <x:v>1305</x:v>
      </x:c>
      <x:c r="N53" s="55" t="n">
        <x:v>2791</x:v>
      </x:c>
      <x:c r="O53" s="55" t="n">
        <x:v>1751</x:v>
      </x:c>
      <x:c r="P53" s="55" t="n">
        <x:v>433</x:v>
      </x:c>
      <x:c r="Q53" s="55" t="n">
        <x:v>1009</x:v>
      </x:c>
      <x:c r="R53" s="55" t="n">
        <x:v>1530</x:v>
      </x:c>
      <x:c r="S53" s="55" t="n">
        <x:v>2368</x:v>
      </x:c>
      <x:c r="T53" s="55" t="n">
        <x:v>909</x:v>
      </x:c>
      <x:c r="U53" s="55" t="n">
        <x:v>1479</x:v>
      </x:c>
      <x:c r="V53" s="55" t="n">
        <x:v>10291</x:v>
      </x:c>
      <x:c r="W53" s="55" t="n">
        <x:v>6937</x:v>
      </x:c>
      <x:c r="X53" s="55" t="n">
        <x:v>3354</x:v>
      </x:c>
      <x:c r="Y53" s="55" t="n">
        <x:v>3031</x:v>
      </x:c>
      <x:c r="Z53" s="55" t="n">
        <x:v>3528</x:v>
      </x:c>
      <x:c r="AA53" s="55" t="n">
        <x:v>2745</x:v>
      </x:c>
      <x:c r="AB53" s="55" t="n">
        <x:v>1045</x:v>
      </x:c>
      <x:c r="AC53" s="55" t="n">
        <x:v>7763</x:v>
      </x:c>
      <x:c r="AD53" s="55" t="n">
        <x:v>2632</x:v>
      </x:c>
      <x:c r="AE53" s="55" t="n">
        <x:v>10291</x:v>
      </x:c>
      <x:c r="AF53" s="55" t="n">
        <x:v>10291</x:v>
      </x:c>
      <x:c r="AG53" s="55" t="n">
        <x:v>0</x:v>
      </x:c>
      <x:c r="AH53" s="55" t="n">
        <x:v>255</x:v>
      </x:c>
      <x:c r="AI53" s="55" t="n">
        <x:v>10036</x:v>
      </x:c>
      <x:c r="AJ53" s="55" t="n">
        <x:v>251</x:v>
      </x:c>
      <x:c r="AK53" s="55" t="n">
        <x:v>907</x:v>
      </x:c>
      <x:c r="AL53" s="55" t="n">
        <x:v>1341</x:v>
      </x:c>
      <x:c r="AM53" s="55" t="n">
        <x:v>5074</x:v>
      </x:c>
      <x:c r="AN53" s="55" t="n">
        <x:v>2718</x:v>
      </x:c>
      <x:c r="AO53" s="55" t="n">
        <x:v>0</x:v>
      </x:c>
      <x:c r="AP53" s="55" t="n">
        <x:v>1952</x:v>
      </x:c>
      <x:c r="AQ53" s="55" t="n">
        <x:v>936</x:v>
      </x:c>
    </x:row>
    <x:row r="54">
      <x:c r="A54" s="54" t="str">
        <x:v>T1_SHARED_CATCHMENT</x:v>
      </x:c>
      <x:c r="B54" s="54" t="n">
        <x:v>48</x:v>
      </x:c>
      <x:c r="C54" s="54" t="str">
        <x:v>NYC-V2-R01</x:v>
      </x:c>
      <x:c r="D54" s="54" t="str">
        <x:v>V2</x:v>
      </x:c>
      <x:c r="E54" s="54" t="str">
        <x:v>ADMITTED</x:v>
      </x:c>
      <x:c r="F54" s="55" t="n">
        <x:v>33000</x:v>
      </x:c>
      <x:c r="G54" s="55" t="n">
        <x:v>7723</x:v>
      </x:c>
      <x:c r="H54" s="55" t="n">
        <x:v>3421</x:v>
      </x:c>
      <x:c r="I54" s="55" t="n">
        <x:v>1592</x:v>
      </x:c>
      <x:c r="J54" s="55" t="n">
        <x:v>287</x:v>
      </x:c>
      <x:c r="K54" s="55" t="n">
        <x:v>33000</x:v>
      </x:c>
      <x:c r="L54" s="55" t="n">
        <x:v>7674</x:v>
      </x:c>
      <x:c r="M54" s="55" t="n">
        <x:v>2010</x:v>
      </x:c>
      <x:c r="N54" s="55" t="n">
        <x:v>3254</x:v>
      </x:c>
      <x:c r="O54" s="55" t="n">
        <x:v>2410</x:v>
      </x:c>
      <x:c r="P54" s="55" t="n">
        <x:v>773</x:v>
      </x:c>
      <x:c r="Q54" s="55" t="n">
        <x:v>2722</x:v>
      </x:c>
      <x:c r="R54" s="55" t="n">
        <x:v>1774</x:v>
      </x:c>
      <x:c r="S54" s="55" t="n">
        <x:v>2948</x:v>
      </x:c>
      <x:c r="T54" s="55" t="n">
        <x:v>1445</x:v>
      </x:c>
      <x:c r="U54" s="55" t="n">
        <x:v>2573</x:v>
      </x:c>
      <x:c r="V54" s="55" t="n">
        <x:v>9851</x:v>
      </x:c>
      <x:c r="W54" s="55" t="n">
        <x:v>6646</x:v>
      </x:c>
      <x:c r="X54" s="55" t="n">
        <x:v>3205</x:v>
      </x:c>
      <x:c r="Y54" s="55" t="n">
        <x:v>2763</x:v>
      </x:c>
      <x:c r="Z54" s="55" t="n">
        <x:v>4306</x:v>
      </x:c>
      <x:c r="AA54" s="55" t="n">
        <x:v>3371</x:v>
      </x:c>
      <x:c r="AB54" s="55" t="n">
        <x:v>1296</x:v>
      </x:c>
      <x:c r="AC54" s="55" t="n">
        <x:v>7414</x:v>
      </x:c>
      <x:c r="AD54" s="55" t="n">
        <x:v>3224</x:v>
      </x:c>
      <x:c r="AE54" s="55" t="n">
        <x:v>10010</x:v>
      </x:c>
      <x:c r="AF54" s="55" t="n">
        <x:v>9851</x:v>
      </x:c>
      <x:c r="AG54" s="55" t="n">
        <x:v>159</x:v>
      </x:c>
      <x:c r="AH54" s="55" t="n">
        <x:v>280</x:v>
      </x:c>
      <x:c r="AI54" s="55" t="n">
        <x:v>9571</x:v>
      </x:c>
      <x:c r="AJ54" s="55" t="n">
        <x:v>435</x:v>
      </x:c>
      <x:c r="AK54" s="55" t="n">
        <x:v>1128</x:v>
      </x:c>
      <x:c r="AL54" s="55" t="n">
        <x:v>1855</x:v>
      </x:c>
      <x:c r="AM54" s="55" t="n">
        <x:v>4317</x:v>
      </x:c>
      <x:c r="AN54" s="55" t="n">
        <x:v>2076</x:v>
      </x:c>
      <x:c r="AO54" s="55" t="n">
        <x:v>40</x:v>
      </x:c>
      <x:c r="AP54" s="55" t="n">
        <x:v>2230</x:v>
      </x:c>
      <x:c r="AQ54" s="55" t="n">
        <x:v>960</x:v>
      </x:c>
    </x:row>
    <x:row r="55">
      <x:c r="A55" s="54" t="str">
        <x:v>T1_SHARED_CATCHMENT</x:v>
      </x:c>
      <x:c r="B55" s="54" t="n">
        <x:v>49</x:v>
      </x:c>
      <x:c r="C55" s="54" t="str">
        <x:v>NYC-V2-R01</x:v>
      </x:c>
      <x:c r="D55" s="54" t="str">
        <x:v>V2</x:v>
      </x:c>
      <x:c r="E55" s="54" t="str">
        <x:v>ADMITTED</x:v>
      </x:c>
      <x:c r="F55" s="55" t="n">
        <x:v>30163</x:v>
      </x:c>
      <x:c r="G55" s="55" t="n">
        <x:v>6519</x:v>
      </x:c>
      <x:c r="H55" s="55" t="n">
        <x:v>3387</x:v>
      </x:c>
      <x:c r="I55" s="55" t="n">
        <x:v>1145</x:v>
      </x:c>
      <x:c r="J55" s="55" t="n">
        <x:v>259</x:v>
      </x:c>
      <x:c r="K55" s="55" t="n">
        <x:v>30163</x:v>
      </x:c>
      <x:c r="L55" s="55" t="n">
        <x:v>6039</x:v>
      </x:c>
      <x:c r="M55" s="55" t="n">
        <x:v>1674</x:v>
      </x:c>
      <x:c r="N55" s="55" t="n">
        <x:v>2368</x:v>
      </x:c>
      <x:c r="O55" s="55" t="n">
        <x:v>1997</x:v>
      </x:c>
      <x:c r="P55" s="55" t="n">
        <x:v>613</x:v>
      </x:c>
      <x:c r="Q55" s="55" t="n">
        <x:v>1388</x:v>
      </x:c>
      <x:c r="R55" s="55" t="n">
        <x:v>1602</x:v>
      </x:c>
      <x:c r="S55" s="55" t="n">
        <x:v>2221</x:v>
      </x:c>
      <x:c r="T55" s="55" t="n">
        <x:v>1184</x:v>
      </x:c>
      <x:c r="U55" s="55" t="n">
        <x:v>1607</x:v>
      </x:c>
      <x:c r="V55" s="55" t="n">
        <x:v>10164</x:v>
      </x:c>
      <x:c r="W55" s="55" t="n">
        <x:v>7326</x:v>
      </x:c>
      <x:c r="X55" s="55" t="n">
        <x:v>2838</x:v>
      </x:c>
      <x:c r="Y55" s="55" t="n">
        <x:v>2497</x:v>
      </x:c>
      <x:c r="Z55" s="55" t="n">
        <x:v>3121</x:v>
      </x:c>
      <x:c r="AA55" s="55" t="n">
        <x:v>3387</x:v>
      </x:c>
      <x:c r="AB55" s="55" t="n">
        <x:v>1210</x:v>
      </x:c>
      <x:c r="AC55" s="55" t="n">
        <x:v>8040</x:v>
      </x:c>
      <x:c r="AD55" s="55" t="n">
        <x:v>2689</x:v>
      </x:c>
      <x:c r="AE55" s="55" t="n">
        <x:v>10224</x:v>
      </x:c>
      <x:c r="AF55" s="55" t="n">
        <x:v>10164</x:v>
      </x:c>
      <x:c r="AG55" s="55" t="n">
        <x:v>60</x:v>
      </x:c>
      <x:c r="AH55" s="55" t="n">
        <x:v>433</x:v>
      </x:c>
      <x:c r="AI55" s="55" t="n">
        <x:v>9731</x:v>
      </x:c>
      <x:c r="AJ55" s="55" t="n">
        <x:v>377</x:v>
      </x:c>
      <x:c r="AK55" s="55" t="n">
        <x:v>966</x:v>
      </x:c>
      <x:c r="AL55" s="55" t="n">
        <x:v>1253</x:v>
      </x:c>
      <x:c r="AM55" s="55" t="n">
        <x:v>4738</x:v>
      </x:c>
      <x:c r="AN55" s="55" t="n">
        <x:v>2830</x:v>
      </x:c>
      <x:c r="AO55" s="55" t="n">
        <x:v>0</x:v>
      </x:c>
      <x:c r="AP55" s="55" t="n">
        <x:v>2170</x:v>
      </x:c>
      <x:c r="AQ55" s="55" t="n">
        <x:v>946</x:v>
      </x:c>
    </x:row>
    <x:row r="56">
      <x:c r="A56" s="54" t="str">
        <x:v>T1_SHARED_CATCHMENT</x:v>
      </x:c>
      <x:c r="B56" s="54" t="n">
        <x:v>50</x:v>
      </x:c>
      <x:c r="C56" s="54" t="str">
        <x:v>NYC-V2-R01</x:v>
      </x:c>
      <x:c r="D56" s="54" t="str">
        <x:v>V2</x:v>
      </x:c>
      <x:c r="E56" s="54" t="str">
        <x:v>ADMITTED</x:v>
      </x:c>
      <x:c r="F56" s="55" t="n">
        <x:v>33083</x:v>
      </x:c>
      <x:c r="G56" s="55" t="n">
        <x:v>8070</x:v>
      </x:c>
      <x:c r="H56" s="55" t="n">
        <x:v>2944</x:v>
      </x:c>
      <x:c r="I56" s="55" t="n">
        <x:v>1064</x:v>
      </x:c>
      <x:c r="J56" s="55" t="n">
        <x:v>221</x:v>
      </x:c>
      <x:c r="K56" s="55" t="n">
        <x:v>33083</x:v>
      </x:c>
      <x:c r="L56" s="55" t="n">
        <x:v>6372</x:v>
      </x:c>
      <x:c r="M56" s="55" t="n">
        <x:v>1658</x:v>
      </x:c>
      <x:c r="N56" s="55" t="n">
        <x:v>2625</x:v>
      </x:c>
      <x:c r="O56" s="55" t="n">
        <x:v>2089</x:v>
      </x:c>
      <x:c r="P56" s="55" t="n">
        <x:v>977</x:v>
      </x:c>
      <x:c r="Q56" s="55" t="n">
        <x:v>2490</x:v>
      </x:c>
      <x:c r="R56" s="55" t="n">
        <x:v>1641</x:v>
      </x:c>
      <x:c r="S56" s="55" t="n">
        <x:v>2995</x:v>
      </x:c>
      <x:c r="T56" s="55" t="n">
        <x:v>1378</x:v>
      </x:c>
      <x:c r="U56" s="55" t="n">
        <x:v>2336</x:v>
      </x:c>
      <x:c r="V56" s="55" t="n">
        <x:v>9629</x:v>
      </x:c>
      <x:c r="W56" s="55" t="n">
        <x:v>6203</x:v>
      </x:c>
      <x:c r="X56" s="55" t="n">
        <x:v>3426</x:v>
      </x:c>
      <x:c r="Y56" s="55" t="n">
        <x:v>3159</x:v>
      </x:c>
      <x:c r="Z56" s="55" t="n">
        <x:v>3858</x:v>
      </x:c>
      <x:c r="AA56" s="55" t="n">
        <x:v>2740</x:v>
      </x:c>
      <x:c r="AB56" s="55" t="n">
        <x:v>1149</x:v>
      </x:c>
      <x:c r="AC56" s="55" t="n">
        <x:v>8761</x:v>
      </x:c>
      <x:c r="AD56" s="55" t="n">
        <x:v>3427</x:v>
      </x:c>
      <x:c r="AE56" s="55" t="n">
        <x:v>9714</x:v>
      </x:c>
      <x:c r="AF56" s="55" t="n">
        <x:v>9629</x:v>
      </x:c>
      <x:c r="AG56" s="55" t="n">
        <x:v>85</x:v>
      </x:c>
      <x:c r="AH56" s="55" t="n">
        <x:v>217</x:v>
      </x:c>
      <x:c r="AI56" s="55" t="n">
        <x:v>9412</x:v>
      </x:c>
      <x:c r="AJ56" s="55" t="n">
        <x:v>342</x:v>
      </x:c>
      <x:c r="AK56" s="55" t="n">
        <x:v>908</x:v>
      </x:c>
      <x:c r="AL56" s="55" t="n">
        <x:v>1512</x:v>
      </x:c>
      <x:c r="AM56" s="55" t="n">
        <x:v>4612</x:v>
      </x:c>
      <x:c r="AN56" s="55" t="n">
        <x:v>2133</x:v>
      </x:c>
      <x:c r="AO56" s="55" t="n">
        <x:v>122</x:v>
      </x:c>
      <x:c r="AP56" s="55" t="n">
        <x:v>2635</x:v>
      </x:c>
      <x:c r="AQ56" s="55" t="n">
        <x:v>945</x:v>
      </x:c>
    </x:row>
    <x:row r="57">
      <x:c r="A57" s="54" t="str">
        <x:v>T1_SHARED_CATCHMENT</x:v>
      </x:c>
      <x:c r="B57" s="54" t="n">
        <x:v>51</x:v>
      </x:c>
      <x:c r="C57" s="54" t="str">
        <x:v>NYC-V2-R01</x:v>
      </x:c>
      <x:c r="D57" s="54" t="str">
        <x:v>V2</x:v>
      </x:c>
      <x:c r="E57" s="54" t="str">
        <x:v>ADMITTED</x:v>
      </x:c>
      <x:c r="F57" s="55" t="n">
        <x:v>32002</x:v>
      </x:c>
      <x:c r="G57" s="55" t="n">
        <x:v>8499</x:v>
      </x:c>
      <x:c r="H57" s="55" t="n">
        <x:v>3270</x:v>
      </x:c>
      <x:c r="I57" s="55" t="n">
        <x:v>1498</x:v>
      </x:c>
      <x:c r="J57" s="55" t="n">
        <x:v>293</x:v>
      </x:c>
      <x:c r="K57" s="55" t="n">
        <x:v>32002</x:v>
      </x:c>
      <x:c r="L57" s="55" t="n">
        <x:v>6745</x:v>
      </x:c>
      <x:c r="M57" s="55" t="n">
        <x:v>2436</x:v>
      </x:c>
      <x:c r="N57" s="55" t="n">
        <x:v>2702</x:v>
      </x:c>
      <x:c r="O57" s="55" t="n">
        <x:v>1607</x:v>
      </x:c>
      <x:c r="P57" s="55" t="n">
        <x:v>1014</x:v>
      </x:c>
      <x:c r="Q57" s="55" t="n">
        <x:v>2074</x:v>
      </x:c>
      <x:c r="R57" s="55" t="n">
        <x:v>2216</x:v>
      </x:c>
      <x:c r="S57" s="55" t="n">
        <x:v>2757</x:v>
      </x:c>
      <x:c r="T57" s="55" t="n">
        <x:v>1040</x:v>
      </x:c>
      <x:c r="U57" s="55" t="n">
        <x:v>2488</x:v>
      </x:c>
      <x:c r="V57" s="55" t="n">
        <x:v>11183</x:v>
      </x:c>
      <x:c r="W57" s="55" t="n">
        <x:v>7937</x:v>
      </x:c>
      <x:c r="X57" s="55" t="n">
        <x:v>3246</x:v>
      </x:c>
      <x:c r="Y57" s="55" t="n">
        <x:v>2966</x:v>
      </x:c>
      <x:c r="Z57" s="55" t="n">
        <x:v>3880</x:v>
      </x:c>
      <x:c r="AA57" s="55" t="n">
        <x:v>3240</x:v>
      </x:c>
      <x:c r="AB57" s="55" t="n">
        <x:v>1404</x:v>
      </x:c>
      <x:c r="AC57" s="55" t="n">
        <x:v>8143</x:v>
      </x:c>
      <x:c r="AD57" s="55" t="n">
        <x:v>3348</x:v>
      </x:c>
      <x:c r="AE57" s="55" t="n">
        <x:v>11211</x:v>
      </x:c>
      <x:c r="AF57" s="55" t="n">
        <x:v>11183</x:v>
      </x:c>
      <x:c r="AG57" s="55" t="n">
        <x:v>28</x:v>
      </x:c>
      <x:c r="AH57" s="55" t="n">
        <x:v>731</x:v>
      </x:c>
      <x:c r="AI57" s="55" t="n">
        <x:v>10452</x:v>
      </x:c>
      <x:c r="AJ57" s="55" t="n">
        <x:v>357</x:v>
      </x:c>
      <x:c r="AK57" s="55" t="n">
        <x:v>1358</x:v>
      </x:c>
      <x:c r="AL57" s="55" t="n">
        <x:v>1629</x:v>
      </x:c>
      <x:c r="AM57" s="55" t="n">
        <x:v>5106</x:v>
      </x:c>
      <x:c r="AN57" s="55" t="n">
        <x:v>2733</x:v>
      </x:c>
      <x:c r="AO57" s="55" t="n">
        <x:v>0</x:v>
      </x:c>
      <x:c r="AP57" s="55" t="n">
        <x:v>2601</x:v>
      </x:c>
      <x:c r="AQ57" s="55" t="n">
        <x:v>976</x:v>
      </x:c>
    </x:row>
    <x:row r="58">
      <x:c r="A58" s="54" t="str">
        <x:v>T1_SHARED_CATCHMENT</x:v>
      </x:c>
      <x:c r="B58" s="54" t="n">
        <x:v>52</x:v>
      </x:c>
      <x:c r="C58" s="54" t="str">
        <x:v>NYC-V2-R01</x:v>
      </x:c>
      <x:c r="D58" s="54" t="str">
        <x:v>V2</x:v>
      </x:c>
      <x:c r="E58" s="54" t="str">
        <x:v>ADMITTED</x:v>
      </x:c>
      <x:c r="F58" s="55" t="n">
        <x:v>31842</x:v>
      </x:c>
      <x:c r="G58" s="55" t="n">
        <x:v>9172</x:v>
      </x:c>
      <x:c r="H58" s="55" t="n">
        <x:v>2824</x:v>
      </x:c>
      <x:c r="I58" s="55" t="n">
        <x:v>1147</x:v>
      </x:c>
      <x:c r="J58" s="55" t="n">
        <x:v>139</x:v>
      </x:c>
      <x:c r="K58" s="55" t="n">
        <x:v>31492</x:v>
      </x:c>
      <x:c r="L58" s="55" t="n">
        <x:v>6704</x:v>
      </x:c>
      <x:c r="M58" s="55" t="n">
        <x:v>1705</x:v>
      </x:c>
      <x:c r="N58" s="55" t="n">
        <x:v>3312</x:v>
      </x:c>
      <x:c r="O58" s="55" t="n">
        <x:v>1687</x:v>
      </x:c>
      <x:c r="P58" s="55" t="n">
        <x:v>896</x:v>
      </x:c>
      <x:c r="Q58" s="55" t="n">
        <x:v>2752</x:v>
      </x:c>
      <x:c r="R58" s="55" t="n">
        <x:v>1889</x:v>
      </x:c>
      <x:c r="S58" s="55" t="n">
        <x:v>2928</x:v>
      </x:c>
      <x:c r="T58" s="55" t="n">
        <x:v>1058</x:v>
      </x:c>
      <x:c r="U58" s="55" t="n">
        <x:v>2319</x:v>
      </x:c>
      <x:c r="V58" s="55" t="n">
        <x:v>10893</x:v>
      </x:c>
      <x:c r="W58" s="55" t="n">
        <x:v>7877</x:v>
      </x:c>
      <x:c r="X58" s="55" t="n">
        <x:v>3016</x:v>
      </x:c>
      <x:c r="Y58" s="55" t="n">
        <x:v>2687</x:v>
      </x:c>
      <x:c r="Z58" s="55" t="n">
        <x:v>3668</x:v>
      </x:c>
      <x:c r="AA58" s="55" t="n">
        <x:v>2824</x:v>
      </x:c>
      <x:c r="AB58" s="55" t="n">
        <x:v>1216</x:v>
      </x:c>
      <x:c r="AC58" s="55" t="n">
        <x:v>8003</x:v>
      </x:c>
      <x:c r="AD58" s="55" t="n">
        <x:v>2022</x:v>
      </x:c>
      <x:c r="AE58" s="55" t="n">
        <x:v>10990</x:v>
      </x:c>
      <x:c r="AF58" s="55" t="n">
        <x:v>10893</x:v>
      </x:c>
      <x:c r="AG58" s="55" t="n">
        <x:v>97</x:v>
      </x:c>
      <x:c r="AH58" s="55" t="n">
        <x:v>569</x:v>
      </x:c>
      <x:c r="AI58" s="55" t="n">
        <x:v>10324</x:v>
      </x:c>
      <x:c r="AJ58" s="55" t="n">
        <x:v>278</x:v>
      </x:c>
      <x:c r="AK58" s="55" t="n">
        <x:v>1093</x:v>
      </x:c>
      <x:c r="AL58" s="55" t="n">
        <x:v>1589</x:v>
      </x:c>
      <x:c r="AM58" s="55" t="n">
        <x:v>4762</x:v>
      </x:c>
      <x:c r="AN58" s="55" t="n">
        <x:v>3097</x:v>
      </x:c>
      <x:c r="AO58" s="55" t="n">
        <x:v>74</x:v>
      </x:c>
      <x:c r="AP58" s="55" t="n">
        <x:v>3094</x:v>
      </x:c>
      <x:c r="AQ58" s="55" t="n">
        <x:v>949</x:v>
      </x:c>
    </x:row>
    <x:row r="59">
      <x:c r="A59" s="54" t="str">
        <x:v>T1_SHARED_CATCHMENT</x:v>
      </x:c>
      <x:c r="B59" s="54" t="n">
        <x:v>53</x:v>
      </x:c>
      <x:c r="C59" s="54" t="str">
        <x:v>NYC-V2-R01</x:v>
      </x:c>
      <x:c r="D59" s="54" t="str">
        <x:v>V2</x:v>
      </x:c>
      <x:c r="E59" s="54" t="str">
        <x:v>ADMITTED</x:v>
      </x:c>
      <x:c r="F59" s="55" t="n">
        <x:v>32019</x:v>
      </x:c>
      <x:c r="G59" s="55" t="n">
        <x:v>7610</x:v>
      </x:c>
      <x:c r="H59" s="55" t="n">
        <x:v>3528</x:v>
      </x:c>
      <x:c r="I59" s="55" t="n">
        <x:v>1447</x:v>
      </x:c>
      <x:c r="J59" s="55" t="n">
        <x:v>363</x:v>
      </x:c>
      <x:c r="K59" s="55" t="n">
        <x:v>31464</x:v>
      </x:c>
      <x:c r="L59" s="55" t="n">
        <x:v>6281</x:v>
      </x:c>
      <x:c r="M59" s="55" t="n">
        <x:v>1584</x:v>
      </x:c>
      <x:c r="N59" s="55" t="n">
        <x:v>2874</x:v>
      </x:c>
      <x:c r="O59" s="55" t="n">
        <x:v>1823</x:v>
      </x:c>
      <x:c r="P59" s="55" t="n">
        <x:v>727</x:v>
      </x:c>
      <x:c r="Q59" s="55" t="n">
        <x:v>2378</x:v>
      </x:c>
      <x:c r="R59" s="55" t="n">
        <x:v>1833</x:v>
      </x:c>
      <x:c r="S59" s="55" t="n">
        <x:v>2735</x:v>
      </x:c>
      <x:c r="T59" s="55" t="n">
        <x:v>639</x:v>
      </x:c>
      <x:c r="U59" s="55" t="n">
        <x:v>1906</x:v>
      </x:c>
      <x:c r="V59" s="55" t="n">
        <x:v>9924</x:v>
      </x:c>
      <x:c r="W59" s="55" t="n">
        <x:v>6684</x:v>
      </x:c>
      <x:c r="X59" s="55" t="n">
        <x:v>3240</x:v>
      </x:c>
      <x:c r="Y59" s="55" t="n">
        <x:v>2754</x:v>
      </x:c>
      <x:c r="Z59" s="55" t="n">
        <x:v>3313</x:v>
      </x:c>
      <x:c r="AA59" s="55" t="n">
        <x:v>2874</x:v>
      </x:c>
      <x:c r="AB59" s="55" t="n">
        <x:v>1064</x:v>
      </x:c>
      <x:c r="AC59" s="55" t="n">
        <x:v>7732</x:v>
      </x:c>
      <x:c r="AD59" s="55" t="n">
        <x:v>3075</x:v>
      </x:c>
      <x:c r="AE59" s="55" t="n">
        <x:v>10012</x:v>
      </x:c>
      <x:c r="AF59" s="55" t="n">
        <x:v>9924</x:v>
      </x:c>
      <x:c r="AG59" s="55" t="n">
        <x:v>88</x:v>
      </x:c>
      <x:c r="AH59" s="55" t="n">
        <x:v>649</x:v>
      </x:c>
      <x:c r="AI59" s="55" t="n">
        <x:v>9275</x:v>
      </x:c>
      <x:c r="AJ59" s="55" t="n">
        <x:v>394</x:v>
      </x:c>
      <x:c r="AK59" s="55" t="n">
        <x:v>918</x:v>
      </x:c>
      <x:c r="AL59" s="55" t="n">
        <x:v>1283</x:v>
      </x:c>
      <x:c r="AM59" s="55" t="n">
        <x:v>4334</x:v>
      </x:c>
      <x:c r="AN59" s="55" t="n">
        <x:v>2954</x:v>
      </x:c>
      <x:c r="AO59" s="55" t="n">
        <x:v>41</x:v>
      </x:c>
      <x:c r="AP59" s="55" t="n">
        <x:v>2345</x:v>
      </x:c>
      <x:c r="AQ59" s="55" t="n">
        <x:v>957</x:v>
      </x:c>
    </x:row>
    <x:row r="60">
      <x:c r="A60" s="54" t="str">
        <x:v>T1_SHARED_CATCHMENT</x:v>
      </x:c>
      <x:c r="B60" s="54" t="n">
        <x:v>54</x:v>
      </x:c>
      <x:c r="C60" s="54" t="str">
        <x:v>NYC-V2-R01</x:v>
      </x:c>
      <x:c r="D60" s="54" t="str">
        <x:v>V2</x:v>
      </x:c>
      <x:c r="E60" s="54" t="str">
        <x:v>ADMITTED</x:v>
      </x:c>
      <x:c r="F60" s="55" t="n">
        <x:v>32819</x:v>
      </x:c>
      <x:c r="G60" s="55" t="n">
        <x:v>5871</x:v>
      </x:c>
      <x:c r="H60" s="55" t="n">
        <x:v>3698</x:v>
      </x:c>
      <x:c r="I60" s="55" t="n">
        <x:v>1320</x:v>
      </x:c>
      <x:c r="J60" s="55" t="n">
        <x:v>269</x:v>
      </x:c>
      <x:c r="K60" s="55" t="n">
        <x:v>32819</x:v>
      </x:c>
      <x:c r="L60" s="55" t="n">
        <x:v>7365</x:v>
      </x:c>
      <x:c r="M60" s="55" t="n">
        <x:v>2292</x:v>
      </x:c>
      <x:c r="N60" s="55" t="n">
        <x:v>3322</x:v>
      </x:c>
      <x:c r="O60" s="55" t="n">
        <x:v>1751</x:v>
      </x:c>
      <x:c r="P60" s="55" t="n">
        <x:v>957</x:v>
      </x:c>
      <x:c r="Q60" s="55" t="n">
        <x:v>1871</x:v>
      </x:c>
      <x:c r="R60" s="55" t="n">
        <x:v>1416</x:v>
      </x:c>
      <x:c r="S60" s="55" t="n">
        <x:v>2508</x:v>
      </x:c>
      <x:c r="T60" s="55" t="n">
        <x:v>1385</x:v>
      </x:c>
      <x:c r="U60" s="55" t="n">
        <x:v>1593</x:v>
      </x:c>
      <x:c r="V60" s="55" t="n">
        <x:v>9988</x:v>
      </x:c>
      <x:c r="W60" s="55" t="n">
        <x:v>6876</x:v>
      </x:c>
      <x:c r="X60" s="55" t="n">
        <x:v>3112</x:v>
      </x:c>
      <x:c r="Y60" s="55" t="n">
        <x:v>2833</x:v>
      </x:c>
      <x:c r="Z60" s="55" t="n">
        <x:v>3780</x:v>
      </x:c>
      <x:c r="AA60" s="55" t="n">
        <x:v>3698</x:v>
      </x:c>
      <x:c r="AB60" s="55" t="n">
        <x:v>1155</x:v>
      </x:c>
      <x:c r="AC60" s="55" t="n">
        <x:v>7997</x:v>
      </x:c>
      <x:c r="AD60" s="55" t="n">
        <x:v>2601</x:v>
      </x:c>
      <x:c r="AE60" s="55" t="n">
        <x:v>10031</x:v>
      </x:c>
      <x:c r="AF60" s="55" t="n">
        <x:v>9988</x:v>
      </x:c>
      <x:c r="AG60" s="55" t="n">
        <x:v>43</x:v>
      </x:c>
      <x:c r="AH60" s="55" t="n">
        <x:v>447</x:v>
      </x:c>
      <x:c r="AI60" s="55" t="n">
        <x:v>9541</x:v>
      </x:c>
      <x:c r="AJ60" s="55" t="n">
        <x:v>344</x:v>
      </x:c>
      <x:c r="AK60" s="55" t="n">
        <x:v>782</x:v>
      </x:c>
      <x:c r="AL60" s="55" t="n">
        <x:v>1390</x:v>
      </x:c>
      <x:c r="AM60" s="55" t="n">
        <x:v>4737</x:v>
      </x:c>
      <x:c r="AN60" s="55" t="n">
        <x:v>2732</x:v>
      </x:c>
      <x:c r="AO60" s="55" t="n">
        <x:v>3</x:v>
      </x:c>
      <x:c r="AP60" s="55" t="n">
        <x:v>2214</x:v>
      </x:c>
      <x:c r="AQ60" s="55" t="n">
        <x:v>950</x:v>
      </x:c>
    </x:row>
    <x:row r="61">
      <x:c r="A61" s="54" t="str">
        <x:v>T1_SHARED_CATCHMENT</x:v>
      </x:c>
      <x:c r="B61" s="54" t="n">
        <x:v>55</x:v>
      </x:c>
      <x:c r="C61" s="54" t="str">
        <x:v>NYC-V2-R01</x:v>
      </x:c>
      <x:c r="D61" s="54" t="str">
        <x:v>V2</x:v>
      </x:c>
      <x:c r="E61" s="54" t="str">
        <x:v>ADMITTED</x:v>
      </x:c>
      <x:c r="F61" s="55" t="n">
        <x:v>30933</x:v>
      </x:c>
      <x:c r="G61" s="55" t="n">
        <x:v>7528</x:v>
      </x:c>
      <x:c r="H61" s="55" t="n">
        <x:v>3005</x:v>
      </x:c>
      <x:c r="I61" s="55" t="n">
        <x:v>791</x:v>
      </x:c>
      <x:c r="J61" s="55" t="n">
        <x:v>224</x:v>
      </x:c>
      <x:c r="K61" s="55" t="n">
        <x:v>28201</x:v>
      </x:c>
      <x:c r="L61" s="55" t="n">
        <x:v>5510</x:v>
      </x:c>
      <x:c r="M61" s="55" t="n">
        <x:v>1429</x:v>
      </x:c>
      <x:c r="N61" s="55" t="n">
        <x:v>2392</x:v>
      </x:c>
      <x:c r="O61" s="55" t="n">
        <x:v>1689</x:v>
      </x:c>
      <x:c r="P61" s="55" t="n">
        <x:v>830</x:v>
      </x:c>
      <x:c r="Q61" s="55" t="n">
        <x:v>1900</x:v>
      </x:c>
      <x:c r="R61" s="55" t="n">
        <x:v>1913</x:v>
      </x:c>
      <x:c r="S61" s="55" t="n">
        <x:v>2325</x:v>
      </x:c>
      <x:c r="T61" s="55" t="n">
        <x:v>1199</x:v>
      </x:c>
      <x:c r="U61" s="55" t="n">
        <x:v>1666</x:v>
      </x:c>
      <x:c r="V61" s="55" t="n">
        <x:v>9852</x:v>
      </x:c>
      <x:c r="W61" s="55" t="n">
        <x:v>7220</x:v>
      </x:c>
      <x:c r="X61" s="55" t="n">
        <x:v>2632</x:v>
      </x:c>
      <x:c r="Y61" s="55" t="n">
        <x:v>2309</x:v>
      </x:c>
      <x:c r="Z61" s="55" t="n">
        <x:v>3926</x:v>
      </x:c>
      <x:c r="AA61" s="55" t="n">
        <x:v>3005</x:v>
      </x:c>
      <x:c r="AB61" s="55" t="n">
        <x:v>678</x:v>
      </x:c>
      <x:c r="AC61" s="55" t="n">
        <x:v>8051</x:v>
      </x:c>
      <x:c r="AD61" s="55" t="n">
        <x:v>3158</x:v>
      </x:c>
      <x:c r="AE61" s="55" t="n">
        <x:v>9869</x:v>
      </x:c>
      <x:c r="AF61" s="55" t="n">
        <x:v>9852</x:v>
      </x:c>
      <x:c r="AG61" s="55" t="n">
        <x:v>17</x:v>
      </x:c>
      <x:c r="AH61" s="55" t="n">
        <x:v>465</x:v>
      </x:c>
      <x:c r="AI61" s="55" t="n">
        <x:v>9387</x:v>
      </x:c>
      <x:c r="AJ61" s="55" t="n">
        <x:v>142</x:v>
      </x:c>
      <x:c r="AK61" s="55" t="n">
        <x:v>924</x:v>
      </x:c>
      <x:c r="AL61" s="55" t="n">
        <x:v>1702</x:v>
      </x:c>
      <x:c r="AM61" s="55" t="n">
        <x:v>4777</x:v>
      </x:c>
      <x:c r="AN61" s="55" t="n">
        <x:v>2307</x:v>
      </x:c>
      <x:c r="AO61" s="55" t="n">
        <x:v>0</x:v>
      </x:c>
      <x:c r="AP61" s="55" t="n">
        <x:v>2375</x:v>
      </x:c>
      <x:c r="AQ61" s="55" t="n">
        <x:v>987</x:v>
      </x:c>
    </x:row>
    <x:row r="62">
      <x:c r="A62" s="54" t="str">
        <x:v>T1_SHARED_CATCHMENT</x:v>
      </x:c>
      <x:c r="B62" s="54" t="n">
        <x:v>56</x:v>
      </x:c>
      <x:c r="C62" s="54" t="str">
        <x:v>NYC-V2-R01</x:v>
      </x:c>
      <x:c r="D62" s="54" t="str">
        <x:v>V2</x:v>
      </x:c>
      <x:c r="E62" s="54" t="str">
        <x:v>ADMITTED</x:v>
      </x:c>
      <x:c r="F62" s="55" t="n">
        <x:v>32224</x:v>
      </x:c>
      <x:c r="G62" s="55" t="n">
        <x:v>7989</x:v>
      </x:c>
      <x:c r="H62" s="55" t="n">
        <x:v>3560</x:v>
      </x:c>
      <x:c r="I62" s="55" t="n">
        <x:v>1502</x:v>
      </x:c>
      <x:c r="J62" s="55" t="n">
        <x:v>284</x:v>
      </x:c>
      <x:c r="K62" s="55" t="n">
        <x:v>32224</x:v>
      </x:c>
      <x:c r="L62" s="55" t="n">
        <x:v>7689</x:v>
      </x:c>
      <x:c r="M62" s="55" t="n">
        <x:v>2258</x:v>
      </x:c>
      <x:c r="N62" s="55" t="n">
        <x:v>3542</x:v>
      </x:c>
      <x:c r="O62" s="55" t="n">
        <x:v>1889</x:v>
      </x:c>
      <x:c r="P62" s="55" t="n">
        <x:v>593</x:v>
      </x:c>
      <x:c r="Q62" s="55" t="n">
        <x:v>2107</x:v>
      </x:c>
      <x:c r="R62" s="55" t="n">
        <x:v>2545</x:v>
      </x:c>
      <x:c r="S62" s="55" t="n">
        <x:v>2775</x:v>
      </x:c>
      <x:c r="T62" s="55" t="n">
        <x:v>1643</x:v>
      </x:c>
      <x:c r="U62" s="55" t="n">
        <x:v>2457</x:v>
      </x:c>
      <x:c r="V62" s="55" t="n">
        <x:v>10731</x:v>
      </x:c>
      <x:c r="W62" s="55" t="n">
        <x:v>7152</x:v>
      </x:c>
      <x:c r="X62" s="55" t="n">
        <x:v>3579</x:v>
      </x:c>
      <x:c r="Y62" s="55" t="n">
        <x:v>3102</x:v>
      </x:c>
      <x:c r="Z62" s="55" t="n">
        <x:v>3652</x:v>
      </x:c>
      <x:c r="AA62" s="55" t="n">
        <x:v>2665</x:v>
      </x:c>
      <x:c r="AB62" s="55" t="n">
        <x:v>1240</x:v>
      </x:c>
      <x:c r="AC62" s="55" t="n">
        <x:v>8730</x:v>
      </x:c>
      <x:c r="AD62" s="55" t="n">
        <x:v>3270</x:v>
      </x:c>
      <x:c r="AE62" s="55" t="n">
        <x:v>10847</x:v>
      </x:c>
      <x:c r="AF62" s="55" t="n">
        <x:v>10731</x:v>
      </x:c>
      <x:c r="AG62" s="55" t="n">
        <x:v>116</x:v>
      </x:c>
      <x:c r="AH62" s="55" t="n">
        <x:v>448</x:v>
      </x:c>
      <x:c r="AI62" s="55" t="n">
        <x:v>10283</x:v>
      </x:c>
      <x:c r="AJ62" s="55" t="n">
        <x:v>345</x:v>
      </x:c>
      <x:c r="AK62" s="55" t="n">
        <x:v>1171</x:v>
      </x:c>
      <x:c r="AL62" s="55" t="n">
        <x:v>1366</x:v>
      </x:c>
      <x:c r="AM62" s="55" t="n">
        <x:v>5557</x:v>
      </x:c>
      <x:c r="AN62" s="55" t="n">
        <x:v>2246</x:v>
      </x:c>
      <x:c r="AO62" s="55" t="n">
        <x:v>46</x:v>
      </x:c>
      <x:c r="AP62" s="55" t="n">
        <x:v>2481</x:v>
      </x:c>
      <x:c r="AQ62" s="55" t="n">
        <x:v>1006</x:v>
      </x:c>
    </x:row>
    <x:row r="63">
      <x:c r="A63" s="54" t="str">
        <x:v>T1_SHARED_CATCHMENT</x:v>
      </x:c>
      <x:c r="B63" s="54" t="n">
        <x:v>57</x:v>
      </x:c>
      <x:c r="C63" s="54" t="str">
        <x:v>NYC-V2-R01</x:v>
      </x:c>
      <x:c r="D63" s="54" t="str">
        <x:v>V2</x:v>
      </x:c>
      <x:c r="E63" s="54" t="str">
        <x:v>ADMITTED</x:v>
      </x:c>
      <x:c r="F63" s="55" t="n">
        <x:v>29606</x:v>
      </x:c>
      <x:c r="G63" s="55" t="n">
        <x:v>7292</x:v>
      </x:c>
      <x:c r="H63" s="55" t="n">
        <x:v>2871</x:v>
      </x:c>
      <x:c r="I63" s="55" t="n">
        <x:v>1246</x:v>
      </x:c>
      <x:c r="J63" s="55" t="n">
        <x:v>317</x:v>
      </x:c>
      <x:c r="K63" s="55" t="n">
        <x:v>29606</x:v>
      </x:c>
      <x:c r="L63" s="55" t="n">
        <x:v>6455</x:v>
      </x:c>
      <x:c r="M63" s="55" t="n">
        <x:v>1212</x:v>
      </x:c>
      <x:c r="N63" s="55" t="n">
        <x:v>3238</x:v>
      </x:c>
      <x:c r="O63" s="55" t="n">
        <x:v>2005</x:v>
      </x:c>
      <x:c r="P63" s="55" t="n">
        <x:v>601</x:v>
      </x:c>
      <x:c r="Q63" s="55" t="n">
        <x:v>2856</x:v>
      </x:c>
      <x:c r="R63" s="55" t="n">
        <x:v>2129</x:v>
      </x:c>
      <x:c r="S63" s="55" t="n">
        <x:v>2118</x:v>
      </x:c>
      <x:c r="T63" s="55" t="n">
        <x:v>1191</x:v>
      </x:c>
      <x:c r="U63" s="55" t="n">
        <x:v>1844</x:v>
      </x:c>
      <x:c r="V63" s="55" t="n">
        <x:v>11294</x:v>
      </x:c>
      <x:c r="W63" s="55" t="n">
        <x:v>8134</x:v>
      </x:c>
      <x:c r="X63" s="55" t="n">
        <x:v>3160</x:v>
      </x:c>
      <x:c r="Y63" s="55" t="n">
        <x:v>2891</x:v>
      </x:c>
      <x:c r="Z63" s="55" t="n">
        <x:v>3752</x:v>
      </x:c>
      <x:c r="AA63" s="55" t="n">
        <x:v>2440</x:v>
      </x:c>
      <x:c r="AB63" s="55" t="n">
        <x:v>902</x:v>
      </x:c>
      <x:c r="AC63" s="55" t="n">
        <x:v>8351</x:v>
      </x:c>
      <x:c r="AD63" s="55" t="n">
        <x:v>2872</x:v>
      </x:c>
      <x:c r="AE63" s="55" t="n">
        <x:v>11460</x:v>
      </x:c>
      <x:c r="AF63" s="55" t="n">
        <x:v>11294</x:v>
      </x:c>
      <x:c r="AG63" s="55" t="n">
        <x:v>166</x:v>
      </x:c>
      <x:c r="AH63" s="55" t="n">
        <x:v>468</x:v>
      </x:c>
      <x:c r="AI63" s="55" t="n">
        <x:v>10826</x:v>
      </x:c>
      <x:c r="AJ63" s="55" t="n">
        <x:v>220</x:v>
      </x:c>
      <x:c r="AK63" s="55" t="n">
        <x:v>764</x:v>
      </x:c>
      <x:c r="AL63" s="55" t="n">
        <x:v>1860</x:v>
      </x:c>
      <x:c r="AM63" s="55" t="n">
        <x:v>5315</x:v>
      </x:c>
      <x:c r="AN63" s="55" t="n">
        <x:v>3089</x:v>
      </x:c>
      <x:c r="AO63" s="55" t="n">
        <x:v>46</x:v>
      </x:c>
      <x:c r="AP63" s="55" t="n">
        <x:v>2868</x:v>
      </x:c>
      <x:c r="AQ63" s="55" t="n">
        <x:v>957</x:v>
      </x:c>
    </x:row>
    <x:row r="64">
      <x:c r="A64" s="54" t="str">
        <x:v>T1_SHARED_CATCHMENT</x:v>
      </x:c>
      <x:c r="B64" s="54" t="n">
        <x:v>58</x:v>
      </x:c>
      <x:c r="C64" s="54" t="str">
        <x:v>NYC-V2-R01</x:v>
      </x:c>
      <x:c r="D64" s="54" t="str">
        <x:v>V2</x:v>
      </x:c>
      <x:c r="E64" s="54" t="str">
        <x:v>ADMITTED</x:v>
      </x:c>
      <x:c r="F64" s="55" t="n">
        <x:v>29967</x:v>
      </x:c>
      <x:c r="G64" s="55" t="n">
        <x:v>7320</x:v>
      </x:c>
      <x:c r="H64" s="55" t="n">
        <x:v>3166</x:v>
      </x:c>
      <x:c r="I64" s="55" t="n">
        <x:v>1171</x:v>
      </x:c>
      <x:c r="J64" s="55" t="n">
        <x:v>184</x:v>
      </x:c>
      <x:c r="K64" s="55" t="n">
        <x:v>29618</x:v>
      </x:c>
      <x:c r="L64" s="55" t="n">
        <x:v>5185</x:v>
      </x:c>
      <x:c r="M64" s="55" t="n">
        <x:v>840</x:v>
      </x:c>
      <x:c r="N64" s="55" t="n">
        <x:v>2666</x:v>
      </x:c>
      <x:c r="O64" s="55" t="n">
        <x:v>1679</x:v>
      </x:c>
      <x:c r="P64" s="55" t="n">
        <x:v>672</x:v>
      </x:c>
      <x:c r="Q64" s="55" t="n">
        <x:v>2424</x:v>
      </x:c>
      <x:c r="R64" s="55" t="n">
        <x:v>1967</x:v>
      </x:c>
      <x:c r="S64" s="55" t="n">
        <x:v>1955</x:v>
      </x:c>
      <x:c r="T64" s="55" t="n">
        <x:v>942</x:v>
      </x:c>
      <x:c r="U64" s="55" t="n">
        <x:v>1700</x:v>
      </x:c>
      <x:c r="V64" s="55" t="n">
        <x:v>10414</x:v>
      </x:c>
      <x:c r="W64" s="55" t="n">
        <x:v>7246</x:v>
      </x:c>
      <x:c r="X64" s="55" t="n">
        <x:v>3168</x:v>
      </x:c>
      <x:c r="Y64" s="55" t="n">
        <x:v>2665</x:v>
      </x:c>
      <x:c r="Z64" s="55" t="n">
        <x:v>3316</x:v>
      </x:c>
      <x:c r="AA64" s="55" t="n">
        <x:v>2670</x:v>
      </x:c>
      <x:c r="AB64" s="55" t="n">
        <x:v>975</x:v>
      </x:c>
      <x:c r="AC64" s="55" t="n">
        <x:v>7980</x:v>
      </x:c>
      <x:c r="AD64" s="55" t="n">
        <x:v>2904</x:v>
      </x:c>
      <x:c r="AE64" s="55" t="n">
        <x:v>10444</x:v>
      </x:c>
      <x:c r="AF64" s="55" t="n">
        <x:v>10414</x:v>
      </x:c>
      <x:c r="AG64" s="55" t="n">
        <x:v>30</x:v>
      </x:c>
      <x:c r="AH64" s="55" t="n">
        <x:v>285</x:v>
      </x:c>
      <x:c r="AI64" s="55" t="n">
        <x:v>10129</x:v>
      </x:c>
      <x:c r="AJ64" s="55" t="n">
        <x:v>215</x:v>
      </x:c>
      <x:c r="AK64" s="55" t="n">
        <x:v>1003</x:v>
      </x:c>
      <x:c r="AL64" s="55" t="n">
        <x:v>1472</x:v>
      </x:c>
      <x:c r="AM64" s="55" t="n">
        <x:v>5319</x:v>
      </x:c>
      <x:c r="AN64" s="55" t="n">
        <x:v>2351</x:v>
      </x:c>
      <x:c r="AO64" s="55" t="n">
        <x:v>54</x:v>
      </x:c>
      <x:c r="AP64" s="55" t="n">
        <x:v>2088</x:v>
      </x:c>
      <x:c r="AQ64" s="55" t="n">
        <x:v>934</x:v>
      </x:c>
    </x:row>
    <x:row r="65">
      <x:c r="A65" s="54" t="str">
        <x:v>T1_SHARED_CATCHMENT</x:v>
      </x:c>
      <x:c r="B65" s="54" t="n">
        <x:v>59</x:v>
      </x:c>
      <x:c r="C65" s="54" t="str">
        <x:v>NYC-V2-R01</x:v>
      </x:c>
      <x:c r="D65" s="54" t="str">
        <x:v>V2</x:v>
      </x:c>
      <x:c r="E65" s="54" t="str">
        <x:v>ADMITTED</x:v>
      </x:c>
      <x:c r="F65" s="55" t="n">
        <x:v>33075</x:v>
      </x:c>
      <x:c r="G65" s="55" t="n">
        <x:v>8931</x:v>
      </x:c>
      <x:c r="H65" s="55" t="n">
        <x:v>3455</x:v>
      </x:c>
      <x:c r="I65" s="55" t="n">
        <x:v>1112</x:v>
      </x:c>
      <x:c r="J65" s="55" t="n">
        <x:v>301</x:v>
      </x:c>
      <x:c r="K65" s="55" t="n">
        <x:v>29966</x:v>
      </x:c>
      <x:c r="L65" s="55" t="n">
        <x:v>6829</x:v>
      </x:c>
      <x:c r="M65" s="55" t="n">
        <x:v>2834</x:v>
      </x:c>
      <x:c r="N65" s="55" t="n">
        <x:v>2365</x:v>
      </x:c>
      <x:c r="O65" s="55" t="n">
        <x:v>1630</x:v>
      </x:c>
      <x:c r="P65" s="55" t="n">
        <x:v>1238</x:v>
      </x:c>
      <x:c r="Q65" s="55" t="n">
        <x:v>2636</x:v>
      </x:c>
      <x:c r="R65" s="55" t="n">
        <x:v>2314</x:v>
      </x:c>
      <x:c r="S65" s="55" t="n">
        <x:v>3175</x:v>
      </x:c>
      <x:c r="T65" s="55" t="n">
        <x:v>1460</x:v>
      </x:c>
      <x:c r="U65" s="55" t="n">
        <x:v>1829</x:v>
      </x:c>
      <x:c r="V65" s="55" t="n">
        <x:v>11078</x:v>
      </x:c>
      <x:c r="W65" s="55" t="n">
        <x:v>7895</x:v>
      </x:c>
      <x:c r="X65" s="55" t="n">
        <x:v>3183</x:v>
      </x:c>
      <x:c r="Y65" s="55" t="n">
        <x:v>2653</x:v>
      </x:c>
      <x:c r="Z65" s="55" t="n">
        <x:v>3969</x:v>
      </x:c>
      <x:c r="AA65" s="55" t="n">
        <x:v>3092</x:v>
      </x:c>
      <x:c r="AB65" s="55" t="n">
        <x:v>1042</x:v>
      </x:c>
      <x:c r="AC65" s="55" t="n">
        <x:v>7889</x:v>
      </x:c>
      <x:c r="AD65" s="55" t="n">
        <x:v>2759</x:v>
      </x:c>
      <x:c r="AE65" s="55" t="n">
        <x:v>11159</x:v>
      </x:c>
      <x:c r="AF65" s="55" t="n">
        <x:v>11078</x:v>
      </x:c>
      <x:c r="AG65" s="55" t="n">
        <x:v>81</x:v>
      </x:c>
      <x:c r="AH65" s="55" t="n">
        <x:v>439</x:v>
      </x:c>
      <x:c r="AI65" s="55" t="n">
        <x:v>10639</x:v>
      </x:c>
      <x:c r="AJ65" s="55" t="n">
        <x:v>321</x:v>
      </x:c>
      <x:c r="AK65" s="55" t="n">
        <x:v>1113</x:v>
      </x:c>
      <x:c r="AL65" s="55" t="n">
        <x:v>1897</x:v>
      </x:c>
      <x:c r="AM65" s="55" t="n">
        <x:v>5200</x:v>
      </x:c>
      <x:c r="AN65" s="55" t="n">
        <x:v>2547</x:v>
      </x:c>
      <x:c r="AO65" s="55" t="n">
        <x:v>0</x:v>
      </x:c>
      <x:c r="AP65" s="55" t="n">
        <x:v>2292</x:v>
      </x:c>
      <x:c r="AQ65" s="55" t="n">
        <x:v>965</x:v>
      </x:c>
    </x:row>
    <x:row r="66">
      <x:c r="A66" s="54" t="str">
        <x:v>T1_SHARED_CATCHMENT</x:v>
      </x:c>
      <x:c r="B66" s="54" t="n">
        <x:v>60</x:v>
      </x:c>
      <x:c r="C66" s="54" t="str">
        <x:v>NYC-V2-R01</x:v>
      </x:c>
      <x:c r="D66" s="54" t="str">
        <x:v>V2</x:v>
      </x:c>
      <x:c r="E66" s="54" t="str">
        <x:v>ADMITTED</x:v>
      </x:c>
      <x:c r="F66" s="55" t="n">
        <x:v>31202</x:v>
      </x:c>
      <x:c r="G66" s="55" t="n">
        <x:v>7579</x:v>
      </x:c>
      <x:c r="H66" s="55" t="n">
        <x:v>3333</x:v>
      </x:c>
      <x:c r="I66" s="55" t="n">
        <x:v>1721</x:v>
      </x:c>
      <x:c r="J66" s="55" t="n">
        <x:v>124</x:v>
      </x:c>
      <x:c r="K66" s="55" t="n">
        <x:v>29961</x:v>
      </x:c>
      <x:c r="L66" s="55" t="n">
        <x:v>4393</x:v>
      </x:c>
      <x:c r="M66" s="55" t="n">
        <x:v>290</x:v>
      </x:c>
      <x:c r="N66" s="55" t="n">
        <x:v>2363</x:v>
      </x:c>
      <x:c r="O66" s="55" t="n">
        <x:v>1740</x:v>
      </x:c>
      <x:c r="P66" s="55" t="n">
        <x:v>1037</x:v>
      </x:c>
      <x:c r="Q66" s="55" t="n">
        <x:v>1647</x:v>
      </x:c>
      <x:c r="R66" s="55" t="n">
        <x:v>2107</x:v>
      </x:c>
      <x:c r="S66" s="55" t="n">
        <x:v>2618</x:v>
      </x:c>
      <x:c r="T66" s="55" t="n">
        <x:v>1129</x:v>
      </x:c>
      <x:c r="U66" s="55" t="n">
        <x:v>1834</x:v>
      </x:c>
      <x:c r="V66" s="55" t="n">
        <x:v>10859</x:v>
      </x:c>
      <x:c r="W66" s="55" t="n">
        <x:v>7645</x:v>
      </x:c>
      <x:c r="X66" s="55" t="n">
        <x:v>3214</x:v>
      </x:c>
      <x:c r="Y66" s="55" t="n">
        <x:v>2775</x:v>
      </x:c>
      <x:c r="Z66" s="55" t="n">
        <x:v>3189</x:v>
      </x:c>
      <x:c r="AA66" s="55" t="n">
        <x:v>3135</x:v>
      </x:c>
      <x:c r="AB66" s="55" t="n">
        <x:v>915</x:v>
      </x:c>
      <x:c r="AC66" s="55" t="n">
        <x:v>7675</x:v>
      </x:c>
      <x:c r="AD66" s="55" t="n">
        <x:v>2669</x:v>
      </x:c>
      <x:c r="AE66" s="55" t="n">
        <x:v>10981</x:v>
      </x:c>
      <x:c r="AF66" s="55" t="n">
        <x:v>10859</x:v>
      </x:c>
      <x:c r="AG66" s="55" t="n">
        <x:v>122</x:v>
      </x:c>
      <x:c r="AH66" s="55" t="n">
        <x:v>342</x:v>
      </x:c>
      <x:c r="AI66" s="55" t="n">
        <x:v>10517</x:v>
      </x:c>
      <x:c r="AJ66" s="55" t="n">
        <x:v>365</x:v>
      </x:c>
      <x:c r="AK66" s="55" t="n">
        <x:v>659</x:v>
      </x:c>
      <x:c r="AL66" s="55" t="n">
        <x:v>1207</x:v>
      </x:c>
      <x:c r="AM66" s="55" t="n">
        <x:v>5685</x:v>
      </x:c>
      <x:c r="AN66" s="55" t="n">
        <x:v>2943</x:v>
      </x:c>
      <x:c r="AO66" s="55" t="n">
        <x:v>0</x:v>
      </x:c>
      <x:c r="AP66" s="55" t="n">
        <x:v>2110</x:v>
      </x:c>
      <x:c r="AQ66" s="55" t="n">
        <x:v>906</x:v>
      </x:c>
    </x:row>
    <x:row r="67">
      <x:c r="A67" s="54" t="str">
        <x:v>T1_SHARED_CATCHMENT</x:v>
      </x:c>
      <x:c r="B67" s="54" t="n">
        <x:v>61</x:v>
      </x:c>
      <x:c r="C67" s="54" t="str">
        <x:v>NYC-V2-R01</x:v>
      </x:c>
      <x:c r="D67" s="54" t="str">
        <x:v>V2</x:v>
      </x:c>
      <x:c r="E67" s="54" t="str">
        <x:v>ADMITTED</x:v>
      </x:c>
      <x:c r="F67" s="55" t="n">
        <x:v>32309</x:v>
      </x:c>
      <x:c r="G67" s="55" t="n">
        <x:v>5668</x:v>
      </x:c>
      <x:c r="H67" s="55" t="n">
        <x:v>3479</x:v>
      </x:c>
      <x:c r="I67" s="55" t="n">
        <x:v>1409</x:v>
      </x:c>
      <x:c r="J67" s="55" t="n">
        <x:v>282</x:v>
      </x:c>
      <x:c r="K67" s="55" t="n">
        <x:v>32309</x:v>
      </x:c>
      <x:c r="L67" s="55" t="n">
        <x:v>6137</x:v>
      </x:c>
      <x:c r="M67" s="55" t="n">
        <x:v>1477</x:v>
      </x:c>
      <x:c r="N67" s="55" t="n">
        <x:v>3075</x:v>
      </x:c>
      <x:c r="O67" s="55" t="n">
        <x:v>1585</x:v>
      </x:c>
      <x:c r="P67" s="55" t="n">
        <x:v>511</x:v>
      </x:c>
      <x:c r="Q67" s="55" t="n">
        <x:v>2247</x:v>
      </x:c>
      <x:c r="R67" s="55" t="n">
        <x:v>1714</x:v>
      </x:c>
      <x:c r="S67" s="55" t="n">
        <x:v>2812</x:v>
      </x:c>
      <x:c r="T67" s="55" t="n">
        <x:v>1136</x:v>
      </x:c>
      <x:c r="U67" s="55" t="n">
        <x:v>2154</x:v>
      </x:c>
      <x:c r="V67" s="55" t="n">
        <x:v>10433</x:v>
      </x:c>
      <x:c r="W67" s="55" t="n">
        <x:v>7450</x:v>
      </x:c>
      <x:c r="X67" s="55" t="n">
        <x:v>2983</x:v>
      </x:c>
      <x:c r="Y67" s="55" t="n">
        <x:v>2728</x:v>
      </x:c>
      <x:c r="Z67" s="55" t="n">
        <x:v>3429</x:v>
      </x:c>
      <x:c r="AA67" s="55" t="n">
        <x:v>3472</x:v>
      </x:c>
      <x:c r="AB67" s="55" t="n">
        <x:v>1140</x:v>
      </x:c>
      <x:c r="AC67" s="55" t="n">
        <x:v>9252</x:v>
      </x:c>
      <x:c r="AD67" s="55" t="n">
        <x:v>2190</x:v>
      </x:c>
      <x:c r="AE67" s="55" t="n">
        <x:v>10519</x:v>
      </x:c>
      <x:c r="AF67" s="55" t="n">
        <x:v>10433</x:v>
      </x:c>
      <x:c r="AG67" s="55" t="n">
        <x:v>86</x:v>
      </x:c>
      <x:c r="AH67" s="55" t="n">
        <x:v>377</x:v>
      </x:c>
      <x:c r="AI67" s="55" t="n">
        <x:v>10056</x:v>
      </x:c>
      <x:c r="AJ67" s="55" t="n">
        <x:v>431</x:v>
      </x:c>
      <x:c r="AK67" s="55" t="n">
        <x:v>693</x:v>
      </x:c>
      <x:c r="AL67" s="55" t="n">
        <x:v>1483</x:v>
      </x:c>
      <x:c r="AM67" s="55" t="n">
        <x:v>5135</x:v>
      </x:c>
      <x:c r="AN67" s="55" t="n">
        <x:v>2648</x:v>
      </x:c>
      <x:c r="AO67" s="55" t="n">
        <x:v>43</x:v>
      </x:c>
      <x:c r="AP67" s="55" t="n">
        <x:v>1885</x:v>
      </x:c>
      <x:c r="AQ67" s="55" t="n">
        <x:v>950</x:v>
      </x:c>
    </x:row>
    <x:row r="68">
      <x:c r="A68" s="54" t="str">
        <x:v>T1_SHARED_CATCHMENT</x:v>
      </x:c>
      <x:c r="B68" s="54" t="n">
        <x:v>62</x:v>
      </x:c>
      <x:c r="C68" s="54" t="str">
        <x:v>NYC-V2-R01</x:v>
      </x:c>
      <x:c r="D68" s="54" t="str">
        <x:v>V2</x:v>
      </x:c>
      <x:c r="E68" s="54" t="str">
        <x:v>ADMITTED</x:v>
      </x:c>
      <x:c r="F68" s="55" t="n">
        <x:v>32262</x:v>
      </x:c>
      <x:c r="G68" s="55" t="n">
        <x:v>7434</x:v>
      </x:c>
      <x:c r="H68" s="55" t="n">
        <x:v>3858</x:v>
      </x:c>
      <x:c r="I68" s="55" t="n">
        <x:v>1757</x:v>
      </x:c>
      <x:c r="J68" s="55" t="n">
        <x:v>332</x:v>
      </x:c>
      <x:c r="K68" s="55" t="n">
        <x:v>32262</x:v>
      </x:c>
      <x:c r="L68" s="55" t="n">
        <x:v>7296</x:v>
      </x:c>
      <x:c r="M68" s="55" t="n">
        <x:v>2331</x:v>
      </x:c>
      <x:c r="N68" s="55" t="n">
        <x:v>3005</x:v>
      </x:c>
      <x:c r="O68" s="55" t="n">
        <x:v>1960</x:v>
      </x:c>
      <x:c r="P68" s="55" t="n">
        <x:v>1259</x:v>
      </x:c>
      <x:c r="Q68" s="55" t="n">
        <x:v>2753</x:v>
      </x:c>
      <x:c r="R68" s="55" t="n">
        <x:v>1864</x:v>
      </x:c>
      <x:c r="S68" s="55" t="n">
        <x:v>4146</x:v>
      </x:c>
      <x:c r="T68" s="55" t="n">
        <x:v>974</x:v>
      </x:c>
      <x:c r="U68" s="55" t="n">
        <x:v>1770</x:v>
      </x:c>
      <x:c r="V68" s="55" t="n">
        <x:v>10994</x:v>
      </x:c>
      <x:c r="W68" s="55" t="n">
        <x:v>7980</x:v>
      </x:c>
      <x:c r="X68" s="55" t="n">
        <x:v>3014</x:v>
      </x:c>
      <x:c r="Y68" s="55" t="n">
        <x:v>2624</x:v>
      </x:c>
      <x:c r="Z68" s="55" t="n">
        <x:v>3918</x:v>
      </x:c>
      <x:c r="AA68" s="55" t="n">
        <x:v>3299</x:v>
      </x:c>
      <x:c r="AB68" s="55" t="n">
        <x:v>1057</x:v>
      </x:c>
      <x:c r="AC68" s="55" t="n">
        <x:v>8304</x:v>
      </x:c>
      <x:c r="AD68" s="55" t="n">
        <x:v>3236</x:v>
      </x:c>
      <x:c r="AE68" s="55" t="n">
        <x:v>11153</x:v>
      </x:c>
      <x:c r="AF68" s="55" t="n">
        <x:v>10994</x:v>
      </x:c>
      <x:c r="AG68" s="55" t="n">
        <x:v>159</x:v>
      </x:c>
      <x:c r="AH68" s="55" t="n">
        <x:v>535</x:v>
      </x:c>
      <x:c r="AI68" s="55" t="n">
        <x:v>10459</x:v>
      </x:c>
      <x:c r="AJ68" s="55" t="n">
        <x:v>256</x:v>
      </x:c>
      <x:c r="AK68" s="55" t="n">
        <x:v>927</x:v>
      </x:c>
      <x:c r="AL68" s="55" t="n">
        <x:v>2087</x:v>
      </x:c>
      <x:c r="AM68" s="55" t="n">
        <x:v>4636</x:v>
      </x:c>
      <x:c r="AN68" s="55" t="n">
        <x:v>2983</x:v>
      </x:c>
      <x:c r="AO68" s="55" t="n">
        <x:v>105</x:v>
      </x:c>
      <x:c r="AP68" s="55" t="n">
        <x:v>2621</x:v>
      </x:c>
      <x:c r="AQ68" s="55" t="n">
        <x:v>997</x:v>
      </x:c>
    </x:row>
    <x:row r="69">
      <x:c r="A69" s="54" t="str">
        <x:v>T1_SHARED_CATCHMENT</x:v>
      </x:c>
      <x:c r="B69" s="54" t="n">
        <x:v>63</x:v>
      </x:c>
      <x:c r="C69" s="54" t="str">
        <x:v>NYC-V2-R01</x:v>
      </x:c>
      <x:c r="D69" s="54" t="str">
        <x:v>V2</x:v>
      </x:c>
      <x:c r="E69" s="54" t="str">
        <x:v>ADMITTED</x:v>
      </x:c>
      <x:c r="F69" s="55" t="n">
        <x:v>31268</x:v>
      </x:c>
      <x:c r="G69" s="55" t="n">
        <x:v>7916</x:v>
      </x:c>
      <x:c r="H69" s="55" t="n">
        <x:v>3386</x:v>
      </x:c>
      <x:c r="I69" s="55" t="n">
        <x:v>1230</x:v>
      </x:c>
      <x:c r="J69" s="55" t="n">
        <x:v>49</x:v>
      </x:c>
      <x:c r="K69" s="55" t="n">
        <x:v>29878</x:v>
      </x:c>
      <x:c r="L69" s="55" t="n">
        <x:v>5385</x:v>
      </x:c>
      <x:c r="M69" s="55" t="n">
        <x:v>1412</x:v>
      </x:c>
      <x:c r="N69" s="55" t="n">
        <x:v>2317</x:v>
      </x:c>
      <x:c r="O69" s="55" t="n">
        <x:v>1656</x:v>
      </x:c>
      <x:c r="P69" s="55" t="n">
        <x:v>327</x:v>
      </x:c>
      <x:c r="Q69" s="55" t="n">
        <x:v>2640</x:v>
      </x:c>
      <x:c r="R69" s="55" t="n">
        <x:v>1805</x:v>
      </x:c>
      <x:c r="S69" s="55" t="n">
        <x:v>2820</x:v>
      </x:c>
      <x:c r="T69" s="55" t="n">
        <x:v>1292</x:v>
      </x:c>
      <x:c r="U69" s="55" t="n">
        <x:v>2221</x:v>
      </x:c>
      <x:c r="V69" s="55" t="n">
        <x:v>10714</x:v>
      </x:c>
      <x:c r="W69" s="55" t="n">
        <x:v>7795</x:v>
      </x:c>
      <x:c r="X69" s="55" t="n">
        <x:v>2919</x:v>
      </x:c>
      <x:c r="Y69" s="55" t="n">
        <x:v>2540</x:v>
      </x:c>
      <x:c r="Z69" s="55" t="n">
        <x:v>3458</x:v>
      </x:c>
      <x:c r="AA69" s="55" t="n">
        <x:v>2866</x:v>
      </x:c>
      <x:c r="AB69" s="55" t="n">
        <x:v>982</x:v>
      </x:c>
      <x:c r="AC69" s="55" t="n">
        <x:v>8482</x:v>
      </x:c>
      <x:c r="AD69" s="55" t="n">
        <x:v>3508</x:v>
      </x:c>
      <x:c r="AE69" s="55" t="n">
        <x:v>10801</x:v>
      </x:c>
      <x:c r="AF69" s="55" t="n">
        <x:v>10714</x:v>
      </x:c>
      <x:c r="AG69" s="55" t="n">
        <x:v>87</x:v>
      </x:c>
      <x:c r="AH69" s="55" t="n">
        <x:v>625</x:v>
      </x:c>
      <x:c r="AI69" s="55" t="n">
        <x:v>10089</x:v>
      </x:c>
      <x:c r="AJ69" s="55" t="n">
        <x:v>226</x:v>
      </x:c>
      <x:c r="AK69" s="55" t="n">
        <x:v>912</x:v>
      </x:c>
      <x:c r="AL69" s="55" t="n">
        <x:v>1496</x:v>
      </x:c>
      <x:c r="AM69" s="55" t="n">
        <x:v>4740</x:v>
      </x:c>
      <x:c r="AN69" s="55" t="n">
        <x:v>3340</x:v>
      </x:c>
      <x:c r="AO69" s="55" t="n">
        <x:v>0</x:v>
      </x:c>
      <x:c r="AP69" s="55" t="n">
        <x:v>2128</x:v>
      </x:c>
      <x:c r="AQ69" s="55" t="n">
        <x:v>914</x:v>
      </x:c>
    </x:row>
    <x:row r="70">
      <x:c r="A70" s="54" t="str">
        <x:v>T1_SHARED_CATCHMENT</x:v>
      </x:c>
      <x:c r="B70" s="54" t="n">
        <x:v>64</x:v>
      </x:c>
      <x:c r="C70" s="54" t="str">
        <x:v>NYC-V2-R01</x:v>
      </x:c>
      <x:c r="D70" s="54" t="str">
        <x:v>V2</x:v>
      </x:c>
      <x:c r="E70" s="54" t="str">
        <x:v>ADMITTED</x:v>
      </x:c>
      <x:c r="F70" s="55" t="n">
        <x:v>32997</x:v>
      </x:c>
      <x:c r="G70" s="55" t="n">
        <x:v>8599</x:v>
      </x:c>
      <x:c r="H70" s="55" t="n">
        <x:v>3452</x:v>
      </x:c>
      <x:c r="I70" s="55" t="n">
        <x:v>1605</x:v>
      </x:c>
      <x:c r="J70" s="55" t="n">
        <x:v>334</x:v>
      </x:c>
      <x:c r="K70" s="55" t="n">
        <x:v>29793</x:v>
      </x:c>
      <x:c r="L70" s="55" t="n">
        <x:v>6017</x:v>
      </x:c>
      <x:c r="M70" s="55" t="n">
        <x:v>1758</x:v>
      </x:c>
      <x:c r="N70" s="55" t="n">
        <x:v>2224</x:v>
      </x:c>
      <x:c r="O70" s="55" t="n">
        <x:v>2035</x:v>
      </x:c>
      <x:c r="P70" s="55" t="n">
        <x:v>667</x:v>
      </x:c>
      <x:c r="Q70" s="55" t="n">
        <x:v>2242</x:v>
      </x:c>
      <x:c r="R70" s="55" t="n">
        <x:v>2369</x:v>
      </x:c>
      <x:c r="S70" s="55" t="n">
        <x:v>3473</x:v>
      </x:c>
      <x:c r="T70" s="55" t="n">
        <x:v>1148</x:v>
      </x:c>
      <x:c r="U70" s="55" t="n">
        <x:v>1767</x:v>
      </x:c>
      <x:c r="V70" s="55" t="n">
        <x:v>11178</x:v>
      </x:c>
      <x:c r="W70" s="55" t="n">
        <x:v>7533</x:v>
      </x:c>
      <x:c r="X70" s="55" t="n">
        <x:v>3645</x:v>
      </x:c>
      <x:c r="Y70" s="55" t="n">
        <x:v>3207</x:v>
      </x:c>
      <x:c r="Z70" s="55" t="n">
        <x:v>3684</x:v>
      </x:c>
      <x:c r="AA70" s="55" t="n">
        <x:v>3233</x:v>
      </x:c>
      <x:c r="AB70" s="55" t="n">
        <x:v>1103</x:v>
      </x:c>
      <x:c r="AC70" s="55" t="n">
        <x:v>8111</x:v>
      </x:c>
      <x:c r="AD70" s="55" t="n">
        <x:v>3589</x:v>
      </x:c>
      <x:c r="AE70" s="55" t="n">
        <x:v>11229</x:v>
      </x:c>
      <x:c r="AF70" s="55" t="n">
        <x:v>11178</x:v>
      </x:c>
      <x:c r="AG70" s="55" t="n">
        <x:v>51</x:v>
      </x:c>
      <x:c r="AH70" s="55" t="n">
        <x:v>796</x:v>
      </x:c>
      <x:c r="AI70" s="55" t="n">
        <x:v>10382</x:v>
      </x:c>
      <x:c r="AJ70" s="55" t="n">
        <x:v>278</x:v>
      </x:c>
      <x:c r="AK70" s="55" t="n">
        <x:v>949</x:v>
      </x:c>
      <x:c r="AL70" s="55" t="n">
        <x:v>1910</x:v>
      </x:c>
      <x:c r="AM70" s="55" t="n">
        <x:v>5245</x:v>
      </x:c>
      <x:c r="AN70" s="55" t="n">
        <x:v>2796</x:v>
      </x:c>
      <x:c r="AO70" s="55" t="n">
        <x:v>0</x:v>
      </x:c>
      <x:c r="AP70" s="55" t="n">
        <x:v>2401</x:v>
      </x:c>
      <x:c r="AQ70" s="55" t="n">
        <x:v>954</x:v>
      </x:c>
    </x:row>
    <x:row r="71">
      <x:c r="A71" s="54" t="str">
        <x:v>T1_SHARED_CATCHMENT</x:v>
      </x:c>
      <x:c r="B71" s="54" t="n">
        <x:v>65</x:v>
      </x:c>
      <x:c r="C71" s="54" t="str">
        <x:v>NYC-V2-R01</x:v>
      </x:c>
      <x:c r="D71" s="54" t="str">
        <x:v>V2</x:v>
      </x:c>
      <x:c r="E71" s="54" t="str">
        <x:v>ADMITTED</x:v>
      </x:c>
      <x:c r="F71" s="55" t="n">
        <x:v>30836</x:v>
      </x:c>
      <x:c r="G71" s="55" t="n">
        <x:v>7878</x:v>
      </x:c>
      <x:c r="H71" s="55" t="n">
        <x:v>2975</x:v>
      </x:c>
      <x:c r="I71" s="55" t="n">
        <x:v>1165</x:v>
      </x:c>
      <x:c r="J71" s="55" t="n">
        <x:v>117</x:v>
      </x:c>
      <x:c r="K71" s="55" t="n">
        <x:v>30836</x:v>
      </x:c>
      <x:c r="L71" s="55" t="n">
        <x:v>5783</x:v>
      </x:c>
      <x:c r="M71" s="55" t="n">
        <x:v>1659</x:v>
      </x:c>
      <x:c r="N71" s="55" t="n">
        <x:v>2646</x:v>
      </x:c>
      <x:c r="O71" s="55" t="n">
        <x:v>1478</x:v>
      </x:c>
      <x:c r="P71" s="55" t="n">
        <x:v>385</x:v>
      </x:c>
      <x:c r="Q71" s="55" t="n">
        <x:v>1753</x:v>
      </x:c>
      <x:c r="R71" s="55" t="n">
        <x:v>1751</x:v>
      </x:c>
      <x:c r="S71" s="55" t="n">
        <x:v>2929</x:v>
      </x:c>
      <x:c r="T71" s="55" t="n">
        <x:v>915</x:v>
      </x:c>
      <x:c r="U71" s="55" t="n">
        <x:v>1801</x:v>
      </x:c>
      <x:c r="V71" s="55" t="n">
        <x:v>10175</x:v>
      </x:c>
      <x:c r="W71" s="55" t="n">
        <x:v>7406</x:v>
      </x:c>
      <x:c r="X71" s="55" t="n">
        <x:v>2769</x:v>
      </x:c>
      <x:c r="Y71" s="55" t="n">
        <x:v>2507</x:v>
      </x:c>
      <x:c r="Z71" s="55" t="n">
        <x:v>3807</x:v>
      </x:c>
      <x:c r="AA71" s="55" t="n">
        <x:v>2975</x:v>
      </x:c>
      <x:c r="AB71" s="55" t="n">
        <x:v>1401</x:v>
      </x:c>
      <x:c r="AC71" s="55" t="n">
        <x:v>7666</x:v>
      </x:c>
      <x:c r="AD71" s="55" t="n">
        <x:v>2550</x:v>
      </x:c>
      <x:c r="AE71" s="55" t="n">
        <x:v>10195</x:v>
      </x:c>
      <x:c r="AF71" s="55" t="n">
        <x:v>10175</x:v>
      </x:c>
      <x:c r="AG71" s="55" t="n">
        <x:v>20</x:v>
      </x:c>
      <x:c r="AH71" s="55" t="n">
        <x:v>329</x:v>
      </x:c>
      <x:c r="AI71" s="55" t="n">
        <x:v>9846</x:v>
      </x:c>
      <x:c r="AJ71" s="55" t="n">
        <x:v>285</x:v>
      </x:c>
      <x:c r="AK71" s="55" t="n">
        <x:v>838</x:v>
      </x:c>
      <x:c r="AL71" s="55" t="n">
        <x:v>2257</x:v>
      </x:c>
      <x:c r="AM71" s="55" t="n">
        <x:v>5040</x:v>
      </x:c>
      <x:c r="AN71" s="55" t="n">
        <x:v>1755</x:v>
      </x:c>
      <x:c r="AO71" s="55" t="n">
        <x:v>0</x:v>
      </x:c>
      <x:c r="AP71" s="55" t="n">
        <x:v>2321</x:v>
      </x:c>
      <x:c r="AQ71" s="55" t="n">
        <x:v>965</x:v>
      </x:c>
    </x:row>
    <x:row r="72">
      <x:c r="A72" s="54" t="str">
        <x:v>T1_SHARED_CATCHMENT</x:v>
      </x:c>
      <x:c r="B72" s="54" t="n">
        <x:v>66</x:v>
      </x:c>
      <x:c r="C72" s="54" t="str">
        <x:v>NYC-V2-R01</x:v>
      </x:c>
      <x:c r="D72" s="54" t="str">
        <x:v>V2</x:v>
      </x:c>
      <x:c r="E72" s="54" t="str">
        <x:v>ADMITTED</x:v>
      </x:c>
      <x:c r="F72" s="55" t="n">
        <x:v>29683</x:v>
      </x:c>
      <x:c r="G72" s="55" t="n">
        <x:v>7893</x:v>
      </x:c>
      <x:c r="H72" s="55" t="n">
        <x:v>3280</x:v>
      </x:c>
      <x:c r="I72" s="55" t="n">
        <x:v>1229</x:v>
      </x:c>
      <x:c r="J72" s="55" t="n">
        <x:v>195</x:v>
      </x:c>
      <x:c r="K72" s="55" t="n">
        <x:v>29065</x:v>
      </x:c>
      <x:c r="L72" s="55" t="n">
        <x:v>4487</x:v>
      </x:c>
      <x:c r="M72" s="55" t="n">
        <x:v>237</x:v>
      </x:c>
      <x:c r="N72" s="55" t="n">
        <x:v>2279</x:v>
      </x:c>
      <x:c r="O72" s="55" t="n">
        <x:v>1971</x:v>
      </x:c>
      <x:c r="P72" s="55" t="n">
        <x:v>894</x:v>
      </x:c>
      <x:c r="Q72" s="55" t="n">
        <x:v>2162</x:v>
      </x:c>
      <x:c r="R72" s="55" t="n">
        <x:v>1805</x:v>
      </x:c>
      <x:c r="S72" s="55" t="n">
        <x:v>3056</x:v>
      </x:c>
      <x:c r="T72" s="55" t="n">
        <x:v>1377</x:v>
      </x:c>
      <x:c r="U72" s="55" t="n">
        <x:v>2434</x:v>
      </x:c>
      <x:c r="V72" s="55" t="n">
        <x:v>10478</x:v>
      </x:c>
      <x:c r="W72" s="55" t="n">
        <x:v>7683</x:v>
      </x:c>
      <x:c r="X72" s="55" t="n">
        <x:v>2795</x:v>
      </x:c>
      <x:c r="Y72" s="55" t="n">
        <x:v>2619</x:v>
      </x:c>
      <x:c r="Z72" s="55" t="n">
        <x:v>3588</x:v>
      </x:c>
      <x:c r="AA72" s="55" t="n">
        <x:v>3280</x:v>
      </x:c>
      <x:c r="AB72" s="55" t="n">
        <x:v>1012</x:v>
      </x:c>
      <x:c r="AC72" s="55" t="n">
        <x:v>8074</x:v>
      </x:c>
      <x:c r="AD72" s="55" t="n">
        <x:v>2802</x:v>
      </x:c>
      <x:c r="AE72" s="55" t="n">
        <x:v>10593</x:v>
      </x:c>
      <x:c r="AF72" s="55" t="n">
        <x:v>10478</x:v>
      </x:c>
      <x:c r="AG72" s="55" t="n">
        <x:v>115</x:v>
      </x:c>
      <x:c r="AH72" s="55" t="n">
        <x:v>449</x:v>
      </x:c>
      <x:c r="AI72" s="55" t="n">
        <x:v>10029</x:v>
      </x:c>
      <x:c r="AJ72" s="55" t="n">
        <x:v>361</x:v>
      </x:c>
      <x:c r="AK72" s="55" t="n">
        <x:v>994</x:v>
      </x:c>
      <x:c r="AL72" s="55" t="n">
        <x:v>1317</x:v>
      </x:c>
      <x:c r="AM72" s="55" t="n">
        <x:v>4590</x:v>
      </x:c>
      <x:c r="AN72" s="55" t="n">
        <x:v>3127</x:v>
      </x:c>
      <x:c r="AO72" s="55" t="n">
        <x:v>89</x:v>
      </x:c>
      <x:c r="AP72" s="55" t="n">
        <x:v>2380</x:v>
      </x:c>
      <x:c r="AQ72" s="55" t="n">
        <x:v>957</x:v>
      </x:c>
    </x:row>
    <x:row r="73">
      <x:c r="A73" s="54" t="str">
        <x:v>T1_SHARED_CATCHMENT</x:v>
      </x:c>
      <x:c r="B73" s="54" t="n">
        <x:v>67</x:v>
      </x:c>
      <x:c r="C73" s="54" t="str">
        <x:v>NYC-V2-R01</x:v>
      </x:c>
      <x:c r="D73" s="54" t="str">
        <x:v>V2</x:v>
      </x:c>
      <x:c r="E73" s="54" t="str">
        <x:v>ADMITTED</x:v>
      </x:c>
      <x:c r="F73" s="55" t="n">
        <x:v>32100</x:v>
      </x:c>
      <x:c r="G73" s="55" t="n">
        <x:v>6786</x:v>
      </x:c>
      <x:c r="H73" s="55" t="n">
        <x:v>3281</x:v>
      </x:c>
      <x:c r="I73" s="55" t="n">
        <x:v>994</x:v>
      </x:c>
      <x:c r="J73" s="55" t="n">
        <x:v>172</x:v>
      </x:c>
      <x:c r="K73" s="55" t="n">
        <x:v>30654</x:v>
      </x:c>
      <x:c r="L73" s="55" t="n">
        <x:v>4521</x:v>
      </x:c>
      <x:c r="M73" s="55" t="n">
        <x:v>788</x:v>
      </x:c>
      <x:c r="N73" s="55" t="n">
        <x:v>2237</x:v>
      </x:c>
      <x:c r="O73" s="55" t="n">
        <x:v>1496</x:v>
      </x:c>
      <x:c r="P73" s="55" t="n">
        <x:v>849</x:v>
      </x:c>
      <x:c r="Q73" s="55" t="n">
        <x:v>3744</x:v>
      </x:c>
      <x:c r="R73" s="55" t="n">
        <x:v>2111</x:v>
      </x:c>
      <x:c r="S73" s="55" t="n">
        <x:v>2461</x:v>
      </x:c>
      <x:c r="T73" s="55" t="n">
        <x:v>1414</x:v>
      </x:c>
      <x:c r="U73" s="55" t="n">
        <x:v>1446</x:v>
      </x:c>
      <x:c r="V73" s="55" t="n">
        <x:v>10262</x:v>
      </x:c>
      <x:c r="W73" s="55" t="n">
        <x:v>7200</x:v>
      </x:c>
      <x:c r="X73" s="55" t="n">
        <x:v>3062</x:v>
      </x:c>
      <x:c r="Y73" s="55" t="n">
        <x:v>2731</x:v>
      </x:c>
      <x:c r="Z73" s="55" t="n">
        <x:v>3920</x:v>
      </x:c>
      <x:c r="AA73" s="55" t="n">
        <x:v>3281</x:v>
      </x:c>
      <x:c r="AB73" s="55" t="n">
        <x:v>1266</x:v>
      </x:c>
      <x:c r="AC73" s="55" t="n">
        <x:v>8085</x:v>
      </x:c>
      <x:c r="AD73" s="55" t="n">
        <x:v>2293</x:v>
      </x:c>
      <x:c r="AE73" s="55" t="n">
        <x:v>10385</x:v>
      </x:c>
      <x:c r="AF73" s="55" t="n">
        <x:v>10262</x:v>
      </x:c>
      <x:c r="AG73" s="55" t="n">
        <x:v>123</x:v>
      </x:c>
      <x:c r="AH73" s="55" t="n">
        <x:v>519</x:v>
      </x:c>
      <x:c r="AI73" s="55" t="n">
        <x:v>9743</x:v>
      </x:c>
      <x:c r="AJ73" s="55" t="n">
        <x:v>345</x:v>
      </x:c>
      <x:c r="AK73" s="55" t="n">
        <x:v>1088</x:v>
      </x:c>
      <x:c r="AL73" s="55" t="n">
        <x:v>1429</x:v>
      </x:c>
      <x:c r="AM73" s="55" t="n">
        <x:v>5029</x:v>
      </x:c>
      <x:c r="AN73" s="55" t="n">
        <x:v>2371</x:v>
      </x:c>
      <x:c r="AO73" s="55" t="n">
        <x:v>0</x:v>
      </x:c>
      <x:c r="AP73" s="55" t="n">
        <x:v>1861</x:v>
      </x:c>
      <x:c r="AQ73" s="55" t="n">
        <x:v>981</x:v>
      </x:c>
    </x:row>
    <x:row r="74">
      <x:c r="A74" s="54" t="str">
        <x:v>T1_SHARED_CATCHMENT</x:v>
      </x:c>
      <x:c r="B74" s="54" t="n">
        <x:v>68</x:v>
      </x:c>
      <x:c r="C74" s="54" t="str">
        <x:v>NYC-V2-R01</x:v>
      </x:c>
      <x:c r="D74" s="54" t="str">
        <x:v>V2</x:v>
      </x:c>
      <x:c r="E74" s="54" t="str">
        <x:v>ADMITTED</x:v>
      </x:c>
      <x:c r="F74" s="55" t="n">
        <x:v>29417</x:v>
      </x:c>
      <x:c r="G74" s="55" t="n">
        <x:v>6907</x:v>
      </x:c>
      <x:c r="H74" s="55" t="n">
        <x:v>3216</x:v>
      </x:c>
      <x:c r="I74" s="55" t="n">
        <x:v>1384</x:v>
      </x:c>
      <x:c r="J74" s="55" t="n">
        <x:v>241</x:v>
      </x:c>
      <x:c r="K74" s="55" t="n">
        <x:v>28820</x:v>
      </x:c>
      <x:c r="L74" s="55" t="n">
        <x:v>5352</x:v>
      </x:c>
      <x:c r="M74" s="55" t="n">
        <x:v>795</x:v>
      </x:c>
      <x:c r="N74" s="55" t="n">
        <x:v>2989</x:v>
      </x:c>
      <x:c r="O74" s="55" t="n">
        <x:v>1568</x:v>
      </x:c>
      <x:c r="P74" s="55" t="n">
        <x:v>1069</x:v>
      </x:c>
      <x:c r="Q74" s="55" t="n">
        <x:v>2540</x:v>
      </x:c>
      <x:c r="R74" s="55" t="n">
        <x:v>1194</x:v>
      </x:c>
      <x:c r="S74" s="55" t="n">
        <x:v>2638</x:v>
      </x:c>
      <x:c r="T74" s="55" t="n">
        <x:v>1302</x:v>
      </x:c>
      <x:c r="U74" s="55" t="n">
        <x:v>1913</x:v>
      </x:c>
      <x:c r="V74" s="55" t="n">
        <x:v>10450</x:v>
      </x:c>
      <x:c r="W74" s="55" t="n">
        <x:v>7913</x:v>
      </x:c>
      <x:c r="X74" s="55" t="n">
        <x:v>2537</x:v>
      </x:c>
      <x:c r="Y74" s="55" t="n">
        <x:v>2212</x:v>
      </x:c>
      <x:c r="Z74" s="55" t="n">
        <x:v>3188</x:v>
      </x:c>
      <x:c r="AA74" s="55" t="n">
        <x:v>3090</x:v>
      </x:c>
      <x:c r="AB74" s="55" t="n">
        <x:v>908</x:v>
      </x:c>
      <x:c r="AC74" s="55" t="n">
        <x:v>8245</x:v>
      </x:c>
      <x:c r="AD74" s="55" t="n">
        <x:v>3647</x:v>
      </x:c>
      <x:c r="AE74" s="55" t="n">
        <x:v>10626</x:v>
      </x:c>
      <x:c r="AF74" s="55" t="n">
        <x:v>10450</x:v>
      </x:c>
      <x:c r="AG74" s="55" t="n">
        <x:v>176</x:v>
      </x:c>
      <x:c r="AH74" s="55" t="n">
        <x:v>530</x:v>
      </x:c>
      <x:c r="AI74" s="55" t="n">
        <x:v>9920</x:v>
      </x:c>
      <x:c r="AJ74" s="55" t="n">
        <x:v>388</x:v>
      </x:c>
      <x:c r="AK74" s="55" t="n">
        <x:v>906</x:v>
      </x:c>
      <x:c r="AL74" s="55" t="n">
        <x:v>1630</x:v>
      </x:c>
      <x:c r="AM74" s="55" t="n">
        <x:v>4778</x:v>
      </x:c>
      <x:c r="AN74" s="55" t="n">
        <x:v>2748</x:v>
      </x:c>
      <x:c r="AO74" s="55" t="n">
        <x:v>0</x:v>
      </x:c>
      <x:c r="AP74" s="55" t="n">
        <x:v>2470</x:v>
      </x:c>
      <x:c r="AQ74" s="55" t="n">
        <x:v>969</x:v>
      </x:c>
    </x:row>
    <x:row r="75">
      <x:c r="A75" s="54" t="str">
        <x:v>T1_SHARED_CATCHMENT</x:v>
      </x:c>
      <x:c r="B75" s="54" t="n">
        <x:v>69</x:v>
      </x:c>
      <x:c r="C75" s="54" t="str">
        <x:v>NYC-V2-R01</x:v>
      </x:c>
      <x:c r="D75" s="54" t="str">
        <x:v>V2</x:v>
      </x:c>
      <x:c r="E75" s="54" t="str">
        <x:v>ADMITTED</x:v>
      </x:c>
      <x:c r="F75" s="55" t="n">
        <x:v>34948</x:v>
      </x:c>
      <x:c r="G75" s="55" t="n">
        <x:v>8635</x:v>
      </x:c>
      <x:c r="H75" s="55" t="n">
        <x:v>3353</x:v>
      </x:c>
      <x:c r="I75" s="55" t="n">
        <x:v>1065</x:v>
      </x:c>
      <x:c r="J75" s="55" t="n">
        <x:v>218</x:v>
      </x:c>
      <x:c r="K75" s="55" t="n">
        <x:v>34948</x:v>
      </x:c>
      <x:c r="L75" s="55" t="n">
        <x:v>7181</x:v>
      </x:c>
      <x:c r="M75" s="55" t="n">
        <x:v>1609</x:v>
      </x:c>
      <x:c r="N75" s="55" t="n">
        <x:v>3190</x:v>
      </x:c>
      <x:c r="O75" s="55" t="n">
        <x:v>2382</x:v>
      </x:c>
      <x:c r="P75" s="55" t="n">
        <x:v>1160</x:v>
      </x:c>
      <x:c r="Q75" s="55" t="n">
        <x:v>1736</x:v>
      </x:c>
      <x:c r="R75" s="55" t="n">
        <x:v>1737</x:v>
      </x:c>
      <x:c r="S75" s="55" t="n">
        <x:v>3107</x:v>
      </x:c>
      <x:c r="T75" s="55" t="n">
        <x:v>1573</x:v>
      </x:c>
      <x:c r="U75" s="55" t="n">
        <x:v>1985</x:v>
      </x:c>
      <x:c r="V75" s="55" t="n">
        <x:v>10629</x:v>
      </x:c>
      <x:c r="W75" s="55" t="n">
        <x:v>7982</x:v>
      </x:c>
      <x:c r="X75" s="55" t="n">
        <x:v>2647</x:v>
      </x:c>
      <x:c r="Y75" s="55" t="n">
        <x:v>2161</x:v>
      </x:c>
      <x:c r="Z75" s="55" t="n">
        <x:v>3629</x:v>
      </x:c>
      <x:c r="AA75" s="55" t="n">
        <x:v>2667</x:v>
      </x:c>
      <x:c r="AB75" s="55" t="n">
        <x:v>1071</x:v>
      </x:c>
      <x:c r="AC75" s="55" t="n">
        <x:v>7839</x:v>
      </x:c>
      <x:c r="AD75" s="55" t="n">
        <x:v>2923</x:v>
      </x:c>
      <x:c r="AE75" s="55" t="n">
        <x:v>10686</x:v>
      </x:c>
      <x:c r="AF75" s="55" t="n">
        <x:v>10629</x:v>
      </x:c>
      <x:c r="AG75" s="55" t="n">
        <x:v>57</x:v>
      </x:c>
      <x:c r="AH75" s="55" t="n">
        <x:v>519</x:v>
      </x:c>
      <x:c r="AI75" s="55" t="n">
        <x:v>10110</x:v>
      </x:c>
      <x:c r="AJ75" s="55" t="n">
        <x:v>257</x:v>
      </x:c>
      <x:c r="AK75" s="55" t="n">
        <x:v>987</x:v>
      </x:c>
      <x:c r="AL75" s="55" t="n">
        <x:v>1656</x:v>
      </x:c>
      <x:c r="AM75" s="55" t="n">
        <x:v>5361</x:v>
      </x:c>
      <x:c r="AN75" s="55" t="n">
        <x:v>2368</x:v>
      </x:c>
      <x:c r="AO75" s="55" t="n">
        <x:v>0</x:v>
      </x:c>
      <x:c r="AP75" s="55" t="n">
        <x:v>2114</x:v>
      </x:c>
      <x:c r="AQ75" s="55" t="n">
        <x:v>937</x:v>
      </x:c>
    </x:row>
    <x:row r="76">
      <x:c r="A76" s="54" t="str">
        <x:v>T1_SHARED_CATCHMENT</x:v>
      </x:c>
      <x:c r="B76" s="54" t="n">
        <x:v>70</x:v>
      </x:c>
      <x:c r="C76" s="54" t="str">
        <x:v>NYC-V2-R01</x:v>
      </x:c>
      <x:c r="D76" s="54" t="str">
        <x:v>V2</x:v>
      </x:c>
      <x:c r="E76" s="54" t="str">
        <x:v>ADMITTED</x:v>
      </x:c>
      <x:c r="F76" s="55" t="n">
        <x:v>31248</x:v>
      </x:c>
      <x:c r="G76" s="55" t="n">
        <x:v>7926</x:v>
      </x:c>
      <x:c r="H76" s="55" t="n">
        <x:v>2849</x:v>
      </x:c>
      <x:c r="I76" s="55" t="n">
        <x:v>1103</x:v>
      </x:c>
      <x:c r="J76" s="55" t="n">
        <x:v>199</x:v>
      </x:c>
      <x:c r="K76" s="55" t="n">
        <x:v>30166</x:v>
      </x:c>
      <x:c r="L76" s="55" t="n">
        <x:v>4446</x:v>
      </x:c>
      <x:c r="M76" s="55" t="n">
        <x:v>896</x:v>
      </x:c>
      <x:c r="N76" s="55" t="n">
        <x:v>1904</x:v>
      </x:c>
      <x:c r="O76" s="55" t="n">
        <x:v>1646</x:v>
      </x:c>
      <x:c r="P76" s="55" t="n">
        <x:v>615</x:v>
      </x:c>
      <x:c r="Q76" s="55" t="n">
        <x:v>1376</x:v>
      </x:c>
      <x:c r="R76" s="55" t="n">
        <x:v>1370</x:v>
      </x:c>
      <x:c r="S76" s="55" t="n">
        <x:v>3050</x:v>
      </x:c>
      <x:c r="T76" s="55" t="n">
        <x:v>982</x:v>
      </x:c>
      <x:c r="U76" s="55" t="n">
        <x:v>1924</x:v>
      </x:c>
      <x:c r="V76" s="55" t="n">
        <x:v>10358</x:v>
      </x:c>
      <x:c r="W76" s="55" t="n">
        <x:v>7409</x:v>
      </x:c>
      <x:c r="X76" s="55" t="n">
        <x:v>2949</x:v>
      </x:c>
      <x:c r="Y76" s="55" t="n">
        <x:v>2638</x:v>
      </x:c>
      <x:c r="Z76" s="55" t="n">
        <x:v>3500</x:v>
      </x:c>
      <x:c r="AA76" s="55" t="n">
        <x:v>2650</x:v>
      </x:c>
      <x:c r="AB76" s="55" t="n">
        <x:v>808</x:v>
      </x:c>
      <x:c r="AC76" s="55" t="n">
        <x:v>8675</x:v>
      </x:c>
      <x:c r="AD76" s="55" t="n">
        <x:v>2921</x:v>
      </x:c>
      <x:c r="AE76" s="55" t="n">
        <x:v>10545</x:v>
      </x:c>
      <x:c r="AF76" s="55" t="n">
        <x:v>10358</x:v>
      </x:c>
      <x:c r="AG76" s="55" t="n">
        <x:v>187</x:v>
      </x:c>
      <x:c r="AH76" s="55" t="n">
        <x:v>432</x:v>
      </x:c>
      <x:c r="AI76" s="55" t="n">
        <x:v>9926</x:v>
      </x:c>
      <x:c r="AJ76" s="55" t="n">
        <x:v>294</x:v>
      </x:c>
      <x:c r="AK76" s="55" t="n">
        <x:v>1087</x:v>
      </x:c>
      <x:c r="AL76" s="55" t="n">
        <x:v>1399</x:v>
      </x:c>
      <x:c r="AM76" s="55" t="n">
        <x:v>4706</x:v>
      </x:c>
      <x:c r="AN76" s="55" t="n">
        <x:v>2858</x:v>
      </x:c>
      <x:c r="AO76" s="55" t="n">
        <x:v>14</x:v>
      </x:c>
      <x:c r="AP76" s="55" t="n">
        <x:v>2840</x:v>
      </x:c>
      <x:c r="AQ76" s="55" t="n">
        <x:v>970</x:v>
      </x:c>
    </x:row>
    <x:row r="77">
      <x:c r="A77" s="54" t="str">
        <x:v>T1_SHARED_CATCHMENT</x:v>
      </x:c>
      <x:c r="B77" s="54" t="n">
        <x:v>71</x:v>
      </x:c>
      <x:c r="C77" s="54" t="str">
        <x:v>NYC-V2-R01</x:v>
      </x:c>
      <x:c r="D77" s="54" t="str">
        <x:v>V2</x:v>
      </x:c>
      <x:c r="E77" s="54" t="str">
        <x:v>ADMITTED</x:v>
      </x:c>
      <x:c r="F77" s="55" t="n">
        <x:v>29895</x:v>
      </x:c>
      <x:c r="G77" s="55" t="n">
        <x:v>7427</x:v>
      </x:c>
      <x:c r="H77" s="55" t="n">
        <x:v>3431</x:v>
      </x:c>
      <x:c r="I77" s="55" t="n">
        <x:v>1435</x:v>
      </x:c>
      <x:c r="J77" s="55" t="n">
        <x:v>259</x:v>
      </x:c>
      <x:c r="K77" s="55" t="n">
        <x:v>29561</x:v>
      </x:c>
      <x:c r="L77" s="55" t="n">
        <x:v>5133</x:v>
      </x:c>
      <x:c r="M77" s="55" t="n">
        <x:v>1052</x:v>
      </x:c>
      <x:c r="N77" s="55" t="n">
        <x:v>2384</x:v>
      </x:c>
      <x:c r="O77" s="55" t="n">
        <x:v>1697</x:v>
      </x:c>
      <x:c r="P77" s="55" t="n">
        <x:v>773</x:v>
      </x:c>
      <x:c r="Q77" s="55" t="n">
        <x:v>1804</x:v>
      </x:c>
      <x:c r="R77" s="55" t="n">
        <x:v>2181</x:v>
      </x:c>
      <x:c r="S77" s="55" t="n">
        <x:v>2902</x:v>
      </x:c>
      <x:c r="T77" s="55" t="n">
        <x:v>1144</x:v>
      </x:c>
      <x:c r="U77" s="55" t="n">
        <x:v>2125</x:v>
      </x:c>
      <x:c r="V77" s="55" t="n">
        <x:v>10433</x:v>
      </x:c>
      <x:c r="W77" s="55" t="n">
        <x:v>7263</x:v>
      </x:c>
      <x:c r="X77" s="55" t="n">
        <x:v>3170</x:v>
      </x:c>
      <x:c r="Y77" s="55" t="n">
        <x:v>2660</x:v>
      </x:c>
      <x:c r="Z77" s="55" t="n">
        <x:v>3681</x:v>
      </x:c>
      <x:c r="AA77" s="55" t="n">
        <x:v>2939</x:v>
      </x:c>
      <x:c r="AB77" s="55" t="n">
        <x:v>831</x:v>
      </x:c>
      <x:c r="AC77" s="55" t="n">
        <x:v>7672</x:v>
      </x:c>
      <x:c r="AD77" s="55" t="n">
        <x:v>3243</x:v>
      </x:c>
      <x:c r="AE77" s="55" t="n">
        <x:v>10476</x:v>
      </x:c>
      <x:c r="AF77" s="55" t="n">
        <x:v>10433</x:v>
      </x:c>
      <x:c r="AG77" s="55" t="n">
        <x:v>43</x:v>
      </x:c>
      <x:c r="AH77" s="55" t="n">
        <x:v>160</x:v>
      </x:c>
      <x:c r="AI77" s="55" t="n">
        <x:v>10273</x:v>
      </x:c>
      <x:c r="AJ77" s="55" t="n">
        <x:v>344</x:v>
      </x:c>
      <x:c r="AK77" s="55" t="n">
        <x:v>935</x:v>
      </x:c>
      <x:c r="AL77" s="55" t="n">
        <x:v>1606</x:v>
      </x:c>
      <x:c r="AM77" s="55" t="n">
        <x:v>5254</x:v>
      </x:c>
      <x:c r="AN77" s="55" t="n">
        <x:v>2294</x:v>
      </x:c>
      <x:c r="AO77" s="55" t="n">
        <x:v>0</x:v>
      </x:c>
      <x:c r="AP77" s="55" t="n">
        <x:v>2487</x:v>
      </x:c>
      <x:c r="AQ77" s="55" t="n">
        <x:v>993</x:v>
      </x:c>
    </x:row>
    <x:row r="78">
      <x:c r="A78" s="54" t="str">
        <x:v>T1_SHARED_CATCHMENT</x:v>
      </x:c>
      <x:c r="B78" s="54" t="n">
        <x:v>72</x:v>
      </x:c>
      <x:c r="C78" s="54" t="str">
        <x:v>NYC-V2-R01</x:v>
      </x:c>
      <x:c r="D78" s="54" t="str">
        <x:v>V2</x:v>
      </x:c>
      <x:c r="E78" s="54" t="str">
        <x:v>ADMITTED</x:v>
      </x:c>
      <x:c r="F78" s="55" t="n">
        <x:v>30706</x:v>
      </x:c>
      <x:c r="G78" s="55" t="n">
        <x:v>8014</x:v>
      </x:c>
      <x:c r="H78" s="55" t="n">
        <x:v>3338</x:v>
      </x:c>
      <x:c r="I78" s="55" t="n">
        <x:v>1244</x:v>
      </x:c>
      <x:c r="J78" s="55" t="n">
        <x:v>157</x:v>
      </x:c>
      <x:c r="K78" s="55" t="n">
        <x:v>29048</x:v>
      </x:c>
      <x:c r="L78" s="55" t="n">
        <x:v>4440</x:v>
      </x:c>
      <x:c r="M78" s="55" t="n">
        <x:v>95</x:v>
      </x:c>
      <x:c r="N78" s="55" t="n">
        <x:v>2281</x:v>
      </x:c>
      <x:c r="O78" s="55" t="n">
        <x:v>2064</x:v>
      </x:c>
      <x:c r="P78" s="55" t="n">
        <x:v>890</x:v>
      </x:c>
      <x:c r="Q78" s="55" t="n">
        <x:v>3452</x:v>
      </x:c>
      <x:c r="R78" s="55" t="n">
        <x:v>2366</x:v>
      </x:c>
      <x:c r="S78" s="55" t="n">
        <x:v>2731</x:v>
      </x:c>
      <x:c r="T78" s="55" t="n">
        <x:v>1186</x:v>
      </x:c>
      <x:c r="U78" s="55" t="n">
        <x:v>2226</x:v>
      </x:c>
      <x:c r="V78" s="55" t="n">
        <x:v>10215</x:v>
      </x:c>
      <x:c r="W78" s="55" t="n">
        <x:v>7580</x:v>
      </x:c>
      <x:c r="X78" s="55" t="n">
        <x:v>2635</x:v>
      </x:c>
      <x:c r="Y78" s="55" t="n">
        <x:v>2504</x:v>
      </x:c>
      <x:c r="Z78" s="55" t="n">
        <x:v>3816</x:v>
      </x:c>
      <x:c r="AA78" s="55" t="n">
        <x:v>3014</x:v>
      </x:c>
      <x:c r="AB78" s="55" t="n">
        <x:v>891</x:v>
      </x:c>
      <x:c r="AC78" s="55" t="n">
        <x:v>7907</x:v>
      </x:c>
      <x:c r="AD78" s="55" t="n">
        <x:v>2889</x:v>
      </x:c>
      <x:c r="AE78" s="55" t="n">
        <x:v>10333</x:v>
      </x:c>
      <x:c r="AF78" s="55" t="n">
        <x:v>10215</x:v>
      </x:c>
      <x:c r="AG78" s="55" t="n">
        <x:v>118</x:v>
      </x:c>
      <x:c r="AH78" s="55" t="n">
        <x:v>295</x:v>
      </x:c>
      <x:c r="AI78" s="55" t="n">
        <x:v>9920</x:v>
      </x:c>
      <x:c r="AJ78" s="55" t="n">
        <x:v>466</x:v>
      </x:c>
      <x:c r="AK78" s="55" t="n">
        <x:v>929</x:v>
      </x:c>
      <x:c r="AL78" s="55" t="n">
        <x:v>1266</x:v>
      </x:c>
      <x:c r="AM78" s="55" t="n">
        <x:v>4814</x:v>
      </x:c>
      <x:c r="AN78" s="55" t="n">
        <x:v>2686</x:v>
      </x:c>
      <x:c r="AO78" s="55" t="n">
        <x:v>54</x:v>
      </x:c>
      <x:c r="AP78" s="55" t="n">
        <x:v>2268</x:v>
      </x:c>
      <x:c r="AQ78" s="55" t="n">
        <x:v>942</x:v>
      </x:c>
    </x:row>
    <x:row r="79">
      <x:c r="A79" s="54" t="str">
        <x:v>T1_SHARED_CATCHMENT</x:v>
      </x:c>
      <x:c r="B79" s="54" t="n">
        <x:v>73</x:v>
      </x:c>
      <x:c r="C79" s="54" t="str">
        <x:v>NYC-V2-R01</x:v>
      </x:c>
      <x:c r="D79" s="54" t="str">
        <x:v>V2</x:v>
      </x:c>
      <x:c r="E79" s="54" t="str">
        <x:v>ADMITTED</x:v>
      </x:c>
      <x:c r="F79" s="55" t="n">
        <x:v>29434</x:v>
      </x:c>
      <x:c r="G79" s="55" t="n">
        <x:v>6801</x:v>
      </x:c>
      <x:c r="H79" s="55" t="n">
        <x:v>3381</x:v>
      </x:c>
      <x:c r="I79" s="55" t="n">
        <x:v>1368</x:v>
      </x:c>
      <x:c r="J79" s="55" t="n">
        <x:v>161</x:v>
      </x:c>
      <x:c r="K79" s="55" t="n">
        <x:v>29434</x:v>
      </x:c>
      <x:c r="L79" s="55" t="n">
        <x:v>5375</x:v>
      </x:c>
      <x:c r="M79" s="55" t="n">
        <x:v>650</x:v>
      </x:c>
      <x:c r="N79" s="55" t="n">
        <x:v>2742</x:v>
      </x:c>
      <x:c r="O79" s="55" t="n">
        <x:v>1983</x:v>
      </x:c>
      <x:c r="P79" s="55" t="n">
        <x:v>1042</x:v>
      </x:c>
      <x:c r="Q79" s="55" t="n">
        <x:v>3073</x:v>
      </x:c>
      <x:c r="R79" s="55" t="n">
        <x:v>2095</x:v>
      </x:c>
      <x:c r="S79" s="55" t="n">
        <x:v>3119</x:v>
      </x:c>
      <x:c r="T79" s="55" t="n">
        <x:v>1077</x:v>
      </x:c>
      <x:c r="U79" s="55" t="n">
        <x:v>2099</x:v>
      </x:c>
      <x:c r="V79" s="55" t="n">
        <x:v>10578</x:v>
      </x:c>
      <x:c r="W79" s="55" t="n">
        <x:v>7356</x:v>
      </x:c>
      <x:c r="X79" s="55" t="n">
        <x:v>3222</x:v>
      </x:c>
      <x:c r="Y79" s="55" t="n">
        <x:v>2773</x:v>
      </x:c>
      <x:c r="Z79" s="55" t="n">
        <x:v>3677</x:v>
      </x:c>
      <x:c r="AA79" s="55" t="n">
        <x:v>2993</x:v>
      </x:c>
      <x:c r="AB79" s="55" t="n">
        <x:v>894</x:v>
      </x:c>
      <x:c r="AC79" s="55" t="n">
        <x:v>8386</x:v>
      </x:c>
      <x:c r="AD79" s="55" t="n">
        <x:v>3144</x:v>
      </x:c>
      <x:c r="AE79" s="55" t="n">
        <x:v>10669</x:v>
      </x:c>
      <x:c r="AF79" s="55" t="n">
        <x:v>10578</x:v>
      </x:c>
      <x:c r="AG79" s="55" t="n">
        <x:v>91</x:v>
      </x:c>
      <x:c r="AH79" s="55" t="n">
        <x:v>639</x:v>
      </x:c>
      <x:c r="AI79" s="55" t="n">
        <x:v>9939</x:v>
      </x:c>
      <x:c r="AJ79" s="55" t="n">
        <x:v>356</x:v>
      </x:c>
      <x:c r="AK79" s="55" t="n">
        <x:v>983</x:v>
      </x:c>
      <x:c r="AL79" s="55" t="n">
        <x:v>1539</x:v>
      </x:c>
      <x:c r="AM79" s="55" t="n">
        <x:v>4600</x:v>
      </x:c>
      <x:c r="AN79" s="55" t="n">
        <x:v>3046</x:v>
      </x:c>
      <x:c r="AO79" s="55" t="n">
        <x:v>54</x:v>
      </x:c>
      <x:c r="AP79" s="55" t="n">
        <x:v>2838</x:v>
      </x:c>
      <x:c r="AQ79" s="55" t="n">
        <x:v>927</x:v>
      </x:c>
    </x:row>
    <x:row r="80">
      <x:c r="A80" s="54" t="str">
        <x:v>T1_SHARED_CATCHMENT</x:v>
      </x:c>
      <x:c r="B80" s="54" t="n">
        <x:v>74</x:v>
      </x:c>
      <x:c r="C80" s="54" t="str">
        <x:v>NYC-V2-R01</x:v>
      </x:c>
      <x:c r="D80" s="54" t="str">
        <x:v>V2</x:v>
      </x:c>
      <x:c r="E80" s="54" t="str">
        <x:v>ADMITTED</x:v>
      </x:c>
      <x:c r="F80" s="55" t="n">
        <x:v>30183</x:v>
      </x:c>
      <x:c r="G80" s="55" t="n">
        <x:v>8523</x:v>
      </x:c>
      <x:c r="H80" s="55" t="n">
        <x:v>2954</x:v>
      </x:c>
      <x:c r="I80" s="55" t="n">
        <x:v>774</x:v>
      </x:c>
      <x:c r="J80" s="55" t="n">
        <x:v>0</x:v>
      </x:c>
      <x:c r="K80" s="55" t="n">
        <x:v>30183</x:v>
      </x:c>
      <x:c r="L80" s="55" t="n">
        <x:v>4243</x:v>
      </x:c>
      <x:c r="M80" s="55" t="n">
        <x:v>725</x:v>
      </x:c>
      <x:c r="N80" s="55" t="n">
        <x:v>2359</x:v>
      </x:c>
      <x:c r="O80" s="55" t="n">
        <x:v>1159</x:v>
      </x:c>
      <x:c r="P80" s="55" t="n">
        <x:v>637</x:v>
      </x:c>
      <x:c r="Q80" s="55" t="n">
        <x:v>2494</x:v>
      </x:c>
      <x:c r="R80" s="55" t="n">
        <x:v>1755</x:v>
      </x:c>
      <x:c r="S80" s="55" t="n">
        <x:v>3161</x:v>
      </x:c>
      <x:c r="T80" s="55" t="n">
        <x:v>1214</x:v>
      </x:c>
      <x:c r="U80" s="55" t="n">
        <x:v>983</x:v>
      </x:c>
      <x:c r="V80" s="55" t="n">
        <x:v>10325</x:v>
      </x:c>
      <x:c r="W80" s="55" t="n">
        <x:v>7156</x:v>
      </x:c>
      <x:c r="X80" s="55" t="n">
        <x:v>3169</x:v>
      </x:c>
      <x:c r="Y80" s="55" t="n">
        <x:v>2602</x:v>
      </x:c>
      <x:c r="Z80" s="55" t="n">
        <x:v>3498</x:v>
      </x:c>
      <x:c r="AA80" s="55" t="n">
        <x:v>2954</x:v>
      </x:c>
      <x:c r="AB80" s="55" t="n">
        <x:v>1041</x:v>
      </x:c>
      <x:c r="AC80" s="55" t="n">
        <x:v>7941</x:v>
      </x:c>
      <x:c r="AD80" s="55" t="n">
        <x:v>2267</x:v>
      </x:c>
      <x:c r="AE80" s="55" t="n">
        <x:v>10365</x:v>
      </x:c>
      <x:c r="AF80" s="55" t="n">
        <x:v>10325</x:v>
      </x:c>
      <x:c r="AG80" s="55" t="n">
        <x:v>40</x:v>
      </x:c>
      <x:c r="AH80" s="55" t="n">
        <x:v>175</x:v>
      </x:c>
      <x:c r="AI80" s="55" t="n">
        <x:v>10150</x:v>
      </x:c>
      <x:c r="AJ80" s="55" t="n">
        <x:v>437</x:v>
      </x:c>
      <x:c r="AK80" s="55" t="n">
        <x:v>869</x:v>
      </x:c>
      <x:c r="AL80" s="55" t="n">
        <x:v>1431</x:v>
      </x:c>
      <x:c r="AM80" s="55" t="n">
        <x:v>4471</x:v>
      </x:c>
      <x:c r="AN80" s="55" t="n">
        <x:v>3093</x:v>
      </x:c>
      <x:c r="AO80" s="55" t="n">
        <x:v>24</x:v>
      </x:c>
      <x:c r="AP80" s="55" t="n">
        <x:v>2398</x:v>
      </x:c>
      <x:c r="AQ80" s="55" t="n">
        <x:v>933</x:v>
      </x:c>
    </x:row>
    <x:row r="81">
      <x:c r="A81" s="54" t="str">
        <x:v>T1_SHARED_CATCHMENT</x:v>
      </x:c>
      <x:c r="B81" s="54" t="n">
        <x:v>75</x:v>
      </x:c>
      <x:c r="C81" s="54" t="str">
        <x:v>NYC-V2-R01</x:v>
      </x:c>
      <x:c r="D81" s="54" t="str">
        <x:v>V2</x:v>
      </x:c>
      <x:c r="E81" s="54" t="str">
        <x:v>ADMITTED</x:v>
      </x:c>
      <x:c r="F81" s="55" t="n">
        <x:v>32070</x:v>
      </x:c>
      <x:c r="G81" s="55" t="n">
        <x:v>7863</x:v>
      </x:c>
      <x:c r="H81" s="55" t="n">
        <x:v>3754</x:v>
      </x:c>
      <x:c r="I81" s="55" t="n">
        <x:v>1510</x:v>
      </x:c>
      <x:c r="J81" s="55" t="n">
        <x:v>321</x:v>
      </x:c>
      <x:c r="K81" s="55" t="n">
        <x:v>30731</x:v>
      </x:c>
      <x:c r="L81" s="55" t="n">
        <x:v>5316</x:v>
      </x:c>
      <x:c r="M81" s="55" t="n">
        <x:v>1257</x:v>
      </x:c>
      <x:c r="N81" s="55" t="n">
        <x:v>2722</x:v>
      </x:c>
      <x:c r="O81" s="55" t="n">
        <x:v>1337</x:v>
      </x:c>
      <x:c r="P81" s="55" t="n">
        <x:v>713</x:v>
      </x:c>
      <x:c r="Q81" s="55" t="n">
        <x:v>2067</x:v>
      </x:c>
      <x:c r="R81" s="55" t="n">
        <x:v>2168</x:v>
      </x:c>
      <x:c r="S81" s="55" t="n">
        <x:v>3362</x:v>
      </x:c>
      <x:c r="T81" s="55" t="n">
        <x:v>1128</x:v>
      </x:c>
      <x:c r="U81" s="55" t="n">
        <x:v>2153</x:v>
      </x:c>
      <x:c r="V81" s="55" t="n">
        <x:v>9999</x:v>
      </x:c>
      <x:c r="W81" s="55" t="n">
        <x:v>6982</x:v>
      </x:c>
      <x:c r="X81" s="55" t="n">
        <x:v>3017</x:v>
      </x:c>
      <x:c r="Y81" s="55" t="n">
        <x:v>2715</x:v>
      </x:c>
      <x:c r="Z81" s="55" t="n">
        <x:v>3865</x:v>
      </x:c>
      <x:c r="AA81" s="55" t="n">
        <x:v>3282</x:v>
      </x:c>
      <x:c r="AB81" s="55" t="n">
        <x:v>1034</x:v>
      </x:c>
      <x:c r="AC81" s="55" t="n">
        <x:v>8254</x:v>
      </x:c>
      <x:c r="AD81" s="55" t="n">
        <x:v>2463</x:v>
      </x:c>
      <x:c r="AE81" s="55" t="n">
        <x:v>10156</x:v>
      </x:c>
      <x:c r="AF81" s="55" t="n">
        <x:v>9999</x:v>
      </x:c>
      <x:c r="AG81" s="55" t="n">
        <x:v>157</x:v>
      </x:c>
      <x:c r="AH81" s="55" t="n">
        <x:v>400</x:v>
      </x:c>
      <x:c r="AI81" s="55" t="n">
        <x:v>9599</x:v>
      </x:c>
      <x:c r="AJ81" s="55" t="n">
        <x:v>426</x:v>
      </x:c>
      <x:c r="AK81" s="55" t="n">
        <x:v>862</x:v>
      </x:c>
      <x:c r="AL81" s="55" t="n">
        <x:v>1705</x:v>
      </x:c>
      <x:c r="AM81" s="55" t="n">
        <x:v>4475</x:v>
      </x:c>
      <x:c r="AN81" s="55" t="n">
        <x:v>2531</x:v>
      </x:c>
      <x:c r="AO81" s="55" t="n">
        <x:v>0</x:v>
      </x:c>
      <x:c r="AP81" s="55" t="n">
        <x:v>2211</x:v>
      </x:c>
      <x:c r="AQ81" s="55" t="n">
        <x:v>952</x:v>
      </x:c>
    </x:row>
    <x:row r="82">
      <x:c r="A82" s="54" t="str">
        <x:v>T1_SHARED_CATCHMENT</x:v>
      </x:c>
      <x:c r="B82" s="54" t="n">
        <x:v>76</x:v>
      </x:c>
      <x:c r="C82" s="54" t="str">
        <x:v>NYC-V2-R01</x:v>
      </x:c>
      <x:c r="D82" s="54" t="str">
        <x:v>V2</x:v>
      </x:c>
      <x:c r="E82" s="54" t="str">
        <x:v>ADMITTED</x:v>
      </x:c>
      <x:c r="F82" s="55" t="n">
        <x:v>31211</x:v>
      </x:c>
      <x:c r="G82" s="55" t="n">
        <x:v>7373</x:v>
      </x:c>
      <x:c r="H82" s="55" t="n">
        <x:v>3087</x:v>
      </x:c>
      <x:c r="I82" s="55" t="n">
        <x:v>947</x:v>
      </x:c>
      <x:c r="J82" s="55" t="n">
        <x:v>434</x:v>
      </x:c>
      <x:c r="K82" s="55" t="n">
        <x:v>31211</x:v>
      </x:c>
      <x:c r="L82" s="55" t="n">
        <x:v>5799</x:v>
      </x:c>
      <x:c r="M82" s="55" t="n">
        <x:v>1166</x:v>
      </x:c>
      <x:c r="N82" s="55" t="n">
        <x:v>2932</x:v>
      </x:c>
      <x:c r="O82" s="55" t="n">
        <x:v>1701</x:v>
      </x:c>
      <x:c r="P82" s="55" t="n">
        <x:v>426</x:v>
      </x:c>
      <x:c r="Q82" s="55" t="n">
        <x:v>1919</x:v>
      </x:c>
      <x:c r="R82" s="55" t="n">
        <x:v>1548</x:v>
      </x:c>
      <x:c r="S82" s="55" t="n">
        <x:v>1867</x:v>
      </x:c>
      <x:c r="T82" s="55" t="n">
        <x:v>1220</x:v>
      </x:c>
      <x:c r="U82" s="55" t="n">
        <x:v>1774</x:v>
      </x:c>
      <x:c r="V82" s="55" t="n">
        <x:v>11037</x:v>
      </x:c>
      <x:c r="W82" s="55" t="n">
        <x:v>7822</x:v>
      </x:c>
      <x:c r="X82" s="55" t="n">
        <x:v>3215</x:v>
      </x:c>
      <x:c r="Y82" s="55" t="n">
        <x:v>2713</x:v>
      </x:c>
      <x:c r="Z82" s="55" t="n">
        <x:v>3569</x:v>
      </x:c>
      <x:c r="AA82" s="55" t="n">
        <x:v>2789</x:v>
      </x:c>
      <x:c r="AB82" s="55" t="n">
        <x:v>1008</x:v>
      </x:c>
      <x:c r="AC82" s="55" t="n">
        <x:v>7795</x:v>
      </x:c>
      <x:c r="AD82" s="55" t="n">
        <x:v>2264</x:v>
      </x:c>
      <x:c r="AE82" s="55" t="n">
        <x:v>11139</x:v>
      </x:c>
      <x:c r="AF82" s="55" t="n">
        <x:v>11037</x:v>
      </x:c>
      <x:c r="AG82" s="55" t="n">
        <x:v>102</x:v>
      </x:c>
      <x:c r="AH82" s="55" t="n">
        <x:v>545</x:v>
      </x:c>
      <x:c r="AI82" s="55" t="n">
        <x:v>10492</x:v>
      </x:c>
      <x:c r="AJ82" s="55" t="n">
        <x:v>348</x:v>
      </x:c>
      <x:c r="AK82" s="55" t="n">
        <x:v>767</x:v>
      </x:c>
      <x:c r="AL82" s="55" t="n">
        <x:v>1680</x:v>
      </x:c>
      <x:c r="AM82" s="55" t="n">
        <x:v>5017</x:v>
      </x:c>
      <x:c r="AN82" s="55" t="n">
        <x:v>3225</x:v>
      </x:c>
      <x:c r="AO82" s="55" t="n">
        <x:v>0</x:v>
      </x:c>
      <x:c r="AP82" s="55" t="n">
        <x:v>1835</x:v>
      </x:c>
      <x:c r="AQ82" s="55" t="n">
        <x:v>980</x:v>
      </x:c>
    </x:row>
    <x:row r="83">
      <x:c r="A83" s="54" t="str">
        <x:v>T1_SHARED_CATCHMENT</x:v>
      </x:c>
      <x:c r="B83" s="54" t="n">
        <x:v>77</x:v>
      </x:c>
      <x:c r="C83" s="54" t="str">
        <x:v>NYC-V2-R01</x:v>
      </x:c>
      <x:c r="D83" s="54" t="str">
        <x:v>V2</x:v>
      </x:c>
      <x:c r="E83" s="54" t="str">
        <x:v>ADMITTED</x:v>
      </x:c>
      <x:c r="F83" s="55" t="n">
        <x:v>33102</x:v>
      </x:c>
      <x:c r="G83" s="55" t="n">
        <x:v>7435</x:v>
      </x:c>
      <x:c r="H83" s="55" t="n">
        <x:v>3615</x:v>
      </x:c>
      <x:c r="I83" s="55" t="n">
        <x:v>1792</x:v>
      </x:c>
      <x:c r="J83" s="55" t="n">
        <x:v>196</x:v>
      </x:c>
      <x:c r="K83" s="55" t="n">
        <x:v>33102</x:v>
      </x:c>
      <x:c r="L83" s="55" t="n">
        <x:v>7033</x:v>
      </x:c>
      <x:c r="M83" s="55" t="n">
        <x:v>716</x:v>
      </x:c>
      <x:c r="N83" s="55" t="n">
        <x:v>3761</x:v>
      </x:c>
      <x:c r="O83" s="55" t="n">
        <x:v>2556</x:v>
      </x:c>
      <x:c r="P83" s="55" t="n">
        <x:v>1245</x:v>
      </x:c>
      <x:c r="Q83" s="55" t="n">
        <x:v>2547</x:v>
      </x:c>
      <x:c r="R83" s="55" t="n">
        <x:v>2264</x:v>
      </x:c>
      <x:c r="S83" s="55" t="n">
        <x:v>2835</x:v>
      </x:c>
      <x:c r="T83" s="55" t="n">
        <x:v>1714</x:v>
      </x:c>
      <x:c r="U83" s="55" t="n">
        <x:v>2604</x:v>
      </x:c>
      <x:c r="V83" s="55" t="n">
        <x:v>10122</x:v>
      </x:c>
      <x:c r="W83" s="55" t="n">
        <x:v>6476</x:v>
      </x:c>
      <x:c r="X83" s="55" t="n">
        <x:v>3646</x:v>
      </x:c>
      <x:c r="Y83" s="55" t="n">
        <x:v>3140</x:v>
      </x:c>
      <x:c r="Z83" s="55" t="n">
        <x:v>3533</x:v>
      </x:c>
      <x:c r="AA83" s="55" t="n">
        <x:v>2919</x:v>
      </x:c>
      <x:c r="AB83" s="55" t="n">
        <x:v>1145</x:v>
      </x:c>
      <x:c r="AC83" s="55" t="n">
        <x:v>7880</x:v>
      </x:c>
      <x:c r="AD83" s="55" t="n">
        <x:v>3029</x:v>
      </x:c>
      <x:c r="AE83" s="55" t="n">
        <x:v>10239</x:v>
      </x:c>
      <x:c r="AF83" s="55" t="n">
        <x:v>10122</x:v>
      </x:c>
      <x:c r="AG83" s="55" t="n">
        <x:v>117</x:v>
      </x:c>
      <x:c r="AH83" s="55" t="n">
        <x:v>564</x:v>
      </x:c>
      <x:c r="AI83" s="55" t="n">
        <x:v>9558</x:v>
      </x:c>
      <x:c r="AJ83" s="55" t="n">
        <x:v>284</x:v>
      </x:c>
      <x:c r="AK83" s="55" t="n">
        <x:v>1155</x:v>
      </x:c>
      <x:c r="AL83" s="55" t="n">
        <x:v>1522</x:v>
      </x:c>
      <x:c r="AM83" s="55" t="n">
        <x:v>4956</x:v>
      </x:c>
      <x:c r="AN83" s="55" t="n">
        <x:v>2200</x:v>
      </x:c>
      <x:c r="AO83" s="55" t="n">
        <x:v>5</x:v>
      </x:c>
      <x:c r="AP83" s="55" t="n">
        <x:v>2399</x:v>
      </x:c>
      <x:c r="AQ83" s="55" t="n">
        <x:v>951</x:v>
      </x:c>
    </x:row>
    <x:row r="84">
      <x:c r="A84" s="54" t="str">
        <x:v>T1_SHARED_CATCHMENT</x:v>
      </x:c>
      <x:c r="B84" s="54" t="n">
        <x:v>78</x:v>
      </x:c>
      <x:c r="C84" s="54" t="str">
        <x:v>NYC-V2-R01</x:v>
      </x:c>
      <x:c r="D84" s="54" t="str">
        <x:v>V2</x:v>
      </x:c>
      <x:c r="E84" s="54" t="str">
        <x:v>ADMITTED</x:v>
      </x:c>
      <x:c r="F84" s="55" t="n">
        <x:v>30875</x:v>
      </x:c>
      <x:c r="G84" s="55" t="n">
        <x:v>8092</x:v>
      </x:c>
      <x:c r="H84" s="55" t="n">
        <x:v>3640</x:v>
      </x:c>
      <x:c r="I84" s="55" t="n">
        <x:v>1557</x:v>
      </x:c>
      <x:c r="J84" s="55" t="n">
        <x:v>365</x:v>
      </x:c>
      <x:c r="K84" s="55" t="n">
        <x:v>30313</x:v>
      </x:c>
      <x:c r="L84" s="55" t="n">
        <x:v>6213</x:v>
      </x:c>
      <x:c r="M84" s="55" t="n">
        <x:v>1408</x:v>
      </x:c>
      <x:c r="N84" s="55" t="n">
        <x:v>2787</x:v>
      </x:c>
      <x:c r="O84" s="55" t="n">
        <x:v>2018</x:v>
      </x:c>
      <x:c r="P84" s="55" t="n">
        <x:v>1070</x:v>
      </x:c>
      <x:c r="Q84" s="55" t="n">
        <x:v>1876</x:v>
      </x:c>
      <x:c r="R84" s="55" t="n">
        <x:v>1471</x:v>
      </x:c>
      <x:c r="S84" s="55" t="n">
        <x:v>2982</x:v>
      </x:c>
      <x:c r="T84" s="55" t="n">
        <x:v>1238</x:v>
      </x:c>
      <x:c r="U84" s="55" t="n">
        <x:v>2340</x:v>
      </x:c>
      <x:c r="V84" s="55" t="n">
        <x:v>9981</x:v>
      </x:c>
      <x:c r="W84" s="55" t="n">
        <x:v>7114</x:v>
      </x:c>
      <x:c r="X84" s="55" t="n">
        <x:v>2867</x:v>
      </x:c>
      <x:c r="Y84" s="55" t="n">
        <x:v>2460</x:v>
      </x:c>
      <x:c r="Z84" s="55" t="n">
        <x:v>4116</x:v>
      </x:c>
      <x:c r="AA84" s="55" t="n">
        <x:v>2624</x:v>
      </x:c>
      <x:c r="AB84" s="55" t="n">
        <x:v>1000</x:v>
      </x:c>
      <x:c r="AC84" s="55" t="n">
        <x:v>7823</x:v>
      </x:c>
      <x:c r="AD84" s="55" t="n">
        <x:v>3075</x:v>
      </x:c>
      <x:c r="AE84" s="55" t="n">
        <x:v>10090</x:v>
      </x:c>
      <x:c r="AF84" s="55" t="n">
        <x:v>9981</x:v>
      </x:c>
      <x:c r="AG84" s="55" t="n">
        <x:v>109</x:v>
      </x:c>
      <x:c r="AH84" s="55" t="n">
        <x:v>403</x:v>
      </x:c>
      <x:c r="AI84" s="55" t="n">
        <x:v>9578</x:v>
      </x:c>
      <x:c r="AJ84" s="55" t="n">
        <x:v>375</x:v>
      </x:c>
      <x:c r="AK84" s="55" t="n">
        <x:v>1027</x:v>
      </x:c>
      <x:c r="AL84" s="55" t="n">
        <x:v>1398</x:v>
      </x:c>
      <x:c r="AM84" s="55" t="n">
        <x:v>5171</x:v>
      </x:c>
      <x:c r="AN84" s="55" t="n">
        <x:v>2003</x:v>
      </x:c>
      <x:c r="AO84" s="55" t="n">
        <x:v>7</x:v>
      </x:c>
      <x:c r="AP84" s="55" t="n">
        <x:v>2383</x:v>
      </x:c>
      <x:c r="AQ84" s="55" t="n">
        <x:v>945</x:v>
      </x:c>
    </x:row>
    <x:row r="85">
      <x:c r="A85" s="54" t="str">
        <x:v>T1_SHARED_CATCHMENT</x:v>
      </x:c>
      <x:c r="B85" s="54" t="n">
        <x:v>79</x:v>
      </x:c>
      <x:c r="C85" s="54" t="str">
        <x:v>NYC-V2-R01</x:v>
      </x:c>
      <x:c r="D85" s="54" t="str">
        <x:v>V2</x:v>
      </x:c>
      <x:c r="E85" s="54" t="str">
        <x:v>ADMITTED</x:v>
      </x:c>
      <x:c r="F85" s="55" t="n">
        <x:v>29817</x:v>
      </x:c>
      <x:c r="G85" s="55" t="n">
        <x:v>7278</x:v>
      </x:c>
      <x:c r="H85" s="55" t="n">
        <x:v>3031</x:v>
      </x:c>
      <x:c r="I85" s="55" t="n">
        <x:v>896</x:v>
      </x:c>
      <x:c r="J85" s="55" t="n">
        <x:v>144</x:v>
      </x:c>
      <x:c r="K85" s="55" t="n">
        <x:v>29817</x:v>
      </x:c>
      <x:c r="L85" s="55" t="n">
        <x:v>4429</x:v>
      </x:c>
      <x:c r="M85" s="55" t="n">
        <x:v>304</x:v>
      </x:c>
      <x:c r="N85" s="55" t="n">
        <x:v>2185</x:v>
      </x:c>
      <x:c r="O85" s="55" t="n">
        <x:v>1940</x:v>
      </x:c>
      <x:c r="P85" s="55" t="n">
        <x:v>608</x:v>
      </x:c>
      <x:c r="Q85" s="55" t="n">
        <x:v>2020</x:v>
      </x:c>
      <x:c r="R85" s="55" t="n">
        <x:v>1564</x:v>
      </x:c>
      <x:c r="S85" s="55" t="n">
        <x:v>3150</x:v>
      </x:c>
      <x:c r="T85" s="55" t="n">
        <x:v>854</x:v>
      </x:c>
      <x:c r="U85" s="55" t="n">
        <x:v>1862</x:v>
      </x:c>
      <x:c r="V85" s="55" t="n">
        <x:v>9617</x:v>
      </x:c>
      <x:c r="W85" s="55" t="n">
        <x:v>6645</x:v>
      </x:c>
      <x:c r="X85" s="55" t="n">
        <x:v>2972</x:v>
      </x:c>
      <x:c r="Y85" s="55" t="n">
        <x:v>2796</x:v>
      </x:c>
      <x:c r="Z85" s="55" t="n">
        <x:v>3704</x:v>
      </x:c>
      <x:c r="AA85" s="55" t="n">
        <x:v>2999</x:v>
      </x:c>
      <x:c r="AB85" s="55" t="n">
        <x:v>982</x:v>
      </x:c>
      <x:c r="AC85" s="55" t="n">
        <x:v>8134</x:v>
      </x:c>
      <x:c r="AD85" s="55" t="n">
        <x:v>3214</x:v>
      </x:c>
      <x:c r="AE85" s="55" t="n">
        <x:v>9651</x:v>
      </x:c>
      <x:c r="AF85" s="55" t="n">
        <x:v>9617</x:v>
      </x:c>
      <x:c r="AG85" s="55" t="n">
        <x:v>34</x:v>
      </x:c>
      <x:c r="AH85" s="55" t="n">
        <x:v>87</x:v>
      </x:c>
      <x:c r="AI85" s="55" t="n">
        <x:v>9530</x:v>
      </x:c>
      <x:c r="AJ85" s="55" t="n">
        <x:v>323</x:v>
      </x:c>
      <x:c r="AK85" s="55" t="n">
        <x:v>893</x:v>
      </x:c>
      <x:c r="AL85" s="55" t="n">
        <x:v>1902</x:v>
      </x:c>
      <x:c r="AM85" s="55" t="n">
        <x:v>4340</x:v>
      </x:c>
      <x:c r="AN85" s="55" t="n">
        <x:v>2159</x:v>
      </x:c>
      <x:c r="AO85" s="55" t="n">
        <x:v>0</x:v>
      </x:c>
      <x:c r="AP85" s="55" t="n">
        <x:v>2514</x:v>
      </x:c>
      <x:c r="AQ85" s="55" t="n">
        <x:v>971</x:v>
      </x:c>
    </x:row>
    <x:row r="86">
      <x:c r="A86" s="54" t="str">
        <x:v>T1_SHARED_CATCHMENT</x:v>
      </x:c>
      <x:c r="B86" s="54" t="n">
        <x:v>80</x:v>
      </x:c>
      <x:c r="C86" s="54" t="str">
        <x:v>NYC-V2-R01</x:v>
      </x:c>
      <x:c r="D86" s="54" t="str">
        <x:v>V2</x:v>
      </x:c>
      <x:c r="E86" s="54" t="str">
        <x:v>ADMITTED</x:v>
      </x:c>
      <x:c r="F86" s="55" t="n">
        <x:v>30504</x:v>
      </x:c>
      <x:c r="G86" s="55" t="n">
        <x:v>7743</x:v>
      </x:c>
      <x:c r="H86" s="55" t="n">
        <x:v>3335</x:v>
      </x:c>
      <x:c r="I86" s="55" t="n">
        <x:v>500</x:v>
      </x:c>
      <x:c r="J86" s="55" t="n">
        <x:v>49</x:v>
      </x:c>
      <x:c r="K86" s="55" t="n">
        <x:v>30504</x:v>
      </x:c>
      <x:c r="L86" s="55" t="n">
        <x:v>5390</x:v>
      </x:c>
      <x:c r="M86" s="55" t="n">
        <x:v>1695</x:v>
      </x:c>
      <x:c r="N86" s="55" t="n">
        <x:v>2358</x:v>
      </x:c>
      <x:c r="O86" s="55" t="n">
        <x:v>1337</x:v>
      </x:c>
      <x:c r="P86" s="55" t="n">
        <x:v>422</x:v>
      </x:c>
      <x:c r="Q86" s="55" t="n">
        <x:v>2216</x:v>
      </x:c>
      <x:c r="R86" s="55" t="n">
        <x:v>1548</x:v>
      </x:c>
      <x:c r="S86" s="55" t="n">
        <x:v>2657</x:v>
      </x:c>
      <x:c r="T86" s="55" t="n">
        <x:v>920</x:v>
      </x:c>
      <x:c r="U86" s="55" t="n">
        <x:v>1940</x:v>
      </x:c>
      <x:c r="V86" s="55" t="n">
        <x:v>10768</x:v>
      </x:c>
      <x:c r="W86" s="55" t="n">
        <x:v>8080</x:v>
      </x:c>
      <x:c r="X86" s="55" t="n">
        <x:v>2688</x:v>
      </x:c>
      <x:c r="Y86" s="55" t="n">
        <x:v>2345</x:v>
      </x:c>
      <x:c r="Z86" s="55" t="n">
        <x:v>3905</x:v>
      </x:c>
      <x:c r="AA86" s="55" t="n">
        <x:v>3335</x:v>
      </x:c>
      <x:c r="AB86" s="55" t="n">
        <x:v>1199</x:v>
      </x:c>
      <x:c r="AC86" s="55" t="n">
        <x:v>7698</x:v>
      </x:c>
      <x:c r="AD86" s="55" t="n">
        <x:v>2752</x:v>
      </x:c>
      <x:c r="AE86" s="55" t="n">
        <x:v>10793</x:v>
      </x:c>
      <x:c r="AF86" s="55" t="n">
        <x:v>10768</x:v>
      </x:c>
      <x:c r="AG86" s="55" t="n">
        <x:v>25</x:v>
      </x:c>
      <x:c r="AH86" s="55" t="n">
        <x:v>220</x:v>
      </x:c>
      <x:c r="AI86" s="55" t="n">
        <x:v>10548</x:v>
      </x:c>
      <x:c r="AJ86" s="55" t="n">
        <x:v>308</x:v>
      </x:c>
      <x:c r="AK86" s="55" t="n">
        <x:v>826</x:v>
      </x:c>
      <x:c r="AL86" s="55" t="n">
        <x:v>1668</x:v>
      </x:c>
      <x:c r="AM86" s="55" t="n">
        <x:v>4945</x:v>
      </x:c>
      <x:c r="AN86" s="55" t="n">
        <x:v>3021</x:v>
      </x:c>
      <x:c r="AO86" s="55" t="n">
        <x:v>0</x:v>
      </x:c>
      <x:c r="AP86" s="55" t="n">
        <x:v>2158</x:v>
      </x:c>
      <x:c r="AQ86" s="55" t="n">
        <x:v>951</x:v>
      </x:c>
    </x:row>
    <x:row r="87">
      <x:c r="A87" s="54" t="str">
        <x:v>T1_SHARED_CATCHMENT</x:v>
      </x:c>
      <x:c r="B87" s="54" t="n">
        <x:v>81</x:v>
      </x:c>
      <x:c r="C87" s="54" t="str">
        <x:v>NYC-V2-R01</x:v>
      </x:c>
      <x:c r="D87" s="54" t="str">
        <x:v>V2</x:v>
      </x:c>
      <x:c r="E87" s="54" t="str">
        <x:v>ADMITTED</x:v>
      </x:c>
      <x:c r="F87" s="55" t="n">
        <x:v>30288</x:v>
      </x:c>
      <x:c r="G87" s="55" t="n">
        <x:v>7797</x:v>
      </x:c>
      <x:c r="H87" s="55" t="n">
        <x:v>3723</x:v>
      </x:c>
      <x:c r="I87" s="55" t="n">
        <x:v>929</x:v>
      </x:c>
      <x:c r="J87" s="55" t="n">
        <x:v>73</x:v>
      </x:c>
      <x:c r="K87" s="55" t="n">
        <x:v>30288</x:v>
      </x:c>
      <x:c r="L87" s="55" t="n">
        <x:v>5898</x:v>
      </x:c>
      <x:c r="M87" s="55" t="n">
        <x:v>1726</x:v>
      </x:c>
      <x:c r="N87" s="55" t="n">
        <x:v>2789</x:v>
      </x:c>
      <x:c r="O87" s="55" t="n">
        <x:v>1383</x:v>
      </x:c>
      <x:c r="P87" s="55" t="n">
        <x:v>727</x:v>
      </x:c>
      <x:c r="Q87" s="55" t="n">
        <x:v>3280</x:v>
      </x:c>
      <x:c r="R87" s="55" t="n">
        <x:v>1896</x:v>
      </x:c>
      <x:c r="S87" s="55" t="n">
        <x:v>2294</x:v>
      </x:c>
      <x:c r="T87" s="55" t="n">
        <x:v>1407</x:v>
      </x:c>
      <x:c r="U87" s="55" t="n">
        <x:v>2274</x:v>
      </x:c>
      <x:c r="V87" s="55" t="n">
        <x:v>10160</x:v>
      </x:c>
      <x:c r="W87" s="55" t="n">
        <x:v>6955</x:v>
      </x:c>
      <x:c r="X87" s="55" t="n">
        <x:v>3205</x:v>
      </x:c>
      <x:c r="Y87" s="55" t="n">
        <x:v>2837</x:v>
      </x:c>
      <x:c r="Z87" s="55" t="n">
        <x:v>4281</x:v>
      </x:c>
      <x:c r="AA87" s="55" t="n">
        <x:v>3723</x:v>
      </x:c>
      <x:c r="AB87" s="55" t="n">
        <x:v>1405</x:v>
      </x:c>
      <x:c r="AC87" s="55" t="n">
        <x:v>8342</x:v>
      </x:c>
      <x:c r="AD87" s="55" t="n">
        <x:v>3190</x:v>
      </x:c>
      <x:c r="AE87" s="55" t="n">
        <x:v>10231</x:v>
      </x:c>
      <x:c r="AF87" s="55" t="n">
        <x:v>10160</x:v>
      </x:c>
      <x:c r="AG87" s="55" t="n">
        <x:v>71</x:v>
      </x:c>
      <x:c r="AH87" s="55" t="n">
        <x:v>315</x:v>
      </x:c>
      <x:c r="AI87" s="55" t="n">
        <x:v>9845</x:v>
      </x:c>
      <x:c r="AJ87" s="55" t="n">
        <x:v>250</x:v>
      </x:c>
      <x:c r="AK87" s="55" t="n">
        <x:v>1314</x:v>
      </x:c>
      <x:c r="AL87" s="55" t="n">
        <x:v>1688</x:v>
      </x:c>
      <x:c r="AM87" s="55" t="n">
        <x:v>4034</x:v>
      </x:c>
      <x:c r="AN87" s="55" t="n">
        <x:v>2873</x:v>
      </x:c>
      <x:c r="AO87" s="55" t="n">
        <x:v>1</x:v>
      </x:c>
      <x:c r="AP87" s="55" t="n">
        <x:v>2110</x:v>
      </x:c>
      <x:c r="AQ87" s="55" t="n">
        <x:v>980</x:v>
      </x:c>
    </x:row>
    <x:row r="88">
      <x:c r="A88" s="54" t="str">
        <x:v>T1_SHARED_CATCHMENT</x:v>
      </x:c>
      <x:c r="B88" s="54" t="n">
        <x:v>82</x:v>
      </x:c>
      <x:c r="C88" s="54" t="str">
        <x:v>NYC-V2-R01</x:v>
      </x:c>
      <x:c r="D88" s="54" t="str">
        <x:v>V2</x:v>
      </x:c>
      <x:c r="E88" s="54" t="str">
        <x:v>ADMITTED</x:v>
      </x:c>
      <x:c r="F88" s="55" t="n">
        <x:v>31354</x:v>
      </x:c>
      <x:c r="G88" s="55" t="n">
        <x:v>8716</x:v>
      </x:c>
      <x:c r="H88" s="55" t="n">
        <x:v>3559</x:v>
      </x:c>
      <x:c r="I88" s="55" t="n">
        <x:v>1006</x:v>
      </x:c>
      <x:c r="J88" s="55" t="n">
        <x:v>114</x:v>
      </x:c>
      <x:c r="K88" s="55" t="n">
        <x:v>31354</x:v>
      </x:c>
      <x:c r="L88" s="55" t="n">
        <x:v>6008</x:v>
      </x:c>
      <x:c r="M88" s="55" t="n">
        <x:v>2010</x:v>
      </x:c>
      <x:c r="N88" s="55" t="n">
        <x:v>2687</x:v>
      </x:c>
      <x:c r="O88" s="55" t="n">
        <x:v>1311</x:v>
      </x:c>
      <x:c r="P88" s="55" t="n">
        <x:v>861</x:v>
      </x:c>
      <x:c r="Q88" s="55" t="n">
        <x:v>1909</x:v>
      </x:c>
      <x:c r="R88" s="55" t="n">
        <x:v>2396</x:v>
      </x:c>
      <x:c r="S88" s="55" t="n">
        <x:v>2376</x:v>
      </x:c>
      <x:c r="T88" s="55" t="n">
        <x:v>1900</x:v>
      </x:c>
      <x:c r="U88" s="55" t="n">
        <x:v>2553</x:v>
      </x:c>
      <x:c r="V88" s="55" t="n">
        <x:v>9635</x:v>
      </x:c>
      <x:c r="W88" s="55" t="n">
        <x:v>6681</x:v>
      </x:c>
      <x:c r="X88" s="55" t="n">
        <x:v>2954</x:v>
      </x:c>
      <x:c r="Y88" s="55" t="n">
        <x:v>2284</x:v>
      </x:c>
      <x:c r="Z88" s="55" t="n">
        <x:v>3434</x:v>
      </x:c>
      <x:c r="AA88" s="55" t="n">
        <x:v>3559</x:v>
      </x:c>
      <x:c r="AB88" s="55" t="n">
        <x:v>1254</x:v>
      </x:c>
      <x:c r="AC88" s="55" t="n">
        <x:v>7984</x:v>
      </x:c>
      <x:c r="AD88" s="55" t="n">
        <x:v>2673</x:v>
      </x:c>
      <x:c r="AE88" s="55" t="n">
        <x:v>9704</x:v>
      </x:c>
      <x:c r="AF88" s="55" t="n">
        <x:v>9635</x:v>
      </x:c>
      <x:c r="AG88" s="55" t="n">
        <x:v>69</x:v>
      </x:c>
      <x:c r="AH88" s="55" t="n">
        <x:v>296</x:v>
      </x:c>
      <x:c r="AI88" s="55" t="n">
        <x:v>9339</x:v>
      </x:c>
      <x:c r="AJ88" s="55" t="n">
        <x:v>325</x:v>
      </x:c>
      <x:c r="AK88" s="55" t="n">
        <x:v>802</x:v>
      </x:c>
      <x:c r="AL88" s="55" t="n">
        <x:v>1157</x:v>
      </x:c>
      <x:c r="AM88" s="55" t="n">
        <x:v>5079</x:v>
      </x:c>
      <x:c r="AN88" s="55" t="n">
        <x:v>2251</x:v>
      </x:c>
      <x:c r="AO88" s="55" t="n">
        <x:v>21</x:v>
      </x:c>
      <x:c r="AP88" s="55" t="n">
        <x:v>2688</x:v>
      </x:c>
      <x:c r="AQ88" s="55" t="n">
        <x:v>979</x:v>
      </x:c>
    </x:row>
    <x:row r="89">
      <x:c r="A89" s="54" t="str">
        <x:v>T1_SHARED_CATCHMENT</x:v>
      </x:c>
      <x:c r="B89" s="54" t="n">
        <x:v>83</x:v>
      </x:c>
      <x:c r="C89" s="54" t="str">
        <x:v>NYC-V2-R01</x:v>
      </x:c>
      <x:c r="D89" s="54" t="str">
        <x:v>V2</x:v>
      </x:c>
      <x:c r="E89" s="54" t="str">
        <x:v>ADMITTED</x:v>
      </x:c>
      <x:c r="F89" s="55" t="n">
        <x:v>31459</x:v>
      </x:c>
      <x:c r="G89" s="55" t="n">
        <x:v>7253</x:v>
      </x:c>
      <x:c r="H89" s="55" t="n">
        <x:v>3129</x:v>
      </x:c>
      <x:c r="I89" s="55" t="n">
        <x:v>1144</x:v>
      </x:c>
      <x:c r="J89" s="55" t="n">
        <x:v>278</x:v>
      </x:c>
      <x:c r="K89" s="55" t="n">
        <x:v>31459</x:v>
      </x:c>
      <x:c r="L89" s="55" t="n">
        <x:v>6369</x:v>
      </x:c>
      <x:c r="M89" s="55" t="n">
        <x:v>1584</x:v>
      </x:c>
      <x:c r="N89" s="55" t="n">
        <x:v>2567</x:v>
      </x:c>
      <x:c r="O89" s="55" t="n">
        <x:v>2218</x:v>
      </x:c>
      <x:c r="P89" s="55" t="n">
        <x:v>795</x:v>
      </x:c>
      <x:c r="Q89" s="55" t="n">
        <x:v>2673</x:v>
      </x:c>
      <x:c r="R89" s="55" t="n">
        <x:v>2063</x:v>
      </x:c>
      <x:c r="S89" s="55" t="n">
        <x:v>2454</x:v>
      </x:c>
      <x:c r="T89" s="55" t="n">
        <x:v>990</x:v>
      </x:c>
      <x:c r="U89" s="55" t="n">
        <x:v>1500</x:v>
      </x:c>
      <x:c r="V89" s="55" t="n">
        <x:v>11362</x:v>
      </x:c>
      <x:c r="W89" s="55" t="n">
        <x:v>8768</x:v>
      </x:c>
      <x:c r="X89" s="55" t="n">
        <x:v>2594</x:v>
      </x:c>
      <x:c r="Y89" s="55" t="n">
        <x:v>2284</x:v>
      </x:c>
      <x:c r="Z89" s="55" t="n">
        <x:v>3716</x:v>
      </x:c>
      <x:c r="AA89" s="55" t="n">
        <x:v>3129</x:v>
      </x:c>
      <x:c r="AB89" s="55" t="n">
        <x:v>655</x:v>
      </x:c>
      <x:c r="AC89" s="55" t="n">
        <x:v>8604</x:v>
      </x:c>
      <x:c r="AD89" s="55" t="n">
        <x:v>3075</x:v>
      </x:c>
      <x:c r="AE89" s="55" t="n">
        <x:v>11390</x:v>
      </x:c>
      <x:c r="AF89" s="55" t="n">
        <x:v>11362</x:v>
      </x:c>
      <x:c r="AG89" s="55" t="n">
        <x:v>28</x:v>
      </x:c>
      <x:c r="AH89" s="55" t="n">
        <x:v>797</x:v>
      </x:c>
      <x:c r="AI89" s="55" t="n">
        <x:v>10565</x:v>
      </x:c>
      <x:c r="AJ89" s="55" t="n">
        <x:v>441</x:v>
      </x:c>
      <x:c r="AK89" s="55" t="n">
        <x:v>1313</x:v>
      </x:c>
      <x:c r="AL89" s="55" t="n">
        <x:v>1961</x:v>
      </x:c>
      <x:c r="AM89" s="55" t="n">
        <x:v>5059</x:v>
      </x:c>
      <x:c r="AN89" s="55" t="n">
        <x:v>2555</x:v>
      </x:c>
      <x:c r="AO89" s="55" t="n">
        <x:v>33</x:v>
      </x:c>
      <x:c r="AP89" s="55" t="n">
        <x:v>2243</x:v>
      </x:c>
      <x:c r="AQ89" s="55" t="n">
        <x:v>952</x:v>
      </x:c>
    </x:row>
    <x:row r="90">
      <x:c r="A90" s="54" t="str">
        <x:v>T1_SHARED_CATCHMENT</x:v>
      </x:c>
      <x:c r="B90" s="54" t="n">
        <x:v>84</x:v>
      </x:c>
      <x:c r="C90" s="54" t="str">
        <x:v>NYC-V2-R01</x:v>
      </x:c>
      <x:c r="D90" s="54" t="str">
        <x:v>V2</x:v>
      </x:c>
      <x:c r="E90" s="54" t="str">
        <x:v>ADMITTED</x:v>
      </x:c>
      <x:c r="F90" s="55" t="n">
        <x:v>31346</x:v>
      </x:c>
      <x:c r="G90" s="55" t="n">
        <x:v>8080</x:v>
      </x:c>
      <x:c r="H90" s="55" t="n">
        <x:v>3460</x:v>
      </x:c>
      <x:c r="I90" s="55" t="n">
        <x:v>1264</x:v>
      </x:c>
      <x:c r="J90" s="55" t="n">
        <x:v>189</x:v>
      </x:c>
      <x:c r="K90" s="55" t="n">
        <x:v>31267</x:v>
      </x:c>
      <x:c r="L90" s="55" t="n">
        <x:v>5432</x:v>
      </x:c>
      <x:c r="M90" s="55" t="n">
        <x:v>1589</x:v>
      </x:c>
      <x:c r="N90" s="55" t="n">
        <x:v>2011</x:v>
      </x:c>
      <x:c r="O90" s="55" t="n">
        <x:v>1832</x:v>
      </x:c>
      <x:c r="P90" s="55" t="n">
        <x:v>1199</x:v>
      </x:c>
      <x:c r="Q90" s="55" t="n">
        <x:v>521</x:v>
      </x:c>
      <x:c r="R90" s="55" t="n">
        <x:v>1512</x:v>
      </x:c>
      <x:c r="S90" s="55" t="n">
        <x:v>2519</x:v>
      </x:c>
      <x:c r="T90" s="55" t="n">
        <x:v>1295</x:v>
      </x:c>
      <x:c r="U90" s="55" t="n">
        <x:v>2802</x:v>
      </x:c>
      <x:c r="V90" s="55" t="n">
        <x:v>9905</x:v>
      </x:c>
      <x:c r="W90" s="55" t="n">
        <x:v>6640</x:v>
      </x:c>
      <x:c r="X90" s="55" t="n">
        <x:v>3265</x:v>
      </x:c>
      <x:c r="Y90" s="55" t="n">
        <x:v>3035</x:v>
      </x:c>
      <x:c r="Z90" s="55" t="n">
        <x:v>2792</x:v>
      </x:c>
      <x:c r="AA90" s="55" t="n">
        <x:v>3448</x:v>
      </x:c>
      <x:c r="AB90" s="55" t="n">
        <x:v>1145</x:v>
      </x:c>
      <x:c r="AC90" s="55" t="n">
        <x:v>8462</x:v>
      </x:c>
      <x:c r="AD90" s="55" t="n">
        <x:v>3156</x:v>
      </x:c>
      <x:c r="AE90" s="55" t="n">
        <x:v>10028</x:v>
      </x:c>
      <x:c r="AF90" s="55" t="n">
        <x:v>9905</x:v>
      </x:c>
      <x:c r="AG90" s="55" t="n">
        <x:v>123</x:v>
      </x:c>
      <x:c r="AH90" s="55" t="n">
        <x:v>360</x:v>
      </x:c>
      <x:c r="AI90" s="55" t="n">
        <x:v>9545</x:v>
      </x:c>
      <x:c r="AJ90" s="55" t="n">
        <x:v>259</x:v>
      </x:c>
      <x:c r="AK90" s="55" t="n">
        <x:v>1198</x:v>
      </x:c>
      <x:c r="AL90" s="55" t="n">
        <x:v>1556</x:v>
      </x:c>
      <x:c r="AM90" s="55" t="n">
        <x:v>4228</x:v>
      </x:c>
      <x:c r="AN90" s="55" t="n">
        <x:v>2664</x:v>
      </x:c>
      <x:c r="AO90" s="55" t="n">
        <x:v>0</x:v>
      </x:c>
      <x:c r="AP90" s="55" t="n">
        <x:v>2059</x:v>
      </x:c>
      <x:c r="AQ90" s="55" t="n">
        <x:v>926</x:v>
      </x:c>
    </x:row>
    <x:row r="91">
      <x:c r="A91" s="54" t="str">
        <x:v>T1_SHARED_CATCHMENT</x:v>
      </x:c>
      <x:c r="B91" s="54" t="n">
        <x:v>85</x:v>
      </x:c>
      <x:c r="C91" s="54" t="str">
        <x:v>NYC-V2-R01</x:v>
      </x:c>
      <x:c r="D91" s="54" t="str">
        <x:v>V2</x:v>
      </x:c>
      <x:c r="E91" s="54" t="str">
        <x:v>ADMITTED</x:v>
      </x:c>
      <x:c r="F91" s="55" t="n">
        <x:v>27617</x:v>
      </x:c>
      <x:c r="G91" s="55" t="n">
        <x:v>5961</x:v>
      </x:c>
      <x:c r="H91" s="55" t="n">
        <x:v>3277</x:v>
      </x:c>
      <x:c r="I91" s="55" t="n">
        <x:v>1106</x:v>
      </x:c>
      <x:c r="J91" s="55" t="n">
        <x:v>221</x:v>
      </x:c>
      <x:c r="K91" s="55" t="n">
        <x:v>27617</x:v>
      </x:c>
      <x:c r="L91" s="55" t="n">
        <x:v>3945</x:v>
      </x:c>
      <x:c r="M91" s="55" t="n">
        <x:v>0</x:v>
      </x:c>
      <x:c r="N91" s="55" t="n">
        <x:v>2485</x:v>
      </x:c>
      <x:c r="O91" s="55" t="n">
        <x:v>1460</x:v>
      </x:c>
      <x:c r="P91" s="55" t="n">
        <x:v>671</x:v>
      </x:c>
      <x:c r="Q91" s="55" t="n">
        <x:v>2083</x:v>
      </x:c>
      <x:c r="R91" s="55" t="n">
        <x:v>1471</x:v>
      </x:c>
      <x:c r="S91" s="55" t="n">
        <x:v>2514</x:v>
      </x:c>
      <x:c r="T91" s="55" t="n">
        <x:v>1420</x:v>
      </x:c>
      <x:c r="U91" s="55" t="n">
        <x:v>1832</x:v>
      </x:c>
      <x:c r="V91" s="55" t="n">
        <x:v>10498</x:v>
      </x:c>
      <x:c r="W91" s="55" t="n">
        <x:v>7856</x:v>
      </x:c>
      <x:c r="X91" s="55" t="n">
        <x:v>2642</x:v>
      </x:c>
      <x:c r="Y91" s="55" t="n">
        <x:v>2291</x:v>
      </x:c>
      <x:c r="Z91" s="55" t="n">
        <x:v>3160</x:v>
      </x:c>
      <x:c r="AA91" s="55" t="n">
        <x:v>3277</x:v>
      </x:c>
      <x:c r="AB91" s="55" t="n">
        <x:v>727</x:v>
      </x:c>
      <x:c r="AC91" s="55" t="n">
        <x:v>7486</x:v>
      </x:c>
      <x:c r="AD91" s="55" t="n">
        <x:v>2740</x:v>
      </x:c>
      <x:c r="AE91" s="55" t="n">
        <x:v>10620</x:v>
      </x:c>
      <x:c r="AF91" s="55" t="n">
        <x:v>10498</x:v>
      </x:c>
      <x:c r="AG91" s="55" t="n">
        <x:v>122</x:v>
      </x:c>
      <x:c r="AH91" s="55" t="n">
        <x:v>312</x:v>
      </x:c>
      <x:c r="AI91" s="55" t="n">
        <x:v>10186</x:v>
      </x:c>
      <x:c r="AJ91" s="55" t="n">
        <x:v>328</x:v>
      </x:c>
      <x:c r="AK91" s="55" t="n">
        <x:v>1426</x:v>
      </x:c>
      <x:c r="AL91" s="55" t="n">
        <x:v>1637</x:v>
      </x:c>
      <x:c r="AM91" s="55" t="n">
        <x:v>4683</x:v>
      </x:c>
      <x:c r="AN91" s="55" t="n">
        <x:v>2401</x:v>
      </x:c>
      <x:c r="AO91" s="55" t="n">
        <x:v>23</x:v>
      </x:c>
      <x:c r="AP91" s="55" t="n">
        <x:v>1845</x:v>
      </x:c>
      <x:c r="AQ91" s="55" t="n">
        <x:v>910</x:v>
      </x:c>
    </x:row>
    <x:row r="92">
      <x:c r="A92" s="54" t="str">
        <x:v>T1_SHARED_CATCHMENT</x:v>
      </x:c>
      <x:c r="B92" s="54" t="n">
        <x:v>86</x:v>
      </x:c>
      <x:c r="C92" s="54" t="str">
        <x:v>NYC-V2-R01</x:v>
      </x:c>
      <x:c r="D92" s="54" t="str">
        <x:v>V2</x:v>
      </x:c>
      <x:c r="E92" s="54" t="str">
        <x:v>ADMITTED</x:v>
      </x:c>
      <x:c r="F92" s="55" t="n">
        <x:v>30131</x:v>
      </x:c>
      <x:c r="G92" s="55" t="n">
        <x:v>6905</x:v>
      </x:c>
      <x:c r="H92" s="55" t="n">
        <x:v>3458</x:v>
      </x:c>
      <x:c r="I92" s="55" t="n">
        <x:v>1120</x:v>
      </x:c>
      <x:c r="J92" s="55" t="n">
        <x:v>233</x:v>
      </x:c>
      <x:c r="K92" s="55" t="n">
        <x:v>30131</x:v>
      </x:c>
      <x:c r="L92" s="55" t="n">
        <x:v>5564</x:v>
      </x:c>
      <x:c r="M92" s="55" t="n">
        <x:v>929</x:v>
      </x:c>
      <x:c r="N92" s="55" t="n">
        <x:v>2722</x:v>
      </x:c>
      <x:c r="O92" s="55" t="n">
        <x:v>1913</x:v>
      </x:c>
      <x:c r="P92" s="55" t="n">
        <x:v>550</x:v>
      </x:c>
      <x:c r="Q92" s="55" t="n">
        <x:v>1856</x:v>
      </x:c>
      <x:c r="R92" s="55" t="n">
        <x:v>1700</x:v>
      </x:c>
      <x:c r="S92" s="55" t="n">
        <x:v>2988</x:v>
      </x:c>
      <x:c r="T92" s="55" t="n">
        <x:v>1059</x:v>
      </x:c>
      <x:c r="U92" s="55" t="n">
        <x:v>2266</x:v>
      </x:c>
      <x:c r="V92" s="55" t="n">
        <x:v>10782</x:v>
      </x:c>
      <x:c r="W92" s="55" t="n">
        <x:v>7583</x:v>
      </x:c>
      <x:c r="X92" s="55" t="n">
        <x:v>3199</x:v>
      </x:c>
      <x:c r="Y92" s="55" t="n">
        <x:v>2625</x:v>
      </x:c>
      <x:c r="Z92" s="55" t="n">
        <x:v>3536</x:v>
      </x:c>
      <x:c r="AA92" s="55" t="n">
        <x:v>3335</x:v>
      </x:c>
      <x:c r="AB92" s="55" t="n">
        <x:v>1345</x:v>
      </x:c>
      <x:c r="AC92" s="55" t="n">
        <x:v>7440</x:v>
      </x:c>
      <x:c r="AD92" s="55" t="n">
        <x:v>3027</x:v>
      </x:c>
      <x:c r="AE92" s="55" t="n">
        <x:v>10825</x:v>
      </x:c>
      <x:c r="AF92" s="55" t="n">
        <x:v>10782</x:v>
      </x:c>
      <x:c r="AG92" s="55" t="n">
        <x:v>43</x:v>
      </x:c>
      <x:c r="AH92" s="55" t="n">
        <x:v>466</x:v>
      </x:c>
      <x:c r="AI92" s="55" t="n">
        <x:v>10316</x:v>
      </x:c>
      <x:c r="AJ92" s="55" t="n">
        <x:v>413</x:v>
      </x:c>
      <x:c r="AK92" s="55" t="n">
        <x:v>963</x:v>
      </x:c>
      <x:c r="AL92" s="55" t="n">
        <x:v>1592</x:v>
      </x:c>
      <x:c r="AM92" s="55" t="n">
        <x:v>4877</x:v>
      </x:c>
      <x:c r="AN92" s="55" t="n">
        <x:v>2927</x:v>
      </x:c>
      <x:c r="AO92" s="55" t="n">
        <x:v>10</x:v>
      </x:c>
      <x:c r="AP92" s="55" t="n">
        <x:v>2388</x:v>
      </x:c>
      <x:c r="AQ92" s="55" t="n">
        <x:v>958</x:v>
      </x:c>
    </x:row>
    <x:row r="93">
      <x:c r="A93" s="54" t="str">
        <x:v>T1_SHARED_CATCHMENT</x:v>
      </x:c>
      <x:c r="B93" s="54" t="n">
        <x:v>87</x:v>
      </x:c>
      <x:c r="C93" s="54" t="str">
        <x:v>NYC-V2-R01</x:v>
      </x:c>
      <x:c r="D93" s="54" t="str">
        <x:v>V2</x:v>
      </x:c>
      <x:c r="E93" s="54" t="str">
        <x:v>ADMITTED</x:v>
      </x:c>
      <x:c r="F93" s="55" t="n">
        <x:v>30957</x:v>
      </x:c>
      <x:c r="G93" s="55" t="n">
        <x:v>7691</x:v>
      </x:c>
      <x:c r="H93" s="55" t="n">
        <x:v>2952</x:v>
      </x:c>
      <x:c r="I93" s="55" t="n">
        <x:v>1012</x:v>
      </x:c>
      <x:c r="J93" s="55" t="n">
        <x:v>179</x:v>
      </x:c>
      <x:c r="K93" s="55" t="n">
        <x:v>30957</x:v>
      </x:c>
      <x:c r="L93" s="55" t="n">
        <x:v>4802</x:v>
      </x:c>
      <x:c r="M93" s="55" t="n">
        <x:v>0</x:v>
      </x:c>
      <x:c r="N93" s="55" t="n">
        <x:v>2507</x:v>
      </x:c>
      <x:c r="O93" s="55" t="n">
        <x:v>2295</x:v>
      </x:c>
      <x:c r="P93" s="55" t="n">
        <x:v>891</x:v>
      </x:c>
      <x:c r="Q93" s="55" t="n">
        <x:v>2127</x:v>
      </x:c>
      <x:c r="R93" s="55" t="n">
        <x:v>1869</x:v>
      </x:c>
      <x:c r="S93" s="55" t="n">
        <x:v>1531</x:v>
      </x:c>
      <x:c r="T93" s="55" t="n">
        <x:v>1105</x:v>
      </x:c>
      <x:c r="U93" s="55" t="n">
        <x:v>1324</x:v>
      </x:c>
      <x:c r="V93" s="55" t="n">
        <x:v>10507</x:v>
      </x:c>
      <x:c r="W93" s="55" t="n">
        <x:v>7912</x:v>
      </x:c>
      <x:c r="X93" s="55" t="n">
        <x:v>2595</x:v>
      </x:c>
      <x:c r="Y93" s="55" t="n">
        <x:v>2319</x:v>
      </x:c>
      <x:c r="Z93" s="55" t="n">
        <x:v>3522</x:v>
      </x:c>
      <x:c r="AA93" s="55" t="n">
        <x:v>2765</x:v>
      </x:c>
      <x:c r="AB93" s="55" t="n">
        <x:v>705</x:v>
      </x:c>
      <x:c r="AC93" s="55" t="n">
        <x:v>7613</x:v>
      </x:c>
      <x:c r="AD93" s="55" t="n">
        <x:v>2161</x:v>
      </x:c>
      <x:c r="AE93" s="55" t="n">
        <x:v>10507</x:v>
      </x:c>
      <x:c r="AF93" s="55" t="n">
        <x:v>10507</x:v>
      </x:c>
      <x:c r="AG93" s="55" t="n">
        <x:v>0</x:v>
      </x:c>
      <x:c r="AH93" s="55" t="n">
        <x:v>380</x:v>
      </x:c>
      <x:c r="AI93" s="55" t="n">
        <x:v>10127</x:v>
      </x:c>
      <x:c r="AJ93" s="55" t="n">
        <x:v>267</x:v>
      </x:c>
      <x:c r="AK93" s="55" t="n">
        <x:v>852</x:v>
      </x:c>
      <x:c r="AL93" s="55" t="n">
        <x:v>1757</x:v>
      </x:c>
      <x:c r="AM93" s="55" t="n">
        <x:v>5024</x:v>
      </x:c>
      <x:c r="AN93" s="55" t="n">
        <x:v>2607</x:v>
      </x:c>
      <x:c r="AO93" s="55" t="n">
        <x:v>0</x:v>
      </x:c>
      <x:c r="AP93" s="55" t="n">
        <x:v>2466</x:v>
      </x:c>
      <x:c r="AQ93" s="55" t="n">
        <x:v>942</x:v>
      </x:c>
    </x:row>
    <x:row r="94">
      <x:c r="A94" s="54" t="str">
        <x:v>T1_SHARED_CATCHMENT</x:v>
      </x:c>
      <x:c r="B94" s="54" t="n">
        <x:v>88</x:v>
      </x:c>
      <x:c r="C94" s="54" t="str">
        <x:v>NYC-V2-R01</x:v>
      </x:c>
      <x:c r="D94" s="54" t="str">
        <x:v>V2</x:v>
      </x:c>
      <x:c r="E94" s="54" t="str">
        <x:v>ADMITTED</x:v>
      </x:c>
      <x:c r="F94" s="55" t="n">
        <x:v>29490</x:v>
      </x:c>
      <x:c r="G94" s="55" t="n">
        <x:v>6197</x:v>
      </x:c>
      <x:c r="H94" s="55" t="n">
        <x:v>3665</x:v>
      </x:c>
      <x:c r="I94" s="55" t="n">
        <x:v>1680</x:v>
      </x:c>
      <x:c r="J94" s="55" t="n">
        <x:v>243</x:v>
      </x:c>
      <x:c r="K94" s="55" t="n">
        <x:v>29490</x:v>
      </x:c>
      <x:c r="L94" s="55" t="n">
        <x:v>5179</x:v>
      </x:c>
      <x:c r="M94" s="55" t="n">
        <x:v>2025</x:v>
      </x:c>
      <x:c r="N94" s="55" t="n">
        <x:v>2137</x:v>
      </x:c>
      <x:c r="O94" s="55" t="n">
        <x:v>1017</x:v>
      </x:c>
      <x:c r="P94" s="55" t="n">
        <x:v>792</x:v>
      </x:c>
      <x:c r="Q94" s="55" t="n">
        <x:v>2765</x:v>
      </x:c>
      <x:c r="R94" s="55" t="n">
        <x:v>1638</x:v>
      </x:c>
      <x:c r="S94" s="55" t="n">
        <x:v>2610</x:v>
      </x:c>
      <x:c r="T94" s="55" t="n">
        <x:v>1225</x:v>
      </x:c>
      <x:c r="U94" s="55" t="n">
        <x:v>2249</x:v>
      </x:c>
      <x:c r="V94" s="55" t="n">
        <x:v>11206</x:v>
      </x:c>
      <x:c r="W94" s="55" t="n">
        <x:v>8211</x:v>
      </x:c>
      <x:c r="X94" s="55" t="n">
        <x:v>2995</x:v>
      </x:c>
      <x:c r="Y94" s="55" t="n">
        <x:v>2503</x:v>
      </x:c>
      <x:c r="Z94" s="55" t="n">
        <x:v>3347</x:v>
      </x:c>
      <x:c r="AA94" s="55" t="n">
        <x:v>2848</x:v>
      </x:c>
      <x:c r="AB94" s="55" t="n">
        <x:v>821</x:v>
      </x:c>
      <x:c r="AC94" s="55" t="n">
        <x:v>8094</x:v>
      </x:c>
      <x:c r="AD94" s="55" t="n">
        <x:v>2227</x:v>
      </x:c>
      <x:c r="AE94" s="55" t="n">
        <x:v>11305</x:v>
      </x:c>
      <x:c r="AF94" s="55" t="n">
        <x:v>11206</x:v>
      </x:c>
      <x:c r="AG94" s="55" t="n">
        <x:v>99</x:v>
      </x:c>
      <x:c r="AH94" s="55" t="n">
        <x:v>521</x:v>
      </x:c>
      <x:c r="AI94" s="55" t="n">
        <x:v>10685</x:v>
      </x:c>
      <x:c r="AJ94" s="55" t="n">
        <x:v>179</x:v>
      </x:c>
      <x:c r="AK94" s="55" t="n">
        <x:v>1146</x:v>
      </x:c>
      <x:c r="AL94" s="55" t="n">
        <x:v>1850</x:v>
      </x:c>
      <x:c r="AM94" s="55" t="n">
        <x:v>5176</x:v>
      </x:c>
      <x:c r="AN94" s="55" t="n">
        <x:v>2834</x:v>
      </x:c>
      <x:c r="AO94" s="55" t="n">
        <x:v>21</x:v>
      </x:c>
      <x:c r="AP94" s="55" t="n">
        <x:v>2426</x:v>
      </x:c>
      <x:c r="AQ94" s="55" t="n">
        <x:v>948</x:v>
      </x:c>
    </x:row>
    <x:row r="95">
      <x:c r="A95" s="54" t="str">
        <x:v>T1_SHARED_CATCHMENT</x:v>
      </x:c>
      <x:c r="B95" s="54" t="n">
        <x:v>89</x:v>
      </x:c>
      <x:c r="C95" s="54" t="str">
        <x:v>NYC-V2-R01</x:v>
      </x:c>
      <x:c r="D95" s="54" t="str">
        <x:v>V2</x:v>
      </x:c>
      <x:c r="E95" s="54" t="str">
        <x:v>ADMITTED</x:v>
      </x:c>
      <x:c r="F95" s="55" t="n">
        <x:v>32874</x:v>
      </x:c>
      <x:c r="G95" s="55" t="n">
        <x:v>8481</x:v>
      </x:c>
      <x:c r="H95" s="55" t="n">
        <x:v>3843</x:v>
      </x:c>
      <x:c r="I95" s="55" t="n">
        <x:v>1594</x:v>
      </x:c>
      <x:c r="J95" s="55" t="n">
        <x:v>414</x:v>
      </x:c>
      <x:c r="K95" s="55" t="n">
        <x:v>32874</x:v>
      </x:c>
      <x:c r="L95" s="55" t="n">
        <x:v>6975</x:v>
      </x:c>
      <x:c r="M95" s="55" t="n">
        <x:v>1269</x:v>
      </x:c>
      <x:c r="N95" s="55" t="n">
        <x:v>3495</x:v>
      </x:c>
      <x:c r="O95" s="55" t="n">
        <x:v>2211</x:v>
      </x:c>
      <x:c r="P95" s="55" t="n">
        <x:v>857</x:v>
      </x:c>
      <x:c r="Q95" s="55" t="n">
        <x:v>3141</x:v>
      </x:c>
      <x:c r="R95" s="55" t="n">
        <x:v>2173</x:v>
      </x:c>
      <x:c r="S95" s="55" t="n">
        <x:v>3071</x:v>
      </x:c>
      <x:c r="T95" s="55" t="n">
        <x:v>1615</x:v>
      </x:c>
      <x:c r="U95" s="55" t="n">
        <x:v>2275</x:v>
      </x:c>
      <x:c r="V95" s="55" t="n">
        <x:v>10566</x:v>
      </x:c>
      <x:c r="W95" s="55" t="n">
        <x:v>7300</x:v>
      </x:c>
      <x:c r="X95" s="55" t="n">
        <x:v>3266</x:v>
      </x:c>
      <x:c r="Y95" s="55" t="n">
        <x:v>2805</x:v>
      </x:c>
      <x:c r="Z95" s="55" t="n">
        <x:v>4177</x:v>
      </x:c>
      <x:c r="AA95" s="55" t="n">
        <x:v>3752</x:v>
      </x:c>
      <x:c r="AB95" s="55" t="n">
        <x:v>1437</x:v>
      </x:c>
      <x:c r="AC95" s="55" t="n">
        <x:v>8641</x:v>
      </x:c>
      <x:c r="AD95" s="55" t="n">
        <x:v>3599</x:v>
      </x:c>
      <x:c r="AE95" s="55" t="n">
        <x:v>10677</x:v>
      </x:c>
      <x:c r="AF95" s="55" t="n">
        <x:v>10566</x:v>
      </x:c>
      <x:c r="AG95" s="55" t="n">
        <x:v>111</x:v>
      </x:c>
      <x:c r="AH95" s="55" t="n">
        <x:v>279</x:v>
      </x:c>
      <x:c r="AI95" s="55" t="n">
        <x:v>10287</x:v>
      </x:c>
      <x:c r="AJ95" s="55" t="n">
        <x:v>451</x:v>
      </x:c>
      <x:c r="AK95" s="55" t="n">
        <x:v>920</x:v>
      </x:c>
      <x:c r="AL95" s="55" t="n">
        <x:v>1645</x:v>
      </x:c>
      <x:c r="AM95" s="55" t="n">
        <x:v>4813</x:v>
      </x:c>
      <x:c r="AN95" s="55" t="n">
        <x:v>2717</x:v>
      </x:c>
      <x:c r="AO95" s="55" t="n">
        <x:v>20</x:v>
      </x:c>
      <x:c r="AP95" s="55" t="n">
        <x:v>1971</x:v>
      </x:c>
      <x:c r="AQ95" s="55" t="n">
        <x:v>1003</x:v>
      </x:c>
    </x:row>
    <x:row r="96">
      <x:c r="A96" s="54" t="str">
        <x:v>T1_SHARED_CATCHMENT</x:v>
      </x:c>
      <x:c r="B96" s="54" t="n">
        <x:v>90</x:v>
      </x:c>
      <x:c r="C96" s="54" t="str">
        <x:v>NYC-V2-R01</x:v>
      </x:c>
      <x:c r="D96" s="54" t="str">
        <x:v>V2</x:v>
      </x:c>
      <x:c r="E96" s="54" t="str">
        <x:v>ADMITTED</x:v>
      </x:c>
      <x:c r="F96" s="55" t="n">
        <x:v>30258</x:v>
      </x:c>
      <x:c r="G96" s="55" t="n">
        <x:v>8072</x:v>
      </x:c>
      <x:c r="H96" s="55" t="n">
        <x:v>3243</x:v>
      </x:c>
      <x:c r="I96" s="55" t="n">
        <x:v>1102</x:v>
      </x:c>
      <x:c r="J96" s="55" t="n">
        <x:v>216</x:v>
      </x:c>
      <x:c r="K96" s="55" t="n">
        <x:v>28577</x:v>
      </x:c>
      <x:c r="L96" s="55" t="n">
        <x:v>4558</x:v>
      </x:c>
      <x:c r="M96" s="55" t="n">
        <x:v>0</x:v>
      </x:c>
      <x:c r="N96" s="55" t="n">
        <x:v>2531</x:v>
      </x:c>
      <x:c r="O96" s="55" t="n">
        <x:v>2027</x:v>
      </x:c>
      <x:c r="P96" s="55" t="n">
        <x:v>765</x:v>
      </x:c>
      <x:c r="Q96" s="55" t="n">
        <x:v>3057</x:v>
      </x:c>
      <x:c r="R96" s="55" t="n">
        <x:v>1279</x:v>
      </x:c>
      <x:c r="S96" s="55" t="n">
        <x:v>2355</x:v>
      </x:c>
      <x:c r="T96" s="55" t="n">
        <x:v>1291</x:v>
      </x:c>
      <x:c r="U96" s="55" t="n">
        <x:v>2333</x:v>
      </x:c>
      <x:c r="V96" s="55" t="n">
        <x:v>10110</x:v>
      </x:c>
      <x:c r="W96" s="55" t="n">
        <x:v>7536</x:v>
      </x:c>
      <x:c r="X96" s="55" t="n">
        <x:v>2574</x:v>
      </x:c>
      <x:c r="Y96" s="55" t="n">
        <x:v>2388</x:v>
      </x:c>
      <x:c r="Z96" s="55" t="n">
        <x:v>3782</x:v>
      </x:c>
      <x:c r="AA96" s="55" t="n">
        <x:v>3243</x:v>
      </x:c>
      <x:c r="AB96" s="55" t="n">
        <x:v>1178</x:v>
      </x:c>
      <x:c r="AC96" s="55" t="n">
        <x:v>8272</x:v>
      </x:c>
      <x:c r="AD96" s="55" t="n">
        <x:v>2688</x:v>
      </x:c>
      <x:c r="AE96" s="55" t="n">
        <x:v>10174</x:v>
      </x:c>
      <x:c r="AF96" s="55" t="n">
        <x:v>10110</x:v>
      </x:c>
      <x:c r="AG96" s="55" t="n">
        <x:v>64</x:v>
      </x:c>
      <x:c r="AH96" s="55" t="n">
        <x:v>638</x:v>
      </x:c>
      <x:c r="AI96" s="55" t="n">
        <x:v>9472</x:v>
      </x:c>
      <x:c r="AJ96" s="55" t="n">
        <x:v>391</x:v>
      </x:c>
      <x:c r="AK96" s="55" t="n">
        <x:v>466</x:v>
      </x:c>
      <x:c r="AL96" s="55" t="n">
        <x:v>1589</x:v>
      </x:c>
      <x:c r="AM96" s="55" t="n">
        <x:v>4685</x:v>
      </x:c>
      <x:c r="AN96" s="55" t="n">
        <x:v>2979</x:v>
      </x:c>
      <x:c r="AO96" s="55" t="n">
        <x:v>0</x:v>
      </x:c>
      <x:c r="AP96" s="55" t="n">
        <x:v>2427</x:v>
      </x:c>
      <x:c r="AQ96" s="55" t="n">
        <x:v>978</x:v>
      </x:c>
    </x:row>
    <x:row r="97">
      <x:c r="A97" s="54" t="str">
        <x:v>T1_SHARED_CATCHMENT</x:v>
      </x:c>
      <x:c r="B97" s="54" t="n">
        <x:v>91</x:v>
      </x:c>
      <x:c r="C97" s="54" t="str">
        <x:v>NYC-V2-R01</x:v>
      </x:c>
      <x:c r="D97" s="54" t="str">
        <x:v>V2</x:v>
      </x:c>
      <x:c r="E97" s="54" t="str">
        <x:v>ADMITTED</x:v>
      </x:c>
      <x:c r="F97" s="55" t="n">
        <x:v>31474</x:v>
      </x:c>
      <x:c r="G97" s="55" t="n">
        <x:v>6776</x:v>
      </x:c>
      <x:c r="H97" s="55" t="n">
        <x:v>2730</x:v>
      </x:c>
      <x:c r="I97" s="55" t="n">
        <x:v>1203</x:v>
      </x:c>
      <x:c r="J97" s="55" t="n">
        <x:v>124</x:v>
      </x:c>
      <x:c r="K97" s="55" t="n">
        <x:v>31474</x:v>
      </x:c>
      <x:c r="L97" s="55" t="n">
        <x:v>5312</x:v>
      </x:c>
      <x:c r="M97" s="55" t="n">
        <x:v>607</x:v>
      </x:c>
      <x:c r="N97" s="55" t="n">
        <x:v>2930</x:v>
      </x:c>
      <x:c r="O97" s="55" t="n">
        <x:v>1775</x:v>
      </x:c>
      <x:c r="P97" s="55" t="n">
        <x:v>573</x:v>
      </x:c>
      <x:c r="Q97" s="55" t="n">
        <x:v>2202</x:v>
      </x:c>
      <x:c r="R97" s="55" t="n">
        <x:v>2364</x:v>
      </x:c>
      <x:c r="S97" s="55" t="n">
        <x:v>2037</x:v>
      </x:c>
      <x:c r="T97" s="55" t="n">
        <x:v>1144</x:v>
      </x:c>
      <x:c r="U97" s="55" t="n">
        <x:v>1739</x:v>
      </x:c>
      <x:c r="V97" s="55" t="n">
        <x:v>10103</x:v>
      </x:c>
      <x:c r="W97" s="55" t="n">
        <x:v>6828</x:v>
      </x:c>
      <x:c r="X97" s="55" t="n">
        <x:v>3275</x:v>
      </x:c>
      <x:c r="Y97" s="55" t="n">
        <x:v>2654</x:v>
      </x:c>
      <x:c r="Z97" s="55" t="n">
        <x:v>3749</x:v>
      </x:c>
      <x:c r="AA97" s="55" t="n">
        <x:v>2730</x:v>
      </x:c>
      <x:c r="AB97" s="55" t="n">
        <x:v>1102</x:v>
      </x:c>
      <x:c r="AC97" s="55" t="n">
        <x:v>7424</x:v>
      </x:c>
      <x:c r="AD97" s="55" t="n">
        <x:v>2630</x:v>
      </x:c>
      <x:c r="AE97" s="55" t="n">
        <x:v>10203</x:v>
      </x:c>
      <x:c r="AF97" s="55" t="n">
        <x:v>10103</x:v>
      </x:c>
      <x:c r="AG97" s="55" t="n">
        <x:v>100</x:v>
      </x:c>
      <x:c r="AH97" s="55" t="n">
        <x:v>190</x:v>
      </x:c>
      <x:c r="AI97" s="55" t="n">
        <x:v>9913</x:v>
      </x:c>
      <x:c r="AJ97" s="55" t="n">
        <x:v>435</x:v>
      </x:c>
      <x:c r="AK97" s="55" t="n">
        <x:v>1051</x:v>
      </x:c>
      <x:c r="AL97" s="55" t="n">
        <x:v>1553</x:v>
      </x:c>
      <x:c r="AM97" s="55" t="n">
        <x:v>4617</x:v>
      </x:c>
      <x:c r="AN97" s="55" t="n">
        <x:v>2413</x:v>
      </x:c>
      <x:c r="AO97" s="55" t="n">
        <x:v>34</x:v>
      </x:c>
      <x:c r="AP97" s="55" t="n">
        <x:v>2196</x:v>
      </x:c>
      <x:c r="AQ97" s="55" t="n">
        <x:v>972</x:v>
      </x:c>
    </x:row>
    <x:row r="98">
      <x:c r="A98" s="54" t="str">
        <x:v>T1_SHARED_CATCHMENT</x:v>
      </x:c>
      <x:c r="B98" s="54" t="n">
        <x:v>92</x:v>
      </x:c>
      <x:c r="C98" s="54" t="str">
        <x:v>NYC-V2-R01</x:v>
      </x:c>
      <x:c r="D98" s="54" t="str">
        <x:v>V2</x:v>
      </x:c>
      <x:c r="E98" s="54" t="str">
        <x:v>ADMITTED</x:v>
      </x:c>
      <x:c r="F98" s="55" t="n">
        <x:v>31876</x:v>
      </x:c>
      <x:c r="G98" s="55" t="n">
        <x:v>6148</x:v>
      </x:c>
      <x:c r="H98" s="55" t="n">
        <x:v>3380</x:v>
      </x:c>
      <x:c r="I98" s="55" t="n">
        <x:v>1408</x:v>
      </x:c>
      <x:c r="J98" s="55" t="n">
        <x:v>422</x:v>
      </x:c>
      <x:c r="K98" s="55" t="n">
        <x:v>31876</x:v>
      </x:c>
      <x:c r="L98" s="55" t="n">
        <x:v>6159</x:v>
      </x:c>
      <x:c r="M98" s="55" t="n">
        <x:v>2029</x:v>
      </x:c>
      <x:c r="N98" s="55" t="n">
        <x:v>2808</x:v>
      </x:c>
      <x:c r="O98" s="55" t="n">
        <x:v>1322</x:v>
      </x:c>
      <x:c r="P98" s="55" t="n">
        <x:v>943</x:v>
      </x:c>
      <x:c r="Q98" s="55" t="n">
        <x:v>2661</x:v>
      </x:c>
      <x:c r="R98" s="55" t="n">
        <x:v>1967</x:v>
      </x:c>
      <x:c r="S98" s="55" t="n">
        <x:v>3176</x:v>
      </x:c>
      <x:c r="T98" s="55" t="n">
        <x:v>1044</x:v>
      </x:c>
      <x:c r="U98" s="55" t="n">
        <x:v>2357</x:v>
      </x:c>
      <x:c r="V98" s="55" t="n">
        <x:v>10856</x:v>
      </x:c>
      <x:c r="W98" s="55" t="n">
        <x:v>7825</x:v>
      </x:c>
      <x:c r="X98" s="55" t="n">
        <x:v>3031</x:v>
      </x:c>
      <x:c r="Y98" s="55" t="n">
        <x:v>2476</x:v>
      </x:c>
      <x:c r="Z98" s="55" t="n">
        <x:v>3835</x:v>
      </x:c>
      <x:c r="AA98" s="55" t="n">
        <x:v>3105</x:v>
      </x:c>
      <x:c r="AB98" s="55" t="n">
        <x:v>1068</x:v>
      </x:c>
      <x:c r="AC98" s="55" t="n">
        <x:v>8456</x:v>
      </x:c>
      <x:c r="AD98" s="55" t="n">
        <x:v>3099</x:v>
      </x:c>
      <x:c r="AE98" s="55" t="n">
        <x:v>10893</x:v>
      </x:c>
      <x:c r="AF98" s="55" t="n">
        <x:v>10856</x:v>
      </x:c>
      <x:c r="AG98" s="55" t="n">
        <x:v>37</x:v>
      </x:c>
      <x:c r="AH98" s="55" t="n">
        <x:v>506</x:v>
      </x:c>
      <x:c r="AI98" s="55" t="n">
        <x:v>10350</x:v>
      </x:c>
      <x:c r="AJ98" s="55" t="n">
        <x:v>359</x:v>
      </x:c>
      <x:c r="AK98" s="55" t="n">
        <x:v>1031</x:v>
      </x:c>
      <x:c r="AL98" s="55" t="n">
        <x:v>1270</x:v>
      </x:c>
      <x:c r="AM98" s="55" t="n">
        <x:v>5192</x:v>
      </x:c>
      <x:c r="AN98" s="55" t="n">
        <x:v>3004</x:v>
      </x:c>
      <x:c r="AO98" s="55" t="n">
        <x:v>0</x:v>
      </x:c>
      <x:c r="AP98" s="55" t="n">
        <x:v>2613</x:v>
      </x:c>
      <x:c r="AQ98" s="55" t="n">
        <x:v>923</x:v>
      </x:c>
    </x:row>
    <x:row r="99">
      <x:c r="A99" s="54" t="str">
        <x:v>T1_SHARED_CATCHMENT</x:v>
      </x:c>
      <x:c r="B99" s="54" t="n">
        <x:v>93</x:v>
      </x:c>
      <x:c r="C99" s="54" t="str">
        <x:v>NYC-V2-R01</x:v>
      </x:c>
      <x:c r="D99" s="54" t="str">
        <x:v>V2</x:v>
      </x:c>
      <x:c r="E99" s="54" t="str">
        <x:v>ADMITTED</x:v>
      </x:c>
      <x:c r="F99" s="55" t="n">
        <x:v>32056</x:v>
      </x:c>
      <x:c r="G99" s="55" t="n">
        <x:v>9221</x:v>
      </x:c>
      <x:c r="H99" s="55" t="n">
        <x:v>2843</x:v>
      </x:c>
      <x:c r="I99" s="55" t="n">
        <x:v>1172</x:v>
      </x:c>
      <x:c r="J99" s="55" t="n">
        <x:v>275</x:v>
      </x:c>
      <x:c r="K99" s="55" t="n">
        <x:v>27302</x:v>
      </x:c>
      <x:c r="L99" s="55" t="n">
        <x:v>3641</x:v>
      </x:c>
      <x:c r="M99" s="55" t="n">
        <x:v>0</x:v>
      </x:c>
      <x:c r="N99" s="55" t="n">
        <x:v>2217</x:v>
      </x:c>
      <x:c r="O99" s="55" t="n">
        <x:v>1424</x:v>
      </x:c>
      <x:c r="P99" s="55" t="n">
        <x:v>539</x:v>
      </x:c>
      <x:c r="Q99" s="55" t="n">
        <x:v>2384</x:v>
      </x:c>
      <x:c r="R99" s="55" t="n">
        <x:v>2040</x:v>
      </x:c>
      <x:c r="S99" s="55" t="n">
        <x:v>2376</x:v>
      </x:c>
      <x:c r="T99" s="55" t="n">
        <x:v>1522</x:v>
      </x:c>
      <x:c r="U99" s="55" t="n">
        <x:v>2257</x:v>
      </x:c>
      <x:c r="V99" s="55" t="n">
        <x:v>10603</x:v>
      </x:c>
      <x:c r="W99" s="55" t="n">
        <x:v>7631</x:v>
      </x:c>
      <x:c r="X99" s="55" t="n">
        <x:v>2972</x:v>
      </x:c>
      <x:c r="Y99" s="55" t="n">
        <x:v>2515</x:v>
      </x:c>
      <x:c r="Z99" s="55" t="n">
        <x:v>3798</x:v>
      </x:c>
      <x:c r="AA99" s="55" t="n">
        <x:v>2690</x:v>
      </x:c>
      <x:c r="AB99" s="55" t="n">
        <x:v>886</x:v>
      </x:c>
      <x:c r="AC99" s="55" t="n">
        <x:v>7901</x:v>
      </x:c>
      <x:c r="AD99" s="55" t="n">
        <x:v>2771</x:v>
      </x:c>
      <x:c r="AE99" s="55" t="n">
        <x:v>10771</x:v>
      </x:c>
      <x:c r="AF99" s="55" t="n">
        <x:v>10603</x:v>
      </x:c>
      <x:c r="AG99" s="55" t="n">
        <x:v>168</x:v>
      </x:c>
      <x:c r="AH99" s="55" t="n">
        <x:v>342</x:v>
      </x:c>
      <x:c r="AI99" s="55" t="n">
        <x:v>10261</x:v>
      </x:c>
      <x:c r="AJ99" s="55" t="n">
        <x:v>263</x:v>
      </x:c>
      <x:c r="AK99" s="55" t="n">
        <x:v>1076</x:v>
      </x:c>
      <x:c r="AL99" s="55" t="n">
        <x:v>1697</x:v>
      </x:c>
      <x:c r="AM99" s="55" t="n">
        <x:v>4855</x:v>
      </x:c>
      <x:c r="AN99" s="55" t="n">
        <x:v>2634</x:v>
      </x:c>
      <x:c r="AO99" s="55" t="n">
        <x:v>78</x:v>
      </x:c>
      <x:c r="AP99" s="55" t="n">
        <x:v>2020</x:v>
      </x:c>
      <x:c r="AQ99" s="55" t="n">
        <x:v>944</x:v>
      </x:c>
    </x:row>
    <x:row r="100">
      <x:c r="A100" s="54" t="str">
        <x:v>T1_SHARED_CATCHMENT</x:v>
      </x:c>
      <x:c r="B100" s="54" t="n">
        <x:v>94</x:v>
      </x:c>
      <x:c r="C100" s="54" t="str">
        <x:v>NYC-V2-R01</x:v>
      </x:c>
      <x:c r="D100" s="54" t="str">
        <x:v>V2</x:v>
      </x:c>
      <x:c r="E100" s="54" t="str">
        <x:v>ADMITTED</x:v>
      </x:c>
      <x:c r="F100" s="55" t="n">
        <x:v>31598</x:v>
      </x:c>
      <x:c r="G100" s="55" t="n">
        <x:v>8898</x:v>
      </x:c>
      <x:c r="H100" s="55" t="n">
        <x:v>3334</x:v>
      </x:c>
      <x:c r="I100" s="55" t="n">
        <x:v>987</x:v>
      </x:c>
      <x:c r="J100" s="55" t="n">
        <x:v>150</x:v>
      </x:c>
      <x:c r="K100" s="55" t="n">
        <x:v>30010</x:v>
      </x:c>
      <x:c r="L100" s="55" t="n">
        <x:v>5853</x:v>
      </x:c>
      <x:c r="M100" s="55" t="n">
        <x:v>2128</x:v>
      </x:c>
      <x:c r="N100" s="55" t="n">
        <x:v>2433</x:v>
      </x:c>
      <x:c r="O100" s="55" t="n">
        <x:v>1292</x:v>
      </x:c>
      <x:c r="P100" s="55" t="n">
        <x:v>837</x:v>
      </x:c>
      <x:c r="Q100" s="55" t="n">
        <x:v>2198</x:v>
      </x:c>
      <x:c r="R100" s="55" t="n">
        <x:v>1765</x:v>
      </x:c>
      <x:c r="S100" s="55" t="n">
        <x:v>2445</x:v>
      </x:c>
      <x:c r="T100" s="55" t="n">
        <x:v>957</x:v>
      </x:c>
      <x:c r="U100" s="55" t="n">
        <x:v>2113</x:v>
      </x:c>
      <x:c r="V100" s="55" t="n">
        <x:v>10133</x:v>
      </x:c>
      <x:c r="W100" s="55" t="n">
        <x:v>7467</x:v>
      </x:c>
      <x:c r="X100" s="55" t="n">
        <x:v>2666</x:v>
      </x:c>
      <x:c r="Y100" s="55" t="n">
        <x:v>2362</x:v>
      </x:c>
      <x:c r="Z100" s="55" t="n">
        <x:v>3286</x:v>
      </x:c>
      <x:c r="AA100" s="55" t="n">
        <x:v>3334</x:v>
      </x:c>
      <x:c r="AB100" s="55" t="n">
        <x:v>1037</x:v>
      </x:c>
      <x:c r="AC100" s="55" t="n">
        <x:v>7929</x:v>
      </x:c>
      <x:c r="AD100" s="55" t="n">
        <x:v>2702</x:v>
      </x:c>
      <x:c r="AE100" s="55" t="n">
        <x:v>10230</x:v>
      </x:c>
      <x:c r="AF100" s="55" t="n">
        <x:v>10133</x:v>
      </x:c>
      <x:c r="AG100" s="55" t="n">
        <x:v>97</x:v>
      </x:c>
      <x:c r="AH100" s="55" t="n">
        <x:v>361</x:v>
      </x:c>
      <x:c r="AI100" s="55" t="n">
        <x:v>9772</x:v>
      </x:c>
      <x:c r="AJ100" s="55" t="n">
        <x:v>102</x:v>
      </x:c>
      <x:c r="AK100" s="55" t="n">
        <x:v>1269</x:v>
      </x:c>
      <x:c r="AL100" s="55" t="n">
        <x:v>1417</x:v>
      </x:c>
      <x:c r="AM100" s="55" t="n">
        <x:v>4746</x:v>
      </x:c>
      <x:c r="AN100" s="55" t="n">
        <x:v>2599</x:v>
      </x:c>
      <x:c r="AO100" s="55" t="n">
        <x:v>0</x:v>
      </x:c>
      <x:c r="AP100" s="55" t="n">
        <x:v>2139</x:v>
      </x:c>
      <x:c r="AQ100" s="55" t="n">
        <x:v>961</x:v>
      </x:c>
    </x:row>
    <x:row r="101">
      <x:c r="A101" s="54" t="str">
        <x:v>T1_SHARED_CATCHMENT</x:v>
      </x:c>
      <x:c r="B101" s="54" t="n">
        <x:v>95</x:v>
      </x:c>
      <x:c r="C101" s="54" t="str">
        <x:v>NYC-V2-R01</x:v>
      </x:c>
      <x:c r="D101" s="54" t="str">
        <x:v>V2</x:v>
      </x:c>
      <x:c r="E101" s="54" t="str">
        <x:v>ADMITTED</x:v>
      </x:c>
      <x:c r="F101" s="55" t="n">
        <x:v>31802</x:v>
      </x:c>
      <x:c r="G101" s="55" t="n">
        <x:v>8338</x:v>
      </x:c>
      <x:c r="H101" s="55" t="n">
        <x:v>3344</x:v>
      </x:c>
      <x:c r="I101" s="55" t="n">
        <x:v>1318</x:v>
      </x:c>
      <x:c r="J101" s="55" t="n">
        <x:v>267</x:v>
      </x:c>
      <x:c r="K101" s="55" t="n">
        <x:v>29419</x:v>
      </x:c>
      <x:c r="L101" s="55" t="n">
        <x:v>5233</x:v>
      </x:c>
      <x:c r="M101" s="55" t="n">
        <x:v>0</x:v>
      </x:c>
      <x:c r="N101" s="55" t="n">
        <x:v>3442</x:v>
      </x:c>
      <x:c r="O101" s="55" t="n">
        <x:v>1791</x:v>
      </x:c>
      <x:c r="P101" s="55" t="n">
        <x:v>903</x:v>
      </x:c>
      <x:c r="Q101" s="55" t="n">
        <x:v>2286</x:v>
      </x:c>
      <x:c r="R101" s="55" t="n">
        <x:v>1894</x:v>
      </x:c>
      <x:c r="S101" s="55" t="n">
        <x:v>2539</x:v>
      </x:c>
      <x:c r="T101" s="55" t="n">
        <x:v>1512</x:v>
      </x:c>
      <x:c r="U101" s="55" t="n">
        <x:v>1844</x:v>
      </x:c>
      <x:c r="V101" s="55" t="n">
        <x:v>10424</x:v>
      </x:c>
      <x:c r="W101" s="55" t="n">
        <x:v>7361</x:v>
      </x:c>
      <x:c r="X101" s="55" t="n">
        <x:v>3063</x:v>
      </x:c>
      <x:c r="Y101" s="55" t="n">
        <x:v>2602</x:v>
      </x:c>
      <x:c r="Z101" s="55" t="n">
        <x:v>3437</x:v>
      </x:c>
      <x:c r="AA101" s="55" t="n">
        <x:v>3267</x:v>
      </x:c>
      <x:c r="AB101" s="55" t="n">
        <x:v>1322</x:v>
      </x:c>
      <x:c r="AC101" s="55" t="n">
        <x:v>8434</x:v>
      </x:c>
      <x:c r="AD101" s="55" t="n">
        <x:v>2500</x:v>
      </x:c>
      <x:c r="AE101" s="55" t="n">
        <x:v>10466</x:v>
      </x:c>
      <x:c r="AF101" s="55" t="n">
        <x:v>10424</x:v>
      </x:c>
      <x:c r="AG101" s="55" t="n">
        <x:v>42</x:v>
      </x:c>
      <x:c r="AH101" s="55" t="n">
        <x:v>267</x:v>
      </x:c>
      <x:c r="AI101" s="55" t="n">
        <x:v>10157</x:v>
      </x:c>
      <x:c r="AJ101" s="55" t="n">
        <x:v>254</x:v>
      </x:c>
      <x:c r="AK101" s="55" t="n">
        <x:v>1300</x:v>
      </x:c>
      <x:c r="AL101" s="55" t="n">
        <x:v>2002</x:v>
      </x:c>
      <x:c r="AM101" s="55" t="n">
        <x:v>4362</x:v>
      </x:c>
      <x:c r="AN101" s="55" t="n">
        <x:v>2468</x:v>
      </x:c>
      <x:c r="AO101" s="55" t="n">
        <x:v>38</x:v>
      </x:c>
      <x:c r="AP101" s="55" t="n">
        <x:v>2218</x:v>
      </x:c>
      <x:c r="AQ101" s="55" t="n">
        <x:v>956</x:v>
      </x:c>
    </x:row>
    <x:row r="102">
      <x:c r="A102" s="54" t="str">
        <x:v>T1_SHARED_CATCHMENT</x:v>
      </x:c>
      <x:c r="B102" s="54" t="n">
        <x:v>96</x:v>
      </x:c>
      <x:c r="C102" s="54" t="str">
        <x:v>NYC-V2-R01</x:v>
      </x:c>
      <x:c r="D102" s="54" t="str">
        <x:v>V2</x:v>
      </x:c>
      <x:c r="E102" s="54" t="str">
        <x:v>ADMITTED</x:v>
      </x:c>
      <x:c r="F102" s="55" t="n">
        <x:v>34476</x:v>
      </x:c>
      <x:c r="G102" s="55" t="n">
        <x:v>10839</x:v>
      </x:c>
      <x:c r="H102" s="55" t="n">
        <x:v>3337</x:v>
      </x:c>
      <x:c r="I102" s="55" t="n">
        <x:v>1157</x:v>
      </x:c>
      <x:c r="J102" s="55" t="n">
        <x:v>328</x:v>
      </x:c>
      <x:c r="K102" s="55" t="n">
        <x:v>30154</x:v>
      </x:c>
      <x:c r="L102" s="55" t="n">
        <x:v>6555</x:v>
      </x:c>
      <x:c r="M102" s="55" t="n">
        <x:v>1748</x:v>
      </x:c>
      <x:c r="N102" s="55" t="n">
        <x:v>2864</x:v>
      </x:c>
      <x:c r="O102" s="55" t="n">
        <x:v>1943</x:v>
      </x:c>
      <x:c r="P102" s="55" t="n">
        <x:v>839</x:v>
      </x:c>
      <x:c r="Q102" s="55" t="n">
        <x:v>2402</x:v>
      </x:c>
      <x:c r="R102" s="55" t="n">
        <x:v>2111</x:v>
      </x:c>
      <x:c r="S102" s="55" t="n">
        <x:v>2375</x:v>
      </x:c>
      <x:c r="T102" s="55" t="n">
        <x:v>1209</x:v>
      </x:c>
      <x:c r="U102" s="55" t="n">
        <x:v>2545</x:v>
      </x:c>
      <x:c r="V102" s="55" t="n">
        <x:v>10865</x:v>
      </x:c>
      <x:c r="W102" s="55" t="n">
        <x:v>7955</x:v>
      </x:c>
      <x:c r="X102" s="55" t="n">
        <x:v>2910</x:v>
      </x:c>
      <x:c r="Y102" s="55" t="n">
        <x:v>2436</x:v>
      </x:c>
      <x:c r="Z102" s="55" t="n">
        <x:v>4023</x:v>
      </x:c>
      <x:c r="AA102" s="55" t="n">
        <x:v>3337</x:v>
      </x:c>
      <x:c r="AB102" s="55" t="n">
        <x:v>1261</x:v>
      </x:c>
      <x:c r="AC102" s="55" t="n">
        <x:v>8317</x:v>
      </x:c>
      <x:c r="AD102" s="55" t="n">
        <x:v>3119</x:v>
      </x:c>
      <x:c r="AE102" s="55" t="n">
        <x:v>11005</x:v>
      </x:c>
      <x:c r="AF102" s="55" t="n">
        <x:v>10865</x:v>
      </x:c>
      <x:c r="AG102" s="55" t="n">
        <x:v>140</x:v>
      </x:c>
      <x:c r="AH102" s="55" t="n">
        <x:v>409</x:v>
      </x:c>
      <x:c r="AI102" s="55" t="n">
        <x:v>10456</x:v>
      </x:c>
      <x:c r="AJ102" s="55" t="n">
        <x:v>256</x:v>
      </x:c>
      <x:c r="AK102" s="55" t="n">
        <x:v>693</x:v>
      </x:c>
      <x:c r="AL102" s="55" t="n">
        <x:v>1592</x:v>
      </x:c>
      <x:c r="AM102" s="55" t="n">
        <x:v>4796</x:v>
      </x:c>
      <x:c r="AN102" s="55" t="n">
        <x:v>3456</x:v>
      </x:c>
      <x:c r="AO102" s="55" t="n">
        <x:v>72</x:v>
      </x:c>
      <x:c r="AP102" s="55" t="n">
        <x:v>2500</x:v>
      </x:c>
      <x:c r="AQ102" s="55" t="n">
        <x:v>981</x:v>
      </x:c>
    </x:row>
    <x:row r="103">
      <x:c r="A103" s="54" t="str">
        <x:v>T1_SHARED_CATCHMENT</x:v>
      </x:c>
      <x:c r="B103" s="54" t="n">
        <x:v>97</x:v>
      </x:c>
      <x:c r="C103" s="54" t="str">
        <x:v>NYC-V2-R01</x:v>
      </x:c>
      <x:c r="D103" s="54" t="str">
        <x:v>V2</x:v>
      </x:c>
      <x:c r="E103" s="54" t="str">
        <x:v>ADMITTED</x:v>
      </x:c>
      <x:c r="F103" s="55" t="n">
        <x:v>29371</x:v>
      </x:c>
      <x:c r="G103" s="55" t="n">
        <x:v>6561</x:v>
      </x:c>
      <x:c r="H103" s="55" t="n">
        <x:v>3423</x:v>
      </x:c>
      <x:c r="I103" s="55" t="n">
        <x:v>1475</x:v>
      </x:c>
      <x:c r="J103" s="55" t="n">
        <x:v>243</x:v>
      </x:c>
      <x:c r="K103" s="55" t="n">
        <x:v>29371</x:v>
      </x:c>
      <x:c r="L103" s="55" t="n">
        <x:v>6000</x:v>
      </x:c>
      <x:c r="M103" s="55" t="n">
        <x:v>1507</x:v>
      </x:c>
      <x:c r="N103" s="55" t="n">
        <x:v>3054</x:v>
      </x:c>
      <x:c r="O103" s="55" t="n">
        <x:v>1439</x:v>
      </x:c>
      <x:c r="P103" s="55" t="n">
        <x:v>807</x:v>
      </x:c>
      <x:c r="Q103" s="55" t="n">
        <x:v>2059</x:v>
      </x:c>
      <x:c r="R103" s="55" t="n">
        <x:v>1916</x:v>
      </x:c>
      <x:c r="S103" s="55" t="n">
        <x:v>3316</x:v>
      </x:c>
      <x:c r="T103" s="55" t="n">
        <x:v>1566</x:v>
      </x:c>
      <x:c r="U103" s="55" t="n">
        <x:v>1704</x:v>
      </x:c>
      <x:c r="V103" s="55" t="n">
        <x:v>10192</x:v>
      </x:c>
      <x:c r="W103" s="55" t="n">
        <x:v>7227</x:v>
      </x:c>
      <x:c r="X103" s="55" t="n">
        <x:v>2965</x:v>
      </x:c>
      <x:c r="Y103" s="55" t="n">
        <x:v>2442</x:v>
      </x:c>
      <x:c r="Z103" s="55" t="n">
        <x:v>4274</x:v>
      </x:c>
      <x:c r="AA103" s="55" t="n">
        <x:v>3272</x:v>
      </x:c>
      <x:c r="AB103" s="55" t="n">
        <x:v>1313</x:v>
      </x:c>
      <x:c r="AC103" s="55" t="n">
        <x:v>7996</x:v>
      </x:c>
      <x:c r="AD103" s="55" t="n">
        <x:v>2879</x:v>
      </x:c>
      <x:c r="AE103" s="55" t="n">
        <x:v>10303</x:v>
      </x:c>
      <x:c r="AF103" s="55" t="n">
        <x:v>10192</x:v>
      </x:c>
      <x:c r="AG103" s="55" t="n">
        <x:v>111</x:v>
      </x:c>
      <x:c r="AH103" s="55" t="n">
        <x:v>343</x:v>
      </x:c>
      <x:c r="AI103" s="55" t="n">
        <x:v>9849</x:v>
      </x:c>
      <x:c r="AJ103" s="55" t="n">
        <x:v>301</x:v>
      </x:c>
      <x:c r="AK103" s="55" t="n">
        <x:v>741</x:v>
      </x:c>
      <x:c r="AL103" s="55" t="n">
        <x:v>1577</x:v>
      </x:c>
      <x:c r="AM103" s="55" t="n">
        <x:v>4946</x:v>
      </x:c>
      <x:c r="AN103" s="55" t="n">
        <x:v>2575</x:v>
      </x:c>
      <x:c r="AO103" s="55" t="n">
        <x:v>52</x:v>
      </x:c>
      <x:c r="AP103" s="55" t="n">
        <x:v>2284</x:v>
      </x:c>
      <x:c r="AQ103" s="55" t="n">
        <x:v>948</x:v>
      </x:c>
    </x:row>
    <x:row r="104">
      <x:c r="A104" s="54" t="str">
        <x:v>T1_SHARED_CATCHMENT</x:v>
      </x:c>
      <x:c r="B104" s="54" t="n">
        <x:v>98</x:v>
      </x:c>
      <x:c r="C104" s="54" t="str">
        <x:v>NYC-V2-R01</x:v>
      </x:c>
      <x:c r="D104" s="54" t="str">
        <x:v>V2</x:v>
      </x:c>
      <x:c r="E104" s="54" t="str">
        <x:v>ADMITTED</x:v>
      </x:c>
      <x:c r="F104" s="55" t="n">
        <x:v>29841</x:v>
      </x:c>
      <x:c r="G104" s="55" t="n">
        <x:v>7328</x:v>
      </x:c>
      <x:c r="H104" s="55" t="n">
        <x:v>2781</x:v>
      </x:c>
      <x:c r="I104" s="55" t="n">
        <x:v>1161</x:v>
      </x:c>
      <x:c r="J104" s="55" t="n">
        <x:v>92</x:v>
      </x:c>
      <x:c r="K104" s="55" t="n">
        <x:v>29841</x:v>
      </x:c>
      <x:c r="L104" s="55" t="n">
        <x:v>4039</x:v>
      </x:c>
      <x:c r="M104" s="55" t="n">
        <x:v>305</x:v>
      </x:c>
      <x:c r="N104" s="55" t="n">
        <x:v>2067</x:v>
      </x:c>
      <x:c r="O104" s="55" t="n">
        <x:v>1667</x:v>
      </x:c>
      <x:c r="P104" s="55" t="n">
        <x:v>766</x:v>
      </x:c>
      <x:c r="Q104" s="55" t="n">
        <x:v>1678</x:v>
      </x:c>
      <x:c r="R104" s="55" t="n">
        <x:v>1796</x:v>
      </x:c>
      <x:c r="S104" s="55" t="n">
        <x:v>2211</x:v>
      </x:c>
      <x:c r="T104" s="55" t="n">
        <x:v>1238</x:v>
      </x:c>
      <x:c r="U104" s="55" t="n">
        <x:v>2172</x:v>
      </x:c>
      <x:c r="V104" s="55" t="n">
        <x:v>9948</x:v>
      </x:c>
      <x:c r="W104" s="55" t="n">
        <x:v>7139</x:v>
      </x:c>
      <x:c r="X104" s="55" t="n">
        <x:v>2809</x:v>
      </x:c>
      <x:c r="Y104" s="55" t="n">
        <x:v>2263</x:v>
      </x:c>
      <x:c r="Z104" s="55" t="n">
        <x:v>3256</x:v>
      </x:c>
      <x:c r="AA104" s="55" t="n">
        <x:v>2123</x:v>
      </x:c>
      <x:c r="AB104" s="55" t="n">
        <x:v>587</x:v>
      </x:c>
      <x:c r="AC104" s="55" t="n">
        <x:v>7516</x:v>
      </x:c>
      <x:c r="AD104" s="55" t="n">
        <x:v>2679</x:v>
      </x:c>
      <x:c r="AE104" s="55" t="n">
        <x:v>10036</x:v>
      </x:c>
      <x:c r="AF104" s="55" t="n">
        <x:v>9948</x:v>
      </x:c>
      <x:c r="AG104" s="55" t="n">
        <x:v>88</x:v>
      </x:c>
      <x:c r="AH104" s="55" t="n">
        <x:v>324</x:v>
      </x:c>
      <x:c r="AI104" s="55" t="n">
        <x:v>9624</x:v>
      </x:c>
      <x:c r="AJ104" s="55" t="n">
        <x:v>268</x:v>
      </x:c>
      <x:c r="AK104" s="55" t="n">
        <x:v>908</x:v>
      </x:c>
      <x:c r="AL104" s="55" t="n">
        <x:v>1153</x:v>
      </x:c>
      <x:c r="AM104" s="55" t="n">
        <x:v>4997</x:v>
      </x:c>
      <x:c r="AN104" s="55" t="n">
        <x:v>2622</x:v>
      </x:c>
      <x:c r="AO104" s="55" t="n">
        <x:v>0</x:v>
      </x:c>
      <x:c r="AP104" s="55" t="n">
        <x:v>2162</x:v>
      </x:c>
      <x:c r="AQ104" s="55" t="n">
        <x:v>930</x:v>
      </x:c>
    </x:row>
    <x:row r="105">
      <x:c r="A105" s="54" t="str">
        <x:v>T1_SHARED_CATCHMENT</x:v>
      </x:c>
      <x:c r="B105" s="54" t="n">
        <x:v>99</x:v>
      </x:c>
      <x:c r="C105" s="54" t="str">
        <x:v>NYC-V2-R01</x:v>
      </x:c>
      <x:c r="D105" s="54" t="str">
        <x:v>V2</x:v>
      </x:c>
      <x:c r="E105" s="54" t="str">
        <x:v>ADMITTED</x:v>
      </x:c>
      <x:c r="F105" s="55" t="n">
        <x:v>32867</x:v>
      </x:c>
      <x:c r="G105" s="55" t="n">
        <x:v>9189</x:v>
      </x:c>
      <x:c r="H105" s="55" t="n">
        <x:v>3780</x:v>
      </x:c>
      <x:c r="I105" s="55" t="n">
        <x:v>1358</x:v>
      </x:c>
      <x:c r="J105" s="55" t="n">
        <x:v>229</x:v>
      </x:c>
      <x:c r="K105" s="55" t="n">
        <x:v>32349</x:v>
      </x:c>
      <x:c r="L105" s="55" t="n">
        <x:v>5047</x:v>
      </x:c>
      <x:c r="M105" s="55" t="n">
        <x:v>383</x:v>
      </x:c>
      <x:c r="N105" s="55" t="n">
        <x:v>3060</x:v>
      </x:c>
      <x:c r="O105" s="55" t="n">
        <x:v>1604</x:v>
      </x:c>
      <x:c r="P105" s="55" t="n">
        <x:v>667</x:v>
      </x:c>
      <x:c r="Q105" s="55" t="n">
        <x:v>1667</x:v>
      </x:c>
      <x:c r="R105" s="55" t="n">
        <x:v>1851</x:v>
      </x:c>
      <x:c r="S105" s="55" t="n">
        <x:v>2346</x:v>
      </x:c>
      <x:c r="T105" s="55" t="n">
        <x:v>1088</x:v>
      </x:c>
      <x:c r="U105" s="55" t="n">
        <x:v>1688</x:v>
      </x:c>
      <x:c r="V105" s="55" t="n">
        <x:v>9943</x:v>
      </x:c>
      <x:c r="W105" s="55" t="n">
        <x:v>6799</x:v>
      </x:c>
      <x:c r="X105" s="55" t="n">
        <x:v>3144</x:v>
      </x:c>
      <x:c r="Y105" s="55" t="n">
        <x:v>2908</x:v>
      </x:c>
      <x:c r="Z105" s="55" t="n">
        <x:v>3959</x:v>
      </x:c>
      <x:c r="AA105" s="55" t="n">
        <x:v>3780</x:v>
      </x:c>
      <x:c r="AB105" s="55" t="n">
        <x:v>1365</x:v>
      </x:c>
      <x:c r="AC105" s="55" t="n">
        <x:v>7567</x:v>
      </x:c>
      <x:c r="AD105" s="55" t="n">
        <x:v>2868</x:v>
      </x:c>
      <x:c r="AE105" s="55" t="n">
        <x:v>10010</x:v>
      </x:c>
      <x:c r="AF105" s="55" t="n">
        <x:v>9943</x:v>
      </x:c>
      <x:c r="AG105" s="55" t="n">
        <x:v>67</x:v>
      </x:c>
      <x:c r="AH105" s="55" t="n">
        <x:v>413</x:v>
      </x:c>
      <x:c r="AI105" s="55" t="n">
        <x:v>9530</x:v>
      </x:c>
      <x:c r="AJ105" s="55" t="n">
        <x:v>355</x:v>
      </x:c>
      <x:c r="AK105" s="55" t="n">
        <x:v>1123</x:v>
      </x:c>
      <x:c r="AL105" s="55" t="n">
        <x:v>1378</x:v>
      </x:c>
      <x:c r="AM105" s="55" t="n">
        <x:v>4180</x:v>
      </x:c>
      <x:c r="AN105" s="55" t="n">
        <x:v>2907</x:v>
      </x:c>
      <x:c r="AO105" s="55" t="n">
        <x:v>0</x:v>
      </x:c>
      <x:c r="AP105" s="55" t="n">
        <x:v>2077</x:v>
      </x:c>
      <x:c r="AQ105" s="55" t="n">
        <x:v>1011</x:v>
      </x:c>
    </x:row>
    <x:row r="106">
      <x:c r="A106" s="54" t="str">
        <x:v>T1_SHARED_CATCHMENT</x:v>
      </x:c>
      <x:c r="B106" s="54" t="n">
        <x:v>100</x:v>
      </x:c>
      <x:c r="C106" s="54" t="str">
        <x:v>NYC-V2-R01</x:v>
      </x:c>
      <x:c r="D106" s="54" t="str">
        <x:v>V2</x:v>
      </x:c>
      <x:c r="E106" s="54" t="str">
        <x:v>ADMITTED</x:v>
      </x:c>
      <x:c r="F106" s="55" t="n">
        <x:v>31398</x:v>
      </x:c>
      <x:c r="G106" s="55" t="n">
        <x:v>8328</x:v>
      </x:c>
      <x:c r="H106" s="55" t="n">
        <x:v>3288</x:v>
      </x:c>
      <x:c r="I106" s="55" t="n">
        <x:v>1501</x:v>
      </x:c>
      <x:c r="J106" s="55" t="n">
        <x:v>213</x:v>
      </x:c>
      <x:c r="K106" s="55" t="n">
        <x:v>28677</x:v>
      </x:c>
      <x:c r="L106" s="55" t="n">
        <x:v>6578</x:v>
      </x:c>
      <x:c r="M106" s="55" t="n">
        <x:v>1968</x:v>
      </x:c>
      <x:c r="N106" s="55" t="n">
        <x:v>2623</x:v>
      </x:c>
      <x:c r="O106" s="55" t="n">
        <x:v>1987</x:v>
      </x:c>
      <x:c r="P106" s="55" t="n">
        <x:v>897</x:v>
      </x:c>
      <x:c r="Q106" s="55" t="n">
        <x:v>3270</x:v>
      </x:c>
      <x:c r="R106" s="55" t="n">
        <x:v>2445</x:v>
      </x:c>
      <x:c r="S106" s="55" t="n">
        <x:v>3135</x:v>
      </x:c>
      <x:c r="T106" s="55" t="n">
        <x:v>1449</x:v>
      </x:c>
      <x:c r="U106" s="55" t="n">
        <x:v>2214</x:v>
      </x:c>
      <x:c r="V106" s="55" t="n">
        <x:v>10691</x:v>
      </x:c>
      <x:c r="W106" s="55" t="n">
        <x:v>7652</x:v>
      </x:c>
      <x:c r="X106" s="55" t="n">
        <x:v>3039</x:v>
      </x:c>
      <x:c r="Y106" s="55" t="n">
        <x:v>2622</x:v>
      </x:c>
      <x:c r="Z106" s="55" t="n">
        <x:v>3881</x:v>
      </x:c>
      <x:c r="AA106" s="55" t="n">
        <x:v>2994</x:v>
      </x:c>
      <x:c r="AB106" s="55" t="n">
        <x:v>810</x:v>
      </x:c>
      <x:c r="AC106" s="55" t="n">
        <x:v>8195</x:v>
      </x:c>
      <x:c r="AD106" s="55" t="n">
        <x:v>2979</x:v>
      </x:c>
      <x:c r="AE106" s="55" t="n">
        <x:v>10847</x:v>
      </x:c>
      <x:c r="AF106" s="55" t="n">
        <x:v>10691</x:v>
      </x:c>
      <x:c r="AG106" s="55" t="n">
        <x:v>156</x:v>
      </x:c>
      <x:c r="AH106" s="55" t="n">
        <x:v>579</x:v>
      </x:c>
      <x:c r="AI106" s="55" t="n">
        <x:v>10112</x:v>
      </x:c>
      <x:c r="AJ106" s="55" t="n">
        <x:v>708</x:v>
      </x:c>
      <x:c r="AK106" s="55" t="n">
        <x:v>1421</x:v>
      </x:c>
      <x:c r="AL106" s="55" t="n">
        <x:v>1450</x:v>
      </x:c>
      <x:c r="AM106" s="55" t="n">
        <x:v>4370</x:v>
      </x:c>
      <x:c r="AN106" s="55" t="n">
        <x:v>2689</x:v>
      </x:c>
      <x:c r="AO106" s="55" t="n">
        <x:v>53</x:v>
      </x:c>
      <x:c r="AP106" s="55" t="n">
        <x:v>2517</x:v>
      </x:c>
      <x:c r="AQ106" s="55" t="n">
        <x:v>950</x:v>
      </x:c>
    </x:row>
    <x:row r="107">
      <x:c r="A107" s="54" t="str">
        <x:v>T1_SHARED_CATCHMENT</x:v>
      </x:c>
      <x:c r="B107" s="54" t="n">
        <x:v>101</x:v>
      </x:c>
      <x:c r="C107" s="54" t="str">
        <x:v>NYC-V2-R01</x:v>
      </x:c>
      <x:c r="D107" s="54" t="str">
        <x:v>V2</x:v>
      </x:c>
      <x:c r="E107" s="54" t="str">
        <x:v>ADMITTED</x:v>
      </x:c>
      <x:c r="F107" s="55" t="n">
        <x:v>30654</x:v>
      </x:c>
      <x:c r="G107" s="55" t="n">
        <x:v>8306</x:v>
      </x:c>
      <x:c r="H107" s="55" t="n">
        <x:v>3299</x:v>
      </x:c>
      <x:c r="I107" s="55" t="n">
        <x:v>1243</x:v>
      </x:c>
      <x:c r="J107" s="55" t="n">
        <x:v>179</x:v>
      </x:c>
      <x:c r="K107" s="55" t="n">
        <x:v>30654</x:v>
      </x:c>
      <x:c r="L107" s="55" t="n">
        <x:v>7358</x:v>
      </x:c>
      <x:c r="M107" s="55" t="n">
        <x:v>2160</x:v>
      </x:c>
      <x:c r="N107" s="55" t="n">
        <x:v>2832</x:v>
      </x:c>
      <x:c r="O107" s="55" t="n">
        <x:v>2366</x:v>
      </x:c>
      <x:c r="P107" s="55" t="n">
        <x:v>1068</x:v>
      </x:c>
      <x:c r="Q107" s="55" t="n">
        <x:v>2733</x:v>
      </x:c>
      <x:c r="R107" s="55" t="n">
        <x:v>2051</x:v>
      </x:c>
      <x:c r="S107" s="55" t="n">
        <x:v>2743</x:v>
      </x:c>
      <x:c r="T107" s="55" t="n">
        <x:v>1234</x:v>
      </x:c>
      <x:c r="U107" s="55" t="n">
        <x:v>2482</x:v>
      </x:c>
      <x:c r="V107" s="55" t="n">
        <x:v>11377</x:v>
      </x:c>
      <x:c r="W107" s="55" t="n">
        <x:v>7833</x:v>
      </x:c>
      <x:c r="X107" s="55" t="n">
        <x:v>3544</x:v>
      </x:c>
      <x:c r="Y107" s="55" t="n">
        <x:v>2941</x:v>
      </x:c>
      <x:c r="Z107" s="55" t="n">
        <x:v>3686</x:v>
      </x:c>
      <x:c r="AA107" s="55" t="n">
        <x:v>3299</x:v>
      </x:c>
      <x:c r="AB107" s="55" t="n">
        <x:v>1549</x:v>
      </x:c>
      <x:c r="AC107" s="55" t="n">
        <x:v>8324</x:v>
      </x:c>
      <x:c r="AD107" s="55" t="n">
        <x:v>2817</x:v>
      </x:c>
      <x:c r="AE107" s="55" t="n">
        <x:v>11440</x:v>
      </x:c>
      <x:c r="AF107" s="55" t="n">
        <x:v>11377</x:v>
      </x:c>
      <x:c r="AG107" s="55" t="n">
        <x:v>63</x:v>
      </x:c>
      <x:c r="AH107" s="55" t="n">
        <x:v>557</x:v>
      </x:c>
      <x:c r="AI107" s="55" t="n">
        <x:v>10820</x:v>
      </x:c>
      <x:c r="AJ107" s="55" t="n">
        <x:v>353</x:v>
      </x:c>
      <x:c r="AK107" s="55" t="n">
        <x:v>1291</x:v>
      </x:c>
      <x:c r="AL107" s="55" t="n">
        <x:v>1648</x:v>
      </x:c>
      <x:c r="AM107" s="55" t="n">
        <x:v>5136</x:v>
      </x:c>
      <x:c r="AN107" s="55" t="n">
        <x:v>2902</x:v>
      </x:c>
      <x:c r="AO107" s="55" t="n">
        <x:v>47</x:v>
      </x:c>
      <x:c r="AP107" s="55" t="n">
        <x:v>2537</x:v>
      </x:c>
      <x:c r="AQ107" s="55" t="n">
        <x:v>908</x:v>
      </x:c>
    </x:row>
    <x:row r="108">
      <x:c r="A108" s="54" t="str">
        <x:v>T1_SHARED_CATCHMENT</x:v>
      </x:c>
      <x:c r="B108" s="54" t="n">
        <x:v>102</x:v>
      </x:c>
      <x:c r="C108" s="54" t="str">
        <x:v>NYC-V2-R01</x:v>
      </x:c>
      <x:c r="D108" s="54" t="str">
        <x:v>V2</x:v>
      </x:c>
      <x:c r="E108" s="54" t="str">
        <x:v>ADMITTED</x:v>
      </x:c>
      <x:c r="F108" s="55" t="n">
        <x:v>33261</x:v>
      </x:c>
      <x:c r="G108" s="55" t="n">
        <x:v>8371</x:v>
      </x:c>
      <x:c r="H108" s="55" t="n">
        <x:v>3389</x:v>
      </x:c>
      <x:c r="I108" s="55" t="n">
        <x:v>1405</x:v>
      </x:c>
      <x:c r="J108" s="55" t="n">
        <x:v>350</x:v>
      </x:c>
      <x:c r="K108" s="55" t="n">
        <x:v>32412</x:v>
      </x:c>
      <x:c r="L108" s="55" t="n">
        <x:v>5723</x:v>
      </x:c>
      <x:c r="M108" s="55" t="n">
        <x:v>1113</x:v>
      </x:c>
      <x:c r="N108" s="55" t="n">
        <x:v>2912</x:v>
      </x:c>
      <x:c r="O108" s="55" t="n">
        <x:v>1698</x:v>
      </x:c>
      <x:c r="P108" s="55" t="n">
        <x:v>506</x:v>
      </x:c>
      <x:c r="Q108" s="55" t="n">
        <x:v>3229</x:v>
      </x:c>
      <x:c r="R108" s="55" t="n">
        <x:v>2099</x:v>
      </x:c>
      <x:c r="S108" s="55" t="n">
        <x:v>3178</x:v>
      </x:c>
      <x:c r="T108" s="55" t="n">
        <x:v>1057</x:v>
      </x:c>
      <x:c r="U108" s="55" t="n">
        <x:v>1677</x:v>
      </x:c>
      <x:c r="V108" s="55" t="n">
        <x:v>10211</x:v>
      </x:c>
      <x:c r="W108" s="55" t="n">
        <x:v>6976</x:v>
      </x:c>
      <x:c r="X108" s="55" t="n">
        <x:v>3235</x:v>
      </x:c>
      <x:c r="Y108" s="55" t="n">
        <x:v>2629</x:v>
      </x:c>
      <x:c r="Z108" s="55" t="n">
        <x:v>4140</x:v>
      </x:c>
      <x:c r="AA108" s="55" t="n">
        <x:v>3193</x:v>
      </x:c>
      <x:c r="AB108" s="55" t="n">
        <x:v>1153</x:v>
      </x:c>
      <x:c r="AC108" s="55" t="n">
        <x:v>7500</x:v>
      </x:c>
      <x:c r="AD108" s="55" t="n">
        <x:v>3205</x:v>
      </x:c>
      <x:c r="AE108" s="55" t="n">
        <x:v>10313</x:v>
      </x:c>
      <x:c r="AF108" s="55" t="n">
        <x:v>10211</x:v>
      </x:c>
      <x:c r="AG108" s="55" t="n">
        <x:v>102</x:v>
      </x:c>
      <x:c r="AH108" s="55" t="n">
        <x:v>318</x:v>
      </x:c>
      <x:c r="AI108" s="55" t="n">
        <x:v>9893</x:v>
      </x:c>
      <x:c r="AJ108" s="55" t="n">
        <x:v>385</x:v>
      </x:c>
      <x:c r="AK108" s="55" t="n">
        <x:v>1085</x:v>
      </x:c>
      <x:c r="AL108" s="55" t="n">
        <x:v>1066</x:v>
      </x:c>
      <x:c r="AM108" s="55" t="n">
        <x:v>5236</x:v>
      </x:c>
      <x:c r="AN108" s="55" t="n">
        <x:v>2439</x:v>
      </x:c>
      <x:c r="AO108" s="55" t="n">
        <x:v>0</x:v>
      </x:c>
      <x:c r="AP108" s="55" t="n">
        <x:v>2598</x:v>
      </x:c>
      <x:c r="AQ108" s="55" t="n">
        <x:v>971</x:v>
      </x:c>
    </x:row>
    <x:row r="109">
      <x:c r="A109" s="54" t="str">
        <x:v>T1_SHARED_CATCHMENT</x:v>
      </x:c>
      <x:c r="B109" s="54" t="n">
        <x:v>103</x:v>
      </x:c>
      <x:c r="C109" s="54" t="str">
        <x:v>NYC-V2-R01</x:v>
      </x:c>
      <x:c r="D109" s="54" t="str">
        <x:v>V2</x:v>
      </x:c>
      <x:c r="E109" s="54" t="str">
        <x:v>ADMITTED</x:v>
      </x:c>
      <x:c r="F109" s="55" t="n">
        <x:v>31372</x:v>
      </x:c>
      <x:c r="G109" s="55" t="n">
        <x:v>7831</x:v>
      </x:c>
      <x:c r="H109" s="55" t="n">
        <x:v>3763</x:v>
      </x:c>
      <x:c r="I109" s="55" t="n">
        <x:v>1313</x:v>
      </x:c>
      <x:c r="J109" s="55" t="n">
        <x:v>219</x:v>
      </x:c>
      <x:c r="K109" s="55" t="n">
        <x:v>30956</x:v>
      </x:c>
      <x:c r="L109" s="55" t="n">
        <x:v>6092</x:v>
      </x:c>
      <x:c r="M109" s="55" t="n">
        <x:v>940</x:v>
      </x:c>
      <x:c r="N109" s="55" t="n">
        <x:v>3148</x:v>
      </x:c>
      <x:c r="O109" s="55" t="n">
        <x:v>2004</x:v>
      </x:c>
      <x:c r="P109" s="55" t="n">
        <x:v>858</x:v>
      </x:c>
      <x:c r="Q109" s="55" t="n">
        <x:v>3140</x:v>
      </x:c>
      <x:c r="R109" s="55" t="n">
        <x:v>2174</x:v>
      </x:c>
      <x:c r="S109" s="55" t="n">
        <x:v>2935</x:v>
      </x:c>
      <x:c r="T109" s="55" t="n">
        <x:v>1638</x:v>
      </x:c>
      <x:c r="U109" s="55" t="n">
        <x:v>1915</x:v>
      </x:c>
      <x:c r="V109" s="55" t="n">
        <x:v>11055</x:v>
      </x:c>
      <x:c r="W109" s="55" t="n">
        <x:v>7768</x:v>
      </x:c>
      <x:c r="X109" s="55" t="n">
        <x:v>3287</x:v>
      </x:c>
      <x:c r="Y109" s="55" t="n">
        <x:v>3006</x:v>
      </x:c>
      <x:c r="Z109" s="55" t="n">
        <x:v>3796</x:v>
      </x:c>
      <x:c r="AA109" s="55" t="n">
        <x:v>3763</x:v>
      </x:c>
      <x:c r="AB109" s="55" t="n">
        <x:v>1202</x:v>
      </x:c>
      <x:c r="AC109" s="55" t="n">
        <x:v>8311</x:v>
      </x:c>
      <x:c r="AD109" s="55" t="n">
        <x:v>2909</x:v>
      </x:c>
      <x:c r="AE109" s="55" t="n">
        <x:v>11121</x:v>
      </x:c>
      <x:c r="AF109" s="55" t="n">
        <x:v>11055</x:v>
      </x:c>
      <x:c r="AG109" s="55" t="n">
        <x:v>66</x:v>
      </x:c>
      <x:c r="AH109" s="55" t="n">
        <x:v>478</x:v>
      </x:c>
      <x:c r="AI109" s="55" t="n">
        <x:v>10577</x:v>
      </x:c>
      <x:c r="AJ109" s="55" t="n">
        <x:v>404</x:v>
      </x:c>
      <x:c r="AK109" s="55" t="n">
        <x:v>799</x:v>
      </x:c>
      <x:c r="AL109" s="55" t="n">
        <x:v>1519</x:v>
      </x:c>
      <x:c r="AM109" s="55" t="n">
        <x:v>5180</x:v>
      </x:c>
      <x:c r="AN109" s="55" t="n">
        <x:v>3126</x:v>
      </x:c>
      <x:c r="AO109" s="55" t="n">
        <x:v>27</x:v>
      </x:c>
      <x:c r="AP109" s="55" t="n">
        <x:v>2426</x:v>
      </x:c>
      <x:c r="AQ109" s="55" t="n">
        <x:v>1017</x:v>
      </x:c>
    </x:row>
    <x:row r="110">
      <x:c r="A110" s="54" t="str">
        <x:v>T1_SHARED_CATCHMENT</x:v>
      </x:c>
      <x:c r="B110" s="54" t="n">
        <x:v>104</x:v>
      </x:c>
      <x:c r="C110" s="54" t="str">
        <x:v>NYC-V2-R01</x:v>
      </x:c>
      <x:c r="D110" s="54" t="str">
        <x:v>V2</x:v>
      </x:c>
      <x:c r="E110" s="54" t="str">
        <x:v>ADMITTED</x:v>
      </x:c>
      <x:c r="F110" s="55" t="n">
        <x:v>32669</x:v>
      </x:c>
      <x:c r="G110" s="55" t="n">
        <x:v>7594</x:v>
      </x:c>
      <x:c r="H110" s="55" t="n">
        <x:v>3445</x:v>
      </x:c>
      <x:c r="I110" s="55" t="n">
        <x:v>1558</x:v>
      </x:c>
      <x:c r="J110" s="55" t="n">
        <x:v>167</x:v>
      </x:c>
      <x:c r="K110" s="55" t="n">
        <x:v>32669</x:v>
      </x:c>
      <x:c r="L110" s="55" t="n">
        <x:v>5725</x:v>
      </x:c>
      <x:c r="M110" s="55" t="n">
        <x:v>1349</x:v>
      </x:c>
      <x:c r="N110" s="55" t="n">
        <x:v>2748</x:v>
      </x:c>
      <x:c r="O110" s="55" t="n">
        <x:v>1628</x:v>
      </x:c>
      <x:c r="P110" s="55" t="n">
        <x:v>901</x:v>
      </x:c>
      <x:c r="Q110" s="55" t="n">
        <x:v>2637</x:v>
      </x:c>
      <x:c r="R110" s="55" t="n">
        <x:v>1422</x:v>
      </x:c>
      <x:c r="S110" s="55" t="n">
        <x:v>2844</x:v>
      </x:c>
      <x:c r="T110" s="55" t="n">
        <x:v>1516</x:v>
      </x:c>
      <x:c r="U110" s="55" t="n">
        <x:v>3068</x:v>
      </x:c>
      <x:c r="V110" s="55" t="n">
        <x:v>10333</x:v>
      </x:c>
      <x:c r="W110" s="55" t="n">
        <x:v>7445</x:v>
      </x:c>
      <x:c r="X110" s="55" t="n">
        <x:v>2888</x:v>
      </x:c>
      <x:c r="Y110" s="55" t="n">
        <x:v>2557</x:v>
      </x:c>
      <x:c r="Z110" s="55" t="n">
        <x:v>3576</x:v>
      </x:c>
      <x:c r="AA110" s="55" t="n">
        <x:v>2712</x:v>
      </x:c>
      <x:c r="AB110" s="55" t="n">
        <x:v>1035</x:v>
      </x:c>
      <x:c r="AC110" s="55" t="n">
        <x:v>7297</x:v>
      </x:c>
      <x:c r="AD110" s="55" t="n">
        <x:v>2469</x:v>
      </x:c>
      <x:c r="AE110" s="55" t="n">
        <x:v>10409</x:v>
      </x:c>
      <x:c r="AF110" s="55" t="n">
        <x:v>10333</x:v>
      </x:c>
      <x:c r="AG110" s="55" t="n">
        <x:v>76</x:v>
      </x:c>
      <x:c r="AH110" s="55" t="n">
        <x:v>399</x:v>
      </x:c>
      <x:c r="AI110" s="55" t="n">
        <x:v>9934</x:v>
      </x:c>
      <x:c r="AJ110" s="55" t="n">
        <x:v>149</x:v>
      </x:c>
      <x:c r="AK110" s="55" t="n">
        <x:v>1024</x:v>
      </x:c>
      <x:c r="AL110" s="55" t="n">
        <x:v>1084</x:v>
      </x:c>
      <x:c r="AM110" s="55" t="n">
        <x:v>5573</x:v>
      </x:c>
      <x:c r="AN110" s="55" t="n">
        <x:v>2464</x:v>
      </x:c>
      <x:c r="AO110" s="55" t="n">
        <x:v>39</x:v>
      </x:c>
      <x:c r="AP110" s="55" t="n">
        <x:v>2458</x:v>
      </x:c>
      <x:c r="AQ110" s="55" t="n">
        <x:v>970</x:v>
      </x:c>
    </x:row>
    <x:row r="111">
      <x:c r="A111" s="54" t="str">
        <x:v>T1_SHARED_CATCHMENT</x:v>
      </x:c>
      <x:c r="B111" s="54" t="n">
        <x:v>105</x:v>
      </x:c>
      <x:c r="C111" s="54" t="str">
        <x:v>NYC-V2-R01</x:v>
      </x:c>
      <x:c r="D111" s="54" t="str">
        <x:v>V2</x:v>
      </x:c>
      <x:c r="E111" s="54" t="str">
        <x:v>ADMITTED</x:v>
      </x:c>
      <x:c r="F111" s="55" t="n">
        <x:v>28981</x:v>
      </x:c>
      <x:c r="G111" s="55" t="n">
        <x:v>7512</x:v>
      </x:c>
      <x:c r="H111" s="55" t="n">
        <x:v>3083</x:v>
      </x:c>
      <x:c r="I111" s="55" t="n">
        <x:v>1404</x:v>
      </x:c>
      <x:c r="J111" s="55" t="n">
        <x:v>107</x:v>
      </x:c>
      <x:c r="K111" s="55" t="n">
        <x:v>28961</x:v>
      </x:c>
      <x:c r="L111" s="55" t="n">
        <x:v>4316</x:v>
      </x:c>
      <x:c r="M111" s="55" t="n">
        <x:v>823</x:v>
      </x:c>
      <x:c r="N111" s="55" t="n">
        <x:v>2175</x:v>
      </x:c>
      <x:c r="O111" s="55" t="n">
        <x:v>1318</x:v>
      </x:c>
      <x:c r="P111" s="55" t="n">
        <x:v>63</x:v>
      </x:c>
      <x:c r="Q111" s="55" t="n">
        <x:v>1766</x:v>
      </x:c>
      <x:c r="R111" s="55" t="n">
        <x:v>1710</x:v>
      </x:c>
      <x:c r="S111" s="55" t="n">
        <x:v>3266</x:v>
      </x:c>
      <x:c r="T111" s="55" t="n">
        <x:v>1382</x:v>
      </x:c>
      <x:c r="U111" s="55" t="n">
        <x:v>2163</x:v>
      </x:c>
      <x:c r="V111" s="55" t="n">
        <x:v>11061</x:v>
      </x:c>
      <x:c r="W111" s="55" t="n">
        <x:v>7939</x:v>
      </x:c>
      <x:c r="X111" s="55" t="n">
        <x:v>3122</x:v>
      </x:c>
      <x:c r="Y111" s="55" t="n">
        <x:v>2945</x:v>
      </x:c>
      <x:c r="Z111" s="55" t="n">
        <x:v>3614</x:v>
      </x:c>
      <x:c r="AA111" s="55" t="n">
        <x:v>3066</x:v>
      </x:c>
      <x:c r="AB111" s="55" t="n">
        <x:v>1030</x:v>
      </x:c>
      <x:c r="AC111" s="55" t="n">
        <x:v>7492</x:v>
      </x:c>
      <x:c r="AD111" s="55" t="n">
        <x:v>3056</x:v>
      </x:c>
      <x:c r="AE111" s="55" t="n">
        <x:v>11161</x:v>
      </x:c>
      <x:c r="AF111" s="55" t="n">
        <x:v>11061</x:v>
      </x:c>
      <x:c r="AG111" s="55" t="n">
        <x:v>100</x:v>
      </x:c>
      <x:c r="AH111" s="55" t="n">
        <x:v>554</x:v>
      </x:c>
      <x:c r="AI111" s="55" t="n">
        <x:v>10507</x:v>
      </x:c>
      <x:c r="AJ111" s="55" t="n">
        <x:v>418</x:v>
      </x:c>
      <x:c r="AK111" s="55" t="n">
        <x:v>1094</x:v>
      </x:c>
      <x:c r="AL111" s="55" t="n">
        <x:v>2023</x:v>
      </x:c>
      <x:c r="AM111" s="55" t="n">
        <x:v>4542</x:v>
      </x:c>
      <x:c r="AN111" s="55" t="n">
        <x:v>2971</x:v>
      </x:c>
      <x:c r="AO111" s="55" t="n">
        <x:v>13</x:v>
      </x:c>
      <x:c r="AP111" s="55" t="n">
        <x:v>2488</x:v>
      </x:c>
      <x:c r="AQ111" s="55" t="n">
        <x:v>950</x:v>
      </x:c>
    </x:row>
    <x:row r="112">
      <x:c r="A112" s="54" t="str">
        <x:v>T1_SHARED_CATCHMENT</x:v>
      </x:c>
      <x:c r="B112" s="54" t="n">
        <x:v>106</x:v>
      </x:c>
      <x:c r="C112" s="54" t="str">
        <x:v>NYC-V2-R01</x:v>
      </x:c>
      <x:c r="D112" s="54" t="str">
        <x:v>V2</x:v>
      </x:c>
      <x:c r="E112" s="54" t="str">
        <x:v>ADMITTED</x:v>
      </x:c>
      <x:c r="F112" s="55" t="n">
        <x:v>30362</x:v>
      </x:c>
      <x:c r="G112" s="55" t="n">
        <x:v>7524</x:v>
      </x:c>
      <x:c r="H112" s="55" t="n">
        <x:v>3286</x:v>
      </x:c>
      <x:c r="I112" s="55" t="n">
        <x:v>1435</x:v>
      </x:c>
      <x:c r="J112" s="55" t="n">
        <x:v>201</x:v>
      </x:c>
      <x:c r="K112" s="55" t="n">
        <x:v>30362</x:v>
      </x:c>
      <x:c r="L112" s="55" t="n">
        <x:v>6012</x:v>
      </x:c>
      <x:c r="M112" s="55" t="n">
        <x:v>1067</x:v>
      </x:c>
      <x:c r="N112" s="55" t="n">
        <x:v>2801</x:v>
      </x:c>
      <x:c r="O112" s="55" t="n">
        <x:v>2144</x:v>
      </x:c>
      <x:c r="P112" s="55" t="n">
        <x:v>995</x:v>
      </x:c>
      <x:c r="Q112" s="55" t="n">
        <x:v>2363</x:v>
      </x:c>
      <x:c r="R112" s="55" t="n">
        <x:v>2018</x:v>
      </x:c>
      <x:c r="S112" s="55" t="n">
        <x:v>2603</x:v>
      </x:c>
      <x:c r="T112" s="55" t="n">
        <x:v>1256</x:v>
      </x:c>
      <x:c r="U112" s="55" t="n">
        <x:v>1680</x:v>
      </x:c>
      <x:c r="V112" s="55" t="n">
        <x:v>10924</x:v>
      </x:c>
      <x:c r="W112" s="55" t="n">
        <x:v>7313</x:v>
      </x:c>
      <x:c r="X112" s="55" t="n">
        <x:v>3611</x:v>
      </x:c>
      <x:c r="Y112" s="55" t="n">
        <x:v>3098</x:v>
      </x:c>
      <x:c r="Z112" s="55" t="n">
        <x:v>4122</x:v>
      </x:c>
      <x:c r="AA112" s="55" t="n">
        <x:v>3286</x:v>
      </x:c>
      <x:c r="AB112" s="55" t="n">
        <x:v>1145</x:v>
      </x:c>
      <x:c r="AC112" s="55" t="n">
        <x:v>8109</x:v>
      </x:c>
      <x:c r="AD112" s="55" t="n">
        <x:v>2671</x:v>
      </x:c>
      <x:c r="AE112" s="55" t="n">
        <x:v>10995</x:v>
      </x:c>
      <x:c r="AF112" s="55" t="n">
        <x:v>10924</x:v>
      </x:c>
      <x:c r="AG112" s="55" t="n">
        <x:v>71</x:v>
      </x:c>
      <x:c r="AH112" s="55" t="n">
        <x:v>498</x:v>
      </x:c>
      <x:c r="AI112" s="55" t="n">
        <x:v>10426</x:v>
      </x:c>
      <x:c r="AJ112" s="55" t="n">
        <x:v>159</x:v>
      </x:c>
      <x:c r="AK112" s="55" t="n">
        <x:v>1265</x:v>
      </x:c>
      <x:c r="AL112" s="55" t="n">
        <x:v>1410</x:v>
      </x:c>
      <x:c r="AM112" s="55" t="n">
        <x:v>5019</x:v>
      </x:c>
      <x:c r="AN112" s="55" t="n">
        <x:v>3069</x:v>
      </x:c>
      <x:c r="AO112" s="55" t="n">
        <x:v>2</x:v>
      </x:c>
      <x:c r="AP112" s="55" t="n">
        <x:v>2282</x:v>
      </x:c>
      <x:c r="AQ112" s="55" t="n">
        <x:v>984</x:v>
      </x:c>
    </x:row>
    <x:row r="113">
      <x:c r="A113" s="54" t="str">
        <x:v>T1_SHARED_CATCHMENT</x:v>
      </x:c>
      <x:c r="B113" s="54" t="n">
        <x:v>107</x:v>
      </x:c>
      <x:c r="C113" s="54" t="str">
        <x:v>NYC-V2-R01</x:v>
      </x:c>
      <x:c r="D113" s="54" t="str">
        <x:v>V2</x:v>
      </x:c>
      <x:c r="E113" s="54" t="str">
        <x:v>ADMITTED</x:v>
      </x:c>
      <x:c r="F113" s="55" t="n">
        <x:v>32181</x:v>
      </x:c>
      <x:c r="G113" s="55" t="n">
        <x:v>7648</x:v>
      </x:c>
      <x:c r="H113" s="55" t="n">
        <x:v>3704</x:v>
      </x:c>
      <x:c r="I113" s="55" t="n">
        <x:v>1696</x:v>
      </x:c>
      <x:c r="J113" s="55" t="n">
        <x:v>430</x:v>
      </x:c>
      <x:c r="K113" s="55" t="n">
        <x:v>32181</x:v>
      </x:c>
      <x:c r="L113" s="55" t="n">
        <x:v>6074</x:v>
      </x:c>
      <x:c r="M113" s="55" t="n">
        <x:v>1190</x:v>
      </x:c>
      <x:c r="N113" s="55" t="n">
        <x:v>3034</x:v>
      </x:c>
      <x:c r="O113" s="55" t="n">
        <x:v>1850</x:v>
      </x:c>
      <x:c r="P113" s="55" t="n">
        <x:v>718</x:v>
      </x:c>
      <x:c r="Q113" s="55" t="n">
        <x:v>2719</x:v>
      </x:c>
      <x:c r="R113" s="55" t="n">
        <x:v>1891</x:v>
      </x:c>
      <x:c r="S113" s="55" t="n">
        <x:v>3530</x:v>
      </x:c>
      <x:c r="T113" s="55" t="n">
        <x:v>1119</x:v>
      </x:c>
      <x:c r="U113" s="55" t="n">
        <x:v>2540</x:v>
      </x:c>
      <x:c r="V113" s="55" t="n">
        <x:v>10680</x:v>
      </x:c>
      <x:c r="W113" s="55" t="n">
        <x:v>7275</x:v>
      </x:c>
      <x:c r="X113" s="55" t="n">
        <x:v>3405</x:v>
      </x:c>
      <x:c r="Y113" s="55" t="n">
        <x:v>3083</x:v>
      </x:c>
      <x:c r="Z113" s="55" t="n">
        <x:v>3916</x:v>
      </x:c>
      <x:c r="AA113" s="55" t="n">
        <x:v>3578</x:v>
      </x:c>
      <x:c r="AB113" s="55" t="n">
        <x:v>1017</x:v>
      </x:c>
      <x:c r="AC113" s="55" t="n">
        <x:v>8745</x:v>
      </x:c>
      <x:c r="AD113" s="55" t="n">
        <x:v>2578</x:v>
      </x:c>
      <x:c r="AE113" s="55" t="n">
        <x:v>10770</x:v>
      </x:c>
      <x:c r="AF113" s="55" t="n">
        <x:v>10680</x:v>
      </x:c>
      <x:c r="AG113" s="55" t="n">
        <x:v>90</x:v>
      </x:c>
      <x:c r="AH113" s="55" t="n">
        <x:v>491</x:v>
      </x:c>
      <x:c r="AI113" s="55" t="n">
        <x:v>10189</x:v>
      </x:c>
      <x:c r="AJ113" s="55" t="n">
        <x:v>604</x:v>
      </x:c>
      <x:c r="AK113" s="55" t="n">
        <x:v>1376</x:v>
      </x:c>
      <x:c r="AL113" s="55" t="n">
        <x:v>1180</x:v>
      </x:c>
      <x:c r="AM113" s="55" t="n">
        <x:v>4810</x:v>
      </x:c>
      <x:c r="AN113" s="55" t="n">
        <x:v>2604</x:v>
      </x:c>
      <x:c r="AO113" s="55" t="n">
        <x:v>106</x:v>
      </x:c>
      <x:c r="AP113" s="55" t="n">
        <x:v>2594</x:v>
      </x:c>
      <x:c r="AQ113" s="55" t="n">
        <x:v>960</x:v>
      </x:c>
    </x:row>
    <x:row r="114">
      <x:c r="A114" s="54" t="str">
        <x:v>T1_SHARED_CATCHMENT</x:v>
      </x:c>
      <x:c r="B114" s="54" t="n">
        <x:v>108</x:v>
      </x:c>
      <x:c r="C114" s="54" t="str">
        <x:v>NYC-V2-R01</x:v>
      </x:c>
      <x:c r="D114" s="54" t="str">
        <x:v>V2</x:v>
      </x:c>
      <x:c r="E114" s="54" t="str">
        <x:v>ADMITTED</x:v>
      </x:c>
      <x:c r="F114" s="55" t="n">
        <x:v>31916</x:v>
      </x:c>
      <x:c r="G114" s="55" t="n">
        <x:v>8521</x:v>
      </x:c>
      <x:c r="H114" s="55" t="n">
        <x:v>3311</x:v>
      </x:c>
      <x:c r="I114" s="55" t="n">
        <x:v>1385</x:v>
      </x:c>
      <x:c r="J114" s="55" t="n">
        <x:v>185</x:v>
      </x:c>
      <x:c r="K114" s="55" t="n">
        <x:v>31916</x:v>
      </x:c>
      <x:c r="L114" s="55" t="n">
        <x:v>5882</x:v>
      </x:c>
      <x:c r="M114" s="55" t="n">
        <x:v>1283</x:v>
      </x:c>
      <x:c r="N114" s="55" t="n">
        <x:v>2603</x:v>
      </x:c>
      <x:c r="O114" s="55" t="n">
        <x:v>1996</x:v>
      </x:c>
      <x:c r="P114" s="55" t="n">
        <x:v>597</x:v>
      </x:c>
      <x:c r="Q114" s="55" t="n">
        <x:v>2274</x:v>
      </x:c>
      <x:c r="R114" s="55" t="n">
        <x:v>1865</x:v>
      </x:c>
      <x:c r="S114" s="55" t="n">
        <x:v>2906</x:v>
      </x:c>
      <x:c r="T114" s="55" t="n">
        <x:v>1104</x:v>
      </x:c>
      <x:c r="U114" s="55" t="n">
        <x:v>1645</x:v>
      </x:c>
      <x:c r="V114" s="55" t="n">
        <x:v>10560</x:v>
      </x:c>
      <x:c r="W114" s="55" t="n">
        <x:v>7458</x:v>
      </x:c>
      <x:c r="X114" s="55" t="n">
        <x:v>3102</x:v>
      </x:c>
      <x:c r="Y114" s="55" t="n">
        <x:v>2820</x:v>
      </x:c>
      <x:c r="Z114" s="55" t="n">
        <x:v>3795</x:v>
      </x:c>
      <x:c r="AA114" s="55" t="n">
        <x:v>3311</x:v>
      </x:c>
      <x:c r="AB114" s="55" t="n">
        <x:v>1125</x:v>
      </x:c>
      <x:c r="AC114" s="55" t="n">
        <x:v>8233</x:v>
      </x:c>
      <x:c r="AD114" s="55" t="n">
        <x:v>3438</x:v>
      </x:c>
      <x:c r="AE114" s="55" t="n">
        <x:v>10585</x:v>
      </x:c>
      <x:c r="AF114" s="55" t="n">
        <x:v>10560</x:v>
      </x:c>
      <x:c r="AG114" s="55" t="n">
        <x:v>25</x:v>
      </x:c>
      <x:c r="AH114" s="55" t="n">
        <x:v>417</x:v>
      </x:c>
      <x:c r="AI114" s="55" t="n">
        <x:v>10143</x:v>
      </x:c>
      <x:c r="AJ114" s="55" t="n">
        <x:v>435</x:v>
      </x:c>
      <x:c r="AK114" s="55" t="n">
        <x:v>1326</x:v>
      </x:c>
      <x:c r="AL114" s="55" t="n">
        <x:v>1550</x:v>
      </x:c>
      <x:c r="AM114" s="55" t="n">
        <x:v>4854</x:v>
      </x:c>
      <x:c r="AN114" s="55" t="n">
        <x:v>2346</x:v>
      </x:c>
      <x:c r="AO114" s="55" t="n">
        <x:v>49</x:v>
      </x:c>
      <x:c r="AP114" s="55" t="n">
        <x:v>2571</x:v>
      </x:c>
      <x:c r="AQ114" s="55" t="n">
        <x:v>975</x:v>
      </x:c>
    </x:row>
    <x:row r="115">
      <x:c r="A115" s="54" t="str">
        <x:v>T1_SHARED_CATCHMENT</x:v>
      </x:c>
      <x:c r="B115" s="54" t="n">
        <x:v>109</x:v>
      </x:c>
      <x:c r="C115" s="54" t="str">
        <x:v>NYC-V2-R01</x:v>
      </x:c>
      <x:c r="D115" s="54" t="str">
        <x:v>V2</x:v>
      </x:c>
      <x:c r="E115" s="54" t="str">
        <x:v>ADMITTED</x:v>
      </x:c>
      <x:c r="F115" s="55" t="n">
        <x:v>31233</x:v>
      </x:c>
      <x:c r="G115" s="55" t="n">
        <x:v>6874</x:v>
      </x:c>
      <x:c r="H115" s="55" t="n">
        <x:v>3078</x:v>
      </x:c>
      <x:c r="I115" s="55" t="n">
        <x:v>1035</x:v>
      </x:c>
      <x:c r="J115" s="55" t="n">
        <x:v>165</x:v>
      </x:c>
      <x:c r="K115" s="55" t="n">
        <x:v>31233</x:v>
      </x:c>
      <x:c r="L115" s="55" t="n">
        <x:v>6545</x:v>
      </x:c>
      <x:c r="M115" s="55" t="n">
        <x:v>2102</x:v>
      </x:c>
      <x:c r="N115" s="55" t="n">
        <x:v>2456</x:v>
      </x:c>
      <x:c r="O115" s="55" t="n">
        <x:v>1987</x:v>
      </x:c>
      <x:c r="P115" s="55" t="n">
        <x:v>664</x:v>
      </x:c>
      <x:c r="Q115" s="55" t="n">
        <x:v>2148</x:v>
      </x:c>
      <x:c r="R115" s="55" t="n">
        <x:v>1892</x:v>
      </x:c>
      <x:c r="S115" s="55" t="n">
        <x:v>2625</x:v>
      </x:c>
      <x:c r="T115" s="55" t="n">
        <x:v>616</x:v>
      </x:c>
      <x:c r="U115" s="55" t="n">
        <x:v>1604</x:v>
      </x:c>
      <x:c r="V115" s="55" t="n">
        <x:v>10163</x:v>
      </x:c>
      <x:c r="W115" s="55" t="n">
        <x:v>7433</x:v>
      </x:c>
      <x:c r="X115" s="55" t="n">
        <x:v>2730</x:v>
      </x:c>
      <x:c r="Y115" s="55" t="n">
        <x:v>2231</x:v>
      </x:c>
      <x:c r="Z115" s="55" t="n">
        <x:v>3852</x:v>
      </x:c>
      <x:c r="AA115" s="55" t="n">
        <x:v>3078</x:v>
      </x:c>
      <x:c r="AB115" s="55" t="n">
        <x:v>1296</x:v>
      </x:c>
      <x:c r="AC115" s="55" t="n">
        <x:v>8214</x:v>
      </x:c>
      <x:c r="AD115" s="55" t="n">
        <x:v>2626</x:v>
      </x:c>
      <x:c r="AE115" s="55" t="n">
        <x:v>10188</x:v>
      </x:c>
      <x:c r="AF115" s="55" t="n">
        <x:v>10163</x:v>
      </x:c>
      <x:c r="AG115" s="55" t="n">
        <x:v>25</x:v>
      </x:c>
      <x:c r="AH115" s="55" t="n">
        <x:v>280</x:v>
      </x:c>
      <x:c r="AI115" s="55" t="n">
        <x:v>9883</x:v>
      </x:c>
      <x:c r="AJ115" s="55" t="n">
        <x:v>151</x:v>
      </x:c>
      <x:c r="AK115" s="55" t="n">
        <x:v>849</x:v>
      </x:c>
      <x:c r="AL115" s="55" t="n">
        <x:v>1196</x:v>
      </x:c>
      <x:c r="AM115" s="55" t="n">
        <x:v>5196</x:v>
      </x:c>
      <x:c r="AN115" s="55" t="n">
        <x:v>2771</x:v>
      </x:c>
      <x:c r="AO115" s="55" t="n">
        <x:v>0</x:v>
      </x:c>
      <x:c r="AP115" s="55" t="n">
        <x:v>2387</x:v>
      </x:c>
      <x:c r="AQ115" s="55" t="n">
        <x:v>913</x:v>
      </x:c>
    </x:row>
    <x:row r="116">
      <x:c r="A116" s="54" t="str">
        <x:v>T1_SHARED_CATCHMENT</x:v>
      </x:c>
      <x:c r="B116" s="54" t="n">
        <x:v>110</x:v>
      </x:c>
      <x:c r="C116" s="54" t="str">
        <x:v>NYC-V2-R01</x:v>
      </x:c>
      <x:c r="D116" s="54" t="str">
        <x:v>V2</x:v>
      </x:c>
      <x:c r="E116" s="54" t="str">
        <x:v>ADMITTED</x:v>
      </x:c>
      <x:c r="F116" s="55" t="n">
        <x:v>33850</x:v>
      </x:c>
      <x:c r="G116" s="55" t="n">
        <x:v>9046</x:v>
      </x:c>
      <x:c r="H116" s="55" t="n">
        <x:v>3254</x:v>
      </x:c>
      <x:c r="I116" s="55" t="n">
        <x:v>1386</x:v>
      </x:c>
      <x:c r="J116" s="55" t="n">
        <x:v>321</x:v>
      </x:c>
      <x:c r="K116" s="55" t="n">
        <x:v>29083</x:v>
      </x:c>
      <x:c r="L116" s="55" t="n">
        <x:v>4735</x:v>
      </x:c>
      <x:c r="M116" s="55" t="n">
        <x:v>365</x:v>
      </x:c>
      <x:c r="N116" s="55" t="n">
        <x:v>2528</x:v>
      </x:c>
      <x:c r="O116" s="55" t="n">
        <x:v>1842</x:v>
      </x:c>
      <x:c r="P116" s="55" t="n">
        <x:v>282</x:v>
      </x:c>
      <x:c r="Q116" s="55" t="n">
        <x:v>1568</x:v>
      </x:c>
      <x:c r="R116" s="55" t="n">
        <x:v>1620</x:v>
      </x:c>
      <x:c r="S116" s="55" t="n">
        <x:v>2593</x:v>
      </x:c>
      <x:c r="T116" s="55" t="n">
        <x:v>696</x:v>
      </x:c>
      <x:c r="U116" s="55" t="n">
        <x:v>1927</x:v>
      </x:c>
      <x:c r="V116" s="55" t="n">
        <x:v>10861</x:v>
      </x:c>
      <x:c r="W116" s="55" t="n">
        <x:v>8132</x:v>
      </x:c>
      <x:c r="X116" s="55" t="n">
        <x:v>2729</x:v>
      </x:c>
      <x:c r="Y116" s="55" t="n">
        <x:v>2259</x:v>
      </x:c>
      <x:c r="Z116" s="55" t="n">
        <x:v>3609</x:v>
      </x:c>
      <x:c r="AA116" s="55" t="n">
        <x:v>2930</x:v>
      </x:c>
      <x:c r="AB116" s="55" t="n">
        <x:v>1019</x:v>
      </x:c>
      <x:c r="AC116" s="55" t="n">
        <x:v>7788</x:v>
      </x:c>
      <x:c r="AD116" s="55" t="n">
        <x:v>2720</x:v>
      </x:c>
      <x:c r="AE116" s="55" t="n">
        <x:v>10871</x:v>
      </x:c>
      <x:c r="AF116" s="55" t="n">
        <x:v>10861</x:v>
      </x:c>
      <x:c r="AG116" s="55" t="n">
        <x:v>10</x:v>
      </x:c>
      <x:c r="AH116" s="55" t="n">
        <x:v>348</x:v>
      </x:c>
      <x:c r="AI116" s="55" t="n">
        <x:v>10513</x:v>
      </x:c>
      <x:c r="AJ116" s="55" t="n">
        <x:v>446</x:v>
      </x:c>
      <x:c r="AK116" s="55" t="n">
        <x:v>790</x:v>
      </x:c>
      <x:c r="AL116" s="55" t="n">
        <x:v>1532</x:v>
      </x:c>
      <x:c r="AM116" s="55" t="n">
        <x:v>5247</x:v>
      </x:c>
      <x:c r="AN116" s="55" t="n">
        <x:v>2846</x:v>
      </x:c>
      <x:c r="AO116" s="55" t="n">
        <x:v>0</x:v>
      </x:c>
      <x:c r="AP116" s="55" t="n">
        <x:v>2052</x:v>
      </x:c>
      <x:c r="AQ116" s="55" t="n">
        <x:v>948</x:v>
      </x:c>
    </x:row>
    <x:row r="117">
      <x:c r="A117" s="54" t="str">
        <x:v>T1_SHARED_CATCHMENT</x:v>
      </x:c>
      <x:c r="B117" s="54" t="n">
        <x:v>111</x:v>
      </x:c>
      <x:c r="C117" s="54" t="str">
        <x:v>NYC-V2-R01</x:v>
      </x:c>
      <x:c r="D117" s="54" t="str">
        <x:v>V2</x:v>
      </x:c>
      <x:c r="E117" s="54" t="str">
        <x:v>ADMITTED</x:v>
      </x:c>
      <x:c r="F117" s="55" t="n">
        <x:v>31686</x:v>
      </x:c>
      <x:c r="G117" s="55" t="n">
        <x:v>6805</x:v>
      </x:c>
      <x:c r="H117" s="55" t="n">
        <x:v>3381</x:v>
      </x:c>
      <x:c r="I117" s="55" t="n">
        <x:v>1632</x:v>
      </x:c>
      <x:c r="J117" s="55" t="n">
        <x:v>196</x:v>
      </x:c>
      <x:c r="K117" s="55" t="n">
        <x:v>31686</x:v>
      </x:c>
      <x:c r="L117" s="55" t="n">
        <x:v>5489</x:v>
      </x:c>
      <x:c r="M117" s="55" t="n">
        <x:v>1909</x:v>
      </x:c>
      <x:c r="N117" s="55" t="n">
        <x:v>1725</x:v>
      </x:c>
      <x:c r="O117" s="55" t="n">
        <x:v>1855</x:v>
      </x:c>
      <x:c r="P117" s="55" t="n">
        <x:v>1210</x:v>
      </x:c>
      <x:c r="Q117" s="55" t="n">
        <x:v>1844</x:v>
      </x:c>
      <x:c r="R117" s="55" t="n">
        <x:v>2287</x:v>
      </x:c>
      <x:c r="S117" s="55" t="n">
        <x:v>3205</x:v>
      </x:c>
      <x:c r="T117" s="55" t="n">
        <x:v>1308</x:v>
      </x:c>
      <x:c r="U117" s="55" t="n">
        <x:v>1987</x:v>
      </x:c>
      <x:c r="V117" s="55" t="n">
        <x:v>10414</x:v>
      </x:c>
      <x:c r="W117" s="55" t="n">
        <x:v>7516</x:v>
      </x:c>
      <x:c r="X117" s="55" t="n">
        <x:v>2898</x:v>
      </x:c>
      <x:c r="Y117" s="55" t="n">
        <x:v>2449</x:v>
      </x:c>
      <x:c r="Z117" s="55" t="n">
        <x:v>3680</x:v>
      </x:c>
      <x:c r="AA117" s="55" t="n">
        <x:v>2809</x:v>
      </x:c>
      <x:c r="AB117" s="55" t="n">
        <x:v>922</x:v>
      </x:c>
      <x:c r="AC117" s="55" t="n">
        <x:v>7214</x:v>
      </x:c>
      <x:c r="AD117" s="55" t="n">
        <x:v>2568</x:v>
      </x:c>
      <x:c r="AE117" s="55" t="n">
        <x:v>10461</x:v>
      </x:c>
      <x:c r="AF117" s="55" t="n">
        <x:v>10414</x:v>
      </x:c>
      <x:c r="AG117" s="55" t="n">
        <x:v>47</x:v>
      </x:c>
      <x:c r="AH117" s="55" t="n">
        <x:v>624</x:v>
      </x:c>
      <x:c r="AI117" s="55" t="n">
        <x:v>9790</x:v>
      </x:c>
      <x:c r="AJ117" s="55" t="n">
        <x:v>356</x:v>
      </x:c>
      <x:c r="AK117" s="55" t="n">
        <x:v>855</x:v>
      </x:c>
      <x:c r="AL117" s="55" t="n">
        <x:v>1620</x:v>
      </x:c>
      <x:c r="AM117" s="55" t="n">
        <x:v>4796</x:v>
      </x:c>
      <x:c r="AN117" s="55" t="n">
        <x:v>2758</x:v>
      </x:c>
      <x:c r="AO117" s="55" t="n">
        <x:v>29</x:v>
      </x:c>
      <x:c r="AP117" s="55" t="n">
        <x:v>2578</x:v>
      </x:c>
      <x:c r="AQ117" s="55" t="n">
        <x:v>991</x:v>
      </x:c>
    </x:row>
    <x:row r="118">
      <x:c r="A118" s="54" t="str">
        <x:v>T1_SHARED_CATCHMENT</x:v>
      </x:c>
      <x:c r="B118" s="54" t="n">
        <x:v>112</x:v>
      </x:c>
      <x:c r="C118" s="54" t="str">
        <x:v>NYC-V2-R01</x:v>
      </x:c>
      <x:c r="D118" s="54" t="str">
        <x:v>V2</x:v>
      </x:c>
      <x:c r="E118" s="54" t="str">
        <x:v>ADMITTED</x:v>
      </x:c>
      <x:c r="F118" s="55" t="n">
        <x:v>31848</x:v>
      </x:c>
      <x:c r="G118" s="55" t="n">
        <x:v>7576</x:v>
      </x:c>
      <x:c r="H118" s="55" t="n">
        <x:v>3362</x:v>
      </x:c>
      <x:c r="I118" s="55" t="n">
        <x:v>1407</x:v>
      </x:c>
      <x:c r="J118" s="55" t="n">
        <x:v>244</x:v>
      </x:c>
      <x:c r="K118" s="55" t="n">
        <x:v>31848</x:v>
      </x:c>
      <x:c r="L118" s="55" t="n">
        <x:v>7537</x:v>
      </x:c>
      <x:c r="M118" s="55" t="n">
        <x:v>2760</x:v>
      </x:c>
      <x:c r="N118" s="55" t="n">
        <x:v>3131</x:v>
      </x:c>
      <x:c r="O118" s="55" t="n">
        <x:v>1646</x:v>
      </x:c>
      <x:c r="P118" s="55" t="n">
        <x:v>865</x:v>
      </x:c>
      <x:c r="Q118" s="55" t="n">
        <x:v>3007</x:v>
      </x:c>
      <x:c r="R118" s="55" t="n">
        <x:v>2175</x:v>
      </x:c>
      <x:c r="S118" s="55" t="n">
        <x:v>2373</x:v>
      </x:c>
      <x:c r="T118" s="55" t="n">
        <x:v>1751</x:v>
      </x:c>
      <x:c r="U118" s="55" t="n">
        <x:v>1869</x:v>
      </x:c>
      <x:c r="V118" s="55" t="n">
        <x:v>10687</x:v>
      </x:c>
      <x:c r="W118" s="55" t="n">
        <x:v>7422</x:v>
      </x:c>
      <x:c r="X118" s="55" t="n">
        <x:v>3265</x:v>
      </x:c>
      <x:c r="Y118" s="55" t="n">
        <x:v>2778</x:v>
      </x:c>
      <x:c r="Z118" s="55" t="n">
        <x:v>3975</x:v>
      </x:c>
      <x:c r="AA118" s="55" t="n">
        <x:v>3148</x:v>
      </x:c>
      <x:c r="AB118" s="55" t="n">
        <x:v>1263</x:v>
      </x:c>
      <x:c r="AC118" s="55" t="n">
        <x:v>8159</x:v>
      </x:c>
      <x:c r="AD118" s="55" t="n">
        <x:v>3143</x:v>
      </x:c>
      <x:c r="AE118" s="55" t="n">
        <x:v>10818</x:v>
      </x:c>
      <x:c r="AF118" s="55" t="n">
        <x:v>10687</x:v>
      </x:c>
      <x:c r="AG118" s="55" t="n">
        <x:v>131</x:v>
      </x:c>
      <x:c r="AH118" s="55" t="n">
        <x:v>409</x:v>
      </x:c>
      <x:c r="AI118" s="55" t="n">
        <x:v>10278</x:v>
      </x:c>
      <x:c r="AJ118" s="55" t="n">
        <x:v>348</x:v>
      </x:c>
      <x:c r="AK118" s="55" t="n">
        <x:v>1033</x:v>
      </x:c>
      <x:c r="AL118" s="55" t="n">
        <x:v>1685</x:v>
      </x:c>
      <x:c r="AM118" s="55" t="n">
        <x:v>4882</x:v>
      </x:c>
      <x:c r="AN118" s="55" t="n">
        <x:v>2739</x:v>
      </x:c>
      <x:c r="AO118" s="55" t="n">
        <x:v>0</x:v>
      </x:c>
      <x:c r="AP118" s="55" t="n">
        <x:v>2334</x:v>
      </x:c>
      <x:c r="AQ118" s="55" t="n">
        <x:v>983</x:v>
      </x:c>
    </x:row>
    <x:row r="119">
      <x:c r="A119" s="54" t="str">
        <x:v>T1_SHARED_CATCHMENT</x:v>
      </x:c>
      <x:c r="B119" s="54" t="n">
        <x:v>113</x:v>
      </x:c>
      <x:c r="C119" s="54" t="str">
        <x:v>NYC-V2-R01</x:v>
      </x:c>
      <x:c r="D119" s="54" t="str">
        <x:v>V2</x:v>
      </x:c>
      <x:c r="E119" s="54" t="str">
        <x:v>ADMITTED</x:v>
      </x:c>
      <x:c r="F119" s="55" t="n">
        <x:v>31381</x:v>
      </x:c>
      <x:c r="G119" s="55" t="n">
        <x:v>8285</x:v>
      </x:c>
      <x:c r="H119" s="55" t="n">
        <x:v>3254</x:v>
      </x:c>
      <x:c r="I119" s="55" t="n">
        <x:v>1369</x:v>
      </x:c>
      <x:c r="J119" s="55" t="n">
        <x:v>326</x:v>
      </x:c>
      <x:c r="K119" s="55" t="n">
        <x:v>28892</x:v>
      </x:c>
      <x:c r="L119" s="55" t="n">
        <x:v>5447</x:v>
      </x:c>
      <x:c r="M119" s="55" t="n">
        <x:v>1029</x:v>
      </x:c>
      <x:c r="N119" s="55" t="n">
        <x:v>2709</x:v>
      </x:c>
      <x:c r="O119" s="55" t="n">
        <x:v>1709</x:v>
      </x:c>
      <x:c r="P119" s="55" t="n">
        <x:v>656</x:v>
      </x:c>
      <x:c r="Q119" s="55" t="n">
        <x:v>1772</x:v>
      </x:c>
      <x:c r="R119" s="55" t="n">
        <x:v>2023</x:v>
      </x:c>
      <x:c r="S119" s="55" t="n">
        <x:v>2716</x:v>
      </x:c>
      <x:c r="T119" s="55" t="n">
        <x:v>1106</x:v>
      </x:c>
      <x:c r="U119" s="55" t="n">
        <x:v>2466</x:v>
      </x:c>
      <x:c r="V119" s="55" t="n">
        <x:v>10996</x:v>
      </x:c>
      <x:c r="W119" s="55" t="n">
        <x:v>7844</x:v>
      </x:c>
      <x:c r="X119" s="55" t="n">
        <x:v>3152</x:v>
      </x:c>
      <x:c r="Y119" s="55" t="n">
        <x:v>2616</x:v>
      </x:c>
      <x:c r="Z119" s="55" t="n">
        <x:v>3791</x:v>
      </x:c>
      <x:c r="AA119" s="55" t="n">
        <x:v>3254</x:v>
      </x:c>
      <x:c r="AB119" s="55" t="n">
        <x:v>1371</x:v>
      </x:c>
      <x:c r="AC119" s="55" t="n">
        <x:v>8388</x:v>
      </x:c>
      <x:c r="AD119" s="55" t="n">
        <x:v>2762</x:v>
      </x:c>
      <x:c r="AE119" s="55" t="n">
        <x:v>11132</x:v>
      </x:c>
      <x:c r="AF119" s="55" t="n">
        <x:v>10996</x:v>
      </x:c>
      <x:c r="AG119" s="55" t="n">
        <x:v>136</x:v>
      </x:c>
      <x:c r="AH119" s="55" t="n">
        <x:v>726</x:v>
      </x:c>
      <x:c r="AI119" s="55" t="n">
        <x:v>10270</x:v>
      </x:c>
      <x:c r="AJ119" s="55" t="n">
        <x:v>222</x:v>
      </x:c>
      <x:c r="AK119" s="55" t="n">
        <x:v>933</x:v>
      </x:c>
      <x:c r="AL119" s="55" t="n">
        <x:v>2118</x:v>
      </x:c>
      <x:c r="AM119" s="55" t="n">
        <x:v>5035</x:v>
      </x:c>
      <x:c r="AN119" s="55" t="n">
        <x:v>2660</x:v>
      </x:c>
      <x:c r="AO119" s="55" t="n">
        <x:v>28</x:v>
      </x:c>
      <x:c r="AP119" s="55" t="n">
        <x:v>2751</x:v>
      </x:c>
      <x:c r="AQ119" s="55" t="n">
        <x:v>978</x:v>
      </x:c>
    </x:row>
    <x:row r="120">
      <x:c r="A120" s="54" t="str">
        <x:v>T1_SHARED_CATCHMENT</x:v>
      </x:c>
      <x:c r="B120" s="54" t="n">
        <x:v>114</x:v>
      </x:c>
      <x:c r="C120" s="54" t="str">
        <x:v>NYC-V2-R01</x:v>
      </x:c>
      <x:c r="D120" s="54" t="str">
        <x:v>V2</x:v>
      </x:c>
      <x:c r="E120" s="54" t="str">
        <x:v>ADMITTED</x:v>
      </x:c>
      <x:c r="F120" s="55" t="n">
        <x:v>31914</x:v>
      </x:c>
      <x:c r="G120" s="55" t="n">
        <x:v>8245</x:v>
      </x:c>
      <x:c r="H120" s="55" t="n">
        <x:v>2909</x:v>
      </x:c>
      <x:c r="I120" s="55" t="n">
        <x:v>1041</x:v>
      </x:c>
      <x:c r="J120" s="55" t="n">
        <x:v>87</x:v>
      </x:c>
      <x:c r="K120" s="55" t="n">
        <x:v>31914</x:v>
      </x:c>
      <x:c r="L120" s="55" t="n">
        <x:v>5021</x:v>
      </x:c>
      <x:c r="M120" s="55" t="n">
        <x:v>655</x:v>
      </x:c>
      <x:c r="N120" s="55" t="n">
        <x:v>2629</x:v>
      </x:c>
      <x:c r="O120" s="55" t="n">
        <x:v>1737</x:v>
      </x:c>
      <x:c r="P120" s="55" t="n">
        <x:v>608</x:v>
      </x:c>
      <x:c r="Q120" s="55" t="n">
        <x:v>2816</x:v>
      </x:c>
      <x:c r="R120" s="55" t="n">
        <x:v>1721</x:v>
      </x:c>
      <x:c r="S120" s="55" t="n">
        <x:v>2321</x:v>
      </x:c>
      <x:c r="T120" s="55" t="n">
        <x:v>1277</x:v>
      </x:c>
      <x:c r="U120" s="55" t="n">
        <x:v>1580</x:v>
      </x:c>
      <x:c r="V120" s="55" t="n">
        <x:v>10138</x:v>
      </x:c>
      <x:c r="W120" s="55" t="n">
        <x:v>6981</x:v>
      </x:c>
      <x:c r="X120" s="55" t="n">
        <x:v>3157</x:v>
      </x:c>
      <x:c r="Y120" s="55" t="n">
        <x:v>2612</x:v>
      </x:c>
      <x:c r="Z120" s="55" t="n">
        <x:v>3507</x:v>
      </x:c>
      <x:c r="AA120" s="55" t="n">
        <x:v>2909</x:v>
      </x:c>
      <x:c r="AB120" s="55" t="n">
        <x:v>856</x:v>
      </x:c>
      <x:c r="AC120" s="55" t="n">
        <x:v>7868</x:v>
      </x:c>
      <x:c r="AD120" s="55" t="n">
        <x:v>2628</x:v>
      </x:c>
      <x:c r="AE120" s="55" t="n">
        <x:v>10244</x:v>
      </x:c>
      <x:c r="AF120" s="55" t="n">
        <x:v>10138</x:v>
      </x:c>
      <x:c r="AG120" s="55" t="n">
        <x:v>106</x:v>
      </x:c>
      <x:c r="AH120" s="55" t="n">
        <x:v>416</x:v>
      </x:c>
      <x:c r="AI120" s="55" t="n">
        <x:v>9722</x:v>
      </x:c>
      <x:c r="AJ120" s="55" t="n">
        <x:v>434</x:v>
      </x:c>
      <x:c r="AK120" s="55" t="n">
        <x:v>836</x:v>
      </x:c>
      <x:c r="AL120" s="55" t="n">
        <x:v>1237</x:v>
      </x:c>
      <x:c r="AM120" s="55" t="n">
        <x:v>4987</x:v>
      </x:c>
      <x:c r="AN120" s="55" t="n">
        <x:v>2628</x:v>
      </x:c>
      <x:c r="AO120" s="55" t="n">
        <x:v>16</x:v>
      </x:c>
      <x:c r="AP120" s="55" t="n">
        <x:v>2209</x:v>
      </x:c>
      <x:c r="AQ120" s="55" t="n">
        <x:v>954</x:v>
      </x:c>
    </x:row>
    <x:row r="121">
      <x:c r="A121" s="54" t="str">
        <x:v>T1_SHARED_CATCHMENT</x:v>
      </x:c>
      <x:c r="B121" s="54" t="n">
        <x:v>115</x:v>
      </x:c>
      <x:c r="C121" s="54" t="str">
        <x:v>NYC-V2-R01</x:v>
      </x:c>
      <x:c r="D121" s="54" t="str">
        <x:v>V2</x:v>
      </x:c>
      <x:c r="E121" s="54" t="str">
        <x:v>ADMITTED</x:v>
      </x:c>
      <x:c r="F121" s="55" t="n">
        <x:v>31519</x:v>
      </x:c>
      <x:c r="G121" s="55" t="n">
        <x:v>8659</x:v>
      </x:c>
      <x:c r="H121" s="55" t="n">
        <x:v>3530</x:v>
      </x:c>
      <x:c r="I121" s="55" t="n">
        <x:v>1267</x:v>
      </x:c>
      <x:c r="J121" s="55" t="n">
        <x:v>119</x:v>
      </x:c>
      <x:c r="K121" s="55" t="n">
        <x:v>29698</x:v>
      </x:c>
      <x:c r="L121" s="55" t="n">
        <x:v>6092</x:v>
      </x:c>
      <x:c r="M121" s="55" t="n">
        <x:v>1831</x:v>
      </x:c>
      <x:c r="N121" s="55" t="n">
        <x:v>2607</x:v>
      </x:c>
      <x:c r="O121" s="55" t="n">
        <x:v>1654</x:v>
      </x:c>
      <x:c r="P121" s="55" t="n">
        <x:v>625</x:v>
      </x:c>
      <x:c r="Q121" s="55" t="n">
        <x:v>2190</x:v>
      </x:c>
      <x:c r="R121" s="55" t="n">
        <x:v>1683</x:v>
      </x:c>
      <x:c r="S121" s="55" t="n">
        <x:v>2743</x:v>
      </x:c>
      <x:c r="T121" s="55" t="n">
        <x:v>837</x:v>
      </x:c>
      <x:c r="U121" s="55" t="n">
        <x:v>2063</x:v>
      </x:c>
      <x:c r="V121" s="55" t="n">
        <x:v>11189</x:v>
      </x:c>
      <x:c r="W121" s="55" t="n">
        <x:v>7845</x:v>
      </x:c>
      <x:c r="X121" s="55" t="n">
        <x:v>3344</x:v>
      </x:c>
      <x:c r="Y121" s="55" t="n">
        <x:v>2914</x:v>
      </x:c>
      <x:c r="Z121" s="55" t="n">
        <x:v>3139</x:v>
      </x:c>
      <x:c r="AA121" s="55" t="n">
        <x:v>3530</x:v>
      </x:c>
      <x:c r="AB121" s="55" t="n">
        <x:v>1659</x:v>
      </x:c>
      <x:c r="AC121" s="55" t="n">
        <x:v>7043</x:v>
      </x:c>
      <x:c r="AD121" s="55" t="n">
        <x:v>3358</x:v>
      </x:c>
      <x:c r="AE121" s="55" t="n">
        <x:v>11297</x:v>
      </x:c>
      <x:c r="AF121" s="55" t="n">
        <x:v>11189</x:v>
      </x:c>
      <x:c r="AG121" s="55" t="n">
        <x:v>108</x:v>
      </x:c>
      <x:c r="AH121" s="55" t="n">
        <x:v>592</x:v>
      </x:c>
      <x:c r="AI121" s="55" t="n">
        <x:v>10597</x:v>
      </x:c>
      <x:c r="AJ121" s="55" t="n">
        <x:v>473</x:v>
      </x:c>
      <x:c r="AK121" s="55" t="n">
        <x:v>629</x:v>
      </x:c>
      <x:c r="AL121" s="55" t="n">
        <x:v>1338</x:v>
      </x:c>
      <x:c r="AM121" s="55" t="n">
        <x:v>5548</x:v>
      </x:c>
      <x:c r="AN121" s="55" t="n">
        <x:v>3184</x:v>
      </x:c>
      <x:c r="AO121" s="55" t="n">
        <x:v>17</x:v>
      </x:c>
      <x:c r="AP121" s="55" t="n">
        <x:v>2752</x:v>
      </x:c>
      <x:c r="AQ121" s="55" t="n">
        <x:v>970</x:v>
      </x:c>
    </x:row>
    <x:row r="122">
      <x:c r="A122" s="54" t="str">
        <x:v>T1_SHARED_CATCHMENT</x:v>
      </x:c>
      <x:c r="B122" s="54" t="n">
        <x:v>116</x:v>
      </x:c>
      <x:c r="C122" s="54" t="str">
        <x:v>NYC-V2-R01</x:v>
      </x:c>
      <x:c r="D122" s="54" t="str">
        <x:v>V2</x:v>
      </x:c>
      <x:c r="E122" s="54" t="str">
        <x:v>ADMITTED</x:v>
      </x:c>
      <x:c r="F122" s="55" t="n">
        <x:v>34029</x:v>
      </x:c>
      <x:c r="G122" s="55" t="n">
        <x:v>8901</x:v>
      </x:c>
      <x:c r="H122" s="55" t="n">
        <x:v>3299</x:v>
      </x:c>
      <x:c r="I122" s="55" t="n">
        <x:v>1400</x:v>
      </x:c>
      <x:c r="J122" s="55" t="n">
        <x:v>420</x:v>
      </x:c>
      <x:c r="K122" s="55" t="n">
        <x:v>33807</x:v>
      </x:c>
      <x:c r="L122" s="55" t="n">
        <x:v>7624</x:v>
      </x:c>
      <x:c r="M122" s="55" t="n">
        <x:v>2603</x:v>
      </x:c>
      <x:c r="N122" s="55" t="n">
        <x:v>3246</x:v>
      </x:c>
      <x:c r="O122" s="55" t="n">
        <x:v>1775</x:v>
      </x:c>
      <x:c r="P122" s="55" t="n">
        <x:v>1005</x:v>
      </x:c>
      <x:c r="Q122" s="55" t="n">
        <x:v>2376</x:v>
      </x:c>
      <x:c r="R122" s="55" t="n">
        <x:v>2336</x:v>
      </x:c>
      <x:c r="S122" s="55" t="n">
        <x:v>2644</x:v>
      </x:c>
      <x:c r="T122" s="55" t="n">
        <x:v>1759</x:v>
      </x:c>
      <x:c r="U122" s="55" t="n">
        <x:v>2205</x:v>
      </x:c>
      <x:c r="V122" s="55" t="n">
        <x:v>10461</x:v>
      </x:c>
      <x:c r="W122" s="55" t="n">
        <x:v>7103</x:v>
      </x:c>
      <x:c r="X122" s="55" t="n">
        <x:v>3358</x:v>
      </x:c>
      <x:c r="Y122" s="55" t="n">
        <x:v>2763</x:v>
      </x:c>
      <x:c r="Z122" s="55" t="n">
        <x:v>4315</x:v>
      </x:c>
      <x:c r="AA122" s="55" t="n">
        <x:v>3021</x:v>
      </x:c>
      <x:c r="AB122" s="55" t="n">
        <x:v>1398</x:v>
      </x:c>
      <x:c r="AC122" s="55" t="n">
        <x:v>8119</x:v>
      </x:c>
      <x:c r="AD122" s="55" t="n">
        <x:v>2979</x:v>
      </x:c>
      <x:c r="AE122" s="55" t="n">
        <x:v>10630</x:v>
      </x:c>
      <x:c r="AF122" s="55" t="n">
        <x:v>10461</x:v>
      </x:c>
      <x:c r="AG122" s="55" t="n">
        <x:v>169</x:v>
      </x:c>
      <x:c r="AH122" s="55" t="n">
        <x:v>493</x:v>
      </x:c>
      <x:c r="AI122" s="55" t="n">
        <x:v>9968</x:v>
      </x:c>
      <x:c r="AJ122" s="55" t="n">
        <x:v>443</x:v>
      </x:c>
      <x:c r="AK122" s="55" t="n">
        <x:v>1068</x:v>
      </x:c>
      <x:c r="AL122" s="55" t="n">
        <x:v>1668</x:v>
      </x:c>
      <x:c r="AM122" s="55" t="n">
        <x:v>4527</x:v>
      </x:c>
      <x:c r="AN122" s="55" t="n">
        <x:v>2643</x:v>
      </x:c>
      <x:c r="AO122" s="55" t="n">
        <x:v>112</x:v>
      </x:c>
      <x:c r="AP122" s="55" t="n">
        <x:v>3264</x:v>
      </x:c>
      <x:c r="AQ122" s="55" t="n">
        <x:v>963</x:v>
      </x:c>
    </x:row>
    <x:row r="123">
      <x:c r="A123" s="54" t="str">
        <x:v>T1_SHARED_CATCHMENT</x:v>
      </x:c>
      <x:c r="B123" s="54" t="n">
        <x:v>117</x:v>
      </x:c>
      <x:c r="C123" s="54" t="str">
        <x:v>NYC-V2-R01</x:v>
      </x:c>
      <x:c r="D123" s="54" t="str">
        <x:v>V2</x:v>
      </x:c>
      <x:c r="E123" s="54" t="str">
        <x:v>ADMITTED</x:v>
      </x:c>
      <x:c r="F123" s="55" t="n">
        <x:v>32492</x:v>
      </x:c>
      <x:c r="G123" s="55" t="n">
        <x:v>8211</x:v>
      </x:c>
      <x:c r="H123" s="55" t="n">
        <x:v>3372</x:v>
      </x:c>
      <x:c r="I123" s="55" t="n">
        <x:v>1360</x:v>
      </x:c>
      <x:c r="J123" s="55" t="n">
        <x:v>195</x:v>
      </x:c>
      <x:c r="K123" s="55" t="n">
        <x:v>32492</x:v>
      </x:c>
      <x:c r="L123" s="55" t="n">
        <x:v>7354</x:v>
      </x:c>
      <x:c r="M123" s="55" t="n">
        <x:v>2011</x:v>
      </x:c>
      <x:c r="N123" s="55" t="n">
        <x:v>3549</x:v>
      </x:c>
      <x:c r="O123" s="55" t="n">
        <x:v>1794</x:v>
      </x:c>
      <x:c r="P123" s="55" t="n">
        <x:v>761</x:v>
      </x:c>
      <x:c r="Q123" s="55" t="n">
        <x:v>1288</x:v>
      </x:c>
      <x:c r="R123" s="55" t="n">
        <x:v>1516</x:v>
      </x:c>
      <x:c r="S123" s="55" t="n">
        <x:v>2496</x:v>
      </x:c>
      <x:c r="T123" s="55" t="n">
        <x:v>1793</x:v>
      </x:c>
      <x:c r="U123" s="55" t="n">
        <x:v>2008</x:v>
      </x:c>
      <x:c r="V123" s="55" t="n">
        <x:v>10337</x:v>
      </x:c>
      <x:c r="W123" s="55" t="n">
        <x:v>7252</x:v>
      </x:c>
      <x:c r="X123" s="55" t="n">
        <x:v>3085</x:v>
      </x:c>
      <x:c r="Y123" s="55" t="n">
        <x:v>2736</x:v>
      </x:c>
      <x:c r="Z123" s="55" t="n">
        <x:v>3775</x:v>
      </x:c>
      <x:c r="AA123" s="55" t="n">
        <x:v>3372</x:v>
      </x:c>
      <x:c r="AB123" s="55" t="n">
        <x:v>1215</x:v>
      </x:c>
      <x:c r="AC123" s="55" t="n">
        <x:v>7794</x:v>
      </x:c>
      <x:c r="AD123" s="55" t="n">
        <x:v>2866</x:v>
      </x:c>
      <x:c r="AE123" s="55" t="n">
        <x:v>10403</x:v>
      </x:c>
      <x:c r="AF123" s="55" t="n">
        <x:v>10337</x:v>
      </x:c>
      <x:c r="AG123" s="55" t="n">
        <x:v>66</x:v>
      </x:c>
      <x:c r="AH123" s="55" t="n">
        <x:v>381</x:v>
      </x:c>
      <x:c r="AI123" s="55" t="n">
        <x:v>9956</x:v>
      </x:c>
      <x:c r="AJ123" s="55" t="n">
        <x:v>156</x:v>
      </x:c>
      <x:c r="AK123" s="55" t="n">
        <x:v>1086</x:v>
      </x:c>
      <x:c r="AL123" s="55" t="n">
        <x:v>1250</x:v>
      </x:c>
      <x:c r="AM123" s="55" t="n">
        <x:v>5275</x:v>
      </x:c>
      <x:c r="AN123" s="55" t="n">
        <x:v>2570</x:v>
      </x:c>
      <x:c r="AO123" s="55" t="n">
        <x:v>0</x:v>
      </x:c>
      <x:c r="AP123" s="55" t="n">
        <x:v>2241</x:v>
      </x:c>
      <x:c r="AQ123" s="55" t="n">
        <x:v>965</x:v>
      </x:c>
    </x:row>
    <x:row r="124">
      <x:c r="A124" s="54" t="str">
        <x:v>T1_SHARED_CATCHMENT</x:v>
      </x:c>
      <x:c r="B124" s="54" t="n">
        <x:v>118</x:v>
      </x:c>
      <x:c r="C124" s="54" t="str">
        <x:v>NYC-V2-R01</x:v>
      </x:c>
      <x:c r="D124" s="54" t="str">
        <x:v>V2</x:v>
      </x:c>
      <x:c r="E124" s="54" t="str">
        <x:v>ADMITTED</x:v>
      </x:c>
      <x:c r="F124" s="55" t="n">
        <x:v>31615</x:v>
      </x:c>
      <x:c r="G124" s="55" t="n">
        <x:v>7822</x:v>
      </x:c>
      <x:c r="H124" s="55" t="n">
        <x:v>3247</x:v>
      </x:c>
      <x:c r="I124" s="55" t="n">
        <x:v>1394</x:v>
      </x:c>
      <x:c r="J124" s="55" t="n">
        <x:v>279</x:v>
      </x:c>
      <x:c r="K124" s="55" t="n">
        <x:v>29834</x:v>
      </x:c>
      <x:c r="L124" s="55" t="n">
        <x:v>5657</x:v>
      </x:c>
      <x:c r="M124" s="55" t="n">
        <x:v>1833</x:v>
      </x:c>
      <x:c r="N124" s="55" t="n">
        <x:v>2080</x:v>
      </x:c>
      <x:c r="O124" s="55" t="n">
        <x:v>1744</x:v>
      </x:c>
      <x:c r="P124" s="55" t="n">
        <x:v>411</x:v>
      </x:c>
      <x:c r="Q124" s="55" t="n">
        <x:v>1855</x:v>
      </x:c>
      <x:c r="R124" s="55" t="n">
        <x:v>1996</x:v>
      </x:c>
      <x:c r="S124" s="55" t="n">
        <x:v>3004</x:v>
      </x:c>
      <x:c r="T124" s="55" t="n">
        <x:v>890</x:v>
      </x:c>
      <x:c r="U124" s="55" t="n">
        <x:v>998</x:v>
      </x:c>
      <x:c r="V124" s="55" t="n">
        <x:v>10535</x:v>
      </x:c>
      <x:c r="W124" s="55" t="n">
        <x:v>7554</x:v>
      </x:c>
      <x:c r="X124" s="55" t="n">
        <x:v>2981</x:v>
      </x:c>
      <x:c r="Y124" s="55" t="n">
        <x:v>2437</x:v>
      </x:c>
      <x:c r="Z124" s="55" t="n">
        <x:v>3774</x:v>
      </x:c>
      <x:c r="AA124" s="55" t="n">
        <x:v>2199</x:v>
      </x:c>
      <x:c r="AB124" s="55" t="n">
        <x:v>668</x:v>
      </x:c>
      <x:c r="AC124" s="55" t="n">
        <x:v>7879</x:v>
      </x:c>
      <x:c r="AD124" s="55" t="n">
        <x:v>2409</x:v>
      </x:c>
      <x:c r="AE124" s="55" t="n">
        <x:v>10536</x:v>
      </x:c>
      <x:c r="AF124" s="55" t="n">
        <x:v>10535</x:v>
      </x:c>
      <x:c r="AG124" s="55" t="n">
        <x:v>1</x:v>
      </x:c>
      <x:c r="AH124" s="55" t="n">
        <x:v>357</x:v>
      </x:c>
      <x:c r="AI124" s="55" t="n">
        <x:v>10178</x:v>
      </x:c>
      <x:c r="AJ124" s="55" t="n">
        <x:v>310</x:v>
      </x:c>
      <x:c r="AK124" s="55" t="n">
        <x:v>837</x:v>
      </x:c>
      <x:c r="AL124" s="55" t="n">
        <x:v>1628</x:v>
      </x:c>
      <x:c r="AM124" s="55" t="n">
        <x:v>4914</x:v>
      </x:c>
      <x:c r="AN124" s="55" t="n">
        <x:v>2846</x:v>
      </x:c>
      <x:c r="AO124" s="55" t="n">
        <x:v>0</x:v>
      </x:c>
      <x:c r="AP124" s="55" t="n">
        <x:v>2369</x:v>
      </x:c>
      <x:c r="AQ124" s="55" t="n">
        <x:v>921</x:v>
      </x:c>
    </x:row>
    <x:row r="125">
      <x:c r="A125" s="54" t="str">
        <x:v>T1_SHARED_CATCHMENT</x:v>
      </x:c>
      <x:c r="B125" s="54" t="n">
        <x:v>119</x:v>
      </x:c>
      <x:c r="C125" s="54" t="str">
        <x:v>NYC-V2-R01</x:v>
      </x:c>
      <x:c r="D125" s="54" t="str">
        <x:v>V2</x:v>
      </x:c>
      <x:c r="E125" s="54" t="str">
        <x:v>ADMITTED</x:v>
      </x:c>
      <x:c r="F125" s="55" t="n">
        <x:v>31346</x:v>
      </x:c>
      <x:c r="G125" s="55" t="n">
        <x:v>8737</x:v>
      </x:c>
      <x:c r="H125" s="55" t="n">
        <x:v>3280</x:v>
      </x:c>
      <x:c r="I125" s="55" t="n">
        <x:v>1156</x:v>
      </x:c>
      <x:c r="J125" s="55" t="n">
        <x:v>50</x:v>
      </x:c>
      <x:c r="K125" s="55" t="n">
        <x:v>29765</x:v>
      </x:c>
      <x:c r="L125" s="55" t="n">
        <x:v>5672</x:v>
      </x:c>
      <x:c r="M125" s="55" t="n">
        <x:v>1471</x:v>
      </x:c>
      <x:c r="N125" s="55" t="n">
        <x:v>2302</x:v>
      </x:c>
      <x:c r="O125" s="55" t="n">
        <x:v>1899</x:v>
      </x:c>
      <x:c r="P125" s="55" t="n">
        <x:v>969</x:v>
      </x:c>
      <x:c r="Q125" s="55" t="n">
        <x:v>2048</x:v>
      </x:c>
      <x:c r="R125" s="55" t="n">
        <x:v>1858</x:v>
      </x:c>
      <x:c r="S125" s="55" t="n">
        <x:v>2995</x:v>
      </x:c>
      <x:c r="T125" s="55" t="n">
        <x:v>1290</x:v>
      </x:c>
      <x:c r="U125" s="55" t="n">
        <x:v>1800</x:v>
      </x:c>
      <x:c r="V125" s="55" t="n">
        <x:v>10602</x:v>
      </x:c>
      <x:c r="W125" s="55" t="n">
        <x:v>7542</x:v>
      </x:c>
      <x:c r="X125" s="55" t="n">
        <x:v>3060</x:v>
      </x:c>
      <x:c r="Y125" s="55" t="n">
        <x:v>2853</x:v>
      </x:c>
      <x:c r="Z125" s="55" t="n">
        <x:v>3758</x:v>
      </x:c>
      <x:c r="AA125" s="55" t="n">
        <x:v>3280</x:v>
      </x:c>
      <x:c r="AB125" s="55" t="n">
        <x:v>1243</x:v>
      </x:c>
      <x:c r="AC125" s="55" t="n">
        <x:v>8425</x:v>
      </x:c>
      <x:c r="AD125" s="55" t="n">
        <x:v>2620</x:v>
      </x:c>
      <x:c r="AE125" s="55" t="n">
        <x:v>10688</x:v>
      </x:c>
      <x:c r="AF125" s="55" t="n">
        <x:v>10602</x:v>
      </x:c>
      <x:c r="AG125" s="55" t="n">
        <x:v>86</x:v>
      </x:c>
      <x:c r="AH125" s="55" t="n">
        <x:v>346</x:v>
      </x:c>
      <x:c r="AI125" s="55" t="n">
        <x:v>10256</x:v>
      </x:c>
      <x:c r="AJ125" s="55" t="n">
        <x:v>507</x:v>
      </x:c>
      <x:c r="AK125" s="55" t="n">
        <x:v>841</x:v>
      </x:c>
      <x:c r="AL125" s="55" t="n">
        <x:v>1409</x:v>
      </x:c>
      <x:c r="AM125" s="55" t="n">
        <x:v>4836</x:v>
      </x:c>
      <x:c r="AN125" s="55" t="n">
        <x:v>3009</x:v>
      </x:c>
      <x:c r="AO125" s="55" t="n">
        <x:v>0</x:v>
      </x:c>
      <x:c r="AP125" s="55" t="n">
        <x:v>2446</x:v>
      </x:c>
      <x:c r="AQ125" s="55" t="n">
        <x:v>982</x:v>
      </x:c>
    </x:row>
    <x:row r="126">
      <x:c r="A126" s="54" t="str">
        <x:v>T1_SHARED_CATCHMENT</x:v>
      </x:c>
      <x:c r="B126" s="54" t="n">
        <x:v>120</x:v>
      </x:c>
      <x:c r="C126" s="54" t="str">
        <x:v>NYC-V2-R01</x:v>
      </x:c>
      <x:c r="D126" s="54" t="str">
        <x:v>V2</x:v>
      </x:c>
      <x:c r="E126" s="54" t="str">
        <x:v>ADMITTED</x:v>
      </x:c>
      <x:c r="F126" s="55" t="n">
        <x:v>31781</x:v>
      </x:c>
      <x:c r="G126" s="55" t="n">
        <x:v>8077</x:v>
      </x:c>
      <x:c r="H126" s="55" t="n">
        <x:v>3180</x:v>
      </x:c>
      <x:c r="I126" s="55" t="n">
        <x:v>1003</x:v>
      </x:c>
      <x:c r="J126" s="55" t="n">
        <x:v>165</x:v>
      </x:c>
      <x:c r="K126" s="55" t="n">
        <x:v>31781</x:v>
      </x:c>
      <x:c r="L126" s="55" t="n">
        <x:v>5371</x:v>
      </x:c>
      <x:c r="M126" s="55" t="n">
        <x:v>915</x:v>
      </x:c>
      <x:c r="N126" s="55" t="n">
        <x:v>2776</x:v>
      </x:c>
      <x:c r="O126" s="55" t="n">
        <x:v>1680</x:v>
      </x:c>
      <x:c r="P126" s="55" t="n">
        <x:v>955</x:v>
      </x:c>
      <x:c r="Q126" s="55" t="n">
        <x:v>3398</x:v>
      </x:c>
      <x:c r="R126" s="55" t="n">
        <x:v>1766</x:v>
      </x:c>
      <x:c r="S126" s="55" t="n">
        <x:v>3059</x:v>
      </x:c>
      <x:c r="T126" s="55" t="n">
        <x:v>1110</x:v>
      </x:c>
      <x:c r="U126" s="55" t="n">
        <x:v>2051</x:v>
      </x:c>
      <x:c r="V126" s="55" t="n">
        <x:v>11141</x:v>
      </x:c>
      <x:c r="W126" s="55" t="n">
        <x:v>8065</x:v>
      </x:c>
      <x:c r="X126" s="55" t="n">
        <x:v>3076</x:v>
      </x:c>
      <x:c r="Y126" s="55" t="n">
        <x:v>2716</x:v>
      </x:c>
      <x:c r="Z126" s="55" t="n">
        <x:v>3549</x:v>
      </x:c>
      <x:c r="AA126" s="55" t="n">
        <x:v>3180</x:v>
      </x:c>
      <x:c r="AB126" s="55" t="n">
        <x:v>1271</x:v>
      </x:c>
      <x:c r="AC126" s="55" t="n">
        <x:v>8442</x:v>
      </x:c>
      <x:c r="AD126" s="55" t="n">
        <x:v>2741</x:v>
      </x:c>
      <x:c r="AE126" s="55" t="n">
        <x:v>11157</x:v>
      </x:c>
      <x:c r="AF126" s="55" t="n">
        <x:v>11141</x:v>
      </x:c>
      <x:c r="AG126" s="55" t="n">
        <x:v>16</x:v>
      </x:c>
      <x:c r="AH126" s="55" t="n">
        <x:v>612</x:v>
      </x:c>
      <x:c r="AI126" s="55" t="n">
        <x:v>10529</x:v>
      </x:c>
      <x:c r="AJ126" s="55" t="n">
        <x:v>516</x:v>
      </x:c>
      <x:c r="AK126" s="55" t="n">
        <x:v>938</x:v>
      </x:c>
      <x:c r="AL126" s="55" t="n">
        <x:v>1995</x:v>
      </x:c>
      <x:c r="AM126" s="55" t="n">
        <x:v>5283</x:v>
      </x:c>
      <x:c r="AN126" s="55" t="n">
        <x:v>2401</x:v>
      </x:c>
      <x:c r="AO126" s="55" t="n">
        <x:v>8</x:v>
      </x:c>
      <x:c r="AP126" s="55" t="n">
        <x:v>2572</x:v>
      </x:c>
      <x:c r="AQ126" s="55" t="n">
        <x:v>986</x:v>
      </x:c>
    </x:row>
    <x:row r="127">
      <x:c r="A127" s="54" t="str">
        <x:v>T1_SHARED_CATCHMENT</x:v>
      </x:c>
      <x:c r="B127" s="54" t="n">
        <x:v>121</x:v>
      </x:c>
      <x:c r="C127" s="54" t="str">
        <x:v>NYC-V2-R01</x:v>
      </x:c>
      <x:c r="D127" s="54" t="str">
        <x:v>V2</x:v>
      </x:c>
      <x:c r="E127" s="54" t="str">
        <x:v>ADMITTED</x:v>
      </x:c>
      <x:c r="F127" s="55" t="n">
        <x:v>29446</x:v>
      </x:c>
      <x:c r="G127" s="55" t="n">
        <x:v>7187</x:v>
      </x:c>
      <x:c r="H127" s="55" t="n">
        <x:v>2977</x:v>
      </x:c>
      <x:c r="I127" s="55" t="n">
        <x:v>715</x:v>
      </x:c>
      <x:c r="J127" s="55" t="n">
        <x:v>108</x:v>
      </x:c>
      <x:c r="K127" s="55" t="n">
        <x:v>29446</x:v>
      </x:c>
      <x:c r="L127" s="55" t="n">
        <x:v>5672</x:v>
      </x:c>
      <x:c r="M127" s="55" t="n">
        <x:v>893</x:v>
      </x:c>
      <x:c r="N127" s="55" t="n">
        <x:v>3039</x:v>
      </x:c>
      <x:c r="O127" s="55" t="n">
        <x:v>1740</x:v>
      </x:c>
      <x:c r="P127" s="55" t="n">
        <x:v>866</x:v>
      </x:c>
      <x:c r="Q127" s="55" t="n">
        <x:v>2415</x:v>
      </x:c>
      <x:c r="R127" s="55" t="n">
        <x:v>993</x:v>
      </x:c>
      <x:c r="S127" s="55" t="n">
        <x:v>3360</x:v>
      </x:c>
      <x:c r="T127" s="55" t="n">
        <x:v>1369</x:v>
      </x:c>
      <x:c r="U127" s="55" t="n">
        <x:v>2151</x:v>
      </x:c>
      <x:c r="V127" s="55" t="n">
        <x:v>10037</x:v>
      </x:c>
      <x:c r="W127" s="55" t="n">
        <x:v>7108</x:v>
      </x:c>
      <x:c r="X127" s="55" t="n">
        <x:v>2929</x:v>
      </x:c>
      <x:c r="Y127" s="55" t="n">
        <x:v>2328</x:v>
      </x:c>
      <x:c r="Z127" s="55" t="n">
        <x:v>4150</x:v>
      </x:c>
      <x:c r="AA127" s="55" t="n">
        <x:v>2977</x:v>
      </x:c>
      <x:c r="AB127" s="55" t="n">
        <x:v>728</x:v>
      </x:c>
      <x:c r="AC127" s="55" t="n">
        <x:v>8298</x:v>
      </x:c>
      <x:c r="AD127" s="55" t="n">
        <x:v>2903</x:v>
      </x:c>
      <x:c r="AE127" s="55" t="n">
        <x:v>10124</x:v>
      </x:c>
      <x:c r="AF127" s="55" t="n">
        <x:v>10037</x:v>
      </x:c>
      <x:c r="AG127" s="55" t="n">
        <x:v>87</x:v>
      </x:c>
      <x:c r="AH127" s="55" t="n">
        <x:v>464</x:v>
      </x:c>
      <x:c r="AI127" s="55" t="n">
        <x:v>9573</x:v>
      </x:c>
      <x:c r="AJ127" s="55" t="n">
        <x:v>437</x:v>
      </x:c>
      <x:c r="AK127" s="55" t="n">
        <x:v>931</x:v>
      </x:c>
      <x:c r="AL127" s="55" t="n">
        <x:v>1615</x:v>
      </x:c>
      <x:c r="AM127" s="55" t="n">
        <x:v>4833</x:v>
      </x:c>
      <x:c r="AN127" s="55" t="n">
        <x:v>2216</x:v>
      </x:c>
      <x:c r="AO127" s="55" t="n">
        <x:v>5</x:v>
      </x:c>
      <x:c r="AP127" s="55" t="n">
        <x:v>2180</x:v>
      </x:c>
      <x:c r="AQ127" s="55" t="n">
        <x:v>968</x:v>
      </x:c>
    </x:row>
    <x:row r="128">
      <x:c r="A128" s="54" t="str">
        <x:v>T1_SHARED_CATCHMENT</x:v>
      </x:c>
      <x:c r="B128" s="54" t="n">
        <x:v>122</x:v>
      </x:c>
      <x:c r="C128" s="54" t="str">
        <x:v>NYC-V2-R01</x:v>
      </x:c>
      <x:c r="D128" s="54" t="str">
        <x:v>V2</x:v>
      </x:c>
      <x:c r="E128" s="54" t="str">
        <x:v>ADMITTED</x:v>
      </x:c>
      <x:c r="F128" s="55" t="n">
        <x:v>31566</x:v>
      </x:c>
      <x:c r="G128" s="55" t="n">
        <x:v>7055</x:v>
      </x:c>
      <x:c r="H128" s="55" t="n">
        <x:v>3312</x:v>
      </x:c>
      <x:c r="I128" s="55" t="n">
        <x:v>773</x:v>
      </x:c>
      <x:c r="J128" s="55" t="n">
        <x:v>48</x:v>
      </x:c>
      <x:c r="K128" s="55" t="n">
        <x:v>31566</x:v>
      </x:c>
      <x:c r="L128" s="55" t="n">
        <x:v>6705</x:v>
      </x:c>
      <x:c r="M128" s="55" t="n">
        <x:v>2261</x:v>
      </x:c>
      <x:c r="N128" s="55" t="n">
        <x:v>2917</x:v>
      </x:c>
      <x:c r="O128" s="55" t="n">
        <x:v>1527</x:v>
      </x:c>
      <x:c r="P128" s="55" t="n">
        <x:v>942</x:v>
      </x:c>
      <x:c r="Q128" s="55" t="n">
        <x:v>2749</x:v>
      </x:c>
      <x:c r="R128" s="55" t="n">
        <x:v>1695</x:v>
      </x:c>
      <x:c r="S128" s="55" t="n">
        <x:v>3032</x:v>
      </x:c>
      <x:c r="T128" s="55" t="n">
        <x:v>1034</x:v>
      </x:c>
      <x:c r="U128" s="55" t="n">
        <x:v>2025</x:v>
      </x:c>
      <x:c r="V128" s="55" t="n">
        <x:v>10441</x:v>
      </x:c>
      <x:c r="W128" s="55" t="n">
        <x:v>7172</x:v>
      </x:c>
      <x:c r="X128" s="55" t="n">
        <x:v>3269</x:v>
      </x:c>
      <x:c r="Y128" s="55" t="n">
        <x:v>2755</x:v>
      </x:c>
      <x:c r="Z128" s="55" t="n">
        <x:v>3704</x:v>
      </x:c>
      <x:c r="AA128" s="55" t="n">
        <x:v>3312</x:v>
      </x:c>
      <x:c r="AB128" s="55" t="n">
        <x:v>1017</x:v>
      </x:c>
      <x:c r="AC128" s="55" t="n">
        <x:v>7624</x:v>
      </x:c>
      <x:c r="AD128" s="55" t="n">
        <x:v>2885</x:v>
      </x:c>
      <x:c r="AE128" s="55" t="n">
        <x:v>10593</x:v>
      </x:c>
      <x:c r="AF128" s="55" t="n">
        <x:v>10441</x:v>
      </x:c>
      <x:c r="AG128" s="55" t="n">
        <x:v>152</x:v>
      </x:c>
      <x:c r="AH128" s="55" t="n">
        <x:v>476</x:v>
      </x:c>
      <x:c r="AI128" s="55" t="n">
        <x:v>9965</x:v>
      </x:c>
      <x:c r="AJ128" s="55" t="n">
        <x:v>44</x:v>
      </x:c>
      <x:c r="AK128" s="55" t="n">
        <x:v>812</x:v>
      </x:c>
      <x:c r="AL128" s="55" t="n">
        <x:v>1620</x:v>
      </x:c>
      <x:c r="AM128" s="55" t="n">
        <x:v>5082</x:v>
      </x:c>
      <x:c r="AN128" s="55" t="n">
        <x:v>2788</x:v>
      </x:c>
      <x:c r="AO128" s="55" t="n">
        <x:v>95</x:v>
      </x:c>
      <x:c r="AP128" s="55" t="n">
        <x:v>2224</x:v>
      </x:c>
      <x:c r="AQ128" s="55" t="n">
        <x:v>1000</x:v>
      </x:c>
    </x:row>
    <x:row r="129">
      <x:c r="A129" s="54" t="str">
        <x:v>T1_SHARED_CATCHMENT</x:v>
      </x:c>
      <x:c r="B129" s="54" t="n">
        <x:v>123</x:v>
      </x:c>
      <x:c r="C129" s="54" t="str">
        <x:v>NYC-V2-R01</x:v>
      </x:c>
      <x:c r="D129" s="54" t="str">
        <x:v>V2</x:v>
      </x:c>
      <x:c r="E129" s="54" t="str">
        <x:v>ADMITTED</x:v>
      </x:c>
      <x:c r="F129" s="55" t="n">
        <x:v>30053</x:v>
      </x:c>
      <x:c r="G129" s="55" t="n">
        <x:v>7529</x:v>
      </x:c>
      <x:c r="H129" s="55" t="n">
        <x:v>3197</x:v>
      </x:c>
      <x:c r="I129" s="55" t="n">
        <x:v>1064</x:v>
      </x:c>
      <x:c r="J129" s="55" t="n">
        <x:v>171</x:v>
      </x:c>
      <x:c r="K129" s="55" t="n">
        <x:v>28318</x:v>
      </x:c>
      <x:c r="L129" s="55" t="n">
        <x:v>5868</x:v>
      </x:c>
      <x:c r="M129" s="55" t="n">
        <x:v>1411</x:v>
      </x:c>
      <x:c r="N129" s="55" t="n">
        <x:v>2930</x:v>
      </x:c>
      <x:c r="O129" s="55" t="n">
        <x:v>1527</x:v>
      </x:c>
      <x:c r="P129" s="55" t="n">
        <x:v>1051</x:v>
      </x:c>
      <x:c r="Q129" s="55" t="n">
        <x:v>2268</x:v>
      </x:c>
      <x:c r="R129" s="55" t="n">
        <x:v>2017</x:v>
      </x:c>
      <x:c r="S129" s="55" t="n">
        <x:v>3529</x:v>
      </x:c>
      <x:c r="T129" s="55" t="n">
        <x:v>1127</x:v>
      </x:c>
      <x:c r="U129" s="55" t="n">
        <x:v>2142</x:v>
      </x:c>
      <x:c r="V129" s="55" t="n">
        <x:v>10177</x:v>
      </x:c>
      <x:c r="W129" s="55" t="n">
        <x:v>7446</x:v>
      </x:c>
      <x:c r="X129" s="55" t="n">
        <x:v>2731</x:v>
      </x:c>
      <x:c r="Y129" s="55" t="n">
        <x:v>2148</x:v>
      </x:c>
      <x:c r="Z129" s="55" t="n">
        <x:v>3467</x:v>
      </x:c>
      <x:c r="AA129" s="55" t="n">
        <x:v>2724</x:v>
      </x:c>
      <x:c r="AB129" s="55" t="n">
        <x:v>1088</x:v>
      </x:c>
      <x:c r="AC129" s="55" t="n">
        <x:v>7723</x:v>
      </x:c>
      <x:c r="AD129" s="55" t="n">
        <x:v>2974</x:v>
      </x:c>
      <x:c r="AE129" s="55" t="n">
        <x:v>10299</x:v>
      </x:c>
      <x:c r="AF129" s="55" t="n">
        <x:v>10177</x:v>
      </x:c>
      <x:c r="AG129" s="55" t="n">
        <x:v>122</x:v>
      </x:c>
      <x:c r="AH129" s="55" t="n">
        <x:v>334</x:v>
      </x:c>
      <x:c r="AI129" s="55" t="n">
        <x:v>9843</x:v>
      </x:c>
      <x:c r="AJ129" s="55" t="n">
        <x:v>253</x:v>
      </x:c>
      <x:c r="AK129" s="55" t="n">
        <x:v>823</x:v>
      </x:c>
      <x:c r="AL129" s="55" t="n">
        <x:v>1643</x:v>
      </x:c>
      <x:c r="AM129" s="55" t="n">
        <x:v>5043</x:v>
      </x:c>
      <x:c r="AN129" s="55" t="n">
        <x:v>2415</x:v>
      </x:c>
      <x:c r="AO129" s="55" t="n">
        <x:v>0</x:v>
      </x:c>
      <x:c r="AP129" s="55" t="n">
        <x:v>2388</x:v>
      </x:c>
      <x:c r="AQ129" s="55" t="n">
        <x:v>960</x:v>
      </x:c>
    </x:row>
    <x:row r="130">
      <x:c r="A130" s="54" t="str">
        <x:v>T1_SHARED_CATCHMENT</x:v>
      </x:c>
      <x:c r="B130" s="54" t="n">
        <x:v>124</x:v>
      </x:c>
      <x:c r="C130" s="54" t="str">
        <x:v>NYC-V2-R01</x:v>
      </x:c>
      <x:c r="D130" s="54" t="str">
        <x:v>V2</x:v>
      </x:c>
      <x:c r="E130" s="54" t="str">
        <x:v>ADMITTED</x:v>
      </x:c>
      <x:c r="F130" s="55" t="n">
        <x:v>30329</x:v>
      </x:c>
      <x:c r="G130" s="55" t="n">
        <x:v>7560</x:v>
      </x:c>
      <x:c r="H130" s="55" t="n">
        <x:v>3213</x:v>
      </x:c>
      <x:c r="I130" s="55" t="n">
        <x:v>1330</x:v>
      </x:c>
      <x:c r="J130" s="55" t="n">
        <x:v>219</x:v>
      </x:c>
      <x:c r="K130" s="55" t="n">
        <x:v>30072</x:v>
      </x:c>
      <x:c r="L130" s="55" t="n">
        <x:v>5211</x:v>
      </x:c>
      <x:c r="M130" s="55" t="n">
        <x:v>1021</x:v>
      </x:c>
      <x:c r="N130" s="55" t="n">
        <x:v>2732</x:v>
      </x:c>
      <x:c r="O130" s="55" t="n">
        <x:v>1458</x:v>
      </x:c>
      <x:c r="P130" s="55" t="n">
        <x:v>1149</x:v>
      </x:c>
      <x:c r="Q130" s="55" t="n">
        <x:v>2239</x:v>
      </x:c>
      <x:c r="R130" s="55" t="n">
        <x:v>2101</x:v>
      </x:c>
      <x:c r="S130" s="55" t="n">
        <x:v>2792</x:v>
      </x:c>
      <x:c r="T130" s="55" t="n">
        <x:v>1438</x:v>
      </x:c>
      <x:c r="U130" s="55" t="n">
        <x:v>2203</x:v>
      </x:c>
      <x:c r="V130" s="55" t="n">
        <x:v>10272</x:v>
      </x:c>
      <x:c r="W130" s="55" t="n">
        <x:v>7059</x:v>
      </x:c>
      <x:c r="X130" s="55" t="n">
        <x:v>3213</x:v>
      </x:c>
      <x:c r="Y130" s="55" t="n">
        <x:v>2790</x:v>
      </x:c>
      <x:c r="Z130" s="55" t="n">
        <x:v>3560</x:v>
      </x:c>
      <x:c r="AA130" s="55" t="n">
        <x:v>3213</x:v>
      </x:c>
      <x:c r="AB130" s="55" t="n">
        <x:v>1151</x:v>
      </x:c>
      <x:c r="AC130" s="55" t="n">
        <x:v>8069</x:v>
      </x:c>
      <x:c r="AD130" s="55" t="n">
        <x:v>3343</x:v>
      </x:c>
      <x:c r="AE130" s="55" t="n">
        <x:v>10441</x:v>
      </x:c>
      <x:c r="AF130" s="55" t="n">
        <x:v>10272</x:v>
      </x:c>
      <x:c r="AG130" s="55" t="n">
        <x:v>169</x:v>
      </x:c>
      <x:c r="AH130" s="55" t="n">
        <x:v>273</x:v>
      </x:c>
      <x:c r="AI130" s="55" t="n">
        <x:v>9999</x:v>
      </x:c>
      <x:c r="AJ130" s="55" t="n">
        <x:v>481</x:v>
      </x:c>
      <x:c r="AK130" s="55" t="n">
        <x:v>721</x:v>
      </x:c>
      <x:c r="AL130" s="55" t="n">
        <x:v>1858</x:v>
      </x:c>
      <x:c r="AM130" s="55" t="n">
        <x:v>4711</x:v>
      </x:c>
      <x:c r="AN130" s="55" t="n">
        <x:v>2431</x:v>
      </x:c>
      <x:c r="AO130" s="55" t="n">
        <x:v>70</x:v>
      </x:c>
      <x:c r="AP130" s="55" t="n">
        <x:v>2392</x:v>
      </x:c>
      <x:c r="AQ130" s="55" t="n">
        <x:v>978</x:v>
      </x:c>
    </x:row>
    <x:row r="131">
      <x:c r="A131" s="54" t="str">
        <x:v>T1_SHARED_CATCHMENT</x:v>
      </x:c>
      <x:c r="B131" s="54" t="n">
        <x:v>125</x:v>
      </x:c>
      <x:c r="C131" s="54" t="str">
        <x:v>NYC-V2-R01</x:v>
      </x:c>
      <x:c r="D131" s="54" t="str">
        <x:v>V2</x:v>
      </x:c>
      <x:c r="E131" s="54" t="str">
        <x:v>ADMITTED</x:v>
      </x:c>
      <x:c r="F131" s="55" t="n">
        <x:v>32697</x:v>
      </x:c>
      <x:c r="G131" s="55" t="n">
        <x:v>7628</x:v>
      </x:c>
      <x:c r="H131" s="55" t="n">
        <x:v>3110</x:v>
      </x:c>
      <x:c r="I131" s="55" t="n">
        <x:v>1161</x:v>
      </x:c>
      <x:c r="J131" s="55" t="n">
        <x:v>124</x:v>
      </x:c>
      <x:c r="K131" s="55" t="n">
        <x:v>32697</x:v>
      </x:c>
      <x:c r="L131" s="55" t="n">
        <x:v>6210</x:v>
      </x:c>
      <x:c r="M131" s="55" t="n">
        <x:v>1605</x:v>
      </x:c>
      <x:c r="N131" s="55" t="n">
        <x:v>2628</x:v>
      </x:c>
      <x:c r="O131" s="55" t="n">
        <x:v>1977</x:v>
      </x:c>
      <x:c r="P131" s="55" t="n">
        <x:v>1094</x:v>
      </x:c>
      <x:c r="Q131" s="55" t="n">
        <x:v>1647</x:v>
      </x:c>
      <x:c r="R131" s="55" t="n">
        <x:v>2378</x:v>
      </x:c>
      <x:c r="S131" s="55" t="n">
        <x:v>2625</x:v>
      </x:c>
      <x:c r="T131" s="55" t="n">
        <x:v>1166</x:v>
      </x:c>
      <x:c r="U131" s="55" t="n">
        <x:v>2209</x:v>
      </x:c>
      <x:c r="V131" s="55" t="n">
        <x:v>11318</x:v>
      </x:c>
      <x:c r="W131" s="55" t="n">
        <x:v>8378</x:v>
      </x:c>
      <x:c r="X131" s="55" t="n">
        <x:v>2940</x:v>
      </x:c>
      <x:c r="Y131" s="55" t="n">
        <x:v>2927</x:v>
      </x:c>
      <x:c r="Z131" s="55" t="n">
        <x:v>3990</x:v>
      </x:c>
      <x:c r="AA131" s="55" t="n">
        <x:v>3110</x:v>
      </x:c>
      <x:c r="AB131" s="55" t="n">
        <x:v>935</x:v>
      </x:c>
      <x:c r="AC131" s="55" t="n">
        <x:v>8596</x:v>
      </x:c>
      <x:c r="AD131" s="55" t="n">
        <x:v>3736</x:v>
      </x:c>
      <x:c r="AE131" s="55" t="n">
        <x:v>11458</x:v>
      </x:c>
      <x:c r="AF131" s="55" t="n">
        <x:v>11318</x:v>
      </x:c>
      <x:c r="AG131" s="55" t="n">
        <x:v>140</x:v>
      </x:c>
      <x:c r="AH131" s="55" t="n">
        <x:v>626</x:v>
      </x:c>
      <x:c r="AI131" s="55" t="n">
        <x:v>10692</x:v>
      </x:c>
      <x:c r="AJ131" s="55" t="n">
        <x:v>457</x:v>
      </x:c>
      <x:c r="AK131" s="55" t="n">
        <x:v>1360</x:v>
      </x:c>
      <x:c r="AL131" s="55" t="n">
        <x:v>1390</x:v>
      </x:c>
      <x:c r="AM131" s="55" t="n">
        <x:v>5352</x:v>
      </x:c>
      <x:c r="AN131" s="55" t="n">
        <x:v>2703</x:v>
      </x:c>
      <x:c r="AO131" s="55" t="n">
        <x:v>56</x:v>
      </x:c>
      <x:c r="AP131" s="55" t="n">
        <x:v>2226</x:v>
      </x:c>
      <x:c r="AQ131" s="55" t="n">
        <x:v>958</x:v>
      </x:c>
    </x:row>
    <x:row r="132">
      <x:c r="A132" s="54" t="str">
        <x:v>T1_SHARED_CATCHMENT</x:v>
      </x:c>
      <x:c r="B132" s="54" t="n">
        <x:v>126</x:v>
      </x:c>
      <x:c r="C132" s="54" t="str">
        <x:v>NYC-V2-R01</x:v>
      </x:c>
      <x:c r="D132" s="54" t="str">
        <x:v>V2</x:v>
      </x:c>
      <x:c r="E132" s="54" t="str">
        <x:v>ADMITTED</x:v>
      </x:c>
      <x:c r="F132" s="55" t="n">
        <x:v>32758</x:v>
      </x:c>
      <x:c r="G132" s="55" t="n">
        <x:v>8343</x:v>
      </x:c>
      <x:c r="H132" s="55" t="n">
        <x:v>3668</x:v>
      </x:c>
      <x:c r="I132" s="55" t="n">
        <x:v>1341</x:v>
      </x:c>
      <x:c r="J132" s="55" t="n">
        <x:v>295</x:v>
      </x:c>
      <x:c r="K132" s="55" t="n">
        <x:v>30120</x:v>
      </x:c>
      <x:c r="L132" s="55" t="n">
        <x:v>6233</x:v>
      </x:c>
      <x:c r="M132" s="55" t="n">
        <x:v>937</x:v>
      </x:c>
      <x:c r="N132" s="55" t="n">
        <x:v>3082</x:v>
      </x:c>
      <x:c r="O132" s="55" t="n">
        <x:v>2214</x:v>
      </x:c>
      <x:c r="P132" s="55" t="n">
        <x:v>1158</x:v>
      </x:c>
      <x:c r="Q132" s="55" t="n">
        <x:v>2487</x:v>
      </x:c>
      <x:c r="R132" s="55" t="n">
        <x:v>2250</x:v>
      </x:c>
      <x:c r="S132" s="55" t="n">
        <x:v>2362</x:v>
      </x:c>
      <x:c r="T132" s="55" t="n">
        <x:v>1198</x:v>
      </x:c>
      <x:c r="U132" s="55" t="n">
        <x:v>1967</x:v>
      </x:c>
      <x:c r="V132" s="55" t="n">
        <x:v>10761</x:v>
      </x:c>
      <x:c r="W132" s="55" t="n">
        <x:v>7343</x:v>
      </x:c>
      <x:c r="X132" s="55" t="n">
        <x:v>3418</x:v>
      </x:c>
      <x:c r="Y132" s="55" t="n">
        <x:v>3019</x:v>
      </x:c>
      <x:c r="Z132" s="55" t="n">
        <x:v>4173</x:v>
      </x:c>
      <x:c r="AA132" s="55" t="n">
        <x:v>2809</x:v>
      </x:c>
      <x:c r="AB132" s="55" t="n">
        <x:v>1107</x:v>
      </x:c>
      <x:c r="AC132" s="55" t="n">
        <x:v>7972</x:v>
      </x:c>
      <x:c r="AD132" s="55" t="n">
        <x:v>2659</x:v>
      </x:c>
      <x:c r="AE132" s="55" t="n">
        <x:v>10900</x:v>
      </x:c>
      <x:c r="AF132" s="55" t="n">
        <x:v>10761</x:v>
      </x:c>
      <x:c r="AG132" s="55" t="n">
        <x:v>139</x:v>
      </x:c>
      <x:c r="AH132" s="55" t="n">
        <x:v>558</x:v>
      </x:c>
      <x:c r="AI132" s="55" t="n">
        <x:v>10203</x:v>
      </x:c>
      <x:c r="AJ132" s="55" t="n">
        <x:v>458</x:v>
      </x:c>
      <x:c r="AK132" s="55" t="n">
        <x:v>887</x:v>
      </x:c>
      <x:c r="AL132" s="55" t="n">
        <x:v>1902</x:v>
      </x:c>
      <x:c r="AM132" s="55" t="n">
        <x:v>5259</x:v>
      </x:c>
      <x:c r="AN132" s="55" t="n">
        <x:v>2248</x:v>
      </x:c>
      <x:c r="AO132" s="55" t="n">
        <x:v>7</x:v>
      </x:c>
      <x:c r="AP132" s="55" t="n">
        <x:v>3012</x:v>
      </x:c>
      <x:c r="AQ132" s="55" t="n">
        <x:v>969</x:v>
      </x:c>
    </x:row>
    <x:row r="133">
      <x:c r="A133" s="54" t="str">
        <x:v>T1_SHARED_CATCHMENT</x:v>
      </x:c>
      <x:c r="B133" s="54" t="n">
        <x:v>127</x:v>
      </x:c>
      <x:c r="C133" s="54" t="str">
        <x:v>NYC-V2-R01</x:v>
      </x:c>
      <x:c r="D133" s="54" t="str">
        <x:v>V2</x:v>
      </x:c>
      <x:c r="E133" s="54" t="str">
        <x:v>ADMITTED</x:v>
      </x:c>
      <x:c r="F133" s="55" t="n">
        <x:v>31450</x:v>
      </x:c>
      <x:c r="G133" s="55" t="n">
        <x:v>6839</x:v>
      </x:c>
      <x:c r="H133" s="55" t="n">
        <x:v>3697</x:v>
      </x:c>
      <x:c r="I133" s="55" t="n">
        <x:v>1201</x:v>
      </x:c>
      <x:c r="J133" s="55" t="n">
        <x:v>71</x:v>
      </x:c>
      <x:c r="K133" s="55" t="n">
        <x:v>31450</x:v>
      </x:c>
      <x:c r="L133" s="55" t="n">
        <x:v>4623</x:v>
      </x:c>
      <x:c r="M133" s="55" t="n">
        <x:v>511</x:v>
      </x:c>
      <x:c r="N133" s="55" t="n">
        <x:v>2429</x:v>
      </x:c>
      <x:c r="O133" s="55" t="n">
        <x:v>1683</x:v>
      </x:c>
      <x:c r="P133" s="55" t="n">
        <x:v>715</x:v>
      </x:c>
      <x:c r="Q133" s="55" t="n">
        <x:v>2564</x:v>
      </x:c>
      <x:c r="R133" s="55" t="n">
        <x:v>1743</x:v>
      </x:c>
      <x:c r="S133" s="55" t="n">
        <x:v>2706</x:v>
      </x:c>
      <x:c r="T133" s="55" t="n">
        <x:v>978</x:v>
      </x:c>
      <x:c r="U133" s="55" t="n">
        <x:v>1871</x:v>
      </x:c>
      <x:c r="V133" s="55" t="n">
        <x:v>9926</x:v>
      </x:c>
      <x:c r="W133" s="55" t="n">
        <x:v>7141</x:v>
      </x:c>
      <x:c r="X133" s="55" t="n">
        <x:v>2785</x:v>
      </x:c>
      <x:c r="Y133" s="55" t="n">
        <x:v>2320</x:v>
      </x:c>
      <x:c r="Z133" s="55" t="n">
        <x:v>4169</x:v>
      </x:c>
      <x:c r="AA133" s="55" t="n">
        <x:v>3697</x:v>
      </x:c>
      <x:c r="AB133" s="55" t="n">
        <x:v>1426</x:v>
      </x:c>
      <x:c r="AC133" s="55" t="n">
        <x:v>7606</x:v>
      </x:c>
      <x:c r="AD133" s="55" t="n">
        <x:v>2329</x:v>
      </x:c>
      <x:c r="AE133" s="55" t="n">
        <x:v>10008</x:v>
      </x:c>
      <x:c r="AF133" s="55" t="n">
        <x:v>9926</x:v>
      </x:c>
      <x:c r="AG133" s="55" t="n">
        <x:v>82</x:v>
      </x:c>
      <x:c r="AH133" s="55" t="n">
        <x:v>480</x:v>
      </x:c>
      <x:c r="AI133" s="55" t="n">
        <x:v>9446</x:v>
      </x:c>
      <x:c r="AJ133" s="55" t="n">
        <x:v>379</x:v>
      </x:c>
      <x:c r="AK133" s="55" t="n">
        <x:v>492</x:v>
      </x:c>
      <x:c r="AL133" s="55" t="n">
        <x:v>1350</x:v>
      </x:c>
      <x:c r="AM133" s="55" t="n">
        <x:v>5292</x:v>
      </x:c>
      <x:c r="AN133" s="55" t="n">
        <x:v>2365</x:v>
      </x:c>
      <x:c r="AO133" s="55" t="n">
        <x:v>48</x:v>
      </x:c>
      <x:c r="AP133" s="55" t="n">
        <x:v>2688</x:v>
      </x:c>
      <x:c r="AQ133" s="55" t="n">
        <x:v>987</x:v>
      </x:c>
    </x:row>
    <x:row r="134">
      <x:c r="A134" s="54" t="str">
        <x:v>T1_SHARED_CATCHMENT</x:v>
      </x:c>
      <x:c r="B134" s="54" t="n">
        <x:v>128</x:v>
      </x:c>
      <x:c r="C134" s="54" t="str">
        <x:v>NYC-V2-R01</x:v>
      </x:c>
      <x:c r="D134" s="54" t="str">
        <x:v>V2</x:v>
      </x:c>
      <x:c r="E134" s="54" t="str">
        <x:v>ADMITTED</x:v>
      </x:c>
      <x:c r="F134" s="55" t="n">
        <x:v>29191</x:v>
      </x:c>
      <x:c r="G134" s="55" t="n">
        <x:v>7647</x:v>
      </x:c>
      <x:c r="H134" s="55" t="n">
        <x:v>3404</x:v>
      </x:c>
      <x:c r="I134" s="55" t="n">
        <x:v>1202</x:v>
      </x:c>
      <x:c r="J134" s="55" t="n">
        <x:v>150</x:v>
      </x:c>
      <x:c r="K134" s="55" t="n">
        <x:v>29191</x:v>
      </x:c>
      <x:c r="L134" s="55" t="n">
        <x:v>5341</x:v>
      </x:c>
      <x:c r="M134" s="55" t="n">
        <x:v>0</x:v>
      </x:c>
      <x:c r="N134" s="55" t="n">
        <x:v>2821</x:v>
      </x:c>
      <x:c r="O134" s="55" t="n">
        <x:v>2520</x:v>
      </x:c>
      <x:c r="P134" s="55" t="n">
        <x:v>715</x:v>
      </x:c>
      <x:c r="Q134" s="55" t="n">
        <x:v>2590</x:v>
      </x:c>
      <x:c r="R134" s="55" t="n">
        <x:v>1729</x:v>
      </x:c>
      <x:c r="S134" s="55" t="n">
        <x:v>2754</x:v>
      </x:c>
      <x:c r="T134" s="55" t="n">
        <x:v>775</x:v>
      </x:c>
      <x:c r="U134" s="55" t="n">
        <x:v>2159</x:v>
      </x:c>
      <x:c r="V134" s="55" t="n">
        <x:v>10094</x:v>
      </x:c>
      <x:c r="W134" s="55" t="n">
        <x:v>7068</x:v>
      </x:c>
      <x:c r="X134" s="55" t="n">
        <x:v>3026</x:v>
      </x:c>
      <x:c r="Y134" s="55" t="n">
        <x:v>2590</x:v>
      </x:c>
      <x:c r="Z134" s="55" t="n">
        <x:v>3397</x:v>
      </x:c>
      <x:c r="AA134" s="55" t="n">
        <x:v>3404</x:v>
      </x:c>
      <x:c r="AB134" s="55" t="n">
        <x:v>1117</x:v>
      </x:c>
      <x:c r="AC134" s="55" t="n">
        <x:v>7345</x:v>
      </x:c>
      <x:c r="AD134" s="55" t="n">
        <x:v>2833</x:v>
      </x:c>
      <x:c r="AE134" s="55" t="n">
        <x:v>10224</x:v>
      </x:c>
      <x:c r="AF134" s="55" t="n">
        <x:v>10094</x:v>
      </x:c>
      <x:c r="AG134" s="55" t="n">
        <x:v>130</x:v>
      </x:c>
      <x:c r="AH134" s="55" t="n">
        <x:v>503</x:v>
      </x:c>
      <x:c r="AI134" s="55" t="n">
        <x:v>9591</x:v>
      </x:c>
      <x:c r="AJ134" s="55" t="n">
        <x:v>271</x:v>
      </x:c>
      <x:c r="AK134" s="55" t="n">
        <x:v>1369</x:v>
      </x:c>
      <x:c r="AL134" s="55" t="n">
        <x:v>1532</x:v>
      </x:c>
      <x:c r="AM134" s="55" t="n">
        <x:v>4315</x:v>
      </x:c>
      <x:c r="AN134" s="55" t="n">
        <x:v>2592</x:v>
      </x:c>
      <x:c r="AO134" s="55" t="n">
        <x:v>15</x:v>
      </x:c>
      <x:c r="AP134" s="55" t="n">
        <x:v>2526</x:v>
      </x:c>
      <x:c r="AQ134" s="55" t="n">
        <x:v>984</x:v>
      </x:c>
    </x:row>
    <x:row r="135">
      <x:c r="A135" s="54" t="str">
        <x:v>T1_SHARED_CATCHMENT</x:v>
      </x:c>
      <x:c r="B135" s="54" t="n">
        <x:v>129</x:v>
      </x:c>
      <x:c r="C135" s="54" t="str">
        <x:v>NYC-V2-R01</x:v>
      </x:c>
      <x:c r="D135" s="54" t="str">
        <x:v>V2</x:v>
      </x:c>
      <x:c r="E135" s="54" t="str">
        <x:v>ADMITTED</x:v>
      </x:c>
      <x:c r="F135" s="55" t="n">
        <x:v>29720</x:v>
      </x:c>
      <x:c r="G135" s="55" t="n">
        <x:v>7308</x:v>
      </x:c>
      <x:c r="H135" s="55" t="n">
        <x:v>2903</x:v>
      </x:c>
      <x:c r="I135" s="55" t="n">
        <x:v>1117</x:v>
      </x:c>
      <x:c r="J135" s="55" t="n">
        <x:v>212</x:v>
      </x:c>
      <x:c r="K135" s="55" t="n">
        <x:v>29587</x:v>
      </x:c>
      <x:c r="L135" s="55" t="n">
        <x:v>4020</x:v>
      </x:c>
      <x:c r="M135" s="55" t="n">
        <x:v>359</x:v>
      </x:c>
      <x:c r="N135" s="55" t="n">
        <x:v>2265</x:v>
      </x:c>
      <x:c r="O135" s="55" t="n">
        <x:v>1396</x:v>
      </x:c>
      <x:c r="P135" s="55" t="n">
        <x:v>545</x:v>
      </x:c>
      <x:c r="Q135" s="55" t="n">
        <x:v>2444</x:v>
      </x:c>
      <x:c r="R135" s="55" t="n">
        <x:v>2145</x:v>
      </x:c>
      <x:c r="S135" s="55" t="n">
        <x:v>2303</x:v>
      </x:c>
      <x:c r="T135" s="55" t="n">
        <x:v>1309</x:v>
      </x:c>
      <x:c r="U135" s="55" t="n">
        <x:v>2378</x:v>
      </x:c>
      <x:c r="V135" s="55" t="n">
        <x:v>10329</x:v>
      </x:c>
      <x:c r="W135" s="55" t="n">
        <x:v>7239</x:v>
      </x:c>
      <x:c r="X135" s="55" t="n">
        <x:v>3090</x:v>
      </x:c>
      <x:c r="Y135" s="55" t="n">
        <x:v>2797</x:v>
      </x:c>
      <x:c r="Z135" s="55" t="n">
        <x:v>3682</x:v>
      </x:c>
      <x:c r="AA135" s="55" t="n">
        <x:v>2903</x:v>
      </x:c>
      <x:c r="AB135" s="55" t="n">
        <x:v>1035</x:v>
      </x:c>
      <x:c r="AC135" s="55" t="n">
        <x:v>8774</x:v>
      </x:c>
      <x:c r="AD135" s="55" t="n">
        <x:v>3044</x:v>
      </x:c>
      <x:c r="AE135" s="55" t="n">
        <x:v>10478</x:v>
      </x:c>
      <x:c r="AF135" s="55" t="n">
        <x:v>10329</x:v>
      </x:c>
      <x:c r="AG135" s="55" t="n">
        <x:v>149</x:v>
      </x:c>
      <x:c r="AH135" s="55" t="n">
        <x:v>511</x:v>
      </x:c>
      <x:c r="AI135" s="55" t="n">
        <x:v>9818</x:v>
      </x:c>
      <x:c r="AJ135" s="55" t="n">
        <x:v>506</x:v>
      </x:c>
      <x:c r="AK135" s="55" t="n">
        <x:v>1042</x:v>
      </x:c>
      <x:c r="AL135" s="55" t="n">
        <x:v>1568</x:v>
      </x:c>
      <x:c r="AM135" s="55" t="n">
        <x:v>4205</x:v>
      </x:c>
      <x:c r="AN135" s="55" t="n">
        <x:v>3008</x:v>
      </x:c>
      <x:c r="AO135" s="55" t="n">
        <x:v>0</x:v>
      </x:c>
      <x:c r="AP135" s="55" t="n">
        <x:v>2310</x:v>
      </x:c>
      <x:c r="AQ135" s="55" t="n">
        <x:v>961</x:v>
      </x:c>
    </x:row>
    <x:row r="136">
      <x:c r="A136" s="54" t="str">
        <x:v>T1_SHARED_CATCHMENT</x:v>
      </x:c>
      <x:c r="B136" s="54" t="n">
        <x:v>130</x:v>
      </x:c>
      <x:c r="C136" s="54" t="str">
        <x:v>NYC-V2-R01</x:v>
      </x:c>
      <x:c r="D136" s="54" t="str">
        <x:v>V2</x:v>
      </x:c>
      <x:c r="E136" s="54" t="str">
        <x:v>ADMITTED</x:v>
      </x:c>
      <x:c r="F136" s="55" t="n">
        <x:v>31213</x:v>
      </x:c>
      <x:c r="G136" s="55" t="n">
        <x:v>8182</x:v>
      </x:c>
      <x:c r="H136" s="55" t="n">
        <x:v>3218</x:v>
      </x:c>
      <x:c r="I136" s="55" t="n">
        <x:v>1408</x:v>
      </x:c>
      <x:c r="J136" s="55" t="n">
        <x:v>174</x:v>
      </x:c>
      <x:c r="K136" s="55" t="n">
        <x:v>30154</x:v>
      </x:c>
      <x:c r="L136" s="55" t="n">
        <x:v>5546</x:v>
      </x:c>
      <x:c r="M136" s="55" t="n">
        <x:v>1370</x:v>
      </x:c>
      <x:c r="N136" s="55" t="n">
        <x:v>2243</x:v>
      </x:c>
      <x:c r="O136" s="55" t="n">
        <x:v>1933</x:v>
      </x:c>
      <x:c r="P136" s="55" t="n">
        <x:v>1003</x:v>
      </x:c>
      <x:c r="Q136" s="55" t="n">
        <x:v>3202</x:v>
      </x:c>
      <x:c r="R136" s="55" t="n">
        <x:v>1175</x:v>
      </x:c>
      <x:c r="S136" s="55" t="n">
        <x:v>3090</x:v>
      </x:c>
      <x:c r="T136" s="55" t="n">
        <x:v>807</x:v>
      </x:c>
      <x:c r="U136" s="55" t="n">
        <x:v>1765</x:v>
      </x:c>
      <x:c r="V136" s="55" t="n">
        <x:v>10524</x:v>
      </x:c>
      <x:c r="W136" s="55" t="n">
        <x:v>8133</x:v>
      </x:c>
      <x:c r="X136" s="55" t="n">
        <x:v>2391</x:v>
      </x:c>
      <x:c r="Y136" s="55" t="n">
        <x:v>2046</x:v>
      </x:c>
      <x:c r="Z136" s="55" t="n">
        <x:v>4233</x:v>
      </x:c>
      <x:c r="AA136" s="55" t="n">
        <x:v>2739</x:v>
      </x:c>
      <x:c r="AB136" s="55" t="n">
        <x:v>914</x:v>
      </x:c>
      <x:c r="AC136" s="55" t="n">
        <x:v>8025</x:v>
      </x:c>
      <x:c r="AD136" s="55" t="n">
        <x:v>3096</x:v>
      </x:c>
      <x:c r="AE136" s="55" t="n">
        <x:v>10533</x:v>
      </x:c>
      <x:c r="AF136" s="55" t="n">
        <x:v>10524</x:v>
      </x:c>
      <x:c r="AG136" s="55" t="n">
        <x:v>9</x:v>
      </x:c>
      <x:c r="AH136" s="55" t="n">
        <x:v>522</x:v>
      </x:c>
      <x:c r="AI136" s="55" t="n">
        <x:v>10002</x:v>
      </x:c>
      <x:c r="AJ136" s="55" t="n">
        <x:v>373</x:v>
      </x:c>
      <x:c r="AK136" s="55" t="n">
        <x:v>566</x:v>
      </x:c>
      <x:c r="AL136" s="55" t="n">
        <x:v>1811</x:v>
      </x:c>
      <x:c r="AM136" s="55" t="n">
        <x:v>4969</x:v>
      </x:c>
      <x:c r="AN136" s="55" t="n">
        <x:v>2805</x:v>
      </x:c>
      <x:c r="AO136" s="55" t="n">
        <x:v>0</x:v>
      </x:c>
      <x:c r="AP136" s="55" t="n">
        <x:v>1921</x:v>
      </x:c>
      <x:c r="AQ136" s="55" t="n">
        <x:v>939</x:v>
      </x:c>
    </x:row>
    <x:row r="137">
      <x:c r="A137" s="54" t="str">
        <x:v>T1_SHARED_CATCHMENT</x:v>
      </x:c>
      <x:c r="B137" s="54" t="n">
        <x:v>131</x:v>
      </x:c>
      <x:c r="C137" s="54" t="str">
        <x:v>NYC-V2-R01</x:v>
      </x:c>
      <x:c r="D137" s="54" t="str">
        <x:v>V2</x:v>
      </x:c>
      <x:c r="E137" s="54" t="str">
        <x:v>ADMITTED</x:v>
      </x:c>
      <x:c r="F137" s="55" t="n">
        <x:v>33846</x:v>
      </x:c>
      <x:c r="G137" s="55" t="n">
        <x:v>9204</x:v>
      </x:c>
      <x:c r="H137" s="55" t="n">
        <x:v>3291</x:v>
      </x:c>
      <x:c r="I137" s="55" t="n">
        <x:v>1145</x:v>
      </x:c>
      <x:c r="J137" s="55" t="n">
        <x:v>326</x:v>
      </x:c>
      <x:c r="K137" s="55" t="n">
        <x:v>30300</x:v>
      </x:c>
      <x:c r="L137" s="55" t="n">
        <x:v>6316</x:v>
      </x:c>
      <x:c r="M137" s="55" t="n">
        <x:v>1707</x:v>
      </x:c>
      <x:c r="N137" s="55" t="n">
        <x:v>2607</x:v>
      </x:c>
      <x:c r="O137" s="55" t="n">
        <x:v>2002</x:v>
      </x:c>
      <x:c r="P137" s="55" t="n">
        <x:v>608</x:v>
      </x:c>
      <x:c r="Q137" s="55" t="n">
        <x:v>2655</x:v>
      </x:c>
      <x:c r="R137" s="55" t="n">
        <x:v>1848</x:v>
      </x:c>
      <x:c r="S137" s="55" t="n">
        <x:v>2797</x:v>
      </x:c>
      <x:c r="T137" s="55" t="n">
        <x:v>1691</x:v>
      </x:c>
      <x:c r="U137" s="55" t="n">
        <x:v>2126</x:v>
      </x:c>
      <x:c r="V137" s="55" t="n">
        <x:v>10510</x:v>
      </x:c>
      <x:c r="W137" s="55" t="n">
        <x:v>6843</x:v>
      </x:c>
      <x:c r="X137" s="55" t="n">
        <x:v>3667</x:v>
      </x:c>
      <x:c r="Y137" s="55" t="n">
        <x:v>3023</x:v>
      </x:c>
      <x:c r="Z137" s="55" t="n">
        <x:v>3397</x:v>
      </x:c>
      <x:c r="AA137" s="55" t="n">
        <x:v>3291</x:v>
      </x:c>
      <x:c r="AB137" s="55" t="n">
        <x:v>1239</x:v>
      </x:c>
      <x:c r="AC137" s="55" t="n">
        <x:v>8099</x:v>
      </x:c>
      <x:c r="AD137" s="55" t="n">
        <x:v>2664</x:v>
      </x:c>
      <x:c r="AE137" s="55" t="n">
        <x:v>10615</x:v>
      </x:c>
      <x:c r="AF137" s="55" t="n">
        <x:v>10510</x:v>
      </x:c>
      <x:c r="AG137" s="55" t="n">
        <x:v>105</x:v>
      </x:c>
      <x:c r="AH137" s="55" t="n">
        <x:v>263</x:v>
      </x:c>
      <x:c r="AI137" s="55" t="n">
        <x:v>10247</x:v>
      </x:c>
      <x:c r="AJ137" s="55" t="n">
        <x:v>188</x:v>
      </x:c>
      <x:c r="AK137" s="55" t="n">
        <x:v>1201</x:v>
      </x:c>
      <x:c r="AL137" s="55" t="n">
        <x:v>1335</x:v>
      </x:c>
      <x:c r="AM137" s="55" t="n">
        <x:v>5274</x:v>
      </x:c>
      <x:c r="AN137" s="55" t="n">
        <x:v>2451</x:v>
      </x:c>
      <x:c r="AO137" s="55" t="n">
        <x:v>61</x:v>
      </x:c>
      <x:c r="AP137" s="55" t="n">
        <x:v>2289</x:v>
      </x:c>
      <x:c r="AQ137" s="55" t="n">
        <x:v>994</x:v>
      </x:c>
    </x:row>
    <x:row r="138">
      <x:c r="A138" s="54" t="str">
        <x:v>T1_SHARED_CATCHMENT</x:v>
      </x:c>
      <x:c r="B138" s="54" t="n">
        <x:v>132</x:v>
      </x:c>
      <x:c r="C138" s="54" t="str">
        <x:v>NYC-V2-R01</x:v>
      </x:c>
      <x:c r="D138" s="54" t="str">
        <x:v>V2</x:v>
      </x:c>
      <x:c r="E138" s="54" t="str">
        <x:v>ADMITTED</x:v>
      </x:c>
      <x:c r="F138" s="55" t="n">
        <x:v>31161</x:v>
      </x:c>
      <x:c r="G138" s="55" t="n">
        <x:v>6303</x:v>
      </x:c>
      <x:c r="H138" s="55" t="n">
        <x:v>3815</x:v>
      </x:c>
      <x:c r="I138" s="55" t="n">
        <x:v>1847</x:v>
      </x:c>
      <x:c r="J138" s="55" t="n">
        <x:v>326</x:v>
      </x:c>
      <x:c r="K138" s="55" t="n">
        <x:v>29984</x:v>
      </x:c>
      <x:c r="L138" s="55" t="n">
        <x:v>6705</x:v>
      </x:c>
      <x:c r="M138" s="55" t="n">
        <x:v>1356</x:v>
      </x:c>
      <x:c r="N138" s="55" t="n">
        <x:v>3169</x:v>
      </x:c>
      <x:c r="O138" s="55" t="n">
        <x:v>2180</x:v>
      </x:c>
      <x:c r="P138" s="55" t="n">
        <x:v>935</x:v>
      </x:c>
      <x:c r="Q138" s="55" t="n">
        <x:v>3048</x:v>
      </x:c>
      <x:c r="R138" s="55" t="n">
        <x:v>1530</x:v>
      </x:c>
      <x:c r="S138" s="55" t="n">
        <x:v>3670</x:v>
      </x:c>
      <x:c r="T138" s="55" t="n">
        <x:v>1036</x:v>
      </x:c>
      <x:c r="U138" s="55" t="n">
        <x:v>1912</x:v>
      </x:c>
      <x:c r="V138" s="55" t="n">
        <x:v>11068</x:v>
      </x:c>
      <x:c r="W138" s="55" t="n">
        <x:v>8298</x:v>
      </x:c>
      <x:c r="X138" s="55" t="n">
        <x:v>2770</x:v>
      </x:c>
      <x:c r="Y138" s="55" t="n">
        <x:v>2574</x:v>
      </x:c>
      <x:c r="Z138" s="55" t="n">
        <x:v>3923</x:v>
      </x:c>
      <x:c r="AA138" s="55" t="n">
        <x:v>3182</x:v>
      </x:c>
      <x:c r="AB138" s="55" t="n">
        <x:v>1233</x:v>
      </x:c>
      <x:c r="AC138" s="55" t="n">
        <x:v>7651</x:v>
      </x:c>
      <x:c r="AD138" s="55" t="n">
        <x:v>2662</x:v>
      </x:c>
      <x:c r="AE138" s="55" t="n">
        <x:v>11167</x:v>
      </x:c>
      <x:c r="AF138" s="55" t="n">
        <x:v>11068</x:v>
      </x:c>
      <x:c r="AG138" s="55" t="n">
        <x:v>99</x:v>
      </x:c>
      <x:c r="AH138" s="55" t="n">
        <x:v>720</x:v>
      </x:c>
      <x:c r="AI138" s="55" t="n">
        <x:v>10348</x:v>
      </x:c>
      <x:c r="AJ138" s="55" t="n">
        <x:v>443</x:v>
      </x:c>
      <x:c r="AK138" s="55" t="n">
        <x:v>1138</x:v>
      </x:c>
      <x:c r="AL138" s="55" t="n">
        <x:v>1682</x:v>
      </x:c>
      <x:c r="AM138" s="55" t="n">
        <x:v>5303</x:v>
      </x:c>
      <x:c r="AN138" s="55" t="n">
        <x:v>2458</x:v>
      </x:c>
      <x:c r="AO138" s="55" t="n">
        <x:v>44</x:v>
      </x:c>
      <x:c r="AP138" s="55" t="n">
        <x:v>2490</x:v>
      </x:c>
      <x:c r="AQ138" s="55" t="n">
        <x:v>940</x:v>
      </x:c>
    </x:row>
    <x:row r="139">
      <x:c r="A139" s="54" t="str">
        <x:v>T1_SHARED_CATCHMENT</x:v>
      </x:c>
      <x:c r="B139" s="54" t="n">
        <x:v>133</x:v>
      </x:c>
      <x:c r="C139" s="54" t="str">
        <x:v>NYC-V2-R01</x:v>
      </x:c>
      <x:c r="D139" s="54" t="str">
        <x:v>V2</x:v>
      </x:c>
      <x:c r="E139" s="54" t="str">
        <x:v>ADMITTED</x:v>
      </x:c>
      <x:c r="F139" s="55" t="n">
        <x:v>30765</x:v>
      </x:c>
      <x:c r="G139" s="55" t="n">
        <x:v>7466</x:v>
      </x:c>
      <x:c r="H139" s="55" t="n">
        <x:v>3490</x:v>
      </x:c>
      <x:c r="I139" s="55" t="n">
        <x:v>1122</x:v>
      </x:c>
      <x:c r="J139" s="55" t="n">
        <x:v>77</x:v>
      </x:c>
      <x:c r="K139" s="55" t="n">
        <x:v>30765</x:v>
      </x:c>
      <x:c r="L139" s="55" t="n">
        <x:v>6378</x:v>
      </x:c>
      <x:c r="M139" s="55" t="n">
        <x:v>1928</x:v>
      </x:c>
      <x:c r="N139" s="55" t="n">
        <x:v>2753</x:v>
      </x:c>
      <x:c r="O139" s="55" t="n">
        <x:v>1697</x:v>
      </x:c>
      <x:c r="P139" s="55" t="n">
        <x:v>997</x:v>
      </x:c>
      <x:c r="Q139" s="55" t="n">
        <x:v>2164</x:v>
      </x:c>
      <x:c r="R139" s="55" t="n">
        <x:v>1649</x:v>
      </x:c>
      <x:c r="S139" s="55" t="n">
        <x:v>3151</x:v>
      </x:c>
      <x:c r="T139" s="55" t="n">
        <x:v>1550</x:v>
      </x:c>
      <x:c r="U139" s="55" t="n">
        <x:v>1749</x:v>
      </x:c>
      <x:c r="V139" s="55" t="n">
        <x:v>10572</x:v>
      </x:c>
      <x:c r="W139" s="55" t="n">
        <x:v>7584</x:v>
      </x:c>
      <x:c r="X139" s="55" t="n">
        <x:v>2988</x:v>
      </x:c>
      <x:c r="Y139" s="55" t="n">
        <x:v>2538</x:v>
      </x:c>
      <x:c r="Z139" s="55" t="n">
        <x:v>3890</x:v>
      </x:c>
      <x:c r="AA139" s="55" t="n">
        <x:v>3490</x:v>
      </x:c>
      <x:c r="AB139" s="55" t="n">
        <x:v>1090</x:v>
      </x:c>
      <x:c r="AC139" s="55" t="n">
        <x:v>8127</x:v>
      </x:c>
      <x:c r="AD139" s="55" t="n">
        <x:v>3594</x:v>
      </x:c>
      <x:c r="AE139" s="55" t="n">
        <x:v>10710</x:v>
      </x:c>
      <x:c r="AF139" s="55" t="n">
        <x:v>10572</x:v>
      </x:c>
      <x:c r="AG139" s="55" t="n">
        <x:v>138</x:v>
      </x:c>
      <x:c r="AH139" s="55" t="n">
        <x:v>501</x:v>
      </x:c>
      <x:c r="AI139" s="55" t="n">
        <x:v>10071</x:v>
      </x:c>
      <x:c r="AJ139" s="55" t="n">
        <x:v>438</x:v>
      </x:c>
      <x:c r="AK139" s="55" t="n">
        <x:v>1414</x:v>
      </x:c>
      <x:c r="AL139" s="55" t="n">
        <x:v>1530</x:v>
      </x:c>
      <x:c r="AM139" s="55" t="n">
        <x:v>4606</x:v>
      </x:c>
      <x:c r="AN139" s="55" t="n">
        <x:v>2533</x:v>
      </x:c>
      <x:c r="AO139" s="55" t="n">
        <x:v>51</x:v>
      </x:c>
      <x:c r="AP139" s="55" t="n">
        <x:v>2251</x:v>
      </x:c>
      <x:c r="AQ139" s="55" t="n">
        <x:v>946</x:v>
      </x:c>
    </x:row>
    <x:row r="140">
      <x:c r="A140" s="54" t="str">
        <x:v>T1_SHARED_CATCHMENT</x:v>
      </x:c>
      <x:c r="B140" s="54" t="n">
        <x:v>134</x:v>
      </x:c>
      <x:c r="C140" s="54" t="str">
        <x:v>NYC-V2-R01</x:v>
      </x:c>
      <x:c r="D140" s="54" t="str">
        <x:v>V2</x:v>
      </x:c>
      <x:c r="E140" s="54" t="str">
        <x:v>ADMITTED</x:v>
      </x:c>
      <x:c r="F140" s="55" t="n">
        <x:v>30991</x:v>
      </x:c>
      <x:c r="G140" s="55" t="n">
        <x:v>7315</x:v>
      </x:c>
      <x:c r="H140" s="55" t="n">
        <x:v>3468</x:v>
      </x:c>
      <x:c r="I140" s="55" t="n">
        <x:v>1152</x:v>
      </x:c>
      <x:c r="J140" s="55" t="n">
        <x:v>128</x:v>
      </x:c>
      <x:c r="K140" s="55" t="n">
        <x:v>30991</x:v>
      </x:c>
      <x:c r="L140" s="55" t="n">
        <x:v>5125</x:v>
      </x:c>
      <x:c r="M140" s="55" t="n">
        <x:v>413</x:v>
      </x:c>
      <x:c r="N140" s="55" t="n">
        <x:v>2730</x:v>
      </x:c>
      <x:c r="O140" s="55" t="n">
        <x:v>1982</x:v>
      </x:c>
      <x:c r="P140" s="55" t="n">
        <x:v>641</x:v>
      </x:c>
      <x:c r="Q140" s="55" t="n">
        <x:v>2518</x:v>
      </x:c>
      <x:c r="R140" s="55" t="n">
        <x:v>1799</x:v>
      </x:c>
      <x:c r="S140" s="55" t="n">
        <x:v>2744</x:v>
      </x:c>
      <x:c r="T140" s="55" t="n">
        <x:v>1696</x:v>
      </x:c>
      <x:c r="U140" s="55" t="n">
        <x:v>2262</x:v>
      </x:c>
      <x:c r="V140" s="55" t="n">
        <x:v>11154</x:v>
      </x:c>
      <x:c r="W140" s="55" t="n">
        <x:v>7828</x:v>
      </x:c>
      <x:c r="X140" s="55" t="n">
        <x:v>3326</x:v>
      </x:c>
      <x:c r="Y140" s="55" t="n">
        <x:v>3032</x:v>
      </x:c>
      <x:c r="Z140" s="55" t="n">
        <x:v>3056</x:v>
      </x:c>
      <x:c r="AA140" s="55" t="n">
        <x:v>3468</x:v>
      </x:c>
      <x:c r="AB140" s="55" t="n">
        <x:v>1154</x:v>
      </x:c>
      <x:c r="AC140" s="55" t="n">
        <x:v>8254</x:v>
      </x:c>
      <x:c r="AD140" s="55" t="n">
        <x:v>2130</x:v>
      </x:c>
      <x:c r="AE140" s="55" t="n">
        <x:v>11214</x:v>
      </x:c>
      <x:c r="AF140" s="55" t="n">
        <x:v>11154</x:v>
      </x:c>
      <x:c r="AG140" s="55" t="n">
        <x:v>60</x:v>
      </x:c>
      <x:c r="AH140" s="55" t="n">
        <x:v>420</x:v>
      </x:c>
      <x:c r="AI140" s="55" t="n">
        <x:v>10734</x:v>
      </x:c>
      <x:c r="AJ140" s="55" t="n">
        <x:v>379</x:v>
      </x:c>
      <x:c r="AK140" s="55" t="n">
        <x:v>1130</x:v>
      </x:c>
      <x:c r="AL140" s="55" t="n">
        <x:v>1749</x:v>
      </x:c>
      <x:c r="AM140" s="55" t="n">
        <x:v>4592</x:v>
      </x:c>
      <x:c r="AN140" s="55" t="n">
        <x:v>3304</x:v>
      </x:c>
      <x:c r="AO140" s="55" t="n">
        <x:v>0</x:v>
      </x:c>
      <x:c r="AP140" s="55" t="n">
        <x:v>2421</x:v>
      </x:c>
      <x:c r="AQ140" s="55" t="n">
        <x:v>959</x:v>
      </x:c>
    </x:row>
    <x:row r="141">
      <x:c r="A141" s="54" t="str">
        <x:v>T1_SHARED_CATCHMENT</x:v>
      </x:c>
      <x:c r="B141" s="54" t="n">
        <x:v>135</x:v>
      </x:c>
      <x:c r="C141" s="54" t="str">
        <x:v>NYC-V2-R01</x:v>
      </x:c>
      <x:c r="D141" s="54" t="str">
        <x:v>V2</x:v>
      </x:c>
      <x:c r="E141" s="54" t="str">
        <x:v>ADMITTED</x:v>
      </x:c>
      <x:c r="F141" s="55" t="n">
        <x:v>30668</x:v>
      </x:c>
      <x:c r="G141" s="55" t="n">
        <x:v>8178</x:v>
      </x:c>
      <x:c r="H141" s="55" t="n">
        <x:v>3372</x:v>
      </x:c>
      <x:c r="I141" s="55" t="n">
        <x:v>1120</x:v>
      </x:c>
      <x:c r="J141" s="55" t="n">
        <x:v>207</x:v>
      </x:c>
      <x:c r="K141" s="55" t="n">
        <x:v>30668</x:v>
      </x:c>
      <x:c r="L141" s="55" t="n">
        <x:v>5407</x:v>
      </x:c>
      <x:c r="M141" s="55" t="n">
        <x:v>1265</x:v>
      </x:c>
      <x:c r="N141" s="55" t="n">
        <x:v>2375</x:v>
      </x:c>
      <x:c r="O141" s="55" t="n">
        <x:v>1767</x:v>
      </x:c>
      <x:c r="P141" s="55" t="n">
        <x:v>881</x:v>
      </x:c>
      <x:c r="Q141" s="55" t="n">
        <x:v>3174</x:v>
      </x:c>
      <x:c r="R141" s="55" t="n">
        <x:v>1886</x:v>
      </x:c>
      <x:c r="S141" s="55" t="n">
        <x:v>3094</x:v>
      </x:c>
      <x:c r="T141" s="55" t="n">
        <x:v>1224</x:v>
      </x:c>
      <x:c r="U141" s="55" t="n">
        <x:v>2025</x:v>
      </x:c>
      <x:c r="V141" s="55" t="n">
        <x:v>10667</x:v>
      </x:c>
      <x:c r="W141" s="55" t="n">
        <x:v>7302</x:v>
      </x:c>
      <x:c r="X141" s="55" t="n">
        <x:v>3365</x:v>
      </x:c>
      <x:c r="Y141" s="55" t="n">
        <x:v>2817</x:v>
      </x:c>
      <x:c r="Z141" s="55" t="n">
        <x:v>4713</x:v>
      </x:c>
      <x:c r="AA141" s="55" t="n">
        <x:v>3372</x:v>
      </x:c>
      <x:c r="AB141" s="55" t="n">
        <x:v>1062</x:v>
      </x:c>
      <x:c r="AC141" s="55" t="n">
        <x:v>8158</x:v>
      </x:c>
      <x:c r="AD141" s="55" t="n">
        <x:v>2823</x:v>
      </x:c>
      <x:c r="AE141" s="55" t="n">
        <x:v>10777</x:v>
      </x:c>
      <x:c r="AF141" s="55" t="n">
        <x:v>10667</x:v>
      </x:c>
      <x:c r="AG141" s="55" t="n">
        <x:v>110</x:v>
      </x:c>
      <x:c r="AH141" s="55" t="n">
        <x:v>535</x:v>
      </x:c>
      <x:c r="AI141" s="55" t="n">
        <x:v>10132</x:v>
      </x:c>
      <x:c r="AJ141" s="55" t="n">
        <x:v>473</x:v>
      </x:c>
      <x:c r="AK141" s="55" t="n">
        <x:v>1039</x:v>
      </x:c>
      <x:c r="AL141" s="55" t="n">
        <x:v>1716</x:v>
      </x:c>
      <x:c r="AM141" s="55" t="n">
        <x:v>4890</x:v>
      </x:c>
      <x:c r="AN141" s="55" t="n">
        <x:v>2478</x:v>
      </x:c>
      <x:c r="AO141" s="55" t="n">
        <x:v>71</x:v>
      </x:c>
      <x:c r="AP141" s="55" t="n">
        <x:v>2540</x:v>
      </x:c>
      <x:c r="AQ141" s="55" t="n">
        <x:v>955</x:v>
      </x:c>
    </x:row>
    <x:row r="142">
      <x:c r="A142" s="54" t="str">
        <x:v>T1_SHARED_CATCHMENT</x:v>
      </x:c>
      <x:c r="B142" s="54" t="n">
        <x:v>136</x:v>
      </x:c>
      <x:c r="C142" s="54" t="str">
        <x:v>NYC-V2-R01</x:v>
      </x:c>
      <x:c r="D142" s="54" t="str">
        <x:v>V2</x:v>
      </x:c>
      <x:c r="E142" s="54" t="str">
        <x:v>ADMITTED</x:v>
      </x:c>
      <x:c r="F142" s="55" t="n">
        <x:v>33039</x:v>
      </x:c>
      <x:c r="G142" s="55" t="n">
        <x:v>8451</x:v>
      </x:c>
      <x:c r="H142" s="55" t="n">
        <x:v>3237</x:v>
      </x:c>
      <x:c r="I142" s="55" t="n">
        <x:v>1605</x:v>
      </x:c>
      <x:c r="J142" s="55" t="n">
        <x:v>209</x:v>
      </x:c>
      <x:c r="K142" s="55" t="n">
        <x:v>26821</x:v>
      </x:c>
      <x:c r="L142" s="55" t="n">
        <x:v>5429</x:v>
      </x:c>
      <x:c r="M142" s="55" t="n">
        <x:v>1305</x:v>
      </x:c>
      <x:c r="N142" s="55" t="n">
        <x:v>2607</x:v>
      </x:c>
      <x:c r="O142" s="55" t="n">
        <x:v>1517</x:v>
      </x:c>
      <x:c r="P142" s="55" t="n">
        <x:v>864</x:v>
      </x:c>
      <x:c r="Q142" s="55" t="n">
        <x:v>1930</x:v>
      </x:c>
      <x:c r="R142" s="55" t="n">
        <x:v>1873</x:v>
      </x:c>
      <x:c r="S142" s="55" t="n">
        <x:v>2924</x:v>
      </x:c>
      <x:c r="T142" s="55" t="n">
        <x:v>1111</x:v>
      </x:c>
      <x:c r="U142" s="55" t="n">
        <x:v>2143</x:v>
      </x:c>
      <x:c r="V142" s="55" t="n">
        <x:v>10353</x:v>
      </x:c>
      <x:c r="W142" s="55" t="n">
        <x:v>7357</x:v>
      </x:c>
      <x:c r="X142" s="55" t="n">
        <x:v>2996</x:v>
      </x:c>
      <x:c r="Y142" s="55" t="n">
        <x:v>2793</x:v>
      </x:c>
      <x:c r="Z142" s="55" t="n">
        <x:v>3844</x:v>
      </x:c>
      <x:c r="AA142" s="55" t="n">
        <x:v>2736</x:v>
      </x:c>
      <x:c r="AB142" s="55" t="n">
        <x:v>808</x:v>
      </x:c>
      <x:c r="AC142" s="55" t="n">
        <x:v>8167</x:v>
      </x:c>
      <x:c r="AD142" s="55" t="n">
        <x:v>2752</x:v>
      </x:c>
      <x:c r="AE142" s="55" t="n">
        <x:v>10432</x:v>
      </x:c>
      <x:c r="AF142" s="55" t="n">
        <x:v>10353</x:v>
      </x:c>
      <x:c r="AG142" s="55" t="n">
        <x:v>79</x:v>
      </x:c>
      <x:c r="AH142" s="55" t="n">
        <x:v>357</x:v>
      </x:c>
      <x:c r="AI142" s="55" t="n">
        <x:v>9996</x:v>
      </x:c>
      <x:c r="AJ142" s="55" t="n">
        <x:v>105</x:v>
      </x:c>
      <x:c r="AK142" s="55" t="n">
        <x:v>974</x:v>
      </x:c>
      <x:c r="AL142" s="55" t="n">
        <x:v>1582</x:v>
      </x:c>
      <x:c r="AM142" s="55" t="n">
        <x:v>4585</x:v>
      </x:c>
      <x:c r="AN142" s="55" t="n">
        <x:v>3082</x:v>
      </x:c>
      <x:c r="AO142" s="55" t="n">
        <x:v>25</x:v>
      </x:c>
      <x:c r="AP142" s="55" t="n">
        <x:v>2735</x:v>
      </x:c>
      <x:c r="AQ142" s="55" t="n">
        <x:v>982</x:v>
      </x:c>
    </x:row>
    <x:row r="143">
      <x:c r="A143" s="54" t="str">
        <x:v>T1_SHARED_CATCHMENT</x:v>
      </x:c>
      <x:c r="B143" s="54" t="n">
        <x:v>137</x:v>
      </x:c>
      <x:c r="C143" s="54" t="str">
        <x:v>NYC-V2-R01</x:v>
      </x:c>
      <x:c r="D143" s="54" t="str">
        <x:v>V2</x:v>
      </x:c>
      <x:c r="E143" s="54" t="str">
        <x:v>ADMITTED</x:v>
      </x:c>
      <x:c r="F143" s="55" t="n">
        <x:v>31366</x:v>
      </x:c>
      <x:c r="G143" s="55" t="n">
        <x:v>8431</x:v>
      </x:c>
      <x:c r="H143" s="55" t="n">
        <x:v>3281</x:v>
      </x:c>
      <x:c r="I143" s="55" t="n">
        <x:v>617</x:v>
      </x:c>
      <x:c r="J143" s="55" t="n">
        <x:v>160</x:v>
      </x:c>
      <x:c r="K143" s="55" t="n">
        <x:v>31366</x:v>
      </x:c>
      <x:c r="L143" s="55" t="n">
        <x:v>6074</x:v>
      </x:c>
      <x:c r="M143" s="55" t="n">
        <x:v>1222</x:v>
      </x:c>
      <x:c r="N143" s="55" t="n">
        <x:v>2871</x:v>
      </x:c>
      <x:c r="O143" s="55" t="n">
        <x:v>1981</x:v>
      </x:c>
      <x:c r="P143" s="55" t="n">
        <x:v>728</x:v>
      </x:c>
      <x:c r="Q143" s="55" t="n">
        <x:v>2540</x:v>
      </x:c>
      <x:c r="R143" s="55" t="n">
        <x:v>1824</x:v>
      </x:c>
      <x:c r="S143" s="55" t="n">
        <x:v>2508</x:v>
      </x:c>
      <x:c r="T143" s="55" t="n">
        <x:v>1287</x:v>
      </x:c>
      <x:c r="U143" s="55" t="n">
        <x:v>2283</x:v>
      </x:c>
      <x:c r="V143" s="55" t="n">
        <x:v>10691</x:v>
      </x:c>
      <x:c r="W143" s="55" t="n">
        <x:v>7202</x:v>
      </x:c>
      <x:c r="X143" s="55" t="n">
        <x:v>3489</x:v>
      </x:c>
      <x:c r="Y143" s="55" t="n">
        <x:v>3164</x:v>
      </x:c>
      <x:c r="Z143" s="55" t="n">
        <x:v>3437</x:v>
      </x:c>
      <x:c r="AA143" s="55" t="n">
        <x:v>3281</x:v>
      </x:c>
      <x:c r="AB143" s="55" t="n">
        <x:v>1333</x:v>
      </x:c>
      <x:c r="AC143" s="55" t="n">
        <x:v>7564</x:v>
      </x:c>
      <x:c r="AD143" s="55" t="n">
        <x:v>2874</x:v>
      </x:c>
      <x:c r="AE143" s="55" t="n">
        <x:v>10742</x:v>
      </x:c>
      <x:c r="AF143" s="55" t="n">
        <x:v>10691</x:v>
      </x:c>
      <x:c r="AG143" s="55" t="n">
        <x:v>51</x:v>
      </x:c>
      <x:c r="AH143" s="55" t="n">
        <x:v>451</x:v>
      </x:c>
      <x:c r="AI143" s="55" t="n">
        <x:v>10240</x:v>
      </x:c>
      <x:c r="AJ143" s="55" t="n">
        <x:v>355</x:v>
      </x:c>
      <x:c r="AK143" s="55" t="n">
        <x:v>1188</x:v>
      </x:c>
      <x:c r="AL143" s="55" t="n">
        <x:v>2058</x:v>
      </x:c>
      <x:c r="AM143" s="55" t="n">
        <x:v>4701</x:v>
      </x:c>
      <x:c r="AN143" s="55" t="n">
        <x:v>2337</x:v>
      </x:c>
      <x:c r="AO143" s="55" t="n">
        <x:v>52</x:v>
      </x:c>
      <x:c r="AP143" s="55" t="n">
        <x:v>2476</x:v>
      </x:c>
      <x:c r="AQ143" s="55" t="n">
        <x:v>956</x:v>
      </x:c>
    </x:row>
    <x:row r="144">
      <x:c r="A144" s="54" t="str">
        <x:v>T1_SHARED_CATCHMENT</x:v>
      </x:c>
      <x:c r="B144" s="54" t="n">
        <x:v>138</x:v>
      </x:c>
      <x:c r="C144" s="54" t="str">
        <x:v>NYC-V2-R01</x:v>
      </x:c>
      <x:c r="D144" s="54" t="str">
        <x:v>V2</x:v>
      </x:c>
      <x:c r="E144" s="54" t="str">
        <x:v>ADMITTED</x:v>
      </x:c>
      <x:c r="F144" s="55" t="n">
        <x:v>32360</x:v>
      </x:c>
      <x:c r="G144" s="55" t="n">
        <x:v>6995</x:v>
      </x:c>
      <x:c r="H144" s="55" t="n">
        <x:v>3318</x:v>
      </x:c>
      <x:c r="I144" s="55" t="n">
        <x:v>1062</x:v>
      </x:c>
      <x:c r="J144" s="55" t="n">
        <x:v>216</x:v>
      </x:c>
      <x:c r="K144" s="55" t="n">
        <x:v>32360</x:v>
      </x:c>
      <x:c r="L144" s="55" t="n">
        <x:v>6255</x:v>
      </x:c>
      <x:c r="M144" s="55" t="n">
        <x:v>1437</x:v>
      </x:c>
      <x:c r="N144" s="55" t="n">
        <x:v>3034</x:v>
      </x:c>
      <x:c r="O144" s="55" t="n">
        <x:v>1784</x:v>
      </x:c>
      <x:c r="P144" s="55" t="n">
        <x:v>415</x:v>
      </x:c>
      <x:c r="Q144" s="55" t="n">
        <x:v>1821</x:v>
      </x:c>
      <x:c r="R144" s="55" t="n">
        <x:v>1978</x:v>
      </x:c>
      <x:c r="S144" s="55" t="n">
        <x:v>3312</x:v>
      </x:c>
      <x:c r="T144" s="55" t="n">
        <x:v>1451</x:v>
      </x:c>
      <x:c r="U144" s="55" t="n">
        <x:v>2014</x:v>
      </x:c>
      <x:c r="V144" s="55" t="n">
        <x:v>11114</x:v>
      </x:c>
      <x:c r="W144" s="55" t="n">
        <x:v>8439</x:v>
      </x:c>
      <x:c r="X144" s="55" t="n">
        <x:v>2675</x:v>
      </x:c>
      <x:c r="Y144" s="55" t="n">
        <x:v>2371</x:v>
      </x:c>
      <x:c r="Z144" s="55" t="n">
        <x:v>3700</x:v>
      </x:c>
      <x:c r="AA144" s="55" t="n">
        <x:v>2995</x:v>
      </x:c>
      <x:c r="AB144" s="55" t="n">
        <x:v>935</x:v>
      </x:c>
      <x:c r="AC144" s="55" t="n">
        <x:v>8190</x:v>
      </x:c>
      <x:c r="AD144" s="55" t="n">
        <x:v>3035</x:v>
      </x:c>
      <x:c r="AE144" s="55" t="n">
        <x:v>11217</x:v>
      </x:c>
      <x:c r="AF144" s="55" t="n">
        <x:v>11114</x:v>
      </x:c>
      <x:c r="AG144" s="55" t="n">
        <x:v>103</x:v>
      </x:c>
      <x:c r="AH144" s="55" t="n">
        <x:v>608</x:v>
      </x:c>
      <x:c r="AI144" s="55" t="n">
        <x:v>10506</x:v>
      </x:c>
      <x:c r="AJ144" s="55" t="n">
        <x:v>404</x:v>
      </x:c>
      <x:c r="AK144" s="55" t="n">
        <x:v>1392</x:v>
      </x:c>
      <x:c r="AL144" s="55" t="n">
        <x:v>1485</x:v>
      </x:c>
      <x:c r="AM144" s="55" t="n">
        <x:v>5148</x:v>
      </x:c>
      <x:c r="AN144" s="55" t="n">
        <x:v>2618</x:v>
      </x:c>
      <x:c r="AO144" s="55" t="n">
        <x:v>67</x:v>
      </x:c>
      <x:c r="AP144" s="55" t="n">
        <x:v>2615</x:v>
      </x:c>
      <x:c r="AQ144" s="55" t="n">
        <x:v>948</x:v>
      </x:c>
    </x:row>
    <x:row r="145">
      <x:c r="A145" s="54" t="str">
        <x:v>T1_SHARED_CATCHMENT</x:v>
      </x:c>
      <x:c r="B145" s="54" t="n">
        <x:v>139</x:v>
      </x:c>
      <x:c r="C145" s="54" t="str">
        <x:v>NYC-V2-R01</x:v>
      </x:c>
      <x:c r="D145" s="54" t="str">
        <x:v>V2</x:v>
      </x:c>
      <x:c r="E145" s="54" t="str">
        <x:v>ADMITTED</x:v>
      </x:c>
      <x:c r="F145" s="55" t="n">
        <x:v>31654</x:v>
      </x:c>
      <x:c r="G145" s="55" t="n">
        <x:v>7187</x:v>
      </x:c>
      <x:c r="H145" s="55" t="n">
        <x:v>3106</x:v>
      </x:c>
      <x:c r="I145" s="55" t="n">
        <x:v>1198</x:v>
      </x:c>
      <x:c r="J145" s="55" t="n">
        <x:v>110</x:v>
      </x:c>
      <x:c r="K145" s="55" t="n">
        <x:v>31654</x:v>
      </x:c>
      <x:c r="L145" s="55" t="n">
        <x:v>6396</x:v>
      </x:c>
      <x:c r="M145" s="55" t="n">
        <x:v>1655</x:v>
      </x:c>
      <x:c r="N145" s="55" t="n">
        <x:v>2893</x:v>
      </x:c>
      <x:c r="O145" s="55" t="n">
        <x:v>1848</x:v>
      </x:c>
      <x:c r="P145" s="55" t="n">
        <x:v>592</x:v>
      </x:c>
      <x:c r="Q145" s="55" t="n">
        <x:v>1789</x:v>
      </x:c>
      <x:c r="R145" s="55" t="n">
        <x:v>1592</x:v>
      </x:c>
      <x:c r="S145" s="55" t="n">
        <x:v>2608</x:v>
      </x:c>
      <x:c r="T145" s="55" t="n">
        <x:v>940</x:v>
      </x:c>
      <x:c r="U145" s="55" t="n">
        <x:v>1632</x:v>
      </x:c>
      <x:c r="V145" s="55" t="n">
        <x:v>10549</x:v>
      </x:c>
      <x:c r="W145" s="55" t="n">
        <x:v>7226</x:v>
      </x:c>
      <x:c r="X145" s="55" t="n">
        <x:v>3323</x:v>
      </x:c>
      <x:c r="Y145" s="55" t="n">
        <x:v>2732</x:v>
      </x:c>
      <x:c r="Z145" s="55" t="n">
        <x:v>3325</x:v>
      </x:c>
      <x:c r="AA145" s="55" t="n">
        <x:v>3043</x:v>
      </x:c>
      <x:c r="AB145" s="55" t="n">
        <x:v>903</x:v>
      </x:c>
      <x:c r="AC145" s="55" t="n">
        <x:v>8420</x:v>
      </x:c>
      <x:c r="AD145" s="55" t="n">
        <x:v>2662</x:v>
      </x:c>
      <x:c r="AE145" s="55" t="n">
        <x:v>10655</x:v>
      </x:c>
      <x:c r="AF145" s="55" t="n">
        <x:v>10549</x:v>
      </x:c>
      <x:c r="AG145" s="55" t="n">
        <x:v>106</x:v>
      </x:c>
      <x:c r="AH145" s="55" t="n">
        <x:v>244</x:v>
      </x:c>
      <x:c r="AI145" s="55" t="n">
        <x:v>10305</x:v>
      </x:c>
      <x:c r="AJ145" s="55" t="n">
        <x:v>304</x:v>
      </x:c>
      <x:c r="AK145" s="55" t="n">
        <x:v>1106</x:v>
      </x:c>
      <x:c r="AL145" s="55" t="n">
        <x:v>1570</x:v>
      </x:c>
      <x:c r="AM145" s="55" t="n">
        <x:v>5135</x:v>
      </x:c>
      <x:c r="AN145" s="55" t="n">
        <x:v>2369</x:v>
      </x:c>
      <x:c r="AO145" s="55" t="n">
        <x:v>65</x:v>
      </x:c>
      <x:c r="AP145" s="55" t="n">
        <x:v>2049</x:v>
      </x:c>
      <x:c r="AQ145" s="55" t="n">
        <x:v>938</x:v>
      </x:c>
    </x:row>
    <x:row r="146">
      <x:c r="A146" s="54" t="str">
        <x:v>T1_SHARED_CATCHMENT</x:v>
      </x:c>
      <x:c r="B146" s="54" t="n">
        <x:v>140</x:v>
      </x:c>
      <x:c r="C146" s="54" t="str">
        <x:v>NYC-V2-R01</x:v>
      </x:c>
      <x:c r="D146" s="54" t="str">
        <x:v>V2</x:v>
      </x:c>
      <x:c r="E146" s="54" t="str">
        <x:v>ADMITTED</x:v>
      </x:c>
      <x:c r="F146" s="55" t="n">
        <x:v>33225</x:v>
      </x:c>
      <x:c r="G146" s="55" t="n">
        <x:v>8087</x:v>
      </x:c>
      <x:c r="H146" s="55" t="n">
        <x:v>3238</x:v>
      </x:c>
      <x:c r="I146" s="55" t="n">
        <x:v>1162</x:v>
      </x:c>
      <x:c r="J146" s="55" t="n">
        <x:v>224</x:v>
      </x:c>
      <x:c r="K146" s="55" t="n">
        <x:v>33225</x:v>
      </x:c>
      <x:c r="L146" s="55" t="n">
        <x:v>7189</x:v>
      </x:c>
      <x:c r="M146" s="55" t="n">
        <x:v>1391</x:v>
      </x:c>
      <x:c r="N146" s="55" t="n">
        <x:v>3334</x:v>
      </x:c>
      <x:c r="O146" s="55" t="n">
        <x:v>2464</x:v>
      </x:c>
      <x:c r="P146" s="55" t="n">
        <x:v>970</x:v>
      </x:c>
      <x:c r="Q146" s="55" t="n">
        <x:v>2506</x:v>
      </x:c>
      <x:c r="R146" s="55" t="n">
        <x:v>1863</x:v>
      </x:c>
      <x:c r="S146" s="55" t="n">
        <x:v>3008</x:v>
      </x:c>
      <x:c r="T146" s="55" t="n">
        <x:v>1161</x:v>
      </x:c>
      <x:c r="U146" s="55" t="n">
        <x:v>2025</x:v>
      </x:c>
      <x:c r="V146" s="55" t="n">
        <x:v>11052</x:v>
      </x:c>
      <x:c r="W146" s="55" t="n">
        <x:v>8156</x:v>
      </x:c>
      <x:c r="X146" s="55" t="n">
        <x:v>2896</x:v>
      </x:c>
      <x:c r="Y146" s="55" t="n">
        <x:v>2399</x:v>
      </x:c>
      <x:c r="Z146" s="55" t="n">
        <x:v>3852</x:v>
      </x:c>
      <x:c r="AA146" s="55" t="n">
        <x:v>2585</x:v>
      </x:c>
      <x:c r="AB146" s="55" t="n">
        <x:v>1049</x:v>
      </x:c>
      <x:c r="AC146" s="55" t="n">
        <x:v>8402</x:v>
      </x:c>
      <x:c r="AD146" s="55" t="n">
        <x:v>3107</x:v>
      </x:c>
      <x:c r="AE146" s="55" t="n">
        <x:v>11188</x:v>
      </x:c>
      <x:c r="AF146" s="55" t="n">
        <x:v>11052</x:v>
      </x:c>
      <x:c r="AG146" s="55" t="n">
        <x:v>136</x:v>
      </x:c>
      <x:c r="AH146" s="55" t="n">
        <x:v>404</x:v>
      </x:c>
      <x:c r="AI146" s="55" t="n">
        <x:v>10648</x:v>
      </x:c>
      <x:c r="AJ146" s="55" t="n">
        <x:v>316</x:v>
      </x:c>
      <x:c r="AK146" s="55" t="n">
        <x:v>1185</x:v>
      </x:c>
      <x:c r="AL146" s="55" t="n">
        <x:v>1821</x:v>
      </x:c>
      <x:c r="AM146" s="55" t="n">
        <x:v>5095</x:v>
      </x:c>
      <x:c r="AN146" s="55" t="n">
        <x:v>2569</x:v>
      </x:c>
      <x:c r="AO146" s="55" t="n">
        <x:v>66</x:v>
      </x:c>
      <x:c r="AP146" s="55" t="n">
        <x:v>2771</x:v>
      </x:c>
      <x:c r="AQ146" s="55" t="n">
        <x:v>997</x:v>
      </x:c>
    </x:row>
    <x:row r="147">
      <x:c r="A147" s="54" t="str">
        <x:v>T1_SHARED_CATCHMENT</x:v>
      </x:c>
      <x:c r="B147" s="54" t="n">
        <x:v>141</x:v>
      </x:c>
      <x:c r="C147" s="54" t="str">
        <x:v>NYC-V2-R01</x:v>
      </x:c>
      <x:c r="D147" s="54" t="str">
        <x:v>V2</x:v>
      </x:c>
      <x:c r="E147" s="54" t="str">
        <x:v>ADMITTED</x:v>
      </x:c>
      <x:c r="F147" s="55" t="n">
        <x:v>32165</x:v>
      </x:c>
      <x:c r="G147" s="55" t="n">
        <x:v>6356</x:v>
      </x:c>
      <x:c r="H147" s="55" t="n">
        <x:v>3787</x:v>
      </x:c>
      <x:c r="I147" s="55" t="n">
        <x:v>1646</x:v>
      </x:c>
      <x:c r="J147" s="55" t="n">
        <x:v>267</x:v>
      </x:c>
      <x:c r="K147" s="55" t="n">
        <x:v>32165</x:v>
      </x:c>
      <x:c r="L147" s="55" t="n">
        <x:v>6763</x:v>
      </x:c>
      <x:c r="M147" s="55" t="n">
        <x:v>2747</x:v>
      </x:c>
      <x:c r="N147" s="55" t="n">
        <x:v>2898</x:v>
      </x:c>
      <x:c r="O147" s="55" t="n">
        <x:v>1118</x:v>
      </x:c>
      <x:c r="P147" s="55" t="n">
        <x:v>1013</x:v>
      </x:c>
      <x:c r="Q147" s="55" t="n">
        <x:v>2400</x:v>
      </x:c>
      <x:c r="R147" s="55" t="n">
        <x:v>1762</x:v>
      </x:c>
      <x:c r="S147" s="55" t="n">
        <x:v>3183</x:v>
      </x:c>
      <x:c r="T147" s="55" t="n">
        <x:v>1077</x:v>
      </x:c>
      <x:c r="U147" s="55" t="n">
        <x:v>2951</x:v>
      </x:c>
      <x:c r="V147" s="55" t="n">
        <x:v>10356</x:v>
      </x:c>
      <x:c r="W147" s="55" t="n">
        <x:v>6927</x:v>
      </x:c>
      <x:c r="X147" s="55" t="n">
        <x:v>3429</x:v>
      </x:c>
      <x:c r="Y147" s="55" t="n">
        <x:v>2892</x:v>
      </x:c>
      <x:c r="Z147" s="55" t="n">
        <x:v>4310</x:v>
      </x:c>
      <x:c r="AA147" s="55" t="n">
        <x:v>3787</x:v>
      </x:c>
      <x:c r="AB147" s="55" t="n">
        <x:v>1239</x:v>
      </x:c>
      <x:c r="AC147" s="55" t="n">
        <x:v>8132</x:v>
      </x:c>
      <x:c r="AD147" s="55" t="n">
        <x:v>3400</x:v>
      </x:c>
      <x:c r="AE147" s="55" t="n">
        <x:v>10477</x:v>
      </x:c>
      <x:c r="AF147" s="55" t="n">
        <x:v>10356</x:v>
      </x:c>
      <x:c r="AG147" s="55" t="n">
        <x:v>121</x:v>
      </x:c>
      <x:c r="AH147" s="55" t="n">
        <x:v>386</x:v>
      </x:c>
      <x:c r="AI147" s="55" t="n">
        <x:v>9970</x:v>
      </x:c>
      <x:c r="AJ147" s="55" t="n">
        <x:v>429</x:v>
      </x:c>
      <x:c r="AK147" s="55" t="n">
        <x:v>925</x:v>
      </x:c>
      <x:c r="AL147" s="55" t="n">
        <x:v>1749</x:v>
      </x:c>
      <x:c r="AM147" s="55" t="n">
        <x:v>5105</x:v>
      </x:c>
      <x:c r="AN147" s="55" t="n">
        <x:v>2128</x:v>
      </x:c>
      <x:c r="AO147" s="55" t="n">
        <x:v>20</x:v>
      </x:c>
      <x:c r="AP147" s="55" t="n">
        <x:v>2677</x:v>
      </x:c>
      <x:c r="AQ147" s="55" t="n">
        <x:v>1006</x:v>
      </x:c>
    </x:row>
    <x:row r="148">
      <x:c r="A148" s="54" t="str">
        <x:v>T1_SHARED_CATCHMENT</x:v>
      </x:c>
      <x:c r="B148" s="54" t="n">
        <x:v>142</x:v>
      </x:c>
      <x:c r="C148" s="54" t="str">
        <x:v>NYC-V2-R01</x:v>
      </x:c>
      <x:c r="D148" s="54" t="str">
        <x:v>V2</x:v>
      </x:c>
      <x:c r="E148" s="54" t="str">
        <x:v>ADMITTED</x:v>
      </x:c>
      <x:c r="F148" s="55" t="n">
        <x:v>31548</x:v>
      </x:c>
      <x:c r="G148" s="55" t="n">
        <x:v>7750</x:v>
      </x:c>
      <x:c r="H148" s="55" t="n">
        <x:v>3252</x:v>
      </x:c>
      <x:c r="I148" s="55" t="n">
        <x:v>1355</x:v>
      </x:c>
      <x:c r="J148" s="55" t="n">
        <x:v>386</x:v>
      </x:c>
      <x:c r="K148" s="55" t="n">
        <x:v>28846</x:v>
      </x:c>
      <x:c r="L148" s="55" t="n">
        <x:v>6075</x:v>
      </x:c>
      <x:c r="M148" s="55" t="n">
        <x:v>1728</x:v>
      </x:c>
      <x:c r="N148" s="55" t="n">
        <x:v>2467</x:v>
      </x:c>
      <x:c r="O148" s="55" t="n">
        <x:v>1880</x:v>
      </x:c>
      <x:c r="P148" s="55" t="n">
        <x:v>1012</x:v>
      </x:c>
      <x:c r="Q148" s="55" t="n">
        <x:v>1173</x:v>
      </x:c>
      <x:c r="R148" s="55" t="n">
        <x:v>2084</x:v>
      </x:c>
      <x:c r="S148" s="55" t="n">
        <x:v>3144</x:v>
      </x:c>
      <x:c r="T148" s="55" t="n">
        <x:v>1112</x:v>
      </x:c>
      <x:c r="U148" s="55" t="n">
        <x:v>1725</x:v>
      </x:c>
      <x:c r="V148" s="55" t="n">
        <x:v>10121</x:v>
      </x:c>
      <x:c r="W148" s="55" t="n">
        <x:v>6889</x:v>
      </x:c>
      <x:c r="X148" s="55" t="n">
        <x:v>3232</x:v>
      </x:c>
      <x:c r="Y148" s="55" t="n">
        <x:v>2738</x:v>
      </x:c>
      <x:c r="Z148" s="55" t="n">
        <x:v>2887</x:v>
      </x:c>
      <x:c r="AA148" s="55" t="n">
        <x:v>3252</x:v>
      </x:c>
      <x:c r="AB148" s="55" t="n">
        <x:v>1152</x:v>
      </x:c>
      <x:c r="AC148" s="55" t="n">
        <x:v>8281</x:v>
      </x:c>
      <x:c r="AD148" s="55" t="n">
        <x:v>3274</x:v>
      </x:c>
      <x:c r="AE148" s="55" t="n">
        <x:v>10219</x:v>
      </x:c>
      <x:c r="AF148" s="55" t="n">
        <x:v>10121</x:v>
      </x:c>
      <x:c r="AG148" s="55" t="n">
        <x:v>98</x:v>
      </x:c>
      <x:c r="AH148" s="55" t="n">
        <x:v>425</x:v>
      </x:c>
      <x:c r="AI148" s="55" t="n">
        <x:v>9696</x:v>
      </x:c>
      <x:c r="AJ148" s="55" t="n">
        <x:v>410</x:v>
      </x:c>
      <x:c r="AK148" s="55" t="n">
        <x:v>789</x:v>
      </x:c>
      <x:c r="AL148" s="55" t="n">
        <x:v>1623</x:v>
      </x:c>
      <x:c r="AM148" s="55" t="n">
        <x:v>4519</x:v>
      </x:c>
      <x:c r="AN148" s="55" t="n">
        <x:v>2780</x:v>
      </x:c>
      <x:c r="AO148" s="55" t="n">
        <x:v>0</x:v>
      </x:c>
      <x:c r="AP148" s="55" t="n">
        <x:v>1756</x:v>
      </x:c>
      <x:c r="AQ148" s="55" t="n">
        <x:v>970</x:v>
      </x:c>
    </x:row>
    <x:row r="149">
      <x:c r="A149" s="54" t="str">
        <x:v>T1_SHARED_CATCHMENT</x:v>
      </x:c>
      <x:c r="B149" s="54" t="n">
        <x:v>143</x:v>
      </x:c>
      <x:c r="C149" s="54" t="str">
        <x:v>NYC-V2-R01</x:v>
      </x:c>
      <x:c r="D149" s="54" t="str">
        <x:v>V2</x:v>
      </x:c>
      <x:c r="E149" s="54" t="str">
        <x:v>ADMITTED</x:v>
      </x:c>
      <x:c r="F149" s="55" t="n">
        <x:v>31368</x:v>
      </x:c>
      <x:c r="G149" s="55" t="n">
        <x:v>8233</x:v>
      </x:c>
      <x:c r="H149" s="55" t="n">
        <x:v>3689</x:v>
      </x:c>
      <x:c r="I149" s="55" t="n">
        <x:v>1543</x:v>
      </x:c>
      <x:c r="J149" s="55" t="n">
        <x:v>297</x:v>
      </x:c>
      <x:c r="K149" s="55" t="n">
        <x:v>29152</x:v>
      </x:c>
      <x:c r="L149" s="55" t="n">
        <x:v>5564</x:v>
      </x:c>
      <x:c r="M149" s="55" t="n">
        <x:v>1243</x:v>
      </x:c>
      <x:c r="N149" s="55" t="n">
        <x:v>2794</x:v>
      </x:c>
      <x:c r="O149" s="55" t="n">
        <x:v>1527</x:v>
      </x:c>
      <x:c r="P149" s="55" t="n">
        <x:v>637</x:v>
      </x:c>
      <x:c r="Q149" s="55" t="n">
        <x:v>2124</x:v>
      </x:c>
      <x:c r="R149" s="55" t="n">
        <x:v>1882</x:v>
      </x:c>
      <x:c r="S149" s="55" t="n">
        <x:v>3639</x:v>
      </x:c>
      <x:c r="T149" s="55" t="n">
        <x:v>1371</x:v>
      </x:c>
      <x:c r="U149" s="55" t="n">
        <x:v>2217</x:v>
      </x:c>
      <x:c r="V149" s="55" t="n">
        <x:v>10688</x:v>
      </x:c>
      <x:c r="W149" s="55" t="n">
        <x:v>7461</x:v>
      </x:c>
      <x:c r="X149" s="55" t="n">
        <x:v>3227</x:v>
      </x:c>
      <x:c r="Y149" s="55" t="n">
        <x:v>2584</x:v>
      </x:c>
      <x:c r="Z149" s="55" t="n">
        <x:v>3380</x:v>
      </x:c>
      <x:c r="AA149" s="55" t="n">
        <x:v>3084</x:v>
      </x:c>
      <x:c r="AB149" s="55" t="n">
        <x:v>812</x:v>
      </x:c>
      <x:c r="AC149" s="55" t="n">
        <x:v>7675</x:v>
      </x:c>
      <x:c r="AD149" s="55" t="n">
        <x:v>2655</x:v>
      </x:c>
      <x:c r="AE149" s="55" t="n">
        <x:v>10784</x:v>
      </x:c>
      <x:c r="AF149" s="55" t="n">
        <x:v>10688</x:v>
      </x:c>
      <x:c r="AG149" s="55" t="n">
        <x:v>96</x:v>
      </x:c>
      <x:c r="AH149" s="55" t="n">
        <x:v>586</x:v>
      </x:c>
      <x:c r="AI149" s="55" t="n">
        <x:v>10102</x:v>
      </x:c>
      <x:c r="AJ149" s="55" t="n">
        <x:v>381</x:v>
      </x:c>
      <x:c r="AK149" s="55" t="n">
        <x:v>1251</x:v>
      </x:c>
      <x:c r="AL149" s="55" t="n">
        <x:v>1291</x:v>
      </x:c>
      <x:c r="AM149" s="55" t="n">
        <x:v>4870</x:v>
      </x:c>
      <x:c r="AN149" s="55" t="n">
        <x:v>2886</x:v>
      </x:c>
      <x:c r="AO149" s="55" t="n">
        <x:v>9</x:v>
      </x:c>
      <x:c r="AP149" s="55" t="n">
        <x:v>2301</x:v>
      </x:c>
      <x:c r="AQ149" s="55" t="n">
        <x:v>962</x:v>
      </x:c>
    </x:row>
    <x:row r="150">
      <x:c r="A150" s="54" t="str">
        <x:v>T1_SHARED_CATCHMENT</x:v>
      </x:c>
      <x:c r="B150" s="54" t="n">
        <x:v>144</x:v>
      </x:c>
      <x:c r="C150" s="54" t="str">
        <x:v>NYC-V2-R01</x:v>
      </x:c>
      <x:c r="D150" s="54" t="str">
        <x:v>V2</x:v>
      </x:c>
      <x:c r="E150" s="54" t="str">
        <x:v>ADMITTED</x:v>
      </x:c>
      <x:c r="F150" s="55" t="n">
        <x:v>29418</x:v>
      </x:c>
      <x:c r="G150" s="55" t="n">
        <x:v>7132</x:v>
      </x:c>
      <x:c r="H150" s="55" t="n">
        <x:v>3277</x:v>
      </x:c>
      <x:c r="I150" s="55" t="n">
        <x:v>1346</x:v>
      </x:c>
      <x:c r="J150" s="55" t="n">
        <x:v>155</x:v>
      </x:c>
      <x:c r="K150" s="55" t="n">
        <x:v>29418</x:v>
      </x:c>
      <x:c r="L150" s="55" t="n">
        <x:v>3509</x:v>
      </x:c>
      <x:c r="M150" s="55" t="n">
        <x:v>459</x:v>
      </x:c>
      <x:c r="N150" s="55" t="n">
        <x:v>1799</x:v>
      </x:c>
      <x:c r="O150" s="55" t="n">
        <x:v>1251</x:v>
      </x:c>
      <x:c r="P150" s="55" t="n">
        <x:v>784</x:v>
      </x:c>
      <x:c r="Q150" s="55" t="n">
        <x:v>2045</x:v>
      </x:c>
      <x:c r="R150" s="55" t="n">
        <x:v>1530</x:v>
      </x:c>
      <x:c r="S150" s="55" t="n">
        <x:v>2405</x:v>
      </x:c>
      <x:c r="T150" s="55" t="n">
        <x:v>1253</x:v>
      </x:c>
      <x:c r="U150" s="55" t="n">
        <x:v>1837</x:v>
      </x:c>
      <x:c r="V150" s="55" t="n">
        <x:v>10317</x:v>
      </x:c>
      <x:c r="W150" s="55" t="n">
        <x:v>7178</x:v>
      </x:c>
      <x:c r="X150" s="55" t="n">
        <x:v>3139</x:v>
      </x:c>
      <x:c r="Y150" s="55" t="n">
        <x:v>2716</x:v>
      </x:c>
      <x:c r="Z150" s="55" t="n">
        <x:v>3207</x:v>
      </x:c>
      <x:c r="AA150" s="55" t="n">
        <x:v>2920</x:v>
      </x:c>
      <x:c r="AB150" s="55" t="n">
        <x:v>1207</x:v>
      </x:c>
      <x:c r="AC150" s="55" t="n">
        <x:v>7694</x:v>
      </x:c>
      <x:c r="AD150" s="55" t="n">
        <x:v>2522</x:v>
      </x:c>
      <x:c r="AE150" s="55" t="n">
        <x:v>10354</x:v>
      </x:c>
      <x:c r="AF150" s="55" t="n">
        <x:v>10317</x:v>
      </x:c>
      <x:c r="AG150" s="55" t="n">
        <x:v>37</x:v>
      </x:c>
      <x:c r="AH150" s="55" t="n">
        <x:v>349</x:v>
      </x:c>
      <x:c r="AI150" s="55" t="n">
        <x:v>9968</x:v>
      </x:c>
      <x:c r="AJ150" s="55" t="n">
        <x:v>264</x:v>
      </x:c>
      <x:c r="AK150" s="55" t="n">
        <x:v>1129</x:v>
      </x:c>
      <x:c r="AL150" s="55" t="n">
        <x:v>1257</x:v>
      </x:c>
      <x:c r="AM150" s="55" t="n">
        <x:v>5299</x:v>
      </x:c>
      <x:c r="AN150" s="55" t="n">
        <x:v>2368</x:v>
      </x:c>
      <x:c r="AO150" s="55" t="n">
        <x:v>0</x:v>
      </x:c>
      <x:c r="AP150" s="55" t="n">
        <x:v>1960</x:v>
      </x:c>
      <x:c r="AQ150" s="55" t="n">
        <x:v>979</x:v>
      </x:c>
    </x:row>
    <x:row r="151">
      <x:c r="A151" s="54" t="str">
        <x:v>T1_SHARED_CATCHMENT</x:v>
      </x:c>
      <x:c r="B151" s="54" t="n">
        <x:v>145</x:v>
      </x:c>
      <x:c r="C151" s="54" t="str">
        <x:v>NYC-V2-R01</x:v>
      </x:c>
      <x:c r="D151" s="54" t="str">
        <x:v>V2</x:v>
      </x:c>
      <x:c r="E151" s="54" t="str">
        <x:v>ADMITTED</x:v>
      </x:c>
      <x:c r="F151" s="55" t="n">
        <x:v>31971</x:v>
      </x:c>
      <x:c r="G151" s="55" t="n">
        <x:v>7863</x:v>
      </x:c>
      <x:c r="H151" s="55" t="n">
        <x:v>3371</x:v>
      </x:c>
      <x:c r="I151" s="55" t="n">
        <x:v>1043</x:v>
      </x:c>
      <x:c r="J151" s="55" t="n">
        <x:v>132</x:v>
      </x:c>
      <x:c r="K151" s="55" t="n">
        <x:v>31971</x:v>
      </x:c>
      <x:c r="L151" s="55" t="n">
        <x:v>6059</x:v>
      </x:c>
      <x:c r="M151" s="55" t="n">
        <x:v>1716</x:v>
      </x:c>
      <x:c r="N151" s="55" t="n">
        <x:v>2842</x:v>
      </x:c>
      <x:c r="O151" s="55" t="n">
        <x:v>1501</x:v>
      </x:c>
      <x:c r="P151" s="55" t="n">
        <x:v>1027</x:v>
      </x:c>
      <x:c r="Q151" s="55" t="n">
        <x:v>2723</x:v>
      </x:c>
      <x:c r="R151" s="55" t="n">
        <x:v>1804</x:v>
      </x:c>
      <x:c r="S151" s="55" t="n">
        <x:v>2144</x:v>
      </x:c>
      <x:c r="T151" s="55" t="n">
        <x:v>2235</x:v>
      </x:c>
      <x:c r="U151" s="55" t="n">
        <x:v>1509</x:v>
      </x:c>
      <x:c r="V151" s="55" t="n">
        <x:v>10109</x:v>
      </x:c>
      <x:c r="W151" s="55" t="n">
        <x:v>6407</x:v>
      </x:c>
      <x:c r="X151" s="55" t="n">
        <x:v>3702</x:v>
      </x:c>
      <x:c r="Y151" s="55" t="n">
        <x:v>3046</x:v>
      </x:c>
      <x:c r="Z151" s="55" t="n">
        <x:v>3536</x:v>
      </x:c>
      <x:c r="AA151" s="55" t="n">
        <x:v>3371</x:v>
      </x:c>
      <x:c r="AB151" s="55" t="n">
        <x:v>1507</x:v>
      </x:c>
      <x:c r="AC151" s="55" t="n">
        <x:v>7952</x:v>
      </x:c>
      <x:c r="AD151" s="55" t="n">
        <x:v>3407</x:v>
      </x:c>
      <x:c r="AE151" s="55" t="n">
        <x:v>10233</x:v>
      </x:c>
      <x:c r="AF151" s="55" t="n">
        <x:v>10109</x:v>
      </x:c>
      <x:c r="AG151" s="55" t="n">
        <x:v>124</x:v>
      </x:c>
      <x:c r="AH151" s="55" t="n">
        <x:v>250</x:v>
      </x:c>
      <x:c r="AI151" s="55" t="n">
        <x:v>9859</x:v>
      </x:c>
      <x:c r="AJ151" s="55" t="n">
        <x:v>458</x:v>
      </x:c>
      <x:c r="AK151" s="55" t="n">
        <x:v>1149</x:v>
      </x:c>
      <x:c r="AL151" s="55" t="n">
        <x:v>1495</x:v>
      </x:c>
      <x:c r="AM151" s="55" t="n">
        <x:v>4299</x:v>
      </x:c>
      <x:c r="AN151" s="55" t="n">
        <x:v>2708</x:v>
      </x:c>
      <x:c r="AO151" s="55" t="n">
        <x:v>0</x:v>
      </x:c>
      <x:c r="AP151" s="55" t="n">
        <x:v>2281</x:v>
      </x:c>
      <x:c r="AQ151" s="55" t="n">
        <x:v>974</x:v>
      </x:c>
    </x:row>
    <x:row r="152">
      <x:c r="A152" s="54" t="str">
        <x:v>T1_SHARED_CATCHMENT</x:v>
      </x:c>
      <x:c r="B152" s="54" t="n">
        <x:v>146</x:v>
      </x:c>
      <x:c r="C152" s="54" t="str">
        <x:v>NYC-V2-R01</x:v>
      </x:c>
      <x:c r="D152" s="54" t="str">
        <x:v>V2</x:v>
      </x:c>
      <x:c r="E152" s="54" t="str">
        <x:v>ADMITTED</x:v>
      </x:c>
      <x:c r="F152" s="55" t="n">
        <x:v>32005</x:v>
      </x:c>
      <x:c r="G152" s="55" t="n">
        <x:v>7583</x:v>
      </x:c>
      <x:c r="H152" s="55" t="n">
        <x:v>3319</x:v>
      </x:c>
      <x:c r="I152" s="55" t="n">
        <x:v>1636</x:v>
      </x:c>
      <x:c r="J152" s="55" t="n">
        <x:v>225</x:v>
      </x:c>
      <x:c r="K152" s="55" t="n">
        <x:v>32005</x:v>
      </x:c>
      <x:c r="L152" s="55" t="n">
        <x:v>5388</x:v>
      </x:c>
      <x:c r="M152" s="55" t="n">
        <x:v>860</x:v>
      </x:c>
      <x:c r="N152" s="55" t="n">
        <x:v>2694</x:v>
      </x:c>
      <x:c r="O152" s="55" t="n">
        <x:v>1834</x:v>
      </x:c>
      <x:c r="P152" s="55" t="n">
        <x:v>765</x:v>
      </x:c>
      <x:c r="Q152" s="55" t="n">
        <x:v>2986</x:v>
      </x:c>
      <x:c r="R152" s="55" t="n">
        <x:v>2595</x:v>
      </x:c>
      <x:c r="S152" s="55" t="n">
        <x:v>2537</x:v>
      </x:c>
      <x:c r="T152" s="55" t="n">
        <x:v>1229</x:v>
      </x:c>
      <x:c r="U152" s="55" t="n">
        <x:v>1880</x:v>
      </x:c>
      <x:c r="V152" s="55" t="n">
        <x:v>10568</x:v>
      </x:c>
      <x:c r="W152" s="55" t="n">
        <x:v>7526</x:v>
      </x:c>
      <x:c r="X152" s="55" t="n">
        <x:v>3042</x:v>
      </x:c>
      <x:c r="Y152" s="55" t="n">
        <x:v>2441</x:v>
      </x:c>
      <x:c r="Z152" s="55" t="n">
        <x:v>3674</x:v>
      </x:c>
      <x:c r="AA152" s="55" t="n">
        <x:v>2548</x:v>
      </x:c>
      <x:c r="AB152" s="55" t="n">
        <x:v>994</x:v>
      </x:c>
      <x:c r="AC152" s="55" t="n">
        <x:v>8035</x:v>
      </x:c>
      <x:c r="AD152" s="55" t="n">
        <x:v>3106</x:v>
      </x:c>
      <x:c r="AE152" s="55" t="n">
        <x:v>10607</x:v>
      </x:c>
      <x:c r="AF152" s="55" t="n">
        <x:v>10568</x:v>
      </x:c>
      <x:c r="AG152" s="55" t="n">
        <x:v>39</x:v>
      </x:c>
      <x:c r="AH152" s="55" t="n">
        <x:v>519</x:v>
      </x:c>
      <x:c r="AI152" s="55" t="n">
        <x:v>10049</x:v>
      </x:c>
      <x:c r="AJ152" s="55" t="n">
        <x:v>250</x:v>
      </x:c>
      <x:c r="AK152" s="55" t="n">
        <x:v>1050</x:v>
      </x:c>
      <x:c r="AL152" s="55" t="n">
        <x:v>1669</x:v>
      </x:c>
      <x:c r="AM152" s="55" t="n">
        <x:v>4891</x:v>
      </x:c>
      <x:c r="AN152" s="55" t="n">
        <x:v>2708</x:v>
      </x:c>
      <x:c r="AO152" s="55" t="n">
        <x:v>0</x:v>
      </x:c>
      <x:c r="AP152" s="55" t="n">
        <x:v>1695</x:v>
      </x:c>
      <x:c r="AQ152" s="55" t="n">
        <x:v>925</x:v>
      </x:c>
    </x:row>
    <x:row r="153">
      <x:c r="A153" s="54" t="str">
        <x:v>T1_SHARED_CATCHMENT</x:v>
      </x:c>
      <x:c r="B153" s="54" t="n">
        <x:v>147</x:v>
      </x:c>
      <x:c r="C153" s="54" t="str">
        <x:v>NYC-V2-R01</x:v>
      </x:c>
      <x:c r="D153" s="54" t="str">
        <x:v>V2</x:v>
      </x:c>
      <x:c r="E153" s="54" t="str">
        <x:v>ADMITTED</x:v>
      </x:c>
      <x:c r="F153" s="55" t="n">
        <x:v>31005</x:v>
      </x:c>
      <x:c r="G153" s="55" t="n">
        <x:v>7261</x:v>
      </x:c>
      <x:c r="H153" s="55" t="n">
        <x:v>3385</x:v>
      </x:c>
      <x:c r="I153" s="55" t="n">
        <x:v>1769</x:v>
      </x:c>
      <x:c r="J153" s="55" t="n">
        <x:v>281</x:v>
      </x:c>
      <x:c r="K153" s="55" t="n">
        <x:v>28292</x:v>
      </x:c>
      <x:c r="L153" s="55" t="n">
        <x:v>5597</x:v>
      </x:c>
      <x:c r="M153" s="55" t="n">
        <x:v>868</x:v>
      </x:c>
      <x:c r="N153" s="55" t="n">
        <x:v>2850</x:v>
      </x:c>
      <x:c r="O153" s="55" t="n">
        <x:v>1879</x:v>
      </x:c>
      <x:c r="P153" s="55" t="n">
        <x:v>426</x:v>
      </x:c>
      <x:c r="Q153" s="55" t="n">
        <x:v>2136</x:v>
      </x:c>
      <x:c r="R153" s="55" t="n">
        <x:v>1957</x:v>
      </x:c>
      <x:c r="S153" s="55" t="n">
        <x:v>3396</x:v>
      </x:c>
      <x:c r="T153" s="55" t="n">
        <x:v>895</x:v>
      </x:c>
      <x:c r="U153" s="55" t="n">
        <x:v>2152</x:v>
      </x:c>
      <x:c r="V153" s="55" t="n">
        <x:v>10322</x:v>
      </x:c>
      <x:c r="W153" s="55" t="n">
        <x:v>6957</x:v>
      </x:c>
      <x:c r="X153" s="55" t="n">
        <x:v>3365</x:v>
      </x:c>
      <x:c r="Y153" s="55" t="n">
        <x:v>2949</x:v>
      </x:c>
      <x:c r="Z153" s="55" t="n">
        <x:v>4084</x:v>
      </x:c>
      <x:c r="AA153" s="55" t="n">
        <x:v>3258</x:v>
      </x:c>
      <x:c r="AB153" s="55" t="n">
        <x:v>1319</x:v>
      </x:c>
      <x:c r="AC153" s="55" t="n">
        <x:v>8117</x:v>
      </x:c>
      <x:c r="AD153" s="55" t="n">
        <x:v>3696</x:v>
      </x:c>
      <x:c r="AE153" s="55" t="n">
        <x:v>10398</x:v>
      </x:c>
      <x:c r="AF153" s="55" t="n">
        <x:v>10322</x:v>
      </x:c>
      <x:c r="AG153" s="55" t="n">
        <x:v>76</x:v>
      </x:c>
      <x:c r="AH153" s="55" t="n">
        <x:v>671</x:v>
      </x:c>
      <x:c r="AI153" s="55" t="n">
        <x:v>9651</x:v>
      </x:c>
      <x:c r="AJ153" s="55" t="n">
        <x:v>444</x:v>
      </x:c>
      <x:c r="AK153" s="55" t="n">
        <x:v>959</x:v>
      </x:c>
      <x:c r="AL153" s="55" t="n">
        <x:v>1786</x:v>
      </x:c>
      <x:c r="AM153" s="55" t="n">
        <x:v>4332</x:v>
      </x:c>
      <x:c r="AN153" s="55" t="n">
        <x:v>2764</x:v>
      </x:c>
      <x:c r="AO153" s="55" t="n">
        <x:v>37</x:v>
      </x:c>
      <x:c r="AP153" s="55" t="n">
        <x:v>2682</x:v>
      </x:c>
      <x:c r="AQ153" s="55" t="n">
        <x:v>997</x:v>
      </x:c>
    </x:row>
    <x:row r="154">
      <x:c r="A154" s="54" t="str">
        <x:v>T1_SHARED_CATCHMENT</x:v>
      </x:c>
      <x:c r="B154" s="54" t="n">
        <x:v>148</x:v>
      </x:c>
      <x:c r="C154" s="54" t="str">
        <x:v>NYC-V2-R01</x:v>
      </x:c>
      <x:c r="D154" s="54" t="str">
        <x:v>V2</x:v>
      </x:c>
      <x:c r="E154" s="54" t="str">
        <x:v>ADMITTED</x:v>
      </x:c>
      <x:c r="F154" s="55" t="n">
        <x:v>29052</x:v>
      </x:c>
      <x:c r="G154" s="55" t="n">
        <x:v>7264</x:v>
      </x:c>
      <x:c r="H154" s="55" t="n">
        <x:v>3548</x:v>
      </x:c>
      <x:c r="I154" s="55" t="n">
        <x:v>1219</x:v>
      </x:c>
      <x:c r="J154" s="55" t="n">
        <x:v>135</x:v>
      </x:c>
      <x:c r="K154" s="55" t="n">
        <x:v>28712</x:v>
      </x:c>
      <x:c r="L154" s="55" t="n">
        <x:v>4697</x:v>
      </x:c>
      <x:c r="M154" s="55" t="n">
        <x:v>1353</x:v>
      </x:c>
      <x:c r="N154" s="55" t="n">
        <x:v>2265</x:v>
      </x:c>
      <x:c r="O154" s="55" t="n">
        <x:v>1079</x:v>
      </x:c>
      <x:c r="P154" s="55" t="n">
        <x:v>850</x:v>
      </x:c>
      <x:c r="Q154" s="55" t="n">
        <x:v>1849</x:v>
      </x:c>
      <x:c r="R154" s="55" t="n">
        <x:v>1934</x:v>
      </x:c>
      <x:c r="S154" s="55" t="n">
        <x:v>2357</x:v>
      </x:c>
      <x:c r="T154" s="55" t="n">
        <x:v>1112</x:v>
      </x:c>
      <x:c r="U154" s="55" t="n">
        <x:v>2209</x:v>
      </x:c>
      <x:c r="V154" s="55" t="n">
        <x:v>9185</x:v>
      </x:c>
      <x:c r="W154" s="55" t="n">
        <x:v>6125</x:v>
      </x:c>
      <x:c r="X154" s="55" t="n">
        <x:v>3060</x:v>
      </x:c>
      <x:c r="Y154" s="55" t="n">
        <x:v>2505</x:v>
      </x:c>
      <x:c r="Z154" s="55" t="n">
        <x:v>4093</x:v>
      </x:c>
      <x:c r="AA154" s="55" t="n">
        <x:v>3548</x:v>
      </x:c>
      <x:c r="AB154" s="55" t="n">
        <x:v>1338</x:v>
      </x:c>
      <x:c r="AC154" s="55" t="n">
        <x:v>7509</x:v>
      </x:c>
      <x:c r="AD154" s="55" t="n">
        <x:v>2464</x:v>
      </x:c>
      <x:c r="AE154" s="55" t="n">
        <x:v>9347</x:v>
      </x:c>
      <x:c r="AF154" s="55" t="n">
        <x:v>9185</x:v>
      </x:c>
      <x:c r="AG154" s="55" t="n">
        <x:v>162</x:v>
      </x:c>
      <x:c r="AH154" s="55" t="n">
        <x:v>347</x:v>
      </x:c>
      <x:c r="AI154" s="55" t="n">
        <x:v>8838</x:v>
      </x:c>
      <x:c r="AJ154" s="55" t="n">
        <x:v>213</x:v>
      </x:c>
      <x:c r="AK154" s="55" t="n">
        <x:v>997</x:v>
      </x:c>
      <x:c r="AL154" s="55" t="n">
        <x:v>1617</x:v>
      </x:c>
      <x:c r="AM154" s="55" t="n">
        <x:v>4037</x:v>
      </x:c>
      <x:c r="AN154" s="55" t="n">
        <x:v>2306</x:v>
      </x:c>
      <x:c r="AO154" s="55" t="n">
        <x:v>15</x:v>
      </x:c>
      <x:c r="AP154" s="55" t="n">
        <x:v>2270</x:v>
      </x:c>
      <x:c r="AQ154" s="55" t="n">
        <x:v>924</x:v>
      </x:c>
    </x:row>
    <x:row r="155">
      <x:c r="A155" s="54" t="str">
        <x:v>T1_SHARED_CATCHMENT</x:v>
      </x:c>
      <x:c r="B155" s="54" t="n">
        <x:v>149</x:v>
      </x:c>
      <x:c r="C155" s="54" t="str">
        <x:v>NYC-V2-R01</x:v>
      </x:c>
      <x:c r="D155" s="54" t="str">
        <x:v>V2</x:v>
      </x:c>
      <x:c r="E155" s="54" t="str">
        <x:v>ADMITTED</x:v>
      </x:c>
      <x:c r="F155" s="55" t="n">
        <x:v>32431</x:v>
      </x:c>
      <x:c r="G155" s="55" t="n">
        <x:v>8194</x:v>
      </x:c>
      <x:c r="H155" s="55" t="n">
        <x:v>3267</x:v>
      </x:c>
      <x:c r="I155" s="55" t="n">
        <x:v>1282</x:v>
      </x:c>
      <x:c r="J155" s="55" t="n">
        <x:v>26</x:v>
      </x:c>
      <x:c r="K155" s="55" t="n">
        <x:v>28369</x:v>
      </x:c>
      <x:c r="L155" s="55" t="n">
        <x:v>6200</x:v>
      </x:c>
      <x:c r="M155" s="55" t="n">
        <x:v>1927</x:v>
      </x:c>
      <x:c r="N155" s="55" t="n">
        <x:v>2868</x:v>
      </x:c>
      <x:c r="O155" s="55" t="n">
        <x:v>1405</x:v>
      </x:c>
      <x:c r="P155" s="55" t="n">
        <x:v>706</x:v>
      </x:c>
      <x:c r="Q155" s="55" t="n">
        <x:v>2486</x:v>
      </x:c>
      <x:c r="R155" s="55" t="n">
        <x:v>1510</x:v>
      </x:c>
      <x:c r="S155" s="55" t="n">
        <x:v>2699</x:v>
      </x:c>
      <x:c r="T155" s="55" t="n">
        <x:v>1617</x:v>
      </x:c>
      <x:c r="U155" s="55" t="n">
        <x:v>1714</x:v>
      </x:c>
      <x:c r="V155" s="55" t="n">
        <x:v>10530</x:v>
      </x:c>
      <x:c r="W155" s="55" t="n">
        <x:v>7178</x:v>
      </x:c>
      <x:c r="X155" s="55" t="n">
        <x:v>3352</x:v>
      </x:c>
      <x:c r="Y155" s="55" t="n">
        <x:v>2877</x:v>
      </x:c>
      <x:c r="Z155" s="55" t="n">
        <x:v>3628</x:v>
      </x:c>
      <x:c r="AA155" s="55" t="n">
        <x:v>3207</x:v>
      </x:c>
      <x:c r="AB155" s="55" t="n">
        <x:v>1086</x:v>
      </x:c>
      <x:c r="AC155" s="55" t="n">
        <x:v>7193</x:v>
      </x:c>
      <x:c r="AD155" s="55" t="n">
        <x:v>2849</x:v>
      </x:c>
      <x:c r="AE155" s="55" t="n">
        <x:v>10596</x:v>
      </x:c>
      <x:c r="AF155" s="55" t="n">
        <x:v>10530</x:v>
      </x:c>
      <x:c r="AG155" s="55" t="n">
        <x:v>66</x:v>
      </x:c>
      <x:c r="AH155" s="55" t="n">
        <x:v>194</x:v>
      </x:c>
      <x:c r="AI155" s="55" t="n">
        <x:v>10336</x:v>
      </x:c>
      <x:c r="AJ155" s="55" t="n">
        <x:v>327</x:v>
      </x:c>
      <x:c r="AK155" s="55" t="n">
        <x:v>843</x:v>
      </x:c>
      <x:c r="AL155" s="55" t="n">
        <x:v>1329</x:v>
      </x:c>
      <x:c r="AM155" s="55" t="n">
        <x:v>5552</x:v>
      </x:c>
      <x:c r="AN155" s="55" t="n">
        <x:v>2439</x:v>
      </x:c>
      <x:c r="AO155" s="55" t="n">
        <x:v>40</x:v>
      </x:c>
      <x:c r="AP155" s="55" t="n">
        <x:v>2487</x:v>
      </x:c>
      <x:c r="AQ155" s="55" t="n">
        <x:v>976</x:v>
      </x:c>
    </x:row>
    <x:row r="156">
      <x:c r="A156" s="54" t="str">
        <x:v>T1_SHARED_CATCHMENT</x:v>
      </x:c>
      <x:c r="B156" s="54" t="n">
        <x:v>150</x:v>
      </x:c>
      <x:c r="C156" s="54" t="str">
        <x:v>NYC-V2-R01</x:v>
      </x:c>
      <x:c r="D156" s="54" t="str">
        <x:v>V2</x:v>
      </x:c>
      <x:c r="E156" s="54" t="str">
        <x:v>ADMITTED</x:v>
      </x:c>
      <x:c r="F156" s="55" t="n">
        <x:v>30685</x:v>
      </x:c>
      <x:c r="G156" s="55" t="n">
        <x:v>7801</x:v>
      </x:c>
      <x:c r="H156" s="55" t="n">
        <x:v>3472</x:v>
      </x:c>
      <x:c r="I156" s="55" t="n">
        <x:v>1018</x:v>
      </x:c>
      <x:c r="J156" s="55" t="n">
        <x:v>146</x:v>
      </x:c>
      <x:c r="K156" s="55" t="n">
        <x:v>30685</x:v>
      </x:c>
      <x:c r="L156" s="55" t="n">
        <x:v>6098</x:v>
      </x:c>
      <x:c r="M156" s="55" t="n">
        <x:v>1761</x:v>
      </x:c>
      <x:c r="N156" s="55" t="n">
        <x:v>2821</x:v>
      </x:c>
      <x:c r="O156" s="55" t="n">
        <x:v>1516</x:v>
      </x:c>
      <x:c r="P156" s="55" t="n">
        <x:v>624</x:v>
      </x:c>
      <x:c r="Q156" s="55" t="n">
        <x:v>3511</x:v>
      </x:c>
      <x:c r="R156" s="55" t="n">
        <x:v>2128</x:v>
      </x:c>
      <x:c r="S156" s="55" t="n">
        <x:v>2459</x:v>
      </x:c>
      <x:c r="T156" s="55" t="n">
        <x:v>1722</x:v>
      </x:c>
      <x:c r="U156" s="55" t="n">
        <x:v>2246</x:v>
      </x:c>
      <x:c r="V156" s="55" t="n">
        <x:v>10859</x:v>
      </x:c>
      <x:c r="W156" s="55" t="n">
        <x:v>8098</x:v>
      </x:c>
      <x:c r="X156" s="55" t="n">
        <x:v>2761</x:v>
      </x:c>
      <x:c r="Y156" s="55" t="n">
        <x:v>2355</x:v>
      </x:c>
      <x:c r="Z156" s="55" t="n">
        <x:v>3669</x:v>
      </x:c>
      <x:c r="AA156" s="55" t="n">
        <x:v>3472</x:v>
      </x:c>
      <x:c r="AB156" s="55" t="n">
        <x:v>1330</x:v>
      </x:c>
      <x:c r="AC156" s="55" t="n">
        <x:v>8213</x:v>
      </x:c>
      <x:c r="AD156" s="55" t="n">
        <x:v>3425</x:v>
      </x:c>
      <x:c r="AE156" s="55" t="n">
        <x:v>10950</x:v>
      </x:c>
      <x:c r="AF156" s="55" t="n">
        <x:v>10859</x:v>
      </x:c>
      <x:c r="AG156" s="55" t="n">
        <x:v>91</x:v>
      </x:c>
      <x:c r="AH156" s="55" t="n">
        <x:v>876</x:v>
      </x:c>
      <x:c r="AI156" s="55" t="n">
        <x:v>9983</x:v>
      </x:c>
      <x:c r="AJ156" s="55" t="n">
        <x:v>274</x:v>
      </x:c>
      <x:c r="AK156" s="55" t="n">
        <x:v>803</x:v>
      </x:c>
      <x:c r="AL156" s="55" t="n">
        <x:v>1264</x:v>
      </x:c>
      <x:c r="AM156" s="55" t="n">
        <x:v>4864</x:v>
      </x:c>
      <x:c r="AN156" s="55" t="n">
        <x:v>3536</x:v>
      </x:c>
      <x:c r="AO156" s="55" t="n">
        <x:v>118</x:v>
      </x:c>
      <x:c r="AP156" s="55" t="n">
        <x:v>2353</x:v>
      </x:c>
      <x:c r="AQ156" s="55" t="n">
        <x:v>953</x:v>
      </x:c>
    </x:row>
    <x:row r="157">
      <x:c r="A157" s="54" t="str">
        <x:v>T1_SHARED_CATCHMENT</x:v>
      </x:c>
      <x:c r="B157" s="54" t="n">
        <x:v>151</x:v>
      </x:c>
      <x:c r="C157" s="54" t="str">
        <x:v>NYC-V2-R01</x:v>
      </x:c>
      <x:c r="D157" s="54" t="str">
        <x:v>V2</x:v>
      </x:c>
      <x:c r="E157" s="54" t="str">
        <x:v>ADMITTED</x:v>
      </x:c>
      <x:c r="F157" s="55" t="n">
        <x:v>32984</x:v>
      </x:c>
      <x:c r="G157" s="55" t="n">
        <x:v>8805</x:v>
      </x:c>
      <x:c r="H157" s="55" t="n">
        <x:v>3727</x:v>
      </x:c>
      <x:c r="I157" s="55" t="n">
        <x:v>1653</x:v>
      </x:c>
      <x:c r="J157" s="55" t="n">
        <x:v>497</x:v>
      </x:c>
      <x:c r="K157" s="55" t="n">
        <x:v>32457</x:v>
      </x:c>
      <x:c r="L157" s="55" t="n">
        <x:v>7571</x:v>
      </x:c>
      <x:c r="M157" s="55" t="n">
        <x:v>2684</x:v>
      </x:c>
      <x:c r="N157" s="55" t="n">
        <x:v>2983</x:v>
      </x:c>
      <x:c r="O157" s="55" t="n">
        <x:v>1904</x:v>
      </x:c>
      <x:c r="P157" s="55" t="n">
        <x:v>1137</x:v>
      </x:c>
      <x:c r="Q157" s="55" t="n">
        <x:v>3592</x:v>
      </x:c>
      <x:c r="R157" s="55" t="n">
        <x:v>1926</x:v>
      </x:c>
      <x:c r="S157" s="55" t="n">
        <x:v>2895</x:v>
      </x:c>
      <x:c r="T157" s="55" t="n">
        <x:v>1630</x:v>
      </x:c>
      <x:c r="U157" s="55" t="n">
        <x:v>2327</x:v>
      </x:c>
      <x:c r="V157" s="55" t="n">
        <x:v>11082</x:v>
      </x:c>
      <x:c r="W157" s="55" t="n">
        <x:v>7965</x:v>
      </x:c>
      <x:c r="X157" s="55" t="n">
        <x:v>3117</x:v>
      </x:c>
      <x:c r="Y157" s="55" t="n">
        <x:v>2743</x:v>
      </x:c>
      <x:c r="Z157" s="55" t="n">
        <x:v>4141</x:v>
      </x:c>
      <x:c r="AA157" s="55" t="n">
        <x:v>3063</x:v>
      </x:c>
      <x:c r="AB157" s="55" t="n">
        <x:v>1018</x:v>
      </x:c>
      <x:c r="AC157" s="55" t="n">
        <x:v>8317</x:v>
      </x:c>
      <x:c r="AD157" s="55" t="n">
        <x:v>3402</x:v>
      </x:c>
      <x:c r="AE157" s="55" t="n">
        <x:v>11164</x:v>
      </x:c>
      <x:c r="AF157" s="55" t="n">
        <x:v>11082</x:v>
      </x:c>
      <x:c r="AG157" s="55" t="n">
        <x:v>82</x:v>
      </x:c>
      <x:c r="AH157" s="55" t="n">
        <x:v>484</x:v>
      </x:c>
      <x:c r="AI157" s="55" t="n">
        <x:v>10598</x:v>
      </x:c>
      <x:c r="AJ157" s="55" t="n">
        <x:v>391</x:v>
      </x:c>
      <x:c r="AK157" s="55" t="n">
        <x:v>1416</x:v>
      </x:c>
      <x:c r="AL157" s="55" t="n">
        <x:v>1780</x:v>
      </x:c>
      <x:c r="AM157" s="55" t="n">
        <x:v>4796</x:v>
      </x:c>
      <x:c r="AN157" s="55" t="n">
        <x:v>2697</x:v>
      </x:c>
      <x:c r="AO157" s="55" t="n">
        <x:v>2</x:v>
      </x:c>
      <x:c r="AP157" s="55" t="n">
        <x:v>2551</x:v>
      </x:c>
      <x:c r="AQ157" s="55" t="n">
        <x:v>932</x:v>
      </x:c>
    </x:row>
    <x:row r="158">
      <x:c r="A158" s="54" t="str">
        <x:v>T1_SHARED_CATCHMENT</x:v>
      </x:c>
      <x:c r="B158" s="54" t="n">
        <x:v>152</x:v>
      </x:c>
      <x:c r="C158" s="54" t="str">
        <x:v>NYC-V2-R01</x:v>
      </x:c>
      <x:c r="D158" s="54" t="str">
        <x:v>V2</x:v>
      </x:c>
      <x:c r="E158" s="54" t="str">
        <x:v>ADMITTED</x:v>
      </x:c>
      <x:c r="F158" s="55" t="n">
        <x:v>32146</x:v>
      </x:c>
      <x:c r="G158" s="55" t="n">
        <x:v>7391</x:v>
      </x:c>
      <x:c r="H158" s="55" t="n">
        <x:v>3586</x:v>
      </x:c>
      <x:c r="I158" s="55" t="n">
        <x:v>994</x:v>
      </x:c>
      <x:c r="J158" s="55" t="n">
        <x:v>302</x:v>
      </x:c>
      <x:c r="K158" s="55" t="n">
        <x:v>32146</x:v>
      </x:c>
      <x:c r="L158" s="55" t="n">
        <x:v>6050</x:v>
      </x:c>
      <x:c r="M158" s="55" t="n">
        <x:v>1587</x:v>
      </x:c>
      <x:c r="N158" s="55" t="n">
        <x:v>2736</x:v>
      </x:c>
      <x:c r="O158" s="55" t="n">
        <x:v>1727</x:v>
      </x:c>
      <x:c r="P158" s="55" t="n">
        <x:v>1067</x:v>
      </x:c>
      <x:c r="Q158" s="55" t="n">
        <x:v>2702</x:v>
      </x:c>
      <x:c r="R158" s="55" t="n">
        <x:v>2383</x:v>
      </x:c>
      <x:c r="S158" s="55" t="n">
        <x:v>2818</x:v>
      </x:c>
      <x:c r="T158" s="55" t="n">
        <x:v>1242</x:v>
      </x:c>
      <x:c r="U158" s="55" t="n">
        <x:v>2382</x:v>
      </x:c>
      <x:c r="V158" s="55" t="n">
        <x:v>10963</x:v>
      </x:c>
      <x:c r="W158" s="55" t="n">
        <x:v>7848</x:v>
      </x:c>
      <x:c r="X158" s="55" t="n">
        <x:v>3115</x:v>
      </x:c>
      <x:c r="Y158" s="55" t="n">
        <x:v>2747</x:v>
      </x:c>
      <x:c r="Z158" s="55" t="n">
        <x:v>4113</x:v>
      </x:c>
      <x:c r="AA158" s="55" t="n">
        <x:v>3586</x:v>
      </x:c>
      <x:c r="AB158" s="55" t="n">
        <x:v>1099</x:v>
      </x:c>
      <x:c r="AC158" s="55" t="n">
        <x:v>8364</x:v>
      </x:c>
      <x:c r="AD158" s="55" t="n">
        <x:v>2990</x:v>
      </x:c>
      <x:c r="AE158" s="55" t="n">
        <x:v>11101</x:v>
      </x:c>
      <x:c r="AF158" s="55" t="n">
        <x:v>10963</x:v>
      </x:c>
      <x:c r="AG158" s="55" t="n">
        <x:v>138</x:v>
      </x:c>
      <x:c r="AH158" s="55" t="n">
        <x:v>292</x:v>
      </x:c>
      <x:c r="AI158" s="55" t="n">
        <x:v>10671</x:v>
      </x:c>
      <x:c r="AJ158" s="55" t="n">
        <x:v>468</x:v>
      </x:c>
      <x:c r="AK158" s="55" t="n">
        <x:v>792</x:v>
      </x:c>
      <x:c r="AL158" s="55" t="n">
        <x:v>2042</x:v>
      </x:c>
      <x:c r="AM158" s="55" t="n">
        <x:v>5109</x:v>
      </x:c>
      <x:c r="AN158" s="55" t="n">
        <x:v>2420</x:v>
      </x:c>
      <x:c r="AO158" s="55" t="n">
        <x:v>132</x:v>
      </x:c>
      <x:c r="AP158" s="55" t="n">
        <x:v>2638</x:v>
      </x:c>
      <x:c r="AQ158" s="55" t="n">
        <x:v>946</x:v>
      </x:c>
    </x:row>
    <x:row r="159">
      <x:c r="A159" s="54" t="str">
        <x:v>T1_SHARED_CATCHMENT</x:v>
      </x:c>
      <x:c r="B159" s="54" t="n">
        <x:v>153</x:v>
      </x:c>
      <x:c r="C159" s="54" t="str">
        <x:v>NYC-V2-R01</x:v>
      </x:c>
      <x:c r="D159" s="54" t="str">
        <x:v>V2</x:v>
      </x:c>
      <x:c r="E159" s="54" t="str">
        <x:v>ADMITTED</x:v>
      </x:c>
      <x:c r="F159" s="55" t="n">
        <x:v>31459</x:v>
      </x:c>
      <x:c r="G159" s="55" t="n">
        <x:v>8282</x:v>
      </x:c>
      <x:c r="H159" s="55" t="n">
        <x:v>3463</x:v>
      </x:c>
      <x:c r="I159" s="55" t="n">
        <x:v>1388</x:v>
      </x:c>
      <x:c r="J159" s="55" t="n">
        <x:v>299</x:v>
      </x:c>
      <x:c r="K159" s="55" t="n">
        <x:v>31459</x:v>
      </x:c>
      <x:c r="L159" s="55" t="n">
        <x:v>6750</x:v>
      </x:c>
      <x:c r="M159" s="55" t="n">
        <x:v>1588</x:v>
      </x:c>
      <x:c r="N159" s="55" t="n">
        <x:v>2773</x:v>
      </x:c>
      <x:c r="O159" s="55" t="n">
        <x:v>2389</x:v>
      </x:c>
      <x:c r="P159" s="55" t="n">
        <x:v>1034</x:v>
      </x:c>
      <x:c r="Q159" s="55" t="n">
        <x:v>2115</x:v>
      </x:c>
      <x:c r="R159" s="55" t="n">
        <x:v>1657</x:v>
      </x:c>
      <x:c r="S159" s="55" t="n">
        <x:v>1887</x:v>
      </x:c>
      <x:c r="T159" s="55" t="n">
        <x:v>1233</x:v>
      </x:c>
      <x:c r="U159" s="55" t="n">
        <x:v>2158</x:v>
      </x:c>
      <x:c r="V159" s="55" t="n">
        <x:v>10639</x:v>
      </x:c>
      <x:c r="W159" s="55" t="n">
        <x:v>7568</x:v>
      </x:c>
      <x:c r="X159" s="55" t="n">
        <x:v>3071</x:v>
      </x:c>
      <x:c r="Y159" s="55" t="n">
        <x:v>2570</x:v>
      </x:c>
      <x:c r="Z159" s="55" t="n">
        <x:v>3638</x:v>
      </x:c>
      <x:c r="AA159" s="55" t="n">
        <x:v>3463</x:v>
      </x:c>
      <x:c r="AB159" s="55" t="n">
        <x:v>1344</x:v>
      </x:c>
      <x:c r="AC159" s="55" t="n">
        <x:v>7504</x:v>
      </x:c>
      <x:c r="AD159" s="55" t="n">
        <x:v>3034</x:v>
      </x:c>
      <x:c r="AE159" s="55" t="n">
        <x:v>10654</x:v>
      </x:c>
      <x:c r="AF159" s="55" t="n">
        <x:v>10639</x:v>
      </x:c>
      <x:c r="AG159" s="55" t="n">
        <x:v>15</x:v>
      </x:c>
      <x:c r="AH159" s="55" t="n">
        <x:v>319</x:v>
      </x:c>
      <x:c r="AI159" s="55" t="n">
        <x:v>10320</x:v>
      </x:c>
      <x:c r="AJ159" s="55" t="n">
        <x:v>367</x:v>
      </x:c>
      <x:c r="AK159" s="55" t="n">
        <x:v>859</x:v>
      </x:c>
      <x:c r="AL159" s="55" t="n">
        <x:v>1417</x:v>
      </x:c>
      <x:c r="AM159" s="55" t="n">
        <x:v>5340</x:v>
      </x:c>
      <x:c r="AN159" s="55" t="n">
        <x:v>2656</x:v>
      </x:c>
      <x:c r="AO159" s="55" t="n">
        <x:v>0</x:v>
      </x:c>
      <x:c r="AP159" s="55" t="n">
        <x:v>2131</x:v>
      </x:c>
      <x:c r="AQ159" s="55" t="n">
        <x:v>951</x:v>
      </x:c>
    </x:row>
    <x:row r="160">
      <x:c r="A160" s="54" t="str">
        <x:v>T1_SHARED_CATCHMENT</x:v>
      </x:c>
      <x:c r="B160" s="54" t="n">
        <x:v>154</x:v>
      </x:c>
      <x:c r="C160" s="54" t="str">
        <x:v>NYC-V2-R01</x:v>
      </x:c>
      <x:c r="D160" s="54" t="str">
        <x:v>V2</x:v>
      </x:c>
      <x:c r="E160" s="54" t="str">
        <x:v>ADMITTED</x:v>
      </x:c>
      <x:c r="F160" s="55" t="n">
        <x:v>34024</x:v>
      </x:c>
      <x:c r="G160" s="55" t="n">
        <x:v>9655</x:v>
      </x:c>
      <x:c r="H160" s="55" t="n">
        <x:v>3232</x:v>
      </x:c>
      <x:c r="I160" s="55" t="n">
        <x:v>1227</x:v>
      </x:c>
      <x:c r="J160" s="55" t="n">
        <x:v>233</x:v>
      </x:c>
      <x:c r="K160" s="55" t="n">
        <x:v>31429</x:v>
      </x:c>
      <x:c r="L160" s="55" t="n">
        <x:v>5970</x:v>
      </x:c>
      <x:c r="M160" s="55" t="n">
        <x:v>1499</x:v>
      </x:c>
      <x:c r="N160" s="55" t="n">
        <x:v>2788</x:v>
      </x:c>
      <x:c r="O160" s="55" t="n">
        <x:v>1683</x:v>
      </x:c>
      <x:c r="P160" s="55" t="n">
        <x:v>758</x:v>
      </x:c>
      <x:c r="Q160" s="55" t="n">
        <x:v>2280</x:v>
      </x:c>
      <x:c r="R160" s="55" t="n">
        <x:v>1657</x:v>
      </x:c>
      <x:c r="S160" s="55" t="n">
        <x:v>3017</x:v>
      </x:c>
      <x:c r="T160" s="55" t="n">
        <x:v>1386</x:v>
      </x:c>
      <x:c r="U160" s="55" t="n">
        <x:v>1623</x:v>
      </x:c>
      <x:c r="V160" s="55" t="n">
        <x:v>10431</x:v>
      </x:c>
      <x:c r="W160" s="55" t="n">
        <x:v>7512</x:v>
      </x:c>
      <x:c r="X160" s="55" t="n">
        <x:v>2919</x:v>
      </x:c>
      <x:c r="Y160" s="55" t="n">
        <x:v>2415</x:v>
      </x:c>
      <x:c r="Z160" s="55" t="n">
        <x:v>4214</x:v>
      </x:c>
      <x:c r="AA160" s="55" t="n">
        <x:v>3232</x:v>
      </x:c>
      <x:c r="AB160" s="55" t="n">
        <x:v>1036</x:v>
      </x:c>
      <x:c r="AC160" s="55" t="n">
        <x:v>7809</x:v>
      </x:c>
      <x:c r="AD160" s="55" t="n">
        <x:v>2737</x:v>
      </x:c>
      <x:c r="AE160" s="55" t="n">
        <x:v>10491</x:v>
      </x:c>
      <x:c r="AF160" s="55" t="n">
        <x:v>10431</x:v>
      </x:c>
      <x:c r="AG160" s="55" t="n">
        <x:v>60</x:v>
      </x:c>
      <x:c r="AH160" s="55" t="n">
        <x:v>466</x:v>
      </x:c>
      <x:c r="AI160" s="55" t="n">
        <x:v>9965</x:v>
      </x:c>
      <x:c r="AJ160" s="55" t="n">
        <x:v>144</x:v>
      </x:c>
      <x:c r="AK160" s="55" t="n">
        <x:v>937</x:v>
      </x:c>
      <x:c r="AL160" s="55" t="n">
        <x:v>1497</x:v>
      </x:c>
      <x:c r="AM160" s="55" t="n">
        <x:v>5517</x:v>
      </x:c>
      <x:c r="AN160" s="55" t="n">
        <x:v>2305</x:v>
      </x:c>
      <x:c r="AO160" s="55" t="n">
        <x:v>31</x:v>
      </x:c>
      <x:c r="AP160" s="55" t="n">
        <x:v>2548</x:v>
      </x:c>
      <x:c r="AQ160" s="55" t="n">
        <x:v>952</x:v>
      </x:c>
    </x:row>
    <x:row r="161">
      <x:c r="A161" s="54" t="str">
        <x:v>T1_SHARED_CATCHMENT</x:v>
      </x:c>
      <x:c r="B161" s="54" t="n">
        <x:v>155</x:v>
      </x:c>
      <x:c r="C161" s="54" t="str">
        <x:v>NYC-V2-R01</x:v>
      </x:c>
      <x:c r="D161" s="54" t="str">
        <x:v>V2</x:v>
      </x:c>
      <x:c r="E161" s="54" t="str">
        <x:v>ADMITTED</x:v>
      </x:c>
      <x:c r="F161" s="55" t="n">
        <x:v>30662</x:v>
      </x:c>
      <x:c r="G161" s="55" t="n">
        <x:v>6941</x:v>
      </x:c>
      <x:c r="H161" s="55" t="n">
        <x:v>3559</x:v>
      </x:c>
      <x:c r="I161" s="55" t="n">
        <x:v>1387</x:v>
      </x:c>
      <x:c r="J161" s="55" t="n">
        <x:v>308</x:v>
      </x:c>
      <x:c r="K161" s="55" t="n">
        <x:v>30662</x:v>
      </x:c>
      <x:c r="L161" s="55" t="n">
        <x:v>7306</x:v>
      </x:c>
      <x:c r="M161" s="55" t="n">
        <x:v>2128</x:v>
      </x:c>
      <x:c r="N161" s="55" t="n">
        <x:v>3191</x:v>
      </x:c>
      <x:c r="O161" s="55" t="n">
        <x:v>1987</x:v>
      </x:c>
      <x:c r="P161" s="55" t="n">
        <x:v>505</x:v>
      </x:c>
      <x:c r="Q161" s="55" t="n">
        <x:v>2190</x:v>
      </x:c>
      <x:c r="R161" s="55" t="n">
        <x:v>2407</x:v>
      </x:c>
      <x:c r="S161" s="55" t="n">
        <x:v>3318</x:v>
      </x:c>
      <x:c r="T161" s="55" t="n">
        <x:v>1112</x:v>
      </x:c>
      <x:c r="U161" s="55" t="n">
        <x:v>1904</x:v>
      </x:c>
      <x:c r="V161" s="55" t="n">
        <x:v>10594</x:v>
      </x:c>
      <x:c r="W161" s="55" t="n">
        <x:v>7343</x:v>
      </x:c>
      <x:c r="X161" s="55" t="n">
        <x:v>3251</x:v>
      </x:c>
      <x:c r="Y161" s="55" t="n">
        <x:v>2992</x:v>
      </x:c>
      <x:c r="Z161" s="55" t="n">
        <x:v>3818</x:v>
      </x:c>
      <x:c r="AA161" s="55" t="n">
        <x:v>3296</x:v>
      </x:c>
      <x:c r="AB161" s="55" t="n">
        <x:v>1236</x:v>
      </x:c>
      <x:c r="AC161" s="55" t="n">
        <x:v>7607</x:v>
      </x:c>
      <x:c r="AD161" s="55" t="n">
        <x:v>2936</x:v>
      </x:c>
      <x:c r="AE161" s="55" t="n">
        <x:v>10698</x:v>
      </x:c>
      <x:c r="AF161" s="55" t="n">
        <x:v>10594</x:v>
      </x:c>
      <x:c r="AG161" s="55" t="n">
        <x:v>104</x:v>
      </x:c>
      <x:c r="AH161" s="55" t="n">
        <x:v>291</x:v>
      </x:c>
      <x:c r="AI161" s="55" t="n">
        <x:v>10303</x:v>
      </x:c>
      <x:c r="AJ161" s="55" t="n">
        <x:v>503</x:v>
      </x:c>
      <x:c r="AK161" s="55" t="n">
        <x:v>800</x:v>
      </x:c>
      <x:c r="AL161" s="55" t="n">
        <x:v>1259</x:v>
      </x:c>
      <x:c r="AM161" s="55" t="n">
        <x:v>5280</x:v>
      </x:c>
      <x:c r="AN161" s="55" t="n">
        <x:v>2716</x:v>
      </x:c>
      <x:c r="AO161" s="55" t="n">
        <x:v>36</x:v>
      </x:c>
      <x:c r="AP161" s="55" t="n">
        <x:v>2470</x:v>
      </x:c>
      <x:c r="AQ161" s="55" t="n">
        <x:v>916</x:v>
      </x:c>
    </x:row>
    <x:row r="162">
      <x:c r="A162" s="54" t="str">
        <x:v>T1_SHARED_CATCHMENT</x:v>
      </x:c>
      <x:c r="B162" s="54" t="n">
        <x:v>156</x:v>
      </x:c>
      <x:c r="C162" s="54" t="str">
        <x:v>NYC-V2-R01</x:v>
      </x:c>
      <x:c r="D162" s="54" t="str">
        <x:v>V2</x:v>
      </x:c>
      <x:c r="E162" s="54" t="str">
        <x:v>ADMITTED</x:v>
      </x:c>
      <x:c r="F162" s="55" t="n">
        <x:v>30656</x:v>
      </x:c>
      <x:c r="G162" s="55" t="n">
        <x:v>8004</x:v>
      </x:c>
      <x:c r="H162" s="55" t="n">
        <x:v>3139</x:v>
      </x:c>
      <x:c r="I162" s="55" t="n">
        <x:v>793</x:v>
      </x:c>
      <x:c r="J162" s="55" t="n">
        <x:v>81</x:v>
      </x:c>
      <x:c r="K162" s="55" t="n">
        <x:v>30656</x:v>
      </x:c>
      <x:c r="L162" s="55" t="n">
        <x:v>4856</x:v>
      </x:c>
      <x:c r="M162" s="55" t="n">
        <x:v>209</x:v>
      </x:c>
      <x:c r="N162" s="55" t="n">
        <x:v>2939</x:v>
      </x:c>
      <x:c r="O162" s="55" t="n">
        <x:v>1708</x:v>
      </x:c>
      <x:c r="P162" s="55" t="n">
        <x:v>686</x:v>
      </x:c>
      <x:c r="Q162" s="55" t="n">
        <x:v>2062</x:v>
      </x:c>
      <x:c r="R162" s="55" t="n">
        <x:v>1946</x:v>
      </x:c>
      <x:c r="S162" s="55" t="n">
        <x:v>1953</x:v>
      </x:c>
      <x:c r="T162" s="55" t="n">
        <x:v>1103</x:v>
      </x:c>
      <x:c r="U162" s="55" t="n">
        <x:v>1418</x:v>
      </x:c>
      <x:c r="V162" s="55" t="n">
        <x:v>10853</x:v>
      </x:c>
      <x:c r="W162" s="55" t="n">
        <x:v>7770</x:v>
      </x:c>
      <x:c r="X162" s="55" t="n">
        <x:v>3083</x:v>
      </x:c>
      <x:c r="Y162" s="55" t="n">
        <x:v>2707</x:v>
      </x:c>
      <x:c r="Z162" s="55" t="n">
        <x:v>4099</x:v>
      </x:c>
      <x:c r="AA162" s="55" t="n">
        <x:v>3139</x:v>
      </x:c>
      <x:c r="AB162" s="55" t="n">
        <x:v>847</x:v>
      </x:c>
      <x:c r="AC162" s="55" t="n">
        <x:v>7929</x:v>
      </x:c>
      <x:c r="AD162" s="55" t="n">
        <x:v>2843</x:v>
      </x:c>
      <x:c r="AE162" s="55" t="n">
        <x:v>10883</x:v>
      </x:c>
      <x:c r="AF162" s="55" t="n">
        <x:v>10853</x:v>
      </x:c>
      <x:c r="AG162" s="55" t="n">
        <x:v>30</x:v>
      </x:c>
      <x:c r="AH162" s="55" t="n">
        <x:v>402</x:v>
      </x:c>
      <x:c r="AI162" s="55" t="n">
        <x:v>10451</x:v>
      </x:c>
      <x:c r="AJ162" s="55" t="n">
        <x:v>170</x:v>
      </x:c>
      <x:c r="AK162" s="55" t="n">
        <x:v>1141</x:v>
      </x:c>
      <x:c r="AL162" s="55" t="n">
        <x:v>1796</x:v>
      </x:c>
      <x:c r="AM162" s="55" t="n">
        <x:v>5082</x:v>
      </x:c>
      <x:c r="AN162" s="55" t="n">
        <x:v>2664</x:v>
      </x:c>
      <x:c r="AO162" s="55" t="n">
        <x:v>0</x:v>
      </x:c>
      <x:c r="AP162" s="55" t="n">
        <x:v>2316</x:v>
      </x:c>
      <x:c r="AQ162" s="55" t="n">
        <x:v>916</x:v>
      </x:c>
    </x:row>
    <x:row r="163">
      <x:c r="A163" s="54" t="str">
        <x:v>T1_SHARED_CATCHMENT</x:v>
      </x:c>
      <x:c r="B163" s="54" t="n">
        <x:v>157</x:v>
      </x:c>
      <x:c r="C163" s="54" t="str">
        <x:v>NYC-V2-R01</x:v>
      </x:c>
      <x:c r="D163" s="54" t="str">
        <x:v>V2</x:v>
      </x:c>
      <x:c r="E163" s="54" t="str">
        <x:v>ADMITTED</x:v>
      </x:c>
      <x:c r="F163" s="55" t="n">
        <x:v>29903</x:v>
      </x:c>
      <x:c r="G163" s="55" t="n">
        <x:v>6489</x:v>
      </x:c>
      <x:c r="H163" s="55" t="n">
        <x:v>3410</x:v>
      </x:c>
      <x:c r="I163" s="55" t="n">
        <x:v>1393</x:v>
      </x:c>
      <x:c r="J163" s="55" t="n">
        <x:v>363</x:v>
      </x:c>
      <x:c r="K163" s="55" t="n">
        <x:v>27637</x:v>
      </x:c>
      <x:c r="L163" s="55" t="n">
        <x:v>4515</x:v>
      </x:c>
      <x:c r="M163" s="55" t="n">
        <x:v>404</x:v>
      </x:c>
      <x:c r="N163" s="55" t="n">
        <x:v>2161</x:v>
      </x:c>
      <x:c r="O163" s="55" t="n">
        <x:v>1950</x:v>
      </x:c>
      <x:c r="P163" s="55" t="n">
        <x:v>510</x:v>
      </x:c>
      <x:c r="Q163" s="55" t="n">
        <x:v>2114</x:v>
      </x:c>
      <x:c r="R163" s="55" t="n">
        <x:v>1637</x:v>
      </x:c>
      <x:c r="S163" s="55" t="n">
        <x:v>2728</x:v>
      </x:c>
      <x:c r="T163" s="55" t="n">
        <x:v>1532</x:v>
      </x:c>
      <x:c r="U163" s="55" t="n">
        <x:v>2077</x:v>
      </x:c>
      <x:c r="V163" s="55" t="n">
        <x:v>10763</x:v>
      </x:c>
      <x:c r="W163" s="55" t="n">
        <x:v>7994</x:v>
      </x:c>
      <x:c r="X163" s="55" t="n">
        <x:v>2769</x:v>
      </x:c>
      <x:c r="Y163" s="55" t="n">
        <x:v>2551</x:v>
      </x:c>
      <x:c r="Z163" s="55" t="n">
        <x:v>3507</x:v>
      </x:c>
      <x:c r="AA163" s="55" t="n">
        <x:v>3145</x:v>
      </x:c>
      <x:c r="AB163" s="55" t="n">
        <x:v>952</x:v>
      </x:c>
      <x:c r="AC163" s="55" t="n">
        <x:v>7752</x:v>
      </x:c>
      <x:c r="AD163" s="55" t="n">
        <x:v>2703</x:v>
      </x:c>
      <x:c r="AE163" s="55" t="n">
        <x:v>10823</x:v>
      </x:c>
      <x:c r="AF163" s="55" t="n">
        <x:v>10763</x:v>
      </x:c>
      <x:c r="AG163" s="55" t="n">
        <x:v>60</x:v>
      </x:c>
      <x:c r="AH163" s="55" t="n">
        <x:v>450</x:v>
      </x:c>
      <x:c r="AI163" s="55" t="n">
        <x:v>10313</x:v>
      </x:c>
      <x:c r="AJ163" s="55" t="n">
        <x:v>192</x:v>
      </x:c>
      <x:c r="AK163" s="55" t="n">
        <x:v>892</x:v>
      </x:c>
      <x:c r="AL163" s="55" t="n">
        <x:v>1357</x:v>
      </x:c>
      <x:c r="AM163" s="55" t="n">
        <x:v>5054</x:v>
      </x:c>
      <x:c r="AN163" s="55" t="n">
        <x:v>3268</x:v>
      </x:c>
      <x:c r="AO163" s="55" t="n">
        <x:v>0</x:v>
      </x:c>
      <x:c r="AP163" s="55" t="n">
        <x:v>2260</x:v>
      </x:c>
      <x:c r="AQ163" s="55" t="n">
        <x:v>965</x:v>
      </x:c>
    </x:row>
    <x:row r="164">
      <x:c r="A164" s="54" t="str">
        <x:v>T1_SHARED_CATCHMENT</x:v>
      </x:c>
      <x:c r="B164" s="54" t="n">
        <x:v>158</x:v>
      </x:c>
      <x:c r="C164" s="54" t="str">
        <x:v>NYC-V2-R01</x:v>
      </x:c>
      <x:c r="D164" s="54" t="str">
        <x:v>V2</x:v>
      </x:c>
      <x:c r="E164" s="54" t="str">
        <x:v>ADMITTED</x:v>
      </x:c>
      <x:c r="F164" s="55" t="n">
        <x:v>30657</x:v>
      </x:c>
      <x:c r="G164" s="55" t="n">
        <x:v>8012</x:v>
      </x:c>
      <x:c r="H164" s="55" t="n">
        <x:v>3198</x:v>
      </x:c>
      <x:c r="I164" s="55" t="n">
        <x:v>910</x:v>
      </x:c>
      <x:c r="J164" s="55" t="n">
        <x:v>56</x:v>
      </x:c>
      <x:c r="K164" s="55" t="n">
        <x:v>29102</x:v>
      </x:c>
      <x:c r="L164" s="55" t="n">
        <x:v>4148</x:v>
      </x:c>
      <x:c r="M164" s="55" t="n">
        <x:v>0</x:v>
      </x:c>
      <x:c r="N164" s="55" t="n">
        <x:v>2368</x:v>
      </x:c>
      <x:c r="O164" s="55" t="n">
        <x:v>1780</x:v>
      </x:c>
      <x:c r="P164" s="55" t="n">
        <x:v>961</x:v>
      </x:c>
      <x:c r="Q164" s="55" t="n">
        <x:v>3294</x:v>
      </x:c>
      <x:c r="R164" s="55" t="n">
        <x:v>1940</x:v>
      </x:c>
      <x:c r="S164" s="55" t="n">
        <x:v>2891</x:v>
      </x:c>
      <x:c r="T164" s="55" t="n">
        <x:v>927</x:v>
      </x:c>
      <x:c r="U164" s="55" t="n">
        <x:v>1626</x:v>
      </x:c>
      <x:c r="V164" s="55" t="n">
        <x:v>10886</x:v>
      </x:c>
      <x:c r="W164" s="55" t="n">
        <x:v>7998</x:v>
      </x:c>
      <x:c r="X164" s="55" t="n">
        <x:v>2888</x:v>
      </x:c>
      <x:c r="Y164" s="55" t="n">
        <x:v>2471</x:v>
      </x:c>
      <x:c r="Z164" s="55" t="n">
        <x:v>3671</x:v>
      </x:c>
      <x:c r="AA164" s="55" t="n">
        <x:v>3198</x:v>
      </x:c>
      <x:c r="AB164" s="55" t="n">
        <x:v>1314</x:v>
      </x:c>
      <x:c r="AC164" s="55" t="n">
        <x:v>7718</x:v>
      </x:c>
      <x:c r="AD164" s="55" t="n">
        <x:v>2896</x:v>
      </x:c>
      <x:c r="AE164" s="55" t="n">
        <x:v>10936</x:v>
      </x:c>
      <x:c r="AF164" s="55" t="n">
        <x:v>10886</x:v>
      </x:c>
      <x:c r="AG164" s="55" t="n">
        <x:v>50</x:v>
      </x:c>
      <x:c r="AH164" s="55" t="n">
        <x:v>469</x:v>
      </x:c>
      <x:c r="AI164" s="55" t="n">
        <x:v>10417</x:v>
      </x:c>
      <x:c r="AJ164" s="55" t="n">
        <x:v>306</x:v>
      </x:c>
      <x:c r="AK164" s="55" t="n">
        <x:v>1514</x:v>
      </x:c>
      <x:c r="AL164" s="55" t="n">
        <x:v>1107</x:v>
      </x:c>
      <x:c r="AM164" s="55" t="n">
        <x:v>5268</x:v>
      </x:c>
      <x:c r="AN164" s="55" t="n">
        <x:v>2660</x:v>
      </x:c>
      <x:c r="AO164" s="55" t="n">
        <x:v>31</x:v>
      </x:c>
      <x:c r="AP164" s="55" t="n">
        <x:v>1886</x:v>
      </x:c>
      <x:c r="AQ164" s="55" t="n">
        <x:v>911</x:v>
      </x:c>
    </x:row>
    <x:row r="165">
      <x:c r="A165" s="54" t="str">
        <x:v>T1_SHARED_CATCHMENT</x:v>
      </x:c>
      <x:c r="B165" s="54" t="n">
        <x:v>159</x:v>
      </x:c>
      <x:c r="C165" s="54" t="str">
        <x:v>NYC-V2-R01</x:v>
      </x:c>
      <x:c r="D165" s="54" t="str">
        <x:v>V2</x:v>
      </x:c>
      <x:c r="E165" s="54" t="str">
        <x:v>ADMITTED</x:v>
      </x:c>
      <x:c r="F165" s="55" t="n">
        <x:v>29034</x:v>
      </x:c>
      <x:c r="G165" s="55" t="n">
        <x:v>7056</x:v>
      </x:c>
      <x:c r="H165" s="55" t="n">
        <x:v>3290</x:v>
      </x:c>
      <x:c r="I165" s="55" t="n">
        <x:v>1349</x:v>
      </x:c>
      <x:c r="J165" s="55" t="n">
        <x:v>214</x:v>
      </x:c>
      <x:c r="K165" s="55" t="n">
        <x:v>28453</x:v>
      </x:c>
      <x:c r="L165" s="55" t="n">
        <x:v>5280</x:v>
      </x:c>
      <x:c r="M165" s="55" t="n">
        <x:v>1332</x:v>
      </x:c>
      <x:c r="N165" s="55" t="n">
        <x:v>2401</x:v>
      </x:c>
      <x:c r="O165" s="55" t="n">
        <x:v>1547</x:v>
      </x:c>
      <x:c r="P165" s="55" t="n">
        <x:v>665</x:v>
      </x:c>
      <x:c r="Q165" s="55" t="n">
        <x:v>2686</x:v>
      </x:c>
      <x:c r="R165" s="55" t="n">
        <x:v>1453</x:v>
      </x:c>
      <x:c r="S165" s="55" t="n">
        <x:v>3328</x:v>
      </x:c>
      <x:c r="T165" s="55" t="n">
        <x:v>1044</x:v>
      </x:c>
      <x:c r="U165" s="55" t="n">
        <x:v>2166</x:v>
      </x:c>
      <x:c r="V165" s="55" t="n">
        <x:v>10487</x:v>
      </x:c>
      <x:c r="W165" s="55" t="n">
        <x:v>7899</x:v>
      </x:c>
      <x:c r="X165" s="55" t="n">
        <x:v>2588</x:v>
      </x:c>
      <x:c r="Y165" s="55" t="n">
        <x:v>2325</x:v>
      </x:c>
      <x:c r="Z165" s="55" t="n">
        <x:v>3491</x:v>
      </x:c>
      <x:c r="AA165" s="55" t="n">
        <x:v>2906</x:v>
      </x:c>
      <x:c r="AB165" s="55" t="n">
        <x:v>1239</x:v>
      </x:c>
      <x:c r="AC165" s="55" t="n">
        <x:v>7529</x:v>
      </x:c>
      <x:c r="AD165" s="55" t="n">
        <x:v>3242</x:v>
      </x:c>
      <x:c r="AE165" s="55" t="n">
        <x:v>10650</x:v>
      </x:c>
      <x:c r="AF165" s="55" t="n">
        <x:v>10487</x:v>
      </x:c>
      <x:c r="AG165" s="55" t="n">
        <x:v>163</x:v>
      </x:c>
      <x:c r="AH165" s="55" t="n">
        <x:v>451</x:v>
      </x:c>
      <x:c r="AI165" s="55" t="n">
        <x:v>10036</x:v>
      </x:c>
      <x:c r="AJ165" s="55" t="n">
        <x:v>377</x:v>
      </x:c>
      <x:c r="AK165" s="55" t="n">
        <x:v>1022</x:v>
      </x:c>
      <x:c r="AL165" s="55" t="n">
        <x:v>1731</x:v>
      </x:c>
      <x:c r="AM165" s="55" t="n">
        <x:v>4775</x:v>
      </x:c>
      <x:c r="AN165" s="55" t="n">
        <x:v>2582</x:v>
      </x:c>
      <x:c r="AO165" s="55" t="n">
        <x:v>0</x:v>
      </x:c>
      <x:c r="AP165" s="55" t="n">
        <x:v>2215</x:v>
      </x:c>
      <x:c r="AQ165" s="55" t="n">
        <x:v>971</x:v>
      </x:c>
    </x:row>
    <x:row r="166">
      <x:c r="A166" s="54" t="str">
        <x:v>T1_SHARED_CATCHMENT</x:v>
      </x:c>
      <x:c r="B166" s="54" t="n">
        <x:v>160</x:v>
      </x:c>
      <x:c r="C166" s="54" t="str">
        <x:v>NYC-V2-R01</x:v>
      </x:c>
      <x:c r="D166" s="54" t="str">
        <x:v>V2</x:v>
      </x:c>
      <x:c r="E166" s="54" t="str">
        <x:v>ADMITTED</x:v>
      </x:c>
      <x:c r="F166" s="55" t="n">
        <x:v>30967</x:v>
      </x:c>
      <x:c r="G166" s="55" t="n">
        <x:v>7847</x:v>
      </x:c>
      <x:c r="H166" s="55" t="n">
        <x:v>3701</x:v>
      </x:c>
      <x:c r="I166" s="55" t="n">
        <x:v>1336</x:v>
      </x:c>
      <x:c r="J166" s="55" t="n">
        <x:v>373</x:v>
      </x:c>
      <x:c r="K166" s="55" t="n">
        <x:v>30967</x:v>
      </x:c>
      <x:c r="L166" s="55" t="n">
        <x:v>7015</x:v>
      </x:c>
      <x:c r="M166" s="55" t="n">
        <x:v>1558</x:v>
      </x:c>
      <x:c r="N166" s="55" t="n">
        <x:v>3492</x:v>
      </x:c>
      <x:c r="O166" s="55" t="n">
        <x:v>1965</x:v>
      </x:c>
      <x:c r="P166" s="55" t="n">
        <x:v>837</x:v>
      </x:c>
      <x:c r="Q166" s="55" t="n">
        <x:v>2803</x:v>
      </x:c>
      <x:c r="R166" s="55" t="n">
        <x:v>2244</x:v>
      </x:c>
      <x:c r="S166" s="55" t="n">
        <x:v>2969</x:v>
      </x:c>
      <x:c r="T166" s="55" t="n">
        <x:v>988</x:v>
      </x:c>
      <x:c r="U166" s="55" t="n">
        <x:v>2809</x:v>
      </x:c>
      <x:c r="V166" s="55" t="n">
        <x:v>10727</x:v>
      </x:c>
      <x:c r="W166" s="55" t="n">
        <x:v>6862</x:v>
      </x:c>
      <x:c r="X166" s="55" t="n">
        <x:v>3865</x:v>
      </x:c>
      <x:c r="Y166" s="55" t="n">
        <x:v>3511</x:v>
      </x:c>
      <x:c r="Z166" s="55" t="n">
        <x:v>3993</x:v>
      </x:c>
      <x:c r="AA166" s="55" t="n">
        <x:v>3167</x:v>
      </x:c>
      <x:c r="AB166" s="55" t="n">
        <x:v>1087</x:v>
      </x:c>
      <x:c r="AC166" s="55" t="n">
        <x:v>8314</x:v>
      </x:c>
      <x:c r="AD166" s="55" t="n">
        <x:v>3219</x:v>
      </x:c>
      <x:c r="AE166" s="55" t="n">
        <x:v>10837</x:v>
      </x:c>
      <x:c r="AF166" s="55" t="n">
        <x:v>10727</x:v>
      </x:c>
      <x:c r="AG166" s="55" t="n">
        <x:v>110</x:v>
      </x:c>
      <x:c r="AH166" s="55" t="n">
        <x:v>563</x:v>
      </x:c>
      <x:c r="AI166" s="55" t="n">
        <x:v>10164</x:v>
      </x:c>
      <x:c r="AJ166" s="55" t="n">
        <x:v>425</x:v>
      </x:c>
      <x:c r="AK166" s="55" t="n">
        <x:v>1169</x:v>
      </x:c>
      <x:c r="AL166" s="55" t="n">
        <x:v>1639</x:v>
      </x:c>
      <x:c r="AM166" s="55" t="n">
        <x:v>4775</x:v>
      </x:c>
      <x:c r="AN166" s="55" t="n">
        <x:v>2701</x:v>
      </x:c>
      <x:c r="AO166" s="55" t="n">
        <x:v>18</x:v>
      </x:c>
      <x:c r="AP166" s="55" t="n">
        <x:v>2805</x:v>
      </x:c>
      <x:c r="AQ166" s="55" t="n">
        <x:v>986</x:v>
      </x:c>
    </x:row>
    <x:row r="167">
      <x:c r="A167" s="54" t="str">
        <x:v>T1_SHARED_CATCHMENT</x:v>
      </x:c>
      <x:c r="B167" s="54" t="n">
        <x:v>161</x:v>
      </x:c>
      <x:c r="C167" s="54" t="str">
        <x:v>NYC-V2-R01</x:v>
      </x:c>
      <x:c r="D167" s="54" t="str">
        <x:v>V2</x:v>
      </x:c>
      <x:c r="E167" s="54" t="str">
        <x:v>ADMITTED</x:v>
      </x:c>
      <x:c r="F167" s="55" t="n">
        <x:v>31812</x:v>
      </x:c>
      <x:c r="G167" s="55" t="n">
        <x:v>8992</x:v>
      </x:c>
      <x:c r="H167" s="55" t="n">
        <x:v>2903</x:v>
      </x:c>
      <x:c r="I167" s="55" t="n">
        <x:v>1495</x:v>
      </x:c>
      <x:c r="J167" s="55" t="n">
        <x:v>190</x:v>
      </x:c>
      <x:c r="K167" s="55" t="n">
        <x:v>29409</x:v>
      </x:c>
      <x:c r="L167" s="55" t="n">
        <x:v>6776</x:v>
      </x:c>
      <x:c r="M167" s="55" t="n">
        <x:v>2084</x:v>
      </x:c>
      <x:c r="N167" s="55" t="n">
        <x:v>2646</x:v>
      </x:c>
      <x:c r="O167" s="55" t="n">
        <x:v>2046</x:v>
      </x:c>
      <x:c r="P167" s="55" t="n">
        <x:v>646</x:v>
      </x:c>
      <x:c r="Q167" s="55" t="n">
        <x:v>2203</x:v>
      </x:c>
      <x:c r="R167" s="55" t="n">
        <x:v>2155</x:v>
      </x:c>
      <x:c r="S167" s="55" t="n">
        <x:v>2884</x:v>
      </x:c>
      <x:c r="T167" s="55" t="n">
        <x:v>1356</x:v>
      </x:c>
      <x:c r="U167" s="55" t="n">
        <x:v>1893</x:v>
      </x:c>
      <x:c r="V167" s="55" t="n">
        <x:v>10452</x:v>
      </x:c>
      <x:c r="W167" s="55" t="n">
        <x:v>7160</x:v>
      </x:c>
      <x:c r="X167" s="55" t="n">
        <x:v>3292</x:v>
      </x:c>
      <x:c r="Y167" s="55" t="n">
        <x:v>3030</x:v>
      </x:c>
      <x:c r="Z167" s="55" t="n">
        <x:v>3581</x:v>
      </x:c>
      <x:c r="AA167" s="55" t="n">
        <x:v>2450</x:v>
      </x:c>
      <x:c r="AB167" s="55" t="n">
        <x:v>1044</x:v>
      </x:c>
      <x:c r="AC167" s="55" t="n">
        <x:v>8268</x:v>
      </x:c>
      <x:c r="AD167" s="55" t="n">
        <x:v>2636</x:v>
      </x:c>
      <x:c r="AE167" s="55" t="n">
        <x:v>10496</x:v>
      </x:c>
      <x:c r="AF167" s="55" t="n">
        <x:v>10452</x:v>
      </x:c>
      <x:c r="AG167" s="55" t="n">
        <x:v>44</x:v>
      </x:c>
      <x:c r="AH167" s="55" t="n">
        <x:v>464</x:v>
      </x:c>
      <x:c r="AI167" s="55" t="n">
        <x:v>9988</x:v>
      </x:c>
      <x:c r="AJ167" s="55" t="n">
        <x:v>268</x:v>
      </x:c>
      <x:c r="AK167" s="55" t="n">
        <x:v>1051</x:v>
      </x:c>
      <x:c r="AL167" s="55" t="n">
        <x:v>1430</x:v>
      </x:c>
      <x:c r="AM167" s="55" t="n">
        <x:v>5069</x:v>
      </x:c>
      <x:c r="AN167" s="55" t="n">
        <x:v>2576</x:v>
      </x:c>
      <x:c r="AO167" s="55" t="n">
        <x:v>58</x:v>
      </x:c>
      <x:c r="AP167" s="55" t="n">
        <x:v>2516</x:v>
      </x:c>
      <x:c r="AQ167" s="55" t="n">
        <x:v>941</x:v>
      </x:c>
    </x:row>
    <x:row r="168">
      <x:c r="A168" s="54" t="str">
        <x:v>T1_SHARED_CATCHMENT</x:v>
      </x:c>
      <x:c r="B168" s="54" t="n">
        <x:v>162</x:v>
      </x:c>
      <x:c r="C168" s="54" t="str">
        <x:v>NYC-V2-R01</x:v>
      </x:c>
      <x:c r="D168" s="54" t="str">
        <x:v>V2</x:v>
      </x:c>
      <x:c r="E168" s="54" t="str">
        <x:v>ADMITTED</x:v>
      </x:c>
      <x:c r="F168" s="55" t="n">
        <x:v>29490</x:v>
      </x:c>
      <x:c r="G168" s="55" t="n">
        <x:v>7146</x:v>
      </x:c>
      <x:c r="H168" s="55" t="n">
        <x:v>2937</x:v>
      </x:c>
      <x:c r="I168" s="55" t="n">
        <x:v>1278</x:v>
      </x:c>
      <x:c r="J168" s="55" t="n">
        <x:v>127</x:v>
      </x:c>
      <x:c r="K168" s="55" t="n">
        <x:v>28938</x:v>
      </x:c>
      <x:c r="L168" s="55" t="n">
        <x:v>5316</x:v>
      </x:c>
      <x:c r="M168" s="55" t="n">
        <x:v>1377</x:v>
      </x:c>
      <x:c r="N168" s="55" t="n">
        <x:v>2166</x:v>
      </x:c>
      <x:c r="O168" s="55" t="n">
        <x:v>1773</x:v>
      </x:c>
      <x:c r="P168" s="55" t="n">
        <x:v>847</x:v>
      </x:c>
      <x:c r="Q168" s="55" t="n">
        <x:v>2162</x:v>
      </x:c>
      <x:c r="R168" s="55" t="n">
        <x:v>2131</x:v>
      </x:c>
      <x:c r="S168" s="55" t="n">
        <x:v>2353</x:v>
      </x:c>
      <x:c r="T168" s="55" t="n">
        <x:v>529</x:v>
      </x:c>
      <x:c r="U168" s="55" t="n">
        <x:v>1630</x:v>
      </x:c>
      <x:c r="V168" s="55" t="n">
        <x:v>10009</x:v>
      </x:c>
      <x:c r="W168" s="55" t="n">
        <x:v>7029</x:v>
      </x:c>
      <x:c r="X168" s="55" t="n">
        <x:v>2980</x:v>
      </x:c>
      <x:c r="Y168" s="55" t="n">
        <x:v>2652</x:v>
      </x:c>
      <x:c r="Z168" s="55" t="n">
        <x:v>3684</x:v>
      </x:c>
      <x:c r="AA168" s="55" t="n">
        <x:v>2446</x:v>
      </x:c>
      <x:c r="AB168" s="55" t="n">
        <x:v>761</x:v>
      </x:c>
      <x:c r="AC168" s="55" t="n">
        <x:v>8275</x:v>
      </x:c>
      <x:c r="AD168" s="55" t="n">
        <x:v>2887</x:v>
      </x:c>
      <x:c r="AE168" s="55" t="n">
        <x:v>10099</x:v>
      </x:c>
      <x:c r="AF168" s="55" t="n">
        <x:v>10009</x:v>
      </x:c>
      <x:c r="AG168" s="55" t="n">
        <x:v>90</x:v>
      </x:c>
      <x:c r="AH168" s="55" t="n">
        <x:v>516</x:v>
      </x:c>
      <x:c r="AI168" s="55" t="n">
        <x:v>9493</x:v>
      </x:c>
      <x:c r="AJ168" s="55" t="n">
        <x:v>251</x:v>
      </x:c>
      <x:c r="AK168" s="55" t="n">
        <x:v>653</x:v>
      </x:c>
      <x:c r="AL168" s="55" t="n">
        <x:v>1337</x:v>
      </x:c>
      <x:c r="AM168" s="55" t="n">
        <x:v>5061</x:v>
      </x:c>
      <x:c r="AN168" s="55" t="n">
        <x:v>2706</x:v>
      </x:c>
      <x:c r="AO168" s="55" t="n">
        <x:v>1</x:v>
      </x:c>
      <x:c r="AP168" s="55" t="n">
        <x:v>2151</x:v>
      </x:c>
      <x:c r="AQ168" s="55" t="n">
        <x:v>906</x:v>
      </x:c>
    </x:row>
    <x:row r="169">
      <x:c r="A169" s="54" t="str">
        <x:v>T1_SHARED_CATCHMENT</x:v>
      </x:c>
      <x:c r="B169" s="54" t="n">
        <x:v>163</x:v>
      </x:c>
      <x:c r="C169" s="54" t="str">
        <x:v>NYC-V2-R01</x:v>
      </x:c>
      <x:c r="D169" s="54" t="str">
        <x:v>V2</x:v>
      </x:c>
      <x:c r="E169" s="54" t="str">
        <x:v>ADMITTED</x:v>
      </x:c>
      <x:c r="F169" s="55" t="n">
        <x:v>33090</x:v>
      </x:c>
      <x:c r="G169" s="55" t="n">
        <x:v>7882</x:v>
      </x:c>
      <x:c r="H169" s="55" t="n">
        <x:v>3641</x:v>
      </x:c>
      <x:c r="I169" s="55" t="n">
        <x:v>1129</x:v>
      </x:c>
      <x:c r="J169" s="55" t="n">
        <x:v>216</x:v>
      </x:c>
      <x:c r="K169" s="55" t="n">
        <x:v>30855</x:v>
      </x:c>
      <x:c r="L169" s="55" t="n">
        <x:v>5335</x:v>
      </x:c>
      <x:c r="M169" s="55" t="n">
        <x:v>1084</x:v>
      </x:c>
      <x:c r="N169" s="55" t="n">
        <x:v>2522</x:v>
      </x:c>
      <x:c r="O169" s="55" t="n">
        <x:v>1729</x:v>
      </x:c>
      <x:c r="P169" s="55" t="n">
        <x:v>1448</x:v>
      </x:c>
      <x:c r="Q169" s="55" t="n">
        <x:v>2335</x:v>
      </x:c>
      <x:c r="R169" s="55" t="n">
        <x:v>1505</x:v>
      </x:c>
      <x:c r="S169" s="55" t="n">
        <x:v>2090</x:v>
      </x:c>
      <x:c r="T169" s="55" t="n">
        <x:v>1147</x:v>
      </x:c>
      <x:c r="U169" s="55" t="n">
        <x:v>2235</x:v>
      </x:c>
      <x:c r="V169" s="55" t="n">
        <x:v>10313</x:v>
      </x:c>
      <x:c r="W169" s="55" t="n">
        <x:v>7143</x:v>
      </x:c>
      <x:c r="X169" s="55" t="n">
        <x:v>3170</x:v>
      </x:c>
      <x:c r="Y169" s="55" t="n">
        <x:v>2863</x:v>
      </x:c>
      <x:c r="Z169" s="55" t="n">
        <x:v>3771</x:v>
      </x:c>
      <x:c r="AA169" s="55" t="n">
        <x:v>3641</x:v>
      </x:c>
      <x:c r="AB169" s="55" t="n">
        <x:v>1465</x:v>
      </x:c>
      <x:c r="AC169" s="55" t="n">
        <x:v>7928</x:v>
      </x:c>
      <x:c r="AD169" s="55" t="n">
        <x:v>3006</x:v>
      </x:c>
      <x:c r="AE169" s="55" t="n">
        <x:v>10395</x:v>
      </x:c>
      <x:c r="AF169" s="55" t="n">
        <x:v>10313</x:v>
      </x:c>
      <x:c r="AG169" s="55" t="n">
        <x:v>82</x:v>
      </x:c>
      <x:c r="AH169" s="55" t="n">
        <x:v>486</x:v>
      </x:c>
      <x:c r="AI169" s="55" t="n">
        <x:v>9827</x:v>
      </x:c>
      <x:c r="AJ169" s="55" t="n">
        <x:v>541</x:v>
      </x:c>
      <x:c r="AK169" s="55" t="n">
        <x:v>688</x:v>
      </x:c>
      <x:c r="AL169" s="55" t="n">
        <x:v>1538</x:v>
      </x:c>
      <x:c r="AM169" s="55" t="n">
        <x:v>4825</x:v>
      </x:c>
      <x:c r="AN169" s="55" t="n">
        <x:v>2708</x:v>
      </x:c>
      <x:c r="AO169" s="55" t="n">
        <x:v>13</x:v>
      </x:c>
      <x:c r="AP169" s="55" t="n">
        <x:v>2549</x:v>
      </x:c>
      <x:c r="AQ169" s="55" t="n">
        <x:v>971</x:v>
      </x:c>
    </x:row>
    <x:row r="170">
      <x:c r="A170" s="54" t="str">
        <x:v>T1_SHARED_CATCHMENT</x:v>
      </x:c>
      <x:c r="B170" s="54" t="n">
        <x:v>164</x:v>
      </x:c>
      <x:c r="C170" s="54" t="str">
        <x:v>NYC-V2-R01</x:v>
      </x:c>
      <x:c r="D170" s="54" t="str">
        <x:v>V2</x:v>
      </x:c>
      <x:c r="E170" s="54" t="str">
        <x:v>ADMITTED</x:v>
      </x:c>
      <x:c r="F170" s="55" t="n">
        <x:v>31329</x:v>
      </x:c>
      <x:c r="G170" s="55" t="n">
        <x:v>7476</x:v>
      </x:c>
      <x:c r="H170" s="55" t="n">
        <x:v>3315</x:v>
      </x:c>
      <x:c r="I170" s="55" t="n">
        <x:v>1413</x:v>
      </x:c>
      <x:c r="J170" s="55" t="n">
        <x:v>366</x:v>
      </x:c>
      <x:c r="K170" s="55" t="n">
        <x:v>29179</x:v>
      </x:c>
      <x:c r="L170" s="55" t="n">
        <x:v>5079</x:v>
      </x:c>
      <x:c r="M170" s="55" t="n">
        <x:v>661</x:v>
      </x:c>
      <x:c r="N170" s="55" t="n">
        <x:v>2913</x:v>
      </x:c>
      <x:c r="O170" s="55" t="n">
        <x:v>1505</x:v>
      </x:c>
      <x:c r="P170" s="55" t="n">
        <x:v>1250</x:v>
      </x:c>
      <x:c r="Q170" s="55" t="n">
        <x:v>1835</x:v>
      </x:c>
      <x:c r="R170" s="55" t="n">
        <x:v>1728</x:v>
      </x:c>
      <x:c r="S170" s="55" t="n">
        <x:v>2704</x:v>
      </x:c>
      <x:c r="T170" s="55" t="n">
        <x:v>1057</x:v>
      </x:c>
      <x:c r="U170" s="55" t="n">
        <x:v>1471</x:v>
      </x:c>
      <x:c r="V170" s="55" t="n">
        <x:v>11080</x:v>
      </x:c>
      <x:c r="W170" s="55" t="n">
        <x:v>7830</x:v>
      </x:c>
      <x:c r="X170" s="55" t="n">
        <x:v>3250</x:v>
      </x:c>
      <x:c r="Y170" s="55" t="n">
        <x:v>2674</x:v>
      </x:c>
      <x:c r="Z170" s="55" t="n">
        <x:v>3617</x:v>
      </x:c>
      <x:c r="AA170" s="55" t="n">
        <x:v>3315</x:v>
      </x:c>
      <x:c r="AB170" s="55" t="n">
        <x:v>1177</x:v>
      </x:c>
      <x:c r="AC170" s="55" t="n">
        <x:v>8061</x:v>
      </x:c>
      <x:c r="AD170" s="55" t="n">
        <x:v>2783</x:v>
      </x:c>
      <x:c r="AE170" s="55" t="n">
        <x:v>11117</x:v>
      </x:c>
      <x:c r="AF170" s="55" t="n">
        <x:v>11080</x:v>
      </x:c>
      <x:c r="AG170" s="55" t="n">
        <x:v>37</x:v>
      </x:c>
      <x:c r="AH170" s="55" t="n">
        <x:v>561</x:v>
      </x:c>
      <x:c r="AI170" s="55" t="n">
        <x:v>10519</x:v>
      </x:c>
      <x:c r="AJ170" s="55" t="n">
        <x:v>352</x:v>
      </x:c>
      <x:c r="AK170" s="55" t="n">
        <x:v>1388</x:v>
      </x:c>
      <x:c r="AL170" s="55" t="n">
        <x:v>1433</x:v>
      </x:c>
      <x:c r="AM170" s="55" t="n">
        <x:v>4643</x:v>
      </x:c>
      <x:c r="AN170" s="55" t="n">
        <x:v>3195</x:v>
      </x:c>
      <x:c r="AO170" s="55" t="n">
        <x:v>69</x:v>
      </x:c>
      <x:c r="AP170" s="55" t="n">
        <x:v>2765</x:v>
      </x:c>
      <x:c r="AQ170" s="55" t="n">
        <x:v>1025</x:v>
      </x:c>
    </x:row>
    <x:row r="171">
      <x:c r="A171" s="54" t="str">
        <x:v>T1_SHARED_CATCHMENT</x:v>
      </x:c>
      <x:c r="B171" s="54" t="n">
        <x:v>165</x:v>
      </x:c>
      <x:c r="C171" s="54" t="str">
        <x:v>NYC-V2-R01</x:v>
      </x:c>
      <x:c r="D171" s="54" t="str">
        <x:v>V2</x:v>
      </x:c>
      <x:c r="E171" s="54" t="str">
        <x:v>ADMITTED</x:v>
      </x:c>
      <x:c r="F171" s="55" t="n">
        <x:v>30910</x:v>
      </x:c>
      <x:c r="G171" s="55" t="n">
        <x:v>7206</x:v>
      </x:c>
      <x:c r="H171" s="55" t="n">
        <x:v>2847</x:v>
      </x:c>
      <x:c r="I171" s="55" t="n">
        <x:v>1141</x:v>
      </x:c>
      <x:c r="J171" s="55" t="n">
        <x:v>142</x:v>
      </x:c>
      <x:c r="K171" s="55" t="n">
        <x:v>30910</x:v>
      </x:c>
      <x:c r="L171" s="55" t="n">
        <x:v>6052</x:v>
      </x:c>
      <x:c r="M171" s="55" t="n">
        <x:v>2275</x:v>
      </x:c>
      <x:c r="N171" s="55" t="n">
        <x:v>2370</x:v>
      </x:c>
      <x:c r="O171" s="55" t="n">
        <x:v>1407</x:v>
      </x:c>
      <x:c r="P171" s="55" t="n">
        <x:v>1248</x:v>
      </x:c>
      <x:c r="Q171" s="55" t="n">
        <x:v>1888</x:v>
      </x:c>
      <x:c r="R171" s="55" t="n">
        <x:v>2176</x:v>
      </x:c>
      <x:c r="S171" s="55" t="n">
        <x:v>2977</x:v>
      </x:c>
      <x:c r="T171" s="55" t="n">
        <x:v>526</x:v>
      </x:c>
      <x:c r="U171" s="55" t="n">
        <x:v>1714</x:v>
      </x:c>
      <x:c r="V171" s="55" t="n">
        <x:v>9970</x:v>
      </x:c>
      <x:c r="W171" s="55" t="n">
        <x:v>6777</x:v>
      </x:c>
      <x:c r="X171" s="55" t="n">
        <x:v>3193</x:v>
      </x:c>
      <x:c r="Y171" s="55" t="n">
        <x:v>2723</x:v>
      </x:c>
      <x:c r="Z171" s="55" t="n">
        <x:v>4110</x:v>
      </x:c>
      <x:c r="AA171" s="55" t="n">
        <x:v>2847</x:v>
      </x:c>
      <x:c r="AB171" s="55" t="n">
        <x:v>1141</x:v>
      </x:c>
      <x:c r="AC171" s="55" t="n">
        <x:v>8042</x:v>
      </x:c>
      <x:c r="AD171" s="55" t="n">
        <x:v>3265</x:v>
      </x:c>
      <x:c r="AE171" s="55" t="n">
        <x:v>10050</x:v>
      </x:c>
      <x:c r="AF171" s="55" t="n">
        <x:v>9970</x:v>
      </x:c>
      <x:c r="AG171" s="55" t="n">
        <x:v>80</x:v>
      </x:c>
      <x:c r="AH171" s="55" t="n">
        <x:v>357</x:v>
      </x:c>
      <x:c r="AI171" s="55" t="n">
        <x:v>9613</x:v>
      </x:c>
      <x:c r="AJ171" s="55" t="n">
        <x:v>319</x:v>
      </x:c>
      <x:c r="AK171" s="55" t="n">
        <x:v>1060</x:v>
      </x:c>
      <x:c r="AL171" s="55" t="n">
        <x:v>1521</x:v>
      </x:c>
      <x:c r="AM171" s="55" t="n">
        <x:v>4275</x:v>
      </x:c>
      <x:c r="AN171" s="55" t="n">
        <x:v>2770</x:v>
      </x:c>
      <x:c r="AO171" s="55" t="n">
        <x:v>25</x:v>
      </x:c>
      <x:c r="AP171" s="55" t="n">
        <x:v>2481</x:v>
      </x:c>
      <x:c r="AQ171" s="55" t="n">
        <x:v>946</x:v>
      </x:c>
    </x:row>
    <x:row r="172">
      <x:c r="A172" s="54" t="str">
        <x:v>T1_SHARED_CATCHMENT</x:v>
      </x:c>
      <x:c r="B172" s="54" t="n">
        <x:v>166</x:v>
      </x:c>
      <x:c r="C172" s="54" t="str">
        <x:v>NYC-V2-R01</x:v>
      </x:c>
      <x:c r="D172" s="54" t="str">
        <x:v>V2</x:v>
      </x:c>
      <x:c r="E172" s="54" t="str">
        <x:v>ADMITTED</x:v>
      </x:c>
      <x:c r="F172" s="55" t="n">
        <x:v>30206</x:v>
      </x:c>
      <x:c r="G172" s="55" t="n">
        <x:v>8303</x:v>
      </x:c>
      <x:c r="H172" s="55" t="n">
        <x:v>3232</x:v>
      </x:c>
      <x:c r="I172" s="55" t="n">
        <x:v>1005</x:v>
      </x:c>
      <x:c r="J172" s="55" t="n">
        <x:v>156</x:v>
      </x:c>
      <x:c r="K172" s="55" t="n">
        <x:v>28405</x:v>
      </x:c>
      <x:c r="L172" s="55" t="n">
        <x:v>5715</x:v>
      </x:c>
      <x:c r="M172" s="55" t="n">
        <x:v>1228</x:v>
      </x:c>
      <x:c r="N172" s="55" t="n">
        <x:v>2806</x:v>
      </x:c>
      <x:c r="O172" s="55" t="n">
        <x:v>1681</x:v>
      </x:c>
      <x:c r="P172" s="55" t="n">
        <x:v>993</x:v>
      </x:c>
      <x:c r="Q172" s="55" t="n">
        <x:v>1898</x:v>
      </x:c>
      <x:c r="R172" s="55" t="n">
        <x:v>2572</x:v>
      </x:c>
      <x:c r="S172" s="55" t="n">
        <x:v>2518</x:v>
      </x:c>
      <x:c r="T172" s="55" t="n">
        <x:v>1289</x:v>
      </x:c>
      <x:c r="U172" s="55" t="n">
        <x:v>1477</x:v>
      </x:c>
      <x:c r="V172" s="55" t="n">
        <x:v>10652</x:v>
      </x:c>
      <x:c r="W172" s="55" t="n">
        <x:v>7573</x:v>
      </x:c>
      <x:c r="X172" s="55" t="n">
        <x:v>3079</x:v>
      </x:c>
      <x:c r="Y172" s="55" t="n">
        <x:v>2927</x:v>
      </x:c>
      <x:c r="Z172" s="55" t="n">
        <x:v>3112</x:v>
      </x:c>
      <x:c r="AA172" s="55" t="n">
        <x:v>2994</x:v>
      </x:c>
      <x:c r="AB172" s="55" t="n">
        <x:v>1361</x:v>
      </x:c>
      <x:c r="AC172" s="55" t="n">
        <x:v>8500</x:v>
      </x:c>
      <x:c r="AD172" s="55" t="n">
        <x:v>2602</x:v>
      </x:c>
      <x:c r="AE172" s="55" t="n">
        <x:v>10718</x:v>
      </x:c>
      <x:c r="AF172" s="55" t="n">
        <x:v>10652</x:v>
      </x:c>
      <x:c r="AG172" s="55" t="n">
        <x:v>66</x:v>
      </x:c>
      <x:c r="AH172" s="55" t="n">
        <x:v>301</x:v>
      </x:c>
      <x:c r="AI172" s="55" t="n">
        <x:v>10351</x:v>
      </x:c>
      <x:c r="AJ172" s="55" t="n">
        <x:v>405</x:v>
      </x:c>
      <x:c r="AK172" s="55" t="n">
        <x:v>1420</x:v>
      </x:c>
      <x:c r="AL172" s="55" t="n">
        <x:v>1957</x:v>
      </x:c>
      <x:c r="AM172" s="55" t="n">
        <x:v>4819</x:v>
      </x:c>
      <x:c r="AN172" s="55" t="n">
        <x:v>2046</x:v>
      </x:c>
      <x:c r="AO172" s="55" t="n">
        <x:v>5</x:v>
      </x:c>
      <x:c r="AP172" s="55" t="n">
        <x:v>2714</x:v>
      </x:c>
      <x:c r="AQ172" s="55" t="n">
        <x:v>932</x:v>
      </x:c>
    </x:row>
    <x:row r="173">
      <x:c r="A173" s="54" t="str">
        <x:v>T1_SHARED_CATCHMENT</x:v>
      </x:c>
      <x:c r="B173" s="54" t="n">
        <x:v>167</x:v>
      </x:c>
      <x:c r="C173" s="54" t="str">
        <x:v>NYC-V2-R01</x:v>
      </x:c>
      <x:c r="D173" s="54" t="str">
        <x:v>V2</x:v>
      </x:c>
      <x:c r="E173" s="54" t="str">
        <x:v>ADMITTED</x:v>
      </x:c>
      <x:c r="F173" s="55" t="n">
        <x:v>31785</x:v>
      </x:c>
      <x:c r="G173" s="55" t="n">
        <x:v>8829</x:v>
      </x:c>
      <x:c r="H173" s="55" t="n">
        <x:v>2879</x:v>
      </x:c>
      <x:c r="I173" s="55" t="n">
        <x:v>510</x:v>
      </x:c>
      <x:c r="J173" s="55" t="n">
        <x:v>0</x:v>
      </x:c>
      <x:c r="K173" s="55" t="n">
        <x:v>31785</x:v>
      </x:c>
      <x:c r="L173" s="55" t="n">
        <x:v>4201</x:v>
      </x:c>
      <x:c r="M173" s="55" t="n">
        <x:v>745</x:v>
      </x:c>
      <x:c r="N173" s="55" t="n">
        <x:v>2142</x:v>
      </x:c>
      <x:c r="O173" s="55" t="n">
        <x:v>1314</x:v>
      </x:c>
      <x:c r="P173" s="55" t="n">
        <x:v>783</x:v>
      </x:c>
      <x:c r="Q173" s="55" t="n">
        <x:v>1421</x:v>
      </x:c>
      <x:c r="R173" s="55" t="n">
        <x:v>1857</x:v>
      </x:c>
      <x:c r="S173" s="55" t="n">
        <x:v>2497</x:v>
      </x:c>
      <x:c r="T173" s="55" t="n">
        <x:v>859</x:v>
      </x:c>
      <x:c r="U173" s="55" t="n">
        <x:v>1625</x:v>
      </x:c>
      <x:c r="V173" s="55" t="n">
        <x:v>10621</x:v>
      </x:c>
      <x:c r="W173" s="55" t="n">
        <x:v>7993</x:v>
      </x:c>
      <x:c r="X173" s="55" t="n">
        <x:v>2628</x:v>
      </x:c>
      <x:c r="Y173" s="55" t="n">
        <x:v>2023</x:v>
      </x:c>
      <x:c r="Z173" s="55" t="n">
        <x:v>3401</x:v>
      </x:c>
      <x:c r="AA173" s="55" t="n">
        <x:v>2879</x:v>
      </x:c>
      <x:c r="AB173" s="55" t="n">
        <x:v>847</x:v>
      </x:c>
      <x:c r="AC173" s="55" t="n">
        <x:v>7520</x:v>
      </x:c>
      <x:c r="AD173" s="55" t="n">
        <x:v>2132</x:v>
      </x:c>
      <x:c r="AE173" s="55" t="n">
        <x:v>10621</x:v>
      </x:c>
      <x:c r="AF173" s="55" t="n">
        <x:v>10621</x:v>
      </x:c>
      <x:c r="AG173" s="55" t="n">
        <x:v>0</x:v>
      </x:c>
      <x:c r="AH173" s="55" t="n">
        <x:v>234</x:v>
      </x:c>
      <x:c r="AI173" s="55" t="n">
        <x:v>10387</x:v>
      </x:c>
      <x:c r="AJ173" s="55" t="n">
        <x:v>286</x:v>
      </x:c>
      <x:c r="AK173" s="55" t="n">
        <x:v>941</x:v>
      </x:c>
      <x:c r="AL173" s="55" t="n">
        <x:v>1565</x:v>
      </x:c>
      <x:c r="AM173" s="55" t="n">
        <x:v>5190</x:v>
      </x:c>
      <x:c r="AN173" s="55" t="n">
        <x:v>2605</x:v>
      </x:c>
      <x:c r="AO173" s="55" t="n">
        <x:v>34</x:v>
      </x:c>
      <x:c r="AP173" s="55" t="n">
        <x:v>2131</x:v>
      </x:c>
      <x:c r="AQ173" s="55" t="n">
        <x:v>917</x:v>
      </x:c>
    </x:row>
    <x:row r="174">
      <x:c r="A174" s="54" t="str">
        <x:v>T1_SHARED_CATCHMENT</x:v>
      </x:c>
      <x:c r="B174" s="54" t="n">
        <x:v>168</x:v>
      </x:c>
      <x:c r="C174" s="54" t="str">
        <x:v>NYC-V2-R01</x:v>
      </x:c>
      <x:c r="D174" s="54" t="str">
        <x:v>V2</x:v>
      </x:c>
      <x:c r="E174" s="54" t="str">
        <x:v>ADMITTED</x:v>
      </x:c>
      <x:c r="F174" s="55" t="n">
        <x:v>30961</x:v>
      </x:c>
      <x:c r="G174" s="55" t="n">
        <x:v>5724</x:v>
      </x:c>
      <x:c r="H174" s="55" t="n">
        <x:v>3783</x:v>
      </x:c>
      <x:c r="I174" s="55" t="n">
        <x:v>1795</x:v>
      </x:c>
      <x:c r="J174" s="55" t="n">
        <x:v>375</x:v>
      </x:c>
      <x:c r="K174" s="55" t="n">
        <x:v>30961</x:v>
      </x:c>
      <x:c r="L174" s="55" t="n">
        <x:v>4970</x:v>
      </x:c>
      <x:c r="M174" s="55" t="n">
        <x:v>817</x:v>
      </x:c>
      <x:c r="N174" s="55" t="n">
        <x:v>2509</x:v>
      </x:c>
      <x:c r="O174" s="55" t="n">
        <x:v>1644</x:v>
      </x:c>
      <x:c r="P174" s="55" t="n">
        <x:v>928</x:v>
      </x:c>
      <x:c r="Q174" s="55" t="n">
        <x:v>2601</x:v>
      </x:c>
      <x:c r="R174" s="55" t="n">
        <x:v>1882</x:v>
      </x:c>
      <x:c r="S174" s="55" t="n">
        <x:v>2916</x:v>
      </x:c>
      <x:c r="T174" s="55" t="n">
        <x:v>842</x:v>
      </x:c>
      <x:c r="U174" s="55" t="n">
        <x:v>1527</x:v>
      </x:c>
      <x:c r="V174" s="55" t="n">
        <x:v>10324</x:v>
      </x:c>
      <x:c r="W174" s="55" t="n">
        <x:v>7291</x:v>
      </x:c>
      <x:c r="X174" s="55" t="n">
        <x:v>3033</x:v>
      </x:c>
      <x:c r="Y174" s="55" t="n">
        <x:v>2722</x:v>
      </x:c>
      <x:c r="Z174" s="55" t="n">
        <x:v>3711</x:v>
      </x:c>
      <x:c r="AA174" s="55" t="n">
        <x:v>3070</x:v>
      </x:c>
      <x:c r="AB174" s="55" t="n">
        <x:v>1044</x:v>
      </x:c>
      <x:c r="AC174" s="55" t="n">
        <x:v>7867</x:v>
      </x:c>
      <x:c r="AD174" s="55" t="n">
        <x:v>2897</x:v>
      </x:c>
      <x:c r="AE174" s="55" t="n">
        <x:v>10397</x:v>
      </x:c>
      <x:c r="AF174" s="55" t="n">
        <x:v>10324</x:v>
      </x:c>
      <x:c r="AG174" s="55" t="n">
        <x:v>73</x:v>
      </x:c>
      <x:c r="AH174" s="55" t="n">
        <x:v>346</x:v>
      </x:c>
      <x:c r="AI174" s="55" t="n">
        <x:v>9978</x:v>
      </x:c>
      <x:c r="AJ174" s="55" t="n">
        <x:v>134</x:v>
      </x:c>
      <x:c r="AK174" s="55" t="n">
        <x:v>897</x:v>
      </x:c>
      <x:c r="AL174" s="55" t="n">
        <x:v>1645</x:v>
      </x:c>
      <x:c r="AM174" s="55" t="n">
        <x:v>4897</x:v>
      </x:c>
      <x:c r="AN174" s="55" t="n">
        <x:v>2751</x:v>
      </x:c>
      <x:c r="AO174" s="55" t="n">
        <x:v>0</x:v>
      </x:c>
      <x:c r="AP174" s="55" t="n">
        <x:v>2458</x:v>
      </x:c>
      <x:c r="AQ174" s="55" t="n">
        <x:v>991</x:v>
      </x:c>
    </x:row>
    <x:row r="175">
      <x:c r="A175" s="54" t="str">
        <x:v>T1_SHARED_CATCHMENT</x:v>
      </x:c>
      <x:c r="B175" s="54" t="n">
        <x:v>169</x:v>
      </x:c>
      <x:c r="C175" s="54" t="str">
        <x:v>NYC-V2-R01</x:v>
      </x:c>
      <x:c r="D175" s="54" t="str">
        <x:v>V2</x:v>
      </x:c>
      <x:c r="E175" s="54" t="str">
        <x:v>ADMITTED</x:v>
      </x:c>
      <x:c r="F175" s="55" t="n">
        <x:v>32004</x:v>
      </x:c>
      <x:c r="G175" s="55" t="n">
        <x:v>7435</x:v>
      </x:c>
      <x:c r="H175" s="55" t="n">
        <x:v>3473</x:v>
      </x:c>
      <x:c r="I175" s="55" t="n">
        <x:v>1151</x:v>
      </x:c>
      <x:c r="J175" s="55" t="n">
        <x:v>171</x:v>
      </x:c>
      <x:c r="K175" s="55" t="n">
        <x:v>27633</x:v>
      </x:c>
      <x:c r="L175" s="55" t="n">
        <x:v>4467</x:v>
      </x:c>
      <x:c r="M175" s="55" t="n">
        <x:v>0</x:v>
      </x:c>
      <x:c r="N175" s="55" t="n">
        <x:v>2483</x:v>
      </x:c>
      <x:c r="O175" s="55" t="n">
        <x:v>1984</x:v>
      </x:c>
      <x:c r="P175" s="55" t="n">
        <x:v>825</x:v>
      </x:c>
      <x:c r="Q175" s="55" t="n">
        <x:v>2250</x:v>
      </x:c>
      <x:c r="R175" s="55" t="n">
        <x:v>1770</x:v>
      </x:c>
      <x:c r="S175" s="55" t="n">
        <x:v>2943</x:v>
      </x:c>
      <x:c r="T175" s="55" t="n">
        <x:v>928</x:v>
      </x:c>
      <x:c r="U175" s="55" t="n">
        <x:v>2130</x:v>
      </x:c>
      <x:c r="V175" s="55" t="n">
        <x:v>9826</x:v>
      </x:c>
      <x:c r="W175" s="55" t="n">
        <x:v>6806</x:v>
      </x:c>
      <x:c r="X175" s="55" t="n">
        <x:v>3020</x:v>
      </x:c>
      <x:c r="Y175" s="55" t="n">
        <x:v>2905</x:v>
      </x:c>
      <x:c r="Z175" s="55" t="n">
        <x:v>3505</x:v>
      </x:c>
      <x:c r="AA175" s="55" t="n">
        <x:v>3272</x:v>
      </x:c>
      <x:c r="AB175" s="55" t="n">
        <x:v>1038</x:v>
      </x:c>
      <x:c r="AC175" s="55" t="n">
        <x:v>8025</x:v>
      </x:c>
      <x:c r="AD175" s="55" t="n">
        <x:v>3229</x:v>
      </x:c>
      <x:c r="AE175" s="55" t="n">
        <x:v>10021</x:v>
      </x:c>
      <x:c r="AF175" s="55" t="n">
        <x:v>9826</x:v>
      </x:c>
      <x:c r="AG175" s="55" t="n">
        <x:v>195</x:v>
      </x:c>
      <x:c r="AH175" s="55" t="n">
        <x:v>193</x:v>
      </x:c>
      <x:c r="AI175" s="55" t="n">
        <x:v>9633</x:v>
      </x:c>
      <x:c r="AJ175" s="55" t="n">
        <x:v>400</x:v>
      </x:c>
      <x:c r="AK175" s="55" t="n">
        <x:v>814</x:v>
      </x:c>
      <x:c r="AL175" s="55" t="n">
        <x:v>1654</x:v>
      </x:c>
      <x:c r="AM175" s="55" t="n">
        <x:v>4030</x:v>
      </x:c>
      <x:c r="AN175" s="55" t="n">
        <x:v>2928</x:v>
      </x:c>
      <x:c r="AO175" s="55" t="n">
        <x:v>0</x:v>
      </x:c>
      <x:c r="AP175" s="55" t="n">
        <x:v>2528</x:v>
      </x:c>
      <x:c r="AQ175" s="55" t="n">
        <x:v>931</x:v>
      </x:c>
    </x:row>
    <x:row r="176">
      <x:c r="A176" s="54" t="str">
        <x:v>T1_SHARED_CATCHMENT</x:v>
      </x:c>
      <x:c r="B176" s="54" t="n">
        <x:v>170</x:v>
      </x:c>
      <x:c r="C176" s="54" t="str">
        <x:v>NYC-V2-R01</x:v>
      </x:c>
      <x:c r="D176" s="54" t="str">
        <x:v>V2</x:v>
      </x:c>
      <x:c r="E176" s="54" t="str">
        <x:v>ADMITTED</x:v>
      </x:c>
      <x:c r="F176" s="55" t="n">
        <x:v>32453</x:v>
      </x:c>
      <x:c r="G176" s="55" t="n">
        <x:v>7746</x:v>
      </x:c>
      <x:c r="H176" s="55" t="n">
        <x:v>3824</x:v>
      </x:c>
      <x:c r="I176" s="55" t="n">
        <x:v>1608</x:v>
      </x:c>
      <x:c r="J176" s="55" t="n">
        <x:v>310</x:v>
      </x:c>
      <x:c r="K176" s="55" t="n">
        <x:v>29750</x:v>
      </x:c>
      <x:c r="L176" s="55" t="n">
        <x:v>5917</x:v>
      </x:c>
      <x:c r="M176" s="55" t="n">
        <x:v>1077</x:v>
      </x:c>
      <x:c r="N176" s="55" t="n">
        <x:v>3060</x:v>
      </x:c>
      <x:c r="O176" s="55" t="n">
        <x:v>1780</x:v>
      </x:c>
      <x:c r="P176" s="55" t="n">
        <x:v>1270</x:v>
      </x:c>
      <x:c r="Q176" s="55" t="n">
        <x:v>3039</x:v>
      </x:c>
      <x:c r="R176" s="55" t="n">
        <x:v>1682</x:v>
      </x:c>
      <x:c r="S176" s="55" t="n">
        <x:v>3626</x:v>
      </x:c>
      <x:c r="T176" s="55" t="n">
        <x:v>1213</x:v>
      </x:c>
      <x:c r="U176" s="55" t="n">
        <x:v>2624</x:v>
      </x:c>
      <x:c r="V176" s="55" t="n">
        <x:v>11332</x:v>
      </x:c>
      <x:c r="W176" s="55" t="n">
        <x:v>8018</x:v>
      </x:c>
      <x:c r="X176" s="55" t="n">
        <x:v>3314</x:v>
      </x:c>
      <x:c r="Y176" s="55" t="n">
        <x:v>2993</x:v>
      </x:c>
      <x:c r="Z176" s="55" t="n">
        <x:v>3865</x:v>
      </x:c>
      <x:c r="AA176" s="55" t="n">
        <x:v>2602</x:v>
      </x:c>
      <x:c r="AB176" s="55" t="n">
        <x:v>884</x:v>
      </x:c>
      <x:c r="AC176" s="55" t="n">
        <x:v>8470</x:v>
      </x:c>
      <x:c r="AD176" s="55" t="n">
        <x:v>3092</x:v>
      </x:c>
      <x:c r="AE176" s="55" t="n">
        <x:v>11420</x:v>
      </x:c>
      <x:c r="AF176" s="55" t="n">
        <x:v>11332</x:v>
      </x:c>
      <x:c r="AG176" s="55" t="n">
        <x:v>88</x:v>
      </x:c>
      <x:c r="AH176" s="55" t="n">
        <x:v>367</x:v>
      </x:c>
      <x:c r="AI176" s="55" t="n">
        <x:v>10965</x:v>
      </x:c>
      <x:c r="AJ176" s="55" t="n">
        <x:v>342</x:v>
      </x:c>
      <x:c r="AK176" s="55" t="n">
        <x:v>1313</x:v>
      </x:c>
      <x:c r="AL176" s="55" t="n">
        <x:v>1608</x:v>
      </x:c>
      <x:c r="AM176" s="55" t="n">
        <x:v>4869</x:v>
      </x:c>
      <x:c r="AN176" s="55" t="n">
        <x:v>3165</x:v>
      </x:c>
      <x:c r="AO176" s="55" t="n">
        <x:v>35</x:v>
      </x:c>
      <x:c r="AP176" s="55" t="n">
        <x:v>2529</x:v>
      </x:c>
      <x:c r="AQ176" s="55" t="n">
        <x:v>968</x:v>
      </x:c>
    </x:row>
    <x:row r="177">
      <x:c r="A177" s="54" t="str">
        <x:v>T1_SHARED_CATCHMENT</x:v>
      </x:c>
      <x:c r="B177" s="54" t="n">
        <x:v>171</x:v>
      </x:c>
      <x:c r="C177" s="54" t="str">
        <x:v>NYC-V2-R01</x:v>
      </x:c>
      <x:c r="D177" s="54" t="str">
        <x:v>V2</x:v>
      </x:c>
      <x:c r="E177" s="54" t="str">
        <x:v>ADMITTED</x:v>
      </x:c>
      <x:c r="F177" s="55" t="n">
        <x:v>32464</x:v>
      </x:c>
      <x:c r="G177" s="55" t="n">
        <x:v>8789</x:v>
      </x:c>
      <x:c r="H177" s="55" t="n">
        <x:v>3435</x:v>
      </x:c>
      <x:c r="I177" s="55" t="n">
        <x:v>1080</x:v>
      </x:c>
      <x:c r="J177" s="55" t="n">
        <x:v>250</x:v>
      </x:c>
      <x:c r="K177" s="55" t="n">
        <x:v>31761</x:v>
      </x:c>
      <x:c r="L177" s="55" t="n">
        <x:v>4830</x:v>
      </x:c>
      <x:c r="M177" s="55" t="n">
        <x:v>697</x:v>
      </x:c>
      <x:c r="N177" s="55" t="n">
        <x:v>2491</x:v>
      </x:c>
      <x:c r="O177" s="55" t="n">
        <x:v>1642</x:v>
      </x:c>
      <x:c r="P177" s="55" t="n">
        <x:v>784</x:v>
      </x:c>
      <x:c r="Q177" s="55" t="n">
        <x:v>1731</x:v>
      </x:c>
      <x:c r="R177" s="55" t="n">
        <x:v>1741</x:v>
      </x:c>
      <x:c r="S177" s="55" t="n">
        <x:v>2164</x:v>
      </x:c>
      <x:c r="T177" s="55" t="n">
        <x:v>611</x:v>
      </x:c>
      <x:c r="U177" s="55" t="n">
        <x:v>1789</x:v>
      </x:c>
      <x:c r="V177" s="55" t="n">
        <x:v>10509</x:v>
      </x:c>
      <x:c r="W177" s="55" t="n">
        <x:v>7734</x:v>
      </x:c>
      <x:c r="X177" s="55" t="n">
        <x:v>2775</x:v>
      </x:c>
      <x:c r="Y177" s="55" t="n">
        <x:v>2416</x:v>
      </x:c>
      <x:c r="Z177" s="55" t="n">
        <x:v>3822</x:v>
      </x:c>
      <x:c r="AA177" s="55" t="n">
        <x:v>3435</x:v>
      </x:c>
      <x:c r="AB177" s="55" t="n">
        <x:v>1125</x:v>
      </x:c>
      <x:c r="AC177" s="55" t="n">
        <x:v>7779</x:v>
      </x:c>
      <x:c r="AD177" s="55" t="n">
        <x:v>3819</x:v>
      </x:c>
      <x:c r="AE177" s="55" t="n">
        <x:v>10628</x:v>
      </x:c>
      <x:c r="AF177" s="55" t="n">
        <x:v>10509</x:v>
      </x:c>
      <x:c r="AG177" s="55" t="n">
        <x:v>119</x:v>
      </x:c>
      <x:c r="AH177" s="55" t="n">
        <x:v>278</x:v>
      </x:c>
      <x:c r="AI177" s="55" t="n">
        <x:v>10231</x:v>
      </x:c>
      <x:c r="AJ177" s="55" t="n">
        <x:v>438</x:v>
      </x:c>
      <x:c r="AK177" s="55" t="n">
        <x:v>892</x:v>
      </x:c>
      <x:c r="AL177" s="55" t="n">
        <x:v>1724</x:v>
      </x:c>
      <x:c r="AM177" s="55" t="n">
        <x:v>4885</x:v>
      </x:c>
      <x:c r="AN177" s="55" t="n">
        <x:v>2570</x:v>
      </x:c>
      <x:c r="AO177" s="55" t="n">
        <x:v>0</x:v>
      </x:c>
      <x:c r="AP177" s="55" t="n">
        <x:v>2044</x:v>
      </x:c>
      <x:c r="AQ177" s="55" t="n">
        <x:v>951</x:v>
      </x:c>
    </x:row>
    <x:row r="178">
      <x:c r="A178" s="54" t="str">
        <x:v>T1_SHARED_CATCHMENT</x:v>
      </x:c>
      <x:c r="B178" s="54" t="n">
        <x:v>172</x:v>
      </x:c>
      <x:c r="C178" s="54" t="str">
        <x:v>NYC-V2-R01</x:v>
      </x:c>
      <x:c r="D178" s="54" t="str">
        <x:v>V2</x:v>
      </x:c>
      <x:c r="E178" s="54" t="str">
        <x:v>ADMITTED</x:v>
      </x:c>
      <x:c r="F178" s="55" t="n">
        <x:v>29697</x:v>
      </x:c>
      <x:c r="G178" s="55" t="n">
        <x:v>7248</x:v>
      </x:c>
      <x:c r="H178" s="55" t="n">
        <x:v>3487</x:v>
      </x:c>
      <x:c r="I178" s="55" t="n">
        <x:v>1212</x:v>
      </x:c>
      <x:c r="J178" s="55" t="n">
        <x:v>110</x:v>
      </x:c>
      <x:c r="K178" s="55" t="n">
        <x:v>29697</x:v>
      </x:c>
      <x:c r="L178" s="55" t="n">
        <x:v>5343</x:v>
      </x:c>
      <x:c r="M178" s="55" t="n">
        <x:v>1250</x:v>
      </x:c>
      <x:c r="N178" s="55" t="n">
        <x:v>2792</x:v>
      </x:c>
      <x:c r="O178" s="55" t="n">
        <x:v>1301</x:v>
      </x:c>
      <x:c r="P178" s="55" t="n">
        <x:v>692</x:v>
      </x:c>
      <x:c r="Q178" s="55" t="n">
        <x:v>1938</x:v>
      </x:c>
      <x:c r="R178" s="55" t="n">
        <x:v>1954</x:v>
      </x:c>
      <x:c r="S178" s="55" t="n">
        <x:v>3137</x:v>
      </x:c>
      <x:c r="T178" s="55" t="n">
        <x:v>1107</x:v>
      </x:c>
      <x:c r="U178" s="55" t="n">
        <x:v>2516</x:v>
      </x:c>
      <x:c r="V178" s="55" t="n">
        <x:v>10482</x:v>
      </x:c>
      <x:c r="W178" s="55" t="n">
        <x:v>7513</x:v>
      </x:c>
      <x:c r="X178" s="55" t="n">
        <x:v>2969</x:v>
      </x:c>
      <x:c r="Y178" s="55" t="n">
        <x:v>2485</x:v>
      </x:c>
      <x:c r="Z178" s="55" t="n">
        <x:v>3231</x:v>
      </x:c>
      <x:c r="AA178" s="55" t="n">
        <x:v>3186</x:v>
      </x:c>
      <x:c r="AB178" s="55" t="n">
        <x:v>1016</x:v>
      </x:c>
      <x:c r="AC178" s="55" t="n">
        <x:v>7792</x:v>
      </x:c>
      <x:c r="AD178" s="55" t="n">
        <x:v>2620</x:v>
      </x:c>
      <x:c r="AE178" s="55" t="n">
        <x:v>10534</x:v>
      </x:c>
      <x:c r="AF178" s="55" t="n">
        <x:v>10482</x:v>
      </x:c>
      <x:c r="AG178" s="55" t="n">
        <x:v>52</x:v>
      </x:c>
      <x:c r="AH178" s="55" t="n">
        <x:v>297</x:v>
      </x:c>
      <x:c r="AI178" s="55" t="n">
        <x:v>10185</x:v>
      </x:c>
      <x:c r="AJ178" s="55" t="n">
        <x:v>358</x:v>
      </x:c>
      <x:c r="AK178" s="55" t="n">
        <x:v>876</x:v>
      </x:c>
      <x:c r="AL178" s="55" t="n">
        <x:v>2039</x:v>
      </x:c>
      <x:c r="AM178" s="55" t="n">
        <x:v>4465</x:v>
      </x:c>
      <x:c r="AN178" s="55" t="n">
        <x:v>2744</x:v>
      </x:c>
      <x:c r="AO178" s="55" t="n">
        <x:v>0</x:v>
      </x:c>
      <x:c r="AP178" s="55" t="n">
        <x:v>2225</x:v>
      </x:c>
      <x:c r="AQ178" s="55" t="n">
        <x:v>946</x:v>
      </x:c>
    </x:row>
    <x:row r="179">
      <x:c r="A179" s="54" t="str">
        <x:v>T1_SHARED_CATCHMENT</x:v>
      </x:c>
      <x:c r="B179" s="54" t="n">
        <x:v>173</x:v>
      </x:c>
      <x:c r="C179" s="54" t="str">
        <x:v>NYC-V2-R01</x:v>
      </x:c>
      <x:c r="D179" s="54" t="str">
        <x:v>V2</x:v>
      </x:c>
      <x:c r="E179" s="54" t="str">
        <x:v>ADMITTED</x:v>
      </x:c>
      <x:c r="F179" s="55" t="n">
        <x:v>32064</x:v>
      </x:c>
      <x:c r="G179" s="55" t="n">
        <x:v>8257</x:v>
      </x:c>
      <x:c r="H179" s="55" t="n">
        <x:v>3424</x:v>
      </x:c>
      <x:c r="I179" s="55" t="n">
        <x:v>1338</x:v>
      </x:c>
      <x:c r="J179" s="55" t="n">
        <x:v>381</x:v>
      </x:c>
      <x:c r="K179" s="55" t="n">
        <x:v>31885</x:v>
      </x:c>
      <x:c r="L179" s="55" t="n">
        <x:v>6460</x:v>
      </x:c>
      <x:c r="M179" s="55" t="n">
        <x:v>1557</x:v>
      </x:c>
      <x:c r="N179" s="55" t="n">
        <x:v>2908</x:v>
      </x:c>
      <x:c r="O179" s="55" t="n">
        <x:v>1995</x:v>
      </x:c>
      <x:c r="P179" s="55" t="n">
        <x:v>747</x:v>
      </x:c>
      <x:c r="Q179" s="55" t="n">
        <x:v>3308</x:v>
      </x:c>
      <x:c r="R179" s="55" t="n">
        <x:v>2743</x:v>
      </x:c>
      <x:c r="S179" s="55" t="n">
        <x:v>2723</x:v>
      </x:c>
      <x:c r="T179" s="55" t="n">
        <x:v>1068</x:v>
      </x:c>
      <x:c r="U179" s="55" t="n">
        <x:v>1730</x:v>
      </x:c>
      <x:c r="V179" s="55" t="n">
        <x:v>10117</x:v>
      </x:c>
      <x:c r="W179" s="55" t="n">
        <x:v>7405</x:v>
      </x:c>
      <x:c r="X179" s="55" t="n">
        <x:v>2712</x:v>
      </x:c>
      <x:c r="Y179" s="55" t="n">
        <x:v>2279</x:v>
      </x:c>
      <x:c r="Z179" s="55" t="n">
        <x:v>4711</x:v>
      </x:c>
      <x:c r="AA179" s="55" t="n">
        <x:v>3393</x:v>
      </x:c>
      <x:c r="AB179" s="55" t="n">
        <x:v>1219</x:v>
      </x:c>
      <x:c r="AC179" s="55" t="n">
        <x:v>8063</x:v>
      </x:c>
      <x:c r="AD179" s="55" t="n">
        <x:v>2937</x:v>
      </x:c>
      <x:c r="AE179" s="55" t="n">
        <x:v>10224</x:v>
      </x:c>
      <x:c r="AF179" s="55" t="n">
        <x:v>10117</x:v>
      </x:c>
      <x:c r="AG179" s="55" t="n">
        <x:v>107</x:v>
      </x:c>
      <x:c r="AH179" s="55" t="n">
        <x:v>558</x:v>
      </x:c>
      <x:c r="AI179" s="55" t="n">
        <x:v>9559</x:v>
      </x:c>
      <x:c r="AJ179" s="55" t="n">
        <x:v>229</x:v>
      </x:c>
      <x:c r="AK179" s="55" t="n">
        <x:v>650</x:v>
      </x:c>
      <x:c r="AL179" s="55" t="n">
        <x:v>1655</x:v>
      </x:c>
      <x:c r="AM179" s="55" t="n">
        <x:v>4740</x:v>
      </x:c>
      <x:c r="AN179" s="55" t="n">
        <x:v>2831</x:v>
      </x:c>
      <x:c r="AO179" s="55" t="n">
        <x:v>12</x:v>
      </x:c>
      <x:c r="AP179" s="55" t="n">
        <x:v>2456</x:v>
      </x:c>
      <x:c r="AQ179" s="55" t="n">
        <x:v>960</x:v>
      </x:c>
    </x:row>
    <x:row r="180">
      <x:c r="A180" s="54" t="str">
        <x:v>T1_SHARED_CATCHMENT</x:v>
      </x:c>
      <x:c r="B180" s="54" t="n">
        <x:v>174</x:v>
      </x:c>
      <x:c r="C180" s="54" t="str">
        <x:v>NYC-V2-R01</x:v>
      </x:c>
      <x:c r="D180" s="54" t="str">
        <x:v>V2</x:v>
      </x:c>
      <x:c r="E180" s="54" t="str">
        <x:v>ADMITTED</x:v>
      </x:c>
      <x:c r="F180" s="55" t="n">
        <x:v>30752</x:v>
      </x:c>
      <x:c r="G180" s="55" t="n">
        <x:v>7162</x:v>
      </x:c>
      <x:c r="H180" s="55" t="n">
        <x:v>3564</x:v>
      </x:c>
      <x:c r="I180" s="55" t="n">
        <x:v>1344</x:v>
      </x:c>
      <x:c r="J180" s="55" t="n">
        <x:v>416</x:v>
      </x:c>
      <x:c r="K180" s="55" t="n">
        <x:v>30752</x:v>
      </x:c>
      <x:c r="L180" s="55" t="n">
        <x:v>5098</x:v>
      </x:c>
      <x:c r="M180" s="55" t="n">
        <x:v>630</x:v>
      </x:c>
      <x:c r="N180" s="55" t="n">
        <x:v>2874</x:v>
      </x:c>
      <x:c r="O180" s="55" t="n">
        <x:v>1594</x:v>
      </x:c>
      <x:c r="P180" s="55" t="n">
        <x:v>1060</x:v>
      </x:c>
      <x:c r="Q180" s="55" t="n">
        <x:v>1536</x:v>
      </x:c>
      <x:c r="R180" s="55" t="n">
        <x:v>1885</x:v>
      </x:c>
      <x:c r="S180" s="55" t="n">
        <x:v>2756</x:v>
      </x:c>
      <x:c r="T180" s="55" t="n">
        <x:v>1461</x:v>
      </x:c>
      <x:c r="U180" s="55" t="n">
        <x:v>2253</x:v>
      </x:c>
      <x:c r="V180" s="55" t="n">
        <x:v>10094</x:v>
      </x:c>
      <x:c r="W180" s="55" t="n">
        <x:v>7070</x:v>
      </x:c>
      <x:c r="X180" s="55" t="n">
        <x:v>3024</x:v>
      </x:c>
      <x:c r="Y180" s="55" t="n">
        <x:v>2463</x:v>
      </x:c>
      <x:c r="Z180" s="55" t="n">
        <x:v>3159</x:v>
      </x:c>
      <x:c r="AA180" s="55" t="n">
        <x:v>3242</x:v>
      </x:c>
      <x:c r="AB180" s="55" t="n">
        <x:v>1353</x:v>
      </x:c>
      <x:c r="AC180" s="55" t="n">
        <x:v>7544</x:v>
      </x:c>
      <x:c r="AD180" s="55" t="n">
        <x:v>2921</x:v>
      </x:c>
      <x:c r="AE180" s="55" t="n">
        <x:v>10261</x:v>
      </x:c>
      <x:c r="AF180" s="55" t="n">
        <x:v>10094</x:v>
      </x:c>
      <x:c r="AG180" s="55" t="n">
        <x:v>167</x:v>
      </x:c>
      <x:c r="AH180" s="55" t="n">
        <x:v>408</x:v>
      </x:c>
      <x:c r="AI180" s="55" t="n">
        <x:v>9686</x:v>
      </x:c>
      <x:c r="AJ180" s="55" t="n">
        <x:v>298</x:v>
      </x:c>
      <x:c r="AK180" s="55" t="n">
        <x:v>1175</x:v>
      </x:c>
      <x:c r="AL180" s="55" t="n">
        <x:v>1483</x:v>
      </x:c>
      <x:c r="AM180" s="55" t="n">
        <x:v>4412</x:v>
      </x:c>
      <x:c r="AN180" s="55" t="n">
        <x:v>2726</x:v>
      </x:c>
      <x:c r="AO180" s="55" t="n">
        <x:v>0</x:v>
      </x:c>
      <x:c r="AP180" s="55" t="n">
        <x:v>3041</x:v>
      </x:c>
      <x:c r="AQ180" s="55" t="n">
        <x:v>967</x:v>
      </x:c>
    </x:row>
    <x:row r="181">
      <x:c r="A181" s="54" t="str">
        <x:v>T1_SHARED_CATCHMENT</x:v>
      </x:c>
      <x:c r="B181" s="54" t="n">
        <x:v>175</x:v>
      </x:c>
      <x:c r="C181" s="54" t="str">
        <x:v>NYC-V2-R01</x:v>
      </x:c>
      <x:c r="D181" s="54" t="str">
        <x:v>V2</x:v>
      </x:c>
      <x:c r="E181" s="54" t="str">
        <x:v>ADMITTED</x:v>
      </x:c>
      <x:c r="F181" s="55" t="n">
        <x:v>32117</x:v>
      </x:c>
      <x:c r="G181" s="55" t="n">
        <x:v>7994</x:v>
      </x:c>
      <x:c r="H181" s="55" t="n">
        <x:v>3483</x:v>
      </x:c>
      <x:c r="I181" s="55" t="n">
        <x:v>1535</x:v>
      </x:c>
      <x:c r="J181" s="55" t="n">
        <x:v>312</x:v>
      </x:c>
      <x:c r="K181" s="55" t="n">
        <x:v>32117</x:v>
      </x:c>
      <x:c r="L181" s="55" t="n">
        <x:v>6016</x:v>
      </x:c>
      <x:c r="M181" s="55" t="n">
        <x:v>863</x:v>
      </x:c>
      <x:c r="N181" s="55" t="n">
        <x:v>3083</x:v>
      </x:c>
      <x:c r="O181" s="55" t="n">
        <x:v>2070</x:v>
      </x:c>
      <x:c r="P181" s="55" t="n">
        <x:v>1051</x:v>
      </x:c>
      <x:c r="Q181" s="55" t="n">
        <x:v>1692</x:v>
      </x:c>
      <x:c r="R181" s="55" t="n">
        <x:v>2076</x:v>
      </x:c>
      <x:c r="S181" s="55" t="n">
        <x:v>2365</x:v>
      </x:c>
      <x:c r="T181" s="55" t="n">
        <x:v>1069</x:v>
      </x:c>
      <x:c r="U181" s="55" t="n">
        <x:v>2136</x:v>
      </x:c>
      <x:c r="V181" s="55" t="n">
        <x:v>10699</x:v>
      </x:c>
      <x:c r="W181" s="55" t="n">
        <x:v>8450</x:v>
      </x:c>
      <x:c r="X181" s="55" t="n">
        <x:v>2249</x:v>
      </x:c>
      <x:c r="Y181" s="55" t="n">
        <x:v>1992</x:v>
      </x:c>
      <x:c r="Z181" s="55" t="n">
        <x:v>4174</x:v>
      </x:c>
      <x:c r="AA181" s="55" t="n">
        <x:v>2929</x:v>
      </x:c>
      <x:c r="AB181" s="55" t="n">
        <x:v>756</x:v>
      </x:c>
      <x:c r="AC181" s="55" t="n">
        <x:v>7479</x:v>
      </x:c>
      <x:c r="AD181" s="55" t="n">
        <x:v>3297</x:v>
      </x:c>
      <x:c r="AE181" s="55" t="n">
        <x:v>10758</x:v>
      </x:c>
      <x:c r="AF181" s="55" t="n">
        <x:v>10699</x:v>
      </x:c>
      <x:c r="AG181" s="55" t="n">
        <x:v>59</x:v>
      </x:c>
      <x:c r="AH181" s="55" t="n">
        <x:v>443</x:v>
      </x:c>
      <x:c r="AI181" s="55" t="n">
        <x:v>10256</x:v>
      </x:c>
      <x:c r="AJ181" s="55" t="n">
        <x:v>299</x:v>
      </x:c>
      <x:c r="AK181" s="55" t="n">
        <x:v>999</x:v>
      </x:c>
      <x:c r="AL181" s="55" t="n">
        <x:v>1391</x:v>
      </x:c>
      <x:c r="AM181" s="55" t="n">
        <x:v>4882</x:v>
      </x:c>
      <x:c r="AN181" s="55" t="n">
        <x:v>3128</x:v>
      </x:c>
      <x:c r="AO181" s="55" t="n">
        <x:v>0</x:v>
      </x:c>
      <x:c r="AP181" s="55" t="n">
        <x:v>1934</x:v>
      </x:c>
      <x:c r="AQ181" s="55" t="n">
        <x:v>902</x:v>
      </x:c>
    </x:row>
    <x:row r="182">
      <x:c r="A182" s="54" t="str">
        <x:v>T1_SHARED_CATCHMENT</x:v>
      </x:c>
      <x:c r="B182" s="54" t="n">
        <x:v>176</x:v>
      </x:c>
      <x:c r="C182" s="54" t="str">
        <x:v>NYC-V2-R01</x:v>
      </x:c>
      <x:c r="D182" s="54" t="str">
        <x:v>V2</x:v>
      </x:c>
      <x:c r="E182" s="54" t="str">
        <x:v>ADMITTED</x:v>
      </x:c>
      <x:c r="F182" s="55" t="n">
        <x:v>34398</x:v>
      </x:c>
      <x:c r="G182" s="55" t="n">
        <x:v>9507</x:v>
      </x:c>
      <x:c r="H182" s="55" t="n">
        <x:v>3761</x:v>
      </x:c>
      <x:c r="I182" s="55" t="n">
        <x:v>1556</x:v>
      </x:c>
      <x:c r="J182" s="55" t="n">
        <x:v>366</x:v>
      </x:c>
      <x:c r="K182" s="55" t="n">
        <x:v>27718</x:v>
      </x:c>
      <x:c r="L182" s="55" t="n">
        <x:v>6128</x:v>
      </x:c>
      <x:c r="M182" s="55" t="n">
        <x:v>1767</x:v>
      </x:c>
      <x:c r="N182" s="55" t="n">
        <x:v>2732</x:v>
      </x:c>
      <x:c r="O182" s="55" t="n">
        <x:v>1629</x:v>
      </x:c>
      <x:c r="P182" s="55" t="n">
        <x:v>1118</x:v>
      </x:c>
      <x:c r="Q182" s="55" t="n">
        <x:v>1759</x:v>
      </x:c>
      <x:c r="R182" s="55" t="n">
        <x:v>1532</x:v>
      </x:c>
      <x:c r="S182" s="55" t="n">
        <x:v>1972</x:v>
      </x:c>
      <x:c r="T182" s="55" t="n">
        <x:v>1355</x:v>
      </x:c>
      <x:c r="U182" s="55" t="n">
        <x:v>1741</x:v>
      </x:c>
      <x:c r="V182" s="55" t="n">
        <x:v>9836</x:v>
      </x:c>
      <x:c r="W182" s="55" t="n">
        <x:v>6830</x:v>
      </x:c>
      <x:c r="X182" s="55" t="n">
        <x:v>3006</x:v>
      </x:c>
      <x:c r="Y182" s="55" t="n">
        <x:v>2384</x:v>
      </x:c>
      <x:c r="Z182" s="55" t="n">
        <x:v>4260</x:v>
      </x:c>
      <x:c r="AA182" s="55" t="n">
        <x:v>3761</x:v>
      </x:c>
      <x:c r="AB182" s="55" t="n">
        <x:v>1333</x:v>
      </x:c>
      <x:c r="AC182" s="55" t="n">
        <x:v>8265</x:v>
      </x:c>
      <x:c r="AD182" s="55" t="n">
        <x:v>3097</x:v>
      </x:c>
      <x:c r="AE182" s="55" t="n">
        <x:v>9996</x:v>
      </x:c>
      <x:c r="AF182" s="55" t="n">
        <x:v>9836</x:v>
      </x:c>
      <x:c r="AG182" s="55" t="n">
        <x:v>160</x:v>
      </x:c>
      <x:c r="AH182" s="55" t="n">
        <x:v>291</x:v>
      </x:c>
      <x:c r="AI182" s="55" t="n">
        <x:v>9545</x:v>
      </x:c>
      <x:c r="AJ182" s="55" t="n">
        <x:v>237</x:v>
      </x:c>
      <x:c r="AK182" s="55" t="n">
        <x:v>1002</x:v>
      </x:c>
      <x:c r="AL182" s="55" t="n">
        <x:v>1165</x:v>
      </x:c>
      <x:c r="AM182" s="55" t="n">
        <x:v>4961</x:v>
      </x:c>
      <x:c r="AN182" s="55" t="n">
        <x:v>2393</x:v>
      </x:c>
      <x:c r="AO182" s="55" t="n">
        <x:v>78</x:v>
      </x:c>
      <x:c r="AP182" s="55" t="n">
        <x:v>2290</x:v>
      </x:c>
      <x:c r="AQ182" s="55" t="n">
        <x:v>973</x:v>
      </x:c>
    </x:row>
    <x:row r="183">
      <x:c r="A183" s="54" t="str">
        <x:v>T1_SHARED_CATCHMENT</x:v>
      </x:c>
      <x:c r="B183" s="54" t="n">
        <x:v>177</x:v>
      </x:c>
      <x:c r="C183" s="54" t="str">
        <x:v>NYC-V2-R01</x:v>
      </x:c>
      <x:c r="D183" s="54" t="str">
        <x:v>V2</x:v>
      </x:c>
      <x:c r="E183" s="54" t="str">
        <x:v>ADMITTED</x:v>
      </x:c>
      <x:c r="F183" s="55" t="n">
        <x:v>30689</x:v>
      </x:c>
      <x:c r="G183" s="55" t="n">
        <x:v>5895</x:v>
      </x:c>
      <x:c r="H183" s="55" t="n">
        <x:v>3361</x:v>
      </x:c>
      <x:c r="I183" s="55" t="n">
        <x:v>1667</x:v>
      </x:c>
      <x:c r="J183" s="55" t="n">
        <x:v>261</x:v>
      </x:c>
      <x:c r="K183" s="55" t="n">
        <x:v>30689</x:v>
      </x:c>
      <x:c r="L183" s="55" t="n">
        <x:v>4970</x:v>
      </x:c>
      <x:c r="M183" s="55" t="n">
        <x:v>1246</x:v>
      </x:c>
      <x:c r="N183" s="55" t="n">
        <x:v>2194</x:v>
      </x:c>
      <x:c r="O183" s="55" t="n">
        <x:v>1530</x:v>
      </x:c>
      <x:c r="P183" s="55" t="n">
        <x:v>825</x:v>
      </x:c>
      <x:c r="Q183" s="55" t="n">
        <x:v>2407</x:v>
      </x:c>
      <x:c r="R183" s="55" t="n">
        <x:v>2111</x:v>
      </x:c>
      <x:c r="S183" s="55" t="n">
        <x:v>2865</x:v>
      </x:c>
      <x:c r="T183" s="55" t="n">
        <x:v>820</x:v>
      </x:c>
      <x:c r="U183" s="55" t="n">
        <x:v>2406</x:v>
      </x:c>
      <x:c r="V183" s="55" t="n">
        <x:v>10157</x:v>
      </x:c>
      <x:c r="W183" s="55" t="n">
        <x:v>7166</x:v>
      </x:c>
      <x:c r="X183" s="55" t="n">
        <x:v>2991</x:v>
      </x:c>
      <x:c r="Y183" s="55" t="n">
        <x:v>2432</x:v>
      </x:c>
      <x:c r="Z183" s="55" t="n">
        <x:v>3703</x:v>
      </x:c>
      <x:c r="AA183" s="55" t="n">
        <x:v>2758</x:v>
      </x:c>
      <x:c r="AB183" s="55" t="n">
        <x:v>715</x:v>
      </x:c>
      <x:c r="AC183" s="55" t="n">
        <x:v>7732</x:v>
      </x:c>
      <x:c r="AD183" s="55" t="n">
        <x:v>2938</x:v>
      </x:c>
      <x:c r="AE183" s="55" t="n">
        <x:v>10259</x:v>
      </x:c>
      <x:c r="AF183" s="55" t="n">
        <x:v>10157</x:v>
      </x:c>
      <x:c r="AG183" s="55" t="n">
        <x:v>102</x:v>
      </x:c>
      <x:c r="AH183" s="55" t="n">
        <x:v>416</x:v>
      </x:c>
      <x:c r="AI183" s="55" t="n">
        <x:v>9741</x:v>
      </x:c>
      <x:c r="AJ183" s="55" t="n">
        <x:v>243</x:v>
      </x:c>
      <x:c r="AK183" s="55" t="n">
        <x:v>814</x:v>
      </x:c>
      <x:c r="AL183" s="55" t="n">
        <x:v>1771</x:v>
      </x:c>
      <x:c r="AM183" s="55" t="n">
        <x:v>4954</x:v>
      </x:c>
      <x:c r="AN183" s="55" t="n">
        <x:v>2375</x:v>
      </x:c>
      <x:c r="AO183" s="55" t="n">
        <x:v>0</x:v>
      </x:c>
      <x:c r="AP183" s="55" t="n">
        <x:v>2173</x:v>
      </x:c>
      <x:c r="AQ183" s="55" t="n">
        <x:v>953</x:v>
      </x:c>
    </x:row>
    <x:row r="184">
      <x:c r="A184" s="54" t="str">
        <x:v>T1_SHARED_CATCHMENT</x:v>
      </x:c>
      <x:c r="B184" s="54" t="n">
        <x:v>178</x:v>
      </x:c>
      <x:c r="C184" s="54" t="str">
        <x:v>NYC-V2-R01</x:v>
      </x:c>
      <x:c r="D184" s="54" t="str">
        <x:v>V2</x:v>
      </x:c>
      <x:c r="E184" s="54" t="str">
        <x:v>ADMITTED</x:v>
      </x:c>
      <x:c r="F184" s="55" t="n">
        <x:v>31254</x:v>
      </x:c>
      <x:c r="G184" s="55" t="n">
        <x:v>7586</x:v>
      </x:c>
      <x:c r="H184" s="55" t="n">
        <x:v>3192</x:v>
      </x:c>
      <x:c r="I184" s="55" t="n">
        <x:v>1192</x:v>
      </x:c>
      <x:c r="J184" s="55" t="n">
        <x:v>272</x:v>
      </x:c>
      <x:c r="K184" s="55" t="n">
        <x:v>30886</x:v>
      </x:c>
      <x:c r="L184" s="55" t="n">
        <x:v>5705</x:v>
      </x:c>
      <x:c r="M184" s="55" t="n">
        <x:v>1070</x:v>
      </x:c>
      <x:c r="N184" s="55" t="n">
        <x:v>2813</x:v>
      </x:c>
      <x:c r="O184" s="55" t="n">
        <x:v>1822</x:v>
      </x:c>
      <x:c r="P184" s="55" t="n">
        <x:v>601</x:v>
      </x:c>
      <x:c r="Q184" s="55" t="n">
        <x:v>2545</x:v>
      </x:c>
      <x:c r="R184" s="55" t="n">
        <x:v>1524</x:v>
      </x:c>
      <x:c r="S184" s="55" t="n">
        <x:v>1583</x:v>
      </x:c>
      <x:c r="T184" s="55" t="n">
        <x:v>1464</x:v>
      </x:c>
      <x:c r="U184" s="55" t="n">
        <x:v>1717</x:v>
      </x:c>
      <x:c r="V184" s="55" t="n">
        <x:v>9822</x:v>
      </x:c>
      <x:c r="W184" s="55" t="n">
        <x:v>6436</x:v>
      </x:c>
      <x:c r="X184" s="55" t="n">
        <x:v>3386</x:v>
      </x:c>
      <x:c r="Y184" s="55" t="n">
        <x:v>3050</x:v>
      </x:c>
      <x:c r="Z184" s="55" t="n">
        <x:v>3849</x:v>
      </x:c>
      <x:c r="AA184" s="55" t="n">
        <x:v>3019</x:v>
      </x:c>
      <x:c r="AB184" s="55" t="n">
        <x:v>1089</x:v>
      </x:c>
      <x:c r="AC184" s="55" t="n">
        <x:v>7903</x:v>
      </x:c>
      <x:c r="AD184" s="55" t="n">
        <x:v>2624</x:v>
      </x:c>
      <x:c r="AE184" s="55" t="n">
        <x:v>9898</x:v>
      </x:c>
      <x:c r="AF184" s="55" t="n">
        <x:v>9822</x:v>
      </x:c>
      <x:c r="AG184" s="55" t="n">
        <x:v>76</x:v>
      </x:c>
      <x:c r="AH184" s="55" t="n">
        <x:v>135</x:v>
      </x:c>
      <x:c r="AI184" s="55" t="n">
        <x:v>9687</x:v>
      </x:c>
      <x:c r="AJ184" s="55" t="n">
        <x:v>269</x:v>
      </x:c>
      <x:c r="AK184" s="55" t="n">
        <x:v>750</x:v>
      </x:c>
      <x:c r="AL184" s="55" t="n">
        <x:v>1415</x:v>
      </x:c>
      <x:c r="AM184" s="55" t="n">
        <x:v>4841</x:v>
      </x:c>
      <x:c r="AN184" s="55" t="n">
        <x:v>2547</x:v>
      </x:c>
      <x:c r="AO184" s="55" t="n">
        <x:v>0</x:v>
      </x:c>
      <x:c r="AP184" s="55" t="n">
        <x:v>2251</x:v>
      </x:c>
      <x:c r="AQ184" s="55" t="n">
        <x:v>975</x:v>
      </x:c>
    </x:row>
    <x:row r="185">
      <x:c r="A185" s="54" t="str">
        <x:v>T1_SHARED_CATCHMENT</x:v>
      </x:c>
      <x:c r="B185" s="54" t="n">
        <x:v>179</x:v>
      </x:c>
      <x:c r="C185" s="54" t="str">
        <x:v>NYC-V2-R01</x:v>
      </x:c>
      <x:c r="D185" s="54" t="str">
        <x:v>V2</x:v>
      </x:c>
      <x:c r="E185" s="54" t="str">
        <x:v>ADMITTED</x:v>
      </x:c>
      <x:c r="F185" s="55" t="n">
        <x:v>30015</x:v>
      </x:c>
      <x:c r="G185" s="55" t="n">
        <x:v>7189</x:v>
      </x:c>
      <x:c r="H185" s="55" t="n">
        <x:v>3586</x:v>
      </x:c>
      <x:c r="I185" s="55" t="n">
        <x:v>1394</x:v>
      </x:c>
      <x:c r="J185" s="55" t="n">
        <x:v>292</x:v>
      </x:c>
      <x:c r="K185" s="55" t="n">
        <x:v>29231</x:v>
      </x:c>
      <x:c r="L185" s="55" t="n">
        <x:v>6528</x:v>
      </x:c>
      <x:c r="M185" s="55" t="n">
        <x:v>1571</x:v>
      </x:c>
      <x:c r="N185" s="55" t="n">
        <x:v>3124</x:v>
      </x:c>
      <x:c r="O185" s="55" t="n">
        <x:v>1833</x:v>
      </x:c>
      <x:c r="P185" s="55" t="n">
        <x:v>1207</x:v>
      </x:c>
      <x:c r="Q185" s="55" t="n">
        <x:v>3435</x:v>
      </x:c>
      <x:c r="R185" s="55" t="n">
        <x:v>1906</x:v>
      </x:c>
      <x:c r="S185" s="55" t="n">
        <x:v>2103</x:v>
      </x:c>
      <x:c r="T185" s="55" t="n">
        <x:v>1275</x:v>
      </x:c>
      <x:c r="U185" s="55" t="n">
        <x:v>1790</x:v>
      </x:c>
      <x:c r="V185" s="55" t="n">
        <x:v>10227</x:v>
      </x:c>
      <x:c r="W185" s="55" t="n">
        <x:v>7253</x:v>
      </x:c>
      <x:c r="X185" s="55" t="n">
        <x:v>2974</x:v>
      </x:c>
      <x:c r="Y185" s="55" t="n">
        <x:v>2447</x:v>
      </x:c>
      <x:c r="Z185" s="55" t="n">
        <x:v>3512</x:v>
      </x:c>
      <x:c r="AA185" s="55" t="n">
        <x:v>2850</x:v>
      </x:c>
      <x:c r="AB185" s="55" t="n">
        <x:v>1088</x:v>
      </x:c>
      <x:c r="AC185" s="55" t="n">
        <x:v>7885</x:v>
      </x:c>
      <x:c r="AD185" s="55" t="n">
        <x:v>3105</x:v>
      </x:c>
      <x:c r="AE185" s="55" t="n">
        <x:v>10304</x:v>
      </x:c>
      <x:c r="AF185" s="55" t="n">
        <x:v>10227</x:v>
      </x:c>
      <x:c r="AG185" s="55" t="n">
        <x:v>77</x:v>
      </x:c>
      <x:c r="AH185" s="55" t="n">
        <x:v>312</x:v>
      </x:c>
      <x:c r="AI185" s="55" t="n">
        <x:v>9915</x:v>
      </x:c>
      <x:c r="AJ185" s="55" t="n">
        <x:v>375</x:v>
      </x:c>
      <x:c r="AK185" s="55" t="n">
        <x:v>1155</x:v>
      </x:c>
      <x:c r="AL185" s="55" t="n">
        <x:v>1215</x:v>
      </x:c>
      <x:c r="AM185" s="55" t="n">
        <x:v>4597</x:v>
      </x:c>
      <x:c r="AN185" s="55" t="n">
        <x:v>2883</x:v>
      </x:c>
      <x:c r="AO185" s="55" t="n">
        <x:v>2</x:v>
      </x:c>
      <x:c r="AP185" s="55" t="n">
        <x:v>2485</x:v>
      </x:c>
      <x:c r="AQ185" s="55" t="n">
        <x:v>925</x:v>
      </x:c>
    </x:row>
    <x:row r="186">
      <x:c r="A186" s="54" t="str">
        <x:v>T1_SHARED_CATCHMENT</x:v>
      </x:c>
      <x:c r="B186" s="54" t="n">
        <x:v>180</x:v>
      </x:c>
      <x:c r="C186" s="54" t="str">
        <x:v>NYC-V2-R01</x:v>
      </x:c>
      <x:c r="D186" s="54" t="str">
        <x:v>V2</x:v>
      </x:c>
      <x:c r="E186" s="54" t="str">
        <x:v>ADMITTED</x:v>
      </x:c>
      <x:c r="F186" s="55" t="n">
        <x:v>35557</x:v>
      </x:c>
      <x:c r="G186" s="55" t="n">
        <x:v>8920</x:v>
      </x:c>
      <x:c r="H186" s="55" t="n">
        <x:v>3651</x:v>
      </x:c>
      <x:c r="I186" s="55" t="n">
        <x:v>1511</x:v>
      </x:c>
      <x:c r="J186" s="55" t="n">
        <x:v>381</x:v>
      </x:c>
      <x:c r="K186" s="55" t="n">
        <x:v>30613</x:v>
      </x:c>
      <x:c r="L186" s="55" t="n">
        <x:v>5989</x:v>
      </x:c>
      <x:c r="M186" s="55" t="n">
        <x:v>1859</x:v>
      </x:c>
      <x:c r="N186" s="55" t="n">
        <x:v>2209</x:v>
      </x:c>
      <x:c r="O186" s="55" t="n">
        <x:v>1921</x:v>
      </x:c>
      <x:c r="P186" s="55" t="n">
        <x:v>884</x:v>
      </x:c>
      <x:c r="Q186" s="55" t="n">
        <x:v>3004</x:v>
      </x:c>
      <x:c r="R186" s="55" t="n">
        <x:v>1710</x:v>
      </x:c>
      <x:c r="S186" s="55" t="n">
        <x:v>2647</x:v>
      </x:c>
      <x:c r="T186" s="55" t="n">
        <x:v>1264</x:v>
      </x:c>
      <x:c r="U186" s="55" t="n">
        <x:v>1630</x:v>
      </x:c>
      <x:c r="V186" s="55" t="n">
        <x:v>10258</x:v>
      </x:c>
      <x:c r="W186" s="55" t="n">
        <x:v>7345</x:v>
      </x:c>
      <x:c r="X186" s="55" t="n">
        <x:v>2913</x:v>
      </x:c>
      <x:c r="Y186" s="55" t="n">
        <x:v>2695</x:v>
      </x:c>
      <x:c r="Z186" s="55" t="n">
        <x:v>3738</x:v>
      </x:c>
      <x:c r="AA186" s="55" t="n">
        <x:v>2819</x:v>
      </x:c>
      <x:c r="AB186" s="55" t="n">
        <x:v>1091</x:v>
      </x:c>
      <x:c r="AC186" s="55" t="n">
        <x:v>8384</x:v>
      </x:c>
      <x:c r="AD186" s="55" t="n">
        <x:v>3153</x:v>
      </x:c>
      <x:c r="AE186" s="55" t="n">
        <x:v>10358</x:v>
      </x:c>
      <x:c r="AF186" s="55" t="n">
        <x:v>10258</x:v>
      </x:c>
      <x:c r="AG186" s="55" t="n">
        <x:v>100</x:v>
      </x:c>
      <x:c r="AH186" s="55" t="n">
        <x:v>475</x:v>
      </x:c>
      <x:c r="AI186" s="55" t="n">
        <x:v>9783</x:v>
      </x:c>
      <x:c r="AJ186" s="55" t="n">
        <x:v>98</x:v>
      </x:c>
      <x:c r="AK186" s="55" t="n">
        <x:v>827</x:v>
      </x:c>
      <x:c r="AL186" s="55" t="n">
        <x:v>1531</x:v>
      </x:c>
      <x:c r="AM186" s="55" t="n">
        <x:v>4876</x:v>
      </x:c>
      <x:c r="AN186" s="55" t="n">
        <x:v>2926</x:v>
      </x:c>
      <x:c r="AO186" s="55" t="n">
        <x:v>0</x:v>
      </x:c>
      <x:c r="AP186" s="55" t="n">
        <x:v>2251</x:v>
      </x:c>
      <x:c r="AQ186" s="55" t="n">
        <x:v>925</x:v>
      </x:c>
    </x:row>
    <x:row r="187">
      <x:c r="A187" s="54" t="str">
        <x:v>T1_SHARED_CATCHMENT</x:v>
      </x:c>
      <x:c r="B187" s="54" t="n">
        <x:v>181</x:v>
      </x:c>
      <x:c r="C187" s="54" t="str">
        <x:v>NYC-V2-R01</x:v>
      </x:c>
      <x:c r="D187" s="54" t="str">
        <x:v>V2</x:v>
      </x:c>
      <x:c r="E187" s="54" t="str">
        <x:v>ADMITTED</x:v>
      </x:c>
      <x:c r="F187" s="55" t="n">
        <x:v>28946</x:v>
      </x:c>
      <x:c r="G187" s="55" t="n">
        <x:v>6955</x:v>
      </x:c>
      <x:c r="H187" s="55" t="n">
        <x:v>2894</x:v>
      </x:c>
      <x:c r="I187" s="55" t="n">
        <x:v>966</x:v>
      </x:c>
      <x:c r="J187" s="55" t="n">
        <x:v>0</x:v>
      </x:c>
      <x:c r="K187" s="55" t="n">
        <x:v>28946</x:v>
      </x:c>
      <x:c r="L187" s="55" t="n">
        <x:v>3860</x:v>
      </x:c>
      <x:c r="M187" s="55" t="n">
        <x:v>404</x:v>
      </x:c>
      <x:c r="N187" s="55" t="n">
        <x:v>2244</x:v>
      </x:c>
      <x:c r="O187" s="55" t="n">
        <x:v>1212</x:v>
      </x:c>
      <x:c r="P187" s="55" t="n">
        <x:v>355</x:v>
      </x:c>
      <x:c r="Q187" s="55" t="n">
        <x:v>2506</x:v>
      </x:c>
      <x:c r="R187" s="55" t="n">
        <x:v>1668</x:v>
      </x:c>
      <x:c r="S187" s="55" t="n">
        <x:v>2181</x:v>
      </x:c>
      <x:c r="T187" s="55" t="n">
        <x:v>1106</x:v>
      </x:c>
      <x:c r="U187" s="55" t="n">
        <x:v>1310</x:v>
      </x:c>
      <x:c r="V187" s="55" t="n">
        <x:v>9460</x:v>
      </x:c>
      <x:c r="W187" s="55" t="n">
        <x:v>6566</x:v>
      </x:c>
      <x:c r="X187" s="55" t="n">
        <x:v>2894</x:v>
      </x:c>
      <x:c r="Y187" s="55" t="n">
        <x:v>2485</x:v>
      </x:c>
      <x:c r="Z187" s="55" t="n">
        <x:v>3581</x:v>
      </x:c>
      <x:c r="AA187" s="55" t="n">
        <x:v>2578</x:v>
      </x:c>
      <x:c r="AB187" s="55" t="n">
        <x:v>707</x:v>
      </x:c>
      <x:c r="AC187" s="55" t="n">
        <x:v>7837</x:v>
      </x:c>
      <x:c r="AD187" s="55" t="n">
        <x:v>2260</x:v>
      </x:c>
      <x:c r="AE187" s="55" t="n">
        <x:v>9510</x:v>
      </x:c>
      <x:c r="AF187" s="55" t="n">
        <x:v>9460</x:v>
      </x:c>
      <x:c r="AG187" s="55" t="n">
        <x:v>50</x:v>
      </x:c>
      <x:c r="AH187" s="55" t="n">
        <x:v>20</x:v>
      </x:c>
      <x:c r="AI187" s="55" t="n">
        <x:v>9440</x:v>
      </x:c>
      <x:c r="AJ187" s="55" t="n">
        <x:v>92</x:v>
      </x:c>
      <x:c r="AK187" s="55" t="n">
        <x:v>1080</x:v>
      </x:c>
      <x:c r="AL187" s="55" t="n">
        <x:v>1122</x:v>
      </x:c>
      <x:c r="AM187" s="55" t="n">
        <x:v>4984</x:v>
      </x:c>
      <x:c r="AN187" s="55" t="n">
        <x:v>2182</x:v>
      </x:c>
      <x:c r="AO187" s="55" t="n">
        <x:v>0</x:v>
      </x:c>
      <x:c r="AP187" s="55" t="n">
        <x:v>2410</x:v>
      </x:c>
      <x:c r="AQ187" s="55" t="n">
        <x:v>951</x:v>
      </x:c>
    </x:row>
    <x:row r="188">
      <x:c r="A188" s="54" t="str">
        <x:v>T1_SHARED_CATCHMENT</x:v>
      </x:c>
      <x:c r="B188" s="54" t="n">
        <x:v>182</x:v>
      </x:c>
      <x:c r="C188" s="54" t="str">
        <x:v>NYC-V2-R01</x:v>
      </x:c>
      <x:c r="D188" s="54" t="str">
        <x:v>V2</x:v>
      </x:c>
      <x:c r="E188" s="54" t="str">
        <x:v>ADMITTED</x:v>
      </x:c>
      <x:c r="F188" s="55" t="n">
        <x:v>30991</x:v>
      </x:c>
      <x:c r="G188" s="55" t="n">
        <x:v>8334</x:v>
      </x:c>
      <x:c r="H188" s="55" t="n">
        <x:v>2932</x:v>
      </x:c>
      <x:c r="I188" s="55" t="n">
        <x:v>950</x:v>
      </x:c>
      <x:c r="J188" s="55" t="n">
        <x:v>221</x:v>
      </x:c>
      <x:c r="K188" s="55" t="n">
        <x:v>30991</x:v>
      </x:c>
      <x:c r="L188" s="55" t="n">
        <x:v>5342</x:v>
      </x:c>
      <x:c r="M188" s="55" t="n">
        <x:v>691</x:v>
      </x:c>
      <x:c r="N188" s="55" t="n">
        <x:v>2876</x:v>
      </x:c>
      <x:c r="O188" s="55" t="n">
        <x:v>1775</x:v>
      </x:c>
      <x:c r="P188" s="55" t="n">
        <x:v>1050</x:v>
      </x:c>
      <x:c r="Q188" s="55" t="n">
        <x:v>3049</x:v>
      </x:c>
      <x:c r="R188" s="55" t="n">
        <x:v>1925</x:v>
      </x:c>
      <x:c r="S188" s="55" t="n">
        <x:v>2813</x:v>
      </x:c>
      <x:c r="T188" s="55" t="n">
        <x:v>1318</x:v>
      </x:c>
      <x:c r="U188" s="55" t="n">
        <x:v>2519</x:v>
      </x:c>
      <x:c r="V188" s="55" t="n">
        <x:v>10763</x:v>
      </x:c>
      <x:c r="W188" s="55" t="n">
        <x:v>7732</x:v>
      </x:c>
      <x:c r="X188" s="55" t="n">
        <x:v>3031</x:v>
      </x:c>
      <x:c r="Y188" s="55" t="n">
        <x:v>2614</x:v>
      </x:c>
      <x:c r="Z188" s="55" t="n">
        <x:v>3600</x:v>
      </x:c>
      <x:c r="AA188" s="55" t="n">
        <x:v>2932</x:v>
      </x:c>
      <x:c r="AB188" s="55" t="n">
        <x:v>1291</x:v>
      </x:c>
      <x:c r="AC188" s="55" t="n">
        <x:v>8211</x:v>
      </x:c>
      <x:c r="AD188" s="55" t="n">
        <x:v>2118</x:v>
      </x:c>
      <x:c r="AE188" s="55" t="n">
        <x:v>10817</x:v>
      </x:c>
      <x:c r="AF188" s="55" t="n">
        <x:v>10763</x:v>
      </x:c>
      <x:c r="AG188" s="55" t="n">
        <x:v>54</x:v>
      </x:c>
      <x:c r="AH188" s="55" t="n">
        <x:v>466</x:v>
      </x:c>
      <x:c r="AI188" s="55" t="n">
        <x:v>10297</x:v>
      </x:c>
      <x:c r="AJ188" s="55" t="n">
        <x:v>406</x:v>
      </x:c>
      <x:c r="AK188" s="55" t="n">
        <x:v>1051</x:v>
      </x:c>
      <x:c r="AL188" s="55" t="n">
        <x:v>1081</x:v>
      </x:c>
      <x:c r="AM188" s="55" t="n">
        <x:v>5156</x:v>
      </x:c>
      <x:c r="AN188" s="55" t="n">
        <x:v>3069</x:v>
      </x:c>
      <x:c r="AO188" s="55" t="n">
        <x:v>0</x:v>
      </x:c>
      <x:c r="AP188" s="55" t="n">
        <x:v>2269</x:v>
      </x:c>
      <x:c r="AQ188" s="55" t="n">
        <x:v>978</x:v>
      </x:c>
    </x:row>
    <x:row r="189">
      <x:c r="A189" s="54" t="str">
        <x:v>T1_SHARED_CATCHMENT</x:v>
      </x:c>
      <x:c r="B189" s="54" t="n">
        <x:v>183</x:v>
      </x:c>
      <x:c r="C189" s="54" t="str">
        <x:v>NYC-V2-R01</x:v>
      </x:c>
      <x:c r="D189" s="54" t="str">
        <x:v>V2</x:v>
      </x:c>
      <x:c r="E189" s="54" t="str">
        <x:v>ADMITTED</x:v>
      </x:c>
      <x:c r="F189" s="55" t="n">
        <x:v>32055</x:v>
      </x:c>
      <x:c r="G189" s="55" t="n">
        <x:v>8141</x:v>
      </x:c>
      <x:c r="H189" s="55" t="n">
        <x:v>3122</x:v>
      </x:c>
      <x:c r="I189" s="55" t="n">
        <x:v>962</x:v>
      </x:c>
      <x:c r="J189" s="55" t="n">
        <x:v>176</x:v>
      </x:c>
      <x:c r="K189" s="55" t="n">
        <x:v>30571</x:v>
      </x:c>
      <x:c r="L189" s="55" t="n">
        <x:v>6824</x:v>
      </x:c>
      <x:c r="M189" s="55" t="n">
        <x:v>1989</x:v>
      </x:c>
      <x:c r="N189" s="55" t="n">
        <x:v>2926</x:v>
      </x:c>
      <x:c r="O189" s="55" t="n">
        <x:v>1909</x:v>
      </x:c>
      <x:c r="P189" s="55" t="n">
        <x:v>747</x:v>
      </x:c>
      <x:c r="Q189" s="55" t="n">
        <x:v>2125</x:v>
      </x:c>
      <x:c r="R189" s="55" t="n">
        <x:v>1299</x:v>
      </x:c>
      <x:c r="S189" s="55" t="n">
        <x:v>2647</x:v>
      </x:c>
      <x:c r="T189" s="55" t="n">
        <x:v>723</x:v>
      </x:c>
      <x:c r="U189" s="55" t="n">
        <x:v>2275</x:v>
      </x:c>
      <x:c r="V189" s="55" t="n">
        <x:v>10525</x:v>
      </x:c>
      <x:c r="W189" s="55" t="n">
        <x:v>7482</x:v>
      </x:c>
      <x:c r="X189" s="55" t="n">
        <x:v>3043</x:v>
      </x:c>
      <x:c r="Y189" s="55" t="n">
        <x:v>2871</x:v>
      </x:c>
      <x:c r="Z189" s="55" t="n">
        <x:v>3311</x:v>
      </x:c>
      <x:c r="AA189" s="55" t="n">
        <x:v>2799</x:v>
      </x:c>
      <x:c r="AB189" s="55" t="n">
        <x:v>1047</x:v>
      </x:c>
      <x:c r="AC189" s="55" t="n">
        <x:v>7577</x:v>
      </x:c>
      <x:c r="AD189" s="55" t="n">
        <x:v>3525</x:v>
      </x:c>
      <x:c r="AE189" s="55" t="n">
        <x:v>10630</x:v>
      </x:c>
      <x:c r="AF189" s="55" t="n">
        <x:v>10525</x:v>
      </x:c>
      <x:c r="AG189" s="55" t="n">
        <x:v>105</x:v>
      </x:c>
      <x:c r="AH189" s="55" t="n">
        <x:v>180</x:v>
      </x:c>
      <x:c r="AI189" s="55" t="n">
        <x:v>10345</x:v>
      </x:c>
      <x:c r="AJ189" s="55" t="n">
        <x:v>199</x:v>
      </x:c>
      <x:c r="AK189" s="55" t="n">
        <x:v>837</x:v>
      </x:c>
      <x:c r="AL189" s="55" t="n">
        <x:v>1644</x:v>
      </x:c>
      <x:c r="AM189" s="55" t="n">
        <x:v>4428</x:v>
      </x:c>
      <x:c r="AN189" s="55" t="n">
        <x:v>3417</x:v>
      </x:c>
      <x:c r="AO189" s="55" t="n">
        <x:v>0</x:v>
      </x:c>
      <x:c r="AP189" s="55" t="n">
        <x:v>2578</x:v>
      </x:c>
      <x:c r="AQ189" s="55" t="n">
        <x:v>919</x:v>
      </x:c>
    </x:row>
    <x:row r="190">
      <x:c r="A190" s="54" t="str">
        <x:v>T1_SHARED_CATCHMENT</x:v>
      </x:c>
      <x:c r="B190" s="54" t="n">
        <x:v>184</x:v>
      </x:c>
      <x:c r="C190" s="54" t="str">
        <x:v>NYC-V2-R01</x:v>
      </x:c>
      <x:c r="D190" s="54" t="str">
        <x:v>V2</x:v>
      </x:c>
      <x:c r="E190" s="54" t="str">
        <x:v>ADMITTED</x:v>
      </x:c>
      <x:c r="F190" s="55" t="n">
        <x:v>30951</x:v>
      </x:c>
      <x:c r="G190" s="55" t="n">
        <x:v>8012</x:v>
      </x:c>
      <x:c r="H190" s="55" t="n">
        <x:v>3446</x:v>
      </x:c>
      <x:c r="I190" s="55" t="n">
        <x:v>1224</x:v>
      </x:c>
      <x:c r="J190" s="55" t="n">
        <x:v>206</x:v>
      </x:c>
      <x:c r="K190" s="55" t="n">
        <x:v>28928</x:v>
      </x:c>
      <x:c r="L190" s="55" t="n">
        <x:v>5650</x:v>
      </x:c>
      <x:c r="M190" s="55" t="n">
        <x:v>1144</x:v>
      </x:c>
      <x:c r="N190" s="55" t="n">
        <x:v>3019</x:v>
      </x:c>
      <x:c r="O190" s="55" t="n">
        <x:v>1487</x:v>
      </x:c>
      <x:c r="P190" s="55" t="n">
        <x:v>1012</x:v>
      </x:c>
      <x:c r="Q190" s="55" t="n">
        <x:v>2689</x:v>
      </x:c>
      <x:c r="R190" s="55" t="n">
        <x:v>1359</x:v>
      </x:c>
      <x:c r="S190" s="55" t="n">
        <x:v>3086</x:v>
      </x:c>
      <x:c r="T190" s="55" t="n">
        <x:v>1800</x:v>
      </x:c>
      <x:c r="U190" s="55" t="n">
        <x:v>2105</x:v>
      </x:c>
      <x:c r="V190" s="55" t="n">
        <x:v>11218</x:v>
      </x:c>
      <x:c r="W190" s="55" t="n">
        <x:v>8383</x:v>
      </x:c>
      <x:c r="X190" s="55" t="n">
        <x:v>2835</x:v>
      </x:c>
      <x:c r="Y190" s="55" t="n">
        <x:v>2440</x:v>
      </x:c>
      <x:c r="Z190" s="55" t="n">
        <x:v>3656</x:v>
      </x:c>
      <x:c r="AA190" s="55" t="n">
        <x:v>2903</x:v>
      </x:c>
      <x:c r="AB190" s="55" t="n">
        <x:v>882</x:v>
      </x:c>
      <x:c r="AC190" s="55" t="n">
        <x:v>8537</x:v>
      </x:c>
      <x:c r="AD190" s="55" t="n">
        <x:v>2841</x:v>
      </x:c>
      <x:c r="AE190" s="55" t="n">
        <x:v>11326</x:v>
      </x:c>
      <x:c r="AF190" s="55" t="n">
        <x:v>11218</x:v>
      </x:c>
      <x:c r="AG190" s="55" t="n">
        <x:v>108</x:v>
      </x:c>
      <x:c r="AH190" s="55" t="n">
        <x:v>490</x:v>
      </x:c>
      <x:c r="AI190" s="55" t="n">
        <x:v>10728</x:v>
      </x:c>
      <x:c r="AJ190" s="55" t="n">
        <x:v>328</x:v>
      </x:c>
      <x:c r="AK190" s="55" t="n">
        <x:v>1073</x:v>
      </x:c>
      <x:c r="AL190" s="55" t="n">
        <x:v>1923</x:v>
      </x:c>
      <x:c r="AM190" s="55" t="n">
        <x:v>4563</x:v>
      </x:c>
      <x:c r="AN190" s="55" t="n">
        <x:v>3250</x:v>
      </x:c>
      <x:c r="AO190" s="55" t="n">
        <x:v>81</x:v>
      </x:c>
      <x:c r="AP190" s="55" t="n">
        <x:v>2580</x:v>
      </x:c>
      <x:c r="AQ190" s="55" t="n">
        <x:v>946</x:v>
      </x:c>
    </x:row>
    <x:row r="191">
      <x:c r="A191" s="54" t="str">
        <x:v>T1_SHARED_CATCHMENT</x:v>
      </x:c>
      <x:c r="B191" s="54" t="n">
        <x:v>185</x:v>
      </x:c>
      <x:c r="C191" s="54" t="str">
        <x:v>NYC-V2-R01</x:v>
      </x:c>
      <x:c r="D191" s="54" t="str">
        <x:v>V2</x:v>
      </x:c>
      <x:c r="E191" s="54" t="str">
        <x:v>ADMITTED</x:v>
      </x:c>
      <x:c r="F191" s="55" t="n">
        <x:v>30581</x:v>
      </x:c>
      <x:c r="G191" s="55" t="n">
        <x:v>7040</x:v>
      </x:c>
      <x:c r="H191" s="55" t="n">
        <x:v>3545</x:v>
      </x:c>
      <x:c r="I191" s="55" t="n">
        <x:v>1423</x:v>
      </x:c>
      <x:c r="J191" s="55" t="n">
        <x:v>481</x:v>
      </x:c>
      <x:c r="K191" s="55" t="n">
        <x:v>30581</x:v>
      </x:c>
      <x:c r="L191" s="55" t="n">
        <x:v>5288</x:v>
      </x:c>
      <x:c r="M191" s="55" t="n">
        <x:v>1490</x:v>
      </x:c>
      <x:c r="N191" s="55" t="n">
        <x:v>2092</x:v>
      </x:c>
      <x:c r="O191" s="55" t="n">
        <x:v>1706</x:v>
      </x:c>
      <x:c r="P191" s="55" t="n">
        <x:v>804</x:v>
      </x:c>
      <x:c r="Q191" s="55" t="n">
        <x:v>1830</x:v>
      </x:c>
      <x:c r="R191" s="55" t="n">
        <x:v>2241</x:v>
      </x:c>
      <x:c r="S191" s="55" t="n">
        <x:v>3250</x:v>
      </x:c>
      <x:c r="T191" s="55" t="n">
        <x:v>1276</x:v>
      </x:c>
      <x:c r="U191" s="55" t="n">
        <x:v>1882</x:v>
      </x:c>
      <x:c r="V191" s="55" t="n">
        <x:v>10135</x:v>
      </x:c>
      <x:c r="W191" s="55" t="n">
        <x:v>6872</x:v>
      </x:c>
      <x:c r="X191" s="55" t="n">
        <x:v>3263</x:v>
      </x:c>
      <x:c r="Y191" s="55" t="n">
        <x:v>2792</x:v>
      </x:c>
      <x:c r="Z191" s="55" t="n">
        <x:v>3875</x:v>
      </x:c>
      <x:c r="AA191" s="55" t="n">
        <x:v>3410</x:v>
      </x:c>
      <x:c r="AB191" s="55" t="n">
        <x:v>1089</x:v>
      </x:c>
      <x:c r="AC191" s="55" t="n">
        <x:v>8271</x:v>
      </x:c>
      <x:c r="AD191" s="55" t="n">
        <x:v>3002</x:v>
      </x:c>
      <x:c r="AE191" s="55" t="n">
        <x:v>10223</x:v>
      </x:c>
      <x:c r="AF191" s="55" t="n">
        <x:v>10135</x:v>
      </x:c>
      <x:c r="AG191" s="55" t="n">
        <x:v>88</x:v>
      </x:c>
      <x:c r="AH191" s="55" t="n">
        <x:v>358</x:v>
      </x:c>
      <x:c r="AI191" s="55" t="n">
        <x:v>9777</x:v>
      </x:c>
      <x:c r="AJ191" s="55" t="n">
        <x:v>252</x:v>
      </x:c>
      <x:c r="AK191" s="55" t="n">
        <x:v>834</x:v>
      </x:c>
      <x:c r="AL191" s="55" t="n">
        <x:v>1729</x:v>
      </x:c>
      <x:c r="AM191" s="55" t="n">
        <x:v>5188</x:v>
      </x:c>
      <x:c r="AN191" s="55" t="n">
        <x:v>2108</x:v>
      </x:c>
      <x:c r="AO191" s="55" t="n">
        <x:v>24</x:v>
      </x:c>
      <x:c r="AP191" s="55" t="n">
        <x:v>2973</x:v>
      </x:c>
      <x:c r="AQ191" s="55" t="n">
        <x:v>945</x:v>
      </x:c>
    </x:row>
    <x:row r="192">
      <x:c r="A192" s="54" t="str">
        <x:v>T1_SHARED_CATCHMENT</x:v>
      </x:c>
      <x:c r="B192" s="54" t="n">
        <x:v>186</x:v>
      </x:c>
      <x:c r="C192" s="54" t="str">
        <x:v>NYC-V2-R01</x:v>
      </x:c>
      <x:c r="D192" s="54" t="str">
        <x:v>V2</x:v>
      </x:c>
      <x:c r="E192" s="54" t="str">
        <x:v>ADMITTED</x:v>
      </x:c>
      <x:c r="F192" s="55" t="n">
        <x:v>30913</x:v>
      </x:c>
      <x:c r="G192" s="55" t="n">
        <x:v>8313</x:v>
      </x:c>
      <x:c r="H192" s="55" t="n">
        <x:v>3283</x:v>
      </x:c>
      <x:c r="I192" s="55" t="n">
        <x:v>1346</x:v>
      </x:c>
      <x:c r="J192" s="55" t="n">
        <x:v>11</x:v>
      </x:c>
      <x:c r="K192" s="55" t="n">
        <x:v>28296</x:v>
      </x:c>
      <x:c r="L192" s="55" t="n">
        <x:v>5251</x:v>
      </x:c>
      <x:c r="M192" s="55" t="n">
        <x:v>1020</x:v>
      </x:c>
      <x:c r="N192" s="55" t="n">
        <x:v>2707</x:v>
      </x:c>
      <x:c r="O192" s="55" t="n">
        <x:v>1524</x:v>
      </x:c>
      <x:c r="P192" s="55" t="n">
        <x:v>726</x:v>
      </x:c>
      <x:c r="Q192" s="55" t="n">
        <x:v>2777</x:v>
      </x:c>
      <x:c r="R192" s="55" t="n">
        <x:v>1650</x:v>
      </x:c>
      <x:c r="S192" s="55" t="n">
        <x:v>3038</x:v>
      </x:c>
      <x:c r="T192" s="55" t="n">
        <x:v>1204</x:v>
      </x:c>
      <x:c r="U192" s="55" t="n">
        <x:v>2061</x:v>
      </x:c>
      <x:c r="V192" s="55" t="n">
        <x:v>10037</x:v>
      </x:c>
      <x:c r="W192" s="55" t="n">
        <x:v>6914</x:v>
      </x:c>
      <x:c r="X192" s="55" t="n">
        <x:v>3123</x:v>
      </x:c>
      <x:c r="Y192" s="55" t="n">
        <x:v>2838</x:v>
      </x:c>
      <x:c r="Z192" s="55" t="n">
        <x:v>3472</x:v>
      </x:c>
      <x:c r="AA192" s="55" t="n">
        <x:v>3283</x:v>
      </x:c>
      <x:c r="AB192" s="55" t="n">
        <x:v>1128</x:v>
      </x:c>
      <x:c r="AC192" s="55" t="n">
        <x:v>8414</x:v>
      </x:c>
      <x:c r="AD192" s="55" t="n">
        <x:v>2477</x:v>
      </x:c>
      <x:c r="AE192" s="55" t="n">
        <x:v>10167</x:v>
      </x:c>
      <x:c r="AF192" s="55" t="n">
        <x:v>10037</x:v>
      </x:c>
      <x:c r="AG192" s="55" t="n">
        <x:v>130</x:v>
      </x:c>
      <x:c r="AH192" s="55" t="n">
        <x:v>361</x:v>
      </x:c>
      <x:c r="AI192" s="55" t="n">
        <x:v>9676</x:v>
      </x:c>
      <x:c r="AJ192" s="55" t="n">
        <x:v>308</x:v>
      </x:c>
      <x:c r="AK192" s="55" t="n">
        <x:v>1045</x:v>
      </x:c>
      <x:c r="AL192" s="55" t="n">
        <x:v>1169</x:v>
      </x:c>
      <x:c r="AM192" s="55" t="n">
        <x:v>4989</x:v>
      </x:c>
      <x:c r="AN192" s="55" t="n">
        <x:v>2526</x:v>
      </x:c>
      <x:c r="AO192" s="55" t="n">
        <x:v>0</x:v>
      </x:c>
      <x:c r="AP192" s="55" t="n">
        <x:v>2751</x:v>
      </x:c>
      <x:c r="AQ192" s="55" t="n">
        <x:v>941</x:v>
      </x:c>
    </x:row>
    <x:row r="193">
      <x:c r="A193" s="54" t="str">
        <x:v>T1_SHARED_CATCHMENT</x:v>
      </x:c>
      <x:c r="B193" s="54" t="n">
        <x:v>187</x:v>
      </x:c>
      <x:c r="C193" s="54" t="str">
        <x:v>NYC-V2-R01</x:v>
      </x:c>
      <x:c r="D193" s="54" t="str">
        <x:v>V2</x:v>
      </x:c>
      <x:c r="E193" s="54" t="str">
        <x:v>ADMITTED</x:v>
      </x:c>
      <x:c r="F193" s="55" t="n">
        <x:v>30436</x:v>
      </x:c>
      <x:c r="G193" s="55" t="n">
        <x:v>6467</x:v>
      </x:c>
      <x:c r="H193" s="55" t="n">
        <x:v>3437</x:v>
      </x:c>
      <x:c r="I193" s="55" t="n">
        <x:v>1315</x:v>
      </x:c>
      <x:c r="J193" s="55" t="n">
        <x:v>236</x:v>
      </x:c>
      <x:c r="K193" s="55" t="n">
        <x:v>30436</x:v>
      </x:c>
      <x:c r="L193" s="55" t="n">
        <x:v>4930</x:v>
      </x:c>
      <x:c r="M193" s="55" t="n">
        <x:v>1296</x:v>
      </x:c>
      <x:c r="N193" s="55" t="n">
        <x:v>2459</x:v>
      </x:c>
      <x:c r="O193" s="55" t="n">
        <x:v>1175</x:v>
      </x:c>
      <x:c r="P193" s="55" t="n">
        <x:v>473</x:v>
      </x:c>
      <x:c r="Q193" s="55" t="n">
        <x:v>1641</x:v>
      </x:c>
      <x:c r="R193" s="55" t="n">
        <x:v>2038</x:v>
      </x:c>
      <x:c r="S193" s="55" t="n">
        <x:v>2706</x:v>
      </x:c>
      <x:c r="T193" s="55" t="n">
        <x:v>899</x:v>
      </x:c>
      <x:c r="U193" s="55" t="n">
        <x:v>1965</x:v>
      </x:c>
      <x:c r="V193" s="55" t="n">
        <x:v>10227</x:v>
      </x:c>
      <x:c r="W193" s="55" t="n">
        <x:v>7190</x:v>
      </x:c>
      <x:c r="X193" s="55" t="n">
        <x:v>3037</x:v>
      </x:c>
      <x:c r="Y193" s="55" t="n">
        <x:v>2431</x:v>
      </x:c>
      <x:c r="Z193" s="55" t="n">
        <x:v>3520</x:v>
      </x:c>
      <x:c r="AA193" s="55" t="n">
        <x:v>2880</x:v>
      </x:c>
      <x:c r="AB193" s="55" t="n">
        <x:v>807</x:v>
      </x:c>
      <x:c r="AC193" s="55" t="n">
        <x:v>7882</x:v>
      </x:c>
      <x:c r="AD193" s="55" t="n">
        <x:v>2352</x:v>
      </x:c>
      <x:c r="AE193" s="55" t="n">
        <x:v>10290</x:v>
      </x:c>
      <x:c r="AF193" s="55" t="n">
        <x:v>10227</x:v>
      </x:c>
      <x:c r="AG193" s="55" t="n">
        <x:v>63</x:v>
      </x:c>
      <x:c r="AH193" s="55" t="n">
        <x:v>246</x:v>
      </x:c>
      <x:c r="AI193" s="55" t="n">
        <x:v>9981</x:v>
      </x:c>
      <x:c r="AJ193" s="55" t="n">
        <x:v>340</x:v>
      </x:c>
      <x:c r="AK193" s="55" t="n">
        <x:v>1032</x:v>
      </x:c>
      <x:c r="AL193" s="55" t="n">
        <x:v>1289</x:v>
      </x:c>
      <x:c r="AM193" s="55" t="n">
        <x:v>5292</x:v>
      </x:c>
      <x:c r="AN193" s="55" t="n">
        <x:v>2274</x:v>
      </x:c>
      <x:c r="AO193" s="55" t="n">
        <x:v>0</x:v>
      </x:c>
      <x:c r="AP193" s="55" t="n">
        <x:v>2478</x:v>
      </x:c>
      <x:c r="AQ193" s="55" t="n">
        <x:v>948</x:v>
      </x:c>
    </x:row>
    <x:row r="194">
      <x:c r="A194" s="54" t="str">
        <x:v>T1_SHARED_CATCHMENT</x:v>
      </x:c>
      <x:c r="B194" s="54" t="n">
        <x:v>188</x:v>
      </x:c>
      <x:c r="C194" s="54" t="str">
        <x:v>NYC-V2-R01</x:v>
      </x:c>
      <x:c r="D194" s="54" t="str">
        <x:v>V2</x:v>
      </x:c>
      <x:c r="E194" s="54" t="str">
        <x:v>ADMITTED</x:v>
      </x:c>
      <x:c r="F194" s="55" t="n">
        <x:v>32352</x:v>
      </x:c>
      <x:c r="G194" s="55" t="n">
        <x:v>7147</x:v>
      </x:c>
      <x:c r="H194" s="55" t="n">
        <x:v>3151</x:v>
      </x:c>
      <x:c r="I194" s="55" t="n">
        <x:v>1128</x:v>
      </x:c>
      <x:c r="J194" s="55" t="n">
        <x:v>71</x:v>
      </x:c>
      <x:c r="K194" s="55" t="n">
        <x:v>32352</x:v>
      </x:c>
      <x:c r="L194" s="55" t="n">
        <x:v>7029</x:v>
      </x:c>
      <x:c r="M194" s="55" t="n">
        <x:v>1879</x:v>
      </x:c>
      <x:c r="N194" s="55" t="n">
        <x:v>3130</x:v>
      </x:c>
      <x:c r="O194" s="55" t="n">
        <x:v>2020</x:v>
      </x:c>
      <x:c r="P194" s="55" t="n">
        <x:v>630</x:v>
      </x:c>
      <x:c r="Q194" s="55" t="n">
        <x:v>1387</x:v>
      </x:c>
      <x:c r="R194" s="55" t="n">
        <x:v>2071</x:v>
      </x:c>
      <x:c r="S194" s="55" t="n">
        <x:v>3201</x:v>
      </x:c>
      <x:c r="T194" s="55" t="n">
        <x:v>1576</x:v>
      </x:c>
      <x:c r="U194" s="55" t="n">
        <x:v>2446</x:v>
      </x:c>
      <x:c r="V194" s="55" t="n">
        <x:v>10528</x:v>
      </x:c>
      <x:c r="W194" s="55" t="n">
        <x:v>7628</x:v>
      </x:c>
      <x:c r="X194" s="55" t="n">
        <x:v>2900</x:v>
      </x:c>
      <x:c r="Y194" s="55" t="n">
        <x:v>2478</x:v>
      </x:c>
      <x:c r="Z194" s="55" t="n">
        <x:v>3500</x:v>
      </x:c>
      <x:c r="AA194" s="55" t="n">
        <x:v>2836</x:v>
      </x:c>
      <x:c r="AB194" s="55" t="n">
        <x:v>906</x:v>
      </x:c>
      <x:c r="AC194" s="55" t="n">
        <x:v>8568</x:v>
      </x:c>
      <x:c r="AD194" s="55" t="n">
        <x:v>2708</x:v>
      </x:c>
      <x:c r="AE194" s="55" t="n">
        <x:v>10581</x:v>
      </x:c>
      <x:c r="AF194" s="55" t="n">
        <x:v>10528</x:v>
      </x:c>
      <x:c r="AG194" s="55" t="n">
        <x:v>53</x:v>
      </x:c>
      <x:c r="AH194" s="55" t="n">
        <x:v>563</x:v>
      </x:c>
      <x:c r="AI194" s="55" t="n">
        <x:v>9965</x:v>
      </x:c>
      <x:c r="AJ194" s="55" t="n">
        <x:v>125</x:v>
      </x:c>
      <x:c r="AK194" s="55" t="n">
        <x:v>1215</x:v>
      </x:c>
      <x:c r="AL194" s="55" t="n">
        <x:v>1340</x:v>
      </x:c>
      <x:c r="AM194" s="55" t="n">
        <x:v>5146</x:v>
      </x:c>
      <x:c r="AN194" s="55" t="n">
        <x:v>2653</x:v>
      </x:c>
      <x:c r="AO194" s="55" t="n">
        <x:v>49</x:v>
      </x:c>
      <x:c r="AP194" s="55" t="n">
        <x:v>2280</x:v>
      </x:c>
      <x:c r="AQ194" s="55" t="n">
        <x:v>1028</x:v>
      </x:c>
    </x:row>
    <x:row r="195">
      <x:c r="A195" s="54" t="str">
        <x:v>T1_SHARED_CATCHMENT</x:v>
      </x:c>
      <x:c r="B195" s="54" t="n">
        <x:v>189</x:v>
      </x:c>
      <x:c r="C195" s="54" t="str">
        <x:v>NYC-V2-R01</x:v>
      </x:c>
      <x:c r="D195" s="54" t="str">
        <x:v>V2</x:v>
      </x:c>
      <x:c r="E195" s="54" t="str">
        <x:v>ADMITTED</x:v>
      </x:c>
      <x:c r="F195" s="55" t="n">
        <x:v>33473</x:v>
      </x:c>
      <x:c r="G195" s="55" t="n">
        <x:v>9380</x:v>
      </x:c>
      <x:c r="H195" s="55" t="n">
        <x:v>3467</x:v>
      </x:c>
      <x:c r="I195" s="55" t="n">
        <x:v>1403</x:v>
      </x:c>
      <x:c r="J195" s="55" t="n">
        <x:v>349</x:v>
      </x:c>
      <x:c r="K195" s="55" t="n">
        <x:v>30776</x:v>
      </x:c>
      <x:c r="L195" s="55" t="n">
        <x:v>5799</x:v>
      </x:c>
      <x:c r="M195" s="55" t="n">
        <x:v>1510</x:v>
      </x:c>
      <x:c r="N195" s="55" t="n">
        <x:v>2517</x:v>
      </x:c>
      <x:c r="O195" s="55" t="n">
        <x:v>1772</x:v>
      </x:c>
      <x:c r="P195" s="55" t="n">
        <x:v>918</x:v>
      </x:c>
      <x:c r="Q195" s="55" t="n">
        <x:v>2285</x:v>
      </x:c>
      <x:c r="R195" s="55" t="n">
        <x:v>1364</x:v>
      </x:c>
      <x:c r="S195" s="55" t="n">
        <x:v>2745</x:v>
      </x:c>
      <x:c r="T195" s="55" t="n">
        <x:v>1387</x:v>
      </x:c>
      <x:c r="U195" s="55" t="n">
        <x:v>2525</x:v>
      </x:c>
      <x:c r="V195" s="55" t="n">
        <x:v>10567</x:v>
      </x:c>
      <x:c r="W195" s="55" t="n">
        <x:v>8001</x:v>
      </x:c>
      <x:c r="X195" s="55" t="n">
        <x:v>2566</x:v>
      </x:c>
      <x:c r="Y195" s="55" t="n">
        <x:v>2185</x:v>
      </x:c>
      <x:c r="Z195" s="55" t="n">
        <x:v>3836</x:v>
      </x:c>
      <x:c r="AA195" s="55" t="n">
        <x:v>3467</x:v>
      </x:c>
      <x:c r="AB195" s="55" t="n">
        <x:v>1069</x:v>
      </x:c>
      <x:c r="AC195" s="55" t="n">
        <x:v>7930</x:v>
      </x:c>
      <x:c r="AD195" s="55" t="n">
        <x:v>2763</x:v>
      </x:c>
      <x:c r="AE195" s="55" t="n">
        <x:v>10637</x:v>
      </x:c>
      <x:c r="AF195" s="55" t="n">
        <x:v>10567</x:v>
      </x:c>
      <x:c r="AG195" s="55" t="n">
        <x:v>70</x:v>
      </x:c>
      <x:c r="AH195" s="55" t="n">
        <x:v>432</x:v>
      </x:c>
      <x:c r="AI195" s="55" t="n">
        <x:v>10135</x:v>
      </x:c>
      <x:c r="AJ195" s="55" t="n">
        <x:v>286</x:v>
      </x:c>
      <x:c r="AK195" s="55" t="n">
        <x:v>1263</x:v>
      </x:c>
      <x:c r="AL195" s="55" t="n">
        <x:v>1966</x:v>
      </x:c>
      <x:c r="AM195" s="55" t="n">
        <x:v>4827</x:v>
      </x:c>
      <x:c r="AN195" s="55" t="n">
        <x:v>2176</x:v>
      </x:c>
      <x:c r="AO195" s="55" t="n">
        <x:v>49</x:v>
      </x:c>
      <x:c r="AP195" s="55" t="n">
        <x:v>2154</x:v>
      </x:c>
      <x:c r="AQ195" s="55" t="n">
        <x:v>962</x:v>
      </x:c>
    </x:row>
    <x:row r="196">
      <x:c r="A196" s="54" t="str">
        <x:v>T1_SHARED_CATCHMENT</x:v>
      </x:c>
      <x:c r="B196" s="54" t="n">
        <x:v>190</x:v>
      </x:c>
      <x:c r="C196" s="54" t="str">
        <x:v>NYC-V2-R01</x:v>
      </x:c>
      <x:c r="D196" s="54" t="str">
        <x:v>V2</x:v>
      </x:c>
      <x:c r="E196" s="54" t="str">
        <x:v>ADMITTED</x:v>
      </x:c>
      <x:c r="F196" s="55" t="n">
        <x:v>31153</x:v>
      </x:c>
      <x:c r="G196" s="55" t="n">
        <x:v>8232</x:v>
      </x:c>
      <x:c r="H196" s="55" t="n">
        <x:v>3261</x:v>
      </x:c>
      <x:c r="I196" s="55" t="n">
        <x:v>1579</x:v>
      </x:c>
      <x:c r="J196" s="55" t="n">
        <x:v>219</x:v>
      </x:c>
      <x:c r="K196" s="55" t="n">
        <x:v>31153</x:v>
      </x:c>
      <x:c r="L196" s="55" t="n">
        <x:v>7282</x:v>
      </x:c>
      <x:c r="M196" s="55" t="n">
        <x:v>2359</x:v>
      </x:c>
      <x:c r="N196" s="55" t="n">
        <x:v>2762</x:v>
      </x:c>
      <x:c r="O196" s="55" t="n">
        <x:v>2161</x:v>
      </x:c>
      <x:c r="P196" s="55" t="n">
        <x:v>516</x:v>
      </x:c>
      <x:c r="Q196" s="55" t="n">
        <x:v>2022</x:v>
      </x:c>
      <x:c r="R196" s="55" t="n">
        <x:v>2132</x:v>
      </x:c>
      <x:c r="S196" s="55" t="n">
        <x:v>2422</x:v>
      </x:c>
      <x:c r="T196" s="55" t="n">
        <x:v>1651</x:v>
      </x:c>
      <x:c r="U196" s="55" t="n">
        <x:v>2324</x:v>
      </x:c>
      <x:c r="V196" s="55" t="n">
        <x:v>10493</x:v>
      </x:c>
      <x:c r="W196" s="55" t="n">
        <x:v>7563</x:v>
      </x:c>
      <x:c r="X196" s="55" t="n">
        <x:v>2930</x:v>
      </x:c>
      <x:c r="Y196" s="55" t="n">
        <x:v>2547</x:v>
      </x:c>
      <x:c r="Z196" s="55" t="n">
        <x:v>3737</x:v>
      </x:c>
      <x:c r="AA196" s="55" t="n">
        <x:v>3261</x:v>
      </x:c>
      <x:c r="AB196" s="55" t="n">
        <x:v>1290</x:v>
      </x:c>
      <x:c r="AC196" s="55" t="n">
        <x:v>8270</x:v>
      </x:c>
      <x:c r="AD196" s="55" t="n">
        <x:v>2927</x:v>
      </x:c>
      <x:c r="AE196" s="55" t="n">
        <x:v>10632</x:v>
      </x:c>
      <x:c r="AF196" s="55" t="n">
        <x:v>10493</x:v>
      </x:c>
      <x:c r="AG196" s="55" t="n">
        <x:v>139</x:v>
      </x:c>
      <x:c r="AH196" s="55" t="n">
        <x:v>480</x:v>
      </x:c>
      <x:c r="AI196" s="55" t="n">
        <x:v>10013</x:v>
      </x:c>
      <x:c r="AJ196" s="55" t="n">
        <x:v>113</x:v>
      </x:c>
      <x:c r="AK196" s="55" t="n">
        <x:v>945</x:v>
      </x:c>
      <x:c r="AL196" s="55" t="n">
        <x:v>2055</x:v>
      </x:c>
      <x:c r="AM196" s="55" t="n">
        <x:v>5007</x:v>
      </x:c>
      <x:c r="AN196" s="55" t="n">
        <x:v>2259</x:v>
      </x:c>
      <x:c r="AO196" s="55" t="n">
        <x:v>114</x:v>
      </x:c>
      <x:c r="AP196" s="55" t="n">
        <x:v>2078</x:v>
      </x:c>
      <x:c r="AQ196" s="55" t="n">
        <x:v>986</x:v>
      </x:c>
    </x:row>
    <x:row r="197">
      <x:c r="A197" s="54" t="str">
        <x:v>T1_SHARED_CATCHMENT</x:v>
      </x:c>
      <x:c r="B197" s="54" t="n">
        <x:v>191</x:v>
      </x:c>
      <x:c r="C197" s="54" t="str">
        <x:v>NYC-V2-R01</x:v>
      </x:c>
      <x:c r="D197" s="54" t="str">
        <x:v>V2</x:v>
      </x:c>
      <x:c r="E197" s="54" t="str">
        <x:v>ADMITTED</x:v>
      </x:c>
      <x:c r="F197" s="55" t="n">
        <x:v>31805</x:v>
      </x:c>
      <x:c r="G197" s="55" t="n">
        <x:v>7690</x:v>
      </x:c>
      <x:c r="H197" s="55" t="n">
        <x:v>3521</x:v>
      </x:c>
      <x:c r="I197" s="55" t="n">
        <x:v>1007</x:v>
      </x:c>
      <x:c r="J197" s="55" t="n">
        <x:v>75</x:v>
      </x:c>
      <x:c r="K197" s="55" t="n">
        <x:v>31805</x:v>
      </x:c>
      <x:c r="L197" s="55" t="n">
        <x:v>7145</x:v>
      </x:c>
      <x:c r="M197" s="55" t="n">
        <x:v>1965</x:v>
      </x:c>
      <x:c r="N197" s="55" t="n">
        <x:v>3161</x:v>
      </x:c>
      <x:c r="O197" s="55" t="n">
        <x:v>2019</x:v>
      </x:c>
      <x:c r="P197" s="55" t="n">
        <x:v>797</x:v>
      </x:c>
      <x:c r="Q197" s="55" t="n">
        <x:v>1702</x:v>
      </x:c>
      <x:c r="R197" s="55" t="n">
        <x:v>2381</x:v>
      </x:c>
      <x:c r="S197" s="55" t="n">
        <x:v>3443</x:v>
      </x:c>
      <x:c r="T197" s="55" t="n">
        <x:v>1507</x:v>
      </x:c>
      <x:c r="U197" s="55" t="n">
        <x:v>2124</x:v>
      </x:c>
      <x:c r="V197" s="55" t="n">
        <x:v>10086</x:v>
      </x:c>
      <x:c r="W197" s="55" t="n">
        <x:v>6963</x:v>
      </x:c>
      <x:c r="X197" s="55" t="n">
        <x:v>3123</x:v>
      </x:c>
      <x:c r="Y197" s="55" t="n">
        <x:v>2744</x:v>
      </x:c>
      <x:c r="Z197" s="55" t="n">
        <x:v>3759</x:v>
      </x:c>
      <x:c r="AA197" s="55" t="n">
        <x:v>3521</x:v>
      </x:c>
      <x:c r="AB197" s="55" t="n">
        <x:v>1321</x:v>
      </x:c>
      <x:c r="AC197" s="55" t="n">
        <x:v>7676</x:v>
      </x:c>
      <x:c r="AD197" s="55" t="n">
        <x:v>3046</x:v>
      </x:c>
      <x:c r="AE197" s="55" t="n">
        <x:v>10262</x:v>
      </x:c>
      <x:c r="AF197" s="55" t="n">
        <x:v>10086</x:v>
      </x:c>
      <x:c r="AG197" s="55" t="n">
        <x:v>176</x:v>
      </x:c>
      <x:c r="AH197" s="55" t="n">
        <x:v>598</x:v>
      </x:c>
      <x:c r="AI197" s="55" t="n">
        <x:v>9488</x:v>
      </x:c>
      <x:c r="AJ197" s="55" t="n">
        <x:v>302</x:v>
      </x:c>
      <x:c r="AK197" s="55" t="n">
        <x:v>543</x:v>
      </x:c>
      <x:c r="AL197" s="55" t="n">
        <x:v>1262</x:v>
      </x:c>
      <x:c r="AM197" s="55" t="n">
        <x:v>5140</x:v>
      </x:c>
      <x:c r="AN197" s="55" t="n">
        <x:v>2839</x:v>
      </x:c>
      <x:c r="AO197" s="55" t="n">
        <x:v>0</x:v>
      </x:c>
      <x:c r="AP197" s="55" t="n">
        <x:v>2474</x:v>
      </x:c>
      <x:c r="AQ197" s="55" t="n">
        <x:v>945</x:v>
      </x:c>
    </x:row>
    <x:row r="198">
      <x:c r="A198" s="54" t="str">
        <x:v>T1_SHARED_CATCHMENT</x:v>
      </x:c>
      <x:c r="B198" s="54" t="n">
        <x:v>192</x:v>
      </x:c>
      <x:c r="C198" s="54" t="str">
        <x:v>NYC-V2-R01</x:v>
      </x:c>
      <x:c r="D198" s="54" t="str">
        <x:v>V2</x:v>
      </x:c>
      <x:c r="E198" s="54" t="str">
        <x:v>ADMITTED</x:v>
      </x:c>
      <x:c r="F198" s="55" t="n">
        <x:v>31169</x:v>
      </x:c>
      <x:c r="G198" s="55" t="n">
        <x:v>6791</x:v>
      </x:c>
      <x:c r="H198" s="55" t="n">
        <x:v>4198</x:v>
      </x:c>
      <x:c r="I198" s="55" t="n">
        <x:v>1098</x:v>
      </x:c>
      <x:c r="J198" s="55" t="n">
        <x:v>227</x:v>
      </x:c>
      <x:c r="K198" s="55" t="n">
        <x:v>31169</x:v>
      </x:c>
      <x:c r="L198" s="55" t="n">
        <x:v>6691</x:v>
      </x:c>
      <x:c r="M198" s="55" t="n">
        <x:v>2361</x:v>
      </x:c>
      <x:c r="N198" s="55" t="n">
        <x:v>2716</x:v>
      </x:c>
      <x:c r="O198" s="55" t="n">
        <x:v>1614</x:v>
      </x:c>
      <x:c r="P198" s="55" t="n">
        <x:v>575</x:v>
      </x:c>
      <x:c r="Q198" s="55" t="n">
        <x:v>2696</x:v>
      </x:c>
      <x:c r="R198" s="55" t="n">
        <x:v>1818</x:v>
      </x:c>
      <x:c r="S198" s="55" t="n">
        <x:v>2384</x:v>
      </x:c>
      <x:c r="T198" s="55" t="n">
        <x:v>861</x:v>
      </x:c>
      <x:c r="U198" s="55" t="n">
        <x:v>2105</x:v>
      </x:c>
      <x:c r="V198" s="55" t="n">
        <x:v>11033</x:v>
      </x:c>
      <x:c r="W198" s="55" t="n">
        <x:v>8379</x:v>
      </x:c>
      <x:c r="X198" s="55" t="n">
        <x:v>2654</x:v>
      </x:c>
      <x:c r="Y198" s="55" t="n">
        <x:v>2445</x:v>
      </x:c>
      <x:c r="Z198" s="55" t="n">
        <x:v>3403</x:v>
      </x:c>
      <x:c r="AA198" s="55" t="n">
        <x:v>2932</x:v>
      </x:c>
      <x:c r="AB198" s="55" t="n">
        <x:v>1112</x:v>
      </x:c>
      <x:c r="AC198" s="55" t="n">
        <x:v>8552</x:v>
      </x:c>
      <x:c r="AD198" s="55" t="n">
        <x:v>2630</x:v>
      </x:c>
      <x:c r="AE198" s="55" t="n">
        <x:v>11075</x:v>
      </x:c>
      <x:c r="AF198" s="55" t="n">
        <x:v>11033</x:v>
      </x:c>
      <x:c r="AG198" s="55" t="n">
        <x:v>42</x:v>
      </x:c>
      <x:c r="AH198" s="55" t="n">
        <x:v>726</x:v>
      </x:c>
      <x:c r="AI198" s="55" t="n">
        <x:v>10307</x:v>
      </x:c>
      <x:c r="AJ198" s="55" t="n">
        <x:v>501</x:v>
      </x:c>
      <x:c r="AK198" s="55" t="n">
        <x:v>826</x:v>
      </x:c>
      <x:c r="AL198" s="55" t="n">
        <x:v>1762</x:v>
      </x:c>
      <x:c r="AM198" s="55" t="n">
        <x:v>5441</x:v>
      </x:c>
      <x:c r="AN198" s="55" t="n">
        <x:v>2503</x:v>
      </x:c>
      <x:c r="AO198" s="55" t="n">
        <x:v>0</x:v>
      </x:c>
      <x:c r="AP198" s="55" t="n">
        <x:v>2326</x:v>
      </x:c>
      <x:c r="AQ198" s="55" t="n">
        <x:v>949</x:v>
      </x:c>
    </x:row>
    <x:row r="199">
      <x:c r="A199" s="54" t="str">
        <x:v>T1_SHARED_CATCHMENT</x:v>
      </x:c>
      <x:c r="B199" s="54" t="n">
        <x:v>193</x:v>
      </x:c>
      <x:c r="C199" s="54" t="str">
        <x:v>NYC-V2-R01</x:v>
      </x:c>
      <x:c r="D199" s="54" t="str">
        <x:v>V2</x:v>
      </x:c>
      <x:c r="E199" s="54" t="str">
        <x:v>ADMITTED</x:v>
      </x:c>
      <x:c r="F199" s="55" t="n">
        <x:v>29831</x:v>
      </x:c>
      <x:c r="G199" s="55" t="n">
        <x:v>5855</x:v>
      </x:c>
      <x:c r="H199" s="55" t="n">
        <x:v>2842</x:v>
      </x:c>
      <x:c r="I199" s="55" t="n">
        <x:v>514</x:v>
      </x:c>
      <x:c r="J199" s="55" t="n">
        <x:v>0</x:v>
      </x:c>
      <x:c r="K199" s="55" t="n">
        <x:v>29831</x:v>
      </x:c>
      <x:c r="L199" s="55" t="n">
        <x:v>3381</x:v>
      </x:c>
      <x:c r="M199" s="55" t="n">
        <x:v>184</x:v>
      </x:c>
      <x:c r="N199" s="55" t="n">
        <x:v>1655</x:v>
      </x:c>
      <x:c r="O199" s="55" t="n">
        <x:v>1542</x:v>
      </x:c>
      <x:c r="P199" s="55" t="n">
        <x:v>551</x:v>
      </x:c>
      <x:c r="Q199" s="55" t="n">
        <x:v>2005</x:v>
      </x:c>
      <x:c r="R199" s="55" t="n">
        <x:v>1704</x:v>
      </x:c>
      <x:c r="S199" s="55" t="n">
        <x:v>2786</x:v>
      </x:c>
      <x:c r="T199" s="55" t="n">
        <x:v>832</x:v>
      </x:c>
      <x:c r="U199" s="55" t="n">
        <x:v>2000</x:v>
      </x:c>
      <x:c r="V199" s="55" t="n">
        <x:v>10607</x:v>
      </x:c>
      <x:c r="W199" s="55" t="n">
        <x:v>7810</x:v>
      </x:c>
      <x:c r="X199" s="55" t="n">
        <x:v>2797</x:v>
      </x:c>
      <x:c r="Y199" s="55" t="n">
        <x:v>2305</x:v>
      </x:c>
      <x:c r="Z199" s="55" t="n">
        <x:v>3669</x:v>
      </x:c>
      <x:c r="AA199" s="55" t="n">
        <x:v>2842</x:v>
      </x:c>
      <x:c r="AB199" s="55" t="n">
        <x:v>541</x:v>
      </x:c>
      <x:c r="AC199" s="55" t="n">
        <x:v>7138</x:v>
      </x:c>
      <x:c r="AD199" s="55" t="n">
        <x:v>2524</x:v>
      </x:c>
      <x:c r="AE199" s="55" t="n">
        <x:v>10629</x:v>
      </x:c>
      <x:c r="AF199" s="55" t="n">
        <x:v>10607</x:v>
      </x:c>
      <x:c r="AG199" s="55" t="n">
        <x:v>22</x:v>
      </x:c>
      <x:c r="AH199" s="55" t="n">
        <x:v>336</x:v>
      </x:c>
      <x:c r="AI199" s="55" t="n">
        <x:v>10271</x:v>
      </x:c>
      <x:c r="AJ199" s="55" t="n">
        <x:v>298</x:v>
      </x:c>
      <x:c r="AK199" s="55" t="n">
        <x:v>1255</x:v>
      </x:c>
      <x:c r="AL199" s="55" t="n">
        <x:v>1749</x:v>
      </x:c>
      <x:c r="AM199" s="55" t="n">
        <x:v>4821</x:v>
      </x:c>
      <x:c r="AN199" s="55" t="n">
        <x:v>2484</x:v>
      </x:c>
      <x:c r="AO199" s="55" t="n">
        <x:v>0</x:v>
      </x:c>
      <x:c r="AP199" s="55" t="n">
        <x:v>1981</x:v>
      </x:c>
      <x:c r="AQ199" s="55" t="n">
        <x:v>906</x:v>
      </x:c>
    </x:row>
    <x:row r="200">
      <x:c r="A200" s="54" t="str">
        <x:v>T1_SHARED_CATCHMENT</x:v>
      </x:c>
      <x:c r="B200" s="54" t="n">
        <x:v>194</x:v>
      </x:c>
      <x:c r="C200" s="54" t="str">
        <x:v>NYC-V2-R01</x:v>
      </x:c>
      <x:c r="D200" s="54" t="str">
        <x:v>V2</x:v>
      </x:c>
      <x:c r="E200" s="54" t="str">
        <x:v>ADMITTED</x:v>
      </x:c>
      <x:c r="F200" s="55" t="n">
        <x:v>31723</x:v>
      </x:c>
      <x:c r="G200" s="55" t="n">
        <x:v>6828</x:v>
      </x:c>
      <x:c r="H200" s="55" t="n">
        <x:v>3307</x:v>
      </x:c>
      <x:c r="I200" s="55" t="n">
        <x:v>1296</x:v>
      </x:c>
      <x:c r="J200" s="55" t="n">
        <x:v>121</x:v>
      </x:c>
      <x:c r="K200" s="55" t="n">
        <x:v>31723</x:v>
      </x:c>
      <x:c r="L200" s="55" t="n">
        <x:v>6161</x:v>
      </x:c>
      <x:c r="M200" s="55" t="n">
        <x:v>1500</x:v>
      </x:c>
      <x:c r="N200" s="55" t="n">
        <x:v>3079</x:v>
      </x:c>
      <x:c r="O200" s="55" t="n">
        <x:v>1582</x:v>
      </x:c>
      <x:c r="P200" s="55" t="n">
        <x:v>799</x:v>
      </x:c>
      <x:c r="Q200" s="55" t="n">
        <x:v>2123</x:v>
      </x:c>
      <x:c r="R200" s="55" t="n">
        <x:v>2371</x:v>
      </x:c>
      <x:c r="S200" s="55" t="n">
        <x:v>3033</x:v>
      </x:c>
      <x:c r="T200" s="55" t="n">
        <x:v>1226</x:v>
      </x:c>
      <x:c r="U200" s="55" t="n">
        <x:v>1920</x:v>
      </x:c>
      <x:c r="V200" s="55" t="n">
        <x:v>10189</x:v>
      </x:c>
      <x:c r="W200" s="55" t="n">
        <x:v>7035</x:v>
      </x:c>
      <x:c r="X200" s="55" t="n">
        <x:v>3154</x:v>
      </x:c>
      <x:c r="Y200" s="55" t="n">
        <x:v>2570</x:v>
      </x:c>
      <x:c r="Z200" s="55" t="n">
        <x:v>3477</x:v>
      </x:c>
      <x:c r="AA200" s="55" t="n">
        <x:v>2854</x:v>
      </x:c>
      <x:c r="AB200" s="55" t="n">
        <x:v>963</x:v>
      </x:c>
      <x:c r="AC200" s="55" t="n">
        <x:v>7892</x:v>
      </x:c>
      <x:c r="AD200" s="55" t="n">
        <x:v>3117</x:v>
      </x:c>
      <x:c r="AE200" s="55" t="n">
        <x:v>10296</x:v>
      </x:c>
      <x:c r="AF200" s="55" t="n">
        <x:v>10189</x:v>
      </x:c>
      <x:c r="AG200" s="55" t="n">
        <x:v>107</x:v>
      </x:c>
      <x:c r="AH200" s="55" t="n">
        <x:v>495</x:v>
      </x:c>
      <x:c r="AI200" s="55" t="n">
        <x:v>9694</x:v>
      </x:c>
      <x:c r="AJ200" s="55" t="n">
        <x:v>492</x:v>
      </x:c>
      <x:c r="AK200" s="55" t="n">
        <x:v>1026</x:v>
      </x:c>
      <x:c r="AL200" s="55" t="n">
        <x:v>955</x:v>
      </x:c>
      <x:c r="AM200" s="55" t="n">
        <x:v>5215</x:v>
      </x:c>
      <x:c r="AN200" s="55" t="n">
        <x:v>2501</x:v>
      </x:c>
      <x:c r="AO200" s="55" t="n">
        <x:v>0</x:v>
      </x:c>
      <x:c r="AP200" s="55" t="n">
        <x:v>2457</x:v>
      </x:c>
      <x:c r="AQ200" s="55" t="n">
        <x:v>971</x:v>
      </x:c>
    </x:row>
    <x:row r="201">
      <x:c r="A201" s="54" t="str">
        <x:v>T1_SHARED_CATCHMENT</x:v>
      </x:c>
      <x:c r="B201" s="54" t="n">
        <x:v>195</x:v>
      </x:c>
      <x:c r="C201" s="54" t="str">
        <x:v>NYC-V2-R01</x:v>
      </x:c>
      <x:c r="D201" s="54" t="str">
        <x:v>V2</x:v>
      </x:c>
      <x:c r="E201" s="54" t="str">
        <x:v>ADMITTED</x:v>
      </x:c>
      <x:c r="F201" s="55" t="n">
        <x:v>32422</x:v>
      </x:c>
      <x:c r="G201" s="55" t="n">
        <x:v>8262</x:v>
      </x:c>
      <x:c r="H201" s="55" t="n">
        <x:v>3360</x:v>
      </x:c>
      <x:c r="I201" s="55" t="n">
        <x:v>1363</x:v>
      </x:c>
      <x:c r="J201" s="55" t="n">
        <x:v>365</x:v>
      </x:c>
      <x:c r="K201" s="55" t="n">
        <x:v>32422</x:v>
      </x:c>
      <x:c r="L201" s="55" t="n">
        <x:v>6821</x:v>
      </x:c>
      <x:c r="M201" s="55" t="n">
        <x:v>2044</x:v>
      </x:c>
      <x:c r="N201" s="55" t="n">
        <x:v>2786</x:v>
      </x:c>
      <x:c r="O201" s="55" t="n">
        <x:v>1991</x:v>
      </x:c>
      <x:c r="P201" s="55" t="n">
        <x:v>748</x:v>
      </x:c>
      <x:c r="Q201" s="55" t="n">
        <x:v>2246</x:v>
      </x:c>
      <x:c r="R201" s="55" t="n">
        <x:v>2135</x:v>
      </x:c>
      <x:c r="S201" s="55" t="n">
        <x:v>2643</x:v>
      </x:c>
      <x:c r="T201" s="55" t="n">
        <x:v>1434</x:v>
      </x:c>
      <x:c r="U201" s="55" t="n">
        <x:v>2177</x:v>
      </x:c>
      <x:c r="V201" s="55" t="n">
        <x:v>10420</x:v>
      </x:c>
      <x:c r="W201" s="55" t="n">
        <x:v>7248</x:v>
      </x:c>
      <x:c r="X201" s="55" t="n">
        <x:v>3172</x:v>
      </x:c>
      <x:c r="Y201" s="55" t="n">
        <x:v>2761</x:v>
      </x:c>
      <x:c r="Z201" s="55" t="n">
        <x:v>3984</x:v>
      </x:c>
      <x:c r="AA201" s="55" t="n">
        <x:v>3360</x:v>
      </x:c>
      <x:c r="AB201" s="55" t="n">
        <x:v>1166</x:v>
      </x:c>
      <x:c r="AC201" s="55" t="n">
        <x:v>8311</x:v>
      </x:c>
      <x:c r="AD201" s="55" t="n">
        <x:v>2472</x:v>
      </x:c>
      <x:c r="AE201" s="55" t="n">
        <x:v>10547</x:v>
      </x:c>
      <x:c r="AF201" s="55" t="n">
        <x:v>10420</x:v>
      </x:c>
      <x:c r="AG201" s="55" t="n">
        <x:v>127</x:v>
      </x:c>
      <x:c r="AH201" s="55" t="n">
        <x:v>516</x:v>
      </x:c>
      <x:c r="AI201" s="55" t="n">
        <x:v>9904</x:v>
      </x:c>
      <x:c r="AJ201" s="55" t="n">
        <x:v>372</x:v>
      </x:c>
      <x:c r="AK201" s="55" t="n">
        <x:v>1175</x:v>
      </x:c>
      <x:c r="AL201" s="55" t="n">
        <x:v>1416</x:v>
      </x:c>
      <x:c r="AM201" s="55" t="n">
        <x:v>4498</x:v>
      </x:c>
      <x:c r="AN201" s="55" t="n">
        <x:v>2959</x:v>
      </x:c>
      <x:c r="AO201" s="55" t="n">
        <x:v>0</x:v>
      </x:c>
      <x:c r="AP201" s="55" t="n">
        <x:v>2849</x:v>
      </x:c>
      <x:c r="AQ201" s="55" t="n">
        <x:v>959</x:v>
      </x:c>
    </x:row>
    <x:row r="202">
      <x:c r="A202" s="54" t="str">
        <x:v>T1_SHARED_CATCHMENT</x:v>
      </x:c>
      <x:c r="B202" s="54" t="n">
        <x:v>196</x:v>
      </x:c>
      <x:c r="C202" s="54" t="str">
        <x:v>NYC-V2-R01</x:v>
      </x:c>
      <x:c r="D202" s="54" t="str">
        <x:v>V2</x:v>
      </x:c>
      <x:c r="E202" s="54" t="str">
        <x:v>ADMITTED</x:v>
      </x:c>
      <x:c r="F202" s="55" t="n">
        <x:v>31501</x:v>
      </x:c>
      <x:c r="G202" s="55" t="n">
        <x:v>8365</x:v>
      </x:c>
      <x:c r="H202" s="55" t="n">
        <x:v>2980</x:v>
      </x:c>
      <x:c r="I202" s="55" t="n">
        <x:v>1610</x:v>
      </x:c>
      <x:c r="J202" s="55" t="n">
        <x:v>255</x:v>
      </x:c>
      <x:c r="K202" s="55" t="n">
        <x:v>31501</x:v>
      </x:c>
      <x:c r="L202" s="55" t="n">
        <x:v>5076</x:v>
      </x:c>
      <x:c r="M202" s="55" t="n">
        <x:v>1087</x:v>
      </x:c>
      <x:c r="N202" s="55" t="n">
        <x:v>2433</x:v>
      </x:c>
      <x:c r="O202" s="55" t="n">
        <x:v>1556</x:v>
      </x:c>
      <x:c r="P202" s="55" t="n">
        <x:v>781</x:v>
      </x:c>
      <x:c r="Q202" s="55" t="n">
        <x:v>2869</x:v>
      </x:c>
      <x:c r="R202" s="55" t="n">
        <x:v>2509</x:v>
      </x:c>
      <x:c r="S202" s="55" t="n">
        <x:v>2908</x:v>
      </x:c>
      <x:c r="T202" s="55" t="n">
        <x:v>1420</x:v>
      </x:c>
      <x:c r="U202" s="55" t="n">
        <x:v>1817</x:v>
      </x:c>
      <x:c r="V202" s="55" t="n">
        <x:v>10603</x:v>
      </x:c>
      <x:c r="W202" s="55" t="n">
        <x:v>6920</x:v>
      </x:c>
      <x:c r="X202" s="55" t="n">
        <x:v>3683</x:v>
      </x:c>
      <x:c r="Y202" s="55" t="n">
        <x:v>3318</x:v>
      </x:c>
      <x:c r="Z202" s="55" t="n">
        <x:v>3253</x:v>
      </x:c>
      <x:c r="AA202" s="55" t="n">
        <x:v>2780</x:v>
      </x:c>
      <x:c r="AB202" s="55" t="n">
        <x:v>791</x:v>
      </x:c>
      <x:c r="AC202" s="55" t="n">
        <x:v>8008</x:v>
      </x:c>
      <x:c r="AD202" s="55" t="n">
        <x:v>2980</x:v>
      </x:c>
      <x:c r="AE202" s="55" t="n">
        <x:v>10670</x:v>
      </x:c>
      <x:c r="AF202" s="55" t="n">
        <x:v>10603</x:v>
      </x:c>
      <x:c r="AG202" s="55" t="n">
        <x:v>67</x:v>
      </x:c>
      <x:c r="AH202" s="55" t="n">
        <x:v>427</x:v>
      </x:c>
      <x:c r="AI202" s="55" t="n">
        <x:v>10176</x:v>
      </x:c>
      <x:c r="AJ202" s="55" t="n">
        <x:v>443</x:v>
      </x:c>
      <x:c r="AK202" s="55" t="n">
        <x:v>1075</x:v>
      </x:c>
      <x:c r="AL202" s="55" t="n">
        <x:v>1655</x:v>
      </x:c>
      <x:c r="AM202" s="55" t="n">
        <x:v>5168</x:v>
      </x:c>
      <x:c r="AN202" s="55" t="n">
        <x:v>2238</x:v>
      </x:c>
      <x:c r="AO202" s="55" t="n">
        <x:v>24</x:v>
      </x:c>
      <x:c r="AP202" s="55" t="n">
        <x:v>2294</x:v>
      </x:c>
      <x:c r="AQ202" s="55" t="n">
        <x:v>934</x:v>
      </x:c>
    </x:row>
    <x:row r="203">
      <x:c r="A203" s="54" t="str">
        <x:v>T1_SHARED_CATCHMENT</x:v>
      </x:c>
      <x:c r="B203" s="54" t="n">
        <x:v>197</x:v>
      </x:c>
      <x:c r="C203" s="54" t="str">
        <x:v>NYC-V2-R01</x:v>
      </x:c>
      <x:c r="D203" s="54" t="str">
        <x:v>V2</x:v>
      </x:c>
      <x:c r="E203" s="54" t="str">
        <x:v>ADMITTED</x:v>
      </x:c>
      <x:c r="F203" s="55" t="n">
        <x:v>30621</x:v>
      </x:c>
      <x:c r="G203" s="55" t="n">
        <x:v>8000</x:v>
      </x:c>
      <x:c r="H203" s="55" t="n">
        <x:v>3173</x:v>
      </x:c>
      <x:c r="I203" s="55" t="n">
        <x:v>1092</x:v>
      </x:c>
      <x:c r="J203" s="55" t="n">
        <x:v>81</x:v>
      </x:c>
      <x:c r="K203" s="55" t="n">
        <x:v>29569</x:v>
      </x:c>
      <x:c r="L203" s="55" t="n">
        <x:v>5006</x:v>
      </x:c>
      <x:c r="M203" s="55" t="n">
        <x:v>406</x:v>
      </x:c>
      <x:c r="N203" s="55" t="n">
        <x:v>2888</x:v>
      </x:c>
      <x:c r="O203" s="55" t="n">
        <x:v>1712</x:v>
      </x:c>
      <x:c r="P203" s="55" t="n">
        <x:v>295</x:v>
      </x:c>
      <x:c r="Q203" s="55" t="n">
        <x:v>2323</x:v>
      </x:c>
      <x:c r="R203" s="55" t="n">
        <x:v>2172</x:v>
      </x:c>
      <x:c r="S203" s="55" t="n">
        <x:v>2628</x:v>
      </x:c>
      <x:c r="T203" s="55" t="n">
        <x:v>1264</x:v>
      </x:c>
      <x:c r="U203" s="55" t="n">
        <x:v>1827</x:v>
      </x:c>
      <x:c r="V203" s="55" t="n">
        <x:v>10480</x:v>
      </x:c>
      <x:c r="W203" s="55" t="n">
        <x:v>7767</x:v>
      </x:c>
      <x:c r="X203" s="55" t="n">
        <x:v>2713</x:v>
      </x:c>
      <x:c r="Y203" s="55" t="n">
        <x:v>2469</x:v>
      </x:c>
      <x:c r="Z203" s="55" t="n">
        <x:v>3936</x:v>
      </x:c>
      <x:c r="AA203" s="55" t="n">
        <x:v>2764</x:v>
      </x:c>
      <x:c r="AB203" s="55" t="n">
        <x:v>907</x:v>
      </x:c>
      <x:c r="AC203" s="55" t="n">
        <x:v>7959</x:v>
      </x:c>
      <x:c r="AD203" s="55" t="n">
        <x:v>2897</x:v>
      </x:c>
      <x:c r="AE203" s="55" t="n">
        <x:v>10563</x:v>
      </x:c>
      <x:c r="AF203" s="55" t="n">
        <x:v>10480</x:v>
      </x:c>
      <x:c r="AG203" s="55" t="n">
        <x:v>83</x:v>
      </x:c>
      <x:c r="AH203" s="55" t="n">
        <x:v>260</x:v>
      </x:c>
      <x:c r="AI203" s="55" t="n">
        <x:v>10220</x:v>
      </x:c>
      <x:c r="AJ203" s="55" t="n">
        <x:v>358</x:v>
      </x:c>
      <x:c r="AK203" s="55" t="n">
        <x:v>641</x:v>
      </x:c>
      <x:c r="AL203" s="55" t="n">
        <x:v>1782</x:v>
      </x:c>
      <x:c r="AM203" s="55" t="n">
        <x:v>4737</x:v>
      </x:c>
      <x:c r="AN203" s="55" t="n">
        <x:v>2843</x:v>
      </x:c>
      <x:c r="AO203" s="55" t="n">
        <x:v>119</x:v>
      </x:c>
      <x:c r="AP203" s="55" t="n">
        <x:v>2308</x:v>
      </x:c>
      <x:c r="AQ203" s="55" t="n">
        <x:v>935</x:v>
      </x:c>
    </x:row>
    <x:row r="204">
      <x:c r="A204" s="54" t="str">
        <x:v>T1_SHARED_CATCHMENT</x:v>
      </x:c>
      <x:c r="B204" s="54" t="n">
        <x:v>198</x:v>
      </x:c>
      <x:c r="C204" s="54" t="str">
        <x:v>NYC-V2-R01</x:v>
      </x:c>
      <x:c r="D204" s="54" t="str">
        <x:v>V2</x:v>
      </x:c>
      <x:c r="E204" s="54" t="str">
        <x:v>ADMITTED</x:v>
      </x:c>
      <x:c r="F204" s="55" t="n">
        <x:v>31859</x:v>
      </x:c>
      <x:c r="G204" s="55" t="n">
        <x:v>7256</x:v>
      </x:c>
      <x:c r="H204" s="55" t="n">
        <x:v>3138</x:v>
      </x:c>
      <x:c r="I204" s="55" t="n">
        <x:v>1140</x:v>
      </x:c>
      <x:c r="J204" s="55" t="n">
        <x:v>155</x:v>
      </x:c>
      <x:c r="K204" s="55" t="n">
        <x:v>31859</x:v>
      </x:c>
      <x:c r="L204" s="55" t="n">
        <x:v>4817</x:v>
      </x:c>
      <x:c r="M204" s="55" t="n">
        <x:v>572</x:v>
      </x:c>
      <x:c r="N204" s="55" t="n">
        <x:v>2693</x:v>
      </x:c>
      <x:c r="O204" s="55" t="n">
        <x:v>1552</x:v>
      </x:c>
      <x:c r="P204" s="55" t="n">
        <x:v>814</x:v>
      </x:c>
      <x:c r="Q204" s="55" t="n">
        <x:v>1970</x:v>
      </x:c>
      <x:c r="R204" s="55" t="n">
        <x:v>1877</x:v>
      </x:c>
      <x:c r="S204" s="55" t="n">
        <x:v>3074</x:v>
      </x:c>
      <x:c r="T204" s="55" t="n">
        <x:v>1179</x:v>
      </x:c>
      <x:c r="U204" s="55" t="n">
        <x:v>1476</x:v>
      </x:c>
      <x:c r="V204" s="55" t="n">
        <x:v>9827</x:v>
      </x:c>
      <x:c r="W204" s="55" t="n">
        <x:v>7142</x:v>
      </x:c>
      <x:c r="X204" s="55" t="n">
        <x:v>2685</x:v>
      </x:c>
      <x:c r="Y204" s="55" t="n">
        <x:v>2006</x:v>
      </x:c>
      <x:c r="Z204" s="55" t="n">
        <x:v>3593</x:v>
      </x:c>
      <x:c r="AA204" s="55" t="n">
        <x:v>2676</x:v>
      </x:c>
      <x:c r="AB204" s="55" t="n">
        <x:v>916</x:v>
      </x:c>
      <x:c r="AC204" s="55" t="n">
        <x:v>7965</x:v>
      </x:c>
      <x:c r="AD204" s="55" t="n">
        <x:v>2126</x:v>
      </x:c>
      <x:c r="AE204" s="55" t="n">
        <x:v>9890</x:v>
      </x:c>
      <x:c r="AF204" s="55" t="n">
        <x:v>9827</x:v>
      </x:c>
      <x:c r="AG204" s="55" t="n">
        <x:v>63</x:v>
      </x:c>
      <x:c r="AH204" s="55" t="n">
        <x:v>323</x:v>
      </x:c>
      <x:c r="AI204" s="55" t="n">
        <x:v>9504</x:v>
      </x:c>
      <x:c r="AJ204" s="55" t="n">
        <x:v>176</x:v>
      </x:c>
      <x:c r="AK204" s="55" t="n">
        <x:v>1019</x:v>
      </x:c>
      <x:c r="AL204" s="55" t="n">
        <x:v>1634</x:v>
      </x:c>
      <x:c r="AM204" s="55" t="n">
        <x:v>4432</x:v>
      </x:c>
      <x:c r="AN204" s="55" t="n">
        <x:v>2566</x:v>
      </x:c>
      <x:c r="AO204" s="55" t="n">
        <x:v>0</x:v>
      </x:c>
      <x:c r="AP204" s="55" t="n">
        <x:v>1511</x:v>
      </x:c>
      <x:c r="AQ204" s="55" t="n">
        <x:v>976</x:v>
      </x:c>
    </x:row>
    <x:row r="205">
      <x:c r="A205" s="54" t="str">
        <x:v>T1_SHARED_CATCHMENT</x:v>
      </x:c>
      <x:c r="B205" s="54" t="n">
        <x:v>199</x:v>
      </x:c>
      <x:c r="C205" s="54" t="str">
        <x:v>NYC-V2-R01</x:v>
      </x:c>
      <x:c r="D205" s="54" t="str">
        <x:v>V2</x:v>
      </x:c>
      <x:c r="E205" s="54" t="str">
        <x:v>ADMITTED</x:v>
      </x:c>
      <x:c r="F205" s="55" t="n">
        <x:v>32171</x:v>
      </x:c>
      <x:c r="G205" s="55" t="n">
        <x:v>8480</x:v>
      </x:c>
      <x:c r="H205" s="55" t="n">
        <x:v>3454</x:v>
      </x:c>
      <x:c r="I205" s="55" t="n">
        <x:v>1392</x:v>
      </x:c>
      <x:c r="J205" s="55" t="n">
        <x:v>138</x:v>
      </x:c>
      <x:c r="K205" s="55" t="n">
        <x:v>28737</x:v>
      </x:c>
      <x:c r="L205" s="55" t="n">
        <x:v>6061</x:v>
      </x:c>
      <x:c r="M205" s="55" t="n">
        <x:v>1661</x:v>
      </x:c>
      <x:c r="N205" s="55" t="n">
        <x:v>2735</x:v>
      </x:c>
      <x:c r="O205" s="55" t="n">
        <x:v>1665</x:v>
      </x:c>
      <x:c r="P205" s="55" t="n">
        <x:v>763</x:v>
      </x:c>
      <x:c r="Q205" s="55" t="n">
        <x:v>1600</x:v>
      </x:c>
      <x:c r="R205" s="55" t="n">
        <x:v>1928</x:v>
      </x:c>
      <x:c r="S205" s="55" t="n">
        <x:v>2764</x:v>
      </x:c>
      <x:c r="T205" s="55" t="n">
        <x:v>1451</x:v>
      </x:c>
      <x:c r="U205" s="55" t="n">
        <x:v>1983</x:v>
      </x:c>
      <x:c r="V205" s="55" t="n">
        <x:v>10007</x:v>
      </x:c>
      <x:c r="W205" s="55" t="n">
        <x:v>6512</x:v>
      </x:c>
      <x:c r="X205" s="55" t="n">
        <x:v>3495</x:v>
      </x:c>
      <x:c r="Y205" s="55" t="n">
        <x:v>2995</x:v>
      </x:c>
      <x:c r="Z205" s="55" t="n">
        <x:v>4314</x:v>
      </x:c>
      <x:c r="AA205" s="55" t="n">
        <x:v>2916</x:v>
      </x:c>
      <x:c r="AB205" s="55" t="n">
        <x:v>1175</x:v>
      </x:c>
      <x:c r="AC205" s="55" t="n">
        <x:v>8130</x:v>
      </x:c>
      <x:c r="AD205" s="55" t="n">
        <x:v>3157</x:v>
      </x:c>
      <x:c r="AE205" s="55" t="n">
        <x:v>10138</x:v>
      </x:c>
      <x:c r="AF205" s="55" t="n">
        <x:v>10007</x:v>
      </x:c>
      <x:c r="AG205" s="55" t="n">
        <x:v>131</x:v>
      </x:c>
      <x:c r="AH205" s="55" t="n">
        <x:v>312</x:v>
      </x:c>
      <x:c r="AI205" s="55" t="n">
        <x:v>9695</x:v>
      </x:c>
      <x:c r="AJ205" s="55" t="n">
        <x:v>234</x:v>
      </x:c>
      <x:c r="AK205" s="55" t="n">
        <x:v>1113</x:v>
      </x:c>
      <x:c r="AL205" s="55" t="n">
        <x:v>1322</x:v>
      </x:c>
      <x:c r="AM205" s="55" t="n">
        <x:v>4871</x:v>
      </x:c>
      <x:c r="AN205" s="55" t="n">
        <x:v>2467</x:v>
      </x:c>
      <x:c r="AO205" s="55" t="n">
        <x:v>0</x:v>
      </x:c>
      <x:c r="AP205" s="55" t="n">
        <x:v>2616</x:v>
      </x:c>
      <x:c r="AQ205" s="55" t="n">
        <x:v>944</x:v>
      </x:c>
    </x:row>
    <x:row r="206">
      <x:c r="A206" s="54" t="str">
        <x:v>T1_SHARED_CATCHMENT</x:v>
      </x:c>
      <x:c r="B206" s="54" t="n">
        <x:v>200</x:v>
      </x:c>
      <x:c r="C206" s="54" t="str">
        <x:v>NYC-V2-R01</x:v>
      </x:c>
      <x:c r="D206" s="54" t="str">
        <x:v>V2</x:v>
      </x:c>
      <x:c r="E206" s="54" t="str">
        <x:v>ADMITTED</x:v>
      </x:c>
      <x:c r="F206" s="55" t="n">
        <x:v>32407</x:v>
      </x:c>
      <x:c r="G206" s="55" t="n">
        <x:v>8089</x:v>
      </x:c>
      <x:c r="H206" s="55" t="n">
        <x:v>3062</x:v>
      </x:c>
      <x:c r="I206" s="55" t="n">
        <x:v>886</x:v>
      </x:c>
      <x:c r="J206" s="55" t="n">
        <x:v>146</x:v>
      </x:c>
      <x:c r="K206" s="55" t="n">
        <x:v>32407</x:v>
      </x:c>
      <x:c r="L206" s="55" t="n">
        <x:v>5886</x:v>
      </x:c>
      <x:c r="M206" s="55" t="n">
        <x:v>1307</x:v>
      </x:c>
      <x:c r="N206" s="55" t="n">
        <x:v>2788</x:v>
      </x:c>
      <x:c r="O206" s="55" t="n">
        <x:v>1791</x:v>
      </x:c>
      <x:c r="P206" s="55" t="n">
        <x:v>679</x:v>
      </x:c>
      <x:c r="Q206" s="55" t="n">
        <x:v>2360</x:v>
      </x:c>
      <x:c r="R206" s="55" t="n">
        <x:v>1452</x:v>
      </x:c>
      <x:c r="S206" s="55" t="n">
        <x:v>2846</x:v>
      </x:c>
      <x:c r="T206" s="55" t="n">
        <x:v>1411</x:v>
      </x:c>
      <x:c r="U206" s="55" t="n">
        <x:v>1484</x:v>
      </x:c>
      <x:c r="V206" s="55" t="n">
        <x:v>10032</x:v>
      </x:c>
      <x:c r="W206" s="55" t="n">
        <x:v>7375</x:v>
      </x:c>
      <x:c r="X206" s="55" t="n">
        <x:v>2657</x:v>
      </x:c>
      <x:c r="Y206" s="55" t="n">
        <x:v>2265</x:v>
      </x:c>
      <x:c r="Z206" s="55" t="n">
        <x:v>3798</x:v>
      </x:c>
      <x:c r="AA206" s="55" t="n">
        <x:v>2703</x:v>
      </x:c>
      <x:c r="AB206" s="55" t="n">
        <x:v>812</x:v>
      </x:c>
      <x:c r="AC206" s="55" t="n">
        <x:v>7369</x:v>
      </x:c>
      <x:c r="AD206" s="55" t="n">
        <x:v>2989</x:v>
      </x:c>
      <x:c r="AE206" s="55" t="n">
        <x:v>10038</x:v>
      </x:c>
      <x:c r="AF206" s="55" t="n">
        <x:v>10032</x:v>
      </x:c>
      <x:c r="AG206" s="55" t="n">
        <x:v>6</x:v>
      </x:c>
      <x:c r="AH206" s="55" t="n">
        <x:v>429</x:v>
      </x:c>
      <x:c r="AI206" s="55" t="n">
        <x:v>9603</x:v>
      </x:c>
      <x:c r="AJ206" s="55" t="n">
        <x:v>370</x:v>
      </x:c>
      <x:c r="AK206" s="55" t="n">
        <x:v>558</x:v>
      </x:c>
      <x:c r="AL206" s="55" t="n">
        <x:v>1266</x:v>
      </x:c>
      <x:c r="AM206" s="55" t="n">
        <x:v>4870</x:v>
      </x:c>
      <x:c r="AN206" s="55" t="n">
        <x:v>2968</x:v>
      </x:c>
      <x:c r="AO206" s="55" t="n">
        <x:v>0</x:v>
      </x:c>
      <x:c r="AP206" s="55" t="n">
        <x:v>2353</x:v>
      </x:c>
      <x:c r="AQ206" s="55" t="n">
        <x:v>999</x:v>
      </x:c>
    </x:row>
    <x:row r="207">
      <x:c r="A207" s="54" t="str">
        <x:v>T1_SHARED_CATCHMENT</x:v>
      </x:c>
      <x:c r="B207" s="54" t="n">
        <x:v>201</x:v>
      </x:c>
      <x:c r="C207" s="54" t="str">
        <x:v>NYC-V2-R01</x:v>
      </x:c>
      <x:c r="D207" s="54" t="str">
        <x:v>V2</x:v>
      </x:c>
      <x:c r="E207" s="54" t="str">
        <x:v>ADMITTED</x:v>
      </x:c>
      <x:c r="F207" s="55" t="n">
        <x:v>30120</x:v>
      </x:c>
      <x:c r="G207" s="55" t="n">
        <x:v>7630</x:v>
      </x:c>
      <x:c r="H207" s="55" t="n">
        <x:v>2865</x:v>
      </x:c>
      <x:c r="I207" s="55" t="n">
        <x:v>1171</x:v>
      </x:c>
      <x:c r="J207" s="55" t="n">
        <x:v>435</x:v>
      </x:c>
      <x:c r="K207" s="55" t="n">
        <x:v>29295</x:v>
      </x:c>
      <x:c r="L207" s="55" t="n">
        <x:v>6073</x:v>
      </x:c>
      <x:c r="M207" s="55" t="n">
        <x:v>1312</x:v>
      </x:c>
      <x:c r="N207" s="55" t="n">
        <x:v>2621</x:v>
      </x:c>
      <x:c r="O207" s="55" t="n">
        <x:v>2140</x:v>
      </x:c>
      <x:c r="P207" s="55" t="n">
        <x:v>725</x:v>
      </x:c>
      <x:c r="Q207" s="55" t="n">
        <x:v>2078</x:v>
      </x:c>
      <x:c r="R207" s="55" t="n">
        <x:v>2247</x:v>
      </x:c>
      <x:c r="S207" s="55" t="n">
        <x:v>3298</x:v>
      </x:c>
      <x:c r="T207" s="55" t="n">
        <x:v>1516</x:v>
      </x:c>
      <x:c r="U207" s="55" t="n">
        <x:v>2109</x:v>
      </x:c>
      <x:c r="V207" s="55" t="n">
        <x:v>10456</x:v>
      </x:c>
      <x:c r="W207" s="55" t="n">
        <x:v>6963</x:v>
      </x:c>
      <x:c r="X207" s="55" t="n">
        <x:v>3493</x:v>
      </x:c>
      <x:c r="Y207" s="55" t="n">
        <x:v>3183</x:v>
      </x:c>
      <x:c r="Z207" s="55" t="n">
        <x:v>3234</x:v>
      </x:c>
      <x:c r="AA207" s="55" t="n">
        <x:v>2683</x:v>
      </x:c>
      <x:c r="AB207" s="55" t="n">
        <x:v>799</x:v>
      </x:c>
      <x:c r="AC207" s="55" t="n">
        <x:v>8338</x:v>
      </x:c>
      <x:c r="AD207" s="55" t="n">
        <x:v>3143</x:v>
      </x:c>
      <x:c r="AE207" s="55" t="n">
        <x:v>10577</x:v>
      </x:c>
      <x:c r="AF207" s="55" t="n">
        <x:v>10456</x:v>
      </x:c>
      <x:c r="AG207" s="55" t="n">
        <x:v>121</x:v>
      </x:c>
      <x:c r="AH207" s="55" t="n">
        <x:v>534</x:v>
      </x:c>
      <x:c r="AI207" s="55" t="n">
        <x:v>9922</x:v>
      </x:c>
      <x:c r="AJ207" s="55" t="n">
        <x:v>182</x:v>
      </x:c>
      <x:c r="AK207" s="55" t="n">
        <x:v>997</x:v>
      </x:c>
      <x:c r="AL207" s="55" t="n">
        <x:v>1612</x:v>
      </x:c>
      <x:c r="AM207" s="55" t="n">
        <x:v>4695</x:v>
      </x:c>
      <x:c r="AN207" s="55" t="n">
        <x:v>2970</x:v>
      </x:c>
      <x:c r="AO207" s="55" t="n">
        <x:v>0</x:v>
      </x:c>
      <x:c r="AP207" s="55" t="n">
        <x:v>2341</x:v>
      </x:c>
      <x:c r="AQ207" s="55" t="n">
        <x:v>975</x:v>
      </x:c>
    </x:row>
    <x:row r="208">
      <x:c r="A208" s="54" t="str">
        <x:v>T1_SHARED_CATCHMENT</x:v>
      </x:c>
      <x:c r="B208" s="54" t="n">
        <x:v>202</x:v>
      </x:c>
      <x:c r="C208" s="54" t="str">
        <x:v>NYC-V2-R01</x:v>
      </x:c>
      <x:c r="D208" s="54" t="str">
        <x:v>V2</x:v>
      </x:c>
      <x:c r="E208" s="54" t="str">
        <x:v>ADMITTED</x:v>
      </x:c>
      <x:c r="F208" s="55" t="n">
        <x:v>31451</x:v>
      </x:c>
      <x:c r="G208" s="55" t="n">
        <x:v>8658</x:v>
      </x:c>
      <x:c r="H208" s="55" t="n">
        <x:v>3139</x:v>
      </x:c>
      <x:c r="I208" s="55" t="n">
        <x:v>1440</x:v>
      </x:c>
      <x:c r="J208" s="55" t="n">
        <x:v>0</x:v>
      </x:c>
      <x:c r="K208" s="55" t="n">
        <x:v>30374</x:v>
      </x:c>
      <x:c r="L208" s="55" t="n">
        <x:v>4955</x:v>
      </x:c>
      <x:c r="M208" s="55" t="n">
        <x:v>1222</x:v>
      </x:c>
      <x:c r="N208" s="55" t="n">
        <x:v>1894</x:v>
      </x:c>
      <x:c r="O208" s="55" t="n">
        <x:v>1839</x:v>
      </x:c>
      <x:c r="P208" s="55" t="n">
        <x:v>414</x:v>
      </x:c>
      <x:c r="Q208" s="55" t="n">
        <x:v>2785</x:v>
      </x:c>
      <x:c r="R208" s="55" t="n">
        <x:v>1885</x:v>
      </x:c>
      <x:c r="S208" s="55" t="n">
        <x:v>2211</x:v>
      </x:c>
      <x:c r="T208" s="55" t="n">
        <x:v>1229</x:v>
      </x:c>
      <x:c r="U208" s="55" t="n">
        <x:v>1198</x:v>
      </x:c>
      <x:c r="V208" s="55" t="n">
        <x:v>10268</x:v>
      </x:c>
      <x:c r="W208" s="55" t="n">
        <x:v>7577</x:v>
      </x:c>
      <x:c r="X208" s="55" t="n">
        <x:v>2691</x:v>
      </x:c>
      <x:c r="Y208" s="55" t="n">
        <x:v>2347</x:v>
      </x:c>
      <x:c r="Z208" s="55" t="n">
        <x:v>3356</x:v>
      </x:c>
      <x:c r="AA208" s="55" t="n">
        <x:v>3139</x:v>
      </x:c>
      <x:c r="AB208" s="55" t="n">
        <x:v>1070</x:v>
      </x:c>
      <x:c r="AC208" s="55" t="n">
        <x:v>7448</x:v>
      </x:c>
      <x:c r="AD208" s="55" t="n">
        <x:v>1907</x:v>
      </x:c>
      <x:c r="AE208" s="55" t="n">
        <x:v>10332</x:v>
      </x:c>
      <x:c r="AF208" s="55" t="n">
        <x:v>10268</x:v>
      </x:c>
      <x:c r="AG208" s="55" t="n">
        <x:v>64</x:v>
      </x:c>
      <x:c r="AH208" s="55" t="n">
        <x:v>380</x:v>
      </x:c>
      <x:c r="AI208" s="55" t="n">
        <x:v>9888</x:v>
      </x:c>
      <x:c r="AJ208" s="55" t="n">
        <x:v>231</x:v>
      </x:c>
      <x:c r="AK208" s="55" t="n">
        <x:v>681</x:v>
      </x:c>
      <x:c r="AL208" s="55" t="n">
        <x:v>1426</x:v>
      </x:c>
      <x:c r="AM208" s="55" t="n">
        <x:v>4961</x:v>
      </x:c>
      <x:c r="AN208" s="55" t="n">
        <x:v>2969</x:v>
      </x:c>
      <x:c r="AO208" s="55" t="n">
        <x:v>0</x:v>
      </x:c>
      <x:c r="AP208" s="55" t="n">
        <x:v>2072</x:v>
      </x:c>
      <x:c r="AQ208" s="55" t="n">
        <x:v>905</x:v>
      </x:c>
    </x:row>
    <x:row r="209">
      <x:c r="A209" s="54" t="str">
        <x:v>T1_SHARED_CATCHMENT</x:v>
      </x:c>
      <x:c r="B209" s="54" t="n">
        <x:v>203</x:v>
      </x:c>
      <x:c r="C209" s="54" t="str">
        <x:v>NYC-V2-R01</x:v>
      </x:c>
      <x:c r="D209" s="54" t="str">
        <x:v>V2</x:v>
      </x:c>
      <x:c r="E209" s="54" t="str">
        <x:v>ADMITTED</x:v>
      </x:c>
      <x:c r="F209" s="55" t="n">
        <x:v>33558</x:v>
      </x:c>
      <x:c r="G209" s="55" t="n">
        <x:v>8184</x:v>
      </x:c>
      <x:c r="H209" s="55" t="n">
        <x:v>3235</x:v>
      </x:c>
      <x:c r="I209" s="55" t="n">
        <x:v>891</x:v>
      </x:c>
      <x:c r="J209" s="55" t="n">
        <x:v>82</x:v>
      </x:c>
      <x:c r="K209" s="55" t="n">
        <x:v>33558</x:v>
      </x:c>
      <x:c r="L209" s="55" t="n">
        <x:v>6266</x:v>
      </x:c>
      <x:c r="M209" s="55" t="n">
        <x:v>1477</x:v>
      </x:c>
      <x:c r="N209" s="55" t="n">
        <x:v>2925</x:v>
      </x:c>
      <x:c r="O209" s="55" t="n">
        <x:v>1864</x:v>
      </x:c>
      <x:c r="P209" s="55" t="n">
        <x:v>952</x:v>
      </x:c>
      <x:c r="Q209" s="55" t="n">
        <x:v>2440</x:v>
      </x:c>
      <x:c r="R209" s="55" t="n">
        <x:v>1527</x:v>
      </x:c>
      <x:c r="S209" s="55" t="n">
        <x:v>2760</x:v>
      </x:c>
      <x:c r="T209" s="55" t="n">
        <x:v>1317</x:v>
      </x:c>
      <x:c r="U209" s="55" t="n">
        <x:v>1842</x:v>
      </x:c>
      <x:c r="V209" s="55" t="n">
        <x:v>10121</x:v>
      </x:c>
      <x:c r="W209" s="55" t="n">
        <x:v>6994</x:v>
      </x:c>
      <x:c r="X209" s="55" t="n">
        <x:v>3127</x:v>
      </x:c>
      <x:c r="Y209" s="55" t="n">
        <x:v>2736</x:v>
      </x:c>
      <x:c r="Z209" s="55" t="n">
        <x:v>4193</x:v>
      </x:c>
      <x:c r="AA209" s="55" t="n">
        <x:v>3235</x:v>
      </x:c>
      <x:c r="AB209" s="55" t="n">
        <x:v>1044</x:v>
      </x:c>
      <x:c r="AC209" s="55" t="n">
        <x:v>8510</x:v>
      </x:c>
      <x:c r="AD209" s="55" t="n">
        <x:v>2635</x:v>
      </x:c>
      <x:c r="AE209" s="55" t="n">
        <x:v>10134</x:v>
      </x:c>
      <x:c r="AF209" s="55" t="n">
        <x:v>10121</x:v>
      </x:c>
      <x:c r="AG209" s="55" t="n">
        <x:v>13</x:v>
      </x:c>
      <x:c r="AH209" s="55" t="n">
        <x:v>329</x:v>
      </x:c>
      <x:c r="AI209" s="55" t="n">
        <x:v>9792</x:v>
      </x:c>
      <x:c r="AJ209" s="55" t="n">
        <x:v>128</x:v>
      </x:c>
      <x:c r="AK209" s="55" t="n">
        <x:v>877</x:v>
      </x:c>
      <x:c r="AL209" s="55" t="n">
        <x:v>1482</x:v>
      </x:c>
      <x:c r="AM209" s="55" t="n">
        <x:v>4673</x:v>
      </x:c>
      <x:c r="AN209" s="55" t="n">
        <x:v>2946</x:v>
      </x:c>
      <x:c r="AO209" s="55" t="n">
        <x:v>15</x:v>
      </x:c>
      <x:c r="AP209" s="55" t="n">
        <x:v>1751</x:v>
      </x:c>
      <x:c r="AQ209" s="55" t="n">
        <x:v>984</x:v>
      </x:c>
    </x:row>
    <x:row r="210">
      <x:c r="A210" s="54" t="str">
        <x:v>T1_SHARED_CATCHMENT</x:v>
      </x:c>
      <x:c r="B210" s="54" t="n">
        <x:v>204</x:v>
      </x:c>
      <x:c r="C210" s="54" t="str">
        <x:v>NYC-V2-R01</x:v>
      </x:c>
      <x:c r="D210" s="54" t="str">
        <x:v>V2</x:v>
      </x:c>
      <x:c r="E210" s="54" t="str">
        <x:v>ADMITTED</x:v>
      </x:c>
      <x:c r="F210" s="55" t="n">
        <x:v>30904</x:v>
      </x:c>
      <x:c r="G210" s="55" t="n">
        <x:v>7385</x:v>
      </x:c>
      <x:c r="H210" s="55" t="n">
        <x:v>3462</x:v>
      </x:c>
      <x:c r="I210" s="55" t="n">
        <x:v>1734</x:v>
      </x:c>
      <x:c r="J210" s="55" t="n">
        <x:v>207</x:v>
      </x:c>
      <x:c r="K210" s="55" t="n">
        <x:v>30904</x:v>
      </x:c>
      <x:c r="L210" s="55" t="n">
        <x:v>5423</x:v>
      </x:c>
      <x:c r="M210" s="55" t="n">
        <x:v>1764</x:v>
      </x:c>
      <x:c r="N210" s="55" t="n">
        <x:v>2549</x:v>
      </x:c>
      <x:c r="O210" s="55" t="n">
        <x:v>1110</x:v>
      </x:c>
      <x:c r="P210" s="55" t="n">
        <x:v>522</x:v>
      </x:c>
      <x:c r="Q210" s="55" t="n">
        <x:v>3136</x:v>
      </x:c>
      <x:c r="R210" s="55" t="n">
        <x:v>1652</x:v>
      </x:c>
      <x:c r="S210" s="55" t="n">
        <x:v>2287</x:v>
      </x:c>
      <x:c r="T210" s="55" t="n">
        <x:v>964</x:v>
      </x:c>
      <x:c r="U210" s="55" t="n">
        <x:v>2665</x:v>
      </x:c>
      <x:c r="V210" s="55" t="n">
        <x:v>10471</x:v>
      </x:c>
      <x:c r="W210" s="55" t="n">
        <x:v>7347</x:v>
      </x:c>
      <x:c r="X210" s="55" t="n">
        <x:v>3124</x:v>
      </x:c>
      <x:c r="Y210" s="55" t="n">
        <x:v>2668</x:v>
      </x:c>
      <x:c r="Z210" s="55" t="n">
        <x:v>3599</x:v>
      </x:c>
      <x:c r="AA210" s="55" t="n">
        <x:v>3462</x:v>
      </x:c>
      <x:c r="AB210" s="55" t="n">
        <x:v>1434</x:v>
      </x:c>
      <x:c r="AC210" s="55" t="n">
        <x:v>7926</x:v>
      </x:c>
      <x:c r="AD210" s="55" t="n">
        <x:v>3295</x:v>
      </x:c>
      <x:c r="AE210" s="55" t="n">
        <x:v>10487</x:v>
      </x:c>
      <x:c r="AF210" s="55" t="n">
        <x:v>10471</x:v>
      </x:c>
      <x:c r="AG210" s="55" t="n">
        <x:v>16</x:v>
      </x:c>
      <x:c r="AH210" s="55" t="n">
        <x:v>319</x:v>
      </x:c>
      <x:c r="AI210" s="55" t="n">
        <x:v>10152</x:v>
      </x:c>
      <x:c r="AJ210" s="55" t="n">
        <x:v>318</x:v>
      </x:c>
      <x:c r="AK210" s="55" t="n">
        <x:v>691</x:v>
      </x:c>
      <x:c r="AL210" s="55" t="n">
        <x:v>1377</x:v>
      </x:c>
      <x:c r="AM210" s="55" t="n">
        <x:v>4807</x:v>
      </x:c>
      <x:c r="AN210" s="55" t="n">
        <x:v>3278</x:v>
      </x:c>
      <x:c r="AO210" s="55" t="n">
        <x:v>0</x:v>
      </x:c>
      <x:c r="AP210" s="55" t="n">
        <x:v>2678</x:v>
      </x:c>
      <x:c r="AQ210" s="55" t="n">
        <x:v>968</x:v>
      </x:c>
    </x:row>
    <x:row r="211">
      <x:c r="A211" s="54" t="str">
        <x:v>T1_SHARED_CATCHMENT</x:v>
      </x:c>
      <x:c r="B211" s="54" t="n">
        <x:v>205</x:v>
      </x:c>
      <x:c r="C211" s="54" t="str">
        <x:v>NYC-V2-R01</x:v>
      </x:c>
      <x:c r="D211" s="54" t="str">
        <x:v>V2</x:v>
      </x:c>
      <x:c r="E211" s="54" t="str">
        <x:v>ADMITTED</x:v>
      </x:c>
      <x:c r="F211" s="55" t="n">
        <x:v>30820</x:v>
      </x:c>
      <x:c r="G211" s="55" t="n">
        <x:v>7680</x:v>
      </x:c>
      <x:c r="H211" s="55" t="n">
        <x:v>3346</x:v>
      </x:c>
      <x:c r="I211" s="55" t="n">
        <x:v>1687</x:v>
      </x:c>
      <x:c r="J211" s="55" t="n">
        <x:v>384</x:v>
      </x:c>
      <x:c r="K211" s="55" t="n">
        <x:v>30820</x:v>
      </x:c>
      <x:c r="L211" s="55" t="n">
        <x:v>5914</x:v>
      </x:c>
      <x:c r="M211" s="55" t="n">
        <x:v>1460</x:v>
      </x:c>
      <x:c r="N211" s="55" t="n">
        <x:v>2588</x:v>
      </x:c>
      <x:c r="O211" s="55" t="n">
        <x:v>1866</x:v>
      </x:c>
      <x:c r="P211" s="55" t="n">
        <x:v>946</x:v>
      </x:c>
      <x:c r="Q211" s="55" t="n">
        <x:v>2615</x:v>
      </x:c>
      <x:c r="R211" s="55" t="n">
        <x:v>1940</x:v>
      </x:c>
      <x:c r="S211" s="55" t="n">
        <x:v>3336</x:v>
      </x:c>
      <x:c r="T211" s="55" t="n">
        <x:v>1145</x:v>
      </x:c>
      <x:c r="U211" s="55" t="n">
        <x:v>1989</x:v>
      </x:c>
      <x:c r="V211" s="55" t="n">
        <x:v>10501</x:v>
      </x:c>
      <x:c r="W211" s="55" t="n">
        <x:v>7095</x:v>
      </x:c>
      <x:c r="X211" s="55" t="n">
        <x:v>3406</x:v>
      </x:c>
      <x:c r="Y211" s="55" t="n">
        <x:v>3079</x:v>
      </x:c>
      <x:c r="Z211" s="55" t="n">
        <x:v>3500</x:v>
      </x:c>
      <x:c r="AA211" s="55" t="n">
        <x:v>3324</x:v>
      </x:c>
      <x:c r="AB211" s="55" t="n">
        <x:v>1153</x:v>
      </x:c>
      <x:c r="AC211" s="55" t="n">
        <x:v>8106</x:v>
      </x:c>
      <x:c r="AD211" s="55" t="n">
        <x:v>3383</x:v>
      </x:c>
      <x:c r="AE211" s="55" t="n">
        <x:v>10604</x:v>
      </x:c>
      <x:c r="AF211" s="55" t="n">
        <x:v>10501</x:v>
      </x:c>
      <x:c r="AG211" s="55" t="n">
        <x:v>103</x:v>
      </x:c>
      <x:c r="AH211" s="55" t="n">
        <x:v>544</x:v>
      </x:c>
      <x:c r="AI211" s="55" t="n">
        <x:v>9957</x:v>
      </x:c>
      <x:c r="AJ211" s="55" t="n">
        <x:v>232</x:v>
      </x:c>
      <x:c r="AK211" s="55" t="n">
        <x:v>818</x:v>
      </x:c>
      <x:c r="AL211" s="55" t="n">
        <x:v>1265</x:v>
      </x:c>
      <x:c r="AM211" s="55" t="n">
        <x:v>5465</x:v>
      </x:c>
      <x:c r="AN211" s="55" t="n">
        <x:v>2714</x:v>
      </x:c>
      <x:c r="AO211" s="55" t="n">
        <x:v>7</x:v>
      </x:c>
      <x:c r="AP211" s="55" t="n">
        <x:v>2603</x:v>
      </x:c>
      <x:c r="AQ211" s="55" t="n">
        <x:v>949</x:v>
      </x:c>
    </x:row>
    <x:row r="212">
      <x:c r="A212" s="54" t="str">
        <x:v>T1_SHARED_CATCHMENT</x:v>
      </x:c>
      <x:c r="B212" s="54" t="n">
        <x:v>206</x:v>
      </x:c>
      <x:c r="C212" s="54" t="str">
        <x:v>NYC-V2-R01</x:v>
      </x:c>
      <x:c r="D212" s="54" t="str">
        <x:v>V2</x:v>
      </x:c>
      <x:c r="E212" s="54" t="str">
        <x:v>ADMITTED</x:v>
      </x:c>
      <x:c r="F212" s="55" t="n">
        <x:v>31300</x:v>
      </x:c>
      <x:c r="G212" s="55" t="n">
        <x:v>6665</x:v>
      </x:c>
      <x:c r="H212" s="55" t="n">
        <x:v>3213</x:v>
      </x:c>
      <x:c r="I212" s="55" t="n">
        <x:v>1260</x:v>
      </x:c>
      <x:c r="J212" s="55" t="n">
        <x:v>125</x:v>
      </x:c>
      <x:c r="K212" s="55" t="n">
        <x:v>31300</x:v>
      </x:c>
      <x:c r="L212" s="55" t="n">
        <x:v>6307</x:v>
      </x:c>
      <x:c r="M212" s="55" t="n">
        <x:v>2043</x:v>
      </x:c>
      <x:c r="N212" s="55" t="n">
        <x:v>2556</x:v>
      </x:c>
      <x:c r="O212" s="55" t="n">
        <x:v>1708</x:v>
      </x:c>
      <x:c r="P212" s="55" t="n">
        <x:v>146</x:v>
      </x:c>
      <x:c r="Q212" s="55" t="n">
        <x:v>2406</x:v>
      </x:c>
      <x:c r="R212" s="55" t="n">
        <x:v>1613</x:v>
      </x:c>
      <x:c r="S212" s="55" t="n">
        <x:v>2859</x:v>
      </x:c>
      <x:c r="T212" s="55" t="n">
        <x:v>977</x:v>
      </x:c>
      <x:c r="U212" s="55" t="n">
        <x:v>1906</x:v>
      </x:c>
      <x:c r="V212" s="55" t="n">
        <x:v>10082</x:v>
      </x:c>
      <x:c r="W212" s="55" t="n">
        <x:v>6805</x:v>
      </x:c>
      <x:c r="X212" s="55" t="n">
        <x:v>3277</x:v>
      </x:c>
      <x:c r="Y212" s="55" t="n">
        <x:v>2921</x:v>
      </x:c>
      <x:c r="Z212" s="55" t="n">
        <x:v>3733</x:v>
      </x:c>
      <x:c r="AA212" s="55" t="n">
        <x:v>2716</x:v>
      </x:c>
      <x:c r="AB212" s="55" t="n">
        <x:v>676</x:v>
      </x:c>
      <x:c r="AC212" s="55" t="n">
        <x:v>8244</x:v>
      </x:c>
      <x:c r="AD212" s="55" t="n">
        <x:v>2684</x:v>
      </x:c>
      <x:c r="AE212" s="55" t="n">
        <x:v>10172</x:v>
      </x:c>
      <x:c r="AF212" s="55" t="n">
        <x:v>10082</x:v>
      </x:c>
      <x:c r="AG212" s="55" t="n">
        <x:v>90</x:v>
      </x:c>
      <x:c r="AH212" s="55" t="n">
        <x:v>372</x:v>
      </x:c>
      <x:c r="AI212" s="55" t="n">
        <x:v>9710</x:v>
      </x:c>
      <x:c r="AJ212" s="55" t="n">
        <x:v>304</x:v>
      </x:c>
      <x:c r="AK212" s="55" t="n">
        <x:v>835</x:v>
      </x:c>
      <x:c r="AL212" s="55" t="n">
        <x:v>1886</x:v>
      </x:c>
      <x:c r="AM212" s="55" t="n">
        <x:v>4672</x:v>
      </x:c>
      <x:c r="AN212" s="55" t="n">
        <x:v>2385</x:v>
      </x:c>
      <x:c r="AO212" s="55" t="n">
        <x:v>0</x:v>
      </x:c>
      <x:c r="AP212" s="55" t="n">
        <x:v>2493</x:v>
      </x:c>
      <x:c r="AQ212" s="55" t="n">
        <x:v>963</x:v>
      </x:c>
    </x:row>
    <x:row r="213">
      <x:c r="A213" s="54" t="str">
        <x:v>T1_SHARED_CATCHMENT</x:v>
      </x:c>
      <x:c r="B213" s="54" t="n">
        <x:v>207</x:v>
      </x:c>
      <x:c r="C213" s="54" t="str">
        <x:v>NYC-V2-R01</x:v>
      </x:c>
      <x:c r="D213" s="54" t="str">
        <x:v>V2</x:v>
      </x:c>
      <x:c r="E213" s="54" t="str">
        <x:v>ADMITTED</x:v>
      </x:c>
      <x:c r="F213" s="55" t="n">
        <x:v>30696</x:v>
      </x:c>
      <x:c r="G213" s="55" t="n">
        <x:v>7069</x:v>
      </x:c>
      <x:c r="H213" s="55" t="n">
        <x:v>3815</x:v>
      </x:c>
      <x:c r="I213" s="55" t="n">
        <x:v>1494</x:v>
      </x:c>
      <x:c r="J213" s="55" t="n">
        <x:v>319</x:v>
      </x:c>
      <x:c r="K213" s="55" t="n">
        <x:v>29967</x:v>
      </x:c>
      <x:c r="L213" s="55" t="n">
        <x:v>5553</x:v>
      </x:c>
      <x:c r="M213" s="55" t="n">
        <x:v>1000</x:v>
      </x:c>
      <x:c r="N213" s="55" t="n">
        <x:v>2618</x:v>
      </x:c>
      <x:c r="O213" s="55" t="n">
        <x:v>1935</x:v>
      </x:c>
      <x:c r="P213" s="55" t="n">
        <x:v>813</x:v>
      </x:c>
      <x:c r="Q213" s="55" t="n">
        <x:v>2461</x:v>
      </x:c>
      <x:c r="R213" s="55" t="n">
        <x:v>2177</x:v>
      </x:c>
      <x:c r="S213" s="55" t="n">
        <x:v>2428</x:v>
      </x:c>
      <x:c r="T213" s="55" t="n">
        <x:v>1232</x:v>
      </x:c>
      <x:c r="U213" s="55" t="n">
        <x:v>1775</x:v>
      </x:c>
      <x:c r="V213" s="55" t="n">
        <x:v>10377</x:v>
      </x:c>
      <x:c r="W213" s="55" t="n">
        <x:v>7020</x:v>
      </x:c>
      <x:c r="X213" s="55" t="n">
        <x:v>3357</x:v>
      </x:c>
      <x:c r="Y213" s="55" t="n">
        <x:v>2960</x:v>
      </x:c>
      <x:c r="Z213" s="55" t="n">
        <x:v>3585</x:v>
      </x:c>
      <x:c r="AA213" s="55" t="n">
        <x:v>3047</x:v>
      </x:c>
      <x:c r="AB213" s="55" t="n">
        <x:v>1021</x:v>
      </x:c>
      <x:c r="AC213" s="55" t="n">
        <x:v>7524</x:v>
      </x:c>
      <x:c r="AD213" s="55" t="n">
        <x:v>3528</x:v>
      </x:c>
      <x:c r="AE213" s="55" t="n">
        <x:v>10529</x:v>
      </x:c>
      <x:c r="AF213" s="55" t="n">
        <x:v>10377</x:v>
      </x:c>
      <x:c r="AG213" s="55" t="n">
        <x:v>152</x:v>
      </x:c>
      <x:c r="AH213" s="55" t="n">
        <x:v>418</x:v>
      </x:c>
      <x:c r="AI213" s="55" t="n">
        <x:v>9959</x:v>
      </x:c>
      <x:c r="AJ213" s="55" t="n">
        <x:v>380</x:v>
      </x:c>
      <x:c r="AK213" s="55" t="n">
        <x:v>959</x:v>
      </x:c>
      <x:c r="AL213" s="55" t="n">
        <x:v>1517</x:v>
      </x:c>
      <x:c r="AM213" s="55" t="n">
        <x:v>4547</x:v>
      </x:c>
      <x:c r="AN213" s="55" t="n">
        <x:v>2885</x:v>
      </x:c>
      <x:c r="AO213" s="55" t="n">
        <x:v>89</x:v>
      </x:c>
      <x:c r="AP213" s="55" t="n">
        <x:v>2351</x:v>
      </x:c>
      <x:c r="AQ213" s="55" t="n">
        <x:v>960</x:v>
      </x:c>
    </x:row>
    <x:row r="214">
      <x:c r="A214" s="54" t="str">
        <x:v>T1_SHARED_CATCHMENT</x:v>
      </x:c>
      <x:c r="B214" s="54" t="n">
        <x:v>208</x:v>
      </x:c>
      <x:c r="C214" s="54" t="str">
        <x:v>NYC-V2-R01</x:v>
      </x:c>
      <x:c r="D214" s="54" t="str">
        <x:v>V2</x:v>
      </x:c>
      <x:c r="E214" s="54" t="str">
        <x:v>ADMITTED</x:v>
      </x:c>
      <x:c r="F214" s="55" t="n">
        <x:v>29920</x:v>
      </x:c>
      <x:c r="G214" s="55" t="n">
        <x:v>7189</x:v>
      </x:c>
      <x:c r="H214" s="55" t="n">
        <x:v>3445</x:v>
      </x:c>
      <x:c r="I214" s="55" t="n">
        <x:v>1147</x:v>
      </x:c>
      <x:c r="J214" s="55" t="n">
        <x:v>193</x:v>
      </x:c>
      <x:c r="K214" s="55" t="n">
        <x:v>29920</x:v>
      </x:c>
      <x:c r="L214" s="55" t="n">
        <x:v>4886</x:v>
      </x:c>
      <x:c r="M214" s="55" t="n">
        <x:v>848</x:v>
      </x:c>
      <x:c r="N214" s="55" t="n">
        <x:v>2329</x:v>
      </x:c>
      <x:c r="O214" s="55" t="n">
        <x:v>1709</x:v>
      </x:c>
      <x:c r="P214" s="55" t="n">
        <x:v>523</x:v>
      </x:c>
      <x:c r="Q214" s="55" t="n">
        <x:v>2192</x:v>
      </x:c>
      <x:c r="R214" s="55" t="n">
        <x:v>1855</x:v>
      </x:c>
      <x:c r="S214" s="55" t="n">
        <x:v>2392</x:v>
      </x:c>
      <x:c r="T214" s="55" t="n">
        <x:v>1443</x:v>
      </x:c>
      <x:c r="U214" s="55" t="n">
        <x:v>1832</x:v>
      </x:c>
      <x:c r="V214" s="55" t="n">
        <x:v>10604</x:v>
      </x:c>
      <x:c r="W214" s="55" t="n">
        <x:v>7545</x:v>
      </x:c>
      <x:c r="X214" s="55" t="n">
        <x:v>3059</x:v>
      </x:c>
      <x:c r="Y214" s="55" t="n">
        <x:v>2658</x:v>
      </x:c>
      <x:c r="Z214" s="55" t="n">
        <x:v>3362</x:v>
      </x:c>
      <x:c r="AA214" s="55" t="n">
        <x:v>3445</x:v>
      </x:c>
      <x:c r="AB214" s="55" t="n">
        <x:v>1352</x:v>
      </x:c>
      <x:c r="AC214" s="55" t="n">
        <x:v>7557</x:v>
      </x:c>
      <x:c r="AD214" s="55" t="n">
        <x:v>2784</x:v>
      </x:c>
      <x:c r="AE214" s="55" t="n">
        <x:v>10662</x:v>
      </x:c>
      <x:c r="AF214" s="55" t="n">
        <x:v>10604</x:v>
      </x:c>
      <x:c r="AG214" s="55" t="n">
        <x:v>58</x:v>
      </x:c>
      <x:c r="AH214" s="55" t="n">
        <x:v>424</x:v>
      </x:c>
      <x:c r="AI214" s="55" t="n">
        <x:v>10180</x:v>
      </x:c>
      <x:c r="AJ214" s="55" t="n">
        <x:v>426</x:v>
      </x:c>
      <x:c r="AK214" s="55" t="n">
        <x:v>963</x:v>
      </x:c>
      <x:c r="AL214" s="55" t="n">
        <x:v>1517</x:v>
      </x:c>
      <x:c r="AM214" s="55" t="n">
        <x:v>5377</x:v>
      </x:c>
      <x:c r="AN214" s="55" t="n">
        <x:v>2278</x:v>
      </x:c>
      <x:c r="AO214" s="55" t="n">
        <x:v>43</x:v>
      </x:c>
      <x:c r="AP214" s="55" t="n">
        <x:v>2165</x:v>
      </x:c>
      <x:c r="AQ214" s="55" t="n">
        <x:v>943</x:v>
      </x:c>
    </x:row>
    <x:row r="215">
      <x:c r="A215" s="54" t="str">
        <x:v>T1_SHARED_CATCHMENT</x:v>
      </x:c>
      <x:c r="B215" s="54" t="n">
        <x:v>209</x:v>
      </x:c>
      <x:c r="C215" s="54" t="str">
        <x:v>NYC-V2-R01</x:v>
      </x:c>
      <x:c r="D215" s="54" t="str">
        <x:v>V2</x:v>
      </x:c>
      <x:c r="E215" s="54" t="str">
        <x:v>ADMITTED</x:v>
      </x:c>
      <x:c r="F215" s="55" t="n">
        <x:v>30737</x:v>
      </x:c>
      <x:c r="G215" s="55" t="n">
        <x:v>8460</x:v>
      </x:c>
      <x:c r="H215" s="55" t="n">
        <x:v>3007</x:v>
      </x:c>
      <x:c r="I215" s="55" t="n">
        <x:v>806</x:v>
      </x:c>
      <x:c r="J215" s="55" t="n">
        <x:v>154</x:v>
      </x:c>
      <x:c r="K215" s="55" t="n">
        <x:v>29786</x:v>
      </x:c>
      <x:c r="L215" s="55" t="n">
        <x:v>4492</x:v>
      </x:c>
      <x:c r="M215" s="55" t="n">
        <x:v>380</x:v>
      </x:c>
      <x:c r="N215" s="55" t="n">
        <x:v>2184</x:v>
      </x:c>
      <x:c r="O215" s="55" t="n">
        <x:v>1928</x:v>
      </x:c>
      <x:c r="P215" s="55" t="n">
        <x:v>1141</x:v>
      </x:c>
      <x:c r="Q215" s="55" t="n">
        <x:v>3112</x:v>
      </x:c>
      <x:c r="R215" s="55" t="n">
        <x:v>2104</x:v>
      </x:c>
      <x:c r="S215" s="55" t="n">
        <x:v>2736</x:v>
      </x:c>
      <x:c r="T215" s="55" t="n">
        <x:v>1132</x:v>
      </x:c>
      <x:c r="U215" s="55" t="n">
        <x:v>2075</x:v>
      </x:c>
      <x:c r="V215" s="55" t="n">
        <x:v>11174</x:v>
      </x:c>
      <x:c r="W215" s="55" t="n">
        <x:v>8141</x:v>
      </x:c>
      <x:c r="X215" s="55" t="n">
        <x:v>3033</x:v>
      </x:c>
      <x:c r="Y215" s="55" t="n">
        <x:v>2839</x:v>
      </x:c>
      <x:c r="Z215" s="55" t="n">
        <x:v>3587</x:v>
      </x:c>
      <x:c r="AA215" s="55" t="n">
        <x:v>3007</x:v>
      </x:c>
      <x:c r="AB215" s="55" t="n">
        <x:v>1162</x:v>
      </x:c>
      <x:c r="AC215" s="55" t="n">
        <x:v>7993</x:v>
      </x:c>
      <x:c r="AD215" s="55" t="n">
        <x:v>3482</x:v>
      </x:c>
      <x:c r="AE215" s="55" t="n">
        <x:v>11206</x:v>
      </x:c>
      <x:c r="AF215" s="55" t="n">
        <x:v>11174</x:v>
      </x:c>
      <x:c r="AG215" s="55" t="n">
        <x:v>32</x:v>
      </x:c>
      <x:c r="AH215" s="55" t="n">
        <x:v>475</x:v>
      </x:c>
      <x:c r="AI215" s="55" t="n">
        <x:v>10699</x:v>
      </x:c>
      <x:c r="AJ215" s="55" t="n">
        <x:v>250</x:v>
      </x:c>
      <x:c r="AK215" s="55" t="n">
        <x:v>1030</x:v>
      </x:c>
      <x:c r="AL215" s="55" t="n">
        <x:v>2097</x:v>
      </x:c>
      <x:c r="AM215" s="55" t="n">
        <x:v>4868</x:v>
      </x:c>
      <x:c r="AN215" s="55" t="n">
        <x:v>2929</x:v>
      </x:c>
      <x:c r="AO215" s="55" t="n">
        <x:v>0</x:v>
      </x:c>
      <x:c r="AP215" s="55" t="n">
        <x:v>2409</x:v>
      </x:c>
      <x:c r="AQ215" s="55" t="n">
        <x:v>950</x:v>
      </x:c>
    </x:row>
    <x:row r="216">
      <x:c r="A216" s="54" t="str">
        <x:v>T1_SHARED_CATCHMENT</x:v>
      </x:c>
      <x:c r="B216" s="54" t="n">
        <x:v>210</x:v>
      </x:c>
      <x:c r="C216" s="54" t="str">
        <x:v>NYC-V2-R01</x:v>
      </x:c>
      <x:c r="D216" s="54" t="str">
        <x:v>V2</x:v>
      </x:c>
      <x:c r="E216" s="54" t="str">
        <x:v>ADMITTED</x:v>
      </x:c>
      <x:c r="F216" s="55" t="n">
        <x:v>31577</x:v>
      </x:c>
      <x:c r="G216" s="55" t="n">
        <x:v>6272</x:v>
      </x:c>
      <x:c r="H216" s="55" t="n">
        <x:v>3330</x:v>
      </x:c>
      <x:c r="I216" s="55" t="n">
        <x:v>1493</x:v>
      </x:c>
      <x:c r="J216" s="55" t="n">
        <x:v>391</x:v>
      </x:c>
      <x:c r="K216" s="55" t="n">
        <x:v>31577</x:v>
      </x:c>
      <x:c r="L216" s="55" t="n">
        <x:v>5336</x:v>
      </x:c>
      <x:c r="M216" s="55" t="n">
        <x:v>577</x:v>
      </x:c>
      <x:c r="N216" s="55" t="n">
        <x:v>3217</x:v>
      </x:c>
      <x:c r="O216" s="55" t="n">
        <x:v>1542</x:v>
      </x:c>
      <x:c r="P216" s="55" t="n">
        <x:v>684</x:v>
      </x:c>
      <x:c r="Q216" s="55" t="n">
        <x:v>2325</x:v>
      </x:c>
      <x:c r="R216" s="55" t="n">
        <x:v>1441</x:v>
      </x:c>
      <x:c r="S216" s="55" t="n">
        <x:v>2448</x:v>
      </x:c>
      <x:c r="T216" s="55" t="n">
        <x:v>1461</x:v>
      </x:c>
      <x:c r="U216" s="55" t="n">
        <x:v>1677</x:v>
      </x:c>
      <x:c r="V216" s="55" t="n">
        <x:v>10132</x:v>
      </x:c>
      <x:c r="W216" s="55" t="n">
        <x:v>6673</x:v>
      </x:c>
      <x:c r="X216" s="55" t="n">
        <x:v>3459</x:v>
      </x:c>
      <x:c r="Y216" s="55" t="n">
        <x:v>2830</x:v>
      </x:c>
      <x:c r="Z216" s="55" t="n">
        <x:v>4107</x:v>
      </x:c>
      <x:c r="AA216" s="55" t="n">
        <x:v>3112</x:v>
      </x:c>
      <x:c r="AB216" s="55" t="n">
        <x:v>1156</x:v>
      </x:c>
      <x:c r="AC216" s="55" t="n">
        <x:v>7889</x:v>
      </x:c>
      <x:c r="AD216" s="55" t="n">
        <x:v>2274</x:v>
      </x:c>
      <x:c r="AE216" s="55" t="n">
        <x:v>10244</x:v>
      </x:c>
      <x:c r="AF216" s="55" t="n">
        <x:v>10132</x:v>
      </x:c>
      <x:c r="AG216" s="55" t="n">
        <x:v>112</x:v>
      </x:c>
      <x:c r="AH216" s="55" t="n">
        <x:v>535</x:v>
      </x:c>
      <x:c r="AI216" s="55" t="n">
        <x:v>9597</x:v>
      </x:c>
      <x:c r="AJ216" s="55" t="n">
        <x:v>330</x:v>
      </x:c>
      <x:c r="AK216" s="55" t="n">
        <x:v>1077</x:v>
      </x:c>
      <x:c r="AL216" s="55" t="n">
        <x:v>1114</x:v>
      </x:c>
      <x:c r="AM216" s="55" t="n">
        <x:v>5329</x:v>
      </x:c>
      <x:c r="AN216" s="55" t="n">
        <x:v>2282</x:v>
      </x:c>
      <x:c r="AO216" s="55" t="n">
        <x:v>0</x:v>
      </x:c>
      <x:c r="AP216" s="55" t="n">
        <x:v>2470</x:v>
      </x:c>
      <x:c r="AQ216" s="55" t="n">
        <x:v>938</x:v>
      </x:c>
    </x:row>
    <x:row r="217">
      <x:c r="A217" s="54" t="str">
        <x:v>T1_SHARED_CATCHMENT</x:v>
      </x:c>
      <x:c r="B217" s="54" t="n">
        <x:v>211</x:v>
      </x:c>
      <x:c r="C217" s="54" t="str">
        <x:v>NYC-V2-R01</x:v>
      </x:c>
      <x:c r="D217" s="54" t="str">
        <x:v>V2</x:v>
      </x:c>
      <x:c r="E217" s="54" t="str">
        <x:v>ADMITTED</x:v>
      </x:c>
      <x:c r="F217" s="55" t="n">
        <x:v>31342</x:v>
      </x:c>
      <x:c r="G217" s="55" t="n">
        <x:v>8197</x:v>
      </x:c>
      <x:c r="H217" s="55" t="n">
        <x:v>3253</x:v>
      </x:c>
      <x:c r="I217" s="55" t="n">
        <x:v>1473</x:v>
      </x:c>
      <x:c r="J217" s="55" t="n">
        <x:v>271</x:v>
      </x:c>
      <x:c r="K217" s="55" t="n">
        <x:v>29447</x:v>
      </x:c>
      <x:c r="L217" s="55" t="n">
        <x:v>5525</x:v>
      </x:c>
      <x:c r="M217" s="55" t="n">
        <x:v>1240</x:v>
      </x:c>
      <x:c r="N217" s="55" t="n">
        <x:v>2060</x:v>
      </x:c>
      <x:c r="O217" s="55" t="n">
        <x:v>2225</x:v>
      </x:c>
      <x:c r="P217" s="55" t="n">
        <x:v>554</x:v>
      </x:c>
      <x:c r="Q217" s="55" t="n">
        <x:v>1895</x:v>
      </x:c>
      <x:c r="R217" s="55" t="n">
        <x:v>1881</x:v>
      </x:c>
      <x:c r="S217" s="55" t="n">
        <x:v>3301</x:v>
      </x:c>
      <x:c r="T217" s="55" t="n">
        <x:v>959</x:v>
      </x:c>
      <x:c r="U217" s="55" t="n">
        <x:v>1121</x:v>
      </x:c>
      <x:c r="V217" s="55" t="n">
        <x:v>10296</x:v>
      </x:c>
      <x:c r="W217" s="55" t="n">
        <x:v>7418</x:v>
      </x:c>
      <x:c r="X217" s="55" t="n">
        <x:v>2878</x:v>
      </x:c>
      <x:c r="Y217" s="55" t="n">
        <x:v>2426</x:v>
      </x:c>
      <x:c r="Z217" s="55" t="n">
        <x:v>3208</x:v>
      </x:c>
      <x:c r="AA217" s="55" t="n">
        <x:v>3253</x:v>
      </x:c>
      <x:c r="AB217" s="55" t="n">
        <x:v>1265</x:v>
      </x:c>
      <x:c r="AC217" s="55" t="n">
        <x:v>8515</x:v>
      </x:c>
      <x:c r="AD217" s="55" t="n">
        <x:v>2632</x:v>
      </x:c>
      <x:c r="AE217" s="55" t="n">
        <x:v>10422</x:v>
      </x:c>
      <x:c r="AF217" s="55" t="n">
        <x:v>10296</x:v>
      </x:c>
      <x:c r="AG217" s="55" t="n">
        <x:v>126</x:v>
      </x:c>
      <x:c r="AH217" s="55" t="n">
        <x:v>189</x:v>
      </x:c>
      <x:c r="AI217" s="55" t="n">
        <x:v>10107</x:v>
      </x:c>
      <x:c r="AJ217" s="55" t="n">
        <x:v>453</x:v>
      </x:c>
      <x:c r="AK217" s="55" t="n">
        <x:v>945</x:v>
      </x:c>
      <x:c r="AL217" s="55" t="n">
        <x:v>1135</x:v>
      </x:c>
      <x:c r="AM217" s="55" t="n">
        <x:v>5046</x:v>
      </x:c>
      <x:c r="AN217" s="55" t="n">
        <x:v>2633</x:v>
      </x:c>
      <x:c r="AO217" s="55" t="n">
        <x:v>84</x:v>
      </x:c>
      <x:c r="AP217" s="55" t="n">
        <x:v>2457</x:v>
      </x:c>
      <x:c r="AQ217" s="55" t="n">
        <x:v>968</x:v>
      </x:c>
    </x:row>
    <x:row r="218">
      <x:c r="A218" s="54" t="str">
        <x:v>T1_SHARED_CATCHMENT</x:v>
      </x:c>
      <x:c r="B218" s="54" t="n">
        <x:v>212</x:v>
      </x:c>
      <x:c r="C218" s="54" t="str">
        <x:v>NYC-V2-R01</x:v>
      </x:c>
      <x:c r="D218" s="54" t="str">
        <x:v>V2</x:v>
      </x:c>
      <x:c r="E218" s="54" t="str">
        <x:v>ADMITTED</x:v>
      </x:c>
      <x:c r="F218" s="55" t="n">
        <x:v>33565</x:v>
      </x:c>
      <x:c r="G218" s="55" t="n">
        <x:v>8030</x:v>
      </x:c>
      <x:c r="H218" s="55" t="n">
        <x:v>3344</x:v>
      </x:c>
      <x:c r="I218" s="55" t="n">
        <x:v>1044</x:v>
      </x:c>
      <x:c r="J218" s="55" t="n">
        <x:v>340</x:v>
      </x:c>
      <x:c r="K218" s="55" t="n">
        <x:v>31797</x:v>
      </x:c>
      <x:c r="L218" s="55" t="n">
        <x:v>6532</x:v>
      </x:c>
      <x:c r="M218" s="55" t="n">
        <x:v>1333</x:v>
      </x:c>
      <x:c r="N218" s="55" t="n">
        <x:v>3260</x:v>
      </x:c>
      <x:c r="O218" s="55" t="n">
        <x:v>1939</x:v>
      </x:c>
      <x:c r="P218" s="55" t="n">
        <x:v>819</x:v>
      </x:c>
      <x:c r="Q218" s="55" t="n">
        <x:v>1885</x:v>
      </x:c>
      <x:c r="R218" s="55" t="n">
        <x:v>1887</x:v>
      </x:c>
      <x:c r="S218" s="55" t="n">
        <x:v>2570</x:v>
      </x:c>
      <x:c r="T218" s="55" t="n">
        <x:v>1555</x:v>
      </x:c>
      <x:c r="U218" s="55" t="n">
        <x:v>2398</x:v>
      </x:c>
      <x:c r="V218" s="55" t="n">
        <x:v>11549</x:v>
      </x:c>
      <x:c r="W218" s="55" t="n">
        <x:v>8961</x:v>
      </x:c>
      <x:c r="X218" s="55" t="n">
        <x:v>2588</x:v>
      </x:c>
      <x:c r="Y218" s="55" t="n">
        <x:v>2092</x:v>
      </x:c>
      <x:c r="Z218" s="55" t="n">
        <x:v>3675</x:v>
      </x:c>
      <x:c r="AA218" s="55" t="n">
        <x:v>2745</x:v>
      </x:c>
      <x:c r="AB218" s="55" t="n">
        <x:v>876</x:v>
      </x:c>
      <x:c r="AC218" s="55" t="n">
        <x:v>8523</x:v>
      </x:c>
      <x:c r="AD218" s="55" t="n">
        <x:v>3223</x:v>
      </x:c>
      <x:c r="AE218" s="55" t="n">
        <x:v>11644</x:v>
      </x:c>
      <x:c r="AF218" s="55" t="n">
        <x:v>11549</x:v>
      </x:c>
      <x:c r="AG218" s="55" t="n">
        <x:v>95</x:v>
      </x:c>
      <x:c r="AH218" s="55" t="n">
        <x:v>675</x:v>
      </x:c>
      <x:c r="AI218" s="55" t="n">
        <x:v>10874</x:v>
      </x:c>
      <x:c r="AJ218" s="55" t="n">
        <x:v>311</x:v>
      </x:c>
      <x:c r="AK218" s="55" t="n">
        <x:v>1095</x:v>
      </x:c>
      <x:c r="AL218" s="55" t="n">
        <x:v>1658</x:v>
      </x:c>
      <x:c r="AM218" s="55" t="n">
        <x:v>5494</x:v>
      </x:c>
      <x:c r="AN218" s="55" t="n">
        <x:v>2904</x:v>
      </x:c>
      <x:c r="AO218" s="55" t="n">
        <x:v>87</x:v>
      </x:c>
      <x:c r="AP218" s="55" t="n">
        <x:v>2566</x:v>
      </x:c>
      <x:c r="AQ218" s="55" t="n">
        <x:v>959</x:v>
      </x:c>
    </x:row>
    <x:row r="219">
      <x:c r="A219" s="54" t="str">
        <x:v>T1_SHARED_CATCHMENT</x:v>
      </x:c>
      <x:c r="B219" s="54" t="n">
        <x:v>213</x:v>
      </x:c>
      <x:c r="C219" s="54" t="str">
        <x:v>NYC-V2-R01</x:v>
      </x:c>
      <x:c r="D219" s="54" t="str">
        <x:v>V2</x:v>
      </x:c>
      <x:c r="E219" s="54" t="str">
        <x:v>ADMITTED</x:v>
      </x:c>
      <x:c r="F219" s="55" t="n">
        <x:v>30735</x:v>
      </x:c>
      <x:c r="G219" s="55" t="n">
        <x:v>7873</x:v>
      </x:c>
      <x:c r="H219" s="55" t="n">
        <x:v>3532</x:v>
      </x:c>
      <x:c r="I219" s="55" t="n">
        <x:v>1400</x:v>
      </x:c>
      <x:c r="J219" s="55" t="n">
        <x:v>177</x:v>
      </x:c>
      <x:c r="K219" s="55" t="n">
        <x:v>29805</x:v>
      </x:c>
      <x:c r="L219" s="55" t="n">
        <x:v>4921</x:v>
      </x:c>
      <x:c r="M219" s="55" t="n">
        <x:v>1017</x:v>
      </x:c>
      <x:c r="N219" s="55" t="n">
        <x:v>2471</x:v>
      </x:c>
      <x:c r="O219" s="55" t="n">
        <x:v>1433</x:v>
      </x:c>
      <x:c r="P219" s="55" t="n">
        <x:v>872</x:v>
      </x:c>
      <x:c r="Q219" s="55" t="n">
        <x:v>2711</x:v>
      </x:c>
      <x:c r="R219" s="55" t="n">
        <x:v>2165</x:v>
      </x:c>
      <x:c r="S219" s="55" t="n">
        <x:v>2721</x:v>
      </x:c>
      <x:c r="T219" s="55" t="n">
        <x:v>1461</x:v>
      </x:c>
      <x:c r="U219" s="55" t="n">
        <x:v>1609</x:v>
      </x:c>
      <x:c r="V219" s="55" t="n">
        <x:v>10350</x:v>
      </x:c>
      <x:c r="W219" s="55" t="n">
        <x:v>7610</x:v>
      </x:c>
      <x:c r="X219" s="55" t="n">
        <x:v>2740</x:v>
      </x:c>
      <x:c r="Y219" s="55" t="n">
        <x:v>2383</x:v>
      </x:c>
      <x:c r="Z219" s="55" t="n">
        <x:v>3441</x:v>
      </x:c>
      <x:c r="AA219" s="55" t="n">
        <x:v>2794</x:v>
      </x:c>
      <x:c r="AB219" s="55" t="n">
        <x:v>691</x:v>
      </x:c>
      <x:c r="AC219" s="55" t="n">
        <x:v>7738</x:v>
      </x:c>
      <x:c r="AD219" s="55" t="n">
        <x:v>2927</x:v>
      </x:c>
      <x:c r="AE219" s="55" t="n">
        <x:v>10434</x:v>
      </x:c>
      <x:c r="AF219" s="55" t="n">
        <x:v>10350</x:v>
      </x:c>
      <x:c r="AG219" s="55" t="n">
        <x:v>84</x:v>
      </x:c>
      <x:c r="AH219" s="55" t="n">
        <x:v>423</x:v>
      </x:c>
      <x:c r="AI219" s="55" t="n">
        <x:v>9927</x:v>
      </x:c>
      <x:c r="AJ219" s="55" t="n">
        <x:v>274</x:v>
      </x:c>
      <x:c r="AK219" s="55" t="n">
        <x:v>1163</x:v>
      </x:c>
      <x:c r="AL219" s="55" t="n">
        <x:v>1312</x:v>
      </x:c>
      <x:c r="AM219" s="55" t="n">
        <x:v>5122</x:v>
      </x:c>
      <x:c r="AN219" s="55" t="n">
        <x:v>2447</x:v>
      </x:c>
      <x:c r="AO219" s="55" t="n">
        <x:v>32</x:v>
      </x:c>
      <x:c r="AP219" s="55" t="n">
        <x:v>2867</x:v>
      </x:c>
      <x:c r="AQ219" s="55" t="n">
        <x:v>992</x:v>
      </x:c>
    </x:row>
    <x:row r="220">
      <x:c r="A220" s="54" t="str">
        <x:v>T1_SHARED_CATCHMENT</x:v>
      </x:c>
      <x:c r="B220" s="54" t="n">
        <x:v>214</x:v>
      </x:c>
      <x:c r="C220" s="54" t="str">
        <x:v>NYC-V2-R01</x:v>
      </x:c>
      <x:c r="D220" s="54" t="str">
        <x:v>V2</x:v>
      </x:c>
      <x:c r="E220" s="54" t="str">
        <x:v>ADMITTED</x:v>
      </x:c>
      <x:c r="F220" s="55" t="n">
        <x:v>32455</x:v>
      </x:c>
      <x:c r="G220" s="55" t="n">
        <x:v>8749</x:v>
      </x:c>
      <x:c r="H220" s="55" t="n">
        <x:v>3433</x:v>
      </x:c>
      <x:c r="I220" s="55" t="n">
        <x:v>1638</x:v>
      </x:c>
      <x:c r="J220" s="55" t="n">
        <x:v>311</x:v>
      </x:c>
      <x:c r="K220" s="55" t="n">
        <x:v>32455</x:v>
      </x:c>
      <x:c r="L220" s="55" t="n">
        <x:v>6204</x:v>
      </x:c>
      <x:c r="M220" s="55" t="n">
        <x:v>1217</x:v>
      </x:c>
      <x:c r="N220" s="55" t="n">
        <x:v>2975</x:v>
      </x:c>
      <x:c r="O220" s="55" t="n">
        <x:v>2012</x:v>
      </x:c>
      <x:c r="P220" s="55" t="n">
        <x:v>1285</x:v>
      </x:c>
      <x:c r="Q220" s="55" t="n">
        <x:v>3044</x:v>
      </x:c>
      <x:c r="R220" s="55" t="n">
        <x:v>1452</x:v>
      </x:c>
      <x:c r="S220" s="55" t="n">
        <x:v>2997</x:v>
      </x:c>
      <x:c r="T220" s="55" t="n">
        <x:v>1766</x:v>
      </x:c>
      <x:c r="U220" s="55" t="n">
        <x:v>2724</x:v>
      </x:c>
      <x:c r="V220" s="55" t="n">
        <x:v>10968</x:v>
      </x:c>
      <x:c r="W220" s="55" t="n">
        <x:v>8316</x:v>
      </x:c>
      <x:c r="X220" s="55" t="n">
        <x:v>2652</x:v>
      </x:c>
      <x:c r="Y220" s="55" t="n">
        <x:v>2406</x:v>
      </x:c>
      <x:c r="Z220" s="55" t="n">
        <x:v>4141</x:v>
      </x:c>
      <x:c r="AA220" s="55" t="n">
        <x:v>3433</x:v>
      </x:c>
      <x:c r="AB220" s="55" t="n">
        <x:v>1675</x:v>
      </x:c>
      <x:c r="AC220" s="55" t="n">
        <x:v>8304</x:v>
      </x:c>
      <x:c r="AD220" s="55" t="n">
        <x:v>2758</x:v>
      </x:c>
      <x:c r="AE220" s="55" t="n">
        <x:v>11073</x:v>
      </x:c>
      <x:c r="AF220" s="55" t="n">
        <x:v>10968</x:v>
      </x:c>
      <x:c r="AG220" s="55" t="n">
        <x:v>105</x:v>
      </x:c>
      <x:c r="AH220" s="55" t="n">
        <x:v>727</x:v>
      </x:c>
      <x:c r="AI220" s="55" t="n">
        <x:v>10241</x:v>
      </x:c>
      <x:c r="AJ220" s="55" t="n">
        <x:v>456</x:v>
      </x:c>
      <x:c r="AK220" s="55" t="n">
        <x:v>1384</x:v>
      </x:c>
      <x:c r="AL220" s="55" t="n">
        <x:v>1650</x:v>
      </x:c>
      <x:c r="AM220" s="55" t="n">
        <x:v>4693</x:v>
      </x:c>
      <x:c r="AN220" s="55" t="n">
        <x:v>2718</x:v>
      </x:c>
      <x:c r="AO220" s="55" t="n">
        <x:v>67</x:v>
      </x:c>
      <x:c r="AP220" s="55" t="n">
        <x:v>2795</x:v>
      </x:c>
      <x:c r="AQ220" s="55" t="n">
        <x:v>975</x:v>
      </x:c>
    </x:row>
    <x:row r="221">
      <x:c r="A221" s="54" t="str">
        <x:v>T1_SHARED_CATCHMENT</x:v>
      </x:c>
      <x:c r="B221" s="54" t="n">
        <x:v>215</x:v>
      </x:c>
      <x:c r="C221" s="54" t="str">
        <x:v>NYC-V2-R01</x:v>
      </x:c>
      <x:c r="D221" s="54" t="str">
        <x:v>V2</x:v>
      </x:c>
      <x:c r="E221" s="54" t="str">
        <x:v>ADMITTED</x:v>
      </x:c>
      <x:c r="F221" s="55" t="n">
        <x:v>32085</x:v>
      </x:c>
      <x:c r="G221" s="55" t="n">
        <x:v>6734</x:v>
      </x:c>
      <x:c r="H221" s="55" t="n">
        <x:v>3018</x:v>
      </x:c>
      <x:c r="I221" s="55" t="n">
        <x:v>1407</x:v>
      </x:c>
      <x:c r="J221" s="55" t="n">
        <x:v>281</x:v>
      </x:c>
      <x:c r="K221" s="55" t="n">
        <x:v>32085</x:v>
      </x:c>
      <x:c r="L221" s="55" t="n">
        <x:v>6688</x:v>
      </x:c>
      <x:c r="M221" s="55" t="n">
        <x:v>1596</x:v>
      </x:c>
      <x:c r="N221" s="55" t="n">
        <x:v>3223</x:v>
      </x:c>
      <x:c r="O221" s="55" t="n">
        <x:v>1869</x:v>
      </x:c>
      <x:c r="P221" s="55" t="n">
        <x:v>1294</x:v>
      </x:c>
      <x:c r="Q221" s="55" t="n">
        <x:v>2594</x:v>
      </x:c>
      <x:c r="R221" s="55" t="n">
        <x:v>1902</x:v>
      </x:c>
      <x:c r="S221" s="55" t="n">
        <x:v>2892</x:v>
      </x:c>
      <x:c r="T221" s="55" t="n">
        <x:v>1580</x:v>
      </x:c>
      <x:c r="U221" s="55" t="n">
        <x:v>2204</x:v>
      </x:c>
      <x:c r="V221" s="55" t="n">
        <x:v>11098</x:v>
      </x:c>
      <x:c r="W221" s="55" t="n">
        <x:v>8119</x:v>
      </x:c>
      <x:c r="X221" s="55" t="n">
        <x:v>2979</x:v>
      </x:c>
      <x:c r="Y221" s="55" t="n">
        <x:v>2633</x:v>
      </x:c>
      <x:c r="Z221" s="55" t="n">
        <x:v>3817</x:v>
      </x:c>
      <x:c r="AA221" s="55" t="n">
        <x:v>2971</x:v>
      </x:c>
      <x:c r="AB221" s="55" t="n">
        <x:v>1213</x:v>
      </x:c>
      <x:c r="AC221" s="55" t="n">
        <x:v>8134</x:v>
      </x:c>
      <x:c r="AD221" s="55" t="n">
        <x:v>2683</x:v>
      </x:c>
      <x:c r="AE221" s="55" t="n">
        <x:v>11179</x:v>
      </x:c>
      <x:c r="AF221" s="55" t="n">
        <x:v>11098</x:v>
      </x:c>
      <x:c r="AG221" s="55" t="n">
        <x:v>81</x:v>
      </x:c>
      <x:c r="AH221" s="55" t="n">
        <x:v>470</x:v>
      </x:c>
      <x:c r="AI221" s="55" t="n">
        <x:v>10628</x:v>
      </x:c>
      <x:c r="AJ221" s="55" t="n">
        <x:v>453</x:v>
      </x:c>
      <x:c r="AK221" s="55" t="n">
        <x:v>971</x:v>
      </x:c>
      <x:c r="AL221" s="55" t="n">
        <x:v>1887</x:v>
      </x:c>
      <x:c r="AM221" s="55" t="n">
        <x:v>4758</x:v>
      </x:c>
      <x:c r="AN221" s="55" t="n">
        <x:v>2917</x:v>
      </x:c>
      <x:c r="AO221" s="55" t="n">
        <x:v>112</x:v>
      </x:c>
      <x:c r="AP221" s="55" t="n">
        <x:v>2466</x:v>
      </x:c>
      <x:c r="AQ221" s="55" t="n">
        <x:v>957</x:v>
      </x:c>
    </x:row>
    <x:row r="222">
      <x:c r="A222" s="54" t="str">
        <x:v>T1_SHARED_CATCHMENT</x:v>
      </x:c>
      <x:c r="B222" s="54" t="n">
        <x:v>216</x:v>
      </x:c>
      <x:c r="C222" s="54" t="str">
        <x:v>NYC-V2-R01</x:v>
      </x:c>
      <x:c r="D222" s="54" t="str">
        <x:v>V2</x:v>
      </x:c>
      <x:c r="E222" s="54" t="str">
        <x:v>ADMITTED</x:v>
      </x:c>
      <x:c r="F222" s="55" t="n">
        <x:v>29906</x:v>
      </x:c>
      <x:c r="G222" s="55" t="n">
        <x:v>6959</x:v>
      </x:c>
      <x:c r="H222" s="55" t="n">
        <x:v>2984</x:v>
      </x:c>
      <x:c r="I222" s="55" t="n">
        <x:v>1103</x:v>
      </x:c>
      <x:c r="J222" s="55" t="n">
        <x:v>212</x:v>
      </x:c>
      <x:c r="K222" s="55" t="n">
        <x:v>29906</x:v>
      </x:c>
      <x:c r="L222" s="55" t="n">
        <x:v>5556</x:v>
      </x:c>
      <x:c r="M222" s="55" t="n">
        <x:v>983</x:v>
      </x:c>
      <x:c r="N222" s="55" t="n">
        <x:v>3108</x:v>
      </x:c>
      <x:c r="O222" s="55" t="n">
        <x:v>1465</x:v>
      </x:c>
      <x:c r="P222" s="55" t="n">
        <x:v>593</x:v>
      </x:c>
      <x:c r="Q222" s="55" t="n">
        <x:v>2610</x:v>
      </x:c>
      <x:c r="R222" s="55" t="n">
        <x:v>1873</x:v>
      </x:c>
      <x:c r="S222" s="55" t="n">
        <x:v>2858</x:v>
      </x:c>
      <x:c r="T222" s="55" t="n">
        <x:v>1107</x:v>
      </x:c>
      <x:c r="U222" s="55" t="n">
        <x:v>1969</x:v>
      </x:c>
      <x:c r="V222" s="55" t="n">
        <x:v>9741</x:v>
      </x:c>
      <x:c r="W222" s="55" t="n">
        <x:v>6807</x:v>
      </x:c>
      <x:c r="X222" s="55" t="n">
        <x:v>2934</x:v>
      </x:c>
      <x:c r="Y222" s="55" t="n">
        <x:v>2424</x:v>
      </x:c>
      <x:c r="Z222" s="55" t="n">
        <x:v>3106</x:v>
      </x:c>
      <x:c r="AA222" s="55" t="n">
        <x:v>2880</x:v>
      </x:c>
      <x:c r="AB222" s="55" t="n">
        <x:v>1038</x:v>
      </x:c>
      <x:c r="AC222" s="55" t="n">
        <x:v>8413</x:v>
      </x:c>
      <x:c r="AD222" s="55" t="n">
        <x:v>3124</x:v>
      </x:c>
      <x:c r="AE222" s="55" t="n">
        <x:v>9741</x:v>
      </x:c>
      <x:c r="AF222" s="55" t="n">
        <x:v>9741</x:v>
      </x:c>
      <x:c r="AG222" s="55" t="n">
        <x:v>0</x:v>
      </x:c>
      <x:c r="AH222" s="55" t="n">
        <x:v>141</x:v>
      </x:c>
      <x:c r="AI222" s="55" t="n">
        <x:v>9600</x:v>
      </x:c>
      <x:c r="AJ222" s="55" t="n">
        <x:v>310</x:v>
      </x:c>
      <x:c r="AK222" s="55" t="n">
        <x:v>856</x:v>
      </x:c>
      <x:c r="AL222" s="55" t="n">
        <x:v>1906</x:v>
      </x:c>
      <x:c r="AM222" s="55" t="n">
        <x:v>4545</x:v>
      </x:c>
      <x:c r="AN222" s="55" t="n">
        <x:v>2124</x:v>
      </x:c>
      <x:c r="AO222" s="55" t="n">
        <x:v>0</x:v>
      </x:c>
      <x:c r="AP222" s="55" t="n">
        <x:v>2289</x:v>
      </x:c>
      <x:c r="AQ222" s="55" t="n">
        <x:v>974</x:v>
      </x:c>
    </x:row>
    <x:row r="223">
      <x:c r="A223" s="54" t="str">
        <x:v>T1_SHARED_CATCHMENT</x:v>
      </x:c>
      <x:c r="B223" s="54" t="n">
        <x:v>217</x:v>
      </x:c>
      <x:c r="C223" s="54" t="str">
        <x:v>NYC-V2-R01</x:v>
      </x:c>
      <x:c r="D223" s="54" t="str">
        <x:v>V2</x:v>
      </x:c>
      <x:c r="E223" s="54" t="str">
        <x:v>ADMITTED</x:v>
      </x:c>
      <x:c r="F223" s="55" t="n">
        <x:v>31526</x:v>
      </x:c>
      <x:c r="G223" s="55" t="n">
        <x:v>6569</x:v>
      </x:c>
      <x:c r="H223" s="55" t="n">
        <x:v>3004</x:v>
      </x:c>
      <x:c r="I223" s="55" t="n">
        <x:v>1233</x:v>
      </x:c>
      <x:c r="J223" s="55" t="n">
        <x:v>267</x:v>
      </x:c>
      <x:c r="K223" s="55" t="n">
        <x:v>31526</x:v>
      </x:c>
      <x:c r="L223" s="55" t="n">
        <x:v>5657</x:v>
      </x:c>
      <x:c r="M223" s="55" t="n">
        <x:v>1254</x:v>
      </x:c>
      <x:c r="N223" s="55" t="n">
        <x:v>2480</x:v>
      </x:c>
      <x:c r="O223" s="55" t="n">
        <x:v>1923</x:v>
      </x:c>
      <x:c r="P223" s="55" t="n">
        <x:v>557</x:v>
      </x:c>
      <x:c r="Q223" s="55" t="n">
        <x:v>2202</x:v>
      </x:c>
      <x:c r="R223" s="55" t="n">
        <x:v>1565</x:v>
      </x:c>
      <x:c r="S223" s="55" t="n">
        <x:v>2990</x:v>
      </x:c>
      <x:c r="T223" s="55" t="n">
        <x:v>1458</x:v>
      </x:c>
      <x:c r="U223" s="55" t="n">
        <x:v>1931</x:v>
      </x:c>
      <x:c r="V223" s="55" t="n">
        <x:v>11010</x:v>
      </x:c>
      <x:c r="W223" s="55" t="n">
        <x:v>7985</x:v>
      </x:c>
      <x:c r="X223" s="55" t="n">
        <x:v>3025</x:v>
      </x:c>
      <x:c r="Y223" s="55" t="n">
        <x:v>2565</x:v>
      </x:c>
      <x:c r="Z223" s="55" t="n">
        <x:v>3719</x:v>
      </x:c>
      <x:c r="AA223" s="55" t="n">
        <x:v>2490</x:v>
      </x:c>
      <x:c r="AB223" s="55" t="n">
        <x:v>697</x:v>
      </x:c>
      <x:c r="AC223" s="55" t="n">
        <x:v>8145</x:v>
      </x:c>
      <x:c r="AD223" s="55" t="n">
        <x:v>3081</x:v>
      </x:c>
      <x:c r="AE223" s="55" t="n">
        <x:v>11018</x:v>
      </x:c>
      <x:c r="AF223" s="55" t="n">
        <x:v>11010</x:v>
      </x:c>
      <x:c r="AG223" s="55" t="n">
        <x:v>8</x:v>
      </x:c>
      <x:c r="AH223" s="55" t="n">
        <x:v>565</x:v>
      </x:c>
      <x:c r="AI223" s="55" t="n">
        <x:v>10445</x:v>
      </x:c>
      <x:c r="AJ223" s="55" t="n">
        <x:v>243</x:v>
      </x:c>
      <x:c r="AK223" s="55" t="n">
        <x:v>1035</x:v>
      </x:c>
      <x:c r="AL223" s="55" t="n">
        <x:v>1784</x:v>
      </x:c>
      <x:c r="AM223" s="55" t="n">
        <x:v>5552</x:v>
      </x:c>
      <x:c r="AN223" s="55" t="n">
        <x:v>2344</x:v>
      </x:c>
      <x:c r="AO223" s="55" t="n">
        <x:v>52</x:v>
      </x:c>
      <x:c r="AP223" s="55" t="n">
        <x:v>2404</x:v>
      </x:c>
      <x:c r="AQ223" s="55" t="n">
        <x:v>945</x:v>
      </x:c>
    </x:row>
    <x:row r="224">
      <x:c r="A224" s="54" t="str">
        <x:v>T1_SHARED_CATCHMENT</x:v>
      </x:c>
      <x:c r="B224" s="54" t="n">
        <x:v>218</x:v>
      </x:c>
      <x:c r="C224" s="54" t="str">
        <x:v>NYC-V2-R01</x:v>
      </x:c>
      <x:c r="D224" s="54" t="str">
        <x:v>V2</x:v>
      </x:c>
      <x:c r="E224" s="54" t="str">
        <x:v>ADMITTED</x:v>
      </x:c>
      <x:c r="F224" s="55" t="n">
        <x:v>30308</x:v>
      </x:c>
      <x:c r="G224" s="55" t="n">
        <x:v>7677</x:v>
      </x:c>
      <x:c r="H224" s="55" t="n">
        <x:v>3305</x:v>
      </x:c>
      <x:c r="I224" s="55" t="n">
        <x:v>1009</x:v>
      </x:c>
      <x:c r="J224" s="55" t="n">
        <x:v>116</x:v>
      </x:c>
      <x:c r="K224" s="55" t="n">
        <x:v>25984</x:v>
      </x:c>
      <x:c r="L224" s="55" t="n">
        <x:v>3064</x:v>
      </x:c>
      <x:c r="M224" s="55" t="n">
        <x:v>191</x:v>
      </x:c>
      <x:c r="N224" s="55" t="n">
        <x:v>1825</x:v>
      </x:c>
      <x:c r="O224" s="55" t="n">
        <x:v>1048</x:v>
      </x:c>
      <x:c r="P224" s="55" t="n">
        <x:v>878</x:v>
      </x:c>
      <x:c r="Q224" s="55" t="n">
        <x:v>2268</x:v>
      </x:c>
      <x:c r="R224" s="55" t="n">
        <x:v>1889</x:v>
      </x:c>
      <x:c r="S224" s="55" t="n">
        <x:v>2654</x:v>
      </x:c>
      <x:c r="T224" s="55" t="n">
        <x:v>1458</x:v>
      </x:c>
      <x:c r="U224" s="55" t="n">
        <x:v>2073</x:v>
      </x:c>
      <x:c r="V224" s="55" t="n">
        <x:v>9593</x:v>
      </x:c>
      <x:c r="W224" s="55" t="n">
        <x:v>6777</x:v>
      </x:c>
      <x:c r="X224" s="55" t="n">
        <x:v>2816</x:v>
      </x:c>
      <x:c r="Y224" s="55" t="n">
        <x:v>2497</x:v>
      </x:c>
      <x:c r="Z224" s="55" t="n">
        <x:v>3234</x:v>
      </x:c>
      <x:c r="AA224" s="55" t="n">
        <x:v>3305</x:v>
      </x:c>
      <x:c r="AB224" s="55" t="n">
        <x:v>1109</x:v>
      </x:c>
      <x:c r="AC224" s="55" t="n">
        <x:v>7481</x:v>
      </x:c>
      <x:c r="AD224" s="55" t="n">
        <x:v>2707</x:v>
      </x:c>
      <x:c r="AE224" s="55" t="n">
        <x:v>9593</x:v>
      </x:c>
      <x:c r="AF224" s="55" t="n">
        <x:v>9593</x:v>
      </x:c>
      <x:c r="AG224" s="55" t="n">
        <x:v>0</x:v>
      </x:c>
      <x:c r="AH224" s="55" t="n">
        <x:v>406</x:v>
      </x:c>
      <x:c r="AI224" s="55" t="n">
        <x:v>9187</x:v>
      </x:c>
      <x:c r="AJ224" s="55" t="n">
        <x:v>231</x:v>
      </x:c>
      <x:c r="AK224" s="55" t="n">
        <x:v>859</x:v>
      </x:c>
      <x:c r="AL224" s="55" t="n">
        <x:v>1683</x:v>
      </x:c>
      <x:c r="AM224" s="55" t="n">
        <x:v>4477</x:v>
      </x:c>
      <x:c r="AN224" s="55" t="n">
        <x:v>2343</x:v>
      </x:c>
      <x:c r="AO224" s="55" t="n">
        <x:v>0</x:v>
      </x:c>
      <x:c r="AP224" s="55" t="n">
        <x:v>2683</x:v>
      </x:c>
      <x:c r="AQ224" s="55" t="n">
        <x:v>960</x:v>
      </x:c>
    </x:row>
    <x:row r="225">
      <x:c r="A225" s="54" t="str">
        <x:v>T1_SHARED_CATCHMENT</x:v>
      </x:c>
      <x:c r="B225" s="54" t="n">
        <x:v>219</x:v>
      </x:c>
      <x:c r="C225" s="54" t="str">
        <x:v>NYC-V2-R01</x:v>
      </x:c>
      <x:c r="D225" s="54" t="str">
        <x:v>V2</x:v>
      </x:c>
      <x:c r="E225" s="54" t="str">
        <x:v>ADMITTED</x:v>
      </x:c>
      <x:c r="F225" s="55" t="n">
        <x:v>31206</x:v>
      </x:c>
      <x:c r="G225" s="55" t="n">
        <x:v>8675</x:v>
      </x:c>
      <x:c r="H225" s="55" t="n">
        <x:v>3416</x:v>
      </x:c>
      <x:c r="I225" s="55" t="n">
        <x:v>1079</x:v>
      </x:c>
      <x:c r="J225" s="55" t="n">
        <x:v>0</x:v>
      </x:c>
      <x:c r="K225" s="55" t="n">
        <x:v>31206</x:v>
      </x:c>
      <x:c r="L225" s="55" t="n">
        <x:v>6312</x:v>
      </x:c>
      <x:c r="M225" s="55" t="n">
        <x:v>1978</x:v>
      </x:c>
      <x:c r="N225" s="55" t="n">
        <x:v>2485</x:v>
      </x:c>
      <x:c r="O225" s="55" t="n">
        <x:v>1849</x:v>
      </x:c>
      <x:c r="P225" s="55" t="n">
        <x:v>753</x:v>
      </x:c>
      <x:c r="Q225" s="55" t="n">
        <x:v>2675</x:v>
      </x:c>
      <x:c r="R225" s="55" t="n">
        <x:v>1958</x:v>
      </x:c>
      <x:c r="S225" s="55" t="n">
        <x:v>2288</x:v>
      </x:c>
      <x:c r="T225" s="55" t="n">
        <x:v>1117</x:v>
      </x:c>
      <x:c r="U225" s="55" t="n">
        <x:v>2032</x:v>
      </x:c>
      <x:c r="V225" s="55" t="n">
        <x:v>9797</x:v>
      </x:c>
      <x:c r="W225" s="55" t="n">
        <x:v>6601</x:v>
      </x:c>
      <x:c r="X225" s="55" t="n">
        <x:v>3196</x:v>
      </x:c>
      <x:c r="Y225" s="55" t="n">
        <x:v>2762</x:v>
      </x:c>
      <x:c r="Z225" s="55" t="n">
        <x:v>3551</x:v>
      </x:c>
      <x:c r="AA225" s="55" t="n">
        <x:v>3416</x:v>
      </x:c>
      <x:c r="AB225" s="55" t="n">
        <x:v>1509</x:v>
      </x:c>
      <x:c r="AC225" s="55" t="n">
        <x:v>7751</x:v>
      </x:c>
      <x:c r="AD225" s="55" t="n">
        <x:v>2904</x:v>
      </x:c>
      <x:c r="AE225" s="55" t="n">
        <x:v>9861</x:v>
      </x:c>
      <x:c r="AF225" s="55" t="n">
        <x:v>9797</x:v>
      </x:c>
      <x:c r="AG225" s="55" t="n">
        <x:v>64</x:v>
      </x:c>
      <x:c r="AH225" s="55" t="n">
        <x:v>353</x:v>
      </x:c>
      <x:c r="AI225" s="55" t="n">
        <x:v>9444</x:v>
      </x:c>
      <x:c r="AJ225" s="55" t="n">
        <x:v>337</x:v>
      </x:c>
      <x:c r="AK225" s="55" t="n">
        <x:v>827</x:v>
      </x:c>
      <x:c r="AL225" s="55" t="n">
        <x:v>1387</x:v>
      </x:c>
      <x:c r="AM225" s="55" t="n">
        <x:v>4823</x:v>
      </x:c>
      <x:c r="AN225" s="55" t="n">
        <x:v>2423</x:v>
      </x:c>
      <x:c r="AO225" s="55" t="n">
        <x:v>0</x:v>
      </x:c>
      <x:c r="AP225" s="55" t="n">
        <x:v>1765</x:v>
      </x:c>
      <x:c r="AQ225" s="55" t="n">
        <x:v>933</x:v>
      </x:c>
    </x:row>
    <x:row r="226">
      <x:c r="A226" s="54" t="str">
        <x:v>T1_SHARED_CATCHMENT</x:v>
      </x:c>
      <x:c r="B226" s="54" t="n">
        <x:v>220</x:v>
      </x:c>
      <x:c r="C226" s="54" t="str">
        <x:v>NYC-V2-R01</x:v>
      </x:c>
      <x:c r="D226" s="54" t="str">
        <x:v>V2</x:v>
      </x:c>
      <x:c r="E226" s="54" t="str">
        <x:v>ADMITTED</x:v>
      </x:c>
      <x:c r="F226" s="55" t="n">
        <x:v>33948</x:v>
      </x:c>
      <x:c r="G226" s="55" t="n">
        <x:v>10108</x:v>
      </x:c>
      <x:c r="H226" s="55" t="n">
        <x:v>3842</x:v>
      </x:c>
      <x:c r="I226" s="55" t="n">
        <x:v>1475</x:v>
      </x:c>
      <x:c r="J226" s="55" t="n">
        <x:v>394</x:v>
      </x:c>
      <x:c r="K226" s="55" t="n">
        <x:v>32033</x:v>
      </x:c>
      <x:c r="L226" s="55" t="n">
        <x:v>5865</x:v>
      </x:c>
      <x:c r="M226" s="55" t="n">
        <x:v>1071</x:v>
      </x:c>
      <x:c r="N226" s="55" t="n">
        <x:v>2859</x:v>
      </x:c>
      <x:c r="O226" s="55" t="n">
        <x:v>1935</x:v>
      </x:c>
      <x:c r="P226" s="55" t="n">
        <x:v>973</x:v>
      </x:c>
      <x:c r="Q226" s="55" t="n">
        <x:v>3298</x:v>
      </x:c>
      <x:c r="R226" s="55" t="n">
        <x:v>2487</x:v>
      </x:c>
      <x:c r="S226" s="55" t="n">
        <x:v>3405</x:v>
      </x:c>
      <x:c r="T226" s="55" t="n">
        <x:v>1319</x:v>
      </x:c>
      <x:c r="U226" s="55" t="n">
        <x:v>2423</x:v>
      </x:c>
      <x:c r="V226" s="55" t="n">
        <x:v>11077</x:v>
      </x:c>
      <x:c r="W226" s="55" t="n">
        <x:v>7631</x:v>
      </x:c>
      <x:c r="X226" s="55" t="n">
        <x:v>3446</x:v>
      </x:c>
      <x:c r="Y226" s="55" t="n">
        <x:v>2957</x:v>
      </x:c>
      <x:c r="Z226" s="55" t="n">
        <x:v>4069</x:v>
      </x:c>
      <x:c r="AA226" s="55" t="n">
        <x:v>3177</x:v>
      </x:c>
      <x:c r="AB226" s="55" t="n">
        <x:v>1129</x:v>
      </x:c>
      <x:c r="AC226" s="55" t="n">
        <x:v>8533</x:v>
      </x:c>
      <x:c r="AD226" s="55" t="n">
        <x:v>2961</x:v>
      </x:c>
      <x:c r="AE226" s="55" t="n">
        <x:v>11177</x:v>
      </x:c>
      <x:c r="AF226" s="55" t="n">
        <x:v>11077</x:v>
      </x:c>
      <x:c r="AG226" s="55" t="n">
        <x:v>100</x:v>
      </x:c>
      <x:c r="AH226" s="55" t="n">
        <x:v>673</x:v>
      </x:c>
      <x:c r="AI226" s="55" t="n">
        <x:v>10404</x:v>
      </x:c>
      <x:c r="AJ226" s="55" t="n">
        <x:v>377</x:v>
      </x:c>
      <x:c r="AK226" s="55" t="n">
        <x:v>1107</x:v>
      </x:c>
      <x:c r="AL226" s="55" t="n">
        <x:v>1930</x:v>
      </x:c>
      <x:c r="AM226" s="55" t="n">
        <x:v>4466</x:v>
      </x:c>
      <x:c r="AN226" s="55" t="n">
        <x:v>3194</x:v>
      </x:c>
      <x:c r="AO226" s="55" t="n">
        <x:v>3</x:v>
      </x:c>
      <x:c r="AP226" s="55" t="n">
        <x:v>2216</x:v>
      </x:c>
      <x:c r="AQ226" s="55" t="n">
        <x:v>948</x:v>
      </x:c>
    </x:row>
    <x:row r="227">
      <x:c r="A227" s="54" t="str">
        <x:v>T1_SHARED_CATCHMENT</x:v>
      </x:c>
      <x:c r="B227" s="54" t="n">
        <x:v>221</x:v>
      </x:c>
      <x:c r="C227" s="54" t="str">
        <x:v>NYC-V2-R01</x:v>
      </x:c>
      <x:c r="D227" s="54" t="str">
        <x:v>V2</x:v>
      </x:c>
      <x:c r="E227" s="54" t="str">
        <x:v>ADMITTED</x:v>
      </x:c>
      <x:c r="F227" s="55" t="n">
        <x:v>30643</x:v>
      </x:c>
      <x:c r="G227" s="55" t="n">
        <x:v>8705</x:v>
      </x:c>
      <x:c r="H227" s="55" t="n">
        <x:v>3452</x:v>
      </x:c>
      <x:c r="I227" s="55" t="n">
        <x:v>1293</x:v>
      </x:c>
      <x:c r="J227" s="55" t="n">
        <x:v>319</x:v>
      </x:c>
      <x:c r="K227" s="55" t="n">
        <x:v>30643</x:v>
      </x:c>
      <x:c r="L227" s="55" t="n">
        <x:v>6066</x:v>
      </x:c>
      <x:c r="M227" s="55" t="n">
        <x:v>1452</x:v>
      </x:c>
      <x:c r="N227" s="55" t="n">
        <x:v>2609</x:v>
      </x:c>
      <x:c r="O227" s="55" t="n">
        <x:v>2005</x:v>
      </x:c>
      <x:c r="P227" s="55" t="n">
        <x:v>1310</x:v>
      </x:c>
      <x:c r="Q227" s="55" t="n">
        <x:v>2034</x:v>
      </x:c>
      <x:c r="R227" s="55" t="n">
        <x:v>1657</x:v>
      </x:c>
      <x:c r="S227" s="55" t="n">
        <x:v>2675</x:v>
      </x:c>
      <x:c r="T227" s="55" t="n">
        <x:v>1290</x:v>
      </x:c>
      <x:c r="U227" s="55" t="n">
        <x:v>2448</x:v>
      </x:c>
      <x:c r="V227" s="55" t="n">
        <x:v>10843</x:v>
      </x:c>
      <x:c r="W227" s="55" t="n">
        <x:v>7722</x:v>
      </x:c>
      <x:c r="X227" s="55" t="n">
        <x:v>3121</x:v>
      </x:c>
      <x:c r="Y227" s="55" t="n">
        <x:v>2555</x:v>
      </x:c>
      <x:c r="Z227" s="55" t="n">
        <x:v>4678</x:v>
      </x:c>
      <x:c r="AA227" s="55" t="n">
        <x:v>3452</x:v>
      </x:c>
      <x:c r="AB227" s="55" t="n">
        <x:v>1268</x:v>
      </x:c>
      <x:c r="AC227" s="55" t="n">
        <x:v>8453</x:v>
      </x:c>
      <x:c r="AD227" s="55" t="n">
        <x:v>3608</x:v>
      </x:c>
      <x:c r="AE227" s="55" t="n">
        <x:v>10916</x:v>
      </x:c>
      <x:c r="AF227" s="55" t="n">
        <x:v>10843</x:v>
      </x:c>
      <x:c r="AG227" s="55" t="n">
        <x:v>73</x:v>
      </x:c>
      <x:c r="AH227" s="55" t="n">
        <x:v>670</x:v>
      </x:c>
      <x:c r="AI227" s="55" t="n">
        <x:v>10173</x:v>
      </x:c>
      <x:c r="AJ227" s="55" t="n">
        <x:v>181</x:v>
      </x:c>
      <x:c r="AK227" s="55" t="n">
        <x:v>709</x:v>
      </x:c>
      <x:c r="AL227" s="55" t="n">
        <x:v>1482</x:v>
      </x:c>
      <x:c r="AM227" s="55" t="n">
        <x:v>5201</x:v>
      </x:c>
      <x:c r="AN227" s="55" t="n">
        <x:v>3199</x:v>
      </x:c>
      <x:c r="AO227" s="55" t="n">
        <x:v>71</x:v>
      </x:c>
      <x:c r="AP227" s="55" t="n">
        <x:v>2126</x:v>
      </x:c>
      <x:c r="AQ227" s="55" t="n">
        <x:v>986</x:v>
      </x:c>
    </x:row>
    <x:row r="228">
      <x:c r="A228" s="54" t="str">
        <x:v>T1_SHARED_CATCHMENT</x:v>
      </x:c>
      <x:c r="B228" s="54" t="n">
        <x:v>222</x:v>
      </x:c>
      <x:c r="C228" s="54" t="str">
        <x:v>NYC-V2-R01</x:v>
      </x:c>
      <x:c r="D228" s="54" t="str">
        <x:v>V2</x:v>
      </x:c>
      <x:c r="E228" s="54" t="str">
        <x:v>ADMITTED</x:v>
      </x:c>
      <x:c r="F228" s="55" t="n">
        <x:v>29996</x:v>
      </x:c>
      <x:c r="G228" s="55" t="n">
        <x:v>6894</x:v>
      </x:c>
      <x:c r="H228" s="55" t="n">
        <x:v>4038</x:v>
      </x:c>
      <x:c r="I228" s="55" t="n">
        <x:v>1693</x:v>
      </x:c>
      <x:c r="J228" s="55" t="n">
        <x:v>285</x:v>
      </x:c>
      <x:c r="K228" s="55" t="n">
        <x:v>29064</x:v>
      </x:c>
      <x:c r="L228" s="55" t="n">
        <x:v>6116</x:v>
      </x:c>
      <x:c r="M228" s="55" t="n">
        <x:v>1875</x:v>
      </x:c>
      <x:c r="N228" s="55" t="n">
        <x:v>2675</x:v>
      </x:c>
      <x:c r="O228" s="55" t="n">
        <x:v>1566</x:v>
      </x:c>
      <x:c r="P228" s="55" t="n">
        <x:v>1097</x:v>
      </x:c>
      <x:c r="Q228" s="55" t="n">
        <x:v>3372</x:v>
      </x:c>
      <x:c r="R228" s="55" t="n">
        <x:v>2042</x:v>
      </x:c>
      <x:c r="S228" s="55" t="n">
        <x:v>2585</x:v>
      </x:c>
      <x:c r="T228" s="55" t="n">
        <x:v>1506</x:v>
      </x:c>
      <x:c r="U228" s="55" t="n">
        <x:v>2237</x:v>
      </x:c>
      <x:c r="V228" s="55" t="n">
        <x:v>10673</x:v>
      </x:c>
      <x:c r="W228" s="55" t="n">
        <x:v>7413</x:v>
      </x:c>
      <x:c r="X228" s="55" t="n">
        <x:v>3260</x:v>
      </x:c>
      <x:c r="Y228" s="55" t="n">
        <x:v>2958</x:v>
      </x:c>
      <x:c r="Z228" s="55" t="n">
        <x:v>3917</x:v>
      </x:c>
      <x:c r="AA228" s="55" t="n">
        <x:v>3484</x:v>
      </x:c>
      <x:c r="AB228" s="55" t="n">
        <x:v>1229</x:v>
      </x:c>
      <x:c r="AC228" s="55" t="n">
        <x:v>8160</x:v>
      </x:c>
      <x:c r="AD228" s="55" t="n">
        <x:v>3552</x:v>
      </x:c>
      <x:c r="AE228" s="55" t="n">
        <x:v>10780</x:v>
      </x:c>
      <x:c r="AF228" s="55" t="n">
        <x:v>10673</x:v>
      </x:c>
      <x:c r="AG228" s="55" t="n">
        <x:v>107</x:v>
      </x:c>
      <x:c r="AH228" s="55" t="n">
        <x:v>513</x:v>
      </x:c>
      <x:c r="AI228" s="55" t="n">
        <x:v>10160</x:v>
      </x:c>
      <x:c r="AJ228" s="55" t="n">
        <x:v>360</x:v>
      </x:c>
      <x:c r="AK228" s="55" t="n">
        <x:v>1215</x:v>
      </x:c>
      <x:c r="AL228" s="55" t="n">
        <x:v>1498</x:v>
      </x:c>
      <x:c r="AM228" s="55" t="n">
        <x:v>4969</x:v>
      </x:c>
      <x:c r="AN228" s="55" t="n">
        <x:v>2631</x:v>
      </x:c>
      <x:c r="AO228" s="55" t="n">
        <x:v>0</x:v>
      </x:c>
      <x:c r="AP228" s="55" t="n">
        <x:v>2331</x:v>
      </x:c>
      <x:c r="AQ228" s="55" t="n">
        <x:v>936</x:v>
      </x:c>
    </x:row>
    <x:row r="229">
      <x:c r="A229" s="54" t="str">
        <x:v>T1_SHARED_CATCHMENT</x:v>
      </x:c>
      <x:c r="B229" s="54" t="n">
        <x:v>223</x:v>
      </x:c>
      <x:c r="C229" s="54" t="str">
        <x:v>NYC-V2-R01</x:v>
      </x:c>
      <x:c r="D229" s="54" t="str">
        <x:v>V2</x:v>
      </x:c>
      <x:c r="E229" s="54" t="str">
        <x:v>ADMITTED</x:v>
      </x:c>
      <x:c r="F229" s="55" t="n">
        <x:v>30600</x:v>
      </x:c>
      <x:c r="G229" s="55" t="n">
        <x:v>6847</x:v>
      </x:c>
      <x:c r="H229" s="55" t="n">
        <x:v>2909</x:v>
      </x:c>
      <x:c r="I229" s="55" t="n">
        <x:v>1024</x:v>
      </x:c>
      <x:c r="J229" s="55" t="n">
        <x:v>216</x:v>
      </x:c>
      <x:c r="K229" s="55" t="n">
        <x:v>30600</x:v>
      </x:c>
      <x:c r="L229" s="55" t="n">
        <x:v>6082</x:v>
      </x:c>
      <x:c r="M229" s="55" t="n">
        <x:v>1560</x:v>
      </x:c>
      <x:c r="N229" s="55" t="n">
        <x:v>3054</x:v>
      </x:c>
      <x:c r="O229" s="55" t="n">
        <x:v>1468</x:v>
      </x:c>
      <x:c r="P229" s="55" t="n">
        <x:v>605</x:v>
      </x:c>
      <x:c r="Q229" s="55" t="n">
        <x:v>2094</x:v>
      </x:c>
      <x:c r="R229" s="55" t="n">
        <x:v>2030</x:v>
      </x:c>
      <x:c r="S229" s="55" t="n">
        <x:v>2465</x:v>
      </x:c>
      <x:c r="T229" s="55" t="n">
        <x:v>1381</x:v>
      </x:c>
      <x:c r="U229" s="55" t="n">
        <x:v>2046</x:v>
      </x:c>
      <x:c r="V229" s="55" t="n">
        <x:v>9766</x:v>
      </x:c>
      <x:c r="W229" s="55" t="n">
        <x:v>7032</x:v>
      </x:c>
      <x:c r="X229" s="55" t="n">
        <x:v>2734</x:v>
      </x:c>
      <x:c r="Y229" s="55" t="n">
        <x:v>2268</x:v>
      </x:c>
      <x:c r="Z229" s="55" t="n">
        <x:v>3473</x:v>
      </x:c>
      <x:c r="AA229" s="55" t="n">
        <x:v>2856</x:v>
      </x:c>
      <x:c r="AB229" s="55" t="n">
        <x:v>799</x:v>
      </x:c>
      <x:c r="AC229" s="55" t="n">
        <x:v>7625</x:v>
      </x:c>
      <x:c r="AD229" s="55" t="n">
        <x:v>2315</x:v>
      </x:c>
      <x:c r="AE229" s="55" t="n">
        <x:v>9948</x:v>
      </x:c>
      <x:c r="AF229" s="55" t="n">
        <x:v>9766</x:v>
      </x:c>
      <x:c r="AG229" s="55" t="n">
        <x:v>182</x:v>
      </x:c>
      <x:c r="AH229" s="55" t="n">
        <x:v>454</x:v>
      </x:c>
      <x:c r="AI229" s="55" t="n">
        <x:v>9312</x:v>
      </x:c>
      <x:c r="AJ229" s="55" t="n">
        <x:v>335</x:v>
      </x:c>
      <x:c r="AK229" s="55" t="n">
        <x:v>909</x:v>
      </x:c>
      <x:c r="AL229" s="55" t="n">
        <x:v>1074</x:v>
      </x:c>
      <x:c r="AM229" s="55" t="n">
        <x:v>4461</x:v>
      </x:c>
      <x:c r="AN229" s="55" t="n">
        <x:v>2911</x:v>
      </x:c>
      <x:c r="AO229" s="55" t="n">
        <x:v>76</x:v>
      </x:c>
      <x:c r="AP229" s="55" t="n">
        <x:v>2507</x:v>
      </x:c>
      <x:c r="AQ229" s="55" t="n">
        <x:v>945</x:v>
      </x:c>
    </x:row>
    <x:row r="230">
      <x:c r="A230" s="54" t="str">
        <x:v>T1_SHARED_CATCHMENT</x:v>
      </x:c>
      <x:c r="B230" s="54" t="n">
        <x:v>224</x:v>
      </x:c>
      <x:c r="C230" s="54" t="str">
        <x:v>NYC-V2-R01</x:v>
      </x:c>
      <x:c r="D230" s="54" t="str">
        <x:v>V2</x:v>
      </x:c>
      <x:c r="E230" s="54" t="str">
        <x:v>ADMITTED</x:v>
      </x:c>
      <x:c r="F230" s="55" t="n">
        <x:v>31833</x:v>
      </x:c>
      <x:c r="G230" s="55" t="n">
        <x:v>6831</x:v>
      </x:c>
      <x:c r="H230" s="55" t="n">
        <x:v>2826</x:v>
      </x:c>
      <x:c r="I230" s="55" t="n">
        <x:v>1157</x:v>
      </x:c>
      <x:c r="J230" s="55" t="n">
        <x:v>194</x:v>
      </x:c>
      <x:c r="K230" s="55" t="n">
        <x:v>31833</x:v>
      </x:c>
      <x:c r="L230" s="55" t="n">
        <x:v>5766</x:v>
      </x:c>
      <x:c r="M230" s="55" t="n">
        <x:v>1013</x:v>
      </x:c>
      <x:c r="N230" s="55" t="n">
        <x:v>2690</x:v>
      </x:c>
      <x:c r="O230" s="55" t="n">
        <x:v>2063</x:v>
      </x:c>
      <x:c r="P230" s="55" t="n">
        <x:v>896</x:v>
      </x:c>
      <x:c r="Q230" s="55" t="n">
        <x:v>2791</x:v>
      </x:c>
      <x:c r="R230" s="55" t="n">
        <x:v>2343</x:v>
      </x:c>
      <x:c r="S230" s="55" t="n">
        <x:v>3352</x:v>
      </x:c>
      <x:c r="T230" s="55" t="n">
        <x:v>1221</x:v>
      </x:c>
      <x:c r="U230" s="55" t="n">
        <x:v>2291</x:v>
      </x:c>
      <x:c r="V230" s="55" t="n">
        <x:v>10853</x:v>
      </x:c>
      <x:c r="W230" s="55" t="n">
        <x:v>7697</x:v>
      </x:c>
      <x:c r="X230" s="55" t="n">
        <x:v>3156</x:v>
      </x:c>
      <x:c r="Y230" s="55" t="n">
        <x:v>2579</x:v>
      </x:c>
      <x:c r="Z230" s="55" t="n">
        <x:v>3288</x:v>
      </x:c>
      <x:c r="AA230" s="55" t="n">
        <x:v>2686</x:v>
      </x:c>
      <x:c r="AB230" s="55" t="n">
        <x:v>1152</x:v>
      </x:c>
      <x:c r="AC230" s="55" t="n">
        <x:v>8152</x:v>
      </x:c>
      <x:c r="AD230" s="55" t="n">
        <x:v>3050</x:v>
      </x:c>
      <x:c r="AE230" s="55" t="n">
        <x:v>10921</x:v>
      </x:c>
      <x:c r="AF230" s="55" t="n">
        <x:v>10853</x:v>
      </x:c>
      <x:c r="AG230" s="55" t="n">
        <x:v>68</x:v>
      </x:c>
      <x:c r="AH230" s="55" t="n">
        <x:v>416</x:v>
      </x:c>
      <x:c r="AI230" s="55" t="n">
        <x:v>10437</x:v>
      </x:c>
      <x:c r="AJ230" s="55" t="n">
        <x:v>567</x:v>
      </x:c>
      <x:c r="AK230" s="55" t="n">
        <x:v>1039</x:v>
      </x:c>
      <x:c r="AL230" s="55" t="n">
        <x:v>1272</x:v>
      </x:c>
      <x:c r="AM230" s="55" t="n">
        <x:v>5115</x:v>
      </x:c>
      <x:c r="AN230" s="55" t="n">
        <x:v>2812</x:v>
      </x:c>
      <x:c r="AO230" s="55" t="n">
        <x:v>48</x:v>
      </x:c>
      <x:c r="AP230" s="55" t="n">
        <x:v>2017</x:v>
      </x:c>
      <x:c r="AQ230" s="55" t="n">
        <x:v>907</x:v>
      </x:c>
    </x:row>
    <x:row r="231">
      <x:c r="A231" s="54" t="str">
        <x:v>T1_SHARED_CATCHMENT</x:v>
      </x:c>
      <x:c r="B231" s="54" t="n">
        <x:v>225</x:v>
      </x:c>
      <x:c r="C231" s="54" t="str">
        <x:v>NYC-V2-R01</x:v>
      </x:c>
      <x:c r="D231" s="54" t="str">
        <x:v>V2</x:v>
      </x:c>
      <x:c r="E231" s="54" t="str">
        <x:v>ADMITTED</x:v>
      </x:c>
      <x:c r="F231" s="55" t="n">
        <x:v>28724</x:v>
      </x:c>
      <x:c r="G231" s="55" t="n">
        <x:v>6305</x:v>
      </x:c>
      <x:c r="H231" s="55" t="n">
        <x:v>3258</x:v>
      </x:c>
      <x:c r="I231" s="55" t="n">
        <x:v>1163</x:v>
      </x:c>
      <x:c r="J231" s="55" t="n">
        <x:v>161</x:v>
      </x:c>
      <x:c r="K231" s="55" t="n">
        <x:v>28724</x:v>
      </x:c>
      <x:c r="L231" s="55" t="n">
        <x:v>5299</x:v>
      </x:c>
      <x:c r="M231" s="55" t="n">
        <x:v>1029</x:v>
      </x:c>
      <x:c r="N231" s="55" t="n">
        <x:v>2571</x:v>
      </x:c>
      <x:c r="O231" s="55" t="n">
        <x:v>1699</x:v>
      </x:c>
      <x:c r="P231" s="55" t="n">
        <x:v>450</x:v>
      </x:c>
      <x:c r="Q231" s="55" t="n">
        <x:v>2201</x:v>
      </x:c>
      <x:c r="R231" s="55" t="n">
        <x:v>1406</x:v>
      </x:c>
      <x:c r="S231" s="55" t="n">
        <x:v>2584</x:v>
      </x:c>
      <x:c r="T231" s="55" t="n">
        <x:v>898</x:v>
      </x:c>
      <x:c r="U231" s="55" t="n">
        <x:v>1806</x:v>
      </x:c>
      <x:c r="V231" s="55" t="n">
        <x:v>10200</x:v>
      </x:c>
      <x:c r="W231" s="55" t="n">
        <x:v>7277</x:v>
      </x:c>
      <x:c r="X231" s="55" t="n">
        <x:v>2923</x:v>
      </x:c>
      <x:c r="Y231" s="55" t="n">
        <x:v>2564</x:v>
      </x:c>
      <x:c r="Z231" s="55" t="n">
        <x:v>3687</x:v>
      </x:c>
      <x:c r="AA231" s="55" t="n">
        <x:v>3021</x:v>
      </x:c>
      <x:c r="AB231" s="55" t="n">
        <x:v>1439</x:v>
      </x:c>
      <x:c r="AC231" s="55" t="n">
        <x:v>7509</x:v>
      </x:c>
      <x:c r="AD231" s="55" t="n">
        <x:v>2744</x:v>
      </x:c>
      <x:c r="AE231" s="55" t="n">
        <x:v>10249</x:v>
      </x:c>
      <x:c r="AF231" s="55" t="n">
        <x:v>10200</x:v>
      </x:c>
      <x:c r="AG231" s="55" t="n">
        <x:v>49</x:v>
      </x:c>
      <x:c r="AH231" s="55" t="n">
        <x:v>298</x:v>
      </x:c>
      <x:c r="AI231" s="55" t="n">
        <x:v>9902</x:v>
      </x:c>
      <x:c r="AJ231" s="55" t="n">
        <x:v>435</x:v>
      </x:c>
      <x:c r="AK231" s="55" t="n">
        <x:v>742</x:v>
      </x:c>
      <x:c r="AL231" s="55" t="n">
        <x:v>1577</x:v>
      </x:c>
      <x:c r="AM231" s="55" t="n">
        <x:v>4902</x:v>
      </x:c>
      <x:c r="AN231" s="55" t="n">
        <x:v>2544</x:v>
      </x:c>
      <x:c r="AO231" s="55" t="n">
        <x:v>0</x:v>
      </x:c>
      <x:c r="AP231" s="55" t="n">
        <x:v>2122</x:v>
      </x:c>
      <x:c r="AQ231" s="55" t="n">
        <x:v>954</x:v>
      </x:c>
    </x:row>
    <x:row r="232">
      <x:c r="A232" s="54" t="str">
        <x:v>T1_SHARED_CATCHMENT</x:v>
      </x:c>
      <x:c r="B232" s="54" t="n">
        <x:v>226</x:v>
      </x:c>
      <x:c r="C232" s="54" t="str">
        <x:v>NYC-V2-R01</x:v>
      </x:c>
      <x:c r="D232" s="54" t="str">
        <x:v>V2</x:v>
      </x:c>
      <x:c r="E232" s="54" t="str">
        <x:v>ADMITTED</x:v>
      </x:c>
      <x:c r="F232" s="55" t="n">
        <x:v>34068</x:v>
      </x:c>
      <x:c r="G232" s="55" t="n">
        <x:v>7905</x:v>
      </x:c>
      <x:c r="H232" s="55" t="n">
        <x:v>3541</x:v>
      </x:c>
      <x:c r="I232" s="55" t="n">
        <x:v>1309</x:v>
      </x:c>
      <x:c r="J232" s="55" t="n">
        <x:v>171</x:v>
      </x:c>
      <x:c r="K232" s="55" t="n">
        <x:v>30767</x:v>
      </x:c>
      <x:c r="L232" s="55" t="n">
        <x:v>6067</x:v>
      </x:c>
      <x:c r="M232" s="55" t="n">
        <x:v>1096</x:v>
      </x:c>
      <x:c r="N232" s="55" t="n">
        <x:v>3077</x:v>
      </x:c>
      <x:c r="O232" s="55" t="n">
        <x:v>1894</x:v>
      </x:c>
      <x:c r="P232" s="55" t="n">
        <x:v>635</x:v>
      </x:c>
      <x:c r="Q232" s="55" t="n">
        <x:v>1883</x:v>
      </x:c>
      <x:c r="R232" s="55" t="n">
        <x:v>1843</x:v>
      </x:c>
      <x:c r="S232" s="55" t="n">
        <x:v>3186</x:v>
      </x:c>
      <x:c r="T232" s="55" t="n">
        <x:v>1080</x:v>
      </x:c>
      <x:c r="U232" s="55" t="n">
        <x:v>1900</x:v>
      </x:c>
      <x:c r="V232" s="55" t="n">
        <x:v>10793</x:v>
      </x:c>
      <x:c r="W232" s="55" t="n">
        <x:v>8001</x:v>
      </x:c>
      <x:c r="X232" s="55" t="n">
        <x:v>2792</x:v>
      </x:c>
      <x:c r="Y232" s="55" t="n">
        <x:v>2466</x:v>
      </x:c>
      <x:c r="Z232" s="55" t="n">
        <x:v>4265</x:v>
      </x:c>
      <x:c r="AA232" s="55" t="n">
        <x:v>3246</x:v>
      </x:c>
      <x:c r="AB232" s="55" t="n">
        <x:v>1085</x:v>
      </x:c>
      <x:c r="AC232" s="55" t="n">
        <x:v>7417</x:v>
      </x:c>
      <x:c r="AD232" s="55" t="n">
        <x:v>2853</x:v>
      </x:c>
      <x:c r="AE232" s="55" t="n">
        <x:v>10877</x:v>
      </x:c>
      <x:c r="AF232" s="55" t="n">
        <x:v>10793</x:v>
      </x:c>
      <x:c r="AG232" s="55" t="n">
        <x:v>84</x:v>
      </x:c>
      <x:c r="AH232" s="55" t="n">
        <x:v>551</x:v>
      </x:c>
      <x:c r="AI232" s="55" t="n">
        <x:v>10242</x:v>
      </x:c>
      <x:c r="AJ232" s="55" t="n">
        <x:v>492</x:v>
      </x:c>
      <x:c r="AK232" s="55" t="n">
        <x:v>961</x:v>
      </x:c>
      <x:c r="AL232" s="55" t="n">
        <x:v>2026</x:v>
      </x:c>
      <x:c r="AM232" s="55" t="n">
        <x:v>4397</x:v>
      </x:c>
      <x:c r="AN232" s="55" t="n">
        <x:v>2850</x:v>
      </x:c>
      <x:c r="AO232" s="55" t="n">
        <x:v>67</x:v>
      </x:c>
      <x:c r="AP232" s="55" t="n">
        <x:v>2268</x:v>
      </x:c>
      <x:c r="AQ232" s="55" t="n">
        <x:v>1003</x:v>
      </x:c>
    </x:row>
    <x:row r="233">
      <x:c r="A233" s="54" t="str">
        <x:v>T1_SHARED_CATCHMENT</x:v>
      </x:c>
      <x:c r="B233" s="54" t="n">
        <x:v>227</x:v>
      </x:c>
      <x:c r="C233" s="54" t="str">
        <x:v>NYC-V2-R01</x:v>
      </x:c>
      <x:c r="D233" s="54" t="str">
        <x:v>V2</x:v>
      </x:c>
      <x:c r="E233" s="54" t="str">
        <x:v>ADMITTED</x:v>
      </x:c>
      <x:c r="F233" s="55" t="n">
        <x:v>30916</x:v>
      </x:c>
      <x:c r="G233" s="55" t="n">
        <x:v>8340</x:v>
      </x:c>
      <x:c r="H233" s="55" t="n">
        <x:v>3375</x:v>
      </x:c>
      <x:c r="I233" s="55" t="n">
        <x:v>1021</x:v>
      </x:c>
      <x:c r="J233" s="55" t="n">
        <x:v>24</x:v>
      </x:c>
      <x:c r="K233" s="55" t="n">
        <x:v>29167</x:v>
      </x:c>
      <x:c r="L233" s="55" t="n">
        <x:v>5605</x:v>
      </x:c>
      <x:c r="M233" s="55" t="n">
        <x:v>1394</x:v>
      </x:c>
      <x:c r="N233" s="55" t="n">
        <x:v>2626</x:v>
      </x:c>
      <x:c r="O233" s="55" t="n">
        <x:v>1585</x:v>
      </x:c>
      <x:c r="P233" s="55" t="n">
        <x:v>1005</x:v>
      </x:c>
      <x:c r="Q233" s="55" t="n">
        <x:v>1607</x:v>
      </x:c>
      <x:c r="R233" s="55" t="n">
        <x:v>1634</x:v>
      </x:c>
      <x:c r="S233" s="55" t="n">
        <x:v>2298</x:v>
      </x:c>
      <x:c r="T233" s="55" t="n">
        <x:v>1253</x:v>
      </x:c>
      <x:c r="U233" s="55" t="n">
        <x:v>1619</x:v>
      </x:c>
      <x:c r="V233" s="55" t="n">
        <x:v>10336</x:v>
      </x:c>
      <x:c r="W233" s="55" t="n">
        <x:v>7325</x:v>
      </x:c>
      <x:c r="X233" s="55" t="n">
        <x:v>3011</x:v>
      </x:c>
      <x:c r="Y233" s="55" t="n">
        <x:v>2574</x:v>
      </x:c>
      <x:c r="Z233" s="55" t="n">
        <x:v>3765</x:v>
      </x:c>
      <x:c r="AA233" s="55" t="n">
        <x:v>3375</x:v>
      </x:c>
      <x:c r="AB233" s="55" t="n">
        <x:v>937</x:v>
      </x:c>
      <x:c r="AC233" s="55" t="n">
        <x:v>8734</x:v>
      </x:c>
      <x:c r="AD233" s="55" t="n">
        <x:v>2643</x:v>
      </x:c>
      <x:c r="AE233" s="55" t="n">
        <x:v>10336</x:v>
      </x:c>
      <x:c r="AF233" s="55" t="n">
        <x:v>10336</x:v>
      </x:c>
      <x:c r="AG233" s="55" t="n">
        <x:v>0</x:v>
      </x:c>
      <x:c r="AH233" s="55" t="n">
        <x:v>593</x:v>
      </x:c>
      <x:c r="AI233" s="55" t="n">
        <x:v>9743</x:v>
      </x:c>
      <x:c r="AJ233" s="55" t="n">
        <x:v>442</x:v>
      </x:c>
      <x:c r="AK233" s="55" t="n">
        <x:v>1057</x:v>
      </x:c>
      <x:c r="AL233" s="55" t="n">
        <x:v>2124</x:v>
      </x:c>
      <x:c r="AM233" s="55" t="n">
        <x:v>4625</x:v>
      </x:c>
      <x:c r="AN233" s="55" t="n">
        <x:v>2088</x:v>
      </x:c>
      <x:c r="AO233" s="55" t="n">
        <x:v>0</x:v>
      </x:c>
      <x:c r="AP233" s="55" t="n">
        <x:v>2364</x:v>
      </x:c>
      <x:c r="AQ233" s="55" t="n">
        <x:v>965</x:v>
      </x:c>
    </x:row>
    <x:row r="234">
      <x:c r="A234" s="54" t="str">
        <x:v>T1_SHARED_CATCHMENT</x:v>
      </x:c>
      <x:c r="B234" s="54" t="n">
        <x:v>228</x:v>
      </x:c>
      <x:c r="C234" s="54" t="str">
        <x:v>NYC-V2-R01</x:v>
      </x:c>
      <x:c r="D234" s="54" t="str">
        <x:v>V2</x:v>
      </x:c>
      <x:c r="E234" s="54" t="str">
        <x:v>ADMITTED</x:v>
      </x:c>
      <x:c r="F234" s="55" t="n">
        <x:v>31588</x:v>
      </x:c>
      <x:c r="G234" s="55" t="n">
        <x:v>8739</x:v>
      </x:c>
      <x:c r="H234" s="55" t="n">
        <x:v>3033</x:v>
      </x:c>
      <x:c r="I234" s="55" t="n">
        <x:v>1074</x:v>
      </x:c>
      <x:c r="J234" s="55" t="n">
        <x:v>54</x:v>
      </x:c>
      <x:c r="K234" s="55" t="n">
        <x:v>31025</x:v>
      </x:c>
      <x:c r="L234" s="55" t="n">
        <x:v>5150</x:v>
      </x:c>
      <x:c r="M234" s="55" t="n">
        <x:v>945</x:v>
      </x:c>
      <x:c r="N234" s="55" t="n">
        <x:v>2886</x:v>
      </x:c>
      <x:c r="O234" s="55" t="n">
        <x:v>1319</x:v>
      </x:c>
      <x:c r="P234" s="55" t="n">
        <x:v>939</x:v>
      </x:c>
      <x:c r="Q234" s="55" t="n">
        <x:v>1910</x:v>
      </x:c>
      <x:c r="R234" s="55" t="n">
        <x:v>2305</x:v>
      </x:c>
      <x:c r="S234" s="55" t="n">
        <x:v>2277</x:v>
      </x:c>
      <x:c r="T234" s="55" t="n">
        <x:v>913</x:v>
      </x:c>
      <x:c r="U234" s="55" t="n">
        <x:v>2509</x:v>
      </x:c>
      <x:c r="V234" s="55" t="n">
        <x:v>9489</x:v>
      </x:c>
      <x:c r="W234" s="55" t="n">
        <x:v>6544</x:v>
      </x:c>
      <x:c r="X234" s="55" t="n">
        <x:v>2945</x:v>
      </x:c>
      <x:c r="Y234" s="55" t="n">
        <x:v>2487</x:v>
      </x:c>
      <x:c r="Z234" s="55" t="n">
        <x:v>3130</x:v>
      </x:c>
      <x:c r="AA234" s="55" t="n">
        <x:v>2709</x:v>
      </x:c>
      <x:c r="AB234" s="55" t="n">
        <x:v>1001</x:v>
      </x:c>
      <x:c r="AC234" s="55" t="n">
        <x:v>8168</x:v>
      </x:c>
      <x:c r="AD234" s="55" t="n">
        <x:v>2186</x:v>
      </x:c>
      <x:c r="AE234" s="55" t="n">
        <x:v>9632</x:v>
      </x:c>
      <x:c r="AF234" s="55" t="n">
        <x:v>9489</x:v>
      </x:c>
      <x:c r="AG234" s="55" t="n">
        <x:v>143</x:v>
      </x:c>
      <x:c r="AH234" s="55" t="n">
        <x:v>476</x:v>
      </x:c>
      <x:c r="AI234" s="55" t="n">
        <x:v>9013</x:v>
      </x:c>
      <x:c r="AJ234" s="55" t="n">
        <x:v>96</x:v>
      </x:c>
      <x:c r="AK234" s="55" t="n">
        <x:v>817</x:v>
      </x:c>
      <x:c r="AL234" s="55" t="n">
        <x:v>1351</x:v>
      </x:c>
      <x:c r="AM234" s="55" t="n">
        <x:v>4593</x:v>
      </x:c>
      <x:c r="AN234" s="55" t="n">
        <x:v>2607</x:v>
      </x:c>
      <x:c r="AO234" s="55" t="n">
        <x:v>25</x:v>
      </x:c>
      <x:c r="AP234" s="55" t="n">
        <x:v>2231</x:v>
      </x:c>
      <x:c r="AQ234" s="55" t="n">
        <x:v>994</x:v>
      </x:c>
    </x:row>
    <x:row r="235">
      <x:c r="A235" s="54" t="str">
        <x:v>T1_SHARED_CATCHMENT</x:v>
      </x:c>
      <x:c r="B235" s="54" t="n">
        <x:v>229</x:v>
      </x:c>
      <x:c r="C235" s="54" t="str">
        <x:v>NYC-V2-R01</x:v>
      </x:c>
      <x:c r="D235" s="54" t="str">
        <x:v>V2</x:v>
      </x:c>
      <x:c r="E235" s="54" t="str">
        <x:v>ADMITTED</x:v>
      </x:c>
      <x:c r="F235" s="55" t="n">
        <x:v>33155</x:v>
      </x:c>
      <x:c r="G235" s="55" t="n">
        <x:v>9642</x:v>
      </x:c>
      <x:c r="H235" s="55" t="n">
        <x:v>3334</x:v>
      </x:c>
      <x:c r="I235" s="55" t="n">
        <x:v>1110</x:v>
      </x:c>
      <x:c r="J235" s="55" t="n">
        <x:v>214</x:v>
      </x:c>
      <x:c r="K235" s="55" t="n">
        <x:v>31337</x:v>
      </x:c>
      <x:c r="L235" s="55" t="n">
        <x:v>6505</x:v>
      </x:c>
      <x:c r="M235" s="55" t="n">
        <x:v>2238</x:v>
      </x:c>
      <x:c r="N235" s="55" t="n">
        <x:v>2570</x:v>
      </x:c>
      <x:c r="O235" s="55" t="n">
        <x:v>1697</x:v>
      </x:c>
      <x:c r="P235" s="55" t="n">
        <x:v>363</x:v>
      </x:c>
      <x:c r="Q235" s="55" t="n">
        <x:v>2535</x:v>
      </x:c>
      <x:c r="R235" s="55" t="n">
        <x:v>1874</x:v>
      </x:c>
      <x:c r="S235" s="55" t="n">
        <x:v>2827</x:v>
      </x:c>
      <x:c r="T235" s="55" t="n">
        <x:v>1136</x:v>
      </x:c>
      <x:c r="U235" s="55" t="n">
        <x:v>2220</x:v>
      </x:c>
      <x:c r="V235" s="55" t="n">
        <x:v>10547</x:v>
      </x:c>
      <x:c r="W235" s="55" t="n">
        <x:v>7794</x:v>
      </x:c>
      <x:c r="X235" s="55" t="n">
        <x:v>2753</x:v>
      </x:c>
      <x:c r="Y235" s="55" t="n">
        <x:v>2421</x:v>
      </x:c>
      <x:c r="Z235" s="55" t="n">
        <x:v>4011</x:v>
      </x:c>
      <x:c r="AA235" s="55" t="n">
        <x:v>3051</x:v>
      </x:c>
      <x:c r="AB235" s="55" t="n">
        <x:v>1167</x:v>
      </x:c>
      <x:c r="AC235" s="55" t="n">
        <x:v>8141</x:v>
      </x:c>
      <x:c r="AD235" s="55" t="n">
        <x:v>2986</x:v>
      </x:c>
      <x:c r="AE235" s="55" t="n">
        <x:v>10601</x:v>
      </x:c>
      <x:c r="AF235" s="55" t="n">
        <x:v>10547</x:v>
      </x:c>
      <x:c r="AG235" s="55" t="n">
        <x:v>54</x:v>
      </x:c>
      <x:c r="AH235" s="55" t="n">
        <x:v>110</x:v>
      </x:c>
      <x:c r="AI235" s="55" t="n">
        <x:v>10437</x:v>
      </x:c>
      <x:c r="AJ235" s="55" t="n">
        <x:v>344</x:v>
      </x:c>
      <x:c r="AK235" s="55" t="n">
        <x:v>865</x:v>
      </x:c>
      <x:c r="AL235" s="55" t="n">
        <x:v>1641</x:v>
      </x:c>
      <x:c r="AM235" s="55" t="n">
        <x:v>5305</x:v>
      </x:c>
      <x:c r="AN235" s="55" t="n">
        <x:v>2372</x:v>
      </x:c>
      <x:c r="AO235" s="55" t="n">
        <x:v>20</x:v>
      </x:c>
      <x:c r="AP235" s="55" t="n">
        <x:v>2438</x:v>
      </x:c>
      <x:c r="AQ235" s="55" t="n">
        <x:v>945</x:v>
      </x:c>
    </x:row>
    <x:row r="236">
      <x:c r="A236" s="54" t="str">
        <x:v>T1_SHARED_CATCHMENT</x:v>
      </x:c>
      <x:c r="B236" s="54" t="n">
        <x:v>230</x:v>
      </x:c>
      <x:c r="C236" s="54" t="str">
        <x:v>NYC-V2-R01</x:v>
      </x:c>
      <x:c r="D236" s="54" t="str">
        <x:v>V2</x:v>
      </x:c>
      <x:c r="E236" s="54" t="str">
        <x:v>ADMITTED</x:v>
      </x:c>
      <x:c r="F236" s="55" t="n">
        <x:v>31618</x:v>
      </x:c>
      <x:c r="G236" s="55" t="n">
        <x:v>8079</x:v>
      </x:c>
      <x:c r="H236" s="55" t="n">
        <x:v>3538</x:v>
      </x:c>
      <x:c r="I236" s="55" t="n">
        <x:v>1407</x:v>
      </x:c>
      <x:c r="J236" s="55" t="n">
        <x:v>215</x:v>
      </x:c>
      <x:c r="K236" s="55" t="n">
        <x:v>30380</x:v>
      </x:c>
      <x:c r="L236" s="55" t="n">
        <x:v>5614</x:v>
      </x:c>
      <x:c r="M236" s="55" t="n">
        <x:v>667</x:v>
      </x:c>
      <x:c r="N236" s="55" t="n">
        <x:v>2655</x:v>
      </x:c>
      <x:c r="O236" s="55" t="n">
        <x:v>2292</x:v>
      </x:c>
      <x:c r="P236" s="55" t="n">
        <x:v>1008</x:v>
      </x:c>
      <x:c r="Q236" s="55" t="n">
        <x:v>1966</x:v>
      </x:c>
      <x:c r="R236" s="55" t="n">
        <x:v>2072</x:v>
      </x:c>
      <x:c r="S236" s="55" t="n">
        <x:v>2842</x:v>
      </x:c>
      <x:c r="T236" s="55" t="n">
        <x:v>1437</x:v>
      </x:c>
      <x:c r="U236" s="55" t="n">
        <x:v>2331</x:v>
      </x:c>
      <x:c r="V236" s="55" t="n">
        <x:v>10670</x:v>
      </x:c>
      <x:c r="W236" s="55" t="n">
        <x:v>7402</x:v>
      </x:c>
      <x:c r="X236" s="55" t="n">
        <x:v>3268</x:v>
      </x:c>
      <x:c r="Y236" s="55" t="n">
        <x:v>2984</x:v>
      </x:c>
      <x:c r="Z236" s="55" t="n">
        <x:v>4263</x:v>
      </x:c>
      <x:c r="AA236" s="55" t="n">
        <x:v>3073</x:v>
      </x:c>
      <x:c r="AB236" s="55" t="n">
        <x:v>1110</x:v>
      </x:c>
      <x:c r="AC236" s="55" t="n">
        <x:v>8820</x:v>
      </x:c>
      <x:c r="AD236" s="55" t="n">
        <x:v>2971</x:v>
      </x:c>
      <x:c r="AE236" s="55" t="n">
        <x:v>10805</x:v>
      </x:c>
      <x:c r="AF236" s="55" t="n">
        <x:v>10670</x:v>
      </x:c>
      <x:c r="AG236" s="55" t="n">
        <x:v>135</x:v>
      </x:c>
      <x:c r="AH236" s="55" t="n">
        <x:v>293</x:v>
      </x:c>
      <x:c r="AI236" s="55" t="n">
        <x:v>10377</x:v>
      </x:c>
      <x:c r="AJ236" s="55" t="n">
        <x:v>303</x:v>
      </x:c>
      <x:c r="AK236" s="55" t="n">
        <x:v>1084</x:v>
      </x:c>
      <x:c r="AL236" s="55" t="n">
        <x:v>1602</x:v>
      </x:c>
      <x:c r="AM236" s="55" t="n">
        <x:v>5121</x:v>
      </x:c>
      <x:c r="AN236" s="55" t="n">
        <x:v>2507</x:v>
      </x:c>
      <x:c r="AO236" s="55" t="n">
        <x:v>53</x:v>
      </x:c>
      <x:c r="AP236" s="55" t="n">
        <x:v>2554</x:v>
      </x:c>
      <x:c r="AQ236" s="55" t="n">
        <x:v>952</x:v>
      </x:c>
    </x:row>
    <x:row r="237">
      <x:c r="A237" s="54" t="str">
        <x:v>T1_SHARED_CATCHMENT</x:v>
      </x:c>
      <x:c r="B237" s="54" t="n">
        <x:v>231</x:v>
      </x:c>
      <x:c r="C237" s="54" t="str">
        <x:v>NYC-V2-R01</x:v>
      </x:c>
      <x:c r="D237" s="54" t="str">
        <x:v>V2</x:v>
      </x:c>
      <x:c r="E237" s="54" t="str">
        <x:v>ADMITTED</x:v>
      </x:c>
      <x:c r="F237" s="55" t="n">
        <x:v>29666</x:v>
      </x:c>
      <x:c r="G237" s="55" t="n">
        <x:v>7827</x:v>
      </x:c>
      <x:c r="H237" s="55" t="n">
        <x:v>3296</x:v>
      </x:c>
      <x:c r="I237" s="55" t="n">
        <x:v>1642</x:v>
      </x:c>
      <x:c r="J237" s="55" t="n">
        <x:v>127</x:v>
      </x:c>
      <x:c r="K237" s="55" t="n">
        <x:v>29586</x:v>
      </x:c>
      <x:c r="L237" s="55" t="n">
        <x:v>5480</x:v>
      </x:c>
      <x:c r="M237" s="55" t="n">
        <x:v>1290</x:v>
      </x:c>
      <x:c r="N237" s="55" t="n">
        <x:v>2391</x:v>
      </x:c>
      <x:c r="O237" s="55" t="n">
        <x:v>1799</x:v>
      </x:c>
      <x:c r="P237" s="55" t="n">
        <x:v>618</x:v>
      </x:c>
      <x:c r="Q237" s="55" t="n">
        <x:v>2451</x:v>
      </x:c>
      <x:c r="R237" s="55" t="n">
        <x:v>1589</x:v>
      </x:c>
      <x:c r="S237" s="55" t="n">
        <x:v>3452</x:v>
      </x:c>
      <x:c r="T237" s="55" t="n">
        <x:v>1298</x:v>
      </x:c>
      <x:c r="U237" s="55" t="n">
        <x:v>2027</x:v>
      </x:c>
      <x:c r="V237" s="55" t="n">
        <x:v>10549</x:v>
      </x:c>
      <x:c r="W237" s="55" t="n">
        <x:v>7238</x:v>
      </x:c>
      <x:c r="X237" s="55" t="n">
        <x:v>3311</x:v>
      </x:c>
      <x:c r="Y237" s="55" t="n">
        <x:v>2955</x:v>
      </x:c>
      <x:c r="Z237" s="55" t="n">
        <x:v>3263</x:v>
      </x:c>
      <x:c r="AA237" s="55" t="n">
        <x:v>3199</x:v>
      </x:c>
      <x:c r="AB237" s="55" t="n">
        <x:v>1197</x:v>
      </x:c>
      <x:c r="AC237" s="55" t="n">
        <x:v>8346</x:v>
      </x:c>
      <x:c r="AD237" s="55" t="n">
        <x:v>3186</x:v>
      </x:c>
      <x:c r="AE237" s="55" t="n">
        <x:v>10681</x:v>
      </x:c>
      <x:c r="AF237" s="55" t="n">
        <x:v>10549</x:v>
      </x:c>
      <x:c r="AG237" s="55" t="n">
        <x:v>132</x:v>
      </x:c>
      <x:c r="AH237" s="55" t="n">
        <x:v>379</x:v>
      </x:c>
      <x:c r="AI237" s="55" t="n">
        <x:v>10170</x:v>
      </x:c>
      <x:c r="AJ237" s="55" t="n">
        <x:v>276</x:v>
      </x:c>
      <x:c r="AK237" s="55" t="n">
        <x:v>707</x:v>
      </x:c>
      <x:c r="AL237" s="55" t="n">
        <x:v>1354</x:v>
      </x:c>
      <x:c r="AM237" s="55" t="n">
        <x:v>4905</x:v>
      </x:c>
      <x:c r="AN237" s="55" t="n">
        <x:v>3289</x:v>
      </x:c>
      <x:c r="AO237" s="55" t="n">
        <x:v>18</x:v>
      </x:c>
      <x:c r="AP237" s="55" t="n">
        <x:v>2405</x:v>
      </x:c>
      <x:c r="AQ237" s="55" t="n">
        <x:v>964</x:v>
      </x:c>
    </x:row>
    <x:row r="238">
      <x:c r="A238" s="54" t="str">
        <x:v>T1_SHARED_CATCHMENT</x:v>
      </x:c>
      <x:c r="B238" s="54" t="n">
        <x:v>232</x:v>
      </x:c>
      <x:c r="C238" s="54" t="str">
        <x:v>NYC-V2-R01</x:v>
      </x:c>
      <x:c r="D238" s="54" t="str">
        <x:v>V2</x:v>
      </x:c>
      <x:c r="E238" s="54" t="str">
        <x:v>ADMITTED</x:v>
      </x:c>
      <x:c r="F238" s="55" t="n">
        <x:v>33109</x:v>
      </x:c>
      <x:c r="G238" s="55" t="n">
        <x:v>8023</x:v>
      </x:c>
      <x:c r="H238" s="55" t="n">
        <x:v>3191</x:v>
      </x:c>
      <x:c r="I238" s="55" t="n">
        <x:v>1193</x:v>
      </x:c>
      <x:c r="J238" s="55" t="n">
        <x:v>63</x:v>
      </x:c>
      <x:c r="K238" s="55" t="n">
        <x:v>33109</x:v>
      </x:c>
      <x:c r="L238" s="55" t="n">
        <x:v>5673</x:v>
      </x:c>
      <x:c r="M238" s="55" t="n">
        <x:v>2132</x:v>
      </x:c>
      <x:c r="N238" s="55" t="n">
        <x:v>1943</x:v>
      </x:c>
      <x:c r="O238" s="55" t="n">
        <x:v>1598</x:v>
      </x:c>
      <x:c r="P238" s="55" t="n">
        <x:v>1044</x:v>
      </x:c>
      <x:c r="Q238" s="55" t="n">
        <x:v>2773</x:v>
      </x:c>
      <x:c r="R238" s="55" t="n">
        <x:v>1875</x:v>
      </x:c>
      <x:c r="S238" s="55" t="n">
        <x:v>2577</x:v>
      </x:c>
      <x:c r="T238" s="55" t="n">
        <x:v>1182</x:v>
      </x:c>
      <x:c r="U238" s="55" t="n">
        <x:v>2368</x:v>
      </x:c>
      <x:c r="V238" s="55" t="n">
        <x:v>10202</x:v>
      </x:c>
      <x:c r="W238" s="55" t="n">
        <x:v>6960</x:v>
      </x:c>
      <x:c r="X238" s="55" t="n">
        <x:v>3242</x:v>
      </x:c>
      <x:c r="Y238" s="55" t="n">
        <x:v>2649</x:v>
      </x:c>
      <x:c r="Z238" s="55" t="n">
        <x:v>4282</x:v>
      </x:c>
      <x:c r="AA238" s="55" t="n">
        <x:v>3191</x:v>
      </x:c>
      <x:c r="AB238" s="55" t="n">
        <x:v>935</x:v>
      </x:c>
      <x:c r="AC238" s="55" t="n">
        <x:v>7928</x:v>
      </x:c>
      <x:c r="AD238" s="55" t="n">
        <x:v>2699</x:v>
      </x:c>
      <x:c r="AE238" s="55" t="n">
        <x:v>10335</x:v>
      </x:c>
      <x:c r="AF238" s="55" t="n">
        <x:v>10202</x:v>
      </x:c>
      <x:c r="AG238" s="55" t="n">
        <x:v>133</x:v>
      </x:c>
      <x:c r="AH238" s="55" t="n">
        <x:v>217</x:v>
      </x:c>
      <x:c r="AI238" s="55" t="n">
        <x:v>9985</x:v>
      </x:c>
      <x:c r="AJ238" s="55" t="n">
        <x:v>294</x:v>
      </x:c>
      <x:c r="AK238" s="55" t="n">
        <x:v>931</x:v>
      </x:c>
      <x:c r="AL238" s="55" t="n">
        <x:v>1741</x:v>
      </x:c>
      <x:c r="AM238" s="55" t="n">
        <x:v>4983</x:v>
      </x:c>
      <x:c r="AN238" s="55" t="n">
        <x:v>2251</x:v>
      </x:c>
      <x:c r="AO238" s="55" t="n">
        <x:v>2</x:v>
      </x:c>
      <x:c r="AP238" s="55" t="n">
        <x:v>2388</x:v>
      </x:c>
      <x:c r="AQ238" s="55" t="n">
        <x:v>932</x:v>
      </x:c>
    </x:row>
    <x:row r="239">
      <x:c r="A239" s="54" t="str">
        <x:v>T1_SHARED_CATCHMENT</x:v>
      </x:c>
      <x:c r="B239" s="54" t="n">
        <x:v>233</x:v>
      </x:c>
      <x:c r="C239" s="54" t="str">
        <x:v>NYC-V2-R01</x:v>
      </x:c>
      <x:c r="D239" s="54" t="str">
        <x:v>V2</x:v>
      </x:c>
      <x:c r="E239" s="54" t="str">
        <x:v>ADMITTED</x:v>
      </x:c>
      <x:c r="F239" s="55" t="n">
        <x:v>31497</x:v>
      </x:c>
      <x:c r="G239" s="55" t="n">
        <x:v>8177</x:v>
      </x:c>
      <x:c r="H239" s="55" t="n">
        <x:v>3364</x:v>
      </x:c>
      <x:c r="I239" s="55" t="n">
        <x:v>1555</x:v>
      </x:c>
      <x:c r="J239" s="55" t="n">
        <x:v>295</x:v>
      </x:c>
      <x:c r="K239" s="55" t="n">
        <x:v>31497</x:v>
      </x:c>
      <x:c r="L239" s="55" t="n">
        <x:v>6266</x:v>
      </x:c>
      <x:c r="M239" s="55" t="n">
        <x:v>1739</x:v>
      </x:c>
      <x:c r="N239" s="55" t="n">
        <x:v>2753</x:v>
      </x:c>
      <x:c r="O239" s="55" t="n">
        <x:v>1774</x:v>
      </x:c>
      <x:c r="P239" s="55" t="n">
        <x:v>1170</x:v>
      </x:c>
      <x:c r="Q239" s="55" t="n">
        <x:v>1494</x:v>
      </x:c>
      <x:c r="R239" s="55" t="n">
        <x:v>2104</x:v>
      </x:c>
      <x:c r="S239" s="55" t="n">
        <x:v>3061</x:v>
      </x:c>
      <x:c r="T239" s="55" t="n">
        <x:v>1059</x:v>
      </x:c>
      <x:c r="U239" s="55" t="n">
        <x:v>2150</x:v>
      </x:c>
      <x:c r="V239" s="55" t="n">
        <x:v>10802</x:v>
      </x:c>
      <x:c r="W239" s="55" t="n">
        <x:v>7539</x:v>
      </x:c>
      <x:c r="X239" s="55" t="n">
        <x:v>3263</x:v>
      </x:c>
      <x:c r="Y239" s="55" t="n">
        <x:v>2870</x:v>
      </x:c>
      <x:c r="Z239" s="55" t="n">
        <x:v>4221</x:v>
      </x:c>
      <x:c r="AA239" s="55" t="n">
        <x:v>3221</x:v>
      </x:c>
      <x:c r="AB239" s="55" t="n">
        <x:v>1332</x:v>
      </x:c>
      <x:c r="AC239" s="55" t="n">
        <x:v>8073</x:v>
      </x:c>
      <x:c r="AD239" s="55" t="n">
        <x:v>2083</x:v>
      </x:c>
      <x:c r="AE239" s="55" t="n">
        <x:v>10860</x:v>
      </x:c>
      <x:c r="AF239" s="55" t="n">
        <x:v>10802</x:v>
      </x:c>
      <x:c r="AG239" s="55" t="n">
        <x:v>58</x:v>
      </x:c>
      <x:c r="AH239" s="55" t="n">
        <x:v>494</x:v>
      </x:c>
      <x:c r="AI239" s="55" t="n">
        <x:v>10308</x:v>
      </x:c>
      <x:c r="AJ239" s="55" t="n">
        <x:v>501</x:v>
      </x:c>
      <x:c r="AK239" s="55" t="n">
        <x:v>749</x:v>
      </x:c>
      <x:c r="AL239" s="55" t="n">
        <x:v>1994</x:v>
      </x:c>
      <x:c r="AM239" s="55" t="n">
        <x:v>4891</x:v>
      </x:c>
      <x:c r="AN239" s="55" t="n">
        <x:v>2667</x:v>
      </x:c>
      <x:c r="AO239" s="55" t="n">
        <x:v>0</x:v>
      </x:c>
      <x:c r="AP239" s="55" t="n">
        <x:v>2773</x:v>
      </x:c>
      <x:c r="AQ239" s="55" t="n">
        <x:v>1009</x:v>
      </x:c>
    </x:row>
    <x:row r="240">
      <x:c r="A240" s="54" t="str">
        <x:v>T1_SHARED_CATCHMENT</x:v>
      </x:c>
      <x:c r="B240" s="54" t="n">
        <x:v>234</x:v>
      </x:c>
      <x:c r="C240" s="54" t="str">
        <x:v>NYC-V2-R01</x:v>
      </x:c>
      <x:c r="D240" s="54" t="str">
        <x:v>V2</x:v>
      </x:c>
      <x:c r="E240" s="54" t="str">
        <x:v>ADMITTED</x:v>
      </x:c>
      <x:c r="F240" s="55" t="n">
        <x:v>32496</x:v>
      </x:c>
      <x:c r="G240" s="55" t="n">
        <x:v>7080</x:v>
      </x:c>
      <x:c r="H240" s="55" t="n">
        <x:v>3258</x:v>
      </x:c>
      <x:c r="I240" s="55" t="n">
        <x:v>1293</x:v>
      </x:c>
      <x:c r="J240" s="55" t="n">
        <x:v>243</x:v>
      </x:c>
      <x:c r="K240" s="55" t="n">
        <x:v>32496</x:v>
      </x:c>
      <x:c r="L240" s="55" t="n">
        <x:v>6007</x:v>
      </x:c>
      <x:c r="M240" s="55" t="n">
        <x:v>1628</x:v>
      </x:c>
      <x:c r="N240" s="55" t="n">
        <x:v>2577</x:v>
      </x:c>
      <x:c r="O240" s="55" t="n">
        <x:v>1802</x:v>
      </x:c>
      <x:c r="P240" s="55" t="n">
        <x:v>677</x:v>
      </x:c>
      <x:c r="Q240" s="55" t="n">
        <x:v>2656</x:v>
      </x:c>
      <x:c r="R240" s="55" t="n">
        <x:v>1789</x:v>
      </x:c>
      <x:c r="S240" s="55" t="n">
        <x:v>2601</x:v>
      </x:c>
      <x:c r="T240" s="55" t="n">
        <x:v>1148</x:v>
      </x:c>
      <x:c r="U240" s="55" t="n">
        <x:v>1816</x:v>
      </x:c>
      <x:c r="V240" s="55" t="n">
        <x:v>10937</x:v>
      </x:c>
      <x:c r="W240" s="55" t="n">
        <x:v>7984</x:v>
      </x:c>
      <x:c r="X240" s="55" t="n">
        <x:v>2953</x:v>
      </x:c>
      <x:c r="Y240" s="55" t="n">
        <x:v>2673</x:v>
      </x:c>
      <x:c r="Z240" s="55" t="n">
        <x:v>4076</x:v>
      </x:c>
      <x:c r="AA240" s="55" t="n">
        <x:v>2425</x:v>
      </x:c>
      <x:c r="AB240" s="55" t="n">
        <x:v>1126</x:v>
      </x:c>
      <x:c r="AC240" s="55" t="n">
        <x:v>8241</x:v>
      </x:c>
      <x:c r="AD240" s="55" t="n">
        <x:v>2794</x:v>
      </x:c>
      <x:c r="AE240" s="55" t="n">
        <x:v>10937</x:v>
      </x:c>
      <x:c r="AF240" s="55" t="n">
        <x:v>10937</x:v>
      </x:c>
      <x:c r="AG240" s="55" t="n">
        <x:v>0</x:v>
      </x:c>
      <x:c r="AH240" s="55" t="n">
        <x:v>519</x:v>
      </x:c>
      <x:c r="AI240" s="55" t="n">
        <x:v>10418</x:v>
      </x:c>
      <x:c r="AJ240" s="55" t="n">
        <x:v>322</x:v>
      </x:c>
      <x:c r="AK240" s="55" t="n">
        <x:v>612</x:v>
      </x:c>
      <x:c r="AL240" s="55" t="n">
        <x:v>1931</x:v>
      </x:c>
      <x:c r="AM240" s="55" t="n">
        <x:v>4843</x:v>
      </x:c>
      <x:c r="AN240" s="55" t="n">
        <x:v>3224</x:v>
      </x:c>
      <x:c r="AO240" s="55" t="n">
        <x:v>5</x:v>
      </x:c>
      <x:c r="AP240" s="55" t="n">
        <x:v>2053</x:v>
      </x:c>
      <x:c r="AQ240" s="55" t="n">
        <x:v>958</x:v>
      </x:c>
    </x:row>
    <x:row r="241">
      <x:c r="A241" s="54" t="str">
        <x:v>T1_SHARED_CATCHMENT</x:v>
      </x:c>
      <x:c r="B241" s="54" t="n">
        <x:v>235</x:v>
      </x:c>
      <x:c r="C241" s="54" t="str">
        <x:v>NYC-V2-R01</x:v>
      </x:c>
      <x:c r="D241" s="54" t="str">
        <x:v>V2</x:v>
      </x:c>
      <x:c r="E241" s="54" t="str">
        <x:v>ADMITTED</x:v>
      </x:c>
      <x:c r="F241" s="55" t="n">
        <x:v>30373</x:v>
      </x:c>
      <x:c r="G241" s="55" t="n">
        <x:v>7949</x:v>
      </x:c>
      <x:c r="H241" s="55" t="n">
        <x:v>3351</x:v>
      </x:c>
      <x:c r="I241" s="55" t="n">
        <x:v>1787</x:v>
      </x:c>
      <x:c r="J241" s="55" t="n">
        <x:v>428</x:v>
      </x:c>
      <x:c r="K241" s="55" t="n">
        <x:v>29498</x:v>
      </x:c>
      <x:c r="L241" s="55" t="n">
        <x:v>5736</x:v>
      </x:c>
      <x:c r="M241" s="55" t="n">
        <x:v>1343</x:v>
      </x:c>
      <x:c r="N241" s="55" t="n">
        <x:v>2880</x:v>
      </x:c>
      <x:c r="O241" s="55" t="n">
        <x:v>1513</x:v>
      </x:c>
      <x:c r="P241" s="55" t="n">
        <x:v>910</x:v>
      </x:c>
      <x:c r="Q241" s="55" t="n">
        <x:v>2249</x:v>
      </x:c>
      <x:c r="R241" s="55" t="n">
        <x:v>1463</x:v>
      </x:c>
      <x:c r="S241" s="55" t="n">
        <x:v>2684</x:v>
      </x:c>
      <x:c r="T241" s="55" t="n">
        <x:v>1316</x:v>
      </x:c>
      <x:c r="U241" s="55" t="n">
        <x:v>1997</x:v>
      </x:c>
      <x:c r="V241" s="55" t="n">
        <x:v>11094</x:v>
      </x:c>
      <x:c r="W241" s="55" t="n">
        <x:v>7532</x:v>
      </x:c>
      <x:c r="X241" s="55" t="n">
        <x:v>3562</x:v>
      </x:c>
      <x:c r="Y241" s="55" t="n">
        <x:v>3028</x:v>
      </x:c>
      <x:c r="Z241" s="55" t="n">
        <x:v>3794</x:v>
      </x:c>
      <x:c r="AA241" s="55" t="n">
        <x:v>2917</x:v>
      </x:c>
      <x:c r="AB241" s="55" t="n">
        <x:v>902</x:v>
      </x:c>
      <x:c r="AC241" s="55" t="n">
        <x:v>8966</x:v>
      </x:c>
      <x:c r="AD241" s="55" t="n">
        <x:v>2617</x:v>
      </x:c>
      <x:c r="AE241" s="55" t="n">
        <x:v>11190</x:v>
      </x:c>
      <x:c r="AF241" s="55" t="n">
        <x:v>11094</x:v>
      </x:c>
      <x:c r="AG241" s="55" t="n">
        <x:v>96</x:v>
      </x:c>
      <x:c r="AH241" s="55" t="n">
        <x:v>512</x:v>
      </x:c>
      <x:c r="AI241" s="55" t="n">
        <x:v>10582</x:v>
      </x:c>
      <x:c r="AJ241" s="55" t="n">
        <x:v>571</x:v>
      </x:c>
      <x:c r="AK241" s="55" t="n">
        <x:v>1170</x:v>
      </x:c>
      <x:c r="AL241" s="55" t="n">
        <x:v>1553</x:v>
      </x:c>
      <x:c r="AM241" s="55" t="n">
        <x:v>5004</x:v>
      </x:c>
      <x:c r="AN241" s="55" t="n">
        <x:v>2784</x:v>
      </x:c>
      <x:c r="AO241" s="55" t="n">
        <x:v>12</x:v>
      </x:c>
      <x:c r="AP241" s="55" t="n">
        <x:v>1943</x:v>
      </x:c>
      <x:c r="AQ241" s="55" t="n">
        <x:v>998</x:v>
      </x:c>
    </x:row>
    <x:row r="242">
      <x:c r="A242" s="54" t="str">
        <x:v>T1_SHARED_CATCHMENT</x:v>
      </x:c>
      <x:c r="B242" s="54" t="n">
        <x:v>236</x:v>
      </x:c>
      <x:c r="C242" s="54" t="str">
        <x:v>NYC-V2-R01</x:v>
      </x:c>
      <x:c r="D242" s="54" t="str">
        <x:v>V2</x:v>
      </x:c>
      <x:c r="E242" s="54" t="str">
        <x:v>ADMITTED</x:v>
      </x:c>
      <x:c r="F242" s="55" t="n">
        <x:v>32699</x:v>
      </x:c>
      <x:c r="G242" s="55" t="n">
        <x:v>6885</x:v>
      </x:c>
      <x:c r="H242" s="55" t="n">
        <x:v>3371</x:v>
      </x:c>
      <x:c r="I242" s="55" t="n">
        <x:v>1366</x:v>
      </x:c>
      <x:c r="J242" s="55" t="n">
        <x:v>245</x:v>
      </x:c>
      <x:c r="K242" s="55" t="n">
        <x:v>32699</x:v>
      </x:c>
      <x:c r="L242" s="55" t="n">
        <x:v>6271</x:v>
      </x:c>
      <x:c r="M242" s="55" t="n">
        <x:v>1638</x:v>
      </x:c>
      <x:c r="N242" s="55" t="n">
        <x:v>2454</x:v>
      </x:c>
      <x:c r="O242" s="55" t="n">
        <x:v>2179</x:v>
      </x:c>
      <x:c r="P242" s="55" t="n">
        <x:v>760</x:v>
      </x:c>
      <x:c r="Q242" s="55" t="n">
        <x:v>2082</x:v>
      </x:c>
      <x:c r="R242" s="55" t="n">
        <x:v>1708</x:v>
      </x:c>
      <x:c r="S242" s="55" t="n">
        <x:v>2692</x:v>
      </x:c>
      <x:c r="T242" s="55" t="n">
        <x:v>890</x:v>
      </x:c>
      <x:c r="U242" s="55" t="n">
        <x:v>1659</x:v>
      </x:c>
      <x:c r="V242" s="55" t="n">
        <x:v>10391</x:v>
      </x:c>
      <x:c r="W242" s="55" t="n">
        <x:v>7427</x:v>
      </x:c>
      <x:c r="X242" s="55" t="n">
        <x:v>2964</x:v>
      </x:c>
      <x:c r="Y242" s="55" t="n">
        <x:v>2514</x:v>
      </x:c>
      <x:c r="Z242" s="55" t="n">
        <x:v>2849</x:v>
      </x:c>
      <x:c r="AA242" s="55" t="n">
        <x:v>3371</x:v>
      </x:c>
      <x:c r="AB242" s="55" t="n">
        <x:v>1065</x:v>
      </x:c>
      <x:c r="AC242" s="55" t="n">
        <x:v>8273</x:v>
      </x:c>
      <x:c r="AD242" s="55" t="n">
        <x:v>3154</x:v>
      </x:c>
      <x:c r="AE242" s="55" t="n">
        <x:v>10532</x:v>
      </x:c>
      <x:c r="AF242" s="55" t="n">
        <x:v>10391</x:v>
      </x:c>
      <x:c r="AG242" s="55" t="n">
        <x:v>141</x:v>
      </x:c>
      <x:c r="AH242" s="55" t="n">
        <x:v>105</x:v>
      </x:c>
      <x:c r="AI242" s="55" t="n">
        <x:v>10286</x:v>
      </x:c>
      <x:c r="AJ242" s="55" t="n">
        <x:v>319</x:v>
      </x:c>
      <x:c r="AK242" s="55" t="n">
        <x:v>880</x:v>
      </x:c>
      <x:c r="AL242" s="55" t="n">
        <x:v>1558</x:v>
      </x:c>
      <x:c r="AM242" s="55" t="n">
        <x:v>5007</x:v>
      </x:c>
      <x:c r="AN242" s="55" t="n">
        <x:v>2627</x:v>
      </x:c>
      <x:c r="AO242" s="55" t="n">
        <x:v>0</x:v>
      </x:c>
      <x:c r="AP242" s="55" t="n">
        <x:v>2224</x:v>
      </x:c>
      <x:c r="AQ242" s="55" t="n">
        <x:v>952</x:v>
      </x:c>
    </x:row>
    <x:row r="243">
      <x:c r="A243" s="54" t="str">
        <x:v>T1_SHARED_CATCHMENT</x:v>
      </x:c>
      <x:c r="B243" s="54" t="n">
        <x:v>237</x:v>
      </x:c>
      <x:c r="C243" s="54" t="str">
        <x:v>NYC-V2-R01</x:v>
      </x:c>
      <x:c r="D243" s="54" t="str">
        <x:v>V2</x:v>
      </x:c>
      <x:c r="E243" s="54" t="str">
        <x:v>ADMITTED</x:v>
      </x:c>
      <x:c r="F243" s="55" t="n">
        <x:v>32857</x:v>
      </x:c>
      <x:c r="G243" s="55" t="n">
        <x:v>8741</x:v>
      </x:c>
      <x:c r="H243" s="55" t="n">
        <x:v>3644</x:v>
      </x:c>
      <x:c r="I243" s="55" t="n">
        <x:v>1761</x:v>
      </x:c>
      <x:c r="J243" s="55" t="n">
        <x:v>306</x:v>
      </x:c>
      <x:c r="K243" s="55" t="n">
        <x:v>31630</x:v>
      </x:c>
      <x:c r="L243" s="55" t="n">
        <x:v>6033</x:v>
      </x:c>
      <x:c r="M243" s="55" t="n">
        <x:v>1966</x:v>
      </x:c>
      <x:c r="N243" s="55" t="n">
        <x:v>2459</x:v>
      </x:c>
      <x:c r="O243" s="55" t="n">
        <x:v>1608</x:v>
      </x:c>
      <x:c r="P243" s="55" t="n">
        <x:v>819</x:v>
      </x:c>
      <x:c r="Q243" s="55" t="n">
        <x:v>2872</x:v>
      </x:c>
      <x:c r="R243" s="55" t="n">
        <x:v>2057</x:v>
      </x:c>
      <x:c r="S243" s="55" t="n">
        <x:v>3629</x:v>
      </x:c>
      <x:c r="T243" s="55" t="n">
        <x:v>1214</x:v>
      </x:c>
      <x:c r="U243" s="55" t="n">
        <x:v>2560</x:v>
      </x:c>
      <x:c r="V243" s="55" t="n">
        <x:v>10312</x:v>
      </x:c>
      <x:c r="W243" s="55" t="n">
        <x:v>7549</x:v>
      </x:c>
      <x:c r="X243" s="55" t="n">
        <x:v>2763</x:v>
      </x:c>
      <x:c r="Y243" s="55" t="n">
        <x:v>2486</x:v>
      </x:c>
      <x:c r="Z243" s="55" t="n">
        <x:v>3515</x:v>
      </x:c>
      <x:c r="AA243" s="55" t="n">
        <x:v>3195</x:v>
      </x:c>
      <x:c r="AB243" s="55" t="n">
        <x:v>1149</x:v>
      </x:c>
      <x:c r="AC243" s="55" t="n">
        <x:v>8335</x:v>
      </x:c>
      <x:c r="AD243" s="55" t="n">
        <x:v>3431</x:v>
      </x:c>
      <x:c r="AE243" s="55" t="n">
        <x:v>10385</x:v>
      </x:c>
      <x:c r="AF243" s="55" t="n">
        <x:v>10312</x:v>
      </x:c>
      <x:c r="AG243" s="55" t="n">
        <x:v>73</x:v>
      </x:c>
      <x:c r="AH243" s="55" t="n">
        <x:v>651</x:v>
      </x:c>
      <x:c r="AI243" s="55" t="n">
        <x:v>9661</x:v>
      </x:c>
      <x:c r="AJ243" s="55" t="n">
        <x:v>451</x:v>
      </x:c>
      <x:c r="AK243" s="55" t="n">
        <x:v>925</x:v>
      </x:c>
      <x:c r="AL243" s="55" t="n">
        <x:v>1499</x:v>
      </x:c>
      <x:c r="AM243" s="55" t="n">
        <x:v>5294</x:v>
      </x:c>
      <x:c r="AN243" s="55" t="n">
        <x:v>2139</x:v>
      </x:c>
      <x:c r="AO243" s="55" t="n">
        <x:v>4</x:v>
      </x:c>
      <x:c r="AP243" s="55" t="n">
        <x:v>2079</x:v>
      </x:c>
      <x:c r="AQ243" s="55" t="n">
        <x:v>958</x:v>
      </x:c>
    </x:row>
    <x:row r="244">
      <x:c r="A244" s="54" t="str">
        <x:v>T1_SHARED_CATCHMENT</x:v>
      </x:c>
      <x:c r="B244" s="54" t="n">
        <x:v>238</x:v>
      </x:c>
      <x:c r="C244" s="54" t="str">
        <x:v>NYC-V2-R01</x:v>
      </x:c>
      <x:c r="D244" s="54" t="str">
        <x:v>V2</x:v>
      </x:c>
      <x:c r="E244" s="54" t="str">
        <x:v>ADMITTED</x:v>
      </x:c>
      <x:c r="F244" s="55" t="n">
        <x:v>31414</x:v>
      </x:c>
      <x:c r="G244" s="55" t="n">
        <x:v>7653</x:v>
      </x:c>
      <x:c r="H244" s="55" t="n">
        <x:v>3262</x:v>
      </x:c>
      <x:c r="I244" s="55" t="n">
        <x:v>1427</x:v>
      </x:c>
      <x:c r="J244" s="55" t="n">
        <x:v>205</x:v>
      </x:c>
      <x:c r="K244" s="55" t="n">
        <x:v>31414</x:v>
      </x:c>
      <x:c r="L244" s="55" t="n">
        <x:v>7851</x:v>
      </x:c>
      <x:c r="M244" s="55" t="n">
        <x:v>2429</x:v>
      </x:c>
      <x:c r="N244" s="55" t="n">
        <x:v>3372</x:v>
      </x:c>
      <x:c r="O244" s="55" t="n">
        <x:v>2050</x:v>
      </x:c>
      <x:c r="P244" s="55" t="n">
        <x:v>1076</x:v>
      </x:c>
      <x:c r="Q244" s="55" t="n">
        <x:v>2148</x:v>
      </x:c>
      <x:c r="R244" s="55" t="n">
        <x:v>1923</x:v>
      </x:c>
      <x:c r="S244" s="55" t="n">
        <x:v>2463</x:v>
      </x:c>
      <x:c r="T244" s="55" t="n">
        <x:v>1204</x:v>
      </x:c>
      <x:c r="U244" s="55" t="n">
        <x:v>2404</x:v>
      </x:c>
      <x:c r="V244" s="55" t="n">
        <x:v>10906</x:v>
      </x:c>
      <x:c r="W244" s="55" t="n">
        <x:v>7955</x:v>
      </x:c>
      <x:c r="X244" s="55" t="n">
        <x:v>2951</x:v>
      </x:c>
      <x:c r="Y244" s="55" t="n">
        <x:v>2579</x:v>
      </x:c>
      <x:c r="Z244" s="55" t="n">
        <x:v>3902</x:v>
      </x:c>
      <x:c r="AA244" s="55" t="n">
        <x:v>3210</x:v>
      </x:c>
      <x:c r="AB244" s="55" t="n">
        <x:v>1317</x:v>
      </x:c>
      <x:c r="AC244" s="55" t="n">
        <x:v>8015</x:v>
      </x:c>
      <x:c r="AD244" s="55" t="n">
        <x:v>3203</x:v>
      </x:c>
      <x:c r="AE244" s="55" t="n">
        <x:v>11003</x:v>
      </x:c>
      <x:c r="AF244" s="55" t="n">
        <x:v>10906</x:v>
      </x:c>
      <x:c r="AG244" s="55" t="n">
        <x:v>97</x:v>
      </x:c>
      <x:c r="AH244" s="55" t="n">
        <x:v>604</x:v>
      </x:c>
      <x:c r="AI244" s="55" t="n">
        <x:v>10302</x:v>
      </x:c>
      <x:c r="AJ244" s="55" t="n">
        <x:v>350</x:v>
      </x:c>
      <x:c r="AK244" s="55" t="n">
        <x:v>1426</x:v>
      </x:c>
      <x:c r="AL244" s="55" t="n">
        <x:v>1784</x:v>
      </x:c>
      <x:c r="AM244" s="55" t="n">
        <x:v>4895</x:v>
      </x:c>
      <x:c r="AN244" s="55" t="n">
        <x:v>2320</x:v>
      </x:c>
      <x:c r="AO244" s="55" t="n">
        <x:v>131</x:v>
      </x:c>
      <x:c r="AP244" s="55" t="n">
        <x:v>1950</x:v>
      </x:c>
      <x:c r="AQ244" s="55" t="n">
        <x:v>1012</x:v>
      </x:c>
    </x:row>
    <x:row r="245">
      <x:c r="A245" s="54" t="str">
        <x:v>T1_SHARED_CATCHMENT</x:v>
      </x:c>
      <x:c r="B245" s="54" t="n">
        <x:v>239</x:v>
      </x:c>
      <x:c r="C245" s="54" t="str">
        <x:v>NYC-V2-R01</x:v>
      </x:c>
      <x:c r="D245" s="54" t="str">
        <x:v>V2</x:v>
      </x:c>
      <x:c r="E245" s="54" t="str">
        <x:v>ADMITTED</x:v>
      </x:c>
      <x:c r="F245" s="55" t="n">
        <x:v>29526</x:v>
      </x:c>
      <x:c r="G245" s="55" t="n">
        <x:v>6202</x:v>
      </x:c>
      <x:c r="H245" s="55" t="n">
        <x:v>3117</x:v>
      </x:c>
      <x:c r="I245" s="55" t="n">
        <x:v>1313</x:v>
      </x:c>
      <x:c r="J245" s="55" t="n">
        <x:v>235</x:v>
      </x:c>
      <x:c r="K245" s="55" t="n">
        <x:v>29526</x:v>
      </x:c>
      <x:c r="L245" s="55" t="n">
        <x:v>4679</x:v>
      </x:c>
      <x:c r="M245" s="55" t="n">
        <x:v>1142</x:v>
      </x:c>
      <x:c r="N245" s="55" t="n">
        <x:v>2286</x:v>
      </x:c>
      <x:c r="O245" s="55" t="n">
        <x:v>1251</x:v>
      </x:c>
      <x:c r="P245" s="55" t="n">
        <x:v>1039</x:v>
      </x:c>
      <x:c r="Q245" s="55" t="n">
        <x:v>2227</x:v>
      </x:c>
      <x:c r="R245" s="55" t="n">
        <x:v>2210</x:v>
      </x:c>
      <x:c r="S245" s="55" t="n">
        <x:v>2655</x:v>
      </x:c>
      <x:c r="T245" s="55" t="n">
        <x:v>1210</x:v>
      </x:c>
      <x:c r="U245" s="55" t="n">
        <x:v>2340</x:v>
      </x:c>
      <x:c r="V245" s="55" t="n">
        <x:v>10424</x:v>
      </x:c>
      <x:c r="W245" s="55" t="n">
        <x:v>7556</x:v>
      </x:c>
      <x:c r="X245" s="55" t="n">
        <x:v>2868</x:v>
      </x:c>
      <x:c r="Y245" s="55" t="n">
        <x:v>2613</x:v>
      </x:c>
      <x:c r="Z245" s="55" t="n">
        <x:v>3129</x:v>
      </x:c>
      <x:c r="AA245" s="55" t="n">
        <x:v>2767</x:v>
      </x:c>
      <x:c r="AB245" s="55" t="n">
        <x:v>1096</x:v>
      </x:c>
      <x:c r="AC245" s="55" t="n">
        <x:v>8632</x:v>
      </x:c>
      <x:c r="AD245" s="55" t="n">
        <x:v>2575</x:v>
      </x:c>
      <x:c r="AE245" s="55" t="n">
        <x:v>10476</x:v>
      </x:c>
      <x:c r="AF245" s="55" t="n">
        <x:v>10424</x:v>
      </x:c>
      <x:c r="AG245" s="55" t="n">
        <x:v>52</x:v>
      </x:c>
      <x:c r="AH245" s="55" t="n">
        <x:v>634</x:v>
      </x:c>
      <x:c r="AI245" s="55" t="n">
        <x:v>9790</x:v>
      </x:c>
      <x:c r="AJ245" s="55" t="n">
        <x:v>231</x:v>
      </x:c>
      <x:c r="AK245" s="55" t="n">
        <x:v>1239</x:v>
      </x:c>
      <x:c r="AL245" s="55" t="n">
        <x:v>1403</x:v>
      </x:c>
      <x:c r="AM245" s="55" t="n">
        <x:v>5074</x:v>
      </x:c>
      <x:c r="AN245" s="55" t="n">
        <x:v>2440</x:v>
      </x:c>
      <x:c r="AO245" s="55" t="n">
        <x:v>37</x:v>
      </x:c>
      <x:c r="AP245" s="55" t="n">
        <x:v>2230</x:v>
      </x:c>
      <x:c r="AQ245" s="55" t="n">
        <x:v>952</x:v>
      </x:c>
    </x:row>
    <x:row r="246">
      <x:c r="A246" s="54" t="str">
        <x:v>T1_SHARED_CATCHMENT</x:v>
      </x:c>
      <x:c r="B246" s="54" t="n">
        <x:v>240</x:v>
      </x:c>
      <x:c r="C246" s="54" t="str">
        <x:v>NYC-V2-R01</x:v>
      </x:c>
      <x:c r="D246" s="54" t="str">
        <x:v>V2</x:v>
      </x:c>
      <x:c r="E246" s="54" t="str">
        <x:v>ADMITTED</x:v>
      </x:c>
      <x:c r="F246" s="55" t="n">
        <x:v>32191</x:v>
      </x:c>
      <x:c r="G246" s="55" t="n">
        <x:v>8161</x:v>
      </x:c>
      <x:c r="H246" s="55" t="n">
        <x:v>3561</x:v>
      </x:c>
      <x:c r="I246" s="55" t="n">
        <x:v>1449</x:v>
      </x:c>
      <x:c r="J246" s="55" t="n">
        <x:v>209</x:v>
      </x:c>
      <x:c r="K246" s="55" t="n">
        <x:v>30326</x:v>
      </x:c>
      <x:c r="L246" s="55" t="n">
        <x:v>6135</x:v>
      </x:c>
      <x:c r="M246" s="55" t="n">
        <x:v>1616</x:v>
      </x:c>
      <x:c r="N246" s="55" t="n">
        <x:v>2607</x:v>
      </x:c>
      <x:c r="O246" s="55" t="n">
        <x:v>1912</x:v>
      </x:c>
      <x:c r="P246" s="55" t="n">
        <x:v>285</x:v>
      </x:c>
      <x:c r="Q246" s="55" t="n">
        <x:v>2943</x:v>
      </x:c>
      <x:c r="R246" s="55" t="n">
        <x:v>1861</x:v>
      </x:c>
      <x:c r="S246" s="55" t="n">
        <x:v>2732</x:v>
      </x:c>
      <x:c r="T246" s="55" t="n">
        <x:v>1334</x:v>
      </x:c>
      <x:c r="U246" s="55" t="n">
        <x:v>2507</x:v>
      </x:c>
      <x:c r="V246" s="55" t="n">
        <x:v>9358</x:v>
      </x:c>
      <x:c r="W246" s="55" t="n">
        <x:v>6378</x:v>
      </x:c>
      <x:c r="X246" s="55" t="n">
        <x:v>2980</x:v>
      </x:c>
      <x:c r="Y246" s="55" t="n">
        <x:v>2484</x:v>
      </x:c>
      <x:c r="Z246" s="55" t="n">
        <x:v>3789</x:v>
      </x:c>
      <x:c r="AA246" s="55" t="n">
        <x:v>3561</x:v>
      </x:c>
      <x:c r="AB246" s="55" t="n">
        <x:v>1249</x:v>
      </x:c>
      <x:c r="AC246" s="55" t="n">
        <x:v>7756</x:v>
      </x:c>
      <x:c r="AD246" s="55" t="n">
        <x:v>2641</x:v>
      </x:c>
      <x:c r="AE246" s="55" t="n">
        <x:v>9499</x:v>
      </x:c>
      <x:c r="AF246" s="55" t="n">
        <x:v>9358</x:v>
      </x:c>
      <x:c r="AG246" s="55" t="n">
        <x:v>141</x:v>
      </x:c>
      <x:c r="AH246" s="55" t="n">
        <x:v>234</x:v>
      </x:c>
      <x:c r="AI246" s="55" t="n">
        <x:v>9124</x:v>
      </x:c>
      <x:c r="AJ246" s="55" t="n">
        <x:v>245</x:v>
      </x:c>
      <x:c r="AK246" s="55" t="n">
        <x:v>764</x:v>
      </x:c>
      <x:c r="AL246" s="55" t="n">
        <x:v>1667</x:v>
      </x:c>
      <x:c r="AM246" s="55" t="n">
        <x:v>4271</x:v>
      </x:c>
      <x:c r="AN246" s="55" t="n">
        <x:v>2357</x:v>
      </x:c>
      <x:c r="AO246" s="55" t="n">
        <x:v>54</x:v>
      </x:c>
      <x:c r="AP246" s="55" t="n">
        <x:v>1810</x:v>
      </x:c>
      <x:c r="AQ246" s="55" t="n">
        <x:v>945</x:v>
      </x:c>
    </x:row>
    <x:row r="247">
      <x:c r="A247" s="54" t="str">
        <x:v>T1_SHARED_CATCHMENT</x:v>
      </x:c>
      <x:c r="B247" s="54" t="n">
        <x:v>241</x:v>
      </x:c>
      <x:c r="C247" s="54" t="str">
        <x:v>NYC-V2-R01</x:v>
      </x:c>
      <x:c r="D247" s="54" t="str">
        <x:v>V2</x:v>
      </x:c>
      <x:c r="E247" s="54" t="str">
        <x:v>ADMITTED</x:v>
      </x:c>
      <x:c r="F247" s="55" t="n">
        <x:v>31555</x:v>
      </x:c>
      <x:c r="G247" s="55" t="n">
        <x:v>8986</x:v>
      </x:c>
      <x:c r="H247" s="55" t="n">
        <x:v>3238</x:v>
      </x:c>
      <x:c r="I247" s="55" t="n">
        <x:v>1034</x:v>
      </x:c>
      <x:c r="J247" s="55" t="n">
        <x:v>303</x:v>
      </x:c>
      <x:c r="K247" s="55" t="n">
        <x:v>29610</x:v>
      </x:c>
      <x:c r="L247" s="55" t="n">
        <x:v>5890</x:v>
      </x:c>
      <x:c r="M247" s="55" t="n">
        <x:v>1337</x:v>
      </x:c>
      <x:c r="N247" s="55" t="n">
        <x:v>2690</x:v>
      </x:c>
      <x:c r="O247" s="55" t="n">
        <x:v>1863</x:v>
      </x:c>
      <x:c r="P247" s="55" t="n">
        <x:v>966</x:v>
      </x:c>
      <x:c r="Q247" s="55" t="n">
        <x:v>2609</x:v>
      </x:c>
      <x:c r="R247" s="55" t="n">
        <x:v>2420</x:v>
      </x:c>
      <x:c r="S247" s="55" t="n">
        <x:v>2551</x:v>
      </x:c>
      <x:c r="T247" s="55" t="n">
        <x:v>1284</x:v>
      </x:c>
      <x:c r="U247" s="55" t="n">
        <x:v>2191</x:v>
      </x:c>
      <x:c r="V247" s="55" t="n">
        <x:v>10642</x:v>
      </x:c>
      <x:c r="W247" s="55" t="n">
        <x:v>7147</x:v>
      </x:c>
      <x:c r="X247" s="55" t="n">
        <x:v>3495</x:v>
      </x:c>
      <x:c r="Y247" s="55" t="n">
        <x:v>2735</x:v>
      </x:c>
      <x:c r="Z247" s="55" t="n">
        <x:v>3171</x:v>
      </x:c>
      <x:c r="AA247" s="55" t="n">
        <x:v>3238</x:v>
      </x:c>
      <x:c r="AB247" s="55" t="n">
        <x:v>1625</x:v>
      </x:c>
      <x:c r="AC247" s="55" t="n">
        <x:v>8405</x:v>
      </x:c>
      <x:c r="AD247" s="55" t="n">
        <x:v>2779</x:v>
      </x:c>
      <x:c r="AE247" s="55" t="n">
        <x:v>10743</x:v>
      </x:c>
      <x:c r="AF247" s="55" t="n">
        <x:v>10642</x:v>
      </x:c>
      <x:c r="AG247" s="55" t="n">
        <x:v>101</x:v>
      </x:c>
      <x:c r="AH247" s="55" t="n">
        <x:v>580</x:v>
      </x:c>
      <x:c r="AI247" s="55" t="n">
        <x:v>10062</x:v>
      </x:c>
      <x:c r="AJ247" s="55" t="n">
        <x:v>436</x:v>
      </x:c>
      <x:c r="AK247" s="55" t="n">
        <x:v>1030</x:v>
      </x:c>
      <x:c r="AL247" s="55" t="n">
        <x:v>1851</x:v>
      </x:c>
      <x:c r="AM247" s="55" t="n">
        <x:v>4998</x:v>
      </x:c>
      <x:c r="AN247" s="55" t="n">
        <x:v>2327</x:v>
      </x:c>
      <x:c r="AO247" s="55" t="n">
        <x:v>0</x:v>
      </x:c>
      <x:c r="AP247" s="55" t="n">
        <x:v>2484</x:v>
      </x:c>
      <x:c r="AQ247" s="55" t="n">
        <x:v>992</x:v>
      </x:c>
    </x:row>
    <x:row r="248">
      <x:c r="A248" s="54" t="str">
        <x:v>T1_SHARED_CATCHMENT</x:v>
      </x:c>
      <x:c r="B248" s="54" t="n">
        <x:v>242</x:v>
      </x:c>
      <x:c r="C248" s="54" t="str">
        <x:v>NYC-V2-R01</x:v>
      </x:c>
      <x:c r="D248" s="54" t="str">
        <x:v>V2</x:v>
      </x:c>
      <x:c r="E248" s="54" t="str">
        <x:v>ADMITTED</x:v>
      </x:c>
      <x:c r="F248" s="55" t="n">
        <x:v>31568</x:v>
      </x:c>
      <x:c r="G248" s="55" t="n">
        <x:v>8069</x:v>
      </x:c>
      <x:c r="H248" s="55" t="n">
        <x:v>3341</x:v>
      </x:c>
      <x:c r="I248" s="55" t="n">
        <x:v>1297</x:v>
      </x:c>
      <x:c r="J248" s="55" t="n">
        <x:v>378</x:v>
      </x:c>
      <x:c r="K248" s="55" t="n">
        <x:v>31568</x:v>
      </x:c>
      <x:c r="L248" s="55" t="n">
        <x:v>5405</x:v>
      </x:c>
      <x:c r="M248" s="55" t="n">
        <x:v>1076</x:v>
      </x:c>
      <x:c r="N248" s="55" t="n">
        <x:v>2476</x:v>
      </x:c>
      <x:c r="O248" s="55" t="n">
        <x:v>1853</x:v>
      </x:c>
      <x:c r="P248" s="55" t="n">
        <x:v>568</x:v>
      </x:c>
      <x:c r="Q248" s="55" t="n">
        <x:v>1723</x:v>
      </x:c>
      <x:c r="R248" s="55" t="n">
        <x:v>1906</x:v>
      </x:c>
      <x:c r="S248" s="55" t="n">
        <x:v>3200</x:v>
      </x:c>
      <x:c r="T248" s="55" t="n">
        <x:v>1424</x:v>
      </x:c>
      <x:c r="U248" s="55" t="n">
        <x:v>2307</x:v>
      </x:c>
      <x:c r="V248" s="55" t="n">
        <x:v>11766</x:v>
      </x:c>
      <x:c r="W248" s="55" t="n">
        <x:v>8900</x:v>
      </x:c>
      <x:c r="X248" s="55" t="n">
        <x:v>2866</x:v>
      </x:c>
      <x:c r="Y248" s="55" t="n">
        <x:v>2488</x:v>
      </x:c>
      <x:c r="Z248" s="55" t="n">
        <x:v>4341</x:v>
      </x:c>
      <x:c r="AA248" s="55" t="n">
        <x:v>2717</x:v>
      </x:c>
      <x:c r="AB248" s="55" t="n">
        <x:v>880</x:v>
      </x:c>
      <x:c r="AC248" s="55" t="n">
        <x:v>7904</x:v>
      </x:c>
      <x:c r="AD248" s="55" t="n">
        <x:v>2890</x:v>
      </x:c>
      <x:c r="AE248" s="55" t="n">
        <x:v>11814</x:v>
      </x:c>
      <x:c r="AF248" s="55" t="n">
        <x:v>11766</x:v>
      </x:c>
      <x:c r="AG248" s="55" t="n">
        <x:v>48</x:v>
      </x:c>
      <x:c r="AH248" s="55" t="n">
        <x:v>774</x:v>
      </x:c>
      <x:c r="AI248" s="55" t="n">
        <x:v>10992</x:v>
      </x:c>
      <x:c r="AJ248" s="55" t="n">
        <x:v>256</x:v>
      </x:c>
      <x:c r="AK248" s="55" t="n">
        <x:v>1283</x:v>
      </x:c>
      <x:c r="AL248" s="55" t="n">
        <x:v>2001</x:v>
      </x:c>
      <x:c r="AM248" s="55" t="n">
        <x:v>5336</x:v>
      </x:c>
      <x:c r="AN248" s="55" t="n">
        <x:v>2865</x:v>
      </x:c>
      <x:c r="AO248" s="55" t="n">
        <x:v>25</x:v>
      </x:c>
      <x:c r="AP248" s="55" t="n">
        <x:v>2257</x:v>
      </x:c>
      <x:c r="AQ248" s="55" t="n">
        <x:v>966</x:v>
      </x:c>
    </x:row>
    <x:row r="249">
      <x:c r="A249" s="54" t="str">
        <x:v>T1_SHARED_CATCHMENT</x:v>
      </x:c>
      <x:c r="B249" s="54" t="n">
        <x:v>243</x:v>
      </x:c>
      <x:c r="C249" s="54" t="str">
        <x:v>NYC-V2-R01</x:v>
      </x:c>
      <x:c r="D249" s="54" t="str">
        <x:v>V2</x:v>
      </x:c>
      <x:c r="E249" s="54" t="str">
        <x:v>ADMITTED</x:v>
      </x:c>
      <x:c r="F249" s="55" t="n">
        <x:v>32960</x:v>
      </x:c>
      <x:c r="G249" s="55" t="n">
        <x:v>8707</x:v>
      </x:c>
      <x:c r="H249" s="55" t="n">
        <x:v>2926</x:v>
      </x:c>
      <x:c r="I249" s="55" t="n">
        <x:v>1187</x:v>
      </x:c>
      <x:c r="J249" s="55" t="n">
        <x:v>80</x:v>
      </x:c>
      <x:c r="K249" s="55" t="n">
        <x:v>32960</x:v>
      </x:c>
      <x:c r="L249" s="55" t="n">
        <x:v>5762</x:v>
      </x:c>
      <x:c r="M249" s="55" t="n">
        <x:v>1222</x:v>
      </x:c>
      <x:c r="N249" s="55" t="n">
        <x:v>2843</x:v>
      </x:c>
      <x:c r="O249" s="55" t="n">
        <x:v>1697</x:v>
      </x:c>
      <x:c r="P249" s="55" t="n">
        <x:v>958</x:v>
      </x:c>
      <x:c r="Q249" s="55" t="n">
        <x:v>1687</x:v>
      </x:c>
      <x:c r="R249" s="55" t="n">
        <x:v>1658</x:v>
      </x:c>
      <x:c r="S249" s="55" t="n">
        <x:v>1983</x:v>
      </x:c>
      <x:c r="T249" s="55" t="n">
        <x:v>1152</x:v>
      </x:c>
      <x:c r="U249" s="55" t="n">
        <x:v>1987</x:v>
      </x:c>
      <x:c r="V249" s="55" t="n">
        <x:v>10323</x:v>
      </x:c>
      <x:c r="W249" s="55" t="n">
        <x:v>6755</x:v>
      </x:c>
      <x:c r="X249" s="55" t="n">
        <x:v>3568</x:v>
      </x:c>
      <x:c r="Y249" s="55" t="n">
        <x:v>3014</x:v>
      </x:c>
      <x:c r="Z249" s="55" t="n">
        <x:v>4200</x:v>
      </x:c>
      <x:c r="AA249" s="55" t="n">
        <x:v>2760</x:v>
      </x:c>
      <x:c r="AB249" s="55" t="n">
        <x:v>803</x:v>
      </x:c>
      <x:c r="AC249" s="55" t="n">
        <x:v>8338</x:v>
      </x:c>
      <x:c r="AD249" s="55" t="n">
        <x:v>2901</x:v>
      </x:c>
      <x:c r="AE249" s="55" t="n">
        <x:v>10466</x:v>
      </x:c>
      <x:c r="AF249" s="55" t="n">
        <x:v>10323</x:v>
      </x:c>
      <x:c r="AG249" s="55" t="n">
        <x:v>143</x:v>
      </x:c>
      <x:c r="AH249" s="55" t="n">
        <x:v>429</x:v>
      </x:c>
      <x:c r="AI249" s="55" t="n">
        <x:v>9894</x:v>
      </x:c>
      <x:c r="AJ249" s="55" t="n">
        <x:v>336</x:v>
      </x:c>
      <x:c r="AK249" s="55" t="n">
        <x:v>989</x:v>
      </x:c>
      <x:c r="AL249" s="55" t="n">
        <x:v>1487</x:v>
      </x:c>
      <x:c r="AM249" s="55" t="n">
        <x:v>4478</x:v>
      </x:c>
      <x:c r="AN249" s="55" t="n">
        <x:v>3029</x:v>
      </x:c>
      <x:c r="AO249" s="55" t="n">
        <x:v>4</x:v>
      </x:c>
      <x:c r="AP249" s="55" t="n">
        <x:v>2042</x:v>
      </x:c>
      <x:c r="AQ249" s="55" t="n">
        <x:v>938</x:v>
      </x:c>
    </x:row>
    <x:row r="250">
      <x:c r="A250" s="54" t="str">
        <x:v>T1_SHARED_CATCHMENT</x:v>
      </x:c>
      <x:c r="B250" s="54" t="n">
        <x:v>244</x:v>
      </x:c>
      <x:c r="C250" s="54" t="str">
        <x:v>NYC-V2-R01</x:v>
      </x:c>
      <x:c r="D250" s="54" t="str">
        <x:v>V2</x:v>
      </x:c>
      <x:c r="E250" s="54" t="str">
        <x:v>ADMITTED</x:v>
      </x:c>
      <x:c r="F250" s="55" t="n">
        <x:v>32519</x:v>
      </x:c>
      <x:c r="G250" s="55" t="n">
        <x:v>8166</x:v>
      </x:c>
      <x:c r="H250" s="55" t="n">
        <x:v>3506</x:v>
      </x:c>
      <x:c r="I250" s="55" t="n">
        <x:v>1294</x:v>
      </x:c>
      <x:c r="J250" s="55" t="n">
        <x:v>307</x:v>
      </x:c>
      <x:c r="K250" s="55" t="n">
        <x:v>32220</x:v>
      </x:c>
      <x:c r="L250" s="55" t="n">
        <x:v>7408</x:v>
      </x:c>
      <x:c r="M250" s="55" t="n">
        <x:v>1768</x:v>
      </x:c>
      <x:c r="N250" s="55" t="n">
        <x:v>3756</x:v>
      </x:c>
      <x:c r="O250" s="55" t="n">
        <x:v>1884</x:v>
      </x:c>
      <x:c r="P250" s="55" t="n">
        <x:v>968</x:v>
      </x:c>
      <x:c r="Q250" s="55" t="n">
        <x:v>2399</x:v>
      </x:c>
      <x:c r="R250" s="55" t="n">
        <x:v>1575</x:v>
      </x:c>
      <x:c r="S250" s="55" t="n">
        <x:v>2587</x:v>
      </x:c>
      <x:c r="T250" s="55" t="n">
        <x:v>1640</x:v>
      </x:c>
      <x:c r="U250" s="55" t="n">
        <x:v>1974</x:v>
      </x:c>
      <x:c r="V250" s="55" t="n">
        <x:v>10410</x:v>
      </x:c>
      <x:c r="W250" s="55" t="n">
        <x:v>7694</x:v>
      </x:c>
      <x:c r="X250" s="55" t="n">
        <x:v>2716</x:v>
      </x:c>
      <x:c r="Y250" s="55" t="n">
        <x:v>2331</x:v>
      </x:c>
      <x:c r="Z250" s="55" t="n">
        <x:v>3409</x:v>
      </x:c>
      <x:c r="AA250" s="55" t="n">
        <x:v>3506</x:v>
      </x:c>
      <x:c r="AB250" s="55" t="n">
        <x:v>1291</x:v>
      </x:c>
      <x:c r="AC250" s="55" t="n">
        <x:v>7874</x:v>
      </x:c>
      <x:c r="AD250" s="55" t="n">
        <x:v>2996</x:v>
      </x:c>
      <x:c r="AE250" s="55" t="n">
        <x:v>10533</x:v>
      </x:c>
      <x:c r="AF250" s="55" t="n">
        <x:v>10410</x:v>
      </x:c>
      <x:c r="AG250" s="55" t="n">
        <x:v>123</x:v>
      </x:c>
      <x:c r="AH250" s="55" t="n">
        <x:v>489</x:v>
      </x:c>
      <x:c r="AI250" s="55" t="n">
        <x:v>9921</x:v>
      </x:c>
      <x:c r="AJ250" s="55" t="n">
        <x:v>286</x:v>
      </x:c>
      <x:c r="AK250" s="55" t="n">
        <x:v>724</x:v>
      </x:c>
      <x:c r="AL250" s="55" t="n">
        <x:v>1672</x:v>
      </x:c>
      <x:c r="AM250" s="55" t="n">
        <x:v>4573</x:v>
      </x:c>
      <x:c r="AN250" s="55" t="n">
        <x:v>3132</x:v>
      </x:c>
      <x:c r="AO250" s="55" t="n">
        <x:v>23</x:v>
      </x:c>
      <x:c r="AP250" s="55" t="n">
        <x:v>2531</x:v>
      </x:c>
      <x:c r="AQ250" s="55" t="n">
        <x:v>1008</x:v>
      </x:c>
    </x:row>
    <x:row r="251">
      <x:c r="A251" s="54" t="str">
        <x:v>T1_SHARED_CATCHMENT</x:v>
      </x:c>
      <x:c r="B251" s="54" t="n">
        <x:v>245</x:v>
      </x:c>
      <x:c r="C251" s="54" t="str">
        <x:v>NYC-V2-R01</x:v>
      </x:c>
      <x:c r="D251" s="54" t="str">
        <x:v>V2</x:v>
      </x:c>
      <x:c r="E251" s="54" t="str">
        <x:v>ADMITTED</x:v>
      </x:c>
      <x:c r="F251" s="55" t="n">
        <x:v>31910</x:v>
      </x:c>
      <x:c r="G251" s="55" t="n">
        <x:v>8450</x:v>
      </x:c>
      <x:c r="H251" s="55" t="n">
        <x:v>3012</x:v>
      </x:c>
      <x:c r="I251" s="55" t="n">
        <x:v>1228</x:v>
      </x:c>
      <x:c r="J251" s="55" t="n">
        <x:v>235</x:v>
      </x:c>
      <x:c r="K251" s="55" t="n">
        <x:v>29757</x:v>
      </x:c>
      <x:c r="L251" s="55" t="n">
        <x:v>5805</x:v>
      </x:c>
      <x:c r="M251" s="55" t="n">
        <x:v>1488</x:v>
      </x:c>
      <x:c r="N251" s="55" t="n">
        <x:v>2652</x:v>
      </x:c>
      <x:c r="O251" s="55" t="n">
        <x:v>1665</x:v>
      </x:c>
      <x:c r="P251" s="55" t="n">
        <x:v>863</x:v>
      </x:c>
      <x:c r="Q251" s="55" t="n">
        <x:v>3086</x:v>
      </x:c>
      <x:c r="R251" s="55" t="n">
        <x:v>1767</x:v>
      </x:c>
      <x:c r="S251" s="55" t="n">
        <x:v>3208</x:v>
      </x:c>
      <x:c r="T251" s="55" t="n">
        <x:v>1125</x:v>
      </x:c>
      <x:c r="U251" s="55" t="n">
        <x:v>1810</x:v>
      </x:c>
      <x:c r="V251" s="55" t="n">
        <x:v>10819</x:v>
      </x:c>
      <x:c r="W251" s="55" t="n">
        <x:v>7865</x:v>
      </x:c>
      <x:c r="X251" s="55" t="n">
        <x:v>2954</x:v>
      </x:c>
      <x:c r="Y251" s="55" t="n">
        <x:v>2465</x:v>
      </x:c>
      <x:c r="Z251" s="55" t="n">
        <x:v>3397</x:v>
      </x:c>
      <x:c r="AA251" s="55" t="n">
        <x:v>2421</x:v>
      </x:c>
      <x:c r="AB251" s="55" t="n">
        <x:v>1061</x:v>
      </x:c>
      <x:c r="AC251" s="55" t="n">
        <x:v>8166</x:v>
      </x:c>
      <x:c r="AD251" s="55" t="n">
        <x:v>3586</x:v>
      </x:c>
      <x:c r="AE251" s="55" t="n">
        <x:v>10860</x:v>
      </x:c>
      <x:c r="AF251" s="55" t="n">
        <x:v>10819</x:v>
      </x:c>
      <x:c r="AG251" s="55" t="n">
        <x:v>41</x:v>
      </x:c>
      <x:c r="AH251" s="55" t="n">
        <x:v>344</x:v>
      </x:c>
      <x:c r="AI251" s="55" t="n">
        <x:v>10475</x:v>
      </x:c>
      <x:c r="AJ251" s="55" t="n">
        <x:v>231</x:v>
      </x:c>
      <x:c r="AK251" s="55" t="n">
        <x:v>1042</x:v>
      </x:c>
      <x:c r="AL251" s="55" t="n">
        <x:v>1705</x:v>
      </x:c>
      <x:c r="AM251" s="55" t="n">
        <x:v>4953</x:v>
      </x:c>
      <x:c r="AN251" s="55" t="n">
        <x:v>2857</x:v>
      </x:c>
      <x:c r="AO251" s="55" t="n">
        <x:v>31</x:v>
      </x:c>
      <x:c r="AP251" s="55" t="n">
        <x:v>1979</x:v>
      </x:c>
      <x:c r="AQ251" s="55" t="n">
        <x:v>949</x:v>
      </x:c>
    </x:row>
    <x:row r="252">
      <x:c r="A252" s="54" t="str">
        <x:v>T1_SHARED_CATCHMENT</x:v>
      </x:c>
      <x:c r="B252" s="54" t="n">
        <x:v>246</x:v>
      </x:c>
      <x:c r="C252" s="54" t="str">
        <x:v>NYC-V2-R01</x:v>
      </x:c>
      <x:c r="D252" s="54" t="str">
        <x:v>V2</x:v>
      </x:c>
      <x:c r="E252" s="54" t="str">
        <x:v>ADMITTED</x:v>
      </x:c>
      <x:c r="F252" s="55" t="n">
        <x:v>31146</x:v>
      </x:c>
      <x:c r="G252" s="55" t="n">
        <x:v>6780</x:v>
      </x:c>
      <x:c r="H252" s="55" t="n">
        <x:v>3508</x:v>
      </x:c>
      <x:c r="I252" s="55" t="n">
        <x:v>998</x:v>
      </x:c>
      <x:c r="J252" s="55" t="n">
        <x:v>222</x:v>
      </x:c>
      <x:c r="K252" s="55" t="n">
        <x:v>31146</x:v>
      </x:c>
      <x:c r="L252" s="55" t="n">
        <x:v>5849</x:v>
      </x:c>
      <x:c r="M252" s="55" t="n">
        <x:v>1170</x:v>
      </x:c>
      <x:c r="N252" s="55" t="n">
        <x:v>3022</x:v>
      </x:c>
      <x:c r="O252" s="55" t="n">
        <x:v>1657</x:v>
      </x:c>
      <x:c r="P252" s="55" t="n">
        <x:v>761</x:v>
      </x:c>
      <x:c r="Q252" s="55" t="n">
        <x:v>1997</x:v>
      </x:c>
      <x:c r="R252" s="55" t="n">
        <x:v>1843</x:v>
      </x:c>
      <x:c r="S252" s="55" t="n">
        <x:v>2804</x:v>
      </x:c>
      <x:c r="T252" s="55" t="n">
        <x:v>1244</x:v>
      </x:c>
      <x:c r="U252" s="55" t="n">
        <x:v>2373</x:v>
      </x:c>
      <x:c r="V252" s="55" t="n">
        <x:v>9834</x:v>
      </x:c>
      <x:c r="W252" s="55" t="n">
        <x:v>7080</x:v>
      </x:c>
      <x:c r="X252" s="55" t="n">
        <x:v>2754</x:v>
      </x:c>
      <x:c r="Y252" s="55" t="n">
        <x:v>2361</x:v>
      </x:c>
      <x:c r="Z252" s="55" t="n">
        <x:v>3940</x:v>
      </x:c>
      <x:c r="AA252" s="55" t="n">
        <x:v>3508</x:v>
      </x:c>
      <x:c r="AB252" s="55" t="n">
        <x:v>1440</x:v>
      </x:c>
      <x:c r="AC252" s="55" t="n">
        <x:v>8150</x:v>
      </x:c>
      <x:c r="AD252" s="55" t="n">
        <x:v>2816</x:v>
      </x:c>
      <x:c r="AE252" s="55" t="n">
        <x:v>9930</x:v>
      </x:c>
      <x:c r="AF252" s="55" t="n">
        <x:v>9834</x:v>
      </x:c>
      <x:c r="AG252" s="55" t="n">
        <x:v>96</x:v>
      </x:c>
      <x:c r="AH252" s="55" t="n">
        <x:v>323</x:v>
      </x:c>
      <x:c r="AI252" s="55" t="n">
        <x:v>9511</x:v>
      </x:c>
      <x:c r="AJ252" s="55" t="n">
        <x:v>505</x:v>
      </x:c>
      <x:c r="AK252" s="55" t="n">
        <x:v>865</x:v>
      </x:c>
      <x:c r="AL252" s="55" t="n">
        <x:v>1365</x:v>
      </x:c>
      <x:c r="AM252" s="55" t="n">
        <x:v>4857</x:v>
      </x:c>
      <x:c r="AN252" s="55" t="n">
        <x:v>2242</x:v>
      </x:c>
      <x:c r="AO252" s="55" t="n">
        <x:v>0</x:v>
      </x:c>
      <x:c r="AP252" s="55" t="n">
        <x:v>2085</x:v>
      </x:c>
      <x:c r="AQ252" s="55" t="n">
        <x:v>941</x:v>
      </x:c>
    </x:row>
    <x:row r="253">
      <x:c r="A253" s="54" t="str">
        <x:v>T1_SHARED_CATCHMENT</x:v>
      </x:c>
      <x:c r="B253" s="54" t="n">
        <x:v>247</x:v>
      </x:c>
      <x:c r="C253" s="54" t="str">
        <x:v>NYC-V2-R01</x:v>
      </x:c>
      <x:c r="D253" s="54" t="str">
        <x:v>V2</x:v>
      </x:c>
      <x:c r="E253" s="54" t="str">
        <x:v>ADMITTED</x:v>
      </x:c>
      <x:c r="F253" s="55" t="n">
        <x:v>28428</x:v>
      </x:c>
      <x:c r="G253" s="55" t="n">
        <x:v>5637</x:v>
      </x:c>
      <x:c r="H253" s="55" t="n">
        <x:v>3125</x:v>
      </x:c>
      <x:c r="I253" s="55" t="n">
        <x:v>1288</x:v>
      </x:c>
      <x:c r="J253" s="55" t="n">
        <x:v>156</x:v>
      </x:c>
      <x:c r="K253" s="55" t="n">
        <x:v>27924</x:v>
      </x:c>
      <x:c r="L253" s="55" t="n">
        <x:v>3963</x:v>
      </x:c>
      <x:c r="M253" s="55" t="n">
        <x:v>373</x:v>
      </x:c>
      <x:c r="N253" s="55" t="n">
        <x:v>2450</x:v>
      </x:c>
      <x:c r="O253" s="55" t="n">
        <x:v>1140</x:v>
      </x:c>
      <x:c r="P253" s="55" t="n">
        <x:v>357</x:v>
      </x:c>
      <x:c r="Q253" s="55" t="n">
        <x:v>1533</x:v>
      </x:c>
      <x:c r="R253" s="55" t="n">
        <x:v>1341</x:v>
      </x:c>
      <x:c r="S253" s="55" t="n">
        <x:v>2014</x:v>
      </x:c>
      <x:c r="T253" s="55" t="n">
        <x:v>607</x:v>
      </x:c>
      <x:c r="U253" s="55" t="n">
        <x:v>1373</x:v>
      </x:c>
      <x:c r="V253" s="55" t="n">
        <x:v>9900</x:v>
      </x:c>
      <x:c r="W253" s="55" t="n">
        <x:v>7097</x:v>
      </x:c>
      <x:c r="X253" s="55" t="n">
        <x:v>2803</x:v>
      </x:c>
      <x:c r="Y253" s="55" t="n">
        <x:v>2371</x:v>
      </x:c>
      <x:c r="Z253" s="55" t="n">
        <x:v>3479</x:v>
      </x:c>
      <x:c r="AA253" s="55" t="n">
        <x:v>2204</x:v>
      </x:c>
      <x:c r="AB253" s="55" t="n">
        <x:v>508</x:v>
      </x:c>
      <x:c r="AC253" s="55" t="n">
        <x:v>8305</x:v>
      </x:c>
      <x:c r="AD253" s="55" t="n">
        <x:v>2949</x:v>
      </x:c>
      <x:c r="AE253" s="55" t="n">
        <x:v>9922</x:v>
      </x:c>
      <x:c r="AF253" s="55" t="n">
        <x:v>9900</x:v>
      </x:c>
      <x:c r="AG253" s="55" t="n">
        <x:v>22</x:v>
      </x:c>
      <x:c r="AH253" s="55" t="n">
        <x:v>302</x:v>
      </x:c>
      <x:c r="AI253" s="55" t="n">
        <x:v>9598</x:v>
      </x:c>
      <x:c r="AJ253" s="55" t="n">
        <x:v>283</x:v>
      </x:c>
      <x:c r="AK253" s="55" t="n">
        <x:v>1250</x:v>
      </x:c>
      <x:c r="AL253" s="55" t="n">
        <x:v>1322</x:v>
      </x:c>
      <x:c r="AM253" s="55" t="n">
        <x:v>4692</x:v>
      </x:c>
      <x:c r="AN253" s="55" t="n">
        <x:v>2353</x:v>
      </x:c>
      <x:c r="AO253" s="55" t="n">
        <x:v>0</x:v>
      </x:c>
      <x:c r="AP253" s="55" t="n">
        <x:v>2353</x:v>
      </x:c>
      <x:c r="AQ253" s="55" t="n">
        <x:v>908</x:v>
      </x:c>
    </x:row>
    <x:row r="254">
      <x:c r="A254" s="54" t="str">
        <x:v>T1_SHARED_CATCHMENT</x:v>
      </x:c>
      <x:c r="B254" s="54" t="n">
        <x:v>248</x:v>
      </x:c>
      <x:c r="C254" s="54" t="str">
        <x:v>NYC-V2-R01</x:v>
      </x:c>
      <x:c r="D254" s="54" t="str">
        <x:v>V2</x:v>
      </x:c>
      <x:c r="E254" s="54" t="str">
        <x:v>ADMITTED</x:v>
      </x:c>
      <x:c r="F254" s="55" t="n">
        <x:v>31960</x:v>
      </x:c>
      <x:c r="G254" s="55" t="n">
        <x:v>6261</x:v>
      </x:c>
      <x:c r="H254" s="55" t="n">
        <x:v>3605</x:v>
      </x:c>
      <x:c r="I254" s="55" t="n">
        <x:v>1225</x:v>
      </x:c>
      <x:c r="J254" s="55" t="n">
        <x:v>263</x:v>
      </x:c>
      <x:c r="K254" s="55" t="n">
        <x:v>31960</x:v>
      </x:c>
      <x:c r="L254" s="55" t="n">
        <x:v>6336</x:v>
      </x:c>
      <x:c r="M254" s="55" t="n">
        <x:v>2308</x:v>
      </x:c>
      <x:c r="N254" s="55" t="n">
        <x:v>2391</x:v>
      </x:c>
      <x:c r="O254" s="55" t="n">
        <x:v>1637</x:v>
      </x:c>
      <x:c r="P254" s="55" t="n">
        <x:v>509</x:v>
      </x:c>
      <x:c r="Q254" s="55" t="n">
        <x:v>2140</x:v>
      </x:c>
      <x:c r="R254" s="55" t="n">
        <x:v>1634</x:v>
      </x:c>
      <x:c r="S254" s="55" t="n">
        <x:v>2801</x:v>
      </x:c>
      <x:c r="T254" s="55" t="n">
        <x:v>1106</x:v>
      </x:c>
      <x:c r="U254" s="55" t="n">
        <x:v>1926</x:v>
      </x:c>
      <x:c r="V254" s="55" t="n">
        <x:v>10542</x:v>
      </x:c>
      <x:c r="W254" s="55" t="n">
        <x:v>7372</x:v>
      </x:c>
      <x:c r="X254" s="55" t="n">
        <x:v>3170</x:v>
      </x:c>
      <x:c r="Y254" s="55" t="n">
        <x:v>2730</x:v>
      </x:c>
      <x:c r="Z254" s="55" t="n">
        <x:v>4000</x:v>
      </x:c>
      <x:c r="AA254" s="55" t="n">
        <x:v>2590</x:v>
      </x:c>
      <x:c r="AB254" s="55" t="n">
        <x:v>1215</x:v>
      </x:c>
      <x:c r="AC254" s="55" t="n">
        <x:v>8533</x:v>
      </x:c>
      <x:c r="AD254" s="55" t="n">
        <x:v>2820</x:v>
      </x:c>
      <x:c r="AE254" s="55" t="n">
        <x:v>10542</x:v>
      </x:c>
      <x:c r="AF254" s="55" t="n">
        <x:v>10542</x:v>
      </x:c>
      <x:c r="AG254" s="55" t="n">
        <x:v>0</x:v>
      </x:c>
      <x:c r="AH254" s="55" t="n">
        <x:v>689</x:v>
      </x:c>
      <x:c r="AI254" s="55" t="n">
        <x:v>9853</x:v>
      </x:c>
      <x:c r="AJ254" s="55" t="n">
        <x:v>520</x:v>
      </x:c>
      <x:c r="AK254" s="55" t="n">
        <x:v>888</x:v>
      </x:c>
      <x:c r="AL254" s="55" t="n">
        <x:v>1672</x:v>
      </x:c>
      <x:c r="AM254" s="55" t="n">
        <x:v>4963</x:v>
      </x:c>
      <x:c r="AN254" s="55" t="n">
        <x:v>2423</x:v>
      </x:c>
      <x:c r="AO254" s="55" t="n">
        <x:v>76</x:v>
      </x:c>
      <x:c r="AP254" s="55" t="n">
        <x:v>2202</x:v>
      </x:c>
      <x:c r="AQ254" s="55" t="n">
        <x:v>1009</x:v>
      </x:c>
    </x:row>
    <x:row r="255">
      <x:c r="A255" s="54" t="str">
        <x:v>T1_SHARED_CATCHMENT</x:v>
      </x:c>
      <x:c r="B255" s="54" t="n">
        <x:v>249</x:v>
      </x:c>
      <x:c r="C255" s="54" t="str">
        <x:v>NYC-V2-R01</x:v>
      </x:c>
      <x:c r="D255" s="54" t="str">
        <x:v>V2</x:v>
      </x:c>
      <x:c r="E255" s="54" t="str">
        <x:v>ADMITTED</x:v>
      </x:c>
      <x:c r="F255" s="55" t="n">
        <x:v>31125</x:v>
      </x:c>
      <x:c r="G255" s="55" t="n">
        <x:v>7503</x:v>
      </x:c>
      <x:c r="H255" s="55" t="n">
        <x:v>2999</x:v>
      </x:c>
      <x:c r="I255" s="55" t="n">
        <x:v>702</x:v>
      </x:c>
      <x:c r="J255" s="55" t="n">
        <x:v>100</x:v>
      </x:c>
      <x:c r="K255" s="55" t="n">
        <x:v>31125</x:v>
      </x:c>
      <x:c r="L255" s="55" t="n">
        <x:v>4697</x:v>
      </x:c>
      <x:c r="M255" s="55" t="n">
        <x:v>843</x:v>
      </x:c>
      <x:c r="N255" s="55" t="n">
        <x:v>2293</x:v>
      </x:c>
      <x:c r="O255" s="55" t="n">
        <x:v>1561</x:v>
      </x:c>
      <x:c r="P255" s="55" t="n">
        <x:v>843</x:v>
      </x:c>
      <x:c r="Q255" s="55" t="n">
        <x:v>3575</x:v>
      </x:c>
      <x:c r="R255" s="55" t="n">
        <x:v>1559</x:v>
      </x:c>
      <x:c r="S255" s="55" t="n">
        <x:v>2573</x:v>
      </x:c>
      <x:c r="T255" s="55" t="n">
        <x:v>975</x:v>
      </x:c>
      <x:c r="U255" s="55" t="n">
        <x:v>2672</x:v>
      </x:c>
      <x:c r="V255" s="55" t="n">
        <x:v>10377</x:v>
      </x:c>
      <x:c r="W255" s="55" t="n">
        <x:v>7404</x:v>
      </x:c>
      <x:c r="X255" s="55" t="n">
        <x:v>2973</x:v>
      </x:c>
      <x:c r="Y255" s="55" t="n">
        <x:v>2579</x:v>
      </x:c>
      <x:c r="Z255" s="55" t="n">
        <x:v>3253</x:v>
      </x:c>
      <x:c r="AA255" s="55" t="n">
        <x:v>2999</x:v>
      </x:c>
      <x:c r="AB255" s="55" t="n">
        <x:v>1029</x:v>
      </x:c>
      <x:c r="AC255" s="55" t="n">
        <x:v>7560</x:v>
      </x:c>
      <x:c r="AD255" s="55" t="n">
        <x:v>2271</x:v>
      </x:c>
      <x:c r="AE255" s="55" t="n">
        <x:v>10479</x:v>
      </x:c>
      <x:c r="AF255" s="55" t="n">
        <x:v>10377</x:v>
      </x:c>
      <x:c r="AG255" s="55" t="n">
        <x:v>102</x:v>
      </x:c>
      <x:c r="AH255" s="55" t="n">
        <x:v>307</x:v>
      </x:c>
      <x:c r="AI255" s="55" t="n">
        <x:v>10070</x:v>
      </x:c>
      <x:c r="AJ255" s="55" t="n">
        <x:v>343</x:v>
      </x:c>
      <x:c r="AK255" s="55" t="n">
        <x:v>1293</x:v>
      </x:c>
      <x:c r="AL255" s="55" t="n">
        <x:v>1197</x:v>
      </x:c>
      <x:c r="AM255" s="55" t="n">
        <x:v>4964</x:v>
      </x:c>
      <x:c r="AN255" s="55" t="n">
        <x:v>2580</x:v>
      </x:c>
      <x:c r="AO255" s="55" t="n">
        <x:v>0</x:v>
      </x:c>
      <x:c r="AP255" s="55" t="n">
        <x:v>2087</x:v>
      </x:c>
      <x:c r="AQ255" s="55" t="n">
        <x:v>971</x:v>
      </x:c>
    </x:row>
    <x:row r="256">
      <x:c r="A256" s="54" t="str">
        <x:v>T1_SHARED_CATCHMENT</x:v>
      </x:c>
      <x:c r="B256" s="54" t="n">
        <x:v>250</x:v>
      </x:c>
      <x:c r="C256" s="54" t="str">
        <x:v>NYC-V2-R01</x:v>
      </x:c>
      <x:c r="D256" s="54" t="str">
        <x:v>V2</x:v>
      </x:c>
      <x:c r="E256" s="54" t="str">
        <x:v>ADMITTED</x:v>
      </x:c>
      <x:c r="F256" s="55" t="n">
        <x:v>32146</x:v>
      </x:c>
      <x:c r="G256" s="55" t="n">
        <x:v>8231</x:v>
      </x:c>
      <x:c r="H256" s="55" t="n">
        <x:v>2755</x:v>
      </x:c>
      <x:c r="I256" s="55" t="n">
        <x:v>1246</x:v>
      </x:c>
      <x:c r="J256" s="55" t="n">
        <x:v>138</x:v>
      </x:c>
      <x:c r="K256" s="55" t="n">
        <x:v>32146</x:v>
      </x:c>
      <x:c r="L256" s="55" t="n">
        <x:v>5126</x:v>
      </x:c>
      <x:c r="M256" s="55" t="n">
        <x:v>84</x:v>
      </x:c>
      <x:c r="N256" s="55" t="n">
        <x:v>2988</x:v>
      </x:c>
      <x:c r="O256" s="55" t="n">
        <x:v>2054</x:v>
      </x:c>
      <x:c r="P256" s="55" t="n">
        <x:v>1308</x:v>
      </x:c>
      <x:c r="Q256" s="55" t="n">
        <x:v>2661</x:v>
      </x:c>
      <x:c r="R256" s="55" t="n">
        <x:v>1608</x:v>
      </x:c>
      <x:c r="S256" s="55" t="n">
        <x:v>2354</x:v>
      </x:c>
      <x:c r="T256" s="55" t="n">
        <x:v>809</x:v>
      </x:c>
      <x:c r="U256" s="55" t="n">
        <x:v>2080</x:v>
      </x:c>
      <x:c r="V256" s="55" t="n">
        <x:v>10649</x:v>
      </x:c>
      <x:c r="W256" s="55" t="n">
        <x:v>7573</x:v>
      </x:c>
      <x:c r="X256" s="55" t="n">
        <x:v>3076</x:v>
      </x:c>
      <x:c r="Y256" s="55" t="n">
        <x:v>2541</x:v>
      </x:c>
      <x:c r="Z256" s="55" t="n">
        <x:v>3485</x:v>
      </x:c>
      <x:c r="AA256" s="55" t="n">
        <x:v>2620</x:v>
      </x:c>
      <x:c r="AB256" s="55" t="n">
        <x:v>658</x:v>
      </x:c>
      <x:c r="AC256" s="55" t="n">
        <x:v>8197</x:v>
      </x:c>
      <x:c r="AD256" s="55" t="n">
        <x:v>3424</x:v>
      </x:c>
      <x:c r="AE256" s="55" t="n">
        <x:v>10712</x:v>
      </x:c>
      <x:c r="AF256" s="55" t="n">
        <x:v>10649</x:v>
      </x:c>
      <x:c r="AG256" s="55" t="n">
        <x:v>63</x:v>
      </x:c>
      <x:c r="AH256" s="55" t="n">
        <x:v>444</x:v>
      </x:c>
      <x:c r="AI256" s="55" t="n">
        <x:v>10205</x:v>
      </x:c>
      <x:c r="AJ256" s="55" t="n">
        <x:v>308</x:v>
      </x:c>
      <x:c r="AK256" s="55" t="n">
        <x:v>1414</x:v>
      </x:c>
      <x:c r="AL256" s="55" t="n">
        <x:v>1377</x:v>
      </x:c>
      <x:c r="AM256" s="55" t="n">
        <x:v>5071</x:v>
      </x:c>
      <x:c r="AN256" s="55" t="n">
        <x:v>2479</x:v>
      </x:c>
      <x:c r="AO256" s="55" t="n">
        <x:v>0</x:v>
      </x:c>
      <x:c r="AP256" s="55" t="n">
        <x:v>2326</x:v>
      </x:c>
      <x:c r="AQ256" s="55" t="n">
        <x:v>971</x:v>
      </x:c>
    </x:row>
    <x:row r="257">
      <x:c r="A257" s="54" t="str">
        <x:v>T1_SHARED_CATCHMENT</x:v>
      </x:c>
      <x:c r="B257" s="54" t="n">
        <x:v>251</x:v>
      </x:c>
      <x:c r="C257" s="54" t="str">
        <x:v>NYC-V2-R01</x:v>
      </x:c>
      <x:c r="D257" s="54" t="str">
        <x:v>V2</x:v>
      </x:c>
      <x:c r="E257" s="54" t="str">
        <x:v>ADMITTED</x:v>
      </x:c>
      <x:c r="F257" s="55" t="n">
        <x:v>30286</x:v>
      </x:c>
      <x:c r="G257" s="55" t="n">
        <x:v>7986</x:v>
      </x:c>
      <x:c r="H257" s="55" t="n">
        <x:v>3181</x:v>
      </x:c>
      <x:c r="I257" s="55" t="n">
        <x:v>834</x:v>
      </x:c>
      <x:c r="J257" s="55" t="n">
        <x:v>223</x:v>
      </x:c>
      <x:c r="K257" s="55" t="n">
        <x:v>30286</x:v>
      </x:c>
      <x:c r="L257" s="55" t="n">
        <x:v>5969</x:v>
      </x:c>
      <x:c r="M257" s="55" t="n">
        <x:v>1745</x:v>
      </x:c>
      <x:c r="N257" s="55" t="n">
        <x:v>2358</x:v>
      </x:c>
      <x:c r="O257" s="55" t="n">
        <x:v>1866</x:v>
      </x:c>
      <x:c r="P257" s="55" t="n">
        <x:v>1182</x:v>
      </x:c>
      <x:c r="Q257" s="55" t="n">
        <x:v>2614</x:v>
      </x:c>
      <x:c r="R257" s="55" t="n">
        <x:v>2325</x:v>
      </x:c>
      <x:c r="S257" s="55" t="n">
        <x:v>2571</x:v>
      </x:c>
      <x:c r="T257" s="55" t="n">
        <x:v>979</x:v>
      </x:c>
      <x:c r="U257" s="55" t="n">
        <x:v>2350</x:v>
      </x:c>
      <x:c r="V257" s="55" t="n">
        <x:v>10788</x:v>
      </x:c>
      <x:c r="W257" s="55" t="n">
        <x:v>7684</x:v>
      </x:c>
      <x:c r="X257" s="55" t="n">
        <x:v>3104</x:v>
      </x:c>
      <x:c r="Y257" s="55" t="n">
        <x:v>2799</x:v>
      </x:c>
      <x:c r="Z257" s="55" t="n">
        <x:v>3964</x:v>
      </x:c>
      <x:c r="AA257" s="55" t="n">
        <x:v>2728</x:v>
      </x:c>
      <x:c r="AB257" s="55" t="n">
        <x:v>874</x:v>
      </x:c>
      <x:c r="AC257" s="55" t="n">
        <x:v>8470</x:v>
      </x:c>
      <x:c r="AD257" s="55" t="n">
        <x:v>2278</x:v>
      </x:c>
      <x:c r="AE257" s="55" t="n">
        <x:v>10853</x:v>
      </x:c>
      <x:c r="AF257" s="55" t="n">
        <x:v>10788</x:v>
      </x:c>
      <x:c r="AG257" s="55" t="n">
        <x:v>65</x:v>
      </x:c>
      <x:c r="AH257" s="55" t="n">
        <x:v>377</x:v>
      </x:c>
      <x:c r="AI257" s="55" t="n">
        <x:v>10411</x:v>
      </x:c>
      <x:c r="AJ257" s="55" t="n">
        <x:v>483</x:v>
      </x:c>
      <x:c r="AK257" s="55" t="n">
        <x:v>1145</x:v>
      </x:c>
      <x:c r="AL257" s="55" t="n">
        <x:v>1670</x:v>
      </x:c>
      <x:c r="AM257" s="55" t="n">
        <x:v>5611</x:v>
      </x:c>
      <x:c r="AN257" s="55" t="n">
        <x:v>1868</x:v>
      </x:c>
      <x:c r="AO257" s="55" t="n">
        <x:v>11</x:v>
      </x:c>
      <x:c r="AP257" s="55" t="n">
        <x:v>1919</x:v>
      </x:c>
      <x:c r="AQ257" s="55" t="n">
        <x:v>939</x:v>
      </x:c>
    </x:row>
    <x:row r="258">
      <x:c r="A258" s="54" t="str">
        <x:v>T1_SHARED_CATCHMENT</x:v>
      </x:c>
      <x:c r="B258" s="54" t="n">
        <x:v>252</x:v>
      </x:c>
      <x:c r="C258" s="54" t="str">
        <x:v>NYC-V2-R01</x:v>
      </x:c>
      <x:c r="D258" s="54" t="str">
        <x:v>V2</x:v>
      </x:c>
      <x:c r="E258" s="54" t="str">
        <x:v>ADMITTED</x:v>
      </x:c>
      <x:c r="F258" s="55" t="n">
        <x:v>30309</x:v>
      </x:c>
      <x:c r="G258" s="55" t="n">
        <x:v>7260</x:v>
      </x:c>
      <x:c r="H258" s="55" t="n">
        <x:v>3225</x:v>
      </x:c>
      <x:c r="I258" s="55" t="n">
        <x:v>1189</x:v>
      </x:c>
      <x:c r="J258" s="55" t="n">
        <x:v>321</x:v>
      </x:c>
      <x:c r="K258" s="55" t="n">
        <x:v>30309</x:v>
      </x:c>
      <x:c r="L258" s="55" t="n">
        <x:v>5805</x:v>
      </x:c>
      <x:c r="M258" s="55" t="n">
        <x:v>1581</x:v>
      </x:c>
      <x:c r="N258" s="55" t="n">
        <x:v>2565</x:v>
      </x:c>
      <x:c r="O258" s="55" t="n">
        <x:v>1659</x:v>
      </x:c>
      <x:c r="P258" s="55" t="n">
        <x:v>937</x:v>
      </x:c>
      <x:c r="Q258" s="55" t="n">
        <x:v>2122</x:v>
      </x:c>
      <x:c r="R258" s="55" t="n">
        <x:v>1890</x:v>
      </x:c>
      <x:c r="S258" s="55" t="n">
        <x:v>2681</x:v>
      </x:c>
      <x:c r="T258" s="55" t="n">
        <x:v>1197</x:v>
      </x:c>
      <x:c r="U258" s="55" t="n">
        <x:v>1994</x:v>
      </x:c>
      <x:c r="V258" s="55" t="n">
        <x:v>11224</x:v>
      </x:c>
      <x:c r="W258" s="55" t="n">
        <x:v>8011</x:v>
      </x:c>
      <x:c r="X258" s="55" t="n">
        <x:v>3213</x:v>
      </x:c>
      <x:c r="Y258" s="55" t="n">
        <x:v>2754</x:v>
      </x:c>
      <x:c r="Z258" s="55" t="n">
        <x:v>2943</x:v>
      </x:c>
      <x:c r="AA258" s="55" t="n">
        <x:v>3225</x:v>
      </x:c>
      <x:c r="AB258" s="55" t="n">
        <x:v>954</x:v>
      </x:c>
      <x:c r="AC258" s="55" t="n">
        <x:v>8782</x:v>
      </x:c>
      <x:c r="AD258" s="55" t="n">
        <x:v>3409</x:v>
      </x:c>
      <x:c r="AE258" s="55" t="n">
        <x:v>11288</x:v>
      </x:c>
      <x:c r="AF258" s="55" t="n">
        <x:v>11224</x:v>
      </x:c>
      <x:c r="AG258" s="55" t="n">
        <x:v>64</x:v>
      </x:c>
      <x:c r="AH258" s="55" t="n">
        <x:v>617</x:v>
      </x:c>
      <x:c r="AI258" s="55" t="n">
        <x:v>10607</x:v>
      </x:c>
      <x:c r="AJ258" s="55" t="n">
        <x:v>478</x:v>
      </x:c>
      <x:c r="AK258" s="55" t="n">
        <x:v>1497</x:v>
      </x:c>
      <x:c r="AL258" s="55" t="n">
        <x:v>1523</x:v>
      </x:c>
      <x:c r="AM258" s="55" t="n">
        <x:v>4613</x:v>
      </x:c>
      <x:c r="AN258" s="55" t="n">
        <x:v>3048</x:v>
      </x:c>
      <x:c r="AO258" s="55" t="n">
        <x:v>65</x:v>
      </x:c>
      <x:c r="AP258" s="55" t="n">
        <x:v>2559</x:v>
      </x:c>
      <x:c r="AQ258" s="55" t="n">
        <x:v>989</x:v>
      </x:c>
    </x:row>
    <x:row r="259">
      <x:c r="A259" s="54" t="str">
        <x:v>T1_SHARED_CATCHMENT</x:v>
      </x:c>
      <x:c r="B259" s="54" t="n">
        <x:v>253</x:v>
      </x:c>
      <x:c r="C259" s="54" t="str">
        <x:v>NYC-V2-R01</x:v>
      </x:c>
      <x:c r="D259" s="54" t="str">
        <x:v>V2</x:v>
      </x:c>
      <x:c r="E259" s="54" t="str">
        <x:v>ADMITTED</x:v>
      </x:c>
      <x:c r="F259" s="55" t="n">
        <x:v>31252</x:v>
      </x:c>
      <x:c r="G259" s="55" t="n">
        <x:v>8839</x:v>
      </x:c>
      <x:c r="H259" s="55" t="n">
        <x:v>3081</x:v>
      </x:c>
      <x:c r="I259" s="55" t="n">
        <x:v>927</x:v>
      </x:c>
      <x:c r="J259" s="55" t="n">
        <x:v>13</x:v>
      </x:c>
      <x:c r="K259" s="55" t="n">
        <x:v>29707</x:v>
      </x:c>
      <x:c r="L259" s="55" t="n">
        <x:v>6359</x:v>
      </x:c>
      <x:c r="M259" s="55" t="n">
        <x:v>1166</x:v>
      </x:c>
      <x:c r="N259" s="55" t="n">
        <x:v>3357</x:v>
      </x:c>
      <x:c r="O259" s="55" t="n">
        <x:v>1836</x:v>
      </x:c>
      <x:c r="P259" s="55" t="n">
        <x:v>978</x:v>
      </x:c>
      <x:c r="Q259" s="55" t="n">
        <x:v>3231</x:v>
      </x:c>
      <x:c r="R259" s="55" t="n">
        <x:v>1895</x:v>
      </x:c>
      <x:c r="S259" s="55" t="n">
        <x:v>2851</x:v>
      </x:c>
      <x:c r="T259" s="55" t="n">
        <x:v>1464</x:v>
      </x:c>
      <x:c r="U259" s="55" t="n">
        <x:v>2452</x:v>
      </x:c>
      <x:c r="V259" s="55" t="n">
        <x:v>10853</x:v>
      </x:c>
      <x:c r="W259" s="55" t="n">
        <x:v>8095</x:v>
      </x:c>
      <x:c r="X259" s="55" t="n">
        <x:v>2758</x:v>
      </x:c>
      <x:c r="Y259" s="55" t="n">
        <x:v>2481</x:v>
      </x:c>
      <x:c r="Z259" s="55" t="n">
        <x:v>3680</x:v>
      </x:c>
      <x:c r="AA259" s="55" t="n">
        <x:v>3081</x:v>
      </x:c>
      <x:c r="AB259" s="55" t="n">
        <x:v>1052</x:v>
      </x:c>
      <x:c r="AC259" s="55" t="n">
        <x:v>7938</x:v>
      </x:c>
      <x:c r="AD259" s="55" t="n">
        <x:v>3614</x:v>
      </x:c>
      <x:c r="AE259" s="55" t="n">
        <x:v>10853</x:v>
      </x:c>
      <x:c r="AF259" s="55" t="n">
        <x:v>10853</x:v>
      </x:c>
      <x:c r="AG259" s="55" t="n">
        <x:v>0</x:v>
      </x:c>
      <x:c r="AH259" s="55" t="n">
        <x:v>402</x:v>
      </x:c>
      <x:c r="AI259" s="55" t="n">
        <x:v>10451</x:v>
      </x:c>
      <x:c r="AJ259" s="55" t="n">
        <x:v>405</x:v>
      </x:c>
      <x:c r="AK259" s="55" t="n">
        <x:v>915</x:v>
      </x:c>
      <x:c r="AL259" s="55" t="n">
        <x:v>1483</x:v>
      </x:c>
      <x:c r="AM259" s="55" t="n">
        <x:v>5192</x:v>
      </x:c>
      <x:c r="AN259" s="55" t="n">
        <x:v>2786</x:v>
      </x:c>
      <x:c r="AO259" s="55" t="n">
        <x:v>72</x:v>
      </x:c>
      <x:c r="AP259" s="55" t="n">
        <x:v>2512</x:v>
      </x:c>
      <x:c r="AQ259" s="55" t="n">
        <x:v>949</x:v>
      </x:c>
    </x:row>
    <x:row r="260">
      <x:c r="A260" s="54" t="str">
        <x:v>T1_SHARED_CATCHMENT</x:v>
      </x:c>
      <x:c r="B260" s="54" t="n">
        <x:v>254</x:v>
      </x:c>
      <x:c r="C260" s="54" t="str">
        <x:v>NYC-V2-R01</x:v>
      </x:c>
      <x:c r="D260" s="54" t="str">
        <x:v>V2</x:v>
      </x:c>
      <x:c r="E260" s="54" t="str">
        <x:v>ADMITTED</x:v>
      </x:c>
      <x:c r="F260" s="55" t="n">
        <x:v>30748</x:v>
      </x:c>
      <x:c r="G260" s="55" t="n">
        <x:v>8059</x:v>
      </x:c>
      <x:c r="H260" s="55" t="n">
        <x:v>3024</x:v>
      </x:c>
      <x:c r="I260" s="55" t="n">
        <x:v>1033</x:v>
      </x:c>
      <x:c r="J260" s="55" t="n">
        <x:v>155</x:v>
      </x:c>
      <x:c r="K260" s="55" t="n">
        <x:v>30748</x:v>
      </x:c>
      <x:c r="L260" s="55" t="n">
        <x:v>4277</x:v>
      </x:c>
      <x:c r="M260" s="55" t="n">
        <x:v>498</x:v>
      </x:c>
      <x:c r="N260" s="55" t="n">
        <x:v>2376</x:v>
      </x:c>
      <x:c r="O260" s="55" t="n">
        <x:v>1403</x:v>
      </x:c>
      <x:c r="P260" s="55" t="n">
        <x:v>670</x:v>
      </x:c>
      <x:c r="Q260" s="55" t="n">
        <x:v>3106</x:v>
      </x:c>
      <x:c r="R260" s="55" t="n">
        <x:v>1693</x:v>
      </x:c>
      <x:c r="S260" s="55" t="n">
        <x:v>2124</x:v>
      </x:c>
      <x:c r="T260" s="55" t="n">
        <x:v>1162</x:v>
      </x:c>
      <x:c r="U260" s="55" t="n">
        <x:v>1940</x:v>
      </x:c>
      <x:c r="V260" s="55" t="n">
        <x:v>10655</x:v>
      </x:c>
      <x:c r="W260" s="55" t="n">
        <x:v>7862</x:v>
      </x:c>
      <x:c r="X260" s="55" t="n">
        <x:v>2793</x:v>
      </x:c>
      <x:c r="Y260" s="55" t="n">
        <x:v>2343</x:v>
      </x:c>
      <x:c r="Z260" s="55" t="n">
        <x:v>4058</x:v>
      </x:c>
      <x:c r="AA260" s="55" t="n">
        <x:v>2933</x:v>
      </x:c>
      <x:c r="AB260" s="55" t="n">
        <x:v>930</x:v>
      </x:c>
      <x:c r="AC260" s="55" t="n">
        <x:v>8735</x:v>
      </x:c>
      <x:c r="AD260" s="55" t="n">
        <x:v>2791</x:v>
      </x:c>
      <x:c r="AE260" s="55" t="n">
        <x:v>10765</x:v>
      </x:c>
      <x:c r="AF260" s="55" t="n">
        <x:v>10655</x:v>
      </x:c>
      <x:c r="AG260" s="55" t="n">
        <x:v>110</x:v>
      </x:c>
      <x:c r="AH260" s="55" t="n">
        <x:v>496</x:v>
      </x:c>
      <x:c r="AI260" s="55" t="n">
        <x:v>10159</x:v>
      </x:c>
      <x:c r="AJ260" s="55" t="n">
        <x:v>293</x:v>
      </x:c>
      <x:c r="AK260" s="55" t="n">
        <x:v>794</x:v>
      </x:c>
      <x:c r="AL260" s="55" t="n">
        <x:v>1534</x:v>
      </x:c>
      <x:c r="AM260" s="55" t="n">
        <x:v>5506</x:v>
      </x:c>
      <x:c r="AN260" s="55" t="n">
        <x:v>2524</x:v>
      </x:c>
      <x:c r="AO260" s="55" t="n">
        <x:v>4</x:v>
      </x:c>
      <x:c r="AP260" s="55" t="n">
        <x:v>2159</x:v>
      </x:c>
      <x:c r="AQ260" s="55" t="n">
        <x:v>1027</x:v>
      </x:c>
    </x:row>
    <x:row r="261">
      <x:c r="A261" s="54" t="str">
        <x:v>T1_SHARED_CATCHMENT</x:v>
      </x:c>
      <x:c r="B261" s="54" t="n">
        <x:v>255</x:v>
      </x:c>
      <x:c r="C261" s="54" t="str">
        <x:v>NYC-V2-R01</x:v>
      </x:c>
      <x:c r="D261" s="54" t="str">
        <x:v>V2</x:v>
      </x:c>
      <x:c r="E261" s="54" t="str">
        <x:v>ADMITTED</x:v>
      </x:c>
      <x:c r="F261" s="55" t="n">
        <x:v>29897</x:v>
      </x:c>
      <x:c r="G261" s="55" t="n">
        <x:v>7198</x:v>
      </x:c>
      <x:c r="H261" s="55" t="n">
        <x:v>3298</x:v>
      </x:c>
      <x:c r="I261" s="55" t="n">
        <x:v>1595</x:v>
      </x:c>
      <x:c r="J261" s="55" t="n">
        <x:v>184</x:v>
      </x:c>
      <x:c r="K261" s="55" t="n">
        <x:v>28562</x:v>
      </x:c>
      <x:c r="L261" s="55" t="n">
        <x:v>5000</x:v>
      </x:c>
      <x:c r="M261" s="55" t="n">
        <x:v>818</x:v>
      </x:c>
      <x:c r="N261" s="55" t="n">
        <x:v>2499</x:v>
      </x:c>
      <x:c r="O261" s="55" t="n">
        <x:v>1683</x:v>
      </x:c>
      <x:c r="P261" s="55" t="n">
        <x:v>473</x:v>
      </x:c>
      <x:c r="Q261" s="55" t="n">
        <x:v>2760</x:v>
      </x:c>
      <x:c r="R261" s="55" t="n">
        <x:v>1689</x:v>
      </x:c>
      <x:c r="S261" s="55" t="n">
        <x:v>2928</x:v>
      </x:c>
      <x:c r="T261" s="55" t="n">
        <x:v>1020</x:v>
      </x:c>
      <x:c r="U261" s="55" t="n">
        <x:v>1924</x:v>
      </x:c>
      <x:c r="V261" s="55" t="n">
        <x:v>9915</x:v>
      </x:c>
      <x:c r="W261" s="55" t="n">
        <x:v>6483</x:v>
      </x:c>
      <x:c r="X261" s="55" t="n">
        <x:v>3432</x:v>
      </x:c>
      <x:c r="Y261" s="55" t="n">
        <x:v>3068</x:v>
      </x:c>
      <x:c r="Z261" s="55" t="n">
        <x:v>3522</x:v>
      </x:c>
      <x:c r="AA261" s="55" t="n">
        <x:v>2901</x:v>
      </x:c>
      <x:c r="AB261" s="55" t="n">
        <x:v>641</x:v>
      </x:c>
      <x:c r="AC261" s="55" t="n">
        <x:v>7662</x:v>
      </x:c>
      <x:c r="AD261" s="55" t="n">
        <x:v>2247</x:v>
      </x:c>
      <x:c r="AE261" s="55" t="n">
        <x:v>10064</x:v>
      </x:c>
      <x:c r="AF261" s="55" t="n">
        <x:v>9915</x:v>
      </x:c>
      <x:c r="AG261" s="55" t="n">
        <x:v>149</x:v>
      </x:c>
      <x:c r="AH261" s="55" t="n">
        <x:v>305</x:v>
      </x:c>
      <x:c r="AI261" s="55" t="n">
        <x:v>9610</x:v>
      </x:c>
      <x:c r="AJ261" s="55" t="n">
        <x:v>314</x:v>
      </x:c>
      <x:c r="AK261" s="55" t="n">
        <x:v>821</x:v>
      </x:c>
      <x:c r="AL261" s="55" t="n">
        <x:v>1947</x:v>
      </x:c>
      <x:c r="AM261" s="55" t="n">
        <x:v>4927</x:v>
      </x:c>
      <x:c r="AN261" s="55" t="n">
        <x:v>1900</x:v>
      </x:c>
      <x:c r="AO261" s="55" t="n">
        <x:v>6</x:v>
      </x:c>
      <x:c r="AP261" s="55" t="n">
        <x:v>2584</x:v>
      </x:c>
      <x:c r="AQ261" s="55" t="n">
        <x:v>969</x:v>
      </x:c>
    </x:row>
    <x:row r="262">
      <x:c r="A262" s="54" t="str">
        <x:v>T1_SHARED_CATCHMENT</x:v>
      </x:c>
      <x:c r="B262" s="54" t="n">
        <x:v>256</x:v>
      </x:c>
      <x:c r="C262" s="54" t="str">
        <x:v>NYC-V2-R01</x:v>
      </x:c>
      <x:c r="D262" s="54" t="str">
        <x:v>V2</x:v>
      </x:c>
      <x:c r="E262" s="54" t="str">
        <x:v>ADMITTED</x:v>
      </x:c>
      <x:c r="F262" s="55" t="n">
        <x:v>31008</x:v>
      </x:c>
      <x:c r="G262" s="55" t="n">
        <x:v>8586</x:v>
      </x:c>
      <x:c r="H262" s="55" t="n">
        <x:v>3461</x:v>
      </x:c>
      <x:c r="I262" s="55" t="n">
        <x:v>1385</x:v>
      </x:c>
      <x:c r="J262" s="55" t="n">
        <x:v>244</x:v>
      </x:c>
      <x:c r="K262" s="55" t="n">
        <x:v>31008</x:v>
      </x:c>
      <x:c r="L262" s="55" t="n">
        <x:v>5796</x:v>
      </x:c>
      <x:c r="M262" s="55" t="n">
        <x:v>1430</x:v>
      </x:c>
      <x:c r="N262" s="55" t="n">
        <x:v>2611</x:v>
      </x:c>
      <x:c r="O262" s="55" t="n">
        <x:v>1755</x:v>
      </x:c>
      <x:c r="P262" s="55" t="n">
        <x:v>498</x:v>
      </x:c>
      <x:c r="Q262" s="55" t="n">
        <x:v>2750</x:v>
      </x:c>
      <x:c r="R262" s="55" t="n">
        <x:v>1803</x:v>
      </x:c>
      <x:c r="S262" s="55" t="n">
        <x:v>2622</x:v>
      </x:c>
      <x:c r="T262" s="55" t="n">
        <x:v>1141</x:v>
      </x:c>
      <x:c r="U262" s="55" t="n">
        <x:v>2475</x:v>
      </x:c>
      <x:c r="V262" s="55" t="n">
        <x:v>10622</x:v>
      </x:c>
      <x:c r="W262" s="55" t="n">
        <x:v>7286</x:v>
      </x:c>
      <x:c r="X262" s="55" t="n">
        <x:v>3336</x:v>
      </x:c>
      <x:c r="Y262" s="55" t="n">
        <x:v>2715</x:v>
      </x:c>
      <x:c r="Z262" s="55" t="n">
        <x:v>3917</x:v>
      </x:c>
      <x:c r="AA262" s="55" t="n">
        <x:v>3461</x:v>
      </x:c>
      <x:c r="AB262" s="55" t="n">
        <x:v>1408</x:v>
      </x:c>
      <x:c r="AC262" s="55" t="n">
        <x:v>8090</x:v>
      </x:c>
      <x:c r="AD262" s="55" t="n">
        <x:v>2916</x:v>
      </x:c>
      <x:c r="AE262" s="55" t="n">
        <x:v>10705</x:v>
      </x:c>
      <x:c r="AF262" s="55" t="n">
        <x:v>10622</x:v>
      </x:c>
      <x:c r="AG262" s="55" t="n">
        <x:v>83</x:v>
      </x:c>
      <x:c r="AH262" s="55" t="n">
        <x:v>763</x:v>
      </x:c>
      <x:c r="AI262" s="55" t="n">
        <x:v>9859</x:v>
      </x:c>
      <x:c r="AJ262" s="55" t="n">
        <x:v>328</x:v>
      </x:c>
      <x:c r="AK262" s="55" t="n">
        <x:v>1036</x:v>
      </x:c>
      <x:c r="AL262" s="55" t="n">
        <x:v>1579</x:v>
      </x:c>
      <x:c r="AM262" s="55" t="n">
        <x:v>4937</x:v>
      </x:c>
      <x:c r="AN262" s="55" t="n">
        <x:v>2690</x:v>
      </x:c>
      <x:c r="AO262" s="55" t="n">
        <x:v>52</x:v>
      </x:c>
      <x:c r="AP262" s="55" t="n">
        <x:v>2468</x:v>
      </x:c>
      <x:c r="AQ262" s="55" t="n">
        <x:v>920</x:v>
      </x:c>
    </x:row>
    <x:row r="263">
      <x:c r="A263" s="54" t="str">
        <x:v>T1_SHARED_CATCHMENT</x:v>
      </x:c>
      <x:c r="B263" s="54" t="n">
        <x:v>257</x:v>
      </x:c>
      <x:c r="C263" s="54" t="str">
        <x:v>NYC-V2-R01</x:v>
      </x:c>
      <x:c r="D263" s="54" t="str">
        <x:v>V2</x:v>
      </x:c>
      <x:c r="E263" s="54" t="str">
        <x:v>ADMITTED</x:v>
      </x:c>
      <x:c r="F263" s="55" t="n">
        <x:v>32610</x:v>
      </x:c>
      <x:c r="G263" s="55" t="n">
        <x:v>7980</x:v>
      </x:c>
      <x:c r="H263" s="55" t="n">
        <x:v>3594</x:v>
      </x:c>
      <x:c r="I263" s="55" t="n">
        <x:v>1689</x:v>
      </x:c>
      <x:c r="J263" s="55" t="n">
        <x:v>211</x:v>
      </x:c>
      <x:c r="K263" s="55" t="n">
        <x:v>32610</x:v>
      </x:c>
      <x:c r="L263" s="55" t="n">
        <x:v>6200</x:v>
      </x:c>
      <x:c r="M263" s="55" t="n">
        <x:v>1811</x:v>
      </x:c>
      <x:c r="N263" s="55" t="n">
        <x:v>2802</x:v>
      </x:c>
      <x:c r="O263" s="55" t="n">
        <x:v>1587</x:v>
      </x:c>
      <x:c r="P263" s="55" t="n">
        <x:v>1098</x:v>
      </x:c>
      <x:c r="Q263" s="55" t="n">
        <x:v>2134</x:v>
      </x:c>
      <x:c r="R263" s="55" t="n">
        <x:v>1906</x:v>
      </x:c>
      <x:c r="S263" s="55" t="n">
        <x:v>2761</x:v>
      </x:c>
      <x:c r="T263" s="55" t="n">
        <x:v>867</x:v>
      </x:c>
      <x:c r="U263" s="55" t="n">
        <x:v>2095</x:v>
      </x:c>
      <x:c r="V263" s="55" t="n">
        <x:v>9615</x:v>
      </x:c>
      <x:c r="W263" s="55" t="n">
        <x:v>6048</x:v>
      </x:c>
      <x:c r="X263" s="55" t="n">
        <x:v>3567</x:v>
      </x:c>
      <x:c r="Y263" s="55" t="n">
        <x:v>3183</x:v>
      </x:c>
      <x:c r="Z263" s="55" t="n">
        <x:v>4073</x:v>
      </x:c>
      <x:c r="AA263" s="55" t="n">
        <x:v>3594</x:v>
      </x:c>
      <x:c r="AB263" s="55" t="n">
        <x:v>1425</x:v>
      </x:c>
      <x:c r="AC263" s="55" t="n">
        <x:v>8198</x:v>
      </x:c>
      <x:c r="AD263" s="55" t="n">
        <x:v>2701</x:v>
      </x:c>
      <x:c r="AE263" s="55" t="n">
        <x:v>9699</x:v>
      </x:c>
      <x:c r="AF263" s="55" t="n">
        <x:v>9615</x:v>
      </x:c>
      <x:c r="AG263" s="55" t="n">
        <x:v>84</x:v>
      </x:c>
      <x:c r="AH263" s="55" t="n">
        <x:v>72</x:v>
      </x:c>
      <x:c r="AI263" s="55" t="n">
        <x:v>9543</x:v>
      </x:c>
      <x:c r="AJ263" s="55" t="n">
        <x:v>356</x:v>
      </x:c>
      <x:c r="AK263" s="55" t="n">
        <x:v>662</x:v>
      </x:c>
      <x:c r="AL263" s="55" t="n">
        <x:v>1081</x:v>
      </x:c>
      <x:c r="AM263" s="55" t="n">
        <x:v>4893</x:v>
      </x:c>
      <x:c r="AN263" s="55" t="n">
        <x:v>2609</x:v>
      </x:c>
      <x:c r="AO263" s="55" t="n">
        <x:v>14</x:v>
      </x:c>
      <x:c r="AP263" s="55" t="n">
        <x:v>2077</x:v>
      </x:c>
      <x:c r="AQ263" s="55" t="n">
        <x:v>970</x:v>
      </x:c>
    </x:row>
    <x:row r="264">
      <x:c r="A264" s="54" t="str">
        <x:v>T1_SHARED_CATCHMENT</x:v>
      </x:c>
      <x:c r="B264" s="54" t="n">
        <x:v>258</x:v>
      </x:c>
      <x:c r="C264" s="54" t="str">
        <x:v>NYC-V2-R01</x:v>
      </x:c>
      <x:c r="D264" s="54" t="str">
        <x:v>V2</x:v>
      </x:c>
      <x:c r="E264" s="54" t="str">
        <x:v>ADMITTED</x:v>
      </x:c>
      <x:c r="F264" s="55" t="n">
        <x:v>32335</x:v>
      </x:c>
      <x:c r="G264" s="55" t="n">
        <x:v>8205</x:v>
      </x:c>
      <x:c r="H264" s="55" t="n">
        <x:v>3155</x:v>
      </x:c>
      <x:c r="I264" s="55" t="n">
        <x:v>978</x:v>
      </x:c>
      <x:c r="J264" s="55" t="n">
        <x:v>272</x:v>
      </x:c>
      <x:c r="K264" s="55" t="n">
        <x:v>32335</x:v>
      </x:c>
      <x:c r="L264" s="55" t="n">
        <x:v>6236</x:v>
      </x:c>
      <x:c r="M264" s="55" t="n">
        <x:v>1840</x:v>
      </x:c>
      <x:c r="N264" s="55" t="n">
        <x:v>2788</x:v>
      </x:c>
      <x:c r="O264" s="55" t="n">
        <x:v>1608</x:v>
      </x:c>
      <x:c r="P264" s="55" t="n">
        <x:v>457</x:v>
      </x:c>
      <x:c r="Q264" s="55" t="n">
        <x:v>2791</x:v>
      </x:c>
      <x:c r="R264" s="55" t="n">
        <x:v>1652</x:v>
      </x:c>
      <x:c r="S264" s="55" t="n">
        <x:v>2675</x:v>
      </x:c>
      <x:c r="T264" s="55" t="n">
        <x:v>1081</x:v>
      </x:c>
      <x:c r="U264" s="55" t="n">
        <x:v>1860</x:v>
      </x:c>
      <x:c r="V264" s="55" t="n">
        <x:v>10560</x:v>
      </x:c>
      <x:c r="W264" s="55" t="n">
        <x:v>7232</x:v>
      </x:c>
      <x:c r="X264" s="55" t="n">
        <x:v>3328</x:v>
      </x:c>
      <x:c r="Y264" s="55" t="n">
        <x:v>2797</x:v>
      </x:c>
      <x:c r="Z264" s="55" t="n">
        <x:v>3564</x:v>
      </x:c>
      <x:c r="AA264" s="55" t="n">
        <x:v>2613</x:v>
      </x:c>
      <x:c r="AB264" s="55" t="n">
        <x:v>944</x:v>
      </x:c>
      <x:c r="AC264" s="55" t="n">
        <x:v>7587</x:v>
      </x:c>
      <x:c r="AD264" s="55" t="n">
        <x:v>3300</x:v>
      </x:c>
      <x:c r="AE264" s="55" t="n">
        <x:v>10684</x:v>
      </x:c>
      <x:c r="AF264" s="55" t="n">
        <x:v>10560</x:v>
      </x:c>
      <x:c r="AG264" s="55" t="n">
        <x:v>124</x:v>
      </x:c>
      <x:c r="AH264" s="55" t="n">
        <x:v>419</x:v>
      </x:c>
      <x:c r="AI264" s="55" t="n">
        <x:v>10141</x:v>
      </x:c>
      <x:c r="AJ264" s="55" t="n">
        <x:v>183</x:v>
      </x:c>
      <x:c r="AK264" s="55" t="n">
        <x:v>719</x:v>
      </x:c>
      <x:c r="AL264" s="55" t="n">
        <x:v>1620</x:v>
      </x:c>
      <x:c r="AM264" s="55" t="n">
        <x:v>5098</x:v>
      </x:c>
      <x:c r="AN264" s="55" t="n">
        <x:v>2940</x:v>
      </x:c>
      <x:c r="AO264" s="55" t="n">
        <x:v>0</x:v>
      </x:c>
      <x:c r="AP264" s="55" t="n">
        <x:v>2371</x:v>
      </x:c>
      <x:c r="AQ264" s="55" t="n">
        <x:v>899</x:v>
      </x:c>
    </x:row>
    <x:row r="265">
      <x:c r="A265" s="54" t="str">
        <x:v>T1_SHARED_CATCHMENT</x:v>
      </x:c>
      <x:c r="B265" s="54" t="n">
        <x:v>259</x:v>
      </x:c>
      <x:c r="C265" s="54" t="str">
        <x:v>NYC-V2-R01</x:v>
      </x:c>
      <x:c r="D265" s="54" t="str">
        <x:v>V2</x:v>
      </x:c>
      <x:c r="E265" s="54" t="str">
        <x:v>ADMITTED</x:v>
      </x:c>
      <x:c r="F265" s="55" t="n">
        <x:v>30742</x:v>
      </x:c>
      <x:c r="G265" s="55" t="n">
        <x:v>6530</x:v>
      </x:c>
      <x:c r="H265" s="55" t="n">
        <x:v>3455</x:v>
      </x:c>
      <x:c r="I265" s="55" t="n">
        <x:v>1847</x:v>
      </x:c>
      <x:c r="J265" s="55" t="n">
        <x:v>245</x:v>
      </x:c>
      <x:c r="K265" s="55" t="n">
        <x:v>30742</x:v>
      </x:c>
      <x:c r="L265" s="55" t="n">
        <x:v>5224</x:v>
      </x:c>
      <x:c r="M265" s="55" t="n">
        <x:v>688</x:v>
      </x:c>
      <x:c r="N265" s="55" t="n">
        <x:v>2893</x:v>
      </x:c>
      <x:c r="O265" s="55" t="n">
        <x:v>1643</x:v>
      </x:c>
      <x:c r="P265" s="55" t="n">
        <x:v>500</x:v>
      </x:c>
      <x:c r="Q265" s="55" t="n">
        <x:v>2545</x:v>
      </x:c>
      <x:c r="R265" s="55" t="n">
        <x:v>2081</x:v>
      </x:c>
      <x:c r="S265" s="55" t="n">
        <x:v>2645</x:v>
      </x:c>
      <x:c r="T265" s="55" t="n">
        <x:v>1399</x:v>
      </x:c>
      <x:c r="U265" s="55" t="n">
        <x:v>1997</x:v>
      </x:c>
      <x:c r="V265" s="55" t="n">
        <x:v>10586</x:v>
      </x:c>
      <x:c r="W265" s="55" t="n">
        <x:v>7523</x:v>
      </x:c>
      <x:c r="X265" s="55" t="n">
        <x:v>3063</x:v>
      </x:c>
      <x:c r="Y265" s="55" t="n">
        <x:v>2567</x:v>
      </x:c>
      <x:c r="Z265" s="55" t="n">
        <x:v>3687</x:v>
      </x:c>
      <x:c r="AA265" s="55" t="n">
        <x:v>3173</x:v>
      </x:c>
      <x:c r="AB265" s="55" t="n">
        <x:v>1235</x:v>
      </x:c>
      <x:c r="AC265" s="55" t="n">
        <x:v>7755</x:v>
      </x:c>
      <x:c r="AD265" s="55" t="n">
        <x:v>2683</x:v>
      </x:c>
      <x:c r="AE265" s="55" t="n">
        <x:v>10693</x:v>
      </x:c>
      <x:c r="AF265" s="55" t="n">
        <x:v>10586</x:v>
      </x:c>
      <x:c r="AG265" s="55" t="n">
        <x:v>107</x:v>
      </x:c>
      <x:c r="AH265" s="55" t="n">
        <x:v>543</x:v>
      </x:c>
      <x:c r="AI265" s="55" t="n">
        <x:v>10043</x:v>
      </x:c>
      <x:c r="AJ265" s="55" t="n">
        <x:v>247</x:v>
      </x:c>
      <x:c r="AK265" s="55" t="n">
        <x:v>992</x:v>
      </x:c>
      <x:c r="AL265" s="55" t="n">
        <x:v>1604</x:v>
      </x:c>
      <x:c r="AM265" s="55" t="n">
        <x:v>5019</x:v>
      </x:c>
      <x:c r="AN265" s="55" t="n">
        <x:v>2625</x:v>
      </x:c>
      <x:c r="AO265" s="55" t="n">
        <x:v>99</x:v>
      </x:c>
      <x:c r="AP265" s="55" t="n">
        <x:v>2254</x:v>
      </x:c>
      <x:c r="AQ265" s="55" t="n">
        <x:v>995</x:v>
      </x:c>
    </x:row>
    <x:row r="266">
      <x:c r="A266" s="54" t="str">
        <x:v>T1_SHARED_CATCHMENT</x:v>
      </x:c>
      <x:c r="B266" s="54" t="n">
        <x:v>260</x:v>
      </x:c>
      <x:c r="C266" s="54" t="str">
        <x:v>NYC-V2-R01</x:v>
      </x:c>
      <x:c r="D266" s="54" t="str">
        <x:v>V2</x:v>
      </x:c>
      <x:c r="E266" s="54" t="str">
        <x:v>ADMITTED</x:v>
      </x:c>
      <x:c r="F266" s="55" t="n">
        <x:v>31428</x:v>
      </x:c>
      <x:c r="G266" s="55" t="n">
        <x:v>6199</x:v>
      </x:c>
      <x:c r="H266" s="55" t="n">
        <x:v>3737</x:v>
      </x:c>
      <x:c r="I266" s="55" t="n">
        <x:v>1600</x:v>
      </x:c>
      <x:c r="J266" s="55" t="n">
        <x:v>263</x:v>
      </x:c>
      <x:c r="K266" s="55" t="n">
        <x:v>31428</x:v>
      </x:c>
      <x:c r="L266" s="55" t="n">
        <x:v>5835</x:v>
      </x:c>
      <x:c r="M266" s="55" t="n">
        <x:v>1279</x:v>
      </x:c>
      <x:c r="N266" s="55" t="n">
        <x:v>2400</x:v>
      </x:c>
      <x:c r="O266" s="55" t="n">
        <x:v>2156</x:v>
      </x:c>
      <x:c r="P266" s="55" t="n">
        <x:v>1158</x:v>
      </x:c>
      <x:c r="Q266" s="55" t="n">
        <x:v>2381</x:v>
      </x:c>
      <x:c r="R266" s="55" t="n">
        <x:v>2150</x:v>
      </x:c>
      <x:c r="S266" s="55" t="n">
        <x:v>3617</x:v>
      </x:c>
      <x:c r="T266" s="55" t="n">
        <x:v>1944</x:v>
      </x:c>
      <x:c r="U266" s="55" t="n">
        <x:v>1836</x:v>
      </x:c>
      <x:c r="V266" s="55" t="n">
        <x:v>10644</x:v>
      </x:c>
      <x:c r="W266" s="55" t="n">
        <x:v>7852</x:v>
      </x:c>
      <x:c r="X266" s="55" t="n">
        <x:v>2792</x:v>
      </x:c>
      <x:c r="Y266" s="55" t="n">
        <x:v>2428</x:v>
      </x:c>
      <x:c r="Z266" s="55" t="n">
        <x:v>3517</x:v>
      </x:c>
      <x:c r="AA266" s="55" t="n">
        <x:v>3737</x:v>
      </x:c>
      <x:c r="AB266" s="55" t="n">
        <x:v>1340</x:v>
      </x:c>
      <x:c r="AC266" s="55" t="n">
        <x:v>8190</x:v>
      </x:c>
      <x:c r="AD266" s="55" t="n">
        <x:v>2958</x:v>
      </x:c>
      <x:c r="AE266" s="55" t="n">
        <x:v>10815</x:v>
      </x:c>
      <x:c r="AF266" s="55" t="n">
        <x:v>10644</x:v>
      </x:c>
      <x:c r="AG266" s="55" t="n">
        <x:v>171</x:v>
      </x:c>
      <x:c r="AH266" s="55" t="n">
        <x:v>302</x:v>
      </x:c>
      <x:c r="AI266" s="55" t="n">
        <x:v>10342</x:v>
      </x:c>
      <x:c r="AJ266" s="55" t="n">
        <x:v>274</x:v>
      </x:c>
      <x:c r="AK266" s="55" t="n">
        <x:v>1243</x:v>
      </x:c>
      <x:c r="AL266" s="55" t="n">
        <x:v>1419</x:v>
      </x:c>
      <x:c r="AM266" s="55" t="n">
        <x:v>5094</x:v>
      </x:c>
      <x:c r="AN266" s="55" t="n">
        <x:v>2505</x:v>
      </x:c>
      <x:c r="AO266" s="55" t="n">
        <x:v>109</x:v>
      </x:c>
      <x:c r="AP266" s="55" t="n">
        <x:v>1988</x:v>
      </x:c>
      <x:c r="AQ266" s="55" t="n">
        <x:v>933</x:v>
      </x:c>
    </x:row>
    <x:row r="267">
      <x:c r="A267" s="54" t="str">
        <x:v>T1_SHARED_CATCHMENT</x:v>
      </x:c>
      <x:c r="B267" s="54" t="n">
        <x:v>261</x:v>
      </x:c>
      <x:c r="C267" s="54" t="str">
        <x:v>NYC-V2-R01</x:v>
      </x:c>
      <x:c r="D267" s="54" t="str">
        <x:v>V2</x:v>
      </x:c>
      <x:c r="E267" s="54" t="str">
        <x:v>ADMITTED</x:v>
      </x:c>
      <x:c r="F267" s="55" t="n">
        <x:v>30937</x:v>
      </x:c>
      <x:c r="G267" s="55" t="n">
        <x:v>7570</x:v>
      </x:c>
      <x:c r="H267" s="55" t="n">
        <x:v>3030</x:v>
      </x:c>
      <x:c r="I267" s="55" t="n">
        <x:v>1169</x:v>
      </x:c>
      <x:c r="J267" s="55" t="n">
        <x:v>162</x:v>
      </x:c>
      <x:c r="K267" s="55" t="n">
        <x:v>30165</x:v>
      </x:c>
      <x:c r="L267" s="55" t="n">
        <x:v>6415</x:v>
      </x:c>
      <x:c r="M267" s="55" t="n">
        <x:v>1996</x:v>
      </x:c>
      <x:c r="N267" s="55" t="n">
        <x:v>2846</x:v>
      </x:c>
      <x:c r="O267" s="55" t="n">
        <x:v>1573</x:v>
      </x:c>
      <x:c r="P267" s="55" t="n">
        <x:v>858</x:v>
      </x:c>
      <x:c r="Q267" s="55" t="n">
        <x:v>2901</x:v>
      </x:c>
      <x:c r="R267" s="55" t="n">
        <x:v>2187</x:v>
      </x:c>
      <x:c r="S267" s="55" t="n">
        <x:v>2569</x:v>
      </x:c>
      <x:c r="T267" s="55" t="n">
        <x:v>1033</x:v>
      </x:c>
      <x:c r="U267" s="55" t="n">
        <x:v>1192</x:v>
      </x:c>
      <x:c r="V267" s="55" t="n">
        <x:v>9705</x:v>
      </x:c>
      <x:c r="W267" s="55" t="n">
        <x:v>6721</x:v>
      </x:c>
      <x:c r="X267" s="55" t="n">
        <x:v>2984</x:v>
      </x:c>
      <x:c r="Y267" s="55" t="n">
        <x:v>2422</x:v>
      </x:c>
      <x:c r="Z267" s="55" t="n">
        <x:v>3895</x:v>
      </x:c>
      <x:c r="AA267" s="55" t="n">
        <x:v>3030</x:v>
      </x:c>
      <x:c r="AB267" s="55" t="n">
        <x:v>1099</x:v>
      </x:c>
      <x:c r="AC267" s="55" t="n">
        <x:v>8571</x:v>
      </x:c>
      <x:c r="AD267" s="55" t="n">
        <x:v>2510</x:v>
      </x:c>
      <x:c r="AE267" s="55" t="n">
        <x:v>9736</x:v>
      </x:c>
      <x:c r="AF267" s="55" t="n">
        <x:v>9705</x:v>
      </x:c>
      <x:c r="AG267" s="55" t="n">
        <x:v>31</x:v>
      </x:c>
      <x:c r="AH267" s="55" t="n">
        <x:v>308</x:v>
      </x:c>
      <x:c r="AI267" s="55" t="n">
        <x:v>9397</x:v>
      </x:c>
      <x:c r="AJ267" s="55" t="n">
        <x:v>122</x:v>
      </x:c>
      <x:c r="AK267" s="55" t="n">
        <x:v>1033</x:v>
      </x:c>
      <x:c r="AL267" s="55" t="n">
        <x:v>1199</x:v>
      </x:c>
      <x:c r="AM267" s="55" t="n">
        <x:v>5083</x:v>
      </x:c>
      <x:c r="AN267" s="55" t="n">
        <x:v>2238</x:v>
      </x:c>
      <x:c r="AO267" s="55" t="n">
        <x:v>30</x:v>
      </x:c>
      <x:c r="AP267" s="55" t="n">
        <x:v>2244</x:v>
      </x:c>
      <x:c r="AQ267" s="55" t="n">
        <x:v>948</x:v>
      </x:c>
    </x:row>
    <x:row r="268">
      <x:c r="A268" s="54" t="str">
        <x:v>T1_SHARED_CATCHMENT</x:v>
      </x:c>
      <x:c r="B268" s="54" t="n">
        <x:v>262</x:v>
      </x:c>
      <x:c r="C268" s="54" t="str">
        <x:v>NYC-V2-R01</x:v>
      </x:c>
      <x:c r="D268" s="54" t="str">
        <x:v>V2</x:v>
      </x:c>
      <x:c r="E268" s="54" t="str">
        <x:v>ADMITTED</x:v>
      </x:c>
      <x:c r="F268" s="55" t="n">
        <x:v>31866</x:v>
      </x:c>
      <x:c r="G268" s="55" t="n">
        <x:v>6832</x:v>
      </x:c>
      <x:c r="H268" s="55" t="n">
        <x:v>3579</x:v>
      </x:c>
      <x:c r="I268" s="55" t="n">
        <x:v>1717</x:v>
      </x:c>
      <x:c r="J268" s="55" t="n">
        <x:v>293</x:v>
      </x:c>
      <x:c r="K268" s="55" t="n">
        <x:v>31866</x:v>
      </x:c>
      <x:c r="L268" s="55" t="n">
        <x:v>5926</x:v>
      </x:c>
      <x:c r="M268" s="55" t="n">
        <x:v>971</x:v>
      </x:c>
      <x:c r="N268" s="55" t="n">
        <x:v>2840</x:v>
      </x:c>
      <x:c r="O268" s="55" t="n">
        <x:v>2115</x:v>
      </x:c>
      <x:c r="P268" s="55" t="n">
        <x:v>788</x:v>
      </x:c>
      <x:c r="Q268" s="55" t="n">
        <x:v>1916</x:v>
      </x:c>
      <x:c r="R268" s="55" t="n">
        <x:v>2368</x:v>
      </x:c>
      <x:c r="S268" s="55" t="n">
        <x:v>3539</x:v>
      </x:c>
      <x:c r="T268" s="55" t="n">
        <x:v>1214</x:v>
      </x:c>
      <x:c r="U268" s="55" t="n">
        <x:v>1633</x:v>
      </x:c>
      <x:c r="V268" s="55" t="n">
        <x:v>10428</x:v>
      </x:c>
      <x:c r="W268" s="55" t="n">
        <x:v>7054</x:v>
      </x:c>
      <x:c r="X268" s="55" t="n">
        <x:v>3374</x:v>
      </x:c>
      <x:c r="Y268" s="55" t="n">
        <x:v>2815</x:v>
      </x:c>
      <x:c r="Z268" s="55" t="n">
        <x:v>3809</x:v>
      </x:c>
      <x:c r="AA268" s="55" t="n">
        <x:v>3185</x:v>
      </x:c>
      <x:c r="AB268" s="55" t="n">
        <x:v>1370</x:v>
      </x:c>
      <x:c r="AC268" s="55" t="n">
        <x:v>8235</x:v>
      </x:c>
      <x:c r="AD268" s="55" t="n">
        <x:v>2797</x:v>
      </x:c>
      <x:c r="AE268" s="55" t="n">
        <x:v>10497</x:v>
      </x:c>
      <x:c r="AF268" s="55" t="n">
        <x:v>10428</x:v>
      </x:c>
      <x:c r="AG268" s="55" t="n">
        <x:v>69</x:v>
      </x:c>
      <x:c r="AH268" s="55" t="n">
        <x:v>410</x:v>
      </x:c>
      <x:c r="AI268" s="55" t="n">
        <x:v>10018</x:v>
      </x:c>
      <x:c r="AJ268" s="55" t="n">
        <x:v>349</x:v>
      </x:c>
      <x:c r="AK268" s="55" t="n">
        <x:v>1107</x:v>
      </x:c>
      <x:c r="AL268" s="55" t="n">
        <x:v>1233</x:v>
      </x:c>
      <x:c r="AM268" s="55" t="n">
        <x:v>5069</x:v>
      </x:c>
      <x:c r="AN268" s="55" t="n">
        <x:v>2670</x:v>
      </x:c>
      <x:c r="AO268" s="55" t="n">
        <x:v>0</x:v>
      </x:c>
      <x:c r="AP268" s="55" t="n">
        <x:v>2374</x:v>
      </x:c>
      <x:c r="AQ268" s="55" t="n">
        <x:v>948</x:v>
      </x:c>
    </x:row>
    <x:row r="269">
      <x:c r="A269" s="54" t="str">
        <x:v>T1_SHARED_CATCHMENT</x:v>
      </x:c>
      <x:c r="B269" s="54" t="n">
        <x:v>263</x:v>
      </x:c>
      <x:c r="C269" s="54" t="str">
        <x:v>NYC-V2-R01</x:v>
      </x:c>
      <x:c r="D269" s="54" t="str">
        <x:v>V2</x:v>
      </x:c>
      <x:c r="E269" s="54" t="str">
        <x:v>ADMITTED</x:v>
      </x:c>
      <x:c r="F269" s="55" t="n">
        <x:v>31482</x:v>
      </x:c>
      <x:c r="G269" s="55" t="n">
        <x:v>8383</x:v>
      </x:c>
      <x:c r="H269" s="55" t="n">
        <x:v>3082</x:v>
      </x:c>
      <x:c r="I269" s="55" t="n">
        <x:v>1452</x:v>
      </x:c>
      <x:c r="J269" s="55" t="n">
        <x:v>292</x:v>
      </x:c>
      <x:c r="K269" s="55" t="n">
        <x:v>27554</x:v>
      </x:c>
      <x:c r="L269" s="55" t="n">
        <x:v>3826</x:v>
      </x:c>
      <x:c r="M269" s="55" t="n">
        <x:v>671</x:v>
      </x:c>
      <x:c r="N269" s="55" t="n">
        <x:v>2121</x:v>
      </x:c>
      <x:c r="O269" s="55" t="n">
        <x:v>1034</x:v>
      </x:c>
      <x:c r="P269" s="55" t="n">
        <x:v>662</x:v>
      </x:c>
      <x:c r="Q269" s="55" t="n">
        <x:v>2617</x:v>
      </x:c>
      <x:c r="R269" s="55" t="n">
        <x:v>1654</x:v>
      </x:c>
      <x:c r="S269" s="55" t="n">
        <x:v>2694</x:v>
      </x:c>
      <x:c r="T269" s="55" t="n">
        <x:v>1185</x:v>
      </x:c>
      <x:c r="U269" s="55" t="n">
        <x:v>1551</x:v>
      </x:c>
      <x:c r="V269" s="55" t="n">
        <x:v>10521</x:v>
      </x:c>
      <x:c r="W269" s="55" t="n">
        <x:v>7398</x:v>
      </x:c>
      <x:c r="X269" s="55" t="n">
        <x:v>3123</x:v>
      </x:c>
      <x:c r="Y269" s="55" t="n">
        <x:v>2657</x:v>
      </x:c>
      <x:c r="Z269" s="55" t="n">
        <x:v>3785</x:v>
      </x:c>
      <x:c r="AA269" s="55" t="n">
        <x:v>2826</x:v>
      </x:c>
      <x:c r="AB269" s="55" t="n">
        <x:v>1058</x:v>
      </x:c>
      <x:c r="AC269" s="55" t="n">
        <x:v>8063</x:v>
      </x:c>
      <x:c r="AD269" s="55" t="n">
        <x:v>3176</x:v>
      </x:c>
      <x:c r="AE269" s="55" t="n">
        <x:v>10526</x:v>
      </x:c>
      <x:c r="AF269" s="55" t="n">
        <x:v>10521</x:v>
      </x:c>
      <x:c r="AG269" s="55" t="n">
        <x:v>5</x:v>
      </x:c>
      <x:c r="AH269" s="55" t="n">
        <x:v>411</x:v>
      </x:c>
      <x:c r="AI269" s="55" t="n">
        <x:v>10110</x:v>
      </x:c>
      <x:c r="AJ269" s="55" t="n">
        <x:v>337</x:v>
      </x:c>
      <x:c r="AK269" s="55" t="n">
        <x:v>1223</x:v>
      </x:c>
      <x:c r="AL269" s="55" t="n">
        <x:v>1783</x:v>
      </x:c>
      <x:c r="AM269" s="55" t="n">
        <x:v>4783</x:v>
      </x:c>
      <x:c r="AN269" s="55" t="n">
        <x:v>2395</x:v>
      </x:c>
      <x:c r="AO269" s="55" t="n">
        <x:v>0</x:v>
      </x:c>
      <x:c r="AP269" s="55" t="n">
        <x:v>2217</x:v>
      </x:c>
      <x:c r="AQ269" s="55" t="n">
        <x:v>996</x:v>
      </x:c>
    </x:row>
    <x:row r="270">
      <x:c r="A270" s="54" t="str">
        <x:v>T1_SHARED_CATCHMENT</x:v>
      </x:c>
      <x:c r="B270" s="54" t="n">
        <x:v>264</x:v>
      </x:c>
      <x:c r="C270" s="54" t="str">
        <x:v>NYC-V2-R01</x:v>
      </x:c>
      <x:c r="D270" s="54" t="str">
        <x:v>V2</x:v>
      </x:c>
      <x:c r="E270" s="54" t="str">
        <x:v>ADMITTED</x:v>
      </x:c>
      <x:c r="F270" s="55" t="n">
        <x:v>31178</x:v>
      </x:c>
      <x:c r="G270" s="55" t="n">
        <x:v>8137</x:v>
      </x:c>
      <x:c r="H270" s="55" t="n">
        <x:v>2899</x:v>
      </x:c>
      <x:c r="I270" s="55" t="n">
        <x:v>1162</x:v>
      </x:c>
      <x:c r="J270" s="55" t="n">
        <x:v>146</x:v>
      </x:c>
      <x:c r="K270" s="55" t="n">
        <x:v>31178</x:v>
      </x:c>
      <x:c r="L270" s="55" t="n">
        <x:v>5452</x:v>
      </x:c>
      <x:c r="M270" s="55" t="n">
        <x:v>1151</x:v>
      </x:c>
      <x:c r="N270" s="55" t="n">
        <x:v>2614</x:v>
      </x:c>
      <x:c r="O270" s="55" t="n">
        <x:v>1687</x:v>
      </x:c>
      <x:c r="P270" s="55" t="n">
        <x:v>1113</x:v>
      </x:c>
      <x:c r="Q270" s="55" t="n">
        <x:v>2999</x:v>
      </x:c>
      <x:c r="R270" s="55" t="n">
        <x:v>2065</x:v>
      </x:c>
      <x:c r="S270" s="55" t="n">
        <x:v>2899</x:v>
      </x:c>
      <x:c r="T270" s="55" t="n">
        <x:v>1047</x:v>
      </x:c>
      <x:c r="U270" s="55" t="n">
        <x:v>1837</x:v>
      </x:c>
      <x:c r="V270" s="55" t="n">
        <x:v>11033</x:v>
      </x:c>
      <x:c r="W270" s="55" t="n">
        <x:v>8193</x:v>
      </x:c>
      <x:c r="X270" s="55" t="n">
        <x:v>2840</x:v>
      </x:c>
      <x:c r="Y270" s="55" t="n">
        <x:v>2505</x:v>
      </x:c>
      <x:c r="Z270" s="55" t="n">
        <x:v>3277</x:v>
      </x:c>
      <x:c r="AA270" s="55" t="n">
        <x:v>2899</x:v>
      </x:c>
      <x:c r="AB270" s="55" t="n">
        <x:v>1061</x:v>
      </x:c>
      <x:c r="AC270" s="55" t="n">
        <x:v>7932</x:v>
      </x:c>
      <x:c r="AD270" s="55" t="n">
        <x:v>2604</x:v>
      </x:c>
      <x:c r="AE270" s="55" t="n">
        <x:v>11092</x:v>
      </x:c>
      <x:c r="AF270" s="55" t="n">
        <x:v>11033</x:v>
      </x:c>
      <x:c r="AG270" s="55" t="n">
        <x:v>59</x:v>
      </x:c>
      <x:c r="AH270" s="55" t="n">
        <x:v>631</x:v>
      </x:c>
      <x:c r="AI270" s="55" t="n">
        <x:v>10402</x:v>
      </x:c>
      <x:c r="AJ270" s="55" t="n">
        <x:v>376</x:v>
      </x:c>
      <x:c r="AK270" s="55" t="n">
        <x:v>1262</x:v>
      </x:c>
      <x:c r="AL270" s="55" t="n">
        <x:v>1568</x:v>
      </x:c>
      <x:c r="AM270" s="55" t="n">
        <x:v>4820</x:v>
      </x:c>
      <x:c r="AN270" s="55" t="n">
        <x:v>2975</x:v>
      </x:c>
      <x:c r="AO270" s="55" t="n">
        <x:v>32</x:v>
      </x:c>
      <x:c r="AP270" s="55" t="n">
        <x:v>2258</x:v>
      </x:c>
      <x:c r="AQ270" s="55" t="n">
        <x:v>947</x:v>
      </x:c>
    </x:row>
    <x:row r="271">
      <x:c r="A271" s="54" t="str">
        <x:v>T1_SHARED_CATCHMENT</x:v>
      </x:c>
      <x:c r="B271" s="54" t="n">
        <x:v>265</x:v>
      </x:c>
      <x:c r="C271" s="54" t="str">
        <x:v>NYC-V2-R01</x:v>
      </x:c>
      <x:c r="D271" s="54" t="str">
        <x:v>V2</x:v>
      </x:c>
      <x:c r="E271" s="54" t="str">
        <x:v>ADMITTED</x:v>
      </x:c>
      <x:c r="F271" s="55" t="n">
        <x:v>30748</x:v>
      </x:c>
      <x:c r="G271" s="55" t="n">
        <x:v>7295</x:v>
      </x:c>
      <x:c r="H271" s="55" t="n">
        <x:v>2975</x:v>
      </x:c>
      <x:c r="I271" s="55" t="n">
        <x:v>1026</x:v>
      </x:c>
      <x:c r="J271" s="55" t="n">
        <x:v>220</x:v>
      </x:c>
      <x:c r="K271" s="55" t="n">
        <x:v>28711</x:v>
      </x:c>
      <x:c r="L271" s="55" t="n">
        <x:v>5262</x:v>
      </x:c>
      <x:c r="M271" s="55" t="n">
        <x:v>1075</x:v>
      </x:c>
      <x:c r="N271" s="55" t="n">
        <x:v>2464</x:v>
      </x:c>
      <x:c r="O271" s="55" t="n">
        <x:v>1723</x:v>
      </x:c>
      <x:c r="P271" s="55" t="n">
        <x:v>646</x:v>
      </x:c>
      <x:c r="Q271" s="55" t="n">
        <x:v>2616</x:v>
      </x:c>
      <x:c r="R271" s="55" t="n">
        <x:v>2018</x:v>
      </x:c>
      <x:c r="S271" s="55" t="n">
        <x:v>2691</x:v>
      </x:c>
      <x:c r="T271" s="55" t="n">
        <x:v>928</x:v>
      </x:c>
      <x:c r="U271" s="55" t="n">
        <x:v>2001</x:v>
      </x:c>
      <x:c r="V271" s="55" t="n">
        <x:v>10520</x:v>
      </x:c>
      <x:c r="W271" s="55" t="n">
        <x:v>7504</x:v>
      </x:c>
      <x:c r="X271" s="55" t="n">
        <x:v>3016</x:v>
      </x:c>
      <x:c r="Y271" s="55" t="n">
        <x:v>2479</x:v>
      </x:c>
      <x:c r="Z271" s="55" t="n">
        <x:v>3779</x:v>
      </x:c>
      <x:c r="AA271" s="55" t="n">
        <x:v>2783</x:v>
      </x:c>
      <x:c r="AB271" s="55" t="n">
        <x:v>937</x:v>
      </x:c>
      <x:c r="AC271" s="55" t="n">
        <x:v>7975</x:v>
      </x:c>
      <x:c r="AD271" s="55" t="n">
        <x:v>1826</x:v>
      </x:c>
      <x:c r="AE271" s="55" t="n">
        <x:v>10599</x:v>
      </x:c>
      <x:c r="AF271" s="55" t="n">
        <x:v>10520</x:v>
      </x:c>
      <x:c r="AG271" s="55" t="n">
        <x:v>79</x:v>
      </x:c>
      <x:c r="AH271" s="55" t="n">
        <x:v>625</x:v>
      </x:c>
      <x:c r="AI271" s="55" t="n">
        <x:v>9895</x:v>
      </x:c>
      <x:c r="AJ271" s="55" t="n">
        <x:v>220</x:v>
      </x:c>
      <x:c r="AK271" s="55" t="n">
        <x:v>786</x:v>
      </x:c>
      <x:c r="AL271" s="55" t="n">
        <x:v>1551</x:v>
      </x:c>
      <x:c r="AM271" s="55" t="n">
        <x:v>4770</x:v>
      </x:c>
      <x:c r="AN271" s="55" t="n">
        <x:v>3193</x:v>
      </x:c>
      <x:c r="AO271" s="55" t="n">
        <x:v>0</x:v>
      </x:c>
      <x:c r="AP271" s="55" t="n">
        <x:v>2507</x:v>
      </x:c>
      <x:c r="AQ271" s="55" t="n">
        <x:v>985</x:v>
      </x:c>
    </x:row>
    <x:row r="272">
      <x:c r="A272" s="54" t="str">
        <x:v>T1_SHARED_CATCHMENT</x:v>
      </x:c>
      <x:c r="B272" s="54" t="n">
        <x:v>266</x:v>
      </x:c>
      <x:c r="C272" s="54" t="str">
        <x:v>NYC-V2-R01</x:v>
      </x:c>
      <x:c r="D272" s="54" t="str">
        <x:v>V2</x:v>
      </x:c>
      <x:c r="E272" s="54" t="str">
        <x:v>ADMITTED</x:v>
      </x:c>
      <x:c r="F272" s="55" t="n">
        <x:v>32890</x:v>
      </x:c>
      <x:c r="G272" s="55" t="n">
        <x:v>7781</x:v>
      </x:c>
      <x:c r="H272" s="55" t="n">
        <x:v>3036</x:v>
      </x:c>
      <x:c r="I272" s="55" t="n">
        <x:v>1578</x:v>
      </x:c>
      <x:c r="J272" s="55" t="n">
        <x:v>158</x:v>
      </x:c>
      <x:c r="K272" s="55" t="n">
        <x:v>32890</x:v>
      </x:c>
      <x:c r="L272" s="55" t="n">
        <x:v>5760</x:v>
      </x:c>
      <x:c r="M272" s="55" t="n">
        <x:v>925</x:v>
      </x:c>
      <x:c r="N272" s="55" t="n">
        <x:v>2673</x:v>
      </x:c>
      <x:c r="O272" s="55" t="n">
        <x:v>2162</x:v>
      </x:c>
      <x:c r="P272" s="55" t="n">
        <x:v>593</x:v>
      </x:c>
      <x:c r="Q272" s="55" t="n">
        <x:v>1889</x:v>
      </x:c>
      <x:c r="R272" s="55" t="n">
        <x:v>2344</x:v>
      </x:c>
      <x:c r="S272" s="55" t="n">
        <x:v>2201</x:v>
      </x:c>
      <x:c r="T272" s="55" t="n">
        <x:v>1211</x:v>
      </x:c>
      <x:c r="U272" s="55" t="n">
        <x:v>2283</x:v>
      </x:c>
      <x:c r="V272" s="55" t="n">
        <x:v>10055</x:v>
      </x:c>
      <x:c r="W272" s="55" t="n">
        <x:v>7401</x:v>
      </x:c>
      <x:c r="X272" s="55" t="n">
        <x:v>2654</x:v>
      </x:c>
      <x:c r="Y272" s="55" t="n">
        <x:v>2292</x:v>
      </x:c>
      <x:c r="Z272" s="55" t="n">
        <x:v>3838</x:v>
      </x:c>
      <x:c r="AA272" s="55" t="n">
        <x:v>3036</x:v>
      </x:c>
      <x:c r="AB272" s="55" t="n">
        <x:v>1126</x:v>
      </x:c>
      <x:c r="AC272" s="55" t="n">
        <x:v>8203</x:v>
      </x:c>
      <x:c r="AD272" s="55" t="n">
        <x:v>3204</x:v>
      </x:c>
      <x:c r="AE272" s="55" t="n">
        <x:v>10125</x:v>
      </x:c>
      <x:c r="AF272" s="55" t="n">
        <x:v>10055</x:v>
      </x:c>
      <x:c r="AG272" s="55" t="n">
        <x:v>70</x:v>
      </x:c>
      <x:c r="AH272" s="55" t="n">
        <x:v>295</x:v>
      </x:c>
      <x:c r="AI272" s="55" t="n">
        <x:v>9760</x:v>
      </x:c>
      <x:c r="AJ272" s="55" t="n">
        <x:v>186</x:v>
      </x:c>
      <x:c r="AK272" s="55" t="n">
        <x:v>1277</x:v>
      </x:c>
      <x:c r="AL272" s="55" t="n">
        <x:v>1690</x:v>
      </x:c>
      <x:c r="AM272" s="55" t="n">
        <x:v>4517</x:v>
      </x:c>
      <x:c r="AN272" s="55" t="n">
        <x:v>2385</x:v>
      </x:c>
      <x:c r="AO272" s="55" t="n">
        <x:v>0</x:v>
      </x:c>
      <x:c r="AP272" s="55" t="n">
        <x:v>2659</x:v>
      </x:c>
      <x:c r="AQ272" s="55" t="n">
        <x:v>973</x:v>
      </x:c>
    </x:row>
    <x:row r="273">
      <x:c r="A273" s="54" t="str">
        <x:v>T1_SHARED_CATCHMENT</x:v>
      </x:c>
      <x:c r="B273" s="54" t="n">
        <x:v>267</x:v>
      </x:c>
      <x:c r="C273" s="54" t="str">
        <x:v>NYC-V2-R01</x:v>
      </x:c>
      <x:c r="D273" s="54" t="str">
        <x:v>V2</x:v>
      </x:c>
      <x:c r="E273" s="54" t="str">
        <x:v>ADMITTED</x:v>
      </x:c>
      <x:c r="F273" s="55" t="n">
        <x:v>30575</x:v>
      </x:c>
      <x:c r="G273" s="55" t="n">
        <x:v>7081</x:v>
      </x:c>
      <x:c r="H273" s="55" t="n">
        <x:v>3751</x:v>
      </x:c>
      <x:c r="I273" s="55" t="n">
        <x:v>1243</x:v>
      </x:c>
      <x:c r="J273" s="55" t="n">
        <x:v>209</x:v>
      </x:c>
      <x:c r="K273" s="55" t="n">
        <x:v>30575</x:v>
      </x:c>
      <x:c r="L273" s="55" t="n">
        <x:v>6392</x:v>
      </x:c>
      <x:c r="M273" s="55" t="n">
        <x:v>1868</x:v>
      </x:c>
      <x:c r="N273" s="55" t="n">
        <x:v>2862</x:v>
      </x:c>
      <x:c r="O273" s="55" t="n">
        <x:v>1662</x:v>
      </x:c>
      <x:c r="P273" s="55" t="n">
        <x:v>796</x:v>
      </x:c>
      <x:c r="Q273" s="55" t="n">
        <x:v>3165</x:v>
      </x:c>
      <x:c r="R273" s="55" t="n">
        <x:v>1788</x:v>
      </x:c>
      <x:c r="S273" s="55" t="n">
        <x:v>2588</x:v>
      </x:c>
      <x:c r="T273" s="55" t="n">
        <x:v>906</x:v>
      </x:c>
      <x:c r="U273" s="55" t="n">
        <x:v>2439</x:v>
      </x:c>
      <x:c r="V273" s="55" t="n">
        <x:v>10899</x:v>
      </x:c>
      <x:c r="W273" s="55" t="n">
        <x:v>7514</x:v>
      </x:c>
      <x:c r="X273" s="55" t="n">
        <x:v>3385</x:v>
      </x:c>
      <x:c r="Y273" s="55" t="n">
        <x:v>2931</x:v>
      </x:c>
      <x:c r="Z273" s="55" t="n">
        <x:v>3777</x:v>
      </x:c>
      <x:c r="AA273" s="55" t="n">
        <x:v>3751</x:v>
      </x:c>
      <x:c r="AB273" s="55" t="n">
        <x:v>1265</x:v>
      </x:c>
      <x:c r="AC273" s="55" t="n">
        <x:v>8979</x:v>
      </x:c>
      <x:c r="AD273" s="55" t="n">
        <x:v>3130</x:v>
      </x:c>
      <x:c r="AE273" s="55" t="n">
        <x:v>10942</x:v>
      </x:c>
      <x:c r="AF273" s="55" t="n">
        <x:v>10899</x:v>
      </x:c>
      <x:c r="AG273" s="55" t="n">
        <x:v>43</x:v>
      </x:c>
      <x:c r="AH273" s="55" t="n">
        <x:v>514</x:v>
      </x:c>
      <x:c r="AI273" s="55" t="n">
        <x:v>10385</x:v>
      </x:c>
      <x:c r="AJ273" s="55" t="n">
        <x:v>563</x:v>
      </x:c>
      <x:c r="AK273" s="55" t="n">
        <x:v>1231</x:v>
      </x:c>
      <x:c r="AL273" s="55" t="n">
        <x:v>1445</x:v>
      </x:c>
      <x:c r="AM273" s="55" t="n">
        <x:v>5124</x:v>
      </x:c>
      <x:c r="AN273" s="55" t="n">
        <x:v>2536</x:v>
      </x:c>
      <x:c r="AO273" s="55" t="n">
        <x:v>0</x:v>
      </x:c>
      <x:c r="AP273" s="55" t="n">
        <x:v>2415</x:v>
      </x:c>
      <x:c r="AQ273" s="55" t="n">
        <x:v>955</x:v>
      </x:c>
    </x:row>
    <x:row r="274">
      <x:c r="A274" s="54" t="str">
        <x:v>T1_SHARED_CATCHMENT</x:v>
      </x:c>
      <x:c r="B274" s="54" t="n">
        <x:v>268</x:v>
      </x:c>
      <x:c r="C274" s="54" t="str">
        <x:v>NYC-V2-R01</x:v>
      </x:c>
      <x:c r="D274" s="54" t="str">
        <x:v>V2</x:v>
      </x:c>
      <x:c r="E274" s="54" t="str">
        <x:v>ADMITTED</x:v>
      </x:c>
      <x:c r="F274" s="55" t="n">
        <x:v>31030</x:v>
      </x:c>
      <x:c r="G274" s="55" t="n">
        <x:v>6390</x:v>
      </x:c>
      <x:c r="H274" s="55" t="n">
        <x:v>3635</x:v>
      </x:c>
      <x:c r="I274" s="55" t="n">
        <x:v>1625</x:v>
      </x:c>
      <x:c r="J274" s="55" t="n">
        <x:v>315</x:v>
      </x:c>
      <x:c r="K274" s="55" t="n">
        <x:v>31030</x:v>
      </x:c>
      <x:c r="L274" s="55" t="n">
        <x:v>6624</x:v>
      </x:c>
      <x:c r="M274" s="55" t="n">
        <x:v>1734</x:v>
      </x:c>
      <x:c r="N274" s="55" t="n">
        <x:v>2956</x:v>
      </x:c>
      <x:c r="O274" s="55" t="n">
        <x:v>1934</x:v>
      </x:c>
      <x:c r="P274" s="55" t="n">
        <x:v>509</x:v>
      </x:c>
      <x:c r="Q274" s="55" t="n">
        <x:v>2020</x:v>
      </x:c>
      <x:c r="R274" s="55" t="n">
        <x:v>1585</x:v>
      </x:c>
      <x:c r="S274" s="55" t="n">
        <x:v>2800</x:v>
      </x:c>
      <x:c r="T274" s="55" t="n">
        <x:v>1229</x:v>
      </x:c>
      <x:c r="U274" s="55" t="n">
        <x:v>2010</x:v>
      </x:c>
      <x:c r="V274" s="55" t="n">
        <x:v>10085</x:v>
      </x:c>
      <x:c r="W274" s="55" t="n">
        <x:v>6699</x:v>
      </x:c>
      <x:c r="X274" s="55" t="n">
        <x:v>3386</x:v>
      </x:c>
      <x:c r="Y274" s="55" t="n">
        <x:v>3024</x:v>
      </x:c>
      <x:c r="Z274" s="55" t="n">
        <x:v>3482</x:v>
      </x:c>
      <x:c r="AA274" s="55" t="n">
        <x:v>2915</x:v>
      </x:c>
      <x:c r="AB274" s="55" t="n">
        <x:v>619</x:v>
      </x:c>
      <x:c r="AC274" s="55" t="n">
        <x:v>7953</x:v>
      </x:c>
      <x:c r="AD274" s="55" t="n">
        <x:v>2784</x:v>
      </x:c>
      <x:c r="AE274" s="55" t="n">
        <x:v>10119</x:v>
      </x:c>
      <x:c r="AF274" s="55" t="n">
        <x:v>10085</x:v>
      </x:c>
      <x:c r="AG274" s="55" t="n">
        <x:v>34</x:v>
      </x:c>
      <x:c r="AH274" s="55" t="n">
        <x:v>365</x:v>
      </x:c>
      <x:c r="AI274" s="55" t="n">
        <x:v>9720</x:v>
      </x:c>
      <x:c r="AJ274" s="55" t="n">
        <x:v>468</x:v>
      </x:c>
      <x:c r="AK274" s="55" t="n">
        <x:v>1417</x:v>
      </x:c>
      <x:c r="AL274" s="55" t="n">
        <x:v>970</x:v>
      </x:c>
      <x:c r="AM274" s="55" t="n">
        <x:v>4518</x:v>
      </x:c>
      <x:c r="AN274" s="55" t="n">
        <x:v>2712</x:v>
      </x:c>
      <x:c r="AO274" s="55" t="n">
        <x:v>0</x:v>
      </x:c>
      <x:c r="AP274" s="55" t="n">
        <x:v>2486</x:v>
      </x:c>
      <x:c r="AQ274" s="55" t="n">
        <x:v>966</x:v>
      </x:c>
    </x:row>
    <x:row r="275">
      <x:c r="A275" s="54" t="str">
        <x:v>T1_SHARED_CATCHMENT</x:v>
      </x:c>
      <x:c r="B275" s="54" t="n">
        <x:v>269</x:v>
      </x:c>
      <x:c r="C275" s="54" t="str">
        <x:v>NYC-V2-R01</x:v>
      </x:c>
      <x:c r="D275" s="54" t="str">
        <x:v>V2</x:v>
      </x:c>
      <x:c r="E275" s="54" t="str">
        <x:v>ADMITTED</x:v>
      </x:c>
      <x:c r="F275" s="55" t="n">
        <x:v>30585</x:v>
      </x:c>
      <x:c r="G275" s="55" t="n">
        <x:v>8041</x:v>
      </x:c>
      <x:c r="H275" s="55" t="n">
        <x:v>2885</x:v>
      </x:c>
      <x:c r="I275" s="55" t="n">
        <x:v>1149</x:v>
      </x:c>
      <x:c r="J275" s="55" t="n">
        <x:v>147</x:v>
      </x:c>
      <x:c r="K275" s="55" t="n">
        <x:v>30585</x:v>
      </x:c>
      <x:c r="L275" s="55" t="n">
        <x:v>4341</x:v>
      </x:c>
      <x:c r="M275" s="55" t="n">
        <x:v>804</x:v>
      </x:c>
      <x:c r="N275" s="55" t="n">
        <x:v>1916</x:v>
      </x:c>
      <x:c r="O275" s="55" t="n">
        <x:v>1621</x:v>
      </x:c>
      <x:c r="P275" s="55" t="n">
        <x:v>733</x:v>
      </x:c>
      <x:c r="Q275" s="55" t="n">
        <x:v>1655</x:v>
      </x:c>
      <x:c r="R275" s="55" t="n">
        <x:v>1621</x:v>
      </x:c>
      <x:c r="S275" s="55" t="n">
        <x:v>2301</x:v>
      </x:c>
      <x:c r="T275" s="55" t="n">
        <x:v>1077</x:v>
      </x:c>
      <x:c r="U275" s="55" t="n">
        <x:v>2353</x:v>
      </x:c>
      <x:c r="V275" s="55" t="n">
        <x:v>10557</x:v>
      </x:c>
      <x:c r="W275" s="55" t="n">
        <x:v>7270</x:v>
      </x:c>
      <x:c r="X275" s="55" t="n">
        <x:v>3287</x:v>
      </x:c>
      <x:c r="Y275" s="55" t="n">
        <x:v>2743</x:v>
      </x:c>
      <x:c r="Z275" s="55" t="n">
        <x:v>3587</x:v>
      </x:c>
      <x:c r="AA275" s="55" t="n">
        <x:v>2885</x:v>
      </x:c>
      <x:c r="AB275" s="55" t="n">
        <x:v>713</x:v>
      </x:c>
      <x:c r="AC275" s="55" t="n">
        <x:v>8115</x:v>
      </x:c>
      <x:c r="AD275" s="55" t="n">
        <x:v>2295</x:v>
      </x:c>
      <x:c r="AE275" s="55" t="n">
        <x:v>10653</x:v>
      </x:c>
      <x:c r="AF275" s="55" t="n">
        <x:v>10557</x:v>
      </x:c>
      <x:c r="AG275" s="55" t="n">
        <x:v>96</x:v>
      </x:c>
      <x:c r="AH275" s="55" t="n">
        <x:v>419</x:v>
      </x:c>
      <x:c r="AI275" s="55" t="n">
        <x:v>10138</x:v>
      </x:c>
      <x:c r="AJ275" s="55" t="n">
        <x:v>284</x:v>
      </x:c>
      <x:c r="AK275" s="55" t="n">
        <x:v>651</x:v>
      </x:c>
      <x:c r="AL275" s="55" t="n">
        <x:v>1628</x:v>
      </x:c>
      <x:c r="AM275" s="55" t="n">
        <x:v>5188</x:v>
      </x:c>
      <x:c r="AN275" s="55" t="n">
        <x:v>2806</x:v>
      </x:c>
      <x:c r="AO275" s="55" t="n">
        <x:v>0</x:v>
      </x:c>
      <x:c r="AP275" s="55" t="n">
        <x:v>2802</x:v>
      </x:c>
      <x:c r="AQ275" s="55" t="n">
        <x:v>942</x:v>
      </x:c>
    </x:row>
    <x:row r="276">
      <x:c r="A276" s="54" t="str">
        <x:v>T1_SHARED_CATCHMENT</x:v>
      </x:c>
      <x:c r="B276" s="54" t="n">
        <x:v>270</x:v>
      </x:c>
      <x:c r="C276" s="54" t="str">
        <x:v>NYC-V2-R01</x:v>
      </x:c>
      <x:c r="D276" s="54" t="str">
        <x:v>V2</x:v>
      </x:c>
      <x:c r="E276" s="54" t="str">
        <x:v>ADMITTED</x:v>
      </x:c>
      <x:c r="F276" s="55" t="n">
        <x:v>33461</x:v>
      </x:c>
      <x:c r="G276" s="55" t="n">
        <x:v>8775</x:v>
      </x:c>
      <x:c r="H276" s="55" t="n">
        <x:v>3043</x:v>
      </x:c>
      <x:c r="I276" s="55" t="n">
        <x:v>1260</x:v>
      </x:c>
      <x:c r="J276" s="55" t="n">
        <x:v>252</x:v>
      </x:c>
      <x:c r="K276" s="55" t="n">
        <x:v>33461</x:v>
      </x:c>
      <x:c r="L276" s="55" t="n">
        <x:v>6907</x:v>
      </x:c>
      <x:c r="M276" s="55" t="n">
        <x:v>2059</x:v>
      </x:c>
      <x:c r="N276" s="55" t="n">
        <x:v>3052</x:v>
      </x:c>
      <x:c r="O276" s="55" t="n">
        <x:v>1796</x:v>
      </x:c>
      <x:c r="P276" s="55" t="n">
        <x:v>601</x:v>
      </x:c>
      <x:c r="Q276" s="55" t="n">
        <x:v>1788</x:v>
      </x:c>
      <x:c r="R276" s="55" t="n">
        <x:v>1976</x:v>
      </x:c>
      <x:c r="S276" s="55" t="n">
        <x:v>2509</x:v>
      </x:c>
      <x:c r="T276" s="55" t="n">
        <x:v>1230</x:v>
      </x:c>
      <x:c r="U276" s="55" t="n">
        <x:v>1958</x:v>
      </x:c>
      <x:c r="V276" s="55" t="n">
        <x:v>10723</x:v>
      </x:c>
      <x:c r="W276" s="55" t="n">
        <x:v>7829</x:v>
      </x:c>
      <x:c r="X276" s="55" t="n">
        <x:v>2894</x:v>
      </x:c>
      <x:c r="Y276" s="55" t="n">
        <x:v>2659</x:v>
      </x:c>
      <x:c r="Z276" s="55" t="n">
        <x:v>3195</x:v>
      </x:c>
      <x:c r="AA276" s="55" t="n">
        <x:v>2894</x:v>
      </x:c>
      <x:c r="AB276" s="55" t="n">
        <x:v>1113</x:v>
      </x:c>
      <x:c r="AC276" s="55" t="n">
        <x:v>8190</x:v>
      </x:c>
      <x:c r="AD276" s="55" t="n">
        <x:v>2854</x:v>
      </x:c>
      <x:c r="AE276" s="55" t="n">
        <x:v>10795</x:v>
      </x:c>
      <x:c r="AF276" s="55" t="n">
        <x:v>10723</x:v>
      </x:c>
      <x:c r="AG276" s="55" t="n">
        <x:v>72</x:v>
      </x:c>
      <x:c r="AH276" s="55" t="n">
        <x:v>444</x:v>
      </x:c>
      <x:c r="AI276" s="55" t="n">
        <x:v>10279</x:v>
      </x:c>
      <x:c r="AJ276" s="55" t="n">
        <x:v>323</x:v>
      </x:c>
      <x:c r="AK276" s="55" t="n">
        <x:v>954</x:v>
      </x:c>
      <x:c r="AL276" s="55" t="n">
        <x:v>1533</x:v>
      </x:c>
      <x:c r="AM276" s="55" t="n">
        <x:v>5282</x:v>
      </x:c>
      <x:c r="AN276" s="55" t="n">
        <x:v>2625</x:v>
      </x:c>
      <x:c r="AO276" s="55" t="n">
        <x:v>6</x:v>
      </x:c>
      <x:c r="AP276" s="55" t="n">
        <x:v>2225</x:v>
      </x:c>
      <x:c r="AQ276" s="55" t="n">
        <x:v>974</x:v>
      </x:c>
    </x:row>
    <x:row r="277">
      <x:c r="A277" s="54" t="str">
        <x:v>T1_SHARED_CATCHMENT</x:v>
      </x:c>
      <x:c r="B277" s="54" t="n">
        <x:v>271</x:v>
      </x:c>
      <x:c r="C277" s="54" t="str">
        <x:v>NYC-V2-R01</x:v>
      </x:c>
      <x:c r="D277" s="54" t="str">
        <x:v>V2</x:v>
      </x:c>
      <x:c r="E277" s="54" t="str">
        <x:v>ADMITTED</x:v>
      </x:c>
      <x:c r="F277" s="55" t="n">
        <x:v>33018</x:v>
      </x:c>
      <x:c r="G277" s="55" t="n">
        <x:v>8971</x:v>
      </x:c>
      <x:c r="H277" s="55" t="n">
        <x:v>3544</x:v>
      </x:c>
      <x:c r="I277" s="55" t="n">
        <x:v>1390</x:v>
      </x:c>
      <x:c r="J277" s="55" t="n">
        <x:v>345</x:v>
      </x:c>
      <x:c r="K277" s="55" t="n">
        <x:v>28793</x:v>
      </x:c>
      <x:c r="L277" s="55" t="n">
        <x:v>6071</x:v>
      </x:c>
      <x:c r="M277" s="55" t="n">
        <x:v>1946</x:v>
      </x:c>
      <x:c r="N277" s="55" t="n">
        <x:v>2472</x:v>
      </x:c>
      <x:c r="O277" s="55" t="n">
        <x:v>1653</x:v>
      </x:c>
      <x:c r="P277" s="55" t="n">
        <x:v>789</x:v>
      </x:c>
      <x:c r="Q277" s="55" t="n">
        <x:v>2586</x:v>
      </x:c>
      <x:c r="R277" s="55" t="n">
        <x:v>1912</x:v>
      </x:c>
      <x:c r="S277" s="55" t="n">
        <x:v>3191</x:v>
      </x:c>
      <x:c r="T277" s="55" t="n">
        <x:v>1075</x:v>
      </x:c>
      <x:c r="U277" s="55" t="n">
        <x:v>2216</x:v>
      </x:c>
      <x:c r="V277" s="55" t="n">
        <x:v>10347</x:v>
      </x:c>
      <x:c r="W277" s="55" t="n">
        <x:v>6896</x:v>
      </x:c>
      <x:c r="X277" s="55" t="n">
        <x:v>3451</x:v>
      </x:c>
      <x:c r="Y277" s="55" t="n">
        <x:v>2809</x:v>
      </x:c>
      <x:c r="Z277" s="55" t="n">
        <x:v>3789</x:v>
      </x:c>
      <x:c r="AA277" s="55" t="n">
        <x:v>3544</x:v>
      </x:c>
      <x:c r="AB277" s="55" t="n">
        <x:v>1171</x:v>
      </x:c>
      <x:c r="AC277" s="55" t="n">
        <x:v>8417</x:v>
      </x:c>
      <x:c r="AD277" s="55" t="n">
        <x:v>3321</x:v>
      </x:c>
      <x:c r="AE277" s="55" t="n">
        <x:v>10535</x:v>
      </x:c>
      <x:c r="AF277" s="55" t="n">
        <x:v>10347</x:v>
      </x:c>
      <x:c r="AG277" s="55" t="n">
        <x:v>188</x:v>
      </x:c>
      <x:c r="AH277" s="55" t="n">
        <x:v>564</x:v>
      </x:c>
      <x:c r="AI277" s="55" t="n">
        <x:v>9783</x:v>
      </x:c>
      <x:c r="AJ277" s="55" t="n">
        <x:v>320</x:v>
      </x:c>
      <x:c r="AK277" s="55" t="n">
        <x:v>1035</x:v>
      </x:c>
      <x:c r="AL277" s="55" t="n">
        <x:v>1749</x:v>
      </x:c>
      <x:c r="AM277" s="55" t="n">
        <x:v>4480</x:v>
      </x:c>
      <x:c r="AN277" s="55" t="n">
        <x:v>2668</x:v>
      </x:c>
      <x:c r="AO277" s="55" t="n">
        <x:v>95</x:v>
      </x:c>
      <x:c r="AP277" s="55" t="n">
        <x:v>2260</x:v>
      </x:c>
      <x:c r="AQ277" s="55" t="n">
        <x:v>968</x:v>
      </x:c>
    </x:row>
    <x:row r="278">
      <x:c r="A278" s="54" t="str">
        <x:v>T1_SHARED_CATCHMENT</x:v>
      </x:c>
      <x:c r="B278" s="54" t="n">
        <x:v>272</x:v>
      </x:c>
      <x:c r="C278" s="54" t="str">
        <x:v>NYC-V2-R01</x:v>
      </x:c>
      <x:c r="D278" s="54" t="str">
        <x:v>V2</x:v>
      </x:c>
      <x:c r="E278" s="54" t="str">
        <x:v>ADMITTED</x:v>
      </x:c>
      <x:c r="F278" s="55" t="n">
        <x:v>30580</x:v>
      </x:c>
      <x:c r="G278" s="55" t="n">
        <x:v>7874</x:v>
      </x:c>
      <x:c r="H278" s="55" t="n">
        <x:v>2964</x:v>
      </x:c>
      <x:c r="I278" s="55" t="n">
        <x:v>1166</x:v>
      </x:c>
      <x:c r="J278" s="55" t="n">
        <x:v>183</x:v>
      </x:c>
      <x:c r="K278" s="55" t="n">
        <x:v>27386</x:v>
      </x:c>
      <x:c r="L278" s="55" t="n">
        <x:v>4132</x:v>
      </x:c>
      <x:c r="M278" s="55" t="n">
        <x:v>0</x:v>
      </x:c>
      <x:c r="N278" s="55" t="n">
        <x:v>2272</x:v>
      </x:c>
      <x:c r="O278" s="55" t="n">
        <x:v>1860</x:v>
      </x:c>
      <x:c r="P278" s="55" t="n">
        <x:v>1051</x:v>
      </x:c>
      <x:c r="Q278" s="55" t="n">
        <x:v>2452</x:v>
      </x:c>
      <x:c r="R278" s="55" t="n">
        <x:v>2169</x:v>
      </x:c>
      <x:c r="S278" s="55" t="n">
        <x:v>2555</x:v>
      </x:c>
      <x:c r="T278" s="55" t="n">
        <x:v>675</x:v>
      </x:c>
      <x:c r="U278" s="55" t="n">
        <x:v>1921</x:v>
      </x:c>
      <x:c r="V278" s="55" t="n">
        <x:v>10161</x:v>
      </x:c>
      <x:c r="W278" s="55" t="n">
        <x:v>7135</x:v>
      </x:c>
      <x:c r="X278" s="55" t="n">
        <x:v>3026</x:v>
      </x:c>
      <x:c r="Y278" s="55" t="n">
        <x:v>2557</x:v>
      </x:c>
      <x:c r="Z278" s="55" t="n">
        <x:v>4313</x:v>
      </x:c>
      <x:c r="AA278" s="55" t="n">
        <x:v>2937</x:v>
      </x:c>
      <x:c r="AB278" s="55" t="n">
        <x:v>1171</x:v>
      </x:c>
      <x:c r="AC278" s="55" t="n">
        <x:v>7962</x:v>
      </x:c>
      <x:c r="AD278" s="55" t="n">
        <x:v>2907</x:v>
      </x:c>
      <x:c r="AE278" s="55" t="n">
        <x:v>10275</x:v>
      </x:c>
      <x:c r="AF278" s="55" t="n">
        <x:v>10161</x:v>
      </x:c>
      <x:c r="AG278" s="55" t="n">
        <x:v>114</x:v>
      </x:c>
      <x:c r="AH278" s="55" t="n">
        <x:v>557</x:v>
      </x:c>
      <x:c r="AI278" s="55" t="n">
        <x:v>9604</x:v>
      </x:c>
      <x:c r="AJ278" s="55" t="n">
        <x:v>286</x:v>
      </x:c>
      <x:c r="AK278" s="55" t="n">
        <x:v>883</x:v>
      </x:c>
      <x:c r="AL278" s="55" t="n">
        <x:v>1208</x:v>
      </x:c>
      <x:c r="AM278" s="55" t="n">
        <x:v>5100</x:v>
      </x:c>
      <x:c r="AN278" s="55" t="n">
        <x:v>2671</x:v>
      </x:c>
      <x:c r="AO278" s="55" t="n">
        <x:v>13</x:v>
      </x:c>
      <x:c r="AP278" s="55" t="n">
        <x:v>1963</x:v>
      </x:c>
      <x:c r="AQ278" s="55" t="n">
        <x:v>965</x:v>
      </x:c>
    </x:row>
    <x:row r="279">
      <x:c r="A279" s="54" t="str">
        <x:v>T1_SHARED_CATCHMENT</x:v>
      </x:c>
      <x:c r="B279" s="54" t="n">
        <x:v>273</x:v>
      </x:c>
      <x:c r="C279" s="54" t="str">
        <x:v>NYC-V2-R01</x:v>
      </x:c>
      <x:c r="D279" s="54" t="str">
        <x:v>V2</x:v>
      </x:c>
      <x:c r="E279" s="54" t="str">
        <x:v>ADMITTED</x:v>
      </x:c>
      <x:c r="F279" s="55" t="n">
        <x:v>31616</x:v>
      </x:c>
      <x:c r="G279" s="55" t="n">
        <x:v>6598</x:v>
      </x:c>
      <x:c r="H279" s="55" t="n">
        <x:v>3065</x:v>
      </x:c>
      <x:c r="I279" s="55" t="n">
        <x:v>1300</x:v>
      </x:c>
      <x:c r="J279" s="55" t="n">
        <x:v>91</x:v>
      </x:c>
      <x:c r="K279" s="55" t="n">
        <x:v>31616</x:v>
      </x:c>
      <x:c r="L279" s="55" t="n">
        <x:v>6276</x:v>
      </x:c>
      <x:c r="M279" s="55" t="n">
        <x:v>1721</x:v>
      </x:c>
      <x:c r="N279" s="55" t="n">
        <x:v>2851</x:v>
      </x:c>
      <x:c r="O279" s="55" t="n">
        <x:v>1704</x:v>
      </x:c>
      <x:c r="P279" s="55" t="n">
        <x:v>850</x:v>
      </x:c>
      <x:c r="Q279" s="55" t="n">
        <x:v>2510</x:v>
      </x:c>
      <x:c r="R279" s="55" t="n">
        <x:v>1769</x:v>
      </x:c>
      <x:c r="S279" s="55" t="n">
        <x:v>2275</x:v>
      </x:c>
      <x:c r="T279" s="55" t="n">
        <x:v>1367</x:v>
      </x:c>
      <x:c r="U279" s="55" t="n">
        <x:v>1597</x:v>
      </x:c>
      <x:c r="V279" s="55" t="n">
        <x:v>10544</x:v>
      </x:c>
      <x:c r="W279" s="55" t="n">
        <x:v>7221</x:v>
      </x:c>
      <x:c r="X279" s="55" t="n">
        <x:v>3323</x:v>
      </x:c>
      <x:c r="Y279" s="55" t="n">
        <x:v>2974</x:v>
      </x:c>
      <x:c r="Z279" s="55" t="n">
        <x:v>3494</x:v>
      </x:c>
      <x:c r="AA279" s="55" t="n">
        <x:v>2600</x:v>
      </x:c>
      <x:c r="AB279" s="55" t="n">
        <x:v>851</x:v>
      </x:c>
      <x:c r="AC279" s="55" t="n">
        <x:v>8352</x:v>
      </x:c>
      <x:c r="AD279" s="55" t="n">
        <x:v>3264</x:v>
      </x:c>
      <x:c r="AE279" s="55" t="n">
        <x:v>10544</x:v>
      </x:c>
      <x:c r="AF279" s="55" t="n">
        <x:v>10544</x:v>
      </x:c>
      <x:c r="AG279" s="55" t="n">
        <x:v>0</x:v>
      </x:c>
      <x:c r="AH279" s="55" t="n">
        <x:v>338</x:v>
      </x:c>
      <x:c r="AI279" s="55" t="n">
        <x:v>10206</x:v>
      </x:c>
      <x:c r="AJ279" s="55" t="n">
        <x:v>361</x:v>
      </x:c>
      <x:c r="AK279" s="55" t="n">
        <x:v>1128</x:v>
      </x:c>
      <x:c r="AL279" s="55" t="n">
        <x:v>1491</x:v>
      </x:c>
      <x:c r="AM279" s="55" t="n">
        <x:v>4470</x:v>
      </x:c>
      <x:c r="AN279" s="55" t="n">
        <x:v>3094</x:v>
      </x:c>
      <x:c r="AO279" s="55" t="n">
        <x:v>0</x:v>
      </x:c>
      <x:c r="AP279" s="55" t="n">
        <x:v>2377</x:v>
      </x:c>
      <x:c r="AQ279" s="55" t="n">
        <x:v>934</x:v>
      </x:c>
    </x:row>
    <x:row r="280">
      <x:c r="A280" s="54" t="str">
        <x:v>T1_SHARED_CATCHMENT</x:v>
      </x:c>
      <x:c r="B280" s="54" t="n">
        <x:v>274</x:v>
      </x:c>
      <x:c r="C280" s="54" t="str">
        <x:v>NYC-V2-R01</x:v>
      </x:c>
      <x:c r="D280" s="54" t="str">
        <x:v>V2</x:v>
      </x:c>
      <x:c r="E280" s="54" t="str">
        <x:v>ADMITTED</x:v>
      </x:c>
      <x:c r="F280" s="55" t="n">
        <x:v>31256</x:v>
      </x:c>
      <x:c r="G280" s="55" t="n">
        <x:v>7828</x:v>
      </x:c>
      <x:c r="H280" s="55" t="n">
        <x:v>3249</x:v>
      </x:c>
      <x:c r="I280" s="55" t="n">
        <x:v>1173</x:v>
      </x:c>
      <x:c r="J280" s="55" t="n">
        <x:v>217</x:v>
      </x:c>
      <x:c r="K280" s="55" t="n">
        <x:v>29228</x:v>
      </x:c>
      <x:c r="L280" s="55" t="n">
        <x:v>4227</x:v>
      </x:c>
      <x:c r="M280" s="55" t="n">
        <x:v>501</x:v>
      </x:c>
      <x:c r="N280" s="55" t="n">
        <x:v>2002</x:v>
      </x:c>
      <x:c r="O280" s="55" t="n">
        <x:v>1724</x:v>
      </x:c>
      <x:c r="P280" s="55" t="n">
        <x:v>1010</x:v>
      </x:c>
      <x:c r="Q280" s="55" t="n">
        <x:v>3335</x:v>
      </x:c>
      <x:c r="R280" s="55" t="n">
        <x:v>2152</x:v>
      </x:c>
      <x:c r="S280" s="55" t="n">
        <x:v>3012</x:v>
      </x:c>
      <x:c r="T280" s="55" t="n">
        <x:v>1178</x:v>
      </x:c>
      <x:c r="U280" s="55" t="n">
        <x:v>2283</x:v>
      </x:c>
      <x:c r="V280" s="55" t="n">
        <x:v>11228</x:v>
      </x:c>
      <x:c r="W280" s="55" t="n">
        <x:v>7910</x:v>
      </x:c>
      <x:c r="X280" s="55" t="n">
        <x:v>3318</x:v>
      </x:c>
      <x:c r="Y280" s="55" t="n">
        <x:v>2838</x:v>
      </x:c>
      <x:c r="Z280" s="55" t="n">
        <x:v>3825</x:v>
      </x:c>
      <x:c r="AA280" s="55" t="n">
        <x:v>2927</x:v>
      </x:c>
      <x:c r="AB280" s="55" t="n">
        <x:v>1251</x:v>
      </x:c>
      <x:c r="AC280" s="55" t="n">
        <x:v>8290</x:v>
      </x:c>
      <x:c r="AD280" s="55" t="n">
        <x:v>2945</x:v>
      </x:c>
      <x:c r="AE280" s="55" t="n">
        <x:v>11271</x:v>
      </x:c>
      <x:c r="AF280" s="55" t="n">
        <x:v>11228</x:v>
      </x:c>
      <x:c r="AG280" s="55" t="n">
        <x:v>43</x:v>
      </x:c>
      <x:c r="AH280" s="55" t="n">
        <x:v>481</x:v>
      </x:c>
      <x:c r="AI280" s="55" t="n">
        <x:v>10747</x:v>
      </x:c>
      <x:c r="AJ280" s="55" t="n">
        <x:v>341</x:v>
      </x:c>
      <x:c r="AK280" s="55" t="n">
        <x:v>1024</x:v>
      </x:c>
      <x:c r="AL280" s="55" t="n">
        <x:v>1775</x:v>
      </x:c>
      <x:c r="AM280" s="55" t="n">
        <x:v>4804</x:v>
      </x:c>
      <x:c r="AN280" s="55" t="n">
        <x:v>3284</x:v>
      </x:c>
      <x:c r="AO280" s="55" t="n">
        <x:v>0</x:v>
      </x:c>
      <x:c r="AP280" s="55" t="n">
        <x:v>2351</x:v>
      </x:c>
      <x:c r="AQ280" s="55" t="n">
        <x:v>952</x:v>
      </x:c>
    </x:row>
    <x:row r="281">
      <x:c r="A281" s="54" t="str">
        <x:v>T1_SHARED_CATCHMENT</x:v>
      </x:c>
      <x:c r="B281" s="54" t="n">
        <x:v>275</x:v>
      </x:c>
      <x:c r="C281" s="54" t="str">
        <x:v>NYC-V2-R01</x:v>
      </x:c>
      <x:c r="D281" s="54" t="str">
        <x:v>V2</x:v>
      </x:c>
      <x:c r="E281" s="54" t="str">
        <x:v>ADMITTED</x:v>
      </x:c>
      <x:c r="F281" s="55" t="n">
        <x:v>31475</x:v>
      </x:c>
      <x:c r="G281" s="55" t="n">
        <x:v>8038</x:v>
      </x:c>
      <x:c r="H281" s="55" t="n">
        <x:v>3698</x:v>
      </x:c>
      <x:c r="I281" s="55" t="n">
        <x:v>1811</x:v>
      </x:c>
      <x:c r="J281" s="55" t="n">
        <x:v>431</x:v>
      </x:c>
      <x:c r="K281" s="55" t="n">
        <x:v>31475</x:v>
      </x:c>
      <x:c r="L281" s="55" t="n">
        <x:v>6157</x:v>
      </x:c>
      <x:c r="M281" s="55" t="n">
        <x:v>1670</x:v>
      </x:c>
      <x:c r="N281" s="55" t="n">
        <x:v>2717</x:v>
      </x:c>
      <x:c r="O281" s="55" t="n">
        <x:v>1770</x:v>
      </x:c>
      <x:c r="P281" s="55" t="n">
        <x:v>893</x:v>
      </x:c>
      <x:c r="Q281" s="55" t="n">
        <x:v>4172</x:v>
      </x:c>
      <x:c r="R281" s="55" t="n">
        <x:v>1669</x:v>
      </x:c>
      <x:c r="S281" s="55" t="n">
        <x:v>3610</x:v>
      </x:c>
      <x:c r="T281" s="55" t="n">
        <x:v>1334</x:v>
      </x:c>
      <x:c r="U281" s="55" t="n">
        <x:v>2532</x:v>
      </x:c>
      <x:c r="V281" s="55" t="n">
        <x:v>10851</x:v>
      </x:c>
      <x:c r="W281" s="55" t="n">
        <x:v>7675</x:v>
      </x:c>
      <x:c r="X281" s="55" t="n">
        <x:v>3176</x:v>
      </x:c>
      <x:c r="Y281" s="55" t="n">
        <x:v>2740</x:v>
      </x:c>
      <x:c r="Z281" s="55" t="n">
        <x:v>4022</x:v>
      </x:c>
      <x:c r="AA281" s="55" t="n">
        <x:v>3682</x:v>
      </x:c>
      <x:c r="AB281" s="55" t="n">
        <x:v>1235</x:v>
      </x:c>
      <x:c r="AC281" s="55" t="n">
        <x:v>9134</x:v>
      </x:c>
      <x:c r="AD281" s="55" t="n">
        <x:v>3256</x:v>
      </x:c>
      <x:c r="AE281" s="55" t="n">
        <x:v>10866</x:v>
      </x:c>
      <x:c r="AF281" s="55" t="n">
        <x:v>10851</x:v>
      </x:c>
      <x:c r="AG281" s="55" t="n">
        <x:v>15</x:v>
      </x:c>
      <x:c r="AH281" s="55" t="n">
        <x:v>642</x:v>
      </x:c>
      <x:c r="AI281" s="55" t="n">
        <x:v>10209</x:v>
      </x:c>
      <x:c r="AJ281" s="55" t="n">
        <x:v>160</x:v>
      </x:c>
      <x:c r="AK281" s="55" t="n">
        <x:v>799</x:v>
      </x:c>
      <x:c r="AL281" s="55" t="n">
        <x:v>1592</x:v>
      </x:c>
      <x:c r="AM281" s="55" t="n">
        <x:v>5673</x:v>
      </x:c>
      <x:c r="AN281" s="55" t="n">
        <x:v>2627</x:v>
      </x:c>
      <x:c r="AO281" s="55" t="n">
        <x:v>0</x:v>
      </x:c>
      <x:c r="AP281" s="55" t="n">
        <x:v>2236</x:v>
      </x:c>
      <x:c r="AQ281" s="55" t="n">
        <x:v>949</x:v>
      </x:c>
    </x:row>
    <x:row r="282">
      <x:c r="A282" s="54" t="str">
        <x:v>T1_SHARED_CATCHMENT</x:v>
      </x:c>
      <x:c r="B282" s="54" t="n">
        <x:v>276</x:v>
      </x:c>
      <x:c r="C282" s="54" t="str">
        <x:v>NYC-V2-R01</x:v>
      </x:c>
      <x:c r="D282" s="54" t="str">
        <x:v>V2</x:v>
      </x:c>
      <x:c r="E282" s="54" t="str">
        <x:v>ADMITTED</x:v>
      </x:c>
      <x:c r="F282" s="55" t="n">
        <x:v>31193</x:v>
      </x:c>
      <x:c r="G282" s="55" t="n">
        <x:v>8034</x:v>
      </x:c>
      <x:c r="H282" s="55" t="n">
        <x:v>3013</x:v>
      </x:c>
      <x:c r="I282" s="55" t="n">
        <x:v>1122</x:v>
      </x:c>
      <x:c r="J282" s="55" t="n">
        <x:v>173</x:v>
      </x:c>
      <x:c r="K282" s="55" t="n">
        <x:v>31193</x:v>
      </x:c>
      <x:c r="L282" s="55" t="n">
        <x:v>4745</x:v>
      </x:c>
      <x:c r="M282" s="55" t="n">
        <x:v>506</x:v>
      </x:c>
      <x:c r="N282" s="55" t="n">
        <x:v>2590</x:v>
      </x:c>
      <x:c r="O282" s="55" t="n">
        <x:v>1649</x:v>
      </x:c>
      <x:c r="P282" s="55" t="n">
        <x:v>918</x:v>
      </x:c>
      <x:c r="Q282" s="55" t="n">
        <x:v>2067</x:v>
      </x:c>
      <x:c r="R282" s="55" t="n">
        <x:v>1419</x:v>
      </x:c>
      <x:c r="S282" s="55" t="n">
        <x:v>2707</x:v>
      </x:c>
      <x:c r="T282" s="55" t="n">
        <x:v>1039</x:v>
      </x:c>
      <x:c r="U282" s="55" t="n">
        <x:v>1953</x:v>
      </x:c>
      <x:c r="V282" s="55" t="n">
        <x:v>10153</x:v>
      </x:c>
      <x:c r="W282" s="55" t="n">
        <x:v>7420</x:v>
      </x:c>
      <x:c r="X282" s="55" t="n">
        <x:v>2733</x:v>
      </x:c>
      <x:c r="Y282" s="55" t="n">
        <x:v>2307</x:v>
      </x:c>
      <x:c r="Z282" s="55" t="n">
        <x:v>3421</x:v>
      </x:c>
      <x:c r="AA282" s="55" t="n">
        <x:v>3013</x:v>
      </x:c>
      <x:c r="AB282" s="55" t="n">
        <x:v>1096</x:v>
      </x:c>
      <x:c r="AC282" s="55" t="n">
        <x:v>7624</x:v>
      </x:c>
      <x:c r="AD282" s="55" t="n">
        <x:v>2358</x:v>
      </x:c>
      <x:c r="AE282" s="55" t="n">
        <x:v>10224</x:v>
      </x:c>
      <x:c r="AF282" s="55" t="n">
        <x:v>10153</x:v>
      </x:c>
      <x:c r="AG282" s="55" t="n">
        <x:v>71</x:v>
      </x:c>
      <x:c r="AH282" s="55" t="n">
        <x:v>426</x:v>
      </x:c>
      <x:c r="AI282" s="55" t="n">
        <x:v>9727</x:v>
      </x:c>
      <x:c r="AJ282" s="55" t="n">
        <x:v>163</x:v>
      </x:c>
      <x:c r="AK282" s="55" t="n">
        <x:v>1034</x:v>
      </x:c>
      <x:c r="AL282" s="55" t="n">
        <x:v>1589</x:v>
      </x:c>
      <x:c r="AM282" s="55" t="n">
        <x:v>5181</x:v>
      </x:c>
      <x:c r="AN282" s="55" t="n">
        <x:v>2186</x:v>
      </x:c>
      <x:c r="AO282" s="55" t="n">
        <x:v>0</x:v>
      </x:c>
      <x:c r="AP282" s="55" t="n">
        <x:v>2600</x:v>
      </x:c>
      <x:c r="AQ282" s="55" t="n">
        <x:v>909</x:v>
      </x:c>
    </x:row>
    <x:row r="283">
      <x:c r="A283" s="54" t="str">
        <x:v>T1_SHARED_CATCHMENT</x:v>
      </x:c>
      <x:c r="B283" s="54" t="n">
        <x:v>277</x:v>
      </x:c>
      <x:c r="C283" s="54" t="str">
        <x:v>NYC-V2-R01</x:v>
      </x:c>
      <x:c r="D283" s="54" t="str">
        <x:v>V2</x:v>
      </x:c>
      <x:c r="E283" s="54" t="str">
        <x:v>ADMITTED</x:v>
      </x:c>
      <x:c r="F283" s="55" t="n">
        <x:v>32033</x:v>
      </x:c>
      <x:c r="G283" s="55" t="n">
        <x:v>7071</x:v>
      </x:c>
      <x:c r="H283" s="55" t="n">
        <x:v>3424</x:v>
      </x:c>
      <x:c r="I283" s="55" t="n">
        <x:v>1058</x:v>
      </x:c>
      <x:c r="J283" s="55" t="n">
        <x:v>156</x:v>
      </x:c>
      <x:c r="K283" s="55" t="n">
        <x:v>32033</x:v>
      </x:c>
      <x:c r="L283" s="55" t="n">
        <x:v>6859</x:v>
      </x:c>
      <x:c r="M283" s="55" t="n">
        <x:v>1918</x:v>
      </x:c>
      <x:c r="N283" s="55" t="n">
        <x:v>2662</x:v>
      </x:c>
      <x:c r="O283" s="55" t="n">
        <x:v>2279</x:v>
      </x:c>
      <x:c r="P283" s="55" t="n">
        <x:v>1082</x:v>
      </x:c>
      <x:c r="Q283" s="55" t="n">
        <x:v>2974</x:v>
      </x:c>
      <x:c r="R283" s="55" t="n">
        <x:v>1953</x:v>
      </x:c>
      <x:c r="S283" s="55" t="n">
        <x:v>2896</x:v>
      </x:c>
      <x:c r="T283" s="55" t="n">
        <x:v>1465</x:v>
      </x:c>
      <x:c r="U283" s="55" t="n">
        <x:v>2550</x:v>
      </x:c>
      <x:c r="V283" s="55" t="n">
        <x:v>10298</x:v>
      </x:c>
      <x:c r="W283" s="55" t="n">
        <x:v>6811</x:v>
      </x:c>
      <x:c r="X283" s="55" t="n">
        <x:v>3487</x:v>
      </x:c>
      <x:c r="Y283" s="55" t="n">
        <x:v>3058</x:v>
      </x:c>
      <x:c r="Z283" s="55" t="n">
        <x:v>3544</x:v>
      </x:c>
      <x:c r="AA283" s="55" t="n">
        <x:v>3424</x:v>
      </x:c>
      <x:c r="AB283" s="55" t="n">
        <x:v>1173</x:v>
      </x:c>
      <x:c r="AC283" s="55" t="n">
        <x:v>7573</x:v>
      </x:c>
      <x:c r="AD283" s="55" t="n">
        <x:v>3268</x:v>
      </x:c>
      <x:c r="AE283" s="55" t="n">
        <x:v>10409</x:v>
      </x:c>
      <x:c r="AF283" s="55" t="n">
        <x:v>10298</x:v>
      </x:c>
      <x:c r="AG283" s="55" t="n">
        <x:v>111</x:v>
      </x:c>
      <x:c r="AH283" s="55" t="n">
        <x:v>675</x:v>
      </x:c>
      <x:c r="AI283" s="55" t="n">
        <x:v>9623</x:v>
      </x:c>
      <x:c r="AJ283" s="55" t="n">
        <x:v>373</x:v>
      </x:c>
      <x:c r="AK283" s="55" t="n">
        <x:v>1003</x:v>
      </x:c>
      <x:c r="AL283" s="55" t="n">
        <x:v>1811</x:v>
      </x:c>
      <x:c r="AM283" s="55" t="n">
        <x:v>4808</x:v>
      </x:c>
      <x:c r="AN283" s="55" t="n">
        <x:v>2292</x:v>
      </x:c>
      <x:c r="AO283" s="55" t="n">
        <x:v>11</x:v>
      </x:c>
      <x:c r="AP283" s="55" t="n">
        <x:v>2261</x:v>
      </x:c>
      <x:c r="AQ283" s="55" t="n">
        <x:v>975</x:v>
      </x:c>
    </x:row>
    <x:row r="284">
      <x:c r="A284" s="54" t="str">
        <x:v>T1_SHARED_CATCHMENT</x:v>
      </x:c>
      <x:c r="B284" s="54" t="n">
        <x:v>278</x:v>
      </x:c>
      <x:c r="C284" s="54" t="str">
        <x:v>NYC-V2-R01</x:v>
      </x:c>
      <x:c r="D284" s="54" t="str">
        <x:v>V2</x:v>
      </x:c>
      <x:c r="E284" s="54" t="str">
        <x:v>ADMITTED</x:v>
      </x:c>
      <x:c r="F284" s="55" t="n">
        <x:v>32644</x:v>
      </x:c>
      <x:c r="G284" s="55" t="n">
        <x:v>8662</x:v>
      </x:c>
      <x:c r="H284" s="55" t="n">
        <x:v>3147</x:v>
      </x:c>
      <x:c r="I284" s="55" t="n">
        <x:v>917</x:v>
      </x:c>
      <x:c r="J284" s="55" t="n">
        <x:v>300</x:v>
      </x:c>
      <x:c r="K284" s="55" t="n">
        <x:v>29637</x:v>
      </x:c>
      <x:c r="L284" s="55" t="n">
        <x:v>5463</x:v>
      </x:c>
      <x:c r="M284" s="55" t="n">
        <x:v>565</x:v>
      </x:c>
      <x:c r="N284" s="55" t="n">
        <x:v>2614</x:v>
      </x:c>
      <x:c r="O284" s="55" t="n">
        <x:v>2284</x:v>
      </x:c>
      <x:c r="P284" s="55" t="n">
        <x:v>675</x:v>
      </x:c>
      <x:c r="Q284" s="55" t="n">
        <x:v>2070</x:v>
      </x:c>
      <x:c r="R284" s="55" t="n">
        <x:v>1881</x:v>
      </x:c>
      <x:c r="S284" s="55" t="n">
        <x:v>2924</x:v>
      </x:c>
      <x:c r="T284" s="55" t="n">
        <x:v>1005</x:v>
      </x:c>
      <x:c r="U284" s="55" t="n">
        <x:v>1908</x:v>
      </x:c>
      <x:c r="V284" s="55" t="n">
        <x:v>10353</x:v>
      </x:c>
      <x:c r="W284" s="55" t="n">
        <x:v>7257</x:v>
      </x:c>
      <x:c r="X284" s="55" t="n">
        <x:v>3096</x:v>
      </x:c>
      <x:c r="Y284" s="55" t="n">
        <x:v>2714</x:v>
      </x:c>
      <x:c r="Z284" s="55" t="n">
        <x:v>3837</x:v>
      </x:c>
      <x:c r="AA284" s="55" t="n">
        <x:v>2971</x:v>
      </x:c>
      <x:c r="AB284" s="55" t="n">
        <x:v>1012</x:v>
      </x:c>
      <x:c r="AC284" s="55" t="n">
        <x:v>7713</x:v>
      </x:c>
      <x:c r="AD284" s="55" t="n">
        <x:v>2703</x:v>
      </x:c>
      <x:c r="AE284" s="55" t="n">
        <x:v>10405</x:v>
      </x:c>
      <x:c r="AF284" s="55" t="n">
        <x:v>10353</x:v>
      </x:c>
      <x:c r="AG284" s="55" t="n">
        <x:v>52</x:v>
      </x:c>
      <x:c r="AH284" s="55" t="n">
        <x:v>294</x:v>
      </x:c>
      <x:c r="AI284" s="55" t="n">
        <x:v>10059</x:v>
      </x:c>
      <x:c r="AJ284" s="55" t="n">
        <x:v>35</x:v>
      </x:c>
      <x:c r="AK284" s="55" t="n">
        <x:v>656</x:v>
      </x:c>
      <x:c r="AL284" s="55" t="n">
        <x:v>1781</x:v>
      </x:c>
      <x:c r="AM284" s="55" t="n">
        <x:v>5435</x:v>
      </x:c>
      <x:c r="AN284" s="55" t="n">
        <x:v>2415</x:v>
      </x:c>
      <x:c r="AO284" s="55" t="n">
        <x:v>31</x:v>
      </x:c>
      <x:c r="AP284" s="55" t="n">
        <x:v>1969</x:v>
      </x:c>
      <x:c r="AQ284" s="55" t="n">
        <x:v>994</x:v>
      </x:c>
    </x:row>
    <x:row r="285">
      <x:c r="A285" s="54" t="str">
        <x:v>T1_SHARED_CATCHMENT</x:v>
      </x:c>
      <x:c r="B285" s="54" t="n">
        <x:v>279</x:v>
      </x:c>
      <x:c r="C285" s="54" t="str">
        <x:v>NYC-V2-R01</x:v>
      </x:c>
      <x:c r="D285" s="54" t="str">
        <x:v>V2</x:v>
      </x:c>
      <x:c r="E285" s="54" t="str">
        <x:v>ADMITTED</x:v>
      </x:c>
      <x:c r="F285" s="55" t="n">
        <x:v>31759</x:v>
      </x:c>
      <x:c r="G285" s="55" t="n">
        <x:v>8460</x:v>
      </x:c>
      <x:c r="H285" s="55" t="n">
        <x:v>3612</x:v>
      </x:c>
      <x:c r="I285" s="55" t="n">
        <x:v>1715</x:v>
      </x:c>
      <x:c r="J285" s="55" t="n">
        <x:v>365</x:v>
      </x:c>
      <x:c r="K285" s="55" t="n">
        <x:v>31466</x:v>
      </x:c>
      <x:c r="L285" s="55" t="n">
        <x:v>6437</x:v>
      </x:c>
      <x:c r="M285" s="55" t="n">
        <x:v>841</x:v>
      </x:c>
      <x:c r="N285" s="55" t="n">
        <x:v>3495</x:v>
      </x:c>
      <x:c r="O285" s="55" t="n">
        <x:v>2101</x:v>
      </x:c>
      <x:c r="P285" s="55" t="n">
        <x:v>903</x:v>
      </x:c>
      <x:c r="Q285" s="55" t="n">
        <x:v>2017</x:v>
      </x:c>
      <x:c r="R285" s="55" t="n">
        <x:v>2338</x:v>
      </x:c>
      <x:c r="S285" s="55" t="n">
        <x:v>2814</x:v>
      </x:c>
      <x:c r="T285" s="55" t="n">
        <x:v>1379</x:v>
      </x:c>
      <x:c r="U285" s="55" t="n">
        <x:v>2739</x:v>
      </x:c>
      <x:c r="V285" s="55" t="n">
        <x:v>10309</x:v>
      </x:c>
      <x:c r="W285" s="55" t="n">
        <x:v>7517</x:v>
      </x:c>
      <x:c r="X285" s="55" t="n">
        <x:v>2792</x:v>
      </x:c>
      <x:c r="Y285" s="55" t="n">
        <x:v>2463</x:v>
      </x:c>
      <x:c r="Z285" s="55" t="n">
        <x:v>3632</x:v>
      </x:c>
      <x:c r="AA285" s="55" t="n">
        <x:v>2874</x:v>
      </x:c>
      <x:c r="AB285" s="55" t="n">
        <x:v>713</x:v>
      </x:c>
      <x:c r="AC285" s="55" t="n">
        <x:v>8009</x:v>
      </x:c>
      <x:c r="AD285" s="55" t="n">
        <x:v>2700</x:v>
      </x:c>
      <x:c r="AE285" s="55" t="n">
        <x:v>10455</x:v>
      </x:c>
      <x:c r="AF285" s="55" t="n">
        <x:v>10309</x:v>
      </x:c>
      <x:c r="AG285" s="55" t="n">
        <x:v>146</x:v>
      </x:c>
      <x:c r="AH285" s="55" t="n">
        <x:v>442</x:v>
      </x:c>
      <x:c r="AI285" s="55" t="n">
        <x:v>9867</x:v>
      </x:c>
      <x:c r="AJ285" s="55" t="n">
        <x:v>299</x:v>
      </x:c>
      <x:c r="AK285" s="55" t="n">
        <x:v>1154</x:v>
      </x:c>
      <x:c r="AL285" s="55" t="n">
        <x:v>1805</x:v>
      </x:c>
      <x:c r="AM285" s="55" t="n">
        <x:v>4859</x:v>
      </x:c>
      <x:c r="AN285" s="55" t="n">
        <x:v>2162</x:v>
      </x:c>
      <x:c r="AO285" s="55" t="n">
        <x:v>30</x:v>
      </x:c>
      <x:c r="AP285" s="55" t="n">
        <x:v>2420</x:v>
      </x:c>
      <x:c r="AQ285" s="55" t="n">
        <x:v>952</x:v>
      </x:c>
    </x:row>
    <x:row r="286">
      <x:c r="A286" s="54" t="str">
        <x:v>T1_SHARED_CATCHMENT</x:v>
      </x:c>
      <x:c r="B286" s="54" t="n">
        <x:v>280</x:v>
      </x:c>
      <x:c r="C286" s="54" t="str">
        <x:v>NYC-V2-R01</x:v>
      </x:c>
      <x:c r="D286" s="54" t="str">
        <x:v>V2</x:v>
      </x:c>
      <x:c r="E286" s="54" t="str">
        <x:v>ADMITTED</x:v>
      </x:c>
      <x:c r="F286" s="55" t="n">
        <x:v>30514</x:v>
      </x:c>
      <x:c r="G286" s="55" t="n">
        <x:v>7790</x:v>
      </x:c>
      <x:c r="H286" s="55" t="n">
        <x:v>3117</x:v>
      </x:c>
      <x:c r="I286" s="55" t="n">
        <x:v>816</x:v>
      </x:c>
      <x:c r="J286" s="55" t="n">
        <x:v>94</x:v>
      </x:c>
      <x:c r="K286" s="55" t="n">
        <x:v>27573</x:v>
      </x:c>
      <x:c r="L286" s="55" t="n">
        <x:v>4188</x:v>
      </x:c>
      <x:c r="M286" s="55" t="n">
        <x:v>0</x:v>
      </x:c>
      <x:c r="N286" s="55" t="n">
        <x:v>2858</x:v>
      </x:c>
      <x:c r="O286" s="55" t="n">
        <x:v>1330</x:v>
      </x:c>
      <x:c r="P286" s="55" t="n">
        <x:v>428</x:v>
      </x:c>
      <x:c r="Q286" s="55" t="n">
        <x:v>1285</x:v>
      </x:c>
      <x:c r="R286" s="55" t="n">
        <x:v>1021</x:v>
      </x:c>
      <x:c r="S286" s="55" t="n">
        <x:v>2163</x:v>
      </x:c>
      <x:c r="T286" s="55" t="n">
        <x:v>443</x:v>
      </x:c>
      <x:c r="U286" s="55" t="n">
        <x:v>1520</x:v>
      </x:c>
      <x:c r="V286" s="55" t="n">
        <x:v>10286</x:v>
      </x:c>
      <x:c r="W286" s="55" t="n">
        <x:v>7280</x:v>
      </x:c>
      <x:c r="X286" s="55" t="n">
        <x:v>3006</x:v>
      </x:c>
      <x:c r="Y286" s="55" t="n">
        <x:v>2650</x:v>
      </x:c>
      <x:c r="Z286" s="55" t="n">
        <x:v>3583</x:v>
      </x:c>
      <x:c r="AA286" s="55" t="n">
        <x:v>3117</x:v>
      </x:c>
      <x:c r="AB286" s="55" t="n">
        <x:v>825</x:v>
      </x:c>
      <x:c r="AC286" s="55" t="n">
        <x:v>7365</x:v>
      </x:c>
      <x:c r="AD286" s="55" t="n">
        <x:v>2426</x:v>
      </x:c>
      <x:c r="AE286" s="55" t="n">
        <x:v>10286</x:v>
      </x:c>
      <x:c r="AF286" s="55" t="n">
        <x:v>10286</x:v>
      </x:c>
      <x:c r="AG286" s="55" t="n">
        <x:v>0</x:v>
      </x:c>
      <x:c r="AH286" s="55" t="n">
        <x:v>279</x:v>
      </x:c>
      <x:c r="AI286" s="55" t="n">
        <x:v>10007</x:v>
      </x:c>
      <x:c r="AJ286" s="55" t="n">
        <x:v>317</x:v>
      </x:c>
      <x:c r="AK286" s="55" t="n">
        <x:v>802</x:v>
      </x:c>
      <x:c r="AL286" s="55" t="n">
        <x:v>1661</x:v>
      </x:c>
      <x:c r="AM286" s="55" t="n">
        <x:v>4646</x:v>
      </x:c>
      <x:c r="AN286" s="55" t="n">
        <x:v>2860</x:v>
      </x:c>
      <x:c r="AO286" s="55" t="n">
        <x:v>0</x:v>
      </x:c>
      <x:c r="AP286" s="55" t="n">
        <x:v>2158</x:v>
      </x:c>
      <x:c r="AQ286" s="55" t="n">
        <x:v>935</x:v>
      </x:c>
    </x:row>
    <x:row r="287">
      <x:c r="A287" s="54" t="str">
        <x:v>T1_SHARED_CATCHMENT</x:v>
      </x:c>
      <x:c r="B287" s="54" t="n">
        <x:v>281</x:v>
      </x:c>
      <x:c r="C287" s="54" t="str">
        <x:v>NYC-V2-R01</x:v>
      </x:c>
      <x:c r="D287" s="54" t="str">
        <x:v>V2</x:v>
      </x:c>
      <x:c r="E287" s="54" t="str">
        <x:v>ADMITTED</x:v>
      </x:c>
      <x:c r="F287" s="55" t="n">
        <x:v>30784</x:v>
      </x:c>
      <x:c r="G287" s="55" t="n">
        <x:v>6441</x:v>
      </x:c>
      <x:c r="H287" s="55" t="n">
        <x:v>2977</x:v>
      </x:c>
      <x:c r="I287" s="55" t="n">
        <x:v>1347</x:v>
      </x:c>
      <x:c r="J287" s="55" t="n">
        <x:v>165</x:v>
      </x:c>
      <x:c r="K287" s="55" t="n">
        <x:v>30784</x:v>
      </x:c>
      <x:c r="L287" s="55" t="n">
        <x:v>6639</x:v>
      </x:c>
      <x:c r="M287" s="55" t="n">
        <x:v>2090</x:v>
      </x:c>
      <x:c r="N287" s="55" t="n">
        <x:v>2663</x:v>
      </x:c>
      <x:c r="O287" s="55" t="n">
        <x:v>1886</x:v>
      </x:c>
      <x:c r="P287" s="55" t="n">
        <x:v>513</x:v>
      </x:c>
      <x:c r="Q287" s="55" t="n">
        <x:v>1857</x:v>
      </x:c>
      <x:c r="R287" s="55" t="n">
        <x:v>1556</x:v>
      </x:c>
      <x:c r="S287" s="55" t="n">
        <x:v>2355</x:v>
      </x:c>
      <x:c r="T287" s="55" t="n">
        <x:v>1236</x:v>
      </x:c>
      <x:c r="U287" s="55" t="n">
        <x:v>1525</x:v>
      </x:c>
      <x:c r="V287" s="55" t="n">
        <x:v>10581</x:v>
      </x:c>
      <x:c r="W287" s="55" t="n">
        <x:v>7418</x:v>
      </x:c>
      <x:c r="X287" s="55" t="n">
        <x:v>3163</x:v>
      </x:c>
      <x:c r="Y287" s="55" t="n">
        <x:v>2772</x:v>
      </x:c>
      <x:c r="Z287" s="55" t="n">
        <x:v>4030</x:v>
      </x:c>
      <x:c r="AA287" s="55" t="n">
        <x:v>2258</x:v>
      </x:c>
      <x:c r="AB287" s="55" t="n">
        <x:v>760</x:v>
      </x:c>
      <x:c r="AC287" s="55" t="n">
        <x:v>7701</x:v>
      </x:c>
      <x:c r="AD287" s="55" t="n">
        <x:v>2589</x:v>
      </x:c>
      <x:c r="AE287" s="55" t="n">
        <x:v>10590</x:v>
      </x:c>
      <x:c r="AF287" s="55" t="n">
        <x:v>10581</x:v>
      </x:c>
      <x:c r="AG287" s="55" t="n">
        <x:v>9</x:v>
      </x:c>
      <x:c r="AH287" s="55" t="n">
        <x:v>197</x:v>
      </x:c>
      <x:c r="AI287" s="55" t="n">
        <x:v>10384</x:v>
      </x:c>
      <x:c r="AJ287" s="55" t="n">
        <x:v>381</x:v>
      </x:c>
      <x:c r="AK287" s="55" t="n">
        <x:v>1239</x:v>
      </x:c>
      <x:c r="AL287" s="55" t="n">
        <x:v>1495</x:v>
      </x:c>
      <x:c r="AM287" s="55" t="n">
        <x:v>4549</x:v>
      </x:c>
      <x:c r="AN287" s="55" t="n">
        <x:v>2917</x:v>
      </x:c>
      <x:c r="AO287" s="55" t="n">
        <x:v>0</x:v>
      </x:c>
      <x:c r="AP287" s="55" t="n">
        <x:v>1870</x:v>
      </x:c>
      <x:c r="AQ287" s="55" t="n">
        <x:v>967</x:v>
      </x:c>
    </x:row>
    <x:row r="288">
      <x:c r="A288" s="54" t="str">
        <x:v>T1_SHARED_CATCHMENT</x:v>
      </x:c>
      <x:c r="B288" s="54" t="n">
        <x:v>282</x:v>
      </x:c>
      <x:c r="C288" s="54" t="str">
        <x:v>NYC-V2-R01</x:v>
      </x:c>
      <x:c r="D288" s="54" t="str">
        <x:v>V2</x:v>
      </x:c>
      <x:c r="E288" s="54" t="str">
        <x:v>ADMITTED</x:v>
      </x:c>
      <x:c r="F288" s="55" t="n">
        <x:v>31806</x:v>
      </x:c>
      <x:c r="G288" s="55" t="n">
        <x:v>8429</x:v>
      </x:c>
      <x:c r="H288" s="55" t="n">
        <x:v>3636</x:v>
      </x:c>
      <x:c r="I288" s="55" t="n">
        <x:v>1573</x:v>
      </x:c>
      <x:c r="J288" s="55" t="n">
        <x:v>388</x:v>
      </x:c>
      <x:c r="K288" s="55" t="n">
        <x:v>29171</x:v>
      </x:c>
      <x:c r="L288" s="55" t="n">
        <x:v>5647</x:v>
      </x:c>
      <x:c r="M288" s="55" t="n">
        <x:v>302</x:v>
      </x:c>
      <x:c r="N288" s="55" t="n">
        <x:v>2844</x:v>
      </x:c>
      <x:c r="O288" s="55" t="n">
        <x:v>2501</x:v>
      </x:c>
      <x:c r="P288" s="55" t="n">
        <x:v>926</x:v>
      </x:c>
      <x:c r="Q288" s="55" t="n">
        <x:v>1976</x:v>
      </x:c>
      <x:c r="R288" s="55" t="n">
        <x:v>1747</x:v>
      </x:c>
      <x:c r="S288" s="55" t="n">
        <x:v>3447</x:v>
      </x:c>
      <x:c r="T288" s="55" t="n">
        <x:v>964</x:v>
      </x:c>
      <x:c r="U288" s="55" t="n">
        <x:v>2050</x:v>
      </x:c>
      <x:c r="V288" s="55" t="n">
        <x:v>10682</x:v>
      </x:c>
      <x:c r="W288" s="55" t="n">
        <x:v>7293</x:v>
      </x:c>
      <x:c r="X288" s="55" t="n">
        <x:v>3389</x:v>
      </x:c>
      <x:c r="Y288" s="55" t="n">
        <x:v>2862</x:v>
      </x:c>
      <x:c r="Z288" s="55" t="n">
        <x:v>4499</x:v>
      </x:c>
      <x:c r="AA288" s="55" t="n">
        <x:v>2834</x:v>
      </x:c>
      <x:c r="AB288" s="55" t="n">
        <x:v>865</x:v>
      </x:c>
      <x:c r="AC288" s="55" t="n">
        <x:v>8650</x:v>
      </x:c>
      <x:c r="AD288" s="55" t="n">
        <x:v>2859</x:v>
      </x:c>
      <x:c r="AE288" s="55" t="n">
        <x:v>10794</x:v>
      </x:c>
      <x:c r="AF288" s="55" t="n">
        <x:v>10682</x:v>
      </x:c>
      <x:c r="AG288" s="55" t="n">
        <x:v>112</x:v>
      </x:c>
      <x:c r="AH288" s="55" t="n">
        <x:v>655</x:v>
      </x:c>
      <x:c r="AI288" s="55" t="n">
        <x:v>10027</x:v>
      </x:c>
      <x:c r="AJ288" s="55" t="n">
        <x:v>437</x:v>
      </x:c>
      <x:c r="AK288" s="55" t="n">
        <x:v>955</x:v>
      </x:c>
      <x:c r="AL288" s="55" t="n">
        <x:v>1568</x:v>
      </x:c>
      <x:c r="AM288" s="55" t="n">
        <x:v>4934</x:v>
      </x:c>
      <x:c r="AN288" s="55" t="n">
        <x:v>2772</x:v>
      </x:c>
      <x:c r="AO288" s="55" t="n">
        <x:v>16</x:v>
      </x:c>
      <x:c r="AP288" s="55" t="n">
        <x:v>2410</x:v>
      </x:c>
      <x:c r="AQ288" s="55" t="n">
        <x:v>965</x:v>
      </x:c>
    </x:row>
    <x:row r="289">
      <x:c r="A289" s="54" t="str">
        <x:v>T1_SHARED_CATCHMENT</x:v>
      </x:c>
      <x:c r="B289" s="54" t="n">
        <x:v>283</x:v>
      </x:c>
      <x:c r="C289" s="54" t="str">
        <x:v>NYC-V2-R01</x:v>
      </x:c>
      <x:c r="D289" s="54" t="str">
        <x:v>V2</x:v>
      </x:c>
      <x:c r="E289" s="54" t="str">
        <x:v>ADMITTED</x:v>
      </x:c>
      <x:c r="F289" s="55" t="n">
        <x:v>30695</x:v>
      </x:c>
      <x:c r="G289" s="55" t="n">
        <x:v>8581</x:v>
      </x:c>
      <x:c r="H289" s="55" t="n">
        <x:v>3149</x:v>
      </x:c>
      <x:c r="I289" s="55" t="n">
        <x:v>1078</x:v>
      </x:c>
      <x:c r="J289" s="55" t="n">
        <x:v>113</x:v>
      </x:c>
      <x:c r="K289" s="55" t="n">
        <x:v>29598</x:v>
      </x:c>
      <x:c r="L289" s="55" t="n">
        <x:v>4312</x:v>
      </x:c>
      <x:c r="M289" s="55" t="n">
        <x:v>381</x:v>
      </x:c>
      <x:c r="N289" s="55" t="n">
        <x:v>2534</x:v>
      </x:c>
      <x:c r="O289" s="55" t="n">
        <x:v>1397</x:v>
      </x:c>
      <x:c r="P289" s="55" t="n">
        <x:v>829</x:v>
      </x:c>
      <x:c r="Q289" s="55" t="n">
        <x:v>1168</x:v>
      </x:c>
      <x:c r="R289" s="55" t="n">
        <x:v>1768</x:v>
      </x:c>
      <x:c r="S289" s="55" t="n">
        <x:v>2589</x:v>
      </x:c>
      <x:c r="T289" s="55" t="n">
        <x:v>1768</x:v>
      </x:c>
      <x:c r="U289" s="55" t="n">
        <x:v>1812</x:v>
      </x:c>
      <x:c r="V289" s="55" t="n">
        <x:v>10590</x:v>
      </x:c>
      <x:c r="W289" s="55" t="n">
        <x:v>7331</x:v>
      </x:c>
      <x:c r="X289" s="55" t="n">
        <x:v>3259</x:v>
      </x:c>
      <x:c r="Y289" s="55" t="n">
        <x:v>2845</x:v>
      </x:c>
      <x:c r="Z289" s="55" t="n">
        <x:v>4052</x:v>
      </x:c>
      <x:c r="AA289" s="55" t="n">
        <x:v>3149</x:v>
      </x:c>
      <x:c r="AB289" s="55" t="n">
        <x:v>1360</x:v>
      </x:c>
      <x:c r="AC289" s="55" t="n">
        <x:v>7670</x:v>
      </x:c>
      <x:c r="AD289" s="55" t="n">
        <x:v>2375</x:v>
      </x:c>
      <x:c r="AE289" s="55" t="n">
        <x:v>10668</x:v>
      </x:c>
      <x:c r="AF289" s="55" t="n">
        <x:v>10590</x:v>
      </x:c>
      <x:c r="AG289" s="55" t="n">
        <x:v>78</x:v>
      </x:c>
      <x:c r="AH289" s="55" t="n">
        <x:v>432</x:v>
      </x:c>
      <x:c r="AI289" s="55" t="n">
        <x:v>10158</x:v>
      </x:c>
      <x:c r="AJ289" s="55" t="n">
        <x:v>440</x:v>
      </x:c>
      <x:c r="AK289" s="55" t="n">
        <x:v>1213</x:v>
      </x:c>
      <x:c r="AL289" s="55" t="n">
        <x:v>1572</x:v>
      </x:c>
      <x:c r="AM289" s="55" t="n">
        <x:v>5048</x:v>
      </x:c>
      <x:c r="AN289" s="55" t="n">
        <x:v>2246</x:v>
      </x:c>
      <x:c r="AO289" s="55" t="n">
        <x:v>71</x:v>
      </x:c>
      <x:c r="AP289" s="55" t="n">
        <x:v>2031</x:v>
      </x:c>
      <x:c r="AQ289" s="55" t="n">
        <x:v>977</x:v>
      </x:c>
    </x:row>
    <x:row r="290">
      <x:c r="A290" s="54" t="str">
        <x:v>T1_SHARED_CATCHMENT</x:v>
      </x:c>
      <x:c r="B290" s="54" t="n">
        <x:v>284</x:v>
      </x:c>
      <x:c r="C290" s="54" t="str">
        <x:v>NYC-V2-R01</x:v>
      </x:c>
      <x:c r="D290" s="54" t="str">
        <x:v>V2</x:v>
      </x:c>
      <x:c r="E290" s="54" t="str">
        <x:v>ADMITTED</x:v>
      </x:c>
      <x:c r="F290" s="55" t="n">
        <x:v>30652</x:v>
      </x:c>
      <x:c r="G290" s="55" t="n">
        <x:v>7627</x:v>
      </x:c>
      <x:c r="H290" s="55" t="n">
        <x:v>2712</x:v>
      </x:c>
      <x:c r="I290" s="55" t="n">
        <x:v>708</x:v>
      </x:c>
      <x:c r="J290" s="55" t="n">
        <x:v>205</x:v>
      </x:c>
      <x:c r="K290" s="55" t="n">
        <x:v>30652</x:v>
      </x:c>
      <x:c r="L290" s="55" t="n">
        <x:v>4203</x:v>
      </x:c>
      <x:c r="M290" s="55" t="n">
        <x:v>622</x:v>
      </x:c>
      <x:c r="N290" s="55" t="n">
        <x:v>2232</x:v>
      </x:c>
      <x:c r="O290" s="55" t="n">
        <x:v>1349</x:v>
      </x:c>
      <x:c r="P290" s="55" t="n">
        <x:v>792</x:v>
      </x:c>
      <x:c r="Q290" s="55" t="n">
        <x:v>1696</x:v>
      </x:c>
      <x:c r="R290" s="55" t="n">
        <x:v>1672</x:v>
      </x:c>
      <x:c r="S290" s="55" t="n">
        <x:v>2648</x:v>
      </x:c>
      <x:c r="T290" s="55" t="n">
        <x:v>1359</x:v>
      </x:c>
      <x:c r="U290" s="55" t="n">
        <x:v>1607</x:v>
      </x:c>
      <x:c r="V290" s="55" t="n">
        <x:v>10239</x:v>
      </x:c>
      <x:c r="W290" s="55" t="n">
        <x:v>7298</x:v>
      </x:c>
      <x:c r="X290" s="55" t="n">
        <x:v>2941</x:v>
      </x:c>
      <x:c r="Y290" s="55" t="n">
        <x:v>2457</x:v>
      </x:c>
      <x:c r="Z290" s="55" t="n">
        <x:v>3503</x:v>
      </x:c>
      <x:c r="AA290" s="55" t="n">
        <x:v>2712</x:v>
      </x:c>
      <x:c r="AB290" s="55" t="n">
        <x:v>1119</x:v>
      </x:c>
      <x:c r="AC290" s="55" t="n">
        <x:v>7557</x:v>
      </x:c>
      <x:c r="AD290" s="55" t="n">
        <x:v>3104</x:v>
      </x:c>
      <x:c r="AE290" s="55" t="n">
        <x:v>10239</x:v>
      </x:c>
      <x:c r="AF290" s="55" t="n">
        <x:v>10239</x:v>
      </x:c>
      <x:c r="AG290" s="55" t="n">
        <x:v>0</x:v>
      </x:c>
      <x:c r="AH290" s="55" t="n">
        <x:v>387</x:v>
      </x:c>
      <x:c r="AI290" s="55" t="n">
        <x:v>9852</x:v>
      </x:c>
      <x:c r="AJ290" s="55" t="n">
        <x:v>431</x:v>
      </x:c>
      <x:c r="AK290" s="55" t="n">
        <x:v>1049</x:v>
      </x:c>
      <x:c r="AL290" s="55" t="n">
        <x:v>1433</x:v>
      </x:c>
      <x:c r="AM290" s="55" t="n">
        <x:v>4725</x:v>
      </x:c>
      <x:c r="AN290" s="55" t="n">
        <x:v>2601</x:v>
      </x:c>
      <x:c r="AO290" s="55" t="n">
        <x:v>0</x:v>
      </x:c>
      <x:c r="AP290" s="55" t="n">
        <x:v>2458</x:v>
      </x:c>
      <x:c r="AQ290" s="55" t="n">
        <x:v>912</x:v>
      </x:c>
    </x:row>
    <x:row r="291">
      <x:c r="A291" s="54" t="str">
        <x:v>T1_SHARED_CATCHMENT</x:v>
      </x:c>
      <x:c r="B291" s="54" t="n">
        <x:v>285</x:v>
      </x:c>
      <x:c r="C291" s="54" t="str">
        <x:v>NYC-V2-R01</x:v>
      </x:c>
      <x:c r="D291" s="54" t="str">
        <x:v>V2</x:v>
      </x:c>
      <x:c r="E291" s="54" t="str">
        <x:v>ADMITTED</x:v>
      </x:c>
      <x:c r="F291" s="55" t="n">
        <x:v>31047</x:v>
      </x:c>
      <x:c r="G291" s="55" t="n">
        <x:v>7675</x:v>
      </x:c>
      <x:c r="H291" s="55" t="n">
        <x:v>3383</x:v>
      </x:c>
      <x:c r="I291" s="55" t="n">
        <x:v>1604</x:v>
      </x:c>
      <x:c r="J291" s="55" t="n">
        <x:v>201</x:v>
      </x:c>
      <x:c r="K291" s="55" t="n">
        <x:v>30706</x:v>
      </x:c>
      <x:c r="L291" s="55" t="n">
        <x:v>6324</x:v>
      </x:c>
      <x:c r="M291" s="55" t="n">
        <x:v>1556</x:v>
      </x:c>
      <x:c r="N291" s="55" t="n">
        <x:v>3132</x:v>
      </x:c>
      <x:c r="O291" s="55" t="n">
        <x:v>1636</x:v>
      </x:c>
      <x:c r="P291" s="55" t="n">
        <x:v>1192</x:v>
      </x:c>
      <x:c r="Q291" s="55" t="n">
        <x:v>2117</x:v>
      </x:c>
      <x:c r="R291" s="55" t="n">
        <x:v>1864</x:v>
      </x:c>
      <x:c r="S291" s="55" t="n">
        <x:v>2582</x:v>
      </x:c>
      <x:c r="T291" s="55" t="n">
        <x:v>1250</x:v>
      </x:c>
      <x:c r="U291" s="55" t="n">
        <x:v>1970</x:v>
      </x:c>
      <x:c r="V291" s="55" t="n">
        <x:v>9852</x:v>
      </x:c>
      <x:c r="W291" s="55" t="n">
        <x:v>6902</x:v>
      </x:c>
      <x:c r="X291" s="55" t="n">
        <x:v>2950</x:v>
      </x:c>
      <x:c r="Y291" s="55" t="n">
        <x:v>2524</x:v>
      </x:c>
      <x:c r="Z291" s="55" t="n">
        <x:v>3296</x:v>
      </x:c>
      <x:c r="AA291" s="55" t="n">
        <x:v>3383</x:v>
      </x:c>
      <x:c r="AB291" s="55" t="n">
        <x:v>967</x:v>
      </x:c>
      <x:c r="AC291" s="55" t="n">
        <x:v>7907</x:v>
      </x:c>
      <x:c r="AD291" s="55" t="n">
        <x:v>2758</x:v>
      </x:c>
      <x:c r="AE291" s="55" t="n">
        <x:v>9887</x:v>
      </x:c>
      <x:c r="AF291" s="55" t="n">
        <x:v>9852</x:v>
      </x:c>
      <x:c r="AG291" s="55" t="n">
        <x:v>35</x:v>
      </x:c>
      <x:c r="AH291" s="55" t="n">
        <x:v>382</x:v>
      </x:c>
      <x:c r="AI291" s="55" t="n">
        <x:v>9470</x:v>
      </x:c>
      <x:c r="AJ291" s="55" t="n">
        <x:v>475</x:v>
      </x:c>
      <x:c r="AK291" s="55" t="n">
        <x:v>1047</x:v>
      </x:c>
      <x:c r="AL291" s="55" t="n">
        <x:v>1507</x:v>
      </x:c>
      <x:c r="AM291" s="55" t="n">
        <x:v>4490</x:v>
      </x:c>
      <x:c r="AN291" s="55" t="n">
        <x:v>2307</x:v>
      </x:c>
      <x:c r="AO291" s="55" t="n">
        <x:v>26</x:v>
      </x:c>
      <x:c r="AP291" s="55" t="n">
        <x:v>2344</x:v>
      </x:c>
      <x:c r="AQ291" s="55" t="n">
        <x:v>940</x:v>
      </x:c>
    </x:row>
    <x:row r="292">
      <x:c r="A292" s="54" t="str">
        <x:v>T1_SHARED_CATCHMENT</x:v>
      </x:c>
      <x:c r="B292" s="54" t="n">
        <x:v>286</x:v>
      </x:c>
      <x:c r="C292" s="54" t="str">
        <x:v>NYC-V2-R01</x:v>
      </x:c>
      <x:c r="D292" s="54" t="str">
        <x:v>V2</x:v>
      </x:c>
      <x:c r="E292" s="54" t="str">
        <x:v>ADMITTED</x:v>
      </x:c>
      <x:c r="F292" s="55" t="n">
        <x:v>31251</x:v>
      </x:c>
      <x:c r="G292" s="55" t="n">
        <x:v>6222</x:v>
      </x:c>
      <x:c r="H292" s="55" t="n">
        <x:v>3319</x:v>
      </x:c>
      <x:c r="I292" s="55" t="n">
        <x:v>1255</x:v>
      </x:c>
      <x:c r="J292" s="55" t="n">
        <x:v>180</x:v>
      </x:c>
      <x:c r="K292" s="55" t="n">
        <x:v>31251</x:v>
      </x:c>
      <x:c r="L292" s="55" t="n">
        <x:v>5231</x:v>
      </x:c>
      <x:c r="M292" s="55" t="n">
        <x:v>1531</x:v>
      </x:c>
      <x:c r="N292" s="55" t="n">
        <x:v>2067</x:v>
      </x:c>
      <x:c r="O292" s="55" t="n">
        <x:v>1633</x:v>
      </x:c>
      <x:c r="P292" s="55" t="n">
        <x:v>658</x:v>
      </x:c>
      <x:c r="Q292" s="55" t="n">
        <x:v>2199</x:v>
      </x:c>
      <x:c r="R292" s="55" t="n">
        <x:v>1954</x:v>
      </x:c>
      <x:c r="S292" s="55" t="n">
        <x:v>3314</x:v>
      </x:c>
      <x:c r="T292" s="55" t="n">
        <x:v>1119</x:v>
      </x:c>
      <x:c r="U292" s="55" t="n">
        <x:v>1500</x:v>
      </x:c>
      <x:c r="V292" s="55" t="n">
        <x:v>10105</x:v>
      </x:c>
      <x:c r="W292" s="55" t="n">
        <x:v>7229</x:v>
      </x:c>
      <x:c r="X292" s="55" t="n">
        <x:v>2876</x:v>
      </x:c>
      <x:c r="Y292" s="55" t="n">
        <x:v>2438</x:v>
      </x:c>
      <x:c r="Z292" s="55" t="n">
        <x:v>3839</x:v>
      </x:c>
      <x:c r="AA292" s="55" t="n">
        <x:v>3069</x:v>
      </x:c>
      <x:c r="AB292" s="55" t="n">
        <x:v>1161</x:v>
      </x:c>
      <x:c r="AC292" s="55" t="n">
        <x:v>7977</x:v>
      </x:c>
      <x:c r="AD292" s="55" t="n">
        <x:v>3194</x:v>
      </x:c>
      <x:c r="AE292" s="55" t="n">
        <x:v>10197</x:v>
      </x:c>
      <x:c r="AF292" s="55" t="n">
        <x:v>10105</x:v>
      </x:c>
      <x:c r="AG292" s="55" t="n">
        <x:v>92</x:v>
      </x:c>
      <x:c r="AH292" s="55" t="n">
        <x:v>226</x:v>
      </x:c>
      <x:c r="AI292" s="55" t="n">
        <x:v>9879</x:v>
      </x:c>
      <x:c r="AJ292" s="55" t="n">
        <x:v>177</x:v>
      </x:c>
      <x:c r="AK292" s="55" t="n">
        <x:v>826</x:v>
      </x:c>
      <x:c r="AL292" s="55" t="n">
        <x:v>1397</x:v>
      </x:c>
      <x:c r="AM292" s="55" t="n">
        <x:v>4512</x:v>
      </x:c>
      <x:c r="AN292" s="55" t="n">
        <x:v>3193</x:v>
      </x:c>
      <x:c r="AO292" s="55" t="n">
        <x:v>0</x:v>
      </x:c>
      <x:c r="AP292" s="55" t="n">
        <x:v>2531</x:v>
      </x:c>
      <x:c r="AQ292" s="55" t="n">
        <x:v>946</x:v>
      </x:c>
    </x:row>
    <x:row r="293">
      <x:c r="A293" s="54" t="str">
        <x:v>T1_SHARED_CATCHMENT</x:v>
      </x:c>
      <x:c r="B293" s="54" t="n">
        <x:v>287</x:v>
      </x:c>
      <x:c r="C293" s="54" t="str">
        <x:v>NYC-V2-R01</x:v>
      </x:c>
      <x:c r="D293" s="54" t="str">
        <x:v>V2</x:v>
      </x:c>
      <x:c r="E293" s="54" t="str">
        <x:v>ADMITTED</x:v>
      </x:c>
      <x:c r="F293" s="55" t="n">
        <x:v>32404</x:v>
      </x:c>
      <x:c r="G293" s="55" t="n">
        <x:v>8425</x:v>
      </x:c>
      <x:c r="H293" s="55" t="n">
        <x:v>3551</x:v>
      </x:c>
      <x:c r="I293" s="55" t="n">
        <x:v>1211</x:v>
      </x:c>
      <x:c r="J293" s="55" t="n">
        <x:v>211</x:v>
      </x:c>
      <x:c r="K293" s="55" t="n">
        <x:v>31227</x:v>
      </x:c>
      <x:c r="L293" s="55" t="n">
        <x:v>7477</x:v>
      </x:c>
      <x:c r="M293" s="55" t="n">
        <x:v>1580</x:v>
      </x:c>
      <x:c r="N293" s="55" t="n">
        <x:v>3704</x:v>
      </x:c>
      <x:c r="O293" s="55" t="n">
        <x:v>2193</x:v>
      </x:c>
      <x:c r="P293" s="55" t="n">
        <x:v>820</x:v>
      </x:c>
      <x:c r="Q293" s="55" t="n">
        <x:v>2377</x:v>
      </x:c>
      <x:c r="R293" s="55" t="n">
        <x:v>2596</x:v>
      </x:c>
      <x:c r="S293" s="55" t="n">
        <x:v>2887</x:v>
      </x:c>
      <x:c r="T293" s="55" t="n">
        <x:v>1336</x:v>
      </x:c>
      <x:c r="U293" s="55" t="n">
        <x:v>1935</x:v>
      </x:c>
      <x:c r="V293" s="55" t="n">
        <x:v>9624</x:v>
      </x:c>
      <x:c r="W293" s="55" t="n">
        <x:v>6151</x:v>
      </x:c>
      <x:c r="X293" s="55" t="n">
        <x:v>3473</x:v>
      </x:c>
      <x:c r="Y293" s="55" t="n">
        <x:v>3024</x:v>
      </x:c>
      <x:c r="Z293" s="55" t="n">
        <x:v>3979</x:v>
      </x:c>
      <x:c r="AA293" s="55" t="n">
        <x:v>3551</x:v>
      </x:c>
      <x:c r="AB293" s="55" t="n">
        <x:v>1553</x:v>
      </x:c>
      <x:c r="AC293" s="55" t="n">
        <x:v>8056</x:v>
      </x:c>
      <x:c r="AD293" s="55" t="n">
        <x:v>2492</x:v>
      </x:c>
      <x:c r="AE293" s="55" t="n">
        <x:v>9723</x:v>
      </x:c>
      <x:c r="AF293" s="55" t="n">
        <x:v>9624</x:v>
      </x:c>
      <x:c r="AG293" s="55" t="n">
        <x:v>99</x:v>
      </x:c>
      <x:c r="AH293" s="55" t="n">
        <x:v>517</x:v>
      </x:c>
      <x:c r="AI293" s="55" t="n">
        <x:v>9107</x:v>
      </x:c>
      <x:c r="AJ293" s="55" t="n">
        <x:v>208</x:v>
      </x:c>
      <x:c r="AK293" s="55" t="n">
        <x:v>1164</x:v>
      </x:c>
      <x:c r="AL293" s="55" t="n">
        <x:v>1302</x:v>
      </x:c>
      <x:c r="AM293" s="55" t="n">
        <x:v>4668</x:v>
      </x:c>
      <x:c r="AN293" s="55" t="n">
        <x:v>2282</x:v>
      </x:c>
      <x:c r="AO293" s="55" t="n">
        <x:v>0</x:v>
      </x:c>
      <x:c r="AP293" s="55" t="n">
        <x:v>2437</x:v>
      </x:c>
      <x:c r="AQ293" s="55" t="n">
        <x:v>970</x:v>
      </x:c>
    </x:row>
    <x:row r="294">
      <x:c r="A294" s="54" t="str">
        <x:v>T1_SHARED_CATCHMENT</x:v>
      </x:c>
      <x:c r="B294" s="54" t="n">
        <x:v>288</x:v>
      </x:c>
      <x:c r="C294" s="54" t="str">
        <x:v>NYC-V2-R01</x:v>
      </x:c>
      <x:c r="D294" s="54" t="str">
        <x:v>V2</x:v>
      </x:c>
      <x:c r="E294" s="54" t="str">
        <x:v>ADMITTED</x:v>
      </x:c>
      <x:c r="F294" s="55" t="n">
        <x:v>31533</x:v>
      </x:c>
      <x:c r="G294" s="55" t="n">
        <x:v>8168</x:v>
      </x:c>
      <x:c r="H294" s="55" t="n">
        <x:v>3216</x:v>
      </x:c>
      <x:c r="I294" s="55" t="n">
        <x:v>1166</x:v>
      </x:c>
      <x:c r="J294" s="55" t="n">
        <x:v>133</x:v>
      </x:c>
      <x:c r="K294" s="55" t="n">
        <x:v>30488</x:v>
      </x:c>
      <x:c r="L294" s="55" t="n">
        <x:v>5887</x:v>
      </x:c>
      <x:c r="M294" s="55" t="n">
        <x:v>1743</x:v>
      </x:c>
      <x:c r="N294" s="55" t="n">
        <x:v>2672</x:v>
      </x:c>
      <x:c r="O294" s="55" t="n">
        <x:v>1472</x:v>
      </x:c>
      <x:c r="P294" s="55" t="n">
        <x:v>908</x:v>
      </x:c>
      <x:c r="Q294" s="55" t="n">
        <x:v>3324</x:v>
      </x:c>
      <x:c r="R294" s="55" t="n">
        <x:v>2188</x:v>
      </x:c>
      <x:c r="S294" s="55" t="n">
        <x:v>2942</x:v>
      </x:c>
      <x:c r="T294" s="55" t="n">
        <x:v>1670</x:v>
      </x:c>
      <x:c r="U294" s="55" t="n">
        <x:v>2147</x:v>
      </x:c>
      <x:c r="V294" s="55" t="n">
        <x:v>9911</x:v>
      </x:c>
      <x:c r="W294" s="55" t="n">
        <x:v>6384</x:v>
      </x:c>
      <x:c r="X294" s="55" t="n">
        <x:v>3527</x:v>
      </x:c>
      <x:c r="Y294" s="55" t="n">
        <x:v>2912</x:v>
      </x:c>
      <x:c r="Z294" s="55" t="n">
        <x:v>3715</x:v>
      </x:c>
      <x:c r="AA294" s="55" t="n">
        <x:v>3216</x:v>
      </x:c>
      <x:c r="AB294" s="55" t="n">
        <x:v>834</x:v>
      </x:c>
      <x:c r="AC294" s="55" t="n">
        <x:v>8481</x:v>
      </x:c>
      <x:c r="AD294" s="55" t="n">
        <x:v>2479</x:v>
      </x:c>
      <x:c r="AE294" s="55" t="n">
        <x:v>10045</x:v>
      </x:c>
      <x:c r="AF294" s="55" t="n">
        <x:v>9911</x:v>
      </x:c>
      <x:c r="AG294" s="55" t="n">
        <x:v>134</x:v>
      </x:c>
      <x:c r="AH294" s="55" t="n">
        <x:v>426</x:v>
      </x:c>
      <x:c r="AI294" s="55" t="n">
        <x:v>9485</x:v>
      </x:c>
      <x:c r="AJ294" s="55" t="n">
        <x:v>308</x:v>
      </x:c>
      <x:c r="AK294" s="55" t="n">
        <x:v>1117</x:v>
      </x:c>
      <x:c r="AL294" s="55" t="n">
        <x:v>1883</x:v>
      </x:c>
      <x:c r="AM294" s="55" t="n">
        <x:v>4464</x:v>
      </x:c>
      <x:c r="AN294" s="55" t="n">
        <x:v>2139</x:v>
      </x:c>
      <x:c r="AO294" s="55" t="n">
        <x:v>0</x:v>
      </x:c>
      <x:c r="AP294" s="55" t="n">
        <x:v>2418</x:v>
      </x:c>
      <x:c r="AQ294" s="55" t="n">
        <x:v>953</x:v>
      </x:c>
    </x:row>
    <x:row r="295">
      <x:c r="A295" s="54" t="str">
        <x:v>T1_SHARED_CATCHMENT</x:v>
      </x:c>
      <x:c r="B295" s="54" t="n">
        <x:v>289</x:v>
      </x:c>
      <x:c r="C295" s="54" t="str">
        <x:v>NYC-V2-R01</x:v>
      </x:c>
      <x:c r="D295" s="54" t="str">
        <x:v>V2</x:v>
      </x:c>
      <x:c r="E295" s="54" t="str">
        <x:v>ADMITTED</x:v>
      </x:c>
      <x:c r="F295" s="55" t="n">
        <x:v>32127</x:v>
      </x:c>
      <x:c r="G295" s="55" t="n">
        <x:v>8759</x:v>
      </x:c>
      <x:c r="H295" s="55" t="n">
        <x:v>3458</x:v>
      </x:c>
      <x:c r="I295" s="55" t="n">
        <x:v>1350</x:v>
      </x:c>
      <x:c r="J295" s="55" t="n">
        <x:v>162</x:v>
      </x:c>
      <x:c r="K295" s="55" t="n">
        <x:v>29298</x:v>
      </x:c>
      <x:c r="L295" s="55" t="n">
        <x:v>5071</x:v>
      </x:c>
      <x:c r="M295" s="55" t="n">
        <x:v>708</x:v>
      </x:c>
      <x:c r="N295" s="55" t="n">
        <x:v>2587</x:v>
      </x:c>
      <x:c r="O295" s="55" t="n">
        <x:v>1776</x:v>
      </x:c>
      <x:c r="P295" s="55" t="n">
        <x:v>723</x:v>
      </x:c>
      <x:c r="Q295" s="55" t="n">
        <x:v>1488</x:v>
      </x:c>
      <x:c r="R295" s="55" t="n">
        <x:v>2399</x:v>
      </x:c>
      <x:c r="S295" s="55" t="n">
        <x:v>3271</x:v>
      </x:c>
      <x:c r="T295" s="55" t="n">
        <x:v>1421</x:v>
      </x:c>
      <x:c r="U295" s="55" t="n">
        <x:v>2350</x:v>
      </x:c>
      <x:c r="V295" s="55" t="n">
        <x:v>10914</x:v>
      </x:c>
      <x:c r="W295" s="55" t="n">
        <x:v>7815</x:v>
      </x:c>
      <x:c r="X295" s="55" t="n">
        <x:v>3099</x:v>
      </x:c>
      <x:c r="Y295" s="55" t="n">
        <x:v>2729</x:v>
      </x:c>
      <x:c r="Z295" s="55" t="n">
        <x:v>4599</x:v>
      </x:c>
      <x:c r="AA295" s="55" t="n">
        <x:v>3458</x:v>
      </x:c>
      <x:c r="AB295" s="55" t="n">
        <x:v>1335</x:v>
      </x:c>
      <x:c r="AC295" s="55" t="n">
        <x:v>8095</x:v>
      </x:c>
      <x:c r="AD295" s="55" t="n">
        <x:v>3161</x:v>
      </x:c>
      <x:c r="AE295" s="55" t="n">
        <x:v>11081</x:v>
      </x:c>
      <x:c r="AF295" s="55" t="n">
        <x:v>10914</x:v>
      </x:c>
      <x:c r="AG295" s="55" t="n">
        <x:v>167</x:v>
      </x:c>
      <x:c r="AH295" s="55" t="n">
        <x:v>524</x:v>
      </x:c>
      <x:c r="AI295" s="55" t="n">
        <x:v>10390</x:v>
      </x:c>
      <x:c r="AJ295" s="55" t="n">
        <x:v>401</x:v>
      </x:c>
      <x:c r="AK295" s="55" t="n">
        <x:v>871</x:v>
      </x:c>
      <x:c r="AL295" s="55" t="n">
        <x:v>1910</x:v>
      </x:c>
      <x:c r="AM295" s="55" t="n">
        <x:v>4795</x:v>
      </x:c>
      <x:c r="AN295" s="55" t="n">
        <x:v>2937</x:v>
      </x:c>
      <x:c r="AO295" s="55" t="n">
        <x:v>0</x:v>
      </x:c>
      <x:c r="AP295" s="55" t="n">
        <x:v>2663</x:v>
      </x:c>
      <x:c r="AQ295" s="55" t="n">
        <x:v>934</x:v>
      </x:c>
    </x:row>
    <x:row r="296">
      <x:c r="A296" s="54" t="str">
        <x:v>T1_SHARED_CATCHMENT</x:v>
      </x:c>
      <x:c r="B296" s="54" t="n">
        <x:v>290</x:v>
      </x:c>
      <x:c r="C296" s="54" t="str">
        <x:v>NYC-V2-R01</x:v>
      </x:c>
      <x:c r="D296" s="54" t="str">
        <x:v>V2</x:v>
      </x:c>
      <x:c r="E296" s="54" t="str">
        <x:v>ADMITTED</x:v>
      </x:c>
      <x:c r="F296" s="55" t="n">
        <x:v>31788</x:v>
      </x:c>
      <x:c r="G296" s="55" t="n">
        <x:v>5005</x:v>
      </x:c>
      <x:c r="H296" s="55" t="n">
        <x:v>2926</x:v>
      </x:c>
      <x:c r="I296" s="55" t="n">
        <x:v>1395</x:v>
      </x:c>
      <x:c r="J296" s="55" t="n">
        <x:v>41</x:v>
      </x:c>
      <x:c r="K296" s="55" t="n">
        <x:v>31788</x:v>
      </x:c>
      <x:c r="L296" s="55" t="n">
        <x:v>5771</x:v>
      </x:c>
      <x:c r="M296" s="55" t="n">
        <x:v>1411</x:v>
      </x:c>
      <x:c r="N296" s="55" t="n">
        <x:v>2955</x:v>
      </x:c>
      <x:c r="O296" s="55" t="n">
        <x:v>1405</x:v>
      </x:c>
      <x:c r="P296" s="55" t="n">
        <x:v>565</x:v>
      </x:c>
      <x:c r="Q296" s="55" t="n">
        <x:v>1540</x:v>
      </x:c>
      <x:c r="R296" s="55" t="n">
        <x:v>2189</x:v>
      </x:c>
      <x:c r="S296" s="55" t="n">
        <x:v>3006</x:v>
      </x:c>
      <x:c r="T296" s="55" t="n">
        <x:v>1653</x:v>
      </x:c>
      <x:c r="U296" s="55" t="n">
        <x:v>1745</x:v>
      </x:c>
      <x:c r="V296" s="55" t="n">
        <x:v>10647</x:v>
      </x:c>
      <x:c r="W296" s="55" t="n">
        <x:v>7203</x:v>
      </x:c>
      <x:c r="X296" s="55" t="n">
        <x:v>3444</x:v>
      </x:c>
      <x:c r="Y296" s="55" t="n">
        <x:v>3168</x:v>
      </x:c>
      <x:c r="Z296" s="55" t="n">
        <x:v>3153</x:v>
      </x:c>
      <x:c r="AA296" s="55" t="n">
        <x:v>2823</x:v>
      </x:c>
      <x:c r="AB296" s="55" t="n">
        <x:v>885</x:v>
      </x:c>
      <x:c r="AC296" s="55" t="n">
        <x:v>8205</x:v>
      </x:c>
      <x:c r="AD296" s="55" t="n">
        <x:v>3110</x:v>
      </x:c>
      <x:c r="AE296" s="55" t="n">
        <x:v>10690</x:v>
      </x:c>
      <x:c r="AF296" s="55" t="n">
        <x:v>10647</x:v>
      </x:c>
      <x:c r="AG296" s="55" t="n">
        <x:v>43</x:v>
      </x:c>
      <x:c r="AH296" s="55" t="n">
        <x:v>52</x:v>
      </x:c>
      <x:c r="AI296" s="55" t="n">
        <x:v>10595</x:v>
      </x:c>
      <x:c r="AJ296" s="55" t="n">
        <x:v>408</x:v>
      </x:c>
      <x:c r="AK296" s="55" t="n">
        <x:v>975</x:v>
      </x:c>
      <x:c r="AL296" s="55" t="n">
        <x:v>1549</x:v>
      </x:c>
      <x:c r="AM296" s="55" t="n">
        <x:v>5336</x:v>
      </x:c>
      <x:c r="AN296" s="55" t="n">
        <x:v>2359</x:v>
      </x:c>
      <x:c r="AO296" s="55" t="n">
        <x:v>20</x:v>
      </x:c>
      <x:c r="AP296" s="55" t="n">
        <x:v>2602</x:v>
      </x:c>
      <x:c r="AQ296" s="55" t="n">
        <x:v>964</x:v>
      </x:c>
    </x:row>
    <x:row r="297">
      <x:c r="A297" s="54" t="str">
        <x:v>T1_SHARED_CATCHMENT</x:v>
      </x:c>
      <x:c r="B297" s="54" t="n">
        <x:v>291</x:v>
      </x:c>
      <x:c r="C297" s="54" t="str">
        <x:v>NYC-V2-R01</x:v>
      </x:c>
      <x:c r="D297" s="54" t="str">
        <x:v>V2</x:v>
      </x:c>
      <x:c r="E297" s="54" t="str">
        <x:v>ADMITTED</x:v>
      </x:c>
      <x:c r="F297" s="55" t="n">
        <x:v>31929</x:v>
      </x:c>
      <x:c r="G297" s="55" t="n">
        <x:v>9204</x:v>
      </x:c>
      <x:c r="H297" s="55" t="n">
        <x:v>3139</x:v>
      </x:c>
      <x:c r="I297" s="55" t="n">
        <x:v>1075</x:v>
      </x:c>
      <x:c r="J297" s="55" t="n">
        <x:v>191</x:v>
      </x:c>
      <x:c r="K297" s="55" t="n">
        <x:v>29412</x:v>
      </x:c>
      <x:c r="L297" s="55" t="n">
        <x:v>5541</x:v>
      </x:c>
      <x:c r="M297" s="55" t="n">
        <x:v>968</x:v>
      </x:c>
      <x:c r="N297" s="55" t="n">
        <x:v>2592</x:v>
      </x:c>
      <x:c r="O297" s="55" t="n">
        <x:v>1981</x:v>
      </x:c>
      <x:c r="P297" s="55" t="n">
        <x:v>630</x:v>
      </x:c>
      <x:c r="Q297" s="55" t="n">
        <x:v>1875</x:v>
      </x:c>
      <x:c r="R297" s="55" t="n">
        <x:v>1972</x:v>
      </x:c>
      <x:c r="S297" s="55" t="n">
        <x:v>2835</x:v>
      </x:c>
      <x:c r="T297" s="55" t="n">
        <x:v>1008</x:v>
      </x:c>
      <x:c r="U297" s="55" t="n">
        <x:v>1814</x:v>
      </x:c>
      <x:c r="V297" s="55" t="n">
        <x:v>10416</x:v>
      </x:c>
      <x:c r="W297" s="55" t="n">
        <x:v>7740</x:v>
      </x:c>
      <x:c r="X297" s="55" t="n">
        <x:v>2676</x:v>
      </x:c>
      <x:c r="Y297" s="55" t="n">
        <x:v>2376</x:v>
      </x:c>
      <x:c r="Z297" s="55" t="n">
        <x:v>3672</x:v>
      </x:c>
      <x:c r="AA297" s="55" t="n">
        <x:v>3139</x:v>
      </x:c>
      <x:c r="AB297" s="55" t="n">
        <x:v>923</x:v>
      </x:c>
      <x:c r="AC297" s="55" t="n">
        <x:v>7461</x:v>
      </x:c>
      <x:c r="AD297" s="55" t="n">
        <x:v>2638</x:v>
      </x:c>
      <x:c r="AE297" s="55" t="n">
        <x:v>10422</x:v>
      </x:c>
      <x:c r="AF297" s="55" t="n">
        <x:v>10416</x:v>
      </x:c>
      <x:c r="AG297" s="55" t="n">
        <x:v>6</x:v>
      </x:c>
      <x:c r="AH297" s="55" t="n">
        <x:v>247</x:v>
      </x:c>
      <x:c r="AI297" s="55" t="n">
        <x:v>10169</x:v>
      </x:c>
      <x:c r="AJ297" s="55" t="n">
        <x:v>441</x:v>
      </x:c>
      <x:c r="AK297" s="55" t="n">
        <x:v>534</x:v>
      </x:c>
      <x:c r="AL297" s="55" t="n">
        <x:v>1575</x:v>
      </x:c>
      <x:c r="AM297" s="55" t="n">
        <x:v>4884</x:v>
      </x:c>
      <x:c r="AN297" s="55" t="n">
        <x:v>2962</x:v>
      </x:c>
      <x:c r="AO297" s="55" t="n">
        <x:v>20</x:v>
      </x:c>
      <x:c r="AP297" s="55" t="n">
        <x:v>2496</x:v>
      </x:c>
      <x:c r="AQ297" s="55" t="n">
        <x:v>1013</x:v>
      </x:c>
    </x:row>
    <x:row r="298">
      <x:c r="A298" s="54" t="str">
        <x:v>T1_SHARED_CATCHMENT</x:v>
      </x:c>
      <x:c r="B298" s="54" t="n">
        <x:v>292</x:v>
      </x:c>
      <x:c r="C298" s="54" t="str">
        <x:v>NYC-V2-R01</x:v>
      </x:c>
      <x:c r="D298" s="54" t="str">
        <x:v>V2</x:v>
      </x:c>
      <x:c r="E298" s="54" t="str">
        <x:v>ADMITTED</x:v>
      </x:c>
      <x:c r="F298" s="55" t="n">
        <x:v>31688</x:v>
      </x:c>
      <x:c r="G298" s="55" t="n">
        <x:v>8205</x:v>
      </x:c>
      <x:c r="H298" s="55" t="n">
        <x:v>3176</x:v>
      </x:c>
      <x:c r="I298" s="55" t="n">
        <x:v>970</x:v>
      </x:c>
      <x:c r="J298" s="55" t="n">
        <x:v>201</x:v>
      </x:c>
      <x:c r="K298" s="55" t="n">
        <x:v>29800</x:v>
      </x:c>
      <x:c r="L298" s="55" t="n">
        <x:v>6906</x:v>
      </x:c>
      <x:c r="M298" s="55" t="n">
        <x:v>1993</x:v>
      </x:c>
      <x:c r="N298" s="55" t="n">
        <x:v>2993</x:v>
      </x:c>
      <x:c r="O298" s="55" t="n">
        <x:v>1920</x:v>
      </x:c>
      <x:c r="P298" s="55" t="n">
        <x:v>853</x:v>
      </x:c>
      <x:c r="Q298" s="55" t="n">
        <x:v>2574</x:v>
      </x:c>
      <x:c r="R298" s="55" t="n">
        <x:v>1561</x:v>
      </x:c>
      <x:c r="S298" s="55" t="n">
        <x:v>2885</x:v>
      </x:c>
      <x:c r="T298" s="55" t="n">
        <x:v>1665</x:v>
      </x:c>
      <x:c r="U298" s="55" t="n">
        <x:v>1816</x:v>
      </x:c>
      <x:c r="V298" s="55" t="n">
        <x:v>10451</x:v>
      </x:c>
      <x:c r="W298" s="55" t="n">
        <x:v>6745</x:v>
      </x:c>
      <x:c r="X298" s="55" t="n">
        <x:v>3706</x:v>
      </x:c>
      <x:c r="Y298" s="55" t="n">
        <x:v>3065</x:v>
      </x:c>
      <x:c r="Z298" s="55" t="n">
        <x:v>3853</x:v>
      </x:c>
      <x:c r="AA298" s="55" t="n">
        <x:v>3093</x:v>
      </x:c>
      <x:c r="AB298" s="55" t="n">
        <x:v>1523</x:v>
      </x:c>
      <x:c r="AC298" s="55" t="n">
        <x:v>7795</x:v>
      </x:c>
      <x:c r="AD298" s="55" t="n">
        <x:v>2502</x:v>
      </x:c>
      <x:c r="AE298" s="55" t="n">
        <x:v>10542</x:v>
      </x:c>
      <x:c r="AF298" s="55" t="n">
        <x:v>10451</x:v>
      </x:c>
      <x:c r="AG298" s="55" t="n">
        <x:v>91</x:v>
      </x:c>
      <x:c r="AH298" s="55" t="n">
        <x:v>422</x:v>
      </x:c>
      <x:c r="AI298" s="55" t="n">
        <x:v>10029</x:v>
      </x:c>
      <x:c r="AJ298" s="55" t="n">
        <x:v>307</x:v>
      </x:c>
      <x:c r="AK298" s="55" t="n">
        <x:v>895</x:v>
      </x:c>
      <x:c r="AL298" s="55" t="n">
        <x:v>1178</x:v>
      </x:c>
      <x:c r="AM298" s="55" t="n">
        <x:v>5242</x:v>
      </x:c>
      <x:c r="AN298" s="55" t="n">
        <x:v>2829</x:v>
      </x:c>
      <x:c r="AO298" s="55" t="n">
        <x:v>0</x:v>
      </x:c>
      <x:c r="AP298" s="55" t="n">
        <x:v>2301</x:v>
      </x:c>
      <x:c r="AQ298" s="55" t="n">
        <x:v>979</x:v>
      </x:c>
    </x:row>
    <x:row r="299">
      <x:c r="A299" s="54" t="str">
        <x:v>T1_SHARED_CATCHMENT</x:v>
      </x:c>
      <x:c r="B299" s="54" t="n">
        <x:v>293</x:v>
      </x:c>
      <x:c r="C299" s="54" t="str">
        <x:v>NYC-V2-R01</x:v>
      </x:c>
      <x:c r="D299" s="54" t="str">
        <x:v>V2</x:v>
      </x:c>
      <x:c r="E299" s="54" t="str">
        <x:v>ADMITTED</x:v>
      </x:c>
      <x:c r="F299" s="55" t="n">
        <x:v>31255</x:v>
      </x:c>
      <x:c r="G299" s="55" t="n">
        <x:v>7592</x:v>
      </x:c>
      <x:c r="H299" s="55" t="n">
        <x:v>3372</x:v>
      </x:c>
      <x:c r="I299" s="55" t="n">
        <x:v>1241</x:v>
      </x:c>
      <x:c r="J299" s="55" t="n">
        <x:v>53</x:v>
      </x:c>
      <x:c r="K299" s="55" t="n">
        <x:v>31255</x:v>
      </x:c>
      <x:c r="L299" s="55" t="n">
        <x:v>6668</x:v>
      </x:c>
      <x:c r="M299" s="55" t="n">
        <x:v>1980</x:v>
      </x:c>
      <x:c r="N299" s="55" t="n">
        <x:v>2621</x:v>
      </x:c>
      <x:c r="O299" s="55" t="n">
        <x:v>2067</x:v>
      </x:c>
      <x:c r="P299" s="55" t="n">
        <x:v>1081</x:v>
      </x:c>
      <x:c r="Q299" s="55" t="n">
        <x:v>2693</x:v>
      </x:c>
      <x:c r="R299" s="55" t="n">
        <x:v>2107</x:v>
      </x:c>
      <x:c r="S299" s="55" t="n">
        <x:v>3280</x:v>
      </x:c>
      <x:c r="T299" s="55" t="n">
        <x:v>1632</x:v>
      </x:c>
      <x:c r="U299" s="55" t="n">
        <x:v>2288</x:v>
      </x:c>
      <x:c r="V299" s="55" t="n">
        <x:v>10727</x:v>
      </x:c>
      <x:c r="W299" s="55" t="n">
        <x:v>7846</x:v>
      </x:c>
      <x:c r="X299" s="55" t="n">
        <x:v>2881</x:v>
      </x:c>
      <x:c r="Y299" s="55" t="n">
        <x:v>2365</x:v>
      </x:c>
      <x:c r="Z299" s="55" t="n">
        <x:v>3615</x:v>
      </x:c>
      <x:c r="AA299" s="55" t="n">
        <x:v>2756</x:v>
      </x:c>
      <x:c r="AB299" s="55" t="n">
        <x:v>1224</x:v>
      </x:c>
      <x:c r="AC299" s="55" t="n">
        <x:v>8577</x:v>
      </x:c>
      <x:c r="AD299" s="55" t="n">
        <x:v>2880</x:v>
      </x:c>
      <x:c r="AE299" s="55" t="n">
        <x:v>10857</x:v>
      </x:c>
      <x:c r="AF299" s="55" t="n">
        <x:v>10727</x:v>
      </x:c>
      <x:c r="AG299" s="55" t="n">
        <x:v>130</x:v>
      </x:c>
      <x:c r="AH299" s="55" t="n">
        <x:v>396</x:v>
      </x:c>
      <x:c r="AI299" s="55" t="n">
        <x:v>10331</x:v>
      </x:c>
      <x:c r="AJ299" s="55" t="n">
        <x:v>302</x:v>
      </x:c>
      <x:c r="AK299" s="55" t="n">
        <x:v>1230</x:v>
      </x:c>
      <x:c r="AL299" s="55" t="n">
        <x:v>1637</x:v>
      </x:c>
      <x:c r="AM299" s="55" t="n">
        <x:v>4555</x:v>
      </x:c>
      <x:c r="AN299" s="55" t="n">
        <x:v>3003</x:v>
      </x:c>
      <x:c r="AO299" s="55" t="n">
        <x:v>0</x:v>
      </x:c>
      <x:c r="AP299" s="55" t="n">
        <x:v>2781</x:v>
      </x:c>
      <x:c r="AQ299" s="55" t="n">
        <x:v>993</x:v>
      </x:c>
    </x:row>
    <x:row r="300">
      <x:c r="A300" s="54" t="str">
        <x:v>T1_SHARED_CATCHMENT</x:v>
      </x:c>
      <x:c r="B300" s="54" t="n">
        <x:v>294</x:v>
      </x:c>
      <x:c r="C300" s="54" t="str">
        <x:v>NYC-V2-R01</x:v>
      </x:c>
      <x:c r="D300" s="54" t="str">
        <x:v>V2</x:v>
      </x:c>
      <x:c r="E300" s="54" t="str">
        <x:v>ADMITTED</x:v>
      </x:c>
      <x:c r="F300" s="55" t="n">
        <x:v>33410</x:v>
      </x:c>
      <x:c r="G300" s="55" t="n">
        <x:v>6089</x:v>
      </x:c>
      <x:c r="H300" s="55" t="n">
        <x:v>3867</x:v>
      </x:c>
      <x:c r="I300" s="55" t="n">
        <x:v>1549</x:v>
      </x:c>
      <x:c r="J300" s="55" t="n">
        <x:v>187</x:v>
      </x:c>
      <x:c r="K300" s="55" t="n">
        <x:v>33410</x:v>
      </x:c>
      <x:c r="L300" s="55" t="n">
        <x:v>6312</x:v>
      </x:c>
      <x:c r="M300" s="55" t="n">
        <x:v>1630</x:v>
      </x:c>
      <x:c r="N300" s="55" t="n">
        <x:v>2897</x:v>
      </x:c>
      <x:c r="O300" s="55" t="n">
        <x:v>1785</x:v>
      </x:c>
      <x:c r="P300" s="55" t="n">
        <x:v>1024</x:v>
      </x:c>
      <x:c r="Q300" s="55" t="n">
        <x:v>2118</x:v>
      </x:c>
      <x:c r="R300" s="55" t="n">
        <x:v>1985</x:v>
      </x:c>
      <x:c r="S300" s="55" t="n">
        <x:v>2513</x:v>
      </x:c>
      <x:c r="T300" s="55" t="n">
        <x:v>1354</x:v>
      </x:c>
      <x:c r="U300" s="55" t="n">
        <x:v>2954</x:v>
      </x:c>
      <x:c r="V300" s="55" t="n">
        <x:v>10319</x:v>
      </x:c>
      <x:c r="W300" s="55" t="n">
        <x:v>7552</x:v>
      </x:c>
      <x:c r="X300" s="55" t="n">
        <x:v>2767</x:v>
      </x:c>
      <x:c r="Y300" s="55" t="n">
        <x:v>2378</x:v>
      </x:c>
      <x:c r="Z300" s="55" t="n">
        <x:v>3830</x:v>
      </x:c>
      <x:c r="AA300" s="55" t="n">
        <x:v>2773</x:v>
      </x:c>
      <x:c r="AB300" s="55" t="n">
        <x:v>1197</x:v>
      </x:c>
      <x:c r="AC300" s="55" t="n">
        <x:v>7351</x:v>
      </x:c>
      <x:c r="AD300" s="55" t="n">
        <x:v>3594</x:v>
      </x:c>
      <x:c r="AE300" s="55" t="n">
        <x:v>10417</x:v>
      </x:c>
      <x:c r="AF300" s="55" t="n">
        <x:v>10319</x:v>
      </x:c>
      <x:c r="AG300" s="55" t="n">
        <x:v>98</x:v>
      </x:c>
      <x:c r="AH300" s="55" t="n">
        <x:v>378</x:v>
      </x:c>
      <x:c r="AI300" s="55" t="n">
        <x:v>9941</x:v>
      </x:c>
      <x:c r="AJ300" s="55" t="n">
        <x:v>415</x:v>
      </x:c>
      <x:c r="AK300" s="55" t="n">
        <x:v>1128</x:v>
      </x:c>
      <x:c r="AL300" s="55" t="n">
        <x:v>1554</x:v>
      </x:c>
      <x:c r="AM300" s="55" t="n">
        <x:v>4421</x:v>
      </x:c>
      <x:c r="AN300" s="55" t="n">
        <x:v>2771</x:v>
      </x:c>
      <x:c r="AO300" s="55" t="n">
        <x:v>30</x:v>
      </x:c>
      <x:c r="AP300" s="55" t="n">
        <x:v>2196</x:v>
      </x:c>
      <x:c r="AQ300" s="55" t="n">
        <x:v>1013</x:v>
      </x:c>
    </x:row>
    <x:row r="301">
      <x:c r="A301" s="54" t="str">
        <x:v>T1_SHARED_CATCHMENT</x:v>
      </x:c>
      <x:c r="B301" s="54" t="n">
        <x:v>295</x:v>
      </x:c>
      <x:c r="C301" s="54" t="str">
        <x:v>NYC-V2-R01</x:v>
      </x:c>
      <x:c r="D301" s="54" t="str">
        <x:v>V2</x:v>
      </x:c>
      <x:c r="E301" s="54" t="str">
        <x:v>ADMITTED</x:v>
      </x:c>
      <x:c r="F301" s="55" t="n">
        <x:v>29242</x:v>
      </x:c>
      <x:c r="G301" s="55" t="n">
        <x:v>7783</x:v>
      </x:c>
      <x:c r="H301" s="55" t="n">
        <x:v>3272</x:v>
      </x:c>
      <x:c r="I301" s="55" t="n">
        <x:v>1291</x:v>
      </x:c>
      <x:c r="J301" s="55" t="n">
        <x:v>154</x:v>
      </x:c>
      <x:c r="K301" s="55" t="n">
        <x:v>28624</x:v>
      </x:c>
      <x:c r="L301" s="55" t="n">
        <x:v>5230</x:v>
      </x:c>
      <x:c r="M301" s="55" t="n">
        <x:v>1367</x:v>
      </x:c>
      <x:c r="N301" s="55" t="n">
        <x:v>2482</x:v>
      </x:c>
      <x:c r="O301" s="55" t="n">
        <x:v>1381</x:v>
      </x:c>
      <x:c r="P301" s="55" t="n">
        <x:v>1098</x:v>
      </x:c>
      <x:c r="Q301" s="55" t="n">
        <x:v>2472</x:v>
      </x:c>
      <x:c r="R301" s="55" t="n">
        <x:v>1892</x:v>
      </x:c>
      <x:c r="S301" s="55" t="n">
        <x:v>2274</x:v>
      </x:c>
      <x:c r="T301" s="55" t="n">
        <x:v>1112</x:v>
      </x:c>
      <x:c r="U301" s="55" t="n">
        <x:v>1826</x:v>
      </x:c>
      <x:c r="V301" s="55" t="n">
        <x:v>10428</x:v>
      </x:c>
      <x:c r="W301" s="55" t="n">
        <x:v>7193</x:v>
      </x:c>
      <x:c r="X301" s="55" t="n">
        <x:v>3235</x:v>
      </x:c>
      <x:c r="Y301" s="55" t="n">
        <x:v>2932</x:v>
      </x:c>
      <x:c r="Z301" s="55" t="n">
        <x:v>3481</x:v>
      </x:c>
      <x:c r="AA301" s="55" t="n">
        <x:v>3272</x:v>
      </x:c>
      <x:c r="AB301" s="55" t="n">
        <x:v>1074</x:v>
      </x:c>
      <x:c r="AC301" s="55" t="n">
        <x:v>8247</x:v>
      </x:c>
      <x:c r="AD301" s="55" t="n">
        <x:v>3344</x:v>
      </x:c>
      <x:c r="AE301" s="55" t="n">
        <x:v>10495</x:v>
      </x:c>
      <x:c r="AF301" s="55" t="n">
        <x:v>10428</x:v>
      </x:c>
      <x:c r="AG301" s="55" t="n">
        <x:v>67</x:v>
      </x:c>
      <x:c r="AH301" s="55" t="n">
        <x:v>648</x:v>
      </x:c>
      <x:c r="AI301" s="55" t="n">
        <x:v>9780</x:v>
      </x:c>
      <x:c r="AJ301" s="55" t="n">
        <x:v>205</x:v>
      </x:c>
      <x:c r="AK301" s="55" t="n">
        <x:v>1098</x:v>
      </x:c>
      <x:c r="AL301" s="55" t="n">
        <x:v>1785</x:v>
      </x:c>
      <x:c r="AM301" s="55" t="n">
        <x:v>4655</x:v>
      </x:c>
      <x:c r="AN301" s="55" t="n">
        <x:v>2646</x:v>
      </x:c>
      <x:c r="AO301" s="55" t="n">
        <x:v>39</x:v>
      </x:c>
      <x:c r="AP301" s="55" t="n">
        <x:v>2060</x:v>
      </x:c>
      <x:c r="AQ301" s="55" t="n">
        <x:v>939</x:v>
      </x:c>
    </x:row>
    <x:row r="302">
      <x:c r="A302" s="54" t="str">
        <x:v>T1_SHARED_CATCHMENT</x:v>
      </x:c>
      <x:c r="B302" s="54" t="n">
        <x:v>296</x:v>
      </x:c>
      <x:c r="C302" s="54" t="str">
        <x:v>NYC-V2-R01</x:v>
      </x:c>
      <x:c r="D302" s="54" t="str">
        <x:v>V2</x:v>
      </x:c>
      <x:c r="E302" s="54" t="str">
        <x:v>ADMITTED</x:v>
      </x:c>
      <x:c r="F302" s="55" t="n">
        <x:v>32447</x:v>
      </x:c>
      <x:c r="G302" s="55" t="n">
        <x:v>7594</x:v>
      </x:c>
      <x:c r="H302" s="55" t="n">
        <x:v>2986</x:v>
      </x:c>
      <x:c r="I302" s="55" t="n">
        <x:v>854</x:v>
      </x:c>
      <x:c r="J302" s="55" t="n">
        <x:v>139</x:v>
      </x:c>
      <x:c r="K302" s="55" t="n">
        <x:v>32447</x:v>
      </x:c>
      <x:c r="L302" s="55" t="n">
        <x:v>5334</x:v>
      </x:c>
      <x:c r="M302" s="55" t="n">
        <x:v>1510</x:v>
      </x:c>
      <x:c r="N302" s="55" t="n">
        <x:v>2535</x:v>
      </x:c>
      <x:c r="O302" s="55" t="n">
        <x:v>1289</x:v>
      </x:c>
      <x:c r="P302" s="55" t="n">
        <x:v>653</x:v>
      </x:c>
      <x:c r="Q302" s="55" t="n">
        <x:v>2030</x:v>
      </x:c>
      <x:c r="R302" s="55" t="n">
        <x:v>1846</x:v>
      </x:c>
      <x:c r="S302" s="55" t="n">
        <x:v>2655</x:v>
      </x:c>
      <x:c r="T302" s="55" t="n">
        <x:v>1256</x:v>
      </x:c>
      <x:c r="U302" s="55" t="n">
        <x:v>2565</x:v>
      </x:c>
      <x:c r="V302" s="55" t="n">
        <x:v>10855</x:v>
      </x:c>
      <x:c r="W302" s="55" t="n">
        <x:v>8209</x:v>
      </x:c>
      <x:c r="X302" s="55" t="n">
        <x:v>2646</x:v>
      </x:c>
      <x:c r="Y302" s="55" t="n">
        <x:v>2220</x:v>
      </x:c>
      <x:c r="Z302" s="55" t="n">
        <x:v>3084</x:v>
      </x:c>
      <x:c r="AA302" s="55" t="n">
        <x:v>2986</x:v>
      </x:c>
      <x:c r="AB302" s="55" t="n">
        <x:v>766</x:v>
      </x:c>
      <x:c r="AC302" s="55" t="n">
        <x:v>7604</x:v>
      </x:c>
      <x:c r="AD302" s="55" t="n">
        <x:v>2060</x:v>
      </x:c>
      <x:c r="AE302" s="55" t="n">
        <x:v>10944</x:v>
      </x:c>
      <x:c r="AF302" s="55" t="n">
        <x:v>10855</x:v>
      </x:c>
      <x:c r="AG302" s="55" t="n">
        <x:v>89</x:v>
      </x:c>
      <x:c r="AH302" s="55" t="n">
        <x:v>294</x:v>
      </x:c>
      <x:c r="AI302" s="55" t="n">
        <x:v>10561</x:v>
      </x:c>
      <x:c r="AJ302" s="55" t="n">
        <x:v>452</x:v>
      </x:c>
      <x:c r="AK302" s="55" t="n">
        <x:v>1042</x:v>
      </x:c>
      <x:c r="AL302" s="55" t="n">
        <x:v>2050</x:v>
      </x:c>
      <x:c r="AM302" s="55" t="n">
        <x:v>4544</x:v>
      </x:c>
      <x:c r="AN302" s="55" t="n">
        <x:v>2707</x:v>
      </x:c>
      <x:c r="AO302" s="55" t="n">
        <x:v>60</x:v>
      </x:c>
      <x:c r="AP302" s="55" t="n">
        <x:v>2337</x:v>
      </x:c>
      <x:c r="AQ302" s="55" t="n">
        <x:v>889</x:v>
      </x:c>
    </x:row>
    <x:row r="303">
      <x:c r="A303" s="54" t="str">
        <x:v>T1_SHARED_CATCHMENT</x:v>
      </x:c>
      <x:c r="B303" s="54" t="n">
        <x:v>297</x:v>
      </x:c>
      <x:c r="C303" s="54" t="str">
        <x:v>NYC-V2-R01</x:v>
      </x:c>
      <x:c r="D303" s="54" t="str">
        <x:v>V2</x:v>
      </x:c>
      <x:c r="E303" s="54" t="str">
        <x:v>ADMITTED</x:v>
      </x:c>
      <x:c r="F303" s="55" t="n">
        <x:v>30211</x:v>
      </x:c>
      <x:c r="G303" s="55" t="n">
        <x:v>7467</x:v>
      </x:c>
      <x:c r="H303" s="55" t="n">
        <x:v>3173</x:v>
      </x:c>
      <x:c r="I303" s="55" t="n">
        <x:v>1641</x:v>
      </x:c>
      <x:c r="J303" s="55" t="n">
        <x:v>124</x:v>
      </x:c>
      <x:c r="K303" s="55" t="n">
        <x:v>29705</x:v>
      </x:c>
      <x:c r="L303" s="55" t="n">
        <x:v>5518</x:v>
      </x:c>
      <x:c r="M303" s="55" t="n">
        <x:v>1668</x:v>
      </x:c>
      <x:c r="N303" s="55" t="n">
        <x:v>2397</x:v>
      </x:c>
      <x:c r="O303" s="55" t="n">
        <x:v>1453</x:v>
      </x:c>
      <x:c r="P303" s="55" t="n">
        <x:v>1031</x:v>
      </x:c>
      <x:c r="Q303" s="55" t="n">
        <x:v>2263</x:v>
      </x:c>
      <x:c r="R303" s="55" t="n">
        <x:v>1822</x:v>
      </x:c>
      <x:c r="S303" s="55" t="n">
        <x:v>2658</x:v>
      </x:c>
      <x:c r="T303" s="55" t="n">
        <x:v>1406</x:v>
      </x:c>
      <x:c r="U303" s="55" t="n">
        <x:v>1915</x:v>
      </x:c>
      <x:c r="V303" s="55" t="n">
        <x:v>10497</x:v>
      </x:c>
      <x:c r="W303" s="55" t="n">
        <x:v>7340</x:v>
      </x:c>
      <x:c r="X303" s="55" t="n">
        <x:v>3157</x:v>
      </x:c>
      <x:c r="Y303" s="55" t="n">
        <x:v>2670</x:v>
      </x:c>
      <x:c r="Z303" s="55" t="n">
        <x:v>3510</x:v>
      </x:c>
      <x:c r="AA303" s="55" t="n">
        <x:v>3143</x:v>
      </x:c>
      <x:c r="AB303" s="55" t="n">
        <x:v>990</x:v>
      </x:c>
      <x:c r="AC303" s="55" t="n">
        <x:v>7455</x:v>
      </x:c>
      <x:c r="AD303" s="55" t="n">
        <x:v>3868</x:v>
      </x:c>
      <x:c r="AE303" s="55" t="n">
        <x:v>10573</x:v>
      </x:c>
      <x:c r="AF303" s="55" t="n">
        <x:v>10497</x:v>
      </x:c>
      <x:c r="AG303" s="55" t="n">
        <x:v>76</x:v>
      </x:c>
      <x:c r="AH303" s="55" t="n">
        <x:v>357</x:v>
      </x:c>
      <x:c r="AI303" s="55" t="n">
        <x:v>10140</x:v>
      </x:c>
      <x:c r="AJ303" s="55" t="n">
        <x:v>351</x:v>
      </x:c>
      <x:c r="AK303" s="55" t="n">
        <x:v>1159</x:v>
      </x:c>
      <x:c r="AL303" s="55" t="n">
        <x:v>1443</x:v>
      </x:c>
      <x:c r="AM303" s="55" t="n">
        <x:v>4445</x:v>
      </x:c>
      <x:c r="AN303" s="55" t="n">
        <x:v>3099</x:v>
      </x:c>
      <x:c r="AO303" s="55" t="n">
        <x:v>0</x:v>
      </x:c>
      <x:c r="AP303" s="55" t="n">
        <x:v>2321</x:v>
      </x:c>
      <x:c r="AQ303" s="55" t="n">
        <x:v>927</x:v>
      </x:c>
    </x:row>
    <x:row r="304">
      <x:c r="A304" s="54" t="str">
        <x:v>T1_SHARED_CATCHMENT</x:v>
      </x:c>
      <x:c r="B304" s="54" t="n">
        <x:v>298</x:v>
      </x:c>
      <x:c r="C304" s="54" t="str">
        <x:v>NYC-V2-R01</x:v>
      </x:c>
      <x:c r="D304" s="54" t="str">
        <x:v>V2</x:v>
      </x:c>
      <x:c r="E304" s="54" t="str">
        <x:v>ADMITTED</x:v>
      </x:c>
      <x:c r="F304" s="55" t="n">
        <x:v>33856</x:v>
      </x:c>
      <x:c r="G304" s="55" t="n">
        <x:v>9042</x:v>
      </x:c>
      <x:c r="H304" s="55" t="n">
        <x:v>3829</x:v>
      </x:c>
      <x:c r="I304" s="55" t="n">
        <x:v>933</x:v>
      </x:c>
      <x:c r="J304" s="55" t="n">
        <x:v>31</x:v>
      </x:c>
      <x:c r="K304" s="55" t="n">
        <x:v>33856</x:v>
      </x:c>
      <x:c r="L304" s="55" t="n">
        <x:v>7211</x:v>
      </x:c>
      <x:c r="M304" s="55" t="n">
        <x:v>2821</x:v>
      </x:c>
      <x:c r="N304" s="55" t="n">
        <x:v>2440</x:v>
      </x:c>
      <x:c r="O304" s="55" t="n">
        <x:v>1950</x:v>
      </x:c>
      <x:c r="P304" s="55" t="n">
        <x:v>1159</x:v>
      </x:c>
      <x:c r="Q304" s="55" t="n">
        <x:v>2885</x:v>
      </x:c>
      <x:c r="R304" s="55" t="n">
        <x:v>1983</x:v>
      </x:c>
      <x:c r="S304" s="55" t="n">
        <x:v>2996</x:v>
      </x:c>
      <x:c r="T304" s="55" t="n">
        <x:v>1189</x:v>
      </x:c>
      <x:c r="U304" s="55" t="n">
        <x:v>2003</x:v>
      </x:c>
      <x:c r="V304" s="55" t="n">
        <x:v>11099</x:v>
      </x:c>
      <x:c r="W304" s="55" t="n">
        <x:v>8037</x:v>
      </x:c>
      <x:c r="X304" s="55" t="n">
        <x:v>3062</x:v>
      </x:c>
      <x:c r="Y304" s="55" t="n">
        <x:v>2638</x:v>
      </x:c>
      <x:c r="Z304" s="55" t="n">
        <x:v>4046</x:v>
      </x:c>
      <x:c r="AA304" s="55" t="n">
        <x:v>3829</x:v>
      </x:c>
      <x:c r="AB304" s="55" t="n">
        <x:v>1275</x:v>
      </x:c>
      <x:c r="AC304" s="55" t="n">
        <x:v>8446</x:v>
      </x:c>
      <x:c r="AD304" s="55" t="n">
        <x:v>3409</x:v>
      </x:c>
      <x:c r="AE304" s="55" t="n">
        <x:v>11233</x:v>
      </x:c>
      <x:c r="AF304" s="55" t="n">
        <x:v>11099</x:v>
      </x:c>
      <x:c r="AG304" s="55" t="n">
        <x:v>134</x:v>
      </x:c>
      <x:c r="AH304" s="55" t="n">
        <x:v>392</x:v>
      </x:c>
      <x:c r="AI304" s="55" t="n">
        <x:v>10707</x:v>
      </x:c>
      <x:c r="AJ304" s="55" t="n">
        <x:v>478</x:v>
      </x:c>
      <x:c r="AK304" s="55" t="n">
        <x:v>1256</x:v>
      </x:c>
      <x:c r="AL304" s="55" t="n">
        <x:v>805</x:v>
      </x:c>
      <x:c r="AM304" s="55" t="n">
        <x:v>5623</x:v>
      </x:c>
      <x:c r="AN304" s="55" t="n">
        <x:v>2932</x:v>
      </x:c>
      <x:c r="AO304" s="55" t="n">
        <x:v>5</x:v>
      </x:c>
      <x:c r="AP304" s="55" t="n">
        <x:v>2105</x:v>
      </x:c>
      <x:c r="AQ304" s="55" t="n">
        <x:v>993</x:v>
      </x:c>
    </x:row>
    <x:row r="305">
      <x:c r="A305" s="54" t="str">
        <x:v>T1_SHARED_CATCHMENT</x:v>
      </x:c>
      <x:c r="B305" s="54" t="n">
        <x:v>299</x:v>
      </x:c>
      <x:c r="C305" s="54" t="str">
        <x:v>NYC-V2-R01</x:v>
      </x:c>
      <x:c r="D305" s="54" t="str">
        <x:v>V2</x:v>
      </x:c>
      <x:c r="E305" s="54" t="str">
        <x:v>ADMITTED</x:v>
      </x:c>
      <x:c r="F305" s="55" t="n">
        <x:v>31992</x:v>
      </x:c>
      <x:c r="G305" s="55" t="n">
        <x:v>7941</x:v>
      </x:c>
      <x:c r="H305" s="55" t="n">
        <x:v>3547</x:v>
      </x:c>
      <x:c r="I305" s="55" t="n">
        <x:v>1465</x:v>
      </x:c>
      <x:c r="J305" s="55" t="n">
        <x:v>323</x:v>
      </x:c>
      <x:c r="K305" s="55" t="n">
        <x:v>31992</x:v>
      </x:c>
      <x:c r="L305" s="55" t="n">
        <x:v>6275</x:v>
      </x:c>
      <x:c r="M305" s="55" t="n">
        <x:v>1292</x:v>
      </x:c>
      <x:c r="N305" s="55" t="n">
        <x:v>2908</x:v>
      </x:c>
      <x:c r="O305" s="55" t="n">
        <x:v>2075</x:v>
      </x:c>
      <x:c r="P305" s="55" t="n">
        <x:v>736</x:v>
      </x:c>
      <x:c r="Q305" s="55" t="n">
        <x:v>2201</x:v>
      </x:c>
      <x:c r="R305" s="55" t="n">
        <x:v>1876</x:v>
      </x:c>
      <x:c r="S305" s="55" t="n">
        <x:v>2506</x:v>
      </x:c>
      <x:c r="T305" s="55" t="n">
        <x:v>1146</x:v>
      </x:c>
      <x:c r="U305" s="55" t="n">
        <x:v>2720</x:v>
      </x:c>
      <x:c r="V305" s="55" t="n">
        <x:v>11156</x:v>
      </x:c>
      <x:c r="W305" s="55" t="n">
        <x:v>8100</x:v>
      </x:c>
      <x:c r="X305" s="55" t="n">
        <x:v>3056</x:v>
      </x:c>
      <x:c r="Y305" s="55" t="n">
        <x:v>2567</x:v>
      </x:c>
      <x:c r="Z305" s="55" t="n">
        <x:v>4338</x:v>
      </x:c>
      <x:c r="AA305" s="55" t="n">
        <x:v>3547</x:v>
      </x:c>
      <x:c r="AB305" s="55" t="n">
        <x:v>1296</x:v>
      </x:c>
      <x:c r="AC305" s="55" t="n">
        <x:v>7807</x:v>
      </x:c>
      <x:c r="AD305" s="55" t="n">
        <x:v>3318</x:v>
      </x:c>
      <x:c r="AE305" s="55" t="n">
        <x:v>11244</x:v>
      </x:c>
      <x:c r="AF305" s="55" t="n">
        <x:v>11156</x:v>
      </x:c>
      <x:c r="AG305" s="55" t="n">
        <x:v>88</x:v>
      </x:c>
      <x:c r="AH305" s="55" t="n">
        <x:v>818</x:v>
      </x:c>
      <x:c r="AI305" s="55" t="n">
        <x:v>10338</x:v>
      </x:c>
      <x:c r="AJ305" s="55" t="n">
        <x:v>461</x:v>
      </x:c>
      <x:c r="AK305" s="55" t="n">
        <x:v>774</x:v>
      </x:c>
      <x:c r="AL305" s="55" t="n">
        <x:v>1533</x:v>
      </x:c>
      <x:c r="AM305" s="55" t="n">
        <x:v>5186</x:v>
      </x:c>
      <x:c r="AN305" s="55" t="n">
        <x:v>3169</x:v>
      </x:c>
      <x:c r="AO305" s="55" t="n">
        <x:v>33</x:v>
      </x:c>
      <x:c r="AP305" s="55" t="n">
        <x:v>3038</x:v>
      </x:c>
      <x:c r="AQ305" s="55" t="n">
        <x:v>992</x:v>
      </x:c>
    </x:row>
    <x:row r="306">
      <x:c r="A306" s="54" t="str">
        <x:v>T1_SHARED_CATCHMENT</x:v>
      </x:c>
      <x:c r="B306" s="54" t="n">
        <x:v>300</x:v>
      </x:c>
      <x:c r="C306" s="54" t="str">
        <x:v>NYC-V2-R01</x:v>
      </x:c>
      <x:c r="D306" s="54" t="str">
        <x:v>V2</x:v>
      </x:c>
      <x:c r="E306" s="54" t="str">
        <x:v>ADMITTED</x:v>
      </x:c>
      <x:c r="F306" s="55" t="n">
        <x:v>30203</x:v>
      </x:c>
      <x:c r="G306" s="55" t="n">
        <x:v>7145</x:v>
      </x:c>
      <x:c r="H306" s="55" t="n">
        <x:v>2903</x:v>
      </x:c>
      <x:c r="I306" s="55" t="n">
        <x:v>497</x:v>
      </x:c>
      <x:c r="J306" s="55" t="n">
        <x:v>0</x:v>
      </x:c>
      <x:c r="K306" s="55" t="n">
        <x:v>30203</x:v>
      </x:c>
      <x:c r="L306" s="55" t="n">
        <x:v>4684</x:v>
      </x:c>
      <x:c r="M306" s="55" t="n">
        <x:v>843</x:v>
      </x:c>
      <x:c r="N306" s="55" t="n">
        <x:v>2187</x:v>
      </x:c>
      <x:c r="O306" s="55" t="n">
        <x:v>1654</x:v>
      </x:c>
      <x:c r="P306" s="55" t="n">
        <x:v>567</x:v>
      </x:c>
      <x:c r="Q306" s="55" t="n">
        <x:v>1757</x:v>
      </x:c>
      <x:c r="R306" s="55" t="n">
        <x:v>1653</x:v>
      </x:c>
      <x:c r="S306" s="55" t="n">
        <x:v>1625</x:v>
      </x:c>
      <x:c r="T306" s="55" t="n">
        <x:v>1109</x:v>
      </x:c>
      <x:c r="U306" s="55" t="n">
        <x:v>1266</x:v>
      </x:c>
      <x:c r="V306" s="55" t="n">
        <x:v>9709</x:v>
      </x:c>
      <x:c r="W306" s="55" t="n">
        <x:v>7260</x:v>
      </x:c>
      <x:c r="X306" s="55" t="n">
        <x:v>2449</x:v>
      </x:c>
      <x:c r="Y306" s="55" t="n">
        <x:v>2137</x:v>
      </x:c>
      <x:c r="Z306" s="55" t="n">
        <x:v>3159</x:v>
      </x:c>
      <x:c r="AA306" s="55" t="n">
        <x:v>2633</x:v>
      </x:c>
      <x:c r="AB306" s="55" t="n">
        <x:v>649</x:v>
      </x:c>
      <x:c r="AC306" s="55" t="n">
        <x:v>7331</x:v>
      </x:c>
      <x:c r="AD306" s="55" t="n">
        <x:v>2493</x:v>
      </x:c>
      <x:c r="AE306" s="55" t="n">
        <x:v>9709</x:v>
      </x:c>
      <x:c r="AF306" s="55" t="n">
        <x:v>9709</x:v>
      </x:c>
      <x:c r="AG306" s="55" t="n">
        <x:v>0</x:v>
      </x:c>
      <x:c r="AH306" s="55" t="n">
        <x:v>219</x:v>
      </x:c>
      <x:c r="AI306" s="55" t="n">
        <x:v>9490</x:v>
      </x:c>
      <x:c r="AJ306" s="55" t="n">
        <x:v>245</x:v>
      </x:c>
      <x:c r="AK306" s="55" t="n">
        <x:v>868</x:v>
      </x:c>
      <x:c r="AL306" s="55" t="n">
        <x:v>1386</x:v>
      </x:c>
      <x:c r="AM306" s="55" t="n">
        <x:v>4479</x:v>
      </x:c>
      <x:c r="AN306" s="55" t="n">
        <x:v>2724</x:v>
      </x:c>
      <x:c r="AO306" s="55" t="n">
        <x:v>7</x:v>
      </x:c>
      <x:c r="AP306" s="55" t="n">
        <x:v>2107</x:v>
      </x:c>
      <x:c r="AQ306" s="55" t="n">
        <x:v>958</x:v>
      </x:c>
    </x:row>
    <x:row r="307">
      <x:c r="A307" s="54" t="str">
        <x:v>T1_SHARED_CATCHMENT</x:v>
      </x:c>
      <x:c r="B307" s="54" t="n">
        <x:v>301</x:v>
      </x:c>
      <x:c r="C307" s="54" t="str">
        <x:v>NYC-V2-R01</x:v>
      </x:c>
      <x:c r="D307" s="54" t="str">
        <x:v>V2</x:v>
      </x:c>
      <x:c r="E307" s="54" t="str">
        <x:v>ADMITTED</x:v>
      </x:c>
      <x:c r="F307" s="55" t="n">
        <x:v>32722</x:v>
      </x:c>
      <x:c r="G307" s="55" t="n">
        <x:v>8553</x:v>
      </x:c>
      <x:c r="H307" s="55" t="n">
        <x:v>3143</x:v>
      </x:c>
      <x:c r="I307" s="55" t="n">
        <x:v>1011</x:v>
      </x:c>
      <x:c r="J307" s="55" t="n">
        <x:v>169</x:v>
      </x:c>
      <x:c r="K307" s="55" t="n">
        <x:v>32722</x:v>
      </x:c>
      <x:c r="L307" s="55" t="n">
        <x:v>6149</x:v>
      </x:c>
      <x:c r="M307" s="55" t="n">
        <x:v>1726</x:v>
      </x:c>
      <x:c r="N307" s="55" t="n">
        <x:v>2652</x:v>
      </x:c>
      <x:c r="O307" s="55" t="n">
        <x:v>1771</x:v>
      </x:c>
      <x:c r="P307" s="55" t="n">
        <x:v>915</x:v>
      </x:c>
      <x:c r="Q307" s="55" t="n">
        <x:v>1435</x:v>
      </x:c>
      <x:c r="R307" s="55" t="n">
        <x:v>1813</x:v>
      </x:c>
      <x:c r="S307" s="55" t="n">
        <x:v>2495</x:v>
      </x:c>
      <x:c r="T307" s="55" t="n">
        <x:v>1029</x:v>
      </x:c>
      <x:c r="U307" s="55" t="n">
        <x:v>2469</x:v>
      </x:c>
      <x:c r="V307" s="55" t="n">
        <x:v>9820</x:v>
      </x:c>
      <x:c r="W307" s="55" t="n">
        <x:v>6816</x:v>
      </x:c>
      <x:c r="X307" s="55" t="n">
        <x:v>3004</x:v>
      </x:c>
      <x:c r="Y307" s="55" t="n">
        <x:v>2454</x:v>
      </x:c>
      <x:c r="Z307" s="55" t="n">
        <x:v>3892</x:v>
      </x:c>
      <x:c r="AA307" s="55" t="n">
        <x:v>2804</x:v>
      </x:c>
      <x:c r="AB307" s="55" t="n">
        <x:v>916</x:v>
      </x:c>
      <x:c r="AC307" s="55" t="n">
        <x:v>7678</x:v>
      </x:c>
      <x:c r="AD307" s="55" t="n">
        <x:v>2798</x:v>
      </x:c>
      <x:c r="AE307" s="55" t="n">
        <x:v>9970</x:v>
      </x:c>
      <x:c r="AF307" s="55" t="n">
        <x:v>9820</x:v>
      </x:c>
      <x:c r="AG307" s="55" t="n">
        <x:v>150</x:v>
      </x:c>
      <x:c r="AH307" s="55" t="n">
        <x:v>296</x:v>
      </x:c>
      <x:c r="AI307" s="55" t="n">
        <x:v>9524</x:v>
      </x:c>
      <x:c r="AJ307" s="55" t="n">
        <x:v>327</x:v>
      </x:c>
      <x:c r="AK307" s="55" t="n">
        <x:v>889</x:v>
      </x:c>
      <x:c r="AL307" s="55" t="n">
        <x:v>1399</x:v>
      </x:c>
      <x:c r="AM307" s="55" t="n">
        <x:v>4643</x:v>
      </x:c>
      <x:c r="AN307" s="55" t="n">
        <x:v>2463</x:v>
      </x:c>
      <x:c r="AO307" s="55" t="n">
        <x:v>99</x:v>
      </x:c>
      <x:c r="AP307" s="55" t="n">
        <x:v>1983</x:v>
      </x:c>
      <x:c r="AQ307" s="55" t="n">
        <x:v>929</x:v>
      </x:c>
    </x:row>
    <x:row r="308">
      <x:c r="A308" s="54" t="str">
        <x:v>T1_SHARED_CATCHMENT</x:v>
      </x:c>
      <x:c r="B308" s="54" t="n">
        <x:v>302</x:v>
      </x:c>
      <x:c r="C308" s="54" t="str">
        <x:v>NYC-V2-R01</x:v>
      </x:c>
      <x:c r="D308" s="54" t="str">
        <x:v>V2</x:v>
      </x:c>
      <x:c r="E308" s="54" t="str">
        <x:v>ADMITTED</x:v>
      </x:c>
      <x:c r="F308" s="55" t="n">
        <x:v>30604</x:v>
      </x:c>
      <x:c r="G308" s="55" t="n">
        <x:v>6881</x:v>
      </x:c>
      <x:c r="H308" s="55" t="n">
        <x:v>3433</x:v>
      </x:c>
      <x:c r="I308" s="55" t="n">
        <x:v>1044</x:v>
      </x:c>
      <x:c r="J308" s="55" t="n">
        <x:v>102</x:v>
      </x:c>
      <x:c r="K308" s="55" t="n">
        <x:v>30604</x:v>
      </x:c>
      <x:c r="L308" s="55" t="n">
        <x:v>5776</x:v>
      </x:c>
      <x:c r="M308" s="55" t="n">
        <x:v>1642</x:v>
      </x:c>
      <x:c r="N308" s="55" t="n">
        <x:v>2331</x:v>
      </x:c>
      <x:c r="O308" s="55" t="n">
        <x:v>1803</x:v>
      </x:c>
      <x:c r="P308" s="55" t="n">
        <x:v>377</x:v>
      </x:c>
      <x:c r="Q308" s="55" t="n">
        <x:v>3496</x:v>
      </x:c>
      <x:c r="R308" s="55" t="n">
        <x:v>1702</x:v>
      </x:c>
      <x:c r="S308" s="55" t="n">
        <x:v>2439</x:v>
      </x:c>
      <x:c r="T308" s="55" t="n">
        <x:v>1119</x:v>
      </x:c>
      <x:c r="U308" s="55" t="n">
        <x:v>1424</x:v>
      </x:c>
      <x:c r="V308" s="55" t="n">
        <x:v>9908</x:v>
      </x:c>
      <x:c r="W308" s="55" t="n">
        <x:v>7086</x:v>
      </x:c>
      <x:c r="X308" s="55" t="n">
        <x:v>2822</x:v>
      </x:c>
      <x:c r="Y308" s="55" t="n">
        <x:v>2103</x:v>
      </x:c>
      <x:c r="Z308" s="55" t="n">
        <x:v>3056</x:v>
      </x:c>
      <x:c r="AA308" s="55" t="n">
        <x:v>3433</x:v>
      </x:c>
      <x:c r="AB308" s="55" t="n">
        <x:v>1310</x:v>
      </x:c>
      <x:c r="AC308" s="55" t="n">
        <x:v>7788</x:v>
      </x:c>
      <x:c r="AD308" s="55" t="n">
        <x:v>2974</x:v>
      </x:c>
      <x:c r="AE308" s="55" t="n">
        <x:v>9983</x:v>
      </x:c>
      <x:c r="AF308" s="55" t="n">
        <x:v>9908</x:v>
      </x:c>
      <x:c r="AG308" s="55" t="n">
        <x:v>75</x:v>
      </x:c>
      <x:c r="AH308" s="55" t="n">
        <x:v>252</x:v>
      </x:c>
      <x:c r="AI308" s="55" t="n">
        <x:v>9656</x:v>
      </x:c>
      <x:c r="AJ308" s="55" t="n">
        <x:v>140</x:v>
      </x:c>
      <x:c r="AK308" s="55" t="n">
        <x:v>690</x:v>
      </x:c>
      <x:c r="AL308" s="55" t="n">
        <x:v>1511</x:v>
      </x:c>
      <x:c r="AM308" s="55" t="n">
        <x:v>5128</x:v>
      </x:c>
      <x:c r="AN308" s="55" t="n">
        <x:v>2439</x:v>
      </x:c>
      <x:c r="AO308" s="55" t="n">
        <x:v>0</x:v>
      </x:c>
      <x:c r="AP308" s="55" t="n">
        <x:v>2048</x:v>
      </x:c>
      <x:c r="AQ308" s="55" t="n">
        <x:v>944</x:v>
      </x:c>
    </x:row>
    <x:row r="309">
      <x:c r="A309" s="54" t="str">
        <x:v>T1_SHARED_CATCHMENT</x:v>
      </x:c>
      <x:c r="B309" s="54" t="n">
        <x:v>303</x:v>
      </x:c>
      <x:c r="C309" s="54" t="str">
        <x:v>NYC-V2-R01</x:v>
      </x:c>
      <x:c r="D309" s="54" t="str">
        <x:v>V2</x:v>
      </x:c>
      <x:c r="E309" s="54" t="str">
        <x:v>ADMITTED</x:v>
      </x:c>
      <x:c r="F309" s="55" t="n">
        <x:v>32422</x:v>
      </x:c>
      <x:c r="G309" s="55" t="n">
        <x:v>7916</x:v>
      </x:c>
      <x:c r="H309" s="55" t="n">
        <x:v>3647</x:v>
      </x:c>
      <x:c r="I309" s="55" t="n">
        <x:v>1296</x:v>
      </x:c>
      <x:c r="J309" s="55" t="n">
        <x:v>362</x:v>
      </x:c>
      <x:c r="K309" s="55" t="n">
        <x:v>31973</x:v>
      </x:c>
      <x:c r="L309" s="55" t="n">
        <x:v>6628</x:v>
      </x:c>
      <x:c r="M309" s="55" t="n">
        <x:v>1878</x:v>
      </x:c>
      <x:c r="N309" s="55" t="n">
        <x:v>2398</x:v>
      </x:c>
      <x:c r="O309" s="55" t="n">
        <x:v>2352</x:v>
      </x:c>
      <x:c r="P309" s="55" t="n">
        <x:v>1250</x:v>
      </x:c>
      <x:c r="Q309" s="55" t="n">
        <x:v>2281</x:v>
      </x:c>
      <x:c r="R309" s="55" t="n">
        <x:v>1664</x:v>
      </x:c>
      <x:c r="S309" s="55" t="n">
        <x:v>2119</x:v>
      </x:c>
      <x:c r="T309" s="55" t="n">
        <x:v>1382</x:v>
      </x:c>
      <x:c r="U309" s="55" t="n">
        <x:v>2241</x:v>
      </x:c>
      <x:c r="V309" s="55" t="n">
        <x:v>10472</x:v>
      </x:c>
      <x:c r="W309" s="55" t="n">
        <x:v>7882</x:v>
      </x:c>
      <x:c r="X309" s="55" t="n">
        <x:v>2590</x:v>
      </x:c>
      <x:c r="Y309" s="55" t="n">
        <x:v>2129</x:v>
      </x:c>
      <x:c r="Z309" s="55" t="n">
        <x:v>3564</x:v>
      </x:c>
      <x:c r="AA309" s="55" t="n">
        <x:v>3583</x:v>
      </x:c>
      <x:c r="AB309" s="55" t="n">
        <x:v>1000</x:v>
      </x:c>
      <x:c r="AC309" s="55" t="n">
        <x:v>7873</x:v>
      </x:c>
      <x:c r="AD309" s="55" t="n">
        <x:v>3334</x:v>
      </x:c>
      <x:c r="AE309" s="55" t="n">
        <x:v>10567</x:v>
      </x:c>
      <x:c r="AF309" s="55" t="n">
        <x:v>10472</x:v>
      </x:c>
      <x:c r="AG309" s="55" t="n">
        <x:v>95</x:v>
      </x:c>
      <x:c r="AH309" s="55" t="n">
        <x:v>238</x:v>
      </x:c>
      <x:c r="AI309" s="55" t="n">
        <x:v>10234</x:v>
      </x:c>
      <x:c r="AJ309" s="55" t="n">
        <x:v>321</x:v>
      </x:c>
      <x:c r="AK309" s="55" t="n">
        <x:v>785</x:v>
      </x:c>
      <x:c r="AL309" s="55" t="n">
        <x:v>1301</x:v>
      </x:c>
      <x:c r="AM309" s="55" t="n">
        <x:v>5118</x:v>
      </x:c>
      <x:c r="AN309" s="55" t="n">
        <x:v>2890</x:v>
      </x:c>
      <x:c r="AO309" s="55" t="n">
        <x:v>57</x:v>
      </x:c>
      <x:c r="AP309" s="55" t="n">
        <x:v>2422</x:v>
      </x:c>
      <x:c r="AQ309" s="55" t="n">
        <x:v>905</x:v>
      </x:c>
    </x:row>
    <x:row r="310">
      <x:c r="A310" s="54" t="str">
        <x:v>T1_SHARED_CATCHMENT</x:v>
      </x:c>
      <x:c r="B310" s="54" t="n">
        <x:v>304</x:v>
      </x:c>
      <x:c r="C310" s="54" t="str">
        <x:v>NYC-V2-R01</x:v>
      </x:c>
      <x:c r="D310" s="54" t="str">
        <x:v>V2</x:v>
      </x:c>
      <x:c r="E310" s="54" t="str">
        <x:v>ADMITTED</x:v>
      </x:c>
      <x:c r="F310" s="55" t="n">
        <x:v>31877</x:v>
      </x:c>
      <x:c r="G310" s="55" t="n">
        <x:v>7299</x:v>
      </x:c>
      <x:c r="H310" s="55" t="n">
        <x:v>3030</x:v>
      </x:c>
      <x:c r="I310" s="55" t="n">
        <x:v>1204</x:v>
      </x:c>
      <x:c r="J310" s="55" t="n">
        <x:v>280</x:v>
      </x:c>
      <x:c r="K310" s="55" t="n">
        <x:v>31877</x:v>
      </x:c>
      <x:c r="L310" s="55" t="n">
        <x:v>5299</x:v>
      </x:c>
      <x:c r="M310" s="55" t="n">
        <x:v>1413</x:v>
      </x:c>
      <x:c r="N310" s="55" t="n">
        <x:v>2128</x:v>
      </x:c>
      <x:c r="O310" s="55" t="n">
        <x:v>1758</x:v>
      </x:c>
      <x:c r="P310" s="55" t="n">
        <x:v>820</x:v>
      </x:c>
      <x:c r="Q310" s="55" t="n">
        <x:v>2183</x:v>
      </x:c>
      <x:c r="R310" s="55" t="n">
        <x:v>1744</x:v>
      </x:c>
      <x:c r="S310" s="55" t="n">
        <x:v>3280</x:v>
      </x:c>
      <x:c r="T310" s="55" t="n">
        <x:v>1375</x:v>
      </x:c>
      <x:c r="U310" s="55" t="n">
        <x:v>1787</x:v>
      </x:c>
      <x:c r="V310" s="55" t="n">
        <x:v>10743</x:v>
      </x:c>
      <x:c r="W310" s="55" t="n">
        <x:v>7107</x:v>
      </x:c>
      <x:c r="X310" s="55" t="n">
        <x:v>3636</x:v>
      </x:c>
      <x:c r="Y310" s="55" t="n">
        <x:v>3338</x:v>
      </x:c>
      <x:c r="Z310" s="55" t="n">
        <x:v>3872</x:v>
      </x:c>
      <x:c r="AA310" s="55" t="n">
        <x:v>3021</x:v>
      </x:c>
      <x:c r="AB310" s="55" t="n">
        <x:v>915</x:v>
      </x:c>
      <x:c r="AC310" s="55" t="n">
        <x:v>7879</x:v>
      </x:c>
      <x:c r="AD310" s="55" t="n">
        <x:v>2431</x:v>
      </x:c>
      <x:c r="AE310" s="55" t="n">
        <x:v>10779</x:v>
      </x:c>
      <x:c r="AF310" s="55" t="n">
        <x:v>10743</x:v>
      </x:c>
      <x:c r="AG310" s="55" t="n">
        <x:v>36</x:v>
      </x:c>
      <x:c r="AH310" s="55" t="n">
        <x:v>341</x:v>
      </x:c>
      <x:c r="AI310" s="55" t="n">
        <x:v>10402</x:v>
      </x:c>
      <x:c r="AJ310" s="55" t="n">
        <x:v>315</x:v>
      </x:c>
      <x:c r="AK310" s="55" t="n">
        <x:v>891</x:v>
      </x:c>
      <x:c r="AL310" s="55" t="n">
        <x:v>1952</x:v>
      </x:c>
      <x:c r="AM310" s="55" t="n">
        <x:v>4633</x:v>
      </x:c>
      <x:c r="AN310" s="55" t="n">
        <x:v>2931</x:v>
      </x:c>
      <x:c r="AO310" s="55" t="n">
        <x:v>21</x:v>
      </x:c>
      <x:c r="AP310" s="55" t="n">
        <x:v>2121</x:v>
      </x:c>
      <x:c r="AQ310" s="55" t="n">
        <x:v>983</x:v>
      </x:c>
    </x:row>
    <x:row r="311">
      <x:c r="A311" s="54" t="str">
        <x:v>T1_SHARED_CATCHMENT</x:v>
      </x:c>
      <x:c r="B311" s="54" t="n">
        <x:v>305</x:v>
      </x:c>
      <x:c r="C311" s="54" t="str">
        <x:v>NYC-V2-R01</x:v>
      </x:c>
      <x:c r="D311" s="54" t="str">
        <x:v>V2</x:v>
      </x:c>
      <x:c r="E311" s="54" t="str">
        <x:v>ADMITTED</x:v>
      </x:c>
      <x:c r="F311" s="55" t="n">
        <x:v>31154</x:v>
      </x:c>
      <x:c r="G311" s="55" t="n">
        <x:v>6428</x:v>
      </x:c>
      <x:c r="H311" s="55" t="n">
        <x:v>3012</x:v>
      </x:c>
      <x:c r="I311" s="55" t="n">
        <x:v>1356</x:v>
      </x:c>
      <x:c r="J311" s="55" t="n">
        <x:v>123</x:v>
      </x:c>
      <x:c r="K311" s="55" t="n">
        <x:v>31154</x:v>
      </x:c>
      <x:c r="L311" s="55" t="n">
        <x:v>6392</x:v>
      </x:c>
      <x:c r="M311" s="55" t="n">
        <x:v>1632</x:v>
      </x:c>
      <x:c r="N311" s="55" t="n">
        <x:v>2598</x:v>
      </x:c>
      <x:c r="O311" s="55" t="n">
        <x:v>2162</x:v>
      </x:c>
      <x:c r="P311" s="55" t="n">
        <x:v>497</x:v>
      </x:c>
      <x:c r="Q311" s="55" t="n">
        <x:v>1974</x:v>
      </x:c>
      <x:c r="R311" s="55" t="n">
        <x:v>1844</x:v>
      </x:c>
      <x:c r="S311" s="55" t="n">
        <x:v>2511</x:v>
      </x:c>
      <x:c r="T311" s="55" t="n">
        <x:v>940</x:v>
      </x:c>
      <x:c r="U311" s="55" t="n">
        <x:v>2347</x:v>
      </x:c>
      <x:c r="V311" s="55" t="n">
        <x:v>10247</x:v>
      </x:c>
      <x:c r="W311" s="55" t="n">
        <x:v>7136</x:v>
      </x:c>
      <x:c r="X311" s="55" t="n">
        <x:v>3111</x:v>
      </x:c>
      <x:c r="Y311" s="55" t="n">
        <x:v>2688</x:v>
      </x:c>
      <x:c r="Z311" s="55" t="n">
        <x:v>3664</x:v>
      </x:c>
      <x:c r="AA311" s="55" t="n">
        <x:v>3012</x:v>
      </x:c>
      <x:c r="AB311" s="55" t="n">
        <x:v>1269</x:v>
      </x:c>
      <x:c r="AC311" s="55" t="n">
        <x:v>8185</x:v>
      </x:c>
      <x:c r="AD311" s="55" t="n">
        <x:v>2894</x:v>
      </x:c>
      <x:c r="AE311" s="55" t="n">
        <x:v>10271</x:v>
      </x:c>
      <x:c r="AF311" s="55" t="n">
        <x:v>10247</x:v>
      </x:c>
      <x:c r="AG311" s="55" t="n">
        <x:v>24</x:v>
      </x:c>
      <x:c r="AH311" s="55" t="n">
        <x:v>211</x:v>
      </x:c>
      <x:c r="AI311" s="55" t="n">
        <x:v>10036</x:v>
      </x:c>
      <x:c r="AJ311" s="55" t="n">
        <x:v>265</x:v>
      </x:c>
      <x:c r="AK311" s="55" t="n">
        <x:v>1004</x:v>
      </x:c>
      <x:c r="AL311" s="55" t="n">
        <x:v>1749</x:v>
      </x:c>
      <x:c r="AM311" s="55" t="n">
        <x:v>4494</x:v>
      </x:c>
      <x:c r="AN311" s="55" t="n">
        <x:v>2713</x:v>
      </x:c>
      <x:c r="AO311" s="55" t="n">
        <x:v>22</x:v>
      </x:c>
      <x:c r="AP311" s="55" t="n">
        <x:v>2306</x:v>
      </x:c>
      <x:c r="AQ311" s="55" t="n">
        <x:v>948</x:v>
      </x:c>
    </x:row>
    <x:row r="312">
      <x:c r="A312" s="54" t="str">
        <x:v>T1_SHARED_CATCHMENT</x:v>
      </x:c>
      <x:c r="B312" s="54" t="n">
        <x:v>306</x:v>
      </x:c>
      <x:c r="C312" s="54" t="str">
        <x:v>NYC-V2-R01</x:v>
      </x:c>
      <x:c r="D312" s="54" t="str">
        <x:v>V2</x:v>
      </x:c>
      <x:c r="E312" s="54" t="str">
        <x:v>ADMITTED</x:v>
      </x:c>
      <x:c r="F312" s="55" t="n">
        <x:v>30893</x:v>
      </x:c>
      <x:c r="G312" s="55" t="n">
        <x:v>8476</x:v>
      </x:c>
      <x:c r="H312" s="55" t="n">
        <x:v>3540</x:v>
      </x:c>
      <x:c r="I312" s="55" t="n">
        <x:v>1671</x:v>
      </x:c>
      <x:c r="J312" s="55" t="n">
        <x:v>423</x:v>
      </x:c>
      <x:c r="K312" s="55" t="n">
        <x:v>30827</x:v>
      </x:c>
      <x:c r="L312" s="55" t="n">
        <x:v>5296</x:v>
      </x:c>
      <x:c r="M312" s="55" t="n">
        <x:v>1142</x:v>
      </x:c>
      <x:c r="N312" s="55" t="n">
        <x:v>2148</x:v>
      </x:c>
      <x:c r="O312" s="55" t="n">
        <x:v>2006</x:v>
      </x:c>
      <x:c r="P312" s="55" t="n">
        <x:v>985</x:v>
      </x:c>
      <x:c r="Q312" s="55" t="n">
        <x:v>2292</x:v>
      </x:c>
      <x:c r="R312" s="55" t="n">
        <x:v>2159</x:v>
      </x:c>
      <x:c r="S312" s="55" t="n">
        <x:v>3026</x:v>
      </x:c>
      <x:c r="T312" s="55" t="n">
        <x:v>1698</x:v>
      </x:c>
      <x:c r="U312" s="55" t="n">
        <x:v>2132</x:v>
      </x:c>
      <x:c r="V312" s="55" t="n">
        <x:v>10685</x:v>
      </x:c>
      <x:c r="W312" s="55" t="n">
        <x:v>8098</x:v>
      </x:c>
      <x:c r="X312" s="55" t="n">
        <x:v>2587</x:v>
      </x:c>
      <x:c r="Y312" s="55" t="n">
        <x:v>2028</x:v>
      </x:c>
      <x:c r="Z312" s="55" t="n">
        <x:v>3175</x:v>
      </x:c>
      <x:c r="AA312" s="55" t="n">
        <x:v>3267</x:v>
      </x:c>
      <x:c r="AB312" s="55" t="n">
        <x:v>1346</x:v>
      </x:c>
      <x:c r="AC312" s="55" t="n">
        <x:v>8703</x:v>
      </x:c>
      <x:c r="AD312" s="55" t="n">
        <x:v>3894</x:v>
      </x:c>
      <x:c r="AE312" s="55" t="n">
        <x:v>10722</x:v>
      </x:c>
      <x:c r="AF312" s="55" t="n">
        <x:v>10685</x:v>
      </x:c>
      <x:c r="AG312" s="55" t="n">
        <x:v>37</x:v>
      </x:c>
      <x:c r="AH312" s="55" t="n">
        <x:v>529</x:v>
      </x:c>
      <x:c r="AI312" s="55" t="n">
        <x:v>10156</x:v>
      </x:c>
      <x:c r="AJ312" s="55" t="n">
        <x:v>284</x:v>
      </x:c>
      <x:c r="AK312" s="55" t="n">
        <x:v>899</x:v>
      </x:c>
      <x:c r="AL312" s="55" t="n">
        <x:v>1137</x:v>
      </x:c>
      <x:c r="AM312" s="55" t="n">
        <x:v>5756</x:v>
      </x:c>
      <x:c r="AN312" s="55" t="n">
        <x:v>2525</x:v>
      </x:c>
      <x:c r="AO312" s="55" t="n">
        <x:v>84</x:v>
      </x:c>
      <x:c r="AP312" s="55" t="n">
        <x:v>2715</x:v>
      </x:c>
      <x:c r="AQ312" s="55" t="n">
        <x:v>946</x:v>
      </x:c>
    </x:row>
    <x:row r="313">
      <x:c r="A313" s="54" t="str">
        <x:v>T1_SHARED_CATCHMENT</x:v>
      </x:c>
      <x:c r="B313" s="54" t="n">
        <x:v>307</x:v>
      </x:c>
      <x:c r="C313" s="54" t="str">
        <x:v>NYC-V2-R01</x:v>
      </x:c>
      <x:c r="D313" s="54" t="str">
        <x:v>V2</x:v>
      </x:c>
      <x:c r="E313" s="54" t="str">
        <x:v>ADMITTED</x:v>
      </x:c>
      <x:c r="F313" s="55" t="n">
        <x:v>31900</x:v>
      </x:c>
      <x:c r="G313" s="55" t="n">
        <x:v>8046</x:v>
      </x:c>
      <x:c r="H313" s="55" t="n">
        <x:v>2898</x:v>
      </x:c>
      <x:c r="I313" s="55" t="n">
        <x:v>1138</x:v>
      </x:c>
      <x:c r="J313" s="55" t="n">
        <x:v>242</x:v>
      </x:c>
      <x:c r="K313" s="55" t="n">
        <x:v>31900</x:v>
      </x:c>
      <x:c r="L313" s="55" t="n">
        <x:v>7599</x:v>
      </x:c>
      <x:c r="M313" s="55" t="n">
        <x:v>2298</x:v>
      </x:c>
      <x:c r="N313" s="55" t="n">
        <x:v>2985</x:v>
      </x:c>
      <x:c r="O313" s="55" t="n">
        <x:v>2316</x:v>
      </x:c>
      <x:c r="P313" s="55" t="n">
        <x:v>1043</x:v>
      </x:c>
      <x:c r="Q313" s="55" t="n">
        <x:v>2676</x:v>
      </x:c>
      <x:c r="R313" s="55" t="n">
        <x:v>1745</x:v>
      </x:c>
      <x:c r="S313" s="55" t="n">
        <x:v>2073</x:v>
      </x:c>
      <x:c r="T313" s="55" t="n">
        <x:v>1438</x:v>
      </x:c>
      <x:c r="U313" s="55" t="n">
        <x:v>2180</x:v>
      </x:c>
      <x:c r="V313" s="55" t="n">
        <x:v>10702</x:v>
      </x:c>
      <x:c r="W313" s="55" t="n">
        <x:v>7765</x:v>
      </x:c>
      <x:c r="X313" s="55" t="n">
        <x:v>2937</x:v>
      </x:c>
      <x:c r="Y313" s="55" t="n">
        <x:v>2669</x:v>
      </x:c>
      <x:c r="Z313" s="55" t="n">
        <x:v>3822</x:v>
      </x:c>
      <x:c r="AA313" s="55" t="n">
        <x:v>2830</x:v>
      </x:c>
      <x:c r="AB313" s="55" t="n">
        <x:v>1213</x:v>
      </x:c>
      <x:c r="AC313" s="55" t="n">
        <x:v>8490</x:v>
      </x:c>
      <x:c r="AD313" s="55" t="n">
        <x:v>3112</x:v>
      </x:c>
      <x:c r="AE313" s="55" t="n">
        <x:v>10797</x:v>
      </x:c>
      <x:c r="AF313" s="55" t="n">
        <x:v>10702</x:v>
      </x:c>
      <x:c r="AG313" s="55" t="n">
        <x:v>95</x:v>
      </x:c>
      <x:c r="AH313" s="55" t="n">
        <x:v>346</x:v>
      </x:c>
      <x:c r="AI313" s="55" t="n">
        <x:v>10356</x:v>
      </x:c>
      <x:c r="AJ313" s="55" t="n">
        <x:v>346</x:v>
      </x:c>
      <x:c r="AK313" s="55" t="n">
        <x:v>1220</x:v>
      </x:c>
      <x:c r="AL313" s="55" t="n">
        <x:v>1549</x:v>
      </x:c>
      <x:c r="AM313" s="55" t="n">
        <x:v>5407</x:v>
      </x:c>
      <x:c r="AN313" s="55" t="n">
        <x:v>2172</x:v>
      </x:c>
      <x:c r="AO313" s="55" t="n">
        <x:v>8</x:v>
      </x:c>
      <x:c r="AP313" s="55" t="n">
        <x:v>2530</x:v>
      </x:c>
      <x:c r="AQ313" s="55" t="n">
        <x:v>926</x:v>
      </x:c>
    </x:row>
    <x:row r="314">
      <x:c r="A314" s="54" t="str">
        <x:v>T1_SHARED_CATCHMENT</x:v>
      </x:c>
      <x:c r="B314" s="54" t="n">
        <x:v>308</x:v>
      </x:c>
      <x:c r="C314" s="54" t="str">
        <x:v>NYC-V2-R01</x:v>
      </x:c>
      <x:c r="D314" s="54" t="str">
        <x:v>V2</x:v>
      </x:c>
      <x:c r="E314" s="54" t="str">
        <x:v>ADMITTED</x:v>
      </x:c>
      <x:c r="F314" s="55" t="n">
        <x:v>30376</x:v>
      </x:c>
      <x:c r="G314" s="55" t="n">
        <x:v>7344</x:v>
      </x:c>
      <x:c r="H314" s="55" t="n">
        <x:v>3167</x:v>
      </x:c>
      <x:c r="I314" s="55" t="n">
        <x:v>1217</x:v>
      </x:c>
      <x:c r="J314" s="55" t="n">
        <x:v>178</x:v>
      </x:c>
      <x:c r="K314" s="55" t="n">
        <x:v>30376</x:v>
      </x:c>
      <x:c r="L314" s="55" t="n">
        <x:v>5918</x:v>
      </x:c>
      <x:c r="M314" s="55" t="n">
        <x:v>1183</x:v>
      </x:c>
      <x:c r="N314" s="55" t="n">
        <x:v>3047</x:v>
      </x:c>
      <x:c r="O314" s="55" t="n">
        <x:v>1688</x:v>
      </x:c>
      <x:c r="P314" s="55" t="n">
        <x:v>905</x:v>
      </x:c>
      <x:c r="Q314" s="55" t="n">
        <x:v>1716</x:v>
      </x:c>
      <x:c r="R314" s="55" t="n">
        <x:v>1871</x:v>
      </x:c>
      <x:c r="S314" s="55" t="n">
        <x:v>3111</x:v>
      </x:c>
      <x:c r="T314" s="55" t="n">
        <x:v>1025</x:v>
      </x:c>
      <x:c r="U314" s="55" t="n">
        <x:v>1746</x:v>
      </x:c>
      <x:c r="V314" s="55" t="n">
        <x:v>10777</x:v>
      </x:c>
      <x:c r="W314" s="55" t="n">
        <x:v>7706</x:v>
      </x:c>
      <x:c r="X314" s="55" t="n">
        <x:v>3071</x:v>
      </x:c>
      <x:c r="Y314" s="55" t="n">
        <x:v>2655</x:v>
      </x:c>
      <x:c r="Z314" s="55" t="n">
        <x:v>4008</x:v>
      </x:c>
      <x:c r="AA314" s="55" t="n">
        <x:v>2510</x:v>
      </x:c>
      <x:c r="AB314" s="55" t="n">
        <x:v>861</x:v>
      </x:c>
      <x:c r="AC314" s="55" t="n">
        <x:v>8183</x:v>
      </x:c>
      <x:c r="AD314" s="55" t="n">
        <x:v>2992</x:v>
      </x:c>
      <x:c r="AE314" s="55" t="n">
        <x:v>10817</x:v>
      </x:c>
      <x:c r="AF314" s="55" t="n">
        <x:v>10777</x:v>
      </x:c>
      <x:c r="AG314" s="55" t="n">
        <x:v>40</x:v>
      </x:c>
      <x:c r="AH314" s="55" t="n">
        <x:v>340</x:v>
      </x:c>
      <x:c r="AI314" s="55" t="n">
        <x:v>10437</x:v>
      </x:c>
      <x:c r="AJ314" s="55" t="n">
        <x:v>365</x:v>
      </x:c>
      <x:c r="AK314" s="55" t="n">
        <x:v>760</x:v>
      </x:c>
      <x:c r="AL314" s="55" t="n">
        <x:v>2143</x:v>
      </x:c>
      <x:c r="AM314" s="55" t="n">
        <x:v>5356</x:v>
      </x:c>
      <x:c r="AN314" s="55" t="n">
        <x:v>2153</x:v>
      </x:c>
      <x:c r="AO314" s="55" t="n">
        <x:v>0</x:v>
      </x:c>
      <x:c r="AP314" s="55" t="n">
        <x:v>3038</x:v>
      </x:c>
      <x:c r="AQ314" s="55" t="n">
        <x:v>943</x:v>
      </x:c>
    </x:row>
    <x:row r="315">
      <x:c r="A315" s="54" t="str">
        <x:v>T1_SHARED_CATCHMENT</x:v>
      </x:c>
      <x:c r="B315" s="54" t="n">
        <x:v>309</x:v>
      </x:c>
      <x:c r="C315" s="54" t="str">
        <x:v>NYC-V2-R01</x:v>
      </x:c>
      <x:c r="D315" s="54" t="str">
        <x:v>V2</x:v>
      </x:c>
      <x:c r="E315" s="54" t="str">
        <x:v>ADMITTED</x:v>
      </x:c>
      <x:c r="F315" s="55" t="n">
        <x:v>31509</x:v>
      </x:c>
      <x:c r="G315" s="55" t="n">
        <x:v>8139</x:v>
      </x:c>
      <x:c r="H315" s="55" t="n">
        <x:v>2912</x:v>
      </x:c>
      <x:c r="I315" s="55" t="n">
        <x:v>764</x:v>
      </x:c>
      <x:c r="J315" s="55" t="n">
        <x:v>161</x:v>
      </x:c>
      <x:c r="K315" s="55" t="n">
        <x:v>29851</x:v>
      </x:c>
      <x:c r="L315" s="55" t="n">
        <x:v>6445</x:v>
      </x:c>
      <x:c r="M315" s="55" t="n">
        <x:v>1623</x:v>
      </x:c>
      <x:c r="N315" s="55" t="n">
        <x:v>3168</x:v>
      </x:c>
      <x:c r="O315" s="55" t="n">
        <x:v>1654</x:v>
      </x:c>
      <x:c r="P315" s="55" t="n">
        <x:v>767</x:v>
      </x:c>
      <x:c r="Q315" s="55" t="n">
        <x:v>2574</x:v>
      </x:c>
      <x:c r="R315" s="55" t="n">
        <x:v>2199</x:v>
      </x:c>
      <x:c r="S315" s="55" t="n">
        <x:v>3327</x:v>
      </x:c>
      <x:c r="T315" s="55" t="n">
        <x:v>705</x:v>
      </x:c>
      <x:c r="U315" s="55" t="n">
        <x:v>1848</x:v>
      </x:c>
      <x:c r="V315" s="55" t="n">
        <x:v>10365</x:v>
      </x:c>
      <x:c r="W315" s="55" t="n">
        <x:v>6903</x:v>
      </x:c>
      <x:c r="X315" s="55" t="n">
        <x:v>3462</x:v>
      </x:c>
      <x:c r="Y315" s="55" t="n">
        <x:v>2996</x:v>
      </x:c>
      <x:c r="Z315" s="55" t="n">
        <x:v>4049</x:v>
      </x:c>
      <x:c r="AA315" s="55" t="n">
        <x:v>2912</x:v>
      </x:c>
      <x:c r="AB315" s="55" t="n">
        <x:v>702</x:v>
      </x:c>
      <x:c r="AC315" s="55" t="n">
        <x:v>7969</x:v>
      </x:c>
      <x:c r="AD315" s="55" t="n">
        <x:v>2677</x:v>
      </x:c>
      <x:c r="AE315" s="55" t="n">
        <x:v>10425</x:v>
      </x:c>
      <x:c r="AF315" s="55" t="n">
        <x:v>10365</x:v>
      </x:c>
      <x:c r="AG315" s="55" t="n">
        <x:v>60</x:v>
      </x:c>
      <x:c r="AH315" s="55" t="n">
        <x:v>499</x:v>
      </x:c>
      <x:c r="AI315" s="55" t="n">
        <x:v>9866</x:v>
      </x:c>
      <x:c r="AJ315" s="55" t="n">
        <x:v>332</x:v>
      </x:c>
      <x:c r="AK315" s="55" t="n">
        <x:v>879</x:v>
      </x:c>
      <x:c r="AL315" s="55" t="n">
        <x:v>1297</x:v>
      </x:c>
      <x:c r="AM315" s="55" t="n">
        <x:v>5342</x:v>
      </x:c>
      <x:c r="AN315" s="55" t="n">
        <x:v>2515</x:v>
      </x:c>
      <x:c r="AO315" s="55" t="n">
        <x:v>0</x:v>
      </x:c>
      <x:c r="AP315" s="55" t="n">
        <x:v>2542</x:v>
      </x:c>
      <x:c r="AQ315" s="55" t="n">
        <x:v>954</x:v>
      </x:c>
    </x:row>
    <x:row r="316">
      <x:c r="A316" s="54" t="str">
        <x:v>T1_SHARED_CATCHMENT</x:v>
      </x:c>
      <x:c r="B316" s="54" t="n">
        <x:v>310</x:v>
      </x:c>
      <x:c r="C316" s="54" t="str">
        <x:v>NYC-V2-R01</x:v>
      </x:c>
      <x:c r="D316" s="54" t="str">
        <x:v>V2</x:v>
      </x:c>
      <x:c r="E316" s="54" t="str">
        <x:v>ADMITTED</x:v>
      </x:c>
      <x:c r="F316" s="55" t="n">
        <x:v>32725</x:v>
      </x:c>
      <x:c r="G316" s="55" t="n">
        <x:v>8329</x:v>
      </x:c>
      <x:c r="H316" s="55" t="n">
        <x:v>3318</x:v>
      </x:c>
      <x:c r="I316" s="55" t="n">
        <x:v>1131</x:v>
      </x:c>
      <x:c r="J316" s="55" t="n">
        <x:v>293</x:v>
      </x:c>
      <x:c r="K316" s="55" t="n">
        <x:v>29209</x:v>
      </x:c>
      <x:c r="L316" s="55" t="n">
        <x:v>5659</x:v>
      </x:c>
      <x:c r="M316" s="55" t="n">
        <x:v>1065</x:v>
      </x:c>
      <x:c r="N316" s="55" t="n">
        <x:v>2853</x:v>
      </x:c>
      <x:c r="O316" s="55" t="n">
        <x:v>1741</x:v>
      </x:c>
      <x:c r="P316" s="55" t="n">
        <x:v>604</x:v>
      </x:c>
      <x:c r="Q316" s="55" t="n">
        <x:v>1728</x:v>
      </x:c>
      <x:c r="R316" s="55" t="n">
        <x:v>1775</x:v>
      </x:c>
      <x:c r="S316" s="55" t="n">
        <x:v>3186</x:v>
      </x:c>
      <x:c r="T316" s="55" t="n">
        <x:v>818</x:v>
      </x:c>
      <x:c r="U316" s="55" t="n">
        <x:v>1300</x:v>
      </x:c>
      <x:c r="V316" s="55" t="n">
        <x:v>9575</x:v>
      </x:c>
      <x:c r="W316" s="55" t="n">
        <x:v>6466</x:v>
      </x:c>
      <x:c r="X316" s="55" t="n">
        <x:v>3109</x:v>
      </x:c>
      <x:c r="Y316" s="55" t="n">
        <x:v>2913</x:v>
      </x:c>
      <x:c r="Z316" s="55" t="n">
        <x:v>3030</x:v>
      </x:c>
      <x:c r="AA316" s="55" t="n">
        <x:v>2590</x:v>
      </x:c>
      <x:c r="AB316" s="55" t="n">
        <x:v>721</x:v>
      </x:c>
      <x:c r="AC316" s="55" t="n">
        <x:v>7775</x:v>
      </x:c>
      <x:c r="AD316" s="55" t="n">
        <x:v>2870</x:v>
      </x:c>
      <x:c r="AE316" s="55" t="n">
        <x:v>9644</x:v>
      </x:c>
      <x:c r="AF316" s="55" t="n">
        <x:v>9575</x:v>
      </x:c>
      <x:c r="AG316" s="55" t="n">
        <x:v>69</x:v>
      </x:c>
      <x:c r="AH316" s="55" t="n">
        <x:v>374</x:v>
      </x:c>
      <x:c r="AI316" s="55" t="n">
        <x:v>9201</x:v>
      </x:c>
      <x:c r="AJ316" s="55" t="n">
        <x:v>247</x:v>
      </x:c>
      <x:c r="AK316" s="55" t="n">
        <x:v>769</x:v>
      </x:c>
      <x:c r="AL316" s="55" t="n">
        <x:v>1332</x:v>
      </x:c>
      <x:c r="AM316" s="55" t="n">
        <x:v>4426</x:v>
      </x:c>
      <x:c r="AN316" s="55" t="n">
        <x:v>2704</x:v>
      </x:c>
      <x:c r="AO316" s="55" t="n">
        <x:v>97</x:v>
      </x:c>
      <x:c r="AP316" s="55" t="n">
        <x:v>1961</x:v>
      </x:c>
      <x:c r="AQ316" s="55" t="n">
        <x:v>954</x:v>
      </x:c>
    </x:row>
    <x:row r="317">
      <x:c r="A317" s="54" t="str">
        <x:v>T1_SHARED_CATCHMENT</x:v>
      </x:c>
      <x:c r="B317" s="54" t="n">
        <x:v>311</x:v>
      </x:c>
      <x:c r="C317" s="54" t="str">
        <x:v>NYC-V2-R01</x:v>
      </x:c>
      <x:c r="D317" s="54" t="str">
        <x:v>V2</x:v>
      </x:c>
      <x:c r="E317" s="54" t="str">
        <x:v>ADMITTED</x:v>
      </x:c>
      <x:c r="F317" s="55" t="n">
        <x:v>36465</x:v>
      </x:c>
      <x:c r="G317" s="55" t="n">
        <x:v>8950</x:v>
      </x:c>
      <x:c r="H317" s="55" t="n">
        <x:v>3205</x:v>
      </x:c>
      <x:c r="I317" s="55" t="n">
        <x:v>1596</x:v>
      </x:c>
      <x:c r="J317" s="55" t="n">
        <x:v>38</x:v>
      </x:c>
      <x:c r="K317" s="55" t="n">
        <x:v>36465</x:v>
      </x:c>
      <x:c r="L317" s="55" t="n">
        <x:v>7618</x:v>
      </x:c>
      <x:c r="M317" s="55" t="n">
        <x:v>2046</x:v>
      </x:c>
      <x:c r="N317" s="55" t="n">
        <x:v>3193</x:v>
      </x:c>
      <x:c r="O317" s="55" t="n">
        <x:v>2379</x:v>
      </x:c>
      <x:c r="P317" s="55" t="n">
        <x:v>1196</x:v>
      </x:c>
      <x:c r="Q317" s="55" t="n">
        <x:v>3522</x:v>
      </x:c>
      <x:c r="R317" s="55" t="n">
        <x:v>2321</x:v>
      </x:c>
      <x:c r="S317" s="55" t="n">
        <x:v>3362</x:v>
      </x:c>
      <x:c r="T317" s="55" t="n">
        <x:v>1521</x:v>
      </x:c>
      <x:c r="U317" s="55" t="n">
        <x:v>2460</x:v>
      </x:c>
      <x:c r="V317" s="55" t="n">
        <x:v>10259</x:v>
      </x:c>
      <x:c r="W317" s="55" t="n">
        <x:v>7428</x:v>
      </x:c>
      <x:c r="X317" s="55" t="n">
        <x:v>2831</x:v>
      </x:c>
      <x:c r="Y317" s="55" t="n">
        <x:v>2405</x:v>
      </x:c>
      <x:c r="Z317" s="55" t="n">
        <x:v>3653</x:v>
      </x:c>
      <x:c r="AA317" s="55" t="n">
        <x:v>3046</x:v>
      </x:c>
      <x:c r="AB317" s="55" t="n">
        <x:v>1076</x:v>
      </x:c>
      <x:c r="AC317" s="55" t="n">
        <x:v>8312</x:v>
      </x:c>
      <x:c r="AD317" s="55" t="n">
        <x:v>2782</x:v>
      </x:c>
      <x:c r="AE317" s="55" t="n">
        <x:v>10373</x:v>
      </x:c>
      <x:c r="AF317" s="55" t="n">
        <x:v>10259</x:v>
      </x:c>
      <x:c r="AG317" s="55" t="n">
        <x:v>114</x:v>
      </x:c>
      <x:c r="AH317" s="55" t="n">
        <x:v>524</x:v>
      </x:c>
      <x:c r="AI317" s="55" t="n">
        <x:v>9735</x:v>
      </x:c>
      <x:c r="AJ317" s="55" t="n">
        <x:v>276</x:v>
      </x:c>
      <x:c r="AK317" s="55" t="n">
        <x:v>1333</x:v>
      </x:c>
      <x:c r="AL317" s="55" t="n">
        <x:v>1234</x:v>
      </x:c>
      <x:c r="AM317" s="55" t="n">
        <x:v>4898</x:v>
      </x:c>
      <x:c r="AN317" s="55" t="n">
        <x:v>2518</x:v>
      </x:c>
      <x:c r="AO317" s="55" t="n">
        <x:v>0</x:v>
      </x:c>
      <x:c r="AP317" s="55" t="n">
        <x:v>2070</x:v>
      </x:c>
      <x:c r="AQ317" s="55" t="n">
        <x:v>994</x:v>
      </x:c>
    </x:row>
    <x:row r="318">
      <x:c r="A318" s="54" t="str">
        <x:v>T1_SHARED_CATCHMENT</x:v>
      </x:c>
      <x:c r="B318" s="54" t="n">
        <x:v>312</x:v>
      </x:c>
      <x:c r="C318" s="54" t="str">
        <x:v>NYC-V2-R01</x:v>
      </x:c>
      <x:c r="D318" s="54" t="str">
        <x:v>V2</x:v>
      </x:c>
      <x:c r="E318" s="54" t="str">
        <x:v>ADMITTED</x:v>
      </x:c>
      <x:c r="F318" s="55" t="n">
        <x:v>30452</x:v>
      </x:c>
      <x:c r="G318" s="55" t="n">
        <x:v>6883</x:v>
      </x:c>
      <x:c r="H318" s="55" t="n">
        <x:v>3553</x:v>
      </x:c>
      <x:c r="I318" s="55" t="n">
        <x:v>1649</x:v>
      </x:c>
      <x:c r="J318" s="55" t="n">
        <x:v>250</x:v>
      </x:c>
      <x:c r="K318" s="55" t="n">
        <x:v>30452</x:v>
      </x:c>
      <x:c r="L318" s="55" t="n">
        <x:v>4475</x:v>
      </x:c>
      <x:c r="M318" s="55" t="n">
        <x:v>0</x:v>
      </x:c>
      <x:c r="N318" s="55" t="n">
        <x:v>2852</x:v>
      </x:c>
      <x:c r="O318" s="55" t="n">
        <x:v>1623</x:v>
      </x:c>
      <x:c r="P318" s="55" t="n">
        <x:v>1060</x:v>
      </x:c>
      <x:c r="Q318" s="55" t="n">
        <x:v>2878</x:v>
      </x:c>
      <x:c r="R318" s="55" t="n">
        <x:v>2204</x:v>
      </x:c>
      <x:c r="S318" s="55" t="n">
        <x:v>2937</x:v>
      </x:c>
      <x:c r="T318" s="55" t="n">
        <x:v>1832</x:v>
      </x:c>
      <x:c r="U318" s="55" t="n">
        <x:v>2248</x:v>
      </x:c>
      <x:c r="V318" s="55" t="n">
        <x:v>9879</x:v>
      </x:c>
      <x:c r="W318" s="55" t="n">
        <x:v>6965</x:v>
      </x:c>
      <x:c r="X318" s="55" t="n">
        <x:v>2914</x:v>
      </x:c>
      <x:c r="Y318" s="55" t="n">
        <x:v>2701</x:v>
      </x:c>
      <x:c r="Z318" s="55" t="n">
        <x:v>3645</x:v>
      </x:c>
      <x:c r="AA318" s="55" t="n">
        <x:v>3275</x:v>
      </x:c>
      <x:c r="AB318" s="55" t="n">
        <x:v>1142</x:v>
      </x:c>
      <x:c r="AC318" s="55" t="n">
        <x:v>8288</x:v>
      </x:c>
      <x:c r="AD318" s="55" t="n">
        <x:v>2917</x:v>
      </x:c>
      <x:c r="AE318" s="55" t="n">
        <x:v>9994</x:v>
      </x:c>
      <x:c r="AF318" s="55" t="n">
        <x:v>9879</x:v>
      </x:c>
      <x:c r="AG318" s="55" t="n">
        <x:v>115</x:v>
      </x:c>
      <x:c r="AH318" s="55" t="n">
        <x:v>308</x:v>
      </x:c>
      <x:c r="AI318" s="55" t="n">
        <x:v>9571</x:v>
      </x:c>
      <x:c r="AJ318" s="55" t="n">
        <x:v>162</x:v>
      </x:c>
      <x:c r="AK318" s="55" t="n">
        <x:v>1281</x:v>
      </x:c>
      <x:c r="AL318" s="55" t="n">
        <x:v>1596</x:v>
      </x:c>
      <x:c r="AM318" s="55" t="n">
        <x:v>4759</x:v>
      </x:c>
      <x:c r="AN318" s="55" t="n">
        <x:v>2081</x:v>
      </x:c>
      <x:c r="AO318" s="55" t="n">
        <x:v>0</x:v>
      </x:c>
      <x:c r="AP318" s="55" t="n">
        <x:v>2530</x:v>
      </x:c>
      <x:c r="AQ318" s="55" t="n">
        <x:v>950</x:v>
      </x:c>
    </x:row>
    <x:row r="319">
      <x:c r="A319" s="54" t="str">
        <x:v>T1_SHARED_CATCHMENT</x:v>
      </x:c>
      <x:c r="B319" s="54" t="n">
        <x:v>313</x:v>
      </x:c>
      <x:c r="C319" s="54" t="str">
        <x:v>NYC-V2-R01</x:v>
      </x:c>
      <x:c r="D319" s="54" t="str">
        <x:v>V2</x:v>
      </x:c>
      <x:c r="E319" s="54" t="str">
        <x:v>ADMITTED</x:v>
      </x:c>
      <x:c r="F319" s="55" t="n">
        <x:v>31944</x:v>
      </x:c>
      <x:c r="G319" s="55" t="n">
        <x:v>7476</x:v>
      </x:c>
      <x:c r="H319" s="55" t="n">
        <x:v>3132</x:v>
      </x:c>
      <x:c r="I319" s="55" t="n">
        <x:v>1258</x:v>
      </x:c>
      <x:c r="J319" s="55" t="n">
        <x:v>298</x:v>
      </x:c>
      <x:c r="K319" s="55" t="n">
        <x:v>31944</x:v>
      </x:c>
      <x:c r="L319" s="55" t="n">
        <x:v>5115</x:v>
      </x:c>
      <x:c r="M319" s="55" t="n">
        <x:v>1186</x:v>
      </x:c>
      <x:c r="N319" s="55" t="n">
        <x:v>2473</x:v>
      </x:c>
      <x:c r="O319" s="55" t="n">
        <x:v>1456</x:v>
      </x:c>
      <x:c r="P319" s="55" t="n">
        <x:v>983</x:v>
      </x:c>
      <x:c r="Q319" s="55" t="n">
        <x:v>2436</x:v>
      </x:c>
      <x:c r="R319" s="55" t="n">
        <x:v>2053</x:v>
      </x:c>
      <x:c r="S319" s="55" t="n">
        <x:v>2921</x:v>
      </x:c>
      <x:c r="T319" s="55" t="n">
        <x:v>1273</x:v>
      </x:c>
      <x:c r="U319" s="55" t="n">
        <x:v>2020</x:v>
      </x:c>
      <x:c r="V319" s="55" t="n">
        <x:v>11027</x:v>
      </x:c>
      <x:c r="W319" s="55" t="n">
        <x:v>8079</x:v>
      </x:c>
      <x:c r="X319" s="55" t="n">
        <x:v>2948</x:v>
      </x:c>
      <x:c r="Y319" s="55" t="n">
        <x:v>2570</x:v>
      </x:c>
      <x:c r="Z319" s="55" t="n">
        <x:v>3189</x:v>
      </x:c>
      <x:c r="AA319" s="55" t="n">
        <x:v>3132</x:v>
      </x:c>
      <x:c r="AB319" s="55" t="n">
        <x:v>1288</x:v>
      </x:c>
      <x:c r="AC319" s="55" t="n">
        <x:v>7534</x:v>
      </x:c>
      <x:c r="AD319" s="55" t="n">
        <x:v>2645</x:v>
      </x:c>
      <x:c r="AE319" s="55" t="n">
        <x:v>11066</x:v>
      </x:c>
      <x:c r="AF319" s="55" t="n">
        <x:v>11027</x:v>
      </x:c>
      <x:c r="AG319" s="55" t="n">
        <x:v>39</x:v>
      </x:c>
      <x:c r="AH319" s="55" t="n">
        <x:v>478</x:v>
      </x:c>
      <x:c r="AI319" s="55" t="n">
        <x:v>10549</x:v>
      </x:c>
      <x:c r="AJ319" s="55" t="n">
        <x:v>327</x:v>
      </x:c>
      <x:c r="AK319" s="55" t="n">
        <x:v>992</x:v>
      </x:c>
      <x:c r="AL319" s="55" t="n">
        <x:v>1596</x:v>
      </x:c>
      <x:c r="AM319" s="55" t="n">
        <x:v>5195</x:v>
      </x:c>
      <x:c r="AN319" s="55" t="n">
        <x:v>2917</x:v>
      </x:c>
      <x:c r="AO319" s="55" t="n">
        <x:v>0</x:v>
      </x:c>
      <x:c r="AP319" s="55" t="n">
        <x:v>2322</x:v>
      </x:c>
      <x:c r="AQ319" s="55" t="n">
        <x:v>991</x:v>
      </x:c>
    </x:row>
    <x:row r="320">
      <x:c r="A320" s="54" t="str">
        <x:v>T1_SHARED_CATCHMENT</x:v>
      </x:c>
      <x:c r="B320" s="54" t="n">
        <x:v>314</x:v>
      </x:c>
      <x:c r="C320" s="54" t="str">
        <x:v>NYC-V2-R01</x:v>
      </x:c>
      <x:c r="D320" s="54" t="str">
        <x:v>V2</x:v>
      </x:c>
      <x:c r="E320" s="54" t="str">
        <x:v>ADMITTED</x:v>
      </x:c>
      <x:c r="F320" s="55" t="n">
        <x:v>32473</x:v>
      </x:c>
      <x:c r="G320" s="55" t="n">
        <x:v>7471</x:v>
      </x:c>
      <x:c r="H320" s="55" t="n">
        <x:v>3252</x:v>
      </x:c>
      <x:c r="I320" s="55" t="n">
        <x:v>1575</x:v>
      </x:c>
      <x:c r="J320" s="55" t="n">
        <x:v>303</x:v>
      </x:c>
      <x:c r="K320" s="55" t="n">
        <x:v>32473</x:v>
      </x:c>
      <x:c r="L320" s="55" t="n">
        <x:v>7170</x:v>
      </x:c>
      <x:c r="M320" s="55" t="n">
        <x:v>2162</x:v>
      </x:c>
      <x:c r="N320" s="55" t="n">
        <x:v>3453</x:v>
      </x:c>
      <x:c r="O320" s="55" t="n">
        <x:v>1555</x:v>
      </x:c>
      <x:c r="P320" s="55" t="n">
        <x:v>994</x:v>
      </x:c>
      <x:c r="Q320" s="55" t="n">
        <x:v>2932</x:v>
      </x:c>
      <x:c r="R320" s="55" t="n">
        <x:v>1404</x:v>
      </x:c>
      <x:c r="S320" s="55" t="n">
        <x:v>3080</x:v>
      </x:c>
      <x:c r="T320" s="55" t="n">
        <x:v>1336</x:v>
      </x:c>
      <x:c r="U320" s="55" t="n">
        <x:v>2340</x:v>
      </x:c>
      <x:c r="V320" s="55" t="n">
        <x:v>10569</x:v>
      </x:c>
      <x:c r="W320" s="55" t="n">
        <x:v>7270</x:v>
      </x:c>
      <x:c r="X320" s="55" t="n">
        <x:v>3299</x:v>
      </x:c>
      <x:c r="Y320" s="55" t="n">
        <x:v>2731</x:v>
      </x:c>
      <x:c r="Z320" s="55" t="n">
        <x:v>3812</x:v>
      </x:c>
      <x:c r="AA320" s="55" t="n">
        <x:v>3252</x:v>
      </x:c>
      <x:c r="AB320" s="55" t="n">
        <x:v>1338</x:v>
      </x:c>
      <x:c r="AC320" s="55" t="n">
        <x:v>7924</x:v>
      </x:c>
      <x:c r="AD320" s="55" t="n">
        <x:v>3720</x:v>
      </x:c>
      <x:c r="AE320" s="55" t="n">
        <x:v>10707</x:v>
      </x:c>
      <x:c r="AF320" s="55" t="n">
        <x:v>10569</x:v>
      </x:c>
      <x:c r="AG320" s="55" t="n">
        <x:v>138</x:v>
      </x:c>
      <x:c r="AH320" s="55" t="n">
        <x:v>449</x:v>
      </x:c>
      <x:c r="AI320" s="55" t="n">
        <x:v>10120</x:v>
      </x:c>
      <x:c r="AJ320" s="55" t="n">
        <x:v>422</x:v>
      </x:c>
      <x:c r="AK320" s="55" t="n">
        <x:v>1204</x:v>
      </x:c>
      <x:c r="AL320" s="55" t="n">
        <x:v>1827</x:v>
      </x:c>
      <x:c r="AM320" s="55" t="n">
        <x:v>4360</x:v>
      </x:c>
      <x:c r="AN320" s="55" t="n">
        <x:v>2679</x:v>
      </x:c>
      <x:c r="AO320" s="55" t="n">
        <x:v>77</x:v>
      </x:c>
      <x:c r="AP320" s="55" t="n">
        <x:v>2430</x:v>
      </x:c>
      <x:c r="AQ320" s="55" t="n">
        <x:v>960</x:v>
      </x:c>
    </x:row>
    <x:row r="321">
      <x:c r="A321" s="54" t="str">
        <x:v>T1_SHARED_CATCHMENT</x:v>
      </x:c>
      <x:c r="B321" s="54" t="n">
        <x:v>315</x:v>
      </x:c>
      <x:c r="C321" s="54" t="str">
        <x:v>NYC-V2-R01</x:v>
      </x:c>
      <x:c r="D321" s="54" t="str">
        <x:v>V2</x:v>
      </x:c>
      <x:c r="E321" s="54" t="str">
        <x:v>ADMITTED</x:v>
      </x:c>
      <x:c r="F321" s="55" t="n">
        <x:v>33581</x:v>
      </x:c>
      <x:c r="G321" s="55" t="n">
        <x:v>8227</x:v>
      </x:c>
      <x:c r="H321" s="55" t="n">
        <x:v>2919</x:v>
      </x:c>
      <x:c r="I321" s="55" t="n">
        <x:v>1116</x:v>
      </x:c>
      <x:c r="J321" s="55" t="n">
        <x:v>123</x:v>
      </x:c>
      <x:c r="K321" s="55" t="n">
        <x:v>33581</x:v>
      </x:c>
      <x:c r="L321" s="55" t="n">
        <x:v>6279</x:v>
      </x:c>
      <x:c r="M321" s="55" t="n">
        <x:v>1344</x:v>
      </x:c>
      <x:c r="N321" s="55" t="n">
        <x:v>3168</x:v>
      </x:c>
      <x:c r="O321" s="55" t="n">
        <x:v>1767</x:v>
      </x:c>
      <x:c r="P321" s="55" t="n">
        <x:v>1460</x:v>
      </x:c>
      <x:c r="Q321" s="55" t="n">
        <x:v>2851</x:v>
      </x:c>
      <x:c r="R321" s="55" t="n">
        <x:v>2140</x:v>
      </x:c>
      <x:c r="S321" s="55" t="n">
        <x:v>2596</x:v>
      </x:c>
      <x:c r="T321" s="55" t="n">
        <x:v>1345</x:v>
      </x:c>
      <x:c r="U321" s="55" t="n">
        <x:v>1392</x:v>
      </x:c>
      <x:c r="V321" s="55" t="n">
        <x:v>10499</x:v>
      </x:c>
      <x:c r="W321" s="55" t="n">
        <x:v>7612</x:v>
      </x:c>
      <x:c r="X321" s="55" t="n">
        <x:v>2887</x:v>
      </x:c>
      <x:c r="Y321" s="55" t="n">
        <x:v>2633</x:v>
      </x:c>
      <x:c r="Z321" s="55" t="n">
        <x:v>3344</x:v>
      </x:c>
      <x:c r="AA321" s="55" t="n">
        <x:v>2648</x:v>
      </x:c>
      <x:c r="AB321" s="55" t="n">
        <x:v>1086</x:v>
      </x:c>
      <x:c r="AC321" s="55" t="n">
        <x:v>8057</x:v>
      </x:c>
      <x:c r="AD321" s="55" t="n">
        <x:v>3089</x:v>
      </x:c>
      <x:c r="AE321" s="55" t="n">
        <x:v>10611</x:v>
      </x:c>
      <x:c r="AF321" s="55" t="n">
        <x:v>10499</x:v>
      </x:c>
      <x:c r="AG321" s="55" t="n">
        <x:v>112</x:v>
      </x:c>
      <x:c r="AH321" s="55" t="n">
        <x:v>626</x:v>
      </x:c>
      <x:c r="AI321" s="55" t="n">
        <x:v>9873</x:v>
      </x:c>
      <x:c r="AJ321" s="55" t="n">
        <x:v>188</x:v>
      </x:c>
      <x:c r="AK321" s="55" t="n">
        <x:v>1110</x:v>
      </x:c>
      <x:c r="AL321" s="55" t="n">
        <x:v>1634</x:v>
      </x:c>
      <x:c r="AM321" s="55" t="n">
        <x:v>4907</x:v>
      </x:c>
      <x:c r="AN321" s="55" t="n">
        <x:v>2629</x:v>
      </x:c>
      <x:c r="AO321" s="55" t="n">
        <x:v>31</x:v>
      </x:c>
      <x:c r="AP321" s="55" t="n">
        <x:v>2785</x:v>
      </x:c>
      <x:c r="AQ321" s="55" t="n">
        <x:v>943</x:v>
      </x:c>
    </x:row>
    <x:row r="322">
      <x:c r="A322" s="54" t="str">
        <x:v>T1_SHARED_CATCHMENT</x:v>
      </x:c>
      <x:c r="B322" s="54" t="n">
        <x:v>316</x:v>
      </x:c>
      <x:c r="C322" s="54" t="str">
        <x:v>NYC-V2-R01</x:v>
      </x:c>
      <x:c r="D322" s="54" t="str">
        <x:v>V2</x:v>
      </x:c>
      <x:c r="E322" s="54" t="str">
        <x:v>ADMITTED</x:v>
      </x:c>
      <x:c r="F322" s="55" t="n">
        <x:v>31612</x:v>
      </x:c>
      <x:c r="G322" s="55" t="n">
        <x:v>8493</x:v>
      </x:c>
      <x:c r="H322" s="55" t="n">
        <x:v>2984</x:v>
      </x:c>
      <x:c r="I322" s="55" t="n">
        <x:v>1020</x:v>
      </x:c>
      <x:c r="J322" s="55" t="n">
        <x:v>161</x:v>
      </x:c>
      <x:c r="K322" s="55" t="n">
        <x:v>30405</x:v>
      </x:c>
      <x:c r="L322" s="55" t="n">
        <x:v>5806</x:v>
      </x:c>
      <x:c r="M322" s="55" t="n">
        <x:v>2065</x:v>
      </x:c>
      <x:c r="N322" s="55" t="n">
        <x:v>2454</x:v>
      </x:c>
      <x:c r="O322" s="55" t="n">
        <x:v>1287</x:v>
      </x:c>
      <x:c r="P322" s="55" t="n">
        <x:v>604</x:v>
      </x:c>
      <x:c r="Q322" s="55" t="n">
        <x:v>2866</x:v>
      </x:c>
      <x:c r="R322" s="55" t="n">
        <x:v>1749</x:v>
      </x:c>
      <x:c r="S322" s="55" t="n">
        <x:v>3272</x:v>
      </x:c>
      <x:c r="T322" s="55" t="n">
        <x:v>1310</x:v>
      </x:c>
      <x:c r="U322" s="55" t="n">
        <x:v>1712</x:v>
      </x:c>
      <x:c r="V322" s="55" t="n">
        <x:v>10462</x:v>
      </x:c>
      <x:c r="W322" s="55" t="n">
        <x:v>7679</x:v>
      </x:c>
      <x:c r="X322" s="55" t="n">
        <x:v>2783</x:v>
      </x:c>
      <x:c r="Y322" s="55" t="n">
        <x:v>2492</x:v>
      </x:c>
      <x:c r="Z322" s="55" t="n">
        <x:v>3945</x:v>
      </x:c>
      <x:c r="AA322" s="55" t="n">
        <x:v>2860</x:v>
      </x:c>
      <x:c r="AB322" s="55" t="n">
        <x:v>557</x:v>
      </x:c>
      <x:c r="AC322" s="55" t="n">
        <x:v>8065</x:v>
      </x:c>
      <x:c r="AD322" s="55" t="n">
        <x:v>2568</x:v>
      </x:c>
      <x:c r="AE322" s="55" t="n">
        <x:v>10525</x:v>
      </x:c>
      <x:c r="AF322" s="55" t="n">
        <x:v>10462</x:v>
      </x:c>
      <x:c r="AG322" s="55" t="n">
        <x:v>63</x:v>
      </x:c>
      <x:c r="AH322" s="55" t="n">
        <x:v>525</x:v>
      </x:c>
      <x:c r="AI322" s="55" t="n">
        <x:v>9937</x:v>
      </x:c>
      <x:c r="AJ322" s="55" t="n">
        <x:v>316</x:v>
      </x:c>
      <x:c r="AK322" s="55" t="n">
        <x:v>1192</x:v>
      </x:c>
      <x:c r="AL322" s="55" t="n">
        <x:v>1385</x:v>
      </x:c>
      <x:c r="AM322" s="55" t="n">
        <x:v>4429</x:v>
      </x:c>
      <x:c r="AN322" s="55" t="n">
        <x:v>3127</x:v>
      </x:c>
      <x:c r="AO322" s="55" t="n">
        <x:v>13</x:v>
      </x:c>
      <x:c r="AP322" s="55" t="n">
        <x:v>2393</x:v>
      </x:c>
      <x:c r="AQ322" s="55" t="n">
        <x:v>937</x:v>
      </x:c>
    </x:row>
    <x:row r="323">
      <x:c r="A323" s="54" t="str">
        <x:v>T1_SHARED_CATCHMENT</x:v>
      </x:c>
      <x:c r="B323" s="54" t="n">
        <x:v>317</x:v>
      </x:c>
      <x:c r="C323" s="54" t="str">
        <x:v>NYC-V2-R01</x:v>
      </x:c>
      <x:c r="D323" s="54" t="str">
        <x:v>V2</x:v>
      </x:c>
      <x:c r="E323" s="54" t="str">
        <x:v>ADMITTED</x:v>
      </x:c>
      <x:c r="F323" s="55" t="n">
        <x:v>33009</x:v>
      </x:c>
      <x:c r="G323" s="55" t="n">
        <x:v>8674</x:v>
      </x:c>
      <x:c r="H323" s="55" t="n">
        <x:v>3260</x:v>
      </x:c>
      <x:c r="I323" s="55" t="n">
        <x:v>1314</x:v>
      </x:c>
      <x:c r="J323" s="55" t="n">
        <x:v>199</x:v>
      </x:c>
      <x:c r="K323" s="55" t="n">
        <x:v>33009</x:v>
      </x:c>
      <x:c r="L323" s="55" t="n">
        <x:v>6323</x:v>
      </x:c>
      <x:c r="M323" s="55" t="n">
        <x:v>1283</x:v>
      </x:c>
      <x:c r="N323" s="55" t="n">
        <x:v>3048</x:v>
      </x:c>
      <x:c r="O323" s="55" t="n">
        <x:v>1992</x:v>
      </x:c>
      <x:c r="P323" s="55" t="n">
        <x:v>1034</x:v>
      </x:c>
      <x:c r="Q323" s="55" t="n">
        <x:v>2854</x:v>
      </x:c>
      <x:c r="R323" s="55" t="n">
        <x:v>2620</x:v>
      </x:c>
      <x:c r="S323" s="55" t="n">
        <x:v>3451</x:v>
      </x:c>
      <x:c r="T323" s="55" t="n">
        <x:v>1287</x:v>
      </x:c>
      <x:c r="U323" s="55" t="n">
        <x:v>2212</x:v>
      </x:c>
      <x:c r="V323" s="55" t="n">
        <x:v>10588</x:v>
      </x:c>
      <x:c r="W323" s="55" t="n">
        <x:v>7579</x:v>
      </x:c>
      <x:c r="X323" s="55" t="n">
        <x:v>3009</x:v>
      </x:c>
      <x:c r="Y323" s="55" t="n">
        <x:v>2746</x:v>
      </x:c>
      <x:c r="Z323" s="55" t="n">
        <x:v>3997</x:v>
      </x:c>
      <x:c r="AA323" s="55" t="n">
        <x:v>3260</x:v>
      </x:c>
      <x:c r="AB323" s="55" t="n">
        <x:v>1333</x:v>
      </x:c>
      <x:c r="AC323" s="55" t="n">
        <x:v>8327</x:v>
      </x:c>
      <x:c r="AD323" s="55" t="n">
        <x:v>3172</x:v>
      </x:c>
      <x:c r="AE323" s="55" t="n">
        <x:v>10682</x:v>
      </x:c>
      <x:c r="AF323" s="55" t="n">
        <x:v>10588</x:v>
      </x:c>
      <x:c r="AG323" s="55" t="n">
        <x:v>94</x:v>
      </x:c>
      <x:c r="AH323" s="55" t="n">
        <x:v>333</x:v>
      </x:c>
      <x:c r="AI323" s="55" t="n">
        <x:v>10255</x:v>
      </x:c>
      <x:c r="AJ323" s="55" t="n">
        <x:v>530</x:v>
      </x:c>
      <x:c r="AK323" s="55" t="n">
        <x:v>766</x:v>
      </x:c>
      <x:c r="AL323" s="55" t="n">
        <x:v>1696</x:v>
      </x:c>
      <x:c r="AM323" s="55" t="n">
        <x:v>4822</x:v>
      </x:c>
      <x:c r="AN323" s="55" t="n">
        <x:v>2723</x:v>
      </x:c>
      <x:c r="AO323" s="55" t="n">
        <x:v>51</x:v>
      </x:c>
      <x:c r="AP323" s="55" t="n">
        <x:v>2116</x:v>
      </x:c>
      <x:c r="AQ323" s="55" t="n">
        <x:v>962</x:v>
      </x:c>
    </x:row>
    <x:row r="324">
      <x:c r="A324" s="54" t="str">
        <x:v>T1_SHARED_CATCHMENT</x:v>
      </x:c>
      <x:c r="B324" s="54" t="n">
        <x:v>318</x:v>
      </x:c>
      <x:c r="C324" s="54" t="str">
        <x:v>NYC-V2-R01</x:v>
      </x:c>
      <x:c r="D324" s="54" t="str">
        <x:v>V2</x:v>
      </x:c>
      <x:c r="E324" s="54" t="str">
        <x:v>ADMITTED</x:v>
      </x:c>
      <x:c r="F324" s="55" t="n">
        <x:v>29815</x:v>
      </x:c>
      <x:c r="G324" s="55" t="n">
        <x:v>7546</x:v>
      </x:c>
      <x:c r="H324" s="55" t="n">
        <x:v>3428</x:v>
      </x:c>
      <x:c r="I324" s="55" t="n">
        <x:v>595</x:v>
      </x:c>
      <x:c r="J324" s="55" t="n">
        <x:v>0</x:v>
      </x:c>
      <x:c r="K324" s="55" t="n">
        <x:v>29815</x:v>
      </x:c>
      <x:c r="L324" s="55" t="n">
        <x:v>5823</x:v>
      </x:c>
      <x:c r="M324" s="55" t="n">
        <x:v>820</x:v>
      </x:c>
      <x:c r="N324" s="55" t="n">
        <x:v>3066</x:v>
      </x:c>
      <x:c r="O324" s="55" t="n">
        <x:v>1937</x:v>
      </x:c>
      <x:c r="P324" s="55" t="n">
        <x:v>854</x:v>
      </x:c>
      <x:c r="Q324" s="55" t="n">
        <x:v>1958</x:v>
      </x:c>
      <x:c r="R324" s="55" t="n">
        <x:v>1704</x:v>
      </x:c>
      <x:c r="S324" s="55" t="n">
        <x:v>2396</x:v>
      </x:c>
      <x:c r="T324" s="55" t="n">
        <x:v>841</x:v>
      </x:c>
      <x:c r="U324" s="55" t="n">
        <x:v>2196</x:v>
      </x:c>
      <x:c r="V324" s="55" t="n">
        <x:v>10186</x:v>
      </x:c>
      <x:c r="W324" s="55" t="n">
        <x:v>7327</x:v>
      </x:c>
      <x:c r="X324" s="55" t="n">
        <x:v>2859</x:v>
      </x:c>
      <x:c r="Y324" s="55" t="n">
        <x:v>2391</x:v>
      </x:c>
      <x:c r="Z324" s="55" t="n">
        <x:v>3529</x:v>
      </x:c>
      <x:c r="AA324" s="55" t="n">
        <x:v>3428</x:v>
      </x:c>
      <x:c r="AB324" s="55" t="n">
        <x:v>941</x:v>
      </x:c>
      <x:c r="AC324" s="55" t="n">
        <x:v>8108</x:v>
      </x:c>
      <x:c r="AD324" s="55" t="n">
        <x:v>3086</x:v>
      </x:c>
      <x:c r="AE324" s="55" t="n">
        <x:v>10234</x:v>
      </x:c>
      <x:c r="AF324" s="55" t="n">
        <x:v>10186</x:v>
      </x:c>
      <x:c r="AG324" s="55" t="n">
        <x:v>48</x:v>
      </x:c>
      <x:c r="AH324" s="55" t="n">
        <x:v>308</x:v>
      </x:c>
      <x:c r="AI324" s="55" t="n">
        <x:v>9878</x:v>
      </x:c>
      <x:c r="AJ324" s="55" t="n">
        <x:v>388</x:v>
      </x:c>
      <x:c r="AK324" s="55" t="n">
        <x:v>707</x:v>
      </x:c>
      <x:c r="AL324" s="55" t="n">
        <x:v>1310</x:v>
      </x:c>
      <x:c r="AM324" s="55" t="n">
        <x:v>5254</x:v>
      </x:c>
      <x:c r="AN324" s="55" t="n">
        <x:v>2492</x:v>
      </x:c>
      <x:c r="AO324" s="55" t="n">
        <x:v>35</x:v>
      </x:c>
      <x:c r="AP324" s="55" t="n">
        <x:v>2402</x:v>
      </x:c>
      <x:c r="AQ324" s="55" t="n">
        <x:v>938</x:v>
      </x:c>
    </x:row>
    <x:row r="325">
      <x:c r="A325" s="54" t="str">
        <x:v>T1_SHARED_CATCHMENT</x:v>
      </x:c>
      <x:c r="B325" s="54" t="n">
        <x:v>319</x:v>
      </x:c>
      <x:c r="C325" s="54" t="str">
        <x:v>NYC-V2-R01</x:v>
      </x:c>
      <x:c r="D325" s="54" t="str">
        <x:v>V2</x:v>
      </x:c>
      <x:c r="E325" s="54" t="str">
        <x:v>ADMITTED</x:v>
      </x:c>
      <x:c r="F325" s="55" t="n">
        <x:v>31604</x:v>
      </x:c>
      <x:c r="G325" s="55" t="n">
        <x:v>6508</x:v>
      </x:c>
      <x:c r="H325" s="55" t="n">
        <x:v>3551</x:v>
      </x:c>
      <x:c r="I325" s="55" t="n">
        <x:v>1512</x:v>
      </x:c>
      <x:c r="J325" s="55" t="n">
        <x:v>277</x:v>
      </x:c>
      <x:c r="K325" s="55" t="n">
        <x:v>31604</x:v>
      </x:c>
      <x:c r="L325" s="55" t="n">
        <x:v>4442</x:v>
      </x:c>
      <x:c r="M325" s="55" t="n">
        <x:v>642</x:v>
      </x:c>
      <x:c r="N325" s="55" t="n">
        <x:v>2454</x:v>
      </x:c>
      <x:c r="O325" s="55" t="n">
        <x:v>1346</x:v>
      </x:c>
      <x:c r="P325" s="55" t="n">
        <x:v>481</x:v>
      </x:c>
      <x:c r="Q325" s="55" t="n">
        <x:v>2162</x:v>
      </x:c>
      <x:c r="R325" s="55" t="n">
        <x:v>1524</x:v>
      </x:c>
      <x:c r="S325" s="55" t="n">
        <x:v>2201</x:v>
      </x:c>
      <x:c r="T325" s="55" t="n">
        <x:v>1710</x:v>
      </x:c>
      <x:c r="U325" s="55" t="n">
        <x:v>1835</x:v>
      </x:c>
      <x:c r="V325" s="55" t="n">
        <x:v>10509</x:v>
      </x:c>
      <x:c r="W325" s="55" t="n">
        <x:v>7054</x:v>
      </x:c>
      <x:c r="X325" s="55" t="n">
        <x:v>3455</x:v>
      </x:c>
      <x:c r="Y325" s="55" t="n">
        <x:v>2992</x:v>
      </x:c>
      <x:c r="Z325" s="55" t="n">
        <x:v>3746</x:v>
      </x:c>
      <x:c r="AA325" s="55" t="n">
        <x:v>2894</x:v>
      </x:c>
      <x:c r="AB325" s="55" t="n">
        <x:v>951</x:v>
      </x:c>
      <x:c r="AC325" s="55" t="n">
        <x:v>7823</x:v>
      </x:c>
      <x:c r="AD325" s="55" t="n">
        <x:v>2505</x:v>
      </x:c>
      <x:c r="AE325" s="55" t="n">
        <x:v>10641</x:v>
      </x:c>
      <x:c r="AF325" s="55" t="n">
        <x:v>10509</x:v>
      </x:c>
      <x:c r="AG325" s="55" t="n">
        <x:v>132</x:v>
      </x:c>
      <x:c r="AH325" s="55" t="n">
        <x:v>403</x:v>
      </x:c>
      <x:c r="AI325" s="55" t="n">
        <x:v>10106</x:v>
      </x:c>
      <x:c r="AJ325" s="55" t="n">
        <x:v>380</x:v>
      </x:c>
      <x:c r="AK325" s="55" t="n">
        <x:v>813</x:v>
      </x:c>
      <x:c r="AL325" s="55" t="n">
        <x:v>1415</x:v>
      </x:c>
      <x:c r="AM325" s="55" t="n">
        <x:v>5301</x:v>
      </x:c>
      <x:c r="AN325" s="55" t="n">
        <x:v>2579</x:v>
      </x:c>
      <x:c r="AO325" s="55" t="n">
        <x:v>21</x:v>
      </x:c>
      <x:c r="AP325" s="55" t="n">
        <x:v>1806</x:v>
      </x:c>
      <x:c r="AQ325" s="55" t="n">
        <x:v>930</x:v>
      </x:c>
    </x:row>
    <x:row r="326">
      <x:c r="A326" s="54" t="str">
        <x:v>T1_SHARED_CATCHMENT</x:v>
      </x:c>
      <x:c r="B326" s="54" t="n">
        <x:v>320</x:v>
      </x:c>
      <x:c r="C326" s="54" t="str">
        <x:v>NYC-V2-R01</x:v>
      </x:c>
      <x:c r="D326" s="54" t="str">
        <x:v>V2</x:v>
      </x:c>
      <x:c r="E326" s="54" t="str">
        <x:v>ADMITTED</x:v>
      </x:c>
      <x:c r="F326" s="55" t="n">
        <x:v>31320</x:v>
      </x:c>
      <x:c r="G326" s="55" t="n">
        <x:v>7777</x:v>
      </x:c>
      <x:c r="H326" s="55" t="n">
        <x:v>3166</x:v>
      </x:c>
      <x:c r="I326" s="55" t="n">
        <x:v>1186</x:v>
      </x:c>
      <x:c r="J326" s="55" t="n">
        <x:v>94</x:v>
      </x:c>
      <x:c r="K326" s="55" t="n">
        <x:v>29025</x:v>
      </x:c>
      <x:c r="L326" s="55" t="n">
        <x:v>4873</x:v>
      </x:c>
      <x:c r="M326" s="55" t="n">
        <x:v>743</x:v>
      </x:c>
      <x:c r="N326" s="55" t="n">
        <x:v>2569</x:v>
      </x:c>
      <x:c r="O326" s="55" t="n">
        <x:v>1561</x:v>
      </x:c>
      <x:c r="P326" s="55" t="n">
        <x:v>755</x:v>
      </x:c>
      <x:c r="Q326" s="55" t="n">
        <x:v>2183</x:v>
      </x:c>
      <x:c r="R326" s="55" t="n">
        <x:v>2064</x:v>
      </x:c>
      <x:c r="S326" s="55" t="n">
        <x:v>2667</x:v>
      </x:c>
      <x:c r="T326" s="55" t="n">
        <x:v>988</x:v>
      </x:c>
      <x:c r="U326" s="55" t="n">
        <x:v>2460</x:v>
      </x:c>
      <x:c r="V326" s="55" t="n">
        <x:v>10361</x:v>
      </x:c>
      <x:c r="W326" s="55" t="n">
        <x:v>7401</x:v>
      </x:c>
      <x:c r="X326" s="55" t="n">
        <x:v>2960</x:v>
      </x:c>
      <x:c r="Y326" s="55" t="n">
        <x:v>2445</x:v>
      </x:c>
      <x:c r="Z326" s="55" t="n">
        <x:v>3445</x:v>
      </x:c>
      <x:c r="AA326" s="55" t="n">
        <x:v>2500</x:v>
      </x:c>
      <x:c r="AB326" s="55" t="n">
        <x:v>849</x:v>
      </x:c>
      <x:c r="AC326" s="55" t="n">
        <x:v>8284</x:v>
      </x:c>
      <x:c r="AD326" s="55" t="n">
        <x:v>2449</x:v>
      </x:c>
      <x:c r="AE326" s="55" t="n">
        <x:v>10477</x:v>
      </x:c>
      <x:c r="AF326" s="55" t="n">
        <x:v>10361</x:v>
      </x:c>
      <x:c r="AG326" s="55" t="n">
        <x:v>116</x:v>
      </x:c>
      <x:c r="AH326" s="55" t="n">
        <x:v>367</x:v>
      </x:c>
      <x:c r="AI326" s="55" t="n">
        <x:v>9994</x:v>
      </x:c>
      <x:c r="AJ326" s="55" t="n">
        <x:v>298</x:v>
      </x:c>
      <x:c r="AK326" s="55" t="n">
        <x:v>809</x:v>
      </x:c>
      <x:c r="AL326" s="55" t="n">
        <x:v>974</x:v>
      </x:c>
      <x:c r="AM326" s="55" t="n">
        <x:v>5361</x:v>
      </x:c>
      <x:c r="AN326" s="55" t="n">
        <x:v>2919</x:v>
      </x:c>
      <x:c r="AO326" s="55" t="n">
        <x:v>0</x:v>
      </x:c>
      <x:c r="AP326" s="55" t="n">
        <x:v>2697</x:v>
      </x:c>
      <x:c r="AQ326" s="55" t="n">
        <x:v>933</x:v>
      </x:c>
    </x:row>
    <x:row r="327">
      <x:c r="A327" s="54" t="str">
        <x:v>T1_SHARED_CATCHMENT</x:v>
      </x:c>
      <x:c r="B327" s="54" t="n">
        <x:v>321</x:v>
      </x:c>
      <x:c r="C327" s="54" t="str">
        <x:v>NYC-V2-R01</x:v>
      </x:c>
      <x:c r="D327" s="54" t="str">
        <x:v>V2</x:v>
      </x:c>
      <x:c r="E327" s="54" t="str">
        <x:v>ADMITTED</x:v>
      </x:c>
      <x:c r="F327" s="55" t="n">
        <x:v>32364</x:v>
      </x:c>
      <x:c r="G327" s="55" t="n">
        <x:v>7777</x:v>
      </x:c>
      <x:c r="H327" s="55" t="n">
        <x:v>3833</x:v>
      </x:c>
      <x:c r="I327" s="55" t="n">
        <x:v>1310</x:v>
      </x:c>
      <x:c r="J327" s="55" t="n">
        <x:v>345</x:v>
      </x:c>
      <x:c r="K327" s="55" t="n">
        <x:v>32364</x:v>
      </x:c>
      <x:c r="L327" s="55" t="n">
        <x:v>6563</x:v>
      </x:c>
      <x:c r="M327" s="55" t="n">
        <x:v>2253</x:v>
      </x:c>
      <x:c r="N327" s="55" t="n">
        <x:v>2515</x:v>
      </x:c>
      <x:c r="O327" s="55" t="n">
        <x:v>1795</x:v>
      </x:c>
      <x:c r="P327" s="55" t="n">
        <x:v>1431</x:v>
      </x:c>
      <x:c r="Q327" s="55" t="n">
        <x:v>2085</x:v>
      </x:c>
      <x:c r="R327" s="55" t="n">
        <x:v>2216</x:v>
      </x:c>
      <x:c r="S327" s="55" t="n">
        <x:v>2396</x:v>
      </x:c>
      <x:c r="T327" s="55" t="n">
        <x:v>1098</x:v>
      </x:c>
      <x:c r="U327" s="55" t="n">
        <x:v>2069</x:v>
      </x:c>
      <x:c r="V327" s="55" t="n">
        <x:v>10778</x:v>
      </x:c>
      <x:c r="W327" s="55" t="n">
        <x:v>7679</x:v>
      </x:c>
      <x:c r="X327" s="55" t="n">
        <x:v>3099</x:v>
      </x:c>
      <x:c r="Y327" s="55" t="n">
        <x:v>2885</x:v>
      </x:c>
      <x:c r="Z327" s="55" t="n">
        <x:v>3928</x:v>
      </x:c>
      <x:c r="AA327" s="55" t="n">
        <x:v>3209</x:v>
      </x:c>
      <x:c r="AB327" s="55" t="n">
        <x:v>1396</x:v>
      </x:c>
      <x:c r="AC327" s="55" t="n">
        <x:v>8351</x:v>
      </x:c>
      <x:c r="AD327" s="55" t="n">
        <x:v>3284</x:v>
      </x:c>
      <x:c r="AE327" s="55" t="n">
        <x:v>10840</x:v>
      </x:c>
      <x:c r="AF327" s="55" t="n">
        <x:v>10778</x:v>
      </x:c>
      <x:c r="AG327" s="55" t="n">
        <x:v>62</x:v>
      </x:c>
      <x:c r="AH327" s="55" t="n">
        <x:v>330</x:v>
      </x:c>
      <x:c r="AI327" s="55" t="n">
        <x:v>10448</x:v>
      </x:c>
      <x:c r="AJ327" s="55" t="n">
        <x:v>279</x:v>
      </x:c>
      <x:c r="AK327" s="55" t="n">
        <x:v>1224</x:v>
      </x:c>
      <x:c r="AL327" s="55" t="n">
        <x:v>1707</x:v>
      </x:c>
      <x:c r="AM327" s="55" t="n">
        <x:v>4824</x:v>
      </x:c>
      <x:c r="AN327" s="55" t="n">
        <x:v>2690</x:v>
      </x:c>
      <x:c r="AO327" s="55" t="n">
        <x:v>54</x:v>
      </x:c>
      <x:c r="AP327" s="55" t="n">
        <x:v>2983</x:v>
      </x:c>
      <x:c r="AQ327" s="55" t="n">
        <x:v>921</x:v>
      </x:c>
    </x:row>
    <x:row r="328">
      <x:c r="A328" s="54" t="str">
        <x:v>T1_SHARED_CATCHMENT</x:v>
      </x:c>
      <x:c r="B328" s="54" t="n">
        <x:v>322</x:v>
      </x:c>
      <x:c r="C328" s="54" t="str">
        <x:v>NYC-V2-R01</x:v>
      </x:c>
      <x:c r="D328" s="54" t="str">
        <x:v>V2</x:v>
      </x:c>
      <x:c r="E328" s="54" t="str">
        <x:v>ADMITTED</x:v>
      </x:c>
      <x:c r="F328" s="55" t="n">
        <x:v>30804</x:v>
      </x:c>
      <x:c r="G328" s="55" t="n">
        <x:v>7099</x:v>
      </x:c>
      <x:c r="H328" s="55" t="n">
        <x:v>3025</x:v>
      </x:c>
      <x:c r="I328" s="55" t="n">
        <x:v>1217</x:v>
      </x:c>
      <x:c r="J328" s="55" t="n">
        <x:v>145</x:v>
      </x:c>
      <x:c r="K328" s="55" t="n">
        <x:v>30804</x:v>
      </x:c>
      <x:c r="L328" s="55" t="n">
        <x:v>6746</x:v>
      </x:c>
      <x:c r="M328" s="55" t="n">
        <x:v>2191</x:v>
      </x:c>
      <x:c r="N328" s="55" t="n">
        <x:v>2688</x:v>
      </x:c>
      <x:c r="O328" s="55" t="n">
        <x:v>1867</x:v>
      </x:c>
      <x:c r="P328" s="55" t="n">
        <x:v>826</x:v>
      </x:c>
      <x:c r="Q328" s="55" t="n">
        <x:v>3605</x:v>
      </x:c>
      <x:c r="R328" s="55" t="n">
        <x:v>2534</x:v>
      </x:c>
      <x:c r="S328" s="55" t="n">
        <x:v>2573</x:v>
      </x:c>
      <x:c r="T328" s="55" t="n">
        <x:v>1223</x:v>
      </x:c>
      <x:c r="U328" s="55" t="n">
        <x:v>1874</x:v>
      </x:c>
      <x:c r="V328" s="55" t="n">
        <x:v>11453</x:v>
      </x:c>
      <x:c r="W328" s="55" t="n">
        <x:v>8528</x:v>
      </x:c>
      <x:c r="X328" s="55" t="n">
        <x:v>2925</x:v>
      </x:c>
      <x:c r="Y328" s="55" t="n">
        <x:v>2657</x:v>
      </x:c>
      <x:c r="Z328" s="55" t="n">
        <x:v>3533</x:v>
      </x:c>
      <x:c r="AA328" s="55" t="n">
        <x:v>2869</x:v>
      </x:c>
      <x:c r="AB328" s="55" t="n">
        <x:v>1086</x:v>
      </x:c>
      <x:c r="AC328" s="55" t="n">
        <x:v>8230</x:v>
      </x:c>
      <x:c r="AD328" s="55" t="n">
        <x:v>3306</x:v>
      </x:c>
      <x:c r="AE328" s="55" t="n">
        <x:v>11523</x:v>
      </x:c>
      <x:c r="AF328" s="55" t="n">
        <x:v>11453</x:v>
      </x:c>
      <x:c r="AG328" s="55" t="n">
        <x:v>70</x:v>
      </x:c>
      <x:c r="AH328" s="55" t="n">
        <x:v>447</x:v>
      </x:c>
      <x:c r="AI328" s="55" t="n">
        <x:v>11006</x:v>
      </x:c>
      <x:c r="AJ328" s="55" t="n">
        <x:v>277</x:v>
      </x:c>
      <x:c r="AK328" s="55" t="n">
        <x:v>1135</x:v>
      </x:c>
      <x:c r="AL328" s="55" t="n">
        <x:v>1874</x:v>
      </x:c>
      <x:c r="AM328" s="55" t="n">
        <x:v>5252</x:v>
      </x:c>
      <x:c r="AN328" s="55" t="n">
        <x:v>2884</x:v>
      </x:c>
      <x:c r="AO328" s="55" t="n">
        <x:v>31</x:v>
      </x:c>
      <x:c r="AP328" s="55" t="n">
        <x:v>2745</x:v>
      </x:c>
      <x:c r="AQ328" s="55" t="n">
        <x:v>964</x:v>
      </x:c>
    </x:row>
    <x:row r="329">
      <x:c r="A329" s="54" t="str">
        <x:v>T1_SHARED_CATCHMENT</x:v>
      </x:c>
      <x:c r="B329" s="54" t="n">
        <x:v>323</x:v>
      </x:c>
      <x:c r="C329" s="54" t="str">
        <x:v>NYC-V2-R01</x:v>
      </x:c>
      <x:c r="D329" s="54" t="str">
        <x:v>V2</x:v>
      </x:c>
      <x:c r="E329" s="54" t="str">
        <x:v>ADMITTED</x:v>
      </x:c>
      <x:c r="F329" s="55" t="n">
        <x:v>32282</x:v>
      </x:c>
      <x:c r="G329" s="55" t="n">
        <x:v>6358</x:v>
      </x:c>
      <x:c r="H329" s="55" t="n">
        <x:v>4002</x:v>
      </x:c>
      <x:c r="I329" s="55" t="n">
        <x:v>1566</x:v>
      </x:c>
      <x:c r="J329" s="55" t="n">
        <x:v>179</x:v>
      </x:c>
      <x:c r="K329" s="55" t="n">
        <x:v>32282</x:v>
      </x:c>
      <x:c r="L329" s="55" t="n">
        <x:v>5931</x:v>
      </x:c>
      <x:c r="M329" s="55" t="n">
        <x:v>1357</x:v>
      </x:c>
      <x:c r="N329" s="55" t="n">
        <x:v>2835</x:v>
      </x:c>
      <x:c r="O329" s="55" t="n">
        <x:v>1739</x:v>
      </x:c>
      <x:c r="P329" s="55" t="n">
        <x:v>826</x:v>
      </x:c>
      <x:c r="Q329" s="55" t="n">
        <x:v>1670</x:v>
      </x:c>
      <x:c r="R329" s="55" t="n">
        <x:v>1774</x:v>
      </x:c>
      <x:c r="S329" s="55" t="n">
        <x:v>2935</x:v>
      </x:c>
      <x:c r="T329" s="55" t="n">
        <x:v>1064</x:v>
      </x:c>
      <x:c r="U329" s="55" t="n">
        <x:v>2168</x:v>
      </x:c>
      <x:c r="V329" s="55" t="n">
        <x:v>10176</x:v>
      </x:c>
      <x:c r="W329" s="55" t="n">
        <x:v>7194</x:v>
      </x:c>
      <x:c r="X329" s="55" t="n">
        <x:v>2982</x:v>
      </x:c>
      <x:c r="Y329" s="55" t="n">
        <x:v>2528</x:v>
      </x:c>
      <x:c r="Z329" s="55" t="n">
        <x:v>3596</x:v>
      </x:c>
      <x:c r="AA329" s="55" t="n">
        <x:v>2759</x:v>
      </x:c>
      <x:c r="AB329" s="55" t="n">
        <x:v>939</x:v>
      </x:c>
      <x:c r="AC329" s="55" t="n">
        <x:v>7602</x:v>
      </x:c>
      <x:c r="AD329" s="55" t="n">
        <x:v>3075</x:v>
      </x:c>
      <x:c r="AE329" s="55" t="n">
        <x:v>10296</x:v>
      </x:c>
      <x:c r="AF329" s="55" t="n">
        <x:v>10176</x:v>
      </x:c>
      <x:c r="AG329" s="55" t="n">
        <x:v>120</x:v>
      </x:c>
      <x:c r="AH329" s="55" t="n">
        <x:v>403</x:v>
      </x:c>
      <x:c r="AI329" s="55" t="n">
        <x:v>9773</x:v>
      </x:c>
      <x:c r="AJ329" s="55" t="n">
        <x:v>396</x:v>
      </x:c>
      <x:c r="AK329" s="55" t="n">
        <x:v>1081</x:v>
      </x:c>
      <x:c r="AL329" s="55" t="n">
        <x:v>1846</x:v>
      </x:c>
      <x:c r="AM329" s="55" t="n">
        <x:v>4771</x:v>
      </x:c>
      <x:c r="AN329" s="55" t="n">
        <x:v>2082</x:v>
      </x:c>
      <x:c r="AO329" s="55" t="n">
        <x:v>0</x:v>
      </x:c>
      <x:c r="AP329" s="55" t="n">
        <x:v>2273</x:v>
      </x:c>
      <x:c r="AQ329" s="55" t="n">
        <x:v>924</x:v>
      </x:c>
    </x:row>
    <x:row r="330">
      <x:c r="A330" s="54" t="str">
        <x:v>T1_SHARED_CATCHMENT</x:v>
      </x:c>
      <x:c r="B330" s="54" t="n">
        <x:v>324</x:v>
      </x:c>
      <x:c r="C330" s="54" t="str">
        <x:v>NYC-V2-R01</x:v>
      </x:c>
      <x:c r="D330" s="54" t="str">
        <x:v>V2</x:v>
      </x:c>
      <x:c r="E330" s="54" t="str">
        <x:v>ADMITTED</x:v>
      </x:c>
      <x:c r="F330" s="55" t="n">
        <x:v>29976</x:v>
      </x:c>
      <x:c r="G330" s="55" t="n">
        <x:v>7068</x:v>
      </x:c>
      <x:c r="H330" s="55" t="n">
        <x:v>2999</x:v>
      </x:c>
      <x:c r="I330" s="55" t="n">
        <x:v>1174</x:v>
      </x:c>
      <x:c r="J330" s="55" t="n">
        <x:v>151</x:v>
      </x:c>
      <x:c r="K330" s="55" t="n">
        <x:v>29976</x:v>
      </x:c>
      <x:c r="L330" s="55" t="n">
        <x:v>5052</x:v>
      </x:c>
      <x:c r="M330" s="55" t="n">
        <x:v>922</x:v>
      </x:c>
      <x:c r="N330" s="55" t="n">
        <x:v>2507</x:v>
      </x:c>
      <x:c r="O330" s="55" t="n">
        <x:v>1623</x:v>
      </x:c>
      <x:c r="P330" s="55" t="n">
        <x:v>719</x:v>
      </x:c>
      <x:c r="Q330" s="55" t="n">
        <x:v>1896</x:v>
      </x:c>
      <x:c r="R330" s="55" t="n">
        <x:v>1222</x:v>
      </x:c>
      <x:c r="S330" s="55" t="n">
        <x:v>2071</x:v>
      </x:c>
      <x:c r="T330" s="55" t="n">
        <x:v>1013</x:v>
      </x:c>
      <x:c r="U330" s="55" t="n">
        <x:v>1684</x:v>
      </x:c>
      <x:c r="V330" s="55" t="n">
        <x:v>9623</x:v>
      </x:c>
      <x:c r="W330" s="55" t="n">
        <x:v>6604</x:v>
      </x:c>
      <x:c r="X330" s="55" t="n">
        <x:v>3019</x:v>
      </x:c>
      <x:c r="Y330" s="55" t="n">
        <x:v>2481</x:v>
      </x:c>
      <x:c r="Z330" s="55" t="n">
        <x:v>3546</x:v>
      </x:c>
      <x:c r="AA330" s="55" t="n">
        <x:v>2999</x:v>
      </x:c>
      <x:c r="AB330" s="55" t="n">
        <x:v>1223</x:v>
      </x:c>
      <x:c r="AC330" s="55" t="n">
        <x:v>7988</x:v>
      </x:c>
      <x:c r="AD330" s="55" t="n">
        <x:v>3032</x:v>
      </x:c>
      <x:c r="AE330" s="55" t="n">
        <x:v>9644</x:v>
      </x:c>
      <x:c r="AF330" s="55" t="n">
        <x:v>9623</x:v>
      </x:c>
      <x:c r="AG330" s="55" t="n">
        <x:v>21</x:v>
      </x:c>
      <x:c r="AH330" s="55" t="n">
        <x:v>428</x:v>
      </x:c>
      <x:c r="AI330" s="55" t="n">
        <x:v>9195</x:v>
      </x:c>
      <x:c r="AJ330" s="55" t="n">
        <x:v>542</x:v>
      </x:c>
      <x:c r="AK330" s="55" t="n">
        <x:v>727</x:v>
      </x:c>
      <x:c r="AL330" s="55" t="n">
        <x:v>1597</x:v>
      </x:c>
      <x:c r="AM330" s="55" t="n">
        <x:v>4195</x:v>
      </x:c>
      <x:c r="AN330" s="55" t="n">
        <x:v>2562</x:v>
      </x:c>
      <x:c r="AO330" s="55" t="n">
        <x:v>0</x:v>
      </x:c>
      <x:c r="AP330" s="55" t="n">
        <x:v>1868</x:v>
      </x:c>
      <x:c r="AQ330" s="55" t="n">
        <x:v>958</x:v>
      </x:c>
    </x:row>
    <x:row r="331">
      <x:c r="A331" s="54" t="str">
        <x:v>T1_SHARED_CATCHMENT</x:v>
      </x:c>
      <x:c r="B331" s="54" t="n">
        <x:v>325</x:v>
      </x:c>
      <x:c r="C331" s="54" t="str">
        <x:v>NYC-V2-R01</x:v>
      </x:c>
      <x:c r="D331" s="54" t="str">
        <x:v>V2</x:v>
      </x:c>
      <x:c r="E331" s="54" t="str">
        <x:v>ADMITTED</x:v>
      </x:c>
      <x:c r="F331" s="55" t="n">
        <x:v>30142</x:v>
      </x:c>
      <x:c r="G331" s="55" t="n">
        <x:v>5694</x:v>
      </x:c>
      <x:c r="H331" s="55" t="n">
        <x:v>3257</x:v>
      </x:c>
      <x:c r="I331" s="55" t="n">
        <x:v>1616</x:v>
      </x:c>
      <x:c r="J331" s="55" t="n">
        <x:v>318</x:v>
      </x:c>
      <x:c r="K331" s="55" t="n">
        <x:v>30142</x:v>
      </x:c>
      <x:c r="L331" s="55" t="n">
        <x:v>4687</x:v>
      </x:c>
      <x:c r="M331" s="55" t="n">
        <x:v>321</x:v>
      </x:c>
      <x:c r="N331" s="55" t="n">
        <x:v>2773</x:v>
      </x:c>
      <x:c r="O331" s="55" t="n">
        <x:v>1593</x:v>
      </x:c>
      <x:c r="P331" s="55" t="n">
        <x:v>588</x:v>
      </x:c>
      <x:c r="Q331" s="55" t="n">
        <x:v>1623</x:v>
      </x:c>
      <x:c r="R331" s="55" t="n">
        <x:v>1678</x:v>
      </x:c>
      <x:c r="S331" s="55" t="n">
        <x:v>2472</x:v>
      </x:c>
      <x:c r="T331" s="55" t="n">
        <x:v>1512</x:v>
      </x:c>
      <x:c r="U331" s="55" t="n">
        <x:v>1812</x:v>
      </x:c>
      <x:c r="V331" s="55" t="n">
        <x:v>10032</x:v>
      </x:c>
      <x:c r="W331" s="55" t="n">
        <x:v>7343</x:v>
      </x:c>
      <x:c r="X331" s="55" t="n">
        <x:v>2689</x:v>
      </x:c>
      <x:c r="Y331" s="55" t="n">
        <x:v>2261</x:v>
      </x:c>
      <x:c r="Z331" s="55" t="n">
        <x:v>3561</x:v>
      </x:c>
      <x:c r="AA331" s="55" t="n">
        <x:v>2914</x:v>
      </x:c>
      <x:c r="AB331" s="55" t="n">
        <x:v>841</x:v>
      </x:c>
      <x:c r="AC331" s="55" t="n">
        <x:v>6646</x:v>
      </x:c>
      <x:c r="AD331" s="55" t="n">
        <x:v>2464</x:v>
      </x:c>
      <x:c r="AE331" s="55" t="n">
        <x:v>10054</x:v>
      </x:c>
      <x:c r="AF331" s="55" t="n">
        <x:v>10032</x:v>
      </x:c>
      <x:c r="AG331" s="55" t="n">
        <x:v>22</x:v>
      </x:c>
      <x:c r="AH331" s="55" t="n">
        <x:v>190</x:v>
      </x:c>
      <x:c r="AI331" s="55" t="n">
        <x:v>9842</x:v>
      </x:c>
      <x:c r="AJ331" s="55" t="n">
        <x:v>295</x:v>
      </x:c>
      <x:c r="AK331" s="55" t="n">
        <x:v>981</x:v>
      </x:c>
      <x:c r="AL331" s="55" t="n">
        <x:v>1642</x:v>
      </x:c>
      <x:c r="AM331" s="55" t="n">
        <x:v>4746</x:v>
      </x:c>
      <x:c r="AN331" s="55" t="n">
        <x:v>2368</x:v>
      </x:c>
      <x:c r="AO331" s="55" t="n">
        <x:v>0</x:v>
      </x:c>
      <x:c r="AP331" s="55" t="n">
        <x:v>2495</x:v>
      </x:c>
      <x:c r="AQ331" s="55" t="n">
        <x:v>959</x:v>
      </x:c>
    </x:row>
    <x:row r="332">
      <x:c r="A332" s="54" t="str">
        <x:v>T1_SHARED_CATCHMENT</x:v>
      </x:c>
      <x:c r="B332" s="54" t="n">
        <x:v>326</x:v>
      </x:c>
      <x:c r="C332" s="54" t="str">
        <x:v>NYC-V2-R01</x:v>
      </x:c>
      <x:c r="D332" s="54" t="str">
        <x:v>V2</x:v>
      </x:c>
      <x:c r="E332" s="54" t="str">
        <x:v>ADMITTED</x:v>
      </x:c>
      <x:c r="F332" s="55" t="n">
        <x:v>32828</x:v>
      </x:c>
      <x:c r="G332" s="55" t="n">
        <x:v>8414</x:v>
      </x:c>
      <x:c r="H332" s="55" t="n">
        <x:v>3402</x:v>
      </x:c>
      <x:c r="I332" s="55" t="n">
        <x:v>1252</x:v>
      </x:c>
      <x:c r="J332" s="55" t="n">
        <x:v>297</x:v>
      </x:c>
      <x:c r="K332" s="55" t="n">
        <x:v>30705</x:v>
      </x:c>
      <x:c r="L332" s="55" t="n">
        <x:v>5647</x:v>
      </x:c>
      <x:c r="M332" s="55" t="n">
        <x:v>1531</x:v>
      </x:c>
      <x:c r="N332" s="55" t="n">
        <x:v>2220</x:v>
      </x:c>
      <x:c r="O332" s="55" t="n">
        <x:v>1896</x:v>
      </x:c>
      <x:c r="P332" s="55" t="n">
        <x:v>674</x:v>
      </x:c>
      <x:c r="Q332" s="55" t="n">
        <x:v>2014</x:v>
      </x:c>
      <x:c r="R332" s="55" t="n">
        <x:v>2095</x:v>
      </x:c>
      <x:c r="S332" s="55" t="n">
        <x:v>2519</x:v>
      </x:c>
      <x:c r="T332" s="55" t="n">
        <x:v>1341</x:v>
      </x:c>
      <x:c r="U332" s="55" t="n">
        <x:v>1558</x:v>
      </x:c>
      <x:c r="V332" s="55" t="n">
        <x:v>10024</x:v>
      </x:c>
      <x:c r="W332" s="55" t="n">
        <x:v>6612</x:v>
      </x:c>
      <x:c r="X332" s="55" t="n">
        <x:v>3412</x:v>
      </x:c>
      <x:c r="Y332" s="55" t="n">
        <x:v>2916</x:v>
      </x:c>
      <x:c r="Z332" s="55" t="n">
        <x:v>3734</x:v>
      </x:c>
      <x:c r="AA332" s="55" t="n">
        <x:v>3402</x:v>
      </x:c>
      <x:c r="AB332" s="55" t="n">
        <x:v>1101</x:v>
      </x:c>
      <x:c r="AC332" s="55" t="n">
        <x:v>8501</x:v>
      </x:c>
      <x:c r="AD332" s="55" t="n">
        <x:v>2884</x:v>
      </x:c>
      <x:c r="AE332" s="55" t="n">
        <x:v>10162</x:v>
      </x:c>
      <x:c r="AF332" s="55" t="n">
        <x:v>10024</x:v>
      </x:c>
      <x:c r="AG332" s="55" t="n">
        <x:v>138</x:v>
      </x:c>
      <x:c r="AH332" s="55" t="n">
        <x:v>293</x:v>
      </x:c>
      <x:c r="AI332" s="55" t="n">
        <x:v>9731</x:v>
      </x:c>
      <x:c r="AJ332" s="55" t="n">
        <x:v>263</x:v>
      </x:c>
      <x:c r="AK332" s="55" t="n">
        <x:v>1170</x:v>
      </x:c>
      <x:c r="AL332" s="55" t="n">
        <x:v>1580</x:v>
      </x:c>
      <x:c r="AM332" s="55" t="n">
        <x:v>4886</x:v>
      </x:c>
      <x:c r="AN332" s="55" t="n">
        <x:v>2107</x:v>
      </x:c>
      <x:c r="AO332" s="55" t="n">
        <x:v>18</x:v>
      </x:c>
      <x:c r="AP332" s="55" t="n">
        <x:v>2662</x:v>
      </x:c>
      <x:c r="AQ332" s="55" t="n">
        <x:v>970</x:v>
      </x:c>
    </x:row>
    <x:row r="333">
      <x:c r="A333" s="54" t="str">
        <x:v>T1_SHARED_CATCHMENT</x:v>
      </x:c>
      <x:c r="B333" s="54" t="n">
        <x:v>327</x:v>
      </x:c>
      <x:c r="C333" s="54" t="str">
        <x:v>NYC-V2-R01</x:v>
      </x:c>
      <x:c r="D333" s="54" t="str">
        <x:v>V2</x:v>
      </x:c>
      <x:c r="E333" s="54" t="str">
        <x:v>ADMITTED</x:v>
      </x:c>
      <x:c r="F333" s="55" t="n">
        <x:v>33719</x:v>
      </x:c>
      <x:c r="G333" s="55" t="n">
        <x:v>8109</x:v>
      </x:c>
      <x:c r="H333" s="55" t="n">
        <x:v>3175</x:v>
      </x:c>
      <x:c r="I333" s="55" t="n">
        <x:v>1519</x:v>
      </x:c>
      <x:c r="J333" s="55" t="n">
        <x:v>241</x:v>
      </x:c>
      <x:c r="K333" s="55" t="n">
        <x:v>33719</x:v>
      </x:c>
      <x:c r="L333" s="55" t="n">
        <x:v>5461</x:v>
      </x:c>
      <x:c r="M333" s="55" t="n">
        <x:v>1088</x:v>
      </x:c>
      <x:c r="N333" s="55" t="n">
        <x:v>2870</x:v>
      </x:c>
      <x:c r="O333" s="55" t="n">
        <x:v>1503</x:v>
      </x:c>
      <x:c r="P333" s="55" t="n">
        <x:v>925</x:v>
      </x:c>
      <x:c r="Q333" s="55" t="n">
        <x:v>3174</x:v>
      </x:c>
      <x:c r="R333" s="55" t="n">
        <x:v>1874</x:v>
      </x:c>
      <x:c r="S333" s="55" t="n">
        <x:v>2330</x:v>
      </x:c>
      <x:c r="T333" s="55" t="n">
        <x:v>1231</x:v>
      </x:c>
      <x:c r="U333" s="55" t="n">
        <x:v>2454</x:v>
      </x:c>
      <x:c r="V333" s="55" t="n">
        <x:v>10877</x:v>
      </x:c>
      <x:c r="W333" s="55" t="n">
        <x:v>7708</x:v>
      </x:c>
      <x:c r="X333" s="55" t="n">
        <x:v>3169</x:v>
      </x:c>
      <x:c r="Y333" s="55" t="n">
        <x:v>3075</x:v>
      </x:c>
      <x:c r="Z333" s="55" t="n">
        <x:v>3786</x:v>
      </x:c>
      <x:c r="AA333" s="55" t="n">
        <x:v>2919</x:v>
      </x:c>
      <x:c r="AB333" s="55" t="n">
        <x:v>847</x:v>
      </x:c>
      <x:c r="AC333" s="55" t="n">
        <x:v>8675</x:v>
      </x:c>
      <x:c r="AD333" s="55" t="n">
        <x:v>2932</x:v>
      </x:c>
      <x:c r="AE333" s="55" t="n">
        <x:v>10930</x:v>
      </x:c>
      <x:c r="AF333" s="55" t="n">
        <x:v>10877</x:v>
      </x:c>
      <x:c r="AG333" s="55" t="n">
        <x:v>53</x:v>
      </x:c>
      <x:c r="AH333" s="55" t="n">
        <x:v>541</x:v>
      </x:c>
      <x:c r="AI333" s="55" t="n">
        <x:v>10336</x:v>
      </x:c>
      <x:c r="AJ333" s="55" t="n">
        <x:v>260</x:v>
      </x:c>
      <x:c r="AK333" s="55" t="n">
        <x:v>731</x:v>
      </x:c>
      <x:c r="AL333" s="55" t="n">
        <x:v>1882</x:v>
      </x:c>
      <x:c r="AM333" s="55" t="n">
        <x:v>5326</x:v>
      </x:c>
      <x:c r="AN333" s="55" t="n">
        <x:v>2678</x:v>
      </x:c>
      <x:c r="AO333" s="55" t="n">
        <x:v>0</x:v>
      </x:c>
      <x:c r="AP333" s="55" t="n">
        <x:v>2775</x:v>
      </x:c>
      <x:c r="AQ333" s="55" t="n">
        <x:v>958</x:v>
      </x:c>
    </x:row>
    <x:row r="334">
      <x:c r="A334" s="54" t="str">
        <x:v>T1_SHARED_CATCHMENT</x:v>
      </x:c>
      <x:c r="B334" s="54" t="n">
        <x:v>328</x:v>
      </x:c>
      <x:c r="C334" s="54" t="str">
        <x:v>NYC-V2-R01</x:v>
      </x:c>
      <x:c r="D334" s="54" t="str">
        <x:v>V2</x:v>
      </x:c>
      <x:c r="E334" s="54" t="str">
        <x:v>ADMITTED</x:v>
      </x:c>
      <x:c r="F334" s="55" t="n">
        <x:v>30375</x:v>
      </x:c>
      <x:c r="G334" s="55" t="n">
        <x:v>7749</x:v>
      </x:c>
      <x:c r="H334" s="55" t="n">
        <x:v>3258</x:v>
      </x:c>
      <x:c r="I334" s="55" t="n">
        <x:v>1299</x:v>
      </x:c>
      <x:c r="J334" s="55" t="n">
        <x:v>202</x:v>
      </x:c>
      <x:c r="K334" s="55" t="n">
        <x:v>28915</x:v>
      </x:c>
      <x:c r="L334" s="55" t="n">
        <x:v>5014</x:v>
      </x:c>
      <x:c r="M334" s="55" t="n">
        <x:v>1456</x:v>
      </x:c>
      <x:c r="N334" s="55" t="n">
        <x:v>1949</x:v>
      </x:c>
      <x:c r="O334" s="55" t="n">
        <x:v>1609</x:v>
      </x:c>
      <x:c r="P334" s="55" t="n">
        <x:v>486</x:v>
      </x:c>
      <x:c r="Q334" s="55" t="n">
        <x:v>2271</x:v>
      </x:c>
      <x:c r="R334" s="55" t="n">
        <x:v>2216</x:v>
      </x:c>
      <x:c r="S334" s="55" t="n">
        <x:v>2787</x:v>
      </x:c>
      <x:c r="T334" s="55" t="n">
        <x:v>1412</x:v>
      </x:c>
      <x:c r="U334" s="55" t="n">
        <x:v>1543</x:v>
      </x:c>
      <x:c r="V334" s="55" t="n">
        <x:v>10664</x:v>
      </x:c>
      <x:c r="W334" s="55" t="n">
        <x:v>7479</x:v>
      </x:c>
      <x:c r="X334" s="55" t="n">
        <x:v>3185</x:v>
      </x:c>
      <x:c r="Y334" s="55" t="n">
        <x:v>2826</x:v>
      </x:c>
      <x:c r="Z334" s="55" t="n">
        <x:v>4027</x:v>
      </x:c>
      <x:c r="AA334" s="55" t="n">
        <x:v>3077</x:v>
      </x:c>
      <x:c r="AB334" s="55" t="n">
        <x:v>734</x:v>
      </x:c>
      <x:c r="AC334" s="55" t="n">
        <x:v>7617</x:v>
      </x:c>
      <x:c r="AD334" s="55" t="n">
        <x:v>2427</x:v>
      </x:c>
      <x:c r="AE334" s="55" t="n">
        <x:v>10717</x:v>
      </x:c>
      <x:c r="AF334" s="55" t="n">
        <x:v>10664</x:v>
      </x:c>
      <x:c r="AG334" s="55" t="n">
        <x:v>53</x:v>
      </x:c>
      <x:c r="AH334" s="55" t="n">
        <x:v>148</x:v>
      </x:c>
      <x:c r="AI334" s="55" t="n">
        <x:v>10516</x:v>
      </x:c>
      <x:c r="AJ334" s="55" t="n">
        <x:v>502</x:v>
      </x:c>
      <x:c r="AK334" s="55" t="n">
        <x:v>976</x:v>
      </x:c>
      <x:c r="AL334" s="55" t="n">
        <x:v>1840</x:v>
      </x:c>
      <x:c r="AM334" s="55" t="n">
        <x:v>4740</x:v>
      </x:c>
      <x:c r="AN334" s="55" t="n">
        <x:v>2606</x:v>
      </x:c>
      <x:c r="AO334" s="55" t="n">
        <x:v>0</x:v>
      </x:c>
      <x:c r="AP334" s="55" t="n">
        <x:v>2367</x:v>
      </x:c>
      <x:c r="AQ334" s="55" t="n">
        <x:v>1030</x:v>
      </x:c>
    </x:row>
    <x:row r="335">
      <x:c r="A335" s="54" t="str">
        <x:v>T1_SHARED_CATCHMENT</x:v>
      </x:c>
      <x:c r="B335" s="54" t="n">
        <x:v>329</x:v>
      </x:c>
      <x:c r="C335" s="54" t="str">
        <x:v>NYC-V2-R01</x:v>
      </x:c>
      <x:c r="D335" s="54" t="str">
        <x:v>V2</x:v>
      </x:c>
      <x:c r="E335" s="54" t="str">
        <x:v>ADMITTED</x:v>
      </x:c>
      <x:c r="F335" s="55" t="n">
        <x:v>31701</x:v>
      </x:c>
      <x:c r="G335" s="55" t="n">
        <x:v>9053</x:v>
      </x:c>
      <x:c r="H335" s="55" t="n">
        <x:v>3452</x:v>
      </x:c>
      <x:c r="I335" s="55" t="n">
        <x:v>1024</x:v>
      </x:c>
      <x:c r="J335" s="55" t="n">
        <x:v>156</x:v>
      </x:c>
      <x:c r="K335" s="55" t="n">
        <x:v>29758</x:v>
      </x:c>
      <x:c r="L335" s="55" t="n">
        <x:v>6843</x:v>
      </x:c>
      <x:c r="M335" s="55" t="n">
        <x:v>1776</x:v>
      </x:c>
      <x:c r="N335" s="55" t="n">
        <x:v>2911</x:v>
      </x:c>
      <x:c r="O335" s="55" t="n">
        <x:v>2156</x:v>
      </x:c>
      <x:c r="P335" s="55" t="n">
        <x:v>936</x:v>
      </x:c>
      <x:c r="Q335" s="55" t="n">
        <x:v>2402</x:v>
      </x:c>
      <x:c r="R335" s="55" t="n">
        <x:v>1635</x:v>
      </x:c>
      <x:c r="S335" s="55" t="n">
        <x:v>3206</x:v>
      </x:c>
      <x:c r="T335" s="55" t="n">
        <x:v>1404</x:v>
      </x:c>
      <x:c r="U335" s="55" t="n">
        <x:v>2356</x:v>
      </x:c>
      <x:c r="V335" s="55" t="n">
        <x:v>10402</x:v>
      </x:c>
      <x:c r="W335" s="55" t="n">
        <x:v>7419</x:v>
      </x:c>
      <x:c r="X335" s="55" t="n">
        <x:v>2983</x:v>
      </x:c>
      <x:c r="Y335" s="55" t="n">
        <x:v>2684</x:v>
      </x:c>
      <x:c r="Z335" s="55" t="n">
        <x:v>3489</x:v>
      </x:c>
      <x:c r="AA335" s="55" t="n">
        <x:v>3452</x:v>
      </x:c>
      <x:c r="AB335" s="55" t="n">
        <x:v>1387</x:v>
      </x:c>
      <x:c r="AC335" s="55" t="n">
        <x:v>7944</x:v>
      </x:c>
      <x:c r="AD335" s="55" t="n">
        <x:v>2685</x:v>
      </x:c>
      <x:c r="AE335" s="55" t="n">
        <x:v>10510</x:v>
      </x:c>
      <x:c r="AF335" s="55" t="n">
        <x:v>10402</x:v>
      </x:c>
      <x:c r="AG335" s="55" t="n">
        <x:v>108</x:v>
      </x:c>
      <x:c r="AH335" s="55" t="n">
        <x:v>293</x:v>
      </x:c>
      <x:c r="AI335" s="55" t="n">
        <x:v>10109</x:v>
      </x:c>
      <x:c r="AJ335" s="55" t="n">
        <x:v>284</x:v>
      </x:c>
      <x:c r="AK335" s="55" t="n">
        <x:v>1023</x:v>
      </x:c>
      <x:c r="AL335" s="55" t="n">
        <x:v>1491</x:v>
      </x:c>
      <x:c r="AM335" s="55" t="n">
        <x:v>5003</x:v>
      </x:c>
      <x:c r="AN335" s="55" t="n">
        <x:v>2601</x:v>
      </x:c>
      <x:c r="AO335" s="55" t="n">
        <x:v>0</x:v>
      </x:c>
      <x:c r="AP335" s="55" t="n">
        <x:v>2272</x:v>
      </x:c>
      <x:c r="AQ335" s="55" t="n">
        <x:v>929</x:v>
      </x:c>
    </x:row>
    <x:row r="336">
      <x:c r="A336" s="54" t="str">
        <x:v>T1_SHARED_CATCHMENT</x:v>
      </x:c>
      <x:c r="B336" s="54" t="n">
        <x:v>330</x:v>
      </x:c>
      <x:c r="C336" s="54" t="str">
        <x:v>NYC-V2-R01</x:v>
      </x:c>
      <x:c r="D336" s="54" t="str">
        <x:v>V2</x:v>
      </x:c>
      <x:c r="E336" s="54" t="str">
        <x:v>ADMITTED</x:v>
      </x:c>
      <x:c r="F336" s="55" t="n">
        <x:v>31937</x:v>
      </x:c>
      <x:c r="G336" s="55" t="n">
        <x:v>7499</x:v>
      </x:c>
      <x:c r="H336" s="55" t="n">
        <x:v>3184</x:v>
      </x:c>
      <x:c r="I336" s="55" t="n">
        <x:v>1249</x:v>
      </x:c>
      <x:c r="J336" s="55" t="n">
        <x:v>243</x:v>
      </x:c>
      <x:c r="K336" s="55" t="n">
        <x:v>31937</x:v>
      </x:c>
      <x:c r="L336" s="55" t="n">
        <x:v>5490</x:v>
      </x:c>
      <x:c r="M336" s="55" t="n">
        <x:v>1400</x:v>
      </x:c>
      <x:c r="N336" s="55" t="n">
        <x:v>2380</x:v>
      </x:c>
      <x:c r="O336" s="55" t="n">
        <x:v>1710</x:v>
      </x:c>
      <x:c r="P336" s="55" t="n">
        <x:v>615</x:v>
      </x:c>
      <x:c r="Q336" s="55" t="n">
        <x:v>3209</x:v>
      </x:c>
      <x:c r="R336" s="55" t="n">
        <x:v>2214</x:v>
      </x:c>
      <x:c r="S336" s="55" t="n">
        <x:v>2777</x:v>
      </x:c>
      <x:c r="T336" s="55" t="n">
        <x:v>1345</x:v>
      </x:c>
      <x:c r="U336" s="55" t="n">
        <x:v>2083</x:v>
      </x:c>
      <x:c r="V336" s="55" t="n">
        <x:v>11015</x:v>
      </x:c>
      <x:c r="W336" s="55" t="n">
        <x:v>7667</x:v>
      </x:c>
      <x:c r="X336" s="55" t="n">
        <x:v>3348</x:v>
      </x:c>
      <x:c r="Y336" s="55" t="n">
        <x:v>2817</x:v>
      </x:c>
      <x:c r="Z336" s="55" t="n">
        <x:v>3498</x:v>
      </x:c>
      <x:c r="AA336" s="55" t="n">
        <x:v>2596</x:v>
      </x:c>
      <x:c r="AB336" s="55" t="n">
        <x:v>1242</x:v>
      </x:c>
      <x:c r="AC336" s="55" t="n">
        <x:v>8536</x:v>
      </x:c>
      <x:c r="AD336" s="55" t="n">
        <x:v>2263</x:v>
      </x:c>
      <x:c r="AE336" s="55" t="n">
        <x:v>11051</x:v>
      </x:c>
      <x:c r="AF336" s="55" t="n">
        <x:v>11015</x:v>
      </x:c>
      <x:c r="AG336" s="55" t="n">
        <x:v>36</x:v>
      </x:c>
      <x:c r="AH336" s="55" t="n">
        <x:v>675</x:v>
      </x:c>
      <x:c r="AI336" s="55" t="n">
        <x:v>10340</x:v>
      </x:c>
      <x:c r="AJ336" s="55" t="n">
        <x:v>450</x:v>
      </x:c>
      <x:c r="AK336" s="55" t="n">
        <x:v>1107</x:v>
      </x:c>
      <x:c r="AL336" s="55" t="n">
        <x:v>1589</x:v>
      </x:c>
      <x:c r="AM336" s="55" t="n">
        <x:v>4812</x:v>
      </x:c>
      <x:c r="AN336" s="55" t="n">
        <x:v>2985</x:v>
      </x:c>
      <x:c r="AO336" s="55" t="n">
        <x:v>72</x:v>
      </x:c>
      <x:c r="AP336" s="55" t="n">
        <x:v>2210</x:v>
      </x:c>
      <x:c r="AQ336" s="55" t="n">
        <x:v>951</x:v>
      </x:c>
    </x:row>
    <x:row r="337">
      <x:c r="A337" s="54" t="str">
        <x:v>T1_SHARED_CATCHMENT</x:v>
      </x:c>
      <x:c r="B337" s="54" t="n">
        <x:v>331</x:v>
      </x:c>
      <x:c r="C337" s="54" t="str">
        <x:v>NYC-V2-R01</x:v>
      </x:c>
      <x:c r="D337" s="54" t="str">
        <x:v>V2</x:v>
      </x:c>
      <x:c r="E337" s="54" t="str">
        <x:v>ADMITTED</x:v>
      </x:c>
      <x:c r="F337" s="55" t="n">
        <x:v>29790</x:v>
      </x:c>
      <x:c r="G337" s="55" t="n">
        <x:v>7161</x:v>
      </x:c>
      <x:c r="H337" s="55" t="n">
        <x:v>3218</x:v>
      </x:c>
      <x:c r="I337" s="55" t="n">
        <x:v>1120</x:v>
      </x:c>
      <x:c r="J337" s="55" t="n">
        <x:v>98</x:v>
      </x:c>
      <x:c r="K337" s="55" t="n">
        <x:v>27747</x:v>
      </x:c>
      <x:c r="L337" s="55" t="n">
        <x:v>5031</x:v>
      </x:c>
      <x:c r="M337" s="55" t="n">
        <x:v>1255</x:v>
      </x:c>
      <x:c r="N337" s="55" t="n">
        <x:v>2526</x:v>
      </x:c>
      <x:c r="O337" s="55" t="n">
        <x:v>1250</x:v>
      </x:c>
      <x:c r="P337" s="55" t="n">
        <x:v>596</x:v>
      </x:c>
      <x:c r="Q337" s="55" t="n">
        <x:v>2538</x:v>
      </x:c>
      <x:c r="R337" s="55" t="n">
        <x:v>2071</x:v>
      </x:c>
      <x:c r="S337" s="55" t="n">
        <x:v>2430</x:v>
      </x:c>
      <x:c r="T337" s="55" t="n">
        <x:v>1073</x:v>
      </x:c>
      <x:c r="U337" s="55" t="n">
        <x:v>1679</x:v>
      </x:c>
      <x:c r="V337" s="55" t="n">
        <x:v>10505</x:v>
      </x:c>
      <x:c r="W337" s="55" t="n">
        <x:v>7435</x:v>
      </x:c>
      <x:c r="X337" s="55" t="n">
        <x:v>3070</x:v>
      </x:c>
      <x:c r="Y337" s="55" t="n">
        <x:v>2463</x:v>
      </x:c>
      <x:c r="Z337" s="55" t="n">
        <x:v>4011</x:v>
      </x:c>
      <x:c r="AA337" s="55" t="n">
        <x:v>3218</x:v>
      </x:c>
      <x:c r="AB337" s="55" t="n">
        <x:v>1169</x:v>
      </x:c>
      <x:c r="AC337" s="55" t="n">
        <x:v>7750</x:v>
      </x:c>
      <x:c r="AD337" s="55" t="n">
        <x:v>2733</x:v>
      </x:c>
      <x:c r="AE337" s="55" t="n">
        <x:v>10594</x:v>
      </x:c>
      <x:c r="AF337" s="55" t="n">
        <x:v>10505</x:v>
      </x:c>
      <x:c r="AG337" s="55" t="n">
        <x:v>89</x:v>
      </x:c>
      <x:c r="AH337" s="55" t="n">
        <x:v>636</x:v>
      </x:c>
      <x:c r="AI337" s="55" t="n">
        <x:v>9869</x:v>
      </x:c>
      <x:c r="AJ337" s="55" t="n">
        <x:v>414</x:v>
      </x:c>
      <x:c r="AK337" s="55" t="n">
        <x:v>1042</x:v>
      </x:c>
      <x:c r="AL337" s="55" t="n">
        <x:v>1817</x:v>
      </x:c>
      <x:c r="AM337" s="55" t="n">
        <x:v>4990</x:v>
      </x:c>
      <x:c r="AN337" s="55" t="n">
        <x:v>2242</x:v>
      </x:c>
      <x:c r="AO337" s="55" t="n">
        <x:v>0</x:v>
      </x:c>
      <x:c r="AP337" s="55" t="n">
        <x:v>2279</x:v>
      </x:c>
      <x:c r="AQ337" s="55" t="n">
        <x:v>943</x:v>
      </x:c>
    </x:row>
    <x:row r="338">
      <x:c r="A338" s="54" t="str">
        <x:v>T1_SHARED_CATCHMENT</x:v>
      </x:c>
      <x:c r="B338" s="54" t="n">
        <x:v>332</x:v>
      </x:c>
      <x:c r="C338" s="54" t="str">
        <x:v>NYC-V2-R01</x:v>
      </x:c>
      <x:c r="D338" s="54" t="str">
        <x:v>V2</x:v>
      </x:c>
      <x:c r="E338" s="54" t="str">
        <x:v>ADMITTED</x:v>
      </x:c>
      <x:c r="F338" s="55" t="n">
        <x:v>32224</x:v>
      </x:c>
      <x:c r="G338" s="55" t="n">
        <x:v>6276</x:v>
      </x:c>
      <x:c r="H338" s="55" t="n">
        <x:v>3197</x:v>
      </x:c>
      <x:c r="I338" s="55" t="n">
        <x:v>1325</x:v>
      </x:c>
      <x:c r="J338" s="55" t="n">
        <x:v>262</x:v>
      </x:c>
      <x:c r="K338" s="55" t="n">
        <x:v>32224</x:v>
      </x:c>
      <x:c r="L338" s="55" t="n">
        <x:v>4692</x:v>
      </x:c>
      <x:c r="M338" s="55" t="n">
        <x:v>929</x:v>
      </x:c>
      <x:c r="N338" s="55" t="n">
        <x:v>2200</x:v>
      </x:c>
      <x:c r="O338" s="55" t="n">
        <x:v>1563</x:v>
      </x:c>
      <x:c r="P338" s="55" t="n">
        <x:v>455</x:v>
      </x:c>
      <x:c r="Q338" s="55" t="n">
        <x:v>2415</x:v>
      </x:c>
      <x:c r="R338" s="55" t="n">
        <x:v>1894</x:v>
      </x:c>
      <x:c r="S338" s="55" t="n">
        <x:v>3200</x:v>
      </x:c>
      <x:c r="T338" s="55" t="n">
        <x:v>1104</x:v>
      </x:c>
      <x:c r="U338" s="55" t="n">
        <x:v>2051</x:v>
      </x:c>
      <x:c r="V338" s="55" t="n">
        <x:v>10064</x:v>
      </x:c>
      <x:c r="W338" s="55" t="n">
        <x:v>7096</x:v>
      </x:c>
      <x:c r="X338" s="55" t="n">
        <x:v>2968</x:v>
      </x:c>
      <x:c r="Y338" s="55" t="n">
        <x:v>2361</x:v>
      </x:c>
      <x:c r="Z338" s="55" t="n">
        <x:v>3898</x:v>
      </x:c>
      <x:c r="AA338" s="55" t="n">
        <x:v>3049</x:v>
      </x:c>
      <x:c r="AB338" s="55" t="n">
        <x:v>1007</x:v>
      </x:c>
      <x:c r="AC338" s="55" t="n">
        <x:v>7716</x:v>
      </x:c>
      <x:c r="AD338" s="55" t="n">
        <x:v>2355</x:v>
      </x:c>
      <x:c r="AE338" s="55" t="n">
        <x:v>10266</x:v>
      </x:c>
      <x:c r="AF338" s="55" t="n">
        <x:v>10064</x:v>
      </x:c>
      <x:c r="AG338" s="55" t="n">
        <x:v>202</x:v>
      </x:c>
      <x:c r="AH338" s="55" t="n">
        <x:v>348</x:v>
      </x:c>
      <x:c r="AI338" s="55" t="n">
        <x:v>9716</x:v>
      </x:c>
      <x:c r="AJ338" s="55" t="n">
        <x:v>354</x:v>
      </x:c>
      <x:c r="AK338" s="55" t="n">
        <x:v>674</x:v>
      </x:c>
      <x:c r="AL338" s="55" t="n">
        <x:v>1034</x:v>
      </x:c>
      <x:c r="AM338" s="55" t="n">
        <x:v>4795</x:v>
      </x:c>
      <x:c r="AN338" s="55" t="n">
        <x:v>3163</x:v>
      </x:c>
      <x:c r="AO338" s="55" t="n">
        <x:v>44</x:v>
      </x:c>
      <x:c r="AP338" s="55" t="n">
        <x:v>2295</x:v>
      </x:c>
      <x:c r="AQ338" s="55" t="n">
        <x:v>978</x:v>
      </x:c>
    </x:row>
    <x:row r="339">
      <x:c r="A339" s="54" t="str">
        <x:v>T1_SHARED_CATCHMENT</x:v>
      </x:c>
      <x:c r="B339" s="54" t="n">
        <x:v>333</x:v>
      </x:c>
      <x:c r="C339" s="54" t="str">
        <x:v>NYC-V2-R01</x:v>
      </x:c>
      <x:c r="D339" s="54" t="str">
        <x:v>V2</x:v>
      </x:c>
      <x:c r="E339" s="54" t="str">
        <x:v>ADMITTED</x:v>
      </x:c>
      <x:c r="F339" s="55" t="n">
        <x:v>29109</x:v>
      </x:c>
      <x:c r="G339" s="55" t="n">
        <x:v>6938</x:v>
      </x:c>
      <x:c r="H339" s="55" t="n">
        <x:v>3032</x:v>
      </x:c>
      <x:c r="I339" s="55" t="n">
        <x:v>1190</x:v>
      </x:c>
      <x:c r="J339" s="55" t="n">
        <x:v>219</x:v>
      </x:c>
      <x:c r="K339" s="55" t="n">
        <x:v>29109</x:v>
      </x:c>
      <x:c r="L339" s="55" t="n">
        <x:v>4617</x:v>
      </x:c>
      <x:c r="M339" s="55" t="n">
        <x:v>0</x:v>
      </x:c>
      <x:c r="N339" s="55" t="n">
        <x:v>3065</x:v>
      </x:c>
      <x:c r="O339" s="55" t="n">
        <x:v>1552</x:v>
      </x:c>
      <x:c r="P339" s="55" t="n">
        <x:v>816</x:v>
      </x:c>
      <x:c r="Q339" s="55" t="n">
        <x:v>2341</x:v>
      </x:c>
      <x:c r="R339" s="55" t="n">
        <x:v>2016</x:v>
      </x:c>
      <x:c r="S339" s="55" t="n">
        <x:v>2882</x:v>
      </x:c>
      <x:c r="T339" s="55" t="n">
        <x:v>864</x:v>
      </x:c>
      <x:c r="U339" s="55" t="n">
        <x:v>1810</x:v>
      </x:c>
      <x:c r="V339" s="55" t="n">
        <x:v>10531</x:v>
      </x:c>
      <x:c r="W339" s="55" t="n">
        <x:v>7327</x:v>
      </x:c>
      <x:c r="X339" s="55" t="n">
        <x:v>3204</x:v>
      </x:c>
      <x:c r="Y339" s="55" t="n">
        <x:v>2807</x:v>
      </x:c>
      <x:c r="Z339" s="55" t="n">
        <x:v>3035</x:v>
      </x:c>
      <x:c r="AA339" s="55" t="n">
        <x:v>2867</x:v>
      </x:c>
      <x:c r="AB339" s="55" t="n">
        <x:v>854</x:v>
      </x:c>
      <x:c r="AC339" s="55" t="n">
        <x:v>7847</x:v>
      </x:c>
      <x:c r="AD339" s="55" t="n">
        <x:v>2750</x:v>
      </x:c>
      <x:c r="AE339" s="55" t="n">
        <x:v>10568</x:v>
      </x:c>
      <x:c r="AF339" s="55" t="n">
        <x:v>10531</x:v>
      </x:c>
      <x:c r="AG339" s="55" t="n">
        <x:v>37</x:v>
      </x:c>
      <x:c r="AH339" s="55" t="n">
        <x:v>273</x:v>
      </x:c>
      <x:c r="AI339" s="55" t="n">
        <x:v>10258</x:v>
      </x:c>
      <x:c r="AJ339" s="55" t="n">
        <x:v>290</x:v>
      </x:c>
      <x:c r="AK339" s="55" t="n">
        <x:v>1105</x:v>
      </x:c>
      <x:c r="AL339" s="55" t="n">
        <x:v>1724</x:v>
      </x:c>
      <x:c r="AM339" s="55" t="n">
        <x:v>5148</x:v>
      </x:c>
      <x:c r="AN339" s="55" t="n">
        <x:v>2264</x:v>
      </x:c>
      <x:c r="AO339" s="55" t="n">
        <x:v>0</x:v>
      </x:c>
      <x:c r="AP339" s="55" t="n">
        <x:v>2472</x:v>
      </x:c>
      <x:c r="AQ339" s="55" t="n">
        <x:v>925</x:v>
      </x:c>
    </x:row>
    <x:row r="340">
      <x:c r="A340" s="54" t="str">
        <x:v>T1_SHARED_CATCHMENT</x:v>
      </x:c>
      <x:c r="B340" s="54" t="n">
        <x:v>334</x:v>
      </x:c>
      <x:c r="C340" s="54" t="str">
        <x:v>NYC-V2-R01</x:v>
      </x:c>
      <x:c r="D340" s="54" t="str">
        <x:v>V2</x:v>
      </x:c>
      <x:c r="E340" s="54" t="str">
        <x:v>ADMITTED</x:v>
      </x:c>
      <x:c r="F340" s="55" t="n">
        <x:v>31894</x:v>
      </x:c>
      <x:c r="G340" s="55" t="n">
        <x:v>8065</x:v>
      </x:c>
      <x:c r="H340" s="55" t="n">
        <x:v>2952</x:v>
      </x:c>
      <x:c r="I340" s="55" t="n">
        <x:v>845</x:v>
      </x:c>
      <x:c r="J340" s="55" t="n">
        <x:v>299</x:v>
      </x:c>
      <x:c r="K340" s="55" t="n">
        <x:v>29400</x:v>
      </x:c>
      <x:c r="L340" s="55" t="n">
        <x:v>4660</x:v>
      </x:c>
      <x:c r="M340" s="55" t="n">
        <x:v>647</x:v>
      </x:c>
      <x:c r="N340" s="55" t="n">
        <x:v>2168</x:v>
      </x:c>
      <x:c r="O340" s="55" t="n">
        <x:v>1845</x:v>
      </x:c>
      <x:c r="P340" s="55" t="n">
        <x:v>568</x:v>
      </x:c>
      <x:c r="Q340" s="55" t="n">
        <x:v>1827</x:v>
      </x:c>
      <x:c r="R340" s="55" t="n">
        <x:v>1744</x:v>
      </x:c>
      <x:c r="S340" s="55" t="n">
        <x:v>2565</x:v>
      </x:c>
      <x:c r="T340" s="55" t="n">
        <x:v>1574</x:v>
      </x:c>
      <x:c r="U340" s="55" t="n">
        <x:v>1662</x:v>
      </x:c>
      <x:c r="V340" s="55" t="n">
        <x:v>9197</x:v>
      </x:c>
      <x:c r="W340" s="55" t="n">
        <x:v>5788</x:v>
      </x:c>
      <x:c r="X340" s="55" t="n">
        <x:v>3409</x:v>
      </x:c>
      <x:c r="Y340" s="55" t="n">
        <x:v>2681</x:v>
      </x:c>
      <x:c r="Z340" s="55" t="n">
        <x:v>3194</x:v>
      </x:c>
      <x:c r="AA340" s="55" t="n">
        <x:v>2952</x:v>
      </x:c>
      <x:c r="AB340" s="55" t="n">
        <x:v>984</x:v>
      </x:c>
      <x:c r="AC340" s="55" t="n">
        <x:v>7626</x:v>
      </x:c>
      <x:c r="AD340" s="55" t="n">
        <x:v>2488</x:v>
      </x:c>
      <x:c r="AE340" s="55" t="n">
        <x:v>9230</x:v>
      </x:c>
      <x:c r="AF340" s="55" t="n">
        <x:v>9197</x:v>
      </x:c>
      <x:c r="AG340" s="55" t="n">
        <x:v>33</x:v>
      </x:c>
      <x:c r="AH340" s="55" t="n">
        <x:v>194</x:v>
      </x:c>
      <x:c r="AI340" s="55" t="n">
        <x:v>9003</x:v>
      </x:c>
      <x:c r="AJ340" s="55" t="n">
        <x:v>191</x:v>
      </x:c>
      <x:c r="AK340" s="55" t="n">
        <x:v>789</x:v>
      </x:c>
      <x:c r="AL340" s="55" t="n">
        <x:v>759</x:v>
      </x:c>
      <x:c r="AM340" s="55" t="n">
        <x:v>4529</x:v>
      </x:c>
      <x:c r="AN340" s="55" t="n">
        <x:v>2809</x:v>
      </x:c>
      <x:c r="AO340" s="55" t="n">
        <x:v>120</x:v>
      </x:c>
      <x:c r="AP340" s="55" t="n">
        <x:v>2559</x:v>
      </x:c>
      <x:c r="AQ340" s="55" t="n">
        <x:v>926</x:v>
      </x:c>
    </x:row>
    <x:row r="341">
      <x:c r="A341" s="54" t="str">
        <x:v>T1_SHARED_CATCHMENT</x:v>
      </x:c>
      <x:c r="B341" s="54" t="n">
        <x:v>335</x:v>
      </x:c>
      <x:c r="C341" s="54" t="str">
        <x:v>NYC-V2-R01</x:v>
      </x:c>
      <x:c r="D341" s="54" t="str">
        <x:v>V2</x:v>
      </x:c>
      <x:c r="E341" s="54" t="str">
        <x:v>ADMITTED</x:v>
      </x:c>
      <x:c r="F341" s="55" t="n">
        <x:v>32210</x:v>
      </x:c>
      <x:c r="G341" s="55" t="n">
        <x:v>8917</x:v>
      </x:c>
      <x:c r="H341" s="55" t="n">
        <x:v>4224</x:v>
      </x:c>
      <x:c r="I341" s="55" t="n">
        <x:v>1649</x:v>
      </x:c>
      <x:c r="J341" s="55" t="n">
        <x:v>322</x:v>
      </x:c>
      <x:c r="K341" s="55" t="n">
        <x:v>30037</x:v>
      </x:c>
      <x:c r="L341" s="55" t="n">
        <x:v>7114</x:v>
      </x:c>
      <x:c r="M341" s="55" t="n">
        <x:v>1548</x:v>
      </x:c>
      <x:c r="N341" s="55" t="n">
        <x:v>3172</x:v>
      </x:c>
      <x:c r="O341" s="55" t="n">
        <x:v>2394</x:v>
      </x:c>
      <x:c r="P341" s="55" t="n">
        <x:v>1020</x:v>
      </x:c>
      <x:c r="Q341" s="55" t="n">
        <x:v>2438</x:v>
      </x:c>
      <x:c r="R341" s="55" t="n">
        <x:v>2574</x:v>
      </x:c>
      <x:c r="S341" s="55" t="n">
        <x:v>3812</x:v>
      </x:c>
      <x:c r="T341" s="55" t="n">
        <x:v>1233</x:v>
      </x:c>
      <x:c r="U341" s="55" t="n">
        <x:v>1956</x:v>
      </x:c>
      <x:c r="V341" s="55" t="n">
        <x:v>10413</x:v>
      </x:c>
      <x:c r="W341" s="55" t="n">
        <x:v>6834</x:v>
      </x:c>
      <x:c r="X341" s="55" t="n">
        <x:v>3579</x:v>
      </x:c>
      <x:c r="Y341" s="55" t="n">
        <x:v>3238</x:v>
      </x:c>
      <x:c r="Z341" s="55" t="n">
        <x:v>3767</x:v>
      </x:c>
      <x:c r="AA341" s="55" t="n">
        <x:v>4224</x:v>
      </x:c>
      <x:c r="AB341" s="55" t="n">
        <x:v>1522</x:v>
      </x:c>
      <x:c r="AC341" s="55" t="n">
        <x:v>8430</x:v>
      </x:c>
      <x:c r="AD341" s="55" t="n">
        <x:v>3187</x:v>
      </x:c>
      <x:c r="AE341" s="55" t="n">
        <x:v>10568</x:v>
      </x:c>
      <x:c r="AF341" s="55" t="n">
        <x:v>10413</x:v>
      </x:c>
      <x:c r="AG341" s="55" t="n">
        <x:v>155</x:v>
      </x:c>
      <x:c r="AH341" s="55" t="n">
        <x:v>514</x:v>
      </x:c>
      <x:c r="AI341" s="55" t="n">
        <x:v>9899</x:v>
      </x:c>
      <x:c r="AJ341" s="55" t="n">
        <x:v>342</x:v>
      </x:c>
      <x:c r="AK341" s="55" t="n">
        <x:v>1078</x:v>
      </x:c>
      <x:c r="AL341" s="55" t="n">
        <x:v>1652</x:v>
      </x:c>
      <x:c r="AM341" s="55" t="n">
        <x:v>4853</x:v>
      </x:c>
      <x:c r="AN341" s="55" t="n">
        <x:v>2454</x:v>
      </x:c>
      <x:c r="AO341" s="55" t="n">
        <x:v>34</x:v>
      </x:c>
      <x:c r="AP341" s="55" t="n">
        <x:v>2683</x:v>
      </x:c>
      <x:c r="AQ341" s="55" t="n">
        <x:v>964</x:v>
      </x:c>
    </x:row>
    <x:row r="342">
      <x:c r="A342" s="54" t="str">
        <x:v>T1_SHARED_CATCHMENT</x:v>
      </x:c>
      <x:c r="B342" s="54" t="n">
        <x:v>336</x:v>
      </x:c>
      <x:c r="C342" s="54" t="str">
        <x:v>NYC-V2-R01</x:v>
      </x:c>
      <x:c r="D342" s="54" t="str">
        <x:v>V2</x:v>
      </x:c>
      <x:c r="E342" s="54" t="str">
        <x:v>ADMITTED</x:v>
      </x:c>
      <x:c r="F342" s="55" t="n">
        <x:v>29478</x:v>
      </x:c>
      <x:c r="G342" s="55" t="n">
        <x:v>6958</x:v>
      </x:c>
      <x:c r="H342" s="55" t="n">
        <x:v>3300</x:v>
      </x:c>
      <x:c r="I342" s="55" t="n">
        <x:v>1110</x:v>
      </x:c>
      <x:c r="J342" s="55" t="n">
        <x:v>169</x:v>
      </x:c>
      <x:c r="K342" s="55" t="n">
        <x:v>29478</x:v>
      </x:c>
      <x:c r="L342" s="55" t="n">
        <x:v>5252</x:v>
      </x:c>
      <x:c r="M342" s="55" t="n">
        <x:v>1188</x:v>
      </x:c>
      <x:c r="N342" s="55" t="n">
        <x:v>2093</x:v>
      </x:c>
      <x:c r="O342" s="55" t="n">
        <x:v>1971</x:v>
      </x:c>
      <x:c r="P342" s="55" t="n">
        <x:v>715</x:v>
      </x:c>
      <x:c r="Q342" s="55" t="n">
        <x:v>2378</x:v>
      </x:c>
      <x:c r="R342" s="55" t="n">
        <x:v>1986</x:v>
      </x:c>
      <x:c r="S342" s="55" t="n">
        <x:v>2806</x:v>
      </x:c>
      <x:c r="T342" s="55" t="n">
        <x:v>1465</x:v>
      </x:c>
      <x:c r="U342" s="55" t="n">
        <x:v>2014</x:v>
      </x:c>
      <x:c r="V342" s="55" t="n">
        <x:v>10494</x:v>
      </x:c>
      <x:c r="W342" s="55" t="n">
        <x:v>7483</x:v>
      </x:c>
      <x:c r="X342" s="55" t="n">
        <x:v>3011</x:v>
      </x:c>
      <x:c r="Y342" s="55" t="n">
        <x:v>2575</x:v>
      </x:c>
      <x:c r="Z342" s="55" t="n">
        <x:v>3153</x:v>
      </x:c>
      <x:c r="AA342" s="55" t="n">
        <x:v>3086</x:v>
      </x:c>
      <x:c r="AB342" s="55" t="n">
        <x:v>1183</x:v>
      </x:c>
      <x:c r="AC342" s="55" t="n">
        <x:v>8276</x:v>
      </x:c>
      <x:c r="AD342" s="55" t="n">
        <x:v>3473</x:v>
      </x:c>
      <x:c r="AE342" s="55" t="n">
        <x:v>10594</x:v>
      </x:c>
      <x:c r="AF342" s="55" t="n">
        <x:v>10494</x:v>
      </x:c>
      <x:c r="AG342" s="55" t="n">
        <x:v>100</x:v>
      </x:c>
      <x:c r="AH342" s="55" t="n">
        <x:v>189</x:v>
      </x:c>
      <x:c r="AI342" s="55" t="n">
        <x:v>10305</x:v>
      </x:c>
      <x:c r="AJ342" s="55" t="n">
        <x:v>74</x:v>
      </x:c>
      <x:c r="AK342" s="55" t="n">
        <x:v>966</x:v>
      </x:c>
      <x:c r="AL342" s="55" t="n">
        <x:v>1857</x:v>
      </x:c>
      <x:c r="AM342" s="55" t="n">
        <x:v>5075</x:v>
      </x:c>
      <x:c r="AN342" s="55" t="n">
        <x:v>2509</x:v>
      </x:c>
      <x:c r="AO342" s="55" t="n">
        <x:v>13</x:v>
      </x:c>
      <x:c r="AP342" s="55" t="n">
        <x:v>2234</x:v>
      </x:c>
      <x:c r="AQ342" s="55" t="n">
        <x:v>974</x:v>
      </x:c>
    </x:row>
    <x:row r="343">
      <x:c r="A343" s="54" t="str">
        <x:v>T1_SHARED_CATCHMENT</x:v>
      </x:c>
      <x:c r="B343" s="54" t="n">
        <x:v>337</x:v>
      </x:c>
      <x:c r="C343" s="54" t="str">
        <x:v>NYC-V2-R01</x:v>
      </x:c>
      <x:c r="D343" s="54" t="str">
        <x:v>V2</x:v>
      </x:c>
      <x:c r="E343" s="54" t="str">
        <x:v>ADMITTED</x:v>
      </x:c>
      <x:c r="F343" s="55" t="n">
        <x:v>30134</x:v>
      </x:c>
      <x:c r="G343" s="55" t="n">
        <x:v>6458</x:v>
      </x:c>
      <x:c r="H343" s="55" t="n">
        <x:v>3197</x:v>
      </x:c>
      <x:c r="I343" s="55" t="n">
        <x:v>1348</x:v>
      </x:c>
      <x:c r="J343" s="55" t="n">
        <x:v>57</x:v>
      </x:c>
      <x:c r="K343" s="55" t="n">
        <x:v>28892</x:v>
      </x:c>
      <x:c r="L343" s="55" t="n">
        <x:v>5872</x:v>
      </x:c>
      <x:c r="M343" s="55" t="n">
        <x:v>1866</x:v>
      </x:c>
      <x:c r="N343" s="55" t="n">
        <x:v>2778</x:v>
      </x:c>
      <x:c r="O343" s="55" t="n">
        <x:v>1228</x:v>
      </x:c>
      <x:c r="P343" s="55" t="n">
        <x:v>995</x:v>
      </x:c>
      <x:c r="Q343" s="55" t="n">
        <x:v>2486</x:v>
      </x:c>
      <x:c r="R343" s="55" t="n">
        <x:v>1742</x:v>
      </x:c>
      <x:c r="S343" s="55" t="n">
        <x:v>2245</x:v>
      </x:c>
      <x:c r="T343" s="55" t="n">
        <x:v>1068</x:v>
      </x:c>
      <x:c r="U343" s="55" t="n">
        <x:v>2508</x:v>
      </x:c>
      <x:c r="V343" s="55" t="n">
        <x:v>10777</x:v>
      </x:c>
      <x:c r="W343" s="55" t="n">
        <x:v>7806</x:v>
      </x:c>
      <x:c r="X343" s="55" t="n">
        <x:v>2971</x:v>
      </x:c>
      <x:c r="Y343" s="55" t="n">
        <x:v>2616</x:v>
      </x:c>
      <x:c r="Z343" s="55" t="n">
        <x:v>3706</x:v>
      </x:c>
      <x:c r="AA343" s="55" t="n">
        <x:v>3197</x:v>
      </x:c>
      <x:c r="AB343" s="55" t="n">
        <x:v>919</x:v>
      </x:c>
      <x:c r="AC343" s="55" t="n">
        <x:v>8136</x:v>
      </x:c>
      <x:c r="AD343" s="55" t="n">
        <x:v>3070</x:v>
      </x:c>
      <x:c r="AE343" s="55" t="n">
        <x:v>10809</x:v>
      </x:c>
      <x:c r="AF343" s="55" t="n">
        <x:v>10777</x:v>
      </x:c>
      <x:c r="AG343" s="55" t="n">
        <x:v>32</x:v>
      </x:c>
      <x:c r="AH343" s="55" t="n">
        <x:v>339</x:v>
      </x:c>
      <x:c r="AI343" s="55" t="n">
        <x:v>10438</x:v>
      </x:c>
      <x:c r="AJ343" s="55" t="n">
        <x:v>308</x:v>
      </x:c>
      <x:c r="AK343" s="55" t="n">
        <x:v>1030</x:v>
      </x:c>
      <x:c r="AL343" s="55" t="n">
        <x:v>1905</x:v>
      </x:c>
      <x:c r="AM343" s="55" t="n">
        <x:v>4867</x:v>
      </x:c>
      <x:c r="AN343" s="55" t="n">
        <x:v>2667</x:v>
      </x:c>
      <x:c r="AO343" s="55" t="n">
        <x:v>0</x:v>
      </x:c>
      <x:c r="AP343" s="55" t="n">
        <x:v>2380</x:v>
      </x:c>
      <x:c r="AQ343" s="55" t="n">
        <x:v>955</x:v>
      </x:c>
    </x:row>
    <x:row r="344">
      <x:c r="A344" s="54" t="str">
        <x:v>T1_SHARED_CATCHMENT</x:v>
      </x:c>
      <x:c r="B344" s="54" t="n">
        <x:v>338</x:v>
      </x:c>
      <x:c r="C344" s="54" t="str">
        <x:v>NYC-V2-R01</x:v>
      </x:c>
      <x:c r="D344" s="54" t="str">
        <x:v>V2</x:v>
      </x:c>
      <x:c r="E344" s="54" t="str">
        <x:v>ADMITTED</x:v>
      </x:c>
      <x:c r="F344" s="55" t="n">
        <x:v>32154</x:v>
      </x:c>
      <x:c r="G344" s="55" t="n">
        <x:v>8426</x:v>
      </x:c>
      <x:c r="H344" s="55" t="n">
        <x:v>3168</x:v>
      </x:c>
      <x:c r="I344" s="55" t="n">
        <x:v>1483</x:v>
      </x:c>
      <x:c r="J344" s="55" t="n">
        <x:v>355</x:v>
      </x:c>
      <x:c r="K344" s="55" t="n">
        <x:v>32154</x:v>
      </x:c>
      <x:c r="L344" s="55" t="n">
        <x:v>5617</x:v>
      </x:c>
      <x:c r="M344" s="55" t="n">
        <x:v>1235</x:v>
      </x:c>
      <x:c r="N344" s="55" t="n">
        <x:v>2611</x:v>
      </x:c>
      <x:c r="O344" s="55" t="n">
        <x:v>1771</x:v>
      </x:c>
      <x:c r="P344" s="55" t="n">
        <x:v>657</x:v>
      </x:c>
      <x:c r="Q344" s="55" t="n">
        <x:v>2435</x:v>
      </x:c>
      <x:c r="R344" s="55" t="n">
        <x:v>1928</x:v>
      </x:c>
      <x:c r="S344" s="55" t="n">
        <x:v>2566</x:v>
      </x:c>
      <x:c r="T344" s="55" t="n">
        <x:v>1062</x:v>
      </x:c>
      <x:c r="U344" s="55" t="n">
        <x:v>1853</x:v>
      </x:c>
      <x:c r="V344" s="55" t="n">
        <x:v>10384</x:v>
      </x:c>
      <x:c r="W344" s="55" t="n">
        <x:v>7052</x:v>
      </x:c>
      <x:c r="X344" s="55" t="n">
        <x:v>3332</x:v>
      </x:c>
      <x:c r="Y344" s="55" t="n">
        <x:v>2667</x:v>
      </x:c>
      <x:c r="Z344" s="55" t="n">
        <x:v>3617</x:v>
      </x:c>
      <x:c r="AA344" s="55" t="n">
        <x:v>3099</x:v>
      </x:c>
      <x:c r="AB344" s="55" t="n">
        <x:v>1390</x:v>
      </x:c>
      <x:c r="AC344" s="55" t="n">
        <x:v>8200</x:v>
      </x:c>
      <x:c r="AD344" s="55" t="n">
        <x:v>2999</x:v>
      </x:c>
      <x:c r="AE344" s="55" t="n">
        <x:v>10483</x:v>
      </x:c>
      <x:c r="AF344" s="55" t="n">
        <x:v>10384</x:v>
      </x:c>
      <x:c r="AG344" s="55" t="n">
        <x:v>99</x:v>
      </x:c>
      <x:c r="AH344" s="55" t="n">
        <x:v>460</x:v>
      </x:c>
      <x:c r="AI344" s="55" t="n">
        <x:v>9924</x:v>
      </x:c>
      <x:c r="AJ344" s="55" t="n">
        <x:v>435</x:v>
      </x:c>
      <x:c r="AK344" s="55" t="n">
        <x:v>974</x:v>
      </x:c>
      <x:c r="AL344" s="55" t="n">
        <x:v>1734</x:v>
      </x:c>
      <x:c r="AM344" s="55" t="n">
        <x:v>5275</x:v>
      </x:c>
      <x:c r="AN344" s="55" t="n">
        <x:v>1933</x:v>
      </x:c>
      <x:c r="AO344" s="55" t="n">
        <x:v>33</x:v>
      </x:c>
      <x:c r="AP344" s="55" t="n">
        <x:v>2427</x:v>
      </x:c>
      <x:c r="AQ344" s="55" t="n">
        <x:v>937</x:v>
      </x:c>
    </x:row>
    <x:row r="345">
      <x:c r="A345" s="54" t="str">
        <x:v>T1_SHARED_CATCHMENT</x:v>
      </x:c>
      <x:c r="B345" s="54" t="n">
        <x:v>339</x:v>
      </x:c>
      <x:c r="C345" s="54" t="str">
        <x:v>NYC-V2-R01</x:v>
      </x:c>
      <x:c r="D345" s="54" t="str">
        <x:v>V2</x:v>
      </x:c>
      <x:c r="E345" s="54" t="str">
        <x:v>ADMITTED</x:v>
      </x:c>
      <x:c r="F345" s="55" t="n">
        <x:v>30154</x:v>
      </x:c>
      <x:c r="G345" s="55" t="n">
        <x:v>7321</x:v>
      </x:c>
      <x:c r="H345" s="55" t="n">
        <x:v>3254</x:v>
      </x:c>
      <x:c r="I345" s="55" t="n">
        <x:v>1419</x:v>
      </x:c>
      <x:c r="J345" s="55" t="n">
        <x:v>289</x:v>
      </x:c>
      <x:c r="K345" s="55" t="n">
        <x:v>30154</x:v>
      </x:c>
      <x:c r="L345" s="55" t="n">
        <x:v>5856</x:v>
      </x:c>
      <x:c r="M345" s="55" t="n">
        <x:v>1250</x:v>
      </x:c>
      <x:c r="N345" s="55" t="n">
        <x:v>2516</x:v>
      </x:c>
      <x:c r="O345" s="55" t="n">
        <x:v>2090</x:v>
      </x:c>
      <x:c r="P345" s="55" t="n">
        <x:v>948</x:v>
      </x:c>
      <x:c r="Q345" s="55" t="n">
        <x:v>1873</x:v>
      </x:c>
      <x:c r="R345" s="55" t="n">
        <x:v>2146</x:v>
      </x:c>
      <x:c r="S345" s="55" t="n">
        <x:v>2984</x:v>
      </x:c>
      <x:c r="T345" s="55" t="n">
        <x:v>1254</x:v>
      </x:c>
      <x:c r="U345" s="55" t="n">
        <x:v>2448</x:v>
      </x:c>
      <x:c r="V345" s="55" t="n">
        <x:v>11071</x:v>
      </x:c>
      <x:c r="W345" s="55" t="n">
        <x:v>7967</x:v>
      </x:c>
      <x:c r="X345" s="55" t="n">
        <x:v>3104</x:v>
      </x:c>
      <x:c r="Y345" s="55" t="n">
        <x:v>2715</x:v>
      </x:c>
      <x:c r="Z345" s="55" t="n">
        <x:v>3731</x:v>
      </x:c>
      <x:c r="AA345" s="55" t="n">
        <x:v>2962</x:v>
      </x:c>
      <x:c r="AB345" s="55" t="n">
        <x:v>1134</x:v>
      </x:c>
      <x:c r="AC345" s="55" t="n">
        <x:v>8415</x:v>
      </x:c>
      <x:c r="AD345" s="55" t="n">
        <x:v>3083</x:v>
      </x:c>
      <x:c r="AE345" s="55" t="n">
        <x:v>11165</x:v>
      </x:c>
      <x:c r="AF345" s="55" t="n">
        <x:v>11071</x:v>
      </x:c>
      <x:c r="AG345" s="55" t="n">
        <x:v>94</x:v>
      </x:c>
      <x:c r="AH345" s="55" t="n">
        <x:v>640</x:v>
      </x:c>
      <x:c r="AI345" s="55" t="n">
        <x:v>10431</x:v>
      </x:c>
      <x:c r="AJ345" s="55" t="n">
        <x:v>163</x:v>
      </x:c>
      <x:c r="AK345" s="55" t="n">
        <x:v>1008</x:v>
      </x:c>
      <x:c r="AL345" s="55" t="n">
        <x:v>1954</x:v>
      </x:c>
      <x:c r="AM345" s="55" t="n">
        <x:v>4785</x:v>
      </x:c>
      <x:c r="AN345" s="55" t="n">
        <x:v>3037</x:v>
      </x:c>
      <x:c r="AO345" s="55" t="n">
        <x:v>124</x:v>
      </x:c>
      <x:c r="AP345" s="55" t="n">
        <x:v>2654</x:v>
      </x:c>
      <x:c r="AQ345" s="55" t="n">
        <x:v>1019</x:v>
      </x:c>
    </x:row>
    <x:row r="346">
      <x:c r="A346" s="54" t="str">
        <x:v>T1_SHARED_CATCHMENT</x:v>
      </x:c>
      <x:c r="B346" s="54" t="n">
        <x:v>340</x:v>
      </x:c>
      <x:c r="C346" s="54" t="str">
        <x:v>NYC-V2-R01</x:v>
      </x:c>
      <x:c r="D346" s="54" t="str">
        <x:v>V2</x:v>
      </x:c>
      <x:c r="E346" s="54" t="str">
        <x:v>ADMITTED</x:v>
      </x:c>
      <x:c r="F346" s="55" t="n">
        <x:v>31128</x:v>
      </x:c>
      <x:c r="G346" s="55" t="n">
        <x:v>7320</x:v>
      </x:c>
      <x:c r="H346" s="55" t="n">
        <x:v>3218</x:v>
      </x:c>
      <x:c r="I346" s="55" t="n">
        <x:v>1062</x:v>
      </x:c>
      <x:c r="J346" s="55" t="n">
        <x:v>151</x:v>
      </x:c>
      <x:c r="K346" s="55" t="n">
        <x:v>31128</x:v>
      </x:c>
      <x:c r="L346" s="55" t="n">
        <x:v>5834</x:v>
      </x:c>
      <x:c r="M346" s="55" t="n">
        <x:v>2093</x:v>
      </x:c>
      <x:c r="N346" s="55" t="n">
        <x:v>2372</x:v>
      </x:c>
      <x:c r="O346" s="55" t="n">
        <x:v>1369</x:v>
      </x:c>
      <x:c r="P346" s="55" t="n">
        <x:v>882</x:v>
      </x:c>
      <x:c r="Q346" s="55" t="n">
        <x:v>2438</x:v>
      </x:c>
      <x:c r="R346" s="55" t="n">
        <x:v>1886</x:v>
      </x:c>
      <x:c r="S346" s="55" t="n">
        <x:v>3034</x:v>
      </x:c>
      <x:c r="T346" s="55" t="n">
        <x:v>1115</x:v>
      </x:c>
      <x:c r="U346" s="55" t="n">
        <x:v>1154</x:v>
      </x:c>
      <x:c r="V346" s="55" t="n">
        <x:v>10396</x:v>
      </x:c>
      <x:c r="W346" s="55" t="n">
        <x:v>7323</x:v>
      </x:c>
      <x:c r="X346" s="55" t="n">
        <x:v>3073</x:v>
      </x:c>
      <x:c r="Y346" s="55" t="n">
        <x:v>2536</x:v>
      </x:c>
      <x:c r="Z346" s="55" t="n">
        <x:v>3780</x:v>
      </x:c>
      <x:c r="AA346" s="55" t="n">
        <x:v>3003</x:v>
      </x:c>
      <x:c r="AB346" s="55" t="n">
        <x:v>729</x:v>
      </x:c>
      <x:c r="AC346" s="55" t="n">
        <x:v>8007</x:v>
      </x:c>
      <x:c r="AD346" s="55" t="n">
        <x:v>2488</x:v>
      </x:c>
      <x:c r="AE346" s="55" t="n">
        <x:v>10543</x:v>
      </x:c>
      <x:c r="AF346" s="55" t="n">
        <x:v>10396</x:v>
      </x:c>
      <x:c r="AG346" s="55" t="n">
        <x:v>147</x:v>
      </x:c>
      <x:c r="AH346" s="55" t="n">
        <x:v>201</x:v>
      </x:c>
      <x:c r="AI346" s="55" t="n">
        <x:v>10195</x:v>
      </x:c>
      <x:c r="AJ346" s="55" t="n">
        <x:v>490</x:v>
      </x:c>
      <x:c r="AK346" s="55" t="n">
        <x:v>1175</x:v>
      </x:c>
      <x:c r="AL346" s="55" t="n">
        <x:v>1708</x:v>
      </x:c>
      <x:c r="AM346" s="55" t="n">
        <x:v>4622</x:v>
      </x:c>
      <x:c r="AN346" s="55" t="n">
        <x:v>2401</x:v>
      </x:c>
      <x:c r="AO346" s="55" t="n">
        <x:v>0</x:v>
      </x:c>
      <x:c r="AP346" s="55" t="n">
        <x:v>2568</x:v>
      </x:c>
      <x:c r="AQ346" s="55" t="n">
        <x:v>967</x:v>
      </x:c>
    </x:row>
    <x:row r="347">
      <x:c r="A347" s="54" t="str">
        <x:v>T1_SHARED_CATCHMENT</x:v>
      </x:c>
      <x:c r="B347" s="54" t="n">
        <x:v>341</x:v>
      </x:c>
      <x:c r="C347" s="54" t="str">
        <x:v>NYC-V2-R01</x:v>
      </x:c>
      <x:c r="D347" s="54" t="str">
        <x:v>V2</x:v>
      </x:c>
      <x:c r="E347" s="54" t="str">
        <x:v>ADMITTED</x:v>
      </x:c>
      <x:c r="F347" s="55" t="n">
        <x:v>29136</x:v>
      </x:c>
      <x:c r="G347" s="55" t="n">
        <x:v>5277</x:v>
      </x:c>
      <x:c r="H347" s="55" t="n">
        <x:v>3114</x:v>
      </x:c>
      <x:c r="I347" s="55" t="n">
        <x:v>1102</x:v>
      </x:c>
      <x:c r="J347" s="55" t="n">
        <x:v>252</x:v>
      </x:c>
      <x:c r="K347" s="55" t="n">
        <x:v>29136</x:v>
      </x:c>
      <x:c r="L347" s="55" t="n">
        <x:v>5435</x:v>
      </x:c>
      <x:c r="M347" s="55" t="n">
        <x:v>1179</x:v>
      </x:c>
      <x:c r="N347" s="55" t="n">
        <x:v>2369</x:v>
      </x:c>
      <x:c r="O347" s="55" t="n">
        <x:v>1887</x:v>
      </x:c>
      <x:c r="P347" s="55" t="n">
        <x:v>519</x:v>
      </x:c>
      <x:c r="Q347" s="55" t="n">
        <x:v>2390</x:v>
      </x:c>
      <x:c r="R347" s="55" t="n">
        <x:v>1834</x:v>
      </x:c>
      <x:c r="S347" s="55" t="n">
        <x:v>2956</x:v>
      </x:c>
      <x:c r="T347" s="55" t="n">
        <x:v>468</x:v>
      </x:c>
      <x:c r="U347" s="55" t="n">
        <x:v>2606</x:v>
      </x:c>
      <x:c r="V347" s="55" t="n">
        <x:v>10127</x:v>
      </x:c>
      <x:c r="W347" s="55" t="n">
        <x:v>7451</x:v>
      </x:c>
      <x:c r="X347" s="55" t="n">
        <x:v>2676</x:v>
      </x:c>
      <x:c r="Y347" s="55" t="n">
        <x:v>2249</x:v>
      </x:c>
      <x:c r="Z347" s="55" t="n">
        <x:v>3970</x:v>
      </x:c>
      <x:c r="AA347" s="55" t="n">
        <x:v>2798</x:v>
      </x:c>
      <x:c r="AB347" s="55" t="n">
        <x:v>1187</x:v>
      </x:c>
      <x:c r="AC347" s="55" t="n">
        <x:v>7637</x:v>
      </x:c>
      <x:c r="AD347" s="55" t="n">
        <x:v>2355</x:v>
      </x:c>
      <x:c r="AE347" s="55" t="n">
        <x:v>10184</x:v>
      </x:c>
      <x:c r="AF347" s="55" t="n">
        <x:v>10127</x:v>
      </x:c>
      <x:c r="AG347" s="55" t="n">
        <x:v>57</x:v>
      </x:c>
      <x:c r="AH347" s="55" t="n">
        <x:v>441</x:v>
      </x:c>
      <x:c r="AI347" s="55" t="n">
        <x:v>9686</x:v>
      </x:c>
      <x:c r="AJ347" s="55" t="n">
        <x:v>530</x:v>
      </x:c>
      <x:c r="AK347" s="55" t="n">
        <x:v>1117</x:v>
      </x:c>
      <x:c r="AL347" s="55" t="n">
        <x:v>1189</x:v>
      </x:c>
      <x:c r="AM347" s="55" t="n">
        <x:v>4879</x:v>
      </x:c>
      <x:c r="AN347" s="55" t="n">
        <x:v>2337</x:v>
      </x:c>
      <x:c r="AO347" s="55" t="n">
        <x:v>75</x:v>
      </x:c>
      <x:c r="AP347" s="55" t="n">
        <x:v>2554</x:v>
      </x:c>
      <x:c r="AQ347" s="55" t="n">
        <x:v>952</x:v>
      </x:c>
    </x:row>
    <x:row r="348">
      <x:c r="A348" s="54" t="str">
        <x:v>T1_SHARED_CATCHMENT</x:v>
      </x:c>
      <x:c r="B348" s="54" t="n">
        <x:v>342</x:v>
      </x:c>
      <x:c r="C348" s="54" t="str">
        <x:v>NYC-V2-R01</x:v>
      </x:c>
      <x:c r="D348" s="54" t="str">
        <x:v>V2</x:v>
      </x:c>
      <x:c r="E348" s="54" t="str">
        <x:v>ADMITTED</x:v>
      </x:c>
      <x:c r="F348" s="55" t="n">
        <x:v>31828</x:v>
      </x:c>
      <x:c r="G348" s="55" t="n">
        <x:v>8882</x:v>
      </x:c>
      <x:c r="H348" s="55" t="n">
        <x:v>3686</x:v>
      </x:c>
      <x:c r="I348" s="55" t="n">
        <x:v>699</x:v>
      </x:c>
      <x:c r="J348" s="55" t="n">
        <x:v>160</x:v>
      </x:c>
      <x:c r="K348" s="55" t="n">
        <x:v>31828</x:v>
      </x:c>
      <x:c r="L348" s="55" t="n">
        <x:v>6178</x:v>
      </x:c>
      <x:c r="M348" s="55" t="n">
        <x:v>1697</x:v>
      </x:c>
      <x:c r="N348" s="55" t="n">
        <x:v>2754</x:v>
      </x:c>
      <x:c r="O348" s="55" t="n">
        <x:v>1727</x:v>
      </x:c>
      <x:c r="P348" s="55" t="n">
        <x:v>1025</x:v>
      </x:c>
      <x:c r="Q348" s="55" t="n">
        <x:v>1724</x:v>
      </x:c>
      <x:c r="R348" s="55" t="n">
        <x:v>1565</x:v>
      </x:c>
      <x:c r="S348" s="55" t="n">
        <x:v>3122</x:v>
      </x:c>
      <x:c r="T348" s="55" t="n">
        <x:v>1426</x:v>
      </x:c>
      <x:c r="U348" s="55" t="n">
        <x:v>2008</x:v>
      </x:c>
      <x:c r="V348" s="55" t="n">
        <x:v>10533</x:v>
      </x:c>
      <x:c r="W348" s="55" t="n">
        <x:v>7412</x:v>
      </x:c>
      <x:c r="X348" s="55" t="n">
        <x:v>3121</x:v>
      </x:c>
      <x:c r="Y348" s="55" t="n">
        <x:v>2624</x:v>
      </x:c>
      <x:c r="Z348" s="55" t="n">
        <x:v>4285</x:v>
      </x:c>
      <x:c r="AA348" s="55" t="n">
        <x:v>3686</x:v>
      </x:c>
      <x:c r="AB348" s="55" t="n">
        <x:v>1458</x:v>
      </x:c>
      <x:c r="AC348" s="55" t="n">
        <x:v>7758</x:v>
      </x:c>
      <x:c r="AD348" s="55" t="n">
        <x:v>3084</x:v>
      </x:c>
      <x:c r="AE348" s="55" t="n">
        <x:v>10667</x:v>
      </x:c>
      <x:c r="AF348" s="55" t="n">
        <x:v>10533</x:v>
      </x:c>
      <x:c r="AG348" s="55" t="n">
        <x:v>134</x:v>
      </x:c>
      <x:c r="AH348" s="55" t="n">
        <x:v>626</x:v>
      </x:c>
      <x:c r="AI348" s="55" t="n">
        <x:v>9907</x:v>
      </x:c>
      <x:c r="AJ348" s="55" t="n">
        <x:v>331</x:v>
      </x:c>
      <x:c r="AK348" s="55" t="n">
        <x:v>932</x:v>
      </x:c>
      <x:c r="AL348" s="55" t="n">
        <x:v>1335</x:v>
      </x:c>
      <x:c r="AM348" s="55" t="n">
        <x:v>5009</x:v>
      </x:c>
      <x:c r="AN348" s="55" t="n">
        <x:v>2851</x:v>
      </x:c>
      <x:c r="AO348" s="55" t="n">
        <x:v>75</x:v>
      </x:c>
      <x:c r="AP348" s="55" t="n">
        <x:v>2315</x:v>
      </x:c>
      <x:c r="AQ348" s="55" t="n">
        <x:v>977</x:v>
      </x:c>
    </x:row>
    <x:row r="349">
      <x:c r="A349" s="54" t="str">
        <x:v>T1_SHARED_CATCHMENT</x:v>
      </x:c>
      <x:c r="B349" s="54" t="n">
        <x:v>343</x:v>
      </x:c>
      <x:c r="C349" s="54" t="str">
        <x:v>NYC-V2-R01</x:v>
      </x:c>
      <x:c r="D349" s="54" t="str">
        <x:v>V2</x:v>
      </x:c>
      <x:c r="E349" s="54" t="str">
        <x:v>ADMITTED</x:v>
      </x:c>
      <x:c r="F349" s="55" t="n">
        <x:v>34385</x:v>
      </x:c>
      <x:c r="G349" s="55" t="n">
        <x:v>10033</x:v>
      </x:c>
      <x:c r="H349" s="55" t="n">
        <x:v>3568</x:v>
      </x:c>
      <x:c r="I349" s="55" t="n">
        <x:v>1516</x:v>
      </x:c>
      <x:c r="J349" s="55" t="n">
        <x:v>6</x:v>
      </x:c>
      <x:c r="K349" s="55" t="n">
        <x:v>33596</x:v>
      </x:c>
      <x:c r="L349" s="55" t="n">
        <x:v>7696</x:v>
      </x:c>
      <x:c r="M349" s="55" t="n">
        <x:v>3246</x:v>
      </x:c>
      <x:c r="N349" s="55" t="n">
        <x:v>3015</x:v>
      </x:c>
      <x:c r="O349" s="55" t="n">
        <x:v>1435</x:v>
      </x:c>
      <x:c r="P349" s="55" t="n">
        <x:v>1006</x:v>
      </x:c>
      <x:c r="Q349" s="55" t="n">
        <x:v>3305</x:v>
      </x:c>
      <x:c r="R349" s="55" t="n">
        <x:v>2025</x:v>
      </x:c>
      <x:c r="S349" s="55" t="n">
        <x:v>3447</x:v>
      </x:c>
      <x:c r="T349" s="55" t="n">
        <x:v>1287</x:v>
      </x:c>
      <x:c r="U349" s="55" t="n">
        <x:v>2616</x:v>
      </x:c>
      <x:c r="V349" s="55" t="n">
        <x:v>10199</x:v>
      </x:c>
      <x:c r="W349" s="55" t="n">
        <x:v>7091</x:v>
      </x:c>
      <x:c r="X349" s="55" t="n">
        <x:v>3108</x:v>
      </x:c>
      <x:c r="Y349" s="55" t="n">
        <x:v>2827</x:v>
      </x:c>
      <x:c r="Z349" s="55" t="n">
        <x:v>3559</x:v>
      </x:c>
      <x:c r="AA349" s="55" t="n">
        <x:v>3568</x:v>
      </x:c>
      <x:c r="AB349" s="55" t="n">
        <x:v>1315</x:v>
      </x:c>
      <x:c r="AC349" s="55" t="n">
        <x:v>8473</x:v>
      </x:c>
      <x:c r="AD349" s="55" t="n">
        <x:v>3044</x:v>
      </x:c>
      <x:c r="AE349" s="55" t="n">
        <x:v>10288</x:v>
      </x:c>
      <x:c r="AF349" s="55" t="n">
        <x:v>10199</x:v>
      </x:c>
      <x:c r="AG349" s="55" t="n">
        <x:v>89</x:v>
      </x:c>
      <x:c r="AH349" s="55" t="n">
        <x:v>389</x:v>
      </x:c>
      <x:c r="AI349" s="55" t="n">
        <x:v>9810</x:v>
      </x:c>
      <x:c r="AJ349" s="55" t="n">
        <x:v>274</x:v>
      </x:c>
      <x:c r="AK349" s="55" t="n">
        <x:v>927</x:v>
      </x:c>
      <x:c r="AL349" s="55" t="n">
        <x:v>1389</x:v>
      </x:c>
      <x:c r="AM349" s="55" t="n">
        <x:v>4773</x:v>
      </x:c>
      <x:c r="AN349" s="55" t="n">
        <x:v>2734</x:v>
      </x:c>
      <x:c r="AO349" s="55" t="n">
        <x:v>102</x:v>
      </x:c>
      <x:c r="AP349" s="55" t="n">
        <x:v>2458</x:v>
      </x:c>
      <x:c r="AQ349" s="55" t="n">
        <x:v>970</x:v>
      </x:c>
    </x:row>
    <x:row r="350">
      <x:c r="A350" s="54" t="str">
        <x:v>T1_SHARED_CATCHMENT</x:v>
      </x:c>
      <x:c r="B350" s="54" t="n">
        <x:v>344</x:v>
      </x:c>
      <x:c r="C350" s="54" t="str">
        <x:v>NYC-V2-R01</x:v>
      </x:c>
      <x:c r="D350" s="54" t="str">
        <x:v>V2</x:v>
      </x:c>
      <x:c r="E350" s="54" t="str">
        <x:v>ADMITTED</x:v>
      </x:c>
      <x:c r="F350" s="55" t="n">
        <x:v>29025</x:v>
      </x:c>
      <x:c r="G350" s="55" t="n">
        <x:v>7121</x:v>
      </x:c>
      <x:c r="H350" s="55" t="n">
        <x:v>3290</x:v>
      </x:c>
      <x:c r="I350" s="55" t="n">
        <x:v>935</x:v>
      </x:c>
      <x:c r="J350" s="55" t="n">
        <x:v>0</x:v>
      </x:c>
      <x:c r="K350" s="55" t="n">
        <x:v>29025</x:v>
      </x:c>
      <x:c r="L350" s="55" t="n">
        <x:v>5251</x:v>
      </x:c>
      <x:c r="M350" s="55" t="n">
        <x:v>764</x:v>
      </x:c>
      <x:c r="N350" s="55" t="n">
        <x:v>2789</x:v>
      </x:c>
      <x:c r="O350" s="55" t="n">
        <x:v>1698</x:v>
      </x:c>
      <x:c r="P350" s="55" t="n">
        <x:v>809</x:v>
      </x:c>
      <x:c r="Q350" s="55" t="n">
        <x:v>2256</x:v>
      </x:c>
      <x:c r="R350" s="55" t="n">
        <x:v>1486</x:v>
      </x:c>
      <x:c r="S350" s="55" t="n">
        <x:v>1802</x:v>
      </x:c>
      <x:c r="T350" s="55" t="n">
        <x:v>1032</x:v>
      </x:c>
      <x:c r="U350" s="55" t="n">
        <x:v>2433</x:v>
      </x:c>
      <x:c r="V350" s="55" t="n">
        <x:v>10143</x:v>
      </x:c>
      <x:c r="W350" s="55" t="n">
        <x:v>7498</x:v>
      </x:c>
      <x:c r="X350" s="55" t="n">
        <x:v>2645</x:v>
      </x:c>
      <x:c r="Y350" s="55" t="n">
        <x:v>2426</x:v>
      </x:c>
      <x:c r="Z350" s="55" t="n">
        <x:v>3568</x:v>
      </x:c>
      <x:c r="AA350" s="55" t="n">
        <x:v>3290</x:v>
      </x:c>
      <x:c r="AB350" s="55" t="n">
        <x:v>1137</x:v>
      </x:c>
      <x:c r="AC350" s="55" t="n">
        <x:v>8542</x:v>
      </x:c>
      <x:c r="AD350" s="55" t="n">
        <x:v>3314</x:v>
      </x:c>
      <x:c r="AE350" s="55" t="n">
        <x:v>10212</x:v>
      </x:c>
      <x:c r="AF350" s="55" t="n">
        <x:v>10143</x:v>
      </x:c>
      <x:c r="AG350" s="55" t="n">
        <x:v>69</x:v>
      </x:c>
      <x:c r="AH350" s="55" t="n">
        <x:v>197</x:v>
      </x:c>
      <x:c r="AI350" s="55" t="n">
        <x:v>9946</x:v>
      </x:c>
      <x:c r="AJ350" s="55" t="n">
        <x:v>292</x:v>
      </x:c>
      <x:c r="AK350" s="55" t="n">
        <x:v>927</x:v>
      </x:c>
      <x:c r="AL350" s="55" t="n">
        <x:v>1414</x:v>
      </x:c>
      <x:c r="AM350" s="55" t="n">
        <x:v>4735</x:v>
      </x:c>
      <x:c r="AN350" s="55" t="n">
        <x:v>2775</x:v>
      </x:c>
      <x:c r="AO350" s="55" t="n">
        <x:v>0</x:v>
      </x:c>
      <x:c r="AP350" s="55" t="n">
        <x:v>2808</x:v>
      </x:c>
      <x:c r="AQ350" s="55" t="n">
        <x:v>935</x:v>
      </x:c>
    </x:row>
    <x:row r="351">
      <x:c r="A351" s="54" t="str">
        <x:v>T1_SHARED_CATCHMENT</x:v>
      </x:c>
      <x:c r="B351" s="54" t="n">
        <x:v>345</x:v>
      </x:c>
      <x:c r="C351" s="54" t="str">
        <x:v>NYC-V2-R01</x:v>
      </x:c>
      <x:c r="D351" s="54" t="str">
        <x:v>V2</x:v>
      </x:c>
      <x:c r="E351" s="54" t="str">
        <x:v>ADMITTED</x:v>
      </x:c>
      <x:c r="F351" s="55" t="n">
        <x:v>29722</x:v>
      </x:c>
      <x:c r="G351" s="55" t="n">
        <x:v>7112</x:v>
      </x:c>
      <x:c r="H351" s="55" t="n">
        <x:v>3377</x:v>
      </x:c>
      <x:c r="I351" s="55" t="n">
        <x:v>1352</x:v>
      </x:c>
      <x:c r="J351" s="55" t="n">
        <x:v>15</x:v>
      </x:c>
      <x:c r="K351" s="55" t="n">
        <x:v>29722</x:v>
      </x:c>
      <x:c r="L351" s="55" t="n">
        <x:v>5824</x:v>
      </x:c>
      <x:c r="M351" s="55" t="n">
        <x:v>1901</x:v>
      </x:c>
      <x:c r="N351" s="55" t="n">
        <x:v>2560</x:v>
      </x:c>
      <x:c r="O351" s="55" t="n">
        <x:v>1363</x:v>
      </x:c>
      <x:c r="P351" s="55" t="n">
        <x:v>561</x:v>
      </x:c>
      <x:c r="Q351" s="55" t="n">
        <x:v>1999</x:v>
      </x:c>
      <x:c r="R351" s="55" t="n">
        <x:v>1641</x:v>
      </x:c>
      <x:c r="S351" s="55" t="n">
        <x:v>2571</x:v>
      </x:c>
      <x:c r="T351" s="55" t="n">
        <x:v>1243</x:v>
      </x:c>
      <x:c r="U351" s="55" t="n">
        <x:v>1899</x:v>
      </x:c>
      <x:c r="V351" s="55" t="n">
        <x:v>10544</x:v>
      </x:c>
      <x:c r="W351" s="55" t="n">
        <x:v>7270</x:v>
      </x:c>
      <x:c r="X351" s="55" t="n">
        <x:v>3274</x:v>
      </x:c>
      <x:c r="Y351" s="55" t="n">
        <x:v>2845</x:v>
      </x:c>
      <x:c r="Z351" s="55" t="n">
        <x:v>3544</x:v>
      </x:c>
      <x:c r="AA351" s="55" t="n">
        <x:v>3104</x:v>
      </x:c>
      <x:c r="AB351" s="55" t="n">
        <x:v>620</x:v>
      </x:c>
      <x:c r="AC351" s="55" t="n">
        <x:v>7762</x:v>
      </x:c>
      <x:c r="AD351" s="55" t="n">
        <x:v>2713</x:v>
      </x:c>
      <x:c r="AE351" s="55" t="n">
        <x:v>10634</x:v>
      </x:c>
      <x:c r="AF351" s="55" t="n">
        <x:v>10544</x:v>
      </x:c>
      <x:c r="AG351" s="55" t="n">
        <x:v>90</x:v>
      </x:c>
      <x:c r="AH351" s="55" t="n">
        <x:v>589</x:v>
      </x:c>
      <x:c r="AI351" s="55" t="n">
        <x:v>9955</x:v>
      </x:c>
      <x:c r="AJ351" s="55" t="n">
        <x:v>368</x:v>
      </x:c>
      <x:c r="AK351" s="55" t="n">
        <x:v>638</x:v>
      </x:c>
      <x:c r="AL351" s="55" t="n">
        <x:v>1890</x:v>
      </x:c>
      <x:c r="AM351" s="55" t="n">
        <x:v>4640</x:v>
      </x:c>
      <x:c r="AN351" s="55" t="n">
        <x:v>3008</x:v>
      </x:c>
      <x:c r="AO351" s="55" t="n">
        <x:v>0</x:v>
      </x:c>
      <x:c r="AP351" s="55" t="n">
        <x:v>2454</x:v>
      </x:c>
      <x:c r="AQ351" s="55" t="n">
        <x:v>959</x:v>
      </x:c>
    </x:row>
    <x:row r="352">
      <x:c r="A352" s="54" t="str">
        <x:v>T1_SHARED_CATCHMENT</x:v>
      </x:c>
      <x:c r="B352" s="54" t="n">
        <x:v>346</x:v>
      </x:c>
      <x:c r="C352" s="54" t="str">
        <x:v>NYC-V2-R01</x:v>
      </x:c>
      <x:c r="D352" s="54" t="str">
        <x:v>V2</x:v>
      </x:c>
      <x:c r="E352" s="54" t="str">
        <x:v>ADMITTED</x:v>
      </x:c>
      <x:c r="F352" s="55" t="n">
        <x:v>33074</x:v>
      </x:c>
      <x:c r="G352" s="55" t="n">
        <x:v>8875</x:v>
      </x:c>
      <x:c r="H352" s="55" t="n">
        <x:v>3078</x:v>
      </x:c>
      <x:c r="I352" s="55" t="n">
        <x:v>1100</x:v>
      </x:c>
      <x:c r="J352" s="55" t="n">
        <x:v>200</x:v>
      </x:c>
      <x:c r="K352" s="55" t="n">
        <x:v>31529</x:v>
      </x:c>
      <x:c r="L352" s="55" t="n">
        <x:v>6082</x:v>
      </x:c>
      <x:c r="M352" s="55" t="n">
        <x:v>1057</x:v>
      </x:c>
      <x:c r="N352" s="55" t="n">
        <x:v>3357</x:v>
      </x:c>
      <x:c r="O352" s="55" t="n">
        <x:v>1668</x:v>
      </x:c>
      <x:c r="P352" s="55" t="n">
        <x:v>775</x:v>
      </x:c>
      <x:c r="Q352" s="55" t="n">
        <x:v>2884</x:v>
      </x:c>
      <x:c r="R352" s="55" t="n">
        <x:v>2113</x:v>
      </x:c>
      <x:c r="S352" s="55" t="n">
        <x:v>2666</x:v>
      </x:c>
      <x:c r="T352" s="55" t="n">
        <x:v>1281</x:v>
      </x:c>
      <x:c r="U352" s="55" t="n">
        <x:v>2259</x:v>
      </x:c>
      <x:c r="V352" s="55" t="n">
        <x:v>11331</x:v>
      </x:c>
      <x:c r="W352" s="55" t="n">
        <x:v>8424</x:v>
      </x:c>
      <x:c r="X352" s="55" t="n">
        <x:v>2907</x:v>
      </x:c>
      <x:c r="Y352" s="55" t="n">
        <x:v>2610</x:v>
      </x:c>
      <x:c r="Z352" s="55" t="n">
        <x:v>3187</x:v>
      </x:c>
      <x:c r="AA352" s="55" t="n">
        <x:v>2609</x:v>
      </x:c>
      <x:c r="AB352" s="55" t="n">
        <x:v>963</x:v>
      </x:c>
      <x:c r="AC352" s="55" t="n">
        <x:v>8622</x:v>
      </x:c>
      <x:c r="AD352" s="55" t="n">
        <x:v>2974</x:v>
      </x:c>
      <x:c r="AE352" s="55" t="n">
        <x:v>11476</x:v>
      </x:c>
      <x:c r="AF352" s="55" t="n">
        <x:v>11331</x:v>
      </x:c>
      <x:c r="AG352" s="55" t="n">
        <x:v>145</x:v>
      </x:c>
      <x:c r="AH352" s="55" t="n">
        <x:v>464</x:v>
      </x:c>
      <x:c r="AI352" s="55" t="n">
        <x:v>10867</x:v>
      </x:c>
      <x:c r="AJ352" s="55" t="n">
        <x:v>411</x:v>
      </x:c>
      <x:c r="AK352" s="55" t="n">
        <x:v>1022</x:v>
      </x:c>
      <x:c r="AL352" s="55" t="n">
        <x:v>1725</x:v>
      </x:c>
      <x:c r="AM352" s="55" t="n">
        <x:v>4976</x:v>
      </x:c>
      <x:c r="AN352" s="55" t="n">
        <x:v>3196</x:v>
      </x:c>
      <x:c r="AO352" s="55" t="n">
        <x:v>1</x:v>
      </x:c>
      <x:c r="AP352" s="55" t="n">
        <x:v>2743</x:v>
      </x:c>
      <x:c r="AQ352" s="55" t="n">
        <x:v>966</x:v>
      </x:c>
    </x:row>
    <x:row r="353">
      <x:c r="A353" s="54" t="str">
        <x:v>T1_SHARED_CATCHMENT</x:v>
      </x:c>
      <x:c r="B353" s="54" t="n">
        <x:v>347</x:v>
      </x:c>
      <x:c r="C353" s="54" t="str">
        <x:v>NYC-V2-R01</x:v>
      </x:c>
      <x:c r="D353" s="54" t="str">
        <x:v>V2</x:v>
      </x:c>
      <x:c r="E353" s="54" t="str">
        <x:v>ADMITTED</x:v>
      </x:c>
      <x:c r="F353" s="55" t="n">
        <x:v>31278</x:v>
      </x:c>
      <x:c r="G353" s="55" t="n">
        <x:v>7868</x:v>
      </x:c>
      <x:c r="H353" s="55" t="n">
        <x:v>3602</x:v>
      </x:c>
      <x:c r="I353" s="55" t="n">
        <x:v>1721</x:v>
      </x:c>
      <x:c r="J353" s="55" t="n">
        <x:v>464</x:v>
      </x:c>
      <x:c r="K353" s="55" t="n">
        <x:v>29553</x:v>
      </x:c>
      <x:c r="L353" s="55" t="n">
        <x:v>6296</x:v>
      </x:c>
      <x:c r="M353" s="55" t="n">
        <x:v>1823</x:v>
      </x:c>
      <x:c r="N353" s="55" t="n">
        <x:v>2587</x:v>
      </x:c>
      <x:c r="O353" s="55" t="n">
        <x:v>1886</x:v>
      </x:c>
      <x:c r="P353" s="55" t="n">
        <x:v>795</x:v>
      </x:c>
      <x:c r="Q353" s="55" t="n">
        <x:v>3067</x:v>
      </x:c>
      <x:c r="R353" s="55" t="n">
        <x:v>1966</x:v>
      </x:c>
      <x:c r="S353" s="55" t="n">
        <x:v>2558</x:v>
      </x:c>
      <x:c r="T353" s="55" t="n">
        <x:v>1084</x:v>
      </x:c>
      <x:c r="U353" s="55" t="n">
        <x:v>1998</x:v>
      </x:c>
      <x:c r="V353" s="55" t="n">
        <x:v>10586</x:v>
      </x:c>
      <x:c r="W353" s="55" t="n">
        <x:v>7524</x:v>
      </x:c>
      <x:c r="X353" s="55" t="n">
        <x:v>3062</x:v>
      </x:c>
      <x:c r="Y353" s="55" t="n">
        <x:v>2730</x:v>
      </x:c>
      <x:c r="Z353" s="55" t="n">
        <x:v>3639</x:v>
      </x:c>
      <x:c r="AA353" s="55" t="n">
        <x:v>2512</x:v>
      </x:c>
      <x:c r="AB353" s="55" t="n">
        <x:v>948</x:v>
      </x:c>
      <x:c r="AC353" s="55" t="n">
        <x:v>8082</x:v>
      </x:c>
      <x:c r="AD353" s="55" t="n">
        <x:v>2882</x:v>
      </x:c>
      <x:c r="AE353" s="55" t="n">
        <x:v>10662</x:v>
      </x:c>
      <x:c r="AF353" s="55" t="n">
        <x:v>10586</x:v>
      </x:c>
      <x:c r="AG353" s="55" t="n">
        <x:v>76</x:v>
      </x:c>
      <x:c r="AH353" s="55" t="n">
        <x:v>514</x:v>
      </x:c>
      <x:c r="AI353" s="55" t="n">
        <x:v>10072</x:v>
      </x:c>
      <x:c r="AJ353" s="55" t="n">
        <x:v>468</x:v>
      </x:c>
      <x:c r="AK353" s="55" t="n">
        <x:v>851</x:v>
      </x:c>
      <x:c r="AL353" s="55" t="n">
        <x:v>1939</x:v>
      </x:c>
      <x:c r="AM353" s="55" t="n">
        <x:v>4645</x:v>
      </x:c>
      <x:c r="AN353" s="55" t="n">
        <x:v>2683</x:v>
      </x:c>
      <x:c r="AO353" s="55" t="n">
        <x:v>0</x:v>
      </x:c>
      <x:c r="AP353" s="55" t="n">
        <x:v>2304</x:v>
      </x:c>
      <x:c r="AQ353" s="55" t="n">
        <x:v>945</x:v>
      </x:c>
    </x:row>
    <x:row r="354">
      <x:c r="A354" s="54" t="str">
        <x:v>T1_SHARED_CATCHMENT</x:v>
      </x:c>
      <x:c r="B354" s="54" t="n">
        <x:v>348</x:v>
      </x:c>
      <x:c r="C354" s="54" t="str">
        <x:v>NYC-V2-R01</x:v>
      </x:c>
      <x:c r="D354" s="54" t="str">
        <x:v>V2</x:v>
      </x:c>
      <x:c r="E354" s="54" t="str">
        <x:v>ADMITTED</x:v>
      </x:c>
      <x:c r="F354" s="55" t="n">
        <x:v>31076</x:v>
      </x:c>
      <x:c r="G354" s="55" t="n">
        <x:v>7177</x:v>
      </x:c>
      <x:c r="H354" s="55" t="n">
        <x:v>3206</x:v>
      </x:c>
      <x:c r="I354" s="55" t="n">
        <x:v>1289</x:v>
      </x:c>
      <x:c r="J354" s="55" t="n">
        <x:v>234</x:v>
      </x:c>
      <x:c r="K354" s="55" t="n">
        <x:v>31076</x:v>
      </x:c>
      <x:c r="L354" s="55" t="n">
        <x:v>6379</x:v>
      </x:c>
      <x:c r="M354" s="55" t="n">
        <x:v>1652</x:v>
      </x:c>
      <x:c r="N354" s="55" t="n">
        <x:v>3078</x:v>
      </x:c>
      <x:c r="O354" s="55" t="n">
        <x:v>1649</x:v>
      </x:c>
      <x:c r="P354" s="55" t="n">
        <x:v>687</x:v>
      </x:c>
      <x:c r="Q354" s="55" t="n">
        <x:v>2886</x:v>
      </x:c>
      <x:c r="R354" s="55" t="n">
        <x:v>1799</x:v>
      </x:c>
      <x:c r="S354" s="55" t="n">
        <x:v>2790</x:v>
      </x:c>
      <x:c r="T354" s="55" t="n">
        <x:v>1230</x:v>
      </x:c>
      <x:c r="U354" s="55" t="n">
        <x:v>1846</x:v>
      </x:c>
      <x:c r="V354" s="55" t="n">
        <x:v>11394</x:v>
      </x:c>
      <x:c r="W354" s="55" t="n">
        <x:v>8326</x:v>
      </x:c>
      <x:c r="X354" s="55" t="n">
        <x:v>3068</x:v>
      </x:c>
      <x:c r="Y354" s="55" t="n">
        <x:v>2817</x:v>
      </x:c>
      <x:c r="Z354" s="55" t="n">
        <x:v>3948</x:v>
      </x:c>
      <x:c r="AA354" s="55" t="n">
        <x:v>2672</x:v>
      </x:c>
      <x:c r="AB354" s="55" t="n">
        <x:v>1104</x:v>
      </x:c>
      <x:c r="AC354" s="55" t="n">
        <x:v>8139</x:v>
      </x:c>
      <x:c r="AD354" s="55" t="n">
        <x:v>2747</x:v>
      </x:c>
      <x:c r="AE354" s="55" t="n">
        <x:v>11457</x:v>
      </x:c>
      <x:c r="AF354" s="55" t="n">
        <x:v>11394</x:v>
      </x:c>
      <x:c r="AG354" s="55" t="n">
        <x:v>63</x:v>
      </x:c>
      <x:c r="AH354" s="55" t="n">
        <x:v>487</x:v>
      </x:c>
      <x:c r="AI354" s="55" t="n">
        <x:v>10907</x:v>
      </x:c>
      <x:c r="AJ354" s="55" t="n">
        <x:v>551</x:v>
      </x:c>
      <x:c r="AK354" s="55" t="n">
        <x:v>1018</x:v>
      </x:c>
      <x:c r="AL354" s="55" t="n">
        <x:v>1790</x:v>
      </x:c>
      <x:c r="AM354" s="55" t="n">
        <x:v>5483</x:v>
      </x:c>
      <x:c r="AN354" s="55" t="n">
        <x:v>2551</x:v>
      </x:c>
      <x:c r="AO354" s="55" t="n">
        <x:v>1</x:v>
      </x:c>
      <x:c r="AP354" s="55" t="n">
        <x:v>2165</x:v>
      </x:c>
      <x:c r="AQ354" s="55" t="n">
        <x:v>972</x:v>
      </x:c>
    </x:row>
    <x:row r="355">
      <x:c r="A355" s="54" t="str">
        <x:v>T1_SHARED_CATCHMENT</x:v>
      </x:c>
      <x:c r="B355" s="54" t="n">
        <x:v>349</x:v>
      </x:c>
      <x:c r="C355" s="54" t="str">
        <x:v>NYC-V2-R01</x:v>
      </x:c>
      <x:c r="D355" s="54" t="str">
        <x:v>V2</x:v>
      </x:c>
      <x:c r="E355" s="54" t="str">
        <x:v>ADMITTED</x:v>
      </x:c>
      <x:c r="F355" s="55" t="n">
        <x:v>28951</x:v>
      </x:c>
      <x:c r="G355" s="55" t="n">
        <x:v>6724</x:v>
      </x:c>
      <x:c r="H355" s="55" t="n">
        <x:v>3389</x:v>
      </x:c>
      <x:c r="I355" s="55" t="n">
        <x:v>1044</x:v>
      </x:c>
      <x:c r="J355" s="55" t="n">
        <x:v>327</x:v>
      </x:c>
      <x:c r="K355" s="55" t="n">
        <x:v>28951</x:v>
      </x:c>
      <x:c r="L355" s="55" t="n">
        <x:v>5992</x:v>
      </x:c>
      <x:c r="M355" s="55" t="n">
        <x:v>1660</x:v>
      </x:c>
      <x:c r="N355" s="55" t="n">
        <x:v>2380</x:v>
      </x:c>
      <x:c r="O355" s="55" t="n">
        <x:v>1952</x:v>
      </x:c>
      <x:c r="P355" s="55" t="n">
        <x:v>819</x:v>
      </x:c>
      <x:c r="Q355" s="55" t="n">
        <x:v>2835</x:v>
      </x:c>
      <x:c r="R355" s="55" t="n">
        <x:v>2380</x:v>
      </x:c>
      <x:c r="S355" s="55" t="n">
        <x:v>2328</x:v>
      </x:c>
      <x:c r="T355" s="55" t="n">
        <x:v>1014</x:v>
      </x:c>
      <x:c r="U355" s="55" t="n">
        <x:v>2802</x:v>
      </x:c>
      <x:c r="V355" s="55" t="n">
        <x:v>9689</x:v>
      </x:c>
      <x:c r="W355" s="55" t="n">
        <x:v>6660</x:v>
      </x:c>
      <x:c r="X355" s="55" t="n">
        <x:v>3029</x:v>
      </x:c>
      <x:c r="Y355" s="55" t="n">
        <x:v>2633</x:v>
      </x:c>
      <x:c r="Z355" s="55" t="n">
        <x:v>4177</x:v>
      </x:c>
      <x:c r="AA355" s="55" t="n">
        <x:v>3389</x:v>
      </x:c>
      <x:c r="AB355" s="55" t="n">
        <x:v>1257</x:v>
      </x:c>
      <x:c r="AC355" s="55" t="n">
        <x:v>7709</x:v>
      </x:c>
      <x:c r="AD355" s="55" t="n">
        <x:v>3189</x:v>
      </x:c>
      <x:c r="AE355" s="55" t="n">
        <x:v>9737</x:v>
      </x:c>
      <x:c r="AF355" s="55" t="n">
        <x:v>9689</x:v>
      </x:c>
      <x:c r="AG355" s="55" t="n">
        <x:v>48</x:v>
      </x:c>
      <x:c r="AH355" s="55" t="n">
        <x:v>381</x:v>
      </x:c>
      <x:c r="AI355" s="55" t="n">
        <x:v>9308</x:v>
      </x:c>
      <x:c r="AJ355" s="55" t="n">
        <x:v>207</x:v>
      </x:c>
      <x:c r="AK355" s="55" t="n">
        <x:v>1057</x:v>
      </x:c>
      <x:c r="AL355" s="55" t="n">
        <x:v>1798</x:v>
      </x:c>
      <x:c r="AM355" s="55" t="n">
        <x:v>4682</x:v>
      </x:c>
      <x:c r="AN355" s="55" t="n">
        <x:v>1945</x:v>
      </x:c>
      <x:c r="AO355" s="55" t="n">
        <x:v>0</x:v>
      </x:c>
      <x:c r="AP355" s="55" t="n">
        <x:v>2646</x:v>
      </x:c>
      <x:c r="AQ355" s="55" t="n">
        <x:v>918</x:v>
      </x:c>
    </x:row>
    <x:row r="356">
      <x:c r="A356" s="54" t="str">
        <x:v>T1_SHARED_CATCHMENT</x:v>
      </x:c>
      <x:c r="B356" s="54" t="n">
        <x:v>350</x:v>
      </x:c>
      <x:c r="C356" s="54" t="str">
        <x:v>NYC-V2-R01</x:v>
      </x:c>
      <x:c r="D356" s="54" t="str">
        <x:v>V2</x:v>
      </x:c>
      <x:c r="E356" s="54" t="str">
        <x:v>ADMITTED</x:v>
      </x:c>
      <x:c r="F356" s="55" t="n">
        <x:v>32125</x:v>
      </x:c>
      <x:c r="G356" s="55" t="n">
        <x:v>7856</x:v>
      </x:c>
      <x:c r="H356" s="55" t="n">
        <x:v>3143</x:v>
      </x:c>
      <x:c r="I356" s="55" t="n">
        <x:v>1204</x:v>
      </x:c>
      <x:c r="J356" s="55" t="n">
        <x:v>125</x:v>
      </x:c>
      <x:c r="K356" s="55" t="n">
        <x:v>30534</x:v>
      </x:c>
      <x:c r="L356" s="55" t="n">
        <x:v>4752</x:v>
      </x:c>
      <x:c r="M356" s="55" t="n">
        <x:v>59</x:v>
      </x:c>
      <x:c r="N356" s="55" t="n">
        <x:v>3080</x:v>
      </x:c>
      <x:c r="O356" s="55" t="n">
        <x:v>1613</x:v>
      </x:c>
      <x:c r="P356" s="55" t="n">
        <x:v>785</x:v>
      </x:c>
      <x:c r="Q356" s="55" t="n">
        <x:v>2847</x:v>
      </x:c>
      <x:c r="R356" s="55" t="n">
        <x:v>1968</x:v>
      </x:c>
      <x:c r="S356" s="55" t="n">
        <x:v>2530</x:v>
      </x:c>
      <x:c r="T356" s="55" t="n">
        <x:v>1619</x:v>
      </x:c>
      <x:c r="U356" s="55" t="n">
        <x:v>2582</x:v>
      </x:c>
      <x:c r="V356" s="55" t="n">
        <x:v>10847</x:v>
      </x:c>
      <x:c r="W356" s="55" t="n">
        <x:v>7768</x:v>
      </x:c>
      <x:c r="X356" s="55" t="n">
        <x:v>3079</x:v>
      </x:c>
      <x:c r="Y356" s="55" t="n">
        <x:v>2649</x:v>
      </x:c>
      <x:c r="Z356" s="55" t="n">
        <x:v>4224</x:v>
      </x:c>
      <x:c r="AA356" s="55" t="n">
        <x:v>2860</x:v>
      </x:c>
      <x:c r="AB356" s="55" t="n">
        <x:v>1149</x:v>
      </x:c>
      <x:c r="AC356" s="55" t="n">
        <x:v>7945</x:v>
      </x:c>
      <x:c r="AD356" s="55" t="n">
        <x:v>3240</x:v>
      </x:c>
      <x:c r="AE356" s="55" t="n">
        <x:v>10952</x:v>
      </x:c>
      <x:c r="AF356" s="55" t="n">
        <x:v>10847</x:v>
      </x:c>
      <x:c r="AG356" s="55" t="n">
        <x:v>105</x:v>
      </x:c>
      <x:c r="AH356" s="55" t="n">
        <x:v>372</x:v>
      </x:c>
      <x:c r="AI356" s="55" t="n">
        <x:v>10475</x:v>
      </x:c>
      <x:c r="AJ356" s="55" t="n">
        <x:v>456</x:v>
      </x:c>
      <x:c r="AK356" s="55" t="n">
        <x:v>1022</x:v>
      </x:c>
      <x:c r="AL356" s="55" t="n">
        <x:v>1761</x:v>
      </x:c>
      <x:c r="AM356" s="55" t="n">
        <x:v>4895</x:v>
      </x:c>
      <x:c r="AN356" s="55" t="n">
        <x:v>2628</x:v>
      </x:c>
      <x:c r="AO356" s="55" t="n">
        <x:v>85</x:v>
      </x:c>
      <x:c r="AP356" s="55" t="n">
        <x:v>2179</x:v>
      </x:c>
      <x:c r="AQ356" s="55" t="n">
        <x:v>944</x:v>
      </x:c>
    </x:row>
    <x:row r="357">
      <x:c r="A357" s="54" t="str">
        <x:v>T1_SHARED_CATCHMENT</x:v>
      </x:c>
      <x:c r="B357" s="54" t="n">
        <x:v>351</x:v>
      </x:c>
      <x:c r="C357" s="54" t="str">
        <x:v>NYC-V2-R01</x:v>
      </x:c>
      <x:c r="D357" s="54" t="str">
        <x:v>V2</x:v>
      </x:c>
      <x:c r="E357" s="54" t="str">
        <x:v>ADMITTED</x:v>
      </x:c>
      <x:c r="F357" s="55" t="n">
        <x:v>32925</x:v>
      </x:c>
      <x:c r="G357" s="55" t="n">
        <x:v>8627</x:v>
      </x:c>
      <x:c r="H357" s="55" t="n">
        <x:v>3344</x:v>
      </x:c>
      <x:c r="I357" s="55" t="n">
        <x:v>1141</x:v>
      </x:c>
      <x:c r="J357" s="55" t="n">
        <x:v>247</x:v>
      </x:c>
      <x:c r="K357" s="55" t="n">
        <x:v>29034</x:v>
      </x:c>
      <x:c r="L357" s="55" t="n">
        <x:v>5637</x:v>
      </x:c>
      <x:c r="M357" s="55" t="n">
        <x:v>1096</x:v>
      </x:c>
      <x:c r="N357" s="55" t="n">
        <x:v>2734</x:v>
      </x:c>
      <x:c r="O357" s="55" t="n">
        <x:v>1807</x:v>
      </x:c>
      <x:c r="P357" s="55" t="n">
        <x:v>713</x:v>
      </x:c>
      <x:c r="Q357" s="55" t="n">
        <x:v>2465</x:v>
      </x:c>
      <x:c r="R357" s="55" t="n">
        <x:v>1396</x:v>
      </x:c>
      <x:c r="S357" s="55" t="n">
        <x:v>3255</x:v>
      </x:c>
      <x:c r="T357" s="55" t="n">
        <x:v>1383</x:v>
      </x:c>
      <x:c r="U357" s="55" t="n">
        <x:v>2198</x:v>
      </x:c>
      <x:c r="V357" s="55" t="n">
        <x:v>10660</x:v>
      </x:c>
      <x:c r="W357" s="55" t="n">
        <x:v>7766</x:v>
      </x:c>
      <x:c r="X357" s="55" t="n">
        <x:v>2894</x:v>
      </x:c>
      <x:c r="Y357" s="55" t="n">
        <x:v>2364</x:v>
      </x:c>
      <x:c r="Z357" s="55" t="n">
        <x:v>4152</x:v>
      </x:c>
      <x:c r="AA357" s="55" t="n">
        <x:v>3344</x:v>
      </x:c>
      <x:c r="AB357" s="55" t="n">
        <x:v>1029</x:v>
      </x:c>
      <x:c r="AC357" s="55" t="n">
        <x:v>8167</x:v>
      </x:c>
      <x:c r="AD357" s="55" t="n">
        <x:v>2331</x:v>
      </x:c>
      <x:c r="AE357" s="55" t="n">
        <x:v>10789</x:v>
      </x:c>
      <x:c r="AF357" s="55" t="n">
        <x:v>10660</x:v>
      </x:c>
      <x:c r="AG357" s="55" t="n">
        <x:v>129</x:v>
      </x:c>
      <x:c r="AH357" s="55" t="n">
        <x:v>241</x:v>
      </x:c>
      <x:c r="AI357" s="55" t="n">
        <x:v>10419</x:v>
      </x:c>
      <x:c r="AJ357" s="55" t="n">
        <x:v>236</x:v>
      </x:c>
      <x:c r="AK357" s="55" t="n">
        <x:v>1314</x:v>
      </x:c>
      <x:c r="AL357" s="55" t="n">
        <x:v>1680</x:v>
      </x:c>
      <x:c r="AM357" s="55" t="n">
        <x:v>5055</x:v>
      </x:c>
      <x:c r="AN357" s="55" t="n">
        <x:v>2375</x:v>
      </x:c>
      <x:c r="AO357" s="55" t="n">
        <x:v>0</x:v>
      </x:c>
      <x:c r="AP357" s="55" t="n">
        <x:v>2333</x:v>
      </x:c>
      <x:c r="AQ357" s="55" t="n">
        <x:v>1011</x:v>
      </x:c>
    </x:row>
    <x:row r="358">
      <x:c r="A358" s="54" t="str">
        <x:v>T1_SHARED_CATCHMENT</x:v>
      </x:c>
      <x:c r="B358" s="54" t="n">
        <x:v>352</x:v>
      </x:c>
      <x:c r="C358" s="54" t="str">
        <x:v>NYC-V2-R01</x:v>
      </x:c>
      <x:c r="D358" s="54" t="str">
        <x:v>V2</x:v>
      </x:c>
      <x:c r="E358" s="54" t="str">
        <x:v>ADMITTED</x:v>
      </x:c>
      <x:c r="F358" s="55" t="n">
        <x:v>32050</x:v>
      </x:c>
      <x:c r="G358" s="55" t="n">
        <x:v>8719</x:v>
      </x:c>
      <x:c r="H358" s="55" t="n">
        <x:v>3152</x:v>
      </x:c>
      <x:c r="I358" s="55" t="n">
        <x:v>758</x:v>
      </x:c>
      <x:c r="J358" s="55" t="n">
        <x:v>169</x:v>
      </x:c>
      <x:c r="K358" s="55" t="n">
        <x:v>26689</x:v>
      </x:c>
      <x:c r="L358" s="55" t="n">
        <x:v>4196</x:v>
      </x:c>
      <x:c r="M358" s="55" t="n">
        <x:v>585</x:v>
      </x:c>
      <x:c r="N358" s="55" t="n">
        <x:v>1846</x:v>
      </x:c>
      <x:c r="O358" s="55" t="n">
        <x:v>1765</x:v>
      </x:c>
      <x:c r="P358" s="55" t="n">
        <x:v>612</x:v>
      </x:c>
      <x:c r="Q358" s="55" t="n">
        <x:v>2375</x:v>
      </x:c>
      <x:c r="R358" s="55" t="n">
        <x:v>1570</x:v>
      </x:c>
      <x:c r="S358" s="55" t="n">
        <x:v>2320</x:v>
      </x:c>
      <x:c r="T358" s="55" t="n">
        <x:v>702</x:v>
      </x:c>
      <x:c r="U358" s="55" t="n">
        <x:v>2051</x:v>
      </x:c>
      <x:c r="V358" s="55" t="n">
        <x:v>9485</x:v>
      </x:c>
      <x:c r="W358" s="55" t="n">
        <x:v>6814</x:v>
      </x:c>
      <x:c r="X358" s="55" t="n">
        <x:v>2671</x:v>
      </x:c>
      <x:c r="Y358" s="55" t="n">
        <x:v>2187</x:v>
      </x:c>
      <x:c r="Z358" s="55" t="n">
        <x:v>3168</x:v>
      </x:c>
      <x:c r="AA358" s="55" t="n">
        <x:v>2806</x:v>
      </x:c>
      <x:c r="AB358" s="55" t="n">
        <x:v>964</x:v>
      </x:c>
      <x:c r="AC358" s="55" t="n">
        <x:v>7868</x:v>
      </x:c>
      <x:c r="AD358" s="55" t="n">
        <x:v>2907</x:v>
      </x:c>
      <x:c r="AE358" s="55" t="n">
        <x:v>9624</x:v>
      </x:c>
      <x:c r="AF358" s="55" t="n">
        <x:v>9485</x:v>
      </x:c>
      <x:c r="AG358" s="55" t="n">
        <x:v>139</x:v>
      </x:c>
      <x:c r="AH358" s="55" t="n">
        <x:v>423</x:v>
      </x:c>
      <x:c r="AI358" s="55" t="n">
        <x:v>9062</x:v>
      </x:c>
      <x:c r="AJ358" s="55" t="n">
        <x:v>313</x:v>
      </x:c>
      <x:c r="AK358" s="55" t="n">
        <x:v>893</x:v>
      </x:c>
      <x:c r="AL358" s="55" t="n">
        <x:v>1406</x:v>
      </x:c>
      <x:c r="AM358" s="55" t="n">
        <x:v>4289</x:v>
      </x:c>
      <x:c r="AN358" s="55" t="n">
        <x:v>2584</x:v>
      </x:c>
      <x:c r="AO358" s="55" t="n">
        <x:v>0</x:v>
      </x:c>
      <x:c r="AP358" s="55" t="n">
        <x:v>2241</x:v>
      </x:c>
      <x:c r="AQ358" s="55" t="n">
        <x:v>939</x:v>
      </x:c>
    </x:row>
    <x:row r="359">
      <x:c r="A359" s="54" t="str">
        <x:v>T1_SHARED_CATCHMENT</x:v>
      </x:c>
      <x:c r="B359" s="54" t="n">
        <x:v>353</x:v>
      </x:c>
      <x:c r="C359" s="54" t="str">
        <x:v>NYC-V2-R01</x:v>
      </x:c>
      <x:c r="D359" s="54" t="str">
        <x:v>V2</x:v>
      </x:c>
      <x:c r="E359" s="54" t="str">
        <x:v>ADMITTED</x:v>
      </x:c>
      <x:c r="F359" s="55" t="n">
        <x:v>30955</x:v>
      </x:c>
      <x:c r="G359" s="55" t="n">
        <x:v>6205</x:v>
      </x:c>
      <x:c r="H359" s="55" t="n">
        <x:v>3446</x:v>
      </x:c>
      <x:c r="I359" s="55" t="n">
        <x:v>1378</x:v>
      </x:c>
      <x:c r="J359" s="55" t="n">
        <x:v>210</x:v>
      </x:c>
      <x:c r="K359" s="55" t="n">
        <x:v>30955</x:v>
      </x:c>
      <x:c r="L359" s="55" t="n">
        <x:v>5352</x:v>
      </x:c>
      <x:c r="M359" s="55" t="n">
        <x:v>1312</x:v>
      </x:c>
      <x:c r="N359" s="55" t="n">
        <x:v>2185</x:v>
      </x:c>
      <x:c r="O359" s="55" t="n">
        <x:v>1855</x:v>
      </x:c>
      <x:c r="P359" s="55" t="n">
        <x:v>432</x:v>
      </x:c>
      <x:c r="Q359" s="55" t="n">
        <x:v>2819</x:v>
      </x:c>
      <x:c r="R359" s="55" t="n">
        <x:v>1875</x:v>
      </x:c>
      <x:c r="S359" s="55" t="n">
        <x:v>3342</x:v>
      </x:c>
      <x:c r="T359" s="55" t="n">
        <x:v>1342</x:v>
      </x:c>
      <x:c r="U359" s="55" t="n">
        <x:v>1462</x:v>
      </x:c>
      <x:c r="V359" s="55" t="n">
        <x:v>9962</x:v>
      </x:c>
      <x:c r="W359" s="55" t="n">
        <x:v>7389</x:v>
      </x:c>
      <x:c r="X359" s="55" t="n">
        <x:v>2573</x:v>
      </x:c>
      <x:c r="Y359" s="55" t="n">
        <x:v>2151</x:v>
      </x:c>
      <x:c r="Z359" s="55" t="n">
        <x:v>3442</x:v>
      </x:c>
      <x:c r="AA359" s="55" t="n">
        <x:v>3446</x:v>
      </x:c>
      <x:c r="AB359" s="55" t="n">
        <x:v>1491</x:v>
      </x:c>
      <x:c r="AC359" s="55" t="n">
        <x:v>7997</x:v>
      </x:c>
      <x:c r="AD359" s="55" t="n">
        <x:v>2939</x:v>
      </x:c>
      <x:c r="AE359" s="55" t="n">
        <x:v>10030</x:v>
      </x:c>
      <x:c r="AF359" s="55" t="n">
        <x:v>9962</x:v>
      </x:c>
      <x:c r="AG359" s="55" t="n">
        <x:v>68</x:v>
      </x:c>
      <x:c r="AH359" s="55" t="n">
        <x:v>394</x:v>
      </x:c>
      <x:c r="AI359" s="55" t="n">
        <x:v>9568</x:v>
      </x:c>
      <x:c r="AJ359" s="55" t="n">
        <x:v>234</x:v>
      </x:c>
      <x:c r="AK359" s="55" t="n">
        <x:v>817</x:v>
      </x:c>
      <x:c r="AL359" s="55" t="n">
        <x:v>1295</x:v>
      </x:c>
      <x:c r="AM359" s="55" t="n">
        <x:v>5075</x:v>
      </x:c>
      <x:c r="AN359" s="55" t="n">
        <x:v>2541</x:v>
      </x:c>
      <x:c r="AO359" s="55" t="n">
        <x:v>0</x:v>
      </x:c>
      <x:c r="AP359" s="55" t="n">
        <x:v>1953</x:v>
      </x:c>
      <x:c r="AQ359" s="55" t="n">
        <x:v>940</x:v>
      </x:c>
    </x:row>
    <x:row r="360">
      <x:c r="A360" s="54" t="str">
        <x:v>T1_SHARED_CATCHMENT</x:v>
      </x:c>
      <x:c r="B360" s="54" t="n">
        <x:v>354</x:v>
      </x:c>
      <x:c r="C360" s="54" t="str">
        <x:v>NYC-V2-R01</x:v>
      </x:c>
      <x:c r="D360" s="54" t="str">
        <x:v>V2</x:v>
      </x:c>
      <x:c r="E360" s="54" t="str">
        <x:v>ADMITTED</x:v>
      </x:c>
      <x:c r="F360" s="55" t="n">
        <x:v>33452</x:v>
      </x:c>
      <x:c r="G360" s="55" t="n">
        <x:v>9119</x:v>
      </x:c>
      <x:c r="H360" s="55" t="n">
        <x:v>3426</x:v>
      </x:c>
      <x:c r="I360" s="55" t="n">
        <x:v>1812</x:v>
      </x:c>
      <x:c r="J360" s="55" t="n">
        <x:v>248</x:v>
      </x:c>
      <x:c r="K360" s="55" t="n">
        <x:v>28902</x:v>
      </x:c>
      <x:c r="L360" s="55" t="n">
        <x:v>4211</x:v>
      </x:c>
      <x:c r="M360" s="55" t="n">
        <x:v>0</x:v>
      </x:c>
      <x:c r="N360" s="55" t="n">
        <x:v>2454</x:v>
      </x:c>
      <x:c r="O360" s="55" t="n">
        <x:v>1757</x:v>
      </x:c>
      <x:c r="P360" s="55" t="n">
        <x:v>943</x:v>
      </x:c>
      <x:c r="Q360" s="55" t="n">
        <x:v>2598</x:v>
      </x:c>
      <x:c r="R360" s="55" t="n">
        <x:v>1986</x:v>
      </x:c>
      <x:c r="S360" s="55" t="n">
        <x:v>3031</x:v>
      </x:c>
      <x:c r="T360" s="55" t="n">
        <x:v>1004</x:v>
      </x:c>
      <x:c r="U360" s="55" t="n">
        <x:v>2439</x:v>
      </x:c>
      <x:c r="V360" s="55" t="n">
        <x:v>10564</x:v>
      </x:c>
      <x:c r="W360" s="55" t="n">
        <x:v>7362</x:v>
      </x:c>
      <x:c r="X360" s="55" t="n">
        <x:v>3202</x:v>
      </x:c>
      <x:c r="Y360" s="55" t="n">
        <x:v>2918</x:v>
      </x:c>
      <x:c r="Z360" s="55" t="n">
        <x:v>3784</x:v>
      </x:c>
      <x:c r="AA360" s="55" t="n">
        <x:v>2999</x:v>
      </x:c>
      <x:c r="AB360" s="55" t="n">
        <x:v>920</x:v>
      </x:c>
      <x:c r="AC360" s="55" t="n">
        <x:v>8156</x:v>
      </x:c>
      <x:c r="AD360" s="55" t="n">
        <x:v>2873</x:v>
      </x:c>
      <x:c r="AE360" s="55" t="n">
        <x:v>10688</x:v>
      </x:c>
      <x:c r="AF360" s="55" t="n">
        <x:v>10564</x:v>
      </x:c>
      <x:c r="AG360" s="55" t="n">
        <x:v>124</x:v>
      </x:c>
      <x:c r="AH360" s="55" t="n">
        <x:v>291</x:v>
      </x:c>
      <x:c r="AI360" s="55" t="n">
        <x:v>10273</x:v>
      </x:c>
      <x:c r="AJ360" s="55" t="n">
        <x:v>231</x:v>
      </x:c>
      <x:c r="AK360" s="55" t="n">
        <x:v>1306</x:v>
      </x:c>
      <x:c r="AL360" s="55" t="n">
        <x:v>2084</x:v>
      </x:c>
      <x:c r="AM360" s="55" t="n">
        <x:v>4797</x:v>
      </x:c>
      <x:c r="AN360" s="55" t="n">
        <x:v>2145</x:v>
      </x:c>
      <x:c r="AO360" s="55" t="n">
        <x:v>1</x:v>
      </x:c>
      <x:c r="AP360" s="55" t="n">
        <x:v>2789</x:v>
      </x:c>
      <x:c r="AQ360" s="55" t="n">
        <x:v>946</x:v>
      </x:c>
    </x:row>
    <x:row r="361">
      <x:c r="A361" s="54" t="str">
        <x:v>T1_SHARED_CATCHMENT</x:v>
      </x:c>
      <x:c r="B361" s="54" t="n">
        <x:v>355</x:v>
      </x:c>
      <x:c r="C361" s="54" t="str">
        <x:v>NYC-V2-R01</x:v>
      </x:c>
      <x:c r="D361" s="54" t="str">
        <x:v>V2</x:v>
      </x:c>
      <x:c r="E361" s="54" t="str">
        <x:v>ADMITTED</x:v>
      </x:c>
      <x:c r="F361" s="55" t="n">
        <x:v>30580</x:v>
      </x:c>
      <x:c r="G361" s="55" t="n">
        <x:v>6300</x:v>
      </x:c>
      <x:c r="H361" s="55" t="n">
        <x:v>3189</x:v>
      </x:c>
      <x:c r="I361" s="55" t="n">
        <x:v>1317</x:v>
      </x:c>
      <x:c r="J361" s="55" t="n">
        <x:v>7</x:v>
      </x:c>
      <x:c r="K361" s="55" t="n">
        <x:v>30580</x:v>
      </x:c>
      <x:c r="L361" s="55" t="n">
        <x:v>4631</x:v>
      </x:c>
      <x:c r="M361" s="55" t="n">
        <x:v>817</x:v>
      </x:c>
      <x:c r="N361" s="55" t="n">
        <x:v>2307</x:v>
      </x:c>
      <x:c r="O361" s="55" t="n">
        <x:v>1507</x:v>
      </x:c>
      <x:c r="P361" s="55" t="n">
        <x:v>679</x:v>
      </x:c>
      <x:c r="Q361" s="55" t="n">
        <x:v>2337</x:v>
      </x:c>
      <x:c r="R361" s="55" t="n">
        <x:v>2084</x:v>
      </x:c>
      <x:c r="S361" s="55" t="n">
        <x:v>2847</x:v>
      </x:c>
      <x:c r="T361" s="55" t="n">
        <x:v>777</x:v>
      </x:c>
      <x:c r="U361" s="55" t="n">
        <x:v>2014</x:v>
      </x:c>
      <x:c r="V361" s="55" t="n">
        <x:v>9641</x:v>
      </x:c>
      <x:c r="W361" s="55" t="n">
        <x:v>6557</x:v>
      </x:c>
      <x:c r="X361" s="55" t="n">
        <x:v>3084</x:v>
      </x:c>
      <x:c r="Y361" s="55" t="n">
        <x:v>2669</x:v>
      </x:c>
      <x:c r="Z361" s="55" t="n">
        <x:v>3708</x:v>
      </x:c>
      <x:c r="AA361" s="55" t="n">
        <x:v>3169</x:v>
      </x:c>
      <x:c r="AB361" s="55" t="n">
        <x:v>1063</x:v>
      </x:c>
      <x:c r="AC361" s="55" t="n">
        <x:v>7875</x:v>
      </x:c>
      <x:c r="AD361" s="55" t="n">
        <x:v>2217</x:v>
      </x:c>
      <x:c r="AE361" s="55" t="n">
        <x:v>9716</x:v>
      </x:c>
      <x:c r="AF361" s="55" t="n">
        <x:v>9641</x:v>
      </x:c>
      <x:c r="AG361" s="55" t="n">
        <x:v>75</x:v>
      </x:c>
      <x:c r="AH361" s="55" t="n">
        <x:v>432</x:v>
      </x:c>
      <x:c r="AI361" s="55" t="n">
        <x:v>9209</x:v>
      </x:c>
      <x:c r="AJ361" s="55" t="n">
        <x:v>46</x:v>
      </x:c>
      <x:c r="AK361" s="55" t="n">
        <x:v>778</x:v>
      </x:c>
      <x:c r="AL361" s="55" t="n">
        <x:v>1650</x:v>
      </x:c>
      <x:c r="AM361" s="55" t="n">
        <x:v>4364</x:v>
      </x:c>
      <x:c r="AN361" s="55" t="n">
        <x:v>2803</x:v>
      </x:c>
      <x:c r="AO361" s="55" t="n">
        <x:v>0</x:v>
      </x:c>
      <x:c r="AP361" s="55" t="n">
        <x:v>2411</x:v>
      </x:c>
      <x:c r="AQ361" s="55" t="n">
        <x:v>932</x:v>
      </x:c>
    </x:row>
    <x:row r="362">
      <x:c r="A362" s="54" t="str">
        <x:v>T1_SHARED_CATCHMENT</x:v>
      </x:c>
      <x:c r="B362" s="54" t="n">
        <x:v>356</x:v>
      </x:c>
      <x:c r="C362" s="54" t="str">
        <x:v>NYC-V2-R01</x:v>
      </x:c>
      <x:c r="D362" s="54" t="str">
        <x:v>V2</x:v>
      </x:c>
      <x:c r="E362" s="54" t="str">
        <x:v>ADMITTED</x:v>
      </x:c>
      <x:c r="F362" s="55" t="n">
        <x:v>30825</x:v>
      </x:c>
      <x:c r="G362" s="55" t="n">
        <x:v>8477</x:v>
      </x:c>
      <x:c r="H362" s="55" t="n">
        <x:v>3269</x:v>
      </x:c>
      <x:c r="I362" s="55" t="n">
        <x:v>626</x:v>
      </x:c>
      <x:c r="J362" s="55" t="n">
        <x:v>11</x:v>
      </x:c>
      <x:c r="K362" s="55" t="n">
        <x:v>30450</x:v>
      </x:c>
      <x:c r="L362" s="55" t="n">
        <x:v>5095</x:v>
      </x:c>
      <x:c r="M362" s="55" t="n">
        <x:v>488</x:v>
      </x:c>
      <x:c r="N362" s="55" t="n">
        <x:v>3103</x:v>
      </x:c>
      <x:c r="O362" s="55" t="n">
        <x:v>1504</x:v>
      </x:c>
      <x:c r="P362" s="55" t="n">
        <x:v>683</x:v>
      </x:c>
      <x:c r="Q362" s="55" t="n">
        <x:v>2563</x:v>
      </x:c>
      <x:c r="R362" s="55" t="n">
        <x:v>1685</x:v>
      </x:c>
      <x:c r="S362" s="55" t="n">
        <x:v>2657</x:v>
      </x:c>
      <x:c r="T362" s="55" t="n">
        <x:v>558</x:v>
      </x:c>
      <x:c r="U362" s="55" t="n">
        <x:v>2111</x:v>
      </x:c>
      <x:c r="V362" s="55" t="n">
        <x:v>10536</x:v>
      </x:c>
      <x:c r="W362" s="55" t="n">
        <x:v>7687</x:v>
      </x:c>
      <x:c r="X362" s="55" t="n">
        <x:v>2849</x:v>
      </x:c>
      <x:c r="Y362" s="55" t="n">
        <x:v>2275</x:v>
      </x:c>
      <x:c r="Z362" s="55" t="n">
        <x:v>3215</x:v>
      </x:c>
      <x:c r="AA362" s="55" t="n">
        <x:v>3269</x:v>
      </x:c>
      <x:c r="AB362" s="55" t="n">
        <x:v>731</x:v>
      </x:c>
      <x:c r="AC362" s="55" t="n">
        <x:v>8103</x:v>
      </x:c>
      <x:c r="AD362" s="55" t="n">
        <x:v>3037</x:v>
      </x:c>
      <x:c r="AE362" s="55" t="n">
        <x:v>10709</x:v>
      </x:c>
      <x:c r="AF362" s="55" t="n">
        <x:v>10536</x:v>
      </x:c>
      <x:c r="AG362" s="55" t="n">
        <x:v>173</x:v>
      </x:c>
      <x:c r="AH362" s="55" t="n">
        <x:v>437</x:v>
      </x:c>
      <x:c r="AI362" s="55" t="n">
        <x:v>10099</x:v>
      </x:c>
      <x:c r="AJ362" s="55" t="n">
        <x:v>428</x:v>
      </x:c>
      <x:c r="AK362" s="55" t="n">
        <x:v>814</x:v>
      </x:c>
      <x:c r="AL362" s="55" t="n">
        <x:v>1639</x:v>
      </x:c>
      <x:c r="AM362" s="55" t="n">
        <x:v>4816</x:v>
      </x:c>
      <x:c r="AN362" s="55" t="n">
        <x:v>2756</x:v>
      </x:c>
      <x:c r="AO362" s="55" t="n">
        <x:v>83</x:v>
      </x:c>
      <x:c r="AP362" s="55" t="n">
        <x:v>2252</x:v>
      </x:c>
      <x:c r="AQ362" s="55" t="n">
        <x:v>906</x:v>
      </x:c>
    </x:row>
    <x:row r="363">
      <x:c r="A363" s="54" t="str">
        <x:v>T1_SHARED_CATCHMENT</x:v>
      </x:c>
      <x:c r="B363" s="54" t="n">
        <x:v>357</x:v>
      </x:c>
      <x:c r="C363" s="54" t="str">
        <x:v>NYC-V2-R01</x:v>
      </x:c>
      <x:c r="D363" s="54" t="str">
        <x:v>V2</x:v>
      </x:c>
      <x:c r="E363" s="54" t="str">
        <x:v>ADMITTED</x:v>
      </x:c>
      <x:c r="F363" s="55" t="n">
        <x:v>32142</x:v>
      </x:c>
      <x:c r="G363" s="55" t="n">
        <x:v>8320</x:v>
      </x:c>
      <x:c r="H363" s="55" t="n">
        <x:v>3598</x:v>
      </x:c>
      <x:c r="I363" s="55" t="n">
        <x:v>1278</x:v>
      </x:c>
      <x:c r="J363" s="55" t="n">
        <x:v>303</x:v>
      </x:c>
      <x:c r="K363" s="55" t="n">
        <x:v>32047</x:v>
      </x:c>
      <x:c r="L363" s="55" t="n">
        <x:v>5343</x:v>
      </x:c>
      <x:c r="M363" s="55" t="n">
        <x:v>1544</x:v>
      </x:c>
      <x:c r="N363" s="55" t="n">
        <x:v>2328</x:v>
      </x:c>
      <x:c r="O363" s="55" t="n">
        <x:v>1471</x:v>
      </x:c>
      <x:c r="P363" s="55" t="n">
        <x:v>1151</x:v>
      </x:c>
      <x:c r="Q363" s="55" t="n">
        <x:v>1749</x:v>
      </x:c>
      <x:c r="R363" s="55" t="n">
        <x:v>2250</x:v>
      </x:c>
      <x:c r="S363" s="55" t="n">
        <x:v>2266</x:v>
      </x:c>
      <x:c r="T363" s="55" t="n">
        <x:v>992</x:v>
      </x:c>
      <x:c r="U363" s="55" t="n">
        <x:v>2058</x:v>
      </x:c>
      <x:c r="V363" s="55" t="n">
        <x:v>9787</x:v>
      </x:c>
      <x:c r="W363" s="55" t="n">
        <x:v>6640</x:v>
      </x:c>
      <x:c r="X363" s="55" t="n">
        <x:v>3147</x:v>
      </x:c>
      <x:c r="Y363" s="55" t="n">
        <x:v>2693</x:v>
      </x:c>
      <x:c r="Z363" s="55" t="n">
        <x:v>3525</x:v>
      </x:c>
      <x:c r="AA363" s="55" t="n">
        <x:v>3246</x:v>
      </x:c>
      <x:c r="AB363" s="55" t="n">
        <x:v>1304</x:v>
      </x:c>
      <x:c r="AC363" s="55" t="n">
        <x:v>8073</x:v>
      </x:c>
      <x:c r="AD363" s="55" t="n">
        <x:v>3016</x:v>
      </x:c>
      <x:c r="AE363" s="55" t="n">
        <x:v>9909</x:v>
      </x:c>
      <x:c r="AF363" s="55" t="n">
        <x:v>9787</x:v>
      </x:c>
      <x:c r="AG363" s="55" t="n">
        <x:v>122</x:v>
      </x:c>
      <x:c r="AH363" s="55" t="n">
        <x:v>242</x:v>
      </x:c>
      <x:c r="AI363" s="55" t="n">
        <x:v>9545</x:v>
      </x:c>
      <x:c r="AJ363" s="55" t="n">
        <x:v>327</x:v>
      </x:c>
      <x:c r="AK363" s="55" t="n">
        <x:v>1006</x:v>
      </x:c>
      <x:c r="AL363" s="55" t="n">
        <x:v>1552</x:v>
      </x:c>
      <x:c r="AM363" s="55" t="n">
        <x:v>4672</x:v>
      </x:c>
      <x:c r="AN363" s="55" t="n">
        <x:v>2230</x:v>
      </x:c>
      <x:c r="AO363" s="55" t="n">
        <x:v>0</x:v>
      </x:c>
      <x:c r="AP363" s="55" t="n">
        <x:v>2513</x:v>
      </x:c>
      <x:c r="AQ363" s="55" t="n">
        <x:v>964</x:v>
      </x:c>
    </x:row>
    <x:row r="364">
      <x:c r="A364" s="54" t="str">
        <x:v>T1_SHARED_CATCHMENT</x:v>
      </x:c>
      <x:c r="B364" s="54" t="n">
        <x:v>358</x:v>
      </x:c>
      <x:c r="C364" s="54" t="str">
        <x:v>NYC-V2-R01</x:v>
      </x:c>
      <x:c r="D364" s="54" t="str">
        <x:v>V2</x:v>
      </x:c>
      <x:c r="E364" s="54" t="str">
        <x:v>ADMITTED</x:v>
      </x:c>
      <x:c r="F364" s="55" t="n">
        <x:v>30640</x:v>
      </x:c>
      <x:c r="G364" s="55" t="n">
        <x:v>6301</x:v>
      </x:c>
      <x:c r="H364" s="55" t="n">
        <x:v>3243</x:v>
      </x:c>
      <x:c r="I364" s="55" t="n">
        <x:v>1290</x:v>
      </x:c>
      <x:c r="J364" s="55" t="n">
        <x:v>245</x:v>
      </x:c>
      <x:c r="K364" s="55" t="n">
        <x:v>30640</x:v>
      </x:c>
      <x:c r="L364" s="55" t="n">
        <x:v>4756</x:v>
      </x:c>
      <x:c r="M364" s="55" t="n">
        <x:v>499</x:v>
      </x:c>
      <x:c r="N364" s="55" t="n">
        <x:v>2856</x:v>
      </x:c>
      <x:c r="O364" s="55" t="n">
        <x:v>1401</x:v>
      </x:c>
      <x:c r="P364" s="55" t="n">
        <x:v>1001</x:v>
      </x:c>
      <x:c r="Q364" s="55" t="n">
        <x:v>2403</x:v>
      </x:c>
      <x:c r="R364" s="55" t="n">
        <x:v>1622</x:v>
      </x:c>
      <x:c r="S364" s="55" t="n">
        <x:v>2433</x:v>
      </x:c>
      <x:c r="T364" s="55" t="n">
        <x:v>1429</x:v>
      </x:c>
      <x:c r="U364" s="55" t="n">
        <x:v>1958</x:v>
      </x:c>
      <x:c r="V364" s="55" t="n">
        <x:v>10346</x:v>
      </x:c>
      <x:c r="W364" s="55" t="n">
        <x:v>7650</x:v>
      </x:c>
      <x:c r="X364" s="55" t="n">
        <x:v>2696</x:v>
      </x:c>
      <x:c r="Y364" s="55" t="n">
        <x:v>2493</x:v>
      </x:c>
      <x:c r="Z364" s="55" t="n">
        <x:v>3632</x:v>
      </x:c>
      <x:c r="AA364" s="55" t="n">
        <x:v>2538</x:v>
      </x:c>
      <x:c r="AB364" s="55" t="n">
        <x:v>605</x:v>
      </x:c>
      <x:c r="AC364" s="55" t="n">
        <x:v>8543</x:v>
      </x:c>
      <x:c r="AD364" s="55" t="n">
        <x:v>3091</x:v>
      </x:c>
      <x:c r="AE364" s="55" t="n">
        <x:v>10424</x:v>
      </x:c>
      <x:c r="AF364" s="55" t="n">
        <x:v>10346</x:v>
      </x:c>
      <x:c r="AG364" s="55" t="n">
        <x:v>78</x:v>
      </x:c>
      <x:c r="AH364" s="55" t="n">
        <x:v>381</x:v>
      </x:c>
      <x:c r="AI364" s="55" t="n">
        <x:v>9965</x:v>
      </x:c>
      <x:c r="AJ364" s="55" t="n">
        <x:v>403</x:v>
      </x:c>
      <x:c r="AK364" s="55" t="n">
        <x:v>1035</x:v>
      </x:c>
      <x:c r="AL364" s="55" t="n">
        <x:v>1339</x:v>
      </x:c>
      <x:c r="AM364" s="55" t="n">
        <x:v>5149</x:v>
      </x:c>
      <x:c r="AN364" s="55" t="n">
        <x:v>2419</x:v>
      </x:c>
      <x:c r="AO364" s="55" t="n">
        <x:v>1</x:v>
      </x:c>
      <x:c r="AP364" s="55" t="n">
        <x:v>2327</x:v>
      </x:c>
      <x:c r="AQ364" s="55" t="n">
        <x:v>974</x:v>
      </x:c>
    </x:row>
    <x:row r="365">
      <x:c r="A365" s="54" t="str">
        <x:v>T1_SHARED_CATCHMENT</x:v>
      </x:c>
      <x:c r="B365" s="54" t="n">
        <x:v>359</x:v>
      </x:c>
      <x:c r="C365" s="54" t="str">
        <x:v>NYC-V2-R01</x:v>
      </x:c>
      <x:c r="D365" s="54" t="str">
        <x:v>V2</x:v>
      </x:c>
      <x:c r="E365" s="54" t="str">
        <x:v>ADMITTED</x:v>
      </x:c>
      <x:c r="F365" s="55" t="n">
        <x:v>31908</x:v>
      </x:c>
      <x:c r="G365" s="55" t="n">
        <x:v>8251</x:v>
      </x:c>
      <x:c r="H365" s="55" t="n">
        <x:v>3585</x:v>
      </x:c>
      <x:c r="I365" s="55" t="n">
        <x:v>834</x:v>
      </x:c>
      <x:c r="J365" s="55" t="n">
        <x:v>143</x:v>
      </x:c>
      <x:c r="K365" s="55" t="n">
        <x:v>30786</x:v>
      </x:c>
      <x:c r="L365" s="55" t="n">
        <x:v>5717</x:v>
      </x:c>
      <x:c r="M365" s="55" t="n">
        <x:v>1872</x:v>
      </x:c>
      <x:c r="N365" s="55" t="n">
        <x:v>2471</x:v>
      </x:c>
      <x:c r="O365" s="55" t="n">
        <x:v>1374</x:v>
      </x:c>
      <x:c r="P365" s="55" t="n">
        <x:v>1225</x:v>
      </x:c>
      <x:c r="Q365" s="55" t="n">
        <x:v>1470</x:v>
      </x:c>
      <x:c r="R365" s="55" t="n">
        <x:v>1562</x:v>
      </x:c>
      <x:c r="S365" s="55" t="n">
        <x:v>1933</x:v>
      </x:c>
      <x:c r="T365" s="55" t="n">
        <x:v>1253</x:v>
      </x:c>
      <x:c r="U365" s="55" t="n">
        <x:v>2329</x:v>
      </x:c>
      <x:c r="V365" s="55" t="n">
        <x:v>10658</x:v>
      </x:c>
      <x:c r="W365" s="55" t="n">
        <x:v>7733</x:v>
      </x:c>
      <x:c r="X365" s="55" t="n">
        <x:v>2925</x:v>
      </x:c>
      <x:c r="Y365" s="55" t="n">
        <x:v>2648</x:v>
      </x:c>
      <x:c r="Z365" s="55" t="n">
        <x:v>4014</x:v>
      </x:c>
      <x:c r="AA365" s="55" t="n">
        <x:v>3585</x:v>
      </x:c>
      <x:c r="AB365" s="55" t="n">
        <x:v>1119</x:v>
      </x:c>
      <x:c r="AC365" s="55" t="n">
        <x:v>7357</x:v>
      </x:c>
      <x:c r="AD365" s="55" t="n">
        <x:v>3117</x:v>
      </x:c>
      <x:c r="AE365" s="55" t="n">
        <x:v>10770</x:v>
      </x:c>
      <x:c r="AF365" s="55" t="n">
        <x:v>10658</x:v>
      </x:c>
      <x:c r="AG365" s="55" t="n">
        <x:v>112</x:v>
      </x:c>
      <x:c r="AH365" s="55" t="n">
        <x:v>483</x:v>
      </x:c>
      <x:c r="AI365" s="55" t="n">
        <x:v>10175</x:v>
      </x:c>
      <x:c r="AJ365" s="55" t="n">
        <x:v>147</x:v>
      </x:c>
      <x:c r="AK365" s="55" t="n">
        <x:v>898</x:v>
      </x:c>
      <x:c r="AL365" s="55" t="n">
        <x:v>1928</x:v>
      </x:c>
      <x:c r="AM365" s="55" t="n">
        <x:v>5416</x:v>
      </x:c>
      <x:c r="AN365" s="55" t="n">
        <x:v>2247</x:v>
      </x:c>
      <x:c r="AO365" s="55" t="n">
        <x:v>22</x:v>
      </x:c>
      <x:c r="AP365" s="55" t="n">
        <x:v>2343</x:v>
      </x:c>
      <x:c r="AQ365" s="55" t="n">
        <x:v>940</x:v>
      </x:c>
    </x:row>
    <x:row r="366">
      <x:c r="A366" s="54" t="str">
        <x:v>T1_SHARED_CATCHMENT</x:v>
      </x:c>
      <x:c r="B366" s="54" t="n">
        <x:v>360</x:v>
      </x:c>
      <x:c r="C366" s="54" t="str">
        <x:v>NYC-V2-R01</x:v>
      </x:c>
      <x:c r="D366" s="54" t="str">
        <x:v>V2</x:v>
      </x:c>
      <x:c r="E366" s="54" t="str">
        <x:v>ADMITTED</x:v>
      </x:c>
      <x:c r="F366" s="55" t="n">
        <x:v>29635</x:v>
      </x:c>
      <x:c r="G366" s="55" t="n">
        <x:v>5865</x:v>
      </x:c>
      <x:c r="H366" s="55" t="n">
        <x:v>3531</x:v>
      </x:c>
      <x:c r="I366" s="55" t="n">
        <x:v>1481</x:v>
      </x:c>
      <x:c r="J366" s="55" t="n">
        <x:v>333</x:v>
      </x:c>
      <x:c r="K366" s="55" t="n">
        <x:v>29635</x:v>
      </x:c>
      <x:c r="L366" s="55" t="n">
        <x:v>5821</x:v>
      </x:c>
      <x:c r="M366" s="55" t="n">
        <x:v>2051</x:v>
      </x:c>
      <x:c r="N366" s="55" t="n">
        <x:v>2096</x:v>
      </x:c>
      <x:c r="O366" s="55" t="n">
        <x:v>1674</x:v>
      </x:c>
      <x:c r="P366" s="55" t="n">
        <x:v>898</x:v>
      </x:c>
      <x:c r="Q366" s="55" t="n">
        <x:v>2419</x:v>
      </x:c>
      <x:c r="R366" s="55" t="n">
        <x:v>1398</x:v>
      </x:c>
      <x:c r="S366" s="55" t="n">
        <x:v>2703</x:v>
      </x:c>
      <x:c r="T366" s="55" t="n">
        <x:v>1429</x:v>
      </x:c>
      <x:c r="U366" s="55" t="n">
        <x:v>1447</x:v>
      </x:c>
      <x:c r="V366" s="55" t="n">
        <x:v>9718</x:v>
      </x:c>
      <x:c r="W366" s="55" t="n">
        <x:v>6552</x:v>
      </x:c>
      <x:c r="X366" s="55" t="n">
        <x:v>3166</x:v>
      </x:c>
      <x:c r="Y366" s="55" t="n">
        <x:v>2730</x:v>
      </x:c>
      <x:c r="Z366" s="55" t="n">
        <x:v>4141</x:v>
      </x:c>
      <x:c r="AA366" s="55" t="n">
        <x:v>3130</x:v>
      </x:c>
      <x:c r="AB366" s="55" t="n">
        <x:v>992</x:v>
      </x:c>
      <x:c r="AC366" s="55" t="n">
        <x:v>8459</x:v>
      </x:c>
      <x:c r="AD366" s="55" t="n">
        <x:v>2339</x:v>
      </x:c>
      <x:c r="AE366" s="55" t="n">
        <x:v>9823</x:v>
      </x:c>
      <x:c r="AF366" s="55" t="n">
        <x:v>9718</x:v>
      </x:c>
      <x:c r="AG366" s="55" t="n">
        <x:v>105</x:v>
      </x:c>
      <x:c r="AH366" s="55" t="n">
        <x:v>470</x:v>
      </x:c>
      <x:c r="AI366" s="55" t="n">
        <x:v>9248</x:v>
      </x:c>
      <x:c r="AJ366" s="55" t="n">
        <x:v>447</x:v>
      </x:c>
      <x:c r="AK366" s="55" t="n">
        <x:v>837</x:v>
      </x:c>
      <x:c r="AL366" s="55" t="n">
        <x:v>1158</x:v>
      </x:c>
      <x:c r="AM366" s="55" t="n">
        <x:v>4879</x:v>
      </x:c>
      <x:c r="AN366" s="55" t="n">
        <x:v>2397</x:v>
      </x:c>
      <x:c r="AO366" s="55" t="n">
        <x:v>0</x:v>
      </x:c>
      <x:c r="AP366" s="55" t="n">
        <x:v>2399</x:v>
      </x:c>
      <x:c r="AQ366" s="55" t="n">
        <x:v>965</x:v>
      </x:c>
    </x:row>
    <x:row r="367">
      <x:c r="A367" s="54" t="str">
        <x:v>T1_SHARED_CATCHMENT</x:v>
      </x:c>
      <x:c r="B367" s="54" t="n">
        <x:v>361</x:v>
      </x:c>
      <x:c r="C367" s="54" t="str">
        <x:v>NYC-V2-R01</x:v>
      </x:c>
      <x:c r="D367" s="54" t="str">
        <x:v>V2</x:v>
      </x:c>
      <x:c r="E367" s="54" t="str">
        <x:v>ADMITTED</x:v>
      </x:c>
      <x:c r="F367" s="55" t="n">
        <x:v>33557</x:v>
      </x:c>
      <x:c r="G367" s="55" t="n">
        <x:v>8854</x:v>
      </x:c>
      <x:c r="H367" s="55" t="n">
        <x:v>4213</x:v>
      </x:c>
      <x:c r="I367" s="55" t="n">
        <x:v>1905</x:v>
      </x:c>
      <x:c r="J367" s="55" t="n">
        <x:v>673</x:v>
      </x:c>
      <x:c r="K367" s="55" t="n">
        <x:v>33557</x:v>
      </x:c>
      <x:c r="L367" s="55" t="n">
        <x:v>7673</x:v>
      </x:c>
      <x:c r="M367" s="55" t="n">
        <x:v>2024</x:v>
      </x:c>
      <x:c r="N367" s="55" t="n">
        <x:v>3308</x:v>
      </x:c>
      <x:c r="O367" s="55" t="n">
        <x:v>2341</x:v>
      </x:c>
      <x:c r="P367" s="55" t="n">
        <x:v>1226</x:v>
      </x:c>
      <x:c r="Q367" s="55" t="n">
        <x:v>2837</x:v>
      </x:c>
      <x:c r="R367" s="55" t="n">
        <x:v>2169</x:v>
      </x:c>
      <x:c r="S367" s="55" t="n">
        <x:v>3631</x:v>
      </x:c>
      <x:c r="T367" s="55" t="n">
        <x:v>1078</x:v>
      </x:c>
      <x:c r="U367" s="55" t="n">
        <x:v>2160</x:v>
      </x:c>
      <x:c r="V367" s="55" t="n">
        <x:v>11347</x:v>
      </x:c>
      <x:c r="W367" s="55" t="n">
        <x:v>8286</x:v>
      </x:c>
      <x:c r="X367" s="55" t="n">
        <x:v>3061</x:v>
      </x:c>
      <x:c r="Y367" s="55" t="n">
        <x:v>2804</x:v>
      </x:c>
      <x:c r="Z367" s="55" t="n">
        <x:v>3696</x:v>
      </x:c>
      <x:c r="AA367" s="55" t="n">
        <x:v>4213</x:v>
      </x:c>
      <x:c r="AB367" s="55" t="n">
        <x:v>1467</x:v>
      </x:c>
      <x:c r="AC367" s="55" t="n">
        <x:v>8190</x:v>
      </x:c>
      <x:c r="AD367" s="55" t="n">
        <x:v>3289</x:v>
      </x:c>
      <x:c r="AE367" s="55" t="n">
        <x:v>11494</x:v>
      </x:c>
      <x:c r="AF367" s="55" t="n">
        <x:v>11347</x:v>
      </x:c>
      <x:c r="AG367" s="55" t="n">
        <x:v>147</x:v>
      </x:c>
      <x:c r="AH367" s="55" t="n">
        <x:v>646</x:v>
      </x:c>
      <x:c r="AI367" s="55" t="n">
        <x:v>10701</x:v>
      </x:c>
      <x:c r="AJ367" s="55" t="n">
        <x:v>441</x:v>
      </x:c>
      <x:c r="AK367" s="55" t="n">
        <x:v>1210</x:v>
      </x:c>
      <x:c r="AL367" s="55" t="n">
        <x:v>1613</x:v>
      </x:c>
      <x:c r="AM367" s="55" t="n">
        <x:v>5308</x:v>
      </x:c>
      <x:c r="AN367" s="55" t="n">
        <x:v>2772</x:v>
      </x:c>
      <x:c r="AO367" s="55" t="n">
        <x:v>3</x:v>
      </x:c>
      <x:c r="AP367" s="55" t="n">
        <x:v>2656</x:v>
      </x:c>
      <x:c r="AQ367" s="55" t="n">
        <x:v>999</x:v>
      </x:c>
    </x:row>
    <x:row r="368">
      <x:c r="A368" s="54" t="str">
        <x:v>T1_SHARED_CATCHMENT</x:v>
      </x:c>
      <x:c r="B368" s="54" t="n">
        <x:v>362</x:v>
      </x:c>
      <x:c r="C368" s="54" t="str">
        <x:v>NYC-V2-R01</x:v>
      </x:c>
      <x:c r="D368" s="54" t="str">
        <x:v>V2</x:v>
      </x:c>
      <x:c r="E368" s="54" t="str">
        <x:v>ADMITTED</x:v>
      </x:c>
      <x:c r="F368" s="55" t="n">
        <x:v>32380</x:v>
      </x:c>
      <x:c r="G368" s="55" t="n">
        <x:v>7887</x:v>
      </x:c>
      <x:c r="H368" s="55" t="n">
        <x:v>3537</x:v>
      </x:c>
      <x:c r="I368" s="55" t="n">
        <x:v>1186</x:v>
      </x:c>
      <x:c r="J368" s="55" t="n">
        <x:v>300</x:v>
      </x:c>
      <x:c r="K368" s="55" t="n">
        <x:v>32380</x:v>
      </x:c>
      <x:c r="L368" s="55" t="n">
        <x:v>6170</x:v>
      </x:c>
      <x:c r="M368" s="55" t="n">
        <x:v>1021</x:v>
      </x:c>
      <x:c r="N368" s="55" t="n">
        <x:v>3258</x:v>
      </x:c>
      <x:c r="O368" s="55" t="n">
        <x:v>1891</x:v>
      </x:c>
      <x:c r="P368" s="55" t="n">
        <x:v>817</x:v>
      </x:c>
      <x:c r="Q368" s="55" t="n">
        <x:v>1547</x:v>
      </x:c>
      <x:c r="R368" s="55" t="n">
        <x:v>2215</x:v>
      </x:c>
      <x:c r="S368" s="55" t="n">
        <x:v>3494</x:v>
      </x:c>
      <x:c r="T368" s="55" t="n">
        <x:v>1010</x:v>
      </x:c>
      <x:c r="U368" s="55" t="n">
        <x:v>2297</x:v>
      </x:c>
      <x:c r="V368" s="55" t="n">
        <x:v>10777</x:v>
      </x:c>
      <x:c r="W368" s="55" t="n">
        <x:v>7174</x:v>
      </x:c>
      <x:c r="X368" s="55" t="n">
        <x:v>3603</x:v>
      </x:c>
      <x:c r="Y368" s="55" t="n">
        <x:v>3105</x:v>
      </x:c>
      <x:c r="Z368" s="55" t="n">
        <x:v>3354</x:v>
      </x:c>
      <x:c r="AA368" s="55" t="n">
        <x:v>3499</x:v>
      </x:c>
      <x:c r="AB368" s="55" t="n">
        <x:v>1429</x:v>
      </x:c>
      <x:c r="AC368" s="55" t="n">
        <x:v>8460</x:v>
      </x:c>
      <x:c r="AD368" s="55" t="n">
        <x:v>2922</x:v>
      </x:c>
      <x:c r="AE368" s="55" t="n">
        <x:v>10911</x:v>
      </x:c>
      <x:c r="AF368" s="55" t="n">
        <x:v>10777</x:v>
      </x:c>
      <x:c r="AG368" s="55" t="n">
        <x:v>134</x:v>
      </x:c>
      <x:c r="AH368" s="55" t="n">
        <x:v>590</x:v>
      </x:c>
      <x:c r="AI368" s="55" t="n">
        <x:v>10187</x:v>
      </x:c>
      <x:c r="AJ368" s="55" t="n">
        <x:v>218</x:v>
      </x:c>
      <x:c r="AK368" s="55" t="n">
        <x:v>1005</x:v>
      </x:c>
      <x:c r="AL368" s="55" t="n">
        <x:v>1367</x:v>
      </x:c>
      <x:c r="AM368" s="55" t="n">
        <x:v>5243</x:v>
      </x:c>
      <x:c r="AN368" s="55" t="n">
        <x:v>2903</x:v>
      </x:c>
      <x:c r="AO368" s="55" t="n">
        <x:v>41</x:v>
      </x:c>
      <x:c r="AP368" s="55" t="n">
        <x:v>2609</x:v>
      </x:c>
      <x:c r="AQ368" s="55" t="n">
        <x:v>941</x:v>
      </x:c>
    </x:row>
    <x:row r="369">
      <x:c r="A369" s="54" t="str">
        <x:v>T1_SHARED_CATCHMENT</x:v>
      </x:c>
      <x:c r="B369" s="54" t="n">
        <x:v>363</x:v>
      </x:c>
      <x:c r="C369" s="54" t="str">
        <x:v>NYC-V2-R01</x:v>
      </x:c>
      <x:c r="D369" s="54" t="str">
        <x:v>V2</x:v>
      </x:c>
      <x:c r="E369" s="54" t="str">
        <x:v>ADMITTED</x:v>
      </x:c>
      <x:c r="F369" s="55" t="n">
        <x:v>30482</x:v>
      </x:c>
      <x:c r="G369" s="55" t="n">
        <x:v>7085</x:v>
      </x:c>
      <x:c r="H369" s="55" t="n">
        <x:v>2899</x:v>
      </x:c>
      <x:c r="I369" s="55" t="n">
        <x:v>1336</x:v>
      </x:c>
      <x:c r="J369" s="55" t="n">
        <x:v>249</x:v>
      </x:c>
      <x:c r="K369" s="55" t="n">
        <x:v>30482</x:v>
      </x:c>
      <x:c r="L369" s="55" t="n">
        <x:v>4808</x:v>
      </x:c>
      <x:c r="M369" s="55" t="n">
        <x:v>0</x:v>
      </x:c>
      <x:c r="N369" s="55" t="n">
        <x:v>2739</x:v>
      </x:c>
      <x:c r="O369" s="55" t="n">
        <x:v>2069</x:v>
      </x:c>
      <x:c r="P369" s="55" t="n">
        <x:v>396</x:v>
      </x:c>
      <x:c r="Q369" s="55" t="n">
        <x:v>2541</x:v>
      </x:c>
      <x:c r="R369" s="55" t="n">
        <x:v>1859</x:v>
      </x:c>
      <x:c r="S369" s="55" t="n">
        <x:v>2834</x:v>
      </x:c>
      <x:c r="T369" s="55" t="n">
        <x:v>1207</x:v>
      </x:c>
      <x:c r="U369" s="55" t="n">
        <x:v>1663</x:v>
      </x:c>
      <x:c r="V369" s="55" t="n">
        <x:v>10371</x:v>
      </x:c>
      <x:c r="W369" s="55" t="n">
        <x:v>7582</x:v>
      </x:c>
      <x:c r="X369" s="55" t="n">
        <x:v>2789</x:v>
      </x:c>
      <x:c r="Y369" s="55" t="n">
        <x:v>2535</x:v>
      </x:c>
      <x:c r="Z369" s="55" t="n">
        <x:v>3295</x:v>
      </x:c>
      <x:c r="AA369" s="55" t="n">
        <x:v>2357</x:v>
      </x:c>
      <x:c r="AB369" s="55" t="n">
        <x:v>1300</x:v>
      </x:c>
      <x:c r="AC369" s="55" t="n">
        <x:v>8375</x:v>
      </x:c>
      <x:c r="AD369" s="55" t="n">
        <x:v>2780</x:v>
      </x:c>
      <x:c r="AE369" s="55" t="n">
        <x:v>10441</x:v>
      </x:c>
      <x:c r="AF369" s="55" t="n">
        <x:v>10371</x:v>
      </x:c>
      <x:c r="AG369" s="55" t="n">
        <x:v>70</x:v>
      </x:c>
      <x:c r="AH369" s="55" t="n">
        <x:v>379</x:v>
      </x:c>
      <x:c r="AI369" s="55" t="n">
        <x:v>9992</x:v>
      </x:c>
      <x:c r="AJ369" s="55" t="n">
        <x:v>191</x:v>
      </x:c>
      <x:c r="AK369" s="55" t="n">
        <x:v>952</x:v>
      </x:c>
      <x:c r="AL369" s="55" t="n">
        <x:v>1665</x:v>
      </x:c>
      <x:c r="AM369" s="55" t="n">
        <x:v>4647</x:v>
      </x:c>
      <x:c r="AN369" s="55" t="n">
        <x:v>2891</x:v>
      </x:c>
      <x:c r="AO369" s="55" t="n">
        <x:v>25</x:v>
      </x:c>
      <x:c r="AP369" s="55" t="n">
        <x:v>2059</x:v>
      </x:c>
      <x:c r="AQ369" s="55" t="n">
        <x:v>960</x:v>
      </x:c>
    </x:row>
    <x:row r="370">
      <x:c r="A370" s="54" t="str">
        <x:v>T1_SHARED_CATCHMENT</x:v>
      </x:c>
      <x:c r="B370" s="54" t="n">
        <x:v>364</x:v>
      </x:c>
      <x:c r="C370" s="54" t="str">
        <x:v>NYC-V2-R01</x:v>
      </x:c>
      <x:c r="D370" s="54" t="str">
        <x:v>V2</x:v>
      </x:c>
      <x:c r="E370" s="54" t="str">
        <x:v>ADMITTED</x:v>
      </x:c>
      <x:c r="F370" s="55" t="n">
        <x:v>30267</x:v>
      </x:c>
      <x:c r="G370" s="55" t="n">
        <x:v>6428</x:v>
      </x:c>
      <x:c r="H370" s="55" t="n">
        <x:v>3324</x:v>
      </x:c>
      <x:c r="I370" s="55" t="n">
        <x:v>1470</x:v>
      </x:c>
      <x:c r="J370" s="55" t="n">
        <x:v>183</x:v>
      </x:c>
      <x:c r="K370" s="55" t="n">
        <x:v>30267</x:v>
      </x:c>
      <x:c r="L370" s="55" t="n">
        <x:v>5949</x:v>
      </x:c>
      <x:c r="M370" s="55" t="n">
        <x:v>1894</x:v>
      </x:c>
      <x:c r="N370" s="55" t="n">
        <x:v>2724</x:v>
      </x:c>
      <x:c r="O370" s="55" t="n">
        <x:v>1331</x:v>
      </x:c>
      <x:c r="P370" s="55" t="n">
        <x:v>758</x:v>
      </x:c>
      <x:c r="Q370" s="55" t="n">
        <x:v>3685</x:v>
      </x:c>
      <x:c r="R370" s="55" t="n">
        <x:v>1742</x:v>
      </x:c>
      <x:c r="S370" s="55" t="n">
        <x:v>2958</x:v>
      </x:c>
      <x:c r="T370" s="55" t="n">
        <x:v>1720</x:v>
      </x:c>
      <x:c r="U370" s="55" t="n">
        <x:v>1780</x:v>
      </x:c>
      <x:c r="V370" s="55" t="n">
        <x:v>10533</x:v>
      </x:c>
      <x:c r="W370" s="55" t="n">
        <x:v>7603</x:v>
      </x:c>
      <x:c r="X370" s="55" t="n">
        <x:v>2930</x:v>
      </x:c>
      <x:c r="Y370" s="55" t="n">
        <x:v>2496</x:v>
      </x:c>
      <x:c r="Z370" s="55" t="n">
        <x:v>3726</x:v>
      </x:c>
      <x:c r="AA370" s="55" t="n">
        <x:v>3218</x:v>
      </x:c>
      <x:c r="AB370" s="55" t="n">
        <x:v>1162</x:v>
      </x:c>
      <x:c r="AC370" s="55" t="n">
        <x:v>7670</x:v>
      </x:c>
      <x:c r="AD370" s="55" t="n">
        <x:v>3120</x:v>
      </x:c>
      <x:c r="AE370" s="55" t="n">
        <x:v>10631</x:v>
      </x:c>
      <x:c r="AF370" s="55" t="n">
        <x:v>10533</x:v>
      </x:c>
      <x:c r="AG370" s="55" t="n">
        <x:v>98</x:v>
      </x:c>
      <x:c r="AH370" s="55" t="n">
        <x:v>441</x:v>
      </x:c>
      <x:c r="AI370" s="55" t="n">
        <x:v>10092</x:v>
      </x:c>
      <x:c r="AJ370" s="55" t="n">
        <x:v>332</x:v>
      </x:c>
      <x:c r="AK370" s="55" t="n">
        <x:v>985</x:v>
      </x:c>
      <x:c r="AL370" s="55" t="n">
        <x:v>1238</x:v>
      </x:c>
      <x:c r="AM370" s="55" t="n">
        <x:v>5272</x:v>
      </x:c>
      <x:c r="AN370" s="55" t="n">
        <x:v>2706</x:v>
      </x:c>
      <x:c r="AO370" s="55" t="n">
        <x:v>0</x:v>
      </x:c>
      <x:c r="AP370" s="55" t="n">
        <x:v>2699</x:v>
      </x:c>
      <x:c r="AQ370" s="55" t="n">
        <x:v>999</x:v>
      </x:c>
    </x:row>
    <x:row r="371">
      <x:c r="A371" s="54" t="str">
        <x:v>T1_SHARED_CATCHMENT</x:v>
      </x:c>
      <x:c r="B371" s="54" t="n">
        <x:v>365</x:v>
      </x:c>
      <x:c r="C371" s="54" t="str">
        <x:v>NYC-V2-R01</x:v>
      </x:c>
      <x:c r="D371" s="54" t="str">
        <x:v>V2</x:v>
      </x:c>
      <x:c r="E371" s="54" t="str">
        <x:v>ADMITTED</x:v>
      </x:c>
      <x:c r="F371" s="55" t="n">
        <x:v>34708</x:v>
      </x:c>
      <x:c r="G371" s="55" t="n">
        <x:v>9598</x:v>
      </x:c>
      <x:c r="H371" s="55" t="n">
        <x:v>3402</x:v>
      </x:c>
      <x:c r="I371" s="55" t="n">
        <x:v>1273</x:v>
      </x:c>
      <x:c r="J371" s="55" t="n">
        <x:v>175</x:v>
      </x:c>
      <x:c r="K371" s="55" t="n">
        <x:v>30345</x:v>
      </x:c>
      <x:c r="L371" s="55" t="n">
        <x:v>5490</x:v>
      </x:c>
      <x:c r="M371" s="55" t="n">
        <x:v>1230</x:v>
      </x:c>
      <x:c r="N371" s="55" t="n">
        <x:v>2787</x:v>
      </x:c>
      <x:c r="O371" s="55" t="n">
        <x:v>1473</x:v>
      </x:c>
      <x:c r="P371" s="55" t="n">
        <x:v>487</x:v>
      </x:c>
      <x:c r="Q371" s="55" t="n">
        <x:v>2429</x:v>
      </x:c>
      <x:c r="R371" s="55" t="n">
        <x:v>1913</x:v>
      </x:c>
      <x:c r="S371" s="55" t="n">
        <x:v>3162</x:v>
      </x:c>
      <x:c r="T371" s="55" t="n">
        <x:v>1226</x:v>
      </x:c>
      <x:c r="U371" s="55" t="n">
        <x:v>2013</x:v>
      </x:c>
      <x:c r="V371" s="55" t="n">
        <x:v>9926</x:v>
      </x:c>
      <x:c r="W371" s="55" t="n">
        <x:v>6753</x:v>
      </x:c>
      <x:c r="X371" s="55" t="n">
        <x:v>3173</x:v>
      </x:c>
      <x:c r="Y371" s="55" t="n">
        <x:v>2903</x:v>
      </x:c>
      <x:c r="Z371" s="55" t="n">
        <x:v>3803</x:v>
      </x:c>
      <x:c r="AA371" s="55" t="n">
        <x:v>3003</x:v>
      </x:c>
      <x:c r="AB371" s="55" t="n">
        <x:v>1022</x:v>
      </x:c>
      <x:c r="AC371" s="55" t="n">
        <x:v>7897</x:v>
      </x:c>
      <x:c r="AD371" s="55" t="n">
        <x:v>2509</x:v>
      </x:c>
      <x:c r="AE371" s="55" t="n">
        <x:v>9986</x:v>
      </x:c>
      <x:c r="AF371" s="55" t="n">
        <x:v>9926</x:v>
      </x:c>
      <x:c r="AG371" s="55" t="n">
        <x:v>60</x:v>
      </x:c>
      <x:c r="AH371" s="55" t="n">
        <x:v>471</x:v>
      </x:c>
      <x:c r="AI371" s="55" t="n">
        <x:v>9455</x:v>
      </x:c>
      <x:c r="AJ371" s="55" t="n">
        <x:v>437</x:v>
      </x:c>
      <x:c r="AK371" s="55" t="n">
        <x:v>1074</x:v>
      </x:c>
      <x:c r="AL371" s="55" t="n">
        <x:v>1383</x:v>
      </x:c>
      <x:c r="AM371" s="55" t="n">
        <x:v>4143</x:v>
      </x:c>
      <x:c r="AN371" s="55" t="n">
        <x:v>2889</x:v>
      </x:c>
      <x:c r="AO371" s="55" t="n">
        <x:v>0</x:v>
      </x:c>
      <x:c r="AP371" s="55" t="n">
        <x:v>2809</x:v>
      </x:c>
      <x:c r="AQ371" s="55" t="n">
        <x:v>985</x:v>
      </x:c>
    </x:row>
    <x:row r="372">
      <x:c r="A372" s="54" t="str">
        <x:v>T1_SHARED_CATCHMENT</x:v>
      </x:c>
      <x:c r="B372" s="54" t="n">
        <x:v>366</x:v>
      </x:c>
      <x:c r="C372" s="54" t="str">
        <x:v>NYC-V2-R01</x:v>
      </x:c>
      <x:c r="D372" s="54" t="str">
        <x:v>V2</x:v>
      </x:c>
      <x:c r="E372" s="54" t="str">
        <x:v>ADMITTED</x:v>
      </x:c>
      <x:c r="F372" s="55" t="n">
        <x:v>32147</x:v>
      </x:c>
      <x:c r="G372" s="55" t="n">
        <x:v>8913</x:v>
      </x:c>
      <x:c r="H372" s="55" t="n">
        <x:v>3709</x:v>
      </x:c>
      <x:c r="I372" s="55" t="n">
        <x:v>1408</x:v>
      </x:c>
      <x:c r="J372" s="55" t="n">
        <x:v>332</x:v>
      </x:c>
      <x:c r="K372" s="55" t="n">
        <x:v>32147</x:v>
      </x:c>
      <x:c r="L372" s="55" t="n">
        <x:v>7551</x:v>
      </x:c>
      <x:c r="M372" s="55" t="n">
        <x:v>2135</x:v>
      </x:c>
      <x:c r="N372" s="55" t="n">
        <x:v>3418</x:v>
      </x:c>
      <x:c r="O372" s="55" t="n">
        <x:v>1998</x:v>
      </x:c>
      <x:c r="P372" s="55" t="n">
        <x:v>1135</x:v>
      </x:c>
      <x:c r="Q372" s="55" t="n">
        <x:v>3099</x:v>
      </x:c>
      <x:c r="R372" s="55" t="n">
        <x:v>1905</x:v>
      </x:c>
      <x:c r="S372" s="55" t="n">
        <x:v>2784</x:v>
      </x:c>
      <x:c r="T372" s="55" t="n">
        <x:v>1755</x:v>
      </x:c>
      <x:c r="U372" s="55" t="n">
        <x:v>1839</x:v>
      </x:c>
      <x:c r="V372" s="55" t="n">
        <x:v>10795</x:v>
      </x:c>
      <x:c r="W372" s="55" t="n">
        <x:v>7487</x:v>
      </x:c>
      <x:c r="X372" s="55" t="n">
        <x:v>3308</x:v>
      </x:c>
      <x:c r="Y372" s="55" t="n">
        <x:v>2954</x:v>
      </x:c>
      <x:c r="Z372" s="55" t="n">
        <x:v>4084</x:v>
      </x:c>
      <x:c r="AA372" s="55" t="n">
        <x:v>3709</x:v>
      </x:c>
      <x:c r="AB372" s="55" t="n">
        <x:v>1370</x:v>
      </x:c>
      <x:c r="AC372" s="55" t="n">
        <x:v>8465</x:v>
      </x:c>
      <x:c r="AD372" s="55" t="n">
        <x:v>2805</x:v>
      </x:c>
      <x:c r="AE372" s="55" t="n">
        <x:v>10885</x:v>
      </x:c>
      <x:c r="AF372" s="55" t="n">
        <x:v>10795</x:v>
      </x:c>
      <x:c r="AG372" s="55" t="n">
        <x:v>90</x:v>
      </x:c>
      <x:c r="AH372" s="55" t="n">
        <x:v>606</x:v>
      </x:c>
      <x:c r="AI372" s="55" t="n">
        <x:v>10189</x:v>
      </x:c>
      <x:c r="AJ372" s="55" t="n">
        <x:v>319</x:v>
      </x:c>
      <x:c r="AK372" s="55" t="n">
        <x:v>1064</x:v>
      </x:c>
      <x:c r="AL372" s="55" t="n">
        <x:v>1546</x:v>
      </x:c>
      <x:c r="AM372" s="55" t="n">
        <x:v>5173</x:v>
      </x:c>
      <x:c r="AN372" s="55" t="n">
        <x:v>2567</x:v>
      </x:c>
      <x:c r="AO372" s="55" t="n">
        <x:v>126</x:v>
      </x:c>
      <x:c r="AP372" s="55" t="n">
        <x:v>3107</x:v>
      </x:c>
      <x:c r="AQ372" s="55" t="n">
        <x:v>969</x:v>
      </x:c>
    </x:row>
    <x:row r="373">
      <x:c r="A373" s="54" t="str">
        <x:v>T1_SHARED_CATCHMENT</x:v>
      </x:c>
      <x:c r="B373" s="54" t="n">
        <x:v>367</x:v>
      </x:c>
      <x:c r="C373" s="54" t="str">
        <x:v>NYC-V2-R01</x:v>
      </x:c>
      <x:c r="D373" s="54" t="str">
        <x:v>V2</x:v>
      </x:c>
      <x:c r="E373" s="54" t="str">
        <x:v>ADMITTED</x:v>
      </x:c>
      <x:c r="F373" s="55" t="n">
        <x:v>28700</x:v>
      </x:c>
      <x:c r="G373" s="55" t="n">
        <x:v>8039</x:v>
      </x:c>
      <x:c r="H373" s="55" t="n">
        <x:v>2705</x:v>
      </x:c>
      <x:c r="I373" s="55" t="n">
        <x:v>1136</x:v>
      </x:c>
      <x:c r="J373" s="55" t="n">
        <x:v>118</x:v>
      </x:c>
      <x:c r="K373" s="55" t="n">
        <x:v>27732</x:v>
      </x:c>
      <x:c r="L373" s="55" t="n">
        <x:v>4870</x:v>
      </x:c>
      <x:c r="M373" s="55" t="n">
        <x:v>357</x:v>
      </x:c>
      <x:c r="N373" s="55" t="n">
        <x:v>2967</x:v>
      </x:c>
      <x:c r="O373" s="55" t="n">
        <x:v>1546</x:v>
      </x:c>
      <x:c r="P373" s="55" t="n">
        <x:v>787</x:v>
      </x:c>
      <x:c r="Q373" s="55" t="n">
        <x:v>2714</x:v>
      </x:c>
      <x:c r="R373" s="55" t="n">
        <x:v>1537</x:v>
      </x:c>
      <x:c r="S373" s="55" t="n">
        <x:v>1964</x:v>
      </x:c>
      <x:c r="T373" s="55" t="n">
        <x:v>1326</x:v>
      </x:c>
      <x:c r="U373" s="55" t="n">
        <x:v>1946</x:v>
      </x:c>
      <x:c r="V373" s="55" t="n">
        <x:v>10366</x:v>
      </x:c>
      <x:c r="W373" s="55" t="n">
        <x:v>7513</x:v>
      </x:c>
      <x:c r="X373" s="55" t="n">
        <x:v>2853</x:v>
      </x:c>
      <x:c r="Y373" s="55" t="n">
        <x:v>2321</x:v>
      </x:c>
      <x:c r="Z373" s="55" t="n">
        <x:v>3703</x:v>
      </x:c>
      <x:c r="AA373" s="55" t="n">
        <x:v>2632</x:v>
      </x:c>
      <x:c r="AB373" s="55" t="n">
        <x:v>465</x:v>
      </x:c>
      <x:c r="AC373" s="55" t="n">
        <x:v>7606</x:v>
      </x:c>
      <x:c r="AD373" s="55" t="n">
        <x:v>2914</x:v>
      </x:c>
      <x:c r="AE373" s="55" t="n">
        <x:v>10455</x:v>
      </x:c>
      <x:c r="AF373" s="55" t="n">
        <x:v>10366</x:v>
      </x:c>
      <x:c r="AG373" s="55" t="n">
        <x:v>89</x:v>
      </x:c>
      <x:c r="AH373" s="55" t="n">
        <x:v>437</x:v>
      </x:c>
      <x:c r="AI373" s="55" t="n">
        <x:v>9929</x:v>
      </x:c>
      <x:c r="AJ373" s="55" t="n">
        <x:v>424</x:v>
      </x:c>
      <x:c r="AK373" s="55" t="n">
        <x:v>840</x:v>
      </x:c>
      <x:c r="AL373" s="55" t="n">
        <x:v>1891</x:v>
      </x:c>
      <x:c r="AM373" s="55" t="n">
        <x:v>4761</x:v>
      </x:c>
      <x:c r="AN373" s="55" t="n">
        <x:v>2450</x:v>
      </x:c>
      <x:c r="AO373" s="55" t="n">
        <x:v>0</x:v>
      </x:c>
      <x:c r="AP373" s="55" t="n">
        <x:v>2566</x:v>
      </x:c>
      <x:c r="AQ373" s="55" t="n">
        <x:v>948</x:v>
      </x:c>
    </x:row>
    <x:row r="374">
      <x:c r="A374" s="54" t="str">
        <x:v>T1_SHARED_CATCHMENT</x:v>
      </x:c>
      <x:c r="B374" s="54" t="n">
        <x:v>368</x:v>
      </x:c>
      <x:c r="C374" s="54" t="str">
        <x:v>NYC-V2-R01</x:v>
      </x:c>
      <x:c r="D374" s="54" t="str">
        <x:v>V2</x:v>
      </x:c>
      <x:c r="E374" s="54" t="str">
        <x:v>ADMITTED</x:v>
      </x:c>
      <x:c r="F374" s="55" t="n">
        <x:v>29235</x:v>
      </x:c>
      <x:c r="G374" s="55" t="n">
        <x:v>6513</x:v>
      </x:c>
      <x:c r="H374" s="55" t="n">
        <x:v>3553</x:v>
      </x:c>
      <x:c r="I374" s="55" t="n">
        <x:v>1375</x:v>
      </x:c>
      <x:c r="J374" s="55" t="n">
        <x:v>337</x:v>
      </x:c>
      <x:c r="K374" s="55" t="n">
        <x:v>29235</x:v>
      </x:c>
      <x:c r="L374" s="55" t="n">
        <x:v>4361</x:v>
      </x:c>
      <x:c r="M374" s="55" t="n">
        <x:v>0</x:v>
      </x:c>
      <x:c r="N374" s="55" t="n">
        <x:v>2454</x:v>
      </x:c>
      <x:c r="O374" s="55" t="n">
        <x:v>1907</x:v>
      </x:c>
      <x:c r="P374" s="55" t="n">
        <x:v>984</x:v>
      </x:c>
      <x:c r="Q374" s="55" t="n">
        <x:v>2742</x:v>
      </x:c>
      <x:c r="R374" s="55" t="n">
        <x:v>1805</x:v>
      </x:c>
      <x:c r="S374" s="55" t="n">
        <x:v>2536</x:v>
      </x:c>
      <x:c r="T374" s="55" t="n">
        <x:v>1370</x:v>
      </x:c>
      <x:c r="U374" s="55" t="n">
        <x:v>1790</x:v>
      </x:c>
      <x:c r="V374" s="55" t="n">
        <x:v>10426</x:v>
      </x:c>
      <x:c r="W374" s="55" t="n">
        <x:v>7408</x:v>
      </x:c>
      <x:c r="X374" s="55" t="n">
        <x:v>3018</x:v>
      </x:c>
      <x:c r="Y374" s="55" t="n">
        <x:v>2736</x:v>
      </x:c>
      <x:c r="Z374" s="55" t="n">
        <x:v>4021</x:v>
      </x:c>
      <x:c r="AA374" s="55" t="n">
        <x:v>3358</x:v>
      </x:c>
      <x:c r="AB374" s="55" t="n">
        <x:v>1261</x:v>
      </x:c>
      <x:c r="AC374" s="55" t="n">
        <x:v>8180</x:v>
      </x:c>
      <x:c r="AD374" s="55" t="n">
        <x:v>2241</x:v>
      </x:c>
      <x:c r="AE374" s="55" t="n">
        <x:v>10467</x:v>
      </x:c>
      <x:c r="AF374" s="55" t="n">
        <x:v>10426</x:v>
      </x:c>
      <x:c r="AG374" s="55" t="n">
        <x:v>41</x:v>
      </x:c>
      <x:c r="AH374" s="55" t="n">
        <x:v>433</x:v>
      </x:c>
      <x:c r="AI374" s="55" t="n">
        <x:v>9993</x:v>
      </x:c>
      <x:c r="AJ374" s="55" t="n">
        <x:v>261</x:v>
      </x:c>
      <x:c r="AK374" s="55" t="n">
        <x:v>930</x:v>
      </x:c>
      <x:c r="AL374" s="55" t="n">
        <x:v>1650</x:v>
      </x:c>
      <x:c r="AM374" s="55" t="n">
        <x:v>5269</x:v>
      </x:c>
      <x:c r="AN374" s="55" t="n">
        <x:v>2305</x:v>
      </x:c>
      <x:c r="AO374" s="55" t="n">
        <x:v>11</x:v>
      </x:c>
      <x:c r="AP374" s="55" t="n">
        <x:v>2443</x:v>
      </x:c>
      <x:c r="AQ374" s="55" t="n">
        <x:v>963</x:v>
      </x:c>
    </x:row>
    <x:row r="375">
      <x:c r="A375" s="54" t="str">
        <x:v>T1_SHARED_CATCHMENT</x:v>
      </x:c>
      <x:c r="B375" s="54" t="n">
        <x:v>369</x:v>
      </x:c>
      <x:c r="C375" s="54" t="str">
        <x:v>NYC-V2-R01</x:v>
      </x:c>
      <x:c r="D375" s="54" t="str">
        <x:v>V2</x:v>
      </x:c>
      <x:c r="E375" s="54" t="str">
        <x:v>ADMITTED</x:v>
      </x:c>
      <x:c r="F375" s="55" t="n">
        <x:v>30346</x:v>
      </x:c>
      <x:c r="G375" s="55" t="n">
        <x:v>7563</x:v>
      </x:c>
      <x:c r="H375" s="55" t="n">
        <x:v>3067</x:v>
      </x:c>
      <x:c r="I375" s="55" t="n">
        <x:v>1294</x:v>
      </x:c>
      <x:c r="J375" s="55" t="n">
        <x:v>165</x:v>
      </x:c>
      <x:c r="K375" s="55" t="n">
        <x:v>30346</x:v>
      </x:c>
      <x:c r="L375" s="55" t="n">
        <x:v>5561</x:v>
      </x:c>
      <x:c r="M375" s="55" t="n">
        <x:v>1359</x:v>
      </x:c>
      <x:c r="N375" s="55" t="n">
        <x:v>2419</x:v>
      </x:c>
      <x:c r="O375" s="55" t="n">
        <x:v>1783</x:v>
      </x:c>
      <x:c r="P375" s="55" t="n">
        <x:v>742</x:v>
      </x:c>
      <x:c r="Q375" s="55" t="n">
        <x:v>2956</x:v>
      </x:c>
      <x:c r="R375" s="55" t="n">
        <x:v>2084</x:v>
      </x:c>
      <x:c r="S375" s="55" t="n">
        <x:v>2908</x:v>
      </x:c>
      <x:c r="T375" s="55" t="n">
        <x:v>855</x:v>
      </x:c>
      <x:c r="U375" s="55" t="n">
        <x:v>2265</x:v>
      </x:c>
      <x:c r="V375" s="55" t="n">
        <x:v>10682</x:v>
      </x:c>
      <x:c r="W375" s="55" t="n">
        <x:v>7529</x:v>
      </x:c>
      <x:c r="X375" s="55" t="n">
        <x:v>3153</x:v>
      </x:c>
      <x:c r="Y375" s="55" t="n">
        <x:v>2641</x:v>
      </x:c>
      <x:c r="Z375" s="55" t="n">
        <x:v>3720</x:v>
      </x:c>
      <x:c r="AA375" s="55" t="n">
        <x:v>2833</x:v>
      </x:c>
      <x:c r="AB375" s="55" t="n">
        <x:v>1037</x:v>
      </x:c>
      <x:c r="AC375" s="55" t="n">
        <x:v>8394</x:v>
      </x:c>
      <x:c r="AD375" s="55" t="n">
        <x:v>2715</x:v>
      </x:c>
      <x:c r="AE375" s="55" t="n">
        <x:v>10786</x:v>
      </x:c>
      <x:c r="AF375" s="55" t="n">
        <x:v>10682</x:v>
      </x:c>
      <x:c r="AG375" s="55" t="n">
        <x:v>104</x:v>
      </x:c>
      <x:c r="AH375" s="55" t="n">
        <x:v>436</x:v>
      </x:c>
      <x:c r="AI375" s="55" t="n">
        <x:v>10246</x:v>
      </x:c>
      <x:c r="AJ375" s="55" t="n">
        <x:v>413</x:v>
      </x:c>
      <x:c r="AK375" s="55" t="n">
        <x:v>470</x:v>
      </x:c>
      <x:c r="AL375" s="55" t="n">
        <x:v>1781</x:v>
      </x:c>
      <x:c r="AM375" s="55" t="n">
        <x:v>4989</x:v>
      </x:c>
      <x:c r="AN375" s="55" t="n">
        <x:v>3029</x:v>
      </x:c>
      <x:c r="AO375" s="55" t="n">
        <x:v>0</x:v>
      </x:c>
      <x:c r="AP375" s="55" t="n">
        <x:v>2264</x:v>
      </x:c>
      <x:c r="AQ375" s="55" t="n">
        <x:v>954</x:v>
      </x:c>
    </x:row>
    <x:row r="376">
      <x:c r="A376" s="54" t="str">
        <x:v>T1_SHARED_CATCHMENT</x:v>
      </x:c>
      <x:c r="B376" s="54" t="n">
        <x:v>370</x:v>
      </x:c>
      <x:c r="C376" s="54" t="str">
        <x:v>NYC-V2-R01</x:v>
      </x:c>
      <x:c r="D376" s="54" t="str">
        <x:v>V2</x:v>
      </x:c>
      <x:c r="E376" s="54" t="str">
        <x:v>ADMITTED</x:v>
      </x:c>
      <x:c r="F376" s="55" t="n">
        <x:v>30362</x:v>
      </x:c>
      <x:c r="G376" s="55" t="n">
        <x:v>7591</x:v>
      </x:c>
      <x:c r="H376" s="55" t="n">
        <x:v>3210</x:v>
      </x:c>
      <x:c r="I376" s="55" t="n">
        <x:v>1335</x:v>
      </x:c>
      <x:c r="J376" s="55" t="n">
        <x:v>466</x:v>
      </x:c>
      <x:c r="K376" s="55" t="n">
        <x:v>30362</x:v>
      </x:c>
      <x:c r="L376" s="55" t="n">
        <x:v>5615</x:v>
      </x:c>
      <x:c r="M376" s="55" t="n">
        <x:v>1495</x:v>
      </x:c>
      <x:c r="N376" s="55" t="n">
        <x:v>2418</x:v>
      </x:c>
      <x:c r="O376" s="55" t="n">
        <x:v>1702</x:v>
      </x:c>
      <x:c r="P376" s="55" t="n">
        <x:v>593</x:v>
      </x:c>
      <x:c r="Q376" s="55" t="n">
        <x:v>1883</x:v>
      </x:c>
      <x:c r="R376" s="55" t="n">
        <x:v>1533</x:v>
      </x:c>
      <x:c r="S376" s="55" t="n">
        <x:v>2431</x:v>
      </x:c>
      <x:c r="T376" s="55" t="n">
        <x:v>1467</x:v>
      </x:c>
      <x:c r="U376" s="55" t="n">
        <x:v>2201</x:v>
      </x:c>
      <x:c r="V376" s="55" t="n">
        <x:v>9959</x:v>
      </x:c>
      <x:c r="W376" s="55" t="n">
        <x:v>7144</x:v>
      </x:c>
      <x:c r="X376" s="55" t="n">
        <x:v>2815</x:v>
      </x:c>
      <x:c r="Y376" s="55" t="n">
        <x:v>2570</x:v>
      </x:c>
      <x:c r="Z376" s="55" t="n">
        <x:v>3846</x:v>
      </x:c>
      <x:c r="AA376" s="55" t="n">
        <x:v>2976</x:v>
      </x:c>
      <x:c r="AB376" s="55" t="n">
        <x:v>1080</x:v>
      </x:c>
      <x:c r="AC376" s="55" t="n">
        <x:v>8258</x:v>
      </x:c>
      <x:c r="AD376" s="55" t="n">
        <x:v>3076</x:v>
      </x:c>
      <x:c r="AE376" s="55" t="n">
        <x:v>10084</x:v>
      </x:c>
      <x:c r="AF376" s="55" t="n">
        <x:v>9959</x:v>
      </x:c>
      <x:c r="AG376" s="55" t="n">
        <x:v>125</x:v>
      </x:c>
      <x:c r="AH376" s="55" t="n">
        <x:v>500</x:v>
      </x:c>
      <x:c r="AI376" s="55" t="n">
        <x:v>9459</x:v>
      </x:c>
      <x:c r="AJ376" s="55" t="n">
        <x:v>435</x:v>
      </x:c>
      <x:c r="AK376" s="55" t="n">
        <x:v>1148</x:v>
      </x:c>
      <x:c r="AL376" s="55" t="n">
        <x:v>1369</x:v>
      </x:c>
      <x:c r="AM376" s="55" t="n">
        <x:v>4477</x:v>
      </x:c>
      <x:c r="AN376" s="55" t="n">
        <x:v>2530</x:v>
      </x:c>
      <x:c r="AO376" s="55" t="n">
        <x:v>0</x:v>
      </x:c>
      <x:c r="AP376" s="55" t="n">
        <x:v>2213</x:v>
      </x:c>
      <x:c r="AQ376" s="55" t="n">
        <x:v>978</x:v>
      </x:c>
    </x:row>
    <x:row r="377">
      <x:c r="A377" s="54" t="str">
        <x:v>T1_SHARED_CATCHMENT</x:v>
      </x:c>
      <x:c r="B377" s="54" t="n">
        <x:v>371</x:v>
      </x:c>
      <x:c r="C377" s="54" t="str">
        <x:v>NYC-V2-R01</x:v>
      </x:c>
      <x:c r="D377" s="54" t="str">
        <x:v>V2</x:v>
      </x:c>
      <x:c r="E377" s="54" t="str">
        <x:v>ADMITTED</x:v>
      </x:c>
      <x:c r="F377" s="55" t="n">
        <x:v>32024</x:v>
      </x:c>
      <x:c r="G377" s="55" t="n">
        <x:v>8373</x:v>
      </x:c>
      <x:c r="H377" s="55" t="n">
        <x:v>3283</x:v>
      </x:c>
      <x:c r="I377" s="55" t="n">
        <x:v>1233</x:v>
      </x:c>
      <x:c r="J377" s="55" t="n">
        <x:v>245</x:v>
      </x:c>
      <x:c r="K377" s="55" t="n">
        <x:v>29741</x:v>
      </x:c>
      <x:c r="L377" s="55" t="n">
        <x:v>5617</x:v>
      </x:c>
      <x:c r="M377" s="55" t="n">
        <x:v>1731</x:v>
      </x:c>
      <x:c r="N377" s="55" t="n">
        <x:v>2206</x:v>
      </x:c>
      <x:c r="O377" s="55" t="n">
        <x:v>1680</x:v>
      </x:c>
      <x:c r="P377" s="55" t="n">
        <x:v>610</x:v>
      </x:c>
      <x:c r="Q377" s="55" t="n">
        <x:v>2526</x:v>
      </x:c>
      <x:c r="R377" s="55" t="n">
        <x:v>1335</x:v>
      </x:c>
      <x:c r="S377" s="55" t="n">
        <x:v>2298</x:v>
      </x:c>
      <x:c r="T377" s="55" t="n">
        <x:v>938</x:v>
      </x:c>
      <x:c r="U377" s="55" t="n">
        <x:v>1573</x:v>
      </x:c>
      <x:c r="V377" s="55" t="n">
        <x:v>10242</x:v>
      </x:c>
      <x:c r="W377" s="55" t="n">
        <x:v>7233</x:v>
      </x:c>
      <x:c r="X377" s="55" t="n">
        <x:v>3009</x:v>
      </x:c>
      <x:c r="Y377" s="55" t="n">
        <x:v>2360</x:v>
      </x:c>
      <x:c r="Z377" s="55" t="n">
        <x:v>3117</x:v>
      </x:c>
      <x:c r="AA377" s="55" t="n">
        <x:v>2729</x:v>
      </x:c>
      <x:c r="AB377" s="55" t="n">
        <x:v>956</x:v>
      </x:c>
      <x:c r="AC377" s="55" t="n">
        <x:v>8209</x:v>
      </x:c>
      <x:c r="AD377" s="55" t="n">
        <x:v>2830</x:v>
      </x:c>
      <x:c r="AE377" s="55" t="n">
        <x:v>10341</x:v>
      </x:c>
      <x:c r="AF377" s="55" t="n">
        <x:v>10242</x:v>
      </x:c>
      <x:c r="AG377" s="55" t="n">
        <x:v>99</x:v>
      </x:c>
      <x:c r="AH377" s="55" t="n">
        <x:v>162</x:v>
      </x:c>
      <x:c r="AI377" s="55" t="n">
        <x:v>10080</x:v>
      </x:c>
      <x:c r="AJ377" s="55" t="n">
        <x:v>237</x:v>
      </x:c>
      <x:c r="AK377" s="55" t="n">
        <x:v>889</x:v>
      </x:c>
      <x:c r="AL377" s="55" t="n">
        <x:v>1662</x:v>
      </x:c>
      <x:c r="AM377" s="55" t="n">
        <x:v>5002</x:v>
      </x:c>
      <x:c r="AN377" s="55" t="n">
        <x:v>2452</x:v>
      </x:c>
      <x:c r="AO377" s="55" t="n">
        <x:v>0</x:v>
      </x:c>
      <x:c r="AP377" s="55" t="n">
        <x:v>1988</x:v>
      </x:c>
      <x:c r="AQ377" s="55" t="n">
        <x:v>959</x:v>
      </x:c>
    </x:row>
    <x:row r="378">
      <x:c r="A378" s="54" t="str">
        <x:v>T1_SHARED_CATCHMENT</x:v>
      </x:c>
      <x:c r="B378" s="54" t="n">
        <x:v>372</x:v>
      </x:c>
      <x:c r="C378" s="54" t="str">
        <x:v>NYC-V2-R01</x:v>
      </x:c>
      <x:c r="D378" s="54" t="str">
        <x:v>V2</x:v>
      </x:c>
      <x:c r="E378" s="54" t="str">
        <x:v>ADMITTED</x:v>
      </x:c>
      <x:c r="F378" s="55" t="n">
        <x:v>29783</x:v>
      </x:c>
      <x:c r="G378" s="55" t="n">
        <x:v>6327</x:v>
      </x:c>
      <x:c r="H378" s="55" t="n">
        <x:v>3183</x:v>
      </x:c>
      <x:c r="I378" s="55" t="n">
        <x:v>1433</x:v>
      </x:c>
      <x:c r="J378" s="55" t="n">
        <x:v>302</x:v>
      </x:c>
      <x:c r="K378" s="55" t="n">
        <x:v>29783</x:v>
      </x:c>
      <x:c r="L378" s="55" t="n">
        <x:v>5550</x:v>
      </x:c>
      <x:c r="M378" s="55" t="n">
        <x:v>1592</x:v>
      </x:c>
      <x:c r="N378" s="55" t="n">
        <x:v>2208</x:v>
      </x:c>
      <x:c r="O378" s="55" t="n">
        <x:v>1750</x:v>
      </x:c>
      <x:c r="P378" s="55" t="n">
        <x:v>954</x:v>
      </x:c>
      <x:c r="Q378" s="55" t="n">
        <x:v>3142</x:v>
      </x:c>
      <x:c r="R378" s="55" t="n">
        <x:v>2254</x:v>
      </x:c>
      <x:c r="S378" s="55" t="n">
        <x:v>3191</x:v>
      </x:c>
      <x:c r="T378" s="55" t="n">
        <x:v>1088</x:v>
      </x:c>
      <x:c r="U378" s="55" t="n">
        <x:v>1580</x:v>
      </x:c>
      <x:c r="V378" s="55" t="n">
        <x:v>9756</x:v>
      </x:c>
      <x:c r="W378" s="55" t="n">
        <x:v>6808</x:v>
      </x:c>
      <x:c r="X378" s="55" t="n">
        <x:v>2948</x:v>
      </x:c>
      <x:c r="Y378" s="55" t="n">
        <x:v>2593</x:v>
      </x:c>
      <x:c r="Z378" s="55" t="n">
        <x:v>3541</x:v>
      </x:c>
      <x:c r="AA378" s="55" t="n">
        <x:v>2982</x:v>
      </x:c>
      <x:c r="AB378" s="55" t="n">
        <x:v>1091</x:v>
      </x:c>
      <x:c r="AC378" s="55" t="n">
        <x:v>8184</x:v>
      </x:c>
      <x:c r="AD378" s="55" t="n">
        <x:v>2769</x:v>
      </x:c>
      <x:c r="AE378" s="55" t="n">
        <x:v>9872</x:v>
      </x:c>
      <x:c r="AF378" s="55" t="n">
        <x:v>9756</x:v>
      </x:c>
      <x:c r="AG378" s="55" t="n">
        <x:v>116</x:v>
      </x:c>
      <x:c r="AH378" s="55" t="n">
        <x:v>226</x:v>
      </x:c>
      <x:c r="AI378" s="55" t="n">
        <x:v>9530</x:v>
      </x:c>
      <x:c r="AJ378" s="55" t="n">
        <x:v>179</x:v>
      </x:c>
      <x:c r="AK378" s="55" t="n">
        <x:v>902</x:v>
      </x:c>
      <x:c r="AL378" s="55" t="n">
        <x:v>1806</x:v>
      </x:c>
      <x:c r="AM378" s="55" t="n">
        <x:v>5075</x:v>
      </x:c>
      <x:c r="AN378" s="55" t="n">
        <x:v>1794</x:v>
      </x:c>
      <x:c r="AO378" s="55" t="n">
        <x:v>0</x:v>
      </x:c>
      <x:c r="AP378" s="55" t="n">
        <x:v>2460</x:v>
      </x:c>
      <x:c r="AQ378" s="55" t="n">
        <x:v>948</x:v>
      </x:c>
    </x:row>
    <x:row r="379">
      <x:c r="A379" s="54" t="str">
        <x:v>T1_SHARED_CATCHMENT</x:v>
      </x:c>
      <x:c r="B379" s="54" t="n">
        <x:v>373</x:v>
      </x:c>
      <x:c r="C379" s="54" t="str">
        <x:v>NYC-V2-R01</x:v>
      </x:c>
      <x:c r="D379" s="54" t="str">
        <x:v>V2</x:v>
      </x:c>
      <x:c r="E379" s="54" t="str">
        <x:v>ADMITTED</x:v>
      </x:c>
      <x:c r="F379" s="55" t="n">
        <x:v>30262</x:v>
      </x:c>
      <x:c r="G379" s="55" t="n">
        <x:v>6861</x:v>
      </x:c>
      <x:c r="H379" s="55" t="n">
        <x:v>3148</x:v>
      </x:c>
      <x:c r="I379" s="55" t="n">
        <x:v>1235</x:v>
      </x:c>
      <x:c r="J379" s="55" t="n">
        <x:v>267</x:v>
      </x:c>
      <x:c r="K379" s="55" t="n">
        <x:v>30262</x:v>
      </x:c>
      <x:c r="L379" s="55" t="n">
        <x:v>5527</x:v>
      </x:c>
      <x:c r="M379" s="55" t="n">
        <x:v>1788</x:v>
      </x:c>
      <x:c r="N379" s="55" t="n">
        <x:v>2513</x:v>
      </x:c>
      <x:c r="O379" s="55" t="n">
        <x:v>1226</x:v>
      </x:c>
      <x:c r="P379" s="55" t="n">
        <x:v>897</x:v>
      </x:c>
      <x:c r="Q379" s="55" t="n">
        <x:v>2094</x:v>
      </x:c>
      <x:c r="R379" s="55" t="n">
        <x:v>2075</x:v>
      </x:c>
      <x:c r="S379" s="55" t="n">
        <x:v>2018</x:v>
      </x:c>
      <x:c r="T379" s="55" t="n">
        <x:v>1081</x:v>
      </x:c>
      <x:c r="U379" s="55" t="n">
        <x:v>2850</x:v>
      </x:c>
      <x:c r="V379" s="55" t="n">
        <x:v>10259</x:v>
      </x:c>
      <x:c r="W379" s="55" t="n">
        <x:v>6815</x:v>
      </x:c>
      <x:c r="X379" s="55" t="n">
        <x:v>3444</x:v>
      </x:c>
      <x:c r="Y379" s="55" t="n">
        <x:v>2743</x:v>
      </x:c>
      <x:c r="Z379" s="55" t="n">
        <x:v>2922</x:v>
      </x:c>
      <x:c r="AA379" s="55" t="n">
        <x:v>3148</x:v>
      </x:c>
      <x:c r="AB379" s="55" t="n">
        <x:v>1062</x:v>
      </x:c>
      <x:c r="AC379" s="55" t="n">
        <x:v>7567</x:v>
      </x:c>
      <x:c r="AD379" s="55" t="n">
        <x:v>2544</x:v>
      </x:c>
      <x:c r="AE379" s="55" t="n">
        <x:v>10388</x:v>
      </x:c>
      <x:c r="AF379" s="55" t="n">
        <x:v>10259</x:v>
      </x:c>
      <x:c r="AG379" s="55" t="n">
        <x:v>129</x:v>
      </x:c>
      <x:c r="AH379" s="55" t="n">
        <x:v>349</x:v>
      </x:c>
      <x:c r="AI379" s="55" t="n">
        <x:v>9910</x:v>
      </x:c>
      <x:c r="AJ379" s="55" t="n">
        <x:v>354</x:v>
      </x:c>
      <x:c r="AK379" s="55" t="n">
        <x:v>1028</x:v>
      </x:c>
      <x:c r="AL379" s="55" t="n">
        <x:v>1248</x:v>
      </x:c>
      <x:c r="AM379" s="55" t="n">
        <x:v>4872</x:v>
      </x:c>
      <x:c r="AN379" s="55" t="n">
        <x:v>2757</x:v>
      </x:c>
      <x:c r="AO379" s="55" t="n">
        <x:v>0</x:v>
      </x:c>
      <x:c r="AP379" s="55" t="n">
        <x:v>2598</x:v>
      </x:c>
      <x:c r="AQ379" s="55" t="n">
        <x:v>947</x:v>
      </x:c>
    </x:row>
    <x:row r="380">
      <x:c r="A380" s="54" t="str">
        <x:v>T1_SHARED_CATCHMENT</x:v>
      </x:c>
      <x:c r="B380" s="54" t="n">
        <x:v>374</x:v>
      </x:c>
      <x:c r="C380" s="54" t="str">
        <x:v>NYC-V2-R01</x:v>
      </x:c>
      <x:c r="D380" s="54" t="str">
        <x:v>V2</x:v>
      </x:c>
      <x:c r="E380" s="54" t="str">
        <x:v>ADMITTED</x:v>
      </x:c>
      <x:c r="F380" s="55" t="n">
        <x:v>33227</x:v>
      </x:c>
      <x:c r="G380" s="55" t="n">
        <x:v>9139</x:v>
      </x:c>
      <x:c r="H380" s="55" t="n">
        <x:v>3331</x:v>
      </x:c>
      <x:c r="I380" s="55" t="n">
        <x:v>2010</x:v>
      </x:c>
      <x:c r="J380" s="55" t="n">
        <x:v>423</x:v>
      </x:c>
      <x:c r="K380" s="55" t="n">
        <x:v>33227</x:v>
      </x:c>
      <x:c r="L380" s="55" t="n">
        <x:v>6957</x:v>
      </x:c>
      <x:c r="M380" s="55" t="n">
        <x:v>2353</x:v>
      </x:c>
      <x:c r="N380" s="55" t="n">
        <x:v>2926</x:v>
      </x:c>
      <x:c r="O380" s="55" t="n">
        <x:v>1678</x:v>
      </x:c>
      <x:c r="P380" s="55" t="n">
        <x:v>892</x:v>
      </x:c>
      <x:c r="Q380" s="55" t="n">
        <x:v>2600</x:v>
      </x:c>
      <x:c r="R380" s="55" t="n">
        <x:v>2185</x:v>
      </x:c>
      <x:c r="S380" s="55" t="n">
        <x:v>3163</x:v>
      </x:c>
      <x:c r="T380" s="55" t="n">
        <x:v>1619</x:v>
      </x:c>
      <x:c r="U380" s="55" t="n">
        <x:v>1623</x:v>
      </x:c>
      <x:c r="V380" s="55" t="n">
        <x:v>10921</x:v>
      </x:c>
      <x:c r="W380" s="55" t="n">
        <x:v>7481</x:v>
      </x:c>
      <x:c r="X380" s="55" t="n">
        <x:v>3440</x:v>
      </x:c>
      <x:c r="Y380" s="55" t="n">
        <x:v>2891</x:v>
      </x:c>
      <x:c r="Z380" s="55" t="n">
        <x:v>4038</x:v>
      </x:c>
      <x:c r="AA380" s="55" t="n">
        <x:v>3331</x:v>
      </x:c>
      <x:c r="AB380" s="55" t="n">
        <x:v>1223</x:v>
      </x:c>
      <x:c r="AC380" s="55" t="n">
        <x:v>8173</x:v>
      </x:c>
      <x:c r="AD380" s="55" t="n">
        <x:v>3230</x:v>
      </x:c>
      <x:c r="AE380" s="55" t="n">
        <x:v>11109</x:v>
      </x:c>
      <x:c r="AF380" s="55" t="n">
        <x:v>10921</x:v>
      </x:c>
      <x:c r="AG380" s="55" t="n">
        <x:v>188</x:v>
      </x:c>
      <x:c r="AH380" s="55" t="n">
        <x:v>610</x:v>
      </x:c>
      <x:c r="AI380" s="55" t="n">
        <x:v>10311</x:v>
      </x:c>
      <x:c r="AJ380" s="55" t="n">
        <x:v>270</x:v>
      </x:c>
      <x:c r="AK380" s="55" t="n">
        <x:v>1084</x:v>
      </x:c>
      <x:c r="AL380" s="55" t="n">
        <x:v>1230</x:v>
      </x:c>
      <x:c r="AM380" s="55" t="n">
        <x:v>5414</x:v>
      </x:c>
      <x:c r="AN380" s="55" t="n">
        <x:v>2814</x:v>
      </x:c>
      <x:c r="AO380" s="55" t="n">
        <x:v>109</x:v>
      </x:c>
      <x:c r="AP380" s="55" t="n">
        <x:v>2753</x:v>
      </x:c>
      <x:c r="AQ380" s="55" t="n">
        <x:v>989</x:v>
      </x:c>
    </x:row>
    <x:row r="381">
      <x:c r="A381" s="54" t="str">
        <x:v>T1_SHARED_CATCHMENT</x:v>
      </x:c>
      <x:c r="B381" s="54" t="n">
        <x:v>375</x:v>
      </x:c>
      <x:c r="C381" s="54" t="str">
        <x:v>NYC-V2-R01</x:v>
      </x:c>
      <x:c r="D381" s="54" t="str">
        <x:v>V2</x:v>
      </x:c>
      <x:c r="E381" s="54" t="str">
        <x:v>ADMITTED</x:v>
      </x:c>
      <x:c r="F381" s="55" t="n">
        <x:v>32267</x:v>
      </x:c>
      <x:c r="G381" s="55" t="n">
        <x:v>8121</x:v>
      </x:c>
      <x:c r="H381" s="55" t="n">
        <x:v>3395</x:v>
      </x:c>
      <x:c r="I381" s="55" t="n">
        <x:v>910</x:v>
      </x:c>
      <x:c r="J381" s="55" t="n">
        <x:v>248</x:v>
      </x:c>
      <x:c r="K381" s="55" t="n">
        <x:v>32267</x:v>
      </x:c>
      <x:c r="L381" s="55" t="n">
        <x:v>5755</x:v>
      </x:c>
      <x:c r="M381" s="55" t="n">
        <x:v>1752</x:v>
      </x:c>
      <x:c r="N381" s="55" t="n">
        <x:v>2406</x:v>
      </x:c>
      <x:c r="O381" s="55" t="n">
        <x:v>1597</x:v>
      </x:c>
      <x:c r="P381" s="55" t="n">
        <x:v>990</x:v>
      </x:c>
      <x:c r="Q381" s="55" t="n">
        <x:v>3338</x:v>
      </x:c>
      <x:c r="R381" s="55" t="n">
        <x:v>2107</x:v>
      </x:c>
      <x:c r="S381" s="55" t="n">
        <x:v>2801</x:v>
      </x:c>
      <x:c r="T381" s="55" t="n">
        <x:v>1042</x:v>
      </x:c>
      <x:c r="U381" s="55" t="n">
        <x:v>2431</x:v>
      </x:c>
      <x:c r="V381" s="55" t="n">
        <x:v>10720</x:v>
      </x:c>
      <x:c r="W381" s="55" t="n">
        <x:v>7441</x:v>
      </x:c>
      <x:c r="X381" s="55" t="n">
        <x:v>3279</x:v>
      </x:c>
      <x:c r="Y381" s="55" t="n">
        <x:v>2880</x:v>
      </x:c>
      <x:c r="Z381" s="55" t="n">
        <x:v>4011</x:v>
      </x:c>
      <x:c r="AA381" s="55" t="n">
        <x:v>3395</x:v>
      </x:c>
      <x:c r="AB381" s="55" t="n">
        <x:v>1525</x:v>
      </x:c>
      <x:c r="AC381" s="55" t="n">
        <x:v>8056</x:v>
      </x:c>
      <x:c r="AD381" s="55" t="n">
        <x:v>2535</x:v>
      </x:c>
      <x:c r="AE381" s="55" t="n">
        <x:v>10721</x:v>
      </x:c>
      <x:c r="AF381" s="55" t="n">
        <x:v>10720</x:v>
      </x:c>
      <x:c r="AG381" s="55" t="n">
        <x:v>1</x:v>
      </x:c>
      <x:c r="AH381" s="55" t="n">
        <x:v>442</x:v>
      </x:c>
      <x:c r="AI381" s="55" t="n">
        <x:v>10278</x:v>
      </x:c>
      <x:c r="AJ381" s="55" t="n">
        <x:v>426</x:v>
      </x:c>
      <x:c r="AK381" s="55" t="n">
        <x:v>1053</x:v>
      </x:c>
      <x:c r="AL381" s="55" t="n">
        <x:v>1798</x:v>
      </x:c>
      <x:c r="AM381" s="55" t="n">
        <x:v>4801</x:v>
      </x:c>
      <x:c r="AN381" s="55" t="n">
        <x:v>2642</x:v>
      </x:c>
      <x:c r="AO381" s="55" t="n">
        <x:v>0</x:v>
      </x:c>
      <x:c r="AP381" s="55" t="n">
        <x:v>2457</x:v>
      </x:c>
      <x:c r="AQ381" s="55" t="n">
        <x:v>993</x:v>
      </x:c>
    </x:row>
    <x:row r="382">
      <x:c r="A382" s="54" t="str">
        <x:v>T1_SHARED_CATCHMENT</x:v>
      </x:c>
      <x:c r="B382" s="54" t="n">
        <x:v>376</x:v>
      </x:c>
      <x:c r="C382" s="54" t="str">
        <x:v>NYC-V2-R01</x:v>
      </x:c>
      <x:c r="D382" s="54" t="str">
        <x:v>V2</x:v>
      </x:c>
      <x:c r="E382" s="54" t="str">
        <x:v>ADMITTED</x:v>
      </x:c>
      <x:c r="F382" s="55" t="n">
        <x:v>32695</x:v>
      </x:c>
      <x:c r="G382" s="55" t="n">
        <x:v>8921</x:v>
      </x:c>
      <x:c r="H382" s="55" t="n">
        <x:v>3286</x:v>
      </x:c>
      <x:c r="I382" s="55" t="n">
        <x:v>1644</x:v>
      </x:c>
      <x:c r="J382" s="55" t="n">
        <x:v>172</x:v>
      </x:c>
      <x:c r="K382" s="55" t="n">
        <x:v>32695</x:v>
      </x:c>
      <x:c r="L382" s="55" t="n">
        <x:v>6174</x:v>
      </x:c>
      <x:c r="M382" s="55" t="n">
        <x:v>1286</x:v>
      </x:c>
      <x:c r="N382" s="55" t="n">
        <x:v>2823</x:v>
      </x:c>
      <x:c r="O382" s="55" t="n">
        <x:v>2065</x:v>
      </x:c>
      <x:c r="P382" s="55" t="n">
        <x:v>1124</x:v>
      </x:c>
      <x:c r="Q382" s="55" t="n">
        <x:v>2863</x:v>
      </x:c>
      <x:c r="R382" s="55" t="n">
        <x:v>1873</x:v>
      </x:c>
      <x:c r="S382" s="55" t="n">
        <x:v>3037</x:v>
      </x:c>
      <x:c r="T382" s="55" t="n">
        <x:v>1477</x:v>
      </x:c>
      <x:c r="U382" s="55" t="n">
        <x:v>1926</x:v>
      </x:c>
      <x:c r="V382" s="55" t="n">
        <x:v>10092</x:v>
      </x:c>
      <x:c r="W382" s="55" t="n">
        <x:v>6922</x:v>
      </x:c>
      <x:c r="X382" s="55" t="n">
        <x:v>3170</x:v>
      </x:c>
      <x:c r="Y382" s="55" t="n">
        <x:v>2800</x:v>
      </x:c>
      <x:c r="Z382" s="55" t="n">
        <x:v>4070</x:v>
      </x:c>
      <x:c r="AA382" s="55" t="n">
        <x:v>2596</x:v>
      </x:c>
      <x:c r="AB382" s="55" t="n">
        <x:v>980</x:v>
      </x:c>
      <x:c r="AC382" s="55" t="n">
        <x:v>7635</x:v>
      </x:c>
      <x:c r="AD382" s="55" t="n">
        <x:v>2568</x:v>
      </x:c>
      <x:c r="AE382" s="55" t="n">
        <x:v>10170</x:v>
      </x:c>
      <x:c r="AF382" s="55" t="n">
        <x:v>10092</x:v>
      </x:c>
      <x:c r="AG382" s="55" t="n">
        <x:v>78</x:v>
      </x:c>
      <x:c r="AH382" s="55" t="n">
        <x:v>396</x:v>
      </x:c>
      <x:c r="AI382" s="55" t="n">
        <x:v>9696</x:v>
      </x:c>
      <x:c r="AJ382" s="55" t="n">
        <x:v>407</x:v>
      </x:c>
      <x:c r="AK382" s="55" t="n">
        <x:v>591</x:v>
      </x:c>
      <x:c r="AL382" s="55" t="n">
        <x:v>1887</x:v>
      </x:c>
      <x:c r="AM382" s="55" t="n">
        <x:v>4765</x:v>
      </x:c>
      <x:c r="AN382" s="55" t="n">
        <x:v>2442</x:v>
      </x:c>
      <x:c r="AO382" s="55" t="n">
        <x:v>0</x:v>
      </x:c>
      <x:c r="AP382" s="55" t="n">
        <x:v>2521</x:v>
      </x:c>
      <x:c r="AQ382" s="55" t="n">
        <x:v>941</x:v>
      </x:c>
    </x:row>
    <x:row r="383">
      <x:c r="A383" s="54" t="str">
        <x:v>T1_SHARED_CATCHMENT</x:v>
      </x:c>
      <x:c r="B383" s="54" t="n">
        <x:v>377</x:v>
      </x:c>
      <x:c r="C383" s="54" t="str">
        <x:v>NYC-V2-R01</x:v>
      </x:c>
      <x:c r="D383" s="54" t="str">
        <x:v>V2</x:v>
      </x:c>
      <x:c r="E383" s="54" t="str">
        <x:v>ADMITTED</x:v>
      </x:c>
      <x:c r="F383" s="55" t="n">
        <x:v>32426</x:v>
      </x:c>
      <x:c r="G383" s="55" t="n">
        <x:v>6998</x:v>
      </x:c>
      <x:c r="H383" s="55" t="n">
        <x:v>3117</x:v>
      </x:c>
      <x:c r="I383" s="55" t="n">
        <x:v>1269</x:v>
      </x:c>
      <x:c r="J383" s="55" t="n">
        <x:v>218</x:v>
      </x:c>
      <x:c r="K383" s="55" t="n">
        <x:v>32426</x:v>
      </x:c>
      <x:c r="L383" s="55" t="n">
        <x:v>7277</x:v>
      </x:c>
      <x:c r="M383" s="55" t="n">
        <x:v>2136</x:v>
      </x:c>
      <x:c r="N383" s="55" t="n">
        <x:v>2831</x:v>
      </x:c>
      <x:c r="O383" s="55" t="n">
        <x:v>2310</x:v>
      </x:c>
      <x:c r="P383" s="55" t="n">
        <x:v>1125</x:v>
      </x:c>
      <x:c r="Q383" s="55" t="n">
        <x:v>1930</x:v>
      </x:c>
      <x:c r="R383" s="55" t="n">
        <x:v>2404</x:v>
      </x:c>
      <x:c r="S383" s="55" t="n">
        <x:v>3003</x:v>
      </x:c>
      <x:c r="T383" s="55" t="n">
        <x:v>1262</x:v>
      </x:c>
      <x:c r="U383" s="55" t="n">
        <x:v>2329</x:v>
      </x:c>
      <x:c r="V383" s="55" t="n">
        <x:v>10377</x:v>
      </x:c>
      <x:c r="W383" s="55" t="n">
        <x:v>7549</x:v>
      </x:c>
      <x:c r="X383" s="55" t="n">
        <x:v>2828</x:v>
      </x:c>
      <x:c r="Y383" s="55" t="n">
        <x:v>2398</x:v>
      </x:c>
      <x:c r="Z383" s="55" t="n">
        <x:v>3728</x:v>
      </x:c>
      <x:c r="AA383" s="55" t="n">
        <x:v>3117</x:v>
      </x:c>
      <x:c r="AB383" s="55" t="n">
        <x:v>1151</x:v>
      </x:c>
      <x:c r="AC383" s="55" t="n">
        <x:v>8266</x:v>
      </x:c>
      <x:c r="AD383" s="55" t="n">
        <x:v>2817</x:v>
      </x:c>
      <x:c r="AE383" s="55" t="n">
        <x:v>10494</x:v>
      </x:c>
      <x:c r="AF383" s="55" t="n">
        <x:v>10377</x:v>
      </x:c>
      <x:c r="AG383" s="55" t="n">
        <x:v>117</x:v>
      </x:c>
      <x:c r="AH383" s="55" t="n">
        <x:v>175</x:v>
      </x:c>
      <x:c r="AI383" s="55" t="n">
        <x:v>10202</x:v>
      </x:c>
      <x:c r="AJ383" s="55" t="n">
        <x:v>363</x:v>
      </x:c>
      <x:c r="AK383" s="55" t="n">
        <x:v>1340</x:v>
      </x:c>
      <x:c r="AL383" s="55" t="n">
        <x:v>1265</x:v>
      </x:c>
      <x:c r="AM383" s="55" t="n">
        <x:v>4241</x:v>
      </x:c>
      <x:c r="AN383" s="55" t="n">
        <x:v>3076</x:v>
      </x:c>
      <x:c r="AO383" s="55" t="n">
        <x:v>92</x:v>
      </x:c>
      <x:c r="AP383" s="55" t="n">
        <x:v>2147</x:v>
      </x:c>
      <x:c r="AQ383" s="55" t="n">
        <x:v>979</x:v>
      </x:c>
    </x:row>
    <x:row r="384">
      <x:c r="A384" s="54" t="str">
        <x:v>T1_SHARED_CATCHMENT</x:v>
      </x:c>
      <x:c r="B384" s="54" t="n">
        <x:v>378</x:v>
      </x:c>
      <x:c r="C384" s="54" t="str">
        <x:v>NYC-V2-R01</x:v>
      </x:c>
      <x:c r="D384" s="54" t="str">
        <x:v>V2</x:v>
      </x:c>
      <x:c r="E384" s="54" t="str">
        <x:v>ADMITTED</x:v>
      </x:c>
      <x:c r="F384" s="55" t="n">
        <x:v>31607</x:v>
      </x:c>
      <x:c r="G384" s="55" t="n">
        <x:v>9170</x:v>
      </x:c>
      <x:c r="H384" s="55" t="n">
        <x:v>3045</x:v>
      </x:c>
      <x:c r="I384" s="55" t="n">
        <x:v>1325</x:v>
      </x:c>
      <x:c r="J384" s="55" t="n">
        <x:v>134</x:v>
      </x:c>
      <x:c r="K384" s="55" t="n">
        <x:v>31607</x:v>
      </x:c>
      <x:c r="L384" s="55" t="n">
        <x:v>5391</x:v>
      </x:c>
      <x:c r="M384" s="55" t="n">
        <x:v>1170</x:v>
      </x:c>
      <x:c r="N384" s="55" t="n">
        <x:v>2521</x:v>
      </x:c>
      <x:c r="O384" s="55" t="n">
        <x:v>1700</x:v>
      </x:c>
      <x:c r="P384" s="55" t="n">
        <x:v>961</x:v>
      </x:c>
      <x:c r="Q384" s="55" t="n">
        <x:v>1833</x:v>
      </x:c>
      <x:c r="R384" s="55" t="n">
        <x:v>1858</x:v>
      </x:c>
      <x:c r="S384" s="55" t="n">
        <x:v>2848</x:v>
      </x:c>
      <x:c r="T384" s="55" t="n">
        <x:v>804</x:v>
      </x:c>
      <x:c r="U384" s="55" t="n">
        <x:v>2403</x:v>
      </x:c>
      <x:c r="V384" s="55" t="n">
        <x:v>10720</x:v>
      </x:c>
      <x:c r="W384" s="55" t="n">
        <x:v>7201</x:v>
      </x:c>
      <x:c r="X384" s="55" t="n">
        <x:v>3519</x:v>
      </x:c>
      <x:c r="Y384" s="55" t="n">
        <x:v>2978</x:v>
      </x:c>
      <x:c r="Z384" s="55" t="n">
        <x:v>3991</x:v>
      </x:c>
      <x:c r="AA384" s="55" t="n">
        <x:v>2966</x:v>
      </x:c>
      <x:c r="AB384" s="55" t="n">
        <x:v>1137</x:v>
      </x:c>
      <x:c r="AC384" s="55" t="n">
        <x:v>7947</x:v>
      </x:c>
      <x:c r="AD384" s="55" t="n">
        <x:v>2958</x:v>
      </x:c>
      <x:c r="AE384" s="55" t="n">
        <x:v>10852</x:v>
      </x:c>
      <x:c r="AF384" s="55" t="n">
        <x:v>10720</x:v>
      </x:c>
      <x:c r="AG384" s="55" t="n">
        <x:v>132</x:v>
      </x:c>
      <x:c r="AH384" s="55" t="n">
        <x:v>830</x:v>
      </x:c>
      <x:c r="AI384" s="55" t="n">
        <x:v>9890</x:v>
      </x:c>
      <x:c r="AJ384" s="55" t="n">
        <x:v>326</x:v>
      </x:c>
      <x:c r="AK384" s="55" t="n">
        <x:v>929</x:v>
      </x:c>
      <x:c r="AL384" s="55" t="n">
        <x:v>1415</x:v>
      </x:c>
      <x:c r="AM384" s="55" t="n">
        <x:v>4965</x:v>
      </x:c>
      <x:c r="AN384" s="55" t="n">
        <x:v>3014</x:v>
      </x:c>
      <x:c r="AO384" s="55" t="n">
        <x:v>71</x:v>
      </x:c>
      <x:c r="AP384" s="55" t="n">
        <x:v>2555</x:v>
      </x:c>
      <x:c r="AQ384" s="55" t="n">
        <x:v>954</x:v>
      </x:c>
    </x:row>
    <x:row r="385">
      <x:c r="A385" s="54" t="str">
        <x:v>T1_SHARED_CATCHMENT</x:v>
      </x:c>
      <x:c r="B385" s="54" t="n">
        <x:v>379</x:v>
      </x:c>
      <x:c r="C385" s="54" t="str">
        <x:v>NYC-V2-R01</x:v>
      </x:c>
      <x:c r="D385" s="54" t="str">
        <x:v>V2</x:v>
      </x:c>
      <x:c r="E385" s="54" t="str">
        <x:v>ADMITTED</x:v>
      </x:c>
      <x:c r="F385" s="55" t="n">
        <x:v>32844</x:v>
      </x:c>
      <x:c r="G385" s="55" t="n">
        <x:v>7971</x:v>
      </x:c>
      <x:c r="H385" s="55" t="n">
        <x:v>3162</x:v>
      </x:c>
      <x:c r="I385" s="55" t="n">
        <x:v>1206</x:v>
      </x:c>
      <x:c r="J385" s="55" t="n">
        <x:v>219</x:v>
      </x:c>
      <x:c r="K385" s="55" t="n">
        <x:v>32844</x:v>
      </x:c>
      <x:c r="L385" s="55" t="n">
        <x:v>6014</x:v>
      </x:c>
      <x:c r="M385" s="55" t="n">
        <x:v>1051</x:v>
      </x:c>
      <x:c r="N385" s="55" t="n">
        <x:v>2981</x:v>
      </x:c>
      <x:c r="O385" s="55" t="n">
        <x:v>1982</x:v>
      </x:c>
      <x:c r="P385" s="55" t="n">
        <x:v>1221</x:v>
      </x:c>
      <x:c r="Q385" s="55" t="n">
        <x:v>2176</x:v>
      </x:c>
      <x:c r="R385" s="55" t="n">
        <x:v>1971</x:v>
      </x:c>
      <x:c r="S385" s="55" t="n">
        <x:v>2732</x:v>
      </x:c>
      <x:c r="T385" s="55" t="n">
        <x:v>1661</x:v>
      </x:c>
      <x:c r="U385" s="55" t="n">
        <x:v>2045</x:v>
      </x:c>
      <x:c r="V385" s="55" t="n">
        <x:v>10444</x:v>
      </x:c>
      <x:c r="W385" s="55" t="n">
        <x:v>7309</x:v>
      </x:c>
      <x:c r="X385" s="55" t="n">
        <x:v>3135</x:v>
      </x:c>
      <x:c r="Y385" s="55" t="n">
        <x:v>2741</x:v>
      </x:c>
      <x:c r="Z385" s="55" t="n">
        <x:v>3668</x:v>
      </x:c>
      <x:c r="AA385" s="55" t="n">
        <x:v>3105</x:v>
      </x:c>
      <x:c r="AB385" s="55" t="n">
        <x:v>1149</x:v>
      </x:c>
      <x:c r="AC385" s="55" t="n">
        <x:v>7879</x:v>
      </x:c>
      <x:c r="AD385" s="55" t="n">
        <x:v>2753</x:v>
      </x:c>
      <x:c r="AE385" s="55" t="n">
        <x:v>10530</x:v>
      </x:c>
      <x:c r="AF385" s="55" t="n">
        <x:v>10444</x:v>
      </x:c>
      <x:c r="AG385" s="55" t="n">
        <x:v>86</x:v>
      </x:c>
      <x:c r="AH385" s="55" t="n">
        <x:v>776</x:v>
      </x:c>
      <x:c r="AI385" s="55" t="n">
        <x:v>9668</x:v>
      </x:c>
      <x:c r="AJ385" s="55" t="n">
        <x:v>446</x:v>
      </x:c>
      <x:c r="AK385" s="55" t="n">
        <x:v>894</x:v>
      </x:c>
      <x:c r="AL385" s="55" t="n">
        <x:v>1360</x:v>
      </x:c>
      <x:c r="AM385" s="55" t="n">
        <x:v>4932</x:v>
      </x:c>
      <x:c r="AN385" s="55" t="n">
        <x:v>2756</x:v>
      </x:c>
      <x:c r="AO385" s="55" t="n">
        <x:v>56</x:v>
      </x:c>
      <x:c r="AP385" s="55" t="n">
        <x:v>1959</x:v>
      </x:c>
      <x:c r="AQ385" s="55" t="n">
        <x:v>1026</x:v>
      </x:c>
    </x:row>
    <x:row r="386">
      <x:c r="A386" s="54" t="str">
        <x:v>T1_SHARED_CATCHMENT</x:v>
      </x:c>
      <x:c r="B386" s="54" t="n">
        <x:v>380</x:v>
      </x:c>
      <x:c r="C386" s="54" t="str">
        <x:v>NYC-V2-R01</x:v>
      </x:c>
      <x:c r="D386" s="54" t="str">
        <x:v>V2</x:v>
      </x:c>
      <x:c r="E386" s="54" t="str">
        <x:v>ADMITTED</x:v>
      </x:c>
      <x:c r="F386" s="55" t="n">
        <x:v>28757</x:v>
      </x:c>
      <x:c r="G386" s="55" t="n">
        <x:v>6793</x:v>
      </x:c>
      <x:c r="H386" s="55" t="n">
        <x:v>3134</x:v>
      </x:c>
      <x:c r="I386" s="55" t="n">
        <x:v>931</x:v>
      </x:c>
      <x:c r="J386" s="55" t="n">
        <x:v>0</x:v>
      </x:c>
      <x:c r="K386" s="55" t="n">
        <x:v>28196</x:v>
      </x:c>
      <x:c r="L386" s="55" t="n">
        <x:v>5207</x:v>
      </x:c>
      <x:c r="M386" s="55" t="n">
        <x:v>747</x:v>
      </x:c>
      <x:c r="N386" s="55" t="n">
        <x:v>2402</x:v>
      </x:c>
      <x:c r="O386" s="55" t="n">
        <x:v>2058</x:v>
      </x:c>
      <x:c r="P386" s="55" t="n">
        <x:v>628</x:v>
      </x:c>
      <x:c r="Q386" s="55" t="n">
        <x:v>1834</x:v>
      </x:c>
      <x:c r="R386" s="55" t="n">
        <x:v>1379</x:v>
      </x:c>
      <x:c r="S386" s="55" t="n">
        <x:v>2109</x:v>
      </x:c>
      <x:c r="T386" s="55" t="n">
        <x:v>1046</x:v>
      </x:c>
      <x:c r="U386" s="55" t="n">
        <x:v>1643</x:v>
      </x:c>
      <x:c r="V386" s="55" t="n">
        <x:v>10373</x:v>
      </x:c>
      <x:c r="W386" s="55" t="n">
        <x:v>7464</x:v>
      </x:c>
      <x:c r="X386" s="55" t="n">
        <x:v>2909</x:v>
      </x:c>
      <x:c r="Y386" s="55" t="n">
        <x:v>2541</x:v>
      </x:c>
      <x:c r="Z386" s="55" t="n">
        <x:v>3335</x:v>
      </x:c>
      <x:c r="AA386" s="55" t="n">
        <x:v>3134</x:v>
      </x:c>
      <x:c r="AB386" s="55" t="n">
        <x:v>1267</x:v>
      </x:c>
      <x:c r="AC386" s="55" t="n">
        <x:v>8156</x:v>
      </x:c>
      <x:c r="AD386" s="55" t="n">
        <x:v>2612</x:v>
      </x:c>
      <x:c r="AE386" s="55" t="n">
        <x:v>10395</x:v>
      </x:c>
      <x:c r="AF386" s="55" t="n">
        <x:v>10373</x:v>
      </x:c>
      <x:c r="AG386" s="55" t="n">
        <x:v>22</x:v>
      </x:c>
      <x:c r="AH386" s="55" t="n">
        <x:v>467</x:v>
      </x:c>
      <x:c r="AI386" s="55" t="n">
        <x:v>9906</x:v>
      </x:c>
      <x:c r="AJ386" s="55" t="n">
        <x:v>366</x:v>
      </x:c>
      <x:c r="AK386" s="55" t="n">
        <x:v>857</x:v>
      </x:c>
      <x:c r="AL386" s="55" t="n">
        <x:v>1830</x:v>
      </x:c>
      <x:c r="AM386" s="55" t="n">
        <x:v>4593</x:v>
      </x:c>
      <x:c r="AN386" s="55" t="n">
        <x:v>2667</x:v>
      </x:c>
      <x:c r="AO386" s="55" t="n">
        <x:v>60</x:v>
      </x:c>
      <x:c r="AP386" s="55" t="n">
        <x:v>2226</x:v>
      </x:c>
      <x:c r="AQ386" s="55" t="n">
        <x:v>945</x:v>
      </x:c>
    </x:row>
    <x:row r="387">
      <x:c r="A387" s="54" t="str">
        <x:v>T1_SHARED_CATCHMENT</x:v>
      </x:c>
      <x:c r="B387" s="54" t="n">
        <x:v>381</x:v>
      </x:c>
      <x:c r="C387" s="54" t="str">
        <x:v>NYC-V2-R01</x:v>
      </x:c>
      <x:c r="D387" s="54" t="str">
        <x:v>V2</x:v>
      </x:c>
      <x:c r="E387" s="54" t="str">
        <x:v>ADMITTED</x:v>
      </x:c>
      <x:c r="F387" s="55" t="n">
        <x:v>31621</x:v>
      </x:c>
      <x:c r="G387" s="55" t="n">
        <x:v>6365</x:v>
      </x:c>
      <x:c r="H387" s="55" t="n">
        <x:v>3664</x:v>
      </x:c>
      <x:c r="I387" s="55" t="n">
        <x:v>1538</x:v>
      </x:c>
      <x:c r="J387" s="55" t="n">
        <x:v>387</x:v>
      </x:c>
      <x:c r="K387" s="55" t="n">
        <x:v>31621</x:v>
      </x:c>
      <x:c r="L387" s="55" t="n">
        <x:v>4929</x:v>
      </x:c>
      <x:c r="M387" s="55" t="n">
        <x:v>0</x:v>
      </x:c>
      <x:c r="N387" s="55" t="n">
        <x:v>3294</x:v>
      </x:c>
      <x:c r="O387" s="55" t="n">
        <x:v>1635</x:v>
      </x:c>
      <x:c r="P387" s="55" t="n">
        <x:v>995</x:v>
      </x:c>
      <x:c r="Q387" s="55" t="n">
        <x:v>2557</x:v>
      </x:c>
      <x:c r="R387" s="55" t="n">
        <x:v>1761</x:v>
      </x:c>
      <x:c r="S387" s="55" t="n">
        <x:v>2541</x:v>
      </x:c>
      <x:c r="T387" s="55" t="n">
        <x:v>1272</x:v>
      </x:c>
      <x:c r="U387" s="55" t="n">
        <x:v>1702</x:v>
      </x:c>
      <x:c r="V387" s="55" t="n">
        <x:v>9577</x:v>
      </x:c>
      <x:c r="W387" s="55" t="n">
        <x:v>6551</x:v>
      </x:c>
      <x:c r="X387" s="55" t="n">
        <x:v>3026</x:v>
      </x:c>
      <x:c r="Y387" s="55" t="n">
        <x:v>2709</x:v>
      </x:c>
      <x:c r="Z387" s="55" t="n">
        <x:v>3532</x:v>
      </x:c>
      <x:c r="AA387" s="55" t="n">
        <x:v>2728</x:v>
      </x:c>
      <x:c r="AB387" s="55" t="n">
        <x:v>939</x:v>
      </x:c>
      <x:c r="AC387" s="55" t="n">
        <x:v>7830</x:v>
      </x:c>
      <x:c r="AD387" s="55" t="n">
        <x:v>3469</x:v>
      </x:c>
      <x:c r="AE387" s="55" t="n">
        <x:v>9655</x:v>
      </x:c>
      <x:c r="AF387" s="55" t="n">
        <x:v>9577</x:v>
      </x:c>
      <x:c r="AG387" s="55" t="n">
        <x:v>78</x:v>
      </x:c>
      <x:c r="AH387" s="55" t="n">
        <x:v>353</x:v>
      </x:c>
      <x:c r="AI387" s="55" t="n">
        <x:v>9224</x:v>
      </x:c>
      <x:c r="AJ387" s="55" t="n">
        <x:v>320</x:v>
      </x:c>
      <x:c r="AK387" s="55" t="n">
        <x:v>934</x:v>
      </x:c>
      <x:c r="AL387" s="55" t="n">
        <x:v>1254</x:v>
      </x:c>
      <x:c r="AM387" s="55" t="n">
        <x:v>4562</x:v>
      </x:c>
      <x:c r="AN387" s="55" t="n">
        <x:v>2507</x:v>
      </x:c>
      <x:c r="AO387" s="55" t="n">
        <x:v>0</x:v>
      </x:c>
      <x:c r="AP387" s="55" t="n">
        <x:v>2259</x:v>
      </x:c>
      <x:c r="AQ387" s="55" t="n">
        <x:v>947</x:v>
      </x:c>
    </x:row>
    <x:row r="388">
      <x:c r="A388" s="54" t="str">
        <x:v>T1_SHARED_CATCHMENT</x:v>
      </x:c>
      <x:c r="B388" s="54" t="n">
        <x:v>382</x:v>
      </x:c>
      <x:c r="C388" s="54" t="str">
        <x:v>NYC-V2-R01</x:v>
      </x:c>
      <x:c r="D388" s="54" t="str">
        <x:v>V2</x:v>
      </x:c>
      <x:c r="E388" s="54" t="str">
        <x:v>ADMITTED</x:v>
      </x:c>
      <x:c r="F388" s="55" t="n">
        <x:v>33017</x:v>
      </x:c>
      <x:c r="G388" s="55" t="n">
        <x:v>7995</x:v>
      </x:c>
      <x:c r="H388" s="55" t="n">
        <x:v>3744</x:v>
      </x:c>
      <x:c r="I388" s="55" t="n">
        <x:v>1463</x:v>
      </x:c>
      <x:c r="J388" s="55" t="n">
        <x:v>178</x:v>
      </x:c>
      <x:c r="K388" s="55" t="n">
        <x:v>33017</x:v>
      </x:c>
      <x:c r="L388" s="55" t="n">
        <x:v>6494</x:v>
      </x:c>
      <x:c r="M388" s="55" t="n">
        <x:v>1504</x:v>
      </x:c>
      <x:c r="N388" s="55" t="n">
        <x:v>2841</x:v>
      </x:c>
      <x:c r="O388" s="55" t="n">
        <x:v>2149</x:v>
      </x:c>
      <x:c r="P388" s="55" t="n">
        <x:v>1185</x:v>
      </x:c>
      <x:c r="Q388" s="55" t="n">
        <x:v>2755</x:v>
      </x:c>
      <x:c r="R388" s="55" t="n">
        <x:v>2134</x:v>
      </x:c>
      <x:c r="S388" s="55" t="n">
        <x:v>2938</x:v>
      </x:c>
      <x:c r="T388" s="55" t="n">
        <x:v>1511</x:v>
      </x:c>
      <x:c r="U388" s="55" t="n">
        <x:v>2178</x:v>
      </x:c>
      <x:c r="V388" s="55" t="n">
        <x:v>10484</x:v>
      </x:c>
      <x:c r="W388" s="55" t="n">
        <x:v>7323</x:v>
      </x:c>
      <x:c r="X388" s="55" t="n">
        <x:v>3161</x:v>
      </x:c>
      <x:c r="Y388" s="55" t="n">
        <x:v>2756</x:v>
      </x:c>
      <x:c r="Z388" s="55" t="n">
        <x:v>3821</x:v>
      </x:c>
      <x:c r="AA388" s="55" t="n">
        <x:v>3744</x:v>
      </x:c>
      <x:c r="AB388" s="55" t="n">
        <x:v>1313</x:v>
      </x:c>
      <x:c r="AC388" s="55" t="n">
        <x:v>8184</x:v>
      </x:c>
      <x:c r="AD388" s="55" t="n">
        <x:v>3282</x:v>
      </x:c>
      <x:c r="AE388" s="55" t="n">
        <x:v>10653</x:v>
      </x:c>
      <x:c r="AF388" s="55" t="n">
        <x:v>10484</x:v>
      </x:c>
      <x:c r="AG388" s="55" t="n">
        <x:v>169</x:v>
      </x:c>
      <x:c r="AH388" s="55" t="n">
        <x:v>345</x:v>
      </x:c>
      <x:c r="AI388" s="55" t="n">
        <x:v>10139</x:v>
      </x:c>
      <x:c r="AJ388" s="55" t="n">
        <x:v>297</x:v>
      </x:c>
      <x:c r="AK388" s="55" t="n">
        <x:v>1149</x:v>
      </x:c>
      <x:c r="AL388" s="55" t="n">
        <x:v>1328</x:v>
      </x:c>
      <x:c r="AM388" s="55" t="n">
        <x:v>4947</x:v>
      </x:c>
      <x:c r="AN388" s="55" t="n">
        <x:v>2709</x:v>
      </x:c>
      <x:c r="AO388" s="55" t="n">
        <x:v>54</x:v>
      </x:c>
      <x:c r="AP388" s="55" t="n">
        <x:v>1977</x:v>
      </x:c>
      <x:c r="AQ388" s="55" t="n">
        <x:v>1004</x:v>
      </x:c>
    </x:row>
    <x:row r="389">
      <x:c r="A389" s="54" t="str">
        <x:v>T1_SHARED_CATCHMENT</x:v>
      </x:c>
      <x:c r="B389" s="54" t="n">
        <x:v>383</x:v>
      </x:c>
      <x:c r="C389" s="54" t="str">
        <x:v>NYC-V2-R01</x:v>
      </x:c>
      <x:c r="D389" s="54" t="str">
        <x:v>V2</x:v>
      </x:c>
      <x:c r="E389" s="54" t="str">
        <x:v>ADMITTED</x:v>
      </x:c>
      <x:c r="F389" s="55" t="n">
        <x:v>31749</x:v>
      </x:c>
      <x:c r="G389" s="55" t="n">
        <x:v>6199</x:v>
      </x:c>
      <x:c r="H389" s="55" t="n">
        <x:v>2978</x:v>
      </x:c>
      <x:c r="I389" s="55" t="n">
        <x:v>1491</x:v>
      </x:c>
      <x:c r="J389" s="55" t="n">
        <x:v>230</x:v>
      </x:c>
      <x:c r="K389" s="55" t="n">
        <x:v>31749</x:v>
      </x:c>
      <x:c r="L389" s="55" t="n">
        <x:v>6106</x:v>
      </x:c>
      <x:c r="M389" s="55" t="n">
        <x:v>1016</x:v>
      </x:c>
      <x:c r="N389" s="55" t="n">
        <x:v>3216</x:v>
      </x:c>
      <x:c r="O389" s="55" t="n">
        <x:v>1874</x:v>
      </x:c>
      <x:c r="P389" s="55" t="n">
        <x:v>562</x:v>
      </x:c>
      <x:c r="Q389" s="55" t="n">
        <x:v>2737</x:v>
      </x:c>
      <x:c r="R389" s="55" t="n">
        <x:v>2143</x:v>
      </x:c>
      <x:c r="S389" s="55" t="n">
        <x:v>2901</x:v>
      </x:c>
      <x:c r="T389" s="55" t="n">
        <x:v>1609</x:v>
      </x:c>
      <x:c r="U389" s="55" t="n">
        <x:v>2359</x:v>
      </x:c>
      <x:c r="V389" s="55" t="n">
        <x:v>10431</x:v>
      </x:c>
      <x:c r="W389" s="55" t="n">
        <x:v>7019</x:v>
      </x:c>
      <x:c r="X389" s="55" t="n">
        <x:v>3412</x:v>
      </x:c>
      <x:c r="Y389" s="55" t="n">
        <x:v>3020</x:v>
      </x:c>
      <x:c r="Z389" s="55" t="n">
        <x:v>3707</x:v>
      </x:c>
      <x:c r="AA389" s="55" t="n">
        <x:v>2386</x:v>
      </x:c>
      <x:c r="AB389" s="55" t="n">
        <x:v>1010</x:v>
      </x:c>
      <x:c r="AC389" s="55" t="n">
        <x:v>7311</x:v>
      </x:c>
      <x:c r="AD389" s="55" t="n">
        <x:v>3283</x:v>
      </x:c>
      <x:c r="AE389" s="55" t="n">
        <x:v>10491</x:v>
      </x:c>
      <x:c r="AF389" s="55" t="n">
        <x:v>10431</x:v>
      </x:c>
      <x:c r="AG389" s="55" t="n">
        <x:v>60</x:v>
      </x:c>
      <x:c r="AH389" s="55" t="n">
        <x:v>410</x:v>
      </x:c>
      <x:c r="AI389" s="55" t="n">
        <x:v>10021</x:v>
      </x:c>
      <x:c r="AJ389" s="55" t="n">
        <x:v>284</x:v>
      </x:c>
      <x:c r="AK389" s="55" t="n">
        <x:v>1258</x:v>
      </x:c>
      <x:c r="AL389" s="55" t="n">
        <x:v>1704</x:v>
      </x:c>
      <x:c r="AM389" s="55" t="n">
        <x:v>4090</x:v>
      </x:c>
      <x:c r="AN389" s="55" t="n">
        <x:v>3028</x:v>
      </x:c>
      <x:c r="AO389" s="55" t="n">
        <x:v>67</x:v>
      </x:c>
      <x:c r="AP389" s="55" t="n">
        <x:v>2920</x:v>
      </x:c>
      <x:c r="AQ389" s="55" t="n">
        <x:v>958</x:v>
      </x:c>
    </x:row>
    <x:row r="390">
      <x:c r="A390" s="54" t="str">
        <x:v>T1_SHARED_CATCHMENT</x:v>
      </x:c>
      <x:c r="B390" s="54" t="n">
        <x:v>384</x:v>
      </x:c>
      <x:c r="C390" s="54" t="str">
        <x:v>NYC-V2-R01</x:v>
      </x:c>
      <x:c r="D390" s="54" t="str">
        <x:v>V2</x:v>
      </x:c>
      <x:c r="E390" s="54" t="str">
        <x:v>ADMITTED</x:v>
      </x:c>
      <x:c r="F390" s="55" t="n">
        <x:v>30723</x:v>
      </x:c>
      <x:c r="G390" s="55" t="n">
        <x:v>7781</x:v>
      </x:c>
      <x:c r="H390" s="55" t="n">
        <x:v>3637</x:v>
      </x:c>
      <x:c r="I390" s="55" t="n">
        <x:v>1717</x:v>
      </x:c>
      <x:c r="J390" s="55" t="n">
        <x:v>223</x:v>
      </x:c>
      <x:c r="K390" s="55" t="n">
        <x:v>29063</x:v>
      </x:c>
      <x:c r="L390" s="55" t="n">
        <x:v>5598</x:v>
      </x:c>
      <x:c r="M390" s="55" t="n">
        <x:v>859</x:v>
      </x:c>
      <x:c r="N390" s="55" t="n">
        <x:v>3034</x:v>
      </x:c>
      <x:c r="O390" s="55" t="n">
        <x:v>1705</x:v>
      </x:c>
      <x:c r="P390" s="55" t="n">
        <x:v>205</x:v>
      </x:c>
      <x:c r="Q390" s="55" t="n">
        <x:v>1805</x:v>
      </x:c>
      <x:c r="R390" s="55" t="n">
        <x:v>2190</x:v>
      </x:c>
      <x:c r="S390" s="55" t="n">
        <x:v>2681</x:v>
      </x:c>
      <x:c r="T390" s="55" t="n">
        <x:v>1342</x:v>
      </x:c>
      <x:c r="U390" s="55" t="n">
        <x:v>2087</x:v>
      </x:c>
      <x:c r="V390" s="55" t="n">
        <x:v>10448</x:v>
      </x:c>
      <x:c r="W390" s="55" t="n">
        <x:v>7663</x:v>
      </x:c>
      <x:c r="X390" s="55" t="n">
        <x:v>2785</x:v>
      </x:c>
      <x:c r="Y390" s="55" t="n">
        <x:v>2531</x:v>
      </x:c>
      <x:c r="Z390" s="55" t="n">
        <x:v>3826</x:v>
      </x:c>
      <x:c r="AA390" s="55" t="n">
        <x:v>3320</x:v>
      </x:c>
      <x:c r="AB390" s="55" t="n">
        <x:v>1191</x:v>
      </x:c>
      <x:c r="AC390" s="55" t="n">
        <x:v>7911</x:v>
      </x:c>
      <x:c r="AD390" s="55" t="n">
        <x:v>3475</x:v>
      </x:c>
      <x:c r="AE390" s="55" t="n">
        <x:v>10519</x:v>
      </x:c>
      <x:c r="AF390" s="55" t="n">
        <x:v>10448</x:v>
      </x:c>
      <x:c r="AG390" s="55" t="n">
        <x:v>71</x:v>
      </x:c>
      <x:c r="AH390" s="55" t="n">
        <x:v>461</x:v>
      </x:c>
      <x:c r="AI390" s="55" t="n">
        <x:v>9987</x:v>
      </x:c>
      <x:c r="AJ390" s="55" t="n">
        <x:v>410</x:v>
      </x:c>
      <x:c r="AK390" s="55" t="n">
        <x:v>1174</x:v>
      </x:c>
      <x:c r="AL390" s="55" t="n">
        <x:v>1303</x:v>
      </x:c>
      <x:c r="AM390" s="55" t="n">
        <x:v>4903</x:v>
      </x:c>
      <x:c r="AN390" s="55" t="n">
        <x:v>2658</x:v>
      </x:c>
      <x:c r="AO390" s="55" t="n">
        <x:v>0</x:v>
      </x:c>
      <x:c r="AP390" s="55" t="n">
        <x:v>2288</x:v>
      </x:c>
      <x:c r="AQ390" s="55" t="n">
        <x:v>934</x:v>
      </x:c>
    </x:row>
    <x:row r="391">
      <x:c r="A391" s="54" t="str">
        <x:v>T1_SHARED_CATCHMENT</x:v>
      </x:c>
      <x:c r="B391" s="54" t="n">
        <x:v>385</x:v>
      </x:c>
      <x:c r="C391" s="54" t="str">
        <x:v>NYC-V2-R01</x:v>
      </x:c>
      <x:c r="D391" s="54" t="str">
        <x:v>V2</x:v>
      </x:c>
      <x:c r="E391" s="54" t="str">
        <x:v>ADMITTED</x:v>
      </x:c>
      <x:c r="F391" s="55" t="n">
        <x:v>32829</x:v>
      </x:c>
      <x:c r="G391" s="55" t="n">
        <x:v>8747</x:v>
      </x:c>
      <x:c r="H391" s="55" t="n">
        <x:v>3381</x:v>
      </x:c>
      <x:c r="I391" s="55" t="n">
        <x:v>1509</x:v>
      </x:c>
      <x:c r="J391" s="55" t="n">
        <x:v>406</x:v>
      </x:c>
      <x:c r="K391" s="55" t="n">
        <x:v>28980</x:v>
      </x:c>
      <x:c r="L391" s="55" t="n">
        <x:v>6194</x:v>
      </x:c>
      <x:c r="M391" s="55" t="n">
        <x:v>1345</x:v>
      </x:c>
      <x:c r="N391" s="55" t="n">
        <x:v>2843</x:v>
      </x:c>
      <x:c r="O391" s="55" t="n">
        <x:v>2006</x:v>
      </x:c>
      <x:c r="P391" s="55" t="n">
        <x:v>795</x:v>
      </x:c>
      <x:c r="Q391" s="55" t="n">
        <x:v>2546</x:v>
      </x:c>
      <x:c r="R391" s="55" t="n">
        <x:v>2243</x:v>
      </x:c>
      <x:c r="S391" s="55" t="n">
        <x:v>3749</x:v>
      </x:c>
      <x:c r="T391" s="55" t="n">
        <x:v>1605</x:v>
      </x:c>
      <x:c r="U391" s="55" t="n">
        <x:v>1896</x:v>
      </x:c>
      <x:c r="V391" s="55" t="n">
        <x:v>10533</x:v>
      </x:c>
      <x:c r="W391" s="55" t="n">
        <x:v>7806</x:v>
      </x:c>
      <x:c r="X391" s="55" t="n">
        <x:v>2727</x:v>
      </x:c>
      <x:c r="Y391" s="55" t="n">
        <x:v>2179</x:v>
      </x:c>
      <x:c r="Z391" s="55" t="n">
        <x:v>3635</x:v>
      </x:c>
      <x:c r="AA391" s="55" t="n">
        <x:v>3180</x:v>
      </x:c>
      <x:c r="AB391" s="55" t="n">
        <x:v>1158</x:v>
      </x:c>
      <x:c r="AC391" s="55" t="n">
        <x:v>8347</x:v>
      </x:c>
      <x:c r="AD391" s="55" t="n">
        <x:v>2942</x:v>
      </x:c>
      <x:c r="AE391" s="55" t="n">
        <x:v>10670</x:v>
      </x:c>
      <x:c r="AF391" s="55" t="n">
        <x:v>10533</x:v>
      </x:c>
      <x:c r="AG391" s="55" t="n">
        <x:v>137</x:v>
      </x:c>
      <x:c r="AH391" s="55" t="n">
        <x:v>544</x:v>
      </x:c>
      <x:c r="AI391" s="55" t="n">
        <x:v>9989</x:v>
      </x:c>
      <x:c r="AJ391" s="55" t="n">
        <x:v>408</x:v>
      </x:c>
      <x:c r="AK391" s="55" t="n">
        <x:v>955</x:v>
      </x:c>
      <x:c r="AL391" s="55" t="n">
        <x:v>1721</x:v>
      </x:c>
      <x:c r="AM391" s="55" t="n">
        <x:v>4850</x:v>
      </x:c>
      <x:c r="AN391" s="55" t="n">
        <x:v>2496</x:v>
      </x:c>
      <x:c r="AO391" s="55" t="n">
        <x:v>103</x:v>
      </x:c>
      <x:c r="AP391" s="55" t="n">
        <x:v>2291</x:v>
      </x:c>
      <x:c r="AQ391" s="55" t="n">
        <x:v>946</x:v>
      </x:c>
    </x:row>
    <x:row r="392">
      <x:c r="A392" s="54" t="str">
        <x:v>T1_SHARED_CATCHMENT</x:v>
      </x:c>
      <x:c r="B392" s="54" t="n">
        <x:v>386</x:v>
      </x:c>
      <x:c r="C392" s="54" t="str">
        <x:v>NYC-V2-R01</x:v>
      </x:c>
      <x:c r="D392" s="54" t="str">
        <x:v>V2</x:v>
      </x:c>
      <x:c r="E392" s="54" t="str">
        <x:v>ADMITTED</x:v>
      </x:c>
      <x:c r="F392" s="55" t="n">
        <x:v>33342</x:v>
      </x:c>
      <x:c r="G392" s="55" t="n">
        <x:v>6914</x:v>
      </x:c>
      <x:c r="H392" s="55" t="n">
        <x:v>3898</x:v>
      </x:c>
      <x:c r="I392" s="55" t="n">
        <x:v>2059</x:v>
      </x:c>
      <x:c r="J392" s="55" t="n">
        <x:v>370</x:v>
      </x:c>
      <x:c r="K392" s="55" t="n">
        <x:v>33342</x:v>
      </x:c>
      <x:c r="L392" s="55" t="n">
        <x:v>6310</x:v>
      </x:c>
      <x:c r="M392" s="55" t="n">
        <x:v>1640</x:v>
      </x:c>
      <x:c r="N392" s="55" t="n">
        <x:v>3038</x:v>
      </x:c>
      <x:c r="O392" s="55" t="n">
        <x:v>1632</x:v>
      </x:c>
      <x:c r="P392" s="55" t="n">
        <x:v>539</x:v>
      </x:c>
      <x:c r="Q392" s="55" t="n">
        <x:v>1333</x:v>
      </x:c>
      <x:c r="R392" s="55" t="n">
        <x:v>1830</x:v>
      </x:c>
      <x:c r="S392" s="55" t="n">
        <x:v>3071</x:v>
      </x:c>
      <x:c r="T392" s="55" t="n">
        <x:v>871</x:v>
      </x:c>
      <x:c r="U392" s="55" t="n">
        <x:v>2013</x:v>
      </x:c>
      <x:c r="V392" s="55" t="n">
        <x:v>10743</x:v>
      </x:c>
      <x:c r="W392" s="55" t="n">
        <x:v>8319</x:v>
      </x:c>
      <x:c r="X392" s="55" t="n">
        <x:v>2424</x:v>
      </x:c>
      <x:c r="Y392" s="55" t="n">
        <x:v>2208</x:v>
      </x:c>
      <x:c r="Z392" s="55" t="n">
        <x:v>3481</x:v>
      </x:c>
      <x:c r="AA392" s="55" t="n">
        <x:v>3459</x:v>
      </x:c>
      <x:c r="AB392" s="55" t="n">
        <x:v>1304</x:v>
      </x:c>
      <x:c r="AC392" s="55" t="n">
        <x:v>8049</x:v>
      </x:c>
      <x:c r="AD392" s="55" t="n">
        <x:v>2008</x:v>
      </x:c>
      <x:c r="AE392" s="55" t="n">
        <x:v>10860</x:v>
      </x:c>
      <x:c r="AF392" s="55" t="n">
        <x:v>10743</x:v>
      </x:c>
      <x:c r="AG392" s="55" t="n">
        <x:v>117</x:v>
      </x:c>
      <x:c r="AH392" s="55" t="n">
        <x:v>583</x:v>
      </x:c>
      <x:c r="AI392" s="55" t="n">
        <x:v>10160</x:v>
      </x:c>
      <x:c r="AJ392" s="55" t="n">
        <x:v>132</x:v>
      </x:c>
      <x:c r="AK392" s="55" t="n">
        <x:v>963</x:v>
      </x:c>
      <x:c r="AL392" s="55" t="n">
        <x:v>1549</x:v>
      </x:c>
      <x:c r="AM392" s="55" t="n">
        <x:v>5095</x:v>
      </x:c>
      <x:c r="AN392" s="55" t="n">
        <x:v>2985</x:v>
      </x:c>
      <x:c r="AO392" s="55" t="n">
        <x:v>19</x:v>
      </x:c>
      <x:c r="AP392" s="55" t="n">
        <x:v>2610</x:v>
      </x:c>
      <x:c r="AQ392" s="55" t="n">
        <x:v>963</x:v>
      </x:c>
    </x:row>
    <x:row r="393">
      <x:c r="A393" s="54" t="str">
        <x:v>T1_SHARED_CATCHMENT</x:v>
      </x:c>
      <x:c r="B393" s="54" t="n">
        <x:v>387</x:v>
      </x:c>
      <x:c r="C393" s="54" t="str">
        <x:v>NYC-V2-R01</x:v>
      </x:c>
      <x:c r="D393" s="54" t="str">
        <x:v>V2</x:v>
      </x:c>
      <x:c r="E393" s="54" t="str">
        <x:v>ADMITTED</x:v>
      </x:c>
      <x:c r="F393" s="55" t="n">
        <x:v>31548</x:v>
      </x:c>
      <x:c r="G393" s="55" t="n">
        <x:v>7574</x:v>
      </x:c>
      <x:c r="H393" s="55" t="n">
        <x:v>3539</x:v>
      </x:c>
      <x:c r="I393" s="55" t="n">
        <x:v>1712</x:v>
      </x:c>
      <x:c r="J393" s="55" t="n">
        <x:v>515</x:v>
      </x:c>
      <x:c r="K393" s="55" t="n">
        <x:v>30844</x:v>
      </x:c>
      <x:c r="L393" s="55" t="n">
        <x:v>5017</x:v>
      </x:c>
      <x:c r="M393" s="55" t="n">
        <x:v>791</x:v>
      </x:c>
      <x:c r="N393" s="55" t="n">
        <x:v>2494</x:v>
      </x:c>
      <x:c r="O393" s="55" t="n">
        <x:v>1732</x:v>
      </x:c>
      <x:c r="P393" s="55" t="n">
        <x:v>553</x:v>
      </x:c>
      <x:c r="Q393" s="55" t="n">
        <x:v>2948</x:v>
      </x:c>
      <x:c r="R393" s="55" t="n">
        <x:v>1974</x:v>
      </x:c>
      <x:c r="S393" s="55" t="n">
        <x:v>2636</x:v>
      </x:c>
      <x:c r="T393" s="55" t="n">
        <x:v>1046</x:v>
      </x:c>
      <x:c r="U393" s="55" t="n">
        <x:v>1939</x:v>
      </x:c>
      <x:c r="V393" s="55" t="n">
        <x:v>11015</x:v>
      </x:c>
      <x:c r="W393" s="55" t="n">
        <x:v>7649</x:v>
      </x:c>
      <x:c r="X393" s="55" t="n">
        <x:v>3366</x:v>
      </x:c>
      <x:c r="Y393" s="55" t="n">
        <x:v>2852</x:v>
      </x:c>
      <x:c r="Z393" s="55" t="n">
        <x:v>4279</x:v>
      </x:c>
      <x:c r="AA393" s="55" t="n">
        <x:v>2904</x:v>
      </x:c>
      <x:c r="AB393" s="55" t="n">
        <x:v>954</x:v>
      </x:c>
      <x:c r="AC393" s="55" t="n">
        <x:v>8916</x:v>
      </x:c>
      <x:c r="AD393" s="55" t="n">
        <x:v>2148</x:v>
      </x:c>
      <x:c r="AE393" s="55" t="n">
        <x:v>11038</x:v>
      </x:c>
      <x:c r="AF393" s="55" t="n">
        <x:v>11015</x:v>
      </x:c>
      <x:c r="AG393" s="55" t="n">
        <x:v>23</x:v>
      </x:c>
      <x:c r="AH393" s="55" t="n">
        <x:v>353</x:v>
      </x:c>
      <x:c r="AI393" s="55" t="n">
        <x:v>10662</x:v>
      </x:c>
      <x:c r="AJ393" s="55" t="n">
        <x:v>367</x:v>
      </x:c>
      <x:c r="AK393" s="55" t="n">
        <x:v>681</x:v>
      </x:c>
      <x:c r="AL393" s="55" t="n">
        <x:v>1709</x:v>
      </x:c>
      <x:c r="AM393" s="55" t="n">
        <x:v>5149</x:v>
      </x:c>
      <x:c r="AN393" s="55" t="n">
        <x:v>3073</x:v>
      </x:c>
      <x:c r="AO393" s="55" t="n">
        <x:v>36</x:v>
      </x:c>
      <x:c r="AP393" s="55" t="n">
        <x:v>2519</x:v>
      </x:c>
      <x:c r="AQ393" s="55" t="n">
        <x:v>968</x:v>
      </x:c>
    </x:row>
    <x:row r="394">
      <x:c r="A394" s="54" t="str">
        <x:v>T1_SHARED_CATCHMENT</x:v>
      </x:c>
      <x:c r="B394" s="54" t="n">
        <x:v>388</x:v>
      </x:c>
      <x:c r="C394" s="54" t="str">
        <x:v>NYC-V2-R01</x:v>
      </x:c>
      <x:c r="D394" s="54" t="str">
        <x:v>V2</x:v>
      </x:c>
      <x:c r="E394" s="54" t="str">
        <x:v>ADMITTED</x:v>
      </x:c>
      <x:c r="F394" s="55" t="n">
        <x:v>31490</x:v>
      </x:c>
      <x:c r="G394" s="55" t="n">
        <x:v>8275</x:v>
      </x:c>
      <x:c r="H394" s="55" t="n">
        <x:v>3127</x:v>
      </x:c>
      <x:c r="I394" s="55" t="n">
        <x:v>1344</x:v>
      </x:c>
      <x:c r="J394" s="55" t="n">
        <x:v>386</x:v>
      </x:c>
      <x:c r="K394" s="55" t="n">
        <x:v>30635</x:v>
      </x:c>
      <x:c r="L394" s="55" t="n">
        <x:v>5608</x:v>
      </x:c>
      <x:c r="M394" s="55" t="n">
        <x:v>1255</x:v>
      </x:c>
      <x:c r="N394" s="55" t="n">
        <x:v>2576</x:v>
      </x:c>
      <x:c r="O394" s="55" t="n">
        <x:v>1777</x:v>
      </x:c>
      <x:c r="P394" s="55" t="n">
        <x:v>273</x:v>
      </x:c>
      <x:c r="Q394" s="55" t="n">
        <x:v>1930</x:v>
      </x:c>
      <x:c r="R394" s="55" t="n">
        <x:v>2109</x:v>
      </x:c>
      <x:c r="S394" s="55" t="n">
        <x:v>2505</x:v>
      </x:c>
      <x:c r="T394" s="55" t="n">
        <x:v>1534</x:v>
      </x:c>
      <x:c r="U394" s="55" t="n">
        <x:v>2180</x:v>
      </x:c>
      <x:c r="V394" s="55" t="n">
        <x:v>10683</x:v>
      </x:c>
      <x:c r="W394" s="55" t="n">
        <x:v>7645</x:v>
      </x:c>
      <x:c r="X394" s="55" t="n">
        <x:v>3038</x:v>
      </x:c>
      <x:c r="Y394" s="55" t="n">
        <x:v>2567</x:v>
      </x:c>
      <x:c r="Z394" s="55" t="n">
        <x:v>3929</x:v>
      </x:c>
      <x:c r="AA394" s="55" t="n">
        <x:v>2700</x:v>
      </x:c>
      <x:c r="AB394" s="55" t="n">
        <x:v>830</x:v>
      </x:c>
      <x:c r="AC394" s="55" t="n">
        <x:v>7906</x:v>
      </x:c>
      <x:c r="AD394" s="55" t="n">
        <x:v>3425</x:v>
      </x:c>
      <x:c r="AE394" s="55" t="n">
        <x:v>10788</x:v>
      </x:c>
      <x:c r="AF394" s="55" t="n">
        <x:v>10683</x:v>
      </x:c>
      <x:c r="AG394" s="55" t="n">
        <x:v>105</x:v>
      </x:c>
      <x:c r="AH394" s="55" t="n">
        <x:v>490</x:v>
      </x:c>
      <x:c r="AI394" s="55" t="n">
        <x:v>10193</x:v>
      </x:c>
      <x:c r="AJ394" s="55" t="n">
        <x:v>263</x:v>
      </x:c>
      <x:c r="AK394" s="55" t="n">
        <x:v>1101</x:v>
      </x:c>
      <x:c r="AL394" s="55" t="n">
        <x:v>1560</x:v>
      </x:c>
      <x:c r="AM394" s="55" t="n">
        <x:v>5213</x:v>
      </x:c>
      <x:c r="AN394" s="55" t="n">
        <x:v>2546</x:v>
      </x:c>
      <x:c r="AO394" s="55" t="n">
        <x:v>0</x:v>
      </x:c>
      <x:c r="AP394" s="55" t="n">
        <x:v>2498</x:v>
      </x:c>
      <x:c r="AQ394" s="55" t="n">
        <x:v>973</x:v>
      </x:c>
    </x:row>
    <x:row r="395">
      <x:c r="A395" s="54" t="str">
        <x:v>T1_SHARED_CATCHMENT</x:v>
      </x:c>
      <x:c r="B395" s="54" t="n">
        <x:v>389</x:v>
      </x:c>
      <x:c r="C395" s="54" t="str">
        <x:v>NYC-V2-R01</x:v>
      </x:c>
      <x:c r="D395" s="54" t="str">
        <x:v>V2</x:v>
      </x:c>
      <x:c r="E395" s="54" t="str">
        <x:v>ADMITTED</x:v>
      </x:c>
      <x:c r="F395" s="55" t="n">
        <x:v>29937</x:v>
      </x:c>
      <x:c r="G395" s="55" t="n">
        <x:v>7589</x:v>
      </x:c>
      <x:c r="H395" s="55" t="n">
        <x:v>3073</x:v>
      </x:c>
      <x:c r="I395" s="55" t="n">
        <x:v>1146</x:v>
      </x:c>
      <x:c r="J395" s="55" t="n">
        <x:v>36</x:v>
      </x:c>
      <x:c r="K395" s="55" t="n">
        <x:v>29937</x:v>
      </x:c>
      <x:c r="L395" s="55" t="n">
        <x:v>4949</x:v>
      </x:c>
      <x:c r="M395" s="55" t="n">
        <x:v>983</x:v>
      </x:c>
      <x:c r="N395" s="55" t="n">
        <x:v>2592</x:v>
      </x:c>
      <x:c r="O395" s="55" t="n">
        <x:v>1374</x:v>
      </x:c>
      <x:c r="P395" s="55" t="n">
        <x:v>830</x:v>
      </x:c>
      <x:c r="Q395" s="55" t="n">
        <x:v>3356</x:v>
      </x:c>
      <x:c r="R395" s="55" t="n">
        <x:v>1593</x:v>
      </x:c>
      <x:c r="S395" s="55" t="n">
        <x:v>3101</x:v>
      </x:c>
      <x:c r="T395" s="55" t="n">
        <x:v>1219</x:v>
      </x:c>
      <x:c r="U395" s="55" t="n">
        <x:v>2516</x:v>
      </x:c>
      <x:c r="V395" s="55" t="n">
        <x:v>10014</x:v>
      </x:c>
      <x:c r="W395" s="55" t="n">
        <x:v>6683</x:v>
      </x:c>
      <x:c r="X395" s="55" t="n">
        <x:v>3331</x:v>
      </x:c>
      <x:c r="Y395" s="55" t="n">
        <x:v>2729</x:v>
      </x:c>
      <x:c r="Z395" s="55" t="n">
        <x:v>3223</x:v>
      </x:c>
      <x:c r="AA395" s="55" t="n">
        <x:v>3073</x:v>
      </x:c>
      <x:c r="AB395" s="55" t="n">
        <x:v>1292</x:v>
      </x:c>
      <x:c r="AC395" s="55" t="n">
        <x:v>7721</x:v>
      </x:c>
      <x:c r="AD395" s="55" t="n">
        <x:v>3044</x:v>
      </x:c>
      <x:c r="AE395" s="55" t="n">
        <x:v>10097</x:v>
      </x:c>
      <x:c r="AF395" s="55" t="n">
        <x:v>10014</x:v>
      </x:c>
      <x:c r="AG395" s="55" t="n">
        <x:v>83</x:v>
      </x:c>
      <x:c r="AH395" s="55" t="n">
        <x:v>354</x:v>
      </x:c>
      <x:c r="AI395" s="55" t="n">
        <x:v>9660</x:v>
      </x:c>
      <x:c r="AJ395" s="55" t="n">
        <x:v>405</x:v>
      </x:c>
      <x:c r="AK395" s="55" t="n">
        <x:v>1029</x:v>
      </x:c>
      <x:c r="AL395" s="55" t="n">
        <x:v>1175</x:v>
      </x:c>
      <x:c r="AM395" s="55" t="n">
        <x:v>5343</x:v>
      </x:c>
      <x:c r="AN395" s="55" t="n">
        <x:v>2062</x:v>
      </x:c>
      <x:c r="AO395" s="55" t="n">
        <x:v>0</x:v>
      </x:c>
      <x:c r="AP395" s="55" t="n">
        <x:v>1969</x:v>
      </x:c>
      <x:c r="AQ395" s="55" t="n">
        <x:v>930</x:v>
      </x:c>
    </x:row>
    <x:row r="396">
      <x:c r="A396" s="54" t="str">
        <x:v>T1_SHARED_CATCHMENT</x:v>
      </x:c>
      <x:c r="B396" s="54" t="n">
        <x:v>390</x:v>
      </x:c>
      <x:c r="C396" s="54" t="str">
        <x:v>NYC-V2-R01</x:v>
      </x:c>
      <x:c r="D396" s="54" t="str">
        <x:v>V2</x:v>
      </x:c>
      <x:c r="E396" s="54" t="str">
        <x:v>ADMITTED</x:v>
      </x:c>
      <x:c r="F396" s="55" t="n">
        <x:v>30543</x:v>
      </x:c>
      <x:c r="G396" s="55" t="n">
        <x:v>7792</x:v>
      </x:c>
      <x:c r="H396" s="55" t="n">
        <x:v>3495</x:v>
      </x:c>
      <x:c r="I396" s="55" t="n">
        <x:v>1408</x:v>
      </x:c>
      <x:c r="J396" s="55" t="n">
        <x:v>99</x:v>
      </x:c>
      <x:c r="K396" s="55" t="n">
        <x:v>30102</x:v>
      </x:c>
      <x:c r="L396" s="55" t="n">
        <x:v>5459</x:v>
      </x:c>
      <x:c r="M396" s="55" t="n">
        <x:v>1215</x:v>
      </x:c>
      <x:c r="N396" s="55" t="n">
        <x:v>2581</x:v>
      </x:c>
      <x:c r="O396" s="55" t="n">
        <x:v>1663</x:v>
      </x:c>
      <x:c r="P396" s="55" t="n">
        <x:v>678</x:v>
      </x:c>
      <x:c r="Q396" s="55" t="n">
        <x:v>1815</x:v>
      </x:c>
      <x:c r="R396" s="55" t="n">
        <x:v>2199</x:v>
      </x:c>
      <x:c r="S396" s="55" t="n">
        <x:v>2857</x:v>
      </x:c>
      <x:c r="T396" s="55" t="n">
        <x:v>1315</x:v>
      </x:c>
      <x:c r="U396" s="55" t="n">
        <x:v>1770</x:v>
      </x:c>
      <x:c r="V396" s="55" t="n">
        <x:v>10345</x:v>
      </x:c>
      <x:c r="W396" s="55" t="n">
        <x:v>7576</x:v>
      </x:c>
      <x:c r="X396" s="55" t="n">
        <x:v>2769</x:v>
      </x:c>
      <x:c r="Y396" s="55" t="n">
        <x:v>2198</x:v>
      </x:c>
      <x:c r="Z396" s="55" t="n">
        <x:v>3588</x:v>
      </x:c>
      <x:c r="AA396" s="55" t="n">
        <x:v>2932</x:v>
      </x:c>
      <x:c r="AB396" s="55" t="n">
        <x:v>957</x:v>
      </x:c>
      <x:c r="AC396" s="55" t="n">
        <x:v>7483</x:v>
      </x:c>
      <x:c r="AD396" s="55" t="n">
        <x:v>3436</x:v>
      </x:c>
      <x:c r="AE396" s="55" t="n">
        <x:v>10448</x:v>
      </x:c>
      <x:c r="AF396" s="55" t="n">
        <x:v>10345</x:v>
      </x:c>
      <x:c r="AG396" s="55" t="n">
        <x:v>103</x:v>
      </x:c>
      <x:c r="AH396" s="55" t="n">
        <x:v>549</x:v>
      </x:c>
      <x:c r="AI396" s="55" t="n">
        <x:v>9796</x:v>
      </x:c>
      <x:c r="AJ396" s="55" t="n">
        <x:v>327</x:v>
      </x:c>
      <x:c r="AK396" s="55" t="n">
        <x:v>676</x:v>
      </x:c>
      <x:c r="AL396" s="55" t="n">
        <x:v>1734</x:v>
      </x:c>
      <x:c r="AM396" s="55" t="n">
        <x:v>4974</x:v>
      </x:c>
      <x:c r="AN396" s="55" t="n">
        <x:v>2634</x:v>
      </x:c>
      <x:c r="AO396" s="55" t="n">
        <x:v>0</x:v>
      </x:c>
      <x:c r="AP396" s="55" t="n">
        <x:v>2299</x:v>
      </x:c>
      <x:c r="AQ396" s="55" t="n">
        <x:v>972</x:v>
      </x:c>
    </x:row>
    <x:row r="397">
      <x:c r="A397" s="54" t="str">
        <x:v>T1_SHARED_CATCHMENT</x:v>
      </x:c>
      <x:c r="B397" s="54" t="n">
        <x:v>391</x:v>
      </x:c>
      <x:c r="C397" s="54" t="str">
        <x:v>NYC-V2-R01</x:v>
      </x:c>
      <x:c r="D397" s="54" t="str">
        <x:v>V2</x:v>
      </x:c>
      <x:c r="E397" s="54" t="str">
        <x:v>ADMITTED</x:v>
      </x:c>
      <x:c r="F397" s="55" t="n">
        <x:v>29682</x:v>
      </x:c>
      <x:c r="G397" s="55" t="n">
        <x:v>8081</x:v>
      </x:c>
      <x:c r="H397" s="55" t="n">
        <x:v>2935</x:v>
      </x:c>
      <x:c r="I397" s="55" t="n">
        <x:v>873</x:v>
      </x:c>
      <x:c r="J397" s="55" t="n">
        <x:v>155</x:v>
      </x:c>
      <x:c r="K397" s="55" t="n">
        <x:v>26767</x:v>
      </x:c>
      <x:c r="L397" s="55" t="n">
        <x:v>4654</x:v>
      </x:c>
      <x:c r="M397" s="55" t="n">
        <x:v>0</x:v>
      </x:c>
      <x:c r="N397" s="55" t="n">
        <x:v>2862</x:v>
      </x:c>
      <x:c r="O397" s="55" t="n">
        <x:v>1792</x:v>
      </x:c>
      <x:c r="P397" s="55" t="n">
        <x:v>932</x:v>
      </x:c>
      <x:c r="Q397" s="55" t="n">
        <x:v>2773</x:v>
      </x:c>
      <x:c r="R397" s="55" t="n">
        <x:v>2497</x:v>
      </x:c>
      <x:c r="S397" s="55" t="n">
        <x:v>2748</x:v>
      </x:c>
      <x:c r="T397" s="55" t="n">
        <x:v>939</x:v>
      </x:c>
      <x:c r="U397" s="55" t="n">
        <x:v>1660</x:v>
      </x:c>
      <x:c r="V397" s="55" t="n">
        <x:v>10785</x:v>
      </x:c>
      <x:c r="W397" s="55" t="n">
        <x:v>7754</x:v>
      </x:c>
      <x:c r="X397" s="55" t="n">
        <x:v>3031</x:v>
      </x:c>
      <x:c r="Y397" s="55" t="n">
        <x:v>2484</x:v>
      </x:c>
      <x:c r="Z397" s="55" t="n">
        <x:v>3765</x:v>
      </x:c>
      <x:c r="AA397" s="55" t="n">
        <x:v>2935</x:v>
      </x:c>
      <x:c r="AB397" s="55" t="n">
        <x:v>864</x:v>
      </x:c>
      <x:c r="AC397" s="55" t="n">
        <x:v>7954</x:v>
      </x:c>
      <x:c r="AD397" s="55" t="n">
        <x:v>2754</x:v>
      </x:c>
      <x:c r="AE397" s="55" t="n">
        <x:v>10922</x:v>
      </x:c>
      <x:c r="AF397" s="55" t="n">
        <x:v>10785</x:v>
      </x:c>
      <x:c r="AG397" s="55" t="n">
        <x:v>137</x:v>
      </x:c>
      <x:c r="AH397" s="55" t="n">
        <x:v>469</x:v>
      </x:c>
      <x:c r="AI397" s="55" t="n">
        <x:v>10316</x:v>
      </x:c>
      <x:c r="AJ397" s="55" t="n">
        <x:v>294</x:v>
      </x:c>
      <x:c r="AK397" s="55" t="n">
        <x:v>1527</x:v>
      </x:c>
      <x:c r="AL397" s="55" t="n">
        <x:v>1441</x:v>
      </x:c>
      <x:c r="AM397" s="55" t="n">
        <x:v>4589</x:v>
      </x:c>
      <x:c r="AN397" s="55" t="n">
        <x:v>2933</x:v>
      </x:c>
      <x:c r="AO397" s="55" t="n">
        <x:v>1</x:v>
      </x:c>
      <x:c r="AP397" s="55" t="n">
        <x:v>2558</x:v>
      </x:c>
      <x:c r="AQ397" s="55" t="n">
        <x:v>1013</x:v>
      </x:c>
    </x:row>
    <x:row r="398">
      <x:c r="A398" s="54" t="str">
        <x:v>T1_SHARED_CATCHMENT</x:v>
      </x:c>
      <x:c r="B398" s="54" t="n">
        <x:v>392</x:v>
      </x:c>
      <x:c r="C398" s="54" t="str">
        <x:v>NYC-V2-R01</x:v>
      </x:c>
      <x:c r="D398" s="54" t="str">
        <x:v>V2</x:v>
      </x:c>
      <x:c r="E398" s="54" t="str">
        <x:v>ADMITTED</x:v>
      </x:c>
      <x:c r="F398" s="55" t="n">
        <x:v>32292</x:v>
      </x:c>
      <x:c r="G398" s="55" t="n">
        <x:v>9363</x:v>
      </x:c>
      <x:c r="H398" s="55" t="n">
        <x:v>3551</x:v>
      </x:c>
      <x:c r="I398" s="55" t="n">
        <x:v>1361</x:v>
      </x:c>
      <x:c r="J398" s="55" t="n">
        <x:v>220</x:v>
      </x:c>
      <x:c r="K398" s="55" t="n">
        <x:v>28328</x:v>
      </x:c>
      <x:c r="L398" s="55" t="n">
        <x:v>3940</x:v>
      </x:c>
      <x:c r="M398" s="55" t="n">
        <x:v>155</x:v>
      </x:c>
      <x:c r="N398" s="55" t="n">
        <x:v>2149</x:v>
      </x:c>
      <x:c r="O398" s="55" t="n">
        <x:v>1636</x:v>
      </x:c>
      <x:c r="P398" s="55" t="n">
        <x:v>221</x:v>
      </x:c>
      <x:c r="Q398" s="55" t="n">
        <x:v>2655</x:v>
      </x:c>
      <x:c r="R398" s="55" t="n">
        <x:v>1522</x:v>
      </x:c>
      <x:c r="S398" s="55" t="n">
        <x:v>2225</x:v>
      </x:c>
      <x:c r="T398" s="55" t="n">
        <x:v>1229</x:v>
      </x:c>
      <x:c r="U398" s="55" t="n">
        <x:v>1710</x:v>
      </x:c>
      <x:c r="V398" s="55" t="n">
        <x:v>10425</x:v>
      </x:c>
      <x:c r="W398" s="55" t="n">
        <x:v>7284</x:v>
      </x:c>
      <x:c r="X398" s="55" t="n">
        <x:v>3141</x:v>
      </x:c>
      <x:c r="Y398" s="55" t="n">
        <x:v>2690</x:v>
      </x:c>
      <x:c r="Z398" s="55" t="n">
        <x:v>4073</x:v>
      </x:c>
      <x:c r="AA398" s="55" t="n">
        <x:v>3551</x:v>
      </x:c>
      <x:c r="AB398" s="55" t="n">
        <x:v>1286</x:v>
      </x:c>
      <x:c r="AC398" s="55" t="n">
        <x:v>8221</x:v>
      </x:c>
      <x:c r="AD398" s="55" t="n">
        <x:v>2520</x:v>
      </x:c>
      <x:c r="AE398" s="55" t="n">
        <x:v>10531</x:v>
      </x:c>
      <x:c r="AF398" s="55" t="n">
        <x:v>10425</x:v>
      </x:c>
      <x:c r="AG398" s="55" t="n">
        <x:v>106</x:v>
      </x:c>
      <x:c r="AH398" s="55" t="n">
        <x:v>443</x:v>
      </x:c>
      <x:c r="AI398" s="55" t="n">
        <x:v>9982</x:v>
      </x:c>
      <x:c r="AJ398" s="55" t="n">
        <x:v>177</x:v>
      </x:c>
      <x:c r="AK398" s="55" t="n">
        <x:v>570</x:v>
      </x:c>
      <x:c r="AL398" s="55" t="n">
        <x:v>1479</x:v>
      </x:c>
      <x:c r="AM398" s="55" t="n">
        <x:v>5210</x:v>
      </x:c>
      <x:c r="AN398" s="55" t="n">
        <x:v>2989</x:v>
      </x:c>
      <x:c r="AO398" s="55" t="n">
        <x:v>0</x:v>
      </x:c>
      <x:c r="AP398" s="55" t="n">
        <x:v>2620</x:v>
      </x:c>
      <x:c r="AQ398" s="55" t="n">
        <x:v>988</x:v>
      </x:c>
    </x:row>
    <x:row r="399">
      <x:c r="A399" s="54" t="str">
        <x:v>T1_SHARED_CATCHMENT</x:v>
      </x:c>
      <x:c r="B399" s="54" t="n">
        <x:v>393</x:v>
      </x:c>
      <x:c r="C399" s="54" t="str">
        <x:v>NYC-V2-R01</x:v>
      </x:c>
      <x:c r="D399" s="54" t="str">
        <x:v>V2</x:v>
      </x:c>
      <x:c r="E399" s="54" t="str">
        <x:v>ADMITTED</x:v>
      </x:c>
      <x:c r="F399" s="55" t="n">
        <x:v>29388</x:v>
      </x:c>
      <x:c r="G399" s="55" t="n">
        <x:v>7764</x:v>
      </x:c>
      <x:c r="H399" s="55" t="n">
        <x:v>3085</x:v>
      </x:c>
      <x:c r="I399" s="55" t="n">
        <x:v>967</x:v>
      </x:c>
      <x:c r="J399" s="55" t="n">
        <x:v>41</x:v>
      </x:c>
      <x:c r="K399" s="55" t="n">
        <x:v>28580</x:v>
      </x:c>
      <x:c r="L399" s="55" t="n">
        <x:v>4581</x:v>
      </x:c>
      <x:c r="M399" s="55" t="n">
        <x:v>75</x:v>
      </x:c>
      <x:c r="N399" s="55" t="n">
        <x:v>2847</x:v>
      </x:c>
      <x:c r="O399" s="55" t="n">
        <x:v>1659</x:v>
      </x:c>
      <x:c r="P399" s="55" t="n">
        <x:v>622</x:v>
      </x:c>
      <x:c r="Q399" s="55" t="n">
        <x:v>1981</x:v>
      </x:c>
      <x:c r="R399" s="55" t="n">
        <x:v>1406</x:v>
      </x:c>
      <x:c r="S399" s="55" t="n">
        <x:v>1644</x:v>
      </x:c>
      <x:c r="T399" s="55" t="n">
        <x:v>1348</x:v>
      </x:c>
      <x:c r="U399" s="55" t="n">
        <x:v>1819</x:v>
      </x:c>
      <x:c r="V399" s="55" t="n">
        <x:v>10724</x:v>
      </x:c>
      <x:c r="W399" s="55" t="n">
        <x:v>7543</x:v>
      </x:c>
      <x:c r="X399" s="55" t="n">
        <x:v>3181</x:v>
      </x:c>
      <x:c r="Y399" s="55" t="n">
        <x:v>2787</x:v>
      </x:c>
      <x:c r="Z399" s="55" t="n">
        <x:v>4228</x:v>
      </x:c>
      <x:c r="AA399" s="55" t="n">
        <x:v>3085</x:v>
      </x:c>
      <x:c r="AB399" s="55" t="n">
        <x:v>1070</x:v>
      </x:c>
      <x:c r="AC399" s="55" t="n">
        <x:v>8031</x:v>
      </x:c>
      <x:c r="AD399" s="55" t="n">
        <x:v>2708</x:v>
      </x:c>
      <x:c r="AE399" s="55" t="n">
        <x:v>10794</x:v>
      </x:c>
      <x:c r="AF399" s="55" t="n">
        <x:v>10724</x:v>
      </x:c>
      <x:c r="AG399" s="55" t="n">
        <x:v>70</x:v>
      </x:c>
      <x:c r="AH399" s="55" t="n">
        <x:v>648</x:v>
      </x:c>
      <x:c r="AI399" s="55" t="n">
        <x:v>10076</x:v>
      </x:c>
      <x:c r="AJ399" s="55" t="n">
        <x:v>245</x:v>
      </x:c>
      <x:c r="AK399" s="55" t="n">
        <x:v>1149</x:v>
      </x:c>
      <x:c r="AL399" s="55" t="n">
        <x:v>1705</x:v>
      </x:c>
      <x:c r="AM399" s="55" t="n">
        <x:v>4886</x:v>
      </x:c>
      <x:c r="AN399" s="55" t="n">
        <x:v>2739</x:v>
      </x:c>
      <x:c r="AO399" s="55" t="n">
        <x:v>0</x:v>
      </x:c>
      <x:c r="AP399" s="55" t="n">
        <x:v>2117</x:v>
      </x:c>
      <x:c r="AQ399" s="55" t="n">
        <x:v>958</x:v>
      </x:c>
    </x:row>
    <x:row r="400">
      <x:c r="A400" s="54" t="str">
        <x:v>T1_SHARED_CATCHMENT</x:v>
      </x:c>
      <x:c r="B400" s="54" t="n">
        <x:v>394</x:v>
      </x:c>
      <x:c r="C400" s="54" t="str">
        <x:v>NYC-V2-R01</x:v>
      </x:c>
      <x:c r="D400" s="54" t="str">
        <x:v>V2</x:v>
      </x:c>
      <x:c r="E400" s="54" t="str">
        <x:v>ADMITTED</x:v>
      </x:c>
      <x:c r="F400" s="55" t="n">
        <x:v>31742</x:v>
      </x:c>
      <x:c r="G400" s="55" t="n">
        <x:v>7989</x:v>
      </x:c>
      <x:c r="H400" s="55" t="n">
        <x:v>3548</x:v>
      </x:c>
      <x:c r="I400" s="55" t="n">
        <x:v>1606</x:v>
      </x:c>
      <x:c r="J400" s="55" t="n">
        <x:v>226</x:v>
      </x:c>
      <x:c r="K400" s="55" t="n">
        <x:v>31742</x:v>
      </x:c>
      <x:c r="L400" s="55" t="n">
        <x:v>6428</x:v>
      </x:c>
      <x:c r="M400" s="55" t="n">
        <x:v>1709</x:v>
      </x:c>
      <x:c r="N400" s="55" t="n">
        <x:v>3112</x:v>
      </x:c>
      <x:c r="O400" s="55" t="n">
        <x:v>1607</x:v>
      </x:c>
      <x:c r="P400" s="55" t="n">
        <x:v>826</x:v>
      </x:c>
      <x:c r="Q400" s="55" t="n">
        <x:v>2192</x:v>
      </x:c>
      <x:c r="R400" s="55" t="n">
        <x:v>2137</x:v>
      </x:c>
      <x:c r="S400" s="55" t="n">
        <x:v>3267</x:v>
      </x:c>
      <x:c r="T400" s="55" t="n">
        <x:v>1117</x:v>
      </x:c>
      <x:c r="U400" s="55" t="n">
        <x:v>2726</x:v>
      </x:c>
      <x:c r="V400" s="55" t="n">
        <x:v>10660</x:v>
      </x:c>
      <x:c r="W400" s="55" t="n">
        <x:v>7563</x:v>
      </x:c>
      <x:c r="X400" s="55" t="n">
        <x:v>3097</x:v>
      </x:c>
      <x:c r="Y400" s="55" t="n">
        <x:v>2697</x:v>
      </x:c>
      <x:c r="Z400" s="55" t="n">
        <x:v>3949</x:v>
      </x:c>
      <x:c r="AA400" s="55" t="n">
        <x:v>3548</x:v>
      </x:c>
      <x:c r="AB400" s="55" t="n">
        <x:v>1584</x:v>
      </x:c>
      <x:c r="AC400" s="55" t="n">
        <x:v>7996</x:v>
      </x:c>
      <x:c r="AD400" s="55" t="n">
        <x:v>3365</x:v>
      </x:c>
      <x:c r="AE400" s="55" t="n">
        <x:v>10701</x:v>
      </x:c>
      <x:c r="AF400" s="55" t="n">
        <x:v>10660</x:v>
      </x:c>
      <x:c r="AG400" s="55" t="n">
        <x:v>41</x:v>
      </x:c>
      <x:c r="AH400" s="55" t="n">
        <x:v>648</x:v>
      </x:c>
      <x:c r="AI400" s="55" t="n">
        <x:v>10012</x:v>
      </x:c>
      <x:c r="AJ400" s="55" t="n">
        <x:v>183</x:v>
      </x:c>
      <x:c r="AK400" s="55" t="n">
        <x:v>1303</x:v>
      </x:c>
      <x:c r="AL400" s="55" t="n">
        <x:v>1719</x:v>
      </x:c>
      <x:c r="AM400" s="55" t="n">
        <x:v>4371</x:v>
      </x:c>
      <x:c r="AN400" s="55" t="n">
        <x:v>2988</x:v>
      </x:c>
      <x:c r="AO400" s="55" t="n">
        <x:v>96</x:v>
      </x:c>
      <x:c r="AP400" s="55" t="n">
        <x:v>2464</x:v>
      </x:c>
      <x:c r="AQ400" s="55" t="n">
        <x:v>972</x:v>
      </x:c>
    </x:row>
    <x:row r="401">
      <x:c r="A401" s="54" t="str">
        <x:v>T1_SHARED_CATCHMENT</x:v>
      </x:c>
      <x:c r="B401" s="54" t="n">
        <x:v>395</x:v>
      </x:c>
      <x:c r="C401" s="54" t="str">
        <x:v>NYC-V2-R01</x:v>
      </x:c>
      <x:c r="D401" s="54" t="str">
        <x:v>V2</x:v>
      </x:c>
      <x:c r="E401" s="54" t="str">
        <x:v>ADMITTED</x:v>
      </x:c>
      <x:c r="F401" s="55" t="n">
        <x:v>30876</x:v>
      </x:c>
      <x:c r="G401" s="55" t="n">
        <x:v>7447</x:v>
      </x:c>
      <x:c r="H401" s="55" t="n">
        <x:v>3265</x:v>
      </x:c>
      <x:c r="I401" s="55" t="n">
        <x:v>852</x:v>
      </x:c>
      <x:c r="J401" s="55" t="n">
        <x:v>0</x:v>
      </x:c>
      <x:c r="K401" s="55" t="n">
        <x:v>30876</x:v>
      </x:c>
      <x:c r="L401" s="55" t="n">
        <x:v>5596</x:v>
      </x:c>
      <x:c r="M401" s="55" t="n">
        <x:v>1105</x:v>
      </x:c>
      <x:c r="N401" s="55" t="n">
        <x:v>2998</x:v>
      </x:c>
      <x:c r="O401" s="55" t="n">
        <x:v>1493</x:v>
      </x:c>
      <x:c r="P401" s="55" t="n">
        <x:v>826</x:v>
      </x:c>
      <x:c r="Q401" s="55" t="n">
        <x:v>2411</x:v>
      </x:c>
      <x:c r="R401" s="55" t="n">
        <x:v>968</x:v>
      </x:c>
      <x:c r="S401" s="55" t="n">
        <x:v>2201</x:v>
      </x:c>
      <x:c r="T401" s="55" t="n">
        <x:v>1099</x:v>
      </x:c>
      <x:c r="U401" s="55" t="n">
        <x:v>1972</x:v>
      </x:c>
      <x:c r="V401" s="55" t="n">
        <x:v>10666</x:v>
      </x:c>
      <x:c r="W401" s="55" t="n">
        <x:v>7782</x:v>
      </x:c>
      <x:c r="X401" s="55" t="n">
        <x:v>2884</x:v>
      </x:c>
      <x:c r="Y401" s="55" t="n">
        <x:v>2334</x:v>
      </x:c>
      <x:c r="Z401" s="55" t="n">
        <x:v>3668</x:v>
      </x:c>
      <x:c r="AA401" s="55" t="n">
        <x:v>2787</x:v>
      </x:c>
      <x:c r="AB401" s="55" t="n">
        <x:v>919</x:v>
      </x:c>
      <x:c r="AC401" s="55" t="n">
        <x:v>7744</x:v>
      </x:c>
      <x:c r="AD401" s="55" t="n">
        <x:v>2772</x:v>
      </x:c>
      <x:c r="AE401" s="55" t="n">
        <x:v>10666</x:v>
      </x:c>
      <x:c r="AF401" s="55" t="n">
        <x:v>10666</x:v>
      </x:c>
      <x:c r="AG401" s="55" t="n">
        <x:v>0</x:v>
      </x:c>
      <x:c r="AH401" s="55" t="n">
        <x:v>551</x:v>
      </x:c>
      <x:c r="AI401" s="55" t="n">
        <x:v>10115</x:v>
      </x:c>
      <x:c r="AJ401" s="55" t="n">
        <x:v>306</x:v>
      </x:c>
      <x:c r="AK401" s="55" t="n">
        <x:v>1107</x:v>
      </x:c>
      <x:c r="AL401" s="55" t="n">
        <x:v>1863</x:v>
      </x:c>
      <x:c r="AM401" s="55" t="n">
        <x:v>5068</x:v>
      </x:c>
      <x:c r="AN401" s="55" t="n">
        <x:v>2315</x:v>
      </x:c>
      <x:c r="AO401" s="55" t="n">
        <x:v>7</x:v>
      </x:c>
      <x:c r="AP401" s="55" t="n">
        <x:v>2120</x:v>
      </x:c>
      <x:c r="AQ401" s="55" t="n">
        <x:v>941</x:v>
      </x:c>
    </x:row>
    <x:row r="402">
      <x:c r="A402" s="54" t="str">
        <x:v>T1_SHARED_CATCHMENT</x:v>
      </x:c>
      <x:c r="B402" s="54" t="n">
        <x:v>396</x:v>
      </x:c>
      <x:c r="C402" s="54" t="str">
        <x:v>NYC-V2-R01</x:v>
      </x:c>
      <x:c r="D402" s="54" t="str">
        <x:v>V2</x:v>
      </x:c>
      <x:c r="E402" s="54" t="str">
        <x:v>ADMITTED</x:v>
      </x:c>
      <x:c r="F402" s="55" t="n">
        <x:v>30813</x:v>
      </x:c>
      <x:c r="G402" s="55" t="n">
        <x:v>8593</x:v>
      </x:c>
      <x:c r="H402" s="55" t="n">
        <x:v>3409</x:v>
      </x:c>
      <x:c r="I402" s="55" t="n">
        <x:v>1652</x:v>
      </x:c>
      <x:c r="J402" s="55" t="n">
        <x:v>405</x:v>
      </x:c>
      <x:c r="K402" s="55" t="n">
        <x:v>29793</x:v>
      </x:c>
      <x:c r="L402" s="55" t="n">
        <x:v>5565</x:v>
      </x:c>
      <x:c r="M402" s="55" t="n">
        <x:v>894</x:v>
      </x:c>
      <x:c r="N402" s="55" t="n">
        <x:v>2776</x:v>
      </x:c>
      <x:c r="O402" s="55" t="n">
        <x:v>1895</x:v>
      </x:c>
      <x:c r="P402" s="55" t="n">
        <x:v>831</x:v>
      </x:c>
      <x:c r="Q402" s="55" t="n">
        <x:v>1966</x:v>
      </x:c>
      <x:c r="R402" s="55" t="n">
        <x:v>1239</x:v>
      </x:c>
      <x:c r="S402" s="55" t="n">
        <x:v>2776</x:v>
      </x:c>
      <x:c r="T402" s="55" t="n">
        <x:v>952</x:v>
      </x:c>
      <x:c r="U402" s="55" t="n">
        <x:v>1786</x:v>
      </x:c>
      <x:c r="V402" s="55" t="n">
        <x:v>10481</x:v>
      </x:c>
      <x:c r="W402" s="55" t="n">
        <x:v>7296</x:v>
      </x:c>
      <x:c r="X402" s="55" t="n">
        <x:v>3185</x:v>
      </x:c>
      <x:c r="Y402" s="55" t="n">
        <x:v>2827</x:v>
      </x:c>
      <x:c r="Z402" s="55" t="n">
        <x:v>3594</x:v>
      </x:c>
      <x:c r="AA402" s="55" t="n">
        <x:v>3240</x:v>
      </x:c>
      <x:c r="AB402" s="55" t="n">
        <x:v>1154</x:v>
      </x:c>
      <x:c r="AC402" s="55" t="n">
        <x:v>7933</x:v>
      </x:c>
      <x:c r="AD402" s="55" t="n">
        <x:v>2540</x:v>
      </x:c>
      <x:c r="AE402" s="55" t="n">
        <x:v>10650</x:v>
      </x:c>
      <x:c r="AF402" s="55" t="n">
        <x:v>10481</x:v>
      </x:c>
      <x:c r="AG402" s="55" t="n">
        <x:v>169</x:v>
      </x:c>
      <x:c r="AH402" s="55" t="n">
        <x:v>404</x:v>
      </x:c>
      <x:c r="AI402" s="55" t="n">
        <x:v>10077</x:v>
      </x:c>
      <x:c r="AJ402" s="55" t="n">
        <x:v>520</x:v>
      </x:c>
      <x:c r="AK402" s="55" t="n">
        <x:v>844</x:v>
      </x:c>
      <x:c r="AL402" s="55" t="n">
        <x:v>1590</x:v>
      </x:c>
      <x:c r="AM402" s="55" t="n">
        <x:v>4866</x:v>
      </x:c>
      <x:c r="AN402" s="55" t="n">
        <x:v>2634</x:v>
      </x:c>
      <x:c r="AO402" s="55" t="n">
        <x:v>27</x:v>
      </x:c>
      <x:c r="AP402" s="55" t="n">
        <x:v>2135</x:v>
      </x:c>
      <x:c r="AQ402" s="55" t="n">
        <x:v>974</x:v>
      </x:c>
    </x:row>
    <x:row r="403">
      <x:c r="A403" s="54" t="str">
        <x:v>T1_SHARED_CATCHMENT</x:v>
      </x:c>
      <x:c r="B403" s="54" t="n">
        <x:v>397</x:v>
      </x:c>
      <x:c r="C403" s="54" t="str">
        <x:v>NYC-V2-R01</x:v>
      </x:c>
      <x:c r="D403" s="54" t="str">
        <x:v>V2</x:v>
      </x:c>
      <x:c r="E403" s="54" t="str">
        <x:v>ADMITTED</x:v>
      </x:c>
      <x:c r="F403" s="55" t="n">
        <x:v>32858</x:v>
      </x:c>
      <x:c r="G403" s="55" t="n">
        <x:v>8328</x:v>
      </x:c>
      <x:c r="H403" s="55" t="n">
        <x:v>3679</x:v>
      </x:c>
      <x:c r="I403" s="55" t="n">
        <x:v>1714</x:v>
      </x:c>
      <x:c r="J403" s="55" t="n">
        <x:v>436</x:v>
      </x:c>
      <x:c r="K403" s="55" t="n">
        <x:v>32321</x:v>
      </x:c>
      <x:c r="L403" s="55" t="n">
        <x:v>6726</x:v>
      </x:c>
      <x:c r="M403" s="55" t="n">
        <x:v>1889</x:v>
      </x:c>
      <x:c r="N403" s="55" t="n">
        <x:v>3093</x:v>
      </x:c>
      <x:c r="O403" s="55" t="n">
        <x:v>1744</x:v>
      </x:c>
      <x:c r="P403" s="55" t="n">
        <x:v>596</x:v>
      </x:c>
      <x:c r="Q403" s="55" t="n">
        <x:v>1734</x:v>
      </x:c>
      <x:c r="R403" s="55" t="n">
        <x:v>1788</x:v>
      </x:c>
      <x:c r="S403" s="55" t="n">
        <x:v>2706</x:v>
      </x:c>
      <x:c r="T403" s="55" t="n">
        <x:v>1257</x:v>
      </x:c>
      <x:c r="U403" s="55" t="n">
        <x:v>2240</x:v>
      </x:c>
      <x:c r="V403" s="55" t="n">
        <x:v>10297</x:v>
      </x:c>
      <x:c r="W403" s="55" t="n">
        <x:v>7125</x:v>
      </x:c>
      <x:c r="X403" s="55" t="n">
        <x:v>3172</x:v>
      </x:c>
      <x:c r="Y403" s="55" t="n">
        <x:v>2730</x:v>
      </x:c>
      <x:c r="Z403" s="55" t="n">
        <x:v>3915</x:v>
      </x:c>
      <x:c r="AA403" s="55" t="n">
        <x:v>3036</x:v>
      </x:c>
      <x:c r="AB403" s="55" t="n">
        <x:v>1220</x:v>
      </x:c>
      <x:c r="AC403" s="55" t="n">
        <x:v>8049</x:v>
      </x:c>
      <x:c r="AD403" s="55" t="n">
        <x:v>3211</x:v>
      </x:c>
      <x:c r="AE403" s="55" t="n">
        <x:v>10382</x:v>
      </x:c>
      <x:c r="AF403" s="55" t="n">
        <x:v>10297</x:v>
      </x:c>
      <x:c r="AG403" s="55" t="n">
        <x:v>85</x:v>
      </x:c>
      <x:c r="AH403" s="55" t="n">
        <x:v>608</x:v>
      </x:c>
      <x:c r="AI403" s="55" t="n">
        <x:v>9689</x:v>
      </x:c>
      <x:c r="AJ403" s="55" t="n">
        <x:v>647</x:v>
      </x:c>
      <x:c r="AK403" s="55" t="n">
        <x:v>1028</x:v>
      </x:c>
      <x:c r="AL403" s="55" t="n">
        <x:v>1647</x:v>
      </x:c>
      <x:c r="AM403" s="55" t="n">
        <x:v>4595</x:v>
      </x:c>
      <x:c r="AN403" s="55" t="n">
        <x:v>2294</x:v>
      </x:c>
      <x:c r="AO403" s="55" t="n">
        <x:v>86</x:v>
      </x:c>
      <x:c r="AP403" s="55" t="n">
        <x:v>2428</x:v>
      </x:c>
      <x:c r="AQ403" s="55" t="n">
        <x:v>927</x:v>
      </x:c>
    </x:row>
    <x:row r="404">
      <x:c r="A404" s="54" t="str">
        <x:v>T1_SHARED_CATCHMENT</x:v>
      </x:c>
      <x:c r="B404" s="54" t="n">
        <x:v>398</x:v>
      </x:c>
      <x:c r="C404" s="54" t="str">
        <x:v>NYC-V2-R01</x:v>
      </x:c>
      <x:c r="D404" s="54" t="str">
        <x:v>V2</x:v>
      </x:c>
      <x:c r="E404" s="54" t="str">
        <x:v>ADMITTED</x:v>
      </x:c>
      <x:c r="F404" s="55" t="n">
        <x:v>31016</x:v>
      </x:c>
      <x:c r="G404" s="55" t="n">
        <x:v>7918</x:v>
      </x:c>
      <x:c r="H404" s="55" t="n">
        <x:v>2918</x:v>
      </x:c>
      <x:c r="I404" s="55" t="n">
        <x:v>1265</x:v>
      </x:c>
      <x:c r="J404" s="55" t="n">
        <x:v>117</x:v>
      </x:c>
      <x:c r="K404" s="55" t="n">
        <x:v>30336</x:v>
      </x:c>
      <x:c r="L404" s="55" t="n">
        <x:v>6437</x:v>
      </x:c>
      <x:c r="M404" s="55" t="n">
        <x:v>1520</x:v>
      </x:c>
      <x:c r="N404" s="55" t="n">
        <x:v>2817</x:v>
      </x:c>
      <x:c r="O404" s="55" t="n">
        <x:v>2100</x:v>
      </x:c>
      <x:c r="P404" s="55" t="n">
        <x:v>674</x:v>
      </x:c>
      <x:c r="Q404" s="55" t="n">
        <x:v>2404</x:v>
      </x:c>
      <x:c r="R404" s="55" t="n">
        <x:v>1507</x:v>
      </x:c>
      <x:c r="S404" s="55" t="n">
        <x:v>3008</x:v>
      </x:c>
      <x:c r="T404" s="55" t="n">
        <x:v>1611</x:v>
      </x:c>
      <x:c r="U404" s="55" t="n">
        <x:v>2712</x:v>
      </x:c>
      <x:c r="V404" s="55" t="n">
        <x:v>10242</x:v>
      </x:c>
      <x:c r="W404" s="55" t="n">
        <x:v>7127</x:v>
      </x:c>
      <x:c r="X404" s="55" t="n">
        <x:v>3115</x:v>
      </x:c>
      <x:c r="Y404" s="55" t="n">
        <x:v>2834</x:v>
      </x:c>
      <x:c r="Z404" s="55" t="n">
        <x:v>3835</x:v>
      </x:c>
      <x:c r="AA404" s="55" t="n">
        <x:v>2772</x:v>
      </x:c>
      <x:c r="AB404" s="55" t="n">
        <x:v>1330</x:v>
      </x:c>
      <x:c r="AC404" s="55" t="n">
        <x:v>7888</x:v>
      </x:c>
      <x:c r="AD404" s="55" t="n">
        <x:v>2317</x:v>
      </x:c>
      <x:c r="AE404" s="55" t="n">
        <x:v>10284</x:v>
      </x:c>
      <x:c r="AF404" s="55" t="n">
        <x:v>10242</x:v>
      </x:c>
      <x:c r="AG404" s="55" t="n">
        <x:v>42</x:v>
      </x:c>
      <x:c r="AH404" s="55" t="n">
        <x:v>546</x:v>
      </x:c>
      <x:c r="AI404" s="55" t="n">
        <x:v>9696</x:v>
      </x:c>
      <x:c r="AJ404" s="55" t="n">
        <x:v>428</x:v>
      </x:c>
      <x:c r="AK404" s="55" t="n">
        <x:v>1074</x:v>
      </x:c>
      <x:c r="AL404" s="55" t="n">
        <x:v>1290</x:v>
      </x:c>
      <x:c r="AM404" s="55" t="n">
        <x:v>5070</x:v>
      </x:c>
      <x:c r="AN404" s="55" t="n">
        <x:v>2377</x:v>
      </x:c>
      <x:c r="AO404" s="55" t="n">
        <x:v>3</x:v>
      </x:c>
      <x:c r="AP404" s="55" t="n">
        <x:v>2387</x:v>
      </x:c>
      <x:c r="AQ404" s="55" t="n">
        <x:v>983</x:v>
      </x:c>
    </x:row>
    <x:row r="405">
      <x:c r="A405" s="54" t="str">
        <x:v>T1_SHARED_CATCHMENT</x:v>
      </x:c>
      <x:c r="B405" s="54" t="n">
        <x:v>399</x:v>
      </x:c>
      <x:c r="C405" s="54" t="str">
        <x:v>NYC-V2-R01</x:v>
      </x:c>
      <x:c r="D405" s="54" t="str">
        <x:v>V2</x:v>
      </x:c>
      <x:c r="E405" s="54" t="str">
        <x:v>ADMITTED</x:v>
      </x:c>
      <x:c r="F405" s="55" t="n">
        <x:v>33815</x:v>
      </x:c>
      <x:c r="G405" s="55" t="n">
        <x:v>9813</x:v>
      </x:c>
      <x:c r="H405" s="55" t="n">
        <x:v>3318</x:v>
      </x:c>
      <x:c r="I405" s="55" t="n">
        <x:v>1508</x:v>
      </x:c>
      <x:c r="J405" s="55" t="n">
        <x:v>275</x:v>
      </x:c>
      <x:c r="K405" s="55" t="n">
        <x:v>29441</x:v>
      </x:c>
      <x:c r="L405" s="55" t="n">
        <x:v>7050</x:v>
      </x:c>
      <x:c r="M405" s="55" t="n">
        <x:v>2271</x:v>
      </x:c>
      <x:c r="N405" s="55" t="n">
        <x:v>3290</x:v>
      </x:c>
      <x:c r="O405" s="55" t="n">
        <x:v>1489</x:v>
      </x:c>
      <x:c r="P405" s="55" t="n">
        <x:v>511</x:v>
      </x:c>
      <x:c r="Q405" s="55" t="n">
        <x:v>2871</x:v>
      </x:c>
      <x:c r="R405" s="55" t="n">
        <x:v>1883</x:v>
      </x:c>
      <x:c r="S405" s="55" t="n">
        <x:v>3663</x:v>
      </x:c>
      <x:c r="T405" s="55" t="n">
        <x:v>1129</x:v>
      </x:c>
      <x:c r="U405" s="55" t="n">
        <x:v>2335</x:v>
      </x:c>
      <x:c r="V405" s="55" t="n">
        <x:v>10668</x:v>
      </x:c>
      <x:c r="W405" s="55" t="n">
        <x:v>7395</x:v>
      </x:c>
      <x:c r="X405" s="55" t="n">
        <x:v>3273</x:v>
      </x:c>
      <x:c r="Y405" s="55" t="n">
        <x:v>2911</x:v>
      </x:c>
      <x:c r="Z405" s="55" t="n">
        <x:v>3574</x:v>
      </x:c>
      <x:c r="AA405" s="55" t="n">
        <x:v>3245</x:v>
      </x:c>
      <x:c r="AB405" s="55" t="n">
        <x:v>1132</x:v>
      </x:c>
      <x:c r="AC405" s="55" t="n">
        <x:v>8196</x:v>
      </x:c>
      <x:c r="AD405" s="55" t="n">
        <x:v>3078</x:v>
      </x:c>
      <x:c r="AE405" s="55" t="n">
        <x:v>10814</x:v>
      </x:c>
      <x:c r="AF405" s="55" t="n">
        <x:v>10668</x:v>
      </x:c>
      <x:c r="AG405" s="55" t="n">
        <x:v>146</x:v>
      </x:c>
      <x:c r="AH405" s="55" t="n">
        <x:v>679</x:v>
      </x:c>
      <x:c r="AI405" s="55" t="n">
        <x:v>9989</x:v>
      </x:c>
      <x:c r="AJ405" s="55" t="n">
        <x:v>443</x:v>
      </x:c>
      <x:c r="AK405" s="55" t="n">
        <x:v>1236</x:v>
      </x:c>
      <x:c r="AL405" s="55" t="n">
        <x:v>1454</x:v>
      </x:c>
      <x:c r="AM405" s="55" t="n">
        <x:v>4910</x:v>
      </x:c>
      <x:c r="AN405" s="55" t="n">
        <x:v>2625</x:v>
      </x:c>
      <x:c r="AO405" s="55" t="n">
        <x:v>0</x:v>
      </x:c>
      <x:c r="AP405" s="55" t="n">
        <x:v>2271</x:v>
      </x:c>
      <x:c r="AQ405" s="55" t="n">
        <x:v>971</x:v>
      </x:c>
    </x:row>
    <x:row r="406">
      <x:c r="A406" s="54" t="str">
        <x:v>T1_SHARED_CATCHMENT</x:v>
      </x:c>
      <x:c r="B406" s="54" t="n">
        <x:v>400</x:v>
      </x:c>
      <x:c r="C406" s="54" t="str">
        <x:v>NYC-V2-R01</x:v>
      </x:c>
      <x:c r="D406" s="54" t="str">
        <x:v>V2</x:v>
      </x:c>
      <x:c r="E406" s="54" t="str">
        <x:v>ADMITTED</x:v>
      </x:c>
      <x:c r="F406" s="55" t="n">
        <x:v>30928</x:v>
      </x:c>
      <x:c r="G406" s="55" t="n">
        <x:v>8817</x:v>
      </x:c>
      <x:c r="H406" s="55" t="n">
        <x:v>2865</x:v>
      </x:c>
      <x:c r="I406" s="55" t="n">
        <x:v>1149</x:v>
      </x:c>
      <x:c r="J406" s="55" t="n">
        <x:v>85</x:v>
      </x:c>
      <x:c r="K406" s="55" t="n">
        <x:v>28935</x:v>
      </x:c>
      <x:c r="L406" s="55" t="n">
        <x:v>5610</x:v>
      </x:c>
      <x:c r="M406" s="55" t="n">
        <x:v>1279</x:v>
      </x:c>
      <x:c r="N406" s="55" t="n">
        <x:v>2801</x:v>
      </x:c>
      <x:c r="O406" s="55" t="n">
        <x:v>1530</x:v>
      </x:c>
      <x:c r="P406" s="55" t="n">
        <x:v>1090</x:v>
      </x:c>
      <x:c r="Q406" s="55" t="n">
        <x:v>2285</x:v>
      </x:c>
      <x:c r="R406" s="55" t="n">
        <x:v>2596</x:v>
      </x:c>
      <x:c r="S406" s="55" t="n">
        <x:v>2481</x:v>
      </x:c>
      <x:c r="T406" s="55" t="n">
        <x:v>1187</x:v>
      </x:c>
      <x:c r="U406" s="55" t="n">
        <x:v>2159</x:v>
      </x:c>
      <x:c r="V406" s="55" t="n">
        <x:v>10660</x:v>
      </x:c>
      <x:c r="W406" s="55" t="n">
        <x:v>7300</x:v>
      </x:c>
      <x:c r="X406" s="55" t="n">
        <x:v>3360</x:v>
      </x:c>
      <x:c r="Y406" s="55" t="n">
        <x:v>3112</x:v>
      </x:c>
      <x:c r="Z406" s="55" t="n">
        <x:v>3519</x:v>
      </x:c>
      <x:c r="AA406" s="55" t="n">
        <x:v>2865</x:v>
      </x:c>
      <x:c r="AB406" s="55" t="n">
        <x:v>963</x:v>
      </x:c>
      <x:c r="AC406" s="55" t="n">
        <x:v>7767</x:v>
      </x:c>
      <x:c r="AD406" s="55" t="n">
        <x:v>3097</x:v>
      </x:c>
      <x:c r="AE406" s="55" t="n">
        <x:v>10777</x:v>
      </x:c>
      <x:c r="AF406" s="55" t="n">
        <x:v>10660</x:v>
      </x:c>
      <x:c r="AG406" s="55" t="n">
        <x:v>117</x:v>
      </x:c>
      <x:c r="AH406" s="55" t="n">
        <x:v>465</x:v>
      </x:c>
      <x:c r="AI406" s="55" t="n">
        <x:v>10195</x:v>
      </x:c>
      <x:c r="AJ406" s="55" t="n">
        <x:v>412</x:v>
      </x:c>
      <x:c r="AK406" s="55" t="n">
        <x:v>1042</x:v>
      </x:c>
      <x:c r="AL406" s="55" t="n">
        <x:v>1261</x:v>
      </x:c>
      <x:c r="AM406" s="55" t="n">
        <x:v>5599</x:v>
      </x:c>
      <x:c r="AN406" s="55" t="n">
        <x:v>2314</x:v>
      </x:c>
      <x:c r="AO406" s="55" t="n">
        <x:v>32</x:v>
      </x:c>
      <x:c r="AP406" s="55" t="n">
        <x:v>2091</x:v>
      </x:c>
      <x:c r="AQ406" s="55" t="n">
        <x:v>968</x:v>
      </x:c>
    </x:row>
    <x:row r="407">
      <x:c r="A407" s="54" t="str">
        <x:v>T1_SHARED_CATCHMENT</x:v>
      </x:c>
      <x:c r="B407" s="54" t="n">
        <x:v>401</x:v>
      </x:c>
      <x:c r="C407" s="54" t="str">
        <x:v>NYC-V2-R01</x:v>
      </x:c>
      <x:c r="D407" s="54" t="str">
        <x:v>V2</x:v>
      </x:c>
      <x:c r="E407" s="54" t="str">
        <x:v>ADMITTED</x:v>
      </x:c>
      <x:c r="F407" s="55" t="n">
        <x:v>31727</x:v>
      </x:c>
      <x:c r="G407" s="55" t="n">
        <x:v>8540</x:v>
      </x:c>
      <x:c r="H407" s="55" t="n">
        <x:v>3025</x:v>
      </x:c>
      <x:c r="I407" s="55" t="n">
        <x:v>1138</x:v>
      </x:c>
      <x:c r="J407" s="55" t="n">
        <x:v>213</x:v>
      </x:c>
      <x:c r="K407" s="55" t="n">
        <x:v>30151</x:v>
      </x:c>
      <x:c r="L407" s="55" t="n">
        <x:v>4909</x:v>
      </x:c>
      <x:c r="M407" s="55" t="n">
        <x:v>434</x:v>
      </x:c>
      <x:c r="N407" s="55" t="n">
        <x:v>2618</x:v>
      </x:c>
      <x:c r="O407" s="55" t="n">
        <x:v>1857</x:v>
      </x:c>
      <x:c r="P407" s="55" t="n">
        <x:v>907</x:v>
      </x:c>
      <x:c r="Q407" s="55" t="n">
        <x:v>2195</x:v>
      </x:c>
      <x:c r="R407" s="55" t="n">
        <x:v>2115</x:v>
      </x:c>
      <x:c r="S407" s="55" t="n">
        <x:v>2544</x:v>
      </x:c>
      <x:c r="T407" s="55" t="n">
        <x:v>1316</x:v>
      </x:c>
      <x:c r="U407" s="55" t="n">
        <x:v>2195</x:v>
      </x:c>
      <x:c r="V407" s="55" t="n">
        <x:v>10672</x:v>
      </x:c>
      <x:c r="W407" s="55" t="n">
        <x:v>7746</x:v>
      </x:c>
      <x:c r="X407" s="55" t="n">
        <x:v>2926</x:v>
      </x:c>
      <x:c r="Y407" s="55" t="n">
        <x:v>2597</x:v>
      </x:c>
      <x:c r="Z407" s="55" t="n">
        <x:v>3931</x:v>
      </x:c>
      <x:c r="AA407" s="55" t="n">
        <x:v>3025</x:v>
      </x:c>
      <x:c r="AB407" s="55" t="n">
        <x:v>1155</x:v>
      </x:c>
      <x:c r="AC407" s="55" t="n">
        <x:v>7916</x:v>
      </x:c>
      <x:c r="AD407" s="55" t="n">
        <x:v>2967</x:v>
      </x:c>
      <x:c r="AE407" s="55" t="n">
        <x:v>10750</x:v>
      </x:c>
      <x:c r="AF407" s="55" t="n">
        <x:v>10672</x:v>
      </x:c>
      <x:c r="AG407" s="55" t="n">
        <x:v>78</x:v>
      </x:c>
      <x:c r="AH407" s="55" t="n">
        <x:v>407</x:v>
      </x:c>
      <x:c r="AI407" s="55" t="n">
        <x:v>10265</x:v>
      </x:c>
      <x:c r="AJ407" s="55" t="n">
        <x:v>217</x:v>
      </x:c>
      <x:c r="AK407" s="55" t="n">
        <x:v>1249</x:v>
      </x:c>
      <x:c r="AL407" s="55" t="n">
        <x:v>1700</x:v>
      </x:c>
      <x:c r="AM407" s="55" t="n">
        <x:v>5194</x:v>
      </x:c>
      <x:c r="AN407" s="55" t="n">
        <x:v>2312</x:v>
      </x:c>
      <x:c r="AO407" s="55" t="n">
        <x:v>0</x:v>
      </x:c>
      <x:c r="AP407" s="55" t="n">
        <x:v>1899</x:v>
      </x:c>
      <x:c r="AQ407" s="55" t="n">
        <x:v>925</x:v>
      </x:c>
    </x:row>
    <x:row r="408">
      <x:c r="A408" s="54" t="str">
        <x:v>T1_SHARED_CATCHMENT</x:v>
      </x:c>
      <x:c r="B408" s="54" t="n">
        <x:v>402</x:v>
      </x:c>
      <x:c r="C408" s="54" t="str">
        <x:v>NYC-V2-R01</x:v>
      </x:c>
      <x:c r="D408" s="54" t="str">
        <x:v>V2</x:v>
      </x:c>
      <x:c r="E408" s="54" t="str">
        <x:v>ADMITTED</x:v>
      </x:c>
      <x:c r="F408" s="55" t="n">
        <x:v>31274</x:v>
      </x:c>
      <x:c r="G408" s="55" t="n">
        <x:v>8242</x:v>
      </x:c>
      <x:c r="H408" s="55" t="n">
        <x:v>2977</x:v>
      </x:c>
      <x:c r="I408" s="55" t="n">
        <x:v>809</x:v>
      </x:c>
      <x:c r="J408" s="55" t="n">
        <x:v>152</x:v>
      </x:c>
      <x:c r="K408" s="55" t="n">
        <x:v>31274</x:v>
      </x:c>
      <x:c r="L408" s="55" t="n">
        <x:v>7112</x:v>
      </x:c>
      <x:c r="M408" s="55" t="n">
        <x:v>2719</x:v>
      </x:c>
      <x:c r="N408" s="55" t="n">
        <x:v>2516</x:v>
      </x:c>
      <x:c r="O408" s="55" t="n">
        <x:v>1877</x:v>
      </x:c>
      <x:c r="P408" s="55" t="n">
        <x:v>1011</x:v>
      </x:c>
      <x:c r="Q408" s="55" t="n">
        <x:v>1527</x:v>
      </x:c>
      <x:c r="R408" s="55" t="n">
        <x:v>1785</x:v>
      </x:c>
      <x:c r="S408" s="55" t="n">
        <x:v>2880</x:v>
      </x:c>
      <x:c r="T408" s="55" t="n">
        <x:v>1330</x:v>
      </x:c>
      <x:c r="U408" s="55" t="n">
        <x:v>1841</x:v>
      </x:c>
      <x:c r="V408" s="55" t="n">
        <x:v>10262</x:v>
      </x:c>
      <x:c r="W408" s="55" t="n">
        <x:v>7031</x:v>
      </x:c>
      <x:c r="X408" s="55" t="n">
        <x:v>3231</x:v>
      </x:c>
      <x:c r="Y408" s="55" t="n">
        <x:v>2720</x:v>
      </x:c>
      <x:c r="Z408" s="55" t="n">
        <x:v>3754</x:v>
      </x:c>
      <x:c r="AA408" s="55" t="n">
        <x:v>2977</x:v>
      </x:c>
      <x:c r="AB408" s="55" t="n">
        <x:v>1235</x:v>
      </x:c>
      <x:c r="AC408" s="55" t="n">
        <x:v>7447</x:v>
      </x:c>
      <x:c r="AD408" s="55" t="n">
        <x:v>2521</x:v>
      </x:c>
      <x:c r="AE408" s="55" t="n">
        <x:v>10334</x:v>
      </x:c>
      <x:c r="AF408" s="55" t="n">
        <x:v>10262</x:v>
      </x:c>
      <x:c r="AG408" s="55" t="n">
        <x:v>72</x:v>
      </x:c>
      <x:c r="AH408" s="55" t="n">
        <x:v>445</x:v>
      </x:c>
      <x:c r="AI408" s="55" t="n">
        <x:v>9817</x:v>
      </x:c>
      <x:c r="AJ408" s="55" t="n">
        <x:v>380</x:v>
      </x:c>
      <x:c r="AK408" s="55" t="n">
        <x:v>547</x:v>
      </x:c>
      <x:c r="AL408" s="55" t="n">
        <x:v>1424</x:v>
      </x:c>
      <x:c r="AM408" s="55" t="n">
        <x:v>4760</x:v>
      </x:c>
      <x:c r="AN408" s="55" t="n">
        <x:v>3067</x:v>
      </x:c>
      <x:c r="AO408" s="55" t="n">
        <x:v>84</x:v>
      </x:c>
      <x:c r="AP408" s="55" t="n">
        <x:v>1825</x:v>
      </x:c>
      <x:c r="AQ408" s="55" t="n">
        <x:v>1026</x:v>
      </x:c>
    </x:row>
    <x:row r="409">
      <x:c r="A409" s="54" t="str">
        <x:v>T1_SHARED_CATCHMENT</x:v>
      </x:c>
      <x:c r="B409" s="54" t="n">
        <x:v>403</x:v>
      </x:c>
      <x:c r="C409" s="54" t="str">
        <x:v>NYC-V2-R01</x:v>
      </x:c>
      <x:c r="D409" s="54" t="str">
        <x:v>V2</x:v>
      </x:c>
      <x:c r="E409" s="54" t="str">
        <x:v>ADMITTED</x:v>
      </x:c>
      <x:c r="F409" s="55" t="n">
        <x:v>31657</x:v>
      </x:c>
      <x:c r="G409" s="55" t="n">
        <x:v>7734</x:v>
      </x:c>
      <x:c r="H409" s="55" t="n">
        <x:v>3414</x:v>
      </x:c>
      <x:c r="I409" s="55" t="n">
        <x:v>1510</x:v>
      </x:c>
      <x:c r="J409" s="55" t="n">
        <x:v>155</x:v>
      </x:c>
      <x:c r="K409" s="55" t="n">
        <x:v>31657</x:v>
      </x:c>
      <x:c r="L409" s="55" t="n">
        <x:v>6467</x:v>
      </x:c>
      <x:c r="M409" s="55" t="n">
        <x:v>1967</x:v>
      </x:c>
      <x:c r="N409" s="55" t="n">
        <x:v>2810</x:v>
      </x:c>
      <x:c r="O409" s="55" t="n">
        <x:v>1690</x:v>
      </x:c>
      <x:c r="P409" s="55" t="n">
        <x:v>855</x:v>
      </x:c>
      <x:c r="Q409" s="55" t="n">
        <x:v>1607</x:v>
      </x:c>
      <x:c r="R409" s="55" t="n">
        <x:v>1825</x:v>
      </x:c>
      <x:c r="S409" s="55" t="n">
        <x:v>2853</x:v>
      </x:c>
      <x:c r="T409" s="55" t="n">
        <x:v>1250</x:v>
      </x:c>
      <x:c r="U409" s="55" t="n">
        <x:v>1802</x:v>
      </x:c>
      <x:c r="V409" s="55" t="n">
        <x:v>10265</x:v>
      </x:c>
      <x:c r="W409" s="55" t="n">
        <x:v>7489</x:v>
      </x:c>
      <x:c r="X409" s="55" t="n">
        <x:v>2776</x:v>
      </x:c>
      <x:c r="Y409" s="55" t="n">
        <x:v>2222</x:v>
      </x:c>
      <x:c r="Z409" s="55" t="n">
        <x:v>3507</x:v>
      </x:c>
      <x:c r="AA409" s="55" t="n">
        <x:v>2448</x:v>
      </x:c>
      <x:c r="AB409" s="55" t="n">
        <x:v>818</x:v>
      </x:c>
      <x:c r="AC409" s="55" t="n">
        <x:v>7585</x:v>
      </x:c>
      <x:c r="AD409" s="55" t="n">
        <x:v>2612</x:v>
      </x:c>
      <x:c r="AE409" s="55" t="n">
        <x:v>10399</x:v>
      </x:c>
      <x:c r="AF409" s="55" t="n">
        <x:v>10265</x:v>
      </x:c>
      <x:c r="AG409" s="55" t="n">
        <x:v>134</x:v>
      </x:c>
      <x:c r="AH409" s="55" t="n">
        <x:v>446</x:v>
      </x:c>
      <x:c r="AI409" s="55" t="n">
        <x:v>9819</x:v>
      </x:c>
      <x:c r="AJ409" s="55" t="n">
        <x:v>193</x:v>
      </x:c>
      <x:c r="AK409" s="55" t="n">
        <x:v>1160</x:v>
      </x:c>
      <x:c r="AL409" s="55" t="n">
        <x:v>1970</x:v>
      </x:c>
      <x:c r="AM409" s="55" t="n">
        <x:v>4452</x:v>
      </x:c>
      <x:c r="AN409" s="55" t="n">
        <x:v>2383</x:v>
      </x:c>
      <x:c r="AO409" s="55" t="n">
        <x:v>107</x:v>
      </x:c>
      <x:c r="AP409" s="55" t="n">
        <x:v>2491</x:v>
      </x:c>
      <x:c r="AQ409" s="55" t="n">
        <x:v>935</x:v>
      </x:c>
    </x:row>
    <x:row r="410">
      <x:c r="A410" s="54" t="str">
        <x:v>T1_SHARED_CATCHMENT</x:v>
      </x:c>
      <x:c r="B410" s="54" t="n">
        <x:v>404</x:v>
      </x:c>
      <x:c r="C410" s="54" t="str">
        <x:v>NYC-V2-R01</x:v>
      </x:c>
      <x:c r="D410" s="54" t="str">
        <x:v>V2</x:v>
      </x:c>
      <x:c r="E410" s="54" t="str">
        <x:v>ADMITTED</x:v>
      </x:c>
      <x:c r="F410" s="55" t="n">
        <x:v>33962</x:v>
      </x:c>
      <x:c r="G410" s="55" t="n">
        <x:v>9687</x:v>
      </x:c>
      <x:c r="H410" s="55" t="n">
        <x:v>3652</x:v>
      </x:c>
      <x:c r="I410" s="55" t="n">
        <x:v>1572</x:v>
      </x:c>
      <x:c r="J410" s="55" t="n">
        <x:v>355</x:v>
      </x:c>
      <x:c r="K410" s="55" t="n">
        <x:v>32512</x:v>
      </x:c>
      <x:c r="L410" s="55" t="n">
        <x:v>6954</x:v>
      </x:c>
      <x:c r="M410" s="55" t="n">
        <x:v>3224</x:v>
      </x:c>
      <x:c r="N410" s="55" t="n">
        <x:v>2528</x:v>
      </x:c>
      <x:c r="O410" s="55" t="n">
        <x:v>1202</x:v>
      </x:c>
      <x:c r="P410" s="55" t="n">
        <x:v>1083</x:v>
      </x:c>
      <x:c r="Q410" s="55" t="n">
        <x:v>2820</x:v>
      </x:c>
      <x:c r="R410" s="55" t="n">
        <x:v>1783</x:v>
      </x:c>
      <x:c r="S410" s="55" t="n">
        <x:v>3110</x:v>
      </x:c>
      <x:c r="T410" s="55" t="n">
        <x:v>1429</x:v>
      </x:c>
      <x:c r="U410" s="55" t="n">
        <x:v>2358</x:v>
      </x:c>
      <x:c r="V410" s="55" t="n">
        <x:v>11155</x:v>
      </x:c>
      <x:c r="W410" s="55" t="n">
        <x:v>8076</x:v>
      </x:c>
      <x:c r="X410" s="55" t="n">
        <x:v>3079</x:v>
      </x:c>
      <x:c r="Y410" s="55" t="n">
        <x:v>2637</x:v>
      </x:c>
      <x:c r="Z410" s="55" t="n">
        <x:v>3534</x:v>
      </x:c>
      <x:c r="AA410" s="55" t="n">
        <x:v>3652</x:v>
      </x:c>
      <x:c r="AB410" s="55" t="n">
        <x:v>1736</x:v>
      </x:c>
      <x:c r="AC410" s="55" t="n">
        <x:v>8021</x:v>
      </x:c>
      <x:c r="AD410" s="55" t="n">
        <x:v>3331</x:v>
      </x:c>
      <x:c r="AE410" s="55" t="n">
        <x:v>11265</x:v>
      </x:c>
      <x:c r="AF410" s="55" t="n">
        <x:v>11155</x:v>
      </x:c>
      <x:c r="AG410" s="55" t="n">
        <x:v>110</x:v>
      </x:c>
      <x:c r="AH410" s="55" t="n">
        <x:v>533</x:v>
      </x:c>
      <x:c r="AI410" s="55" t="n">
        <x:v>10622</x:v>
      </x:c>
      <x:c r="AJ410" s="55" t="n">
        <x:v>292</x:v>
      </x:c>
      <x:c r="AK410" s="55" t="n">
        <x:v>1051</x:v>
      </x:c>
      <x:c r="AL410" s="55" t="n">
        <x:v>2086</x:v>
      </x:c>
      <x:c r="AM410" s="55" t="n">
        <x:v>5222</x:v>
      </x:c>
      <x:c r="AN410" s="55" t="n">
        <x:v>2407</x:v>
      </x:c>
      <x:c r="AO410" s="55" t="n">
        <x:v>97</x:v>
      </x:c>
      <x:c r="AP410" s="55" t="n">
        <x:v>2281</x:v>
      </x:c>
      <x:c r="AQ410" s="55" t="n">
        <x:v>993</x:v>
      </x:c>
    </x:row>
    <x:row r="411">
      <x:c r="A411" s="54" t="str">
        <x:v>T1_SHARED_CATCHMENT</x:v>
      </x:c>
      <x:c r="B411" s="54" t="n">
        <x:v>405</x:v>
      </x:c>
      <x:c r="C411" s="54" t="str">
        <x:v>NYC-V2-R01</x:v>
      </x:c>
      <x:c r="D411" s="54" t="str">
        <x:v>V2</x:v>
      </x:c>
      <x:c r="E411" s="54" t="str">
        <x:v>ADMITTED</x:v>
      </x:c>
      <x:c r="F411" s="55" t="n">
        <x:v>31302</x:v>
      </x:c>
      <x:c r="G411" s="55" t="n">
        <x:v>7437</x:v>
      </x:c>
      <x:c r="H411" s="55" t="n">
        <x:v>3375</x:v>
      </x:c>
      <x:c r="I411" s="55" t="n">
        <x:v>1191</x:v>
      </x:c>
      <x:c r="J411" s="55" t="n">
        <x:v>232</x:v>
      </x:c>
      <x:c r="K411" s="55" t="n">
        <x:v>31302</x:v>
      </x:c>
      <x:c r="L411" s="55" t="n">
        <x:v>5911</x:v>
      </x:c>
      <x:c r="M411" s="55" t="n">
        <x:v>1150</x:v>
      </x:c>
      <x:c r="N411" s="55" t="n">
        <x:v>2924</x:v>
      </x:c>
      <x:c r="O411" s="55" t="n">
        <x:v>1837</x:v>
      </x:c>
      <x:c r="P411" s="55" t="n">
        <x:v>582</x:v>
      </x:c>
      <x:c r="Q411" s="55" t="n">
        <x:v>3263</x:v>
      </x:c>
      <x:c r="R411" s="55" t="n">
        <x:v>1737</x:v>
      </x:c>
      <x:c r="S411" s="55" t="n">
        <x:v>3289</x:v>
      </x:c>
      <x:c r="T411" s="55" t="n">
        <x:v>1562</x:v>
      </x:c>
      <x:c r="U411" s="55" t="n">
        <x:v>2176</x:v>
      </x:c>
      <x:c r="V411" s="55" t="n">
        <x:v>11293</x:v>
      </x:c>
      <x:c r="W411" s="55" t="n">
        <x:v>8097</x:v>
      </x:c>
      <x:c r="X411" s="55" t="n">
        <x:v>3196</x:v>
      </x:c>
      <x:c r="Y411" s="55" t="n">
        <x:v>2838</x:v>
      </x:c>
      <x:c r="Z411" s="55" t="n">
        <x:v>4081</x:v>
      </x:c>
      <x:c r="AA411" s="55" t="n">
        <x:v>3375</x:v>
      </x:c>
      <x:c r="AB411" s="55" t="n">
        <x:v>1039</x:v>
      </x:c>
      <x:c r="AC411" s="55" t="n">
        <x:v>8368</x:v>
      </x:c>
      <x:c r="AD411" s="55" t="n">
        <x:v>3098</x:v>
      </x:c>
      <x:c r="AE411" s="55" t="n">
        <x:v>11402</x:v>
      </x:c>
      <x:c r="AF411" s="55" t="n">
        <x:v>11293</x:v>
      </x:c>
      <x:c r="AG411" s="55" t="n">
        <x:v>109</x:v>
      </x:c>
      <x:c r="AH411" s="55" t="n">
        <x:v>293</x:v>
      </x:c>
      <x:c r="AI411" s="55" t="n">
        <x:v>11000</x:v>
      </x:c>
      <x:c r="AJ411" s="55" t="n">
        <x:v>452</x:v>
      </x:c>
      <x:c r="AK411" s="55" t="n">
        <x:v>946</x:v>
      </x:c>
      <x:c r="AL411" s="55" t="n">
        <x:v>2161</x:v>
      </x:c>
      <x:c r="AM411" s="55" t="n">
        <x:v>4713</x:v>
      </x:c>
      <x:c r="AN411" s="55" t="n">
        <x:v>2971</x:v>
      </x:c>
      <x:c r="AO411" s="55" t="n">
        <x:v>50</x:v>
      </x:c>
      <x:c r="AP411" s="55" t="n">
        <x:v>2520</x:v>
      </x:c>
      <x:c r="AQ411" s="55" t="n">
        <x:v>965</x:v>
      </x:c>
    </x:row>
    <x:row r="412">
      <x:c r="A412" s="54" t="str">
        <x:v>T1_SHARED_CATCHMENT</x:v>
      </x:c>
      <x:c r="B412" s="54" t="n">
        <x:v>406</x:v>
      </x:c>
      <x:c r="C412" s="54" t="str">
        <x:v>NYC-V2-R01</x:v>
      </x:c>
      <x:c r="D412" s="54" t="str">
        <x:v>V2</x:v>
      </x:c>
      <x:c r="E412" s="54" t="str">
        <x:v>ADMITTED</x:v>
      </x:c>
      <x:c r="F412" s="55" t="n">
        <x:v>31064</x:v>
      </x:c>
      <x:c r="G412" s="55" t="n">
        <x:v>8177</x:v>
      </x:c>
      <x:c r="H412" s="55" t="n">
        <x:v>3859</x:v>
      </x:c>
      <x:c r="I412" s="55" t="n">
        <x:v>1824</x:v>
      </x:c>
      <x:c r="J412" s="55" t="n">
        <x:v>293</x:v>
      </x:c>
      <x:c r="K412" s="55" t="n">
        <x:v>29415</x:v>
      </x:c>
      <x:c r="L412" s="55" t="n">
        <x:v>5852</x:v>
      </x:c>
      <x:c r="M412" s="55" t="n">
        <x:v>1291</x:v>
      </x:c>
      <x:c r="N412" s="55" t="n">
        <x:v>2438</x:v>
      </x:c>
      <x:c r="O412" s="55" t="n">
        <x:v>2123</x:v>
      </x:c>
      <x:c r="P412" s="55" t="n">
        <x:v>1379</x:v>
      </x:c>
      <x:c r="Q412" s="55" t="n">
        <x:v>3942</x:v>
      </x:c>
      <x:c r="R412" s="55" t="n">
        <x:v>1913</x:v>
      </x:c>
      <x:c r="S412" s="55" t="n">
        <x:v>2748</x:v>
      </x:c>
      <x:c r="T412" s="55" t="n">
        <x:v>1302</x:v>
      </x:c>
      <x:c r="U412" s="55" t="n">
        <x:v>2530</x:v>
      </x:c>
      <x:c r="V412" s="55" t="n">
        <x:v>10999</x:v>
      </x:c>
      <x:c r="W412" s="55" t="n">
        <x:v>7900</x:v>
      </x:c>
      <x:c r="X412" s="55" t="n">
        <x:v>3099</x:v>
      </x:c>
      <x:c r="Y412" s="55" t="n">
        <x:v>2705</x:v>
      </x:c>
      <x:c r="Z412" s="55" t="n">
        <x:v>4313</x:v>
      </x:c>
      <x:c r="AA412" s="55" t="n">
        <x:v>3859</x:v>
      </x:c>
      <x:c r="AB412" s="55" t="n">
        <x:v>1271</x:v>
      </x:c>
      <x:c r="AC412" s="55" t="n">
        <x:v>8865</x:v>
      </x:c>
      <x:c r="AD412" s="55" t="n">
        <x:v>3327</x:v>
      </x:c>
      <x:c r="AE412" s="55" t="n">
        <x:v>11118</x:v>
      </x:c>
      <x:c r="AF412" s="55" t="n">
        <x:v>10999</x:v>
      </x:c>
      <x:c r="AG412" s="55" t="n">
        <x:v>119</x:v>
      </x:c>
      <x:c r="AH412" s="55" t="n">
        <x:v>840</x:v>
      </x:c>
      <x:c r="AI412" s="55" t="n">
        <x:v>10159</x:v>
      </x:c>
      <x:c r="AJ412" s="55" t="n">
        <x:v>481</x:v>
      </x:c>
      <x:c r="AK412" s="55" t="n">
        <x:v>708</x:v>
      </x:c>
      <x:c r="AL412" s="55" t="n">
        <x:v>1462</x:v>
      </x:c>
      <x:c r="AM412" s="55" t="n">
        <x:v>4871</x:v>
      </x:c>
      <x:c r="AN412" s="55" t="n">
        <x:v>3424</x:v>
      </x:c>
      <x:c r="AO412" s="55" t="n">
        <x:v>53</x:v>
      </x:c>
      <x:c r="AP412" s="55" t="n">
        <x:v>2107</x:v>
      </x:c>
      <x:c r="AQ412" s="55" t="n">
        <x:v>995</x:v>
      </x:c>
    </x:row>
    <x:row r="413">
      <x:c r="A413" s="54" t="str">
        <x:v>T1_SHARED_CATCHMENT</x:v>
      </x:c>
      <x:c r="B413" s="54" t="n">
        <x:v>407</x:v>
      </x:c>
      <x:c r="C413" s="54" t="str">
        <x:v>NYC-V2-R01</x:v>
      </x:c>
      <x:c r="D413" s="54" t="str">
        <x:v>V2</x:v>
      </x:c>
      <x:c r="E413" s="54" t="str">
        <x:v>ADMITTED</x:v>
      </x:c>
      <x:c r="F413" s="55" t="n">
        <x:v>30011</x:v>
      </x:c>
      <x:c r="G413" s="55" t="n">
        <x:v>6420</x:v>
      </x:c>
      <x:c r="H413" s="55" t="n">
        <x:v>3395</x:v>
      </x:c>
      <x:c r="I413" s="55" t="n">
        <x:v>1460</x:v>
      </x:c>
      <x:c r="J413" s="55" t="n">
        <x:v>257</x:v>
      </x:c>
      <x:c r="K413" s="55" t="n">
        <x:v>29433</x:v>
      </x:c>
      <x:c r="L413" s="55" t="n">
        <x:v>5647</x:v>
      </x:c>
      <x:c r="M413" s="55" t="n">
        <x:v>1219</x:v>
      </x:c>
      <x:c r="N413" s="55" t="n">
        <x:v>2618</x:v>
      </x:c>
      <x:c r="O413" s="55" t="n">
        <x:v>1810</x:v>
      </x:c>
      <x:c r="P413" s="55" t="n">
        <x:v>1083</x:v>
      </x:c>
      <x:c r="Q413" s="55" t="n">
        <x:v>3391</x:v>
      </x:c>
      <x:c r="R413" s="55" t="n">
        <x:v>2054</x:v>
      </x:c>
      <x:c r="S413" s="55" t="n">
        <x:v>2723</x:v>
      </x:c>
      <x:c r="T413" s="55" t="n">
        <x:v>1227</x:v>
      </x:c>
      <x:c r="U413" s="55" t="n">
        <x:v>1841</x:v>
      </x:c>
      <x:c r="V413" s="55" t="n">
        <x:v>10977</x:v>
      </x:c>
      <x:c r="W413" s="55" t="n">
        <x:v>8152</x:v>
      </x:c>
      <x:c r="X413" s="55" t="n">
        <x:v>2825</x:v>
      </x:c>
      <x:c r="Y413" s="55" t="n">
        <x:v>2518</x:v>
      </x:c>
      <x:c r="Z413" s="55" t="n">
        <x:v>3373</x:v>
      </x:c>
      <x:c r="AA413" s="55" t="n">
        <x:v>3015</x:v>
      </x:c>
      <x:c r="AB413" s="55" t="n">
        <x:v>980</x:v>
      </x:c>
      <x:c r="AC413" s="55" t="n">
        <x:v>7586</x:v>
      </x:c>
      <x:c r="AD413" s="55" t="n">
        <x:v>3070</x:v>
      </x:c>
      <x:c r="AE413" s="55" t="n">
        <x:v>10977</x:v>
      </x:c>
      <x:c r="AF413" s="55" t="n">
        <x:v>10977</x:v>
      </x:c>
      <x:c r="AG413" s="55" t="n">
        <x:v>0</x:v>
      </x:c>
      <x:c r="AH413" s="55" t="n">
        <x:v>458</x:v>
      </x:c>
      <x:c r="AI413" s="55" t="n">
        <x:v>10519</x:v>
      </x:c>
      <x:c r="AJ413" s="55" t="n">
        <x:v>325</x:v>
      </x:c>
      <x:c r="AK413" s="55" t="n">
        <x:v>1149</x:v>
      </x:c>
      <x:c r="AL413" s="55" t="n">
        <x:v>1800</x:v>
      </x:c>
      <x:c r="AM413" s="55" t="n">
        <x:v>4637</x:v>
      </x:c>
      <x:c r="AN413" s="55" t="n">
        <x:v>3066</x:v>
      </x:c>
      <x:c r="AO413" s="55" t="n">
        <x:v>0</x:v>
      </x:c>
      <x:c r="AP413" s="55" t="n">
        <x:v>2205</x:v>
      </x:c>
      <x:c r="AQ413" s="55" t="n">
        <x:v>971</x:v>
      </x:c>
    </x:row>
    <x:row r="414">
      <x:c r="A414" s="54" t="str">
        <x:v>T1_SHARED_CATCHMENT</x:v>
      </x:c>
      <x:c r="B414" s="54" t="n">
        <x:v>408</x:v>
      </x:c>
      <x:c r="C414" s="54" t="str">
        <x:v>NYC-V2-R01</x:v>
      </x:c>
      <x:c r="D414" s="54" t="str">
        <x:v>V2</x:v>
      </x:c>
      <x:c r="E414" s="54" t="str">
        <x:v>ADMITTED</x:v>
      </x:c>
      <x:c r="F414" s="55" t="n">
        <x:v>30130</x:v>
      </x:c>
      <x:c r="G414" s="55" t="n">
        <x:v>7454</x:v>
      </x:c>
      <x:c r="H414" s="55" t="n">
        <x:v>3264</x:v>
      </x:c>
      <x:c r="I414" s="55" t="n">
        <x:v>1230</x:v>
      </x:c>
      <x:c r="J414" s="55" t="n">
        <x:v>92</x:v>
      </x:c>
      <x:c r="K414" s="55" t="n">
        <x:v>29730</x:v>
      </x:c>
      <x:c r="L414" s="55" t="n">
        <x:v>5537</x:v>
      </x:c>
      <x:c r="M414" s="55" t="n">
        <x:v>2211</x:v>
      </x:c>
      <x:c r="N414" s="55" t="n">
        <x:v>2156</x:v>
      </x:c>
      <x:c r="O414" s="55" t="n">
        <x:v>1170</x:v>
      </x:c>
      <x:c r="P414" s="55" t="n">
        <x:v>1244</x:v>
      </x:c>
      <x:c r="Q414" s="55" t="n">
        <x:v>2006</x:v>
      </x:c>
      <x:c r="R414" s="55" t="n">
        <x:v>1586</x:v>
      </x:c>
      <x:c r="S414" s="55" t="n">
        <x:v>2443</x:v>
      </x:c>
      <x:c r="T414" s="55" t="n">
        <x:v>1340</x:v>
      </x:c>
      <x:c r="U414" s="55" t="n">
        <x:v>2242</x:v>
      </x:c>
      <x:c r="V414" s="55" t="n">
        <x:v>10263</x:v>
      </x:c>
      <x:c r="W414" s="55" t="n">
        <x:v>6988</x:v>
      </x:c>
      <x:c r="X414" s="55" t="n">
        <x:v>3275</x:v>
      </x:c>
      <x:c r="Y414" s="55" t="n">
        <x:v>2708</x:v>
      </x:c>
      <x:c r="Z414" s="55" t="n">
        <x:v>3443</x:v>
      </x:c>
      <x:c r="AA414" s="55" t="n">
        <x:v>2907</x:v>
      </x:c>
      <x:c r="AB414" s="55" t="n">
        <x:v>1327</x:v>
      </x:c>
      <x:c r="AC414" s="55" t="n">
        <x:v>8207</x:v>
      </x:c>
      <x:c r="AD414" s="55" t="n">
        <x:v>3109</x:v>
      </x:c>
      <x:c r="AE414" s="55" t="n">
        <x:v>10374</x:v>
      </x:c>
      <x:c r="AF414" s="55" t="n">
        <x:v>10263</x:v>
      </x:c>
      <x:c r="AG414" s="55" t="n">
        <x:v>111</x:v>
      </x:c>
      <x:c r="AH414" s="55" t="n">
        <x:v>401</x:v>
      </x:c>
      <x:c r="AI414" s="55" t="n">
        <x:v>9862</x:v>
      </x:c>
      <x:c r="AJ414" s="55" t="n">
        <x:v>451</x:v>
      </x:c>
      <x:c r="AK414" s="55" t="n">
        <x:v>1037</x:v>
      </x:c>
      <x:c r="AL414" s="55" t="n">
        <x:v>1393</x:v>
      </x:c>
      <x:c r="AM414" s="55" t="n">
        <x:v>4565</x:v>
      </x:c>
      <x:c r="AN414" s="55" t="n">
        <x:v>2731</x:v>
      </x:c>
      <x:c r="AO414" s="55" t="n">
        <x:v>86</x:v>
      </x:c>
      <x:c r="AP414" s="55" t="n">
        <x:v>2712</x:v>
      </x:c>
      <x:c r="AQ414" s="55" t="n">
        <x:v>925</x:v>
      </x:c>
    </x:row>
    <x:row r="415">
      <x:c r="A415" s="54" t="str">
        <x:v>T1_SHARED_CATCHMENT</x:v>
      </x:c>
      <x:c r="B415" s="54" t="n">
        <x:v>409</x:v>
      </x:c>
      <x:c r="C415" s="54" t="str">
        <x:v>NYC-V2-R01</x:v>
      </x:c>
      <x:c r="D415" s="54" t="str">
        <x:v>V2</x:v>
      </x:c>
      <x:c r="E415" s="54" t="str">
        <x:v>ADMITTED</x:v>
      </x:c>
      <x:c r="F415" s="55" t="n">
        <x:v>30008</x:v>
      </x:c>
      <x:c r="G415" s="55" t="n">
        <x:v>7754</x:v>
      </x:c>
      <x:c r="H415" s="55" t="n">
        <x:v>3399</x:v>
      </x:c>
      <x:c r="I415" s="55" t="n">
        <x:v>918</x:v>
      </x:c>
      <x:c r="J415" s="55" t="n">
        <x:v>239</x:v>
      </x:c>
      <x:c r="K415" s="55" t="n">
        <x:v>29465</x:v>
      </x:c>
      <x:c r="L415" s="55" t="n">
        <x:v>5025</x:v>
      </x:c>
      <x:c r="M415" s="55" t="n">
        <x:v>561</x:v>
      </x:c>
      <x:c r="N415" s="55" t="n">
        <x:v>2982</x:v>
      </x:c>
      <x:c r="O415" s="55" t="n">
        <x:v>1482</x:v>
      </x:c>
      <x:c r="P415" s="55" t="n">
        <x:v>845</x:v>
      </x:c>
      <x:c r="Q415" s="55" t="n">
        <x:v>2499</x:v>
      </x:c>
      <x:c r="R415" s="55" t="n">
        <x:v>2277</x:v>
      </x:c>
      <x:c r="S415" s="55" t="n">
        <x:v>2350</x:v>
      </x:c>
      <x:c r="T415" s="55" t="n">
        <x:v>708</x:v>
      </x:c>
      <x:c r="U415" s="55" t="n">
        <x:v>1929</x:v>
      </x:c>
      <x:c r="V415" s="55" t="n">
        <x:v>10147</x:v>
      </x:c>
      <x:c r="W415" s="55" t="n">
        <x:v>7205</x:v>
      </x:c>
      <x:c r="X415" s="55" t="n">
        <x:v>2942</x:v>
      </x:c>
      <x:c r="Y415" s="55" t="n">
        <x:v>2561</x:v>
      </x:c>
      <x:c r="Z415" s="55" t="n">
        <x:v>3453</x:v>
      </x:c>
      <x:c r="AA415" s="55" t="n">
        <x:v>3399</x:v>
      </x:c>
      <x:c r="AB415" s="55" t="n">
        <x:v>1159</x:v>
      </x:c>
      <x:c r="AC415" s="55" t="n">
        <x:v>8033</x:v>
      </x:c>
      <x:c r="AD415" s="55" t="n">
        <x:v>2935</x:v>
      </x:c>
      <x:c r="AE415" s="55" t="n">
        <x:v>10160</x:v>
      </x:c>
      <x:c r="AF415" s="55" t="n">
        <x:v>10147</x:v>
      </x:c>
      <x:c r="AG415" s="55" t="n">
        <x:v>13</x:v>
      </x:c>
      <x:c r="AH415" s="55" t="n">
        <x:v>239</x:v>
      </x:c>
      <x:c r="AI415" s="55" t="n">
        <x:v>9908</x:v>
      </x:c>
      <x:c r="AJ415" s="55" t="n">
        <x:v>453</x:v>
      </x:c>
      <x:c r="AK415" s="55" t="n">
        <x:v>858</x:v>
      </x:c>
      <x:c r="AL415" s="55" t="n">
        <x:v>1721</x:v>
      </x:c>
      <x:c r="AM415" s="55" t="n">
        <x:v>4272</x:v>
      </x:c>
      <x:c r="AN415" s="55" t="n">
        <x:v>2820</x:v>
      </x:c>
      <x:c r="AO415" s="55" t="n">
        <x:v>23</x:v>
      </x:c>
      <x:c r="AP415" s="55" t="n">
        <x:v>2120</x:v>
      </x:c>
      <x:c r="AQ415" s="55" t="n">
        <x:v>959</x:v>
      </x:c>
    </x:row>
    <x:row r="416">
      <x:c r="A416" s="54" t="str">
        <x:v>T1_SHARED_CATCHMENT</x:v>
      </x:c>
      <x:c r="B416" s="54" t="n">
        <x:v>410</x:v>
      </x:c>
      <x:c r="C416" s="54" t="str">
        <x:v>NYC-V2-R01</x:v>
      </x:c>
      <x:c r="D416" s="54" t="str">
        <x:v>V2</x:v>
      </x:c>
      <x:c r="E416" s="54" t="str">
        <x:v>ADMITTED</x:v>
      </x:c>
      <x:c r="F416" s="55" t="n">
        <x:v>31481</x:v>
      </x:c>
      <x:c r="G416" s="55" t="n">
        <x:v>7389</x:v>
      </x:c>
      <x:c r="H416" s="55" t="n">
        <x:v>3201</x:v>
      </x:c>
      <x:c r="I416" s="55" t="n">
        <x:v>1590</x:v>
      </x:c>
      <x:c r="J416" s="55" t="n">
        <x:v>362</x:v>
      </x:c>
      <x:c r="K416" s="55" t="n">
        <x:v>31481</x:v>
      </x:c>
      <x:c r="L416" s="55" t="n">
        <x:v>6615</x:v>
      </x:c>
      <x:c r="M416" s="55" t="n">
        <x:v>923</x:v>
      </x:c>
      <x:c r="N416" s="55" t="n">
        <x:v>3121</x:v>
      </x:c>
      <x:c r="O416" s="55" t="n">
        <x:v>2571</x:v>
      </x:c>
      <x:c r="P416" s="55" t="n">
        <x:v>675</x:v>
      </x:c>
      <x:c r="Q416" s="55" t="n">
        <x:v>2381</x:v>
      </x:c>
      <x:c r="R416" s="55" t="n">
        <x:v>2243</x:v>
      </x:c>
      <x:c r="S416" s="55" t="n">
        <x:v>2986</x:v>
      </x:c>
      <x:c r="T416" s="55" t="n">
        <x:v>1406</x:v>
      </x:c>
      <x:c r="U416" s="55" t="n">
        <x:v>2366</x:v>
      </x:c>
      <x:c r="V416" s="55" t="n">
        <x:v>11424</x:v>
      </x:c>
      <x:c r="W416" s="55" t="n">
        <x:v>8419</x:v>
      </x:c>
      <x:c r="X416" s="55" t="n">
        <x:v>3005</x:v>
      </x:c>
      <x:c r="Y416" s="55" t="n">
        <x:v>2525</x:v>
      </x:c>
      <x:c r="Z416" s="55" t="n">
        <x:v>3938</x:v>
      </x:c>
      <x:c r="AA416" s="55" t="n">
        <x:v>3201</x:v>
      </x:c>
      <x:c r="AB416" s="55" t="n">
        <x:v>1155</x:v>
      </x:c>
      <x:c r="AC416" s="55" t="n">
        <x:v>8091</x:v>
      </x:c>
      <x:c r="AD416" s="55" t="n">
        <x:v>2805</x:v>
      </x:c>
      <x:c r="AE416" s="55" t="n">
        <x:v>11481</x:v>
      </x:c>
      <x:c r="AF416" s="55" t="n">
        <x:v>11424</x:v>
      </x:c>
      <x:c r="AG416" s="55" t="n">
        <x:v>57</x:v>
      </x:c>
      <x:c r="AH416" s="55" t="n">
        <x:v>567</x:v>
      </x:c>
      <x:c r="AI416" s="55" t="n">
        <x:v>10857</x:v>
      </x:c>
      <x:c r="AJ416" s="55" t="n">
        <x:v>337</x:v>
      </x:c>
      <x:c r="AK416" s="55" t="n">
        <x:v>982</x:v>
      </x:c>
      <x:c r="AL416" s="55" t="n">
        <x:v>1475</x:v>
      </x:c>
      <x:c r="AM416" s="55" t="n">
        <x:v>5431</x:v>
      </x:c>
      <x:c r="AN416" s="55" t="n">
        <x:v>3180</x:v>
      </x:c>
      <x:c r="AO416" s="55" t="n">
        <x:v>19</x:v>
      </x:c>
      <x:c r="AP416" s="55" t="n">
        <x:v>2511</x:v>
      </x:c>
      <x:c r="AQ416" s="55" t="n">
        <x:v>935</x:v>
      </x:c>
    </x:row>
    <x:row r="417">
      <x:c r="A417" s="54" t="str">
        <x:v>T1_SHARED_CATCHMENT</x:v>
      </x:c>
      <x:c r="B417" s="54" t="n">
        <x:v>411</x:v>
      </x:c>
      <x:c r="C417" s="54" t="str">
        <x:v>NYC-V2-R01</x:v>
      </x:c>
      <x:c r="D417" s="54" t="str">
        <x:v>V2</x:v>
      </x:c>
      <x:c r="E417" s="54" t="str">
        <x:v>ADMITTED</x:v>
      </x:c>
      <x:c r="F417" s="55" t="n">
        <x:v>33765</x:v>
      </x:c>
      <x:c r="G417" s="55" t="n">
        <x:v>8356</x:v>
      </x:c>
      <x:c r="H417" s="55" t="n">
        <x:v>3678</x:v>
      </x:c>
      <x:c r="I417" s="55" t="n">
        <x:v>1778</x:v>
      </x:c>
      <x:c r="J417" s="55" t="n">
        <x:v>422</x:v>
      </x:c>
      <x:c r="K417" s="55" t="n">
        <x:v>33765</x:v>
      </x:c>
      <x:c r="L417" s="55" t="n">
        <x:v>7763</x:v>
      </x:c>
      <x:c r="M417" s="55" t="n">
        <x:v>2541</x:v>
      </x:c>
      <x:c r="N417" s="55" t="n">
        <x:v>3170</x:v>
      </x:c>
      <x:c r="O417" s="55" t="n">
        <x:v>2052</x:v>
      </x:c>
      <x:c r="P417" s="55" t="n">
        <x:v>1021</x:v>
      </x:c>
      <x:c r="Q417" s="55" t="n">
        <x:v>3021</x:v>
      </x:c>
      <x:c r="R417" s="55" t="n">
        <x:v>1832</x:v>
      </x:c>
      <x:c r="S417" s="55" t="n">
        <x:v>3131</x:v>
      </x:c>
      <x:c r="T417" s="55" t="n">
        <x:v>1726</x:v>
      </x:c>
      <x:c r="U417" s="55" t="n">
        <x:v>2130</x:v>
      </x:c>
      <x:c r="V417" s="55" t="n">
        <x:v>10892</x:v>
      </x:c>
      <x:c r="W417" s="55" t="n">
        <x:v>7899</x:v>
      </x:c>
      <x:c r="X417" s="55" t="n">
        <x:v>2993</x:v>
      </x:c>
      <x:c r="Y417" s="55" t="n">
        <x:v>2627</x:v>
      </x:c>
      <x:c r="Z417" s="55" t="n">
        <x:v>3838</x:v>
      </x:c>
      <x:c r="AA417" s="55" t="n">
        <x:v>2947</x:v>
      </x:c>
      <x:c r="AB417" s="55" t="n">
        <x:v>1197</x:v>
      </x:c>
      <x:c r="AC417" s="55" t="n">
        <x:v>8092</x:v>
      </x:c>
      <x:c r="AD417" s="55" t="n">
        <x:v>2905</x:v>
      </x:c>
      <x:c r="AE417" s="55" t="n">
        <x:v>11057</x:v>
      </x:c>
      <x:c r="AF417" s="55" t="n">
        <x:v>10892</x:v>
      </x:c>
      <x:c r="AG417" s="55" t="n">
        <x:v>165</x:v>
      </x:c>
      <x:c r="AH417" s="55" t="n">
        <x:v>552</x:v>
      </x:c>
      <x:c r="AI417" s="55" t="n">
        <x:v>10340</x:v>
      </x:c>
      <x:c r="AJ417" s="55" t="n">
        <x:v>465</x:v>
      </x:c>
      <x:c r="AK417" s="55" t="n">
        <x:v>1054</x:v>
      </x:c>
      <x:c r="AL417" s="55" t="n">
        <x:v>1909</x:v>
      </x:c>
      <x:c r="AM417" s="55" t="n">
        <x:v>4364</x:v>
      </x:c>
      <x:c r="AN417" s="55" t="n">
        <x:v>3065</x:v>
      </x:c>
      <x:c r="AO417" s="55" t="n">
        <x:v>35</x:v>
      </x:c>
      <x:c r="AP417" s="55" t="n">
        <x:v>2755</x:v>
      </x:c>
      <x:c r="AQ417" s="55" t="n">
        <x:v>952</x:v>
      </x:c>
    </x:row>
    <x:row r="418">
      <x:c r="A418" s="54" t="str">
        <x:v>T1_SHARED_CATCHMENT</x:v>
      </x:c>
      <x:c r="B418" s="54" t="n">
        <x:v>412</x:v>
      </x:c>
      <x:c r="C418" s="54" t="str">
        <x:v>NYC-V2-R01</x:v>
      </x:c>
      <x:c r="D418" s="54" t="str">
        <x:v>V2</x:v>
      </x:c>
      <x:c r="E418" s="54" t="str">
        <x:v>ADMITTED</x:v>
      </x:c>
      <x:c r="F418" s="55" t="n">
        <x:v>29356</x:v>
      </x:c>
      <x:c r="G418" s="55" t="n">
        <x:v>7643</x:v>
      </x:c>
      <x:c r="H418" s="55" t="n">
        <x:v>3141</x:v>
      </x:c>
      <x:c r="I418" s="55" t="n">
        <x:v>1156</x:v>
      </x:c>
      <x:c r="J418" s="55" t="n">
        <x:v>46</x:v>
      </x:c>
      <x:c r="K418" s="55" t="n">
        <x:v>29246</x:v>
      </x:c>
      <x:c r="L418" s="55" t="n">
        <x:v>6454</x:v>
      </x:c>
      <x:c r="M418" s="55" t="n">
        <x:v>2403</x:v>
      </x:c>
      <x:c r="N418" s="55" t="n">
        <x:v>2337</x:v>
      </x:c>
      <x:c r="O418" s="55" t="n">
        <x:v>1714</x:v>
      </x:c>
      <x:c r="P418" s="55" t="n">
        <x:v>1211</x:v>
      </x:c>
      <x:c r="Q418" s="55" t="n">
        <x:v>1831</x:v>
      </x:c>
      <x:c r="R418" s="55" t="n">
        <x:v>1401</x:v>
      </x:c>
      <x:c r="S418" s="55" t="n">
        <x:v>3011</x:v>
      </x:c>
      <x:c r="T418" s="55" t="n">
        <x:v>934</x:v>
      </x:c>
      <x:c r="U418" s="55" t="n">
        <x:v>2428</x:v>
      </x:c>
      <x:c r="V418" s="55" t="n">
        <x:v>10516</x:v>
      </x:c>
      <x:c r="W418" s="55" t="n">
        <x:v>7504</x:v>
      </x:c>
      <x:c r="X418" s="55" t="n">
        <x:v>3012</x:v>
      </x:c>
      <x:c r="Y418" s="55" t="n">
        <x:v>2663</x:v>
      </x:c>
      <x:c r="Z418" s="55" t="n">
        <x:v>3748</x:v>
      </x:c>
      <x:c r="AA418" s="55" t="n">
        <x:v>3141</x:v>
      </x:c>
      <x:c r="AB418" s="55" t="n">
        <x:v>897</x:v>
      </x:c>
      <x:c r="AC418" s="55" t="n">
        <x:v>7912</x:v>
      </x:c>
      <x:c r="AD418" s="55" t="n">
        <x:v>2798</x:v>
      </x:c>
      <x:c r="AE418" s="55" t="n">
        <x:v>10653</x:v>
      </x:c>
      <x:c r="AF418" s="55" t="n">
        <x:v>10516</x:v>
      </x:c>
      <x:c r="AG418" s="55" t="n">
        <x:v>137</x:v>
      </x:c>
      <x:c r="AH418" s="55" t="n">
        <x:v>228</x:v>
      </x:c>
      <x:c r="AI418" s="55" t="n">
        <x:v>10288</x:v>
      </x:c>
      <x:c r="AJ418" s="55" t="n">
        <x:v>317</x:v>
      </x:c>
      <x:c r="AK418" s="55" t="n">
        <x:v>1282</x:v>
      </x:c>
      <x:c r="AL418" s="55" t="n">
        <x:v>1349</x:v>
      </x:c>
      <x:c r="AM418" s="55" t="n">
        <x:v>5172</x:v>
      </x:c>
      <x:c r="AN418" s="55" t="n">
        <x:v>2358</x:v>
      </x:c>
      <x:c r="AO418" s="55" t="n">
        <x:v>38</x:v>
      </x:c>
      <x:c r="AP418" s="55" t="n">
        <x:v>2604</x:v>
      </x:c>
      <x:c r="AQ418" s="55" t="n">
        <x:v>987</x:v>
      </x:c>
    </x:row>
    <x:row r="419">
      <x:c r="A419" s="54" t="str">
        <x:v>T1_SHARED_CATCHMENT</x:v>
      </x:c>
      <x:c r="B419" s="54" t="n">
        <x:v>413</x:v>
      </x:c>
      <x:c r="C419" s="54" t="str">
        <x:v>NYC-V2-R01</x:v>
      </x:c>
      <x:c r="D419" s="54" t="str">
        <x:v>V2</x:v>
      </x:c>
      <x:c r="E419" s="54" t="str">
        <x:v>ADMITTED</x:v>
      </x:c>
      <x:c r="F419" s="55" t="n">
        <x:v>34934</x:v>
      </x:c>
      <x:c r="G419" s="55" t="n">
        <x:v>9799</x:v>
      </x:c>
      <x:c r="H419" s="55" t="n">
        <x:v>4084</x:v>
      </x:c>
      <x:c r="I419" s="55" t="n">
        <x:v>1573</x:v>
      </x:c>
      <x:c r="J419" s="55" t="n">
        <x:v>156</x:v>
      </x:c>
      <x:c r="K419" s="55" t="n">
        <x:v>33214</x:v>
      </x:c>
      <x:c r="L419" s="55" t="n">
        <x:v>8424</x:v>
      </x:c>
      <x:c r="M419" s="55" t="n">
        <x:v>2841</x:v>
      </x:c>
      <x:c r="N419" s="55" t="n">
        <x:v>3376</x:v>
      </x:c>
      <x:c r="O419" s="55" t="n">
        <x:v>2207</x:v>
      </x:c>
      <x:c r="P419" s="55" t="n">
        <x:v>1060</x:v>
      </x:c>
      <x:c r="Q419" s="55" t="n">
        <x:v>3044</x:v>
      </x:c>
      <x:c r="R419" s="55" t="n">
        <x:v>2409</x:v>
      </x:c>
      <x:c r="S419" s="55" t="n">
        <x:v>3356</x:v>
      </x:c>
      <x:c r="T419" s="55" t="n">
        <x:v>1133</x:v>
      </x:c>
      <x:c r="U419" s="55" t="n">
        <x:v>2806</x:v>
      </x:c>
      <x:c r="V419" s="55" t="n">
        <x:v>11383</x:v>
      </x:c>
      <x:c r="W419" s="55" t="n">
        <x:v>8433</x:v>
      </x:c>
      <x:c r="X419" s="55" t="n">
        <x:v>2950</x:v>
      </x:c>
      <x:c r="Y419" s="55" t="n">
        <x:v>2612</x:v>
      </x:c>
      <x:c r="Z419" s="55" t="n">
        <x:v>3859</x:v>
      </x:c>
      <x:c r="AA419" s="55" t="n">
        <x:v>2800</x:v>
      </x:c>
      <x:c r="AB419" s="55" t="n">
        <x:v>894</x:v>
      </x:c>
      <x:c r="AC419" s="55" t="n">
        <x:v>8257</x:v>
      </x:c>
      <x:c r="AD419" s="55" t="n">
        <x:v>3109</x:v>
      </x:c>
      <x:c r="AE419" s="55" t="n">
        <x:v>11504</x:v>
      </x:c>
      <x:c r="AF419" s="55" t="n">
        <x:v>11383</x:v>
      </x:c>
      <x:c r="AG419" s="55" t="n">
        <x:v>121</x:v>
      </x:c>
      <x:c r="AH419" s="55" t="n">
        <x:v>699</x:v>
      </x:c>
      <x:c r="AI419" s="55" t="n">
        <x:v>10684</x:v>
      </x:c>
      <x:c r="AJ419" s="55" t="n">
        <x:v>448</x:v>
      </x:c>
      <x:c r="AK419" s="55" t="n">
        <x:v>990</x:v>
      </x:c>
      <x:c r="AL419" s="55" t="n">
        <x:v>1726</x:v>
      </x:c>
      <x:c r="AM419" s="55" t="n">
        <x:v>4891</x:v>
      </x:c>
      <x:c r="AN419" s="55" t="n">
        <x:v>3245</x:v>
      </x:c>
      <x:c r="AO419" s="55" t="n">
        <x:v>83</x:v>
      </x:c>
      <x:c r="AP419" s="55" t="n">
        <x:v>2527</x:v>
      </x:c>
      <x:c r="AQ419" s="55" t="n">
        <x:v>1008</x:v>
      </x:c>
    </x:row>
    <x:row r="420">
      <x:c r="A420" s="54" t="str">
        <x:v>T1_SHARED_CATCHMENT</x:v>
      </x:c>
      <x:c r="B420" s="54" t="n">
        <x:v>414</x:v>
      </x:c>
      <x:c r="C420" s="54" t="str">
        <x:v>NYC-V2-R01</x:v>
      </x:c>
      <x:c r="D420" s="54" t="str">
        <x:v>V2</x:v>
      </x:c>
      <x:c r="E420" s="54" t="str">
        <x:v>ADMITTED</x:v>
      </x:c>
      <x:c r="F420" s="55" t="n">
        <x:v>32430</x:v>
      </x:c>
      <x:c r="G420" s="55" t="n">
        <x:v>8261</x:v>
      </x:c>
      <x:c r="H420" s="55" t="n">
        <x:v>3333</x:v>
      </x:c>
      <x:c r="I420" s="55" t="n">
        <x:v>1434</x:v>
      </x:c>
      <x:c r="J420" s="55" t="n">
        <x:v>148</x:v>
      </x:c>
      <x:c r="K420" s="55" t="n">
        <x:v>27317</x:v>
      </x:c>
      <x:c r="L420" s="55" t="n">
        <x:v>3966</x:v>
      </x:c>
      <x:c r="M420" s="55" t="n">
        <x:v>483</x:v>
      </x:c>
      <x:c r="N420" s="55" t="n">
        <x:v>1967</x:v>
      </x:c>
      <x:c r="O420" s="55" t="n">
        <x:v>1516</x:v>
      </x:c>
      <x:c r="P420" s="55" t="n">
        <x:v>996</x:v>
      </x:c>
      <x:c r="Q420" s="55" t="n">
        <x:v>1527</x:v>
      </x:c>
      <x:c r="R420" s="55" t="n">
        <x:v>1743</x:v>
      </x:c>
      <x:c r="S420" s="55" t="n">
        <x:v>3337</x:v>
      </x:c>
      <x:c r="T420" s="55" t="n">
        <x:v>885</x:v>
      </x:c>
      <x:c r="U420" s="55" t="n">
        <x:v>2401</x:v>
      </x:c>
      <x:c r="V420" s="55" t="n">
        <x:v>10287</x:v>
      </x:c>
      <x:c r="W420" s="55" t="n">
        <x:v>7382</x:v>
      </x:c>
      <x:c r="X420" s="55" t="n">
        <x:v>2905</x:v>
      </x:c>
      <x:c r="Y420" s="55" t="n">
        <x:v>2490</x:v>
      </x:c>
      <x:c r="Z420" s="55" t="n">
        <x:v>3519</x:v>
      </x:c>
      <x:c r="AA420" s="55" t="n">
        <x:v>2812</x:v>
      </x:c>
      <x:c r="AB420" s="55" t="n">
        <x:v>698</x:v>
      </x:c>
      <x:c r="AC420" s="55" t="n">
        <x:v>7596</x:v>
      </x:c>
      <x:c r="AD420" s="55" t="n">
        <x:v>2351</x:v>
      </x:c>
      <x:c r="AE420" s="55" t="n">
        <x:v>10373</x:v>
      </x:c>
      <x:c r="AF420" s="55" t="n">
        <x:v>10287</x:v>
      </x:c>
      <x:c r="AG420" s="55" t="n">
        <x:v>86</x:v>
      </x:c>
      <x:c r="AH420" s="55" t="n">
        <x:v>284</x:v>
      </x:c>
      <x:c r="AI420" s="55" t="n">
        <x:v>10003</x:v>
      </x:c>
      <x:c r="AJ420" s="55" t="n">
        <x:v>227</x:v>
      </x:c>
      <x:c r="AK420" s="55" t="n">
        <x:v>1089</x:v>
      </x:c>
      <x:c r="AL420" s="55" t="n">
        <x:v>1950</x:v>
      </x:c>
      <x:c r="AM420" s="55" t="n">
        <x:v>4556</x:v>
      </x:c>
      <x:c r="AN420" s="55" t="n">
        <x:v>2432</x:v>
      </x:c>
      <x:c r="AO420" s="55" t="n">
        <x:v>33</x:v>
      </x:c>
      <x:c r="AP420" s="55" t="n">
        <x:v>2353</x:v>
      </x:c>
      <x:c r="AQ420" s="55" t="n">
        <x:v>900</x:v>
      </x:c>
    </x:row>
    <x:row r="421">
      <x:c r="A421" s="54" t="str">
        <x:v>T1_SHARED_CATCHMENT</x:v>
      </x:c>
      <x:c r="B421" s="54" t="n">
        <x:v>415</x:v>
      </x:c>
      <x:c r="C421" s="54" t="str">
        <x:v>NYC-V2-R01</x:v>
      </x:c>
      <x:c r="D421" s="54" t="str">
        <x:v>V2</x:v>
      </x:c>
      <x:c r="E421" s="54" t="str">
        <x:v>ADMITTED</x:v>
      </x:c>
      <x:c r="F421" s="55" t="n">
        <x:v>30534</x:v>
      </x:c>
      <x:c r="G421" s="55" t="n">
        <x:v>6907</x:v>
      </x:c>
      <x:c r="H421" s="55" t="n">
        <x:v>3398</x:v>
      </x:c>
      <x:c r="I421" s="55" t="n">
        <x:v>1451</x:v>
      </x:c>
      <x:c r="J421" s="55" t="n">
        <x:v>287</x:v>
      </x:c>
      <x:c r="K421" s="55" t="n">
        <x:v>30534</x:v>
      </x:c>
      <x:c r="L421" s="55" t="n">
        <x:v>5191</x:v>
      </x:c>
      <x:c r="M421" s="55" t="n">
        <x:v>472</x:v>
      </x:c>
      <x:c r="N421" s="55" t="n">
        <x:v>2777</x:v>
      </x:c>
      <x:c r="O421" s="55" t="n">
        <x:v>1942</x:v>
      </x:c>
      <x:c r="P421" s="55" t="n">
        <x:v>536</x:v>
      </x:c>
      <x:c r="Q421" s="55" t="n">
        <x:v>2430</x:v>
      </x:c>
      <x:c r="R421" s="55" t="n">
        <x:v>1869</x:v>
      </x:c>
      <x:c r="S421" s="55" t="n">
        <x:v>2603</x:v>
      </x:c>
      <x:c r="T421" s="55" t="n">
        <x:v>864</x:v>
      </x:c>
      <x:c r="U421" s="55" t="n">
        <x:v>1168</x:v>
      </x:c>
      <x:c r="V421" s="55" t="n">
        <x:v>10419</x:v>
      </x:c>
      <x:c r="W421" s="55" t="n">
        <x:v>7056</x:v>
      </x:c>
      <x:c r="X421" s="55" t="n">
        <x:v>3363</x:v>
      </x:c>
      <x:c r="Y421" s="55" t="n">
        <x:v>2901</x:v>
      </x:c>
      <x:c r="Z421" s="55" t="n">
        <x:v>3149</x:v>
      </x:c>
      <x:c r="AA421" s="55" t="n">
        <x:v>3398</x:v>
      </x:c>
      <x:c r="AB421" s="55" t="n">
        <x:v>1581</x:v>
      </x:c>
      <x:c r="AC421" s="55" t="n">
        <x:v>7748</x:v>
      </x:c>
      <x:c r="AD421" s="55" t="n">
        <x:v>2681</x:v>
      </x:c>
      <x:c r="AE421" s="55" t="n">
        <x:v>10429</x:v>
      </x:c>
      <x:c r="AF421" s="55" t="n">
        <x:v>10419</x:v>
      </x:c>
      <x:c r="AG421" s="55" t="n">
        <x:v>10</x:v>
      </x:c>
      <x:c r="AH421" s="55" t="n">
        <x:v>411</x:v>
      </x:c>
      <x:c r="AI421" s="55" t="n">
        <x:v>10008</x:v>
      </x:c>
      <x:c r="AJ421" s="55" t="n">
        <x:v>324</x:v>
      </x:c>
      <x:c r="AK421" s="55" t="n">
        <x:v>1097</x:v>
      </x:c>
      <x:c r="AL421" s="55" t="n">
        <x:v>1489</x:v>
      </x:c>
      <x:c r="AM421" s="55" t="n">
        <x:v>4965</x:v>
      </x:c>
      <x:c r="AN421" s="55" t="n">
        <x:v>2502</x:v>
      </x:c>
      <x:c r="AO421" s="55" t="n">
        <x:v>42</x:v>
      </x:c>
      <x:c r="AP421" s="55" t="n">
        <x:v>2060</x:v>
      </x:c>
      <x:c r="AQ421" s="55" t="n">
        <x:v>949</x:v>
      </x:c>
    </x:row>
    <x:row r="422">
      <x:c r="A422" s="54" t="str">
        <x:v>T1_SHARED_CATCHMENT</x:v>
      </x:c>
      <x:c r="B422" s="54" t="n">
        <x:v>416</x:v>
      </x:c>
      <x:c r="C422" s="54" t="str">
        <x:v>NYC-V2-R01</x:v>
      </x:c>
      <x:c r="D422" s="54" t="str">
        <x:v>V2</x:v>
      </x:c>
      <x:c r="E422" s="54" t="str">
        <x:v>ADMITTED</x:v>
      </x:c>
      <x:c r="F422" s="55" t="n">
        <x:v>32352</x:v>
      </x:c>
      <x:c r="G422" s="55" t="n">
        <x:v>8714</x:v>
      </x:c>
      <x:c r="H422" s="55" t="n">
        <x:v>3109</x:v>
      </x:c>
      <x:c r="I422" s="55" t="n">
        <x:v>1022</x:v>
      </x:c>
      <x:c r="J422" s="55" t="n">
        <x:v>195</x:v>
      </x:c>
      <x:c r="K422" s="55" t="n">
        <x:v>30671</x:v>
      </x:c>
      <x:c r="L422" s="55" t="n">
        <x:v>5071</x:v>
      </x:c>
      <x:c r="M422" s="55" t="n">
        <x:v>1374</x:v>
      </x:c>
      <x:c r="N422" s="55" t="n">
        <x:v>2135</x:v>
      </x:c>
      <x:c r="O422" s="55" t="n">
        <x:v>1562</x:v>
      </x:c>
      <x:c r="P422" s="55" t="n">
        <x:v>739</x:v>
      </x:c>
      <x:c r="Q422" s="55" t="n">
        <x:v>2452</x:v>
      </x:c>
      <x:c r="R422" s="55" t="n">
        <x:v>1618</x:v>
      </x:c>
      <x:c r="S422" s="55" t="n">
        <x:v>2742</x:v>
      </x:c>
      <x:c r="T422" s="55" t="n">
        <x:v>1064</x:v>
      </x:c>
      <x:c r="U422" s="55" t="n">
        <x:v>2135</x:v>
      </x:c>
      <x:c r="V422" s="55" t="n">
        <x:v>10158</x:v>
      </x:c>
      <x:c r="W422" s="55" t="n">
        <x:v>7334</x:v>
      </x:c>
      <x:c r="X422" s="55" t="n">
        <x:v>2824</x:v>
      </x:c>
      <x:c r="Y422" s="55" t="n">
        <x:v>2326</x:v>
      </x:c>
      <x:c r="Z422" s="55" t="n">
        <x:v>4089</x:v>
      </x:c>
      <x:c r="AA422" s="55" t="n">
        <x:v>2537</x:v>
      </x:c>
      <x:c r="AB422" s="55" t="n">
        <x:v>989</x:v>
      </x:c>
      <x:c r="AC422" s="55" t="n">
        <x:v>8528</x:v>
      </x:c>
      <x:c r="AD422" s="55" t="n">
        <x:v>3242</x:v>
      </x:c>
      <x:c r="AE422" s="55" t="n">
        <x:v>10217</x:v>
      </x:c>
      <x:c r="AF422" s="55" t="n">
        <x:v>10158</x:v>
      </x:c>
      <x:c r="AG422" s="55" t="n">
        <x:v>59</x:v>
      </x:c>
      <x:c r="AH422" s="55" t="n">
        <x:v>501</x:v>
      </x:c>
      <x:c r="AI422" s="55" t="n">
        <x:v>9657</x:v>
      </x:c>
      <x:c r="AJ422" s="55" t="n">
        <x:v>332</x:v>
      </x:c>
      <x:c r="AK422" s="55" t="n">
        <x:v>1204</x:v>
      </x:c>
      <x:c r="AL422" s="55" t="n">
        <x:v>1526</x:v>
      </x:c>
      <x:c r="AM422" s="55" t="n">
        <x:v>5018</x:v>
      </x:c>
      <x:c r="AN422" s="55" t="n">
        <x:v>2078</x:v>
      </x:c>
      <x:c r="AO422" s="55" t="n">
        <x:v>0</x:v>
      </x:c>
      <x:c r="AP422" s="55" t="n">
        <x:v>2384</x:v>
      </x:c>
      <x:c r="AQ422" s="55" t="n">
        <x:v>971</x:v>
      </x:c>
    </x:row>
    <x:row r="423">
      <x:c r="A423" s="54" t="str">
        <x:v>T1_SHARED_CATCHMENT</x:v>
      </x:c>
      <x:c r="B423" s="54" t="n">
        <x:v>417</x:v>
      </x:c>
      <x:c r="C423" s="54" t="str">
        <x:v>NYC-V2-R01</x:v>
      </x:c>
      <x:c r="D423" s="54" t="str">
        <x:v>V2</x:v>
      </x:c>
      <x:c r="E423" s="54" t="str">
        <x:v>ADMITTED</x:v>
      </x:c>
      <x:c r="F423" s="55" t="n">
        <x:v>31241</x:v>
      </x:c>
      <x:c r="G423" s="55" t="n">
        <x:v>7798</x:v>
      </x:c>
      <x:c r="H423" s="55" t="n">
        <x:v>3072</x:v>
      </x:c>
      <x:c r="I423" s="55" t="n">
        <x:v>1065</x:v>
      </x:c>
      <x:c r="J423" s="55" t="n">
        <x:v>86</x:v>
      </x:c>
      <x:c r="K423" s="55" t="n">
        <x:v>31241</x:v>
      </x:c>
      <x:c r="L423" s="55" t="n">
        <x:v>5701</x:v>
      </x:c>
      <x:c r="M423" s="55" t="n">
        <x:v>1020</x:v>
      </x:c>
      <x:c r="N423" s="55" t="n">
        <x:v>2667</x:v>
      </x:c>
      <x:c r="O423" s="55" t="n">
        <x:v>2014</x:v>
      </x:c>
      <x:c r="P423" s="55" t="n">
        <x:v>1209</x:v>
      </x:c>
      <x:c r="Q423" s="55" t="n">
        <x:v>1990</x:v>
      </x:c>
      <x:c r="R423" s="55" t="n">
        <x:v>1972</x:v>
      </x:c>
      <x:c r="S423" s="55" t="n">
        <x:v>2561</x:v>
      </x:c>
      <x:c r="T423" s="55" t="n">
        <x:v>1490</x:v>
      </x:c>
      <x:c r="U423" s="55" t="n">
        <x:v>1862</x:v>
      </x:c>
      <x:c r="V423" s="55" t="n">
        <x:v>10831</x:v>
      </x:c>
      <x:c r="W423" s="55" t="n">
        <x:v>7635</x:v>
      </x:c>
      <x:c r="X423" s="55" t="n">
        <x:v>3196</x:v>
      </x:c>
      <x:c r="Y423" s="55" t="n">
        <x:v>2762</x:v>
      </x:c>
      <x:c r="Z423" s="55" t="n">
        <x:v>3219</x:v>
      </x:c>
      <x:c r="AA423" s="55" t="n">
        <x:v>3072</x:v>
      </x:c>
      <x:c r="AB423" s="55" t="n">
        <x:v>969</x:v>
      </x:c>
      <x:c r="AC423" s="55" t="n">
        <x:v>7179</x:v>
      </x:c>
      <x:c r="AD423" s="55" t="n">
        <x:v>2451</x:v>
      </x:c>
      <x:c r="AE423" s="55" t="n">
        <x:v>10831</x:v>
      </x:c>
      <x:c r="AF423" s="55" t="n">
        <x:v>10831</x:v>
      </x:c>
      <x:c r="AG423" s="55" t="n">
        <x:v>0</x:v>
      </x:c>
      <x:c r="AH423" s="55" t="n">
        <x:v>383</x:v>
      </x:c>
      <x:c r="AI423" s="55" t="n">
        <x:v>10448</x:v>
      </x:c>
      <x:c r="AJ423" s="55" t="n">
        <x:v>406</x:v>
      </x:c>
      <x:c r="AK423" s="55" t="n">
        <x:v>743</x:v>
      </x:c>
      <x:c r="AL423" s="55" t="n">
        <x:v>2127</x:v>
      </x:c>
      <x:c r="AM423" s="55" t="n">
        <x:v>4505</x:v>
      </x:c>
      <x:c r="AN423" s="55" t="n">
        <x:v>2970</x:v>
      </x:c>
      <x:c r="AO423" s="55" t="n">
        <x:v>80</x:v>
      </x:c>
      <x:c r="AP423" s="55" t="n">
        <x:v>2527</x:v>
      </x:c>
      <x:c r="AQ423" s="55" t="n">
        <x:v>932</x:v>
      </x:c>
    </x:row>
    <x:row r="424">
      <x:c r="A424" s="54" t="str">
        <x:v>T1_SHARED_CATCHMENT</x:v>
      </x:c>
      <x:c r="B424" s="54" t="n">
        <x:v>418</x:v>
      </x:c>
      <x:c r="C424" s="54" t="str">
        <x:v>NYC-V2-R01</x:v>
      </x:c>
      <x:c r="D424" s="54" t="str">
        <x:v>V2</x:v>
      </x:c>
      <x:c r="E424" s="54" t="str">
        <x:v>ADMITTED</x:v>
      </x:c>
      <x:c r="F424" s="55" t="n">
        <x:v>28409</x:v>
      </x:c>
      <x:c r="G424" s="55" t="n">
        <x:v>6345</x:v>
      </x:c>
      <x:c r="H424" s="55" t="n">
        <x:v>2922</x:v>
      </x:c>
      <x:c r="I424" s="55" t="n">
        <x:v>706</x:v>
      </x:c>
      <x:c r="J424" s="55" t="n">
        <x:v>0</x:v>
      </x:c>
      <x:c r="K424" s="55" t="n">
        <x:v>28409</x:v>
      </x:c>
      <x:c r="L424" s="55" t="n">
        <x:v>5591</x:v>
      </x:c>
      <x:c r="M424" s="55" t="n">
        <x:v>407</x:v>
      </x:c>
      <x:c r="N424" s="55" t="n">
        <x:v>3099</x:v>
      </x:c>
      <x:c r="O424" s="55" t="n">
        <x:v>2085</x:v>
      </x:c>
      <x:c r="P424" s="55" t="n">
        <x:v>868</x:v>
      </x:c>
      <x:c r="Q424" s="55" t="n">
        <x:v>1588</x:v>
      </x:c>
      <x:c r="R424" s="55" t="n">
        <x:v>1701</x:v>
      </x:c>
      <x:c r="S424" s="55" t="n">
        <x:v>2672</x:v>
      </x:c>
      <x:c r="T424" s="55" t="n">
        <x:v>763</x:v>
      </x:c>
      <x:c r="U424" s="55" t="n">
        <x:v>1993</x:v>
      </x:c>
      <x:c r="V424" s="55" t="n">
        <x:v>10553</x:v>
      </x:c>
      <x:c r="W424" s="55" t="n">
        <x:v>7326</x:v>
      </x:c>
      <x:c r="X424" s="55" t="n">
        <x:v>3227</x:v>
      </x:c>
      <x:c r="Y424" s="55" t="n">
        <x:v>2528</x:v>
      </x:c>
      <x:c r="Z424" s="55" t="n">
        <x:v>3286</x:v>
      </x:c>
      <x:c r="AA424" s="55" t="n">
        <x:v>2922</x:v>
      </x:c>
      <x:c r="AB424" s="55" t="n">
        <x:v>1120</x:v>
      </x:c>
      <x:c r="AC424" s="55" t="n">
        <x:v>8086</x:v>
      </x:c>
      <x:c r="AD424" s="55" t="n">
        <x:v>2854</x:v>
      </x:c>
      <x:c r="AE424" s="55" t="n">
        <x:v>10622</x:v>
      </x:c>
      <x:c r="AF424" s="55" t="n">
        <x:v>10553</x:v>
      </x:c>
      <x:c r="AG424" s="55" t="n">
        <x:v>69</x:v>
      </x:c>
      <x:c r="AH424" s="55" t="n">
        <x:v>250</x:v>
      </x:c>
      <x:c r="AI424" s="55" t="n">
        <x:v>10303</x:v>
      </x:c>
      <x:c r="AJ424" s="55" t="n">
        <x:v>183</x:v>
      </x:c>
      <x:c r="AK424" s="55" t="n">
        <x:v>947</x:v>
      </x:c>
      <x:c r="AL424" s="55" t="n">
        <x:v>1798</x:v>
      </x:c>
      <x:c r="AM424" s="55" t="n">
        <x:v>5113</x:v>
      </x:c>
      <x:c r="AN424" s="55" t="n">
        <x:v>2512</x:v>
      </x:c>
      <x:c r="AO424" s="55" t="n">
        <x:v>0</x:v>
      </x:c>
      <x:c r="AP424" s="55" t="n">
        <x:v>2010</x:v>
      </x:c>
      <x:c r="AQ424" s="55" t="n">
        <x:v>940</x:v>
      </x:c>
    </x:row>
    <x:row r="425">
      <x:c r="A425" s="54" t="str">
        <x:v>T1_SHARED_CATCHMENT</x:v>
      </x:c>
      <x:c r="B425" s="54" t="n">
        <x:v>419</x:v>
      </x:c>
      <x:c r="C425" s="54" t="str">
        <x:v>NYC-V2-R01</x:v>
      </x:c>
      <x:c r="D425" s="54" t="str">
        <x:v>V2</x:v>
      </x:c>
      <x:c r="E425" s="54" t="str">
        <x:v>ADMITTED</x:v>
      </x:c>
      <x:c r="F425" s="55" t="n">
        <x:v>32157</x:v>
      </x:c>
      <x:c r="G425" s="55" t="n">
        <x:v>8048</x:v>
      </x:c>
      <x:c r="H425" s="55" t="n">
        <x:v>3477</x:v>
      </x:c>
      <x:c r="I425" s="55" t="n">
        <x:v>1341</x:v>
      </x:c>
      <x:c r="J425" s="55" t="n">
        <x:v>383</x:v>
      </x:c>
      <x:c r="K425" s="55" t="n">
        <x:v>28916</x:v>
      </x:c>
      <x:c r="L425" s="55" t="n">
        <x:v>5010</x:v>
      </x:c>
      <x:c r="M425" s="55" t="n">
        <x:v>1580</x:v>
      </x:c>
      <x:c r="N425" s="55" t="n">
        <x:v>1820</x:v>
      </x:c>
      <x:c r="O425" s="55" t="n">
        <x:v>1610</x:v>
      </x:c>
      <x:c r="P425" s="55" t="n">
        <x:v>847</x:v>
      </x:c>
      <x:c r="Q425" s="55" t="n">
        <x:v>2808</x:v>
      </x:c>
      <x:c r="R425" s="55" t="n">
        <x:v>1867</x:v>
      </x:c>
      <x:c r="S425" s="55" t="n">
        <x:v>3116</x:v>
      </x:c>
      <x:c r="T425" s="55" t="n">
        <x:v>1316</x:v>
      </x:c>
      <x:c r="U425" s="55" t="n">
        <x:v>1951</x:v>
      </x:c>
      <x:c r="V425" s="55" t="n">
        <x:v>10348</x:v>
      </x:c>
      <x:c r="W425" s="55" t="n">
        <x:v>7290</x:v>
      </x:c>
      <x:c r="X425" s="55" t="n">
        <x:v>3058</x:v>
      </x:c>
      <x:c r="Y425" s="55" t="n">
        <x:v>2721</x:v>
      </x:c>
      <x:c r="Z425" s="55" t="n">
        <x:v>3824</x:v>
      </x:c>
      <x:c r="AA425" s="55" t="n">
        <x:v>3260</x:v>
      </x:c>
      <x:c r="AB425" s="55" t="n">
        <x:v>982</x:v>
      </x:c>
      <x:c r="AC425" s="55" t="n">
        <x:v>8185</x:v>
      </x:c>
      <x:c r="AD425" s="55" t="n">
        <x:v>2769</x:v>
      </x:c>
      <x:c r="AE425" s="55" t="n">
        <x:v>10505</x:v>
      </x:c>
      <x:c r="AF425" s="55" t="n">
        <x:v>10348</x:v>
      </x:c>
      <x:c r="AG425" s="55" t="n">
        <x:v>157</x:v>
      </x:c>
      <x:c r="AH425" s="55" t="n">
        <x:v>239</x:v>
      </x:c>
      <x:c r="AI425" s="55" t="n">
        <x:v>10109</x:v>
      </x:c>
      <x:c r="AJ425" s="55" t="n">
        <x:v>285</x:v>
      </x:c>
      <x:c r="AK425" s="55" t="n">
        <x:v>1032</x:v>
      </x:c>
      <x:c r="AL425" s="55" t="n">
        <x:v>2089</x:v>
      </x:c>
      <x:c r="AM425" s="55" t="n">
        <x:v>4571</x:v>
      </x:c>
      <x:c r="AN425" s="55" t="n">
        <x:v>2368</x:v>
      </x:c>
      <x:c r="AO425" s="55" t="n">
        <x:v>3</x:v>
      </x:c>
      <x:c r="AP425" s="55" t="n">
        <x:v>2826</x:v>
      </x:c>
      <x:c r="AQ425" s="55" t="n">
        <x:v>972</x:v>
      </x:c>
    </x:row>
    <x:row r="426">
      <x:c r="A426" s="54" t="str">
        <x:v>T1_SHARED_CATCHMENT</x:v>
      </x:c>
      <x:c r="B426" s="54" t="n">
        <x:v>420</x:v>
      </x:c>
      <x:c r="C426" s="54" t="str">
        <x:v>NYC-V2-R01</x:v>
      </x:c>
      <x:c r="D426" s="54" t="str">
        <x:v>V2</x:v>
      </x:c>
      <x:c r="E426" s="54" t="str">
        <x:v>ADMITTED</x:v>
      </x:c>
      <x:c r="F426" s="55" t="n">
        <x:v>33645</x:v>
      </x:c>
      <x:c r="G426" s="55" t="n">
        <x:v>9219</x:v>
      </x:c>
      <x:c r="H426" s="55" t="n">
        <x:v>2972</x:v>
      </x:c>
      <x:c r="I426" s="55" t="n">
        <x:v>660</x:v>
      </x:c>
      <x:c r="J426" s="55" t="n">
        <x:v>154</x:v>
      </x:c>
      <x:c r="K426" s="55" t="n">
        <x:v>28644</x:v>
      </x:c>
      <x:c r="L426" s="55" t="n">
        <x:v>6162</x:v>
      </x:c>
      <x:c r="M426" s="55" t="n">
        <x:v>854</x:v>
      </x:c>
      <x:c r="N426" s="55" t="n">
        <x:v>2998</x:v>
      </x:c>
      <x:c r="O426" s="55" t="n">
        <x:v>2310</x:v>
      </x:c>
      <x:c r="P426" s="55" t="n">
        <x:v>576</x:v>
      </x:c>
      <x:c r="Q426" s="55" t="n">
        <x:v>2569</x:v>
      </x:c>
      <x:c r="R426" s="55" t="n">
        <x:v>1863</x:v>
      </x:c>
      <x:c r="S426" s="55" t="n">
        <x:v>2813</x:v>
      </x:c>
      <x:c r="T426" s="55" t="n">
        <x:v>1168</x:v>
      </x:c>
      <x:c r="U426" s="55" t="n">
        <x:v>1973</x:v>
      </x:c>
      <x:c r="V426" s="55" t="n">
        <x:v>11025</x:v>
      </x:c>
      <x:c r="W426" s="55" t="n">
        <x:v>7866</x:v>
      </x:c>
      <x:c r="X426" s="55" t="n">
        <x:v>3159</x:v>
      </x:c>
      <x:c r="Y426" s="55" t="n">
        <x:v>2710</x:v>
      </x:c>
      <x:c r="Z426" s="55" t="n">
        <x:v>4249</x:v>
      </x:c>
      <x:c r="AA426" s="55" t="n">
        <x:v>2972</x:v>
      </x:c>
      <x:c r="AB426" s="55" t="n">
        <x:v>1072</x:v>
      </x:c>
      <x:c r="AC426" s="55" t="n">
        <x:v>8136</x:v>
      </x:c>
      <x:c r="AD426" s="55" t="n">
        <x:v>3272</x:v>
      </x:c>
      <x:c r="AE426" s="55" t="n">
        <x:v>11104</x:v>
      </x:c>
      <x:c r="AF426" s="55" t="n">
        <x:v>11025</x:v>
      </x:c>
      <x:c r="AG426" s="55" t="n">
        <x:v>79</x:v>
      </x:c>
      <x:c r="AH426" s="55" t="n">
        <x:v>504</x:v>
      </x:c>
      <x:c r="AI426" s="55" t="n">
        <x:v>10521</x:v>
      </x:c>
      <x:c r="AJ426" s="55" t="n">
        <x:v>390</x:v>
      </x:c>
      <x:c r="AK426" s="55" t="n">
        <x:v>1119</x:v>
      </x:c>
      <x:c r="AL426" s="55" t="n">
        <x:v>1377</x:v>
      </x:c>
      <x:c r="AM426" s="55" t="n">
        <x:v>5004</x:v>
      </x:c>
      <x:c r="AN426" s="55" t="n">
        <x:v>3135</x:v>
      </x:c>
      <x:c r="AO426" s="55" t="n">
        <x:v>0</x:v>
      </x:c>
      <x:c r="AP426" s="55" t="n">
        <x:v>2334</x:v>
      </x:c>
      <x:c r="AQ426" s="55" t="n">
        <x:v>972</x:v>
      </x:c>
    </x:row>
    <x:row r="427">
      <x:c r="A427" s="54" t="str">
        <x:v>T1_SHARED_CATCHMENT</x:v>
      </x:c>
      <x:c r="B427" s="54" t="n">
        <x:v>421</x:v>
      </x:c>
      <x:c r="C427" s="54" t="str">
        <x:v>NYC-V2-R01</x:v>
      </x:c>
      <x:c r="D427" s="54" t="str">
        <x:v>V2</x:v>
      </x:c>
      <x:c r="E427" s="54" t="str">
        <x:v>ADMITTED</x:v>
      </x:c>
      <x:c r="F427" s="55" t="n">
        <x:v>32551</x:v>
      </x:c>
      <x:c r="G427" s="55" t="n">
        <x:v>8304</x:v>
      </x:c>
      <x:c r="H427" s="55" t="n">
        <x:v>3287</x:v>
      </x:c>
      <x:c r="I427" s="55" t="n">
        <x:v>1679</x:v>
      </x:c>
      <x:c r="J427" s="55" t="n">
        <x:v>207</x:v>
      </x:c>
      <x:c r="K427" s="55" t="n">
        <x:v>30101</x:v>
      </x:c>
      <x:c r="L427" s="55" t="n">
        <x:v>5269</x:v>
      </x:c>
      <x:c r="M427" s="55" t="n">
        <x:v>1005</x:v>
      </x:c>
      <x:c r="N427" s="55" t="n">
        <x:v>2478</x:v>
      </x:c>
      <x:c r="O427" s="55" t="n">
        <x:v>1786</x:v>
      </x:c>
      <x:c r="P427" s="55" t="n">
        <x:v>1010</x:v>
      </x:c>
      <x:c r="Q427" s="55" t="n">
        <x:v>2086</x:v>
      </x:c>
      <x:c r="R427" s="55" t="n">
        <x:v>1767</x:v>
      </x:c>
      <x:c r="S427" s="55" t="n">
        <x:v>2480</x:v>
      </x:c>
      <x:c r="T427" s="55" t="n">
        <x:v>1238</x:v>
      </x:c>
      <x:c r="U427" s="55" t="n">
        <x:v>2126</x:v>
      </x:c>
      <x:c r="V427" s="55" t="n">
        <x:v>10607</x:v>
      </x:c>
      <x:c r="W427" s="55" t="n">
        <x:v>7426</x:v>
      </x:c>
      <x:c r="X427" s="55" t="n">
        <x:v>3181</x:v>
      </x:c>
      <x:c r="Y427" s="55" t="n">
        <x:v>2876</x:v>
      </x:c>
      <x:c r="Z427" s="55" t="n">
        <x:v>3910</x:v>
      </x:c>
      <x:c r="AA427" s="55" t="n">
        <x:v>3098</x:v>
      </x:c>
      <x:c r="AB427" s="55" t="n">
        <x:v>1129</x:v>
      </x:c>
      <x:c r="AC427" s="55" t="n">
        <x:v>7822</x:v>
      </x:c>
      <x:c r="AD427" s="55" t="n">
        <x:v>2859</x:v>
      </x:c>
      <x:c r="AE427" s="55" t="n">
        <x:v>10726</x:v>
      </x:c>
      <x:c r="AF427" s="55" t="n">
        <x:v>10607</x:v>
      </x:c>
      <x:c r="AG427" s="55" t="n">
        <x:v>119</x:v>
      </x:c>
      <x:c r="AH427" s="55" t="n">
        <x:v>523</x:v>
      </x:c>
      <x:c r="AI427" s="55" t="n">
        <x:v>10084</x:v>
      </x:c>
      <x:c r="AJ427" s="55" t="n">
        <x:v>424</x:v>
      </x:c>
      <x:c r="AK427" s="55" t="n">
        <x:v>912</x:v>
      </x:c>
      <x:c r="AL427" s="55" t="n">
        <x:v>1678</x:v>
      </x:c>
      <x:c r="AM427" s="55" t="n">
        <x:v>4750</x:v>
      </x:c>
      <x:c r="AN427" s="55" t="n">
        <x:v>2776</x:v>
      </x:c>
      <x:c r="AO427" s="55" t="n">
        <x:v>67</x:v>
      </x:c>
      <x:c r="AP427" s="55" t="n">
        <x:v>2169</x:v>
      </x:c>
      <x:c r="AQ427" s="55" t="n">
        <x:v>960</x:v>
      </x:c>
    </x:row>
    <x:row r="428">
      <x:c r="A428" s="54" t="str">
        <x:v>T1_SHARED_CATCHMENT</x:v>
      </x:c>
      <x:c r="B428" s="54" t="n">
        <x:v>422</x:v>
      </x:c>
      <x:c r="C428" s="54" t="str">
        <x:v>NYC-V2-R01</x:v>
      </x:c>
      <x:c r="D428" s="54" t="str">
        <x:v>V2</x:v>
      </x:c>
      <x:c r="E428" s="54" t="str">
        <x:v>ADMITTED</x:v>
      </x:c>
      <x:c r="F428" s="55" t="n">
        <x:v>33269</x:v>
      </x:c>
      <x:c r="G428" s="55" t="n">
        <x:v>8918</x:v>
      </x:c>
      <x:c r="H428" s="55" t="n">
        <x:v>3558</x:v>
      </x:c>
      <x:c r="I428" s="55" t="n">
        <x:v>1291</x:v>
      </x:c>
      <x:c r="J428" s="55" t="n">
        <x:v>406</x:v>
      </x:c>
      <x:c r="K428" s="55" t="n">
        <x:v>31598</x:v>
      </x:c>
      <x:c r="L428" s="55" t="n">
        <x:v>6471</x:v>
      </x:c>
      <x:c r="M428" s="55" t="n">
        <x:v>1527</x:v>
      </x:c>
      <x:c r="N428" s="55" t="n">
        <x:v>3117</x:v>
      </x:c>
      <x:c r="O428" s="55" t="n">
        <x:v>1827</x:v>
      </x:c>
      <x:c r="P428" s="55" t="n">
        <x:v>548</x:v>
      </x:c>
      <x:c r="Q428" s="55" t="n">
        <x:v>2060</x:v>
      </x:c>
      <x:c r="R428" s="55" t="n">
        <x:v>1765</x:v>
      </x:c>
      <x:c r="S428" s="55" t="n">
        <x:v>3217</x:v>
      </x:c>
      <x:c r="T428" s="55" t="n">
        <x:v>1284</x:v>
      </x:c>
      <x:c r="U428" s="55" t="n">
        <x:v>2209</x:v>
      </x:c>
      <x:c r="V428" s="55" t="n">
        <x:v>10328</x:v>
      </x:c>
      <x:c r="W428" s="55" t="n">
        <x:v>7656</x:v>
      </x:c>
      <x:c r="X428" s="55" t="n">
        <x:v>2672</x:v>
      </x:c>
      <x:c r="Y428" s="55" t="n">
        <x:v>2441</x:v>
      </x:c>
      <x:c r="Z428" s="55" t="n">
        <x:v>4028</x:v>
      </x:c>
      <x:c r="AA428" s="55" t="n">
        <x:v>2981</x:v>
      </x:c>
      <x:c r="AB428" s="55" t="n">
        <x:v>1248</x:v>
      </x:c>
      <x:c r="AC428" s="55" t="n">
        <x:v>7266</x:v>
      </x:c>
      <x:c r="AD428" s="55" t="n">
        <x:v>2818</x:v>
      </x:c>
      <x:c r="AE428" s="55" t="n">
        <x:v>10357</x:v>
      </x:c>
      <x:c r="AF428" s="55" t="n">
        <x:v>10328</x:v>
      </x:c>
      <x:c r="AG428" s="55" t="n">
        <x:v>29</x:v>
      </x:c>
      <x:c r="AH428" s="55" t="n">
        <x:v>510</x:v>
      </x:c>
      <x:c r="AI428" s="55" t="n">
        <x:v>9818</x:v>
      </x:c>
      <x:c r="AJ428" s="55" t="n">
        <x:v>343</x:v>
      </x:c>
      <x:c r="AK428" s="55" t="n">
        <x:v>742</x:v>
      </x:c>
      <x:c r="AL428" s="55" t="n">
        <x:v>1660</x:v>
      </x:c>
      <x:c r="AM428" s="55" t="n">
        <x:v>4846</x:v>
      </x:c>
      <x:c r="AN428" s="55" t="n">
        <x:v>2737</x:v>
      </x:c>
      <x:c r="AO428" s="55" t="n">
        <x:v>0</x:v>
      </x:c>
      <x:c r="AP428" s="55" t="n">
        <x:v>2347</x:v>
      </x:c>
      <x:c r="AQ428" s="55" t="n">
        <x:v>981</x:v>
      </x:c>
    </x:row>
    <x:row r="429">
      <x:c r="A429" s="54" t="str">
        <x:v>T1_SHARED_CATCHMENT</x:v>
      </x:c>
      <x:c r="B429" s="54" t="n">
        <x:v>423</x:v>
      </x:c>
      <x:c r="C429" s="54" t="str">
        <x:v>NYC-V2-R01</x:v>
      </x:c>
      <x:c r="D429" s="54" t="str">
        <x:v>V2</x:v>
      </x:c>
      <x:c r="E429" s="54" t="str">
        <x:v>ADMITTED</x:v>
      </x:c>
      <x:c r="F429" s="55" t="n">
        <x:v>30974</x:v>
      </x:c>
      <x:c r="G429" s="55" t="n">
        <x:v>9322</x:v>
      </x:c>
      <x:c r="H429" s="55" t="n">
        <x:v>3470</x:v>
      </x:c>
      <x:c r="I429" s="55" t="n">
        <x:v>1188</x:v>
      </x:c>
      <x:c r="J429" s="55" t="n">
        <x:v>241</x:v>
      </x:c>
      <x:c r="K429" s="55" t="n">
        <x:v>30250</x:v>
      </x:c>
      <x:c r="L429" s="55" t="n">
        <x:v>4894</x:v>
      </x:c>
      <x:c r="M429" s="55" t="n">
        <x:v>714</x:v>
      </x:c>
      <x:c r="N429" s="55" t="n">
        <x:v>2591</x:v>
      </x:c>
      <x:c r="O429" s="55" t="n">
        <x:v>1589</x:v>
      </x:c>
      <x:c r="P429" s="55" t="n">
        <x:v>909</x:v>
      </x:c>
      <x:c r="Q429" s="55" t="n">
        <x:v>2724</x:v>
      </x:c>
      <x:c r="R429" s="55" t="n">
        <x:v>1835</x:v>
      </x:c>
      <x:c r="S429" s="55" t="n">
        <x:v>2530</x:v>
      </x:c>
      <x:c r="T429" s="55" t="n">
        <x:v>1121</x:v>
      </x:c>
      <x:c r="U429" s="55" t="n">
        <x:v>1409</x:v>
      </x:c>
      <x:c r="V429" s="55" t="n">
        <x:v>10652</x:v>
      </x:c>
      <x:c r="W429" s="55" t="n">
        <x:v>7782</x:v>
      </x:c>
      <x:c r="X429" s="55" t="n">
        <x:v>2870</x:v>
      </x:c>
      <x:c r="Y429" s="55" t="n">
        <x:v>2576</x:v>
      </x:c>
      <x:c r="Z429" s="55" t="n">
        <x:v>3894</x:v>
      </x:c>
      <x:c r="AA429" s="55" t="n">
        <x:v>2822</x:v>
      </x:c>
      <x:c r="AB429" s="55" t="n">
        <x:v>898</x:v>
      </x:c>
      <x:c r="AC429" s="55" t="n">
        <x:v>7474</x:v>
      </x:c>
      <x:c r="AD429" s="55" t="n">
        <x:v>2886</x:v>
      </x:c>
      <x:c r="AE429" s="55" t="n">
        <x:v>10762</x:v>
      </x:c>
      <x:c r="AF429" s="55" t="n">
        <x:v>10652</x:v>
      </x:c>
      <x:c r="AG429" s="55" t="n">
        <x:v>110</x:v>
      </x:c>
      <x:c r="AH429" s="55" t="n">
        <x:v>495</x:v>
      </x:c>
      <x:c r="AI429" s="55" t="n">
        <x:v>10157</x:v>
      </x:c>
      <x:c r="AJ429" s="55" t="n">
        <x:v>319</x:v>
      </x:c>
      <x:c r="AK429" s="55" t="n">
        <x:v>982</x:v>
      </x:c>
      <x:c r="AL429" s="55" t="n">
        <x:v>1304</x:v>
      </x:c>
      <x:c r="AM429" s="55" t="n">
        <x:v>5190</x:v>
      </x:c>
      <x:c r="AN429" s="55" t="n">
        <x:v>2855</x:v>
      </x:c>
      <x:c r="AO429" s="55" t="n">
        <x:v>2</x:v>
      </x:c>
      <x:c r="AP429" s="55" t="n">
        <x:v>2433</x:v>
      </x:c>
      <x:c r="AQ429" s="55" t="n">
        <x:v>971</x:v>
      </x:c>
    </x:row>
    <x:row r="430">
      <x:c r="A430" s="54" t="str">
        <x:v>T1_SHARED_CATCHMENT</x:v>
      </x:c>
      <x:c r="B430" s="54" t="n">
        <x:v>424</x:v>
      </x:c>
      <x:c r="C430" s="54" t="str">
        <x:v>NYC-V2-R01</x:v>
      </x:c>
      <x:c r="D430" s="54" t="str">
        <x:v>V2</x:v>
      </x:c>
      <x:c r="E430" s="54" t="str">
        <x:v>ADMITTED</x:v>
      </x:c>
      <x:c r="F430" s="55" t="n">
        <x:v>30883</x:v>
      </x:c>
      <x:c r="G430" s="55" t="n">
        <x:v>7641</x:v>
      </x:c>
      <x:c r="H430" s="55" t="n">
        <x:v>3336</x:v>
      </x:c>
      <x:c r="I430" s="55" t="n">
        <x:v>1101</x:v>
      </x:c>
      <x:c r="J430" s="55" t="n">
        <x:v>272</x:v>
      </x:c>
      <x:c r="K430" s="55" t="n">
        <x:v>30883</x:v>
      </x:c>
      <x:c r="L430" s="55" t="n">
        <x:v>5560</x:v>
      </x:c>
      <x:c r="M430" s="55" t="n">
        <x:v>1589</x:v>
      </x:c>
      <x:c r="N430" s="55" t="n">
        <x:v>2532</x:v>
      </x:c>
      <x:c r="O430" s="55" t="n">
        <x:v>1439</x:v>
      </x:c>
      <x:c r="P430" s="55" t="n">
        <x:v>1022</x:v>
      </x:c>
      <x:c r="Q430" s="55" t="n">
        <x:v>2982</x:v>
      </x:c>
      <x:c r="R430" s="55" t="n">
        <x:v>1550</x:v>
      </x:c>
      <x:c r="S430" s="55" t="n">
        <x:v>2576</x:v>
      </x:c>
      <x:c r="T430" s="55" t="n">
        <x:v>746</x:v>
      </x:c>
      <x:c r="U430" s="55" t="n">
        <x:v>1353</x:v>
      </x:c>
      <x:c r="V430" s="55" t="n">
        <x:v>10894</x:v>
      </x:c>
      <x:c r="W430" s="55" t="n">
        <x:v>7892</x:v>
      </x:c>
      <x:c r="X430" s="55" t="n">
        <x:v>3002</x:v>
      </x:c>
      <x:c r="Y430" s="55" t="n">
        <x:v>2713</x:v>
      </x:c>
      <x:c r="Z430" s="55" t="n">
        <x:v>4208</x:v>
      </x:c>
      <x:c r="AA430" s="55" t="n">
        <x:v>3336</x:v>
      </x:c>
      <x:c r="AB430" s="55" t="n">
        <x:v>981</x:v>
      </x:c>
      <x:c r="AC430" s="55" t="n">
        <x:v>7559</x:v>
      </x:c>
      <x:c r="AD430" s="55" t="n">
        <x:v>2956</x:v>
      </x:c>
      <x:c r="AE430" s="55" t="n">
        <x:v>10943</x:v>
      </x:c>
      <x:c r="AF430" s="55" t="n">
        <x:v>10894</x:v>
      </x:c>
      <x:c r="AG430" s="55" t="n">
        <x:v>49</x:v>
      </x:c>
      <x:c r="AH430" s="55" t="n">
        <x:v>434</x:v>
      </x:c>
      <x:c r="AI430" s="55" t="n">
        <x:v>10460</x:v>
      </x:c>
      <x:c r="AJ430" s="55" t="n">
        <x:v>453</x:v>
      </x:c>
      <x:c r="AK430" s="55" t="n">
        <x:v>1355</x:v>
      </x:c>
      <x:c r="AL430" s="55" t="n">
        <x:v>1445</x:v>
      </x:c>
      <x:c r="AM430" s="55" t="n">
        <x:v>5150</x:v>
      </x:c>
      <x:c r="AN430" s="55" t="n">
        <x:v>2428</x:v>
      </x:c>
      <x:c r="AO430" s="55" t="n">
        <x:v>63</x:v>
      </x:c>
      <x:c r="AP430" s="55" t="n">
        <x:v>2301</x:v>
      </x:c>
      <x:c r="AQ430" s="55" t="n">
        <x:v>971</x:v>
      </x:c>
    </x:row>
    <x:row r="431">
      <x:c r="A431" s="54" t="str">
        <x:v>T1_SHARED_CATCHMENT</x:v>
      </x:c>
      <x:c r="B431" s="54" t="n">
        <x:v>425</x:v>
      </x:c>
      <x:c r="C431" s="54" t="str">
        <x:v>NYC-V2-R01</x:v>
      </x:c>
      <x:c r="D431" s="54" t="str">
        <x:v>V2</x:v>
      </x:c>
      <x:c r="E431" s="54" t="str">
        <x:v>ADMITTED</x:v>
      </x:c>
      <x:c r="F431" s="55" t="n">
        <x:v>31109</x:v>
      </x:c>
      <x:c r="G431" s="55" t="n">
        <x:v>7866</x:v>
      </x:c>
      <x:c r="H431" s="55" t="n">
        <x:v>3256</x:v>
      </x:c>
      <x:c r="I431" s="55" t="n">
        <x:v>1208</x:v>
      </x:c>
      <x:c r="J431" s="55" t="n">
        <x:v>135</x:v>
      </x:c>
      <x:c r="K431" s="55" t="n">
        <x:v>31109</x:v>
      </x:c>
      <x:c r="L431" s="55" t="n">
        <x:v>6243</x:v>
      </x:c>
      <x:c r="M431" s="55" t="n">
        <x:v>1144</x:v>
      </x:c>
      <x:c r="N431" s="55" t="n">
        <x:v>2803</x:v>
      </x:c>
      <x:c r="O431" s="55" t="n">
        <x:v>2296</x:v>
      </x:c>
      <x:c r="P431" s="55" t="n">
        <x:v>907</x:v>
      </x:c>
      <x:c r="Q431" s="55" t="n">
        <x:v>2052</x:v>
      </x:c>
      <x:c r="R431" s="55" t="n">
        <x:v>1622</x:v>
      </x:c>
      <x:c r="S431" s="55" t="n">
        <x:v>2517</x:v>
      </x:c>
      <x:c r="T431" s="55" t="n">
        <x:v>1033</x:v>
      </x:c>
      <x:c r="U431" s="55" t="n">
        <x:v>1799</x:v>
      </x:c>
      <x:c r="V431" s="55" t="n">
        <x:v>10437</x:v>
      </x:c>
      <x:c r="W431" s="55" t="n">
        <x:v>6985</x:v>
      </x:c>
      <x:c r="X431" s="55" t="n">
        <x:v>3452</x:v>
      </x:c>
      <x:c r="Y431" s="55" t="n">
        <x:v>3012</x:v>
      </x:c>
      <x:c r="Z431" s="55" t="n">
        <x:v>3692</x:v>
      </x:c>
      <x:c r="AA431" s="55" t="n">
        <x:v>3044</x:v>
      </x:c>
      <x:c r="AB431" s="55" t="n">
        <x:v>1173</x:v>
      </x:c>
      <x:c r="AC431" s="55" t="n">
        <x:v>8339</x:v>
      </x:c>
      <x:c r="AD431" s="55" t="n">
        <x:v>2975</x:v>
      </x:c>
      <x:c r="AE431" s="55" t="n">
        <x:v>10539</x:v>
      </x:c>
      <x:c r="AF431" s="55" t="n">
        <x:v>10437</x:v>
      </x:c>
      <x:c r="AG431" s="55" t="n">
        <x:v>102</x:v>
      </x:c>
      <x:c r="AH431" s="55" t="n">
        <x:v>500</x:v>
      </x:c>
      <x:c r="AI431" s="55" t="n">
        <x:v>9937</x:v>
      </x:c>
      <x:c r="AJ431" s="55" t="n">
        <x:v>262</x:v>
      </x:c>
      <x:c r="AK431" s="55" t="n">
        <x:v>1061</x:v>
      </x:c>
      <x:c r="AL431" s="55" t="n">
        <x:v>1409</x:v>
      </x:c>
      <x:c r="AM431" s="55" t="n">
        <x:v>5394</x:v>
      </x:c>
      <x:c r="AN431" s="55" t="n">
        <x:v>2254</x:v>
      </x:c>
      <x:c r="AO431" s="55" t="n">
        <x:v>57</x:v>
      </x:c>
      <x:c r="AP431" s="55" t="n">
        <x:v>2789</x:v>
      </x:c>
      <x:c r="AQ431" s="55" t="n">
        <x:v>964</x:v>
      </x:c>
    </x:row>
    <x:row r="432">
      <x:c r="A432" s="54" t="str">
        <x:v>T1_SHARED_CATCHMENT</x:v>
      </x:c>
      <x:c r="B432" s="54" t="n">
        <x:v>426</x:v>
      </x:c>
      <x:c r="C432" s="54" t="str">
        <x:v>NYC-V2-R01</x:v>
      </x:c>
      <x:c r="D432" s="54" t="str">
        <x:v>V2</x:v>
      </x:c>
      <x:c r="E432" s="54" t="str">
        <x:v>ADMITTED</x:v>
      </x:c>
      <x:c r="F432" s="55" t="n">
        <x:v>32292</x:v>
      </x:c>
      <x:c r="G432" s="55" t="n">
        <x:v>8142</x:v>
      </x:c>
      <x:c r="H432" s="55" t="n">
        <x:v>3585</x:v>
      </x:c>
      <x:c r="I432" s="55" t="n">
        <x:v>1299</x:v>
      </x:c>
      <x:c r="J432" s="55" t="n">
        <x:v>399</x:v>
      </x:c>
      <x:c r="K432" s="55" t="n">
        <x:v>29731</x:v>
      </x:c>
      <x:c r="L432" s="55" t="n">
        <x:v>5316</x:v>
      </x:c>
      <x:c r="M432" s="55" t="n">
        <x:v>84</x:v>
      </x:c>
      <x:c r="N432" s="55" t="n">
        <x:v>2723</x:v>
      </x:c>
      <x:c r="O432" s="55" t="n">
        <x:v>2509</x:v>
      </x:c>
      <x:c r="P432" s="55" t="n">
        <x:v>937</x:v>
      </x:c>
      <x:c r="Q432" s="55" t="n">
        <x:v>3436</x:v>
      </x:c>
      <x:c r="R432" s="55" t="n">
        <x:v>1976</x:v>
      </x:c>
      <x:c r="S432" s="55" t="n">
        <x:v>2448</x:v>
      </x:c>
      <x:c r="T432" s="55" t="n">
        <x:v>1435</x:v>
      </x:c>
      <x:c r="U432" s="55" t="n">
        <x:v>1677</x:v>
      </x:c>
      <x:c r="V432" s="55" t="n">
        <x:v>11100</x:v>
      </x:c>
      <x:c r="W432" s="55" t="n">
        <x:v>8073</x:v>
      </x:c>
      <x:c r="X432" s="55" t="n">
        <x:v>3027</x:v>
      </x:c>
      <x:c r="Y432" s="55" t="n">
        <x:v>2686</x:v>
      </x:c>
      <x:c r="Z432" s="55" t="n">
        <x:v>4210</x:v>
      </x:c>
      <x:c r="AA432" s="55" t="n">
        <x:v>3344</x:v>
      </x:c>
      <x:c r="AB432" s="55" t="n">
        <x:v>939</x:v>
      </x:c>
      <x:c r="AC432" s="55" t="n">
        <x:v>7814</x:v>
      </x:c>
      <x:c r="AD432" s="55" t="n">
        <x:v>3131</x:v>
      </x:c>
      <x:c r="AE432" s="55" t="n">
        <x:v>11197</x:v>
      </x:c>
      <x:c r="AF432" s="55" t="n">
        <x:v>11100</x:v>
      </x:c>
      <x:c r="AG432" s="55" t="n">
        <x:v>97</x:v>
      </x:c>
      <x:c r="AH432" s="55" t="n">
        <x:v>565</x:v>
      </x:c>
      <x:c r="AI432" s="55" t="n">
        <x:v>10535</x:v>
      </x:c>
      <x:c r="AJ432" s="55" t="n">
        <x:v>497</x:v>
      </x:c>
      <x:c r="AK432" s="55" t="n">
        <x:v>1058</x:v>
      </x:c>
      <x:c r="AL432" s="55" t="n">
        <x:v>1439</x:v>
      </x:c>
      <x:c r="AM432" s="55" t="n">
        <x:v>5272</x:v>
      </x:c>
      <x:c r="AN432" s="55" t="n">
        <x:v>2834</x:v>
      </x:c>
      <x:c r="AO432" s="55" t="n">
        <x:v>0</x:v>
      </x:c>
      <x:c r="AP432" s="55" t="n">
        <x:v>2450</x:v>
      </x:c>
      <x:c r="AQ432" s="55" t="n">
        <x:v>975</x:v>
      </x:c>
    </x:row>
    <x:row r="433">
      <x:c r="A433" s="54" t="str">
        <x:v>T1_SHARED_CATCHMENT</x:v>
      </x:c>
      <x:c r="B433" s="54" t="n">
        <x:v>427</x:v>
      </x:c>
      <x:c r="C433" s="54" t="str">
        <x:v>NYC-V2-R01</x:v>
      </x:c>
      <x:c r="D433" s="54" t="str">
        <x:v>V2</x:v>
      </x:c>
      <x:c r="E433" s="54" t="str">
        <x:v>ADMITTED</x:v>
      </x:c>
      <x:c r="F433" s="55" t="n">
        <x:v>31634</x:v>
      </x:c>
      <x:c r="G433" s="55" t="n">
        <x:v>6998</x:v>
      </x:c>
      <x:c r="H433" s="55" t="n">
        <x:v>4101</x:v>
      </x:c>
      <x:c r="I433" s="55" t="n">
        <x:v>1420</x:v>
      </x:c>
      <x:c r="J433" s="55" t="n">
        <x:v>337</x:v>
      </x:c>
      <x:c r="K433" s="55" t="n">
        <x:v>31634</x:v>
      </x:c>
      <x:c r="L433" s="55" t="n">
        <x:v>6101</x:v>
      </x:c>
      <x:c r="M433" s="55" t="n">
        <x:v>1554</x:v>
      </x:c>
      <x:c r="N433" s="55" t="n">
        <x:v>2805</x:v>
      </x:c>
      <x:c r="O433" s="55" t="n">
        <x:v>1742</x:v>
      </x:c>
      <x:c r="P433" s="55" t="n">
        <x:v>1093</x:v>
      </x:c>
      <x:c r="Q433" s="55" t="n">
        <x:v>2906</x:v>
      </x:c>
      <x:c r="R433" s="55" t="n">
        <x:v>1795</x:v>
      </x:c>
      <x:c r="S433" s="55" t="n">
        <x:v>3150</x:v>
      </x:c>
      <x:c r="T433" s="55" t="n">
        <x:v>1031</x:v>
      </x:c>
      <x:c r="U433" s="55" t="n">
        <x:v>1632</x:v>
      </x:c>
      <x:c r="V433" s="55" t="n">
        <x:v>10169</x:v>
      </x:c>
      <x:c r="W433" s="55" t="n">
        <x:v>7402</x:v>
      </x:c>
      <x:c r="X433" s="55" t="n">
        <x:v>2767</x:v>
      </x:c>
      <x:c r="Y433" s="55" t="n">
        <x:v>2177</x:v>
      </x:c>
      <x:c r="Z433" s="55" t="n">
        <x:v>3731</x:v>
      </x:c>
      <x:c r="AA433" s="55" t="n">
        <x:v>2958</x:v>
      </x:c>
      <x:c r="AB433" s="55" t="n">
        <x:v>1220</x:v>
      </x:c>
      <x:c r="AC433" s="55" t="n">
        <x:v>8120</x:v>
      </x:c>
      <x:c r="AD433" s="55" t="n">
        <x:v>2719</x:v>
      </x:c>
      <x:c r="AE433" s="55" t="n">
        <x:v>10280</x:v>
      </x:c>
      <x:c r="AF433" s="55" t="n">
        <x:v>10169</x:v>
      </x:c>
      <x:c r="AG433" s="55" t="n">
        <x:v>111</x:v>
      </x:c>
      <x:c r="AH433" s="55" t="n">
        <x:v>271</x:v>
      </x:c>
      <x:c r="AI433" s="55" t="n">
        <x:v>9898</x:v>
      </x:c>
      <x:c r="AJ433" s="55" t="n">
        <x:v>271</x:v>
      </x:c>
      <x:c r="AK433" s="55" t="n">
        <x:v>787</x:v>
      </x:c>
      <x:c r="AL433" s="55" t="n">
        <x:v>1535</x:v>
      </x:c>
      <x:c r="AM433" s="55" t="n">
        <x:v>4421</x:v>
      </x:c>
      <x:c r="AN433" s="55" t="n">
        <x:v>3155</x:v>
      </x:c>
      <x:c r="AO433" s="55" t="n">
        <x:v>0</x:v>
      </x:c>
      <x:c r="AP433" s="55" t="n">
        <x:v>2586</x:v>
      </x:c>
      <x:c r="AQ433" s="55" t="n">
        <x:v>1002</x:v>
      </x:c>
    </x:row>
    <x:row r="434">
      <x:c r="A434" s="54" t="str">
        <x:v>T1_SHARED_CATCHMENT</x:v>
      </x:c>
      <x:c r="B434" s="54" t="n">
        <x:v>428</x:v>
      </x:c>
      <x:c r="C434" s="54" t="str">
        <x:v>NYC-V2-R01</x:v>
      </x:c>
      <x:c r="D434" s="54" t="str">
        <x:v>V2</x:v>
      </x:c>
      <x:c r="E434" s="54" t="str">
        <x:v>ADMITTED</x:v>
      </x:c>
      <x:c r="F434" s="55" t="n">
        <x:v>33741</x:v>
      </x:c>
      <x:c r="G434" s="55" t="n">
        <x:v>8357</x:v>
      </x:c>
      <x:c r="H434" s="55" t="n">
        <x:v>3168</x:v>
      </x:c>
      <x:c r="I434" s="55" t="n">
        <x:v>1187</x:v>
      </x:c>
      <x:c r="J434" s="55" t="n">
        <x:v>287</x:v>
      </x:c>
      <x:c r="K434" s="55" t="n">
        <x:v>33741</x:v>
      </x:c>
      <x:c r="L434" s="55" t="n">
        <x:v>6685</x:v>
      </x:c>
      <x:c r="M434" s="55" t="n">
        <x:v>1895</x:v>
      </x:c>
      <x:c r="N434" s="55" t="n">
        <x:v>2735</x:v>
      </x:c>
      <x:c r="O434" s="55" t="n">
        <x:v>2055</x:v>
      </x:c>
      <x:c r="P434" s="55" t="n">
        <x:v>747</x:v>
      </x:c>
      <x:c r="Q434" s="55" t="n">
        <x:v>3371</x:v>
      </x:c>
      <x:c r="R434" s="55" t="n">
        <x:v>1529</x:v>
      </x:c>
      <x:c r="S434" s="55" t="n">
        <x:v>2544</x:v>
      </x:c>
      <x:c r="T434" s="55" t="n">
        <x:v>1404</x:v>
      </x:c>
      <x:c r="U434" s="55" t="n">
        <x:v>2182</x:v>
      </x:c>
      <x:c r="V434" s="55" t="n">
        <x:v>10742</x:v>
      </x:c>
      <x:c r="W434" s="55" t="n">
        <x:v>7289</x:v>
      </x:c>
      <x:c r="X434" s="55" t="n">
        <x:v>3453</x:v>
      </x:c>
      <x:c r="Y434" s="55" t="n">
        <x:v>2958</x:v>
      </x:c>
      <x:c r="Z434" s="55" t="n">
        <x:v>3866</x:v>
      </x:c>
      <x:c r="AA434" s="55" t="n">
        <x:v>2465</x:v>
      </x:c>
      <x:c r="AB434" s="55" t="n">
        <x:v>1163</x:v>
      </x:c>
      <x:c r="AC434" s="55" t="n">
        <x:v>8731</x:v>
      </x:c>
      <x:c r="AD434" s="55" t="n">
        <x:v>2796</x:v>
      </x:c>
      <x:c r="AE434" s="55" t="n">
        <x:v>10877</x:v>
      </x:c>
      <x:c r="AF434" s="55" t="n">
        <x:v>10742</x:v>
      </x:c>
      <x:c r="AG434" s="55" t="n">
        <x:v>135</x:v>
      </x:c>
      <x:c r="AH434" s="55" t="n">
        <x:v>398</x:v>
      </x:c>
      <x:c r="AI434" s="55" t="n">
        <x:v>10344</x:v>
      </x:c>
      <x:c r="AJ434" s="55" t="n">
        <x:v>470</x:v>
      </x:c>
      <x:c r="AK434" s="55" t="n">
        <x:v>989</x:v>
      </x:c>
      <x:c r="AL434" s="55" t="n">
        <x:v>1708</x:v>
      </x:c>
      <x:c r="AM434" s="55" t="n">
        <x:v>5227</x:v>
      </x:c>
      <x:c r="AN434" s="55" t="n">
        <x:v>2348</x:v>
      </x:c>
      <x:c r="AO434" s="55" t="n">
        <x:v>0</x:v>
      </x:c>
      <x:c r="AP434" s="55" t="n">
        <x:v>2322</x:v>
      </x:c>
      <x:c r="AQ434" s="55" t="n">
        <x:v>972</x:v>
      </x:c>
    </x:row>
    <x:row r="435">
      <x:c r="A435" s="54" t="str">
        <x:v>T1_SHARED_CATCHMENT</x:v>
      </x:c>
      <x:c r="B435" s="54" t="n">
        <x:v>429</x:v>
      </x:c>
      <x:c r="C435" s="54" t="str">
        <x:v>NYC-V2-R01</x:v>
      </x:c>
      <x:c r="D435" s="54" t="str">
        <x:v>V2</x:v>
      </x:c>
      <x:c r="E435" s="54" t="str">
        <x:v>ADMITTED</x:v>
      </x:c>
      <x:c r="F435" s="55" t="n">
        <x:v>31967</x:v>
      </x:c>
      <x:c r="G435" s="55" t="n">
        <x:v>7603</x:v>
      </x:c>
      <x:c r="H435" s="55" t="n">
        <x:v>3525</x:v>
      </x:c>
      <x:c r="I435" s="55" t="n">
        <x:v>1450</x:v>
      </x:c>
      <x:c r="J435" s="55" t="n">
        <x:v>175</x:v>
      </x:c>
      <x:c r="K435" s="55" t="n">
        <x:v>31967</x:v>
      </x:c>
      <x:c r="L435" s="55" t="n">
        <x:v>5647</x:v>
      </x:c>
      <x:c r="M435" s="55" t="n">
        <x:v>1521</x:v>
      </x:c>
      <x:c r="N435" s="55" t="n">
        <x:v>2637</x:v>
      </x:c>
      <x:c r="O435" s="55" t="n">
        <x:v>1489</x:v>
      </x:c>
      <x:c r="P435" s="55" t="n">
        <x:v>971</x:v>
      </x:c>
      <x:c r="Q435" s="55" t="n">
        <x:v>2323</x:v>
      </x:c>
      <x:c r="R435" s="55" t="n">
        <x:v>1852</x:v>
      </x:c>
      <x:c r="S435" s="55" t="n">
        <x:v>3053</x:v>
      </x:c>
      <x:c r="T435" s="55" t="n">
        <x:v>787</x:v>
      </x:c>
      <x:c r="U435" s="55" t="n">
        <x:v>1507</x:v>
      </x:c>
      <x:c r="V435" s="55" t="n">
        <x:v>10559</x:v>
      </x:c>
      <x:c r="W435" s="55" t="n">
        <x:v>7586</x:v>
      </x:c>
      <x:c r="X435" s="55" t="n">
        <x:v>2973</x:v>
      </x:c>
      <x:c r="Y435" s="55" t="n">
        <x:v>2510</x:v>
      </x:c>
      <x:c r="Z435" s="55" t="n">
        <x:v>3162</x:v>
      </x:c>
      <x:c r="AA435" s="55" t="n">
        <x:v>3125</x:v>
      </x:c>
      <x:c r="AB435" s="55" t="n">
        <x:v>1046</x:v>
      </x:c>
      <x:c r="AC435" s="55" t="n">
        <x:v>8198</x:v>
      </x:c>
      <x:c r="AD435" s="55" t="n">
        <x:v>3271</x:v>
      </x:c>
      <x:c r="AE435" s="55" t="n">
        <x:v>10630</x:v>
      </x:c>
      <x:c r="AF435" s="55" t="n">
        <x:v>10559</x:v>
      </x:c>
      <x:c r="AG435" s="55" t="n">
        <x:v>71</x:v>
      </x:c>
      <x:c r="AH435" s="55" t="n">
        <x:v>420</x:v>
      </x:c>
      <x:c r="AI435" s="55" t="n">
        <x:v>10139</x:v>
      </x:c>
      <x:c r="AJ435" s="55" t="n">
        <x:v>400</x:v>
      </x:c>
      <x:c r="AK435" s="55" t="n">
        <x:v>944</x:v>
      </x:c>
      <x:c r="AL435" s="55" t="n">
        <x:v>1353</x:v>
      </x:c>
      <x:c r="AM435" s="55" t="n">
        <x:v>5639</x:v>
      </x:c>
      <x:c r="AN435" s="55" t="n">
        <x:v>2223</x:v>
      </x:c>
      <x:c r="AO435" s="55" t="n">
        <x:v>0</x:v>
      </x:c>
      <x:c r="AP435" s="55" t="n">
        <x:v>2579</x:v>
      </x:c>
      <x:c r="AQ435" s="55" t="n">
        <x:v>881</x:v>
      </x:c>
    </x:row>
    <x:row r="436">
      <x:c r="A436" s="54" t="str">
        <x:v>T1_SHARED_CATCHMENT</x:v>
      </x:c>
      <x:c r="B436" s="54" t="n">
        <x:v>430</x:v>
      </x:c>
      <x:c r="C436" s="54" t="str">
        <x:v>NYC-V2-R01</x:v>
      </x:c>
      <x:c r="D436" s="54" t="str">
        <x:v>V2</x:v>
      </x:c>
      <x:c r="E436" s="54" t="str">
        <x:v>ADMITTED</x:v>
      </x:c>
      <x:c r="F436" s="55" t="n">
        <x:v>30663</x:v>
      </x:c>
      <x:c r="G436" s="55" t="n">
        <x:v>7131</x:v>
      </x:c>
      <x:c r="H436" s="55" t="n">
        <x:v>2921</x:v>
      </x:c>
      <x:c r="I436" s="55" t="n">
        <x:v>794</x:v>
      </x:c>
      <x:c r="J436" s="55" t="n">
        <x:v>261</x:v>
      </x:c>
      <x:c r="K436" s="55" t="n">
        <x:v>30663</x:v>
      </x:c>
      <x:c r="L436" s="55" t="n">
        <x:v>4488</x:v>
      </x:c>
      <x:c r="M436" s="55" t="n">
        <x:v>834</x:v>
      </x:c>
      <x:c r="N436" s="55" t="n">
        <x:v>1995</x:v>
      </x:c>
      <x:c r="O436" s="55" t="n">
        <x:v>1659</x:v>
      </x:c>
      <x:c r="P436" s="55" t="n">
        <x:v>698</x:v>
      </x:c>
      <x:c r="Q436" s="55" t="n">
        <x:v>2694</x:v>
      </x:c>
      <x:c r="R436" s="55" t="n">
        <x:v>1916</x:v>
      </x:c>
      <x:c r="S436" s="55" t="n">
        <x:v>2830</x:v>
      </x:c>
      <x:c r="T436" s="55" t="n">
        <x:v>1729</x:v>
      </x:c>
      <x:c r="U436" s="55" t="n">
        <x:v>2178</x:v>
      </x:c>
      <x:c r="V436" s="55" t="n">
        <x:v>10585</x:v>
      </x:c>
      <x:c r="W436" s="55" t="n">
        <x:v>7994</x:v>
      </x:c>
      <x:c r="X436" s="55" t="n">
        <x:v>2591</x:v>
      </x:c>
      <x:c r="Y436" s="55" t="n">
        <x:v>2177</x:v>
      </x:c>
      <x:c r="Z436" s="55" t="n">
        <x:v>3462</x:v>
      </x:c>
      <x:c r="AA436" s="55" t="n">
        <x:v>2921</x:v>
      </x:c>
      <x:c r="AB436" s="55" t="n">
        <x:v>1082</x:v>
      </x:c>
      <x:c r="AC436" s="55" t="n">
        <x:v>7944</x:v>
      </x:c>
      <x:c r="AD436" s="55" t="n">
        <x:v>3008</x:v>
      </x:c>
      <x:c r="AE436" s="55" t="n">
        <x:v>10627</x:v>
      </x:c>
      <x:c r="AF436" s="55" t="n">
        <x:v>10585</x:v>
      </x:c>
      <x:c r="AG436" s="55" t="n">
        <x:v>42</x:v>
      </x:c>
      <x:c r="AH436" s="55" t="n">
        <x:v>581</x:v>
      </x:c>
      <x:c r="AI436" s="55" t="n">
        <x:v>10004</x:v>
      </x:c>
      <x:c r="AJ436" s="55" t="n">
        <x:v>337</x:v>
      </x:c>
      <x:c r="AK436" s="55" t="n">
        <x:v>1393</x:v>
      </x:c>
      <x:c r="AL436" s="55" t="n">
        <x:v>1334</x:v>
      </x:c>
      <x:c r="AM436" s="55" t="n">
        <x:v>4513</x:v>
      </x:c>
      <x:c r="AN436" s="55" t="n">
        <x:v>2985</x:v>
      </x:c>
      <x:c r="AO436" s="55" t="n">
        <x:v>23</x:v>
      </x:c>
      <x:c r="AP436" s="55" t="n">
        <x:v>2173</x:v>
      </x:c>
      <x:c r="AQ436" s="55" t="n">
        <x:v>950</x:v>
      </x:c>
    </x:row>
    <x:row r="437">
      <x:c r="A437" s="54" t="str">
        <x:v>T1_SHARED_CATCHMENT</x:v>
      </x:c>
      <x:c r="B437" s="54" t="n">
        <x:v>431</x:v>
      </x:c>
      <x:c r="C437" s="54" t="str">
        <x:v>NYC-V2-R01</x:v>
      </x:c>
      <x:c r="D437" s="54" t="str">
        <x:v>V2</x:v>
      </x:c>
      <x:c r="E437" s="54" t="str">
        <x:v>ADMITTED</x:v>
      </x:c>
      <x:c r="F437" s="55" t="n">
        <x:v>32526</x:v>
      </x:c>
      <x:c r="G437" s="55" t="n">
        <x:v>7571</x:v>
      </x:c>
      <x:c r="H437" s="55" t="n">
        <x:v>3106</x:v>
      </x:c>
      <x:c r="I437" s="55" t="n">
        <x:v>812</x:v>
      </x:c>
      <x:c r="J437" s="55" t="n">
        <x:v>148</x:v>
      </x:c>
      <x:c r="K437" s="55" t="n">
        <x:v>32526</x:v>
      </x:c>
      <x:c r="L437" s="55" t="n">
        <x:v>5848</x:v>
      </x:c>
      <x:c r="M437" s="55" t="n">
        <x:v>974</x:v>
      </x:c>
      <x:c r="N437" s="55" t="n">
        <x:v>2462</x:v>
      </x:c>
      <x:c r="O437" s="55" t="n">
        <x:v>2412</x:v>
      </x:c>
      <x:c r="P437" s="55" t="n">
        <x:v>993</x:v>
      </x:c>
      <x:c r="Q437" s="55" t="n">
        <x:v>2830</x:v>
      </x:c>
      <x:c r="R437" s="55" t="n">
        <x:v>1790</x:v>
      </x:c>
      <x:c r="S437" s="55" t="n">
        <x:v>2795</x:v>
      </x:c>
      <x:c r="T437" s="55" t="n">
        <x:v>1577</x:v>
      </x:c>
      <x:c r="U437" s="55" t="n">
        <x:v>2085</x:v>
      </x:c>
      <x:c r="V437" s="55" t="n">
        <x:v>9986</x:v>
      </x:c>
      <x:c r="W437" s="55" t="n">
        <x:v>7174</x:v>
      </x:c>
      <x:c r="X437" s="55" t="n">
        <x:v>2812</x:v>
      </x:c>
      <x:c r="Y437" s="55" t="n">
        <x:v>2629</x:v>
      </x:c>
      <x:c r="Z437" s="55" t="n">
        <x:v>3590</x:v>
      </x:c>
      <x:c r="AA437" s="55" t="n">
        <x:v>3106</x:v>
      </x:c>
      <x:c r="AB437" s="55" t="n">
        <x:v>1181</x:v>
      </x:c>
      <x:c r="AC437" s="55" t="n">
        <x:v>8601</x:v>
      </x:c>
      <x:c r="AD437" s="55" t="n">
        <x:v>2526</x:v>
      </x:c>
      <x:c r="AE437" s="55" t="n">
        <x:v>10069</x:v>
      </x:c>
      <x:c r="AF437" s="55" t="n">
        <x:v>9986</x:v>
      </x:c>
      <x:c r="AG437" s="55" t="n">
        <x:v>83</x:v>
      </x:c>
      <x:c r="AH437" s="55" t="n">
        <x:v>328</x:v>
      </x:c>
      <x:c r="AI437" s="55" t="n">
        <x:v>9658</x:v>
      </x:c>
      <x:c r="AJ437" s="55" t="n">
        <x:v>514</x:v>
      </x:c>
      <x:c r="AK437" s="55" t="n">
        <x:v>797</x:v>
      </x:c>
      <x:c r="AL437" s="55" t="n">
        <x:v>1473</x:v>
      </x:c>
      <x:c r="AM437" s="55" t="n">
        <x:v>4953</x:v>
      </x:c>
      <x:c r="AN437" s="55" t="n">
        <x:v>2249</x:v>
      </x:c>
      <x:c r="AO437" s="55" t="n">
        <x:v>0</x:v>
      </x:c>
      <x:c r="AP437" s="55" t="n">
        <x:v>2807</x:v>
      </x:c>
      <x:c r="AQ437" s="55" t="n">
        <x:v>949</x:v>
      </x:c>
    </x:row>
    <x:row r="438">
      <x:c r="A438" s="54" t="str">
        <x:v>T1_SHARED_CATCHMENT</x:v>
      </x:c>
      <x:c r="B438" s="54" t="n">
        <x:v>432</x:v>
      </x:c>
      <x:c r="C438" s="54" t="str">
        <x:v>NYC-V2-R01</x:v>
      </x:c>
      <x:c r="D438" s="54" t="str">
        <x:v>V2</x:v>
      </x:c>
      <x:c r="E438" s="54" t="str">
        <x:v>ADMITTED</x:v>
      </x:c>
      <x:c r="F438" s="55" t="n">
        <x:v>30413</x:v>
      </x:c>
      <x:c r="G438" s="55" t="n">
        <x:v>8442</x:v>
      </x:c>
      <x:c r="H438" s="55" t="n">
        <x:v>3519</x:v>
      </x:c>
      <x:c r="I438" s="55" t="n">
        <x:v>1621</x:v>
      </x:c>
      <x:c r="J438" s="55" t="n">
        <x:v>329</x:v>
      </x:c>
      <x:c r="K438" s="55" t="n">
        <x:v>30413</x:v>
      </x:c>
      <x:c r="L438" s="55" t="n">
        <x:v>6538</x:v>
      </x:c>
      <x:c r="M438" s="55" t="n">
        <x:v>1722</x:v>
      </x:c>
      <x:c r="N438" s="55" t="n">
        <x:v>2989</x:v>
      </x:c>
      <x:c r="O438" s="55" t="n">
        <x:v>1827</x:v>
      </x:c>
      <x:c r="P438" s="55" t="n">
        <x:v>1310</x:v>
      </x:c>
      <x:c r="Q438" s="55" t="n">
        <x:v>2528</x:v>
      </x:c>
      <x:c r="R438" s="55" t="n">
        <x:v>1636</x:v>
      </x:c>
      <x:c r="S438" s="55" t="n">
        <x:v>3367</x:v>
      </x:c>
      <x:c r="T438" s="55" t="n">
        <x:v>1648</x:v>
      </x:c>
      <x:c r="U438" s="55" t="n">
        <x:v>2807</x:v>
      </x:c>
      <x:c r="V438" s="55" t="n">
        <x:v>10705</x:v>
      </x:c>
      <x:c r="W438" s="55" t="n">
        <x:v>7561</x:v>
      </x:c>
      <x:c r="X438" s="55" t="n">
        <x:v>3144</x:v>
      </x:c>
      <x:c r="Y438" s="55" t="n">
        <x:v>2742</x:v>
      </x:c>
      <x:c r="Z438" s="55" t="n">
        <x:v>4213</x:v>
      </x:c>
      <x:c r="AA438" s="55" t="n">
        <x:v>3519</x:v>
      </x:c>
      <x:c r="AB438" s="55" t="n">
        <x:v>1247</x:v>
      </x:c>
      <x:c r="AC438" s="55" t="n">
        <x:v>8458</x:v>
      </x:c>
      <x:c r="AD438" s="55" t="n">
        <x:v>2687</x:v>
      </x:c>
      <x:c r="AE438" s="55" t="n">
        <x:v>10774</x:v>
      </x:c>
      <x:c r="AF438" s="55" t="n">
        <x:v>10705</x:v>
      </x:c>
      <x:c r="AG438" s="55" t="n">
        <x:v>69</x:v>
      </x:c>
      <x:c r="AH438" s="55" t="n">
        <x:v>687</x:v>
      </x:c>
      <x:c r="AI438" s="55" t="n">
        <x:v>10018</x:v>
      </x:c>
      <x:c r="AJ438" s="55" t="n">
        <x:v>315</x:v>
      </x:c>
      <x:c r="AK438" s="55" t="n">
        <x:v>1084</x:v>
      </x:c>
      <x:c r="AL438" s="55" t="n">
        <x:v>1901</x:v>
      </x:c>
      <x:c r="AM438" s="55" t="n">
        <x:v>4767</x:v>
      </x:c>
      <x:c r="AN438" s="55" t="n">
        <x:v>2585</x:v>
      </x:c>
      <x:c r="AO438" s="55" t="n">
        <x:v>53</x:v>
      </x:c>
      <x:c r="AP438" s="55" t="n">
        <x:v>2378</x:v>
      </x:c>
      <x:c r="AQ438" s="55" t="n">
        <x:v>961</x:v>
      </x:c>
    </x:row>
    <x:row r="439">
      <x:c r="A439" s="54" t="str">
        <x:v>T1_SHARED_CATCHMENT</x:v>
      </x:c>
      <x:c r="B439" s="54" t="n">
        <x:v>433</x:v>
      </x:c>
      <x:c r="C439" s="54" t="str">
        <x:v>NYC-V2-R01</x:v>
      </x:c>
      <x:c r="D439" s="54" t="str">
        <x:v>V2</x:v>
      </x:c>
      <x:c r="E439" s="54" t="str">
        <x:v>ADMITTED</x:v>
      </x:c>
      <x:c r="F439" s="55" t="n">
        <x:v>30104</x:v>
      </x:c>
      <x:c r="G439" s="55" t="n">
        <x:v>7710</x:v>
      </x:c>
      <x:c r="H439" s="55" t="n">
        <x:v>3651</x:v>
      </x:c>
      <x:c r="I439" s="55" t="n">
        <x:v>926</x:v>
      </x:c>
      <x:c r="J439" s="55" t="n">
        <x:v>414</x:v>
      </x:c>
      <x:c r="K439" s="55" t="n">
        <x:v>30104</x:v>
      </x:c>
      <x:c r="L439" s="55" t="n">
        <x:v>6369</x:v>
      </x:c>
      <x:c r="M439" s="55" t="n">
        <x:v>2479</x:v>
      </x:c>
      <x:c r="N439" s="55" t="n">
        <x:v>2474</x:v>
      </x:c>
      <x:c r="O439" s="55" t="n">
        <x:v>1416</x:v>
      </x:c>
      <x:c r="P439" s="55" t="n">
        <x:v>256</x:v>
      </x:c>
      <x:c r="Q439" s="55" t="n">
        <x:v>2205</x:v>
      </x:c>
      <x:c r="R439" s="55" t="n">
        <x:v>1354</x:v>
      </x:c>
      <x:c r="S439" s="55" t="n">
        <x:v>1528</x:v>
      </x:c>
      <x:c r="T439" s="55" t="n">
        <x:v>1031</x:v>
      </x:c>
      <x:c r="U439" s="55" t="n">
        <x:v>1039</x:v>
      </x:c>
      <x:c r="V439" s="55" t="n">
        <x:v>10360</x:v>
      </x:c>
      <x:c r="W439" s="55" t="n">
        <x:v>7273</x:v>
      </x:c>
      <x:c r="X439" s="55" t="n">
        <x:v>3087</x:v>
      </x:c>
      <x:c r="Y439" s="55" t="n">
        <x:v>2811</x:v>
      </x:c>
      <x:c r="Z439" s="55" t="n">
        <x:v>3253</x:v>
      </x:c>
      <x:c r="AA439" s="55" t="n">
        <x:v>3651</x:v>
      </x:c>
      <x:c r="AB439" s="55" t="n">
        <x:v>1347</x:v>
      </x:c>
      <x:c r="AC439" s="55" t="n">
        <x:v>8543</x:v>
      </x:c>
      <x:c r="AD439" s="55" t="n">
        <x:v>3503</x:v>
      </x:c>
      <x:c r="AE439" s="55" t="n">
        <x:v>10432</x:v>
      </x:c>
      <x:c r="AF439" s="55" t="n">
        <x:v>10360</x:v>
      </x:c>
      <x:c r="AG439" s="55" t="n">
        <x:v>72</x:v>
      </x:c>
      <x:c r="AH439" s="55" t="n">
        <x:v>507</x:v>
      </x:c>
      <x:c r="AI439" s="55" t="n">
        <x:v>9853</x:v>
      </x:c>
      <x:c r="AJ439" s="55" t="n">
        <x:v>195</x:v>
      </x:c>
      <x:c r="AK439" s="55" t="n">
        <x:v>1047</x:v>
      </x:c>
      <x:c r="AL439" s="55" t="n">
        <x:v>1675</x:v>
      </x:c>
      <x:c r="AM439" s="55" t="n">
        <x:v>4134</x:v>
      </x:c>
      <x:c r="AN439" s="55" t="n">
        <x:v>3270</x:v>
      </x:c>
      <x:c r="AO439" s="55" t="n">
        <x:v>39</x:v>
      </x:c>
      <x:c r="AP439" s="55" t="n">
        <x:v>1976</x:v>
      </x:c>
      <x:c r="AQ439" s="55" t="n">
        <x:v>986</x:v>
      </x:c>
    </x:row>
    <x:row r="440">
      <x:c r="A440" s="54" t="str">
        <x:v>T1_SHARED_CATCHMENT</x:v>
      </x:c>
      <x:c r="B440" s="54" t="n">
        <x:v>434</x:v>
      </x:c>
      <x:c r="C440" s="54" t="str">
        <x:v>NYC-V2-R01</x:v>
      </x:c>
      <x:c r="D440" s="54" t="str">
        <x:v>V2</x:v>
      </x:c>
      <x:c r="E440" s="54" t="str">
        <x:v>ADMITTED</x:v>
      </x:c>
      <x:c r="F440" s="55" t="n">
        <x:v>30458</x:v>
      </x:c>
      <x:c r="G440" s="55" t="n">
        <x:v>7137</x:v>
      </x:c>
      <x:c r="H440" s="55" t="n">
        <x:v>3277</x:v>
      </x:c>
      <x:c r="I440" s="55" t="n">
        <x:v>1141</x:v>
      </x:c>
      <x:c r="J440" s="55" t="n">
        <x:v>391</x:v>
      </x:c>
      <x:c r="K440" s="55" t="n">
        <x:v>30192</x:v>
      </x:c>
      <x:c r="L440" s="55" t="n">
        <x:v>6279</x:v>
      </x:c>
      <x:c r="M440" s="55" t="n">
        <x:v>2186</x:v>
      </x:c>
      <x:c r="N440" s="55" t="n">
        <x:v>2608</x:v>
      </x:c>
      <x:c r="O440" s="55" t="n">
        <x:v>1485</x:v>
      </x:c>
      <x:c r="P440" s="55" t="n">
        <x:v>791</x:v>
      </x:c>
      <x:c r="Q440" s="55" t="n">
        <x:v>2304</x:v>
      </x:c>
      <x:c r="R440" s="55" t="n">
        <x:v>2161</x:v>
      </x:c>
      <x:c r="S440" s="55" t="n">
        <x:v>2667</x:v>
      </x:c>
      <x:c r="T440" s="55" t="n">
        <x:v>1409</x:v>
      </x:c>
      <x:c r="U440" s="55" t="n">
        <x:v>1808</x:v>
      </x:c>
      <x:c r="V440" s="55" t="n">
        <x:v>9747</x:v>
      </x:c>
      <x:c r="W440" s="55" t="n">
        <x:v>6949</x:v>
      </x:c>
      <x:c r="X440" s="55" t="n">
        <x:v>2798</x:v>
      </x:c>
      <x:c r="Y440" s="55" t="n">
        <x:v>2408</x:v>
      </x:c>
      <x:c r="Z440" s="55" t="n">
        <x:v>3994</x:v>
      </x:c>
      <x:c r="AA440" s="55" t="n">
        <x:v>2938</x:v>
      </x:c>
      <x:c r="AB440" s="55" t="n">
        <x:v>723</x:v>
      </x:c>
      <x:c r="AC440" s="55" t="n">
        <x:v>7993</x:v>
      </x:c>
      <x:c r="AD440" s="55" t="n">
        <x:v>3007</x:v>
      </x:c>
      <x:c r="AE440" s="55" t="n">
        <x:v>9888</x:v>
      </x:c>
      <x:c r="AF440" s="55" t="n">
        <x:v>9747</x:v>
      </x:c>
      <x:c r="AG440" s="55" t="n">
        <x:v>141</x:v>
      </x:c>
      <x:c r="AH440" s="55" t="n">
        <x:v>106</x:v>
      </x:c>
      <x:c r="AI440" s="55" t="n">
        <x:v>9641</x:v>
      </x:c>
      <x:c r="AJ440" s="55" t="n">
        <x:v>416</x:v>
      </x:c>
      <x:c r="AK440" s="55" t="n">
        <x:v>939</x:v>
      </x:c>
      <x:c r="AL440" s="55" t="n">
        <x:v>1609</x:v>
      </x:c>
      <x:c r="AM440" s="55" t="n">
        <x:v>4247</x:v>
      </x:c>
      <x:c r="AN440" s="55" t="n">
        <x:v>2536</x:v>
      </x:c>
      <x:c r="AO440" s="55" t="n">
        <x:v>0</x:v>
      </x:c>
      <x:c r="AP440" s="55" t="n">
        <x:v>1768</x:v>
      </x:c>
      <x:c r="AQ440" s="55" t="n">
        <x:v>939</x:v>
      </x:c>
    </x:row>
    <x:row r="441">
      <x:c r="A441" s="54" t="str">
        <x:v>T1_SHARED_CATCHMENT</x:v>
      </x:c>
      <x:c r="B441" s="54" t="n">
        <x:v>435</x:v>
      </x:c>
      <x:c r="C441" s="54" t="str">
        <x:v>NYC-V2-R01</x:v>
      </x:c>
      <x:c r="D441" s="54" t="str">
        <x:v>V2</x:v>
      </x:c>
      <x:c r="E441" s="54" t="str">
        <x:v>ADMITTED</x:v>
      </x:c>
      <x:c r="F441" s="55" t="n">
        <x:v>31359</x:v>
      </x:c>
      <x:c r="G441" s="55" t="n">
        <x:v>6976</x:v>
      </x:c>
      <x:c r="H441" s="55" t="n">
        <x:v>3474</x:v>
      </x:c>
      <x:c r="I441" s="55" t="n">
        <x:v>908</x:v>
      </x:c>
      <x:c r="J441" s="55" t="n">
        <x:v>201</x:v>
      </x:c>
      <x:c r="K441" s="55" t="n">
        <x:v>30363</x:v>
      </x:c>
      <x:c r="L441" s="55" t="n">
        <x:v>4298</x:v>
      </x:c>
      <x:c r="M441" s="55" t="n">
        <x:v>497</x:v>
      </x:c>
      <x:c r="N441" s="55" t="n">
        <x:v>2178</x:v>
      </x:c>
      <x:c r="O441" s="55" t="n">
        <x:v>1623</x:v>
      </x:c>
      <x:c r="P441" s="55" t="n">
        <x:v>858</x:v>
      </x:c>
      <x:c r="Q441" s="55" t="n">
        <x:v>1751</x:v>
      </x:c>
      <x:c r="R441" s="55" t="n">
        <x:v>1148</x:v>
      </x:c>
      <x:c r="S441" s="55" t="n">
        <x:v>2527</x:v>
      </x:c>
      <x:c r="T441" s="55" t="n">
        <x:v>1019</x:v>
      </x:c>
      <x:c r="U441" s="55" t="n">
        <x:v>1933</x:v>
      </x:c>
      <x:c r="V441" s="55" t="n">
        <x:v>10839</x:v>
      </x:c>
      <x:c r="W441" s="55" t="n">
        <x:v>7793</x:v>
      </x:c>
      <x:c r="X441" s="55" t="n">
        <x:v>3046</x:v>
      </x:c>
      <x:c r="Y441" s="55" t="n">
        <x:v>2800</x:v>
      </x:c>
      <x:c r="Z441" s="55" t="n">
        <x:v>4123</x:v>
      </x:c>
      <x:c r="AA441" s="55" t="n">
        <x:v>3474</x:v>
      </x:c>
      <x:c r="AB441" s="55" t="n">
        <x:v>1308</x:v>
      </x:c>
      <x:c r="AC441" s="55" t="n">
        <x:v>8068</x:v>
      </x:c>
      <x:c r="AD441" s="55" t="n">
        <x:v>2804</x:v>
      </x:c>
      <x:c r="AE441" s="55" t="n">
        <x:v>10930</x:v>
      </x:c>
      <x:c r="AF441" s="55" t="n">
        <x:v>10839</x:v>
      </x:c>
      <x:c r="AG441" s="55" t="n">
        <x:v>91</x:v>
      </x:c>
      <x:c r="AH441" s="55" t="n">
        <x:v>592</x:v>
      </x:c>
      <x:c r="AI441" s="55" t="n">
        <x:v>10247</x:v>
      </x:c>
      <x:c r="AJ441" s="55" t="n">
        <x:v>292</x:v>
      </x:c>
      <x:c r="AK441" s="55" t="n">
        <x:v>843</x:v>
      </x:c>
      <x:c r="AL441" s="55" t="n">
        <x:v>1482</x:v>
      </x:c>
      <x:c r="AM441" s="55" t="n">
        <x:v>5082</x:v>
      </x:c>
      <x:c r="AN441" s="55" t="n">
        <x:v>3118</x:v>
      </x:c>
      <x:c r="AO441" s="55" t="n">
        <x:v>22</x:v>
      </x:c>
      <x:c r="AP441" s="55" t="n">
        <x:v>1854</x:v>
      </x:c>
      <x:c r="AQ441" s="55" t="n">
        <x:v>927</x:v>
      </x:c>
    </x:row>
    <x:row r="442">
      <x:c r="A442" s="54" t="str">
        <x:v>T1_SHARED_CATCHMENT</x:v>
      </x:c>
      <x:c r="B442" s="54" t="n">
        <x:v>436</x:v>
      </x:c>
      <x:c r="C442" s="54" t="str">
        <x:v>NYC-V2-R01</x:v>
      </x:c>
      <x:c r="D442" s="54" t="str">
        <x:v>V2</x:v>
      </x:c>
      <x:c r="E442" s="54" t="str">
        <x:v>ADMITTED</x:v>
      </x:c>
      <x:c r="F442" s="55" t="n">
        <x:v>30638</x:v>
      </x:c>
      <x:c r="G442" s="55" t="n">
        <x:v>8096</x:v>
      </x:c>
      <x:c r="H442" s="55" t="n">
        <x:v>3361</x:v>
      </x:c>
      <x:c r="I442" s="55" t="n">
        <x:v>1280</x:v>
      </x:c>
      <x:c r="J442" s="55" t="n">
        <x:v>273</x:v>
      </x:c>
      <x:c r="K442" s="55" t="n">
        <x:v>29715</x:v>
      </x:c>
      <x:c r="L442" s="55" t="n">
        <x:v>6963</x:v>
      </x:c>
      <x:c r="M442" s="55" t="n">
        <x:v>1740</x:v>
      </x:c>
      <x:c r="N442" s="55" t="n">
        <x:v>3115</x:v>
      </x:c>
      <x:c r="O442" s="55" t="n">
        <x:v>2108</x:v>
      </x:c>
      <x:c r="P442" s="55" t="n">
        <x:v>866</x:v>
      </x:c>
      <x:c r="Q442" s="55" t="n">
        <x:v>1981</x:v>
      </x:c>
      <x:c r="R442" s="55" t="n">
        <x:v>2444</x:v>
      </x:c>
      <x:c r="S442" s="55" t="n">
        <x:v>3029</x:v>
      </x:c>
      <x:c r="T442" s="55" t="n">
        <x:v>1114</x:v>
      </x:c>
      <x:c r="U442" s="55" t="n">
        <x:v>1762</x:v>
      </x:c>
      <x:c r="V442" s="55" t="n">
        <x:v>10210</x:v>
      </x:c>
      <x:c r="W442" s="55" t="n">
        <x:v>7360</x:v>
      </x:c>
      <x:c r="X442" s="55" t="n">
        <x:v>2850</x:v>
      </x:c>
      <x:c r="Y442" s="55" t="n">
        <x:v>2335</x:v>
      </x:c>
      <x:c r="Z442" s="55" t="n">
        <x:v>3973</x:v>
      </x:c>
      <x:c r="AA442" s="55" t="n">
        <x:v>3190</x:v>
      </x:c>
      <x:c r="AB442" s="55" t="n">
        <x:v>1066</x:v>
      </x:c>
      <x:c r="AC442" s="55" t="n">
        <x:v>7598</x:v>
      </x:c>
      <x:c r="AD442" s="55" t="n">
        <x:v>2655</x:v>
      </x:c>
      <x:c r="AE442" s="55" t="n">
        <x:v>10391</x:v>
      </x:c>
      <x:c r="AF442" s="55" t="n">
        <x:v>10210</x:v>
      </x:c>
      <x:c r="AG442" s="55" t="n">
        <x:v>181</x:v>
      </x:c>
      <x:c r="AH442" s="55" t="n">
        <x:v>301</x:v>
      </x:c>
      <x:c r="AI442" s="55" t="n">
        <x:v>9909</x:v>
      </x:c>
      <x:c r="AJ442" s="55" t="n">
        <x:v>309</x:v>
      </x:c>
      <x:c r="AK442" s="55" t="n">
        <x:v>1141</x:v>
      </x:c>
      <x:c r="AL442" s="55" t="n">
        <x:v>1256</x:v>
      </x:c>
      <x:c r="AM442" s="55" t="n">
        <x:v>4491</x:v>
      </x:c>
      <x:c r="AN442" s="55" t="n">
        <x:v>2918</x:v>
      </x:c>
      <x:c r="AO442" s="55" t="n">
        <x:v>95</x:v>
      </x:c>
      <x:c r="AP442" s="55" t="n">
        <x:v>2806</x:v>
      </x:c>
      <x:c r="AQ442" s="55" t="n">
        <x:v>963</x:v>
      </x:c>
    </x:row>
    <x:row r="443">
      <x:c r="A443" s="54" t="str">
        <x:v>T1_SHARED_CATCHMENT</x:v>
      </x:c>
      <x:c r="B443" s="54" t="n">
        <x:v>437</x:v>
      </x:c>
      <x:c r="C443" s="54" t="str">
        <x:v>NYC-V2-R01</x:v>
      </x:c>
      <x:c r="D443" s="54" t="str">
        <x:v>V2</x:v>
      </x:c>
      <x:c r="E443" s="54" t="str">
        <x:v>ADMITTED</x:v>
      </x:c>
      <x:c r="F443" s="55" t="n">
        <x:v>31586</x:v>
      </x:c>
      <x:c r="G443" s="55" t="n">
        <x:v>6631</x:v>
      </x:c>
      <x:c r="H443" s="55" t="n">
        <x:v>3212</x:v>
      </x:c>
      <x:c r="I443" s="55" t="n">
        <x:v>1234</x:v>
      </x:c>
      <x:c r="J443" s="55" t="n">
        <x:v>169</x:v>
      </x:c>
      <x:c r="K443" s="55" t="n">
        <x:v>31586</x:v>
      </x:c>
      <x:c r="L443" s="55" t="n">
        <x:v>5507</x:v>
      </x:c>
      <x:c r="M443" s="55" t="n">
        <x:v>1157</x:v>
      </x:c>
      <x:c r="N443" s="55" t="n">
        <x:v>3004</x:v>
      </x:c>
      <x:c r="O443" s="55" t="n">
        <x:v>1346</x:v>
      </x:c>
      <x:c r="P443" s="55" t="n">
        <x:v>800</x:v>
      </x:c>
      <x:c r="Q443" s="55" t="n">
        <x:v>2295</x:v>
      </x:c>
      <x:c r="R443" s="55" t="n">
        <x:v>2184</x:v>
      </x:c>
      <x:c r="S443" s="55" t="n">
        <x:v>2497</x:v>
      </x:c>
      <x:c r="T443" s="55" t="n">
        <x:v>1581</x:v>
      </x:c>
      <x:c r="U443" s="55" t="n">
        <x:v>2014</x:v>
      </x:c>
      <x:c r="V443" s="55" t="n">
        <x:v>9805</x:v>
      </x:c>
      <x:c r="W443" s="55" t="n">
        <x:v>7067</x:v>
      </x:c>
      <x:c r="X443" s="55" t="n">
        <x:v>2738</x:v>
      </x:c>
      <x:c r="Y443" s="55" t="n">
        <x:v>2231</x:v>
      </x:c>
      <x:c r="Z443" s="55" t="n">
        <x:v>4239</x:v>
      </x:c>
      <x:c r="AA443" s="55" t="n">
        <x:v>2548</x:v>
      </x:c>
      <x:c r="AB443" s="55" t="n">
        <x:v>529</x:v>
      </x:c>
      <x:c r="AC443" s="55" t="n">
        <x:v>8254</x:v>
      </x:c>
      <x:c r="AD443" s="55" t="n">
        <x:v>3630</x:v>
      </x:c>
      <x:c r="AE443" s="55" t="n">
        <x:v>9984</x:v>
      </x:c>
      <x:c r="AF443" s="55" t="n">
        <x:v>9805</x:v>
      </x:c>
      <x:c r="AG443" s="55" t="n">
        <x:v>179</x:v>
      </x:c>
      <x:c r="AH443" s="55" t="n">
        <x:v>369</x:v>
      </x:c>
      <x:c r="AI443" s="55" t="n">
        <x:v>9436</x:v>
      </x:c>
      <x:c r="AJ443" s="55" t="n">
        <x:v>221</x:v>
      </x:c>
      <x:c r="AK443" s="55" t="n">
        <x:v>488</x:v>
      </x:c>
      <x:c r="AL443" s="55" t="n">
        <x:v>1403</x:v>
      </x:c>
      <x:c r="AM443" s="55" t="n">
        <x:v>5160</x:v>
      </x:c>
      <x:c r="AN443" s="55" t="n">
        <x:v>2533</x:v>
      </x:c>
      <x:c r="AO443" s="55" t="n">
        <x:v>0</x:v>
      </x:c>
      <x:c r="AP443" s="55" t="n">
        <x:v>2228</x:v>
      </x:c>
      <x:c r="AQ443" s="55" t="n">
        <x:v>966</x:v>
      </x:c>
    </x:row>
    <x:row r="444">
      <x:c r="A444" s="54" t="str">
        <x:v>T1_SHARED_CATCHMENT</x:v>
      </x:c>
      <x:c r="B444" s="54" t="n">
        <x:v>438</x:v>
      </x:c>
      <x:c r="C444" s="54" t="str">
        <x:v>NYC-V2-R01</x:v>
      </x:c>
      <x:c r="D444" s="54" t="str">
        <x:v>V2</x:v>
      </x:c>
      <x:c r="E444" s="54" t="str">
        <x:v>ADMITTED</x:v>
      </x:c>
      <x:c r="F444" s="55" t="n">
        <x:v>33797</x:v>
      </x:c>
      <x:c r="G444" s="55" t="n">
        <x:v>7310</x:v>
      </x:c>
      <x:c r="H444" s="55" t="n">
        <x:v>2833</x:v>
      </x:c>
      <x:c r="I444" s="55" t="n">
        <x:v>1118</x:v>
      </x:c>
      <x:c r="J444" s="55" t="n">
        <x:v>195</x:v>
      </x:c>
      <x:c r="K444" s="55" t="n">
        <x:v>33797</x:v>
      </x:c>
      <x:c r="L444" s="55" t="n">
        <x:v>5934</x:v>
      </x:c>
      <x:c r="M444" s="55" t="n">
        <x:v>1612</x:v>
      </x:c>
      <x:c r="N444" s="55" t="n">
        <x:v>2463</x:v>
      </x:c>
      <x:c r="O444" s="55" t="n">
        <x:v>1859</x:v>
      </x:c>
      <x:c r="P444" s="55" t="n">
        <x:v>678</x:v>
      </x:c>
      <x:c r="Q444" s="55" t="n">
        <x:v>2287</x:v>
      </x:c>
      <x:c r="R444" s="55" t="n">
        <x:v>1944</x:v>
      </x:c>
      <x:c r="S444" s="55" t="n">
        <x:v>2906</x:v>
      </x:c>
      <x:c r="T444" s="55" t="n">
        <x:v>1015</x:v>
      </x:c>
      <x:c r="U444" s="55" t="n">
        <x:v>1812</x:v>
      </x:c>
      <x:c r="V444" s="55" t="n">
        <x:v>10921</x:v>
      </x:c>
      <x:c r="W444" s="55" t="n">
        <x:v>8051</x:v>
      </x:c>
      <x:c r="X444" s="55" t="n">
        <x:v>2870</x:v>
      </x:c>
      <x:c r="Y444" s="55" t="n">
        <x:v>2271</x:v>
      </x:c>
      <x:c r="Z444" s="55" t="n">
        <x:v>3659</x:v>
      </x:c>
      <x:c r="AA444" s="55" t="n">
        <x:v>2812</x:v>
      </x:c>
      <x:c r="AB444" s="55" t="n">
        <x:v>987</x:v>
      </x:c>
      <x:c r="AC444" s="55" t="n">
        <x:v>8330</x:v>
      </x:c>
      <x:c r="AD444" s="55" t="n">
        <x:v>3112</x:v>
      </x:c>
      <x:c r="AE444" s="55" t="n">
        <x:v>10921</x:v>
      </x:c>
      <x:c r="AF444" s="55" t="n">
        <x:v>10921</x:v>
      </x:c>
      <x:c r="AG444" s="55" t="n">
        <x:v>0</x:v>
      </x:c>
      <x:c r="AH444" s="55" t="n">
        <x:v>312</x:v>
      </x:c>
      <x:c r="AI444" s="55" t="n">
        <x:v>10609</x:v>
      </x:c>
      <x:c r="AJ444" s="55" t="n">
        <x:v>243</x:v>
      </x:c>
      <x:c r="AK444" s="55" t="n">
        <x:v>1046</x:v>
      </x:c>
      <x:c r="AL444" s="55" t="n">
        <x:v>1818</x:v>
      </x:c>
      <x:c r="AM444" s="55" t="n">
        <x:v>4598</x:v>
      </x:c>
      <x:c r="AN444" s="55" t="n">
        <x:v>3216</x:v>
      </x:c>
      <x:c r="AO444" s="55" t="n">
        <x:v>0</x:v>
      </x:c>
      <x:c r="AP444" s="55" t="n">
        <x:v>1679</x:v>
      </x:c>
      <x:c r="AQ444" s="55" t="n">
        <x:v>958</x:v>
      </x:c>
    </x:row>
    <x:row r="445">
      <x:c r="A445" s="54" t="str">
        <x:v>T1_SHARED_CATCHMENT</x:v>
      </x:c>
      <x:c r="B445" s="54" t="n">
        <x:v>439</x:v>
      </x:c>
      <x:c r="C445" s="54" t="str">
        <x:v>NYC-V2-R01</x:v>
      </x:c>
      <x:c r="D445" s="54" t="str">
        <x:v>V2</x:v>
      </x:c>
      <x:c r="E445" s="54" t="str">
        <x:v>ADMITTED</x:v>
      </x:c>
      <x:c r="F445" s="55" t="n">
        <x:v>33412</x:v>
      </x:c>
      <x:c r="G445" s="55" t="n">
        <x:v>7800</x:v>
      </x:c>
      <x:c r="H445" s="55" t="n">
        <x:v>3084</x:v>
      </x:c>
      <x:c r="I445" s="55" t="n">
        <x:v>962</x:v>
      </x:c>
      <x:c r="J445" s="55" t="n">
        <x:v>151</x:v>
      </x:c>
      <x:c r="K445" s="55" t="n">
        <x:v>33412</x:v>
      </x:c>
      <x:c r="L445" s="55" t="n">
        <x:v>7872</x:v>
      </x:c>
      <x:c r="M445" s="55" t="n">
        <x:v>2594</x:v>
      </x:c>
      <x:c r="N445" s="55" t="n">
        <x:v>3200</x:v>
      </x:c>
      <x:c r="O445" s="55" t="n">
        <x:v>2078</x:v>
      </x:c>
      <x:c r="P445" s="55" t="n">
        <x:v>736</x:v>
      </x:c>
      <x:c r="Q445" s="55" t="n">
        <x:v>3174</x:v>
      </x:c>
      <x:c r="R445" s="55" t="n">
        <x:v>1793</x:v>
      </x:c>
      <x:c r="S445" s="55" t="n">
        <x:v>3421</x:v>
      </x:c>
      <x:c r="T445" s="55" t="n">
        <x:v>1633</x:v>
      </x:c>
      <x:c r="U445" s="55" t="n">
        <x:v>1749</x:v>
      </x:c>
      <x:c r="V445" s="55" t="n">
        <x:v>9948</x:v>
      </x:c>
      <x:c r="W445" s="55" t="n">
        <x:v>6953</x:v>
      </x:c>
      <x:c r="X445" s="55" t="n">
        <x:v>2995</x:v>
      </x:c>
      <x:c r="Y445" s="55" t="n">
        <x:v>2717</x:v>
      </x:c>
      <x:c r="Z445" s="55" t="n">
        <x:v>3845</x:v>
      </x:c>
      <x:c r="AA445" s="55" t="n">
        <x:v>3084</x:v>
      </x:c>
      <x:c r="AB445" s="55" t="n">
        <x:v>1062</x:v>
      </x:c>
      <x:c r="AC445" s="55" t="n">
        <x:v>7456</x:v>
      </x:c>
      <x:c r="AD445" s="55" t="n">
        <x:v>2173</x:v>
      </x:c>
      <x:c r="AE445" s="55" t="n">
        <x:v>10081</x:v>
      </x:c>
      <x:c r="AF445" s="55" t="n">
        <x:v>9948</x:v>
      </x:c>
      <x:c r="AG445" s="55" t="n">
        <x:v>133</x:v>
      </x:c>
      <x:c r="AH445" s="55" t="n">
        <x:v>397</x:v>
      </x:c>
      <x:c r="AI445" s="55" t="n">
        <x:v>9551</x:v>
      </x:c>
      <x:c r="AJ445" s="55" t="n">
        <x:v>295</x:v>
      </x:c>
      <x:c r="AK445" s="55" t="n">
        <x:v>1293</x:v>
      </x:c>
      <x:c r="AL445" s="55" t="n">
        <x:v>1664</x:v>
      </x:c>
      <x:c r="AM445" s="55" t="n">
        <x:v>4530</x:v>
      </x:c>
      <x:c r="AN445" s="55" t="n">
        <x:v>2095</x:v>
      </x:c>
      <x:c r="AO445" s="55" t="n">
        <x:v>71</x:v>
      </x:c>
      <x:c r="AP445" s="55" t="n">
        <x:v>2145</x:v>
      </x:c>
      <x:c r="AQ445" s="55" t="n">
        <x:v>964</x:v>
      </x:c>
    </x:row>
    <x:row r="446">
      <x:c r="A446" s="54" t="str">
        <x:v>T1_SHARED_CATCHMENT</x:v>
      </x:c>
      <x:c r="B446" s="54" t="n">
        <x:v>440</x:v>
      </x:c>
      <x:c r="C446" s="54" t="str">
        <x:v>NYC-V2-R01</x:v>
      </x:c>
      <x:c r="D446" s="54" t="str">
        <x:v>V2</x:v>
      </x:c>
      <x:c r="E446" s="54" t="str">
        <x:v>ADMITTED</x:v>
      </x:c>
      <x:c r="F446" s="55" t="n">
        <x:v>31362</x:v>
      </x:c>
      <x:c r="G446" s="55" t="n">
        <x:v>7698</x:v>
      </x:c>
      <x:c r="H446" s="55" t="n">
        <x:v>3372</x:v>
      </x:c>
      <x:c r="I446" s="55" t="n">
        <x:v>1184</x:v>
      </x:c>
      <x:c r="J446" s="55" t="n">
        <x:v>344</x:v>
      </x:c>
      <x:c r="K446" s="55" t="n">
        <x:v>31362</x:v>
      </x:c>
      <x:c r="L446" s="55" t="n">
        <x:v>6062</x:v>
      </x:c>
      <x:c r="M446" s="55" t="n">
        <x:v>1066</x:v>
      </x:c>
      <x:c r="N446" s="55" t="n">
        <x:v>2656</x:v>
      </x:c>
      <x:c r="O446" s="55" t="n">
        <x:v>2340</x:v>
      </x:c>
      <x:c r="P446" s="55" t="n">
        <x:v>755</x:v>
      </x:c>
      <x:c r="Q446" s="55" t="n">
        <x:v>2440</x:v>
      </x:c>
      <x:c r="R446" s="55" t="n">
        <x:v>1095</x:v>
      </x:c>
      <x:c r="S446" s="55" t="n">
        <x:v>2837</x:v>
      </x:c>
      <x:c r="T446" s="55" t="n">
        <x:v>1444</x:v>
      </x:c>
      <x:c r="U446" s="55" t="n">
        <x:v>1962</x:v>
      </x:c>
      <x:c r="V446" s="55" t="n">
        <x:v>11055</x:v>
      </x:c>
      <x:c r="W446" s="55" t="n">
        <x:v>8079</x:v>
      </x:c>
      <x:c r="X446" s="55" t="n">
        <x:v>2976</x:v>
      </x:c>
      <x:c r="Y446" s="55" t="n">
        <x:v>2432</x:v>
      </x:c>
      <x:c r="Z446" s="55" t="n">
        <x:v>4319</x:v>
      </x:c>
      <x:c r="AA446" s="55" t="n">
        <x:v>3372</x:v>
      </x:c>
      <x:c r="AB446" s="55" t="n">
        <x:v>1232</x:v>
      </x:c>
      <x:c r="AC446" s="55" t="n">
        <x:v>8376</x:v>
      </x:c>
      <x:c r="AD446" s="55" t="n">
        <x:v>3439</x:v>
      </x:c>
      <x:c r="AE446" s="55" t="n">
        <x:v>11144</x:v>
      </x:c>
      <x:c r="AF446" s="55" t="n">
        <x:v>11055</x:v>
      </x:c>
      <x:c r="AG446" s="55" t="n">
        <x:v>89</x:v>
      </x:c>
      <x:c r="AH446" s="55" t="n">
        <x:v>680</x:v>
      </x:c>
      <x:c r="AI446" s="55" t="n">
        <x:v>10375</x:v>
      </x:c>
      <x:c r="AJ446" s="55" t="n">
        <x:v>595</x:v>
      </x:c>
      <x:c r="AK446" s="55" t="n">
        <x:v>1061</x:v>
      </x:c>
      <x:c r="AL446" s="55" t="n">
        <x:v>1662</x:v>
      </x:c>
      <x:c r="AM446" s="55" t="n">
        <x:v>4980</x:v>
      </x:c>
      <x:c r="AN446" s="55" t="n">
        <x:v>2753</x:v>
      </x:c>
      <x:c r="AO446" s="55" t="n">
        <x:v>4</x:v>
      </x:c>
      <x:c r="AP446" s="55" t="n">
        <x:v>2474</x:v>
      </x:c>
      <x:c r="AQ446" s="55" t="n">
        <x:v>990</x:v>
      </x:c>
    </x:row>
    <x:row r="447">
      <x:c r="A447" s="54" t="str">
        <x:v>T1_SHARED_CATCHMENT</x:v>
      </x:c>
      <x:c r="B447" s="54" t="n">
        <x:v>441</x:v>
      </x:c>
      <x:c r="C447" s="54" t="str">
        <x:v>NYC-V2-R01</x:v>
      </x:c>
      <x:c r="D447" s="54" t="str">
        <x:v>V2</x:v>
      </x:c>
      <x:c r="E447" s="54" t="str">
        <x:v>ADMITTED</x:v>
      </x:c>
      <x:c r="F447" s="55" t="n">
        <x:v>29548</x:v>
      </x:c>
      <x:c r="G447" s="55" t="n">
        <x:v>6372</x:v>
      </x:c>
      <x:c r="H447" s="55" t="n">
        <x:v>2846</x:v>
      </x:c>
      <x:c r="I447" s="55" t="n">
        <x:v>1174</x:v>
      </x:c>
      <x:c r="J447" s="55" t="n">
        <x:v>99</x:v>
      </x:c>
      <x:c r="K447" s="55" t="n">
        <x:v>29548</x:v>
      </x:c>
      <x:c r="L447" s="55" t="n">
        <x:v>5383</x:v>
      </x:c>
      <x:c r="M447" s="55" t="n">
        <x:v>695</x:v>
      </x:c>
      <x:c r="N447" s="55" t="n">
        <x:v>2613</x:v>
      </x:c>
      <x:c r="O447" s="55" t="n">
        <x:v>2075</x:v>
      </x:c>
      <x:c r="P447" s="55" t="n">
        <x:v>704</x:v>
      </x:c>
      <x:c r="Q447" s="55" t="n">
        <x:v>2914</x:v>
      </x:c>
      <x:c r="R447" s="55" t="n">
        <x:v>1595</x:v>
      </x:c>
      <x:c r="S447" s="55" t="n">
        <x:v>2580</x:v>
      </x:c>
      <x:c r="T447" s="55" t="n">
        <x:v>840</x:v>
      </x:c>
      <x:c r="U447" s="55" t="n">
        <x:v>1875</x:v>
      </x:c>
      <x:c r="V447" s="55" t="n">
        <x:v>10677</x:v>
      </x:c>
      <x:c r="W447" s="55" t="n">
        <x:v>7908</x:v>
      </x:c>
      <x:c r="X447" s="55" t="n">
        <x:v>2769</x:v>
      </x:c>
      <x:c r="Y447" s="55" t="n">
        <x:v>2458</x:v>
      </x:c>
      <x:c r="Z447" s="55" t="n">
        <x:v>4103</x:v>
      </x:c>
      <x:c r="AA447" s="55" t="n">
        <x:v>2563</x:v>
      </x:c>
      <x:c r="AB447" s="55" t="n">
        <x:v>1218</x:v>
      </x:c>
      <x:c r="AC447" s="55" t="n">
        <x:v>7873</x:v>
      </x:c>
      <x:c r="AD447" s="55" t="n">
        <x:v>2879</x:v>
      </x:c>
      <x:c r="AE447" s="55" t="n">
        <x:v>10702</x:v>
      </x:c>
      <x:c r="AF447" s="55" t="n">
        <x:v>10677</x:v>
      </x:c>
      <x:c r="AG447" s="55" t="n">
        <x:v>25</x:v>
      </x:c>
      <x:c r="AH447" s="55" t="n">
        <x:v>340</x:v>
      </x:c>
      <x:c r="AI447" s="55" t="n">
        <x:v>10337</x:v>
      </x:c>
      <x:c r="AJ447" s="55" t="n">
        <x:v>368</x:v>
      </x:c>
      <x:c r="AK447" s="55" t="n">
        <x:v>1258</x:v>
      </x:c>
      <x:c r="AL447" s="55" t="n">
        <x:v>1500</x:v>
      </x:c>
      <x:c r="AM447" s="55" t="n">
        <x:v>4989</x:v>
      </x:c>
      <x:c r="AN447" s="55" t="n">
        <x:v>2562</x:v>
      </x:c>
      <x:c r="AO447" s="55" t="n">
        <x:v>0</x:v>
      </x:c>
      <x:c r="AP447" s="55" t="n">
        <x:v>1778</x:v>
      </x:c>
      <x:c r="AQ447" s="55" t="n">
        <x:v>923</x:v>
      </x:c>
    </x:row>
    <x:row r="448">
      <x:c r="A448" s="54" t="str">
        <x:v>T1_SHARED_CATCHMENT</x:v>
      </x:c>
      <x:c r="B448" s="54" t="n">
        <x:v>442</x:v>
      </x:c>
      <x:c r="C448" s="54" t="str">
        <x:v>NYC-V2-R01</x:v>
      </x:c>
      <x:c r="D448" s="54" t="str">
        <x:v>V2</x:v>
      </x:c>
      <x:c r="E448" s="54" t="str">
        <x:v>ADMITTED</x:v>
      </x:c>
      <x:c r="F448" s="55" t="n">
        <x:v>29314</x:v>
      </x:c>
      <x:c r="G448" s="55" t="n">
        <x:v>6685</x:v>
      </x:c>
      <x:c r="H448" s="55" t="n">
        <x:v>4053</x:v>
      </x:c>
      <x:c r="I448" s="55" t="n">
        <x:v>1861</x:v>
      </x:c>
      <x:c r="J448" s="55" t="n">
        <x:v>359</x:v>
      </x:c>
      <x:c r="K448" s="55" t="n">
        <x:v>29314</x:v>
      </x:c>
      <x:c r="L448" s="55" t="n">
        <x:v>5554</x:v>
      </x:c>
      <x:c r="M448" s="55" t="n">
        <x:v>1842</x:v>
      </x:c>
      <x:c r="N448" s="55" t="n">
        <x:v>2419</x:v>
      </x:c>
      <x:c r="O448" s="55" t="n">
        <x:v>1293</x:v>
      </x:c>
      <x:c r="P448" s="55" t="n">
        <x:v>1201</x:v>
      </x:c>
      <x:c r="Q448" s="55" t="n">
        <x:v>2101</x:v>
      </x:c>
      <x:c r="R448" s="55" t="n">
        <x:v>1993</x:v>
      </x:c>
      <x:c r="S448" s="55" t="n">
        <x:v>2151</x:v>
      </x:c>
      <x:c r="T448" s="55" t="n">
        <x:v>1340</x:v>
      </x:c>
      <x:c r="U448" s="55" t="n">
        <x:v>1689</x:v>
      </x:c>
      <x:c r="V448" s="55" t="n">
        <x:v>10744</x:v>
      </x:c>
      <x:c r="W448" s="55" t="n">
        <x:v>7669</x:v>
      </x:c>
      <x:c r="X448" s="55" t="n">
        <x:v>3075</x:v>
      </x:c>
      <x:c r="Y448" s="55" t="n">
        <x:v>2727</x:v>
      </x:c>
      <x:c r="Z448" s="55" t="n">
        <x:v>3727</x:v>
      </x:c>
      <x:c r="AA448" s="55" t="n">
        <x:v>3663</x:v>
      </x:c>
      <x:c r="AB448" s="55" t="n">
        <x:v>1432</x:v>
      </x:c>
      <x:c r="AC448" s="55" t="n">
        <x:v>7834</x:v>
      </x:c>
      <x:c r="AD448" s="55" t="n">
        <x:v>3497</x:v>
      </x:c>
      <x:c r="AE448" s="55" t="n">
        <x:v>10779</x:v>
      </x:c>
      <x:c r="AF448" s="55" t="n">
        <x:v>10744</x:v>
      </x:c>
      <x:c r="AG448" s="55" t="n">
        <x:v>35</x:v>
      </x:c>
      <x:c r="AH448" s="55" t="n">
        <x:v>482</x:v>
      </x:c>
      <x:c r="AI448" s="55" t="n">
        <x:v>10262</x:v>
      </x:c>
      <x:c r="AJ448" s="55" t="n">
        <x:v>199</x:v>
      </x:c>
      <x:c r="AK448" s="55" t="n">
        <x:v>870</x:v>
      </x:c>
      <x:c r="AL448" s="55" t="n">
        <x:v>1515</x:v>
      </x:c>
      <x:c r="AM448" s="55" t="n">
        <x:v>5288</x:v>
      </x:c>
      <x:c r="AN448" s="55" t="n">
        <x:v>2872</x:v>
      </x:c>
      <x:c r="AO448" s="55" t="n">
        <x:v>0</x:v>
      </x:c>
      <x:c r="AP448" s="55" t="n">
        <x:v>2196</x:v>
      </x:c>
      <x:c r="AQ448" s="55" t="n">
        <x:v>950</x:v>
      </x:c>
    </x:row>
    <x:row r="449">
      <x:c r="A449" s="54" t="str">
        <x:v>T1_SHARED_CATCHMENT</x:v>
      </x:c>
      <x:c r="B449" s="54" t="n">
        <x:v>443</x:v>
      </x:c>
      <x:c r="C449" s="54" t="str">
        <x:v>NYC-V2-R01</x:v>
      </x:c>
      <x:c r="D449" s="54" t="str">
        <x:v>V2</x:v>
      </x:c>
      <x:c r="E449" s="54" t="str">
        <x:v>ADMITTED</x:v>
      </x:c>
      <x:c r="F449" s="55" t="n">
        <x:v>31410</x:v>
      </x:c>
      <x:c r="G449" s="55" t="n">
        <x:v>7958</x:v>
      </x:c>
      <x:c r="H449" s="55" t="n">
        <x:v>3432</x:v>
      </x:c>
      <x:c r="I449" s="55" t="n">
        <x:v>1318</x:v>
      </x:c>
      <x:c r="J449" s="55" t="n">
        <x:v>141</x:v>
      </x:c>
      <x:c r="K449" s="55" t="n">
        <x:v>29463</x:v>
      </x:c>
      <x:c r="L449" s="55" t="n">
        <x:v>5297</x:v>
      </x:c>
      <x:c r="M449" s="55" t="n">
        <x:v>411</x:v>
      </x:c>
      <x:c r="N449" s="55" t="n">
        <x:v>3304</x:v>
      </x:c>
      <x:c r="O449" s="55" t="n">
        <x:v>1582</x:v>
      </x:c>
      <x:c r="P449" s="55" t="n">
        <x:v>968</x:v>
      </x:c>
      <x:c r="Q449" s="55" t="n">
        <x:v>2866</x:v>
      </x:c>
      <x:c r="R449" s="55" t="n">
        <x:v>1954</x:v>
      </x:c>
      <x:c r="S449" s="55" t="n">
        <x:v>2762</x:v>
      </x:c>
      <x:c r="T449" s="55" t="n">
        <x:v>1591</x:v>
      </x:c>
      <x:c r="U449" s="55" t="n">
        <x:v>2081</x:v>
      </x:c>
      <x:c r="V449" s="55" t="n">
        <x:v>10838</x:v>
      </x:c>
      <x:c r="W449" s="55" t="n">
        <x:v>7516</x:v>
      </x:c>
      <x:c r="X449" s="55" t="n">
        <x:v>3322</x:v>
      </x:c>
      <x:c r="Y449" s="55" t="n">
        <x:v>2952</x:v>
      </x:c>
      <x:c r="Z449" s="55" t="n">
        <x:v>3842</x:v>
      </x:c>
      <x:c r="AA449" s="55" t="n">
        <x:v>2869</x:v>
      </x:c>
      <x:c r="AB449" s="55" t="n">
        <x:v>675</x:v>
      </x:c>
      <x:c r="AC449" s="55" t="n">
        <x:v>8877</x:v>
      </x:c>
      <x:c r="AD449" s="55" t="n">
        <x:v>3182</x:v>
      </x:c>
      <x:c r="AE449" s="55" t="n">
        <x:v>10925</x:v>
      </x:c>
      <x:c r="AF449" s="55" t="n">
        <x:v>10838</x:v>
      </x:c>
      <x:c r="AG449" s="55" t="n">
        <x:v>87</x:v>
      </x:c>
      <x:c r="AH449" s="55" t="n">
        <x:v>443</x:v>
      </x:c>
      <x:c r="AI449" s="55" t="n">
        <x:v>10395</x:v>
      </x:c>
      <x:c r="AJ449" s="55" t="n">
        <x:v>285</x:v>
      </x:c>
      <x:c r="AK449" s="55" t="n">
        <x:v>1144</x:v>
      </x:c>
      <x:c r="AL449" s="55" t="n">
        <x:v>1717</x:v>
      </x:c>
      <x:c r="AM449" s="55" t="n">
        <x:v>4979</x:v>
      </x:c>
      <x:c r="AN449" s="55" t="n">
        <x:v>2664</x:v>
      </x:c>
      <x:c r="AO449" s="55" t="n">
        <x:v>49</x:v>
      </x:c>
      <x:c r="AP449" s="55" t="n">
        <x:v>2265</x:v>
      </x:c>
      <x:c r="AQ449" s="55" t="n">
        <x:v>966</x:v>
      </x:c>
    </x:row>
    <x:row r="450">
      <x:c r="A450" s="54" t="str">
        <x:v>T1_SHARED_CATCHMENT</x:v>
      </x:c>
      <x:c r="B450" s="54" t="n">
        <x:v>444</x:v>
      </x:c>
      <x:c r="C450" s="54" t="str">
        <x:v>NYC-V2-R01</x:v>
      </x:c>
      <x:c r="D450" s="54" t="str">
        <x:v>V2</x:v>
      </x:c>
      <x:c r="E450" s="54" t="str">
        <x:v>ADMITTED</x:v>
      </x:c>
      <x:c r="F450" s="55" t="n">
        <x:v>31069</x:v>
      </x:c>
      <x:c r="G450" s="55" t="n">
        <x:v>8517</x:v>
      </x:c>
      <x:c r="H450" s="55" t="n">
        <x:v>3166</x:v>
      </x:c>
      <x:c r="I450" s="55" t="n">
        <x:v>1543</x:v>
      </x:c>
      <x:c r="J450" s="55" t="n">
        <x:v>313</x:v>
      </x:c>
      <x:c r="K450" s="55" t="n">
        <x:v>28790</x:v>
      </x:c>
      <x:c r="L450" s="55" t="n">
        <x:v>5063</x:v>
      </x:c>
      <x:c r="M450" s="55" t="n">
        <x:v>1311</x:v>
      </x:c>
      <x:c r="N450" s="55" t="n">
        <x:v>2702</x:v>
      </x:c>
      <x:c r="O450" s="55" t="n">
        <x:v>1050</x:v>
      </x:c>
      <x:c r="P450" s="55" t="n">
        <x:v>481</x:v>
      </x:c>
      <x:c r="Q450" s="55" t="n">
        <x:v>1683</x:v>
      </x:c>
      <x:c r="R450" s="55" t="n">
        <x:v>1845</x:v>
      </x:c>
      <x:c r="S450" s="55" t="n">
        <x:v>2490</x:v>
      </x:c>
      <x:c r="T450" s="55" t="n">
        <x:v>1372</x:v>
      </x:c>
      <x:c r="U450" s="55" t="n">
        <x:v>1771</x:v>
      </x:c>
      <x:c r="V450" s="55" t="n">
        <x:v>10596</x:v>
      </x:c>
      <x:c r="W450" s="55" t="n">
        <x:v>7744</x:v>
      </x:c>
      <x:c r="X450" s="55" t="n">
        <x:v>2852</x:v>
      </x:c>
      <x:c r="Y450" s="55" t="n">
        <x:v>2435</x:v>
      </x:c>
      <x:c r="Z450" s="55" t="n">
        <x:v>4011</x:v>
      </x:c>
      <x:c r="AA450" s="55" t="n">
        <x:v>3166</x:v>
      </x:c>
      <x:c r="AB450" s="55" t="n">
        <x:v>1315</x:v>
      </x:c>
      <x:c r="AC450" s="55" t="n">
        <x:v>8250</x:v>
      </x:c>
      <x:c r="AD450" s="55" t="n">
        <x:v>3076</x:v>
      </x:c>
      <x:c r="AE450" s="55" t="n">
        <x:v>10706</x:v>
      </x:c>
      <x:c r="AF450" s="55" t="n">
        <x:v>10596</x:v>
      </x:c>
      <x:c r="AG450" s="55" t="n">
        <x:v>110</x:v>
      </x:c>
      <x:c r="AH450" s="55" t="n">
        <x:v>408</x:v>
      </x:c>
      <x:c r="AI450" s="55" t="n">
        <x:v>10188</x:v>
      </x:c>
      <x:c r="AJ450" s="55" t="n">
        <x:v>359</x:v>
      </x:c>
      <x:c r="AK450" s="55" t="n">
        <x:v>1107</x:v>
      </x:c>
      <x:c r="AL450" s="55" t="n">
        <x:v>1009</x:v>
      </x:c>
      <x:c r="AM450" s="55" t="n">
        <x:v>5354</x:v>
      </x:c>
      <x:c r="AN450" s="55" t="n">
        <x:v>2763</x:v>
      </x:c>
      <x:c r="AO450" s="55" t="n">
        <x:v>4</x:v>
      </x:c>
      <x:c r="AP450" s="55" t="n">
        <x:v>2127</x:v>
      </x:c>
      <x:c r="AQ450" s="55" t="n">
        <x:v>1003</x:v>
      </x:c>
    </x:row>
    <x:row r="451">
      <x:c r="A451" s="54" t="str">
        <x:v>T1_SHARED_CATCHMENT</x:v>
      </x:c>
      <x:c r="B451" s="54" t="n">
        <x:v>445</x:v>
      </x:c>
      <x:c r="C451" s="54" t="str">
        <x:v>NYC-V2-R01</x:v>
      </x:c>
      <x:c r="D451" s="54" t="str">
        <x:v>V2</x:v>
      </x:c>
      <x:c r="E451" s="54" t="str">
        <x:v>ADMITTED</x:v>
      </x:c>
      <x:c r="F451" s="55" t="n">
        <x:v>31557</x:v>
      </x:c>
      <x:c r="G451" s="55" t="n">
        <x:v>6327</x:v>
      </x:c>
      <x:c r="H451" s="55" t="n">
        <x:v>3849</x:v>
      </x:c>
      <x:c r="I451" s="55" t="n">
        <x:v>1703</x:v>
      </x:c>
      <x:c r="J451" s="55" t="n">
        <x:v>298</x:v>
      </x:c>
      <x:c r="K451" s="55" t="n">
        <x:v>31557</x:v>
      </x:c>
      <x:c r="L451" s="55" t="n">
        <x:v>7252</x:v>
      </x:c>
      <x:c r="M451" s="55" t="n">
        <x:v>2206</x:v>
      </x:c>
      <x:c r="N451" s="55" t="n">
        <x:v>2723</x:v>
      </x:c>
      <x:c r="O451" s="55" t="n">
        <x:v>2323</x:v>
      </x:c>
      <x:c r="P451" s="55" t="n">
        <x:v>942</x:v>
      </x:c>
      <x:c r="Q451" s="55" t="n">
        <x:v>2365</x:v>
      </x:c>
      <x:c r="R451" s="55" t="n">
        <x:v>2301</x:v>
      </x:c>
      <x:c r="S451" s="55" t="n">
        <x:v>3133</x:v>
      </x:c>
      <x:c r="T451" s="55" t="n">
        <x:v>1225</x:v>
      </x:c>
      <x:c r="U451" s="55" t="n">
        <x:v>2030</x:v>
      </x:c>
      <x:c r="V451" s="55" t="n">
        <x:v>10670</x:v>
      </x:c>
      <x:c r="W451" s="55" t="n">
        <x:v>7724</x:v>
      </x:c>
      <x:c r="X451" s="55" t="n">
        <x:v>2946</x:v>
      </x:c>
      <x:c r="Y451" s="55" t="n">
        <x:v>2579</x:v>
      </x:c>
      <x:c r="Z451" s="55" t="n">
        <x:v>3765</x:v>
      </x:c>
      <x:c r="AA451" s="55" t="n">
        <x:v>3359</x:v>
      </x:c>
      <x:c r="AB451" s="55" t="n">
        <x:v>1322</x:v>
      </x:c>
      <x:c r="AC451" s="55" t="n">
        <x:v>8079</x:v>
      </x:c>
      <x:c r="AD451" s="55" t="n">
        <x:v>2896</x:v>
      </x:c>
      <x:c r="AE451" s="55" t="n">
        <x:v>10749</x:v>
      </x:c>
      <x:c r="AF451" s="55" t="n">
        <x:v>10670</x:v>
      </x:c>
      <x:c r="AG451" s="55" t="n">
        <x:v>79</x:v>
      </x:c>
      <x:c r="AH451" s="55" t="n">
        <x:v>537</x:v>
      </x:c>
      <x:c r="AI451" s="55" t="n">
        <x:v>10133</x:v>
      </x:c>
      <x:c r="AJ451" s="55" t="n">
        <x:v>300</x:v>
      </x:c>
      <x:c r="AK451" s="55" t="n">
        <x:v>1089</x:v>
      </x:c>
      <x:c r="AL451" s="55" t="n">
        <x:v>1569</x:v>
      </x:c>
      <x:c r="AM451" s="55" t="n">
        <x:v>5417</x:v>
      </x:c>
      <x:c r="AN451" s="55" t="n">
        <x:v>2239</x:v>
      </x:c>
      <x:c r="AO451" s="55" t="n">
        <x:v>56</x:v>
      </x:c>
      <x:c r="AP451" s="55" t="n">
        <x:v>2229</x:v>
      </x:c>
      <x:c r="AQ451" s="55" t="n">
        <x:v>960</x:v>
      </x:c>
    </x:row>
    <x:row r="452">
      <x:c r="A452" s="54" t="str">
        <x:v>T1_SHARED_CATCHMENT</x:v>
      </x:c>
      <x:c r="B452" s="54" t="n">
        <x:v>446</x:v>
      </x:c>
      <x:c r="C452" s="54" t="str">
        <x:v>NYC-V2-R01</x:v>
      </x:c>
      <x:c r="D452" s="54" t="str">
        <x:v>V2</x:v>
      </x:c>
      <x:c r="E452" s="54" t="str">
        <x:v>ADMITTED</x:v>
      </x:c>
      <x:c r="F452" s="55" t="n">
        <x:v>30395</x:v>
      </x:c>
      <x:c r="G452" s="55" t="n">
        <x:v>8139</x:v>
      </x:c>
      <x:c r="H452" s="55" t="n">
        <x:v>3342</x:v>
      </x:c>
      <x:c r="I452" s="55" t="n">
        <x:v>1213</x:v>
      </x:c>
      <x:c r="J452" s="55" t="n">
        <x:v>209</x:v>
      </x:c>
      <x:c r="K452" s="55" t="n">
        <x:v>30255</x:v>
      </x:c>
      <x:c r="L452" s="55" t="n">
        <x:v>6678</x:v>
      </x:c>
      <x:c r="M452" s="55" t="n">
        <x:v>2085</x:v>
      </x:c>
      <x:c r="N452" s="55" t="n">
        <x:v>2939</x:v>
      </x:c>
      <x:c r="O452" s="55" t="n">
        <x:v>1654</x:v>
      </x:c>
      <x:c r="P452" s="55" t="n">
        <x:v>682</x:v>
      </x:c>
      <x:c r="Q452" s="55" t="n">
        <x:v>958</x:v>
      </x:c>
      <x:c r="R452" s="55" t="n">
        <x:v>2703</x:v>
      </x:c>
      <x:c r="S452" s="55" t="n">
        <x:v>2635</x:v>
      </x:c>
      <x:c r="T452" s="55" t="n">
        <x:v>1201</x:v>
      </x:c>
      <x:c r="U452" s="55" t="n">
        <x:v>2360</x:v>
      </x:c>
      <x:c r="V452" s="55" t="n">
        <x:v>10507</x:v>
      </x:c>
      <x:c r="W452" s="55" t="n">
        <x:v>7610</x:v>
      </x:c>
      <x:c r="X452" s="55" t="n">
        <x:v>2897</x:v>
      </x:c>
      <x:c r="Y452" s="55" t="n">
        <x:v>2542</x:v>
      </x:c>
      <x:c r="Z452" s="55" t="n">
        <x:v>3420</x:v>
      </x:c>
      <x:c r="AA452" s="55" t="n">
        <x:v>3342</x:v>
      </x:c>
      <x:c r="AB452" s="55" t="n">
        <x:v>1582</x:v>
      </x:c>
      <x:c r="AC452" s="55" t="n">
        <x:v>8502</x:v>
      </x:c>
      <x:c r="AD452" s="55" t="n">
        <x:v>2693</x:v>
      </x:c>
      <x:c r="AE452" s="55" t="n">
        <x:v>10576</x:v>
      </x:c>
      <x:c r="AF452" s="55" t="n">
        <x:v>10507</x:v>
      </x:c>
      <x:c r="AG452" s="55" t="n">
        <x:v>69</x:v>
      </x:c>
      <x:c r="AH452" s="55" t="n">
        <x:v>469</x:v>
      </x:c>
      <x:c r="AI452" s="55" t="n">
        <x:v>10038</x:v>
      </x:c>
      <x:c r="AJ452" s="55" t="n">
        <x:v>0</x:v>
      </x:c>
      <x:c r="AK452" s="55" t="n">
        <x:v>1483</x:v>
      </x:c>
      <x:c r="AL452" s="55" t="n">
        <x:v>1820</x:v>
      </x:c>
      <x:c r="AM452" s="55" t="n">
        <x:v>4891</x:v>
      </x:c>
      <x:c r="AN452" s="55" t="n">
        <x:v>2301</x:v>
      </x:c>
      <x:c r="AO452" s="55" t="n">
        <x:v>12</x:v>
      </x:c>
      <x:c r="AP452" s="55" t="n">
        <x:v>2078</x:v>
      </x:c>
      <x:c r="AQ452" s="55" t="n">
        <x:v>909</x:v>
      </x:c>
    </x:row>
    <x:row r="453">
      <x:c r="A453" s="54" t="str">
        <x:v>T1_SHARED_CATCHMENT</x:v>
      </x:c>
      <x:c r="B453" s="54" t="n">
        <x:v>447</x:v>
      </x:c>
      <x:c r="C453" s="54" t="str">
        <x:v>NYC-V2-R01</x:v>
      </x:c>
      <x:c r="D453" s="54" t="str">
        <x:v>V2</x:v>
      </x:c>
      <x:c r="E453" s="54" t="str">
        <x:v>ADMITTED</x:v>
      </x:c>
      <x:c r="F453" s="55" t="n">
        <x:v>31115</x:v>
      </x:c>
      <x:c r="G453" s="55" t="n">
        <x:v>7836</x:v>
      </x:c>
      <x:c r="H453" s="55" t="n">
        <x:v>3146</x:v>
      </x:c>
      <x:c r="I453" s="55" t="n">
        <x:v>1028</x:v>
      </x:c>
      <x:c r="J453" s="55" t="n">
        <x:v>289</x:v>
      </x:c>
      <x:c r="K453" s="55" t="n">
        <x:v>31115</x:v>
      </x:c>
      <x:c r="L453" s="55" t="n">
        <x:v>6539</x:v>
      </x:c>
      <x:c r="M453" s="55" t="n">
        <x:v>1763</x:v>
      </x:c>
      <x:c r="N453" s="55" t="n">
        <x:v>2946</x:v>
      </x:c>
      <x:c r="O453" s="55" t="n">
        <x:v>1830</x:v>
      </x:c>
      <x:c r="P453" s="55" t="n">
        <x:v>915</x:v>
      </x:c>
      <x:c r="Q453" s="55" t="n">
        <x:v>2188</x:v>
      </x:c>
      <x:c r="R453" s="55" t="n">
        <x:v>2111</x:v>
      </x:c>
      <x:c r="S453" s="55" t="n">
        <x:v>3086</x:v>
      </x:c>
      <x:c r="T453" s="55" t="n">
        <x:v>1259</x:v>
      </x:c>
      <x:c r="U453" s="55" t="n">
        <x:v>1433</x:v>
      </x:c>
      <x:c r="V453" s="55" t="n">
        <x:v>10786</x:v>
      </x:c>
      <x:c r="W453" s="55" t="n">
        <x:v>7556</x:v>
      </x:c>
      <x:c r="X453" s="55" t="n">
        <x:v>3230</x:v>
      </x:c>
      <x:c r="Y453" s="55" t="n">
        <x:v>2758</x:v>
      </x:c>
      <x:c r="Z453" s="55" t="n">
        <x:v>4022</x:v>
      </x:c>
      <x:c r="AA453" s="55" t="n">
        <x:v>3054</x:v>
      </x:c>
      <x:c r="AB453" s="55" t="n">
        <x:v>1018</x:v>
      </x:c>
      <x:c r="AC453" s="55" t="n">
        <x:v>7950</x:v>
      </x:c>
      <x:c r="AD453" s="55" t="n">
        <x:v>3327</x:v>
      </x:c>
      <x:c r="AE453" s="55" t="n">
        <x:v>10900</x:v>
      </x:c>
      <x:c r="AF453" s="55" t="n">
        <x:v>10786</x:v>
      </x:c>
      <x:c r="AG453" s="55" t="n">
        <x:v>114</x:v>
      </x:c>
      <x:c r="AH453" s="55" t="n">
        <x:v>302</x:v>
      </x:c>
      <x:c r="AI453" s="55" t="n">
        <x:v>10484</x:v>
      </x:c>
      <x:c r="AJ453" s="55" t="n">
        <x:v>297</x:v>
      </x:c>
      <x:c r="AK453" s="55" t="n">
        <x:v>881</x:v>
      </x:c>
      <x:c r="AL453" s="55" t="n">
        <x:v>1897</x:v>
      </x:c>
      <x:c r="AM453" s="55" t="n">
        <x:v>4959</x:v>
      </x:c>
      <x:c r="AN453" s="55" t="n">
        <x:v>2638</x:v>
      </x:c>
      <x:c r="AO453" s="55" t="n">
        <x:v>114</x:v>
      </x:c>
      <x:c r="AP453" s="55" t="n">
        <x:v>2844</x:v>
      </x:c>
      <x:c r="AQ453" s="55" t="n">
        <x:v>974</x:v>
      </x:c>
    </x:row>
    <x:row r="454">
      <x:c r="A454" s="54" t="str">
        <x:v>T1_SHARED_CATCHMENT</x:v>
      </x:c>
      <x:c r="B454" s="54" t="n">
        <x:v>448</x:v>
      </x:c>
      <x:c r="C454" s="54" t="str">
        <x:v>NYC-V2-R01</x:v>
      </x:c>
      <x:c r="D454" s="54" t="str">
        <x:v>V2</x:v>
      </x:c>
      <x:c r="E454" s="54" t="str">
        <x:v>ADMITTED</x:v>
      </x:c>
      <x:c r="F454" s="55" t="n">
        <x:v>32347</x:v>
      </x:c>
      <x:c r="G454" s="55" t="n">
        <x:v>8291</x:v>
      </x:c>
      <x:c r="H454" s="55" t="n">
        <x:v>2929</x:v>
      </x:c>
      <x:c r="I454" s="55" t="n">
        <x:v>1191</x:v>
      </x:c>
      <x:c r="J454" s="55" t="n">
        <x:v>120</x:v>
      </x:c>
      <x:c r="K454" s="55" t="n">
        <x:v>26772</x:v>
      </x:c>
      <x:c r="L454" s="55" t="n">
        <x:v>3365</x:v>
      </x:c>
      <x:c r="M454" s="55" t="n">
        <x:v>483</x:v>
      </x:c>
      <x:c r="N454" s="55" t="n">
        <x:v>1891</x:v>
      </x:c>
      <x:c r="O454" s="55" t="n">
        <x:v>991</x:v>
      </x:c>
      <x:c r="P454" s="55" t="n">
        <x:v>1151</x:v>
      </x:c>
      <x:c r="Q454" s="55" t="n">
        <x:v>3101</x:v>
      </x:c>
      <x:c r="R454" s="55" t="n">
        <x:v>1369</x:v>
      </x:c>
      <x:c r="S454" s="55" t="n">
        <x:v>2616</x:v>
      </x:c>
      <x:c r="T454" s="55" t="n">
        <x:v>1490</x:v>
      </x:c>
      <x:c r="U454" s="55" t="n">
        <x:v>1555</x:v>
      </x:c>
      <x:c r="V454" s="55" t="n">
        <x:v>10290</x:v>
      </x:c>
      <x:c r="W454" s="55" t="n">
        <x:v>7573</x:v>
      </x:c>
      <x:c r="X454" s="55" t="n">
        <x:v>2717</x:v>
      </x:c>
      <x:c r="Y454" s="55" t="n">
        <x:v>2384</x:v>
      </x:c>
      <x:c r="Z454" s="55" t="n">
        <x:v>3732</x:v>
      </x:c>
      <x:c r="AA454" s="55" t="n">
        <x:v>2748</x:v>
      </x:c>
      <x:c r="AB454" s="55" t="n">
        <x:v>839</x:v>
      </x:c>
      <x:c r="AC454" s="55" t="n">
        <x:v>7965</x:v>
      </x:c>
      <x:c r="AD454" s="55" t="n">
        <x:v>2788</x:v>
      </x:c>
      <x:c r="AE454" s="55" t="n">
        <x:v>10297</x:v>
      </x:c>
      <x:c r="AF454" s="55" t="n">
        <x:v>10290</x:v>
      </x:c>
      <x:c r="AG454" s="55" t="n">
        <x:v>7</x:v>
      </x:c>
      <x:c r="AH454" s="55" t="n">
        <x:v>503</x:v>
      </x:c>
      <x:c r="AI454" s="55" t="n">
        <x:v>9787</x:v>
      </x:c>
      <x:c r="AJ454" s="55" t="n">
        <x:v>291</x:v>
      </x:c>
      <x:c r="AK454" s="55" t="n">
        <x:v>845</x:v>
      </x:c>
      <x:c r="AL454" s="55" t="n">
        <x:v>1537</x:v>
      </x:c>
      <x:c r="AM454" s="55" t="n">
        <x:v>4755</x:v>
      </x:c>
      <x:c r="AN454" s="55" t="n">
        <x:v>2834</x:v>
      </x:c>
      <x:c r="AO454" s="55" t="n">
        <x:v>28</x:v>
      </x:c>
      <x:c r="AP454" s="55" t="n">
        <x:v>2546</x:v>
      </x:c>
      <x:c r="AQ454" s="55" t="n">
        <x:v>983</x:v>
      </x:c>
    </x:row>
    <x:row r="455">
      <x:c r="A455" s="54" t="str">
        <x:v>T1_SHARED_CATCHMENT</x:v>
      </x:c>
      <x:c r="B455" s="54" t="n">
        <x:v>449</x:v>
      </x:c>
      <x:c r="C455" s="54" t="str">
        <x:v>NYC-V2-R01</x:v>
      </x:c>
      <x:c r="D455" s="54" t="str">
        <x:v>V2</x:v>
      </x:c>
      <x:c r="E455" s="54" t="str">
        <x:v>ADMITTED</x:v>
      </x:c>
      <x:c r="F455" s="55" t="n">
        <x:v>30257</x:v>
      </x:c>
      <x:c r="G455" s="55" t="n">
        <x:v>7235</x:v>
      </x:c>
      <x:c r="H455" s="55" t="n">
        <x:v>3673</x:v>
      </x:c>
      <x:c r="I455" s="55" t="n">
        <x:v>1184</x:v>
      </x:c>
      <x:c r="J455" s="55" t="n">
        <x:v>247</x:v>
      </x:c>
      <x:c r="K455" s="55" t="n">
        <x:v>30257</x:v>
      </x:c>
      <x:c r="L455" s="55" t="n">
        <x:v>6284</x:v>
      </x:c>
      <x:c r="M455" s="55" t="n">
        <x:v>1492</x:v>
      </x:c>
      <x:c r="N455" s="55" t="n">
        <x:v>2979</x:v>
      </x:c>
      <x:c r="O455" s="55" t="n">
        <x:v>1813</x:v>
      </x:c>
      <x:c r="P455" s="55" t="n">
        <x:v>975</x:v>
      </x:c>
      <x:c r="Q455" s="55" t="n">
        <x:v>1944</x:v>
      </x:c>
      <x:c r="R455" s="55" t="n">
        <x:v>1471</x:v>
      </x:c>
      <x:c r="S455" s="55" t="n">
        <x:v>2063</x:v>
      </x:c>
      <x:c r="T455" s="55" t="n">
        <x:v>1339</x:v>
      </x:c>
      <x:c r="U455" s="55" t="n">
        <x:v>1347</x:v>
      </x:c>
      <x:c r="V455" s="55" t="n">
        <x:v>10060</x:v>
      </x:c>
      <x:c r="W455" s="55" t="n">
        <x:v>7327</x:v>
      </x:c>
      <x:c r="X455" s="55" t="n">
        <x:v>2733</x:v>
      </x:c>
      <x:c r="Y455" s="55" t="n">
        <x:v>2422</x:v>
      </x:c>
      <x:c r="Z455" s="55" t="n">
        <x:v>2683</x:v>
      </x:c>
      <x:c r="AA455" s="55" t="n">
        <x:v>3180</x:v>
      </x:c>
      <x:c r="AB455" s="55" t="n">
        <x:v>980</x:v>
      </x:c>
      <x:c r="AC455" s="55" t="n">
        <x:v>8178</x:v>
      </x:c>
      <x:c r="AD455" s="55" t="n">
        <x:v>2635</x:v>
      </x:c>
      <x:c r="AE455" s="55" t="n">
        <x:v>10151</x:v>
      </x:c>
      <x:c r="AF455" s="55" t="n">
        <x:v>10060</x:v>
      </x:c>
      <x:c r="AG455" s="55" t="n">
        <x:v>91</x:v>
      </x:c>
      <x:c r="AH455" s="55" t="n">
        <x:v>194</x:v>
      </x:c>
      <x:c r="AI455" s="55" t="n">
        <x:v>9866</x:v>
      </x:c>
      <x:c r="AJ455" s="55" t="n">
        <x:v>320</x:v>
      </x:c>
      <x:c r="AK455" s="55" t="n">
        <x:v>740</x:v>
      </x:c>
      <x:c r="AL455" s="55" t="n">
        <x:v>1241</x:v>
      </x:c>
      <x:c r="AM455" s="55" t="n">
        <x:v>4623</x:v>
      </x:c>
      <x:c r="AN455" s="55" t="n">
        <x:v>3136</x:v>
      </x:c>
      <x:c r="AO455" s="55" t="n">
        <x:v>0</x:v>
      </x:c>
      <x:c r="AP455" s="55" t="n">
        <x:v>2032</x:v>
      </x:c>
      <x:c r="AQ455" s="55" t="n">
        <x:v>964</x:v>
      </x:c>
    </x:row>
    <x:row r="456">
      <x:c r="A456" s="54" t="str">
        <x:v>T1_SHARED_CATCHMENT</x:v>
      </x:c>
      <x:c r="B456" s="54" t="n">
        <x:v>450</x:v>
      </x:c>
      <x:c r="C456" s="54" t="str">
        <x:v>NYC-V2-R01</x:v>
      </x:c>
      <x:c r="D456" s="54" t="str">
        <x:v>V2</x:v>
      </x:c>
      <x:c r="E456" s="54" t="str">
        <x:v>ADMITTED</x:v>
      </x:c>
      <x:c r="F456" s="55" t="n">
        <x:v>32648</x:v>
      </x:c>
      <x:c r="G456" s="55" t="n">
        <x:v>8354</x:v>
      </x:c>
      <x:c r="H456" s="55" t="n">
        <x:v>3370</x:v>
      </x:c>
      <x:c r="I456" s="55" t="n">
        <x:v>1282</x:v>
      </x:c>
      <x:c r="J456" s="55" t="n">
        <x:v>307</x:v>
      </x:c>
      <x:c r="K456" s="55" t="n">
        <x:v>32648</x:v>
      </x:c>
      <x:c r="L456" s="55" t="n">
        <x:v>6600</x:v>
      </x:c>
      <x:c r="M456" s="55" t="n">
        <x:v>1541</x:v>
      </x:c>
      <x:c r="N456" s="55" t="n">
        <x:v>2767</x:v>
      </x:c>
      <x:c r="O456" s="55" t="n">
        <x:v>2292</x:v>
      </x:c>
      <x:c r="P456" s="55" t="n">
        <x:v>728</x:v>
      </x:c>
      <x:c r="Q456" s="55" t="n">
        <x:v>2485</x:v>
      </x:c>
      <x:c r="R456" s="55" t="n">
        <x:v>2141</x:v>
      </x:c>
      <x:c r="S456" s="55" t="n">
        <x:v>3803</x:v>
      </x:c>
      <x:c r="T456" s="55" t="n">
        <x:v>1192</x:v>
      </x:c>
      <x:c r="U456" s="55" t="n">
        <x:v>1998</x:v>
      </x:c>
      <x:c r="V456" s="55" t="n">
        <x:v>10457</x:v>
      </x:c>
      <x:c r="W456" s="55" t="n">
        <x:v>6862</x:v>
      </x:c>
      <x:c r="X456" s="55" t="n">
        <x:v>3595</x:v>
      </x:c>
      <x:c r="Y456" s="55" t="n">
        <x:v>3070</x:v>
      </x:c>
      <x:c r="Z456" s="55" t="n">
        <x:v>3587</x:v>
      </x:c>
      <x:c r="AA456" s="55" t="n">
        <x:v>3352</x:v>
      </x:c>
      <x:c r="AB456" s="55" t="n">
        <x:v>968</x:v>
      </x:c>
      <x:c r="AC456" s="55" t="n">
        <x:v>8626</x:v>
      </x:c>
      <x:c r="AD456" s="55" t="n">
        <x:v>2822</x:v>
      </x:c>
      <x:c r="AE456" s="55" t="n">
        <x:v>10586</x:v>
      </x:c>
      <x:c r="AF456" s="55" t="n">
        <x:v>10457</x:v>
      </x:c>
      <x:c r="AG456" s="55" t="n">
        <x:v>129</x:v>
      </x:c>
      <x:c r="AH456" s="55" t="n">
        <x:v>492</x:v>
      </x:c>
      <x:c r="AI456" s="55" t="n">
        <x:v>9965</x:v>
      </x:c>
      <x:c r="AJ456" s="55" t="n">
        <x:v>340</x:v>
      </x:c>
      <x:c r="AK456" s="55" t="n">
        <x:v>1163</x:v>
      </x:c>
      <x:c r="AL456" s="55" t="n">
        <x:v>1753</x:v>
      </x:c>
      <x:c r="AM456" s="55" t="n">
        <x:v>4600</x:v>
      </x:c>
      <x:c r="AN456" s="55" t="n">
        <x:v>2591</x:v>
      </x:c>
      <x:c r="AO456" s="55" t="n">
        <x:v>10</x:v>
      </x:c>
      <x:c r="AP456" s="55" t="n">
        <x:v>2169</x:v>
      </x:c>
      <x:c r="AQ456" s="55" t="n">
        <x:v>965</x:v>
      </x:c>
    </x:row>
    <x:row r="457">
      <x:c r="A457" s="54" t="str">
        <x:v>T1_SHARED_CATCHMENT</x:v>
      </x:c>
      <x:c r="B457" s="54" t="n">
        <x:v>451</x:v>
      </x:c>
      <x:c r="C457" s="54" t="str">
        <x:v>NYC-V2-R01</x:v>
      </x:c>
      <x:c r="D457" s="54" t="str">
        <x:v>V2</x:v>
      </x:c>
      <x:c r="E457" s="54" t="str">
        <x:v>ADMITTED</x:v>
      </x:c>
      <x:c r="F457" s="55" t="n">
        <x:v>31970</x:v>
      </x:c>
      <x:c r="G457" s="55" t="n">
        <x:v>7336</x:v>
      </x:c>
      <x:c r="H457" s="55" t="n">
        <x:v>3780</x:v>
      </x:c>
      <x:c r="I457" s="55" t="n">
        <x:v>1154</x:v>
      </x:c>
      <x:c r="J457" s="55" t="n">
        <x:v>260</x:v>
      </x:c>
      <x:c r="K457" s="55" t="n">
        <x:v>31113</x:v>
      </x:c>
      <x:c r="L457" s="55" t="n">
        <x:v>6347</x:v>
      </x:c>
      <x:c r="M457" s="55" t="n">
        <x:v>1197</x:v>
      </x:c>
      <x:c r="N457" s="55" t="n">
        <x:v>2939</x:v>
      </x:c>
      <x:c r="O457" s="55" t="n">
        <x:v>2211</x:v>
      </x:c>
      <x:c r="P457" s="55" t="n">
        <x:v>752</x:v>
      </x:c>
      <x:c r="Q457" s="55" t="n">
        <x:v>2657</x:v>
      </x:c>
      <x:c r="R457" s="55" t="n">
        <x:v>2206</x:v>
      </x:c>
      <x:c r="S457" s="55" t="n">
        <x:v>4250</x:v>
      </x:c>
      <x:c r="T457" s="55" t="n">
        <x:v>953</x:v>
      </x:c>
      <x:c r="U457" s="55" t="n">
        <x:v>1862</x:v>
      </x:c>
      <x:c r="V457" s="55" t="n">
        <x:v>11603</x:v>
      </x:c>
      <x:c r="W457" s="55" t="n">
        <x:v>8348</x:v>
      </x:c>
      <x:c r="X457" s="55" t="n">
        <x:v>3255</x:v>
      </x:c>
      <x:c r="Y457" s="55" t="n">
        <x:v>3166</x:v>
      </x:c>
      <x:c r="Z457" s="55" t="n">
        <x:v>3718</x:v>
      </x:c>
      <x:c r="AA457" s="55" t="n">
        <x:v>3780</x:v>
      </x:c>
      <x:c r="AB457" s="55" t="n">
        <x:v>1123</x:v>
      </x:c>
      <x:c r="AC457" s="55" t="n">
        <x:v>8573</x:v>
      </x:c>
      <x:c r="AD457" s="55" t="n">
        <x:v>3483</x:v>
      </x:c>
      <x:c r="AE457" s="55" t="n">
        <x:v>11651</x:v>
      </x:c>
      <x:c r="AF457" s="55" t="n">
        <x:v>11603</x:v>
      </x:c>
      <x:c r="AG457" s="55" t="n">
        <x:v>48</x:v>
      </x:c>
      <x:c r="AH457" s="55" t="n">
        <x:v>704</x:v>
      </x:c>
      <x:c r="AI457" s="55" t="n">
        <x:v>10899</x:v>
      </x:c>
      <x:c r="AJ457" s="55" t="n">
        <x:v>511</x:v>
      </x:c>
      <x:c r="AK457" s="55" t="n">
        <x:v>1236</x:v>
      </x:c>
      <x:c r="AL457" s="55" t="n">
        <x:v>1570</x:v>
      </x:c>
      <x:c r="AM457" s="55" t="n">
        <x:v>5134</x:v>
      </x:c>
      <x:c r="AN457" s="55" t="n">
        <x:v>3077</x:v>
      </x:c>
      <x:c r="AO457" s="55" t="n">
        <x:v>75</x:v>
      </x:c>
      <x:c r="AP457" s="55" t="n">
        <x:v>2481</x:v>
      </x:c>
      <x:c r="AQ457" s="55" t="n">
        <x:v>995</x:v>
      </x:c>
    </x:row>
    <x:row r="458">
      <x:c r="A458" s="54" t="str">
        <x:v>T1_SHARED_CATCHMENT</x:v>
      </x:c>
      <x:c r="B458" s="54" t="n">
        <x:v>452</x:v>
      </x:c>
      <x:c r="C458" s="54" t="str">
        <x:v>NYC-V2-R01</x:v>
      </x:c>
      <x:c r="D458" s="54" t="str">
        <x:v>V2</x:v>
      </x:c>
      <x:c r="E458" s="54" t="str">
        <x:v>ADMITTED</x:v>
      </x:c>
      <x:c r="F458" s="55" t="n">
        <x:v>31908</x:v>
      </x:c>
      <x:c r="G458" s="55" t="n">
        <x:v>6920</x:v>
      </x:c>
      <x:c r="H458" s="55" t="n">
        <x:v>3484</x:v>
      </x:c>
      <x:c r="I458" s="55" t="n">
        <x:v>1284</x:v>
      </x:c>
      <x:c r="J458" s="55" t="n">
        <x:v>243</x:v>
      </x:c>
      <x:c r="K458" s="55" t="n">
        <x:v>30086</x:v>
      </x:c>
      <x:c r="L458" s="55" t="n">
        <x:v>5072</x:v>
      </x:c>
      <x:c r="M458" s="55" t="n">
        <x:v>1023</x:v>
      </x:c>
      <x:c r="N458" s="55" t="n">
        <x:v>2470</x:v>
      </x:c>
      <x:c r="O458" s="55" t="n">
        <x:v>1579</x:v>
      </x:c>
      <x:c r="P458" s="55" t="n">
        <x:v>558</x:v>
      </x:c>
      <x:c r="Q458" s="55" t="n">
        <x:v>2522</x:v>
      </x:c>
      <x:c r="R458" s="55" t="n">
        <x:v>2322</x:v>
      </x:c>
      <x:c r="S458" s="55" t="n">
        <x:v>2324</x:v>
      </x:c>
      <x:c r="T458" s="55" t="n">
        <x:v>1471</x:v>
      </x:c>
      <x:c r="U458" s="55" t="n">
        <x:v>1924</x:v>
      </x:c>
      <x:c r="V458" s="55" t="n">
        <x:v>10463</x:v>
      </x:c>
      <x:c r="W458" s="55" t="n">
        <x:v>7712</x:v>
      </x:c>
      <x:c r="X458" s="55" t="n">
        <x:v>2751</x:v>
      </x:c>
      <x:c r="Y458" s="55" t="n">
        <x:v>2422</x:v>
      </x:c>
      <x:c r="Z458" s="55" t="n">
        <x:v>3985</x:v>
      </x:c>
      <x:c r="AA458" s="55" t="n">
        <x:v>2790</x:v>
      </x:c>
      <x:c r="AB458" s="55" t="n">
        <x:v>1027</x:v>
      </x:c>
      <x:c r="AC458" s="55" t="n">
        <x:v>8347</x:v>
      </x:c>
      <x:c r="AD458" s="55" t="n">
        <x:v>2394</x:v>
      </x:c>
      <x:c r="AE458" s="55" t="n">
        <x:v>10566</x:v>
      </x:c>
      <x:c r="AF458" s="55" t="n">
        <x:v>10463</x:v>
      </x:c>
      <x:c r="AG458" s="55" t="n">
        <x:v>103</x:v>
      </x:c>
      <x:c r="AH458" s="55" t="n">
        <x:v>452</x:v>
      </x:c>
      <x:c r="AI458" s="55" t="n">
        <x:v>10011</x:v>
      </x:c>
      <x:c r="AJ458" s="55" t="n">
        <x:v>185</x:v>
      </x:c>
      <x:c r="AK458" s="55" t="n">
        <x:v>663</x:v>
      </x:c>
      <x:c r="AL458" s="55" t="n">
        <x:v>2017</x:v>
      </x:c>
      <x:c r="AM458" s="55" t="n">
        <x:v>4991</x:v>
      </x:c>
      <x:c r="AN458" s="55" t="n">
        <x:v>2607</x:v>
      </x:c>
      <x:c r="AO458" s="55" t="n">
        <x:v>0</x:v>
      </x:c>
      <x:c r="AP458" s="55" t="n">
        <x:v>1895</x:v>
      </x:c>
      <x:c r="AQ458" s="55" t="n">
        <x:v>917</x:v>
      </x:c>
    </x:row>
    <x:row r="459">
      <x:c r="A459" s="54" t="str">
        <x:v>T1_SHARED_CATCHMENT</x:v>
      </x:c>
      <x:c r="B459" s="54" t="n">
        <x:v>453</x:v>
      </x:c>
      <x:c r="C459" s="54" t="str">
        <x:v>NYC-V2-R01</x:v>
      </x:c>
      <x:c r="D459" s="54" t="str">
        <x:v>V2</x:v>
      </x:c>
      <x:c r="E459" s="54" t="str">
        <x:v>ADMITTED</x:v>
      </x:c>
      <x:c r="F459" s="55" t="n">
        <x:v>30467</x:v>
      </x:c>
      <x:c r="G459" s="55" t="n">
        <x:v>7081</x:v>
      </x:c>
      <x:c r="H459" s="55" t="n">
        <x:v>3204</x:v>
      </x:c>
      <x:c r="I459" s="55" t="n">
        <x:v>1210</x:v>
      </x:c>
      <x:c r="J459" s="55" t="n">
        <x:v>94</x:v>
      </x:c>
      <x:c r="K459" s="55" t="n">
        <x:v>28369</x:v>
      </x:c>
      <x:c r="L459" s="55" t="n">
        <x:v>4546</x:v>
      </x:c>
      <x:c r="M459" s="55" t="n">
        <x:v>749</x:v>
      </x:c>
      <x:c r="N459" s="55" t="n">
        <x:v>2421</x:v>
      </x:c>
      <x:c r="O459" s="55" t="n">
        <x:v>1376</x:v>
      </x:c>
      <x:c r="P459" s="55" t="n">
        <x:v>610</x:v>
      </x:c>
      <x:c r="Q459" s="55" t="n">
        <x:v>1762</x:v>
      </x:c>
      <x:c r="R459" s="55" t="n">
        <x:v>2448</x:v>
      </x:c>
      <x:c r="S459" s="55" t="n">
        <x:v>2681</x:v>
      </x:c>
      <x:c r="T459" s="55" t="n">
        <x:v>1135</x:v>
      </x:c>
      <x:c r="U459" s="55" t="n">
        <x:v>2096</x:v>
      </x:c>
      <x:c r="V459" s="55" t="n">
        <x:v>10601</x:v>
      </x:c>
      <x:c r="W459" s="55" t="n">
        <x:v>7965</x:v>
      </x:c>
      <x:c r="X459" s="55" t="n">
        <x:v>2636</x:v>
      </x:c>
      <x:c r="Y459" s="55" t="n">
        <x:v>1980</x:v>
      </x:c>
      <x:c r="Z459" s="55" t="n">
        <x:v>3436</x:v>
      </x:c>
      <x:c r="AA459" s="55" t="n">
        <x:v>3180</x:v>
      </x:c>
      <x:c r="AB459" s="55" t="n">
        <x:v>1072</x:v>
      </x:c>
      <x:c r="AC459" s="55" t="n">
        <x:v>7829</x:v>
      </x:c>
      <x:c r="AD459" s="55" t="n">
        <x:v>1894</x:v>
      </x:c>
      <x:c r="AE459" s="55" t="n">
        <x:v>10692</x:v>
      </x:c>
      <x:c r="AF459" s="55" t="n">
        <x:v>10601</x:v>
      </x:c>
      <x:c r="AG459" s="55" t="n">
        <x:v>91</x:v>
      </x:c>
      <x:c r="AH459" s="55" t="n">
        <x:v>418</x:v>
      </x:c>
      <x:c r="AI459" s="55" t="n">
        <x:v>10183</x:v>
      </x:c>
      <x:c r="AJ459" s="55" t="n">
        <x:v>61</x:v>
      </x:c>
      <x:c r="AK459" s="55" t="n">
        <x:v>931</x:v>
      </x:c>
      <x:c r="AL459" s="55" t="n">
        <x:v>1240</x:v>
      </x:c>
      <x:c r="AM459" s="55" t="n">
        <x:v>4917</x:v>
      </x:c>
      <x:c r="AN459" s="55" t="n">
        <x:v>3446</x:v>
      </x:c>
      <x:c r="AO459" s="55" t="n">
        <x:v>6</x:v>
      </x:c>
      <x:c r="AP459" s="55" t="n">
        <x:v>2228</x:v>
      </x:c>
      <x:c r="AQ459" s="55" t="n">
        <x:v>953</x:v>
      </x:c>
    </x:row>
    <x:row r="460">
      <x:c r="A460" s="54" t="str">
        <x:v>T1_SHARED_CATCHMENT</x:v>
      </x:c>
      <x:c r="B460" s="54" t="n">
        <x:v>454</x:v>
      </x:c>
      <x:c r="C460" s="54" t="str">
        <x:v>NYC-V2-R01</x:v>
      </x:c>
      <x:c r="D460" s="54" t="str">
        <x:v>V2</x:v>
      </x:c>
      <x:c r="E460" s="54" t="str">
        <x:v>ADMITTED</x:v>
      </x:c>
      <x:c r="F460" s="55" t="n">
        <x:v>31075</x:v>
      </x:c>
      <x:c r="G460" s="55" t="n">
        <x:v>7225</x:v>
      </x:c>
      <x:c r="H460" s="55" t="n">
        <x:v>3388</x:v>
      </x:c>
      <x:c r="I460" s="55" t="n">
        <x:v>1467</x:v>
      </x:c>
      <x:c r="J460" s="55" t="n">
        <x:v>316</x:v>
      </x:c>
      <x:c r="K460" s="55" t="n">
        <x:v>30890</x:v>
      </x:c>
      <x:c r="L460" s="55" t="n">
        <x:v>5416</x:v>
      </x:c>
      <x:c r="M460" s="55" t="n">
        <x:v>1124</x:v>
      </x:c>
      <x:c r="N460" s="55" t="n">
        <x:v>2356</x:v>
      </x:c>
      <x:c r="O460" s="55" t="n">
        <x:v>1936</x:v>
      </x:c>
      <x:c r="P460" s="55" t="n">
        <x:v>807</x:v>
      </x:c>
      <x:c r="Q460" s="55" t="n">
        <x:v>1896</x:v>
      </x:c>
      <x:c r="R460" s="55" t="n">
        <x:v>2156</x:v>
      </x:c>
      <x:c r="S460" s="55" t="n">
        <x:v>2613</x:v>
      </x:c>
      <x:c r="T460" s="55" t="n">
        <x:v>1343</x:v>
      </x:c>
      <x:c r="U460" s="55" t="n">
        <x:v>2401</x:v>
      </x:c>
      <x:c r="V460" s="55" t="n">
        <x:v>10477</x:v>
      </x:c>
      <x:c r="W460" s="55" t="n">
        <x:v>7261</x:v>
      </x:c>
      <x:c r="X460" s="55" t="n">
        <x:v>3216</x:v>
      </x:c>
      <x:c r="Y460" s="55" t="n">
        <x:v>2823</x:v>
      </x:c>
      <x:c r="Z460" s="55" t="n">
        <x:v>4028</x:v>
      </x:c>
      <x:c r="AA460" s="55" t="n">
        <x:v>3055</x:v>
      </x:c>
      <x:c r="AB460" s="55" t="n">
        <x:v>1104</x:v>
      </x:c>
      <x:c r="AC460" s="55" t="n">
        <x:v>8425</x:v>
      </x:c>
      <x:c r="AD460" s="55" t="n">
        <x:v>2999</x:v>
      </x:c>
      <x:c r="AE460" s="55" t="n">
        <x:v>10539</x:v>
      </x:c>
      <x:c r="AF460" s="55" t="n">
        <x:v>10477</x:v>
      </x:c>
      <x:c r="AG460" s="55" t="n">
        <x:v>62</x:v>
      </x:c>
      <x:c r="AH460" s="55" t="n">
        <x:v>394</x:v>
      </x:c>
      <x:c r="AI460" s="55" t="n">
        <x:v>10083</x:v>
      </x:c>
      <x:c r="AJ460" s="55" t="n">
        <x:v>402</x:v>
      </x:c>
      <x:c r="AK460" s="55" t="n">
        <x:v>1283</x:v>
      </x:c>
      <x:c r="AL460" s="55" t="n">
        <x:v>1803</x:v>
      </x:c>
      <x:c r="AM460" s="55" t="n">
        <x:v>4481</x:v>
      </x:c>
      <x:c r="AN460" s="55" t="n">
        <x:v>2508</x:v>
      </x:c>
      <x:c r="AO460" s="55" t="n">
        <x:v>0</x:v>
      </x:c>
      <x:c r="AP460" s="55" t="n">
        <x:v>2945</x:v>
      </x:c>
      <x:c r="AQ460" s="55" t="n">
        <x:v>946</x:v>
      </x:c>
    </x:row>
    <x:row r="461">
      <x:c r="A461" s="54" t="str">
        <x:v>T1_SHARED_CATCHMENT</x:v>
      </x:c>
      <x:c r="B461" s="54" t="n">
        <x:v>455</x:v>
      </x:c>
      <x:c r="C461" s="54" t="str">
        <x:v>NYC-V2-R01</x:v>
      </x:c>
      <x:c r="D461" s="54" t="str">
        <x:v>V2</x:v>
      </x:c>
      <x:c r="E461" s="54" t="str">
        <x:v>ADMITTED</x:v>
      </x:c>
      <x:c r="F461" s="55" t="n">
        <x:v>29008</x:v>
      </x:c>
      <x:c r="G461" s="55" t="n">
        <x:v>7327</x:v>
      </x:c>
      <x:c r="H461" s="55" t="n">
        <x:v>2982</x:v>
      </x:c>
      <x:c r="I461" s="55" t="n">
        <x:v>1135</x:v>
      </x:c>
      <x:c r="J461" s="55" t="n">
        <x:v>107</x:v>
      </x:c>
      <x:c r="K461" s="55" t="n">
        <x:v>28390</x:v>
      </x:c>
      <x:c r="L461" s="55" t="n">
        <x:v>4497</x:v>
      </x:c>
      <x:c r="M461" s="55" t="n">
        <x:v>749</x:v>
      </x:c>
      <x:c r="N461" s="55" t="n">
        <x:v>2308</x:v>
      </x:c>
      <x:c r="O461" s="55" t="n">
        <x:v>1440</x:v>
      </x:c>
      <x:c r="P461" s="55" t="n">
        <x:v>737</x:v>
      </x:c>
      <x:c r="Q461" s="55" t="n">
        <x:v>2566</x:v>
      </x:c>
      <x:c r="R461" s="55" t="n">
        <x:v>1548</x:v>
      </x:c>
      <x:c r="S461" s="55" t="n">
        <x:v>3037</x:v>
      </x:c>
      <x:c r="T461" s="55" t="n">
        <x:v>1066</x:v>
      </x:c>
      <x:c r="U461" s="55" t="n">
        <x:v>1706</x:v>
      </x:c>
      <x:c r="V461" s="55" t="n">
        <x:v>10188</x:v>
      </x:c>
      <x:c r="W461" s="55" t="n">
        <x:v>7138</x:v>
      </x:c>
      <x:c r="X461" s="55" t="n">
        <x:v>3050</x:v>
      </x:c>
      <x:c r="Y461" s="55" t="n">
        <x:v>2514</x:v>
      </x:c>
      <x:c r="Z461" s="55" t="n">
        <x:v>3500</x:v>
      </x:c>
      <x:c r="AA461" s="55" t="n">
        <x:v>2843</x:v>
      </x:c>
      <x:c r="AB461" s="55" t="n">
        <x:v>1177</x:v>
      </x:c>
      <x:c r="AC461" s="55" t="n">
        <x:v>7557</x:v>
      </x:c>
      <x:c r="AD461" s="55" t="n">
        <x:v>3170</x:v>
      </x:c>
      <x:c r="AE461" s="55" t="n">
        <x:v>10287</x:v>
      </x:c>
      <x:c r="AF461" s="55" t="n">
        <x:v>10188</x:v>
      </x:c>
      <x:c r="AG461" s="55" t="n">
        <x:v>99</x:v>
      </x:c>
      <x:c r="AH461" s="55" t="n">
        <x:v>392</x:v>
      </x:c>
      <x:c r="AI461" s="55" t="n">
        <x:v>9796</x:v>
      </x:c>
      <x:c r="AJ461" s="55" t="n">
        <x:v>141</x:v>
      </x:c>
      <x:c r="AK461" s="55" t="n">
        <x:v>1064</x:v>
      </x:c>
      <x:c r="AL461" s="55" t="n">
        <x:v>1688</x:v>
      </x:c>
      <x:c r="AM461" s="55" t="n">
        <x:v>4623</x:v>
      </x:c>
      <x:c r="AN461" s="55" t="n">
        <x:v>2672</x:v>
      </x:c>
      <x:c r="AO461" s="55" t="n">
        <x:v>0</x:v>
      </x:c>
      <x:c r="AP461" s="55" t="n">
        <x:v>2458</x:v>
      </x:c>
      <x:c r="AQ461" s="55" t="n">
        <x:v>946</x:v>
      </x:c>
    </x:row>
    <x:row r="462">
      <x:c r="A462" s="54" t="str">
        <x:v>T1_SHARED_CATCHMENT</x:v>
      </x:c>
      <x:c r="B462" s="54" t="n">
        <x:v>456</x:v>
      </x:c>
      <x:c r="C462" s="54" t="str">
        <x:v>NYC-V2-R01</x:v>
      </x:c>
      <x:c r="D462" s="54" t="str">
        <x:v>V2</x:v>
      </x:c>
      <x:c r="E462" s="54" t="str">
        <x:v>ADMITTED</x:v>
      </x:c>
      <x:c r="F462" s="55" t="n">
        <x:v>26823</x:v>
      </x:c>
      <x:c r="G462" s="55" t="n">
        <x:v>6022</x:v>
      </x:c>
      <x:c r="H462" s="55" t="n">
        <x:v>3187</x:v>
      </x:c>
      <x:c r="I462" s="55" t="n">
        <x:v>1193</x:v>
      </x:c>
      <x:c r="J462" s="55" t="n">
        <x:v>0</x:v>
      </x:c>
      <x:c r="K462" s="55" t="n">
        <x:v>26823</x:v>
      </x:c>
      <x:c r="L462" s="55" t="n">
        <x:v>3997</x:v>
      </x:c>
      <x:c r="M462" s="55" t="n">
        <x:v>0</x:v>
      </x:c>
      <x:c r="N462" s="55" t="n">
        <x:v>2383</x:v>
      </x:c>
      <x:c r="O462" s="55" t="n">
        <x:v>1614</x:v>
      </x:c>
      <x:c r="P462" s="55" t="n">
        <x:v>379</x:v>
      </x:c>
      <x:c r="Q462" s="55" t="n">
        <x:v>1307</x:v>
      </x:c>
      <x:c r="R462" s="55" t="n">
        <x:v>1494</x:v>
      </x:c>
      <x:c r="S462" s="55" t="n">
        <x:v>3080</x:v>
      </x:c>
      <x:c r="T462" s="55" t="n">
        <x:v>1462</x:v>
      </x:c>
      <x:c r="U462" s="55" t="n">
        <x:v>1837</x:v>
      </x:c>
      <x:c r="V462" s="55" t="n">
        <x:v>9967</x:v>
      </x:c>
      <x:c r="W462" s="55" t="n">
        <x:v>7276</x:v>
      </x:c>
      <x:c r="X462" s="55" t="n">
        <x:v>2691</x:v>
      </x:c>
      <x:c r="Y462" s="55" t="n">
        <x:v>2417</x:v>
      </x:c>
      <x:c r="Z462" s="55" t="n">
        <x:v>3870</x:v>
      </x:c>
      <x:c r="AA462" s="55" t="n">
        <x:v>2930</x:v>
      </x:c>
      <x:c r="AB462" s="55" t="n">
        <x:v>1017</x:v>
      </x:c>
      <x:c r="AC462" s="55" t="n">
        <x:v>8306</x:v>
      </x:c>
      <x:c r="AD462" s="55" t="n">
        <x:v>2699</x:v>
      </x:c>
      <x:c r="AE462" s="55" t="n">
        <x:v>9971</x:v>
      </x:c>
      <x:c r="AF462" s="55" t="n">
        <x:v>9967</x:v>
      </x:c>
      <x:c r="AG462" s="55" t="n">
        <x:v>4</x:v>
      </x:c>
      <x:c r="AH462" s="55" t="n">
        <x:v>244</x:v>
      </x:c>
      <x:c r="AI462" s="55" t="n">
        <x:v>9723</x:v>
      </x:c>
      <x:c r="AJ462" s="55" t="n">
        <x:v>417</x:v>
      </x:c>
      <x:c r="AK462" s="55" t="n">
        <x:v>1015</x:v>
      </x:c>
      <x:c r="AL462" s="55" t="n">
        <x:v>1581</x:v>
      </x:c>
      <x:c r="AM462" s="55" t="n">
        <x:v>4756</x:v>
      </x:c>
      <x:c r="AN462" s="55" t="n">
        <x:v>2198</x:v>
      </x:c>
      <x:c r="AO462" s="55" t="n">
        <x:v>0</x:v>
      </x:c>
      <x:c r="AP462" s="55" t="n">
        <x:v>2316</x:v>
      </x:c>
      <x:c r="AQ462" s="55" t="n">
        <x:v>944</x:v>
      </x:c>
    </x:row>
    <x:row r="463">
      <x:c r="A463" s="54" t="str">
        <x:v>T1_SHARED_CATCHMENT</x:v>
      </x:c>
      <x:c r="B463" s="54" t="n">
        <x:v>457</x:v>
      </x:c>
      <x:c r="C463" s="54" t="str">
        <x:v>NYC-V2-R01</x:v>
      </x:c>
      <x:c r="D463" s="54" t="str">
        <x:v>V2</x:v>
      </x:c>
      <x:c r="E463" s="54" t="str">
        <x:v>ADMITTED</x:v>
      </x:c>
      <x:c r="F463" s="55" t="n">
        <x:v>31714</x:v>
      </x:c>
      <x:c r="G463" s="55" t="n">
        <x:v>7805</x:v>
      </x:c>
      <x:c r="H463" s="55" t="n">
        <x:v>2616</x:v>
      </x:c>
      <x:c r="I463" s="55" t="n">
        <x:v>888</x:v>
      </x:c>
      <x:c r="J463" s="55" t="n">
        <x:v>21</x:v>
      </x:c>
      <x:c r="K463" s="55" t="n">
        <x:v>31714</x:v>
      </x:c>
      <x:c r="L463" s="55" t="n">
        <x:v>7621</x:v>
      </x:c>
      <x:c r="M463" s="55" t="n">
        <x:v>2651</x:v>
      </x:c>
      <x:c r="N463" s="55" t="n">
        <x:v>3303</x:v>
      </x:c>
      <x:c r="O463" s="55" t="n">
        <x:v>1667</x:v>
      </x:c>
      <x:c r="P463" s="55" t="n">
        <x:v>890</x:v>
      </x:c>
      <x:c r="Q463" s="55" t="n">
        <x:v>1945</x:v>
      </x:c>
      <x:c r="R463" s="55" t="n">
        <x:v>1767</x:v>
      </x:c>
      <x:c r="S463" s="55" t="n">
        <x:v>2622</x:v>
      </x:c>
      <x:c r="T463" s="55" t="n">
        <x:v>1305</x:v>
      </x:c>
      <x:c r="U463" s="55" t="n">
        <x:v>2384</x:v>
      </x:c>
      <x:c r="V463" s="55" t="n">
        <x:v>10439</x:v>
      </x:c>
      <x:c r="W463" s="55" t="n">
        <x:v>7142</x:v>
      </x:c>
      <x:c r="X463" s="55" t="n">
        <x:v>3297</x:v>
      </x:c>
      <x:c r="Y463" s="55" t="n">
        <x:v>2941</x:v>
      </x:c>
      <x:c r="Z463" s="55" t="n">
        <x:v>3548</x:v>
      </x:c>
      <x:c r="AA463" s="55" t="n">
        <x:v>2427</x:v>
      </x:c>
      <x:c r="AB463" s="55" t="n">
        <x:v>807</x:v>
      </x:c>
      <x:c r="AC463" s="55" t="n">
        <x:v>8345</x:v>
      </x:c>
      <x:c r="AD463" s="55" t="n">
        <x:v>3304</x:v>
      </x:c>
      <x:c r="AE463" s="55" t="n">
        <x:v>10439</x:v>
      </x:c>
      <x:c r="AF463" s="55" t="n">
        <x:v>10439</x:v>
      </x:c>
      <x:c r="AG463" s="55" t="n">
        <x:v>0</x:v>
      </x:c>
      <x:c r="AH463" s="55" t="n">
        <x:v>405</x:v>
      </x:c>
      <x:c r="AI463" s="55" t="n">
        <x:v>10034</x:v>
      </x:c>
      <x:c r="AJ463" s="55" t="n">
        <x:v>277</x:v>
      </x:c>
      <x:c r="AK463" s="55" t="n">
        <x:v>1332</x:v>
      </x:c>
      <x:c r="AL463" s="55" t="n">
        <x:v>1615</x:v>
      </x:c>
      <x:c r="AM463" s="55" t="n">
        <x:v>4761</x:v>
      </x:c>
      <x:c r="AN463" s="55" t="n">
        <x:v>2436</x:v>
      </x:c>
      <x:c r="AO463" s="55" t="n">
        <x:v>18</x:v>
      </x:c>
      <x:c r="AP463" s="55" t="n">
        <x:v>2644</x:v>
      </x:c>
      <x:c r="AQ463" s="55" t="n">
        <x:v>994</x:v>
      </x:c>
    </x:row>
    <x:row r="464">
      <x:c r="A464" s="54" t="str">
        <x:v>T1_SHARED_CATCHMENT</x:v>
      </x:c>
      <x:c r="B464" s="54" t="n">
        <x:v>458</x:v>
      </x:c>
      <x:c r="C464" s="54" t="str">
        <x:v>NYC-V2-R01</x:v>
      </x:c>
      <x:c r="D464" s="54" t="str">
        <x:v>V2</x:v>
      </x:c>
      <x:c r="E464" s="54" t="str">
        <x:v>ADMITTED</x:v>
      </x:c>
      <x:c r="F464" s="55" t="n">
        <x:v>31001</x:v>
      </x:c>
      <x:c r="G464" s="55" t="n">
        <x:v>6481</x:v>
      </x:c>
      <x:c r="H464" s="55" t="n">
        <x:v>3303</x:v>
      </x:c>
      <x:c r="I464" s="55" t="n">
        <x:v>1573</x:v>
      </x:c>
      <x:c r="J464" s="55" t="n">
        <x:v>258</x:v>
      </x:c>
      <x:c r="K464" s="55" t="n">
        <x:v>31001</x:v>
      </x:c>
      <x:c r="L464" s="55" t="n">
        <x:v>6738</x:v>
      </x:c>
      <x:c r="M464" s="55" t="n">
        <x:v>1963</x:v>
      </x:c>
      <x:c r="N464" s="55" t="n">
        <x:v>2844</x:v>
      </x:c>
      <x:c r="O464" s="55" t="n">
        <x:v>1931</x:v>
      </x:c>
      <x:c r="P464" s="55" t="n">
        <x:v>982</x:v>
      </x:c>
      <x:c r="Q464" s="55" t="n">
        <x:v>1677</x:v>
      </x:c>
      <x:c r="R464" s="55" t="n">
        <x:v>2089</x:v>
      </x:c>
      <x:c r="S464" s="55" t="n">
        <x:v>2806</x:v>
      </x:c>
      <x:c r="T464" s="55" t="n">
        <x:v>1029</x:v>
      </x:c>
      <x:c r="U464" s="55" t="n">
        <x:v>2167</x:v>
      </x:c>
      <x:c r="V464" s="55" t="n">
        <x:v>10125</x:v>
      </x:c>
      <x:c r="W464" s="55" t="n">
        <x:v>7216</x:v>
      </x:c>
      <x:c r="X464" s="55" t="n">
        <x:v>2909</x:v>
      </x:c>
      <x:c r="Y464" s="55" t="n">
        <x:v>2382</x:v>
      </x:c>
      <x:c r="Z464" s="55" t="n">
        <x:v>3527</x:v>
      </x:c>
      <x:c r="AA464" s="55" t="n">
        <x:v>2971</x:v>
      </x:c>
      <x:c r="AB464" s="55" t="n">
        <x:v>1308</x:v>
      </x:c>
      <x:c r="AC464" s="55" t="n">
        <x:v>7986</x:v>
      </x:c>
      <x:c r="AD464" s="55" t="n">
        <x:v>2838</x:v>
      </x:c>
      <x:c r="AE464" s="55" t="n">
        <x:v>10305</x:v>
      </x:c>
      <x:c r="AF464" s="55" t="n">
        <x:v>10125</x:v>
      </x:c>
      <x:c r="AG464" s="55" t="n">
        <x:v>180</x:v>
      </x:c>
      <x:c r="AH464" s="55" t="n">
        <x:v>475</x:v>
      </x:c>
      <x:c r="AI464" s="55" t="n">
        <x:v>9650</x:v>
      </x:c>
      <x:c r="AJ464" s="55" t="n">
        <x:v>312</x:v>
      </x:c>
      <x:c r="AK464" s="55" t="n">
        <x:v>1266</x:v>
      </x:c>
      <x:c r="AL464" s="55" t="n">
        <x:v>2025</x:v>
      </x:c>
      <x:c r="AM464" s="55" t="n">
        <x:v>4188</x:v>
      </x:c>
      <x:c r="AN464" s="55" t="n">
        <x:v>2334</x:v>
      </x:c>
      <x:c r="AO464" s="55" t="n">
        <x:v>0</x:v>
      </x:c>
      <x:c r="AP464" s="55" t="n">
        <x:v>2258</x:v>
      </x:c>
      <x:c r="AQ464" s="55" t="n">
        <x:v>963</x:v>
      </x:c>
    </x:row>
    <x:row r="465">
      <x:c r="A465" s="54" t="str">
        <x:v>T1_SHARED_CATCHMENT</x:v>
      </x:c>
      <x:c r="B465" s="54" t="n">
        <x:v>459</x:v>
      </x:c>
      <x:c r="C465" s="54" t="str">
        <x:v>NYC-V2-R01</x:v>
      </x:c>
      <x:c r="D465" s="54" t="str">
        <x:v>V2</x:v>
      </x:c>
      <x:c r="E465" s="54" t="str">
        <x:v>ADMITTED</x:v>
      </x:c>
      <x:c r="F465" s="55" t="n">
        <x:v>31153</x:v>
      </x:c>
      <x:c r="G465" s="55" t="n">
        <x:v>7549</x:v>
      </x:c>
      <x:c r="H465" s="55" t="n">
        <x:v>3138</x:v>
      </x:c>
      <x:c r="I465" s="55" t="n">
        <x:v>1484</x:v>
      </x:c>
      <x:c r="J465" s="55" t="n">
        <x:v>82</x:v>
      </x:c>
      <x:c r="K465" s="55" t="n">
        <x:v>31153</x:v>
      </x:c>
      <x:c r="L465" s="55" t="n">
        <x:v>5141</x:v>
      </x:c>
      <x:c r="M465" s="55" t="n">
        <x:v>827</x:v>
      </x:c>
      <x:c r="N465" s="55" t="n">
        <x:v>2724</x:v>
      </x:c>
      <x:c r="O465" s="55" t="n">
        <x:v>1590</x:v>
      </x:c>
      <x:c r="P465" s="55" t="n">
        <x:v>298</x:v>
      </x:c>
      <x:c r="Q465" s="55" t="n">
        <x:v>1316</x:v>
      </x:c>
      <x:c r="R465" s="55" t="n">
        <x:v>1634</x:v>
      </x:c>
      <x:c r="S465" s="55" t="n">
        <x:v>2749</x:v>
      </x:c>
      <x:c r="T465" s="55" t="n">
        <x:v>1057</x:v>
      </x:c>
      <x:c r="U465" s="55" t="n">
        <x:v>2132</x:v>
      </x:c>
      <x:c r="V465" s="55" t="n">
        <x:v>10188</x:v>
      </x:c>
      <x:c r="W465" s="55" t="n">
        <x:v>7231</x:v>
      </x:c>
      <x:c r="X465" s="55" t="n">
        <x:v>2957</x:v>
      </x:c>
      <x:c r="Y465" s="55" t="n">
        <x:v>2233</x:v>
      </x:c>
      <x:c r="Z465" s="55" t="n">
        <x:v>3965</x:v>
      </x:c>
      <x:c r="AA465" s="55" t="n">
        <x:v>3138</x:v>
      </x:c>
      <x:c r="AB465" s="55" t="n">
        <x:v>1022</x:v>
      </x:c>
      <x:c r="AC465" s="55" t="n">
        <x:v>7861</x:v>
      </x:c>
      <x:c r="AD465" s="55" t="n">
        <x:v>2332</x:v>
      </x:c>
      <x:c r="AE465" s="55" t="n">
        <x:v>10267</x:v>
      </x:c>
      <x:c r="AF465" s="55" t="n">
        <x:v>10188</x:v>
      </x:c>
      <x:c r="AG465" s="55" t="n">
        <x:v>79</x:v>
      </x:c>
      <x:c r="AH465" s="55" t="n">
        <x:v>379</x:v>
      </x:c>
      <x:c r="AI465" s="55" t="n">
        <x:v>9809</x:v>
      </x:c>
      <x:c r="AJ465" s="55" t="n">
        <x:v>246</x:v>
      </x:c>
      <x:c r="AK465" s="55" t="n">
        <x:v>1136</x:v>
      </x:c>
      <x:c r="AL465" s="55" t="n">
        <x:v>1567</x:v>
      </x:c>
      <x:c r="AM465" s="55" t="n">
        <x:v>5263</x:v>
      </x:c>
      <x:c r="AN465" s="55" t="n">
        <x:v>1976</x:v>
      </x:c>
      <x:c r="AO465" s="55" t="n">
        <x:v>0</x:v>
      </x:c>
      <x:c r="AP465" s="55" t="n">
        <x:v>1965</x:v>
      </x:c>
      <x:c r="AQ465" s="55" t="n">
        <x:v>941</x:v>
      </x:c>
    </x:row>
    <x:row r="466">
      <x:c r="A466" s="54" t="str">
        <x:v>T1_SHARED_CATCHMENT</x:v>
      </x:c>
      <x:c r="B466" s="54" t="n">
        <x:v>460</x:v>
      </x:c>
      <x:c r="C466" s="54" t="str">
        <x:v>NYC-V2-R01</x:v>
      </x:c>
      <x:c r="D466" s="54" t="str">
        <x:v>V2</x:v>
      </x:c>
      <x:c r="E466" s="54" t="str">
        <x:v>ADMITTED</x:v>
      </x:c>
      <x:c r="F466" s="55" t="n">
        <x:v>31103</x:v>
      </x:c>
      <x:c r="G466" s="55" t="n">
        <x:v>7210</x:v>
      </x:c>
      <x:c r="H466" s="55" t="n">
        <x:v>3905</x:v>
      </x:c>
      <x:c r="I466" s="55" t="n">
        <x:v>1525</x:v>
      </x:c>
      <x:c r="J466" s="55" t="n">
        <x:v>204</x:v>
      </x:c>
      <x:c r="K466" s="55" t="n">
        <x:v>28891</x:v>
      </x:c>
      <x:c r="L466" s="55" t="n">
        <x:v>4517</x:v>
      </x:c>
      <x:c r="M466" s="55" t="n">
        <x:v>47</x:v>
      </x:c>
      <x:c r="N466" s="55" t="n">
        <x:v>2701</x:v>
      </x:c>
      <x:c r="O466" s="55" t="n">
        <x:v>1769</x:v>
      </x:c>
      <x:c r="P466" s="55" t="n">
        <x:v>526</x:v>
      </x:c>
      <x:c r="Q466" s="55" t="n">
        <x:v>2945</x:v>
      </x:c>
      <x:c r="R466" s="55" t="n">
        <x:v>1601</x:v>
      </x:c>
      <x:c r="S466" s="55" t="n">
        <x:v>2354</x:v>
      </x:c>
      <x:c r="T466" s="55" t="n">
        <x:v>1246</x:v>
      </x:c>
      <x:c r="U466" s="55" t="n">
        <x:v>2122</x:v>
      </x:c>
      <x:c r="V466" s="55" t="n">
        <x:v>10069</x:v>
      </x:c>
      <x:c r="W466" s="55" t="n">
        <x:v>7159</x:v>
      </x:c>
      <x:c r="X466" s="55" t="n">
        <x:v>2910</x:v>
      </x:c>
      <x:c r="Y466" s="55" t="n">
        <x:v>2481</x:v>
      </x:c>
      <x:c r="Z466" s="55" t="n">
        <x:v>3770</x:v>
      </x:c>
      <x:c r="AA466" s="55" t="n">
        <x:v>3093</x:v>
      </x:c>
      <x:c r="AB466" s="55" t="n">
        <x:v>1434</x:v>
      </x:c>
      <x:c r="AC466" s="55" t="n">
        <x:v>7753</x:v>
      </x:c>
      <x:c r="AD466" s="55" t="n">
        <x:v>3101</x:v>
      </x:c>
      <x:c r="AE466" s="55" t="n">
        <x:v>10227</x:v>
      </x:c>
      <x:c r="AF466" s="55" t="n">
        <x:v>10069</x:v>
      </x:c>
      <x:c r="AG466" s="55" t="n">
        <x:v>158</x:v>
      </x:c>
      <x:c r="AH466" s="55" t="n">
        <x:v>387</x:v>
      </x:c>
      <x:c r="AI466" s="55" t="n">
        <x:v>9682</x:v>
      </x:c>
      <x:c r="AJ466" s="55" t="n">
        <x:v>191</x:v>
      </x:c>
      <x:c r="AK466" s="55" t="n">
        <x:v>1095</x:v>
      </x:c>
      <x:c r="AL466" s="55" t="n">
        <x:v>1693</x:v>
      </x:c>
      <x:c r="AM466" s="55" t="n">
        <x:v>4734</x:v>
      </x:c>
      <x:c r="AN466" s="55" t="n">
        <x:v>2261</x:v>
      </x:c>
      <x:c r="AO466" s="55" t="n">
        <x:v>95</x:v>
      </x:c>
      <x:c r="AP466" s="55" t="n">
        <x:v>2087</x:v>
      </x:c>
      <x:c r="AQ466" s="55" t="n">
        <x:v>945</x:v>
      </x:c>
    </x:row>
    <x:row r="467">
      <x:c r="A467" s="54" t="str">
        <x:v>T1_SHARED_CATCHMENT</x:v>
      </x:c>
      <x:c r="B467" s="54" t="n">
        <x:v>461</x:v>
      </x:c>
      <x:c r="C467" s="54" t="str">
        <x:v>NYC-V2-R01</x:v>
      </x:c>
      <x:c r="D467" s="54" t="str">
        <x:v>V2</x:v>
      </x:c>
      <x:c r="E467" s="54" t="str">
        <x:v>ADMITTED</x:v>
      </x:c>
      <x:c r="F467" s="55" t="n">
        <x:v>29748</x:v>
      </x:c>
      <x:c r="G467" s="55" t="n">
        <x:v>7407</x:v>
      </x:c>
      <x:c r="H467" s="55" t="n">
        <x:v>2984</x:v>
      </x:c>
      <x:c r="I467" s="55" t="n">
        <x:v>1048</x:v>
      </x:c>
      <x:c r="J467" s="55" t="n">
        <x:v>341</x:v>
      </x:c>
      <x:c r="K467" s="55" t="n">
        <x:v>29748</x:v>
      </x:c>
      <x:c r="L467" s="55" t="n">
        <x:v>4885</x:v>
      </x:c>
      <x:c r="M467" s="55" t="n">
        <x:v>995</x:v>
      </x:c>
      <x:c r="N467" s="55" t="n">
        <x:v>2312</x:v>
      </x:c>
      <x:c r="O467" s="55" t="n">
        <x:v>1578</x:v>
      </x:c>
      <x:c r="P467" s="55" t="n">
        <x:v>471</x:v>
      </x:c>
      <x:c r="Q467" s="55" t="n">
        <x:v>2078</x:v>
      </x:c>
      <x:c r="R467" s="55" t="n">
        <x:v>1265</x:v>
      </x:c>
      <x:c r="S467" s="55" t="n">
        <x:v>2884</x:v>
      </x:c>
      <x:c r="T467" s="55" t="n">
        <x:v>693</x:v>
      </x:c>
      <x:c r="U467" s="55" t="n">
        <x:v>1848</x:v>
      </x:c>
      <x:c r="V467" s="55" t="n">
        <x:v>10386</x:v>
      </x:c>
      <x:c r="W467" s="55" t="n">
        <x:v>7775</x:v>
      </x:c>
      <x:c r="X467" s="55" t="n">
        <x:v>2611</x:v>
      </x:c>
      <x:c r="Y467" s="55" t="n">
        <x:v>2359</x:v>
      </x:c>
      <x:c r="Z467" s="55" t="n">
        <x:v>2748</x:v>
      </x:c>
      <x:c r="AA467" s="55" t="n">
        <x:v>2806</x:v>
      </x:c>
      <x:c r="AB467" s="55" t="n">
        <x:v>936</x:v>
      </x:c>
      <x:c r="AC467" s="55" t="n">
        <x:v>8166</x:v>
      </x:c>
      <x:c r="AD467" s="55" t="n">
        <x:v>2140</x:v>
      </x:c>
      <x:c r="AE467" s="55" t="n">
        <x:v>10464</x:v>
      </x:c>
      <x:c r="AF467" s="55" t="n">
        <x:v>10386</x:v>
      </x:c>
      <x:c r="AG467" s="55" t="n">
        <x:v>78</x:v>
      </x:c>
      <x:c r="AH467" s="55" t="n">
        <x:v>313</x:v>
      </x:c>
      <x:c r="AI467" s="55" t="n">
        <x:v>10073</x:v>
      </x:c>
      <x:c r="AJ467" s="55" t="n">
        <x:v>469</x:v>
      </x:c>
      <x:c r="AK467" s="55" t="n">
        <x:v>853</x:v>
      </x:c>
      <x:c r="AL467" s="55" t="n">
        <x:v>1546</x:v>
      </x:c>
      <x:c r="AM467" s="55" t="n">
        <x:v>4990</x:v>
      </x:c>
      <x:c r="AN467" s="55" t="n">
        <x:v>2528</x:v>
      </x:c>
      <x:c r="AO467" s="55" t="n">
        <x:v>0</x:v>
      </x:c>
      <x:c r="AP467" s="55" t="n">
        <x:v>2445</x:v>
      </x:c>
      <x:c r="AQ467" s="55" t="n">
        <x:v>920</x:v>
      </x:c>
    </x:row>
    <x:row r="468">
      <x:c r="A468" s="54" t="str">
        <x:v>T1_SHARED_CATCHMENT</x:v>
      </x:c>
      <x:c r="B468" s="54" t="n">
        <x:v>462</x:v>
      </x:c>
      <x:c r="C468" s="54" t="str">
        <x:v>NYC-V2-R01</x:v>
      </x:c>
      <x:c r="D468" s="54" t="str">
        <x:v>V2</x:v>
      </x:c>
      <x:c r="E468" s="54" t="str">
        <x:v>ADMITTED</x:v>
      </x:c>
      <x:c r="F468" s="55" t="n">
        <x:v>29886</x:v>
      </x:c>
      <x:c r="G468" s="55" t="n">
        <x:v>6808</x:v>
      </x:c>
      <x:c r="H468" s="55" t="n">
        <x:v>3529</x:v>
      </x:c>
      <x:c r="I468" s="55" t="n">
        <x:v>1050</x:v>
      </x:c>
      <x:c r="J468" s="55" t="n">
        <x:v>159</x:v>
      </x:c>
      <x:c r="K468" s="55" t="n">
        <x:v>27492</x:v>
      </x:c>
      <x:c r="L468" s="55" t="n">
        <x:v>4096</x:v>
      </x:c>
      <x:c r="M468" s="55" t="n">
        <x:v>0</x:v>
      </x:c>
      <x:c r="N468" s="55" t="n">
        <x:v>2375</x:v>
      </x:c>
      <x:c r="O468" s="55" t="n">
        <x:v>1721</x:v>
      </x:c>
      <x:c r="P468" s="55" t="n">
        <x:v>506</x:v>
      </x:c>
      <x:c r="Q468" s="55" t="n">
        <x:v>1852</x:v>
      </x:c>
      <x:c r="R468" s="55" t="n">
        <x:v>1730</x:v>
      </x:c>
      <x:c r="S468" s="55" t="n">
        <x:v>1836</x:v>
      </x:c>
      <x:c r="T468" s="55" t="n">
        <x:v>1016</x:v>
      </x:c>
      <x:c r="U468" s="55" t="n">
        <x:v>1509</x:v>
      </x:c>
      <x:c r="V468" s="55" t="n">
        <x:v>9712</x:v>
      </x:c>
      <x:c r="W468" s="55" t="n">
        <x:v>7021</x:v>
      </x:c>
      <x:c r="X468" s="55" t="n">
        <x:v>2691</x:v>
      </x:c>
      <x:c r="Y468" s="55" t="n">
        <x:v>2257</x:v>
      </x:c>
      <x:c r="Z468" s="55" t="n">
        <x:v>3518</x:v>
      </x:c>
      <x:c r="AA468" s="55" t="n">
        <x:v>3529</x:v>
      </x:c>
      <x:c r="AB468" s="55" t="n">
        <x:v>987</x:v>
      </x:c>
      <x:c r="AC468" s="55" t="n">
        <x:v>8085</x:v>
      </x:c>
      <x:c r="AD468" s="55" t="n">
        <x:v>2232</x:v>
      </x:c>
      <x:c r="AE468" s="55" t="n">
        <x:v>9777</x:v>
      </x:c>
      <x:c r="AF468" s="55" t="n">
        <x:v>9712</x:v>
      </x:c>
      <x:c r="AG468" s="55" t="n">
        <x:v>65</x:v>
      </x:c>
      <x:c r="AH468" s="55" t="n">
        <x:v>445</x:v>
      </x:c>
      <x:c r="AI468" s="55" t="n">
        <x:v>9267</x:v>
      </x:c>
      <x:c r="AJ468" s="55" t="n">
        <x:v>202</x:v>
      </x:c>
      <x:c r="AK468" s="55" t="n">
        <x:v>409</x:v>
      </x:c>
      <x:c r="AL468" s="55" t="n">
        <x:v>1505</x:v>
      </x:c>
      <x:c r="AM468" s="55" t="n">
        <x:v>4479</x:v>
      </x:c>
      <x:c r="AN468" s="55" t="n">
        <x:v>3093</x:v>
      </x:c>
      <x:c r="AO468" s="55" t="n">
        <x:v>24</x:v>
      </x:c>
      <x:c r="AP468" s="55" t="n">
        <x:v>1995</x:v>
      </x:c>
      <x:c r="AQ468" s="55" t="n">
        <x:v>913</x:v>
      </x:c>
    </x:row>
    <x:row r="469">
      <x:c r="A469" s="54" t="str">
        <x:v>T1_SHARED_CATCHMENT</x:v>
      </x:c>
      <x:c r="B469" s="54" t="n">
        <x:v>463</x:v>
      </x:c>
      <x:c r="C469" s="54" t="str">
        <x:v>NYC-V2-R01</x:v>
      </x:c>
      <x:c r="D469" s="54" t="str">
        <x:v>V2</x:v>
      </x:c>
      <x:c r="E469" s="54" t="str">
        <x:v>ADMITTED</x:v>
      </x:c>
      <x:c r="F469" s="55" t="n">
        <x:v>33405</x:v>
      </x:c>
      <x:c r="G469" s="55" t="n">
        <x:v>7522</x:v>
      </x:c>
      <x:c r="H469" s="55" t="n">
        <x:v>3539</x:v>
      </x:c>
      <x:c r="I469" s="55" t="n">
        <x:v>1260</x:v>
      </x:c>
      <x:c r="J469" s="55" t="n">
        <x:v>435</x:v>
      </x:c>
      <x:c r="K469" s="55" t="n">
        <x:v>33405</x:v>
      </x:c>
      <x:c r="L469" s="55" t="n">
        <x:v>6509</x:v>
      </x:c>
      <x:c r="M469" s="55" t="n">
        <x:v>1531</x:v>
      </x:c>
      <x:c r="N469" s="55" t="n">
        <x:v>2745</x:v>
      </x:c>
      <x:c r="O469" s="55" t="n">
        <x:v>2233</x:v>
      </x:c>
      <x:c r="P469" s="55" t="n">
        <x:v>1052</x:v>
      </x:c>
      <x:c r="Q469" s="55" t="n">
        <x:v>2985</x:v>
      </x:c>
      <x:c r="R469" s="55" t="n">
        <x:v>1786</x:v>
      </x:c>
      <x:c r="S469" s="55" t="n">
        <x:v>2494</x:v>
      </x:c>
      <x:c r="T469" s="55" t="n">
        <x:v>1337</x:v>
      </x:c>
      <x:c r="U469" s="55" t="n">
        <x:v>2322</x:v>
      </x:c>
      <x:c r="V469" s="55" t="n">
        <x:v>10298</x:v>
      </x:c>
      <x:c r="W469" s="55" t="n">
        <x:v>6954</x:v>
      </x:c>
      <x:c r="X469" s="55" t="n">
        <x:v>3344</x:v>
      </x:c>
      <x:c r="Y469" s="55" t="n">
        <x:v>2825</x:v>
      </x:c>
      <x:c r="Z469" s="55" t="n">
        <x:v>4166</x:v>
      </x:c>
      <x:c r="AA469" s="55" t="n">
        <x:v>3363</x:v>
      </x:c>
      <x:c r="AB469" s="55" t="n">
        <x:v>1458</x:v>
      </x:c>
      <x:c r="AC469" s="55" t="n">
        <x:v>9008</x:v>
      </x:c>
      <x:c r="AD469" s="55" t="n">
        <x:v>3819</x:v>
      </x:c>
      <x:c r="AE469" s="55" t="n">
        <x:v>10499</x:v>
      </x:c>
      <x:c r="AF469" s="55" t="n">
        <x:v>10298</x:v>
      </x:c>
      <x:c r="AG469" s="55" t="n">
        <x:v>201</x:v>
      </x:c>
      <x:c r="AH469" s="55" t="n">
        <x:v>253</x:v>
      </x:c>
      <x:c r="AI469" s="55" t="n">
        <x:v>10045</x:v>
      </x:c>
      <x:c r="AJ469" s="55" t="n">
        <x:v>296</x:v>
      </x:c>
      <x:c r="AK469" s="55" t="n">
        <x:v>1274</x:v>
      </x:c>
      <x:c r="AL469" s="55" t="n">
        <x:v>1670</x:v>
      </x:c>
      <x:c r="AM469" s="55" t="n">
        <x:v>4780</x:v>
      </x:c>
      <x:c r="AN469" s="55" t="n">
        <x:v>2217</x:v>
      </x:c>
      <x:c r="AO469" s="55" t="n">
        <x:v>61</x:v>
      </x:c>
      <x:c r="AP469" s="55" t="n">
        <x:v>2148</x:v>
      </x:c>
      <x:c r="AQ469" s="55" t="n">
        <x:v>968</x:v>
      </x:c>
    </x:row>
    <x:row r="470">
      <x:c r="A470" s="54" t="str">
        <x:v>T1_SHARED_CATCHMENT</x:v>
      </x:c>
      <x:c r="B470" s="54" t="n">
        <x:v>464</x:v>
      </x:c>
      <x:c r="C470" s="54" t="str">
        <x:v>NYC-V2-R01</x:v>
      </x:c>
      <x:c r="D470" s="54" t="str">
        <x:v>V2</x:v>
      </x:c>
      <x:c r="E470" s="54" t="str">
        <x:v>ADMITTED</x:v>
      </x:c>
      <x:c r="F470" s="55" t="n">
        <x:v>31110</x:v>
      </x:c>
      <x:c r="G470" s="55" t="n">
        <x:v>8112</x:v>
      </x:c>
      <x:c r="H470" s="55" t="n">
        <x:v>3029</x:v>
      </x:c>
      <x:c r="I470" s="55" t="n">
        <x:v>1106</x:v>
      </x:c>
      <x:c r="J470" s="55" t="n">
        <x:v>247</x:v>
      </x:c>
      <x:c r="K470" s="55" t="n">
        <x:v>30730</x:v>
      </x:c>
      <x:c r="L470" s="55" t="n">
        <x:v>6039</x:v>
      </x:c>
      <x:c r="M470" s="55" t="n">
        <x:v>1890</x:v>
      </x:c>
      <x:c r="N470" s="55" t="n">
        <x:v>2358</x:v>
      </x:c>
      <x:c r="O470" s="55" t="n">
        <x:v>1791</x:v>
      </x:c>
      <x:c r="P470" s="55" t="n">
        <x:v>696</x:v>
      </x:c>
      <x:c r="Q470" s="55" t="n">
        <x:v>2915</x:v>
      </x:c>
      <x:c r="R470" s="55" t="n">
        <x:v>2044</x:v>
      </x:c>
      <x:c r="S470" s="55" t="n">
        <x:v>3306</x:v>
      </x:c>
      <x:c r="T470" s="55" t="n">
        <x:v>1431</x:v>
      </x:c>
      <x:c r="U470" s="55" t="n">
        <x:v>2403</x:v>
      </x:c>
      <x:c r="V470" s="55" t="n">
        <x:v>10377</x:v>
      </x:c>
      <x:c r="W470" s="55" t="n">
        <x:v>7892</x:v>
      </x:c>
      <x:c r="X470" s="55" t="n">
        <x:v>2485</x:v>
      </x:c>
      <x:c r="Y470" s="55" t="n">
        <x:v>2298</x:v>
      </x:c>
      <x:c r="Z470" s="55" t="n">
        <x:v>3842</x:v>
      </x:c>
      <x:c r="AA470" s="55" t="n">
        <x:v>2561</x:v>
      </x:c>
      <x:c r="AB470" s="55" t="n">
        <x:v>1031</x:v>
      </x:c>
      <x:c r="AC470" s="55" t="n">
        <x:v>7845</x:v>
      </x:c>
      <x:c r="AD470" s="55" t="n">
        <x:v>2756</x:v>
      </x:c>
      <x:c r="AE470" s="55" t="n">
        <x:v>10481</x:v>
      </x:c>
      <x:c r="AF470" s="55" t="n">
        <x:v>10377</x:v>
      </x:c>
      <x:c r="AG470" s="55" t="n">
        <x:v>104</x:v>
      </x:c>
      <x:c r="AH470" s="55" t="n">
        <x:v>541</x:v>
      </x:c>
      <x:c r="AI470" s="55" t="n">
        <x:v>9836</x:v>
      </x:c>
      <x:c r="AJ470" s="55" t="n">
        <x:v>468</x:v>
      </x:c>
      <x:c r="AK470" s="55" t="n">
        <x:v>1100</x:v>
      </x:c>
      <x:c r="AL470" s="55" t="n">
        <x:v>1431</x:v>
      </x:c>
      <x:c r="AM470" s="55" t="n">
        <x:v>4379</x:v>
      </x:c>
      <x:c r="AN470" s="55" t="n">
        <x:v>2999</x:v>
      </x:c>
      <x:c r="AO470" s="55" t="n">
        <x:v>0</x:v>
      </x:c>
      <x:c r="AP470" s="55" t="n">
        <x:v>2261</x:v>
      </x:c>
      <x:c r="AQ470" s="55" t="n">
        <x:v>942</x:v>
      </x:c>
    </x:row>
    <x:row r="471">
      <x:c r="A471" s="54" t="str">
        <x:v>T1_SHARED_CATCHMENT</x:v>
      </x:c>
      <x:c r="B471" s="54" t="n">
        <x:v>465</x:v>
      </x:c>
      <x:c r="C471" s="54" t="str">
        <x:v>NYC-V2-R01</x:v>
      </x:c>
      <x:c r="D471" s="54" t="str">
        <x:v>V2</x:v>
      </x:c>
      <x:c r="E471" s="54" t="str">
        <x:v>ADMITTED</x:v>
      </x:c>
      <x:c r="F471" s="55" t="n">
        <x:v>33776</x:v>
      </x:c>
      <x:c r="G471" s="55" t="n">
        <x:v>8752</x:v>
      </x:c>
      <x:c r="H471" s="55" t="n">
        <x:v>3918</x:v>
      </x:c>
      <x:c r="I471" s="55" t="n">
        <x:v>1304</x:v>
      </x:c>
      <x:c r="J471" s="55" t="n">
        <x:v>362</x:v>
      </x:c>
      <x:c r="K471" s="55" t="n">
        <x:v>28198</x:v>
      </x:c>
      <x:c r="L471" s="55" t="n">
        <x:v>5222</x:v>
      </x:c>
      <x:c r="M471" s="55" t="n">
        <x:v>965</x:v>
      </x:c>
      <x:c r="N471" s="55" t="n">
        <x:v>2549</x:v>
      </x:c>
      <x:c r="O471" s="55" t="n">
        <x:v>1708</x:v>
      </x:c>
      <x:c r="P471" s="55" t="n">
        <x:v>385</x:v>
      </x:c>
      <x:c r="Q471" s="55" t="n">
        <x:v>2340</x:v>
      </x:c>
      <x:c r="R471" s="55" t="n">
        <x:v>2130</x:v>
      </x:c>
      <x:c r="S471" s="55" t="n">
        <x:v>2459</x:v>
      </x:c>
      <x:c r="T471" s="55" t="n">
        <x:v>798</x:v>
      </x:c>
      <x:c r="U471" s="55" t="n">
        <x:v>2417</x:v>
      </x:c>
      <x:c r="V471" s="55" t="n">
        <x:v>11033</x:v>
      </x:c>
      <x:c r="W471" s="55" t="n">
        <x:v>7798</x:v>
      </x:c>
      <x:c r="X471" s="55" t="n">
        <x:v>3235</x:v>
      </x:c>
      <x:c r="Y471" s="55" t="n">
        <x:v>3003</x:v>
      </x:c>
      <x:c r="Z471" s="55" t="n">
        <x:v>3678</x:v>
      </x:c>
      <x:c r="AA471" s="55" t="n">
        <x:v>3272</x:v>
      </x:c>
      <x:c r="AB471" s="55" t="n">
        <x:v>1240</x:v>
      </x:c>
      <x:c r="AC471" s="55" t="n">
        <x:v>7945</x:v>
      </x:c>
      <x:c r="AD471" s="55" t="n">
        <x:v>2523</x:v>
      </x:c>
      <x:c r="AE471" s="55" t="n">
        <x:v>11161</x:v>
      </x:c>
      <x:c r="AF471" s="55" t="n">
        <x:v>11033</x:v>
      </x:c>
      <x:c r="AG471" s="55" t="n">
        <x:v>128</x:v>
      </x:c>
      <x:c r="AH471" s="55" t="n">
        <x:v>268</x:v>
      </x:c>
      <x:c r="AI471" s="55" t="n">
        <x:v>10765</x:v>
      </x:c>
      <x:c r="AJ471" s="55" t="n">
        <x:v>268</x:v>
      </x:c>
      <x:c r="AK471" s="55" t="n">
        <x:v>1055</x:v>
      </x:c>
      <x:c r="AL471" s="55" t="n">
        <x:v>1939</x:v>
      </x:c>
      <x:c r="AM471" s="55" t="n">
        <x:v>5336</x:v>
      </x:c>
      <x:c r="AN471" s="55" t="n">
        <x:v>2435</x:v>
      </x:c>
      <x:c r="AO471" s="55" t="n">
        <x:v>0</x:v>
      </x:c>
      <x:c r="AP471" s="55" t="n">
        <x:v>2353</x:v>
      </x:c>
      <x:c r="AQ471" s="55" t="n">
        <x:v>957</x:v>
      </x:c>
    </x:row>
    <x:row r="472">
      <x:c r="A472" s="54" t="str">
        <x:v>T1_SHARED_CATCHMENT</x:v>
      </x:c>
      <x:c r="B472" s="54" t="n">
        <x:v>466</x:v>
      </x:c>
      <x:c r="C472" s="54" t="str">
        <x:v>NYC-V2-R01</x:v>
      </x:c>
      <x:c r="D472" s="54" t="str">
        <x:v>V2</x:v>
      </x:c>
      <x:c r="E472" s="54" t="str">
        <x:v>ADMITTED</x:v>
      </x:c>
      <x:c r="F472" s="55" t="n">
        <x:v>30448</x:v>
      </x:c>
      <x:c r="G472" s="55" t="n">
        <x:v>7663</x:v>
      </x:c>
      <x:c r="H472" s="55" t="n">
        <x:v>3041</x:v>
      </x:c>
      <x:c r="I472" s="55" t="n">
        <x:v>1039</x:v>
      </x:c>
      <x:c r="J472" s="55" t="n">
        <x:v>98</x:v>
      </x:c>
      <x:c r="K472" s="55" t="n">
        <x:v>30448</x:v>
      </x:c>
      <x:c r="L472" s="55" t="n">
        <x:v>6590</x:v>
      </x:c>
      <x:c r="M472" s="55" t="n">
        <x:v>1360</x:v>
      </x:c>
      <x:c r="N472" s="55" t="n">
        <x:v>2748</x:v>
      </x:c>
      <x:c r="O472" s="55" t="n">
        <x:v>2482</x:v>
      </x:c>
      <x:c r="P472" s="55" t="n">
        <x:v>687</x:v>
      </x:c>
      <x:c r="Q472" s="55" t="n">
        <x:v>2831</x:v>
      </x:c>
      <x:c r="R472" s="55" t="n">
        <x:v>1940</x:v>
      </x:c>
      <x:c r="S472" s="55" t="n">
        <x:v>2829</x:v>
      </x:c>
      <x:c r="T472" s="55" t="n">
        <x:v>1296</x:v>
      </x:c>
      <x:c r="U472" s="55" t="n">
        <x:v>2660</x:v>
      </x:c>
      <x:c r="V472" s="55" t="n">
        <x:v>10524</x:v>
      </x:c>
      <x:c r="W472" s="55" t="n">
        <x:v>7240</x:v>
      </x:c>
      <x:c r="X472" s="55" t="n">
        <x:v>3284</x:v>
      </x:c>
      <x:c r="Y472" s="55" t="n">
        <x:v>2941</x:v>
      </x:c>
      <x:c r="Z472" s="55" t="n">
        <x:v>3968</x:v>
      </x:c>
      <x:c r="AA472" s="55" t="n">
        <x:v>2495</x:v>
      </x:c>
      <x:c r="AB472" s="55" t="n">
        <x:v>723</x:v>
      </x:c>
      <x:c r="AC472" s="55" t="n">
        <x:v>8458</x:v>
      </x:c>
      <x:c r="AD472" s="55" t="n">
        <x:v>2578</x:v>
      </x:c>
      <x:c r="AE472" s="55" t="n">
        <x:v>10559</x:v>
      </x:c>
      <x:c r="AF472" s="55" t="n">
        <x:v>10524</x:v>
      </x:c>
      <x:c r="AG472" s="55" t="n">
        <x:v>35</x:v>
      </x:c>
      <x:c r="AH472" s="55" t="n">
        <x:v>360</x:v>
      </x:c>
      <x:c r="AI472" s="55" t="n">
        <x:v>10164</x:v>
      </x:c>
      <x:c r="AJ472" s="55" t="n">
        <x:v>246</x:v>
      </x:c>
      <x:c r="AK472" s="55" t="n">
        <x:v>673</x:v>
      </x:c>
      <x:c r="AL472" s="55" t="n">
        <x:v>1590</x:v>
      </x:c>
      <x:c r="AM472" s="55" t="n">
        <x:v>5406</x:v>
      </x:c>
      <x:c r="AN472" s="55" t="n">
        <x:v>2592</x:v>
      </x:c>
      <x:c r="AO472" s="55" t="n">
        <x:v>17</x:v>
      </x:c>
      <x:c r="AP472" s="55" t="n">
        <x:v>2073</x:v>
      </x:c>
      <x:c r="AQ472" s="55" t="n">
        <x:v>971</x:v>
      </x:c>
    </x:row>
    <x:row r="473">
      <x:c r="A473" s="54" t="str">
        <x:v>T1_SHARED_CATCHMENT</x:v>
      </x:c>
      <x:c r="B473" s="54" t="n">
        <x:v>467</x:v>
      </x:c>
      <x:c r="C473" s="54" t="str">
        <x:v>NYC-V2-R01</x:v>
      </x:c>
      <x:c r="D473" s="54" t="str">
        <x:v>V2</x:v>
      </x:c>
      <x:c r="E473" s="54" t="str">
        <x:v>ADMITTED</x:v>
      </x:c>
      <x:c r="F473" s="55" t="n">
        <x:v>29966</x:v>
      </x:c>
      <x:c r="G473" s="55" t="n">
        <x:v>7756</x:v>
      </x:c>
      <x:c r="H473" s="55" t="n">
        <x:v>3195</x:v>
      </x:c>
      <x:c r="I473" s="55" t="n">
        <x:v>1252</x:v>
      </x:c>
      <x:c r="J473" s="55" t="n">
        <x:v>150</x:v>
      </x:c>
      <x:c r="K473" s="55" t="n">
        <x:v>28515</x:v>
      </x:c>
      <x:c r="L473" s="55" t="n">
        <x:v>4765</x:v>
      </x:c>
      <x:c r="M473" s="55" t="n">
        <x:v>1074</x:v>
      </x:c>
      <x:c r="N473" s="55" t="n">
        <x:v>2179</x:v>
      </x:c>
      <x:c r="O473" s="55" t="n">
        <x:v>1512</x:v>
      </x:c>
      <x:c r="P473" s="55" t="n">
        <x:v>728</x:v>
      </x:c>
      <x:c r="Q473" s="55" t="n">
        <x:v>788</x:v>
      </x:c>
      <x:c r="R473" s="55" t="n">
        <x:v>2164</x:v>
      </x:c>
      <x:c r="S473" s="55" t="n">
        <x:v>2759</x:v>
      </x:c>
      <x:c r="T473" s="55" t="n">
        <x:v>1305</x:v>
      </x:c>
      <x:c r="U473" s="55" t="n">
        <x:v>2240</x:v>
      </x:c>
      <x:c r="V473" s="55" t="n">
        <x:v>10611</x:v>
      </x:c>
      <x:c r="W473" s="55" t="n">
        <x:v>7485</x:v>
      </x:c>
      <x:c r="X473" s="55" t="n">
        <x:v>3126</x:v>
      </x:c>
      <x:c r="Y473" s="55" t="n">
        <x:v>2769</x:v>
      </x:c>
      <x:c r="Z473" s="55" t="n">
        <x:v>3920</x:v>
      </x:c>
      <x:c r="AA473" s="55" t="n">
        <x:v>2730</x:v>
      </x:c>
      <x:c r="AB473" s="55" t="n">
        <x:v>1059</x:v>
      </x:c>
      <x:c r="AC473" s="55" t="n">
        <x:v>7492</x:v>
      </x:c>
      <x:c r="AD473" s="55" t="n">
        <x:v>2764</x:v>
      </x:c>
      <x:c r="AE473" s="55" t="n">
        <x:v>10611</x:v>
      </x:c>
      <x:c r="AF473" s="55" t="n">
        <x:v>10611</x:v>
      </x:c>
      <x:c r="AG473" s="55" t="n">
        <x:v>0</x:v>
      </x:c>
      <x:c r="AH473" s="55" t="n">
        <x:v>645</x:v>
      </x:c>
      <x:c r="AI473" s="55" t="n">
        <x:v>9966</x:v>
      </x:c>
      <x:c r="AJ473" s="55" t="n">
        <x:v>278</x:v>
      </x:c>
      <x:c r="AK473" s="55" t="n">
        <x:v>884</x:v>
      </x:c>
      <x:c r="AL473" s="55" t="n">
        <x:v>1508</x:v>
      </x:c>
      <x:c r="AM473" s="55" t="n">
        <x:v>4916</x:v>
      </x:c>
      <x:c r="AN473" s="55" t="n">
        <x:v>3020</x:v>
      </x:c>
      <x:c r="AO473" s="55" t="n">
        <x:v>5</x:v>
      </x:c>
      <x:c r="AP473" s="55" t="n">
        <x:v>2426</x:v>
      </x:c>
      <x:c r="AQ473" s="55" t="n">
        <x:v>934</x:v>
      </x:c>
    </x:row>
    <x:row r="474">
      <x:c r="A474" s="54" t="str">
        <x:v>T1_SHARED_CATCHMENT</x:v>
      </x:c>
      <x:c r="B474" s="54" t="n">
        <x:v>468</x:v>
      </x:c>
      <x:c r="C474" s="54" t="str">
        <x:v>NYC-V2-R01</x:v>
      </x:c>
      <x:c r="D474" s="54" t="str">
        <x:v>V2</x:v>
      </x:c>
      <x:c r="E474" s="54" t="str">
        <x:v>ADMITTED</x:v>
      </x:c>
      <x:c r="F474" s="55" t="n">
        <x:v>31692</x:v>
      </x:c>
      <x:c r="G474" s="55" t="n">
        <x:v>7607</x:v>
      </x:c>
      <x:c r="H474" s="55" t="n">
        <x:v>3180</x:v>
      </x:c>
      <x:c r="I474" s="55" t="n">
        <x:v>1060</x:v>
      </x:c>
      <x:c r="J474" s="55" t="n">
        <x:v>258</x:v>
      </x:c>
      <x:c r="K474" s="55" t="n">
        <x:v>31692</x:v>
      </x:c>
      <x:c r="L474" s="55" t="n">
        <x:v>6907</x:v>
      </x:c>
      <x:c r="M474" s="55" t="n">
        <x:v>2047</x:v>
      </x:c>
      <x:c r="N474" s="55" t="n">
        <x:v>3279</x:v>
      </x:c>
      <x:c r="O474" s="55" t="n">
        <x:v>1581</x:v>
      </x:c>
      <x:c r="P474" s="55" t="n">
        <x:v>626</x:v>
      </x:c>
      <x:c r="Q474" s="55" t="n">
        <x:v>1215</x:v>
      </x:c>
      <x:c r="R474" s="55" t="n">
        <x:v>1561</x:v>
      </x:c>
      <x:c r="S474" s="55" t="n">
        <x:v>3040</x:v>
      </x:c>
      <x:c r="T474" s="55" t="n">
        <x:v>1074</x:v>
      </x:c>
      <x:c r="U474" s="55" t="n">
        <x:v>2163</x:v>
      </x:c>
      <x:c r="V474" s="55" t="n">
        <x:v>10352</x:v>
      </x:c>
      <x:c r="W474" s="55" t="n">
        <x:v>7373</x:v>
      </x:c>
      <x:c r="X474" s="55" t="n">
        <x:v>2979</x:v>
      </x:c>
      <x:c r="Y474" s="55" t="n">
        <x:v>2628</x:v>
      </x:c>
      <x:c r="Z474" s="55" t="n">
        <x:v>3750</x:v>
      </x:c>
      <x:c r="AA474" s="55" t="n">
        <x:v>3180</x:v>
      </x:c>
      <x:c r="AB474" s="55" t="n">
        <x:v>969</x:v>
      </x:c>
      <x:c r="AC474" s="55" t="n">
        <x:v>8171</x:v>
      </x:c>
      <x:c r="AD474" s="55" t="n">
        <x:v>2731</x:v>
      </x:c>
      <x:c r="AE474" s="55" t="n">
        <x:v>10472</x:v>
      </x:c>
      <x:c r="AF474" s="55" t="n">
        <x:v>10352</x:v>
      </x:c>
      <x:c r="AG474" s="55" t="n">
        <x:v>120</x:v>
      </x:c>
      <x:c r="AH474" s="55" t="n">
        <x:v>515</x:v>
      </x:c>
      <x:c r="AI474" s="55" t="n">
        <x:v>9837</x:v>
      </x:c>
      <x:c r="AJ474" s="55" t="n">
        <x:v>188</x:v>
      </x:c>
      <x:c r="AK474" s="55" t="n">
        <x:v>894</x:v>
      </x:c>
      <x:c r="AL474" s="55" t="n">
        <x:v>1546</x:v>
      </x:c>
      <x:c r="AM474" s="55" t="n">
        <x:v>4915</x:v>
      </x:c>
      <x:c r="AN474" s="55" t="n">
        <x:v>2790</x:v>
      </x:c>
      <x:c r="AO474" s="55" t="n">
        <x:v>19</x:v>
      </x:c>
      <x:c r="AP474" s="55" t="n">
        <x:v>2620</x:v>
      </x:c>
      <x:c r="AQ474" s="55" t="n">
        <x:v>928</x:v>
      </x:c>
    </x:row>
    <x:row r="475">
      <x:c r="A475" s="54" t="str">
        <x:v>T1_SHARED_CATCHMENT</x:v>
      </x:c>
      <x:c r="B475" s="54" t="n">
        <x:v>469</x:v>
      </x:c>
      <x:c r="C475" s="54" t="str">
        <x:v>NYC-V2-R01</x:v>
      </x:c>
      <x:c r="D475" s="54" t="str">
        <x:v>V2</x:v>
      </x:c>
      <x:c r="E475" s="54" t="str">
        <x:v>ADMITTED</x:v>
      </x:c>
      <x:c r="F475" s="55" t="n">
        <x:v>33915</x:v>
      </x:c>
      <x:c r="G475" s="55" t="n">
        <x:v>9496</x:v>
      </x:c>
      <x:c r="H475" s="55" t="n">
        <x:v>3316</x:v>
      </x:c>
      <x:c r="I475" s="55" t="n">
        <x:v>1754</x:v>
      </x:c>
      <x:c r="J475" s="55" t="n">
        <x:v>173</x:v>
      </x:c>
      <x:c r="K475" s="55" t="n">
        <x:v>32604</x:v>
      </x:c>
      <x:c r="L475" s="55" t="n">
        <x:v>7004</x:v>
      </x:c>
      <x:c r="M475" s="55" t="n">
        <x:v>2388</x:v>
      </x:c>
      <x:c r="N475" s="55" t="n">
        <x:v>2992</x:v>
      </x:c>
      <x:c r="O475" s="55" t="n">
        <x:v>1624</x:v>
      </x:c>
      <x:c r="P475" s="55" t="n">
        <x:v>1072</x:v>
      </x:c>
      <x:c r="Q475" s="55" t="n">
        <x:v>2393</x:v>
      </x:c>
      <x:c r="R475" s="55" t="n">
        <x:v>2579</x:v>
      </x:c>
      <x:c r="S475" s="55" t="n">
        <x:v>3191</x:v>
      </x:c>
      <x:c r="T475" s="55" t="n">
        <x:v>1143</x:v>
      </x:c>
      <x:c r="U475" s="55" t="n">
        <x:v>2248</x:v>
      </x:c>
      <x:c r="V475" s="55" t="n">
        <x:v>10929</x:v>
      </x:c>
      <x:c r="W475" s="55" t="n">
        <x:v>7781</x:v>
      </x:c>
      <x:c r="X475" s="55" t="n">
        <x:v>3148</x:v>
      </x:c>
      <x:c r="Y475" s="55" t="n">
        <x:v>2784</x:v>
      </x:c>
      <x:c r="Z475" s="55" t="n">
        <x:v>3643</x:v>
      </x:c>
      <x:c r="AA475" s="55" t="n">
        <x:v>2978</x:v>
      </x:c>
      <x:c r="AB475" s="55" t="n">
        <x:v>1414</x:v>
      </x:c>
      <x:c r="AC475" s="55" t="n">
        <x:v>8339</x:v>
      </x:c>
      <x:c r="AD475" s="55" t="n">
        <x:v>3164</x:v>
      </x:c>
      <x:c r="AE475" s="55" t="n">
        <x:v>10987</x:v>
      </x:c>
      <x:c r="AF475" s="55" t="n">
        <x:v>10929</x:v>
      </x:c>
      <x:c r="AG475" s="55" t="n">
        <x:v>58</x:v>
      </x:c>
      <x:c r="AH475" s="55" t="n">
        <x:v>508</x:v>
      </x:c>
      <x:c r="AI475" s="55" t="n">
        <x:v>10421</x:v>
      </x:c>
      <x:c r="AJ475" s="55" t="n">
        <x:v>269</x:v>
      </x:c>
      <x:c r="AK475" s="55" t="n">
        <x:v>1341</x:v>
      </x:c>
      <x:c r="AL475" s="55" t="n">
        <x:v>2144</x:v>
      </x:c>
      <x:c r="AM475" s="55" t="n">
        <x:v>4685</x:v>
      </x:c>
      <x:c r="AN475" s="55" t="n">
        <x:v>2490</x:v>
      </x:c>
      <x:c r="AO475" s="55" t="n">
        <x:v>0</x:v>
      </x:c>
      <x:c r="AP475" s="55" t="n">
        <x:v>2621</x:v>
      </x:c>
      <x:c r="AQ475" s="55" t="n">
        <x:v>1004</x:v>
      </x:c>
    </x:row>
    <x:row r="476">
      <x:c r="A476" s="54" t="str">
        <x:v>T1_SHARED_CATCHMENT</x:v>
      </x:c>
      <x:c r="B476" s="54" t="n">
        <x:v>470</x:v>
      </x:c>
      <x:c r="C476" s="54" t="str">
        <x:v>NYC-V2-R01</x:v>
      </x:c>
      <x:c r="D476" s="54" t="str">
        <x:v>V2</x:v>
      </x:c>
      <x:c r="E476" s="54" t="str">
        <x:v>ADMITTED</x:v>
      </x:c>
      <x:c r="F476" s="55" t="n">
        <x:v>29958</x:v>
      </x:c>
      <x:c r="G476" s="55" t="n">
        <x:v>6557</x:v>
      </x:c>
      <x:c r="H476" s="55" t="n">
        <x:v>2691</x:v>
      </x:c>
      <x:c r="I476" s="55" t="n">
        <x:v>1147</x:v>
      </x:c>
      <x:c r="J476" s="55" t="n">
        <x:v>194</x:v>
      </x:c>
      <x:c r="K476" s="55" t="n">
        <x:v>29958</x:v>
      </x:c>
      <x:c r="L476" s="55" t="n">
        <x:v>5328</x:v>
      </x:c>
      <x:c r="M476" s="55" t="n">
        <x:v>2255</x:v>
      </x:c>
      <x:c r="N476" s="55" t="n">
        <x:v>2008</x:v>
      </x:c>
      <x:c r="O476" s="55" t="n">
        <x:v>1065</x:v>
      </x:c>
      <x:c r="P476" s="55" t="n">
        <x:v>491</x:v>
      </x:c>
      <x:c r="Q476" s="55" t="n">
        <x:v>1720</x:v>
      </x:c>
      <x:c r="R476" s="55" t="n">
        <x:v>1968</x:v>
      </x:c>
      <x:c r="S476" s="55" t="n">
        <x:v>2244</x:v>
      </x:c>
      <x:c r="T476" s="55" t="n">
        <x:v>1072</x:v>
      </x:c>
      <x:c r="U476" s="55" t="n">
        <x:v>2299</x:v>
      </x:c>
      <x:c r="V476" s="55" t="n">
        <x:v>9921</x:v>
      </x:c>
      <x:c r="W476" s="55" t="n">
        <x:v>6976</x:v>
      </x:c>
      <x:c r="X476" s="55" t="n">
        <x:v>2945</x:v>
      </x:c>
      <x:c r="Y476" s="55" t="n">
        <x:v>2586</x:v>
      </x:c>
      <x:c r="Z476" s="55" t="n">
        <x:v>3419</x:v>
      </x:c>
      <x:c r="AA476" s="55" t="n">
        <x:v>2535</x:v>
      </x:c>
      <x:c r="AB476" s="55" t="n">
        <x:v>709</x:v>
      </x:c>
      <x:c r="AC476" s="55" t="n">
        <x:v>8131</x:v>
      </x:c>
      <x:c r="AD476" s="55" t="n">
        <x:v>2558</x:v>
      </x:c>
      <x:c r="AE476" s="55" t="n">
        <x:v>9948</x:v>
      </x:c>
      <x:c r="AF476" s="55" t="n">
        <x:v>9921</x:v>
      </x:c>
      <x:c r="AG476" s="55" t="n">
        <x:v>27</x:v>
      </x:c>
      <x:c r="AH476" s="55" t="n">
        <x:v>401</x:v>
      </x:c>
      <x:c r="AI476" s="55" t="n">
        <x:v>9520</x:v>
      </x:c>
      <x:c r="AJ476" s="55" t="n">
        <x:v>279</x:v>
      </x:c>
      <x:c r="AK476" s="55" t="n">
        <x:v>1221</x:v>
      </x:c>
      <x:c r="AL476" s="55" t="n">
        <x:v>1337</x:v>
      </x:c>
      <x:c r="AM476" s="55" t="n">
        <x:v>4638</x:v>
      </x:c>
      <x:c r="AN476" s="55" t="n">
        <x:v>2435</x:v>
      </x:c>
      <x:c r="AO476" s="55" t="n">
        <x:v>11</x:v>
      </x:c>
      <x:c r="AP476" s="55" t="n">
        <x:v>2004</x:v>
      </x:c>
      <x:c r="AQ476" s="55" t="n">
        <x:v>917</x:v>
      </x:c>
    </x:row>
    <x:row r="477">
      <x:c r="A477" s="54" t="str">
        <x:v>T1_SHARED_CATCHMENT</x:v>
      </x:c>
      <x:c r="B477" s="54" t="n">
        <x:v>471</x:v>
      </x:c>
      <x:c r="C477" s="54" t="str">
        <x:v>NYC-V2-R01</x:v>
      </x:c>
      <x:c r="D477" s="54" t="str">
        <x:v>V2</x:v>
      </x:c>
      <x:c r="E477" s="54" t="str">
        <x:v>ADMITTED</x:v>
      </x:c>
      <x:c r="F477" s="55" t="n">
        <x:v>31948</x:v>
      </x:c>
      <x:c r="G477" s="55" t="n">
        <x:v>9003</x:v>
      </x:c>
      <x:c r="H477" s="55" t="n">
        <x:v>3393</x:v>
      </x:c>
      <x:c r="I477" s="55" t="n">
        <x:v>1309</x:v>
      </x:c>
      <x:c r="J477" s="55" t="n">
        <x:v>246</x:v>
      </x:c>
      <x:c r="K477" s="55" t="n">
        <x:v>30706</x:v>
      </x:c>
      <x:c r="L477" s="55" t="n">
        <x:v>6750</x:v>
      </x:c>
      <x:c r="M477" s="55" t="n">
        <x:v>2501</x:v>
      </x:c>
      <x:c r="N477" s="55" t="n">
        <x:v>2463</x:v>
      </x:c>
      <x:c r="O477" s="55" t="n">
        <x:v>1786</x:v>
      </x:c>
      <x:c r="P477" s="55" t="n">
        <x:v>1123</x:v>
      </x:c>
      <x:c r="Q477" s="55" t="n">
        <x:v>2865</x:v>
      </x:c>
      <x:c r="R477" s="55" t="n">
        <x:v>2015</x:v>
      </x:c>
      <x:c r="S477" s="55" t="n">
        <x:v>3540</x:v>
      </x:c>
      <x:c r="T477" s="55" t="n">
        <x:v>1689</x:v>
      </x:c>
      <x:c r="U477" s="55" t="n">
        <x:v>2432</x:v>
      </x:c>
      <x:c r="V477" s="55" t="n">
        <x:v>10587</x:v>
      </x:c>
      <x:c r="W477" s="55" t="n">
        <x:v>7332</x:v>
      </x:c>
      <x:c r="X477" s="55" t="n">
        <x:v>3255</x:v>
      </x:c>
      <x:c r="Y477" s="55" t="n">
        <x:v>2831</x:v>
      </x:c>
      <x:c r="Z477" s="55" t="n">
        <x:v>3749</x:v>
      </x:c>
      <x:c r="AA477" s="55" t="n">
        <x:v>3264</x:v>
      </x:c>
      <x:c r="AB477" s="55" t="n">
        <x:v>1065</x:v>
      </x:c>
      <x:c r="AC477" s="55" t="n">
        <x:v>8443</x:v>
      </x:c>
      <x:c r="AD477" s="55" t="n">
        <x:v>2807</x:v>
      </x:c>
      <x:c r="AE477" s="55" t="n">
        <x:v>10693</x:v>
      </x:c>
      <x:c r="AF477" s="55" t="n">
        <x:v>10587</x:v>
      </x:c>
      <x:c r="AG477" s="55" t="n">
        <x:v>106</x:v>
      </x:c>
      <x:c r="AH477" s="55" t="n">
        <x:v>386</x:v>
      </x:c>
      <x:c r="AI477" s="55" t="n">
        <x:v>10201</x:v>
      </x:c>
      <x:c r="AJ477" s="55" t="n">
        <x:v>332</x:v>
      </x:c>
      <x:c r="AK477" s="55" t="n">
        <x:v>996</x:v>
      </x:c>
      <x:c r="AL477" s="55" t="n">
        <x:v>1183</x:v>
      </x:c>
      <x:c r="AM477" s="55" t="n">
        <x:v>5527</x:v>
      </x:c>
      <x:c r="AN477" s="55" t="n">
        <x:v>2485</x:v>
      </x:c>
      <x:c r="AO477" s="55" t="n">
        <x:v>64</x:v>
      </x:c>
      <x:c r="AP477" s="55" t="n">
        <x:v>2416</x:v>
      </x:c>
      <x:c r="AQ477" s="55" t="n">
        <x:v>1037</x:v>
      </x:c>
    </x:row>
    <x:row r="478">
      <x:c r="A478" s="54" t="str">
        <x:v>T1_SHARED_CATCHMENT</x:v>
      </x:c>
      <x:c r="B478" s="54" t="n">
        <x:v>472</x:v>
      </x:c>
      <x:c r="C478" s="54" t="str">
        <x:v>NYC-V2-R01</x:v>
      </x:c>
      <x:c r="D478" s="54" t="str">
        <x:v>V2</x:v>
      </x:c>
      <x:c r="E478" s="54" t="str">
        <x:v>ADMITTED</x:v>
      </x:c>
      <x:c r="F478" s="55" t="n">
        <x:v>30537</x:v>
      </x:c>
      <x:c r="G478" s="55" t="n">
        <x:v>6954</x:v>
      </x:c>
      <x:c r="H478" s="55" t="n">
        <x:v>3354</x:v>
      </x:c>
      <x:c r="I478" s="55" t="n">
        <x:v>1358</x:v>
      </x:c>
      <x:c r="J478" s="55" t="n">
        <x:v>283</x:v>
      </x:c>
      <x:c r="K478" s="55" t="n">
        <x:v>30537</x:v>
      </x:c>
      <x:c r="L478" s="55" t="n">
        <x:v>5722</x:v>
      </x:c>
      <x:c r="M478" s="55" t="n">
        <x:v>1126</x:v>
      </x:c>
      <x:c r="N478" s="55" t="n">
        <x:v>2780</x:v>
      </x:c>
      <x:c r="O478" s="55" t="n">
        <x:v>1816</x:v>
      </x:c>
      <x:c r="P478" s="55" t="n">
        <x:v>764</x:v>
      </x:c>
      <x:c r="Q478" s="55" t="n">
        <x:v>1917</x:v>
      </x:c>
      <x:c r="R478" s="55" t="n">
        <x:v>1475</x:v>
      </x:c>
      <x:c r="S478" s="55" t="n">
        <x:v>3036</x:v>
      </x:c>
      <x:c r="T478" s="55" t="n">
        <x:v>1308</x:v>
      </x:c>
      <x:c r="U478" s="55" t="n">
        <x:v>2028</x:v>
      </x:c>
      <x:c r="V478" s="55" t="n">
        <x:v>10035</x:v>
      </x:c>
      <x:c r="W478" s="55" t="n">
        <x:v>7182</x:v>
      </x:c>
      <x:c r="X478" s="55" t="n">
        <x:v>2853</x:v>
      </x:c>
      <x:c r="Y478" s="55" t="n">
        <x:v>2466</x:v>
      </x:c>
      <x:c r="Z478" s="55" t="n">
        <x:v>3122</x:v>
      </x:c>
      <x:c r="AA478" s="55" t="n">
        <x:v>3354</x:v>
      </x:c>
      <x:c r="AB478" s="55" t="n">
        <x:v>1066</x:v>
      </x:c>
      <x:c r="AC478" s="55" t="n">
        <x:v>7602</x:v>
      </x:c>
      <x:c r="AD478" s="55" t="n">
        <x:v>3560</x:v>
      </x:c>
      <x:c r="AE478" s="55" t="n">
        <x:v>10095</x:v>
      </x:c>
      <x:c r="AF478" s="55" t="n">
        <x:v>10035</x:v>
      </x:c>
      <x:c r="AG478" s="55" t="n">
        <x:v>60</x:v>
      </x:c>
      <x:c r="AH478" s="55" t="n">
        <x:v>274</x:v>
      </x:c>
      <x:c r="AI478" s="55" t="n">
        <x:v>9761</x:v>
      </x:c>
      <x:c r="AJ478" s="55" t="n">
        <x:v>231</x:v>
      </x:c>
      <x:c r="AK478" s="55" t="n">
        <x:v>1068</x:v>
      </x:c>
      <x:c r="AL478" s="55" t="n">
        <x:v>1827</x:v>
      </x:c>
      <x:c r="AM478" s="55" t="n">
        <x:v>4877</x:v>
      </x:c>
      <x:c r="AN478" s="55" t="n">
        <x:v>1990</x:v>
      </x:c>
      <x:c r="AO478" s="55" t="n">
        <x:v>42</x:v>
      </x:c>
      <x:c r="AP478" s="55" t="n">
        <x:v>2229</x:v>
      </x:c>
      <x:c r="AQ478" s="55" t="n">
        <x:v>966</x:v>
      </x:c>
    </x:row>
    <x:row r="479">
      <x:c r="A479" s="54" t="str">
        <x:v>T1_SHARED_CATCHMENT</x:v>
      </x:c>
      <x:c r="B479" s="54" t="n">
        <x:v>473</x:v>
      </x:c>
      <x:c r="C479" s="54" t="str">
        <x:v>NYC-V2-R01</x:v>
      </x:c>
      <x:c r="D479" s="54" t="str">
        <x:v>V2</x:v>
      </x:c>
      <x:c r="E479" s="54" t="str">
        <x:v>ADMITTED</x:v>
      </x:c>
      <x:c r="F479" s="55" t="n">
        <x:v>30234</x:v>
      </x:c>
      <x:c r="G479" s="55" t="n">
        <x:v>7562</x:v>
      </x:c>
      <x:c r="H479" s="55" t="n">
        <x:v>3300</x:v>
      </x:c>
      <x:c r="I479" s="55" t="n">
        <x:v>1122</x:v>
      </x:c>
      <x:c r="J479" s="55" t="n">
        <x:v>229</x:v>
      </x:c>
      <x:c r="K479" s="55" t="n">
        <x:v>30234</x:v>
      </x:c>
      <x:c r="L479" s="55" t="n">
        <x:v>5266</x:v>
      </x:c>
      <x:c r="M479" s="55" t="n">
        <x:v>1355</x:v>
      </x:c>
      <x:c r="N479" s="55" t="n">
        <x:v>2391</x:v>
      </x:c>
      <x:c r="O479" s="55" t="n">
        <x:v>1520</x:v>
      </x:c>
      <x:c r="P479" s="55" t="n">
        <x:v>855</x:v>
      </x:c>
      <x:c r="Q479" s="55" t="n">
        <x:v>2606</x:v>
      </x:c>
      <x:c r="R479" s="55" t="n">
        <x:v>2062</x:v>
      </x:c>
      <x:c r="S479" s="55" t="n">
        <x:v>2129</x:v>
      </x:c>
      <x:c r="T479" s="55" t="n">
        <x:v>1582</x:v>
      </x:c>
      <x:c r="U479" s="55" t="n">
        <x:v>1758</x:v>
      </x:c>
      <x:c r="V479" s="55" t="n">
        <x:v>11244</x:v>
      </x:c>
      <x:c r="W479" s="55" t="n">
        <x:v>8345</x:v>
      </x:c>
      <x:c r="X479" s="55" t="n">
        <x:v>2899</x:v>
      </x:c>
      <x:c r="Y479" s="55" t="n">
        <x:v>2562</x:v>
      </x:c>
      <x:c r="Z479" s="55" t="n">
        <x:v>4296</x:v>
      </x:c>
      <x:c r="AA479" s="55" t="n">
        <x:v>2497</x:v>
      </x:c>
      <x:c r="AB479" s="55" t="n">
        <x:v>755</x:v>
      </x:c>
      <x:c r="AC479" s="55" t="n">
        <x:v>8154</x:v>
      </x:c>
      <x:c r="AD479" s="55" t="n">
        <x:v>3145</x:v>
      </x:c>
      <x:c r="AE479" s="55" t="n">
        <x:v>11310</x:v>
      </x:c>
      <x:c r="AF479" s="55" t="n">
        <x:v>11244</x:v>
      </x:c>
      <x:c r="AG479" s="55" t="n">
        <x:v>66</x:v>
      </x:c>
      <x:c r="AH479" s="55" t="n">
        <x:v>494</x:v>
      </x:c>
      <x:c r="AI479" s="55" t="n">
        <x:v>10750</x:v>
      </x:c>
      <x:c r="AJ479" s="55" t="n">
        <x:v>328</x:v>
      </x:c>
      <x:c r="AK479" s="55" t="n">
        <x:v>1180</x:v>
      </x:c>
      <x:c r="AL479" s="55" t="n">
        <x:v>1373</x:v>
      </x:c>
      <x:c r="AM479" s="55" t="n">
        <x:v>5231</x:v>
      </x:c>
      <x:c r="AN479" s="55" t="n">
        <x:v>3110</x:v>
      </x:c>
      <x:c r="AO479" s="55" t="n">
        <x:v>22</x:v>
      </x:c>
      <x:c r="AP479" s="55" t="n">
        <x:v>2411</x:v>
      </x:c>
      <x:c r="AQ479" s="55" t="n">
        <x:v>968</x:v>
      </x:c>
    </x:row>
    <x:row r="480">
      <x:c r="A480" s="54" t="str">
        <x:v>T1_SHARED_CATCHMENT</x:v>
      </x:c>
      <x:c r="B480" s="54" t="n">
        <x:v>474</x:v>
      </x:c>
      <x:c r="C480" s="54" t="str">
        <x:v>NYC-V2-R01</x:v>
      </x:c>
      <x:c r="D480" s="54" t="str">
        <x:v>V2</x:v>
      </x:c>
      <x:c r="E480" s="54" t="str">
        <x:v>ADMITTED</x:v>
      </x:c>
      <x:c r="F480" s="55" t="n">
        <x:v>33272</x:v>
      </x:c>
      <x:c r="G480" s="55" t="n">
        <x:v>7956</x:v>
      </x:c>
      <x:c r="H480" s="55" t="n">
        <x:v>3574</x:v>
      </x:c>
      <x:c r="I480" s="55" t="n">
        <x:v>1417</x:v>
      </x:c>
      <x:c r="J480" s="55" t="n">
        <x:v>340</x:v>
      </x:c>
      <x:c r="K480" s="55" t="n">
        <x:v>32476</x:v>
      </x:c>
      <x:c r="L480" s="55" t="n">
        <x:v>5591</x:v>
      </x:c>
      <x:c r="M480" s="55" t="n">
        <x:v>902</x:v>
      </x:c>
      <x:c r="N480" s="55" t="n">
        <x:v>3203</x:v>
      </x:c>
      <x:c r="O480" s="55" t="n">
        <x:v>1486</x:v>
      </x:c>
      <x:c r="P480" s="55" t="n">
        <x:v>955</x:v>
      </x:c>
      <x:c r="Q480" s="55" t="n">
        <x:v>1938</x:v>
      </x:c>
      <x:c r="R480" s="55" t="n">
        <x:v>1399</x:v>
      </x:c>
      <x:c r="S480" s="55" t="n">
        <x:v>2171</x:v>
      </x:c>
      <x:c r="T480" s="55" t="n">
        <x:v>1054</x:v>
      </x:c>
      <x:c r="U480" s="55" t="n">
        <x:v>2333</x:v>
      </x:c>
      <x:c r="V480" s="55" t="n">
        <x:v>10553</x:v>
      </x:c>
      <x:c r="W480" s="55" t="n">
        <x:v>7470</x:v>
      </x:c>
      <x:c r="X480" s="55" t="n">
        <x:v>3083</x:v>
      </x:c>
      <x:c r="Y480" s="55" t="n">
        <x:v>2575</x:v>
      </x:c>
      <x:c r="Z480" s="55" t="n">
        <x:v>3669</x:v>
      </x:c>
      <x:c r="AA480" s="55" t="n">
        <x:v>3574</x:v>
      </x:c>
      <x:c r="AB480" s="55" t="n">
        <x:v>1166</x:v>
      </x:c>
      <x:c r="AC480" s="55" t="n">
        <x:v>7966</x:v>
      </x:c>
      <x:c r="AD480" s="55" t="n">
        <x:v>2767</x:v>
      </x:c>
      <x:c r="AE480" s="55" t="n">
        <x:v>10690</x:v>
      </x:c>
      <x:c r="AF480" s="55" t="n">
        <x:v>10553</x:v>
      </x:c>
      <x:c r="AG480" s="55" t="n">
        <x:v>137</x:v>
      </x:c>
      <x:c r="AH480" s="55" t="n">
        <x:v>540</x:v>
      </x:c>
      <x:c r="AI480" s="55" t="n">
        <x:v>10013</x:v>
      </x:c>
      <x:c r="AJ480" s="55" t="n">
        <x:v>350</x:v>
      </x:c>
      <x:c r="AK480" s="55" t="n">
        <x:v>825</x:v>
      </x:c>
      <x:c r="AL480" s="55" t="n">
        <x:v>1586</x:v>
      </x:c>
      <x:c r="AM480" s="55" t="n">
        <x:v>5100</x:v>
      </x:c>
      <x:c r="AN480" s="55" t="n">
        <x:v>2640</x:v>
      </x:c>
      <x:c r="AO480" s="55" t="n">
        <x:v>52</x:v>
      </x:c>
      <x:c r="AP480" s="55" t="n">
        <x:v>1959</x:v>
      </x:c>
      <x:c r="AQ480" s="55" t="n">
        <x:v>973</x:v>
      </x:c>
    </x:row>
    <x:row r="481">
      <x:c r="A481" s="54" t="str">
        <x:v>T1_SHARED_CATCHMENT</x:v>
      </x:c>
      <x:c r="B481" s="54" t="n">
        <x:v>475</x:v>
      </x:c>
      <x:c r="C481" s="54" t="str">
        <x:v>NYC-V2-R01</x:v>
      </x:c>
      <x:c r="D481" s="54" t="str">
        <x:v>V2</x:v>
      </x:c>
      <x:c r="E481" s="54" t="str">
        <x:v>ADMITTED</x:v>
      </x:c>
      <x:c r="F481" s="55" t="n">
        <x:v>32059</x:v>
      </x:c>
      <x:c r="G481" s="55" t="n">
        <x:v>7790</x:v>
      </x:c>
      <x:c r="H481" s="55" t="n">
        <x:v>3171</x:v>
      </x:c>
      <x:c r="I481" s="55" t="n">
        <x:v>933</x:v>
      </x:c>
      <x:c r="J481" s="55" t="n">
        <x:v>141</x:v>
      </x:c>
      <x:c r="K481" s="55" t="n">
        <x:v>31820</x:v>
      </x:c>
      <x:c r="L481" s="55" t="n">
        <x:v>5614</x:v>
      </x:c>
      <x:c r="M481" s="55" t="n">
        <x:v>1650</x:v>
      </x:c>
      <x:c r="N481" s="55" t="n">
        <x:v>2295</x:v>
      </x:c>
      <x:c r="O481" s="55" t="n">
        <x:v>1669</x:v>
      </x:c>
      <x:c r="P481" s="55" t="n">
        <x:v>1171</x:v>
      </x:c>
      <x:c r="Q481" s="55" t="n">
        <x:v>2080</x:v>
      </x:c>
      <x:c r="R481" s="55" t="n">
        <x:v>1970</x:v>
      </x:c>
      <x:c r="S481" s="55" t="n">
        <x:v>2318</x:v>
      </x:c>
      <x:c r="T481" s="55" t="n">
        <x:v>1508</x:v>
      </x:c>
      <x:c r="U481" s="55" t="n">
        <x:v>1764</x:v>
      </x:c>
      <x:c r="V481" s="55" t="n">
        <x:v>10408</x:v>
      </x:c>
      <x:c r="W481" s="55" t="n">
        <x:v>7282</x:v>
      </x:c>
      <x:c r="X481" s="55" t="n">
        <x:v>3126</x:v>
      </x:c>
      <x:c r="Y481" s="55" t="n">
        <x:v>2582</x:v>
      </x:c>
      <x:c r="Z481" s="55" t="n">
        <x:v>3539</x:v>
      </x:c>
      <x:c r="AA481" s="55" t="n">
        <x:v>3171</x:v>
      </x:c>
      <x:c r="AB481" s="55" t="n">
        <x:v>1055</x:v>
      </x:c>
      <x:c r="AC481" s="55" t="n">
        <x:v>7606</x:v>
      </x:c>
      <x:c r="AD481" s="55" t="n">
        <x:v>2550</x:v>
      </x:c>
      <x:c r="AE481" s="55" t="n">
        <x:v>10482</x:v>
      </x:c>
      <x:c r="AF481" s="55" t="n">
        <x:v>10408</x:v>
      </x:c>
      <x:c r="AG481" s="55" t="n">
        <x:v>74</x:v>
      </x:c>
      <x:c r="AH481" s="55" t="n">
        <x:v>336</x:v>
      </x:c>
      <x:c r="AI481" s="55" t="n">
        <x:v>10072</x:v>
      </x:c>
      <x:c r="AJ481" s="55" t="n">
        <x:v>406</x:v>
      </x:c>
      <x:c r="AK481" s="55" t="n">
        <x:v>855</x:v>
      </x:c>
      <x:c r="AL481" s="55" t="n">
        <x:v>1618</x:v>
      </x:c>
      <x:c r="AM481" s="55" t="n">
        <x:v>4753</x:v>
      </x:c>
      <x:c r="AN481" s="55" t="n">
        <x:v>2706</x:v>
      </x:c>
      <x:c r="AO481" s="55" t="n">
        <x:v>70</x:v>
      </x:c>
      <x:c r="AP481" s="55" t="n">
        <x:v>2179</x:v>
      </x:c>
      <x:c r="AQ481" s="55" t="n">
        <x:v>932</x:v>
      </x:c>
    </x:row>
    <x:row r="482">
      <x:c r="A482" s="54" t="str">
        <x:v>T1_SHARED_CATCHMENT</x:v>
      </x:c>
      <x:c r="B482" s="54" t="n">
        <x:v>476</x:v>
      </x:c>
      <x:c r="C482" s="54" t="str">
        <x:v>NYC-V2-R01</x:v>
      </x:c>
      <x:c r="D482" s="54" t="str">
        <x:v>V2</x:v>
      </x:c>
      <x:c r="E482" s="54" t="str">
        <x:v>ADMITTED</x:v>
      </x:c>
      <x:c r="F482" s="55" t="n">
        <x:v>34031</x:v>
      </x:c>
      <x:c r="G482" s="55" t="n">
        <x:v>9609</x:v>
      </x:c>
      <x:c r="H482" s="55" t="n">
        <x:v>3248</x:v>
      </x:c>
      <x:c r="I482" s="55" t="n">
        <x:v>695</x:v>
      </x:c>
      <x:c r="J482" s="55" t="n">
        <x:v>0</x:v>
      </x:c>
      <x:c r="K482" s="55" t="n">
        <x:v>31440</x:v>
      </x:c>
      <x:c r="L482" s="55" t="n">
        <x:v>6825</x:v>
      </x:c>
      <x:c r="M482" s="55" t="n">
        <x:v>1582</x:v>
      </x:c>
      <x:c r="N482" s="55" t="n">
        <x:v>3289</x:v>
      </x:c>
      <x:c r="O482" s="55" t="n">
        <x:v>1954</x:v>
      </x:c>
      <x:c r="P482" s="55" t="n">
        <x:v>822</x:v>
      </x:c>
      <x:c r="Q482" s="55" t="n">
        <x:v>2000</x:v>
      </x:c>
      <x:c r="R482" s="55" t="n">
        <x:v>1837</x:v>
      </x:c>
      <x:c r="S482" s="55" t="n">
        <x:v>2753</x:v>
      </x:c>
      <x:c r="T482" s="55" t="n">
        <x:v>1029</x:v>
      </x:c>
      <x:c r="U482" s="55" t="n">
        <x:v>2289</x:v>
      </x:c>
      <x:c r="V482" s="55" t="n">
        <x:v>10026</x:v>
      </x:c>
      <x:c r="W482" s="55" t="n">
        <x:v>6911</x:v>
      </x:c>
      <x:c r="X482" s="55" t="n">
        <x:v>3115</x:v>
      </x:c>
      <x:c r="Y482" s="55" t="n">
        <x:v>2715</x:v>
      </x:c>
      <x:c r="Z482" s="55" t="n">
        <x:v>4047</x:v>
      </x:c>
      <x:c r="AA482" s="55" t="n">
        <x:v>3248</x:v>
      </x:c>
      <x:c r="AB482" s="55" t="n">
        <x:v>1220</x:v>
      </x:c>
      <x:c r="AC482" s="55" t="n">
        <x:v>7961</x:v>
      </x:c>
      <x:c r="AD482" s="55" t="n">
        <x:v>3183</x:v>
      </x:c>
      <x:c r="AE482" s="55" t="n">
        <x:v>10084</x:v>
      </x:c>
      <x:c r="AF482" s="55" t="n">
        <x:v>10026</x:v>
      </x:c>
      <x:c r="AG482" s="55" t="n">
        <x:v>58</x:v>
      </x:c>
      <x:c r="AH482" s="55" t="n">
        <x:v>358</x:v>
      </x:c>
      <x:c r="AI482" s="55" t="n">
        <x:v>9668</x:v>
      </x:c>
      <x:c r="AJ482" s="55" t="n">
        <x:v>352</x:v>
      </x:c>
      <x:c r="AK482" s="55" t="n">
        <x:v>929</x:v>
      </x:c>
      <x:c r="AL482" s="55" t="n">
        <x:v>1047</x:v>
      </x:c>
      <x:c r="AM482" s="55" t="n">
        <x:v>5174</x:v>
      </x:c>
      <x:c r="AN482" s="55" t="n">
        <x:v>2517</x:v>
      </x:c>
      <x:c r="AO482" s="55" t="n">
        <x:v>7</x:v>
      </x:c>
      <x:c r="AP482" s="55" t="n">
        <x:v>2430</x:v>
      </x:c>
      <x:c r="AQ482" s="55" t="n">
        <x:v>903</x:v>
      </x:c>
    </x:row>
    <x:row r="483">
      <x:c r="A483" s="54" t="str">
        <x:v>T1_SHARED_CATCHMENT</x:v>
      </x:c>
      <x:c r="B483" s="54" t="n">
        <x:v>477</x:v>
      </x:c>
      <x:c r="C483" s="54" t="str">
        <x:v>NYC-V2-R01</x:v>
      </x:c>
      <x:c r="D483" s="54" t="str">
        <x:v>V2</x:v>
      </x:c>
      <x:c r="E483" s="54" t="str">
        <x:v>ADMITTED</x:v>
      </x:c>
      <x:c r="F483" s="55" t="n">
        <x:v>33758</x:v>
      </x:c>
      <x:c r="G483" s="55" t="n">
        <x:v>6922</x:v>
      </x:c>
      <x:c r="H483" s="55" t="n">
        <x:v>3938</x:v>
      </x:c>
      <x:c r="I483" s="55" t="n">
        <x:v>1720</x:v>
      </x:c>
      <x:c r="J483" s="55" t="n">
        <x:v>335</x:v>
      </x:c>
      <x:c r="K483" s="55" t="n">
        <x:v>33758</x:v>
      </x:c>
      <x:c r="L483" s="55" t="n">
        <x:v>5422</x:v>
      </x:c>
      <x:c r="M483" s="55" t="n">
        <x:v>625</x:v>
      </x:c>
      <x:c r="N483" s="55" t="n">
        <x:v>2769</x:v>
      </x:c>
      <x:c r="O483" s="55" t="n">
        <x:v>2028</x:v>
      </x:c>
      <x:c r="P483" s="55" t="n">
        <x:v>404</x:v>
      </x:c>
      <x:c r="Q483" s="55" t="n">
        <x:v>1361</x:v>
      </x:c>
      <x:c r="R483" s="55" t="n">
        <x:v>2113</x:v>
      </x:c>
      <x:c r="S483" s="55" t="n">
        <x:v>2387</x:v>
      </x:c>
      <x:c r="T483" s="55" t="n">
        <x:v>984</x:v>
      </x:c>
      <x:c r="U483" s="55" t="n">
        <x:v>1863</x:v>
      </x:c>
      <x:c r="V483" s="55" t="n">
        <x:v>11603</x:v>
      </x:c>
      <x:c r="W483" s="55" t="n">
        <x:v>8250</x:v>
      </x:c>
      <x:c r="X483" s="55" t="n">
        <x:v>3353</x:v>
      </x:c>
      <x:c r="Y483" s="55" t="n">
        <x:v>3008</x:v>
      </x:c>
      <x:c r="Z483" s="55" t="n">
        <x:v>4292</x:v>
      </x:c>
      <x:c r="AA483" s="55" t="n">
        <x:v>3221</x:v>
      </x:c>
      <x:c r="AB483" s="55" t="n">
        <x:v>1229</x:v>
      </x:c>
      <x:c r="AC483" s="55" t="n">
        <x:v>8158</x:v>
      </x:c>
      <x:c r="AD483" s="55" t="n">
        <x:v>3427</x:v>
      </x:c>
      <x:c r="AE483" s="55" t="n">
        <x:v>11704</x:v>
      </x:c>
      <x:c r="AF483" s="55" t="n">
        <x:v>11603</x:v>
      </x:c>
      <x:c r="AG483" s="55" t="n">
        <x:v>101</x:v>
      </x:c>
      <x:c r="AH483" s="55" t="n">
        <x:v>693</x:v>
      </x:c>
      <x:c r="AI483" s="55" t="n">
        <x:v>10910</x:v>
      </x:c>
      <x:c r="AJ483" s="55" t="n">
        <x:v>394</x:v>
      </x:c>
      <x:c r="AK483" s="55" t="n">
        <x:v>934</x:v>
      </x:c>
      <x:c r="AL483" s="55" t="n">
        <x:v>1836</x:v>
      </x:c>
      <x:c r="AM483" s="55" t="n">
        <x:v>5815</x:v>
      </x:c>
      <x:c r="AN483" s="55" t="n">
        <x:v>2585</x:v>
      </x:c>
      <x:c r="AO483" s="55" t="n">
        <x:v>39</x:v>
      </x:c>
      <x:c r="AP483" s="55" t="n">
        <x:v>2221</x:v>
      </x:c>
      <x:c r="AQ483" s="55" t="n">
        <x:v>975</x:v>
      </x:c>
    </x:row>
    <x:row r="484">
      <x:c r="A484" s="54" t="str">
        <x:v>T1_SHARED_CATCHMENT</x:v>
      </x:c>
      <x:c r="B484" s="54" t="n">
        <x:v>478</x:v>
      </x:c>
      <x:c r="C484" s="54" t="str">
        <x:v>NYC-V2-R01</x:v>
      </x:c>
      <x:c r="D484" s="54" t="str">
        <x:v>V2</x:v>
      </x:c>
      <x:c r="E484" s="54" t="str">
        <x:v>ADMITTED</x:v>
      </x:c>
      <x:c r="F484" s="55" t="n">
        <x:v>30181</x:v>
      </x:c>
      <x:c r="G484" s="55" t="n">
        <x:v>7720</x:v>
      </x:c>
      <x:c r="H484" s="55" t="n">
        <x:v>3551</x:v>
      </x:c>
      <x:c r="I484" s="55" t="n">
        <x:v>1161</x:v>
      </x:c>
      <x:c r="J484" s="55" t="n">
        <x:v>139</x:v>
      </x:c>
      <x:c r="K484" s="55" t="n">
        <x:v>29421</x:v>
      </x:c>
      <x:c r="L484" s="55" t="n">
        <x:v>4926</x:v>
      </x:c>
      <x:c r="M484" s="55" t="n">
        <x:v>0</x:v>
      </x:c>
      <x:c r="N484" s="55" t="n">
        <x:v>3224</x:v>
      </x:c>
      <x:c r="O484" s="55" t="n">
        <x:v>1702</x:v>
      </x:c>
      <x:c r="P484" s="55" t="n">
        <x:v>1266</x:v>
      </x:c>
      <x:c r="Q484" s="55" t="n">
        <x:v>2385</x:v>
      </x:c>
      <x:c r="R484" s="55" t="n">
        <x:v>1993</x:v>
      </x:c>
      <x:c r="S484" s="55" t="n">
        <x:v>2420</x:v>
      </x:c>
      <x:c r="T484" s="55" t="n">
        <x:v>753</x:v>
      </x:c>
      <x:c r="U484" s="55" t="n">
        <x:v>1644</x:v>
      </x:c>
      <x:c r="V484" s="55" t="n">
        <x:v>10946</x:v>
      </x:c>
      <x:c r="W484" s="55" t="n">
        <x:v>8224</x:v>
      </x:c>
      <x:c r="X484" s="55" t="n">
        <x:v>2722</x:v>
      </x:c>
      <x:c r="Y484" s="55" t="n">
        <x:v>2327</x:v>
      </x:c>
      <x:c r="Z484" s="55" t="n">
        <x:v>3505</x:v>
      </x:c>
      <x:c r="AA484" s="55" t="n">
        <x:v>3551</x:v>
      </x:c>
      <x:c r="AB484" s="55" t="n">
        <x:v>1263</x:v>
      </x:c>
      <x:c r="AC484" s="55" t="n">
        <x:v>8526</x:v>
      </x:c>
      <x:c r="AD484" s="55" t="n">
        <x:v>2864</x:v>
      </x:c>
      <x:c r="AE484" s="55" t="n">
        <x:v>11041</x:v>
      </x:c>
      <x:c r="AF484" s="55" t="n">
        <x:v>10946</x:v>
      </x:c>
      <x:c r="AG484" s="55" t="n">
        <x:v>95</x:v>
      </x:c>
      <x:c r="AH484" s="55" t="n">
        <x:v>446</x:v>
      </x:c>
      <x:c r="AI484" s="55" t="n">
        <x:v>10500</x:v>
      </x:c>
      <x:c r="AJ484" s="55" t="n">
        <x:v>374</x:v>
      </x:c>
      <x:c r="AK484" s="55" t="n">
        <x:v>1107</x:v>
      </x:c>
      <x:c r="AL484" s="55" t="n">
        <x:v>2030</x:v>
      </x:c>
      <x:c r="AM484" s="55" t="n">
        <x:v>4980</x:v>
      </x:c>
      <x:c r="AN484" s="55" t="n">
        <x:v>2437</x:v>
      </x:c>
      <x:c r="AO484" s="55" t="n">
        <x:v>18</x:v>
      </x:c>
      <x:c r="AP484" s="55" t="n">
        <x:v>2368</x:v>
      </x:c>
      <x:c r="AQ484" s="55" t="n">
        <x:v>968</x:v>
      </x:c>
    </x:row>
    <x:row r="485">
      <x:c r="A485" s="54" t="str">
        <x:v>T1_SHARED_CATCHMENT</x:v>
      </x:c>
      <x:c r="B485" s="54" t="n">
        <x:v>479</x:v>
      </x:c>
      <x:c r="C485" s="54" t="str">
        <x:v>NYC-V2-R01</x:v>
      </x:c>
      <x:c r="D485" s="54" t="str">
        <x:v>V2</x:v>
      </x:c>
      <x:c r="E485" s="54" t="str">
        <x:v>ADMITTED</x:v>
      </x:c>
      <x:c r="F485" s="55" t="n">
        <x:v>30247</x:v>
      </x:c>
      <x:c r="G485" s="55" t="n">
        <x:v>7543</x:v>
      </x:c>
      <x:c r="H485" s="55" t="n">
        <x:v>3102</x:v>
      </x:c>
      <x:c r="I485" s="55" t="n">
        <x:v>1314</x:v>
      </x:c>
      <x:c r="J485" s="55" t="n">
        <x:v>180</x:v>
      </x:c>
      <x:c r="K485" s="55" t="n">
        <x:v>28060</x:v>
      </x:c>
      <x:c r="L485" s="55" t="n">
        <x:v>4685</x:v>
      </x:c>
      <x:c r="M485" s="55" t="n">
        <x:v>463</x:v>
      </x:c>
      <x:c r="N485" s="55" t="n">
        <x:v>2445</x:v>
      </x:c>
      <x:c r="O485" s="55" t="n">
        <x:v>1777</x:v>
      </x:c>
      <x:c r="P485" s="55" t="n">
        <x:v>340</x:v>
      </x:c>
      <x:c r="Q485" s="55" t="n">
        <x:v>1648</x:v>
      </x:c>
      <x:c r="R485" s="55" t="n">
        <x:v>1563</x:v>
      </x:c>
      <x:c r="S485" s="55" t="n">
        <x:v>2675</x:v>
      </x:c>
      <x:c r="T485" s="55" t="n">
        <x:v>1288</x:v>
      </x:c>
      <x:c r="U485" s="55" t="n">
        <x:v>1366</x:v>
      </x:c>
      <x:c r="V485" s="55" t="n">
        <x:v>10048</x:v>
      </x:c>
      <x:c r="W485" s="55" t="n">
        <x:v>7574</x:v>
      </x:c>
      <x:c r="X485" s="55" t="n">
        <x:v>2474</x:v>
      </x:c>
      <x:c r="Y485" s="55" t="n">
        <x:v>2058</x:v>
      </x:c>
      <x:c r="Z485" s="55" t="n">
        <x:v>4084</x:v>
      </x:c>
      <x:c r="AA485" s="55" t="n">
        <x:v>2706</x:v>
      </x:c>
      <x:c r="AB485" s="55" t="n">
        <x:v>993</x:v>
      </x:c>
      <x:c r="AC485" s="55" t="n">
        <x:v>7519</x:v>
      </x:c>
      <x:c r="AD485" s="55" t="n">
        <x:v>2621</x:v>
      </x:c>
      <x:c r="AE485" s="55" t="n">
        <x:v>10108</x:v>
      </x:c>
      <x:c r="AF485" s="55" t="n">
        <x:v>10048</x:v>
      </x:c>
      <x:c r="AG485" s="55" t="n">
        <x:v>60</x:v>
      </x:c>
      <x:c r="AH485" s="55" t="n">
        <x:v>176</x:v>
      </x:c>
      <x:c r="AI485" s="55" t="n">
        <x:v>9872</x:v>
      </x:c>
      <x:c r="AJ485" s="55" t="n">
        <x:v>278</x:v>
      </x:c>
      <x:c r="AK485" s="55" t="n">
        <x:v>801</x:v>
      </x:c>
      <x:c r="AL485" s="55" t="n">
        <x:v>1494</x:v>
      </x:c>
      <x:c r="AM485" s="55" t="n">
        <x:v>4599</x:v>
      </x:c>
      <x:c r="AN485" s="55" t="n">
        <x:v>2876</x:v>
      </x:c>
      <x:c r="AO485" s="55" t="n">
        <x:v>0</x:v>
      </x:c>
      <x:c r="AP485" s="55" t="n">
        <x:v>2183</x:v>
      </x:c>
      <x:c r="AQ485" s="55" t="n">
        <x:v>938</x:v>
      </x:c>
    </x:row>
    <x:row r="486">
      <x:c r="A486" s="54" t="str">
        <x:v>T1_SHARED_CATCHMENT</x:v>
      </x:c>
      <x:c r="B486" s="54" t="n">
        <x:v>480</x:v>
      </x:c>
      <x:c r="C486" s="54" t="str">
        <x:v>NYC-V2-R01</x:v>
      </x:c>
      <x:c r="D486" s="54" t="str">
        <x:v>V2</x:v>
      </x:c>
      <x:c r="E486" s="54" t="str">
        <x:v>ADMITTED</x:v>
      </x:c>
      <x:c r="F486" s="55" t="n">
        <x:v>28314</x:v>
      </x:c>
      <x:c r="G486" s="55" t="n">
        <x:v>6513</x:v>
      </x:c>
      <x:c r="H486" s="55" t="n">
        <x:v>3207</x:v>
      </x:c>
      <x:c r="I486" s="55" t="n">
        <x:v>1324</x:v>
      </x:c>
      <x:c r="J486" s="55" t="n">
        <x:v>256</x:v>
      </x:c>
      <x:c r="K486" s="55" t="n">
        <x:v>26964</x:v>
      </x:c>
      <x:c r="L486" s="55" t="n">
        <x:v>5155</x:v>
      </x:c>
      <x:c r="M486" s="55" t="n">
        <x:v>837</x:v>
      </x:c>
      <x:c r="N486" s="55" t="n">
        <x:v>2757</x:v>
      </x:c>
      <x:c r="O486" s="55" t="n">
        <x:v>1561</x:v>
      </x:c>
      <x:c r="P486" s="55" t="n">
        <x:v>813</x:v>
      </x:c>
      <x:c r="Q486" s="55" t="n">
        <x:v>2619</x:v>
      </x:c>
      <x:c r="R486" s="55" t="n">
        <x:v>1419</x:v>
      </x:c>
      <x:c r="S486" s="55" t="n">
        <x:v>2613</x:v>
      </x:c>
      <x:c r="T486" s="55" t="n">
        <x:v>1625</x:v>
      </x:c>
      <x:c r="U486" s="55" t="n">
        <x:v>2295</x:v>
      </x:c>
      <x:c r="V486" s="55" t="n">
        <x:v>10319</x:v>
      </x:c>
      <x:c r="W486" s="55" t="n">
        <x:v>7257</x:v>
      </x:c>
      <x:c r="X486" s="55" t="n">
        <x:v>3062</x:v>
      </x:c>
      <x:c r="Y486" s="55" t="n">
        <x:v>2668</x:v>
      </x:c>
      <x:c r="Z486" s="55" t="n">
        <x:v>4141</x:v>
      </x:c>
      <x:c r="AA486" s="55" t="n">
        <x:v>2983</x:v>
      </x:c>
      <x:c r="AB486" s="55" t="n">
        <x:v>1229</x:v>
      </x:c>
      <x:c r="AC486" s="55" t="n">
        <x:v>8482</x:v>
      </x:c>
      <x:c r="AD486" s="55" t="n">
        <x:v>3034</x:v>
      </x:c>
      <x:c r="AE486" s="55" t="n">
        <x:v>10413</x:v>
      </x:c>
      <x:c r="AF486" s="55" t="n">
        <x:v>10319</x:v>
      </x:c>
      <x:c r="AG486" s="55" t="n">
        <x:v>94</x:v>
      </x:c>
      <x:c r="AH486" s="55" t="n">
        <x:v>374</x:v>
      </x:c>
      <x:c r="AI486" s="55" t="n">
        <x:v>9945</x:v>
      </x:c>
      <x:c r="AJ486" s="55" t="n">
        <x:v>175</x:v>
      </x:c>
      <x:c r="AK486" s="55" t="n">
        <x:v>874</x:v>
      </x:c>
      <x:c r="AL486" s="55" t="n">
        <x:v>1338</x:v>
      </x:c>
      <x:c r="AM486" s="55" t="n">
        <x:v>5060</x:v>
      </x:c>
      <x:c r="AN486" s="55" t="n">
        <x:v>2872</x:v>
      </x:c>
      <x:c r="AO486" s="55" t="n">
        <x:v>0</x:v>
      </x:c>
      <x:c r="AP486" s="55" t="n">
        <x:v>2016</x:v>
      </x:c>
      <x:c r="AQ486" s="55" t="n">
        <x:v>952</x:v>
      </x:c>
    </x:row>
    <x:row r="487">
      <x:c r="A487" s="54" t="str">
        <x:v>T1_SHARED_CATCHMENT</x:v>
      </x:c>
      <x:c r="B487" s="54" t="n">
        <x:v>481</x:v>
      </x:c>
      <x:c r="C487" s="54" t="str">
        <x:v>NYC-V2-R01</x:v>
      </x:c>
      <x:c r="D487" s="54" t="str">
        <x:v>V2</x:v>
      </x:c>
      <x:c r="E487" s="54" t="str">
        <x:v>ADMITTED</x:v>
      </x:c>
      <x:c r="F487" s="55" t="n">
        <x:v>32651</x:v>
      </x:c>
      <x:c r="G487" s="55" t="n">
        <x:v>9012</x:v>
      </x:c>
      <x:c r="H487" s="55" t="n">
        <x:v>3351</x:v>
      </x:c>
      <x:c r="I487" s="55" t="n">
        <x:v>1687</x:v>
      </x:c>
      <x:c r="J487" s="55" t="n">
        <x:v>222</x:v>
      </x:c>
      <x:c r="K487" s="55" t="n">
        <x:v>29735</x:v>
      </x:c>
      <x:c r="L487" s="55" t="n">
        <x:v>5221</x:v>
      </x:c>
      <x:c r="M487" s="55" t="n">
        <x:v>690</x:v>
      </x:c>
      <x:c r="N487" s="55" t="n">
        <x:v>2776</x:v>
      </x:c>
      <x:c r="O487" s="55" t="n">
        <x:v>1755</x:v>
      </x:c>
      <x:c r="P487" s="55" t="n">
        <x:v>1368</x:v>
      </x:c>
      <x:c r="Q487" s="55" t="n">
        <x:v>2478</x:v>
      </x:c>
      <x:c r="R487" s="55" t="n">
        <x:v>2586</x:v>
      </x:c>
      <x:c r="S487" s="55" t="n">
        <x:v>3141</x:v>
      </x:c>
      <x:c r="T487" s="55" t="n">
        <x:v>1363</x:v>
      </x:c>
      <x:c r="U487" s="55" t="n">
        <x:v>2220</x:v>
      </x:c>
      <x:c r="V487" s="55" t="n">
        <x:v>10586</x:v>
      </x:c>
      <x:c r="W487" s="55" t="n">
        <x:v>6995</x:v>
      </x:c>
      <x:c r="X487" s="55" t="n">
        <x:v>3591</x:v>
      </x:c>
      <x:c r="Y487" s="55" t="n">
        <x:v>3131</x:v>
      </x:c>
      <x:c r="Z487" s="55" t="n">
        <x:v>3721</x:v>
      </x:c>
      <x:c r="AA487" s="55" t="n">
        <x:v>2940</x:v>
      </x:c>
      <x:c r="AB487" s="55" t="n">
        <x:v>1120</x:v>
      </x:c>
      <x:c r="AC487" s="55" t="n">
        <x:v>7751</x:v>
      </x:c>
      <x:c r="AD487" s="55" t="n">
        <x:v>3430</x:v>
      </x:c>
      <x:c r="AE487" s="55" t="n">
        <x:v>10703</x:v>
      </x:c>
      <x:c r="AF487" s="55" t="n">
        <x:v>10586</x:v>
      </x:c>
      <x:c r="AG487" s="55" t="n">
        <x:v>117</x:v>
      </x:c>
      <x:c r="AH487" s="55" t="n">
        <x:v>598</x:v>
      </x:c>
      <x:c r="AI487" s="55" t="n">
        <x:v>9988</x:v>
      </x:c>
      <x:c r="AJ487" s="55" t="n">
        <x:v>364</x:v>
      </x:c>
      <x:c r="AK487" s="55" t="n">
        <x:v>1017</x:v>
      </x:c>
      <x:c r="AL487" s="55" t="n">
        <x:v>1675</x:v>
      </x:c>
      <x:c r="AM487" s="55" t="n">
        <x:v>4625</x:v>
      </x:c>
      <x:c r="AN487" s="55" t="n">
        <x:v>2871</x:v>
      </x:c>
      <x:c r="AO487" s="55" t="n">
        <x:v>34</x:v>
      </x:c>
      <x:c r="AP487" s="55" t="n">
        <x:v>2250</x:v>
      </x:c>
      <x:c r="AQ487" s="55" t="n">
        <x:v>986</x:v>
      </x:c>
    </x:row>
    <x:row r="488">
      <x:c r="A488" s="54" t="str">
        <x:v>T1_SHARED_CATCHMENT</x:v>
      </x:c>
      <x:c r="B488" s="54" t="n">
        <x:v>482</x:v>
      </x:c>
      <x:c r="C488" s="54" t="str">
        <x:v>NYC-V2-R01</x:v>
      </x:c>
      <x:c r="D488" s="54" t="str">
        <x:v>V2</x:v>
      </x:c>
      <x:c r="E488" s="54" t="str">
        <x:v>ADMITTED</x:v>
      </x:c>
      <x:c r="F488" s="55" t="n">
        <x:v>31390</x:v>
      </x:c>
      <x:c r="G488" s="55" t="n">
        <x:v>7371</x:v>
      </x:c>
      <x:c r="H488" s="55" t="n">
        <x:v>3811</x:v>
      </x:c>
      <x:c r="I488" s="55" t="n">
        <x:v>1997</x:v>
      </x:c>
      <x:c r="J488" s="55" t="n">
        <x:v>384</x:v>
      </x:c>
      <x:c r="K488" s="55" t="n">
        <x:v>31390</x:v>
      </x:c>
      <x:c r="L488" s="55" t="n">
        <x:v>5794</x:v>
      </x:c>
      <x:c r="M488" s="55" t="n">
        <x:v>1531</x:v>
      </x:c>
      <x:c r="N488" s="55" t="n">
        <x:v>2858</x:v>
      </x:c>
      <x:c r="O488" s="55" t="n">
        <x:v>1405</x:v>
      </x:c>
      <x:c r="P488" s="55" t="n">
        <x:v>663</x:v>
      </x:c>
      <x:c r="Q488" s="55" t="n">
        <x:v>2671</x:v>
      </x:c>
      <x:c r="R488" s="55" t="n">
        <x:v>1398</x:v>
      </x:c>
      <x:c r="S488" s="55" t="n">
        <x:v>2998</x:v>
      </x:c>
      <x:c r="T488" s="55" t="n">
        <x:v>1294</x:v>
      </x:c>
      <x:c r="U488" s="55" t="n">
        <x:v>1854</x:v>
      </x:c>
      <x:c r="V488" s="55" t="n">
        <x:v>10152</x:v>
      </x:c>
      <x:c r="W488" s="55" t="n">
        <x:v>6980</x:v>
      </x:c>
      <x:c r="X488" s="55" t="n">
        <x:v>3172</x:v>
      </x:c>
      <x:c r="Y488" s="55" t="n">
        <x:v>2512</x:v>
      </x:c>
      <x:c r="Z488" s="55" t="n">
        <x:v>3497</x:v>
      </x:c>
      <x:c r="AA488" s="55" t="n">
        <x:v>2960</x:v>
      </x:c>
      <x:c r="AB488" s="55" t="n">
        <x:v>705</x:v>
      </x:c>
      <x:c r="AC488" s="55" t="n">
        <x:v>7834</x:v>
      </x:c>
      <x:c r="AD488" s="55" t="n">
        <x:v>2620</x:v>
      </x:c>
      <x:c r="AE488" s="55" t="n">
        <x:v>10152</x:v>
      </x:c>
      <x:c r="AF488" s="55" t="n">
        <x:v>10152</x:v>
      </x:c>
      <x:c r="AG488" s="55" t="n">
        <x:v>0</x:v>
      </x:c>
      <x:c r="AH488" s="55" t="n">
        <x:v>273</x:v>
      </x:c>
      <x:c r="AI488" s="55" t="n">
        <x:v>9879</x:v>
      </x:c>
      <x:c r="AJ488" s="55" t="n">
        <x:v>307</x:v>
      </x:c>
      <x:c r="AK488" s="55" t="n">
        <x:v>774</x:v>
      </x:c>
      <x:c r="AL488" s="55" t="n">
        <x:v>1887</x:v>
      </x:c>
      <x:c r="AM488" s="55" t="n">
        <x:v>5128</x:v>
      </x:c>
      <x:c r="AN488" s="55" t="n">
        <x:v>2056</x:v>
      </x:c>
      <x:c r="AO488" s="55" t="n">
        <x:v>0</x:v>
      </x:c>
      <x:c r="AP488" s="55" t="n">
        <x:v>2016</x:v>
      </x:c>
      <x:c r="AQ488" s="55" t="n">
        <x:v>939</x:v>
      </x:c>
    </x:row>
    <x:row r="489">
      <x:c r="A489" s="54" t="str">
        <x:v>T1_SHARED_CATCHMENT</x:v>
      </x:c>
      <x:c r="B489" s="54" t="n">
        <x:v>483</x:v>
      </x:c>
      <x:c r="C489" s="54" t="str">
        <x:v>NYC-V2-R01</x:v>
      </x:c>
      <x:c r="D489" s="54" t="str">
        <x:v>V2</x:v>
      </x:c>
      <x:c r="E489" s="54" t="str">
        <x:v>ADMITTED</x:v>
      </x:c>
      <x:c r="F489" s="55" t="n">
        <x:v>33820</x:v>
      </x:c>
      <x:c r="G489" s="55" t="n">
        <x:v>9562</x:v>
      </x:c>
      <x:c r="H489" s="55" t="n">
        <x:v>3364</x:v>
      </x:c>
      <x:c r="I489" s="55" t="n">
        <x:v>1259</x:v>
      </x:c>
      <x:c r="J489" s="55" t="n">
        <x:v>190</x:v>
      </x:c>
      <x:c r="K489" s="55" t="n">
        <x:v>29077</x:v>
      </x:c>
      <x:c r="L489" s="55" t="n">
        <x:v>5093</x:v>
      </x:c>
      <x:c r="M489" s="55" t="n">
        <x:v>990</x:v>
      </x:c>
      <x:c r="N489" s="55" t="n">
        <x:v>2503</x:v>
      </x:c>
      <x:c r="O489" s="55" t="n">
        <x:v>1600</x:v>
      </x:c>
      <x:c r="P489" s="55" t="n">
        <x:v>782</x:v>
      </x:c>
      <x:c r="Q489" s="55" t="n">
        <x:v>2367</x:v>
      </x:c>
      <x:c r="R489" s="55" t="n">
        <x:v>1734</x:v>
      </x:c>
      <x:c r="S489" s="55" t="n">
        <x:v>3054</x:v>
      </x:c>
      <x:c r="T489" s="55" t="n">
        <x:v>1289</x:v>
      </x:c>
      <x:c r="U489" s="55" t="n">
        <x:v>2422</x:v>
      </x:c>
      <x:c r="V489" s="55" t="n">
        <x:v>10592</x:v>
      </x:c>
      <x:c r="W489" s="55" t="n">
        <x:v>7421</x:v>
      </x:c>
      <x:c r="X489" s="55" t="n">
        <x:v>3171</x:v>
      </x:c>
      <x:c r="Y489" s="55" t="n">
        <x:v>2807</x:v>
      </x:c>
      <x:c r="Z489" s="55" t="n">
        <x:v>3693</x:v>
      </x:c>
      <x:c r="AA489" s="55" t="n">
        <x:v>3364</x:v>
      </x:c>
      <x:c r="AB489" s="55" t="n">
        <x:v>1400</x:v>
      </x:c>
      <x:c r="AC489" s="55" t="n">
        <x:v>8701</x:v>
      </x:c>
      <x:c r="AD489" s="55" t="n">
        <x:v>3373</x:v>
      </x:c>
      <x:c r="AE489" s="55" t="n">
        <x:v>10671</x:v>
      </x:c>
      <x:c r="AF489" s="55" t="n">
        <x:v>10592</x:v>
      </x:c>
      <x:c r="AG489" s="55" t="n">
        <x:v>79</x:v>
      </x:c>
      <x:c r="AH489" s="55" t="n">
        <x:v>350</x:v>
      </x:c>
      <x:c r="AI489" s="55" t="n">
        <x:v>10242</x:v>
      </x:c>
      <x:c r="AJ489" s="55" t="n">
        <x:v>594</x:v>
      </x:c>
      <x:c r="AK489" s="55" t="n">
        <x:v>880</x:v>
      </x:c>
      <x:c r="AL489" s="55" t="n">
        <x:v>1469</x:v>
      </x:c>
      <x:c r="AM489" s="55" t="n">
        <x:v>5123</x:v>
      </x:c>
      <x:c r="AN489" s="55" t="n">
        <x:v>2526</x:v>
      </x:c>
      <x:c r="AO489" s="55" t="n">
        <x:v>0</x:v>
      </x:c>
      <x:c r="AP489" s="55" t="n">
        <x:v>1731</x:v>
      </x:c>
      <x:c r="AQ489" s="55" t="n">
        <x:v>921</x:v>
      </x:c>
    </x:row>
    <x:row r="490">
      <x:c r="A490" s="54" t="str">
        <x:v>T1_SHARED_CATCHMENT</x:v>
      </x:c>
      <x:c r="B490" s="54" t="n">
        <x:v>484</x:v>
      </x:c>
      <x:c r="C490" s="54" t="str">
        <x:v>NYC-V2-R01</x:v>
      </x:c>
      <x:c r="D490" s="54" t="str">
        <x:v>V2</x:v>
      </x:c>
      <x:c r="E490" s="54" t="str">
        <x:v>ADMITTED</x:v>
      </x:c>
      <x:c r="F490" s="55" t="n">
        <x:v>29049</x:v>
      </x:c>
      <x:c r="G490" s="55" t="n">
        <x:v>7541</x:v>
      </x:c>
      <x:c r="H490" s="55" t="n">
        <x:v>3507</x:v>
      </x:c>
      <x:c r="I490" s="55" t="n">
        <x:v>657</x:v>
      </x:c>
      <x:c r="J490" s="55" t="n">
        <x:v>0</x:v>
      </x:c>
      <x:c r="K490" s="55" t="n">
        <x:v>29049</x:v>
      </x:c>
      <x:c r="L490" s="55" t="n">
        <x:v>5045</x:v>
      </x:c>
      <x:c r="M490" s="55" t="n">
        <x:v>1426</x:v>
      </x:c>
      <x:c r="N490" s="55" t="n">
        <x:v>2385</x:v>
      </x:c>
      <x:c r="O490" s="55" t="n">
        <x:v>1234</x:v>
      </x:c>
      <x:c r="P490" s="55" t="n">
        <x:v>326</x:v>
      </x:c>
      <x:c r="Q490" s="55" t="n">
        <x:v>2288</x:v>
      </x:c>
      <x:c r="R490" s="55" t="n">
        <x:v>1772</x:v>
      </x:c>
      <x:c r="S490" s="55" t="n">
        <x:v>2352</x:v>
      </x:c>
      <x:c r="T490" s="55" t="n">
        <x:v>1280</x:v>
      </x:c>
      <x:c r="U490" s="55" t="n">
        <x:v>1821</x:v>
      </x:c>
      <x:c r="V490" s="55" t="n">
        <x:v>10026</x:v>
      </x:c>
      <x:c r="W490" s="55" t="n">
        <x:v>6839</x:v>
      </x:c>
      <x:c r="X490" s="55" t="n">
        <x:v>3187</x:v>
      </x:c>
      <x:c r="Y490" s="55" t="n">
        <x:v>2833</x:v>
      </x:c>
      <x:c r="Z490" s="55" t="n">
        <x:v>3350</x:v>
      </x:c>
      <x:c r="AA490" s="55" t="n">
        <x:v>3507</x:v>
      </x:c>
      <x:c r="AB490" s="55" t="n">
        <x:v>1581</x:v>
      </x:c>
      <x:c r="AC490" s="55" t="n">
        <x:v>7959</x:v>
      </x:c>
      <x:c r="AD490" s="55" t="n">
        <x:v>2541</x:v>
      </x:c>
      <x:c r="AE490" s="55" t="n">
        <x:v>10107</x:v>
      </x:c>
      <x:c r="AF490" s="55" t="n">
        <x:v>10026</x:v>
      </x:c>
      <x:c r="AG490" s="55" t="n">
        <x:v>81</x:v>
      </x:c>
      <x:c r="AH490" s="55" t="n">
        <x:v>372</x:v>
      </x:c>
      <x:c r="AI490" s="55" t="n">
        <x:v>9654</x:v>
      </x:c>
      <x:c r="AJ490" s="55" t="n">
        <x:v>326</x:v>
      </x:c>
      <x:c r="AK490" s="55" t="n">
        <x:v>952</x:v>
      </x:c>
      <x:c r="AL490" s="55" t="n">
        <x:v>1234</x:v>
      </x:c>
      <x:c r="AM490" s="55" t="n">
        <x:v>4451</x:v>
      </x:c>
      <x:c r="AN490" s="55" t="n">
        <x:v>3050</x:v>
      </x:c>
      <x:c r="AO490" s="55" t="n">
        <x:v>13</x:v>
      </x:c>
      <x:c r="AP490" s="55" t="n">
        <x:v>2631</x:v>
      </x:c>
      <x:c r="AQ490" s="55" t="n">
        <x:v>925</x:v>
      </x:c>
    </x:row>
    <x:row r="491">
      <x:c r="A491" s="54" t="str">
        <x:v>T1_SHARED_CATCHMENT</x:v>
      </x:c>
      <x:c r="B491" s="54" t="n">
        <x:v>485</x:v>
      </x:c>
      <x:c r="C491" s="54" t="str">
        <x:v>NYC-V2-R01</x:v>
      </x:c>
      <x:c r="D491" s="54" t="str">
        <x:v>V2</x:v>
      </x:c>
      <x:c r="E491" s="54" t="str">
        <x:v>ADMITTED</x:v>
      </x:c>
      <x:c r="F491" s="55" t="n">
        <x:v>28158</x:v>
      </x:c>
      <x:c r="G491" s="55" t="n">
        <x:v>7276</x:v>
      </x:c>
      <x:c r="H491" s="55" t="n">
        <x:v>3147</x:v>
      </x:c>
      <x:c r="I491" s="55" t="n">
        <x:v>1346</x:v>
      </x:c>
      <x:c r="J491" s="55" t="n">
        <x:v>221</x:v>
      </x:c>
      <x:c r="K491" s="55" t="n">
        <x:v>27345</x:v>
      </x:c>
      <x:c r="L491" s="55" t="n">
        <x:v>4454</x:v>
      </x:c>
      <x:c r="M491" s="55" t="n">
        <x:v>0</x:v>
      </x:c>
      <x:c r="N491" s="55" t="n">
        <x:v>2809</x:v>
      </x:c>
      <x:c r="O491" s="55" t="n">
        <x:v>1645</x:v>
      </x:c>
      <x:c r="P491" s="55" t="n">
        <x:v>1390</x:v>
      </x:c>
      <x:c r="Q491" s="55" t="n">
        <x:v>2964</x:v>
      </x:c>
      <x:c r="R491" s="55" t="n">
        <x:v>2463</x:v>
      </x:c>
      <x:c r="S491" s="55" t="n">
        <x:v>2604</x:v>
      </x:c>
      <x:c r="T491" s="55" t="n">
        <x:v>1165</x:v>
      </x:c>
      <x:c r="U491" s="55" t="n">
        <x:v>1977</x:v>
      </x:c>
      <x:c r="V491" s="55" t="n">
        <x:v>9770</x:v>
      </x:c>
      <x:c r="W491" s="55" t="n">
        <x:v>6711</x:v>
      </x:c>
      <x:c r="X491" s="55" t="n">
        <x:v>3059</x:v>
      </x:c>
      <x:c r="Y491" s="55" t="n">
        <x:v>2514</x:v>
      </x:c>
      <x:c r="Z491" s="55" t="n">
        <x:v>3852</x:v>
      </x:c>
      <x:c r="AA491" s="55" t="n">
        <x:v>2864</x:v>
      </x:c>
      <x:c r="AB491" s="55" t="n">
        <x:v>959</x:v>
      </x:c>
      <x:c r="AC491" s="55" t="n">
        <x:v>8018</x:v>
      </x:c>
      <x:c r="AD491" s="55" t="n">
        <x:v>2982</x:v>
      </x:c>
      <x:c r="AE491" s="55" t="n">
        <x:v>9888</x:v>
      </x:c>
      <x:c r="AF491" s="55" t="n">
        <x:v>9770</x:v>
      </x:c>
      <x:c r="AG491" s="55" t="n">
        <x:v>118</x:v>
      </x:c>
      <x:c r="AH491" s="55" t="n">
        <x:v>206</x:v>
      </x:c>
      <x:c r="AI491" s="55" t="n">
        <x:v>9564</x:v>
      </x:c>
      <x:c r="AJ491" s="55" t="n">
        <x:v>147</x:v>
      </x:c>
      <x:c r="AK491" s="55" t="n">
        <x:v>863</x:v>
      </x:c>
      <x:c r="AL491" s="55" t="n">
        <x:v>1215</x:v>
      </x:c>
      <x:c r="AM491" s="55" t="n">
        <x:v>5007</x:v>
      </x:c>
      <x:c r="AN491" s="55" t="n">
        <x:v>2510</x:v>
      </x:c>
      <x:c r="AO491" s="55" t="n">
        <x:v>28</x:v>
      </x:c>
      <x:c r="AP491" s="55" t="n">
        <x:v>2420</x:v>
      </x:c>
      <x:c r="AQ491" s="55" t="n">
        <x:v>1007</x:v>
      </x:c>
    </x:row>
    <x:row r="492">
      <x:c r="A492" s="54" t="str">
        <x:v>T1_SHARED_CATCHMENT</x:v>
      </x:c>
      <x:c r="B492" s="54" t="n">
        <x:v>486</x:v>
      </x:c>
      <x:c r="C492" s="54" t="str">
        <x:v>NYC-V2-R01</x:v>
      </x:c>
      <x:c r="D492" s="54" t="str">
        <x:v>V2</x:v>
      </x:c>
      <x:c r="E492" s="54" t="str">
        <x:v>ADMITTED</x:v>
      </x:c>
      <x:c r="F492" s="55" t="n">
        <x:v>31562</x:v>
      </x:c>
      <x:c r="G492" s="55" t="n">
        <x:v>7791</x:v>
      </x:c>
      <x:c r="H492" s="55" t="n">
        <x:v>3903</x:v>
      </x:c>
      <x:c r="I492" s="55" t="n">
        <x:v>1749</x:v>
      </x:c>
      <x:c r="J492" s="55" t="n">
        <x:v>474</x:v>
      </x:c>
      <x:c r="K492" s="55" t="n">
        <x:v>31187</x:v>
      </x:c>
      <x:c r="L492" s="55" t="n">
        <x:v>7087</x:v>
      </x:c>
      <x:c r="M492" s="55" t="n">
        <x:v>2401</x:v>
      </x:c>
      <x:c r="N492" s="55" t="n">
        <x:v>2748</x:v>
      </x:c>
      <x:c r="O492" s="55" t="n">
        <x:v>1938</x:v>
      </x:c>
      <x:c r="P492" s="55" t="n">
        <x:v>975</x:v>
      </x:c>
      <x:c r="Q492" s="55" t="n">
        <x:v>2552</x:v>
      </x:c>
      <x:c r="R492" s="55" t="n">
        <x:v>1810</x:v>
      </x:c>
      <x:c r="S492" s="55" t="n">
        <x:v>3139</x:v>
      </x:c>
      <x:c r="T492" s="55" t="n">
        <x:v>1334</x:v>
      </x:c>
      <x:c r="U492" s="55" t="n">
        <x:v>2494</x:v>
      </x:c>
      <x:c r="V492" s="55" t="n">
        <x:v>10397</x:v>
      </x:c>
      <x:c r="W492" s="55" t="n">
        <x:v>6937</x:v>
      </x:c>
      <x:c r="X492" s="55" t="n">
        <x:v>3460</x:v>
      </x:c>
      <x:c r="Y492" s="55" t="n">
        <x:v>2787</x:v>
      </x:c>
      <x:c r="Z492" s="55" t="n">
        <x:v>4157</x:v>
      </x:c>
      <x:c r="AA492" s="55" t="n">
        <x:v>2621</x:v>
      </x:c>
      <x:c r="AB492" s="55" t="n">
        <x:v>1472</x:v>
      </x:c>
      <x:c r="AC492" s="55" t="n">
        <x:v>8577</x:v>
      </x:c>
      <x:c r="AD492" s="55" t="n">
        <x:v>2739</x:v>
      </x:c>
      <x:c r="AE492" s="55" t="n">
        <x:v>10571</x:v>
      </x:c>
      <x:c r="AF492" s="55" t="n">
        <x:v>10397</x:v>
      </x:c>
      <x:c r="AG492" s="55" t="n">
        <x:v>174</x:v>
      </x:c>
      <x:c r="AH492" s="55" t="n">
        <x:v>834</x:v>
      </x:c>
      <x:c r="AI492" s="55" t="n">
        <x:v>9563</x:v>
      </x:c>
      <x:c r="AJ492" s="55" t="n">
        <x:v>566</x:v>
      </x:c>
      <x:c r="AK492" s="55" t="n">
        <x:v>1090</x:v>
      </x:c>
      <x:c r="AL492" s="55" t="n">
        <x:v>1679</x:v>
      </x:c>
      <x:c r="AM492" s="55" t="n">
        <x:v>4235</x:v>
      </x:c>
      <x:c r="AN492" s="55" t="n">
        <x:v>2766</x:v>
      </x:c>
      <x:c r="AO492" s="55" t="n">
        <x:v>61</x:v>
      </x:c>
      <x:c r="AP492" s="55" t="n">
        <x:v>2821</x:v>
      </x:c>
      <x:c r="AQ492" s="55" t="n">
        <x:v>990</x:v>
      </x:c>
    </x:row>
    <x:row r="493">
      <x:c r="A493" s="54" t="str">
        <x:v>T1_SHARED_CATCHMENT</x:v>
      </x:c>
      <x:c r="B493" s="54" t="n">
        <x:v>487</x:v>
      </x:c>
      <x:c r="C493" s="54" t="str">
        <x:v>NYC-V2-R01</x:v>
      </x:c>
      <x:c r="D493" s="54" t="str">
        <x:v>V2</x:v>
      </x:c>
      <x:c r="E493" s="54" t="str">
        <x:v>ADMITTED</x:v>
      </x:c>
      <x:c r="F493" s="55" t="n">
        <x:v>29309</x:v>
      </x:c>
      <x:c r="G493" s="55" t="n">
        <x:v>6080</x:v>
      </x:c>
      <x:c r="H493" s="55" t="n">
        <x:v>3337</x:v>
      </x:c>
      <x:c r="I493" s="55" t="n">
        <x:v>1192</x:v>
      </x:c>
      <x:c r="J493" s="55" t="n">
        <x:v>233</x:v>
      </x:c>
      <x:c r="K493" s="55" t="n">
        <x:v>29309</x:v>
      </x:c>
      <x:c r="L493" s="55" t="n">
        <x:v>5658</x:v>
      </x:c>
      <x:c r="M493" s="55" t="n">
        <x:v>875</x:v>
      </x:c>
      <x:c r="N493" s="55" t="n">
        <x:v>3009</x:v>
      </x:c>
      <x:c r="O493" s="55" t="n">
        <x:v>1774</x:v>
      </x:c>
      <x:c r="P493" s="55" t="n">
        <x:v>605</x:v>
      </x:c>
      <x:c r="Q493" s="55" t="n">
        <x:v>2278</x:v>
      </x:c>
      <x:c r="R493" s="55" t="n">
        <x:v>2047</x:v>
      </x:c>
      <x:c r="S493" s="55" t="n">
        <x:v>2045</x:v>
      </x:c>
      <x:c r="T493" s="55" t="n">
        <x:v>835</x:v>
      </x:c>
      <x:c r="U493" s="55" t="n">
        <x:v>1604</x:v>
      </x:c>
      <x:c r="V493" s="55" t="n">
        <x:v>10676</x:v>
      </x:c>
      <x:c r="W493" s="55" t="n">
        <x:v>7829</x:v>
      </x:c>
      <x:c r="X493" s="55" t="n">
        <x:v>2847</x:v>
      </x:c>
      <x:c r="Y493" s="55" t="n">
        <x:v>2385</x:v>
      </x:c>
      <x:c r="Z493" s="55" t="n">
        <x:v>3382</x:v>
      </x:c>
      <x:c r="AA493" s="55" t="n">
        <x:v>2730</x:v>
      </x:c>
      <x:c r="AB493" s="55" t="n">
        <x:v>906</x:v>
      </x:c>
      <x:c r="AC493" s="55" t="n">
        <x:v>8094</x:v>
      </x:c>
      <x:c r="AD493" s="55" t="n">
        <x:v>2378</x:v>
      </x:c>
      <x:c r="AE493" s="55" t="n">
        <x:v>10783</x:v>
      </x:c>
      <x:c r="AF493" s="55" t="n">
        <x:v>10676</x:v>
      </x:c>
      <x:c r="AG493" s="55" t="n">
        <x:v>107</x:v>
      </x:c>
      <x:c r="AH493" s="55" t="n">
        <x:v>473</x:v>
      </x:c>
      <x:c r="AI493" s="55" t="n">
        <x:v>10203</x:v>
      </x:c>
      <x:c r="AJ493" s="55" t="n">
        <x:v>199</x:v>
      </x:c>
      <x:c r="AK493" s="55" t="n">
        <x:v>1321</x:v>
      </x:c>
      <x:c r="AL493" s="55" t="n">
        <x:v>1374</x:v>
      </x:c>
      <x:c r="AM493" s="55" t="n">
        <x:v>4915</x:v>
      </x:c>
      <x:c r="AN493" s="55" t="n">
        <x:v>2865</x:v>
      </x:c>
      <x:c r="AO493" s="55" t="n">
        <x:v>2</x:v>
      </x:c>
      <x:c r="AP493" s="55" t="n">
        <x:v>2490</x:v>
      </x:c>
      <x:c r="AQ493" s="55" t="n">
        <x:v>951</x:v>
      </x:c>
    </x:row>
    <x:row r="494">
      <x:c r="A494" s="54" t="str">
        <x:v>T1_SHARED_CATCHMENT</x:v>
      </x:c>
      <x:c r="B494" s="54" t="n">
        <x:v>488</x:v>
      </x:c>
      <x:c r="C494" s="54" t="str">
        <x:v>NYC-V2-R01</x:v>
      </x:c>
      <x:c r="D494" s="54" t="str">
        <x:v>V2</x:v>
      </x:c>
      <x:c r="E494" s="54" t="str">
        <x:v>ADMITTED</x:v>
      </x:c>
      <x:c r="F494" s="55" t="n">
        <x:v>33734</x:v>
      </x:c>
      <x:c r="G494" s="55" t="n">
        <x:v>8730</x:v>
      </x:c>
      <x:c r="H494" s="55" t="n">
        <x:v>3273</x:v>
      </x:c>
      <x:c r="I494" s="55" t="n">
        <x:v>1098</x:v>
      </x:c>
      <x:c r="J494" s="55" t="n">
        <x:v>229</x:v>
      </x:c>
      <x:c r="K494" s="55" t="n">
        <x:v>30313</x:v>
      </x:c>
      <x:c r="L494" s="55" t="n">
        <x:v>4880</x:v>
      </x:c>
      <x:c r="M494" s="55" t="n">
        <x:v>1188</x:v>
      </x:c>
      <x:c r="N494" s="55" t="n">
        <x:v>2132</x:v>
      </x:c>
      <x:c r="O494" s="55" t="n">
        <x:v>1560</x:v>
      </x:c>
      <x:c r="P494" s="55" t="n">
        <x:v>749</x:v>
      </x:c>
      <x:c r="Q494" s="55" t="n">
        <x:v>2427</x:v>
      </x:c>
      <x:c r="R494" s="55" t="n">
        <x:v>1432</x:v>
      </x:c>
      <x:c r="S494" s="55" t="n">
        <x:v>2499</x:v>
      </x:c>
      <x:c r="T494" s="55" t="n">
        <x:v>1279</x:v>
      </x:c>
      <x:c r="U494" s="55" t="n">
        <x:v>2306</x:v>
      </x:c>
      <x:c r="V494" s="55" t="n">
        <x:v>10032</x:v>
      </x:c>
      <x:c r="W494" s="55" t="n">
        <x:v>6697</x:v>
      </x:c>
      <x:c r="X494" s="55" t="n">
        <x:v>3335</x:v>
      </x:c>
      <x:c r="Y494" s="55" t="n">
        <x:v>2875</x:v>
      </x:c>
      <x:c r="Z494" s="55" t="n">
        <x:v>3315</x:v>
      </x:c>
      <x:c r="AA494" s="55" t="n">
        <x:v>3273</x:v>
      </x:c>
      <x:c r="AB494" s="55" t="n">
        <x:v>1117</x:v>
      </x:c>
      <x:c r="AC494" s="55" t="n">
        <x:v>8042</x:v>
      </x:c>
      <x:c r="AD494" s="55" t="n">
        <x:v>3234</x:v>
      </x:c>
      <x:c r="AE494" s="55" t="n">
        <x:v>10107</x:v>
      </x:c>
      <x:c r="AF494" s="55" t="n">
        <x:v>10032</x:v>
      </x:c>
      <x:c r="AG494" s="55" t="n">
        <x:v>75</x:v>
      </x:c>
      <x:c r="AH494" s="55" t="n">
        <x:v>365</x:v>
      </x:c>
      <x:c r="AI494" s="55" t="n">
        <x:v>9667</x:v>
      </x:c>
      <x:c r="AJ494" s="55" t="n">
        <x:v>276</x:v>
      </x:c>
      <x:c r="AK494" s="55" t="n">
        <x:v>917</x:v>
      </x:c>
      <x:c r="AL494" s="55" t="n">
        <x:v>1347</x:v>
      </x:c>
      <x:c r="AM494" s="55" t="n">
        <x:v>4945</x:v>
      </x:c>
      <x:c r="AN494" s="55" t="n">
        <x:v>2527</x:v>
      </x:c>
      <x:c r="AO494" s="55" t="n">
        <x:v>20</x:v>
      </x:c>
      <x:c r="AP494" s="55" t="n">
        <x:v>2508</x:v>
      </x:c>
      <x:c r="AQ494" s="55" t="n">
        <x:v>961</x:v>
      </x:c>
    </x:row>
    <x:row r="495">
      <x:c r="A495" s="54" t="str">
        <x:v>T1_SHARED_CATCHMENT</x:v>
      </x:c>
      <x:c r="B495" s="54" t="n">
        <x:v>489</x:v>
      </x:c>
      <x:c r="C495" s="54" t="str">
        <x:v>NYC-V2-R01</x:v>
      </x:c>
      <x:c r="D495" s="54" t="str">
        <x:v>V2</x:v>
      </x:c>
      <x:c r="E495" s="54" t="str">
        <x:v>ADMITTED</x:v>
      </x:c>
      <x:c r="F495" s="55" t="n">
        <x:v>29812</x:v>
      </x:c>
      <x:c r="G495" s="55" t="n">
        <x:v>7703</x:v>
      </x:c>
      <x:c r="H495" s="55" t="n">
        <x:v>3054</x:v>
      </x:c>
      <x:c r="I495" s="55" t="n">
        <x:v>1042</x:v>
      </x:c>
      <x:c r="J495" s="55" t="n">
        <x:v>187</x:v>
      </x:c>
      <x:c r="K495" s="55" t="n">
        <x:v>29812</x:v>
      </x:c>
      <x:c r="L495" s="55" t="n">
        <x:v>5329</x:v>
      </x:c>
      <x:c r="M495" s="55" t="n">
        <x:v>1343</x:v>
      </x:c>
      <x:c r="N495" s="55" t="n">
        <x:v>2263</x:v>
      </x:c>
      <x:c r="O495" s="55" t="n">
        <x:v>1723</x:v>
      </x:c>
      <x:c r="P495" s="55" t="n">
        <x:v>824</x:v>
      </x:c>
      <x:c r="Q495" s="55" t="n">
        <x:v>1367</x:v>
      </x:c>
      <x:c r="R495" s="55" t="n">
        <x:v>1500</x:v>
      </x:c>
      <x:c r="S495" s="55" t="n">
        <x:v>2819</x:v>
      </x:c>
      <x:c r="T495" s="55" t="n">
        <x:v>1131</x:v>
      </x:c>
      <x:c r="U495" s="55" t="n">
        <x:v>1627</x:v>
      </x:c>
      <x:c r="V495" s="55" t="n">
        <x:v>9950</x:v>
      </x:c>
      <x:c r="W495" s="55" t="n">
        <x:v>6330</x:v>
      </x:c>
      <x:c r="X495" s="55" t="n">
        <x:v>3620</x:v>
      </x:c>
      <x:c r="Y495" s="55" t="n">
        <x:v>3141</x:v>
      </x:c>
      <x:c r="Z495" s="55" t="n">
        <x:v>3437</x:v>
      </x:c>
      <x:c r="AA495" s="55" t="n">
        <x:v>3054</x:v>
      </x:c>
      <x:c r="AB495" s="55" t="n">
        <x:v>990</x:v>
      </x:c>
      <x:c r="AC495" s="55" t="n">
        <x:v>7430</x:v>
      </x:c>
      <x:c r="AD495" s="55" t="n">
        <x:v>3203</x:v>
      </x:c>
      <x:c r="AE495" s="55" t="n">
        <x:v>10046</x:v>
      </x:c>
      <x:c r="AF495" s="55" t="n">
        <x:v>9950</x:v>
      </x:c>
      <x:c r="AG495" s="55" t="n">
        <x:v>96</x:v>
      </x:c>
      <x:c r="AH495" s="55" t="n">
        <x:v>350</x:v>
      </x:c>
      <x:c r="AI495" s="55" t="n">
        <x:v>9600</x:v>
      </x:c>
      <x:c r="AJ495" s="55" t="n">
        <x:v>365</x:v>
      </x:c>
      <x:c r="AK495" s="55" t="n">
        <x:v>1097</x:v>
      </x:c>
      <x:c r="AL495" s="55" t="n">
        <x:v>1312</x:v>
      </x:c>
      <x:c r="AM495" s="55" t="n">
        <x:v>4327</x:v>
      </x:c>
      <x:c r="AN495" s="55" t="n">
        <x:v>2816</x:v>
      </x:c>
      <x:c r="AO495" s="55" t="n">
        <x:v>33</x:v>
      </x:c>
      <x:c r="AP495" s="55" t="n">
        <x:v>2280</x:v>
      </x:c>
      <x:c r="AQ495" s="55" t="n">
        <x:v>892</x:v>
      </x:c>
    </x:row>
    <x:row r="496">
      <x:c r="A496" s="54" t="str">
        <x:v>T1_SHARED_CATCHMENT</x:v>
      </x:c>
      <x:c r="B496" s="54" t="n">
        <x:v>490</x:v>
      </x:c>
      <x:c r="C496" s="54" t="str">
        <x:v>NYC-V2-R01</x:v>
      </x:c>
      <x:c r="D496" s="54" t="str">
        <x:v>V2</x:v>
      </x:c>
      <x:c r="E496" s="54" t="str">
        <x:v>ADMITTED</x:v>
      </x:c>
      <x:c r="F496" s="55" t="n">
        <x:v>33062</x:v>
      </x:c>
      <x:c r="G496" s="55" t="n">
        <x:v>7739</x:v>
      </x:c>
      <x:c r="H496" s="55" t="n">
        <x:v>4154</x:v>
      </x:c>
      <x:c r="I496" s="55" t="n">
        <x:v>1914</x:v>
      </x:c>
      <x:c r="J496" s="55" t="n">
        <x:v>369</x:v>
      </x:c>
      <x:c r="K496" s="55" t="n">
        <x:v>29905</x:v>
      </x:c>
      <x:c r="L496" s="55" t="n">
        <x:v>5548</x:v>
      </x:c>
      <x:c r="M496" s="55" t="n">
        <x:v>1248</x:v>
      </x:c>
      <x:c r="N496" s="55" t="n">
        <x:v>2533</x:v>
      </x:c>
      <x:c r="O496" s="55" t="n">
        <x:v>1767</x:v>
      </x:c>
      <x:c r="P496" s="55" t="n">
        <x:v>373</x:v>
      </x:c>
      <x:c r="Q496" s="55" t="n">
        <x:v>2217</x:v>
      </x:c>
      <x:c r="R496" s="55" t="n">
        <x:v>1892</x:v>
      </x:c>
      <x:c r="S496" s="55" t="n">
        <x:v>2385</x:v>
      </x:c>
      <x:c r="T496" s="55" t="n">
        <x:v>1446</x:v>
      </x:c>
      <x:c r="U496" s="55" t="n">
        <x:v>2131</x:v>
      </x:c>
      <x:c r="V496" s="55" t="n">
        <x:v>10252</x:v>
      </x:c>
      <x:c r="W496" s="55" t="n">
        <x:v>7286</x:v>
      </x:c>
      <x:c r="X496" s="55" t="n">
        <x:v>2966</x:v>
      </x:c>
      <x:c r="Y496" s="55" t="n">
        <x:v>2579</x:v>
      </x:c>
      <x:c r="Z496" s="55" t="n">
        <x:v>3652</x:v>
      </x:c>
      <x:c r="AA496" s="55" t="n">
        <x:v>3179</x:v>
      </x:c>
      <x:c r="AB496" s="55" t="n">
        <x:v>1214</x:v>
      </x:c>
      <x:c r="AC496" s="55" t="n">
        <x:v>7324</x:v>
      </x:c>
      <x:c r="AD496" s="55" t="n">
        <x:v>2907</x:v>
      </x:c>
      <x:c r="AE496" s="55" t="n">
        <x:v>10345</x:v>
      </x:c>
      <x:c r="AF496" s="55" t="n">
        <x:v>10252</x:v>
      </x:c>
      <x:c r="AG496" s="55" t="n">
        <x:v>93</x:v>
      </x:c>
      <x:c r="AH496" s="55" t="n">
        <x:v>351</x:v>
      </x:c>
      <x:c r="AI496" s="55" t="n">
        <x:v>9901</x:v>
      </x:c>
      <x:c r="AJ496" s="55" t="n">
        <x:v>506</x:v>
      </x:c>
      <x:c r="AK496" s="55" t="n">
        <x:v>886</x:v>
      </x:c>
      <x:c r="AL496" s="55" t="n">
        <x:v>1256</x:v>
      </x:c>
      <x:c r="AM496" s="55" t="n">
        <x:v>5046</x:v>
      </x:c>
      <x:c r="AN496" s="55" t="n">
        <x:v>2558</x:v>
      </x:c>
      <x:c r="AO496" s="55" t="n">
        <x:v>0</x:v>
      </x:c>
      <x:c r="AP496" s="55" t="n">
        <x:v>2246</x:v>
      </x:c>
      <x:c r="AQ496" s="55" t="n">
        <x:v>933</x:v>
      </x:c>
    </x:row>
    <x:row r="497">
      <x:c r="A497" s="54" t="str">
        <x:v>T1_SHARED_CATCHMENT</x:v>
      </x:c>
      <x:c r="B497" s="54" t="n">
        <x:v>491</x:v>
      </x:c>
      <x:c r="C497" s="54" t="str">
        <x:v>NYC-V2-R01</x:v>
      </x:c>
      <x:c r="D497" s="54" t="str">
        <x:v>V2</x:v>
      </x:c>
      <x:c r="E497" s="54" t="str">
        <x:v>ADMITTED</x:v>
      </x:c>
      <x:c r="F497" s="55" t="n">
        <x:v>31272</x:v>
      </x:c>
      <x:c r="G497" s="55" t="n">
        <x:v>7390</x:v>
      </x:c>
      <x:c r="H497" s="55" t="n">
        <x:v>3132</x:v>
      </x:c>
      <x:c r="I497" s="55" t="n">
        <x:v>1089</x:v>
      </x:c>
      <x:c r="J497" s="55" t="n">
        <x:v>141</x:v>
      </x:c>
      <x:c r="K497" s="55" t="n">
        <x:v>31272</x:v>
      </x:c>
      <x:c r="L497" s="55" t="n">
        <x:v>6035</x:v>
      </x:c>
      <x:c r="M497" s="55" t="n">
        <x:v>1291</x:v>
      </x:c>
      <x:c r="N497" s="55" t="n">
        <x:v>2806</x:v>
      </x:c>
      <x:c r="O497" s="55" t="n">
        <x:v>1938</x:v>
      </x:c>
      <x:c r="P497" s="55" t="n">
        <x:v>932</x:v>
      </x:c>
      <x:c r="Q497" s="55" t="n">
        <x:v>2006</x:v>
      </x:c>
      <x:c r="R497" s="55" t="n">
        <x:v>1602</x:v>
      </x:c>
      <x:c r="S497" s="55" t="n">
        <x:v>2162</x:v>
      </x:c>
      <x:c r="T497" s="55" t="n">
        <x:v>1061</x:v>
      </x:c>
      <x:c r="U497" s="55" t="n">
        <x:v>2068</x:v>
      </x:c>
      <x:c r="V497" s="55" t="n">
        <x:v>10749</x:v>
      </x:c>
      <x:c r="W497" s="55" t="n">
        <x:v>7522</x:v>
      </x:c>
      <x:c r="X497" s="55" t="n">
        <x:v>3227</x:v>
      </x:c>
      <x:c r="Y497" s="55" t="n">
        <x:v>2901</x:v>
      </x:c>
      <x:c r="Z497" s="55" t="n">
        <x:v>4111</x:v>
      </x:c>
      <x:c r="AA497" s="55" t="n">
        <x:v>2786</x:v>
      </x:c>
      <x:c r="AB497" s="55" t="n">
        <x:v>957</x:v>
      </x:c>
      <x:c r="AC497" s="55" t="n">
        <x:v>7405</x:v>
      </x:c>
      <x:c r="AD497" s="55" t="n">
        <x:v>3363</x:v>
      </x:c>
      <x:c r="AE497" s="55" t="n">
        <x:v>10820</x:v>
      </x:c>
      <x:c r="AF497" s="55" t="n">
        <x:v>10749</x:v>
      </x:c>
      <x:c r="AG497" s="55" t="n">
        <x:v>71</x:v>
      </x:c>
      <x:c r="AH497" s="55" t="n">
        <x:v>577</x:v>
      </x:c>
      <x:c r="AI497" s="55" t="n">
        <x:v>10172</x:v>
      </x:c>
      <x:c r="AJ497" s="55" t="n">
        <x:v>448</x:v>
      </x:c>
      <x:c r="AK497" s="55" t="n">
        <x:v>835</x:v>
      </x:c>
      <x:c r="AL497" s="55" t="n">
        <x:v>1497</x:v>
      </x:c>
      <x:c r="AM497" s="55" t="n">
        <x:v>5114</x:v>
      </x:c>
      <x:c r="AN497" s="55" t="n">
        <x:v>2815</x:v>
      </x:c>
      <x:c r="AO497" s="55" t="n">
        <x:v>40</x:v>
      </x:c>
      <x:c r="AP497" s="55" t="n">
        <x:v>2067</x:v>
      </x:c>
      <x:c r="AQ497" s="55" t="n">
        <x:v>974</x:v>
      </x:c>
    </x:row>
    <x:row r="498">
      <x:c r="A498" s="54" t="str">
        <x:v>T1_SHARED_CATCHMENT</x:v>
      </x:c>
      <x:c r="B498" s="54" t="n">
        <x:v>492</x:v>
      </x:c>
      <x:c r="C498" s="54" t="str">
        <x:v>NYC-V2-R01</x:v>
      </x:c>
      <x:c r="D498" s="54" t="str">
        <x:v>V2</x:v>
      </x:c>
      <x:c r="E498" s="54" t="str">
        <x:v>ADMITTED</x:v>
      </x:c>
      <x:c r="F498" s="55" t="n">
        <x:v>28853</x:v>
      </x:c>
      <x:c r="G498" s="55" t="n">
        <x:v>6558</x:v>
      </x:c>
      <x:c r="H498" s="55" t="n">
        <x:v>3290</x:v>
      </x:c>
      <x:c r="I498" s="55" t="n">
        <x:v>1278</x:v>
      </x:c>
      <x:c r="J498" s="55" t="n">
        <x:v>269</x:v>
      </x:c>
      <x:c r="K498" s="55" t="n">
        <x:v>28763</x:v>
      </x:c>
      <x:c r="L498" s="55" t="n">
        <x:v>3930</x:v>
      </x:c>
      <x:c r="M498" s="55" t="n">
        <x:v>475</x:v>
      </x:c>
      <x:c r="N498" s="55" t="n">
        <x:v>2158</x:v>
      </x:c>
      <x:c r="O498" s="55" t="n">
        <x:v>1297</x:v>
      </x:c>
      <x:c r="P498" s="55" t="n">
        <x:v>981</x:v>
      </x:c>
      <x:c r="Q498" s="55" t="n">
        <x:v>2613</x:v>
      </x:c>
      <x:c r="R498" s="55" t="n">
        <x:v>1648</x:v>
      </x:c>
      <x:c r="S498" s="55" t="n">
        <x:v>1999</x:v>
      </x:c>
      <x:c r="T498" s="55" t="n">
        <x:v>1043</x:v>
      </x:c>
      <x:c r="U498" s="55" t="n">
        <x:v>2250</x:v>
      </x:c>
      <x:c r="V498" s="55" t="n">
        <x:v>10411</x:v>
      </x:c>
      <x:c r="W498" s="55" t="n">
        <x:v>7717</x:v>
      </x:c>
      <x:c r="X498" s="55" t="n">
        <x:v>2694</x:v>
      </x:c>
      <x:c r="Y498" s="55" t="n">
        <x:v>2461</x:v>
      </x:c>
      <x:c r="Z498" s="55" t="n">
        <x:v>3434</x:v>
      </x:c>
      <x:c r="AA498" s="55" t="n">
        <x:v>3290</x:v>
      </x:c>
      <x:c r="AB498" s="55" t="n">
        <x:v>1301</x:v>
      </x:c>
      <x:c r="AC498" s="55" t="n">
        <x:v>7501</x:v>
      </x:c>
      <x:c r="AD498" s="55" t="n">
        <x:v>2331</x:v>
      </x:c>
      <x:c r="AE498" s="55" t="n">
        <x:v>10462</x:v>
      </x:c>
      <x:c r="AF498" s="55" t="n">
        <x:v>10411</x:v>
      </x:c>
      <x:c r="AG498" s="55" t="n">
        <x:v>51</x:v>
      </x:c>
      <x:c r="AH498" s="55" t="n">
        <x:v>477</x:v>
      </x:c>
      <x:c r="AI498" s="55" t="n">
        <x:v>9934</x:v>
      </x:c>
      <x:c r="AJ498" s="55" t="n">
        <x:v>474</x:v>
      </x:c>
      <x:c r="AK498" s="55" t="n">
        <x:v>1210</x:v>
      </x:c>
      <x:c r="AL498" s="55" t="n">
        <x:v>1561</x:v>
      </x:c>
      <x:c r="AM498" s="55" t="n">
        <x:v>4685</x:v>
      </x:c>
      <x:c r="AN498" s="55" t="n">
        <x:v>2461</x:v>
      </x:c>
      <x:c r="AO498" s="55" t="n">
        <x:v>20</x:v>
      </x:c>
      <x:c r="AP498" s="55" t="n">
        <x:v>2172</x:v>
      </x:c>
      <x:c r="AQ498" s="55" t="n">
        <x:v>946</x:v>
      </x:c>
    </x:row>
    <x:row r="499">
      <x:c r="A499" s="54" t="str">
        <x:v>T1_SHARED_CATCHMENT</x:v>
      </x:c>
      <x:c r="B499" s="54" t="n">
        <x:v>493</x:v>
      </x:c>
      <x:c r="C499" s="54" t="str">
        <x:v>NYC-V2-R01</x:v>
      </x:c>
      <x:c r="D499" s="54" t="str">
        <x:v>V2</x:v>
      </x:c>
      <x:c r="E499" s="54" t="str">
        <x:v>ADMITTED</x:v>
      </x:c>
      <x:c r="F499" s="55" t="n">
        <x:v>28938</x:v>
      </x:c>
      <x:c r="G499" s="55" t="n">
        <x:v>7250</x:v>
      </x:c>
      <x:c r="H499" s="55" t="n">
        <x:v>3337</x:v>
      </x:c>
      <x:c r="I499" s="55" t="n">
        <x:v>1447</x:v>
      </x:c>
      <x:c r="J499" s="55" t="n">
        <x:v>113</x:v>
      </x:c>
      <x:c r="K499" s="55" t="n">
        <x:v>27653</x:v>
      </x:c>
      <x:c r="L499" s="55" t="n">
        <x:v>5493</x:v>
      </x:c>
      <x:c r="M499" s="55" t="n">
        <x:v>1116</x:v>
      </x:c>
      <x:c r="N499" s="55" t="n">
        <x:v>2954</x:v>
      </x:c>
      <x:c r="O499" s="55" t="n">
        <x:v>1423</x:v>
      </x:c>
      <x:c r="P499" s="55" t="n">
        <x:v>527</x:v>
      </x:c>
      <x:c r="Q499" s="55" t="n">
        <x:v>2798</x:v>
      </x:c>
      <x:c r="R499" s="55" t="n">
        <x:v>1620</x:v>
      </x:c>
      <x:c r="S499" s="55" t="n">
        <x:v>3308</x:v>
      </x:c>
      <x:c r="T499" s="55" t="n">
        <x:v>1100</x:v>
      </x:c>
      <x:c r="U499" s="55" t="n">
        <x:v>1986</x:v>
      </x:c>
      <x:c r="V499" s="55" t="n">
        <x:v>10741</x:v>
      </x:c>
      <x:c r="W499" s="55" t="n">
        <x:v>8089</x:v>
      </x:c>
      <x:c r="X499" s="55" t="n">
        <x:v>2652</x:v>
      </x:c>
      <x:c r="Y499" s="55" t="n">
        <x:v>2342</x:v>
      </x:c>
      <x:c r="Z499" s="55" t="n">
        <x:v>3525</x:v>
      </x:c>
      <x:c r="AA499" s="55" t="n">
        <x:v>2976</x:v>
      </x:c>
      <x:c r="AB499" s="55" t="n">
        <x:v>1270</x:v>
      </x:c>
      <x:c r="AC499" s="55" t="n">
        <x:v>7500</x:v>
      </x:c>
      <x:c r="AD499" s="55" t="n">
        <x:v>3387</x:v>
      </x:c>
      <x:c r="AE499" s="55" t="n">
        <x:v>10852</x:v>
      </x:c>
      <x:c r="AF499" s="55" t="n">
        <x:v>10741</x:v>
      </x:c>
      <x:c r="AG499" s="55" t="n">
        <x:v>111</x:v>
      </x:c>
      <x:c r="AH499" s="55" t="n">
        <x:v>708</x:v>
      </x:c>
      <x:c r="AI499" s="55" t="n">
        <x:v>10033</x:v>
      </x:c>
      <x:c r="AJ499" s="55" t="n">
        <x:v>238</x:v>
      </x:c>
      <x:c r="AK499" s="55" t="n">
        <x:v>909</x:v>
      </x:c>
      <x:c r="AL499" s="55" t="n">
        <x:v>1454</x:v>
      </x:c>
      <x:c r="AM499" s="55" t="n">
        <x:v>5014</x:v>
      </x:c>
      <x:c r="AN499" s="55" t="n">
        <x:v>3126</x:v>
      </x:c>
      <x:c r="AO499" s="55" t="n">
        <x:v>0</x:v>
      </x:c>
      <x:c r="AP499" s="55" t="n">
        <x:v>2103</x:v>
      </x:c>
      <x:c r="AQ499" s="55" t="n">
        <x:v>990</x:v>
      </x:c>
    </x:row>
    <x:row r="500">
      <x:c r="A500" s="54" t="str">
        <x:v>T1_SHARED_CATCHMENT</x:v>
      </x:c>
      <x:c r="B500" s="54" t="n">
        <x:v>494</x:v>
      </x:c>
      <x:c r="C500" s="54" t="str">
        <x:v>NYC-V2-R01</x:v>
      </x:c>
      <x:c r="D500" s="54" t="str">
        <x:v>V2</x:v>
      </x:c>
      <x:c r="E500" s="54" t="str">
        <x:v>ADMITTED</x:v>
      </x:c>
      <x:c r="F500" s="55" t="n">
        <x:v>31048</x:v>
      </x:c>
      <x:c r="G500" s="55" t="n">
        <x:v>7946</x:v>
      </x:c>
      <x:c r="H500" s="55" t="n">
        <x:v>3121</x:v>
      </x:c>
      <x:c r="I500" s="55" t="n">
        <x:v>949</x:v>
      </x:c>
      <x:c r="J500" s="55" t="n">
        <x:v>190</x:v>
      </x:c>
      <x:c r="K500" s="55" t="n">
        <x:v>29818</x:v>
      </x:c>
      <x:c r="L500" s="55" t="n">
        <x:v>6147</x:v>
      </x:c>
      <x:c r="M500" s="55" t="n">
        <x:v>1415</x:v>
      </x:c>
      <x:c r="N500" s="55" t="n">
        <x:v>2732</x:v>
      </x:c>
      <x:c r="O500" s="55" t="n">
        <x:v>2000</x:v>
      </x:c>
      <x:c r="P500" s="55" t="n">
        <x:v>463</x:v>
      </x:c>
      <x:c r="Q500" s="55" t="n">
        <x:v>2682</x:v>
      </x:c>
      <x:c r="R500" s="55" t="n">
        <x:v>1979</x:v>
      </x:c>
      <x:c r="S500" s="55" t="n">
        <x:v>3075</x:v>
      </x:c>
      <x:c r="T500" s="55" t="n">
        <x:v>970</x:v>
      </x:c>
      <x:c r="U500" s="55" t="n">
        <x:v>2652</x:v>
      </x:c>
      <x:c r="V500" s="55" t="n">
        <x:v>11668</x:v>
      </x:c>
      <x:c r="W500" s="55" t="n">
        <x:v>8641</x:v>
      </x:c>
      <x:c r="X500" s="55" t="n">
        <x:v>3027</x:v>
      </x:c>
      <x:c r="Y500" s="55" t="n">
        <x:v>2598</x:v>
      </x:c>
      <x:c r="Z500" s="55" t="n">
        <x:v>3359</x:v>
      </x:c>
      <x:c r="AA500" s="55" t="n">
        <x:v>2849</x:v>
      </x:c>
      <x:c r="AB500" s="55" t="n">
        <x:v>1372</x:v>
      </x:c>
      <x:c r="AC500" s="55" t="n">
        <x:v>8041</x:v>
      </x:c>
      <x:c r="AD500" s="55" t="n">
        <x:v>3403</x:v>
      </x:c>
      <x:c r="AE500" s="55" t="n">
        <x:v>11696</x:v>
      </x:c>
      <x:c r="AF500" s="55" t="n">
        <x:v>11668</x:v>
      </x:c>
      <x:c r="AG500" s="55" t="n">
        <x:v>28</x:v>
      </x:c>
      <x:c r="AH500" s="55" t="n">
        <x:v>651</x:v>
      </x:c>
      <x:c r="AI500" s="55" t="n">
        <x:v>11017</x:v>
      </x:c>
      <x:c r="AJ500" s="55" t="n">
        <x:v>334</x:v>
      </x:c>
      <x:c r="AK500" s="55" t="n">
        <x:v>767</x:v>
      </x:c>
      <x:c r="AL500" s="55" t="n">
        <x:v>1928</x:v>
      </x:c>
      <x:c r="AM500" s="55" t="n">
        <x:v>5280</x:v>
      </x:c>
      <x:c r="AN500" s="55" t="n">
        <x:v>3298</x:v>
      </x:c>
      <x:c r="AO500" s="55" t="n">
        <x:v>61</x:v>
      </x:c>
      <x:c r="AP500" s="55" t="n">
        <x:v>2795</x:v>
      </x:c>
      <x:c r="AQ500" s="55" t="n">
        <x:v>952</x:v>
      </x:c>
    </x:row>
    <x:row r="501">
      <x:c r="A501" s="54" t="str">
        <x:v>T1_SHARED_CATCHMENT</x:v>
      </x:c>
      <x:c r="B501" s="54" t="n">
        <x:v>495</x:v>
      </x:c>
      <x:c r="C501" s="54" t="str">
        <x:v>NYC-V2-R01</x:v>
      </x:c>
      <x:c r="D501" s="54" t="str">
        <x:v>V2</x:v>
      </x:c>
      <x:c r="E501" s="54" t="str">
        <x:v>ADMITTED</x:v>
      </x:c>
      <x:c r="F501" s="55" t="n">
        <x:v>31204</x:v>
      </x:c>
      <x:c r="G501" s="55" t="n">
        <x:v>7910</x:v>
      </x:c>
      <x:c r="H501" s="55" t="n">
        <x:v>3276</x:v>
      </x:c>
      <x:c r="I501" s="55" t="n">
        <x:v>1344</x:v>
      </x:c>
      <x:c r="J501" s="55" t="n">
        <x:v>31</x:v>
      </x:c>
      <x:c r="K501" s="55" t="n">
        <x:v>30405</x:v>
      </x:c>
      <x:c r="L501" s="55" t="n">
        <x:v>5536</x:v>
      </x:c>
      <x:c r="M501" s="55" t="n">
        <x:v>1414</x:v>
      </x:c>
      <x:c r="N501" s="55" t="n">
        <x:v>2190</x:v>
      </x:c>
      <x:c r="O501" s="55" t="n">
        <x:v>1932</x:v>
      </x:c>
      <x:c r="P501" s="55" t="n">
        <x:v>729</x:v>
      </x:c>
      <x:c r="Q501" s="55" t="n">
        <x:v>2623</x:v>
      </x:c>
      <x:c r="R501" s="55" t="n">
        <x:v>1615</x:v>
      </x:c>
      <x:c r="S501" s="55" t="n">
        <x:v>2927</x:v>
      </x:c>
      <x:c r="T501" s="55" t="n">
        <x:v>1399</x:v>
      </x:c>
      <x:c r="U501" s="55" t="n">
        <x:v>2076</x:v>
      </x:c>
      <x:c r="V501" s="55" t="n">
        <x:v>10100</x:v>
      </x:c>
      <x:c r="W501" s="55" t="n">
        <x:v>7467</x:v>
      </x:c>
      <x:c r="X501" s="55" t="n">
        <x:v>2633</x:v>
      </x:c>
      <x:c r="Y501" s="55" t="n">
        <x:v>2404</x:v>
      </x:c>
      <x:c r="Z501" s="55" t="n">
        <x:v>4615</x:v>
      </x:c>
      <x:c r="AA501" s="55" t="n">
        <x:v>2675</x:v>
      </x:c>
      <x:c r="AB501" s="55" t="n">
        <x:v>736</x:v>
      </x:c>
      <x:c r="AC501" s="55" t="n">
        <x:v>7826</x:v>
      </x:c>
      <x:c r="AD501" s="55" t="n">
        <x:v>3298</x:v>
      </x:c>
      <x:c r="AE501" s="55" t="n">
        <x:v>10185</x:v>
      </x:c>
      <x:c r="AF501" s="55" t="n">
        <x:v>10100</x:v>
      </x:c>
      <x:c r="AG501" s="55" t="n">
        <x:v>85</x:v>
      </x:c>
      <x:c r="AH501" s="55" t="n">
        <x:v>590</x:v>
      </x:c>
      <x:c r="AI501" s="55" t="n">
        <x:v>9510</x:v>
      </x:c>
      <x:c r="AJ501" s="55" t="n">
        <x:v>343</x:v>
      </x:c>
      <x:c r="AK501" s="55" t="n">
        <x:v>741</x:v>
      </x:c>
      <x:c r="AL501" s="55" t="n">
        <x:v>1221</x:v>
      </x:c>
      <x:c r="AM501" s="55" t="n">
        <x:v>4800</x:v>
      </x:c>
      <x:c r="AN501" s="55" t="n">
        <x:v>2991</x:v>
      </x:c>
      <x:c r="AO501" s="55" t="n">
        <x:v>4</x:v>
      </x:c>
      <x:c r="AP501" s="55" t="n">
        <x:v>2461</x:v>
      </x:c>
      <x:c r="AQ501" s="55" t="n">
        <x:v>957</x:v>
      </x:c>
    </x:row>
    <x:row r="502">
      <x:c r="A502" s="54" t="str">
        <x:v>T1_SHARED_CATCHMENT</x:v>
      </x:c>
      <x:c r="B502" s="54" t="n">
        <x:v>496</x:v>
      </x:c>
      <x:c r="C502" s="54" t="str">
        <x:v>NYC-V2-R01</x:v>
      </x:c>
      <x:c r="D502" s="54" t="str">
        <x:v>V2</x:v>
      </x:c>
      <x:c r="E502" s="54" t="str">
        <x:v>ADMITTED</x:v>
      </x:c>
      <x:c r="F502" s="55" t="n">
        <x:v>32819</x:v>
      </x:c>
      <x:c r="G502" s="55" t="n">
        <x:v>7859</x:v>
      </x:c>
      <x:c r="H502" s="55" t="n">
        <x:v>3563</x:v>
      </x:c>
      <x:c r="I502" s="55" t="n">
        <x:v>1367</x:v>
      </x:c>
      <x:c r="J502" s="55" t="n">
        <x:v>194</x:v>
      </x:c>
      <x:c r="K502" s="55" t="n">
        <x:v>32819</x:v>
      </x:c>
      <x:c r="L502" s="55" t="n">
        <x:v>7367</x:v>
      </x:c>
      <x:c r="M502" s="55" t="n">
        <x:v>2447</x:v>
      </x:c>
      <x:c r="N502" s="55" t="n">
        <x:v>3285</x:v>
      </x:c>
      <x:c r="O502" s="55" t="n">
        <x:v>1635</x:v>
      </x:c>
      <x:c r="P502" s="55" t="n">
        <x:v>812</x:v>
      </x:c>
      <x:c r="Q502" s="55" t="n">
        <x:v>1788</x:v>
      </x:c>
      <x:c r="R502" s="55" t="n">
        <x:v>1350</x:v>
      </x:c>
      <x:c r="S502" s="55" t="n">
        <x:v>3287</x:v>
      </x:c>
      <x:c r="T502" s="55" t="n">
        <x:v>970</x:v>
      </x:c>
      <x:c r="U502" s="55" t="n">
        <x:v>2345</x:v>
      </x:c>
      <x:c r="V502" s="55" t="n">
        <x:v>11037</x:v>
      </x:c>
      <x:c r="W502" s="55" t="n">
        <x:v>7722</x:v>
      </x:c>
      <x:c r="X502" s="55" t="n">
        <x:v>3315</x:v>
      </x:c>
      <x:c r="Y502" s="55" t="n">
        <x:v>2997</x:v>
      </x:c>
      <x:c r="Z502" s="55" t="n">
        <x:v>4077</x:v>
      </x:c>
      <x:c r="AA502" s="55" t="n">
        <x:v>3070</x:v>
      </x:c>
      <x:c r="AB502" s="55" t="n">
        <x:v>1087</x:v>
      </x:c>
      <x:c r="AC502" s="55" t="n">
        <x:v>8517</x:v>
      </x:c>
      <x:c r="AD502" s="55" t="n">
        <x:v>3078</x:v>
      </x:c>
      <x:c r="AE502" s="55" t="n">
        <x:v>11064</x:v>
      </x:c>
      <x:c r="AF502" s="55" t="n">
        <x:v>11037</x:v>
      </x:c>
      <x:c r="AG502" s="55" t="n">
        <x:v>27</x:v>
      </x:c>
      <x:c r="AH502" s="55" t="n">
        <x:v>477</x:v>
      </x:c>
      <x:c r="AI502" s="55" t="n">
        <x:v>10560</x:v>
      </x:c>
      <x:c r="AJ502" s="55" t="n">
        <x:v>300</x:v>
      </x:c>
      <x:c r="AK502" s="55" t="n">
        <x:v>674</x:v>
      </x:c>
      <x:c r="AL502" s="55" t="n">
        <x:v>1196</x:v>
      </x:c>
      <x:c r="AM502" s="55" t="n">
        <x:v>5649</x:v>
      </x:c>
      <x:c r="AN502" s="55" t="n">
        <x:v>3218</x:v>
      </x:c>
      <x:c r="AO502" s="55" t="n">
        <x:v>0</x:v>
      </x:c>
      <x:c r="AP502" s="55" t="n">
        <x:v>2157</x:v>
      </x:c>
      <x:c r="AQ502" s="55" t="n">
        <x:v>989</x:v>
      </x:c>
    </x:row>
    <x:row r="503">
      <x:c r="A503" s="54" t="str">
        <x:v>T1_SHARED_CATCHMENT</x:v>
      </x:c>
      <x:c r="B503" s="54" t="n">
        <x:v>497</x:v>
      </x:c>
      <x:c r="C503" s="54" t="str">
        <x:v>NYC-V2-R01</x:v>
      </x:c>
      <x:c r="D503" s="54" t="str">
        <x:v>V2</x:v>
      </x:c>
      <x:c r="E503" s="54" t="str">
        <x:v>ADMITTED</x:v>
      </x:c>
      <x:c r="F503" s="55" t="n">
        <x:v>33122</x:v>
      </x:c>
      <x:c r="G503" s="55" t="n">
        <x:v>8677</x:v>
      </x:c>
      <x:c r="H503" s="55" t="n">
        <x:v>3287</x:v>
      </x:c>
      <x:c r="I503" s="55" t="n">
        <x:v>1085</x:v>
      </x:c>
      <x:c r="J503" s="55" t="n">
        <x:v>319</x:v>
      </x:c>
      <x:c r="K503" s="55" t="n">
        <x:v>30294</x:v>
      </x:c>
      <x:c r="L503" s="55" t="n">
        <x:v>6261</x:v>
      </x:c>
      <x:c r="M503" s="55" t="n">
        <x:v>1958</x:v>
      </x:c>
      <x:c r="N503" s="55" t="n">
        <x:v>2854</x:v>
      </x:c>
      <x:c r="O503" s="55" t="n">
        <x:v>1449</x:v>
      </x:c>
      <x:c r="P503" s="55" t="n">
        <x:v>805</x:v>
      </x:c>
      <x:c r="Q503" s="55" t="n">
        <x:v>1955</x:v>
      </x:c>
      <x:c r="R503" s="55" t="n">
        <x:v>1539</x:v>
      </x:c>
      <x:c r="S503" s="55" t="n">
        <x:v>2772</x:v>
      </x:c>
      <x:c r="T503" s="55" t="n">
        <x:v>488</x:v>
      </x:c>
      <x:c r="U503" s="55" t="n">
        <x:v>2324</x:v>
      </x:c>
      <x:c r="V503" s="55" t="n">
        <x:v>9185</x:v>
      </x:c>
      <x:c r="W503" s="55" t="n">
        <x:v>6427</x:v>
      </x:c>
      <x:c r="X503" s="55" t="n">
        <x:v>2758</x:v>
      </x:c>
      <x:c r="Y503" s="55" t="n">
        <x:v>2406</x:v>
      </x:c>
      <x:c r="Z503" s="55" t="n">
        <x:v>3431</x:v>
      </x:c>
      <x:c r="AA503" s="55" t="n">
        <x:v>3028</x:v>
      </x:c>
      <x:c r="AB503" s="55" t="n">
        <x:v>1134</x:v>
      </x:c>
      <x:c r="AC503" s="55" t="n">
        <x:v>7629</x:v>
      </x:c>
      <x:c r="AD503" s="55" t="n">
        <x:v>3143</x:v>
      </x:c>
      <x:c r="AE503" s="55" t="n">
        <x:v>9299</x:v>
      </x:c>
      <x:c r="AF503" s="55" t="n">
        <x:v>9185</x:v>
      </x:c>
      <x:c r="AG503" s="55" t="n">
        <x:v>114</x:v>
      </x:c>
      <x:c r="AH503" s="55" t="n">
        <x:v>252</x:v>
      </x:c>
      <x:c r="AI503" s="55" t="n">
        <x:v>8933</x:v>
      </x:c>
      <x:c r="AJ503" s="55" t="n">
        <x:v>186</x:v>
      </x:c>
      <x:c r="AK503" s="55" t="n">
        <x:v>877</x:v>
      </x:c>
      <x:c r="AL503" s="55" t="n">
        <x:v>1800</x:v>
      </x:c>
      <x:c r="AM503" s="55" t="n">
        <x:v>3895</x:v>
      </x:c>
      <x:c r="AN503" s="55" t="n">
        <x:v>2425</x:v>
      </x:c>
      <x:c r="AO503" s="55" t="n">
        <x:v>2</x:v>
      </x:c>
      <x:c r="AP503" s="55" t="n">
        <x:v>1890</x:v>
      </x:c>
      <x:c r="AQ503" s="55" t="n">
        <x:v>906</x:v>
      </x:c>
    </x:row>
    <x:row r="504">
      <x:c r="A504" s="54" t="str">
        <x:v>T1_SHARED_CATCHMENT</x:v>
      </x:c>
      <x:c r="B504" s="54" t="n">
        <x:v>498</x:v>
      </x:c>
      <x:c r="C504" s="54" t="str">
        <x:v>NYC-V2-R01</x:v>
      </x:c>
      <x:c r="D504" s="54" t="str">
        <x:v>V2</x:v>
      </x:c>
      <x:c r="E504" s="54" t="str">
        <x:v>ADMITTED</x:v>
      </x:c>
      <x:c r="F504" s="55" t="n">
        <x:v>33282</x:v>
      </x:c>
      <x:c r="G504" s="55" t="n">
        <x:v>7896</x:v>
      </x:c>
      <x:c r="H504" s="55" t="n">
        <x:v>3449</x:v>
      </x:c>
      <x:c r="I504" s="55" t="n">
        <x:v>1227</x:v>
      </x:c>
      <x:c r="J504" s="55" t="n">
        <x:v>337</x:v>
      </x:c>
      <x:c r="K504" s="55" t="n">
        <x:v>32337</x:v>
      </x:c>
      <x:c r="L504" s="55" t="n">
        <x:v>5982</x:v>
      </x:c>
      <x:c r="M504" s="55" t="n">
        <x:v>1418</x:v>
      </x:c>
      <x:c r="N504" s="55" t="n">
        <x:v>2819</x:v>
      </x:c>
      <x:c r="O504" s="55" t="n">
        <x:v>1745</x:v>
      </x:c>
      <x:c r="P504" s="55" t="n">
        <x:v>928</x:v>
      </x:c>
      <x:c r="Q504" s="55" t="n">
        <x:v>2418</x:v>
      </x:c>
      <x:c r="R504" s="55" t="n">
        <x:v>1994</x:v>
      </x:c>
      <x:c r="S504" s="55" t="n">
        <x:v>3018</x:v>
      </x:c>
      <x:c r="T504" s="55" t="n">
        <x:v>1294</x:v>
      </x:c>
      <x:c r="U504" s="55" t="n">
        <x:v>1811</x:v>
      </x:c>
      <x:c r="V504" s="55" t="n">
        <x:v>10267</x:v>
      </x:c>
      <x:c r="W504" s="55" t="n">
        <x:v>6931</x:v>
      </x:c>
      <x:c r="X504" s="55" t="n">
        <x:v>3336</x:v>
      </x:c>
      <x:c r="Y504" s="55" t="n">
        <x:v>2917</x:v>
      </x:c>
      <x:c r="Z504" s="55" t="n">
        <x:v>3566</x:v>
      </x:c>
      <x:c r="AA504" s="55" t="n">
        <x:v>3449</x:v>
      </x:c>
      <x:c r="AB504" s="55" t="n">
        <x:v>1040</x:v>
      </x:c>
      <x:c r="AC504" s="55" t="n">
        <x:v>8201</x:v>
      </x:c>
      <x:c r="AD504" s="55" t="n">
        <x:v>3135</x:v>
      </x:c>
      <x:c r="AE504" s="55" t="n">
        <x:v>10371</x:v>
      </x:c>
      <x:c r="AF504" s="55" t="n">
        <x:v>10267</x:v>
      </x:c>
      <x:c r="AG504" s="55" t="n">
        <x:v>104</x:v>
      </x:c>
      <x:c r="AH504" s="55" t="n">
        <x:v>355</x:v>
      </x:c>
      <x:c r="AI504" s="55" t="n">
        <x:v>9912</x:v>
      </x:c>
      <x:c r="AJ504" s="55" t="n">
        <x:v>326</x:v>
      </x:c>
      <x:c r="AK504" s="55" t="n">
        <x:v>1152</x:v>
      </x:c>
      <x:c r="AL504" s="55" t="n">
        <x:v>1522</x:v>
      </x:c>
      <x:c r="AM504" s="55" t="n">
        <x:v>4275</x:v>
      </x:c>
      <x:c r="AN504" s="55" t="n">
        <x:v>2987</x:v>
      </x:c>
      <x:c r="AO504" s="55" t="n">
        <x:v>5</x:v>
      </x:c>
      <x:c r="AP504" s="55" t="n">
        <x:v>2280</x:v>
      </x:c>
      <x:c r="AQ504" s="55" t="n">
        <x:v>943</x:v>
      </x:c>
    </x:row>
    <x:row r="505">
      <x:c r="A505" s="54" t="str">
        <x:v>T1_SHARED_CATCHMENT</x:v>
      </x:c>
      <x:c r="B505" s="54" t="n">
        <x:v>499</x:v>
      </x:c>
      <x:c r="C505" s="54" t="str">
        <x:v>NYC-V2-R01</x:v>
      </x:c>
      <x:c r="D505" s="54" t="str">
        <x:v>V2</x:v>
      </x:c>
      <x:c r="E505" s="54" t="str">
        <x:v>ADMITTED</x:v>
      </x:c>
      <x:c r="F505" s="55" t="n">
        <x:v>31588</x:v>
      </x:c>
      <x:c r="G505" s="55" t="n">
        <x:v>5780</x:v>
      </x:c>
      <x:c r="H505" s="55" t="n">
        <x:v>3664</x:v>
      </x:c>
      <x:c r="I505" s="55" t="n">
        <x:v>960</x:v>
      </x:c>
      <x:c r="J505" s="55" t="n">
        <x:v>199</x:v>
      </x:c>
      <x:c r="K505" s="55" t="n">
        <x:v>31588</x:v>
      </x:c>
      <x:c r="L505" s="55" t="n">
        <x:v>6222</x:v>
      </x:c>
      <x:c r="M505" s="55" t="n">
        <x:v>1476</x:v>
      </x:c>
      <x:c r="N505" s="55" t="n">
        <x:v>3202</x:v>
      </x:c>
      <x:c r="O505" s="55" t="n">
        <x:v>1544</x:v>
      </x:c>
      <x:c r="P505" s="55" t="n">
        <x:v>234</x:v>
      </x:c>
      <x:c r="Q505" s="55" t="n">
        <x:v>2295</x:v>
      </x:c>
      <x:c r="R505" s="55" t="n">
        <x:v>2133</x:v>
      </x:c>
      <x:c r="S505" s="55" t="n">
        <x:v>2599</x:v>
      </x:c>
      <x:c r="T505" s="55" t="n">
        <x:v>884</x:v>
      </x:c>
      <x:c r="U505" s="55" t="n">
        <x:v>1912</x:v>
      </x:c>
      <x:c r="V505" s="55" t="n">
        <x:v>10438</x:v>
      </x:c>
      <x:c r="W505" s="55" t="n">
        <x:v>7339</x:v>
      </x:c>
      <x:c r="X505" s="55" t="n">
        <x:v>3099</x:v>
      </x:c>
      <x:c r="Y505" s="55" t="n">
        <x:v>2900</x:v>
      </x:c>
      <x:c r="Z505" s="55" t="n">
        <x:v>3953</x:v>
      </x:c>
      <x:c r="AA505" s="55" t="n">
        <x:v>3498</x:v>
      </x:c>
      <x:c r="AB505" s="55" t="n">
        <x:v>1218</x:v>
      </x:c>
      <x:c r="AC505" s="55" t="n">
        <x:v>7640</x:v>
      </x:c>
      <x:c r="AD505" s="55" t="n">
        <x:v>2733</x:v>
      </x:c>
      <x:c r="AE505" s="55" t="n">
        <x:v>10519</x:v>
      </x:c>
      <x:c r="AF505" s="55" t="n">
        <x:v>10438</x:v>
      </x:c>
      <x:c r="AG505" s="55" t="n">
        <x:v>81</x:v>
      </x:c>
      <x:c r="AH505" s="55" t="n">
        <x:v>174</x:v>
      </x:c>
      <x:c r="AI505" s="55" t="n">
        <x:v>10264</x:v>
      </x:c>
      <x:c r="AJ505" s="55" t="n">
        <x:v>303</x:v>
      </x:c>
      <x:c r="AK505" s="55" t="n">
        <x:v>977</x:v>
      </x:c>
      <x:c r="AL505" s="55" t="n">
        <x:v>1199</x:v>
      </x:c>
      <x:c r="AM505" s="55" t="n">
        <x:v>4719</x:v>
      </x:c>
      <x:c r="AN505" s="55" t="n">
        <x:v>3240</x:v>
      </x:c>
      <x:c r="AO505" s="55" t="n">
        <x:v>0</x:v>
      </x:c>
      <x:c r="AP505" s="55" t="n">
        <x:v>2264</x:v>
      </x:c>
      <x:c r="AQ505" s="55" t="n">
        <x:v>923</x:v>
      </x:c>
    </x:row>
    <x:row r="506">
      <x:c r="A506" s="54" t="str">
        <x:v>T1_SHARED_CATCHMENT</x:v>
      </x:c>
      <x:c r="B506" s="54" t="n">
        <x:v>500</x:v>
      </x:c>
      <x:c r="C506" s="54" t="str">
        <x:v>NYC-V2-R01</x:v>
      </x:c>
      <x:c r="D506" s="54" t="str">
        <x:v>V2</x:v>
      </x:c>
      <x:c r="E506" s="54" t="str">
        <x:v>ADMITTED</x:v>
      </x:c>
      <x:c r="F506" s="55" t="n">
        <x:v>31912</x:v>
      </x:c>
      <x:c r="G506" s="55" t="n">
        <x:v>7279</x:v>
      </x:c>
      <x:c r="H506" s="55" t="n">
        <x:v>3093</x:v>
      </x:c>
      <x:c r="I506" s="55" t="n">
        <x:v>858</x:v>
      </x:c>
      <x:c r="J506" s="55" t="n">
        <x:v>0</x:v>
      </x:c>
      <x:c r="K506" s="55" t="n">
        <x:v>27697</x:v>
      </x:c>
      <x:c r="L506" s="55" t="n">
        <x:v>4339</x:v>
      </x:c>
      <x:c r="M506" s="55" t="n">
        <x:v>89</x:v>
      </x:c>
      <x:c r="N506" s="55" t="n">
        <x:v>2924</x:v>
      </x:c>
      <x:c r="O506" s="55" t="n">
        <x:v>1326</x:v>
      </x:c>
      <x:c r="P506" s="55" t="n">
        <x:v>1155</x:v>
      </x:c>
      <x:c r="Q506" s="55" t="n">
        <x:v>1596</x:v>
      </x:c>
      <x:c r="R506" s="55" t="n">
        <x:v>1108</x:v>
      </x:c>
      <x:c r="S506" s="55" t="n">
        <x:v>2128</x:v>
      </x:c>
      <x:c r="T506" s="55" t="n">
        <x:v>1048</x:v>
      </x:c>
      <x:c r="U506" s="55" t="n">
        <x:v>1777</x:v>
      </x:c>
      <x:c r="V506" s="55" t="n">
        <x:v>10100</x:v>
      </x:c>
      <x:c r="W506" s="55" t="n">
        <x:v>7417</x:v>
      </x:c>
      <x:c r="X506" s="55" t="n">
        <x:v>2683</x:v>
      </x:c>
      <x:c r="Y506" s="55" t="n">
        <x:v>2415</x:v>
      </x:c>
      <x:c r="Z506" s="55" t="n">
        <x:v>2894</x:v>
      </x:c>
      <x:c r="AA506" s="55" t="n">
        <x:v>3093</x:v>
      </x:c>
      <x:c r="AB506" s="55" t="n">
        <x:v>676</x:v>
      </x:c>
      <x:c r="AC506" s="55" t="n">
        <x:v>7425</x:v>
      </x:c>
      <x:c r="AD506" s="55" t="n">
        <x:v>2631</x:v>
      </x:c>
      <x:c r="AE506" s="55" t="n">
        <x:v>10132</x:v>
      </x:c>
      <x:c r="AF506" s="55" t="n">
        <x:v>10100</x:v>
      </x:c>
      <x:c r="AG506" s="55" t="n">
        <x:v>32</x:v>
      </x:c>
      <x:c r="AH506" s="55" t="n">
        <x:v>223</x:v>
      </x:c>
      <x:c r="AI506" s="55" t="n">
        <x:v>9877</x:v>
      </x:c>
      <x:c r="AJ506" s="55" t="n">
        <x:v>210</x:v>
      </x:c>
      <x:c r="AK506" s="55" t="n">
        <x:v>723</x:v>
      </x:c>
      <x:c r="AL506" s="55" t="n">
        <x:v>1189</x:v>
      </x:c>
      <x:c r="AM506" s="55" t="n">
        <x:v>5047</x:v>
      </x:c>
      <x:c r="AN506" s="55" t="n">
        <x:v>2931</x:v>
      </x:c>
      <x:c r="AO506" s="55" t="n">
        <x:v>0</x:v>
      </x:c>
      <x:c r="AP506" s="55" t="n">
        <x:v>2919</x:v>
      </x:c>
      <x:c r="AQ506" s="55" t="n">
        <x:v>939</x:v>
      </x:c>
    </x:row>
    <x:row r="507">
      <x:c r="A507" s="54" t="str">
        <x:v>T1_SHARED_CATCHMENT</x:v>
      </x:c>
      <x:c r="B507" s="54" t="n">
        <x:v>501</x:v>
      </x:c>
      <x:c r="C507" s="54" t="str">
        <x:v>NYC-V2-R01</x:v>
      </x:c>
      <x:c r="D507" s="54" t="str">
        <x:v>V2</x:v>
      </x:c>
      <x:c r="E507" s="54" t="str">
        <x:v>ADMITTED</x:v>
      </x:c>
      <x:c r="F507" s="55" t="n">
        <x:v>29454</x:v>
      </x:c>
      <x:c r="G507" s="55" t="n">
        <x:v>6838</x:v>
      </x:c>
      <x:c r="H507" s="55" t="n">
        <x:v>3202</x:v>
      </x:c>
      <x:c r="I507" s="55" t="n">
        <x:v>966</x:v>
      </x:c>
      <x:c r="J507" s="55" t="n">
        <x:v>134</x:v>
      </x:c>
      <x:c r="K507" s="55" t="n">
        <x:v>28826</x:v>
      </x:c>
      <x:c r="L507" s="55" t="n">
        <x:v>5360</x:v>
      </x:c>
      <x:c r="M507" s="55" t="n">
        <x:v>238</x:v>
      </x:c>
      <x:c r="N507" s="55" t="n">
        <x:v>3300</x:v>
      </x:c>
      <x:c r="O507" s="55" t="n">
        <x:v>1822</x:v>
      </x:c>
      <x:c r="P507" s="55" t="n">
        <x:v>895</x:v>
      </x:c>
      <x:c r="Q507" s="55" t="n">
        <x:v>2522</x:v>
      </x:c>
      <x:c r="R507" s="55" t="n">
        <x:v>1520</x:v>
      </x:c>
      <x:c r="S507" s="55" t="n">
        <x:v>2661</x:v>
      </x:c>
      <x:c r="T507" s="55" t="n">
        <x:v>728</x:v>
      </x:c>
      <x:c r="U507" s="55" t="n">
        <x:v>1498</x:v>
      </x:c>
      <x:c r="V507" s="55" t="n">
        <x:v>10565</x:v>
      </x:c>
      <x:c r="W507" s="55" t="n">
        <x:v>7385</x:v>
      </x:c>
      <x:c r="X507" s="55" t="n">
        <x:v>3180</x:v>
      </x:c>
      <x:c r="Y507" s="55" t="n">
        <x:v>2632</x:v>
      </x:c>
      <x:c r="Z507" s="55" t="n">
        <x:v>4186</x:v>
      </x:c>
      <x:c r="AA507" s="55" t="n">
        <x:v>3060</x:v>
      </x:c>
      <x:c r="AB507" s="55" t="n">
        <x:v>1030</x:v>
      </x:c>
      <x:c r="AC507" s="55" t="n">
        <x:v>7556</x:v>
      </x:c>
      <x:c r="AD507" s="55" t="n">
        <x:v>3185</x:v>
      </x:c>
      <x:c r="AE507" s="55" t="n">
        <x:v>10655</x:v>
      </x:c>
      <x:c r="AF507" s="55" t="n">
        <x:v>10565</x:v>
      </x:c>
      <x:c r="AG507" s="55" t="n">
        <x:v>90</x:v>
      </x:c>
      <x:c r="AH507" s="55" t="n">
        <x:v>238</x:v>
      </x:c>
      <x:c r="AI507" s="55" t="n">
        <x:v>10327</x:v>
      </x:c>
      <x:c r="AJ507" s="55" t="n">
        <x:v>351</x:v>
      </x:c>
      <x:c r="AK507" s="55" t="n">
        <x:v>664</x:v>
      </x:c>
      <x:c r="AL507" s="55" t="n">
        <x:v>1532</x:v>
      </x:c>
      <x:c r="AM507" s="55" t="n">
        <x:v>4925</x:v>
      </x:c>
      <x:c r="AN507" s="55" t="n">
        <x:v>3093</x:v>
      </x:c>
      <x:c r="AO507" s="55" t="n">
        <x:v>0</x:v>
      </x:c>
      <x:c r="AP507" s="55" t="n">
        <x:v>2738</x:v>
      </x:c>
      <x:c r="AQ507" s="55" t="n">
        <x:v>995</x:v>
      </x:c>
    </x:row>
    <x:row r="508">
      <x:c r="A508" s="54" t="str">
        <x:v>T1_SHARED_CATCHMENT</x:v>
      </x:c>
      <x:c r="B508" s="54" t="n">
        <x:v>502</x:v>
      </x:c>
      <x:c r="C508" s="54" t="str">
        <x:v>NYC-V2-R01</x:v>
      </x:c>
      <x:c r="D508" s="54" t="str">
        <x:v>V2</x:v>
      </x:c>
      <x:c r="E508" s="54" t="str">
        <x:v>ADMITTED</x:v>
      </x:c>
      <x:c r="F508" s="55" t="n">
        <x:v>29919</x:v>
      </x:c>
      <x:c r="G508" s="55" t="n">
        <x:v>7702</x:v>
      </x:c>
      <x:c r="H508" s="55" t="n">
        <x:v>2899</x:v>
      </x:c>
      <x:c r="I508" s="55" t="n">
        <x:v>1042</x:v>
      </x:c>
      <x:c r="J508" s="55" t="n">
        <x:v>0</x:v>
      </x:c>
      <x:c r="K508" s="55" t="n">
        <x:v>29482</x:v>
      </x:c>
      <x:c r="L508" s="55" t="n">
        <x:v>5530</x:v>
      </x:c>
      <x:c r="M508" s="55" t="n">
        <x:v>333</x:v>
      </x:c>
      <x:c r="N508" s="55" t="n">
        <x:v>3017</x:v>
      </x:c>
      <x:c r="O508" s="55" t="n">
        <x:v>2180</x:v>
      </x:c>
      <x:c r="P508" s="55" t="n">
        <x:v>1090</x:v>
      </x:c>
      <x:c r="Q508" s="55" t="n">
        <x:v>2599</x:v>
      </x:c>
      <x:c r="R508" s="55" t="n">
        <x:v>1746</x:v>
      </x:c>
      <x:c r="S508" s="55" t="n">
        <x:v>2756</x:v>
      </x:c>
      <x:c r="T508" s="55" t="n">
        <x:v>805</x:v>
      </x:c>
      <x:c r="U508" s="55" t="n">
        <x:v>1914</x:v>
      </x:c>
      <x:c r="V508" s="55" t="n">
        <x:v>10833</x:v>
      </x:c>
      <x:c r="W508" s="55" t="n">
        <x:v>7202</x:v>
      </x:c>
      <x:c r="X508" s="55" t="n">
        <x:v>3631</x:v>
      </x:c>
      <x:c r="Y508" s="55" t="n">
        <x:v>3393</x:v>
      </x:c>
      <x:c r="Z508" s="55" t="n">
        <x:v>3584</x:v>
      </x:c>
      <x:c r="AA508" s="55" t="n">
        <x:v>2899</x:v>
      </x:c>
      <x:c r="AB508" s="55" t="n">
        <x:v>759</x:v>
      </x:c>
      <x:c r="AC508" s="55" t="n">
        <x:v>8683</x:v>
      </x:c>
      <x:c r="AD508" s="55" t="n">
        <x:v>2095</x:v>
      </x:c>
      <x:c r="AE508" s="55" t="n">
        <x:v>10841</x:v>
      </x:c>
      <x:c r="AF508" s="55" t="n">
        <x:v>10833</x:v>
      </x:c>
      <x:c r="AG508" s="55" t="n">
        <x:v>8</x:v>
      </x:c>
      <x:c r="AH508" s="55" t="n">
        <x:v>422</x:v>
      </x:c>
      <x:c r="AI508" s="55" t="n">
        <x:v>10411</x:v>
      </x:c>
      <x:c r="AJ508" s="55" t="n">
        <x:v>327</x:v>
      </x:c>
      <x:c r="AK508" s="55" t="n">
        <x:v>1096</x:v>
      </x:c>
      <x:c r="AL508" s="55" t="n">
        <x:v>1668</x:v>
      </x:c>
      <x:c r="AM508" s="55" t="n">
        <x:v>4915</x:v>
      </x:c>
      <x:c r="AN508" s="55" t="n">
        <x:v>2827</x:v>
      </x:c>
      <x:c r="AO508" s="55" t="n">
        <x:v>0</x:v>
      </x:c>
      <x:c r="AP508" s="55" t="n">
        <x:v>2136</x:v>
      </x:c>
      <x:c r="AQ508" s="55" t="n">
        <x:v>945</x:v>
      </x:c>
    </x:row>
    <x:row r="509">
      <x:c r="A509" s="54" t="str">
        <x:v>T1_SHARED_CATCHMENT</x:v>
      </x:c>
      <x:c r="B509" s="54" t="n">
        <x:v>503</x:v>
      </x:c>
      <x:c r="C509" s="54" t="str">
        <x:v>NYC-V2-R01</x:v>
      </x:c>
      <x:c r="D509" s="54" t="str">
        <x:v>V2</x:v>
      </x:c>
      <x:c r="E509" s="54" t="str">
        <x:v>ADMITTED</x:v>
      </x:c>
      <x:c r="F509" s="55" t="n">
        <x:v>30222</x:v>
      </x:c>
      <x:c r="G509" s="55" t="n">
        <x:v>6171</x:v>
      </x:c>
      <x:c r="H509" s="55" t="n">
        <x:v>2907</x:v>
      </x:c>
      <x:c r="I509" s="55" t="n">
        <x:v>1036</x:v>
      </x:c>
      <x:c r="J509" s="55" t="n">
        <x:v>236</x:v>
      </x:c>
      <x:c r="K509" s="55" t="n">
        <x:v>30222</x:v>
      </x:c>
      <x:c r="L509" s="55" t="n">
        <x:v>4668</x:v>
      </x:c>
      <x:c r="M509" s="55" t="n">
        <x:v>829</x:v>
      </x:c>
      <x:c r="N509" s="55" t="n">
        <x:v>2181</x:v>
      </x:c>
      <x:c r="O509" s="55" t="n">
        <x:v>1658</x:v>
      </x:c>
      <x:c r="P509" s="55" t="n">
        <x:v>355</x:v>
      </x:c>
      <x:c r="Q509" s="55" t="n">
        <x:v>2162</x:v>
      </x:c>
      <x:c r="R509" s="55" t="n">
        <x:v>1930</x:v>
      </x:c>
      <x:c r="S509" s="55" t="n">
        <x:v>2724</x:v>
      </x:c>
      <x:c r="T509" s="55" t="n">
        <x:v>1043</x:v>
      </x:c>
      <x:c r="U509" s="55" t="n">
        <x:v>1801</x:v>
      </x:c>
      <x:c r="V509" s="55" t="n">
        <x:v>10653</x:v>
      </x:c>
      <x:c r="W509" s="55" t="n">
        <x:v>7935</x:v>
      </x:c>
      <x:c r="X509" s="55" t="n">
        <x:v>2718</x:v>
      </x:c>
      <x:c r="Y509" s="55" t="n">
        <x:v>2457</x:v>
      </x:c>
      <x:c r="Z509" s="55" t="n">
        <x:v>3053</x:v>
      </x:c>
      <x:c r="AA509" s="55" t="n">
        <x:v>2561</x:v>
      </x:c>
      <x:c r="AB509" s="55" t="n">
        <x:v>1118</x:v>
      </x:c>
      <x:c r="AC509" s="55" t="n">
        <x:v>7071</x:v>
      </x:c>
      <x:c r="AD509" s="55" t="n">
        <x:v>2549</x:v>
      </x:c>
      <x:c r="AE509" s="55" t="n">
        <x:v>10662</x:v>
      </x:c>
      <x:c r="AF509" s="55" t="n">
        <x:v>10653</x:v>
      </x:c>
      <x:c r="AG509" s="55" t="n">
        <x:v>9</x:v>
      </x:c>
      <x:c r="AH509" s="55" t="n">
        <x:v>285</x:v>
      </x:c>
      <x:c r="AI509" s="55" t="n">
        <x:v>10368</x:v>
      </x:c>
      <x:c r="AJ509" s="55" t="n">
        <x:v>255</x:v>
      </x:c>
      <x:c r="AK509" s="55" t="n">
        <x:v>1354</x:v>
      </x:c>
      <x:c r="AL509" s="55" t="n">
        <x:v>1437</x:v>
      </x:c>
      <x:c r="AM509" s="55" t="n">
        <x:v>4891</x:v>
      </x:c>
      <x:c r="AN509" s="55" t="n">
        <x:v>2716</x:v>
      </x:c>
      <x:c r="AO509" s="55" t="n">
        <x:v>0</x:v>
      </x:c>
      <x:c r="AP509" s="55" t="n">
        <x:v>2133</x:v>
      </x:c>
      <x:c r="AQ509" s="55" t="n">
        <x:v>934</x:v>
      </x:c>
    </x:row>
    <x:row r="510">
      <x:c r="A510" s="54" t="str">
        <x:v>T1_SHARED_CATCHMENT</x:v>
      </x:c>
      <x:c r="B510" s="54" t="n">
        <x:v>504</x:v>
      </x:c>
      <x:c r="C510" s="54" t="str">
        <x:v>NYC-V2-R01</x:v>
      </x:c>
      <x:c r="D510" s="54" t="str">
        <x:v>V2</x:v>
      </x:c>
      <x:c r="E510" s="54" t="str">
        <x:v>ADMITTED</x:v>
      </x:c>
      <x:c r="F510" s="55" t="n">
        <x:v>32412</x:v>
      </x:c>
      <x:c r="G510" s="55" t="n">
        <x:v>8657</x:v>
      </x:c>
      <x:c r="H510" s="55" t="n">
        <x:v>3589</x:v>
      </x:c>
      <x:c r="I510" s="55" t="n">
        <x:v>1676</x:v>
      </x:c>
      <x:c r="J510" s="55" t="n">
        <x:v>353</x:v>
      </x:c>
      <x:c r="K510" s="55" t="n">
        <x:v>32412</x:v>
      </x:c>
      <x:c r="L510" s="55" t="n">
        <x:v>6021</x:v>
      </x:c>
      <x:c r="M510" s="55" t="n">
        <x:v>1484</x:v>
      </x:c>
      <x:c r="N510" s="55" t="n">
        <x:v>2703</x:v>
      </x:c>
      <x:c r="O510" s="55" t="n">
        <x:v>1834</x:v>
      </x:c>
      <x:c r="P510" s="55" t="n">
        <x:v>904</x:v>
      </x:c>
      <x:c r="Q510" s="55" t="n">
        <x:v>2485</x:v>
      </x:c>
      <x:c r="R510" s="55" t="n">
        <x:v>2159</x:v>
      </x:c>
      <x:c r="S510" s="55" t="n">
        <x:v>2984</x:v>
      </x:c>
      <x:c r="T510" s="55" t="n">
        <x:v>1714</x:v>
      </x:c>
      <x:c r="U510" s="55" t="n">
        <x:v>1927</x:v>
      </x:c>
      <x:c r="V510" s="55" t="n">
        <x:v>10396</x:v>
      </x:c>
      <x:c r="W510" s="55" t="n">
        <x:v>7670</x:v>
      </x:c>
      <x:c r="X510" s="55" t="n">
        <x:v>2726</x:v>
      </x:c>
      <x:c r="Y510" s="55" t="n">
        <x:v>2401</x:v>
      </x:c>
      <x:c r="Z510" s="55" t="n">
        <x:v>3788</x:v>
      </x:c>
      <x:c r="AA510" s="55" t="n">
        <x:v>2822</x:v>
      </x:c>
      <x:c r="AB510" s="55" t="n">
        <x:v>943</x:v>
      </x:c>
      <x:c r="AC510" s="55" t="n">
        <x:v>8264</x:v>
      </x:c>
      <x:c r="AD510" s="55" t="n">
        <x:v>2902</x:v>
      </x:c>
      <x:c r="AE510" s="55" t="n">
        <x:v>10524</x:v>
      </x:c>
      <x:c r="AF510" s="55" t="n">
        <x:v>10396</x:v>
      </x:c>
      <x:c r="AG510" s="55" t="n">
        <x:v>128</x:v>
      </x:c>
      <x:c r="AH510" s="55" t="n">
        <x:v>321</x:v>
      </x:c>
      <x:c r="AI510" s="55" t="n">
        <x:v>10075</x:v>
      </x:c>
      <x:c r="AJ510" s="55" t="n">
        <x:v>146</x:v>
      </x:c>
      <x:c r="AK510" s="55" t="n">
        <x:v>1349</x:v>
      </x:c>
      <x:c r="AL510" s="55" t="n">
        <x:v>1814</x:v>
      </x:c>
      <x:c r="AM510" s="55" t="n">
        <x:v>4831</x:v>
      </x:c>
      <x:c r="AN510" s="55" t="n">
        <x:v>2256</x:v>
      </x:c>
      <x:c r="AO510" s="55" t="n">
        <x:v>0</x:v>
      </x:c>
      <x:c r="AP510" s="55" t="n">
        <x:v>2429</x:v>
      </x:c>
      <x:c r="AQ510" s="55" t="n">
        <x:v>976</x:v>
      </x:c>
    </x:row>
    <x:row r="511">
      <x:c r="A511" s="54" t="str">
        <x:v>T1_SHARED_CATCHMENT</x:v>
      </x:c>
      <x:c r="B511" s="54" t="n">
        <x:v>505</x:v>
      </x:c>
      <x:c r="C511" s="54" t="str">
        <x:v>NYC-V2-R01</x:v>
      </x:c>
      <x:c r="D511" s="54" t="str">
        <x:v>V2</x:v>
      </x:c>
      <x:c r="E511" s="54" t="str">
        <x:v>ADMITTED</x:v>
      </x:c>
      <x:c r="F511" s="55" t="n">
        <x:v>31162</x:v>
      </x:c>
      <x:c r="G511" s="55" t="n">
        <x:v>7588</x:v>
      </x:c>
      <x:c r="H511" s="55" t="n">
        <x:v>3179</x:v>
      </x:c>
      <x:c r="I511" s="55" t="n">
        <x:v>956</x:v>
      </x:c>
      <x:c r="J511" s="55" t="n">
        <x:v>59</x:v>
      </x:c>
      <x:c r="K511" s="55" t="n">
        <x:v>29855</x:v>
      </x:c>
      <x:c r="L511" s="55" t="n">
        <x:v>5016</x:v>
      </x:c>
      <x:c r="M511" s="55" t="n">
        <x:v>1412</x:v>
      </x:c>
      <x:c r="N511" s="55" t="n">
        <x:v>2042</x:v>
      </x:c>
      <x:c r="O511" s="55" t="n">
        <x:v>1562</x:v>
      </x:c>
      <x:c r="P511" s="55" t="n">
        <x:v>577</x:v>
      </x:c>
      <x:c r="Q511" s="55" t="n">
        <x:v>1916</x:v>
      </x:c>
      <x:c r="R511" s="55" t="n">
        <x:v>1649</x:v>
      </x:c>
      <x:c r="S511" s="55" t="n">
        <x:v>2332</x:v>
      </x:c>
      <x:c r="T511" s="55" t="n">
        <x:v>1583</x:v>
      </x:c>
      <x:c r="U511" s="55" t="n">
        <x:v>1728</x:v>
      </x:c>
      <x:c r="V511" s="55" t="n">
        <x:v>9660</x:v>
      </x:c>
      <x:c r="W511" s="55" t="n">
        <x:v>6968</x:v>
      </x:c>
      <x:c r="X511" s="55" t="n">
        <x:v>2692</x:v>
      </x:c>
      <x:c r="Y511" s="55" t="n">
        <x:v>2280</x:v>
      </x:c>
      <x:c r="Z511" s="55" t="n">
        <x:v>3310</x:v>
      </x:c>
      <x:c r="AA511" s="55" t="n">
        <x:v>3179</x:v>
      </x:c>
      <x:c r="AB511" s="55" t="n">
        <x:v>755</x:v>
      </x:c>
      <x:c r="AC511" s="55" t="n">
        <x:v>7850</x:v>
      </x:c>
      <x:c r="AD511" s="55" t="n">
        <x:v>3269</x:v>
      </x:c>
      <x:c r="AE511" s="55" t="n">
        <x:v>9737</x:v>
      </x:c>
      <x:c r="AF511" s="55" t="n">
        <x:v>9660</x:v>
      </x:c>
      <x:c r="AG511" s="55" t="n">
        <x:v>77</x:v>
      </x:c>
      <x:c r="AH511" s="55" t="n">
        <x:v>364</x:v>
      </x:c>
      <x:c r="AI511" s="55" t="n">
        <x:v>9296</x:v>
      </x:c>
      <x:c r="AJ511" s="55" t="n">
        <x:v>172</x:v>
      </x:c>
      <x:c r="AK511" s="55" t="n">
        <x:v>953</x:v>
      </x:c>
      <x:c r="AL511" s="55" t="n">
        <x:v>1448</x:v>
      </x:c>
      <x:c r="AM511" s="55" t="n">
        <x:v>5086</x:v>
      </x:c>
      <x:c r="AN511" s="55" t="n">
        <x:v>2001</x:v>
      </x:c>
      <x:c r="AO511" s="55" t="n">
        <x:v>0</x:v>
      </x:c>
      <x:c r="AP511" s="55" t="n">
        <x:v>2394</x:v>
      </x:c>
      <x:c r="AQ511" s="55" t="n">
        <x:v>938</x:v>
      </x:c>
    </x:row>
    <x:row r="512">
      <x:c r="A512" s="54" t="str">
        <x:v>T1_SHARED_CATCHMENT</x:v>
      </x:c>
      <x:c r="B512" s="54" t="n">
        <x:v>506</x:v>
      </x:c>
      <x:c r="C512" s="54" t="str">
        <x:v>NYC-V2-R01</x:v>
      </x:c>
      <x:c r="D512" s="54" t="str">
        <x:v>V2</x:v>
      </x:c>
      <x:c r="E512" s="54" t="str">
        <x:v>ADMITTED</x:v>
      </x:c>
      <x:c r="F512" s="55" t="n">
        <x:v>30294</x:v>
      </x:c>
      <x:c r="G512" s="55" t="n">
        <x:v>6843</x:v>
      </x:c>
      <x:c r="H512" s="55" t="n">
        <x:v>3419</x:v>
      </x:c>
      <x:c r="I512" s="55" t="n">
        <x:v>1097</x:v>
      </x:c>
      <x:c r="J512" s="55" t="n">
        <x:v>283</x:v>
      </x:c>
      <x:c r="K512" s="55" t="n">
        <x:v>27807</x:v>
      </x:c>
      <x:c r="L512" s="55" t="n">
        <x:v>4844</x:v>
      </x:c>
      <x:c r="M512" s="55" t="n">
        <x:v>637</x:v>
      </x:c>
      <x:c r="N512" s="55" t="n">
        <x:v>2238</x:v>
      </x:c>
      <x:c r="O512" s="55" t="n">
        <x:v>1969</x:v>
      </x:c>
      <x:c r="P512" s="55" t="n">
        <x:v>765</x:v>
      </x:c>
      <x:c r="Q512" s="55" t="n">
        <x:v>1844</x:v>
      </x:c>
      <x:c r="R512" s="55" t="n">
        <x:v>1332</x:v>
      </x:c>
      <x:c r="S512" s="55" t="n">
        <x:v>3058</x:v>
      </x:c>
      <x:c r="T512" s="55" t="n">
        <x:v>1128</x:v>
      </x:c>
      <x:c r="U512" s="55" t="n">
        <x:v>1677</x:v>
      </x:c>
      <x:c r="V512" s="55" t="n">
        <x:v>10320</x:v>
      </x:c>
      <x:c r="W512" s="55" t="n">
        <x:v>7268</x:v>
      </x:c>
      <x:c r="X512" s="55" t="n">
        <x:v>3052</x:v>
      </x:c>
      <x:c r="Y512" s="55" t="n">
        <x:v>2642</x:v>
      </x:c>
      <x:c r="Z512" s="55" t="n">
        <x:v>3981</x:v>
      </x:c>
      <x:c r="AA512" s="55" t="n">
        <x:v>3030</x:v>
      </x:c>
      <x:c r="AB512" s="55" t="n">
        <x:v>1088</x:v>
      </x:c>
      <x:c r="AC512" s="55" t="n">
        <x:v>7500</x:v>
      </x:c>
      <x:c r="AD512" s="55" t="n">
        <x:v>2641</x:v>
      </x:c>
      <x:c r="AE512" s="55" t="n">
        <x:v>10364</x:v>
      </x:c>
      <x:c r="AF512" s="55" t="n">
        <x:v>10320</x:v>
      </x:c>
      <x:c r="AG512" s="55" t="n">
        <x:v>44</x:v>
      </x:c>
      <x:c r="AH512" s="55" t="n">
        <x:v>461</x:v>
      </x:c>
      <x:c r="AI512" s="55" t="n">
        <x:v>9859</x:v>
      </x:c>
      <x:c r="AJ512" s="55" t="n">
        <x:v>585</x:v>
      </x:c>
      <x:c r="AK512" s="55" t="n">
        <x:v>849</x:v>
      </x:c>
      <x:c r="AL512" s="55" t="n">
        <x:v>1792</x:v>
      </x:c>
      <x:c r="AM512" s="55" t="n">
        <x:v>4956</x:v>
      </x:c>
      <x:c r="AN512" s="55" t="n">
        <x:v>2138</x:v>
      </x:c>
      <x:c r="AO512" s="55" t="n">
        <x:v>0</x:v>
      </x:c>
      <x:c r="AP512" s="55" t="n">
        <x:v>1723</x:v>
      </x:c>
      <x:c r="AQ512" s="55" t="n">
        <x:v>956</x:v>
      </x:c>
    </x:row>
    <x:row r="513">
      <x:c r="A513" s="54" t="str">
        <x:v>T1_SHARED_CATCHMENT</x:v>
      </x:c>
      <x:c r="B513" s="54" t="n">
        <x:v>507</x:v>
      </x:c>
      <x:c r="C513" s="54" t="str">
        <x:v>NYC-V2-R01</x:v>
      </x:c>
      <x:c r="D513" s="54" t="str">
        <x:v>V2</x:v>
      </x:c>
      <x:c r="E513" s="54" t="str">
        <x:v>ADMITTED</x:v>
      </x:c>
      <x:c r="F513" s="55" t="n">
        <x:v>33024</x:v>
      </x:c>
      <x:c r="G513" s="55" t="n">
        <x:v>7204</x:v>
      </x:c>
      <x:c r="H513" s="55" t="n">
        <x:v>3407</x:v>
      </x:c>
      <x:c r="I513" s="55" t="n">
        <x:v>1274</x:v>
      </x:c>
      <x:c r="J513" s="55" t="n">
        <x:v>431</x:v>
      </x:c>
      <x:c r="K513" s="55" t="n">
        <x:v>33024</x:v>
      </x:c>
      <x:c r="L513" s="55" t="n">
        <x:v>6044</x:v>
      </x:c>
      <x:c r="M513" s="55" t="n">
        <x:v>1879</x:v>
      </x:c>
      <x:c r="N513" s="55" t="n">
        <x:v>2604</x:v>
      </x:c>
      <x:c r="O513" s="55" t="n">
        <x:v>1561</x:v>
      </x:c>
      <x:c r="P513" s="55" t="n">
        <x:v>892</x:v>
      </x:c>
      <x:c r="Q513" s="55" t="n">
        <x:v>2377</x:v>
      </x:c>
      <x:c r="R513" s="55" t="n">
        <x:v>1678</x:v>
      </x:c>
      <x:c r="S513" s="55" t="n">
        <x:v>3132</x:v>
      </x:c>
      <x:c r="T513" s="55" t="n">
        <x:v>1269</x:v>
      </x:c>
      <x:c r="U513" s="55" t="n">
        <x:v>2051</x:v>
      </x:c>
      <x:c r="V513" s="55" t="n">
        <x:v>10451</x:v>
      </x:c>
      <x:c r="W513" s="55" t="n">
        <x:v>7372</x:v>
      </x:c>
      <x:c r="X513" s="55" t="n">
        <x:v>3079</x:v>
      </x:c>
      <x:c r="Y513" s="55" t="n">
        <x:v>2650</x:v>
      </x:c>
      <x:c r="Z513" s="55" t="n">
        <x:v>3781</x:v>
      </x:c>
      <x:c r="AA513" s="55" t="n">
        <x:v>2212</x:v>
      </x:c>
      <x:c r="AB513" s="55" t="n">
        <x:v>768</x:v>
      </x:c>
      <x:c r="AC513" s="55" t="n">
        <x:v>8212</x:v>
      </x:c>
      <x:c r="AD513" s="55" t="n">
        <x:v>3085</x:v>
      </x:c>
      <x:c r="AE513" s="55" t="n">
        <x:v>10522</x:v>
      </x:c>
      <x:c r="AF513" s="55" t="n">
        <x:v>10451</x:v>
      </x:c>
      <x:c r="AG513" s="55" t="n">
        <x:v>71</x:v>
      </x:c>
      <x:c r="AH513" s="55" t="n">
        <x:v>615</x:v>
      </x:c>
      <x:c r="AI513" s="55" t="n">
        <x:v>9836</x:v>
      </x:c>
      <x:c r="AJ513" s="55" t="n">
        <x:v>393</x:v>
      </x:c>
      <x:c r="AK513" s="55" t="n">
        <x:v>1133</x:v>
      </x:c>
      <x:c r="AL513" s="55" t="n">
        <x:v>1319</x:v>
      </x:c>
      <x:c r="AM513" s="55" t="n">
        <x:v>4866</x:v>
      </x:c>
      <x:c r="AN513" s="55" t="n">
        <x:v>2694</x:v>
      </x:c>
      <x:c r="AO513" s="55" t="n">
        <x:v>46</x:v>
      </x:c>
      <x:c r="AP513" s="55" t="n">
        <x:v>2440</x:v>
      </x:c>
      <x:c r="AQ513" s="55" t="n">
        <x:v>997</x:v>
      </x:c>
    </x:row>
    <x:row r="514">
      <x:c r="A514" s="54" t="str">
        <x:v>T1_SHARED_CATCHMENT</x:v>
      </x:c>
      <x:c r="B514" s="54" t="n">
        <x:v>508</x:v>
      </x:c>
      <x:c r="C514" s="54" t="str">
        <x:v>NYC-V2-R01</x:v>
      </x:c>
      <x:c r="D514" s="54" t="str">
        <x:v>V2</x:v>
      </x:c>
      <x:c r="E514" s="54" t="str">
        <x:v>ADMITTED</x:v>
      </x:c>
      <x:c r="F514" s="55" t="n">
        <x:v>30061</x:v>
      </x:c>
      <x:c r="G514" s="55" t="n">
        <x:v>6910</x:v>
      </x:c>
      <x:c r="H514" s="55" t="n">
        <x:v>3126</x:v>
      </x:c>
      <x:c r="I514" s="55" t="n">
        <x:v>1706</x:v>
      </x:c>
      <x:c r="J514" s="55" t="n">
        <x:v>364</x:v>
      </x:c>
      <x:c r="K514" s="55" t="n">
        <x:v>30061</x:v>
      </x:c>
      <x:c r="L514" s="55" t="n">
        <x:v>6210</x:v>
      </x:c>
      <x:c r="M514" s="55" t="n">
        <x:v>1728</x:v>
      </x:c>
      <x:c r="N514" s="55" t="n">
        <x:v>2872</x:v>
      </x:c>
      <x:c r="O514" s="55" t="n">
        <x:v>1610</x:v>
      </x:c>
      <x:c r="P514" s="55" t="n">
        <x:v>699</x:v>
      </x:c>
      <x:c r="Q514" s="55" t="n">
        <x:v>2164</x:v>
      </x:c>
      <x:c r="R514" s="55" t="n">
        <x:v>1847</x:v>
      </x:c>
      <x:c r="S514" s="55" t="n">
        <x:v>2562</x:v>
      </x:c>
      <x:c r="T514" s="55" t="n">
        <x:v>1411</x:v>
      </x:c>
      <x:c r="U514" s="55" t="n">
        <x:v>2130</x:v>
      </x:c>
      <x:c r="V514" s="55" t="n">
        <x:v>10812</x:v>
      </x:c>
      <x:c r="W514" s="55" t="n">
        <x:v>7640</x:v>
      </x:c>
      <x:c r="X514" s="55" t="n">
        <x:v>3172</x:v>
      </x:c>
      <x:c r="Y514" s="55" t="n">
        <x:v>2738</x:v>
      </x:c>
      <x:c r="Z514" s="55" t="n">
        <x:v>3281</x:v>
      </x:c>
      <x:c r="AA514" s="55" t="n">
        <x:v>2980</x:v>
      </x:c>
      <x:c r="AB514" s="55" t="n">
        <x:v>923</x:v>
      </x:c>
      <x:c r="AC514" s="55" t="n">
        <x:v>8072</x:v>
      </x:c>
      <x:c r="AD514" s="55" t="n">
        <x:v>3216</x:v>
      </x:c>
      <x:c r="AE514" s="55" t="n">
        <x:v>10953</x:v>
      </x:c>
      <x:c r="AF514" s="55" t="n">
        <x:v>10812</x:v>
      </x:c>
      <x:c r="AG514" s="55" t="n">
        <x:v>141</x:v>
      </x:c>
      <x:c r="AH514" s="55" t="n">
        <x:v>813</x:v>
      </x:c>
      <x:c r="AI514" s="55" t="n">
        <x:v>9999</x:v>
      </x:c>
      <x:c r="AJ514" s="55" t="n">
        <x:v>275</x:v>
      </x:c>
      <x:c r="AK514" s="55" t="n">
        <x:v>932</x:v>
      </x:c>
      <x:c r="AL514" s="55" t="n">
        <x:v>1634</x:v>
      </x:c>
      <x:c r="AM514" s="55" t="n">
        <x:v>5321</x:v>
      </x:c>
      <x:c r="AN514" s="55" t="n">
        <x:v>2612</x:v>
      </x:c>
      <x:c r="AO514" s="55" t="n">
        <x:v>38</x:v>
      </x:c>
      <x:c r="AP514" s="55" t="n">
        <x:v>2305</x:v>
      </x:c>
      <x:c r="AQ514" s="55" t="n">
        <x:v>967</x:v>
      </x:c>
    </x:row>
    <x:row r="515">
      <x:c r="A515" s="54" t="str">
        <x:v>T1_SHARED_CATCHMENT</x:v>
      </x:c>
      <x:c r="B515" s="54" t="n">
        <x:v>509</x:v>
      </x:c>
      <x:c r="C515" s="54" t="str">
        <x:v>NYC-V2-R01</x:v>
      </x:c>
      <x:c r="D515" s="54" t="str">
        <x:v>V2</x:v>
      </x:c>
      <x:c r="E515" s="54" t="str">
        <x:v>ADMITTED</x:v>
      </x:c>
      <x:c r="F515" s="55" t="n">
        <x:v>33284</x:v>
      </x:c>
      <x:c r="G515" s="55" t="n">
        <x:v>8425</x:v>
      </x:c>
      <x:c r="H515" s="55" t="n">
        <x:v>3554</x:v>
      </x:c>
      <x:c r="I515" s="55" t="n">
        <x:v>1190</x:v>
      </x:c>
      <x:c r="J515" s="55" t="n">
        <x:v>303</x:v>
      </x:c>
      <x:c r="K515" s="55" t="n">
        <x:v>30413</x:v>
      </x:c>
      <x:c r="L515" s="55" t="n">
        <x:v>5035</x:v>
      </x:c>
      <x:c r="M515" s="55" t="n">
        <x:v>1587</x:v>
      </x:c>
      <x:c r="N515" s="55" t="n">
        <x:v>2556</x:v>
      </x:c>
      <x:c r="O515" s="55" t="n">
        <x:v>892</x:v>
      </x:c>
      <x:c r="P515" s="55" t="n">
        <x:v>1076</x:v>
      </x:c>
      <x:c r="Q515" s="55" t="n">
        <x:v>2583</x:v>
      </x:c>
      <x:c r="R515" s="55" t="n">
        <x:v>2250</x:v>
      </x:c>
      <x:c r="S515" s="55" t="n">
        <x:v>2606</x:v>
      </x:c>
      <x:c r="T515" s="55" t="n">
        <x:v>1299</x:v>
      </x:c>
      <x:c r="U515" s="55" t="n">
        <x:v>1782</x:v>
      </x:c>
      <x:c r="V515" s="55" t="n">
        <x:v>10640</x:v>
      </x:c>
      <x:c r="W515" s="55" t="n">
        <x:v>7935</x:v>
      </x:c>
      <x:c r="X515" s="55" t="n">
        <x:v>2705</x:v>
      </x:c>
      <x:c r="Y515" s="55" t="n">
        <x:v>2344</x:v>
      </x:c>
      <x:c r="Z515" s="55" t="n">
        <x:v>4266</x:v>
      </x:c>
      <x:c r="AA515" s="55" t="n">
        <x:v>2735</x:v>
      </x:c>
      <x:c r="AB515" s="55" t="n">
        <x:v>717</x:v>
      </x:c>
      <x:c r="AC515" s="55" t="n">
        <x:v>8265</x:v>
      </x:c>
      <x:c r="AD515" s="55" t="n">
        <x:v>2755</x:v>
      </x:c>
      <x:c r="AE515" s="55" t="n">
        <x:v>10661</x:v>
      </x:c>
      <x:c r="AF515" s="55" t="n">
        <x:v>10640</x:v>
      </x:c>
      <x:c r="AG515" s="55" t="n">
        <x:v>21</x:v>
      </x:c>
      <x:c r="AH515" s="55" t="n">
        <x:v>239</x:v>
      </x:c>
      <x:c r="AI515" s="55" t="n">
        <x:v>10401</x:v>
      </x:c>
      <x:c r="AJ515" s="55" t="n">
        <x:v>283</x:v>
      </x:c>
      <x:c r="AK515" s="55" t="n">
        <x:v>1200</x:v>
      </x:c>
      <x:c r="AL515" s="55" t="n">
        <x:v>1642</x:v>
      </x:c>
      <x:c r="AM515" s="55" t="n">
        <x:v>4617</x:v>
      </x:c>
      <x:c r="AN515" s="55" t="n">
        <x:v>2869</x:v>
      </x:c>
      <x:c r="AO515" s="55" t="n">
        <x:v>29</x:v>
      </x:c>
      <x:c r="AP515" s="55" t="n">
        <x:v>2239</x:v>
      </x:c>
      <x:c r="AQ515" s="55" t="n">
        <x:v>929</x:v>
      </x:c>
    </x:row>
    <x:row r="516">
      <x:c r="A516" s="54" t="str">
        <x:v>T1_SHARED_CATCHMENT</x:v>
      </x:c>
      <x:c r="B516" s="54" t="n">
        <x:v>510</x:v>
      </x:c>
      <x:c r="C516" s="54" t="str">
        <x:v>NYC-V2-R01</x:v>
      </x:c>
      <x:c r="D516" s="54" t="str">
        <x:v>V2</x:v>
      </x:c>
      <x:c r="E516" s="54" t="str">
        <x:v>ADMITTED</x:v>
      </x:c>
      <x:c r="F516" s="55" t="n">
        <x:v>32500</x:v>
      </x:c>
      <x:c r="G516" s="55" t="n">
        <x:v>6776</x:v>
      </x:c>
      <x:c r="H516" s="55" t="n">
        <x:v>3384</x:v>
      </x:c>
      <x:c r="I516" s="55" t="n">
        <x:v>1243</x:v>
      </x:c>
      <x:c r="J516" s="55" t="n">
        <x:v>265</x:v>
      </x:c>
      <x:c r="K516" s="55" t="n">
        <x:v>32500</x:v>
      </x:c>
      <x:c r="L516" s="55" t="n">
        <x:v>6948</x:v>
      </x:c>
      <x:c r="M516" s="55" t="n">
        <x:v>2430</x:v>
      </x:c>
      <x:c r="N516" s="55" t="n">
        <x:v>2912</x:v>
      </x:c>
      <x:c r="O516" s="55" t="n">
        <x:v>1606</x:v>
      </x:c>
      <x:c r="P516" s="55" t="n">
        <x:v>755</x:v>
      </x:c>
      <x:c r="Q516" s="55" t="n">
        <x:v>1971</x:v>
      </x:c>
      <x:c r="R516" s="55" t="n">
        <x:v>2308</x:v>
      </x:c>
      <x:c r="S516" s="55" t="n">
        <x:v>2631</x:v>
      </x:c>
      <x:c r="T516" s="55" t="n">
        <x:v>986</x:v>
      </x:c>
      <x:c r="U516" s="55" t="n">
        <x:v>1897</x:v>
      </x:c>
      <x:c r="V516" s="55" t="n">
        <x:v>10432</x:v>
      </x:c>
      <x:c r="W516" s="55" t="n">
        <x:v>6781</x:v>
      </x:c>
      <x:c r="X516" s="55" t="n">
        <x:v>3651</x:v>
      </x:c>
      <x:c r="Y516" s="55" t="n">
        <x:v>3330</x:v>
      </x:c>
      <x:c r="Z516" s="55" t="n">
        <x:v>3866</x:v>
      </x:c>
      <x:c r="AA516" s="55" t="n">
        <x:v>2702</x:v>
      </x:c>
      <x:c r="AB516" s="55" t="n">
        <x:v>1113</x:v>
      </x:c>
      <x:c r="AC516" s="55" t="n">
        <x:v>7399</x:v>
      </x:c>
      <x:c r="AD516" s="55" t="n">
        <x:v>3099</x:v>
      </x:c>
      <x:c r="AE516" s="55" t="n">
        <x:v>10499</x:v>
      </x:c>
      <x:c r="AF516" s="55" t="n">
        <x:v>10432</x:v>
      </x:c>
      <x:c r="AG516" s="55" t="n">
        <x:v>67</x:v>
      </x:c>
      <x:c r="AH516" s="55" t="n">
        <x:v>287</x:v>
      </x:c>
      <x:c r="AI516" s="55" t="n">
        <x:v>10145</x:v>
      </x:c>
      <x:c r="AJ516" s="55" t="n">
        <x:v>426</x:v>
      </x:c>
      <x:c r="AK516" s="55" t="n">
        <x:v>763</x:v>
      </x:c>
      <x:c r="AL516" s="55" t="n">
        <x:v>1744</x:v>
      </x:c>
      <x:c r="AM516" s="55" t="n">
        <x:v>4595</x:v>
      </x:c>
      <x:c r="AN516" s="55" t="n">
        <x:v>2850</x:v>
      </x:c>
      <x:c r="AO516" s="55" t="n">
        <x:v>54</x:v>
      </x:c>
      <x:c r="AP516" s="55" t="n">
        <x:v>2547</x:v>
      </x:c>
      <x:c r="AQ516" s="55" t="n">
        <x:v>960</x:v>
      </x:c>
    </x:row>
    <x:row r="517">
      <x:c r="A517" s="54" t="str">
        <x:v>T1_SHARED_CATCHMENT</x:v>
      </x:c>
      <x:c r="B517" s="54" t="n">
        <x:v>511</x:v>
      </x:c>
      <x:c r="C517" s="54" t="str">
        <x:v>NYC-V2-R01</x:v>
      </x:c>
      <x:c r="D517" s="54" t="str">
        <x:v>V2</x:v>
      </x:c>
      <x:c r="E517" s="54" t="str">
        <x:v>ADMITTED</x:v>
      </x:c>
      <x:c r="F517" s="55" t="n">
        <x:v>32150</x:v>
      </x:c>
      <x:c r="G517" s="55" t="n">
        <x:v>8070</x:v>
      </x:c>
      <x:c r="H517" s="55" t="n">
        <x:v>3761</x:v>
      </x:c>
      <x:c r="I517" s="55" t="n">
        <x:v>1512</x:v>
      </x:c>
      <x:c r="J517" s="55" t="n">
        <x:v>307</x:v>
      </x:c>
      <x:c r="K517" s="55" t="n">
        <x:v>30611</x:v>
      </x:c>
      <x:c r="L517" s="55" t="n">
        <x:v>5912</x:v>
      </x:c>
      <x:c r="M517" s="55" t="n">
        <x:v>1717</x:v>
      </x:c>
      <x:c r="N517" s="55" t="n">
        <x:v>2163</x:v>
      </x:c>
      <x:c r="O517" s="55" t="n">
        <x:v>2032</x:v>
      </x:c>
      <x:c r="P517" s="55" t="n">
        <x:v>789</x:v>
      </x:c>
      <x:c r="Q517" s="55" t="n">
        <x:v>2765</x:v>
      </x:c>
      <x:c r="R517" s="55" t="n">
        <x:v>1656</x:v>
      </x:c>
      <x:c r="S517" s="55" t="n">
        <x:v>3094</x:v>
      </x:c>
      <x:c r="T517" s="55" t="n">
        <x:v>1196</x:v>
      </x:c>
      <x:c r="U517" s="55" t="n">
        <x:v>2496</x:v>
      </x:c>
      <x:c r="V517" s="55" t="n">
        <x:v>11176</x:v>
      </x:c>
      <x:c r="W517" s="55" t="n">
        <x:v>8050</x:v>
      </x:c>
      <x:c r="X517" s="55" t="n">
        <x:v>3126</x:v>
      </x:c>
      <x:c r="Y517" s="55" t="n">
        <x:v>2579</x:v>
      </x:c>
      <x:c r="Z517" s="55" t="n">
        <x:v>3729</x:v>
      </x:c>
      <x:c r="AA517" s="55" t="n">
        <x:v>3321</x:v>
      </x:c>
      <x:c r="AB517" s="55" t="n">
        <x:v>1031</x:v>
      </x:c>
      <x:c r="AC517" s="55" t="n">
        <x:v>8337</x:v>
      </x:c>
      <x:c r="AD517" s="55" t="n">
        <x:v>3243</x:v>
      </x:c>
      <x:c r="AE517" s="55" t="n">
        <x:v>11323</x:v>
      </x:c>
      <x:c r="AF517" s="55" t="n">
        <x:v>11176</x:v>
      </x:c>
      <x:c r="AG517" s="55" t="n">
        <x:v>147</x:v>
      </x:c>
      <x:c r="AH517" s="55" t="n">
        <x:v>559</x:v>
      </x:c>
      <x:c r="AI517" s="55" t="n">
        <x:v>10617</x:v>
      </x:c>
      <x:c r="AJ517" s="55" t="n">
        <x:v>443</x:v>
      </x:c>
      <x:c r="AK517" s="55" t="n">
        <x:v>1409</x:v>
      </x:c>
      <x:c r="AL517" s="55" t="n">
        <x:v>1568</x:v>
      </x:c>
      <x:c r="AM517" s="55" t="n">
        <x:v>4983</x:v>
      </x:c>
      <x:c r="AN517" s="55" t="n">
        <x:v>2727</x:v>
      </x:c>
      <x:c r="AO517" s="55" t="n">
        <x:v>46</x:v>
      </x:c>
      <x:c r="AP517" s="55" t="n">
        <x:v>2227</x:v>
      </x:c>
      <x:c r="AQ517" s="55" t="n">
        <x:v>986</x:v>
      </x:c>
    </x:row>
    <x:row r="518">
      <x:c r="A518" s="54" t="str">
        <x:v>T1_SHARED_CATCHMENT</x:v>
      </x:c>
      <x:c r="B518" s="54" t="n">
        <x:v>512</x:v>
      </x:c>
      <x:c r="C518" s="54" t="str">
        <x:v>NYC-V2-R01</x:v>
      </x:c>
      <x:c r="D518" s="54" t="str">
        <x:v>V2</x:v>
      </x:c>
      <x:c r="E518" s="54" t="str">
        <x:v>ADMITTED</x:v>
      </x:c>
      <x:c r="F518" s="55" t="n">
        <x:v>31643</x:v>
      </x:c>
      <x:c r="G518" s="55" t="n">
        <x:v>7616</x:v>
      </x:c>
      <x:c r="H518" s="55" t="n">
        <x:v>3251</x:v>
      </x:c>
      <x:c r="I518" s="55" t="n">
        <x:v>1417</x:v>
      </x:c>
      <x:c r="J518" s="55" t="n">
        <x:v>280</x:v>
      </x:c>
      <x:c r="K518" s="55" t="n">
        <x:v>28724</x:v>
      </x:c>
      <x:c r="L518" s="55" t="n">
        <x:v>5549</x:v>
      </x:c>
      <x:c r="M518" s="55" t="n">
        <x:v>871</x:v>
      </x:c>
      <x:c r="N518" s="55" t="n">
        <x:v>2532</x:v>
      </x:c>
      <x:c r="O518" s="55" t="n">
        <x:v>2146</x:v>
      </x:c>
      <x:c r="P518" s="55" t="n">
        <x:v>815</x:v>
      </x:c>
      <x:c r="Q518" s="55" t="n">
        <x:v>3053</x:v>
      </x:c>
      <x:c r="R518" s="55" t="n">
        <x:v>2229</x:v>
      </x:c>
      <x:c r="S518" s="55" t="n">
        <x:v>2964</x:v>
      </x:c>
      <x:c r="T518" s="55" t="n">
        <x:v>540</x:v>
      </x:c>
      <x:c r="U518" s="55" t="n">
        <x:v>2276</x:v>
      </x:c>
      <x:c r="V518" s="55" t="n">
        <x:v>10671</x:v>
      </x:c>
      <x:c r="W518" s="55" t="n">
        <x:v>7561</x:v>
      </x:c>
      <x:c r="X518" s="55" t="n">
        <x:v>3110</x:v>
      </x:c>
      <x:c r="Y518" s="55" t="n">
        <x:v>2844</x:v>
      </x:c>
      <x:c r="Z518" s="55" t="n">
        <x:v>3672</x:v>
      </x:c>
      <x:c r="AA518" s="55" t="n">
        <x:v>2825</x:v>
      </x:c>
      <x:c r="AB518" s="55" t="n">
        <x:v>1495</x:v>
      </x:c>
      <x:c r="AC518" s="55" t="n">
        <x:v>8099</x:v>
      </x:c>
      <x:c r="AD518" s="55" t="n">
        <x:v>2869</x:v>
      </x:c>
      <x:c r="AE518" s="55" t="n">
        <x:v>10843</x:v>
      </x:c>
      <x:c r="AF518" s="55" t="n">
        <x:v>10671</x:v>
      </x:c>
      <x:c r="AG518" s="55" t="n">
        <x:v>172</x:v>
      </x:c>
      <x:c r="AH518" s="55" t="n">
        <x:v>547</x:v>
      </x:c>
      <x:c r="AI518" s="55" t="n">
        <x:v>10124</x:v>
      </x:c>
      <x:c r="AJ518" s="55" t="n">
        <x:v>388</x:v>
      </x:c>
      <x:c r="AK518" s="55" t="n">
        <x:v>659</x:v>
      </x:c>
      <x:c r="AL518" s="55" t="n">
        <x:v>1515</x:v>
      </x:c>
      <x:c r="AM518" s="55" t="n">
        <x:v>5278</x:v>
      </x:c>
      <x:c r="AN518" s="55" t="n">
        <x:v>2728</x:v>
      </x:c>
      <x:c r="AO518" s="55" t="n">
        <x:v>103</x:v>
      </x:c>
      <x:c r="AP518" s="55" t="n">
        <x:v>2237</x:v>
      </x:c>
      <x:c r="AQ518" s="55" t="n">
        <x:v>993</x:v>
      </x:c>
    </x:row>
    <x:row r="519">
      <x:c r="A519" s="54" t="str">
        <x:v>T1_SHARED_CATCHMENT</x:v>
      </x:c>
      <x:c r="B519" s="54" t="n">
        <x:v>513</x:v>
      </x:c>
      <x:c r="C519" s="54" t="str">
        <x:v>NYC-V2-R01</x:v>
      </x:c>
      <x:c r="D519" s="54" t="str">
        <x:v>V2</x:v>
      </x:c>
      <x:c r="E519" s="54" t="str">
        <x:v>ADMITTED</x:v>
      </x:c>
      <x:c r="F519" s="55" t="n">
        <x:v>31400</x:v>
      </x:c>
      <x:c r="G519" s="55" t="n">
        <x:v>8119</x:v>
      </x:c>
      <x:c r="H519" s="55" t="n">
        <x:v>3302</x:v>
      </x:c>
      <x:c r="I519" s="55" t="n">
        <x:v>1385</x:v>
      </x:c>
      <x:c r="J519" s="55" t="n">
        <x:v>229</x:v>
      </x:c>
      <x:c r="K519" s="55" t="n">
        <x:v>31400</x:v>
      </x:c>
      <x:c r="L519" s="55" t="n">
        <x:v>6534</x:v>
      </x:c>
      <x:c r="M519" s="55" t="n">
        <x:v>1516</x:v>
      </x:c>
      <x:c r="N519" s="55" t="n">
        <x:v>3099</x:v>
      </x:c>
      <x:c r="O519" s="55" t="n">
        <x:v>1919</x:v>
      </x:c>
      <x:c r="P519" s="55" t="n">
        <x:v>952</x:v>
      </x:c>
      <x:c r="Q519" s="55" t="n">
        <x:v>2547</x:v>
      </x:c>
      <x:c r="R519" s="55" t="n">
        <x:v>1829</x:v>
      </x:c>
      <x:c r="S519" s="55" t="n">
        <x:v>3680</x:v>
      </x:c>
      <x:c r="T519" s="55" t="n">
        <x:v>1671</x:v>
      </x:c>
      <x:c r="U519" s="55" t="n">
        <x:v>2296</x:v>
      </x:c>
      <x:c r="V519" s="55" t="n">
        <x:v>11005</x:v>
      </x:c>
      <x:c r="W519" s="55" t="n">
        <x:v>8042</x:v>
      </x:c>
      <x:c r="X519" s="55" t="n">
        <x:v>2963</x:v>
      </x:c>
      <x:c r="Y519" s="55" t="n">
        <x:v>2691</x:v>
      </x:c>
      <x:c r="Z519" s="55" t="n">
        <x:v>3871</x:v>
      </x:c>
      <x:c r="AA519" s="55" t="n">
        <x:v>2894</x:v>
      </x:c>
      <x:c r="AB519" s="55" t="n">
        <x:v>1163</x:v>
      </x:c>
      <x:c r="AC519" s="55" t="n">
        <x:v>7931</x:v>
      </x:c>
      <x:c r="AD519" s="55" t="n">
        <x:v>3218</x:v>
      </x:c>
      <x:c r="AE519" s="55" t="n">
        <x:v>11051</x:v>
      </x:c>
      <x:c r="AF519" s="55" t="n">
        <x:v>11005</x:v>
      </x:c>
      <x:c r="AG519" s="55" t="n">
        <x:v>46</x:v>
      </x:c>
      <x:c r="AH519" s="55" t="n">
        <x:v>573</x:v>
      </x:c>
      <x:c r="AI519" s="55" t="n">
        <x:v>10432</x:v>
      </x:c>
      <x:c r="AJ519" s="55" t="n">
        <x:v>301</x:v>
      </x:c>
      <x:c r="AK519" s="55" t="n">
        <x:v>876</x:v>
      </x:c>
      <x:c r="AL519" s="55" t="n">
        <x:v>2054</x:v>
      </x:c>
      <x:c r="AM519" s="55" t="n">
        <x:v>5549</x:v>
      </x:c>
      <x:c r="AN519" s="55" t="n">
        <x:v>2208</x:v>
      </x:c>
      <x:c r="AO519" s="55" t="n">
        <x:v>17</x:v>
      </x:c>
      <x:c r="AP519" s="55" t="n">
        <x:v>2367</x:v>
      </x:c>
      <x:c r="AQ519" s="55" t="n">
        <x:v>1015</x:v>
      </x:c>
    </x:row>
    <x:row r="520">
      <x:c r="A520" s="54" t="str">
        <x:v>T1_SHARED_CATCHMENT</x:v>
      </x:c>
      <x:c r="B520" s="54" t="n">
        <x:v>514</x:v>
      </x:c>
      <x:c r="C520" s="54" t="str">
        <x:v>NYC-V2-R01</x:v>
      </x:c>
      <x:c r="D520" s="54" t="str">
        <x:v>V2</x:v>
      </x:c>
      <x:c r="E520" s="54" t="str">
        <x:v>ADMITTED</x:v>
      </x:c>
      <x:c r="F520" s="55" t="n">
        <x:v>30303</x:v>
      </x:c>
      <x:c r="G520" s="55" t="n">
        <x:v>7889</x:v>
      </x:c>
      <x:c r="H520" s="55" t="n">
        <x:v>3172</x:v>
      </x:c>
      <x:c r="I520" s="55" t="n">
        <x:v>1196</x:v>
      </x:c>
      <x:c r="J520" s="55" t="n">
        <x:v>162</x:v>
      </x:c>
      <x:c r="K520" s="55" t="n">
        <x:v>29634</x:v>
      </x:c>
      <x:c r="L520" s="55" t="n">
        <x:v>5092</x:v>
      </x:c>
      <x:c r="M520" s="55" t="n">
        <x:v>1254</x:v>
      </x:c>
      <x:c r="N520" s="55" t="n">
        <x:v>2476</x:v>
      </x:c>
      <x:c r="O520" s="55" t="n">
        <x:v>1362</x:v>
      </x:c>
      <x:c r="P520" s="55" t="n">
        <x:v>751</x:v>
      </x:c>
      <x:c r="Q520" s="55" t="n">
        <x:v>1782</x:v>
      </x:c>
      <x:c r="R520" s="55" t="n">
        <x:v>2073</x:v>
      </x:c>
      <x:c r="S520" s="55" t="n">
        <x:v>2501</x:v>
      </x:c>
      <x:c r="T520" s="55" t="n">
        <x:v>1053</x:v>
      </x:c>
      <x:c r="U520" s="55" t="n">
        <x:v>1229</x:v>
      </x:c>
      <x:c r="V520" s="55" t="n">
        <x:v>10497</x:v>
      </x:c>
      <x:c r="W520" s="55" t="n">
        <x:v>7234</x:v>
      </x:c>
      <x:c r="X520" s="55" t="n">
        <x:v>3263</x:v>
      </x:c>
      <x:c r="Y520" s="55" t="n">
        <x:v>2787</x:v>
      </x:c>
      <x:c r="Z520" s="55" t="n">
        <x:v>4085</x:v>
      </x:c>
      <x:c r="AA520" s="55" t="n">
        <x:v>3172</x:v>
      </x:c>
      <x:c r="AB520" s="55" t="n">
        <x:v>1429</x:v>
      </x:c>
      <x:c r="AC520" s="55" t="n">
        <x:v>8457</x:v>
      </x:c>
      <x:c r="AD520" s="55" t="n">
        <x:v>2593</x:v>
      </x:c>
      <x:c r="AE520" s="55" t="n">
        <x:v>10581</x:v>
      </x:c>
      <x:c r="AF520" s="55" t="n">
        <x:v>10497</x:v>
      </x:c>
      <x:c r="AG520" s="55" t="n">
        <x:v>84</x:v>
      </x:c>
      <x:c r="AH520" s="55" t="n">
        <x:v>350</x:v>
      </x:c>
      <x:c r="AI520" s="55" t="n">
        <x:v>10147</x:v>
      </x:c>
      <x:c r="AJ520" s="55" t="n">
        <x:v>154</x:v>
      </x:c>
      <x:c r="AK520" s="55" t="n">
        <x:v>1180</x:v>
      </x:c>
      <x:c r="AL520" s="55" t="n">
        <x:v>1353</x:v>
      </x:c>
      <x:c r="AM520" s="55" t="n">
        <x:v>5613</x:v>
      </x:c>
      <x:c r="AN520" s="55" t="n">
        <x:v>2173</x:v>
      </x:c>
      <x:c r="AO520" s="55" t="n">
        <x:v>24</x:v>
      </x:c>
      <x:c r="AP520" s="55" t="n">
        <x:v>2184</x:v>
      </x:c>
      <x:c r="AQ520" s="55" t="n">
        <x:v>984</x:v>
      </x:c>
    </x:row>
    <x:row r="521">
      <x:c r="A521" s="54" t="str">
        <x:v>T1_SHARED_CATCHMENT</x:v>
      </x:c>
      <x:c r="B521" s="54" t="n">
        <x:v>515</x:v>
      </x:c>
      <x:c r="C521" s="54" t="str">
        <x:v>NYC-V2-R01</x:v>
      </x:c>
      <x:c r="D521" s="54" t="str">
        <x:v>V2</x:v>
      </x:c>
      <x:c r="E521" s="54" t="str">
        <x:v>ADMITTED</x:v>
      </x:c>
      <x:c r="F521" s="55" t="n">
        <x:v>32686</x:v>
      </x:c>
      <x:c r="G521" s="55" t="n">
        <x:v>8524</x:v>
      </x:c>
      <x:c r="H521" s="55" t="n">
        <x:v>3601</x:v>
      </x:c>
      <x:c r="I521" s="55" t="n">
        <x:v>1296</x:v>
      </x:c>
      <x:c r="J521" s="55" t="n">
        <x:v>188</x:v>
      </x:c>
      <x:c r="K521" s="55" t="n">
        <x:v>29831</x:v>
      </x:c>
      <x:c r="L521" s="55" t="n">
        <x:v>5973</x:v>
      </x:c>
      <x:c r="M521" s="55" t="n">
        <x:v>2093</x:v>
      </x:c>
      <x:c r="N521" s="55" t="n">
        <x:v>2696</x:v>
      </x:c>
      <x:c r="O521" s="55" t="n">
        <x:v>1184</x:v>
      </x:c>
      <x:c r="P521" s="55" t="n">
        <x:v>191</x:v>
      </x:c>
      <x:c r="Q521" s="55" t="n">
        <x:v>3030</x:v>
      </x:c>
      <x:c r="R521" s="55" t="n">
        <x:v>1780</x:v>
      </x:c>
      <x:c r="S521" s="55" t="n">
        <x:v>2274</x:v>
      </x:c>
      <x:c r="T521" s="55" t="n">
        <x:v>1265</x:v>
      </x:c>
      <x:c r="U521" s="55" t="n">
        <x:v>2104</x:v>
      </x:c>
      <x:c r="V521" s="55" t="n">
        <x:v>10641</x:v>
      </x:c>
      <x:c r="W521" s="55" t="n">
        <x:v>7393</x:v>
      </x:c>
      <x:c r="X521" s="55" t="n">
        <x:v>3248</x:v>
      </x:c>
      <x:c r="Y521" s="55" t="n">
        <x:v>2854</x:v>
      </x:c>
      <x:c r="Z521" s="55" t="n">
        <x:v>4039</x:v>
      </x:c>
      <x:c r="AA521" s="55" t="n">
        <x:v>3601</x:v>
      </x:c>
      <x:c r="AB521" s="55" t="n">
        <x:v>1240</x:v>
      </x:c>
      <x:c r="AC521" s="55" t="n">
        <x:v>8560</x:v>
      </x:c>
      <x:c r="AD521" s="55" t="n">
        <x:v>2488</x:v>
      </x:c>
      <x:c r="AE521" s="55" t="n">
        <x:v>10859</x:v>
      </x:c>
      <x:c r="AF521" s="55" t="n">
        <x:v>10641</x:v>
      </x:c>
      <x:c r="AG521" s="55" t="n">
        <x:v>218</x:v>
      </x:c>
      <x:c r="AH521" s="55" t="n">
        <x:v>284</x:v>
      </x:c>
      <x:c r="AI521" s="55" t="n">
        <x:v>10357</x:v>
      </x:c>
      <x:c r="AJ521" s="55" t="n">
        <x:v>229</x:v>
      </x:c>
      <x:c r="AK521" s="55" t="n">
        <x:v>1135</x:v>
      </x:c>
      <x:c r="AL521" s="55" t="n">
        <x:v>1447</x:v>
      </x:c>
      <x:c r="AM521" s="55" t="n">
        <x:v>4899</x:v>
      </x:c>
      <x:c r="AN521" s="55" t="n">
        <x:v>2931</x:v>
      </x:c>
      <x:c r="AO521" s="55" t="n">
        <x:v>0</x:v>
      </x:c>
      <x:c r="AP521" s="55" t="n">
        <x:v>2505</x:v>
      </x:c>
      <x:c r="AQ521" s="55" t="n">
        <x:v>946</x:v>
      </x:c>
    </x:row>
    <x:row r="522">
      <x:c r="A522" s="54" t="str">
        <x:v>T1_SHARED_CATCHMENT</x:v>
      </x:c>
      <x:c r="B522" s="54" t="n">
        <x:v>516</x:v>
      </x:c>
      <x:c r="C522" s="54" t="str">
        <x:v>NYC-V2-R01</x:v>
      </x:c>
      <x:c r="D522" s="54" t="str">
        <x:v>V2</x:v>
      </x:c>
      <x:c r="E522" s="54" t="str">
        <x:v>ADMITTED</x:v>
      </x:c>
      <x:c r="F522" s="55" t="n">
        <x:v>31984</x:v>
      </x:c>
      <x:c r="G522" s="55" t="n">
        <x:v>7379</x:v>
      </x:c>
      <x:c r="H522" s="55" t="n">
        <x:v>3852</x:v>
      </x:c>
      <x:c r="I522" s="55" t="n">
        <x:v>1307</x:v>
      </x:c>
      <x:c r="J522" s="55" t="n">
        <x:v>201</x:v>
      </x:c>
      <x:c r="K522" s="55" t="n">
        <x:v>31984</x:v>
      </x:c>
      <x:c r="L522" s="55" t="n">
        <x:v>5697</x:v>
      </x:c>
      <x:c r="M522" s="55" t="n">
        <x:v>2320</x:v>
      </x:c>
      <x:c r="N522" s="55" t="n">
        <x:v>1898</x:v>
      </x:c>
      <x:c r="O522" s="55" t="n">
        <x:v>1479</x:v>
      </x:c>
      <x:c r="P522" s="55" t="n">
        <x:v>824</x:v>
      </x:c>
      <x:c r="Q522" s="55" t="n">
        <x:v>1854</x:v>
      </x:c>
      <x:c r="R522" s="55" t="n">
        <x:v>1968</x:v>
      </x:c>
      <x:c r="S522" s="55" t="n">
        <x:v>2339</x:v>
      </x:c>
      <x:c r="T522" s="55" t="n">
        <x:v>1020</x:v>
      </x:c>
      <x:c r="U522" s="55" t="n">
        <x:v>2397</x:v>
      </x:c>
      <x:c r="V522" s="55" t="n">
        <x:v>10745</x:v>
      </x:c>
      <x:c r="W522" s="55" t="n">
        <x:v>7303</x:v>
      </x:c>
      <x:c r="X522" s="55" t="n">
        <x:v>3442</x:v>
      </x:c>
      <x:c r="Y522" s="55" t="n">
        <x:v>2840</x:v>
      </x:c>
      <x:c r="Z522" s="55" t="n">
        <x:v>3990</x:v>
      </x:c>
      <x:c r="AA522" s="55" t="n">
        <x:v>3852</x:v>
      </x:c>
      <x:c r="AB522" s="55" t="n">
        <x:v>1054</x:v>
      </x:c>
      <x:c r="AC522" s="55" t="n">
        <x:v>8165</x:v>
      </x:c>
      <x:c r="AD522" s="55" t="n">
        <x:v>3242</x:v>
      </x:c>
      <x:c r="AE522" s="55" t="n">
        <x:v>10853</x:v>
      </x:c>
      <x:c r="AF522" s="55" t="n">
        <x:v>10745</x:v>
      </x:c>
      <x:c r="AG522" s="55" t="n">
        <x:v>108</x:v>
      </x:c>
      <x:c r="AH522" s="55" t="n">
        <x:v>265</x:v>
      </x:c>
      <x:c r="AI522" s="55" t="n">
        <x:v>10480</x:v>
      </x:c>
      <x:c r="AJ522" s="55" t="n">
        <x:v>322</x:v>
      </x:c>
      <x:c r="AK522" s="55" t="n">
        <x:v>858</x:v>
      </x:c>
      <x:c r="AL522" s="55" t="n">
        <x:v>1540</x:v>
      </x:c>
      <x:c r="AM522" s="55" t="n">
        <x:v>5062</x:v>
      </x:c>
      <x:c r="AN522" s="55" t="n">
        <x:v>2963</x:v>
      </x:c>
      <x:c r="AO522" s="55" t="n">
        <x:v>0</x:v>
      </x:c>
      <x:c r="AP522" s="55" t="n">
        <x:v>2767</x:v>
      </x:c>
      <x:c r="AQ522" s="55" t="n">
        <x:v>940</x:v>
      </x:c>
    </x:row>
    <x:row r="523">
      <x:c r="A523" s="54" t="str">
        <x:v>T1_SHARED_CATCHMENT</x:v>
      </x:c>
      <x:c r="B523" s="54" t="n">
        <x:v>517</x:v>
      </x:c>
      <x:c r="C523" s="54" t="str">
        <x:v>NYC-V2-R01</x:v>
      </x:c>
      <x:c r="D523" s="54" t="str">
        <x:v>V2</x:v>
      </x:c>
      <x:c r="E523" s="54" t="str">
        <x:v>ADMITTED</x:v>
      </x:c>
      <x:c r="F523" s="55" t="n">
        <x:v>32442</x:v>
      </x:c>
      <x:c r="G523" s="55" t="n">
        <x:v>8729</x:v>
      </x:c>
      <x:c r="H523" s="55" t="n">
        <x:v>3241</x:v>
      </x:c>
      <x:c r="I523" s="55" t="n">
        <x:v>1280</x:v>
      </x:c>
      <x:c r="J523" s="55" t="n">
        <x:v>378</x:v>
      </x:c>
      <x:c r="K523" s="55" t="n">
        <x:v>32442</x:v>
      </x:c>
      <x:c r="L523" s="55" t="n">
        <x:v>6122</x:v>
      </x:c>
      <x:c r="M523" s="55" t="n">
        <x:v>1271</x:v>
      </x:c>
      <x:c r="N523" s="55" t="n">
        <x:v>2828</x:v>
      </x:c>
      <x:c r="O523" s="55" t="n">
        <x:v>2023</x:v>
      </x:c>
      <x:c r="P523" s="55" t="n">
        <x:v>808</x:v>
      </x:c>
      <x:c r="Q523" s="55" t="n">
        <x:v>2741</x:v>
      </x:c>
      <x:c r="R523" s="55" t="n">
        <x:v>1661</x:v>
      </x:c>
      <x:c r="S523" s="55" t="n">
        <x:v>2602</x:v>
      </x:c>
      <x:c r="T523" s="55" t="n">
        <x:v>1611</x:v>
      </x:c>
      <x:c r="U523" s="55" t="n">
        <x:v>1623</x:v>
      </x:c>
      <x:c r="V523" s="55" t="n">
        <x:v>10604</x:v>
      </x:c>
      <x:c r="W523" s="55" t="n">
        <x:v>7539</x:v>
      </x:c>
      <x:c r="X523" s="55" t="n">
        <x:v>3065</x:v>
      </x:c>
      <x:c r="Y523" s="55" t="n">
        <x:v>2902</x:v>
      </x:c>
      <x:c r="Z523" s="55" t="n">
        <x:v>4069</x:v>
      </x:c>
      <x:c r="AA523" s="55" t="n">
        <x:v>2647</x:v>
      </x:c>
      <x:c r="AB523" s="55" t="n">
        <x:v>744</x:v>
      </x:c>
      <x:c r="AC523" s="55" t="n">
        <x:v>8610</x:v>
      </x:c>
      <x:c r="AD523" s="55" t="n">
        <x:v>2922</x:v>
      </x:c>
      <x:c r="AE523" s="55" t="n">
        <x:v>10691</x:v>
      </x:c>
      <x:c r="AF523" s="55" t="n">
        <x:v>10604</x:v>
      </x:c>
      <x:c r="AG523" s="55" t="n">
        <x:v>87</x:v>
      </x:c>
      <x:c r="AH523" s="55" t="n">
        <x:v>746</x:v>
      </x:c>
      <x:c r="AI523" s="55" t="n">
        <x:v>9858</x:v>
      </x:c>
      <x:c r="AJ523" s="55" t="n">
        <x:v>492</x:v>
      </x:c>
      <x:c r="AK523" s="55" t="n">
        <x:v>1013</x:v>
      </x:c>
      <x:c r="AL523" s="55" t="n">
        <x:v>1794</x:v>
      </x:c>
      <x:c r="AM523" s="55" t="n">
        <x:v>4783</x:v>
      </x:c>
      <x:c r="AN523" s="55" t="n">
        <x:v>2468</x:v>
      </x:c>
      <x:c r="AO523" s="55" t="n">
        <x:v>54</x:v>
      </x:c>
      <x:c r="AP523" s="55" t="n">
        <x:v>2629</x:v>
      </x:c>
      <x:c r="AQ523" s="55" t="n">
        <x:v>949</x:v>
      </x:c>
    </x:row>
    <x:row r="524">
      <x:c r="A524" s="54" t="str">
        <x:v>T1_SHARED_CATCHMENT</x:v>
      </x:c>
      <x:c r="B524" s="54" t="n">
        <x:v>518</x:v>
      </x:c>
      <x:c r="C524" s="54" t="str">
        <x:v>NYC-V2-R01</x:v>
      </x:c>
      <x:c r="D524" s="54" t="str">
        <x:v>V2</x:v>
      </x:c>
      <x:c r="E524" s="54" t="str">
        <x:v>ADMITTED</x:v>
      </x:c>
      <x:c r="F524" s="55" t="n">
        <x:v>31781</x:v>
      </x:c>
      <x:c r="G524" s="55" t="n">
        <x:v>6232</x:v>
      </x:c>
      <x:c r="H524" s="55" t="n">
        <x:v>2985</x:v>
      </x:c>
      <x:c r="I524" s="55" t="n">
        <x:v>1399</x:v>
      </x:c>
      <x:c r="J524" s="55" t="n">
        <x:v>256</x:v>
      </x:c>
      <x:c r="K524" s="55" t="n">
        <x:v>31781</x:v>
      </x:c>
      <x:c r="L524" s="55" t="n">
        <x:v>5943</x:v>
      </x:c>
      <x:c r="M524" s="55" t="n">
        <x:v>1058</x:v>
      </x:c>
      <x:c r="N524" s="55" t="n">
        <x:v>3215</x:v>
      </x:c>
      <x:c r="O524" s="55" t="n">
        <x:v>1670</x:v>
      </x:c>
      <x:c r="P524" s="55" t="n">
        <x:v>865</x:v>
      </x:c>
      <x:c r="Q524" s="55" t="n">
        <x:v>3174</x:v>
      </x:c>
      <x:c r="R524" s="55" t="n">
        <x:v>1783</x:v>
      </x:c>
      <x:c r="S524" s="55" t="n">
        <x:v>2416</x:v>
      </x:c>
      <x:c r="T524" s="55" t="n">
        <x:v>824</x:v>
      </x:c>
      <x:c r="U524" s="55" t="n">
        <x:v>2144</x:v>
      </x:c>
      <x:c r="V524" s="55" t="n">
        <x:v>10417</x:v>
      </x:c>
      <x:c r="W524" s="55" t="n">
        <x:v>7471</x:v>
      </x:c>
      <x:c r="X524" s="55" t="n">
        <x:v>2946</x:v>
      </x:c>
      <x:c r="Y524" s="55" t="n">
        <x:v>2776</x:v>
      </x:c>
      <x:c r="Z524" s="55" t="n">
        <x:v>3639</x:v>
      </x:c>
      <x:c r="AA524" s="55" t="n">
        <x:v>2979</x:v>
      </x:c>
      <x:c r="AB524" s="55" t="n">
        <x:v>1170</x:v>
      </x:c>
      <x:c r="AC524" s="55" t="n">
        <x:v>8016</x:v>
      </x:c>
      <x:c r="AD524" s="55" t="n">
        <x:v>2031</x:v>
      </x:c>
      <x:c r="AE524" s="55" t="n">
        <x:v>10503</x:v>
      </x:c>
      <x:c r="AF524" s="55" t="n">
        <x:v>10417</x:v>
      </x:c>
      <x:c r="AG524" s="55" t="n">
        <x:v>86</x:v>
      </x:c>
      <x:c r="AH524" s="55" t="n">
        <x:v>508</x:v>
      </x:c>
      <x:c r="AI524" s="55" t="n">
        <x:v>9909</x:v>
      </x:c>
      <x:c r="AJ524" s="55" t="n">
        <x:v>381</x:v>
      </x:c>
      <x:c r="AK524" s="55" t="n">
        <x:v>876</x:v>
      </x:c>
      <x:c r="AL524" s="55" t="n">
        <x:v>1640</x:v>
      </x:c>
      <x:c r="AM524" s="55" t="n">
        <x:v>5121</x:v>
      </x:c>
      <x:c r="AN524" s="55" t="n">
        <x:v>2399</x:v>
      </x:c>
      <x:c r="AO524" s="55" t="n">
        <x:v>0</x:v>
      </x:c>
      <x:c r="AP524" s="55" t="n">
        <x:v>1926</x:v>
      </x:c>
      <x:c r="AQ524" s="55" t="n">
        <x:v>969</x:v>
      </x:c>
    </x:row>
    <x:row r="525">
      <x:c r="A525" s="54" t="str">
        <x:v>T1_SHARED_CATCHMENT</x:v>
      </x:c>
      <x:c r="B525" s="54" t="n">
        <x:v>519</x:v>
      </x:c>
      <x:c r="C525" s="54" t="str">
        <x:v>NYC-V2-R01</x:v>
      </x:c>
      <x:c r="D525" s="54" t="str">
        <x:v>V2</x:v>
      </x:c>
      <x:c r="E525" s="54" t="str">
        <x:v>ADMITTED</x:v>
      </x:c>
      <x:c r="F525" s="55" t="n">
        <x:v>30121</x:v>
      </x:c>
      <x:c r="G525" s="55" t="n">
        <x:v>6571</x:v>
      </x:c>
      <x:c r="H525" s="55" t="n">
        <x:v>2570</x:v>
      </x:c>
      <x:c r="I525" s="55" t="n">
        <x:v>1129</x:v>
      </x:c>
      <x:c r="J525" s="55" t="n">
        <x:v>179</x:v>
      </x:c>
      <x:c r="K525" s="55" t="n">
        <x:v>30121</x:v>
      </x:c>
      <x:c r="L525" s="55" t="n">
        <x:v>6001</x:v>
      </x:c>
      <x:c r="M525" s="55" t="n">
        <x:v>1531</x:v>
      </x:c>
      <x:c r="N525" s="55" t="n">
        <x:v>2706</x:v>
      </x:c>
      <x:c r="O525" s="55" t="n">
        <x:v>1764</x:v>
      </x:c>
      <x:c r="P525" s="55" t="n">
        <x:v>720</x:v>
      </x:c>
      <x:c r="Q525" s="55" t="n">
        <x:v>1786</x:v>
      </x:c>
      <x:c r="R525" s="55" t="n">
        <x:v>1764</x:v>
      </x:c>
      <x:c r="S525" s="55" t="n">
        <x:v>2208</x:v>
      </x:c>
      <x:c r="T525" s="55" t="n">
        <x:v>1489</x:v>
      </x:c>
      <x:c r="U525" s="55" t="n">
        <x:v>2119</x:v>
      </x:c>
      <x:c r="V525" s="55" t="n">
        <x:v>10382</x:v>
      </x:c>
      <x:c r="W525" s="55" t="n">
        <x:v>7561</x:v>
      </x:c>
      <x:c r="X525" s="55" t="n">
        <x:v>2821</x:v>
      </x:c>
      <x:c r="Y525" s="55" t="n">
        <x:v>2492</x:v>
      </x:c>
      <x:c r="Z525" s="55" t="n">
        <x:v>3607</x:v>
      </x:c>
      <x:c r="AA525" s="55" t="n">
        <x:v>2570</x:v>
      </x:c>
      <x:c r="AB525" s="55" t="n">
        <x:v>992</x:v>
      </x:c>
      <x:c r="AC525" s="55" t="n">
        <x:v>7382</x:v>
      </x:c>
      <x:c r="AD525" s="55" t="n">
        <x:v>2651</x:v>
      </x:c>
      <x:c r="AE525" s="55" t="n">
        <x:v>10403</x:v>
      </x:c>
      <x:c r="AF525" s="55" t="n">
        <x:v>10382</x:v>
      </x:c>
      <x:c r="AG525" s="55" t="n">
        <x:v>21</x:v>
      </x:c>
      <x:c r="AH525" s="55" t="n">
        <x:v>581</x:v>
      </x:c>
      <x:c r="AI525" s="55" t="n">
        <x:v>9801</x:v>
      </x:c>
      <x:c r="AJ525" s="55" t="n">
        <x:v>523</x:v>
      </x:c>
      <x:c r="AK525" s="55" t="n">
        <x:v>1184</x:v>
      </x:c>
      <x:c r="AL525" s="55" t="n">
        <x:v>1350</x:v>
      </x:c>
      <x:c r="AM525" s="55" t="n">
        <x:v>5035</x:v>
      </x:c>
      <x:c r="AN525" s="55" t="n">
        <x:v>2204</x:v>
      </x:c>
      <x:c r="AO525" s="55" t="n">
        <x:v>86</x:v>
      </x:c>
      <x:c r="AP525" s="55" t="n">
        <x:v>1817</x:v>
      </x:c>
      <x:c r="AQ525" s="55" t="n">
        <x:v>961</x:v>
      </x:c>
    </x:row>
    <x:row r="526">
      <x:c r="A526" s="54" t="str">
        <x:v>T1_SHARED_CATCHMENT</x:v>
      </x:c>
      <x:c r="B526" s="54" t="n">
        <x:v>520</x:v>
      </x:c>
      <x:c r="C526" s="54" t="str">
        <x:v>NYC-V2-R01</x:v>
      </x:c>
      <x:c r="D526" s="54" t="str">
        <x:v>V2</x:v>
      </x:c>
      <x:c r="E526" s="54" t="str">
        <x:v>ADMITTED</x:v>
      </x:c>
      <x:c r="F526" s="55" t="n">
        <x:v>30230</x:v>
      </x:c>
      <x:c r="G526" s="55" t="n">
        <x:v>7413</x:v>
      </x:c>
      <x:c r="H526" s="55" t="n">
        <x:v>3322</x:v>
      </x:c>
      <x:c r="I526" s="55" t="n">
        <x:v>710</x:v>
      </x:c>
      <x:c r="J526" s="55" t="n">
        <x:v>0</x:v>
      </x:c>
      <x:c r="K526" s="55" t="n">
        <x:v>29162</x:v>
      </x:c>
      <x:c r="L526" s="55" t="n">
        <x:v>4980</x:v>
      </x:c>
      <x:c r="M526" s="55" t="n">
        <x:v>1295</x:v>
      </x:c>
      <x:c r="N526" s="55" t="n">
        <x:v>2407</x:v>
      </x:c>
      <x:c r="O526" s="55" t="n">
        <x:v>1278</x:v>
      </x:c>
      <x:c r="P526" s="55" t="n">
        <x:v>767</x:v>
      </x:c>
      <x:c r="Q526" s="55" t="n">
        <x:v>2397</x:v>
      </x:c>
      <x:c r="R526" s="55" t="n">
        <x:v>2032</x:v>
      </x:c>
      <x:c r="S526" s="55" t="n">
        <x:v>2466</x:v>
      </x:c>
      <x:c r="T526" s="55" t="n">
        <x:v>1344</x:v>
      </x:c>
      <x:c r="U526" s="55" t="n">
        <x:v>1358</x:v>
      </x:c>
      <x:c r="V526" s="55" t="n">
        <x:v>10001</x:v>
      </x:c>
      <x:c r="W526" s="55" t="n">
        <x:v>7353</x:v>
      </x:c>
      <x:c r="X526" s="55" t="n">
        <x:v>2648</x:v>
      </x:c>
      <x:c r="Y526" s="55" t="n">
        <x:v>2198</x:v>
      </x:c>
      <x:c r="Z526" s="55" t="n">
        <x:v>3166</x:v>
      </x:c>
      <x:c r="AA526" s="55" t="n">
        <x:v>3322</x:v>
      </x:c>
      <x:c r="AB526" s="55" t="n">
        <x:v>1156</x:v>
      </x:c>
      <x:c r="AC526" s="55" t="n">
        <x:v>7771</x:v>
      </x:c>
      <x:c r="AD526" s="55" t="n">
        <x:v>3134</x:v>
      </x:c>
      <x:c r="AE526" s="55" t="n">
        <x:v>10046</x:v>
      </x:c>
      <x:c r="AF526" s="55" t="n">
        <x:v>10001</x:v>
      </x:c>
      <x:c r="AG526" s="55" t="n">
        <x:v>45</x:v>
      </x:c>
      <x:c r="AH526" s="55" t="n">
        <x:v>330</x:v>
      </x:c>
      <x:c r="AI526" s="55" t="n">
        <x:v>9671</x:v>
      </x:c>
      <x:c r="AJ526" s="55" t="n">
        <x:v>301</x:v>
      </x:c>
      <x:c r="AK526" s="55" t="n">
        <x:v>979</x:v>
      </x:c>
      <x:c r="AL526" s="55" t="n">
        <x:v>1467</x:v>
      </x:c>
      <x:c r="AM526" s="55" t="n">
        <x:v>5248</x:v>
      </x:c>
      <x:c r="AN526" s="55" t="n">
        <x:v>2006</x:v>
      </x:c>
      <x:c r="AO526" s="55" t="n">
        <x:v>0</x:v>
      </x:c>
      <x:c r="AP526" s="55" t="n">
        <x:v>1966</x:v>
      </x:c>
      <x:c r="AQ526" s="55" t="n">
        <x:v>951</x:v>
      </x:c>
    </x:row>
    <x:row r="527">
      <x:c r="A527" s="54" t="str">
        <x:v>T1_SHARED_CATCHMENT</x:v>
      </x:c>
      <x:c r="B527" s="54" t="n">
        <x:v>521</x:v>
      </x:c>
      <x:c r="C527" s="54" t="str">
        <x:v>NYC-V2-R01</x:v>
      </x:c>
      <x:c r="D527" s="54" t="str">
        <x:v>V2</x:v>
      </x:c>
      <x:c r="E527" s="54" t="str">
        <x:v>ADMITTED</x:v>
      </x:c>
      <x:c r="F527" s="55" t="n">
        <x:v>31208</x:v>
      </x:c>
      <x:c r="G527" s="55" t="n">
        <x:v>7296</x:v>
      </x:c>
      <x:c r="H527" s="55" t="n">
        <x:v>3893</x:v>
      </x:c>
      <x:c r="I527" s="55" t="n">
        <x:v>1847</x:v>
      </x:c>
      <x:c r="J527" s="55" t="n">
        <x:v>174</x:v>
      </x:c>
      <x:c r="K527" s="55" t="n">
        <x:v>31208</x:v>
      </x:c>
      <x:c r="L527" s="55" t="n">
        <x:v>6430</x:v>
      </x:c>
      <x:c r="M527" s="55" t="n">
        <x:v>1639</x:v>
      </x:c>
      <x:c r="N527" s="55" t="n">
        <x:v>2517</x:v>
      </x:c>
      <x:c r="O527" s="55" t="n">
        <x:v>2274</x:v>
      </x:c>
      <x:c r="P527" s="55" t="n">
        <x:v>1044</x:v>
      </x:c>
      <x:c r="Q527" s="55" t="n">
        <x:v>2406</x:v>
      </x:c>
      <x:c r="R527" s="55" t="n">
        <x:v>2157</x:v>
      </x:c>
      <x:c r="S527" s="55" t="n">
        <x:v>3482</x:v>
      </x:c>
      <x:c r="T527" s="55" t="n">
        <x:v>1279</x:v>
      </x:c>
      <x:c r="U527" s="55" t="n">
        <x:v>2453</x:v>
      </x:c>
      <x:c r="V527" s="55" t="n">
        <x:v>10585</x:v>
      </x:c>
      <x:c r="W527" s="55" t="n">
        <x:v>7416</x:v>
      </x:c>
      <x:c r="X527" s="55" t="n">
        <x:v>3169</x:v>
      </x:c>
      <x:c r="Y527" s="55" t="n">
        <x:v>2899</x:v>
      </x:c>
      <x:c r="Z527" s="55" t="n">
        <x:v>3972</x:v>
      </x:c>
      <x:c r="AA527" s="55" t="n">
        <x:v>3893</x:v>
      </x:c>
      <x:c r="AB527" s="55" t="n">
        <x:v>1190</x:v>
      </x:c>
      <x:c r="AC527" s="55" t="n">
        <x:v>8130</x:v>
      </x:c>
      <x:c r="AD527" s="55" t="n">
        <x:v>3203</x:v>
      </x:c>
      <x:c r="AE527" s="55" t="n">
        <x:v>10704</x:v>
      </x:c>
      <x:c r="AF527" s="55" t="n">
        <x:v>10585</x:v>
      </x:c>
      <x:c r="AG527" s="55" t="n">
        <x:v>119</x:v>
      </x:c>
      <x:c r="AH527" s="55" t="n">
        <x:v>342</x:v>
      </x:c>
      <x:c r="AI527" s="55" t="n">
        <x:v>10243</x:v>
      </x:c>
      <x:c r="AJ527" s="55" t="n">
        <x:v>259</x:v>
      </x:c>
      <x:c r="AK527" s="55" t="n">
        <x:v>774</x:v>
      </x:c>
      <x:c r="AL527" s="55" t="n">
        <x:v>2161</x:v>
      </x:c>
      <x:c r="AM527" s="55" t="n">
        <x:v>4856</x:v>
      </x:c>
      <x:c r="AN527" s="55" t="n">
        <x:v>2535</x:v>
      </x:c>
      <x:c r="AO527" s="55" t="n">
        <x:v>0</x:v>
      </x:c>
      <x:c r="AP527" s="55" t="n">
        <x:v>2239</x:v>
      </x:c>
      <x:c r="AQ527" s="55" t="n">
        <x:v>955</x:v>
      </x:c>
    </x:row>
    <x:row r="528">
      <x:c r="A528" s="54" t="str">
        <x:v>T1_SHARED_CATCHMENT</x:v>
      </x:c>
      <x:c r="B528" s="54" t="n">
        <x:v>522</x:v>
      </x:c>
      <x:c r="C528" s="54" t="str">
        <x:v>NYC-V2-R01</x:v>
      </x:c>
      <x:c r="D528" s="54" t="str">
        <x:v>V2</x:v>
      </x:c>
      <x:c r="E528" s="54" t="str">
        <x:v>ADMITTED</x:v>
      </x:c>
      <x:c r="F528" s="55" t="n">
        <x:v>30914</x:v>
      </x:c>
      <x:c r="G528" s="55" t="n">
        <x:v>8211</x:v>
      </x:c>
      <x:c r="H528" s="55" t="n">
        <x:v>3260</x:v>
      </x:c>
      <x:c r="I528" s="55" t="n">
        <x:v>1203</x:v>
      </x:c>
      <x:c r="J528" s="55" t="n">
        <x:v>196</x:v>
      </x:c>
      <x:c r="K528" s="55" t="n">
        <x:v>29654</x:v>
      </x:c>
      <x:c r="L528" s="55" t="n">
        <x:v>5569</x:v>
      </x:c>
      <x:c r="M528" s="55" t="n">
        <x:v>681</x:v>
      </x:c>
      <x:c r="N528" s="55" t="n">
        <x:v>2668</x:v>
      </x:c>
      <x:c r="O528" s="55" t="n">
        <x:v>2220</x:v>
      </x:c>
      <x:c r="P528" s="55" t="n">
        <x:v>757</x:v>
      </x:c>
      <x:c r="Q528" s="55" t="n">
        <x:v>1477</x:v>
      </x:c>
      <x:c r="R528" s="55" t="n">
        <x:v>1152</x:v>
      </x:c>
      <x:c r="S528" s="55" t="n">
        <x:v>3001</x:v>
      </x:c>
      <x:c r="T528" s="55" t="n">
        <x:v>961</x:v>
      </x:c>
      <x:c r="U528" s="55" t="n">
        <x:v>2011</x:v>
      </x:c>
      <x:c r="V528" s="55" t="n">
        <x:v>10571</x:v>
      </x:c>
      <x:c r="W528" s="55" t="n">
        <x:v>8092</x:v>
      </x:c>
      <x:c r="X528" s="55" t="n">
        <x:v>2479</x:v>
      </x:c>
      <x:c r="Y528" s="55" t="n">
        <x:v>2311</x:v>
      </x:c>
      <x:c r="Z528" s="55" t="n">
        <x:v>4061</x:v>
      </x:c>
      <x:c r="AA528" s="55" t="n">
        <x:v>3260</x:v>
      </x:c>
      <x:c r="AB528" s="55" t="n">
        <x:v>1059</x:v>
      </x:c>
      <x:c r="AC528" s="55" t="n">
        <x:v>7868</x:v>
      </x:c>
      <x:c r="AD528" s="55" t="n">
        <x:v>3168</x:v>
      </x:c>
      <x:c r="AE528" s="55" t="n">
        <x:v>10661</x:v>
      </x:c>
      <x:c r="AF528" s="55" t="n">
        <x:v>10571</x:v>
      </x:c>
      <x:c r="AG528" s="55" t="n">
        <x:v>90</x:v>
      </x:c>
      <x:c r="AH528" s="55" t="n">
        <x:v>347</x:v>
      </x:c>
      <x:c r="AI528" s="55" t="n">
        <x:v>10224</x:v>
      </x:c>
      <x:c r="AJ528" s="55" t="n">
        <x:v>312</x:v>
      </x:c>
      <x:c r="AK528" s="55" t="n">
        <x:v>797</x:v>
      </x:c>
      <x:c r="AL528" s="55" t="n">
        <x:v>1925</x:v>
      </x:c>
      <x:c r="AM528" s="55" t="n">
        <x:v>5035</x:v>
      </x:c>
      <x:c r="AN528" s="55" t="n">
        <x:v>2422</x:v>
      </x:c>
      <x:c r="AO528" s="55" t="n">
        <x:v>80</x:v>
      </x:c>
      <x:c r="AP528" s="55" t="n">
        <x:v>2423</x:v>
      </x:c>
      <x:c r="AQ528" s="55" t="n">
        <x:v>989</x:v>
      </x:c>
    </x:row>
    <x:row r="529">
      <x:c r="A529" s="54" t="str">
        <x:v>T1_SHARED_CATCHMENT</x:v>
      </x:c>
      <x:c r="B529" s="54" t="n">
        <x:v>523</x:v>
      </x:c>
      <x:c r="C529" s="54" t="str">
        <x:v>NYC-V2-R01</x:v>
      </x:c>
      <x:c r="D529" s="54" t="str">
        <x:v>V2</x:v>
      </x:c>
      <x:c r="E529" s="54" t="str">
        <x:v>ADMITTED</x:v>
      </x:c>
      <x:c r="F529" s="55" t="n">
        <x:v>33727</x:v>
      </x:c>
      <x:c r="G529" s="55" t="n">
        <x:v>9374</x:v>
      </x:c>
      <x:c r="H529" s="55" t="n">
        <x:v>3446</x:v>
      </x:c>
      <x:c r="I529" s="55" t="n">
        <x:v>1300</x:v>
      </x:c>
      <x:c r="J529" s="55" t="n">
        <x:v>315</x:v>
      </x:c>
      <x:c r="K529" s="55" t="n">
        <x:v>31456</x:v>
      </x:c>
      <x:c r="L529" s="55" t="n">
        <x:v>6687</x:v>
      </x:c>
      <x:c r="M529" s="55" t="n">
        <x:v>2226</x:v>
      </x:c>
      <x:c r="N529" s="55" t="n">
        <x:v>3138</x:v>
      </x:c>
      <x:c r="O529" s="55" t="n">
        <x:v>1323</x:v>
      </x:c>
      <x:c r="P529" s="55" t="n">
        <x:v>748</x:v>
      </x:c>
      <x:c r="Q529" s="55" t="n">
        <x:v>2719</x:v>
      </x:c>
      <x:c r="R529" s="55" t="n">
        <x:v>1574</x:v>
      </x:c>
      <x:c r="S529" s="55" t="n">
        <x:v>2699</x:v>
      </x:c>
      <x:c r="T529" s="55" t="n">
        <x:v>911</x:v>
      </x:c>
      <x:c r="U529" s="55" t="n">
        <x:v>2117</x:v>
      </x:c>
      <x:c r="V529" s="55" t="n">
        <x:v>9708</x:v>
      </x:c>
      <x:c r="W529" s="55" t="n">
        <x:v>6778</x:v>
      </x:c>
      <x:c r="X529" s="55" t="n">
        <x:v>2930</x:v>
      </x:c>
      <x:c r="Y529" s="55" t="n">
        <x:v>2449</x:v>
      </x:c>
      <x:c r="Z529" s="55" t="n">
        <x:v>3295</x:v>
      </x:c>
      <x:c r="AA529" s="55" t="n">
        <x:v>2960</x:v>
      </x:c>
      <x:c r="AB529" s="55" t="n">
        <x:v>862</x:v>
      </x:c>
      <x:c r="AC529" s="55" t="n">
        <x:v>8419</x:v>
      </x:c>
      <x:c r="AD529" s="55" t="n">
        <x:v>2653</x:v>
      </x:c>
      <x:c r="AE529" s="55" t="n">
        <x:v>9750</x:v>
      </x:c>
      <x:c r="AF529" s="55" t="n">
        <x:v>9708</x:v>
      </x:c>
      <x:c r="AG529" s="55" t="n">
        <x:v>42</x:v>
      </x:c>
      <x:c r="AH529" s="55" t="n">
        <x:v>350</x:v>
      </x:c>
      <x:c r="AI529" s="55" t="n">
        <x:v>9358</x:v>
      </x:c>
      <x:c r="AJ529" s="55" t="n">
        <x:v>250</x:v>
      </x:c>
      <x:c r="AK529" s="55" t="n">
        <x:v>754</x:v>
      </x:c>
      <x:c r="AL529" s="55" t="n">
        <x:v>1605</x:v>
      </x:c>
      <x:c r="AM529" s="55" t="n">
        <x:v>5256</x:v>
      </x:c>
      <x:c r="AN529" s="55" t="n">
        <x:v>1843</x:v>
      </x:c>
      <x:c r="AO529" s="55" t="n">
        <x:v>0</x:v>
      </x:c>
      <x:c r="AP529" s="55" t="n">
        <x:v>2400</x:v>
      </x:c>
      <x:c r="AQ529" s="55" t="n">
        <x:v>1029</x:v>
      </x:c>
    </x:row>
    <x:row r="530">
      <x:c r="A530" s="54" t="str">
        <x:v>T1_SHARED_CATCHMENT</x:v>
      </x:c>
      <x:c r="B530" s="54" t="n">
        <x:v>524</x:v>
      </x:c>
      <x:c r="C530" s="54" t="str">
        <x:v>NYC-V2-R01</x:v>
      </x:c>
      <x:c r="D530" s="54" t="str">
        <x:v>V2</x:v>
      </x:c>
      <x:c r="E530" s="54" t="str">
        <x:v>ADMITTED</x:v>
      </x:c>
      <x:c r="F530" s="55" t="n">
        <x:v>31393</x:v>
      </x:c>
      <x:c r="G530" s="55" t="n">
        <x:v>6837</x:v>
      </x:c>
      <x:c r="H530" s="55" t="n">
        <x:v>2978</x:v>
      </x:c>
      <x:c r="I530" s="55" t="n">
        <x:v>1355</x:v>
      </x:c>
      <x:c r="J530" s="55" t="n">
        <x:v>224</x:v>
      </x:c>
      <x:c r="K530" s="55" t="n">
        <x:v>31393</x:v>
      </x:c>
      <x:c r="L530" s="55" t="n">
        <x:v>7652</x:v>
      </x:c>
      <x:c r="M530" s="55" t="n">
        <x:v>2455</x:v>
      </x:c>
      <x:c r="N530" s="55" t="n">
        <x:v>3386</x:v>
      </x:c>
      <x:c r="O530" s="55" t="n">
        <x:v>1811</x:v>
      </x:c>
      <x:c r="P530" s="55" t="n">
        <x:v>542</x:v>
      </x:c>
      <x:c r="Q530" s="55" t="n">
        <x:v>2342</x:v>
      </x:c>
      <x:c r="R530" s="55" t="n">
        <x:v>1511</x:v>
      </x:c>
      <x:c r="S530" s="55" t="n">
        <x:v>3155</x:v>
      </x:c>
      <x:c r="T530" s="55" t="n">
        <x:v>990</x:v>
      </x:c>
      <x:c r="U530" s="55" t="n">
        <x:v>2177</x:v>
      </x:c>
      <x:c r="V530" s="55" t="n">
        <x:v>10878</x:v>
      </x:c>
      <x:c r="W530" s="55" t="n">
        <x:v>7920</x:v>
      </x:c>
      <x:c r="X530" s="55" t="n">
        <x:v>2958</x:v>
      </x:c>
      <x:c r="Y530" s="55" t="n">
        <x:v>2670</x:v>
      </x:c>
      <x:c r="Z530" s="55" t="n">
        <x:v>3672</x:v>
      </x:c>
      <x:c r="AA530" s="55" t="n">
        <x:v>2978</x:v>
      </x:c>
      <x:c r="AB530" s="55" t="n">
        <x:v>1187</x:v>
      </x:c>
      <x:c r="AC530" s="55" t="n">
        <x:v>8042</x:v>
      </x:c>
      <x:c r="AD530" s="55" t="n">
        <x:v>2539</x:v>
      </x:c>
      <x:c r="AE530" s="55" t="n">
        <x:v>10958</x:v>
      </x:c>
      <x:c r="AF530" s="55" t="n">
        <x:v>10878</x:v>
      </x:c>
      <x:c r="AG530" s="55" t="n">
        <x:v>80</x:v>
      </x:c>
      <x:c r="AH530" s="55" t="n">
        <x:v>285</x:v>
      </x:c>
      <x:c r="AI530" s="55" t="n">
        <x:v>10593</x:v>
      </x:c>
      <x:c r="AJ530" s="55" t="n">
        <x:v>509</x:v>
      </x:c>
      <x:c r="AK530" s="55" t="n">
        <x:v>895</x:v>
      </x:c>
      <x:c r="AL530" s="55" t="n">
        <x:v>1597</x:v>
      </x:c>
      <x:c r="AM530" s="55" t="n">
        <x:v>4762</x:v>
      </x:c>
      <x:c r="AN530" s="55" t="n">
        <x:v>2985</x:v>
      </x:c>
      <x:c r="AO530" s="55" t="n">
        <x:v>130</x:v>
      </x:c>
      <x:c r="AP530" s="55" t="n">
        <x:v>2571</x:v>
      </x:c>
      <x:c r="AQ530" s="55" t="n">
        <x:v>987</x:v>
      </x:c>
    </x:row>
    <x:row r="531">
      <x:c r="A531" s="54" t="str">
        <x:v>T1_SHARED_CATCHMENT</x:v>
      </x:c>
      <x:c r="B531" s="54" t="n">
        <x:v>525</x:v>
      </x:c>
      <x:c r="C531" s="54" t="str">
        <x:v>NYC-V2-R01</x:v>
      </x:c>
      <x:c r="D531" s="54" t="str">
        <x:v>V2</x:v>
      </x:c>
      <x:c r="E531" s="54" t="str">
        <x:v>ADMITTED</x:v>
      </x:c>
      <x:c r="F531" s="55" t="n">
        <x:v>28739</x:v>
      </x:c>
      <x:c r="G531" s="55" t="n">
        <x:v>6468</x:v>
      </x:c>
      <x:c r="H531" s="55" t="n">
        <x:v>3822</x:v>
      </x:c>
      <x:c r="I531" s="55" t="n">
        <x:v>2176</x:v>
      </x:c>
      <x:c r="J531" s="55" t="n">
        <x:v>230</x:v>
      </x:c>
      <x:c r="K531" s="55" t="n">
        <x:v>28739</x:v>
      </x:c>
      <x:c r="L531" s="55" t="n">
        <x:v>4621</x:v>
      </x:c>
      <x:c r="M531" s="55" t="n">
        <x:v>995</x:v>
      </x:c>
      <x:c r="N531" s="55" t="n">
        <x:v>2396</x:v>
      </x:c>
      <x:c r="O531" s="55" t="n">
        <x:v>1230</x:v>
      </x:c>
      <x:c r="P531" s="55" t="n">
        <x:v>456</x:v>
      </x:c>
      <x:c r="Q531" s="55" t="n">
        <x:v>2860</x:v>
      </x:c>
      <x:c r="R531" s="55" t="n">
        <x:v>1902</x:v>
      </x:c>
      <x:c r="S531" s="55" t="n">
        <x:v>2658</x:v>
      </x:c>
      <x:c r="T531" s="55" t="n">
        <x:v>1155</x:v>
      </x:c>
      <x:c r="U531" s="55" t="n">
        <x:v>1797</x:v>
      </x:c>
      <x:c r="V531" s="55" t="n">
        <x:v>10559</x:v>
      </x:c>
      <x:c r="W531" s="55" t="n">
        <x:v>7590</x:v>
      </x:c>
      <x:c r="X531" s="55" t="n">
        <x:v>2969</x:v>
      </x:c>
      <x:c r="Y531" s="55" t="n">
        <x:v>2564</x:v>
      </x:c>
      <x:c r="Z531" s="55" t="n">
        <x:v>3583</x:v>
      </x:c>
      <x:c r="AA531" s="55" t="n">
        <x:v>2827</x:v>
      </x:c>
      <x:c r="AB531" s="55" t="n">
        <x:v>1030</x:v>
      </x:c>
      <x:c r="AC531" s="55" t="n">
        <x:v>7719</x:v>
      </x:c>
      <x:c r="AD531" s="55" t="n">
        <x:v>2600</x:v>
      </x:c>
      <x:c r="AE531" s="55" t="n">
        <x:v>10605</x:v>
      </x:c>
      <x:c r="AF531" s="55" t="n">
        <x:v>10559</x:v>
      </x:c>
      <x:c r="AG531" s="55" t="n">
        <x:v>46</x:v>
      </x:c>
      <x:c r="AH531" s="55" t="n">
        <x:v>574</x:v>
      </x:c>
      <x:c r="AI531" s="55" t="n">
        <x:v>9985</x:v>
      </x:c>
      <x:c r="AJ531" s="55" t="n">
        <x:v>328</x:v>
      </x:c>
      <x:c r="AK531" s="55" t="n">
        <x:v>885</x:v>
      </x:c>
      <x:c r="AL531" s="55" t="n">
        <x:v>1803</x:v>
      </x:c>
      <x:c r="AM531" s="55" t="n">
        <x:v>5043</x:v>
      </x:c>
      <x:c r="AN531" s="55" t="n">
        <x:v>2453</x:v>
      </x:c>
      <x:c r="AO531" s="55" t="n">
        <x:v>47</x:v>
      </x:c>
      <x:c r="AP531" s="55" t="n">
        <x:v>2218</x:v>
      </x:c>
      <x:c r="AQ531" s="55" t="n">
        <x:v>939</x:v>
      </x:c>
    </x:row>
    <x:row r="532">
      <x:c r="A532" s="54" t="str">
        <x:v>T1_SHARED_CATCHMENT</x:v>
      </x:c>
      <x:c r="B532" s="54" t="n">
        <x:v>526</x:v>
      </x:c>
      <x:c r="C532" s="54" t="str">
        <x:v>NYC-V2-R01</x:v>
      </x:c>
      <x:c r="D532" s="54" t="str">
        <x:v>V2</x:v>
      </x:c>
      <x:c r="E532" s="54" t="str">
        <x:v>ADMITTED</x:v>
      </x:c>
      <x:c r="F532" s="55" t="n">
        <x:v>31266</x:v>
      </x:c>
      <x:c r="G532" s="55" t="n">
        <x:v>7789</x:v>
      </x:c>
      <x:c r="H532" s="55" t="n">
        <x:v>2963</x:v>
      </x:c>
      <x:c r="I532" s="55" t="n">
        <x:v>1010</x:v>
      </x:c>
      <x:c r="J532" s="55" t="n">
        <x:v>121</x:v>
      </x:c>
      <x:c r="K532" s="55" t="n">
        <x:v>31266</x:v>
      </x:c>
      <x:c r="L532" s="55" t="n">
        <x:v>5183</x:v>
      </x:c>
      <x:c r="M532" s="55" t="n">
        <x:v>1435</x:v>
      </x:c>
      <x:c r="N532" s="55" t="n">
        <x:v>2259</x:v>
      </x:c>
      <x:c r="O532" s="55" t="n">
        <x:v>1489</x:v>
      </x:c>
      <x:c r="P532" s="55" t="n">
        <x:v>555</x:v>
      </x:c>
      <x:c r="Q532" s="55" t="n">
        <x:v>2313</x:v>
      </x:c>
      <x:c r="R532" s="55" t="n">
        <x:v>1659</x:v>
      </x:c>
      <x:c r="S532" s="55" t="n">
        <x:v>2992</x:v>
      </x:c>
      <x:c r="T532" s="55" t="n">
        <x:v>976</x:v>
      </x:c>
      <x:c r="U532" s="55" t="n">
        <x:v>1700</x:v>
      </x:c>
      <x:c r="V532" s="55" t="n">
        <x:v>10354</x:v>
      </x:c>
      <x:c r="W532" s="55" t="n">
        <x:v>7443</x:v>
      </x:c>
      <x:c r="X532" s="55" t="n">
        <x:v>2911</x:v>
      </x:c>
      <x:c r="Y532" s="55" t="n">
        <x:v>2312</x:v>
      </x:c>
      <x:c r="Z532" s="55" t="n">
        <x:v>2917</x:v>
      </x:c>
      <x:c r="AA532" s="55" t="n">
        <x:v>2908</x:v>
      </x:c>
      <x:c r="AB532" s="55" t="n">
        <x:v>877</x:v>
      </x:c>
      <x:c r="AC532" s="55" t="n">
        <x:v>7957</x:v>
      </x:c>
      <x:c r="AD532" s="55" t="n">
        <x:v>3269</x:v>
      </x:c>
      <x:c r="AE532" s="55" t="n">
        <x:v>10423</x:v>
      </x:c>
      <x:c r="AF532" s="55" t="n">
        <x:v>10354</x:v>
      </x:c>
      <x:c r="AG532" s="55" t="n">
        <x:v>69</x:v>
      </x:c>
      <x:c r="AH532" s="55" t="n">
        <x:v>591</x:v>
      </x:c>
      <x:c r="AI532" s="55" t="n">
        <x:v>9763</x:v>
      </x:c>
      <x:c r="AJ532" s="55" t="n">
        <x:v>424</x:v>
      </x:c>
      <x:c r="AK532" s="55" t="n">
        <x:v>1085</x:v>
      </x:c>
      <x:c r="AL532" s="55" t="n">
        <x:v>1840</x:v>
      </x:c>
      <x:c r="AM532" s="55" t="n">
        <x:v>4272</x:v>
      </x:c>
      <x:c r="AN532" s="55" t="n">
        <x:v>2704</x:v>
      </x:c>
      <x:c r="AO532" s="55" t="n">
        <x:v>29</x:v>
      </x:c>
      <x:c r="AP532" s="55" t="n">
        <x:v>1884</x:v>
      </x:c>
      <x:c r="AQ532" s="55" t="n">
        <x:v>940</x:v>
      </x:c>
    </x:row>
    <x:row r="533">
      <x:c r="A533" s="54" t="str">
        <x:v>T1_SHARED_CATCHMENT</x:v>
      </x:c>
      <x:c r="B533" s="54" t="n">
        <x:v>527</x:v>
      </x:c>
      <x:c r="C533" s="54" t="str">
        <x:v>NYC-V2-R01</x:v>
      </x:c>
      <x:c r="D533" s="54" t="str">
        <x:v>V2</x:v>
      </x:c>
      <x:c r="E533" s="54" t="str">
        <x:v>ADMITTED</x:v>
      </x:c>
      <x:c r="F533" s="55" t="n">
        <x:v>31605</x:v>
      </x:c>
      <x:c r="G533" s="55" t="n">
        <x:v>8033</x:v>
      </x:c>
      <x:c r="H533" s="55" t="n">
        <x:v>3284</x:v>
      </x:c>
      <x:c r="I533" s="55" t="n">
        <x:v>1129</x:v>
      </x:c>
      <x:c r="J533" s="55" t="n">
        <x:v>209</x:v>
      </x:c>
      <x:c r="K533" s="55" t="n">
        <x:v>31605</x:v>
      </x:c>
      <x:c r="L533" s="55" t="n">
        <x:v>6948</x:v>
      </x:c>
      <x:c r="M533" s="55" t="n">
        <x:v>1844</x:v>
      </x:c>
      <x:c r="N533" s="55" t="n">
        <x:v>3151</x:v>
      </x:c>
      <x:c r="O533" s="55" t="n">
        <x:v>1953</x:v>
      </x:c>
      <x:c r="P533" s="55" t="n">
        <x:v>865</x:v>
      </x:c>
      <x:c r="Q533" s="55" t="n">
        <x:v>1941</x:v>
      </x:c>
      <x:c r="R533" s="55" t="n">
        <x:v>2562</x:v>
      </x:c>
      <x:c r="S533" s="55" t="n">
        <x:v>2950</x:v>
      </x:c>
      <x:c r="T533" s="55" t="n">
        <x:v>1311</x:v>
      </x:c>
      <x:c r="U533" s="55" t="n">
        <x:v>2023</x:v>
      </x:c>
      <x:c r="V533" s="55" t="n">
        <x:v>10087</x:v>
      </x:c>
      <x:c r="W533" s="55" t="n">
        <x:v>7001</x:v>
      </x:c>
      <x:c r="X533" s="55" t="n">
        <x:v>3086</x:v>
      </x:c>
      <x:c r="Y533" s="55" t="n">
        <x:v>2648</x:v>
      </x:c>
      <x:c r="Z533" s="55" t="n">
        <x:v>3545</x:v>
      </x:c>
      <x:c r="AA533" s="55" t="n">
        <x:v>3284</x:v>
      </x:c>
      <x:c r="AB533" s="55" t="n">
        <x:v>1268</x:v>
      </x:c>
      <x:c r="AC533" s="55" t="n">
        <x:v>8537</x:v>
      </x:c>
      <x:c r="AD533" s="55" t="n">
        <x:v>2635</x:v>
      </x:c>
      <x:c r="AE533" s="55" t="n">
        <x:v>10190</x:v>
      </x:c>
      <x:c r="AF533" s="55" t="n">
        <x:v>10087</x:v>
      </x:c>
      <x:c r="AG533" s="55" t="n">
        <x:v>103</x:v>
      </x:c>
      <x:c r="AH533" s="55" t="n">
        <x:v>696</x:v>
      </x:c>
      <x:c r="AI533" s="55" t="n">
        <x:v>9391</x:v>
      </x:c>
      <x:c r="AJ533" s="55" t="n">
        <x:v>421</x:v>
      </x:c>
      <x:c r="AK533" s="55" t="n">
        <x:v>1095</x:v>
      </x:c>
      <x:c r="AL533" s="55" t="n">
        <x:v>1285</x:v>
      </x:c>
      <x:c r="AM533" s="55" t="n">
        <x:v>4322</x:v>
      </x:c>
      <x:c r="AN533" s="55" t="n">
        <x:v>2907</x:v>
      </x:c>
      <x:c r="AO533" s="55" t="n">
        <x:v>57</x:v>
      </x:c>
      <x:c r="AP533" s="55" t="n">
        <x:v>2312</x:v>
      </x:c>
      <x:c r="AQ533" s="55" t="n">
        <x:v>959</x:v>
      </x:c>
    </x:row>
    <x:row r="534">
      <x:c r="A534" s="54" t="str">
        <x:v>T1_SHARED_CATCHMENT</x:v>
      </x:c>
      <x:c r="B534" s="54" t="n">
        <x:v>528</x:v>
      </x:c>
      <x:c r="C534" s="54" t="str">
        <x:v>NYC-V2-R01</x:v>
      </x:c>
      <x:c r="D534" s="54" t="str">
        <x:v>V2</x:v>
      </x:c>
      <x:c r="E534" s="54" t="str">
        <x:v>ADMITTED</x:v>
      </x:c>
      <x:c r="F534" s="55" t="n">
        <x:v>33062</x:v>
      </x:c>
      <x:c r="G534" s="55" t="n">
        <x:v>7956</x:v>
      </x:c>
      <x:c r="H534" s="55" t="n">
        <x:v>3131</x:v>
      </x:c>
      <x:c r="I534" s="55" t="n">
        <x:v>1299</x:v>
      </x:c>
      <x:c r="J534" s="55" t="n">
        <x:v>394</x:v>
      </x:c>
      <x:c r="K534" s="55" t="n">
        <x:v>29777</x:v>
      </x:c>
      <x:c r="L534" s="55" t="n">
        <x:v>5775</x:v>
      </x:c>
      <x:c r="M534" s="55" t="n">
        <x:v>1028</x:v>
      </x:c>
      <x:c r="N534" s="55" t="n">
        <x:v>2680</x:v>
      </x:c>
      <x:c r="O534" s="55" t="n">
        <x:v>2067</x:v>
      </x:c>
      <x:c r="P534" s="55" t="n">
        <x:v>511</x:v>
      </x:c>
      <x:c r="Q534" s="55" t="n">
        <x:v>1948</x:v>
      </x:c>
      <x:c r="R534" s="55" t="n">
        <x:v>2372</x:v>
      </x:c>
      <x:c r="S534" s="55" t="n">
        <x:v>3215</x:v>
      </x:c>
      <x:c r="T534" s="55" t="n">
        <x:v>1095</x:v>
      </x:c>
      <x:c r="U534" s="55" t="n">
        <x:v>1977</x:v>
      </x:c>
      <x:c r="V534" s="55" t="n">
        <x:v>10228</x:v>
      </x:c>
      <x:c r="W534" s="55" t="n">
        <x:v>7458</x:v>
      </x:c>
      <x:c r="X534" s="55" t="n">
        <x:v>2770</x:v>
      </x:c>
      <x:c r="Y534" s="55" t="n">
        <x:v>2362</x:v>
      </x:c>
      <x:c r="Z534" s="55" t="n">
        <x:v>4254</x:v>
      </x:c>
      <x:c r="AA534" s="55" t="n">
        <x:v>2609</x:v>
      </x:c>
      <x:c r="AB534" s="55" t="n">
        <x:v>1123</x:v>
      </x:c>
      <x:c r="AC534" s="55" t="n">
        <x:v>8385</x:v>
      </x:c>
      <x:c r="AD534" s="55" t="n">
        <x:v>2602</x:v>
      </x:c>
      <x:c r="AE534" s="55" t="n">
        <x:v>10317</x:v>
      </x:c>
      <x:c r="AF534" s="55" t="n">
        <x:v>10228</x:v>
      </x:c>
      <x:c r="AG534" s="55" t="n">
        <x:v>89</x:v>
      </x:c>
      <x:c r="AH534" s="55" t="n">
        <x:v>387</x:v>
      </x:c>
      <x:c r="AI534" s="55" t="n">
        <x:v>9841</x:v>
      </x:c>
      <x:c r="AJ534" s="55" t="n">
        <x:v>339</x:v>
      </x:c>
      <x:c r="AK534" s="55" t="n">
        <x:v>1027</x:v>
      </x:c>
      <x:c r="AL534" s="55" t="n">
        <x:v>1083</x:v>
      </x:c>
      <x:c r="AM534" s="55" t="n">
        <x:v>5006</x:v>
      </x:c>
      <x:c r="AN534" s="55" t="n">
        <x:v>2750</x:v>
      </x:c>
      <x:c r="AO534" s="55" t="n">
        <x:v>23</x:v>
      </x:c>
      <x:c r="AP534" s="55" t="n">
        <x:v>2406</x:v>
      </x:c>
      <x:c r="AQ534" s="55" t="n">
        <x:v>1005</x:v>
      </x:c>
    </x:row>
    <x:row r="535">
      <x:c r="A535" s="54" t="str">
        <x:v>T1_SHARED_CATCHMENT</x:v>
      </x:c>
      <x:c r="B535" s="54" t="n">
        <x:v>529</x:v>
      </x:c>
      <x:c r="C535" s="54" t="str">
        <x:v>NYC-V2-R01</x:v>
      </x:c>
      <x:c r="D535" s="54" t="str">
        <x:v>V2</x:v>
      </x:c>
      <x:c r="E535" s="54" t="str">
        <x:v>ADMITTED</x:v>
      </x:c>
      <x:c r="F535" s="55" t="n">
        <x:v>31385</x:v>
      </x:c>
      <x:c r="G535" s="55" t="n">
        <x:v>8093</x:v>
      </x:c>
      <x:c r="H535" s="55" t="n">
        <x:v>3149</x:v>
      </x:c>
      <x:c r="I535" s="55" t="n">
        <x:v>1119</x:v>
      </x:c>
      <x:c r="J535" s="55" t="n">
        <x:v>157</x:v>
      </x:c>
      <x:c r="K535" s="55" t="n">
        <x:v>29798</x:v>
      </x:c>
      <x:c r="L535" s="55" t="n">
        <x:v>5404</x:v>
      </x:c>
      <x:c r="M535" s="55" t="n">
        <x:v>237</x:v>
      </x:c>
      <x:c r="N535" s="55" t="n">
        <x:v>3228</x:v>
      </x:c>
      <x:c r="O535" s="55" t="n">
        <x:v>1939</x:v>
      </x:c>
      <x:c r="P535" s="55" t="n">
        <x:v>1012</x:v>
      </x:c>
      <x:c r="Q535" s="55" t="n">
        <x:v>3238</x:v>
      </x:c>
      <x:c r="R535" s="55" t="n">
        <x:v>1850</x:v>
      </x:c>
      <x:c r="S535" s="55" t="n">
        <x:v>1915</x:v>
      </x:c>
      <x:c r="T535" s="55" t="n">
        <x:v>1540</x:v>
      </x:c>
      <x:c r="U535" s="55" t="n">
        <x:v>2542</x:v>
      </x:c>
      <x:c r="V535" s="55" t="n">
        <x:v>10852</x:v>
      </x:c>
      <x:c r="W535" s="55" t="n">
        <x:v>7657</x:v>
      </x:c>
      <x:c r="X535" s="55" t="n">
        <x:v>3195</x:v>
      </x:c>
      <x:c r="Y535" s="55" t="n">
        <x:v>2716</x:v>
      </x:c>
      <x:c r="Z535" s="55" t="n">
        <x:v>3379</x:v>
      </x:c>
      <x:c r="AA535" s="55" t="n">
        <x:v>3149</x:v>
      </x:c>
      <x:c r="AB535" s="55" t="n">
        <x:v>1049</x:v>
      </x:c>
      <x:c r="AC535" s="55" t="n">
        <x:v>8539</x:v>
      </x:c>
      <x:c r="AD535" s="55" t="n">
        <x:v>3327</x:v>
      </x:c>
      <x:c r="AE535" s="55" t="n">
        <x:v>10970</x:v>
      </x:c>
      <x:c r="AF535" s="55" t="n">
        <x:v>10852</x:v>
      </x:c>
      <x:c r="AG535" s="55" t="n">
        <x:v>118</x:v>
      </x:c>
      <x:c r="AH535" s="55" t="n">
        <x:v>474</x:v>
      </x:c>
      <x:c r="AI535" s="55" t="n">
        <x:v>10378</x:v>
      </x:c>
      <x:c r="AJ535" s="55" t="n">
        <x:v>154</x:v>
      </x:c>
      <x:c r="AK535" s="55" t="n">
        <x:v>1080</x:v>
      </x:c>
      <x:c r="AL535" s="55" t="n">
        <x:v>1447</x:v>
      </x:c>
      <x:c r="AM535" s="55" t="n">
        <x:v>5205</x:v>
      </x:c>
      <x:c r="AN535" s="55" t="n">
        <x:v>2877</x:v>
      </x:c>
      <x:c r="AO535" s="55" t="n">
        <x:v>89</x:v>
      </x:c>
      <x:c r="AP535" s="55" t="n">
        <x:v>2512</x:v>
      </x:c>
      <x:c r="AQ535" s="55" t="n">
        <x:v>969</x:v>
      </x:c>
    </x:row>
    <x:row r="536">
      <x:c r="A536" s="54" t="str">
        <x:v>T1_SHARED_CATCHMENT</x:v>
      </x:c>
      <x:c r="B536" s="54" t="n">
        <x:v>530</x:v>
      </x:c>
      <x:c r="C536" s="54" t="str">
        <x:v>NYC-V2-R01</x:v>
      </x:c>
      <x:c r="D536" s="54" t="str">
        <x:v>V2</x:v>
      </x:c>
      <x:c r="E536" s="54" t="str">
        <x:v>ADMITTED</x:v>
      </x:c>
      <x:c r="F536" s="55" t="n">
        <x:v>32275</x:v>
      </x:c>
      <x:c r="G536" s="55" t="n">
        <x:v>7228</x:v>
      </x:c>
      <x:c r="H536" s="55" t="n">
        <x:v>3279</x:v>
      </x:c>
      <x:c r="I536" s="55" t="n">
        <x:v>1447</x:v>
      </x:c>
      <x:c r="J536" s="55" t="n">
        <x:v>91</x:v>
      </x:c>
      <x:c r="K536" s="55" t="n">
        <x:v>32275</x:v>
      </x:c>
      <x:c r="L536" s="55" t="n">
        <x:v>5756</x:v>
      </x:c>
      <x:c r="M536" s="55" t="n">
        <x:v>1212</x:v>
      </x:c>
      <x:c r="N536" s="55" t="n">
        <x:v>2725</x:v>
      </x:c>
      <x:c r="O536" s="55" t="n">
        <x:v>1819</x:v>
      </x:c>
      <x:c r="P536" s="55" t="n">
        <x:v>719</x:v>
      </x:c>
      <x:c r="Q536" s="55" t="n">
        <x:v>2133</x:v>
      </x:c>
      <x:c r="R536" s="55" t="n">
        <x:v>1993</x:v>
      </x:c>
      <x:c r="S536" s="55" t="n">
        <x:v>2471</x:v>
      </x:c>
      <x:c r="T536" s="55" t="n">
        <x:v>1344</x:v>
      </x:c>
      <x:c r="U536" s="55" t="n">
        <x:v>2513</x:v>
      </x:c>
      <x:c r="V536" s="55" t="n">
        <x:v>10222</x:v>
      </x:c>
      <x:c r="W536" s="55" t="n">
        <x:v>7387</x:v>
      </x:c>
      <x:c r="X536" s="55" t="n">
        <x:v>2835</x:v>
      </x:c>
      <x:c r="Y536" s="55" t="n">
        <x:v>2518</x:v>
      </x:c>
      <x:c r="Z536" s="55" t="n">
        <x:v>3552</x:v>
      </x:c>
      <x:c r="AA536" s="55" t="n">
        <x:v>2695</x:v>
      </x:c>
      <x:c r="AB536" s="55" t="n">
        <x:v>1244</x:v>
      </x:c>
      <x:c r="AC536" s="55" t="n">
        <x:v>8147</x:v>
      </x:c>
      <x:c r="AD536" s="55" t="n">
        <x:v>2613</x:v>
      </x:c>
      <x:c r="AE536" s="55" t="n">
        <x:v>10306</x:v>
      </x:c>
      <x:c r="AF536" s="55" t="n">
        <x:v>10222</x:v>
      </x:c>
      <x:c r="AG536" s="55" t="n">
        <x:v>84</x:v>
      </x:c>
      <x:c r="AH536" s="55" t="n">
        <x:v>391</x:v>
      </x:c>
      <x:c r="AI536" s="55" t="n">
        <x:v>9831</x:v>
      </x:c>
      <x:c r="AJ536" s="55" t="n">
        <x:v>425</x:v>
      </x:c>
      <x:c r="AK536" s="55" t="n">
        <x:v>497</x:v>
      </x:c>
      <x:c r="AL536" s="55" t="n">
        <x:v>1798</x:v>
      </x:c>
      <x:c r="AM536" s="55" t="n">
        <x:v>4648</x:v>
      </x:c>
      <x:c r="AN536" s="55" t="n">
        <x:v>2854</x:v>
      </x:c>
      <x:c r="AO536" s="55" t="n">
        <x:v>0</x:v>
      </x:c>
      <x:c r="AP536" s="55" t="n">
        <x:v>2703</x:v>
      </x:c>
      <x:c r="AQ536" s="55" t="n">
        <x:v>924</x:v>
      </x:c>
    </x:row>
    <x:row r="537">
      <x:c r="A537" s="54" t="str">
        <x:v>T1_SHARED_CATCHMENT</x:v>
      </x:c>
      <x:c r="B537" s="54" t="n">
        <x:v>531</x:v>
      </x:c>
      <x:c r="C537" s="54" t="str">
        <x:v>NYC-V2-R01</x:v>
      </x:c>
      <x:c r="D537" s="54" t="str">
        <x:v>V2</x:v>
      </x:c>
      <x:c r="E537" s="54" t="str">
        <x:v>ADMITTED</x:v>
      </x:c>
      <x:c r="F537" s="55" t="n">
        <x:v>32352</x:v>
      </x:c>
      <x:c r="G537" s="55" t="n">
        <x:v>8086</x:v>
      </x:c>
      <x:c r="H537" s="55" t="n">
        <x:v>3280</x:v>
      </x:c>
      <x:c r="I537" s="55" t="n">
        <x:v>1455</x:v>
      </x:c>
      <x:c r="J537" s="55" t="n">
        <x:v>258</x:v>
      </x:c>
      <x:c r="K537" s="55" t="n">
        <x:v>32352</x:v>
      </x:c>
      <x:c r="L537" s="55" t="n">
        <x:v>6001</x:v>
      </x:c>
      <x:c r="M537" s="55" t="n">
        <x:v>1242</x:v>
      </x:c>
      <x:c r="N537" s="55" t="n">
        <x:v>2629</x:v>
      </x:c>
      <x:c r="O537" s="55" t="n">
        <x:v>2130</x:v>
      </x:c>
      <x:c r="P537" s="55" t="n">
        <x:v>849</x:v>
      </x:c>
      <x:c r="Q537" s="55" t="n">
        <x:v>2595</x:v>
      </x:c>
      <x:c r="R537" s="55" t="n">
        <x:v>2408</x:v>
      </x:c>
      <x:c r="S537" s="55" t="n">
        <x:v>3030</x:v>
      </x:c>
      <x:c r="T537" s="55" t="n">
        <x:v>894</x:v>
      </x:c>
      <x:c r="U537" s="55" t="n">
        <x:v>2309</x:v>
      </x:c>
      <x:c r="V537" s="55" t="n">
        <x:v>10485</x:v>
      </x:c>
      <x:c r="W537" s="55" t="n">
        <x:v>7176</x:v>
      </x:c>
      <x:c r="X537" s="55" t="n">
        <x:v>3309</x:v>
      </x:c>
      <x:c r="Y537" s="55" t="n">
        <x:v>2917</x:v>
      </x:c>
      <x:c r="Z537" s="55" t="n">
        <x:v>4111</x:v>
      </x:c>
      <x:c r="AA537" s="55" t="n">
        <x:v>3188</x:v>
      </x:c>
      <x:c r="AB537" s="55" t="n">
        <x:v>1089</x:v>
      </x:c>
      <x:c r="AC537" s="55" t="n">
        <x:v>8345</x:v>
      </x:c>
      <x:c r="AD537" s="55" t="n">
        <x:v>2685</x:v>
      </x:c>
      <x:c r="AE537" s="55" t="n">
        <x:v>10652</x:v>
      </x:c>
      <x:c r="AF537" s="55" t="n">
        <x:v>10485</x:v>
      </x:c>
      <x:c r="AG537" s="55" t="n">
        <x:v>167</x:v>
      </x:c>
      <x:c r="AH537" s="55" t="n">
        <x:v>641</x:v>
      </x:c>
      <x:c r="AI537" s="55" t="n">
        <x:v>9844</x:v>
      </x:c>
      <x:c r="AJ537" s="55" t="n">
        <x:v>290</x:v>
      </x:c>
      <x:c r="AK537" s="55" t="n">
        <x:v>1140</x:v>
      </x:c>
      <x:c r="AL537" s="55" t="n">
        <x:v>1729</x:v>
      </x:c>
      <x:c r="AM537" s="55" t="n">
        <x:v>5104</x:v>
      </x:c>
      <x:c r="AN537" s="55" t="n">
        <x:v>2122</x:v>
      </x:c>
      <x:c r="AO537" s="55" t="n">
        <x:v>100</x:v>
      </x:c>
      <x:c r="AP537" s="55" t="n">
        <x:v>2214</x:v>
      </x:c>
      <x:c r="AQ537" s="55" t="n">
        <x:v>922</x:v>
      </x:c>
    </x:row>
    <x:row r="538">
      <x:c r="A538" s="54" t="str">
        <x:v>T1_SHARED_CATCHMENT</x:v>
      </x:c>
      <x:c r="B538" s="54" t="n">
        <x:v>532</x:v>
      </x:c>
      <x:c r="C538" s="54" t="str">
        <x:v>NYC-V2-R01</x:v>
      </x:c>
      <x:c r="D538" s="54" t="str">
        <x:v>V2</x:v>
      </x:c>
      <x:c r="E538" s="54" t="str">
        <x:v>ADMITTED</x:v>
      </x:c>
      <x:c r="F538" s="55" t="n">
        <x:v>30542</x:v>
      </x:c>
      <x:c r="G538" s="55" t="n">
        <x:v>7347</x:v>
      </x:c>
      <x:c r="H538" s="55" t="n">
        <x:v>2986</x:v>
      </x:c>
      <x:c r="I538" s="55" t="n">
        <x:v>988</x:v>
      </x:c>
      <x:c r="J538" s="55" t="n">
        <x:v>81</x:v>
      </x:c>
      <x:c r="K538" s="55" t="n">
        <x:v>30218</x:v>
      </x:c>
      <x:c r="L538" s="55" t="n">
        <x:v>4367</x:v>
      </x:c>
      <x:c r="M538" s="55" t="n">
        <x:v>237</x:v>
      </x:c>
      <x:c r="N538" s="55" t="n">
        <x:v>2467</x:v>
      </x:c>
      <x:c r="O538" s="55" t="n">
        <x:v>1663</x:v>
      </x:c>
      <x:c r="P538" s="55" t="n">
        <x:v>514</x:v>
      </x:c>
      <x:c r="Q538" s="55" t="n">
        <x:v>1828</x:v>
      </x:c>
      <x:c r="R538" s="55" t="n">
        <x:v>1184</x:v>
      </x:c>
      <x:c r="S538" s="55" t="n">
        <x:v>2595</x:v>
      </x:c>
      <x:c r="T538" s="55" t="n">
        <x:v>1203</x:v>
      </x:c>
      <x:c r="U538" s="55" t="n">
        <x:v>1823</x:v>
      </x:c>
      <x:c r="V538" s="55" t="n">
        <x:v>10315</x:v>
      </x:c>
      <x:c r="W538" s="55" t="n">
        <x:v>7284</x:v>
      </x:c>
      <x:c r="X538" s="55" t="n">
        <x:v>3031</x:v>
      </x:c>
      <x:c r="Y538" s="55" t="n">
        <x:v>2446</x:v>
      </x:c>
      <x:c r="Z538" s="55" t="n">
        <x:v>3429</x:v>
      </x:c>
      <x:c r="AA538" s="55" t="n">
        <x:v>2830</x:v>
      </x:c>
      <x:c r="AB538" s="55" t="n">
        <x:v>750</x:v>
      </x:c>
      <x:c r="AC538" s="55" t="n">
        <x:v>7450</x:v>
      </x:c>
      <x:c r="AD538" s="55" t="n">
        <x:v>2558</x:v>
      </x:c>
      <x:c r="AE538" s="55" t="n">
        <x:v>10425</x:v>
      </x:c>
      <x:c r="AF538" s="55" t="n">
        <x:v>10315</x:v>
      </x:c>
      <x:c r="AG538" s="55" t="n">
        <x:v>110</x:v>
      </x:c>
      <x:c r="AH538" s="55" t="n">
        <x:v>132</x:v>
      </x:c>
      <x:c r="AI538" s="55" t="n">
        <x:v>10183</x:v>
      </x:c>
      <x:c r="AJ538" s="55" t="n">
        <x:v>251</x:v>
      </x:c>
      <x:c r="AK538" s="55" t="n">
        <x:v>748</x:v>
      </x:c>
      <x:c r="AL538" s="55" t="n">
        <x:v>1518</x:v>
      </x:c>
      <x:c r="AM538" s="55" t="n">
        <x:v>5229</x:v>
      </x:c>
      <x:c r="AN538" s="55" t="n">
        <x:v>2549</x:v>
      </x:c>
      <x:c r="AO538" s="55" t="n">
        <x:v>20</x:v>
      </x:c>
      <x:c r="AP538" s="55" t="n">
        <x:v>2305</x:v>
      </x:c>
      <x:c r="AQ538" s="55" t="n">
        <x:v>891</x:v>
      </x:c>
    </x:row>
    <x:row r="539">
      <x:c r="A539" s="54" t="str">
        <x:v>T1_SHARED_CATCHMENT</x:v>
      </x:c>
      <x:c r="B539" s="54" t="n">
        <x:v>533</x:v>
      </x:c>
      <x:c r="C539" s="54" t="str">
        <x:v>NYC-V2-R01</x:v>
      </x:c>
      <x:c r="D539" s="54" t="str">
        <x:v>V2</x:v>
      </x:c>
      <x:c r="E539" s="54" t="str">
        <x:v>ADMITTED</x:v>
      </x:c>
      <x:c r="F539" s="55" t="n">
        <x:v>29589</x:v>
      </x:c>
      <x:c r="G539" s="55" t="n">
        <x:v>7369</x:v>
      </x:c>
      <x:c r="H539" s="55" t="n">
        <x:v>2628</x:v>
      </x:c>
      <x:c r="I539" s="55" t="n">
        <x:v>831</x:v>
      </x:c>
      <x:c r="J539" s="55" t="n">
        <x:v>0</x:v>
      </x:c>
      <x:c r="K539" s="55" t="n">
        <x:v>29589</x:v>
      </x:c>
      <x:c r="L539" s="55" t="n">
        <x:v>5729</x:v>
      </x:c>
      <x:c r="M539" s="55" t="n">
        <x:v>1039</x:v>
      </x:c>
      <x:c r="N539" s="55" t="n">
        <x:v>2858</x:v>
      </x:c>
      <x:c r="O539" s="55" t="n">
        <x:v>1832</x:v>
      </x:c>
      <x:c r="P539" s="55" t="n">
        <x:v>471</x:v>
      </x:c>
      <x:c r="Q539" s="55" t="n">
        <x:v>1604</x:v>
      </x:c>
      <x:c r="R539" s="55" t="n">
        <x:v>1372</x:v>
      </x:c>
      <x:c r="S539" s="55" t="n">
        <x:v>2108</x:v>
      </x:c>
      <x:c r="T539" s="55" t="n">
        <x:v>888</x:v>
      </x:c>
      <x:c r="U539" s="55" t="n">
        <x:v>1560</x:v>
      </x:c>
      <x:c r="V539" s="55" t="n">
        <x:v>10387</x:v>
      </x:c>
      <x:c r="W539" s="55" t="n">
        <x:v>7840</x:v>
      </x:c>
      <x:c r="X539" s="55" t="n">
        <x:v>2547</x:v>
      </x:c>
      <x:c r="Y539" s="55" t="n">
        <x:v>2168</x:v>
      </x:c>
      <x:c r="Z539" s="55" t="n">
        <x:v>3693</x:v>
      </x:c>
      <x:c r="AA539" s="55" t="n">
        <x:v>2628</x:v>
      </x:c>
      <x:c r="AB539" s="55" t="n">
        <x:v>793</x:v>
      </x:c>
      <x:c r="AC539" s="55" t="n">
        <x:v>7152</x:v>
      </x:c>
      <x:c r="AD539" s="55" t="n">
        <x:v>1944</x:v>
      </x:c>
      <x:c r="AE539" s="55" t="n">
        <x:v>10388</x:v>
      </x:c>
      <x:c r="AF539" s="55" t="n">
        <x:v>10387</x:v>
      </x:c>
      <x:c r="AG539" s="55" t="n">
        <x:v>1</x:v>
      </x:c>
      <x:c r="AH539" s="55" t="n">
        <x:v>325</x:v>
      </x:c>
      <x:c r="AI539" s="55" t="n">
        <x:v>10062</x:v>
      </x:c>
      <x:c r="AJ539" s="55" t="n">
        <x:v>409</x:v>
      </x:c>
      <x:c r="AK539" s="55" t="n">
        <x:v>1219</x:v>
      </x:c>
      <x:c r="AL539" s="55" t="n">
        <x:v>1680</x:v>
      </x:c>
      <x:c r="AM539" s="55" t="n">
        <x:v>4461</x:v>
      </x:c>
      <x:c r="AN539" s="55" t="n">
        <x:v>2618</x:v>
      </x:c>
      <x:c r="AO539" s="55" t="n">
        <x:v>0</x:v>
      </x:c>
      <x:c r="AP539" s="55" t="n">
        <x:v>1992</x:v>
      </x:c>
      <x:c r="AQ539" s="55" t="n">
        <x:v>922</x:v>
      </x:c>
    </x:row>
    <x:row r="540">
      <x:c r="A540" s="54" t="str">
        <x:v>T1_SHARED_CATCHMENT</x:v>
      </x:c>
      <x:c r="B540" s="54" t="n">
        <x:v>534</x:v>
      </x:c>
      <x:c r="C540" s="54" t="str">
        <x:v>NYC-V2-R01</x:v>
      </x:c>
      <x:c r="D540" s="54" t="str">
        <x:v>V2</x:v>
      </x:c>
      <x:c r="E540" s="54" t="str">
        <x:v>ADMITTED</x:v>
      </x:c>
      <x:c r="F540" s="55" t="n">
        <x:v>33348</x:v>
      </x:c>
      <x:c r="G540" s="55" t="n">
        <x:v>7553</x:v>
      </x:c>
      <x:c r="H540" s="55" t="n">
        <x:v>3530</x:v>
      </x:c>
      <x:c r="I540" s="55" t="n">
        <x:v>1904</x:v>
      </x:c>
      <x:c r="J540" s="55" t="n">
        <x:v>269</x:v>
      </x:c>
      <x:c r="K540" s="55" t="n">
        <x:v>33348</x:v>
      </x:c>
      <x:c r="L540" s="55" t="n">
        <x:v>7278</x:v>
      </x:c>
      <x:c r="M540" s="55" t="n">
        <x:v>1948</x:v>
      </x:c>
      <x:c r="N540" s="55" t="n">
        <x:v>2957</x:v>
      </x:c>
      <x:c r="O540" s="55" t="n">
        <x:v>2373</x:v>
      </x:c>
      <x:c r="P540" s="55" t="n">
        <x:v>1246</x:v>
      </x:c>
      <x:c r="Q540" s="55" t="n">
        <x:v>3141</x:v>
      </x:c>
      <x:c r="R540" s="55" t="n">
        <x:v>2175</x:v>
      </x:c>
      <x:c r="S540" s="55" t="n">
        <x:v>3027</x:v>
      </x:c>
      <x:c r="T540" s="55" t="n">
        <x:v>1442</x:v>
      </x:c>
      <x:c r="U540" s="55" t="n">
        <x:v>2354</x:v>
      </x:c>
      <x:c r="V540" s="55" t="n">
        <x:v>11324</x:v>
      </x:c>
      <x:c r="W540" s="55" t="n">
        <x:v>8014</x:v>
      </x:c>
      <x:c r="X540" s="55" t="n">
        <x:v>3310</x:v>
      </x:c>
      <x:c r="Y540" s="55" t="n">
        <x:v>2758</x:v>
      </x:c>
      <x:c r="Z540" s="55" t="n">
        <x:v>3447</x:v>
      </x:c>
      <x:c r="AA540" s="55" t="n">
        <x:v>2841</x:v>
      </x:c>
      <x:c r="AB540" s="55" t="n">
        <x:v>1317</x:v>
      </x:c>
      <x:c r="AC540" s="55" t="n">
        <x:v>8184</x:v>
      </x:c>
      <x:c r="AD540" s="55" t="n">
        <x:v>3619</x:v>
      </x:c>
      <x:c r="AE540" s="55" t="n">
        <x:v>11339</x:v>
      </x:c>
      <x:c r="AF540" s="55" t="n">
        <x:v>11324</x:v>
      </x:c>
      <x:c r="AG540" s="55" t="n">
        <x:v>15</x:v>
      </x:c>
      <x:c r="AH540" s="55" t="n">
        <x:v>591</x:v>
      </x:c>
      <x:c r="AI540" s="55" t="n">
        <x:v>10733</x:v>
      </x:c>
      <x:c r="AJ540" s="55" t="n">
        <x:v>380</x:v>
      </x:c>
      <x:c r="AK540" s="55" t="n">
        <x:v>709</x:v>
      </x:c>
      <x:c r="AL540" s="55" t="n">
        <x:v>1609</x:v>
      </x:c>
      <x:c r="AM540" s="55" t="n">
        <x:v>5687</x:v>
      </x:c>
      <x:c r="AN540" s="55" t="n">
        <x:v>2939</x:v>
      </x:c>
      <x:c r="AO540" s="55" t="n">
        <x:v>0</x:v>
      </x:c>
      <x:c r="AP540" s="55" t="n">
        <x:v>2425</x:v>
      </x:c>
      <x:c r="AQ540" s="55" t="n">
        <x:v>922</x:v>
      </x:c>
    </x:row>
    <x:row r="541">
      <x:c r="A541" s="54" t="str">
        <x:v>T1_SHARED_CATCHMENT</x:v>
      </x:c>
      <x:c r="B541" s="54" t="n">
        <x:v>535</x:v>
      </x:c>
      <x:c r="C541" s="54" t="str">
        <x:v>NYC-V2-R01</x:v>
      </x:c>
      <x:c r="D541" s="54" t="str">
        <x:v>V2</x:v>
      </x:c>
      <x:c r="E541" s="54" t="str">
        <x:v>ADMITTED</x:v>
      </x:c>
      <x:c r="F541" s="55" t="n">
        <x:v>31903</x:v>
      </x:c>
      <x:c r="G541" s="55" t="n">
        <x:v>8756</x:v>
      </x:c>
      <x:c r="H541" s="55" t="n">
        <x:v>3785</x:v>
      </x:c>
      <x:c r="I541" s="55" t="n">
        <x:v>1677</x:v>
      </x:c>
      <x:c r="J541" s="55" t="n">
        <x:v>228</x:v>
      </x:c>
      <x:c r="K541" s="55" t="n">
        <x:v>31698</x:v>
      </x:c>
      <x:c r="L541" s="55" t="n">
        <x:v>6043</x:v>
      </x:c>
      <x:c r="M541" s="55" t="n">
        <x:v>1094</x:v>
      </x:c>
      <x:c r="N541" s="55" t="n">
        <x:v>2669</x:v>
      </x:c>
      <x:c r="O541" s="55" t="n">
        <x:v>2280</x:v>
      </x:c>
      <x:c r="P541" s="55" t="n">
        <x:v>1016</x:v>
      </x:c>
      <x:c r="Q541" s="55" t="n">
        <x:v>2620</x:v>
      </x:c>
      <x:c r="R541" s="55" t="n">
        <x:v>1723</x:v>
      </x:c>
      <x:c r="S541" s="55" t="n">
        <x:v>2665</x:v>
      </x:c>
      <x:c r="T541" s="55" t="n">
        <x:v>1388</x:v>
      </x:c>
      <x:c r="U541" s="55" t="n">
        <x:v>2444</x:v>
      </x:c>
      <x:c r="V541" s="55" t="n">
        <x:v>10658</x:v>
      </x:c>
      <x:c r="W541" s="55" t="n">
        <x:v>7554</x:v>
      </x:c>
      <x:c r="X541" s="55" t="n">
        <x:v>3104</x:v>
      </x:c>
      <x:c r="Y541" s="55" t="n">
        <x:v>2743</x:v>
      </x:c>
      <x:c r="Z541" s="55" t="n">
        <x:v>4070</x:v>
      </x:c>
      <x:c r="AA541" s="55" t="n">
        <x:v>3528</x:v>
      </x:c>
      <x:c r="AB541" s="55" t="n">
        <x:v>1453</x:v>
      </x:c>
      <x:c r="AC541" s="55" t="n">
        <x:v>7844</x:v>
      </x:c>
      <x:c r="AD541" s="55" t="n">
        <x:v>3525</x:v>
      </x:c>
      <x:c r="AE541" s="55" t="n">
        <x:v>10777</x:v>
      </x:c>
      <x:c r="AF541" s="55" t="n">
        <x:v>10658</x:v>
      </x:c>
      <x:c r="AG541" s="55" t="n">
        <x:v>119</x:v>
      </x:c>
      <x:c r="AH541" s="55" t="n">
        <x:v>724</x:v>
      </x:c>
      <x:c r="AI541" s="55" t="n">
        <x:v>9934</x:v>
      </x:c>
      <x:c r="AJ541" s="55" t="n">
        <x:v>338</x:v>
      </x:c>
      <x:c r="AK541" s="55" t="n">
        <x:v>1048</x:v>
      </x:c>
      <x:c r="AL541" s="55" t="n">
        <x:v>1848</x:v>
      </x:c>
      <x:c r="AM541" s="55" t="n">
        <x:v>4993</x:v>
      </x:c>
      <x:c r="AN541" s="55" t="n">
        <x:v>2349</x:v>
      </x:c>
      <x:c r="AO541" s="55" t="n">
        <x:v>82</x:v>
      </x:c>
      <x:c r="AP541" s="55" t="n">
        <x:v>1846</x:v>
      </x:c>
      <x:c r="AQ541" s="55" t="n">
        <x:v>980</x:v>
      </x:c>
    </x:row>
    <x:row r="542">
      <x:c r="A542" s="54" t="str">
        <x:v>T1_SHARED_CATCHMENT</x:v>
      </x:c>
      <x:c r="B542" s="54" t="n">
        <x:v>536</x:v>
      </x:c>
      <x:c r="C542" s="54" t="str">
        <x:v>NYC-V2-R01</x:v>
      </x:c>
      <x:c r="D542" s="54" t="str">
        <x:v>V2</x:v>
      </x:c>
      <x:c r="E542" s="54" t="str">
        <x:v>ADMITTED</x:v>
      </x:c>
      <x:c r="F542" s="55" t="n">
        <x:v>30881</x:v>
      </x:c>
      <x:c r="G542" s="55" t="n">
        <x:v>8064</x:v>
      </x:c>
      <x:c r="H542" s="55" t="n">
        <x:v>3442</x:v>
      </x:c>
      <x:c r="I542" s="55" t="n">
        <x:v>1238</x:v>
      </x:c>
      <x:c r="J542" s="55" t="n">
        <x:v>149</x:v>
      </x:c>
      <x:c r="K542" s="55" t="n">
        <x:v>28471</x:v>
      </x:c>
      <x:c r="L542" s="55" t="n">
        <x:v>4804</x:v>
      </x:c>
      <x:c r="M542" s="55" t="n">
        <x:v>599</x:v>
      </x:c>
      <x:c r="N542" s="55" t="n">
        <x:v>2286</x:v>
      </x:c>
      <x:c r="O542" s="55" t="n">
        <x:v>1919</x:v>
      </x:c>
      <x:c r="P542" s="55" t="n">
        <x:v>579</x:v>
      </x:c>
      <x:c r="Q542" s="55" t="n">
        <x:v>1597</x:v>
      </x:c>
      <x:c r="R542" s="55" t="n">
        <x:v>1751</x:v>
      </x:c>
      <x:c r="S542" s="55" t="n">
        <x:v>2503</x:v>
      </x:c>
      <x:c r="T542" s="55" t="n">
        <x:v>1075</x:v>
      </x:c>
      <x:c r="U542" s="55" t="n">
        <x:v>1640</x:v>
      </x:c>
      <x:c r="V542" s="55" t="n">
        <x:v>10846</x:v>
      </x:c>
      <x:c r="W542" s="55" t="n">
        <x:v>7913</x:v>
      </x:c>
      <x:c r="X542" s="55" t="n">
        <x:v>2933</x:v>
      </x:c>
      <x:c r="Y542" s="55" t="n">
        <x:v>2216</x:v>
      </x:c>
      <x:c r="Z542" s="55" t="n">
        <x:v>3991</x:v>
      </x:c>
      <x:c r="AA542" s="55" t="n">
        <x:v>3442</x:v>
      </x:c>
      <x:c r="AB542" s="55" t="n">
        <x:v>1287</x:v>
      </x:c>
      <x:c r="AC542" s="55" t="n">
        <x:v>7689</x:v>
      </x:c>
      <x:c r="AD542" s="55" t="n">
        <x:v>3352</x:v>
      </x:c>
      <x:c r="AE542" s="55" t="n">
        <x:v>10873</x:v>
      </x:c>
      <x:c r="AF542" s="55" t="n">
        <x:v>10846</x:v>
      </x:c>
      <x:c r="AG542" s="55" t="n">
        <x:v>27</x:v>
      </x:c>
      <x:c r="AH542" s="55" t="n">
        <x:v>129</x:v>
      </x:c>
      <x:c r="AI542" s="55" t="n">
        <x:v>10717</x:v>
      </x:c>
      <x:c r="AJ542" s="55" t="n">
        <x:v>369</x:v>
      </x:c>
      <x:c r="AK542" s="55" t="n">
        <x:v>1511</x:v>
      </x:c>
      <x:c r="AL542" s="55" t="n">
        <x:v>1278</x:v>
      </x:c>
      <x:c r="AM542" s="55" t="n">
        <x:v>5093</x:v>
      </x:c>
      <x:c r="AN542" s="55" t="n">
        <x:v>2560</x:v>
      </x:c>
      <x:c r="AO542" s="55" t="n">
        <x:v>35</x:v>
      </x:c>
      <x:c r="AP542" s="55" t="n">
        <x:v>2841</x:v>
      </x:c>
      <x:c r="AQ542" s="55" t="n">
        <x:v>948</x:v>
      </x:c>
    </x:row>
    <x:row r="543">
      <x:c r="A543" s="54" t="str">
        <x:v>T1_SHARED_CATCHMENT</x:v>
      </x:c>
      <x:c r="B543" s="54" t="n">
        <x:v>537</x:v>
      </x:c>
      <x:c r="C543" s="54" t="str">
        <x:v>NYC-V2-R01</x:v>
      </x:c>
      <x:c r="D543" s="54" t="str">
        <x:v>V2</x:v>
      </x:c>
      <x:c r="E543" s="54" t="str">
        <x:v>ADMITTED</x:v>
      </x:c>
      <x:c r="F543" s="55" t="n">
        <x:v>32093</x:v>
      </x:c>
      <x:c r="G543" s="55" t="n">
        <x:v>5867</x:v>
      </x:c>
      <x:c r="H543" s="55" t="n">
        <x:v>3092</x:v>
      </x:c>
      <x:c r="I543" s="55" t="n">
        <x:v>1186</x:v>
      </x:c>
      <x:c r="J543" s="55" t="n">
        <x:v>100</x:v>
      </x:c>
      <x:c r="K543" s="55" t="n">
        <x:v>32093</x:v>
      </x:c>
      <x:c r="L543" s="55" t="n">
        <x:v>7239</x:v>
      </x:c>
      <x:c r="M543" s="55" t="n">
        <x:v>2056</x:v>
      </x:c>
      <x:c r="N543" s="55" t="n">
        <x:v>3160</x:v>
      </x:c>
      <x:c r="O543" s="55" t="n">
        <x:v>2023</x:v>
      </x:c>
      <x:c r="P543" s="55" t="n">
        <x:v>748</x:v>
      </x:c>
      <x:c r="Q543" s="55" t="n">
        <x:v>3709</x:v>
      </x:c>
      <x:c r="R543" s="55" t="n">
        <x:v>1940</x:v>
      </x:c>
      <x:c r="S543" s="55" t="n">
        <x:v>2915</x:v>
      </x:c>
      <x:c r="T543" s="55" t="n">
        <x:v>1156</x:v>
      </x:c>
      <x:c r="U543" s="55" t="n">
        <x:v>1850</x:v>
      </x:c>
      <x:c r="V543" s="55" t="n">
        <x:v>11421</x:v>
      </x:c>
      <x:c r="W543" s="55" t="n">
        <x:v>7870</x:v>
      </x:c>
      <x:c r="X543" s="55" t="n">
        <x:v>3551</x:v>
      </x:c>
      <x:c r="Y543" s="55" t="n">
        <x:v>3054</x:v>
      </x:c>
      <x:c r="Z543" s="55" t="n">
        <x:v>4117</x:v>
      </x:c>
      <x:c r="AA543" s="55" t="n">
        <x:v>2895</x:v>
      </x:c>
      <x:c r="AB543" s="55" t="n">
        <x:v>1049</x:v>
      </x:c>
      <x:c r="AC543" s="55" t="n">
        <x:v>8017</x:v>
      </x:c>
      <x:c r="AD543" s="55" t="n">
        <x:v>2888</x:v>
      </x:c>
      <x:c r="AE543" s="55" t="n">
        <x:v>11502</x:v>
      </x:c>
      <x:c r="AF543" s="55" t="n">
        <x:v>11421</x:v>
      </x:c>
      <x:c r="AG543" s="55" t="n">
        <x:v>81</x:v>
      </x:c>
      <x:c r="AH543" s="55" t="n">
        <x:v>480</x:v>
      </x:c>
      <x:c r="AI543" s="55" t="n">
        <x:v>10941</x:v>
      </x:c>
      <x:c r="AJ543" s="55" t="n">
        <x:v>449</x:v>
      </x:c>
      <x:c r="AK543" s="55" t="n">
        <x:v>975</x:v>
      </x:c>
      <x:c r="AL543" s="55" t="n">
        <x:v>1342</x:v>
      </x:c>
      <x:c r="AM543" s="55" t="n">
        <x:v>5777</x:v>
      </x:c>
      <x:c r="AN543" s="55" t="n">
        <x:v>2849</x:v>
      </x:c>
      <x:c r="AO543" s="55" t="n">
        <x:v>29</x:v>
      </x:c>
      <x:c r="AP543" s="55" t="n">
        <x:v>2419</x:v>
      </x:c>
      <x:c r="AQ543" s="55" t="n">
        <x:v>962</x:v>
      </x:c>
    </x:row>
    <x:row r="544">
      <x:c r="A544" s="54" t="str">
        <x:v>T1_SHARED_CATCHMENT</x:v>
      </x:c>
      <x:c r="B544" s="54" t="n">
        <x:v>538</x:v>
      </x:c>
      <x:c r="C544" s="54" t="str">
        <x:v>NYC-V2-R01</x:v>
      </x:c>
      <x:c r="D544" s="54" t="str">
        <x:v>V2</x:v>
      </x:c>
      <x:c r="E544" s="54" t="str">
        <x:v>ADMITTED</x:v>
      </x:c>
      <x:c r="F544" s="55" t="n">
        <x:v>32836</x:v>
      </x:c>
      <x:c r="G544" s="55" t="n">
        <x:v>8805</x:v>
      </x:c>
      <x:c r="H544" s="55" t="n">
        <x:v>3215</x:v>
      </x:c>
      <x:c r="I544" s="55" t="n">
        <x:v>1546</x:v>
      </x:c>
      <x:c r="J544" s="55" t="n">
        <x:v>376</x:v>
      </x:c>
      <x:c r="K544" s="55" t="n">
        <x:v>31811</x:v>
      </x:c>
      <x:c r="L544" s="55" t="n">
        <x:v>6306</x:v>
      </x:c>
      <x:c r="M544" s="55" t="n">
        <x:v>1658</x:v>
      </x:c>
      <x:c r="N544" s="55" t="n">
        <x:v>2755</x:v>
      </x:c>
      <x:c r="O544" s="55" t="n">
        <x:v>1893</x:v>
      </x:c>
      <x:c r="P544" s="55" t="n">
        <x:v>1254</x:v>
      </x:c>
      <x:c r="Q544" s="55" t="n">
        <x:v>2320</x:v>
      </x:c>
      <x:c r="R544" s="55" t="n">
        <x:v>2151</x:v>
      </x:c>
      <x:c r="S544" s="55" t="n">
        <x:v>2533</x:v>
      </x:c>
      <x:c r="T544" s="55" t="n">
        <x:v>1067</x:v>
      </x:c>
      <x:c r="U544" s="55" t="n">
        <x:v>1756</x:v>
      </x:c>
      <x:c r="V544" s="55" t="n">
        <x:v>10382</x:v>
      </x:c>
      <x:c r="W544" s="55" t="n">
        <x:v>7209</x:v>
      </x:c>
      <x:c r="X544" s="55" t="n">
        <x:v>3173</x:v>
      </x:c>
      <x:c r="Y544" s="55" t="n">
        <x:v>2812</x:v>
      </x:c>
      <x:c r="Z544" s="55" t="n">
        <x:v>3550</x:v>
      </x:c>
      <x:c r="AA544" s="55" t="n">
        <x:v>3215</x:v>
      </x:c>
      <x:c r="AB544" s="55" t="n">
        <x:v>1318</x:v>
      </x:c>
      <x:c r="AC544" s="55" t="n">
        <x:v>8169</x:v>
      </x:c>
      <x:c r="AD544" s="55" t="n">
        <x:v>3328</x:v>
      </x:c>
      <x:c r="AE544" s="55" t="n">
        <x:v>10531</x:v>
      </x:c>
      <x:c r="AF544" s="55" t="n">
        <x:v>10382</x:v>
      </x:c>
      <x:c r="AG544" s="55" t="n">
        <x:v>149</x:v>
      </x:c>
      <x:c r="AH544" s="55" t="n">
        <x:v>286</x:v>
      </x:c>
      <x:c r="AI544" s="55" t="n">
        <x:v>10096</x:v>
      </x:c>
      <x:c r="AJ544" s="55" t="n">
        <x:v>415</x:v>
      </x:c>
      <x:c r="AK544" s="55" t="n">
        <x:v>1554</x:v>
      </x:c>
      <x:c r="AL544" s="55" t="n">
        <x:v>1327</x:v>
      </x:c>
      <x:c r="AM544" s="55" t="n">
        <x:v>4706</x:v>
      </x:c>
      <x:c r="AN544" s="55" t="n">
        <x:v>2315</x:v>
      </x:c>
      <x:c r="AO544" s="55" t="n">
        <x:v>65</x:v>
      </x:c>
      <x:c r="AP544" s="55" t="n">
        <x:v>2472</x:v>
      </x:c>
      <x:c r="AQ544" s="55" t="n">
        <x:v>952</x:v>
      </x:c>
    </x:row>
    <x:row r="545">
      <x:c r="A545" s="54" t="str">
        <x:v>T1_SHARED_CATCHMENT</x:v>
      </x:c>
      <x:c r="B545" s="54" t="n">
        <x:v>539</x:v>
      </x:c>
      <x:c r="C545" s="54" t="str">
        <x:v>NYC-V2-R01</x:v>
      </x:c>
      <x:c r="D545" s="54" t="str">
        <x:v>V2</x:v>
      </x:c>
      <x:c r="E545" s="54" t="str">
        <x:v>ADMITTED</x:v>
      </x:c>
      <x:c r="F545" s="55" t="n">
        <x:v>32094</x:v>
      </x:c>
      <x:c r="G545" s="55" t="n">
        <x:v>8145</x:v>
      </x:c>
      <x:c r="H545" s="55" t="n">
        <x:v>3870</x:v>
      </x:c>
      <x:c r="I545" s="55" t="n">
        <x:v>1475</x:v>
      </x:c>
      <x:c r="J545" s="55" t="n">
        <x:v>207</x:v>
      </x:c>
      <x:c r="K545" s="55" t="n">
        <x:v>27994</x:v>
      </x:c>
      <x:c r="L545" s="55" t="n">
        <x:v>4744</x:v>
      </x:c>
      <x:c r="M545" s="55" t="n">
        <x:v>0</x:v>
      </x:c>
      <x:c r="N545" s="55" t="n">
        <x:v>2871</x:v>
      </x:c>
      <x:c r="O545" s="55" t="n">
        <x:v>1873</x:v>
      </x:c>
      <x:c r="P545" s="55" t="n">
        <x:v>504</x:v>
      </x:c>
      <x:c r="Q545" s="55" t="n">
        <x:v>1561</x:v>
      </x:c>
      <x:c r="R545" s="55" t="n">
        <x:v>1632</x:v>
      </x:c>
      <x:c r="S545" s="55" t="n">
        <x:v>2242</x:v>
      </x:c>
      <x:c r="T545" s="55" t="n">
        <x:v>1068</x:v>
      </x:c>
      <x:c r="U545" s="55" t="n">
        <x:v>2551</x:v>
      </x:c>
      <x:c r="V545" s="55" t="n">
        <x:v>10715</x:v>
      </x:c>
      <x:c r="W545" s="55" t="n">
        <x:v>7315</x:v>
      </x:c>
      <x:c r="X545" s="55" t="n">
        <x:v>3400</x:v>
      </x:c>
      <x:c r="Y545" s="55" t="n">
        <x:v>2813</x:v>
      </x:c>
      <x:c r="Z545" s="55" t="n">
        <x:v>3931</x:v>
      </x:c>
      <x:c r="AA545" s="55" t="n">
        <x:v>3870</x:v>
      </x:c>
      <x:c r="AB545" s="55" t="n">
        <x:v>1455</x:v>
      </x:c>
      <x:c r="AC545" s="55" t="n">
        <x:v>7208</x:v>
      </x:c>
      <x:c r="AD545" s="55" t="n">
        <x:v>2345</x:v>
      </x:c>
      <x:c r="AE545" s="55" t="n">
        <x:v>10815</x:v>
      </x:c>
      <x:c r="AF545" s="55" t="n">
        <x:v>10715</x:v>
      </x:c>
      <x:c r="AG545" s="55" t="n">
        <x:v>100</x:v>
      </x:c>
      <x:c r="AH545" s="55" t="n">
        <x:v>505</x:v>
      </x:c>
      <x:c r="AI545" s="55" t="n">
        <x:v>10210</x:v>
      </x:c>
      <x:c r="AJ545" s="55" t="n">
        <x:v>438</x:v>
      </x:c>
      <x:c r="AK545" s="55" t="n">
        <x:v>1319</x:v>
      </x:c>
      <x:c r="AL545" s="55" t="n">
        <x:v>1600</x:v>
      </x:c>
      <x:c r="AM545" s="55" t="n">
        <x:v>4747</x:v>
      </x:c>
      <x:c r="AN545" s="55" t="n">
        <x:v>2562</x:v>
      </x:c>
      <x:c r="AO545" s="55" t="n">
        <x:v>49</x:v>
      </x:c>
      <x:c r="AP545" s="55" t="n">
        <x:v>2491</x:v>
      </x:c>
      <x:c r="AQ545" s="55" t="n">
        <x:v>935</x:v>
      </x:c>
    </x:row>
    <x:row r="546">
      <x:c r="A546" s="54" t="str">
        <x:v>T1_SHARED_CATCHMENT</x:v>
      </x:c>
      <x:c r="B546" s="54" t="n">
        <x:v>540</x:v>
      </x:c>
      <x:c r="C546" s="54" t="str">
        <x:v>NYC-V2-R01</x:v>
      </x:c>
      <x:c r="D546" s="54" t="str">
        <x:v>V2</x:v>
      </x:c>
      <x:c r="E546" s="54" t="str">
        <x:v>ADMITTED</x:v>
      </x:c>
      <x:c r="F546" s="55" t="n">
        <x:v>32570</x:v>
      </x:c>
      <x:c r="G546" s="55" t="n">
        <x:v>5987</x:v>
      </x:c>
      <x:c r="H546" s="55" t="n">
        <x:v>3522</x:v>
      </x:c>
      <x:c r="I546" s="55" t="n">
        <x:v>1435</x:v>
      </x:c>
      <x:c r="J546" s="55" t="n">
        <x:v>317</x:v>
      </x:c>
      <x:c r="K546" s="55" t="n">
        <x:v>32570</x:v>
      </x:c>
      <x:c r="L546" s="55" t="n">
        <x:v>6294</x:v>
      </x:c>
      <x:c r="M546" s="55" t="n">
        <x:v>2145</x:v>
      </x:c>
      <x:c r="N546" s="55" t="n">
        <x:v>2470</x:v>
      </x:c>
      <x:c r="O546" s="55" t="n">
        <x:v>1679</x:v>
      </x:c>
      <x:c r="P546" s="55" t="n">
        <x:v>603</x:v>
      </x:c>
      <x:c r="Q546" s="55" t="n">
        <x:v>2691</x:v>
      </x:c>
      <x:c r="R546" s="55" t="n">
        <x:v>2076</x:v>
      </x:c>
      <x:c r="S546" s="55" t="n">
        <x:v>3011</x:v>
      </x:c>
      <x:c r="T546" s="55" t="n">
        <x:v>1088</x:v>
      </x:c>
      <x:c r="U546" s="55" t="n">
        <x:v>1753</x:v>
      </x:c>
      <x:c r="V546" s="55" t="n">
        <x:v>10225</x:v>
      </x:c>
      <x:c r="W546" s="55" t="n">
        <x:v>7053</x:v>
      </x:c>
      <x:c r="X546" s="55" t="n">
        <x:v>3172</x:v>
      </x:c>
      <x:c r="Y546" s="55" t="n">
        <x:v>2762</x:v>
      </x:c>
      <x:c r="Z546" s="55" t="n">
        <x:v>3217</x:v>
      </x:c>
      <x:c r="AA546" s="55" t="n">
        <x:v>2477</x:v>
      </x:c>
      <x:c r="AB546" s="55" t="n">
        <x:v>1008</x:v>
      </x:c>
      <x:c r="AC546" s="55" t="n">
        <x:v>7952</x:v>
      </x:c>
      <x:c r="AD546" s="55" t="n">
        <x:v>2863</x:v>
      </x:c>
      <x:c r="AE546" s="55" t="n">
        <x:v>10342</x:v>
      </x:c>
      <x:c r="AF546" s="55" t="n">
        <x:v>10225</x:v>
      </x:c>
      <x:c r="AG546" s="55" t="n">
        <x:v>117</x:v>
      </x:c>
      <x:c r="AH546" s="55" t="n">
        <x:v>471</x:v>
      </x:c>
      <x:c r="AI546" s="55" t="n">
        <x:v>9754</x:v>
      </x:c>
      <x:c r="AJ546" s="55" t="n">
        <x:v>399</x:v>
      </x:c>
      <x:c r="AK546" s="55" t="n">
        <x:v>547</x:v>
      </x:c>
      <x:c r="AL546" s="55" t="n">
        <x:v>1579</x:v>
      </x:c>
      <x:c r="AM546" s="55" t="n">
        <x:v>5043</x:v>
      </x:c>
      <x:c r="AN546" s="55" t="n">
        <x:v>2657</x:v>
      </x:c>
      <x:c r="AO546" s="55" t="n">
        <x:v>0</x:v>
      </x:c>
      <x:c r="AP546" s="55" t="n">
        <x:v>2371</x:v>
      </x:c>
      <x:c r="AQ546" s="55" t="n">
        <x:v>944</x:v>
      </x:c>
    </x:row>
    <x:row r="547">
      <x:c r="A547" s="54" t="str">
        <x:v>T1_SHARED_CATCHMENT</x:v>
      </x:c>
      <x:c r="B547" s="54" t="n">
        <x:v>541</x:v>
      </x:c>
      <x:c r="C547" s="54" t="str">
        <x:v>NYC-V2-R01</x:v>
      </x:c>
      <x:c r="D547" s="54" t="str">
        <x:v>V2</x:v>
      </x:c>
      <x:c r="E547" s="54" t="str">
        <x:v>ADMITTED</x:v>
      </x:c>
      <x:c r="F547" s="55" t="n">
        <x:v>35086</x:v>
      </x:c>
      <x:c r="G547" s="55" t="n">
        <x:v>7800</x:v>
      </x:c>
      <x:c r="H547" s="55" t="n">
        <x:v>3763</x:v>
      </x:c>
      <x:c r="I547" s="55" t="n">
        <x:v>1451</x:v>
      </x:c>
      <x:c r="J547" s="55" t="n">
        <x:v>283</x:v>
      </x:c>
      <x:c r="K547" s="55" t="n">
        <x:v>35086</x:v>
      </x:c>
      <x:c r="L547" s="55" t="n">
        <x:v>7179</x:v>
      </x:c>
      <x:c r="M547" s="55" t="n">
        <x:v>2490</x:v>
      </x:c>
      <x:c r="N547" s="55" t="n">
        <x:v>3132</x:v>
      </x:c>
      <x:c r="O547" s="55" t="n">
        <x:v>1557</x:v>
      </x:c>
      <x:c r="P547" s="55" t="n">
        <x:v>702</x:v>
      </x:c>
      <x:c r="Q547" s="55" t="n">
        <x:v>2248</x:v>
      </x:c>
      <x:c r="R547" s="55" t="n">
        <x:v>2166</x:v>
      </x:c>
      <x:c r="S547" s="55" t="n">
        <x:v>2707</x:v>
      </x:c>
      <x:c r="T547" s="55" t="n">
        <x:v>1415</x:v>
      </x:c>
      <x:c r="U547" s="55" t="n">
        <x:v>1572</x:v>
      </x:c>
      <x:c r="V547" s="55" t="n">
        <x:v>10391</x:v>
      </x:c>
      <x:c r="W547" s="55" t="n">
        <x:v>7189</x:v>
      </x:c>
      <x:c r="X547" s="55" t="n">
        <x:v>3202</x:v>
      </x:c>
      <x:c r="Y547" s="55" t="n">
        <x:v>2825</x:v>
      </x:c>
      <x:c r="Z547" s="55" t="n">
        <x:v>3862</x:v>
      </x:c>
      <x:c r="AA547" s="55" t="n">
        <x:v>3111</x:v>
      </x:c>
      <x:c r="AB547" s="55" t="n">
        <x:v>1141</x:v>
      </x:c>
      <x:c r="AC547" s="55" t="n">
        <x:v>8596</x:v>
      </x:c>
      <x:c r="AD547" s="55" t="n">
        <x:v>2569</x:v>
      </x:c>
      <x:c r="AE547" s="55" t="n">
        <x:v>10498</x:v>
      </x:c>
      <x:c r="AF547" s="55" t="n">
        <x:v>10391</x:v>
      </x:c>
      <x:c r="AG547" s="55" t="n">
        <x:v>107</x:v>
      </x:c>
      <x:c r="AH547" s="55" t="n">
        <x:v>482</x:v>
      </x:c>
      <x:c r="AI547" s="55" t="n">
        <x:v>9909</x:v>
      </x:c>
      <x:c r="AJ547" s="55" t="n">
        <x:v>333</x:v>
      </x:c>
      <x:c r="AK547" s="55" t="n">
        <x:v>1220</x:v>
      </x:c>
      <x:c r="AL547" s="55" t="n">
        <x:v>1151</x:v>
      </x:c>
      <x:c r="AM547" s="55" t="n">
        <x:v>4562</x:v>
      </x:c>
      <x:c r="AN547" s="55" t="n">
        <x:v>3125</x:v>
      </x:c>
      <x:c r="AO547" s="55" t="n">
        <x:v>0</x:v>
      </x:c>
      <x:c r="AP547" s="55" t="n">
        <x:v>2413</x:v>
      </x:c>
      <x:c r="AQ547" s="55" t="n">
        <x:v>907</x:v>
      </x:c>
    </x:row>
    <x:row r="548">
      <x:c r="A548" s="54" t="str">
        <x:v>T1_SHARED_CATCHMENT</x:v>
      </x:c>
      <x:c r="B548" s="54" t="n">
        <x:v>542</x:v>
      </x:c>
      <x:c r="C548" s="54" t="str">
        <x:v>NYC-V2-R01</x:v>
      </x:c>
      <x:c r="D548" s="54" t="str">
        <x:v>V2</x:v>
      </x:c>
      <x:c r="E548" s="54" t="str">
        <x:v>ADMITTED</x:v>
      </x:c>
      <x:c r="F548" s="55" t="n">
        <x:v>31477</x:v>
      </x:c>
      <x:c r="G548" s="55" t="n">
        <x:v>7804</x:v>
      </x:c>
      <x:c r="H548" s="55" t="n">
        <x:v>3266</x:v>
      </x:c>
      <x:c r="I548" s="55" t="n">
        <x:v>1587</x:v>
      </x:c>
      <x:c r="J548" s="55" t="n">
        <x:v>246</x:v>
      </x:c>
      <x:c r="K548" s="55" t="n">
        <x:v>31477</x:v>
      </x:c>
      <x:c r="L548" s="55" t="n">
        <x:v>6671</x:v>
      </x:c>
      <x:c r="M548" s="55" t="n">
        <x:v>1685</x:v>
      </x:c>
      <x:c r="N548" s="55" t="n">
        <x:v>2954</x:v>
      </x:c>
      <x:c r="O548" s="55" t="n">
        <x:v>2032</x:v>
      </x:c>
      <x:c r="P548" s="55" t="n">
        <x:v>711</x:v>
      </x:c>
      <x:c r="Q548" s="55" t="n">
        <x:v>3167</x:v>
      </x:c>
      <x:c r="R548" s="55" t="n">
        <x:v>1982</x:v>
      </x:c>
      <x:c r="S548" s="55" t="n">
        <x:v>2824</x:v>
      </x:c>
      <x:c r="T548" s="55" t="n">
        <x:v>954</x:v>
      </x:c>
      <x:c r="U548" s="55" t="n">
        <x:v>1837</x:v>
      </x:c>
      <x:c r="V548" s="55" t="n">
        <x:v>10208</x:v>
      </x:c>
      <x:c r="W548" s="55" t="n">
        <x:v>7149</x:v>
      </x:c>
      <x:c r="X548" s="55" t="n">
        <x:v>3059</x:v>
      </x:c>
      <x:c r="Y548" s="55" t="n">
        <x:v>2713</x:v>
      </x:c>
      <x:c r="Z548" s="55" t="n">
        <x:v>3963</x:v>
      </x:c>
      <x:c r="AA548" s="55" t="n">
        <x:v>3088</x:v>
      </x:c>
      <x:c r="AB548" s="55" t="n">
        <x:v>953</x:v>
      </x:c>
      <x:c r="AC548" s="55" t="n">
        <x:v>8469</x:v>
      </x:c>
      <x:c r="AD548" s="55" t="n">
        <x:v>2200</x:v>
      </x:c>
      <x:c r="AE548" s="55" t="n">
        <x:v>10291</x:v>
      </x:c>
      <x:c r="AF548" s="55" t="n">
        <x:v>10208</x:v>
      </x:c>
      <x:c r="AG548" s="55" t="n">
        <x:v>83</x:v>
      </x:c>
      <x:c r="AH548" s="55" t="n">
        <x:v>447</x:v>
      </x:c>
      <x:c r="AI548" s="55" t="n">
        <x:v>9761</x:v>
      </x:c>
      <x:c r="AJ548" s="55" t="n">
        <x:v>637</x:v>
      </x:c>
      <x:c r="AK548" s="55" t="n">
        <x:v>1038</x:v>
      </x:c>
      <x:c r="AL548" s="55" t="n">
        <x:v>1337</x:v>
      </x:c>
      <x:c r="AM548" s="55" t="n">
        <x:v>4817</x:v>
      </x:c>
      <x:c r="AN548" s="55" t="n">
        <x:v>2276</x:v>
      </x:c>
      <x:c r="AO548" s="55" t="n">
        <x:v>103</x:v>
      </x:c>
      <x:c r="AP548" s="55" t="n">
        <x:v>2178</x:v>
      </x:c>
      <x:c r="AQ548" s="55" t="n">
        <x:v>985</x:v>
      </x:c>
    </x:row>
    <x:row r="549">
      <x:c r="A549" s="54" t="str">
        <x:v>T1_SHARED_CATCHMENT</x:v>
      </x:c>
      <x:c r="B549" s="54" t="n">
        <x:v>543</x:v>
      </x:c>
      <x:c r="C549" s="54" t="str">
        <x:v>NYC-V2-R01</x:v>
      </x:c>
      <x:c r="D549" s="54" t="str">
        <x:v>V2</x:v>
      </x:c>
      <x:c r="E549" s="54" t="str">
        <x:v>ADMITTED</x:v>
      </x:c>
      <x:c r="F549" s="55" t="n">
        <x:v>30956</x:v>
      </x:c>
      <x:c r="G549" s="55" t="n">
        <x:v>6937</x:v>
      </x:c>
      <x:c r="H549" s="55" t="n">
        <x:v>4013</x:v>
      </x:c>
      <x:c r="I549" s="55" t="n">
        <x:v>1476</x:v>
      </x:c>
      <x:c r="J549" s="55" t="n">
        <x:v>404</x:v>
      </x:c>
      <x:c r="K549" s="55" t="n">
        <x:v>28171</x:v>
      </x:c>
      <x:c r="L549" s="55" t="n">
        <x:v>5235</x:v>
      </x:c>
      <x:c r="M549" s="55" t="n">
        <x:v>0</x:v>
      </x:c>
      <x:c r="N549" s="55" t="n">
        <x:v>3202</x:v>
      </x:c>
      <x:c r="O549" s="55" t="n">
        <x:v>2033</x:v>
      </x:c>
      <x:c r="P549" s="55" t="n">
        <x:v>660</x:v>
      </x:c>
      <x:c r="Q549" s="55" t="n">
        <x:v>3122</x:v>
      </x:c>
      <x:c r="R549" s="55" t="n">
        <x:v>1852</x:v>
      </x:c>
      <x:c r="S549" s="55" t="n">
        <x:v>3561</x:v>
      </x:c>
      <x:c r="T549" s="55" t="n">
        <x:v>1480</x:v>
      </x:c>
      <x:c r="U549" s="55" t="n">
        <x:v>2784</x:v>
      </x:c>
      <x:c r="V549" s="55" t="n">
        <x:v>10627</x:v>
      </x:c>
      <x:c r="W549" s="55" t="n">
        <x:v>7076</x:v>
      </x:c>
      <x:c r="X549" s="55" t="n">
        <x:v>3551</x:v>
      </x:c>
      <x:c r="Y549" s="55" t="n">
        <x:v>2979</x:v>
      </x:c>
      <x:c r="Z549" s="55" t="n">
        <x:v>3839</x:v>
      </x:c>
      <x:c r="AA549" s="55" t="n">
        <x:v>3083</x:v>
      </x:c>
      <x:c r="AB549" s="55" t="n">
        <x:v>1122</x:v>
      </x:c>
      <x:c r="AC549" s="55" t="n">
        <x:v>8299</x:v>
      </x:c>
      <x:c r="AD549" s="55" t="n">
        <x:v>3513</x:v>
      </x:c>
      <x:c r="AE549" s="55" t="n">
        <x:v>10747</x:v>
      </x:c>
      <x:c r="AF549" s="55" t="n">
        <x:v>10627</x:v>
      </x:c>
      <x:c r="AG549" s="55" t="n">
        <x:v>120</x:v>
      </x:c>
      <x:c r="AH549" s="55" t="n">
        <x:v>131</x:v>
      </x:c>
      <x:c r="AI549" s="55" t="n">
        <x:v>10496</x:v>
      </x:c>
      <x:c r="AJ549" s="55" t="n">
        <x:v>283</x:v>
      </x:c>
      <x:c r="AK549" s="55" t="n">
        <x:v>1168</x:v>
      </x:c>
      <x:c r="AL549" s="55" t="n">
        <x:v>1617</x:v>
      </x:c>
      <x:c r="AM549" s="55" t="n">
        <x:v>4828</x:v>
      </x:c>
      <x:c r="AN549" s="55" t="n">
        <x:v>2697</x:v>
      </x:c>
      <x:c r="AO549" s="55" t="n">
        <x:v>34</x:v>
      </x:c>
      <x:c r="AP549" s="55" t="n">
        <x:v>2495</x:v>
      </x:c>
      <x:c r="AQ549" s="55" t="n">
        <x:v>930</x:v>
      </x:c>
    </x:row>
    <x:row r="550">
      <x:c r="A550" s="54" t="str">
        <x:v>T1_SHARED_CATCHMENT</x:v>
      </x:c>
      <x:c r="B550" s="54" t="n">
        <x:v>544</x:v>
      </x:c>
      <x:c r="C550" s="54" t="str">
        <x:v>NYC-V2-R01</x:v>
      </x:c>
      <x:c r="D550" s="54" t="str">
        <x:v>V2</x:v>
      </x:c>
      <x:c r="E550" s="54" t="str">
        <x:v>ADMITTED</x:v>
      </x:c>
      <x:c r="F550" s="55" t="n">
        <x:v>30856</x:v>
      </x:c>
      <x:c r="G550" s="55" t="n">
        <x:v>7839</x:v>
      </x:c>
      <x:c r="H550" s="55" t="n">
        <x:v>3195</x:v>
      </x:c>
      <x:c r="I550" s="55" t="n">
        <x:v>1150</x:v>
      </x:c>
      <x:c r="J550" s="55" t="n">
        <x:v>138</x:v>
      </x:c>
      <x:c r="K550" s="55" t="n">
        <x:v>29755</x:v>
      </x:c>
      <x:c r="L550" s="55" t="n">
        <x:v>4180</x:v>
      </x:c>
      <x:c r="M550" s="55" t="n">
        <x:v>220</x:v>
      </x:c>
      <x:c r="N550" s="55" t="n">
        <x:v>2317</x:v>
      </x:c>
      <x:c r="O550" s="55" t="n">
        <x:v>1643</x:v>
      </x:c>
      <x:c r="P550" s="55" t="n">
        <x:v>771</x:v>
      </x:c>
      <x:c r="Q550" s="55" t="n">
        <x:v>2719</x:v>
      </x:c>
      <x:c r="R550" s="55" t="n">
        <x:v>1767</x:v>
      </x:c>
      <x:c r="S550" s="55" t="n">
        <x:v>2197</x:v>
      </x:c>
      <x:c r="T550" s="55" t="n">
        <x:v>1436</x:v>
      </x:c>
      <x:c r="U550" s="55" t="n">
        <x:v>1928</x:v>
      </x:c>
      <x:c r="V550" s="55" t="n">
        <x:v>10247</x:v>
      </x:c>
      <x:c r="W550" s="55" t="n">
        <x:v>7128</x:v>
      </x:c>
      <x:c r="X550" s="55" t="n">
        <x:v>3119</x:v>
      </x:c>
      <x:c r="Y550" s="55" t="n">
        <x:v>2693</x:v>
      </x:c>
      <x:c r="Z550" s="55" t="n">
        <x:v>3425</x:v>
      </x:c>
      <x:c r="AA550" s="55" t="n">
        <x:v>2638</x:v>
      </x:c>
      <x:c r="AB550" s="55" t="n">
        <x:v>1093</x:v>
      </x:c>
      <x:c r="AC550" s="55" t="n">
        <x:v>7816</x:v>
      </x:c>
      <x:c r="AD550" s="55" t="n">
        <x:v>2123</x:v>
      </x:c>
      <x:c r="AE550" s="55" t="n">
        <x:v>10295</x:v>
      </x:c>
      <x:c r="AF550" s="55" t="n">
        <x:v>10247</x:v>
      </x:c>
      <x:c r="AG550" s="55" t="n">
        <x:v>48</x:v>
      </x:c>
      <x:c r="AH550" s="55" t="n">
        <x:v>483</x:v>
      </x:c>
      <x:c r="AI550" s="55" t="n">
        <x:v>9764</x:v>
      </x:c>
      <x:c r="AJ550" s="55" t="n">
        <x:v>165</x:v>
      </x:c>
      <x:c r="AK550" s="55" t="n">
        <x:v>1066</x:v>
      </x:c>
      <x:c r="AL550" s="55" t="n">
        <x:v>1405</x:v>
      </x:c>
      <x:c r="AM550" s="55" t="n">
        <x:v>4853</x:v>
      </x:c>
      <x:c r="AN550" s="55" t="n">
        <x:v>2758</x:v>
      </x:c>
      <x:c r="AO550" s="55" t="n">
        <x:v>0</x:v>
      </x:c>
      <x:c r="AP550" s="55" t="n">
        <x:v>2055</x:v>
      </x:c>
      <x:c r="AQ550" s="55" t="n">
        <x:v>958</x:v>
      </x:c>
    </x:row>
    <x:row r="551">
      <x:c r="A551" s="54" t="str">
        <x:v>T1_SHARED_CATCHMENT</x:v>
      </x:c>
      <x:c r="B551" s="54" t="n">
        <x:v>545</x:v>
      </x:c>
      <x:c r="C551" s="54" t="str">
        <x:v>NYC-V2-R01</x:v>
      </x:c>
      <x:c r="D551" s="54" t="str">
        <x:v>V2</x:v>
      </x:c>
      <x:c r="E551" s="54" t="str">
        <x:v>ADMITTED</x:v>
      </x:c>
      <x:c r="F551" s="55" t="n">
        <x:v>30834</x:v>
      </x:c>
      <x:c r="G551" s="55" t="n">
        <x:v>8205</x:v>
      </x:c>
      <x:c r="H551" s="55" t="n">
        <x:v>2697</x:v>
      </x:c>
      <x:c r="I551" s="55" t="n">
        <x:v>822</x:v>
      </x:c>
      <x:c r="J551" s="55" t="n">
        <x:v>0</x:v>
      </x:c>
      <x:c r="K551" s="55" t="n">
        <x:v>30301</x:v>
      </x:c>
      <x:c r="L551" s="55" t="n">
        <x:v>6355</x:v>
      </x:c>
      <x:c r="M551" s="55" t="n">
        <x:v>1671</x:v>
      </x:c>
      <x:c r="N551" s="55" t="n">
        <x:v>2935</x:v>
      </x:c>
      <x:c r="O551" s="55" t="n">
        <x:v>1749</x:v>
      </x:c>
      <x:c r="P551" s="55" t="n">
        <x:v>458</x:v>
      </x:c>
      <x:c r="Q551" s="55" t="n">
        <x:v>1944</x:v>
      </x:c>
      <x:c r="R551" s="55" t="n">
        <x:v>1545</x:v>
      </x:c>
      <x:c r="S551" s="55" t="n">
        <x:v>2119</x:v>
      </x:c>
      <x:c r="T551" s="55" t="n">
        <x:v>1264</x:v>
      </x:c>
      <x:c r="U551" s="55" t="n">
        <x:v>1742</x:v>
      </x:c>
      <x:c r="V551" s="55" t="n">
        <x:v>10112</x:v>
      </x:c>
      <x:c r="W551" s="55" t="n">
        <x:v>7324</x:v>
      </x:c>
      <x:c r="X551" s="55" t="n">
        <x:v>2788</x:v>
      </x:c>
      <x:c r="Y551" s="55" t="n">
        <x:v>2525</x:v>
      </x:c>
      <x:c r="Z551" s="55" t="n">
        <x:v>3742</x:v>
      </x:c>
      <x:c r="AA551" s="55" t="n">
        <x:v>2697</x:v>
      </x:c>
      <x:c r="AB551" s="55" t="n">
        <x:v>1121</x:v>
      </x:c>
      <x:c r="AC551" s="55" t="n">
        <x:v>7950</x:v>
      </x:c>
      <x:c r="AD551" s="55" t="n">
        <x:v>2334</x:v>
      </x:c>
      <x:c r="AE551" s="55" t="n">
        <x:v>10199</x:v>
      </x:c>
      <x:c r="AF551" s="55" t="n">
        <x:v>10112</x:v>
      </x:c>
      <x:c r="AG551" s="55" t="n">
        <x:v>87</x:v>
      </x:c>
      <x:c r="AH551" s="55" t="n">
        <x:v>269</x:v>
      </x:c>
      <x:c r="AI551" s="55" t="n">
        <x:v>9843</x:v>
      </x:c>
      <x:c r="AJ551" s="55" t="n">
        <x:v>176</x:v>
      </x:c>
      <x:c r="AK551" s="55" t="n">
        <x:v>1244</x:v>
      </x:c>
      <x:c r="AL551" s="55" t="n">
        <x:v>1677</x:v>
      </x:c>
      <x:c r="AM551" s="55" t="n">
        <x:v>4788</x:v>
      </x:c>
      <x:c r="AN551" s="55" t="n">
        <x:v>2227</x:v>
      </x:c>
      <x:c r="AO551" s="55" t="n">
        <x:v>0</x:v>
      </x:c>
      <x:c r="AP551" s="55" t="n">
        <x:v>2454</x:v>
      </x:c>
      <x:c r="AQ551" s="55" t="n">
        <x:v>931</x:v>
      </x:c>
    </x:row>
    <x:row r="552">
      <x:c r="A552" s="54" t="str">
        <x:v>T1_SHARED_CATCHMENT</x:v>
      </x:c>
      <x:c r="B552" s="54" t="n">
        <x:v>546</x:v>
      </x:c>
      <x:c r="C552" s="54" t="str">
        <x:v>NYC-V2-R01</x:v>
      </x:c>
      <x:c r="D552" s="54" t="str">
        <x:v>V2</x:v>
      </x:c>
      <x:c r="E552" s="54" t="str">
        <x:v>ADMITTED</x:v>
      </x:c>
      <x:c r="F552" s="55" t="n">
        <x:v>31512</x:v>
      </x:c>
      <x:c r="G552" s="55" t="n">
        <x:v>8751</x:v>
      </x:c>
      <x:c r="H552" s="55" t="n">
        <x:v>3066</x:v>
      </x:c>
      <x:c r="I552" s="55" t="n">
        <x:v>1117</x:v>
      </x:c>
      <x:c r="J552" s="55" t="n">
        <x:v>253</x:v>
      </x:c>
      <x:c r="K552" s="55" t="n">
        <x:v>29287</x:v>
      </x:c>
      <x:c r="L552" s="55" t="n">
        <x:v>6395</x:v>
      </x:c>
      <x:c r="M552" s="55" t="n">
        <x:v>983</x:v>
      </x:c>
      <x:c r="N552" s="55" t="n">
        <x:v>3490</x:v>
      </x:c>
      <x:c r="O552" s="55" t="n">
        <x:v>1922</x:v>
      </x:c>
      <x:c r="P552" s="55" t="n">
        <x:v>420</x:v>
      </x:c>
      <x:c r="Q552" s="55" t="n">
        <x:v>3019</x:v>
      </x:c>
      <x:c r="R552" s="55" t="n">
        <x:v>2120</x:v>
      </x:c>
      <x:c r="S552" s="55" t="n">
        <x:v>2545</x:v>
      </x:c>
      <x:c r="T552" s="55" t="n">
        <x:v>1758</x:v>
      </x:c>
      <x:c r="U552" s="55" t="n">
        <x:v>1757</x:v>
      </x:c>
      <x:c r="V552" s="55" t="n">
        <x:v>10978</x:v>
      </x:c>
      <x:c r="W552" s="55" t="n">
        <x:v>7661</x:v>
      </x:c>
      <x:c r="X552" s="55" t="n">
        <x:v>3317</x:v>
      </x:c>
      <x:c r="Y552" s="55" t="n">
        <x:v>3057</x:v>
      </x:c>
      <x:c r="Z552" s="55" t="n">
        <x:v>4344</x:v>
      </x:c>
      <x:c r="AA552" s="55" t="n">
        <x:v>3066</x:v>
      </x:c>
      <x:c r="AB552" s="55" t="n">
        <x:v>1114</x:v>
      </x:c>
      <x:c r="AC552" s="55" t="n">
        <x:v>8392</x:v>
      </x:c>
      <x:c r="AD552" s="55" t="n">
        <x:v>2653</x:v>
      </x:c>
      <x:c r="AE552" s="55" t="n">
        <x:v>11066</x:v>
      </x:c>
      <x:c r="AF552" s="55" t="n">
        <x:v>10978</x:v>
      </x:c>
      <x:c r="AG552" s="55" t="n">
        <x:v>88</x:v>
      </x:c>
      <x:c r="AH552" s="55" t="n">
        <x:v>629</x:v>
      </x:c>
      <x:c r="AI552" s="55" t="n">
        <x:v>10349</x:v>
      </x:c>
      <x:c r="AJ552" s="55" t="n">
        <x:v>309</x:v>
      </x:c>
      <x:c r="AK552" s="55" t="n">
        <x:v>880</x:v>
      </x:c>
      <x:c r="AL552" s="55" t="n">
        <x:v>1840</x:v>
      </x:c>
      <x:c r="AM552" s="55" t="n">
        <x:v>4960</x:v>
      </x:c>
      <x:c r="AN552" s="55" t="n">
        <x:v>2855</x:v>
      </x:c>
      <x:c r="AO552" s="55" t="n">
        <x:v>134</x:v>
      </x:c>
      <x:c r="AP552" s="55" t="n">
        <x:v>2521</x:v>
      </x:c>
      <x:c r="AQ552" s="55" t="n">
        <x:v>943</x:v>
      </x:c>
    </x:row>
    <x:row r="553">
      <x:c r="A553" s="54" t="str">
        <x:v>T1_SHARED_CATCHMENT</x:v>
      </x:c>
      <x:c r="B553" s="54" t="n">
        <x:v>547</x:v>
      </x:c>
      <x:c r="C553" s="54" t="str">
        <x:v>NYC-V2-R01</x:v>
      </x:c>
      <x:c r="D553" s="54" t="str">
        <x:v>V2</x:v>
      </x:c>
      <x:c r="E553" s="54" t="str">
        <x:v>ADMITTED</x:v>
      </x:c>
      <x:c r="F553" s="55" t="n">
        <x:v>34621</x:v>
      </x:c>
      <x:c r="G553" s="55" t="n">
        <x:v>9615</x:v>
      </x:c>
      <x:c r="H553" s="55" t="n">
        <x:v>3741</x:v>
      </x:c>
      <x:c r="I553" s="55" t="n">
        <x:v>1062</x:v>
      </x:c>
      <x:c r="J553" s="55" t="n">
        <x:v>210</x:v>
      </x:c>
      <x:c r="K553" s="55" t="n">
        <x:v>31215</x:v>
      </x:c>
      <x:c r="L553" s="55" t="n">
        <x:v>6532</x:v>
      </x:c>
      <x:c r="M553" s="55" t="n">
        <x:v>1882</x:v>
      </x:c>
      <x:c r="N553" s="55" t="n">
        <x:v>2956</x:v>
      </x:c>
      <x:c r="O553" s="55" t="n">
        <x:v>1694</x:v>
      </x:c>
      <x:c r="P553" s="55" t="n">
        <x:v>577</x:v>
      </x:c>
      <x:c r="Q553" s="55" t="n">
        <x:v>2900</x:v>
      </x:c>
      <x:c r="R553" s="55" t="n">
        <x:v>1907</x:v>
      </x:c>
      <x:c r="S553" s="55" t="n">
        <x:v>3418</x:v>
      </x:c>
      <x:c r="T553" s="55" t="n">
        <x:v>1246</x:v>
      </x:c>
      <x:c r="U553" s="55" t="n">
        <x:v>2044</x:v>
      </x:c>
      <x:c r="V553" s="55" t="n">
        <x:v>10267</x:v>
      </x:c>
      <x:c r="W553" s="55" t="n">
        <x:v>7570</x:v>
      </x:c>
      <x:c r="X553" s="55" t="n">
        <x:v>2697</x:v>
      </x:c>
      <x:c r="Y553" s="55" t="n">
        <x:v>2100</x:v>
      </x:c>
      <x:c r="Z553" s="55" t="n">
        <x:v>4333</x:v>
      </x:c>
      <x:c r="AA553" s="55" t="n">
        <x:v>3741</x:v>
      </x:c>
      <x:c r="AB553" s="55" t="n">
        <x:v>1273</x:v>
      </x:c>
      <x:c r="AC553" s="55" t="n">
        <x:v>7796</x:v>
      </x:c>
      <x:c r="AD553" s="55" t="n">
        <x:v>2988</x:v>
      </x:c>
      <x:c r="AE553" s="55" t="n">
        <x:v>10402</x:v>
      </x:c>
      <x:c r="AF553" s="55" t="n">
        <x:v>10267</x:v>
      </x:c>
      <x:c r="AG553" s="55" t="n">
        <x:v>135</x:v>
      </x:c>
      <x:c r="AH553" s="55" t="n">
        <x:v>337</x:v>
      </x:c>
      <x:c r="AI553" s="55" t="n">
        <x:v>9930</x:v>
      </x:c>
      <x:c r="AJ553" s="55" t="n">
        <x:v>379</x:v>
      </x:c>
      <x:c r="AK553" s="55" t="n">
        <x:v>1203</x:v>
      </x:c>
      <x:c r="AL553" s="55" t="n">
        <x:v>1492</x:v>
      </x:c>
      <x:c r="AM553" s="55" t="n">
        <x:v>4721</x:v>
      </x:c>
      <x:c r="AN553" s="55" t="n">
        <x:v>2472</x:v>
      </x:c>
      <x:c r="AO553" s="55" t="n">
        <x:v>0</x:v>
      </x:c>
      <x:c r="AP553" s="55" t="n">
        <x:v>2468</x:v>
      </x:c>
      <x:c r="AQ553" s="55" t="n">
        <x:v>926</x:v>
      </x:c>
    </x:row>
    <x:row r="554">
      <x:c r="A554" s="54" t="str">
        <x:v>T1_SHARED_CATCHMENT</x:v>
      </x:c>
      <x:c r="B554" s="54" t="n">
        <x:v>548</x:v>
      </x:c>
      <x:c r="C554" s="54" t="str">
        <x:v>NYC-V2-R01</x:v>
      </x:c>
      <x:c r="D554" s="54" t="str">
        <x:v>V2</x:v>
      </x:c>
      <x:c r="E554" s="54" t="str">
        <x:v>ADMITTED</x:v>
      </x:c>
      <x:c r="F554" s="55" t="n">
        <x:v>32095</x:v>
      </x:c>
      <x:c r="G554" s="55" t="n">
        <x:v>8544</x:v>
      </x:c>
      <x:c r="H554" s="55" t="n">
        <x:v>3547</x:v>
      </x:c>
      <x:c r="I554" s="55" t="n">
        <x:v>1272</x:v>
      </x:c>
      <x:c r="J554" s="55" t="n">
        <x:v>182</x:v>
      </x:c>
      <x:c r="K554" s="55" t="n">
        <x:v>32095</x:v>
      </x:c>
      <x:c r="L554" s="55" t="n">
        <x:v>6712</x:v>
      </x:c>
      <x:c r="M554" s="55" t="n">
        <x:v>2352</x:v>
      </x:c>
      <x:c r="N554" s="55" t="n">
        <x:v>3167</x:v>
      </x:c>
      <x:c r="O554" s="55" t="n">
        <x:v>1193</x:v>
      </x:c>
      <x:c r="P554" s="55" t="n">
        <x:v>1176</x:v>
      </x:c>
      <x:c r="Q554" s="55" t="n">
        <x:v>1942</x:v>
      </x:c>
      <x:c r="R554" s="55" t="n">
        <x:v>1888</x:v>
      </x:c>
      <x:c r="S554" s="55" t="n">
        <x:v>2822</x:v>
      </x:c>
      <x:c r="T554" s="55" t="n">
        <x:v>1181</x:v>
      </x:c>
      <x:c r="U554" s="55" t="n">
        <x:v>1868</x:v>
      </x:c>
      <x:c r="V554" s="55" t="n">
        <x:v>10461</x:v>
      </x:c>
      <x:c r="W554" s="55" t="n">
        <x:v>7865</x:v>
      </x:c>
      <x:c r="X554" s="55" t="n">
        <x:v>2596</x:v>
      </x:c>
      <x:c r="Y554" s="55" t="n">
        <x:v>2056</x:v>
      </x:c>
      <x:c r="Z554" s="55" t="n">
        <x:v>3514</x:v>
      </x:c>
      <x:c r="AA554" s="55" t="n">
        <x:v>3360</x:v>
      </x:c>
      <x:c r="AB554" s="55" t="n">
        <x:v>1403</x:v>
      </x:c>
      <x:c r="AC554" s="55" t="n">
        <x:v>8388</x:v>
      </x:c>
      <x:c r="AD554" s="55" t="n">
        <x:v>2950</x:v>
      </x:c>
      <x:c r="AE554" s="55" t="n">
        <x:v>10565</x:v>
      </x:c>
      <x:c r="AF554" s="55" t="n">
        <x:v>10461</x:v>
      </x:c>
      <x:c r="AG554" s="55" t="n">
        <x:v>104</x:v>
      </x:c>
      <x:c r="AH554" s="55" t="n">
        <x:v>686</x:v>
      </x:c>
      <x:c r="AI554" s="55" t="n">
        <x:v>9775</x:v>
      </x:c>
      <x:c r="AJ554" s="55" t="n">
        <x:v>362</x:v>
      </x:c>
      <x:c r="AK554" s="55" t="n">
        <x:v>912</x:v>
      </x:c>
      <x:c r="AL554" s="55" t="n">
        <x:v>1464</x:v>
      </x:c>
      <x:c r="AM554" s="55" t="n">
        <x:v>4700</x:v>
      </x:c>
      <x:c r="AN554" s="55" t="n">
        <x:v>3023</x:v>
      </x:c>
      <x:c r="AO554" s="55" t="n">
        <x:v>0</x:v>
      </x:c>
      <x:c r="AP554" s="55" t="n">
        <x:v>2815</x:v>
      </x:c>
      <x:c r="AQ554" s="55" t="n">
        <x:v>944</x:v>
      </x:c>
    </x:row>
    <x:row r="555">
      <x:c r="A555" s="54" t="str">
        <x:v>T1_SHARED_CATCHMENT</x:v>
      </x:c>
      <x:c r="B555" s="54" t="n">
        <x:v>549</x:v>
      </x:c>
      <x:c r="C555" s="54" t="str">
        <x:v>NYC-V2-R01</x:v>
      </x:c>
      <x:c r="D555" s="54" t="str">
        <x:v>V2</x:v>
      </x:c>
      <x:c r="E555" s="54" t="str">
        <x:v>ADMITTED</x:v>
      </x:c>
      <x:c r="F555" s="55" t="n">
        <x:v>30822</x:v>
      </x:c>
      <x:c r="G555" s="55" t="n">
        <x:v>7519</x:v>
      </x:c>
      <x:c r="H555" s="55" t="n">
        <x:v>2771</x:v>
      </x:c>
      <x:c r="I555" s="55" t="n">
        <x:v>1091</x:v>
      </x:c>
      <x:c r="J555" s="55" t="n">
        <x:v>90</x:v>
      </x:c>
      <x:c r="K555" s="55" t="n">
        <x:v>30822</x:v>
      </x:c>
      <x:c r="L555" s="55" t="n">
        <x:v>5571</x:v>
      </x:c>
      <x:c r="M555" s="55" t="n">
        <x:v>1484</x:v>
      </x:c>
      <x:c r="N555" s="55" t="n">
        <x:v>2718</x:v>
      </x:c>
      <x:c r="O555" s="55" t="n">
        <x:v>1369</x:v>
      </x:c>
      <x:c r="P555" s="55" t="n">
        <x:v>833</x:v>
      </x:c>
      <x:c r="Q555" s="55" t="n">
        <x:v>2282</x:v>
      </x:c>
      <x:c r="R555" s="55" t="n">
        <x:v>1587</x:v>
      </x:c>
      <x:c r="S555" s="55" t="n">
        <x:v>2964</x:v>
      </x:c>
      <x:c r="T555" s="55" t="n">
        <x:v>1429</x:v>
      </x:c>
      <x:c r="U555" s="55" t="n">
        <x:v>1336</x:v>
      </x:c>
      <x:c r="V555" s="55" t="n">
        <x:v>10601</x:v>
      </x:c>
      <x:c r="W555" s="55" t="n">
        <x:v>7669</x:v>
      </x:c>
      <x:c r="X555" s="55" t="n">
        <x:v>2932</x:v>
      </x:c>
      <x:c r="Y555" s="55" t="n">
        <x:v>2561</x:v>
      </x:c>
      <x:c r="Z555" s="55" t="n">
        <x:v>3287</x:v>
      </x:c>
      <x:c r="AA555" s="55" t="n">
        <x:v>2399</x:v>
      </x:c>
      <x:c r="AB555" s="55" t="n">
        <x:v>694</x:v>
      </x:c>
      <x:c r="AC555" s="55" t="n">
        <x:v>8402</x:v>
      </x:c>
      <x:c r="AD555" s="55" t="n">
        <x:v>3177</x:v>
      </x:c>
      <x:c r="AE555" s="55" t="n">
        <x:v>10633</x:v>
      </x:c>
      <x:c r="AF555" s="55" t="n">
        <x:v>10601</x:v>
      </x:c>
      <x:c r="AG555" s="55" t="n">
        <x:v>32</x:v>
      </x:c>
      <x:c r="AH555" s="55" t="n">
        <x:v>734</x:v>
      </x:c>
      <x:c r="AI555" s="55" t="n">
        <x:v>9867</x:v>
      </x:c>
      <x:c r="AJ555" s="55" t="n">
        <x:v>466</x:v>
      </x:c>
      <x:c r="AK555" s="55" t="n">
        <x:v>1250</x:v>
      </x:c>
      <x:c r="AL555" s="55" t="n">
        <x:v>1776</x:v>
      </x:c>
      <x:c r="AM555" s="55" t="n">
        <x:v>4459</x:v>
      </x:c>
      <x:c r="AN555" s="55" t="n">
        <x:v>2650</x:v>
      </x:c>
      <x:c r="AO555" s="55" t="n">
        <x:v>0</x:v>
      </x:c>
      <x:c r="AP555" s="55" t="n">
        <x:v>1960</x:v>
      </x:c>
      <x:c r="AQ555" s="55" t="n">
        <x:v>955</x:v>
      </x:c>
    </x:row>
    <x:row r="556">
      <x:c r="A556" s="54" t="str">
        <x:v>T1_SHARED_CATCHMENT</x:v>
      </x:c>
      <x:c r="B556" s="54" t="n">
        <x:v>550</x:v>
      </x:c>
      <x:c r="C556" s="54" t="str">
        <x:v>NYC-V2-R01</x:v>
      </x:c>
      <x:c r="D556" s="54" t="str">
        <x:v>V2</x:v>
      </x:c>
      <x:c r="E556" s="54" t="str">
        <x:v>ADMITTED</x:v>
      </x:c>
      <x:c r="F556" s="55" t="n">
        <x:v>30257</x:v>
      </x:c>
      <x:c r="G556" s="55" t="n">
        <x:v>7287</x:v>
      </x:c>
      <x:c r="H556" s="55" t="n">
        <x:v>3738</x:v>
      </x:c>
      <x:c r="I556" s="55" t="n">
        <x:v>1612</x:v>
      </x:c>
      <x:c r="J556" s="55" t="n">
        <x:v>381</x:v>
      </x:c>
      <x:c r="K556" s="55" t="n">
        <x:v>30257</x:v>
      </x:c>
      <x:c r="L556" s="55" t="n">
        <x:v>6093</x:v>
      </x:c>
      <x:c r="M556" s="55" t="n">
        <x:v>1313</x:v>
      </x:c>
      <x:c r="N556" s="55" t="n">
        <x:v>2633</x:v>
      </x:c>
      <x:c r="O556" s="55" t="n">
        <x:v>2147</x:v>
      </x:c>
      <x:c r="P556" s="55" t="n">
        <x:v>619</x:v>
      </x:c>
      <x:c r="Q556" s="55" t="n">
        <x:v>2240</x:v>
      </x:c>
      <x:c r="R556" s="55" t="n">
        <x:v>1832</x:v>
      </x:c>
      <x:c r="S556" s="55" t="n">
        <x:v>2548</x:v>
      </x:c>
      <x:c r="T556" s="55" t="n">
        <x:v>1161</x:v>
      </x:c>
      <x:c r="U556" s="55" t="n">
        <x:v>1740</x:v>
      </x:c>
      <x:c r="V556" s="55" t="n">
        <x:v>11276</x:v>
      </x:c>
      <x:c r="W556" s="55" t="n">
        <x:v>8180</x:v>
      </x:c>
      <x:c r="X556" s="55" t="n">
        <x:v>3096</x:v>
      </x:c>
      <x:c r="Y556" s="55" t="n">
        <x:v>2660</x:v>
      </x:c>
      <x:c r="Z556" s="55" t="n">
        <x:v>4123</x:v>
      </x:c>
      <x:c r="AA556" s="55" t="n">
        <x:v>2966</x:v>
      </x:c>
      <x:c r="AB556" s="55" t="n">
        <x:v>1131</x:v>
      </x:c>
      <x:c r="AC556" s="55" t="n">
        <x:v>7978</x:v>
      </x:c>
      <x:c r="AD556" s="55" t="n">
        <x:v>3419</x:v>
      </x:c>
      <x:c r="AE556" s="55" t="n">
        <x:v>11344</x:v>
      </x:c>
      <x:c r="AF556" s="55" t="n">
        <x:v>11276</x:v>
      </x:c>
      <x:c r="AG556" s="55" t="n">
        <x:v>68</x:v>
      </x:c>
      <x:c r="AH556" s="55" t="n">
        <x:v>616</x:v>
      </x:c>
      <x:c r="AI556" s="55" t="n">
        <x:v>10660</x:v>
      </x:c>
      <x:c r="AJ556" s="55" t="n">
        <x:v>310</x:v>
      </x:c>
      <x:c r="AK556" s="55" t="n">
        <x:v>1149</x:v>
      </x:c>
      <x:c r="AL556" s="55" t="n">
        <x:v>2086</x:v>
      </x:c>
      <x:c r="AM556" s="55" t="n">
        <x:v>5436</x:v>
      </x:c>
      <x:c r="AN556" s="55" t="n">
        <x:v>2284</x:v>
      </x:c>
      <x:c r="AO556" s="55" t="n">
        <x:v>11</x:v>
      </x:c>
      <x:c r="AP556" s="55" t="n">
        <x:v>2609</x:v>
      </x:c>
      <x:c r="AQ556" s="55" t="n">
        <x:v>948</x:v>
      </x:c>
    </x:row>
    <x:row r="557">
      <x:c r="A557" s="54" t="str">
        <x:v>T1_SHARED_CATCHMENT</x:v>
      </x:c>
      <x:c r="B557" s="54" t="n">
        <x:v>551</x:v>
      </x:c>
      <x:c r="C557" s="54" t="str">
        <x:v>NYC-V2-R01</x:v>
      </x:c>
      <x:c r="D557" s="54" t="str">
        <x:v>V2</x:v>
      </x:c>
      <x:c r="E557" s="54" t="str">
        <x:v>ADMITTED</x:v>
      </x:c>
      <x:c r="F557" s="55" t="n">
        <x:v>32182</x:v>
      </x:c>
      <x:c r="G557" s="55" t="n">
        <x:v>9216</x:v>
      </x:c>
      <x:c r="H557" s="55" t="n">
        <x:v>3601</x:v>
      </x:c>
      <x:c r="I557" s="55" t="n">
        <x:v>1765</x:v>
      </x:c>
      <x:c r="J557" s="55" t="n">
        <x:v>321</x:v>
      </x:c>
      <x:c r="K557" s="55" t="n">
        <x:v>31328</x:v>
      </x:c>
      <x:c r="L557" s="55" t="n">
        <x:v>4635</x:v>
      </x:c>
      <x:c r="M557" s="55" t="n">
        <x:v>660</x:v>
      </x:c>
      <x:c r="N557" s="55" t="n">
        <x:v>2532</x:v>
      </x:c>
      <x:c r="O557" s="55" t="n">
        <x:v>1443</x:v>
      </x:c>
      <x:c r="P557" s="55" t="n">
        <x:v>1030</x:v>
      </x:c>
      <x:c r="Q557" s="55" t="n">
        <x:v>2907</x:v>
      </x:c>
      <x:c r="R557" s="55" t="n">
        <x:v>2450</x:v>
      </x:c>
      <x:c r="S557" s="55" t="n">
        <x:v>2514</x:v>
      </x:c>
      <x:c r="T557" s="55" t="n">
        <x:v>1281</x:v>
      </x:c>
      <x:c r="U557" s="55" t="n">
        <x:v>1829</x:v>
      </x:c>
      <x:c r="V557" s="55" t="n">
        <x:v>10453</x:v>
      </x:c>
      <x:c r="W557" s="55" t="n">
        <x:v>7774</x:v>
      </x:c>
      <x:c r="X557" s="55" t="n">
        <x:v>2679</x:v>
      </x:c>
      <x:c r="Y557" s="55" t="n">
        <x:v>2132</x:v>
      </x:c>
      <x:c r="Z557" s="55" t="n">
        <x:v>3811</x:v>
      </x:c>
      <x:c r="AA557" s="55" t="n">
        <x:v>2863</x:v>
      </x:c>
      <x:c r="AB557" s="55" t="n">
        <x:v>1221</x:v>
      </x:c>
      <x:c r="AC557" s="55" t="n">
        <x:v>8123</x:v>
      </x:c>
      <x:c r="AD557" s="55" t="n">
        <x:v>3175</x:v>
      </x:c>
      <x:c r="AE557" s="55" t="n">
        <x:v>10668</x:v>
      </x:c>
      <x:c r="AF557" s="55" t="n">
        <x:v>10453</x:v>
      </x:c>
      <x:c r="AG557" s="55" t="n">
        <x:v>215</x:v>
      </x:c>
      <x:c r="AH557" s="55" t="n">
        <x:v>641</x:v>
      </x:c>
      <x:c r="AI557" s="55" t="n">
        <x:v>9812</x:v>
      </x:c>
      <x:c r="AJ557" s="55" t="n">
        <x:v>360</x:v>
      </x:c>
      <x:c r="AK557" s="55" t="n">
        <x:v>1335</x:v>
      </x:c>
      <x:c r="AL557" s="55" t="n">
        <x:v>1902</x:v>
      </x:c>
      <x:c r="AM557" s="55" t="n">
        <x:v>4181</x:v>
      </x:c>
      <x:c r="AN557" s="55" t="n">
        <x:v>2675</x:v>
      </x:c>
      <x:c r="AO557" s="55" t="n">
        <x:v>0</x:v>
      </x:c>
      <x:c r="AP557" s="55" t="n">
        <x:v>2540</x:v>
      </x:c>
      <x:c r="AQ557" s="55" t="n">
        <x:v>951</x:v>
      </x:c>
    </x:row>
    <x:row r="558">
      <x:c r="A558" s="54" t="str">
        <x:v>T1_SHARED_CATCHMENT</x:v>
      </x:c>
      <x:c r="B558" s="54" t="n">
        <x:v>552</x:v>
      </x:c>
      <x:c r="C558" s="54" t="str">
        <x:v>NYC-V2-R01</x:v>
      </x:c>
      <x:c r="D558" s="54" t="str">
        <x:v>V2</x:v>
      </x:c>
      <x:c r="E558" s="54" t="str">
        <x:v>ADMITTED</x:v>
      </x:c>
      <x:c r="F558" s="55" t="n">
        <x:v>30532</x:v>
      </x:c>
      <x:c r="G558" s="55" t="n">
        <x:v>7277</x:v>
      </x:c>
      <x:c r="H558" s="55" t="n">
        <x:v>3444</x:v>
      </x:c>
      <x:c r="I558" s="55" t="n">
        <x:v>1625</x:v>
      </x:c>
      <x:c r="J558" s="55" t="n">
        <x:v>179</x:v>
      </x:c>
      <x:c r="K558" s="55" t="n">
        <x:v>30532</x:v>
      </x:c>
      <x:c r="L558" s="55" t="n">
        <x:v>4980</x:v>
      </x:c>
      <x:c r="M558" s="55" t="n">
        <x:v>963</x:v>
      </x:c>
      <x:c r="N558" s="55" t="n">
        <x:v>2069</x:v>
      </x:c>
      <x:c r="O558" s="55" t="n">
        <x:v>1948</x:v>
      </x:c>
      <x:c r="P558" s="55" t="n">
        <x:v>843</x:v>
      </x:c>
      <x:c r="Q558" s="55" t="n">
        <x:v>1257</x:v>
      </x:c>
      <x:c r="R558" s="55" t="n">
        <x:v>2358</x:v>
      </x:c>
      <x:c r="S558" s="55" t="n">
        <x:v>2334</x:v>
      </x:c>
      <x:c r="T558" s="55" t="n">
        <x:v>1309</x:v>
      </x:c>
      <x:c r="U558" s="55" t="n">
        <x:v>1474</x:v>
      </x:c>
      <x:c r="V558" s="55" t="n">
        <x:v>9627</x:v>
      </x:c>
      <x:c r="W558" s="55" t="n">
        <x:v>6664</x:v>
      </x:c>
      <x:c r="X558" s="55" t="n">
        <x:v>2963</x:v>
      </x:c>
      <x:c r="Y558" s="55" t="n">
        <x:v>2668</x:v>
      </x:c>
      <x:c r="Z558" s="55" t="n">
        <x:v>3411</x:v>
      </x:c>
      <x:c r="AA558" s="55" t="n">
        <x:v>3444</x:v>
      </x:c>
      <x:c r="AB558" s="55" t="n">
        <x:v>1042</x:v>
      </x:c>
      <x:c r="AC558" s="55" t="n">
        <x:v>8274</x:v>
      </x:c>
      <x:c r="AD558" s="55" t="n">
        <x:v>2871</x:v>
      </x:c>
      <x:c r="AE558" s="55" t="n">
        <x:v>9747</x:v>
      </x:c>
      <x:c r="AF558" s="55" t="n">
        <x:v>9627</x:v>
      </x:c>
      <x:c r="AG558" s="55" t="n">
        <x:v>120</x:v>
      </x:c>
      <x:c r="AH558" s="55" t="n">
        <x:v>249</x:v>
      </x:c>
      <x:c r="AI558" s="55" t="n">
        <x:v>9378</x:v>
      </x:c>
      <x:c r="AJ558" s="55" t="n">
        <x:v>379</x:v>
      </x:c>
      <x:c r="AK558" s="55" t="n">
        <x:v>722</x:v>
      </x:c>
      <x:c r="AL558" s="55" t="n">
        <x:v>1610</x:v>
      </x:c>
      <x:c r="AM558" s="55" t="n">
        <x:v>4134</x:v>
      </x:c>
      <x:c r="AN558" s="55" t="n">
        <x:v>2782</x:v>
      </x:c>
      <x:c r="AO558" s="55" t="n">
        <x:v>0</x:v>
      </x:c>
      <x:c r="AP558" s="55" t="n">
        <x:v>2170</x:v>
      </x:c>
      <x:c r="AQ558" s="55" t="n">
        <x:v>907</x:v>
      </x:c>
    </x:row>
    <x:row r="559">
      <x:c r="A559" s="54" t="str">
        <x:v>T1_SHARED_CATCHMENT</x:v>
      </x:c>
      <x:c r="B559" s="54" t="n">
        <x:v>553</x:v>
      </x:c>
      <x:c r="C559" s="54" t="str">
        <x:v>NYC-V2-R01</x:v>
      </x:c>
      <x:c r="D559" s="54" t="str">
        <x:v>V2</x:v>
      </x:c>
      <x:c r="E559" s="54" t="str">
        <x:v>ADMITTED</x:v>
      </x:c>
      <x:c r="F559" s="55" t="n">
        <x:v>32852</x:v>
      </x:c>
      <x:c r="G559" s="55" t="n">
        <x:v>9624</x:v>
      </x:c>
      <x:c r="H559" s="55" t="n">
        <x:v>3103</x:v>
      </x:c>
      <x:c r="I559" s="55" t="n">
        <x:v>1088</x:v>
      </x:c>
      <x:c r="J559" s="55" t="n">
        <x:v>357</x:v>
      </x:c>
      <x:c r="K559" s="55" t="n">
        <x:v>30706</x:v>
      </x:c>
      <x:c r="L559" s="55" t="n">
        <x:v>5324</x:v>
      </x:c>
      <x:c r="M559" s="55" t="n">
        <x:v>1261</x:v>
      </x:c>
      <x:c r="N559" s="55" t="n">
        <x:v>2553</x:v>
      </x:c>
      <x:c r="O559" s="55" t="n">
        <x:v>1510</x:v>
      </x:c>
      <x:c r="P559" s="55" t="n">
        <x:v>1033</x:v>
      </x:c>
      <x:c r="Q559" s="55" t="n">
        <x:v>2432</x:v>
      </x:c>
      <x:c r="R559" s="55" t="n">
        <x:v>1725</x:v>
      </x:c>
      <x:c r="S559" s="55" t="n">
        <x:v>2843</x:v>
      </x:c>
      <x:c r="T559" s="55" t="n">
        <x:v>1208</x:v>
      </x:c>
      <x:c r="U559" s="55" t="n">
        <x:v>2230</x:v>
      </x:c>
      <x:c r="V559" s="55" t="n">
        <x:v>10324</x:v>
      </x:c>
      <x:c r="W559" s="55" t="n">
        <x:v>7301</x:v>
      </x:c>
      <x:c r="X559" s="55" t="n">
        <x:v>3023</x:v>
      </x:c>
      <x:c r="Y559" s="55" t="n">
        <x:v>2701</x:v>
      </x:c>
      <x:c r="Z559" s="55" t="n">
        <x:v>3533</x:v>
      </x:c>
      <x:c r="AA559" s="55" t="n">
        <x:v>3103</x:v>
      </x:c>
      <x:c r="AB559" s="55" t="n">
        <x:v>1458</x:v>
      </x:c>
      <x:c r="AC559" s="55" t="n">
        <x:v>8292</x:v>
      </x:c>
      <x:c r="AD559" s="55" t="n">
        <x:v>3148</x:v>
      </x:c>
      <x:c r="AE559" s="55" t="n">
        <x:v>10369</x:v>
      </x:c>
      <x:c r="AF559" s="55" t="n">
        <x:v>10324</x:v>
      </x:c>
      <x:c r="AG559" s="55" t="n">
        <x:v>45</x:v>
      </x:c>
      <x:c r="AH559" s="55" t="n">
        <x:v>452</x:v>
      </x:c>
      <x:c r="AI559" s="55" t="n">
        <x:v>9872</x:v>
      </x:c>
      <x:c r="AJ559" s="55" t="n">
        <x:v>477</x:v>
      </x:c>
      <x:c r="AK559" s="55" t="n">
        <x:v>613</x:v>
      </x:c>
      <x:c r="AL559" s="55" t="n">
        <x:v>1838</x:v>
      </x:c>
      <x:c r="AM559" s="55" t="n">
        <x:v>4400</x:v>
      </x:c>
      <x:c r="AN559" s="55" t="n">
        <x:v>2996</x:v>
      </x:c>
      <x:c r="AO559" s="55" t="n">
        <x:v>0</x:v>
      </x:c>
      <x:c r="AP559" s="55" t="n">
        <x:v>2165</x:v>
      </x:c>
      <x:c r="AQ559" s="55" t="n">
        <x:v>977</x:v>
      </x:c>
    </x:row>
    <x:row r="560">
      <x:c r="A560" s="54" t="str">
        <x:v>T1_SHARED_CATCHMENT</x:v>
      </x:c>
      <x:c r="B560" s="54" t="n">
        <x:v>554</x:v>
      </x:c>
      <x:c r="C560" s="54" t="str">
        <x:v>NYC-V2-R01</x:v>
      </x:c>
      <x:c r="D560" s="54" t="str">
        <x:v>V2</x:v>
      </x:c>
      <x:c r="E560" s="54" t="str">
        <x:v>ADMITTED</x:v>
      </x:c>
      <x:c r="F560" s="55" t="n">
        <x:v>34147</x:v>
      </x:c>
      <x:c r="G560" s="55" t="n">
        <x:v>8347</x:v>
      </x:c>
      <x:c r="H560" s="55" t="n">
        <x:v>3694</x:v>
      </x:c>
      <x:c r="I560" s="55" t="n">
        <x:v>1159</x:v>
      </x:c>
      <x:c r="J560" s="55" t="n">
        <x:v>256</x:v>
      </x:c>
      <x:c r="K560" s="55" t="n">
        <x:v>29638</x:v>
      </x:c>
      <x:c r="L560" s="55" t="n">
        <x:v>5581</x:v>
      </x:c>
      <x:c r="M560" s="55" t="n">
        <x:v>1674</x:v>
      </x:c>
      <x:c r="N560" s="55" t="n">
        <x:v>2490</x:v>
      </x:c>
      <x:c r="O560" s="55" t="n">
        <x:v>1417</x:v>
      </x:c>
      <x:c r="P560" s="55" t="n">
        <x:v>1005</x:v>
      </x:c>
      <x:c r="Q560" s="55" t="n">
        <x:v>1494</x:v>
      </x:c>
      <x:c r="R560" s="55" t="n">
        <x:v>1631</x:v>
      </x:c>
      <x:c r="S560" s="55" t="n">
        <x:v>1836</x:v>
      </x:c>
      <x:c r="T560" s="55" t="n">
        <x:v>1775</x:v>
      </x:c>
      <x:c r="U560" s="55" t="n">
        <x:v>1359</x:v>
      </x:c>
      <x:c r="V560" s="55" t="n">
        <x:v>10676</x:v>
      </x:c>
      <x:c r="W560" s="55" t="n">
        <x:v>7684</x:v>
      </x:c>
      <x:c r="X560" s="55" t="n">
        <x:v>2992</x:v>
      </x:c>
      <x:c r="Y560" s="55" t="n">
        <x:v>2845</x:v>
      </x:c>
      <x:c r="Z560" s="55" t="n">
        <x:v>4196</x:v>
      </x:c>
      <x:c r="AA560" s="55" t="n">
        <x:v>3694</x:v>
      </x:c>
      <x:c r="AB560" s="55" t="n">
        <x:v>1432</x:v>
      </x:c>
      <x:c r="AC560" s="55" t="n">
        <x:v>8142</x:v>
      </x:c>
      <x:c r="AD560" s="55" t="n">
        <x:v>2973</x:v>
      </x:c>
      <x:c r="AE560" s="55" t="n">
        <x:v>10757</x:v>
      </x:c>
      <x:c r="AF560" s="55" t="n">
        <x:v>10676</x:v>
      </x:c>
      <x:c r="AG560" s="55" t="n">
        <x:v>81</x:v>
      </x:c>
      <x:c r="AH560" s="55" t="n">
        <x:v>447</x:v>
      </x:c>
      <x:c r="AI560" s="55" t="n">
        <x:v>10229</x:v>
      </x:c>
      <x:c r="AJ560" s="55" t="n">
        <x:v>419</x:v>
      </x:c>
      <x:c r="AK560" s="55" t="n">
        <x:v>1075</x:v>
      </x:c>
      <x:c r="AL560" s="55" t="n">
        <x:v>1778</x:v>
      </x:c>
      <x:c r="AM560" s="55" t="n">
        <x:v>4564</x:v>
      </x:c>
      <x:c r="AN560" s="55" t="n">
        <x:v>2840</x:v>
      </x:c>
      <x:c r="AO560" s="55" t="n">
        <x:v>0</x:v>
      </x:c>
      <x:c r="AP560" s="55" t="n">
        <x:v>2564</x:v>
      </x:c>
      <x:c r="AQ560" s="55" t="n">
        <x:v>956</x:v>
      </x:c>
    </x:row>
    <x:row r="561">
      <x:c r="A561" s="54" t="str">
        <x:v>T1_SHARED_CATCHMENT</x:v>
      </x:c>
      <x:c r="B561" s="54" t="n">
        <x:v>555</x:v>
      </x:c>
      <x:c r="C561" s="54" t="str">
        <x:v>NYC-V2-R01</x:v>
      </x:c>
      <x:c r="D561" s="54" t="str">
        <x:v>V2</x:v>
      </x:c>
      <x:c r="E561" s="54" t="str">
        <x:v>ADMITTED</x:v>
      </x:c>
      <x:c r="F561" s="55" t="n">
        <x:v>31172</x:v>
      </x:c>
      <x:c r="G561" s="55" t="n">
        <x:v>7830</x:v>
      </x:c>
      <x:c r="H561" s="55" t="n">
        <x:v>3452</x:v>
      </x:c>
      <x:c r="I561" s="55" t="n">
        <x:v>1359</x:v>
      </x:c>
      <x:c r="J561" s="55" t="n">
        <x:v>142</x:v>
      </x:c>
      <x:c r="K561" s="55" t="n">
        <x:v>31148</x:v>
      </x:c>
      <x:c r="L561" s="55" t="n">
        <x:v>5896</x:v>
      </x:c>
      <x:c r="M561" s="55" t="n">
        <x:v>1770</x:v>
      </x:c>
      <x:c r="N561" s="55" t="n">
        <x:v>2405</x:v>
      </x:c>
      <x:c r="O561" s="55" t="n">
        <x:v>1721</x:v>
      </x:c>
      <x:c r="P561" s="55" t="n">
        <x:v>904</x:v>
      </x:c>
      <x:c r="Q561" s="55" t="n">
        <x:v>2554</x:v>
      </x:c>
      <x:c r="R561" s="55" t="n">
        <x:v>1607</x:v>
      </x:c>
      <x:c r="S561" s="55" t="n">
        <x:v>3032</x:v>
      </x:c>
      <x:c r="T561" s="55" t="n">
        <x:v>1274</x:v>
      </x:c>
      <x:c r="U561" s="55" t="n">
        <x:v>2100</x:v>
      </x:c>
      <x:c r="V561" s="55" t="n">
        <x:v>10910</x:v>
      </x:c>
      <x:c r="W561" s="55" t="n">
        <x:v>7802</x:v>
      </x:c>
      <x:c r="X561" s="55" t="n">
        <x:v>3108</x:v>
      </x:c>
      <x:c r="Y561" s="55" t="n">
        <x:v>2804</x:v>
      </x:c>
      <x:c r="Z561" s="55" t="n">
        <x:v>3683</x:v>
      </x:c>
      <x:c r="AA561" s="55" t="n">
        <x:v>2932</x:v>
      </x:c>
      <x:c r="AB561" s="55" t="n">
        <x:v>991</x:v>
      </x:c>
      <x:c r="AC561" s="55" t="n">
        <x:v>7992</x:v>
      </x:c>
      <x:c r="AD561" s="55" t="n">
        <x:v>2381</x:v>
      </x:c>
      <x:c r="AE561" s="55" t="n">
        <x:v>10949</x:v>
      </x:c>
      <x:c r="AF561" s="55" t="n">
        <x:v>10910</x:v>
      </x:c>
      <x:c r="AG561" s="55" t="n">
        <x:v>39</x:v>
      </x:c>
      <x:c r="AH561" s="55" t="n">
        <x:v>475</x:v>
      </x:c>
      <x:c r="AI561" s="55" t="n">
        <x:v>10435</x:v>
      </x:c>
      <x:c r="AJ561" s="55" t="n">
        <x:v>206</x:v>
      </x:c>
      <x:c r="AK561" s="55" t="n">
        <x:v>1185</x:v>
      </x:c>
      <x:c r="AL561" s="55" t="n">
        <x:v>1781</x:v>
      </x:c>
      <x:c r="AM561" s="55" t="n">
        <x:v>4893</x:v>
      </x:c>
      <x:c r="AN561" s="55" t="n">
        <x:v>2845</x:v>
      </x:c>
      <x:c r="AO561" s="55" t="n">
        <x:v>0</x:v>
      </x:c>
      <x:c r="AP561" s="55" t="n">
        <x:v>2663</x:v>
      </x:c>
      <x:c r="AQ561" s="55" t="n">
        <x:v>980</x:v>
      </x:c>
    </x:row>
    <x:row r="562">
      <x:c r="A562" s="54" t="str">
        <x:v>T1_SHARED_CATCHMENT</x:v>
      </x:c>
      <x:c r="B562" s="54" t="n">
        <x:v>556</x:v>
      </x:c>
      <x:c r="C562" s="54" t="str">
        <x:v>NYC-V2-R01</x:v>
      </x:c>
      <x:c r="D562" s="54" t="str">
        <x:v>V2</x:v>
      </x:c>
      <x:c r="E562" s="54" t="str">
        <x:v>ADMITTED</x:v>
      </x:c>
      <x:c r="F562" s="55" t="n">
        <x:v>33683</x:v>
      </x:c>
      <x:c r="G562" s="55" t="n">
        <x:v>6572</x:v>
      </x:c>
      <x:c r="H562" s="55" t="n">
        <x:v>3159</x:v>
      </x:c>
      <x:c r="I562" s="55" t="n">
        <x:v>1193</x:v>
      </x:c>
      <x:c r="J562" s="55" t="n">
        <x:v>176</x:v>
      </x:c>
      <x:c r="K562" s="55" t="n">
        <x:v>33683</x:v>
      </x:c>
      <x:c r="L562" s="55" t="n">
        <x:v>5930</x:v>
      </x:c>
      <x:c r="M562" s="55" t="n">
        <x:v>1382</x:v>
      </x:c>
      <x:c r="N562" s="55" t="n">
        <x:v>2272</x:v>
      </x:c>
      <x:c r="O562" s="55" t="n">
        <x:v>2276</x:v>
      </x:c>
      <x:c r="P562" s="55" t="n">
        <x:v>513</x:v>
      </x:c>
      <x:c r="Q562" s="55" t="n">
        <x:v>1476</x:v>
      </x:c>
      <x:c r="R562" s="55" t="n">
        <x:v>1991</x:v>
      </x:c>
      <x:c r="S562" s="55" t="n">
        <x:v>2816</x:v>
      </x:c>
      <x:c r="T562" s="55" t="n">
        <x:v>1380</x:v>
      </x:c>
      <x:c r="U562" s="55" t="n">
        <x:v>1807</x:v>
      </x:c>
      <x:c r="V562" s="55" t="n">
        <x:v>10069</x:v>
      </x:c>
      <x:c r="W562" s="55" t="n">
        <x:v>6874</x:v>
      </x:c>
      <x:c r="X562" s="55" t="n">
        <x:v>3195</x:v>
      </x:c>
      <x:c r="Y562" s="55" t="n">
        <x:v>2544</x:v>
      </x:c>
      <x:c r="Z562" s="55" t="n">
        <x:v>3334</x:v>
      </x:c>
      <x:c r="AA562" s="55" t="n">
        <x:v>3159</x:v>
      </x:c>
      <x:c r="AB562" s="55" t="n">
        <x:v>613</x:v>
      </x:c>
      <x:c r="AC562" s="55" t="n">
        <x:v>7766</x:v>
      </x:c>
      <x:c r="AD562" s="55" t="n">
        <x:v>2840</x:v>
      </x:c>
      <x:c r="AE562" s="55" t="n">
        <x:v>10124</x:v>
      </x:c>
      <x:c r="AF562" s="55" t="n">
        <x:v>10069</x:v>
      </x:c>
      <x:c r="AG562" s="55" t="n">
        <x:v>55</x:v>
      </x:c>
      <x:c r="AH562" s="55" t="n">
        <x:v>59</x:v>
      </x:c>
      <x:c r="AI562" s="55" t="n">
        <x:v>10010</x:v>
      </x:c>
      <x:c r="AJ562" s="55" t="n">
        <x:v>344</x:v>
      </x:c>
      <x:c r="AK562" s="55" t="n">
        <x:v>711</x:v>
      </x:c>
      <x:c r="AL562" s="55" t="n">
        <x:v>1136</x:v>
      </x:c>
      <x:c r="AM562" s="55" t="n">
        <x:v>5281</x:v>
      </x:c>
      <x:c r="AN562" s="55" t="n">
        <x:v>2581</x:v>
      </x:c>
      <x:c r="AO562" s="55" t="n">
        <x:v>16</x:v>
      </x:c>
      <x:c r="AP562" s="55" t="n">
        <x:v>2332</x:v>
      </x:c>
      <x:c r="AQ562" s="55" t="n">
        <x:v>946</x:v>
      </x:c>
    </x:row>
    <x:row r="563">
      <x:c r="A563" s="54" t="str">
        <x:v>T1_SHARED_CATCHMENT</x:v>
      </x:c>
      <x:c r="B563" s="54" t="n">
        <x:v>557</x:v>
      </x:c>
      <x:c r="C563" s="54" t="str">
        <x:v>NYC-V2-R01</x:v>
      </x:c>
      <x:c r="D563" s="54" t="str">
        <x:v>V2</x:v>
      </x:c>
      <x:c r="E563" s="54" t="str">
        <x:v>ADMITTED</x:v>
      </x:c>
      <x:c r="F563" s="55" t="n">
        <x:v>31897</x:v>
      </x:c>
      <x:c r="G563" s="55" t="n">
        <x:v>8795</x:v>
      </x:c>
      <x:c r="H563" s="55" t="n">
        <x:v>3341</x:v>
      </x:c>
      <x:c r="I563" s="55" t="n">
        <x:v>1174</x:v>
      </x:c>
      <x:c r="J563" s="55" t="n">
        <x:v>164</x:v>
      </x:c>
      <x:c r="K563" s="55" t="n">
        <x:v>29718</x:v>
      </x:c>
      <x:c r="L563" s="55" t="n">
        <x:v>6302</x:v>
      </x:c>
      <x:c r="M563" s="55" t="n">
        <x:v>1822</x:v>
      </x:c>
      <x:c r="N563" s="55" t="n">
        <x:v>2519</x:v>
      </x:c>
      <x:c r="O563" s="55" t="n">
        <x:v>1961</x:v>
      </x:c>
      <x:c r="P563" s="55" t="n">
        <x:v>1170</x:v>
      </x:c>
      <x:c r="Q563" s="55" t="n">
        <x:v>2957</x:v>
      </x:c>
      <x:c r="R563" s="55" t="n">
        <x:v>1993</x:v>
      </x:c>
      <x:c r="S563" s="55" t="n">
        <x:v>2171</x:v>
      </x:c>
      <x:c r="T563" s="55" t="n">
        <x:v>1279</x:v>
      </x:c>
      <x:c r="U563" s="55" t="n">
        <x:v>2310</x:v>
      </x:c>
      <x:c r="V563" s="55" t="n">
        <x:v>10511</x:v>
      </x:c>
      <x:c r="W563" s="55" t="n">
        <x:v>7433</x:v>
      </x:c>
      <x:c r="X563" s="55" t="n">
        <x:v>3078</x:v>
      </x:c>
      <x:c r="Y563" s="55" t="n">
        <x:v>2740</x:v>
      </x:c>
      <x:c r="Z563" s="55" t="n">
        <x:v>3484</x:v>
      </x:c>
      <x:c r="AA563" s="55" t="n">
        <x:v>3003</x:v>
      </x:c>
      <x:c r="AB563" s="55" t="n">
        <x:v>1040</x:v>
      </x:c>
      <x:c r="AC563" s="55" t="n">
        <x:v>8227</x:v>
      </x:c>
      <x:c r="AD563" s="55" t="n">
        <x:v>3427</x:v>
      </x:c>
      <x:c r="AE563" s="55" t="n">
        <x:v>10643</x:v>
      </x:c>
      <x:c r="AF563" s="55" t="n">
        <x:v>10511</x:v>
      </x:c>
      <x:c r="AG563" s="55" t="n">
        <x:v>132</x:v>
      </x:c>
      <x:c r="AH563" s="55" t="n">
        <x:v>486</x:v>
      </x:c>
      <x:c r="AI563" s="55" t="n">
        <x:v>10025</x:v>
      </x:c>
      <x:c r="AJ563" s="55" t="n">
        <x:v>398</x:v>
      </x:c>
      <x:c r="AK563" s="55" t="n">
        <x:v>1121</x:v>
      </x:c>
      <x:c r="AL563" s="55" t="n">
        <x:v>1433</x:v>
      </x:c>
      <x:c r="AM563" s="55" t="n">
        <x:v>4805</x:v>
      </x:c>
      <x:c r="AN563" s="55" t="n">
        <x:v>2719</x:v>
      </x:c>
      <x:c r="AO563" s="55" t="n">
        <x:v>35</x:v>
      </x:c>
      <x:c r="AP563" s="55" t="n">
        <x:v>2441</x:v>
      </x:c>
      <x:c r="AQ563" s="55" t="n">
        <x:v>991</x:v>
      </x:c>
    </x:row>
    <x:row r="564">
      <x:c r="A564" s="54" t="str">
        <x:v>T1_SHARED_CATCHMENT</x:v>
      </x:c>
      <x:c r="B564" s="54" t="n">
        <x:v>558</x:v>
      </x:c>
      <x:c r="C564" s="54" t="str">
        <x:v>NYC-V2-R01</x:v>
      </x:c>
      <x:c r="D564" s="54" t="str">
        <x:v>V2</x:v>
      </x:c>
      <x:c r="E564" s="54" t="str">
        <x:v>ADMITTED</x:v>
      </x:c>
      <x:c r="F564" s="55" t="n">
        <x:v>31957</x:v>
      </x:c>
      <x:c r="G564" s="55" t="n">
        <x:v>6974</x:v>
      </x:c>
      <x:c r="H564" s="55" t="n">
        <x:v>3185</x:v>
      </x:c>
      <x:c r="I564" s="55" t="n">
        <x:v>1276</x:v>
      </x:c>
      <x:c r="J564" s="55" t="n">
        <x:v>113</x:v>
      </x:c>
      <x:c r="K564" s="55" t="n">
        <x:v>31957</x:v>
      </x:c>
      <x:c r="L564" s="55" t="n">
        <x:v>6687</x:v>
      </x:c>
      <x:c r="M564" s="55" t="n">
        <x:v>1391</x:v>
      </x:c>
      <x:c r="N564" s="55" t="n">
        <x:v>3381</x:v>
      </x:c>
      <x:c r="O564" s="55" t="n">
        <x:v>1915</x:v>
      </x:c>
      <x:c r="P564" s="55" t="n">
        <x:v>643</x:v>
      </x:c>
      <x:c r="Q564" s="55" t="n">
        <x:v>2010</x:v>
      </x:c>
      <x:c r="R564" s="55" t="n">
        <x:v>1519</x:v>
      </x:c>
      <x:c r="S564" s="55" t="n">
        <x:v>2610</x:v>
      </x:c>
      <x:c r="T564" s="55" t="n">
        <x:v>1615</x:v>
      </x:c>
      <x:c r="U564" s="55" t="n">
        <x:v>1690</x:v>
      </x:c>
      <x:c r="V564" s="55" t="n">
        <x:v>10202</x:v>
      </x:c>
      <x:c r="W564" s="55" t="n">
        <x:v>7318</x:v>
      </x:c>
      <x:c r="X564" s="55" t="n">
        <x:v>2884</x:v>
      </x:c>
      <x:c r="Y564" s="55" t="n">
        <x:v>2484</x:v>
      </x:c>
      <x:c r="Z564" s="55" t="n">
        <x:v>3522</x:v>
      </x:c>
      <x:c r="AA564" s="55" t="n">
        <x:v>3159</x:v>
      </x:c>
      <x:c r="AB564" s="55" t="n">
        <x:v>1002</x:v>
      </x:c>
      <x:c r="AC564" s="55" t="n">
        <x:v>8593</x:v>
      </x:c>
      <x:c r="AD564" s="55" t="n">
        <x:v>3079</x:v>
      </x:c>
      <x:c r="AE564" s="55" t="n">
        <x:v>10255</x:v>
      </x:c>
      <x:c r="AF564" s="55" t="n">
        <x:v>10202</x:v>
      </x:c>
      <x:c r="AG564" s="55" t="n">
        <x:v>53</x:v>
      </x:c>
      <x:c r="AH564" s="55" t="n">
        <x:v>462</x:v>
      </x:c>
      <x:c r="AI564" s="55" t="n">
        <x:v>9740</x:v>
      </x:c>
      <x:c r="AJ564" s="55" t="n">
        <x:v>375</x:v>
      </x:c>
      <x:c r="AK564" s="55" t="n">
        <x:v>740</x:v>
      </x:c>
      <x:c r="AL564" s="55" t="n">
        <x:v>1255</x:v>
      </x:c>
      <x:c r="AM564" s="55" t="n">
        <x:v>5171</x:v>
      </x:c>
      <x:c r="AN564" s="55" t="n">
        <x:v>2590</x:v>
      </x:c>
      <x:c r="AO564" s="55" t="n">
        <x:v>71</x:v>
      </x:c>
      <x:c r="AP564" s="55" t="n">
        <x:v>2836</x:v>
      </x:c>
      <x:c r="AQ564" s="55" t="n">
        <x:v>975</x:v>
      </x:c>
    </x:row>
    <x:row r="565">
      <x:c r="A565" s="54" t="str">
        <x:v>T1_SHARED_CATCHMENT</x:v>
      </x:c>
      <x:c r="B565" s="54" t="n">
        <x:v>559</x:v>
      </x:c>
      <x:c r="C565" s="54" t="str">
        <x:v>NYC-V2-R01</x:v>
      </x:c>
      <x:c r="D565" s="54" t="str">
        <x:v>V2</x:v>
      </x:c>
      <x:c r="E565" s="54" t="str">
        <x:v>ADMITTED</x:v>
      </x:c>
      <x:c r="F565" s="55" t="n">
        <x:v>32684</x:v>
      </x:c>
      <x:c r="G565" s="55" t="n">
        <x:v>7381</x:v>
      </x:c>
      <x:c r="H565" s="55" t="n">
        <x:v>3818</x:v>
      </x:c>
      <x:c r="I565" s="55" t="n">
        <x:v>1323</x:v>
      </x:c>
      <x:c r="J565" s="55" t="n">
        <x:v>294</x:v>
      </x:c>
      <x:c r="K565" s="55" t="n">
        <x:v>32684</x:v>
      </x:c>
      <x:c r="L565" s="55" t="n">
        <x:v>6150</x:v>
      </x:c>
      <x:c r="M565" s="55" t="n">
        <x:v>1121</x:v>
      </x:c>
      <x:c r="N565" s="55" t="n">
        <x:v>3103</x:v>
      </x:c>
      <x:c r="O565" s="55" t="n">
        <x:v>1926</x:v>
      </x:c>
      <x:c r="P565" s="55" t="n">
        <x:v>1130</x:v>
      </x:c>
      <x:c r="Q565" s="55" t="n">
        <x:v>2655</x:v>
      </x:c>
      <x:c r="R565" s="55" t="n">
        <x:v>1925</x:v>
      </x:c>
      <x:c r="S565" s="55" t="n">
        <x:v>2468</x:v>
      </x:c>
      <x:c r="T565" s="55" t="n">
        <x:v>1146</x:v>
      </x:c>
      <x:c r="U565" s="55" t="n">
        <x:v>2203</x:v>
      </x:c>
      <x:c r="V565" s="55" t="n">
        <x:v>10439</x:v>
      </x:c>
      <x:c r="W565" s="55" t="n">
        <x:v>7855</x:v>
      </x:c>
      <x:c r="X565" s="55" t="n">
        <x:v>2584</x:v>
      </x:c>
      <x:c r="Y565" s="55" t="n">
        <x:v>2317</x:v>
      </x:c>
      <x:c r="Z565" s="55" t="n">
        <x:v>3991</x:v>
      </x:c>
      <x:c r="AA565" s="55" t="n">
        <x:v>3818</x:v>
      </x:c>
      <x:c r="AB565" s="55" t="n">
        <x:v>1172</x:v>
      </x:c>
      <x:c r="AC565" s="55" t="n">
        <x:v>8598</x:v>
      </x:c>
      <x:c r="AD565" s="55" t="n">
        <x:v>2776</x:v>
      </x:c>
      <x:c r="AE565" s="55" t="n">
        <x:v>10566</x:v>
      </x:c>
      <x:c r="AF565" s="55" t="n">
        <x:v>10439</x:v>
      </x:c>
      <x:c r="AG565" s="55" t="n">
        <x:v>127</x:v>
      </x:c>
      <x:c r="AH565" s="55" t="n">
        <x:v>431</x:v>
      </x:c>
      <x:c r="AI565" s="55" t="n">
        <x:v>10008</x:v>
      </x:c>
      <x:c r="AJ565" s="55" t="n">
        <x:v>285</x:v>
      </x:c>
      <x:c r="AK565" s="55" t="n">
        <x:v>925</x:v>
      </x:c>
      <x:c r="AL565" s="55" t="n">
        <x:v>1959</x:v>
      </x:c>
      <x:c r="AM565" s="55" t="n">
        <x:v>5152</x:v>
      </x:c>
      <x:c r="AN565" s="55" t="n">
        <x:v>2073</x:v>
      </x:c>
      <x:c r="AO565" s="55" t="n">
        <x:v>45</x:v>
      </x:c>
      <x:c r="AP565" s="55" t="n">
        <x:v>2237</x:v>
      </x:c>
      <x:c r="AQ565" s="55" t="n">
        <x:v>1014</x:v>
      </x:c>
    </x:row>
    <x:row r="566">
      <x:c r="A566" s="54" t="str">
        <x:v>T1_SHARED_CATCHMENT</x:v>
      </x:c>
      <x:c r="B566" s="54" t="n">
        <x:v>560</x:v>
      </x:c>
      <x:c r="C566" s="54" t="str">
        <x:v>NYC-V2-R01</x:v>
      </x:c>
      <x:c r="D566" s="54" t="str">
        <x:v>V2</x:v>
      </x:c>
      <x:c r="E566" s="54" t="str">
        <x:v>ADMITTED</x:v>
      </x:c>
      <x:c r="F566" s="55" t="n">
        <x:v>30483</x:v>
      </x:c>
      <x:c r="G566" s="55" t="n">
        <x:v>7157</x:v>
      </x:c>
      <x:c r="H566" s="55" t="n">
        <x:v>3264</x:v>
      </x:c>
      <x:c r="I566" s="55" t="n">
        <x:v>947</x:v>
      </x:c>
      <x:c r="J566" s="55" t="n">
        <x:v>58</x:v>
      </x:c>
      <x:c r="K566" s="55" t="n">
        <x:v>29248</x:v>
      </x:c>
      <x:c r="L566" s="55" t="n">
        <x:v>4902</x:v>
      </x:c>
      <x:c r="M566" s="55" t="n">
        <x:v>440</x:v>
      </x:c>
      <x:c r="N566" s="55" t="n">
        <x:v>2841</x:v>
      </x:c>
      <x:c r="O566" s="55" t="n">
        <x:v>1621</x:v>
      </x:c>
      <x:c r="P566" s="55" t="n">
        <x:v>791</x:v>
      </x:c>
      <x:c r="Q566" s="55" t="n">
        <x:v>2131</x:v>
      </x:c>
      <x:c r="R566" s="55" t="n">
        <x:v>1975</x:v>
      </x:c>
      <x:c r="S566" s="55" t="n">
        <x:v>2454</x:v>
      </x:c>
      <x:c r="T566" s="55" t="n">
        <x:v>1245</x:v>
      </x:c>
      <x:c r="U566" s="55" t="n">
        <x:v>2388</x:v>
      </x:c>
      <x:c r="V566" s="55" t="n">
        <x:v>10792</x:v>
      </x:c>
      <x:c r="W566" s="55" t="n">
        <x:v>7038</x:v>
      </x:c>
      <x:c r="X566" s="55" t="n">
        <x:v>3754</x:v>
      </x:c>
      <x:c r="Y566" s="55" t="n">
        <x:v>3296</x:v>
      </x:c>
      <x:c r="Z566" s="55" t="n">
        <x:v>3620</x:v>
      </x:c>
      <x:c r="AA566" s="55" t="n">
        <x:v>3015</x:v>
      </x:c>
      <x:c r="AB566" s="55" t="n">
        <x:v>1105</x:v>
      </x:c>
      <x:c r="AC566" s="55" t="n">
        <x:v>7653</x:v>
      </x:c>
      <x:c r="AD566" s="55" t="n">
        <x:v>2998</x:v>
      </x:c>
      <x:c r="AE566" s="55" t="n">
        <x:v>10825</x:v>
      </x:c>
      <x:c r="AF566" s="55" t="n">
        <x:v>10792</x:v>
      </x:c>
      <x:c r="AG566" s="55" t="n">
        <x:v>33</x:v>
      </x:c>
      <x:c r="AH566" s="55" t="n">
        <x:v>534</x:v>
      </x:c>
      <x:c r="AI566" s="55" t="n">
        <x:v>10258</x:v>
      </x:c>
      <x:c r="AJ566" s="55" t="n">
        <x:v>389</x:v>
      </x:c>
      <x:c r="AK566" s="55" t="n">
        <x:v>1200</x:v>
      </x:c>
      <x:c r="AL566" s="55" t="n">
        <x:v>1362</x:v>
      </x:c>
      <x:c r="AM566" s="55" t="n">
        <x:v>5084</x:v>
      </x:c>
      <x:c r="AN566" s="55" t="n">
        <x:v>2757</x:v>
      </x:c>
      <x:c r="AO566" s="55" t="n">
        <x:v>0</x:v>
      </x:c>
      <x:c r="AP566" s="55" t="n">
        <x:v>2805</x:v>
      </x:c>
      <x:c r="AQ566" s="55" t="n">
        <x:v>928</x:v>
      </x:c>
    </x:row>
    <x:row r="567">
      <x:c r="A567" s="54" t="str">
        <x:v>T1_SHARED_CATCHMENT</x:v>
      </x:c>
      <x:c r="B567" s="54" t="n">
        <x:v>561</x:v>
      </x:c>
      <x:c r="C567" s="54" t="str">
        <x:v>NYC-V2-R01</x:v>
      </x:c>
      <x:c r="D567" s="54" t="str">
        <x:v>V2</x:v>
      </x:c>
      <x:c r="E567" s="54" t="str">
        <x:v>ADMITTED</x:v>
      </x:c>
      <x:c r="F567" s="55" t="n">
        <x:v>31415</x:v>
      </x:c>
      <x:c r="G567" s="55" t="n">
        <x:v>8237</x:v>
      </x:c>
      <x:c r="H567" s="55" t="n">
        <x:v>3220</x:v>
      </x:c>
      <x:c r="I567" s="55" t="n">
        <x:v>1309</x:v>
      </x:c>
      <x:c r="J567" s="55" t="n">
        <x:v>510</x:v>
      </x:c>
      <x:c r="K567" s="55" t="n">
        <x:v>29973</x:v>
      </x:c>
      <x:c r="L567" s="55" t="n">
        <x:v>6929</x:v>
      </x:c>
      <x:c r="M567" s="55" t="n">
        <x:v>3013</x:v>
      </x:c>
      <x:c r="N567" s="55" t="n">
        <x:v>2363</x:v>
      </x:c>
      <x:c r="O567" s="55" t="n">
        <x:v>1553</x:v>
      </x:c>
      <x:c r="P567" s="55" t="n">
        <x:v>1136</x:v>
      </x:c>
      <x:c r="Q567" s="55" t="n">
        <x:v>2488</x:v>
      </x:c>
      <x:c r="R567" s="55" t="n">
        <x:v>1573</x:v>
      </x:c>
      <x:c r="S567" s="55" t="n">
        <x:v>2482</x:v>
      </x:c>
      <x:c r="T567" s="55" t="n">
        <x:v>995</x:v>
      </x:c>
      <x:c r="U567" s="55" t="n">
        <x:v>2045</x:v>
      </x:c>
      <x:c r="V567" s="55" t="n">
        <x:v>9974</x:v>
      </x:c>
      <x:c r="W567" s="55" t="n">
        <x:v>6721</x:v>
      </x:c>
      <x:c r="X567" s="55" t="n">
        <x:v>3253</x:v>
      </x:c>
      <x:c r="Y567" s="55" t="n">
        <x:v>2825</x:v>
      </x:c>
      <x:c r="Z567" s="55" t="n">
        <x:v>3430</x:v>
      </x:c>
      <x:c r="AA567" s="55" t="n">
        <x:v>3220</x:v>
      </x:c>
      <x:c r="AB567" s="55" t="n">
        <x:v>1018</x:v>
      </x:c>
      <x:c r="AC567" s="55" t="n">
        <x:v>8162</x:v>
      </x:c>
      <x:c r="AD567" s="55" t="n">
        <x:v>2330</x:v>
      </x:c>
      <x:c r="AE567" s="55" t="n">
        <x:v>10024</x:v>
      </x:c>
      <x:c r="AF567" s="55" t="n">
        <x:v>9974</x:v>
      </x:c>
      <x:c r="AG567" s="55" t="n">
        <x:v>50</x:v>
      </x:c>
      <x:c r="AH567" s="55" t="n">
        <x:v>218</x:v>
      </x:c>
      <x:c r="AI567" s="55" t="n">
        <x:v>9756</x:v>
      </x:c>
      <x:c r="AJ567" s="55" t="n">
        <x:v>477</x:v>
      </x:c>
      <x:c r="AK567" s="55" t="n">
        <x:v>626</x:v>
      </x:c>
      <x:c r="AL567" s="55" t="n">
        <x:v>1409</x:v>
      </x:c>
      <x:c r="AM567" s="55" t="n">
        <x:v>5054</x:v>
      </x:c>
      <x:c r="AN567" s="55" t="n">
        <x:v>2408</x:v>
      </x:c>
      <x:c r="AO567" s="55" t="n">
        <x:v>0</x:v>
      </x:c>
      <x:c r="AP567" s="55" t="n">
        <x:v>2073</x:v>
      </x:c>
      <x:c r="AQ567" s="55" t="n">
        <x:v>1002</x:v>
      </x:c>
    </x:row>
    <x:row r="568">
      <x:c r="A568" s="54" t="str">
        <x:v>T1_SHARED_CATCHMENT</x:v>
      </x:c>
      <x:c r="B568" s="54" t="n">
        <x:v>562</x:v>
      </x:c>
      <x:c r="C568" s="54" t="str">
        <x:v>NYC-V2-R01</x:v>
      </x:c>
      <x:c r="D568" s="54" t="str">
        <x:v>V2</x:v>
      </x:c>
      <x:c r="E568" s="54" t="str">
        <x:v>ADMITTED</x:v>
      </x:c>
      <x:c r="F568" s="55" t="n">
        <x:v>32458</x:v>
      </x:c>
      <x:c r="G568" s="55" t="n">
        <x:v>6929</x:v>
      </x:c>
      <x:c r="H568" s="55" t="n">
        <x:v>3382</x:v>
      </x:c>
      <x:c r="I568" s="55" t="n">
        <x:v>1469</x:v>
      </x:c>
      <x:c r="J568" s="55" t="n">
        <x:v>261</x:v>
      </x:c>
      <x:c r="K568" s="55" t="n">
        <x:v>32458</x:v>
      </x:c>
      <x:c r="L568" s="55" t="n">
        <x:v>6145</x:v>
      </x:c>
      <x:c r="M568" s="55" t="n">
        <x:v>2281</x:v>
      </x:c>
      <x:c r="N568" s="55" t="n">
        <x:v>2264</x:v>
      </x:c>
      <x:c r="O568" s="55" t="n">
        <x:v>1600</x:v>
      </x:c>
      <x:c r="P568" s="55" t="n">
        <x:v>1423</x:v>
      </x:c>
      <x:c r="Q568" s="55" t="n">
        <x:v>2429</x:v>
      </x:c>
      <x:c r="R568" s="55" t="n">
        <x:v>1965</x:v>
      </x:c>
      <x:c r="S568" s="55" t="n">
        <x:v>2907</x:v>
      </x:c>
      <x:c r="T568" s="55" t="n">
        <x:v>1142</x:v>
      </x:c>
      <x:c r="U568" s="55" t="n">
        <x:v>2486</x:v>
      </x:c>
      <x:c r="V568" s="55" t="n">
        <x:v>10953</x:v>
      </x:c>
      <x:c r="W568" s="55" t="n">
        <x:v>8242</x:v>
      </x:c>
      <x:c r="X568" s="55" t="n">
        <x:v>2711</x:v>
      </x:c>
      <x:c r="Y568" s="55" t="n">
        <x:v>2398</x:v>
      </x:c>
      <x:c r="Z568" s="55" t="n">
        <x:v>4109</x:v>
      </x:c>
      <x:c r="AA568" s="55" t="n">
        <x:v>3382</x:v>
      </x:c>
      <x:c r="AB568" s="55" t="n">
        <x:v>1143</x:v>
      </x:c>
      <x:c r="AC568" s="55" t="n">
        <x:v>8030</x:v>
      </x:c>
      <x:c r="AD568" s="55" t="n">
        <x:v>3239</x:v>
      </x:c>
      <x:c r="AE568" s="55" t="n">
        <x:v>11041</x:v>
      </x:c>
      <x:c r="AF568" s="55" t="n">
        <x:v>10953</x:v>
      </x:c>
      <x:c r="AG568" s="55" t="n">
        <x:v>88</x:v>
      </x:c>
      <x:c r="AH568" s="55" t="n">
        <x:v>448</x:v>
      </x:c>
      <x:c r="AI568" s="55" t="n">
        <x:v>10505</x:v>
      </x:c>
      <x:c r="AJ568" s="55" t="n">
        <x:v>430</x:v>
      </x:c>
      <x:c r="AK568" s="55" t="n">
        <x:v>1348</x:v>
      </x:c>
      <x:c r="AL568" s="55" t="n">
        <x:v>1402</x:v>
      </x:c>
      <x:c r="AM568" s="55" t="n">
        <x:v>5003</x:v>
      </x:c>
      <x:c r="AN568" s="55" t="n">
        <x:v>2742</x:v>
      </x:c>
      <x:c r="AO568" s="55" t="n">
        <x:v>28</x:v>
      </x:c>
      <x:c r="AP568" s="55" t="n">
        <x:v>2710</x:v>
      </x:c>
      <x:c r="AQ568" s="55" t="n">
        <x:v>957</x:v>
      </x:c>
    </x:row>
    <x:row r="569">
      <x:c r="A569" s="54" t="str">
        <x:v>T1_SHARED_CATCHMENT</x:v>
      </x:c>
      <x:c r="B569" s="54" t="n">
        <x:v>563</x:v>
      </x:c>
      <x:c r="C569" s="54" t="str">
        <x:v>NYC-V2-R01</x:v>
      </x:c>
      <x:c r="D569" s="54" t="str">
        <x:v>V2</x:v>
      </x:c>
      <x:c r="E569" s="54" t="str">
        <x:v>ADMITTED</x:v>
      </x:c>
      <x:c r="F569" s="55" t="n">
        <x:v>33630</x:v>
      </x:c>
      <x:c r="G569" s="55" t="n">
        <x:v>9603</x:v>
      </x:c>
      <x:c r="H569" s="55" t="n">
        <x:v>3052</x:v>
      </x:c>
      <x:c r="I569" s="55" t="n">
        <x:v>666</x:v>
      </x:c>
      <x:c r="J569" s="55" t="n">
        <x:v>73</x:v>
      </x:c>
      <x:c r="K569" s="55" t="n">
        <x:v>32107</x:v>
      </x:c>
      <x:c r="L569" s="55" t="n">
        <x:v>5499</x:v>
      </x:c>
      <x:c r="M569" s="55" t="n">
        <x:v>1257</x:v>
      </x:c>
      <x:c r="N569" s="55" t="n">
        <x:v>2442</x:v>
      </x:c>
      <x:c r="O569" s="55" t="n">
        <x:v>1800</x:v>
      </x:c>
      <x:c r="P569" s="55" t="n">
        <x:v>739</x:v>
      </x:c>
      <x:c r="Q569" s="55" t="n">
        <x:v>2164</x:v>
      </x:c>
      <x:c r="R569" s="55" t="n">
        <x:v>2469</x:v>
      </x:c>
      <x:c r="S569" s="55" t="n">
        <x:v>3194</x:v>
      </x:c>
      <x:c r="T569" s="55" t="n">
        <x:v>970</x:v>
      </x:c>
      <x:c r="U569" s="55" t="n">
        <x:v>1860</x:v>
      </x:c>
      <x:c r="V569" s="55" t="n">
        <x:v>9722</x:v>
      </x:c>
      <x:c r="W569" s="55" t="n">
        <x:v>6780</x:v>
      </x:c>
      <x:c r="X569" s="55" t="n">
        <x:v>2942</x:v>
      </x:c>
      <x:c r="Y569" s="55" t="n">
        <x:v>2655</x:v>
      </x:c>
      <x:c r="Z569" s="55" t="n">
        <x:v>3622</x:v>
      </x:c>
      <x:c r="AA569" s="55" t="n">
        <x:v>2998</x:v>
      </x:c>
      <x:c r="AB569" s="55" t="n">
        <x:v>1009</x:v>
      </x:c>
      <x:c r="AC569" s="55" t="n">
        <x:v>8010</x:v>
      </x:c>
      <x:c r="AD569" s="55" t="n">
        <x:v>3251</x:v>
      </x:c>
      <x:c r="AE569" s="55" t="n">
        <x:v>9761</x:v>
      </x:c>
      <x:c r="AF569" s="55" t="n">
        <x:v>9722</x:v>
      </x:c>
      <x:c r="AG569" s="55" t="n">
        <x:v>39</x:v>
      </x:c>
      <x:c r="AH569" s="55" t="n">
        <x:v>414</x:v>
      </x:c>
      <x:c r="AI569" s="55" t="n">
        <x:v>9308</x:v>
      </x:c>
      <x:c r="AJ569" s="55" t="n">
        <x:v>252</x:v>
      </x:c>
      <x:c r="AK569" s="55" t="n">
        <x:v>765</x:v>
      </x:c>
      <x:c r="AL569" s="55" t="n">
        <x:v>1548</x:v>
      </x:c>
      <x:c r="AM569" s="55" t="n">
        <x:v>4427</x:v>
      </x:c>
      <x:c r="AN569" s="55" t="n">
        <x:v>2730</x:v>
      </x:c>
      <x:c r="AO569" s="55" t="n">
        <x:v>0</x:v>
      </x:c>
      <x:c r="AP569" s="55" t="n">
        <x:v>2184</x:v>
      </x:c>
      <x:c r="AQ569" s="55" t="n">
        <x:v>1028</x:v>
      </x:c>
    </x:row>
    <x:row r="570">
      <x:c r="A570" s="54" t="str">
        <x:v>T1_SHARED_CATCHMENT</x:v>
      </x:c>
      <x:c r="B570" s="54" t="n">
        <x:v>564</x:v>
      </x:c>
      <x:c r="C570" s="54" t="str">
        <x:v>NYC-V2-R01</x:v>
      </x:c>
      <x:c r="D570" s="54" t="str">
        <x:v>V2</x:v>
      </x:c>
      <x:c r="E570" s="54" t="str">
        <x:v>ADMITTED</x:v>
      </x:c>
      <x:c r="F570" s="55" t="n">
        <x:v>29526</x:v>
      </x:c>
      <x:c r="G570" s="55" t="n">
        <x:v>7112</x:v>
      </x:c>
      <x:c r="H570" s="55" t="n">
        <x:v>3277</x:v>
      </x:c>
      <x:c r="I570" s="55" t="n">
        <x:v>1490</x:v>
      </x:c>
      <x:c r="J570" s="55" t="n">
        <x:v>181</x:v>
      </x:c>
      <x:c r="K570" s="55" t="n">
        <x:v>27277</x:v>
      </x:c>
      <x:c r="L570" s="55" t="n">
        <x:v>4080</x:v>
      </x:c>
      <x:c r="M570" s="55" t="n">
        <x:v>0</x:v>
      </x:c>
      <x:c r="N570" s="55" t="n">
        <x:v>2603</x:v>
      </x:c>
      <x:c r="O570" s="55" t="n">
        <x:v>1477</x:v>
      </x:c>
      <x:c r="P570" s="55" t="n">
        <x:v>441</x:v>
      </x:c>
      <x:c r="Q570" s="55" t="n">
        <x:v>1304</x:v>
      </x:c>
      <x:c r="R570" s="55" t="n">
        <x:v>1642</x:v>
      </x:c>
      <x:c r="S570" s="55" t="n">
        <x:v>2567</x:v>
      </x:c>
      <x:c r="T570" s="55" t="n">
        <x:v>1394</x:v>
      </x:c>
      <x:c r="U570" s="55" t="n">
        <x:v>2080</x:v>
      </x:c>
      <x:c r="V570" s="55" t="n">
        <x:v>10885</x:v>
      </x:c>
      <x:c r="W570" s="55" t="n">
        <x:v>8047</x:v>
      </x:c>
      <x:c r="X570" s="55" t="n">
        <x:v>2838</x:v>
      </x:c>
      <x:c r="Y570" s="55" t="n">
        <x:v>2392</x:v>
      </x:c>
      <x:c r="Z570" s="55" t="n">
        <x:v>3658</x:v>
      </x:c>
      <x:c r="AA570" s="55" t="n">
        <x:v>2549</x:v>
      </x:c>
      <x:c r="AB570" s="55" t="n">
        <x:v>928</x:v>
      </x:c>
      <x:c r="AC570" s="55" t="n">
        <x:v>7504</x:v>
      </x:c>
      <x:c r="AD570" s="55" t="n">
        <x:v>2471</x:v>
      </x:c>
      <x:c r="AE570" s="55" t="n">
        <x:v>10895</x:v>
      </x:c>
      <x:c r="AF570" s="55" t="n">
        <x:v>10885</x:v>
      </x:c>
      <x:c r="AG570" s="55" t="n">
        <x:v>10</x:v>
      </x:c>
      <x:c r="AH570" s="55" t="n">
        <x:v>306</x:v>
      </x:c>
      <x:c r="AI570" s="55" t="n">
        <x:v>10579</x:v>
      </x:c>
      <x:c r="AJ570" s="55" t="n">
        <x:v>300</x:v>
      </x:c>
      <x:c r="AK570" s="55" t="n">
        <x:v>1079</x:v>
      </x:c>
      <x:c r="AL570" s="55" t="n">
        <x:v>1154</x:v>
      </x:c>
      <x:c r="AM570" s="55" t="n">
        <x:v>5155</x:v>
      </x:c>
      <x:c r="AN570" s="55" t="n">
        <x:v>3129</x:v>
      </x:c>
      <x:c r="AO570" s="55" t="n">
        <x:v>68</x:v>
      </x:c>
      <x:c r="AP570" s="55" t="n">
        <x:v>1875</x:v>
      </x:c>
      <x:c r="AQ570" s="55" t="n">
        <x:v>937</x:v>
      </x:c>
    </x:row>
    <x:row r="571">
      <x:c r="A571" s="54" t="str">
        <x:v>T1_SHARED_CATCHMENT</x:v>
      </x:c>
      <x:c r="B571" s="54" t="n">
        <x:v>565</x:v>
      </x:c>
      <x:c r="C571" s="54" t="str">
        <x:v>NYC-V2-R01</x:v>
      </x:c>
      <x:c r="D571" s="54" t="str">
        <x:v>V2</x:v>
      </x:c>
      <x:c r="E571" s="54" t="str">
        <x:v>ADMITTED</x:v>
      </x:c>
      <x:c r="F571" s="55" t="n">
        <x:v>30131</x:v>
      </x:c>
      <x:c r="G571" s="55" t="n">
        <x:v>6434</x:v>
      </x:c>
      <x:c r="H571" s="55" t="n">
        <x:v>2939</x:v>
      </x:c>
      <x:c r="I571" s="55" t="n">
        <x:v>1099</x:v>
      </x:c>
      <x:c r="J571" s="55" t="n">
        <x:v>167</x:v>
      </x:c>
      <x:c r="K571" s="55" t="n">
        <x:v>30131</x:v>
      </x:c>
      <x:c r="L571" s="55" t="n">
        <x:v>4666</x:v>
      </x:c>
      <x:c r="M571" s="55" t="n">
        <x:v>1312</x:v>
      </x:c>
      <x:c r="N571" s="55" t="n">
        <x:v>2059</x:v>
      </x:c>
      <x:c r="O571" s="55" t="n">
        <x:v>1295</x:v>
      </x:c>
      <x:c r="P571" s="55" t="n">
        <x:v>705</x:v>
      </x:c>
      <x:c r="Q571" s="55" t="n">
        <x:v>1877</x:v>
      </x:c>
      <x:c r="R571" s="55" t="n">
        <x:v>1719</x:v>
      </x:c>
      <x:c r="S571" s="55" t="n">
        <x:v>2576</x:v>
      </x:c>
      <x:c r="T571" s="55" t="n">
        <x:v>1205</x:v>
      </x:c>
      <x:c r="U571" s="55" t="n">
        <x:v>2162</x:v>
      </x:c>
      <x:c r="V571" s="55" t="n">
        <x:v>10461</x:v>
      </x:c>
      <x:c r="W571" s="55" t="n">
        <x:v>7481</x:v>
      </x:c>
      <x:c r="X571" s="55" t="n">
        <x:v>2980</x:v>
      </x:c>
      <x:c r="Y571" s="55" t="n">
        <x:v>2716</x:v>
      </x:c>
      <x:c r="Z571" s="55" t="n">
        <x:v>3732</x:v>
      </x:c>
      <x:c r="AA571" s="55" t="n">
        <x:v>2939</x:v>
      </x:c>
      <x:c r="AB571" s="55" t="n">
        <x:v>924</x:v>
      </x:c>
      <x:c r="AC571" s="55" t="n">
        <x:v>8096</x:v>
      </x:c>
      <x:c r="AD571" s="55" t="n">
        <x:v>2857</x:v>
      </x:c>
      <x:c r="AE571" s="55" t="n">
        <x:v>10574</x:v>
      </x:c>
      <x:c r="AF571" s="55" t="n">
        <x:v>10461</x:v>
      </x:c>
      <x:c r="AG571" s="55" t="n">
        <x:v>113</x:v>
      </x:c>
      <x:c r="AH571" s="55" t="n">
        <x:v>436</x:v>
      </x:c>
      <x:c r="AI571" s="55" t="n">
        <x:v>10025</x:v>
      </x:c>
      <x:c r="AJ571" s="55" t="n">
        <x:v>191</x:v>
      </x:c>
      <x:c r="AK571" s="55" t="n">
        <x:v>929</x:v>
      </x:c>
      <x:c r="AL571" s="55" t="n">
        <x:v>1611</x:v>
      </x:c>
      <x:c r="AM571" s="55" t="n">
        <x:v>5154</x:v>
      </x:c>
      <x:c r="AN571" s="55" t="n">
        <x:v>2576</x:v>
      </x:c>
      <x:c r="AO571" s="55" t="n">
        <x:v>0</x:v>
      </x:c>
      <x:c r="AP571" s="55" t="n">
        <x:v>2493</x:v>
      </x:c>
      <x:c r="AQ571" s="55" t="n">
        <x:v>948</x:v>
      </x:c>
    </x:row>
    <x:row r="572">
      <x:c r="A572" s="54" t="str">
        <x:v>T1_SHARED_CATCHMENT</x:v>
      </x:c>
      <x:c r="B572" s="54" t="n">
        <x:v>566</x:v>
      </x:c>
      <x:c r="C572" s="54" t="str">
        <x:v>NYC-V2-R01</x:v>
      </x:c>
      <x:c r="D572" s="54" t="str">
        <x:v>V2</x:v>
      </x:c>
      <x:c r="E572" s="54" t="str">
        <x:v>ADMITTED</x:v>
      </x:c>
      <x:c r="F572" s="55" t="n">
        <x:v>30252</x:v>
      </x:c>
      <x:c r="G572" s="55" t="n">
        <x:v>7827</x:v>
      </x:c>
      <x:c r="H572" s="55" t="n">
        <x:v>3358</x:v>
      </x:c>
      <x:c r="I572" s="55" t="n">
        <x:v>1586</x:v>
      </x:c>
      <x:c r="J572" s="55" t="n">
        <x:v>164</x:v>
      </x:c>
      <x:c r="K572" s="55" t="n">
        <x:v>29560</x:v>
      </x:c>
      <x:c r="L572" s="55" t="n">
        <x:v>6256</x:v>
      </x:c>
      <x:c r="M572" s="55" t="n">
        <x:v>2172</x:v>
      </x:c>
      <x:c r="N572" s="55" t="n">
        <x:v>2388</x:v>
      </x:c>
      <x:c r="O572" s="55" t="n">
        <x:v>1696</x:v>
      </x:c>
      <x:c r="P572" s="55" t="n">
        <x:v>337</x:v>
      </x:c>
      <x:c r="Q572" s="55" t="n">
        <x:v>2239</x:v>
      </x:c>
      <x:c r="R572" s="55" t="n">
        <x:v>1717</x:v>
      </x:c>
      <x:c r="S572" s="55" t="n">
        <x:v>2415</x:v>
      </x:c>
      <x:c r="T572" s="55" t="n">
        <x:v>1298</x:v>
      </x:c>
      <x:c r="U572" s="55" t="n">
        <x:v>1547</x:v>
      </x:c>
      <x:c r="V572" s="55" t="n">
        <x:v>10264</x:v>
      </x:c>
      <x:c r="W572" s="55" t="n">
        <x:v>7149</x:v>
      </x:c>
      <x:c r="X572" s="55" t="n">
        <x:v>3115</x:v>
      </x:c>
      <x:c r="Y572" s="55" t="n">
        <x:v>2552</x:v>
      </x:c>
      <x:c r="Z572" s="55" t="n">
        <x:v>3517</x:v>
      </x:c>
      <x:c r="AA572" s="55" t="n">
        <x:v>2807</x:v>
      </x:c>
      <x:c r="AB572" s="55" t="n">
        <x:v>1202</x:v>
      </x:c>
      <x:c r="AC572" s="55" t="n">
        <x:v>8192</x:v>
      </x:c>
      <x:c r="AD572" s="55" t="n">
        <x:v>2843</x:v>
      </x:c>
      <x:c r="AE572" s="55" t="n">
        <x:v>10367</x:v>
      </x:c>
      <x:c r="AF572" s="55" t="n">
        <x:v>10264</x:v>
      </x:c>
      <x:c r="AG572" s="55" t="n">
        <x:v>103</x:v>
      </x:c>
      <x:c r="AH572" s="55" t="n">
        <x:v>330</x:v>
      </x:c>
      <x:c r="AI572" s="55" t="n">
        <x:v>9934</x:v>
      </x:c>
      <x:c r="AJ572" s="55" t="n">
        <x:v>410</x:v>
      </x:c>
      <x:c r="AK572" s="55" t="n">
        <x:v>1033</x:v>
      </x:c>
      <x:c r="AL572" s="55" t="n">
        <x:v>1599</x:v>
      </x:c>
      <x:c r="AM572" s="55" t="n">
        <x:v>4988</x:v>
      </x:c>
      <x:c r="AN572" s="55" t="n">
        <x:v>2212</x:v>
      </x:c>
      <x:c r="AO572" s="55" t="n">
        <x:v>22</x:v>
      </x:c>
      <x:c r="AP572" s="55" t="n">
        <x:v>2346</x:v>
      </x:c>
      <x:c r="AQ572" s="55" t="n">
        <x:v>961</x:v>
      </x:c>
    </x:row>
    <x:row r="573">
      <x:c r="A573" s="54" t="str">
        <x:v>T1_SHARED_CATCHMENT</x:v>
      </x:c>
      <x:c r="B573" s="54" t="n">
        <x:v>567</x:v>
      </x:c>
      <x:c r="C573" s="54" t="str">
        <x:v>NYC-V2-R01</x:v>
      </x:c>
      <x:c r="D573" s="54" t="str">
        <x:v>V2</x:v>
      </x:c>
      <x:c r="E573" s="54" t="str">
        <x:v>ADMITTED</x:v>
      </x:c>
      <x:c r="F573" s="55" t="n">
        <x:v>30612</x:v>
      </x:c>
      <x:c r="G573" s="55" t="n">
        <x:v>8474</x:v>
      </x:c>
      <x:c r="H573" s="55" t="n">
        <x:v>3177</x:v>
      </x:c>
      <x:c r="I573" s="55" t="n">
        <x:v>1399</x:v>
      </x:c>
      <x:c r="J573" s="55" t="n">
        <x:v>252</x:v>
      </x:c>
      <x:c r="K573" s="55" t="n">
        <x:v>28907</x:v>
      </x:c>
      <x:c r="L573" s="55" t="n">
        <x:v>6376</x:v>
      </x:c>
      <x:c r="M573" s="55" t="n">
        <x:v>1996</x:v>
      </x:c>
      <x:c r="N573" s="55" t="n">
        <x:v>3020</x:v>
      </x:c>
      <x:c r="O573" s="55" t="n">
        <x:v>1360</x:v>
      </x:c>
      <x:c r="P573" s="55" t="n">
        <x:v>652</x:v>
      </x:c>
      <x:c r="Q573" s="55" t="n">
        <x:v>3351</x:v>
      </x:c>
      <x:c r="R573" s="55" t="n">
        <x:v>2149</x:v>
      </x:c>
      <x:c r="S573" s="55" t="n">
        <x:v>3398</x:v>
      </x:c>
      <x:c r="T573" s="55" t="n">
        <x:v>1316</x:v>
      </x:c>
      <x:c r="U573" s="55" t="n">
        <x:v>1445</x:v>
      </x:c>
      <x:c r="V573" s="55" t="n">
        <x:v>10433</x:v>
      </x:c>
      <x:c r="W573" s="55" t="n">
        <x:v>7403</x:v>
      </x:c>
      <x:c r="X573" s="55" t="n">
        <x:v>3030</x:v>
      </x:c>
      <x:c r="Y573" s="55" t="n">
        <x:v>2635</x:v>
      </x:c>
      <x:c r="Z573" s="55" t="n">
        <x:v>3729</x:v>
      </x:c>
      <x:c r="AA573" s="55" t="n">
        <x:v>3058</x:v>
      </x:c>
      <x:c r="AB573" s="55" t="n">
        <x:v>1070</x:v>
      </x:c>
      <x:c r="AC573" s="55" t="n">
        <x:v>7985</x:v>
      </x:c>
      <x:c r="AD573" s="55" t="n">
        <x:v>2700</x:v>
      </x:c>
      <x:c r="AE573" s="55" t="n">
        <x:v>10526</x:v>
      </x:c>
      <x:c r="AF573" s="55" t="n">
        <x:v>10433</x:v>
      </x:c>
      <x:c r="AG573" s="55" t="n">
        <x:v>93</x:v>
      </x:c>
      <x:c r="AH573" s="55" t="n">
        <x:v>326</x:v>
      </x:c>
      <x:c r="AI573" s="55" t="n">
        <x:v>10107</x:v>
      </x:c>
      <x:c r="AJ573" s="55" t="n">
        <x:v>217</x:v>
      </x:c>
      <x:c r="AK573" s="55" t="n">
        <x:v>888</x:v>
      </x:c>
      <x:c r="AL573" s="55" t="n">
        <x:v>1306</x:v>
      </x:c>
      <x:c r="AM573" s="55" t="n">
        <x:v>4867</x:v>
      </x:c>
      <x:c r="AN573" s="55" t="n">
        <x:v>3155</x:v>
      </x:c>
      <x:c r="AO573" s="55" t="n">
        <x:v>0</x:v>
      </x:c>
      <x:c r="AP573" s="55" t="n">
        <x:v>2323</x:v>
      </x:c>
      <x:c r="AQ573" s="55" t="n">
        <x:v>977</x:v>
      </x:c>
    </x:row>
    <x:row r="574">
      <x:c r="A574" s="54" t="str">
        <x:v>T1_SHARED_CATCHMENT</x:v>
      </x:c>
      <x:c r="B574" s="54" t="n">
        <x:v>568</x:v>
      </x:c>
      <x:c r="C574" s="54" t="str">
        <x:v>NYC-V2-R01</x:v>
      </x:c>
      <x:c r="D574" s="54" t="str">
        <x:v>V2</x:v>
      </x:c>
      <x:c r="E574" s="54" t="str">
        <x:v>ADMITTED</x:v>
      </x:c>
      <x:c r="F574" s="55" t="n">
        <x:v>32123</x:v>
      </x:c>
      <x:c r="G574" s="55" t="n">
        <x:v>8287</x:v>
      </x:c>
      <x:c r="H574" s="55" t="n">
        <x:v>3355</x:v>
      </x:c>
      <x:c r="I574" s="55" t="n">
        <x:v>1259</x:v>
      </x:c>
      <x:c r="J574" s="55" t="n">
        <x:v>255</x:v>
      </x:c>
      <x:c r="K574" s="55" t="n">
        <x:v>32123</x:v>
      </x:c>
      <x:c r="L574" s="55" t="n">
        <x:v>5638</x:v>
      </x:c>
      <x:c r="M574" s="55" t="n">
        <x:v>988</x:v>
      </x:c>
      <x:c r="N574" s="55" t="n">
        <x:v>3105</x:v>
      </x:c>
      <x:c r="O574" s="55" t="n">
        <x:v>1545</x:v>
      </x:c>
      <x:c r="P574" s="55" t="n">
        <x:v>810</x:v>
      </x:c>
      <x:c r="Q574" s="55" t="n">
        <x:v>2470</x:v>
      </x:c>
      <x:c r="R574" s="55" t="n">
        <x:v>1808</x:v>
      </x:c>
      <x:c r="S574" s="55" t="n">
        <x:v>2379</x:v>
      </x:c>
      <x:c r="T574" s="55" t="n">
        <x:v>519</x:v>
      </x:c>
      <x:c r="U574" s="55" t="n">
        <x:v>1947</x:v>
      </x:c>
      <x:c r="V574" s="55" t="n">
        <x:v>9975</x:v>
      </x:c>
      <x:c r="W574" s="55" t="n">
        <x:v>6940</x:v>
      </x:c>
      <x:c r="X574" s="55" t="n">
        <x:v>3035</x:v>
      </x:c>
      <x:c r="Y574" s="55" t="n">
        <x:v>2668</x:v>
      </x:c>
      <x:c r="Z574" s="55" t="n">
        <x:v>3176</x:v>
      </x:c>
      <x:c r="AA574" s="55" t="n">
        <x:v>2962</x:v>
      </x:c>
      <x:c r="AB574" s="55" t="n">
        <x:v>783</x:v>
      </x:c>
      <x:c r="AC574" s="55" t="n">
        <x:v>8102</x:v>
      </x:c>
      <x:c r="AD574" s="55" t="n">
        <x:v>2946</x:v>
      </x:c>
      <x:c r="AE574" s="55" t="n">
        <x:v>10072</x:v>
      </x:c>
      <x:c r="AF574" s="55" t="n">
        <x:v>9975</x:v>
      </x:c>
      <x:c r="AG574" s="55" t="n">
        <x:v>97</x:v>
      </x:c>
      <x:c r="AH574" s="55" t="n">
        <x:v>318</x:v>
      </x:c>
      <x:c r="AI574" s="55" t="n">
        <x:v>9657</x:v>
      </x:c>
      <x:c r="AJ574" s="55" t="n">
        <x:v>415</x:v>
      </x:c>
      <x:c r="AK574" s="55" t="n">
        <x:v>677</x:v>
      </x:c>
      <x:c r="AL574" s="55" t="n">
        <x:v>1417</x:v>
      </x:c>
      <x:c r="AM574" s="55" t="n">
        <x:v>5048</x:v>
      </x:c>
      <x:c r="AN574" s="55" t="n">
        <x:v>2373</x:v>
      </x:c>
      <x:c r="AO574" s="55" t="n">
        <x:v>45</x:v>
      </x:c>
      <x:c r="AP574" s="55" t="n">
        <x:v>2082</x:v>
      </x:c>
      <x:c r="AQ574" s="55" t="n">
        <x:v>978</x:v>
      </x:c>
    </x:row>
    <x:row r="575">
      <x:c r="A575" s="54" t="str">
        <x:v>T1_SHARED_CATCHMENT</x:v>
      </x:c>
      <x:c r="B575" s="54" t="n">
        <x:v>569</x:v>
      </x:c>
      <x:c r="C575" s="54" t="str">
        <x:v>NYC-V2-R01</x:v>
      </x:c>
      <x:c r="D575" s="54" t="str">
        <x:v>V2</x:v>
      </x:c>
      <x:c r="E575" s="54" t="str">
        <x:v>ADMITTED</x:v>
      </x:c>
      <x:c r="F575" s="55" t="n">
        <x:v>31911</x:v>
      </x:c>
      <x:c r="G575" s="55" t="n">
        <x:v>7272</x:v>
      </x:c>
      <x:c r="H575" s="55" t="n">
        <x:v>2829</x:v>
      </x:c>
      <x:c r="I575" s="55" t="n">
        <x:v>963</x:v>
      </x:c>
      <x:c r="J575" s="55" t="n">
        <x:v>269</x:v>
      </x:c>
      <x:c r="K575" s="55" t="n">
        <x:v>31911</x:v>
      </x:c>
      <x:c r="L575" s="55" t="n">
        <x:v>6202</x:v>
      </x:c>
      <x:c r="M575" s="55" t="n">
        <x:v>1694</x:v>
      </x:c>
      <x:c r="N575" s="55" t="n">
        <x:v>2798</x:v>
      </x:c>
      <x:c r="O575" s="55" t="n">
        <x:v>1710</x:v>
      </x:c>
      <x:c r="P575" s="55" t="n">
        <x:v>777</x:v>
      </x:c>
      <x:c r="Q575" s="55" t="n">
        <x:v>2624</x:v>
      </x:c>
      <x:c r="R575" s="55" t="n">
        <x:v>1555</x:v>
      </x:c>
      <x:c r="S575" s="55" t="n">
        <x:v>2308</x:v>
      </x:c>
      <x:c r="T575" s="55" t="n">
        <x:v>1197</x:v>
      </x:c>
      <x:c r="U575" s="55" t="n">
        <x:v>2003</x:v>
      </x:c>
      <x:c r="V575" s="55" t="n">
        <x:v>10532</x:v>
      </x:c>
      <x:c r="W575" s="55" t="n">
        <x:v>7574</x:v>
      </x:c>
      <x:c r="X575" s="55" t="n">
        <x:v>2958</x:v>
      </x:c>
      <x:c r="Y575" s="55" t="n">
        <x:v>2447</x:v>
      </x:c>
      <x:c r="Z575" s="55" t="n">
        <x:v>3475</x:v>
      </x:c>
      <x:c r="AA575" s="55" t="n">
        <x:v>2829</x:v>
      </x:c>
      <x:c r="AB575" s="55" t="n">
        <x:v>1161</x:v>
      </x:c>
      <x:c r="AC575" s="55" t="n">
        <x:v>7797</x:v>
      </x:c>
      <x:c r="AD575" s="55" t="n">
        <x:v>3176</x:v>
      </x:c>
      <x:c r="AE575" s="55" t="n">
        <x:v>10667</x:v>
      </x:c>
      <x:c r="AF575" s="55" t="n">
        <x:v>10532</x:v>
      </x:c>
      <x:c r="AG575" s="55" t="n">
        <x:v>135</x:v>
      </x:c>
      <x:c r="AH575" s="55" t="n">
        <x:v>331</x:v>
      </x:c>
      <x:c r="AI575" s="55" t="n">
        <x:v>10201</x:v>
      </x:c>
      <x:c r="AJ575" s="55" t="n">
        <x:v>451</x:v>
      </x:c>
      <x:c r="AK575" s="55" t="n">
        <x:v>1182</x:v>
      </x:c>
      <x:c r="AL575" s="55" t="n">
        <x:v>1385</x:v>
      </x:c>
      <x:c r="AM575" s="55" t="n">
        <x:v>4444</x:v>
      </x:c>
      <x:c r="AN575" s="55" t="n">
        <x:v>3046</x:v>
      </x:c>
      <x:c r="AO575" s="55" t="n">
        <x:v>24</x:v>
      </x:c>
      <x:c r="AP575" s="55" t="n">
        <x:v>2086</x:v>
      </x:c>
      <x:c r="AQ575" s="55" t="n">
        <x:v>983</x:v>
      </x:c>
    </x:row>
    <x:row r="576">
      <x:c r="A576" s="54" t="str">
        <x:v>T1_SHARED_CATCHMENT</x:v>
      </x:c>
      <x:c r="B576" s="54" t="n">
        <x:v>570</x:v>
      </x:c>
      <x:c r="C576" s="54" t="str">
        <x:v>NYC-V2-R01</x:v>
      </x:c>
      <x:c r="D576" s="54" t="str">
        <x:v>V2</x:v>
      </x:c>
      <x:c r="E576" s="54" t="str">
        <x:v>ADMITTED</x:v>
      </x:c>
      <x:c r="F576" s="55" t="n">
        <x:v>30315</x:v>
      </x:c>
      <x:c r="G576" s="55" t="n">
        <x:v>7355</x:v>
      </x:c>
      <x:c r="H576" s="55" t="n">
        <x:v>3000</x:v>
      </x:c>
      <x:c r="I576" s="55" t="n">
        <x:v>1238</x:v>
      </x:c>
      <x:c r="J576" s="55" t="n">
        <x:v>267</x:v>
      </x:c>
      <x:c r="K576" s="55" t="n">
        <x:v>30315</x:v>
      </x:c>
      <x:c r="L576" s="55" t="n">
        <x:v>5985</x:v>
      </x:c>
      <x:c r="M576" s="55" t="n">
        <x:v>1266</x:v>
      </x:c>
      <x:c r="N576" s="55" t="n">
        <x:v>3196</x:v>
      </x:c>
      <x:c r="O576" s="55" t="n">
        <x:v>1523</x:v>
      </x:c>
      <x:c r="P576" s="55" t="n">
        <x:v>899</x:v>
      </x:c>
      <x:c r="Q576" s="55" t="n">
        <x:v>2339</x:v>
      </x:c>
      <x:c r="R576" s="55" t="n">
        <x:v>2120</x:v>
      </x:c>
      <x:c r="S576" s="55" t="n">
        <x:v>3073</x:v>
      </x:c>
      <x:c r="T576" s="55" t="n">
        <x:v>1571</x:v>
      </x:c>
      <x:c r="U576" s="55" t="n">
        <x:v>1747</x:v>
      </x:c>
      <x:c r="V576" s="55" t="n">
        <x:v>10958</x:v>
      </x:c>
      <x:c r="W576" s="55" t="n">
        <x:v>7882</x:v>
      </x:c>
      <x:c r="X576" s="55" t="n">
        <x:v>3076</x:v>
      </x:c>
      <x:c r="Y576" s="55" t="n">
        <x:v>2476</x:v>
      </x:c>
      <x:c r="Z576" s="55" t="n">
        <x:v>4032</x:v>
      </x:c>
      <x:c r="AA576" s="55" t="n">
        <x:v>3000</x:v>
      </x:c>
      <x:c r="AB576" s="55" t="n">
        <x:v>898</x:v>
      </x:c>
      <x:c r="AC576" s="55" t="n">
        <x:v>7534</x:v>
      </x:c>
      <x:c r="AD576" s="55" t="n">
        <x:v>2965</x:v>
      </x:c>
      <x:c r="AE576" s="55" t="n">
        <x:v>11006</x:v>
      </x:c>
      <x:c r="AF576" s="55" t="n">
        <x:v>10958</x:v>
      </x:c>
      <x:c r="AG576" s="55" t="n">
        <x:v>48</x:v>
      </x:c>
      <x:c r="AH576" s="55" t="n">
        <x:v>437</x:v>
      </x:c>
      <x:c r="AI576" s="55" t="n">
        <x:v>10521</x:v>
      </x:c>
      <x:c r="AJ576" s="55" t="n">
        <x:v>332</x:v>
      </x:c>
      <x:c r="AK576" s="55" t="n">
        <x:v>762</x:v>
      </x:c>
      <x:c r="AL576" s="55" t="n">
        <x:v>1574</x:v>
      </x:c>
      <x:c r="AM576" s="55" t="n">
        <x:v>5066</x:v>
      </x:c>
      <x:c r="AN576" s="55" t="n">
        <x:v>3224</x:v>
      </x:c>
      <x:c r="AO576" s="55" t="n">
        <x:v>0</x:v>
      </x:c>
      <x:c r="AP576" s="55" t="n">
        <x:v>1963</x:v>
      </x:c>
      <x:c r="AQ576" s="55" t="n">
        <x:v>939</x:v>
      </x:c>
    </x:row>
    <x:row r="577">
      <x:c r="A577" s="54" t="str">
        <x:v>T1_SHARED_CATCHMENT</x:v>
      </x:c>
      <x:c r="B577" s="54" t="n">
        <x:v>571</x:v>
      </x:c>
      <x:c r="C577" s="54" t="str">
        <x:v>NYC-V2-R01</x:v>
      </x:c>
      <x:c r="D577" s="54" t="str">
        <x:v>V2</x:v>
      </x:c>
      <x:c r="E577" s="54" t="str">
        <x:v>ADMITTED</x:v>
      </x:c>
      <x:c r="F577" s="55" t="n">
        <x:v>30537</x:v>
      </x:c>
      <x:c r="G577" s="55" t="n">
        <x:v>7315</x:v>
      </x:c>
      <x:c r="H577" s="55" t="n">
        <x:v>3119</x:v>
      </x:c>
      <x:c r="I577" s="55" t="n">
        <x:v>787</x:v>
      </x:c>
      <x:c r="J577" s="55" t="n">
        <x:v>88</x:v>
      </x:c>
      <x:c r="K577" s="55" t="n">
        <x:v>30537</x:v>
      </x:c>
      <x:c r="L577" s="55" t="n">
        <x:v>4778</x:v>
      </x:c>
      <x:c r="M577" s="55" t="n">
        <x:v>1024</x:v>
      </x:c>
      <x:c r="N577" s="55" t="n">
        <x:v>2064</x:v>
      </x:c>
      <x:c r="O577" s="55" t="n">
        <x:v>1690</x:v>
      </x:c>
      <x:c r="P577" s="55" t="n">
        <x:v>639</x:v>
      </x:c>
      <x:c r="Q577" s="55" t="n">
        <x:v>1987</x:v>
      </x:c>
      <x:c r="R577" s="55" t="n">
        <x:v>1519</x:v>
      </x:c>
      <x:c r="S577" s="55" t="n">
        <x:v>3228</x:v>
      </x:c>
      <x:c r="T577" s="55" t="n">
        <x:v>1414</x:v>
      </x:c>
      <x:c r="U577" s="55" t="n">
        <x:v>1751</x:v>
      </x:c>
      <x:c r="V577" s="55" t="n">
        <x:v>10910</x:v>
      </x:c>
      <x:c r="W577" s="55" t="n">
        <x:v>8088</x:v>
      </x:c>
      <x:c r="X577" s="55" t="n">
        <x:v>2822</x:v>
      </x:c>
      <x:c r="Y577" s="55" t="n">
        <x:v>2453</x:v>
      </x:c>
      <x:c r="Z577" s="55" t="n">
        <x:v>3291</x:v>
      </x:c>
      <x:c r="AA577" s="55" t="n">
        <x:v>3119</x:v>
      </x:c>
      <x:c r="AB577" s="55" t="n">
        <x:v>1037</x:v>
      </x:c>
      <x:c r="AC577" s="55" t="n">
        <x:v>7435</x:v>
      </x:c>
      <x:c r="AD577" s="55" t="n">
        <x:v>2114</x:v>
      </x:c>
      <x:c r="AE577" s="55" t="n">
        <x:v>10969</x:v>
      </x:c>
      <x:c r="AF577" s="55" t="n">
        <x:v>10910</x:v>
      </x:c>
      <x:c r="AG577" s="55" t="n">
        <x:v>59</x:v>
      </x:c>
      <x:c r="AH577" s="55" t="n">
        <x:v>534</x:v>
      </x:c>
      <x:c r="AI577" s="55" t="n">
        <x:v>10376</x:v>
      </x:c>
      <x:c r="AJ577" s="55" t="n">
        <x:v>334</x:v>
      </x:c>
      <x:c r="AK577" s="55" t="n">
        <x:v>1007</x:v>
      </x:c>
      <x:c r="AL577" s="55" t="n">
        <x:v>1627</x:v>
      </x:c>
      <x:c r="AM577" s="55" t="n">
        <x:v>5113</x:v>
      </x:c>
      <x:c r="AN577" s="55" t="n">
        <x:v>2829</x:v>
      </x:c>
      <x:c r="AO577" s="55" t="n">
        <x:v>0</x:v>
      </x:c>
      <x:c r="AP577" s="55" t="n">
        <x:v>2359</x:v>
      </x:c>
      <x:c r="AQ577" s="55" t="n">
        <x:v>921</x:v>
      </x:c>
    </x:row>
    <x:row r="578">
      <x:c r="A578" s="54" t="str">
        <x:v>T1_SHARED_CATCHMENT</x:v>
      </x:c>
      <x:c r="B578" s="54" t="n">
        <x:v>572</x:v>
      </x:c>
      <x:c r="C578" s="54" t="str">
        <x:v>NYC-V2-R01</x:v>
      </x:c>
      <x:c r="D578" s="54" t="str">
        <x:v>V2</x:v>
      </x:c>
      <x:c r="E578" s="54" t="str">
        <x:v>ADMITTED</x:v>
      </x:c>
      <x:c r="F578" s="55" t="n">
        <x:v>30806</x:v>
      </x:c>
      <x:c r="G578" s="55" t="n">
        <x:v>7270</x:v>
      </x:c>
      <x:c r="H578" s="55" t="n">
        <x:v>3211</x:v>
      </x:c>
      <x:c r="I578" s="55" t="n">
        <x:v>1517</x:v>
      </x:c>
      <x:c r="J578" s="55" t="n">
        <x:v>182</x:v>
      </x:c>
      <x:c r="K578" s="55" t="n">
        <x:v>28894</x:v>
      </x:c>
      <x:c r="L578" s="55" t="n">
        <x:v>5171</x:v>
      </x:c>
      <x:c r="M578" s="55" t="n">
        <x:v>822</x:v>
      </x:c>
      <x:c r="N578" s="55" t="n">
        <x:v>2312</x:v>
      </x:c>
      <x:c r="O578" s="55" t="n">
        <x:v>2037</x:v>
      </x:c>
      <x:c r="P578" s="55" t="n">
        <x:v>365</x:v>
      </x:c>
      <x:c r="Q578" s="55" t="n">
        <x:v>767</x:v>
      </x:c>
      <x:c r="R578" s="55" t="n">
        <x:v>1582</x:v>
      </x:c>
      <x:c r="S578" s="55" t="n">
        <x:v>3277</x:v>
      </x:c>
      <x:c r="T578" s="55" t="n">
        <x:v>857</x:v>
      </x:c>
      <x:c r="U578" s="55" t="n">
        <x:v>1731</x:v>
      </x:c>
      <x:c r="V578" s="55" t="n">
        <x:v>10069</x:v>
      </x:c>
      <x:c r="W578" s="55" t="n">
        <x:v>7125</x:v>
      </x:c>
      <x:c r="X578" s="55" t="n">
        <x:v>2944</x:v>
      </x:c>
      <x:c r="Y578" s="55" t="n">
        <x:v>2634</x:v>
      </x:c>
      <x:c r="Z578" s="55" t="n">
        <x:v>3093</x:v>
      </x:c>
      <x:c r="AA578" s="55" t="n">
        <x:v>2734</x:v>
      </x:c>
      <x:c r="AB578" s="55" t="n">
        <x:v>1040</x:v>
      </x:c>
      <x:c r="AC578" s="55" t="n">
        <x:v>8008</x:v>
      </x:c>
      <x:c r="AD578" s="55" t="n">
        <x:v>2185</x:v>
      </x:c>
      <x:c r="AE578" s="55" t="n">
        <x:v>10220</x:v>
      </x:c>
      <x:c r="AF578" s="55" t="n">
        <x:v>10069</x:v>
      </x:c>
      <x:c r="AG578" s="55" t="n">
        <x:v>151</x:v>
      </x:c>
      <x:c r="AH578" s="55" t="n">
        <x:v>335</x:v>
      </x:c>
      <x:c r="AI578" s="55" t="n">
        <x:v>9734</x:v>
      </x:c>
      <x:c r="AJ578" s="55" t="n">
        <x:v>334</x:v>
      </x:c>
      <x:c r="AK578" s="55" t="n">
        <x:v>1171</x:v>
      </x:c>
      <x:c r="AL578" s="55" t="n">
        <x:v>1572</x:v>
      </x:c>
      <x:c r="AM578" s="55" t="n">
        <x:v>4307</x:v>
      </x:c>
      <x:c r="AN578" s="55" t="n">
        <x:v>2685</x:v>
      </x:c>
      <x:c r="AO578" s="55" t="n">
        <x:v>0</x:v>
      </x:c>
      <x:c r="AP578" s="55" t="n">
        <x:v>2121</x:v>
      </x:c>
      <x:c r="AQ578" s="55" t="n">
        <x:v>929</x:v>
      </x:c>
    </x:row>
    <x:row r="579">
      <x:c r="A579" s="54" t="str">
        <x:v>T1_SHARED_CATCHMENT</x:v>
      </x:c>
      <x:c r="B579" s="54" t="n">
        <x:v>573</x:v>
      </x:c>
      <x:c r="C579" s="54" t="str">
        <x:v>NYC-V2-R01</x:v>
      </x:c>
      <x:c r="D579" s="54" t="str">
        <x:v>V2</x:v>
      </x:c>
      <x:c r="E579" s="54" t="str">
        <x:v>ADMITTED</x:v>
      </x:c>
      <x:c r="F579" s="55" t="n">
        <x:v>29264</x:v>
      </x:c>
      <x:c r="G579" s="55" t="n">
        <x:v>6100</x:v>
      </x:c>
      <x:c r="H579" s="55" t="n">
        <x:v>3256</x:v>
      </x:c>
      <x:c r="I579" s="55" t="n">
        <x:v>1672</x:v>
      </x:c>
      <x:c r="J579" s="55" t="n">
        <x:v>134</x:v>
      </x:c>
      <x:c r="K579" s="55" t="n">
        <x:v>29264</x:v>
      </x:c>
      <x:c r="L579" s="55" t="n">
        <x:v>4662</x:v>
      </x:c>
      <x:c r="M579" s="55" t="n">
        <x:v>0</x:v>
      </x:c>
      <x:c r="N579" s="55" t="n">
        <x:v>2765</x:v>
      </x:c>
      <x:c r="O579" s="55" t="n">
        <x:v>1897</x:v>
      </x:c>
      <x:c r="P579" s="55" t="n">
        <x:v>626</x:v>
      </x:c>
      <x:c r="Q579" s="55" t="n">
        <x:v>2122</x:v>
      </x:c>
      <x:c r="R579" s="55" t="n">
        <x:v>2399</x:v>
      </x:c>
      <x:c r="S579" s="55" t="n">
        <x:v>2914</x:v>
      </x:c>
      <x:c r="T579" s="55" t="n">
        <x:v>1389</x:v>
      </x:c>
      <x:c r="U579" s="55" t="n">
        <x:v>1660</x:v>
      </x:c>
      <x:c r="V579" s="55" t="n">
        <x:v>10924</x:v>
      </x:c>
      <x:c r="W579" s="55" t="n">
        <x:v>7737</x:v>
      </x:c>
      <x:c r="X579" s="55" t="n">
        <x:v>3187</x:v>
      </x:c>
      <x:c r="Y579" s="55" t="n">
        <x:v>2973</x:v>
      </x:c>
      <x:c r="Z579" s="55" t="n">
        <x:v>3522</x:v>
      </x:c>
      <x:c r="AA579" s="55" t="n">
        <x:v>2930</x:v>
      </x:c>
      <x:c r="AB579" s="55" t="n">
        <x:v>1131</x:v>
      </x:c>
      <x:c r="AC579" s="55" t="n">
        <x:v>8234</x:v>
      </x:c>
      <x:c r="AD579" s="55" t="n">
        <x:v>3170</x:v>
      </x:c>
      <x:c r="AE579" s="55" t="n">
        <x:v>11025</x:v>
      </x:c>
      <x:c r="AF579" s="55" t="n">
        <x:v>10924</x:v>
      </x:c>
      <x:c r="AG579" s="55" t="n">
        <x:v>101</x:v>
      </x:c>
      <x:c r="AH579" s="55" t="n">
        <x:v>469</x:v>
      </x:c>
      <x:c r="AI579" s="55" t="n">
        <x:v>10455</x:v>
      </x:c>
      <x:c r="AJ579" s="55" t="n">
        <x:v>319</x:v>
      </x:c>
      <x:c r="AK579" s="55" t="n">
        <x:v>936</x:v>
      </x:c>
      <x:c r="AL579" s="55" t="n">
        <x:v>1855</x:v>
      </x:c>
      <x:c r="AM579" s="55" t="n">
        <x:v>4993</x:v>
      </x:c>
      <x:c r="AN579" s="55" t="n">
        <x:v>2821</x:v>
      </x:c>
      <x:c r="AO579" s="55" t="n">
        <x:v>0</x:v>
      </x:c>
      <x:c r="AP579" s="55" t="n">
        <x:v>2313</x:v>
      </x:c>
      <x:c r="AQ579" s="55" t="n">
        <x:v>991</x:v>
      </x:c>
    </x:row>
    <x:row r="580">
      <x:c r="A580" s="54" t="str">
        <x:v>T1_SHARED_CATCHMENT</x:v>
      </x:c>
      <x:c r="B580" s="54" t="n">
        <x:v>574</x:v>
      </x:c>
      <x:c r="C580" s="54" t="str">
        <x:v>NYC-V2-R01</x:v>
      </x:c>
      <x:c r="D580" s="54" t="str">
        <x:v>V2</x:v>
      </x:c>
      <x:c r="E580" s="54" t="str">
        <x:v>ADMITTED</x:v>
      </x:c>
      <x:c r="F580" s="55" t="n">
        <x:v>31317</x:v>
      </x:c>
      <x:c r="G580" s="55" t="n">
        <x:v>7748</x:v>
      </x:c>
      <x:c r="H580" s="55" t="n">
        <x:v>3317</x:v>
      </x:c>
      <x:c r="I580" s="55" t="n">
        <x:v>1155</x:v>
      </x:c>
      <x:c r="J580" s="55" t="n">
        <x:v>170</x:v>
      </x:c>
      <x:c r="K580" s="55" t="n">
        <x:v>27880</x:v>
      </x:c>
      <x:c r="L580" s="55" t="n">
        <x:v>6456</x:v>
      </x:c>
      <x:c r="M580" s="55" t="n">
        <x:v>1694</x:v>
      </x:c>
      <x:c r="N580" s="55" t="n">
        <x:v>2757</x:v>
      </x:c>
      <x:c r="O580" s="55" t="n">
        <x:v>2005</x:v>
      </x:c>
      <x:c r="P580" s="55" t="n">
        <x:v>897</x:v>
      </x:c>
      <x:c r="Q580" s="55" t="n">
        <x:v>2174</x:v>
      </x:c>
      <x:c r="R580" s="55" t="n">
        <x:v>1595</x:v>
      </x:c>
      <x:c r="S580" s="55" t="n">
        <x:v>3283</x:v>
      </x:c>
      <x:c r="T580" s="55" t="n">
        <x:v>1646</x:v>
      </x:c>
      <x:c r="U580" s="55" t="n">
        <x:v>2000</x:v>
      </x:c>
      <x:c r="V580" s="55" t="n">
        <x:v>10909</x:v>
      </x:c>
      <x:c r="W580" s="55" t="n">
        <x:v>7897</x:v>
      </x:c>
      <x:c r="X580" s="55" t="n">
        <x:v>3012</x:v>
      </x:c>
      <x:c r="Y580" s="55" t="n">
        <x:v>2679</x:v>
      </x:c>
      <x:c r="Z580" s="55" t="n">
        <x:v>3626</x:v>
      </x:c>
      <x:c r="AA580" s="55" t="n">
        <x:v>3214</x:v>
      </x:c>
      <x:c r="AB580" s="55" t="n">
        <x:v>1363</x:v>
      </x:c>
      <x:c r="AC580" s="55" t="n">
        <x:v>7974</x:v>
      </x:c>
      <x:c r="AD580" s="55" t="n">
        <x:v>3173</x:v>
      </x:c>
      <x:c r="AE580" s="55" t="n">
        <x:v>10964</x:v>
      </x:c>
      <x:c r="AF580" s="55" t="n">
        <x:v>10909</x:v>
      </x:c>
      <x:c r="AG580" s="55" t="n">
        <x:v>55</x:v>
      </x:c>
      <x:c r="AH580" s="55" t="n">
        <x:v>337</x:v>
      </x:c>
      <x:c r="AI580" s="55" t="n">
        <x:v>10572</x:v>
      </x:c>
      <x:c r="AJ580" s="55" t="n">
        <x:v>258</x:v>
      </x:c>
      <x:c r="AK580" s="55" t="n">
        <x:v>849</x:v>
      </x:c>
      <x:c r="AL580" s="55" t="n">
        <x:v>1400</x:v>
      </x:c>
      <x:c r="AM580" s="55" t="n">
        <x:v>4859</x:v>
      </x:c>
      <x:c r="AN580" s="55" t="n">
        <x:v>3482</x:v>
      </x:c>
      <x:c r="AO580" s="55" t="n">
        <x:v>61</x:v>
      </x:c>
      <x:c r="AP580" s="55" t="n">
        <x:v>2091</x:v>
      </x:c>
      <x:c r="AQ580" s="55" t="n">
        <x:v>965</x:v>
      </x:c>
    </x:row>
    <x:row r="581">
      <x:c r="A581" s="54" t="str">
        <x:v>T1_SHARED_CATCHMENT</x:v>
      </x:c>
      <x:c r="B581" s="54" t="n">
        <x:v>575</x:v>
      </x:c>
      <x:c r="C581" s="54" t="str">
        <x:v>NYC-V2-R01</x:v>
      </x:c>
      <x:c r="D581" s="54" t="str">
        <x:v>V2</x:v>
      </x:c>
      <x:c r="E581" s="54" t="str">
        <x:v>ADMITTED</x:v>
      </x:c>
      <x:c r="F581" s="55" t="n">
        <x:v>31611</x:v>
      </x:c>
      <x:c r="G581" s="55" t="n">
        <x:v>7836</x:v>
      </x:c>
      <x:c r="H581" s="55" t="n">
        <x:v>3387</x:v>
      </x:c>
      <x:c r="I581" s="55" t="n">
        <x:v>1393</x:v>
      </x:c>
      <x:c r="J581" s="55" t="n">
        <x:v>328</x:v>
      </x:c>
      <x:c r="K581" s="55" t="n">
        <x:v>31611</x:v>
      </x:c>
      <x:c r="L581" s="55" t="n">
        <x:v>5367</x:v>
      </x:c>
      <x:c r="M581" s="55" t="n">
        <x:v>1631</x:v>
      </x:c>
      <x:c r="N581" s="55" t="n">
        <x:v>2158</x:v>
      </x:c>
      <x:c r="O581" s="55" t="n">
        <x:v>1578</x:v>
      </x:c>
      <x:c r="P581" s="55" t="n">
        <x:v>1009</x:v>
      </x:c>
      <x:c r="Q581" s="55" t="n">
        <x:v>1729</x:v>
      </x:c>
      <x:c r="R581" s="55" t="n">
        <x:v>1802</x:v>
      </x:c>
      <x:c r="S581" s="55" t="n">
        <x:v>3013</x:v>
      </x:c>
      <x:c r="T581" s="55" t="n">
        <x:v>733</x:v>
      </x:c>
      <x:c r="U581" s="55" t="n">
        <x:v>2086</x:v>
      </x:c>
      <x:c r="V581" s="55" t="n">
        <x:v>10094</x:v>
      </x:c>
      <x:c r="W581" s="55" t="n">
        <x:v>7163</x:v>
      </x:c>
      <x:c r="X581" s="55" t="n">
        <x:v>2931</x:v>
      </x:c>
      <x:c r="Y581" s="55" t="n">
        <x:v>2446</x:v>
      </x:c>
      <x:c r="Z581" s="55" t="n">
        <x:v>3299</x:v>
      </x:c>
      <x:c r="AA581" s="55" t="n">
        <x:v>3387</x:v>
      </x:c>
      <x:c r="AB581" s="55" t="n">
        <x:v>1298</x:v>
      </x:c>
      <x:c r="AC581" s="55" t="n">
        <x:v>8121</x:v>
      </x:c>
      <x:c r="AD581" s="55" t="n">
        <x:v>2639</x:v>
      </x:c>
      <x:c r="AE581" s="55" t="n">
        <x:v>10183</x:v>
      </x:c>
      <x:c r="AF581" s="55" t="n">
        <x:v>10094</x:v>
      </x:c>
      <x:c r="AG581" s="55" t="n">
        <x:v>89</x:v>
      </x:c>
      <x:c r="AH581" s="55" t="n">
        <x:v>569</x:v>
      </x:c>
      <x:c r="AI581" s="55" t="n">
        <x:v>9525</x:v>
      </x:c>
      <x:c r="AJ581" s="55" t="n">
        <x:v>271</x:v>
      </x:c>
      <x:c r="AK581" s="55" t="n">
        <x:v>1178</x:v>
      </x:c>
      <x:c r="AL581" s="55" t="n">
        <x:v>1829</x:v>
      </x:c>
      <x:c r="AM581" s="55" t="n">
        <x:v>4971</x:v>
      </x:c>
      <x:c r="AN581" s="55" t="n">
        <x:v>1845</x:v>
      </x:c>
      <x:c r="AO581" s="55" t="n">
        <x:v>0</x:v>
      </x:c>
      <x:c r="AP581" s="55" t="n">
        <x:v>2452</x:v>
      </x:c>
      <x:c r="AQ581" s="55" t="n">
        <x:v>957</x:v>
      </x:c>
    </x:row>
    <x:row r="582">
      <x:c r="A582" s="54" t="str">
        <x:v>T1_SHARED_CATCHMENT</x:v>
      </x:c>
      <x:c r="B582" s="54" t="n">
        <x:v>576</x:v>
      </x:c>
      <x:c r="C582" s="54" t="str">
        <x:v>NYC-V2-R01</x:v>
      </x:c>
      <x:c r="D582" s="54" t="str">
        <x:v>V2</x:v>
      </x:c>
      <x:c r="E582" s="54" t="str">
        <x:v>ADMITTED</x:v>
      </x:c>
      <x:c r="F582" s="55" t="n">
        <x:v>31355</x:v>
      </x:c>
      <x:c r="G582" s="55" t="n">
        <x:v>7519</x:v>
      </x:c>
      <x:c r="H582" s="55" t="n">
        <x:v>3713</x:v>
      </x:c>
      <x:c r="I582" s="55" t="n">
        <x:v>1526</x:v>
      </x:c>
      <x:c r="J582" s="55" t="n">
        <x:v>340</x:v>
      </x:c>
      <x:c r="K582" s="55" t="n">
        <x:v>31355</x:v>
      </x:c>
      <x:c r="L582" s="55" t="n">
        <x:v>6483</x:v>
      </x:c>
      <x:c r="M582" s="55" t="n">
        <x:v>1309</x:v>
      </x:c>
      <x:c r="N582" s="55" t="n">
        <x:v>2571</x:v>
      </x:c>
      <x:c r="O582" s="55" t="n">
        <x:v>2603</x:v>
      </x:c>
      <x:c r="P582" s="55" t="n">
        <x:v>972</x:v>
      </x:c>
      <x:c r="Q582" s="55" t="n">
        <x:v>2324</x:v>
      </x:c>
      <x:c r="R582" s="55" t="n">
        <x:v>1989</x:v>
      </x:c>
      <x:c r="S582" s="55" t="n">
        <x:v>2590</x:v>
      </x:c>
      <x:c r="T582" s="55" t="n">
        <x:v>1566</x:v>
      </x:c>
      <x:c r="U582" s="55" t="n">
        <x:v>1767</x:v>
      </x:c>
      <x:c r="V582" s="55" t="n">
        <x:v>9908</x:v>
      </x:c>
      <x:c r="W582" s="55" t="n">
        <x:v>7506</x:v>
      </x:c>
      <x:c r="X582" s="55" t="n">
        <x:v>2402</x:v>
      </x:c>
      <x:c r="Y582" s="55" t="n">
        <x:v>2319</x:v>
      </x:c>
      <x:c r="Z582" s="55" t="n">
        <x:v>3570</x:v>
      </x:c>
      <x:c r="AA582" s="55" t="n">
        <x:v>3063</x:v>
      </x:c>
      <x:c r="AB582" s="55" t="n">
        <x:v>382</x:v>
      </x:c>
      <x:c r="AC582" s="55" t="n">
        <x:v>8316</x:v>
      </x:c>
      <x:c r="AD582" s="55" t="n">
        <x:v>2819</x:v>
      </x:c>
      <x:c r="AE582" s="55" t="n">
        <x:v>10004</x:v>
      </x:c>
      <x:c r="AF582" s="55" t="n">
        <x:v>9908</x:v>
      </x:c>
      <x:c r="AG582" s="55" t="n">
        <x:v>96</x:v>
      </x:c>
      <x:c r="AH582" s="55" t="n">
        <x:v>399</x:v>
      </x:c>
      <x:c r="AI582" s="55" t="n">
        <x:v>9509</x:v>
      </x:c>
      <x:c r="AJ582" s="55" t="n">
        <x:v>228</x:v>
      </x:c>
      <x:c r="AK582" s="55" t="n">
        <x:v>1010</x:v>
      </x:c>
      <x:c r="AL582" s="55" t="n">
        <x:v>1268</x:v>
      </x:c>
      <x:c r="AM582" s="55" t="n">
        <x:v>4504</x:v>
      </x:c>
      <x:c r="AN582" s="55" t="n">
        <x:v>2873</x:v>
      </x:c>
      <x:c r="AO582" s="55" t="n">
        <x:v>25</x:v>
      </x:c>
      <x:c r="AP582" s="55" t="n">
        <x:v>2609</x:v>
      </x:c>
      <x:c r="AQ582" s="55" t="n">
        <x:v>962</x:v>
      </x:c>
    </x:row>
    <x:row r="583">
      <x:c r="A583" s="54" t="str">
        <x:v>T1_SHARED_CATCHMENT</x:v>
      </x:c>
      <x:c r="B583" s="54" t="n">
        <x:v>577</x:v>
      </x:c>
      <x:c r="C583" s="54" t="str">
        <x:v>NYC-V2-R01</x:v>
      </x:c>
      <x:c r="D583" s="54" t="str">
        <x:v>V2</x:v>
      </x:c>
      <x:c r="E583" s="54" t="str">
        <x:v>ADMITTED</x:v>
      </x:c>
      <x:c r="F583" s="55" t="n">
        <x:v>33960</x:v>
      </x:c>
      <x:c r="G583" s="55" t="n">
        <x:v>8360</x:v>
      </x:c>
      <x:c r="H583" s="55" t="n">
        <x:v>4017</x:v>
      </x:c>
      <x:c r="I583" s="55" t="n">
        <x:v>1190</x:v>
      </x:c>
      <x:c r="J583" s="55" t="n">
        <x:v>262</x:v>
      </x:c>
      <x:c r="K583" s="55" t="n">
        <x:v>33960</x:v>
      </x:c>
      <x:c r="L583" s="55" t="n">
        <x:v>7526</x:v>
      </x:c>
      <x:c r="M583" s="55" t="n">
        <x:v>2386</x:v>
      </x:c>
      <x:c r="N583" s="55" t="n">
        <x:v>3016</x:v>
      </x:c>
      <x:c r="O583" s="55" t="n">
        <x:v>2124</x:v>
      </x:c>
      <x:c r="P583" s="55" t="n">
        <x:v>987</x:v>
      </x:c>
      <x:c r="Q583" s="55" t="n">
        <x:v>3175</x:v>
      </x:c>
      <x:c r="R583" s="55" t="n">
        <x:v>1923</x:v>
      </x:c>
      <x:c r="S583" s="55" t="n">
        <x:v>3280</x:v>
      </x:c>
      <x:c r="T583" s="55" t="n">
        <x:v>1382</x:v>
      </x:c>
      <x:c r="U583" s="55" t="n">
        <x:v>2381</x:v>
      </x:c>
      <x:c r="V583" s="55" t="n">
        <x:v>10348</x:v>
      </x:c>
      <x:c r="W583" s="55" t="n">
        <x:v>7178</x:v>
      </x:c>
      <x:c r="X583" s="55" t="n">
        <x:v>3170</x:v>
      </x:c>
      <x:c r="Y583" s="55" t="n">
        <x:v>2735</x:v>
      </x:c>
      <x:c r="Z583" s="55" t="n">
        <x:v>3701</x:v>
      </x:c>
      <x:c r="AA583" s="55" t="n">
        <x:v>4017</x:v>
      </x:c>
      <x:c r="AB583" s="55" t="n">
        <x:v>1490</x:v>
      </x:c>
      <x:c r="AC583" s="55" t="n">
        <x:v>8102</x:v>
      </x:c>
      <x:c r="AD583" s="55" t="n">
        <x:v>3080</x:v>
      </x:c>
      <x:c r="AE583" s="55" t="n">
        <x:v>10486</x:v>
      </x:c>
      <x:c r="AF583" s="55" t="n">
        <x:v>10348</x:v>
      </x:c>
      <x:c r="AG583" s="55" t="n">
        <x:v>138</x:v>
      </x:c>
      <x:c r="AH583" s="55" t="n">
        <x:v>607</x:v>
      </x:c>
      <x:c r="AI583" s="55" t="n">
        <x:v>9741</x:v>
      </x:c>
      <x:c r="AJ583" s="55" t="n">
        <x:v>320</x:v>
      </x:c>
      <x:c r="AK583" s="55" t="n">
        <x:v>793</x:v>
      </x:c>
      <x:c r="AL583" s="55" t="n">
        <x:v>1780</x:v>
      </x:c>
      <x:c r="AM583" s="55" t="n">
        <x:v>4940</x:v>
      </x:c>
      <x:c r="AN583" s="55" t="n">
        <x:v>2479</x:v>
      </x:c>
      <x:c r="AO583" s="55" t="n">
        <x:v>36</x:v>
      </x:c>
      <x:c r="AP583" s="55" t="n">
        <x:v>2717</x:v>
      </x:c>
      <x:c r="AQ583" s="55" t="n">
        <x:v>1023</x:v>
      </x:c>
    </x:row>
    <x:row r="584">
      <x:c r="A584" s="54" t="str">
        <x:v>T1_SHARED_CATCHMENT</x:v>
      </x:c>
      <x:c r="B584" s="54" t="n">
        <x:v>578</x:v>
      </x:c>
      <x:c r="C584" s="54" t="str">
        <x:v>NYC-V2-R01</x:v>
      </x:c>
      <x:c r="D584" s="54" t="str">
        <x:v>V2</x:v>
      </x:c>
      <x:c r="E584" s="54" t="str">
        <x:v>ADMITTED</x:v>
      </x:c>
      <x:c r="F584" s="55" t="n">
        <x:v>30233</x:v>
      </x:c>
      <x:c r="G584" s="55" t="n">
        <x:v>7074</x:v>
      </x:c>
      <x:c r="H584" s="55" t="n">
        <x:v>3025</x:v>
      </x:c>
      <x:c r="I584" s="55" t="n">
        <x:v>1120</x:v>
      </x:c>
      <x:c r="J584" s="55" t="n">
        <x:v>238</x:v>
      </x:c>
      <x:c r="K584" s="55" t="n">
        <x:v>29329</x:v>
      </x:c>
      <x:c r="L584" s="55" t="n">
        <x:v>4717</x:v>
      </x:c>
      <x:c r="M584" s="55" t="n">
        <x:v>1120</x:v>
      </x:c>
      <x:c r="N584" s="55" t="n">
        <x:v>2381</x:v>
      </x:c>
      <x:c r="O584" s="55" t="n">
        <x:v>1216</x:v>
      </x:c>
      <x:c r="P584" s="55" t="n">
        <x:v>369</x:v>
      </x:c>
      <x:c r="Q584" s="55" t="n">
        <x:v>1936</x:v>
      </x:c>
      <x:c r="R584" s="55" t="n">
        <x:v>1669</x:v>
      </x:c>
      <x:c r="S584" s="55" t="n">
        <x:v>2907</x:v>
      </x:c>
      <x:c r="T584" s="55" t="n">
        <x:v>568</x:v>
      </x:c>
      <x:c r="U584" s="55" t="n">
        <x:v>1664</x:v>
      </x:c>
      <x:c r="V584" s="55" t="n">
        <x:v>10752</x:v>
      </x:c>
      <x:c r="W584" s="55" t="n">
        <x:v>7786</x:v>
      </x:c>
      <x:c r="X584" s="55" t="n">
        <x:v>2966</x:v>
      </x:c>
      <x:c r="Y584" s="55" t="n">
        <x:v>2523</x:v>
      </x:c>
      <x:c r="Z584" s="55" t="n">
        <x:v>3760</x:v>
      </x:c>
      <x:c r="AA584" s="55" t="n">
        <x:v>3025</x:v>
      </x:c>
      <x:c r="AB584" s="55" t="n">
        <x:v>855</x:v>
      </x:c>
      <x:c r="AC584" s="55" t="n">
        <x:v>7807</x:v>
      </x:c>
      <x:c r="AD584" s="55" t="n">
        <x:v>2734</x:v>
      </x:c>
      <x:c r="AE584" s="55" t="n">
        <x:v>10752</x:v>
      </x:c>
      <x:c r="AF584" s="55" t="n">
        <x:v>10752</x:v>
      </x:c>
      <x:c r="AG584" s="55" t="n">
        <x:v>0</x:v>
      </x:c>
      <x:c r="AH584" s="55" t="n">
        <x:v>388</x:v>
      </x:c>
      <x:c r="AI584" s="55" t="n">
        <x:v>10364</x:v>
      </x:c>
      <x:c r="AJ584" s="55" t="n">
        <x:v>330</x:v>
      </x:c>
      <x:c r="AK584" s="55" t="n">
        <x:v>1129</x:v>
      </x:c>
      <x:c r="AL584" s="55" t="n">
        <x:v>1508</x:v>
      </x:c>
      <x:c r="AM584" s="55" t="n">
        <x:v>5322</x:v>
      </x:c>
      <x:c r="AN584" s="55" t="n">
        <x:v>2463</x:v>
      </x:c>
      <x:c r="AO584" s="55" t="n">
        <x:v>0</x:v>
      </x:c>
      <x:c r="AP584" s="55" t="n">
        <x:v>2681</x:v>
      </x:c>
      <x:c r="AQ584" s="55" t="n">
        <x:v>953</x:v>
      </x:c>
    </x:row>
    <x:row r="585">
      <x:c r="A585" s="54" t="str">
        <x:v>T1_SHARED_CATCHMENT</x:v>
      </x:c>
      <x:c r="B585" s="54" t="n">
        <x:v>579</x:v>
      </x:c>
      <x:c r="C585" s="54" t="str">
        <x:v>NYC-V2-R01</x:v>
      </x:c>
      <x:c r="D585" s="54" t="str">
        <x:v>V2</x:v>
      </x:c>
      <x:c r="E585" s="54" t="str">
        <x:v>ADMITTED</x:v>
      </x:c>
      <x:c r="F585" s="55" t="n">
        <x:v>28189</x:v>
      </x:c>
      <x:c r="G585" s="55" t="n">
        <x:v>6359</x:v>
      </x:c>
      <x:c r="H585" s="55" t="n">
        <x:v>2915</x:v>
      </x:c>
      <x:c r="I585" s="55" t="n">
        <x:v>978</x:v>
      </x:c>
      <x:c r="J585" s="55" t="n">
        <x:v>178</x:v>
      </x:c>
      <x:c r="K585" s="55" t="n">
        <x:v>28189</x:v>
      </x:c>
      <x:c r="L585" s="55" t="n">
        <x:v>3941</x:v>
      </x:c>
      <x:c r="M585" s="55" t="n">
        <x:v>0</x:v>
      </x:c>
      <x:c r="N585" s="55" t="n">
        <x:v>2753</x:v>
      </x:c>
      <x:c r="O585" s="55" t="n">
        <x:v>1188</x:v>
      </x:c>
      <x:c r="P585" s="55" t="n">
        <x:v>235</x:v>
      </x:c>
      <x:c r="Q585" s="55" t="n">
        <x:v>1445</x:v>
      </x:c>
      <x:c r="R585" s="55" t="n">
        <x:v>1068</x:v>
      </x:c>
      <x:c r="S585" s="55" t="n">
        <x:v>1946</x:v>
      </x:c>
      <x:c r="T585" s="55" t="n">
        <x:v>1012</x:v>
      </x:c>
      <x:c r="U585" s="55" t="n">
        <x:v>1895</x:v>
      </x:c>
      <x:c r="V585" s="55" t="n">
        <x:v>9704</x:v>
      </x:c>
      <x:c r="W585" s="55" t="n">
        <x:v>6938</x:v>
      </x:c>
      <x:c r="X585" s="55" t="n">
        <x:v>2766</x:v>
      </x:c>
      <x:c r="Y585" s="55" t="n">
        <x:v>2527</x:v>
      </x:c>
      <x:c r="Z585" s="55" t="n">
        <x:v>2996</x:v>
      </x:c>
      <x:c r="AA585" s="55" t="n">
        <x:v>2915</x:v>
      </x:c>
      <x:c r="AB585" s="55" t="n">
        <x:v>924</x:v>
      </x:c>
      <x:c r="AC585" s="55" t="n">
        <x:v>7346</x:v>
      </x:c>
      <x:c r="AD585" s="55" t="n">
        <x:v>2321</x:v>
      </x:c>
      <x:c r="AE585" s="55" t="n">
        <x:v>9715</x:v>
      </x:c>
      <x:c r="AF585" s="55" t="n">
        <x:v>9704</x:v>
      </x:c>
      <x:c r="AG585" s="55" t="n">
        <x:v>11</x:v>
      </x:c>
      <x:c r="AH585" s="55" t="n">
        <x:v>212</x:v>
      </x:c>
      <x:c r="AI585" s="55" t="n">
        <x:v>9492</x:v>
      </x:c>
      <x:c r="AJ585" s="55" t="n">
        <x:v>225</x:v>
      </x:c>
      <x:c r="AK585" s="55" t="n">
        <x:v>1198</x:v>
      </x:c>
      <x:c r="AL585" s="55" t="n">
        <x:v>1386</x:v>
      </x:c>
      <x:c r="AM585" s="55" t="n">
        <x:v>4722</x:v>
      </x:c>
      <x:c r="AN585" s="55" t="n">
        <x:v>2173</x:v>
      </x:c>
      <x:c r="AO585" s="55" t="n">
        <x:v>0</x:v>
      </x:c>
      <x:c r="AP585" s="55" t="n">
        <x:v>1968</x:v>
      </x:c>
      <x:c r="AQ585" s="55" t="n">
        <x:v>961</x:v>
      </x:c>
    </x:row>
    <x:row r="586">
      <x:c r="A586" s="54" t="str">
        <x:v>T1_SHARED_CATCHMENT</x:v>
      </x:c>
      <x:c r="B586" s="54" t="n">
        <x:v>580</x:v>
      </x:c>
      <x:c r="C586" s="54" t="str">
        <x:v>NYC-V2-R01</x:v>
      </x:c>
      <x:c r="D586" s="54" t="str">
        <x:v>V2</x:v>
      </x:c>
      <x:c r="E586" s="54" t="str">
        <x:v>ADMITTED</x:v>
      </x:c>
      <x:c r="F586" s="55" t="n">
        <x:v>32233</x:v>
      </x:c>
      <x:c r="G586" s="55" t="n">
        <x:v>8813</x:v>
      </x:c>
      <x:c r="H586" s="55" t="n">
        <x:v>3631</x:v>
      </x:c>
      <x:c r="I586" s="55" t="n">
        <x:v>1512</x:v>
      </x:c>
      <x:c r="J586" s="55" t="n">
        <x:v>537</x:v>
      </x:c>
      <x:c r="K586" s="55" t="n">
        <x:v>31417</x:v>
      </x:c>
      <x:c r="L586" s="55" t="n">
        <x:v>7409</x:v>
      </x:c>
      <x:c r="M586" s="55" t="n">
        <x:v>1709</x:v>
      </x:c>
      <x:c r="N586" s="55" t="n">
        <x:v>3601</x:v>
      </x:c>
      <x:c r="O586" s="55" t="n">
        <x:v>2099</x:v>
      </x:c>
      <x:c r="P586" s="55" t="n">
        <x:v>1059</x:v>
      </x:c>
      <x:c r="Q586" s="55" t="n">
        <x:v>3745</x:v>
      </x:c>
      <x:c r="R586" s="55" t="n">
        <x:v>1805</x:v>
      </x:c>
      <x:c r="S586" s="55" t="n">
        <x:v>3270</x:v>
      </x:c>
      <x:c r="T586" s="55" t="n">
        <x:v>1810</x:v>
      </x:c>
      <x:c r="U586" s="55" t="n">
        <x:v>2427</x:v>
      </x:c>
      <x:c r="V586" s="55" t="n">
        <x:v>10250</x:v>
      </x:c>
      <x:c r="W586" s="55" t="n">
        <x:v>6755</x:v>
      </x:c>
      <x:c r="X586" s="55" t="n">
        <x:v>3495</x:v>
      </x:c>
      <x:c r="Y586" s="55" t="n">
        <x:v>3164</x:v>
      </x:c>
      <x:c r="Z586" s="55" t="n">
        <x:v>3814</x:v>
      </x:c>
      <x:c r="AA586" s="55" t="n">
        <x:v>3631</x:v>
      </x:c>
      <x:c r="AB586" s="55" t="n">
        <x:v>1468</x:v>
      </x:c>
      <x:c r="AC586" s="55" t="n">
        <x:v>8462</x:v>
      </x:c>
      <x:c r="AD586" s="55" t="n">
        <x:v>3420</x:v>
      </x:c>
      <x:c r="AE586" s="55" t="n">
        <x:v>10419</x:v>
      </x:c>
      <x:c r="AF586" s="55" t="n">
        <x:v>10250</x:v>
      </x:c>
      <x:c r="AG586" s="55" t="n">
        <x:v>169</x:v>
      </x:c>
      <x:c r="AH586" s="55" t="n">
        <x:v>450</x:v>
      </x:c>
      <x:c r="AI586" s="55" t="n">
        <x:v>9800</x:v>
      </x:c>
      <x:c r="AJ586" s="55" t="n">
        <x:v>239</x:v>
      </x:c>
      <x:c r="AK586" s="55" t="n">
        <x:v>1155</x:v>
      </x:c>
      <x:c r="AL586" s="55" t="n">
        <x:v>1525</x:v>
      </x:c>
      <x:c r="AM586" s="55" t="n">
        <x:v>4584</x:v>
      </x:c>
      <x:c r="AN586" s="55" t="n">
        <x:v>2701</x:v>
      </x:c>
      <x:c r="AO586" s="55" t="n">
        <x:v>46</x:v>
      </x:c>
      <x:c r="AP586" s="55" t="n">
        <x:v>2725</x:v>
      </x:c>
      <x:c r="AQ586" s="55" t="n">
        <x:v>973</x:v>
      </x:c>
    </x:row>
    <x:row r="587">
      <x:c r="A587" s="54" t="str">
        <x:v>T1_SHARED_CATCHMENT</x:v>
      </x:c>
      <x:c r="B587" s="54" t="n">
        <x:v>581</x:v>
      </x:c>
      <x:c r="C587" s="54" t="str">
        <x:v>NYC-V2-R01</x:v>
      </x:c>
      <x:c r="D587" s="54" t="str">
        <x:v>V2</x:v>
      </x:c>
      <x:c r="E587" s="54" t="str">
        <x:v>ADMITTED</x:v>
      </x:c>
      <x:c r="F587" s="55" t="n">
        <x:v>31966</x:v>
      </x:c>
      <x:c r="G587" s="55" t="n">
        <x:v>8683</x:v>
      </x:c>
      <x:c r="H587" s="55" t="n">
        <x:v>2909</x:v>
      </x:c>
      <x:c r="I587" s="55" t="n">
        <x:v>1080</x:v>
      </x:c>
      <x:c r="J587" s="55" t="n">
        <x:v>200</x:v>
      </x:c>
      <x:c r="K587" s="55" t="n">
        <x:v>30921</x:v>
      </x:c>
      <x:c r="L587" s="55" t="n">
        <x:v>6016</x:v>
      </x:c>
      <x:c r="M587" s="55" t="n">
        <x:v>1780</x:v>
      </x:c>
      <x:c r="N587" s="55" t="n">
        <x:v>2547</x:v>
      </x:c>
      <x:c r="O587" s="55" t="n">
        <x:v>1689</x:v>
      </x:c>
      <x:c r="P587" s="55" t="n">
        <x:v>738</x:v>
      </x:c>
      <x:c r="Q587" s="55" t="n">
        <x:v>2463</x:v>
      </x:c>
      <x:c r="R587" s="55" t="n">
        <x:v>1769</x:v>
      </x:c>
      <x:c r="S587" s="55" t="n">
        <x:v>2810</x:v>
      </x:c>
      <x:c r="T587" s="55" t="n">
        <x:v>1815</x:v>
      </x:c>
      <x:c r="U587" s="55" t="n">
        <x:v>2257</x:v>
      </x:c>
      <x:c r="V587" s="55" t="n">
        <x:v>9685</x:v>
      </x:c>
      <x:c r="W587" s="55" t="n">
        <x:v>6386</x:v>
      </x:c>
      <x:c r="X587" s="55" t="n">
        <x:v>3299</x:v>
      </x:c>
      <x:c r="Y587" s="55" t="n">
        <x:v>2933</x:v>
      </x:c>
      <x:c r="Z587" s="55" t="n">
        <x:v>3092</x:v>
      </x:c>
      <x:c r="AA587" s="55" t="n">
        <x:v>2455</x:v>
      </x:c>
      <x:c r="AB587" s="55" t="n">
        <x:v>778</x:v>
      </x:c>
      <x:c r="AC587" s="55" t="n">
        <x:v>7675</x:v>
      </x:c>
      <x:c r="AD587" s="55" t="n">
        <x:v>2898</x:v>
      </x:c>
      <x:c r="AE587" s="55" t="n">
        <x:v>9827</x:v>
      </x:c>
      <x:c r="AF587" s="55" t="n">
        <x:v>9685</x:v>
      </x:c>
      <x:c r="AG587" s="55" t="n">
        <x:v>142</x:v>
      </x:c>
      <x:c r="AH587" s="55" t="n">
        <x:v>126</x:v>
      </x:c>
      <x:c r="AI587" s="55" t="n">
        <x:v>9559</x:v>
      </x:c>
      <x:c r="AJ587" s="55" t="n">
        <x:v>409</x:v>
      </x:c>
      <x:c r="AK587" s="55" t="n">
        <x:v>743</x:v>
      </x:c>
      <x:c r="AL587" s="55" t="n">
        <x:v>1426</x:v>
      </x:c>
      <x:c r="AM587" s="55" t="n">
        <x:v>4480</x:v>
      </x:c>
      <x:c r="AN587" s="55" t="n">
        <x:v>2627</x:v>
      </x:c>
      <x:c r="AO587" s="55" t="n">
        <x:v>0</x:v>
      </x:c>
      <x:c r="AP587" s="55" t="n">
        <x:v>1898</x:v>
      </x:c>
      <x:c r="AQ587" s="55" t="n">
        <x:v>942</x:v>
      </x:c>
    </x:row>
    <x:row r="588">
      <x:c r="A588" s="54" t="str">
        <x:v>T1_SHARED_CATCHMENT</x:v>
      </x:c>
      <x:c r="B588" s="54" t="n">
        <x:v>582</x:v>
      </x:c>
      <x:c r="C588" s="54" t="str">
        <x:v>NYC-V2-R01</x:v>
      </x:c>
      <x:c r="D588" s="54" t="str">
        <x:v>V2</x:v>
      </x:c>
      <x:c r="E588" s="54" t="str">
        <x:v>ADMITTED</x:v>
      </x:c>
      <x:c r="F588" s="55" t="n">
        <x:v>30271</x:v>
      </x:c>
      <x:c r="G588" s="55" t="n">
        <x:v>8485</x:v>
      </x:c>
      <x:c r="H588" s="55" t="n">
        <x:v>3477</x:v>
      </x:c>
      <x:c r="I588" s="55" t="n">
        <x:v>1832</x:v>
      </x:c>
      <x:c r="J588" s="55" t="n">
        <x:v>400</x:v>
      </x:c>
      <x:c r="K588" s="55" t="n">
        <x:v>30271</x:v>
      </x:c>
      <x:c r="L588" s="55" t="n">
        <x:v>5739</x:v>
      </x:c>
      <x:c r="M588" s="55" t="n">
        <x:v>1284</x:v>
      </x:c>
      <x:c r="N588" s="55" t="n">
        <x:v>2815</x:v>
      </x:c>
      <x:c r="O588" s="55" t="n">
        <x:v>1640</x:v>
      </x:c>
      <x:c r="P588" s="55" t="n">
        <x:v>604</x:v>
      </x:c>
      <x:c r="Q588" s="55" t="n">
        <x:v>2498</x:v>
      </x:c>
      <x:c r="R588" s="55" t="n">
        <x:v>2248</x:v>
      </x:c>
      <x:c r="S588" s="55" t="n">
        <x:v>3280</x:v>
      </x:c>
      <x:c r="T588" s="55" t="n">
        <x:v>941</x:v>
      </x:c>
      <x:c r="U588" s="55" t="n">
        <x:v>2536</x:v>
      </x:c>
      <x:c r="V588" s="55" t="n">
        <x:v>10369</x:v>
      </x:c>
      <x:c r="W588" s="55" t="n">
        <x:v>7165</x:v>
      </x:c>
      <x:c r="X588" s="55" t="n">
        <x:v>3204</x:v>
      </x:c>
      <x:c r="Y588" s="55" t="n">
        <x:v>2804</x:v>
      </x:c>
      <x:c r="Z588" s="55" t="n">
        <x:v>3874</x:v>
      </x:c>
      <x:c r="AA588" s="55" t="n">
        <x:v>3409</x:v>
      </x:c>
      <x:c r="AB588" s="55" t="n">
        <x:v>1381</x:v>
      </x:c>
      <x:c r="AC588" s="55" t="n">
        <x:v>8156</x:v>
      </x:c>
      <x:c r="AD588" s="55" t="n">
        <x:v>3041</x:v>
      </x:c>
      <x:c r="AE588" s="55" t="n">
        <x:v>10440</x:v>
      </x:c>
      <x:c r="AF588" s="55" t="n">
        <x:v>10369</x:v>
      </x:c>
      <x:c r="AG588" s="55" t="n">
        <x:v>71</x:v>
      </x:c>
      <x:c r="AH588" s="55" t="n">
        <x:v>525</x:v>
      </x:c>
      <x:c r="AI588" s="55" t="n">
        <x:v>9844</x:v>
      </x:c>
      <x:c r="AJ588" s="55" t="n">
        <x:v>170</x:v>
      </x:c>
      <x:c r="AK588" s="55" t="n">
        <x:v>1048</x:v>
      </x:c>
      <x:c r="AL588" s="55" t="n">
        <x:v>1479</x:v>
      </x:c>
      <x:c r="AM588" s="55" t="n">
        <x:v>4579</x:v>
      </x:c>
      <x:c r="AN588" s="55" t="n">
        <x:v>2995</x:v>
      </x:c>
      <x:c r="AO588" s="55" t="n">
        <x:v>98</x:v>
      </x:c>
      <x:c r="AP588" s="55" t="n">
        <x:v>1996</x:v>
      </x:c>
      <x:c r="AQ588" s="55" t="n">
        <x:v>947</x:v>
      </x:c>
    </x:row>
    <x:row r="589">
      <x:c r="A589" s="54" t="str">
        <x:v>T1_SHARED_CATCHMENT</x:v>
      </x:c>
      <x:c r="B589" s="54" t="n">
        <x:v>583</x:v>
      </x:c>
      <x:c r="C589" s="54" t="str">
        <x:v>NYC-V2-R01</x:v>
      </x:c>
      <x:c r="D589" s="54" t="str">
        <x:v>V2</x:v>
      </x:c>
      <x:c r="E589" s="54" t="str">
        <x:v>ADMITTED</x:v>
      </x:c>
      <x:c r="F589" s="55" t="n">
        <x:v>30940</x:v>
      </x:c>
      <x:c r="G589" s="55" t="n">
        <x:v>6818</x:v>
      </x:c>
      <x:c r="H589" s="55" t="n">
        <x:v>3660</x:v>
      </x:c>
      <x:c r="I589" s="55" t="n">
        <x:v>1369</x:v>
      </x:c>
      <x:c r="J589" s="55" t="n">
        <x:v>305</x:v>
      </x:c>
      <x:c r="K589" s="55" t="n">
        <x:v>30940</x:v>
      </x:c>
      <x:c r="L589" s="55" t="n">
        <x:v>5635</x:v>
      </x:c>
      <x:c r="M589" s="55" t="n">
        <x:v>1620</x:v>
      </x:c>
      <x:c r="N589" s="55" t="n">
        <x:v>2278</x:v>
      </x:c>
      <x:c r="O589" s="55" t="n">
        <x:v>1737</x:v>
      </x:c>
      <x:c r="P589" s="55" t="n">
        <x:v>1188</x:v>
      </x:c>
      <x:c r="Q589" s="55" t="n">
        <x:v>1350</x:v>
      </x:c>
      <x:c r="R589" s="55" t="n">
        <x:v>1832</x:v>
      </x:c>
      <x:c r="S589" s="55" t="n">
        <x:v>3014</x:v>
      </x:c>
      <x:c r="T589" s="55" t="n">
        <x:v>1547</x:v>
      </x:c>
      <x:c r="U589" s="55" t="n">
        <x:v>2066</x:v>
      </x:c>
      <x:c r="V589" s="55" t="n">
        <x:v>10797</x:v>
      </x:c>
      <x:c r="W589" s="55" t="n">
        <x:v>7870</x:v>
      </x:c>
      <x:c r="X589" s="55" t="n">
        <x:v>2927</x:v>
      </x:c>
      <x:c r="Y589" s="55" t="n">
        <x:v>2380</x:v>
      </x:c>
      <x:c r="Z589" s="55" t="n">
        <x:v>4406</x:v>
      </x:c>
      <x:c r="AA589" s="55" t="n">
        <x:v>3660</x:v>
      </x:c>
      <x:c r="AB589" s="55" t="n">
        <x:v>1492</x:v>
      </x:c>
      <x:c r="AC589" s="55" t="n">
        <x:v>7303</x:v>
      </x:c>
      <x:c r="AD589" s="55" t="n">
        <x:v>2431</x:v>
      </x:c>
      <x:c r="AE589" s="55" t="n">
        <x:v>10853</x:v>
      </x:c>
      <x:c r="AF589" s="55" t="n">
        <x:v>10797</x:v>
      </x:c>
      <x:c r="AG589" s="55" t="n">
        <x:v>56</x:v>
      </x:c>
      <x:c r="AH589" s="55" t="n">
        <x:v>580</x:v>
      </x:c>
      <x:c r="AI589" s="55" t="n">
        <x:v>10217</x:v>
      </x:c>
      <x:c r="AJ589" s="55" t="n">
        <x:v>421</x:v>
      </x:c>
      <x:c r="AK589" s="55" t="n">
        <x:v>1241</x:v>
      </x:c>
      <x:c r="AL589" s="55" t="n">
        <x:v>1409</x:v>
      </x:c>
      <x:c r="AM589" s="55" t="n">
        <x:v>5126</x:v>
      </x:c>
      <x:c r="AN589" s="55" t="n">
        <x:v>2537</x:v>
      </x:c>
      <x:c r="AO589" s="55" t="n">
        <x:v>63</x:v>
      </x:c>
      <x:c r="AP589" s="55" t="n">
        <x:v>2325</x:v>
      </x:c>
      <x:c r="AQ589" s="55" t="n">
        <x:v>973</x:v>
      </x:c>
    </x:row>
    <x:row r="590">
      <x:c r="A590" s="54" t="str">
        <x:v>T1_SHARED_CATCHMENT</x:v>
      </x:c>
      <x:c r="B590" s="54" t="n">
        <x:v>584</x:v>
      </x:c>
      <x:c r="C590" s="54" t="str">
        <x:v>NYC-V2-R01</x:v>
      </x:c>
      <x:c r="D590" s="54" t="str">
        <x:v>V2</x:v>
      </x:c>
      <x:c r="E590" s="54" t="str">
        <x:v>ADMITTED</x:v>
      </x:c>
      <x:c r="F590" s="55" t="n">
        <x:v>28874</x:v>
      </x:c>
      <x:c r="G590" s="55" t="n">
        <x:v>7173</x:v>
      </x:c>
      <x:c r="H590" s="55" t="n">
        <x:v>3257</x:v>
      </x:c>
      <x:c r="I590" s="55" t="n">
        <x:v>1720</x:v>
      </x:c>
      <x:c r="J590" s="55" t="n">
        <x:v>346</x:v>
      </x:c>
      <x:c r="K590" s="55" t="n">
        <x:v>28874</x:v>
      </x:c>
      <x:c r="L590" s="55" t="n">
        <x:v>6173</x:v>
      </x:c>
      <x:c r="M590" s="55" t="n">
        <x:v>1033</x:v>
      </x:c>
      <x:c r="N590" s="55" t="n">
        <x:v>3312</x:v>
      </x:c>
      <x:c r="O590" s="55" t="n">
        <x:v>1828</x:v>
      </x:c>
      <x:c r="P590" s="55" t="n">
        <x:v>1019</x:v>
      </x:c>
      <x:c r="Q590" s="55" t="n">
        <x:v>1437</x:v>
      </x:c>
      <x:c r="R590" s="55" t="n">
        <x:v>2212</x:v>
      </x:c>
      <x:c r="S590" s="55" t="n">
        <x:v>3062</x:v>
      </x:c>
      <x:c r="T590" s="55" t="n">
        <x:v>660</x:v>
      </x:c>
      <x:c r="U590" s="55" t="n">
        <x:v>2097</x:v>
      </x:c>
      <x:c r="V590" s="55" t="n">
        <x:v>10243</x:v>
      </x:c>
      <x:c r="W590" s="55" t="n">
        <x:v>7407</x:v>
      </x:c>
      <x:c r="X590" s="55" t="n">
        <x:v>2836</x:v>
      </x:c>
      <x:c r="Y590" s="55" t="n">
        <x:v>2038</x:v>
      </x:c>
      <x:c r="Z590" s="55" t="n">
        <x:v>3778</x:v>
      </x:c>
      <x:c r="AA590" s="55" t="n">
        <x:v>2939</x:v>
      </x:c>
      <x:c r="AB590" s="55" t="n">
        <x:v>1201</x:v>
      </x:c>
      <x:c r="AC590" s="55" t="n">
        <x:v>7410</x:v>
      </x:c>
      <x:c r="AD590" s="55" t="n">
        <x:v>2655</x:v>
      </x:c>
      <x:c r="AE590" s="55" t="n">
        <x:v>10353</x:v>
      </x:c>
      <x:c r="AF590" s="55" t="n">
        <x:v>10243</x:v>
      </x:c>
      <x:c r="AG590" s="55" t="n">
        <x:v>110</x:v>
      </x:c>
      <x:c r="AH590" s="55" t="n">
        <x:v>250</x:v>
      </x:c>
      <x:c r="AI590" s="55" t="n">
        <x:v>9993</x:v>
      </x:c>
      <x:c r="AJ590" s="55" t="n">
        <x:v>301</x:v>
      </x:c>
      <x:c r="AK590" s="55" t="n">
        <x:v>826</x:v>
      </x:c>
      <x:c r="AL590" s="55" t="n">
        <x:v>1382</x:v>
      </x:c>
      <x:c r="AM590" s="55" t="n">
        <x:v>5175</x:v>
      </x:c>
      <x:c r="AN590" s="55" t="n">
        <x:v>2559</x:v>
      </x:c>
      <x:c r="AO590" s="55" t="n">
        <x:v>0</x:v>
      </x:c>
      <x:c r="AP590" s="55" t="n">
        <x:v>2184</x:v>
      </x:c>
      <x:c r="AQ590" s="55" t="n">
        <x:v>915</x:v>
      </x:c>
    </x:row>
    <x:row r="591">
      <x:c r="A591" s="54" t="str">
        <x:v>T1_SHARED_CATCHMENT</x:v>
      </x:c>
      <x:c r="B591" s="54" t="n">
        <x:v>585</x:v>
      </x:c>
      <x:c r="C591" s="54" t="str">
        <x:v>NYC-V2-R01</x:v>
      </x:c>
      <x:c r="D591" s="54" t="str">
        <x:v>V2</x:v>
      </x:c>
      <x:c r="E591" s="54" t="str">
        <x:v>ADMITTED</x:v>
      </x:c>
      <x:c r="F591" s="55" t="n">
        <x:v>30880</x:v>
      </x:c>
      <x:c r="G591" s="55" t="n">
        <x:v>8564</x:v>
      </x:c>
      <x:c r="H591" s="55" t="n">
        <x:v>3419</x:v>
      </x:c>
      <x:c r="I591" s="55" t="n">
        <x:v>1098</x:v>
      </x:c>
      <x:c r="J591" s="55" t="n">
        <x:v>253</x:v>
      </x:c>
      <x:c r="K591" s="55" t="n">
        <x:v>29949</x:v>
      </x:c>
      <x:c r="L591" s="55" t="n">
        <x:v>4650</x:v>
      </x:c>
      <x:c r="M591" s="55" t="n">
        <x:v>625</x:v>
      </x:c>
      <x:c r="N591" s="55" t="n">
        <x:v>1920</x:v>
      </x:c>
      <x:c r="O591" s="55" t="n">
        <x:v>2105</x:v>
      </x:c>
      <x:c r="P591" s="55" t="n">
        <x:v>502</x:v>
      </x:c>
      <x:c r="Q591" s="55" t="n">
        <x:v>1620</x:v>
      </x:c>
      <x:c r="R591" s="55" t="n">
        <x:v>2330</x:v>
      </x:c>
      <x:c r="S591" s="55" t="n">
        <x:v>2100</x:v>
      </x:c>
      <x:c r="T591" s="55" t="n">
        <x:v>1552</x:v>
      </x:c>
      <x:c r="U591" s="55" t="n">
        <x:v>2564</x:v>
      </x:c>
      <x:c r="V591" s="55" t="n">
        <x:v>11007</x:v>
      </x:c>
      <x:c r="W591" s="55" t="n">
        <x:v>8384</x:v>
      </x:c>
      <x:c r="X591" s="55" t="n">
        <x:v>2623</x:v>
      </x:c>
      <x:c r="Y591" s="55" t="n">
        <x:v>2168</x:v>
      </x:c>
      <x:c r="Z591" s="55" t="n">
        <x:v>4350</x:v>
      </x:c>
      <x:c r="AA591" s="55" t="n">
        <x:v>3419</x:v>
      </x:c>
      <x:c r="AB591" s="55" t="n">
        <x:v>1194</x:v>
      </x:c>
      <x:c r="AC591" s="55" t="n">
        <x:v>7774</x:v>
      </x:c>
      <x:c r="AD591" s="55" t="n">
        <x:v>3719</x:v>
      </x:c>
      <x:c r="AE591" s="55" t="n">
        <x:v>11103</x:v>
      </x:c>
      <x:c r="AF591" s="55" t="n">
        <x:v>11007</x:v>
      </x:c>
      <x:c r="AG591" s="55" t="n">
        <x:v>96</x:v>
      </x:c>
      <x:c r="AH591" s="55" t="n">
        <x:v>540</x:v>
      </x:c>
      <x:c r="AI591" s="55" t="n">
        <x:v>10467</x:v>
      </x:c>
      <x:c r="AJ591" s="55" t="n">
        <x:v>395</x:v>
      </x:c>
      <x:c r="AK591" s="55" t="n">
        <x:v>805</x:v>
      </x:c>
      <x:c r="AL591" s="55" t="n">
        <x:v>1963</x:v>
      </x:c>
      <x:c r="AM591" s="55" t="n">
        <x:v>5088</x:v>
      </x:c>
      <x:c r="AN591" s="55" t="n">
        <x:v>2676</x:v>
      </x:c>
      <x:c r="AO591" s="55" t="n">
        <x:v>80</x:v>
      </x:c>
      <x:c r="AP591" s="55" t="n">
        <x:v>2303</x:v>
      </x:c>
      <x:c r="AQ591" s="55" t="n">
        <x:v>962</x:v>
      </x:c>
    </x:row>
    <x:row r="592">
      <x:c r="A592" s="54" t="str">
        <x:v>T1_SHARED_CATCHMENT</x:v>
      </x:c>
      <x:c r="B592" s="54" t="n">
        <x:v>586</x:v>
      </x:c>
      <x:c r="C592" s="54" t="str">
        <x:v>NYC-V2-R01</x:v>
      </x:c>
      <x:c r="D592" s="54" t="str">
        <x:v>V2</x:v>
      </x:c>
      <x:c r="E592" s="54" t="str">
        <x:v>ADMITTED</x:v>
      </x:c>
      <x:c r="F592" s="55" t="n">
        <x:v>31278</x:v>
      </x:c>
      <x:c r="G592" s="55" t="n">
        <x:v>8711</x:v>
      </x:c>
      <x:c r="H592" s="55" t="n">
        <x:v>3609</x:v>
      </x:c>
      <x:c r="I592" s="55" t="n">
        <x:v>1095</x:v>
      </x:c>
      <x:c r="J592" s="55" t="n">
        <x:v>98</x:v>
      </x:c>
      <x:c r="K592" s="55" t="n">
        <x:v>30286</x:v>
      </x:c>
      <x:c r="L592" s="55" t="n">
        <x:v>6124</x:v>
      </x:c>
      <x:c r="M592" s="55" t="n">
        <x:v>1660</x:v>
      </x:c>
      <x:c r="N592" s="55" t="n">
        <x:v>2821</x:v>
      </x:c>
      <x:c r="O592" s="55" t="n">
        <x:v>1643</x:v>
      </x:c>
      <x:c r="P592" s="55" t="n">
        <x:v>1098</x:v>
      </x:c>
      <x:c r="Q592" s="55" t="n">
        <x:v>2546</x:v>
      </x:c>
      <x:c r="R592" s="55" t="n">
        <x:v>1475</x:v>
      </x:c>
      <x:c r="S592" s="55" t="n">
        <x:v>2956</x:v>
      </x:c>
      <x:c r="T592" s="55" t="n">
        <x:v>989</x:v>
      </x:c>
      <x:c r="U592" s="55" t="n">
        <x:v>2149</x:v>
      </x:c>
      <x:c r="V592" s="55" t="n">
        <x:v>10245</x:v>
      </x:c>
      <x:c r="W592" s="55" t="n">
        <x:v>6708</x:v>
      </x:c>
      <x:c r="X592" s="55" t="n">
        <x:v>3537</x:v>
      </x:c>
      <x:c r="Y592" s="55" t="n">
        <x:v>3036</x:v>
      </x:c>
      <x:c r="Z592" s="55" t="n">
        <x:v>4068</x:v>
      </x:c>
      <x:c r="AA592" s="55" t="n">
        <x:v>3609</x:v>
      </x:c>
      <x:c r="AB592" s="55" t="n">
        <x:v>1523</x:v>
      </x:c>
      <x:c r="AC592" s="55" t="n">
        <x:v>7725</x:v>
      </x:c>
      <x:c r="AD592" s="55" t="n">
        <x:v>2520</x:v>
      </x:c>
      <x:c r="AE592" s="55" t="n">
        <x:v>10311</x:v>
      </x:c>
      <x:c r="AF592" s="55" t="n">
        <x:v>10245</x:v>
      </x:c>
      <x:c r="AG592" s="55" t="n">
        <x:v>66</x:v>
      </x:c>
      <x:c r="AH592" s="55" t="n">
        <x:v>428</x:v>
      </x:c>
      <x:c r="AI592" s="55" t="n">
        <x:v>9817</x:v>
      </x:c>
      <x:c r="AJ592" s="55" t="n">
        <x:v>234</x:v>
      </x:c>
      <x:c r="AK592" s="55" t="n">
        <x:v>938</x:v>
      </x:c>
      <x:c r="AL592" s="55" t="n">
        <x:v>1656</x:v>
      </x:c>
      <x:c r="AM592" s="55" t="n">
        <x:v>4758</x:v>
      </x:c>
      <x:c r="AN592" s="55" t="n">
        <x:v>2659</x:v>
      </x:c>
      <x:c r="AO592" s="55" t="n">
        <x:v>0</x:v>
      </x:c>
      <x:c r="AP592" s="55" t="n">
        <x:v>2245</x:v>
      </x:c>
      <x:c r="AQ592" s="55" t="n">
        <x:v>964</x:v>
      </x:c>
    </x:row>
    <x:row r="593">
      <x:c r="A593" s="54" t="str">
        <x:v>T1_SHARED_CATCHMENT</x:v>
      </x:c>
      <x:c r="B593" s="54" t="n">
        <x:v>587</x:v>
      </x:c>
      <x:c r="C593" s="54" t="str">
        <x:v>NYC-V2-R01</x:v>
      </x:c>
      <x:c r="D593" s="54" t="str">
        <x:v>V2</x:v>
      </x:c>
      <x:c r="E593" s="54" t="str">
        <x:v>ADMITTED</x:v>
      </x:c>
      <x:c r="F593" s="55" t="n">
        <x:v>31140</x:v>
      </x:c>
      <x:c r="G593" s="55" t="n">
        <x:v>6766</x:v>
      </x:c>
      <x:c r="H593" s="55" t="n">
        <x:v>3637</x:v>
      </x:c>
      <x:c r="I593" s="55" t="n">
        <x:v>1732</x:v>
      </x:c>
      <x:c r="J593" s="55" t="n">
        <x:v>78</x:v>
      </x:c>
      <x:c r="K593" s="55" t="n">
        <x:v>31140</x:v>
      </x:c>
      <x:c r="L593" s="55" t="n">
        <x:v>5814</x:v>
      </x:c>
      <x:c r="M593" s="55" t="n">
        <x:v>1757</x:v>
      </x:c>
      <x:c r="N593" s="55" t="n">
        <x:v>1947</x:v>
      </x:c>
      <x:c r="O593" s="55" t="n">
        <x:v>2110</x:v>
      </x:c>
      <x:c r="P593" s="55" t="n">
        <x:v>502</x:v>
      </x:c>
      <x:c r="Q593" s="55" t="n">
        <x:v>1785</x:v>
      </x:c>
      <x:c r="R593" s="55" t="n">
        <x:v>1917</x:v>
      </x:c>
      <x:c r="S593" s="55" t="n">
        <x:v>1822</x:v>
      </x:c>
      <x:c r="T593" s="55" t="n">
        <x:v>1268</x:v>
      </x:c>
      <x:c r="U593" s="55" t="n">
        <x:v>2316</x:v>
      </x:c>
      <x:c r="V593" s="55" t="n">
        <x:v>9943</x:v>
      </x:c>
      <x:c r="W593" s="55" t="n">
        <x:v>6969</x:v>
      </x:c>
      <x:c r="X593" s="55" t="n">
        <x:v>2974</x:v>
      </x:c>
      <x:c r="Y593" s="55" t="n">
        <x:v>2635</x:v>
      </x:c>
      <x:c r="Z593" s="55" t="n">
        <x:v>4200</x:v>
      </x:c>
      <x:c r="AA593" s="55" t="n">
        <x:v>2915</x:v>
      </x:c>
      <x:c r="AB593" s="55" t="n">
        <x:v>1306</x:v>
      </x:c>
      <x:c r="AC593" s="55" t="n">
        <x:v>7924</x:v>
      </x:c>
      <x:c r="AD593" s="55" t="n">
        <x:v>2491</x:v>
      </x:c>
      <x:c r="AE593" s="55" t="n">
        <x:v>9993</x:v>
      </x:c>
      <x:c r="AF593" s="55" t="n">
        <x:v>9943</x:v>
      </x:c>
      <x:c r="AG593" s="55" t="n">
        <x:v>50</x:v>
      </x:c>
      <x:c r="AH593" s="55" t="n">
        <x:v>445</x:v>
      </x:c>
      <x:c r="AI593" s="55" t="n">
        <x:v>9498</x:v>
      </x:c>
      <x:c r="AJ593" s="55" t="n">
        <x:v>362</x:v>
      </x:c>
      <x:c r="AK593" s="55" t="n">
        <x:v>694</x:v>
      </x:c>
      <x:c r="AL593" s="55" t="n">
        <x:v>1574</x:v>
      </x:c>
      <x:c r="AM593" s="55" t="n">
        <x:v>4603</x:v>
      </x:c>
      <x:c r="AN593" s="55" t="n">
        <x:v>2676</x:v>
      </x:c>
      <x:c r="AO593" s="55" t="n">
        <x:v>34</x:v>
      </x:c>
      <x:c r="AP593" s="55" t="n">
        <x:v>2486</x:v>
      </x:c>
      <x:c r="AQ593" s="55" t="n">
        <x:v>935</x:v>
      </x:c>
    </x:row>
    <x:row r="594">
      <x:c r="A594" s="54" t="str">
        <x:v>T1_SHARED_CATCHMENT</x:v>
      </x:c>
      <x:c r="B594" s="54" t="n">
        <x:v>588</x:v>
      </x:c>
      <x:c r="C594" s="54" t="str">
        <x:v>NYC-V2-R01</x:v>
      </x:c>
      <x:c r="D594" s="54" t="str">
        <x:v>V2</x:v>
      </x:c>
      <x:c r="E594" s="54" t="str">
        <x:v>ADMITTED</x:v>
      </x:c>
      <x:c r="F594" s="55" t="n">
        <x:v>30800</x:v>
      </x:c>
      <x:c r="G594" s="55" t="n">
        <x:v>7374</x:v>
      </x:c>
      <x:c r="H594" s="55" t="n">
        <x:v>2566</x:v>
      </x:c>
      <x:c r="I594" s="55" t="n">
        <x:v>1017</x:v>
      </x:c>
      <x:c r="J594" s="55" t="n">
        <x:v>70</x:v>
      </x:c>
      <x:c r="K594" s="55" t="n">
        <x:v>30134</x:v>
      </x:c>
      <x:c r="L594" s="55" t="n">
        <x:v>4714</x:v>
      </x:c>
      <x:c r="M594" s="55" t="n">
        <x:v>616</x:v>
      </x:c>
      <x:c r="N594" s="55" t="n">
        <x:v>2004</x:v>
      </x:c>
      <x:c r="O594" s="55" t="n">
        <x:v>2094</x:v>
      </x:c>
      <x:c r="P594" s="55" t="n">
        <x:v>481</x:v>
      </x:c>
      <x:c r="Q594" s="55" t="n">
        <x:v>2097</x:v>
      </x:c>
      <x:c r="R594" s="55" t="n">
        <x:v>1602</x:v>
      </x:c>
      <x:c r="S594" s="55" t="n">
        <x:v>2542</x:v>
      </x:c>
      <x:c r="T594" s="55" t="n">
        <x:v>942</x:v>
      </x:c>
      <x:c r="U594" s="55" t="n">
        <x:v>1907</x:v>
      </x:c>
      <x:c r="V594" s="55" t="n">
        <x:v>10381</x:v>
      </x:c>
      <x:c r="W594" s="55" t="n">
        <x:v>7349</x:v>
      </x:c>
      <x:c r="X594" s="55" t="n">
        <x:v>3032</x:v>
      </x:c>
      <x:c r="Y594" s="55" t="n">
        <x:v>2748</x:v>
      </x:c>
      <x:c r="Z594" s="55" t="n">
        <x:v>3539</x:v>
      </x:c>
      <x:c r="AA594" s="55" t="n">
        <x:v>2510</x:v>
      </x:c>
      <x:c r="AB594" s="55" t="n">
        <x:v>971</x:v>
      </x:c>
      <x:c r="AC594" s="55" t="n">
        <x:v>8110</x:v>
      </x:c>
      <x:c r="AD594" s="55" t="n">
        <x:v>3373</x:v>
      </x:c>
      <x:c r="AE594" s="55" t="n">
        <x:v>10446</x:v>
      </x:c>
      <x:c r="AF594" s="55" t="n">
        <x:v>10381</x:v>
      </x:c>
      <x:c r="AG594" s="55" t="n">
        <x:v>65</x:v>
      </x:c>
      <x:c r="AH594" s="55" t="n">
        <x:v>445</x:v>
      </x:c>
      <x:c r="AI594" s="55" t="n">
        <x:v>9936</x:v>
      </x:c>
      <x:c r="AJ594" s="55" t="n">
        <x:v>366</x:v>
      </x:c>
      <x:c r="AK594" s="55" t="n">
        <x:v>842</x:v>
      </x:c>
      <x:c r="AL594" s="55" t="n">
        <x:v>1190</x:v>
      </x:c>
      <x:c r="AM594" s="55" t="n">
        <x:v>4671</x:v>
      </x:c>
      <x:c r="AN594" s="55" t="n">
        <x:v>3311</x:v>
      </x:c>
      <x:c r="AO594" s="55" t="n">
        <x:v>1</x:v>
      </x:c>
      <x:c r="AP594" s="55" t="n">
        <x:v>1931</x:v>
      </x:c>
      <x:c r="AQ594" s="55" t="n">
        <x:v>943</x:v>
      </x:c>
    </x:row>
    <x:row r="595">
      <x:c r="A595" s="54" t="str">
        <x:v>T1_SHARED_CATCHMENT</x:v>
      </x:c>
      <x:c r="B595" s="54" t="n">
        <x:v>589</x:v>
      </x:c>
      <x:c r="C595" s="54" t="str">
        <x:v>NYC-V2-R01</x:v>
      </x:c>
      <x:c r="D595" s="54" t="str">
        <x:v>V2</x:v>
      </x:c>
      <x:c r="E595" s="54" t="str">
        <x:v>ADMITTED</x:v>
      </x:c>
      <x:c r="F595" s="55" t="n">
        <x:v>31281</x:v>
      </x:c>
      <x:c r="G595" s="55" t="n">
        <x:v>6333</x:v>
      </x:c>
      <x:c r="H595" s="55" t="n">
        <x:v>3477</x:v>
      </x:c>
      <x:c r="I595" s="55" t="n">
        <x:v>1369</x:v>
      </x:c>
      <x:c r="J595" s="55" t="n">
        <x:v>128</x:v>
      </x:c>
      <x:c r="K595" s="55" t="n">
        <x:v>31281</x:v>
      </x:c>
      <x:c r="L595" s="55" t="n">
        <x:v>5185</x:v>
      </x:c>
      <x:c r="M595" s="55" t="n">
        <x:v>1532</x:v>
      </x:c>
      <x:c r="N595" s="55" t="n">
        <x:v>2180</x:v>
      </x:c>
      <x:c r="O595" s="55" t="n">
        <x:v>1473</x:v>
      </x:c>
      <x:c r="P595" s="55" t="n">
        <x:v>723</x:v>
      </x:c>
      <x:c r="Q595" s="55" t="n">
        <x:v>2157</x:v>
      </x:c>
      <x:c r="R595" s="55" t="n">
        <x:v>1590</x:v>
      </x:c>
      <x:c r="S595" s="55" t="n">
        <x:v>2375</x:v>
      </x:c>
      <x:c r="T595" s="55" t="n">
        <x:v>1245</x:v>
      </x:c>
      <x:c r="U595" s="55" t="n">
        <x:v>1392</x:v>
      </x:c>
      <x:c r="V595" s="55" t="n">
        <x:v>10005</x:v>
      </x:c>
      <x:c r="W595" s="55" t="n">
        <x:v>7072</x:v>
      </x:c>
      <x:c r="X595" s="55" t="n">
        <x:v>2933</x:v>
      </x:c>
      <x:c r="Y595" s="55" t="n">
        <x:v>2746</x:v>
      </x:c>
      <x:c r="Z595" s="55" t="n">
        <x:v>4200</x:v>
      </x:c>
      <x:c r="AA595" s="55" t="n">
        <x:v>3477</x:v>
      </x:c>
      <x:c r="AB595" s="55" t="n">
        <x:v>1308</x:v>
      </x:c>
      <x:c r="AC595" s="55" t="n">
        <x:v>7064</x:v>
      </x:c>
      <x:c r="AD595" s="55" t="n">
        <x:v>3306</x:v>
      </x:c>
      <x:c r="AE595" s="55" t="n">
        <x:v>10144</x:v>
      </x:c>
      <x:c r="AF595" s="55" t="n">
        <x:v>10005</x:v>
      </x:c>
      <x:c r="AG595" s="55" t="n">
        <x:v>139</x:v>
      </x:c>
      <x:c r="AH595" s="55" t="n">
        <x:v>400</x:v>
      </x:c>
      <x:c r="AI595" s="55" t="n">
        <x:v>9605</x:v>
      </x:c>
      <x:c r="AJ595" s="55" t="n">
        <x:v>465</x:v>
      </x:c>
      <x:c r="AK595" s="55" t="n">
        <x:v>754</x:v>
      </x:c>
      <x:c r="AL595" s="55" t="n">
        <x:v>1300</x:v>
      </x:c>
      <x:c r="AM595" s="55" t="n">
        <x:v>4982</x:v>
      </x:c>
      <x:c r="AN595" s="55" t="n">
        <x:v>2463</x:v>
      </x:c>
      <x:c r="AO595" s="55" t="n">
        <x:v>41</x:v>
      </x:c>
      <x:c r="AP595" s="55" t="n">
        <x:v>2337</x:v>
      </x:c>
      <x:c r="AQ595" s="55" t="n">
        <x:v>961</x:v>
      </x:c>
    </x:row>
    <x:row r="596">
      <x:c r="A596" s="54" t="str">
        <x:v>T1_SHARED_CATCHMENT</x:v>
      </x:c>
      <x:c r="B596" s="54" t="n">
        <x:v>590</x:v>
      </x:c>
      <x:c r="C596" s="54" t="str">
        <x:v>NYC-V2-R01</x:v>
      </x:c>
      <x:c r="D596" s="54" t="str">
        <x:v>V2</x:v>
      </x:c>
      <x:c r="E596" s="54" t="str">
        <x:v>ADMITTED</x:v>
      </x:c>
      <x:c r="F596" s="55" t="n">
        <x:v>32889</x:v>
      </x:c>
      <x:c r="G596" s="55" t="n">
        <x:v>8402</x:v>
      </x:c>
      <x:c r="H596" s="55" t="n">
        <x:v>3397</x:v>
      </x:c>
      <x:c r="I596" s="55" t="n">
        <x:v>1405</x:v>
      </x:c>
      <x:c r="J596" s="55" t="n">
        <x:v>305</x:v>
      </x:c>
      <x:c r="K596" s="55" t="n">
        <x:v>28020</x:v>
      </x:c>
      <x:c r="L596" s="55" t="n">
        <x:v>4959</x:v>
      </x:c>
      <x:c r="M596" s="55" t="n">
        <x:v>1323</x:v>
      </x:c>
      <x:c r="N596" s="55" t="n">
        <x:v>2513</x:v>
      </x:c>
      <x:c r="O596" s="55" t="n">
        <x:v>1123</x:v>
      </x:c>
      <x:c r="P596" s="55" t="n">
        <x:v>359</x:v>
      </x:c>
      <x:c r="Q596" s="55" t="n">
        <x:v>2446</x:v>
      </x:c>
      <x:c r="R596" s="55" t="n">
        <x:v>1933</x:v>
      </x:c>
      <x:c r="S596" s="55" t="n">
        <x:v>3145</x:v>
      </x:c>
      <x:c r="T596" s="55" t="n">
        <x:v>1014</x:v>
      </x:c>
      <x:c r="U596" s="55" t="n">
        <x:v>2491</x:v>
      </x:c>
      <x:c r="V596" s="55" t="n">
        <x:v>10321</x:v>
      </x:c>
      <x:c r="W596" s="55" t="n">
        <x:v>7266</x:v>
      </x:c>
      <x:c r="X596" s="55" t="n">
        <x:v>3055</x:v>
      </x:c>
      <x:c r="Y596" s="55" t="n">
        <x:v>2690</x:v>
      </x:c>
      <x:c r="Z596" s="55" t="n">
        <x:v>3745</x:v>
      </x:c>
      <x:c r="AA596" s="55" t="n">
        <x:v>3397</x:v>
      </x:c>
      <x:c r="AB596" s="55" t="n">
        <x:v>1045</x:v>
      </x:c>
      <x:c r="AC596" s="55" t="n">
        <x:v>7844</x:v>
      </x:c>
      <x:c r="AD596" s="55" t="n">
        <x:v>2475</x:v>
      </x:c>
      <x:c r="AE596" s="55" t="n">
        <x:v>10411</x:v>
      </x:c>
      <x:c r="AF596" s="55" t="n">
        <x:v>10321</x:v>
      </x:c>
      <x:c r="AG596" s="55" t="n">
        <x:v>90</x:v>
      </x:c>
      <x:c r="AH596" s="55" t="n">
        <x:v>510</x:v>
      </x:c>
      <x:c r="AI596" s="55" t="n">
        <x:v>9811</x:v>
      </x:c>
      <x:c r="AJ596" s="55" t="n">
        <x:v>390</x:v>
      </x:c>
      <x:c r="AK596" s="55" t="n">
        <x:v>750</x:v>
      </x:c>
      <x:c r="AL596" s="55" t="n">
        <x:v>1538</x:v>
      </x:c>
      <x:c r="AM596" s="55" t="n">
        <x:v>5038</x:v>
      </x:c>
      <x:c r="AN596" s="55" t="n">
        <x:v>2599</x:v>
      </x:c>
      <x:c r="AO596" s="55" t="n">
        <x:v>6</x:v>
      </x:c>
      <x:c r="AP596" s="55" t="n">
        <x:v>2247</x:v>
      </x:c>
      <x:c r="AQ596" s="55" t="n">
        <x:v>939</x:v>
      </x:c>
    </x:row>
    <x:row r="597">
      <x:c r="A597" s="54" t="str">
        <x:v>T1_SHARED_CATCHMENT</x:v>
      </x:c>
      <x:c r="B597" s="54" t="n">
        <x:v>591</x:v>
      </x:c>
      <x:c r="C597" s="54" t="str">
        <x:v>NYC-V2-R01</x:v>
      </x:c>
      <x:c r="D597" s="54" t="str">
        <x:v>V2</x:v>
      </x:c>
      <x:c r="E597" s="54" t="str">
        <x:v>ADMITTED</x:v>
      </x:c>
      <x:c r="F597" s="55" t="n">
        <x:v>30324</x:v>
      </x:c>
      <x:c r="G597" s="55" t="n">
        <x:v>7795</x:v>
      </x:c>
      <x:c r="H597" s="55" t="n">
        <x:v>3086</x:v>
      </x:c>
      <x:c r="I597" s="55" t="n">
        <x:v>1080</x:v>
      </x:c>
      <x:c r="J597" s="55" t="n">
        <x:v>140</x:v>
      </x:c>
      <x:c r="K597" s="55" t="n">
        <x:v>30283</x:v>
      </x:c>
      <x:c r="L597" s="55" t="n">
        <x:v>4969</x:v>
      </x:c>
      <x:c r="M597" s="55" t="n">
        <x:v>1071</x:v>
      </x:c>
      <x:c r="N597" s="55" t="n">
        <x:v>2259</x:v>
      </x:c>
      <x:c r="O597" s="55" t="n">
        <x:v>1639</x:v>
      </x:c>
      <x:c r="P597" s="55" t="n">
        <x:v>731</x:v>
      </x:c>
      <x:c r="Q597" s="55" t="n">
        <x:v>1717</x:v>
      </x:c>
      <x:c r="R597" s="55" t="n">
        <x:v>1962</x:v>
      </x:c>
      <x:c r="S597" s="55" t="n">
        <x:v>3399</x:v>
      </x:c>
      <x:c r="T597" s="55" t="n">
        <x:v>1272</x:v>
      </x:c>
      <x:c r="U597" s="55" t="n">
        <x:v>1661</x:v>
      </x:c>
      <x:c r="V597" s="55" t="n">
        <x:v>10141</x:v>
      </x:c>
      <x:c r="W597" s="55" t="n">
        <x:v>7018</x:v>
      </x:c>
      <x:c r="X597" s="55" t="n">
        <x:v>3123</x:v>
      </x:c>
      <x:c r="Y597" s="55" t="n">
        <x:v>2665</x:v>
      </x:c>
      <x:c r="Z597" s="55" t="n">
        <x:v>3473</x:v>
      </x:c>
      <x:c r="AA597" s="55" t="n">
        <x:v>3086</x:v>
      </x:c>
      <x:c r="AB597" s="55" t="n">
        <x:v>982</x:v>
      </x:c>
      <x:c r="AC597" s="55" t="n">
        <x:v>7657</x:v>
      </x:c>
      <x:c r="AD597" s="55" t="n">
        <x:v>2581</x:v>
      </x:c>
      <x:c r="AE597" s="55" t="n">
        <x:v>10218</x:v>
      </x:c>
      <x:c r="AF597" s="55" t="n">
        <x:v>10141</x:v>
      </x:c>
      <x:c r="AG597" s="55" t="n">
        <x:v>77</x:v>
      </x:c>
      <x:c r="AH597" s="55" t="n">
        <x:v>278</x:v>
      </x:c>
      <x:c r="AI597" s="55" t="n">
        <x:v>9863</x:v>
      </x:c>
      <x:c r="AJ597" s="55" t="n">
        <x:v>313</x:v>
      </x:c>
      <x:c r="AK597" s="55" t="n">
        <x:v>810</x:v>
      </x:c>
      <x:c r="AL597" s="55" t="n">
        <x:v>1429</x:v>
      </x:c>
      <x:c r="AM597" s="55" t="n">
        <x:v>5293</x:v>
      </x:c>
      <x:c r="AN597" s="55" t="n">
        <x:v>2274</x:v>
      </x:c>
      <x:c r="AO597" s="55" t="n">
        <x:v>22</x:v>
      </x:c>
      <x:c r="AP597" s="55" t="n">
        <x:v>2368</x:v>
      </x:c>
      <x:c r="AQ597" s="55" t="n">
        <x:v>955</x:v>
      </x:c>
    </x:row>
    <x:row r="598">
      <x:c r="A598" s="54" t="str">
        <x:v>T1_SHARED_CATCHMENT</x:v>
      </x:c>
      <x:c r="B598" s="54" t="n">
        <x:v>592</x:v>
      </x:c>
      <x:c r="C598" s="54" t="str">
        <x:v>NYC-V2-R01</x:v>
      </x:c>
      <x:c r="D598" s="54" t="str">
        <x:v>V2</x:v>
      </x:c>
      <x:c r="E598" s="54" t="str">
        <x:v>ADMITTED</x:v>
      </x:c>
      <x:c r="F598" s="55" t="n">
        <x:v>31722</x:v>
      </x:c>
      <x:c r="G598" s="55" t="n">
        <x:v>8074</x:v>
      </x:c>
      <x:c r="H598" s="55" t="n">
        <x:v>3121</x:v>
      </x:c>
      <x:c r="I598" s="55" t="n">
        <x:v>1229</x:v>
      </x:c>
      <x:c r="J598" s="55" t="n">
        <x:v>45</x:v>
      </x:c>
      <x:c r="K598" s="55" t="n">
        <x:v>31722</x:v>
      </x:c>
      <x:c r="L598" s="55" t="n">
        <x:v>6909</x:v>
      </x:c>
      <x:c r="M598" s="55" t="n">
        <x:v>2342</x:v>
      </x:c>
      <x:c r="N598" s="55" t="n">
        <x:v>2948</x:v>
      </x:c>
      <x:c r="O598" s="55" t="n">
        <x:v>1619</x:v>
      </x:c>
      <x:c r="P598" s="55" t="n">
        <x:v>941</x:v>
      </x:c>
      <x:c r="Q598" s="55" t="n">
        <x:v>2052</x:v>
      </x:c>
      <x:c r="R598" s="55" t="n">
        <x:v>1463</x:v>
      </x:c>
      <x:c r="S598" s="55" t="n">
        <x:v>2583</x:v>
      </x:c>
      <x:c r="T598" s="55" t="n">
        <x:v>937</x:v>
      </x:c>
      <x:c r="U598" s="55" t="n">
        <x:v>1684</x:v>
      </x:c>
      <x:c r="V598" s="55" t="n">
        <x:v>10528</x:v>
      </x:c>
      <x:c r="W598" s="55" t="n">
        <x:v>7895</x:v>
      </x:c>
      <x:c r="X598" s="55" t="n">
        <x:v>2633</x:v>
      </x:c>
      <x:c r="Y598" s="55" t="n">
        <x:v>2233</x:v>
      </x:c>
      <x:c r="Z598" s="55" t="n">
        <x:v>4013</x:v>
      </x:c>
      <x:c r="AA598" s="55" t="n">
        <x:v>3121</x:v>
      </x:c>
      <x:c r="AB598" s="55" t="n">
        <x:v>1048</x:v>
      </x:c>
      <x:c r="AC598" s="55" t="n">
        <x:v>8303</x:v>
      </x:c>
      <x:c r="AD598" s="55" t="n">
        <x:v>3287</x:v>
      </x:c>
      <x:c r="AE598" s="55" t="n">
        <x:v>10650</x:v>
      </x:c>
      <x:c r="AF598" s="55" t="n">
        <x:v>10528</x:v>
      </x:c>
      <x:c r="AG598" s="55" t="n">
        <x:v>122</x:v>
      </x:c>
      <x:c r="AH598" s="55" t="n">
        <x:v>414</x:v>
      </x:c>
      <x:c r="AI598" s="55" t="n">
        <x:v>10114</x:v>
      </x:c>
      <x:c r="AJ598" s="55" t="n">
        <x:v>280</x:v>
      </x:c>
      <x:c r="AK598" s="55" t="n">
        <x:v>927</x:v>
      </x:c>
      <x:c r="AL598" s="55" t="n">
        <x:v>1685</x:v>
      </x:c>
      <x:c r="AM598" s="55" t="n">
        <x:v>5140</x:v>
      </x:c>
      <x:c r="AN598" s="55" t="n">
        <x:v>2496</x:v>
      </x:c>
      <x:c r="AO598" s="55" t="n">
        <x:v>0</x:v>
      </x:c>
      <x:c r="AP598" s="55" t="n">
        <x:v>1997</x:v>
      </x:c>
      <x:c r="AQ598" s="55" t="n">
        <x:v>997</x:v>
      </x:c>
    </x:row>
    <x:row r="599">
      <x:c r="A599" s="54" t="str">
        <x:v>T1_SHARED_CATCHMENT</x:v>
      </x:c>
      <x:c r="B599" s="54" t="n">
        <x:v>593</x:v>
      </x:c>
      <x:c r="C599" s="54" t="str">
        <x:v>NYC-V2-R01</x:v>
      </x:c>
      <x:c r="D599" s="54" t="str">
        <x:v>V2</x:v>
      </x:c>
      <x:c r="E599" s="54" t="str">
        <x:v>ADMITTED</x:v>
      </x:c>
      <x:c r="F599" s="55" t="n">
        <x:v>32554</x:v>
      </x:c>
      <x:c r="G599" s="55" t="n">
        <x:v>7280</x:v>
      </x:c>
      <x:c r="H599" s="55" t="n">
        <x:v>3999</x:v>
      </x:c>
      <x:c r="I599" s="55" t="n">
        <x:v>1971</x:v>
      </x:c>
      <x:c r="J599" s="55" t="n">
        <x:v>191</x:v>
      </x:c>
      <x:c r="K599" s="55" t="n">
        <x:v>29584</x:v>
      </x:c>
      <x:c r="L599" s="55" t="n">
        <x:v>6287</x:v>
      </x:c>
      <x:c r="M599" s="55" t="n">
        <x:v>1832</x:v>
      </x:c>
      <x:c r="N599" s="55" t="n">
        <x:v>2679</x:v>
      </x:c>
      <x:c r="O599" s="55" t="n">
        <x:v>1776</x:v>
      </x:c>
      <x:c r="P599" s="55" t="n">
        <x:v>922</x:v>
      </x:c>
      <x:c r="Q599" s="55" t="n">
        <x:v>2531</x:v>
      </x:c>
      <x:c r="R599" s="55" t="n">
        <x:v>2098</x:v>
      </x:c>
      <x:c r="S599" s="55" t="n">
        <x:v>2739</x:v>
      </x:c>
      <x:c r="T599" s="55" t="n">
        <x:v>1653</x:v>
      </x:c>
      <x:c r="U599" s="55" t="n">
        <x:v>2467</x:v>
      </x:c>
      <x:c r="V599" s="55" t="n">
        <x:v>10812</x:v>
      </x:c>
      <x:c r="W599" s="55" t="n">
        <x:v>7914</x:v>
      </x:c>
      <x:c r="X599" s="55" t="n">
        <x:v>2898</x:v>
      </x:c>
      <x:c r="Y599" s="55" t="n">
        <x:v>2471</x:v>
      </x:c>
      <x:c r="Z599" s="55" t="n">
        <x:v>3740</x:v>
      </x:c>
      <x:c r="AA599" s="55" t="n">
        <x:v>3588</x:v>
      </x:c>
      <x:c r="AB599" s="55" t="n">
        <x:v>1326</x:v>
      </x:c>
      <x:c r="AC599" s="55" t="n">
        <x:v>8460</x:v>
      </x:c>
      <x:c r="AD599" s="55" t="n">
        <x:v>3083</x:v>
      </x:c>
      <x:c r="AE599" s="55" t="n">
        <x:v>10838</x:v>
      </x:c>
      <x:c r="AF599" s="55" t="n">
        <x:v>10812</x:v>
      </x:c>
      <x:c r="AG599" s="55" t="n">
        <x:v>26</x:v>
      </x:c>
      <x:c r="AH599" s="55" t="n">
        <x:v>613</x:v>
      </x:c>
      <x:c r="AI599" s="55" t="n">
        <x:v>10199</x:v>
      </x:c>
      <x:c r="AJ599" s="55" t="n">
        <x:v>428</x:v>
      </x:c>
      <x:c r="AK599" s="55" t="n">
        <x:v>1074</x:v>
      </x:c>
      <x:c r="AL599" s="55" t="n">
        <x:v>1627</x:v>
      </x:c>
      <x:c r="AM599" s="55" t="n">
        <x:v>4741</x:v>
      </x:c>
      <x:c r="AN599" s="55" t="n">
        <x:v>2893</x:v>
      </x:c>
      <x:c r="AO599" s="55" t="n">
        <x:v>49</x:v>
      </x:c>
      <x:c r="AP599" s="55" t="n">
        <x:v>2222</x:v>
      </x:c>
      <x:c r="AQ599" s="55" t="n">
        <x:v>941</x:v>
      </x:c>
    </x:row>
    <x:row r="600">
      <x:c r="A600" s="54" t="str">
        <x:v>T1_SHARED_CATCHMENT</x:v>
      </x:c>
      <x:c r="B600" s="54" t="n">
        <x:v>594</x:v>
      </x:c>
      <x:c r="C600" s="54" t="str">
        <x:v>NYC-V2-R01</x:v>
      </x:c>
      <x:c r="D600" s="54" t="str">
        <x:v>V2</x:v>
      </x:c>
      <x:c r="E600" s="54" t="str">
        <x:v>ADMITTED</x:v>
      </x:c>
      <x:c r="F600" s="55" t="n">
        <x:v>30633</x:v>
      </x:c>
      <x:c r="G600" s="55" t="n">
        <x:v>6826</x:v>
      </x:c>
      <x:c r="H600" s="55" t="n">
        <x:v>3236</x:v>
      </x:c>
      <x:c r="I600" s="55" t="n">
        <x:v>945</x:v>
      </x:c>
      <x:c r="J600" s="55" t="n">
        <x:v>283</x:v>
      </x:c>
      <x:c r="K600" s="55" t="n">
        <x:v>30633</x:v>
      </x:c>
      <x:c r="L600" s="55" t="n">
        <x:v>5588</x:v>
      </x:c>
      <x:c r="M600" s="55" t="n">
        <x:v>583</x:v>
      </x:c>
      <x:c r="N600" s="55" t="n">
        <x:v>3045</x:v>
      </x:c>
      <x:c r="O600" s="55" t="n">
        <x:v>1960</x:v>
      </x:c>
      <x:c r="P600" s="55" t="n">
        <x:v>579</x:v>
      </x:c>
      <x:c r="Q600" s="55" t="n">
        <x:v>3125</x:v>
      </x:c>
      <x:c r="R600" s="55" t="n">
        <x:v>1781</x:v>
      </x:c>
      <x:c r="S600" s="55" t="n">
        <x:v>2647</x:v>
      </x:c>
      <x:c r="T600" s="55" t="n">
        <x:v>1276</x:v>
      </x:c>
      <x:c r="U600" s="55" t="n">
        <x:v>1868</x:v>
      </x:c>
      <x:c r="V600" s="55" t="n">
        <x:v>10429</x:v>
      </x:c>
      <x:c r="W600" s="55" t="n">
        <x:v>7290</x:v>
      </x:c>
      <x:c r="X600" s="55" t="n">
        <x:v>3139</x:v>
      </x:c>
      <x:c r="Y600" s="55" t="n">
        <x:v>2584</x:v>
      </x:c>
      <x:c r="Z600" s="55" t="n">
        <x:v>3445</x:v>
      </x:c>
      <x:c r="AA600" s="55" t="n">
        <x:v>3236</x:v>
      </x:c>
      <x:c r="AB600" s="55" t="n">
        <x:v>1105</x:v>
      </x:c>
      <x:c r="AC600" s="55" t="n">
        <x:v>8202</x:v>
      </x:c>
      <x:c r="AD600" s="55" t="n">
        <x:v>2660</x:v>
      </x:c>
      <x:c r="AE600" s="55" t="n">
        <x:v>10518</x:v>
      </x:c>
      <x:c r="AF600" s="55" t="n">
        <x:v>10429</x:v>
      </x:c>
      <x:c r="AG600" s="55" t="n">
        <x:v>89</x:v>
      </x:c>
      <x:c r="AH600" s="55" t="n">
        <x:v>313</x:v>
      </x:c>
      <x:c r="AI600" s="55" t="n">
        <x:v>10116</x:v>
      </x:c>
      <x:c r="AJ600" s="55" t="n">
        <x:v>333</x:v>
      </x:c>
      <x:c r="AK600" s="55" t="n">
        <x:v>688</x:v>
      </x:c>
      <x:c r="AL600" s="55" t="n">
        <x:v>1869</x:v>
      </x:c>
      <x:c r="AM600" s="55" t="n">
        <x:v>4865</x:v>
      </x:c>
      <x:c r="AN600" s="55" t="n">
        <x:v>2674</x:v>
      </x:c>
      <x:c r="AO600" s="55" t="n">
        <x:v>0</x:v>
      </x:c>
      <x:c r="AP600" s="55" t="n">
        <x:v>2163</x:v>
      </x:c>
      <x:c r="AQ600" s="55" t="n">
        <x:v>969</x:v>
      </x:c>
    </x:row>
    <x:row r="601">
      <x:c r="A601" s="54" t="str">
        <x:v>T1_SHARED_CATCHMENT</x:v>
      </x:c>
      <x:c r="B601" s="54" t="n">
        <x:v>595</x:v>
      </x:c>
      <x:c r="C601" s="54" t="str">
        <x:v>NYC-V2-R01</x:v>
      </x:c>
      <x:c r="D601" s="54" t="str">
        <x:v>V2</x:v>
      </x:c>
      <x:c r="E601" s="54" t="str">
        <x:v>ADMITTED</x:v>
      </x:c>
      <x:c r="F601" s="55" t="n">
        <x:v>31803</x:v>
      </x:c>
      <x:c r="G601" s="55" t="n">
        <x:v>8475</x:v>
      </x:c>
      <x:c r="H601" s="55" t="n">
        <x:v>3539</x:v>
      </x:c>
      <x:c r="I601" s="55" t="n">
        <x:v>1364</x:v>
      </x:c>
      <x:c r="J601" s="55" t="n">
        <x:v>353</x:v>
      </x:c>
      <x:c r="K601" s="55" t="n">
        <x:v>30696</x:v>
      </x:c>
      <x:c r="L601" s="55" t="n">
        <x:v>5415</x:v>
      </x:c>
      <x:c r="M601" s="55" t="n">
        <x:v>1062</x:v>
      </x:c>
      <x:c r="N601" s="55" t="n">
        <x:v>2508</x:v>
      </x:c>
      <x:c r="O601" s="55" t="n">
        <x:v>1845</x:v>
      </x:c>
      <x:c r="P601" s="55" t="n">
        <x:v>1287</x:v>
      </x:c>
      <x:c r="Q601" s="55" t="n">
        <x:v>2341</x:v>
      </x:c>
      <x:c r="R601" s="55" t="n">
        <x:v>1773</x:v>
      </x:c>
      <x:c r="S601" s="55" t="n">
        <x:v>2223</x:v>
      </x:c>
      <x:c r="T601" s="55" t="n">
        <x:v>1427</x:v>
      </x:c>
      <x:c r="U601" s="55" t="n">
        <x:v>2468</x:v>
      </x:c>
      <x:c r="V601" s="55" t="n">
        <x:v>10323</x:v>
      </x:c>
      <x:c r="W601" s="55" t="n">
        <x:v>6941</x:v>
      </x:c>
      <x:c r="X601" s="55" t="n">
        <x:v>3382</x:v>
      </x:c>
      <x:c r="Y601" s="55" t="n">
        <x:v>2803</x:v>
      </x:c>
      <x:c r="Z601" s="55" t="n">
        <x:v>3714</x:v>
      </x:c>
      <x:c r="AA601" s="55" t="n">
        <x:v>3212</x:v>
      </x:c>
      <x:c r="AB601" s="55" t="n">
        <x:v>1088</x:v>
      </x:c>
      <x:c r="AC601" s="55" t="n">
        <x:v>8294</x:v>
      </x:c>
      <x:c r="AD601" s="55" t="n">
        <x:v>3064</x:v>
      </x:c>
      <x:c r="AE601" s="55" t="n">
        <x:v>10388</x:v>
      </x:c>
      <x:c r="AF601" s="55" t="n">
        <x:v>10323</x:v>
      </x:c>
      <x:c r="AG601" s="55" t="n">
        <x:v>65</x:v>
      </x:c>
      <x:c r="AH601" s="55" t="n">
        <x:v>538</x:v>
      </x:c>
      <x:c r="AI601" s="55" t="n">
        <x:v>9785</x:v>
      </x:c>
      <x:c r="AJ601" s="55" t="n">
        <x:v>304</x:v>
      </x:c>
      <x:c r="AK601" s="55" t="n">
        <x:v>995</x:v>
      </x:c>
      <x:c r="AL601" s="55" t="n">
        <x:v>1519</x:v>
      </x:c>
      <x:c r="AM601" s="55" t="n">
        <x:v>5127</x:v>
      </x:c>
      <x:c r="AN601" s="55" t="n">
        <x:v>2378</x:v>
      </x:c>
      <x:c r="AO601" s="55" t="n">
        <x:v>0</x:v>
      </x:c>
      <x:c r="AP601" s="55" t="n">
        <x:v>2174</x:v>
      </x:c>
      <x:c r="AQ601" s="55" t="n">
        <x:v>942</x:v>
      </x:c>
    </x:row>
    <x:row r="602">
      <x:c r="A602" s="54" t="str">
        <x:v>T1_SHARED_CATCHMENT</x:v>
      </x:c>
      <x:c r="B602" s="54" t="n">
        <x:v>596</x:v>
      </x:c>
      <x:c r="C602" s="54" t="str">
        <x:v>NYC-V2-R01</x:v>
      </x:c>
      <x:c r="D602" s="54" t="str">
        <x:v>V2</x:v>
      </x:c>
      <x:c r="E602" s="54" t="str">
        <x:v>ADMITTED</x:v>
      </x:c>
      <x:c r="F602" s="55" t="n">
        <x:v>31936</x:v>
      </x:c>
      <x:c r="G602" s="55" t="n">
        <x:v>7462</x:v>
      </x:c>
      <x:c r="H602" s="55" t="n">
        <x:v>3449</x:v>
      </x:c>
      <x:c r="I602" s="55" t="n">
        <x:v>1559</x:v>
      </x:c>
      <x:c r="J602" s="55" t="n">
        <x:v>254</x:v>
      </x:c>
      <x:c r="K602" s="55" t="n">
        <x:v>29735</x:v>
      </x:c>
      <x:c r="L602" s="55" t="n">
        <x:v>5830</x:v>
      </x:c>
      <x:c r="M602" s="55" t="n">
        <x:v>1040</x:v>
      </x:c>
      <x:c r="N602" s="55" t="n">
        <x:v>3312</x:v>
      </x:c>
      <x:c r="O602" s="55" t="n">
        <x:v>1478</x:v>
      </x:c>
      <x:c r="P602" s="55" t="n">
        <x:v>681</x:v>
      </x:c>
      <x:c r="Q602" s="55" t="n">
        <x:v>2565</x:v>
      </x:c>
      <x:c r="R602" s="55" t="n">
        <x:v>2347</x:v>
      </x:c>
      <x:c r="S602" s="55" t="n">
        <x:v>2865</x:v>
      </x:c>
      <x:c r="T602" s="55" t="n">
        <x:v>1508</x:v>
      </x:c>
      <x:c r="U602" s="55" t="n">
        <x:v>1853</x:v>
      </x:c>
      <x:c r="V602" s="55" t="n">
        <x:v>10240</x:v>
      </x:c>
      <x:c r="W602" s="55" t="n">
        <x:v>7022</x:v>
      </x:c>
      <x:c r="X602" s="55" t="n">
        <x:v>3218</x:v>
      </x:c>
      <x:c r="Y602" s="55" t="n">
        <x:v>2991</x:v>
      </x:c>
      <x:c r="Z602" s="55" t="n">
        <x:v>3664</x:v>
      </x:c>
      <x:c r="AA602" s="55" t="n">
        <x:v>3123</x:v>
      </x:c>
      <x:c r="AB602" s="55" t="n">
        <x:v>1098</x:v>
      </x:c>
      <x:c r="AC602" s="55" t="n">
        <x:v>8011</x:v>
      </x:c>
      <x:c r="AD602" s="55" t="n">
        <x:v>2277</x:v>
      </x:c>
      <x:c r="AE602" s="55" t="n">
        <x:v>10294</x:v>
      </x:c>
      <x:c r="AF602" s="55" t="n">
        <x:v>10240</x:v>
      </x:c>
      <x:c r="AG602" s="55" t="n">
        <x:v>54</x:v>
      </x:c>
      <x:c r="AH602" s="55" t="n">
        <x:v>403</x:v>
      </x:c>
      <x:c r="AI602" s="55" t="n">
        <x:v>9837</x:v>
      </x:c>
      <x:c r="AJ602" s="55" t="n">
        <x:v>456</x:v>
      </x:c>
      <x:c r="AK602" s="55" t="n">
        <x:v>1301</x:v>
      </x:c>
      <x:c r="AL602" s="55" t="n">
        <x:v>1415</x:v>
      </x:c>
      <x:c r="AM602" s="55" t="n">
        <x:v>4422</x:v>
      </x:c>
      <x:c r="AN602" s="55" t="n">
        <x:v>2621</x:v>
      </x:c>
      <x:c r="AO602" s="55" t="n">
        <x:v>25</x:v>
      </x:c>
      <x:c r="AP602" s="55" t="n">
        <x:v>2597</x:v>
      </x:c>
      <x:c r="AQ602" s="55" t="n">
        <x:v>1003</x:v>
      </x:c>
    </x:row>
    <x:row r="603">
      <x:c r="A603" s="54" t="str">
        <x:v>T1_SHARED_CATCHMENT</x:v>
      </x:c>
      <x:c r="B603" s="54" t="n">
        <x:v>597</x:v>
      </x:c>
      <x:c r="C603" s="54" t="str">
        <x:v>NYC-V2-R01</x:v>
      </x:c>
      <x:c r="D603" s="54" t="str">
        <x:v>V2</x:v>
      </x:c>
      <x:c r="E603" s="54" t="str">
        <x:v>ADMITTED</x:v>
      </x:c>
      <x:c r="F603" s="55" t="n">
        <x:v>33012</x:v>
      </x:c>
      <x:c r="G603" s="55" t="n">
        <x:v>9388</x:v>
      </x:c>
      <x:c r="H603" s="55" t="n">
        <x:v>3029</x:v>
      </x:c>
      <x:c r="I603" s="55" t="n">
        <x:v>1292</x:v>
      </x:c>
      <x:c r="J603" s="55" t="n">
        <x:v>189</x:v>
      </x:c>
      <x:c r="K603" s="55" t="n">
        <x:v>25652</x:v>
      </x:c>
      <x:c r="L603" s="55" t="n">
        <x:v>4713</x:v>
      </x:c>
      <x:c r="M603" s="55" t="n">
        <x:v>989</x:v>
      </x:c>
      <x:c r="N603" s="55" t="n">
        <x:v>2331</x:v>
      </x:c>
      <x:c r="O603" s="55" t="n">
        <x:v>1393</x:v>
      </x:c>
      <x:c r="P603" s="55" t="n">
        <x:v>334</x:v>
      </x:c>
      <x:c r="Q603" s="55" t="n">
        <x:v>1943</x:v>
      </x:c>
      <x:c r="R603" s="55" t="n">
        <x:v>2180</x:v>
      </x:c>
      <x:c r="S603" s="55" t="n">
        <x:v>2660</x:v>
      </x:c>
      <x:c r="T603" s="55" t="n">
        <x:v>1006</x:v>
      </x:c>
      <x:c r="U603" s="55" t="n">
        <x:v>2087</x:v>
      </x:c>
      <x:c r="V603" s="55" t="n">
        <x:v>10399</x:v>
      </x:c>
      <x:c r="W603" s="55" t="n">
        <x:v>7605</x:v>
      </x:c>
      <x:c r="X603" s="55" t="n">
        <x:v>2794</x:v>
      </x:c>
      <x:c r="Y603" s="55" t="n">
        <x:v>2444</x:v>
      </x:c>
      <x:c r="Z603" s="55" t="n">
        <x:v>4149</x:v>
      </x:c>
      <x:c r="AA603" s="55" t="n">
        <x:v>3029</x:v>
      </x:c>
      <x:c r="AB603" s="55" t="n">
        <x:v>908</x:v>
      </x:c>
      <x:c r="AC603" s="55" t="n">
        <x:v>7420</x:v>
      </x:c>
      <x:c r="AD603" s="55" t="n">
        <x:v>2268</x:v>
      </x:c>
      <x:c r="AE603" s="55" t="n">
        <x:v>10566</x:v>
      </x:c>
      <x:c r="AF603" s="55" t="n">
        <x:v>10399</x:v>
      </x:c>
      <x:c r="AG603" s="55" t="n">
        <x:v>167</x:v>
      </x:c>
      <x:c r="AH603" s="55" t="n">
        <x:v>414</x:v>
      </x:c>
      <x:c r="AI603" s="55" t="n">
        <x:v>9985</x:v>
      </x:c>
      <x:c r="AJ603" s="55" t="n">
        <x:v>202</x:v>
      </x:c>
      <x:c r="AK603" s="55" t="n">
        <x:v>742</x:v>
      </x:c>
      <x:c r="AL603" s="55" t="n">
        <x:v>2244</x:v>
      </x:c>
      <x:c r="AM603" s="55" t="n">
        <x:v>4288</x:v>
      </x:c>
      <x:c r="AN603" s="55" t="n">
        <x:v>2923</x:v>
      </x:c>
      <x:c r="AO603" s="55" t="n">
        <x:v>0</x:v>
      </x:c>
      <x:c r="AP603" s="55" t="n">
        <x:v>2184</x:v>
      </x:c>
      <x:c r="AQ603" s="55" t="n">
        <x:v>903</x:v>
      </x:c>
    </x:row>
    <x:row r="604">
      <x:c r="A604" s="54" t="str">
        <x:v>T1_SHARED_CATCHMENT</x:v>
      </x:c>
      <x:c r="B604" s="54" t="n">
        <x:v>598</x:v>
      </x:c>
      <x:c r="C604" s="54" t="str">
        <x:v>NYC-V2-R01</x:v>
      </x:c>
      <x:c r="D604" s="54" t="str">
        <x:v>V2</x:v>
      </x:c>
      <x:c r="E604" s="54" t="str">
        <x:v>ADMITTED</x:v>
      </x:c>
      <x:c r="F604" s="55" t="n">
        <x:v>32561</x:v>
      </x:c>
      <x:c r="G604" s="55" t="n">
        <x:v>8556</x:v>
      </x:c>
      <x:c r="H604" s="55" t="n">
        <x:v>3242</x:v>
      </x:c>
      <x:c r="I604" s="55" t="n">
        <x:v>1320</x:v>
      </x:c>
      <x:c r="J604" s="55" t="n">
        <x:v>185</x:v>
      </x:c>
      <x:c r="K604" s="55" t="n">
        <x:v>32561</x:v>
      </x:c>
      <x:c r="L604" s="55" t="n">
        <x:v>6410</x:v>
      </x:c>
      <x:c r="M604" s="55" t="n">
        <x:v>1183</x:v>
      </x:c>
      <x:c r="N604" s="55" t="n">
        <x:v>3044</x:v>
      </x:c>
      <x:c r="O604" s="55" t="n">
        <x:v>2183</x:v>
      </x:c>
      <x:c r="P604" s="55" t="n">
        <x:v>818</x:v>
      </x:c>
      <x:c r="Q604" s="55" t="n">
        <x:v>1609</x:v>
      </x:c>
      <x:c r="R604" s="55" t="n">
        <x:v>2289</x:v>
      </x:c>
      <x:c r="S604" s="55" t="n">
        <x:v>3157</x:v>
      </x:c>
      <x:c r="T604" s="55" t="n">
        <x:v>865</x:v>
      </x:c>
      <x:c r="U604" s="55" t="n">
        <x:v>2282</x:v>
      </x:c>
      <x:c r="V604" s="55" t="n">
        <x:v>10843</x:v>
      </x:c>
      <x:c r="W604" s="55" t="n">
        <x:v>7818</x:v>
      </x:c>
      <x:c r="X604" s="55" t="n">
        <x:v>3025</x:v>
      </x:c>
      <x:c r="Y604" s="55" t="n">
        <x:v>2650</x:v>
      </x:c>
      <x:c r="Z604" s="55" t="n">
        <x:v>3846</x:v>
      </x:c>
      <x:c r="AA604" s="55" t="n">
        <x:v>2656</x:v>
      </x:c>
      <x:c r="AB604" s="55" t="n">
        <x:v>925</x:v>
      </x:c>
      <x:c r="AC604" s="55" t="n">
        <x:v>7636</x:v>
      </x:c>
      <x:c r="AD604" s="55" t="n">
        <x:v>3301</x:v>
      </x:c>
      <x:c r="AE604" s="55" t="n">
        <x:v>10930</x:v>
      </x:c>
      <x:c r="AF604" s="55" t="n">
        <x:v>10843</x:v>
      </x:c>
      <x:c r="AG604" s="55" t="n">
        <x:v>87</x:v>
      </x:c>
      <x:c r="AH604" s="55" t="n">
        <x:v>404</x:v>
      </x:c>
      <x:c r="AI604" s="55" t="n">
        <x:v>10439</x:v>
      </x:c>
      <x:c r="AJ604" s="55" t="n">
        <x:v>387</x:v>
      </x:c>
      <x:c r="AK604" s="55" t="n">
        <x:v>1261</x:v>
      </x:c>
      <x:c r="AL604" s="55" t="n">
        <x:v>1153</x:v>
      </x:c>
      <x:c r="AM604" s="55" t="n">
        <x:v>5217</x:v>
      </x:c>
      <x:c r="AN604" s="55" t="n">
        <x:v>2825</x:v>
      </x:c>
      <x:c r="AO604" s="55" t="n">
        <x:v>0</x:v>
      </x:c>
      <x:c r="AP604" s="55" t="n">
        <x:v>2167</x:v>
      </x:c>
      <x:c r="AQ604" s="55" t="n">
        <x:v>965</x:v>
      </x:c>
    </x:row>
    <x:row r="605">
      <x:c r="A605" s="54" t="str">
        <x:v>T1_SHARED_CATCHMENT</x:v>
      </x:c>
      <x:c r="B605" s="54" t="n">
        <x:v>599</x:v>
      </x:c>
      <x:c r="C605" s="54" t="str">
        <x:v>NYC-V2-R01</x:v>
      </x:c>
      <x:c r="D605" s="54" t="str">
        <x:v>V2</x:v>
      </x:c>
      <x:c r="E605" s="54" t="str">
        <x:v>ADMITTED</x:v>
      </x:c>
      <x:c r="F605" s="55" t="n">
        <x:v>33324</x:v>
      </x:c>
      <x:c r="G605" s="55" t="n">
        <x:v>8183</x:v>
      </x:c>
      <x:c r="H605" s="55" t="n">
        <x:v>3337</x:v>
      </x:c>
      <x:c r="I605" s="55" t="n">
        <x:v>1244</x:v>
      </x:c>
      <x:c r="J605" s="55" t="n">
        <x:v>145</x:v>
      </x:c>
      <x:c r="K605" s="55" t="n">
        <x:v>29388</x:v>
      </x:c>
      <x:c r="L605" s="55" t="n">
        <x:v>5355</x:v>
      </x:c>
      <x:c r="M605" s="55" t="n">
        <x:v>1137</x:v>
      </x:c>
      <x:c r="N605" s="55" t="n">
        <x:v>2652</x:v>
      </x:c>
      <x:c r="O605" s="55" t="n">
        <x:v>1566</x:v>
      </x:c>
      <x:c r="P605" s="55" t="n">
        <x:v>563</x:v>
      </x:c>
      <x:c r="Q605" s="55" t="n">
        <x:v>2495</x:v>
      </x:c>
      <x:c r="R605" s="55" t="n">
        <x:v>1961</x:v>
      </x:c>
      <x:c r="S605" s="55" t="n">
        <x:v>1960</x:v>
      </x:c>
      <x:c r="T605" s="55" t="n">
        <x:v>1292</x:v>
      </x:c>
      <x:c r="U605" s="55" t="n">
        <x:v>2628</x:v>
      </x:c>
      <x:c r="V605" s="55" t="n">
        <x:v>10981</x:v>
      </x:c>
      <x:c r="W605" s="55" t="n">
        <x:v>8070</x:v>
      </x:c>
      <x:c r="X605" s="55" t="n">
        <x:v>2911</x:v>
      </x:c>
      <x:c r="Y605" s="55" t="n">
        <x:v>2454</x:v>
      </x:c>
      <x:c r="Z605" s="55" t="n">
        <x:v>3646</x:v>
      </x:c>
      <x:c r="AA605" s="55" t="n">
        <x:v>3337</x:v>
      </x:c>
      <x:c r="AB605" s="55" t="n">
        <x:v>1252</x:v>
      </x:c>
      <x:c r="AC605" s="55" t="n">
        <x:v>7739</x:v>
      </x:c>
      <x:c r="AD605" s="55" t="n">
        <x:v>2310</x:v>
      </x:c>
      <x:c r="AE605" s="55" t="n">
        <x:v>11082</x:v>
      </x:c>
      <x:c r="AF605" s="55" t="n">
        <x:v>10981</x:v>
      </x:c>
      <x:c r="AG605" s="55" t="n">
        <x:v>101</x:v>
      </x:c>
      <x:c r="AH605" s="55" t="n">
        <x:v>635</x:v>
      </x:c>
      <x:c r="AI605" s="55" t="n">
        <x:v>10346</x:v>
      </x:c>
      <x:c r="AJ605" s="55" t="n">
        <x:v>442</x:v>
      </x:c>
      <x:c r="AK605" s="55" t="n">
        <x:v>972</x:v>
      </x:c>
      <x:c r="AL605" s="55" t="n">
        <x:v>1328</x:v>
      </x:c>
      <x:c r="AM605" s="55" t="n">
        <x:v>5125</x:v>
      </x:c>
      <x:c r="AN605" s="55" t="n">
        <x:v>3114</x:v>
      </x:c>
      <x:c r="AO605" s="55" t="n">
        <x:v>0</x:v>
      </x:c>
      <x:c r="AP605" s="55" t="n">
        <x:v>2477</x:v>
      </x:c>
      <x:c r="AQ605" s="55" t="n">
        <x:v>973</x:v>
      </x:c>
    </x:row>
    <x:row r="606">
      <x:c r="A606" s="54" t="str">
        <x:v>T1_SHARED_CATCHMENT</x:v>
      </x:c>
      <x:c r="B606" s="54" t="n">
        <x:v>600</x:v>
      </x:c>
      <x:c r="C606" s="54" t="str">
        <x:v>NYC-V2-R01</x:v>
      </x:c>
      <x:c r="D606" s="54" t="str">
        <x:v>V2</x:v>
      </x:c>
      <x:c r="E606" s="54" t="str">
        <x:v>ADMITTED</x:v>
      </x:c>
      <x:c r="F606" s="55" t="n">
        <x:v>31773</x:v>
      </x:c>
      <x:c r="G606" s="55" t="n">
        <x:v>6849</x:v>
      </x:c>
      <x:c r="H606" s="55" t="n">
        <x:v>3415</x:v>
      </x:c>
      <x:c r="I606" s="55" t="n">
        <x:v>1471</x:v>
      </x:c>
      <x:c r="J606" s="55" t="n">
        <x:v>255</x:v>
      </x:c>
      <x:c r="K606" s="55" t="n">
        <x:v>28432</x:v>
      </x:c>
      <x:c r="L606" s="55" t="n">
        <x:v>5698</x:v>
      </x:c>
      <x:c r="M606" s="55" t="n">
        <x:v>1145</x:v>
      </x:c>
      <x:c r="N606" s="55" t="n">
        <x:v>2985</x:v>
      </x:c>
      <x:c r="O606" s="55" t="n">
        <x:v>1568</x:v>
      </x:c>
      <x:c r="P606" s="55" t="n">
        <x:v>1079</x:v>
      </x:c>
      <x:c r="Q606" s="55" t="n">
        <x:v>2865</x:v>
      </x:c>
      <x:c r="R606" s="55" t="n">
        <x:v>2153</x:v>
      </x:c>
      <x:c r="S606" s="55" t="n">
        <x:v>2862</x:v>
      </x:c>
      <x:c r="T606" s="55" t="n">
        <x:v>1617</x:v>
      </x:c>
      <x:c r="U606" s="55" t="n">
        <x:v>1668</x:v>
      </x:c>
      <x:c r="V606" s="55" t="n">
        <x:v>10422</x:v>
      </x:c>
      <x:c r="W606" s="55" t="n">
        <x:v>7321</x:v>
      </x:c>
      <x:c r="X606" s="55" t="n">
        <x:v>3101</x:v>
      </x:c>
      <x:c r="Y606" s="55" t="n">
        <x:v>2552</x:v>
      </x:c>
      <x:c r="Z606" s="55" t="n">
        <x:v>3898</x:v>
      </x:c>
      <x:c r="AA606" s="55" t="n">
        <x:v>2822</x:v>
      </x:c>
      <x:c r="AB606" s="55" t="n">
        <x:v>1061</x:v>
      </x:c>
      <x:c r="AC606" s="55" t="n">
        <x:v>7891</x:v>
      </x:c>
      <x:c r="AD606" s="55" t="n">
        <x:v>2992</x:v>
      </x:c>
      <x:c r="AE606" s="55" t="n">
        <x:v>10534</x:v>
      </x:c>
      <x:c r="AF606" s="55" t="n">
        <x:v>10422</x:v>
      </x:c>
      <x:c r="AG606" s="55" t="n">
        <x:v>112</x:v>
      </x:c>
      <x:c r="AH606" s="55" t="n">
        <x:v>481</x:v>
      </x:c>
      <x:c r="AI606" s="55" t="n">
        <x:v>9941</x:v>
      </x:c>
      <x:c r="AJ606" s="55" t="n">
        <x:v>464</x:v>
      </x:c>
      <x:c r="AK606" s="55" t="n">
        <x:v>1059</x:v>
      </x:c>
      <x:c r="AL606" s="55" t="n">
        <x:v>1698</x:v>
      </x:c>
      <x:c r="AM606" s="55" t="n">
        <x:v>4576</x:v>
      </x:c>
      <x:c r="AN606" s="55" t="n">
        <x:v>2625</x:v>
      </x:c>
      <x:c r="AO606" s="55" t="n">
        <x:v>0</x:v>
      </x:c>
      <x:c r="AP606" s="55" t="n">
        <x:v>2439</x:v>
      </x:c>
      <x:c r="AQ606" s="55" t="n">
        <x:v>931</x:v>
      </x:c>
    </x:row>
    <x:row r="607">
      <x:c r="A607" s="54" t="str">
        <x:v>T1_SHARED_CATCHMENT</x:v>
      </x:c>
      <x:c r="B607" s="54" t="n">
        <x:v>601</x:v>
      </x:c>
      <x:c r="C607" s="54" t="str">
        <x:v>NYC-V2-R01</x:v>
      </x:c>
      <x:c r="D607" s="54" t="str">
        <x:v>V2</x:v>
      </x:c>
      <x:c r="E607" s="54" t="str">
        <x:v>ADMITTED</x:v>
      </x:c>
      <x:c r="F607" s="55" t="n">
        <x:v>33217</x:v>
      </x:c>
      <x:c r="G607" s="55" t="n">
        <x:v>9329</x:v>
      </x:c>
      <x:c r="H607" s="55" t="n">
        <x:v>3545</x:v>
      </x:c>
      <x:c r="I607" s="55" t="n">
        <x:v>1216</x:v>
      </x:c>
      <x:c r="J607" s="55" t="n">
        <x:v>206</x:v>
      </x:c>
      <x:c r="K607" s="55" t="n">
        <x:v>33217</x:v>
      </x:c>
      <x:c r="L607" s="55" t="n">
        <x:v>7657</x:v>
      </x:c>
      <x:c r="M607" s="55" t="n">
        <x:v>2898</x:v>
      </x:c>
      <x:c r="N607" s="55" t="n">
        <x:v>2899</x:v>
      </x:c>
      <x:c r="O607" s="55" t="n">
        <x:v>1860</x:v>
      </x:c>
      <x:c r="P607" s="55" t="n">
        <x:v>1332</x:v>
      </x:c>
      <x:c r="Q607" s="55" t="n">
        <x:v>4295</x:v>
      </x:c>
      <x:c r="R607" s="55" t="n">
        <x:v>2714</x:v>
      </x:c>
      <x:c r="S607" s="55" t="n">
        <x:v>2483</x:v>
      </x:c>
      <x:c r="T607" s="55" t="n">
        <x:v>1411</x:v>
      </x:c>
      <x:c r="U607" s="55" t="n">
        <x:v>1951</x:v>
      </x:c>
      <x:c r="V607" s="55" t="n">
        <x:v>10216</x:v>
      </x:c>
      <x:c r="W607" s="55" t="n">
        <x:v>6832</x:v>
      </x:c>
      <x:c r="X607" s="55" t="n">
        <x:v>3384</x:v>
      </x:c>
      <x:c r="Y607" s="55" t="n">
        <x:v>2745</x:v>
      </x:c>
      <x:c r="Z607" s="55" t="n">
        <x:v>3476</x:v>
      </x:c>
      <x:c r="AA607" s="55" t="n">
        <x:v>3545</x:v>
      </x:c>
      <x:c r="AB607" s="55" t="n">
        <x:v>1287</x:v>
      </x:c>
      <x:c r="AC607" s="55" t="n">
        <x:v>8250</x:v>
      </x:c>
      <x:c r="AD607" s="55" t="n">
        <x:v>2889</x:v>
      </x:c>
      <x:c r="AE607" s="55" t="n">
        <x:v>10325</x:v>
      </x:c>
      <x:c r="AF607" s="55" t="n">
        <x:v>10216</x:v>
      </x:c>
      <x:c r="AG607" s="55" t="n">
        <x:v>109</x:v>
      </x:c>
      <x:c r="AH607" s="55" t="n">
        <x:v>279</x:v>
      </x:c>
      <x:c r="AI607" s="55" t="n">
        <x:v>9937</x:v>
      </x:c>
      <x:c r="AJ607" s="55" t="n">
        <x:v>404</x:v>
      </x:c>
      <x:c r="AK607" s="55" t="n">
        <x:v>602</x:v>
      </x:c>
      <x:c r="AL607" s="55" t="n">
        <x:v>1602</x:v>
      </x:c>
      <x:c r="AM607" s="55" t="n">
        <x:v>4418</x:v>
      </x:c>
      <x:c r="AN607" s="55" t="n">
        <x:v>3116</x:v>
      </x:c>
      <x:c r="AO607" s="55" t="n">
        <x:v>74</x:v>
      </x:c>
      <x:c r="AP607" s="55" t="n">
        <x:v>2347</x:v>
      </x:c>
      <x:c r="AQ607" s="55" t="n">
        <x:v>990</x:v>
      </x:c>
    </x:row>
    <x:row r="608">
      <x:c r="A608" s="54" t="str">
        <x:v>T1_SHARED_CATCHMENT</x:v>
      </x:c>
      <x:c r="B608" s="54" t="n">
        <x:v>602</x:v>
      </x:c>
      <x:c r="C608" s="54" t="str">
        <x:v>NYC-V2-R01</x:v>
      </x:c>
      <x:c r="D608" s="54" t="str">
        <x:v>V2</x:v>
      </x:c>
      <x:c r="E608" s="54" t="str">
        <x:v>ADMITTED</x:v>
      </x:c>
      <x:c r="F608" s="55" t="n">
        <x:v>33064</x:v>
      </x:c>
      <x:c r="G608" s="55" t="n">
        <x:v>9749</x:v>
      </x:c>
      <x:c r="H608" s="55" t="n">
        <x:v>3325</x:v>
      </x:c>
      <x:c r="I608" s="55" t="n">
        <x:v>1389</x:v>
      </x:c>
      <x:c r="J608" s="55" t="n">
        <x:v>469</x:v>
      </x:c>
      <x:c r="K608" s="55" t="n">
        <x:v>31832</x:v>
      </x:c>
      <x:c r="L608" s="55" t="n">
        <x:v>6642</x:v>
      </x:c>
      <x:c r="M608" s="55" t="n">
        <x:v>2030</x:v>
      </x:c>
      <x:c r="N608" s="55" t="n">
        <x:v>2787</x:v>
      </x:c>
      <x:c r="O608" s="55" t="n">
        <x:v>1825</x:v>
      </x:c>
      <x:c r="P608" s="55" t="n">
        <x:v>1309</x:v>
      </x:c>
      <x:c r="Q608" s="55" t="n">
        <x:v>2982</x:v>
      </x:c>
      <x:c r="R608" s="55" t="n">
        <x:v>1905</x:v>
      </x:c>
      <x:c r="S608" s="55" t="n">
        <x:v>2705</x:v>
      </x:c>
      <x:c r="T608" s="55" t="n">
        <x:v>1267</x:v>
      </x:c>
      <x:c r="U608" s="55" t="n">
        <x:v>2237</x:v>
      </x:c>
      <x:c r="V608" s="55" t="n">
        <x:v>10604</x:v>
      </x:c>
      <x:c r="W608" s="55" t="n">
        <x:v>7905</x:v>
      </x:c>
      <x:c r="X608" s="55" t="n">
        <x:v>2699</x:v>
      </x:c>
      <x:c r="Y608" s="55" t="n">
        <x:v>2490</x:v>
      </x:c>
      <x:c r="Z608" s="55" t="n">
        <x:v>3598</x:v>
      </x:c>
      <x:c r="AA608" s="55" t="n">
        <x:v>3104</x:v>
      </x:c>
      <x:c r="AB608" s="55" t="n">
        <x:v>958</x:v>
      </x:c>
      <x:c r="AC608" s="55" t="n">
        <x:v>8113</x:v>
      </x:c>
      <x:c r="AD608" s="55" t="n">
        <x:v>3752</x:v>
      </x:c>
      <x:c r="AE608" s="55" t="n">
        <x:v>10674</x:v>
      </x:c>
      <x:c r="AF608" s="55" t="n">
        <x:v>10604</x:v>
      </x:c>
      <x:c r="AG608" s="55" t="n">
        <x:v>70</x:v>
      </x:c>
      <x:c r="AH608" s="55" t="n">
        <x:v>525</x:v>
      </x:c>
      <x:c r="AI608" s="55" t="n">
        <x:v>10079</x:v>
      </x:c>
      <x:c r="AJ608" s="55" t="n">
        <x:v>425</x:v>
      </x:c>
      <x:c r="AK608" s="55" t="n">
        <x:v>1163</x:v>
      </x:c>
      <x:c r="AL608" s="55" t="n">
        <x:v>1753</x:v>
      </x:c>
      <x:c r="AM608" s="55" t="n">
        <x:v>5231</x:v>
      </x:c>
      <x:c r="AN608" s="55" t="n">
        <x:v>2027</x:v>
      </x:c>
      <x:c r="AO608" s="55" t="n">
        <x:v>5</x:v>
      </x:c>
      <x:c r="AP608" s="55" t="n">
        <x:v>2359</x:v>
      </x:c>
      <x:c r="AQ608" s="55" t="n">
        <x:v>977</x:v>
      </x:c>
    </x:row>
    <x:row r="609">
      <x:c r="A609" s="54" t="str">
        <x:v>T1_SHARED_CATCHMENT</x:v>
      </x:c>
      <x:c r="B609" s="54" t="n">
        <x:v>603</x:v>
      </x:c>
      <x:c r="C609" s="54" t="str">
        <x:v>NYC-V2-R01</x:v>
      </x:c>
      <x:c r="D609" s="54" t="str">
        <x:v>V2</x:v>
      </x:c>
      <x:c r="E609" s="54" t="str">
        <x:v>ADMITTED</x:v>
      </x:c>
      <x:c r="F609" s="55" t="n">
        <x:v>31331</x:v>
      </x:c>
      <x:c r="G609" s="55" t="n">
        <x:v>8106</x:v>
      </x:c>
      <x:c r="H609" s="55" t="n">
        <x:v>3301</x:v>
      </x:c>
      <x:c r="I609" s="55" t="n">
        <x:v>1311</x:v>
      </x:c>
      <x:c r="J609" s="55" t="n">
        <x:v>161</x:v>
      </x:c>
      <x:c r="K609" s="55" t="n">
        <x:v>30396</x:v>
      </x:c>
      <x:c r="L609" s="55" t="n">
        <x:v>6335</x:v>
      </x:c>
      <x:c r="M609" s="55" t="n">
        <x:v>1079</x:v>
      </x:c>
      <x:c r="N609" s="55" t="n">
        <x:v>3003</x:v>
      </x:c>
      <x:c r="O609" s="55" t="n">
        <x:v>2253</x:v>
      </x:c>
      <x:c r="P609" s="55" t="n">
        <x:v>1285</x:v>
      </x:c>
      <x:c r="Q609" s="55" t="n">
        <x:v>2725</x:v>
      </x:c>
      <x:c r="R609" s="55" t="n">
        <x:v>2169</x:v>
      </x:c>
      <x:c r="S609" s="55" t="n">
        <x:v>2803</x:v>
      </x:c>
      <x:c r="T609" s="55" t="n">
        <x:v>1600</x:v>
      </x:c>
      <x:c r="U609" s="55" t="n">
        <x:v>2123</x:v>
      </x:c>
      <x:c r="V609" s="55" t="n">
        <x:v>10635</x:v>
      </x:c>
      <x:c r="W609" s="55" t="n">
        <x:v>7284</x:v>
      </x:c>
      <x:c r="X609" s="55" t="n">
        <x:v>3351</x:v>
      </x:c>
      <x:c r="Y609" s="55" t="n">
        <x:v>2912</x:v>
      </x:c>
      <x:c r="Z609" s="55" t="n">
        <x:v>4055</x:v>
      </x:c>
      <x:c r="AA609" s="55" t="n">
        <x:v>2767</x:v>
      </x:c>
      <x:c r="AB609" s="55" t="n">
        <x:v>1184</x:v>
      </x:c>
      <x:c r="AC609" s="55" t="n">
        <x:v>8518</x:v>
      </x:c>
      <x:c r="AD609" s="55" t="n">
        <x:v>3579</x:v>
      </x:c>
      <x:c r="AE609" s="55" t="n">
        <x:v>10711</x:v>
      </x:c>
      <x:c r="AF609" s="55" t="n">
        <x:v>10635</x:v>
      </x:c>
      <x:c r="AG609" s="55" t="n">
        <x:v>76</x:v>
      </x:c>
      <x:c r="AH609" s="55" t="n">
        <x:v>457</x:v>
      </x:c>
      <x:c r="AI609" s="55" t="n">
        <x:v>10178</x:v>
      </x:c>
      <x:c r="AJ609" s="55" t="n">
        <x:v>414</x:v>
      </x:c>
      <x:c r="AK609" s="55" t="n">
        <x:v>666</x:v>
      </x:c>
      <x:c r="AL609" s="55" t="n">
        <x:v>1621</x:v>
      </x:c>
      <x:c r="AM609" s="55" t="n">
        <x:v>4931</x:v>
      </x:c>
      <x:c r="AN609" s="55" t="n">
        <x:v>3003</x:v>
      </x:c>
      <x:c r="AO609" s="55" t="n">
        <x:v>0</x:v>
      </x:c>
      <x:c r="AP609" s="55" t="n">
        <x:v>2510</x:v>
      </x:c>
      <x:c r="AQ609" s="55" t="n">
        <x:v>972</x:v>
      </x:c>
    </x:row>
    <x:row r="610">
      <x:c r="A610" s="54" t="str">
        <x:v>T1_SHARED_CATCHMENT</x:v>
      </x:c>
      <x:c r="B610" s="54" t="n">
        <x:v>604</x:v>
      </x:c>
      <x:c r="C610" s="54" t="str">
        <x:v>NYC-V2-R01</x:v>
      </x:c>
      <x:c r="D610" s="54" t="str">
        <x:v>V2</x:v>
      </x:c>
      <x:c r="E610" s="54" t="str">
        <x:v>ADMITTED</x:v>
      </x:c>
      <x:c r="F610" s="55" t="n">
        <x:v>31766</x:v>
      </x:c>
      <x:c r="G610" s="55" t="n">
        <x:v>9264</x:v>
      </x:c>
      <x:c r="H610" s="55" t="n">
        <x:v>3193</x:v>
      </x:c>
      <x:c r="I610" s="55" t="n">
        <x:v>1381</x:v>
      </x:c>
      <x:c r="J610" s="55" t="n">
        <x:v>272</x:v>
      </x:c>
      <x:c r="K610" s="55" t="n">
        <x:v>27081</x:v>
      </x:c>
      <x:c r="L610" s="55" t="n">
        <x:v>4856</x:v>
      </x:c>
      <x:c r="M610" s="55" t="n">
        <x:v>585</x:v>
      </x:c>
      <x:c r="N610" s="55" t="n">
        <x:v>2729</x:v>
      </x:c>
      <x:c r="O610" s="55" t="n">
        <x:v>1542</x:v>
      </x:c>
      <x:c r="P610" s="55" t="n">
        <x:v>835</x:v>
      </x:c>
      <x:c r="Q610" s="55" t="n">
        <x:v>2975</x:v>
      </x:c>
      <x:c r="R610" s="55" t="n">
        <x:v>1889</x:v>
      </x:c>
      <x:c r="S610" s="55" t="n">
        <x:v>2892</x:v>
      </x:c>
      <x:c r="T610" s="55" t="n">
        <x:v>1878</x:v>
      </x:c>
      <x:c r="U610" s="55" t="n">
        <x:v>2161</x:v>
      </x:c>
      <x:c r="V610" s="55" t="n">
        <x:v>10413</x:v>
      </x:c>
      <x:c r="W610" s="55" t="n">
        <x:v>7605</x:v>
      </x:c>
      <x:c r="X610" s="55" t="n">
        <x:v>2808</x:v>
      </x:c>
      <x:c r="Y610" s="55" t="n">
        <x:v>2435</x:v>
      </x:c>
      <x:c r="Z610" s="55" t="n">
        <x:v>3761</x:v>
      </x:c>
      <x:c r="AA610" s="55" t="n">
        <x:v>3095</x:v>
      </x:c>
      <x:c r="AB610" s="55" t="n">
        <x:v>1298</x:v>
      </x:c>
      <x:c r="AC610" s="55" t="n">
        <x:v>7905</x:v>
      </x:c>
      <x:c r="AD610" s="55" t="n">
        <x:v>2644</x:v>
      </x:c>
      <x:c r="AE610" s="55" t="n">
        <x:v>10510</x:v>
      </x:c>
      <x:c r="AF610" s="55" t="n">
        <x:v>10413</x:v>
      </x:c>
      <x:c r="AG610" s="55" t="n">
        <x:v>97</x:v>
      </x:c>
      <x:c r="AH610" s="55" t="n">
        <x:v>516</x:v>
      </x:c>
      <x:c r="AI610" s="55" t="n">
        <x:v>9897</x:v>
      </x:c>
      <x:c r="AJ610" s="55" t="n">
        <x:v>482</x:v>
      </x:c>
      <x:c r="AK610" s="55" t="n">
        <x:v>1072</x:v>
      </x:c>
      <x:c r="AL610" s="55" t="n">
        <x:v>1710</x:v>
      </x:c>
      <x:c r="AM610" s="55" t="n">
        <x:v>4951</x:v>
      </x:c>
      <x:c r="AN610" s="55" t="n">
        <x:v>2139</x:v>
      </x:c>
      <x:c r="AO610" s="55" t="n">
        <x:v>59</x:v>
      </x:c>
      <x:c r="AP610" s="55" t="n">
        <x:v>2571</x:v>
      </x:c>
      <x:c r="AQ610" s="55" t="n">
        <x:v>952</x:v>
      </x:c>
    </x:row>
    <x:row r="611">
      <x:c r="A611" s="54" t="str">
        <x:v>T1_SHARED_CATCHMENT</x:v>
      </x:c>
      <x:c r="B611" s="54" t="n">
        <x:v>605</x:v>
      </x:c>
      <x:c r="C611" s="54" t="str">
        <x:v>NYC-V2-R01</x:v>
      </x:c>
      <x:c r="D611" s="54" t="str">
        <x:v>V2</x:v>
      </x:c>
      <x:c r="E611" s="54" t="str">
        <x:v>ADMITTED</x:v>
      </x:c>
      <x:c r="F611" s="55" t="n">
        <x:v>31539</x:v>
      </x:c>
      <x:c r="G611" s="55" t="n">
        <x:v>7322</x:v>
      </x:c>
      <x:c r="H611" s="55" t="n">
        <x:v>2903</x:v>
      </x:c>
      <x:c r="I611" s="55" t="n">
        <x:v>1084</x:v>
      </x:c>
      <x:c r="J611" s="55" t="n">
        <x:v>50</x:v>
      </x:c>
      <x:c r="K611" s="55" t="n">
        <x:v>31539</x:v>
      </x:c>
      <x:c r="L611" s="55" t="n">
        <x:v>5430</x:v>
      </x:c>
      <x:c r="M611" s="55" t="n">
        <x:v>768</x:v>
      </x:c>
      <x:c r="N611" s="55" t="n">
        <x:v>2819</x:v>
      </x:c>
      <x:c r="O611" s="55" t="n">
        <x:v>1843</x:v>
      </x:c>
      <x:c r="P611" s="55" t="n">
        <x:v>824</x:v>
      </x:c>
      <x:c r="Q611" s="55" t="n">
        <x:v>2312</x:v>
      </x:c>
      <x:c r="R611" s="55" t="n">
        <x:v>1693</x:v>
      </x:c>
      <x:c r="S611" s="55" t="n">
        <x:v>2855</x:v>
      </x:c>
      <x:c r="T611" s="55" t="n">
        <x:v>935</x:v>
      </x:c>
      <x:c r="U611" s="55" t="n">
        <x:v>1801</x:v>
      </x:c>
      <x:c r="V611" s="55" t="n">
        <x:v>9865</x:v>
      </x:c>
      <x:c r="W611" s="55" t="n">
        <x:v>6939</x:v>
      </x:c>
      <x:c r="X611" s="55" t="n">
        <x:v>2926</x:v>
      </x:c>
      <x:c r="Y611" s="55" t="n">
        <x:v>2607</x:v>
      </x:c>
      <x:c r="Z611" s="55" t="n">
        <x:v>4037</x:v>
      </x:c>
      <x:c r="AA611" s="55" t="n">
        <x:v>2903</x:v>
      </x:c>
      <x:c r="AB611" s="55" t="n">
        <x:v>896</x:v>
      </x:c>
      <x:c r="AC611" s="55" t="n">
        <x:v>7850</x:v>
      </x:c>
      <x:c r="AD611" s="55" t="n">
        <x:v>3188</x:v>
      </x:c>
      <x:c r="AE611" s="55" t="n">
        <x:v>9921</x:v>
      </x:c>
      <x:c r="AF611" s="55" t="n">
        <x:v>9865</x:v>
      </x:c>
      <x:c r="AG611" s="55" t="n">
        <x:v>56</x:v>
      </x:c>
      <x:c r="AH611" s="55" t="n">
        <x:v>601</x:v>
      </x:c>
      <x:c r="AI611" s="55" t="n">
        <x:v>9264</x:v>
      </x:c>
      <x:c r="AJ611" s="55" t="n">
        <x:v>175</x:v>
      </x:c>
      <x:c r="AK611" s="55" t="n">
        <x:v>965</x:v>
      </x:c>
      <x:c r="AL611" s="55" t="n">
        <x:v>1230</x:v>
      </x:c>
      <x:c r="AM611" s="55" t="n">
        <x:v>5239</x:v>
      </x:c>
      <x:c r="AN611" s="55" t="n">
        <x:v>2256</x:v>
      </x:c>
      <x:c r="AO611" s="55" t="n">
        <x:v>0</x:v>
      </x:c>
      <x:c r="AP611" s="55" t="n">
        <x:v>1891</x:v>
      </x:c>
      <x:c r="AQ611" s="55" t="n">
        <x:v>915</x:v>
      </x:c>
    </x:row>
    <x:row r="612">
      <x:c r="A612" s="54" t="str">
        <x:v>T1_SHARED_CATCHMENT</x:v>
      </x:c>
      <x:c r="B612" s="54" t="n">
        <x:v>606</x:v>
      </x:c>
      <x:c r="C612" s="54" t="str">
        <x:v>NYC-V2-R01</x:v>
      </x:c>
      <x:c r="D612" s="54" t="str">
        <x:v>V2</x:v>
      </x:c>
      <x:c r="E612" s="54" t="str">
        <x:v>ADMITTED</x:v>
      </x:c>
      <x:c r="F612" s="55" t="n">
        <x:v>32649</x:v>
      </x:c>
      <x:c r="G612" s="55" t="n">
        <x:v>7951</x:v>
      </x:c>
      <x:c r="H612" s="55" t="n">
        <x:v>3393</x:v>
      </x:c>
      <x:c r="I612" s="55" t="n">
        <x:v>1419</x:v>
      </x:c>
      <x:c r="J612" s="55" t="n">
        <x:v>183</x:v>
      </x:c>
      <x:c r="K612" s="55" t="n">
        <x:v>32649</x:v>
      </x:c>
      <x:c r="L612" s="55" t="n">
        <x:v>7359</x:v>
      </x:c>
      <x:c r="M612" s="55" t="n">
        <x:v>2541</x:v>
      </x:c>
      <x:c r="N612" s="55" t="n">
        <x:v>2758</x:v>
      </x:c>
      <x:c r="O612" s="55" t="n">
        <x:v>2060</x:v>
      </x:c>
      <x:c r="P612" s="55" t="n">
        <x:v>957</x:v>
      </x:c>
      <x:c r="Q612" s="55" t="n">
        <x:v>3032</x:v>
      </x:c>
      <x:c r="R612" s="55" t="n">
        <x:v>2019</x:v>
      </x:c>
      <x:c r="S612" s="55" t="n">
        <x:v>3010</x:v>
      </x:c>
      <x:c r="T612" s="55" t="n">
        <x:v>1547</x:v>
      </x:c>
      <x:c r="U612" s="55" t="n">
        <x:v>1979</x:v>
      </x:c>
      <x:c r="V612" s="55" t="n">
        <x:v>10261</x:v>
      </x:c>
      <x:c r="W612" s="55" t="n">
        <x:v>7201</x:v>
      </x:c>
      <x:c r="X612" s="55" t="n">
        <x:v>3060</x:v>
      </x:c>
      <x:c r="Y612" s="55" t="n">
        <x:v>2587</x:v>
      </x:c>
      <x:c r="Z612" s="55" t="n">
        <x:v>3498</x:v>
      </x:c>
      <x:c r="AA612" s="55" t="n">
        <x:v>3261</x:v>
      </x:c>
      <x:c r="AB612" s="55" t="n">
        <x:v>967</x:v>
      </x:c>
      <x:c r="AC612" s="55" t="n">
        <x:v>7949</x:v>
      </x:c>
      <x:c r="AD612" s="55" t="n">
        <x:v>3272</x:v>
      </x:c>
      <x:c r="AE612" s="55" t="n">
        <x:v>10312</x:v>
      </x:c>
      <x:c r="AF612" s="55" t="n">
        <x:v>10261</x:v>
      </x:c>
      <x:c r="AG612" s="55" t="n">
        <x:v>51</x:v>
      </x:c>
      <x:c r="AH612" s="55" t="n">
        <x:v>417</x:v>
      </x:c>
      <x:c r="AI612" s="55" t="n">
        <x:v>9844</x:v>
      </x:c>
      <x:c r="AJ612" s="55" t="n">
        <x:v>347</x:v>
      </x:c>
      <x:c r="AK612" s="55" t="n">
        <x:v>939</x:v>
      </x:c>
      <x:c r="AL612" s="55" t="n">
        <x:v>1583</x:v>
      </x:c>
      <x:c r="AM612" s="55" t="n">
        <x:v>4465</x:v>
      </x:c>
      <x:c r="AN612" s="55" t="n">
        <x:v>2927</x:v>
      </x:c>
      <x:c r="AO612" s="55" t="n">
        <x:v>0</x:v>
      </x:c>
      <x:c r="AP612" s="55" t="n">
        <x:v>1842</x:v>
      </x:c>
      <x:c r="AQ612" s="55" t="n">
        <x:v>988</x:v>
      </x:c>
    </x:row>
    <x:row r="613">
      <x:c r="A613" s="54" t="str">
        <x:v>T1_SHARED_CATCHMENT</x:v>
      </x:c>
      <x:c r="B613" s="54" t="n">
        <x:v>607</x:v>
      </x:c>
      <x:c r="C613" s="54" t="str">
        <x:v>NYC-V2-R01</x:v>
      </x:c>
      <x:c r="D613" s="54" t="str">
        <x:v>V2</x:v>
      </x:c>
      <x:c r="E613" s="54" t="str">
        <x:v>ADMITTED</x:v>
      </x:c>
      <x:c r="F613" s="55" t="n">
        <x:v>28573</x:v>
      </x:c>
      <x:c r="G613" s="55" t="n">
        <x:v>6815</x:v>
      </x:c>
      <x:c r="H613" s="55" t="n">
        <x:v>2621</x:v>
      </x:c>
      <x:c r="I613" s="55" t="n">
        <x:v>804</x:v>
      </x:c>
      <x:c r="J613" s="55" t="n">
        <x:v>229</x:v>
      </x:c>
      <x:c r="K613" s="55" t="n">
        <x:v>28573</x:v>
      </x:c>
      <x:c r="L613" s="55" t="n">
        <x:v>4534</x:v>
      </x:c>
      <x:c r="M613" s="55" t="n">
        <x:v>884</x:v>
      </x:c>
      <x:c r="N613" s="55" t="n">
        <x:v>2182</x:v>
      </x:c>
      <x:c r="O613" s="55" t="n">
        <x:v>1468</x:v>
      </x:c>
      <x:c r="P613" s="55" t="n">
        <x:v>1421</x:v>
      </x:c>
      <x:c r="Q613" s="55" t="n">
        <x:v>856</x:v>
      </x:c>
      <x:c r="R613" s="55" t="n">
        <x:v>1170</x:v>
      </x:c>
      <x:c r="S613" s="55" t="n">
        <x:v>2366</x:v>
      </x:c>
      <x:c r="T613" s="55" t="n">
        <x:v>1113</x:v>
      </x:c>
      <x:c r="U613" s="55" t="n">
        <x:v>2368</x:v>
      </x:c>
      <x:c r="V613" s="55" t="n">
        <x:v>10282</x:v>
      </x:c>
      <x:c r="W613" s="55" t="n">
        <x:v>7490</x:v>
      </x:c>
      <x:c r="X613" s="55" t="n">
        <x:v>2792</x:v>
      </x:c>
      <x:c r="Y613" s="55" t="n">
        <x:v>2396</x:v>
      </x:c>
      <x:c r="Z613" s="55" t="n">
        <x:v>3368</x:v>
      </x:c>
      <x:c r="AA613" s="55" t="n">
        <x:v>2621</x:v>
      </x:c>
      <x:c r="AB613" s="55" t="n">
        <x:v>779</x:v>
      </x:c>
      <x:c r="AC613" s="55" t="n">
        <x:v>8155</x:v>
      </x:c>
      <x:c r="AD613" s="55" t="n">
        <x:v>2162</x:v>
      </x:c>
      <x:c r="AE613" s="55" t="n">
        <x:v>10306</x:v>
      </x:c>
      <x:c r="AF613" s="55" t="n">
        <x:v>10282</x:v>
      </x:c>
      <x:c r="AG613" s="55" t="n">
        <x:v>24</x:v>
      </x:c>
      <x:c r="AH613" s="55" t="n">
        <x:v>386</x:v>
      </x:c>
      <x:c r="AI613" s="55" t="n">
        <x:v>9896</x:v>
      </x:c>
      <x:c r="AJ613" s="55" t="n">
        <x:v>395</x:v>
      </x:c>
      <x:c r="AK613" s="55" t="n">
        <x:v>764</x:v>
      </x:c>
      <x:c r="AL613" s="55" t="n">
        <x:v>1783</x:v>
      </x:c>
      <x:c r="AM613" s="55" t="n">
        <x:v>4629</x:v>
      </x:c>
      <x:c r="AN613" s="55" t="n">
        <x:v>2666</x:v>
      </x:c>
      <x:c r="AO613" s="55" t="n">
        <x:v>45</x:v>
      </x:c>
      <x:c r="AP613" s="55" t="n">
        <x:v>2267</x:v>
      </x:c>
      <x:c r="AQ613" s="55" t="n">
        <x:v>933</x:v>
      </x:c>
    </x:row>
    <x:row r="614">
      <x:c r="A614" s="54" t="str">
        <x:v>T1_SHARED_CATCHMENT</x:v>
      </x:c>
      <x:c r="B614" s="54" t="n">
        <x:v>608</x:v>
      </x:c>
      <x:c r="C614" s="54" t="str">
        <x:v>NYC-V2-R01</x:v>
      </x:c>
      <x:c r="D614" s="54" t="str">
        <x:v>V2</x:v>
      </x:c>
      <x:c r="E614" s="54" t="str">
        <x:v>ADMITTED</x:v>
      </x:c>
      <x:c r="F614" s="55" t="n">
        <x:v>30659</x:v>
      </x:c>
      <x:c r="G614" s="55" t="n">
        <x:v>7062</x:v>
      </x:c>
      <x:c r="H614" s="55" t="n">
        <x:v>3181</x:v>
      </x:c>
      <x:c r="I614" s="55" t="n">
        <x:v>720</x:v>
      </x:c>
      <x:c r="J614" s="55" t="n">
        <x:v>114</x:v>
      </x:c>
      <x:c r="K614" s="55" t="n">
        <x:v>30659</x:v>
      </x:c>
      <x:c r="L614" s="55" t="n">
        <x:v>5555</x:v>
      </x:c>
      <x:c r="M614" s="55" t="n">
        <x:v>894</x:v>
      </x:c>
      <x:c r="N614" s="55" t="n">
        <x:v>2792</x:v>
      </x:c>
      <x:c r="O614" s="55" t="n">
        <x:v>1869</x:v>
      </x:c>
      <x:c r="P614" s="55" t="n">
        <x:v>1011</x:v>
      </x:c>
      <x:c r="Q614" s="55" t="n">
        <x:v>1788</x:v>
      </x:c>
      <x:c r="R614" s="55" t="n">
        <x:v>1754</x:v>
      </x:c>
      <x:c r="S614" s="55" t="n">
        <x:v>2074</x:v>
      </x:c>
      <x:c r="T614" s="55" t="n">
        <x:v>806</x:v>
      </x:c>
      <x:c r="U614" s="55" t="n">
        <x:v>2419</x:v>
      </x:c>
      <x:c r="V614" s="55" t="n">
        <x:v>10278</x:v>
      </x:c>
      <x:c r="W614" s="55" t="n">
        <x:v>7515</x:v>
      </x:c>
      <x:c r="X614" s="55" t="n">
        <x:v>2763</x:v>
      </x:c>
      <x:c r="Y614" s="55" t="n">
        <x:v>2426</x:v>
      </x:c>
      <x:c r="Z614" s="55" t="n">
        <x:v>3500</x:v>
      </x:c>
      <x:c r="AA614" s="55" t="n">
        <x:v>3181</x:v>
      </x:c>
      <x:c r="AB614" s="55" t="n">
        <x:v>1099</x:v>
      </x:c>
      <x:c r="AC614" s="55" t="n">
        <x:v>7829</x:v>
      </x:c>
      <x:c r="AD614" s="55" t="n">
        <x:v>3070</x:v>
      </x:c>
      <x:c r="AE614" s="55" t="n">
        <x:v>10323</x:v>
      </x:c>
      <x:c r="AF614" s="55" t="n">
        <x:v>10278</x:v>
      </x:c>
      <x:c r="AG614" s="55" t="n">
        <x:v>45</x:v>
      </x:c>
      <x:c r="AH614" s="55" t="n">
        <x:v>225</x:v>
      </x:c>
      <x:c r="AI614" s="55" t="n">
        <x:v>10053</x:v>
      </x:c>
      <x:c r="AJ614" s="55" t="n">
        <x:v>283</x:v>
      </x:c>
      <x:c r="AK614" s="55" t="n">
        <x:v>966</x:v>
      </x:c>
      <x:c r="AL614" s="55" t="n">
        <x:v>1325</x:v>
      </x:c>
      <x:c r="AM614" s="55" t="n">
        <x:v>4960</x:v>
      </x:c>
      <x:c r="AN614" s="55" t="n">
        <x:v>2671</x:v>
      </x:c>
      <x:c r="AO614" s="55" t="n">
        <x:v>73</x:v>
      </x:c>
      <x:c r="AP614" s="55" t="n">
        <x:v>2806</x:v>
      </x:c>
      <x:c r="AQ614" s="55" t="n">
        <x:v>974</x:v>
      </x:c>
    </x:row>
    <x:row r="615">
      <x:c r="A615" s="54" t="str">
        <x:v>T1_SHARED_CATCHMENT</x:v>
      </x:c>
      <x:c r="B615" s="54" t="n">
        <x:v>609</x:v>
      </x:c>
      <x:c r="C615" s="54" t="str">
        <x:v>NYC-V2-R01</x:v>
      </x:c>
      <x:c r="D615" s="54" t="str">
        <x:v>V2</x:v>
      </x:c>
      <x:c r="E615" s="54" t="str">
        <x:v>ADMITTED</x:v>
      </x:c>
      <x:c r="F615" s="55" t="n">
        <x:v>31266</x:v>
      </x:c>
      <x:c r="G615" s="55" t="n">
        <x:v>8979</x:v>
      </x:c>
      <x:c r="H615" s="55" t="n">
        <x:v>3220</x:v>
      </x:c>
      <x:c r="I615" s="55" t="n">
        <x:v>1206</x:v>
      </x:c>
      <x:c r="J615" s="55" t="n">
        <x:v>279</x:v>
      </x:c>
      <x:c r="K615" s="55" t="n">
        <x:v>31266</x:v>
      </x:c>
      <x:c r="L615" s="55" t="n">
        <x:v>6867</x:v>
      </x:c>
      <x:c r="M615" s="55" t="n">
        <x:v>1980</x:v>
      </x:c>
      <x:c r="N615" s="55" t="n">
        <x:v>2885</x:v>
      </x:c>
      <x:c r="O615" s="55" t="n">
        <x:v>2002</x:v>
      </x:c>
      <x:c r="P615" s="55" t="n">
        <x:v>738</x:v>
      </x:c>
      <x:c r="Q615" s="55" t="n">
        <x:v>3270</x:v>
      </x:c>
      <x:c r="R615" s="55" t="n">
        <x:v>2446</x:v>
      </x:c>
      <x:c r="S615" s="55" t="n">
        <x:v>2134</x:v>
      </x:c>
      <x:c r="T615" s="55" t="n">
        <x:v>1322</x:v>
      </x:c>
      <x:c r="U615" s="55" t="n">
        <x:v>2304</x:v>
      </x:c>
      <x:c r="V615" s="55" t="n">
        <x:v>10398</x:v>
      </x:c>
      <x:c r="W615" s="55" t="n">
        <x:v>7537</x:v>
      </x:c>
      <x:c r="X615" s="55" t="n">
        <x:v>2861</x:v>
      </x:c>
      <x:c r="Y615" s="55" t="n">
        <x:v>2532</x:v>
      </x:c>
      <x:c r="Z615" s="55" t="n">
        <x:v>3899</x:v>
      </x:c>
      <x:c r="AA615" s="55" t="n">
        <x:v>3160</x:v>
      </x:c>
      <x:c r="AB615" s="55" t="n">
        <x:v>1207</x:v>
      </x:c>
      <x:c r="AC615" s="55" t="n">
        <x:v>7915</x:v>
      </x:c>
      <x:c r="AD615" s="55" t="n">
        <x:v>3095</x:v>
      </x:c>
      <x:c r="AE615" s="55" t="n">
        <x:v>10545</x:v>
      </x:c>
      <x:c r="AF615" s="55" t="n">
        <x:v>10398</x:v>
      </x:c>
      <x:c r="AG615" s="55" t="n">
        <x:v>147</x:v>
      </x:c>
      <x:c r="AH615" s="55" t="n">
        <x:v>621</x:v>
      </x:c>
      <x:c r="AI615" s="55" t="n">
        <x:v>9777</x:v>
      </x:c>
      <x:c r="AJ615" s="55" t="n">
        <x:v>339</x:v>
      </x:c>
      <x:c r="AK615" s="55" t="n">
        <x:v>736</x:v>
      </x:c>
      <x:c r="AL615" s="55" t="n">
        <x:v>1187</x:v>
      </x:c>
      <x:c r="AM615" s="55" t="n">
        <x:v>5119</x:v>
      </x:c>
      <x:c r="AN615" s="55" t="n">
        <x:v>3017</x:v>
      </x:c>
      <x:c r="AO615" s="55" t="n">
        <x:v>0</x:v>
      </x:c>
      <x:c r="AP615" s="55" t="n">
        <x:v>2264</x:v>
      </x:c>
      <x:c r="AQ615" s="55" t="n">
        <x:v>976</x:v>
      </x:c>
    </x:row>
    <x:row r="616">
      <x:c r="A616" s="54" t="str">
        <x:v>T1_SHARED_CATCHMENT</x:v>
      </x:c>
      <x:c r="B616" s="54" t="n">
        <x:v>610</x:v>
      </x:c>
      <x:c r="C616" s="54" t="str">
        <x:v>NYC-V2-R01</x:v>
      </x:c>
      <x:c r="D616" s="54" t="str">
        <x:v>V2</x:v>
      </x:c>
      <x:c r="E616" s="54" t="str">
        <x:v>ADMITTED</x:v>
      </x:c>
      <x:c r="F616" s="55" t="n">
        <x:v>30626</x:v>
      </x:c>
      <x:c r="G616" s="55" t="n">
        <x:v>7556</x:v>
      </x:c>
      <x:c r="H616" s="55" t="n">
        <x:v>3071</x:v>
      </x:c>
      <x:c r="I616" s="55" t="n">
        <x:v>1446</x:v>
      </x:c>
      <x:c r="J616" s="55" t="n">
        <x:v>56</x:v>
      </x:c>
      <x:c r="K616" s="55" t="n">
        <x:v>27296</x:v>
      </x:c>
      <x:c r="L616" s="55" t="n">
        <x:v>4319</x:v>
      </x:c>
      <x:c r="M616" s="55" t="n">
        <x:v>0</x:v>
      </x:c>
      <x:c r="N616" s="55" t="n">
        <x:v>2247</x:v>
      </x:c>
      <x:c r="O616" s="55" t="n">
        <x:v>2072</x:v>
      </x:c>
      <x:c r="P616" s="55" t="n">
        <x:v>484</x:v>
      </x:c>
      <x:c r="Q616" s="55" t="n">
        <x:v>2100</x:v>
      </x:c>
      <x:c r="R616" s="55" t="n">
        <x:v>1749</x:v>
      </x:c>
      <x:c r="S616" s="55" t="n">
        <x:v>2334</x:v>
      </x:c>
      <x:c r="T616" s="55" t="n">
        <x:v>1124</x:v>
      </x:c>
      <x:c r="U616" s="55" t="n">
        <x:v>1840</x:v>
      </x:c>
      <x:c r="V616" s="55" t="n">
        <x:v>10235</x:v>
      </x:c>
      <x:c r="W616" s="55" t="n">
        <x:v>7410</x:v>
      </x:c>
      <x:c r="X616" s="55" t="n">
        <x:v>2825</x:v>
      </x:c>
      <x:c r="Y616" s="55" t="n">
        <x:v>2234</x:v>
      </x:c>
      <x:c r="Z616" s="55" t="n">
        <x:v>3761</x:v>
      </x:c>
      <x:c r="AA616" s="55" t="n">
        <x:v>2978</x:v>
      </x:c>
      <x:c r="AB616" s="55" t="n">
        <x:v>1151</x:v>
      </x:c>
      <x:c r="AC616" s="55" t="n">
        <x:v>8329</x:v>
      </x:c>
      <x:c r="AD616" s="55" t="n">
        <x:v>2949</x:v>
      </x:c>
      <x:c r="AE616" s="55" t="n">
        <x:v>10307</x:v>
      </x:c>
      <x:c r="AF616" s="55" t="n">
        <x:v>10235</x:v>
      </x:c>
      <x:c r="AG616" s="55" t="n">
        <x:v>72</x:v>
      </x:c>
      <x:c r="AH616" s="55" t="n">
        <x:v>188</x:v>
      </x:c>
      <x:c r="AI616" s="55" t="n">
        <x:v>10047</x:v>
      </x:c>
      <x:c r="AJ616" s="55" t="n">
        <x:v>276</x:v>
      </x:c>
      <x:c r="AK616" s="55" t="n">
        <x:v>1168</x:v>
      </x:c>
      <x:c r="AL616" s="55" t="n">
        <x:v>1440</x:v>
      </x:c>
      <x:c r="AM616" s="55" t="n">
        <x:v>4747</x:v>
      </x:c>
      <x:c r="AN616" s="55" t="n">
        <x:v>2600</x:v>
      </x:c>
      <x:c r="AO616" s="55" t="n">
        <x:v>4</x:v>
      </x:c>
      <x:c r="AP616" s="55" t="n">
        <x:v>2267</x:v>
      </x:c>
      <x:c r="AQ616" s="55" t="n">
        <x:v>972</x:v>
      </x:c>
    </x:row>
    <x:row r="617">
      <x:c r="A617" s="54" t="str">
        <x:v>T1_SHARED_CATCHMENT</x:v>
      </x:c>
      <x:c r="B617" s="54" t="n">
        <x:v>611</x:v>
      </x:c>
      <x:c r="C617" s="54" t="str">
        <x:v>NYC-V2-R01</x:v>
      </x:c>
      <x:c r="D617" s="54" t="str">
        <x:v>V2</x:v>
      </x:c>
      <x:c r="E617" s="54" t="str">
        <x:v>ADMITTED</x:v>
      </x:c>
      <x:c r="F617" s="55" t="n">
        <x:v>32323</x:v>
      </x:c>
      <x:c r="G617" s="55" t="n">
        <x:v>7415</x:v>
      </x:c>
      <x:c r="H617" s="55" t="n">
        <x:v>3417</x:v>
      </x:c>
      <x:c r="I617" s="55" t="n">
        <x:v>1376</x:v>
      </x:c>
      <x:c r="J617" s="55" t="n">
        <x:v>192</x:v>
      </x:c>
      <x:c r="K617" s="55" t="n">
        <x:v>31621</x:v>
      </x:c>
      <x:c r="L617" s="55" t="n">
        <x:v>5376</x:v>
      </x:c>
      <x:c r="M617" s="55" t="n">
        <x:v>1293</x:v>
      </x:c>
      <x:c r="N617" s="55" t="n">
        <x:v>2672</x:v>
      </x:c>
      <x:c r="O617" s="55" t="n">
        <x:v>1411</x:v>
      </x:c>
      <x:c r="P617" s="55" t="n">
        <x:v>1047</x:v>
      </x:c>
      <x:c r="Q617" s="55" t="n">
        <x:v>3485</x:v>
      </x:c>
      <x:c r="R617" s="55" t="n">
        <x:v>1497</x:v>
      </x:c>
      <x:c r="S617" s="55" t="n">
        <x:v>2566</x:v>
      </x:c>
      <x:c r="T617" s="55" t="n">
        <x:v>1260</x:v>
      </x:c>
      <x:c r="U617" s="55" t="n">
        <x:v>2051</x:v>
      </x:c>
      <x:c r="V617" s="55" t="n">
        <x:v>10496</x:v>
      </x:c>
      <x:c r="W617" s="55" t="n">
        <x:v>7249</x:v>
      </x:c>
      <x:c r="X617" s="55" t="n">
        <x:v>3247</x:v>
      </x:c>
      <x:c r="Y617" s="55" t="n">
        <x:v>2803</x:v>
      </x:c>
      <x:c r="Z617" s="55" t="n">
        <x:v>4049</x:v>
      </x:c>
      <x:c r="AA617" s="55" t="n">
        <x:v>2665</x:v>
      </x:c>
      <x:c r="AB617" s="55" t="n">
        <x:v>1241</x:v>
      </x:c>
      <x:c r="AC617" s="55" t="n">
        <x:v>7974</x:v>
      </x:c>
      <x:c r="AD617" s="55" t="n">
        <x:v>2488</x:v>
      </x:c>
      <x:c r="AE617" s="55" t="n">
        <x:v>10496</x:v>
      </x:c>
      <x:c r="AF617" s="55" t="n">
        <x:v>10496</x:v>
      </x:c>
      <x:c r="AG617" s="55" t="n">
        <x:v>0</x:v>
      </x:c>
      <x:c r="AH617" s="55" t="n">
        <x:v>458</x:v>
      </x:c>
      <x:c r="AI617" s="55" t="n">
        <x:v>10038</x:v>
      </x:c>
      <x:c r="AJ617" s="55" t="n">
        <x:v>193</x:v>
      </x:c>
      <x:c r="AK617" s="55" t="n">
        <x:v>702</x:v>
      </x:c>
      <x:c r="AL617" s="55" t="n">
        <x:v>1202</x:v>
      </x:c>
      <x:c r="AM617" s="55" t="n">
        <x:v>5014</x:v>
      </x:c>
      <x:c r="AN617" s="55" t="n">
        <x:v>3344</x:v>
      </x:c>
      <x:c r="AO617" s="55" t="n">
        <x:v>41</x:v>
      </x:c>
      <x:c r="AP617" s="55" t="n">
        <x:v>2068</x:v>
      </x:c>
      <x:c r="AQ617" s="55" t="n">
        <x:v>921</x:v>
      </x:c>
    </x:row>
    <x:row r="618">
      <x:c r="A618" s="54" t="str">
        <x:v>T1_SHARED_CATCHMENT</x:v>
      </x:c>
      <x:c r="B618" s="54" t="n">
        <x:v>612</x:v>
      </x:c>
      <x:c r="C618" s="54" t="str">
        <x:v>NYC-V2-R01</x:v>
      </x:c>
      <x:c r="D618" s="54" t="str">
        <x:v>V2</x:v>
      </x:c>
      <x:c r="E618" s="54" t="str">
        <x:v>ADMITTED</x:v>
      </x:c>
      <x:c r="F618" s="55" t="n">
        <x:v>31174</x:v>
      </x:c>
      <x:c r="G618" s="55" t="n">
        <x:v>7923</x:v>
      </x:c>
      <x:c r="H618" s="55" t="n">
        <x:v>3046</x:v>
      </x:c>
      <x:c r="I618" s="55" t="n">
        <x:v>503</x:v>
      </x:c>
      <x:c r="J618" s="55" t="n">
        <x:v>128</x:v>
      </x:c>
      <x:c r="K618" s="55" t="n">
        <x:v>31174</x:v>
      </x:c>
      <x:c r="L618" s="55" t="n">
        <x:v>5372</x:v>
      </x:c>
      <x:c r="M618" s="55" t="n">
        <x:v>1651</x:v>
      </x:c>
      <x:c r="N618" s="55" t="n">
        <x:v>2427</x:v>
      </x:c>
      <x:c r="O618" s="55" t="n">
        <x:v>1294</x:v>
      </x:c>
      <x:c r="P618" s="55" t="n">
        <x:v>809</x:v>
      </x:c>
      <x:c r="Q618" s="55" t="n">
        <x:v>2585</x:v>
      </x:c>
      <x:c r="R618" s="55" t="n">
        <x:v>1835</x:v>
      </x:c>
      <x:c r="S618" s="55" t="n">
        <x:v>1764</x:v>
      </x:c>
      <x:c r="T618" s="55" t="n">
        <x:v>1085</x:v>
      </x:c>
      <x:c r="U618" s="55" t="n">
        <x:v>1872</x:v>
      </x:c>
      <x:c r="V618" s="55" t="n">
        <x:v>10645</x:v>
      </x:c>
      <x:c r="W618" s="55" t="n">
        <x:v>7836</x:v>
      </x:c>
      <x:c r="X618" s="55" t="n">
        <x:v>2809</x:v>
      </x:c>
      <x:c r="Y618" s="55" t="n">
        <x:v>2510</x:v>
      </x:c>
      <x:c r="Z618" s="55" t="n">
        <x:v>3765</x:v>
      </x:c>
      <x:c r="AA618" s="55" t="n">
        <x:v>3046</x:v>
      </x:c>
      <x:c r="AB618" s="55" t="n">
        <x:v>1352</x:v>
      </x:c>
      <x:c r="AC618" s="55" t="n">
        <x:v>7673</x:v>
      </x:c>
      <x:c r="AD618" s="55" t="n">
        <x:v>2273</x:v>
      </x:c>
      <x:c r="AE618" s="55" t="n">
        <x:v>10725</x:v>
      </x:c>
      <x:c r="AF618" s="55" t="n">
        <x:v>10645</x:v>
      </x:c>
      <x:c r="AG618" s="55" t="n">
        <x:v>80</x:v>
      </x:c>
      <x:c r="AH618" s="55" t="n">
        <x:v>414</x:v>
      </x:c>
      <x:c r="AI618" s="55" t="n">
        <x:v>10231</x:v>
      </x:c>
      <x:c r="AJ618" s="55" t="n">
        <x:v>249</x:v>
      </x:c>
      <x:c r="AK618" s="55" t="n">
        <x:v>1056</x:v>
      </x:c>
      <x:c r="AL618" s="55" t="n">
        <x:v>1617</x:v>
      </x:c>
      <x:c r="AM618" s="55" t="n">
        <x:v>4534</x:v>
      </x:c>
      <x:c r="AN618" s="55" t="n">
        <x:v>3189</x:v>
      </x:c>
      <x:c r="AO618" s="55" t="n">
        <x:v>0</x:v>
      </x:c>
      <x:c r="AP618" s="55" t="n">
        <x:v>2374</x:v>
      </x:c>
      <x:c r="AQ618" s="55" t="n">
        <x:v>905</x:v>
      </x:c>
    </x:row>
    <x:row r="619">
      <x:c r="A619" s="54" t="str">
        <x:v>T1_SHARED_CATCHMENT</x:v>
      </x:c>
      <x:c r="B619" s="54" t="n">
        <x:v>613</x:v>
      </x:c>
      <x:c r="C619" s="54" t="str">
        <x:v>NYC-V2-R01</x:v>
      </x:c>
      <x:c r="D619" s="54" t="str">
        <x:v>V2</x:v>
      </x:c>
      <x:c r="E619" s="54" t="str">
        <x:v>ADMITTED</x:v>
      </x:c>
      <x:c r="F619" s="55" t="n">
        <x:v>30670</x:v>
      </x:c>
      <x:c r="G619" s="55" t="n">
        <x:v>7303</x:v>
      </x:c>
      <x:c r="H619" s="55" t="n">
        <x:v>3468</x:v>
      </x:c>
      <x:c r="I619" s="55" t="n">
        <x:v>1511</x:v>
      </x:c>
      <x:c r="J619" s="55" t="n">
        <x:v>218</x:v>
      </x:c>
      <x:c r="K619" s="55" t="n">
        <x:v>30670</x:v>
      </x:c>
      <x:c r="L619" s="55" t="n">
        <x:v>5366</x:v>
      </x:c>
      <x:c r="M619" s="55" t="n">
        <x:v>1165</x:v>
      </x:c>
      <x:c r="N619" s="55" t="n">
        <x:v>2711</x:v>
      </x:c>
      <x:c r="O619" s="55" t="n">
        <x:v>1490</x:v>
      </x:c>
      <x:c r="P619" s="55" t="n">
        <x:v>906</x:v>
      </x:c>
      <x:c r="Q619" s="55" t="n">
        <x:v>613</x:v>
      </x:c>
      <x:c r="R619" s="55" t="n">
        <x:v>1737</x:v>
      </x:c>
      <x:c r="S619" s="55" t="n">
        <x:v>2831</x:v>
      </x:c>
      <x:c r="T619" s="55" t="n">
        <x:v>1563</x:v>
      </x:c>
      <x:c r="U619" s="55" t="n">
        <x:v>1690</x:v>
      </x:c>
      <x:c r="V619" s="55" t="n">
        <x:v>10242</x:v>
      </x:c>
      <x:c r="W619" s="55" t="n">
        <x:v>7143</x:v>
      </x:c>
      <x:c r="X619" s="55" t="n">
        <x:v>3099</x:v>
      </x:c>
      <x:c r="Y619" s="55" t="n">
        <x:v>2704</x:v>
      </x:c>
      <x:c r="Z619" s="55" t="n">
        <x:v>3421</x:v>
      </x:c>
      <x:c r="AA619" s="55" t="n">
        <x:v>2817</x:v>
      </x:c>
      <x:c r="AB619" s="55" t="n">
        <x:v>936</x:v>
      </x:c>
      <x:c r="AC619" s="55" t="n">
        <x:v>8203</x:v>
      </x:c>
      <x:c r="AD619" s="55" t="n">
        <x:v>3055</x:v>
      </x:c>
      <x:c r="AE619" s="55" t="n">
        <x:v>10261</x:v>
      </x:c>
      <x:c r="AF619" s="55" t="n">
        <x:v>10242</x:v>
      </x:c>
      <x:c r="AG619" s="55" t="n">
        <x:v>19</x:v>
      </x:c>
      <x:c r="AH619" s="55" t="n">
        <x:v>325</x:v>
      </x:c>
      <x:c r="AI619" s="55" t="n">
        <x:v>9917</x:v>
      </x:c>
      <x:c r="AJ619" s="55" t="n">
        <x:v>297</x:v>
      </x:c>
      <x:c r="AK619" s="55" t="n">
        <x:v>962</x:v>
      </x:c>
      <x:c r="AL619" s="55" t="n">
        <x:v>1869</x:v>
      </x:c>
      <x:c r="AM619" s="55" t="n">
        <x:v>4392</x:v>
      </x:c>
      <x:c r="AN619" s="55" t="n">
        <x:v>2720</x:v>
      </x:c>
      <x:c r="AO619" s="55" t="n">
        <x:v>2</x:v>
      </x:c>
      <x:c r="AP619" s="55" t="n">
        <x:v>2233</x:v>
      </x:c>
      <x:c r="AQ619" s="55" t="n">
        <x:v>938</x:v>
      </x:c>
    </x:row>
    <x:row r="620">
      <x:c r="A620" s="54" t="str">
        <x:v>T1_SHARED_CATCHMENT</x:v>
      </x:c>
      <x:c r="B620" s="54" t="n">
        <x:v>614</x:v>
      </x:c>
      <x:c r="C620" s="54" t="str">
        <x:v>NYC-V2-R01</x:v>
      </x:c>
      <x:c r="D620" s="54" t="str">
        <x:v>V2</x:v>
      </x:c>
      <x:c r="E620" s="54" t="str">
        <x:v>ADMITTED</x:v>
      </x:c>
      <x:c r="F620" s="55" t="n">
        <x:v>32136</x:v>
      </x:c>
      <x:c r="G620" s="55" t="n">
        <x:v>8803</x:v>
      </x:c>
      <x:c r="H620" s="55" t="n">
        <x:v>3380</x:v>
      </x:c>
      <x:c r="I620" s="55" t="n">
        <x:v>1705</x:v>
      </x:c>
      <x:c r="J620" s="55" t="n">
        <x:v>225</x:v>
      </x:c>
      <x:c r="K620" s="55" t="n">
        <x:v>30217</x:v>
      </x:c>
      <x:c r="L620" s="55" t="n">
        <x:v>6583</x:v>
      </x:c>
      <x:c r="M620" s="55" t="n">
        <x:v>2025</x:v>
      </x:c>
      <x:c r="N620" s="55" t="n">
        <x:v>2823</x:v>
      </x:c>
      <x:c r="O620" s="55" t="n">
        <x:v>1735</x:v>
      </x:c>
      <x:c r="P620" s="55" t="n">
        <x:v>724</x:v>
      </x:c>
      <x:c r="Q620" s="55" t="n">
        <x:v>2505</x:v>
      </x:c>
      <x:c r="R620" s="55" t="n">
        <x:v>2259</x:v>
      </x:c>
      <x:c r="S620" s="55" t="n">
        <x:v>3287</x:v>
      </x:c>
      <x:c r="T620" s="55" t="n">
        <x:v>1261</x:v>
      </x:c>
      <x:c r="U620" s="55" t="n">
        <x:v>2465</x:v>
      </x:c>
      <x:c r="V620" s="55" t="n">
        <x:v>10084</x:v>
      </x:c>
      <x:c r="W620" s="55" t="n">
        <x:v>7095</x:v>
      </x:c>
      <x:c r="X620" s="55" t="n">
        <x:v>2989</x:v>
      </x:c>
      <x:c r="Y620" s="55" t="n">
        <x:v>2685</x:v>
      </x:c>
      <x:c r="Z620" s="55" t="n">
        <x:v>3888</x:v>
      </x:c>
      <x:c r="AA620" s="55" t="n">
        <x:v>3214</x:v>
      </x:c>
      <x:c r="AB620" s="55" t="n">
        <x:v>1383</x:v>
      </x:c>
      <x:c r="AC620" s="55" t="n">
        <x:v>7819</x:v>
      </x:c>
      <x:c r="AD620" s="55" t="n">
        <x:v>2440</x:v>
      </x:c>
      <x:c r="AE620" s="55" t="n">
        <x:v>10091</x:v>
      </x:c>
      <x:c r="AF620" s="55" t="n">
        <x:v>10084</x:v>
      </x:c>
      <x:c r="AG620" s="55" t="n">
        <x:v>7</x:v>
      </x:c>
      <x:c r="AH620" s="55" t="n">
        <x:v>500</x:v>
      </x:c>
      <x:c r="AI620" s="55" t="n">
        <x:v>9584</x:v>
      </x:c>
      <x:c r="AJ620" s="55" t="n">
        <x:v>396</x:v>
      </x:c>
      <x:c r="AK620" s="55" t="n">
        <x:v>1054</x:v>
      </x:c>
      <x:c r="AL620" s="55" t="n">
        <x:v>1773</x:v>
      </x:c>
      <x:c r="AM620" s="55" t="n">
        <x:v>4622</x:v>
      </x:c>
      <x:c r="AN620" s="55" t="n">
        <x:v>2239</x:v>
      </x:c>
      <x:c r="AO620" s="55" t="n">
        <x:v>0</x:v>
      </x:c>
      <x:c r="AP620" s="55" t="n">
        <x:v>2753</x:v>
      </x:c>
      <x:c r="AQ620" s="55" t="n">
        <x:v>968</x:v>
      </x:c>
    </x:row>
    <x:row r="621">
      <x:c r="A621" s="54" t="str">
        <x:v>T1_SHARED_CATCHMENT</x:v>
      </x:c>
      <x:c r="B621" s="54" t="n">
        <x:v>615</x:v>
      </x:c>
      <x:c r="C621" s="54" t="str">
        <x:v>NYC-V2-R01</x:v>
      </x:c>
      <x:c r="D621" s="54" t="str">
        <x:v>V2</x:v>
      </x:c>
      <x:c r="E621" s="54" t="str">
        <x:v>ADMITTED</x:v>
      </x:c>
      <x:c r="F621" s="55" t="n">
        <x:v>30172</x:v>
      </x:c>
      <x:c r="G621" s="55" t="n">
        <x:v>7601</x:v>
      </x:c>
      <x:c r="H621" s="55" t="n">
        <x:v>3632</x:v>
      </x:c>
      <x:c r="I621" s="55" t="n">
        <x:v>920</x:v>
      </x:c>
      <x:c r="J621" s="55" t="n">
        <x:v>99</x:v>
      </x:c>
      <x:c r="K621" s="55" t="n">
        <x:v>30172</x:v>
      </x:c>
      <x:c r="L621" s="55" t="n">
        <x:v>5604</x:v>
      </x:c>
      <x:c r="M621" s="55" t="n">
        <x:v>2129</x:v>
      </x:c>
      <x:c r="N621" s="55" t="n">
        <x:v>1703</x:v>
      </x:c>
      <x:c r="O621" s="55" t="n">
        <x:v>1772</x:v>
      </x:c>
      <x:c r="P621" s="55" t="n">
        <x:v>797</x:v>
      </x:c>
      <x:c r="Q621" s="55" t="n">
        <x:v>3082</x:v>
      </x:c>
      <x:c r="R621" s="55" t="n">
        <x:v>1837</x:v>
      </x:c>
      <x:c r="S621" s="55" t="n">
        <x:v>2835</x:v>
      </x:c>
      <x:c r="T621" s="55" t="n">
        <x:v>1316</x:v>
      </x:c>
      <x:c r="U621" s="55" t="n">
        <x:v>1608</x:v>
      </x:c>
      <x:c r="V621" s="55" t="n">
        <x:v>10198</x:v>
      </x:c>
      <x:c r="W621" s="55" t="n">
        <x:v>6695</x:v>
      </x:c>
      <x:c r="X621" s="55" t="n">
        <x:v>3503</x:v>
      </x:c>
      <x:c r="Y621" s="55" t="n">
        <x:v>2861</x:v>
      </x:c>
      <x:c r="Z621" s="55" t="n">
        <x:v>3553</x:v>
      </x:c>
      <x:c r="AA621" s="55" t="n">
        <x:v>3632</x:v>
      </x:c>
      <x:c r="AB621" s="55" t="n">
        <x:v>1034</x:v>
      </x:c>
      <x:c r="AC621" s="55" t="n">
        <x:v>8331</x:v>
      </x:c>
      <x:c r="AD621" s="55" t="n">
        <x:v>2963</x:v>
      </x:c>
      <x:c r="AE621" s="55" t="n">
        <x:v>10228</x:v>
      </x:c>
      <x:c r="AF621" s="55" t="n">
        <x:v>10198</x:v>
      </x:c>
      <x:c r="AG621" s="55" t="n">
        <x:v>30</x:v>
      </x:c>
      <x:c r="AH621" s="55" t="n">
        <x:v>324</x:v>
      </x:c>
      <x:c r="AI621" s="55" t="n">
        <x:v>9874</x:v>
      </x:c>
      <x:c r="AJ621" s="55" t="n">
        <x:v>458</x:v>
      </x:c>
      <x:c r="AK621" s="55" t="n">
        <x:v>726</x:v>
      </x:c>
      <x:c r="AL621" s="55" t="n">
        <x:v>1739</x:v>
      </x:c>
      <x:c r="AM621" s="55" t="n">
        <x:v>4407</x:v>
      </x:c>
      <x:c r="AN621" s="55" t="n">
        <x:v>2838</x:v>
      </x:c>
      <x:c r="AO621" s="55" t="n">
        <x:v>30</x:v>
      </x:c>
      <x:c r="AP621" s="55" t="n">
        <x:v>1817</x:v>
      </x:c>
      <x:c r="AQ621" s="55" t="n">
        <x:v>945</x:v>
      </x:c>
    </x:row>
    <x:row r="622">
      <x:c r="A622" s="54" t="str">
        <x:v>T1_SHARED_CATCHMENT</x:v>
      </x:c>
      <x:c r="B622" s="54" t="n">
        <x:v>616</x:v>
      </x:c>
      <x:c r="C622" s="54" t="str">
        <x:v>NYC-V2-R01</x:v>
      </x:c>
      <x:c r="D622" s="54" t="str">
        <x:v>V2</x:v>
      </x:c>
      <x:c r="E622" s="54" t="str">
        <x:v>ADMITTED</x:v>
      </x:c>
      <x:c r="F622" s="55" t="n">
        <x:v>30310</x:v>
      </x:c>
      <x:c r="G622" s="55" t="n">
        <x:v>7384</x:v>
      </x:c>
      <x:c r="H622" s="55" t="n">
        <x:v>3454</x:v>
      </x:c>
      <x:c r="I622" s="55" t="n">
        <x:v>1401</x:v>
      </x:c>
      <x:c r="J622" s="55" t="n">
        <x:v>277</x:v>
      </x:c>
      <x:c r="K622" s="55" t="n">
        <x:v>26319</x:v>
      </x:c>
      <x:c r="L622" s="55" t="n">
        <x:v>4068</x:v>
      </x:c>
      <x:c r="M622" s="55" t="n">
        <x:v>0</x:v>
      </x:c>
      <x:c r="N622" s="55" t="n">
        <x:v>2379</x:v>
      </x:c>
      <x:c r="O622" s="55" t="n">
        <x:v>1689</x:v>
      </x:c>
      <x:c r="P622" s="55" t="n">
        <x:v>1121</x:v>
      </x:c>
      <x:c r="Q622" s="55" t="n">
        <x:v>1804</x:v>
      </x:c>
      <x:c r="R622" s="55" t="n">
        <x:v>1894</x:v>
      </x:c>
      <x:c r="S622" s="55" t="n">
        <x:v>2483</x:v>
      </x:c>
      <x:c r="T622" s="55" t="n">
        <x:v>663</x:v>
      </x:c>
      <x:c r="U622" s="55" t="n">
        <x:v>1704</x:v>
      </x:c>
      <x:c r="V622" s="55" t="n">
        <x:v>10268</x:v>
      </x:c>
      <x:c r="W622" s="55" t="n">
        <x:v>7298</x:v>
      </x:c>
      <x:c r="X622" s="55" t="n">
        <x:v>2970</x:v>
      </x:c>
      <x:c r="Y622" s="55" t="n">
        <x:v>2502</x:v>
      </x:c>
      <x:c r="Z622" s="55" t="n">
        <x:v>3519</x:v>
      </x:c>
      <x:c r="AA622" s="55" t="n">
        <x:v>2791</x:v>
      </x:c>
      <x:c r="AB622" s="55" t="n">
        <x:v>942</x:v>
      </x:c>
      <x:c r="AC622" s="55" t="n">
        <x:v>8432</x:v>
      </x:c>
      <x:c r="AD622" s="55" t="n">
        <x:v>3174</x:v>
      </x:c>
      <x:c r="AE622" s="55" t="n">
        <x:v>10274</x:v>
      </x:c>
      <x:c r="AF622" s="55" t="n">
        <x:v>10268</x:v>
      </x:c>
      <x:c r="AG622" s="55" t="n">
        <x:v>6</x:v>
      </x:c>
      <x:c r="AH622" s="55" t="n">
        <x:v>268</x:v>
      </x:c>
      <x:c r="AI622" s="55" t="n">
        <x:v>10000</x:v>
      </x:c>
      <x:c r="AJ622" s="55" t="n">
        <x:v>232</x:v>
      </x:c>
      <x:c r="AK622" s="55" t="n">
        <x:v>864</x:v>
      </x:c>
      <x:c r="AL622" s="55" t="n">
        <x:v>1153</x:v>
      </x:c>
      <x:c r="AM622" s="55" t="n">
        <x:v>5252</x:v>
      </x:c>
      <x:c r="AN622" s="55" t="n">
        <x:v>2746</x:v>
      </x:c>
      <x:c r="AO622" s="55" t="n">
        <x:v>21</x:v>
      </x:c>
      <x:c r="AP622" s="55" t="n">
        <x:v>2425</x:v>
      </x:c>
      <x:c r="AQ622" s="55" t="n">
        <x:v>953</x:v>
      </x:c>
    </x:row>
    <x:row r="623">
      <x:c r="A623" s="54" t="str">
        <x:v>T1_SHARED_CATCHMENT</x:v>
      </x:c>
      <x:c r="B623" s="54" t="n">
        <x:v>617</x:v>
      </x:c>
      <x:c r="C623" s="54" t="str">
        <x:v>NYC-V2-R01</x:v>
      </x:c>
      <x:c r="D623" s="54" t="str">
        <x:v>V2</x:v>
      </x:c>
      <x:c r="E623" s="54" t="str">
        <x:v>ADMITTED</x:v>
      </x:c>
      <x:c r="F623" s="55" t="n">
        <x:v>31553</x:v>
      </x:c>
      <x:c r="G623" s="55" t="n">
        <x:v>8769</x:v>
      </x:c>
      <x:c r="H623" s="55" t="n">
        <x:v>3697</x:v>
      </x:c>
      <x:c r="I623" s="55" t="n">
        <x:v>1293</x:v>
      </x:c>
      <x:c r="J623" s="55" t="n">
        <x:v>108</x:v>
      </x:c>
      <x:c r="K623" s="55" t="n">
        <x:v>31553</x:v>
      </x:c>
      <x:c r="L623" s="55" t="n">
        <x:v>6574</x:v>
      </x:c>
      <x:c r="M623" s="55" t="n">
        <x:v>2126</x:v>
      </x:c>
      <x:c r="N623" s="55" t="n">
        <x:v>2878</x:v>
      </x:c>
      <x:c r="O623" s="55" t="n">
        <x:v>1570</x:v>
      </x:c>
      <x:c r="P623" s="55" t="n">
        <x:v>636</x:v>
      </x:c>
      <x:c r="Q623" s="55" t="n">
        <x:v>2332</x:v>
      </x:c>
      <x:c r="R623" s="55" t="n">
        <x:v>1431</x:v>
      </x:c>
      <x:c r="S623" s="55" t="n">
        <x:v>2331</x:v>
      </x:c>
      <x:c r="T623" s="55" t="n">
        <x:v>1436</x:v>
      </x:c>
      <x:c r="U623" s="55" t="n">
        <x:v>2166</x:v>
      </x:c>
      <x:c r="V623" s="55" t="n">
        <x:v>10542</x:v>
      </x:c>
      <x:c r="W623" s="55" t="n">
        <x:v>7316</x:v>
      </x:c>
      <x:c r="X623" s="55" t="n">
        <x:v>3226</x:v>
      </x:c>
      <x:c r="Y623" s="55" t="n">
        <x:v>2848</x:v>
      </x:c>
      <x:c r="Z623" s="55" t="n">
        <x:v>3943</x:v>
      </x:c>
      <x:c r="AA623" s="55" t="n">
        <x:v>3697</x:v>
      </x:c>
      <x:c r="AB623" s="55" t="n">
        <x:v>1302</x:v>
      </x:c>
      <x:c r="AC623" s="55" t="n">
        <x:v>7656</x:v>
      </x:c>
      <x:c r="AD623" s="55" t="n">
        <x:v>2771</x:v>
      </x:c>
      <x:c r="AE623" s="55" t="n">
        <x:v>10628</x:v>
      </x:c>
      <x:c r="AF623" s="55" t="n">
        <x:v>10542</x:v>
      </x:c>
      <x:c r="AG623" s="55" t="n">
        <x:v>86</x:v>
      </x:c>
      <x:c r="AH623" s="55" t="n">
        <x:v>330</x:v>
      </x:c>
      <x:c r="AI623" s="55" t="n">
        <x:v>10212</x:v>
      </x:c>
      <x:c r="AJ623" s="55" t="n">
        <x:v>487</x:v>
      </x:c>
      <x:c r="AK623" s="55" t="n">
        <x:v>1599</x:v>
      </x:c>
      <x:c r="AL623" s="55" t="n">
        <x:v>1634</x:v>
      </x:c>
      <x:c r="AM623" s="55" t="n">
        <x:v>4984</x:v>
      </x:c>
      <x:c r="AN623" s="55" t="n">
        <x:v>1838</x:v>
      </x:c>
      <x:c r="AO623" s="55" t="n">
        <x:v>0</x:v>
      </x:c>
      <x:c r="AP623" s="55" t="n">
        <x:v>2693</x:v>
      </x:c>
      <x:c r="AQ623" s="55" t="n">
        <x:v>989</x:v>
      </x:c>
    </x:row>
    <x:row r="624">
      <x:c r="A624" s="54" t="str">
        <x:v>T1_SHARED_CATCHMENT</x:v>
      </x:c>
      <x:c r="B624" s="54" t="n">
        <x:v>618</x:v>
      </x:c>
      <x:c r="C624" s="54" t="str">
        <x:v>NYC-V2-R01</x:v>
      </x:c>
      <x:c r="D624" s="54" t="str">
        <x:v>V2</x:v>
      </x:c>
      <x:c r="E624" s="54" t="str">
        <x:v>ADMITTED</x:v>
      </x:c>
      <x:c r="F624" s="55" t="n">
        <x:v>31811</x:v>
      </x:c>
      <x:c r="G624" s="55" t="n">
        <x:v>7145</x:v>
      </x:c>
      <x:c r="H624" s="55" t="n">
        <x:v>3448</x:v>
      </x:c>
      <x:c r="I624" s="55" t="n">
        <x:v>1465</x:v>
      </x:c>
      <x:c r="J624" s="55" t="n">
        <x:v>284</x:v>
      </x:c>
      <x:c r="K624" s="55" t="n">
        <x:v>30100</x:v>
      </x:c>
      <x:c r="L624" s="55" t="n">
        <x:v>5795</x:v>
      </x:c>
      <x:c r="M624" s="55" t="n">
        <x:v>1045</x:v>
      </x:c>
      <x:c r="N624" s="55" t="n">
        <x:v>3099</x:v>
      </x:c>
      <x:c r="O624" s="55" t="n">
        <x:v>1651</x:v>
      </x:c>
      <x:c r="P624" s="55" t="n">
        <x:v>936</x:v>
      </x:c>
      <x:c r="Q624" s="55" t="n">
        <x:v>2419</x:v>
      </x:c>
      <x:c r="R624" s="55" t="n">
        <x:v>2139</x:v>
      </x:c>
      <x:c r="S624" s="55" t="n">
        <x:v>3523</x:v>
      </x:c>
      <x:c r="T624" s="55" t="n">
        <x:v>1200</x:v>
      </x:c>
      <x:c r="U624" s="55" t="n">
        <x:v>2102</x:v>
      </x:c>
      <x:c r="V624" s="55" t="n">
        <x:v>10568</x:v>
      </x:c>
      <x:c r="W624" s="55" t="n">
        <x:v>7129</x:v>
      </x:c>
      <x:c r="X624" s="55" t="n">
        <x:v>3439</x:v>
      </x:c>
      <x:c r="Y624" s="55" t="n">
        <x:v>3041</x:v>
      </x:c>
      <x:c r="Z624" s="55" t="n">
        <x:v>3998</x:v>
      </x:c>
      <x:c r="AA624" s="55" t="n">
        <x:v>3357</x:v>
      </x:c>
      <x:c r="AB624" s="55" t="n">
        <x:v>1284</x:v>
      </x:c>
      <x:c r="AC624" s="55" t="n">
        <x:v>8318</x:v>
      </x:c>
      <x:c r="AD624" s="55" t="n">
        <x:v>3140</x:v>
      </x:c>
      <x:c r="AE624" s="55" t="n">
        <x:v>10686</x:v>
      </x:c>
      <x:c r="AF624" s="55" t="n">
        <x:v>10568</x:v>
      </x:c>
      <x:c r="AG624" s="55" t="n">
        <x:v>118</x:v>
      </x:c>
      <x:c r="AH624" s="55" t="n">
        <x:v>443</x:v>
      </x:c>
      <x:c r="AI624" s="55" t="n">
        <x:v>10125</x:v>
      </x:c>
      <x:c r="AJ624" s="55" t="n">
        <x:v>443</x:v>
      </x:c>
      <x:c r="AK624" s="55" t="n">
        <x:v>1227</x:v>
      </x:c>
      <x:c r="AL624" s="55" t="n">
        <x:v>1455</x:v>
      </x:c>
      <x:c r="AM624" s="55" t="n">
        <x:v>4941</x:v>
      </x:c>
      <x:c r="AN624" s="55" t="n">
        <x:v>2450</x:v>
      </x:c>
      <x:c r="AO624" s="55" t="n">
        <x:v>52</x:v>
      </x:c>
      <x:c r="AP624" s="55" t="n">
        <x:v>2973</x:v>
      </x:c>
      <x:c r="AQ624" s="55" t="n">
        <x:v>937</x:v>
      </x:c>
    </x:row>
    <x:row r="625">
      <x:c r="A625" s="54" t="str">
        <x:v>T1_SHARED_CATCHMENT</x:v>
      </x:c>
      <x:c r="B625" s="54" t="n">
        <x:v>619</x:v>
      </x:c>
      <x:c r="C625" s="54" t="str">
        <x:v>NYC-V2-R01</x:v>
      </x:c>
      <x:c r="D625" s="54" t="str">
        <x:v>V2</x:v>
      </x:c>
      <x:c r="E625" s="54" t="str">
        <x:v>ADMITTED</x:v>
      </x:c>
      <x:c r="F625" s="55" t="n">
        <x:v>31485</x:v>
      </x:c>
      <x:c r="G625" s="55" t="n">
        <x:v>9021</x:v>
      </x:c>
      <x:c r="H625" s="55" t="n">
        <x:v>2758</x:v>
      </x:c>
      <x:c r="I625" s="55" t="n">
        <x:v>724</x:v>
      </x:c>
      <x:c r="J625" s="55" t="n">
        <x:v>117</x:v>
      </x:c>
      <x:c r="K625" s="55" t="n">
        <x:v>29078</x:v>
      </x:c>
      <x:c r="L625" s="55" t="n">
        <x:v>5863</x:v>
      </x:c>
      <x:c r="M625" s="55" t="n">
        <x:v>1311</x:v>
      </x:c>
      <x:c r="N625" s="55" t="n">
        <x:v>2806</x:v>
      </x:c>
      <x:c r="O625" s="55" t="n">
        <x:v>1746</x:v>
      </x:c>
      <x:c r="P625" s="55" t="n">
        <x:v>614</x:v>
      </x:c>
      <x:c r="Q625" s="55" t="n">
        <x:v>1244</x:v>
      </x:c>
      <x:c r="R625" s="55" t="n">
        <x:v>1602</x:v>
      </x:c>
      <x:c r="S625" s="55" t="n">
        <x:v>3626</x:v>
      </x:c>
      <x:c r="T625" s="55" t="n">
        <x:v>770</x:v>
      </x:c>
      <x:c r="U625" s="55" t="n">
        <x:v>1811</x:v>
      </x:c>
      <x:c r="V625" s="55" t="n">
        <x:v>9881</x:v>
      </x:c>
      <x:c r="W625" s="55" t="n">
        <x:v>6798</x:v>
      </x:c>
      <x:c r="X625" s="55" t="n">
        <x:v>3083</x:v>
      </x:c>
      <x:c r="Y625" s="55" t="n">
        <x:v>2559</x:v>
      </x:c>
      <x:c r="Z625" s="55" t="n">
        <x:v>3367</x:v>
      </x:c>
      <x:c r="AA625" s="55" t="n">
        <x:v>2758</x:v>
      </x:c>
      <x:c r="AB625" s="55" t="n">
        <x:v>1009</x:v>
      </x:c>
      <x:c r="AC625" s="55" t="n">
        <x:v>8258</x:v>
      </x:c>
      <x:c r="AD625" s="55" t="n">
        <x:v>2720</x:v>
      </x:c>
      <x:c r="AE625" s="55" t="n">
        <x:v>9939</x:v>
      </x:c>
      <x:c r="AF625" s="55" t="n">
        <x:v>9881</x:v>
      </x:c>
      <x:c r="AG625" s="55" t="n">
        <x:v>58</x:v>
      </x:c>
      <x:c r="AH625" s="55" t="n">
        <x:v>547</x:v>
      </x:c>
      <x:c r="AI625" s="55" t="n">
        <x:v>9334</x:v>
      </x:c>
      <x:c r="AJ625" s="55" t="n">
        <x:v>189</x:v>
      </x:c>
      <x:c r="AK625" s="55" t="n">
        <x:v>1052</x:v>
      </x:c>
      <x:c r="AL625" s="55" t="n">
        <x:v>1428</x:v>
      </x:c>
      <x:c r="AM625" s="55" t="n">
        <x:v>4678</x:v>
      </x:c>
      <x:c r="AN625" s="55" t="n">
        <x:v>2485</x:v>
      </x:c>
      <x:c r="AO625" s="55" t="n">
        <x:v>49</x:v>
      </x:c>
      <x:c r="AP625" s="55" t="n">
        <x:v>2130</x:v>
      </x:c>
      <x:c r="AQ625" s="55" t="n">
        <x:v>977</x:v>
      </x:c>
    </x:row>
    <x:row r="626">
      <x:c r="A626" s="54" t="str">
        <x:v>T1_SHARED_CATCHMENT</x:v>
      </x:c>
      <x:c r="B626" s="54" t="n">
        <x:v>620</x:v>
      </x:c>
      <x:c r="C626" s="54" t="str">
        <x:v>NYC-V2-R01</x:v>
      </x:c>
      <x:c r="D626" s="54" t="str">
        <x:v>V2</x:v>
      </x:c>
      <x:c r="E626" s="54" t="str">
        <x:v>ADMITTED</x:v>
      </x:c>
      <x:c r="F626" s="55" t="n">
        <x:v>32577</x:v>
      </x:c>
      <x:c r="G626" s="55" t="n">
        <x:v>7160</x:v>
      </x:c>
      <x:c r="H626" s="55" t="n">
        <x:v>3515</x:v>
      </x:c>
      <x:c r="I626" s="55" t="n">
        <x:v>1733</x:v>
      </x:c>
      <x:c r="J626" s="55" t="n">
        <x:v>182</x:v>
      </x:c>
      <x:c r="K626" s="55" t="n">
        <x:v>32577</x:v>
      </x:c>
      <x:c r="L626" s="55" t="n">
        <x:v>5618</x:v>
      </x:c>
      <x:c r="M626" s="55" t="n">
        <x:v>1444</x:v>
      </x:c>
      <x:c r="N626" s="55" t="n">
        <x:v>2435</x:v>
      </x:c>
      <x:c r="O626" s="55" t="n">
        <x:v>1739</x:v>
      </x:c>
      <x:c r="P626" s="55" t="n">
        <x:v>717</x:v>
      </x:c>
      <x:c r="Q626" s="55" t="n">
        <x:v>1860</x:v>
      </x:c>
      <x:c r="R626" s="55" t="n">
        <x:v>1788</x:v>
      </x:c>
      <x:c r="S626" s="55" t="n">
        <x:v>3104</x:v>
      </x:c>
      <x:c r="T626" s="55" t="n">
        <x:v>1281</x:v>
      </x:c>
      <x:c r="U626" s="55" t="n">
        <x:v>2103</x:v>
      </x:c>
      <x:c r="V626" s="55" t="n">
        <x:v>10708</x:v>
      </x:c>
      <x:c r="W626" s="55" t="n">
        <x:v>7275</x:v>
      </x:c>
      <x:c r="X626" s="55" t="n">
        <x:v>3433</x:v>
      </x:c>
      <x:c r="Y626" s="55" t="n">
        <x:v>3043</x:v>
      </x:c>
      <x:c r="Z626" s="55" t="n">
        <x:v>3398</x:v>
      </x:c>
      <x:c r="AA626" s="55" t="n">
        <x:v>3185</x:v>
      </x:c>
      <x:c r="AB626" s="55" t="n">
        <x:v>1138</x:v>
      </x:c>
      <x:c r="AC626" s="55" t="n">
        <x:v>8400</x:v>
      </x:c>
      <x:c r="AD626" s="55" t="n">
        <x:v>3373</x:v>
      </x:c>
      <x:c r="AE626" s="55" t="n">
        <x:v>10786</x:v>
      </x:c>
      <x:c r="AF626" s="55" t="n">
        <x:v>10708</x:v>
      </x:c>
      <x:c r="AG626" s="55" t="n">
        <x:v>78</x:v>
      </x:c>
      <x:c r="AH626" s="55" t="n">
        <x:v>441</x:v>
      </x:c>
      <x:c r="AI626" s="55" t="n">
        <x:v>10267</x:v>
      </x:c>
      <x:c r="AJ626" s="55" t="n">
        <x:v>208</x:v>
      </x:c>
      <x:c r="AK626" s="55" t="n">
        <x:v>1060</x:v>
      </x:c>
      <x:c r="AL626" s="55" t="n">
        <x:v>1453</x:v>
      </x:c>
      <x:c r="AM626" s="55" t="n">
        <x:v>5084</x:v>
      </x:c>
      <x:c r="AN626" s="55" t="n">
        <x:v>2787</x:v>
      </x:c>
      <x:c r="AO626" s="55" t="n">
        <x:v>116</x:v>
      </x:c>
      <x:c r="AP626" s="55" t="n">
        <x:v>1870</x:v>
      </x:c>
      <x:c r="AQ626" s="55" t="n">
        <x:v>948</x:v>
      </x:c>
    </x:row>
    <x:row r="627">
      <x:c r="A627" s="54" t="str">
        <x:v>T1_SHARED_CATCHMENT</x:v>
      </x:c>
      <x:c r="B627" s="54" t="n">
        <x:v>621</x:v>
      </x:c>
      <x:c r="C627" s="54" t="str">
        <x:v>NYC-V2-R01</x:v>
      </x:c>
      <x:c r="D627" s="54" t="str">
        <x:v>V2</x:v>
      </x:c>
      <x:c r="E627" s="54" t="str">
        <x:v>ADMITTED</x:v>
      </x:c>
      <x:c r="F627" s="55" t="n">
        <x:v>31552</x:v>
      </x:c>
      <x:c r="G627" s="55" t="n">
        <x:v>8087</x:v>
      </x:c>
      <x:c r="H627" s="55" t="n">
        <x:v>3210</x:v>
      </x:c>
      <x:c r="I627" s="55" t="n">
        <x:v>877</x:v>
      </x:c>
      <x:c r="J627" s="55" t="n">
        <x:v>73</x:v>
      </x:c>
      <x:c r="K627" s="55" t="n">
        <x:v>29419</x:v>
      </x:c>
      <x:c r="L627" s="55" t="n">
        <x:v>5210</x:v>
      </x:c>
      <x:c r="M627" s="55" t="n">
        <x:v>1272</x:v>
      </x:c>
      <x:c r="N627" s="55" t="n">
        <x:v>2219</x:v>
      </x:c>
      <x:c r="O627" s="55" t="n">
        <x:v>1719</x:v>
      </x:c>
      <x:c r="P627" s="55" t="n">
        <x:v>946</x:v>
      </x:c>
      <x:c r="Q627" s="55" t="n">
        <x:v>2819</x:v>
      </x:c>
      <x:c r="R627" s="55" t="n">
        <x:v>1884</x:v>
      </x:c>
      <x:c r="S627" s="55" t="n">
        <x:v>1375</x:v>
      </x:c>
      <x:c r="T627" s="55" t="n">
        <x:v>995</x:v>
      </x:c>
      <x:c r="U627" s="55" t="n">
        <x:v>1707</x:v>
      </x:c>
      <x:c r="V627" s="55" t="n">
        <x:v>10321</x:v>
      </x:c>
      <x:c r="W627" s="55" t="n">
        <x:v>6990</x:v>
      </x:c>
      <x:c r="X627" s="55" t="n">
        <x:v>3331</x:v>
      </x:c>
      <x:c r="Y627" s="55" t="n">
        <x:v>2864</x:v>
      </x:c>
      <x:c r="Z627" s="55" t="n">
        <x:v>3816</x:v>
      </x:c>
      <x:c r="AA627" s="55" t="n">
        <x:v>2735</x:v>
      </x:c>
      <x:c r="AB627" s="55" t="n">
        <x:v>873</x:v>
      </x:c>
      <x:c r="AC627" s="55" t="n">
        <x:v>7915</x:v>
      </x:c>
      <x:c r="AD627" s="55" t="n">
        <x:v>3482</x:v>
      </x:c>
      <x:c r="AE627" s="55" t="n">
        <x:v>10404</x:v>
      </x:c>
      <x:c r="AF627" s="55" t="n">
        <x:v>10321</x:v>
      </x:c>
      <x:c r="AG627" s="55" t="n">
        <x:v>83</x:v>
      </x:c>
      <x:c r="AH627" s="55" t="n">
        <x:v>409</x:v>
      </x:c>
      <x:c r="AI627" s="55" t="n">
        <x:v>9912</x:v>
      </x:c>
      <x:c r="AJ627" s="55" t="n">
        <x:v>393</x:v>
      </x:c>
      <x:c r="AK627" s="55" t="n">
        <x:v>954</x:v>
      </x:c>
      <x:c r="AL627" s="55" t="n">
        <x:v>1713</x:v>
      </x:c>
      <x:c r="AM627" s="55" t="n">
        <x:v>4747</x:v>
      </x:c>
      <x:c r="AN627" s="55" t="n">
        <x:v>2466</x:v>
      </x:c>
      <x:c r="AO627" s="55" t="n">
        <x:v>48</x:v>
      </x:c>
      <x:c r="AP627" s="55" t="n">
        <x:v>2050</x:v>
      </x:c>
      <x:c r="AQ627" s="55" t="n">
        <x:v>930</x:v>
      </x:c>
    </x:row>
    <x:row r="628">
      <x:c r="A628" s="54" t="str">
        <x:v>T1_SHARED_CATCHMENT</x:v>
      </x:c>
      <x:c r="B628" s="54" t="n">
        <x:v>622</x:v>
      </x:c>
      <x:c r="C628" s="54" t="str">
        <x:v>NYC-V2-R01</x:v>
      </x:c>
      <x:c r="D628" s="54" t="str">
        <x:v>V2</x:v>
      </x:c>
      <x:c r="E628" s="54" t="str">
        <x:v>ADMITTED</x:v>
      </x:c>
      <x:c r="F628" s="55" t="n">
        <x:v>31230</x:v>
      </x:c>
      <x:c r="G628" s="55" t="n">
        <x:v>7497</x:v>
      </x:c>
      <x:c r="H628" s="55" t="n">
        <x:v>3344</x:v>
      </x:c>
      <x:c r="I628" s="55" t="n">
        <x:v>1436</x:v>
      </x:c>
      <x:c r="J628" s="55" t="n">
        <x:v>326</x:v>
      </x:c>
      <x:c r="K628" s="55" t="n">
        <x:v>30948</x:v>
      </x:c>
      <x:c r="L628" s="55" t="n">
        <x:v>6466</x:v>
      </x:c>
      <x:c r="M628" s="55" t="n">
        <x:v>2395</x:v>
      </x:c>
      <x:c r="N628" s="55" t="n">
        <x:v>2380</x:v>
      </x:c>
      <x:c r="O628" s="55" t="n">
        <x:v>1691</x:v>
      </x:c>
      <x:c r="P628" s="55" t="n">
        <x:v>902</x:v>
      </x:c>
      <x:c r="Q628" s="55" t="n">
        <x:v>1672</x:v>
      </x:c>
      <x:c r="R628" s="55" t="n">
        <x:v>2164</x:v>
      </x:c>
      <x:c r="S628" s="55" t="n">
        <x:v>2638</x:v>
      </x:c>
      <x:c r="T628" s="55" t="n">
        <x:v>1321</x:v>
      </x:c>
      <x:c r="U628" s="55" t="n">
        <x:v>1837</x:v>
      </x:c>
      <x:c r="V628" s="55" t="n">
        <x:v>10417</x:v>
      </x:c>
      <x:c r="W628" s="55" t="n">
        <x:v>7590</x:v>
      </x:c>
      <x:c r="X628" s="55" t="n">
        <x:v>2827</x:v>
      </x:c>
      <x:c r="Y628" s="55" t="n">
        <x:v>2328</x:v>
      </x:c>
      <x:c r="Z628" s="55" t="n">
        <x:v>3520</x:v>
      </x:c>
      <x:c r="AA628" s="55" t="n">
        <x:v>2835</x:v>
      </x:c>
      <x:c r="AB628" s="55" t="n">
        <x:v>1113</x:v>
      </x:c>
      <x:c r="AC628" s="55" t="n">
        <x:v>7923</x:v>
      </x:c>
      <x:c r="AD628" s="55" t="n">
        <x:v>2418</x:v>
      </x:c>
      <x:c r="AE628" s="55" t="n">
        <x:v>10469</x:v>
      </x:c>
      <x:c r="AF628" s="55" t="n">
        <x:v>10417</x:v>
      </x:c>
      <x:c r="AG628" s="55" t="n">
        <x:v>52</x:v>
      </x:c>
      <x:c r="AH628" s="55" t="n">
        <x:v>411</x:v>
      </x:c>
      <x:c r="AI628" s="55" t="n">
        <x:v>10006</x:v>
      </x:c>
      <x:c r="AJ628" s="55" t="n">
        <x:v>204</x:v>
      </x:c>
      <x:c r="AK628" s="55" t="n">
        <x:v>661</x:v>
      </x:c>
      <x:c r="AL628" s="55" t="n">
        <x:v>1468</x:v>
      </x:c>
      <x:c r="AM628" s="55" t="n">
        <x:v>5439</x:v>
      </x:c>
      <x:c r="AN628" s="55" t="n">
        <x:v>2581</x:v>
      </x:c>
      <x:c r="AO628" s="55" t="n">
        <x:v>64</x:v>
      </x:c>
      <x:c r="AP628" s="55" t="n">
        <x:v>2295</x:v>
      </x:c>
      <x:c r="AQ628" s="55" t="n">
        <x:v>966</x:v>
      </x:c>
    </x:row>
    <x:row r="629">
      <x:c r="A629" s="54" t="str">
        <x:v>T1_SHARED_CATCHMENT</x:v>
      </x:c>
      <x:c r="B629" s="54" t="n">
        <x:v>623</x:v>
      </x:c>
      <x:c r="C629" s="54" t="str">
        <x:v>NYC-V2-R01</x:v>
      </x:c>
      <x:c r="D629" s="54" t="str">
        <x:v>V2</x:v>
      </x:c>
      <x:c r="E629" s="54" t="str">
        <x:v>ADMITTED</x:v>
      </x:c>
      <x:c r="F629" s="55" t="n">
        <x:v>31560</x:v>
      </x:c>
      <x:c r="G629" s="55" t="n">
        <x:v>8097</x:v>
      </x:c>
      <x:c r="H629" s="55" t="n">
        <x:v>3635</x:v>
      </x:c>
      <x:c r="I629" s="55" t="n">
        <x:v>1673</x:v>
      </x:c>
      <x:c r="J629" s="55" t="n">
        <x:v>373</x:v>
      </x:c>
      <x:c r="K629" s="55" t="n">
        <x:v>31560</x:v>
      </x:c>
      <x:c r="L629" s="55" t="n">
        <x:v>6199</x:v>
      </x:c>
      <x:c r="M629" s="55" t="n">
        <x:v>1567</x:v>
      </x:c>
      <x:c r="N629" s="55" t="n">
        <x:v>2904</x:v>
      </x:c>
      <x:c r="O629" s="55" t="n">
        <x:v>1728</x:v>
      </x:c>
      <x:c r="P629" s="55" t="n">
        <x:v>414</x:v>
      </x:c>
      <x:c r="Q629" s="55" t="n">
        <x:v>3901</x:v>
      </x:c>
      <x:c r="R629" s="55" t="n">
        <x:v>2076</x:v>
      </x:c>
      <x:c r="S629" s="55" t="n">
        <x:v>3244</x:v>
      </x:c>
      <x:c r="T629" s="55" t="n">
        <x:v>944</x:v>
      </x:c>
      <x:c r="U629" s="55" t="n">
        <x:v>2520</x:v>
      </x:c>
      <x:c r="V629" s="55" t="n">
        <x:v>10260</x:v>
      </x:c>
      <x:c r="W629" s="55" t="n">
        <x:v>7174</x:v>
      </x:c>
      <x:c r="X629" s="55" t="n">
        <x:v>3086</x:v>
      </x:c>
      <x:c r="Y629" s="55" t="n">
        <x:v>2754</x:v>
      </x:c>
      <x:c r="Z629" s="55" t="n">
        <x:v>3209</x:v>
      </x:c>
      <x:c r="AA629" s="55" t="n">
        <x:v>3100</x:v>
      </x:c>
      <x:c r="AB629" s="55" t="n">
        <x:v>1129</x:v>
      </x:c>
      <x:c r="AC629" s="55" t="n">
        <x:v>8238</x:v>
      </x:c>
      <x:c r="AD629" s="55" t="n">
        <x:v>2940</x:v>
      </x:c>
      <x:c r="AE629" s="55" t="n">
        <x:v>10322</x:v>
      </x:c>
      <x:c r="AF629" s="55" t="n">
        <x:v>10260</x:v>
      </x:c>
      <x:c r="AG629" s="55" t="n">
        <x:v>62</x:v>
      </x:c>
      <x:c r="AH629" s="55" t="n">
        <x:v>224</x:v>
      </x:c>
      <x:c r="AI629" s="55" t="n">
        <x:v>10036</x:v>
      </x:c>
      <x:c r="AJ629" s="55" t="n">
        <x:v>382</x:v>
      </x:c>
      <x:c r="AK629" s="55" t="n">
        <x:v>1050</x:v>
      </x:c>
      <x:c r="AL629" s="55" t="n">
        <x:v>1580</x:v>
      </x:c>
      <x:c r="AM629" s="55" t="n">
        <x:v>4964</x:v>
      </x:c>
      <x:c r="AN629" s="55" t="n">
        <x:v>2247</x:v>
      </x:c>
      <x:c r="AO629" s="55" t="n">
        <x:v>37</x:v>
      </x:c>
      <x:c r="AP629" s="55" t="n">
        <x:v>2203</x:v>
      </x:c>
      <x:c r="AQ629" s="55" t="n">
        <x:v>980</x:v>
      </x:c>
    </x:row>
    <x:row r="630">
      <x:c r="A630" s="54" t="str">
        <x:v>T1_SHARED_CATCHMENT</x:v>
      </x:c>
      <x:c r="B630" s="54" t="n">
        <x:v>624</x:v>
      </x:c>
      <x:c r="C630" s="54" t="str">
        <x:v>NYC-V2-R01</x:v>
      </x:c>
      <x:c r="D630" s="54" t="str">
        <x:v>V2</x:v>
      </x:c>
      <x:c r="E630" s="54" t="str">
        <x:v>ADMITTED</x:v>
      </x:c>
      <x:c r="F630" s="55" t="n">
        <x:v>32723</x:v>
      </x:c>
      <x:c r="G630" s="55" t="n">
        <x:v>7679</x:v>
      </x:c>
      <x:c r="H630" s="55" t="n">
        <x:v>3174</x:v>
      </x:c>
      <x:c r="I630" s="55" t="n">
        <x:v>1371</x:v>
      </x:c>
      <x:c r="J630" s="55" t="n">
        <x:v>29</x:v>
      </x:c>
      <x:c r="K630" s="55" t="n">
        <x:v>32723</x:v>
      </x:c>
      <x:c r="L630" s="55" t="n">
        <x:v>6706</x:v>
      </x:c>
      <x:c r="M630" s="55" t="n">
        <x:v>2706</x:v>
      </x:c>
      <x:c r="N630" s="55" t="n">
        <x:v>2529</x:v>
      </x:c>
      <x:c r="O630" s="55" t="n">
        <x:v>1471</x:v>
      </x:c>
      <x:c r="P630" s="55" t="n">
        <x:v>820</x:v>
      </x:c>
      <x:c r="Q630" s="55" t="n">
        <x:v>2542</x:v>
      </x:c>
      <x:c r="R630" s="55" t="n">
        <x:v>1743</x:v>
      </x:c>
      <x:c r="S630" s="55" t="n">
        <x:v>2738</x:v>
      </x:c>
      <x:c r="T630" s="55" t="n">
        <x:v>1200</x:v>
      </x:c>
      <x:c r="U630" s="55" t="n">
        <x:v>1682</x:v>
      </x:c>
      <x:c r="V630" s="55" t="n">
        <x:v>10704</x:v>
      </x:c>
      <x:c r="W630" s="55" t="n">
        <x:v>8049</x:v>
      </x:c>
      <x:c r="X630" s="55" t="n">
        <x:v>2655</x:v>
      </x:c>
      <x:c r="Y630" s="55" t="n">
        <x:v>2359</x:v>
      </x:c>
      <x:c r="Z630" s="55" t="n">
        <x:v>3759</x:v>
      </x:c>
      <x:c r="AA630" s="55" t="n">
        <x:v>2813</x:v>
      </x:c>
      <x:c r="AB630" s="55" t="n">
        <x:v>1021</x:v>
      </x:c>
      <x:c r="AC630" s="55" t="n">
        <x:v>7976</x:v>
      </x:c>
      <x:c r="AD630" s="55" t="n">
        <x:v>2812</x:v>
      </x:c>
      <x:c r="AE630" s="55" t="n">
        <x:v>10836</x:v>
      </x:c>
      <x:c r="AF630" s="55" t="n">
        <x:v>10704</x:v>
      </x:c>
      <x:c r="AG630" s="55" t="n">
        <x:v>132</x:v>
      </x:c>
      <x:c r="AH630" s="55" t="n">
        <x:v>551</x:v>
      </x:c>
      <x:c r="AI630" s="55" t="n">
        <x:v>10153</x:v>
      </x:c>
      <x:c r="AJ630" s="55" t="n">
        <x:v>570</x:v>
      </x:c>
      <x:c r="AK630" s="55" t="n">
        <x:v>1364</x:v>
      </x:c>
      <x:c r="AL630" s="55" t="n">
        <x:v>1710</x:v>
      </x:c>
      <x:c r="AM630" s="55" t="n">
        <x:v>4662</x:v>
      </x:c>
      <x:c r="AN630" s="55" t="n">
        <x:v>2361</x:v>
      </x:c>
      <x:c r="AO630" s="55" t="n">
        <x:v>37</x:v>
      </x:c>
      <x:c r="AP630" s="55" t="n">
        <x:v>2322</x:v>
      </x:c>
      <x:c r="AQ630" s="55" t="n">
        <x:v>956</x:v>
      </x:c>
    </x:row>
    <x:row r="631">
      <x:c r="A631" s="54" t="str">
        <x:v>T1_SHARED_CATCHMENT</x:v>
      </x:c>
      <x:c r="B631" s="54" t="n">
        <x:v>625</x:v>
      </x:c>
      <x:c r="C631" s="54" t="str">
        <x:v>NYC-V2-R01</x:v>
      </x:c>
      <x:c r="D631" s="54" t="str">
        <x:v>V2</x:v>
      </x:c>
      <x:c r="E631" s="54" t="str">
        <x:v>ADMITTED</x:v>
      </x:c>
      <x:c r="F631" s="55" t="n">
        <x:v>30742</x:v>
      </x:c>
      <x:c r="G631" s="55" t="n">
        <x:v>8130</x:v>
      </x:c>
      <x:c r="H631" s="55" t="n">
        <x:v>3365</x:v>
      </x:c>
      <x:c r="I631" s="55" t="n">
        <x:v>1324</x:v>
      </x:c>
      <x:c r="J631" s="55" t="n">
        <x:v>347</x:v>
      </x:c>
      <x:c r="K631" s="55" t="n">
        <x:v>30702</x:v>
      </x:c>
      <x:c r="L631" s="55" t="n">
        <x:v>6106</x:v>
      </x:c>
      <x:c r="M631" s="55" t="n">
        <x:v>1511</x:v>
      </x:c>
      <x:c r="N631" s="55" t="n">
        <x:v>2591</x:v>
      </x:c>
      <x:c r="O631" s="55" t="n">
        <x:v>2004</x:v>
      </x:c>
      <x:c r="P631" s="55" t="n">
        <x:v>1114</x:v>
      </x:c>
      <x:c r="Q631" s="55" t="n">
        <x:v>2608</x:v>
      </x:c>
      <x:c r="R631" s="55" t="n">
        <x:v>2204</x:v>
      </x:c>
      <x:c r="S631" s="55" t="n">
        <x:v>2700</x:v>
      </x:c>
      <x:c r="T631" s="55" t="n">
        <x:v>1418</x:v>
      </x:c>
      <x:c r="U631" s="55" t="n">
        <x:v>2191</x:v>
      </x:c>
      <x:c r="V631" s="55" t="n">
        <x:v>10363</x:v>
      </x:c>
      <x:c r="W631" s="55" t="n">
        <x:v>6926</x:v>
      </x:c>
      <x:c r="X631" s="55" t="n">
        <x:v>3437</x:v>
      </x:c>
      <x:c r="Y631" s="55" t="n">
        <x:v>2815</x:v>
      </x:c>
      <x:c r="Z631" s="55" t="n">
        <x:v>4125</x:v>
      </x:c>
      <x:c r="AA631" s="55" t="n">
        <x:v>3140</x:v>
      </x:c>
      <x:c r="AB631" s="55" t="n">
        <x:v>921</x:v>
      </x:c>
      <x:c r="AC631" s="55" t="n">
        <x:v>8316</x:v>
      </x:c>
      <x:c r="AD631" s="55" t="n">
        <x:v>3369</x:v>
      </x:c>
      <x:c r="AE631" s="55" t="n">
        <x:v>10448</x:v>
      </x:c>
      <x:c r="AF631" s="55" t="n">
        <x:v>10363</x:v>
      </x:c>
      <x:c r="AG631" s="55" t="n">
        <x:v>85</x:v>
      </x:c>
      <x:c r="AH631" s="55" t="n">
        <x:v>583</x:v>
      </x:c>
      <x:c r="AI631" s="55" t="n">
        <x:v>9780</x:v>
      </x:c>
      <x:c r="AJ631" s="55" t="n">
        <x:v>240</x:v>
      </x:c>
      <x:c r="AK631" s="55" t="n">
        <x:v>1006</x:v>
      </x:c>
      <x:c r="AL631" s="55" t="n">
        <x:v>1514</x:v>
      </x:c>
      <x:c r="AM631" s="55" t="n">
        <x:v>5193</x:v>
      </x:c>
      <x:c r="AN631" s="55" t="n">
        <x:v>2410</x:v>
      </x:c>
      <x:c r="AO631" s="55" t="n">
        <x:v>0</x:v>
      </x:c>
      <x:c r="AP631" s="55" t="n">
        <x:v>2878</x:v>
      </x:c>
      <x:c r="AQ631" s="55" t="n">
        <x:v>939</x:v>
      </x:c>
    </x:row>
    <x:row r="632">
      <x:c r="A632" s="54" t="str">
        <x:v>T1_SHARED_CATCHMENT</x:v>
      </x:c>
      <x:c r="B632" s="54" t="n">
        <x:v>626</x:v>
      </x:c>
      <x:c r="C632" s="54" t="str">
        <x:v>NYC-V2-R01</x:v>
      </x:c>
      <x:c r="D632" s="54" t="str">
        <x:v>V2</x:v>
      </x:c>
      <x:c r="E632" s="54" t="str">
        <x:v>ADMITTED</x:v>
      </x:c>
      <x:c r="F632" s="55" t="n">
        <x:v>31263</x:v>
      </x:c>
      <x:c r="G632" s="55" t="n">
        <x:v>7916</x:v>
      </x:c>
      <x:c r="H632" s="55" t="n">
        <x:v>2942</x:v>
      </x:c>
      <x:c r="I632" s="55" t="n">
        <x:v>981</x:v>
      </x:c>
      <x:c r="J632" s="55" t="n">
        <x:v>0</x:v>
      </x:c>
      <x:c r="K632" s="55" t="n">
        <x:v>29263</x:v>
      </x:c>
      <x:c r="L632" s="55" t="n">
        <x:v>6540</x:v>
      </x:c>
      <x:c r="M632" s="55" t="n">
        <x:v>1632</x:v>
      </x:c>
      <x:c r="N632" s="55" t="n">
        <x:v>3102</x:v>
      </x:c>
      <x:c r="O632" s="55" t="n">
        <x:v>1806</x:v>
      </x:c>
      <x:c r="P632" s="55" t="n">
        <x:v>838</x:v>
      </x:c>
      <x:c r="Q632" s="55" t="n">
        <x:v>2047</x:v>
      </x:c>
      <x:c r="R632" s="55" t="n">
        <x:v>2401</x:v>
      </x:c>
      <x:c r="S632" s="55" t="n">
        <x:v>2711</x:v>
      </x:c>
      <x:c r="T632" s="55" t="n">
        <x:v>1436</x:v>
      </x:c>
      <x:c r="U632" s="55" t="n">
        <x:v>1990</x:v>
      </x:c>
      <x:c r="V632" s="55" t="n">
        <x:v>10393</x:v>
      </x:c>
      <x:c r="W632" s="55" t="n">
        <x:v>7251</x:v>
      </x:c>
      <x:c r="X632" s="55" t="n">
        <x:v>3142</x:v>
      </x:c>
      <x:c r="Y632" s="55" t="n">
        <x:v>2759</x:v>
      </x:c>
      <x:c r="Z632" s="55" t="n">
        <x:v>3715</x:v>
      </x:c>
      <x:c r="AA632" s="55" t="n">
        <x:v>2765</x:v>
      </x:c>
      <x:c r="AB632" s="55" t="n">
        <x:v>1396</x:v>
      </x:c>
      <x:c r="AC632" s="55" t="n">
        <x:v>7345</x:v>
      </x:c>
      <x:c r="AD632" s="55" t="n">
        <x:v>2548</x:v>
      </x:c>
      <x:c r="AE632" s="55" t="n">
        <x:v>10562</x:v>
      </x:c>
      <x:c r="AF632" s="55" t="n">
        <x:v>10393</x:v>
      </x:c>
      <x:c r="AG632" s="55" t="n">
        <x:v>169</x:v>
      </x:c>
      <x:c r="AH632" s="55" t="n">
        <x:v>408</x:v>
      </x:c>
      <x:c r="AI632" s="55" t="n">
        <x:v>9985</x:v>
      </x:c>
      <x:c r="AJ632" s="55" t="n">
        <x:v>183</x:v>
      </x:c>
      <x:c r="AK632" s="55" t="n">
        <x:v>1005</x:v>
      </x:c>
      <x:c r="AL632" s="55" t="n">
        <x:v>1427</x:v>
      </x:c>
      <x:c r="AM632" s="55" t="n">
        <x:v>5235</x:v>
      </x:c>
      <x:c r="AN632" s="55" t="n">
        <x:v>2485</x:v>
      </x:c>
      <x:c r="AO632" s="55" t="n">
        <x:v>58</x:v>
      </x:c>
      <x:c r="AP632" s="55" t="n">
        <x:v>2396</x:v>
      </x:c>
      <x:c r="AQ632" s="55" t="n">
        <x:v>924</x:v>
      </x:c>
    </x:row>
    <x:row r="633">
      <x:c r="A633" s="54" t="str">
        <x:v>T1_SHARED_CATCHMENT</x:v>
      </x:c>
      <x:c r="B633" s="54" t="n">
        <x:v>627</x:v>
      </x:c>
      <x:c r="C633" s="54" t="str">
        <x:v>NYC-V2-R01</x:v>
      </x:c>
      <x:c r="D633" s="54" t="str">
        <x:v>V2</x:v>
      </x:c>
      <x:c r="E633" s="54" t="str">
        <x:v>ADMITTED</x:v>
      </x:c>
      <x:c r="F633" s="55" t="n">
        <x:v>30870</x:v>
      </x:c>
      <x:c r="G633" s="55" t="n">
        <x:v>7693</x:v>
      </x:c>
      <x:c r="H633" s="55" t="n">
        <x:v>3587</x:v>
      </x:c>
      <x:c r="I633" s="55" t="n">
        <x:v>1156</x:v>
      </x:c>
      <x:c r="J633" s="55" t="n">
        <x:v>103</x:v>
      </x:c>
      <x:c r="K633" s="55" t="n">
        <x:v>29434</x:v>
      </x:c>
      <x:c r="L633" s="55" t="n">
        <x:v>3927</x:v>
      </x:c>
      <x:c r="M633" s="55" t="n">
        <x:v>0</x:v>
      </x:c>
      <x:c r="N633" s="55" t="n">
        <x:v>2358</x:v>
      </x:c>
      <x:c r="O633" s="55" t="n">
        <x:v>1569</x:v>
      </x:c>
      <x:c r="P633" s="55" t="n">
        <x:v>762</x:v>
      </x:c>
      <x:c r="Q633" s="55" t="n">
        <x:v>2319</x:v>
      </x:c>
      <x:c r="R633" s="55" t="n">
        <x:v>1519</x:v>
      </x:c>
      <x:c r="S633" s="55" t="n">
        <x:v>2376</x:v>
      </x:c>
      <x:c r="T633" s="55" t="n">
        <x:v>1765</x:v>
      </x:c>
      <x:c r="U633" s="55" t="n">
        <x:v>1685</x:v>
      </x:c>
      <x:c r="V633" s="55" t="n">
        <x:v>10174</x:v>
      </x:c>
      <x:c r="W633" s="55" t="n">
        <x:v>7136</x:v>
      </x:c>
      <x:c r="X633" s="55" t="n">
        <x:v>3038</x:v>
      </x:c>
      <x:c r="Y633" s="55" t="n">
        <x:v>2669</x:v>
      </x:c>
      <x:c r="Z633" s="55" t="n">
        <x:v>3656</x:v>
      </x:c>
      <x:c r="AA633" s="55" t="n">
        <x:v>3587</x:v>
      </x:c>
      <x:c r="AB633" s="55" t="n">
        <x:v>1339</x:v>
      </x:c>
      <x:c r="AC633" s="55" t="n">
        <x:v>7661</x:v>
      </x:c>
      <x:c r="AD633" s="55" t="n">
        <x:v>2886</x:v>
      </x:c>
      <x:c r="AE633" s="55" t="n">
        <x:v>10213</x:v>
      </x:c>
      <x:c r="AF633" s="55" t="n">
        <x:v>10174</x:v>
      </x:c>
      <x:c r="AG633" s="55" t="n">
        <x:v>39</x:v>
      </x:c>
      <x:c r="AH633" s="55" t="n">
        <x:v>377</x:v>
      </x:c>
      <x:c r="AI633" s="55" t="n">
        <x:v>9797</x:v>
      </x:c>
      <x:c r="AJ633" s="55" t="n">
        <x:v>393</x:v>
      </x:c>
      <x:c r="AK633" s="55" t="n">
        <x:v>1136</x:v>
      </x:c>
      <x:c r="AL633" s="55" t="n">
        <x:v>1394</x:v>
      </x:c>
      <x:c r="AM633" s="55" t="n">
        <x:v>4599</x:v>
      </x:c>
      <x:c r="AN633" s="55" t="n">
        <x:v>2652</x:v>
      </x:c>
      <x:c r="AO633" s="55" t="n">
        <x:v>0</x:v>
      </x:c>
      <x:c r="AP633" s="55" t="n">
        <x:v>2730</x:v>
      </x:c>
      <x:c r="AQ633" s="55" t="n">
        <x:v>889</x:v>
      </x:c>
    </x:row>
    <x:row r="634">
      <x:c r="A634" s="54" t="str">
        <x:v>T1_SHARED_CATCHMENT</x:v>
      </x:c>
      <x:c r="B634" s="54" t="n">
        <x:v>628</x:v>
      </x:c>
      <x:c r="C634" s="54" t="str">
        <x:v>NYC-V2-R01</x:v>
      </x:c>
      <x:c r="D634" s="54" t="str">
        <x:v>V2</x:v>
      </x:c>
      <x:c r="E634" s="54" t="str">
        <x:v>ADMITTED</x:v>
      </x:c>
      <x:c r="F634" s="55" t="n">
        <x:v>30265</x:v>
      </x:c>
      <x:c r="G634" s="55" t="n">
        <x:v>7227</x:v>
      </x:c>
      <x:c r="H634" s="55" t="n">
        <x:v>3616</x:v>
      </x:c>
      <x:c r="I634" s="55" t="n">
        <x:v>1332</x:v>
      </x:c>
      <x:c r="J634" s="55" t="n">
        <x:v>443</x:v>
      </x:c>
      <x:c r="K634" s="55" t="n">
        <x:v>29099</x:v>
      </x:c>
      <x:c r="L634" s="55" t="n">
        <x:v>4985</x:v>
      </x:c>
      <x:c r="M634" s="55" t="n">
        <x:v>574</x:v>
      </x:c>
      <x:c r="N634" s="55" t="n">
        <x:v>2745</x:v>
      </x:c>
      <x:c r="O634" s="55" t="n">
        <x:v>1666</x:v>
      </x:c>
      <x:c r="P634" s="55" t="n">
        <x:v>943</x:v>
      </x:c>
      <x:c r="Q634" s="55" t="n">
        <x:v>2598</x:v>
      </x:c>
      <x:c r="R634" s="55" t="n">
        <x:v>2071</x:v>
      </x:c>
      <x:c r="S634" s="55" t="n">
        <x:v>3842</x:v>
      </x:c>
      <x:c r="T634" s="55" t="n">
        <x:v>1365</x:v>
      </x:c>
      <x:c r="U634" s="55" t="n">
        <x:v>2594</x:v>
      </x:c>
      <x:c r="V634" s="55" t="n">
        <x:v>10599</x:v>
      </x:c>
      <x:c r="W634" s="55" t="n">
        <x:v>6953</x:v>
      </x:c>
      <x:c r="X634" s="55" t="n">
        <x:v>3646</x:v>
      </x:c>
      <x:c r="Y634" s="55" t="n">
        <x:v>3105</x:v>
      </x:c>
      <x:c r="Z634" s="55" t="n">
        <x:v>3155</x:v>
      </x:c>
      <x:c r="AA634" s="55" t="n">
        <x:v>3315</x:v>
      </x:c>
      <x:c r="AB634" s="55" t="n">
        <x:v>699</x:v>
      </x:c>
      <x:c r="AC634" s="55" t="n">
        <x:v>8047</x:v>
      </x:c>
      <x:c r="AD634" s="55" t="n">
        <x:v>3649</x:v>
      </x:c>
      <x:c r="AE634" s="55" t="n">
        <x:v>10756</x:v>
      </x:c>
      <x:c r="AF634" s="55" t="n">
        <x:v>10599</x:v>
      </x:c>
      <x:c r="AG634" s="55" t="n">
        <x:v>157</x:v>
      </x:c>
      <x:c r="AH634" s="55" t="n">
        <x:v>477</x:v>
      </x:c>
      <x:c r="AI634" s="55" t="n">
        <x:v>10122</x:v>
      </x:c>
      <x:c r="AJ634" s="55" t="n">
        <x:v>254</x:v>
      </x:c>
      <x:c r="AK634" s="55" t="n">
        <x:v>1227</x:v>
      </x:c>
      <x:c r="AL634" s="55" t="n">
        <x:v>905</x:v>
      </x:c>
      <x:c r="AM634" s="55" t="n">
        <x:v>5093</x:v>
      </x:c>
      <x:c r="AN634" s="55" t="n">
        <x:v>3120</x:v>
      </x:c>
      <x:c r="AO634" s="55" t="n">
        <x:v>0</x:v>
      </x:c>
      <x:c r="AP634" s="55" t="n">
        <x:v>2684</x:v>
      </x:c>
      <x:c r="AQ634" s="55" t="n">
        <x:v>922</x:v>
      </x:c>
    </x:row>
    <x:row r="635">
      <x:c r="A635" s="54" t="str">
        <x:v>T1_SHARED_CATCHMENT</x:v>
      </x:c>
      <x:c r="B635" s="54" t="n">
        <x:v>629</x:v>
      </x:c>
      <x:c r="C635" s="54" t="str">
        <x:v>NYC-V2-R01</x:v>
      </x:c>
      <x:c r="D635" s="54" t="str">
        <x:v>V2</x:v>
      </x:c>
      <x:c r="E635" s="54" t="str">
        <x:v>ADMITTED</x:v>
      </x:c>
      <x:c r="F635" s="55" t="n">
        <x:v>31640</x:v>
      </x:c>
      <x:c r="G635" s="55" t="n">
        <x:v>7504</x:v>
      </x:c>
      <x:c r="H635" s="55" t="n">
        <x:v>3501</x:v>
      </x:c>
      <x:c r="I635" s="55" t="n">
        <x:v>1158</x:v>
      </x:c>
      <x:c r="J635" s="55" t="n">
        <x:v>303</x:v>
      </x:c>
      <x:c r="K635" s="55" t="n">
        <x:v>31640</x:v>
      </x:c>
      <x:c r="L635" s="55" t="n">
        <x:v>5230</x:v>
      </x:c>
      <x:c r="M635" s="55" t="n">
        <x:v>1156</x:v>
      </x:c>
      <x:c r="N635" s="55" t="n">
        <x:v>2260</x:v>
      </x:c>
      <x:c r="O635" s="55" t="n">
        <x:v>1814</x:v>
      </x:c>
      <x:c r="P635" s="55" t="n">
        <x:v>669</x:v>
      </x:c>
      <x:c r="Q635" s="55" t="n">
        <x:v>2709</x:v>
      </x:c>
      <x:c r="R635" s="55" t="n">
        <x:v>1857</x:v>
      </x:c>
      <x:c r="S635" s="55" t="n">
        <x:v>2871</x:v>
      </x:c>
      <x:c r="T635" s="55" t="n">
        <x:v>1317</x:v>
      </x:c>
      <x:c r="U635" s="55" t="n">
        <x:v>2068</x:v>
      </x:c>
      <x:c r="V635" s="55" t="n">
        <x:v>11066</x:v>
      </x:c>
      <x:c r="W635" s="55" t="n">
        <x:v>8241</x:v>
      </x:c>
      <x:c r="X635" s="55" t="n">
        <x:v>2825</x:v>
      </x:c>
      <x:c r="Y635" s="55" t="n">
        <x:v>2472</x:v>
      </x:c>
      <x:c r="Z635" s="55" t="n">
        <x:v>3505</x:v>
      </x:c>
      <x:c r="AA635" s="55" t="n">
        <x:v>2887</x:v>
      </x:c>
      <x:c r="AB635" s="55" t="n">
        <x:v>1036</x:v>
      </x:c>
      <x:c r="AC635" s="55" t="n">
        <x:v>8194</x:v>
      </x:c>
      <x:c r="AD635" s="55" t="n">
        <x:v>2993</x:v>
      </x:c>
      <x:c r="AE635" s="55" t="n">
        <x:v>11158</x:v>
      </x:c>
      <x:c r="AF635" s="55" t="n">
        <x:v>11066</x:v>
      </x:c>
      <x:c r="AG635" s="55" t="n">
        <x:v>92</x:v>
      </x:c>
      <x:c r="AH635" s="55" t="n">
        <x:v>467</x:v>
      </x:c>
      <x:c r="AI635" s="55" t="n">
        <x:v>10599</x:v>
      </x:c>
      <x:c r="AJ635" s="55" t="n">
        <x:v>361</x:v>
      </x:c>
      <x:c r="AK635" s="55" t="n">
        <x:v>1236</x:v>
      </x:c>
      <x:c r="AL635" s="55" t="n">
        <x:v>1713</x:v>
      </x:c>
      <x:c r="AM635" s="55" t="n">
        <x:v>5089</x:v>
      </x:c>
      <x:c r="AN635" s="55" t="n">
        <x:v>2667</x:v>
      </x:c>
      <x:c r="AO635" s="55" t="n">
        <x:v>0</x:v>
      </x:c>
      <x:c r="AP635" s="55" t="n">
        <x:v>2229</x:v>
      </x:c>
      <x:c r="AQ635" s="55" t="n">
        <x:v>977</x:v>
      </x:c>
    </x:row>
    <x:row r="636">
      <x:c r="A636" s="54" t="str">
        <x:v>T1_SHARED_CATCHMENT</x:v>
      </x:c>
      <x:c r="B636" s="54" t="n">
        <x:v>630</x:v>
      </x:c>
      <x:c r="C636" s="54" t="str">
        <x:v>NYC-V2-R01</x:v>
      </x:c>
      <x:c r="D636" s="54" t="str">
        <x:v>V2</x:v>
      </x:c>
      <x:c r="E636" s="54" t="str">
        <x:v>ADMITTED</x:v>
      </x:c>
      <x:c r="F636" s="55" t="n">
        <x:v>30386</x:v>
      </x:c>
      <x:c r="G636" s="55" t="n">
        <x:v>8021</x:v>
      </x:c>
      <x:c r="H636" s="55" t="n">
        <x:v>3466</x:v>
      </x:c>
      <x:c r="I636" s="55" t="n">
        <x:v>1557</x:v>
      </x:c>
      <x:c r="J636" s="55" t="n">
        <x:v>177</x:v>
      </x:c>
      <x:c r="K636" s="55" t="n">
        <x:v>29787</x:v>
      </x:c>
      <x:c r="L636" s="55" t="n">
        <x:v>6424</x:v>
      </x:c>
      <x:c r="M636" s="55" t="n">
        <x:v>2323</x:v>
      </x:c>
      <x:c r="N636" s="55" t="n">
        <x:v>2157</x:v>
      </x:c>
      <x:c r="O636" s="55" t="n">
        <x:v>1944</x:v>
      </x:c>
      <x:c r="P636" s="55" t="n">
        <x:v>868</x:v>
      </x:c>
      <x:c r="Q636" s="55" t="n">
        <x:v>2738</x:v>
      </x:c>
      <x:c r="R636" s="55" t="n">
        <x:v>2071</x:v>
      </x:c>
      <x:c r="S636" s="55" t="n">
        <x:v>2901</x:v>
      </x:c>
      <x:c r="T636" s="55" t="n">
        <x:v>847</x:v>
      </x:c>
      <x:c r="U636" s="55" t="n">
        <x:v>2185</x:v>
      </x:c>
      <x:c r="V636" s="55" t="n">
        <x:v>9850</x:v>
      </x:c>
      <x:c r="W636" s="55" t="n">
        <x:v>6679</x:v>
      </x:c>
      <x:c r="X636" s="55" t="n">
        <x:v>3171</x:v>
      </x:c>
      <x:c r="Y636" s="55" t="n">
        <x:v>2854</x:v>
      </x:c>
      <x:c r="Z636" s="55" t="n">
        <x:v>3412</x:v>
      </x:c>
      <x:c r="AA636" s="55" t="n">
        <x:v>2442</x:v>
      </x:c>
      <x:c r="AB636" s="55" t="n">
        <x:v>620</x:v>
      </x:c>
      <x:c r="AC636" s="55" t="n">
        <x:v>8070</x:v>
      </x:c>
      <x:c r="AD636" s="55" t="n">
        <x:v>2860</x:v>
      </x:c>
      <x:c r="AE636" s="55" t="n">
        <x:v>9922</x:v>
      </x:c>
      <x:c r="AF636" s="55" t="n">
        <x:v>9850</x:v>
      </x:c>
      <x:c r="AG636" s="55" t="n">
        <x:v>72</x:v>
      </x:c>
      <x:c r="AH636" s="55" t="n">
        <x:v>248</x:v>
      </x:c>
      <x:c r="AI636" s="55" t="n">
        <x:v>9602</x:v>
      </x:c>
      <x:c r="AJ636" s="55" t="n">
        <x:v>495</x:v>
      </x:c>
      <x:c r="AK636" s="55" t="n">
        <x:v>727</x:v>
      </x:c>
      <x:c r="AL636" s="55" t="n">
        <x:v>1602</x:v>
      </x:c>
      <x:c r="AM636" s="55" t="n">
        <x:v>4095</x:v>
      </x:c>
      <x:c r="AN636" s="55" t="n">
        <x:v>2931</x:v>
      </x:c>
      <x:c r="AO636" s="55" t="n">
        <x:v>0</x:v>
      </x:c>
      <x:c r="AP636" s="55" t="n">
        <x:v>2286</x:v>
      </x:c>
      <x:c r="AQ636" s="55" t="n">
        <x:v>955</x:v>
      </x:c>
    </x:row>
    <x:row r="637">
      <x:c r="A637" s="54" t="str">
        <x:v>T1_SHARED_CATCHMENT</x:v>
      </x:c>
      <x:c r="B637" s="54" t="n">
        <x:v>631</x:v>
      </x:c>
      <x:c r="C637" s="54" t="str">
        <x:v>NYC-V2-R01</x:v>
      </x:c>
      <x:c r="D637" s="54" t="str">
        <x:v>V2</x:v>
      </x:c>
      <x:c r="E637" s="54" t="str">
        <x:v>ADMITTED</x:v>
      </x:c>
      <x:c r="F637" s="55" t="n">
        <x:v>31902</x:v>
      </x:c>
      <x:c r="G637" s="55" t="n">
        <x:v>8148</x:v>
      </x:c>
      <x:c r="H637" s="55" t="n">
        <x:v>2986</x:v>
      </x:c>
      <x:c r="I637" s="55" t="n">
        <x:v>1368</x:v>
      </x:c>
      <x:c r="J637" s="55" t="n">
        <x:v>322</x:v>
      </x:c>
      <x:c r="K637" s="55" t="n">
        <x:v>30281</x:v>
      </x:c>
      <x:c r="L637" s="55" t="n">
        <x:v>4638</x:v>
      </x:c>
      <x:c r="M637" s="55" t="n">
        <x:v>714</x:v>
      </x:c>
      <x:c r="N637" s="55" t="n">
        <x:v>2299</x:v>
      </x:c>
      <x:c r="O637" s="55" t="n">
        <x:v>1625</x:v>
      </x:c>
      <x:c r="P637" s="55" t="n">
        <x:v>1091</x:v>
      </x:c>
      <x:c r="Q637" s="55" t="n">
        <x:v>2355</x:v>
      </x:c>
      <x:c r="R637" s="55" t="n">
        <x:v>2100</x:v>
      </x:c>
      <x:c r="S637" s="55" t="n">
        <x:v>3240</x:v>
      </x:c>
      <x:c r="T637" s="55" t="n">
        <x:v>869</x:v>
      </x:c>
      <x:c r="U637" s="55" t="n">
        <x:v>1780</x:v>
      </x:c>
      <x:c r="V637" s="55" t="n">
        <x:v>10235</x:v>
      </x:c>
      <x:c r="W637" s="55" t="n">
        <x:v>7154</x:v>
      </x:c>
      <x:c r="X637" s="55" t="n">
        <x:v>3081</x:v>
      </x:c>
      <x:c r="Y637" s="55" t="n">
        <x:v>2654</x:v>
      </x:c>
      <x:c r="Z637" s="55" t="n">
        <x:v>3837</x:v>
      </x:c>
      <x:c r="AA637" s="55" t="n">
        <x:v>2977</x:v>
      </x:c>
      <x:c r="AB637" s="55" t="n">
        <x:v>1059</x:v>
      </x:c>
      <x:c r="AC637" s="55" t="n">
        <x:v>7731</x:v>
      </x:c>
      <x:c r="AD637" s="55" t="n">
        <x:v>3628</x:v>
      </x:c>
      <x:c r="AE637" s="55" t="n">
        <x:v>10445</x:v>
      </x:c>
      <x:c r="AF637" s="55" t="n">
        <x:v>10235</x:v>
      </x:c>
      <x:c r="AG637" s="55" t="n">
        <x:v>210</x:v>
      </x:c>
      <x:c r="AH637" s="55" t="n">
        <x:v>419</x:v>
      </x:c>
      <x:c r="AI637" s="55" t="n">
        <x:v>9816</x:v>
      </x:c>
      <x:c r="AJ637" s="55" t="n">
        <x:v>290</x:v>
      </x:c>
      <x:c r="AK637" s="55" t="n">
        <x:v>953</x:v>
      </x:c>
      <x:c r="AL637" s="55" t="n">
        <x:v>2030</x:v>
      </x:c>
      <x:c r="AM637" s="55" t="n">
        <x:v>4671</x:v>
      </x:c>
      <x:c r="AN637" s="55" t="n">
        <x:v>2258</x:v>
      </x:c>
      <x:c r="AO637" s="55" t="n">
        <x:v>33</x:v>
      </x:c>
      <x:c r="AP637" s="55" t="n">
        <x:v>2545</x:v>
      </x:c>
      <x:c r="AQ637" s="55" t="n">
        <x:v>965</x:v>
      </x:c>
    </x:row>
    <x:row r="638">
      <x:c r="A638" s="54" t="str">
        <x:v>T1_SHARED_CATCHMENT</x:v>
      </x:c>
      <x:c r="B638" s="54" t="n">
        <x:v>632</x:v>
      </x:c>
      <x:c r="C638" s="54" t="str">
        <x:v>NYC-V2-R01</x:v>
      </x:c>
      <x:c r="D638" s="54" t="str">
        <x:v>V2</x:v>
      </x:c>
      <x:c r="E638" s="54" t="str">
        <x:v>ADMITTED</x:v>
      </x:c>
      <x:c r="F638" s="55" t="n">
        <x:v>30862</x:v>
      </x:c>
      <x:c r="G638" s="55" t="n">
        <x:v>6550</x:v>
      </x:c>
      <x:c r="H638" s="55" t="n">
        <x:v>2782</x:v>
      </x:c>
      <x:c r="I638" s="55" t="n">
        <x:v>1013</x:v>
      </x:c>
      <x:c r="J638" s="55" t="n">
        <x:v>109</x:v>
      </x:c>
      <x:c r="K638" s="55" t="n">
        <x:v>30862</x:v>
      </x:c>
      <x:c r="L638" s="55" t="n">
        <x:v>4840</x:v>
      </x:c>
      <x:c r="M638" s="55" t="n">
        <x:v>331</x:v>
      </x:c>
      <x:c r="N638" s="55" t="n">
        <x:v>2552</x:v>
      </x:c>
      <x:c r="O638" s="55" t="n">
        <x:v>1957</x:v>
      </x:c>
      <x:c r="P638" s="55" t="n">
        <x:v>576</x:v>
      </x:c>
      <x:c r="Q638" s="55" t="n">
        <x:v>2371</x:v>
      </x:c>
      <x:c r="R638" s="55" t="n">
        <x:v>1790</x:v>
      </x:c>
      <x:c r="S638" s="55" t="n">
        <x:v>2904</x:v>
      </x:c>
      <x:c r="T638" s="55" t="n">
        <x:v>1194</x:v>
      </x:c>
      <x:c r="U638" s="55" t="n">
        <x:v>1097</x:v>
      </x:c>
      <x:c r="V638" s="55" t="n">
        <x:v>10071</x:v>
      </x:c>
      <x:c r="W638" s="55" t="n">
        <x:v>6944</x:v>
      </x:c>
      <x:c r="X638" s="55" t="n">
        <x:v>3127</x:v>
      </x:c>
      <x:c r="Y638" s="55" t="n">
        <x:v>2740</x:v>
      </x:c>
      <x:c r="Z638" s="55" t="n">
        <x:v>4059</x:v>
      </x:c>
      <x:c r="AA638" s="55" t="n">
        <x:v>2498</x:v>
      </x:c>
      <x:c r="AB638" s="55" t="n">
        <x:v>643</x:v>
      </x:c>
      <x:c r="AC638" s="55" t="n">
        <x:v>7822</x:v>
      </x:c>
      <x:c r="AD638" s="55" t="n">
        <x:v>3497</x:v>
      </x:c>
      <x:c r="AE638" s="55" t="n">
        <x:v>10105</x:v>
      </x:c>
      <x:c r="AF638" s="55" t="n">
        <x:v>10071</x:v>
      </x:c>
      <x:c r="AG638" s="55" t="n">
        <x:v>34</x:v>
      </x:c>
      <x:c r="AH638" s="55" t="n">
        <x:v>425</x:v>
      </x:c>
      <x:c r="AI638" s="55" t="n">
        <x:v>9646</x:v>
      </x:c>
      <x:c r="AJ638" s="55" t="n">
        <x:v>326</x:v>
      </x:c>
      <x:c r="AK638" s="55" t="n">
        <x:v>1340</x:v>
      </x:c>
      <x:c r="AL638" s="55" t="n">
        <x:v>1218</x:v>
      </x:c>
      <x:c r="AM638" s="55" t="n">
        <x:v>4858</x:v>
      </x:c>
      <x:c r="AN638" s="55" t="n">
        <x:v>2329</x:v>
      </x:c>
      <x:c r="AO638" s="55" t="n">
        <x:v>0</x:v>
      </x:c>
      <x:c r="AP638" s="55" t="n">
        <x:v>2656</x:v>
      </x:c>
      <x:c r="AQ638" s="55" t="n">
        <x:v>938</x:v>
      </x:c>
    </x:row>
    <x:row r="639">
      <x:c r="A639" s="54" t="str">
        <x:v>T1_SHARED_CATCHMENT</x:v>
      </x:c>
      <x:c r="B639" s="54" t="n">
        <x:v>633</x:v>
      </x:c>
      <x:c r="C639" s="54" t="str">
        <x:v>NYC-V2-R01</x:v>
      </x:c>
      <x:c r="D639" s="54" t="str">
        <x:v>V2</x:v>
      </x:c>
      <x:c r="E639" s="54" t="str">
        <x:v>ADMITTED</x:v>
      </x:c>
      <x:c r="F639" s="55" t="n">
        <x:v>31941</x:v>
      </x:c>
      <x:c r="G639" s="55" t="n">
        <x:v>8190</x:v>
      </x:c>
      <x:c r="H639" s="55" t="n">
        <x:v>3401</x:v>
      </x:c>
      <x:c r="I639" s="55" t="n">
        <x:v>1659</x:v>
      </x:c>
      <x:c r="J639" s="55" t="n">
        <x:v>293</x:v>
      </x:c>
      <x:c r="K639" s="55" t="n">
        <x:v>30426</x:v>
      </x:c>
      <x:c r="L639" s="55" t="n">
        <x:v>5045</x:v>
      </x:c>
      <x:c r="M639" s="55" t="n">
        <x:v>757</x:v>
      </x:c>
      <x:c r="N639" s="55" t="n">
        <x:v>2541</x:v>
      </x:c>
      <x:c r="O639" s="55" t="n">
        <x:v>1747</x:v>
      </x:c>
      <x:c r="P639" s="55" t="n">
        <x:v>673</x:v>
      </x:c>
      <x:c r="Q639" s="55" t="n">
        <x:v>1995</x:v>
      </x:c>
      <x:c r="R639" s="55" t="n">
        <x:v>2162</x:v>
      </x:c>
      <x:c r="S639" s="55" t="n">
        <x:v>2730</x:v>
      </x:c>
      <x:c r="T639" s="55" t="n">
        <x:v>1310</x:v>
      </x:c>
      <x:c r="U639" s="55" t="n">
        <x:v>1643</x:v>
      </x:c>
      <x:c r="V639" s="55" t="n">
        <x:v>9990</x:v>
      </x:c>
      <x:c r="W639" s="55" t="n">
        <x:v>6657</x:v>
      </x:c>
      <x:c r="X639" s="55" t="n">
        <x:v>3333</x:v>
      </x:c>
      <x:c r="Y639" s="55" t="n">
        <x:v>2788</x:v>
      </x:c>
      <x:c r="Z639" s="55" t="n">
        <x:v>3710</x:v>
      </x:c>
      <x:c r="AA639" s="55" t="n">
        <x:v>3279</x:v>
      </x:c>
      <x:c r="AB639" s="55" t="n">
        <x:v>1008</x:v>
      </x:c>
      <x:c r="AC639" s="55" t="n">
        <x:v>7575</x:v>
      </x:c>
      <x:c r="AD639" s="55" t="n">
        <x:v>3336</x:v>
      </x:c>
      <x:c r="AE639" s="55" t="n">
        <x:v>10124</x:v>
      </x:c>
      <x:c r="AF639" s="55" t="n">
        <x:v>9990</x:v>
      </x:c>
      <x:c r="AG639" s="55" t="n">
        <x:v>134</x:v>
      </x:c>
      <x:c r="AH639" s="55" t="n">
        <x:v>144</x:v>
      </x:c>
      <x:c r="AI639" s="55" t="n">
        <x:v>9846</x:v>
      </x:c>
      <x:c r="AJ639" s="55" t="n">
        <x:v>384</x:v>
      </x:c>
      <x:c r="AK639" s="55" t="n">
        <x:v>1244</x:v>
      </x:c>
      <x:c r="AL639" s="55" t="n">
        <x:v>1498</x:v>
      </x:c>
      <x:c r="AM639" s="55" t="n">
        <x:v>4587</x:v>
      </x:c>
      <x:c r="AN639" s="55" t="n">
        <x:v>2277</x:v>
      </x:c>
      <x:c r="AO639" s="55" t="n">
        <x:v>0</x:v>
      </x:c>
      <x:c r="AP639" s="55" t="n">
        <x:v>2906</x:v>
      </x:c>
      <x:c r="AQ639" s="55" t="n">
        <x:v>960</x:v>
      </x:c>
    </x:row>
    <x:row r="640">
      <x:c r="A640" s="54" t="str">
        <x:v>T1_SHARED_CATCHMENT</x:v>
      </x:c>
      <x:c r="B640" s="54" t="n">
        <x:v>634</x:v>
      </x:c>
      <x:c r="C640" s="54" t="str">
        <x:v>NYC-V2-R01</x:v>
      </x:c>
      <x:c r="D640" s="54" t="str">
        <x:v>V2</x:v>
      </x:c>
      <x:c r="E640" s="54" t="str">
        <x:v>ADMITTED</x:v>
      </x:c>
      <x:c r="F640" s="55" t="n">
        <x:v>31962</x:v>
      </x:c>
      <x:c r="G640" s="55" t="n">
        <x:v>8143</x:v>
      </x:c>
      <x:c r="H640" s="55" t="n">
        <x:v>3493</x:v>
      </x:c>
      <x:c r="I640" s="55" t="n">
        <x:v>1562</x:v>
      </x:c>
      <x:c r="J640" s="55" t="n">
        <x:v>505</x:v>
      </x:c>
      <x:c r="K640" s="55" t="n">
        <x:v>31962</x:v>
      </x:c>
      <x:c r="L640" s="55" t="n">
        <x:v>6734</x:v>
      </x:c>
      <x:c r="M640" s="55" t="n">
        <x:v>1367</x:v>
      </x:c>
      <x:c r="N640" s="55" t="n">
        <x:v>2902</x:v>
      </x:c>
      <x:c r="O640" s="55" t="n">
        <x:v>2465</x:v>
      </x:c>
      <x:c r="P640" s="55" t="n">
        <x:v>605</x:v>
      </x:c>
      <x:c r="Q640" s="55" t="n">
        <x:v>1952</x:v>
      </x:c>
      <x:c r="R640" s="55" t="n">
        <x:v>2088</x:v>
      </x:c>
      <x:c r="S640" s="55" t="n">
        <x:v>2864</x:v>
      </x:c>
      <x:c r="T640" s="55" t="n">
        <x:v>805</x:v>
      </x:c>
      <x:c r="U640" s="55" t="n">
        <x:v>2171</x:v>
      </x:c>
      <x:c r="V640" s="55" t="n">
        <x:v>10203</x:v>
      </x:c>
      <x:c r="W640" s="55" t="n">
        <x:v>6655</x:v>
      </x:c>
      <x:c r="X640" s="55" t="n">
        <x:v>3548</x:v>
      </x:c>
      <x:c r="Y640" s="55" t="n">
        <x:v>3244</x:v>
      </x:c>
      <x:c r="Z640" s="55" t="n">
        <x:v>3420</x:v>
      </x:c>
      <x:c r="AA640" s="55" t="n">
        <x:v>3039</x:v>
      </x:c>
      <x:c r="AB640" s="55" t="n">
        <x:v>1358</x:v>
      </x:c>
      <x:c r="AC640" s="55" t="n">
        <x:v>8572</x:v>
      </x:c>
      <x:c r="AD640" s="55" t="n">
        <x:v>2941</x:v>
      </x:c>
      <x:c r="AE640" s="55" t="n">
        <x:v>10335</x:v>
      </x:c>
      <x:c r="AF640" s="55" t="n">
        <x:v>10203</x:v>
      </x:c>
      <x:c r="AG640" s="55" t="n">
        <x:v>132</x:v>
      </x:c>
      <x:c r="AH640" s="55" t="n">
        <x:v>467</x:v>
      </x:c>
      <x:c r="AI640" s="55" t="n">
        <x:v>9736</x:v>
      </x:c>
      <x:c r="AJ640" s="55" t="n">
        <x:v>108</x:v>
      </x:c>
      <x:c r="AK640" s="55" t="n">
        <x:v>826</x:v>
      </x:c>
      <x:c r="AL640" s="55" t="n">
        <x:v>1453</x:v>
      </x:c>
      <x:c r="AM640" s="55" t="n">
        <x:v>5001</x:v>
      </x:c>
      <x:c r="AN640" s="55" t="n">
        <x:v>2767</x:v>
      </x:c>
      <x:c r="AO640" s="55" t="n">
        <x:v>48</x:v>
      </x:c>
      <x:c r="AP640" s="55" t="n">
        <x:v>1857</x:v>
      </x:c>
      <x:c r="AQ640" s="55" t="n">
        <x:v>961</x:v>
      </x:c>
    </x:row>
    <x:row r="641">
      <x:c r="A641" s="54" t="str">
        <x:v>T1_SHARED_CATCHMENT</x:v>
      </x:c>
      <x:c r="B641" s="54" t="n">
        <x:v>635</x:v>
      </x:c>
      <x:c r="C641" s="54" t="str">
        <x:v>NYC-V2-R01</x:v>
      </x:c>
      <x:c r="D641" s="54" t="str">
        <x:v>V2</x:v>
      </x:c>
      <x:c r="E641" s="54" t="str">
        <x:v>ADMITTED</x:v>
      </x:c>
      <x:c r="F641" s="55" t="n">
        <x:v>25653</x:v>
      </x:c>
      <x:c r="G641" s="55" t="n">
        <x:v>5520</x:v>
      </x:c>
      <x:c r="H641" s="55" t="n">
        <x:v>2787</x:v>
      </x:c>
      <x:c r="I641" s="55" t="n">
        <x:v>967</x:v>
      </x:c>
      <x:c r="J641" s="55" t="n">
        <x:v>71</x:v>
      </x:c>
      <x:c r="K641" s="55" t="n">
        <x:v>25653</x:v>
      </x:c>
      <x:c r="L641" s="55" t="n">
        <x:v>3118</x:v>
      </x:c>
      <x:c r="M641" s="55" t="n">
        <x:v>0</x:v>
      </x:c>
      <x:c r="N641" s="55" t="n">
        <x:v>2006</x:v>
      </x:c>
      <x:c r="O641" s="55" t="n">
        <x:v>1112</x:v>
      </x:c>
      <x:c r="P641" s="55" t="n">
        <x:v>693</x:v>
      </x:c>
      <x:c r="Q641" s="55" t="n">
        <x:v>1942</x:v>
      </x:c>
      <x:c r="R641" s="55" t="n">
        <x:v>1732</x:v>
      </x:c>
      <x:c r="S641" s="55" t="n">
        <x:v>2715</x:v>
      </x:c>
      <x:c r="T641" s="55" t="n">
        <x:v>1065</x:v>
      </x:c>
      <x:c r="U641" s="55" t="n">
        <x:v>1514</x:v>
      </x:c>
      <x:c r="V641" s="55" t="n">
        <x:v>9845</x:v>
      </x:c>
      <x:c r="W641" s="55" t="n">
        <x:v>7171</x:v>
      </x:c>
      <x:c r="X641" s="55" t="n">
        <x:v>2674</x:v>
      </x:c>
      <x:c r="Y641" s="55" t="n">
        <x:v>2113</x:v>
      </x:c>
      <x:c r="Z641" s="55" t="n">
        <x:v>3042</x:v>
      </x:c>
      <x:c r="AA641" s="55" t="n">
        <x:v>2493</x:v>
      </x:c>
      <x:c r="AB641" s="55" t="n">
        <x:v>1146</x:v>
      </x:c>
      <x:c r="AC641" s="55" t="n">
        <x:v>7876</x:v>
      </x:c>
      <x:c r="AD641" s="55" t="n">
        <x:v>2342</x:v>
      </x:c>
      <x:c r="AE641" s="55" t="n">
        <x:v>9867</x:v>
      </x:c>
      <x:c r="AF641" s="55" t="n">
        <x:v>9845</x:v>
      </x:c>
      <x:c r="AG641" s="55" t="n">
        <x:v>22</x:v>
      </x:c>
      <x:c r="AH641" s="55" t="n">
        <x:v>220</x:v>
      </x:c>
      <x:c r="AI641" s="55" t="n">
        <x:v>9625</x:v>
      </x:c>
      <x:c r="AJ641" s="55" t="n">
        <x:v>172</x:v>
      </x:c>
      <x:c r="AK641" s="55" t="n">
        <x:v>462</x:v>
      </x:c>
      <x:c r="AL641" s="55" t="n">
        <x:v>1578</x:v>
      </x:c>
      <x:c r="AM641" s="55" t="n">
        <x:v>5086</x:v>
      </x:c>
      <x:c r="AN641" s="55" t="n">
        <x:v>2547</x:v>
      </x:c>
      <x:c r="AO641" s="55" t="n">
        <x:v>0</x:v>
      </x:c>
      <x:c r="AP641" s="55" t="n">
        <x:v>2157</x:v>
      </x:c>
      <x:c r="AQ641" s="55" t="n">
        <x:v>933</x:v>
      </x:c>
    </x:row>
    <x:row r="642">
      <x:c r="A642" s="54" t="str">
        <x:v>T1_SHARED_CATCHMENT</x:v>
      </x:c>
      <x:c r="B642" s="54" t="n">
        <x:v>636</x:v>
      </x:c>
      <x:c r="C642" s="54" t="str">
        <x:v>NYC-V2-R01</x:v>
      </x:c>
      <x:c r="D642" s="54" t="str">
        <x:v>V2</x:v>
      </x:c>
      <x:c r="E642" s="54" t="str">
        <x:v>ADMITTED</x:v>
      </x:c>
      <x:c r="F642" s="55" t="n">
        <x:v>28968</x:v>
      </x:c>
      <x:c r="G642" s="55" t="n">
        <x:v>7382</x:v>
      </x:c>
      <x:c r="H642" s="55" t="n">
        <x:v>3200</x:v>
      </x:c>
      <x:c r="I642" s="55" t="n">
        <x:v>1371</x:v>
      </x:c>
      <x:c r="J642" s="55" t="n">
        <x:v>174</x:v>
      </x:c>
      <x:c r="K642" s="55" t="n">
        <x:v>28847</x:v>
      </x:c>
      <x:c r="L642" s="55" t="n">
        <x:v>5794</x:v>
      </x:c>
      <x:c r="M642" s="55" t="n">
        <x:v>866</x:v>
      </x:c>
      <x:c r="N642" s="55" t="n">
        <x:v>3307</x:v>
      </x:c>
      <x:c r="O642" s="55" t="n">
        <x:v>1621</x:v>
      </x:c>
      <x:c r="P642" s="55" t="n">
        <x:v>742</x:v>
      </x:c>
      <x:c r="Q642" s="55" t="n">
        <x:v>2616</x:v>
      </x:c>
      <x:c r="R642" s="55" t="n">
        <x:v>1893</x:v>
      </x:c>
      <x:c r="S642" s="55" t="n">
        <x:v>2534</x:v>
      </x:c>
      <x:c r="T642" s="55" t="n">
        <x:v>988</x:v>
      </x:c>
      <x:c r="U642" s="55" t="n">
        <x:v>2185</x:v>
      </x:c>
      <x:c r="V642" s="55" t="n">
        <x:v>10049</x:v>
      </x:c>
      <x:c r="W642" s="55" t="n">
        <x:v>7111</x:v>
      </x:c>
      <x:c r="X642" s="55" t="n">
        <x:v>2938</x:v>
      </x:c>
      <x:c r="Y642" s="55" t="n">
        <x:v>2530</x:v>
      </x:c>
      <x:c r="Z642" s="55" t="n">
        <x:v>3274</x:v>
      </x:c>
      <x:c r="AA642" s="55" t="n">
        <x:v>3200</x:v>
      </x:c>
      <x:c r="AB642" s="55" t="n">
        <x:v>1256</x:v>
      </x:c>
      <x:c r="AC642" s="55" t="n">
        <x:v>8156</x:v>
      </x:c>
      <x:c r="AD642" s="55" t="n">
        <x:v>2864</x:v>
      </x:c>
      <x:c r="AE642" s="55" t="n">
        <x:v>10176</x:v>
      </x:c>
      <x:c r="AF642" s="55" t="n">
        <x:v>10049</x:v>
      </x:c>
      <x:c r="AG642" s="55" t="n">
        <x:v>127</x:v>
      </x:c>
      <x:c r="AH642" s="55" t="n">
        <x:v>362</x:v>
      </x:c>
      <x:c r="AI642" s="55" t="n">
        <x:v>9687</x:v>
      </x:c>
      <x:c r="AJ642" s="55" t="n">
        <x:v>366</x:v>
      </x:c>
      <x:c r="AK642" s="55" t="n">
        <x:v>669</x:v>
      </x:c>
      <x:c r="AL642" s="55" t="n">
        <x:v>1608</x:v>
      </x:c>
      <x:c r="AM642" s="55" t="n">
        <x:v>4522</x:v>
      </x:c>
      <x:c r="AN642" s="55" t="n">
        <x:v>2819</x:v>
      </x:c>
      <x:c r="AO642" s="55" t="n">
        <x:v>65</x:v>
      </x:c>
      <x:c r="AP642" s="55" t="n">
        <x:v>1800</x:v>
      </x:c>
      <x:c r="AQ642" s="55" t="n">
        <x:v>993</x:v>
      </x:c>
    </x:row>
    <x:row r="643">
      <x:c r="A643" s="54" t="str">
        <x:v>T1_SHARED_CATCHMENT</x:v>
      </x:c>
      <x:c r="B643" s="54" t="n">
        <x:v>637</x:v>
      </x:c>
      <x:c r="C643" s="54" t="str">
        <x:v>NYC-V2-R01</x:v>
      </x:c>
      <x:c r="D643" s="54" t="str">
        <x:v>V2</x:v>
      </x:c>
      <x:c r="E643" s="54" t="str">
        <x:v>ADMITTED</x:v>
      </x:c>
      <x:c r="F643" s="55" t="n">
        <x:v>32961</x:v>
      </x:c>
      <x:c r="G643" s="55" t="n">
        <x:v>8562</x:v>
      </x:c>
      <x:c r="H643" s="55" t="n">
        <x:v>3696</x:v>
      </x:c>
      <x:c r="I643" s="55" t="n">
        <x:v>1622</x:v>
      </x:c>
      <x:c r="J643" s="55" t="n">
        <x:v>289</x:v>
      </x:c>
      <x:c r="K643" s="55" t="n">
        <x:v>29871</x:v>
      </x:c>
      <x:c r="L643" s="55" t="n">
        <x:v>6341</x:v>
      </x:c>
      <x:c r="M643" s="55" t="n">
        <x:v>1721</x:v>
      </x:c>
      <x:c r="N643" s="55" t="n">
        <x:v>2863</x:v>
      </x:c>
      <x:c r="O643" s="55" t="n">
        <x:v>1757</x:v>
      </x:c>
      <x:c r="P643" s="55" t="n">
        <x:v>1112</x:v>
      </x:c>
      <x:c r="Q643" s="55" t="n">
        <x:v>2134</x:v>
      </x:c>
      <x:c r="R643" s="55" t="n">
        <x:v>1696</x:v>
      </x:c>
      <x:c r="S643" s="55" t="n">
        <x:v>2352</x:v>
      </x:c>
      <x:c r="T643" s="55" t="n">
        <x:v>1356</x:v>
      </x:c>
      <x:c r="U643" s="55" t="n">
        <x:v>1737</x:v>
      </x:c>
      <x:c r="V643" s="55" t="n">
        <x:v>10219</x:v>
      </x:c>
      <x:c r="W643" s="55" t="n">
        <x:v>7014</x:v>
      </x:c>
      <x:c r="X643" s="55" t="n">
        <x:v>3205</x:v>
      </x:c>
      <x:c r="Y643" s="55" t="n">
        <x:v>2733</x:v>
      </x:c>
      <x:c r="Z643" s="55" t="n">
        <x:v>3235</x:v>
      </x:c>
      <x:c r="AA643" s="55" t="n">
        <x:v>2666</x:v>
      </x:c>
      <x:c r="AB643" s="55" t="n">
        <x:v>942</x:v>
      </x:c>
      <x:c r="AC643" s="55" t="n">
        <x:v>8625</x:v>
      </x:c>
      <x:c r="AD643" s="55" t="n">
        <x:v>2982</x:v>
      </x:c>
      <x:c r="AE643" s="55" t="n">
        <x:v>10317</x:v>
      </x:c>
      <x:c r="AF643" s="55" t="n">
        <x:v>10219</x:v>
      </x:c>
      <x:c r="AG643" s="55" t="n">
        <x:v>98</x:v>
      </x:c>
      <x:c r="AH643" s="55" t="n">
        <x:v>521</x:v>
      </x:c>
      <x:c r="AI643" s="55" t="n">
        <x:v>9698</x:v>
      </x:c>
      <x:c r="AJ643" s="55" t="n">
        <x:v>304</x:v>
      </x:c>
      <x:c r="AK643" s="55" t="n">
        <x:v>949</x:v>
      </x:c>
      <x:c r="AL643" s="55" t="n">
        <x:v>1367</x:v>
      </x:c>
      <x:c r="AM643" s="55" t="n">
        <x:v>4119</x:v>
      </x:c>
      <x:c r="AN643" s="55" t="n">
        <x:v>3418</x:v>
      </x:c>
      <x:c r="AO643" s="55" t="n">
        <x:v>62</x:v>
      </x:c>
      <x:c r="AP643" s="55" t="n">
        <x:v>2235</x:v>
      </x:c>
      <x:c r="AQ643" s="55" t="n">
        <x:v>969</x:v>
      </x:c>
    </x:row>
    <x:row r="644">
      <x:c r="A644" s="54" t="str">
        <x:v>T1_SHARED_CATCHMENT</x:v>
      </x:c>
      <x:c r="B644" s="54" t="n">
        <x:v>638</x:v>
      </x:c>
      <x:c r="C644" s="54" t="str">
        <x:v>NYC-V2-R01</x:v>
      </x:c>
      <x:c r="D644" s="54" t="str">
        <x:v>V2</x:v>
      </x:c>
      <x:c r="E644" s="54" t="str">
        <x:v>ADMITTED</x:v>
      </x:c>
      <x:c r="F644" s="55" t="n">
        <x:v>32395</x:v>
      </x:c>
      <x:c r="G644" s="55" t="n">
        <x:v>7718</x:v>
      </x:c>
      <x:c r="H644" s="55" t="n">
        <x:v>3046</x:v>
      </x:c>
      <x:c r="I644" s="55" t="n">
        <x:v>968</x:v>
      </x:c>
      <x:c r="J644" s="55" t="n">
        <x:v>125</x:v>
      </x:c>
      <x:c r="K644" s="55" t="n">
        <x:v>32395</x:v>
      </x:c>
      <x:c r="L644" s="55" t="n">
        <x:v>6732</x:v>
      </x:c>
      <x:c r="M644" s="55" t="n">
        <x:v>1729</x:v>
      </x:c>
      <x:c r="N644" s="55" t="n">
        <x:v>2610</x:v>
      </x:c>
      <x:c r="O644" s="55" t="n">
        <x:v>2393</x:v>
      </x:c>
      <x:c r="P644" s="55" t="n">
        <x:v>1104</x:v>
      </x:c>
      <x:c r="Q644" s="55" t="n">
        <x:v>2699</x:v>
      </x:c>
      <x:c r="R644" s="55" t="n">
        <x:v>1625</x:v>
      </x:c>
      <x:c r="S644" s="55" t="n">
        <x:v>3599</x:v>
      </x:c>
      <x:c r="T644" s="55" t="n">
        <x:v>1076</x:v>
      </x:c>
      <x:c r="U644" s="55" t="n">
        <x:v>1928</x:v>
      </x:c>
      <x:c r="V644" s="55" t="n">
        <x:v>11486</x:v>
      </x:c>
      <x:c r="W644" s="55" t="n">
        <x:v>8059</x:v>
      </x:c>
      <x:c r="X644" s="55" t="n">
        <x:v>3427</x:v>
      </x:c>
      <x:c r="Y644" s="55" t="n">
        <x:v>2924</x:v>
      </x:c>
      <x:c r="Z644" s="55" t="n">
        <x:v>3395</x:v>
      </x:c>
      <x:c r="AA644" s="55" t="n">
        <x:v>3046</x:v>
      </x:c>
      <x:c r="AB644" s="55" t="n">
        <x:v>1184</x:v>
      </x:c>
      <x:c r="AC644" s="55" t="n">
        <x:v>8264</x:v>
      </x:c>
      <x:c r="AD644" s="55" t="n">
        <x:v>2367</x:v>
      </x:c>
      <x:c r="AE644" s="55" t="n">
        <x:v>11565</x:v>
      </x:c>
      <x:c r="AF644" s="55" t="n">
        <x:v>11486</x:v>
      </x:c>
      <x:c r="AG644" s="55" t="n">
        <x:v>79</x:v>
      </x:c>
      <x:c r="AH644" s="55" t="n">
        <x:v>716</x:v>
      </x:c>
      <x:c r="AI644" s="55" t="n">
        <x:v>10770</x:v>
      </x:c>
      <x:c r="AJ644" s="55" t="n">
        <x:v>340</x:v>
      </x:c>
      <x:c r="AK644" s="55" t="n">
        <x:v>892</x:v>
      </x:c>
      <x:c r="AL644" s="55" t="n">
        <x:v>1603</x:v>
      </x:c>
      <x:c r="AM644" s="55" t="n">
        <x:v>5325</x:v>
      </x:c>
      <x:c r="AN644" s="55" t="n">
        <x:v>3246</x:v>
      </x:c>
      <x:c r="AO644" s="55" t="n">
        <x:v>80</x:v>
      </x:c>
      <x:c r="AP644" s="55" t="n">
        <x:v>2509</x:v>
      </x:c>
      <x:c r="AQ644" s="55" t="n">
        <x:v>991</x:v>
      </x:c>
    </x:row>
    <x:row r="645">
      <x:c r="A645" s="54" t="str">
        <x:v>T1_SHARED_CATCHMENT</x:v>
      </x:c>
      <x:c r="B645" s="54" t="n">
        <x:v>639</x:v>
      </x:c>
      <x:c r="C645" s="54" t="str">
        <x:v>NYC-V2-R01</x:v>
      </x:c>
      <x:c r="D645" s="54" t="str">
        <x:v>V2</x:v>
      </x:c>
      <x:c r="E645" s="54" t="str">
        <x:v>ADMITTED</x:v>
      </x:c>
      <x:c r="F645" s="55" t="n">
        <x:v>30391</x:v>
      </x:c>
      <x:c r="G645" s="55" t="n">
        <x:v>7143</x:v>
      </x:c>
      <x:c r="H645" s="55" t="n">
        <x:v>3320</x:v>
      </x:c>
      <x:c r="I645" s="55" t="n">
        <x:v>1256</x:v>
      </x:c>
      <x:c r="J645" s="55" t="n">
        <x:v>326</x:v>
      </x:c>
      <x:c r="K645" s="55" t="n">
        <x:v>27666</x:v>
      </x:c>
      <x:c r="L645" s="55" t="n">
        <x:v>5422</x:v>
      </x:c>
      <x:c r="M645" s="55" t="n">
        <x:v>1208</x:v>
      </x:c>
      <x:c r="N645" s="55" t="n">
        <x:v>2881</x:v>
      </x:c>
      <x:c r="O645" s="55" t="n">
        <x:v>1333</x:v>
      </x:c>
      <x:c r="P645" s="55" t="n">
        <x:v>364</x:v>
      </x:c>
      <x:c r="Q645" s="55" t="n">
        <x:v>2516</x:v>
      </x:c>
      <x:c r="R645" s="55" t="n">
        <x:v>2277</x:v>
      </x:c>
      <x:c r="S645" s="55" t="n">
        <x:v>2334</x:v>
      </x:c>
      <x:c r="T645" s="55" t="n">
        <x:v>1482</x:v>
      </x:c>
      <x:c r="U645" s="55" t="n">
        <x:v>1525</x:v>
      </x:c>
      <x:c r="V645" s="55" t="n">
        <x:v>10155</x:v>
      </x:c>
      <x:c r="W645" s="55" t="n">
        <x:v>7310</x:v>
      </x:c>
      <x:c r="X645" s="55" t="n">
        <x:v>2845</x:v>
      </x:c>
      <x:c r="Y645" s="55" t="n">
        <x:v>2539</x:v>
      </x:c>
      <x:c r="Z645" s="55" t="n">
        <x:v>4211</x:v>
      </x:c>
      <x:c r="AA645" s="55" t="n">
        <x:v>2978</x:v>
      </x:c>
      <x:c r="AB645" s="55" t="n">
        <x:v>946</x:v>
      </x:c>
      <x:c r="AC645" s="55" t="n">
        <x:v>7863</x:v>
      </x:c>
      <x:c r="AD645" s="55" t="n">
        <x:v>3039</x:v>
      </x:c>
      <x:c r="AE645" s="55" t="n">
        <x:v>10237</x:v>
      </x:c>
      <x:c r="AF645" s="55" t="n">
        <x:v>10155</x:v>
      </x:c>
      <x:c r="AG645" s="55" t="n">
        <x:v>82</x:v>
      </x:c>
      <x:c r="AH645" s="55" t="n">
        <x:v>422</x:v>
      </x:c>
      <x:c r="AI645" s="55" t="n">
        <x:v>9733</x:v>
      </x:c>
      <x:c r="AJ645" s="55" t="n">
        <x:v>368</x:v>
      </x:c>
      <x:c r="AK645" s="55" t="n">
        <x:v>806</x:v>
      </x:c>
      <x:c r="AL645" s="55" t="n">
        <x:v>1596</x:v>
      </x:c>
      <x:c r="AM645" s="55" t="n">
        <x:v>5120</x:v>
      </x:c>
      <x:c r="AN645" s="55" t="n">
        <x:v>2223</x:v>
      </x:c>
      <x:c r="AO645" s="55" t="n">
        <x:v>42</x:v>
      </x:c>
      <x:c r="AP645" s="55" t="n">
        <x:v>2329</x:v>
      </x:c>
      <x:c r="AQ645" s="55" t="n">
        <x:v>960</x:v>
      </x:c>
    </x:row>
    <x:row r="646">
      <x:c r="A646" s="54" t="str">
        <x:v>T1_SHARED_CATCHMENT</x:v>
      </x:c>
      <x:c r="B646" s="54" t="n">
        <x:v>640</x:v>
      </x:c>
      <x:c r="C646" s="54" t="str">
        <x:v>NYC-V2-R01</x:v>
      </x:c>
      <x:c r="D646" s="54" t="str">
        <x:v>V2</x:v>
      </x:c>
      <x:c r="E646" s="54" t="str">
        <x:v>ADMITTED</x:v>
      </x:c>
      <x:c r="F646" s="55" t="n">
        <x:v>30858</x:v>
      </x:c>
      <x:c r="G646" s="55" t="n">
        <x:v>6776</x:v>
      </x:c>
      <x:c r="H646" s="55" t="n">
        <x:v>3877</x:v>
      </x:c>
      <x:c r="I646" s="55" t="n">
        <x:v>1909</x:v>
      </x:c>
      <x:c r="J646" s="55" t="n">
        <x:v>217</x:v>
      </x:c>
      <x:c r="K646" s="55" t="n">
        <x:v>30858</x:v>
      </x:c>
      <x:c r="L646" s="55" t="n">
        <x:v>4713</x:v>
      </x:c>
      <x:c r="M646" s="55" t="n">
        <x:v>435</x:v>
      </x:c>
      <x:c r="N646" s="55" t="n">
        <x:v>2822</x:v>
      </x:c>
      <x:c r="O646" s="55" t="n">
        <x:v>1456</x:v>
      </x:c>
      <x:c r="P646" s="55" t="n">
        <x:v>1055</x:v>
      </x:c>
      <x:c r="Q646" s="55" t="n">
        <x:v>1800</x:v>
      </x:c>
      <x:c r="R646" s="55" t="n">
        <x:v>1848</x:v>
      </x:c>
      <x:c r="S646" s="55" t="n">
        <x:v>2770</x:v>
      </x:c>
      <x:c r="T646" s="55" t="n">
        <x:v>1319</x:v>
      </x:c>
      <x:c r="U646" s="55" t="n">
        <x:v>2193</x:v>
      </x:c>
      <x:c r="V646" s="55" t="n">
        <x:v>10121</x:v>
      </x:c>
      <x:c r="W646" s="55" t="n">
        <x:v>6736</x:v>
      </x:c>
      <x:c r="X646" s="55" t="n">
        <x:v>3385</x:v>
      </x:c>
      <x:c r="Y646" s="55" t="n">
        <x:v>2985</x:v>
      </x:c>
      <x:c r="Z646" s="55" t="n">
        <x:v>3675</x:v>
      </x:c>
      <x:c r="AA646" s="55" t="n">
        <x:v>2339</x:v>
      </x:c>
      <x:c r="AB646" s="55" t="n">
        <x:v>836</x:v>
      </x:c>
      <x:c r="AC646" s="55" t="n">
        <x:v>8430</x:v>
      </x:c>
      <x:c r="AD646" s="55" t="n">
        <x:v>2877</x:v>
      </x:c>
      <x:c r="AE646" s="55" t="n">
        <x:v>10246</x:v>
      </x:c>
      <x:c r="AF646" s="55" t="n">
        <x:v>10121</x:v>
      </x:c>
      <x:c r="AG646" s="55" t="n">
        <x:v>125</x:v>
      </x:c>
      <x:c r="AH646" s="55" t="n">
        <x:v>646</x:v>
      </x:c>
      <x:c r="AI646" s="55" t="n">
        <x:v>9475</x:v>
      </x:c>
      <x:c r="AJ646" s="55" t="n">
        <x:v>468</x:v>
      </x:c>
      <x:c r="AK646" s="55" t="n">
        <x:v>1080</x:v>
      </x:c>
      <x:c r="AL646" s="55" t="n">
        <x:v>1203</x:v>
      </x:c>
      <x:c r="AM646" s="55" t="n">
        <x:v>5114</x:v>
      </x:c>
      <x:c r="AN646" s="55" t="n">
        <x:v>2214</x:v>
      </x:c>
      <x:c r="AO646" s="55" t="n">
        <x:v>42</x:v>
      </x:c>
      <x:c r="AP646" s="55" t="n">
        <x:v>2509</x:v>
      </x:c>
      <x:c r="AQ646" s="55" t="n">
        <x:v>1002</x:v>
      </x:c>
    </x:row>
    <x:row r="647">
      <x:c r="A647" s="54" t="str">
        <x:v>T1_SHARED_CATCHMENT</x:v>
      </x:c>
      <x:c r="B647" s="54" t="n">
        <x:v>641</x:v>
      </x:c>
      <x:c r="C647" s="54" t="str">
        <x:v>NYC-V2-R01</x:v>
      </x:c>
      <x:c r="D647" s="54" t="str">
        <x:v>V2</x:v>
      </x:c>
      <x:c r="E647" s="54" t="str">
        <x:v>ADMITTED</x:v>
      </x:c>
      <x:c r="F647" s="55" t="n">
        <x:v>31289</x:v>
      </x:c>
      <x:c r="G647" s="55" t="n">
        <x:v>7412</x:v>
      </x:c>
      <x:c r="H647" s="55" t="n">
        <x:v>3338</x:v>
      </x:c>
      <x:c r="I647" s="55" t="n">
        <x:v>1355</x:v>
      </x:c>
      <x:c r="J647" s="55" t="n">
        <x:v>335</x:v>
      </x:c>
      <x:c r="K647" s="55" t="n">
        <x:v>30540</x:v>
      </x:c>
      <x:c r="L647" s="55" t="n">
        <x:v>7112</x:v>
      </x:c>
      <x:c r="M647" s="55" t="n">
        <x:v>2019</x:v>
      </x:c>
      <x:c r="N647" s="55" t="n">
        <x:v>2819</x:v>
      </x:c>
      <x:c r="O647" s="55" t="n">
        <x:v>2274</x:v>
      </x:c>
      <x:c r="P647" s="55" t="n">
        <x:v>784</x:v>
      </x:c>
      <x:c r="Q647" s="55" t="n">
        <x:v>2255</x:v>
      </x:c>
      <x:c r="R647" s="55" t="n">
        <x:v>2286</x:v>
      </x:c>
      <x:c r="S647" s="55" t="n">
        <x:v>2794</x:v>
      </x:c>
      <x:c r="T647" s="55" t="n">
        <x:v>1155</x:v>
      </x:c>
      <x:c r="U647" s="55" t="n">
        <x:v>2219</x:v>
      </x:c>
      <x:c r="V647" s="55" t="n">
        <x:v>10718</x:v>
      </x:c>
      <x:c r="W647" s="55" t="n">
        <x:v>7500</x:v>
      </x:c>
      <x:c r="X647" s="55" t="n">
        <x:v>3218</x:v>
      </x:c>
      <x:c r="Y647" s="55" t="n">
        <x:v>2762</x:v>
      </x:c>
      <x:c r="Z647" s="55" t="n">
        <x:v>3308</x:v>
      </x:c>
      <x:c r="AA647" s="55" t="n">
        <x:v>3338</x:v>
      </x:c>
      <x:c r="AB647" s="55" t="n">
        <x:v>884</x:v>
      </x:c>
      <x:c r="AC647" s="55" t="n">
        <x:v>7005</x:v>
      </x:c>
      <x:c r="AD647" s="55" t="n">
        <x:v>2558</x:v>
      </x:c>
      <x:c r="AE647" s="55" t="n">
        <x:v>10767</x:v>
      </x:c>
      <x:c r="AF647" s="55" t="n">
        <x:v>10718</x:v>
      </x:c>
      <x:c r="AG647" s="55" t="n">
        <x:v>49</x:v>
      </x:c>
      <x:c r="AH647" s="55" t="n">
        <x:v>702</x:v>
      </x:c>
      <x:c r="AI647" s="55" t="n">
        <x:v>10016</x:v>
      </x:c>
      <x:c r="AJ647" s="55" t="n">
        <x:v>351</x:v>
      </x:c>
      <x:c r="AK647" s="55" t="n">
        <x:v>1064</x:v>
      </x:c>
      <x:c r="AL647" s="55" t="n">
        <x:v>1404</x:v>
      </x:c>
      <x:c r="AM647" s="55" t="n">
        <x:v>5309</x:v>
      </x:c>
      <x:c r="AN647" s="55" t="n">
        <x:v>2573</x:v>
      </x:c>
      <x:c r="AO647" s="55" t="n">
        <x:v>17</x:v>
      </x:c>
      <x:c r="AP647" s="55" t="n">
        <x:v>2224</x:v>
      </x:c>
      <x:c r="AQ647" s="55" t="n">
        <x:v>956</x:v>
      </x:c>
    </x:row>
    <x:row r="648">
      <x:c r="A648" s="54" t="str">
        <x:v>T1_SHARED_CATCHMENT</x:v>
      </x:c>
      <x:c r="B648" s="54" t="n">
        <x:v>642</x:v>
      </x:c>
      <x:c r="C648" s="54" t="str">
        <x:v>NYC-V2-R01</x:v>
      </x:c>
      <x:c r="D648" s="54" t="str">
        <x:v>V2</x:v>
      </x:c>
      <x:c r="E648" s="54" t="str">
        <x:v>ADMITTED</x:v>
      </x:c>
      <x:c r="F648" s="55" t="n">
        <x:v>30869</x:v>
      </x:c>
      <x:c r="G648" s="55" t="n">
        <x:v>7891</x:v>
      </x:c>
      <x:c r="H648" s="55" t="n">
        <x:v>2743</x:v>
      </x:c>
      <x:c r="I648" s="55" t="n">
        <x:v>1146</x:v>
      </x:c>
      <x:c r="J648" s="55" t="n">
        <x:v>0</x:v>
      </x:c>
      <x:c r="K648" s="55" t="n">
        <x:v>30869</x:v>
      </x:c>
      <x:c r="L648" s="55" t="n">
        <x:v>4268</x:v>
      </x:c>
      <x:c r="M648" s="55" t="n">
        <x:v>596</x:v>
      </x:c>
      <x:c r="N648" s="55" t="n">
        <x:v>2171</x:v>
      </x:c>
      <x:c r="O648" s="55" t="n">
        <x:v>1501</x:v>
      </x:c>
      <x:c r="P648" s="55" t="n">
        <x:v>654</x:v>
      </x:c>
      <x:c r="Q648" s="55" t="n">
        <x:v>1243</x:v>
      </x:c>
      <x:c r="R648" s="55" t="n">
        <x:v>1313</x:v>
      </x:c>
      <x:c r="S648" s="55" t="n">
        <x:v>2705</x:v>
      </x:c>
      <x:c r="T648" s="55" t="n">
        <x:v>759</x:v>
      </x:c>
      <x:c r="U648" s="55" t="n">
        <x:v>1595</x:v>
      </x:c>
      <x:c r="V648" s="55" t="n">
        <x:v>10460</x:v>
      </x:c>
      <x:c r="W648" s="55" t="n">
        <x:v>8123</x:v>
      </x:c>
      <x:c r="X648" s="55" t="n">
        <x:v>2337</x:v>
      </x:c>
      <x:c r="Y648" s="55" t="n">
        <x:v>2199</x:v>
      </x:c>
      <x:c r="Z648" s="55" t="n">
        <x:v>3747</x:v>
      </x:c>
      <x:c r="AA648" s="55" t="n">
        <x:v>2057</x:v>
      </x:c>
      <x:c r="AB648" s="55" t="n">
        <x:v>328</x:v>
      </x:c>
      <x:c r="AC648" s="55" t="n">
        <x:v>7042</x:v>
      </x:c>
      <x:c r="AD648" s="55" t="n">
        <x:v>2857</x:v>
      </x:c>
      <x:c r="AE648" s="55" t="n">
        <x:v>10461</x:v>
      </x:c>
      <x:c r="AF648" s="55" t="n">
        <x:v>10460</x:v>
      </x:c>
      <x:c r="AG648" s="55" t="n">
        <x:v>1</x:v>
      </x:c>
      <x:c r="AH648" s="55" t="n">
        <x:v>248</x:v>
      </x:c>
      <x:c r="AI648" s="55" t="n">
        <x:v>10212</x:v>
      </x:c>
      <x:c r="AJ648" s="55" t="n">
        <x:v>223</x:v>
      </x:c>
      <x:c r="AK648" s="55" t="n">
        <x:v>1088</x:v>
      </x:c>
      <x:c r="AL648" s="55" t="n">
        <x:v>1381</x:v>
      </x:c>
      <x:c r="AM648" s="55" t="n">
        <x:v>5071</x:v>
      </x:c>
      <x:c r="AN648" s="55" t="n">
        <x:v>2697</x:v>
      </x:c>
      <x:c r="AO648" s="55" t="n">
        <x:v>0</x:v>
      </x:c>
      <x:c r="AP648" s="55" t="n">
        <x:v>2163</x:v>
      </x:c>
      <x:c r="AQ648" s="55" t="n">
        <x:v>972</x:v>
      </x:c>
    </x:row>
    <x:row r="649">
      <x:c r="A649" s="54" t="str">
        <x:v>T1_SHARED_CATCHMENT</x:v>
      </x:c>
      <x:c r="B649" s="54" t="n">
        <x:v>643</x:v>
      </x:c>
      <x:c r="C649" s="54" t="str">
        <x:v>NYC-V2-R01</x:v>
      </x:c>
      <x:c r="D649" s="54" t="str">
        <x:v>V2</x:v>
      </x:c>
      <x:c r="E649" s="54" t="str">
        <x:v>ADMITTED</x:v>
      </x:c>
      <x:c r="F649" s="55" t="n">
        <x:v>33238</x:v>
      </x:c>
      <x:c r="G649" s="55" t="n">
        <x:v>8349</x:v>
      </x:c>
      <x:c r="H649" s="55" t="n">
        <x:v>2986</x:v>
      </x:c>
      <x:c r="I649" s="55" t="n">
        <x:v>1211</x:v>
      </x:c>
      <x:c r="J649" s="55" t="n">
        <x:v>115</x:v>
      </x:c>
      <x:c r="K649" s="55" t="n">
        <x:v>33238</x:v>
      </x:c>
      <x:c r="L649" s="55" t="n">
        <x:v>7573</x:v>
      </x:c>
      <x:c r="M649" s="55" t="n">
        <x:v>2466</x:v>
      </x:c>
      <x:c r="N649" s="55" t="n">
        <x:v>3309</x:v>
      </x:c>
      <x:c r="O649" s="55" t="n">
        <x:v>1798</x:v>
      </x:c>
      <x:c r="P649" s="55" t="n">
        <x:v>540</x:v>
      </x:c>
      <x:c r="Q649" s="55" t="n">
        <x:v>1897</x:v>
      </x:c>
      <x:c r="R649" s="55" t="n">
        <x:v>1870</x:v>
      </x:c>
      <x:c r="S649" s="55" t="n">
        <x:v>2966</x:v>
      </x:c>
      <x:c r="T649" s="55" t="n">
        <x:v>1176</x:v>
      </x:c>
      <x:c r="U649" s="55" t="n">
        <x:v>2529</x:v>
      </x:c>
      <x:c r="V649" s="55" t="n">
        <x:v>10498</x:v>
      </x:c>
      <x:c r="W649" s="55" t="n">
        <x:v>7516</x:v>
      </x:c>
      <x:c r="X649" s="55" t="n">
        <x:v>2982</x:v>
      </x:c>
      <x:c r="Y649" s="55" t="n">
        <x:v>2642</x:v>
      </x:c>
      <x:c r="Z649" s="55" t="n">
        <x:v>3667</x:v>
      </x:c>
      <x:c r="AA649" s="55" t="n">
        <x:v>2760</x:v>
      </x:c>
      <x:c r="AB649" s="55" t="n">
        <x:v>742</x:v>
      </x:c>
      <x:c r="AC649" s="55" t="n">
        <x:v>7438</x:v>
      </x:c>
      <x:c r="AD649" s="55" t="n">
        <x:v>3079</x:v>
      </x:c>
      <x:c r="AE649" s="55" t="n">
        <x:v>10549</x:v>
      </x:c>
      <x:c r="AF649" s="55" t="n">
        <x:v>10498</x:v>
      </x:c>
      <x:c r="AG649" s="55" t="n">
        <x:v>51</x:v>
      </x:c>
      <x:c r="AH649" s="55" t="n">
        <x:v>248</x:v>
      </x:c>
      <x:c r="AI649" s="55" t="n">
        <x:v>10250</x:v>
      </x:c>
      <x:c r="AJ649" s="55" t="n">
        <x:v>257</x:v>
      </x:c>
      <x:c r="AK649" s="55" t="n">
        <x:v>867</x:v>
      </x:c>
      <x:c r="AL649" s="55" t="n">
        <x:v>1899</x:v>
      </x:c>
      <x:c r="AM649" s="55" t="n">
        <x:v>4923</x:v>
      </x:c>
      <x:c r="AN649" s="55" t="n">
        <x:v>2537</x:v>
      </x:c>
      <x:c r="AO649" s="55" t="n">
        <x:v>15</x:v>
      </x:c>
      <x:c r="AP649" s="55" t="n">
        <x:v>2593</x:v>
      </x:c>
      <x:c r="AQ649" s="55" t="n">
        <x:v>974</x:v>
      </x:c>
    </x:row>
    <x:row r="650">
      <x:c r="A650" s="54" t="str">
        <x:v>T1_SHARED_CATCHMENT</x:v>
      </x:c>
      <x:c r="B650" s="54" t="n">
        <x:v>644</x:v>
      </x:c>
      <x:c r="C650" s="54" t="str">
        <x:v>NYC-V2-R01</x:v>
      </x:c>
      <x:c r="D650" s="54" t="str">
        <x:v>V2</x:v>
      </x:c>
      <x:c r="E650" s="54" t="str">
        <x:v>ADMITTED</x:v>
      </x:c>
      <x:c r="F650" s="55" t="n">
        <x:v>30486</x:v>
      </x:c>
      <x:c r="G650" s="55" t="n">
        <x:v>7397</x:v>
      </x:c>
      <x:c r="H650" s="55" t="n">
        <x:v>3486</x:v>
      </x:c>
      <x:c r="I650" s="55" t="n">
        <x:v>1046</x:v>
      </x:c>
      <x:c r="J650" s="55" t="n">
        <x:v>228</x:v>
      </x:c>
      <x:c r="K650" s="55" t="n">
        <x:v>29046</x:v>
      </x:c>
      <x:c r="L650" s="55" t="n">
        <x:v>5180</x:v>
      </x:c>
      <x:c r="M650" s="55" t="n">
        <x:v>1152</x:v>
      </x:c>
      <x:c r="N650" s="55" t="n">
        <x:v>2116</x:v>
      </x:c>
      <x:c r="O650" s="55" t="n">
        <x:v>1912</x:v>
      </x:c>
      <x:c r="P650" s="55" t="n">
        <x:v>988</x:v>
      </x:c>
      <x:c r="Q650" s="55" t="n">
        <x:v>2145</x:v>
      </x:c>
      <x:c r="R650" s="55" t="n">
        <x:v>2017</x:v>
      </x:c>
      <x:c r="S650" s="55" t="n">
        <x:v>2395</x:v>
      </x:c>
      <x:c r="T650" s="55" t="n">
        <x:v>858</x:v>
      </x:c>
      <x:c r="U650" s="55" t="n">
        <x:v>1709</x:v>
      </x:c>
      <x:c r="V650" s="55" t="n">
        <x:v>10882</x:v>
      </x:c>
      <x:c r="W650" s="55" t="n">
        <x:v>7713</x:v>
      </x:c>
      <x:c r="X650" s="55" t="n">
        <x:v>3169</x:v>
      </x:c>
      <x:c r="Y650" s="55" t="n">
        <x:v>2914</x:v>
      </x:c>
      <x:c r="Z650" s="55" t="n">
        <x:v>3775</x:v>
      </x:c>
      <x:c r="AA650" s="55" t="n">
        <x:v>3486</x:v>
      </x:c>
      <x:c r="AB650" s="55" t="n">
        <x:v>1193</x:v>
      </x:c>
      <x:c r="AC650" s="55" t="n">
        <x:v>7664</x:v>
      </x:c>
      <x:c r="AD650" s="55" t="n">
        <x:v>3092</x:v>
      </x:c>
      <x:c r="AE650" s="55" t="n">
        <x:v>10882</x:v>
      </x:c>
      <x:c r="AF650" s="55" t="n">
        <x:v>10882</x:v>
      </x:c>
      <x:c r="AG650" s="55" t="n">
        <x:v>0</x:v>
      </x:c>
      <x:c r="AH650" s="55" t="n">
        <x:v>471</x:v>
      </x:c>
      <x:c r="AI650" s="55" t="n">
        <x:v>10411</x:v>
      </x:c>
      <x:c r="AJ650" s="55" t="n">
        <x:v>168</x:v>
      </x:c>
      <x:c r="AK650" s="55" t="n">
        <x:v>958</x:v>
      </x:c>
      <x:c r="AL650" s="55" t="n">
        <x:v>1771</x:v>
      </x:c>
      <x:c r="AM650" s="55" t="n">
        <x:v>5529</x:v>
      </x:c>
      <x:c r="AN650" s="55" t="n">
        <x:v>2393</x:v>
      </x:c>
      <x:c r="AO650" s="55" t="n">
        <x:v>63</x:v>
      </x:c>
      <x:c r="AP650" s="55" t="n">
        <x:v>2255</x:v>
      </x:c>
      <x:c r="AQ650" s="55" t="n">
        <x:v>901</x:v>
      </x:c>
    </x:row>
    <x:row r="651">
      <x:c r="A651" s="54" t="str">
        <x:v>T1_SHARED_CATCHMENT</x:v>
      </x:c>
      <x:c r="B651" s="54" t="n">
        <x:v>645</x:v>
      </x:c>
      <x:c r="C651" s="54" t="str">
        <x:v>NYC-V2-R01</x:v>
      </x:c>
      <x:c r="D651" s="54" t="str">
        <x:v>V2</x:v>
      </x:c>
      <x:c r="E651" s="54" t="str">
        <x:v>ADMITTED</x:v>
      </x:c>
      <x:c r="F651" s="55" t="n">
        <x:v>32938</x:v>
      </x:c>
      <x:c r="G651" s="55" t="n">
        <x:v>8960</x:v>
      </x:c>
      <x:c r="H651" s="55" t="n">
        <x:v>3283</x:v>
      </x:c>
      <x:c r="I651" s="55" t="n">
        <x:v>1109</x:v>
      </x:c>
      <x:c r="J651" s="55" t="n">
        <x:v>266</x:v>
      </x:c>
      <x:c r="K651" s="55" t="n">
        <x:v>32168</x:v>
      </x:c>
      <x:c r="L651" s="55" t="n">
        <x:v>6140</x:v>
      </x:c>
      <x:c r="M651" s="55" t="n">
        <x:v>1699</x:v>
      </x:c>
      <x:c r="N651" s="55" t="n">
        <x:v>2727</x:v>
      </x:c>
      <x:c r="O651" s="55" t="n">
        <x:v>1714</x:v>
      </x:c>
      <x:c r="P651" s="55" t="n">
        <x:v>989</x:v>
      </x:c>
      <x:c r="Q651" s="55" t="n">
        <x:v>2214</x:v>
      </x:c>
      <x:c r="R651" s="55" t="n">
        <x:v>2304</x:v>
      </x:c>
      <x:c r="S651" s="55" t="n">
        <x:v>3374</x:v>
      </x:c>
      <x:c r="T651" s="55" t="n">
        <x:v>1080</x:v>
      </x:c>
      <x:c r="U651" s="55" t="n">
        <x:v>1970</x:v>
      </x:c>
      <x:c r="V651" s="55" t="n">
        <x:v>10399</x:v>
      </x:c>
      <x:c r="W651" s="55" t="n">
        <x:v>7560</x:v>
      </x:c>
      <x:c r="X651" s="55" t="n">
        <x:v>2839</x:v>
      </x:c>
      <x:c r="Y651" s="55" t="n">
        <x:v>2589</x:v>
      </x:c>
      <x:c r="Z651" s="55" t="n">
        <x:v>3623</x:v>
      </x:c>
      <x:c r="AA651" s="55" t="n">
        <x:v>2982</x:v>
      </x:c>
      <x:c r="AB651" s="55" t="n">
        <x:v>1157</x:v>
      </x:c>
      <x:c r="AC651" s="55" t="n">
        <x:v>8255</x:v>
      </x:c>
      <x:c r="AD651" s="55" t="n">
        <x:v>2916</x:v>
      </x:c>
      <x:c r="AE651" s="55" t="n">
        <x:v>10470</x:v>
      </x:c>
      <x:c r="AF651" s="55" t="n">
        <x:v>10399</x:v>
      </x:c>
      <x:c r="AG651" s="55" t="n">
        <x:v>71</x:v>
      </x:c>
      <x:c r="AH651" s="55" t="n">
        <x:v>573</x:v>
      </x:c>
      <x:c r="AI651" s="55" t="n">
        <x:v>9826</x:v>
      </x:c>
      <x:c r="AJ651" s="55" t="n">
        <x:v>344</x:v>
      </x:c>
      <x:c r="AK651" s="55" t="n">
        <x:v>844</x:v>
      </x:c>
      <x:c r="AL651" s="55" t="n">
        <x:v>1383</x:v>
      </x:c>
      <x:c r="AM651" s="55" t="n">
        <x:v>5131</x:v>
      </x:c>
      <x:c r="AN651" s="55" t="n">
        <x:v>2697</x:v>
      </x:c>
      <x:c r="AO651" s="55" t="n">
        <x:v>0</x:v>
      </x:c>
      <x:c r="AP651" s="55" t="n">
        <x:v>2220</x:v>
      </x:c>
      <x:c r="AQ651" s="55" t="n">
        <x:v>992</x:v>
      </x:c>
    </x:row>
    <x:row r="652">
      <x:c r="A652" s="54" t="str">
        <x:v>T1_SHARED_CATCHMENT</x:v>
      </x:c>
      <x:c r="B652" s="54" t="n">
        <x:v>646</x:v>
      </x:c>
      <x:c r="C652" s="54" t="str">
        <x:v>NYC-V2-R01</x:v>
      </x:c>
      <x:c r="D652" s="54" t="str">
        <x:v>V2</x:v>
      </x:c>
      <x:c r="E652" s="54" t="str">
        <x:v>ADMITTED</x:v>
      </x:c>
      <x:c r="F652" s="55" t="n">
        <x:v>30715</x:v>
      </x:c>
      <x:c r="G652" s="55" t="n">
        <x:v>8415</x:v>
      </x:c>
      <x:c r="H652" s="55" t="n">
        <x:v>3369</x:v>
      </x:c>
      <x:c r="I652" s="55" t="n">
        <x:v>877</x:v>
      </x:c>
      <x:c r="J652" s="55" t="n">
        <x:v>156</x:v>
      </x:c>
      <x:c r="K652" s="55" t="n">
        <x:v>28408</x:v>
      </x:c>
      <x:c r="L652" s="55" t="n">
        <x:v>4333</x:v>
      </x:c>
      <x:c r="M652" s="55" t="n">
        <x:v>155</x:v>
      </x:c>
      <x:c r="N652" s="55" t="n">
        <x:v>2722</x:v>
      </x:c>
      <x:c r="O652" s="55" t="n">
        <x:v>1456</x:v>
      </x:c>
      <x:c r="P652" s="55" t="n">
        <x:v>1260</x:v>
      </x:c>
      <x:c r="Q652" s="55" t="n">
        <x:v>1660</x:v>
      </x:c>
      <x:c r="R652" s="55" t="n">
        <x:v>1091</x:v>
      </x:c>
      <x:c r="S652" s="55" t="n">
        <x:v>2659</x:v>
      </x:c>
      <x:c r="T652" s="55" t="n">
        <x:v>792</x:v>
      </x:c>
      <x:c r="U652" s="55" t="n">
        <x:v>2079</x:v>
      </x:c>
      <x:c r="V652" s="55" t="n">
        <x:v>10594</x:v>
      </x:c>
      <x:c r="W652" s="55" t="n">
        <x:v>7692</x:v>
      </x:c>
      <x:c r="X652" s="55" t="n">
        <x:v>2902</x:v>
      </x:c>
      <x:c r="Y652" s="55" t="n">
        <x:v>2606</x:v>
      </x:c>
      <x:c r="Z652" s="55" t="n">
        <x:v>2756</x:v>
      </x:c>
      <x:c r="AA652" s="55" t="n">
        <x:v>3369</x:v>
      </x:c>
      <x:c r="AB652" s="55" t="n">
        <x:v>1266</x:v>
      </x:c>
      <x:c r="AC652" s="55" t="n">
        <x:v>7876</x:v>
      </x:c>
      <x:c r="AD652" s="55" t="n">
        <x:v>2631</x:v>
      </x:c>
      <x:c r="AE652" s="55" t="n">
        <x:v>10657</x:v>
      </x:c>
      <x:c r="AF652" s="55" t="n">
        <x:v>10594</x:v>
      </x:c>
      <x:c r="AG652" s="55" t="n">
        <x:v>63</x:v>
      </x:c>
      <x:c r="AH652" s="55" t="n">
        <x:v>387</x:v>
      </x:c>
      <x:c r="AI652" s="55" t="n">
        <x:v>10207</x:v>
      </x:c>
      <x:c r="AJ652" s="55" t="n">
        <x:v>412</x:v>
      </x:c>
      <x:c r="AK652" s="55" t="n">
        <x:v>725</x:v>
      </x:c>
      <x:c r="AL652" s="55" t="n">
        <x:v>1737</x:v>
      </x:c>
      <x:c r="AM652" s="55" t="n">
        <x:v>4923</x:v>
      </x:c>
      <x:c r="AN652" s="55" t="n">
        <x:v>2797</x:v>
      </x:c>
      <x:c r="AO652" s="55" t="n">
        <x:v>0</x:v>
      </x:c>
      <x:c r="AP652" s="55" t="n">
        <x:v>2043</x:v>
      </x:c>
      <x:c r="AQ652" s="55" t="n">
        <x:v>1006</x:v>
      </x:c>
    </x:row>
    <x:row r="653">
      <x:c r="A653" s="54" t="str">
        <x:v>T1_SHARED_CATCHMENT</x:v>
      </x:c>
      <x:c r="B653" s="54" t="n">
        <x:v>647</x:v>
      </x:c>
      <x:c r="C653" s="54" t="str">
        <x:v>NYC-V2-R01</x:v>
      </x:c>
      <x:c r="D653" s="54" t="str">
        <x:v>V2</x:v>
      </x:c>
      <x:c r="E653" s="54" t="str">
        <x:v>ADMITTED</x:v>
      </x:c>
      <x:c r="F653" s="55" t="n">
        <x:v>30242</x:v>
      </x:c>
      <x:c r="G653" s="55" t="n">
        <x:v>7047</x:v>
      </x:c>
      <x:c r="H653" s="55" t="n">
        <x:v>3022</x:v>
      </x:c>
      <x:c r="I653" s="55" t="n">
        <x:v>844</x:v>
      </x:c>
      <x:c r="J653" s="55" t="n">
        <x:v>0</x:v>
      </x:c>
      <x:c r="K653" s="55" t="n">
        <x:v>30242</x:v>
      </x:c>
      <x:c r="L653" s="55" t="n">
        <x:v>5171</x:v>
      </x:c>
      <x:c r="M653" s="55" t="n">
        <x:v>652</x:v>
      </x:c>
      <x:c r="N653" s="55" t="n">
        <x:v>2897</x:v>
      </x:c>
      <x:c r="O653" s="55" t="n">
        <x:v>1622</x:v>
      </x:c>
      <x:c r="P653" s="55" t="n">
        <x:v>532</x:v>
      </x:c>
      <x:c r="Q653" s="55" t="n">
        <x:v>1916</x:v>
      </x:c>
      <x:c r="R653" s="55" t="n">
        <x:v>1760</x:v>
      </x:c>
      <x:c r="S653" s="55" t="n">
        <x:v>3297</x:v>
      </x:c>
      <x:c r="T653" s="55" t="n">
        <x:v>1017</x:v>
      </x:c>
      <x:c r="U653" s="55" t="n">
        <x:v>1975</x:v>
      </x:c>
      <x:c r="V653" s="55" t="n">
        <x:v>11036</x:v>
      </x:c>
      <x:c r="W653" s="55" t="n">
        <x:v>8631</x:v>
      </x:c>
      <x:c r="X653" s="55" t="n">
        <x:v>2405</x:v>
      </x:c>
      <x:c r="Y653" s="55" t="n">
        <x:v>1913</x:v>
      </x:c>
      <x:c r="Z653" s="55" t="n">
        <x:v>3713</x:v>
      </x:c>
      <x:c r="AA653" s="55" t="n">
        <x:v>2981</x:v>
      </x:c>
      <x:c r="AB653" s="55" t="n">
        <x:v>1084</x:v>
      </x:c>
      <x:c r="AC653" s="55" t="n">
        <x:v>8023</x:v>
      </x:c>
      <x:c r="AD653" s="55" t="n">
        <x:v>2456</x:v>
      </x:c>
      <x:c r="AE653" s="55" t="n">
        <x:v>11136</x:v>
      </x:c>
      <x:c r="AF653" s="55" t="n">
        <x:v>11036</x:v>
      </x:c>
      <x:c r="AG653" s="55" t="n">
        <x:v>100</x:v>
      </x:c>
      <x:c r="AH653" s="55" t="n">
        <x:v>334</x:v>
      </x:c>
      <x:c r="AI653" s="55" t="n">
        <x:v>10702</x:v>
      </x:c>
      <x:c r="AJ653" s="55" t="n">
        <x:v>237</x:v>
      </x:c>
      <x:c r="AK653" s="55" t="n">
        <x:v>985</x:v>
      </x:c>
      <x:c r="AL653" s="55" t="n">
        <x:v>1805</x:v>
      </x:c>
      <x:c r="AM653" s="55" t="n">
        <x:v>5215</x:v>
      </x:c>
      <x:c r="AN653" s="55" t="n">
        <x:v>2719</x:v>
      </x:c>
      <x:c r="AO653" s="55" t="n">
        <x:v>75</x:v>
      </x:c>
      <x:c r="AP653" s="55" t="n">
        <x:v>2307</x:v>
      </x:c>
      <x:c r="AQ653" s="55" t="n">
        <x:v>952</x:v>
      </x:c>
    </x:row>
    <x:row r="654">
      <x:c r="A654" s="54" t="str">
        <x:v>T1_SHARED_CATCHMENT</x:v>
      </x:c>
      <x:c r="B654" s="54" t="n">
        <x:v>648</x:v>
      </x:c>
      <x:c r="C654" s="54" t="str">
        <x:v>NYC-V2-R01</x:v>
      </x:c>
      <x:c r="D654" s="54" t="str">
        <x:v>V2</x:v>
      </x:c>
      <x:c r="E654" s="54" t="str">
        <x:v>ADMITTED</x:v>
      </x:c>
      <x:c r="F654" s="55" t="n">
        <x:v>31128</x:v>
      </x:c>
      <x:c r="G654" s="55" t="n">
        <x:v>6296</x:v>
      </x:c>
      <x:c r="H654" s="55" t="n">
        <x:v>3131</x:v>
      </x:c>
      <x:c r="I654" s="55" t="n">
        <x:v>1476</x:v>
      </x:c>
      <x:c r="J654" s="55" t="n">
        <x:v>146</x:v>
      </x:c>
      <x:c r="K654" s="55" t="n">
        <x:v>31128</x:v>
      </x:c>
      <x:c r="L654" s="55" t="n">
        <x:v>5855</x:v>
      </x:c>
      <x:c r="M654" s="55" t="n">
        <x:v>895</x:v>
      </x:c>
      <x:c r="N654" s="55" t="n">
        <x:v>2659</x:v>
      </x:c>
      <x:c r="O654" s="55" t="n">
        <x:v>2301</x:v>
      </x:c>
      <x:c r="P654" s="55" t="n">
        <x:v>631</x:v>
      </x:c>
      <x:c r="Q654" s="55" t="n">
        <x:v>2433</x:v>
      </x:c>
      <x:c r="R654" s="55" t="n">
        <x:v>1751</x:v>
      </x:c>
      <x:c r="S654" s="55" t="n">
        <x:v>2254</x:v>
      </x:c>
      <x:c r="T654" s="55" t="n">
        <x:v>1076</x:v>
      </x:c>
      <x:c r="U654" s="55" t="n">
        <x:v>2312</x:v>
      </x:c>
      <x:c r="V654" s="55" t="n">
        <x:v>10625</x:v>
      </x:c>
      <x:c r="W654" s="55" t="n">
        <x:v>7886</x:v>
      </x:c>
      <x:c r="X654" s="55" t="n">
        <x:v>2739</x:v>
      </x:c>
      <x:c r="Y654" s="55" t="n">
        <x:v>2424</x:v>
      </x:c>
      <x:c r="Z654" s="55" t="n">
        <x:v>3407</x:v>
      </x:c>
      <x:c r="AA654" s="55" t="n">
        <x:v>3131</x:v>
      </x:c>
      <x:c r="AB654" s="55" t="n">
        <x:v>1005</x:v>
      </x:c>
      <x:c r="AC654" s="55" t="n">
        <x:v>7905</x:v>
      </x:c>
      <x:c r="AD654" s="55" t="n">
        <x:v>2530</x:v>
      </x:c>
      <x:c r="AE654" s="55" t="n">
        <x:v>10674</x:v>
      </x:c>
      <x:c r="AF654" s="55" t="n">
        <x:v>10625</x:v>
      </x:c>
      <x:c r="AG654" s="55" t="n">
        <x:v>49</x:v>
      </x:c>
      <x:c r="AH654" s="55" t="n">
        <x:v>380</x:v>
      </x:c>
      <x:c r="AI654" s="55" t="n">
        <x:v>10245</x:v>
      </x:c>
      <x:c r="AJ654" s="55" t="n">
        <x:v>398</x:v>
      </x:c>
      <x:c r="AK654" s="55" t="n">
        <x:v>1086</x:v>
      </x:c>
      <x:c r="AL654" s="55" t="n">
        <x:v>1143</x:v>
      </x:c>
      <x:c r="AM654" s="55" t="n">
        <x:v>5169</x:v>
      </x:c>
      <x:c r="AN654" s="55" t="n">
        <x:v>2829</x:v>
      </x:c>
      <x:c r="AO654" s="55" t="n">
        <x:v>0</x:v>
      </x:c>
      <x:c r="AP654" s="55" t="n">
        <x:v>2627</x:v>
      </x:c>
      <x:c r="AQ654" s="55" t="n">
        <x:v>926</x:v>
      </x:c>
    </x:row>
    <x:row r="655">
      <x:c r="A655" s="54" t="str">
        <x:v>T1_SHARED_CATCHMENT</x:v>
      </x:c>
      <x:c r="B655" s="54" t="n">
        <x:v>649</x:v>
      </x:c>
      <x:c r="C655" s="54" t="str">
        <x:v>NYC-V2-R01</x:v>
      </x:c>
      <x:c r="D655" s="54" t="str">
        <x:v>V2</x:v>
      </x:c>
      <x:c r="E655" s="54" t="str">
        <x:v>ADMITTED</x:v>
      </x:c>
      <x:c r="F655" s="55" t="n">
        <x:v>32023</x:v>
      </x:c>
      <x:c r="G655" s="55" t="n">
        <x:v>7204</x:v>
      </x:c>
      <x:c r="H655" s="55" t="n">
        <x:v>3083</x:v>
      </x:c>
      <x:c r="I655" s="55" t="n">
        <x:v>1305</x:v>
      </x:c>
      <x:c r="J655" s="55" t="n">
        <x:v>293</x:v>
      </x:c>
      <x:c r="K655" s="55" t="n">
        <x:v>28506</x:v>
      </x:c>
      <x:c r="L655" s="55" t="n">
        <x:v>4531</x:v>
      </x:c>
      <x:c r="M655" s="55" t="n">
        <x:v>0</x:v>
      </x:c>
      <x:c r="N655" s="55" t="n">
        <x:v>2642</x:v>
      </x:c>
      <x:c r="O655" s="55" t="n">
        <x:v>1889</x:v>
      </x:c>
      <x:c r="P655" s="55" t="n">
        <x:v>487</x:v>
      </x:c>
      <x:c r="Q655" s="55" t="n">
        <x:v>2179</x:v>
      </x:c>
      <x:c r="R655" s="55" t="n">
        <x:v>2234</x:v>
      </x:c>
      <x:c r="S655" s="55" t="n">
        <x:v>3031</x:v>
      </x:c>
      <x:c r="T655" s="55" t="n">
        <x:v>1042</x:v>
      </x:c>
      <x:c r="U655" s="55" t="n">
        <x:v>2268</x:v>
      </x:c>
      <x:c r="V655" s="55" t="n">
        <x:v>10325</x:v>
      </x:c>
      <x:c r="W655" s="55" t="n">
        <x:v>6873</x:v>
      </x:c>
      <x:c r="X655" s="55" t="n">
        <x:v>3452</x:v>
      </x:c>
      <x:c r="Y655" s="55" t="n">
        <x:v>2905</x:v>
      </x:c>
      <x:c r="Z655" s="55" t="n">
        <x:v>3595</x:v>
      </x:c>
      <x:c r="AA655" s="55" t="n">
        <x:v>2257</x:v>
      </x:c>
      <x:c r="AB655" s="55" t="n">
        <x:v>496</x:v>
      </x:c>
      <x:c r="AC655" s="55" t="n">
        <x:v>8144</x:v>
      </x:c>
      <x:c r="AD655" s="55" t="n">
        <x:v>2804</x:v>
      </x:c>
      <x:c r="AE655" s="55" t="n">
        <x:v>10398</x:v>
      </x:c>
      <x:c r="AF655" s="55" t="n">
        <x:v>10325</x:v>
      </x:c>
      <x:c r="AG655" s="55" t="n">
        <x:v>73</x:v>
      </x:c>
      <x:c r="AH655" s="55" t="n">
        <x:v>381</x:v>
      </x:c>
      <x:c r="AI655" s="55" t="n">
        <x:v>9944</x:v>
      </x:c>
      <x:c r="AJ655" s="55" t="n">
        <x:v>437</x:v>
      </x:c>
      <x:c r="AK655" s="55" t="n">
        <x:v>913</x:v>
      </x:c>
      <x:c r="AL655" s="55" t="n">
        <x:v>1109</x:v>
      </x:c>
      <x:c r="AM655" s="55" t="n">
        <x:v>4848</x:v>
      </x:c>
      <x:c r="AN655" s="55" t="n">
        <x:v>2909</x:v>
      </x:c>
      <x:c r="AO655" s="55" t="n">
        <x:v>109</x:v>
      </x:c>
      <x:c r="AP655" s="55" t="n">
        <x:v>1920</x:v>
      </x:c>
      <x:c r="AQ655" s="55" t="n">
        <x:v>911</x:v>
      </x:c>
    </x:row>
    <x:row r="656">
      <x:c r="A656" s="54" t="str">
        <x:v>T1_SHARED_CATCHMENT</x:v>
      </x:c>
      <x:c r="B656" s="54" t="n">
        <x:v>650</x:v>
      </x:c>
      <x:c r="C656" s="54" t="str">
        <x:v>NYC-V2-R01</x:v>
      </x:c>
      <x:c r="D656" s="54" t="str">
        <x:v>V2</x:v>
      </x:c>
      <x:c r="E656" s="54" t="str">
        <x:v>ADMITTED</x:v>
      </x:c>
      <x:c r="F656" s="55" t="n">
        <x:v>30110</x:v>
      </x:c>
      <x:c r="G656" s="55" t="n">
        <x:v>6330</x:v>
      </x:c>
      <x:c r="H656" s="55" t="n">
        <x:v>3569</x:v>
      </x:c>
      <x:c r="I656" s="55" t="n">
        <x:v>1622</x:v>
      </x:c>
      <x:c r="J656" s="55" t="n">
        <x:v>197</x:v>
      </x:c>
      <x:c r="K656" s="55" t="n">
        <x:v>30110</x:v>
      </x:c>
      <x:c r="L656" s="55" t="n">
        <x:v>6024</x:v>
      </x:c>
      <x:c r="M656" s="55" t="n">
        <x:v>1190</x:v>
      </x:c>
      <x:c r="N656" s="55" t="n">
        <x:v>3208</x:v>
      </x:c>
      <x:c r="O656" s="55" t="n">
        <x:v>1626</x:v>
      </x:c>
      <x:c r="P656" s="55" t="n">
        <x:v>810</x:v>
      </x:c>
      <x:c r="Q656" s="55" t="n">
        <x:v>1950</x:v>
      </x:c>
      <x:c r="R656" s="55" t="n">
        <x:v>1936</x:v>
      </x:c>
      <x:c r="S656" s="55" t="n">
        <x:v>2231</x:v>
      </x:c>
      <x:c r="T656" s="55" t="n">
        <x:v>1311</x:v>
      </x:c>
      <x:c r="U656" s="55" t="n">
        <x:v>1745</x:v>
      </x:c>
      <x:c r="V656" s="55" t="n">
        <x:v>10240</x:v>
      </x:c>
      <x:c r="W656" s="55" t="n">
        <x:v>6983</x:v>
      </x:c>
      <x:c r="X656" s="55" t="n">
        <x:v>3257</x:v>
      </x:c>
      <x:c r="Y656" s="55" t="n">
        <x:v>2878</x:v>
      </x:c>
      <x:c r="Z656" s="55" t="n">
        <x:v>3915</x:v>
      </x:c>
      <x:c r="AA656" s="55" t="n">
        <x:v>3053</x:v>
      </x:c>
      <x:c r="AB656" s="55" t="n">
        <x:v>996</x:v>
      </x:c>
      <x:c r="AC656" s="55" t="n">
        <x:v>7691</x:v>
      </x:c>
      <x:c r="AD656" s="55" t="n">
        <x:v>3450</x:v>
      </x:c>
      <x:c r="AE656" s="55" t="n">
        <x:v>10313</x:v>
      </x:c>
      <x:c r="AF656" s="55" t="n">
        <x:v>10240</x:v>
      </x:c>
      <x:c r="AG656" s="55" t="n">
        <x:v>73</x:v>
      </x:c>
      <x:c r="AH656" s="55" t="n">
        <x:v>544</x:v>
      </x:c>
      <x:c r="AI656" s="55" t="n">
        <x:v>9696</x:v>
      </x:c>
      <x:c r="AJ656" s="55" t="n">
        <x:v>78</x:v>
      </x:c>
      <x:c r="AK656" s="55" t="n">
        <x:v>1035</x:v>
      </x:c>
      <x:c r="AL656" s="55" t="n">
        <x:v>1331</x:v>
      </x:c>
      <x:c r="AM656" s="55" t="n">
        <x:v>5013</x:v>
      </x:c>
      <x:c r="AN656" s="55" t="n">
        <x:v>2769</x:v>
      </x:c>
      <x:c r="AO656" s="55" t="n">
        <x:v>14</x:v>
      </x:c>
      <x:c r="AP656" s="55" t="n">
        <x:v>2389</x:v>
      </x:c>
      <x:c r="AQ656" s="55" t="n">
        <x:v>960</x:v>
      </x:c>
    </x:row>
    <x:row r="657">
      <x:c r="A657" s="54" t="str">
        <x:v>T1_SHARED_CATCHMENT</x:v>
      </x:c>
      <x:c r="B657" s="54" t="n">
        <x:v>651</x:v>
      </x:c>
      <x:c r="C657" s="54" t="str">
        <x:v>NYC-V2-R01</x:v>
      </x:c>
      <x:c r="D657" s="54" t="str">
        <x:v>V2</x:v>
      </x:c>
      <x:c r="E657" s="54" t="str">
        <x:v>ADMITTED</x:v>
      </x:c>
      <x:c r="F657" s="55" t="n">
        <x:v>31866</x:v>
      </x:c>
      <x:c r="G657" s="55" t="n">
        <x:v>7646</x:v>
      </x:c>
      <x:c r="H657" s="55" t="n">
        <x:v>3188</x:v>
      </x:c>
      <x:c r="I657" s="55" t="n">
        <x:v>1085</x:v>
      </x:c>
      <x:c r="J657" s="55" t="n">
        <x:v>98</x:v>
      </x:c>
      <x:c r="K657" s="55" t="n">
        <x:v>28802</x:v>
      </x:c>
      <x:c r="L657" s="55" t="n">
        <x:v>5769</x:v>
      </x:c>
      <x:c r="M657" s="55" t="n">
        <x:v>1552</x:v>
      </x:c>
      <x:c r="N657" s="55" t="n">
        <x:v>2881</x:v>
      </x:c>
      <x:c r="O657" s="55" t="n">
        <x:v>1336</x:v>
      </x:c>
      <x:c r="P657" s="55" t="n">
        <x:v>818</x:v>
      </x:c>
      <x:c r="Q657" s="55" t="n">
        <x:v>2045</x:v>
      </x:c>
      <x:c r="R657" s="55" t="n">
        <x:v>1944</x:v>
      </x:c>
      <x:c r="S657" s="55" t="n">
        <x:v>3549</x:v>
      </x:c>
      <x:c r="T657" s="55" t="n">
        <x:v>1144</x:v>
      </x:c>
      <x:c r="U657" s="55" t="n">
        <x:v>1429</x:v>
      </x:c>
      <x:c r="V657" s="55" t="n">
        <x:v>10760</x:v>
      </x:c>
      <x:c r="W657" s="55" t="n">
        <x:v>8021</x:v>
      </x:c>
      <x:c r="X657" s="55" t="n">
        <x:v>2739</x:v>
      </x:c>
      <x:c r="Y657" s="55" t="n">
        <x:v>2372</x:v>
      </x:c>
      <x:c r="Z657" s="55" t="n">
        <x:v>4120</x:v>
      </x:c>
      <x:c r="AA657" s="55" t="n">
        <x:v>3188</x:v>
      </x:c>
      <x:c r="AB657" s="55" t="n">
        <x:v>1292</x:v>
      </x:c>
      <x:c r="AC657" s="55" t="n">
        <x:v>8300</x:v>
      </x:c>
      <x:c r="AD657" s="55" t="n">
        <x:v>2702</x:v>
      </x:c>
      <x:c r="AE657" s="55" t="n">
        <x:v>10833</x:v>
      </x:c>
      <x:c r="AF657" s="55" t="n">
        <x:v>10760</x:v>
      </x:c>
      <x:c r="AG657" s="55" t="n">
        <x:v>73</x:v>
      </x:c>
      <x:c r="AH657" s="55" t="n">
        <x:v>283</x:v>
      </x:c>
      <x:c r="AI657" s="55" t="n">
        <x:v>10477</x:v>
      </x:c>
      <x:c r="AJ657" s="55" t="n">
        <x:v>439</x:v>
      </x:c>
      <x:c r="AK657" s="55" t="n">
        <x:v>653</x:v>
      </x:c>
      <x:c r="AL657" s="55" t="n">
        <x:v>1786</x:v>
      </x:c>
      <x:c r="AM657" s="55" t="n">
        <x:v>4813</x:v>
      </x:c>
      <x:c r="AN657" s="55" t="n">
        <x:v>3025</x:v>
      </x:c>
      <x:c r="AO657" s="55" t="n">
        <x:v>44</x:v>
      </x:c>
      <x:c r="AP657" s="55" t="n">
        <x:v>1976</x:v>
      </x:c>
      <x:c r="AQ657" s="55" t="n">
        <x:v>976</x:v>
      </x:c>
    </x:row>
    <x:row r="658">
      <x:c r="A658" s="54" t="str">
        <x:v>T1_SHARED_CATCHMENT</x:v>
      </x:c>
      <x:c r="B658" s="54" t="n">
        <x:v>652</x:v>
      </x:c>
      <x:c r="C658" s="54" t="str">
        <x:v>NYC-V2-R01</x:v>
      </x:c>
      <x:c r="D658" s="54" t="str">
        <x:v>V2</x:v>
      </x:c>
      <x:c r="E658" s="54" t="str">
        <x:v>ADMITTED</x:v>
      </x:c>
      <x:c r="F658" s="55" t="n">
        <x:v>31209</x:v>
      </x:c>
      <x:c r="G658" s="55" t="n">
        <x:v>7499</x:v>
      </x:c>
      <x:c r="H658" s="55" t="n">
        <x:v>3616</x:v>
      </x:c>
      <x:c r="I658" s="55" t="n">
        <x:v>1614</x:v>
      </x:c>
      <x:c r="J658" s="55" t="n">
        <x:v>273</x:v>
      </x:c>
      <x:c r="K658" s="55" t="n">
        <x:v>30010</x:v>
      </x:c>
      <x:c r="L658" s="55" t="n">
        <x:v>5348</x:v>
      </x:c>
      <x:c r="M658" s="55" t="n">
        <x:v>1291</x:v>
      </x:c>
      <x:c r="N658" s="55" t="n">
        <x:v>2341</x:v>
      </x:c>
      <x:c r="O658" s="55" t="n">
        <x:v>1716</x:v>
      </x:c>
      <x:c r="P658" s="55" t="n">
        <x:v>757</x:v>
      </x:c>
      <x:c r="Q658" s="55" t="n">
        <x:v>2075</x:v>
      </x:c>
      <x:c r="R658" s="55" t="n">
        <x:v>1975</x:v>
      </x:c>
      <x:c r="S658" s="55" t="n">
        <x:v>2522</x:v>
      </x:c>
      <x:c r="T658" s="55" t="n">
        <x:v>790</x:v>
      </x:c>
      <x:c r="U658" s="55" t="n">
        <x:v>1772</x:v>
      </x:c>
      <x:c r="V658" s="55" t="n">
        <x:v>10131</x:v>
      </x:c>
      <x:c r="W658" s="55" t="n">
        <x:v>7188</x:v>
      </x:c>
      <x:c r="X658" s="55" t="n">
        <x:v>2943</x:v>
      </x:c>
      <x:c r="Y658" s="55" t="n">
        <x:v>2490</x:v>
      </x:c>
      <x:c r="Z658" s="55" t="n">
        <x:v>3791</x:v>
      </x:c>
      <x:c r="AA658" s="55" t="n">
        <x:v>3144</x:v>
      </x:c>
      <x:c r="AB658" s="55" t="n">
        <x:v>1080</x:v>
      </x:c>
      <x:c r="AC658" s="55" t="n">
        <x:v>8194</x:v>
      </x:c>
      <x:c r="AD658" s="55" t="n">
        <x:v>1969</x:v>
      </x:c>
      <x:c r="AE658" s="55" t="n">
        <x:v>10195</x:v>
      </x:c>
      <x:c r="AF658" s="55" t="n">
        <x:v>10131</x:v>
      </x:c>
      <x:c r="AG658" s="55" t="n">
        <x:v>64</x:v>
      </x:c>
      <x:c r="AH658" s="55" t="n">
        <x:v>504</x:v>
      </x:c>
      <x:c r="AI658" s="55" t="n">
        <x:v>9627</x:v>
      </x:c>
      <x:c r="AJ658" s="55" t="n">
        <x:v>270</x:v>
      </x:c>
      <x:c r="AK658" s="55" t="n">
        <x:v>1379</x:v>
      </x:c>
      <x:c r="AL658" s="55" t="n">
        <x:v>1290</x:v>
      </x:c>
      <x:c r="AM658" s="55" t="n">
        <x:v>4345</x:v>
      </x:c>
      <x:c r="AN658" s="55" t="n">
        <x:v>2847</x:v>
      </x:c>
      <x:c r="AO658" s="55" t="n">
        <x:v>0</x:v>
      </x:c>
      <x:c r="AP658" s="55" t="n">
        <x:v>2398</x:v>
      </x:c>
      <x:c r="AQ658" s="55" t="n">
        <x:v>885</x:v>
      </x:c>
    </x:row>
    <x:row r="659">
      <x:c r="A659" s="54" t="str">
        <x:v>T1_SHARED_CATCHMENT</x:v>
      </x:c>
      <x:c r="B659" s="54" t="n">
        <x:v>653</x:v>
      </x:c>
      <x:c r="C659" s="54" t="str">
        <x:v>NYC-V2-R01</x:v>
      </x:c>
      <x:c r="D659" s="54" t="str">
        <x:v>V2</x:v>
      </x:c>
      <x:c r="E659" s="54" t="str">
        <x:v>ADMITTED</x:v>
      </x:c>
      <x:c r="F659" s="55" t="n">
        <x:v>32673</x:v>
      </x:c>
      <x:c r="G659" s="55" t="n">
        <x:v>7746</x:v>
      </x:c>
      <x:c r="H659" s="55" t="n">
        <x:v>3965</x:v>
      </x:c>
      <x:c r="I659" s="55" t="n">
        <x:v>1489</x:v>
      </x:c>
      <x:c r="J659" s="55" t="n">
        <x:v>196</x:v>
      </x:c>
      <x:c r="K659" s="55" t="n">
        <x:v>28924</x:v>
      </x:c>
      <x:c r="L659" s="55" t="n">
        <x:v>5180</x:v>
      </x:c>
      <x:c r="M659" s="55" t="n">
        <x:v>727</x:v>
      </x:c>
      <x:c r="N659" s="55" t="n">
        <x:v>2968</x:v>
      </x:c>
      <x:c r="O659" s="55" t="n">
        <x:v>1485</x:v>
      </x:c>
      <x:c r="P659" s="55" t="n">
        <x:v>1088</x:v>
      </x:c>
      <x:c r="Q659" s="55" t="n">
        <x:v>2633</x:v>
      </x:c>
      <x:c r="R659" s="55" t="n">
        <x:v>1365</x:v>
      </x:c>
      <x:c r="S659" s="55" t="n">
        <x:v>2362</x:v>
      </x:c>
      <x:c r="T659" s="55" t="n">
        <x:v>1017</x:v>
      </x:c>
      <x:c r="U659" s="55" t="n">
        <x:v>2038</x:v>
      </x:c>
      <x:c r="V659" s="55" t="n">
        <x:v>10674</x:v>
      </x:c>
      <x:c r="W659" s="55" t="n">
        <x:v>7968</x:v>
      </x:c>
      <x:c r="X659" s="55" t="n">
        <x:v>2706</x:v>
      </x:c>
      <x:c r="Y659" s="55" t="n">
        <x:v>2552</x:v>
      </x:c>
      <x:c r="Z659" s="55" t="n">
        <x:v>3630</x:v>
      </x:c>
      <x:c r="AA659" s="55" t="n">
        <x:v>3394</x:v>
      </x:c>
      <x:c r="AB659" s="55" t="n">
        <x:v>1250</x:v>
      </x:c>
      <x:c r="AC659" s="55" t="n">
        <x:v>7747</x:v>
      </x:c>
      <x:c r="AD659" s="55" t="n">
        <x:v>2873</x:v>
      </x:c>
      <x:c r="AE659" s="55" t="n">
        <x:v>10761</x:v>
      </x:c>
      <x:c r="AF659" s="55" t="n">
        <x:v>10674</x:v>
      </x:c>
      <x:c r="AG659" s="55" t="n">
        <x:v>87</x:v>
      </x:c>
      <x:c r="AH659" s="55" t="n">
        <x:v>590</x:v>
      </x:c>
      <x:c r="AI659" s="55" t="n">
        <x:v>10084</x:v>
      </x:c>
      <x:c r="AJ659" s="55" t="n">
        <x:v>225</x:v>
      </x:c>
      <x:c r="AK659" s="55" t="n">
        <x:v>1131</x:v>
      </x:c>
      <x:c r="AL659" s="55" t="n">
        <x:v>1461</x:v>
      </x:c>
      <x:c r="AM659" s="55" t="n">
        <x:v>4720</x:v>
      </x:c>
      <x:c r="AN659" s="55" t="n">
        <x:v>3137</x:v>
      </x:c>
      <x:c r="AO659" s="55" t="n">
        <x:v>0</x:v>
      </x:c>
      <x:c r="AP659" s="55" t="n">
        <x:v>2853</x:v>
      </x:c>
      <x:c r="AQ659" s="55" t="n">
        <x:v>936</x:v>
      </x:c>
    </x:row>
    <x:row r="660">
      <x:c r="A660" s="54" t="str">
        <x:v>T1_SHARED_CATCHMENT</x:v>
      </x:c>
      <x:c r="B660" s="54" t="n">
        <x:v>654</x:v>
      </x:c>
      <x:c r="C660" s="54" t="str">
        <x:v>NYC-V2-R01</x:v>
      </x:c>
      <x:c r="D660" s="54" t="str">
        <x:v>V2</x:v>
      </x:c>
      <x:c r="E660" s="54" t="str">
        <x:v>ADMITTED</x:v>
      </x:c>
      <x:c r="F660" s="55" t="n">
        <x:v>34368</x:v>
      </x:c>
      <x:c r="G660" s="55" t="n">
        <x:v>8013</x:v>
      </x:c>
      <x:c r="H660" s="55" t="n">
        <x:v>3758</x:v>
      </x:c>
      <x:c r="I660" s="55" t="n">
        <x:v>1647</x:v>
      </x:c>
      <x:c r="J660" s="55" t="n">
        <x:v>246</x:v>
      </x:c>
      <x:c r="K660" s="55" t="n">
        <x:v>34368</x:v>
      </x:c>
      <x:c r="L660" s="55" t="n">
        <x:v>6764</x:v>
      </x:c>
      <x:c r="M660" s="55" t="n">
        <x:v>1371</x:v>
      </x:c>
      <x:c r="N660" s="55" t="n">
        <x:v>3225</x:v>
      </x:c>
      <x:c r="O660" s="55" t="n">
        <x:v>2168</x:v>
      </x:c>
      <x:c r="P660" s="55" t="n">
        <x:v>694</x:v>
      </x:c>
      <x:c r="Q660" s="55" t="n">
        <x:v>2526</x:v>
      </x:c>
      <x:c r="R660" s="55" t="n">
        <x:v>1596</x:v>
      </x:c>
      <x:c r="S660" s="55" t="n">
        <x:v>2818</x:v>
      </x:c>
      <x:c r="T660" s="55" t="n">
        <x:v>1015</x:v>
      </x:c>
      <x:c r="U660" s="55" t="n">
        <x:v>2460</x:v>
      </x:c>
      <x:c r="V660" s="55" t="n">
        <x:v>10371</x:v>
      </x:c>
      <x:c r="W660" s="55" t="n">
        <x:v>7294</x:v>
      </x:c>
      <x:c r="X660" s="55" t="n">
        <x:v>3077</x:v>
      </x:c>
      <x:c r="Y660" s="55" t="n">
        <x:v>2627</x:v>
      </x:c>
      <x:c r="Z660" s="55" t="n">
        <x:v>3730</x:v>
      </x:c>
      <x:c r="AA660" s="55" t="n">
        <x:v>3504</x:v>
      </x:c>
      <x:c r="AB660" s="55" t="n">
        <x:v>1347</x:v>
      </x:c>
      <x:c r="AC660" s="55" t="n">
        <x:v>8510</x:v>
      </x:c>
      <x:c r="AD660" s="55" t="n">
        <x:v>3795</x:v>
      </x:c>
      <x:c r="AE660" s="55" t="n">
        <x:v>10539</x:v>
      </x:c>
      <x:c r="AF660" s="55" t="n">
        <x:v>10371</x:v>
      </x:c>
      <x:c r="AG660" s="55" t="n">
        <x:v>168</x:v>
      </x:c>
      <x:c r="AH660" s="55" t="n">
        <x:v>369</x:v>
      </x:c>
      <x:c r="AI660" s="55" t="n">
        <x:v>10002</x:v>
      </x:c>
      <x:c r="AJ660" s="55" t="n">
        <x:v>341</x:v>
      </x:c>
      <x:c r="AK660" s="55" t="n">
        <x:v>801</x:v>
      </x:c>
      <x:c r="AL660" s="55" t="n">
        <x:v>1160</x:v>
      </x:c>
      <x:c r="AM660" s="55" t="n">
        <x:v>5473</x:v>
      </x:c>
      <x:c r="AN660" s="55" t="n">
        <x:v>2553</x:v>
      </x:c>
      <x:c r="AO660" s="55" t="n">
        <x:v>43</x:v>
      </x:c>
      <x:c r="AP660" s="55" t="n">
        <x:v>2546</x:v>
      </x:c>
      <x:c r="AQ660" s="55" t="n">
        <x:v>982</x:v>
      </x:c>
    </x:row>
    <x:row r="661">
      <x:c r="A661" s="54" t="str">
        <x:v>T1_SHARED_CATCHMENT</x:v>
      </x:c>
      <x:c r="B661" s="54" t="n">
        <x:v>655</x:v>
      </x:c>
      <x:c r="C661" s="54" t="str">
        <x:v>NYC-V2-R01</x:v>
      </x:c>
      <x:c r="D661" s="54" t="str">
        <x:v>V2</x:v>
      </x:c>
      <x:c r="E661" s="54" t="str">
        <x:v>ADMITTED</x:v>
      </x:c>
      <x:c r="F661" s="55" t="n">
        <x:v>32117</x:v>
      </x:c>
      <x:c r="G661" s="55" t="n">
        <x:v>7436</x:v>
      </x:c>
      <x:c r="H661" s="55" t="n">
        <x:v>3375</x:v>
      </x:c>
      <x:c r="I661" s="55" t="n">
        <x:v>1030</x:v>
      </x:c>
      <x:c r="J661" s="55" t="n">
        <x:v>266</x:v>
      </x:c>
      <x:c r="K661" s="55" t="n">
        <x:v>29642</x:v>
      </x:c>
      <x:c r="L661" s="55" t="n">
        <x:v>4918</x:v>
      </x:c>
      <x:c r="M661" s="55" t="n">
        <x:v>1448</x:v>
      </x:c>
      <x:c r="N661" s="55" t="n">
        <x:v>1857</x:v>
      </x:c>
      <x:c r="O661" s="55" t="n">
        <x:v>1613</x:v>
      </x:c>
      <x:c r="P661" s="55" t="n">
        <x:v>992</x:v>
      </x:c>
      <x:c r="Q661" s="55" t="n">
        <x:v>1709</x:v>
      </x:c>
      <x:c r="R661" s="55" t="n">
        <x:v>1341</x:v>
      </x:c>
      <x:c r="S661" s="55" t="n">
        <x:v>2710</x:v>
      </x:c>
      <x:c r="T661" s="55" t="n">
        <x:v>1096</x:v>
      </x:c>
      <x:c r="U661" s="55" t="n">
        <x:v>1951</x:v>
      </x:c>
      <x:c r="V661" s="55" t="n">
        <x:v>10818</x:v>
      </x:c>
      <x:c r="W661" s="55" t="n">
        <x:v>7941</x:v>
      </x:c>
      <x:c r="X661" s="55" t="n">
        <x:v>2877</x:v>
      </x:c>
      <x:c r="Y661" s="55" t="n">
        <x:v>2577</x:v>
      </x:c>
      <x:c r="Z661" s="55" t="n">
        <x:v>3376</x:v>
      </x:c>
      <x:c r="AA661" s="55" t="n">
        <x:v>2887</x:v>
      </x:c>
      <x:c r="AB661" s="55" t="n">
        <x:v>1015</x:v>
      </x:c>
      <x:c r="AC661" s="55" t="n">
        <x:v>8071</x:v>
      </x:c>
      <x:c r="AD661" s="55" t="n">
        <x:v>3075</x:v>
      </x:c>
      <x:c r="AE661" s="55" t="n">
        <x:v>10930</x:v>
      </x:c>
      <x:c r="AF661" s="55" t="n">
        <x:v>10818</x:v>
      </x:c>
      <x:c r="AG661" s="55" t="n">
        <x:v>112</x:v>
      </x:c>
      <x:c r="AH661" s="55" t="n">
        <x:v>396</x:v>
      </x:c>
      <x:c r="AI661" s="55" t="n">
        <x:v>10422</x:v>
      </x:c>
      <x:c r="AJ661" s="55" t="n">
        <x:v>335</x:v>
      </x:c>
      <x:c r="AK661" s="55" t="n">
        <x:v>1122</x:v>
      </x:c>
      <x:c r="AL661" s="55" t="n">
        <x:v>1987</x:v>
      </x:c>
      <x:c r="AM661" s="55" t="n">
        <x:v>4926</x:v>
      </x:c>
      <x:c r="AN661" s="55" t="n">
        <x:v>2448</x:v>
      </x:c>
      <x:c r="AO661" s="55" t="n">
        <x:v>0</x:v>
      </x:c>
      <x:c r="AP661" s="55" t="n">
        <x:v>2254</x:v>
      </x:c>
      <x:c r="AQ661" s="55" t="n">
        <x:v>968</x:v>
      </x:c>
    </x:row>
    <x:row r="662">
      <x:c r="A662" s="54" t="str">
        <x:v>T1_SHARED_CATCHMENT</x:v>
      </x:c>
      <x:c r="B662" s="54" t="n">
        <x:v>656</x:v>
      </x:c>
      <x:c r="C662" s="54" t="str">
        <x:v>NYC-V2-R01</x:v>
      </x:c>
      <x:c r="D662" s="54" t="str">
        <x:v>V2</x:v>
      </x:c>
      <x:c r="E662" s="54" t="str">
        <x:v>ADMITTED</x:v>
      </x:c>
      <x:c r="F662" s="55" t="n">
        <x:v>30157</x:v>
      </x:c>
      <x:c r="G662" s="55" t="n">
        <x:v>7755</x:v>
      </x:c>
      <x:c r="H662" s="55" t="n">
        <x:v>3397</x:v>
      </x:c>
      <x:c r="I662" s="55" t="n">
        <x:v>1088</x:v>
      </x:c>
      <x:c r="J662" s="55" t="n">
        <x:v>0</x:v>
      </x:c>
      <x:c r="K662" s="55" t="n">
        <x:v>30157</x:v>
      </x:c>
      <x:c r="L662" s="55" t="n">
        <x:v>6213</x:v>
      </x:c>
      <x:c r="M662" s="55" t="n">
        <x:v>2919</x:v>
      </x:c>
      <x:c r="N662" s="55" t="n">
        <x:v>2176</x:v>
      </x:c>
      <x:c r="O662" s="55" t="n">
        <x:v>1118</x:v>
      </x:c>
      <x:c r="P662" s="55" t="n">
        <x:v>659</x:v>
      </x:c>
      <x:c r="Q662" s="55" t="n">
        <x:v>2417</x:v>
      </x:c>
      <x:c r="R662" s="55" t="n">
        <x:v>1625</x:v>
      </x:c>
      <x:c r="S662" s="55" t="n">
        <x:v>1879</x:v>
      </x:c>
      <x:c r="T662" s="55" t="n">
        <x:v>1005</x:v>
      </x:c>
      <x:c r="U662" s="55" t="n">
        <x:v>2173</x:v>
      </x:c>
      <x:c r="V662" s="55" t="n">
        <x:v>9931</x:v>
      </x:c>
      <x:c r="W662" s="55" t="n">
        <x:v>6890</x:v>
      </x:c>
      <x:c r="X662" s="55" t="n">
        <x:v>3041</x:v>
      </x:c>
      <x:c r="Y662" s="55" t="n">
        <x:v>2412</x:v>
      </x:c>
      <x:c r="Z662" s="55" t="n">
        <x:v>3367</x:v>
      </x:c>
      <x:c r="AA662" s="55" t="n">
        <x:v>3397</x:v>
      </x:c>
      <x:c r="AB662" s="55" t="n">
        <x:v>1175</x:v>
      </x:c>
      <x:c r="AC662" s="55" t="n">
        <x:v>8440</x:v>
      </x:c>
      <x:c r="AD662" s="55" t="n">
        <x:v>3563</x:v>
      </x:c>
      <x:c r="AE662" s="55" t="n">
        <x:v>10015</x:v>
      </x:c>
      <x:c r="AF662" s="55" t="n">
        <x:v>9931</x:v>
      </x:c>
      <x:c r="AG662" s="55" t="n">
        <x:v>84</x:v>
      </x:c>
      <x:c r="AH662" s="55" t="n">
        <x:v>316</x:v>
      </x:c>
      <x:c r="AI662" s="55" t="n">
        <x:v>9615</x:v>
      </x:c>
      <x:c r="AJ662" s="55" t="n">
        <x:v>128</x:v>
      </x:c>
      <x:c r="AK662" s="55" t="n">
        <x:v>739</x:v>
      </x:c>
      <x:c r="AL662" s="55" t="n">
        <x:v>1720</x:v>
      </x:c>
      <x:c r="AM662" s="55" t="n">
        <x:v>5021</x:v>
      </x:c>
      <x:c r="AN662" s="55" t="n">
        <x:v>2265</x:v>
      </x:c>
      <x:c r="AO662" s="55" t="n">
        <x:v>58</x:v>
      </x:c>
      <x:c r="AP662" s="55" t="n">
        <x:v>2254</x:v>
      </x:c>
      <x:c r="AQ662" s="55" t="n">
        <x:v>948</x:v>
      </x:c>
    </x:row>
    <x:row r="663">
      <x:c r="A663" s="54" t="str">
        <x:v>T1_SHARED_CATCHMENT</x:v>
      </x:c>
      <x:c r="B663" s="54" t="n">
        <x:v>657</x:v>
      </x:c>
      <x:c r="C663" s="54" t="str">
        <x:v>NYC-V2-R01</x:v>
      </x:c>
      <x:c r="D663" s="54" t="str">
        <x:v>V2</x:v>
      </x:c>
      <x:c r="E663" s="54" t="str">
        <x:v>ADMITTED</x:v>
      </x:c>
      <x:c r="F663" s="55" t="n">
        <x:v>30989</x:v>
      </x:c>
      <x:c r="G663" s="55" t="n">
        <x:v>6618</x:v>
      </x:c>
      <x:c r="H663" s="55" t="n">
        <x:v>3684</x:v>
      </x:c>
      <x:c r="I663" s="55" t="n">
        <x:v>1371</x:v>
      </x:c>
      <x:c r="J663" s="55" t="n">
        <x:v>289</x:v>
      </x:c>
      <x:c r="K663" s="55" t="n">
        <x:v>30989</x:v>
      </x:c>
      <x:c r="L663" s="55" t="n">
        <x:v>5776</x:v>
      </x:c>
      <x:c r="M663" s="55" t="n">
        <x:v>1504</x:v>
      </x:c>
      <x:c r="N663" s="55" t="n">
        <x:v>2474</x:v>
      </x:c>
      <x:c r="O663" s="55" t="n">
        <x:v>1798</x:v>
      </x:c>
      <x:c r="P663" s="55" t="n">
        <x:v>757</x:v>
      </x:c>
      <x:c r="Q663" s="55" t="n">
        <x:v>3117</x:v>
      </x:c>
      <x:c r="R663" s="55" t="n">
        <x:v>2094</x:v>
      </x:c>
      <x:c r="S663" s="55" t="n">
        <x:v>3029</x:v>
      </x:c>
      <x:c r="T663" s="55" t="n">
        <x:v>1647</x:v>
      </x:c>
      <x:c r="U663" s="55" t="n">
        <x:v>1227</x:v>
      </x:c>
      <x:c r="V663" s="55" t="n">
        <x:v>9912</x:v>
      </x:c>
      <x:c r="W663" s="55" t="n">
        <x:v>7317</x:v>
      </x:c>
      <x:c r="X663" s="55" t="n">
        <x:v>2595</x:v>
      </x:c>
      <x:c r="Y663" s="55" t="n">
        <x:v>2457</x:v>
      </x:c>
      <x:c r="Z663" s="55" t="n">
        <x:v>3617</x:v>
      </x:c>
      <x:c r="AA663" s="55" t="n">
        <x:v>3026</x:v>
      </x:c>
      <x:c r="AB663" s="55" t="n">
        <x:v>953</x:v>
      </x:c>
      <x:c r="AC663" s="55" t="n">
        <x:v>7688</x:v>
      </x:c>
      <x:c r="AD663" s="55" t="n">
        <x:v>2758</x:v>
      </x:c>
      <x:c r="AE663" s="55" t="n">
        <x:v>9929</x:v>
      </x:c>
      <x:c r="AF663" s="55" t="n">
        <x:v>9912</x:v>
      </x:c>
      <x:c r="AG663" s="55" t="n">
        <x:v>17</x:v>
      </x:c>
      <x:c r="AH663" s="55" t="n">
        <x:v>305</x:v>
      </x:c>
      <x:c r="AI663" s="55" t="n">
        <x:v>9607</x:v>
      </x:c>
      <x:c r="AJ663" s="55" t="n">
        <x:v>444</x:v>
      </x:c>
      <x:c r="AK663" s="55" t="n">
        <x:v>1271</x:v>
      </x:c>
      <x:c r="AL663" s="55" t="n">
        <x:v>1454</x:v>
      </x:c>
      <x:c r="AM663" s="55" t="n">
        <x:v>4141</x:v>
      </x:c>
      <x:c r="AN663" s="55" t="n">
        <x:v>2567</x:v>
      </x:c>
      <x:c r="AO663" s="55" t="n">
        <x:v>35</x:v>
      </x:c>
      <x:c r="AP663" s="55" t="n">
        <x:v>2086</x:v>
      </x:c>
      <x:c r="AQ663" s="55" t="n">
        <x:v>953</x:v>
      </x:c>
    </x:row>
    <x:row r="664">
      <x:c r="A664" s="54" t="str">
        <x:v>T1_SHARED_CATCHMENT</x:v>
      </x:c>
      <x:c r="B664" s="54" t="n">
        <x:v>658</x:v>
      </x:c>
      <x:c r="C664" s="54" t="str">
        <x:v>NYC-V2-R01</x:v>
      </x:c>
      <x:c r="D664" s="54" t="str">
        <x:v>V2</x:v>
      </x:c>
      <x:c r="E664" s="54" t="str">
        <x:v>ADMITTED</x:v>
      </x:c>
      <x:c r="F664" s="55" t="n">
        <x:v>30110</x:v>
      </x:c>
      <x:c r="G664" s="55" t="n">
        <x:v>7978</x:v>
      </x:c>
      <x:c r="H664" s="55" t="n">
        <x:v>2928</x:v>
      </x:c>
      <x:c r="I664" s="55" t="n">
        <x:v>1074</x:v>
      </x:c>
      <x:c r="J664" s="55" t="n">
        <x:v>49</x:v>
      </x:c>
      <x:c r="K664" s="55" t="n">
        <x:v>29852</x:v>
      </x:c>
      <x:c r="L664" s="55" t="n">
        <x:v>5674</x:v>
      </x:c>
      <x:c r="M664" s="55" t="n">
        <x:v>867</x:v>
      </x:c>
      <x:c r="N664" s="55" t="n">
        <x:v>3150</x:v>
      </x:c>
      <x:c r="O664" s="55" t="n">
        <x:v>1657</x:v>
      </x:c>
      <x:c r="P664" s="55" t="n">
        <x:v>1162</x:v>
      </x:c>
      <x:c r="Q664" s="55" t="n">
        <x:v>2302</x:v>
      </x:c>
      <x:c r="R664" s="55" t="n">
        <x:v>2406</x:v>
      </x:c>
      <x:c r="S664" s="55" t="n">
        <x:v>2758</x:v>
      </x:c>
      <x:c r="T664" s="55" t="n">
        <x:v>877</x:v>
      </x:c>
      <x:c r="U664" s="55" t="n">
        <x:v>2078</x:v>
      </x:c>
      <x:c r="V664" s="55" t="n">
        <x:v>10397</x:v>
      </x:c>
      <x:c r="W664" s="55" t="n">
        <x:v>7147</x:v>
      </x:c>
      <x:c r="X664" s="55" t="n">
        <x:v>3250</x:v>
      </x:c>
      <x:c r="Y664" s="55" t="n">
        <x:v>2908</x:v>
      </x:c>
      <x:c r="Z664" s="55" t="n">
        <x:v>3962</x:v>
      </x:c>
      <x:c r="AA664" s="55" t="n">
        <x:v>2517</x:v>
      </x:c>
      <x:c r="AB664" s="55" t="n">
        <x:v>1023</x:v>
      </x:c>
      <x:c r="AC664" s="55" t="n">
        <x:v>8894</x:v>
      </x:c>
      <x:c r="AD664" s="55" t="n">
        <x:v>3017</x:v>
      </x:c>
      <x:c r="AE664" s="55" t="n">
        <x:v>10503</x:v>
      </x:c>
      <x:c r="AF664" s="55" t="n">
        <x:v>10397</x:v>
      </x:c>
      <x:c r="AG664" s="55" t="n">
        <x:v>106</x:v>
      </x:c>
      <x:c r="AH664" s="55" t="n">
        <x:v>344</x:v>
      </x:c>
      <x:c r="AI664" s="55" t="n">
        <x:v>10053</x:v>
      </x:c>
      <x:c r="AJ664" s="55" t="n">
        <x:v>320</x:v>
      </x:c>
      <x:c r="AK664" s="55" t="n">
        <x:v>1258</x:v>
      </x:c>
      <x:c r="AL664" s="55" t="n">
        <x:v>1189</x:v>
      </x:c>
      <x:c r="AM664" s="55" t="n">
        <x:v>5056</x:v>
      </x:c>
      <x:c r="AN664" s="55" t="n">
        <x:v>2525</x:v>
      </x:c>
      <x:c r="AO664" s="55" t="n">
        <x:v>49</x:v>
      </x:c>
      <x:c r="AP664" s="55" t="n">
        <x:v>2100</x:v>
      </x:c>
      <x:c r="AQ664" s="55" t="n">
        <x:v>969</x:v>
      </x:c>
    </x:row>
    <x:row r="665">
      <x:c r="A665" s="54" t="str">
        <x:v>T1_SHARED_CATCHMENT</x:v>
      </x:c>
      <x:c r="B665" s="54" t="n">
        <x:v>659</x:v>
      </x:c>
      <x:c r="C665" s="54" t="str">
        <x:v>NYC-V2-R01</x:v>
      </x:c>
      <x:c r="D665" s="54" t="str">
        <x:v>V2</x:v>
      </x:c>
      <x:c r="E665" s="54" t="str">
        <x:v>ADMITTED</x:v>
      </x:c>
      <x:c r="F665" s="55" t="n">
        <x:v>29016</x:v>
      </x:c>
      <x:c r="G665" s="55" t="n">
        <x:v>7237</x:v>
      </x:c>
      <x:c r="H665" s="55" t="n">
        <x:v>3328</x:v>
      </x:c>
      <x:c r="I665" s="55" t="n">
        <x:v>1285</x:v>
      </x:c>
      <x:c r="J665" s="55" t="n">
        <x:v>283</x:v>
      </x:c>
      <x:c r="K665" s="55" t="n">
        <x:v>29016</x:v>
      </x:c>
      <x:c r="L665" s="55" t="n">
        <x:v>5263</x:v>
      </x:c>
      <x:c r="M665" s="55" t="n">
        <x:v>936</x:v>
      </x:c>
      <x:c r="N665" s="55" t="n">
        <x:v>1923</x:v>
      </x:c>
      <x:c r="O665" s="55" t="n">
        <x:v>2404</x:v>
      </x:c>
      <x:c r="P665" s="55" t="n">
        <x:v>1259</x:v>
      </x:c>
      <x:c r="Q665" s="55" t="n">
        <x:v>3158</x:v>
      </x:c>
      <x:c r="R665" s="55" t="n">
        <x:v>1510</x:v>
      </x:c>
      <x:c r="S665" s="55" t="n">
        <x:v>2885</x:v>
      </x:c>
      <x:c r="T665" s="55" t="n">
        <x:v>1084</x:v>
      </x:c>
      <x:c r="U665" s="55" t="n">
        <x:v>2020</x:v>
      </x:c>
      <x:c r="V665" s="55" t="n">
        <x:v>10268</x:v>
      </x:c>
      <x:c r="W665" s="55" t="n">
        <x:v>7504</x:v>
      </x:c>
      <x:c r="X665" s="55" t="n">
        <x:v>2764</x:v>
      </x:c>
      <x:c r="Y665" s="55" t="n">
        <x:v>2505</x:v>
      </x:c>
      <x:c r="Z665" s="55" t="n">
        <x:v>3632</x:v>
      </x:c>
      <x:c r="AA665" s="55" t="n">
        <x:v>3215</x:v>
      </x:c>
      <x:c r="AB665" s="55" t="n">
        <x:v>1447</x:v>
      </x:c>
      <x:c r="AC665" s="55" t="n">
        <x:v>8454</x:v>
      </x:c>
      <x:c r="AD665" s="55" t="n">
        <x:v>3155</x:v>
      </x:c>
      <x:c r="AE665" s="55" t="n">
        <x:v>10368</x:v>
      </x:c>
      <x:c r="AF665" s="55" t="n">
        <x:v>10268</x:v>
      </x:c>
      <x:c r="AG665" s="55" t="n">
        <x:v>100</x:v>
      </x:c>
      <x:c r="AH665" s="55" t="n">
        <x:v>299</x:v>
      </x:c>
      <x:c r="AI665" s="55" t="n">
        <x:v>9969</x:v>
      </x:c>
      <x:c r="AJ665" s="55" t="n">
        <x:v>382</x:v>
      </x:c>
      <x:c r="AK665" s="55" t="n">
        <x:v>931</x:v>
      </x:c>
      <x:c r="AL665" s="55" t="n">
        <x:v>1913</x:v>
      </x:c>
      <x:c r="AM665" s="55" t="n">
        <x:v>4616</x:v>
      </x:c>
      <x:c r="AN665" s="55" t="n">
        <x:v>2396</x:v>
      </x:c>
      <x:c r="AO665" s="55" t="n">
        <x:v>30</x:v>
      </x:c>
      <x:c r="AP665" s="55" t="n">
        <x:v>2364</x:v>
      </x:c>
      <x:c r="AQ665" s="55" t="n">
        <x:v>962</x:v>
      </x:c>
    </x:row>
    <x:row r="666">
      <x:c r="A666" s="54" t="str">
        <x:v>T1_SHARED_CATCHMENT</x:v>
      </x:c>
      <x:c r="B666" s="54" t="n">
        <x:v>660</x:v>
      </x:c>
      <x:c r="C666" s="54" t="str">
        <x:v>NYC-V2-R01</x:v>
      </x:c>
      <x:c r="D666" s="54" t="str">
        <x:v>V2</x:v>
      </x:c>
      <x:c r="E666" s="54" t="str">
        <x:v>ADMITTED</x:v>
      </x:c>
      <x:c r="F666" s="55" t="n">
        <x:v>32300</x:v>
      </x:c>
      <x:c r="G666" s="55" t="n">
        <x:v>6864</x:v>
      </x:c>
      <x:c r="H666" s="55" t="n">
        <x:v>3733</x:v>
      </x:c>
      <x:c r="I666" s="55" t="n">
        <x:v>1654</x:v>
      </x:c>
      <x:c r="J666" s="55" t="n">
        <x:v>415</x:v>
      </x:c>
      <x:c r="K666" s="55" t="n">
        <x:v>32300</x:v>
      </x:c>
      <x:c r="L666" s="55" t="n">
        <x:v>6413</x:v>
      </x:c>
      <x:c r="M666" s="55" t="n">
        <x:v>1579</x:v>
      </x:c>
      <x:c r="N666" s="55" t="n">
        <x:v>3079</x:v>
      </x:c>
      <x:c r="O666" s="55" t="n">
        <x:v>1755</x:v>
      </x:c>
      <x:c r="P666" s="55" t="n">
        <x:v>751</x:v>
      </x:c>
      <x:c r="Q666" s="55" t="n">
        <x:v>1912</x:v>
      </x:c>
      <x:c r="R666" s="55" t="n">
        <x:v>2012</x:v>
      </x:c>
      <x:c r="S666" s="55" t="n">
        <x:v>2633</x:v>
      </x:c>
      <x:c r="T666" s="55" t="n">
        <x:v>983</x:v>
      </x:c>
      <x:c r="U666" s="55" t="n">
        <x:v>1795</x:v>
      </x:c>
      <x:c r="V666" s="55" t="n">
        <x:v>10289</x:v>
      </x:c>
      <x:c r="W666" s="55" t="n">
        <x:v>7143</x:v>
      </x:c>
      <x:c r="X666" s="55" t="n">
        <x:v>3146</x:v>
      </x:c>
      <x:c r="Y666" s="55" t="n">
        <x:v>2529</x:v>
      </x:c>
      <x:c r="Z666" s="55" t="n">
        <x:v>3860</x:v>
      </x:c>
      <x:c r="AA666" s="55" t="n">
        <x:v>2602</x:v>
      </x:c>
      <x:c r="AB666" s="55" t="n">
        <x:v>806</x:v>
      </x:c>
      <x:c r="AC666" s="55" t="n">
        <x:v>8051</x:v>
      </x:c>
      <x:c r="AD666" s="55" t="n">
        <x:v>2502</x:v>
      </x:c>
      <x:c r="AE666" s="55" t="n">
        <x:v>10389</x:v>
      </x:c>
      <x:c r="AF666" s="55" t="n">
        <x:v>10289</x:v>
      </x:c>
      <x:c r="AG666" s="55" t="n">
        <x:v>100</x:v>
      </x:c>
      <x:c r="AH666" s="55" t="n">
        <x:v>392</x:v>
      </x:c>
      <x:c r="AI666" s="55" t="n">
        <x:v>9897</x:v>
      </x:c>
      <x:c r="AJ666" s="55" t="n">
        <x:v>320</x:v>
      </x:c>
      <x:c r="AK666" s="55" t="n">
        <x:v>744</x:v>
      </x:c>
      <x:c r="AL666" s="55" t="n">
        <x:v>1804</x:v>
      </x:c>
      <x:c r="AM666" s="55" t="n">
        <x:v>4933</x:v>
      </x:c>
      <x:c r="AN666" s="55" t="n">
        <x:v>2488</x:v>
      </x:c>
      <x:c r="AO666" s="55" t="n">
        <x:v>0</x:v>
      </x:c>
      <x:c r="AP666" s="55" t="n">
        <x:v>2578</x:v>
      </x:c>
      <x:c r="AQ666" s="55" t="n">
        <x:v>950</x:v>
      </x:c>
    </x:row>
    <x:row r="667">
      <x:c r="A667" s="54" t="str">
        <x:v>T1_SHARED_CATCHMENT</x:v>
      </x:c>
      <x:c r="B667" s="54" t="n">
        <x:v>661</x:v>
      </x:c>
      <x:c r="C667" s="54" t="str">
        <x:v>NYC-V2-R01</x:v>
      </x:c>
      <x:c r="D667" s="54" t="str">
        <x:v>V2</x:v>
      </x:c>
      <x:c r="E667" s="54" t="str">
        <x:v>ADMITTED</x:v>
      </x:c>
      <x:c r="F667" s="55" t="n">
        <x:v>29595</x:v>
      </x:c>
      <x:c r="G667" s="55" t="n">
        <x:v>6874</x:v>
      </x:c>
      <x:c r="H667" s="55" t="n">
        <x:v>3210</x:v>
      </x:c>
      <x:c r="I667" s="55" t="n">
        <x:v>1022</x:v>
      </x:c>
      <x:c r="J667" s="55" t="n">
        <x:v>119</x:v>
      </x:c>
      <x:c r="K667" s="55" t="n">
        <x:v>29595</x:v>
      </x:c>
      <x:c r="L667" s="55" t="n">
        <x:v>5668</x:v>
      </x:c>
      <x:c r="M667" s="55" t="n">
        <x:v>2144</x:v>
      </x:c>
      <x:c r="N667" s="55" t="n">
        <x:v>2132</x:v>
      </x:c>
      <x:c r="O667" s="55" t="n">
        <x:v>1392</x:v>
      </x:c>
      <x:c r="P667" s="55" t="n">
        <x:v>921</x:v>
      </x:c>
      <x:c r="Q667" s="55" t="n">
        <x:v>2317</x:v>
      </x:c>
      <x:c r="R667" s="55" t="n">
        <x:v>1990</x:v>
      </x:c>
      <x:c r="S667" s="55" t="n">
        <x:v>3040</x:v>
      </x:c>
      <x:c r="T667" s="55" t="n">
        <x:v>1153</x:v>
      </x:c>
      <x:c r="U667" s="55" t="n">
        <x:v>2596</x:v>
      </x:c>
      <x:c r="V667" s="55" t="n">
        <x:v>10644</x:v>
      </x:c>
      <x:c r="W667" s="55" t="n">
        <x:v>7700</x:v>
      </x:c>
      <x:c r="X667" s="55" t="n">
        <x:v>2944</x:v>
      </x:c>
      <x:c r="Y667" s="55" t="n">
        <x:v>2773</x:v>
      </x:c>
      <x:c r="Z667" s="55" t="n">
        <x:v>3961</x:v>
      </x:c>
      <x:c r="AA667" s="55" t="n">
        <x:v>2928</x:v>
      </x:c>
      <x:c r="AB667" s="55" t="n">
        <x:v>1236</x:v>
      </x:c>
      <x:c r="AC667" s="55" t="n">
        <x:v>7971</x:v>
      </x:c>
      <x:c r="AD667" s="55" t="n">
        <x:v>2986</x:v>
      </x:c>
      <x:c r="AE667" s="55" t="n">
        <x:v>10704</x:v>
      </x:c>
      <x:c r="AF667" s="55" t="n">
        <x:v>10644</x:v>
      </x:c>
      <x:c r="AG667" s="55" t="n">
        <x:v>60</x:v>
      </x:c>
      <x:c r="AH667" s="55" t="n">
        <x:v>478</x:v>
      </x:c>
      <x:c r="AI667" s="55" t="n">
        <x:v>10166</x:v>
      </x:c>
      <x:c r="AJ667" s="55" t="n">
        <x:v>480</x:v>
      </x:c>
      <x:c r="AK667" s="55" t="n">
        <x:v>1041</x:v>
      </x:c>
      <x:c r="AL667" s="55" t="n">
        <x:v>1429</x:v>
      </x:c>
      <x:c r="AM667" s="55" t="n">
        <x:v>4570</x:v>
      </x:c>
      <x:c r="AN667" s="55" t="n">
        <x:v>3122</x:v>
      </x:c>
      <x:c r="AO667" s="55" t="n">
        <x:v>2</x:v>
      </x:c>
      <x:c r="AP667" s="55" t="n">
        <x:v>2853</x:v>
      </x:c>
      <x:c r="AQ667" s="55" t="n">
        <x:v>990</x:v>
      </x:c>
    </x:row>
    <x:row r="668">
      <x:c r="A668" s="54" t="str">
        <x:v>T1_SHARED_CATCHMENT</x:v>
      </x:c>
      <x:c r="B668" s="54" t="n">
        <x:v>662</x:v>
      </x:c>
      <x:c r="C668" s="54" t="str">
        <x:v>NYC-V2-R01</x:v>
      </x:c>
      <x:c r="D668" s="54" t="str">
        <x:v>V2</x:v>
      </x:c>
      <x:c r="E668" s="54" t="str">
        <x:v>ADMITTED</x:v>
      </x:c>
      <x:c r="F668" s="55" t="n">
        <x:v>30083</x:v>
      </x:c>
      <x:c r="G668" s="55" t="n">
        <x:v>7537</x:v>
      </x:c>
      <x:c r="H668" s="55" t="n">
        <x:v>3029</x:v>
      </x:c>
      <x:c r="I668" s="55" t="n">
        <x:v>934</x:v>
      </x:c>
      <x:c r="J668" s="55" t="n">
        <x:v>151</x:v>
      </x:c>
      <x:c r="K668" s="55" t="n">
        <x:v>29618</x:v>
      </x:c>
      <x:c r="L668" s="55" t="n">
        <x:v>4342</x:v>
      </x:c>
      <x:c r="M668" s="55" t="n">
        <x:v>913</x:v>
      </x:c>
      <x:c r="N668" s="55" t="n">
        <x:v>1864</x:v>
      </x:c>
      <x:c r="O668" s="55" t="n">
        <x:v>1565</x:v>
      </x:c>
      <x:c r="P668" s="55" t="n">
        <x:v>721</x:v>
      </x:c>
      <x:c r="Q668" s="55" t="n">
        <x:v>960</x:v>
      </x:c>
      <x:c r="R668" s="55" t="n">
        <x:v>1674</x:v>
      </x:c>
      <x:c r="S668" s="55" t="n">
        <x:v>2303</x:v>
      </x:c>
      <x:c r="T668" s="55" t="n">
        <x:v>1244</x:v>
      </x:c>
      <x:c r="U668" s="55" t="n">
        <x:v>2157</x:v>
      </x:c>
      <x:c r="V668" s="55" t="n">
        <x:v>10151</x:v>
      </x:c>
      <x:c r="W668" s="55" t="n">
        <x:v>7222</x:v>
      </x:c>
      <x:c r="X668" s="55" t="n">
        <x:v>2929</x:v>
      </x:c>
      <x:c r="Y668" s="55" t="n">
        <x:v>2542</x:v>
      </x:c>
      <x:c r="Z668" s="55" t="n">
        <x:v>3934</x:v>
      </x:c>
      <x:c r="AA668" s="55" t="n">
        <x:v>2671</x:v>
      </x:c>
      <x:c r="AB668" s="55" t="n">
        <x:v>810</x:v>
      </x:c>
      <x:c r="AC668" s="55" t="n">
        <x:v>7725</x:v>
      </x:c>
      <x:c r="AD668" s="55" t="n">
        <x:v>2442</x:v>
      </x:c>
      <x:c r="AE668" s="55" t="n">
        <x:v>10214</x:v>
      </x:c>
      <x:c r="AF668" s="55" t="n">
        <x:v>10151</x:v>
      </x:c>
      <x:c r="AG668" s="55" t="n">
        <x:v>63</x:v>
      </x:c>
      <x:c r="AH668" s="55" t="n">
        <x:v>505</x:v>
      </x:c>
      <x:c r="AI668" s="55" t="n">
        <x:v>9646</x:v>
      </x:c>
      <x:c r="AJ668" s="55" t="n">
        <x:v>296</x:v>
      </x:c>
      <x:c r="AK668" s="55" t="n">
        <x:v>861</x:v>
      </x:c>
      <x:c r="AL668" s="55" t="n">
        <x:v>1447</x:v>
      </x:c>
      <x:c r="AM668" s="55" t="n">
        <x:v>4931</x:v>
      </x:c>
      <x:c r="AN668" s="55" t="n">
        <x:v>2616</x:v>
      </x:c>
      <x:c r="AO668" s="55" t="n">
        <x:v>0</x:v>
      </x:c>
      <x:c r="AP668" s="55" t="n">
        <x:v>2167</x:v>
      </x:c>
      <x:c r="AQ668" s="55" t="n">
        <x:v>954</x:v>
      </x:c>
    </x:row>
    <x:row r="669">
      <x:c r="A669" s="54" t="str">
        <x:v>T1_SHARED_CATCHMENT</x:v>
      </x:c>
      <x:c r="B669" s="54" t="n">
        <x:v>663</x:v>
      </x:c>
      <x:c r="C669" s="54" t="str">
        <x:v>NYC-V2-R01</x:v>
      </x:c>
      <x:c r="D669" s="54" t="str">
        <x:v>V2</x:v>
      </x:c>
      <x:c r="E669" s="54" t="str">
        <x:v>ADMITTED</x:v>
      </x:c>
      <x:c r="F669" s="55" t="n">
        <x:v>31988</x:v>
      </x:c>
      <x:c r="G669" s="55" t="n">
        <x:v>8957</x:v>
      </x:c>
      <x:c r="H669" s="55" t="n">
        <x:v>3206</x:v>
      </x:c>
      <x:c r="I669" s="55" t="n">
        <x:v>1194</x:v>
      </x:c>
      <x:c r="J669" s="55" t="n">
        <x:v>396</x:v>
      </x:c>
      <x:c r="K669" s="55" t="n">
        <x:v>31988</x:v>
      </x:c>
      <x:c r="L669" s="55" t="n">
        <x:v>5204</x:v>
      </x:c>
      <x:c r="M669" s="55" t="n">
        <x:v>758</x:v>
      </x:c>
      <x:c r="N669" s="55" t="n">
        <x:v>2573</x:v>
      </x:c>
      <x:c r="O669" s="55" t="n">
        <x:v>1873</x:v>
      </x:c>
      <x:c r="P669" s="55" t="n">
        <x:v>910</x:v>
      </x:c>
      <x:c r="Q669" s="55" t="n">
        <x:v>1583</x:v>
      </x:c>
      <x:c r="R669" s="55" t="n">
        <x:v>2316</x:v>
      </x:c>
      <x:c r="S669" s="55" t="n">
        <x:v>2928</x:v>
      </x:c>
      <x:c r="T669" s="55" t="n">
        <x:v>1298</x:v>
      </x:c>
      <x:c r="U669" s="55" t="n">
        <x:v>1958</x:v>
      </x:c>
      <x:c r="V669" s="55" t="n">
        <x:v>11147</x:v>
      </x:c>
      <x:c r="W669" s="55" t="n">
        <x:v>8283</x:v>
      </x:c>
      <x:c r="X669" s="55" t="n">
        <x:v>2864</x:v>
      </x:c>
      <x:c r="Y669" s="55" t="n">
        <x:v>2451</x:v>
      </x:c>
      <x:c r="Z669" s="55" t="n">
        <x:v>4043</x:v>
      </x:c>
      <x:c r="AA669" s="55" t="n">
        <x:v>3206</x:v>
      </x:c>
      <x:c r="AB669" s="55" t="n">
        <x:v>1025</x:v>
      </x:c>
      <x:c r="AC669" s="55" t="n">
        <x:v>7978</x:v>
      </x:c>
      <x:c r="AD669" s="55" t="n">
        <x:v>3352</x:v>
      </x:c>
      <x:c r="AE669" s="55" t="n">
        <x:v>11268</x:v>
      </x:c>
      <x:c r="AF669" s="55" t="n">
        <x:v>11147</x:v>
      </x:c>
      <x:c r="AG669" s="55" t="n">
        <x:v>121</x:v>
      </x:c>
      <x:c r="AH669" s="55" t="n">
        <x:v>310</x:v>
      </x:c>
      <x:c r="AI669" s="55" t="n">
        <x:v>10837</x:v>
      </x:c>
      <x:c r="AJ669" s="55" t="n">
        <x:v>323</x:v>
      </x:c>
      <x:c r="AK669" s="55" t="n">
        <x:v>1180</x:v>
      </x:c>
      <x:c r="AL669" s="55" t="n">
        <x:v>1538</x:v>
      </x:c>
      <x:c r="AM669" s="55" t="n">
        <x:v>4947</x:v>
      </x:c>
      <x:c r="AN669" s="55" t="n">
        <x:v>3116</x:v>
      </x:c>
      <x:c r="AO669" s="55" t="n">
        <x:v>43</x:v>
      </x:c>
      <x:c r="AP669" s="55" t="n">
        <x:v>2126</x:v>
      </x:c>
      <x:c r="AQ669" s="55" t="n">
        <x:v>981</x:v>
      </x:c>
    </x:row>
    <x:row r="670">
      <x:c r="A670" s="54" t="str">
        <x:v>T1_SHARED_CATCHMENT</x:v>
      </x:c>
      <x:c r="B670" s="54" t="n">
        <x:v>664</x:v>
      </x:c>
      <x:c r="C670" s="54" t="str">
        <x:v>NYC-V2-R01</x:v>
      </x:c>
      <x:c r="D670" s="54" t="str">
        <x:v>V2</x:v>
      </x:c>
      <x:c r="E670" s="54" t="str">
        <x:v>ADMITTED</x:v>
      </x:c>
      <x:c r="F670" s="55" t="n">
        <x:v>31110</x:v>
      </x:c>
      <x:c r="G670" s="55" t="n">
        <x:v>8285</x:v>
      </x:c>
      <x:c r="H670" s="55" t="n">
        <x:v>3373</x:v>
      </x:c>
      <x:c r="I670" s="55" t="n">
        <x:v>1347</x:v>
      </x:c>
      <x:c r="J670" s="55" t="n">
        <x:v>308</x:v>
      </x:c>
      <x:c r="K670" s="55" t="n">
        <x:v>31110</x:v>
      </x:c>
      <x:c r="L670" s="55" t="n">
        <x:v>6264</x:v>
      </x:c>
      <x:c r="M670" s="55" t="n">
        <x:v>706</x:v>
      </x:c>
      <x:c r="N670" s="55" t="n">
        <x:v>3406</x:v>
      </x:c>
      <x:c r="O670" s="55" t="n">
        <x:v>2152</x:v>
      </x:c>
      <x:c r="P670" s="55" t="n">
        <x:v>420</x:v>
      </x:c>
      <x:c r="Q670" s="55" t="n">
        <x:v>2437</x:v>
      </x:c>
      <x:c r="R670" s="55" t="n">
        <x:v>2018</x:v>
      </x:c>
      <x:c r="S670" s="55" t="n">
        <x:v>2295</x:v>
      </x:c>
      <x:c r="T670" s="55" t="n">
        <x:v>1703</x:v>
      </x:c>
      <x:c r="U670" s="55" t="n">
        <x:v>2639</x:v>
      </x:c>
      <x:c r="V670" s="55" t="n">
        <x:v>10042</x:v>
      </x:c>
      <x:c r="W670" s="55" t="n">
        <x:v>7107</x:v>
      </x:c>
      <x:c r="X670" s="55" t="n">
        <x:v>2935</x:v>
      </x:c>
      <x:c r="Y670" s="55" t="n">
        <x:v>2569</x:v>
      </x:c>
      <x:c r="Z670" s="55" t="n">
        <x:v>3791</x:v>
      </x:c>
      <x:c r="AA670" s="55" t="n">
        <x:v>3235</x:v>
      </x:c>
      <x:c r="AB670" s="55" t="n">
        <x:v>1066</x:v>
      </x:c>
      <x:c r="AC670" s="55" t="n">
        <x:v>8475</x:v>
      </x:c>
      <x:c r="AD670" s="55" t="n">
        <x:v>2933</x:v>
      </x:c>
      <x:c r="AE670" s="55" t="n">
        <x:v>10115</x:v>
      </x:c>
      <x:c r="AF670" s="55" t="n">
        <x:v>10042</x:v>
      </x:c>
      <x:c r="AG670" s="55" t="n">
        <x:v>73</x:v>
      </x:c>
      <x:c r="AH670" s="55" t="n">
        <x:v>354</x:v>
      </x:c>
      <x:c r="AI670" s="55" t="n">
        <x:v>9688</x:v>
      </x:c>
      <x:c r="AJ670" s="55" t="n">
        <x:v>266</x:v>
      </x:c>
      <x:c r="AK670" s="55" t="n">
        <x:v>1216</x:v>
      </x:c>
      <x:c r="AL670" s="55" t="n">
        <x:v>1483</x:v>
      </x:c>
      <x:c r="AM670" s="55" t="n">
        <x:v>4245</x:v>
      </x:c>
      <x:c r="AN670" s="55" t="n">
        <x:v>2832</x:v>
      </x:c>
      <x:c r="AO670" s="55" t="n">
        <x:v>0</x:v>
      </x:c>
      <x:c r="AP670" s="55" t="n">
        <x:v>2345</x:v>
      </x:c>
      <x:c r="AQ670" s="55" t="n">
        <x:v>932</x:v>
      </x:c>
    </x:row>
    <x:row r="671">
      <x:c r="A671" s="54" t="str">
        <x:v>T1_SHARED_CATCHMENT</x:v>
      </x:c>
      <x:c r="B671" s="54" t="n">
        <x:v>665</x:v>
      </x:c>
      <x:c r="C671" s="54" t="str">
        <x:v>NYC-V2-R01</x:v>
      </x:c>
      <x:c r="D671" s="54" t="str">
        <x:v>V2</x:v>
      </x:c>
      <x:c r="E671" s="54" t="str">
        <x:v>ADMITTED</x:v>
      </x:c>
      <x:c r="F671" s="55" t="n">
        <x:v>33198</x:v>
      </x:c>
      <x:c r="G671" s="55" t="n">
        <x:v>8040</x:v>
      </x:c>
      <x:c r="H671" s="55" t="n">
        <x:v>3593</x:v>
      </x:c>
      <x:c r="I671" s="55" t="n">
        <x:v>1803</x:v>
      </x:c>
      <x:c r="J671" s="55" t="n">
        <x:v>410</x:v>
      </x:c>
      <x:c r="K671" s="55" t="n">
        <x:v>33198</x:v>
      </x:c>
      <x:c r="L671" s="55" t="n">
        <x:v>7356</x:v>
      </x:c>
      <x:c r="M671" s="55" t="n">
        <x:v>1560</x:v>
      </x:c>
      <x:c r="N671" s="55" t="n">
        <x:v>3490</x:v>
      </x:c>
      <x:c r="O671" s="55" t="n">
        <x:v>2306</x:v>
      </x:c>
      <x:c r="P671" s="55" t="n">
        <x:v>826</x:v>
      </x:c>
      <x:c r="Q671" s="55" t="n">
        <x:v>3135</x:v>
      </x:c>
      <x:c r="R671" s="55" t="n">
        <x:v>2152</x:v>
      </x:c>
      <x:c r="S671" s="55" t="n">
        <x:v>2529</x:v>
      </x:c>
      <x:c r="T671" s="55" t="n">
        <x:v>1453</x:v>
      </x:c>
      <x:c r="U671" s="55" t="n">
        <x:v>1845</x:v>
      </x:c>
      <x:c r="V671" s="55" t="n">
        <x:v>10903</x:v>
      </x:c>
      <x:c r="W671" s="55" t="n">
        <x:v>7614</x:v>
      </x:c>
      <x:c r="X671" s="55" t="n">
        <x:v>3289</x:v>
      </x:c>
      <x:c r="Y671" s="55" t="n">
        <x:v>2923</x:v>
      </x:c>
      <x:c r="Z671" s="55" t="n">
        <x:v>4075</x:v>
      </x:c>
      <x:c r="AA671" s="55" t="n">
        <x:v>3158</x:v>
      </x:c>
      <x:c r="AB671" s="55" t="n">
        <x:v>1182</x:v>
      </x:c>
      <x:c r="AC671" s="55" t="n">
        <x:v>8460</x:v>
      </x:c>
      <x:c r="AD671" s="55" t="n">
        <x:v>3077</x:v>
      </x:c>
      <x:c r="AE671" s="55" t="n">
        <x:v>11049</x:v>
      </x:c>
      <x:c r="AF671" s="55" t="n">
        <x:v>10903</x:v>
      </x:c>
      <x:c r="AG671" s="55" t="n">
        <x:v>146</x:v>
      </x:c>
      <x:c r="AH671" s="55" t="n">
        <x:v>498</x:v>
      </x:c>
      <x:c r="AI671" s="55" t="n">
        <x:v>10405</x:v>
      </x:c>
      <x:c r="AJ671" s="55" t="n">
        <x:v>476</x:v>
      </x:c>
      <x:c r="AK671" s="55" t="n">
        <x:v>772</x:v>
      </x:c>
      <x:c r="AL671" s="55" t="n">
        <x:v>1805</x:v>
      </x:c>
      <x:c r="AM671" s="55" t="n">
        <x:v>5437</x:v>
      </x:c>
      <x:c r="AN671" s="55" t="n">
        <x:v>2358</x:v>
      </x:c>
      <x:c r="AO671" s="55" t="n">
        <x:v>55</x:v>
      </x:c>
      <x:c r="AP671" s="55" t="n">
        <x:v>3015</x:v>
      </x:c>
      <x:c r="AQ671" s="55" t="n">
        <x:v>1015</x:v>
      </x:c>
    </x:row>
    <x:row r="672">
      <x:c r="A672" s="54" t="str">
        <x:v>T1_SHARED_CATCHMENT</x:v>
      </x:c>
      <x:c r="B672" s="54" t="n">
        <x:v>666</x:v>
      </x:c>
      <x:c r="C672" s="54" t="str">
        <x:v>NYC-V2-R01</x:v>
      </x:c>
      <x:c r="D672" s="54" t="str">
        <x:v>V2</x:v>
      </x:c>
      <x:c r="E672" s="54" t="str">
        <x:v>ADMITTED</x:v>
      </x:c>
      <x:c r="F672" s="55" t="n">
        <x:v>31223</x:v>
      </x:c>
      <x:c r="G672" s="55" t="n">
        <x:v>8738</x:v>
      </x:c>
      <x:c r="H672" s="55" t="n">
        <x:v>2938</x:v>
      </x:c>
      <x:c r="I672" s="55" t="n">
        <x:v>1135</x:v>
      </x:c>
      <x:c r="J672" s="55" t="n">
        <x:v>33</x:v>
      </x:c>
      <x:c r="K672" s="55" t="n">
        <x:v>29337</x:v>
      </x:c>
      <x:c r="L672" s="55" t="n">
        <x:v>5250</x:v>
      </x:c>
      <x:c r="M672" s="55" t="n">
        <x:v>1139</x:v>
      </x:c>
      <x:c r="N672" s="55" t="n">
        <x:v>2313</x:v>
      </x:c>
      <x:c r="O672" s="55" t="n">
        <x:v>1798</x:v>
      </x:c>
      <x:c r="P672" s="55" t="n">
        <x:v>332</x:v>
      </x:c>
      <x:c r="Q672" s="55" t="n">
        <x:v>3212</x:v>
      </x:c>
      <x:c r="R672" s="55" t="n">
        <x:v>1619</x:v>
      </x:c>
      <x:c r="S672" s="55" t="n">
        <x:v>2786</x:v>
      </x:c>
      <x:c r="T672" s="55" t="n">
        <x:v>1427</x:v>
      </x:c>
      <x:c r="U672" s="55" t="n">
        <x:v>1603</x:v>
      </x:c>
      <x:c r="V672" s="55" t="n">
        <x:v>9861</x:v>
      </x:c>
      <x:c r="W672" s="55" t="n">
        <x:v>7377</x:v>
      </x:c>
      <x:c r="X672" s="55" t="n">
        <x:v>2484</x:v>
      </x:c>
      <x:c r="Y672" s="55" t="n">
        <x:v>2269</x:v>
      </x:c>
      <x:c r="Z672" s="55" t="n">
        <x:v>3760</x:v>
      </x:c>
      <x:c r="AA672" s="55" t="n">
        <x:v>2923</x:v>
      </x:c>
      <x:c r="AB672" s="55" t="n">
        <x:v>1298</x:v>
      </x:c>
      <x:c r="AC672" s="55" t="n">
        <x:v>8465</x:v>
      </x:c>
      <x:c r="AD672" s="55" t="n">
        <x:v>3894</x:v>
      </x:c>
      <x:c r="AE672" s="55" t="n">
        <x:v>9896</x:v>
      </x:c>
      <x:c r="AF672" s="55" t="n">
        <x:v>9861</x:v>
      </x:c>
      <x:c r="AG672" s="55" t="n">
        <x:v>35</x:v>
      </x:c>
      <x:c r="AH672" s="55" t="n">
        <x:v>226</x:v>
      </x:c>
      <x:c r="AI672" s="55" t="n">
        <x:v>9635</x:v>
      </x:c>
      <x:c r="AJ672" s="55" t="n">
        <x:v>304</x:v>
      </x:c>
      <x:c r="AK672" s="55" t="n">
        <x:v>839</x:v>
      </x:c>
      <x:c r="AL672" s="55" t="n">
        <x:v>1337</x:v>
      </x:c>
      <x:c r="AM672" s="55" t="n">
        <x:v>4585</x:v>
      </x:c>
      <x:c r="AN672" s="55" t="n">
        <x:v>2796</x:v>
      </x:c>
      <x:c r="AO672" s="55" t="n">
        <x:v>0</x:v>
      </x:c>
      <x:c r="AP672" s="55" t="n">
        <x:v>2233</x:v>
      </x:c>
      <x:c r="AQ672" s="55" t="n">
        <x:v>904</x:v>
      </x:c>
    </x:row>
    <x:row r="673">
      <x:c r="A673" s="54" t="str">
        <x:v>T1_SHARED_CATCHMENT</x:v>
      </x:c>
      <x:c r="B673" s="54" t="n">
        <x:v>667</x:v>
      </x:c>
      <x:c r="C673" s="54" t="str">
        <x:v>NYC-V2-R01</x:v>
      </x:c>
      <x:c r="D673" s="54" t="str">
        <x:v>V2</x:v>
      </x:c>
      <x:c r="E673" s="54" t="str">
        <x:v>ADMITTED</x:v>
      </x:c>
      <x:c r="F673" s="55" t="n">
        <x:v>32348</x:v>
      </x:c>
      <x:c r="G673" s="55" t="n">
        <x:v>8638</x:v>
      </x:c>
      <x:c r="H673" s="55" t="n">
        <x:v>3177</x:v>
      </x:c>
      <x:c r="I673" s="55" t="n">
        <x:v>1227</x:v>
      </x:c>
      <x:c r="J673" s="55" t="n">
        <x:v>221</x:v>
      </x:c>
      <x:c r="K673" s="55" t="n">
        <x:v>31965</x:v>
      </x:c>
      <x:c r="L673" s="55" t="n">
        <x:v>6782</x:v>
      </x:c>
      <x:c r="M673" s="55" t="n">
        <x:v>2216</x:v>
      </x:c>
      <x:c r="N673" s="55" t="n">
        <x:v>2870</x:v>
      </x:c>
      <x:c r="O673" s="55" t="n">
        <x:v>1696</x:v>
      </x:c>
      <x:c r="P673" s="55" t="n">
        <x:v>985</x:v>
      </x:c>
      <x:c r="Q673" s="55" t="n">
        <x:v>3188</x:v>
      </x:c>
      <x:c r="R673" s="55" t="n">
        <x:v>1575</x:v>
      </x:c>
      <x:c r="S673" s="55" t="n">
        <x:v>2785</x:v>
      </x:c>
      <x:c r="T673" s="55" t="n">
        <x:v>1228</x:v>
      </x:c>
      <x:c r="U673" s="55" t="n">
        <x:v>2774</x:v>
      </x:c>
      <x:c r="V673" s="55" t="n">
        <x:v>10821</x:v>
      </x:c>
      <x:c r="W673" s="55" t="n">
        <x:v>7633</x:v>
      </x:c>
      <x:c r="X673" s="55" t="n">
        <x:v>3188</x:v>
      </x:c>
      <x:c r="Y673" s="55" t="n">
        <x:v>3025</x:v>
      </x:c>
      <x:c r="Z673" s="55" t="n">
        <x:v>4121</x:v>
      </x:c>
      <x:c r="AA673" s="55" t="n">
        <x:v>3161</x:v>
      </x:c>
      <x:c r="AB673" s="55" t="n">
        <x:v>1143</x:v>
      </x:c>
      <x:c r="AC673" s="55" t="n">
        <x:v>7985</x:v>
      </x:c>
      <x:c r="AD673" s="55" t="n">
        <x:v>2975</x:v>
      </x:c>
      <x:c r="AE673" s="55" t="n">
        <x:v>10954</x:v>
      </x:c>
      <x:c r="AF673" s="55" t="n">
        <x:v>10821</x:v>
      </x:c>
      <x:c r="AG673" s="55" t="n">
        <x:v>133</x:v>
      </x:c>
      <x:c r="AH673" s="55" t="n">
        <x:v>506</x:v>
      </x:c>
      <x:c r="AI673" s="55" t="n">
        <x:v>10315</x:v>
      </x:c>
      <x:c r="AJ673" s="55" t="n">
        <x:v>182</x:v>
      </x:c>
      <x:c r="AK673" s="55" t="n">
        <x:v>1496</x:v>
      </x:c>
      <x:c r="AL673" s="55" t="n">
        <x:v>1696</x:v>
      </x:c>
      <x:c r="AM673" s="55" t="n">
        <x:v>4948</x:v>
      </x:c>
      <x:c r="AN673" s="55" t="n">
        <x:v>2473</x:v>
      </x:c>
      <x:c r="AO673" s="55" t="n">
        <x:v>26</x:v>
      </x:c>
      <x:c r="AP673" s="55" t="n">
        <x:v>2264</x:v>
      </x:c>
      <x:c r="AQ673" s="55" t="n">
        <x:v>961</x:v>
      </x:c>
    </x:row>
    <x:row r="674">
      <x:c r="A674" s="54" t="str">
        <x:v>T1_SHARED_CATCHMENT</x:v>
      </x:c>
      <x:c r="B674" s="54" t="n">
        <x:v>668</x:v>
      </x:c>
      <x:c r="C674" s="54" t="str">
        <x:v>NYC-V2-R01</x:v>
      </x:c>
      <x:c r="D674" s="54" t="str">
        <x:v>V2</x:v>
      </x:c>
      <x:c r="E674" s="54" t="str">
        <x:v>ADMITTED</x:v>
      </x:c>
      <x:c r="F674" s="55" t="n">
        <x:v>32668</x:v>
      </x:c>
      <x:c r="G674" s="55" t="n">
        <x:v>7155</x:v>
      </x:c>
      <x:c r="H674" s="55" t="n">
        <x:v>3237</x:v>
      </x:c>
      <x:c r="I674" s="55" t="n">
        <x:v>869</x:v>
      </x:c>
      <x:c r="J674" s="55" t="n">
        <x:v>33</x:v>
      </x:c>
      <x:c r="K674" s="55" t="n">
        <x:v>32668</x:v>
      </x:c>
      <x:c r="L674" s="55" t="n">
        <x:v>5665</x:v>
      </x:c>
      <x:c r="M674" s="55" t="n">
        <x:v>1641</x:v>
      </x:c>
      <x:c r="N674" s="55" t="n">
        <x:v>2461</x:v>
      </x:c>
      <x:c r="O674" s="55" t="n">
        <x:v>1563</x:v>
      </x:c>
      <x:c r="P674" s="55" t="n">
        <x:v>1147</x:v>
      </x:c>
      <x:c r="Q674" s="55" t="n">
        <x:v>2550</x:v>
      </x:c>
      <x:c r="R674" s="55" t="n">
        <x:v>1771</x:v>
      </x:c>
      <x:c r="S674" s="55" t="n">
        <x:v>2958</x:v>
      </x:c>
      <x:c r="T674" s="55" t="n">
        <x:v>1281</x:v>
      </x:c>
      <x:c r="U674" s="55" t="n">
        <x:v>1942</x:v>
      </x:c>
      <x:c r="V674" s="55" t="n">
        <x:v>10355</x:v>
      </x:c>
      <x:c r="W674" s="55" t="n">
        <x:v>6978</x:v>
      </x:c>
      <x:c r="X674" s="55" t="n">
        <x:v>3377</x:v>
      </x:c>
      <x:c r="Y674" s="55" t="n">
        <x:v>2865</x:v>
      </x:c>
      <x:c r="Z674" s="55" t="n">
        <x:v>3847</x:v>
      </x:c>
      <x:c r="AA674" s="55" t="n">
        <x:v>3237</x:v>
      </x:c>
      <x:c r="AB674" s="55" t="n">
        <x:v>1281</x:v>
      </x:c>
      <x:c r="AC674" s="55" t="n">
        <x:v>7737</x:v>
      </x:c>
      <x:c r="AD674" s="55" t="n">
        <x:v>2589</x:v>
      </x:c>
      <x:c r="AE674" s="55" t="n">
        <x:v>10448</x:v>
      </x:c>
      <x:c r="AF674" s="55" t="n">
        <x:v>10355</x:v>
      </x:c>
      <x:c r="AG674" s="55" t="n">
        <x:v>93</x:v>
      </x:c>
      <x:c r="AH674" s="55" t="n">
        <x:v>439</x:v>
      </x:c>
      <x:c r="AI674" s="55" t="n">
        <x:v>9916</x:v>
      </x:c>
      <x:c r="AJ674" s="55" t="n">
        <x:v>276</x:v>
      </x:c>
      <x:c r="AK674" s="55" t="n">
        <x:v>901</x:v>
      </x:c>
      <x:c r="AL674" s="55" t="n">
        <x:v>1700</x:v>
      </x:c>
      <x:c r="AM674" s="55" t="n">
        <x:v>5403</x:v>
      </x:c>
      <x:c r="AN674" s="55" t="n">
        <x:v>2038</x:v>
      </x:c>
      <x:c r="AO674" s="55" t="n">
        <x:v>37</x:v>
      </x:c>
      <x:c r="AP674" s="55" t="n">
        <x:v>2251</x:v>
      </x:c>
      <x:c r="AQ674" s="55" t="n">
        <x:v>956</x:v>
      </x:c>
    </x:row>
    <x:row r="675">
      <x:c r="A675" s="54" t="str">
        <x:v>T1_SHARED_CATCHMENT</x:v>
      </x:c>
      <x:c r="B675" s="54" t="n">
        <x:v>669</x:v>
      </x:c>
      <x:c r="C675" s="54" t="str">
        <x:v>NYC-V2-R01</x:v>
      </x:c>
      <x:c r="D675" s="54" t="str">
        <x:v>V2</x:v>
      </x:c>
      <x:c r="E675" s="54" t="str">
        <x:v>ADMITTED</x:v>
      </x:c>
      <x:c r="F675" s="55" t="n">
        <x:v>30641</x:v>
      </x:c>
      <x:c r="G675" s="55" t="n">
        <x:v>7512</x:v>
      </x:c>
      <x:c r="H675" s="55" t="n">
        <x:v>3423</x:v>
      </x:c>
      <x:c r="I675" s="55" t="n">
        <x:v>1484</x:v>
      </x:c>
      <x:c r="J675" s="55" t="n">
        <x:v>206</x:v>
      </x:c>
      <x:c r="K675" s="55" t="n">
        <x:v>30641</x:v>
      </x:c>
      <x:c r="L675" s="55" t="n">
        <x:v>5979</x:v>
      </x:c>
      <x:c r="M675" s="55" t="n">
        <x:v>1670</x:v>
      </x:c>
      <x:c r="N675" s="55" t="n">
        <x:v>2748</x:v>
      </x:c>
      <x:c r="O675" s="55" t="n">
        <x:v>1561</x:v>
      </x:c>
      <x:c r="P675" s="55" t="n">
        <x:v>1017</x:v>
      </x:c>
      <x:c r="Q675" s="55" t="n">
        <x:v>2663</x:v>
      </x:c>
      <x:c r="R675" s="55" t="n">
        <x:v>1889</x:v>
      </x:c>
      <x:c r="S675" s="55" t="n">
        <x:v>3069</x:v>
      </x:c>
      <x:c r="T675" s="55" t="n">
        <x:v>1424</x:v>
      </x:c>
      <x:c r="U675" s="55" t="n">
        <x:v>2201</x:v>
      </x:c>
      <x:c r="V675" s="55" t="n">
        <x:v>10764</x:v>
      </x:c>
      <x:c r="W675" s="55" t="n">
        <x:v>7590</x:v>
      </x:c>
      <x:c r="X675" s="55" t="n">
        <x:v>3174</x:v>
      </x:c>
      <x:c r="Y675" s="55" t="n">
        <x:v>2695</x:v>
      </x:c>
      <x:c r="Z675" s="55" t="n">
        <x:v>4514</x:v>
      </x:c>
      <x:c r="AA675" s="55" t="n">
        <x:v>2919</x:v>
      </x:c>
      <x:c r="AB675" s="55" t="n">
        <x:v>1472</x:v>
      </x:c>
      <x:c r="AC675" s="55" t="n">
        <x:v>7836</x:v>
      </x:c>
      <x:c r="AD675" s="55" t="n">
        <x:v>2474</x:v>
      </x:c>
      <x:c r="AE675" s="55" t="n">
        <x:v>10788</x:v>
      </x:c>
      <x:c r="AF675" s="55" t="n">
        <x:v>10764</x:v>
      </x:c>
      <x:c r="AG675" s="55" t="n">
        <x:v>24</x:v>
      </x:c>
      <x:c r="AH675" s="55" t="n">
        <x:v>623</x:v>
      </x:c>
      <x:c r="AI675" s="55" t="n">
        <x:v>10141</x:v>
      </x:c>
      <x:c r="AJ675" s="55" t="n">
        <x:v>335</x:v>
      </x:c>
      <x:c r="AK675" s="55" t="n">
        <x:v>1067</x:v>
      </x:c>
      <x:c r="AL675" s="55" t="n">
        <x:v>1538</x:v>
      </x:c>
      <x:c r="AM675" s="55" t="n">
        <x:v>4945</x:v>
      </x:c>
      <x:c r="AN675" s="55" t="n">
        <x:v>2877</x:v>
      </x:c>
      <x:c r="AO675" s="55" t="n">
        <x:v>2</x:v>
      </x:c>
      <x:c r="AP675" s="55" t="n">
        <x:v>2607</x:v>
      </x:c>
      <x:c r="AQ675" s="55" t="n">
        <x:v>988</x:v>
      </x:c>
    </x:row>
    <x:row r="676">
      <x:c r="A676" s="54" t="str">
        <x:v>T1_SHARED_CATCHMENT</x:v>
      </x:c>
      <x:c r="B676" s="54" t="n">
        <x:v>670</x:v>
      </x:c>
      <x:c r="C676" s="54" t="str">
        <x:v>NYC-V2-R01</x:v>
      </x:c>
      <x:c r="D676" s="54" t="str">
        <x:v>V2</x:v>
      </x:c>
      <x:c r="E676" s="54" t="str">
        <x:v>ADMITTED</x:v>
      </x:c>
      <x:c r="F676" s="55" t="n">
        <x:v>31286</x:v>
      </x:c>
      <x:c r="G676" s="55" t="n">
        <x:v>7728</x:v>
      </x:c>
      <x:c r="H676" s="55" t="n">
        <x:v>3531</x:v>
      </x:c>
      <x:c r="I676" s="55" t="n">
        <x:v>1181</x:v>
      </x:c>
      <x:c r="J676" s="55" t="n">
        <x:v>290</x:v>
      </x:c>
      <x:c r="K676" s="55" t="n">
        <x:v>31286</x:v>
      </x:c>
      <x:c r="L676" s="55" t="n">
        <x:v>6172</x:v>
      </x:c>
      <x:c r="M676" s="55" t="n">
        <x:v>1097</x:v>
      </x:c>
      <x:c r="N676" s="55" t="n">
        <x:v>2907</x:v>
      </x:c>
      <x:c r="O676" s="55" t="n">
        <x:v>2168</x:v>
      </x:c>
      <x:c r="P676" s="55" t="n">
        <x:v>1052</x:v>
      </x:c>
      <x:c r="Q676" s="55" t="n">
        <x:v>3052</x:v>
      </x:c>
      <x:c r="R676" s="55" t="n">
        <x:v>2275</x:v>
      </x:c>
      <x:c r="S676" s="55" t="n">
        <x:v>3553</x:v>
      </x:c>
      <x:c r="T676" s="55" t="n">
        <x:v>1483</x:v>
      </x:c>
      <x:c r="U676" s="55" t="n">
        <x:v>2160</x:v>
      </x:c>
      <x:c r="V676" s="55" t="n">
        <x:v>10468</x:v>
      </x:c>
      <x:c r="W676" s="55" t="n">
        <x:v>7306</x:v>
      </x:c>
      <x:c r="X676" s="55" t="n">
        <x:v>3162</x:v>
      </x:c>
      <x:c r="Y676" s="55" t="n">
        <x:v>2594</x:v>
      </x:c>
      <x:c r="Z676" s="55" t="n">
        <x:v>3398</x:v>
      </x:c>
      <x:c r="AA676" s="55" t="n">
        <x:v>2733</x:v>
      </x:c>
      <x:c r="AB676" s="55" t="n">
        <x:v>1189</x:v>
      </x:c>
      <x:c r="AC676" s="55" t="n">
        <x:v>7844</x:v>
      </x:c>
      <x:c r="AD676" s="55" t="n">
        <x:v>2653</x:v>
      </x:c>
      <x:c r="AE676" s="55" t="n">
        <x:v>10493</x:v>
      </x:c>
      <x:c r="AF676" s="55" t="n">
        <x:v>10468</x:v>
      </x:c>
      <x:c r="AG676" s="55" t="n">
        <x:v>25</x:v>
      </x:c>
      <x:c r="AH676" s="55" t="n">
        <x:v>217</x:v>
      </x:c>
      <x:c r="AI676" s="55" t="n">
        <x:v>10251</x:v>
      </x:c>
      <x:c r="AJ676" s="55" t="n">
        <x:v>162</x:v>
      </x:c>
      <x:c r="AK676" s="55" t="n">
        <x:v>763</x:v>
      </x:c>
      <x:c r="AL676" s="55" t="n">
        <x:v>1328</x:v>
      </x:c>
      <x:c r="AM676" s="55" t="n">
        <x:v>5657</x:v>
      </x:c>
      <x:c r="AN676" s="55" t="n">
        <x:v>2558</x:v>
      </x:c>
      <x:c r="AO676" s="55" t="n">
        <x:v>0</x:v>
      </x:c>
      <x:c r="AP676" s="55" t="n">
        <x:v>2783</x:v>
      </x:c>
      <x:c r="AQ676" s="55" t="n">
        <x:v>942</x:v>
      </x:c>
    </x:row>
    <x:row r="677">
      <x:c r="A677" s="54" t="str">
        <x:v>T1_SHARED_CATCHMENT</x:v>
      </x:c>
      <x:c r="B677" s="54" t="n">
        <x:v>671</x:v>
      </x:c>
      <x:c r="C677" s="54" t="str">
        <x:v>NYC-V2-R01</x:v>
      </x:c>
      <x:c r="D677" s="54" t="str">
        <x:v>V2</x:v>
      </x:c>
      <x:c r="E677" s="54" t="str">
        <x:v>ADMITTED</x:v>
      </x:c>
      <x:c r="F677" s="55" t="n">
        <x:v>31174</x:v>
      </x:c>
      <x:c r="G677" s="55" t="n">
        <x:v>7856</x:v>
      </x:c>
      <x:c r="H677" s="55" t="n">
        <x:v>3663</x:v>
      </x:c>
      <x:c r="I677" s="55" t="n">
        <x:v>1422</x:v>
      </x:c>
      <x:c r="J677" s="55" t="n">
        <x:v>155</x:v>
      </x:c>
      <x:c r="K677" s="55" t="n">
        <x:v>31174</x:v>
      </x:c>
      <x:c r="L677" s="55" t="n">
        <x:v>6292</x:v>
      </x:c>
      <x:c r="M677" s="55" t="n">
        <x:v>1221</x:v>
      </x:c>
      <x:c r="N677" s="55" t="n">
        <x:v>3135</x:v>
      </x:c>
      <x:c r="O677" s="55" t="n">
        <x:v>1936</x:v>
      </x:c>
      <x:c r="P677" s="55" t="n">
        <x:v>429</x:v>
      </x:c>
      <x:c r="Q677" s="55" t="n">
        <x:v>2885</x:v>
      </x:c>
      <x:c r="R677" s="55" t="n">
        <x:v>2014</x:v>
      </x:c>
      <x:c r="S677" s="55" t="n">
        <x:v>3605</x:v>
      </x:c>
      <x:c r="T677" s="55" t="n">
        <x:v>1217</x:v>
      </x:c>
      <x:c r="U677" s="55" t="n">
        <x:v>2334</x:v>
      </x:c>
      <x:c r="V677" s="55" t="n">
        <x:v>11070</x:v>
      </x:c>
      <x:c r="W677" s="55" t="n">
        <x:v>7977</x:v>
      </x:c>
      <x:c r="X677" s="55" t="n">
        <x:v>3093</x:v>
      </x:c>
      <x:c r="Y677" s="55" t="n">
        <x:v>2624</x:v>
      </x:c>
      <x:c r="Z677" s="55" t="n">
        <x:v>3793</x:v>
      </x:c>
      <x:c r="AA677" s="55" t="n">
        <x:v>3282</x:v>
      </x:c>
      <x:c r="AB677" s="55" t="n">
        <x:v>1165</x:v>
      </x:c>
      <x:c r="AC677" s="55" t="n">
        <x:v>8049</x:v>
      </x:c>
      <x:c r="AD677" s="55" t="n">
        <x:v>3323</x:v>
      </x:c>
      <x:c r="AE677" s="55" t="n">
        <x:v>11134</x:v>
      </x:c>
      <x:c r="AF677" s="55" t="n">
        <x:v>11070</x:v>
      </x:c>
      <x:c r="AG677" s="55" t="n">
        <x:v>64</x:v>
      </x:c>
      <x:c r="AH677" s="55" t="n">
        <x:v>538</x:v>
      </x:c>
      <x:c r="AI677" s="55" t="n">
        <x:v>10532</x:v>
      </x:c>
      <x:c r="AJ677" s="55" t="n">
        <x:v>170</x:v>
      </x:c>
      <x:c r="AK677" s="55" t="n">
        <x:v>1126</x:v>
      </x:c>
      <x:c r="AL677" s="55" t="n">
        <x:v>1454</x:v>
      </x:c>
      <x:c r="AM677" s="55" t="n">
        <x:v>5291</x:v>
      </x:c>
      <x:c r="AN677" s="55" t="n">
        <x:v>3029</x:v>
      </x:c>
      <x:c r="AO677" s="55" t="n">
        <x:v>0</x:v>
      </x:c>
      <x:c r="AP677" s="55" t="n">
        <x:v>2448</x:v>
      </x:c>
      <x:c r="AQ677" s="55" t="n">
        <x:v>942</x:v>
      </x:c>
    </x:row>
    <x:row r="678">
      <x:c r="A678" s="54" t="str">
        <x:v>T1_SHARED_CATCHMENT</x:v>
      </x:c>
      <x:c r="B678" s="54" t="n">
        <x:v>672</x:v>
      </x:c>
      <x:c r="C678" s="54" t="str">
        <x:v>NYC-V2-R01</x:v>
      </x:c>
      <x:c r="D678" s="54" t="str">
        <x:v>V2</x:v>
      </x:c>
      <x:c r="E678" s="54" t="str">
        <x:v>ADMITTED</x:v>
      </x:c>
      <x:c r="F678" s="55" t="n">
        <x:v>31338</x:v>
      </x:c>
      <x:c r="G678" s="55" t="n">
        <x:v>8240</x:v>
      </x:c>
      <x:c r="H678" s="55" t="n">
        <x:v>3212</x:v>
      </x:c>
      <x:c r="I678" s="55" t="n">
        <x:v>1264</x:v>
      </x:c>
      <x:c r="J678" s="55" t="n">
        <x:v>38</x:v>
      </x:c>
      <x:c r="K678" s="55" t="n">
        <x:v>29375</x:v>
      </x:c>
      <x:c r="L678" s="55" t="n">
        <x:v>6414</x:v>
      </x:c>
      <x:c r="M678" s="55" t="n">
        <x:v>2054</x:v>
      </x:c>
      <x:c r="N678" s="55" t="n">
        <x:v>2942</x:v>
      </x:c>
      <x:c r="O678" s="55" t="n">
        <x:v>1418</x:v>
      </x:c>
      <x:c r="P678" s="55" t="n">
        <x:v>548</x:v>
      </x:c>
      <x:c r="Q678" s="55" t="n">
        <x:v>2597</x:v>
      </x:c>
      <x:c r="R678" s="55" t="n">
        <x:v>1737</x:v>
      </x:c>
      <x:c r="S678" s="55" t="n">
        <x:v>2820</x:v>
      </x:c>
      <x:c r="T678" s="55" t="n">
        <x:v>1164</x:v>
      </x:c>
      <x:c r="U678" s="55" t="n">
        <x:v>2222</x:v>
      </x:c>
      <x:c r="V678" s="55" t="n">
        <x:v>10627</x:v>
      </x:c>
      <x:c r="W678" s="55" t="n">
        <x:v>7216</x:v>
      </x:c>
      <x:c r="X678" s="55" t="n">
        <x:v>3411</x:v>
      </x:c>
      <x:c r="Y678" s="55" t="n">
        <x:v>2883</x:v>
      </x:c>
      <x:c r="Z678" s="55" t="n">
        <x:v>4358</x:v>
      </x:c>
      <x:c r="AA678" s="55" t="n">
        <x:v>3212</x:v>
      </x:c>
      <x:c r="AB678" s="55" t="n">
        <x:v>1354</x:v>
      </x:c>
      <x:c r="AC678" s="55" t="n">
        <x:v>8038</x:v>
      </x:c>
      <x:c r="AD678" s="55" t="n">
        <x:v>3057</x:v>
      </x:c>
      <x:c r="AE678" s="55" t="n">
        <x:v>10725</x:v>
      </x:c>
      <x:c r="AF678" s="55" t="n">
        <x:v>10627</x:v>
      </x:c>
      <x:c r="AG678" s="55" t="n">
        <x:v>98</x:v>
      </x:c>
      <x:c r="AH678" s="55" t="n">
        <x:v>531</x:v>
      </x:c>
      <x:c r="AI678" s="55" t="n">
        <x:v>10096</x:v>
      </x:c>
      <x:c r="AJ678" s="55" t="n">
        <x:v>477</x:v>
      </x:c>
      <x:c r="AK678" s="55" t="n">
        <x:v>1098</x:v>
      </x:c>
      <x:c r="AL678" s="55" t="n">
        <x:v>1470</x:v>
      </x:c>
      <x:c r="AM678" s="55" t="n">
        <x:v>5106</x:v>
      </x:c>
      <x:c r="AN678" s="55" t="n">
        <x:v>2410</x:v>
      </x:c>
      <x:c r="AO678" s="55" t="n">
        <x:v>66</x:v>
      </x:c>
      <x:c r="AP678" s="55" t="n">
        <x:v>1968</x:v>
      </x:c>
      <x:c r="AQ678" s="55" t="n">
        <x:v>1030</x:v>
      </x:c>
    </x:row>
    <x:row r="679">
      <x:c r="A679" s="54" t="str">
        <x:v>T1_SHARED_CATCHMENT</x:v>
      </x:c>
      <x:c r="B679" s="54" t="n">
        <x:v>673</x:v>
      </x:c>
      <x:c r="C679" s="54" t="str">
        <x:v>NYC-V2-R01</x:v>
      </x:c>
      <x:c r="D679" s="54" t="str">
        <x:v>V2</x:v>
      </x:c>
      <x:c r="E679" s="54" t="str">
        <x:v>ADMITTED</x:v>
      </x:c>
      <x:c r="F679" s="55" t="n">
        <x:v>29851</x:v>
      </x:c>
      <x:c r="G679" s="55" t="n">
        <x:v>6822</x:v>
      </x:c>
      <x:c r="H679" s="55" t="n">
        <x:v>3336</x:v>
      </x:c>
      <x:c r="I679" s="55" t="n">
        <x:v>1234</x:v>
      </x:c>
      <x:c r="J679" s="55" t="n">
        <x:v>143</x:v>
      </x:c>
      <x:c r="K679" s="55" t="n">
        <x:v>29851</x:v>
      </x:c>
      <x:c r="L679" s="55" t="n">
        <x:v>5709</x:v>
      </x:c>
      <x:c r="M679" s="55" t="n">
        <x:v>1923</x:v>
      </x:c>
      <x:c r="N679" s="55" t="n">
        <x:v>2414</x:v>
      </x:c>
      <x:c r="O679" s="55" t="n">
        <x:v>1372</x:v>
      </x:c>
      <x:c r="P679" s="55" t="n">
        <x:v>522</x:v>
      </x:c>
      <x:c r="Q679" s="55" t="n">
        <x:v>2303</x:v>
      </x:c>
      <x:c r="R679" s="55" t="n">
        <x:v>2264</x:v>
      </x:c>
      <x:c r="S679" s="55" t="n">
        <x:v>2688</x:v>
      </x:c>
      <x:c r="T679" s="55" t="n">
        <x:v>1676</x:v>
      </x:c>
      <x:c r="U679" s="55" t="n">
        <x:v>2640</x:v>
      </x:c>
      <x:c r="V679" s="55" t="n">
        <x:v>11192</x:v>
      </x:c>
      <x:c r="W679" s="55" t="n">
        <x:v>8164</x:v>
      </x:c>
      <x:c r="X679" s="55" t="n">
        <x:v>3028</x:v>
      </x:c>
      <x:c r="Y679" s="55" t="n">
        <x:v>2686</x:v>
      </x:c>
      <x:c r="Z679" s="55" t="n">
        <x:v>4295</x:v>
      </x:c>
      <x:c r="AA679" s="55" t="n">
        <x:v>3336</x:v>
      </x:c>
      <x:c r="AB679" s="55" t="n">
        <x:v>1230</x:v>
      </x:c>
      <x:c r="AC679" s="55" t="n">
        <x:v>7002</x:v>
      </x:c>
      <x:c r="AD679" s="55" t="n">
        <x:v>2829</x:v>
      </x:c>
      <x:c r="AE679" s="55" t="n">
        <x:v>11272</x:v>
      </x:c>
      <x:c r="AF679" s="55" t="n">
        <x:v>11192</x:v>
      </x:c>
      <x:c r="AG679" s="55" t="n">
        <x:v>80</x:v>
      </x:c>
      <x:c r="AH679" s="55" t="n">
        <x:v>629</x:v>
      </x:c>
      <x:c r="AI679" s="55" t="n">
        <x:v>10563</x:v>
      </x:c>
      <x:c r="AJ679" s="55" t="n">
        <x:v>345</x:v>
      </x:c>
      <x:c r="AK679" s="55" t="n">
        <x:v>1138</x:v>
      </x:c>
      <x:c r="AL679" s="55" t="n">
        <x:v>1830</x:v>
      </x:c>
      <x:c r="AM679" s="55" t="n">
        <x:v>5195</x:v>
      </x:c>
      <x:c r="AN679" s="55" t="n">
        <x:v>2684</x:v>
      </x:c>
      <x:c r="AO679" s="55" t="n">
        <x:v>0</x:v>
      </x:c>
      <x:c r="AP679" s="55" t="n">
        <x:v>2216</x:v>
      </x:c>
      <x:c r="AQ679" s="55" t="n">
        <x:v>933</x:v>
      </x:c>
    </x:row>
    <x:row r="680">
      <x:c r="A680" s="54" t="str">
        <x:v>T1_SHARED_CATCHMENT</x:v>
      </x:c>
      <x:c r="B680" s="54" t="n">
        <x:v>674</x:v>
      </x:c>
      <x:c r="C680" s="54" t="str">
        <x:v>NYC-V2-R01</x:v>
      </x:c>
      <x:c r="D680" s="54" t="str">
        <x:v>V2</x:v>
      </x:c>
      <x:c r="E680" s="54" t="str">
        <x:v>ADMITTED</x:v>
      </x:c>
      <x:c r="F680" s="55" t="n">
        <x:v>35352</x:v>
      </x:c>
      <x:c r="G680" s="55" t="n">
        <x:v>10136</x:v>
      </x:c>
      <x:c r="H680" s="55" t="n">
        <x:v>3371</x:v>
      </x:c>
      <x:c r="I680" s="55" t="n">
        <x:v>1224</x:v>
      </x:c>
      <x:c r="J680" s="55" t="n">
        <x:v>235</x:v>
      </x:c>
      <x:c r="K680" s="55" t="n">
        <x:v>30627</x:v>
      </x:c>
      <x:c r="L680" s="55" t="n">
        <x:v>6064</x:v>
      </x:c>
      <x:c r="M680" s="55" t="n">
        <x:v>1673</x:v>
      </x:c>
      <x:c r="N680" s="55" t="n">
        <x:v>2768</x:v>
      </x:c>
      <x:c r="O680" s="55" t="n">
        <x:v>1623</x:v>
      </x:c>
      <x:c r="P680" s="55" t="n">
        <x:v>1320</x:v>
      </x:c>
      <x:c r="Q680" s="55" t="n">
        <x:v>3285</x:v>
      </x:c>
      <x:c r="R680" s="55" t="n">
        <x:v>2143</x:v>
      </x:c>
      <x:c r="S680" s="55" t="n">
        <x:v>3235</x:v>
      </x:c>
      <x:c r="T680" s="55" t="n">
        <x:v>1562</x:v>
      </x:c>
      <x:c r="U680" s="55" t="n">
        <x:v>2248</x:v>
      </x:c>
      <x:c r="V680" s="55" t="n">
        <x:v>10799</x:v>
      </x:c>
      <x:c r="W680" s="55" t="n">
        <x:v>7606</x:v>
      </x:c>
      <x:c r="X680" s="55" t="n">
        <x:v>3193</x:v>
      </x:c>
      <x:c r="Y680" s="55" t="n">
        <x:v>2900</x:v>
      </x:c>
      <x:c r="Z680" s="55" t="n">
        <x:v>3967</x:v>
      </x:c>
      <x:c r="AA680" s="55" t="n">
        <x:v>3371</x:v>
      </x:c>
      <x:c r="AB680" s="55" t="n">
        <x:v>1041</x:v>
      </x:c>
      <x:c r="AC680" s="55" t="n">
        <x:v>8683</x:v>
      </x:c>
      <x:c r="AD680" s="55" t="n">
        <x:v>3861</x:v>
      </x:c>
      <x:c r="AE680" s="55" t="n">
        <x:v>10838</x:v>
      </x:c>
      <x:c r="AF680" s="55" t="n">
        <x:v>10799</x:v>
      </x:c>
      <x:c r="AG680" s="55" t="n">
        <x:v>39</x:v>
      </x:c>
      <x:c r="AH680" s="55" t="n">
        <x:v>537</x:v>
      </x:c>
      <x:c r="AI680" s="55" t="n">
        <x:v>10262</x:v>
      </x:c>
      <x:c r="AJ680" s="55" t="n">
        <x:v>252</x:v>
      </x:c>
      <x:c r="AK680" s="55" t="n">
        <x:v>1202</x:v>
      </x:c>
      <x:c r="AL680" s="55" t="n">
        <x:v>1698</x:v>
      </x:c>
      <x:c r="AM680" s="55" t="n">
        <x:v>5169</x:v>
      </x:c>
      <x:c r="AN680" s="55" t="n">
        <x:v>2448</x:v>
      </x:c>
      <x:c r="AO680" s="55" t="n">
        <x:v>30</x:v>
      </x:c>
      <x:c r="AP680" s="55" t="n">
        <x:v>2106</x:v>
      </x:c>
      <x:c r="AQ680" s="55" t="n">
        <x:v>978</x:v>
      </x:c>
    </x:row>
    <x:row r="681">
      <x:c r="A681" s="54" t="str">
        <x:v>T1_SHARED_CATCHMENT</x:v>
      </x:c>
      <x:c r="B681" s="54" t="n">
        <x:v>675</x:v>
      </x:c>
      <x:c r="C681" s="54" t="str">
        <x:v>NYC-V2-R01</x:v>
      </x:c>
      <x:c r="D681" s="54" t="str">
        <x:v>V2</x:v>
      </x:c>
      <x:c r="E681" s="54" t="str">
        <x:v>ADMITTED</x:v>
      </x:c>
      <x:c r="F681" s="55" t="n">
        <x:v>29506</x:v>
      </x:c>
      <x:c r="G681" s="55" t="n">
        <x:v>6612</x:v>
      </x:c>
      <x:c r="H681" s="55" t="n">
        <x:v>3693</x:v>
      </x:c>
      <x:c r="I681" s="55" t="n">
        <x:v>1444</x:v>
      </x:c>
      <x:c r="J681" s="55" t="n">
        <x:v>250</x:v>
      </x:c>
      <x:c r="K681" s="55" t="n">
        <x:v>29506</x:v>
      </x:c>
      <x:c r="L681" s="55" t="n">
        <x:v>5868</x:v>
      </x:c>
      <x:c r="M681" s="55" t="n">
        <x:v>1575</x:v>
      </x:c>
      <x:c r="N681" s="55" t="n">
        <x:v>2718</x:v>
      </x:c>
      <x:c r="O681" s="55" t="n">
        <x:v>1575</x:v>
      </x:c>
      <x:c r="P681" s="55" t="n">
        <x:v>652</x:v>
      </x:c>
      <x:c r="Q681" s="55" t="n">
        <x:v>2915</x:v>
      </x:c>
      <x:c r="R681" s="55" t="n">
        <x:v>2006</x:v>
      </x:c>
      <x:c r="S681" s="55" t="n">
        <x:v>2368</x:v>
      </x:c>
      <x:c r="T681" s="55" t="n">
        <x:v>1309</x:v>
      </x:c>
      <x:c r="U681" s="55" t="n">
        <x:v>2313</x:v>
      </x:c>
      <x:c r="V681" s="55" t="n">
        <x:v>10440</x:v>
      </x:c>
      <x:c r="W681" s="55" t="n">
        <x:v>7529</x:v>
      </x:c>
      <x:c r="X681" s="55" t="n">
        <x:v>2911</x:v>
      </x:c>
      <x:c r="Y681" s="55" t="n">
        <x:v>2526</x:v>
      </x:c>
      <x:c r="Z681" s="55" t="n">
        <x:v>3940</x:v>
      </x:c>
      <x:c r="AA681" s="55" t="n">
        <x:v>3219</x:v>
      </x:c>
      <x:c r="AB681" s="55" t="n">
        <x:v>1188</x:v>
      </x:c>
      <x:c r="AC681" s="55" t="n">
        <x:v>8162</x:v>
      </x:c>
      <x:c r="AD681" s="55" t="n">
        <x:v>3050</x:v>
      </x:c>
      <x:c r="AE681" s="55" t="n">
        <x:v>10545</x:v>
      </x:c>
      <x:c r="AF681" s="55" t="n">
        <x:v>10440</x:v>
      </x:c>
      <x:c r="AG681" s="55" t="n">
        <x:v>105</x:v>
      </x:c>
      <x:c r="AH681" s="55" t="n">
        <x:v>631</x:v>
      </x:c>
      <x:c r="AI681" s="55" t="n">
        <x:v>9809</x:v>
      </x:c>
      <x:c r="AJ681" s="55" t="n">
        <x:v>375</x:v>
      </x:c>
      <x:c r="AK681" s="55" t="n">
        <x:v>1041</x:v>
      </x:c>
      <x:c r="AL681" s="55" t="n">
        <x:v>1630</x:v>
      </x:c>
      <x:c r="AM681" s="55" t="n">
        <x:v>5210</x:v>
      </x:c>
      <x:c r="AN681" s="55" t="n">
        <x:v>2145</x:v>
      </x:c>
      <x:c r="AO681" s="55" t="n">
        <x:v>39</x:v>
      </x:c>
      <x:c r="AP681" s="55" t="n">
        <x:v>2336</x:v>
      </x:c>
      <x:c r="AQ681" s="55" t="n">
        <x:v>995</x:v>
      </x:c>
    </x:row>
    <x:row r="682">
      <x:c r="A682" s="54" t="str">
        <x:v>T1_SHARED_CATCHMENT</x:v>
      </x:c>
      <x:c r="B682" s="54" t="n">
        <x:v>676</x:v>
      </x:c>
      <x:c r="C682" s="54" t="str">
        <x:v>NYC-V2-R01</x:v>
      </x:c>
      <x:c r="D682" s="54" t="str">
        <x:v>V2</x:v>
      </x:c>
      <x:c r="E682" s="54" t="str">
        <x:v>ADMITTED</x:v>
      </x:c>
      <x:c r="F682" s="55" t="n">
        <x:v>33475</x:v>
      </x:c>
      <x:c r="G682" s="55" t="n">
        <x:v>8790</x:v>
      </x:c>
      <x:c r="H682" s="55" t="n">
        <x:v>3195</x:v>
      </x:c>
      <x:c r="I682" s="55" t="n">
        <x:v>1395</x:v>
      </x:c>
      <x:c r="J682" s="55" t="n">
        <x:v>138</x:v>
      </x:c>
      <x:c r="K682" s="55" t="n">
        <x:v>31279</x:v>
      </x:c>
      <x:c r="L682" s="55" t="n">
        <x:v>5852</x:v>
      </x:c>
      <x:c r="M682" s="55" t="n">
        <x:v>1341</x:v>
      </x:c>
      <x:c r="N682" s="55" t="n">
        <x:v>2616</x:v>
      </x:c>
      <x:c r="O682" s="55" t="n">
        <x:v>1895</x:v>
      </x:c>
      <x:c r="P682" s="55" t="n">
        <x:v>691</x:v>
      </x:c>
      <x:c r="Q682" s="55" t="n">
        <x:v>3241</x:v>
      </x:c>
      <x:c r="R682" s="55" t="n">
        <x:v>2001</x:v>
      </x:c>
      <x:c r="S682" s="55" t="n">
        <x:v>3129</x:v>
      </x:c>
      <x:c r="T682" s="55" t="n">
        <x:v>919</x:v>
      </x:c>
      <x:c r="U682" s="55" t="n">
        <x:v>1660</x:v>
      </x:c>
      <x:c r="V682" s="55" t="n">
        <x:v>11035</x:v>
      </x:c>
      <x:c r="W682" s="55" t="n">
        <x:v>8059</x:v>
      </x:c>
      <x:c r="X682" s="55" t="n">
        <x:v>2976</x:v>
      </x:c>
      <x:c r="Y682" s="55" t="n">
        <x:v>2484</x:v>
      </x:c>
      <x:c r="Z682" s="55" t="n">
        <x:v>3798</x:v>
      </x:c>
      <x:c r="AA682" s="55" t="n">
        <x:v>3042</x:v>
      </x:c>
      <x:c r="AB682" s="55" t="n">
        <x:v>1221</x:v>
      </x:c>
      <x:c r="AC682" s="55" t="n">
        <x:v>7868</x:v>
      </x:c>
      <x:c r="AD682" s="55" t="n">
        <x:v>3447</x:v>
      </x:c>
      <x:c r="AE682" s="55" t="n">
        <x:v>11167</x:v>
      </x:c>
      <x:c r="AF682" s="55" t="n">
        <x:v>11035</x:v>
      </x:c>
      <x:c r="AG682" s="55" t="n">
        <x:v>132</x:v>
      </x:c>
      <x:c r="AH682" s="55" t="n">
        <x:v>765</x:v>
      </x:c>
      <x:c r="AI682" s="55" t="n">
        <x:v>10270</x:v>
      </x:c>
      <x:c r="AJ682" s="55" t="n">
        <x:v>519</x:v>
      </x:c>
      <x:c r="AK682" s="55" t="n">
        <x:v>1210</x:v>
      </x:c>
      <x:c r="AL682" s="55" t="n">
        <x:v>1660</x:v>
      </x:c>
      <x:c r="AM682" s="55" t="n">
        <x:v>4662</x:v>
      </x:c>
      <x:c r="AN682" s="55" t="n">
        <x:v>2984</x:v>
      </x:c>
      <x:c r="AO682" s="55" t="n">
        <x:v>0</x:v>
      </x:c>
      <x:c r="AP682" s="55" t="n">
        <x:v>2701</x:v>
      </x:c>
      <x:c r="AQ682" s="55" t="n">
        <x:v>987</x:v>
      </x:c>
    </x:row>
    <x:row r="683">
      <x:c r="A683" s="54" t="str">
        <x:v>T1_SHARED_CATCHMENT</x:v>
      </x:c>
      <x:c r="B683" s="54" t="n">
        <x:v>677</x:v>
      </x:c>
      <x:c r="C683" s="54" t="str">
        <x:v>NYC-V2-R01</x:v>
      </x:c>
      <x:c r="D683" s="54" t="str">
        <x:v>V2</x:v>
      </x:c>
      <x:c r="E683" s="54" t="str">
        <x:v>ADMITTED</x:v>
      </x:c>
      <x:c r="F683" s="55" t="n">
        <x:v>30689</x:v>
      </x:c>
      <x:c r="G683" s="55" t="n">
        <x:v>8109</x:v>
      </x:c>
      <x:c r="H683" s="55" t="n">
        <x:v>3371</x:v>
      </x:c>
      <x:c r="I683" s="55" t="n">
        <x:v>1247</x:v>
      </x:c>
      <x:c r="J683" s="55" t="n">
        <x:v>0</x:v>
      </x:c>
      <x:c r="K683" s="55" t="n">
        <x:v>29134</x:v>
      </x:c>
      <x:c r="L683" s="55" t="n">
        <x:v>5798</x:v>
      </x:c>
      <x:c r="M683" s="55" t="n">
        <x:v>581</x:v>
      </x:c>
      <x:c r="N683" s="55" t="n">
        <x:v>3212</x:v>
      </x:c>
      <x:c r="O683" s="55" t="n">
        <x:v>2005</x:v>
      </x:c>
      <x:c r="P683" s="55" t="n">
        <x:v>1071</x:v>
      </x:c>
      <x:c r="Q683" s="55" t="n">
        <x:v>3084</x:v>
      </x:c>
      <x:c r="R683" s="55" t="n">
        <x:v>1445</x:v>
      </x:c>
      <x:c r="S683" s="55" t="n">
        <x:v>3159</x:v>
      </x:c>
      <x:c r="T683" s="55" t="n">
        <x:v>1467</x:v>
      </x:c>
      <x:c r="U683" s="55" t="n">
        <x:v>2074</x:v>
      </x:c>
      <x:c r="V683" s="55" t="n">
        <x:v>10924</x:v>
      </x:c>
      <x:c r="W683" s="55" t="n">
        <x:v>7515</x:v>
      </x:c>
      <x:c r="X683" s="55" t="n">
        <x:v>3409</x:v>
      </x:c>
      <x:c r="Y683" s="55" t="n">
        <x:v>2883</x:v>
      </x:c>
      <x:c r="Z683" s="55" t="n">
        <x:v>4072</x:v>
      </x:c>
      <x:c r="AA683" s="55" t="n">
        <x:v>3001</x:v>
      </x:c>
      <x:c r="AB683" s="55" t="n">
        <x:v>1324</x:v>
      </x:c>
      <x:c r="AC683" s="55" t="n">
        <x:v>8349</x:v>
      </x:c>
      <x:c r="AD683" s="55" t="n">
        <x:v>3697</x:v>
      </x:c>
      <x:c r="AE683" s="55" t="n">
        <x:v>11087</x:v>
      </x:c>
      <x:c r="AF683" s="55" t="n">
        <x:v>10924</x:v>
      </x:c>
      <x:c r="AG683" s="55" t="n">
        <x:v>163</x:v>
      </x:c>
      <x:c r="AH683" s="55" t="n">
        <x:v>597</x:v>
      </x:c>
      <x:c r="AI683" s="55" t="n">
        <x:v>10327</x:v>
      </x:c>
      <x:c r="AJ683" s="55" t="n">
        <x:v>443</x:v>
      </x:c>
      <x:c r="AK683" s="55" t="n">
        <x:v>1019</x:v>
      </x:c>
      <x:c r="AL683" s="55" t="n">
        <x:v>2134</x:v>
      </x:c>
      <x:c r="AM683" s="55" t="n">
        <x:v>4621</x:v>
      </x:c>
      <x:c r="AN683" s="55" t="n">
        <x:v>2692</x:v>
      </x:c>
      <x:c r="AO683" s="55" t="n">
        <x:v>15</x:v>
      </x:c>
      <x:c r="AP683" s="55" t="n">
        <x:v>2435</x:v>
      </x:c>
      <x:c r="AQ683" s="55" t="n">
        <x:v>990</x:v>
      </x:c>
    </x:row>
    <x:row r="684">
      <x:c r="A684" s="54" t="str">
        <x:v>T1_SHARED_CATCHMENT</x:v>
      </x:c>
      <x:c r="B684" s="54" t="n">
        <x:v>678</x:v>
      </x:c>
      <x:c r="C684" s="54" t="str">
        <x:v>NYC-V2-R01</x:v>
      </x:c>
      <x:c r="D684" s="54" t="str">
        <x:v>V2</x:v>
      </x:c>
      <x:c r="E684" s="54" t="str">
        <x:v>ADMITTED</x:v>
      </x:c>
      <x:c r="F684" s="55" t="n">
        <x:v>32885</x:v>
      </x:c>
      <x:c r="G684" s="55" t="n">
        <x:v>8556</x:v>
      </x:c>
      <x:c r="H684" s="55" t="n">
        <x:v>3359</x:v>
      </x:c>
      <x:c r="I684" s="55" t="n">
        <x:v>1427</x:v>
      </x:c>
      <x:c r="J684" s="55" t="n">
        <x:v>425</x:v>
      </x:c>
      <x:c r="K684" s="55" t="n">
        <x:v>32885</x:v>
      </x:c>
      <x:c r="L684" s="55" t="n">
        <x:v>6574</x:v>
      </x:c>
      <x:c r="M684" s="55" t="n">
        <x:v>1541</x:v>
      </x:c>
      <x:c r="N684" s="55" t="n">
        <x:v>2545</x:v>
      </x:c>
      <x:c r="O684" s="55" t="n">
        <x:v>2488</x:v>
      </x:c>
      <x:c r="P684" s="55" t="n">
        <x:v>1078</x:v>
      </x:c>
      <x:c r="Q684" s="55" t="n">
        <x:v>2292</x:v>
      </x:c>
      <x:c r="R684" s="55" t="n">
        <x:v>2149</x:v>
      </x:c>
      <x:c r="S684" s="55" t="n">
        <x:v>3305</x:v>
      </x:c>
      <x:c r="T684" s="55" t="n">
        <x:v>1287</x:v>
      </x:c>
      <x:c r="U684" s="55" t="n">
        <x:v>3159</x:v>
      </x:c>
      <x:c r="V684" s="55" t="n">
        <x:v>11030</x:v>
      </x:c>
      <x:c r="W684" s="55" t="n">
        <x:v>7594</x:v>
      </x:c>
      <x:c r="X684" s="55" t="n">
        <x:v>3436</x:v>
      </x:c>
      <x:c r="Y684" s="55" t="n">
        <x:v>2996</x:v>
      </x:c>
      <x:c r="Z684" s="55" t="n">
        <x:v>3817</x:v>
      </x:c>
      <x:c r="AA684" s="55" t="n">
        <x:v>3359</x:v>
      </x:c>
      <x:c r="AB684" s="55" t="n">
        <x:v>1215</x:v>
      </x:c>
      <x:c r="AC684" s="55" t="n">
        <x:v>8362</x:v>
      </x:c>
      <x:c r="AD684" s="55" t="n">
        <x:v>3529</x:v>
      </x:c>
      <x:c r="AE684" s="55" t="n">
        <x:v>11196</x:v>
      </x:c>
      <x:c r="AF684" s="55" t="n">
        <x:v>11030</x:v>
      </x:c>
      <x:c r="AG684" s="55" t="n">
        <x:v>166</x:v>
      </x:c>
      <x:c r="AH684" s="55" t="n">
        <x:v>556</x:v>
      </x:c>
      <x:c r="AI684" s="55" t="n">
        <x:v>10474</x:v>
      </x:c>
      <x:c r="AJ684" s="55" t="n">
        <x:v>433</x:v>
      </x:c>
      <x:c r="AK684" s="55" t="n">
        <x:v>734</x:v>
      </x:c>
      <x:c r="AL684" s="55" t="n">
        <x:v>1709</x:v>
      </x:c>
      <x:c r="AM684" s="55" t="n">
        <x:v>5029</x:v>
      </x:c>
      <x:c r="AN684" s="55" t="n">
        <x:v>3125</x:v>
      </x:c>
      <x:c r="AO684" s="55" t="n">
        <x:v>0</x:v>
      </x:c>
      <x:c r="AP684" s="55" t="n">
        <x:v>2583</x:v>
      </x:c>
      <x:c r="AQ684" s="55" t="n">
        <x:v>949</x:v>
      </x:c>
    </x:row>
    <x:row r="685">
      <x:c r="A685" s="54" t="str">
        <x:v>T1_SHARED_CATCHMENT</x:v>
      </x:c>
      <x:c r="B685" s="54" t="n">
        <x:v>679</x:v>
      </x:c>
      <x:c r="C685" s="54" t="str">
        <x:v>NYC-V2-R01</x:v>
      </x:c>
      <x:c r="D685" s="54" t="str">
        <x:v>V2</x:v>
      </x:c>
      <x:c r="E685" s="54" t="str">
        <x:v>ADMITTED</x:v>
      </x:c>
      <x:c r="F685" s="55" t="n">
        <x:v>30859</x:v>
      </x:c>
      <x:c r="G685" s="55" t="n">
        <x:v>7703</x:v>
      </x:c>
      <x:c r="H685" s="55" t="n">
        <x:v>3296</x:v>
      </x:c>
      <x:c r="I685" s="55" t="n">
        <x:v>1210</x:v>
      </x:c>
      <x:c r="J685" s="55" t="n">
        <x:v>53</x:v>
      </x:c>
      <x:c r="K685" s="55" t="n">
        <x:v>29982</x:v>
      </x:c>
      <x:c r="L685" s="55" t="n">
        <x:v>5401</x:v>
      </x:c>
      <x:c r="M685" s="55" t="n">
        <x:v>826</x:v>
      </x:c>
      <x:c r="N685" s="55" t="n">
        <x:v>3046</x:v>
      </x:c>
      <x:c r="O685" s="55" t="n">
        <x:v>1529</x:v>
      </x:c>
      <x:c r="P685" s="55" t="n">
        <x:v>830</x:v>
      </x:c>
      <x:c r="Q685" s="55" t="n">
        <x:v>2200</x:v>
      </x:c>
      <x:c r="R685" s="55" t="n">
        <x:v>1834</x:v>
      </x:c>
      <x:c r="S685" s="55" t="n">
        <x:v>2353</x:v>
      </x:c>
      <x:c r="T685" s="55" t="n">
        <x:v>1092</x:v>
      </x:c>
      <x:c r="U685" s="55" t="n">
        <x:v>1377</x:v>
      </x:c>
      <x:c r="V685" s="55" t="n">
        <x:v>10302</x:v>
      </x:c>
      <x:c r="W685" s="55" t="n">
        <x:v>7707</x:v>
      </x:c>
      <x:c r="X685" s="55" t="n">
        <x:v>2595</x:v>
      </x:c>
      <x:c r="Y685" s="55" t="n">
        <x:v>2196</x:v>
      </x:c>
      <x:c r="Z685" s="55" t="n">
        <x:v>3411</x:v>
      </x:c>
      <x:c r="AA685" s="55" t="n">
        <x:v>3296</x:v>
      </x:c>
      <x:c r="AB685" s="55" t="n">
        <x:v>825</x:v>
      </x:c>
      <x:c r="AC685" s="55" t="n">
        <x:v>7708</x:v>
      </x:c>
      <x:c r="AD685" s="55" t="n">
        <x:v>2666</x:v>
      </x:c>
      <x:c r="AE685" s="55" t="n">
        <x:v>10346</x:v>
      </x:c>
      <x:c r="AF685" s="55" t="n">
        <x:v>10302</x:v>
      </x:c>
      <x:c r="AG685" s="55" t="n">
        <x:v>44</x:v>
      </x:c>
      <x:c r="AH685" s="55" t="n">
        <x:v>269</x:v>
      </x:c>
      <x:c r="AI685" s="55" t="n">
        <x:v>10033</x:v>
      </x:c>
      <x:c r="AJ685" s="55" t="n">
        <x:v>156</x:v>
      </x:c>
      <x:c r="AK685" s="55" t="n">
        <x:v>835</x:v>
      </x:c>
      <x:c r="AL685" s="55" t="n">
        <x:v>1427</x:v>
      </x:c>
      <x:c r="AM685" s="55" t="n">
        <x:v>5120</x:v>
      </x:c>
      <x:c r="AN685" s="55" t="n">
        <x:v>2764</x:v>
      </x:c>
      <x:c r="AO685" s="55" t="n">
        <x:v>0</x:v>
      </x:c>
      <x:c r="AP685" s="55" t="n">
        <x:v>2278</x:v>
      </x:c>
      <x:c r="AQ685" s="55" t="n">
        <x:v>940</x:v>
      </x:c>
    </x:row>
    <x:row r="686">
      <x:c r="A686" s="54" t="str">
        <x:v>T1_SHARED_CATCHMENT</x:v>
      </x:c>
      <x:c r="B686" s="54" t="n">
        <x:v>680</x:v>
      </x:c>
      <x:c r="C686" s="54" t="str">
        <x:v>NYC-V2-R01</x:v>
      </x:c>
      <x:c r="D686" s="54" t="str">
        <x:v>V2</x:v>
      </x:c>
      <x:c r="E686" s="54" t="str">
        <x:v>ADMITTED</x:v>
      </x:c>
      <x:c r="F686" s="55" t="n">
        <x:v>32830</x:v>
      </x:c>
      <x:c r="G686" s="55" t="n">
        <x:v>9457</x:v>
      </x:c>
      <x:c r="H686" s="55" t="n">
        <x:v>3532</x:v>
      </x:c>
      <x:c r="I686" s="55" t="n">
        <x:v>1486</x:v>
      </x:c>
      <x:c r="J686" s="55" t="n">
        <x:v>324</x:v>
      </x:c>
      <x:c r="K686" s="55" t="n">
        <x:v>31552</x:v>
      </x:c>
      <x:c r="L686" s="55" t="n">
        <x:v>5931</x:v>
      </x:c>
      <x:c r="M686" s="55" t="n">
        <x:v>1466</x:v>
      </x:c>
      <x:c r="N686" s="55" t="n">
        <x:v>2961</x:v>
      </x:c>
      <x:c r="O686" s="55" t="n">
        <x:v>1504</x:v>
      </x:c>
      <x:c r="P686" s="55" t="n">
        <x:v>759</x:v>
      </x:c>
      <x:c r="Q686" s="55" t="n">
        <x:v>1585</x:v>
      </x:c>
      <x:c r="R686" s="55" t="n">
        <x:v>2315</x:v>
      </x:c>
      <x:c r="S686" s="55" t="n">
        <x:v>3470</x:v>
      </x:c>
      <x:c r="T686" s="55" t="n">
        <x:v>1114</x:v>
      </x:c>
      <x:c r="U686" s="55" t="n">
        <x:v>2236</x:v>
      </x:c>
      <x:c r="V686" s="55" t="n">
        <x:v>10431</x:v>
      </x:c>
      <x:c r="W686" s="55" t="n">
        <x:v>7367</x:v>
      </x:c>
      <x:c r="X686" s="55" t="n">
        <x:v>3064</x:v>
      </x:c>
      <x:c r="Y686" s="55" t="n">
        <x:v>2710</x:v>
      </x:c>
      <x:c r="Z686" s="55" t="n">
        <x:v>3788</x:v>
      </x:c>
      <x:c r="AA686" s="55" t="n">
        <x:v>3532</x:v>
      </x:c>
      <x:c r="AB686" s="55" t="n">
        <x:v>1424</x:v>
      </x:c>
      <x:c r="AC686" s="55" t="n">
        <x:v>8755</x:v>
      </x:c>
      <x:c r="AD686" s="55" t="n">
        <x:v>3265</x:v>
      </x:c>
      <x:c r="AE686" s="55" t="n">
        <x:v>10556</x:v>
      </x:c>
      <x:c r="AF686" s="55" t="n">
        <x:v>10431</x:v>
      </x:c>
      <x:c r="AG686" s="55" t="n">
        <x:v>125</x:v>
      </x:c>
      <x:c r="AH686" s="55" t="n">
        <x:v>283</x:v>
      </x:c>
      <x:c r="AI686" s="55" t="n">
        <x:v>10148</x:v>
      </x:c>
      <x:c r="AJ686" s="55" t="n">
        <x:v>245</x:v>
      </x:c>
      <x:c r="AK686" s="55" t="n">
        <x:v>959</x:v>
      </x:c>
      <x:c r="AL686" s="55" t="n">
        <x:v>1300</x:v>
      </x:c>
      <x:c r="AM686" s="55" t="n">
        <x:v>5192</x:v>
      </x:c>
      <x:c r="AN686" s="55" t="n">
        <x:v>2735</x:v>
      </x:c>
      <x:c r="AO686" s="55" t="n">
        <x:v>0</x:v>
      </x:c>
      <x:c r="AP686" s="55" t="n">
        <x:v>2556</x:v>
      </x:c>
      <x:c r="AQ686" s="55" t="n">
        <x:v>939</x:v>
      </x:c>
    </x:row>
    <x:row r="687">
      <x:c r="A687" s="54" t="str">
        <x:v>T1_SHARED_CATCHMENT</x:v>
      </x:c>
      <x:c r="B687" s="54" t="n">
        <x:v>681</x:v>
      </x:c>
      <x:c r="C687" s="54" t="str">
        <x:v>NYC-V2-R01</x:v>
      </x:c>
      <x:c r="D687" s="54" t="str">
        <x:v>V2</x:v>
      </x:c>
      <x:c r="E687" s="54" t="str">
        <x:v>ADMITTED</x:v>
      </x:c>
      <x:c r="F687" s="55" t="n">
        <x:v>31207</x:v>
      </x:c>
      <x:c r="G687" s="55" t="n">
        <x:v>5736</x:v>
      </x:c>
      <x:c r="H687" s="55" t="n">
        <x:v>3844</x:v>
      </x:c>
      <x:c r="I687" s="55" t="n">
        <x:v>1544</x:v>
      </x:c>
      <x:c r="J687" s="55" t="n">
        <x:v>226</x:v>
      </x:c>
      <x:c r="K687" s="55" t="n">
        <x:v>31207</x:v>
      </x:c>
      <x:c r="L687" s="55" t="n">
        <x:v>4743</x:v>
      </x:c>
      <x:c r="M687" s="55" t="n">
        <x:v>1195</x:v>
      </x:c>
      <x:c r="N687" s="55" t="n">
        <x:v>2193</x:v>
      </x:c>
      <x:c r="O687" s="55" t="n">
        <x:v>1355</x:v>
      </x:c>
      <x:c r="P687" s="55" t="n">
        <x:v>879</x:v>
      </x:c>
      <x:c r="Q687" s="55" t="n">
        <x:v>2668</x:v>
      </x:c>
      <x:c r="R687" s="55" t="n">
        <x:v>2056</x:v>
      </x:c>
      <x:c r="S687" s="55" t="n">
        <x:v>2214</x:v>
      </x:c>
      <x:c r="T687" s="55" t="n">
        <x:v>1246</x:v>
      </x:c>
      <x:c r="U687" s="55" t="n">
        <x:v>2292</x:v>
      </x:c>
      <x:c r="V687" s="55" t="n">
        <x:v>10177</x:v>
      </x:c>
      <x:c r="W687" s="55" t="n">
        <x:v>7411</x:v>
      </x:c>
      <x:c r="X687" s="55" t="n">
        <x:v>2766</x:v>
      </x:c>
      <x:c r="Y687" s="55" t="n">
        <x:v>2480</x:v>
      </x:c>
      <x:c r="Z687" s="55" t="n">
        <x:v>3850</x:v>
      </x:c>
      <x:c r="AA687" s="55" t="n">
        <x:v>2839</x:v>
      </x:c>
      <x:c r="AB687" s="55" t="n">
        <x:v>1003</x:v>
      </x:c>
      <x:c r="AC687" s="55" t="n">
        <x:v>8339</x:v>
      </x:c>
      <x:c r="AD687" s="55" t="n">
        <x:v>2731</x:v>
      </x:c>
      <x:c r="AE687" s="55" t="n">
        <x:v>10303</x:v>
      </x:c>
      <x:c r="AF687" s="55" t="n">
        <x:v>10177</x:v>
      </x:c>
      <x:c r="AG687" s="55" t="n">
        <x:v>126</x:v>
      </x:c>
      <x:c r="AH687" s="55" t="n">
        <x:v>424</x:v>
      </x:c>
      <x:c r="AI687" s="55" t="n">
        <x:v>9753</x:v>
      </x:c>
      <x:c r="AJ687" s="55" t="n">
        <x:v>24</x:v>
      </x:c>
      <x:c r="AK687" s="55" t="n">
        <x:v>919</x:v>
      </x:c>
      <x:c r="AL687" s="55" t="n">
        <x:v>1848</x:v>
      </x:c>
      <x:c r="AM687" s="55" t="n">
        <x:v>5080</x:v>
      </x:c>
      <x:c r="AN687" s="55" t="n">
        <x:v>2306</x:v>
      </x:c>
      <x:c r="AO687" s="55" t="n">
        <x:v>0</x:v>
      </x:c>
      <x:c r="AP687" s="55" t="n">
        <x:v>2030</x:v>
      </x:c>
      <x:c r="AQ687" s="55" t="n">
        <x:v>989</x:v>
      </x:c>
    </x:row>
    <x:row r="688">
      <x:c r="A688" s="54" t="str">
        <x:v>T1_SHARED_CATCHMENT</x:v>
      </x:c>
      <x:c r="B688" s="54" t="n">
        <x:v>682</x:v>
      </x:c>
      <x:c r="C688" s="54" t="str">
        <x:v>NYC-V2-R01</x:v>
      </x:c>
      <x:c r="D688" s="54" t="str">
        <x:v>V2</x:v>
      </x:c>
      <x:c r="E688" s="54" t="str">
        <x:v>ADMITTED</x:v>
      </x:c>
      <x:c r="F688" s="55" t="n">
        <x:v>33158</x:v>
      </x:c>
      <x:c r="G688" s="55" t="n">
        <x:v>7456</x:v>
      </x:c>
      <x:c r="H688" s="55" t="n">
        <x:v>3748</x:v>
      </x:c>
      <x:c r="I688" s="55" t="n">
        <x:v>1784</x:v>
      </x:c>
      <x:c r="J688" s="55" t="n">
        <x:v>274</x:v>
      </x:c>
      <x:c r="K688" s="55" t="n">
        <x:v>30709</x:v>
      </x:c>
      <x:c r="L688" s="55" t="n">
        <x:v>6667</x:v>
      </x:c>
      <x:c r="M688" s="55" t="n">
        <x:v>2453</x:v>
      </x:c>
      <x:c r="N688" s="55" t="n">
        <x:v>2645</x:v>
      </x:c>
      <x:c r="O688" s="55" t="n">
        <x:v>1569</x:v>
      </x:c>
      <x:c r="P688" s="55" t="n">
        <x:v>1218</x:v>
      </x:c>
      <x:c r="Q688" s="55" t="n">
        <x:v>2641</x:v>
      </x:c>
      <x:c r="R688" s="55" t="n">
        <x:v>1999</x:v>
      </x:c>
      <x:c r="S688" s="55" t="n">
        <x:v>2723</x:v>
      </x:c>
      <x:c r="T688" s="55" t="n">
        <x:v>1752</x:v>
      </x:c>
      <x:c r="U688" s="55" t="n">
        <x:v>2745</x:v>
      </x:c>
      <x:c r="V688" s="55" t="n">
        <x:v>10623</x:v>
      </x:c>
      <x:c r="W688" s="55" t="n">
        <x:v>7191</x:v>
      </x:c>
      <x:c r="X688" s="55" t="n">
        <x:v>3432</x:v>
      </x:c>
      <x:c r="Y688" s="55" t="n">
        <x:v>3000</x:v>
      </x:c>
      <x:c r="Z688" s="55" t="n">
        <x:v>3927</x:v>
      </x:c>
      <x:c r="AA688" s="55" t="n">
        <x:v>3207</x:v>
      </x:c>
      <x:c r="AB688" s="55" t="n">
        <x:v>1514</x:v>
      </x:c>
      <x:c r="AC688" s="55" t="n">
        <x:v>7552</x:v>
      </x:c>
      <x:c r="AD688" s="55" t="n">
        <x:v>3448</x:v>
      </x:c>
      <x:c r="AE688" s="55" t="n">
        <x:v>10716</x:v>
      </x:c>
      <x:c r="AF688" s="55" t="n">
        <x:v>10623</x:v>
      </x:c>
      <x:c r="AG688" s="55" t="n">
        <x:v>93</x:v>
      </x:c>
      <x:c r="AH688" s="55" t="n">
        <x:v>422</x:v>
      </x:c>
      <x:c r="AI688" s="55" t="n">
        <x:v>10201</x:v>
      </x:c>
      <x:c r="AJ688" s="55" t="n">
        <x:v>289</x:v>
      </x:c>
      <x:c r="AK688" s="55" t="n">
        <x:v>1234</x:v>
      </x:c>
      <x:c r="AL688" s="55" t="n">
        <x:v>1582</x:v>
      </x:c>
      <x:c r="AM688" s="55" t="n">
        <x:v>4678</x:v>
      </x:c>
      <x:c r="AN688" s="55" t="n">
        <x:v>2754</x:v>
      </x:c>
      <x:c r="AO688" s="55" t="n">
        <x:v>86</x:v>
      </x:c>
      <x:c r="AP688" s="55" t="n">
        <x:v>2695</x:v>
      </x:c>
      <x:c r="AQ688" s="55" t="n">
        <x:v>945</x:v>
      </x:c>
    </x:row>
    <x:row r="689">
      <x:c r="A689" s="54" t="str">
        <x:v>T1_SHARED_CATCHMENT</x:v>
      </x:c>
      <x:c r="B689" s="54" t="n">
        <x:v>683</x:v>
      </x:c>
      <x:c r="C689" s="54" t="str">
        <x:v>NYC-V2-R01</x:v>
      </x:c>
      <x:c r="D689" s="54" t="str">
        <x:v>V2</x:v>
      </x:c>
      <x:c r="E689" s="54" t="str">
        <x:v>ADMITTED</x:v>
      </x:c>
      <x:c r="F689" s="55" t="n">
        <x:v>33165</x:v>
      </x:c>
      <x:c r="G689" s="55" t="n">
        <x:v>9372</x:v>
      </x:c>
      <x:c r="H689" s="55" t="n">
        <x:v>3465</x:v>
      </x:c>
      <x:c r="I689" s="55" t="n">
        <x:v>1470</x:v>
      </x:c>
      <x:c r="J689" s="55" t="n">
        <x:v>215</x:v>
      </x:c>
      <x:c r="K689" s="55" t="n">
        <x:v>31963</x:v>
      </x:c>
      <x:c r="L689" s="55" t="n">
        <x:v>6504</x:v>
      </x:c>
      <x:c r="M689" s="55" t="n">
        <x:v>1783</x:v>
      </x:c>
      <x:c r="N689" s="55" t="n">
        <x:v>2668</x:v>
      </x:c>
      <x:c r="O689" s="55" t="n">
        <x:v>2053</x:v>
      </x:c>
      <x:c r="P689" s="55" t="n">
        <x:v>913</x:v>
      </x:c>
      <x:c r="Q689" s="55" t="n">
        <x:v>2699</x:v>
      </x:c>
      <x:c r="R689" s="55" t="n">
        <x:v>1647</x:v>
      </x:c>
      <x:c r="S689" s="55" t="n">
        <x:v>2926</x:v>
      </x:c>
      <x:c r="T689" s="55" t="n">
        <x:v>1406</x:v>
      </x:c>
      <x:c r="U689" s="55" t="n">
        <x:v>2266</x:v>
      </x:c>
      <x:c r="V689" s="55" t="n">
        <x:v>10860</x:v>
      </x:c>
      <x:c r="W689" s="55" t="n">
        <x:v>7839</x:v>
      </x:c>
      <x:c r="X689" s="55" t="n">
        <x:v>3021</x:v>
      </x:c>
      <x:c r="Y689" s="55" t="n">
        <x:v>2602</x:v>
      </x:c>
      <x:c r="Z689" s="55" t="n">
        <x:v>4030</x:v>
      </x:c>
      <x:c r="AA689" s="55" t="n">
        <x:v>2974</x:v>
      </x:c>
      <x:c r="AB689" s="55" t="n">
        <x:v>1469</x:v>
      </x:c>
      <x:c r="AC689" s="55" t="n">
        <x:v>7765</x:v>
      </x:c>
      <x:c r="AD689" s="55" t="n">
        <x:v>3386</x:v>
      </x:c>
      <x:c r="AE689" s="55" t="n">
        <x:v>10932</x:v>
      </x:c>
      <x:c r="AF689" s="55" t="n">
        <x:v>10860</x:v>
      </x:c>
      <x:c r="AG689" s="55" t="n">
        <x:v>72</x:v>
      </x:c>
      <x:c r="AH689" s="55" t="n">
        <x:v>516</x:v>
      </x:c>
      <x:c r="AI689" s="55" t="n">
        <x:v>10344</x:v>
      </x:c>
      <x:c r="AJ689" s="55" t="n">
        <x:v>177</x:v>
      </x:c>
      <x:c r="AK689" s="55" t="n">
        <x:v>1221</x:v>
      </x:c>
      <x:c r="AL689" s="55" t="n">
        <x:v>1857</x:v>
      </x:c>
      <x:c r="AM689" s="55" t="n">
        <x:v>4720</x:v>
      </x:c>
      <x:c r="AN689" s="55" t="n">
        <x:v>2818</x:v>
      </x:c>
      <x:c r="AO689" s="55" t="n">
        <x:v>67</x:v>
      </x:c>
      <x:c r="AP689" s="55" t="n">
        <x:v>2440</x:v>
      </x:c>
      <x:c r="AQ689" s="55" t="n">
        <x:v>977</x:v>
      </x:c>
    </x:row>
    <x:row r="690">
      <x:c r="A690" s="54" t="str">
        <x:v>T1_SHARED_CATCHMENT</x:v>
      </x:c>
      <x:c r="B690" s="54" t="n">
        <x:v>684</x:v>
      </x:c>
      <x:c r="C690" s="54" t="str">
        <x:v>NYC-V2-R01</x:v>
      </x:c>
      <x:c r="D690" s="54" t="str">
        <x:v>V2</x:v>
      </x:c>
      <x:c r="E690" s="54" t="str">
        <x:v>ADMITTED</x:v>
      </x:c>
      <x:c r="F690" s="55" t="n">
        <x:v>29671</x:v>
      </x:c>
      <x:c r="G690" s="55" t="n">
        <x:v>7732</x:v>
      </x:c>
      <x:c r="H690" s="55" t="n">
        <x:v>3120</x:v>
      </x:c>
      <x:c r="I690" s="55" t="n">
        <x:v>1413</x:v>
      </x:c>
      <x:c r="J690" s="55" t="n">
        <x:v>118</x:v>
      </x:c>
      <x:c r="K690" s="55" t="n">
        <x:v>29004</x:v>
      </x:c>
      <x:c r="L690" s="55" t="n">
        <x:v>4860</x:v>
      </x:c>
      <x:c r="M690" s="55" t="n">
        <x:v>668</x:v>
      </x:c>
      <x:c r="N690" s="55" t="n">
        <x:v>1883</x:v>
      </x:c>
      <x:c r="O690" s="55" t="n">
        <x:v>2309</x:v>
      </x:c>
      <x:c r="P690" s="55" t="n">
        <x:v>763</x:v>
      </x:c>
      <x:c r="Q690" s="55" t="n">
        <x:v>2505</x:v>
      </x:c>
      <x:c r="R690" s="55" t="n">
        <x:v>1970</x:v>
      </x:c>
      <x:c r="S690" s="55" t="n">
        <x:v>2800</x:v>
      </x:c>
      <x:c r="T690" s="55" t="n">
        <x:v>1148</x:v>
      </x:c>
      <x:c r="U690" s="55" t="n">
        <x:v>2002</x:v>
      </x:c>
      <x:c r="V690" s="55" t="n">
        <x:v>10519</x:v>
      </x:c>
      <x:c r="W690" s="55" t="n">
        <x:v>7712</x:v>
      </x:c>
      <x:c r="X690" s="55" t="n">
        <x:v>2807</x:v>
      </x:c>
      <x:c r="Y690" s="55" t="n">
        <x:v>2384</x:v>
      </x:c>
      <x:c r="Z690" s="55" t="n">
        <x:v>3906</x:v>
      </x:c>
      <x:c r="AA690" s="55" t="n">
        <x:v>2676</x:v>
      </x:c>
      <x:c r="AB690" s="55" t="n">
        <x:v>834</x:v>
      </x:c>
      <x:c r="AC690" s="55" t="n">
        <x:v>7989</x:v>
      </x:c>
      <x:c r="AD690" s="55" t="n">
        <x:v>2659</x:v>
      </x:c>
      <x:c r="AE690" s="55" t="n">
        <x:v>10656</x:v>
      </x:c>
      <x:c r="AF690" s="55" t="n">
        <x:v>10519</x:v>
      </x:c>
      <x:c r="AG690" s="55" t="n">
        <x:v>137</x:v>
      </x:c>
      <x:c r="AH690" s="55" t="n">
        <x:v>358</x:v>
      </x:c>
      <x:c r="AI690" s="55" t="n">
        <x:v>10161</x:v>
      </x:c>
      <x:c r="AJ690" s="55" t="n">
        <x:v>265</x:v>
      </x:c>
      <x:c r="AK690" s="55" t="n">
        <x:v>1246</x:v>
      </x:c>
      <x:c r="AL690" s="55" t="n">
        <x:v>1535</x:v>
      </x:c>
      <x:c r="AM690" s="55" t="n">
        <x:v>4722</x:v>
      </x:c>
      <x:c r="AN690" s="55" t="n">
        <x:v>2658</x:v>
      </x:c>
      <x:c r="AO690" s="55" t="n">
        <x:v>93</x:v>
      </x:c>
      <x:c r="AP690" s="55" t="n">
        <x:v>2636</x:v>
      </x:c>
      <x:c r="AQ690" s="55" t="n">
        <x:v>977</x:v>
      </x:c>
    </x:row>
    <x:row r="691">
      <x:c r="A691" s="54" t="str">
        <x:v>T1_SHARED_CATCHMENT</x:v>
      </x:c>
      <x:c r="B691" s="54" t="n">
        <x:v>685</x:v>
      </x:c>
      <x:c r="C691" s="54" t="str">
        <x:v>NYC-V2-R01</x:v>
      </x:c>
      <x:c r="D691" s="54" t="str">
        <x:v>V2</x:v>
      </x:c>
      <x:c r="E691" s="54" t="str">
        <x:v>ADMITTED</x:v>
      </x:c>
      <x:c r="F691" s="55" t="n">
        <x:v>30512</x:v>
      </x:c>
      <x:c r="G691" s="55" t="n">
        <x:v>6496</x:v>
      </x:c>
      <x:c r="H691" s="55" t="n">
        <x:v>2845</x:v>
      </x:c>
      <x:c r="I691" s="55" t="n">
        <x:v>1085</x:v>
      </x:c>
      <x:c r="J691" s="55" t="n">
        <x:v>356</x:v>
      </x:c>
      <x:c r="K691" s="55" t="n">
        <x:v>30512</x:v>
      </x:c>
      <x:c r="L691" s="55" t="n">
        <x:v>4983</x:v>
      </x:c>
      <x:c r="M691" s="55" t="n">
        <x:v>471</x:v>
      </x:c>
      <x:c r="N691" s="55" t="n">
        <x:v>2633</x:v>
      </x:c>
      <x:c r="O691" s="55" t="n">
        <x:v>1879</x:v>
      </x:c>
      <x:c r="P691" s="55" t="n">
        <x:v>937</x:v>
      </x:c>
      <x:c r="Q691" s="55" t="n">
        <x:v>2338</x:v>
      </x:c>
      <x:c r="R691" s="55" t="n">
        <x:v>1795</x:v>
      </x:c>
      <x:c r="S691" s="55" t="n">
        <x:v>2644</x:v>
      </x:c>
      <x:c r="T691" s="55" t="n">
        <x:v>927</x:v>
      </x:c>
      <x:c r="U691" s="55" t="n">
        <x:v>2327</x:v>
      </x:c>
      <x:c r="V691" s="55" t="n">
        <x:v>10425</x:v>
      </x:c>
      <x:c r="W691" s="55" t="n">
        <x:v>7481</x:v>
      </x:c>
      <x:c r="X691" s="55" t="n">
        <x:v>2944</x:v>
      </x:c>
      <x:c r="Y691" s="55" t="n">
        <x:v>2611</x:v>
      </x:c>
      <x:c r="Z691" s="55" t="n">
        <x:v>3898</x:v>
      </x:c>
      <x:c r="AA691" s="55" t="n">
        <x:v>2799</x:v>
      </x:c>
      <x:c r="AB691" s="55" t="n">
        <x:v>1062</x:v>
      </x:c>
      <x:c r="AC691" s="55" t="n">
        <x:v>7827</x:v>
      </x:c>
      <x:c r="AD691" s="55" t="n">
        <x:v>2556</x:v>
      </x:c>
      <x:c r="AE691" s="55" t="n">
        <x:v>10477</x:v>
      </x:c>
      <x:c r="AF691" s="55" t="n">
        <x:v>10425</x:v>
      </x:c>
      <x:c r="AG691" s="55" t="n">
        <x:v>52</x:v>
      </x:c>
      <x:c r="AH691" s="55" t="n">
        <x:v>293</x:v>
      </x:c>
      <x:c r="AI691" s="55" t="n">
        <x:v>10132</x:v>
      </x:c>
      <x:c r="AJ691" s="55" t="n">
        <x:v>174</x:v>
      </x:c>
      <x:c r="AK691" s="55" t="n">
        <x:v>1389</x:v>
      </x:c>
      <x:c r="AL691" s="55" t="n">
        <x:v>1154</x:v>
      </x:c>
      <x:c r="AM691" s="55" t="n">
        <x:v>4850</x:v>
      </x:c>
      <x:c r="AN691" s="55" t="n">
        <x:v>2858</x:v>
      </x:c>
      <x:c r="AO691" s="55" t="n">
        <x:v>0</x:v>
      </x:c>
      <x:c r="AP691" s="55" t="n">
        <x:v>2042</x:v>
      </x:c>
      <x:c r="AQ691" s="55" t="n">
        <x:v>988</x:v>
      </x:c>
    </x:row>
    <x:row r="692">
      <x:c r="A692" s="54" t="str">
        <x:v>T1_SHARED_CATCHMENT</x:v>
      </x:c>
      <x:c r="B692" s="54" t="n">
        <x:v>686</x:v>
      </x:c>
      <x:c r="C692" s="54" t="str">
        <x:v>NYC-V2-R01</x:v>
      </x:c>
      <x:c r="D692" s="54" t="str">
        <x:v>V2</x:v>
      </x:c>
      <x:c r="E692" s="54" t="str">
        <x:v>ADMITTED</x:v>
      </x:c>
      <x:c r="F692" s="55" t="n">
        <x:v>31054</x:v>
      </x:c>
      <x:c r="G692" s="55" t="n">
        <x:v>8375</x:v>
      </x:c>
      <x:c r="H692" s="55" t="n">
        <x:v>3558</x:v>
      </x:c>
      <x:c r="I692" s="55" t="n">
        <x:v>1575</x:v>
      </x:c>
      <x:c r="J692" s="55" t="n">
        <x:v>181</x:v>
      </x:c>
      <x:c r="K692" s="55" t="n">
        <x:v>28027</x:v>
      </x:c>
      <x:c r="L692" s="55" t="n">
        <x:v>4589</x:v>
      </x:c>
      <x:c r="M692" s="55" t="n">
        <x:v>0</x:v>
      </x:c>
      <x:c r="N692" s="55" t="n">
        <x:v>2828</x:v>
      </x:c>
      <x:c r="O692" s="55" t="n">
        <x:v>1761</x:v>
      </x:c>
      <x:c r="P692" s="55" t="n">
        <x:v>821</x:v>
      </x:c>
      <x:c r="Q692" s="55" t="n">
        <x:v>2311</x:v>
      </x:c>
      <x:c r="R692" s="55" t="n">
        <x:v>1363</x:v>
      </x:c>
      <x:c r="S692" s="55" t="n">
        <x:v>3427</x:v>
      </x:c>
      <x:c r="T692" s="55" t="n">
        <x:v>1049</x:v>
      </x:c>
      <x:c r="U692" s="55" t="n">
        <x:v>1297</x:v>
      </x:c>
      <x:c r="V692" s="55" t="n">
        <x:v>10120</x:v>
      </x:c>
      <x:c r="W692" s="55" t="n">
        <x:v>6690</x:v>
      </x:c>
      <x:c r="X692" s="55" t="n">
        <x:v>3430</x:v>
      </x:c>
      <x:c r="Y692" s="55" t="n">
        <x:v>2959</x:v>
      </x:c>
      <x:c r="Z692" s="55" t="n">
        <x:v>3594</x:v>
      </x:c>
      <x:c r="AA692" s="55" t="n">
        <x:v>2639</x:v>
      </x:c>
      <x:c r="AB692" s="55" t="n">
        <x:v>1135</x:v>
      </x:c>
      <x:c r="AC692" s="55" t="n">
        <x:v>7718</x:v>
      </x:c>
      <x:c r="AD692" s="55" t="n">
        <x:v>2659</x:v>
      </x:c>
      <x:c r="AE692" s="55" t="n">
        <x:v>10235</x:v>
      </x:c>
      <x:c r="AF692" s="55" t="n">
        <x:v>10120</x:v>
      </x:c>
      <x:c r="AG692" s="55" t="n">
        <x:v>115</x:v>
      </x:c>
      <x:c r="AH692" s="55" t="n">
        <x:v>356</x:v>
      </x:c>
      <x:c r="AI692" s="55" t="n">
        <x:v>9764</x:v>
      </x:c>
      <x:c r="AJ692" s="55" t="n">
        <x:v>215</x:v>
      </x:c>
      <x:c r="AK692" s="55" t="n">
        <x:v>678</x:v>
      </x:c>
      <x:c r="AL692" s="55" t="n">
        <x:v>1482</x:v>
      </x:c>
      <x:c r="AM692" s="55" t="n">
        <x:v>4941</x:v>
      </x:c>
      <x:c r="AN692" s="55" t="n">
        <x:v>2804</x:v>
      </x:c>
      <x:c r="AO692" s="55" t="n">
        <x:v>0</x:v>
      </x:c>
      <x:c r="AP692" s="55" t="n">
        <x:v>1915</x:v>
      </x:c>
      <x:c r="AQ692" s="55" t="n">
        <x:v>949</x:v>
      </x:c>
    </x:row>
    <x:row r="693">
      <x:c r="A693" s="54" t="str">
        <x:v>T1_SHARED_CATCHMENT</x:v>
      </x:c>
      <x:c r="B693" s="54" t="n">
        <x:v>687</x:v>
      </x:c>
      <x:c r="C693" s="54" t="str">
        <x:v>NYC-V2-R01</x:v>
      </x:c>
      <x:c r="D693" s="54" t="str">
        <x:v>V2</x:v>
      </x:c>
      <x:c r="E693" s="54" t="str">
        <x:v>ADMITTED</x:v>
      </x:c>
      <x:c r="F693" s="55" t="n">
        <x:v>32279</x:v>
      </x:c>
      <x:c r="G693" s="55" t="n">
        <x:v>9025</x:v>
      </x:c>
      <x:c r="H693" s="55" t="n">
        <x:v>3076</x:v>
      </x:c>
      <x:c r="I693" s="55" t="n">
        <x:v>1412</x:v>
      </x:c>
      <x:c r="J693" s="55" t="n">
        <x:v>190</x:v>
      </x:c>
      <x:c r="K693" s="55" t="n">
        <x:v>32100</x:v>
      </x:c>
      <x:c r="L693" s="55" t="n">
        <x:v>5488</x:v>
      </x:c>
      <x:c r="M693" s="55" t="n">
        <x:v>1258</x:v>
      </x:c>
      <x:c r="N693" s="55" t="n">
        <x:v>2297</x:v>
      </x:c>
      <x:c r="O693" s="55" t="n">
        <x:v>1933</x:v>
      </x:c>
      <x:c r="P693" s="55" t="n">
        <x:v>960</x:v>
      </x:c>
      <x:c r="Q693" s="55" t="n">
        <x:v>2627</x:v>
      </x:c>
      <x:c r="R693" s="55" t="n">
        <x:v>1852</x:v>
      </x:c>
      <x:c r="S693" s="55" t="n">
        <x:v>2797</x:v>
      </x:c>
      <x:c r="T693" s="55" t="n">
        <x:v>412</x:v>
      </x:c>
      <x:c r="U693" s="55" t="n">
        <x:v>1559</x:v>
      </x:c>
      <x:c r="V693" s="55" t="n">
        <x:v>10421</x:v>
      </x:c>
      <x:c r="W693" s="55" t="n">
        <x:v>7472</x:v>
      </x:c>
      <x:c r="X693" s="55" t="n">
        <x:v>2949</x:v>
      </x:c>
      <x:c r="Y693" s="55" t="n">
        <x:v>2366</x:v>
      </x:c>
      <x:c r="Z693" s="55" t="n">
        <x:v>3796</x:v>
      </x:c>
      <x:c r="AA693" s="55" t="n">
        <x:v>2994</x:v>
      </x:c>
      <x:c r="AB693" s="55" t="n">
        <x:v>739</x:v>
      </x:c>
      <x:c r="AC693" s="55" t="n">
        <x:v>8420</x:v>
      </x:c>
      <x:c r="AD693" s="55" t="n">
        <x:v>3268</x:v>
      </x:c>
      <x:c r="AE693" s="55" t="n">
        <x:v>10449</x:v>
      </x:c>
      <x:c r="AF693" s="55" t="n">
        <x:v>10421</x:v>
      </x:c>
      <x:c r="AG693" s="55" t="n">
        <x:v>28</x:v>
      </x:c>
      <x:c r="AH693" s="55" t="n">
        <x:v>467</x:v>
      </x:c>
      <x:c r="AI693" s="55" t="n">
        <x:v>9954</x:v>
      </x:c>
      <x:c r="AJ693" s="55" t="n">
        <x:v>241</x:v>
      </x:c>
      <x:c r="AK693" s="55" t="n">
        <x:v>833</x:v>
      </x:c>
      <x:c r="AL693" s="55" t="n">
        <x:v>1091</x:v>
      </x:c>
      <x:c r="AM693" s="55" t="n">
        <x:v>5247</x:v>
      </x:c>
      <x:c r="AN693" s="55" t="n">
        <x:v>2966</x:v>
      </x:c>
      <x:c r="AO693" s="55" t="n">
        <x:v>43</x:v>
      </x:c>
      <x:c r="AP693" s="55" t="n">
        <x:v>2343</x:v>
      </x:c>
      <x:c r="AQ693" s="55" t="n">
        <x:v>1001</x:v>
      </x:c>
    </x:row>
    <x:row r="694">
      <x:c r="A694" s="54" t="str">
        <x:v>T1_SHARED_CATCHMENT</x:v>
      </x:c>
      <x:c r="B694" s="54" t="n">
        <x:v>688</x:v>
      </x:c>
      <x:c r="C694" s="54" t="str">
        <x:v>NYC-V2-R01</x:v>
      </x:c>
      <x:c r="D694" s="54" t="str">
        <x:v>V2</x:v>
      </x:c>
      <x:c r="E694" s="54" t="str">
        <x:v>ADMITTED</x:v>
      </x:c>
      <x:c r="F694" s="55" t="n">
        <x:v>31459</x:v>
      </x:c>
      <x:c r="G694" s="55" t="n">
        <x:v>8084</x:v>
      </x:c>
      <x:c r="H694" s="55" t="n">
        <x:v>3130</x:v>
      </x:c>
      <x:c r="I694" s="55" t="n">
        <x:v>1475</x:v>
      </x:c>
      <x:c r="J694" s="55" t="n">
        <x:v>195</x:v>
      </x:c>
      <x:c r="K694" s="55" t="n">
        <x:v>31459</x:v>
      </x:c>
      <x:c r="L694" s="55" t="n">
        <x:v>5569</x:v>
      </x:c>
      <x:c r="M694" s="55" t="n">
        <x:v>1281</x:v>
      </x:c>
      <x:c r="N694" s="55" t="n">
        <x:v>2450</x:v>
      </x:c>
      <x:c r="O694" s="55" t="n">
        <x:v>1838</x:v>
      </x:c>
      <x:c r="P694" s="55" t="n">
        <x:v>685</x:v>
      </x:c>
      <x:c r="Q694" s="55" t="n">
        <x:v>3086</x:v>
      </x:c>
      <x:c r="R694" s="55" t="n">
        <x:v>1545</x:v>
      </x:c>
      <x:c r="S694" s="55" t="n">
        <x:v>2981</x:v>
      </x:c>
      <x:c r="T694" s="55" t="n">
        <x:v>1580</x:v>
      </x:c>
      <x:c r="U694" s="55" t="n">
        <x:v>1383</x:v>
      </x:c>
      <x:c r="V694" s="55" t="n">
        <x:v>10758</x:v>
      </x:c>
      <x:c r="W694" s="55" t="n">
        <x:v>8026</x:v>
      </x:c>
      <x:c r="X694" s="55" t="n">
        <x:v>2732</x:v>
      </x:c>
      <x:c r="Y694" s="55" t="n">
        <x:v>2116</x:v>
      </x:c>
      <x:c r="Z694" s="55" t="n">
        <x:v>3959</x:v>
      </x:c>
      <x:c r="AA694" s="55" t="n">
        <x:v>2914</x:v>
      </x:c>
      <x:c r="AB694" s="55" t="n">
        <x:v>959</x:v>
      </x:c>
      <x:c r="AC694" s="55" t="n">
        <x:v>8105</x:v>
      </x:c>
      <x:c r="AD694" s="55" t="n">
        <x:v>2896</x:v>
      </x:c>
      <x:c r="AE694" s="55" t="n">
        <x:v>10887</x:v>
      </x:c>
      <x:c r="AF694" s="55" t="n">
        <x:v>10758</x:v>
      </x:c>
      <x:c r="AG694" s="55" t="n">
        <x:v>129</x:v>
      </x:c>
      <x:c r="AH694" s="55" t="n">
        <x:v>631</x:v>
      </x:c>
      <x:c r="AI694" s="55" t="n">
        <x:v>10127</x:v>
      </x:c>
      <x:c r="AJ694" s="55" t="n">
        <x:v>279</x:v>
      </x:c>
      <x:c r="AK694" s="55" t="n">
        <x:v>813</x:v>
      </x:c>
      <x:c r="AL694" s="55" t="n">
        <x:v>1575</x:v>
      </x:c>
      <x:c r="AM694" s="55" t="n">
        <x:v>5284</x:v>
      </x:c>
      <x:c r="AN694" s="55" t="n">
        <x:v>2777</x:v>
      </x:c>
      <x:c r="AO694" s="55" t="n">
        <x:v>30</x:v>
      </x:c>
      <x:c r="AP694" s="55" t="n">
        <x:v>2364</x:v>
      </x:c>
      <x:c r="AQ694" s="55" t="n">
        <x:v>960</x:v>
      </x:c>
    </x:row>
    <x:row r="695">
      <x:c r="A695" s="54" t="str">
        <x:v>T1_SHARED_CATCHMENT</x:v>
      </x:c>
      <x:c r="B695" s="54" t="n">
        <x:v>689</x:v>
      </x:c>
      <x:c r="C695" s="54" t="str">
        <x:v>NYC-V2-R01</x:v>
      </x:c>
      <x:c r="D695" s="54" t="str">
        <x:v>V2</x:v>
      </x:c>
      <x:c r="E695" s="54" t="str">
        <x:v>ADMITTED</x:v>
      </x:c>
      <x:c r="F695" s="55" t="n">
        <x:v>31897</x:v>
      </x:c>
      <x:c r="G695" s="55" t="n">
        <x:v>6890</x:v>
      </x:c>
      <x:c r="H695" s="55" t="n">
        <x:v>2934</x:v>
      </x:c>
      <x:c r="I695" s="55" t="n">
        <x:v>1025</x:v>
      </x:c>
      <x:c r="J695" s="55" t="n">
        <x:v>115</x:v>
      </x:c>
      <x:c r="K695" s="55" t="n">
        <x:v>31897</x:v>
      </x:c>
      <x:c r="L695" s="55" t="n">
        <x:v>6118</x:v>
      </x:c>
      <x:c r="M695" s="55" t="n">
        <x:v>1320</x:v>
      </x:c>
      <x:c r="N695" s="55" t="n">
        <x:v>3408</x:v>
      </x:c>
      <x:c r="O695" s="55" t="n">
        <x:v>1390</x:v>
      </x:c>
      <x:c r="P695" s="55" t="n">
        <x:v>730</x:v>
      </x:c>
      <x:c r="Q695" s="55" t="n">
        <x:v>1594</x:v>
      </x:c>
      <x:c r="R695" s="55" t="n">
        <x:v>1658</x:v>
      </x:c>
      <x:c r="S695" s="55" t="n">
        <x:v>2557</x:v>
      </x:c>
      <x:c r="T695" s="55" t="n">
        <x:v>1112</x:v>
      </x:c>
      <x:c r="U695" s="55" t="n">
        <x:v>1874</x:v>
      </x:c>
      <x:c r="V695" s="55" t="n">
        <x:v>10603</x:v>
      </x:c>
      <x:c r="W695" s="55" t="n">
        <x:v>7716</x:v>
      </x:c>
      <x:c r="X695" s="55" t="n">
        <x:v>2887</x:v>
      </x:c>
      <x:c r="Y695" s="55" t="n">
        <x:v>2509</x:v>
      </x:c>
      <x:c r="Z695" s="55" t="n">
        <x:v>3738</x:v>
      </x:c>
      <x:c r="AA695" s="55" t="n">
        <x:v>2913</x:v>
      </x:c>
      <x:c r="AB695" s="55" t="n">
        <x:v>1274</x:v>
      </x:c>
      <x:c r="AC695" s="55" t="n">
        <x:v>7649</x:v>
      </x:c>
      <x:c r="AD695" s="55" t="n">
        <x:v>2719</x:v>
      </x:c>
      <x:c r="AE695" s="55" t="n">
        <x:v>10603</x:v>
      </x:c>
      <x:c r="AF695" s="55" t="n">
        <x:v>10603</x:v>
      </x:c>
      <x:c r="AG695" s="55" t="n">
        <x:v>0</x:v>
      </x:c>
      <x:c r="AH695" s="55" t="n">
        <x:v>140</x:v>
      </x:c>
      <x:c r="AI695" s="55" t="n">
        <x:v>10463</x:v>
      </x:c>
      <x:c r="AJ695" s="55" t="n">
        <x:v>185</x:v>
      </x:c>
      <x:c r="AK695" s="55" t="n">
        <x:v>925</x:v>
      </x:c>
      <x:c r="AL695" s="55" t="n">
        <x:v>1996</x:v>
      </x:c>
      <x:c r="AM695" s="55" t="n">
        <x:v>4972</x:v>
      </x:c>
      <x:c r="AN695" s="55" t="n">
        <x:v>2504</x:v>
      </x:c>
      <x:c r="AO695" s="55" t="n">
        <x:v>21</x:v>
      </x:c>
      <x:c r="AP695" s="55" t="n">
        <x:v>2396</x:v>
      </x:c>
      <x:c r="AQ695" s="55" t="n">
        <x:v>893</x:v>
      </x:c>
    </x:row>
    <x:row r="696">
      <x:c r="A696" s="54" t="str">
        <x:v>T1_SHARED_CATCHMENT</x:v>
      </x:c>
      <x:c r="B696" s="54" t="n">
        <x:v>690</x:v>
      </x:c>
      <x:c r="C696" s="54" t="str">
        <x:v>NYC-V2-R01</x:v>
      </x:c>
      <x:c r="D696" s="54" t="str">
        <x:v>V2</x:v>
      </x:c>
      <x:c r="E696" s="54" t="str">
        <x:v>ADMITTED</x:v>
      </x:c>
      <x:c r="F696" s="55" t="n">
        <x:v>34733</x:v>
      </x:c>
      <x:c r="G696" s="55" t="n">
        <x:v>9720</x:v>
      </x:c>
      <x:c r="H696" s="55" t="n">
        <x:v>3659</x:v>
      </x:c>
      <x:c r="I696" s="55" t="n">
        <x:v>1440</x:v>
      </x:c>
      <x:c r="J696" s="55" t="n">
        <x:v>421</x:v>
      </x:c>
      <x:c r="K696" s="55" t="n">
        <x:v>30297</x:v>
      </x:c>
      <x:c r="L696" s="55" t="n">
        <x:v>5710</x:v>
      </x:c>
      <x:c r="M696" s="55" t="n">
        <x:v>2079</x:v>
      </x:c>
      <x:c r="N696" s="55" t="n">
        <x:v>2192</x:v>
      </x:c>
      <x:c r="O696" s="55" t="n">
        <x:v>1439</x:v>
      </x:c>
      <x:c r="P696" s="55" t="n">
        <x:v>1217</x:v>
      </x:c>
      <x:c r="Q696" s="55" t="n">
        <x:v>2718</x:v>
      </x:c>
      <x:c r="R696" s="55" t="n">
        <x:v>2075</x:v>
      </x:c>
      <x:c r="S696" s="55" t="n">
        <x:v>3139</x:v>
      </x:c>
      <x:c r="T696" s="55" t="n">
        <x:v>1324</x:v>
      </x:c>
      <x:c r="U696" s="55" t="n">
        <x:v>2389</x:v>
      </x:c>
      <x:c r="V696" s="55" t="n">
        <x:v>10078</x:v>
      </x:c>
      <x:c r="W696" s="55" t="n">
        <x:v>7145</x:v>
      </x:c>
      <x:c r="X696" s="55" t="n">
        <x:v>2933</x:v>
      </x:c>
      <x:c r="Y696" s="55" t="n">
        <x:v>2563</x:v>
      </x:c>
      <x:c r="Z696" s="55" t="n">
        <x:v>3470</x:v>
      </x:c>
      <x:c r="AA696" s="55" t="n">
        <x:v>3423</x:v>
      </x:c>
      <x:c r="AB696" s="55" t="n">
        <x:v>1143</x:v>
      </x:c>
      <x:c r="AC696" s="55" t="n">
        <x:v>7974</x:v>
      </x:c>
      <x:c r="AD696" s="55" t="n">
        <x:v>3412</x:v>
      </x:c>
      <x:c r="AE696" s="55" t="n">
        <x:v>10135</x:v>
      </x:c>
      <x:c r="AF696" s="55" t="n">
        <x:v>10078</x:v>
      </x:c>
      <x:c r="AG696" s="55" t="n">
        <x:v>57</x:v>
      </x:c>
      <x:c r="AH696" s="55" t="n">
        <x:v>557</x:v>
      </x:c>
      <x:c r="AI696" s="55" t="n">
        <x:v>9521</x:v>
      </x:c>
      <x:c r="AJ696" s="55" t="n">
        <x:v>407</x:v>
      </x:c>
      <x:c r="AK696" s="55" t="n">
        <x:v>965</x:v>
      </x:c>
      <x:c r="AL696" s="55" t="n">
        <x:v>1266</x:v>
      </x:c>
      <x:c r="AM696" s="55" t="n">
        <x:v>5325</x:v>
      </x:c>
      <x:c r="AN696" s="55" t="n">
        <x:v>2115</x:v>
      </x:c>
      <x:c r="AO696" s="55" t="n">
        <x:v>0</x:v>
      </x:c>
      <x:c r="AP696" s="55" t="n">
        <x:v>2567</x:v>
      </x:c>
      <x:c r="AQ696" s="55" t="n">
        <x:v>977</x:v>
      </x:c>
    </x:row>
    <x:row r="697">
      <x:c r="A697" s="54" t="str">
        <x:v>T1_SHARED_CATCHMENT</x:v>
      </x:c>
      <x:c r="B697" s="54" t="n">
        <x:v>691</x:v>
      </x:c>
      <x:c r="C697" s="54" t="str">
        <x:v>NYC-V2-R01</x:v>
      </x:c>
      <x:c r="D697" s="54" t="str">
        <x:v>V2</x:v>
      </x:c>
      <x:c r="E697" s="54" t="str">
        <x:v>ADMITTED</x:v>
      </x:c>
      <x:c r="F697" s="55" t="n">
        <x:v>30190</x:v>
      </x:c>
      <x:c r="G697" s="55" t="n">
        <x:v>8604</x:v>
      </x:c>
      <x:c r="H697" s="55" t="n">
        <x:v>3236</x:v>
      </x:c>
      <x:c r="I697" s="55" t="n">
        <x:v>1400</x:v>
      </x:c>
      <x:c r="J697" s="55" t="n">
        <x:v>340</x:v>
      </x:c>
      <x:c r="K697" s="55" t="n">
        <x:v>27713</x:v>
      </x:c>
      <x:c r="L697" s="55" t="n">
        <x:v>5254</x:v>
      </x:c>
      <x:c r="M697" s="55" t="n">
        <x:v>766</x:v>
      </x:c>
      <x:c r="N697" s="55" t="n">
        <x:v>2605</x:v>
      </x:c>
      <x:c r="O697" s="55" t="n">
        <x:v>1883</x:v>
      </x:c>
      <x:c r="P697" s="55" t="n">
        <x:v>307</x:v>
      </x:c>
      <x:c r="Q697" s="55" t="n">
        <x:v>3263</x:v>
      </x:c>
      <x:c r="R697" s="55" t="n">
        <x:v>1932</x:v>
      </x:c>
      <x:c r="S697" s="55" t="n">
        <x:v>2786</x:v>
      </x:c>
      <x:c r="T697" s="55" t="n">
        <x:v>1512</x:v>
      </x:c>
      <x:c r="U697" s="55" t="n">
        <x:v>1804</x:v>
      </x:c>
      <x:c r="V697" s="55" t="n">
        <x:v>10833</x:v>
      </x:c>
      <x:c r="W697" s="55" t="n">
        <x:v>7243</x:v>
      </x:c>
      <x:c r="X697" s="55" t="n">
        <x:v>3590</x:v>
      </x:c>
      <x:c r="Y697" s="55" t="n">
        <x:v>2940</x:v>
      </x:c>
      <x:c r="Z697" s="55" t="n">
        <x:v>3631</x:v>
      </x:c>
      <x:c r="AA697" s="55" t="n">
        <x:v>3132</x:v>
      </x:c>
      <x:c r="AB697" s="55" t="n">
        <x:v>1159</x:v>
      </x:c>
      <x:c r="AC697" s="55" t="n">
        <x:v>7579</x:v>
      </x:c>
      <x:c r="AD697" s="55" t="n">
        <x:v>2848</x:v>
      </x:c>
      <x:c r="AE697" s="55" t="n">
        <x:v>10918</x:v>
      </x:c>
      <x:c r="AF697" s="55" t="n">
        <x:v>10833</x:v>
      </x:c>
      <x:c r="AG697" s="55" t="n">
        <x:v>85</x:v>
      </x:c>
      <x:c r="AH697" s="55" t="n">
        <x:v>446</x:v>
      </x:c>
      <x:c r="AI697" s="55" t="n">
        <x:v>10387</x:v>
      </x:c>
      <x:c r="AJ697" s="55" t="n">
        <x:v>398</x:v>
      </x:c>
      <x:c r="AK697" s="55" t="n">
        <x:v>973</x:v>
      </x:c>
      <x:c r="AL697" s="55" t="n">
        <x:v>1932</x:v>
      </x:c>
      <x:c r="AM697" s="55" t="n">
        <x:v>5153</x:v>
      </x:c>
      <x:c r="AN697" s="55" t="n">
        <x:v>2373</x:v>
      </x:c>
      <x:c r="AO697" s="55" t="n">
        <x:v>4</x:v>
      </x:c>
      <x:c r="AP697" s="55" t="n">
        <x:v>2502</x:v>
      </x:c>
      <x:c r="AQ697" s="55" t="n">
        <x:v>986</x:v>
      </x:c>
    </x:row>
    <x:row r="698">
      <x:c r="A698" s="54" t="str">
        <x:v>T1_SHARED_CATCHMENT</x:v>
      </x:c>
      <x:c r="B698" s="54" t="n">
        <x:v>692</x:v>
      </x:c>
      <x:c r="C698" s="54" t="str">
        <x:v>NYC-V2-R01</x:v>
      </x:c>
      <x:c r="D698" s="54" t="str">
        <x:v>V2</x:v>
      </x:c>
      <x:c r="E698" s="54" t="str">
        <x:v>ADMITTED</x:v>
      </x:c>
      <x:c r="F698" s="55" t="n">
        <x:v>30849</x:v>
      </x:c>
      <x:c r="G698" s="55" t="n">
        <x:v>7159</x:v>
      </x:c>
      <x:c r="H698" s="55" t="n">
        <x:v>3102</x:v>
      </x:c>
      <x:c r="I698" s="55" t="n">
        <x:v>1179</x:v>
      </x:c>
      <x:c r="J698" s="55" t="n">
        <x:v>440</x:v>
      </x:c>
      <x:c r="K698" s="55" t="n">
        <x:v>30849</x:v>
      </x:c>
      <x:c r="L698" s="55" t="n">
        <x:v>5441</x:v>
      </x:c>
      <x:c r="M698" s="55" t="n">
        <x:v>844</x:v>
      </x:c>
      <x:c r="N698" s="55" t="n">
        <x:v>3223</x:v>
      </x:c>
      <x:c r="O698" s="55" t="n">
        <x:v>1374</x:v>
      </x:c>
      <x:c r="P698" s="55" t="n">
        <x:v>305</x:v>
      </x:c>
      <x:c r="Q698" s="55" t="n">
        <x:v>1950</x:v>
      </x:c>
      <x:c r="R698" s="55" t="n">
        <x:v>1930</x:v>
      </x:c>
      <x:c r="S698" s="55" t="n">
        <x:v>2587</x:v>
      </x:c>
      <x:c r="T698" s="55" t="n">
        <x:v>1242</x:v>
      </x:c>
      <x:c r="U698" s="55" t="n">
        <x:v>2137</x:v>
      </x:c>
      <x:c r="V698" s="55" t="n">
        <x:v>10430</x:v>
      </x:c>
      <x:c r="W698" s="55" t="n">
        <x:v>7543</x:v>
      </x:c>
      <x:c r="X698" s="55" t="n">
        <x:v>2887</x:v>
      </x:c>
      <x:c r="Y698" s="55" t="n">
        <x:v>2470</x:v>
      </x:c>
      <x:c r="Z698" s="55" t="n">
        <x:v>3117</x:v>
      </x:c>
      <x:c r="AA698" s="55" t="n">
        <x:v>2760</x:v>
      </x:c>
      <x:c r="AB698" s="55" t="n">
        <x:v>995</x:v>
      </x:c>
      <x:c r="AC698" s="55" t="n">
        <x:v>7742</x:v>
      </x:c>
      <x:c r="AD698" s="55" t="n">
        <x:v>3087</x:v>
      </x:c>
      <x:c r="AE698" s="55" t="n">
        <x:v>10459</x:v>
      </x:c>
      <x:c r="AF698" s="55" t="n">
        <x:v>10430</x:v>
      </x:c>
      <x:c r="AG698" s="55" t="n">
        <x:v>29</x:v>
      </x:c>
      <x:c r="AH698" s="55" t="n">
        <x:v>420</x:v>
      </x:c>
      <x:c r="AI698" s="55" t="n">
        <x:v>10010</x:v>
      </x:c>
      <x:c r="AJ698" s="55" t="n">
        <x:v>268</x:v>
      </x:c>
      <x:c r="AK698" s="55" t="n">
        <x:v>930</x:v>
      </x:c>
      <x:c r="AL698" s="55" t="n">
        <x:v>1667</x:v>
      </x:c>
      <x:c r="AM698" s="55" t="n">
        <x:v>5168</x:v>
      </x:c>
      <x:c r="AN698" s="55" t="n">
        <x:v>2397</x:v>
      </x:c>
      <x:c r="AO698" s="55" t="n">
        <x:v>0</x:v>
      </x:c>
      <x:c r="AP698" s="55" t="n">
        <x:v>2370</x:v>
      </x:c>
      <x:c r="AQ698" s="55" t="n">
        <x:v>957</x:v>
      </x:c>
    </x:row>
    <x:row r="699">
      <x:c r="A699" s="54" t="str">
        <x:v>T1_SHARED_CATCHMENT</x:v>
      </x:c>
      <x:c r="B699" s="54" t="n">
        <x:v>693</x:v>
      </x:c>
      <x:c r="C699" s="54" t="str">
        <x:v>NYC-V2-R01</x:v>
      </x:c>
      <x:c r="D699" s="54" t="str">
        <x:v>V2</x:v>
      </x:c>
      <x:c r="E699" s="54" t="str">
        <x:v>ADMITTED</x:v>
      </x:c>
      <x:c r="F699" s="55" t="n">
        <x:v>31236</x:v>
      </x:c>
      <x:c r="G699" s="55" t="n">
        <x:v>9116</x:v>
      </x:c>
      <x:c r="H699" s="55" t="n">
        <x:v>3208</x:v>
      </x:c>
      <x:c r="I699" s="55" t="n">
        <x:v>1098</x:v>
      </x:c>
      <x:c r="J699" s="55" t="n">
        <x:v>156</x:v>
      </x:c>
      <x:c r="K699" s="55" t="n">
        <x:v>30427</x:v>
      </x:c>
      <x:c r="L699" s="55" t="n">
        <x:v>6395</x:v>
      </x:c>
      <x:c r="M699" s="55" t="n">
        <x:v>1819</x:v>
      </x:c>
      <x:c r="N699" s="55" t="n">
        <x:v>3000</x:v>
      </x:c>
      <x:c r="O699" s="55" t="n">
        <x:v>1576</x:v>
      </x:c>
      <x:c r="P699" s="55" t="n">
        <x:v>983</x:v>
      </x:c>
      <x:c r="Q699" s="55" t="n">
        <x:v>2594</x:v>
      </x:c>
      <x:c r="R699" s="55" t="n">
        <x:v>2220</x:v>
      </x:c>
      <x:c r="S699" s="55" t="n">
        <x:v>3189</x:v>
      </x:c>
      <x:c r="T699" s="55" t="n">
        <x:v>1158</x:v>
      </x:c>
      <x:c r="U699" s="55" t="n">
        <x:v>2524</x:v>
      </x:c>
      <x:c r="V699" s="55" t="n">
        <x:v>11039</x:v>
      </x:c>
      <x:c r="W699" s="55" t="n">
        <x:v>8106</x:v>
      </x:c>
      <x:c r="X699" s="55" t="n">
        <x:v>2933</x:v>
      </x:c>
      <x:c r="Y699" s="55" t="n">
        <x:v>2647</x:v>
      </x:c>
      <x:c r="Z699" s="55" t="n">
        <x:v>3916</x:v>
      </x:c>
      <x:c r="AA699" s="55" t="n">
        <x:v>3208</x:v>
      </x:c>
      <x:c r="AB699" s="55" t="n">
        <x:v>1235</x:v>
      </x:c>
      <x:c r="AC699" s="55" t="n">
        <x:v>7882</x:v>
      </x:c>
      <x:c r="AD699" s="55" t="n">
        <x:v>3412</x:v>
      </x:c>
      <x:c r="AE699" s="55" t="n">
        <x:v>11070</x:v>
      </x:c>
      <x:c r="AF699" s="55" t="n">
        <x:v>11039</x:v>
      </x:c>
      <x:c r="AG699" s="55" t="n">
        <x:v>31</x:v>
      </x:c>
      <x:c r="AH699" s="55" t="n">
        <x:v>596</x:v>
      </x:c>
      <x:c r="AI699" s="55" t="n">
        <x:v>10443</x:v>
      </x:c>
      <x:c r="AJ699" s="55" t="n">
        <x:v>309</x:v>
      </x:c>
      <x:c r="AK699" s="55" t="n">
        <x:v>1336</x:v>
      </x:c>
      <x:c r="AL699" s="55" t="n">
        <x:v>1201</x:v>
      </x:c>
      <x:c r="AM699" s="55" t="n">
        <x:v>5177</x:v>
      </x:c>
      <x:c r="AN699" s="55" t="n">
        <x:v>2983</x:v>
      </x:c>
      <x:c r="AO699" s="55" t="n">
        <x:v>33</x:v>
      </x:c>
      <x:c r="AP699" s="55" t="n">
        <x:v>2369</x:v>
      </x:c>
      <x:c r="AQ699" s="55" t="n">
        <x:v>983</x:v>
      </x:c>
    </x:row>
    <x:row r="700">
      <x:c r="A700" s="54" t="str">
        <x:v>T1_SHARED_CATCHMENT</x:v>
      </x:c>
      <x:c r="B700" s="54" t="n">
        <x:v>694</x:v>
      </x:c>
      <x:c r="C700" s="54" t="str">
        <x:v>NYC-V2-R01</x:v>
      </x:c>
      <x:c r="D700" s="54" t="str">
        <x:v>V2</x:v>
      </x:c>
      <x:c r="E700" s="54" t="str">
        <x:v>ADMITTED</x:v>
      </x:c>
      <x:c r="F700" s="55" t="n">
        <x:v>34149</x:v>
      </x:c>
      <x:c r="G700" s="55" t="n">
        <x:v>8160</x:v>
      </x:c>
      <x:c r="H700" s="55" t="n">
        <x:v>3199</x:v>
      </x:c>
      <x:c r="I700" s="55" t="n">
        <x:v>1056</x:v>
      </x:c>
      <x:c r="J700" s="55" t="n">
        <x:v>323</x:v>
      </x:c>
      <x:c r="K700" s="55" t="n">
        <x:v>34149</x:v>
      </x:c>
      <x:c r="L700" s="55" t="n">
        <x:v>7839</x:v>
      </x:c>
      <x:c r="M700" s="55" t="n">
        <x:v>2657</x:v>
      </x:c>
      <x:c r="N700" s="55" t="n">
        <x:v>3163</x:v>
      </x:c>
      <x:c r="O700" s="55" t="n">
        <x:v>2019</x:v>
      </x:c>
      <x:c r="P700" s="55" t="n">
        <x:v>870</x:v>
      </x:c>
      <x:c r="Q700" s="55" t="n">
        <x:v>3283</x:v>
      </x:c>
      <x:c r="R700" s="55" t="n">
        <x:v>2023</x:v>
      </x:c>
      <x:c r="S700" s="55" t="n">
        <x:v>2581</x:v>
      </x:c>
      <x:c r="T700" s="55" t="n">
        <x:v>862</x:v>
      </x:c>
      <x:c r="U700" s="55" t="n">
        <x:v>2207</x:v>
      </x:c>
      <x:c r="V700" s="55" t="n">
        <x:v>10412</x:v>
      </x:c>
      <x:c r="W700" s="55" t="n">
        <x:v>6795</x:v>
      </x:c>
      <x:c r="X700" s="55" t="n">
        <x:v>3617</x:v>
      </x:c>
      <x:c r="Y700" s="55" t="n">
        <x:v>3114</x:v>
      </x:c>
      <x:c r="Z700" s="55" t="n">
        <x:v>3638</x:v>
      </x:c>
      <x:c r="AA700" s="55" t="n">
        <x:v>2946</x:v>
      </x:c>
      <x:c r="AB700" s="55" t="n">
        <x:v>1071</x:v>
      </x:c>
      <x:c r="AC700" s="55" t="n">
        <x:v>8357</x:v>
      </x:c>
      <x:c r="AD700" s="55" t="n">
        <x:v>3152</x:v>
      </x:c>
      <x:c r="AE700" s="55" t="n">
        <x:v>10487</x:v>
      </x:c>
      <x:c r="AF700" s="55" t="n">
        <x:v>10412</x:v>
      </x:c>
      <x:c r="AG700" s="55" t="n">
        <x:v>75</x:v>
      </x:c>
      <x:c r="AH700" s="55" t="n">
        <x:v>554</x:v>
      </x:c>
      <x:c r="AI700" s="55" t="n">
        <x:v>9858</x:v>
      </x:c>
      <x:c r="AJ700" s="55" t="n">
        <x:v>406</x:v>
      </x:c>
      <x:c r="AK700" s="55" t="n">
        <x:v>1036</x:v>
      </x:c>
      <x:c r="AL700" s="55" t="n">
        <x:v>2068</x:v>
      </x:c>
      <x:c r="AM700" s="55" t="n">
        <x:v>4694</x:v>
      </x:c>
      <x:c r="AN700" s="55" t="n">
        <x:v>2163</x:v>
      </x:c>
      <x:c r="AO700" s="55" t="n">
        <x:v>45</x:v>
      </x:c>
      <x:c r="AP700" s="55" t="n">
        <x:v>2047</x:v>
      </x:c>
      <x:c r="AQ700" s="55" t="n">
        <x:v>993</x:v>
      </x:c>
    </x:row>
    <x:row r="701">
      <x:c r="A701" s="54" t="str">
        <x:v>T1_SHARED_CATCHMENT</x:v>
      </x:c>
      <x:c r="B701" s="54" t="n">
        <x:v>695</x:v>
      </x:c>
      <x:c r="C701" s="54" t="str">
        <x:v>NYC-V2-R01</x:v>
      </x:c>
      <x:c r="D701" s="54" t="str">
        <x:v>V2</x:v>
      </x:c>
      <x:c r="E701" s="54" t="str">
        <x:v>ADMITTED</x:v>
      </x:c>
      <x:c r="F701" s="55" t="n">
        <x:v>32220</x:v>
      </x:c>
      <x:c r="G701" s="55" t="n">
        <x:v>6666</x:v>
      </x:c>
      <x:c r="H701" s="55" t="n">
        <x:v>3684</x:v>
      </x:c>
      <x:c r="I701" s="55" t="n">
        <x:v>1433</x:v>
      </x:c>
      <x:c r="J701" s="55" t="n">
        <x:v>456</x:v>
      </x:c>
      <x:c r="K701" s="55" t="n">
        <x:v>32220</x:v>
      </x:c>
      <x:c r="L701" s="55" t="n">
        <x:v>7028</x:v>
      </x:c>
      <x:c r="M701" s="55" t="n">
        <x:v>2448</x:v>
      </x:c>
      <x:c r="N701" s="55" t="n">
        <x:v>2720</x:v>
      </x:c>
      <x:c r="O701" s="55" t="n">
        <x:v>1860</x:v>
      </x:c>
      <x:c r="P701" s="55" t="n">
        <x:v>529</x:v>
      </x:c>
      <x:c r="Q701" s="55" t="n">
        <x:v>2238</x:v>
      </x:c>
      <x:c r="R701" s="55" t="n">
        <x:v>1555</x:v>
      </x:c>
      <x:c r="S701" s="55" t="n">
        <x:v>2761</x:v>
      </x:c>
      <x:c r="T701" s="55" t="n">
        <x:v>1286</x:v>
      </x:c>
      <x:c r="U701" s="55" t="n">
        <x:v>2049</x:v>
      </x:c>
      <x:c r="V701" s="55" t="n">
        <x:v>10528</x:v>
      </x:c>
      <x:c r="W701" s="55" t="n">
        <x:v>7444</x:v>
      </x:c>
      <x:c r="X701" s="55" t="n">
        <x:v>3084</x:v>
      </x:c>
      <x:c r="Y701" s="55" t="n">
        <x:v>2533</x:v>
      </x:c>
      <x:c r="Z701" s="55" t="n">
        <x:v>3792</x:v>
      </x:c>
      <x:c r="AA701" s="55" t="n">
        <x:v>3684</x:v>
      </x:c>
      <x:c r="AB701" s="55" t="n">
        <x:v>1436</x:v>
      </x:c>
      <x:c r="AC701" s="55" t="n">
        <x:v>8441</x:v>
      </x:c>
      <x:c r="AD701" s="55" t="n">
        <x:v>3377</x:v>
      </x:c>
      <x:c r="AE701" s="55" t="n">
        <x:v>10634</x:v>
      </x:c>
      <x:c r="AF701" s="55" t="n">
        <x:v>10528</x:v>
      </x:c>
      <x:c r="AG701" s="55" t="n">
        <x:v>106</x:v>
      </x:c>
      <x:c r="AH701" s="55" t="n">
        <x:v>429</x:v>
      </x:c>
      <x:c r="AI701" s="55" t="n">
        <x:v>10099</x:v>
      </x:c>
      <x:c r="AJ701" s="55" t="n">
        <x:v>266</x:v>
      </x:c>
      <x:c r="AK701" s="55" t="n">
        <x:v>946</x:v>
      </x:c>
      <x:c r="AL701" s="55" t="n">
        <x:v>1314</x:v>
      </x:c>
      <x:c r="AM701" s="55" t="n">
        <x:v>5332</x:v>
      </x:c>
      <x:c r="AN701" s="55" t="n">
        <x:v>2670</x:v>
      </x:c>
      <x:c r="AO701" s="55" t="n">
        <x:v>0</x:v>
      </x:c>
      <x:c r="AP701" s="55" t="n">
        <x:v>2039</x:v>
      </x:c>
      <x:c r="AQ701" s="55" t="n">
        <x:v>966</x:v>
      </x:c>
    </x:row>
    <x:row r="702">
      <x:c r="A702" s="54" t="str">
        <x:v>T1_SHARED_CATCHMENT</x:v>
      </x:c>
      <x:c r="B702" s="54" t="n">
        <x:v>696</x:v>
      </x:c>
      <x:c r="C702" s="54" t="str">
        <x:v>NYC-V2-R01</x:v>
      </x:c>
      <x:c r="D702" s="54" t="str">
        <x:v>V2</x:v>
      </x:c>
      <x:c r="E702" s="54" t="str">
        <x:v>ADMITTED</x:v>
      </x:c>
      <x:c r="F702" s="55" t="n">
        <x:v>29732</x:v>
      </x:c>
      <x:c r="G702" s="55" t="n">
        <x:v>8106</x:v>
      </x:c>
      <x:c r="H702" s="55" t="n">
        <x:v>3568</x:v>
      </x:c>
      <x:c r="I702" s="55" t="n">
        <x:v>1101</x:v>
      </x:c>
      <x:c r="J702" s="55" t="n">
        <x:v>250</x:v>
      </x:c>
      <x:c r="K702" s="55" t="n">
        <x:v>29590</x:v>
      </x:c>
      <x:c r="L702" s="55" t="n">
        <x:v>5241</x:v>
      </x:c>
      <x:c r="M702" s="55" t="n">
        <x:v>780</x:v>
      </x:c>
      <x:c r="N702" s="55" t="n">
        <x:v>2599</x:v>
      </x:c>
      <x:c r="O702" s="55" t="n">
        <x:v>1862</x:v>
      </x:c>
      <x:c r="P702" s="55" t="n">
        <x:v>981</x:v>
      </x:c>
      <x:c r="Q702" s="55" t="n">
        <x:v>2415</x:v>
      </x:c>
      <x:c r="R702" s="55" t="n">
        <x:v>1651</x:v>
      </x:c>
      <x:c r="S702" s="55" t="n">
        <x:v>2935</x:v>
      </x:c>
      <x:c r="T702" s="55" t="n">
        <x:v>1993</x:v>
      </x:c>
      <x:c r="U702" s="55" t="n">
        <x:v>2362</x:v>
      </x:c>
      <x:c r="V702" s="55" t="n">
        <x:v>10004</x:v>
      </x:c>
      <x:c r="W702" s="55" t="n">
        <x:v>7181</x:v>
      </x:c>
      <x:c r="X702" s="55" t="n">
        <x:v>2823</x:v>
      </x:c>
      <x:c r="Y702" s="55" t="n">
        <x:v>2266</x:v>
      </x:c>
      <x:c r="Z702" s="55" t="n">
        <x:v>3407</x:v>
      </x:c>
      <x:c r="AA702" s="55" t="n">
        <x:v>3568</x:v>
      </x:c>
      <x:c r="AB702" s="55" t="n">
        <x:v>1277</x:v>
      </x:c>
      <x:c r="AC702" s="55" t="n">
        <x:v>7963</x:v>
      </x:c>
      <x:c r="AD702" s="55" t="n">
        <x:v>3408</x:v>
      </x:c>
      <x:c r="AE702" s="55" t="n">
        <x:v>10051</x:v>
      </x:c>
      <x:c r="AF702" s="55" t="n">
        <x:v>10004</x:v>
      </x:c>
      <x:c r="AG702" s="55" t="n">
        <x:v>47</x:v>
      </x:c>
      <x:c r="AH702" s="55" t="n">
        <x:v>171</x:v>
      </x:c>
      <x:c r="AI702" s="55" t="n">
        <x:v>9833</x:v>
      </x:c>
      <x:c r="AJ702" s="55" t="n">
        <x:v>406</x:v>
      </x:c>
      <x:c r="AK702" s="55" t="n">
        <x:v>650</x:v>
      </x:c>
      <x:c r="AL702" s="55" t="n">
        <x:v>1646</x:v>
      </x:c>
      <x:c r="AM702" s="55" t="n">
        <x:v>4944</x:v>
      </x:c>
      <x:c r="AN702" s="55" t="n">
        <x:v>2354</x:v>
      </x:c>
      <x:c r="AO702" s="55" t="n">
        <x:v>4</x:v>
      </x:c>
      <x:c r="AP702" s="55" t="n">
        <x:v>2571</x:v>
      </x:c>
      <x:c r="AQ702" s="55" t="n">
        <x:v>935</x:v>
      </x:c>
    </x:row>
    <x:row r="703">
      <x:c r="A703" s="54" t="str">
        <x:v>T1_SHARED_CATCHMENT</x:v>
      </x:c>
      <x:c r="B703" s="54" t="n">
        <x:v>697</x:v>
      </x:c>
      <x:c r="C703" s="54" t="str">
        <x:v>NYC-V2-R01</x:v>
      </x:c>
      <x:c r="D703" s="54" t="str">
        <x:v>V2</x:v>
      </x:c>
      <x:c r="E703" s="54" t="str">
        <x:v>ADMITTED</x:v>
      </x:c>
      <x:c r="F703" s="55" t="n">
        <x:v>30534</x:v>
      </x:c>
      <x:c r="G703" s="55" t="n">
        <x:v>6883</x:v>
      </x:c>
      <x:c r="H703" s="55" t="n">
        <x:v>3038</x:v>
      </x:c>
      <x:c r="I703" s="55" t="n">
        <x:v>1261</x:v>
      </x:c>
      <x:c r="J703" s="55" t="n">
        <x:v>128</x:v>
      </x:c>
      <x:c r="K703" s="55" t="n">
        <x:v>30534</x:v>
      </x:c>
      <x:c r="L703" s="55" t="n">
        <x:v>4689</x:v>
      </x:c>
      <x:c r="M703" s="55" t="n">
        <x:v>703</x:v>
      </x:c>
      <x:c r="N703" s="55" t="n">
        <x:v>2360</x:v>
      </x:c>
      <x:c r="O703" s="55" t="n">
        <x:v>1626</x:v>
      </x:c>
      <x:c r="P703" s="55" t="n">
        <x:v>463</x:v>
      </x:c>
      <x:c r="Q703" s="55" t="n">
        <x:v>2490</x:v>
      </x:c>
      <x:c r="R703" s="55" t="n">
        <x:v>1907</x:v>
      </x:c>
      <x:c r="S703" s="55" t="n">
        <x:v>2526</x:v>
      </x:c>
      <x:c r="T703" s="55" t="n">
        <x:v>1158</x:v>
      </x:c>
      <x:c r="U703" s="55" t="n">
        <x:v>1952</x:v>
      </x:c>
      <x:c r="V703" s="55" t="n">
        <x:v>10496</x:v>
      </x:c>
      <x:c r="W703" s="55" t="n">
        <x:v>7401</x:v>
      </x:c>
      <x:c r="X703" s="55" t="n">
        <x:v>3095</x:v>
      </x:c>
      <x:c r="Y703" s="55" t="n">
        <x:v>2563</x:v>
      </x:c>
      <x:c r="Z703" s="55" t="n">
        <x:v>3222</x:v>
      </x:c>
      <x:c r="AA703" s="55" t="n">
        <x:v>3038</x:v>
      </x:c>
      <x:c r="AB703" s="55" t="n">
        <x:v>1213</x:v>
      </x:c>
      <x:c r="AC703" s="55" t="n">
        <x:v>8187</x:v>
      </x:c>
      <x:c r="AD703" s="55" t="n">
        <x:v>2893</x:v>
      </x:c>
      <x:c r="AE703" s="55" t="n">
        <x:v>10583</x:v>
      </x:c>
      <x:c r="AF703" s="55" t="n">
        <x:v>10496</x:v>
      </x:c>
      <x:c r="AG703" s="55" t="n">
        <x:v>87</x:v>
      </x:c>
      <x:c r="AH703" s="55" t="n">
        <x:v>391</x:v>
      </x:c>
      <x:c r="AI703" s="55" t="n">
        <x:v>10105</x:v>
      </x:c>
      <x:c r="AJ703" s="55" t="n">
        <x:v>367</x:v>
      </x:c>
      <x:c r="AK703" s="55" t="n">
        <x:v>762</x:v>
      </x:c>
      <x:c r="AL703" s="55" t="n">
        <x:v>1216</x:v>
      </x:c>
      <x:c r="AM703" s="55" t="n">
        <x:v>5097</x:v>
      </x:c>
      <x:c r="AN703" s="55" t="n">
        <x:v>3054</x:v>
      </x:c>
      <x:c r="AO703" s="55" t="n">
        <x:v>0</x:v>
      </x:c>
      <x:c r="AP703" s="55" t="n">
        <x:v>2050</x:v>
      </x:c>
      <x:c r="AQ703" s="55" t="n">
        <x:v>950</x:v>
      </x:c>
    </x:row>
    <x:row r="704">
      <x:c r="A704" s="54" t="str">
        <x:v>T1_SHARED_CATCHMENT</x:v>
      </x:c>
      <x:c r="B704" s="54" t="n">
        <x:v>698</x:v>
      </x:c>
      <x:c r="C704" s="54" t="str">
        <x:v>NYC-V2-R01</x:v>
      </x:c>
      <x:c r="D704" s="54" t="str">
        <x:v>V2</x:v>
      </x:c>
      <x:c r="E704" s="54" t="str">
        <x:v>ADMITTED</x:v>
      </x:c>
      <x:c r="F704" s="55" t="n">
        <x:v>29910</x:v>
      </x:c>
      <x:c r="G704" s="55" t="n">
        <x:v>7194</x:v>
      </x:c>
      <x:c r="H704" s="55" t="n">
        <x:v>3097</x:v>
      </x:c>
      <x:c r="I704" s="55" t="n">
        <x:v>1305</x:v>
      </x:c>
      <x:c r="J704" s="55" t="n">
        <x:v>35</x:v>
      </x:c>
      <x:c r="K704" s="55" t="n">
        <x:v>29887</x:v>
      </x:c>
      <x:c r="L704" s="55" t="n">
        <x:v>4531</x:v>
      </x:c>
      <x:c r="M704" s="55" t="n">
        <x:v>483</x:v>
      </x:c>
      <x:c r="N704" s="55" t="n">
        <x:v>2487</x:v>
      </x:c>
      <x:c r="O704" s="55" t="n">
        <x:v>1561</x:v>
      </x:c>
      <x:c r="P704" s="55" t="n">
        <x:v>891</x:v>
      </x:c>
      <x:c r="Q704" s="55" t="n">
        <x:v>1639</x:v>
      </x:c>
      <x:c r="R704" s="55" t="n">
        <x:v>2119</x:v>
      </x:c>
      <x:c r="S704" s="55" t="n">
        <x:v>3321</x:v>
      </x:c>
      <x:c r="T704" s="55" t="n">
        <x:v>1128</x:v>
      </x:c>
      <x:c r="U704" s="55" t="n">
        <x:v>2086</x:v>
      </x:c>
      <x:c r="V704" s="55" t="n">
        <x:v>9730</x:v>
      </x:c>
      <x:c r="W704" s="55" t="n">
        <x:v>6526</x:v>
      </x:c>
      <x:c r="X704" s="55" t="n">
        <x:v>3204</x:v>
      </x:c>
      <x:c r="Y704" s="55" t="n">
        <x:v>2835</x:v>
      </x:c>
      <x:c r="Z704" s="55" t="n">
        <x:v>4040</x:v>
      </x:c>
      <x:c r="AA704" s="55" t="n">
        <x:v>2352</x:v>
      </x:c>
      <x:c r="AB704" s="55" t="n">
        <x:v>789</x:v>
      </x:c>
      <x:c r="AC704" s="55" t="n">
        <x:v>8002</x:v>
      </x:c>
      <x:c r="AD704" s="55" t="n">
        <x:v>2794</x:v>
      </x:c>
      <x:c r="AE704" s="55" t="n">
        <x:v>9864</x:v>
      </x:c>
      <x:c r="AF704" s="55" t="n">
        <x:v>9730</x:v>
      </x:c>
      <x:c r="AG704" s="55" t="n">
        <x:v>134</x:v>
      </x:c>
      <x:c r="AH704" s="55" t="n">
        <x:v>183</x:v>
      </x:c>
      <x:c r="AI704" s="55" t="n">
        <x:v>9547</x:v>
      </x:c>
      <x:c r="AJ704" s="55" t="n">
        <x:v>248</x:v>
      </x:c>
      <x:c r="AK704" s="55" t="n">
        <x:v>951</x:v>
      </x:c>
      <x:c r="AL704" s="55" t="n">
        <x:v>1239</x:v>
      </x:c>
      <x:c r="AM704" s="55" t="n">
        <x:v>4738</x:v>
      </x:c>
      <x:c r="AN704" s="55" t="n">
        <x:v>2530</x:v>
      </x:c>
      <x:c r="AO704" s="55" t="n">
        <x:v>24</x:v>
      </x:c>
      <x:c r="AP704" s="55" t="n">
        <x:v>2240</x:v>
      </x:c>
      <x:c r="AQ704" s="55" t="n">
        <x:v>955</x:v>
      </x:c>
    </x:row>
    <x:row r="705">
      <x:c r="A705" s="54" t="str">
        <x:v>T1_SHARED_CATCHMENT</x:v>
      </x:c>
      <x:c r="B705" s="54" t="n">
        <x:v>699</x:v>
      </x:c>
      <x:c r="C705" s="54" t="str">
        <x:v>NYC-V2-R01</x:v>
      </x:c>
      <x:c r="D705" s="54" t="str">
        <x:v>V2</x:v>
      </x:c>
      <x:c r="E705" s="54" t="str">
        <x:v>ADMITTED</x:v>
      </x:c>
      <x:c r="F705" s="55" t="n">
        <x:v>31623</x:v>
      </x:c>
      <x:c r="G705" s="55" t="n">
        <x:v>7527</x:v>
      </x:c>
      <x:c r="H705" s="55" t="n">
        <x:v>3336</x:v>
      </x:c>
      <x:c r="I705" s="55" t="n">
        <x:v>1602</x:v>
      </x:c>
      <x:c r="J705" s="55" t="n">
        <x:v>315</x:v>
      </x:c>
      <x:c r="K705" s="55" t="n">
        <x:v>30743</x:v>
      </x:c>
      <x:c r="L705" s="55" t="n">
        <x:v>6999</x:v>
      </x:c>
      <x:c r="M705" s="55" t="n">
        <x:v>1717</x:v>
      </x:c>
      <x:c r="N705" s="55" t="n">
        <x:v>3517</x:v>
      </x:c>
      <x:c r="O705" s="55" t="n">
        <x:v>1765</x:v>
      </x:c>
      <x:c r="P705" s="55" t="n">
        <x:v>769</x:v>
      </x:c>
      <x:c r="Q705" s="55" t="n">
        <x:v>2269</x:v>
      </x:c>
      <x:c r="R705" s="55" t="n">
        <x:v>1937</x:v>
      </x:c>
      <x:c r="S705" s="55" t="n">
        <x:v>2915</x:v>
      </x:c>
      <x:c r="T705" s="55" t="n">
        <x:v>1321</x:v>
      </x:c>
      <x:c r="U705" s="55" t="n">
        <x:v>2278</x:v>
      </x:c>
      <x:c r="V705" s="55" t="n">
        <x:v>10900</x:v>
      </x:c>
      <x:c r="W705" s="55" t="n">
        <x:v>7328</x:v>
      </x:c>
      <x:c r="X705" s="55" t="n">
        <x:v>3572</x:v>
      </x:c>
      <x:c r="Y705" s="55" t="n">
        <x:v>3230</x:v>
      </x:c>
      <x:c r="Z705" s="55" t="n">
        <x:v>4324</x:v>
      </x:c>
      <x:c r="AA705" s="55" t="n">
        <x:v>2961</x:v>
      </x:c>
      <x:c r="AB705" s="55" t="n">
        <x:v>826</x:v>
      </x:c>
      <x:c r="AC705" s="55" t="n">
        <x:v>7630</x:v>
      </x:c>
      <x:c r="AD705" s="55" t="n">
        <x:v>2037</x:v>
      </x:c>
      <x:c r="AE705" s="55" t="n">
        <x:v>10951</x:v>
      </x:c>
      <x:c r="AF705" s="55" t="n">
        <x:v>10900</x:v>
      </x:c>
      <x:c r="AG705" s="55" t="n">
        <x:v>51</x:v>
      </x:c>
      <x:c r="AH705" s="55" t="n">
        <x:v>732</x:v>
      </x:c>
      <x:c r="AI705" s="55" t="n">
        <x:v>10168</x:v>
      </x:c>
      <x:c r="AJ705" s="55" t="n">
        <x:v>263</x:v>
      </x:c>
      <x:c r="AK705" s="55" t="n">
        <x:v>1031</x:v>
      </x:c>
      <x:c r="AL705" s="55" t="n">
        <x:v>1748</x:v>
      </x:c>
      <x:c r="AM705" s="55" t="n">
        <x:v>5071</x:v>
      </x:c>
      <x:c r="AN705" s="55" t="n">
        <x:v>2777</x:v>
      </x:c>
      <x:c r="AO705" s="55" t="n">
        <x:v>10</x:v>
      </x:c>
      <x:c r="AP705" s="55" t="n">
        <x:v>2699</x:v>
      </x:c>
      <x:c r="AQ705" s="55" t="n">
        <x:v>985</x:v>
      </x:c>
    </x:row>
    <x:row r="706">
      <x:c r="A706" s="54" t="str">
        <x:v>T1_SHARED_CATCHMENT</x:v>
      </x:c>
      <x:c r="B706" s="54" t="n">
        <x:v>700</x:v>
      </x:c>
      <x:c r="C706" s="54" t="str">
        <x:v>NYC-V2-R01</x:v>
      </x:c>
      <x:c r="D706" s="54" t="str">
        <x:v>V2</x:v>
      </x:c>
      <x:c r="E706" s="54" t="str">
        <x:v>ADMITTED</x:v>
      </x:c>
      <x:c r="F706" s="55" t="n">
        <x:v>30023</x:v>
      </x:c>
      <x:c r="G706" s="55" t="n">
        <x:v>6560</x:v>
      </x:c>
      <x:c r="H706" s="55" t="n">
        <x:v>2858</x:v>
      </x:c>
      <x:c r="I706" s="55" t="n">
        <x:v>969</x:v>
      </x:c>
      <x:c r="J706" s="55" t="n">
        <x:v>326</x:v>
      </x:c>
      <x:c r="K706" s="55" t="n">
        <x:v>30023</x:v>
      </x:c>
      <x:c r="L706" s="55" t="n">
        <x:v>5104</x:v>
      </x:c>
      <x:c r="M706" s="55" t="n">
        <x:v>1939</x:v>
      </x:c>
      <x:c r="N706" s="55" t="n">
        <x:v>2028</x:v>
      </x:c>
      <x:c r="O706" s="55" t="n">
        <x:v>1137</x:v>
      </x:c>
      <x:c r="P706" s="55" t="n">
        <x:v>769</x:v>
      </x:c>
      <x:c r="Q706" s="55" t="n">
        <x:v>1722</x:v>
      </x:c>
      <x:c r="R706" s="55" t="n">
        <x:v>1524</x:v>
      </x:c>
      <x:c r="S706" s="55" t="n">
        <x:v>2176</x:v>
      </x:c>
      <x:c r="T706" s="55" t="n">
        <x:v>963</x:v>
      </x:c>
      <x:c r="U706" s="55" t="n">
        <x:v>1538</x:v>
      </x:c>
      <x:c r="V706" s="55" t="n">
        <x:v>10006</x:v>
      </x:c>
      <x:c r="W706" s="55" t="n">
        <x:v>6947</x:v>
      </x:c>
      <x:c r="X706" s="55" t="n">
        <x:v>3059</x:v>
      </x:c>
      <x:c r="Y706" s="55" t="n">
        <x:v>2588</x:v>
      </x:c>
      <x:c r="Z706" s="55" t="n">
        <x:v>3065</x:v>
      </x:c>
      <x:c r="AA706" s="55" t="n">
        <x:v>2820</x:v>
      </x:c>
      <x:c r="AB706" s="55" t="n">
        <x:v>967</x:v>
      </x:c>
      <x:c r="AC706" s="55" t="n">
        <x:v>8128</x:v>
      </x:c>
      <x:c r="AD706" s="55" t="n">
        <x:v>3254</x:v>
      </x:c>
      <x:c r="AE706" s="55" t="n">
        <x:v>10101</x:v>
      </x:c>
      <x:c r="AF706" s="55" t="n">
        <x:v>10006</x:v>
      </x:c>
      <x:c r="AG706" s="55" t="n">
        <x:v>95</x:v>
      </x:c>
      <x:c r="AH706" s="55" t="n">
        <x:v>349</x:v>
      </x:c>
      <x:c r="AI706" s="55" t="n">
        <x:v>9657</x:v>
      </x:c>
      <x:c r="AJ706" s="55" t="n">
        <x:v>197</x:v>
      </x:c>
      <x:c r="AK706" s="55" t="n">
        <x:v>1142</x:v>
      </x:c>
      <x:c r="AL706" s="55" t="n">
        <x:v>1464</x:v>
      </x:c>
      <x:c r="AM706" s="55" t="n">
        <x:v>4318</x:v>
      </x:c>
      <x:c r="AN706" s="55" t="n">
        <x:v>2885</x:v>
      </x:c>
      <x:c r="AO706" s="55" t="n">
        <x:v>0</x:v>
      </x:c>
      <x:c r="AP706" s="55" t="n">
        <x:v>2134</x:v>
      </x:c>
      <x:c r="AQ706" s="55" t="n">
        <x:v>932</x:v>
      </x:c>
    </x:row>
    <x:row r="707">
      <x:c r="A707" s="54" t="str">
        <x:v>T1_SHARED_CATCHMENT</x:v>
      </x:c>
      <x:c r="B707" s="54" t="n">
        <x:v>701</x:v>
      </x:c>
      <x:c r="C707" s="54" t="str">
        <x:v>NYC-V2-R01</x:v>
      </x:c>
      <x:c r="D707" s="54" t="str">
        <x:v>V2</x:v>
      </x:c>
      <x:c r="E707" s="54" t="str">
        <x:v>ADMITTED</x:v>
      </x:c>
      <x:c r="F707" s="55" t="n">
        <x:v>32159</x:v>
      </x:c>
      <x:c r="G707" s="55" t="n">
        <x:v>8587</x:v>
      </x:c>
      <x:c r="H707" s="55" t="n">
        <x:v>3179</x:v>
      </x:c>
      <x:c r="I707" s="55" t="n">
        <x:v>1139</x:v>
      </x:c>
      <x:c r="J707" s="55" t="n">
        <x:v>110</x:v>
      </x:c>
      <x:c r="K707" s="55" t="n">
        <x:v>32159</x:v>
      </x:c>
      <x:c r="L707" s="55" t="n">
        <x:v>6168</x:v>
      </x:c>
      <x:c r="M707" s="55" t="n">
        <x:v>1197</x:v>
      </x:c>
      <x:c r="N707" s="55" t="n">
        <x:v>3009</x:v>
      </x:c>
      <x:c r="O707" s="55" t="n">
        <x:v>1962</x:v>
      </x:c>
      <x:c r="P707" s="55" t="n">
        <x:v>1061</x:v>
      </x:c>
      <x:c r="Q707" s="55" t="n">
        <x:v>3241</x:v>
      </x:c>
      <x:c r="R707" s="55" t="n">
        <x:v>2219</x:v>
      </x:c>
      <x:c r="S707" s="55" t="n">
        <x:v>3527</x:v>
      </x:c>
      <x:c r="T707" s="55" t="n">
        <x:v>1681</x:v>
      </x:c>
      <x:c r="U707" s="55" t="n">
        <x:v>2307</x:v>
      </x:c>
      <x:c r="V707" s="55" t="n">
        <x:v>10501</x:v>
      </x:c>
      <x:c r="W707" s="55" t="n">
        <x:v>7543</x:v>
      </x:c>
      <x:c r="X707" s="55" t="n">
        <x:v>2958</x:v>
      </x:c>
      <x:c r="Y707" s="55" t="n">
        <x:v>2624</x:v>
      </x:c>
      <x:c r="Z707" s="55" t="n">
        <x:v>3611</x:v>
      </x:c>
      <x:c r="AA707" s="55" t="n">
        <x:v>2713</x:v>
      </x:c>
      <x:c r="AB707" s="55" t="n">
        <x:v>987</x:v>
      </x:c>
      <x:c r="AC707" s="55" t="n">
        <x:v>8763</x:v>
      </x:c>
      <x:c r="AD707" s="55" t="n">
        <x:v>3162</x:v>
      </x:c>
      <x:c r="AE707" s="55" t="n">
        <x:v>10590</x:v>
      </x:c>
      <x:c r="AF707" s="55" t="n">
        <x:v>10501</x:v>
      </x:c>
      <x:c r="AG707" s="55" t="n">
        <x:v>89</x:v>
      </x:c>
      <x:c r="AH707" s="55" t="n">
        <x:v>450</x:v>
      </x:c>
      <x:c r="AI707" s="55" t="n">
        <x:v>10051</x:v>
      </x:c>
      <x:c r="AJ707" s="55" t="n">
        <x:v>316</x:v>
      </x:c>
      <x:c r="AK707" s="55" t="n">
        <x:v>1253</x:v>
      </x:c>
      <x:c r="AL707" s="55" t="n">
        <x:v>1694</x:v>
      </x:c>
      <x:c r="AM707" s="55" t="n">
        <x:v>4591</x:v>
      </x:c>
      <x:c r="AN707" s="55" t="n">
        <x:v>2618</x:v>
      </x:c>
      <x:c r="AO707" s="55" t="n">
        <x:v>29</x:v>
      </x:c>
      <x:c r="AP707" s="55" t="n">
        <x:v>2479</x:v>
      </x:c>
      <x:c r="AQ707" s="55" t="n">
        <x:v>978</x:v>
      </x:c>
    </x:row>
    <x:row r="708">
      <x:c r="A708" s="54" t="str">
        <x:v>T1_SHARED_CATCHMENT</x:v>
      </x:c>
      <x:c r="B708" s="54" t="n">
        <x:v>702</x:v>
      </x:c>
      <x:c r="C708" s="54" t="str">
        <x:v>NYC-V2-R01</x:v>
      </x:c>
      <x:c r="D708" s="54" t="str">
        <x:v>V2</x:v>
      </x:c>
      <x:c r="E708" s="54" t="str">
        <x:v>ADMITTED</x:v>
      </x:c>
      <x:c r="F708" s="55" t="n">
        <x:v>28812</x:v>
      </x:c>
      <x:c r="G708" s="55" t="n">
        <x:v>6589</x:v>
      </x:c>
      <x:c r="H708" s="55" t="n">
        <x:v>3570</x:v>
      </x:c>
      <x:c r="I708" s="55" t="n">
        <x:v>1264</x:v>
      </x:c>
      <x:c r="J708" s="55" t="n">
        <x:v>253</x:v>
      </x:c>
      <x:c r="K708" s="55" t="n">
        <x:v>27739</x:v>
      </x:c>
      <x:c r="L708" s="55" t="n">
        <x:v>5311</x:v>
      </x:c>
      <x:c r="M708" s="55" t="n">
        <x:v>1111</x:v>
      </x:c>
      <x:c r="N708" s="55" t="n">
        <x:v>2591</x:v>
      </x:c>
      <x:c r="O708" s="55" t="n">
        <x:v>1609</x:v>
      </x:c>
      <x:c r="P708" s="55" t="n">
        <x:v>846</x:v>
      </x:c>
      <x:c r="Q708" s="55" t="n">
        <x:v>2513</x:v>
      </x:c>
      <x:c r="R708" s="55" t="n">
        <x:v>1777</x:v>
      </x:c>
      <x:c r="S708" s="55" t="n">
        <x:v>2679</x:v>
      </x:c>
      <x:c r="T708" s="55" t="n">
        <x:v>1486</x:v>
      </x:c>
      <x:c r="U708" s="55" t="n">
        <x:v>1814</x:v>
      </x:c>
      <x:c r="V708" s="55" t="n">
        <x:v>10586</x:v>
      </x:c>
      <x:c r="W708" s="55" t="n">
        <x:v>7954</x:v>
      </x:c>
      <x:c r="X708" s="55" t="n">
        <x:v>2632</x:v>
      </x:c>
      <x:c r="Y708" s="55" t="n">
        <x:v>2206</x:v>
      </x:c>
      <x:c r="Z708" s="55" t="n">
        <x:v>3446</x:v>
      </x:c>
      <x:c r="AA708" s="55" t="n">
        <x:v>3570</x:v>
      </x:c>
      <x:c r="AB708" s="55" t="n">
        <x:v>1833</x:v>
      </x:c>
      <x:c r="AC708" s="55" t="n">
        <x:v>7801</x:v>
      </x:c>
      <x:c r="AD708" s="55" t="n">
        <x:v>3035</x:v>
      </x:c>
      <x:c r="AE708" s="55" t="n">
        <x:v>10586</x:v>
      </x:c>
      <x:c r="AF708" s="55" t="n">
        <x:v>10586</x:v>
      </x:c>
      <x:c r="AG708" s="55" t="n">
        <x:v>0</x:v>
      </x:c>
      <x:c r="AH708" s="55" t="n">
        <x:v>399</x:v>
      </x:c>
      <x:c r="AI708" s="55" t="n">
        <x:v>10187</x:v>
      </x:c>
      <x:c r="AJ708" s="55" t="n">
        <x:v>477</x:v>
      </x:c>
      <x:c r="AK708" s="55" t="n">
        <x:v>737</x:v>
      </x:c>
      <x:c r="AL708" s="55" t="n">
        <x:v>1997</x:v>
      </x:c>
      <x:c r="AM708" s="55" t="n">
        <x:v>4565</x:v>
      </x:c>
      <x:c r="AN708" s="55" t="n">
        <x:v>2775</x:v>
      </x:c>
      <x:c r="AO708" s="55" t="n">
        <x:v>35</x:v>
      </x:c>
      <x:c r="AP708" s="55" t="n">
        <x:v>2489</x:v>
      </x:c>
      <x:c r="AQ708" s="55" t="n">
        <x:v>934</x:v>
      </x:c>
    </x:row>
    <x:row r="709">
      <x:c r="A709" s="54" t="str">
        <x:v>T1_SHARED_CATCHMENT</x:v>
      </x:c>
      <x:c r="B709" s="54" t="n">
        <x:v>703</x:v>
      </x:c>
      <x:c r="C709" s="54" t="str">
        <x:v>NYC-V2-R01</x:v>
      </x:c>
      <x:c r="D709" s="54" t="str">
        <x:v>V2</x:v>
      </x:c>
      <x:c r="E709" s="54" t="str">
        <x:v>ADMITTED</x:v>
      </x:c>
      <x:c r="F709" s="55" t="n">
        <x:v>32309</x:v>
      </x:c>
      <x:c r="G709" s="55" t="n">
        <x:v>8526</x:v>
      </x:c>
      <x:c r="H709" s="55" t="n">
        <x:v>3426</x:v>
      </x:c>
      <x:c r="I709" s="55" t="n">
        <x:v>1528</x:v>
      </x:c>
      <x:c r="J709" s="55" t="n">
        <x:v>508</x:v>
      </x:c>
      <x:c r="K709" s="55" t="n">
        <x:v>31471</x:v>
      </x:c>
      <x:c r="L709" s="55" t="n">
        <x:v>5610</x:v>
      </x:c>
      <x:c r="M709" s="55" t="n">
        <x:v>1239</x:v>
      </x:c>
      <x:c r="N709" s="55" t="n">
        <x:v>2305</x:v>
      </x:c>
      <x:c r="O709" s="55" t="n">
        <x:v>2066</x:v>
      </x:c>
      <x:c r="P709" s="55" t="n">
        <x:v>1055</x:v>
      </x:c>
      <x:c r="Q709" s="55" t="n">
        <x:v>3179</x:v>
      </x:c>
      <x:c r="R709" s="55" t="n">
        <x:v>2203</x:v>
      </x:c>
      <x:c r="S709" s="55" t="n">
        <x:v>3160</x:v>
      </x:c>
      <x:c r="T709" s="55" t="n">
        <x:v>1435</x:v>
      </x:c>
      <x:c r="U709" s="55" t="n">
        <x:v>1560</x:v>
      </x:c>
      <x:c r="V709" s="55" t="n">
        <x:v>10042</x:v>
      </x:c>
      <x:c r="W709" s="55" t="n">
        <x:v>6982</x:v>
      </x:c>
      <x:c r="X709" s="55" t="n">
        <x:v>3060</x:v>
      </x:c>
      <x:c r="Y709" s="55" t="n">
        <x:v>2671</x:v>
      </x:c>
      <x:c r="Z709" s="55" t="n">
        <x:v>3397</x:v>
      </x:c>
      <x:c r="AA709" s="55" t="n">
        <x:v>2875</x:v>
      </x:c>
      <x:c r="AB709" s="55" t="n">
        <x:v>1072</x:v>
      </x:c>
      <x:c r="AC709" s="55" t="n">
        <x:v>8387</x:v>
      </x:c>
      <x:c r="AD709" s="55" t="n">
        <x:v>2869</x:v>
      </x:c>
      <x:c r="AE709" s="55" t="n">
        <x:v>10123</x:v>
      </x:c>
      <x:c r="AF709" s="55" t="n">
        <x:v>10042</x:v>
      </x:c>
      <x:c r="AG709" s="55" t="n">
        <x:v>81</x:v>
      </x:c>
      <x:c r="AH709" s="55" t="n">
        <x:v>263</x:v>
      </x:c>
      <x:c r="AI709" s="55" t="n">
        <x:v>9779</x:v>
      </x:c>
      <x:c r="AJ709" s="55" t="n">
        <x:v>328</x:v>
      </x:c>
      <x:c r="AK709" s="55" t="n">
        <x:v>976</x:v>
      </x:c>
      <x:c r="AL709" s="55" t="n">
        <x:v>1126</x:v>
      </x:c>
      <x:c r="AM709" s="55" t="n">
        <x:v>4918</x:v>
      </x:c>
      <x:c r="AN709" s="55" t="n">
        <x:v>2614</x:v>
      </x:c>
      <x:c r="AO709" s="55" t="n">
        <x:v>80</x:v>
      </x:c>
      <x:c r="AP709" s="55" t="n">
        <x:v>2387</x:v>
      </x:c>
      <x:c r="AQ709" s="55" t="n">
        <x:v>948</x:v>
      </x:c>
    </x:row>
    <x:row r="710">
      <x:c r="A710" s="54" t="str">
        <x:v>T1_SHARED_CATCHMENT</x:v>
      </x:c>
      <x:c r="B710" s="54" t="n">
        <x:v>704</x:v>
      </x:c>
      <x:c r="C710" s="54" t="str">
        <x:v>NYC-V2-R01</x:v>
      </x:c>
      <x:c r="D710" s="54" t="str">
        <x:v>V2</x:v>
      </x:c>
      <x:c r="E710" s="54" t="str">
        <x:v>ADMITTED</x:v>
      </x:c>
      <x:c r="F710" s="55" t="n">
        <x:v>32631</x:v>
      </x:c>
      <x:c r="G710" s="55" t="n">
        <x:v>8413</x:v>
      </x:c>
      <x:c r="H710" s="55" t="n">
        <x:v>3055</x:v>
      </x:c>
      <x:c r="I710" s="55" t="n">
        <x:v>469</x:v>
      </x:c>
      <x:c r="J710" s="55" t="n">
        <x:v>0</x:v>
      </x:c>
      <x:c r="K710" s="55" t="n">
        <x:v>32631</x:v>
      </x:c>
      <x:c r="L710" s="55" t="n">
        <x:v>5185</x:v>
      </x:c>
      <x:c r="M710" s="55" t="n">
        <x:v>790</x:v>
      </x:c>
      <x:c r="N710" s="55" t="n">
        <x:v>2330</x:v>
      </x:c>
      <x:c r="O710" s="55" t="n">
        <x:v>2065</x:v>
      </x:c>
      <x:c r="P710" s="55" t="n">
        <x:v>458</x:v>
      </x:c>
      <x:c r="Q710" s="55" t="n">
        <x:v>1300</x:v>
      </x:c>
      <x:c r="R710" s="55" t="n">
        <x:v>1453</x:v>
      </x:c>
      <x:c r="S710" s="55" t="n">
        <x:v>2905</x:v>
      </x:c>
      <x:c r="T710" s="55" t="n">
        <x:v>901</x:v>
      </x:c>
      <x:c r="U710" s="55" t="n">
        <x:v>2094</x:v>
      </x:c>
      <x:c r="V710" s="55" t="n">
        <x:v>10266</x:v>
      </x:c>
      <x:c r="W710" s="55" t="n">
        <x:v>7655</x:v>
      </x:c>
      <x:c r="X710" s="55" t="n">
        <x:v>2611</x:v>
      </x:c>
      <x:c r="Y710" s="55" t="n">
        <x:v>2135</x:v>
      </x:c>
      <x:c r="Z710" s="55" t="n">
        <x:v>3535</x:v>
      </x:c>
      <x:c r="AA710" s="55" t="n">
        <x:v>3055</x:v>
      </x:c>
      <x:c r="AB710" s="55" t="n">
        <x:v>1154</x:v>
      </x:c>
      <x:c r="AC710" s="55" t="n">
        <x:v>8079</x:v>
      </x:c>
      <x:c r="AD710" s="55" t="n">
        <x:v>2395</x:v>
      </x:c>
      <x:c r="AE710" s="55" t="n">
        <x:v>10376</x:v>
      </x:c>
      <x:c r="AF710" s="55" t="n">
        <x:v>10266</x:v>
      </x:c>
      <x:c r="AG710" s="55" t="n">
        <x:v>110</x:v>
      </x:c>
      <x:c r="AH710" s="55" t="n">
        <x:v>400</x:v>
      </x:c>
      <x:c r="AI710" s="55" t="n">
        <x:v>9866</x:v>
      </x:c>
      <x:c r="AJ710" s="55" t="n">
        <x:v>274</x:v>
      </x:c>
      <x:c r="AK710" s="55" t="n">
        <x:v>813</x:v>
      </x:c>
      <x:c r="AL710" s="55" t="n">
        <x:v>1565</x:v>
      </x:c>
      <x:c r="AM710" s="55" t="n">
        <x:v>5089</x:v>
      </x:c>
      <x:c r="AN710" s="55" t="n">
        <x:v>2525</x:v>
      </x:c>
      <x:c r="AO710" s="55" t="n">
        <x:v>0</x:v>
      </x:c>
      <x:c r="AP710" s="55" t="n">
        <x:v>2130</x:v>
      </x:c>
      <x:c r="AQ710" s="55" t="n">
        <x:v>948</x:v>
      </x:c>
    </x:row>
    <x:row r="711">
      <x:c r="A711" s="54" t="str">
        <x:v>T1_SHARED_CATCHMENT</x:v>
      </x:c>
      <x:c r="B711" s="54" t="n">
        <x:v>705</x:v>
      </x:c>
      <x:c r="C711" s="54" t="str">
        <x:v>NYC-V2-R01</x:v>
      </x:c>
      <x:c r="D711" s="54" t="str">
        <x:v>V2</x:v>
      </x:c>
      <x:c r="E711" s="54" t="str">
        <x:v>ADMITTED</x:v>
      </x:c>
      <x:c r="F711" s="55" t="n">
        <x:v>31820</x:v>
      </x:c>
      <x:c r="G711" s="55" t="n">
        <x:v>6777</x:v>
      </x:c>
      <x:c r="H711" s="55" t="n">
        <x:v>3267</x:v>
      </x:c>
      <x:c r="I711" s="55" t="n">
        <x:v>1023</x:v>
      </x:c>
      <x:c r="J711" s="55" t="n">
        <x:v>200</x:v>
      </x:c>
      <x:c r="K711" s="55" t="n">
        <x:v>31820</x:v>
      </x:c>
      <x:c r="L711" s="55" t="n">
        <x:v>5490</x:v>
      </x:c>
      <x:c r="M711" s="55" t="n">
        <x:v>1014</x:v>
      </x:c>
      <x:c r="N711" s="55" t="n">
        <x:v>2736</x:v>
      </x:c>
      <x:c r="O711" s="55" t="n">
        <x:v>1740</x:v>
      </x:c>
      <x:c r="P711" s="55" t="n">
        <x:v>762</x:v>
      </x:c>
      <x:c r="Q711" s="55" t="n">
        <x:v>2677</x:v>
      </x:c>
      <x:c r="R711" s="55" t="n">
        <x:v>1965</x:v>
      </x:c>
      <x:c r="S711" s="55" t="n">
        <x:v>3206</x:v>
      </x:c>
      <x:c r="T711" s="55" t="n">
        <x:v>981</x:v>
      </x:c>
      <x:c r="U711" s="55" t="n">
        <x:v>2112</x:v>
      </x:c>
      <x:c r="V711" s="55" t="n">
        <x:v>10942</x:v>
      </x:c>
      <x:c r="W711" s="55" t="n">
        <x:v>7836</x:v>
      </x:c>
      <x:c r="X711" s="55" t="n">
        <x:v>3106</x:v>
      </x:c>
      <x:c r="Y711" s="55" t="n">
        <x:v>2523</x:v>
      </x:c>
      <x:c r="Z711" s="55" t="n">
        <x:v>4025</x:v>
      </x:c>
      <x:c r="AA711" s="55" t="n">
        <x:v>3267</x:v>
      </x:c>
      <x:c r="AB711" s="55" t="n">
        <x:v>1380</x:v>
      </x:c>
      <x:c r="AC711" s="55" t="n">
        <x:v>8123</x:v>
      </x:c>
      <x:c r="AD711" s="55" t="n">
        <x:v>3591</x:v>
      </x:c>
      <x:c r="AE711" s="55" t="n">
        <x:v>11015</x:v>
      </x:c>
      <x:c r="AF711" s="55" t="n">
        <x:v>10942</x:v>
      </x:c>
      <x:c r="AG711" s="55" t="n">
        <x:v>73</x:v>
      </x:c>
      <x:c r="AH711" s="55" t="n">
        <x:v>491</x:v>
      </x:c>
      <x:c r="AI711" s="55" t="n">
        <x:v>10451</x:v>
      </x:c>
      <x:c r="AJ711" s="55" t="n">
        <x:v>425</x:v>
      </x:c>
      <x:c r="AK711" s="55" t="n">
        <x:v>1078</x:v>
      </x:c>
      <x:c r="AL711" s="55" t="n">
        <x:v>1291</x:v>
      </x:c>
      <x:c r="AM711" s="55" t="n">
        <x:v>4831</x:v>
      </x:c>
      <x:c r="AN711" s="55" t="n">
        <x:v>3226</x:v>
      </x:c>
      <x:c r="AO711" s="55" t="n">
        <x:v>91</x:v>
      </x:c>
      <x:c r="AP711" s="55" t="n">
        <x:v>2411</x:v>
      </x:c>
      <x:c r="AQ711" s="55" t="n">
        <x:v>906</x:v>
      </x:c>
    </x:row>
    <x:row r="712">
      <x:c r="A712" s="54" t="str">
        <x:v>T1_SHARED_CATCHMENT</x:v>
      </x:c>
      <x:c r="B712" s="54" t="n">
        <x:v>706</x:v>
      </x:c>
      <x:c r="C712" s="54" t="str">
        <x:v>NYC-V2-R01</x:v>
      </x:c>
      <x:c r="D712" s="54" t="str">
        <x:v>V2</x:v>
      </x:c>
      <x:c r="E712" s="54" t="str">
        <x:v>ADMITTED</x:v>
      </x:c>
      <x:c r="F712" s="55" t="n">
        <x:v>32777</x:v>
      </x:c>
      <x:c r="G712" s="55" t="n">
        <x:v>8464</x:v>
      </x:c>
      <x:c r="H712" s="55" t="n">
        <x:v>3652</x:v>
      </x:c>
      <x:c r="I712" s="55" t="n">
        <x:v>1612</x:v>
      </x:c>
      <x:c r="J712" s="55" t="n">
        <x:v>371</x:v>
      </x:c>
      <x:c r="K712" s="55" t="n">
        <x:v>31926</x:v>
      </x:c>
      <x:c r="L712" s="55" t="n">
        <x:v>4958</x:v>
      </x:c>
      <x:c r="M712" s="55" t="n">
        <x:v>1478</x:v>
      </x:c>
      <x:c r="N712" s="55" t="n">
        <x:v>2259</x:v>
      </x:c>
      <x:c r="O712" s="55" t="n">
        <x:v>1221</x:v>
      </x:c>
      <x:c r="P712" s="55" t="n">
        <x:v>770</x:v>
      </x:c>
      <x:c r="Q712" s="55" t="n">
        <x:v>2419</x:v>
      </x:c>
      <x:c r="R712" s="55" t="n">
        <x:v>1512</x:v>
      </x:c>
      <x:c r="S712" s="55" t="n">
        <x:v>2843</x:v>
      </x:c>
      <x:c r="T712" s="55" t="n">
        <x:v>1328</x:v>
      </x:c>
      <x:c r="U712" s="55" t="n">
        <x:v>3003</x:v>
      </x:c>
      <x:c r="V712" s="55" t="n">
        <x:v>10645</x:v>
      </x:c>
      <x:c r="W712" s="55" t="n">
        <x:v>7332</x:v>
      </x:c>
      <x:c r="X712" s="55" t="n">
        <x:v>3313</x:v>
      </x:c>
      <x:c r="Y712" s="55" t="n">
        <x:v>2957</x:v>
      </x:c>
      <x:c r="Z712" s="55" t="n">
        <x:v>3837</x:v>
      </x:c>
      <x:c r="AA712" s="55" t="n">
        <x:v>2873</x:v>
      </x:c>
      <x:c r="AB712" s="55" t="n">
        <x:v>885</x:v>
      </x:c>
      <x:c r="AC712" s="55" t="n">
        <x:v>7972</x:v>
      </x:c>
      <x:c r="AD712" s="55" t="n">
        <x:v>3048</x:v>
      </x:c>
      <x:c r="AE712" s="55" t="n">
        <x:v>10713</x:v>
      </x:c>
      <x:c r="AF712" s="55" t="n">
        <x:v>10645</x:v>
      </x:c>
      <x:c r="AG712" s="55" t="n">
        <x:v>68</x:v>
      </x:c>
      <x:c r="AH712" s="55" t="n">
        <x:v>597</x:v>
      </x:c>
      <x:c r="AI712" s="55" t="n">
        <x:v>10048</x:v>
      </x:c>
      <x:c r="AJ712" s="55" t="n">
        <x:v>496</x:v>
      </x:c>
      <x:c r="AK712" s="55" t="n">
        <x:v>1241</x:v>
      </x:c>
      <x:c r="AL712" s="55" t="n">
        <x:v>1444</x:v>
      </x:c>
      <x:c r="AM712" s="55" t="n">
        <x:v>4547</x:v>
      </x:c>
      <x:c r="AN712" s="55" t="n">
        <x:v>2882</x:v>
      </x:c>
      <x:c r="AO712" s="55" t="n">
        <x:v>35</x:v>
      </x:c>
      <x:c r="AP712" s="55" t="n">
        <x:v>2127</x:v>
      </x:c>
      <x:c r="AQ712" s="55" t="n">
        <x:v>970</x:v>
      </x:c>
    </x:row>
    <x:row r="713">
      <x:c r="A713" s="54" t="str">
        <x:v>T1_SHARED_CATCHMENT</x:v>
      </x:c>
      <x:c r="B713" s="54" t="n">
        <x:v>707</x:v>
      </x:c>
      <x:c r="C713" s="54" t="str">
        <x:v>NYC-V2-R01</x:v>
      </x:c>
      <x:c r="D713" s="54" t="str">
        <x:v>V2</x:v>
      </x:c>
      <x:c r="E713" s="54" t="str">
        <x:v>ADMITTED</x:v>
      </x:c>
      <x:c r="F713" s="55" t="n">
        <x:v>33046</x:v>
      </x:c>
      <x:c r="G713" s="55" t="n">
        <x:v>7960</x:v>
      </x:c>
      <x:c r="H713" s="55" t="n">
        <x:v>3458</x:v>
      </x:c>
      <x:c r="I713" s="55" t="n">
        <x:v>1477</x:v>
      </x:c>
      <x:c r="J713" s="55" t="n">
        <x:v>320</x:v>
      </x:c>
      <x:c r="K713" s="55" t="n">
        <x:v>33046</x:v>
      </x:c>
      <x:c r="L713" s="55" t="n">
        <x:v>6720</x:v>
      </x:c>
      <x:c r="M713" s="55" t="n">
        <x:v>1917</x:v>
      </x:c>
      <x:c r="N713" s="55" t="n">
        <x:v>2767</x:v>
      </x:c>
      <x:c r="O713" s="55" t="n">
        <x:v>2036</x:v>
      </x:c>
      <x:c r="P713" s="55" t="n">
        <x:v>649</x:v>
      </x:c>
      <x:c r="Q713" s="55" t="n">
        <x:v>3250</x:v>
      </x:c>
      <x:c r="R713" s="55" t="n">
        <x:v>2470</x:v>
      </x:c>
      <x:c r="S713" s="55" t="n">
        <x:v>3576</x:v>
      </x:c>
      <x:c r="T713" s="55" t="n">
        <x:v>922</x:v>
      </x:c>
      <x:c r="U713" s="55" t="n">
        <x:v>2101</x:v>
      </x:c>
      <x:c r="V713" s="55" t="n">
        <x:v>9964</x:v>
      </x:c>
      <x:c r="W713" s="55" t="n">
        <x:v>6544</x:v>
      </x:c>
      <x:c r="X713" s="55" t="n">
        <x:v>3420</x:v>
      </x:c>
      <x:c r="Y713" s="55" t="n">
        <x:v>3090</x:v>
      </x:c>
      <x:c r="Z713" s="55" t="n">
        <x:v>3456</x:v>
      </x:c>
      <x:c r="AA713" s="55" t="n">
        <x:v>3458</x:v>
      </x:c>
      <x:c r="AB713" s="55" t="n">
        <x:v>1116</x:v>
      </x:c>
      <x:c r="AC713" s="55" t="n">
        <x:v>8161</x:v>
      </x:c>
      <x:c r="AD713" s="55" t="n">
        <x:v>2794</x:v>
      </x:c>
      <x:c r="AE713" s="55" t="n">
        <x:v>10055</x:v>
      </x:c>
      <x:c r="AF713" s="55" t="n">
        <x:v>9964</x:v>
      </x:c>
      <x:c r="AG713" s="55" t="n">
        <x:v>91</x:v>
      </x:c>
      <x:c r="AH713" s="55" t="n">
        <x:v>155</x:v>
      </x:c>
      <x:c r="AI713" s="55" t="n">
        <x:v>9809</x:v>
      </x:c>
      <x:c r="AJ713" s="55" t="n">
        <x:v>375</x:v>
      </x:c>
      <x:c r="AK713" s="55" t="n">
        <x:v>1068</x:v>
      </x:c>
      <x:c r="AL713" s="55" t="n">
        <x:v>1317</x:v>
      </x:c>
      <x:c r="AM713" s="55" t="n">
        <x:v>4380</x:v>
      </x:c>
      <x:c r="AN713" s="55" t="n">
        <x:v>2743</x:v>
      </x:c>
      <x:c r="AO713" s="55" t="n">
        <x:v>81</x:v>
      </x:c>
      <x:c r="AP713" s="55" t="n">
        <x:v>2280</x:v>
      </x:c>
      <x:c r="AQ713" s="55" t="n">
        <x:v>973</x:v>
      </x:c>
    </x:row>
    <x:row r="714">
      <x:c r="A714" s="54" t="str">
        <x:v>T1_SHARED_CATCHMENT</x:v>
      </x:c>
      <x:c r="B714" s="54" t="n">
        <x:v>708</x:v>
      </x:c>
      <x:c r="C714" s="54" t="str">
        <x:v>NYC-V2-R01</x:v>
      </x:c>
      <x:c r="D714" s="54" t="str">
        <x:v>V2</x:v>
      </x:c>
      <x:c r="E714" s="54" t="str">
        <x:v>ADMITTED</x:v>
      </x:c>
      <x:c r="F714" s="55" t="n">
        <x:v>31166</x:v>
      </x:c>
      <x:c r="G714" s="55" t="n">
        <x:v>6074</x:v>
      </x:c>
      <x:c r="H714" s="55" t="n">
        <x:v>3273</x:v>
      </x:c>
      <x:c r="I714" s="55" t="n">
        <x:v>931</x:v>
      </x:c>
      <x:c r="J714" s="55" t="n">
        <x:v>53</x:v>
      </x:c>
      <x:c r="K714" s="55" t="n">
        <x:v>31166</x:v>
      </x:c>
      <x:c r="L714" s="55" t="n">
        <x:v>5499</x:v>
      </x:c>
      <x:c r="M714" s="55" t="n">
        <x:v>695</x:v>
      </x:c>
      <x:c r="N714" s="55" t="n">
        <x:v>2883</x:v>
      </x:c>
      <x:c r="O714" s="55" t="n">
        <x:v>1921</x:v>
      </x:c>
      <x:c r="P714" s="55" t="n">
        <x:v>566</x:v>
      </x:c>
      <x:c r="Q714" s="55" t="n">
        <x:v>2403</x:v>
      </x:c>
      <x:c r="R714" s="55" t="n">
        <x:v>1563</x:v>
      </x:c>
      <x:c r="S714" s="55" t="n">
        <x:v>2333</x:v>
      </x:c>
      <x:c r="T714" s="55" t="n">
        <x:v>1402</x:v>
      </x:c>
      <x:c r="U714" s="55" t="n">
        <x:v>1143</x:v>
      </x:c>
      <x:c r="V714" s="55" t="n">
        <x:v>10486</x:v>
      </x:c>
      <x:c r="W714" s="55" t="n">
        <x:v>7421</x:v>
      </x:c>
      <x:c r="X714" s="55" t="n">
        <x:v>3065</x:v>
      </x:c>
      <x:c r="Y714" s="55" t="n">
        <x:v>2664</x:v>
      </x:c>
      <x:c r="Z714" s="55" t="n">
        <x:v>3947</x:v>
      </x:c>
      <x:c r="AA714" s="55" t="n">
        <x:v>3079</x:v>
      </x:c>
      <x:c r="AB714" s="55" t="n">
        <x:v>971</x:v>
      </x:c>
      <x:c r="AC714" s="55" t="n">
        <x:v>8194</x:v>
      </x:c>
      <x:c r="AD714" s="55" t="n">
        <x:v>2987</x:v>
      </x:c>
      <x:c r="AE714" s="55" t="n">
        <x:v>10540</x:v>
      </x:c>
      <x:c r="AF714" s="55" t="n">
        <x:v>10486</x:v>
      </x:c>
      <x:c r="AG714" s="55" t="n">
        <x:v>54</x:v>
      </x:c>
      <x:c r="AH714" s="55" t="n">
        <x:v>448</x:v>
      </x:c>
      <x:c r="AI714" s="55" t="n">
        <x:v>10038</x:v>
      </x:c>
      <x:c r="AJ714" s="55" t="n">
        <x:v>293</x:v>
      </x:c>
      <x:c r="AK714" s="55" t="n">
        <x:v>968</x:v>
      </x:c>
      <x:c r="AL714" s="55" t="n">
        <x:v>1475</x:v>
      </x:c>
      <x:c r="AM714" s="55" t="n">
        <x:v>4659</x:v>
      </x:c>
      <x:c r="AN714" s="55" t="n">
        <x:v>3081</x:v>
      </x:c>
      <x:c r="AO714" s="55" t="n">
        <x:v>10</x:v>
      </x:c>
      <x:c r="AP714" s="55" t="n">
        <x:v>2631</x:v>
      </x:c>
      <x:c r="AQ714" s="55" t="n">
        <x:v>929</x:v>
      </x:c>
    </x:row>
    <x:row r="715">
      <x:c r="A715" s="54" t="str">
        <x:v>T1_SHARED_CATCHMENT</x:v>
      </x:c>
      <x:c r="B715" s="54" t="n">
        <x:v>709</x:v>
      </x:c>
      <x:c r="C715" s="54" t="str">
        <x:v>NYC-V2-R01</x:v>
      </x:c>
      <x:c r="D715" s="54" t="str">
        <x:v>V2</x:v>
      </x:c>
      <x:c r="E715" s="54" t="str">
        <x:v>ADMITTED</x:v>
      </x:c>
      <x:c r="F715" s="55" t="n">
        <x:v>31628</x:v>
      </x:c>
      <x:c r="G715" s="55" t="n">
        <x:v>7569</x:v>
      </x:c>
      <x:c r="H715" s="55" t="n">
        <x:v>3537</x:v>
      </x:c>
      <x:c r="I715" s="55" t="n">
        <x:v>1690</x:v>
      </x:c>
      <x:c r="J715" s="55" t="n">
        <x:v>524</x:v>
      </x:c>
      <x:c r="K715" s="55" t="n">
        <x:v>31628</x:v>
      </x:c>
      <x:c r="L715" s="55" t="n">
        <x:v>7158</x:v>
      </x:c>
      <x:c r="M715" s="55" t="n">
        <x:v>1839</x:v>
      </x:c>
      <x:c r="N715" s="55" t="n">
        <x:v>3018</x:v>
      </x:c>
      <x:c r="O715" s="55" t="n">
        <x:v>2301</x:v>
      </x:c>
      <x:c r="P715" s="55" t="n">
        <x:v>796</x:v>
      </x:c>
      <x:c r="Q715" s="55" t="n">
        <x:v>2787</x:v>
      </x:c>
      <x:c r="R715" s="55" t="n">
        <x:v>2100</x:v>
      </x:c>
      <x:c r="S715" s="55" t="n">
        <x:v>3249</x:v>
      </x:c>
      <x:c r="T715" s="55" t="n">
        <x:v>1613</x:v>
      </x:c>
      <x:c r="U715" s="55" t="n">
        <x:v>2283</x:v>
      </x:c>
      <x:c r="V715" s="55" t="n">
        <x:v>11368</x:v>
      </x:c>
      <x:c r="W715" s="55" t="n">
        <x:v>8535</x:v>
      </x:c>
      <x:c r="X715" s="55" t="n">
        <x:v>2833</x:v>
      </x:c>
      <x:c r="Y715" s="55" t="n">
        <x:v>2718</x:v>
      </x:c>
      <x:c r="Z715" s="55" t="n">
        <x:v>3912</x:v>
      </x:c>
      <x:c r="AA715" s="55" t="n">
        <x:v>3409</x:v>
      </x:c>
      <x:c r="AB715" s="55" t="n">
        <x:v>1275</x:v>
      </x:c>
      <x:c r="AC715" s="55" t="n">
        <x:v>8344</x:v>
      </x:c>
      <x:c r="AD715" s="55" t="n">
        <x:v>2928</x:v>
      </x:c>
      <x:c r="AE715" s="55" t="n">
        <x:v>11533</x:v>
      </x:c>
      <x:c r="AF715" s="55" t="n">
        <x:v>11368</x:v>
      </x:c>
      <x:c r="AG715" s="55" t="n">
        <x:v>165</x:v>
      </x:c>
      <x:c r="AH715" s="55" t="n">
        <x:v>616</x:v>
      </x:c>
      <x:c r="AI715" s="55" t="n">
        <x:v>10752</x:v>
      </x:c>
      <x:c r="AJ715" s="55" t="n">
        <x:v>283</x:v>
      </x:c>
      <x:c r="AK715" s="55" t="n">
        <x:v>1103</x:v>
      </x:c>
      <x:c r="AL715" s="55" t="n">
        <x:v>1635</x:v>
      </x:c>
      <x:c r="AM715" s="55" t="n">
        <x:v>5510</x:v>
      </x:c>
      <x:c r="AN715" s="55" t="n">
        <x:v>2796</x:v>
      </x:c>
      <x:c r="AO715" s="55" t="n">
        <x:v>41</x:v>
      </x:c>
      <x:c r="AP715" s="55" t="n">
        <x:v>2338</x:v>
      </x:c>
      <x:c r="AQ715" s="55" t="n">
        <x:v>939</x:v>
      </x:c>
    </x:row>
    <x:row r="716">
      <x:c r="A716" s="54" t="str">
        <x:v>T1_SHARED_CATCHMENT</x:v>
      </x:c>
      <x:c r="B716" s="54" t="n">
        <x:v>710</x:v>
      </x:c>
      <x:c r="C716" s="54" t="str">
        <x:v>NYC-V2-R01</x:v>
      </x:c>
      <x:c r="D716" s="54" t="str">
        <x:v>V2</x:v>
      </x:c>
      <x:c r="E716" s="54" t="str">
        <x:v>ADMITTED</x:v>
      </x:c>
      <x:c r="F716" s="55" t="n">
        <x:v>30532</x:v>
      </x:c>
      <x:c r="G716" s="55" t="n">
        <x:v>7089</x:v>
      </x:c>
      <x:c r="H716" s="55" t="n">
        <x:v>3285</x:v>
      </x:c>
      <x:c r="I716" s="55" t="n">
        <x:v>1327</x:v>
      </x:c>
      <x:c r="J716" s="55" t="n">
        <x:v>285</x:v>
      </x:c>
      <x:c r="K716" s="55" t="n">
        <x:v>30532</x:v>
      </x:c>
      <x:c r="L716" s="55" t="n">
        <x:v>6226</x:v>
      </x:c>
      <x:c r="M716" s="55" t="n">
        <x:v>1202</x:v>
      </x:c>
      <x:c r="N716" s="55" t="n">
        <x:v>2922</x:v>
      </x:c>
      <x:c r="O716" s="55" t="n">
        <x:v>2102</x:v>
      </x:c>
      <x:c r="P716" s="55" t="n">
        <x:v>856</x:v>
      </x:c>
      <x:c r="Q716" s="55" t="n">
        <x:v>2160</x:v>
      </x:c>
      <x:c r="R716" s="55" t="n">
        <x:v>1581</x:v>
      </x:c>
      <x:c r="S716" s="55" t="n">
        <x:v>2939</x:v>
      </x:c>
      <x:c r="T716" s="55" t="n">
        <x:v>1284</x:v>
      </x:c>
      <x:c r="U716" s="55" t="n">
        <x:v>2525</x:v>
      </x:c>
      <x:c r="V716" s="55" t="n">
        <x:v>10226</x:v>
      </x:c>
      <x:c r="W716" s="55" t="n">
        <x:v>7126</x:v>
      </x:c>
      <x:c r="X716" s="55" t="n">
        <x:v>3100</x:v>
      </x:c>
      <x:c r="Y716" s="55" t="n">
        <x:v>2655</x:v>
      </x:c>
      <x:c r="Z716" s="55" t="n">
        <x:v>3330</x:v>
      </x:c>
      <x:c r="AA716" s="55" t="n">
        <x:v>3285</x:v>
      </x:c>
      <x:c r="AB716" s="55" t="n">
        <x:v>1086</x:v>
      </x:c>
      <x:c r="AC716" s="55" t="n">
        <x:v>7886</x:v>
      </x:c>
      <x:c r="AD716" s="55" t="n">
        <x:v>3021</x:v>
      </x:c>
      <x:c r="AE716" s="55" t="n">
        <x:v>10332</x:v>
      </x:c>
      <x:c r="AF716" s="55" t="n">
        <x:v>10226</x:v>
      </x:c>
      <x:c r="AG716" s="55" t="n">
        <x:v>106</x:v>
      </x:c>
      <x:c r="AH716" s="55" t="n">
        <x:v>516</x:v>
      </x:c>
      <x:c r="AI716" s="55" t="n">
        <x:v>9710</x:v>
      </x:c>
      <x:c r="AJ716" s="55" t="n">
        <x:v>443</x:v>
      </x:c>
      <x:c r="AK716" s="55" t="n">
        <x:v>1053</x:v>
      </x:c>
      <x:c r="AL716" s="55" t="n">
        <x:v>1266</x:v>
      </x:c>
      <x:c r="AM716" s="55" t="n">
        <x:v>4698</x:v>
      </x:c>
      <x:c r="AN716" s="55" t="n">
        <x:v>2759</x:v>
      </x:c>
      <x:c r="AO716" s="55" t="n">
        <x:v>7</x:v>
      </x:c>
      <x:c r="AP716" s="55" t="n">
        <x:v>2813</x:v>
      </x:c>
      <x:c r="AQ716" s="55" t="n">
        <x:v>1068</x:v>
      </x:c>
    </x:row>
    <x:row r="717">
      <x:c r="A717" s="54" t="str">
        <x:v>T1_SHARED_CATCHMENT</x:v>
      </x:c>
      <x:c r="B717" s="54" t="n">
        <x:v>711</x:v>
      </x:c>
      <x:c r="C717" s="54" t="str">
        <x:v>NYC-V2-R01</x:v>
      </x:c>
      <x:c r="D717" s="54" t="str">
        <x:v>V2</x:v>
      </x:c>
      <x:c r="E717" s="54" t="str">
        <x:v>ADMITTED</x:v>
      </x:c>
      <x:c r="F717" s="55" t="n">
        <x:v>32621</x:v>
      </x:c>
      <x:c r="G717" s="55" t="n">
        <x:v>5039</x:v>
      </x:c>
      <x:c r="H717" s="55" t="n">
        <x:v>3118</x:v>
      </x:c>
      <x:c r="I717" s="55" t="n">
        <x:v>881</x:v>
      </x:c>
      <x:c r="J717" s="55" t="n">
        <x:v>143</x:v>
      </x:c>
      <x:c r="K717" s="55" t="n">
        <x:v>32621</x:v>
      </x:c>
      <x:c r="L717" s="55" t="n">
        <x:v>6001</x:v>
      </x:c>
      <x:c r="M717" s="55" t="n">
        <x:v>1242</x:v>
      </x:c>
      <x:c r="N717" s="55" t="n">
        <x:v>2858</x:v>
      </x:c>
      <x:c r="O717" s="55" t="n">
        <x:v>1901</x:v>
      </x:c>
      <x:c r="P717" s="55" t="n">
        <x:v>395</x:v>
      </x:c>
      <x:c r="Q717" s="55" t="n">
        <x:v>2890</x:v>
      </x:c>
      <x:c r="R717" s="55" t="n">
        <x:v>2001</x:v>
      </x:c>
      <x:c r="S717" s="55" t="n">
        <x:v>2944</x:v>
      </x:c>
      <x:c r="T717" s="55" t="n">
        <x:v>1219</x:v>
      </x:c>
      <x:c r="U717" s="55" t="n">
        <x:v>1768</x:v>
      </x:c>
      <x:c r="V717" s="55" t="n">
        <x:v>10672</x:v>
      </x:c>
      <x:c r="W717" s="55" t="n">
        <x:v>7328</x:v>
      </x:c>
      <x:c r="X717" s="55" t="n">
        <x:v>3344</x:v>
      </x:c>
      <x:c r="Y717" s="55" t="n">
        <x:v>2928</x:v>
      </x:c>
      <x:c r="Z717" s="55" t="n">
        <x:v>3680</x:v>
      </x:c>
      <x:c r="AA717" s="55" t="n">
        <x:v>2905</x:v>
      </x:c>
      <x:c r="AB717" s="55" t="n">
        <x:v>999</x:v>
      </x:c>
      <x:c r="AC717" s="55" t="n">
        <x:v>7926</x:v>
      </x:c>
      <x:c r="AD717" s="55" t="n">
        <x:v>2628</x:v>
      </x:c>
      <x:c r="AE717" s="55" t="n">
        <x:v>10790</x:v>
      </x:c>
      <x:c r="AF717" s="55" t="n">
        <x:v>10672</x:v>
      </x:c>
      <x:c r="AG717" s="55" t="n">
        <x:v>118</x:v>
      </x:c>
      <x:c r="AH717" s="55" t="n">
        <x:v>422</x:v>
      </x:c>
      <x:c r="AI717" s="55" t="n">
        <x:v>10250</x:v>
      </x:c>
      <x:c r="AJ717" s="55" t="n">
        <x:v>373</x:v>
      </x:c>
      <x:c r="AK717" s="55" t="n">
        <x:v>741</x:v>
      </x:c>
      <x:c r="AL717" s="55" t="n">
        <x:v>1948</x:v>
      </x:c>
      <x:c r="AM717" s="55" t="n">
        <x:v>5306</x:v>
      </x:c>
      <x:c r="AN717" s="55" t="n">
        <x:v>2304</x:v>
      </x:c>
      <x:c r="AO717" s="55" t="n">
        <x:v>0</x:v>
      </x:c>
      <x:c r="AP717" s="55" t="n">
        <x:v>2374</x:v>
      </x:c>
      <x:c r="AQ717" s="55" t="n">
        <x:v>924</x:v>
      </x:c>
    </x:row>
    <x:row r="718">
      <x:c r="A718" s="54" t="str">
        <x:v>T1_SHARED_CATCHMENT</x:v>
      </x:c>
      <x:c r="B718" s="54" t="n">
        <x:v>712</x:v>
      </x:c>
      <x:c r="C718" s="54" t="str">
        <x:v>NYC-V2-R01</x:v>
      </x:c>
      <x:c r="D718" s="54" t="str">
        <x:v>V2</x:v>
      </x:c>
      <x:c r="E718" s="54" t="str">
        <x:v>ADMITTED</x:v>
      </x:c>
      <x:c r="F718" s="55" t="n">
        <x:v>30250</x:v>
      </x:c>
      <x:c r="G718" s="55" t="n">
        <x:v>7855</x:v>
      </x:c>
      <x:c r="H718" s="55" t="n">
        <x:v>3012</x:v>
      </x:c>
      <x:c r="I718" s="55" t="n">
        <x:v>966</x:v>
      </x:c>
      <x:c r="J718" s="55" t="n">
        <x:v>45</x:v>
      </x:c>
      <x:c r="K718" s="55" t="n">
        <x:v>28781</x:v>
      </x:c>
      <x:c r="L718" s="55" t="n">
        <x:v>4663</x:v>
      </x:c>
      <x:c r="M718" s="55" t="n">
        <x:v>590</x:v>
      </x:c>
      <x:c r="N718" s="55" t="n">
        <x:v>2448</x:v>
      </x:c>
      <x:c r="O718" s="55" t="n">
        <x:v>1625</x:v>
      </x:c>
      <x:c r="P718" s="55" t="n">
        <x:v>446</x:v>
      </x:c>
      <x:c r="Q718" s="55" t="n">
        <x:v>2404</x:v>
      </x:c>
      <x:c r="R718" s="55" t="n">
        <x:v>1930</x:v>
      </x:c>
      <x:c r="S718" s="55" t="n">
        <x:v>3075</x:v>
      </x:c>
      <x:c r="T718" s="55" t="n">
        <x:v>1175</x:v>
      </x:c>
      <x:c r="U718" s="55" t="n">
        <x:v>2066</x:v>
      </x:c>
      <x:c r="V718" s="55" t="n">
        <x:v>11042</x:v>
      </x:c>
      <x:c r="W718" s="55" t="n">
        <x:v>8195</x:v>
      </x:c>
      <x:c r="X718" s="55" t="n">
        <x:v>2847</x:v>
      </x:c>
      <x:c r="Y718" s="55" t="n">
        <x:v>2613</x:v>
      </x:c>
      <x:c r="Z718" s="55" t="n">
        <x:v>3956</x:v>
      </x:c>
      <x:c r="AA718" s="55" t="n">
        <x:v>3012</x:v>
      </x:c>
      <x:c r="AB718" s="55" t="n">
        <x:v>722</x:v>
      </x:c>
      <x:c r="AC718" s="55" t="n">
        <x:v>7535</x:v>
      </x:c>
      <x:c r="AD718" s="55" t="n">
        <x:v>2501</x:v>
      </x:c>
      <x:c r="AE718" s="55" t="n">
        <x:v>11100</x:v>
      </x:c>
      <x:c r="AF718" s="55" t="n">
        <x:v>11042</x:v>
      </x:c>
      <x:c r="AG718" s="55" t="n">
        <x:v>58</x:v>
      </x:c>
      <x:c r="AH718" s="55" t="n">
        <x:v>303</x:v>
      </x:c>
      <x:c r="AI718" s="55" t="n">
        <x:v>10739</x:v>
      </x:c>
      <x:c r="AJ718" s="55" t="n">
        <x:v>323</x:v>
      </x:c>
      <x:c r="AK718" s="55" t="n">
        <x:v>1386</x:v>
      </x:c>
      <x:c r="AL718" s="55" t="n">
        <x:v>1585</x:v>
      </x:c>
      <x:c r="AM718" s="55" t="n">
        <x:v>5253</x:v>
      </x:c>
      <x:c r="AN718" s="55" t="n">
        <x:v>2465</x:v>
      </x:c>
      <x:c r="AO718" s="55" t="n">
        <x:v>30</x:v>
      </x:c>
      <x:c r="AP718" s="55" t="n">
        <x:v>2124</x:v>
      </x:c>
      <x:c r="AQ718" s="55" t="n">
        <x:v>924</x:v>
      </x:c>
    </x:row>
    <x:row r="719">
      <x:c r="A719" s="54" t="str">
        <x:v>T1_SHARED_CATCHMENT</x:v>
      </x:c>
      <x:c r="B719" s="54" t="n">
        <x:v>713</x:v>
      </x:c>
      <x:c r="C719" s="54" t="str">
        <x:v>NYC-V2-R01</x:v>
      </x:c>
      <x:c r="D719" s="54" t="str">
        <x:v>V2</x:v>
      </x:c>
      <x:c r="E719" s="54" t="str">
        <x:v>ADMITTED</x:v>
      </x:c>
      <x:c r="F719" s="55" t="n">
        <x:v>30871</x:v>
      </x:c>
      <x:c r="G719" s="55" t="n">
        <x:v>7179</x:v>
      </x:c>
      <x:c r="H719" s="55" t="n">
        <x:v>3733</x:v>
      </x:c>
      <x:c r="I719" s="55" t="n">
        <x:v>1696</x:v>
      </x:c>
      <x:c r="J719" s="55" t="n">
        <x:v>550</x:v>
      </x:c>
      <x:c r="K719" s="55" t="n">
        <x:v>29929</x:v>
      </x:c>
      <x:c r="L719" s="55" t="n">
        <x:v>5273</x:v>
      </x:c>
      <x:c r="M719" s="55" t="n">
        <x:v>1168</x:v>
      </x:c>
      <x:c r="N719" s="55" t="n">
        <x:v>2346</x:v>
      </x:c>
      <x:c r="O719" s="55" t="n">
        <x:v>1759</x:v>
      </x:c>
      <x:c r="P719" s="55" t="n">
        <x:v>912</x:v>
      </x:c>
      <x:c r="Q719" s="55" t="n">
        <x:v>1195</x:v>
      </x:c>
      <x:c r="R719" s="55" t="n">
        <x:v>1778</x:v>
      </x:c>
      <x:c r="S719" s="55" t="n">
        <x:v>2959</x:v>
      </x:c>
      <x:c r="T719" s="55" t="n">
        <x:v>1037</x:v>
      </x:c>
      <x:c r="U719" s="55" t="n">
        <x:v>2082</x:v>
      </x:c>
      <x:c r="V719" s="55" t="n">
        <x:v>10670</x:v>
      </x:c>
      <x:c r="W719" s="55" t="n">
        <x:v>7646</x:v>
      </x:c>
      <x:c r="X719" s="55" t="n">
        <x:v>3024</x:v>
      </x:c>
      <x:c r="Y719" s="55" t="n">
        <x:v>2765</x:v>
      </x:c>
      <x:c r="Z719" s="55" t="n">
        <x:v>4078</x:v>
      </x:c>
      <x:c r="AA719" s="55" t="n">
        <x:v>3212</x:v>
      </x:c>
      <x:c r="AB719" s="55" t="n">
        <x:v>1196</x:v>
      </x:c>
      <x:c r="AC719" s="55" t="n">
        <x:v>7607</x:v>
      </x:c>
      <x:c r="AD719" s="55" t="n">
        <x:v>3205</x:v>
      </x:c>
      <x:c r="AE719" s="55" t="n">
        <x:v>10744</x:v>
      </x:c>
      <x:c r="AF719" s="55" t="n">
        <x:v>10670</x:v>
      </x:c>
      <x:c r="AG719" s="55" t="n">
        <x:v>74</x:v>
      </x:c>
      <x:c r="AH719" s="55" t="n">
        <x:v>517</x:v>
      </x:c>
      <x:c r="AI719" s="55" t="n">
        <x:v>10153</x:v>
      </x:c>
      <x:c r="AJ719" s="55" t="n">
        <x:v>328</x:v>
      </x:c>
      <x:c r="AK719" s="55" t="n">
        <x:v>1125</x:v>
      </x:c>
      <x:c r="AL719" s="55" t="n">
        <x:v>2064</x:v>
      </x:c>
      <x:c r="AM719" s="55" t="n">
        <x:v>4634</x:v>
      </x:c>
      <x:c r="AN719" s="55" t="n">
        <x:v>2507</x:v>
      </x:c>
      <x:c r="AO719" s="55" t="n">
        <x:v>12</x:v>
      </x:c>
      <x:c r="AP719" s="55" t="n">
        <x:v>1686</x:v>
      </x:c>
      <x:c r="AQ719" s="55" t="n">
        <x:v>971</x:v>
      </x:c>
    </x:row>
    <x:row r="720">
      <x:c r="A720" s="54" t="str">
        <x:v>T1_SHARED_CATCHMENT</x:v>
      </x:c>
      <x:c r="B720" s="54" t="n">
        <x:v>714</x:v>
      </x:c>
      <x:c r="C720" s="54" t="str">
        <x:v>NYC-V2-R01</x:v>
      </x:c>
      <x:c r="D720" s="54" t="str">
        <x:v>V2</x:v>
      </x:c>
      <x:c r="E720" s="54" t="str">
        <x:v>ADMITTED</x:v>
      </x:c>
      <x:c r="F720" s="55" t="n">
        <x:v>33944</x:v>
      </x:c>
      <x:c r="G720" s="55" t="n">
        <x:v>8501</x:v>
      </x:c>
      <x:c r="H720" s="55" t="n">
        <x:v>4104</x:v>
      </x:c>
      <x:c r="I720" s="55" t="n">
        <x:v>1862</x:v>
      </x:c>
      <x:c r="J720" s="55" t="n">
        <x:v>420</x:v>
      </x:c>
      <x:c r="K720" s="55" t="n">
        <x:v>33268</x:v>
      </x:c>
      <x:c r="L720" s="55" t="n">
        <x:v>6500</x:v>
      </x:c>
      <x:c r="M720" s="55" t="n">
        <x:v>1761</x:v>
      </x:c>
      <x:c r="N720" s="55" t="n">
        <x:v>2645</x:v>
      </x:c>
      <x:c r="O720" s="55" t="n">
        <x:v>2094</x:v>
      </x:c>
      <x:c r="P720" s="55" t="n">
        <x:v>967</x:v>
      </x:c>
      <x:c r="Q720" s="55" t="n">
        <x:v>2171</x:v>
      </x:c>
      <x:c r="R720" s="55" t="n">
        <x:v>2183</x:v>
      </x:c>
      <x:c r="S720" s="55" t="n">
        <x:v>2747</x:v>
      </x:c>
      <x:c r="T720" s="55" t="n">
        <x:v>1520</x:v>
      </x:c>
      <x:c r="U720" s="55" t="n">
        <x:v>2628</x:v>
      </x:c>
      <x:c r="V720" s="55" t="n">
        <x:v>10686</x:v>
      </x:c>
      <x:c r="W720" s="55" t="n">
        <x:v>7527</x:v>
      </x:c>
      <x:c r="X720" s="55" t="n">
        <x:v>3159</x:v>
      </x:c>
      <x:c r="Y720" s="55" t="n">
        <x:v>2750</x:v>
      </x:c>
      <x:c r="Z720" s="55" t="n">
        <x:v>3971</x:v>
      </x:c>
      <x:c r="AA720" s="55" t="n">
        <x:v>4104</x:v>
      </x:c>
      <x:c r="AB720" s="55" t="n">
        <x:v>1715</x:v>
      </x:c>
      <x:c r="AC720" s="55" t="n">
        <x:v>8028</x:v>
      </x:c>
      <x:c r="AD720" s="55" t="n">
        <x:v>2790</x:v>
      </x:c>
      <x:c r="AE720" s="55" t="n">
        <x:v>10813</x:v>
      </x:c>
      <x:c r="AF720" s="55" t="n">
        <x:v>10686</x:v>
      </x:c>
      <x:c r="AG720" s="55" t="n">
        <x:v>127</x:v>
      </x:c>
      <x:c r="AH720" s="55" t="n">
        <x:v>322</x:v>
      </x:c>
      <x:c r="AI720" s="55" t="n">
        <x:v>10364</x:v>
      </x:c>
      <x:c r="AJ720" s="55" t="n">
        <x:v>385</x:v>
      </x:c>
      <x:c r="AK720" s="55" t="n">
        <x:v>953</x:v>
      </x:c>
      <x:c r="AL720" s="55" t="n">
        <x:v>1782</x:v>
      </x:c>
      <x:c r="AM720" s="55" t="n">
        <x:v>4799</x:v>
      </x:c>
      <x:c r="AN720" s="55" t="n">
        <x:v>2726</x:v>
      </x:c>
      <x:c r="AO720" s="55" t="n">
        <x:v>41</x:v>
      </x:c>
      <x:c r="AP720" s="55" t="n">
        <x:v>2178</x:v>
      </x:c>
      <x:c r="AQ720" s="55" t="n">
        <x:v>976</x:v>
      </x:c>
    </x:row>
    <x:row r="721">
      <x:c r="A721" s="54" t="str">
        <x:v>T1_SHARED_CATCHMENT</x:v>
      </x:c>
      <x:c r="B721" s="54" t="n">
        <x:v>715</x:v>
      </x:c>
      <x:c r="C721" s="54" t="str">
        <x:v>NYC-V2-R01</x:v>
      </x:c>
      <x:c r="D721" s="54" t="str">
        <x:v>V2</x:v>
      </x:c>
      <x:c r="E721" s="54" t="str">
        <x:v>ADMITTED</x:v>
      </x:c>
      <x:c r="F721" s="55" t="n">
        <x:v>31717</x:v>
      </x:c>
      <x:c r="G721" s="55" t="n">
        <x:v>8116</x:v>
      </x:c>
      <x:c r="H721" s="55" t="n">
        <x:v>2922</x:v>
      </x:c>
      <x:c r="I721" s="55" t="n">
        <x:v>847</x:v>
      </x:c>
      <x:c r="J721" s="55" t="n">
        <x:v>242</x:v>
      </x:c>
      <x:c r="K721" s="55" t="n">
        <x:v>28895</x:v>
      </x:c>
      <x:c r="L721" s="55" t="n">
        <x:v>6344</x:v>
      </x:c>
      <x:c r="M721" s="55" t="n">
        <x:v>1922</x:v>
      </x:c>
      <x:c r="N721" s="55" t="n">
        <x:v>3273</x:v>
      </x:c>
      <x:c r="O721" s="55" t="n">
        <x:v>1149</x:v>
      </x:c>
      <x:c r="P721" s="55" t="n">
        <x:v>1365</x:v>
      </x:c>
      <x:c r="Q721" s="55" t="n">
        <x:v>2748</x:v>
      </x:c>
      <x:c r="R721" s="55" t="n">
        <x:v>2196</x:v>
      </x:c>
      <x:c r="S721" s="55" t="n">
        <x:v>2597</x:v>
      </x:c>
      <x:c r="T721" s="55" t="n">
        <x:v>856</x:v>
      </x:c>
      <x:c r="U721" s="55" t="n">
        <x:v>2261</x:v>
      </x:c>
      <x:c r="V721" s="55" t="n">
        <x:v>10084</x:v>
      </x:c>
      <x:c r="W721" s="55" t="n">
        <x:v>6591</x:v>
      </x:c>
      <x:c r="X721" s="55" t="n">
        <x:v>3493</x:v>
      </x:c>
      <x:c r="Y721" s="55" t="n">
        <x:v>2984</x:v>
      </x:c>
      <x:c r="Z721" s="55" t="n">
        <x:v>3302</x:v>
      </x:c>
      <x:c r="AA721" s="55" t="n">
        <x:v>2895</x:v>
      </x:c>
      <x:c r="AB721" s="55" t="n">
        <x:v>719</x:v>
      </x:c>
      <x:c r="AC721" s="55" t="n">
        <x:v>8454</x:v>
      </x:c>
      <x:c r="AD721" s="55" t="n">
        <x:v>2522</x:v>
      </x:c>
      <x:c r="AE721" s="55" t="n">
        <x:v>10238</x:v>
      </x:c>
      <x:c r="AF721" s="55" t="n">
        <x:v>10084</x:v>
      </x:c>
      <x:c r="AG721" s="55" t="n">
        <x:v>154</x:v>
      </x:c>
      <x:c r="AH721" s="55" t="n">
        <x:v>322</x:v>
      </x:c>
      <x:c r="AI721" s="55" t="n">
        <x:v>9762</x:v>
      </x:c>
      <x:c r="AJ721" s="55" t="n">
        <x:v>348</x:v>
      </x:c>
      <x:c r="AK721" s="55" t="n">
        <x:v>586</x:v>
      </x:c>
      <x:c r="AL721" s="55" t="n">
        <x:v>1555</x:v>
      </x:c>
      <x:c r="AM721" s="55" t="n">
        <x:v>5019</x:v>
      </x:c>
      <x:c r="AN721" s="55" t="n">
        <x:v>2576</x:v>
      </x:c>
      <x:c r="AO721" s="55" t="n">
        <x:v>0</x:v>
      </x:c>
      <x:c r="AP721" s="55" t="n">
        <x:v>2379</x:v>
      </x:c>
      <x:c r="AQ721" s="55" t="n">
        <x:v>973</x:v>
      </x:c>
    </x:row>
    <x:row r="722">
      <x:c r="A722" s="54" t="str">
        <x:v>T1_SHARED_CATCHMENT</x:v>
      </x:c>
      <x:c r="B722" s="54" t="n">
        <x:v>716</x:v>
      </x:c>
      <x:c r="C722" s="54" t="str">
        <x:v>NYC-V2-R01</x:v>
      </x:c>
      <x:c r="D722" s="54" t="str">
        <x:v>V2</x:v>
      </x:c>
      <x:c r="E722" s="54" t="str">
        <x:v>ADMITTED</x:v>
      </x:c>
      <x:c r="F722" s="55" t="n">
        <x:v>30385</x:v>
      </x:c>
      <x:c r="G722" s="55" t="n">
        <x:v>8069</x:v>
      </x:c>
      <x:c r="H722" s="55" t="n">
        <x:v>2765</x:v>
      </x:c>
      <x:c r="I722" s="55" t="n">
        <x:v>1157</x:v>
      </x:c>
      <x:c r="J722" s="55" t="n">
        <x:v>154</x:v>
      </x:c>
      <x:c r="K722" s="55" t="n">
        <x:v>30385</x:v>
      </x:c>
      <x:c r="L722" s="55" t="n">
        <x:v>5427</x:v>
      </x:c>
      <x:c r="M722" s="55" t="n">
        <x:v>1160</x:v>
      </x:c>
      <x:c r="N722" s="55" t="n">
        <x:v>2387</x:v>
      </x:c>
      <x:c r="O722" s="55" t="n">
        <x:v>1880</x:v>
      </x:c>
      <x:c r="P722" s="55" t="n">
        <x:v>837</x:v>
      </x:c>
      <x:c r="Q722" s="55" t="n">
        <x:v>1203</x:v>
      </x:c>
      <x:c r="R722" s="55" t="n">
        <x:v>1407</x:v>
      </x:c>
      <x:c r="S722" s="55" t="n">
        <x:v>2276</x:v>
      </x:c>
      <x:c r="T722" s="55" t="n">
        <x:v>1221</x:v>
      </x:c>
      <x:c r="U722" s="55" t="n">
        <x:v>2329</x:v>
      </x:c>
      <x:c r="V722" s="55" t="n">
        <x:v>10135</x:v>
      </x:c>
      <x:c r="W722" s="55" t="n">
        <x:v>7161</x:v>
      </x:c>
      <x:c r="X722" s="55" t="n">
        <x:v>2974</x:v>
      </x:c>
      <x:c r="Y722" s="55" t="n">
        <x:v>2457</x:v>
      </x:c>
      <x:c r="Z722" s="55" t="n">
        <x:v>3240</x:v>
      </x:c>
      <x:c r="AA722" s="55" t="n">
        <x:v>2648</x:v>
      </x:c>
      <x:c r="AB722" s="55" t="n">
        <x:v>891</x:v>
      </x:c>
      <x:c r="AC722" s="55" t="n">
        <x:v>8330</x:v>
      </x:c>
      <x:c r="AD722" s="55" t="n">
        <x:v>2749</x:v>
      </x:c>
      <x:c r="AE722" s="55" t="n">
        <x:v>10232</x:v>
      </x:c>
      <x:c r="AF722" s="55" t="n">
        <x:v>10135</x:v>
      </x:c>
      <x:c r="AG722" s="55" t="n">
        <x:v>97</x:v>
      </x:c>
      <x:c r="AH722" s="55" t="n">
        <x:v>508</x:v>
      </x:c>
      <x:c r="AI722" s="55" t="n">
        <x:v>9627</x:v>
      </x:c>
      <x:c r="AJ722" s="55" t="n">
        <x:v>220</x:v>
      </x:c>
      <x:c r="AK722" s="55" t="n">
        <x:v>961</x:v>
      </x:c>
      <x:c r="AL722" s="55" t="n">
        <x:v>1605</x:v>
      </x:c>
      <x:c r="AM722" s="55" t="n">
        <x:v>4632</x:v>
      </x:c>
      <x:c r="AN722" s="55" t="n">
        <x:v>2653</x:v>
      </x:c>
      <x:c r="AO722" s="55" t="n">
        <x:v>64</x:v>
      </x:c>
      <x:c r="AP722" s="55" t="n">
        <x:v>2256</x:v>
      </x:c>
      <x:c r="AQ722" s="55" t="n">
        <x:v>979</x:v>
      </x:c>
    </x:row>
    <x:row r="723">
      <x:c r="A723" s="54" t="str">
        <x:v>T1_SHARED_CATCHMENT</x:v>
      </x:c>
      <x:c r="B723" s="54" t="n">
        <x:v>717</x:v>
      </x:c>
      <x:c r="C723" s="54" t="str">
        <x:v>NYC-V2-R01</x:v>
      </x:c>
      <x:c r="D723" s="54" t="str">
        <x:v>V2</x:v>
      </x:c>
      <x:c r="E723" s="54" t="str">
        <x:v>ADMITTED</x:v>
      </x:c>
      <x:c r="F723" s="55" t="n">
        <x:v>32430</x:v>
      </x:c>
      <x:c r="G723" s="55" t="n">
        <x:v>9085</x:v>
      </x:c>
      <x:c r="H723" s="55" t="n">
        <x:v>3310</x:v>
      </x:c>
      <x:c r="I723" s="55" t="n">
        <x:v>836</x:v>
      </x:c>
      <x:c r="J723" s="55" t="n">
        <x:v>134</x:v>
      </x:c>
      <x:c r="K723" s="55" t="n">
        <x:v>31495</x:v>
      </x:c>
      <x:c r="L723" s="55" t="n">
        <x:v>5731</x:v>
      </x:c>
      <x:c r="M723" s="55" t="n">
        <x:v>1121</x:v>
      </x:c>
      <x:c r="N723" s="55" t="n">
        <x:v>3245</x:v>
      </x:c>
      <x:c r="O723" s="55" t="n">
        <x:v>1365</x:v>
      </x:c>
      <x:c r="P723" s="55" t="n">
        <x:v>833</x:v>
      </x:c>
      <x:c r="Q723" s="55" t="n">
        <x:v>2026</x:v>
      </x:c>
      <x:c r="R723" s="55" t="n">
        <x:v>1788</x:v>
      </x:c>
      <x:c r="S723" s="55" t="n">
        <x:v>2946</x:v>
      </x:c>
      <x:c r="T723" s="55" t="n">
        <x:v>1535</x:v>
      </x:c>
      <x:c r="U723" s="55" t="n">
        <x:v>1894</x:v>
      </x:c>
      <x:c r="V723" s="55" t="n">
        <x:v>11009</x:v>
      </x:c>
      <x:c r="W723" s="55" t="n">
        <x:v>7571</x:v>
      </x:c>
      <x:c r="X723" s="55" t="n">
        <x:v>3438</x:v>
      </x:c>
      <x:c r="Y723" s="55" t="n">
        <x:v>3194</x:v>
      </x:c>
      <x:c r="Z723" s="55" t="n">
        <x:v>3718</x:v>
      </x:c>
      <x:c r="AA723" s="55" t="n">
        <x:v>3310</x:v>
      </x:c>
      <x:c r="AB723" s="55" t="n">
        <x:v>1134</x:v>
      </x:c>
      <x:c r="AC723" s="55" t="n">
        <x:v>7821</x:v>
      </x:c>
      <x:c r="AD723" s="55" t="n">
        <x:v>2871</x:v>
      </x:c>
      <x:c r="AE723" s="55" t="n">
        <x:v>11084</x:v>
      </x:c>
      <x:c r="AF723" s="55" t="n">
        <x:v>11009</x:v>
      </x:c>
      <x:c r="AG723" s="55" t="n">
        <x:v>75</x:v>
      </x:c>
      <x:c r="AH723" s="55" t="n">
        <x:v>534</x:v>
      </x:c>
      <x:c r="AI723" s="55" t="n">
        <x:v>10475</x:v>
      </x:c>
      <x:c r="AJ723" s="55" t="n">
        <x:v>311</x:v>
      </x:c>
      <x:c r="AK723" s="55" t="n">
        <x:v>1235</x:v>
      </x:c>
      <x:c r="AL723" s="55" t="n">
        <x:v>1777</x:v>
      </x:c>
      <x:c r="AM723" s="55" t="n">
        <x:v>4865</x:v>
      </x:c>
      <x:c r="AN723" s="55" t="n">
        <x:v>2763</x:v>
      </x:c>
      <x:c r="AO723" s="55" t="n">
        <x:v>58</x:v>
      </x:c>
      <x:c r="AP723" s="55" t="n">
        <x:v>2400</x:v>
      </x:c>
      <x:c r="AQ723" s="55" t="n">
        <x:v>973</x:v>
      </x:c>
    </x:row>
    <x:row r="724">
      <x:c r="A724" s="54" t="str">
        <x:v>T1_SHARED_CATCHMENT</x:v>
      </x:c>
      <x:c r="B724" s="54" t="n">
        <x:v>718</x:v>
      </x:c>
      <x:c r="C724" s="54" t="str">
        <x:v>NYC-V2-R01</x:v>
      </x:c>
      <x:c r="D724" s="54" t="str">
        <x:v>V2</x:v>
      </x:c>
      <x:c r="E724" s="54" t="str">
        <x:v>ADMITTED</x:v>
      </x:c>
      <x:c r="F724" s="55" t="n">
        <x:v>33545</x:v>
      </x:c>
      <x:c r="G724" s="55" t="n">
        <x:v>7465</x:v>
      </x:c>
      <x:c r="H724" s="55" t="n">
        <x:v>3587</x:v>
      </x:c>
      <x:c r="I724" s="55" t="n">
        <x:v>1655</x:v>
      </x:c>
      <x:c r="J724" s="55" t="n">
        <x:v>223</x:v>
      </x:c>
      <x:c r="K724" s="55" t="n">
        <x:v>33545</x:v>
      </x:c>
      <x:c r="L724" s="55" t="n">
        <x:v>6104</x:v>
      </x:c>
      <x:c r="M724" s="55" t="n">
        <x:v>1225</x:v>
      </x:c>
      <x:c r="N724" s="55" t="n">
        <x:v>3009</x:v>
      </x:c>
      <x:c r="O724" s="55" t="n">
        <x:v>1870</x:v>
      </x:c>
      <x:c r="P724" s="55" t="n">
        <x:v>842</x:v>
      </x:c>
      <x:c r="Q724" s="55" t="n">
        <x:v>2006</x:v>
      </x:c>
      <x:c r="R724" s="55" t="n">
        <x:v>2180</x:v>
      </x:c>
      <x:c r="S724" s="55" t="n">
        <x:v>2517</x:v>
      </x:c>
      <x:c r="T724" s="55" t="n">
        <x:v>1239</x:v>
      </x:c>
      <x:c r="U724" s="55" t="n">
        <x:v>2648</x:v>
      </x:c>
      <x:c r="V724" s="55" t="n">
        <x:v>11229</x:v>
      </x:c>
      <x:c r="W724" s="55" t="n">
        <x:v>8480</x:v>
      </x:c>
      <x:c r="X724" s="55" t="n">
        <x:v>2749</x:v>
      </x:c>
      <x:c r="Y724" s="55" t="n">
        <x:v>2335</x:v>
      </x:c>
      <x:c r="Z724" s="55" t="n">
        <x:v>3832</x:v>
      </x:c>
      <x:c r="AA724" s="55" t="n">
        <x:v>3168</x:v>
      </x:c>
      <x:c r="AB724" s="55" t="n">
        <x:v>1248</x:v>
      </x:c>
      <x:c r="AC724" s="55" t="n">
        <x:v>8523</x:v>
      </x:c>
      <x:c r="AD724" s="55" t="n">
        <x:v>2813</x:v>
      </x:c>
      <x:c r="AE724" s="55" t="n">
        <x:v>11340</x:v>
      </x:c>
      <x:c r="AF724" s="55" t="n">
        <x:v>11229</x:v>
      </x:c>
      <x:c r="AG724" s="55" t="n">
        <x:v>111</x:v>
      </x:c>
      <x:c r="AH724" s="55" t="n">
        <x:v>571</x:v>
      </x:c>
      <x:c r="AI724" s="55" t="n">
        <x:v>10658</x:v>
      </x:c>
      <x:c r="AJ724" s="55" t="n">
        <x:v>220</x:v>
      </x:c>
      <x:c r="AK724" s="55" t="n">
        <x:v>1151</x:v>
      </x:c>
      <x:c r="AL724" s="55" t="n">
        <x:v>1392</x:v>
      </x:c>
      <x:c r="AM724" s="55" t="n">
        <x:v>4976</x:v>
      </x:c>
      <x:c r="AN724" s="55" t="n">
        <x:v>3428</x:v>
      </x:c>
      <x:c r="AO724" s="55" t="n">
        <x:v>62</x:v>
      </x:c>
      <x:c r="AP724" s="55" t="n">
        <x:v>2832</x:v>
      </x:c>
      <x:c r="AQ724" s="55" t="n">
        <x:v>963</x:v>
      </x:c>
    </x:row>
    <x:row r="725">
      <x:c r="A725" s="54" t="str">
        <x:v>T1_SHARED_CATCHMENT</x:v>
      </x:c>
      <x:c r="B725" s="54" t="n">
        <x:v>719</x:v>
      </x:c>
      <x:c r="C725" s="54" t="str">
        <x:v>NYC-V2-R01</x:v>
      </x:c>
      <x:c r="D725" s="54" t="str">
        <x:v>V2</x:v>
      </x:c>
      <x:c r="E725" s="54" t="str">
        <x:v>ADMITTED</x:v>
      </x:c>
      <x:c r="F725" s="55" t="n">
        <x:v>31206</x:v>
      </x:c>
      <x:c r="G725" s="55" t="n">
        <x:v>7661</x:v>
      </x:c>
      <x:c r="H725" s="55" t="n">
        <x:v>3371</x:v>
      </x:c>
      <x:c r="I725" s="55" t="n">
        <x:v>1004</x:v>
      </x:c>
      <x:c r="J725" s="55" t="n">
        <x:v>275</x:v>
      </x:c>
      <x:c r="K725" s="55" t="n">
        <x:v>29284</x:v>
      </x:c>
      <x:c r="L725" s="55" t="n">
        <x:v>3811</x:v>
      </x:c>
      <x:c r="M725" s="55" t="n">
        <x:v>63</x:v>
      </x:c>
      <x:c r="N725" s="55" t="n">
        <x:v>2320</x:v>
      </x:c>
      <x:c r="O725" s="55" t="n">
        <x:v>1428</x:v>
      </x:c>
      <x:c r="P725" s="55" t="n">
        <x:v>692</x:v>
      </x:c>
      <x:c r="Q725" s="55" t="n">
        <x:v>2234</x:v>
      </x:c>
      <x:c r="R725" s="55" t="n">
        <x:v>2117</x:v>
      </x:c>
      <x:c r="S725" s="55" t="n">
        <x:v>3039</x:v>
      </x:c>
      <x:c r="T725" s="55" t="n">
        <x:v>1092</x:v>
      </x:c>
      <x:c r="U725" s="55" t="n">
        <x:v>1842</x:v>
      </x:c>
      <x:c r="V725" s="55" t="n">
        <x:v>10591</x:v>
      </x:c>
      <x:c r="W725" s="55" t="n">
        <x:v>7815</x:v>
      </x:c>
      <x:c r="X725" s="55" t="n">
        <x:v>2776</x:v>
      </x:c>
      <x:c r="Y725" s="55" t="n">
        <x:v>2641</x:v>
      </x:c>
      <x:c r="Z725" s="55" t="n">
        <x:v>3576</x:v>
      </x:c>
      <x:c r="AA725" s="55" t="n">
        <x:v>3230</x:v>
      </x:c>
      <x:c r="AB725" s="55" t="n">
        <x:v>942</x:v>
      </x:c>
      <x:c r="AC725" s="55" t="n">
        <x:v>8347</x:v>
      </x:c>
      <x:c r="AD725" s="55" t="n">
        <x:v>2753</x:v>
      </x:c>
      <x:c r="AE725" s="55" t="n">
        <x:v>10610</x:v>
      </x:c>
      <x:c r="AF725" s="55" t="n">
        <x:v>10591</x:v>
      </x:c>
      <x:c r="AG725" s="55" t="n">
        <x:v>19</x:v>
      </x:c>
      <x:c r="AH725" s="55" t="n">
        <x:v>219</x:v>
      </x:c>
      <x:c r="AI725" s="55" t="n">
        <x:v>10372</x:v>
      </x:c>
      <x:c r="AJ725" s="55" t="n">
        <x:v>358</x:v>
      </x:c>
      <x:c r="AK725" s="55" t="n">
        <x:v>883</x:v>
      </x:c>
      <x:c r="AL725" s="55" t="n">
        <x:v>1549</x:v>
      </x:c>
      <x:c r="AM725" s="55" t="n">
        <x:v>4855</x:v>
      </x:c>
      <x:c r="AN725" s="55" t="n">
        <x:v>2946</x:v>
      </x:c>
      <x:c r="AO725" s="55" t="n">
        <x:v>0</x:v>
      </x:c>
      <x:c r="AP725" s="55" t="n">
        <x:v>1753</x:v>
      </x:c>
      <x:c r="AQ725" s="55" t="n">
        <x:v>955</x:v>
      </x:c>
    </x:row>
    <x:row r="726">
      <x:c r="A726" s="54" t="str">
        <x:v>T1_SHARED_CATCHMENT</x:v>
      </x:c>
      <x:c r="B726" s="54" t="n">
        <x:v>720</x:v>
      </x:c>
      <x:c r="C726" s="54" t="str">
        <x:v>NYC-V2-R01</x:v>
      </x:c>
      <x:c r="D726" s="54" t="str">
        <x:v>V2</x:v>
      </x:c>
      <x:c r="E726" s="54" t="str">
        <x:v>ADMITTED</x:v>
      </x:c>
      <x:c r="F726" s="55" t="n">
        <x:v>33603</x:v>
      </x:c>
      <x:c r="G726" s="55" t="n">
        <x:v>7545</x:v>
      </x:c>
      <x:c r="H726" s="55" t="n">
        <x:v>3533</x:v>
      </x:c>
      <x:c r="I726" s="55" t="n">
        <x:v>996</x:v>
      </x:c>
      <x:c r="J726" s="55" t="n">
        <x:v>172</x:v>
      </x:c>
      <x:c r="K726" s="55" t="n">
        <x:v>33603</x:v>
      </x:c>
      <x:c r="L726" s="55" t="n">
        <x:v>6646</x:v>
      </x:c>
      <x:c r="M726" s="55" t="n">
        <x:v>2243</x:v>
      </x:c>
      <x:c r="N726" s="55" t="n">
        <x:v>2496</x:v>
      </x:c>
      <x:c r="O726" s="55" t="n">
        <x:v>1907</x:v>
      </x:c>
      <x:c r="P726" s="55" t="n">
        <x:v>846</x:v>
      </x:c>
      <x:c r="Q726" s="55" t="n">
        <x:v>1437</x:v>
      </x:c>
      <x:c r="R726" s="55" t="n">
        <x:v>1714</x:v>
      </x:c>
      <x:c r="S726" s="55" t="n">
        <x:v>3227</x:v>
      </x:c>
      <x:c r="T726" s="55" t="n">
        <x:v>1138</x:v>
      </x:c>
      <x:c r="U726" s="55" t="n">
        <x:v>1783</x:v>
      </x:c>
      <x:c r="V726" s="55" t="n">
        <x:v>10452</x:v>
      </x:c>
      <x:c r="W726" s="55" t="n">
        <x:v>7572</x:v>
      </x:c>
      <x:c r="X726" s="55" t="n">
        <x:v>2880</x:v>
      </x:c>
      <x:c r="Y726" s="55" t="n">
        <x:v>2314</x:v>
      </x:c>
      <x:c r="Z726" s="55" t="n">
        <x:v>3675</x:v>
      </x:c>
      <x:c r="AA726" s="55" t="n">
        <x:v>3533</x:v>
      </x:c>
      <x:c r="AB726" s="55" t="n">
        <x:v>1388</x:v>
      </x:c>
      <x:c r="AC726" s="55" t="n">
        <x:v>8250</x:v>
      </x:c>
      <x:c r="AD726" s="55" t="n">
        <x:v>2488</x:v>
      </x:c>
      <x:c r="AE726" s="55" t="n">
        <x:v>10452</x:v>
      </x:c>
      <x:c r="AF726" s="55" t="n">
        <x:v>10452</x:v>
      </x:c>
      <x:c r="AG726" s="55" t="n">
        <x:v>0</x:v>
      </x:c>
      <x:c r="AH726" s="55" t="n">
        <x:v>591</x:v>
      </x:c>
      <x:c r="AI726" s="55" t="n">
        <x:v>9861</x:v>
      </x:c>
      <x:c r="AJ726" s="55" t="n">
        <x:v>291</x:v>
      </x:c>
      <x:c r="AK726" s="55" t="n">
        <x:v>1145</x:v>
      </x:c>
      <x:c r="AL726" s="55" t="n">
        <x:v>1734</x:v>
      </x:c>
      <x:c r="AM726" s="55" t="n">
        <x:v>4660</x:v>
      </x:c>
      <x:c r="AN726" s="55" t="n">
        <x:v>2564</x:v>
      </x:c>
      <x:c r="AO726" s="55" t="n">
        <x:v>58</x:v>
      </x:c>
      <x:c r="AP726" s="55" t="n">
        <x:v>2677</x:v>
      </x:c>
      <x:c r="AQ726" s="55" t="n">
        <x:v>939</x:v>
      </x:c>
    </x:row>
    <x:row r="727">
      <x:c r="A727" s="54" t="str">
        <x:v>T1_SHARED_CATCHMENT</x:v>
      </x:c>
      <x:c r="B727" s="54" t="n">
        <x:v>721</x:v>
      </x:c>
      <x:c r="C727" s="54" t="str">
        <x:v>NYC-V2-R01</x:v>
      </x:c>
      <x:c r="D727" s="54" t="str">
        <x:v>V2</x:v>
      </x:c>
      <x:c r="E727" s="54" t="str">
        <x:v>ADMITTED</x:v>
      </x:c>
      <x:c r="F727" s="55" t="n">
        <x:v>28702</x:v>
      </x:c>
      <x:c r="G727" s="55" t="n">
        <x:v>6805</x:v>
      </x:c>
      <x:c r="H727" s="55" t="n">
        <x:v>3213</x:v>
      </x:c>
      <x:c r="I727" s="55" t="n">
        <x:v>1444</x:v>
      </x:c>
      <x:c r="J727" s="55" t="n">
        <x:v>328</x:v>
      </x:c>
      <x:c r="K727" s="55" t="n">
        <x:v>28702</x:v>
      </x:c>
      <x:c r="L727" s="55" t="n">
        <x:v>4557</x:v>
      </x:c>
      <x:c r="M727" s="55" t="n">
        <x:v>268</x:v>
      </x:c>
      <x:c r="N727" s="55" t="n">
        <x:v>2821</x:v>
      </x:c>
      <x:c r="O727" s="55" t="n">
        <x:v>1468</x:v>
      </x:c>
      <x:c r="P727" s="55" t="n">
        <x:v>910</x:v>
      </x:c>
      <x:c r="Q727" s="55" t="n">
        <x:v>1719</x:v>
      </x:c>
      <x:c r="R727" s="55" t="n">
        <x:v>1497</x:v>
      </x:c>
      <x:c r="S727" s="55" t="n">
        <x:v>2449</x:v>
      </x:c>
      <x:c r="T727" s="55" t="n">
        <x:v>1240</x:v>
      </x:c>
      <x:c r="U727" s="55" t="n">
        <x:v>1806</x:v>
      </x:c>
      <x:c r="V727" s="55" t="n">
        <x:v>10081</x:v>
      </x:c>
      <x:c r="W727" s="55" t="n">
        <x:v>7284</x:v>
      </x:c>
      <x:c r="X727" s="55" t="n">
        <x:v>2797</x:v>
      </x:c>
      <x:c r="Y727" s="55" t="n">
        <x:v>2366</x:v>
      </x:c>
      <x:c r="Z727" s="55" t="n">
        <x:v>3651</x:v>
      </x:c>
      <x:c r="AA727" s="55" t="n">
        <x:v>2683</x:v>
      </x:c>
      <x:c r="AB727" s="55" t="n">
        <x:v>725</x:v>
      </x:c>
      <x:c r="AC727" s="55" t="n">
        <x:v>7769</x:v>
      </x:c>
      <x:c r="AD727" s="55" t="n">
        <x:v>2944</x:v>
      </x:c>
      <x:c r="AE727" s="55" t="n">
        <x:v>10087</x:v>
      </x:c>
      <x:c r="AF727" s="55" t="n">
        <x:v>10081</x:v>
      </x:c>
      <x:c r="AG727" s="55" t="n">
        <x:v>6</x:v>
      </x:c>
      <x:c r="AH727" s="55" t="n">
        <x:v>336</x:v>
      </x:c>
      <x:c r="AI727" s="55" t="n">
        <x:v>9745</x:v>
      </x:c>
      <x:c r="AJ727" s="55" t="n">
        <x:v>265</x:v>
      </x:c>
      <x:c r="AK727" s="55" t="n">
        <x:v>1100</x:v>
      </x:c>
      <x:c r="AL727" s="55" t="n">
        <x:v>1454</x:v>
      </x:c>
      <x:c r="AM727" s="55" t="n">
        <x:v>4648</x:v>
      </x:c>
      <x:c r="AN727" s="55" t="n">
        <x:v>2614</x:v>
      </x:c>
      <x:c r="AO727" s="55" t="n">
        <x:v>0</x:v>
      </x:c>
      <x:c r="AP727" s="55" t="n">
        <x:v>1834</x:v>
      </x:c>
      <x:c r="AQ727" s="55" t="n">
        <x:v>926</x:v>
      </x:c>
    </x:row>
    <x:row r="728">
      <x:c r="A728" s="54" t="str">
        <x:v>T1_SHARED_CATCHMENT</x:v>
      </x:c>
      <x:c r="B728" s="54" t="n">
        <x:v>722</x:v>
      </x:c>
      <x:c r="C728" s="54" t="str">
        <x:v>NYC-V2-R01</x:v>
      </x:c>
      <x:c r="D728" s="54" t="str">
        <x:v>V2</x:v>
      </x:c>
      <x:c r="E728" s="54" t="str">
        <x:v>ADMITTED</x:v>
      </x:c>
      <x:c r="F728" s="55" t="n">
        <x:v>31522</x:v>
      </x:c>
      <x:c r="G728" s="55" t="n">
        <x:v>9042</x:v>
      </x:c>
      <x:c r="H728" s="55" t="n">
        <x:v>3375</x:v>
      </x:c>
      <x:c r="I728" s="55" t="n">
        <x:v>1061</x:v>
      </x:c>
      <x:c r="J728" s="55" t="n">
        <x:v>279</x:v>
      </x:c>
      <x:c r="K728" s="55" t="n">
        <x:v>30049</x:v>
      </x:c>
      <x:c r="L728" s="55" t="n">
        <x:v>6210</x:v>
      </x:c>
      <x:c r="M728" s="55" t="n">
        <x:v>1924</x:v>
      </x:c>
      <x:c r="N728" s="55" t="n">
        <x:v>2329</x:v>
      </x:c>
      <x:c r="O728" s="55" t="n">
        <x:v>1957</x:v>
      </x:c>
      <x:c r="P728" s="55" t="n">
        <x:v>901</x:v>
      </x:c>
      <x:c r="Q728" s="55" t="n">
        <x:v>2864</x:v>
      </x:c>
      <x:c r="R728" s="55" t="n">
        <x:v>1831</x:v>
      </x:c>
      <x:c r="S728" s="55" t="n">
        <x:v>2263</x:v>
      </x:c>
      <x:c r="T728" s="55" t="n">
        <x:v>1540</x:v>
      </x:c>
      <x:c r="U728" s="55" t="n">
        <x:v>2115</x:v>
      </x:c>
      <x:c r="V728" s="55" t="n">
        <x:v>10214</x:v>
      </x:c>
      <x:c r="W728" s="55" t="n">
        <x:v>7087</x:v>
      </x:c>
      <x:c r="X728" s="55" t="n">
        <x:v>3127</x:v>
      </x:c>
      <x:c r="Y728" s="55" t="n">
        <x:v>2713</x:v>
      </x:c>
      <x:c r="Z728" s="55" t="n">
        <x:v>3863</x:v>
      </x:c>
      <x:c r="AA728" s="55" t="n">
        <x:v>3375</x:v>
      </x:c>
      <x:c r="AB728" s="55" t="n">
        <x:v>1413</x:v>
      </x:c>
      <x:c r="AC728" s="55" t="n">
        <x:v>8342</x:v>
      </x:c>
      <x:c r="AD728" s="55" t="n">
        <x:v>3045</x:v>
      </x:c>
      <x:c r="AE728" s="55" t="n">
        <x:v>10304</x:v>
      </x:c>
      <x:c r="AF728" s="55" t="n">
        <x:v>10214</x:v>
      </x:c>
      <x:c r="AG728" s="55" t="n">
        <x:v>90</x:v>
      </x:c>
      <x:c r="AH728" s="55" t="n">
        <x:v>391</x:v>
      </x:c>
      <x:c r="AI728" s="55" t="n">
        <x:v>9823</x:v>
      </x:c>
      <x:c r="AJ728" s="55" t="n">
        <x:v>298</x:v>
      </x:c>
      <x:c r="AK728" s="55" t="n">
        <x:v>842</x:v>
      </x:c>
      <x:c r="AL728" s="55" t="n">
        <x:v>1569</x:v>
      </x:c>
      <x:c r="AM728" s="55" t="n">
        <x:v>4800</x:v>
      </x:c>
      <x:c r="AN728" s="55" t="n">
        <x:v>2682</x:v>
      </x:c>
      <x:c r="AO728" s="55" t="n">
        <x:v>23</x:v>
      </x:c>
      <x:c r="AP728" s="55" t="n">
        <x:v>1891</x:v>
      </x:c>
      <x:c r="AQ728" s="55" t="n">
        <x:v>998</x:v>
      </x:c>
    </x:row>
    <x:row r="729">
      <x:c r="A729" s="54" t="str">
        <x:v>T1_SHARED_CATCHMENT</x:v>
      </x:c>
      <x:c r="B729" s="54" t="n">
        <x:v>723</x:v>
      </x:c>
      <x:c r="C729" s="54" t="str">
        <x:v>NYC-V2-R01</x:v>
      </x:c>
      <x:c r="D729" s="54" t="str">
        <x:v>V2</x:v>
      </x:c>
      <x:c r="E729" s="54" t="str">
        <x:v>ADMITTED</x:v>
      </x:c>
      <x:c r="F729" s="55" t="n">
        <x:v>33334</x:v>
      </x:c>
      <x:c r="G729" s="55" t="n">
        <x:v>8510</x:v>
      </x:c>
      <x:c r="H729" s="55" t="n">
        <x:v>3614</x:v>
      </x:c>
      <x:c r="I729" s="55" t="n">
        <x:v>1499</x:v>
      </x:c>
      <x:c r="J729" s="55" t="n">
        <x:v>204</x:v>
      </x:c>
      <x:c r="K729" s="55" t="n">
        <x:v>28669</x:v>
      </x:c>
      <x:c r="L729" s="55" t="n">
        <x:v>6362</x:v>
      </x:c>
      <x:c r="M729" s="55" t="n">
        <x:v>1640</x:v>
      </x:c>
      <x:c r="N729" s="55" t="n">
        <x:v>2672</x:v>
      </x:c>
      <x:c r="O729" s="55" t="n">
        <x:v>2050</x:v>
      </x:c>
      <x:c r="P729" s="55" t="n">
        <x:v>833</x:v>
      </x:c>
      <x:c r="Q729" s="55" t="n">
        <x:v>2826</x:v>
      </x:c>
      <x:c r="R729" s="55" t="n">
        <x:v>2277</x:v>
      </x:c>
      <x:c r="S729" s="55" t="n">
        <x:v>2036</x:v>
      </x:c>
      <x:c r="T729" s="55" t="n">
        <x:v>1903</x:v>
      </x:c>
      <x:c r="U729" s="55" t="n">
        <x:v>2661</x:v>
      </x:c>
      <x:c r="V729" s="55" t="n">
        <x:v>11303</x:v>
      </x:c>
      <x:c r="W729" s="55" t="n">
        <x:v>8400</x:v>
      </x:c>
      <x:c r="X729" s="55" t="n">
        <x:v>2903</x:v>
      </x:c>
      <x:c r="Y729" s="55" t="n">
        <x:v>2409</x:v>
      </x:c>
      <x:c r="Z729" s="55" t="n">
        <x:v>3372</x:v>
      </x:c>
      <x:c r="AA729" s="55" t="n">
        <x:v>3440</x:v>
      </x:c>
      <x:c r="AB729" s="55" t="n">
        <x:v>1043</x:v>
      </x:c>
      <x:c r="AC729" s="55" t="n">
        <x:v>8026</x:v>
      </x:c>
      <x:c r="AD729" s="55" t="n">
        <x:v>3418</x:v>
      </x:c>
      <x:c r="AE729" s="55" t="n">
        <x:v>11408</x:v>
      </x:c>
      <x:c r="AF729" s="55" t="n">
        <x:v>11303</x:v>
      </x:c>
      <x:c r="AG729" s="55" t="n">
        <x:v>105</x:v>
      </x:c>
      <x:c r="AH729" s="55" t="n">
        <x:v>679</x:v>
      </x:c>
      <x:c r="AI729" s="55" t="n">
        <x:v>10624</x:v>
      </x:c>
      <x:c r="AJ729" s="55" t="n">
        <x:v>258</x:v>
      </x:c>
      <x:c r="AK729" s="55" t="n">
        <x:v>1071</x:v>
      </x:c>
      <x:c r="AL729" s="55" t="n">
        <x:v>1447</x:v>
      </x:c>
      <x:c r="AM729" s="55" t="n">
        <x:v>5268</x:v>
      </x:c>
      <x:c r="AN729" s="55" t="n">
        <x:v>3196</x:v>
      </x:c>
      <x:c r="AO729" s="55" t="n">
        <x:v>63</x:v>
      </x:c>
      <x:c r="AP729" s="55" t="n">
        <x:v>2341</x:v>
      </x:c>
      <x:c r="AQ729" s="55" t="n">
        <x:v>944</x:v>
      </x:c>
    </x:row>
    <x:row r="730">
      <x:c r="A730" s="54" t="str">
        <x:v>T1_SHARED_CATCHMENT</x:v>
      </x:c>
      <x:c r="B730" s="54" t="n">
        <x:v>724</x:v>
      </x:c>
      <x:c r="C730" s="54" t="str">
        <x:v>NYC-V2-R01</x:v>
      </x:c>
      <x:c r="D730" s="54" t="str">
        <x:v>V2</x:v>
      </x:c>
      <x:c r="E730" s="54" t="str">
        <x:v>ADMITTED</x:v>
      </x:c>
      <x:c r="F730" s="55" t="n">
        <x:v>31154</x:v>
      </x:c>
      <x:c r="G730" s="55" t="n">
        <x:v>7723</x:v>
      </x:c>
      <x:c r="H730" s="55" t="n">
        <x:v>3429</x:v>
      </x:c>
      <x:c r="I730" s="55" t="n">
        <x:v>1587</x:v>
      </x:c>
      <x:c r="J730" s="55" t="n">
        <x:v>337</x:v>
      </x:c>
      <x:c r="K730" s="55" t="n">
        <x:v>31154</x:v>
      </x:c>
      <x:c r="L730" s="55" t="n">
        <x:v>6928</x:v>
      </x:c>
      <x:c r="M730" s="55" t="n">
        <x:v>2078</x:v>
      </x:c>
      <x:c r="N730" s="55" t="n">
        <x:v>3068</x:v>
      </x:c>
      <x:c r="O730" s="55" t="n">
        <x:v>1782</x:v>
      </x:c>
      <x:c r="P730" s="55" t="n">
        <x:v>1182</x:v>
      </x:c>
      <x:c r="Q730" s="55" t="n">
        <x:v>2790</x:v>
      </x:c>
      <x:c r="R730" s="55" t="n">
        <x:v>2376</x:v>
      </x:c>
      <x:c r="S730" s="55" t="n">
        <x:v>3156</x:v>
      </x:c>
      <x:c r="T730" s="55" t="n">
        <x:v>1175</x:v>
      </x:c>
      <x:c r="U730" s="55" t="n">
        <x:v>2671</x:v>
      </x:c>
      <x:c r="V730" s="55" t="n">
        <x:v>10311</x:v>
      </x:c>
      <x:c r="W730" s="55" t="n">
        <x:v>7317</x:v>
      </x:c>
      <x:c r="X730" s="55" t="n">
        <x:v>2994</x:v>
      </x:c>
      <x:c r="Y730" s="55" t="n">
        <x:v>2469</x:v>
      </x:c>
      <x:c r="Z730" s="55" t="n">
        <x:v>4168</x:v>
      </x:c>
      <x:c r="AA730" s="55" t="n">
        <x:v>3429</x:v>
      </x:c>
      <x:c r="AB730" s="55" t="n">
        <x:v>1349</x:v>
      </x:c>
      <x:c r="AC730" s="55" t="n">
        <x:v>8064</x:v>
      </x:c>
      <x:c r="AD730" s="55" t="n">
        <x:v>3447</x:v>
      </x:c>
      <x:c r="AE730" s="55" t="n">
        <x:v>10410</x:v>
      </x:c>
      <x:c r="AF730" s="55" t="n">
        <x:v>10311</x:v>
      </x:c>
      <x:c r="AG730" s="55" t="n">
        <x:v>99</x:v>
      </x:c>
      <x:c r="AH730" s="55" t="n">
        <x:v>388</x:v>
      </x:c>
      <x:c r="AI730" s="55" t="n">
        <x:v>9923</x:v>
      </x:c>
      <x:c r="AJ730" s="55" t="n">
        <x:v>361</x:v>
      </x:c>
      <x:c r="AK730" s="55" t="n">
        <x:v>1222</x:v>
      </x:c>
      <x:c r="AL730" s="55" t="n">
        <x:v>1620</x:v>
      </x:c>
      <x:c r="AM730" s="55" t="n">
        <x:v>4671</x:v>
      </x:c>
      <x:c r="AN730" s="55" t="n">
        <x:v>2437</x:v>
      </x:c>
      <x:c r="AO730" s="55" t="n">
        <x:v>0</x:v>
      </x:c>
      <x:c r="AP730" s="55" t="n">
        <x:v>2900</x:v>
      </x:c>
      <x:c r="AQ730" s="55" t="n">
        <x:v>958</x:v>
      </x:c>
    </x:row>
    <x:row r="731">
      <x:c r="A731" s="54" t="str">
        <x:v>T1_SHARED_CATCHMENT</x:v>
      </x:c>
      <x:c r="B731" s="54" t="n">
        <x:v>725</x:v>
      </x:c>
      <x:c r="C731" s="54" t="str">
        <x:v>NYC-V2-R01</x:v>
      </x:c>
      <x:c r="D731" s="54" t="str">
        <x:v>V2</x:v>
      </x:c>
      <x:c r="E731" s="54" t="str">
        <x:v>ADMITTED</x:v>
      </x:c>
      <x:c r="F731" s="55" t="n">
        <x:v>31718</x:v>
      </x:c>
      <x:c r="G731" s="55" t="n">
        <x:v>8034</x:v>
      </x:c>
      <x:c r="H731" s="55" t="n">
        <x:v>3623</x:v>
      </x:c>
      <x:c r="I731" s="55" t="n">
        <x:v>1512</x:v>
      </x:c>
      <x:c r="J731" s="55" t="n">
        <x:v>226</x:v>
      </x:c>
      <x:c r="K731" s="55" t="n">
        <x:v>31174</x:v>
      </x:c>
      <x:c r="L731" s="55" t="n">
        <x:v>5793</x:v>
      </x:c>
      <x:c r="M731" s="55" t="n">
        <x:v>565</x:v>
      </x:c>
      <x:c r="N731" s="55" t="n">
        <x:v>3050</x:v>
      </x:c>
      <x:c r="O731" s="55" t="n">
        <x:v>2178</x:v>
      </x:c>
      <x:c r="P731" s="55" t="n">
        <x:v>871</x:v>
      </x:c>
      <x:c r="Q731" s="55" t="n">
        <x:v>2271</x:v>
      </x:c>
      <x:c r="R731" s="55" t="n">
        <x:v>2054</x:v>
      </x:c>
      <x:c r="S731" s="55" t="n">
        <x:v>2868</x:v>
      </x:c>
      <x:c r="T731" s="55" t="n">
        <x:v>1137</x:v>
      </x:c>
      <x:c r="U731" s="55" t="n">
        <x:v>2016</x:v>
      </x:c>
      <x:c r="V731" s="55" t="n">
        <x:v>10877</x:v>
      </x:c>
      <x:c r="W731" s="55" t="n">
        <x:v>7675</x:v>
      </x:c>
      <x:c r="X731" s="55" t="n">
        <x:v>3202</x:v>
      </x:c>
      <x:c r="Y731" s="55" t="n">
        <x:v>2914</x:v>
      </x:c>
      <x:c r="Z731" s="55" t="n">
        <x:v>4207</x:v>
      </x:c>
      <x:c r="AA731" s="55" t="n">
        <x:v>3232</x:v>
      </x:c>
      <x:c r="AB731" s="55" t="n">
        <x:v>1359</x:v>
      </x:c>
      <x:c r="AC731" s="55" t="n">
        <x:v>8312</x:v>
      </x:c>
      <x:c r="AD731" s="55" t="n">
        <x:v>3311</x:v>
      </x:c>
      <x:c r="AE731" s="55" t="n">
        <x:v>10940</x:v>
      </x:c>
      <x:c r="AF731" s="55" t="n">
        <x:v>10877</x:v>
      </x:c>
      <x:c r="AG731" s="55" t="n">
        <x:v>63</x:v>
      </x:c>
      <x:c r="AH731" s="55" t="n">
        <x:v>655</x:v>
      </x:c>
      <x:c r="AI731" s="55" t="n">
        <x:v>10222</x:v>
      </x:c>
      <x:c r="AJ731" s="55" t="n">
        <x:v>309</x:v>
      </x:c>
      <x:c r="AK731" s="55" t="n">
        <x:v>645</x:v>
      </x:c>
      <x:c r="AL731" s="55" t="n">
        <x:v>1864</x:v>
      </x:c>
      <x:c r="AM731" s="55" t="n">
        <x:v>5342</x:v>
      </x:c>
      <x:c r="AN731" s="55" t="n">
        <x:v>2639</x:v>
      </x:c>
      <x:c r="AO731" s="55" t="n">
        <x:v>78</x:v>
      </x:c>
      <x:c r="AP731" s="55" t="n">
        <x:v>2602</x:v>
      </x:c>
      <x:c r="AQ731" s="55" t="n">
        <x:v>924</x:v>
      </x:c>
    </x:row>
    <x:row r="732">
      <x:c r="A732" s="54" t="str">
        <x:v>T1_SHARED_CATCHMENT</x:v>
      </x:c>
      <x:c r="B732" s="54" t="n">
        <x:v>726</x:v>
      </x:c>
      <x:c r="C732" s="54" t="str">
        <x:v>NYC-V2-R01</x:v>
      </x:c>
      <x:c r="D732" s="54" t="str">
        <x:v>V2</x:v>
      </x:c>
      <x:c r="E732" s="54" t="str">
        <x:v>ADMITTED</x:v>
      </x:c>
      <x:c r="F732" s="55" t="n">
        <x:v>32527</x:v>
      </x:c>
      <x:c r="G732" s="55" t="n">
        <x:v>8001</x:v>
      </x:c>
      <x:c r="H732" s="55" t="n">
        <x:v>3393</x:v>
      </x:c>
      <x:c r="I732" s="55" t="n">
        <x:v>1342</x:v>
      </x:c>
      <x:c r="J732" s="55" t="n">
        <x:v>469</x:v>
      </x:c>
      <x:c r="K732" s="55" t="n">
        <x:v>27528</x:v>
      </x:c>
      <x:c r="L732" s="55" t="n">
        <x:v>4966</x:v>
      </x:c>
      <x:c r="M732" s="55" t="n">
        <x:v>1300</x:v>
      </x:c>
      <x:c r="N732" s="55" t="n">
        <x:v>2183</x:v>
      </x:c>
      <x:c r="O732" s="55" t="n">
        <x:v>1483</x:v>
      </x:c>
      <x:c r="P732" s="55" t="n">
        <x:v>648</x:v>
      </x:c>
      <x:c r="Q732" s="55" t="n">
        <x:v>3096</x:v>
      </x:c>
      <x:c r="R732" s="55" t="n">
        <x:v>2124</x:v>
      </x:c>
      <x:c r="S732" s="55" t="n">
        <x:v>2466</x:v>
      </x:c>
      <x:c r="T732" s="55" t="n">
        <x:v>1100</x:v>
      </x:c>
      <x:c r="U732" s="55" t="n">
        <x:v>1829</x:v>
      </x:c>
      <x:c r="V732" s="55" t="n">
        <x:v>10469</x:v>
      </x:c>
      <x:c r="W732" s="55" t="n">
        <x:v>7243</x:v>
      </x:c>
      <x:c r="X732" s="55" t="n">
        <x:v>3226</x:v>
      </x:c>
      <x:c r="Y732" s="55" t="n">
        <x:v>2706</x:v>
      </x:c>
      <x:c r="Z732" s="55" t="n">
        <x:v>4088</x:v>
      </x:c>
      <x:c r="AA732" s="55" t="n">
        <x:v>2744</x:v>
      </x:c>
      <x:c r="AB732" s="55" t="n">
        <x:v>1018</x:v>
      </x:c>
      <x:c r="AC732" s="55" t="n">
        <x:v>7529</x:v>
      </x:c>
      <x:c r="AD732" s="55" t="n">
        <x:v>3076</x:v>
      </x:c>
      <x:c r="AE732" s="55" t="n">
        <x:v>10607</x:v>
      </x:c>
      <x:c r="AF732" s="55" t="n">
        <x:v>10469</x:v>
      </x:c>
      <x:c r="AG732" s="55" t="n">
        <x:v>138</x:v>
      </x:c>
      <x:c r="AH732" s="55" t="n">
        <x:v>435</x:v>
      </x:c>
      <x:c r="AI732" s="55" t="n">
        <x:v>10034</x:v>
      </x:c>
      <x:c r="AJ732" s="55" t="n">
        <x:v>516</x:v>
      </x:c>
      <x:c r="AK732" s="55" t="n">
        <x:v>1089</x:v>
      </x:c>
      <x:c r="AL732" s="55" t="n">
        <x:v>1576</x:v>
      </x:c>
      <x:c r="AM732" s="55" t="n">
        <x:v>5037</x:v>
      </x:c>
      <x:c r="AN732" s="55" t="n">
        <x:v>2190</x:v>
      </x:c>
      <x:c r="AO732" s="55" t="n">
        <x:v>61</x:v>
      </x:c>
      <x:c r="AP732" s="55" t="n">
        <x:v>2245</x:v>
      </x:c>
      <x:c r="AQ732" s="55" t="n">
        <x:v>967</x:v>
      </x:c>
    </x:row>
    <x:row r="733">
      <x:c r="A733" s="54" t="str">
        <x:v>T1_SHARED_CATCHMENT</x:v>
      </x:c>
      <x:c r="B733" s="54" t="n">
        <x:v>727</x:v>
      </x:c>
      <x:c r="C733" s="54" t="str">
        <x:v>NYC-V2-R01</x:v>
      </x:c>
      <x:c r="D733" s="54" t="str">
        <x:v>V2</x:v>
      </x:c>
      <x:c r="E733" s="54" t="str">
        <x:v>ADMITTED</x:v>
      </x:c>
      <x:c r="F733" s="55" t="n">
        <x:v>29849</x:v>
      </x:c>
      <x:c r="G733" s="55" t="n">
        <x:v>6778</x:v>
      </x:c>
      <x:c r="H733" s="55" t="n">
        <x:v>3212</x:v>
      </x:c>
      <x:c r="I733" s="55" t="n">
        <x:v>953</x:v>
      </x:c>
      <x:c r="J733" s="55" t="n">
        <x:v>363</x:v>
      </x:c>
      <x:c r="K733" s="55" t="n">
        <x:v>29368</x:v>
      </x:c>
      <x:c r="L733" s="55" t="n">
        <x:v>4395</x:v>
      </x:c>
      <x:c r="M733" s="55" t="n">
        <x:v>232</x:v>
      </x:c>
      <x:c r="N733" s="55" t="n">
        <x:v>2537</x:v>
      </x:c>
      <x:c r="O733" s="55" t="n">
        <x:v>1626</x:v>
      </x:c>
      <x:c r="P733" s="55" t="n">
        <x:v>875</x:v>
      </x:c>
      <x:c r="Q733" s="55" t="n">
        <x:v>2582</x:v>
      </x:c>
      <x:c r="R733" s="55" t="n">
        <x:v>1776</x:v>
      </x:c>
      <x:c r="S733" s="55" t="n">
        <x:v>2560</x:v>
      </x:c>
      <x:c r="T733" s="55" t="n">
        <x:v>1534</x:v>
      </x:c>
      <x:c r="U733" s="55" t="n">
        <x:v>1625</x:v>
      </x:c>
      <x:c r="V733" s="55" t="n">
        <x:v>9885</x:v>
      </x:c>
      <x:c r="W733" s="55" t="n">
        <x:v>7063</x:v>
      </x:c>
      <x:c r="X733" s="55" t="n">
        <x:v>2822</x:v>
      </x:c>
      <x:c r="Y733" s="55" t="n">
        <x:v>2497</x:v>
      </x:c>
      <x:c r="Z733" s="55" t="n">
        <x:v>3582</x:v>
      </x:c>
      <x:c r="AA733" s="55" t="n">
        <x:v>3086</x:v>
      </x:c>
      <x:c r="AB733" s="55" t="n">
        <x:v>1011</x:v>
      </x:c>
      <x:c r="AC733" s="55" t="n">
        <x:v>8046</x:v>
      </x:c>
      <x:c r="AD733" s="55" t="n">
        <x:v>2449</x:v>
      </x:c>
      <x:c r="AE733" s="55" t="n">
        <x:v>10008</x:v>
      </x:c>
      <x:c r="AF733" s="55" t="n">
        <x:v>9885</x:v>
      </x:c>
      <x:c r="AG733" s="55" t="n">
        <x:v>123</x:v>
      </x:c>
      <x:c r="AH733" s="55" t="n">
        <x:v>399</x:v>
      </x:c>
      <x:c r="AI733" s="55" t="n">
        <x:v>9486</x:v>
      </x:c>
      <x:c r="AJ733" s="55" t="n">
        <x:v>77</x:v>
      </x:c>
      <x:c r="AK733" s="55" t="n">
        <x:v>965</x:v>
      </x:c>
      <x:c r="AL733" s="55" t="n">
        <x:v>1650</x:v>
      </x:c>
      <x:c r="AM733" s="55" t="n">
        <x:v>4751</x:v>
      </x:c>
      <x:c r="AN733" s="55" t="n">
        <x:v>2398</x:v>
      </x:c>
      <x:c r="AO733" s="55" t="n">
        <x:v>44</x:v>
      </x:c>
      <x:c r="AP733" s="55" t="n">
        <x:v>1973</x:v>
      </x:c>
      <x:c r="AQ733" s="55" t="n">
        <x:v>927</x:v>
      </x:c>
    </x:row>
    <x:row r="734">
      <x:c r="A734" s="54" t="str">
        <x:v>T1_SHARED_CATCHMENT</x:v>
      </x:c>
      <x:c r="B734" s="54" t="n">
        <x:v>728</x:v>
      </x:c>
      <x:c r="C734" s="54" t="str">
        <x:v>NYC-V2-R01</x:v>
      </x:c>
      <x:c r="D734" s="54" t="str">
        <x:v>V2</x:v>
      </x:c>
      <x:c r="E734" s="54" t="str">
        <x:v>ADMITTED</x:v>
      </x:c>
      <x:c r="F734" s="55" t="n">
        <x:v>32629</x:v>
      </x:c>
      <x:c r="G734" s="55" t="n">
        <x:v>7920</x:v>
      </x:c>
      <x:c r="H734" s="55" t="n">
        <x:v>3484</x:v>
      </x:c>
      <x:c r="I734" s="55" t="n">
        <x:v>2011</x:v>
      </x:c>
      <x:c r="J734" s="55" t="n">
        <x:v>143</x:v>
      </x:c>
      <x:c r="K734" s="55" t="n">
        <x:v>32629</x:v>
      </x:c>
      <x:c r="L734" s="55" t="n">
        <x:v>6964</x:v>
      </x:c>
      <x:c r="M734" s="55" t="n">
        <x:v>2014</x:v>
      </x:c>
      <x:c r="N734" s="55" t="n">
        <x:v>3074</x:v>
      </x:c>
      <x:c r="O734" s="55" t="n">
        <x:v>1876</x:v>
      </x:c>
      <x:c r="P734" s="55" t="n">
        <x:v>702</x:v>
      </x:c>
      <x:c r="Q734" s="55" t="n">
        <x:v>2093</x:v>
      </x:c>
      <x:c r="R734" s="55" t="n">
        <x:v>1737</x:v>
      </x:c>
      <x:c r="S734" s="55" t="n">
        <x:v>2862</x:v>
      </x:c>
      <x:c r="T734" s="55" t="n">
        <x:v>1528</x:v>
      </x:c>
      <x:c r="U734" s="55" t="n">
        <x:v>2362</x:v>
      </x:c>
      <x:c r="V734" s="55" t="n">
        <x:v>10530</x:v>
      </x:c>
      <x:c r="W734" s="55" t="n">
        <x:v>7651</x:v>
      </x:c>
      <x:c r="X734" s="55" t="n">
        <x:v>2879</x:v>
      </x:c>
      <x:c r="Y734" s="55" t="n">
        <x:v>2492</x:v>
      </x:c>
      <x:c r="Z734" s="55" t="n">
        <x:v>3596</x:v>
      </x:c>
      <x:c r="AA734" s="55" t="n">
        <x:v>3484</x:v>
      </x:c>
      <x:c r="AB734" s="55" t="n">
        <x:v>1042</x:v>
      </x:c>
      <x:c r="AC734" s="55" t="n">
        <x:v>7825</x:v>
      </x:c>
      <x:c r="AD734" s="55" t="n">
        <x:v>3308</x:v>
      </x:c>
      <x:c r="AE734" s="55" t="n">
        <x:v>10643</x:v>
      </x:c>
      <x:c r="AF734" s="55" t="n">
        <x:v>10530</x:v>
      </x:c>
      <x:c r="AG734" s="55" t="n">
        <x:v>113</x:v>
      </x:c>
      <x:c r="AH734" s="55" t="n">
        <x:v>444</x:v>
      </x:c>
      <x:c r="AI734" s="55" t="n">
        <x:v>10086</x:v>
      </x:c>
      <x:c r="AJ734" s="55" t="n">
        <x:v>338</x:v>
      </x:c>
      <x:c r="AK734" s="55" t="n">
        <x:v>1282</x:v>
      </x:c>
      <x:c r="AL734" s="55" t="n">
        <x:v>1868</x:v>
      </x:c>
      <x:c r="AM734" s="55" t="n">
        <x:v>4490</x:v>
      </x:c>
      <x:c r="AN734" s="55" t="n">
        <x:v>2519</x:v>
      </x:c>
      <x:c r="AO734" s="55" t="n">
        <x:v>33</x:v>
      </x:c>
      <x:c r="AP734" s="55" t="n">
        <x:v>2509</x:v>
      </x:c>
      <x:c r="AQ734" s="55" t="n">
        <x:v>1012</x:v>
      </x:c>
    </x:row>
    <x:row r="735">
      <x:c r="A735" s="54" t="str">
        <x:v>T1_SHARED_CATCHMENT</x:v>
      </x:c>
      <x:c r="B735" s="54" t="n">
        <x:v>729</x:v>
      </x:c>
      <x:c r="C735" s="54" t="str">
        <x:v>NYC-V2-R01</x:v>
      </x:c>
      <x:c r="D735" s="54" t="str">
        <x:v>V2</x:v>
      </x:c>
      <x:c r="E735" s="54" t="str">
        <x:v>ADMITTED</x:v>
      </x:c>
      <x:c r="F735" s="55" t="n">
        <x:v>30914</x:v>
      </x:c>
      <x:c r="G735" s="55" t="n">
        <x:v>7492</x:v>
      </x:c>
      <x:c r="H735" s="55" t="n">
        <x:v>3240</x:v>
      </x:c>
      <x:c r="I735" s="55" t="n">
        <x:v>1433</x:v>
      </x:c>
      <x:c r="J735" s="55" t="n">
        <x:v>189</x:v>
      </x:c>
      <x:c r="K735" s="55" t="n">
        <x:v>27245</x:v>
      </x:c>
      <x:c r="L735" s="55" t="n">
        <x:v>5142</x:v>
      </x:c>
      <x:c r="M735" s="55" t="n">
        <x:v>424</x:v>
      </x:c>
      <x:c r="N735" s="55" t="n">
        <x:v>2580</x:v>
      </x:c>
      <x:c r="O735" s="55" t="n">
        <x:v>2138</x:v>
      </x:c>
      <x:c r="P735" s="55" t="n">
        <x:v>1029</x:v>
      </x:c>
      <x:c r="Q735" s="55" t="n">
        <x:v>3283</x:v>
      </x:c>
      <x:c r="R735" s="55" t="n">
        <x:v>1757</x:v>
      </x:c>
      <x:c r="S735" s="55" t="n">
        <x:v>2877</x:v>
      </x:c>
      <x:c r="T735" s="55" t="n">
        <x:v>1571</x:v>
      </x:c>
      <x:c r="U735" s="55" t="n">
        <x:v>1670</x:v>
      </x:c>
      <x:c r="V735" s="55" t="n">
        <x:v>10588</x:v>
      </x:c>
      <x:c r="W735" s="55" t="n">
        <x:v>7500</x:v>
      </x:c>
      <x:c r="X735" s="55" t="n">
        <x:v>3088</x:v>
      </x:c>
      <x:c r="Y735" s="55" t="n">
        <x:v>2620</x:v>
      </x:c>
      <x:c r="Z735" s="55" t="n">
        <x:v>3756</x:v>
      </x:c>
      <x:c r="AA735" s="55" t="n">
        <x:v>3102</x:v>
      </x:c>
      <x:c r="AB735" s="55" t="n">
        <x:v>1187</x:v>
      </x:c>
      <x:c r="AC735" s="55" t="n">
        <x:v>8390</x:v>
      </x:c>
      <x:c r="AD735" s="55" t="n">
        <x:v>3644</x:v>
      </x:c>
      <x:c r="AE735" s="55" t="n">
        <x:v>10674</x:v>
      </x:c>
      <x:c r="AF735" s="55" t="n">
        <x:v>10588</x:v>
      </x:c>
      <x:c r="AG735" s="55" t="n">
        <x:v>86</x:v>
      </x:c>
      <x:c r="AH735" s="55" t="n">
        <x:v>444</x:v>
      </x:c>
      <x:c r="AI735" s="55" t="n">
        <x:v>10144</x:v>
      </x:c>
      <x:c r="AJ735" s="55" t="n">
        <x:v>73</x:v>
      </x:c>
      <x:c r="AK735" s="55" t="n">
        <x:v>1434</x:v>
      </x:c>
      <x:c r="AL735" s="55" t="n">
        <x:v>1897</x:v>
      </x:c>
      <x:c r="AM735" s="55" t="n">
        <x:v>4647</x:v>
      </x:c>
      <x:c r="AN735" s="55" t="n">
        <x:v>2507</x:v>
      </x:c>
      <x:c r="AO735" s="55" t="n">
        <x:v>30</x:v>
      </x:c>
      <x:c r="AP735" s="55" t="n">
        <x:v>2173</x:v>
      </x:c>
      <x:c r="AQ735" s="55" t="n">
        <x:v>981</x:v>
      </x:c>
    </x:row>
    <x:row r="736">
      <x:c r="A736" s="54" t="str">
        <x:v>T1_SHARED_CATCHMENT</x:v>
      </x:c>
      <x:c r="B736" s="54" t="n">
        <x:v>730</x:v>
      </x:c>
      <x:c r="C736" s="54" t="str">
        <x:v>NYC-V2-R01</x:v>
      </x:c>
      <x:c r="D736" s="54" t="str">
        <x:v>V2</x:v>
      </x:c>
      <x:c r="E736" s="54" t="str">
        <x:v>ADMITTED</x:v>
      </x:c>
      <x:c r="F736" s="55" t="n">
        <x:v>30752</x:v>
      </x:c>
      <x:c r="G736" s="55" t="n">
        <x:v>7638</x:v>
      </x:c>
      <x:c r="H736" s="55" t="n">
        <x:v>3300</x:v>
      </x:c>
      <x:c r="I736" s="55" t="n">
        <x:v>1483</x:v>
      </x:c>
      <x:c r="J736" s="55" t="n">
        <x:v>230</x:v>
      </x:c>
      <x:c r="K736" s="55" t="n">
        <x:v>29673</x:v>
      </x:c>
      <x:c r="L736" s="55" t="n">
        <x:v>4599</x:v>
      </x:c>
      <x:c r="M736" s="55" t="n">
        <x:v>315</x:v>
      </x:c>
      <x:c r="N736" s="55" t="n">
        <x:v>2857</x:v>
      </x:c>
      <x:c r="O736" s="55" t="n">
        <x:v>1427</x:v>
      </x:c>
      <x:c r="P736" s="55" t="n">
        <x:v>171</x:v>
      </x:c>
      <x:c r="Q736" s="55" t="n">
        <x:v>1700</x:v>
      </x:c>
      <x:c r="R736" s="55" t="n">
        <x:v>1942</x:v>
      </x:c>
      <x:c r="S736" s="55" t="n">
        <x:v>2911</x:v>
      </x:c>
      <x:c r="T736" s="55" t="n">
        <x:v>1262</x:v>
      </x:c>
      <x:c r="U736" s="55" t="n">
        <x:v>1334</x:v>
      </x:c>
      <x:c r="V736" s="55" t="n">
        <x:v>10820</x:v>
      </x:c>
      <x:c r="W736" s="55" t="n">
        <x:v>7650</x:v>
      </x:c>
      <x:c r="X736" s="55" t="n">
        <x:v>3170</x:v>
      </x:c>
      <x:c r="Y736" s="55" t="n">
        <x:v>2682</x:v>
      </x:c>
      <x:c r="Z736" s="55" t="n">
        <x:v>3988</x:v>
      </x:c>
      <x:c r="AA736" s="55" t="n">
        <x:v>3300</x:v>
      </x:c>
      <x:c r="AB736" s="55" t="n">
        <x:v>1426</x:v>
      </x:c>
      <x:c r="AC736" s="55" t="n">
        <x:v>8232</x:v>
      </x:c>
      <x:c r="AD736" s="55" t="n">
        <x:v>2530</x:v>
      </x:c>
      <x:c r="AE736" s="55" t="n">
        <x:v>10873</x:v>
      </x:c>
      <x:c r="AF736" s="55" t="n">
        <x:v>10820</x:v>
      </x:c>
      <x:c r="AG736" s="55" t="n">
        <x:v>53</x:v>
      </x:c>
      <x:c r="AH736" s="55" t="n">
        <x:v>356</x:v>
      </x:c>
      <x:c r="AI736" s="55" t="n">
        <x:v>10464</x:v>
      </x:c>
      <x:c r="AJ736" s="55" t="n">
        <x:v>537</x:v>
      </x:c>
      <x:c r="AK736" s="55" t="n">
        <x:v>788</x:v>
      </x:c>
      <x:c r="AL736" s="55" t="n">
        <x:v>1553</x:v>
      </x:c>
      <x:c r="AM736" s="55" t="n">
        <x:v>4996</x:v>
      </x:c>
      <x:c r="AN736" s="55" t="n">
        <x:v>2946</x:v>
      </x:c>
      <x:c r="AO736" s="55" t="n">
        <x:v>0</x:v>
      </x:c>
      <x:c r="AP736" s="55" t="n">
        <x:v>2207</x:v>
      </x:c>
      <x:c r="AQ736" s="55" t="n">
        <x:v>955</x:v>
      </x:c>
    </x:row>
    <x:row r="737">
      <x:c r="A737" s="54" t="str">
        <x:v>T1_SHARED_CATCHMENT</x:v>
      </x:c>
      <x:c r="B737" s="54" t="n">
        <x:v>731</x:v>
      </x:c>
      <x:c r="C737" s="54" t="str">
        <x:v>NYC-V2-R01</x:v>
      </x:c>
      <x:c r="D737" s="54" t="str">
        <x:v>V2</x:v>
      </x:c>
      <x:c r="E737" s="54" t="str">
        <x:v>ADMITTED</x:v>
      </x:c>
      <x:c r="F737" s="55" t="n">
        <x:v>33610</x:v>
      </x:c>
      <x:c r="G737" s="55" t="n">
        <x:v>7907</x:v>
      </x:c>
      <x:c r="H737" s="55" t="n">
        <x:v>3600</x:v>
      </x:c>
      <x:c r="I737" s="55" t="n">
        <x:v>1544</x:v>
      </x:c>
      <x:c r="J737" s="55" t="n">
        <x:v>414</x:v>
      </x:c>
      <x:c r="K737" s="55" t="n">
        <x:v>33610</x:v>
      </x:c>
      <x:c r="L737" s="55" t="n">
        <x:v>6388</x:v>
      </x:c>
      <x:c r="M737" s="55" t="n">
        <x:v>1668</x:v>
      </x:c>
      <x:c r="N737" s="55" t="n">
        <x:v>2570</x:v>
      </x:c>
      <x:c r="O737" s="55" t="n">
        <x:v>2150</x:v>
      </x:c>
      <x:c r="P737" s="55" t="n">
        <x:v>991</x:v>
      </x:c>
      <x:c r="Q737" s="55" t="n">
        <x:v>2277</x:v>
      </x:c>
      <x:c r="R737" s="55" t="n">
        <x:v>1682</x:v>
      </x:c>
      <x:c r="S737" s="55" t="n">
        <x:v>2888</x:v>
      </x:c>
      <x:c r="T737" s="55" t="n">
        <x:v>1110</x:v>
      </x:c>
      <x:c r="U737" s="55" t="n">
        <x:v>1930</x:v>
      </x:c>
      <x:c r="V737" s="55" t="n">
        <x:v>11075</x:v>
      </x:c>
      <x:c r="W737" s="55" t="n">
        <x:v>7878</x:v>
      </x:c>
      <x:c r="X737" s="55" t="n">
        <x:v>3197</x:v>
      </x:c>
      <x:c r="Y737" s="55" t="n">
        <x:v>2876</x:v>
      </x:c>
      <x:c r="Z737" s="55" t="n">
        <x:v>3818</x:v>
      </x:c>
      <x:c r="AA737" s="55" t="n">
        <x:v>3388</x:v>
      </x:c>
      <x:c r="AB737" s="55" t="n">
        <x:v>1016</x:v>
      </x:c>
      <x:c r="AC737" s="55" t="n">
        <x:v>8484</x:v>
      </x:c>
      <x:c r="AD737" s="55" t="n">
        <x:v>3543</x:v>
      </x:c>
      <x:c r="AE737" s="55" t="n">
        <x:v>11168</x:v>
      </x:c>
      <x:c r="AF737" s="55" t="n">
        <x:v>11075</x:v>
      </x:c>
      <x:c r="AG737" s="55" t="n">
        <x:v>93</x:v>
      </x:c>
      <x:c r="AH737" s="55" t="n">
        <x:v>561</x:v>
      </x:c>
      <x:c r="AI737" s="55" t="n">
        <x:v>10514</x:v>
      </x:c>
      <x:c r="AJ737" s="55" t="n">
        <x:v>364</x:v>
      </x:c>
      <x:c r="AK737" s="55" t="n">
        <x:v>988</x:v>
      </x:c>
      <x:c r="AL737" s="55" t="n">
        <x:v>1638</x:v>
      </x:c>
      <x:c r="AM737" s="55" t="n">
        <x:v>5313</x:v>
      </x:c>
      <x:c r="AN737" s="55" t="n">
        <x:v>2767</x:v>
      </x:c>
      <x:c r="AO737" s="55" t="n">
        <x:v>5</x:v>
      </x:c>
      <x:c r="AP737" s="55" t="n">
        <x:v>2583</x:v>
      </x:c>
      <x:c r="AQ737" s="55" t="n">
        <x:v>965</x:v>
      </x:c>
    </x:row>
    <x:row r="738">
      <x:c r="A738" s="54" t="str">
        <x:v>T1_SHARED_CATCHMENT</x:v>
      </x:c>
      <x:c r="B738" s="54" t="n">
        <x:v>732</x:v>
      </x:c>
      <x:c r="C738" s="54" t="str">
        <x:v>NYC-V2-R01</x:v>
      </x:c>
      <x:c r="D738" s="54" t="str">
        <x:v>V2</x:v>
      </x:c>
      <x:c r="E738" s="54" t="str">
        <x:v>ADMITTED</x:v>
      </x:c>
      <x:c r="F738" s="55" t="n">
        <x:v>29575</x:v>
      </x:c>
      <x:c r="G738" s="55" t="n">
        <x:v>7139</x:v>
      </x:c>
      <x:c r="H738" s="55" t="n">
        <x:v>3066</x:v>
      </x:c>
      <x:c r="I738" s="55" t="n">
        <x:v>1029</x:v>
      </x:c>
      <x:c r="J738" s="55" t="n">
        <x:v>233</x:v>
      </x:c>
      <x:c r="K738" s="55" t="n">
        <x:v>29575</x:v>
      </x:c>
      <x:c r="L738" s="55" t="n">
        <x:v>5259</x:v>
      </x:c>
      <x:c r="M738" s="55" t="n">
        <x:v>613</x:v>
      </x:c>
      <x:c r="N738" s="55" t="n">
        <x:v>2860</x:v>
      </x:c>
      <x:c r="O738" s="55" t="n">
        <x:v>1786</x:v>
      </x:c>
      <x:c r="P738" s="55" t="n">
        <x:v>1048</x:v>
      </x:c>
      <x:c r="Q738" s="55" t="n">
        <x:v>2430</x:v>
      </x:c>
      <x:c r="R738" s="55" t="n">
        <x:v>1596</x:v>
      </x:c>
      <x:c r="S738" s="55" t="n">
        <x:v>2540</x:v>
      </x:c>
      <x:c r="T738" s="55" t="n">
        <x:v>1497</x:v>
      </x:c>
      <x:c r="U738" s="55" t="n">
        <x:v>1723</x:v>
      </x:c>
      <x:c r="V738" s="55" t="n">
        <x:v>9805</x:v>
      </x:c>
      <x:c r="W738" s="55" t="n">
        <x:v>6555</x:v>
      </x:c>
      <x:c r="X738" s="55" t="n">
        <x:v>3250</x:v>
      </x:c>
      <x:c r="Y738" s="55" t="n">
        <x:v>2901</x:v>
      </x:c>
      <x:c r="Z738" s="55" t="n">
        <x:v>3616</x:v>
      </x:c>
      <x:c r="AA738" s="55" t="n">
        <x:v>3066</x:v>
      </x:c>
      <x:c r="AB738" s="55" t="n">
        <x:v>940</x:v>
      </x:c>
      <x:c r="AC738" s="55" t="n">
        <x:v>7784</x:v>
      </x:c>
      <x:c r="AD738" s="55" t="n">
        <x:v>3045</x:v>
      </x:c>
      <x:c r="AE738" s="55" t="n">
        <x:v>9849</x:v>
      </x:c>
      <x:c r="AF738" s="55" t="n">
        <x:v>9805</x:v>
      </x:c>
      <x:c r="AG738" s="55" t="n">
        <x:v>44</x:v>
      </x:c>
      <x:c r="AH738" s="55" t="n">
        <x:v>350</x:v>
      </x:c>
      <x:c r="AI738" s="55" t="n">
        <x:v>9455</x:v>
      </x:c>
      <x:c r="AJ738" s="55" t="n">
        <x:v>397</x:v>
      </x:c>
      <x:c r="AK738" s="55" t="n">
        <x:v>861</x:v>
      </x:c>
      <x:c r="AL738" s="55" t="n">
        <x:v>1416</x:v>
      </x:c>
      <x:c r="AM738" s="55" t="n">
        <x:v>4806</x:v>
      </x:c>
      <x:c r="AN738" s="55" t="n">
        <x:v>2260</x:v>
      </x:c>
      <x:c r="AO738" s="55" t="n">
        <x:v>65</x:v>
      </x:c>
      <x:c r="AP738" s="55" t="n">
        <x:v>1664</x:v>
      </x:c>
      <x:c r="AQ738" s="55" t="n">
        <x:v>956</x:v>
      </x:c>
    </x:row>
    <x:row r="739">
      <x:c r="A739" s="54" t="str">
        <x:v>T1_SHARED_CATCHMENT</x:v>
      </x:c>
      <x:c r="B739" s="54" t="n">
        <x:v>733</x:v>
      </x:c>
      <x:c r="C739" s="54" t="str">
        <x:v>NYC-V2-R01</x:v>
      </x:c>
      <x:c r="D739" s="54" t="str">
        <x:v>V2</x:v>
      </x:c>
      <x:c r="E739" s="54" t="str">
        <x:v>ADMITTED</x:v>
      </x:c>
      <x:c r="F739" s="55" t="n">
        <x:v>30373</x:v>
      </x:c>
      <x:c r="G739" s="55" t="n">
        <x:v>7703</x:v>
      </x:c>
      <x:c r="H739" s="55" t="n">
        <x:v>3254</x:v>
      </x:c>
      <x:c r="I739" s="55" t="n">
        <x:v>1331</x:v>
      </x:c>
      <x:c r="J739" s="55" t="n">
        <x:v>83</x:v>
      </x:c>
      <x:c r="K739" s="55" t="n">
        <x:v>30373</x:v>
      </x:c>
      <x:c r="L739" s="55" t="n">
        <x:v>5746</x:v>
      </x:c>
      <x:c r="M739" s="55" t="n">
        <x:v>468</x:v>
      </x:c>
      <x:c r="N739" s="55" t="n">
        <x:v>3043</x:v>
      </x:c>
      <x:c r="O739" s="55" t="n">
        <x:v>2235</x:v>
      </x:c>
      <x:c r="P739" s="55" t="n">
        <x:v>504</x:v>
      </x:c>
      <x:c r="Q739" s="55" t="n">
        <x:v>2685</x:v>
      </x:c>
      <x:c r="R739" s="55" t="n">
        <x:v>2057</x:v>
      </x:c>
      <x:c r="S739" s="55" t="n">
        <x:v>3300</x:v>
      </x:c>
      <x:c r="T739" s="55" t="n">
        <x:v>797</x:v>
      </x:c>
      <x:c r="U739" s="55" t="n">
        <x:v>2215</x:v>
      </x:c>
      <x:c r="V739" s="55" t="n">
        <x:v>11210</x:v>
      </x:c>
      <x:c r="W739" s="55" t="n">
        <x:v>8143</x:v>
      </x:c>
      <x:c r="X739" s="55" t="n">
        <x:v>3067</x:v>
      </x:c>
      <x:c r="Y739" s="55" t="n">
        <x:v>2607</x:v>
      </x:c>
      <x:c r="Z739" s="55" t="n">
        <x:v>4137</x:v>
      </x:c>
      <x:c r="AA739" s="55" t="n">
        <x:v>3254</x:v>
      </x:c>
      <x:c r="AB739" s="55" t="n">
        <x:v>722</x:v>
      </x:c>
      <x:c r="AC739" s="55" t="n">
        <x:v>8332</x:v>
      </x:c>
      <x:c r="AD739" s="55" t="n">
        <x:v>3461</x:v>
      </x:c>
      <x:c r="AE739" s="55" t="n">
        <x:v>11246</x:v>
      </x:c>
      <x:c r="AF739" s="55" t="n">
        <x:v>11210</x:v>
      </x:c>
      <x:c r="AG739" s="55" t="n">
        <x:v>36</x:v>
      </x:c>
      <x:c r="AH739" s="55" t="n">
        <x:v>629</x:v>
      </x:c>
      <x:c r="AI739" s="55" t="n">
        <x:v>10581</x:v>
      </x:c>
      <x:c r="AJ739" s="55" t="n">
        <x:v>347</x:v>
      </x:c>
      <x:c r="AK739" s="55" t="n">
        <x:v>1436</x:v>
      </x:c>
      <x:c r="AL739" s="55" t="n">
        <x:v>1700</x:v>
      </x:c>
      <x:c r="AM739" s="55" t="n">
        <x:v>5009</x:v>
      </x:c>
      <x:c r="AN739" s="55" t="n">
        <x:v>2695</x:v>
      </x:c>
      <x:c r="AO739" s="55" t="n">
        <x:v>23</x:v>
      </x:c>
      <x:c r="AP739" s="55" t="n">
        <x:v>2287</x:v>
      </x:c>
      <x:c r="AQ739" s="55" t="n">
        <x:v>1018</x:v>
      </x:c>
    </x:row>
    <x:row r="740">
      <x:c r="A740" s="54" t="str">
        <x:v>T1_SHARED_CATCHMENT</x:v>
      </x:c>
      <x:c r="B740" s="54" t="n">
        <x:v>734</x:v>
      </x:c>
      <x:c r="C740" s="54" t="str">
        <x:v>NYC-V2-R01</x:v>
      </x:c>
      <x:c r="D740" s="54" t="str">
        <x:v>V2</x:v>
      </x:c>
      <x:c r="E740" s="54" t="str">
        <x:v>ADMITTED</x:v>
      </x:c>
      <x:c r="F740" s="55" t="n">
        <x:v>33710</x:v>
      </x:c>
      <x:c r="G740" s="55" t="n">
        <x:v>7869</x:v>
      </x:c>
      <x:c r="H740" s="55" t="n">
        <x:v>4207</x:v>
      </x:c>
      <x:c r="I740" s="55" t="n">
        <x:v>2110</x:v>
      </x:c>
      <x:c r="J740" s="55" t="n">
        <x:v>364</x:v>
      </x:c>
      <x:c r="K740" s="55" t="n">
        <x:v>33710</x:v>
      </x:c>
      <x:c r="L740" s="55" t="n">
        <x:v>6978</x:v>
      </x:c>
      <x:c r="M740" s="55" t="n">
        <x:v>2128</x:v>
      </x:c>
      <x:c r="N740" s="55" t="n">
        <x:v>2635</x:v>
      </x:c>
      <x:c r="O740" s="55" t="n">
        <x:v>2215</x:v>
      </x:c>
      <x:c r="P740" s="55" t="n">
        <x:v>908</x:v>
      </x:c>
      <x:c r="Q740" s="55" t="n">
        <x:v>2439</x:v>
      </x:c>
      <x:c r="R740" s="55" t="n">
        <x:v>2163</x:v>
      </x:c>
      <x:c r="S740" s="55" t="n">
        <x:v>3321</x:v>
      </x:c>
      <x:c r="T740" s="55" t="n">
        <x:v>1096</x:v>
      </x:c>
      <x:c r="U740" s="55" t="n">
        <x:v>2348</x:v>
      </x:c>
      <x:c r="V740" s="55" t="n">
        <x:v>10385</x:v>
      </x:c>
      <x:c r="W740" s="55" t="n">
        <x:v>6868</x:v>
      </x:c>
      <x:c r="X740" s="55" t="n">
        <x:v>3517</x:v>
      </x:c>
      <x:c r="Y740" s="55" t="n">
        <x:v>3173</x:v>
      </x:c>
      <x:c r="Z740" s="55" t="n">
        <x:v>3140</x:v>
      </x:c>
      <x:c r="AA740" s="55" t="n">
        <x:v>2980</x:v>
      </x:c>
      <x:c r="AB740" s="55" t="n">
        <x:v>955</x:v>
      </x:c>
      <x:c r="AC740" s="55" t="n">
        <x:v>8695</x:v>
      </x:c>
      <x:c r="AD740" s="55" t="n">
        <x:v>2954</x:v>
      </x:c>
      <x:c r="AE740" s="55" t="n">
        <x:v>10486</x:v>
      </x:c>
      <x:c r="AF740" s="55" t="n">
        <x:v>10385</x:v>
      </x:c>
      <x:c r="AG740" s="55" t="n">
        <x:v>101</x:v>
      </x:c>
      <x:c r="AH740" s="55" t="n">
        <x:v>387</x:v>
      </x:c>
      <x:c r="AI740" s="55" t="n">
        <x:v>9998</x:v>
      </x:c>
      <x:c r="AJ740" s="55" t="n">
        <x:v>302</x:v>
      </x:c>
      <x:c r="AK740" s="55" t="n">
        <x:v>783</x:v>
      </x:c>
      <x:c r="AL740" s="55" t="n">
        <x:v>2079</x:v>
      </x:c>
      <x:c r="AM740" s="55" t="n">
        <x:v>4658</x:v>
      </x:c>
      <x:c r="AN740" s="55" t="n">
        <x:v>2464</x:v>
      </x:c>
      <x:c r="AO740" s="55" t="n">
        <x:v>99</x:v>
      </x:c>
      <x:c r="AP740" s="55" t="n">
        <x:v>2189</x:v>
      </x:c>
      <x:c r="AQ740" s="55" t="n">
        <x:v>979</x:v>
      </x:c>
    </x:row>
    <x:row r="741">
      <x:c r="A741" s="54" t="str">
        <x:v>T1_SHARED_CATCHMENT</x:v>
      </x:c>
      <x:c r="B741" s="54" t="n">
        <x:v>735</x:v>
      </x:c>
      <x:c r="C741" s="54" t="str">
        <x:v>NYC-V2-R01</x:v>
      </x:c>
      <x:c r="D741" s="54" t="str">
        <x:v>V2</x:v>
      </x:c>
      <x:c r="E741" s="54" t="str">
        <x:v>ADMITTED</x:v>
      </x:c>
      <x:c r="F741" s="55" t="n">
        <x:v>31615</x:v>
      </x:c>
      <x:c r="G741" s="55" t="n">
        <x:v>8704</x:v>
      </x:c>
      <x:c r="H741" s="55" t="n">
        <x:v>3290</x:v>
      </x:c>
      <x:c r="I741" s="55" t="n">
        <x:v>1522</x:v>
      </x:c>
      <x:c r="J741" s="55" t="n">
        <x:v>149</x:v>
      </x:c>
      <x:c r="K741" s="55" t="n">
        <x:v>29910</x:v>
      </x:c>
      <x:c r="L741" s="55" t="n">
        <x:v>5167</x:v>
      </x:c>
      <x:c r="M741" s="55" t="n">
        <x:v>869</x:v>
      </x:c>
      <x:c r="N741" s="55" t="n">
        <x:v>2277</x:v>
      </x:c>
      <x:c r="O741" s="55" t="n">
        <x:v>2021</x:v>
      </x:c>
      <x:c r="P741" s="55" t="n">
        <x:v>1105</x:v>
      </x:c>
      <x:c r="Q741" s="55" t="n">
        <x:v>1843</x:v>
      </x:c>
      <x:c r="R741" s="55" t="n">
        <x:v>1970</x:v>
      </x:c>
      <x:c r="S741" s="55" t="n">
        <x:v>3061</x:v>
      </x:c>
      <x:c r="T741" s="55" t="n">
        <x:v>1311</x:v>
      </x:c>
      <x:c r="U741" s="55" t="n">
        <x:v>2372</x:v>
      </x:c>
      <x:c r="V741" s="55" t="n">
        <x:v>11121</x:v>
      </x:c>
      <x:c r="W741" s="55" t="n">
        <x:v>7947</x:v>
      </x:c>
      <x:c r="X741" s="55" t="n">
        <x:v>3174</x:v>
      </x:c>
      <x:c r="Y741" s="55" t="n">
        <x:v>2856</x:v>
      </x:c>
      <x:c r="Z741" s="55" t="n">
        <x:v>3801</x:v>
      </x:c>
      <x:c r="AA741" s="55" t="n">
        <x:v>2929</x:v>
      </x:c>
      <x:c r="AB741" s="55" t="n">
        <x:v>1293</x:v>
      </x:c>
      <x:c r="AC741" s="55" t="n">
        <x:v>8886</x:v>
      </x:c>
      <x:c r="AD741" s="55" t="n">
        <x:v>3659</x:v>
      </x:c>
      <x:c r="AE741" s="55" t="n">
        <x:v>11165</x:v>
      </x:c>
      <x:c r="AF741" s="55" t="n">
        <x:v>11121</x:v>
      </x:c>
      <x:c r="AG741" s="55" t="n">
        <x:v>44</x:v>
      </x:c>
      <x:c r="AH741" s="55" t="n">
        <x:v>424</x:v>
      </x:c>
      <x:c r="AI741" s="55" t="n">
        <x:v>10697</x:v>
      </x:c>
      <x:c r="AJ741" s="55" t="n">
        <x:v>287</x:v>
      </x:c>
      <x:c r="AK741" s="55" t="n">
        <x:v>1019</x:v>
      </x:c>
      <x:c r="AL741" s="55" t="n">
        <x:v>1896</x:v>
      </x:c>
      <x:c r="AM741" s="55" t="n">
        <x:v>4912</x:v>
      </x:c>
      <x:c r="AN741" s="55" t="n">
        <x:v>2974</x:v>
      </x:c>
      <x:c r="AO741" s="55" t="n">
        <x:v>33</x:v>
      </x:c>
      <x:c r="AP741" s="55" t="n">
        <x:v>2503</x:v>
      </x:c>
      <x:c r="AQ741" s="55" t="n">
        <x:v>1047</x:v>
      </x:c>
    </x:row>
    <x:row r="742">
      <x:c r="A742" s="54" t="str">
        <x:v>T1_SHARED_CATCHMENT</x:v>
      </x:c>
      <x:c r="B742" s="54" t="n">
        <x:v>736</x:v>
      </x:c>
      <x:c r="C742" s="54" t="str">
        <x:v>NYC-V2-R01</x:v>
      </x:c>
      <x:c r="D742" s="54" t="str">
        <x:v>V2</x:v>
      </x:c>
      <x:c r="E742" s="54" t="str">
        <x:v>ADMITTED</x:v>
      </x:c>
      <x:c r="F742" s="55" t="n">
        <x:v>31918</x:v>
      </x:c>
      <x:c r="G742" s="55" t="n">
        <x:v>6368</x:v>
      </x:c>
      <x:c r="H742" s="55" t="n">
        <x:v>3269</x:v>
      </x:c>
      <x:c r="I742" s="55" t="n">
        <x:v>1410</x:v>
      </x:c>
      <x:c r="J742" s="55" t="n">
        <x:v>158</x:v>
      </x:c>
      <x:c r="K742" s="55" t="n">
        <x:v>31918</x:v>
      </x:c>
      <x:c r="L742" s="55" t="n">
        <x:v>5902</x:v>
      </x:c>
      <x:c r="M742" s="55" t="n">
        <x:v>1958</x:v>
      </x:c>
      <x:c r="N742" s="55" t="n">
        <x:v>2335</x:v>
      </x:c>
      <x:c r="O742" s="55" t="n">
        <x:v>1609</x:v>
      </x:c>
      <x:c r="P742" s="55" t="n">
        <x:v>1039</x:v>
      </x:c>
      <x:c r="Q742" s="55" t="n">
        <x:v>2852</x:v>
      </x:c>
      <x:c r="R742" s="55" t="n">
        <x:v>2062</x:v>
      </x:c>
      <x:c r="S742" s="55" t="n">
        <x:v>2953</x:v>
      </x:c>
      <x:c r="T742" s="55" t="n">
        <x:v>1219</x:v>
      </x:c>
      <x:c r="U742" s="55" t="n">
        <x:v>1730</x:v>
      </x:c>
      <x:c r="V742" s="55" t="n">
        <x:v>10766</x:v>
      </x:c>
      <x:c r="W742" s="55" t="n">
        <x:v>7384</x:v>
      </x:c>
      <x:c r="X742" s="55" t="n">
        <x:v>3382</x:v>
      </x:c>
      <x:c r="Y742" s="55" t="n">
        <x:v>2969</x:v>
      </x:c>
      <x:c r="Z742" s="55" t="n">
        <x:v>3796</x:v>
      </x:c>
      <x:c r="AA742" s="55" t="n">
        <x:v>3269</x:v>
      </x:c>
      <x:c r="AB742" s="55" t="n">
        <x:v>943</x:v>
      </x:c>
      <x:c r="AC742" s="55" t="n">
        <x:v>7840</x:v>
      </x:c>
      <x:c r="AD742" s="55" t="n">
        <x:v>2805</x:v>
      </x:c>
      <x:c r="AE742" s="55" t="n">
        <x:v>10788</x:v>
      </x:c>
      <x:c r="AF742" s="55" t="n">
        <x:v>10766</x:v>
      </x:c>
      <x:c r="AG742" s="55" t="n">
        <x:v>22</x:v>
      </x:c>
      <x:c r="AH742" s="55" t="n">
        <x:v>614</x:v>
      </x:c>
      <x:c r="AI742" s="55" t="n">
        <x:v>10152</x:v>
      </x:c>
      <x:c r="AJ742" s="55" t="n">
        <x:v>308</x:v>
      </x:c>
      <x:c r="AK742" s="55" t="n">
        <x:v>1192</x:v>
      </x:c>
      <x:c r="AL742" s="55" t="n">
        <x:v>2121</x:v>
      </x:c>
      <x:c r="AM742" s="55" t="n">
        <x:v>4515</x:v>
      </x:c>
      <x:c r="AN742" s="55" t="n">
        <x:v>2630</x:v>
      </x:c>
      <x:c r="AO742" s="55" t="n">
        <x:v>0</x:v>
      </x:c>
      <x:c r="AP742" s="55" t="n">
        <x:v>2359</x:v>
      </x:c>
      <x:c r="AQ742" s="55" t="n">
        <x:v>897</x:v>
      </x:c>
    </x:row>
    <x:row r="743">
      <x:c r="A743" s="54" t="str">
        <x:v>T1_SHARED_CATCHMENT</x:v>
      </x:c>
      <x:c r="B743" s="54" t="n">
        <x:v>737</x:v>
      </x:c>
      <x:c r="C743" s="54" t="str">
        <x:v>NYC-V2-R01</x:v>
      </x:c>
      <x:c r="D743" s="54" t="str">
        <x:v>V2</x:v>
      </x:c>
      <x:c r="E743" s="54" t="str">
        <x:v>ADMITTED</x:v>
      </x:c>
      <x:c r="F743" s="55" t="n">
        <x:v>30216</x:v>
      </x:c>
      <x:c r="G743" s="55" t="n">
        <x:v>7527</x:v>
      </x:c>
      <x:c r="H743" s="55" t="n">
        <x:v>3284</x:v>
      </x:c>
      <x:c r="I743" s="55" t="n">
        <x:v>834</x:v>
      </x:c>
      <x:c r="J743" s="55" t="n">
        <x:v>141</x:v>
      </x:c>
      <x:c r="K743" s="55" t="n">
        <x:v>28817</x:v>
      </x:c>
      <x:c r="L743" s="55" t="n">
        <x:v>4222</x:v>
      </x:c>
      <x:c r="M743" s="55" t="n">
        <x:v>176</x:v>
      </x:c>
      <x:c r="N743" s="55" t="n">
        <x:v>2556</x:v>
      </x:c>
      <x:c r="O743" s="55" t="n">
        <x:v>1490</x:v>
      </x:c>
      <x:c r="P743" s="55" t="n">
        <x:v>679</x:v>
      </x:c>
      <x:c r="Q743" s="55" t="n">
        <x:v>2779</x:v>
      </x:c>
      <x:c r="R743" s="55" t="n">
        <x:v>1754</x:v>
      </x:c>
      <x:c r="S743" s="55" t="n">
        <x:v>3362</x:v>
      </x:c>
      <x:c r="T743" s="55" t="n">
        <x:v>987</x:v>
      </x:c>
      <x:c r="U743" s="55" t="n">
        <x:v>2319</x:v>
      </x:c>
      <x:c r="V743" s="55" t="n">
        <x:v>10480</x:v>
      </x:c>
      <x:c r="W743" s="55" t="n">
        <x:v>7774</x:v>
      </x:c>
      <x:c r="X743" s="55" t="n">
        <x:v>2706</x:v>
      </x:c>
      <x:c r="Y743" s="55" t="n">
        <x:v>2337</x:v>
      </x:c>
      <x:c r="Z743" s="55" t="n">
        <x:v>3536</x:v>
      </x:c>
      <x:c r="AA743" s="55" t="n">
        <x:v>3284</x:v>
      </x:c>
      <x:c r="AB743" s="55" t="n">
        <x:v>1052</x:v>
      </x:c>
      <x:c r="AC743" s="55" t="n">
        <x:v>7370</x:v>
      </x:c>
      <x:c r="AD743" s="55" t="n">
        <x:v>2619</x:v>
      </x:c>
      <x:c r="AE743" s="55" t="n">
        <x:v>10552</x:v>
      </x:c>
      <x:c r="AF743" s="55" t="n">
        <x:v>10480</x:v>
      </x:c>
      <x:c r="AG743" s="55" t="n">
        <x:v>72</x:v>
      </x:c>
      <x:c r="AH743" s="55" t="n">
        <x:v>459</x:v>
      </x:c>
      <x:c r="AI743" s="55" t="n">
        <x:v>10021</x:v>
      </x:c>
      <x:c r="AJ743" s="55" t="n">
        <x:v>336</x:v>
      </x:c>
      <x:c r="AK743" s="55" t="n">
        <x:v>901</x:v>
      </x:c>
      <x:c r="AL743" s="55" t="n">
        <x:v>2186</x:v>
      </x:c>
      <x:c r="AM743" s="55" t="n">
        <x:v>4663</x:v>
      </x:c>
      <x:c r="AN743" s="55" t="n">
        <x:v>2394</x:v>
      </x:c>
      <x:c r="AO743" s="55" t="n">
        <x:v>0</x:v>
      </x:c>
      <x:c r="AP743" s="55" t="n">
        <x:v>2374</x:v>
      </x:c>
      <x:c r="AQ743" s="55" t="n">
        <x:v>962</x:v>
      </x:c>
    </x:row>
    <x:row r="744">
      <x:c r="A744" s="54" t="str">
        <x:v>T1_SHARED_CATCHMENT</x:v>
      </x:c>
      <x:c r="B744" s="54" t="n">
        <x:v>738</x:v>
      </x:c>
      <x:c r="C744" s="54" t="str">
        <x:v>NYC-V2-R01</x:v>
      </x:c>
      <x:c r="D744" s="54" t="str">
        <x:v>V2</x:v>
      </x:c>
      <x:c r="E744" s="54" t="str">
        <x:v>ADMITTED</x:v>
      </x:c>
      <x:c r="F744" s="55" t="n">
        <x:v>31625</x:v>
      </x:c>
      <x:c r="G744" s="55" t="n">
        <x:v>9460</x:v>
      </x:c>
      <x:c r="H744" s="55" t="n">
        <x:v>3207</x:v>
      </x:c>
      <x:c r="I744" s="55" t="n">
        <x:v>751</x:v>
      </x:c>
      <x:c r="J744" s="55" t="n">
        <x:v>212</x:v>
      </x:c>
      <x:c r="K744" s="55" t="n">
        <x:v>28814</x:v>
      </x:c>
      <x:c r="L744" s="55" t="n">
        <x:v>4229</x:v>
      </x:c>
      <x:c r="M744" s="55" t="n">
        <x:v>53</x:v>
      </x:c>
      <x:c r="N744" s="55" t="n">
        <x:v>2015</x:v>
      </x:c>
      <x:c r="O744" s="55" t="n">
        <x:v>2161</x:v>
      </x:c>
      <x:c r="P744" s="55" t="n">
        <x:v>799</x:v>
      </x:c>
      <x:c r="Q744" s="55" t="n">
        <x:v>3221</x:v>
      </x:c>
      <x:c r="R744" s="55" t="n">
        <x:v>1918</x:v>
      </x:c>
      <x:c r="S744" s="55" t="n">
        <x:v>2045</x:v>
      </x:c>
      <x:c r="T744" s="55" t="n">
        <x:v>773</x:v>
      </x:c>
      <x:c r="U744" s="55" t="n">
        <x:v>2088</x:v>
      </x:c>
      <x:c r="V744" s="55" t="n">
        <x:v>9929</x:v>
      </x:c>
      <x:c r="W744" s="55" t="n">
        <x:v>7126</x:v>
      </x:c>
      <x:c r="X744" s="55" t="n">
        <x:v>2803</x:v>
      </x:c>
      <x:c r="Y744" s="55" t="n">
        <x:v>2437</x:v>
      </x:c>
      <x:c r="Z744" s="55" t="n">
        <x:v>3392</x:v>
      </x:c>
      <x:c r="AA744" s="55" t="n">
        <x:v>3207</x:v>
      </x:c>
      <x:c r="AB744" s="55" t="n">
        <x:v>929</x:v>
      </x:c>
      <x:c r="AC744" s="55" t="n">
        <x:v>7860</x:v>
      </x:c>
      <x:c r="AD744" s="55" t="n">
        <x:v>2627</x:v>
      </x:c>
      <x:c r="AE744" s="55" t="n">
        <x:v>10098</x:v>
      </x:c>
      <x:c r="AF744" s="55" t="n">
        <x:v>9929</x:v>
      </x:c>
      <x:c r="AG744" s="55" t="n">
        <x:v>169</x:v>
      </x:c>
      <x:c r="AH744" s="55" t="n">
        <x:v>238</x:v>
      </x:c>
      <x:c r="AI744" s="55" t="n">
        <x:v>9691</x:v>
      </x:c>
      <x:c r="AJ744" s="55" t="n">
        <x:v>197</x:v>
      </x:c>
      <x:c r="AK744" s="55" t="n">
        <x:v>869</x:v>
      </x:c>
      <x:c r="AL744" s="55" t="n">
        <x:v>1887</x:v>
      </x:c>
      <x:c r="AM744" s="55" t="n">
        <x:v>4513</x:v>
      </x:c>
      <x:c r="AN744" s="55" t="n">
        <x:v>2434</x:v>
      </x:c>
      <x:c r="AO744" s="55" t="n">
        <x:v>29</x:v>
      </x:c>
      <x:c r="AP744" s="55" t="n">
        <x:v>2395</x:v>
      </x:c>
      <x:c r="AQ744" s="55" t="n">
        <x:v>973</x:v>
      </x:c>
    </x:row>
    <x:row r="745">
      <x:c r="A745" s="54" t="str">
        <x:v>T1_SHARED_CATCHMENT</x:v>
      </x:c>
      <x:c r="B745" s="54" t="n">
        <x:v>739</x:v>
      </x:c>
      <x:c r="C745" s="54" t="str">
        <x:v>NYC-V2-R01</x:v>
      </x:c>
      <x:c r="D745" s="54" t="str">
        <x:v>V2</x:v>
      </x:c>
      <x:c r="E745" s="54" t="str">
        <x:v>ADMITTED</x:v>
      </x:c>
      <x:c r="F745" s="55" t="n">
        <x:v>29697</x:v>
      </x:c>
      <x:c r="G745" s="55" t="n">
        <x:v>5855</x:v>
      </x:c>
      <x:c r="H745" s="55" t="n">
        <x:v>3408</x:v>
      </x:c>
      <x:c r="I745" s="55" t="n">
        <x:v>1082</x:v>
      </x:c>
      <x:c r="J745" s="55" t="n">
        <x:v>107</x:v>
      </x:c>
      <x:c r="K745" s="55" t="n">
        <x:v>29697</x:v>
      </x:c>
      <x:c r="L745" s="55" t="n">
        <x:v>5079</x:v>
      </x:c>
      <x:c r="M745" s="55" t="n">
        <x:v>1524</x:v>
      </x:c>
      <x:c r="N745" s="55" t="n">
        <x:v>2291</x:v>
      </x:c>
      <x:c r="O745" s="55" t="n">
        <x:v>1264</x:v>
      </x:c>
      <x:c r="P745" s="55" t="n">
        <x:v>639</x:v>
      </x:c>
      <x:c r="Q745" s="55" t="n">
        <x:v>1288</x:v>
      </x:c>
      <x:c r="R745" s="55" t="n">
        <x:v>1765</x:v>
      </x:c>
      <x:c r="S745" s="55" t="n">
        <x:v>1964</x:v>
      </x:c>
      <x:c r="T745" s="55" t="n">
        <x:v>798</x:v>
      </x:c>
      <x:c r="U745" s="55" t="n">
        <x:v>1466</x:v>
      </x:c>
      <x:c r="V745" s="55" t="n">
        <x:v>9772</x:v>
      </x:c>
      <x:c r="W745" s="55" t="n">
        <x:v>6751</x:v>
      </x:c>
      <x:c r="X745" s="55" t="n">
        <x:v>3021</x:v>
      </x:c>
      <x:c r="Y745" s="55" t="n">
        <x:v>2485</x:v>
      </x:c>
      <x:c r="Z745" s="55" t="n">
        <x:v>3445</x:v>
      </x:c>
      <x:c r="AA745" s="55" t="n">
        <x:v>2822</x:v>
      </x:c>
      <x:c r="AB745" s="55" t="n">
        <x:v>1004</x:v>
      </x:c>
      <x:c r="AC745" s="55" t="n">
        <x:v>8179</x:v>
      </x:c>
      <x:c r="AD745" s="55" t="n">
        <x:v>2289</x:v>
      </x:c>
      <x:c r="AE745" s="55" t="n">
        <x:v>9778</x:v>
      </x:c>
      <x:c r="AF745" s="55" t="n">
        <x:v>9772</x:v>
      </x:c>
      <x:c r="AG745" s="55" t="n">
        <x:v>6</x:v>
      </x:c>
      <x:c r="AH745" s="55" t="n">
        <x:v>248</x:v>
      </x:c>
      <x:c r="AI745" s="55" t="n">
        <x:v>9524</x:v>
      </x:c>
      <x:c r="AJ745" s="55" t="n">
        <x:v>200</x:v>
      </x:c>
      <x:c r="AK745" s="55" t="n">
        <x:v>985</x:v>
      </x:c>
      <x:c r="AL745" s="55" t="n">
        <x:v>1180</x:v>
      </x:c>
      <x:c r="AM745" s="55" t="n">
        <x:v>4645</x:v>
      </x:c>
      <x:c r="AN745" s="55" t="n">
        <x:v>2762</x:v>
      </x:c>
      <x:c r="AO745" s="55" t="n">
        <x:v>0</x:v>
      </x:c>
      <x:c r="AP745" s="55" t="n">
        <x:v>2131</x:v>
      </x:c>
      <x:c r="AQ745" s="55" t="n">
        <x:v>905</x:v>
      </x:c>
    </x:row>
    <x:row r="746">
      <x:c r="A746" s="54" t="str">
        <x:v>T1_SHARED_CATCHMENT</x:v>
      </x:c>
      <x:c r="B746" s="54" t="n">
        <x:v>740</x:v>
      </x:c>
      <x:c r="C746" s="54" t="str">
        <x:v>NYC-V2-R01</x:v>
      </x:c>
      <x:c r="D746" s="54" t="str">
        <x:v>V2</x:v>
      </x:c>
      <x:c r="E746" s="54" t="str">
        <x:v>ADMITTED</x:v>
      </x:c>
      <x:c r="F746" s="55" t="n">
        <x:v>32307</x:v>
      </x:c>
      <x:c r="G746" s="55" t="n">
        <x:v>8542</x:v>
      </x:c>
      <x:c r="H746" s="55" t="n">
        <x:v>3686</x:v>
      </x:c>
      <x:c r="I746" s="55" t="n">
        <x:v>1150</x:v>
      </x:c>
      <x:c r="J746" s="55" t="n">
        <x:v>358</x:v>
      </x:c>
      <x:c r="K746" s="55" t="n">
        <x:v>30462</x:v>
      </x:c>
      <x:c r="L746" s="55" t="n">
        <x:v>5766</x:v>
      </x:c>
      <x:c r="M746" s="55" t="n">
        <x:v>869</x:v>
      </x:c>
      <x:c r="N746" s="55" t="n">
        <x:v>2813</x:v>
      </x:c>
      <x:c r="O746" s="55" t="n">
        <x:v>2084</x:v>
      </x:c>
      <x:c r="P746" s="55" t="n">
        <x:v>586</x:v>
      </x:c>
      <x:c r="Q746" s="55" t="n">
        <x:v>2420</x:v>
      </x:c>
      <x:c r="R746" s="55" t="n">
        <x:v>1773</x:v>
      </x:c>
      <x:c r="S746" s="55" t="n">
        <x:v>3062</x:v>
      </x:c>
      <x:c r="T746" s="55" t="n">
        <x:v>1332</x:v>
      </x:c>
      <x:c r="U746" s="55" t="n">
        <x:v>1752</x:v>
      </x:c>
      <x:c r="V746" s="55" t="n">
        <x:v>10404</x:v>
      </x:c>
      <x:c r="W746" s="55" t="n">
        <x:v>7497</x:v>
      </x:c>
      <x:c r="X746" s="55" t="n">
        <x:v>2907</x:v>
      </x:c>
      <x:c r="Y746" s="55" t="n">
        <x:v>2598</x:v>
      </x:c>
      <x:c r="Z746" s="55" t="n">
        <x:v>4286</x:v>
      </x:c>
      <x:c r="AA746" s="55" t="n">
        <x:v>3076</x:v>
      </x:c>
      <x:c r="AB746" s="55" t="n">
        <x:v>917</x:v>
      </x:c>
      <x:c r="AC746" s="55" t="n">
        <x:v>8471</x:v>
      </x:c>
      <x:c r="AD746" s="55" t="n">
        <x:v>3346</x:v>
      </x:c>
      <x:c r="AE746" s="55" t="n">
        <x:v>10506</x:v>
      </x:c>
      <x:c r="AF746" s="55" t="n">
        <x:v>10404</x:v>
      </x:c>
      <x:c r="AG746" s="55" t="n">
        <x:v>102</x:v>
      </x:c>
      <x:c r="AH746" s="55" t="n">
        <x:v>546</x:v>
      </x:c>
      <x:c r="AI746" s="55" t="n">
        <x:v>9858</x:v>
      </x:c>
      <x:c r="AJ746" s="55" t="n">
        <x:v>521</x:v>
      </x:c>
      <x:c r="AK746" s="55" t="n">
        <x:v>630</x:v>
      </x:c>
      <x:c r="AL746" s="55" t="n">
        <x:v>1531</x:v>
      </x:c>
      <x:c r="AM746" s="55" t="n">
        <x:v>4846</x:v>
      </x:c>
      <x:c r="AN746" s="55" t="n">
        <x:v>2790</x:v>
      </x:c>
      <x:c r="AO746" s="55" t="n">
        <x:v>86</x:v>
      </x:c>
      <x:c r="AP746" s="55" t="n">
        <x:v>2563</x:v>
      </x:c>
      <x:c r="AQ746" s="55" t="n">
        <x:v>971</x:v>
      </x:c>
    </x:row>
    <x:row r="747">
      <x:c r="A747" s="54" t="str">
        <x:v>T1_SHARED_CATCHMENT</x:v>
      </x:c>
      <x:c r="B747" s="54" t="n">
        <x:v>741</x:v>
      </x:c>
      <x:c r="C747" s="54" t="str">
        <x:v>NYC-V2-R01</x:v>
      </x:c>
      <x:c r="D747" s="54" t="str">
        <x:v>V2</x:v>
      </x:c>
      <x:c r="E747" s="54" t="str">
        <x:v>ADMITTED</x:v>
      </x:c>
      <x:c r="F747" s="55" t="n">
        <x:v>30363</x:v>
      </x:c>
      <x:c r="G747" s="55" t="n">
        <x:v>6338</x:v>
      </x:c>
      <x:c r="H747" s="55" t="n">
        <x:v>3733</x:v>
      </x:c>
      <x:c r="I747" s="55" t="n">
        <x:v>1384</x:v>
      </x:c>
      <x:c r="J747" s="55" t="n">
        <x:v>71</x:v>
      </x:c>
      <x:c r="K747" s="55" t="n">
        <x:v>30363</x:v>
      </x:c>
      <x:c r="L747" s="55" t="n">
        <x:v>5776</x:v>
      </x:c>
      <x:c r="M747" s="55" t="n">
        <x:v>1247</x:v>
      </x:c>
      <x:c r="N747" s="55" t="n">
        <x:v>2288</x:v>
      </x:c>
      <x:c r="O747" s="55" t="n">
        <x:v>2241</x:v>
      </x:c>
      <x:c r="P747" s="55" t="n">
        <x:v>1077</x:v>
      </x:c>
      <x:c r="Q747" s="55" t="n">
        <x:v>3497</x:v>
      </x:c>
      <x:c r="R747" s="55" t="n">
        <x:v>2071</x:v>
      </x:c>
      <x:c r="S747" s="55" t="n">
        <x:v>2196</x:v>
      </x:c>
      <x:c r="T747" s="55" t="n">
        <x:v>1735</x:v>
      </x:c>
      <x:c r="U747" s="55" t="n">
        <x:v>1804</x:v>
      </x:c>
      <x:c r="V747" s="55" t="n">
        <x:v>10505</x:v>
      </x:c>
      <x:c r="W747" s="55" t="n">
        <x:v>7174</x:v>
      </x:c>
      <x:c r="X747" s="55" t="n">
        <x:v>3331</x:v>
      </x:c>
      <x:c r="Y747" s="55" t="n">
        <x:v>2894</x:v>
      </x:c>
      <x:c r="Z747" s="55" t="n">
        <x:v>3701</x:v>
      </x:c>
      <x:c r="AA747" s="55" t="n">
        <x:v>3733</x:v>
      </x:c>
      <x:c r="AB747" s="55" t="n">
        <x:v>1078</x:v>
      </x:c>
      <x:c r="AC747" s="55" t="n">
        <x:v>8482</x:v>
      </x:c>
      <x:c r="AD747" s="55" t="n">
        <x:v>2773</x:v>
      </x:c>
      <x:c r="AE747" s="55" t="n">
        <x:v>10631</x:v>
      </x:c>
      <x:c r="AF747" s="55" t="n">
        <x:v>10505</x:v>
      </x:c>
      <x:c r="AG747" s="55" t="n">
        <x:v>126</x:v>
      </x:c>
      <x:c r="AH747" s="55" t="n">
        <x:v>669</x:v>
      </x:c>
      <x:c r="AI747" s="55" t="n">
        <x:v>9836</x:v>
      </x:c>
      <x:c r="AJ747" s="55" t="n">
        <x:v>396</x:v>
      </x:c>
      <x:c r="AK747" s="55" t="n">
        <x:v>937</x:v>
      </x:c>
      <x:c r="AL747" s="55" t="n">
        <x:v>1333</x:v>
      </x:c>
      <x:c r="AM747" s="55" t="n">
        <x:v>5012</x:v>
      </x:c>
      <x:c r="AN747" s="55" t="n">
        <x:v>2696</x:v>
      </x:c>
      <x:c r="AO747" s="55" t="n">
        <x:v>131</x:v>
      </x:c>
      <x:c r="AP747" s="55" t="n">
        <x:v>2386</x:v>
      </x:c>
      <x:c r="AQ747" s="55" t="n">
        <x:v>1041</x:v>
      </x:c>
    </x:row>
    <x:row r="748">
      <x:c r="A748" s="54" t="str">
        <x:v>T1_SHARED_CATCHMENT</x:v>
      </x:c>
      <x:c r="B748" s="54" t="n">
        <x:v>742</x:v>
      </x:c>
      <x:c r="C748" s="54" t="str">
        <x:v>NYC-V2-R01</x:v>
      </x:c>
      <x:c r="D748" s="54" t="str">
        <x:v>V2</x:v>
      </x:c>
      <x:c r="E748" s="54" t="str">
        <x:v>ADMITTED</x:v>
      </x:c>
      <x:c r="F748" s="55" t="n">
        <x:v>30651</x:v>
      </x:c>
      <x:c r="G748" s="55" t="n">
        <x:v>6839</x:v>
      </x:c>
      <x:c r="H748" s="55" t="n">
        <x:v>3283</x:v>
      </x:c>
      <x:c r="I748" s="55" t="n">
        <x:v>1188</x:v>
      </x:c>
      <x:c r="J748" s="55" t="n">
        <x:v>164</x:v>
      </x:c>
      <x:c r="K748" s="55" t="n">
        <x:v>30651</x:v>
      </x:c>
      <x:c r="L748" s="55" t="n">
        <x:v>5919</x:v>
      </x:c>
      <x:c r="M748" s="55" t="n">
        <x:v>1518</x:v>
      </x:c>
      <x:c r="N748" s="55" t="n">
        <x:v>2811</x:v>
      </x:c>
      <x:c r="O748" s="55" t="n">
        <x:v>1590</x:v>
      </x:c>
      <x:c r="P748" s="55" t="n">
        <x:v>410</x:v>
      </x:c>
      <x:c r="Q748" s="55" t="n">
        <x:v>2557</x:v>
      </x:c>
      <x:c r="R748" s="55" t="n">
        <x:v>2037</x:v>
      </x:c>
      <x:c r="S748" s="55" t="n">
        <x:v>2412</x:v>
      </x:c>
      <x:c r="T748" s="55" t="n">
        <x:v>1258</x:v>
      </x:c>
      <x:c r="U748" s="55" t="n">
        <x:v>1827</x:v>
      </x:c>
      <x:c r="V748" s="55" t="n">
        <x:v>10387</x:v>
      </x:c>
      <x:c r="W748" s="55" t="n">
        <x:v>7304</x:v>
      </x:c>
      <x:c r="X748" s="55" t="n">
        <x:v>3083</x:v>
      </x:c>
      <x:c r="Y748" s="55" t="n">
        <x:v>2632</x:v>
      </x:c>
      <x:c r="Z748" s="55" t="n">
        <x:v>3577</x:v>
      </x:c>
      <x:c r="AA748" s="55" t="n">
        <x:v>3031</x:v>
      </x:c>
      <x:c r="AB748" s="55" t="n">
        <x:v>1253</x:v>
      </x:c>
      <x:c r="AC748" s="55" t="n">
        <x:v>8571</x:v>
      </x:c>
      <x:c r="AD748" s="55" t="n">
        <x:v>2741</x:v>
      </x:c>
      <x:c r="AE748" s="55" t="n">
        <x:v>10530</x:v>
      </x:c>
      <x:c r="AF748" s="55" t="n">
        <x:v>10387</x:v>
      </x:c>
      <x:c r="AG748" s="55" t="n">
        <x:v>143</x:v>
      </x:c>
      <x:c r="AH748" s="55" t="n">
        <x:v>147</x:v>
      </x:c>
      <x:c r="AI748" s="55" t="n">
        <x:v>10240</x:v>
      </x:c>
      <x:c r="AJ748" s="55" t="n">
        <x:v>403</x:v>
      </x:c>
      <x:c r="AK748" s="55" t="n">
        <x:v>661</x:v>
      </x:c>
      <x:c r="AL748" s="55" t="n">
        <x:v>1621</x:v>
      </x:c>
      <x:c r="AM748" s="55" t="n">
        <x:v>5309</x:v>
      </x:c>
      <x:c r="AN748" s="55" t="n">
        <x:v>2258</x:v>
      </x:c>
      <x:c r="AO748" s="55" t="n">
        <x:v>135</x:v>
      </x:c>
      <x:c r="AP748" s="55" t="n">
        <x:v>2370</x:v>
      </x:c>
      <x:c r="AQ748" s="55" t="n">
        <x:v>948</x:v>
      </x:c>
    </x:row>
    <x:row r="749">
      <x:c r="A749" s="54" t="str">
        <x:v>T1_SHARED_CATCHMENT</x:v>
      </x:c>
      <x:c r="B749" s="54" t="n">
        <x:v>743</x:v>
      </x:c>
      <x:c r="C749" s="54" t="str">
        <x:v>NYC-V2-R01</x:v>
      </x:c>
      <x:c r="D749" s="54" t="str">
        <x:v>V2</x:v>
      </x:c>
      <x:c r="E749" s="54" t="str">
        <x:v>ADMITTED</x:v>
      </x:c>
      <x:c r="F749" s="55" t="n">
        <x:v>30337</x:v>
      </x:c>
      <x:c r="G749" s="55" t="n">
        <x:v>6042</x:v>
      </x:c>
      <x:c r="H749" s="55" t="n">
        <x:v>2860</x:v>
      </x:c>
      <x:c r="I749" s="55" t="n">
        <x:v>835</x:v>
      </x:c>
      <x:c r="J749" s="55" t="n">
        <x:v>282</x:v>
      </x:c>
      <x:c r="K749" s="55" t="n">
        <x:v>26380</x:v>
      </x:c>
      <x:c r="L749" s="55" t="n">
        <x:v>3118</x:v>
      </x:c>
      <x:c r="M749" s="55" t="n">
        <x:v>256</x:v>
      </x:c>
      <x:c r="N749" s="55" t="n">
        <x:v>1807</x:v>
      </x:c>
      <x:c r="O749" s="55" t="n">
        <x:v>1055</x:v>
      </x:c>
      <x:c r="P749" s="55" t="n">
        <x:v>677</x:v>
      </x:c>
      <x:c r="Q749" s="55" t="n">
        <x:v>2073</x:v>
      </x:c>
      <x:c r="R749" s="55" t="n">
        <x:v>1649</x:v>
      </x:c>
      <x:c r="S749" s="55" t="n">
        <x:v>2054</x:v>
      </x:c>
      <x:c r="T749" s="55" t="n">
        <x:v>1116</x:v>
      </x:c>
      <x:c r="U749" s="55" t="n">
        <x:v>1599</x:v>
      </x:c>
      <x:c r="V749" s="55" t="n">
        <x:v>10088</x:v>
      </x:c>
      <x:c r="W749" s="55" t="n">
        <x:v>7203</x:v>
      </x:c>
      <x:c r="X749" s="55" t="n">
        <x:v>2885</x:v>
      </x:c>
      <x:c r="Y749" s="55" t="n">
        <x:v>2508</x:v>
      </x:c>
      <x:c r="Z749" s="55" t="n">
        <x:v>3393</x:v>
      </x:c>
      <x:c r="AA749" s="55" t="n">
        <x:v>2738</x:v>
      </x:c>
      <x:c r="AB749" s="55" t="n">
        <x:v>750</x:v>
      </x:c>
      <x:c r="AC749" s="55" t="n">
        <x:v>7212</x:v>
      </x:c>
      <x:c r="AD749" s="55" t="n">
        <x:v>2545</x:v>
      </x:c>
      <x:c r="AE749" s="55" t="n">
        <x:v>10116</x:v>
      </x:c>
      <x:c r="AF749" s="55" t="n">
        <x:v>10088</x:v>
      </x:c>
      <x:c r="AG749" s="55" t="n">
        <x:v>28</x:v>
      </x:c>
      <x:c r="AH749" s="55" t="n">
        <x:v>64</x:v>
      </x:c>
      <x:c r="AI749" s="55" t="n">
        <x:v>10024</x:v>
      </x:c>
      <x:c r="AJ749" s="55" t="n">
        <x:v>162</x:v>
      </x:c>
      <x:c r="AK749" s="55" t="n">
        <x:v>940</x:v>
      </x:c>
      <x:c r="AL749" s="55" t="n">
        <x:v>1738</x:v>
      </x:c>
      <x:c r="AM749" s="55" t="n">
        <x:v>4900</x:v>
      </x:c>
      <x:c r="AN749" s="55" t="n">
        <x:v>2348</x:v>
      </x:c>
      <x:c r="AO749" s="55" t="n">
        <x:v>0</x:v>
      </x:c>
      <x:c r="AP749" s="55" t="n">
        <x:v>2259</x:v>
      </x:c>
      <x:c r="AQ749" s="55" t="n">
        <x:v>947</x:v>
      </x:c>
    </x:row>
    <x:row r="750">
      <x:c r="A750" s="54" t="str">
        <x:v>T1_SHARED_CATCHMENT</x:v>
      </x:c>
      <x:c r="B750" s="54" t="n">
        <x:v>744</x:v>
      </x:c>
      <x:c r="C750" s="54" t="str">
        <x:v>NYC-V2-R01</x:v>
      </x:c>
      <x:c r="D750" s="54" t="str">
        <x:v>V2</x:v>
      </x:c>
      <x:c r="E750" s="54" t="str">
        <x:v>ADMITTED</x:v>
      </x:c>
      <x:c r="F750" s="55" t="n">
        <x:v>32140</x:v>
      </x:c>
      <x:c r="G750" s="55" t="n">
        <x:v>9088</x:v>
      </x:c>
      <x:c r="H750" s="55" t="n">
        <x:v>3373</x:v>
      </x:c>
      <x:c r="I750" s="55" t="n">
        <x:v>1097</x:v>
      </x:c>
      <x:c r="J750" s="55" t="n">
        <x:v>314</x:v>
      </x:c>
      <x:c r="K750" s="55" t="n">
        <x:v>31958</x:v>
      </x:c>
      <x:c r="L750" s="55" t="n">
        <x:v>6329</x:v>
      </x:c>
      <x:c r="M750" s="55" t="n">
        <x:v>1507</x:v>
      </x:c>
      <x:c r="N750" s="55" t="n">
        <x:v>2839</x:v>
      </x:c>
      <x:c r="O750" s="55" t="n">
        <x:v>1983</x:v>
      </x:c>
      <x:c r="P750" s="55" t="n">
        <x:v>457</x:v>
      </x:c>
      <x:c r="Q750" s="55" t="n">
        <x:v>2870</x:v>
      </x:c>
      <x:c r="R750" s="55" t="n">
        <x:v>2314</x:v>
      </x:c>
      <x:c r="S750" s="55" t="n">
        <x:v>2547</x:v>
      </x:c>
      <x:c r="T750" s="55" t="n">
        <x:v>1327</x:v>
      </x:c>
      <x:c r="U750" s="55" t="n">
        <x:v>2293</x:v>
      </x:c>
      <x:c r="V750" s="55" t="n">
        <x:v>10344</x:v>
      </x:c>
      <x:c r="W750" s="55" t="n">
        <x:v>7354</x:v>
      </x:c>
      <x:c r="X750" s="55" t="n">
        <x:v>2990</x:v>
      </x:c>
      <x:c r="Y750" s="55" t="n">
        <x:v>2775</x:v>
      </x:c>
      <x:c r="Z750" s="55" t="n">
        <x:v>3552</x:v>
      </x:c>
      <x:c r="AA750" s="55" t="n">
        <x:v>3373</x:v>
      </x:c>
      <x:c r="AB750" s="55" t="n">
        <x:v>1368</x:v>
      </x:c>
      <x:c r="AC750" s="55" t="n">
        <x:v>7919</x:v>
      </x:c>
      <x:c r="AD750" s="55" t="n">
        <x:v>3278</x:v>
      </x:c>
      <x:c r="AE750" s="55" t="n">
        <x:v>10387</x:v>
      </x:c>
      <x:c r="AF750" s="55" t="n">
        <x:v>10344</x:v>
      </x:c>
      <x:c r="AG750" s="55" t="n">
        <x:v>43</x:v>
      </x:c>
      <x:c r="AH750" s="55" t="n">
        <x:v>484</x:v>
      </x:c>
      <x:c r="AI750" s="55" t="n">
        <x:v>9860</x:v>
      </x:c>
      <x:c r="AJ750" s="55" t="n">
        <x:v>208</x:v>
      </x:c>
      <x:c r="AK750" s="55" t="n">
        <x:v>830</x:v>
      </x:c>
      <x:c r="AL750" s="55" t="n">
        <x:v>1178</x:v>
      </x:c>
      <x:c r="AM750" s="55" t="n">
        <x:v>5088</x:v>
      </x:c>
      <x:c r="AN750" s="55" t="n">
        <x:v>3021</x:v>
      </x:c>
      <x:c r="AO750" s="55" t="n">
        <x:v>19</x:v>
      </x:c>
      <x:c r="AP750" s="55" t="n">
        <x:v>2799</x:v>
      </x:c>
      <x:c r="AQ750" s="55" t="n">
        <x:v>980</x:v>
      </x:c>
    </x:row>
    <x:row r="751">
      <x:c r="A751" s="54" t="str">
        <x:v>T1_SHARED_CATCHMENT</x:v>
      </x:c>
      <x:c r="B751" s="54" t="n">
        <x:v>745</x:v>
      </x:c>
      <x:c r="C751" s="54" t="str">
        <x:v>NYC-V2-R01</x:v>
      </x:c>
      <x:c r="D751" s="54" t="str">
        <x:v>V2</x:v>
      </x:c>
      <x:c r="E751" s="54" t="str">
        <x:v>ADMITTED</x:v>
      </x:c>
      <x:c r="F751" s="55" t="n">
        <x:v>30545</x:v>
      </x:c>
      <x:c r="G751" s="55" t="n">
        <x:v>8180</x:v>
      </x:c>
      <x:c r="H751" s="55" t="n">
        <x:v>3449</x:v>
      </x:c>
      <x:c r="I751" s="55" t="n">
        <x:v>1329</x:v>
      </x:c>
      <x:c r="J751" s="55" t="n">
        <x:v>211</x:v>
      </x:c>
      <x:c r="K751" s="55" t="n">
        <x:v>30545</x:v>
      </x:c>
      <x:c r="L751" s="55" t="n">
        <x:v>6879</x:v>
      </x:c>
      <x:c r="M751" s="55" t="n">
        <x:v>2166</x:v>
      </x:c>
      <x:c r="N751" s="55" t="n">
        <x:v>2990</x:v>
      </x:c>
      <x:c r="O751" s="55" t="n">
        <x:v>1723</x:v>
      </x:c>
      <x:c r="P751" s="55" t="n">
        <x:v>953</x:v>
      </x:c>
      <x:c r="Q751" s="55" t="n">
        <x:v>2999</x:v>
      </x:c>
      <x:c r="R751" s="55" t="n">
        <x:v>2289</x:v>
      </x:c>
      <x:c r="S751" s="55" t="n">
        <x:v>2743</x:v>
      </x:c>
      <x:c r="T751" s="55" t="n">
        <x:v>1249</x:v>
      </x:c>
      <x:c r="U751" s="55" t="n">
        <x:v>2039</x:v>
      </x:c>
      <x:c r="V751" s="55" t="n">
        <x:v>10883</x:v>
      </x:c>
      <x:c r="W751" s="55" t="n">
        <x:v>7934</x:v>
      </x:c>
      <x:c r="X751" s="55" t="n">
        <x:v>2949</x:v>
      </x:c>
      <x:c r="Y751" s="55" t="n">
        <x:v>2558</x:v>
      </x:c>
      <x:c r="Z751" s="55" t="n">
        <x:v>3674</x:v>
      </x:c>
      <x:c r="AA751" s="55" t="n">
        <x:v>3449</x:v>
      </x:c>
      <x:c r="AB751" s="55" t="n">
        <x:v>1004</x:v>
      </x:c>
      <x:c r="AC751" s="55" t="n">
        <x:v>8497</x:v>
      </x:c>
      <x:c r="AD751" s="55" t="n">
        <x:v>2255</x:v>
      </x:c>
      <x:c r="AE751" s="55" t="n">
        <x:v>11030</x:v>
      </x:c>
      <x:c r="AF751" s="55" t="n">
        <x:v>10883</x:v>
      </x:c>
      <x:c r="AG751" s="55" t="n">
        <x:v>147</x:v>
      </x:c>
      <x:c r="AH751" s="55" t="n">
        <x:v>684</x:v>
      </x:c>
      <x:c r="AI751" s="55" t="n">
        <x:v>10199</x:v>
      </x:c>
      <x:c r="AJ751" s="55" t="n">
        <x:v>511</x:v>
      </x:c>
      <x:c r="AK751" s="55" t="n">
        <x:v>823</x:v>
      </x:c>
      <x:c r="AL751" s="55" t="n">
        <x:v>1731</x:v>
      </x:c>
      <x:c r="AM751" s="55" t="n">
        <x:v>5175</x:v>
      </x:c>
      <x:c r="AN751" s="55" t="n">
        <x:v>2612</x:v>
      </x:c>
      <x:c r="AO751" s="55" t="n">
        <x:v>31</x:v>
      </x:c>
      <x:c r="AP751" s="55" t="n">
        <x:v>2308</x:v>
      </x:c>
      <x:c r="AQ751" s="55" t="n">
        <x:v>915</x:v>
      </x:c>
    </x:row>
    <x:row r="752">
      <x:c r="A752" s="54" t="str">
        <x:v>T1_SHARED_CATCHMENT</x:v>
      </x:c>
      <x:c r="B752" s="54" t="n">
        <x:v>746</x:v>
      </x:c>
      <x:c r="C752" s="54" t="str">
        <x:v>NYC-V2-R01</x:v>
      </x:c>
      <x:c r="D752" s="54" t="str">
        <x:v>V2</x:v>
      </x:c>
      <x:c r="E752" s="54" t="str">
        <x:v>ADMITTED</x:v>
      </x:c>
      <x:c r="F752" s="55" t="n">
        <x:v>31301</x:v>
      </x:c>
      <x:c r="G752" s="55" t="n">
        <x:v>6975</x:v>
      </x:c>
      <x:c r="H752" s="55" t="n">
        <x:v>2749</x:v>
      </x:c>
      <x:c r="I752" s="55" t="n">
        <x:v>548</x:v>
      </x:c>
      <x:c r="J752" s="55" t="n">
        <x:v>0</x:v>
      </x:c>
      <x:c r="K752" s="55" t="n">
        <x:v>31301</x:v>
      </x:c>
      <x:c r="L752" s="55" t="n">
        <x:v>4871</x:v>
      </x:c>
      <x:c r="M752" s="55" t="n">
        <x:v>580</x:v>
      </x:c>
      <x:c r="N752" s="55" t="n">
        <x:v>2517</x:v>
      </x:c>
      <x:c r="O752" s="55" t="n">
        <x:v>1774</x:v>
      </x:c>
      <x:c r="P752" s="55" t="n">
        <x:v>558</x:v>
      </x:c>
      <x:c r="Q752" s="55" t="n">
        <x:v>1638</x:v>
      </x:c>
      <x:c r="R752" s="55" t="n">
        <x:v>1345</x:v>
      </x:c>
      <x:c r="S752" s="55" t="n">
        <x:v>2533</x:v>
      </x:c>
      <x:c r="T752" s="55" t="n">
        <x:v>1277</x:v>
      </x:c>
      <x:c r="U752" s="55" t="n">
        <x:v>2121</x:v>
      </x:c>
      <x:c r="V752" s="55" t="n">
        <x:v>10413</x:v>
      </x:c>
      <x:c r="W752" s="55" t="n">
        <x:v>7340</x:v>
      </x:c>
      <x:c r="X752" s="55" t="n">
        <x:v>3073</x:v>
      </x:c>
      <x:c r="Y752" s="55" t="n">
        <x:v>2823</x:v>
      </x:c>
      <x:c r="Z752" s="55" t="n">
        <x:v>2908</x:v>
      </x:c>
      <x:c r="AA752" s="55" t="n">
        <x:v>2749</x:v>
      </x:c>
      <x:c r="AB752" s="55" t="n">
        <x:v>527</x:v>
      </x:c>
      <x:c r="AC752" s="55" t="n">
        <x:v>7274</x:v>
      </x:c>
      <x:c r="AD752" s="55" t="n">
        <x:v>2644</x:v>
      </x:c>
      <x:c r="AE752" s="55" t="n">
        <x:v>10534</x:v>
      </x:c>
      <x:c r="AF752" s="55" t="n">
        <x:v>10413</x:v>
      </x:c>
      <x:c r="AG752" s="55" t="n">
        <x:v>121</x:v>
      </x:c>
      <x:c r="AH752" s="55" t="n">
        <x:v>397</x:v>
      </x:c>
      <x:c r="AI752" s="55" t="n">
        <x:v>10016</x:v>
      </x:c>
      <x:c r="AJ752" s="55" t="n">
        <x:v>409</x:v>
      </x:c>
      <x:c r="AK752" s="55" t="n">
        <x:v>684</x:v>
      </x:c>
      <x:c r="AL752" s="55" t="n">
        <x:v>1372</x:v>
      </x:c>
      <x:c r="AM752" s="55" t="n">
        <x:v>5663</x:v>
      </x:c>
      <x:c r="AN752" s="55" t="n">
        <x:v>2285</x:v>
      </x:c>
      <x:c r="AO752" s="55" t="n">
        <x:v>0</x:v>
      </x:c>
      <x:c r="AP752" s="55" t="n">
        <x:v>2334</x:v>
      </x:c>
      <x:c r="AQ752" s="55" t="n">
        <x:v>924</x:v>
      </x:c>
    </x:row>
    <x:row r="753">
      <x:c r="A753" s="54" t="str">
        <x:v>T1_SHARED_CATCHMENT</x:v>
      </x:c>
      <x:c r="B753" s="54" t="n">
        <x:v>747</x:v>
      </x:c>
      <x:c r="C753" s="54" t="str">
        <x:v>NYC-V2-R01</x:v>
      </x:c>
      <x:c r="D753" s="54" t="str">
        <x:v>V2</x:v>
      </x:c>
      <x:c r="E753" s="54" t="str">
        <x:v>ADMITTED</x:v>
      </x:c>
      <x:c r="F753" s="55" t="n">
        <x:v>32112</x:v>
      </x:c>
      <x:c r="G753" s="55" t="n">
        <x:v>6822</x:v>
      </x:c>
      <x:c r="H753" s="55" t="n">
        <x:v>3078</x:v>
      </x:c>
      <x:c r="I753" s="55" t="n">
        <x:v>1504</x:v>
      </x:c>
      <x:c r="J753" s="55" t="n">
        <x:v>250</x:v>
      </x:c>
      <x:c r="K753" s="55" t="n">
        <x:v>32112</x:v>
      </x:c>
      <x:c r="L753" s="55" t="n">
        <x:v>5736</x:v>
      </x:c>
      <x:c r="M753" s="55" t="n">
        <x:v>1163</x:v>
      </x:c>
      <x:c r="N753" s="55" t="n">
        <x:v>2886</x:v>
      </x:c>
      <x:c r="O753" s="55" t="n">
        <x:v>1687</x:v>
      </x:c>
      <x:c r="P753" s="55" t="n">
        <x:v>1153</x:v>
      </x:c>
      <x:c r="Q753" s="55" t="n">
        <x:v>2323</x:v>
      </x:c>
      <x:c r="R753" s="55" t="n">
        <x:v>2258</x:v>
      </x:c>
      <x:c r="S753" s="55" t="n">
        <x:v>2989</x:v>
      </x:c>
      <x:c r="T753" s="55" t="n">
        <x:v>923</x:v>
      </x:c>
      <x:c r="U753" s="55" t="n">
        <x:v>2472</x:v>
      </x:c>
      <x:c r="V753" s="55" t="n">
        <x:v>10215</x:v>
      </x:c>
      <x:c r="W753" s="55" t="n">
        <x:v>7088</x:v>
      </x:c>
      <x:c r="X753" s="55" t="n">
        <x:v>3127</x:v>
      </x:c>
      <x:c r="Y753" s="55" t="n">
        <x:v>2635</x:v>
      </x:c>
      <x:c r="Z753" s="55" t="n">
        <x:v>4070</x:v>
      </x:c>
      <x:c r="AA753" s="55" t="n">
        <x:v>2895</x:v>
      </x:c>
      <x:c r="AB753" s="55" t="n">
        <x:v>1129</x:v>
      </x:c>
      <x:c r="AC753" s="55" t="n">
        <x:v>8791</x:v>
      </x:c>
      <x:c r="AD753" s="55" t="n">
        <x:v>3144</x:v>
      </x:c>
      <x:c r="AE753" s="55" t="n">
        <x:v>10365</x:v>
      </x:c>
      <x:c r="AF753" s="55" t="n">
        <x:v>10215</x:v>
      </x:c>
      <x:c r="AG753" s="55" t="n">
        <x:v>150</x:v>
      </x:c>
      <x:c r="AH753" s="55" t="n">
        <x:v>426</x:v>
      </x:c>
      <x:c r="AI753" s="55" t="n">
        <x:v>9789</x:v>
      </x:c>
      <x:c r="AJ753" s="55" t="n">
        <x:v>452</x:v>
      </x:c>
      <x:c r="AK753" s="55" t="n">
        <x:v>1042</x:v>
      </x:c>
      <x:c r="AL753" s="55" t="n">
        <x:v>1626</x:v>
      </x:c>
      <x:c r="AM753" s="55" t="n">
        <x:v>4338</x:v>
      </x:c>
      <x:c r="AN753" s="55" t="n">
        <x:v>2727</x:v>
      </x:c>
      <x:c r="AO753" s="55" t="n">
        <x:v>30</x:v>
      </x:c>
      <x:c r="AP753" s="55" t="n">
        <x:v>2437</x:v>
      </x:c>
      <x:c r="AQ753" s="55" t="n">
        <x:v>960</x:v>
      </x:c>
    </x:row>
    <x:row r="754">
      <x:c r="A754" s="54" t="str">
        <x:v>T1_SHARED_CATCHMENT</x:v>
      </x:c>
      <x:c r="B754" s="54" t="n">
        <x:v>748</x:v>
      </x:c>
      <x:c r="C754" s="54" t="str">
        <x:v>NYC-V2-R01</x:v>
      </x:c>
      <x:c r="D754" s="54" t="str">
        <x:v>V2</x:v>
      </x:c>
      <x:c r="E754" s="54" t="str">
        <x:v>ADMITTED</x:v>
      </x:c>
      <x:c r="F754" s="55" t="n">
        <x:v>32954</x:v>
      </x:c>
      <x:c r="G754" s="55" t="n">
        <x:v>8590</x:v>
      </x:c>
      <x:c r="H754" s="55" t="n">
        <x:v>2934</x:v>
      </x:c>
      <x:c r="I754" s="55" t="n">
        <x:v>1139</x:v>
      </x:c>
      <x:c r="J754" s="55" t="n">
        <x:v>139</x:v>
      </x:c>
      <x:c r="K754" s="55" t="n">
        <x:v>31289</x:v>
      </x:c>
      <x:c r="L754" s="55" t="n">
        <x:v>5124</x:v>
      </x:c>
      <x:c r="M754" s="55" t="n">
        <x:v>1681</x:v>
      </x:c>
      <x:c r="N754" s="55" t="n">
        <x:v>2096</x:v>
      </x:c>
      <x:c r="O754" s="55" t="n">
        <x:v>1347</x:v>
      </x:c>
      <x:c r="P754" s="55" t="n">
        <x:v>753</x:v>
      </x:c>
      <x:c r="Q754" s="55" t="n">
        <x:v>2928</x:v>
      </x:c>
      <x:c r="R754" s="55" t="n">
        <x:v>1884</x:v>
      </x:c>
      <x:c r="S754" s="55" t="n">
        <x:v>2277</x:v>
      </x:c>
      <x:c r="T754" s="55" t="n">
        <x:v>1233</x:v>
      </x:c>
      <x:c r="U754" s="55" t="n">
        <x:v>1789</x:v>
      </x:c>
      <x:c r="V754" s="55" t="n">
        <x:v>10421</x:v>
      </x:c>
      <x:c r="W754" s="55" t="n">
        <x:v>7072</x:v>
      </x:c>
      <x:c r="X754" s="55" t="n">
        <x:v>3349</x:v>
      </x:c>
      <x:c r="Y754" s="55" t="n">
        <x:v>2973</x:v>
      </x:c>
      <x:c r="Z754" s="55" t="n">
        <x:v>3806</x:v>
      </x:c>
      <x:c r="AA754" s="55" t="n">
        <x:v>2553</x:v>
      </x:c>
      <x:c r="AB754" s="55" t="n">
        <x:v>824</x:v>
      </x:c>
      <x:c r="AC754" s="55" t="n">
        <x:v>8009</x:v>
      </x:c>
      <x:c r="AD754" s="55" t="n">
        <x:v>2995</x:v>
      </x:c>
      <x:c r="AE754" s="55" t="n">
        <x:v>10505</x:v>
      </x:c>
      <x:c r="AF754" s="55" t="n">
        <x:v>10421</x:v>
      </x:c>
      <x:c r="AG754" s="55" t="n">
        <x:v>84</x:v>
      </x:c>
      <x:c r="AH754" s="55" t="n">
        <x:v>632</x:v>
      </x:c>
      <x:c r="AI754" s="55" t="n">
        <x:v>9789</x:v>
      </x:c>
      <x:c r="AJ754" s="55" t="n">
        <x:v>626</x:v>
      </x:c>
      <x:c r="AK754" s="55" t="n">
        <x:v>978</x:v>
      </x:c>
      <x:c r="AL754" s="55" t="n">
        <x:v>1294</x:v>
      </x:c>
      <x:c r="AM754" s="55" t="n">
        <x:v>5230</x:v>
      </x:c>
      <x:c r="AN754" s="55" t="n">
        <x:v>2240</x:v>
      </x:c>
      <x:c r="AO754" s="55" t="n">
        <x:v>53</x:v>
      </x:c>
      <x:c r="AP754" s="55" t="n">
        <x:v>2320</x:v>
      </x:c>
      <x:c r="AQ754" s="55" t="n">
        <x:v>938</x:v>
      </x:c>
    </x:row>
    <x:row r="755">
      <x:c r="A755" s="54" t="str">
        <x:v>T1_SHARED_CATCHMENT</x:v>
      </x:c>
      <x:c r="B755" s="54" t="n">
        <x:v>749</x:v>
      </x:c>
      <x:c r="C755" s="54" t="str">
        <x:v>NYC-V2-R01</x:v>
      </x:c>
      <x:c r="D755" s="54" t="str">
        <x:v>V2</x:v>
      </x:c>
      <x:c r="E755" s="54" t="str">
        <x:v>ADMITTED</x:v>
      </x:c>
      <x:c r="F755" s="55" t="n">
        <x:v>30462</x:v>
      </x:c>
      <x:c r="G755" s="55" t="n">
        <x:v>7817</x:v>
      </x:c>
      <x:c r="H755" s="55" t="n">
        <x:v>2853</x:v>
      </x:c>
      <x:c r="I755" s="55" t="n">
        <x:v>1244</x:v>
      </x:c>
      <x:c r="J755" s="55" t="n">
        <x:v>96</x:v>
      </x:c>
      <x:c r="K755" s="55" t="n">
        <x:v>30459</x:v>
      </x:c>
      <x:c r="L755" s="55" t="n">
        <x:v>4992</x:v>
      </x:c>
      <x:c r="M755" s="55" t="n">
        <x:v>1307</x:v>
      </x:c>
      <x:c r="N755" s="55" t="n">
        <x:v>2192</x:v>
      </x:c>
      <x:c r="O755" s="55" t="n">
        <x:v>1493</x:v>
      </x:c>
      <x:c r="P755" s="55" t="n">
        <x:v>879</x:v>
      </x:c>
      <x:c r="Q755" s="55" t="n">
        <x:v>2255</x:v>
      </x:c>
      <x:c r="R755" s="55" t="n">
        <x:v>1609</x:v>
      </x:c>
      <x:c r="S755" s="55" t="n">
        <x:v>2543</x:v>
      </x:c>
      <x:c r="T755" s="55" t="n">
        <x:v>1048</x:v>
      </x:c>
      <x:c r="U755" s="55" t="n">
        <x:v>2027</x:v>
      </x:c>
      <x:c r="V755" s="55" t="n">
        <x:v>9746</x:v>
      </x:c>
      <x:c r="W755" s="55" t="n">
        <x:v>6989</x:v>
      </x:c>
      <x:c r="X755" s="55" t="n">
        <x:v>2757</x:v>
      </x:c>
      <x:c r="Y755" s="55" t="n">
        <x:v>2317</x:v>
      </x:c>
      <x:c r="Z755" s="55" t="n">
        <x:v>3656</x:v>
      </x:c>
      <x:c r="AA755" s="55" t="n">
        <x:v>2853</x:v>
      </x:c>
      <x:c r="AB755" s="55" t="n">
        <x:v>904</x:v>
      </x:c>
      <x:c r="AC755" s="55" t="n">
        <x:v>8078</x:v>
      </x:c>
      <x:c r="AD755" s="55" t="n">
        <x:v>2877</x:v>
      </x:c>
      <x:c r="AE755" s="55" t="n">
        <x:v>9890</x:v>
      </x:c>
      <x:c r="AF755" s="55" t="n">
        <x:v>9746</x:v>
      </x:c>
      <x:c r="AG755" s="55" t="n">
        <x:v>144</x:v>
      </x:c>
      <x:c r="AH755" s="55" t="n">
        <x:v>138</x:v>
      </x:c>
      <x:c r="AI755" s="55" t="n">
        <x:v>9608</x:v>
      </x:c>
      <x:c r="AJ755" s="55" t="n">
        <x:v>382</x:v>
      </x:c>
      <x:c r="AK755" s="55" t="n">
        <x:v>944</x:v>
      </x:c>
      <x:c r="AL755" s="55" t="n">
        <x:v>1220</x:v>
      </x:c>
      <x:c r="AM755" s="55" t="n">
        <x:v>4466</x:v>
      </x:c>
      <x:c r="AN755" s="55" t="n">
        <x:v>2734</x:v>
      </x:c>
      <x:c r="AO755" s="55" t="n">
        <x:v>0</x:v>
      </x:c>
      <x:c r="AP755" s="55" t="n">
        <x:v>2303</x:v>
      </x:c>
      <x:c r="AQ755" s="55" t="n">
        <x:v>948</x:v>
      </x:c>
    </x:row>
    <x:row r="756">
      <x:c r="A756" s="54" t="str">
        <x:v>T1_SHARED_CATCHMENT</x:v>
      </x:c>
      <x:c r="B756" s="54" t="n">
        <x:v>750</x:v>
      </x:c>
      <x:c r="C756" s="54" t="str">
        <x:v>NYC-V2-R01</x:v>
      </x:c>
      <x:c r="D756" s="54" t="str">
        <x:v>V2</x:v>
      </x:c>
      <x:c r="E756" s="54" t="str">
        <x:v>ADMITTED</x:v>
      </x:c>
      <x:c r="F756" s="55" t="n">
        <x:v>30161</x:v>
      </x:c>
      <x:c r="G756" s="55" t="n">
        <x:v>7107</x:v>
      </x:c>
      <x:c r="H756" s="55" t="n">
        <x:v>3510</x:v>
      </x:c>
      <x:c r="I756" s="55" t="n">
        <x:v>1548</x:v>
      </x:c>
      <x:c r="J756" s="55" t="n">
        <x:v>233</x:v>
      </x:c>
      <x:c r="K756" s="55" t="n">
        <x:v>28628</x:v>
      </x:c>
      <x:c r="L756" s="55" t="n">
        <x:v>5196</x:v>
      </x:c>
      <x:c r="M756" s="55" t="n">
        <x:v>596</x:v>
      </x:c>
      <x:c r="N756" s="55" t="n">
        <x:v>2592</x:v>
      </x:c>
      <x:c r="O756" s="55" t="n">
        <x:v>2008</x:v>
      </x:c>
      <x:c r="P756" s="55" t="n">
        <x:v>1110</x:v>
      </x:c>
      <x:c r="Q756" s="55" t="n">
        <x:v>2113</x:v>
      </x:c>
      <x:c r="R756" s="55" t="n">
        <x:v>2090</x:v>
      </x:c>
      <x:c r="S756" s="55" t="n">
        <x:v>3108</x:v>
      </x:c>
      <x:c r="T756" s="55" t="n">
        <x:v>1296</x:v>
      </x:c>
      <x:c r="U756" s="55" t="n">
        <x:v>1911</x:v>
      </x:c>
      <x:c r="V756" s="55" t="n">
        <x:v>10590</x:v>
      </x:c>
      <x:c r="W756" s="55" t="n">
        <x:v>7374</x:v>
      </x:c>
      <x:c r="X756" s="55" t="n">
        <x:v>3216</x:v>
      </x:c>
      <x:c r="Y756" s="55" t="n">
        <x:v>2635</x:v>
      </x:c>
      <x:c r="Z756" s="55" t="n">
        <x:v>3770</x:v>
      </x:c>
      <x:c r="AA756" s="55" t="n">
        <x:v>3486</x:v>
      </x:c>
      <x:c r="AB756" s="55" t="n">
        <x:v>1092</x:v>
      </x:c>
      <x:c r="AC756" s="55" t="n">
        <x:v>8698</x:v>
      </x:c>
      <x:c r="AD756" s="55" t="n">
        <x:v>3192</x:v>
      </x:c>
      <x:c r="AE756" s="55" t="n">
        <x:v>10687</x:v>
      </x:c>
      <x:c r="AF756" s="55" t="n">
        <x:v>10590</x:v>
      </x:c>
      <x:c r="AG756" s="55" t="n">
        <x:v>97</x:v>
      </x:c>
      <x:c r="AH756" s="55" t="n">
        <x:v>554</x:v>
      </x:c>
      <x:c r="AI756" s="55" t="n">
        <x:v>10036</x:v>
      </x:c>
      <x:c r="AJ756" s="55" t="n">
        <x:v>186</x:v>
      </x:c>
      <x:c r="AK756" s="55" t="n">
        <x:v>998</x:v>
      </x:c>
      <x:c r="AL756" s="55" t="n">
        <x:v>1529</x:v>
      </x:c>
      <x:c r="AM756" s="55" t="n">
        <x:v>5308</x:v>
      </x:c>
      <x:c r="AN756" s="55" t="n">
        <x:v>2569</x:v>
      </x:c>
      <x:c r="AO756" s="55" t="n">
        <x:v>0</x:v>
      </x:c>
      <x:c r="AP756" s="55" t="n">
        <x:v>2363</x:v>
      </x:c>
      <x:c r="AQ756" s="55" t="n">
        <x:v>973</x:v>
      </x:c>
    </x:row>
    <x:row r="757">
      <x:c r="A757" s="54" t="str">
        <x:v>T1_SHARED_CATCHMENT</x:v>
      </x:c>
      <x:c r="B757" s="54" t="n">
        <x:v>751</x:v>
      </x:c>
      <x:c r="C757" s="54" t="str">
        <x:v>NYC-V2-R01</x:v>
      </x:c>
      <x:c r="D757" s="54" t="str">
        <x:v>V2</x:v>
      </x:c>
      <x:c r="E757" s="54" t="str">
        <x:v>ADMITTED</x:v>
      </x:c>
      <x:c r="F757" s="55" t="n">
        <x:v>33934</x:v>
      </x:c>
      <x:c r="G757" s="55" t="n">
        <x:v>7910</x:v>
      </x:c>
      <x:c r="H757" s="55" t="n">
        <x:v>3324</x:v>
      </x:c>
      <x:c r="I757" s="55" t="n">
        <x:v>1398</x:v>
      </x:c>
      <x:c r="J757" s="55" t="n">
        <x:v>131</x:v>
      </x:c>
      <x:c r="K757" s="55" t="n">
        <x:v>33934</x:v>
      </x:c>
      <x:c r="L757" s="55" t="n">
        <x:v>6768</x:v>
      </x:c>
      <x:c r="M757" s="55" t="n">
        <x:v>1949</x:v>
      </x:c>
      <x:c r="N757" s="55" t="n">
        <x:v>2546</x:v>
      </x:c>
      <x:c r="O757" s="55" t="n">
        <x:v>2273</x:v>
      </x:c>
      <x:c r="P757" s="55" t="n">
        <x:v>800</x:v>
      </x:c>
      <x:c r="Q757" s="55" t="n">
        <x:v>2299</x:v>
      </x:c>
      <x:c r="R757" s="55" t="n">
        <x:v>1770</x:v>
      </x:c>
      <x:c r="S757" s="55" t="n">
        <x:v>2509</x:v>
      </x:c>
      <x:c r="T757" s="55" t="n">
        <x:v>1594</x:v>
      </x:c>
      <x:c r="U757" s="55" t="n">
        <x:v>1986</x:v>
      </x:c>
      <x:c r="V757" s="55" t="n">
        <x:v>10778</x:v>
      </x:c>
      <x:c r="W757" s="55" t="n">
        <x:v>8075</x:v>
      </x:c>
      <x:c r="X757" s="55" t="n">
        <x:v>2703</x:v>
      </x:c>
      <x:c r="Y757" s="55" t="n">
        <x:v>2630</x:v>
      </x:c>
      <x:c r="Z757" s="55" t="n">
        <x:v>3749</x:v>
      </x:c>
      <x:c r="AA757" s="55" t="n">
        <x:v>3224</x:v>
      </x:c>
      <x:c r="AB757" s="55" t="n">
        <x:v>1082</x:v>
      </x:c>
      <x:c r="AC757" s="55" t="n">
        <x:v>8129</x:v>
      </x:c>
      <x:c r="AD757" s="55" t="n">
        <x:v>2976</x:v>
      </x:c>
      <x:c r="AE757" s="55" t="n">
        <x:v>10906</x:v>
      </x:c>
      <x:c r="AF757" s="55" t="n">
        <x:v>10778</x:v>
      </x:c>
      <x:c r="AG757" s="55" t="n">
        <x:v>128</x:v>
      </x:c>
      <x:c r="AH757" s="55" t="n">
        <x:v>478</x:v>
      </x:c>
      <x:c r="AI757" s="55" t="n">
        <x:v>10300</x:v>
      </x:c>
      <x:c r="AJ757" s="55" t="n">
        <x:v>390</x:v>
      </x:c>
      <x:c r="AK757" s="55" t="n">
        <x:v>860</x:v>
      </x:c>
      <x:c r="AL757" s="55" t="n">
        <x:v>1628</x:v>
      </x:c>
      <x:c r="AM757" s="55" t="n">
        <x:v>5263</x:v>
      </x:c>
      <x:c r="AN757" s="55" t="n">
        <x:v>2598</x:v>
      </x:c>
      <x:c r="AO757" s="55" t="n">
        <x:v>39</x:v>
      </x:c>
      <x:c r="AP757" s="55" t="n">
        <x:v>2637</x:v>
      </x:c>
      <x:c r="AQ757" s="55" t="n">
        <x:v>946</x:v>
      </x:c>
    </x:row>
    <x:row r="758">
      <x:c r="A758" s="54" t="str">
        <x:v>T1_SHARED_CATCHMENT</x:v>
      </x:c>
      <x:c r="B758" s="54" t="n">
        <x:v>752</x:v>
      </x:c>
      <x:c r="C758" s="54" t="str">
        <x:v>NYC-V2-R01</x:v>
      </x:c>
      <x:c r="D758" s="54" t="str">
        <x:v>V2</x:v>
      </x:c>
      <x:c r="E758" s="54" t="str">
        <x:v>ADMITTED</x:v>
      </x:c>
      <x:c r="F758" s="55" t="n">
        <x:v>31346</x:v>
      </x:c>
      <x:c r="G758" s="55" t="n">
        <x:v>8431</x:v>
      </x:c>
      <x:c r="H758" s="55" t="n">
        <x:v>3461</x:v>
      </x:c>
      <x:c r="I758" s="55" t="n">
        <x:v>1089</x:v>
      </x:c>
      <x:c r="J758" s="55" t="n">
        <x:v>15</x:v>
      </x:c>
      <x:c r="K758" s="55" t="n">
        <x:v>29273</x:v>
      </x:c>
      <x:c r="L758" s="55" t="n">
        <x:v>5124</x:v>
      </x:c>
      <x:c r="M758" s="55" t="n">
        <x:v>905</x:v>
      </x:c>
      <x:c r="N758" s="55" t="n">
        <x:v>2468</x:v>
      </x:c>
      <x:c r="O758" s="55" t="n">
        <x:v>1751</x:v>
      </x:c>
      <x:c r="P758" s="55" t="n">
        <x:v>580</x:v>
      </x:c>
      <x:c r="Q758" s="55" t="n">
        <x:v>2409</x:v>
      </x:c>
      <x:c r="R758" s="55" t="n">
        <x:v>1726</x:v>
      </x:c>
      <x:c r="S758" s="55" t="n">
        <x:v>2688</x:v>
      </x:c>
      <x:c r="T758" s="55" t="n">
        <x:v>891</x:v>
      </x:c>
      <x:c r="U758" s="55" t="n">
        <x:v>1962</x:v>
      </x:c>
      <x:c r="V758" s="55" t="n">
        <x:v>11069</x:v>
      </x:c>
      <x:c r="W758" s="55" t="n">
        <x:v>8129</x:v>
      </x:c>
      <x:c r="X758" s="55" t="n">
        <x:v>2940</x:v>
      </x:c>
      <x:c r="Y758" s="55" t="n">
        <x:v>2483</x:v>
      </x:c>
      <x:c r="Z758" s="55" t="n">
        <x:v>3823</x:v>
      </x:c>
      <x:c r="AA758" s="55" t="n">
        <x:v>3461</x:v>
      </x:c>
      <x:c r="AB758" s="55" t="n">
        <x:v>1067</x:v>
      </x:c>
      <x:c r="AC758" s="55" t="n">
        <x:v>8426</x:v>
      </x:c>
      <x:c r="AD758" s="55" t="n">
        <x:v>2737</x:v>
      </x:c>
      <x:c r="AE758" s="55" t="n">
        <x:v>11147</x:v>
      </x:c>
      <x:c r="AF758" s="55" t="n">
        <x:v>11069</x:v>
      </x:c>
      <x:c r="AG758" s="55" t="n">
        <x:v>78</x:v>
      </x:c>
      <x:c r="AH758" s="55" t="n">
        <x:v>245</x:v>
      </x:c>
      <x:c r="AI758" s="55" t="n">
        <x:v>10824</x:v>
      </x:c>
      <x:c r="AJ758" s="55" t="n">
        <x:v>424</x:v>
      </x:c>
      <x:c r="AK758" s="55" t="n">
        <x:v>579</x:v>
      </x:c>
      <x:c r="AL758" s="55" t="n">
        <x:v>1986</x:v>
      </x:c>
      <x:c r="AM758" s="55" t="n">
        <x:v>4576</x:v>
      </x:c>
      <x:c r="AN758" s="55" t="n">
        <x:v>3469</x:v>
      </x:c>
      <x:c r="AO758" s="55" t="n">
        <x:v>35</x:v>
      </x:c>
      <x:c r="AP758" s="55" t="n">
        <x:v>1896</x:v>
      </x:c>
      <x:c r="AQ758" s="55" t="n">
        <x:v>981</x:v>
      </x:c>
    </x:row>
    <x:row r="759">
      <x:c r="A759" s="54" t="str">
        <x:v>T1_SHARED_CATCHMENT</x:v>
      </x:c>
      <x:c r="B759" s="54" t="n">
        <x:v>753</x:v>
      </x:c>
      <x:c r="C759" s="54" t="str">
        <x:v>NYC-V2-R01</x:v>
      </x:c>
      <x:c r="D759" s="54" t="str">
        <x:v>V2</x:v>
      </x:c>
      <x:c r="E759" s="54" t="str">
        <x:v>ADMITTED</x:v>
      </x:c>
      <x:c r="F759" s="55" t="n">
        <x:v>31196</x:v>
      </x:c>
      <x:c r="G759" s="55" t="n">
        <x:v>8123</x:v>
      </x:c>
      <x:c r="H759" s="55" t="n">
        <x:v>2979</x:v>
      </x:c>
      <x:c r="I759" s="55" t="n">
        <x:v>790</x:v>
      </x:c>
      <x:c r="J759" s="55" t="n">
        <x:v>0</x:v>
      </x:c>
      <x:c r="K759" s="55" t="n">
        <x:v>31196</x:v>
      </x:c>
      <x:c r="L759" s="55" t="n">
        <x:v>5797</x:v>
      </x:c>
      <x:c r="M759" s="55" t="n">
        <x:v>983</x:v>
      </x:c>
      <x:c r="N759" s="55" t="n">
        <x:v>3143</x:v>
      </x:c>
      <x:c r="O759" s="55" t="n">
        <x:v>1671</x:v>
      </x:c>
      <x:c r="P759" s="55" t="n">
        <x:v>609</x:v>
      </x:c>
      <x:c r="Q759" s="55" t="n">
        <x:v>2286</x:v>
      </x:c>
      <x:c r="R759" s="55" t="n">
        <x:v>1414</x:v>
      </x:c>
      <x:c r="S759" s="55" t="n">
        <x:v>2529</x:v>
      </x:c>
      <x:c r="T759" s="55" t="n">
        <x:v>1186</x:v>
      </x:c>
      <x:c r="U759" s="55" t="n">
        <x:v>2471</x:v>
      </x:c>
      <x:c r="V759" s="55" t="n">
        <x:v>9973</x:v>
      </x:c>
      <x:c r="W759" s="55" t="n">
        <x:v>7064</x:v>
      </x:c>
      <x:c r="X759" s="55" t="n">
        <x:v>2909</x:v>
      </x:c>
      <x:c r="Y759" s="55" t="n">
        <x:v>2331</x:v>
      </x:c>
      <x:c r="Z759" s="55" t="n">
        <x:v>3800</x:v>
      </x:c>
      <x:c r="AA759" s="55" t="n">
        <x:v>2858</x:v>
      </x:c>
      <x:c r="AB759" s="55" t="n">
        <x:v>1079</x:v>
      </x:c>
      <x:c r="AC759" s="55" t="n">
        <x:v>7269</x:v>
      </x:c>
      <x:c r="AD759" s="55" t="n">
        <x:v>2801</x:v>
      </x:c>
      <x:c r="AE759" s="55" t="n">
        <x:v>10126</x:v>
      </x:c>
      <x:c r="AF759" s="55" t="n">
        <x:v>9973</x:v>
      </x:c>
      <x:c r="AG759" s="55" t="n">
        <x:v>153</x:v>
      </x:c>
      <x:c r="AH759" s="55" t="n">
        <x:v>482</x:v>
      </x:c>
      <x:c r="AI759" s="55" t="n">
        <x:v>9491</x:v>
      </x:c>
      <x:c r="AJ759" s="55" t="n">
        <x:v>319</x:v>
      </x:c>
      <x:c r="AK759" s="55" t="n">
        <x:v>1010</x:v>
      </x:c>
      <x:c r="AL759" s="55" t="n">
        <x:v>1638</x:v>
      </x:c>
      <x:c r="AM759" s="55" t="n">
        <x:v>4702</x:v>
      </x:c>
      <x:c r="AN759" s="55" t="n">
        <x:v>2304</x:v>
      </x:c>
      <x:c r="AO759" s="55" t="n">
        <x:v>0</x:v>
      </x:c>
      <x:c r="AP759" s="55" t="n">
        <x:v>2128</x:v>
      </x:c>
      <x:c r="AQ759" s="55" t="n">
        <x:v>950</x:v>
      </x:c>
    </x:row>
    <x:row r="760">
      <x:c r="A760" s="54" t="str">
        <x:v>T1_SHARED_CATCHMENT</x:v>
      </x:c>
      <x:c r="B760" s="54" t="n">
        <x:v>754</x:v>
      </x:c>
      <x:c r="C760" s="54" t="str">
        <x:v>NYC-V2-R01</x:v>
      </x:c>
      <x:c r="D760" s="54" t="str">
        <x:v>V2</x:v>
      </x:c>
      <x:c r="E760" s="54" t="str">
        <x:v>ADMITTED</x:v>
      </x:c>
      <x:c r="F760" s="55" t="n">
        <x:v>33079</x:v>
      </x:c>
      <x:c r="G760" s="55" t="n">
        <x:v>9203</x:v>
      </x:c>
      <x:c r="H760" s="55" t="n">
        <x:v>3383</x:v>
      </x:c>
      <x:c r="I760" s="55" t="n">
        <x:v>1379</x:v>
      </x:c>
      <x:c r="J760" s="55" t="n">
        <x:v>284</x:v>
      </x:c>
      <x:c r="K760" s="55" t="n">
        <x:v>29875</x:v>
      </x:c>
      <x:c r="L760" s="55" t="n">
        <x:v>5781</x:v>
      </x:c>
      <x:c r="M760" s="55" t="n">
        <x:v>1139</x:v>
      </x:c>
      <x:c r="N760" s="55" t="n">
        <x:v>2848</x:v>
      </x:c>
      <x:c r="O760" s="55" t="n">
        <x:v>1794</x:v>
      </x:c>
      <x:c r="P760" s="55" t="n">
        <x:v>758</x:v>
      </x:c>
      <x:c r="Q760" s="55" t="n">
        <x:v>1702</x:v>
      </x:c>
      <x:c r="R760" s="55" t="n">
        <x:v>1839</x:v>
      </x:c>
      <x:c r="S760" s="55" t="n">
        <x:v>2761</x:v>
      </x:c>
      <x:c r="T760" s="55" t="n">
        <x:v>1326</x:v>
      </x:c>
      <x:c r="U760" s="55" t="n">
        <x:v>2224</x:v>
      </x:c>
      <x:c r="V760" s="55" t="n">
        <x:v>10666</x:v>
      </x:c>
      <x:c r="W760" s="55" t="n">
        <x:v>6990</x:v>
      </x:c>
      <x:c r="X760" s="55" t="n">
        <x:v>3676</x:v>
      </x:c>
      <x:c r="Y760" s="55" t="n">
        <x:v>3170</x:v>
      </x:c>
      <x:c r="Z760" s="55" t="n">
        <x:v>3613</x:v>
      </x:c>
      <x:c r="AA760" s="55" t="n">
        <x:v>2684</x:v>
      </x:c>
      <x:c r="AB760" s="55" t="n">
        <x:v>903</x:v>
      </x:c>
      <x:c r="AC760" s="55" t="n">
        <x:v>7852</x:v>
      </x:c>
      <x:c r="AD760" s="55" t="n">
        <x:v>2657</x:v>
      </x:c>
      <x:c r="AE760" s="55" t="n">
        <x:v>10757</x:v>
      </x:c>
      <x:c r="AF760" s="55" t="n">
        <x:v>10666</x:v>
      </x:c>
      <x:c r="AG760" s="55" t="n">
        <x:v>91</x:v>
      </x:c>
      <x:c r="AH760" s="55" t="n">
        <x:v>480</x:v>
      </x:c>
      <x:c r="AI760" s="55" t="n">
        <x:v>10186</x:v>
      </x:c>
      <x:c r="AJ760" s="55" t="n">
        <x:v>294</x:v>
      </x:c>
      <x:c r="AK760" s="55" t="n">
        <x:v>1081</x:v>
      </x:c>
      <x:c r="AL760" s="55" t="n">
        <x:v>1697</x:v>
      </x:c>
      <x:c r="AM760" s="55" t="n">
        <x:v>5025</x:v>
      </x:c>
      <x:c r="AN760" s="55" t="n">
        <x:v>2569</x:v>
      </x:c>
      <x:c r="AO760" s="55" t="n">
        <x:v>0</x:v>
      </x:c>
      <x:c r="AP760" s="55" t="n">
        <x:v>2526</x:v>
      </x:c>
      <x:c r="AQ760" s="55" t="n">
        <x:v>938</x:v>
      </x:c>
    </x:row>
    <x:row r="761">
      <x:c r="A761" s="54" t="str">
        <x:v>T1_SHARED_CATCHMENT</x:v>
      </x:c>
      <x:c r="B761" s="54" t="n">
        <x:v>755</x:v>
      </x:c>
      <x:c r="C761" s="54" t="str">
        <x:v>NYC-V2-R01</x:v>
      </x:c>
      <x:c r="D761" s="54" t="str">
        <x:v>V2</x:v>
      </x:c>
      <x:c r="E761" s="54" t="str">
        <x:v>ADMITTED</x:v>
      </x:c>
      <x:c r="F761" s="55" t="n">
        <x:v>31457</x:v>
      </x:c>
      <x:c r="G761" s="55" t="n">
        <x:v>7518</x:v>
      </x:c>
      <x:c r="H761" s="55" t="n">
        <x:v>3266</x:v>
      </x:c>
      <x:c r="I761" s="55" t="n">
        <x:v>919</x:v>
      </x:c>
      <x:c r="J761" s="55" t="n">
        <x:v>157</x:v>
      </x:c>
      <x:c r="K761" s="55" t="n">
        <x:v>29853</x:v>
      </x:c>
      <x:c r="L761" s="55" t="n">
        <x:v>4985</x:v>
      </x:c>
      <x:c r="M761" s="55" t="n">
        <x:v>919</x:v>
      </x:c>
      <x:c r="N761" s="55" t="n">
        <x:v>2770</x:v>
      </x:c>
      <x:c r="O761" s="55" t="n">
        <x:v>1296</x:v>
      </x:c>
      <x:c r="P761" s="55" t="n">
        <x:v>666</x:v>
      </x:c>
      <x:c r="Q761" s="55" t="n">
        <x:v>1490</x:v>
      </x:c>
      <x:c r="R761" s="55" t="n">
        <x:v>2111</x:v>
      </x:c>
      <x:c r="S761" s="55" t="n">
        <x:v>2469</x:v>
      </x:c>
      <x:c r="T761" s="55" t="n">
        <x:v>887</x:v>
      </x:c>
      <x:c r="U761" s="55" t="n">
        <x:v>1896</x:v>
      </x:c>
      <x:c r="V761" s="55" t="n">
        <x:v>10411</x:v>
      </x:c>
      <x:c r="W761" s="55" t="n">
        <x:v>7360</x:v>
      </x:c>
      <x:c r="X761" s="55" t="n">
        <x:v>3051</x:v>
      </x:c>
      <x:c r="Y761" s="55" t="n">
        <x:v>2582</x:v>
      </x:c>
      <x:c r="Z761" s="55" t="n">
        <x:v>3347</x:v>
      </x:c>
      <x:c r="AA761" s="55" t="n">
        <x:v>2743</x:v>
      </x:c>
      <x:c r="AB761" s="55" t="n">
        <x:v>862</x:v>
      </x:c>
      <x:c r="AC761" s="55" t="n">
        <x:v>7922</x:v>
      </x:c>
      <x:c r="AD761" s="55" t="n">
        <x:v>2576</x:v>
      </x:c>
      <x:c r="AE761" s="55" t="n">
        <x:v>10433</x:v>
      </x:c>
      <x:c r="AF761" s="55" t="n">
        <x:v>10411</x:v>
      </x:c>
      <x:c r="AG761" s="55" t="n">
        <x:v>22</x:v>
      </x:c>
      <x:c r="AH761" s="55" t="n">
        <x:v>212</x:v>
      </x:c>
      <x:c r="AI761" s="55" t="n">
        <x:v>10199</x:v>
      </x:c>
      <x:c r="AJ761" s="55" t="n">
        <x:v>451</x:v>
      </x:c>
      <x:c r="AK761" s="55" t="n">
        <x:v>1030</x:v>
      </x:c>
      <x:c r="AL761" s="55" t="n">
        <x:v>1453</x:v>
      </x:c>
      <x:c r="AM761" s="55" t="n">
        <x:v>5163</x:v>
      </x:c>
      <x:c r="AN761" s="55" t="n">
        <x:v>2314</x:v>
      </x:c>
      <x:c r="AO761" s="55" t="n">
        <x:v>0</x:v>
      </x:c>
      <x:c r="AP761" s="55" t="n">
        <x:v>2307</x:v>
      </x:c>
      <x:c r="AQ761" s="55" t="n">
        <x:v>887</x:v>
      </x:c>
    </x:row>
    <x:row r="762">
      <x:c r="A762" s="54" t="str">
        <x:v>T1_SHARED_CATCHMENT</x:v>
      </x:c>
      <x:c r="B762" s="54" t="n">
        <x:v>756</x:v>
      </x:c>
      <x:c r="C762" s="54" t="str">
        <x:v>NYC-V2-R01</x:v>
      </x:c>
      <x:c r="D762" s="54" t="str">
        <x:v>V2</x:v>
      </x:c>
      <x:c r="E762" s="54" t="str">
        <x:v>ADMITTED</x:v>
      </x:c>
      <x:c r="F762" s="55" t="n">
        <x:v>31470</x:v>
      </x:c>
      <x:c r="G762" s="55" t="n">
        <x:v>6996</x:v>
      </x:c>
      <x:c r="H762" s="55" t="n">
        <x:v>3984</x:v>
      </x:c>
      <x:c r="I762" s="55" t="n">
        <x:v>1534</x:v>
      </x:c>
      <x:c r="J762" s="55" t="n">
        <x:v>531</x:v>
      </x:c>
      <x:c r="K762" s="55" t="n">
        <x:v>29409</x:v>
      </x:c>
      <x:c r="L762" s="55" t="n">
        <x:v>5717</x:v>
      </x:c>
      <x:c r="M762" s="55" t="n">
        <x:v>724</x:v>
      </x:c>
      <x:c r="N762" s="55" t="n">
        <x:v>3194</x:v>
      </x:c>
      <x:c r="O762" s="55" t="n">
        <x:v>1799</x:v>
      </x:c>
      <x:c r="P762" s="55" t="n">
        <x:v>905</x:v>
      </x:c>
      <x:c r="Q762" s="55" t="n">
        <x:v>2274</x:v>
      </x:c>
      <x:c r="R762" s="55" t="n">
        <x:v>1811</x:v>
      </x:c>
      <x:c r="S762" s="55" t="n">
        <x:v>3449</x:v>
      </x:c>
      <x:c r="T762" s="55" t="n">
        <x:v>1654</x:v>
      </x:c>
      <x:c r="U762" s="55" t="n">
        <x:v>2762</x:v>
      </x:c>
      <x:c r="V762" s="55" t="n">
        <x:v>10381</x:v>
      </x:c>
      <x:c r="W762" s="55" t="n">
        <x:v>7193</x:v>
      </x:c>
      <x:c r="X762" s="55" t="n">
        <x:v>3188</x:v>
      </x:c>
      <x:c r="Y762" s="55" t="n">
        <x:v>2747</x:v>
      </x:c>
      <x:c r="Z762" s="55" t="n">
        <x:v>3820</x:v>
      </x:c>
      <x:c r="AA762" s="55" t="n">
        <x:v>2884</x:v>
      </x:c>
      <x:c r="AB762" s="55" t="n">
        <x:v>1300</x:v>
      </x:c>
      <x:c r="AC762" s="55" t="n">
        <x:v>8256</x:v>
      </x:c>
      <x:c r="AD762" s="55" t="n">
        <x:v>3420</x:v>
      </x:c>
      <x:c r="AE762" s="55" t="n">
        <x:v>10494</x:v>
      </x:c>
      <x:c r="AF762" s="55" t="n">
        <x:v>10381</x:v>
      </x:c>
      <x:c r="AG762" s="55" t="n">
        <x:v>113</x:v>
      </x:c>
      <x:c r="AH762" s="55" t="n">
        <x:v>226</x:v>
      </x:c>
      <x:c r="AI762" s="55" t="n">
        <x:v>10155</x:v>
      </x:c>
      <x:c r="AJ762" s="55" t="n">
        <x:v>442</x:v>
      </x:c>
      <x:c r="AK762" s="55" t="n">
        <x:v>900</x:v>
      </x:c>
      <x:c r="AL762" s="55" t="n">
        <x:v>1127</x:v>
      </x:c>
      <x:c r="AM762" s="55" t="n">
        <x:v>4730</x:v>
      </x:c>
      <x:c r="AN762" s="55" t="n">
        <x:v>3143</x:v>
      </x:c>
      <x:c r="AO762" s="55" t="n">
        <x:v>39</x:v>
      </x:c>
      <x:c r="AP762" s="55" t="n">
        <x:v>2713</x:v>
      </x:c>
      <x:c r="AQ762" s="55" t="n">
        <x:v>1012</x:v>
      </x:c>
    </x:row>
    <x:row r="763">
      <x:c r="A763" s="54" t="str">
        <x:v>T1_SHARED_CATCHMENT</x:v>
      </x:c>
      <x:c r="B763" s="54" t="n">
        <x:v>757</x:v>
      </x:c>
      <x:c r="C763" s="54" t="str">
        <x:v>NYC-V2-R01</x:v>
      </x:c>
      <x:c r="D763" s="54" t="str">
        <x:v>V2</x:v>
      </x:c>
      <x:c r="E763" s="54" t="str">
        <x:v>ADMITTED</x:v>
      </x:c>
      <x:c r="F763" s="55" t="n">
        <x:v>32122</x:v>
      </x:c>
      <x:c r="G763" s="55" t="n">
        <x:v>7142</x:v>
      </x:c>
      <x:c r="H763" s="55" t="n">
        <x:v>3528</x:v>
      </x:c>
      <x:c r="I763" s="55" t="n">
        <x:v>1188</x:v>
      </x:c>
      <x:c r="J763" s="55" t="n">
        <x:v>212</x:v>
      </x:c>
      <x:c r="K763" s="55" t="n">
        <x:v>32122</x:v>
      </x:c>
      <x:c r="L763" s="55" t="n">
        <x:v>5762</x:v>
      </x:c>
      <x:c r="M763" s="55" t="n">
        <x:v>1008</x:v>
      </x:c>
      <x:c r="N763" s="55" t="n">
        <x:v>2547</x:v>
      </x:c>
      <x:c r="O763" s="55" t="n">
        <x:v>2207</x:v>
      </x:c>
      <x:c r="P763" s="55" t="n">
        <x:v>1014</x:v>
      </x:c>
      <x:c r="Q763" s="55" t="n">
        <x:v>2092</x:v>
      </x:c>
      <x:c r="R763" s="55" t="n">
        <x:v>1785</x:v>
      </x:c>
      <x:c r="S763" s="55" t="n">
        <x:v>2066</x:v>
      </x:c>
      <x:c r="T763" s="55" t="n">
        <x:v>997</x:v>
      </x:c>
      <x:c r="U763" s="55" t="n">
        <x:v>1515</x:v>
      </x:c>
      <x:c r="V763" s="55" t="n">
        <x:v>10247</x:v>
      </x:c>
      <x:c r="W763" s="55" t="n">
        <x:v>7284</x:v>
      </x:c>
      <x:c r="X763" s="55" t="n">
        <x:v>2963</x:v>
      </x:c>
      <x:c r="Y763" s="55" t="n">
        <x:v>2380</x:v>
      </x:c>
      <x:c r="Z763" s="55" t="n">
        <x:v>3806</x:v>
      </x:c>
      <x:c r="AA763" s="55" t="n">
        <x:v>3158</x:v>
      </x:c>
      <x:c r="AB763" s="55" t="n">
        <x:v>1217</x:v>
      </x:c>
      <x:c r="AC763" s="55" t="n">
        <x:v>7885</x:v>
      </x:c>
      <x:c r="AD763" s="55" t="n">
        <x:v>3264</x:v>
      </x:c>
      <x:c r="AE763" s="55" t="n">
        <x:v>10291</x:v>
      </x:c>
      <x:c r="AF763" s="55" t="n">
        <x:v>10247</x:v>
      </x:c>
      <x:c r="AG763" s="55" t="n">
        <x:v>44</x:v>
      </x:c>
      <x:c r="AH763" s="55" t="n">
        <x:v>462</x:v>
      </x:c>
      <x:c r="AI763" s="55" t="n">
        <x:v>9785</x:v>
      </x:c>
      <x:c r="AJ763" s="55" t="n">
        <x:v>267</x:v>
      </x:c>
      <x:c r="AK763" s="55" t="n">
        <x:v>1016</x:v>
      </x:c>
      <x:c r="AL763" s="55" t="n">
        <x:v>1259</x:v>
      </x:c>
      <x:c r="AM763" s="55" t="n">
        <x:v>4933</x:v>
      </x:c>
      <x:c r="AN763" s="55" t="n">
        <x:v>2772</x:v>
      </x:c>
      <x:c r="AO763" s="55" t="n">
        <x:v>0</x:v>
      </x:c>
      <x:c r="AP763" s="55" t="n">
        <x:v>2116</x:v>
      </x:c>
      <x:c r="AQ763" s="55" t="n">
        <x:v>938</x:v>
      </x:c>
    </x:row>
    <x:row r="764">
      <x:c r="A764" s="54" t="str">
        <x:v>T1_SHARED_CATCHMENT</x:v>
      </x:c>
      <x:c r="B764" s="54" t="n">
        <x:v>758</x:v>
      </x:c>
      <x:c r="C764" s="54" t="str">
        <x:v>NYC-V2-R01</x:v>
      </x:c>
      <x:c r="D764" s="54" t="str">
        <x:v>V2</x:v>
      </x:c>
      <x:c r="E764" s="54" t="str">
        <x:v>ADMITTED</x:v>
      </x:c>
      <x:c r="F764" s="55" t="n">
        <x:v>29493</x:v>
      </x:c>
      <x:c r="G764" s="55" t="n">
        <x:v>7407</x:v>
      </x:c>
      <x:c r="H764" s="55" t="n">
        <x:v>2789</x:v>
      </x:c>
      <x:c r="I764" s="55" t="n">
        <x:v>1354</x:v>
      </x:c>
      <x:c r="J764" s="55" t="n">
        <x:v>204</x:v>
      </x:c>
      <x:c r="K764" s="55" t="n">
        <x:v>29493</x:v>
      </x:c>
      <x:c r="L764" s="55" t="n">
        <x:v>4598</x:v>
      </x:c>
      <x:c r="M764" s="55" t="n">
        <x:v>755</x:v>
      </x:c>
      <x:c r="N764" s="55" t="n">
        <x:v>1904</x:v>
      </x:c>
      <x:c r="O764" s="55" t="n">
        <x:v>1939</x:v>
      </x:c>
      <x:c r="P764" s="55" t="n">
        <x:v>837</x:v>
      </x:c>
      <x:c r="Q764" s="55" t="n">
        <x:v>1614</x:v>
      </x:c>
      <x:c r="R764" s="55" t="n">
        <x:v>2301</x:v>
      </x:c>
      <x:c r="S764" s="55" t="n">
        <x:v>2698</x:v>
      </x:c>
      <x:c r="T764" s="55" t="n">
        <x:v>900</x:v>
      </x:c>
      <x:c r="U764" s="55" t="n">
        <x:v>1796</x:v>
      </x:c>
      <x:c r="V764" s="55" t="n">
        <x:v>10830</x:v>
      </x:c>
      <x:c r="W764" s="55" t="n">
        <x:v>7611</x:v>
      </x:c>
      <x:c r="X764" s="55" t="n">
        <x:v>3219</x:v>
      </x:c>
      <x:c r="Y764" s="55" t="n">
        <x:v>2724</x:v>
      </x:c>
      <x:c r="Z764" s="55" t="n">
        <x:v>3406</x:v>
      </x:c>
      <x:c r="AA764" s="55" t="n">
        <x:v>2610</x:v>
      </x:c>
      <x:c r="AB764" s="55" t="n">
        <x:v>997</x:v>
      </x:c>
      <x:c r="AC764" s="55" t="n">
        <x:v>7652</x:v>
      </x:c>
      <x:c r="AD764" s="55" t="n">
        <x:v>2961</x:v>
      </x:c>
      <x:c r="AE764" s="55" t="n">
        <x:v>10922</x:v>
      </x:c>
      <x:c r="AF764" s="55" t="n">
        <x:v>10830</x:v>
      </x:c>
      <x:c r="AG764" s="55" t="n">
        <x:v>92</x:v>
      </x:c>
      <x:c r="AH764" s="55" t="n">
        <x:v>535</x:v>
      </x:c>
      <x:c r="AI764" s="55" t="n">
        <x:v>10295</x:v>
      </x:c>
      <x:c r="AJ764" s="55" t="n">
        <x:v>394</x:v>
      </x:c>
      <x:c r="AK764" s="55" t="n">
        <x:v>1083</x:v>
      </x:c>
      <x:c r="AL764" s="55" t="n">
        <x:v>2031</x:v>
      </x:c>
      <x:c r="AM764" s="55" t="n">
        <x:v>4482</x:v>
      </x:c>
      <x:c r="AN764" s="55" t="n">
        <x:v>2809</x:v>
      </x:c>
      <x:c r="AO764" s="55" t="n">
        <x:v>31</x:v>
      </x:c>
      <x:c r="AP764" s="55" t="n">
        <x:v>2330</x:v>
      </x:c>
      <x:c r="AQ764" s="55" t="n">
        <x:v>950</x:v>
      </x:c>
    </x:row>
    <x:row r="765">
      <x:c r="A765" s="54" t="str">
        <x:v>T1_SHARED_CATCHMENT</x:v>
      </x:c>
      <x:c r="B765" s="54" t="n">
        <x:v>759</x:v>
      </x:c>
      <x:c r="C765" s="54" t="str">
        <x:v>NYC-V2-R01</x:v>
      </x:c>
      <x:c r="D765" s="54" t="str">
        <x:v>V2</x:v>
      </x:c>
      <x:c r="E765" s="54" t="str">
        <x:v>ADMITTED</x:v>
      </x:c>
      <x:c r="F765" s="55" t="n">
        <x:v>32613</x:v>
      </x:c>
      <x:c r="G765" s="55" t="n">
        <x:v>8409</x:v>
      </x:c>
      <x:c r="H765" s="55" t="n">
        <x:v>3738</x:v>
      </x:c>
      <x:c r="I765" s="55" t="n">
        <x:v>1559</x:v>
      </x:c>
      <x:c r="J765" s="55" t="n">
        <x:v>412</x:v>
      </x:c>
      <x:c r="K765" s="55" t="n">
        <x:v>29731</x:v>
      </x:c>
      <x:c r="L765" s="55" t="n">
        <x:v>6752</x:v>
      </x:c>
      <x:c r="M765" s="55" t="n">
        <x:v>1902</x:v>
      </x:c>
      <x:c r="N765" s="55" t="n">
        <x:v>3291</x:v>
      </x:c>
      <x:c r="O765" s="55" t="n">
        <x:v>1559</x:v>
      </x:c>
      <x:c r="P765" s="55" t="n">
        <x:v>844</x:v>
      </x:c>
      <x:c r="Q765" s="55" t="n">
        <x:v>2605</x:v>
      </x:c>
      <x:c r="R765" s="55" t="n">
        <x:v>1505</x:v>
      </x:c>
      <x:c r="S765" s="55" t="n">
        <x:v>2385</x:v>
      </x:c>
      <x:c r="T765" s="55" t="n">
        <x:v>1460</x:v>
      </x:c>
      <x:c r="U765" s="55" t="n">
        <x:v>2614</x:v>
      </x:c>
      <x:c r="V765" s="55" t="n">
        <x:v>10882</x:v>
      </x:c>
      <x:c r="W765" s="55" t="n">
        <x:v>7645</x:v>
      </x:c>
      <x:c r="X765" s="55" t="n">
        <x:v>3237</x:v>
      </x:c>
      <x:c r="Y765" s="55" t="n">
        <x:v>3023</x:v>
      </x:c>
      <x:c r="Z765" s="55" t="n">
        <x:v>4072</x:v>
      </x:c>
      <x:c r="AA765" s="55" t="n">
        <x:v>2989</x:v>
      </x:c>
      <x:c r="AB765" s="55" t="n">
        <x:v>1087</x:v>
      </x:c>
      <x:c r="AC765" s="55" t="n">
        <x:v>8096</x:v>
      </x:c>
      <x:c r="AD765" s="55" t="n">
        <x:v>2885</x:v>
      </x:c>
      <x:c r="AE765" s="55" t="n">
        <x:v>10955</x:v>
      </x:c>
      <x:c r="AF765" s="55" t="n">
        <x:v>10882</x:v>
      </x:c>
      <x:c r="AG765" s="55" t="n">
        <x:v>73</x:v>
      </x:c>
      <x:c r="AH765" s="55" t="n">
        <x:v>387</x:v>
      </x:c>
      <x:c r="AI765" s="55" t="n">
        <x:v>10495</x:v>
      </x:c>
      <x:c r="AJ765" s="55" t="n">
        <x:v>505</x:v>
      </x:c>
      <x:c r="AK765" s="55" t="n">
        <x:v>1099</x:v>
      </x:c>
      <x:c r="AL765" s="55" t="n">
        <x:v>1354</x:v>
      </x:c>
      <x:c r="AM765" s="55" t="n">
        <x:v>5527</x:v>
      </x:c>
      <x:c r="AN765" s="55" t="n">
        <x:v>2368</x:v>
      </x:c>
      <x:c r="AO765" s="55" t="n">
        <x:v>29</x:v>
      </x:c>
      <x:c r="AP765" s="55" t="n">
        <x:v>2455</x:v>
      </x:c>
      <x:c r="AQ765" s="55" t="n">
        <x:v>951</x:v>
      </x:c>
    </x:row>
    <x:row r="766">
      <x:c r="A766" s="54" t="str">
        <x:v>T1_SHARED_CATCHMENT</x:v>
      </x:c>
      <x:c r="B766" s="54" t="n">
        <x:v>760</x:v>
      </x:c>
      <x:c r="C766" s="54" t="str">
        <x:v>NYC-V2-R01</x:v>
      </x:c>
      <x:c r="D766" s="54" t="str">
        <x:v>V2</x:v>
      </x:c>
      <x:c r="E766" s="54" t="str">
        <x:v>ADMITTED</x:v>
      </x:c>
      <x:c r="F766" s="55" t="n">
        <x:v>32661</x:v>
      </x:c>
      <x:c r="G766" s="55" t="n">
        <x:v>7602</x:v>
      </x:c>
      <x:c r="H766" s="55" t="n">
        <x:v>3261</x:v>
      </x:c>
      <x:c r="I766" s="55" t="n">
        <x:v>1346</x:v>
      </x:c>
      <x:c r="J766" s="55" t="n">
        <x:v>221</x:v>
      </x:c>
      <x:c r="K766" s="55" t="n">
        <x:v>31237</x:v>
      </x:c>
      <x:c r="L766" s="55" t="n">
        <x:v>6614</x:v>
      </x:c>
      <x:c r="M766" s="55" t="n">
        <x:v>1796</x:v>
      </x:c>
      <x:c r="N766" s="55" t="n">
        <x:v>2853</x:v>
      </x:c>
      <x:c r="O766" s="55" t="n">
        <x:v>1965</x:v>
      </x:c>
      <x:c r="P766" s="55" t="n">
        <x:v>777</x:v>
      </x:c>
      <x:c r="Q766" s="55" t="n">
        <x:v>2279</x:v>
      </x:c>
      <x:c r="R766" s="55" t="n">
        <x:v>2175</x:v>
      </x:c>
      <x:c r="S766" s="55" t="n">
        <x:v>3101</x:v>
      </x:c>
      <x:c r="T766" s="55" t="n">
        <x:v>1300</x:v>
      </x:c>
      <x:c r="U766" s="55" t="n">
        <x:v>2174</x:v>
      </x:c>
      <x:c r="V766" s="55" t="n">
        <x:v>10366</x:v>
      </x:c>
      <x:c r="W766" s="55" t="n">
        <x:v>7223</x:v>
      </x:c>
      <x:c r="X766" s="55" t="n">
        <x:v>3143</x:v>
      </x:c>
      <x:c r="Y766" s="55" t="n">
        <x:v>2551</x:v>
      </x:c>
      <x:c r="Z766" s="55" t="n">
        <x:v>3717</x:v>
      </x:c>
      <x:c r="AA766" s="55" t="n">
        <x:v>3153</x:v>
      </x:c>
      <x:c r="AB766" s="55" t="n">
        <x:v>936</x:v>
      </x:c>
      <x:c r="AC766" s="55" t="n">
        <x:v>8029</x:v>
      </x:c>
      <x:c r="AD766" s="55" t="n">
        <x:v>2952</x:v>
      </x:c>
      <x:c r="AE766" s="55" t="n">
        <x:v>10394</x:v>
      </x:c>
      <x:c r="AF766" s="55" t="n">
        <x:v>10366</x:v>
      </x:c>
      <x:c r="AG766" s="55" t="n">
        <x:v>28</x:v>
      </x:c>
      <x:c r="AH766" s="55" t="n">
        <x:v>695</x:v>
      </x:c>
      <x:c r="AI766" s="55" t="n">
        <x:v>9671</x:v>
      </x:c>
      <x:c r="AJ766" s="55" t="n">
        <x:v>136</x:v>
      </x:c>
      <x:c r="AK766" s="55" t="n">
        <x:v>1080</x:v>
      </x:c>
      <x:c r="AL766" s="55" t="n">
        <x:v>1389</x:v>
      </x:c>
      <x:c r="AM766" s="55" t="n">
        <x:v>4539</x:v>
      </x:c>
      <x:c r="AN766" s="55" t="n">
        <x:v>3222</x:v>
      </x:c>
      <x:c r="AO766" s="55" t="n">
        <x:v>0</x:v>
      </x:c>
      <x:c r="AP766" s="55" t="n">
        <x:v>2234</x:v>
      </x:c>
      <x:c r="AQ766" s="55" t="n">
        <x:v>951</x:v>
      </x:c>
    </x:row>
    <x:row r="767">
      <x:c r="A767" s="54" t="str">
        <x:v>T1_SHARED_CATCHMENT</x:v>
      </x:c>
      <x:c r="B767" s="54" t="n">
        <x:v>761</x:v>
      </x:c>
      <x:c r="C767" s="54" t="str">
        <x:v>NYC-V2-R01</x:v>
      </x:c>
      <x:c r="D767" s="54" t="str">
        <x:v>V2</x:v>
      </x:c>
      <x:c r="E767" s="54" t="str">
        <x:v>ADMITTED</x:v>
      </x:c>
      <x:c r="F767" s="55" t="n">
        <x:v>31010</x:v>
      </x:c>
      <x:c r="G767" s="55" t="n">
        <x:v>8210</x:v>
      </x:c>
      <x:c r="H767" s="55" t="n">
        <x:v>3513</x:v>
      </x:c>
      <x:c r="I767" s="55" t="n">
        <x:v>1332</x:v>
      </x:c>
      <x:c r="J767" s="55" t="n">
        <x:v>318</x:v>
      </x:c>
      <x:c r="K767" s="55" t="n">
        <x:v>29087</x:v>
      </x:c>
      <x:c r="L767" s="55" t="n">
        <x:v>5682</x:v>
      </x:c>
      <x:c r="M767" s="55" t="n">
        <x:v>442</x:v>
      </x:c>
      <x:c r="N767" s="55" t="n">
        <x:v>3219</x:v>
      </x:c>
      <x:c r="O767" s="55" t="n">
        <x:v>2021</x:v>
      </x:c>
      <x:c r="P767" s="55" t="n">
        <x:v>716</x:v>
      </x:c>
      <x:c r="Q767" s="55" t="n">
        <x:v>1790</x:v>
      </x:c>
      <x:c r="R767" s="55" t="n">
        <x:v>1825</x:v>
      </x:c>
      <x:c r="S767" s="55" t="n">
        <x:v>2924</x:v>
      </x:c>
      <x:c r="T767" s="55" t="n">
        <x:v>951</x:v>
      </x:c>
      <x:c r="U767" s="55" t="n">
        <x:v>1723</x:v>
      </x:c>
      <x:c r="V767" s="55" t="n">
        <x:v>10663</x:v>
      </x:c>
      <x:c r="W767" s="55" t="n">
        <x:v>7724</x:v>
      </x:c>
      <x:c r="X767" s="55" t="n">
        <x:v>2939</x:v>
      </x:c>
      <x:c r="Y767" s="55" t="n">
        <x:v>2574</x:v>
      </x:c>
      <x:c r="Z767" s="55" t="n">
        <x:v>3583</x:v>
      </x:c>
      <x:c r="AA767" s="55" t="n">
        <x:v>3513</x:v>
      </x:c>
      <x:c r="AB767" s="55" t="n">
        <x:v>977</x:v>
      </x:c>
      <x:c r="AC767" s="55" t="n">
        <x:v>9090</x:v>
      </x:c>
      <x:c r="AD767" s="55" t="n">
        <x:v>2492</x:v>
      </x:c>
      <x:c r="AE767" s="55" t="n">
        <x:v>10682</x:v>
      </x:c>
      <x:c r="AF767" s="55" t="n">
        <x:v>10663</x:v>
      </x:c>
      <x:c r="AG767" s="55" t="n">
        <x:v>19</x:v>
      </x:c>
      <x:c r="AH767" s="55" t="n">
        <x:v>634</x:v>
      </x:c>
      <x:c r="AI767" s="55" t="n">
        <x:v>10029</x:v>
      </x:c>
      <x:c r="AJ767" s="55" t="n">
        <x:v>274</x:v>
      </x:c>
      <x:c r="AK767" s="55" t="n">
        <x:v>1167</x:v>
      </x:c>
      <x:c r="AL767" s="55" t="n">
        <x:v>1597</x:v>
      </x:c>
      <x:c r="AM767" s="55" t="n">
        <x:v>5383</x:v>
      </x:c>
      <x:c r="AN767" s="55" t="n">
        <x:v>2242</x:v>
      </x:c>
      <x:c r="AO767" s="55" t="n">
        <x:v>0</x:v>
      </x:c>
      <x:c r="AP767" s="55" t="n">
        <x:v>2600</x:v>
      </x:c>
      <x:c r="AQ767" s="55" t="n">
        <x:v>933</x:v>
      </x:c>
    </x:row>
    <x:row r="768">
      <x:c r="A768" s="54" t="str">
        <x:v>T1_SHARED_CATCHMENT</x:v>
      </x:c>
      <x:c r="B768" s="54" t="n">
        <x:v>762</x:v>
      </x:c>
      <x:c r="C768" s="54" t="str">
        <x:v>NYC-V2-R01</x:v>
      </x:c>
      <x:c r="D768" s="54" t="str">
        <x:v>V2</x:v>
      </x:c>
      <x:c r="E768" s="54" t="str">
        <x:v>ADMITTED</x:v>
      </x:c>
      <x:c r="F768" s="55" t="n">
        <x:v>31706</x:v>
      </x:c>
      <x:c r="G768" s="55" t="n">
        <x:v>6974</x:v>
      </x:c>
      <x:c r="H768" s="55" t="n">
        <x:v>3620</x:v>
      </x:c>
      <x:c r="I768" s="55" t="n">
        <x:v>1829</x:v>
      </x:c>
      <x:c r="J768" s="55" t="n">
        <x:v>398</x:v>
      </x:c>
      <x:c r="K768" s="55" t="n">
        <x:v>31706</x:v>
      </x:c>
      <x:c r="L768" s="55" t="n">
        <x:v>5516</x:v>
      </x:c>
      <x:c r="M768" s="55" t="n">
        <x:v>731</x:v>
      </x:c>
      <x:c r="N768" s="55" t="n">
        <x:v>2908</x:v>
      </x:c>
      <x:c r="O768" s="55" t="n">
        <x:v>1877</x:v>
      </x:c>
      <x:c r="P768" s="55" t="n">
        <x:v>734</x:v>
      </x:c>
      <x:c r="Q768" s="55" t="n">
        <x:v>2194</x:v>
      </x:c>
      <x:c r="R768" s="55" t="n">
        <x:v>2233</x:v>
      </x:c>
      <x:c r="S768" s="55" t="n">
        <x:v>3094</x:v>
      </x:c>
      <x:c r="T768" s="55" t="n">
        <x:v>964</x:v>
      </x:c>
      <x:c r="U768" s="55" t="n">
        <x:v>2264</x:v>
      </x:c>
      <x:c r="V768" s="55" t="n">
        <x:v>10384</x:v>
      </x:c>
      <x:c r="W768" s="55" t="n">
        <x:v>7208</x:v>
      </x:c>
      <x:c r="X768" s="55" t="n">
        <x:v>3176</x:v>
      </x:c>
      <x:c r="Y768" s="55" t="n">
        <x:v>2736</x:v>
      </x:c>
      <x:c r="Z768" s="55" t="n">
        <x:v>3688</x:v>
      </x:c>
      <x:c r="AA768" s="55" t="n">
        <x:v>2443</x:v>
      </x:c>
      <x:c r="AB768" s="55" t="n">
        <x:v>640</x:v>
      </x:c>
      <x:c r="AC768" s="55" t="n">
        <x:v>7499</x:v>
      </x:c>
      <x:c r="AD768" s="55" t="n">
        <x:v>2165</x:v>
      </x:c>
      <x:c r="AE768" s="55" t="n">
        <x:v>10512</x:v>
      </x:c>
      <x:c r="AF768" s="55" t="n">
        <x:v>10384</x:v>
      </x:c>
      <x:c r="AG768" s="55" t="n">
        <x:v>128</x:v>
      </x:c>
      <x:c r="AH768" s="55" t="n">
        <x:v>323</x:v>
      </x:c>
      <x:c r="AI768" s="55" t="n">
        <x:v>10061</x:v>
      </x:c>
      <x:c r="AJ768" s="55" t="n">
        <x:v>187</x:v>
      </x:c>
      <x:c r="AK768" s="55" t="n">
        <x:v>1140</x:v>
      </x:c>
      <x:c r="AL768" s="55" t="n">
        <x:v>1566</x:v>
      </x:c>
      <x:c r="AM768" s="55" t="n">
        <x:v>4486</x:v>
      </x:c>
      <x:c r="AN768" s="55" t="n">
        <x:v>2929</x:v>
      </x:c>
      <x:c r="AO768" s="55" t="n">
        <x:v>76</x:v>
      </x:c>
      <x:c r="AP768" s="55" t="n">
        <x:v>2153</x:v>
      </x:c>
      <x:c r="AQ768" s="55" t="n">
        <x:v>1002</x:v>
      </x:c>
    </x:row>
    <x:row r="769">
      <x:c r="A769" s="54" t="str">
        <x:v>T1_SHARED_CATCHMENT</x:v>
      </x:c>
      <x:c r="B769" s="54" t="n">
        <x:v>763</x:v>
      </x:c>
      <x:c r="C769" s="54" t="str">
        <x:v>NYC-V2-R01</x:v>
      </x:c>
      <x:c r="D769" s="54" t="str">
        <x:v>V2</x:v>
      </x:c>
      <x:c r="E769" s="54" t="str">
        <x:v>ADMITTED</x:v>
      </x:c>
      <x:c r="F769" s="55" t="n">
        <x:v>33706</x:v>
      </x:c>
      <x:c r="G769" s="55" t="n">
        <x:v>10051</x:v>
      </x:c>
      <x:c r="H769" s="55" t="n">
        <x:v>2839</x:v>
      </x:c>
      <x:c r="I769" s="55" t="n">
        <x:v>1145</x:v>
      </x:c>
      <x:c r="J769" s="55" t="n">
        <x:v>7</x:v>
      </x:c>
      <x:c r="K769" s="55" t="n">
        <x:v>31900</x:v>
      </x:c>
      <x:c r="L769" s="55" t="n">
        <x:v>5515</x:v>
      </x:c>
      <x:c r="M769" s="55" t="n">
        <x:v>1674</x:v>
      </x:c>
      <x:c r="N769" s="55" t="n">
        <x:v>2423</x:v>
      </x:c>
      <x:c r="O769" s="55" t="n">
        <x:v>1418</x:v>
      </x:c>
      <x:c r="P769" s="55" t="n">
        <x:v>756</x:v>
      </x:c>
      <x:c r="Q769" s="55" t="n">
        <x:v>767</x:v>
      </x:c>
      <x:c r="R769" s="55" t="n">
        <x:v>1758</x:v>
      </x:c>
      <x:c r="S769" s="55" t="n">
        <x:v>2581</x:v>
      </x:c>
      <x:c r="T769" s="55" t="n">
        <x:v>1427</x:v>
      </x:c>
      <x:c r="U769" s="55" t="n">
        <x:v>2581</x:v>
      </x:c>
      <x:c r="V769" s="55" t="n">
        <x:v>10776</x:v>
      </x:c>
      <x:c r="W769" s="55" t="n">
        <x:v>8189</x:v>
      </x:c>
      <x:c r="X769" s="55" t="n">
        <x:v>2587</x:v>
      </x:c>
      <x:c r="Y769" s="55" t="n">
        <x:v>2229</x:v>
      </x:c>
      <x:c r="Z769" s="55" t="n">
        <x:v>2900</x:v>
      </x:c>
      <x:c r="AA769" s="55" t="n">
        <x:v>2839</x:v>
      </x:c>
      <x:c r="AB769" s="55" t="n">
        <x:v>988</x:v>
      </x:c>
      <x:c r="AC769" s="55" t="n">
        <x:v>8270</x:v>
      </x:c>
      <x:c r="AD769" s="55" t="n">
        <x:v>2634</x:v>
      </x:c>
      <x:c r="AE769" s="55" t="n">
        <x:v>10801</x:v>
      </x:c>
      <x:c r="AF769" s="55" t="n">
        <x:v>10776</x:v>
      </x:c>
      <x:c r="AG769" s="55" t="n">
        <x:v>25</x:v>
      </x:c>
      <x:c r="AH769" s="55" t="n">
        <x:v>302</x:v>
      </x:c>
      <x:c r="AI769" s="55" t="n">
        <x:v>10474</x:v>
      </x:c>
      <x:c r="AJ769" s="55" t="n">
        <x:v>405</x:v>
      </x:c>
      <x:c r="AK769" s="55" t="n">
        <x:v>1269</x:v>
      </x:c>
      <x:c r="AL769" s="55" t="n">
        <x:v>1314</x:v>
      </x:c>
      <x:c r="AM769" s="55" t="n">
        <x:v>5302</x:v>
      </x:c>
      <x:c r="AN769" s="55" t="n">
        <x:v>2486</x:v>
      </x:c>
      <x:c r="AO769" s="55" t="n">
        <x:v>0</x:v>
      </x:c>
      <x:c r="AP769" s="55" t="n">
        <x:v>2238</x:v>
      </x:c>
      <x:c r="AQ769" s="55" t="n">
        <x:v>975</x:v>
      </x:c>
    </x:row>
    <x:row r="770">
      <x:c r="A770" s="54" t="str">
        <x:v>T1_SHARED_CATCHMENT</x:v>
      </x:c>
      <x:c r="B770" s="54" t="n">
        <x:v>764</x:v>
      </x:c>
      <x:c r="C770" s="54" t="str">
        <x:v>NYC-V2-R01</x:v>
      </x:c>
      <x:c r="D770" s="54" t="str">
        <x:v>V2</x:v>
      </x:c>
      <x:c r="E770" s="54" t="str">
        <x:v>ADMITTED</x:v>
      </x:c>
      <x:c r="F770" s="55" t="n">
        <x:v>30079</x:v>
      </x:c>
      <x:c r="G770" s="55" t="n">
        <x:v>7490</x:v>
      </x:c>
      <x:c r="H770" s="55" t="n">
        <x:v>3168</x:v>
      </x:c>
      <x:c r="I770" s="55" t="n">
        <x:v>562</x:v>
      </x:c>
      <x:c r="J770" s="55" t="n">
        <x:v>107</x:v>
      </x:c>
      <x:c r="K770" s="55" t="n">
        <x:v>30079</x:v>
      </x:c>
      <x:c r="L770" s="55" t="n">
        <x:v>4195</x:v>
      </x:c>
      <x:c r="M770" s="55" t="n">
        <x:v>644</x:v>
      </x:c>
      <x:c r="N770" s="55" t="n">
        <x:v>2588</x:v>
      </x:c>
      <x:c r="O770" s="55" t="n">
        <x:v>963</x:v>
      </x:c>
      <x:c r="P770" s="55" t="n">
        <x:v>572</x:v>
      </x:c>
      <x:c r="Q770" s="55" t="n">
        <x:v>1855</x:v>
      </x:c>
      <x:c r="R770" s="55" t="n">
        <x:v>1828</x:v>
      </x:c>
      <x:c r="S770" s="55" t="n">
        <x:v>3293</x:v>
      </x:c>
      <x:c r="T770" s="55" t="n">
        <x:v>1114</x:v>
      </x:c>
      <x:c r="U770" s="55" t="n">
        <x:v>1810</x:v>
      </x:c>
      <x:c r="V770" s="55" t="n">
        <x:v>10276</x:v>
      </x:c>
      <x:c r="W770" s="55" t="n">
        <x:v>6911</x:v>
      </x:c>
      <x:c r="X770" s="55" t="n">
        <x:v>3365</x:v>
      </x:c>
      <x:c r="Y770" s="55" t="n">
        <x:v>2617</x:v>
      </x:c>
      <x:c r="Z770" s="55" t="n">
        <x:v>3271</x:v>
      </x:c>
      <x:c r="AA770" s="55" t="n">
        <x:v>2891</x:v>
      </x:c>
      <x:c r="AB770" s="55" t="n">
        <x:v>1115</x:v>
      </x:c>
      <x:c r="AC770" s="55" t="n">
        <x:v>7908</x:v>
      </x:c>
      <x:c r="AD770" s="55" t="n">
        <x:v>2568</x:v>
      </x:c>
      <x:c r="AE770" s="55" t="n">
        <x:v>10307</x:v>
      </x:c>
      <x:c r="AF770" s="55" t="n">
        <x:v>10276</x:v>
      </x:c>
      <x:c r="AG770" s="55" t="n">
        <x:v>31</x:v>
      </x:c>
      <x:c r="AH770" s="55" t="n">
        <x:v>282</x:v>
      </x:c>
      <x:c r="AI770" s="55" t="n">
        <x:v>9994</x:v>
      </x:c>
      <x:c r="AJ770" s="55" t="n">
        <x:v>231</x:v>
      </x:c>
      <x:c r="AK770" s="55" t="n">
        <x:v>906</x:v>
      </x:c>
      <x:c r="AL770" s="55" t="n">
        <x:v>1956</x:v>
      </x:c>
      <x:c r="AM770" s="55" t="n">
        <x:v>4196</x:v>
      </x:c>
      <x:c r="AN770" s="55" t="n">
        <x:v>2987</x:v>
      </x:c>
      <x:c r="AO770" s="55" t="n">
        <x:v>0</x:v>
      </x:c>
      <x:c r="AP770" s="55" t="n">
        <x:v>2065</x:v>
      </x:c>
      <x:c r="AQ770" s="55" t="n">
        <x:v>984</x:v>
      </x:c>
    </x:row>
    <x:row r="771">
      <x:c r="A771" s="54" t="str">
        <x:v>T1_SHARED_CATCHMENT</x:v>
      </x:c>
      <x:c r="B771" s="54" t="n">
        <x:v>765</x:v>
      </x:c>
      <x:c r="C771" s="54" t="str">
        <x:v>NYC-V2-R01</x:v>
      </x:c>
      <x:c r="D771" s="54" t="str">
        <x:v>V2</x:v>
      </x:c>
      <x:c r="E771" s="54" t="str">
        <x:v>ADMITTED</x:v>
      </x:c>
      <x:c r="F771" s="55" t="n">
        <x:v>29333</x:v>
      </x:c>
      <x:c r="G771" s="55" t="n">
        <x:v>6607</x:v>
      </x:c>
      <x:c r="H771" s="55" t="n">
        <x:v>2923</x:v>
      </x:c>
      <x:c r="I771" s="55" t="n">
        <x:v>1326</x:v>
      </x:c>
      <x:c r="J771" s="55" t="n">
        <x:v>110</x:v>
      </x:c>
      <x:c r="K771" s="55" t="n">
        <x:v>29114</x:v>
      </x:c>
      <x:c r="L771" s="55" t="n">
        <x:v>5930</x:v>
      </x:c>
      <x:c r="M771" s="55" t="n">
        <x:v>1585</x:v>
      </x:c>
      <x:c r="N771" s="55" t="n">
        <x:v>2947</x:v>
      </x:c>
      <x:c r="O771" s="55" t="n">
        <x:v>1398</x:v>
      </x:c>
      <x:c r="P771" s="55" t="n">
        <x:v>453</x:v>
      </x:c>
      <x:c r="Q771" s="55" t="n">
        <x:v>1741</x:v>
      </x:c>
      <x:c r="R771" s="55" t="n">
        <x:v>2278</x:v>
      </x:c>
      <x:c r="S771" s="55" t="n">
        <x:v>3401</x:v>
      </x:c>
      <x:c r="T771" s="55" t="n">
        <x:v>1352</x:v>
      </x:c>
      <x:c r="U771" s="55" t="n">
        <x:v>1856</x:v>
      </x:c>
      <x:c r="V771" s="55" t="n">
        <x:v>10116</x:v>
      </x:c>
      <x:c r="W771" s="55" t="n">
        <x:v>7600</x:v>
      </x:c>
      <x:c r="X771" s="55" t="n">
        <x:v>2516</x:v>
      </x:c>
      <x:c r="Y771" s="55" t="n">
        <x:v>1909</x:v>
      </x:c>
      <x:c r="Z771" s="55" t="n">
        <x:v>3664</x:v>
      </x:c>
      <x:c r="AA771" s="55" t="n">
        <x:v>2915</x:v>
      </x:c>
      <x:c r="AB771" s="55" t="n">
        <x:v>1263</x:v>
      </x:c>
      <x:c r="AC771" s="55" t="n">
        <x:v>8274</x:v>
      </x:c>
      <x:c r="AD771" s="55" t="n">
        <x:v>2666</x:v>
      </x:c>
      <x:c r="AE771" s="55" t="n">
        <x:v>10152</x:v>
      </x:c>
      <x:c r="AF771" s="55" t="n">
        <x:v>10116</x:v>
      </x:c>
      <x:c r="AG771" s="55" t="n">
        <x:v>36</x:v>
      </x:c>
      <x:c r="AH771" s="55" t="n">
        <x:v>336</x:v>
      </x:c>
      <x:c r="AI771" s="55" t="n">
        <x:v>9780</x:v>
      </x:c>
      <x:c r="AJ771" s="55" t="n">
        <x:v>278</x:v>
      </x:c>
      <x:c r="AK771" s="55" t="n">
        <x:v>917</x:v>
      </x:c>
      <x:c r="AL771" s="55" t="n">
        <x:v>2059</x:v>
      </x:c>
      <x:c r="AM771" s="55" t="n">
        <x:v>4468</x:v>
      </x:c>
      <x:c r="AN771" s="55" t="n">
        <x:v>2394</x:v>
      </x:c>
      <x:c r="AO771" s="55" t="n">
        <x:v>0</x:v>
      </x:c>
      <x:c r="AP771" s="55" t="n">
        <x:v>2636</x:v>
      </x:c>
      <x:c r="AQ771" s="55" t="n">
        <x:v>985</x:v>
      </x:c>
    </x:row>
    <x:row r="772">
      <x:c r="A772" s="54" t="str">
        <x:v>T1_SHARED_CATCHMENT</x:v>
      </x:c>
      <x:c r="B772" s="54" t="n">
        <x:v>766</x:v>
      </x:c>
      <x:c r="C772" s="54" t="str">
        <x:v>NYC-V2-R01</x:v>
      </x:c>
      <x:c r="D772" s="54" t="str">
        <x:v>V2</x:v>
      </x:c>
      <x:c r="E772" s="54" t="str">
        <x:v>ADMITTED</x:v>
      </x:c>
      <x:c r="F772" s="55" t="n">
        <x:v>31952</x:v>
      </x:c>
      <x:c r="G772" s="55" t="n">
        <x:v>7648</x:v>
      </x:c>
      <x:c r="H772" s="55" t="n">
        <x:v>3046</x:v>
      </x:c>
      <x:c r="I772" s="55" t="n">
        <x:v>1107</x:v>
      </x:c>
      <x:c r="J772" s="55" t="n">
        <x:v>194</x:v>
      </x:c>
      <x:c r="K772" s="55" t="n">
        <x:v>31952</x:v>
      </x:c>
      <x:c r="L772" s="55" t="n">
        <x:v>6463</x:v>
      </x:c>
      <x:c r="M772" s="55" t="n">
        <x:v>1936</x:v>
      </x:c>
      <x:c r="N772" s="55" t="n">
        <x:v>3083</x:v>
      </x:c>
      <x:c r="O772" s="55" t="n">
        <x:v>1444</x:v>
      </x:c>
      <x:c r="P772" s="55" t="n">
        <x:v>1273</x:v>
      </x:c>
      <x:c r="Q772" s="55" t="n">
        <x:v>3217</x:v>
      </x:c>
      <x:c r="R772" s="55" t="n">
        <x:v>1553</x:v>
      </x:c>
      <x:c r="S772" s="55" t="n">
        <x:v>2579</x:v>
      </x:c>
      <x:c r="T772" s="55" t="n">
        <x:v>1256</x:v>
      </x:c>
      <x:c r="U772" s="55" t="n">
        <x:v>1868</x:v>
      </x:c>
      <x:c r="V772" s="55" t="n">
        <x:v>10074</x:v>
      </x:c>
      <x:c r="W772" s="55" t="n">
        <x:v>7048</x:v>
      </x:c>
      <x:c r="X772" s="55" t="n">
        <x:v>3026</x:v>
      </x:c>
      <x:c r="Y772" s="55" t="n">
        <x:v>2425</x:v>
      </x:c>
      <x:c r="Z772" s="55" t="n">
        <x:v>4358</x:v>
      </x:c>
      <x:c r="AA772" s="55" t="n">
        <x:v>2776</x:v>
      </x:c>
      <x:c r="AB772" s="55" t="n">
        <x:v>1071</x:v>
      </x:c>
      <x:c r="AC772" s="55" t="n">
        <x:v>8463</x:v>
      </x:c>
      <x:c r="AD772" s="55" t="n">
        <x:v>2563</x:v>
      </x:c>
      <x:c r="AE772" s="55" t="n">
        <x:v>10183</x:v>
      </x:c>
      <x:c r="AF772" s="55" t="n">
        <x:v>10074</x:v>
      </x:c>
      <x:c r="AG772" s="55" t="n">
        <x:v>109</x:v>
      </x:c>
      <x:c r="AH772" s="55" t="n">
        <x:v>376</x:v>
      </x:c>
      <x:c r="AI772" s="55" t="n">
        <x:v>9698</x:v>
      </x:c>
      <x:c r="AJ772" s="55" t="n">
        <x:v>366</x:v>
      </x:c>
      <x:c r="AK772" s="55" t="n">
        <x:v>1108</x:v>
      </x:c>
      <x:c r="AL772" s="55" t="n">
        <x:v>1798</x:v>
      </x:c>
      <x:c r="AM772" s="55" t="n">
        <x:v>4191</x:v>
      </x:c>
      <x:c r="AN772" s="55" t="n">
        <x:v>2605</x:v>
      </x:c>
      <x:c r="AO772" s="55" t="n">
        <x:v>6</x:v>
      </x:c>
      <x:c r="AP772" s="55" t="n">
        <x:v>2735</x:v>
      </x:c>
      <x:c r="AQ772" s="55" t="n">
        <x:v>947</x:v>
      </x:c>
    </x:row>
    <x:row r="773">
      <x:c r="A773" s="54" t="str">
        <x:v>T1_SHARED_CATCHMENT</x:v>
      </x:c>
      <x:c r="B773" s="54" t="n">
        <x:v>767</x:v>
      </x:c>
      <x:c r="C773" s="54" t="str">
        <x:v>NYC-V2-R01</x:v>
      </x:c>
      <x:c r="D773" s="54" t="str">
        <x:v>V2</x:v>
      </x:c>
      <x:c r="E773" s="54" t="str">
        <x:v>ADMITTED</x:v>
      </x:c>
      <x:c r="F773" s="55" t="n">
        <x:v>33604</x:v>
      </x:c>
      <x:c r="G773" s="55" t="n">
        <x:v>6709</x:v>
      </x:c>
      <x:c r="H773" s="55" t="n">
        <x:v>3447</x:v>
      </x:c>
      <x:c r="I773" s="55" t="n">
        <x:v>1518</x:v>
      </x:c>
      <x:c r="J773" s="55" t="n">
        <x:v>224</x:v>
      </x:c>
      <x:c r="K773" s="55" t="n">
        <x:v>33604</x:v>
      </x:c>
      <x:c r="L773" s="55" t="n">
        <x:v>5664</x:v>
      </x:c>
      <x:c r="M773" s="55" t="n">
        <x:v>993</x:v>
      </x:c>
      <x:c r="N773" s="55" t="n">
        <x:v>2832</x:v>
      </x:c>
      <x:c r="O773" s="55" t="n">
        <x:v>1839</x:v>
      </x:c>
      <x:c r="P773" s="55" t="n">
        <x:v>931</x:v>
      </x:c>
      <x:c r="Q773" s="55" t="n">
        <x:v>1636</x:v>
      </x:c>
      <x:c r="R773" s="55" t="n">
        <x:v>2010</x:v>
      </x:c>
      <x:c r="S773" s="55" t="n">
        <x:v>3310</x:v>
      </x:c>
      <x:c r="T773" s="55" t="n">
        <x:v>988</x:v>
      </x:c>
      <x:c r="U773" s="55" t="n">
        <x:v>2131</x:v>
      </x:c>
      <x:c r="V773" s="55" t="n">
        <x:v>10476</x:v>
      </x:c>
      <x:c r="W773" s="55" t="n">
        <x:v>7733</x:v>
      </x:c>
      <x:c r="X773" s="55" t="n">
        <x:v>2743</x:v>
      </x:c>
      <x:c r="Y773" s="55" t="n">
        <x:v>2288</x:v>
      </x:c>
      <x:c r="Z773" s="55" t="n">
        <x:v>3965</x:v>
      </x:c>
      <x:c r="AA773" s="55" t="n">
        <x:v>3040</x:v>
      </x:c>
      <x:c r="AB773" s="55" t="n">
        <x:v>988</x:v>
      </x:c>
      <x:c r="AC773" s="55" t="n">
        <x:v>8107</x:v>
      </x:c>
      <x:c r="AD773" s="55" t="n">
        <x:v>2556</x:v>
      </x:c>
      <x:c r="AE773" s="55" t="n">
        <x:v>10542</x:v>
      </x:c>
      <x:c r="AF773" s="55" t="n">
        <x:v>10476</x:v>
      </x:c>
      <x:c r="AG773" s="55" t="n">
        <x:v>66</x:v>
      </x:c>
      <x:c r="AH773" s="55" t="n">
        <x:v>379</x:v>
      </x:c>
      <x:c r="AI773" s="55" t="n">
        <x:v>10097</x:v>
      </x:c>
      <x:c r="AJ773" s="55" t="n">
        <x:v>289</x:v>
      </x:c>
      <x:c r="AK773" s="55" t="n">
        <x:v>1250</x:v>
      </x:c>
      <x:c r="AL773" s="55" t="n">
        <x:v>1425</x:v>
      </x:c>
      <x:c r="AM773" s="55" t="n">
        <x:v>4987</x:v>
      </x:c>
      <x:c r="AN773" s="55" t="n">
        <x:v>2525</x:v>
      </x:c>
      <x:c r="AO773" s="55" t="n">
        <x:v>0</x:v>
      </x:c>
      <x:c r="AP773" s="55" t="n">
        <x:v>2421</x:v>
      </x:c>
      <x:c r="AQ773" s="55" t="n">
        <x:v>964</x:v>
      </x:c>
    </x:row>
    <x:row r="774">
      <x:c r="A774" s="54" t="str">
        <x:v>T1_SHARED_CATCHMENT</x:v>
      </x:c>
      <x:c r="B774" s="54" t="n">
        <x:v>768</x:v>
      </x:c>
      <x:c r="C774" s="54" t="str">
        <x:v>NYC-V2-R01</x:v>
      </x:c>
      <x:c r="D774" s="54" t="str">
        <x:v>V2</x:v>
      </x:c>
      <x:c r="E774" s="54" t="str">
        <x:v>ADMITTED</x:v>
      </x:c>
      <x:c r="F774" s="55" t="n">
        <x:v>31322</x:v>
      </x:c>
      <x:c r="G774" s="55" t="n">
        <x:v>7832</x:v>
      </x:c>
      <x:c r="H774" s="55" t="n">
        <x:v>3177</x:v>
      </x:c>
      <x:c r="I774" s="55" t="n">
        <x:v>1321</x:v>
      </x:c>
      <x:c r="J774" s="55" t="n">
        <x:v>224</x:v>
      </x:c>
      <x:c r="K774" s="55" t="n">
        <x:v>26969</x:v>
      </x:c>
      <x:c r="L774" s="55" t="n">
        <x:v>4842</x:v>
      </x:c>
      <x:c r="M774" s="55" t="n">
        <x:v>447</x:v>
      </x:c>
      <x:c r="N774" s="55" t="n">
        <x:v>2314</x:v>
      </x:c>
      <x:c r="O774" s="55" t="n">
        <x:v>2081</x:v>
      </x:c>
      <x:c r="P774" s="55" t="n">
        <x:v>746</x:v>
      </x:c>
      <x:c r="Q774" s="55" t="n">
        <x:v>1657</x:v>
      </x:c>
      <x:c r="R774" s="55" t="n">
        <x:v>1573</x:v>
      </x:c>
      <x:c r="S774" s="55" t="n">
        <x:v>2519</x:v>
      </x:c>
      <x:c r="T774" s="55" t="n">
        <x:v>1236</x:v>
      </x:c>
      <x:c r="U774" s="55" t="n">
        <x:v>1905</x:v>
      </x:c>
      <x:c r="V774" s="55" t="n">
        <x:v>10184</x:v>
      </x:c>
      <x:c r="W774" s="55" t="n">
        <x:v>6653</x:v>
      </x:c>
      <x:c r="X774" s="55" t="n">
        <x:v>3531</x:v>
      </x:c>
      <x:c r="Y774" s="55" t="n">
        <x:v>3019</x:v>
      </x:c>
      <x:c r="Z774" s="55" t="n">
        <x:v>4396</x:v>
      </x:c>
      <x:c r="AA774" s="55" t="n">
        <x:v>3002</x:v>
      </x:c>
      <x:c r="AB774" s="55" t="n">
        <x:v>808</x:v>
      </x:c>
      <x:c r="AC774" s="55" t="n">
        <x:v>8440</x:v>
      </x:c>
      <x:c r="AD774" s="55" t="n">
        <x:v>2502</x:v>
      </x:c>
      <x:c r="AE774" s="55" t="n">
        <x:v>10313</x:v>
      </x:c>
      <x:c r="AF774" s="55" t="n">
        <x:v>10184</x:v>
      </x:c>
      <x:c r="AG774" s="55" t="n">
        <x:v>129</x:v>
      </x:c>
      <x:c r="AH774" s="55" t="n">
        <x:v>426</x:v>
      </x:c>
      <x:c r="AI774" s="55" t="n">
        <x:v>9758</x:v>
      </x:c>
      <x:c r="AJ774" s="55" t="n">
        <x:v>488</x:v>
      </x:c>
      <x:c r="AK774" s="55" t="n">
        <x:v>1009</x:v>
      </x:c>
      <x:c r="AL774" s="55" t="n">
        <x:v>1309</x:v>
      </x:c>
      <x:c r="AM774" s="55" t="n">
        <x:v>4861</x:v>
      </x:c>
      <x:c r="AN774" s="55" t="n">
        <x:v>2499</x:v>
      </x:c>
      <x:c r="AO774" s="55" t="n">
        <x:v>18</x:v>
      </x:c>
      <x:c r="AP774" s="55" t="n">
        <x:v>2335</x:v>
      </x:c>
      <x:c r="AQ774" s="55" t="n">
        <x:v>978</x:v>
      </x:c>
    </x:row>
    <x:row r="775">
      <x:c r="A775" s="54" t="str">
        <x:v>T1_SHARED_CATCHMENT</x:v>
      </x:c>
      <x:c r="B775" s="54" t="n">
        <x:v>769</x:v>
      </x:c>
      <x:c r="C775" s="54" t="str">
        <x:v>NYC-V2-R01</x:v>
      </x:c>
      <x:c r="D775" s="54" t="str">
        <x:v>V2</x:v>
      </x:c>
      <x:c r="E775" s="54" t="str">
        <x:v>ADMITTED</x:v>
      </x:c>
      <x:c r="F775" s="55" t="n">
        <x:v>31875</x:v>
      </x:c>
      <x:c r="G775" s="55" t="n">
        <x:v>6875</x:v>
      </x:c>
      <x:c r="H775" s="55" t="n">
        <x:v>3558</x:v>
      </x:c>
      <x:c r="I775" s="55" t="n">
        <x:v>1225</x:v>
      </x:c>
      <x:c r="J775" s="55" t="n">
        <x:v>138</x:v>
      </x:c>
      <x:c r="K775" s="55" t="n">
        <x:v>31875</x:v>
      </x:c>
      <x:c r="L775" s="55" t="n">
        <x:v>4876</x:v>
      </x:c>
      <x:c r="M775" s="55" t="n">
        <x:v>0</x:v>
      </x:c>
      <x:c r="N775" s="55" t="n">
        <x:v>2823</x:v>
      </x:c>
      <x:c r="O775" s="55" t="n">
        <x:v>2053</x:v>
      </x:c>
      <x:c r="P775" s="55" t="n">
        <x:v>829</x:v>
      </x:c>
      <x:c r="Q775" s="55" t="n">
        <x:v>2110</x:v>
      </x:c>
      <x:c r="R775" s="55" t="n">
        <x:v>2064</x:v>
      </x:c>
      <x:c r="S775" s="55" t="n">
        <x:v>2636</x:v>
      </x:c>
      <x:c r="T775" s="55" t="n">
        <x:v>1623</x:v>
      </x:c>
      <x:c r="U775" s="55" t="n">
        <x:v>1675</x:v>
      </x:c>
      <x:c r="V775" s="55" t="n">
        <x:v>9962</x:v>
      </x:c>
      <x:c r="W775" s="55" t="n">
        <x:v>6426</x:v>
      </x:c>
      <x:c r="X775" s="55" t="n">
        <x:v>3536</x:v>
      </x:c>
      <x:c r="Y775" s="55" t="n">
        <x:v>3075</x:v>
      </x:c>
      <x:c r="Z775" s="55" t="n">
        <x:v>3554</x:v>
      </x:c>
      <x:c r="AA775" s="55" t="n">
        <x:v>3558</x:v>
      </x:c>
      <x:c r="AB775" s="55" t="n">
        <x:v>881</x:v>
      </x:c>
      <x:c r="AC775" s="55" t="n">
        <x:v>7731</x:v>
      </x:c>
      <x:c r="AD775" s="55" t="n">
        <x:v>3084</x:v>
      </x:c>
      <x:c r="AE775" s="55" t="n">
        <x:v>10062</x:v>
      </x:c>
      <x:c r="AF775" s="55" t="n">
        <x:v>9962</x:v>
      </x:c>
      <x:c r="AG775" s="55" t="n">
        <x:v>100</x:v>
      </x:c>
      <x:c r="AH775" s="55" t="n">
        <x:v>433</x:v>
      </x:c>
      <x:c r="AI775" s="55" t="n">
        <x:v>9529</x:v>
      </x:c>
      <x:c r="AJ775" s="55" t="n">
        <x:v>271</x:v>
      </x:c>
      <x:c r="AK775" s="55" t="n">
        <x:v>893</x:v>
      </x:c>
      <x:c r="AL775" s="55" t="n">
        <x:v>2223</x:v>
      </x:c>
      <x:c r="AM775" s="55" t="n">
        <x:v>3981</x:v>
      </x:c>
      <x:c r="AN775" s="55" t="n">
        <x:v>2594</x:v>
      </x:c>
      <x:c r="AO775" s="55" t="n">
        <x:v>0</x:v>
      </x:c>
      <x:c r="AP775" s="55" t="n">
        <x:v>1932</x:v>
      </x:c>
      <x:c r="AQ775" s="55" t="n">
        <x:v>965</x:v>
      </x:c>
    </x:row>
    <x:row r="776">
      <x:c r="A776" s="54" t="str">
        <x:v>T1_SHARED_CATCHMENT</x:v>
      </x:c>
      <x:c r="B776" s="54" t="n">
        <x:v>770</x:v>
      </x:c>
      <x:c r="C776" s="54" t="str">
        <x:v>NYC-V2-R01</x:v>
      </x:c>
      <x:c r="D776" s="54" t="str">
        <x:v>V2</x:v>
      </x:c>
      <x:c r="E776" s="54" t="str">
        <x:v>ADMITTED</x:v>
      </x:c>
      <x:c r="F776" s="55" t="n">
        <x:v>31129</x:v>
      </x:c>
      <x:c r="G776" s="55" t="n">
        <x:v>6976</x:v>
      </x:c>
      <x:c r="H776" s="55" t="n">
        <x:v>3224</x:v>
      </x:c>
      <x:c r="I776" s="55" t="n">
        <x:v>1678</x:v>
      </x:c>
      <x:c r="J776" s="55" t="n">
        <x:v>324</x:v>
      </x:c>
      <x:c r="K776" s="55" t="n">
        <x:v>31129</x:v>
      </x:c>
      <x:c r="L776" s="55" t="n">
        <x:v>6366</x:v>
      </x:c>
      <x:c r="M776" s="55" t="n">
        <x:v>1424</x:v>
      </x:c>
      <x:c r="N776" s="55" t="n">
        <x:v>2854</x:v>
      </x:c>
      <x:c r="O776" s="55" t="n">
        <x:v>2088</x:v>
      </x:c>
      <x:c r="P776" s="55" t="n">
        <x:v>1003</x:v>
      </x:c>
      <x:c r="Q776" s="55" t="n">
        <x:v>3234</x:v>
      </x:c>
      <x:c r="R776" s="55" t="n">
        <x:v>1951</x:v>
      </x:c>
      <x:c r="S776" s="55" t="n">
        <x:v>3356</x:v>
      </x:c>
      <x:c r="T776" s="55" t="n">
        <x:v>1308</x:v>
      </x:c>
      <x:c r="U776" s="55" t="n">
        <x:v>1918</x:v>
      </x:c>
      <x:c r="V776" s="55" t="n">
        <x:v>10510</x:v>
      </x:c>
      <x:c r="W776" s="55" t="n">
        <x:v>7360</x:v>
      </x:c>
      <x:c r="X776" s="55" t="n">
        <x:v>3150</x:v>
      </x:c>
      <x:c r="Y776" s="55" t="n">
        <x:v>2722</x:v>
      </x:c>
      <x:c r="Z776" s="55" t="n">
        <x:v>4087</x:v>
      </x:c>
      <x:c r="AA776" s="55" t="n">
        <x:v>2850</x:v>
      </x:c>
      <x:c r="AB776" s="55" t="n">
        <x:v>1061</x:v>
      </x:c>
      <x:c r="AC776" s="55" t="n">
        <x:v>7516</x:v>
      </x:c>
      <x:c r="AD776" s="55" t="n">
        <x:v>3194</x:v>
      </x:c>
      <x:c r="AE776" s="55" t="n">
        <x:v>10651</x:v>
      </x:c>
      <x:c r="AF776" s="55" t="n">
        <x:v>10510</x:v>
      </x:c>
      <x:c r="AG776" s="55" t="n">
        <x:v>141</x:v>
      </x:c>
      <x:c r="AH776" s="55" t="n">
        <x:v>368</x:v>
      </x:c>
      <x:c r="AI776" s="55" t="n">
        <x:v>10142</x:v>
      </x:c>
      <x:c r="AJ776" s="55" t="n">
        <x:v>425</x:v>
      </x:c>
      <x:c r="AK776" s="55" t="n">
        <x:v>948</x:v>
      </x:c>
      <x:c r="AL776" s="55" t="n">
        <x:v>1650</x:v>
      </x:c>
      <x:c r="AM776" s="55" t="n">
        <x:v>4941</x:v>
      </x:c>
      <x:c r="AN776" s="55" t="n">
        <x:v>2546</x:v>
      </x:c>
      <x:c r="AO776" s="55" t="n">
        <x:v>0</x:v>
      </x:c>
      <x:c r="AP776" s="55" t="n">
        <x:v>2468</x:v>
      </x:c>
      <x:c r="AQ776" s="55" t="n">
        <x:v>945</x:v>
      </x:c>
    </x:row>
    <x:row r="777">
      <x:c r="A777" s="54" t="str">
        <x:v>T1_SHARED_CATCHMENT</x:v>
      </x:c>
      <x:c r="B777" s="54" t="n">
        <x:v>771</x:v>
      </x:c>
      <x:c r="C777" s="54" t="str">
        <x:v>NYC-V2-R01</x:v>
      </x:c>
      <x:c r="D777" s="54" t="str">
        <x:v>V2</x:v>
      </x:c>
      <x:c r="E777" s="54" t="str">
        <x:v>ADMITTED</x:v>
      </x:c>
      <x:c r="F777" s="55" t="n">
        <x:v>31263</x:v>
      </x:c>
      <x:c r="G777" s="55" t="n">
        <x:v>8552</x:v>
      </x:c>
      <x:c r="H777" s="55" t="n">
        <x:v>2883</x:v>
      </x:c>
      <x:c r="I777" s="55" t="n">
        <x:v>713</x:v>
      </x:c>
      <x:c r="J777" s="55" t="n">
        <x:v>195</x:v>
      </x:c>
      <x:c r="K777" s="55" t="n">
        <x:v>31255</x:v>
      </x:c>
      <x:c r="L777" s="55" t="n">
        <x:v>5948</x:v>
      </x:c>
      <x:c r="M777" s="55" t="n">
        <x:v>870</x:v>
      </x:c>
      <x:c r="N777" s="55" t="n">
        <x:v>2860</x:v>
      </x:c>
      <x:c r="O777" s="55" t="n">
        <x:v>2218</x:v>
      </x:c>
      <x:c r="P777" s="55" t="n">
        <x:v>839</x:v>
      </x:c>
      <x:c r="Q777" s="55" t="n">
        <x:v>2636</x:v>
      </x:c>
      <x:c r="R777" s="55" t="n">
        <x:v>2070</x:v>
      </x:c>
      <x:c r="S777" s="55" t="n">
        <x:v>2591</x:v>
      </x:c>
      <x:c r="T777" s="55" t="n">
        <x:v>1375</x:v>
      </x:c>
      <x:c r="U777" s="55" t="n">
        <x:v>2127</x:v>
      </x:c>
      <x:c r="V777" s="55" t="n">
        <x:v>10156</x:v>
      </x:c>
      <x:c r="W777" s="55" t="n">
        <x:v>7349</x:v>
      </x:c>
      <x:c r="X777" s="55" t="n">
        <x:v>2807</x:v>
      </x:c>
      <x:c r="Y777" s="55" t="n">
        <x:v>2357</x:v>
      </x:c>
      <x:c r="Z777" s="55" t="n">
        <x:v>3737</x:v>
      </x:c>
      <x:c r="AA777" s="55" t="n">
        <x:v>2638</x:v>
      </x:c>
      <x:c r="AB777" s="55" t="n">
        <x:v>761</x:v>
      </x:c>
      <x:c r="AC777" s="55" t="n">
        <x:v>8770</x:v>
      </x:c>
      <x:c r="AD777" s="55" t="n">
        <x:v>2280</x:v>
      </x:c>
      <x:c r="AE777" s="55" t="n">
        <x:v>10265</x:v>
      </x:c>
      <x:c r="AF777" s="55" t="n">
        <x:v>10156</x:v>
      </x:c>
      <x:c r="AG777" s="55" t="n">
        <x:v>109</x:v>
      </x:c>
      <x:c r="AH777" s="55" t="n">
        <x:v>412</x:v>
      </x:c>
      <x:c r="AI777" s="55" t="n">
        <x:v>9744</x:v>
      </x:c>
      <x:c r="AJ777" s="55" t="n">
        <x:v>366</x:v>
      </x:c>
      <x:c r="AK777" s="55" t="n">
        <x:v>771</x:v>
      </x:c>
      <x:c r="AL777" s="55" t="n">
        <x:v>1626</x:v>
      </x:c>
      <x:c r="AM777" s="55" t="n">
        <x:v>4708</x:v>
      </x:c>
      <x:c r="AN777" s="55" t="n">
        <x:v>2685</x:v>
      </x:c>
      <x:c r="AO777" s="55" t="n">
        <x:v>0</x:v>
      </x:c>
      <x:c r="AP777" s="55" t="n">
        <x:v>2247</x:v>
      </x:c>
      <x:c r="AQ777" s="55" t="n">
        <x:v>982</x:v>
      </x:c>
    </x:row>
    <x:row r="778">
      <x:c r="A778" s="54" t="str">
        <x:v>T1_SHARED_CATCHMENT</x:v>
      </x:c>
      <x:c r="B778" s="54" t="n">
        <x:v>772</x:v>
      </x:c>
      <x:c r="C778" s="54" t="str">
        <x:v>NYC-V2-R01</x:v>
      </x:c>
      <x:c r="D778" s="54" t="str">
        <x:v>V2</x:v>
      </x:c>
      <x:c r="E778" s="54" t="str">
        <x:v>ADMITTED</x:v>
      </x:c>
      <x:c r="F778" s="55" t="n">
        <x:v>29482</x:v>
      </x:c>
      <x:c r="G778" s="55" t="n">
        <x:v>7331</x:v>
      </x:c>
      <x:c r="H778" s="55" t="n">
        <x:v>3491</x:v>
      </x:c>
      <x:c r="I778" s="55" t="n">
        <x:v>807</x:v>
      </x:c>
      <x:c r="J778" s="55" t="n">
        <x:v>8</x:v>
      </x:c>
      <x:c r="K778" s="55" t="n">
        <x:v>29482</x:v>
      </x:c>
      <x:c r="L778" s="55" t="n">
        <x:v>4907</x:v>
      </x:c>
      <x:c r="M778" s="55" t="n">
        <x:v>734</x:v>
      </x:c>
      <x:c r="N778" s="55" t="n">
        <x:v>2317</x:v>
      </x:c>
      <x:c r="O778" s="55" t="n">
        <x:v>1856</x:v>
      </x:c>
      <x:c r="P778" s="55" t="n">
        <x:v>432</x:v>
      </x:c>
      <x:c r="Q778" s="55" t="n">
        <x:v>2376</x:v>
      </x:c>
      <x:c r="R778" s="55" t="n">
        <x:v>1793</x:v>
      </x:c>
      <x:c r="S778" s="55" t="n">
        <x:v>3047</x:v>
      </x:c>
      <x:c r="T778" s="55" t="n">
        <x:v>1179</x:v>
      </x:c>
      <x:c r="U778" s="55" t="n">
        <x:v>1865</x:v>
      </x:c>
      <x:c r="V778" s="55" t="n">
        <x:v>10468</x:v>
      </x:c>
      <x:c r="W778" s="55" t="n">
        <x:v>7401</x:v>
      </x:c>
      <x:c r="X778" s="55" t="n">
        <x:v>3067</x:v>
      </x:c>
      <x:c r="Y778" s="55" t="n">
        <x:v>2641</x:v>
      </x:c>
      <x:c r="Z778" s="55" t="n">
        <x:v>3546</x:v>
      </x:c>
      <x:c r="AA778" s="55" t="n">
        <x:v>3491</x:v>
      </x:c>
      <x:c r="AB778" s="55" t="n">
        <x:v>1208</x:v>
      </x:c>
      <x:c r="AC778" s="55" t="n">
        <x:v>8335</x:v>
      </x:c>
      <x:c r="AD778" s="55" t="n">
        <x:v>2540</x:v>
      </x:c>
      <x:c r="AE778" s="55" t="n">
        <x:v>10530</x:v>
      </x:c>
      <x:c r="AF778" s="55" t="n">
        <x:v>10468</x:v>
      </x:c>
      <x:c r="AG778" s="55" t="n">
        <x:v>62</x:v>
      </x:c>
      <x:c r="AH778" s="55" t="n">
        <x:v>424</x:v>
      </x:c>
      <x:c r="AI778" s="55" t="n">
        <x:v>10044</x:v>
      </x:c>
      <x:c r="AJ778" s="55" t="n">
        <x:v>384</x:v>
      </x:c>
      <x:c r="AK778" s="55" t="n">
        <x:v>1038</x:v>
      </x:c>
      <x:c r="AL778" s="55" t="n">
        <x:v>1364</x:v>
      </x:c>
      <x:c r="AM778" s="55" t="n">
        <x:v>5155</x:v>
      </x:c>
      <x:c r="AN778" s="55" t="n">
        <x:v>2480</x:v>
      </x:c>
      <x:c r="AO778" s="55" t="n">
        <x:v>47</x:v>
      </x:c>
      <x:c r="AP778" s="55" t="n">
        <x:v>2241</x:v>
      </x:c>
      <x:c r="AQ778" s="55" t="n">
        <x:v>957</x:v>
      </x:c>
    </x:row>
    <x:row r="779">
      <x:c r="A779" s="54" t="str">
        <x:v>T1_SHARED_CATCHMENT</x:v>
      </x:c>
      <x:c r="B779" s="54" t="n">
        <x:v>773</x:v>
      </x:c>
      <x:c r="C779" s="54" t="str">
        <x:v>NYC-V2-R01</x:v>
      </x:c>
      <x:c r="D779" s="54" t="str">
        <x:v>V2</x:v>
      </x:c>
      <x:c r="E779" s="54" t="str">
        <x:v>ADMITTED</x:v>
      </x:c>
      <x:c r="F779" s="55" t="n">
        <x:v>32960</x:v>
      </x:c>
      <x:c r="G779" s="55" t="n">
        <x:v>7613</x:v>
      </x:c>
      <x:c r="H779" s="55" t="n">
        <x:v>3357</x:v>
      </x:c>
      <x:c r="I779" s="55" t="n">
        <x:v>1229</x:v>
      </x:c>
      <x:c r="J779" s="55" t="n">
        <x:v>208</x:v>
      </x:c>
      <x:c r="K779" s="55" t="n">
        <x:v>32960</x:v>
      </x:c>
      <x:c r="L779" s="55" t="n">
        <x:v>7061</x:v>
      </x:c>
      <x:c r="M779" s="55" t="n">
        <x:v>1668</x:v>
      </x:c>
      <x:c r="N779" s="55" t="n">
        <x:v>3367</x:v>
      </x:c>
      <x:c r="O779" s="55" t="n">
        <x:v>2026</x:v>
      </x:c>
      <x:c r="P779" s="55" t="n">
        <x:v>878</x:v>
      </x:c>
      <x:c r="Q779" s="55" t="n">
        <x:v>2431</x:v>
      </x:c>
      <x:c r="R779" s="55" t="n">
        <x:v>1747</x:v>
      </x:c>
      <x:c r="S779" s="55" t="n">
        <x:v>1925</x:v>
      </x:c>
      <x:c r="T779" s="55" t="n">
        <x:v>1436</x:v>
      </x:c>
      <x:c r="U779" s="55" t="n">
        <x:v>1721</x:v>
      </x:c>
      <x:c r="V779" s="55" t="n">
        <x:v>10241</x:v>
      </x:c>
      <x:c r="W779" s="55" t="n">
        <x:v>7386</x:v>
      </x:c>
      <x:c r="X779" s="55" t="n">
        <x:v>2855</x:v>
      </x:c>
      <x:c r="Y779" s="55" t="n">
        <x:v>2384</x:v>
      </x:c>
      <x:c r="Z779" s="55" t="n">
        <x:v>3683</x:v>
      </x:c>
      <x:c r="AA779" s="55" t="n">
        <x:v>2925</x:v>
      </x:c>
      <x:c r="AB779" s="55" t="n">
        <x:v>1073</x:v>
      </x:c>
      <x:c r="AC779" s="55" t="n">
        <x:v>7911</x:v>
      </x:c>
      <x:c r="AD779" s="55" t="n">
        <x:v>2976</x:v>
      </x:c>
      <x:c r="AE779" s="55" t="n">
        <x:v>10346</x:v>
      </x:c>
      <x:c r="AF779" s="55" t="n">
        <x:v>10241</x:v>
      </x:c>
      <x:c r="AG779" s="55" t="n">
        <x:v>105</x:v>
      </x:c>
      <x:c r="AH779" s="55" t="n">
        <x:v>304</x:v>
      </x:c>
      <x:c r="AI779" s="55" t="n">
        <x:v>9937</x:v>
      </x:c>
      <x:c r="AJ779" s="55" t="n">
        <x:v>495</x:v>
      </x:c>
      <x:c r="AK779" s="55" t="n">
        <x:v>1116</x:v>
      </x:c>
      <x:c r="AL779" s="55" t="n">
        <x:v>1548</x:v>
      </x:c>
      <x:c r="AM779" s="55" t="n">
        <x:v>4504</x:v>
      </x:c>
      <x:c r="AN779" s="55" t="n">
        <x:v>2578</x:v>
      </x:c>
      <x:c r="AO779" s="55" t="n">
        <x:v>0</x:v>
      </x:c>
      <x:c r="AP779" s="55" t="n">
        <x:v>1929</x:v>
      </x:c>
      <x:c r="AQ779" s="55" t="n">
        <x:v>981</x:v>
      </x:c>
    </x:row>
    <x:row r="780">
      <x:c r="A780" s="54" t="str">
        <x:v>T1_SHARED_CATCHMENT</x:v>
      </x:c>
      <x:c r="B780" s="54" t="n">
        <x:v>774</x:v>
      </x:c>
      <x:c r="C780" s="54" t="str">
        <x:v>NYC-V2-R01</x:v>
      </x:c>
      <x:c r="D780" s="54" t="str">
        <x:v>V2</x:v>
      </x:c>
      <x:c r="E780" s="54" t="str">
        <x:v>ADMITTED</x:v>
      </x:c>
      <x:c r="F780" s="55" t="n">
        <x:v>30651</x:v>
      </x:c>
      <x:c r="G780" s="55" t="n">
        <x:v>8743</x:v>
      </x:c>
      <x:c r="H780" s="55" t="n">
        <x:v>3534</x:v>
      </x:c>
      <x:c r="I780" s="55" t="n">
        <x:v>1399</x:v>
      </x:c>
      <x:c r="J780" s="55" t="n">
        <x:v>458</x:v>
      </x:c>
      <x:c r="K780" s="55" t="n">
        <x:v>30270</x:v>
      </x:c>
      <x:c r="L780" s="55" t="n">
        <x:v>5416</x:v>
      </x:c>
      <x:c r="M780" s="55" t="n">
        <x:v>1063</x:v>
      </x:c>
      <x:c r="N780" s="55" t="n">
        <x:v>2787</x:v>
      </x:c>
      <x:c r="O780" s="55" t="n">
        <x:v>1566</x:v>
      </x:c>
      <x:c r="P780" s="55" t="n">
        <x:v>1222</x:v>
      </x:c>
      <x:c r="Q780" s="55" t="n">
        <x:v>3184</x:v>
      </x:c>
      <x:c r="R780" s="55" t="n">
        <x:v>2663</x:v>
      </x:c>
      <x:c r="S780" s="55" t="n">
        <x:v>2603</x:v>
      </x:c>
      <x:c r="T780" s="55" t="n">
        <x:v>716</x:v>
      </x:c>
      <x:c r="U780" s="55" t="n">
        <x:v>1948</x:v>
      </x:c>
      <x:c r="V780" s="55" t="n">
        <x:v>10597</x:v>
      </x:c>
      <x:c r="W780" s="55" t="n">
        <x:v>8050</x:v>
      </x:c>
      <x:c r="X780" s="55" t="n">
        <x:v>2547</x:v>
      </x:c>
      <x:c r="Y780" s="55" t="n">
        <x:v>2203</x:v>
      </x:c>
      <x:c r="Z780" s="55" t="n">
        <x:v>3801</x:v>
      </x:c>
      <x:c r="AA780" s="55" t="n">
        <x:v>2975</x:v>
      </x:c>
      <x:c r="AB780" s="55" t="n">
        <x:v>1371</x:v>
      </x:c>
      <x:c r="AC780" s="55" t="n">
        <x:v>7979</x:v>
      </x:c>
      <x:c r="AD780" s="55" t="n">
        <x:v>2844</x:v>
      </x:c>
      <x:c r="AE780" s="55" t="n">
        <x:v>10698</x:v>
      </x:c>
      <x:c r="AF780" s="55" t="n">
        <x:v>10597</x:v>
      </x:c>
      <x:c r="AG780" s="55" t="n">
        <x:v>101</x:v>
      </x:c>
      <x:c r="AH780" s="55" t="n">
        <x:v>348</x:v>
      </x:c>
      <x:c r="AI780" s="55" t="n">
        <x:v>10249</x:v>
      </x:c>
      <x:c r="AJ780" s="55" t="n">
        <x:v>309</x:v>
      </x:c>
      <x:c r="AK780" s="55" t="n">
        <x:v>1192</x:v>
      </x:c>
      <x:c r="AL780" s="55" t="n">
        <x:v>1709</x:v>
      </x:c>
      <x:c r="AM780" s="55" t="n">
        <x:v>5430</x:v>
      </x:c>
      <x:c r="AN780" s="55" t="n">
        <x:v>1931</x:v>
      </x:c>
      <x:c r="AO780" s="55" t="n">
        <x:v>26</x:v>
      </x:c>
      <x:c r="AP780" s="55" t="n">
        <x:v>2123</x:v>
      </x:c>
      <x:c r="AQ780" s="55" t="n">
        <x:v>982</x:v>
      </x:c>
    </x:row>
    <x:row r="781">
      <x:c r="A781" s="54" t="str">
        <x:v>T1_SHARED_CATCHMENT</x:v>
      </x:c>
      <x:c r="B781" s="54" t="n">
        <x:v>775</x:v>
      </x:c>
      <x:c r="C781" s="54" t="str">
        <x:v>NYC-V2-R01</x:v>
      </x:c>
      <x:c r="D781" s="54" t="str">
        <x:v>V2</x:v>
      </x:c>
      <x:c r="E781" s="54" t="str">
        <x:v>ADMITTED</x:v>
      </x:c>
      <x:c r="F781" s="55" t="n">
        <x:v>29317</x:v>
      </x:c>
      <x:c r="G781" s="55" t="n">
        <x:v>7185</x:v>
      </x:c>
      <x:c r="H781" s="55" t="n">
        <x:v>3314</x:v>
      </x:c>
      <x:c r="I781" s="55" t="n">
        <x:v>1261</x:v>
      </x:c>
      <x:c r="J781" s="55" t="n">
        <x:v>115</x:v>
      </x:c>
      <x:c r="K781" s="55" t="n">
        <x:v>27475</x:v>
      </x:c>
      <x:c r="L781" s="55" t="n">
        <x:v>3954</x:v>
      </x:c>
      <x:c r="M781" s="55" t="n">
        <x:v>0</x:v>
      </x:c>
      <x:c r="N781" s="55" t="n">
        <x:v>2618</x:v>
      </x:c>
      <x:c r="O781" s="55" t="n">
        <x:v>1336</x:v>
      </x:c>
      <x:c r="P781" s="55" t="n">
        <x:v>487</x:v>
      </x:c>
      <x:c r="Q781" s="55" t="n">
        <x:v>2286</x:v>
      </x:c>
      <x:c r="R781" s="55" t="n">
        <x:v>1932</x:v>
      </x:c>
      <x:c r="S781" s="55" t="n">
        <x:v>1990</x:v>
      </x:c>
      <x:c r="T781" s="55" t="n">
        <x:v>1197</x:v>
      </x:c>
      <x:c r="U781" s="55" t="n">
        <x:v>2400</x:v>
      </x:c>
      <x:c r="V781" s="55" t="n">
        <x:v>10172</x:v>
      </x:c>
      <x:c r="W781" s="55" t="n">
        <x:v>7258</x:v>
      </x:c>
      <x:c r="X781" s="55" t="n">
        <x:v>2914</x:v>
      </x:c>
      <x:c r="Y781" s="55" t="n">
        <x:v>2399</x:v>
      </x:c>
      <x:c r="Z781" s="55" t="n">
        <x:v>4120</x:v>
      </x:c>
      <x:c r="AA781" s="55" t="n">
        <x:v>2296</x:v>
      </x:c>
      <x:c r="AB781" s="55" t="n">
        <x:v>789</x:v>
      </x:c>
      <x:c r="AC781" s="55" t="n">
        <x:v>8395</x:v>
      </x:c>
      <x:c r="AD781" s="55" t="n">
        <x:v>2777</x:v>
      </x:c>
      <x:c r="AE781" s="55" t="n">
        <x:v>10247</x:v>
      </x:c>
      <x:c r="AF781" s="55" t="n">
        <x:v>10172</x:v>
      </x:c>
      <x:c r="AG781" s="55" t="n">
        <x:v>75</x:v>
      </x:c>
      <x:c r="AH781" s="55" t="n">
        <x:v>463</x:v>
      </x:c>
      <x:c r="AI781" s="55" t="n">
        <x:v>9709</x:v>
      </x:c>
      <x:c r="AJ781" s="55" t="n">
        <x:v>291</x:v>
      </x:c>
      <x:c r="AK781" s="55" t="n">
        <x:v>697</x:v>
      </x:c>
      <x:c r="AL781" s="55" t="n">
        <x:v>1783</x:v>
      </x:c>
      <x:c r="AM781" s="55" t="n">
        <x:v>4941</x:v>
      </x:c>
      <x:c r="AN781" s="55" t="n">
        <x:v>2460</x:v>
      </x:c>
      <x:c r="AO781" s="55" t="n">
        <x:v>0</x:v>
      </x:c>
      <x:c r="AP781" s="55" t="n">
        <x:v>2327</x:v>
      </x:c>
      <x:c r="AQ781" s="55" t="n">
        <x:v>944</x:v>
      </x:c>
    </x:row>
    <x:row r="782">
      <x:c r="A782" s="54" t="str">
        <x:v>T1_SHARED_CATCHMENT</x:v>
      </x:c>
      <x:c r="B782" s="54" t="n">
        <x:v>776</x:v>
      </x:c>
      <x:c r="C782" s="54" t="str">
        <x:v>NYC-V2-R01</x:v>
      </x:c>
      <x:c r="D782" s="54" t="str">
        <x:v>V2</x:v>
      </x:c>
      <x:c r="E782" s="54" t="str">
        <x:v>ADMITTED</x:v>
      </x:c>
      <x:c r="F782" s="55" t="n">
        <x:v>32927</x:v>
      </x:c>
      <x:c r="G782" s="55" t="n">
        <x:v>9448</x:v>
      </x:c>
      <x:c r="H782" s="55" t="n">
        <x:v>3332</x:v>
      </x:c>
      <x:c r="I782" s="55" t="n">
        <x:v>1393</x:v>
      </x:c>
      <x:c r="J782" s="55" t="n">
        <x:v>370</x:v>
      </x:c>
      <x:c r="K782" s="55" t="n">
        <x:v>30595</x:v>
      </x:c>
      <x:c r="L782" s="55" t="n">
        <x:v>6167</x:v>
      </x:c>
      <x:c r="M782" s="55" t="n">
        <x:v>1377</x:v>
      </x:c>
      <x:c r="N782" s="55" t="n">
        <x:v>3005</x:v>
      </x:c>
      <x:c r="O782" s="55" t="n">
        <x:v>1785</x:v>
      </x:c>
      <x:c r="P782" s="55" t="n">
        <x:v>859</x:v>
      </x:c>
      <x:c r="Q782" s="55" t="n">
        <x:v>2564</x:v>
      </x:c>
      <x:c r="R782" s="55" t="n">
        <x:v>1575</x:v>
      </x:c>
      <x:c r="S782" s="55" t="n">
        <x:v>2873</x:v>
      </x:c>
      <x:c r="T782" s="55" t="n">
        <x:v>1433</x:v>
      </x:c>
      <x:c r="U782" s="55" t="n">
        <x:v>2280</x:v>
      </x:c>
      <x:c r="V782" s="55" t="n">
        <x:v>10828</x:v>
      </x:c>
      <x:c r="W782" s="55" t="n">
        <x:v>7941</x:v>
      </x:c>
      <x:c r="X782" s="55" t="n">
        <x:v>2887</x:v>
      </x:c>
      <x:c r="Y782" s="55" t="n">
        <x:v>2515</x:v>
      </x:c>
      <x:c r="Z782" s="55" t="n">
        <x:v>4134</x:v>
      </x:c>
      <x:c r="AA782" s="55" t="n">
        <x:v>3332</x:v>
      </x:c>
      <x:c r="AB782" s="55" t="n">
        <x:v>1439</x:v>
      </x:c>
      <x:c r="AC782" s="55" t="n">
        <x:v>8807</x:v>
      </x:c>
      <x:c r="AD782" s="55" t="n">
        <x:v>3045</x:v>
      </x:c>
      <x:c r="AE782" s="55" t="n">
        <x:v>10897</x:v>
      </x:c>
      <x:c r="AF782" s="55" t="n">
        <x:v>10828</x:v>
      </x:c>
      <x:c r="AG782" s="55" t="n">
        <x:v>69</x:v>
      </x:c>
      <x:c r="AH782" s="55" t="n">
        <x:v>423</x:v>
      </x:c>
      <x:c r="AI782" s="55" t="n">
        <x:v>10405</x:v>
      </x:c>
      <x:c r="AJ782" s="55" t="n">
        <x:v>359</x:v>
      </x:c>
      <x:c r="AK782" s="55" t="n">
        <x:v>1000</x:v>
      </x:c>
      <x:c r="AL782" s="55" t="n">
        <x:v>1879</x:v>
      </x:c>
      <x:c r="AM782" s="55" t="n">
        <x:v>5010</x:v>
      </x:c>
      <x:c r="AN782" s="55" t="n">
        <x:v>2554</x:v>
      </x:c>
      <x:c r="AO782" s="55" t="n">
        <x:v>26</x:v>
      </x:c>
      <x:c r="AP782" s="55" t="n">
        <x:v>2368</x:v>
      </x:c>
      <x:c r="AQ782" s="55" t="n">
        <x:v>1012</x:v>
      </x:c>
    </x:row>
    <x:row r="783">
      <x:c r="A783" s="54" t="str">
        <x:v>T1_SHARED_CATCHMENT</x:v>
      </x:c>
      <x:c r="B783" s="54" t="n">
        <x:v>777</x:v>
      </x:c>
      <x:c r="C783" s="54" t="str">
        <x:v>NYC-V2-R01</x:v>
      </x:c>
      <x:c r="D783" s="54" t="str">
        <x:v>V2</x:v>
      </x:c>
      <x:c r="E783" s="54" t="str">
        <x:v>ADMITTED</x:v>
      </x:c>
      <x:c r="F783" s="55" t="n">
        <x:v>30341</x:v>
      </x:c>
      <x:c r="G783" s="55" t="n">
        <x:v>6020</x:v>
      </x:c>
      <x:c r="H783" s="55" t="n">
        <x:v>2925</x:v>
      </x:c>
      <x:c r="I783" s="55" t="n">
        <x:v>1378</x:v>
      </x:c>
      <x:c r="J783" s="55" t="n">
        <x:v>78</x:v>
      </x:c>
      <x:c r="K783" s="55" t="n">
        <x:v>30341</x:v>
      </x:c>
      <x:c r="L783" s="55" t="n">
        <x:v>6118</x:v>
      </x:c>
      <x:c r="M783" s="55" t="n">
        <x:v>1697</x:v>
      </x:c>
      <x:c r="N783" s="55" t="n">
        <x:v>2606</x:v>
      </x:c>
      <x:c r="O783" s="55" t="n">
        <x:v>1815</x:v>
      </x:c>
      <x:c r="P783" s="55" t="n">
        <x:v>611</x:v>
      </x:c>
      <x:c r="Q783" s="55" t="n">
        <x:v>3409</x:v>
      </x:c>
      <x:c r="R783" s="55" t="n">
        <x:v>1614</x:v>
      </x:c>
      <x:c r="S783" s="55" t="n">
        <x:v>2450</x:v>
      </x:c>
      <x:c r="T783" s="55" t="n">
        <x:v>1111</x:v>
      </x:c>
      <x:c r="U783" s="55" t="n">
        <x:v>1408</x:v>
      </x:c>
      <x:c r="V783" s="55" t="n">
        <x:v>11011</x:v>
      </x:c>
      <x:c r="W783" s="55" t="n">
        <x:v>8157</x:v>
      </x:c>
      <x:c r="X783" s="55" t="n">
        <x:v>2854</x:v>
      </x:c>
      <x:c r="Y783" s="55" t="n">
        <x:v>2545</x:v>
      </x:c>
      <x:c r="Z783" s="55" t="n">
        <x:v>3700</x:v>
      </x:c>
      <x:c r="AA783" s="55" t="n">
        <x:v>2512</x:v>
      </x:c>
      <x:c r="AB783" s="55" t="n">
        <x:v>831</x:v>
      </x:c>
      <x:c r="AC783" s="55" t="n">
        <x:v>8281</x:v>
      </x:c>
      <x:c r="AD783" s="55" t="n">
        <x:v>2744</x:v>
      </x:c>
      <x:c r="AE783" s="55" t="n">
        <x:v>11069</x:v>
      </x:c>
      <x:c r="AF783" s="55" t="n">
        <x:v>11011</x:v>
      </x:c>
      <x:c r="AG783" s="55" t="n">
        <x:v>58</x:v>
      </x:c>
      <x:c r="AH783" s="55" t="n">
        <x:v>629</x:v>
      </x:c>
      <x:c r="AI783" s="55" t="n">
        <x:v>10382</x:v>
      </x:c>
      <x:c r="AJ783" s="55" t="n">
        <x:v>425</x:v>
      </x:c>
      <x:c r="AK783" s="55" t="n">
        <x:v>1172</x:v>
      </x:c>
      <x:c r="AL783" s="55" t="n">
        <x:v>1755</x:v>
      </x:c>
      <x:c r="AM783" s="55" t="n">
        <x:v>5019</x:v>
      </x:c>
      <x:c r="AN783" s="55" t="n">
        <x:v>2617</x:v>
      </x:c>
      <x:c r="AO783" s="55" t="n">
        <x:v>23</x:v>
      </x:c>
      <x:c r="AP783" s="55" t="n">
        <x:v>1828</x:v>
      </x:c>
      <x:c r="AQ783" s="55" t="n">
        <x:v>948</x:v>
      </x:c>
    </x:row>
    <x:row r="784">
      <x:c r="A784" s="54" t="str">
        <x:v>T1_SHARED_CATCHMENT</x:v>
      </x:c>
      <x:c r="B784" s="54" t="n">
        <x:v>778</x:v>
      </x:c>
      <x:c r="C784" s="54" t="str">
        <x:v>NYC-V2-R01</x:v>
      </x:c>
      <x:c r="D784" s="54" t="str">
        <x:v>V2</x:v>
      </x:c>
      <x:c r="E784" s="54" t="str">
        <x:v>ADMITTED</x:v>
      </x:c>
      <x:c r="F784" s="55" t="n">
        <x:v>30589</x:v>
      </x:c>
      <x:c r="G784" s="55" t="n">
        <x:v>6840</x:v>
      </x:c>
      <x:c r="H784" s="55" t="n">
        <x:v>2932</x:v>
      </x:c>
      <x:c r="I784" s="55" t="n">
        <x:v>1115</x:v>
      </x:c>
      <x:c r="J784" s="55" t="n">
        <x:v>398</x:v>
      </x:c>
      <x:c r="K784" s="55" t="n">
        <x:v>28273</x:v>
      </x:c>
      <x:c r="L784" s="55" t="n">
        <x:v>4846</x:v>
      </x:c>
      <x:c r="M784" s="55" t="n">
        <x:v>1329</x:v>
      </x:c>
      <x:c r="N784" s="55" t="n">
        <x:v>2481</x:v>
      </x:c>
      <x:c r="O784" s="55" t="n">
        <x:v>1036</x:v>
      </x:c>
      <x:c r="P784" s="55" t="n">
        <x:v>532</x:v>
      </x:c>
      <x:c r="Q784" s="55" t="n">
        <x:v>1598</x:v>
      </x:c>
      <x:c r="R784" s="55" t="n">
        <x:v>1825</x:v>
      </x:c>
      <x:c r="S784" s="55" t="n">
        <x:v>2551</x:v>
      </x:c>
      <x:c r="T784" s="55" t="n">
        <x:v>1324</x:v>
      </x:c>
      <x:c r="U784" s="55" t="n">
        <x:v>1960</x:v>
      </x:c>
      <x:c r="V784" s="55" t="n">
        <x:v>10358</x:v>
      </x:c>
      <x:c r="W784" s="55" t="n">
        <x:v>7585</x:v>
      </x:c>
      <x:c r="X784" s="55" t="n">
        <x:v>2773</x:v>
      </x:c>
      <x:c r="Y784" s="55" t="n">
        <x:v>2287</x:v>
      </x:c>
      <x:c r="Z784" s="55" t="n">
        <x:v>3229</x:v>
      </x:c>
      <x:c r="AA784" s="55" t="n">
        <x:v>2548</x:v>
      </x:c>
      <x:c r="AB784" s="55" t="n">
        <x:v>709</x:v>
      </x:c>
      <x:c r="AC784" s="55" t="n">
        <x:v>7971</x:v>
      </x:c>
      <x:c r="AD784" s="55" t="n">
        <x:v>3300</x:v>
      </x:c>
      <x:c r="AE784" s="55" t="n">
        <x:v>10385</x:v>
      </x:c>
      <x:c r="AF784" s="55" t="n">
        <x:v>10358</x:v>
      </x:c>
      <x:c r="AG784" s="55" t="n">
        <x:v>27</x:v>
      </x:c>
      <x:c r="AH784" s="55" t="n">
        <x:v>536</x:v>
      </x:c>
      <x:c r="AI784" s="55" t="n">
        <x:v>9822</x:v>
      </x:c>
      <x:c r="AJ784" s="55" t="n">
        <x:v>155</x:v>
      </x:c>
      <x:c r="AK784" s="55" t="n">
        <x:v>1000</x:v>
      </x:c>
      <x:c r="AL784" s="55" t="n">
        <x:v>1934</x:v>
      </x:c>
      <x:c r="AM784" s="55" t="n">
        <x:v>4260</x:v>
      </x:c>
      <x:c r="AN784" s="55" t="n">
        <x:v>3009</x:v>
      </x:c>
      <x:c r="AO784" s="55" t="n">
        <x:v>0</x:v>
      </x:c>
      <x:c r="AP784" s="55" t="n">
        <x:v>2636</x:v>
      </x:c>
      <x:c r="AQ784" s="55" t="n">
        <x:v>925</x:v>
      </x:c>
    </x:row>
    <x:row r="785">
      <x:c r="A785" s="54" t="str">
        <x:v>T1_SHARED_CATCHMENT</x:v>
      </x:c>
      <x:c r="B785" s="54" t="n">
        <x:v>779</x:v>
      </x:c>
      <x:c r="C785" s="54" t="str">
        <x:v>NYC-V2-R01</x:v>
      </x:c>
      <x:c r="D785" s="54" t="str">
        <x:v>V2</x:v>
      </x:c>
      <x:c r="E785" s="54" t="str">
        <x:v>ADMITTED</x:v>
      </x:c>
      <x:c r="F785" s="55" t="n">
        <x:v>31476</x:v>
      </x:c>
      <x:c r="G785" s="55" t="n">
        <x:v>8581</x:v>
      </x:c>
      <x:c r="H785" s="55" t="n">
        <x:v>2969</x:v>
      </x:c>
      <x:c r="I785" s="55" t="n">
        <x:v>1231</x:v>
      </x:c>
      <x:c r="J785" s="55" t="n">
        <x:v>151</x:v>
      </x:c>
      <x:c r="K785" s="55" t="n">
        <x:v>29747</x:v>
      </x:c>
      <x:c r="L785" s="55" t="n">
        <x:v>5596</x:v>
      </x:c>
      <x:c r="M785" s="55" t="n">
        <x:v>1223</x:v>
      </x:c>
      <x:c r="N785" s="55" t="n">
        <x:v>2652</x:v>
      </x:c>
      <x:c r="O785" s="55" t="n">
        <x:v>1721</x:v>
      </x:c>
      <x:c r="P785" s="55" t="n">
        <x:v>640</x:v>
      </x:c>
      <x:c r="Q785" s="55" t="n">
        <x:v>3207</x:v>
      </x:c>
      <x:c r="R785" s="55" t="n">
        <x:v>2165</x:v>
      </x:c>
      <x:c r="S785" s="55" t="n">
        <x:v>2969</x:v>
      </x:c>
      <x:c r="T785" s="55" t="n">
        <x:v>1476</x:v>
      </x:c>
      <x:c r="U785" s="55" t="n">
        <x:v>1863</x:v>
      </x:c>
      <x:c r="V785" s="55" t="n">
        <x:v>10236</x:v>
      </x:c>
      <x:c r="W785" s="55" t="n">
        <x:v>7041</x:v>
      </x:c>
      <x:c r="X785" s="55" t="n">
        <x:v>3195</x:v>
      </x:c>
      <x:c r="Y785" s="55" t="n">
        <x:v>2633</x:v>
      </x:c>
      <x:c r="Z785" s="55" t="n">
        <x:v>3801</x:v>
      </x:c>
      <x:c r="AA785" s="55" t="n">
        <x:v>2969</x:v>
      </x:c>
      <x:c r="AB785" s="55" t="n">
        <x:v>1068</x:v>
      </x:c>
      <x:c r="AC785" s="55" t="n">
        <x:v>8028</x:v>
      </x:c>
      <x:c r="AD785" s="55" t="n">
        <x:v>2743</x:v>
      </x:c>
      <x:c r="AE785" s="55" t="n">
        <x:v>10274</x:v>
      </x:c>
      <x:c r="AF785" s="55" t="n">
        <x:v>10236</x:v>
      </x:c>
      <x:c r="AG785" s="55" t="n">
        <x:v>38</x:v>
      </x:c>
      <x:c r="AH785" s="55" t="n">
        <x:v>605</x:v>
      </x:c>
      <x:c r="AI785" s="55" t="n">
        <x:v>9631</x:v>
      </x:c>
      <x:c r="AJ785" s="55" t="n">
        <x:v>355</x:v>
      </x:c>
      <x:c r="AK785" s="55" t="n">
        <x:v>1027</x:v>
      </x:c>
      <x:c r="AL785" s="55" t="n">
        <x:v>1494</x:v>
      </x:c>
      <x:c r="AM785" s="55" t="n">
        <x:v>4922</x:v>
      </x:c>
      <x:c r="AN785" s="55" t="n">
        <x:v>2438</x:v>
      </x:c>
      <x:c r="AO785" s="55" t="n">
        <x:v>0</x:v>
      </x:c>
      <x:c r="AP785" s="55" t="n">
        <x:v>2133</x:v>
      </x:c>
      <x:c r="AQ785" s="55" t="n">
        <x:v>928</x:v>
      </x:c>
    </x:row>
    <x:row r="786">
      <x:c r="A786" s="54" t="str">
        <x:v>T1_SHARED_CATCHMENT</x:v>
      </x:c>
      <x:c r="B786" s="54" t="n">
        <x:v>780</x:v>
      </x:c>
      <x:c r="C786" s="54" t="str">
        <x:v>NYC-V2-R01</x:v>
      </x:c>
      <x:c r="D786" s="54" t="str">
        <x:v>V2</x:v>
      </x:c>
      <x:c r="E786" s="54" t="str">
        <x:v>ADMITTED</x:v>
      </x:c>
      <x:c r="F786" s="55" t="n">
        <x:v>32189</x:v>
      </x:c>
      <x:c r="G786" s="55" t="n">
        <x:v>8213</x:v>
      </x:c>
      <x:c r="H786" s="55" t="n">
        <x:v>3636</x:v>
      </x:c>
      <x:c r="I786" s="55" t="n">
        <x:v>1559</x:v>
      </x:c>
      <x:c r="J786" s="55" t="n">
        <x:v>344</x:v>
      </x:c>
      <x:c r="K786" s="55" t="n">
        <x:v>32189</x:v>
      </x:c>
      <x:c r="L786" s="55" t="n">
        <x:v>6227</x:v>
      </x:c>
      <x:c r="M786" s="55" t="n">
        <x:v>1472</x:v>
      </x:c>
      <x:c r="N786" s="55" t="n">
        <x:v>2742</x:v>
      </x:c>
      <x:c r="O786" s="55" t="n">
        <x:v>2013</x:v>
      </x:c>
      <x:c r="P786" s="55" t="n">
        <x:v>1110</x:v>
      </x:c>
      <x:c r="Q786" s="55" t="n">
        <x:v>2691</x:v>
      </x:c>
      <x:c r="R786" s="55" t="n">
        <x:v>2250</x:v>
      </x:c>
      <x:c r="S786" s="55" t="n">
        <x:v>3215</x:v>
      </x:c>
      <x:c r="T786" s="55" t="n">
        <x:v>1263</x:v>
      </x:c>
      <x:c r="U786" s="55" t="n">
        <x:v>2352</x:v>
      </x:c>
      <x:c r="V786" s="55" t="n">
        <x:v>11163</x:v>
      </x:c>
      <x:c r="W786" s="55" t="n">
        <x:v>8088</x:v>
      </x:c>
      <x:c r="X786" s="55" t="n">
        <x:v>3075</x:v>
      </x:c>
      <x:c r="Y786" s="55" t="n">
        <x:v>2732</x:v>
      </x:c>
      <x:c r="Z786" s="55" t="n">
        <x:v>3480</x:v>
      </x:c>
      <x:c r="AA786" s="55" t="n">
        <x:v>3636</x:v>
      </x:c>
      <x:c r="AB786" s="55" t="n">
        <x:v>1375</x:v>
      </x:c>
      <x:c r="AC786" s="55" t="n">
        <x:v>7997</x:v>
      </x:c>
      <x:c r="AD786" s="55" t="n">
        <x:v>2605</x:v>
      </x:c>
      <x:c r="AE786" s="55" t="n">
        <x:v>11258</x:v>
      </x:c>
      <x:c r="AF786" s="55" t="n">
        <x:v>11163</x:v>
      </x:c>
      <x:c r="AG786" s="55" t="n">
        <x:v>95</x:v>
      </x:c>
      <x:c r="AH786" s="55" t="n">
        <x:v>807</x:v>
      </x:c>
      <x:c r="AI786" s="55" t="n">
        <x:v>10356</x:v>
      </x:c>
      <x:c r="AJ786" s="55" t="n">
        <x:v>253</x:v>
      </x:c>
      <x:c r="AK786" s="55" t="n">
        <x:v>1047</x:v>
      </x:c>
      <x:c r="AL786" s="55" t="n">
        <x:v>1722</x:v>
      </x:c>
      <x:c r="AM786" s="55" t="n">
        <x:v>5646</x:v>
      </x:c>
      <x:c r="AN786" s="55" t="n">
        <x:v>2495</x:v>
      </x:c>
      <x:c r="AO786" s="55" t="n">
        <x:v>0</x:v>
      </x:c>
      <x:c r="AP786" s="55" t="n">
        <x:v>2953</x:v>
      </x:c>
      <x:c r="AQ786" s="55" t="n">
        <x:v>1025</x:v>
      </x:c>
    </x:row>
    <x:row r="787">
      <x:c r="A787" s="54" t="str">
        <x:v>T1_SHARED_CATCHMENT</x:v>
      </x:c>
      <x:c r="B787" s="54" t="n">
        <x:v>781</x:v>
      </x:c>
      <x:c r="C787" s="54" t="str">
        <x:v>NYC-V2-R01</x:v>
      </x:c>
      <x:c r="D787" s="54" t="str">
        <x:v>V2</x:v>
      </x:c>
      <x:c r="E787" s="54" t="str">
        <x:v>ADMITTED</x:v>
      </x:c>
      <x:c r="F787" s="55" t="n">
        <x:v>31833</x:v>
      </x:c>
      <x:c r="G787" s="55" t="n">
        <x:v>6250</x:v>
      </x:c>
      <x:c r="H787" s="55" t="n">
        <x:v>3332</x:v>
      </x:c>
      <x:c r="I787" s="55" t="n">
        <x:v>1354</x:v>
      </x:c>
      <x:c r="J787" s="55" t="n">
        <x:v>165</x:v>
      </x:c>
      <x:c r="K787" s="55" t="n">
        <x:v>31833</x:v>
      </x:c>
      <x:c r="L787" s="55" t="n">
        <x:v>6677</x:v>
      </x:c>
      <x:c r="M787" s="55" t="n">
        <x:v>1728</x:v>
      </x:c>
      <x:c r="N787" s="55" t="n">
        <x:v>3055</x:v>
      </x:c>
      <x:c r="O787" s="55" t="n">
        <x:v>1894</x:v>
      </x:c>
      <x:c r="P787" s="55" t="n">
        <x:v>957</x:v>
      </x:c>
      <x:c r="Q787" s="55" t="n">
        <x:v>1681</x:v>
      </x:c>
      <x:c r="R787" s="55" t="n">
        <x:v>1389</x:v>
      </x:c>
      <x:c r="S787" s="55" t="n">
        <x:v>2738</x:v>
      </x:c>
      <x:c r="T787" s="55" t="n">
        <x:v>1157</x:v>
      </x:c>
      <x:c r="U787" s="55" t="n">
        <x:v>1693</x:v>
      </x:c>
      <x:c r="V787" s="55" t="n">
        <x:v>10948</x:v>
      </x:c>
      <x:c r="W787" s="55" t="n">
        <x:v>7960</x:v>
      </x:c>
      <x:c r="X787" s="55" t="n">
        <x:v>2988</x:v>
      </x:c>
      <x:c r="Y787" s="55" t="n">
        <x:v>2492</x:v>
      </x:c>
      <x:c r="Z787" s="55" t="n">
        <x:v>3767</x:v>
      </x:c>
      <x:c r="AA787" s="55" t="n">
        <x:v>3332</x:v>
      </x:c>
      <x:c r="AB787" s="55" t="n">
        <x:v>1258</x:v>
      </x:c>
      <x:c r="AC787" s="55" t="n">
        <x:v>7881</x:v>
      </x:c>
      <x:c r="AD787" s="55" t="n">
        <x:v>2604</x:v>
      </x:c>
      <x:c r="AE787" s="55" t="n">
        <x:v>10968</x:v>
      </x:c>
      <x:c r="AF787" s="55" t="n">
        <x:v>10948</x:v>
      </x:c>
      <x:c r="AG787" s="55" t="n">
        <x:v>20</x:v>
      </x:c>
      <x:c r="AH787" s="55" t="n">
        <x:v>575</x:v>
      </x:c>
      <x:c r="AI787" s="55" t="n">
        <x:v>10373</x:v>
      </x:c>
      <x:c r="AJ787" s="55" t="n">
        <x:v>276</x:v>
      </x:c>
      <x:c r="AK787" s="55" t="n">
        <x:v>1118</x:v>
      </x:c>
      <x:c r="AL787" s="55" t="n">
        <x:v>1750</x:v>
      </x:c>
      <x:c r="AM787" s="55" t="n">
        <x:v>4786</x:v>
      </x:c>
      <x:c r="AN787" s="55" t="n">
        <x:v>3018</x:v>
      </x:c>
      <x:c r="AO787" s="55" t="n">
        <x:v>0</x:v>
      </x:c>
      <x:c r="AP787" s="55" t="n">
        <x:v>2562</x:v>
      </x:c>
      <x:c r="AQ787" s="55" t="n">
        <x:v>928</x:v>
      </x:c>
    </x:row>
    <x:row r="788">
      <x:c r="A788" s="54" t="str">
        <x:v>T1_SHARED_CATCHMENT</x:v>
      </x:c>
      <x:c r="B788" s="54" t="n">
        <x:v>782</x:v>
      </x:c>
      <x:c r="C788" s="54" t="str">
        <x:v>NYC-V2-R01</x:v>
      </x:c>
      <x:c r="D788" s="54" t="str">
        <x:v>V2</x:v>
      </x:c>
      <x:c r="E788" s="54" t="str">
        <x:v>ADMITTED</x:v>
      </x:c>
      <x:c r="F788" s="55" t="n">
        <x:v>31667</x:v>
      </x:c>
      <x:c r="G788" s="55" t="n">
        <x:v>8699</x:v>
      </x:c>
      <x:c r="H788" s="55" t="n">
        <x:v>3760</x:v>
      </x:c>
      <x:c r="I788" s="55" t="n">
        <x:v>1469</x:v>
      </x:c>
      <x:c r="J788" s="55" t="n">
        <x:v>174</x:v>
      </x:c>
      <x:c r="K788" s="55" t="n">
        <x:v>30137</x:v>
      </x:c>
      <x:c r="L788" s="55" t="n">
        <x:v>7652</x:v>
      </x:c>
      <x:c r="M788" s="55" t="n">
        <x:v>2445</x:v>
      </x:c>
      <x:c r="N788" s="55" t="n">
        <x:v>3484</x:v>
      </x:c>
      <x:c r="O788" s="55" t="n">
        <x:v>1723</x:v>
      </x:c>
      <x:c r="P788" s="55" t="n">
        <x:v>935</x:v>
      </x:c>
      <x:c r="Q788" s="55" t="n">
        <x:v>2641</x:v>
      </x:c>
      <x:c r="R788" s="55" t="n">
        <x:v>2294</x:v>
      </x:c>
      <x:c r="S788" s="55" t="n">
        <x:v>2967</x:v>
      </x:c>
      <x:c r="T788" s="55" t="n">
        <x:v>1253</x:v>
      </x:c>
      <x:c r="U788" s="55" t="n">
        <x:v>2224</x:v>
      </x:c>
      <x:c r="V788" s="55" t="n">
        <x:v>10118</x:v>
      </x:c>
      <x:c r="W788" s="55" t="n">
        <x:v>6970</x:v>
      </x:c>
      <x:c r="X788" s="55" t="n">
        <x:v>3148</x:v>
      </x:c>
      <x:c r="Y788" s="55" t="n">
        <x:v>2671</x:v>
      </x:c>
      <x:c r="Z788" s="55" t="n">
        <x:v>3775</x:v>
      </x:c>
      <x:c r="AA788" s="55" t="n">
        <x:v>3471</x:v>
      </x:c>
      <x:c r="AB788" s="55" t="n">
        <x:v>1476</x:v>
      </x:c>
      <x:c r="AC788" s="55" t="n">
        <x:v>8350</x:v>
      </x:c>
      <x:c r="AD788" s="55" t="n">
        <x:v>3144</x:v>
      </x:c>
      <x:c r="AE788" s="55" t="n">
        <x:v>10202</x:v>
      </x:c>
      <x:c r="AF788" s="55" t="n">
        <x:v>10118</x:v>
      </x:c>
      <x:c r="AG788" s="55" t="n">
        <x:v>84</x:v>
      </x:c>
      <x:c r="AH788" s="55" t="n">
        <x:v>310</x:v>
      </x:c>
      <x:c r="AI788" s="55" t="n">
        <x:v>9808</x:v>
      </x:c>
      <x:c r="AJ788" s="55" t="n">
        <x:v>458</x:v>
      </x:c>
      <x:c r="AK788" s="55" t="n">
        <x:v>873</x:v>
      </x:c>
      <x:c r="AL788" s="55" t="n">
        <x:v>1339</x:v>
      </x:c>
      <x:c r="AM788" s="55" t="n">
        <x:v>4868</x:v>
      </x:c>
      <x:c r="AN788" s="55" t="n">
        <x:v>2535</x:v>
      </x:c>
      <x:c r="AO788" s="55" t="n">
        <x:v>45</x:v>
      </x:c>
      <x:c r="AP788" s="55" t="n">
        <x:v>2660</x:v>
      </x:c>
      <x:c r="AQ788" s="55" t="n">
        <x:v>974</x:v>
      </x:c>
    </x:row>
    <x:row r="789">
      <x:c r="A789" s="54" t="str">
        <x:v>T1_SHARED_CATCHMENT</x:v>
      </x:c>
      <x:c r="B789" s="54" t="n">
        <x:v>783</x:v>
      </x:c>
      <x:c r="C789" s="54" t="str">
        <x:v>NYC-V2-R01</x:v>
      </x:c>
      <x:c r="D789" s="54" t="str">
        <x:v>V2</x:v>
      </x:c>
      <x:c r="E789" s="54" t="str">
        <x:v>ADMITTED</x:v>
      </x:c>
      <x:c r="F789" s="55" t="n">
        <x:v>29997</x:v>
      </x:c>
      <x:c r="G789" s="55" t="n">
        <x:v>6648</x:v>
      </x:c>
      <x:c r="H789" s="55" t="n">
        <x:v>3232</x:v>
      </x:c>
      <x:c r="I789" s="55" t="n">
        <x:v>1371</x:v>
      </x:c>
      <x:c r="J789" s="55" t="n">
        <x:v>185</x:v>
      </x:c>
      <x:c r="K789" s="55" t="n">
        <x:v>27432</x:v>
      </x:c>
      <x:c r="L789" s="55" t="n">
        <x:v>5164</x:v>
      </x:c>
      <x:c r="M789" s="55" t="n">
        <x:v>734</x:v>
      </x:c>
      <x:c r="N789" s="55" t="n">
        <x:v>2613</x:v>
      </x:c>
      <x:c r="O789" s="55" t="n">
        <x:v>1817</x:v>
      </x:c>
      <x:c r="P789" s="55" t="n">
        <x:v>654</x:v>
      </x:c>
      <x:c r="Q789" s="55" t="n">
        <x:v>2038</x:v>
      </x:c>
      <x:c r="R789" s="55" t="n">
        <x:v>1653</x:v>
      </x:c>
      <x:c r="S789" s="55" t="n">
        <x:v>1987</x:v>
      </x:c>
      <x:c r="T789" s="55" t="n">
        <x:v>918</x:v>
      </x:c>
      <x:c r="U789" s="55" t="n">
        <x:v>2373</x:v>
      </x:c>
      <x:c r="V789" s="55" t="n">
        <x:v>10605</x:v>
      </x:c>
      <x:c r="W789" s="55" t="n">
        <x:v>7442</x:v>
      </x:c>
      <x:c r="X789" s="55" t="n">
        <x:v>3163</x:v>
      </x:c>
      <x:c r="Y789" s="55" t="n">
        <x:v>2611</x:v>
      </x:c>
      <x:c r="Z789" s="55" t="n">
        <x:v>3127</x:v>
      </x:c>
      <x:c r="AA789" s="55" t="n">
        <x:v>3026</x:v>
      </x:c>
      <x:c r="AB789" s="55" t="n">
        <x:v>1083</x:v>
      </x:c>
      <x:c r="AC789" s="55" t="n">
        <x:v>7273</x:v>
      </x:c>
      <x:c r="AD789" s="55" t="n">
        <x:v>2940</x:v>
      </x:c>
      <x:c r="AE789" s="55" t="n">
        <x:v>10760</x:v>
      </x:c>
      <x:c r="AF789" s="55" t="n">
        <x:v>10605</x:v>
      </x:c>
      <x:c r="AG789" s="55" t="n">
        <x:v>155</x:v>
      </x:c>
      <x:c r="AH789" s="55" t="n">
        <x:v>283</x:v>
      </x:c>
      <x:c r="AI789" s="55" t="n">
        <x:v>10322</x:v>
      </x:c>
      <x:c r="AJ789" s="55" t="n">
        <x:v>510</x:v>
      </x:c>
      <x:c r="AK789" s="55" t="n">
        <x:v>1172</x:v>
      </x:c>
      <x:c r="AL789" s="55" t="n">
        <x:v>1243</x:v>
      </x:c>
      <x:c r="AM789" s="55" t="n">
        <x:v>4739</x:v>
      </x:c>
      <x:c r="AN789" s="55" t="n">
        <x:v>2941</x:v>
      </x:c>
      <x:c r="AO789" s="55" t="n">
        <x:v>0</x:v>
      </x:c>
      <x:c r="AP789" s="55" t="n">
        <x:v>2534</x:v>
      </x:c>
      <x:c r="AQ789" s="55" t="n">
        <x:v>929</x:v>
      </x:c>
    </x:row>
    <x:row r="790">
      <x:c r="A790" s="54" t="str">
        <x:v>T1_SHARED_CATCHMENT</x:v>
      </x:c>
      <x:c r="B790" s="54" t="n">
        <x:v>784</x:v>
      </x:c>
      <x:c r="C790" s="54" t="str">
        <x:v>NYC-V2-R01</x:v>
      </x:c>
      <x:c r="D790" s="54" t="str">
        <x:v>V2</x:v>
      </x:c>
      <x:c r="E790" s="54" t="str">
        <x:v>ADMITTED</x:v>
      </x:c>
      <x:c r="F790" s="55" t="n">
        <x:v>31168</x:v>
      </x:c>
      <x:c r="G790" s="55" t="n">
        <x:v>7335</x:v>
      </x:c>
      <x:c r="H790" s="55" t="n">
        <x:v>3178</x:v>
      </x:c>
      <x:c r="I790" s="55" t="n">
        <x:v>977</x:v>
      </x:c>
      <x:c r="J790" s="55" t="n">
        <x:v>199</x:v>
      </x:c>
      <x:c r="K790" s="55" t="n">
        <x:v>30603</x:v>
      </x:c>
      <x:c r="L790" s="55" t="n">
        <x:v>6738</x:v>
      </x:c>
      <x:c r="M790" s="55" t="n">
        <x:v>1853</x:v>
      </x:c>
      <x:c r="N790" s="55" t="n">
        <x:v>3013</x:v>
      </x:c>
      <x:c r="O790" s="55" t="n">
        <x:v>1872</x:v>
      </x:c>
      <x:c r="P790" s="55" t="n">
        <x:v>709</x:v>
      </x:c>
      <x:c r="Q790" s="55" t="n">
        <x:v>1494</x:v>
      </x:c>
      <x:c r="R790" s="55" t="n">
        <x:v>2377</x:v>
      </x:c>
      <x:c r="S790" s="55" t="n">
        <x:v>2815</x:v>
      </x:c>
      <x:c r="T790" s="55" t="n">
        <x:v>1097</x:v>
      </x:c>
      <x:c r="U790" s="55" t="n">
        <x:v>2105</x:v>
      </x:c>
      <x:c r="V790" s="55" t="n">
        <x:v>10481</x:v>
      </x:c>
      <x:c r="W790" s="55" t="n">
        <x:v>7560</x:v>
      </x:c>
      <x:c r="X790" s="55" t="n">
        <x:v>2921</x:v>
      </x:c>
      <x:c r="Y790" s="55" t="n">
        <x:v>2240</x:v>
      </x:c>
      <x:c r="Z790" s="55" t="n">
        <x:v>3810</x:v>
      </x:c>
      <x:c r="AA790" s="55" t="n">
        <x:v>3178</x:v>
      </x:c>
      <x:c r="AB790" s="55" t="n">
        <x:v>1316</x:v>
      </x:c>
      <x:c r="AC790" s="55" t="n">
        <x:v>8333</x:v>
      </x:c>
      <x:c r="AD790" s="55" t="n">
        <x:v>2959</x:v>
      </x:c>
      <x:c r="AE790" s="55" t="n">
        <x:v>10553</x:v>
      </x:c>
      <x:c r="AF790" s="55" t="n">
        <x:v>10481</x:v>
      </x:c>
      <x:c r="AG790" s="55" t="n">
        <x:v>72</x:v>
      </x:c>
      <x:c r="AH790" s="55" t="n">
        <x:v>540</x:v>
      </x:c>
      <x:c r="AI790" s="55" t="n">
        <x:v>9941</x:v>
      </x:c>
      <x:c r="AJ790" s="55" t="n">
        <x:v>302</x:v>
      </x:c>
      <x:c r="AK790" s="55" t="n">
        <x:v>1079</x:v>
      </x:c>
      <x:c r="AL790" s="55" t="n">
        <x:v>1617</x:v>
      </x:c>
      <x:c r="AM790" s="55" t="n">
        <x:v>4983</x:v>
      </x:c>
      <x:c r="AN790" s="55" t="n">
        <x:v>2500</x:v>
      </x:c>
      <x:c r="AO790" s="55" t="n">
        <x:v>0</x:v>
      </x:c>
      <x:c r="AP790" s="55" t="n">
        <x:v>2296</x:v>
      </x:c>
      <x:c r="AQ790" s="55" t="n">
        <x:v>916</x:v>
      </x:c>
    </x:row>
    <x:row r="791">
      <x:c r="A791" s="54" t="str">
        <x:v>T1_SHARED_CATCHMENT</x:v>
      </x:c>
      <x:c r="B791" s="54" t="n">
        <x:v>785</x:v>
      </x:c>
      <x:c r="C791" s="54" t="str">
        <x:v>NYC-V2-R01</x:v>
      </x:c>
      <x:c r="D791" s="54" t="str">
        <x:v>V2</x:v>
      </x:c>
      <x:c r="E791" s="54" t="str">
        <x:v>ADMITTED</x:v>
      </x:c>
      <x:c r="F791" s="55" t="n">
        <x:v>31855</x:v>
      </x:c>
      <x:c r="G791" s="55" t="n">
        <x:v>8067</x:v>
      </x:c>
      <x:c r="H791" s="55" t="n">
        <x:v>3368</x:v>
      </x:c>
      <x:c r="I791" s="55" t="n">
        <x:v>1399</x:v>
      </x:c>
      <x:c r="J791" s="55" t="n">
        <x:v>132</x:v>
      </x:c>
      <x:c r="K791" s="55" t="n">
        <x:v>29920</x:v>
      </x:c>
      <x:c r="L791" s="55" t="n">
        <x:v>4964</x:v>
      </x:c>
      <x:c r="M791" s="55" t="n">
        <x:v>974</x:v>
      </x:c>
      <x:c r="N791" s="55" t="n">
        <x:v>2471</x:v>
      </x:c>
      <x:c r="O791" s="55" t="n">
        <x:v>1519</x:v>
      </x:c>
      <x:c r="P791" s="55" t="n">
        <x:v>1000</x:v>
      </x:c>
      <x:c r="Q791" s="55" t="n">
        <x:v>2344</x:v>
      </x:c>
      <x:c r="R791" s="55" t="n">
        <x:v>2294</x:v>
      </x:c>
      <x:c r="S791" s="55" t="n">
        <x:v>3138</x:v>
      </x:c>
      <x:c r="T791" s="55" t="n">
        <x:v>1045</x:v>
      </x:c>
      <x:c r="U791" s="55" t="n">
        <x:v>1899</x:v>
      </x:c>
      <x:c r="V791" s="55" t="n">
        <x:v>10775</x:v>
      </x:c>
      <x:c r="W791" s="55" t="n">
        <x:v>7576</x:v>
      </x:c>
      <x:c r="X791" s="55" t="n">
        <x:v>3199</x:v>
      </x:c>
      <x:c r="Y791" s="55" t="n">
        <x:v>2802</x:v>
      </x:c>
      <x:c r="Z791" s="55" t="n">
        <x:v>3944</x:v>
      </x:c>
      <x:c r="AA791" s="55" t="n">
        <x:v>3368</x:v>
      </x:c>
      <x:c r="AB791" s="55" t="n">
        <x:v>1388</x:v>
      </x:c>
      <x:c r="AC791" s="55" t="n">
        <x:v>7826</x:v>
      </x:c>
      <x:c r="AD791" s="55" t="n">
        <x:v>3013</x:v>
      </x:c>
      <x:c r="AE791" s="55" t="n">
        <x:v>10878</x:v>
      </x:c>
      <x:c r="AF791" s="55" t="n">
        <x:v>10775</x:v>
      </x:c>
      <x:c r="AG791" s="55" t="n">
        <x:v>103</x:v>
      </x:c>
      <x:c r="AH791" s="55" t="n">
        <x:v>484</x:v>
      </x:c>
      <x:c r="AI791" s="55" t="n">
        <x:v>10291</x:v>
      </x:c>
      <x:c r="AJ791" s="55" t="n">
        <x:v>479</x:v>
      </x:c>
      <x:c r="AK791" s="55" t="n">
        <x:v>923</x:v>
      </x:c>
      <x:c r="AL791" s="55" t="n">
        <x:v>2092</x:v>
      </x:c>
      <x:c r="AM791" s="55" t="n">
        <x:v>4048</x:v>
      </x:c>
      <x:c r="AN791" s="55" t="n">
        <x:v>3117</x:v>
      </x:c>
      <x:c r="AO791" s="55" t="n">
        <x:v>116</x:v>
      </x:c>
      <x:c r="AP791" s="55" t="n">
        <x:v>2205</x:v>
      </x:c>
      <x:c r="AQ791" s="55" t="n">
        <x:v>993</x:v>
      </x:c>
    </x:row>
    <x:row r="792">
      <x:c r="A792" s="54" t="str">
        <x:v>T1_SHARED_CATCHMENT</x:v>
      </x:c>
      <x:c r="B792" s="54" t="n">
        <x:v>786</x:v>
      </x:c>
      <x:c r="C792" s="54" t="str">
        <x:v>NYC-V2-R01</x:v>
      </x:c>
      <x:c r="D792" s="54" t="str">
        <x:v>V2</x:v>
      </x:c>
      <x:c r="E792" s="54" t="str">
        <x:v>ADMITTED</x:v>
      </x:c>
      <x:c r="F792" s="55" t="n">
        <x:v>31171</x:v>
      </x:c>
      <x:c r="G792" s="55" t="n">
        <x:v>7301</x:v>
      </x:c>
      <x:c r="H792" s="55" t="n">
        <x:v>3190</x:v>
      </x:c>
      <x:c r="I792" s="55" t="n">
        <x:v>1181</x:v>
      </x:c>
      <x:c r="J792" s="55" t="n">
        <x:v>244</x:v>
      </x:c>
      <x:c r="K792" s="55" t="n">
        <x:v>31171</x:v>
      </x:c>
      <x:c r="L792" s="55" t="n">
        <x:v>6695</x:v>
      </x:c>
      <x:c r="M792" s="55" t="n">
        <x:v>1351</x:v>
      </x:c>
      <x:c r="N792" s="55" t="n">
        <x:v>3492</x:v>
      </x:c>
      <x:c r="O792" s="55" t="n">
        <x:v>1852</x:v>
      </x:c>
      <x:c r="P792" s="55" t="n">
        <x:v>714</x:v>
      </x:c>
      <x:c r="Q792" s="55" t="n">
        <x:v>2405</x:v>
      </x:c>
      <x:c r="R792" s="55" t="n">
        <x:v>1732</x:v>
      </x:c>
      <x:c r="S792" s="55" t="n">
        <x:v>2046</x:v>
      </x:c>
      <x:c r="T792" s="55" t="n">
        <x:v>1067</x:v>
      </x:c>
      <x:c r="U792" s="55" t="n">
        <x:v>2408</x:v>
      </x:c>
      <x:c r="V792" s="55" t="n">
        <x:v>10895</x:v>
      </x:c>
      <x:c r="W792" s="55" t="n">
        <x:v>7530</x:v>
      </x:c>
      <x:c r="X792" s="55" t="n">
        <x:v>3365</x:v>
      </x:c>
      <x:c r="Y792" s="55" t="n">
        <x:v>2871</x:v>
      </x:c>
      <x:c r="Z792" s="55" t="n">
        <x:v>4216</x:v>
      </x:c>
      <x:c r="AA792" s="55" t="n">
        <x:v>2962</x:v>
      </x:c>
      <x:c r="AB792" s="55" t="n">
        <x:v>1232</x:v>
      </x:c>
      <x:c r="AC792" s="55" t="n">
        <x:v>7768</x:v>
      </x:c>
      <x:c r="AD792" s="55" t="n">
        <x:v>3239</x:v>
      </x:c>
      <x:c r="AE792" s="55" t="n">
        <x:v>10947</x:v>
      </x:c>
      <x:c r="AF792" s="55" t="n">
        <x:v>10895</x:v>
      </x:c>
      <x:c r="AG792" s="55" t="n">
        <x:v>52</x:v>
      </x:c>
      <x:c r="AH792" s="55" t="n">
        <x:v>319</x:v>
      </x:c>
      <x:c r="AI792" s="55" t="n">
        <x:v>10576</x:v>
      </x:c>
      <x:c r="AJ792" s="55" t="n">
        <x:v>369</x:v>
      </x:c>
      <x:c r="AK792" s="55" t="n">
        <x:v>1154</x:v>
      </x:c>
      <x:c r="AL792" s="55" t="n">
        <x:v>1543</x:v>
      </x:c>
      <x:c r="AM792" s="55" t="n">
        <x:v>5640</x:v>
      </x:c>
      <x:c r="AN792" s="55" t="n">
        <x:v>2172</x:v>
      </x:c>
      <x:c r="AO792" s="55" t="n">
        <x:v>17</x:v>
      </x:c>
      <x:c r="AP792" s="55" t="n">
        <x:v>1841</x:v>
      </x:c>
      <x:c r="AQ792" s="55" t="n">
        <x:v>967</x:v>
      </x:c>
    </x:row>
    <x:row r="793">
      <x:c r="A793" s="54" t="str">
        <x:v>T1_SHARED_CATCHMENT</x:v>
      </x:c>
      <x:c r="B793" s="54" t="n">
        <x:v>787</x:v>
      </x:c>
      <x:c r="C793" s="54" t="str">
        <x:v>NYC-V2-R01</x:v>
      </x:c>
      <x:c r="D793" s="54" t="str">
        <x:v>V2</x:v>
      </x:c>
      <x:c r="E793" s="54" t="str">
        <x:v>ADMITTED</x:v>
      </x:c>
      <x:c r="F793" s="55" t="n">
        <x:v>30568</x:v>
      </x:c>
      <x:c r="G793" s="55" t="n">
        <x:v>8067</x:v>
      </x:c>
      <x:c r="H793" s="55" t="n">
        <x:v>2761</x:v>
      </x:c>
      <x:c r="I793" s="55" t="n">
        <x:v>1262</x:v>
      </x:c>
      <x:c r="J793" s="55" t="n">
        <x:v>135</x:v>
      </x:c>
      <x:c r="K793" s="55" t="n">
        <x:v>29017</x:v>
      </x:c>
      <x:c r="L793" s="55" t="n">
        <x:v>4944</x:v>
      </x:c>
      <x:c r="M793" s="55" t="n">
        <x:v>1092</x:v>
      </x:c>
      <x:c r="N793" s="55" t="n">
        <x:v>2184</x:v>
      </x:c>
      <x:c r="O793" s="55" t="n">
        <x:v>1668</x:v>
      </x:c>
      <x:c r="P793" s="55" t="n">
        <x:v>1031</x:v>
      </x:c>
      <x:c r="Q793" s="55" t="n">
        <x:v>2338</x:v>
      </x:c>
      <x:c r="R793" s="55" t="n">
        <x:v>2681</x:v>
      </x:c>
      <x:c r="S793" s="55" t="n">
        <x:v>2943</x:v>
      </x:c>
      <x:c r="T793" s="55" t="n">
        <x:v>1226</x:v>
      </x:c>
      <x:c r="U793" s="55" t="n">
        <x:v>1904</x:v>
      </x:c>
      <x:c r="V793" s="55" t="n">
        <x:v>10279</x:v>
      </x:c>
      <x:c r="W793" s="55" t="n">
        <x:v>7045</x:v>
      </x:c>
      <x:c r="X793" s="55" t="n">
        <x:v>3234</x:v>
      </x:c>
      <x:c r="Y793" s="55" t="n">
        <x:v>2860</x:v>
      </x:c>
      <x:c r="Z793" s="55" t="n">
        <x:v>3961</x:v>
      </x:c>
      <x:c r="AA793" s="55" t="n">
        <x:v>2761</x:v>
      </x:c>
      <x:c r="AB793" s="55" t="n">
        <x:v>1099</x:v>
      </x:c>
      <x:c r="AC793" s="55" t="n">
        <x:v>7835</x:v>
      </x:c>
      <x:c r="AD793" s="55" t="n">
        <x:v>2629</x:v>
      </x:c>
      <x:c r="AE793" s="55" t="n">
        <x:v>10408</x:v>
      </x:c>
      <x:c r="AF793" s="55" t="n">
        <x:v>10279</x:v>
      </x:c>
      <x:c r="AG793" s="55" t="n">
        <x:v>129</x:v>
      </x:c>
      <x:c r="AH793" s="55" t="n">
        <x:v>206</x:v>
      </x:c>
      <x:c r="AI793" s="55" t="n">
        <x:v>10073</x:v>
      </x:c>
      <x:c r="AJ793" s="55" t="n">
        <x:v>446</x:v>
      </x:c>
      <x:c r="AK793" s="55" t="n">
        <x:v>1098</x:v>
      </x:c>
      <x:c r="AL793" s="55" t="n">
        <x:v>1765</x:v>
      </x:c>
      <x:c r="AM793" s="55" t="n">
        <x:v>4225</x:v>
      </x:c>
      <x:c r="AN793" s="55" t="n">
        <x:v>2727</x:v>
      </x:c>
      <x:c r="AO793" s="55" t="n">
        <x:v>18</x:v>
      </x:c>
      <x:c r="AP793" s="55" t="n">
        <x:v>2577</x:v>
      </x:c>
      <x:c r="AQ793" s="55" t="n">
        <x:v>956</x:v>
      </x:c>
    </x:row>
    <x:row r="794">
      <x:c r="A794" s="54" t="str">
        <x:v>T1_SHARED_CATCHMENT</x:v>
      </x:c>
      <x:c r="B794" s="54" t="n">
        <x:v>788</x:v>
      </x:c>
      <x:c r="C794" s="54" t="str">
        <x:v>NYC-V2-R01</x:v>
      </x:c>
      <x:c r="D794" s="54" t="str">
        <x:v>V2</x:v>
      </x:c>
      <x:c r="E794" s="54" t="str">
        <x:v>ADMITTED</x:v>
      </x:c>
      <x:c r="F794" s="55" t="n">
        <x:v>31364</x:v>
      </x:c>
      <x:c r="G794" s="55" t="n">
        <x:v>7875</x:v>
      </x:c>
      <x:c r="H794" s="55" t="n">
        <x:v>3052</x:v>
      </x:c>
      <x:c r="I794" s="55" t="n">
        <x:v>1056</x:v>
      </x:c>
      <x:c r="J794" s="55" t="n">
        <x:v>90</x:v>
      </x:c>
      <x:c r="K794" s="55" t="n">
        <x:v>30307</x:v>
      </x:c>
      <x:c r="L794" s="55" t="n">
        <x:v>4386</x:v>
      </x:c>
      <x:c r="M794" s="55" t="n">
        <x:v>989</x:v>
      </x:c>
      <x:c r="N794" s="55" t="n">
        <x:v>2520</x:v>
      </x:c>
      <x:c r="O794" s="55" t="n">
        <x:v>877</x:v>
      </x:c>
      <x:c r="P794" s="55" t="n">
        <x:v>537</x:v>
      </x:c>
      <x:c r="Q794" s="55" t="n">
        <x:v>2466</x:v>
      </x:c>
      <x:c r="R794" s="55" t="n">
        <x:v>1746</x:v>
      </x:c>
      <x:c r="S794" s="55" t="n">
        <x:v>3499</x:v>
      </x:c>
      <x:c r="T794" s="55" t="n">
        <x:v>887</x:v>
      </x:c>
      <x:c r="U794" s="55" t="n">
        <x:v>1494</x:v>
      </x:c>
      <x:c r="V794" s="55" t="n">
        <x:v>10611</x:v>
      </x:c>
      <x:c r="W794" s="55" t="n">
        <x:v>8213</x:v>
      </x:c>
      <x:c r="X794" s="55" t="n">
        <x:v>2398</x:v>
      </x:c>
      <x:c r="Y794" s="55" t="n">
        <x:v>2071</x:v>
      </x:c>
      <x:c r="Z794" s="55" t="n">
        <x:v>2996</x:v>
      </x:c>
      <x:c r="AA794" s="55" t="n">
        <x:v>2933</x:v>
      </x:c>
      <x:c r="AB794" s="55" t="n">
        <x:v>935</x:v>
      </x:c>
      <x:c r="AC794" s="55" t="n">
        <x:v>7612</x:v>
      </x:c>
      <x:c r="AD794" s="55" t="n">
        <x:v>2741</x:v>
      </x:c>
      <x:c r="AE794" s="55" t="n">
        <x:v>10823</x:v>
      </x:c>
      <x:c r="AF794" s="55" t="n">
        <x:v>10611</x:v>
      </x:c>
      <x:c r="AG794" s="55" t="n">
        <x:v>212</x:v>
      </x:c>
      <x:c r="AH794" s="55" t="n">
        <x:v>395</x:v>
      </x:c>
      <x:c r="AI794" s="55" t="n">
        <x:v>10216</x:v>
      </x:c>
      <x:c r="AJ794" s="55" t="n">
        <x:v>302</x:v>
      </x:c>
      <x:c r="AK794" s="55" t="n">
        <x:v>1053</x:v>
      </x:c>
      <x:c r="AL794" s="55" t="n">
        <x:v>1920</x:v>
      </x:c>
      <x:c r="AM794" s="55" t="n">
        <x:v>4757</x:v>
      </x:c>
      <x:c r="AN794" s="55" t="n">
        <x:v>2548</x:v>
      </x:c>
      <x:c r="AO794" s="55" t="n">
        <x:v>31</x:v>
      </x:c>
      <x:c r="AP794" s="55" t="n">
        <x:v>2865</x:v>
      </x:c>
      <x:c r="AQ794" s="55" t="n">
        <x:v>953</x:v>
      </x:c>
    </x:row>
    <x:row r="795">
      <x:c r="A795" s="54" t="str">
        <x:v>T1_SHARED_CATCHMENT</x:v>
      </x:c>
      <x:c r="B795" s="54" t="n">
        <x:v>789</x:v>
      </x:c>
      <x:c r="C795" s="54" t="str">
        <x:v>NYC-V2-R01</x:v>
      </x:c>
      <x:c r="D795" s="54" t="str">
        <x:v>V2</x:v>
      </x:c>
      <x:c r="E795" s="54" t="str">
        <x:v>ADMITTED</x:v>
      </x:c>
      <x:c r="F795" s="55" t="n">
        <x:v>32640</x:v>
      </x:c>
      <x:c r="G795" s="55" t="n">
        <x:v>7911</x:v>
      </x:c>
      <x:c r="H795" s="55" t="n">
        <x:v>3680</x:v>
      </x:c>
      <x:c r="I795" s="55" t="n">
        <x:v>1591</x:v>
      </x:c>
      <x:c r="J795" s="55" t="n">
        <x:v>395</x:v>
      </x:c>
      <x:c r="K795" s="55" t="n">
        <x:v>32640</x:v>
      </x:c>
      <x:c r="L795" s="55" t="n">
        <x:v>7443</x:v>
      </x:c>
      <x:c r="M795" s="55" t="n">
        <x:v>2969</x:v>
      </x:c>
      <x:c r="N795" s="55" t="n">
        <x:v>2686</x:v>
      </x:c>
      <x:c r="O795" s="55" t="n">
        <x:v>1788</x:v>
      </x:c>
      <x:c r="P795" s="55" t="n">
        <x:v>740</x:v>
      </x:c>
      <x:c r="Q795" s="55" t="n">
        <x:v>3123</x:v>
      </x:c>
      <x:c r="R795" s="55" t="n">
        <x:v>1698</x:v>
      </x:c>
      <x:c r="S795" s="55" t="n">
        <x:v>2633</x:v>
      </x:c>
      <x:c r="T795" s="55" t="n">
        <x:v>1522</x:v>
      </x:c>
      <x:c r="U795" s="55" t="n">
        <x:v>2343</x:v>
      </x:c>
      <x:c r="V795" s="55" t="n">
        <x:v>10507</x:v>
      </x:c>
      <x:c r="W795" s="55" t="n">
        <x:v>7027</x:v>
      </x:c>
      <x:c r="X795" s="55" t="n">
        <x:v>3480</x:v>
      </x:c>
      <x:c r="Y795" s="55" t="n">
        <x:v>3105</x:v>
      </x:c>
      <x:c r="Z795" s="55" t="n">
        <x:v>4033</x:v>
      </x:c>
      <x:c r="AA795" s="55" t="n">
        <x:v>3118</x:v>
      </x:c>
      <x:c r="AB795" s="55" t="n">
        <x:v>852</x:v>
      </x:c>
      <x:c r="AC795" s="55" t="n">
        <x:v>7880</x:v>
      </x:c>
      <x:c r="AD795" s="55" t="n">
        <x:v>2878</x:v>
      </x:c>
      <x:c r="AE795" s="55" t="n">
        <x:v>10623</x:v>
      </x:c>
      <x:c r="AF795" s="55" t="n">
        <x:v>10507</x:v>
      </x:c>
      <x:c r="AG795" s="55" t="n">
        <x:v>116</x:v>
      </x:c>
      <x:c r="AH795" s="55" t="n">
        <x:v>420</x:v>
      </x:c>
      <x:c r="AI795" s="55" t="n">
        <x:v>10087</x:v>
      </x:c>
      <x:c r="AJ795" s="55" t="n">
        <x:v>250</x:v>
      </x:c>
      <x:c r="AK795" s="55" t="n">
        <x:v>752</x:v>
      </x:c>
      <x:c r="AL795" s="55" t="n">
        <x:v>1043</x:v>
      </x:c>
      <x:c r="AM795" s="55" t="n">
        <x:v>5437</x:v>
      </x:c>
      <x:c r="AN795" s="55" t="n">
        <x:v>3025</x:v>
      </x:c>
      <x:c r="AO795" s="55" t="n">
        <x:v>0</x:v>
      </x:c>
      <x:c r="AP795" s="55" t="n">
        <x:v>2572</x:v>
      </x:c>
      <x:c r="AQ795" s="55" t="n">
        <x:v>968</x:v>
      </x:c>
    </x:row>
    <x:row r="796">
      <x:c r="A796" s="54" t="str">
        <x:v>T1_SHARED_CATCHMENT</x:v>
      </x:c>
      <x:c r="B796" s="54" t="n">
        <x:v>790</x:v>
      </x:c>
      <x:c r="C796" s="54" t="str">
        <x:v>NYC-V2-R01</x:v>
      </x:c>
      <x:c r="D796" s="54" t="str">
        <x:v>V2</x:v>
      </x:c>
      <x:c r="E796" s="54" t="str">
        <x:v>ADMITTED</x:v>
      </x:c>
      <x:c r="F796" s="55" t="n">
        <x:v>31126</x:v>
      </x:c>
      <x:c r="G796" s="55" t="n">
        <x:v>7586</x:v>
      </x:c>
      <x:c r="H796" s="55" t="n">
        <x:v>3483</x:v>
      </x:c>
      <x:c r="I796" s="55" t="n">
        <x:v>1208</x:v>
      </x:c>
      <x:c r="J796" s="55" t="n">
        <x:v>180</x:v>
      </x:c>
      <x:c r="K796" s="55" t="n">
        <x:v>31126</x:v>
      </x:c>
      <x:c r="L796" s="55" t="n">
        <x:v>5979</x:v>
      </x:c>
      <x:c r="M796" s="55" t="n">
        <x:v>2067</x:v>
      </x:c>
      <x:c r="N796" s="55" t="n">
        <x:v>2410</x:v>
      </x:c>
      <x:c r="O796" s="55" t="n">
        <x:v>1502</x:v>
      </x:c>
      <x:c r="P796" s="55" t="n">
        <x:v>508</x:v>
      </x:c>
      <x:c r="Q796" s="55" t="n">
        <x:v>2565</x:v>
      </x:c>
      <x:c r="R796" s="55" t="n">
        <x:v>1849</x:v>
      </x:c>
      <x:c r="S796" s="55" t="n">
        <x:v>2576</x:v>
      </x:c>
      <x:c r="T796" s="55" t="n">
        <x:v>1377</x:v>
      </x:c>
      <x:c r="U796" s="55" t="n">
        <x:v>2197</x:v>
      </x:c>
      <x:c r="V796" s="55" t="n">
        <x:v>10274</x:v>
      </x:c>
      <x:c r="W796" s="55" t="n">
        <x:v>7580</x:v>
      </x:c>
      <x:c r="X796" s="55" t="n">
        <x:v>2694</x:v>
      </x:c>
      <x:c r="Y796" s="55" t="n">
        <x:v>2129</x:v>
      </x:c>
      <x:c r="Z796" s="55" t="n">
        <x:v>3923</x:v>
      </x:c>
      <x:c r="AA796" s="55" t="n">
        <x:v>3483</x:v>
      </x:c>
      <x:c r="AB796" s="55" t="n">
        <x:v>1087</x:v>
      </x:c>
      <x:c r="AC796" s="55" t="n">
        <x:v>7753</x:v>
      </x:c>
      <x:c r="AD796" s="55" t="n">
        <x:v>2033</x:v>
      </x:c>
      <x:c r="AE796" s="55" t="n">
        <x:v>10359</x:v>
      </x:c>
      <x:c r="AF796" s="55" t="n">
        <x:v>10274</x:v>
      </x:c>
      <x:c r="AG796" s="55" t="n">
        <x:v>85</x:v>
      </x:c>
      <x:c r="AH796" s="55" t="n">
        <x:v>306</x:v>
      </x:c>
      <x:c r="AI796" s="55" t="n">
        <x:v>9968</x:v>
      </x:c>
      <x:c r="AJ796" s="55" t="n">
        <x:v>257</x:v>
      </x:c>
      <x:c r="AK796" s="55" t="n">
        <x:v>932</x:v>
      </x:c>
      <x:c r="AL796" s="55" t="n">
        <x:v>1548</x:v>
      </x:c>
      <x:c r="AM796" s="55" t="n">
        <x:v>4681</x:v>
      </x:c>
      <x:c r="AN796" s="55" t="n">
        <x:v>2791</x:v>
      </x:c>
      <x:c r="AO796" s="55" t="n">
        <x:v>65</x:v>
      </x:c>
      <x:c r="AP796" s="55" t="n">
        <x:v>2699</x:v>
      </x:c>
      <x:c r="AQ796" s="55" t="n">
        <x:v>988</x:v>
      </x:c>
    </x:row>
    <x:row r="797">
      <x:c r="A797" s="54" t="str">
        <x:v>T1_SHARED_CATCHMENT</x:v>
      </x:c>
      <x:c r="B797" s="54" t="n">
        <x:v>791</x:v>
      </x:c>
      <x:c r="C797" s="54" t="str">
        <x:v>NYC-V2-R01</x:v>
      </x:c>
      <x:c r="D797" s="54" t="str">
        <x:v>V2</x:v>
      </x:c>
      <x:c r="E797" s="54" t="str">
        <x:v>ADMITTED</x:v>
      </x:c>
      <x:c r="F797" s="55" t="n">
        <x:v>33430</x:v>
      </x:c>
      <x:c r="G797" s="55" t="n">
        <x:v>7807</x:v>
      </x:c>
      <x:c r="H797" s="55" t="n">
        <x:v>3767</x:v>
      </x:c>
      <x:c r="I797" s="55" t="n">
        <x:v>1749</x:v>
      </x:c>
      <x:c r="J797" s="55" t="n">
        <x:v>379</x:v>
      </x:c>
      <x:c r="K797" s="55" t="n">
        <x:v>29418</x:v>
      </x:c>
      <x:c r="L797" s="55" t="n">
        <x:v>5454</x:v>
      </x:c>
      <x:c r="M797" s="55" t="n">
        <x:v>1275</x:v>
      </x:c>
      <x:c r="N797" s="55" t="n">
        <x:v>2701</x:v>
      </x:c>
      <x:c r="O797" s="55" t="n">
        <x:v>1478</x:v>
      </x:c>
      <x:c r="P797" s="55" t="n">
        <x:v>1300</x:v>
      </x:c>
      <x:c r="Q797" s="55" t="n">
        <x:v>2817</x:v>
      </x:c>
      <x:c r="R797" s="55" t="n">
        <x:v>1457</x:v>
      </x:c>
      <x:c r="S797" s="55" t="n">
        <x:v>3133</x:v>
      </x:c>
      <x:c r="T797" s="55" t="n">
        <x:v>1230</x:v>
      </x:c>
      <x:c r="U797" s="55" t="n">
        <x:v>2138</x:v>
      </x:c>
      <x:c r="V797" s="55" t="n">
        <x:v>10511</x:v>
      </x:c>
      <x:c r="W797" s="55" t="n">
        <x:v>7383</x:v>
      </x:c>
      <x:c r="X797" s="55" t="n">
        <x:v>3128</x:v>
      </x:c>
      <x:c r="Y797" s="55" t="n">
        <x:v>2850</x:v>
      </x:c>
      <x:c r="Z797" s="55" t="n">
        <x:v>3814</x:v>
      </x:c>
      <x:c r="AA797" s="55" t="n">
        <x:v>3015</x:v>
      </x:c>
      <x:c r="AB797" s="55" t="n">
        <x:v>897</x:v>
      </x:c>
      <x:c r="AC797" s="55" t="n">
        <x:v>7935</x:v>
      </x:c>
      <x:c r="AD797" s="55" t="n">
        <x:v>3053</x:v>
      </x:c>
      <x:c r="AE797" s="55" t="n">
        <x:v>10570</x:v>
      </x:c>
      <x:c r="AF797" s="55" t="n">
        <x:v>10511</x:v>
      </x:c>
      <x:c r="AG797" s="55" t="n">
        <x:v>59</x:v>
      </x:c>
      <x:c r="AH797" s="55" t="n">
        <x:v>646</x:v>
      </x:c>
      <x:c r="AI797" s="55" t="n">
        <x:v>9865</x:v>
      </x:c>
      <x:c r="AJ797" s="55" t="n">
        <x:v>396</x:v>
      </x:c>
      <x:c r="AK797" s="55" t="n">
        <x:v>1188</x:v>
      </x:c>
      <x:c r="AL797" s="55" t="n">
        <x:v>1242</x:v>
      </x:c>
      <x:c r="AM797" s="55" t="n">
        <x:v>5073</x:v>
      </x:c>
      <x:c r="AN797" s="55" t="n">
        <x:v>2555</x:v>
      </x:c>
      <x:c r="AO797" s="55" t="n">
        <x:v>57</x:v>
      </x:c>
      <x:c r="AP797" s="55" t="n">
        <x:v>2916</x:v>
      </x:c>
      <x:c r="AQ797" s="55" t="n">
        <x:v>912</x:v>
      </x:c>
    </x:row>
    <x:row r="798">
      <x:c r="A798" s="54" t="str">
        <x:v>T1_SHARED_CATCHMENT</x:v>
      </x:c>
      <x:c r="B798" s="54" t="n">
        <x:v>792</x:v>
      </x:c>
      <x:c r="C798" s="54" t="str">
        <x:v>NYC-V2-R01</x:v>
      </x:c>
      <x:c r="D798" s="54" t="str">
        <x:v>V2</x:v>
      </x:c>
      <x:c r="E798" s="54" t="str">
        <x:v>ADMITTED</x:v>
      </x:c>
      <x:c r="F798" s="55" t="n">
        <x:v>30200</x:v>
      </x:c>
      <x:c r="G798" s="55" t="n">
        <x:v>7610</x:v>
      </x:c>
      <x:c r="H798" s="55" t="n">
        <x:v>3107</x:v>
      </x:c>
      <x:c r="I798" s="55" t="n">
        <x:v>1338</x:v>
      </x:c>
      <x:c r="J798" s="55" t="n">
        <x:v>356</x:v>
      </x:c>
      <x:c r="K798" s="55" t="n">
        <x:v>29566</x:v>
      </x:c>
      <x:c r="L798" s="55" t="n">
        <x:v>6185</x:v>
      </x:c>
      <x:c r="M798" s="55" t="n">
        <x:v>1439</x:v>
      </x:c>
      <x:c r="N798" s="55" t="n">
        <x:v>2813</x:v>
      </x:c>
      <x:c r="O798" s="55" t="n">
        <x:v>1933</x:v>
      </x:c>
      <x:c r="P798" s="55" t="n">
        <x:v>725</x:v>
      </x:c>
      <x:c r="Q798" s="55" t="n">
        <x:v>2587</x:v>
      </x:c>
      <x:c r="R798" s="55" t="n">
        <x:v>1633</x:v>
      </x:c>
      <x:c r="S798" s="55" t="n">
        <x:v>2356</x:v>
      </x:c>
      <x:c r="T798" s="55" t="n">
        <x:v>1081</x:v>
      </x:c>
      <x:c r="U798" s="55" t="n">
        <x:v>2362</x:v>
      </x:c>
      <x:c r="V798" s="55" t="n">
        <x:v>10629</x:v>
      </x:c>
      <x:c r="W798" s="55" t="n">
        <x:v>7466</x:v>
      </x:c>
      <x:c r="X798" s="55" t="n">
        <x:v>3163</x:v>
      </x:c>
      <x:c r="Y798" s="55" t="n">
        <x:v>2818</x:v>
      </x:c>
      <x:c r="Z798" s="55" t="n">
        <x:v>3407</x:v>
      </x:c>
      <x:c r="AA798" s="55" t="n">
        <x:v>3050</x:v>
      </x:c>
      <x:c r="AB798" s="55" t="n">
        <x:v>1024</x:v>
      </x:c>
      <x:c r="AC798" s="55" t="n">
        <x:v>8662</x:v>
      </x:c>
      <x:c r="AD798" s="55" t="n">
        <x:v>3039</x:v>
      </x:c>
      <x:c r="AE798" s="55" t="n">
        <x:v>10708</x:v>
      </x:c>
      <x:c r="AF798" s="55" t="n">
        <x:v>10629</x:v>
      </x:c>
      <x:c r="AG798" s="55" t="n">
        <x:v>79</x:v>
      </x:c>
      <x:c r="AH798" s="55" t="n">
        <x:v>414</x:v>
      </x:c>
      <x:c r="AI798" s="55" t="n">
        <x:v>10215</x:v>
      </x:c>
      <x:c r="AJ798" s="55" t="n">
        <x:v>338</x:v>
      </x:c>
      <x:c r="AK798" s="55" t="n">
        <x:v>1208</x:v>
      </x:c>
      <x:c r="AL798" s="55" t="n">
        <x:v>1448</x:v>
      </x:c>
      <x:c r="AM798" s="55" t="n">
        <x:v>4615</x:v>
      </x:c>
      <x:c r="AN798" s="55" t="n">
        <x:v>3020</x:v>
      </x:c>
      <x:c r="AO798" s="55" t="n">
        <x:v>0</x:v>
      </x:c>
      <x:c r="AP798" s="55" t="n">
        <x:v>1935</x:v>
      </x:c>
      <x:c r="AQ798" s="55" t="n">
        <x:v>967</x:v>
      </x:c>
    </x:row>
    <x:row r="799">
      <x:c r="A799" s="54" t="str">
        <x:v>T1_SHARED_CATCHMENT</x:v>
      </x:c>
      <x:c r="B799" s="54" t="n">
        <x:v>793</x:v>
      </x:c>
      <x:c r="C799" s="54" t="str">
        <x:v>NYC-V2-R01</x:v>
      </x:c>
      <x:c r="D799" s="54" t="str">
        <x:v>V2</x:v>
      </x:c>
      <x:c r="E799" s="54" t="str">
        <x:v>ADMITTED</x:v>
      </x:c>
      <x:c r="F799" s="55" t="n">
        <x:v>30410</x:v>
      </x:c>
      <x:c r="G799" s="55" t="n">
        <x:v>7253</x:v>
      </x:c>
      <x:c r="H799" s="55" t="n">
        <x:v>3574</x:v>
      </x:c>
      <x:c r="I799" s="55" t="n">
        <x:v>1491</x:v>
      </x:c>
      <x:c r="J799" s="55" t="n">
        <x:v>181</x:v>
      </x:c>
      <x:c r="K799" s="55" t="n">
        <x:v>28230</x:v>
      </x:c>
      <x:c r="L799" s="55" t="n">
        <x:v>5035</x:v>
      </x:c>
      <x:c r="M799" s="55" t="n">
        <x:v>1726</x:v>
      </x:c>
      <x:c r="N799" s="55" t="n">
        <x:v>2348</x:v>
      </x:c>
      <x:c r="O799" s="55" t="n">
        <x:v>961</x:v>
      </x:c>
      <x:c r="P799" s="55" t="n">
        <x:v>665</x:v>
      </x:c>
      <x:c r="Q799" s="55" t="n">
        <x:v>1747</x:v>
      </x:c>
      <x:c r="R799" s="55" t="n">
        <x:v>1757</x:v>
      </x:c>
      <x:c r="S799" s="55" t="n">
        <x:v>2093</x:v>
      </x:c>
      <x:c r="T799" s="55" t="n">
        <x:v>1040</x:v>
      </x:c>
      <x:c r="U799" s="55" t="n">
        <x:v>2660</x:v>
      </x:c>
      <x:c r="V799" s="55" t="n">
        <x:v>10648</x:v>
      </x:c>
      <x:c r="W799" s="55" t="n">
        <x:v>7759</x:v>
      </x:c>
      <x:c r="X799" s="55" t="n">
        <x:v>2889</x:v>
      </x:c>
      <x:c r="Y799" s="55" t="n">
        <x:v>2427</x:v>
      </x:c>
      <x:c r="Z799" s="55" t="n">
        <x:v>3628</x:v>
      </x:c>
      <x:c r="AA799" s="55" t="n">
        <x:v>2913</x:v>
      </x:c>
      <x:c r="AB799" s="55" t="n">
        <x:v>694</x:v>
      </x:c>
      <x:c r="AC799" s="55" t="n">
        <x:v>8052</x:v>
      </x:c>
      <x:c r="AD799" s="55" t="n">
        <x:v>2741</x:v>
      </x:c>
      <x:c r="AE799" s="55" t="n">
        <x:v>10694</x:v>
      </x:c>
      <x:c r="AF799" s="55" t="n">
        <x:v>10648</x:v>
      </x:c>
      <x:c r="AG799" s="55" t="n">
        <x:v>46</x:v>
      </x:c>
      <x:c r="AH799" s="55" t="n">
        <x:v>462</x:v>
      </x:c>
      <x:c r="AI799" s="55" t="n">
        <x:v>10186</x:v>
      </x:c>
      <x:c r="AJ799" s="55" t="n">
        <x:v>337</x:v>
      </x:c>
      <x:c r="AK799" s="55" t="n">
        <x:v>739</x:v>
      </x:c>
      <x:c r="AL799" s="55" t="n">
        <x:v>1252</x:v>
      </x:c>
      <x:c r="AM799" s="55" t="n">
        <x:v>5439</x:v>
      </x:c>
      <x:c r="AN799" s="55" t="n">
        <x:v>2842</x:v>
      </x:c>
      <x:c r="AO799" s="55" t="n">
        <x:v>39</x:v>
      </x:c>
      <x:c r="AP799" s="55" t="n">
        <x:v>1989</x:v>
      </x:c>
      <x:c r="AQ799" s="55" t="n">
        <x:v>915</x:v>
      </x:c>
    </x:row>
    <x:row r="800">
      <x:c r="A800" s="54" t="str">
        <x:v>T1_SHARED_CATCHMENT</x:v>
      </x:c>
      <x:c r="B800" s="54" t="n">
        <x:v>794</x:v>
      </x:c>
      <x:c r="C800" s="54" t="str">
        <x:v>NYC-V2-R01</x:v>
      </x:c>
      <x:c r="D800" s="54" t="str">
        <x:v>V2</x:v>
      </x:c>
      <x:c r="E800" s="54" t="str">
        <x:v>ADMITTED</x:v>
      </x:c>
      <x:c r="F800" s="55" t="n">
        <x:v>29947</x:v>
      </x:c>
      <x:c r="G800" s="55" t="n">
        <x:v>7030</x:v>
      </x:c>
      <x:c r="H800" s="55" t="n">
        <x:v>3058</x:v>
      </x:c>
      <x:c r="I800" s="55" t="n">
        <x:v>1407</x:v>
      </x:c>
      <x:c r="J800" s="55" t="n">
        <x:v>169</x:v>
      </x:c>
      <x:c r="K800" s="55" t="n">
        <x:v>29947</x:v>
      </x:c>
      <x:c r="L800" s="55" t="n">
        <x:v>4980</x:v>
      </x:c>
      <x:c r="M800" s="55" t="n">
        <x:v>863</x:v>
      </x:c>
      <x:c r="N800" s="55" t="n">
        <x:v>2288</x:v>
      </x:c>
      <x:c r="O800" s="55" t="n">
        <x:v>1829</x:v>
      </x:c>
      <x:c r="P800" s="55" t="n">
        <x:v>889</x:v>
      </x:c>
      <x:c r="Q800" s="55" t="n">
        <x:v>2379</x:v>
      </x:c>
      <x:c r="R800" s="55" t="n">
        <x:v>1980</x:v>
      </x:c>
      <x:c r="S800" s="55" t="n">
        <x:v>1925</x:v>
      </x:c>
      <x:c r="T800" s="55" t="n">
        <x:v>954</x:v>
      </x:c>
      <x:c r="U800" s="55" t="n">
        <x:v>1580</x:v>
      </x:c>
      <x:c r="V800" s="55" t="n">
        <x:v>10402</x:v>
      </x:c>
      <x:c r="W800" s="55" t="n">
        <x:v>7418</x:v>
      </x:c>
      <x:c r="X800" s="55" t="n">
        <x:v>2984</x:v>
      </x:c>
      <x:c r="Y800" s="55" t="n">
        <x:v>2600</x:v>
      </x:c>
      <x:c r="Z800" s="55" t="n">
        <x:v>3263</x:v>
      </x:c>
      <x:c r="AA800" s="55" t="n">
        <x:v>2724</x:v>
      </x:c>
      <x:c r="AB800" s="55" t="n">
        <x:v>686</x:v>
      </x:c>
      <x:c r="AC800" s="55" t="n">
        <x:v>8208</x:v>
      </x:c>
      <x:c r="AD800" s="55" t="n">
        <x:v>3088</x:v>
      </x:c>
      <x:c r="AE800" s="55" t="n">
        <x:v>10412</x:v>
      </x:c>
      <x:c r="AF800" s="55" t="n">
        <x:v>10402</x:v>
      </x:c>
      <x:c r="AG800" s="55" t="n">
        <x:v>10</x:v>
      </x:c>
      <x:c r="AH800" s="55" t="n">
        <x:v>510</x:v>
      </x:c>
      <x:c r="AI800" s="55" t="n">
        <x:v>9892</x:v>
      </x:c>
      <x:c r="AJ800" s="55" t="n">
        <x:v>209</x:v>
      </x:c>
      <x:c r="AK800" s="55" t="n">
        <x:v>787</x:v>
      </x:c>
      <x:c r="AL800" s="55" t="n">
        <x:v>1888</x:v>
      </x:c>
      <x:c r="AM800" s="55" t="n">
        <x:v>4752</x:v>
      </x:c>
      <x:c r="AN800" s="55" t="n">
        <x:v>2766</x:v>
      </x:c>
      <x:c r="AO800" s="55" t="n">
        <x:v>0</x:v>
      </x:c>
      <x:c r="AP800" s="55" t="n">
        <x:v>2030</x:v>
      </x:c>
      <x:c r="AQ800" s="55" t="n">
        <x:v>917</x:v>
      </x:c>
    </x:row>
    <x:row r="801">
      <x:c r="A801" s="54" t="str">
        <x:v>T1_SHARED_CATCHMENT</x:v>
      </x:c>
      <x:c r="B801" s="54" t="n">
        <x:v>795</x:v>
      </x:c>
      <x:c r="C801" s="54" t="str">
        <x:v>NYC-V2-R01</x:v>
      </x:c>
      <x:c r="D801" s="54" t="str">
        <x:v>V2</x:v>
      </x:c>
      <x:c r="E801" s="54" t="str">
        <x:v>ADMITTED</x:v>
      </x:c>
      <x:c r="F801" s="55" t="n">
        <x:v>33529</x:v>
      </x:c>
      <x:c r="G801" s="55" t="n">
        <x:v>6279</x:v>
      </x:c>
      <x:c r="H801" s="55" t="n">
        <x:v>3641</x:v>
      </x:c>
      <x:c r="I801" s="55" t="n">
        <x:v>1532</x:v>
      </x:c>
      <x:c r="J801" s="55" t="n">
        <x:v>453</x:v>
      </x:c>
      <x:c r="K801" s="55" t="n">
        <x:v>33529</x:v>
      </x:c>
      <x:c r="L801" s="55" t="n">
        <x:v>6021</x:v>
      </x:c>
      <x:c r="M801" s="55" t="n">
        <x:v>1967</x:v>
      </x:c>
      <x:c r="N801" s="55" t="n">
        <x:v>2439</x:v>
      </x:c>
      <x:c r="O801" s="55" t="n">
        <x:v>1615</x:v>
      </x:c>
      <x:c r="P801" s="55" t="n">
        <x:v>1247</x:v>
      </x:c>
      <x:c r="Q801" s="55" t="n">
        <x:v>1654</x:v>
      </x:c>
      <x:c r="R801" s="55" t="n">
        <x:v>2283</x:v>
      </x:c>
      <x:c r="S801" s="55" t="n">
        <x:v>2563</x:v>
      </x:c>
      <x:c r="T801" s="55" t="n">
        <x:v>1590</x:v>
      </x:c>
      <x:c r="U801" s="55" t="n">
        <x:v>2418</x:v>
      </x:c>
      <x:c r="V801" s="55" t="n">
        <x:v>9847</x:v>
      </x:c>
      <x:c r="W801" s="55" t="n">
        <x:v>7131</x:v>
      </x:c>
      <x:c r="X801" s="55" t="n">
        <x:v>2716</x:v>
      </x:c>
      <x:c r="Y801" s="55" t="n">
        <x:v>2240</x:v>
      </x:c>
      <x:c r="Z801" s="55" t="n">
        <x:v>3505</x:v>
      </x:c>
      <x:c r="AA801" s="55" t="n">
        <x:v>3047</x:v>
      </x:c>
      <x:c r="AB801" s="55" t="n">
        <x:v>803</x:v>
      </x:c>
      <x:c r="AC801" s="55" t="n">
        <x:v>8025</x:v>
      </x:c>
      <x:c r="AD801" s="55" t="n">
        <x:v>2797</x:v>
      </x:c>
      <x:c r="AE801" s="55" t="n">
        <x:v>9992</x:v>
      </x:c>
      <x:c r="AF801" s="55" t="n">
        <x:v>9847</x:v>
      </x:c>
      <x:c r="AG801" s="55" t="n">
        <x:v>145</x:v>
      </x:c>
      <x:c r="AH801" s="55" t="n">
        <x:v>631</x:v>
      </x:c>
      <x:c r="AI801" s="55" t="n">
        <x:v>9216</x:v>
      </x:c>
      <x:c r="AJ801" s="55" t="n">
        <x:v>418</x:v>
      </x:c>
      <x:c r="AK801" s="55" t="n">
        <x:v>687</x:v>
      </x:c>
      <x:c r="AL801" s="55" t="n">
        <x:v>1486</x:v>
      </x:c>
      <x:c r="AM801" s="55" t="n">
        <x:v>4679</x:v>
      </x:c>
      <x:c r="AN801" s="55" t="n">
        <x:v>2565</x:v>
      </x:c>
      <x:c r="AO801" s="55" t="n">
        <x:v>12</x:v>
      </x:c>
      <x:c r="AP801" s="55" t="n">
        <x:v>1981</x:v>
      </x:c>
      <x:c r="AQ801" s="55" t="n">
        <x:v>941</x:v>
      </x:c>
    </x:row>
    <x:row r="802">
      <x:c r="A802" s="54" t="str">
        <x:v>T1_SHARED_CATCHMENT</x:v>
      </x:c>
      <x:c r="B802" s="54" t="n">
        <x:v>796</x:v>
      </x:c>
      <x:c r="C802" s="54" t="str">
        <x:v>NYC-V2-R01</x:v>
      </x:c>
      <x:c r="D802" s="54" t="str">
        <x:v>V2</x:v>
      </x:c>
      <x:c r="E802" s="54" t="str">
        <x:v>ADMITTED</x:v>
      </x:c>
      <x:c r="F802" s="55" t="n">
        <x:v>32848</x:v>
      </x:c>
      <x:c r="G802" s="55" t="n">
        <x:v>8141</x:v>
      </x:c>
      <x:c r="H802" s="55" t="n">
        <x:v>3123</x:v>
      </x:c>
      <x:c r="I802" s="55" t="n">
        <x:v>1038</x:v>
      </x:c>
      <x:c r="J802" s="55" t="n">
        <x:v>85</x:v>
      </x:c>
      <x:c r="K802" s="55" t="n">
        <x:v>32848</x:v>
      </x:c>
      <x:c r="L802" s="55" t="n">
        <x:v>6008</x:v>
      </x:c>
      <x:c r="M802" s="55" t="n">
        <x:v>1517</x:v>
      </x:c>
      <x:c r="N802" s="55" t="n">
        <x:v>2911</x:v>
      </x:c>
      <x:c r="O802" s="55" t="n">
        <x:v>1580</x:v>
      </x:c>
      <x:c r="P802" s="55" t="n">
        <x:v>342</x:v>
      </x:c>
      <x:c r="Q802" s="55" t="n">
        <x:v>1710</x:v>
      </x:c>
      <x:c r="R802" s="55" t="n">
        <x:v>1488</x:v>
      </x:c>
      <x:c r="S802" s="55" t="n">
        <x:v>2333</x:v>
      </x:c>
      <x:c r="T802" s="55" t="n">
        <x:v>1296</x:v>
      </x:c>
      <x:c r="U802" s="55" t="n">
        <x:v>2257</x:v>
      </x:c>
      <x:c r="V802" s="55" t="n">
        <x:v>10597</x:v>
      </x:c>
      <x:c r="W802" s="55" t="n">
        <x:v>7684</x:v>
      </x:c>
      <x:c r="X802" s="55" t="n">
        <x:v>2913</x:v>
      </x:c>
      <x:c r="Y802" s="55" t="n">
        <x:v>2512</x:v>
      </x:c>
      <x:c r="Z802" s="55" t="n">
        <x:v>3647</x:v>
      </x:c>
      <x:c r="AA802" s="55" t="n">
        <x:v>3059</x:v>
      </x:c>
      <x:c r="AB802" s="55" t="n">
        <x:v>868</x:v>
      </x:c>
      <x:c r="AC802" s="55" t="n">
        <x:v>7992</x:v>
      </x:c>
      <x:c r="AD802" s="55" t="n">
        <x:v>2690</x:v>
      </x:c>
      <x:c r="AE802" s="55" t="n">
        <x:v>10700</x:v>
      </x:c>
      <x:c r="AF802" s="55" t="n">
        <x:v>10597</x:v>
      </x:c>
      <x:c r="AG802" s="55" t="n">
        <x:v>103</x:v>
      </x:c>
      <x:c r="AH802" s="55" t="n">
        <x:v>372</x:v>
      </x:c>
      <x:c r="AI802" s="55" t="n">
        <x:v>10225</x:v>
      </x:c>
      <x:c r="AJ802" s="55" t="n">
        <x:v>222</x:v>
      </x:c>
      <x:c r="AK802" s="55" t="n">
        <x:v>984</x:v>
      </x:c>
      <x:c r="AL802" s="55" t="n">
        <x:v>1583</x:v>
      </x:c>
      <x:c r="AM802" s="55" t="n">
        <x:v>5053</x:v>
      </x:c>
      <x:c r="AN802" s="55" t="n">
        <x:v>2657</x:v>
      </x:c>
      <x:c r="AO802" s="55" t="n">
        <x:v>98</x:v>
      </x:c>
      <x:c r="AP802" s="55" t="n">
        <x:v>2380</x:v>
      </x:c>
      <x:c r="AQ802" s="55" t="n">
        <x:v>910</x:v>
      </x:c>
    </x:row>
    <x:row r="803">
      <x:c r="A803" s="54" t="str">
        <x:v>T1_SHARED_CATCHMENT</x:v>
      </x:c>
      <x:c r="B803" s="54" t="n">
        <x:v>797</x:v>
      </x:c>
      <x:c r="C803" s="54" t="str">
        <x:v>NYC-V2-R01</x:v>
      </x:c>
      <x:c r="D803" s="54" t="str">
        <x:v>V2</x:v>
      </x:c>
      <x:c r="E803" s="54" t="str">
        <x:v>ADMITTED</x:v>
      </x:c>
      <x:c r="F803" s="55" t="n">
        <x:v>33419</x:v>
      </x:c>
      <x:c r="G803" s="55" t="n">
        <x:v>9482</x:v>
      </x:c>
      <x:c r="H803" s="55" t="n">
        <x:v>3119</x:v>
      </x:c>
      <x:c r="I803" s="55" t="n">
        <x:v>1271</x:v>
      </x:c>
      <x:c r="J803" s="55" t="n">
        <x:v>101</x:v>
      </x:c>
      <x:c r="K803" s="55" t="n">
        <x:v>27669</x:v>
      </x:c>
      <x:c r="L803" s="55" t="n">
        <x:v>5595</x:v>
      </x:c>
      <x:c r="M803" s="55" t="n">
        <x:v>1302</x:v>
      </x:c>
      <x:c r="N803" s="55" t="n">
        <x:v>2550</x:v>
      </x:c>
      <x:c r="O803" s="55" t="n">
        <x:v>1743</x:v>
      </x:c>
      <x:c r="P803" s="55" t="n">
        <x:v>933</x:v>
      </x:c>
      <x:c r="Q803" s="55" t="n">
        <x:v>2127</x:v>
      </x:c>
      <x:c r="R803" s="55" t="n">
        <x:v>2133</x:v>
      </x:c>
      <x:c r="S803" s="55" t="n">
        <x:v>2643</x:v>
      </x:c>
      <x:c r="T803" s="55" t="n">
        <x:v>1014</x:v>
      </x:c>
      <x:c r="U803" s="55" t="n">
        <x:v>2749</x:v>
      </x:c>
      <x:c r="V803" s="55" t="n">
        <x:v>10705</x:v>
      </x:c>
      <x:c r="W803" s="55" t="n">
        <x:v>7366</x:v>
      </x:c>
      <x:c r="X803" s="55" t="n">
        <x:v>3339</x:v>
      </x:c>
      <x:c r="Y803" s="55" t="n">
        <x:v>2867</x:v>
      </x:c>
      <x:c r="Z803" s="55" t="n">
        <x:v>4047</x:v>
      </x:c>
      <x:c r="AA803" s="55" t="n">
        <x:v>3119</x:v>
      </x:c>
      <x:c r="AB803" s="55" t="n">
        <x:v>1044</x:v>
      </x:c>
      <x:c r="AC803" s="55" t="n">
        <x:v>9027</x:v>
      </x:c>
      <x:c r="AD803" s="55" t="n">
        <x:v>2873</x:v>
      </x:c>
      <x:c r="AE803" s="55" t="n">
        <x:v>10793</x:v>
      </x:c>
      <x:c r="AF803" s="55" t="n">
        <x:v>10705</x:v>
      </x:c>
      <x:c r="AG803" s="55" t="n">
        <x:v>88</x:v>
      </x:c>
      <x:c r="AH803" s="55" t="n">
        <x:v>476</x:v>
      </x:c>
      <x:c r="AI803" s="55" t="n">
        <x:v>10229</x:v>
      </x:c>
      <x:c r="AJ803" s="55" t="n">
        <x:v>376</x:v>
      </x:c>
      <x:c r="AK803" s="55" t="n">
        <x:v>872</x:v>
      </x:c>
      <x:c r="AL803" s="55" t="n">
        <x:v>1567</x:v>
      </x:c>
      <x:c r="AM803" s="55" t="n">
        <x:v>5198</x:v>
      </x:c>
      <x:c r="AN803" s="55" t="n">
        <x:v>2692</x:v>
      </x:c>
      <x:c r="AO803" s="55" t="n">
        <x:v>0</x:v>
      </x:c>
      <x:c r="AP803" s="55" t="n">
        <x:v>2548</x:v>
      </x:c>
      <x:c r="AQ803" s="55" t="n">
        <x:v>963</x:v>
      </x:c>
    </x:row>
    <x:row r="804">
      <x:c r="A804" s="54" t="str">
        <x:v>T1_SHARED_CATCHMENT</x:v>
      </x:c>
      <x:c r="B804" s="54" t="n">
        <x:v>798</x:v>
      </x:c>
      <x:c r="C804" s="54" t="str">
        <x:v>NYC-V2-R01</x:v>
      </x:c>
      <x:c r="D804" s="54" t="str">
        <x:v>V2</x:v>
      </x:c>
      <x:c r="E804" s="54" t="str">
        <x:v>ADMITTED</x:v>
      </x:c>
      <x:c r="F804" s="55" t="n">
        <x:v>30234</x:v>
      </x:c>
      <x:c r="G804" s="55" t="n">
        <x:v>7796</x:v>
      </x:c>
      <x:c r="H804" s="55" t="n">
        <x:v>3443</x:v>
      </x:c>
      <x:c r="I804" s="55" t="n">
        <x:v>1221</x:v>
      </x:c>
      <x:c r="J804" s="55" t="n">
        <x:v>265</x:v>
      </x:c>
      <x:c r="K804" s="55" t="n">
        <x:v>30234</x:v>
      </x:c>
      <x:c r="L804" s="55" t="n">
        <x:v>5452</x:v>
      </x:c>
      <x:c r="M804" s="55" t="n">
        <x:v>619</x:v>
      </x:c>
      <x:c r="N804" s="55" t="n">
        <x:v>2493</x:v>
      </x:c>
      <x:c r="O804" s="55" t="n">
        <x:v>2340</x:v>
      </x:c>
      <x:c r="P804" s="55" t="n">
        <x:v>843</x:v>
      </x:c>
      <x:c r="Q804" s="55" t="n">
        <x:v>3080</x:v>
      </x:c>
      <x:c r="R804" s="55" t="n">
        <x:v>1944</x:v>
      </x:c>
      <x:c r="S804" s="55" t="n">
        <x:v>2392</x:v>
      </x:c>
      <x:c r="T804" s="55" t="n">
        <x:v>1136</x:v>
      </x:c>
      <x:c r="U804" s="55" t="n">
        <x:v>2301</x:v>
      </x:c>
      <x:c r="V804" s="55" t="n">
        <x:v>10462</x:v>
      </x:c>
      <x:c r="W804" s="55" t="n">
        <x:v>7300</x:v>
      </x:c>
      <x:c r="X804" s="55" t="n">
        <x:v>3162</x:v>
      </x:c>
      <x:c r="Y804" s="55" t="n">
        <x:v>2918</x:v>
      </x:c>
      <x:c r="Z804" s="55" t="n">
        <x:v>3908</x:v>
      </x:c>
      <x:c r="AA804" s="55" t="n">
        <x:v>3443</x:v>
      </x:c>
      <x:c r="AB804" s="55" t="n">
        <x:v>1580</x:v>
      </x:c>
      <x:c r="AC804" s="55" t="n">
        <x:v>8172</x:v>
      </x:c>
      <x:c r="AD804" s="55" t="n">
        <x:v>2767</x:v>
      </x:c>
      <x:c r="AE804" s="55" t="n">
        <x:v>10622</x:v>
      </x:c>
      <x:c r="AF804" s="55" t="n">
        <x:v>10462</x:v>
      </x:c>
      <x:c r="AG804" s="55" t="n">
        <x:v>160</x:v>
      </x:c>
      <x:c r="AH804" s="55" t="n">
        <x:v>453</x:v>
      </x:c>
      <x:c r="AI804" s="55" t="n">
        <x:v>10009</x:v>
      </x:c>
      <x:c r="AJ804" s="55" t="n">
        <x:v>306</x:v>
      </x:c>
      <x:c r="AK804" s="55" t="n">
        <x:v>960</x:v>
      </x:c>
      <x:c r="AL804" s="55" t="n">
        <x:v>1964</x:v>
      </x:c>
      <x:c r="AM804" s="55" t="n">
        <x:v>4799</x:v>
      </x:c>
      <x:c r="AN804" s="55" t="n">
        <x:v>2433</x:v>
      </x:c>
      <x:c r="AO804" s="55" t="n">
        <x:v>0</x:v>
      </x:c>
      <x:c r="AP804" s="55" t="n">
        <x:v>2997</x:v>
      </x:c>
      <x:c r="AQ804" s="55" t="n">
        <x:v>970</x:v>
      </x:c>
    </x:row>
    <x:row r="805">
      <x:c r="A805" s="54" t="str">
        <x:v>T1_SHARED_CATCHMENT</x:v>
      </x:c>
      <x:c r="B805" s="54" t="n">
        <x:v>799</x:v>
      </x:c>
      <x:c r="C805" s="54" t="str">
        <x:v>NYC-V2-R01</x:v>
      </x:c>
      <x:c r="D805" s="54" t="str">
        <x:v>V2</x:v>
      </x:c>
      <x:c r="E805" s="54" t="str">
        <x:v>ADMITTED</x:v>
      </x:c>
      <x:c r="F805" s="55" t="n">
        <x:v>32290</x:v>
      </x:c>
      <x:c r="G805" s="55" t="n">
        <x:v>7399</x:v>
      </x:c>
      <x:c r="H805" s="55" t="n">
        <x:v>3079</x:v>
      </x:c>
      <x:c r="I805" s="55" t="n">
        <x:v>929</x:v>
      </x:c>
      <x:c r="J805" s="55" t="n">
        <x:v>186</x:v>
      </x:c>
      <x:c r="K805" s="55" t="n">
        <x:v>32290</x:v>
      </x:c>
      <x:c r="L805" s="55" t="n">
        <x:v>6078</x:v>
      </x:c>
      <x:c r="M805" s="55" t="n">
        <x:v>1880</x:v>
      </x:c>
      <x:c r="N805" s="55" t="n">
        <x:v>2410</x:v>
      </x:c>
      <x:c r="O805" s="55" t="n">
        <x:v>1788</x:v>
      </x:c>
      <x:c r="P805" s="55" t="n">
        <x:v>602</x:v>
      </x:c>
      <x:c r="Q805" s="55" t="n">
        <x:v>3414</x:v>
      </x:c>
      <x:c r="R805" s="55" t="n">
        <x:v>1732</x:v>
      </x:c>
      <x:c r="S805" s="55" t="n">
        <x:v>2186</x:v>
      </x:c>
      <x:c r="T805" s="55" t="n">
        <x:v>1210</x:v>
      </x:c>
      <x:c r="U805" s="55" t="n">
        <x:v>2235</x:v>
      </x:c>
      <x:c r="V805" s="55" t="n">
        <x:v>10314</x:v>
      </x:c>
      <x:c r="W805" s="55" t="n">
        <x:v>7308</x:v>
      </x:c>
      <x:c r="X805" s="55" t="n">
        <x:v>3006</x:v>
      </x:c>
      <x:c r="Y805" s="55" t="n">
        <x:v>2630</x:v>
      </x:c>
      <x:c r="Z805" s="55" t="n">
        <x:v>3198</x:v>
      </x:c>
      <x:c r="AA805" s="55" t="n">
        <x:v>3079</x:v>
      </x:c>
      <x:c r="AB805" s="55" t="n">
        <x:v>1030</x:v>
      </x:c>
      <x:c r="AC805" s="55" t="n">
        <x:v>8565</x:v>
      </x:c>
      <x:c r="AD805" s="55" t="n">
        <x:v>2212</x:v>
      </x:c>
      <x:c r="AE805" s="55" t="n">
        <x:v>10436</x:v>
      </x:c>
      <x:c r="AF805" s="55" t="n">
        <x:v>10314</x:v>
      </x:c>
      <x:c r="AG805" s="55" t="n">
        <x:v>122</x:v>
      </x:c>
      <x:c r="AH805" s="55" t="n">
        <x:v>446</x:v>
      </x:c>
      <x:c r="AI805" s="55" t="n">
        <x:v>9868</x:v>
      </x:c>
      <x:c r="AJ805" s="55" t="n">
        <x:v>101</x:v>
      </x:c>
      <x:c r="AK805" s="55" t="n">
        <x:v>903</x:v>
      </x:c>
      <x:c r="AL805" s="55" t="n">
        <x:v>1372</x:v>
      </x:c>
      <x:c r="AM805" s="55" t="n">
        <x:v>4861</x:v>
      </x:c>
      <x:c r="AN805" s="55" t="n">
        <x:v>3077</x:v>
      </x:c>
      <x:c r="AO805" s="55" t="n">
        <x:v>0</x:v>
      </x:c>
      <x:c r="AP805" s="55" t="n">
        <x:v>2408</x:v>
      </x:c>
      <x:c r="AQ805" s="55" t="n">
        <x:v>930</x:v>
      </x:c>
    </x:row>
    <x:row r="806">
      <x:c r="A806" s="54" t="str">
        <x:v>T1_SHARED_CATCHMENT</x:v>
      </x:c>
      <x:c r="B806" s="54" t="n">
        <x:v>800</x:v>
      </x:c>
      <x:c r="C806" s="54" t="str">
        <x:v>NYC-V2-R01</x:v>
      </x:c>
      <x:c r="D806" s="54" t="str">
        <x:v>V2</x:v>
      </x:c>
      <x:c r="E806" s="54" t="str">
        <x:v>ADMITTED</x:v>
      </x:c>
      <x:c r="F806" s="55" t="n">
        <x:v>31701</x:v>
      </x:c>
      <x:c r="G806" s="55" t="n">
        <x:v>8047</x:v>
      </x:c>
      <x:c r="H806" s="55" t="n">
        <x:v>3702</x:v>
      </x:c>
      <x:c r="I806" s="55" t="n">
        <x:v>2051</x:v>
      </x:c>
      <x:c r="J806" s="55" t="n">
        <x:v>306</x:v>
      </x:c>
      <x:c r="K806" s="55" t="n">
        <x:v>31701</x:v>
      </x:c>
      <x:c r="L806" s="55" t="n">
        <x:v>6416</x:v>
      </x:c>
      <x:c r="M806" s="55" t="n">
        <x:v>1771</x:v>
      </x:c>
      <x:c r="N806" s="55" t="n">
        <x:v>2591</x:v>
      </x:c>
      <x:c r="O806" s="55" t="n">
        <x:v>2054</x:v>
      </x:c>
      <x:c r="P806" s="55" t="n">
        <x:v>1044</x:v>
      </x:c>
      <x:c r="Q806" s="55" t="n">
        <x:v>2952</x:v>
      </x:c>
      <x:c r="R806" s="55" t="n">
        <x:v>2828</x:v>
      </x:c>
      <x:c r="S806" s="55" t="n">
        <x:v>2853</x:v>
      </x:c>
      <x:c r="T806" s="55" t="n">
        <x:v>1340</x:v>
      </x:c>
      <x:c r="U806" s="55" t="n">
        <x:v>3188</x:v>
      </x:c>
      <x:c r="V806" s="55" t="n">
        <x:v>11259</x:v>
      </x:c>
      <x:c r="W806" s="55" t="n">
        <x:v>7672</x:v>
      </x:c>
      <x:c r="X806" s="55" t="n">
        <x:v>3587</x:v>
      </x:c>
      <x:c r="Y806" s="55" t="n">
        <x:v>3278</x:v>
      </x:c>
      <x:c r="Z806" s="55" t="n">
        <x:v>4299</x:v>
      </x:c>
      <x:c r="AA806" s="55" t="n">
        <x:v>3456</x:v>
      </x:c>
      <x:c r="AB806" s="55" t="n">
        <x:v>1221</x:v>
      </x:c>
      <x:c r="AC806" s="55" t="n">
        <x:v>8461</x:v>
      </x:c>
      <x:c r="AD806" s="55" t="n">
        <x:v>2974</x:v>
      </x:c>
      <x:c r="AE806" s="55" t="n">
        <x:v>11401</x:v>
      </x:c>
      <x:c r="AF806" s="55" t="n">
        <x:v>11259</x:v>
      </x:c>
      <x:c r="AG806" s="55" t="n">
        <x:v>142</x:v>
      </x:c>
      <x:c r="AH806" s="55" t="n">
        <x:v>853</x:v>
      </x:c>
      <x:c r="AI806" s="55" t="n">
        <x:v>10406</x:v>
      </x:c>
      <x:c r="AJ806" s="55" t="n">
        <x:v>591</x:v>
      </x:c>
      <x:c r="AK806" s="55" t="n">
        <x:v>1116</x:v>
      </x:c>
      <x:c r="AL806" s="55" t="n">
        <x:v>1536</x:v>
      </x:c>
      <x:c r="AM806" s="55" t="n">
        <x:v>5099</x:v>
      </x:c>
      <x:c r="AN806" s="55" t="n">
        <x:v>2862</x:v>
      </x:c>
      <x:c r="AO806" s="55" t="n">
        <x:v>55</x:v>
      </x:c>
      <x:c r="AP806" s="55" t="n">
        <x:v>2221</x:v>
      </x:c>
      <x:c r="AQ806" s="55" t="n">
        <x:v>980</x:v>
      </x:c>
    </x:row>
    <x:row r="807">
      <x:c r="A807" s="54" t="str">
        <x:v>T1_SHARED_CATCHMENT</x:v>
      </x:c>
      <x:c r="B807" s="54" t="n">
        <x:v>801</x:v>
      </x:c>
      <x:c r="C807" s="54" t="str">
        <x:v>NYC-V2-R01</x:v>
      </x:c>
      <x:c r="D807" s="54" t="str">
        <x:v>V2</x:v>
      </x:c>
      <x:c r="E807" s="54" t="str">
        <x:v>ADMITTED</x:v>
      </x:c>
      <x:c r="F807" s="55" t="n">
        <x:v>31085</x:v>
      </x:c>
      <x:c r="G807" s="55" t="n">
        <x:v>8363</x:v>
      </x:c>
      <x:c r="H807" s="55" t="n">
        <x:v>3314</x:v>
      </x:c>
      <x:c r="I807" s="55" t="n">
        <x:v>1047</x:v>
      </x:c>
      <x:c r="J807" s="55" t="n">
        <x:v>280</x:v>
      </x:c>
      <x:c r="K807" s="55" t="n">
        <x:v>29724</x:v>
      </x:c>
      <x:c r="L807" s="55" t="n">
        <x:v>5438</x:v>
      </x:c>
      <x:c r="M807" s="55" t="n">
        <x:v>694</x:v>
      </x:c>
      <x:c r="N807" s="55" t="n">
        <x:v>2583</x:v>
      </x:c>
      <x:c r="O807" s="55" t="n">
        <x:v>2161</x:v>
      </x:c>
      <x:c r="P807" s="55" t="n">
        <x:v>680</x:v>
      </x:c>
      <x:c r="Q807" s="55" t="n">
        <x:v>3382</x:v>
      </x:c>
      <x:c r="R807" s="55" t="n">
        <x:v>2110</x:v>
      </x:c>
      <x:c r="S807" s="55" t="n">
        <x:v>3480</x:v>
      </x:c>
      <x:c r="T807" s="55" t="n">
        <x:v>1533</x:v>
      </x:c>
      <x:c r="U807" s="55" t="n">
        <x:v>2085</x:v>
      </x:c>
      <x:c r="V807" s="55" t="n">
        <x:v>11339</x:v>
      </x:c>
      <x:c r="W807" s="55" t="n">
        <x:v>8220</x:v>
      </x:c>
      <x:c r="X807" s="55" t="n">
        <x:v>3119</x:v>
      </x:c>
      <x:c r="Y807" s="55" t="n">
        <x:v>2751</x:v>
      </x:c>
      <x:c r="Z807" s="55" t="n">
        <x:v>3796</x:v>
      </x:c>
      <x:c r="AA807" s="55" t="n">
        <x:v>3314</x:v>
      </x:c>
      <x:c r="AB807" s="55" t="n">
        <x:v>1220</x:v>
      </x:c>
      <x:c r="AC807" s="55" t="n">
        <x:v>7650</x:v>
      </x:c>
      <x:c r="AD807" s="55" t="n">
        <x:v>3062</x:v>
      </x:c>
      <x:c r="AE807" s="55" t="n">
        <x:v>11439</x:v>
      </x:c>
      <x:c r="AF807" s="55" t="n">
        <x:v>11339</x:v>
      </x:c>
      <x:c r="AG807" s="55" t="n">
        <x:v>100</x:v>
      </x:c>
      <x:c r="AH807" s="55" t="n">
        <x:v>499</x:v>
      </x:c>
      <x:c r="AI807" s="55" t="n">
        <x:v>10840</x:v>
      </x:c>
      <x:c r="AJ807" s="55" t="n">
        <x:v>375</x:v>
      </x:c>
      <x:c r="AK807" s="55" t="n">
        <x:v>975</x:v>
      </x:c>
      <x:c r="AL807" s="55" t="n">
        <x:v>1868</x:v>
      </x:c>
      <x:c r="AM807" s="55" t="n">
        <x:v>5404</x:v>
      </x:c>
      <x:c r="AN807" s="55" t="n">
        <x:v>2616</x:v>
      </x:c>
      <x:c r="AO807" s="55" t="n">
        <x:v>101</x:v>
      </x:c>
      <x:c r="AP807" s="55" t="n">
        <x:v>2655</x:v>
      </x:c>
      <x:c r="AQ807" s="55" t="n">
        <x:v>972</x:v>
      </x:c>
    </x:row>
    <x:row r="808">
      <x:c r="A808" s="54" t="str">
        <x:v>T1_SHARED_CATCHMENT</x:v>
      </x:c>
      <x:c r="B808" s="54" t="n">
        <x:v>802</x:v>
      </x:c>
      <x:c r="C808" s="54" t="str">
        <x:v>NYC-V2-R01</x:v>
      </x:c>
      <x:c r="D808" s="54" t="str">
        <x:v>V2</x:v>
      </x:c>
      <x:c r="E808" s="54" t="str">
        <x:v>ADMITTED</x:v>
      </x:c>
      <x:c r="F808" s="55" t="n">
        <x:v>33354</x:v>
      </x:c>
      <x:c r="G808" s="55" t="n">
        <x:v>9012</x:v>
      </x:c>
      <x:c r="H808" s="55" t="n">
        <x:v>3390</x:v>
      </x:c>
      <x:c r="I808" s="55" t="n">
        <x:v>1291</x:v>
      </x:c>
      <x:c r="J808" s="55" t="n">
        <x:v>318</x:v>
      </x:c>
      <x:c r="K808" s="55" t="n">
        <x:v>29693</x:v>
      </x:c>
      <x:c r="L808" s="55" t="n">
        <x:v>4437</x:v>
      </x:c>
      <x:c r="M808" s="55" t="n">
        <x:v>457</x:v>
      </x:c>
      <x:c r="N808" s="55" t="n">
        <x:v>2403</x:v>
      </x:c>
      <x:c r="O808" s="55" t="n">
        <x:v>1577</x:v>
      </x:c>
      <x:c r="P808" s="55" t="n">
        <x:v>613</x:v>
      </x:c>
      <x:c r="Q808" s="55" t="n">
        <x:v>2980</x:v>
      </x:c>
      <x:c r="R808" s="55" t="n">
        <x:v>2328</x:v>
      </x:c>
      <x:c r="S808" s="55" t="n">
        <x:v>3232</x:v>
      </x:c>
      <x:c r="T808" s="55" t="n">
        <x:v>711</x:v>
      </x:c>
      <x:c r="U808" s="55" t="n">
        <x:v>1844</x:v>
      </x:c>
      <x:c r="V808" s="55" t="n">
        <x:v>10338</x:v>
      </x:c>
      <x:c r="W808" s="55" t="n">
        <x:v>7754</x:v>
      </x:c>
      <x:c r="X808" s="55" t="n">
        <x:v>2584</x:v>
      </x:c>
      <x:c r="Y808" s="55" t="n">
        <x:v>2166</x:v>
      </x:c>
      <x:c r="Z808" s="55" t="n">
        <x:v>3304</x:v>
      </x:c>
      <x:c r="AA808" s="55" t="n">
        <x:v>3390</x:v>
      </x:c>
      <x:c r="AB808" s="55" t="n">
        <x:v>1267</x:v>
      </x:c>
      <x:c r="AC808" s="55" t="n">
        <x:v>7436</x:v>
      </x:c>
      <x:c r="AD808" s="55" t="n">
        <x:v>2971</x:v>
      </x:c>
      <x:c r="AE808" s="55" t="n">
        <x:v>10372</x:v>
      </x:c>
      <x:c r="AF808" s="55" t="n">
        <x:v>10338</x:v>
      </x:c>
      <x:c r="AG808" s="55" t="n">
        <x:v>34</x:v>
      </x:c>
      <x:c r="AH808" s="55" t="n">
        <x:v>487</x:v>
      </x:c>
      <x:c r="AI808" s="55" t="n">
        <x:v>9851</x:v>
      </x:c>
      <x:c r="AJ808" s="55" t="n">
        <x:v>278</x:v>
      </x:c>
      <x:c r="AK808" s="55" t="n">
        <x:v>1122</x:v>
      </x:c>
      <x:c r="AL808" s="55" t="n">
        <x:v>1362</x:v>
      </x:c>
      <x:c r="AM808" s="55" t="n">
        <x:v>4998</x:v>
      </x:c>
      <x:c r="AN808" s="55" t="n">
        <x:v>2578</x:v>
      </x:c>
      <x:c r="AO808" s="55" t="n">
        <x:v>0</x:v>
      </x:c>
      <x:c r="AP808" s="55" t="n">
        <x:v>2254</x:v>
      </x:c>
      <x:c r="AQ808" s="55" t="n">
        <x:v>951</x:v>
      </x:c>
    </x:row>
    <x:row r="809">
      <x:c r="A809" s="54" t="str">
        <x:v>T1_SHARED_CATCHMENT</x:v>
      </x:c>
      <x:c r="B809" s="54" t="n">
        <x:v>803</x:v>
      </x:c>
      <x:c r="C809" s="54" t="str">
        <x:v>NYC-V2-R01</x:v>
      </x:c>
      <x:c r="D809" s="54" t="str">
        <x:v>V2</x:v>
      </x:c>
      <x:c r="E809" s="54" t="str">
        <x:v>ADMITTED</x:v>
      </x:c>
      <x:c r="F809" s="55" t="n">
        <x:v>28870</x:v>
      </x:c>
      <x:c r="G809" s="55" t="n">
        <x:v>7212</x:v>
      </x:c>
      <x:c r="H809" s="55" t="n">
        <x:v>2915</x:v>
      </x:c>
      <x:c r="I809" s="55" t="n">
        <x:v>1270</x:v>
      </x:c>
      <x:c r="J809" s="55" t="n">
        <x:v>178</x:v>
      </x:c>
      <x:c r="K809" s="55" t="n">
        <x:v>28870</x:v>
      </x:c>
      <x:c r="L809" s="55" t="n">
        <x:v>4806</x:v>
      </x:c>
      <x:c r="M809" s="55" t="n">
        <x:v>37</x:v>
      </x:c>
      <x:c r="N809" s="55" t="n">
        <x:v>2830</x:v>
      </x:c>
      <x:c r="O809" s="55" t="n">
        <x:v>1939</x:v>
      </x:c>
      <x:c r="P809" s="55" t="n">
        <x:v>670</x:v>
      </x:c>
      <x:c r="Q809" s="55" t="n">
        <x:v>2985</x:v>
      </x:c>
      <x:c r="R809" s="55" t="n">
        <x:v>1571</x:v>
      </x:c>
      <x:c r="S809" s="55" t="n">
        <x:v>2834</x:v>
      </x:c>
      <x:c r="T809" s="55" t="n">
        <x:v>1067</x:v>
      </x:c>
      <x:c r="U809" s="55" t="n">
        <x:v>2457</x:v>
      </x:c>
      <x:c r="V809" s="55" t="n">
        <x:v>10168</x:v>
      </x:c>
      <x:c r="W809" s="55" t="n">
        <x:v>7395</x:v>
      </x:c>
      <x:c r="X809" s="55" t="n">
        <x:v>2773</x:v>
      </x:c>
      <x:c r="Y809" s="55" t="n">
        <x:v>2211</x:v>
      </x:c>
      <x:c r="Z809" s="55" t="n">
        <x:v>3653</x:v>
      </x:c>
      <x:c r="AA809" s="55" t="n">
        <x:v>2807</x:v>
      </x:c>
      <x:c r="AB809" s="55" t="n">
        <x:v>677</x:v>
      </x:c>
      <x:c r="AC809" s="55" t="n">
        <x:v>7848</x:v>
      </x:c>
      <x:c r="AD809" s="55" t="n">
        <x:v>3546</x:v>
      </x:c>
      <x:c r="AE809" s="55" t="n">
        <x:v>10249</x:v>
      </x:c>
      <x:c r="AF809" s="55" t="n">
        <x:v>10168</x:v>
      </x:c>
      <x:c r="AG809" s="55" t="n">
        <x:v>81</x:v>
      </x:c>
      <x:c r="AH809" s="55" t="n">
        <x:v>298</x:v>
      </x:c>
      <x:c r="AI809" s="55" t="n">
        <x:v>9870</x:v>
      </x:c>
      <x:c r="AJ809" s="55" t="n">
        <x:v>166</x:v>
      </x:c>
      <x:c r="AK809" s="55" t="n">
        <x:v>1016</x:v>
      </x:c>
      <x:c r="AL809" s="55" t="n">
        <x:v>1510</x:v>
      </x:c>
      <x:c r="AM809" s="55" t="n">
        <x:v>4924</x:v>
      </x:c>
      <x:c r="AN809" s="55" t="n">
        <x:v>2517</x:v>
      </x:c>
      <x:c r="AO809" s="55" t="n">
        <x:v>35</x:v>
      </x:c>
      <x:c r="AP809" s="55" t="n">
        <x:v>2208</x:v>
      </x:c>
      <x:c r="AQ809" s="55" t="n">
        <x:v>933</x:v>
      </x:c>
    </x:row>
    <x:row r="810">
      <x:c r="A810" s="54" t="str">
        <x:v>T1_SHARED_CATCHMENT</x:v>
      </x:c>
      <x:c r="B810" s="54" t="n">
        <x:v>804</x:v>
      </x:c>
      <x:c r="C810" s="54" t="str">
        <x:v>NYC-V2-R01</x:v>
      </x:c>
      <x:c r="D810" s="54" t="str">
        <x:v>V2</x:v>
      </x:c>
      <x:c r="E810" s="54" t="str">
        <x:v>ADMITTED</x:v>
      </x:c>
      <x:c r="F810" s="55" t="n">
        <x:v>32187</x:v>
      </x:c>
      <x:c r="G810" s="55" t="n">
        <x:v>7826</x:v>
      </x:c>
      <x:c r="H810" s="55" t="n">
        <x:v>3424</x:v>
      </x:c>
      <x:c r="I810" s="55" t="n">
        <x:v>1185</x:v>
      </x:c>
      <x:c r="J810" s="55" t="n">
        <x:v>213</x:v>
      </x:c>
      <x:c r="K810" s="55" t="n">
        <x:v>31499</x:v>
      </x:c>
      <x:c r="L810" s="55" t="n">
        <x:v>6829</x:v>
      </x:c>
      <x:c r="M810" s="55" t="n">
        <x:v>2166</x:v>
      </x:c>
      <x:c r="N810" s="55" t="n">
        <x:v>2968</x:v>
      </x:c>
      <x:c r="O810" s="55" t="n">
        <x:v>1695</x:v>
      </x:c>
      <x:c r="P810" s="55" t="n">
        <x:v>740</x:v>
      </x:c>
      <x:c r="Q810" s="55" t="n">
        <x:v>2330</x:v>
      </x:c>
      <x:c r="R810" s="55" t="n">
        <x:v>1788</x:v>
      </x:c>
      <x:c r="S810" s="55" t="n">
        <x:v>2892</x:v>
      </x:c>
      <x:c r="T810" s="55" t="n">
        <x:v>1043</x:v>
      </x:c>
      <x:c r="U810" s="55" t="n">
        <x:v>2417</x:v>
      </x:c>
      <x:c r="V810" s="55" t="n">
        <x:v>10444</x:v>
      </x:c>
      <x:c r="W810" s="55" t="n">
        <x:v>6892</x:v>
      </x:c>
      <x:c r="X810" s="55" t="n">
        <x:v>3552</x:v>
      </x:c>
      <x:c r="Y810" s="55" t="n">
        <x:v>3060</x:v>
      </x:c>
      <x:c r="Z810" s="55" t="n">
        <x:v>3275</x:v>
      </x:c>
      <x:c r="AA810" s="55" t="n">
        <x:v>3424</x:v>
      </x:c>
      <x:c r="AB810" s="55" t="n">
        <x:v>903</x:v>
      </x:c>
      <x:c r="AC810" s="55" t="n">
        <x:v>7818</x:v>
      </x:c>
      <x:c r="AD810" s="55" t="n">
        <x:v>2483</x:v>
      </x:c>
      <x:c r="AE810" s="55" t="n">
        <x:v>10498</x:v>
      </x:c>
      <x:c r="AF810" s="55" t="n">
        <x:v>10444</x:v>
      </x:c>
      <x:c r="AG810" s="55" t="n">
        <x:v>54</x:v>
      </x:c>
      <x:c r="AH810" s="55" t="n">
        <x:v>522</x:v>
      </x:c>
      <x:c r="AI810" s="55" t="n">
        <x:v>9922</x:v>
      </x:c>
      <x:c r="AJ810" s="55" t="n">
        <x:v>318</x:v>
      </x:c>
      <x:c r="AK810" s="55" t="n">
        <x:v>1159</x:v>
      </x:c>
      <x:c r="AL810" s="55" t="n">
        <x:v>1388</x:v>
      </x:c>
      <x:c r="AM810" s="55" t="n">
        <x:v>5050</x:v>
      </x:c>
      <x:c r="AN810" s="55" t="n">
        <x:v>2448</x:v>
      </x:c>
      <x:c r="AO810" s="55" t="n">
        <x:v>81</x:v>
      </x:c>
      <x:c r="AP810" s="55" t="n">
        <x:v>2328</x:v>
      </x:c>
      <x:c r="AQ810" s="55" t="n">
        <x:v>966</x:v>
      </x:c>
    </x:row>
    <x:row r="811">
      <x:c r="A811" s="54" t="str">
        <x:v>T1_SHARED_CATCHMENT</x:v>
      </x:c>
      <x:c r="B811" s="54" t="n">
        <x:v>805</x:v>
      </x:c>
      <x:c r="C811" s="54" t="str">
        <x:v>NYC-V2-R01</x:v>
      </x:c>
      <x:c r="D811" s="54" t="str">
        <x:v>V2</x:v>
      </x:c>
      <x:c r="E811" s="54" t="str">
        <x:v>ADMITTED</x:v>
      </x:c>
      <x:c r="F811" s="55" t="n">
        <x:v>30596</x:v>
      </x:c>
      <x:c r="G811" s="55" t="n">
        <x:v>8206</x:v>
      </x:c>
      <x:c r="H811" s="55" t="n">
        <x:v>3362</x:v>
      </x:c>
      <x:c r="I811" s="55" t="n">
        <x:v>1005</x:v>
      </x:c>
      <x:c r="J811" s="55" t="n">
        <x:v>46</x:v>
      </x:c>
      <x:c r="K811" s="55" t="n">
        <x:v>29218</x:v>
      </x:c>
      <x:c r="L811" s="55" t="n">
        <x:v>5010</x:v>
      </x:c>
      <x:c r="M811" s="55" t="n">
        <x:v>1173</x:v>
      </x:c>
      <x:c r="N811" s="55" t="n">
        <x:v>2475</x:v>
      </x:c>
      <x:c r="O811" s="55" t="n">
        <x:v>1362</x:v>
      </x:c>
      <x:c r="P811" s="55" t="n">
        <x:v>947</x:v>
      </x:c>
      <x:c r="Q811" s="55" t="n">
        <x:v>3231</x:v>
      </x:c>
      <x:c r="R811" s="55" t="n">
        <x:v>1933</x:v>
      </x:c>
      <x:c r="S811" s="55" t="n">
        <x:v>2753</x:v>
      </x:c>
      <x:c r="T811" s="55" t="n">
        <x:v>1194</x:v>
      </x:c>
      <x:c r="U811" s="55" t="n">
        <x:v>2400</x:v>
      </x:c>
      <x:c r="V811" s="55" t="n">
        <x:v>10280</x:v>
      </x:c>
      <x:c r="W811" s="55" t="n">
        <x:v>7644</x:v>
      </x:c>
      <x:c r="X811" s="55" t="n">
        <x:v>2636</x:v>
      </x:c>
      <x:c r="Y811" s="55" t="n">
        <x:v>2190</x:v>
      </x:c>
      <x:c r="Z811" s="55" t="n">
        <x:v>3821</x:v>
      </x:c>
      <x:c r="AA811" s="55" t="n">
        <x:v>3362</x:v>
      </x:c>
      <x:c r="AB811" s="55" t="n">
        <x:v>1333</x:v>
      </x:c>
      <x:c r="AC811" s="55" t="n">
        <x:v>9041</x:v>
      </x:c>
      <x:c r="AD811" s="55" t="n">
        <x:v>2733</x:v>
      </x:c>
      <x:c r="AE811" s="55" t="n">
        <x:v>10437</x:v>
      </x:c>
      <x:c r="AF811" s="55" t="n">
        <x:v>10280</x:v>
      </x:c>
      <x:c r="AG811" s="55" t="n">
        <x:v>157</x:v>
      </x:c>
      <x:c r="AH811" s="55" t="n">
        <x:v>229</x:v>
      </x:c>
      <x:c r="AI811" s="55" t="n">
        <x:v>10051</x:v>
      </x:c>
      <x:c r="AJ811" s="55" t="n">
        <x:v>181</x:v>
      </x:c>
      <x:c r="AK811" s="55" t="n">
        <x:v>807</x:v>
      </x:c>
      <x:c r="AL811" s="55" t="n">
        <x:v>1520</x:v>
      </x:c>
      <x:c r="AM811" s="55" t="n">
        <x:v>4933</x:v>
      </x:c>
      <x:c r="AN811" s="55" t="n">
        <x:v>2786</x:v>
      </x:c>
      <x:c r="AO811" s="55" t="n">
        <x:v>53</x:v>
      </x:c>
      <x:c r="AP811" s="55" t="n">
        <x:v>2194</x:v>
      </x:c>
      <x:c r="AQ811" s="55" t="n">
        <x:v>982</x:v>
      </x:c>
    </x:row>
    <x:row r="812">
      <x:c r="A812" s="54" t="str">
        <x:v>T1_SHARED_CATCHMENT</x:v>
      </x:c>
      <x:c r="B812" s="54" t="n">
        <x:v>806</x:v>
      </x:c>
      <x:c r="C812" s="54" t="str">
        <x:v>NYC-V2-R01</x:v>
      </x:c>
      <x:c r="D812" s="54" t="str">
        <x:v>V2</x:v>
      </x:c>
      <x:c r="E812" s="54" t="str">
        <x:v>ADMITTED</x:v>
      </x:c>
      <x:c r="F812" s="55" t="n">
        <x:v>32683</x:v>
      </x:c>
      <x:c r="G812" s="55" t="n">
        <x:v>9126</x:v>
      </x:c>
      <x:c r="H812" s="55" t="n">
        <x:v>3173</x:v>
      </x:c>
      <x:c r="I812" s="55" t="n">
        <x:v>1232</x:v>
      </x:c>
      <x:c r="J812" s="55" t="n">
        <x:v>251</x:v>
      </x:c>
      <x:c r="K812" s="55" t="n">
        <x:v>30543</x:v>
      </x:c>
      <x:c r="L812" s="55" t="n">
        <x:v>5687</x:v>
      </x:c>
      <x:c r="M812" s="55" t="n">
        <x:v>1659</x:v>
      </x:c>
      <x:c r="N812" s="55" t="n">
        <x:v>2391</x:v>
      </x:c>
      <x:c r="O812" s="55" t="n">
        <x:v>1637</x:v>
      </x:c>
      <x:c r="P812" s="55" t="n">
        <x:v>800</x:v>
      </x:c>
      <x:c r="Q812" s="55" t="n">
        <x:v>3677</x:v>
      </x:c>
      <x:c r="R812" s="55" t="n">
        <x:v>1307</x:v>
      </x:c>
      <x:c r="S812" s="55" t="n">
        <x:v>2853</x:v>
      </x:c>
      <x:c r="T812" s="55" t="n">
        <x:v>1528</x:v>
      </x:c>
      <x:c r="U812" s="55" t="n">
        <x:v>2038</x:v>
      </x:c>
      <x:c r="V812" s="55" t="n">
        <x:v>10372</x:v>
      </x:c>
      <x:c r="W812" s="55" t="n">
        <x:v>7345</x:v>
      </x:c>
      <x:c r="X812" s="55" t="n">
        <x:v>3027</x:v>
      </x:c>
      <x:c r="Y812" s="55" t="n">
        <x:v>2470</x:v>
      </x:c>
      <x:c r="Z812" s="55" t="n">
        <x:v>3894</x:v>
      </x:c>
      <x:c r="AA812" s="55" t="n">
        <x:v>3173</x:v>
      </x:c>
      <x:c r="AB812" s="55" t="n">
        <x:v>934</x:v>
      </x:c>
      <x:c r="AC812" s="55" t="n">
        <x:v>7669</x:v>
      </x:c>
      <x:c r="AD812" s="55" t="n">
        <x:v>2336</x:v>
      </x:c>
      <x:c r="AE812" s="55" t="n">
        <x:v>10444</x:v>
      </x:c>
      <x:c r="AF812" s="55" t="n">
        <x:v>10372</x:v>
      </x:c>
      <x:c r="AG812" s="55" t="n">
        <x:v>72</x:v>
      </x:c>
      <x:c r="AH812" s="55" t="n">
        <x:v>436</x:v>
      </x:c>
      <x:c r="AI812" s="55" t="n">
        <x:v>9936</x:v>
      </x:c>
      <x:c r="AJ812" s="55" t="n">
        <x:v>584</x:v>
      </x:c>
      <x:c r="AK812" s="55" t="n">
        <x:v>826</x:v>
      </x:c>
      <x:c r="AL812" s="55" t="n">
        <x:v>1262</x:v>
      </x:c>
      <x:c r="AM812" s="55" t="n">
        <x:v>5141</x:v>
      </x:c>
      <x:c r="AN812" s="55" t="n">
        <x:v>2471</x:v>
      </x:c>
      <x:c r="AO812" s="55" t="n">
        <x:v>88</x:v>
      </x:c>
      <x:c r="AP812" s="55" t="n">
        <x:v>2498</x:v>
      </x:c>
      <x:c r="AQ812" s="55" t="n">
        <x:v>993</x:v>
      </x:c>
    </x:row>
    <x:row r="813">
      <x:c r="A813" s="54" t="str">
        <x:v>T1_SHARED_CATCHMENT</x:v>
      </x:c>
      <x:c r="B813" s="54" t="n">
        <x:v>807</x:v>
      </x:c>
      <x:c r="C813" s="54" t="str">
        <x:v>NYC-V2-R01</x:v>
      </x:c>
      <x:c r="D813" s="54" t="str">
        <x:v>V2</x:v>
      </x:c>
      <x:c r="E813" s="54" t="str">
        <x:v>ADMITTED</x:v>
      </x:c>
      <x:c r="F813" s="55" t="n">
        <x:v>30046</x:v>
      </x:c>
      <x:c r="G813" s="55" t="n">
        <x:v>7447</x:v>
      </x:c>
      <x:c r="H813" s="55" t="n">
        <x:v>3476</x:v>
      </x:c>
      <x:c r="I813" s="55" t="n">
        <x:v>1101</x:v>
      </x:c>
      <x:c r="J813" s="55" t="n">
        <x:v>173</x:v>
      </x:c>
      <x:c r="K813" s="55" t="n">
        <x:v>30046</x:v>
      </x:c>
      <x:c r="L813" s="55" t="n">
        <x:v>4406</x:v>
      </x:c>
      <x:c r="M813" s="55" t="n">
        <x:v>505</x:v>
      </x:c>
      <x:c r="N813" s="55" t="n">
        <x:v>2212</x:v>
      </x:c>
      <x:c r="O813" s="55" t="n">
        <x:v>1689</x:v>
      </x:c>
      <x:c r="P813" s="55" t="n">
        <x:v>910</x:v>
      </x:c>
      <x:c r="Q813" s="55" t="n">
        <x:v>2689</x:v>
      </x:c>
      <x:c r="R813" s="55" t="n">
        <x:v>2166</x:v>
      </x:c>
      <x:c r="S813" s="55" t="n">
        <x:v>2968</x:v>
      </x:c>
      <x:c r="T813" s="55" t="n">
        <x:v>692</x:v>
      </x:c>
      <x:c r="U813" s="55" t="n">
        <x:v>2350</x:v>
      </x:c>
      <x:c r="V813" s="55" t="n">
        <x:v>11202</x:v>
      </x:c>
      <x:c r="W813" s="55" t="n">
        <x:v>8076</x:v>
      </x:c>
      <x:c r="X813" s="55" t="n">
        <x:v>3126</x:v>
      </x:c>
      <x:c r="Y813" s="55" t="n">
        <x:v>2642</x:v>
      </x:c>
      <x:c r="Z813" s="55" t="n">
        <x:v>4181</x:v>
      </x:c>
      <x:c r="AA813" s="55" t="n">
        <x:v>3263</x:v>
      </x:c>
      <x:c r="AB813" s="55" t="n">
        <x:v>1207</x:v>
      </x:c>
      <x:c r="AC813" s="55" t="n">
        <x:v>7788</x:v>
      </x:c>
      <x:c r="AD813" s="55" t="n">
        <x:v>2476</x:v>
      </x:c>
      <x:c r="AE813" s="55" t="n">
        <x:v>11320</x:v>
      </x:c>
      <x:c r="AF813" s="55" t="n">
        <x:v>11202</x:v>
      </x:c>
      <x:c r="AG813" s="55" t="n">
        <x:v>118</x:v>
      </x:c>
      <x:c r="AH813" s="55" t="n">
        <x:v>647</x:v>
      </x:c>
      <x:c r="AI813" s="55" t="n">
        <x:v>10555</x:v>
      </x:c>
      <x:c r="AJ813" s="55" t="n">
        <x:v>412</x:v>
      </x:c>
      <x:c r="AK813" s="55" t="n">
        <x:v>1067</x:v>
      </x:c>
      <x:c r="AL813" s="55" t="n">
        <x:v>2008</x:v>
      </x:c>
      <x:c r="AM813" s="55" t="n">
        <x:v>5390</x:v>
      </x:c>
      <x:c r="AN813" s="55" t="n">
        <x:v>2203</x:v>
      </x:c>
      <x:c r="AO813" s="55" t="n">
        <x:v>122</x:v>
      </x:c>
      <x:c r="AP813" s="55" t="n">
        <x:v>2413</x:v>
      </x:c>
      <x:c r="AQ813" s="55" t="n">
        <x:v>970</x:v>
      </x:c>
    </x:row>
    <x:row r="814">
      <x:c r="A814" s="54" t="str">
        <x:v>T1_SHARED_CATCHMENT</x:v>
      </x:c>
      <x:c r="B814" s="54" t="n">
        <x:v>808</x:v>
      </x:c>
      <x:c r="C814" s="54" t="str">
        <x:v>NYC-V2-R01</x:v>
      </x:c>
      <x:c r="D814" s="54" t="str">
        <x:v>V2</x:v>
      </x:c>
      <x:c r="E814" s="54" t="str">
        <x:v>ADMITTED</x:v>
      </x:c>
      <x:c r="F814" s="55" t="n">
        <x:v>29591</x:v>
      </x:c>
      <x:c r="G814" s="55" t="n">
        <x:v>5274</x:v>
      </x:c>
      <x:c r="H814" s="55" t="n">
        <x:v>3336</x:v>
      </x:c>
      <x:c r="I814" s="55" t="n">
        <x:v>1438</x:v>
      </x:c>
      <x:c r="J814" s="55" t="n">
        <x:v>241</x:v>
      </x:c>
      <x:c r="K814" s="55" t="n">
        <x:v>29591</x:v>
      </x:c>
      <x:c r="L814" s="55" t="n">
        <x:v>4312</x:v>
      </x:c>
      <x:c r="M814" s="55" t="n">
        <x:v>152</x:v>
      </x:c>
      <x:c r="N814" s="55" t="n">
        <x:v>2425</x:v>
      </x:c>
      <x:c r="O814" s="55" t="n">
        <x:v>1735</x:v>
      </x:c>
      <x:c r="P814" s="55" t="n">
        <x:v>566</x:v>
      </x:c>
      <x:c r="Q814" s="55" t="n">
        <x:v>2450</x:v>
      </x:c>
      <x:c r="R814" s="55" t="n">
        <x:v>1277</x:v>
      </x:c>
      <x:c r="S814" s="55" t="n">
        <x:v>2726</x:v>
      </x:c>
      <x:c r="T814" s="55" t="n">
        <x:v>1444</x:v>
      </x:c>
      <x:c r="U814" s="55" t="n">
        <x:v>2131</x:v>
      </x:c>
      <x:c r="V814" s="55" t="n">
        <x:v>10039</x:v>
      </x:c>
      <x:c r="W814" s="55" t="n">
        <x:v>6734</x:v>
      </x:c>
      <x:c r="X814" s="55" t="n">
        <x:v>3305</x:v>
      </x:c>
      <x:c r="Y814" s="55" t="n">
        <x:v>2831</x:v>
      </x:c>
      <x:c r="Z814" s="55" t="n">
        <x:v>3690</x:v>
      </x:c>
      <x:c r="AA814" s="55" t="n">
        <x:v>3260</x:v>
      </x:c>
      <x:c r="AB814" s="55" t="n">
        <x:v>1202</x:v>
      </x:c>
      <x:c r="AC814" s="55" t="n">
        <x:v>7815</x:v>
      </x:c>
      <x:c r="AD814" s="55" t="n">
        <x:v>2751</x:v>
      </x:c>
      <x:c r="AE814" s="55" t="n">
        <x:v>10105</x:v>
      </x:c>
      <x:c r="AF814" s="55" t="n">
        <x:v>10039</x:v>
      </x:c>
      <x:c r="AG814" s="55" t="n">
        <x:v>66</x:v>
      </x:c>
      <x:c r="AH814" s="55" t="n">
        <x:v>546</x:v>
      </x:c>
      <x:c r="AI814" s="55" t="n">
        <x:v>9493</x:v>
      </x:c>
      <x:c r="AJ814" s="55" t="n">
        <x:v>246</x:v>
      </x:c>
      <x:c r="AK814" s="55" t="n">
        <x:v>687</x:v>
      </x:c>
      <x:c r="AL814" s="55" t="n">
        <x:v>1728</x:v>
      </x:c>
      <x:c r="AM814" s="55" t="n">
        <x:v>4627</x:v>
      </x:c>
      <x:c r="AN814" s="55" t="n">
        <x:v>2751</x:v>
      </x:c>
      <x:c r="AO814" s="55" t="n">
        <x:v>0</x:v>
      </x:c>
      <x:c r="AP814" s="55" t="n">
        <x:v>2629</x:v>
      </x:c>
      <x:c r="AQ814" s="55" t="n">
        <x:v>970</x:v>
      </x:c>
    </x:row>
    <x:row r="815">
      <x:c r="A815" s="54" t="str">
        <x:v>T1_SHARED_CATCHMENT</x:v>
      </x:c>
      <x:c r="B815" s="54" t="n">
        <x:v>809</x:v>
      </x:c>
      <x:c r="C815" s="54" t="str">
        <x:v>NYC-V2-R01</x:v>
      </x:c>
      <x:c r="D815" s="54" t="str">
        <x:v>V2</x:v>
      </x:c>
      <x:c r="E815" s="54" t="str">
        <x:v>ADMITTED</x:v>
      </x:c>
      <x:c r="F815" s="55" t="n">
        <x:v>31292</x:v>
      </x:c>
      <x:c r="G815" s="55" t="n">
        <x:v>7034</x:v>
      </x:c>
      <x:c r="H815" s="55" t="n">
        <x:v>3004</x:v>
      </x:c>
      <x:c r="I815" s="55" t="n">
        <x:v>1093</x:v>
      </x:c>
      <x:c r="J815" s="55" t="n">
        <x:v>0</x:v>
      </x:c>
      <x:c r="K815" s="55" t="n">
        <x:v>31292</x:v>
      </x:c>
      <x:c r="L815" s="55" t="n">
        <x:v>5573</x:v>
      </x:c>
      <x:c r="M815" s="55" t="n">
        <x:v>1765</x:v>
      </x:c>
      <x:c r="N815" s="55" t="n">
        <x:v>2360</x:v>
      </x:c>
      <x:c r="O815" s="55" t="n">
        <x:v>1448</x:v>
      </x:c>
      <x:c r="P815" s="55" t="n">
        <x:v>420</x:v>
      </x:c>
      <x:c r="Q815" s="55" t="n">
        <x:v>2390</x:v>
      </x:c>
      <x:c r="R815" s="55" t="n">
        <x:v>1616</x:v>
      </x:c>
      <x:c r="S815" s="55" t="n">
        <x:v>2668</x:v>
      </x:c>
      <x:c r="T815" s="55" t="n">
        <x:v>1075</x:v>
      </x:c>
      <x:c r="U815" s="55" t="n">
        <x:v>1987</x:v>
      </x:c>
      <x:c r="V815" s="55" t="n">
        <x:v>10612</x:v>
      </x:c>
      <x:c r="W815" s="55" t="n">
        <x:v>7359</x:v>
      </x:c>
      <x:c r="X815" s="55" t="n">
        <x:v>3253</x:v>
      </x:c>
      <x:c r="Y815" s="55" t="n">
        <x:v>2725</x:v>
      </x:c>
      <x:c r="Z815" s="55" t="n">
        <x:v>4032</x:v>
      </x:c>
      <x:c r="AA815" s="55" t="n">
        <x:v>3004</x:v>
      </x:c>
      <x:c r="AB815" s="55" t="n">
        <x:v>1130</x:v>
      </x:c>
      <x:c r="AC815" s="55" t="n">
        <x:v>7299</x:v>
      </x:c>
      <x:c r="AD815" s="55" t="n">
        <x:v>2763</x:v>
      </x:c>
      <x:c r="AE815" s="55" t="n">
        <x:v>10649</x:v>
      </x:c>
      <x:c r="AF815" s="55" t="n">
        <x:v>10612</x:v>
      </x:c>
      <x:c r="AG815" s="55" t="n">
        <x:v>37</x:v>
      </x:c>
      <x:c r="AH815" s="55" t="n">
        <x:v>500</x:v>
      </x:c>
      <x:c r="AI815" s="55" t="n">
        <x:v>10112</x:v>
      </x:c>
      <x:c r="AJ815" s="55" t="n">
        <x:v>214</x:v>
      </x:c>
      <x:c r="AK815" s="55" t="n">
        <x:v>744</x:v>
      </x:c>
      <x:c r="AL815" s="55" t="n">
        <x:v>1492</x:v>
      </x:c>
      <x:c r="AM815" s="55" t="n">
        <x:v>5383</x:v>
      </x:c>
      <x:c r="AN815" s="55" t="n">
        <x:v>2684</x:v>
      </x:c>
      <x:c r="AO815" s="55" t="n">
        <x:v>95</x:v>
      </x:c>
      <x:c r="AP815" s="55" t="n">
        <x:v>2375</x:v>
      </x:c>
      <x:c r="AQ815" s="55" t="n">
        <x:v>954</x:v>
      </x:c>
    </x:row>
    <x:row r="816">
      <x:c r="A816" s="54" t="str">
        <x:v>T1_SHARED_CATCHMENT</x:v>
      </x:c>
      <x:c r="B816" s="54" t="n">
        <x:v>810</x:v>
      </x:c>
      <x:c r="C816" s="54" t="str">
        <x:v>NYC-V2-R01</x:v>
      </x:c>
      <x:c r="D816" s="54" t="str">
        <x:v>V2</x:v>
      </x:c>
      <x:c r="E816" s="54" t="str">
        <x:v>ADMITTED</x:v>
      </x:c>
      <x:c r="F816" s="55" t="n">
        <x:v>31619</x:v>
      </x:c>
      <x:c r="G816" s="55" t="n">
        <x:v>6992</x:v>
      </x:c>
      <x:c r="H816" s="55" t="n">
        <x:v>3657</x:v>
      </x:c>
      <x:c r="I816" s="55" t="n">
        <x:v>1686</x:v>
      </x:c>
      <x:c r="J816" s="55" t="n">
        <x:v>356</x:v>
      </x:c>
      <x:c r="K816" s="55" t="n">
        <x:v>31619</x:v>
      </x:c>
      <x:c r="L816" s="55" t="n">
        <x:v>6708</x:v>
      </x:c>
      <x:c r="M816" s="55" t="n">
        <x:v>1761</x:v>
      </x:c>
      <x:c r="N816" s="55" t="n">
        <x:v>3173</x:v>
      </x:c>
      <x:c r="O816" s="55" t="n">
        <x:v>1774</x:v>
      </x:c>
      <x:c r="P816" s="55" t="n">
        <x:v>908</x:v>
      </x:c>
      <x:c r="Q816" s="55" t="n">
        <x:v>2117</x:v>
      </x:c>
      <x:c r="R816" s="55" t="n">
        <x:v>1798</x:v>
      </x:c>
      <x:c r="S816" s="55" t="n">
        <x:v>3122</x:v>
      </x:c>
      <x:c r="T816" s="55" t="n">
        <x:v>1051</x:v>
      </x:c>
      <x:c r="U816" s="55" t="n">
        <x:v>1886</x:v>
      </x:c>
      <x:c r="V816" s="55" t="n">
        <x:v>10511</x:v>
      </x:c>
      <x:c r="W816" s="55" t="n">
        <x:v>7432</x:v>
      </x:c>
      <x:c r="X816" s="55" t="n">
        <x:v>3079</x:v>
      </x:c>
      <x:c r="Y816" s="55" t="n">
        <x:v>2623</x:v>
      </x:c>
      <x:c r="Z816" s="55" t="n">
        <x:v>3880</x:v>
      </x:c>
      <x:c r="AA816" s="55" t="n">
        <x:v>3384</x:v>
      </x:c>
      <x:c r="AB816" s="55" t="n">
        <x:v>1021</x:v>
      </x:c>
      <x:c r="AC816" s="55" t="n">
        <x:v>7968</x:v>
      </x:c>
      <x:c r="AD816" s="55" t="n">
        <x:v>2546</x:v>
      </x:c>
      <x:c r="AE816" s="55" t="n">
        <x:v>10612</x:v>
      </x:c>
      <x:c r="AF816" s="55" t="n">
        <x:v>10511</x:v>
      </x:c>
      <x:c r="AG816" s="55" t="n">
        <x:v>101</x:v>
      </x:c>
      <x:c r="AH816" s="55" t="n">
        <x:v>483</x:v>
      </x:c>
      <x:c r="AI816" s="55" t="n">
        <x:v>10028</x:v>
      </x:c>
      <x:c r="AJ816" s="55" t="n">
        <x:v>453</x:v>
      </x:c>
      <x:c r="AK816" s="55" t="n">
        <x:v>895</x:v>
      </x:c>
      <x:c r="AL816" s="55" t="n">
        <x:v>1744</x:v>
      </x:c>
      <x:c r="AM816" s="55" t="n">
        <x:v>4937</x:v>
      </x:c>
      <x:c r="AN816" s="55" t="n">
        <x:v>2411</x:v>
      </x:c>
      <x:c r="AO816" s="55" t="n">
        <x:v>71</x:v>
      </x:c>
      <x:c r="AP816" s="55" t="n">
        <x:v>2273</x:v>
      </x:c>
      <x:c r="AQ816" s="55" t="n">
        <x:v>970</x:v>
      </x:c>
    </x:row>
    <x:row r="817">
      <x:c r="A817" s="54" t="str">
        <x:v>T1_SHARED_CATCHMENT</x:v>
      </x:c>
      <x:c r="B817" s="54" t="n">
        <x:v>811</x:v>
      </x:c>
      <x:c r="C817" s="54" t="str">
        <x:v>NYC-V2-R01</x:v>
      </x:c>
      <x:c r="D817" s="54" t="str">
        <x:v>V2</x:v>
      </x:c>
      <x:c r="E817" s="54" t="str">
        <x:v>ADMITTED</x:v>
      </x:c>
      <x:c r="F817" s="55" t="n">
        <x:v>31459</x:v>
      </x:c>
      <x:c r="G817" s="55" t="n">
        <x:v>7935</x:v>
      </x:c>
      <x:c r="H817" s="55" t="n">
        <x:v>3215</x:v>
      </x:c>
      <x:c r="I817" s="55" t="n">
        <x:v>1346</x:v>
      </x:c>
      <x:c r="J817" s="55" t="n">
        <x:v>192</x:v>
      </x:c>
      <x:c r="K817" s="55" t="n">
        <x:v>31459</x:v>
      </x:c>
      <x:c r="L817" s="55" t="n">
        <x:v>5279</x:v>
      </x:c>
      <x:c r="M817" s="55" t="n">
        <x:v>1468</x:v>
      </x:c>
      <x:c r="N817" s="55" t="n">
        <x:v>2215</x:v>
      </x:c>
      <x:c r="O817" s="55" t="n">
        <x:v>1596</x:v>
      </x:c>
      <x:c r="P817" s="55" t="n">
        <x:v>472</x:v>
      </x:c>
      <x:c r="Q817" s="55" t="n">
        <x:v>2602</x:v>
      </x:c>
      <x:c r="R817" s="55" t="n">
        <x:v>1498</x:v>
      </x:c>
      <x:c r="S817" s="55" t="n">
        <x:v>2905</x:v>
      </x:c>
      <x:c r="T817" s="55" t="n">
        <x:v>1268</x:v>
      </x:c>
      <x:c r="U817" s="55" t="n">
        <x:v>1442</x:v>
      </x:c>
      <x:c r="V817" s="55" t="n">
        <x:v>9990</x:v>
      </x:c>
      <x:c r="W817" s="55" t="n">
        <x:v>7118</x:v>
      </x:c>
      <x:c r="X817" s="55" t="n">
        <x:v>2872</x:v>
      </x:c>
      <x:c r="Y817" s="55" t="n">
        <x:v>2550</x:v>
      </x:c>
      <x:c r="Z817" s="55" t="n">
        <x:v>3421</x:v>
      </x:c>
      <x:c r="AA817" s="55" t="n">
        <x:v>2751</x:v>
      </x:c>
      <x:c r="AB817" s="55" t="n">
        <x:v>1042</x:v>
      </x:c>
      <x:c r="AC817" s="55" t="n">
        <x:v>7937</x:v>
      </x:c>
      <x:c r="AD817" s="55" t="n">
        <x:v>2465</x:v>
      </x:c>
      <x:c r="AE817" s="55" t="n">
        <x:v>10098</x:v>
      </x:c>
      <x:c r="AF817" s="55" t="n">
        <x:v>9990</x:v>
      </x:c>
      <x:c r="AG817" s="55" t="n">
        <x:v>108</x:v>
      </x:c>
      <x:c r="AH817" s="55" t="n">
        <x:v>444</x:v>
      </x:c>
      <x:c r="AI817" s="55" t="n">
        <x:v>9546</x:v>
      </x:c>
      <x:c r="AJ817" s="55" t="n">
        <x:v>268</x:v>
      </x:c>
      <x:c r="AK817" s="55" t="n">
        <x:v>932</x:v>
      </x:c>
      <x:c r="AL817" s="55" t="n">
        <x:v>1162</x:v>
      </x:c>
      <x:c r="AM817" s="55" t="n">
        <x:v>5196</x:v>
      </x:c>
      <x:c r="AN817" s="55" t="n">
        <x:v>2381</x:v>
      </x:c>
      <x:c r="AO817" s="55" t="n">
        <x:v>51</x:v>
      </x:c>
      <x:c r="AP817" s="55" t="n">
        <x:v>2679</x:v>
      </x:c>
      <x:c r="AQ817" s="55" t="n">
        <x:v>925</x:v>
      </x:c>
    </x:row>
    <x:row r="818">
      <x:c r="A818" s="54" t="str">
        <x:v>T1_SHARED_CATCHMENT</x:v>
      </x:c>
      <x:c r="B818" s="54" t="n">
        <x:v>812</x:v>
      </x:c>
      <x:c r="C818" s="54" t="str">
        <x:v>NYC-V2-R01</x:v>
      </x:c>
      <x:c r="D818" s="54" t="str">
        <x:v>V2</x:v>
      </x:c>
      <x:c r="E818" s="54" t="str">
        <x:v>ADMITTED</x:v>
      </x:c>
      <x:c r="F818" s="55" t="n">
        <x:v>32910</x:v>
      </x:c>
      <x:c r="G818" s="55" t="n">
        <x:v>8946</x:v>
      </x:c>
      <x:c r="H818" s="55" t="n">
        <x:v>3261</x:v>
      </x:c>
      <x:c r="I818" s="55" t="n">
        <x:v>941</x:v>
      </x:c>
      <x:c r="J818" s="55" t="n">
        <x:v>216</x:v>
      </x:c>
      <x:c r="K818" s="55" t="n">
        <x:v>31802</x:v>
      </x:c>
      <x:c r="L818" s="55" t="n">
        <x:v>5916</x:v>
      </x:c>
      <x:c r="M818" s="55" t="n">
        <x:v>1115</x:v>
      </x:c>
      <x:c r="N818" s="55" t="n">
        <x:v>2984</x:v>
      </x:c>
      <x:c r="O818" s="55" t="n">
        <x:v>1817</x:v>
      </x:c>
      <x:c r="P818" s="55" t="n">
        <x:v>837</x:v>
      </x:c>
      <x:c r="Q818" s="55" t="n">
        <x:v>2941</x:v>
      </x:c>
      <x:c r="R818" s="55" t="n">
        <x:v>1547</x:v>
      </x:c>
      <x:c r="S818" s="55" t="n">
        <x:v>2790</x:v>
      </x:c>
      <x:c r="T818" s="55" t="n">
        <x:v>1407</x:v>
      </x:c>
      <x:c r="U818" s="55" t="n">
        <x:v>1531</x:v>
      </x:c>
      <x:c r="V818" s="55" t="n">
        <x:v>9638</x:v>
      </x:c>
      <x:c r="W818" s="55" t="n">
        <x:v>6328</x:v>
      </x:c>
      <x:c r="X818" s="55" t="n">
        <x:v>3310</x:v>
      </x:c>
      <x:c r="Y818" s="55" t="n">
        <x:v>2940</x:v>
      </x:c>
      <x:c r="Z818" s="55" t="n">
        <x:v>3368</x:v>
      </x:c>
      <x:c r="AA818" s="55" t="n">
        <x:v>2771</x:v>
      </x:c>
      <x:c r="AB818" s="55" t="n">
        <x:v>956</x:v>
      </x:c>
      <x:c r="AC818" s="55" t="n">
        <x:v>8152</x:v>
      </x:c>
      <x:c r="AD818" s="55" t="n">
        <x:v>3371</x:v>
      </x:c>
      <x:c r="AE818" s="55" t="n">
        <x:v>9811</x:v>
      </x:c>
      <x:c r="AF818" s="55" t="n">
        <x:v>9638</x:v>
      </x:c>
      <x:c r="AG818" s="55" t="n">
        <x:v>173</x:v>
      </x:c>
      <x:c r="AH818" s="55" t="n">
        <x:v>213</x:v>
      </x:c>
      <x:c r="AI818" s="55" t="n">
        <x:v>9425</x:v>
      </x:c>
      <x:c r="AJ818" s="55" t="n">
        <x:v>181</x:v>
      </x:c>
      <x:c r="AK818" s="55" t="n">
        <x:v>927</x:v>
      </x:c>
      <x:c r="AL818" s="55" t="n">
        <x:v>1189</x:v>
      </x:c>
      <x:c r="AM818" s="55" t="n">
        <x:v>4941</x:v>
      </x:c>
      <x:c r="AN818" s="55" t="n">
        <x:v>2400</x:v>
      </x:c>
      <x:c r="AO818" s="55" t="n">
        <x:v>0</x:v>
      </x:c>
      <x:c r="AP818" s="55" t="n">
        <x:v>2558</x:v>
      </x:c>
      <x:c r="AQ818" s="55" t="n">
        <x:v>953</x:v>
      </x:c>
    </x:row>
    <x:row r="819">
      <x:c r="A819" s="54" t="str">
        <x:v>T1_SHARED_CATCHMENT</x:v>
      </x:c>
      <x:c r="B819" s="54" t="n">
        <x:v>813</x:v>
      </x:c>
      <x:c r="C819" s="54" t="str">
        <x:v>NYC-V2-R01</x:v>
      </x:c>
      <x:c r="D819" s="54" t="str">
        <x:v>V2</x:v>
      </x:c>
      <x:c r="E819" s="54" t="str">
        <x:v>ADMITTED</x:v>
      </x:c>
      <x:c r="F819" s="55" t="n">
        <x:v>32737</x:v>
      </x:c>
      <x:c r="G819" s="55" t="n">
        <x:v>9222</x:v>
      </x:c>
      <x:c r="H819" s="55" t="n">
        <x:v>3195</x:v>
      </x:c>
      <x:c r="I819" s="55" t="n">
        <x:v>785</x:v>
      </x:c>
      <x:c r="J819" s="55" t="n">
        <x:v>0</x:v>
      </x:c>
      <x:c r="K819" s="55" t="n">
        <x:v>32583</x:v>
      </x:c>
      <x:c r="L819" s="55" t="n">
        <x:v>6401</x:v>
      </x:c>
      <x:c r="M819" s="55" t="n">
        <x:v>1945</x:v>
      </x:c>
      <x:c r="N819" s="55" t="n">
        <x:v>2428</x:v>
      </x:c>
      <x:c r="O819" s="55" t="n">
        <x:v>2028</x:v>
      </x:c>
      <x:c r="P819" s="55" t="n">
        <x:v>798</x:v>
      </x:c>
      <x:c r="Q819" s="55" t="n">
        <x:v>2180</x:v>
      </x:c>
      <x:c r="R819" s="55" t="n">
        <x:v>2405</x:v>
      </x:c>
      <x:c r="S819" s="55" t="n">
        <x:v>3996</x:v>
      </x:c>
      <x:c r="T819" s="55" t="n">
        <x:v>1200</x:v>
      </x:c>
      <x:c r="U819" s="55" t="n">
        <x:v>1465</x:v>
      </x:c>
      <x:c r="V819" s="55" t="n">
        <x:v>9461</x:v>
      </x:c>
      <x:c r="W819" s="55" t="n">
        <x:v>6388</x:v>
      </x:c>
      <x:c r="X819" s="55" t="n">
        <x:v>3073</x:v>
      </x:c>
      <x:c r="Y819" s="55" t="n">
        <x:v>2764</x:v>
      </x:c>
      <x:c r="Z819" s="55" t="n">
        <x:v>3789</x:v>
      </x:c>
      <x:c r="AA819" s="55" t="n">
        <x:v>3195</x:v>
      </x:c>
      <x:c r="AB819" s="55" t="n">
        <x:v>1085</x:v>
      </x:c>
      <x:c r="AC819" s="55" t="n">
        <x:v>7701</x:v>
      </x:c>
      <x:c r="AD819" s="55" t="n">
        <x:v>3287</x:v>
      </x:c>
      <x:c r="AE819" s="55" t="n">
        <x:v>9543</x:v>
      </x:c>
      <x:c r="AF819" s="55" t="n">
        <x:v>9461</x:v>
      </x:c>
      <x:c r="AG819" s="55" t="n">
        <x:v>82</x:v>
      </x:c>
      <x:c r="AH819" s="55" t="n">
        <x:v>363</x:v>
      </x:c>
      <x:c r="AI819" s="55" t="n">
        <x:v>9098</x:v>
      </x:c>
      <x:c r="AJ819" s="55" t="n">
        <x:v>487</x:v>
      </x:c>
      <x:c r="AK819" s="55" t="n">
        <x:v>726</x:v>
      </x:c>
      <x:c r="AL819" s="55" t="n">
        <x:v>1562</x:v>
      </x:c>
      <x:c r="AM819" s="55" t="n">
        <x:v>4785</x:v>
      </x:c>
      <x:c r="AN819" s="55" t="n">
        <x:v>1845</x:v>
      </x:c>
      <x:c r="AO819" s="55" t="n">
        <x:v>56</x:v>
      </x:c>
      <x:c r="AP819" s="55" t="n">
        <x:v>2350</x:v>
      </x:c>
      <x:c r="AQ819" s="55" t="n">
        <x:v>986</x:v>
      </x:c>
    </x:row>
    <x:row r="820">
      <x:c r="A820" s="54" t="str">
        <x:v>T1_SHARED_CATCHMENT</x:v>
      </x:c>
      <x:c r="B820" s="54" t="n">
        <x:v>814</x:v>
      </x:c>
      <x:c r="C820" s="54" t="str">
        <x:v>NYC-V2-R01</x:v>
      </x:c>
      <x:c r="D820" s="54" t="str">
        <x:v>V2</x:v>
      </x:c>
      <x:c r="E820" s="54" t="str">
        <x:v>ADMITTED</x:v>
      </x:c>
      <x:c r="F820" s="55" t="n">
        <x:v>31136</x:v>
      </x:c>
      <x:c r="G820" s="55" t="n">
        <x:v>7732</x:v>
      </x:c>
      <x:c r="H820" s="55" t="n">
        <x:v>2776</x:v>
      </x:c>
      <x:c r="I820" s="55" t="n">
        <x:v>1059</x:v>
      </x:c>
      <x:c r="J820" s="55" t="n">
        <x:v>76</x:v>
      </x:c>
      <x:c r="K820" s="55" t="n">
        <x:v>30374</x:v>
      </x:c>
      <x:c r="L820" s="55" t="n">
        <x:v>5678</x:v>
      </x:c>
      <x:c r="M820" s="55" t="n">
        <x:v>1424</x:v>
      </x:c>
      <x:c r="N820" s="55" t="n">
        <x:v>2986</x:v>
      </x:c>
      <x:c r="O820" s="55" t="n">
        <x:v>1268</x:v>
      </x:c>
      <x:c r="P820" s="55" t="n">
        <x:v>733</x:v>
      </x:c>
      <x:c r="Q820" s="55" t="n">
        <x:v>2110</x:v>
      </x:c>
      <x:c r="R820" s="55" t="n">
        <x:v>2242</x:v>
      </x:c>
      <x:c r="S820" s="55" t="n">
        <x:v>2453</x:v>
      </x:c>
      <x:c r="T820" s="55" t="n">
        <x:v>1384</x:v>
      </x:c>
      <x:c r="U820" s="55" t="n">
        <x:v>2001</x:v>
      </x:c>
      <x:c r="V820" s="55" t="n">
        <x:v>10655</x:v>
      </x:c>
      <x:c r="W820" s="55" t="n">
        <x:v>8286</x:v>
      </x:c>
      <x:c r="X820" s="55" t="n">
        <x:v>2369</x:v>
      </x:c>
      <x:c r="Y820" s="55" t="n">
        <x:v>1861</x:v>
      </x:c>
      <x:c r="Z820" s="55" t="n">
        <x:v>3813</x:v>
      </x:c>
      <x:c r="AA820" s="55" t="n">
        <x:v>2776</x:v>
      </x:c>
      <x:c r="AB820" s="55" t="n">
        <x:v>1023</x:v>
      </x:c>
      <x:c r="AC820" s="55" t="n">
        <x:v>7272</x:v>
      </x:c>
      <x:c r="AD820" s="55" t="n">
        <x:v>3729</x:v>
      </x:c>
      <x:c r="AE820" s="55" t="n">
        <x:v>10700</x:v>
      </x:c>
      <x:c r="AF820" s="55" t="n">
        <x:v>10655</x:v>
      </x:c>
      <x:c r="AG820" s="55" t="n">
        <x:v>45</x:v>
      </x:c>
      <x:c r="AH820" s="55" t="n">
        <x:v>338</x:v>
      </x:c>
      <x:c r="AI820" s="55" t="n">
        <x:v>10317</x:v>
      </x:c>
      <x:c r="AJ820" s="55" t="n">
        <x:v>288</x:v>
      </x:c>
      <x:c r="AK820" s="55" t="n">
        <x:v>1035</x:v>
      </x:c>
      <x:c r="AL820" s="55" t="n">
        <x:v>1707</x:v>
      </x:c>
      <x:c r="AM820" s="55" t="n">
        <x:v>5059</x:v>
      </x:c>
      <x:c r="AN820" s="55" t="n">
        <x:v>2566</x:v>
      </x:c>
      <x:c r="AO820" s="55" t="n">
        <x:v>0</x:v>
      </x:c>
      <x:c r="AP820" s="55" t="n">
        <x:v>2622</x:v>
      </x:c>
      <x:c r="AQ820" s="55" t="n">
        <x:v>955</x:v>
      </x:c>
    </x:row>
    <x:row r="821">
      <x:c r="A821" s="54" t="str">
        <x:v>T1_SHARED_CATCHMENT</x:v>
      </x:c>
      <x:c r="B821" s="54" t="n">
        <x:v>815</x:v>
      </x:c>
      <x:c r="C821" s="54" t="str">
        <x:v>NYC-V2-R01</x:v>
      </x:c>
      <x:c r="D821" s="54" t="str">
        <x:v>V2</x:v>
      </x:c>
      <x:c r="E821" s="54" t="str">
        <x:v>ADMITTED</x:v>
      </x:c>
      <x:c r="F821" s="55" t="n">
        <x:v>32433</x:v>
      </x:c>
      <x:c r="G821" s="55" t="n">
        <x:v>7141</x:v>
      </x:c>
      <x:c r="H821" s="55" t="n">
        <x:v>3376</x:v>
      </x:c>
      <x:c r="I821" s="55" t="n">
        <x:v>1295</x:v>
      </x:c>
      <x:c r="J821" s="55" t="n">
        <x:v>185</x:v>
      </x:c>
      <x:c r="K821" s="55" t="n">
        <x:v>32433</x:v>
      </x:c>
      <x:c r="L821" s="55" t="n">
        <x:v>5903</x:v>
      </x:c>
      <x:c r="M821" s="55" t="n">
        <x:v>1059</x:v>
      </x:c>
      <x:c r="N821" s="55" t="n">
        <x:v>3354</x:v>
      </x:c>
      <x:c r="O821" s="55" t="n">
        <x:v>1490</x:v>
      </x:c>
      <x:c r="P821" s="55" t="n">
        <x:v>936</x:v>
      </x:c>
      <x:c r="Q821" s="55" t="n">
        <x:v>1573</x:v>
      </x:c>
      <x:c r="R821" s="55" t="n">
        <x:v>2052</x:v>
      </x:c>
      <x:c r="S821" s="55" t="n">
        <x:v>2885</x:v>
      </x:c>
      <x:c r="T821" s="55" t="n">
        <x:v>1429</x:v>
      </x:c>
      <x:c r="U821" s="55" t="n">
        <x:v>1884</x:v>
      </x:c>
      <x:c r="V821" s="55" t="n">
        <x:v>9868</x:v>
      </x:c>
      <x:c r="W821" s="55" t="n">
        <x:v>7325</x:v>
      </x:c>
      <x:c r="X821" s="55" t="n">
        <x:v>2543</x:v>
      </x:c>
      <x:c r="Y821" s="55" t="n">
        <x:v>2313</x:v>
      </x:c>
      <x:c r="Z821" s="55" t="n">
        <x:v>3793</x:v>
      </x:c>
      <x:c r="AA821" s="55" t="n">
        <x:v>3376</x:v>
      </x:c>
      <x:c r="AB821" s="55" t="n">
        <x:v>1583</x:v>
      </x:c>
      <x:c r="AC821" s="55" t="n">
        <x:v>8581</x:v>
      </x:c>
      <x:c r="AD821" s="55" t="n">
        <x:v>2933</x:v>
      </x:c>
      <x:c r="AE821" s="55" t="n">
        <x:v>9977</x:v>
      </x:c>
      <x:c r="AF821" s="55" t="n">
        <x:v>9868</x:v>
      </x:c>
      <x:c r="AG821" s="55" t="n">
        <x:v>109</x:v>
      </x:c>
      <x:c r="AH821" s="55" t="n">
        <x:v>200</x:v>
      </x:c>
      <x:c r="AI821" s="55" t="n">
        <x:v>9668</x:v>
      </x:c>
      <x:c r="AJ821" s="55" t="n">
        <x:v>366</x:v>
      </x:c>
      <x:c r="AK821" s="55" t="n">
        <x:v>832</x:v>
      </x:c>
      <x:c r="AL821" s="55" t="n">
        <x:v>752</x:v>
      </x:c>
      <x:c r="AM821" s="55" t="n">
        <x:v>4394</x:v>
      </x:c>
      <x:c r="AN821" s="55" t="n">
        <x:v>3524</x:v>
      </x:c>
      <x:c r="AO821" s="55" t="n">
        <x:v>0</x:v>
      </x:c>
      <x:c r="AP821" s="55" t="n">
        <x:v>2065</x:v>
      </x:c>
      <x:c r="AQ821" s="55" t="n">
        <x:v>936</x:v>
      </x:c>
    </x:row>
    <x:row r="822">
      <x:c r="A822" s="54" t="str">
        <x:v>T1_SHARED_CATCHMENT</x:v>
      </x:c>
      <x:c r="B822" s="54" t="n">
        <x:v>816</x:v>
      </x:c>
      <x:c r="C822" s="54" t="str">
        <x:v>NYC-V2-R01</x:v>
      </x:c>
      <x:c r="D822" s="54" t="str">
        <x:v>V2</x:v>
      </x:c>
      <x:c r="E822" s="54" t="str">
        <x:v>ADMITTED</x:v>
      </x:c>
      <x:c r="F822" s="55" t="n">
        <x:v>31458</x:v>
      </x:c>
      <x:c r="G822" s="55" t="n">
        <x:v>7964</x:v>
      </x:c>
      <x:c r="H822" s="55" t="n">
        <x:v>3743</x:v>
      </x:c>
      <x:c r="I822" s="55" t="n">
        <x:v>1457</x:v>
      </x:c>
      <x:c r="J822" s="55" t="n">
        <x:v>382</x:v>
      </x:c>
      <x:c r="K822" s="55" t="n">
        <x:v>30476</x:v>
      </x:c>
      <x:c r="L822" s="55" t="n">
        <x:v>6156</x:v>
      </x:c>
      <x:c r="M822" s="55" t="n">
        <x:v>747</x:v>
      </x:c>
      <x:c r="N822" s="55" t="n">
        <x:v>3359</x:v>
      </x:c>
      <x:c r="O822" s="55" t="n">
        <x:v>2050</x:v>
      </x:c>
      <x:c r="P822" s="55" t="n">
        <x:v>872</x:v>
      </x:c>
      <x:c r="Q822" s="55" t="n">
        <x:v>2787</x:v>
      </x:c>
      <x:c r="R822" s="55" t="n">
        <x:v>2067</x:v>
      </x:c>
      <x:c r="S822" s="55" t="n">
        <x:v>2970</x:v>
      </x:c>
      <x:c r="T822" s="55" t="n">
        <x:v>1365</x:v>
      </x:c>
      <x:c r="U822" s="55" t="n">
        <x:v>1935</x:v>
      </x:c>
      <x:c r="V822" s="55" t="n">
        <x:v>10420</x:v>
      </x:c>
      <x:c r="W822" s="55" t="n">
        <x:v>7581</x:v>
      </x:c>
      <x:c r="X822" s="55" t="n">
        <x:v>2839</x:v>
      </x:c>
      <x:c r="Y822" s="55" t="n">
        <x:v>2511</x:v>
      </x:c>
      <x:c r="Z822" s="55" t="n">
        <x:v>3579</x:v>
      </x:c>
      <x:c r="AA822" s="55" t="n">
        <x:v>2528</x:v>
      </x:c>
      <x:c r="AB822" s="55" t="n">
        <x:v>745</x:v>
      </x:c>
      <x:c r="AC822" s="55" t="n">
        <x:v>7849</x:v>
      </x:c>
      <x:c r="AD822" s="55" t="n">
        <x:v>3219</x:v>
      </x:c>
      <x:c r="AE822" s="55" t="n">
        <x:v>10508</x:v>
      </x:c>
      <x:c r="AF822" s="55" t="n">
        <x:v>10420</x:v>
      </x:c>
      <x:c r="AG822" s="55" t="n">
        <x:v>88</x:v>
      </x:c>
      <x:c r="AH822" s="55" t="n">
        <x:v>275</x:v>
      </x:c>
      <x:c r="AI822" s="55" t="n">
        <x:v>10145</x:v>
      </x:c>
      <x:c r="AJ822" s="55" t="n">
        <x:v>153</x:v>
      </x:c>
      <x:c r="AK822" s="55" t="n">
        <x:v>796</x:v>
      </x:c>
      <x:c r="AL822" s="55" t="n">
        <x:v>1315</x:v>
      </x:c>
      <x:c r="AM822" s="55" t="n">
        <x:v>4729</x:v>
      </x:c>
      <x:c r="AN822" s="55" t="n">
        <x:v>3404</x:v>
      </x:c>
      <x:c r="AO822" s="55" t="n">
        <x:v>23</x:v>
      </x:c>
      <x:c r="AP822" s="55" t="n">
        <x:v>2103</x:v>
      </x:c>
      <x:c r="AQ822" s="55" t="n">
        <x:v>915</x:v>
      </x:c>
    </x:row>
    <x:row r="823">
      <x:c r="A823" s="54" t="str">
        <x:v>T1_SHARED_CATCHMENT</x:v>
      </x:c>
      <x:c r="B823" s="54" t="n">
        <x:v>817</x:v>
      </x:c>
      <x:c r="C823" s="54" t="str">
        <x:v>NYC-V2-R01</x:v>
      </x:c>
      <x:c r="D823" s="54" t="str">
        <x:v>V2</x:v>
      </x:c>
      <x:c r="E823" s="54" t="str">
        <x:v>ADMITTED</x:v>
      </x:c>
      <x:c r="F823" s="55" t="n">
        <x:v>31505</x:v>
      </x:c>
      <x:c r="G823" s="55" t="n">
        <x:v>8643</x:v>
      </x:c>
      <x:c r="H823" s="55" t="n">
        <x:v>2676</x:v>
      </x:c>
      <x:c r="I823" s="55" t="n">
        <x:v>1034</x:v>
      </x:c>
      <x:c r="J823" s="55" t="n">
        <x:v>39</x:v>
      </x:c>
      <x:c r="K823" s="55" t="n">
        <x:v>31505</x:v>
      </x:c>
      <x:c r="L823" s="55" t="n">
        <x:v>5028</x:v>
      </x:c>
      <x:c r="M823" s="55" t="n">
        <x:v>694</x:v>
      </x:c>
      <x:c r="N823" s="55" t="n">
        <x:v>2371</x:v>
      </x:c>
      <x:c r="O823" s="55" t="n">
        <x:v>1963</x:v>
      </x:c>
      <x:c r="P823" s="55" t="n">
        <x:v>608</x:v>
      </x:c>
      <x:c r="Q823" s="55" t="n">
        <x:v>2156</x:v>
      </x:c>
      <x:c r="R823" s="55" t="n">
        <x:v>1646</x:v>
      </x:c>
      <x:c r="S823" s="55" t="n">
        <x:v>3128</x:v>
      </x:c>
      <x:c r="T823" s="55" t="n">
        <x:v>1516</x:v>
      </x:c>
      <x:c r="U823" s="55" t="n">
        <x:v>1861</x:v>
      </x:c>
      <x:c r="V823" s="55" t="n">
        <x:v>10127</x:v>
      </x:c>
      <x:c r="W823" s="55" t="n">
        <x:v>7058</x:v>
      </x:c>
      <x:c r="X823" s="55" t="n">
        <x:v>3069</x:v>
      </x:c>
      <x:c r="Y823" s="55" t="n">
        <x:v>2689</x:v>
      </x:c>
      <x:c r="Z823" s="55" t="n">
        <x:v>3465</x:v>
      </x:c>
      <x:c r="AA823" s="55" t="n">
        <x:v>2676</x:v>
      </x:c>
      <x:c r="AB823" s="55" t="n">
        <x:v>823</x:v>
      </x:c>
      <x:c r="AC823" s="55" t="n">
        <x:v>7971</x:v>
      </x:c>
      <x:c r="AD823" s="55" t="n">
        <x:v>3341</x:v>
      </x:c>
      <x:c r="AE823" s="55" t="n">
        <x:v>10144</x:v>
      </x:c>
      <x:c r="AF823" s="55" t="n">
        <x:v>10127</x:v>
      </x:c>
      <x:c r="AG823" s="55" t="n">
        <x:v>17</x:v>
      </x:c>
      <x:c r="AH823" s="55" t="n">
        <x:v>483</x:v>
      </x:c>
      <x:c r="AI823" s="55" t="n">
        <x:v>9644</x:v>
      </x:c>
      <x:c r="AJ823" s="55" t="n">
        <x:v>442</x:v>
      </x:c>
      <x:c r="AK823" s="55" t="n">
        <x:v>1124</x:v>
      </x:c>
      <x:c r="AL823" s="55" t="n">
        <x:v>1294</x:v>
      </x:c>
      <x:c r="AM823" s="55" t="n">
        <x:v>4836</x:v>
      </x:c>
      <x:c r="AN823" s="55" t="n">
        <x:v>2409</x:v>
      </x:c>
      <x:c r="AO823" s="55" t="n">
        <x:v>22</x:v>
      </x:c>
      <x:c r="AP823" s="55" t="n">
        <x:v>2604</x:v>
      </x:c>
      <x:c r="AQ823" s="55" t="n">
        <x:v>998</x:v>
      </x:c>
    </x:row>
    <x:row r="824">
      <x:c r="A824" s="54" t="str">
        <x:v>T1_SHARED_CATCHMENT</x:v>
      </x:c>
      <x:c r="B824" s="54" t="n">
        <x:v>818</x:v>
      </x:c>
      <x:c r="C824" s="54" t="str">
        <x:v>NYC-V2-R01</x:v>
      </x:c>
      <x:c r="D824" s="54" t="str">
        <x:v>V2</x:v>
      </x:c>
      <x:c r="E824" s="54" t="str">
        <x:v>ADMITTED</x:v>
      </x:c>
      <x:c r="F824" s="55" t="n">
        <x:v>32286</x:v>
      </x:c>
      <x:c r="G824" s="55" t="n">
        <x:v>6675</x:v>
      </x:c>
      <x:c r="H824" s="55" t="n">
        <x:v>3796</x:v>
      </x:c>
      <x:c r="I824" s="55" t="n">
        <x:v>1257</x:v>
      </x:c>
      <x:c r="J824" s="55" t="n">
        <x:v>343</x:v>
      </x:c>
      <x:c r="K824" s="55" t="n">
        <x:v>32286</x:v>
      </x:c>
      <x:c r="L824" s="55" t="n">
        <x:v>7096</x:v>
      </x:c>
      <x:c r="M824" s="55" t="n">
        <x:v>1790</x:v>
      </x:c>
      <x:c r="N824" s="55" t="n">
        <x:v>3476</x:v>
      </x:c>
      <x:c r="O824" s="55" t="n">
        <x:v>1830</x:v>
      </x:c>
      <x:c r="P824" s="55" t="n">
        <x:v>656</x:v>
      </x:c>
      <x:c r="Q824" s="55" t="n">
        <x:v>3002</x:v>
      </x:c>
      <x:c r="R824" s="55" t="n">
        <x:v>2297</x:v>
      </x:c>
      <x:c r="S824" s="55" t="n">
        <x:v>2870</x:v>
      </x:c>
      <x:c r="T824" s="55" t="n">
        <x:v>1244</x:v>
      </x:c>
      <x:c r="U824" s="55" t="n">
        <x:v>2541</x:v>
      </x:c>
      <x:c r="V824" s="55" t="n">
        <x:v>10822</x:v>
      </x:c>
      <x:c r="W824" s="55" t="n">
        <x:v>7627</x:v>
      </x:c>
      <x:c r="X824" s="55" t="n">
        <x:v>3195</x:v>
      </x:c>
      <x:c r="Y824" s="55" t="n">
        <x:v>2945</x:v>
      </x:c>
      <x:c r="Z824" s="55" t="n">
        <x:v>4107</x:v>
      </x:c>
      <x:c r="AA824" s="55" t="n">
        <x:v>3796</x:v>
      </x:c>
      <x:c r="AB824" s="55" t="n">
        <x:v>1232</x:v>
      </x:c>
      <x:c r="AC824" s="55" t="n">
        <x:v>8369</x:v>
      </x:c>
      <x:c r="AD824" s="55" t="n">
        <x:v>2813</x:v>
      </x:c>
      <x:c r="AE824" s="55" t="n">
        <x:v>10979</x:v>
      </x:c>
      <x:c r="AF824" s="55" t="n">
        <x:v>10822</x:v>
      </x:c>
      <x:c r="AG824" s="55" t="n">
        <x:v>157</x:v>
      </x:c>
      <x:c r="AH824" s="55" t="n">
        <x:v>607</x:v>
      </x:c>
      <x:c r="AI824" s="55" t="n">
        <x:v>10215</x:v>
      </x:c>
      <x:c r="AJ824" s="55" t="n">
        <x:v>307</x:v>
      </x:c>
      <x:c r="AK824" s="55" t="n">
        <x:v>1153</x:v>
      </x:c>
      <x:c r="AL824" s="55" t="n">
        <x:v>2206</x:v>
      </x:c>
      <x:c r="AM824" s="55" t="n">
        <x:v>4942</x:v>
      </x:c>
      <x:c r="AN824" s="55" t="n">
        <x:v>2113</x:v>
      </x:c>
      <x:c r="AO824" s="55" t="n">
        <x:v>101</x:v>
      </x:c>
      <x:c r="AP824" s="55" t="n">
        <x:v>2461</x:v>
      </x:c>
      <x:c r="AQ824" s="55" t="n">
        <x:v>961</x:v>
      </x:c>
    </x:row>
    <x:row r="825">
      <x:c r="A825" s="54" t="str">
        <x:v>T1_SHARED_CATCHMENT</x:v>
      </x:c>
      <x:c r="B825" s="54" t="n">
        <x:v>819</x:v>
      </x:c>
      <x:c r="C825" s="54" t="str">
        <x:v>NYC-V2-R01</x:v>
      </x:c>
      <x:c r="D825" s="54" t="str">
        <x:v>V2</x:v>
      </x:c>
      <x:c r="E825" s="54" t="str">
        <x:v>ADMITTED</x:v>
      </x:c>
      <x:c r="F825" s="55" t="n">
        <x:v>30760</x:v>
      </x:c>
      <x:c r="G825" s="55" t="n">
        <x:v>7783</x:v>
      </x:c>
      <x:c r="H825" s="55" t="n">
        <x:v>2597</x:v>
      </x:c>
      <x:c r="I825" s="55" t="n">
        <x:v>1059</x:v>
      </x:c>
      <x:c r="J825" s="55" t="n">
        <x:v>0</x:v>
      </x:c>
      <x:c r="K825" s="55" t="n">
        <x:v>30760</x:v>
      </x:c>
      <x:c r="L825" s="55" t="n">
        <x:v>4513</x:v>
      </x:c>
      <x:c r="M825" s="55" t="n">
        <x:v>983</x:v>
      </x:c>
      <x:c r="N825" s="55" t="n">
        <x:v>1947</x:v>
      </x:c>
      <x:c r="O825" s="55" t="n">
        <x:v>1583</x:v>
      </x:c>
      <x:c r="P825" s="55" t="n">
        <x:v>530</x:v>
      </x:c>
      <x:c r="Q825" s="55" t="n">
        <x:v>2541</x:v>
      </x:c>
      <x:c r="R825" s="55" t="n">
        <x:v>1205</x:v>
      </x:c>
      <x:c r="S825" s="55" t="n">
        <x:v>2164</x:v>
      </x:c>
      <x:c r="T825" s="55" t="n">
        <x:v>894</x:v>
      </x:c>
      <x:c r="U825" s="55" t="n">
        <x:v>1930</x:v>
      </x:c>
      <x:c r="V825" s="55" t="n">
        <x:v>10308</x:v>
      </x:c>
      <x:c r="W825" s="55" t="n">
        <x:v>7404</x:v>
      </x:c>
      <x:c r="X825" s="55" t="n">
        <x:v>2904</x:v>
      </x:c>
      <x:c r="Y825" s="55" t="n">
        <x:v>2559</x:v>
      </x:c>
      <x:c r="Z825" s="55" t="n">
        <x:v>3069</x:v>
      </x:c>
      <x:c r="AA825" s="55" t="n">
        <x:v>2512</x:v>
      </x:c>
      <x:c r="AB825" s="55" t="n">
        <x:v>664</x:v>
      </x:c>
      <x:c r="AC825" s="55" t="n">
        <x:v>7321</x:v>
      </x:c>
      <x:c r="AD825" s="55" t="n">
        <x:v>2160</x:v>
      </x:c>
      <x:c r="AE825" s="55" t="n">
        <x:v>10308</x:v>
      </x:c>
      <x:c r="AF825" s="55" t="n">
        <x:v>10308</x:v>
      </x:c>
      <x:c r="AG825" s="55" t="n">
        <x:v>0</x:v>
      </x:c>
      <x:c r="AH825" s="55" t="n">
        <x:v>569</x:v>
      </x:c>
      <x:c r="AI825" s="55" t="n">
        <x:v>9739</x:v>
      </x:c>
      <x:c r="AJ825" s="55" t="n">
        <x:v>369</x:v>
      </x:c>
      <x:c r="AK825" s="55" t="n">
        <x:v>1115</x:v>
      </x:c>
      <x:c r="AL825" s="55" t="n">
        <x:v>1395</x:v>
      </x:c>
      <x:c r="AM825" s="55" t="n">
        <x:v>5040</x:v>
      </x:c>
      <x:c r="AN825" s="55" t="n">
        <x:v>2389</x:v>
      </x:c>
      <x:c r="AO825" s="55" t="n">
        <x:v>0</x:v>
      </x:c>
      <x:c r="AP825" s="55" t="n">
        <x:v>2248</x:v>
      </x:c>
      <x:c r="AQ825" s="55" t="n">
        <x:v>914</x:v>
      </x:c>
    </x:row>
    <x:row r="826">
      <x:c r="A826" s="54" t="str">
        <x:v>T1_SHARED_CATCHMENT</x:v>
      </x:c>
      <x:c r="B826" s="54" t="n">
        <x:v>820</x:v>
      </x:c>
      <x:c r="C826" s="54" t="str">
        <x:v>NYC-V2-R01</x:v>
      </x:c>
      <x:c r="D826" s="54" t="str">
        <x:v>V2</x:v>
      </x:c>
      <x:c r="E826" s="54" t="str">
        <x:v>ADMITTED</x:v>
      </x:c>
      <x:c r="F826" s="55" t="n">
        <x:v>30407</x:v>
      </x:c>
      <x:c r="G826" s="55" t="n">
        <x:v>7915</x:v>
      </x:c>
      <x:c r="H826" s="55" t="n">
        <x:v>3596</x:v>
      </x:c>
      <x:c r="I826" s="55" t="n">
        <x:v>1263</x:v>
      </x:c>
      <x:c r="J826" s="55" t="n">
        <x:v>0</x:v>
      </x:c>
      <x:c r="K826" s="55" t="n">
        <x:v>30407</x:v>
      </x:c>
      <x:c r="L826" s="55" t="n">
        <x:v>6692</x:v>
      </x:c>
      <x:c r="M826" s="55" t="n">
        <x:v>1873</x:v>
      </x:c>
      <x:c r="N826" s="55" t="n">
        <x:v>3095</x:v>
      </x:c>
      <x:c r="O826" s="55" t="n">
        <x:v>1724</x:v>
      </x:c>
      <x:c r="P826" s="55" t="n">
        <x:v>789</x:v>
      </x:c>
      <x:c r="Q826" s="55" t="n">
        <x:v>2620</x:v>
      </x:c>
      <x:c r="R826" s="55" t="n">
        <x:v>1803</x:v>
      </x:c>
      <x:c r="S826" s="55" t="n">
        <x:v>3421</x:v>
      </x:c>
      <x:c r="T826" s="55" t="n">
        <x:v>1135</x:v>
      </x:c>
      <x:c r="U826" s="55" t="n">
        <x:v>1726</x:v>
      </x:c>
      <x:c r="V826" s="55" t="n">
        <x:v>10281</x:v>
      </x:c>
      <x:c r="W826" s="55" t="n">
        <x:v>7341</x:v>
      </x:c>
      <x:c r="X826" s="55" t="n">
        <x:v>2940</x:v>
      </x:c>
      <x:c r="Y826" s="55" t="n">
        <x:v>2762</x:v>
      </x:c>
      <x:c r="Z826" s="55" t="n">
        <x:v>4502</x:v>
      </x:c>
      <x:c r="AA826" s="55" t="n">
        <x:v>3596</x:v>
      </x:c>
      <x:c r="AB826" s="55" t="n">
        <x:v>1434</x:v>
      </x:c>
      <x:c r="AC826" s="55" t="n">
        <x:v>8230</x:v>
      </x:c>
      <x:c r="AD826" s="55" t="n">
        <x:v>3270</x:v>
      </x:c>
      <x:c r="AE826" s="55" t="n">
        <x:v>10463</x:v>
      </x:c>
      <x:c r="AF826" s="55" t="n">
        <x:v>10281</x:v>
      </x:c>
      <x:c r="AG826" s="55" t="n">
        <x:v>182</x:v>
      </x:c>
      <x:c r="AH826" s="55" t="n">
        <x:v>294</x:v>
      </x:c>
      <x:c r="AI826" s="55" t="n">
        <x:v>9987</x:v>
      </x:c>
      <x:c r="AJ826" s="55" t="n">
        <x:v>447</x:v>
      </x:c>
      <x:c r="AK826" s="55" t="n">
        <x:v>940</x:v>
      </x:c>
      <x:c r="AL826" s="55" t="n">
        <x:v>1453</x:v>
      </x:c>
      <x:c r="AM826" s="55" t="n">
        <x:v>4629</x:v>
      </x:c>
      <x:c r="AN826" s="55" t="n">
        <x:v>2812</x:v>
      </x:c>
      <x:c r="AO826" s="55" t="n">
        <x:v>0</x:v>
      </x:c>
      <x:c r="AP826" s="55" t="n">
        <x:v>2216</x:v>
      </x:c>
      <x:c r="AQ826" s="55" t="n">
        <x:v>973</x:v>
      </x:c>
    </x:row>
    <x:row r="827">
      <x:c r="A827" s="54" t="str">
        <x:v>T1_SHARED_CATCHMENT</x:v>
      </x:c>
      <x:c r="B827" s="54" t="n">
        <x:v>821</x:v>
      </x:c>
      <x:c r="C827" s="54" t="str">
        <x:v>NYC-V2-R01</x:v>
      </x:c>
      <x:c r="D827" s="54" t="str">
        <x:v>V2</x:v>
      </x:c>
      <x:c r="E827" s="54" t="str">
        <x:v>ADMITTED</x:v>
      </x:c>
      <x:c r="F827" s="55" t="n">
        <x:v>31699</x:v>
      </x:c>
      <x:c r="G827" s="55" t="n">
        <x:v>8314</x:v>
      </x:c>
      <x:c r="H827" s="55" t="n">
        <x:v>3317</x:v>
      </x:c>
      <x:c r="I827" s="55" t="n">
        <x:v>1234</x:v>
      </x:c>
      <x:c r="J827" s="55" t="n">
        <x:v>82</x:v>
      </x:c>
      <x:c r="K827" s="55" t="n">
        <x:v>28255</x:v>
      </x:c>
      <x:c r="L827" s="55" t="n">
        <x:v>4443</x:v>
      </x:c>
      <x:c r="M827" s="55" t="n">
        <x:v>0</x:v>
      </x:c>
      <x:c r="N827" s="55" t="n">
        <x:v>2650</x:v>
      </x:c>
      <x:c r="O827" s="55" t="n">
        <x:v>1793</x:v>
      </x:c>
      <x:c r="P827" s="55" t="n">
        <x:v>532</x:v>
      </x:c>
      <x:c r="Q827" s="55" t="n">
        <x:v>2413</x:v>
      </x:c>
      <x:c r="R827" s="55" t="n">
        <x:v>2252</x:v>
      </x:c>
      <x:c r="S827" s="55" t="n">
        <x:v>2609</x:v>
      </x:c>
      <x:c r="T827" s="55" t="n">
        <x:v>1037</x:v>
      </x:c>
      <x:c r="U827" s="55" t="n">
        <x:v>2599</x:v>
      </x:c>
      <x:c r="V827" s="55" t="n">
        <x:v>9894</x:v>
      </x:c>
      <x:c r="W827" s="55" t="n">
        <x:v>6651</x:v>
      </x:c>
      <x:c r="X827" s="55" t="n">
        <x:v>3243</x:v>
      </x:c>
      <x:c r="Y827" s="55" t="n">
        <x:v>2885</x:v>
      </x:c>
      <x:c r="Z827" s="55" t="n">
        <x:v>3943</x:v>
      </x:c>
      <x:c r="AA827" s="55" t="n">
        <x:v>3245</x:v>
      </x:c>
      <x:c r="AB827" s="55" t="n">
        <x:v>1022</x:v>
      </x:c>
      <x:c r="AC827" s="55" t="n">
        <x:v>8057</x:v>
      </x:c>
      <x:c r="AD827" s="55" t="n">
        <x:v>2704</x:v>
      </x:c>
      <x:c r="AE827" s="55" t="n">
        <x:v>9968</x:v>
      </x:c>
      <x:c r="AF827" s="55" t="n">
        <x:v>9894</x:v>
      </x:c>
      <x:c r="AG827" s="55" t="n">
        <x:v>74</x:v>
      </x:c>
      <x:c r="AH827" s="55" t="n">
        <x:v>316</x:v>
      </x:c>
      <x:c r="AI827" s="55" t="n">
        <x:v>9578</x:v>
      </x:c>
      <x:c r="AJ827" s="55" t="n">
        <x:v>334</x:v>
      </x:c>
      <x:c r="AK827" s="55" t="n">
        <x:v>957</x:v>
      </x:c>
      <x:c r="AL827" s="55" t="n">
        <x:v>1157</x:v>
      </x:c>
      <x:c r="AM827" s="55" t="n">
        <x:v>4995</x:v>
      </x:c>
      <x:c r="AN827" s="55" t="n">
        <x:v>2450</x:v>
      </x:c>
      <x:c r="AO827" s="55" t="n">
        <x:v>1</x:v>
      </x:c>
      <x:c r="AP827" s="55" t="n">
        <x:v>2005</x:v>
      </x:c>
      <x:c r="AQ827" s="55" t="n">
        <x:v>1004</x:v>
      </x:c>
    </x:row>
    <x:row r="828">
      <x:c r="A828" s="54" t="str">
        <x:v>T1_SHARED_CATCHMENT</x:v>
      </x:c>
      <x:c r="B828" s="54" t="n">
        <x:v>822</x:v>
      </x:c>
      <x:c r="C828" s="54" t="str">
        <x:v>NYC-V2-R01</x:v>
      </x:c>
      <x:c r="D828" s="54" t="str">
        <x:v>V2</x:v>
      </x:c>
      <x:c r="E828" s="54" t="str">
        <x:v>ADMITTED</x:v>
      </x:c>
      <x:c r="F828" s="55" t="n">
        <x:v>32009</x:v>
      </x:c>
      <x:c r="G828" s="55" t="n">
        <x:v>8673</x:v>
      </x:c>
      <x:c r="H828" s="55" t="n">
        <x:v>3314</x:v>
      </x:c>
      <x:c r="I828" s="55" t="n">
        <x:v>1433</x:v>
      </x:c>
      <x:c r="J828" s="55" t="n">
        <x:v>389</x:v>
      </x:c>
      <x:c r="K828" s="55" t="n">
        <x:v>31281</x:v>
      </x:c>
      <x:c r="L828" s="55" t="n">
        <x:v>6775</x:v>
      </x:c>
      <x:c r="M828" s="55" t="n">
        <x:v>2014</x:v>
      </x:c>
      <x:c r="N828" s="55" t="n">
        <x:v>2665</x:v>
      </x:c>
      <x:c r="O828" s="55" t="n">
        <x:v>2096</x:v>
      </x:c>
      <x:c r="P828" s="55" t="n">
        <x:v>964</x:v>
      </x:c>
      <x:c r="Q828" s="55" t="n">
        <x:v>2504</x:v>
      </x:c>
      <x:c r="R828" s="55" t="n">
        <x:v>1616</x:v>
      </x:c>
      <x:c r="S828" s="55" t="n">
        <x:v>3524</x:v>
      </x:c>
      <x:c r="T828" s="55" t="n">
        <x:v>1356</x:v>
      </x:c>
      <x:c r="U828" s="55" t="n">
        <x:v>2420</x:v>
      </x:c>
      <x:c r="V828" s="55" t="n">
        <x:v>11156</x:v>
      </x:c>
      <x:c r="W828" s="55" t="n">
        <x:v>7941</x:v>
      </x:c>
      <x:c r="X828" s="55" t="n">
        <x:v>3215</x:v>
      </x:c>
      <x:c r="Y828" s="55" t="n">
        <x:v>2780</x:v>
      </x:c>
      <x:c r="Z828" s="55" t="n">
        <x:v>3994</x:v>
      </x:c>
      <x:c r="AA828" s="55" t="n">
        <x:v>3314</x:v>
      </x:c>
      <x:c r="AB828" s="55" t="n">
        <x:v>1302</x:v>
      </x:c>
      <x:c r="AC828" s="55" t="n">
        <x:v>8503</x:v>
      </x:c>
      <x:c r="AD828" s="55" t="n">
        <x:v>3353</x:v>
      </x:c>
      <x:c r="AE828" s="55" t="n">
        <x:v>11325</x:v>
      </x:c>
      <x:c r="AF828" s="55" t="n">
        <x:v>11156</x:v>
      </x:c>
      <x:c r="AG828" s="55" t="n">
        <x:v>169</x:v>
      </x:c>
      <x:c r="AH828" s="55" t="n">
        <x:v>693</x:v>
      </x:c>
      <x:c r="AI828" s="55" t="n">
        <x:v>10463</x:v>
      </x:c>
      <x:c r="AJ828" s="55" t="n">
        <x:v>417</x:v>
      </x:c>
      <x:c r="AK828" s="55" t="n">
        <x:v>1460</x:v>
      </x:c>
      <x:c r="AL828" s="55" t="n">
        <x:v>1791</x:v>
      </x:c>
      <x:c r="AM828" s="55" t="n">
        <x:v>4643</x:v>
      </x:c>
      <x:c r="AN828" s="55" t="n">
        <x:v>2845</x:v>
      </x:c>
      <x:c r="AO828" s="55" t="n">
        <x:v>0</x:v>
      </x:c>
      <x:c r="AP828" s="55" t="n">
        <x:v>2267</x:v>
      </x:c>
      <x:c r="AQ828" s="55" t="n">
        <x:v>980</x:v>
      </x:c>
    </x:row>
    <x:row r="829">
      <x:c r="A829" s="54" t="str">
        <x:v>T1_SHARED_CATCHMENT</x:v>
      </x:c>
      <x:c r="B829" s="54" t="n">
        <x:v>823</x:v>
      </x:c>
      <x:c r="C829" s="54" t="str">
        <x:v>NYC-V2-R01</x:v>
      </x:c>
      <x:c r="D829" s="54" t="str">
        <x:v>V2</x:v>
      </x:c>
      <x:c r="E829" s="54" t="str">
        <x:v>ADMITTED</x:v>
      </x:c>
      <x:c r="F829" s="55" t="n">
        <x:v>32625</x:v>
      </x:c>
      <x:c r="G829" s="55" t="n">
        <x:v>7885</x:v>
      </x:c>
      <x:c r="H829" s="55" t="n">
        <x:v>3379</x:v>
      </x:c>
      <x:c r="I829" s="55" t="n">
        <x:v>1360</x:v>
      </x:c>
      <x:c r="J829" s="55" t="n">
        <x:v>279</x:v>
      </x:c>
      <x:c r="K829" s="55" t="n">
        <x:v>32625</x:v>
      </x:c>
      <x:c r="L829" s="55" t="n">
        <x:v>6558</x:v>
      </x:c>
      <x:c r="M829" s="55" t="n">
        <x:v>2015</x:v>
      </x:c>
      <x:c r="N829" s="55" t="n">
        <x:v>3045</x:v>
      </x:c>
      <x:c r="O829" s="55" t="n">
        <x:v>1498</x:v>
      </x:c>
      <x:c r="P829" s="55" t="n">
        <x:v>871</x:v>
      </x:c>
      <x:c r="Q829" s="55" t="n">
        <x:v>1626</x:v>
      </x:c>
      <x:c r="R829" s="55" t="n">
        <x:v>2191</x:v>
      </x:c>
      <x:c r="S829" s="55" t="n">
        <x:v>2496</x:v>
      </x:c>
      <x:c r="T829" s="55" t="n">
        <x:v>1354</x:v>
      </x:c>
      <x:c r="U829" s="55" t="n">
        <x:v>2261</x:v>
      </x:c>
      <x:c r="V829" s="55" t="n">
        <x:v>10314</x:v>
      </x:c>
      <x:c r="W829" s="55" t="n">
        <x:v>7354</x:v>
      </x:c>
      <x:c r="X829" s="55" t="n">
        <x:v>2960</x:v>
      </x:c>
      <x:c r="Y829" s="55" t="n">
        <x:v>2433</x:v>
      </x:c>
      <x:c r="Z829" s="55" t="n">
        <x:v>3444</x:v>
      </x:c>
      <x:c r="AA829" s="55" t="n">
        <x:v>2492</x:v>
      </x:c>
      <x:c r="AB829" s="55" t="n">
        <x:v>589</x:v>
      </x:c>
      <x:c r="AC829" s="55" t="n">
        <x:v>8227</x:v>
      </x:c>
      <x:c r="AD829" s="55" t="n">
        <x:v>3395</x:v>
      </x:c>
      <x:c r="AE829" s="55" t="n">
        <x:v>10427</x:v>
      </x:c>
      <x:c r="AF829" s="55" t="n">
        <x:v>10314</x:v>
      </x:c>
      <x:c r="AG829" s="55" t="n">
        <x:v>113</x:v>
      </x:c>
      <x:c r="AH829" s="55" t="n">
        <x:v>313</x:v>
      </x:c>
      <x:c r="AI829" s="55" t="n">
        <x:v>10001</x:v>
      </x:c>
      <x:c r="AJ829" s="55" t="n">
        <x:v>461</x:v>
      </x:c>
      <x:c r="AK829" s="55" t="n">
        <x:v>950</x:v>
      </x:c>
      <x:c r="AL829" s="55" t="n">
        <x:v>1361</x:v>
      </x:c>
      <x:c r="AM829" s="55" t="n">
        <x:v>4784</x:v>
      </x:c>
      <x:c r="AN829" s="55" t="n">
        <x:v>2696</x:v>
      </x:c>
      <x:c r="AO829" s="55" t="n">
        <x:v>62</x:v>
      </x:c>
      <x:c r="AP829" s="55" t="n">
        <x:v>2260</x:v>
      </x:c>
      <x:c r="AQ829" s="55" t="n">
        <x:v>960</x:v>
      </x:c>
    </x:row>
    <x:row r="830">
      <x:c r="A830" s="54" t="str">
        <x:v>T1_SHARED_CATCHMENT</x:v>
      </x:c>
      <x:c r="B830" s="54" t="n">
        <x:v>824</x:v>
      </x:c>
      <x:c r="C830" s="54" t="str">
        <x:v>NYC-V2-R01</x:v>
      </x:c>
      <x:c r="D830" s="54" t="str">
        <x:v>V2</x:v>
      </x:c>
      <x:c r="E830" s="54" t="str">
        <x:v>ADMITTED</x:v>
      </x:c>
      <x:c r="F830" s="55" t="n">
        <x:v>31717</x:v>
      </x:c>
      <x:c r="G830" s="55" t="n">
        <x:v>7656</x:v>
      </x:c>
      <x:c r="H830" s="55" t="n">
        <x:v>3426</x:v>
      </x:c>
      <x:c r="I830" s="55" t="n">
        <x:v>1825</x:v>
      </x:c>
      <x:c r="J830" s="55" t="n">
        <x:v>343</x:v>
      </x:c>
      <x:c r="K830" s="55" t="n">
        <x:v>31699</x:v>
      </x:c>
      <x:c r="L830" s="55" t="n">
        <x:v>6138</x:v>
      </x:c>
      <x:c r="M830" s="55" t="n">
        <x:v>2038</x:v>
      </x:c>
      <x:c r="N830" s="55" t="n">
        <x:v>2609</x:v>
      </x:c>
      <x:c r="O830" s="55" t="n">
        <x:v>1491</x:v>
      </x:c>
      <x:c r="P830" s="55" t="n">
        <x:v>743</x:v>
      </x:c>
      <x:c r="Q830" s="55" t="n">
        <x:v>3016</x:v>
      </x:c>
      <x:c r="R830" s="55" t="n">
        <x:v>1642</x:v>
      </x:c>
      <x:c r="S830" s="55" t="n">
        <x:v>2417</x:v>
      </x:c>
      <x:c r="T830" s="55" t="n">
        <x:v>938</x:v>
      </x:c>
      <x:c r="U830" s="55" t="n">
        <x:v>1858</x:v>
      </x:c>
      <x:c r="V830" s="55" t="n">
        <x:v>10241</x:v>
      </x:c>
      <x:c r="W830" s="55" t="n">
        <x:v>6972</x:v>
      </x:c>
      <x:c r="X830" s="55" t="n">
        <x:v>3269</x:v>
      </x:c>
      <x:c r="Y830" s="55" t="n">
        <x:v>2801</x:v>
      </x:c>
      <x:c r="Z830" s="55" t="n">
        <x:v>3685</x:v>
      </x:c>
      <x:c r="AA830" s="55" t="n">
        <x:v>3330</x:v>
      </x:c>
      <x:c r="AB830" s="55" t="n">
        <x:v>1085</x:v>
      </x:c>
      <x:c r="AC830" s="55" t="n">
        <x:v>7876</x:v>
      </x:c>
      <x:c r="AD830" s="55" t="n">
        <x:v>2428</x:v>
      </x:c>
      <x:c r="AE830" s="55" t="n">
        <x:v>10333</x:v>
      </x:c>
      <x:c r="AF830" s="55" t="n">
        <x:v>10241</x:v>
      </x:c>
      <x:c r="AG830" s="55" t="n">
        <x:v>92</x:v>
      </x:c>
      <x:c r="AH830" s="55" t="n">
        <x:v>291</x:v>
      </x:c>
      <x:c r="AI830" s="55" t="n">
        <x:v>9950</x:v>
      </x:c>
      <x:c r="AJ830" s="55" t="n">
        <x:v>342</x:v>
      </x:c>
      <x:c r="AK830" s="55" t="n">
        <x:v>870</x:v>
      </x:c>
      <x:c r="AL830" s="55" t="n">
        <x:v>1615</x:v>
      </x:c>
      <x:c r="AM830" s="55" t="n">
        <x:v>5062</x:v>
      </x:c>
      <x:c r="AN830" s="55" t="n">
        <x:v>2346</x:v>
      </x:c>
      <x:c r="AO830" s="55" t="n">
        <x:v>6</x:v>
      </x:c>
      <x:c r="AP830" s="55" t="n">
        <x:v>2132</x:v>
      </x:c>
      <x:c r="AQ830" s="55" t="n">
        <x:v>954</x:v>
      </x:c>
    </x:row>
    <x:row r="831">
      <x:c r="A831" s="54" t="str">
        <x:v>T1_SHARED_CATCHMENT</x:v>
      </x:c>
      <x:c r="B831" s="54" t="n">
        <x:v>825</x:v>
      </x:c>
      <x:c r="C831" s="54" t="str">
        <x:v>NYC-V2-R01</x:v>
      </x:c>
      <x:c r="D831" s="54" t="str">
        <x:v>V2</x:v>
      </x:c>
      <x:c r="E831" s="54" t="str">
        <x:v>ADMITTED</x:v>
      </x:c>
      <x:c r="F831" s="55" t="n">
        <x:v>29554</x:v>
      </x:c>
      <x:c r="G831" s="55" t="n">
        <x:v>6664</x:v>
      </x:c>
      <x:c r="H831" s="55" t="n">
        <x:v>3381</x:v>
      </x:c>
      <x:c r="I831" s="55" t="n">
        <x:v>1167</x:v>
      </x:c>
      <x:c r="J831" s="55" t="n">
        <x:v>299</x:v>
      </x:c>
      <x:c r="K831" s="55" t="n">
        <x:v>29554</x:v>
      </x:c>
      <x:c r="L831" s="55" t="n">
        <x:v>4819</x:v>
      </x:c>
      <x:c r="M831" s="55" t="n">
        <x:v>802</x:v>
      </x:c>
      <x:c r="N831" s="55" t="n">
        <x:v>2239</x:v>
      </x:c>
      <x:c r="O831" s="55" t="n">
        <x:v>1778</x:v>
      </x:c>
      <x:c r="P831" s="55" t="n">
        <x:v>748</x:v>
      </x:c>
      <x:c r="Q831" s="55" t="n">
        <x:v>1833</x:v>
      </x:c>
      <x:c r="R831" s="55" t="n">
        <x:v>1344</x:v>
      </x:c>
      <x:c r="S831" s="55" t="n">
        <x:v>1849</x:v>
      </x:c>
      <x:c r="T831" s="55" t="n">
        <x:v>1368</x:v>
      </x:c>
      <x:c r="U831" s="55" t="n">
        <x:v>1535</x:v>
      </x:c>
      <x:c r="V831" s="55" t="n">
        <x:v>9898</x:v>
      </x:c>
      <x:c r="W831" s="55" t="n">
        <x:v>6495</x:v>
      </x:c>
      <x:c r="X831" s="55" t="n">
        <x:v>3403</x:v>
      </x:c>
      <x:c r="Y831" s="55" t="n">
        <x:v>2729</x:v>
      </x:c>
      <x:c r="Z831" s="55" t="n">
        <x:v>3331</x:v>
      </x:c>
      <x:c r="AA831" s="55" t="n">
        <x:v>3069</x:v>
      </x:c>
      <x:c r="AB831" s="55" t="n">
        <x:v>1109</x:v>
      </x:c>
      <x:c r="AC831" s="55" t="n">
        <x:v>7747</x:v>
      </x:c>
      <x:c r="AD831" s="55" t="n">
        <x:v>2446</x:v>
      </x:c>
      <x:c r="AE831" s="55" t="n">
        <x:v>10029</x:v>
      </x:c>
      <x:c r="AF831" s="55" t="n">
        <x:v>9898</x:v>
      </x:c>
      <x:c r="AG831" s="55" t="n">
        <x:v>131</x:v>
      </x:c>
      <x:c r="AH831" s="55" t="n">
        <x:v>307</x:v>
      </x:c>
      <x:c r="AI831" s="55" t="n">
        <x:v>9591</x:v>
      </x:c>
      <x:c r="AJ831" s="55" t="n">
        <x:v>289</x:v>
      </x:c>
      <x:c r="AK831" s="55" t="n">
        <x:v>911</x:v>
      </x:c>
      <x:c r="AL831" s="55" t="n">
        <x:v>1460</x:v>
      </x:c>
      <x:c r="AM831" s="55" t="n">
        <x:v>4652</x:v>
      </x:c>
      <x:c r="AN831" s="55" t="n">
        <x:v>2586</x:v>
      </x:c>
      <x:c r="AO831" s="55" t="n">
        <x:v>0</x:v>
      </x:c>
      <x:c r="AP831" s="55" t="n">
        <x:v>2392</x:v>
      </x:c>
      <x:c r="AQ831" s="55" t="n">
        <x:v>922</x:v>
      </x:c>
    </x:row>
    <x:row r="832">
      <x:c r="A832" s="54" t="str">
        <x:v>T1_SHARED_CATCHMENT</x:v>
      </x:c>
      <x:c r="B832" s="54" t="n">
        <x:v>826</x:v>
      </x:c>
      <x:c r="C832" s="54" t="str">
        <x:v>NYC-V2-R01</x:v>
      </x:c>
      <x:c r="D832" s="54" t="str">
        <x:v>V2</x:v>
      </x:c>
      <x:c r="E832" s="54" t="str">
        <x:v>ADMITTED</x:v>
      </x:c>
      <x:c r="F832" s="55" t="n">
        <x:v>34386</x:v>
      </x:c>
      <x:c r="G832" s="55" t="n">
        <x:v>8182</x:v>
      </x:c>
      <x:c r="H832" s="55" t="n">
        <x:v>4008</x:v>
      </x:c>
      <x:c r="I832" s="55" t="n">
        <x:v>1664</x:v>
      </x:c>
      <x:c r="J832" s="55" t="n">
        <x:v>382</x:v>
      </x:c>
      <x:c r="K832" s="55" t="n">
        <x:v>30672</x:v>
      </x:c>
      <x:c r="L832" s="55" t="n">
        <x:v>5586</x:v>
      </x:c>
      <x:c r="M832" s="55" t="n">
        <x:v>952</x:v>
      </x:c>
      <x:c r="N832" s="55" t="n">
        <x:v>2575</x:v>
      </x:c>
      <x:c r="O832" s="55" t="n">
        <x:v>2059</x:v>
      </x:c>
      <x:c r="P832" s="55" t="n">
        <x:v>716</x:v>
      </x:c>
      <x:c r="Q832" s="55" t="n">
        <x:v>2576</x:v>
      </x:c>
      <x:c r="R832" s="55" t="n">
        <x:v>1893</x:v>
      </x:c>
      <x:c r="S832" s="55" t="n">
        <x:v>2865</x:v>
      </x:c>
      <x:c r="T832" s="55" t="n">
        <x:v>1306</x:v>
      </x:c>
      <x:c r="U832" s="55" t="n">
        <x:v>1865</x:v>
      </x:c>
      <x:c r="V832" s="55" t="n">
        <x:v>10582</x:v>
      </x:c>
      <x:c r="W832" s="55" t="n">
        <x:v>7284</x:v>
      </x:c>
      <x:c r="X832" s="55" t="n">
        <x:v>3298</x:v>
      </x:c>
      <x:c r="Y832" s="55" t="n">
        <x:v>2726</x:v>
      </x:c>
      <x:c r="Z832" s="55" t="n">
        <x:v>4121</x:v>
      </x:c>
      <x:c r="AA832" s="55" t="n">
        <x:v>3483</x:v>
      </x:c>
      <x:c r="AB832" s="55" t="n">
        <x:v>1415</x:v>
      </x:c>
      <x:c r="AC832" s="55" t="n">
        <x:v>8636</x:v>
      </x:c>
      <x:c r="AD832" s="55" t="n">
        <x:v>3063</x:v>
      </x:c>
      <x:c r="AE832" s="55" t="n">
        <x:v>10677</x:v>
      </x:c>
      <x:c r="AF832" s="55" t="n">
        <x:v>10582</x:v>
      </x:c>
      <x:c r="AG832" s="55" t="n">
        <x:v>95</x:v>
      </x:c>
      <x:c r="AH832" s="55" t="n">
        <x:v>515</x:v>
      </x:c>
      <x:c r="AI832" s="55" t="n">
        <x:v>10067</x:v>
      </x:c>
      <x:c r="AJ832" s="55" t="n">
        <x:v>375</x:v>
      </x:c>
      <x:c r="AK832" s="55" t="n">
        <x:v>1296</x:v>
      </x:c>
      <x:c r="AL832" s="55" t="n">
        <x:v>1546</x:v>
      </x:c>
      <x:c r="AM832" s="55" t="n">
        <x:v>5046</x:v>
      </x:c>
      <x:c r="AN832" s="55" t="n">
        <x:v>2303</x:v>
      </x:c>
      <x:c r="AO832" s="55" t="n">
        <x:v>16</x:v>
      </x:c>
      <x:c r="AP832" s="55" t="n">
        <x:v>2386</x:v>
      </x:c>
      <x:c r="AQ832" s="55" t="n">
        <x:v>1002</x:v>
      </x:c>
    </x:row>
    <x:row r="833">
      <x:c r="A833" s="54" t="str">
        <x:v>T1_SHARED_CATCHMENT</x:v>
      </x:c>
      <x:c r="B833" s="54" t="n">
        <x:v>827</x:v>
      </x:c>
      <x:c r="C833" s="54" t="str">
        <x:v>NYC-V2-R01</x:v>
      </x:c>
      <x:c r="D833" s="54" t="str">
        <x:v>V2</x:v>
      </x:c>
      <x:c r="E833" s="54" t="str">
        <x:v>ADMITTED</x:v>
      </x:c>
      <x:c r="F833" s="55" t="n">
        <x:v>29882</x:v>
      </x:c>
      <x:c r="G833" s="55" t="n">
        <x:v>6441</x:v>
      </x:c>
      <x:c r="H833" s="55" t="n">
        <x:v>3315</x:v>
      </x:c>
      <x:c r="I833" s="55" t="n">
        <x:v>1549</x:v>
      </x:c>
      <x:c r="J833" s="55" t="n">
        <x:v>143</x:v>
      </x:c>
      <x:c r="K833" s="55" t="n">
        <x:v>29589</x:v>
      </x:c>
      <x:c r="L833" s="55" t="n">
        <x:v>5462</x:v>
      </x:c>
      <x:c r="M833" s="55" t="n">
        <x:v>1796</x:v>
      </x:c>
      <x:c r="N833" s="55" t="n">
        <x:v>2430</x:v>
      </x:c>
      <x:c r="O833" s="55" t="n">
        <x:v>1236</x:v>
      </x:c>
      <x:c r="P833" s="55" t="n">
        <x:v>1090</x:v>
      </x:c>
      <x:c r="Q833" s="55" t="n">
        <x:v>2041</x:v>
      </x:c>
      <x:c r="R833" s="55" t="n">
        <x:v>1666</x:v>
      </x:c>
      <x:c r="S833" s="55" t="n">
        <x:v>1865</x:v>
      </x:c>
      <x:c r="T833" s="55" t="n">
        <x:v>730</x:v>
      </x:c>
      <x:c r="U833" s="55" t="n">
        <x:v>1597</x:v>
      </x:c>
      <x:c r="V833" s="55" t="n">
        <x:v>9634</x:v>
      </x:c>
      <x:c r="W833" s="55" t="n">
        <x:v>6219</x:v>
      </x:c>
      <x:c r="X833" s="55" t="n">
        <x:v>3415</x:v>
      </x:c>
      <x:c r="Y833" s="55" t="n">
        <x:v>2983</x:v>
      </x:c>
      <x:c r="Z833" s="55" t="n">
        <x:v>3427</x:v>
      </x:c>
      <x:c r="AA833" s="55" t="n">
        <x:v>2778</x:v>
      </x:c>
      <x:c r="AB833" s="55" t="n">
        <x:v>1334</x:v>
      </x:c>
      <x:c r="AC833" s="55" t="n">
        <x:v>7417</x:v>
      </x:c>
      <x:c r="AD833" s="55" t="n">
        <x:v>3162</x:v>
      </x:c>
      <x:c r="AE833" s="55" t="n">
        <x:v>9727</x:v>
      </x:c>
      <x:c r="AF833" s="55" t="n">
        <x:v>9634</x:v>
      </x:c>
      <x:c r="AG833" s="55" t="n">
        <x:v>93</x:v>
      </x:c>
      <x:c r="AH833" s="55" t="n">
        <x:v>61</x:v>
      </x:c>
      <x:c r="AI833" s="55" t="n">
        <x:v>9573</x:v>
      </x:c>
      <x:c r="AJ833" s="55" t="n">
        <x:v>292</x:v>
      </x:c>
      <x:c r="AK833" s="55" t="n">
        <x:v>714</x:v>
      </x:c>
      <x:c r="AL833" s="55" t="n">
        <x:v>1210</x:v>
      </x:c>
      <x:c r="AM833" s="55" t="n">
        <x:v>5193</x:v>
      </x:c>
      <x:c r="AN833" s="55" t="n">
        <x:v>2218</x:v>
      </x:c>
      <x:c r="AO833" s="55" t="n">
        <x:v>7</x:v>
      </x:c>
      <x:c r="AP833" s="55" t="n">
        <x:v>2266</x:v>
      </x:c>
      <x:c r="AQ833" s="55" t="n">
        <x:v>968</x:v>
      </x:c>
    </x:row>
    <x:row r="834">
      <x:c r="A834" s="54" t="str">
        <x:v>T1_SHARED_CATCHMENT</x:v>
      </x:c>
      <x:c r="B834" s="54" t="n">
        <x:v>828</x:v>
      </x:c>
      <x:c r="C834" s="54" t="str">
        <x:v>NYC-V2-R01</x:v>
      </x:c>
      <x:c r="D834" s="54" t="str">
        <x:v>V2</x:v>
      </x:c>
      <x:c r="E834" s="54" t="str">
        <x:v>ADMITTED</x:v>
      </x:c>
      <x:c r="F834" s="55" t="n">
        <x:v>30116</x:v>
      </x:c>
      <x:c r="G834" s="55" t="n">
        <x:v>6676</x:v>
      </x:c>
      <x:c r="H834" s="55" t="n">
        <x:v>3158</x:v>
      </x:c>
      <x:c r="I834" s="55" t="n">
        <x:v>876</x:v>
      </x:c>
      <x:c r="J834" s="55" t="n">
        <x:v>266</x:v>
      </x:c>
      <x:c r="K834" s="55" t="n">
        <x:v>25901</x:v>
      </x:c>
      <x:c r="L834" s="55" t="n">
        <x:v>4174</x:v>
      </x:c>
      <x:c r="M834" s="55" t="n">
        <x:v>0</x:v>
      </x:c>
      <x:c r="N834" s="55" t="n">
        <x:v>2712</x:v>
      </x:c>
      <x:c r="O834" s="55" t="n">
        <x:v>1462</x:v>
      </x:c>
      <x:c r="P834" s="55" t="n">
        <x:v>926</x:v>
      </x:c>
      <x:c r="Q834" s="55" t="n">
        <x:v>2119</x:v>
      </x:c>
      <x:c r="R834" s="55" t="n">
        <x:v>2013</x:v>
      </x:c>
      <x:c r="S834" s="55" t="n">
        <x:v>2870</x:v>
      </x:c>
      <x:c r="T834" s="55" t="n">
        <x:v>700</x:v>
      </x:c>
      <x:c r="U834" s="55" t="n">
        <x:v>1905</x:v>
      </x:c>
      <x:c r="V834" s="55" t="n">
        <x:v>10508</x:v>
      </x:c>
      <x:c r="W834" s="55" t="n">
        <x:v>7755</x:v>
      </x:c>
      <x:c r="X834" s="55" t="n">
        <x:v>2753</x:v>
      </x:c>
      <x:c r="Y834" s="55" t="n">
        <x:v>2450</x:v>
      </x:c>
      <x:c r="Z834" s="55" t="n">
        <x:v>3992</x:v>
      </x:c>
      <x:c r="AA834" s="55" t="n">
        <x:v>2910</x:v>
      </x:c>
      <x:c r="AB834" s="55" t="n">
        <x:v>1237</x:v>
      </x:c>
      <x:c r="AC834" s="55" t="n">
        <x:v>7673</x:v>
      </x:c>
      <x:c r="AD834" s="55" t="n">
        <x:v>2760</x:v>
      </x:c>
      <x:c r="AE834" s="55" t="n">
        <x:v>10508</x:v>
      </x:c>
      <x:c r="AF834" s="55" t="n">
        <x:v>10508</x:v>
      </x:c>
      <x:c r="AG834" s="55" t="n">
        <x:v>0</x:v>
      </x:c>
      <x:c r="AH834" s="55" t="n">
        <x:v>260</x:v>
      </x:c>
      <x:c r="AI834" s="55" t="n">
        <x:v>10248</x:v>
      </x:c>
      <x:c r="AJ834" s="55" t="n">
        <x:v>276</x:v>
      </x:c>
      <x:c r="AK834" s="55" t="n">
        <x:v>850</x:v>
      </x:c>
      <x:c r="AL834" s="55" t="n">
        <x:v>1420</x:v>
      </x:c>
      <x:c r="AM834" s="55" t="n">
        <x:v>4569</x:v>
      </x:c>
      <x:c r="AN834" s="55" t="n">
        <x:v>3393</x:v>
      </x:c>
      <x:c r="AO834" s="55" t="n">
        <x:v>0</x:v>
      </x:c>
      <x:c r="AP834" s="55" t="n">
        <x:v>2579</x:v>
      </x:c>
      <x:c r="AQ834" s="55" t="n">
        <x:v>931</x:v>
      </x:c>
    </x:row>
    <x:row r="835">
      <x:c r="A835" s="54" t="str">
        <x:v>T1_SHARED_CATCHMENT</x:v>
      </x:c>
      <x:c r="B835" s="54" t="n">
        <x:v>829</x:v>
      </x:c>
      <x:c r="C835" s="54" t="str">
        <x:v>NYC-V2-R01</x:v>
      </x:c>
      <x:c r="D835" s="54" t="str">
        <x:v>V2</x:v>
      </x:c>
      <x:c r="E835" s="54" t="str">
        <x:v>ADMITTED</x:v>
      </x:c>
      <x:c r="F835" s="55" t="n">
        <x:v>29733</x:v>
      </x:c>
      <x:c r="G835" s="55" t="n">
        <x:v>7031</x:v>
      </x:c>
      <x:c r="H835" s="55" t="n">
        <x:v>2818</x:v>
      </x:c>
      <x:c r="I835" s="55" t="n">
        <x:v>836</x:v>
      </x:c>
      <x:c r="J835" s="55" t="n">
        <x:v>0</x:v>
      </x:c>
      <x:c r="K835" s="55" t="n">
        <x:v>29733</x:v>
      </x:c>
      <x:c r="L835" s="55" t="n">
        <x:v>4387</x:v>
      </x:c>
      <x:c r="M835" s="55" t="n">
        <x:v>763</x:v>
      </x:c>
      <x:c r="N835" s="55" t="n">
        <x:v>2027</x:v>
      </x:c>
      <x:c r="O835" s="55" t="n">
        <x:v>1597</x:v>
      </x:c>
      <x:c r="P835" s="55" t="n">
        <x:v>622</x:v>
      </x:c>
      <x:c r="Q835" s="55" t="n">
        <x:v>1520</x:v>
      </x:c>
      <x:c r="R835" s="55" t="n">
        <x:v>1682</x:v>
      </x:c>
      <x:c r="S835" s="55" t="n">
        <x:v>2436</x:v>
      </x:c>
      <x:c r="T835" s="55" t="n">
        <x:v>830</x:v>
      </x:c>
      <x:c r="U835" s="55" t="n">
        <x:v>1560</x:v>
      </x:c>
      <x:c r="V835" s="55" t="n">
        <x:v>10124</x:v>
      </x:c>
      <x:c r="W835" s="55" t="n">
        <x:v>7041</x:v>
      </x:c>
      <x:c r="X835" s="55" t="n">
        <x:v>3083</x:v>
      </x:c>
      <x:c r="Y835" s="55" t="n">
        <x:v>2845</x:v>
      </x:c>
      <x:c r="Z835" s="55" t="n">
        <x:v>3322</x:v>
      </x:c>
      <x:c r="AA835" s="55" t="n">
        <x:v>2815</x:v>
      </x:c>
      <x:c r="AB835" s="55" t="n">
        <x:v>834</x:v>
      </x:c>
      <x:c r="AC835" s="55" t="n">
        <x:v>8117</x:v>
      </x:c>
      <x:c r="AD835" s="55" t="n">
        <x:v>2181</x:v>
      </x:c>
      <x:c r="AE835" s="55" t="n">
        <x:v>10190</x:v>
      </x:c>
      <x:c r="AF835" s="55" t="n">
        <x:v>10124</x:v>
      </x:c>
      <x:c r="AG835" s="55" t="n">
        <x:v>66</x:v>
      </x:c>
      <x:c r="AH835" s="55" t="n">
        <x:v>529</x:v>
      </x:c>
      <x:c r="AI835" s="55" t="n">
        <x:v>9595</x:v>
      </x:c>
      <x:c r="AJ835" s="55" t="n">
        <x:v>255</x:v>
      </x:c>
      <x:c r="AK835" s="55" t="n">
        <x:v>541</x:v>
      </x:c>
      <x:c r="AL835" s="55" t="n">
        <x:v>1426</x:v>
      </x:c>
      <x:c r="AM835" s="55" t="n">
        <x:v>5683</x:v>
      </x:c>
      <x:c r="AN835" s="55" t="n">
        <x:v>2219</x:v>
      </x:c>
      <x:c r="AO835" s="55" t="n">
        <x:v>0</x:v>
      </x:c>
      <x:c r="AP835" s="55" t="n">
        <x:v>2054</x:v>
      </x:c>
      <x:c r="AQ835" s="55" t="n">
        <x:v>976</x:v>
      </x:c>
    </x:row>
    <x:row r="836">
      <x:c r="A836" s="54" t="str">
        <x:v>T1_SHARED_CATCHMENT</x:v>
      </x:c>
      <x:c r="B836" s="54" t="n">
        <x:v>830</x:v>
      </x:c>
      <x:c r="C836" s="54" t="str">
        <x:v>NYC-V2-R01</x:v>
      </x:c>
      <x:c r="D836" s="54" t="str">
        <x:v>V2</x:v>
      </x:c>
      <x:c r="E836" s="54" t="str">
        <x:v>ADMITTED</x:v>
      </x:c>
      <x:c r="F836" s="55" t="n">
        <x:v>34442</x:v>
      </x:c>
      <x:c r="G836" s="55" t="n">
        <x:v>8336</x:v>
      </x:c>
      <x:c r="H836" s="55" t="n">
        <x:v>3158</x:v>
      </x:c>
      <x:c r="I836" s="55" t="n">
        <x:v>1337</x:v>
      </x:c>
      <x:c r="J836" s="55" t="n">
        <x:v>108</x:v>
      </x:c>
      <x:c r="K836" s="55" t="n">
        <x:v>34442</x:v>
      </x:c>
      <x:c r="L836" s="55" t="n">
        <x:v>7658</x:v>
      </x:c>
      <x:c r="M836" s="55" t="n">
        <x:v>2949</x:v>
      </x:c>
      <x:c r="N836" s="55" t="n">
        <x:v>2920</x:v>
      </x:c>
      <x:c r="O836" s="55" t="n">
        <x:v>1789</x:v>
      </x:c>
      <x:c r="P836" s="55" t="n">
        <x:v>652</x:v>
      </x:c>
      <x:c r="Q836" s="55" t="n">
        <x:v>2136</x:v>
      </x:c>
      <x:c r="R836" s="55" t="n">
        <x:v>2252</x:v>
      </x:c>
      <x:c r="S836" s="55" t="n">
        <x:v>2273</x:v>
      </x:c>
      <x:c r="T836" s="55" t="n">
        <x:v>1139</x:v>
      </x:c>
      <x:c r="U836" s="55" t="n">
        <x:v>2344</x:v>
      </x:c>
      <x:c r="V836" s="55" t="n">
        <x:v>10486</x:v>
      </x:c>
      <x:c r="W836" s="55" t="n">
        <x:v>7265</x:v>
      </x:c>
      <x:c r="X836" s="55" t="n">
        <x:v>3221</x:v>
      </x:c>
      <x:c r="Y836" s="55" t="n">
        <x:v>2995</x:v>
      </x:c>
      <x:c r="Z836" s="55" t="n">
        <x:v>3713</x:v>
      </x:c>
      <x:c r="AA836" s="55" t="n">
        <x:v>3158</x:v>
      </x:c>
      <x:c r="AB836" s="55" t="n">
        <x:v>1147</x:v>
      </x:c>
      <x:c r="AC836" s="55" t="n">
        <x:v>8435</x:v>
      </x:c>
      <x:c r="AD836" s="55" t="n">
        <x:v>3257</x:v>
      </x:c>
      <x:c r="AE836" s="55" t="n">
        <x:v>10559</x:v>
      </x:c>
      <x:c r="AF836" s="55" t="n">
        <x:v>10486</x:v>
      </x:c>
      <x:c r="AG836" s="55" t="n">
        <x:v>73</x:v>
      </x:c>
      <x:c r="AH836" s="55" t="n">
        <x:v>471</x:v>
      </x:c>
      <x:c r="AI836" s="55" t="n">
        <x:v>10015</x:v>
      </x:c>
      <x:c r="AJ836" s="55" t="n">
        <x:v>176</x:v>
      </x:c>
      <x:c r="AK836" s="55" t="n">
        <x:v>661</x:v>
      </x:c>
      <x:c r="AL836" s="55" t="n">
        <x:v>1697</x:v>
      </x:c>
      <x:c r="AM836" s="55" t="n">
        <x:v>4958</x:v>
      </x:c>
      <x:c r="AN836" s="55" t="n">
        <x:v>2994</x:v>
      </x:c>
      <x:c r="AO836" s="55" t="n">
        <x:v>0</x:v>
      </x:c>
      <x:c r="AP836" s="55" t="n">
        <x:v>2196</x:v>
      </x:c>
      <x:c r="AQ836" s="55" t="n">
        <x:v>916</x:v>
      </x:c>
    </x:row>
    <x:row r="837">
      <x:c r="A837" s="54" t="str">
        <x:v>T1_SHARED_CATCHMENT</x:v>
      </x:c>
      <x:c r="B837" s="54" t="n">
        <x:v>831</x:v>
      </x:c>
      <x:c r="C837" s="54" t="str">
        <x:v>NYC-V2-R01</x:v>
      </x:c>
      <x:c r="D837" s="54" t="str">
        <x:v>V2</x:v>
      </x:c>
      <x:c r="E837" s="54" t="str">
        <x:v>ADMITTED</x:v>
      </x:c>
      <x:c r="F837" s="55" t="n">
        <x:v>33144</x:v>
      </x:c>
      <x:c r="G837" s="55" t="n">
        <x:v>8509</x:v>
      </x:c>
      <x:c r="H837" s="55" t="n">
        <x:v>3597</x:v>
      </x:c>
      <x:c r="I837" s="55" t="n">
        <x:v>1280</x:v>
      </x:c>
      <x:c r="J837" s="55" t="n">
        <x:v>0</x:v>
      </x:c>
      <x:c r="K837" s="55" t="n">
        <x:v>33144</x:v>
      </x:c>
      <x:c r="L837" s="55" t="n">
        <x:v>5376</x:v>
      </x:c>
      <x:c r="M837" s="55" t="n">
        <x:v>1519</x:v>
      </x:c>
      <x:c r="N837" s="55" t="n">
        <x:v>2030</x:v>
      </x:c>
      <x:c r="O837" s="55" t="n">
        <x:v>1827</x:v>
      </x:c>
      <x:c r="P837" s="55" t="n">
        <x:v>1196</x:v>
      </x:c>
      <x:c r="Q837" s="55" t="n">
        <x:v>1803</x:v>
      </x:c>
      <x:c r="R837" s="55" t="n">
        <x:v>1893</x:v>
      </x:c>
      <x:c r="S837" s="55" t="n">
        <x:v>2126</x:v>
      </x:c>
      <x:c r="T837" s="55" t="n">
        <x:v>960</x:v>
      </x:c>
      <x:c r="U837" s="55" t="n">
        <x:v>1980</x:v>
      </x:c>
      <x:c r="V837" s="55" t="n">
        <x:v>10776</x:v>
      </x:c>
      <x:c r="W837" s="55" t="n">
        <x:v>8104</x:v>
      </x:c>
      <x:c r="X837" s="55" t="n">
        <x:v>2672</x:v>
      </x:c>
      <x:c r="Y837" s="55" t="n">
        <x:v>2574</x:v>
      </x:c>
      <x:c r="Z837" s="55" t="n">
        <x:v>3808</x:v>
      </x:c>
      <x:c r="AA837" s="55" t="n">
        <x:v>3597</x:v>
      </x:c>
      <x:c r="AB837" s="55" t="n">
        <x:v>1362</x:v>
      </x:c>
      <x:c r="AC837" s="55" t="n">
        <x:v>7991</x:v>
      </x:c>
      <x:c r="AD837" s="55" t="n">
        <x:v>2017</x:v>
      </x:c>
      <x:c r="AE837" s="55" t="n">
        <x:v>10862</x:v>
      </x:c>
      <x:c r="AF837" s="55" t="n">
        <x:v>10776</x:v>
      </x:c>
      <x:c r="AG837" s="55" t="n">
        <x:v>86</x:v>
      </x:c>
      <x:c r="AH837" s="55" t="n">
        <x:v>276</x:v>
      </x:c>
      <x:c r="AI837" s="55" t="n">
        <x:v>10500</x:v>
      </x:c>
      <x:c r="AJ837" s="55" t="n">
        <x:v>259</x:v>
      </x:c>
      <x:c r="AK837" s="55" t="n">
        <x:v>1199</x:v>
      </x:c>
      <x:c r="AL837" s="55" t="n">
        <x:v>1680</x:v>
      </x:c>
      <x:c r="AM837" s="55" t="n">
        <x:v>4663</x:v>
      </x:c>
      <x:c r="AN837" s="55" t="n">
        <x:v>2975</x:v>
      </x:c>
      <x:c r="AO837" s="55" t="n">
        <x:v>0</x:v>
      </x:c>
      <x:c r="AP837" s="55" t="n">
        <x:v>2193</x:v>
      </x:c>
      <x:c r="AQ837" s="55" t="n">
        <x:v>948</x:v>
      </x:c>
    </x:row>
    <x:row r="838">
      <x:c r="A838" s="54" t="str">
        <x:v>T1_SHARED_CATCHMENT</x:v>
      </x:c>
      <x:c r="B838" s="54" t="n">
        <x:v>832</x:v>
      </x:c>
      <x:c r="C838" s="54" t="str">
        <x:v>NYC-V2-R01</x:v>
      </x:c>
      <x:c r="D838" s="54" t="str">
        <x:v>V2</x:v>
      </x:c>
      <x:c r="E838" s="54" t="str">
        <x:v>ADMITTED</x:v>
      </x:c>
      <x:c r="F838" s="55" t="n">
        <x:v>31972</x:v>
      </x:c>
      <x:c r="G838" s="55" t="n">
        <x:v>7312</x:v>
      </x:c>
      <x:c r="H838" s="55" t="n">
        <x:v>3301</x:v>
      </x:c>
      <x:c r="I838" s="55" t="n">
        <x:v>1368</x:v>
      </x:c>
      <x:c r="J838" s="55" t="n">
        <x:v>184</x:v>
      </x:c>
      <x:c r="K838" s="55" t="n">
        <x:v>31972</x:v>
      </x:c>
      <x:c r="L838" s="55" t="n">
        <x:v>6462</x:v>
      </x:c>
      <x:c r="M838" s="55" t="n">
        <x:v>1065</x:v>
      </x:c>
      <x:c r="N838" s="55" t="n">
        <x:v>3354</x:v>
      </x:c>
      <x:c r="O838" s="55" t="n">
        <x:v>2043</x:v>
      </x:c>
      <x:c r="P838" s="55" t="n">
        <x:v>785</x:v>
      </x:c>
      <x:c r="Q838" s="55" t="n">
        <x:v>2892</x:v>
      </x:c>
      <x:c r="R838" s="55" t="n">
        <x:v>1654</x:v>
      </x:c>
      <x:c r="S838" s="55" t="n">
        <x:v>3114</x:v>
      </x:c>
      <x:c r="T838" s="55" t="n">
        <x:v>1003</x:v>
      </x:c>
      <x:c r="U838" s="55" t="n">
        <x:v>2332</x:v>
      </x:c>
      <x:c r="V838" s="55" t="n">
        <x:v>10441</x:v>
      </x:c>
      <x:c r="W838" s="55" t="n">
        <x:v>7690</x:v>
      </x:c>
      <x:c r="X838" s="55" t="n">
        <x:v>2751</x:v>
      </x:c>
      <x:c r="Y838" s="55" t="n">
        <x:v>2307</x:v>
      </x:c>
      <x:c r="Z838" s="55" t="n">
        <x:v>3431</x:v>
      </x:c>
      <x:c r="AA838" s="55" t="n">
        <x:v>2923</x:v>
      </x:c>
      <x:c r="AB838" s="55" t="n">
        <x:v>971</x:v>
      </x:c>
      <x:c r="AC838" s="55" t="n">
        <x:v>7573</x:v>
      </x:c>
      <x:c r="AD838" s="55" t="n">
        <x:v>2689</x:v>
      </x:c>
      <x:c r="AE838" s="55" t="n">
        <x:v>10461</x:v>
      </x:c>
      <x:c r="AF838" s="55" t="n">
        <x:v>10441</x:v>
      </x:c>
      <x:c r="AG838" s="55" t="n">
        <x:v>20</x:v>
      </x:c>
      <x:c r="AH838" s="55" t="n">
        <x:v>434</x:v>
      </x:c>
      <x:c r="AI838" s="55" t="n">
        <x:v>10007</x:v>
      </x:c>
      <x:c r="AJ838" s="55" t="n">
        <x:v>183</x:v>
      </x:c>
      <x:c r="AK838" s="55" t="n">
        <x:v>1133</x:v>
      </x:c>
      <x:c r="AL838" s="55" t="n">
        <x:v>1591</x:v>
      </x:c>
      <x:c r="AM838" s="55" t="n">
        <x:v>5331</x:v>
      </x:c>
      <x:c r="AN838" s="55" t="n">
        <x:v>2203</x:v>
      </x:c>
      <x:c r="AO838" s="55" t="n">
        <x:v>0</x:v>
      </x:c>
      <x:c r="AP838" s="55" t="n">
        <x:v>2386</x:v>
      </x:c>
      <x:c r="AQ838" s="55" t="n">
        <x:v>953</x:v>
      </x:c>
    </x:row>
    <x:row r="839">
      <x:c r="A839" s="54" t="str">
        <x:v>T1_SHARED_CATCHMENT</x:v>
      </x:c>
      <x:c r="B839" s="54" t="n">
        <x:v>833</x:v>
      </x:c>
      <x:c r="C839" s="54" t="str">
        <x:v>NYC-V2-R01</x:v>
      </x:c>
      <x:c r="D839" s="54" t="str">
        <x:v>V2</x:v>
      </x:c>
      <x:c r="E839" s="54" t="str">
        <x:v>ADMITTED</x:v>
      </x:c>
      <x:c r="F839" s="55" t="n">
        <x:v>32312</x:v>
      </x:c>
      <x:c r="G839" s="55" t="n">
        <x:v>6647</x:v>
      </x:c>
      <x:c r="H839" s="55" t="n">
        <x:v>3757</x:v>
      </x:c>
      <x:c r="I839" s="55" t="n">
        <x:v>1785</x:v>
      </x:c>
      <x:c r="J839" s="55" t="n">
        <x:v>375</x:v>
      </x:c>
      <x:c r="K839" s="55" t="n">
        <x:v>32312</x:v>
      </x:c>
      <x:c r="L839" s="55" t="n">
        <x:v>7082</x:v>
      </x:c>
      <x:c r="M839" s="55" t="n">
        <x:v>2300</x:v>
      </x:c>
      <x:c r="N839" s="55" t="n">
        <x:v>2841</x:v>
      </x:c>
      <x:c r="O839" s="55" t="n">
        <x:v>1941</x:v>
      </x:c>
      <x:c r="P839" s="55" t="n">
        <x:v>703</x:v>
      </x:c>
      <x:c r="Q839" s="55" t="n">
        <x:v>2737</x:v>
      </x:c>
      <x:c r="R839" s="55" t="n">
        <x:v>2229</x:v>
      </x:c>
      <x:c r="S839" s="55" t="n">
        <x:v>2798</x:v>
      </x:c>
      <x:c r="T839" s="55" t="n">
        <x:v>1390</x:v>
      </x:c>
      <x:c r="U839" s="55" t="n">
        <x:v>1895</x:v>
      </x:c>
      <x:c r="V839" s="55" t="n">
        <x:v>10499</x:v>
      </x:c>
      <x:c r="W839" s="55" t="n">
        <x:v>7512</x:v>
      </x:c>
      <x:c r="X839" s="55" t="n">
        <x:v>2987</x:v>
      </x:c>
      <x:c r="Y839" s="55" t="n">
        <x:v>2658</x:v>
      </x:c>
      <x:c r="Z839" s="55" t="n">
        <x:v>4122</x:v>
      </x:c>
      <x:c r="AA839" s="55" t="n">
        <x:v>3373</x:v>
      </x:c>
      <x:c r="AB839" s="55" t="n">
        <x:v>1386</x:v>
      </x:c>
      <x:c r="AC839" s="55" t="n">
        <x:v>8838</x:v>
      </x:c>
      <x:c r="AD839" s="55" t="n">
        <x:v>2985</x:v>
      </x:c>
      <x:c r="AE839" s="55" t="n">
        <x:v>10642</x:v>
      </x:c>
      <x:c r="AF839" s="55" t="n">
        <x:v>10499</x:v>
      </x:c>
      <x:c r="AG839" s="55" t="n">
        <x:v>143</x:v>
      </x:c>
      <x:c r="AH839" s="55" t="n">
        <x:v>626</x:v>
      </x:c>
      <x:c r="AI839" s="55" t="n">
        <x:v>9873</x:v>
      </x:c>
      <x:c r="AJ839" s="55" t="n">
        <x:v>271</x:v>
      </x:c>
      <x:c r="AK839" s="55" t="n">
        <x:v>1109</x:v>
      </x:c>
      <x:c r="AL839" s="55" t="n">
        <x:v>2111</x:v>
      </x:c>
      <x:c r="AM839" s="55" t="n">
        <x:v>4275</x:v>
      </x:c>
      <x:c r="AN839" s="55" t="n">
        <x:v>2733</x:v>
      </x:c>
      <x:c r="AO839" s="55" t="n">
        <x:v>0</x:v>
      </x:c>
      <x:c r="AP839" s="55" t="n">
        <x:v>2435</x:v>
      </x:c>
      <x:c r="AQ839" s="55" t="n">
        <x:v>997</x:v>
      </x:c>
    </x:row>
    <x:row r="840">
      <x:c r="A840" s="54" t="str">
        <x:v>T1_SHARED_CATCHMENT</x:v>
      </x:c>
      <x:c r="B840" s="54" t="n">
        <x:v>834</x:v>
      </x:c>
      <x:c r="C840" s="54" t="str">
        <x:v>NYC-V2-R01</x:v>
      </x:c>
      <x:c r="D840" s="54" t="str">
        <x:v>V2</x:v>
      </x:c>
      <x:c r="E840" s="54" t="str">
        <x:v>ADMITTED</x:v>
      </x:c>
      <x:c r="F840" s="55" t="n">
        <x:v>34564</x:v>
      </x:c>
      <x:c r="G840" s="55" t="n">
        <x:v>8724</x:v>
      </x:c>
      <x:c r="H840" s="55" t="n">
        <x:v>3763</x:v>
      </x:c>
      <x:c r="I840" s="55" t="n">
        <x:v>1298</x:v>
      </x:c>
      <x:c r="J840" s="55" t="n">
        <x:v>411</x:v>
      </x:c>
      <x:c r="K840" s="55" t="n">
        <x:v>29256</x:v>
      </x:c>
      <x:c r="L840" s="55" t="n">
        <x:v>7134</x:v>
      </x:c>
      <x:c r="M840" s="55" t="n">
        <x:v>2099</x:v>
      </x:c>
      <x:c r="N840" s="55" t="n">
        <x:v>3280</x:v>
      </x:c>
      <x:c r="O840" s="55" t="n">
        <x:v>1755</x:v>
      </x:c>
      <x:c r="P840" s="55" t="n">
        <x:v>792</x:v>
      </x:c>
      <x:c r="Q840" s="55" t="n">
        <x:v>2935</x:v>
      </x:c>
      <x:c r="R840" s="55" t="n">
        <x:v>2161</x:v>
      </x:c>
      <x:c r="S840" s="55" t="n">
        <x:v>2640</x:v>
      </x:c>
      <x:c r="T840" s="55" t="n">
        <x:v>1355</x:v>
      </x:c>
      <x:c r="U840" s="55" t="n">
        <x:v>2271</x:v>
      </x:c>
      <x:c r="V840" s="55" t="n">
        <x:v>10135</x:v>
      </x:c>
      <x:c r="W840" s="55" t="n">
        <x:v>6635</x:v>
      </x:c>
      <x:c r="X840" s="55" t="n">
        <x:v>3500</x:v>
      </x:c>
      <x:c r="Y840" s="55" t="n">
        <x:v>3052</x:v>
      </x:c>
      <x:c r="Z840" s="55" t="n">
        <x:v>3270</x:v>
      </x:c>
      <x:c r="AA840" s="55" t="n">
        <x:v>3763</x:v>
      </x:c>
      <x:c r="AB840" s="55" t="n">
        <x:v>1526</x:v>
      </x:c>
      <x:c r="AC840" s="55" t="n">
        <x:v>7389</x:v>
      </x:c>
      <x:c r="AD840" s="55" t="n">
        <x:v>2364</x:v>
      </x:c>
      <x:c r="AE840" s="55" t="n">
        <x:v>10233</x:v>
      </x:c>
      <x:c r="AF840" s="55" t="n">
        <x:v>10135</x:v>
      </x:c>
      <x:c r="AG840" s="55" t="n">
        <x:v>98</x:v>
      </x:c>
      <x:c r="AH840" s="55" t="n">
        <x:v>368</x:v>
      </x:c>
      <x:c r="AI840" s="55" t="n">
        <x:v>9767</x:v>
      </x:c>
      <x:c r="AJ840" s="55" t="n">
        <x:v>421</x:v>
      </x:c>
      <x:c r="AK840" s="55" t="n">
        <x:v>812</x:v>
      </x:c>
      <x:c r="AL840" s="55" t="n">
        <x:v>1481</x:v>
      </x:c>
      <x:c r="AM840" s="55" t="n">
        <x:v>4888</x:v>
      </x:c>
      <x:c r="AN840" s="55" t="n">
        <x:v>2496</x:v>
      </x:c>
      <x:c r="AO840" s="55" t="n">
        <x:v>37</x:v>
      </x:c>
      <x:c r="AP840" s="55" t="n">
        <x:v>2335</x:v>
      </x:c>
      <x:c r="AQ840" s="55" t="n">
        <x:v>949</x:v>
      </x:c>
    </x:row>
    <x:row r="841">
      <x:c r="A841" s="54" t="str">
        <x:v>T1_SHARED_CATCHMENT</x:v>
      </x:c>
      <x:c r="B841" s="54" t="n">
        <x:v>835</x:v>
      </x:c>
      <x:c r="C841" s="54" t="str">
        <x:v>NYC-V2-R01</x:v>
      </x:c>
      <x:c r="D841" s="54" t="str">
        <x:v>V2</x:v>
      </x:c>
      <x:c r="E841" s="54" t="str">
        <x:v>ADMITTED</x:v>
      </x:c>
      <x:c r="F841" s="55" t="n">
        <x:v>33127</x:v>
      </x:c>
      <x:c r="G841" s="55" t="n">
        <x:v>8585</x:v>
      </x:c>
      <x:c r="H841" s="55" t="n">
        <x:v>3631</x:v>
      </x:c>
      <x:c r="I841" s="55" t="n">
        <x:v>1465</x:v>
      </x:c>
      <x:c r="J841" s="55" t="n">
        <x:v>413</x:v>
      </x:c>
      <x:c r="K841" s="55" t="n">
        <x:v>33127</x:v>
      </x:c>
      <x:c r="L841" s="55" t="n">
        <x:v>6504</x:v>
      </x:c>
      <x:c r="M841" s="55" t="n">
        <x:v>2197</x:v>
      </x:c>
      <x:c r="N841" s="55" t="n">
        <x:v>2795</x:v>
      </x:c>
      <x:c r="O841" s="55" t="n">
        <x:v>1512</x:v>
      </x:c>
      <x:c r="P841" s="55" t="n">
        <x:v>803</x:v>
      </x:c>
      <x:c r="Q841" s="55" t="n">
        <x:v>2728</x:v>
      </x:c>
      <x:c r="R841" s="55" t="n">
        <x:v>1580</x:v>
      </x:c>
      <x:c r="S841" s="55" t="n">
        <x:v>2547</x:v>
      </x:c>
      <x:c r="T841" s="55" t="n">
        <x:v>1159</x:v>
      </x:c>
      <x:c r="U841" s="55" t="n">
        <x:v>2106</x:v>
      </x:c>
      <x:c r="V841" s="55" t="n">
        <x:v>10545</x:v>
      </x:c>
      <x:c r="W841" s="55" t="n">
        <x:v>7102</x:v>
      </x:c>
      <x:c r="X841" s="55" t="n">
        <x:v>3443</x:v>
      </x:c>
      <x:c r="Y841" s="55" t="n">
        <x:v>2939</x:v>
      </x:c>
      <x:c r="Z841" s="55" t="n">
        <x:v>3127</x:v>
      </x:c>
      <x:c r="AA841" s="55" t="n">
        <x:v>3631</x:v>
      </x:c>
      <x:c r="AB841" s="55" t="n">
        <x:v>1270</x:v>
      </x:c>
      <x:c r="AC841" s="55" t="n">
        <x:v>8329</x:v>
      </x:c>
      <x:c r="AD841" s="55" t="n">
        <x:v>3351</x:v>
      </x:c>
      <x:c r="AE841" s="55" t="n">
        <x:v>10596</x:v>
      </x:c>
      <x:c r="AF841" s="55" t="n">
        <x:v>10545</x:v>
      </x:c>
      <x:c r="AG841" s="55" t="n">
        <x:v>51</x:v>
      </x:c>
      <x:c r="AH841" s="55" t="n">
        <x:v>468</x:v>
      </x:c>
      <x:c r="AI841" s="55" t="n">
        <x:v>10077</x:v>
      </x:c>
      <x:c r="AJ841" s="55" t="n">
        <x:v>362</x:v>
      </x:c>
      <x:c r="AK841" s="55" t="n">
        <x:v>1042</x:v>
      </x:c>
      <x:c r="AL841" s="55" t="n">
        <x:v>1708</x:v>
      </x:c>
      <x:c r="AM841" s="55" t="n">
        <x:v>4706</x:v>
      </x:c>
      <x:c r="AN841" s="55" t="n">
        <x:v>2672</x:v>
      </x:c>
      <x:c r="AO841" s="55" t="n">
        <x:v>55</x:v>
      </x:c>
      <x:c r="AP841" s="55" t="n">
        <x:v>2027</x:v>
      </x:c>
      <x:c r="AQ841" s="55" t="n">
        <x:v>942</x:v>
      </x:c>
    </x:row>
    <x:row r="842">
      <x:c r="A842" s="54" t="str">
        <x:v>T1_SHARED_CATCHMENT</x:v>
      </x:c>
      <x:c r="B842" s="54" t="n">
        <x:v>836</x:v>
      </x:c>
      <x:c r="C842" s="54" t="str">
        <x:v>NYC-V2-R01</x:v>
      </x:c>
      <x:c r="D842" s="54" t="str">
        <x:v>V2</x:v>
      </x:c>
      <x:c r="E842" s="54" t="str">
        <x:v>ADMITTED</x:v>
      </x:c>
      <x:c r="F842" s="55" t="n">
        <x:v>30752</x:v>
      </x:c>
      <x:c r="G842" s="55" t="n">
        <x:v>6873</x:v>
      </x:c>
      <x:c r="H842" s="55" t="n">
        <x:v>3626</x:v>
      </x:c>
      <x:c r="I842" s="55" t="n">
        <x:v>1298</x:v>
      </x:c>
      <x:c r="J842" s="55" t="n">
        <x:v>207</x:v>
      </x:c>
      <x:c r="K842" s="55" t="n">
        <x:v>30752</x:v>
      </x:c>
      <x:c r="L842" s="55" t="n">
        <x:v>5461</x:v>
      </x:c>
      <x:c r="M842" s="55" t="n">
        <x:v>1238</x:v>
      </x:c>
      <x:c r="N842" s="55" t="n">
        <x:v>2467</x:v>
      </x:c>
      <x:c r="O842" s="55" t="n">
        <x:v>1756</x:v>
      </x:c>
      <x:c r="P842" s="55" t="n">
        <x:v>917</x:v>
      </x:c>
      <x:c r="Q842" s="55" t="n">
        <x:v>2473</x:v>
      </x:c>
      <x:c r="R842" s="55" t="n">
        <x:v>2366</x:v>
      </x:c>
      <x:c r="S842" s="55" t="n">
        <x:v>2571</x:v>
      </x:c>
      <x:c r="T842" s="55" t="n">
        <x:v>1322</x:v>
      </x:c>
      <x:c r="U842" s="55" t="n">
        <x:v>1321</x:v>
      </x:c>
      <x:c r="V842" s="55" t="n">
        <x:v>10410</x:v>
      </x:c>
      <x:c r="W842" s="55" t="n">
        <x:v>7567</x:v>
      </x:c>
      <x:c r="X842" s="55" t="n">
        <x:v>2843</x:v>
      </x:c>
      <x:c r="Y842" s="55" t="n">
        <x:v>2524</x:v>
      </x:c>
      <x:c r="Z842" s="55" t="n">
        <x:v>3717</x:v>
      </x:c>
      <x:c r="AA842" s="55" t="n">
        <x:v>3626</x:v>
      </x:c>
      <x:c r="AB842" s="55" t="n">
        <x:v>1342</x:v>
      </x:c>
      <x:c r="AC842" s="55" t="n">
        <x:v>7974</x:v>
      </x:c>
      <x:c r="AD842" s="55" t="n">
        <x:v>3187</x:v>
      </x:c>
      <x:c r="AE842" s="55" t="n">
        <x:v>10492</x:v>
      </x:c>
      <x:c r="AF842" s="55" t="n">
        <x:v>10410</x:v>
      </x:c>
      <x:c r="AG842" s="55" t="n">
        <x:v>82</x:v>
      </x:c>
      <x:c r="AH842" s="55" t="n">
        <x:v>377</x:v>
      </x:c>
      <x:c r="AI842" s="55" t="n">
        <x:v>10033</x:v>
      </x:c>
      <x:c r="AJ842" s="55" t="n">
        <x:v>362</x:v>
      </x:c>
      <x:c r="AK842" s="55" t="n">
        <x:v>548</x:v>
      </x:c>
      <x:c r="AL842" s="55" t="n">
        <x:v>1658</x:v>
      </x:c>
      <x:c r="AM842" s="55" t="n">
        <x:v>4501</x:v>
      </x:c>
      <x:c r="AN842" s="55" t="n">
        <x:v>3341</x:v>
      </x:c>
      <x:c r="AO842" s="55" t="n">
        <x:v>0</x:v>
      </x:c>
      <x:c r="AP842" s="55" t="n">
        <x:v>2892</x:v>
      </x:c>
      <x:c r="AQ842" s="55" t="n">
        <x:v>924</x:v>
      </x:c>
    </x:row>
    <x:row r="843">
      <x:c r="A843" s="54" t="str">
        <x:v>T1_SHARED_CATCHMENT</x:v>
      </x:c>
      <x:c r="B843" s="54" t="n">
        <x:v>837</x:v>
      </x:c>
      <x:c r="C843" s="54" t="str">
        <x:v>NYC-V2-R01</x:v>
      </x:c>
      <x:c r="D843" s="54" t="str">
        <x:v>V2</x:v>
      </x:c>
      <x:c r="E843" s="54" t="str">
        <x:v>ADMITTED</x:v>
      </x:c>
      <x:c r="F843" s="55" t="n">
        <x:v>30468</x:v>
      </x:c>
      <x:c r="G843" s="55" t="n">
        <x:v>7643</x:v>
      </x:c>
      <x:c r="H843" s="55" t="n">
        <x:v>3076</x:v>
      </x:c>
      <x:c r="I843" s="55" t="n">
        <x:v>1131</x:v>
      </x:c>
      <x:c r="J843" s="55" t="n">
        <x:v>82</x:v>
      </x:c>
      <x:c r="K843" s="55" t="n">
        <x:v>27494</x:v>
      </x:c>
      <x:c r="L843" s="55" t="n">
        <x:v>5282</x:v>
      </x:c>
      <x:c r="M843" s="55" t="n">
        <x:v>841</x:v>
      </x:c>
      <x:c r="N843" s="55" t="n">
        <x:v>3126</x:v>
      </x:c>
      <x:c r="O843" s="55" t="n">
        <x:v>1315</x:v>
      </x:c>
      <x:c r="P843" s="55" t="n">
        <x:v>625</x:v>
      </x:c>
      <x:c r="Q843" s="55" t="n">
        <x:v>2060</x:v>
      </x:c>
      <x:c r="R843" s="55" t="n">
        <x:v>1806</x:v>
      </x:c>
      <x:c r="S843" s="55" t="n">
        <x:v>2991</x:v>
      </x:c>
      <x:c r="T843" s="55" t="n">
        <x:v>1078</x:v>
      </x:c>
      <x:c r="U843" s="55" t="n">
        <x:v>1990</x:v>
      </x:c>
      <x:c r="V843" s="55" t="n">
        <x:v>10380</x:v>
      </x:c>
      <x:c r="W843" s="55" t="n">
        <x:v>7521</x:v>
      </x:c>
      <x:c r="X843" s="55" t="n">
        <x:v>2859</x:v>
      </x:c>
      <x:c r="Y843" s="55" t="n">
        <x:v>2260</x:v>
      </x:c>
      <x:c r="Z843" s="55" t="n">
        <x:v>3449</x:v>
      </x:c>
      <x:c r="AA843" s="55" t="n">
        <x:v>2977</x:v>
      </x:c>
      <x:c r="AB843" s="55" t="n">
        <x:v>1033</x:v>
      </x:c>
      <x:c r="AC843" s="55" t="n">
        <x:v>8239</x:v>
      </x:c>
      <x:c r="AD843" s="55" t="n">
        <x:v>2695</x:v>
      </x:c>
      <x:c r="AE843" s="55" t="n">
        <x:v>10439</x:v>
      </x:c>
      <x:c r="AF843" s="55" t="n">
        <x:v>10380</x:v>
      </x:c>
      <x:c r="AG843" s="55" t="n">
        <x:v>59</x:v>
      </x:c>
      <x:c r="AH843" s="55" t="n">
        <x:v>440</x:v>
      </x:c>
      <x:c r="AI843" s="55" t="n">
        <x:v>9940</x:v>
      </x:c>
      <x:c r="AJ843" s="55" t="n">
        <x:v>335</x:v>
      </x:c>
      <x:c r="AK843" s="55" t="n">
        <x:v>832</x:v>
      </x:c>
      <x:c r="AL843" s="55" t="n">
        <x:v>1668</x:v>
      </x:c>
      <x:c r="AM843" s="55" t="n">
        <x:v>5018</x:v>
      </x:c>
      <x:c r="AN843" s="55" t="n">
        <x:v>2460</x:v>
      </x:c>
      <x:c r="AO843" s="55" t="n">
        <x:v>67</x:v>
      </x:c>
      <x:c r="AP843" s="55" t="n">
        <x:v>2320</x:v>
      </x:c>
      <x:c r="AQ843" s="55" t="n">
        <x:v>934</x:v>
      </x:c>
    </x:row>
    <x:row r="844">
      <x:c r="A844" s="54" t="str">
        <x:v>T1_SHARED_CATCHMENT</x:v>
      </x:c>
      <x:c r="B844" s="54" t="n">
        <x:v>838</x:v>
      </x:c>
      <x:c r="C844" s="54" t="str">
        <x:v>NYC-V2-R01</x:v>
      </x:c>
      <x:c r="D844" s="54" t="str">
        <x:v>V2</x:v>
      </x:c>
      <x:c r="E844" s="54" t="str">
        <x:v>ADMITTED</x:v>
      </x:c>
      <x:c r="F844" s="55" t="n">
        <x:v>35222</x:v>
      </x:c>
      <x:c r="G844" s="55" t="n">
        <x:v>6378</x:v>
      </x:c>
      <x:c r="H844" s="55" t="n">
        <x:v>3785</x:v>
      </x:c>
      <x:c r="I844" s="55" t="n">
        <x:v>1640</x:v>
      </x:c>
      <x:c r="J844" s="55" t="n">
        <x:v>258</x:v>
      </x:c>
      <x:c r="K844" s="55" t="n">
        <x:v>35222</x:v>
      </x:c>
      <x:c r="L844" s="55" t="n">
        <x:v>6356</x:v>
      </x:c>
      <x:c r="M844" s="55" t="n">
        <x:v>1418</x:v>
      </x:c>
      <x:c r="N844" s="55" t="n">
        <x:v>3071</x:v>
      </x:c>
      <x:c r="O844" s="55" t="n">
        <x:v>1867</x:v>
      </x:c>
      <x:c r="P844" s="55" t="n">
        <x:v>1251</x:v>
      </x:c>
      <x:c r="Q844" s="55" t="n">
        <x:v>2409</x:v>
      </x:c>
      <x:c r="R844" s="55" t="n">
        <x:v>1716</x:v>
      </x:c>
      <x:c r="S844" s="55" t="n">
        <x:v>2642</x:v>
      </x:c>
      <x:c r="T844" s="55" t="n">
        <x:v>1407</x:v>
      </x:c>
      <x:c r="U844" s="55" t="n">
        <x:v>2188</x:v>
      </x:c>
      <x:c r="V844" s="55" t="n">
        <x:v>10166</x:v>
      </x:c>
      <x:c r="W844" s="55" t="n">
        <x:v>7252</x:v>
      </x:c>
      <x:c r="X844" s="55" t="n">
        <x:v>2914</x:v>
      </x:c>
      <x:c r="Y844" s="55" t="n">
        <x:v>2487</x:v>
      </x:c>
      <x:c r="Z844" s="55" t="n">
        <x:v>3882</x:v>
      </x:c>
      <x:c r="AA844" s="55" t="n">
        <x:v>2769</x:v>
      </x:c>
      <x:c r="AB844" s="55" t="n">
        <x:v>906</x:v>
      </x:c>
      <x:c r="AC844" s="55" t="n">
        <x:v>7588</x:v>
      </x:c>
      <x:c r="AD844" s="55" t="n">
        <x:v>2560</x:v>
      </x:c>
      <x:c r="AE844" s="55" t="n">
        <x:v>10280</x:v>
      </x:c>
      <x:c r="AF844" s="55" t="n">
        <x:v>10166</x:v>
      </x:c>
      <x:c r="AG844" s="55" t="n">
        <x:v>114</x:v>
      </x:c>
      <x:c r="AH844" s="55" t="n">
        <x:v>333</x:v>
      </x:c>
      <x:c r="AI844" s="55" t="n">
        <x:v>9833</x:v>
      </x:c>
      <x:c r="AJ844" s="55" t="n">
        <x:v>208</x:v>
      </x:c>
      <x:c r="AK844" s="55" t="n">
        <x:v>924</x:v>
      </x:c>
      <x:c r="AL844" s="55" t="n">
        <x:v>1180</x:v>
      </x:c>
      <x:c r="AM844" s="55" t="n">
        <x:v>4755</x:v>
      </x:c>
      <x:c r="AN844" s="55" t="n">
        <x:v>3099</x:v>
      </x:c>
      <x:c r="AO844" s="55" t="n">
        <x:v>0</x:v>
      </x:c>
      <x:c r="AP844" s="55" t="n">
        <x:v>2234</x:v>
      </x:c>
      <x:c r="AQ844" s="55" t="n">
        <x:v>1016</x:v>
      </x:c>
    </x:row>
    <x:row r="845">
      <x:c r="A845" s="54" t="str">
        <x:v>T1_SHARED_CATCHMENT</x:v>
      </x:c>
      <x:c r="B845" s="54" t="n">
        <x:v>839</x:v>
      </x:c>
      <x:c r="C845" s="54" t="str">
        <x:v>NYC-V2-R01</x:v>
      </x:c>
      <x:c r="D845" s="54" t="str">
        <x:v>V2</x:v>
      </x:c>
      <x:c r="E845" s="54" t="str">
        <x:v>ADMITTED</x:v>
      </x:c>
      <x:c r="F845" s="55" t="n">
        <x:v>30824</x:v>
      </x:c>
      <x:c r="G845" s="55" t="n">
        <x:v>7321</x:v>
      </x:c>
      <x:c r="H845" s="55" t="n">
        <x:v>2834</x:v>
      </x:c>
      <x:c r="I845" s="55" t="n">
        <x:v>557</x:v>
      </x:c>
      <x:c r="J845" s="55" t="n">
        <x:v>47</x:v>
      </x:c>
      <x:c r="K845" s="55" t="n">
        <x:v>30824</x:v>
      </x:c>
      <x:c r="L845" s="55" t="n">
        <x:v>5564</x:v>
      </x:c>
      <x:c r="M845" s="55" t="n">
        <x:v>1748</x:v>
      </x:c>
      <x:c r="N845" s="55" t="n">
        <x:v>2219</x:v>
      </x:c>
      <x:c r="O845" s="55" t="n">
        <x:v>1597</x:v>
      </x:c>
      <x:c r="P845" s="55" t="n">
        <x:v>810</x:v>
      </x:c>
      <x:c r="Q845" s="55" t="n">
        <x:v>2348</x:v>
      </x:c>
      <x:c r="R845" s="55" t="n">
        <x:v>1375</x:v>
      </x:c>
      <x:c r="S845" s="55" t="n">
        <x:v>2751</x:v>
      </x:c>
      <x:c r="T845" s="55" t="n">
        <x:v>1233</x:v>
      </x:c>
      <x:c r="U845" s="55" t="n">
        <x:v>2088</x:v>
      </x:c>
      <x:c r="V845" s="55" t="n">
        <x:v>10436</x:v>
      </x:c>
      <x:c r="W845" s="55" t="n">
        <x:v>7770</x:v>
      </x:c>
      <x:c r="X845" s="55" t="n">
        <x:v>2666</x:v>
      </x:c>
      <x:c r="Y845" s="55" t="n">
        <x:v>2299</x:v>
      </x:c>
      <x:c r="Z845" s="55" t="n">
        <x:v>3602</x:v>
      </x:c>
      <x:c r="AA845" s="55" t="n">
        <x:v>2813</x:v>
      </x:c>
      <x:c r="AB845" s="55" t="n">
        <x:v>861</x:v>
      </x:c>
      <x:c r="AC845" s="55" t="n">
        <x:v>7717</x:v>
      </x:c>
      <x:c r="AD845" s="55" t="n">
        <x:v>3123</x:v>
      </x:c>
      <x:c r="AE845" s="55" t="n">
        <x:v>10464</x:v>
      </x:c>
      <x:c r="AF845" s="55" t="n">
        <x:v>10436</x:v>
      </x:c>
      <x:c r="AG845" s="55" t="n">
        <x:v>28</x:v>
      </x:c>
      <x:c r="AH845" s="55" t="n">
        <x:v>321</x:v>
      </x:c>
      <x:c r="AI845" s="55" t="n">
        <x:v>10115</x:v>
      </x:c>
      <x:c r="AJ845" s="55" t="n">
        <x:v>176</x:v>
      </x:c>
      <x:c r="AK845" s="55" t="n">
        <x:v>1173</x:v>
      </x:c>
      <x:c r="AL845" s="55" t="n">
        <x:v>1365</x:v>
      </x:c>
      <x:c r="AM845" s="55" t="n">
        <x:v>5268</x:v>
      </x:c>
      <x:c r="AN845" s="55" t="n">
        <x:v>2454</x:v>
      </x:c>
      <x:c r="AO845" s="55" t="n">
        <x:v>0</x:v>
      </x:c>
      <x:c r="AP845" s="55" t="n">
        <x:v>2209</x:v>
      </x:c>
      <x:c r="AQ845" s="55" t="n">
        <x:v>940</x:v>
      </x:c>
    </x:row>
    <x:row r="846">
      <x:c r="A846" s="54" t="str">
        <x:v>T1_SHARED_CATCHMENT</x:v>
      </x:c>
      <x:c r="B846" s="54" t="n">
        <x:v>840</x:v>
      </x:c>
      <x:c r="C846" s="54" t="str">
        <x:v>NYC-V2-R01</x:v>
      </x:c>
      <x:c r="D846" s="54" t="str">
        <x:v>V2</x:v>
      </x:c>
      <x:c r="E846" s="54" t="str">
        <x:v>ADMITTED</x:v>
      </x:c>
      <x:c r="F846" s="55" t="n">
        <x:v>30015</x:v>
      </x:c>
      <x:c r="G846" s="55" t="n">
        <x:v>7562</x:v>
      </x:c>
      <x:c r="H846" s="55" t="n">
        <x:v>3162</x:v>
      </x:c>
      <x:c r="I846" s="55" t="n">
        <x:v>1440</x:v>
      </x:c>
      <x:c r="J846" s="55" t="n">
        <x:v>379</x:v>
      </x:c>
      <x:c r="K846" s="55" t="n">
        <x:v>30015</x:v>
      </x:c>
      <x:c r="L846" s="55" t="n">
        <x:v>6316</x:v>
      </x:c>
      <x:c r="M846" s="55" t="n">
        <x:v>1885</x:v>
      </x:c>
      <x:c r="N846" s="55" t="n">
        <x:v>2737</x:v>
      </x:c>
      <x:c r="O846" s="55" t="n">
        <x:v>1694</x:v>
      </x:c>
      <x:c r="P846" s="55" t="n">
        <x:v>914</x:v>
      </x:c>
      <x:c r="Q846" s="55" t="n">
        <x:v>2733</x:v>
      </x:c>
      <x:c r="R846" s="55" t="n">
        <x:v>2068</x:v>
      </x:c>
      <x:c r="S846" s="55" t="n">
        <x:v>2803</x:v>
      </x:c>
      <x:c r="T846" s="55" t="n">
        <x:v>1568</x:v>
      </x:c>
      <x:c r="U846" s="55" t="n">
        <x:v>2711</x:v>
      </x:c>
      <x:c r="V846" s="55" t="n">
        <x:v>10952</x:v>
      </x:c>
      <x:c r="W846" s="55" t="n">
        <x:v>7535</x:v>
      </x:c>
      <x:c r="X846" s="55" t="n">
        <x:v>3417</x:v>
      </x:c>
      <x:c r="Y846" s="55" t="n">
        <x:v>2907</x:v>
      </x:c>
      <x:c r="Z846" s="55" t="n">
        <x:v>4152</x:v>
      </x:c>
      <x:c r="AA846" s="55" t="n">
        <x:v>2864</x:v>
      </x:c>
      <x:c r="AB846" s="55" t="n">
        <x:v>1116</x:v>
      </x:c>
      <x:c r="AC846" s="55" t="n">
        <x:v>8441</x:v>
      </x:c>
      <x:c r="AD846" s="55" t="n">
        <x:v>3220</x:v>
      </x:c>
      <x:c r="AE846" s="55" t="n">
        <x:v>11095</x:v>
      </x:c>
      <x:c r="AF846" s="55" t="n">
        <x:v>10952</x:v>
      </x:c>
      <x:c r="AG846" s="55" t="n">
        <x:v>143</x:v>
      </x:c>
      <x:c r="AH846" s="55" t="n">
        <x:v>628</x:v>
      </x:c>
      <x:c r="AI846" s="55" t="n">
        <x:v>10324</x:v>
      </x:c>
      <x:c r="AJ846" s="55" t="n">
        <x:v>202</x:v>
      </x:c>
      <x:c r="AK846" s="55" t="n">
        <x:v>1216</x:v>
      </x:c>
      <x:c r="AL846" s="55" t="n">
        <x:v>1310</x:v>
      </x:c>
      <x:c r="AM846" s="55" t="n">
        <x:v>5378</x:v>
      </x:c>
      <x:c r="AN846" s="55" t="n">
        <x:v>2767</x:v>
      </x:c>
      <x:c r="AO846" s="55" t="n">
        <x:v>79</x:v>
      </x:c>
      <x:c r="AP846" s="55" t="n">
        <x:v>2327</x:v>
      </x:c>
      <x:c r="AQ846" s="55" t="n">
        <x:v>995</x:v>
      </x:c>
    </x:row>
    <x:row r="847">
      <x:c r="A847" s="54" t="str">
        <x:v>T1_SHARED_CATCHMENT</x:v>
      </x:c>
      <x:c r="B847" s="54" t="n">
        <x:v>841</x:v>
      </x:c>
      <x:c r="C847" s="54" t="str">
        <x:v>NYC-V2-R01</x:v>
      </x:c>
      <x:c r="D847" s="54" t="str">
        <x:v>V2</x:v>
      </x:c>
      <x:c r="E847" s="54" t="str">
        <x:v>ADMITTED</x:v>
      </x:c>
      <x:c r="F847" s="55" t="n">
        <x:v>30119</x:v>
      </x:c>
      <x:c r="G847" s="55" t="n">
        <x:v>7793</x:v>
      </x:c>
      <x:c r="H847" s="55" t="n">
        <x:v>3578</x:v>
      </x:c>
      <x:c r="I847" s="55" t="n">
        <x:v>1075</x:v>
      </x:c>
      <x:c r="J847" s="55" t="n">
        <x:v>350</x:v>
      </x:c>
      <x:c r="K847" s="55" t="n">
        <x:v>29731</x:v>
      </x:c>
      <x:c r="L847" s="55" t="n">
        <x:v>5944</x:v>
      </x:c>
      <x:c r="M847" s="55" t="n">
        <x:v>1552</x:v>
      </x:c>
      <x:c r="N847" s="55" t="n">
        <x:v>2389</x:v>
      </x:c>
      <x:c r="O847" s="55" t="n">
        <x:v>2003</x:v>
      </x:c>
      <x:c r="P847" s="55" t="n">
        <x:v>597</x:v>
      </x:c>
      <x:c r="Q847" s="55" t="n">
        <x:v>3204</x:v>
      </x:c>
      <x:c r="R847" s="55" t="n">
        <x:v>1579</x:v>
      </x:c>
      <x:c r="S847" s="55" t="n">
        <x:v>2784</x:v>
      </x:c>
      <x:c r="T847" s="55" t="n">
        <x:v>925</x:v>
      </x:c>
      <x:c r="U847" s="55" t="n">
        <x:v>1923</x:v>
      </x:c>
      <x:c r="V847" s="55" t="n">
        <x:v>10212</x:v>
      </x:c>
      <x:c r="W847" s="55" t="n">
        <x:v>7170</x:v>
      </x:c>
      <x:c r="X847" s="55" t="n">
        <x:v>3042</x:v>
      </x:c>
      <x:c r="Y847" s="55" t="n">
        <x:v>2666</x:v>
      </x:c>
      <x:c r="Z847" s="55" t="n">
        <x:v>3360</x:v>
      </x:c>
      <x:c r="AA847" s="55" t="n">
        <x:v>3578</x:v>
      </x:c>
      <x:c r="AB847" s="55" t="n">
        <x:v>1442</x:v>
      </x:c>
      <x:c r="AC847" s="55" t="n">
        <x:v>7713</x:v>
      </x:c>
      <x:c r="AD847" s="55" t="n">
        <x:v>2867</x:v>
      </x:c>
      <x:c r="AE847" s="55" t="n">
        <x:v>10288</x:v>
      </x:c>
      <x:c r="AF847" s="55" t="n">
        <x:v>10212</x:v>
      </x:c>
      <x:c r="AG847" s="55" t="n">
        <x:v>76</x:v>
      </x:c>
      <x:c r="AH847" s="55" t="n">
        <x:v>344</x:v>
      </x:c>
      <x:c r="AI847" s="55" t="n">
        <x:v>9868</x:v>
      </x:c>
      <x:c r="AJ847" s="55" t="n">
        <x:v>244</x:v>
      </x:c>
      <x:c r="AK847" s="55" t="n">
        <x:v>1184</x:v>
      </x:c>
      <x:c r="AL847" s="55" t="n">
        <x:v>2003</x:v>
      </x:c>
      <x:c r="AM847" s="55" t="n">
        <x:v>4124</x:v>
      </x:c>
      <x:c r="AN847" s="55" t="n">
        <x:v>2657</x:v>
      </x:c>
      <x:c r="AO847" s="55" t="n">
        <x:v>0</x:v>
      </x:c>
      <x:c r="AP847" s="55" t="n">
        <x:v>1660</x:v>
      </x:c>
      <x:c r="AQ847" s="55" t="n">
        <x:v>945</x:v>
      </x:c>
    </x:row>
    <x:row r="848">
      <x:c r="A848" s="54" t="str">
        <x:v>T1_SHARED_CATCHMENT</x:v>
      </x:c>
      <x:c r="B848" s="54" t="n">
        <x:v>842</x:v>
      </x:c>
      <x:c r="C848" s="54" t="str">
        <x:v>NYC-V2-R01</x:v>
      </x:c>
      <x:c r="D848" s="54" t="str">
        <x:v>V2</x:v>
      </x:c>
      <x:c r="E848" s="54" t="str">
        <x:v>ADMITTED</x:v>
      </x:c>
      <x:c r="F848" s="55" t="n">
        <x:v>30178</x:v>
      </x:c>
      <x:c r="G848" s="55" t="n">
        <x:v>8572</x:v>
      </x:c>
      <x:c r="H848" s="55" t="n">
        <x:v>3250</x:v>
      </x:c>
      <x:c r="I848" s="55" t="n">
        <x:v>1372</x:v>
      </x:c>
      <x:c r="J848" s="55" t="n">
        <x:v>47</x:v>
      </x:c>
      <x:c r="K848" s="55" t="n">
        <x:v>29238</x:v>
      </x:c>
      <x:c r="L848" s="55" t="n">
        <x:v>3936</x:v>
      </x:c>
      <x:c r="M848" s="55" t="n">
        <x:v>0</x:v>
      </x:c>
      <x:c r="N848" s="55" t="n">
        <x:v>2508</x:v>
      </x:c>
      <x:c r="O848" s="55" t="n">
        <x:v>1428</x:v>
      </x:c>
      <x:c r="P848" s="55" t="n">
        <x:v>612</x:v>
      </x:c>
      <x:c r="Q848" s="55" t="n">
        <x:v>1433</x:v>
      </x:c>
      <x:c r="R848" s="55" t="n">
        <x:v>1584</x:v>
      </x:c>
      <x:c r="S848" s="55" t="n">
        <x:v>3346</x:v>
      </x:c>
      <x:c r="T848" s="55" t="n">
        <x:v>1450</x:v>
      </x:c>
      <x:c r="U848" s="55" t="n">
        <x:v>2008</x:v>
      </x:c>
      <x:c r="V848" s="55" t="n">
        <x:v>10154</x:v>
      </x:c>
      <x:c r="W848" s="55" t="n">
        <x:v>7738</x:v>
      </x:c>
      <x:c r="X848" s="55" t="n">
        <x:v>2416</x:v>
      </x:c>
      <x:c r="Y848" s="55" t="n">
        <x:v>2173</x:v>
      </x:c>
      <x:c r="Z848" s="55" t="n">
        <x:v>3510</x:v>
      </x:c>
      <x:c r="AA848" s="55" t="n">
        <x:v>3250</x:v>
      </x:c>
      <x:c r="AB848" s="55" t="n">
        <x:v>1175</x:v>
      </x:c>
      <x:c r="AC848" s="55" t="n">
        <x:v>7270</x:v>
      </x:c>
      <x:c r="AD848" s="55" t="n">
        <x:v>3317</x:v>
      </x:c>
      <x:c r="AE848" s="55" t="n">
        <x:v>10213</x:v>
      </x:c>
      <x:c r="AF848" s="55" t="n">
        <x:v>10154</x:v>
      </x:c>
      <x:c r="AG848" s="55" t="n">
        <x:v>59</x:v>
      </x:c>
      <x:c r="AH848" s="55" t="n">
        <x:v>329</x:v>
      </x:c>
      <x:c r="AI848" s="55" t="n">
        <x:v>9825</x:v>
      </x:c>
      <x:c r="AJ848" s="55" t="n">
        <x:v>448</x:v>
      </x:c>
      <x:c r="AK848" s="55" t="n">
        <x:v>976</x:v>
      </x:c>
      <x:c r="AL848" s="55" t="n">
        <x:v>1198</x:v>
      </x:c>
      <x:c r="AM848" s="55" t="n">
        <x:v>4732</x:v>
      </x:c>
      <x:c r="AN848" s="55" t="n">
        <x:v>2800</x:v>
      </x:c>
      <x:c r="AO848" s="55" t="n">
        <x:v>0</x:v>
      </x:c>
      <x:c r="AP848" s="55" t="n">
        <x:v>2051</x:v>
      </x:c>
      <x:c r="AQ848" s="55" t="n">
        <x:v>936</x:v>
      </x:c>
    </x:row>
    <x:row r="849">
      <x:c r="A849" s="54" t="str">
        <x:v>T1_SHARED_CATCHMENT</x:v>
      </x:c>
      <x:c r="B849" s="54" t="n">
        <x:v>843</x:v>
      </x:c>
      <x:c r="C849" s="54" t="str">
        <x:v>NYC-V2-R01</x:v>
      </x:c>
      <x:c r="D849" s="54" t="str">
        <x:v>V2</x:v>
      </x:c>
      <x:c r="E849" s="54" t="str">
        <x:v>ADMITTED</x:v>
      </x:c>
      <x:c r="F849" s="55" t="n">
        <x:v>30291</x:v>
      </x:c>
      <x:c r="G849" s="55" t="n">
        <x:v>7673</x:v>
      </x:c>
      <x:c r="H849" s="55" t="n">
        <x:v>2723</x:v>
      </x:c>
      <x:c r="I849" s="55" t="n">
        <x:v>736</x:v>
      </x:c>
      <x:c r="J849" s="55" t="n">
        <x:v>78</x:v>
      </x:c>
      <x:c r="K849" s="55" t="n">
        <x:v>30291</x:v>
      </x:c>
      <x:c r="L849" s="55" t="n">
        <x:v>4260</x:v>
      </x:c>
      <x:c r="M849" s="55" t="n">
        <x:v>561</x:v>
      </x:c>
      <x:c r="N849" s="55" t="n">
        <x:v>2338</x:v>
      </x:c>
      <x:c r="O849" s="55" t="n">
        <x:v>1361</x:v>
      </x:c>
      <x:c r="P849" s="55" t="n">
        <x:v>543</x:v>
      </x:c>
      <x:c r="Q849" s="55" t="n">
        <x:v>1999</x:v>
      </x:c>
      <x:c r="R849" s="55" t="n">
        <x:v>1543</x:v>
      </x:c>
      <x:c r="S849" s="55" t="n">
        <x:v>1947</x:v>
      </x:c>
      <x:c r="T849" s="55" t="n">
        <x:v>779</x:v>
      </x:c>
      <x:c r="U849" s="55" t="n">
        <x:v>1423</x:v>
      </x:c>
      <x:c r="V849" s="55" t="n">
        <x:v>10400</x:v>
      </x:c>
      <x:c r="W849" s="55" t="n">
        <x:v>7319</x:v>
      </x:c>
      <x:c r="X849" s="55" t="n">
        <x:v>3081</x:v>
      </x:c>
      <x:c r="Y849" s="55" t="n">
        <x:v>2448</x:v>
      </x:c>
      <x:c r="Z849" s="55" t="n">
        <x:v>4353</x:v>
      </x:c>
      <x:c r="AA849" s="55" t="n">
        <x:v>2607</x:v>
      </x:c>
      <x:c r="AB849" s="55" t="n">
        <x:v>993</x:v>
      </x:c>
      <x:c r="AC849" s="55" t="n">
        <x:v>8113</x:v>
      </x:c>
      <x:c r="AD849" s="55" t="n">
        <x:v>2521</x:v>
      </x:c>
      <x:c r="AE849" s="55" t="n">
        <x:v>10487</x:v>
      </x:c>
      <x:c r="AF849" s="55" t="n">
        <x:v>10400</x:v>
      </x:c>
      <x:c r="AG849" s="55" t="n">
        <x:v>87</x:v>
      </x:c>
      <x:c r="AH849" s="55" t="n">
        <x:v>343</x:v>
      </x:c>
      <x:c r="AI849" s="55" t="n">
        <x:v>10057</x:v>
      </x:c>
      <x:c r="AJ849" s="55" t="n">
        <x:v>400</x:v>
      </x:c>
      <x:c r="AK849" s="55" t="n">
        <x:v>888</x:v>
      </x:c>
      <x:c r="AL849" s="55" t="n">
        <x:v>1620</x:v>
      </x:c>
      <x:c r="AM849" s="55" t="n">
        <x:v>4542</x:v>
      </x:c>
      <x:c r="AN849" s="55" t="n">
        <x:v>2894</x:v>
      </x:c>
      <x:c r="AO849" s="55" t="n">
        <x:v>56</x:v>
      </x:c>
      <x:c r="AP849" s="55" t="n">
        <x:v>2629</x:v>
      </x:c>
      <x:c r="AQ849" s="55" t="n">
        <x:v>988</x:v>
      </x:c>
    </x:row>
    <x:row r="850">
      <x:c r="A850" s="54" t="str">
        <x:v>T1_SHARED_CATCHMENT</x:v>
      </x:c>
      <x:c r="B850" s="54" t="n">
        <x:v>844</x:v>
      </x:c>
      <x:c r="C850" s="54" t="str">
        <x:v>NYC-V2-R01</x:v>
      </x:c>
      <x:c r="D850" s="54" t="str">
        <x:v>V2</x:v>
      </x:c>
      <x:c r="E850" s="54" t="str">
        <x:v>ADMITTED</x:v>
      </x:c>
      <x:c r="F850" s="55" t="n">
        <x:v>31069</x:v>
      </x:c>
      <x:c r="G850" s="55" t="n">
        <x:v>7263</x:v>
      </x:c>
      <x:c r="H850" s="55" t="n">
        <x:v>3867</x:v>
      </x:c>
      <x:c r="I850" s="55" t="n">
        <x:v>1608</x:v>
      </x:c>
      <x:c r="J850" s="55" t="n">
        <x:v>299</x:v>
      </x:c>
      <x:c r="K850" s="55" t="n">
        <x:v>31069</x:v>
      </x:c>
      <x:c r="L850" s="55" t="n">
        <x:v>5148</x:v>
      </x:c>
      <x:c r="M850" s="55" t="n">
        <x:v>623</x:v>
      </x:c>
      <x:c r="N850" s="55" t="n">
        <x:v>2552</x:v>
      </x:c>
      <x:c r="O850" s="55" t="n">
        <x:v>1973</x:v>
      </x:c>
      <x:c r="P850" s="55" t="n">
        <x:v>1043</x:v>
      </x:c>
      <x:c r="Q850" s="55" t="n">
        <x:v>2347</x:v>
      </x:c>
      <x:c r="R850" s="55" t="n">
        <x:v>1937</x:v>
      </x:c>
      <x:c r="S850" s="55" t="n">
        <x:v>3394</x:v>
      </x:c>
      <x:c r="T850" s="55" t="n">
        <x:v>1170</x:v>
      </x:c>
      <x:c r="U850" s="55" t="n">
        <x:v>2010</x:v>
      </x:c>
      <x:c r="V850" s="55" t="n">
        <x:v>10018</x:v>
      </x:c>
      <x:c r="W850" s="55" t="n">
        <x:v>6979</x:v>
      </x:c>
      <x:c r="X850" s="55" t="n">
        <x:v>3039</x:v>
      </x:c>
      <x:c r="Y850" s="55" t="n">
        <x:v>2620</x:v>
      </x:c>
      <x:c r="Z850" s="55" t="n">
        <x:v>3899</x:v>
      </x:c>
      <x:c r="AA850" s="55" t="n">
        <x:v>3867</x:v>
      </x:c>
      <x:c r="AB850" s="55" t="n">
        <x:v>1555</x:v>
      </x:c>
      <x:c r="AC850" s="55" t="n">
        <x:v>8041</x:v>
      </x:c>
      <x:c r="AD850" s="55" t="n">
        <x:v>2529</x:v>
      </x:c>
      <x:c r="AE850" s="55" t="n">
        <x:v>10156</x:v>
      </x:c>
      <x:c r="AF850" s="55" t="n">
        <x:v>10018</x:v>
      </x:c>
      <x:c r="AG850" s="55" t="n">
        <x:v>138</x:v>
      </x:c>
      <x:c r="AH850" s="55" t="n">
        <x:v>428</x:v>
      </x:c>
      <x:c r="AI850" s="55" t="n">
        <x:v>9590</x:v>
      </x:c>
      <x:c r="AJ850" s="55" t="n">
        <x:v>351</x:v>
      </x:c>
      <x:c r="AK850" s="55" t="n">
        <x:v>918</x:v>
      </x:c>
      <x:c r="AL850" s="55" t="n">
        <x:v>1125</x:v>
      </x:c>
      <x:c r="AM850" s="55" t="n">
        <x:v>4973</x:v>
      </x:c>
      <x:c r="AN850" s="55" t="n">
        <x:v>2651</x:v>
      </x:c>
      <x:c r="AO850" s="55" t="n">
        <x:v>0</x:v>
      </x:c>
      <x:c r="AP850" s="55" t="n">
        <x:v>2783</x:v>
      </x:c>
      <x:c r="AQ850" s="55" t="n">
        <x:v>956</x:v>
      </x:c>
    </x:row>
    <x:row r="851">
      <x:c r="A851" s="54" t="str">
        <x:v>T1_SHARED_CATCHMENT</x:v>
      </x:c>
      <x:c r="B851" s="54" t="n">
        <x:v>845</x:v>
      </x:c>
      <x:c r="C851" s="54" t="str">
        <x:v>NYC-V2-R01</x:v>
      </x:c>
      <x:c r="D851" s="54" t="str">
        <x:v>V2</x:v>
      </x:c>
      <x:c r="E851" s="54" t="str">
        <x:v>ADMITTED</x:v>
      </x:c>
      <x:c r="F851" s="55" t="n">
        <x:v>30070</x:v>
      </x:c>
      <x:c r="G851" s="55" t="n">
        <x:v>7243</x:v>
      </x:c>
      <x:c r="H851" s="55" t="n">
        <x:v>2844</x:v>
      </x:c>
      <x:c r="I851" s="55" t="n">
        <x:v>1108</x:v>
      </x:c>
      <x:c r="J851" s="55" t="n">
        <x:v>200</x:v>
      </x:c>
      <x:c r="K851" s="55" t="n">
        <x:v>30070</x:v>
      </x:c>
      <x:c r="L851" s="55" t="n">
        <x:v>5356</x:v>
      </x:c>
      <x:c r="M851" s="55" t="n">
        <x:v>1057</x:v>
      </x:c>
      <x:c r="N851" s="55" t="n">
        <x:v>2484</x:v>
      </x:c>
      <x:c r="O851" s="55" t="n">
        <x:v>1815</x:v>
      </x:c>
      <x:c r="P851" s="55" t="n">
        <x:v>550</x:v>
      </x:c>
      <x:c r="Q851" s="55" t="n">
        <x:v>2047</x:v>
      </x:c>
      <x:c r="R851" s="55" t="n">
        <x:v>2125</x:v>
      </x:c>
      <x:c r="S851" s="55" t="n">
        <x:v>3222</x:v>
      </x:c>
      <x:c r="T851" s="55" t="n">
        <x:v>1040</x:v>
      </x:c>
      <x:c r="U851" s="55" t="n">
        <x:v>1913</x:v>
      </x:c>
      <x:c r="V851" s="55" t="n">
        <x:v>9855</x:v>
      </x:c>
      <x:c r="W851" s="55" t="n">
        <x:v>6400</x:v>
      </x:c>
      <x:c r="X851" s="55" t="n">
        <x:v>3455</x:v>
      </x:c>
      <x:c r="Y851" s="55" t="n">
        <x:v>3049</x:v>
      </x:c>
      <x:c r="Z851" s="55" t="n">
        <x:v>3048</x:v>
      </x:c>
      <x:c r="AA851" s="55" t="n">
        <x:v>2590</x:v>
      </x:c>
      <x:c r="AB851" s="55" t="n">
        <x:v>738</x:v>
      </x:c>
      <x:c r="AC851" s="55" t="n">
        <x:v>7657</x:v>
      </x:c>
      <x:c r="AD851" s="55" t="n">
        <x:v>2800</x:v>
      </x:c>
      <x:c r="AE851" s="55" t="n">
        <x:v>9921</x:v>
      </x:c>
      <x:c r="AF851" s="55" t="n">
        <x:v>9855</x:v>
      </x:c>
      <x:c r="AG851" s="55" t="n">
        <x:v>66</x:v>
      </x:c>
      <x:c r="AH851" s="55" t="n">
        <x:v>373</x:v>
      </x:c>
      <x:c r="AI851" s="55" t="n">
        <x:v>9482</x:v>
      </x:c>
      <x:c r="AJ851" s="55" t="n">
        <x:v>561</x:v>
      </x:c>
      <x:c r="AK851" s="55" t="n">
        <x:v>1044</x:v>
      </x:c>
      <x:c r="AL851" s="55" t="n">
        <x:v>1472</x:v>
      </x:c>
      <x:c r="AM851" s="55" t="n">
        <x:v>4721</x:v>
      </x:c>
      <x:c r="AN851" s="55" t="n">
        <x:v>2029</x:v>
      </x:c>
      <x:c r="AO851" s="55" t="n">
        <x:v>28</x:v>
      </x:c>
      <x:c r="AP851" s="55" t="n">
        <x:v>2864</x:v>
      </x:c>
      <x:c r="AQ851" s="55" t="n">
        <x:v>943</x:v>
      </x:c>
    </x:row>
    <x:row r="852">
      <x:c r="A852" s="54" t="str">
        <x:v>T1_SHARED_CATCHMENT</x:v>
      </x:c>
      <x:c r="B852" s="54" t="n">
        <x:v>846</x:v>
      </x:c>
      <x:c r="C852" s="54" t="str">
        <x:v>NYC-V2-R01</x:v>
      </x:c>
      <x:c r="D852" s="54" t="str">
        <x:v>V2</x:v>
      </x:c>
      <x:c r="E852" s="54" t="str">
        <x:v>ADMITTED</x:v>
      </x:c>
      <x:c r="F852" s="55" t="n">
        <x:v>31101</x:v>
      </x:c>
      <x:c r="G852" s="55" t="n">
        <x:v>7190</x:v>
      </x:c>
      <x:c r="H852" s="55" t="n">
        <x:v>3079</x:v>
      </x:c>
      <x:c r="I852" s="55" t="n">
        <x:v>1363</x:v>
      </x:c>
      <x:c r="J852" s="55" t="n">
        <x:v>137</x:v>
      </x:c>
      <x:c r="K852" s="55" t="n">
        <x:v>30501</x:v>
      </x:c>
      <x:c r="L852" s="55" t="n">
        <x:v>4012</x:v>
      </x:c>
      <x:c r="M852" s="55" t="n">
        <x:v>190</x:v>
      </x:c>
      <x:c r="N852" s="55" t="n">
        <x:v>2416</x:v>
      </x:c>
      <x:c r="O852" s="55" t="n">
        <x:v>1406</x:v>
      </x:c>
      <x:c r="P852" s="55" t="n">
        <x:v>492</x:v>
      </x:c>
      <x:c r="Q852" s="55" t="n">
        <x:v>1490</x:v>
      </x:c>
      <x:c r="R852" s="55" t="n">
        <x:v>1619</x:v>
      </x:c>
      <x:c r="S852" s="55" t="n">
        <x:v>2634</x:v>
      </x:c>
      <x:c r="T852" s="55" t="n">
        <x:v>791</x:v>
      </x:c>
      <x:c r="U852" s="55" t="n">
        <x:v>1958</x:v>
      </x:c>
      <x:c r="V852" s="55" t="n">
        <x:v>9857</x:v>
      </x:c>
      <x:c r="W852" s="55" t="n">
        <x:v>6950</x:v>
      </x:c>
      <x:c r="X852" s="55" t="n">
        <x:v>2907</x:v>
      </x:c>
      <x:c r="Y852" s="55" t="n">
        <x:v>2632</x:v>
      </x:c>
      <x:c r="Z852" s="55" t="n">
        <x:v>3553</x:v>
      </x:c>
      <x:c r="AA852" s="55" t="n">
        <x:v>2384</x:v>
      </x:c>
      <x:c r="AB852" s="55" t="n">
        <x:v>921</x:v>
      </x:c>
      <x:c r="AC852" s="55" t="n">
        <x:v>7078</x:v>
      </x:c>
      <x:c r="AD852" s="55" t="n">
        <x:v>2416</x:v>
      </x:c>
      <x:c r="AE852" s="55" t="n">
        <x:v>9879</x:v>
      </x:c>
      <x:c r="AF852" s="55" t="n">
        <x:v>9857</x:v>
      </x:c>
      <x:c r="AG852" s="55" t="n">
        <x:v>22</x:v>
      </x:c>
      <x:c r="AH852" s="55" t="n">
        <x:v>477</x:v>
      </x:c>
      <x:c r="AI852" s="55" t="n">
        <x:v>9380</x:v>
      </x:c>
      <x:c r="AJ852" s="55" t="n">
        <x:v>171</x:v>
      </x:c>
      <x:c r="AK852" s="55" t="n">
        <x:v>824</x:v>
      </x:c>
      <x:c r="AL852" s="55" t="n">
        <x:v>1268</x:v>
      </x:c>
      <x:c r="AM852" s="55" t="n">
        <x:v>4654</x:v>
      </x:c>
      <x:c r="AN852" s="55" t="n">
        <x:v>2940</x:v>
      </x:c>
      <x:c r="AO852" s="55" t="n">
        <x:v>0</x:v>
      </x:c>
      <x:c r="AP852" s="55" t="n">
        <x:v>2319</x:v>
      </x:c>
      <x:c r="AQ852" s="55" t="n">
        <x:v>938</x:v>
      </x:c>
    </x:row>
    <x:row r="853">
      <x:c r="A853" s="54" t="str">
        <x:v>T1_SHARED_CATCHMENT</x:v>
      </x:c>
      <x:c r="B853" s="54" t="n">
        <x:v>847</x:v>
      </x:c>
      <x:c r="C853" s="54" t="str">
        <x:v>NYC-V2-R01</x:v>
      </x:c>
      <x:c r="D853" s="54" t="str">
        <x:v>V2</x:v>
      </x:c>
      <x:c r="E853" s="54" t="str">
        <x:v>ADMITTED</x:v>
      </x:c>
      <x:c r="F853" s="55" t="n">
        <x:v>30501</x:v>
      </x:c>
      <x:c r="G853" s="55" t="n">
        <x:v>6823</x:v>
      </x:c>
      <x:c r="H853" s="55" t="n">
        <x:v>3292</x:v>
      </x:c>
      <x:c r="I853" s="55" t="n">
        <x:v>997</x:v>
      </x:c>
      <x:c r="J853" s="55" t="n">
        <x:v>203</x:v>
      </x:c>
      <x:c r="K853" s="55" t="n">
        <x:v>30501</x:v>
      </x:c>
      <x:c r="L853" s="55" t="n">
        <x:v>5222</x:v>
      </x:c>
      <x:c r="M853" s="55" t="n">
        <x:v>1110</x:v>
      </x:c>
      <x:c r="N853" s="55" t="n">
        <x:v>2146</x:v>
      </x:c>
      <x:c r="O853" s="55" t="n">
        <x:v>1966</x:v>
      </x:c>
      <x:c r="P853" s="55" t="n">
        <x:v>728</x:v>
      </x:c>
      <x:c r="Q853" s="55" t="n">
        <x:v>2978</x:v>
      </x:c>
      <x:c r="R853" s="55" t="n">
        <x:v>1542</x:v>
      </x:c>
      <x:c r="S853" s="55" t="n">
        <x:v>2703</x:v>
      </x:c>
      <x:c r="T853" s="55" t="n">
        <x:v>1472</x:v>
      </x:c>
      <x:c r="U853" s="55" t="n">
        <x:v>1767</x:v>
      </x:c>
      <x:c r="V853" s="55" t="n">
        <x:v>10998</x:v>
      </x:c>
      <x:c r="W853" s="55" t="n">
        <x:v>7770</x:v>
      </x:c>
      <x:c r="X853" s="55" t="n">
        <x:v>3228</x:v>
      </x:c>
      <x:c r="Y853" s="55" t="n">
        <x:v>2853</x:v>
      </x:c>
      <x:c r="Z853" s="55" t="n">
        <x:v>3273</x:v>
      </x:c>
      <x:c r="AA853" s="55" t="n">
        <x:v>3292</x:v>
      </x:c>
      <x:c r="AB853" s="55" t="n">
        <x:v>836</x:v>
      </x:c>
      <x:c r="AC853" s="55" t="n">
        <x:v>8023</x:v>
      </x:c>
      <x:c r="AD853" s="55" t="n">
        <x:v>3663</x:v>
      </x:c>
      <x:c r="AE853" s="55" t="n">
        <x:v>11104</x:v>
      </x:c>
      <x:c r="AF853" s="55" t="n">
        <x:v>10998</x:v>
      </x:c>
      <x:c r="AG853" s="55" t="n">
        <x:v>106</x:v>
      </x:c>
      <x:c r="AH853" s="55" t="n">
        <x:v>616</x:v>
      </x:c>
      <x:c r="AI853" s="55" t="n">
        <x:v>10382</x:v>
      </x:c>
      <x:c r="AJ853" s="55" t="n">
        <x:v>296</x:v>
      </x:c>
      <x:c r="AK853" s="55" t="n">
        <x:v>1135</x:v>
      </x:c>
      <x:c r="AL853" s="55" t="n">
        <x:v>1603</x:v>
      </x:c>
      <x:c r="AM853" s="55" t="n">
        <x:v>5082</x:v>
      </x:c>
      <x:c r="AN853" s="55" t="n">
        <x:v>2868</x:v>
      </x:c>
      <x:c r="AO853" s="55" t="n">
        <x:v>14</x:v>
      </x:c>
      <x:c r="AP853" s="55" t="n">
        <x:v>2459</x:v>
      </x:c>
      <x:c r="AQ853" s="55" t="n">
        <x:v>945</x:v>
      </x:c>
    </x:row>
    <x:row r="854">
      <x:c r="A854" s="54" t="str">
        <x:v>T1_SHARED_CATCHMENT</x:v>
      </x:c>
      <x:c r="B854" s="54" t="n">
        <x:v>848</x:v>
      </x:c>
      <x:c r="C854" s="54" t="str">
        <x:v>NYC-V2-R01</x:v>
      </x:c>
      <x:c r="D854" s="54" t="str">
        <x:v>V2</x:v>
      </x:c>
      <x:c r="E854" s="54" t="str">
        <x:v>ADMITTED</x:v>
      </x:c>
      <x:c r="F854" s="55" t="n">
        <x:v>31874</x:v>
      </x:c>
      <x:c r="G854" s="55" t="n">
        <x:v>8343</x:v>
      </x:c>
      <x:c r="H854" s="55" t="n">
        <x:v>3206</x:v>
      </x:c>
      <x:c r="I854" s="55" t="n">
        <x:v>1058</x:v>
      </x:c>
      <x:c r="J854" s="55" t="n">
        <x:v>168</x:v>
      </x:c>
      <x:c r="K854" s="55" t="n">
        <x:v>31874</x:v>
      </x:c>
      <x:c r="L854" s="55" t="n">
        <x:v>6649</x:v>
      </x:c>
      <x:c r="M854" s="55" t="n">
        <x:v>1565</x:v>
      </x:c>
      <x:c r="N854" s="55" t="n">
        <x:v>3299</x:v>
      </x:c>
      <x:c r="O854" s="55" t="n">
        <x:v>1785</x:v>
      </x:c>
      <x:c r="P854" s="55" t="n">
        <x:v>999</x:v>
      </x:c>
      <x:c r="Q854" s="55" t="n">
        <x:v>1918</x:v>
      </x:c>
      <x:c r="R854" s="55" t="n">
        <x:v>1871</x:v>
      </x:c>
      <x:c r="S854" s="55" t="n">
        <x:v>3067</x:v>
      </x:c>
      <x:c r="T854" s="55" t="n">
        <x:v>1160</x:v>
      </x:c>
      <x:c r="U854" s="55" t="n">
        <x:v>1725</x:v>
      </x:c>
      <x:c r="V854" s="55" t="n">
        <x:v>10124</x:v>
      </x:c>
      <x:c r="W854" s="55" t="n">
        <x:v>6829</x:v>
      </x:c>
      <x:c r="X854" s="55" t="n">
        <x:v>3295</x:v>
      </x:c>
      <x:c r="Y854" s="55" t="n">
        <x:v>2874</x:v>
      </x:c>
      <x:c r="Z854" s="55" t="n">
        <x:v>4072</x:v>
      </x:c>
      <x:c r="AA854" s="55" t="n">
        <x:v>3179</x:v>
      </x:c>
      <x:c r="AB854" s="55" t="n">
        <x:v>1222</x:v>
      </x:c>
      <x:c r="AC854" s="55" t="n">
        <x:v>8799</x:v>
      </x:c>
      <x:c r="AD854" s="55" t="n">
        <x:v>3109</x:v>
      </x:c>
      <x:c r="AE854" s="55" t="n">
        <x:v>10144</x:v>
      </x:c>
      <x:c r="AF854" s="55" t="n">
        <x:v>10124</x:v>
      </x:c>
      <x:c r="AG854" s="55" t="n">
        <x:v>20</x:v>
      </x:c>
      <x:c r="AH854" s="55" t="n">
        <x:v>305</x:v>
      </x:c>
      <x:c r="AI854" s="55" t="n">
        <x:v>9819</x:v>
      </x:c>
      <x:c r="AJ854" s="55" t="n">
        <x:v>463</x:v>
      </x:c>
      <x:c r="AK854" s="55" t="n">
        <x:v>497</x:v>
      </x:c>
      <x:c r="AL854" s="55" t="n">
        <x:v>1857</x:v>
      </x:c>
      <x:c r="AM854" s="55" t="n">
        <x:v>4816</x:v>
      </x:c>
      <x:c r="AN854" s="55" t="n">
        <x:v>2491</x:v>
      </x:c>
      <x:c r="AO854" s="55" t="n">
        <x:v>0</x:v>
      </x:c>
      <x:c r="AP854" s="55" t="n">
        <x:v>2244</x:v>
      </x:c>
      <x:c r="AQ854" s="55" t="n">
        <x:v>1011</x:v>
      </x:c>
    </x:row>
    <x:row r="855">
      <x:c r="A855" s="54" t="str">
        <x:v>T1_SHARED_CATCHMENT</x:v>
      </x:c>
      <x:c r="B855" s="54" t="n">
        <x:v>849</x:v>
      </x:c>
      <x:c r="C855" s="54" t="str">
        <x:v>NYC-V2-R01</x:v>
      </x:c>
      <x:c r="D855" s="54" t="str">
        <x:v>V2</x:v>
      </x:c>
      <x:c r="E855" s="54" t="str">
        <x:v>ADMITTED</x:v>
      </x:c>
      <x:c r="F855" s="55" t="n">
        <x:v>32519</x:v>
      </x:c>
      <x:c r="G855" s="55" t="n">
        <x:v>7120</x:v>
      </x:c>
      <x:c r="H855" s="55" t="n">
        <x:v>3664</x:v>
      </x:c>
      <x:c r="I855" s="55" t="n">
        <x:v>1534</x:v>
      </x:c>
      <x:c r="J855" s="55" t="n">
        <x:v>247</x:v>
      </x:c>
      <x:c r="K855" s="55" t="n">
        <x:v>32519</x:v>
      </x:c>
      <x:c r="L855" s="55" t="n">
        <x:v>6272</x:v>
      </x:c>
      <x:c r="M855" s="55" t="n">
        <x:v>1981</x:v>
      </x:c>
      <x:c r="N855" s="55" t="n">
        <x:v>2433</x:v>
      </x:c>
      <x:c r="O855" s="55" t="n">
        <x:v>1858</x:v>
      </x:c>
      <x:c r="P855" s="55" t="n">
        <x:v>1152</x:v>
      </x:c>
      <x:c r="Q855" s="55" t="n">
        <x:v>2234</x:v>
      </x:c>
      <x:c r="R855" s="55" t="n">
        <x:v>1962</x:v>
      </x:c>
      <x:c r="S855" s="55" t="n">
        <x:v>2896</x:v>
      </x:c>
      <x:c r="T855" s="55" t="n">
        <x:v>1193</x:v>
      </x:c>
      <x:c r="U855" s="55" t="n">
        <x:v>2262</x:v>
      </x:c>
      <x:c r="V855" s="55" t="n">
        <x:v>11271</x:v>
      </x:c>
      <x:c r="W855" s="55" t="n">
        <x:v>8227</x:v>
      </x:c>
      <x:c r="X855" s="55" t="n">
        <x:v>3044</x:v>
      </x:c>
      <x:c r="Y855" s="55" t="n">
        <x:v>2496</x:v>
      </x:c>
      <x:c r="Z855" s="55" t="n">
        <x:v>3452</x:v>
      </x:c>
      <x:c r="AA855" s="55" t="n">
        <x:v>3298</x:v>
      </x:c>
      <x:c r="AB855" s="55" t="n">
        <x:v>1208</x:v>
      </x:c>
      <x:c r="AC855" s="55" t="n">
        <x:v>8578</x:v>
      </x:c>
      <x:c r="AD855" s="55" t="n">
        <x:v>3203</x:v>
      </x:c>
      <x:c r="AE855" s="55" t="n">
        <x:v>11390</x:v>
      </x:c>
      <x:c r="AF855" s="55" t="n">
        <x:v>11271</x:v>
      </x:c>
      <x:c r="AG855" s="55" t="n">
        <x:v>119</x:v>
      </x:c>
      <x:c r="AH855" s="55" t="n">
        <x:v>461</x:v>
      </x:c>
      <x:c r="AI855" s="55" t="n">
        <x:v>10810</x:v>
      </x:c>
      <x:c r="AJ855" s="55" t="n">
        <x:v>242</x:v>
      </x:c>
      <x:c r="AK855" s="55" t="n">
        <x:v>1315</x:v>
      </x:c>
      <x:c r="AL855" s="55" t="n">
        <x:v>1445</x:v>
      </x:c>
      <x:c r="AM855" s="55" t="n">
        <x:v>5252</x:v>
      </x:c>
      <x:c r="AN855" s="55" t="n">
        <x:v>2983</x:v>
      </x:c>
      <x:c r="AO855" s="55" t="n">
        <x:v>34</x:v>
      </x:c>
      <x:c r="AP855" s="55" t="n">
        <x:v>2455</x:v>
      </x:c>
      <x:c r="AQ855" s="55" t="n">
        <x:v>977</x:v>
      </x:c>
    </x:row>
    <x:row r="856">
      <x:c r="A856" s="54" t="str">
        <x:v>T1_SHARED_CATCHMENT</x:v>
      </x:c>
      <x:c r="B856" s="54" t="n">
        <x:v>850</x:v>
      </x:c>
      <x:c r="C856" s="54" t="str">
        <x:v>NYC-V2-R01</x:v>
      </x:c>
      <x:c r="D856" s="54" t="str">
        <x:v>V2</x:v>
      </x:c>
      <x:c r="E856" s="54" t="str">
        <x:v>ADMITTED</x:v>
      </x:c>
      <x:c r="F856" s="55" t="n">
        <x:v>31708</x:v>
      </x:c>
      <x:c r="G856" s="55" t="n">
        <x:v>8054</x:v>
      </x:c>
      <x:c r="H856" s="55" t="n">
        <x:v>3110</x:v>
      </x:c>
      <x:c r="I856" s="55" t="n">
        <x:v>1305</x:v>
      </x:c>
      <x:c r="J856" s="55" t="n">
        <x:v>106</x:v>
      </x:c>
      <x:c r="K856" s="55" t="n">
        <x:v>31708</x:v>
      </x:c>
      <x:c r="L856" s="55" t="n">
        <x:v>5050</x:v>
      </x:c>
      <x:c r="M856" s="55" t="n">
        <x:v>1198</x:v>
      </x:c>
      <x:c r="N856" s="55" t="n">
        <x:v>2490</x:v>
      </x:c>
      <x:c r="O856" s="55" t="n">
        <x:v>1362</x:v>
      </x:c>
      <x:c r="P856" s="55" t="n">
        <x:v>321</x:v>
      </x:c>
      <x:c r="Q856" s="55" t="n">
        <x:v>1729</x:v>
      </x:c>
      <x:c r="R856" s="55" t="n">
        <x:v>1397</x:v>
      </x:c>
      <x:c r="S856" s="55" t="n">
        <x:v>2529</x:v>
      </x:c>
      <x:c r="T856" s="55" t="n">
        <x:v>1032</x:v>
      </x:c>
      <x:c r="U856" s="55" t="n">
        <x:v>1694</x:v>
      </x:c>
      <x:c r="V856" s="55" t="n">
        <x:v>10244</x:v>
      </x:c>
      <x:c r="W856" s="55" t="n">
        <x:v>7453</x:v>
      </x:c>
      <x:c r="X856" s="55" t="n">
        <x:v>2791</x:v>
      </x:c>
      <x:c r="Y856" s="55" t="n">
        <x:v>2372</x:v>
      </x:c>
      <x:c r="Z856" s="55" t="n">
        <x:v>3509</x:v>
      </x:c>
      <x:c r="AA856" s="55" t="n">
        <x:v>3110</x:v>
      </x:c>
      <x:c r="AB856" s="55" t="n">
        <x:v>1224</x:v>
      </x:c>
      <x:c r="AC856" s="55" t="n">
        <x:v>7368</x:v>
      </x:c>
      <x:c r="AD856" s="55" t="n">
        <x:v>2690</x:v>
      </x:c>
      <x:c r="AE856" s="55" t="n">
        <x:v>10300</x:v>
      </x:c>
      <x:c r="AF856" s="55" t="n">
        <x:v>10244</x:v>
      </x:c>
      <x:c r="AG856" s="55" t="n">
        <x:v>56</x:v>
      </x:c>
      <x:c r="AH856" s="55" t="n">
        <x:v>380</x:v>
      </x:c>
      <x:c r="AI856" s="55" t="n">
        <x:v>9864</x:v>
      </x:c>
      <x:c r="AJ856" s="55" t="n">
        <x:v>298</x:v>
      </x:c>
      <x:c r="AK856" s="55" t="n">
        <x:v>833</x:v>
      </x:c>
      <x:c r="AL856" s="55" t="n">
        <x:v>1136</x:v>
      </x:c>
      <x:c r="AM856" s="55" t="n">
        <x:v>5153</x:v>
      </x:c>
      <x:c r="AN856" s="55" t="n">
        <x:v>2788</x:v>
      </x:c>
      <x:c r="AO856" s="55" t="n">
        <x:v>36</x:v>
      </x:c>
      <x:c r="AP856" s="55" t="n">
        <x:v>1996</x:v>
      </x:c>
      <x:c r="AQ856" s="55" t="n">
        <x:v>937</x:v>
      </x:c>
    </x:row>
    <x:row r="857">
      <x:c r="A857" s="54" t="str">
        <x:v>T1_SHARED_CATCHMENT</x:v>
      </x:c>
      <x:c r="B857" s="54" t="n">
        <x:v>851</x:v>
      </x:c>
      <x:c r="C857" s="54" t="str">
        <x:v>NYC-V2-R01</x:v>
      </x:c>
      <x:c r="D857" s="54" t="str">
        <x:v>V2</x:v>
      </x:c>
      <x:c r="E857" s="54" t="str">
        <x:v>ADMITTED</x:v>
      </x:c>
      <x:c r="F857" s="55" t="n">
        <x:v>31017</x:v>
      </x:c>
      <x:c r="G857" s="55" t="n">
        <x:v>7376</x:v>
      </x:c>
      <x:c r="H857" s="55" t="n">
        <x:v>2834</x:v>
      </x:c>
      <x:c r="I857" s="55" t="n">
        <x:v>1190</x:v>
      </x:c>
      <x:c r="J857" s="55" t="n">
        <x:v>153</x:v>
      </x:c>
      <x:c r="K857" s="55" t="n">
        <x:v>29352</x:v>
      </x:c>
      <x:c r="L857" s="55" t="n">
        <x:v>5839</x:v>
      </x:c>
      <x:c r="M857" s="55" t="n">
        <x:v>973</x:v>
      </x:c>
      <x:c r="N857" s="55" t="n">
        <x:v>3030</x:v>
      </x:c>
      <x:c r="O857" s="55" t="n">
        <x:v>1836</x:v>
      </x:c>
      <x:c r="P857" s="55" t="n">
        <x:v>731</x:v>
      </x:c>
      <x:c r="Q857" s="55" t="n">
        <x:v>2394</x:v>
      </x:c>
      <x:c r="R857" s="55" t="n">
        <x:v>1927</x:v>
      </x:c>
      <x:c r="S857" s="55" t="n">
        <x:v>2640</x:v>
      </x:c>
      <x:c r="T857" s="55" t="n">
        <x:v>1456</x:v>
      </x:c>
      <x:c r="U857" s="55" t="n">
        <x:v>1993</x:v>
      </x:c>
      <x:c r="V857" s="55" t="n">
        <x:v>10461</x:v>
      </x:c>
      <x:c r="W857" s="55" t="n">
        <x:v>7476</x:v>
      </x:c>
      <x:c r="X857" s="55" t="n">
        <x:v>2985</x:v>
      </x:c>
      <x:c r="Y857" s="55" t="n">
        <x:v>2472</x:v>
      </x:c>
      <x:c r="Z857" s="55" t="n">
        <x:v>3894</x:v>
      </x:c>
      <x:c r="AA857" s="55" t="n">
        <x:v>2530</x:v>
      </x:c>
      <x:c r="AB857" s="55" t="n">
        <x:v>831</x:v>
      </x:c>
      <x:c r="AC857" s="55" t="n">
        <x:v>7992</x:v>
      </x:c>
      <x:c r="AD857" s="55" t="n">
        <x:v>3103</x:v>
      </x:c>
      <x:c r="AE857" s="55" t="n">
        <x:v>10542</x:v>
      </x:c>
      <x:c r="AF857" s="55" t="n">
        <x:v>10461</x:v>
      </x:c>
      <x:c r="AG857" s="55" t="n">
        <x:v>81</x:v>
      </x:c>
      <x:c r="AH857" s="55" t="n">
        <x:v>415</x:v>
      </x:c>
      <x:c r="AI857" s="55" t="n">
        <x:v>10046</x:v>
      </x:c>
      <x:c r="AJ857" s="55" t="n">
        <x:v>321</x:v>
      </x:c>
      <x:c r="AK857" s="55" t="n">
        <x:v>901</x:v>
      </x:c>
      <x:c r="AL857" s="55" t="n">
        <x:v>1618</x:v>
      </x:c>
      <x:c r="AM857" s="55" t="n">
        <x:v>4822</x:v>
      </x:c>
      <x:c r="AN857" s="55" t="n">
        <x:v>2720</x:v>
      </x:c>
      <x:c r="AO857" s="55" t="n">
        <x:v>79</x:v>
      </x:c>
      <x:c r="AP857" s="55" t="n">
        <x:v>2239</x:v>
      </x:c>
      <x:c r="AQ857" s="55" t="n">
        <x:v>923</x:v>
      </x:c>
    </x:row>
    <x:row r="858">
      <x:c r="A858" s="54" t="str">
        <x:v>T1_SHARED_CATCHMENT</x:v>
      </x:c>
      <x:c r="B858" s="54" t="n">
        <x:v>852</x:v>
      </x:c>
      <x:c r="C858" s="54" t="str">
        <x:v>NYC-V2-R01</x:v>
      </x:c>
      <x:c r="D858" s="54" t="str">
        <x:v>V2</x:v>
      </x:c>
      <x:c r="E858" s="54" t="str">
        <x:v>ADMITTED</x:v>
      </x:c>
      <x:c r="F858" s="55" t="n">
        <x:v>30450</x:v>
      </x:c>
      <x:c r="G858" s="55" t="n">
        <x:v>7420</x:v>
      </x:c>
      <x:c r="H858" s="55" t="n">
        <x:v>2970</x:v>
      </x:c>
      <x:c r="I858" s="55" t="n">
        <x:v>604</x:v>
      </x:c>
      <x:c r="J858" s="55" t="n">
        <x:v>24</x:v>
      </x:c>
      <x:c r="K858" s="55" t="n">
        <x:v>27989</x:v>
      </x:c>
      <x:c r="L858" s="55" t="n">
        <x:v>4761</x:v>
      </x:c>
      <x:c r="M858" s="55" t="n">
        <x:v>371</x:v>
      </x:c>
      <x:c r="N858" s="55" t="n">
        <x:v>2678</x:v>
      </x:c>
      <x:c r="O858" s="55" t="n">
        <x:v>1712</x:v>
      </x:c>
      <x:c r="P858" s="55" t="n">
        <x:v>759</x:v>
      </x:c>
      <x:c r="Q858" s="55" t="n">
        <x:v>2460</x:v>
      </x:c>
      <x:c r="R858" s="55" t="n">
        <x:v>1143</x:v>
      </x:c>
      <x:c r="S858" s="55" t="n">
        <x:v>2617</x:v>
      </x:c>
      <x:c r="T858" s="55" t="n">
        <x:v>1128</x:v>
      </x:c>
      <x:c r="U858" s="55" t="n">
        <x:v>2218</x:v>
      </x:c>
      <x:c r="V858" s="55" t="n">
        <x:v>10039</x:v>
      </x:c>
      <x:c r="W858" s="55" t="n">
        <x:v>7017</x:v>
      </x:c>
      <x:c r="X858" s="55" t="n">
        <x:v>3022</x:v>
      </x:c>
      <x:c r="Y858" s="55" t="n">
        <x:v>2467</x:v>
      </x:c>
      <x:c r="Z858" s="55" t="n">
        <x:v>3142</x:v>
      </x:c>
      <x:c r="AA858" s="55" t="n">
        <x:v>2970</x:v>
      </x:c>
      <x:c r="AB858" s="55" t="n">
        <x:v>906</x:v>
      </x:c>
      <x:c r="AC858" s="55" t="n">
        <x:v>8234</x:v>
      </x:c>
      <x:c r="AD858" s="55" t="n">
        <x:v>2646</x:v>
      </x:c>
      <x:c r="AE858" s="55" t="n">
        <x:v>10156</x:v>
      </x:c>
      <x:c r="AF858" s="55" t="n">
        <x:v>10039</x:v>
      </x:c>
      <x:c r="AG858" s="55" t="n">
        <x:v>117</x:v>
      </x:c>
      <x:c r="AH858" s="55" t="n">
        <x:v>288</x:v>
      </x:c>
      <x:c r="AI858" s="55" t="n">
        <x:v>9751</x:v>
      </x:c>
      <x:c r="AJ858" s="55" t="n">
        <x:v>163</x:v>
      </x:c>
      <x:c r="AK858" s="55" t="n">
        <x:v>749</x:v>
      </x:c>
      <x:c r="AL858" s="55" t="n">
        <x:v>1552</x:v>
      </x:c>
      <x:c r="AM858" s="55" t="n">
        <x:v>5148</x:v>
      </x:c>
      <x:c r="AN858" s="55" t="n">
        <x:v>2427</x:v>
      </x:c>
      <x:c r="AO858" s="55" t="n">
        <x:v>0</x:v>
      </x:c>
      <x:c r="AP858" s="55" t="n">
        <x:v>1831</x:v>
      </x:c>
      <x:c r="AQ858" s="55" t="n">
        <x:v>891</x:v>
      </x:c>
    </x:row>
    <x:row r="859">
      <x:c r="A859" s="54" t="str">
        <x:v>T1_SHARED_CATCHMENT</x:v>
      </x:c>
      <x:c r="B859" s="54" t="n">
        <x:v>853</x:v>
      </x:c>
      <x:c r="C859" s="54" t="str">
        <x:v>NYC-V2-R01</x:v>
      </x:c>
      <x:c r="D859" s="54" t="str">
        <x:v>V2</x:v>
      </x:c>
      <x:c r="E859" s="54" t="str">
        <x:v>ADMITTED</x:v>
      </x:c>
      <x:c r="F859" s="55" t="n">
        <x:v>30662</x:v>
      </x:c>
      <x:c r="G859" s="55" t="n">
        <x:v>8545</x:v>
      </x:c>
      <x:c r="H859" s="55" t="n">
        <x:v>3352</x:v>
      </x:c>
      <x:c r="I859" s="55" t="n">
        <x:v>1149</x:v>
      </x:c>
      <x:c r="J859" s="55" t="n">
        <x:v>297</x:v>
      </x:c>
      <x:c r="K859" s="55" t="n">
        <x:v>30662</x:v>
      </x:c>
      <x:c r="L859" s="55" t="n">
        <x:v>6169</x:v>
      </x:c>
      <x:c r="M859" s="55" t="n">
        <x:v>1579</x:v>
      </x:c>
      <x:c r="N859" s="55" t="n">
        <x:v>2901</x:v>
      </x:c>
      <x:c r="O859" s="55" t="n">
        <x:v>1689</x:v>
      </x:c>
      <x:c r="P859" s="55" t="n">
        <x:v>689</x:v>
      </x:c>
      <x:c r="Q859" s="55" t="n">
        <x:v>1914</x:v>
      </x:c>
      <x:c r="R859" s="55" t="n">
        <x:v>1875</x:v>
      </x:c>
      <x:c r="S859" s="55" t="n">
        <x:v>2064</x:v>
      </x:c>
      <x:c r="T859" s="55" t="n">
        <x:v>1006</x:v>
      </x:c>
      <x:c r="U859" s="55" t="n">
        <x:v>2149</x:v>
      </x:c>
      <x:c r="V859" s="55" t="n">
        <x:v>10142</x:v>
      </x:c>
      <x:c r="W859" s="55" t="n">
        <x:v>7395</x:v>
      </x:c>
      <x:c r="X859" s="55" t="n">
        <x:v>2747</x:v>
      </x:c>
      <x:c r="Y859" s="55" t="n">
        <x:v>2115</x:v>
      </x:c>
      <x:c r="Z859" s="55" t="n">
        <x:v>3577</x:v>
      </x:c>
      <x:c r="AA859" s="55" t="n">
        <x:v>3107</x:v>
      </x:c>
      <x:c r="AB859" s="55" t="n">
        <x:v>1221</x:v>
      </x:c>
      <x:c r="AC859" s="55" t="n">
        <x:v>8644</x:v>
      </x:c>
      <x:c r="AD859" s="55" t="n">
        <x:v>3053</x:v>
      </x:c>
      <x:c r="AE859" s="55" t="n">
        <x:v>10227</x:v>
      </x:c>
      <x:c r="AF859" s="55" t="n">
        <x:v>10142</x:v>
      </x:c>
      <x:c r="AG859" s="55" t="n">
        <x:v>85</x:v>
      </x:c>
      <x:c r="AH859" s="55" t="n">
        <x:v>291</x:v>
      </x:c>
      <x:c r="AI859" s="55" t="n">
        <x:v>9851</x:v>
      </x:c>
      <x:c r="AJ859" s="55" t="n">
        <x:v>300</x:v>
      </x:c>
      <x:c r="AK859" s="55" t="n">
        <x:v>868</x:v>
      </x:c>
      <x:c r="AL859" s="55" t="n">
        <x:v>1483</x:v>
      </x:c>
      <x:c r="AM859" s="55" t="n">
        <x:v>4514</x:v>
      </x:c>
      <x:c r="AN859" s="55" t="n">
        <x:v>2977</x:v>
      </x:c>
      <x:c r="AO859" s="55" t="n">
        <x:v>0</x:v>
      </x:c>
      <x:c r="AP859" s="55" t="n">
        <x:v>2351</x:v>
      </x:c>
      <x:c r="AQ859" s="55" t="n">
        <x:v>949</x:v>
      </x:c>
    </x:row>
    <x:row r="860">
      <x:c r="A860" s="54" t="str">
        <x:v>T1_SHARED_CATCHMENT</x:v>
      </x:c>
      <x:c r="B860" s="54" t="n">
        <x:v>854</x:v>
      </x:c>
      <x:c r="C860" s="54" t="str">
        <x:v>NYC-V2-R01</x:v>
      </x:c>
      <x:c r="D860" s="54" t="str">
        <x:v>V2</x:v>
      </x:c>
      <x:c r="E860" s="54" t="str">
        <x:v>ADMITTED</x:v>
      </x:c>
      <x:c r="F860" s="55" t="n">
        <x:v>29702</x:v>
      </x:c>
      <x:c r="G860" s="55" t="n">
        <x:v>7469</x:v>
      </x:c>
      <x:c r="H860" s="55" t="n">
        <x:v>3435</x:v>
      </x:c>
      <x:c r="I860" s="55" t="n">
        <x:v>1308</x:v>
      </x:c>
      <x:c r="J860" s="55" t="n">
        <x:v>84</x:v>
      </x:c>
      <x:c r="K860" s="55" t="n">
        <x:v>29702</x:v>
      </x:c>
      <x:c r="L860" s="55" t="n">
        <x:v>4079</x:v>
      </x:c>
      <x:c r="M860" s="55" t="n">
        <x:v>0</x:v>
      </x:c>
      <x:c r="N860" s="55" t="n">
        <x:v>2108</x:v>
      </x:c>
      <x:c r="O860" s="55" t="n">
        <x:v>1971</x:v>
      </x:c>
      <x:c r="P860" s="55" t="n">
        <x:v>1127</x:v>
      </x:c>
      <x:c r="Q860" s="55" t="n">
        <x:v>3032</x:v>
      </x:c>
      <x:c r="R860" s="55" t="n">
        <x:v>1702</x:v>
      </x:c>
      <x:c r="S860" s="55" t="n">
        <x:v>2921</x:v>
      </x:c>
      <x:c r="T860" s="55" t="n">
        <x:v>857</x:v>
      </x:c>
      <x:c r="U860" s="55" t="n">
        <x:v>2208</x:v>
      </x:c>
      <x:c r="V860" s="55" t="n">
        <x:v>9685</x:v>
      </x:c>
      <x:c r="W860" s="55" t="n">
        <x:v>6538</x:v>
      </x:c>
      <x:c r="X860" s="55" t="n">
        <x:v>3147</x:v>
      </x:c>
      <x:c r="Y860" s="55" t="n">
        <x:v>2674</x:v>
      </x:c>
      <x:c r="Z860" s="55" t="n">
        <x:v>3891</x:v>
      </x:c>
      <x:c r="AA860" s="55" t="n">
        <x:v>3307</x:v>
      </x:c>
      <x:c r="AB860" s="55" t="n">
        <x:v>1143</x:v>
      </x:c>
      <x:c r="AC860" s="55" t="n">
        <x:v>7742</x:v>
      </x:c>
      <x:c r="AD860" s="55" t="n">
        <x:v>2557</x:v>
      </x:c>
      <x:c r="AE860" s="55" t="n">
        <x:v>9805</x:v>
      </x:c>
      <x:c r="AF860" s="55" t="n">
        <x:v>9685</x:v>
      </x:c>
      <x:c r="AG860" s="55" t="n">
        <x:v>120</x:v>
      </x:c>
      <x:c r="AH860" s="55" t="n">
        <x:v>342</x:v>
      </x:c>
      <x:c r="AI860" s="55" t="n">
        <x:v>9343</x:v>
      </x:c>
      <x:c r="AJ860" s="55" t="n">
        <x:v>219</x:v>
      </x:c>
      <x:c r="AK860" s="55" t="n">
        <x:v>1133</x:v>
      </x:c>
      <x:c r="AL860" s="55" t="n">
        <x:v>1641</x:v>
      </x:c>
      <x:c r="AM860" s="55" t="n">
        <x:v>4261</x:v>
      </x:c>
      <x:c r="AN860" s="55" t="n">
        <x:v>2398</x:v>
      </x:c>
      <x:c r="AO860" s="55" t="n">
        <x:v>33</x:v>
      </x:c>
      <x:c r="AP860" s="55" t="n">
        <x:v>2121</x:v>
      </x:c>
      <x:c r="AQ860" s="55" t="n">
        <x:v>946</x:v>
      </x:c>
    </x:row>
    <x:row r="861">
      <x:c r="A861" s="54" t="str">
        <x:v>T1_SHARED_CATCHMENT</x:v>
      </x:c>
      <x:c r="B861" s="54" t="n">
        <x:v>855</x:v>
      </x:c>
      <x:c r="C861" s="54" t="str">
        <x:v>NYC-V2-R01</x:v>
      </x:c>
      <x:c r="D861" s="54" t="str">
        <x:v>V2</x:v>
      </x:c>
      <x:c r="E861" s="54" t="str">
        <x:v>ADMITTED</x:v>
      </x:c>
      <x:c r="F861" s="55" t="n">
        <x:v>31645</x:v>
      </x:c>
      <x:c r="G861" s="55" t="n">
        <x:v>6969</x:v>
      </x:c>
      <x:c r="H861" s="55" t="n">
        <x:v>3929</x:v>
      </x:c>
      <x:c r="I861" s="55" t="n">
        <x:v>1620</x:v>
      </x:c>
      <x:c r="J861" s="55" t="n">
        <x:v>428</x:v>
      </x:c>
      <x:c r="K861" s="55" t="n">
        <x:v>28645</x:v>
      </x:c>
      <x:c r="L861" s="55" t="n">
        <x:v>6005</x:v>
      </x:c>
      <x:c r="M861" s="55" t="n">
        <x:v>1935</x:v>
      </x:c>
      <x:c r="N861" s="55" t="n">
        <x:v>2398</x:v>
      </x:c>
      <x:c r="O861" s="55" t="n">
        <x:v>1672</x:v>
      </x:c>
      <x:c r="P861" s="55" t="n">
        <x:v>707</x:v>
      </x:c>
      <x:c r="Q861" s="55" t="n">
        <x:v>2818</x:v>
      </x:c>
      <x:c r="R861" s="55" t="n">
        <x:v>1818</x:v>
      </x:c>
      <x:c r="S861" s="55" t="n">
        <x:v>2916</x:v>
      </x:c>
      <x:c r="T861" s="55" t="n">
        <x:v>1093</x:v>
      </x:c>
      <x:c r="U861" s="55" t="n">
        <x:v>2627</x:v>
      </x:c>
      <x:c r="V861" s="55" t="n">
        <x:v>10462</x:v>
      </x:c>
      <x:c r="W861" s="55" t="n">
        <x:v>7457</x:v>
      </x:c>
      <x:c r="X861" s="55" t="n">
        <x:v>3005</x:v>
      </x:c>
      <x:c r="Y861" s="55" t="n">
        <x:v>2710</x:v>
      </x:c>
      <x:c r="Z861" s="55" t="n">
        <x:v>3594</x:v>
      </x:c>
      <x:c r="AA861" s="55" t="n">
        <x:v>3122</x:v>
      </x:c>
      <x:c r="AB861" s="55" t="n">
        <x:v>1346</x:v>
      </x:c>
      <x:c r="AC861" s="55" t="n">
        <x:v>8125</x:v>
      </x:c>
      <x:c r="AD861" s="55" t="n">
        <x:v>2683</x:v>
      </x:c>
      <x:c r="AE861" s="55" t="n">
        <x:v>10551</x:v>
      </x:c>
      <x:c r="AF861" s="55" t="n">
        <x:v>10462</x:v>
      </x:c>
      <x:c r="AG861" s="55" t="n">
        <x:v>89</x:v>
      </x:c>
      <x:c r="AH861" s="55" t="n">
        <x:v>357</x:v>
      </x:c>
      <x:c r="AI861" s="55" t="n">
        <x:v>10105</x:v>
      </x:c>
      <x:c r="AJ861" s="55" t="n">
        <x:v>270</x:v>
      </x:c>
      <x:c r="AK861" s="55" t="n">
        <x:v>1442</x:v>
      </x:c>
      <x:c r="AL861" s="55" t="n">
        <x:v>1318</x:v>
      </x:c>
      <x:c r="AM861" s="55" t="n">
        <x:v>4203</x:v>
      </x:c>
      <x:c r="AN861" s="55" t="n">
        <x:v>3155</x:v>
      </x:c>
      <x:c r="AO861" s="55" t="n">
        <x:v>74</x:v>
      </x:c>
      <x:c r="AP861" s="55" t="n">
        <x:v>2089</x:v>
      </x:c>
      <x:c r="AQ861" s="55" t="n">
        <x:v>935</x:v>
      </x:c>
    </x:row>
    <x:row r="862">
      <x:c r="A862" s="54" t="str">
        <x:v>T1_SHARED_CATCHMENT</x:v>
      </x:c>
      <x:c r="B862" s="54" t="n">
        <x:v>856</x:v>
      </x:c>
      <x:c r="C862" s="54" t="str">
        <x:v>NYC-V2-R01</x:v>
      </x:c>
      <x:c r="D862" s="54" t="str">
        <x:v>V2</x:v>
      </x:c>
      <x:c r="E862" s="54" t="str">
        <x:v>ADMITTED</x:v>
      </x:c>
      <x:c r="F862" s="55" t="n">
        <x:v>30291</x:v>
      </x:c>
      <x:c r="G862" s="55" t="n">
        <x:v>7502</x:v>
      </x:c>
      <x:c r="H862" s="55" t="n">
        <x:v>3209</x:v>
      </x:c>
      <x:c r="I862" s="55" t="n">
        <x:v>1220</x:v>
      </x:c>
      <x:c r="J862" s="55" t="n">
        <x:v>217</x:v>
      </x:c>
      <x:c r="K862" s="55" t="n">
        <x:v>30291</x:v>
      </x:c>
      <x:c r="L862" s="55" t="n">
        <x:v>5999</x:v>
      </x:c>
      <x:c r="M862" s="55" t="n">
        <x:v>1913</x:v>
      </x:c>
      <x:c r="N862" s="55" t="n">
        <x:v>2142</x:v>
      </x:c>
      <x:c r="O862" s="55" t="n">
        <x:v>1944</x:v>
      </x:c>
      <x:c r="P862" s="55" t="n">
        <x:v>894</x:v>
      </x:c>
      <x:c r="Q862" s="55" t="n">
        <x:v>2505</x:v>
      </x:c>
      <x:c r="R862" s="55" t="n">
        <x:v>1343</x:v>
      </x:c>
      <x:c r="S862" s="55" t="n">
        <x:v>2304</x:v>
      </x:c>
      <x:c r="T862" s="55" t="n">
        <x:v>1482</x:v>
      </x:c>
      <x:c r="U862" s="55" t="n">
        <x:v>2384</x:v>
      </x:c>
      <x:c r="V862" s="55" t="n">
        <x:v>10192</x:v>
      </x:c>
      <x:c r="W862" s="55" t="n">
        <x:v>7514</x:v>
      </x:c>
      <x:c r="X862" s="55" t="n">
        <x:v>2678</x:v>
      </x:c>
      <x:c r="Y862" s="55" t="n">
        <x:v>2246</x:v>
      </x:c>
      <x:c r="Z862" s="55" t="n">
        <x:v>4069</x:v>
      </x:c>
      <x:c r="AA862" s="55" t="n">
        <x:v>3209</x:v>
      </x:c>
      <x:c r="AB862" s="55" t="n">
        <x:v>1679</x:v>
      </x:c>
      <x:c r="AC862" s="55" t="n">
        <x:v>8470</x:v>
      </x:c>
      <x:c r="AD862" s="55" t="n">
        <x:v>3080</x:v>
      </x:c>
      <x:c r="AE862" s="55" t="n">
        <x:v>10296</x:v>
      </x:c>
      <x:c r="AF862" s="55" t="n">
        <x:v>10192</x:v>
      </x:c>
      <x:c r="AG862" s="55" t="n">
        <x:v>104</x:v>
      </x:c>
      <x:c r="AH862" s="55" t="n">
        <x:v>356</x:v>
      </x:c>
      <x:c r="AI862" s="55" t="n">
        <x:v>9836</x:v>
      </x:c>
      <x:c r="AJ862" s="55" t="n">
        <x:v>495</x:v>
      </x:c>
      <x:c r="AK862" s="55" t="n">
        <x:v>761</x:v>
      </x:c>
      <x:c r="AL862" s="55" t="n">
        <x:v>1345</x:v>
      </x:c>
      <x:c r="AM862" s="55" t="n">
        <x:v>4500</x:v>
      </x:c>
      <x:c r="AN862" s="55" t="n">
        <x:v>3063</x:v>
      </x:c>
      <x:c r="AO862" s="55" t="n">
        <x:v>28</x:v>
      </x:c>
      <x:c r="AP862" s="55" t="n">
        <x:v>2514</x:v>
      </x:c>
      <x:c r="AQ862" s="55" t="n">
        <x:v>992</x:v>
      </x:c>
    </x:row>
    <x:row r="863">
      <x:c r="A863" s="54" t="str">
        <x:v>T1_SHARED_CATCHMENT</x:v>
      </x:c>
      <x:c r="B863" s="54" t="n">
        <x:v>857</x:v>
      </x:c>
      <x:c r="C863" s="54" t="str">
        <x:v>NYC-V2-R01</x:v>
      </x:c>
      <x:c r="D863" s="54" t="str">
        <x:v>V2</x:v>
      </x:c>
      <x:c r="E863" s="54" t="str">
        <x:v>ADMITTED</x:v>
      </x:c>
      <x:c r="F863" s="55" t="n">
        <x:v>30867</x:v>
      </x:c>
      <x:c r="G863" s="55" t="n">
        <x:v>8557</x:v>
      </x:c>
      <x:c r="H863" s="55" t="n">
        <x:v>2870</x:v>
      </x:c>
      <x:c r="I863" s="55" t="n">
        <x:v>797</x:v>
      </x:c>
      <x:c r="J863" s="55" t="n">
        <x:v>51</x:v>
      </x:c>
      <x:c r="K863" s="55" t="n">
        <x:v>27876</x:v>
      </x:c>
      <x:c r="L863" s="55" t="n">
        <x:v>4676</x:v>
      </x:c>
      <x:c r="M863" s="55" t="n">
        <x:v>214</x:v>
      </x:c>
      <x:c r="N863" s="55" t="n">
        <x:v>2619</x:v>
      </x:c>
      <x:c r="O863" s="55" t="n">
        <x:v>1843</x:v>
      </x:c>
      <x:c r="P863" s="55" t="n">
        <x:v>680</x:v>
      </x:c>
      <x:c r="Q863" s="55" t="n">
        <x:v>1106</x:v>
      </x:c>
      <x:c r="R863" s="55" t="n">
        <x:v>1342</x:v>
      </x:c>
      <x:c r="S863" s="55" t="n">
        <x:v>3140</x:v>
      </x:c>
      <x:c r="T863" s="55" t="n">
        <x:v>872</x:v>
      </x:c>
      <x:c r="U863" s="55" t="n">
        <x:v>1715</x:v>
      </x:c>
      <x:c r="V863" s="55" t="n">
        <x:v>9733</x:v>
      </x:c>
      <x:c r="W863" s="55" t="n">
        <x:v>6815</x:v>
      </x:c>
      <x:c r="X863" s="55" t="n">
        <x:v>2918</x:v>
      </x:c>
      <x:c r="Y863" s="55" t="n">
        <x:v>2486</x:v>
      </x:c>
      <x:c r="Z863" s="55" t="n">
        <x:v>3939</x:v>
      </x:c>
      <x:c r="AA863" s="55" t="n">
        <x:v>2813</x:v>
      </x:c>
      <x:c r="AB863" s="55" t="n">
        <x:v>828</x:v>
      </x:c>
      <x:c r="AC863" s="55" t="n">
        <x:v>7977</x:v>
      </x:c>
      <x:c r="AD863" s="55" t="n">
        <x:v>2277</x:v>
      </x:c>
      <x:c r="AE863" s="55" t="n">
        <x:v>9789</x:v>
      </x:c>
      <x:c r="AF863" s="55" t="n">
        <x:v>9733</x:v>
      </x:c>
      <x:c r="AG863" s="55" t="n">
        <x:v>56</x:v>
      </x:c>
      <x:c r="AH863" s="55" t="n">
        <x:v>248</x:v>
      </x:c>
      <x:c r="AI863" s="55" t="n">
        <x:v>9485</x:v>
      </x:c>
      <x:c r="AJ863" s="55" t="n">
        <x:v>331</x:v>
      </x:c>
      <x:c r="AK863" s="55" t="n">
        <x:v>1017</x:v>
      </x:c>
      <x:c r="AL863" s="55" t="n">
        <x:v>1850</x:v>
      </x:c>
      <x:c r="AM863" s="55" t="n">
        <x:v>3944</x:v>
      </x:c>
      <x:c r="AN863" s="55" t="n">
        <x:v>2591</x:v>
      </x:c>
      <x:c r="AO863" s="55" t="n">
        <x:v>0</x:v>
      </x:c>
      <x:c r="AP863" s="55" t="n">
        <x:v>2161</x:v>
      </x:c>
      <x:c r="AQ863" s="55" t="n">
        <x:v>907</x:v>
      </x:c>
    </x:row>
    <x:row r="864">
      <x:c r="A864" s="54" t="str">
        <x:v>T1_SHARED_CATCHMENT</x:v>
      </x:c>
      <x:c r="B864" s="54" t="n">
        <x:v>858</x:v>
      </x:c>
      <x:c r="C864" s="54" t="str">
        <x:v>NYC-V2-R01</x:v>
      </x:c>
      <x:c r="D864" s="54" t="str">
        <x:v>V2</x:v>
      </x:c>
      <x:c r="E864" s="54" t="str">
        <x:v>ADMITTED</x:v>
      </x:c>
      <x:c r="F864" s="55" t="n">
        <x:v>31504</x:v>
      </x:c>
      <x:c r="G864" s="55" t="n">
        <x:v>9308</x:v>
      </x:c>
      <x:c r="H864" s="55" t="n">
        <x:v>2756</x:v>
      </x:c>
      <x:c r="I864" s="55" t="n">
        <x:v>1141</x:v>
      </x:c>
      <x:c r="J864" s="55" t="n">
        <x:v>212</x:v>
      </x:c>
      <x:c r="K864" s="55" t="n">
        <x:v>31467</x:v>
      </x:c>
      <x:c r="L864" s="55" t="n">
        <x:v>5479</x:v>
      </x:c>
      <x:c r="M864" s="55" t="n">
        <x:v>1378</x:v>
      </x:c>
      <x:c r="N864" s="55" t="n">
        <x:v>2370</x:v>
      </x:c>
      <x:c r="O864" s="55" t="n">
        <x:v>1731</x:v>
      </x:c>
      <x:c r="P864" s="55" t="n">
        <x:v>880</x:v>
      </x:c>
      <x:c r="Q864" s="55" t="n">
        <x:v>2517</x:v>
      </x:c>
      <x:c r="R864" s="55" t="n">
        <x:v>2012</x:v>
      </x:c>
      <x:c r="S864" s="55" t="n">
        <x:v>3096</x:v>
      </x:c>
      <x:c r="T864" s="55" t="n">
        <x:v>945</x:v>
      </x:c>
      <x:c r="U864" s="55" t="n">
        <x:v>2162</x:v>
      </x:c>
      <x:c r="V864" s="55" t="n">
        <x:v>10386</x:v>
      </x:c>
      <x:c r="W864" s="55" t="n">
        <x:v>7244</x:v>
      </x:c>
      <x:c r="X864" s="55" t="n">
        <x:v>3142</x:v>
      </x:c>
      <x:c r="Y864" s="55" t="n">
        <x:v>2593</x:v>
      </x:c>
      <x:c r="Z864" s="55" t="n">
        <x:v>3772</x:v>
      </x:c>
      <x:c r="AA864" s="55" t="n">
        <x:v>2638</x:v>
      </x:c>
      <x:c r="AB864" s="55" t="n">
        <x:v>1080</x:v>
      </x:c>
      <x:c r="AC864" s="55" t="n">
        <x:v>8287</x:v>
      </x:c>
      <x:c r="AD864" s="55" t="n">
        <x:v>2795</x:v>
      </x:c>
      <x:c r="AE864" s="55" t="n">
        <x:v>10489</x:v>
      </x:c>
      <x:c r="AF864" s="55" t="n">
        <x:v>10386</x:v>
      </x:c>
      <x:c r="AG864" s="55" t="n">
        <x:v>103</x:v>
      </x:c>
      <x:c r="AH864" s="55" t="n">
        <x:v>489</x:v>
      </x:c>
      <x:c r="AI864" s="55" t="n">
        <x:v>9897</x:v>
      </x:c>
      <x:c r="AJ864" s="55" t="n">
        <x:v>411</x:v>
      </x:c>
      <x:c r="AK864" s="55" t="n">
        <x:v>916</x:v>
      </x:c>
      <x:c r="AL864" s="55" t="n">
        <x:v>1839</x:v>
      </x:c>
      <x:c r="AM864" s="55" t="n">
        <x:v>4494</x:v>
      </x:c>
      <x:c r="AN864" s="55" t="n">
        <x:v>2726</x:v>
      </x:c>
      <x:c r="AO864" s="55" t="n">
        <x:v>0</x:v>
      </x:c>
      <x:c r="AP864" s="55" t="n">
        <x:v>2148</x:v>
      </x:c>
      <x:c r="AQ864" s="55" t="n">
        <x:v>957</x:v>
      </x:c>
    </x:row>
    <x:row r="865">
      <x:c r="A865" s="54" t="str">
        <x:v>T1_SHARED_CATCHMENT</x:v>
      </x:c>
      <x:c r="B865" s="54" t="n">
        <x:v>859</x:v>
      </x:c>
      <x:c r="C865" s="54" t="str">
        <x:v>NYC-V2-R01</x:v>
      </x:c>
      <x:c r="D865" s="54" t="str">
        <x:v>V2</x:v>
      </x:c>
      <x:c r="E865" s="54" t="str">
        <x:v>ADMITTED</x:v>
      </x:c>
      <x:c r="F865" s="55" t="n">
        <x:v>33945</x:v>
      </x:c>
      <x:c r="G865" s="55" t="n">
        <x:v>7522</x:v>
      </x:c>
      <x:c r="H865" s="55" t="n">
        <x:v>2980</x:v>
      </x:c>
      <x:c r="I865" s="55" t="n">
        <x:v>932</x:v>
      </x:c>
      <x:c r="J865" s="55" t="n">
        <x:v>156</x:v>
      </x:c>
      <x:c r="K865" s="55" t="n">
        <x:v>33945</x:v>
      </x:c>
      <x:c r="L865" s="55" t="n">
        <x:v>5672</x:v>
      </x:c>
      <x:c r="M865" s="55" t="n">
        <x:v>1651</x:v>
      </x:c>
      <x:c r="N865" s="55" t="n">
        <x:v>2511</x:v>
      </x:c>
      <x:c r="O865" s="55" t="n">
        <x:v>1510</x:v>
      </x:c>
      <x:c r="P865" s="55" t="n">
        <x:v>556</x:v>
      </x:c>
      <x:c r="Q865" s="55" t="n">
        <x:v>1976</x:v>
      </x:c>
      <x:c r="R865" s="55" t="n">
        <x:v>1483</x:v>
      </x:c>
      <x:c r="S865" s="55" t="n">
        <x:v>2674</x:v>
      </x:c>
      <x:c r="T865" s="55" t="n">
        <x:v>1462</x:v>
      </x:c>
      <x:c r="U865" s="55" t="n">
        <x:v>2113</x:v>
      </x:c>
      <x:c r="V865" s="55" t="n">
        <x:v>10445</x:v>
      </x:c>
      <x:c r="W865" s="55" t="n">
        <x:v>7334</x:v>
      </x:c>
      <x:c r="X865" s="55" t="n">
        <x:v>3111</x:v>
      </x:c>
      <x:c r="Y865" s="55" t="n">
        <x:v>2638</x:v>
      </x:c>
      <x:c r="Z865" s="55" t="n">
        <x:v>3976</x:v>
      </x:c>
      <x:c r="AA865" s="55" t="n">
        <x:v>2682</x:v>
      </x:c>
      <x:c r="AB865" s="55" t="n">
        <x:v>915</x:v>
      </x:c>
      <x:c r="AC865" s="55" t="n">
        <x:v>8208</x:v>
      </x:c>
      <x:c r="AD865" s="55" t="n">
        <x:v>2815</x:v>
      </x:c>
      <x:c r="AE865" s="55" t="n">
        <x:v>10586</x:v>
      </x:c>
      <x:c r="AF865" s="55" t="n">
        <x:v>10445</x:v>
      </x:c>
      <x:c r="AG865" s="55" t="n">
        <x:v>141</x:v>
      </x:c>
      <x:c r="AH865" s="55" t="n">
        <x:v>541</x:v>
      </x:c>
      <x:c r="AI865" s="55" t="n">
        <x:v>9904</x:v>
      </x:c>
      <x:c r="AJ865" s="55" t="n">
        <x:v>297</x:v>
      </x:c>
      <x:c r="AK865" s="55" t="n">
        <x:v>1559</x:v>
      </x:c>
      <x:c r="AL865" s="55" t="n">
        <x:v>1093</x:v>
      </x:c>
      <x:c r="AM865" s="55" t="n">
        <x:v>5399</x:v>
      </x:c>
      <x:c r="AN865" s="55" t="n">
        <x:v>2061</x:v>
      </x:c>
      <x:c r="AO865" s="55" t="n">
        <x:v>36</x:v>
      </x:c>
      <x:c r="AP865" s="55" t="n">
        <x:v>2494</x:v>
      </x:c>
      <x:c r="AQ865" s="55" t="n">
        <x:v>937</x:v>
      </x:c>
    </x:row>
    <x:row r="866">
      <x:c r="A866" s="54" t="str">
        <x:v>T1_SHARED_CATCHMENT</x:v>
      </x:c>
      <x:c r="B866" s="54" t="n">
        <x:v>860</x:v>
      </x:c>
      <x:c r="C866" s="54" t="str">
        <x:v>NYC-V2-R01</x:v>
      </x:c>
      <x:c r="D866" s="54" t="str">
        <x:v>V2</x:v>
      </x:c>
      <x:c r="E866" s="54" t="str">
        <x:v>ADMITTED</x:v>
      </x:c>
      <x:c r="F866" s="55" t="n">
        <x:v>30885</x:v>
      </x:c>
      <x:c r="G866" s="55" t="n">
        <x:v>7009</x:v>
      </x:c>
      <x:c r="H866" s="55" t="n">
        <x:v>3341</x:v>
      </x:c>
      <x:c r="I866" s="55" t="n">
        <x:v>1350</x:v>
      </x:c>
      <x:c r="J866" s="55" t="n">
        <x:v>43</x:v>
      </x:c>
      <x:c r="K866" s="55" t="n">
        <x:v>30351</x:v>
      </x:c>
      <x:c r="L866" s="55" t="n">
        <x:v>5335</x:v>
      </x:c>
      <x:c r="M866" s="55" t="n">
        <x:v>2065</x:v>
      </x:c>
      <x:c r="N866" s="55" t="n">
        <x:v>1686</x:v>
      </x:c>
      <x:c r="O866" s="55" t="n">
        <x:v>1584</x:v>
      </x:c>
      <x:c r="P866" s="55" t="n">
        <x:v>898</x:v>
      </x:c>
      <x:c r="Q866" s="55" t="n">
        <x:v>2408</x:v>
      </x:c>
      <x:c r="R866" s="55" t="n">
        <x:v>1726</x:v>
      </x:c>
      <x:c r="S866" s="55" t="n">
        <x:v>2776</x:v>
      </x:c>
      <x:c r="T866" s="55" t="n">
        <x:v>1175</x:v>
      </x:c>
      <x:c r="U866" s="55" t="n">
        <x:v>1672</x:v>
      </x:c>
      <x:c r="V866" s="55" t="n">
        <x:v>9665</x:v>
      </x:c>
      <x:c r="W866" s="55" t="n">
        <x:v>6684</x:v>
      </x:c>
      <x:c r="X866" s="55" t="n">
        <x:v>2981</x:v>
      </x:c>
      <x:c r="Y866" s="55" t="n">
        <x:v>2499</x:v>
      </x:c>
      <x:c r="Z866" s="55" t="n">
        <x:v>3461</x:v>
      </x:c>
      <x:c r="AA866" s="55" t="n">
        <x:v>2977</x:v>
      </x:c>
      <x:c r="AB866" s="55" t="n">
        <x:v>1125</x:v>
      </x:c>
      <x:c r="AC866" s="55" t="n">
        <x:v>7769</x:v>
      </x:c>
      <x:c r="AD866" s="55" t="n">
        <x:v>2781</x:v>
      </x:c>
      <x:c r="AE866" s="55" t="n">
        <x:v>9745</x:v>
      </x:c>
      <x:c r="AF866" s="55" t="n">
        <x:v>9665</x:v>
      </x:c>
      <x:c r="AG866" s="55" t="n">
        <x:v>80</x:v>
      </x:c>
      <x:c r="AH866" s="55" t="n">
        <x:v>129</x:v>
      </x:c>
      <x:c r="AI866" s="55" t="n">
        <x:v>9536</x:v>
      </x:c>
      <x:c r="AJ866" s="55" t="n">
        <x:v>207</x:v>
      </x:c>
      <x:c r="AK866" s="55" t="n">
        <x:v>1159</x:v>
      </x:c>
      <x:c r="AL866" s="55" t="n">
        <x:v>1739</x:v>
      </x:c>
      <x:c r="AM866" s="55" t="n">
        <x:v>3991</x:v>
      </x:c>
      <x:c r="AN866" s="55" t="n">
        <x:v>2555</x:v>
      </x:c>
      <x:c r="AO866" s="55" t="n">
        <x:v>14</x:v>
      </x:c>
      <x:c r="AP866" s="55" t="n">
        <x:v>2132</x:v>
      </x:c>
      <x:c r="AQ866" s="55" t="n">
        <x:v>938</x:v>
      </x:c>
    </x:row>
    <x:row r="867">
      <x:c r="A867" s="54" t="str">
        <x:v>T1_SHARED_CATCHMENT</x:v>
      </x:c>
      <x:c r="B867" s="54" t="n">
        <x:v>861</x:v>
      </x:c>
      <x:c r="C867" s="54" t="str">
        <x:v>NYC-V2-R01</x:v>
      </x:c>
      <x:c r="D867" s="54" t="str">
        <x:v>V2</x:v>
      </x:c>
      <x:c r="E867" s="54" t="str">
        <x:v>ADMITTED</x:v>
      </x:c>
      <x:c r="F867" s="55" t="n">
        <x:v>30607</x:v>
      </x:c>
      <x:c r="G867" s="55" t="n">
        <x:v>8513</x:v>
      </x:c>
      <x:c r="H867" s="55" t="n">
        <x:v>3055</x:v>
      </x:c>
      <x:c r="I867" s="55" t="n">
        <x:v>1061</x:v>
      </x:c>
      <x:c r="J867" s="55" t="n">
        <x:v>152</x:v>
      </x:c>
      <x:c r="K867" s="55" t="n">
        <x:v>25674</x:v>
      </x:c>
      <x:c r="L867" s="55" t="n">
        <x:v>3507</x:v>
      </x:c>
      <x:c r="M867" s="55" t="n">
        <x:v>461</x:v>
      </x:c>
      <x:c r="N867" s="55" t="n">
        <x:v>1723</x:v>
      </x:c>
      <x:c r="O867" s="55" t="n">
        <x:v>1323</x:v>
      </x:c>
      <x:c r="P867" s="55" t="n">
        <x:v>911</x:v>
      </x:c>
      <x:c r="Q867" s="55" t="n">
        <x:v>2504</x:v>
      </x:c>
      <x:c r="R867" s="55" t="n">
        <x:v>1381</x:v>
      </x:c>
      <x:c r="S867" s="55" t="n">
        <x:v>2928</x:v>
      </x:c>
      <x:c r="T867" s="55" t="n">
        <x:v>988</x:v>
      </x:c>
      <x:c r="U867" s="55" t="n">
        <x:v>1822</x:v>
      </x:c>
      <x:c r="V867" s="55" t="n">
        <x:v>10411</x:v>
      </x:c>
      <x:c r="W867" s="55" t="n">
        <x:v>7643</x:v>
      </x:c>
      <x:c r="X867" s="55" t="n">
        <x:v>2768</x:v>
      </x:c>
      <x:c r="Y867" s="55" t="n">
        <x:v>2391</x:v>
      </x:c>
      <x:c r="Z867" s="55" t="n">
        <x:v>3452</x:v>
      </x:c>
      <x:c r="AA867" s="55" t="n">
        <x:v>3055</x:v>
      </x:c>
      <x:c r="AB867" s="55" t="n">
        <x:v>981</x:v>
      </x:c>
      <x:c r="AC867" s="55" t="n">
        <x:v>8608</x:v>
      </x:c>
      <x:c r="AD867" s="55" t="n">
        <x:v>2918</x:v>
      </x:c>
      <x:c r="AE867" s="55" t="n">
        <x:v>10597</x:v>
      </x:c>
      <x:c r="AF867" s="55" t="n">
        <x:v>10411</x:v>
      </x:c>
      <x:c r="AG867" s="55" t="n">
        <x:v>186</x:v>
      </x:c>
      <x:c r="AH867" s="55" t="n">
        <x:v>341</x:v>
      </x:c>
      <x:c r="AI867" s="55" t="n">
        <x:v>10070</x:v>
      </x:c>
      <x:c r="AJ867" s="55" t="n">
        <x:v>201</x:v>
      </x:c>
      <x:c r="AK867" s="55" t="n">
        <x:v>1188</x:v>
      </x:c>
      <x:c r="AL867" s="55" t="n">
        <x:v>1089</x:v>
      </x:c>
      <x:c r="AM867" s="55" t="n">
        <x:v>5398</x:v>
      </x:c>
      <x:c r="AN867" s="55" t="n">
        <x:v>2535</x:v>
      </x:c>
      <x:c r="AO867" s="55" t="n">
        <x:v>0</x:v>
      </x:c>
      <x:c r="AP867" s="55" t="n">
        <x:v>2160</x:v>
      </x:c>
      <x:c r="AQ867" s="55" t="n">
        <x:v>970</x:v>
      </x:c>
    </x:row>
    <x:row r="868">
      <x:c r="A868" s="54" t="str">
        <x:v>T1_SHARED_CATCHMENT</x:v>
      </x:c>
      <x:c r="B868" s="54" t="n">
        <x:v>862</x:v>
      </x:c>
      <x:c r="C868" s="54" t="str">
        <x:v>NYC-V2-R01</x:v>
      </x:c>
      <x:c r="D868" s="54" t="str">
        <x:v>V2</x:v>
      </x:c>
      <x:c r="E868" s="54" t="str">
        <x:v>ADMITTED</x:v>
      </x:c>
      <x:c r="F868" s="55" t="n">
        <x:v>30887</x:v>
      </x:c>
      <x:c r="G868" s="55" t="n">
        <x:v>5204</x:v>
      </x:c>
      <x:c r="H868" s="55" t="n">
        <x:v>3248</x:v>
      </x:c>
      <x:c r="I868" s="55" t="n">
        <x:v>1330</x:v>
      </x:c>
      <x:c r="J868" s="55" t="n">
        <x:v>284</x:v>
      </x:c>
      <x:c r="K868" s="55" t="n">
        <x:v>30887</x:v>
      </x:c>
      <x:c r="L868" s="55" t="n">
        <x:v>5633</x:v>
      </x:c>
      <x:c r="M868" s="55" t="n">
        <x:v>1265</x:v>
      </x:c>
      <x:c r="N868" s="55" t="n">
        <x:v>2851</x:v>
      </x:c>
      <x:c r="O868" s="55" t="n">
        <x:v>1517</x:v>
      </x:c>
      <x:c r="P868" s="55" t="n">
        <x:v>633</x:v>
      </x:c>
      <x:c r="Q868" s="55" t="n">
        <x:v>2410</x:v>
      </x:c>
      <x:c r="R868" s="55" t="n">
        <x:v>1723</x:v>
      </x:c>
      <x:c r="S868" s="55" t="n">
        <x:v>2883</x:v>
      </x:c>
      <x:c r="T868" s="55" t="n">
        <x:v>934</x:v>
      </x:c>
      <x:c r="U868" s="55" t="n">
        <x:v>1897</x:v>
      </x:c>
      <x:c r="V868" s="55" t="n">
        <x:v>10455</x:v>
      </x:c>
      <x:c r="W868" s="55" t="n">
        <x:v>7433</x:v>
      </x:c>
      <x:c r="X868" s="55" t="n">
        <x:v>3022</x:v>
      </x:c>
      <x:c r="Y868" s="55" t="n">
        <x:v>2552</x:v>
      </x:c>
      <x:c r="Z868" s="55" t="n">
        <x:v>2861</x:v>
      </x:c>
      <x:c r="AA868" s="55" t="n">
        <x:v>2930</x:v>
      </x:c>
      <x:c r="AB868" s="55" t="n">
        <x:v>1459</x:v>
      </x:c>
      <x:c r="AC868" s="55" t="n">
        <x:v>7800</x:v>
      </x:c>
      <x:c r="AD868" s="55" t="n">
        <x:v>2924</x:v>
      </x:c>
      <x:c r="AE868" s="55" t="n">
        <x:v>10482</x:v>
      </x:c>
      <x:c r="AF868" s="55" t="n">
        <x:v>10455</x:v>
      </x:c>
      <x:c r="AG868" s="55" t="n">
        <x:v>27</x:v>
      </x:c>
      <x:c r="AH868" s="55" t="n">
        <x:v>429</x:v>
      </x:c>
      <x:c r="AI868" s="55" t="n">
        <x:v>10026</x:v>
      </x:c>
      <x:c r="AJ868" s="55" t="n">
        <x:v>358</x:v>
      </x:c>
      <x:c r="AK868" s="55" t="n">
        <x:v>1086</x:v>
      </x:c>
      <x:c r="AL868" s="55" t="n">
        <x:v>1608</x:v>
      </x:c>
      <x:c r="AM868" s="55" t="n">
        <x:v>4826</x:v>
      </x:c>
      <x:c r="AN868" s="55" t="n">
        <x:v>2569</x:v>
      </x:c>
      <x:c r="AO868" s="55" t="n">
        <x:v>8</x:v>
      </x:c>
      <x:c r="AP868" s="55" t="n">
        <x:v>2610</x:v>
      </x:c>
      <x:c r="AQ868" s="55" t="n">
        <x:v>947</x:v>
      </x:c>
    </x:row>
    <x:row r="869">
      <x:c r="A869" s="54" t="str">
        <x:v>T1_SHARED_CATCHMENT</x:v>
      </x:c>
      <x:c r="B869" s="54" t="n">
        <x:v>863</x:v>
      </x:c>
      <x:c r="C869" s="54" t="str">
        <x:v>NYC-V2-R01</x:v>
      </x:c>
      <x:c r="D869" s="54" t="str">
        <x:v>V2</x:v>
      </x:c>
      <x:c r="E869" s="54" t="str">
        <x:v>ADMITTED</x:v>
      </x:c>
      <x:c r="F869" s="55" t="n">
        <x:v>31900</x:v>
      </x:c>
      <x:c r="G869" s="55" t="n">
        <x:v>8973</x:v>
      </x:c>
      <x:c r="H869" s="55" t="n">
        <x:v>2881</x:v>
      </x:c>
      <x:c r="I869" s="55" t="n">
        <x:v>868</x:v>
      </x:c>
      <x:c r="J869" s="55" t="n">
        <x:v>167</x:v>
      </x:c>
      <x:c r="K869" s="55" t="n">
        <x:v>29003</x:v>
      </x:c>
      <x:c r="L869" s="55" t="n">
        <x:v>3801</x:v>
      </x:c>
      <x:c r="M869" s="55" t="n">
        <x:v>692</x:v>
      </x:c>
      <x:c r="N869" s="55" t="n">
        <x:v>1646</x:v>
      </x:c>
      <x:c r="O869" s="55" t="n">
        <x:v>1463</x:v>
      </x:c>
      <x:c r="P869" s="55" t="n">
        <x:v>758</x:v>
      </x:c>
      <x:c r="Q869" s="55" t="n">
        <x:v>1784</x:v>
      </x:c>
      <x:c r="R869" s="55" t="n">
        <x:v>1462</x:v>
      </x:c>
      <x:c r="S869" s="55" t="n">
        <x:v>2739</x:v>
      </x:c>
      <x:c r="T869" s="55" t="n">
        <x:v>944</x:v>
      </x:c>
      <x:c r="U869" s="55" t="n">
        <x:v>2059</x:v>
      </x:c>
      <x:c r="V869" s="55" t="n">
        <x:v>10003</x:v>
      </x:c>
      <x:c r="W869" s="55" t="n">
        <x:v>7444</x:v>
      </x:c>
      <x:c r="X869" s="55" t="n">
        <x:v>2559</x:v>
      </x:c>
      <x:c r="Y869" s="55" t="n">
        <x:v>2172</x:v>
      </x:c>
      <x:c r="Z869" s="55" t="n">
        <x:v>3172</x:v>
      </x:c>
      <x:c r="AA869" s="55" t="n">
        <x:v>2881</x:v>
      </x:c>
      <x:c r="AB869" s="55" t="n">
        <x:v>1003</x:v>
      </x:c>
      <x:c r="AC869" s="55" t="n">
        <x:v>7515</x:v>
      </x:c>
      <x:c r="AD869" s="55" t="n">
        <x:v>3118</x:v>
      </x:c>
      <x:c r="AE869" s="55" t="n">
        <x:v>10077</x:v>
      </x:c>
      <x:c r="AF869" s="55" t="n">
        <x:v>10003</x:v>
      </x:c>
      <x:c r="AG869" s="55" t="n">
        <x:v>74</x:v>
      </x:c>
      <x:c r="AH869" s="55" t="n">
        <x:v>404</x:v>
      </x:c>
      <x:c r="AI869" s="55" t="n">
        <x:v>9599</x:v>
      </x:c>
      <x:c r="AJ869" s="55" t="n">
        <x:v>464</x:v>
      </x:c>
      <x:c r="AK869" s="55" t="n">
        <x:v>1197</x:v>
      </x:c>
      <x:c r="AL869" s="55" t="n">
        <x:v>885</x:v>
      </x:c>
      <x:c r="AM869" s="55" t="n">
        <x:v>5105</x:v>
      </x:c>
      <x:c r="AN869" s="55" t="n">
        <x:v>2352</x:v>
      </x:c>
      <x:c r="AO869" s="55" t="n">
        <x:v>0</x:v>
      </x:c>
      <x:c r="AP869" s="55" t="n">
        <x:v>2448</x:v>
      </x:c>
      <x:c r="AQ869" s="55" t="n">
        <x:v>948</x:v>
      </x:c>
    </x:row>
    <x:row r="870">
      <x:c r="A870" s="54" t="str">
        <x:v>T1_SHARED_CATCHMENT</x:v>
      </x:c>
      <x:c r="B870" s="54" t="n">
        <x:v>864</x:v>
      </x:c>
      <x:c r="C870" s="54" t="str">
        <x:v>NYC-V2-R01</x:v>
      </x:c>
      <x:c r="D870" s="54" t="str">
        <x:v>V2</x:v>
      </x:c>
      <x:c r="E870" s="54" t="str">
        <x:v>ADMITTED</x:v>
      </x:c>
      <x:c r="F870" s="55" t="n">
        <x:v>31034</x:v>
      </x:c>
      <x:c r="G870" s="55" t="n">
        <x:v>7348</x:v>
      </x:c>
      <x:c r="H870" s="55" t="n">
        <x:v>3966</x:v>
      </x:c>
      <x:c r="I870" s="55" t="n">
        <x:v>1442</x:v>
      </x:c>
      <x:c r="J870" s="55" t="n">
        <x:v>232</x:v>
      </x:c>
      <x:c r="K870" s="55" t="n">
        <x:v>30030</x:v>
      </x:c>
      <x:c r="L870" s="55" t="n">
        <x:v>7008</x:v>
      </x:c>
      <x:c r="M870" s="55" t="n">
        <x:v>1737</x:v>
      </x:c>
      <x:c r="N870" s="55" t="n">
        <x:v>2990</x:v>
      </x:c>
      <x:c r="O870" s="55" t="n">
        <x:v>2281</x:v>
      </x:c>
      <x:c r="P870" s="55" t="n">
        <x:v>1108</x:v>
      </x:c>
      <x:c r="Q870" s="55" t="n">
        <x:v>2435</x:v>
      </x:c>
      <x:c r="R870" s="55" t="n">
        <x:v>2272</x:v>
      </x:c>
      <x:c r="S870" s="55" t="n">
        <x:v>2499</x:v>
      </x:c>
      <x:c r="T870" s="55" t="n">
        <x:v>1095</x:v>
      </x:c>
      <x:c r="U870" s="55" t="n">
        <x:v>2469</x:v>
      </x:c>
      <x:c r="V870" s="55" t="n">
        <x:v>10563</x:v>
      </x:c>
      <x:c r="W870" s="55" t="n">
        <x:v>7104</x:v>
      </x:c>
      <x:c r="X870" s="55" t="n">
        <x:v>3459</x:v>
      </x:c>
      <x:c r="Y870" s="55" t="n">
        <x:v>3147</x:v>
      </x:c>
      <x:c r="Z870" s="55" t="n">
        <x:v>3966</x:v>
      </x:c>
      <x:c r="AA870" s="55" t="n">
        <x:v>3966</x:v>
      </x:c>
      <x:c r="AB870" s="55" t="n">
        <x:v>1618</x:v>
      </x:c>
      <x:c r="AC870" s="55" t="n">
        <x:v>8374</x:v>
      </x:c>
      <x:c r="AD870" s="55" t="n">
        <x:v>3236</x:v>
      </x:c>
      <x:c r="AE870" s="55" t="n">
        <x:v>10653</x:v>
      </x:c>
      <x:c r="AF870" s="55" t="n">
        <x:v>10563</x:v>
      </x:c>
      <x:c r="AG870" s="55" t="n">
        <x:v>90</x:v>
      </x:c>
      <x:c r="AH870" s="55" t="n">
        <x:v>452</x:v>
      </x:c>
      <x:c r="AI870" s="55" t="n">
        <x:v>10111</x:v>
      </x:c>
      <x:c r="AJ870" s="55" t="n">
        <x:v>497</x:v>
      </x:c>
      <x:c r="AK870" s="55" t="n">
        <x:v>1166</x:v>
      </x:c>
      <x:c r="AL870" s="55" t="n">
        <x:v>1797</x:v>
      </x:c>
      <x:c r="AM870" s="55" t="n">
        <x:v>4244</x:v>
      </x:c>
      <x:c r="AN870" s="55" t="n">
        <x:v>2809</x:v>
      </x:c>
      <x:c r="AO870" s="55" t="n">
        <x:v>50</x:v>
      </x:c>
      <x:c r="AP870" s="55" t="n">
        <x:v>2825</x:v>
      </x:c>
      <x:c r="AQ870" s="55" t="n">
        <x:v>988</x:v>
      </x:c>
    </x:row>
    <x:row r="871">
      <x:c r="A871" s="54" t="str">
        <x:v>T1_SHARED_CATCHMENT</x:v>
      </x:c>
      <x:c r="B871" s="54" t="n">
        <x:v>865</x:v>
      </x:c>
      <x:c r="C871" s="54" t="str">
        <x:v>NYC-V2-R01</x:v>
      </x:c>
      <x:c r="D871" s="54" t="str">
        <x:v>V2</x:v>
      </x:c>
      <x:c r="E871" s="54" t="str">
        <x:v>ADMITTED</x:v>
      </x:c>
      <x:c r="F871" s="55" t="n">
        <x:v>31579</x:v>
      </x:c>
      <x:c r="G871" s="55" t="n">
        <x:v>6927</x:v>
      </x:c>
      <x:c r="H871" s="55" t="n">
        <x:v>3373</x:v>
      </x:c>
      <x:c r="I871" s="55" t="n">
        <x:v>1317</x:v>
      </x:c>
      <x:c r="J871" s="55" t="n">
        <x:v>59</x:v>
      </x:c>
      <x:c r="K871" s="55" t="n">
        <x:v>31579</x:v>
      </x:c>
      <x:c r="L871" s="55" t="n">
        <x:v>6946</x:v>
      </x:c>
      <x:c r="M871" s="55" t="n">
        <x:v>2234</x:v>
      </x:c>
      <x:c r="N871" s="55" t="n">
        <x:v>2872</x:v>
      </x:c>
      <x:c r="O871" s="55" t="n">
        <x:v>1840</x:v>
      </x:c>
      <x:c r="P871" s="55" t="n">
        <x:v>985</x:v>
      </x:c>
      <x:c r="Q871" s="55" t="n">
        <x:v>2005</x:v>
      </x:c>
      <x:c r="R871" s="55" t="n">
        <x:v>2331</x:v>
      </x:c>
      <x:c r="S871" s="55" t="n">
        <x:v>2911</x:v>
      </x:c>
      <x:c r="T871" s="55" t="n">
        <x:v>1135</x:v>
      </x:c>
      <x:c r="U871" s="55" t="n">
        <x:v>1879</x:v>
      </x:c>
      <x:c r="V871" s="55" t="n">
        <x:v>11166</x:v>
      </x:c>
      <x:c r="W871" s="55" t="n">
        <x:v>8139</x:v>
      </x:c>
      <x:c r="X871" s="55" t="n">
        <x:v>3027</x:v>
      </x:c>
      <x:c r="Y871" s="55" t="n">
        <x:v>2385</x:v>
      </x:c>
      <x:c r="Z871" s="55" t="n">
        <x:v>4275</x:v>
      </x:c>
      <x:c r="AA871" s="55" t="n">
        <x:v>2922</x:v>
      </x:c>
      <x:c r="AB871" s="55" t="n">
        <x:v>909</x:v>
      </x:c>
      <x:c r="AC871" s="55" t="n">
        <x:v>7946</x:v>
      </x:c>
      <x:c r="AD871" s="55" t="n">
        <x:v>2511</x:v>
      </x:c>
      <x:c r="AE871" s="55" t="n">
        <x:v>11166</x:v>
      </x:c>
      <x:c r="AF871" s="55" t="n">
        <x:v>11166</x:v>
      </x:c>
      <x:c r="AG871" s="55" t="n">
        <x:v>0</x:v>
      </x:c>
      <x:c r="AH871" s="55" t="n">
        <x:v>577</x:v>
      </x:c>
      <x:c r="AI871" s="55" t="n">
        <x:v>10589</x:v>
      </x:c>
      <x:c r="AJ871" s="55" t="n">
        <x:v>264</x:v>
      </x:c>
      <x:c r="AK871" s="55" t="n">
        <x:v>1143</x:v>
      </x:c>
      <x:c r="AL871" s="55" t="n">
        <x:v>2002</x:v>
      </x:c>
      <x:c r="AM871" s="55" t="n">
        <x:v>4769</x:v>
      </x:c>
      <x:c r="AN871" s="55" t="n">
        <x:v>2955</x:v>
      </x:c>
      <x:c r="AO871" s="55" t="n">
        <x:v>33</x:v>
      </x:c>
      <x:c r="AP871" s="55" t="n">
        <x:v>2297</x:v>
      </x:c>
      <x:c r="AQ871" s="55" t="n">
        <x:v>937</x:v>
      </x:c>
    </x:row>
    <x:row r="872">
      <x:c r="A872" s="54" t="str">
        <x:v>T1_SHARED_CATCHMENT</x:v>
      </x:c>
      <x:c r="B872" s="54" t="n">
        <x:v>866</x:v>
      </x:c>
      <x:c r="C872" s="54" t="str">
        <x:v>NYC-V2-R01</x:v>
      </x:c>
      <x:c r="D872" s="54" t="str">
        <x:v>V2</x:v>
      </x:c>
      <x:c r="E872" s="54" t="str">
        <x:v>ADMITTED</x:v>
      </x:c>
      <x:c r="F872" s="55" t="n">
        <x:v>29317</x:v>
      </x:c>
      <x:c r="G872" s="55" t="n">
        <x:v>6954</x:v>
      </x:c>
      <x:c r="H872" s="55" t="n">
        <x:v>2997</x:v>
      </x:c>
      <x:c r="I872" s="55" t="n">
        <x:v>959</x:v>
      </x:c>
      <x:c r="J872" s="55" t="n">
        <x:v>115</x:v>
      </x:c>
      <x:c r="K872" s="55" t="n">
        <x:v>25752</x:v>
      </x:c>
      <x:c r="L872" s="55" t="n">
        <x:v>4074</x:v>
      </x:c>
      <x:c r="M872" s="55" t="n">
        <x:v>289</x:v>
      </x:c>
      <x:c r="N872" s="55" t="n">
        <x:v>2456</x:v>
      </x:c>
      <x:c r="O872" s="55" t="n">
        <x:v>1329</x:v>
      </x:c>
      <x:c r="P872" s="55" t="n">
        <x:v>612</x:v>
      </x:c>
      <x:c r="Q872" s="55" t="n">
        <x:v>2151</x:v>
      </x:c>
      <x:c r="R872" s="55" t="n">
        <x:v>2120</x:v>
      </x:c>
      <x:c r="S872" s="55" t="n">
        <x:v>3353</x:v>
      </x:c>
      <x:c r="T872" s="55" t="n">
        <x:v>1166</x:v>
      </x:c>
      <x:c r="U872" s="55" t="n">
        <x:v>1886</x:v>
      </x:c>
      <x:c r="V872" s="55" t="n">
        <x:v>10127</x:v>
      </x:c>
      <x:c r="W872" s="55" t="n">
        <x:v>6926</x:v>
      </x:c>
      <x:c r="X872" s="55" t="n">
        <x:v>3201</x:v>
      </x:c>
      <x:c r="Y872" s="55" t="n">
        <x:v>2727</x:v>
      </x:c>
      <x:c r="Z872" s="55" t="n">
        <x:v>3621</x:v>
      </x:c>
      <x:c r="AA872" s="55" t="n">
        <x:v>2711</x:v>
      </x:c>
      <x:c r="AB872" s="55" t="n">
        <x:v>920</x:v>
      </x:c>
      <x:c r="AC872" s="55" t="n">
        <x:v>7789</x:v>
      </x:c>
      <x:c r="AD872" s="55" t="n">
        <x:v>2651</x:v>
      </x:c>
      <x:c r="AE872" s="55" t="n">
        <x:v>10182</x:v>
      </x:c>
      <x:c r="AF872" s="55" t="n">
        <x:v>10127</x:v>
      </x:c>
      <x:c r="AG872" s="55" t="n">
        <x:v>55</x:v>
      </x:c>
      <x:c r="AH872" s="55" t="n">
        <x:v>153</x:v>
      </x:c>
      <x:c r="AI872" s="55" t="n">
        <x:v>9974</x:v>
      </x:c>
      <x:c r="AJ872" s="55" t="n">
        <x:v>259</x:v>
      </x:c>
      <x:c r="AK872" s="55" t="n">
        <x:v>571</x:v>
      </x:c>
      <x:c r="AL872" s="55" t="n">
        <x:v>1185</x:v>
      </x:c>
      <x:c r="AM872" s="55" t="n">
        <x:v>4571</x:v>
      </x:c>
      <x:c r="AN872" s="55" t="n">
        <x:v>3458</x:v>
      </x:c>
      <x:c r="AO872" s="55" t="n">
        <x:v>83</x:v>
      </x:c>
      <x:c r="AP872" s="55" t="n">
        <x:v>2471</x:v>
      </x:c>
      <x:c r="AQ872" s="55" t="n">
        <x:v>920</x:v>
      </x:c>
    </x:row>
    <x:row r="873">
      <x:c r="A873" s="54" t="str">
        <x:v>T1_SHARED_CATCHMENT</x:v>
      </x:c>
      <x:c r="B873" s="54" t="n">
        <x:v>867</x:v>
      </x:c>
      <x:c r="C873" s="54" t="str">
        <x:v>NYC-V2-R01</x:v>
      </x:c>
      <x:c r="D873" s="54" t="str">
        <x:v>V2</x:v>
      </x:c>
      <x:c r="E873" s="54" t="str">
        <x:v>ADMITTED</x:v>
      </x:c>
      <x:c r="F873" s="55" t="n">
        <x:v>32508</x:v>
      </x:c>
      <x:c r="G873" s="55" t="n">
        <x:v>7822</x:v>
      </x:c>
      <x:c r="H873" s="55" t="n">
        <x:v>3394</x:v>
      </x:c>
      <x:c r="I873" s="55" t="n">
        <x:v>1453</x:v>
      </x:c>
      <x:c r="J873" s="55" t="n">
        <x:v>210</x:v>
      </x:c>
      <x:c r="K873" s="55" t="n">
        <x:v>32508</x:v>
      </x:c>
      <x:c r="L873" s="55" t="n">
        <x:v>7005</x:v>
      </x:c>
      <x:c r="M873" s="55" t="n">
        <x:v>2293</x:v>
      </x:c>
      <x:c r="N873" s="55" t="n">
        <x:v>2853</x:v>
      </x:c>
      <x:c r="O873" s="55" t="n">
        <x:v>1859</x:v>
      </x:c>
      <x:c r="P873" s="55" t="n">
        <x:v>787</x:v>
      </x:c>
      <x:c r="Q873" s="55" t="n">
        <x:v>1660</x:v>
      </x:c>
      <x:c r="R873" s="55" t="n">
        <x:v>1763</x:v>
      </x:c>
      <x:c r="S873" s="55" t="n">
        <x:v>3238</x:v>
      </x:c>
      <x:c r="T873" s="55" t="n">
        <x:v>1248</x:v>
      </x:c>
      <x:c r="U873" s="55" t="n">
        <x:v>1903</x:v>
      </x:c>
      <x:c r="V873" s="55" t="n">
        <x:v>10251</x:v>
      </x:c>
      <x:c r="W873" s="55" t="n">
        <x:v>7325</x:v>
      </x:c>
      <x:c r="X873" s="55" t="n">
        <x:v>2926</x:v>
      </x:c>
      <x:c r="Y873" s="55" t="n">
        <x:v>2787</x:v>
      </x:c>
      <x:c r="Z873" s="55" t="n">
        <x:v>4112</x:v>
      </x:c>
      <x:c r="AA873" s="55" t="n">
        <x:v>3032</x:v>
      </x:c>
      <x:c r="AB873" s="55" t="n">
        <x:v>906</x:v>
      </x:c>
      <x:c r="AC873" s="55" t="n">
        <x:v>7754</x:v>
      </x:c>
      <x:c r="AD873" s="55" t="n">
        <x:v>2640</x:v>
      </x:c>
      <x:c r="AE873" s="55" t="n">
        <x:v>10395</x:v>
      </x:c>
      <x:c r="AF873" s="55" t="n">
        <x:v>10251</x:v>
      </x:c>
      <x:c r="AG873" s="55" t="n">
        <x:v>144</x:v>
      </x:c>
      <x:c r="AH873" s="55" t="n">
        <x:v>462</x:v>
      </x:c>
      <x:c r="AI873" s="55" t="n">
        <x:v>9789</x:v>
      </x:c>
      <x:c r="AJ873" s="55" t="n">
        <x:v>306</x:v>
      </x:c>
      <x:c r="AK873" s="55" t="n">
        <x:v>840</x:v>
      </x:c>
      <x:c r="AL873" s="55" t="n">
        <x:v>1961</x:v>
      </x:c>
      <x:c r="AM873" s="55" t="n">
        <x:v>4804</x:v>
      </x:c>
      <x:c r="AN873" s="55" t="n">
        <x:v>2337</x:v>
      </x:c>
      <x:c r="AO873" s="55" t="n">
        <x:v>3</x:v>
      </x:c>
      <x:c r="AP873" s="55" t="n">
        <x:v>2463</x:v>
      </x:c>
      <x:c r="AQ873" s="55" t="n">
        <x:v>955</x:v>
      </x:c>
    </x:row>
    <x:row r="874">
      <x:c r="A874" s="54" t="str">
        <x:v>T1_SHARED_CATCHMENT</x:v>
      </x:c>
      <x:c r="B874" s="54" t="n">
        <x:v>868</x:v>
      </x:c>
      <x:c r="C874" s="54" t="str">
        <x:v>NYC-V2-R01</x:v>
      </x:c>
      <x:c r="D874" s="54" t="str">
        <x:v>V2</x:v>
      </x:c>
      <x:c r="E874" s="54" t="str">
        <x:v>ADMITTED</x:v>
      </x:c>
      <x:c r="F874" s="55" t="n">
        <x:v>31754</x:v>
      </x:c>
      <x:c r="G874" s="55" t="n">
        <x:v>8326</x:v>
      </x:c>
      <x:c r="H874" s="55" t="n">
        <x:v>3063</x:v>
      </x:c>
      <x:c r="I874" s="55" t="n">
        <x:v>1243</x:v>
      </x:c>
      <x:c r="J874" s="55" t="n">
        <x:v>29</x:v>
      </x:c>
      <x:c r="K874" s="55" t="n">
        <x:v>30660</x:v>
      </x:c>
      <x:c r="L874" s="55" t="n">
        <x:v>6161</x:v>
      </x:c>
      <x:c r="M874" s="55" t="n">
        <x:v>1266</x:v>
      </x:c>
      <x:c r="N874" s="55" t="n">
        <x:v>3133</x:v>
      </x:c>
      <x:c r="O874" s="55" t="n">
        <x:v>1762</x:v>
      </x:c>
      <x:c r="P874" s="55" t="n">
        <x:v>822</x:v>
      </x:c>
      <x:c r="Q874" s="55" t="n">
        <x:v>1951</x:v>
      </x:c>
      <x:c r="R874" s="55" t="n">
        <x:v>1919</x:v>
      </x:c>
      <x:c r="S874" s="55" t="n">
        <x:v>3042</x:v>
      </x:c>
      <x:c r="T874" s="55" t="n">
        <x:v>1413</x:v>
      </x:c>
      <x:c r="U874" s="55" t="n">
        <x:v>1504</x:v>
      </x:c>
      <x:c r="V874" s="55" t="n">
        <x:v>9953</x:v>
      </x:c>
      <x:c r="W874" s="55" t="n">
        <x:v>6808</x:v>
      </x:c>
      <x:c r="X874" s="55" t="n">
        <x:v>3145</x:v>
      </x:c>
      <x:c r="Y874" s="55" t="n">
        <x:v>2870</x:v>
      </x:c>
      <x:c r="Z874" s="55" t="n">
        <x:v>3716</x:v>
      </x:c>
      <x:c r="AA874" s="55" t="n">
        <x:v>3037</x:v>
      </x:c>
      <x:c r="AB874" s="55" t="n">
        <x:v>1372</x:v>
      </x:c>
      <x:c r="AC874" s="55" t="n">
        <x:v>7694</x:v>
      </x:c>
      <x:c r="AD874" s="55" t="n">
        <x:v>2774</x:v>
      </x:c>
      <x:c r="AE874" s="55" t="n">
        <x:v>9967</x:v>
      </x:c>
      <x:c r="AF874" s="55" t="n">
        <x:v>9953</x:v>
      </x:c>
      <x:c r="AG874" s="55" t="n">
        <x:v>14</x:v>
      </x:c>
      <x:c r="AH874" s="55" t="n">
        <x:v>201</x:v>
      </x:c>
      <x:c r="AI874" s="55" t="n">
        <x:v>9752</x:v>
      </x:c>
      <x:c r="AJ874" s="55" t="n">
        <x:v>137</x:v>
      </x:c>
      <x:c r="AK874" s="55" t="n">
        <x:v>894</x:v>
      </x:c>
      <x:c r="AL874" s="55" t="n">
        <x:v>1876</x:v>
      </x:c>
      <x:c r="AM874" s="55" t="n">
        <x:v>5005</x:v>
      </x:c>
      <x:c r="AN874" s="55" t="n">
        <x:v>2006</x:v>
      </x:c>
      <x:c r="AO874" s="55" t="n">
        <x:v>35</x:v>
      </x:c>
      <x:c r="AP874" s="55" t="n">
        <x:v>2194</x:v>
      </x:c>
      <x:c r="AQ874" s="55" t="n">
        <x:v>936</x:v>
      </x:c>
    </x:row>
    <x:row r="875">
      <x:c r="A875" s="54" t="str">
        <x:v>T1_SHARED_CATCHMENT</x:v>
      </x:c>
      <x:c r="B875" s="54" t="n">
        <x:v>869</x:v>
      </x:c>
      <x:c r="C875" s="54" t="str">
        <x:v>NYC-V2-R01</x:v>
      </x:c>
      <x:c r="D875" s="54" t="str">
        <x:v>V2</x:v>
      </x:c>
      <x:c r="E875" s="54" t="str">
        <x:v>ADMITTED</x:v>
      </x:c>
      <x:c r="F875" s="55" t="n">
        <x:v>32311</x:v>
      </x:c>
      <x:c r="G875" s="55" t="n">
        <x:v>8210</x:v>
      </x:c>
      <x:c r="H875" s="55" t="n">
        <x:v>3564</x:v>
      </x:c>
      <x:c r="I875" s="55" t="n">
        <x:v>1724</x:v>
      </x:c>
      <x:c r="J875" s="55" t="n">
        <x:v>236</x:v>
      </x:c>
      <x:c r="K875" s="55" t="n">
        <x:v>29762</x:v>
      </x:c>
      <x:c r="L875" s="55" t="n">
        <x:v>5982</x:v>
      </x:c>
      <x:c r="M875" s="55" t="n">
        <x:v>1473</x:v>
      </x:c>
      <x:c r="N875" s="55" t="n">
        <x:v>2783</x:v>
      </x:c>
      <x:c r="O875" s="55" t="n">
        <x:v>1726</x:v>
      </x:c>
      <x:c r="P875" s="55" t="n">
        <x:v>1281</x:v>
      </x:c>
      <x:c r="Q875" s="55" t="n">
        <x:v>2670</x:v>
      </x:c>
      <x:c r="R875" s="55" t="n">
        <x:v>1687</x:v>
      </x:c>
      <x:c r="S875" s="55" t="n">
        <x:v>2887</x:v>
      </x:c>
      <x:c r="T875" s="55" t="n">
        <x:v>1373</x:v>
      </x:c>
      <x:c r="U875" s="55" t="n">
        <x:v>2174</x:v>
      </x:c>
      <x:c r="V875" s="55" t="n">
        <x:v>10719</x:v>
      </x:c>
      <x:c r="W875" s="55" t="n">
        <x:v>7329</x:v>
      </x:c>
      <x:c r="X875" s="55" t="n">
        <x:v>3390</x:v>
      </x:c>
      <x:c r="Y875" s="55" t="n">
        <x:v>2802</x:v>
      </x:c>
      <x:c r="Z875" s="55" t="n">
        <x:v>3620</x:v>
      </x:c>
      <x:c r="AA875" s="55" t="n">
        <x:v>2551</x:v>
      </x:c>
      <x:c r="AB875" s="55" t="n">
        <x:v>904</x:v>
      </x:c>
      <x:c r="AC875" s="55" t="n">
        <x:v>7957</x:v>
      </x:c>
      <x:c r="AD875" s="55" t="n">
        <x:v>2952</x:v>
      </x:c>
      <x:c r="AE875" s="55" t="n">
        <x:v>10792</x:v>
      </x:c>
      <x:c r="AF875" s="55" t="n">
        <x:v>10719</x:v>
      </x:c>
      <x:c r="AG875" s="55" t="n">
        <x:v>73</x:v>
      </x:c>
      <x:c r="AH875" s="55" t="n">
        <x:v>498</x:v>
      </x:c>
      <x:c r="AI875" s="55" t="n">
        <x:v>10221</x:v>
      </x:c>
      <x:c r="AJ875" s="55" t="n">
        <x:v>419</x:v>
      </x:c>
      <x:c r="AK875" s="55" t="n">
        <x:v>1236</x:v>
      </x:c>
      <x:c r="AL875" s="55" t="n">
        <x:v>1260</x:v>
      </x:c>
      <x:c r="AM875" s="55" t="n">
        <x:v>5469</x:v>
      </x:c>
      <x:c r="AN875" s="55" t="n">
        <x:v>2335</x:v>
      </x:c>
      <x:c r="AO875" s="55" t="n">
        <x:v>0</x:v>
      </x:c>
      <x:c r="AP875" s="55" t="n">
        <x:v>2243</x:v>
      </x:c>
      <x:c r="AQ875" s="55" t="n">
        <x:v>952</x:v>
      </x:c>
    </x:row>
    <x:row r="876">
      <x:c r="A876" s="54" t="str">
        <x:v>T1_SHARED_CATCHMENT</x:v>
      </x:c>
      <x:c r="B876" s="54" t="n">
        <x:v>870</x:v>
      </x:c>
      <x:c r="C876" s="54" t="str">
        <x:v>NYC-V2-R01</x:v>
      </x:c>
      <x:c r="D876" s="54" t="str">
        <x:v>V2</x:v>
      </x:c>
      <x:c r="E876" s="54" t="str">
        <x:v>ADMITTED</x:v>
      </x:c>
      <x:c r="F876" s="55" t="n">
        <x:v>31674</x:v>
      </x:c>
      <x:c r="G876" s="55" t="n">
        <x:v>7598</x:v>
      </x:c>
      <x:c r="H876" s="55" t="n">
        <x:v>3446</x:v>
      </x:c>
      <x:c r="I876" s="55" t="n">
        <x:v>1545</x:v>
      </x:c>
      <x:c r="J876" s="55" t="n">
        <x:v>396</x:v>
      </x:c>
      <x:c r="K876" s="55" t="n">
        <x:v>31674</x:v>
      </x:c>
      <x:c r="L876" s="55" t="n">
        <x:v>6089</x:v>
      </x:c>
      <x:c r="M876" s="55" t="n">
        <x:v>877</x:v>
      </x:c>
      <x:c r="N876" s="55" t="n">
        <x:v>2850</x:v>
      </x:c>
      <x:c r="O876" s="55" t="n">
        <x:v>2362</x:v>
      </x:c>
      <x:c r="P876" s="55" t="n">
        <x:v>912</x:v>
      </x:c>
      <x:c r="Q876" s="55" t="n">
        <x:v>3121</x:v>
      </x:c>
      <x:c r="R876" s="55" t="n">
        <x:v>1957</x:v>
      </x:c>
      <x:c r="S876" s="55" t="n">
        <x:v>2960</x:v>
      </x:c>
      <x:c r="T876" s="55" t="n">
        <x:v>1540</x:v>
      </x:c>
      <x:c r="U876" s="55" t="n">
        <x:v>2580</x:v>
      </x:c>
      <x:c r="V876" s="55" t="n">
        <x:v>10871</x:v>
      </x:c>
      <x:c r="W876" s="55" t="n">
        <x:v>7837</x:v>
      </x:c>
      <x:c r="X876" s="55" t="n">
        <x:v>3034</x:v>
      </x:c>
      <x:c r="Y876" s="55" t="n">
        <x:v>2603</x:v>
      </x:c>
      <x:c r="Z876" s="55" t="n">
        <x:v>4125</x:v>
      </x:c>
      <x:c r="AA876" s="55" t="n">
        <x:v>3446</x:v>
      </x:c>
      <x:c r="AB876" s="55" t="n">
        <x:v>1092</x:v>
      </x:c>
      <x:c r="AC876" s="55" t="n">
        <x:v>8329</x:v>
      </x:c>
      <x:c r="AD876" s="55" t="n">
        <x:v>2755</x:v>
      </x:c>
      <x:c r="AE876" s="55" t="n">
        <x:v>10912</x:v>
      </x:c>
      <x:c r="AF876" s="55" t="n">
        <x:v>10871</x:v>
      </x:c>
      <x:c r="AG876" s="55" t="n">
        <x:v>41</x:v>
      </x:c>
      <x:c r="AH876" s="55" t="n">
        <x:v>351</x:v>
      </x:c>
      <x:c r="AI876" s="55" t="n">
        <x:v>10520</x:v>
      </x:c>
      <x:c r="AJ876" s="55" t="n">
        <x:v>608</x:v>
      </x:c>
      <x:c r="AK876" s="55" t="n">
        <x:v>942</x:v>
      </x:c>
      <x:c r="AL876" s="55" t="n">
        <x:v>1909</x:v>
      </x:c>
      <x:c r="AM876" s="55" t="n">
        <x:v>4596</x:v>
      </x:c>
      <x:c r="AN876" s="55" t="n">
        <x:v>2787</x:v>
      </x:c>
      <x:c r="AO876" s="55" t="n">
        <x:v>29</x:v>
      </x:c>
      <x:c r="AP876" s="55" t="n">
        <x:v>2800</x:v>
      </x:c>
      <x:c r="AQ876" s="55" t="n">
        <x:v>977</x:v>
      </x:c>
    </x:row>
    <x:row r="877">
      <x:c r="A877" s="54" t="str">
        <x:v>T1_SHARED_CATCHMENT</x:v>
      </x:c>
      <x:c r="B877" s="54" t="n">
        <x:v>871</x:v>
      </x:c>
      <x:c r="C877" s="54" t="str">
        <x:v>NYC-V2-R01</x:v>
      </x:c>
      <x:c r="D877" s="54" t="str">
        <x:v>V2</x:v>
      </x:c>
      <x:c r="E877" s="54" t="str">
        <x:v>ADMITTED</x:v>
      </x:c>
      <x:c r="F877" s="55" t="n">
        <x:v>31629</x:v>
      </x:c>
      <x:c r="G877" s="55" t="n">
        <x:v>8396</x:v>
      </x:c>
      <x:c r="H877" s="55" t="n">
        <x:v>3825</x:v>
      </x:c>
      <x:c r="I877" s="55" t="n">
        <x:v>1501</x:v>
      </x:c>
      <x:c r="J877" s="55" t="n">
        <x:v>253</x:v>
      </x:c>
      <x:c r="K877" s="55" t="n">
        <x:v>29701</x:v>
      </x:c>
      <x:c r="L877" s="55" t="n">
        <x:v>7314</x:v>
      </x:c>
      <x:c r="M877" s="55" t="n">
        <x:v>1705</x:v>
      </x:c>
      <x:c r="N877" s="55" t="n">
        <x:v>3324</x:v>
      </x:c>
      <x:c r="O877" s="55" t="n">
        <x:v>2285</x:v>
      </x:c>
      <x:c r="P877" s="55" t="n">
        <x:v>459</x:v>
      </x:c>
      <x:c r="Q877" s="55" t="n">
        <x:v>3178</x:v>
      </x:c>
      <x:c r="R877" s="55" t="n">
        <x:v>1760</x:v>
      </x:c>
      <x:c r="S877" s="55" t="n">
        <x:v>3450</x:v>
      </x:c>
      <x:c r="T877" s="55" t="n">
        <x:v>1616</x:v>
      </x:c>
      <x:c r="U877" s="55" t="n">
        <x:v>2565</x:v>
      </x:c>
      <x:c r="V877" s="55" t="n">
        <x:v>10969</x:v>
      </x:c>
      <x:c r="W877" s="55" t="n">
        <x:v>8006</x:v>
      </x:c>
      <x:c r="X877" s="55" t="n">
        <x:v>2963</x:v>
      </x:c>
      <x:c r="Y877" s="55" t="n">
        <x:v>2761</x:v>
      </x:c>
      <x:c r="Z877" s="55" t="n">
        <x:v>3903</x:v>
      </x:c>
      <x:c r="AA877" s="55" t="n">
        <x:v>3441</x:v>
      </x:c>
      <x:c r="AB877" s="55" t="n">
        <x:v>713</x:v>
      </x:c>
      <x:c r="AC877" s="55" t="n">
        <x:v>8192</x:v>
      </x:c>
      <x:c r="AD877" s="55" t="n">
        <x:v>2718</x:v>
      </x:c>
      <x:c r="AE877" s="55" t="n">
        <x:v>11095</x:v>
      </x:c>
      <x:c r="AF877" s="55" t="n">
        <x:v>10969</x:v>
      </x:c>
      <x:c r="AG877" s="55" t="n">
        <x:v>126</x:v>
      </x:c>
      <x:c r="AH877" s="55" t="n">
        <x:v>493</x:v>
      </x:c>
      <x:c r="AI877" s="55" t="n">
        <x:v>10476</x:v>
      </x:c>
      <x:c r="AJ877" s="55" t="n">
        <x:v>426</x:v>
      </x:c>
      <x:c r="AK877" s="55" t="n">
        <x:v>1197</x:v>
      </x:c>
      <x:c r="AL877" s="55" t="n">
        <x:v>1288</x:v>
      </x:c>
      <x:c r="AM877" s="55" t="n">
        <x:v>4713</x:v>
      </x:c>
      <x:c r="AN877" s="55" t="n">
        <x:v>3258</x:v>
      </x:c>
      <x:c r="AO877" s="55" t="n">
        <x:v>87</x:v>
      </x:c>
      <x:c r="AP877" s="55" t="n">
        <x:v>2527</x:v>
      </x:c>
      <x:c r="AQ877" s="55" t="n">
        <x:v>975</x:v>
      </x:c>
    </x:row>
    <x:row r="878">
      <x:c r="A878" s="54" t="str">
        <x:v>T1_SHARED_CATCHMENT</x:v>
      </x:c>
      <x:c r="B878" s="54" t="n">
        <x:v>872</x:v>
      </x:c>
      <x:c r="C878" s="54" t="str">
        <x:v>NYC-V2-R01</x:v>
      </x:c>
      <x:c r="D878" s="54" t="str">
        <x:v>V2</x:v>
      </x:c>
      <x:c r="E878" s="54" t="str">
        <x:v>ADMITTED</x:v>
      </x:c>
      <x:c r="F878" s="55" t="n">
        <x:v>32208</x:v>
      </x:c>
      <x:c r="G878" s="55" t="n">
        <x:v>8967</x:v>
      </x:c>
      <x:c r="H878" s="55" t="n">
        <x:v>3179</x:v>
      </x:c>
      <x:c r="I878" s="55" t="n">
        <x:v>1264</x:v>
      </x:c>
      <x:c r="J878" s="55" t="n">
        <x:v>129</x:v>
      </x:c>
      <x:c r="K878" s="55" t="n">
        <x:v>28074</x:v>
      </x:c>
      <x:c r="L878" s="55" t="n">
        <x:v>5401</x:v>
      </x:c>
      <x:c r="M878" s="55" t="n">
        <x:v>732</x:v>
      </x:c>
      <x:c r="N878" s="55" t="n">
        <x:v>2627</x:v>
      </x:c>
      <x:c r="O878" s="55" t="n">
        <x:v>2042</x:v>
      </x:c>
      <x:c r="P878" s="55" t="n">
        <x:v>942</x:v>
      </x:c>
      <x:c r="Q878" s="55" t="n">
        <x:v>2822</x:v>
      </x:c>
      <x:c r="R878" s="55" t="n">
        <x:v>1618</x:v>
      </x:c>
      <x:c r="S878" s="55" t="n">
        <x:v>2828</x:v>
      </x:c>
      <x:c r="T878" s="55" t="n">
        <x:v>1275</x:v>
      </x:c>
      <x:c r="U878" s="55" t="n">
        <x:v>1730</x:v>
      </x:c>
      <x:c r="V878" s="55" t="n">
        <x:v>9920</x:v>
      </x:c>
      <x:c r="W878" s="55" t="n">
        <x:v>6834</x:v>
      </x:c>
      <x:c r="X878" s="55" t="n">
        <x:v>3086</x:v>
      </x:c>
      <x:c r="Y878" s="55" t="n">
        <x:v>2640</x:v>
      </x:c>
      <x:c r="Z878" s="55" t="n">
        <x:v>3645</x:v>
      </x:c>
      <x:c r="AA878" s="55" t="n">
        <x:v>3132</x:v>
      </x:c>
      <x:c r="AB878" s="55" t="n">
        <x:v>1087</x:v>
      </x:c>
      <x:c r="AC878" s="55" t="n">
        <x:v>7843</x:v>
      </x:c>
      <x:c r="AD878" s="55" t="n">
        <x:v>2787</x:v>
      </x:c>
      <x:c r="AE878" s="55" t="n">
        <x:v>10017</x:v>
      </x:c>
      <x:c r="AF878" s="55" t="n">
        <x:v>9920</x:v>
      </x:c>
      <x:c r="AG878" s="55" t="n">
        <x:v>97</x:v>
      </x:c>
      <x:c r="AH878" s="55" t="n">
        <x:v>418</x:v>
      </x:c>
      <x:c r="AI878" s="55" t="n">
        <x:v>9502</x:v>
      </x:c>
      <x:c r="AJ878" s="55" t="n">
        <x:v>514</x:v>
      </x:c>
      <x:c r="AK878" s="55" t="n">
        <x:v>899</x:v>
      </x:c>
      <x:c r="AL878" s="55" t="n">
        <x:v>1417</x:v>
      </x:c>
      <x:c r="AM878" s="55" t="n">
        <x:v>4659</x:v>
      </x:c>
      <x:c r="AN878" s="55" t="n">
        <x:v>2431</x:v>
      </x:c>
      <x:c r="AO878" s="55" t="n">
        <x:v>0</x:v>
      </x:c>
      <x:c r="AP878" s="55" t="n">
        <x:v>2665</x:v>
      </x:c>
      <x:c r="AQ878" s="55" t="n">
        <x:v>970</x:v>
      </x:c>
    </x:row>
    <x:row r="879">
      <x:c r="A879" s="54" t="str">
        <x:v>T1_SHARED_CATCHMENT</x:v>
      </x:c>
      <x:c r="B879" s="54" t="n">
        <x:v>873</x:v>
      </x:c>
      <x:c r="C879" s="54" t="str">
        <x:v>NYC-V2-R01</x:v>
      </x:c>
      <x:c r="D879" s="54" t="str">
        <x:v>V2</x:v>
      </x:c>
      <x:c r="E879" s="54" t="str">
        <x:v>ADMITTED</x:v>
      </x:c>
      <x:c r="F879" s="55" t="n">
        <x:v>29992</x:v>
      </x:c>
      <x:c r="G879" s="55" t="n">
        <x:v>7391</x:v>
      </x:c>
      <x:c r="H879" s="55" t="n">
        <x:v>3172</x:v>
      </x:c>
      <x:c r="I879" s="55" t="n">
        <x:v>1467</x:v>
      </x:c>
      <x:c r="J879" s="55" t="n">
        <x:v>288</x:v>
      </x:c>
      <x:c r="K879" s="55" t="n">
        <x:v>29978</x:v>
      </x:c>
      <x:c r="L879" s="55" t="n">
        <x:v>5376</x:v>
      </x:c>
      <x:c r="M879" s="55" t="n">
        <x:v>1327</x:v>
      </x:c>
      <x:c r="N879" s="55" t="n">
        <x:v>2238</x:v>
      </x:c>
      <x:c r="O879" s="55" t="n">
        <x:v>1811</x:v>
      </x:c>
      <x:c r="P879" s="55" t="n">
        <x:v>230</x:v>
      </x:c>
      <x:c r="Q879" s="55" t="n">
        <x:v>1845</x:v>
      </x:c>
      <x:c r="R879" s="55" t="n">
        <x:v>1804</x:v>
      </x:c>
      <x:c r="S879" s="55" t="n">
        <x:v>2701</x:v>
      </x:c>
      <x:c r="T879" s="55" t="n">
        <x:v>761</x:v>
      </x:c>
      <x:c r="U879" s="55" t="n">
        <x:v>1643</x:v>
      </x:c>
      <x:c r="V879" s="55" t="n">
        <x:v>10582</x:v>
      </x:c>
      <x:c r="W879" s="55" t="n">
        <x:v>7537</x:v>
      </x:c>
      <x:c r="X879" s="55" t="n">
        <x:v>3045</x:v>
      </x:c>
      <x:c r="Y879" s="55" t="n">
        <x:v>2588</x:v>
      </x:c>
      <x:c r="Z879" s="55" t="n">
        <x:v>3632</x:v>
      </x:c>
      <x:c r="AA879" s="55" t="n">
        <x:v>2918</x:v>
      </x:c>
      <x:c r="AB879" s="55" t="n">
        <x:v>924</x:v>
      </x:c>
      <x:c r="AC879" s="55" t="n">
        <x:v>7878</x:v>
      </x:c>
      <x:c r="AD879" s="55" t="n">
        <x:v>2534</x:v>
      </x:c>
      <x:c r="AE879" s="55" t="n">
        <x:v>10624</x:v>
      </x:c>
      <x:c r="AF879" s="55" t="n">
        <x:v>10582</x:v>
      </x:c>
      <x:c r="AG879" s="55" t="n">
        <x:v>42</x:v>
      </x:c>
      <x:c r="AH879" s="55" t="n">
        <x:v>548</x:v>
      </x:c>
      <x:c r="AI879" s="55" t="n">
        <x:v>10034</x:v>
      </x:c>
      <x:c r="AJ879" s="55" t="n">
        <x:v>308</x:v>
      </x:c>
      <x:c r="AK879" s="55" t="n">
        <x:v>933</x:v>
      </x:c>
      <x:c r="AL879" s="55" t="n">
        <x:v>1956</x:v>
      </x:c>
      <x:c r="AM879" s="55" t="n">
        <x:v>4448</x:v>
      </x:c>
      <x:c r="AN879" s="55" t="n">
        <x:v>2913</x:v>
      </x:c>
      <x:c r="AO879" s="55" t="n">
        <x:v>24</x:v>
      </x:c>
      <x:c r="AP879" s="55" t="n">
        <x:v>2146</x:v>
      </x:c>
      <x:c r="AQ879" s="55" t="n">
        <x:v>940</x:v>
      </x:c>
    </x:row>
    <x:row r="880">
      <x:c r="A880" s="54" t="str">
        <x:v>T1_SHARED_CATCHMENT</x:v>
      </x:c>
      <x:c r="B880" s="54" t="n">
        <x:v>874</x:v>
      </x:c>
      <x:c r="C880" s="54" t="str">
        <x:v>NYC-V2-R01</x:v>
      </x:c>
      <x:c r="D880" s="54" t="str">
        <x:v>V2</x:v>
      </x:c>
      <x:c r="E880" s="54" t="str">
        <x:v>ADMITTED</x:v>
      </x:c>
      <x:c r="F880" s="55" t="n">
        <x:v>31840</x:v>
      </x:c>
      <x:c r="G880" s="55" t="n">
        <x:v>8945</x:v>
      </x:c>
      <x:c r="H880" s="55" t="n">
        <x:v>3404</x:v>
      </x:c>
      <x:c r="I880" s="55" t="n">
        <x:v>1194</x:v>
      </x:c>
      <x:c r="J880" s="55" t="n">
        <x:v>239</x:v>
      </x:c>
      <x:c r="K880" s="55" t="n">
        <x:v>30740</x:v>
      </x:c>
      <x:c r="L880" s="55" t="n">
        <x:v>5249</x:v>
      </x:c>
      <x:c r="M880" s="55" t="n">
        <x:v>1108</x:v>
      </x:c>
      <x:c r="N880" s="55" t="n">
        <x:v>2250</x:v>
      </x:c>
      <x:c r="O880" s="55" t="n">
        <x:v>1891</x:v>
      </x:c>
      <x:c r="P880" s="55" t="n">
        <x:v>512</x:v>
      </x:c>
      <x:c r="Q880" s="55" t="n">
        <x:v>1620</x:v>
      </x:c>
      <x:c r="R880" s="55" t="n">
        <x:v>1130</x:v>
      </x:c>
      <x:c r="S880" s="55" t="n">
        <x:v>2263</x:v>
      </x:c>
      <x:c r="T880" s="55" t="n">
        <x:v>853</x:v>
      </x:c>
      <x:c r="U880" s="55" t="n">
        <x:v>2040</x:v>
      </x:c>
      <x:c r="V880" s="55" t="n">
        <x:v>10130</x:v>
      </x:c>
      <x:c r="W880" s="55" t="n">
        <x:v>7193</x:v>
      </x:c>
      <x:c r="X880" s="55" t="n">
        <x:v>2937</x:v>
      </x:c>
      <x:c r="Y880" s="55" t="n">
        <x:v>2522</x:v>
      </x:c>
      <x:c r="Z880" s="55" t="n">
        <x:v>3292</x:v>
      </x:c>
      <x:c r="AA880" s="55" t="n">
        <x:v>2963</x:v>
      </x:c>
      <x:c r="AB880" s="55" t="n">
        <x:v>1138</x:v>
      </x:c>
      <x:c r="AC880" s="55" t="n">
        <x:v>8388</x:v>
      </x:c>
      <x:c r="AD880" s="55" t="n">
        <x:v>2990</x:v>
      </x:c>
      <x:c r="AE880" s="55" t="n">
        <x:v>10222</x:v>
      </x:c>
      <x:c r="AF880" s="55" t="n">
        <x:v>10130</x:v>
      </x:c>
      <x:c r="AG880" s="55" t="n">
        <x:v>92</x:v>
      </x:c>
      <x:c r="AH880" s="55" t="n">
        <x:v>451</x:v>
      </x:c>
      <x:c r="AI880" s="55" t="n">
        <x:v>9679</x:v>
      </x:c>
      <x:c r="AJ880" s="55" t="n">
        <x:v>320</x:v>
      </x:c>
      <x:c r="AK880" s="55" t="n">
        <x:v>964</x:v>
      </x:c>
      <x:c r="AL880" s="55" t="n">
        <x:v>1268</x:v>
      </x:c>
      <x:c r="AM880" s="55" t="n">
        <x:v>4558</x:v>
      </x:c>
      <x:c r="AN880" s="55" t="n">
        <x:v>3020</x:v>
      </x:c>
      <x:c r="AO880" s="55" t="n">
        <x:v>0</x:v>
      </x:c>
      <x:c r="AP880" s="55" t="n">
        <x:v>2064</x:v>
      </x:c>
      <x:c r="AQ880" s="55" t="n">
        <x:v>941</x:v>
      </x:c>
    </x:row>
    <x:row r="881">
      <x:c r="A881" s="54" t="str">
        <x:v>T1_SHARED_CATCHMENT</x:v>
      </x:c>
      <x:c r="B881" s="54" t="n">
        <x:v>875</x:v>
      </x:c>
      <x:c r="C881" s="54" t="str">
        <x:v>NYC-V2-R01</x:v>
      </x:c>
      <x:c r="D881" s="54" t="str">
        <x:v>V2</x:v>
      </x:c>
      <x:c r="E881" s="54" t="str">
        <x:v>ADMITTED</x:v>
      </x:c>
      <x:c r="F881" s="55" t="n">
        <x:v>31396</x:v>
      </x:c>
      <x:c r="G881" s="55" t="n">
        <x:v>6339</x:v>
      </x:c>
      <x:c r="H881" s="55" t="n">
        <x:v>3112</x:v>
      </x:c>
      <x:c r="I881" s="55" t="n">
        <x:v>1391</x:v>
      </x:c>
      <x:c r="J881" s="55" t="n">
        <x:v>259</x:v>
      </x:c>
      <x:c r="K881" s="55" t="n">
        <x:v>31396</x:v>
      </x:c>
      <x:c r="L881" s="55" t="n">
        <x:v>4870</x:v>
      </x:c>
      <x:c r="M881" s="55" t="n">
        <x:v>1822</x:v>
      </x:c>
      <x:c r="N881" s="55" t="n">
        <x:v>1723</x:v>
      </x:c>
      <x:c r="O881" s="55" t="n">
        <x:v>1325</x:v>
      </x:c>
      <x:c r="P881" s="55" t="n">
        <x:v>1155</x:v>
      </x:c>
      <x:c r="Q881" s="55" t="n">
        <x:v>2323</x:v>
      </x:c>
      <x:c r="R881" s="55" t="n">
        <x:v>1489</x:v>
      </x:c>
      <x:c r="S881" s="55" t="n">
        <x:v>2528</x:v>
      </x:c>
      <x:c r="T881" s="55" t="n">
        <x:v>1356</x:v>
      </x:c>
      <x:c r="U881" s="55" t="n">
        <x:v>2040</x:v>
      </x:c>
      <x:c r="V881" s="55" t="n">
        <x:v>10273</x:v>
      </x:c>
      <x:c r="W881" s="55" t="n">
        <x:v>7322</x:v>
      </x:c>
      <x:c r="X881" s="55" t="n">
        <x:v>2951</x:v>
      </x:c>
      <x:c r="Y881" s="55" t="n">
        <x:v>2616</x:v>
      </x:c>
      <x:c r="Z881" s="55" t="n">
        <x:v>3775</x:v>
      </x:c>
      <x:c r="AA881" s="55" t="n">
        <x:v>3011</x:v>
      </x:c>
      <x:c r="AB881" s="55" t="n">
        <x:v>953</x:v>
      </x:c>
      <x:c r="AC881" s="55" t="n">
        <x:v>7637</x:v>
      </x:c>
      <x:c r="AD881" s="55" t="n">
        <x:v>2851</x:v>
      </x:c>
      <x:c r="AE881" s="55" t="n">
        <x:v>10313</x:v>
      </x:c>
      <x:c r="AF881" s="55" t="n">
        <x:v>10273</x:v>
      </x:c>
      <x:c r="AG881" s="55" t="n">
        <x:v>40</x:v>
      </x:c>
      <x:c r="AH881" s="55" t="n">
        <x:v>254</x:v>
      </x:c>
      <x:c r="AI881" s="55" t="n">
        <x:v>10019</x:v>
      </x:c>
      <x:c r="AJ881" s="55" t="n">
        <x:v>255</x:v>
      </x:c>
      <x:c r="AK881" s="55" t="n">
        <x:v>790</x:v>
      </x:c>
      <x:c r="AL881" s="55" t="n">
        <x:v>1166</x:v>
      </x:c>
      <x:c r="AM881" s="55" t="n">
        <x:v>4863</x:v>
      </x:c>
      <x:c r="AN881" s="55" t="n">
        <x:v>3176</x:v>
      </x:c>
      <x:c r="AO881" s="55" t="n">
        <x:v>23</x:v>
      </x:c>
      <x:c r="AP881" s="55" t="n">
        <x:v>1724</x:v>
      </x:c>
      <x:c r="AQ881" s="55" t="n">
        <x:v>965</x:v>
      </x:c>
    </x:row>
    <x:row r="882">
      <x:c r="A882" s="54" t="str">
        <x:v>T1_SHARED_CATCHMENT</x:v>
      </x:c>
      <x:c r="B882" s="54" t="n">
        <x:v>876</x:v>
      </x:c>
      <x:c r="C882" s="54" t="str">
        <x:v>NYC-V2-R01</x:v>
      </x:c>
      <x:c r="D882" s="54" t="str">
        <x:v>V2</x:v>
      </x:c>
      <x:c r="E882" s="54" t="str">
        <x:v>ADMITTED</x:v>
      </x:c>
      <x:c r="F882" s="55" t="n">
        <x:v>30324</x:v>
      </x:c>
      <x:c r="G882" s="55" t="n">
        <x:v>7054</x:v>
      </x:c>
      <x:c r="H882" s="55" t="n">
        <x:v>3384</x:v>
      </x:c>
      <x:c r="I882" s="55" t="n">
        <x:v>1122</x:v>
      </x:c>
      <x:c r="J882" s="55" t="n">
        <x:v>89</x:v>
      </x:c>
      <x:c r="K882" s="55" t="n">
        <x:v>29068</x:v>
      </x:c>
      <x:c r="L882" s="55" t="n">
        <x:v>4154</x:v>
      </x:c>
      <x:c r="M882" s="55" t="n">
        <x:v>0</x:v>
      </x:c>
      <x:c r="N882" s="55" t="n">
        <x:v>2606</x:v>
      </x:c>
      <x:c r="O882" s="55" t="n">
        <x:v>1548</x:v>
      </x:c>
      <x:c r="P882" s="55" t="n">
        <x:v>896</x:v>
      </x:c>
      <x:c r="Q882" s="55" t="n">
        <x:v>2244</x:v>
      </x:c>
      <x:c r="R882" s="55" t="n">
        <x:v>1719</x:v>
      </x:c>
      <x:c r="S882" s="55" t="n">
        <x:v>3038</x:v>
      </x:c>
      <x:c r="T882" s="55" t="n">
        <x:v>604</x:v>
      </x:c>
      <x:c r="U882" s="55" t="n">
        <x:v>2069</x:v>
      </x:c>
      <x:c r="V882" s="55" t="n">
        <x:v>10268</x:v>
      </x:c>
      <x:c r="W882" s="55" t="n">
        <x:v>7402</x:v>
      </x:c>
      <x:c r="X882" s="55" t="n">
        <x:v>2866</x:v>
      </x:c>
      <x:c r="Y882" s="55" t="n">
        <x:v>2411</x:v>
      </x:c>
      <x:c r="Z882" s="55" t="n">
        <x:v>3867</x:v>
      </x:c>
      <x:c r="AA882" s="55" t="n">
        <x:v>2896</x:v>
      </x:c>
      <x:c r="AB882" s="55" t="n">
        <x:v>721</x:v>
      </x:c>
      <x:c r="AC882" s="55" t="n">
        <x:v>8252</x:v>
      </x:c>
      <x:c r="AD882" s="55" t="n">
        <x:v>2723</x:v>
      </x:c>
      <x:c r="AE882" s="55" t="n">
        <x:v>10268</x:v>
      </x:c>
      <x:c r="AF882" s="55" t="n">
        <x:v>10268</x:v>
      </x:c>
      <x:c r="AG882" s="55" t="n">
        <x:v>0</x:v>
      </x:c>
      <x:c r="AH882" s="55" t="n">
        <x:v>530</x:v>
      </x:c>
      <x:c r="AI882" s="55" t="n">
        <x:v>9738</x:v>
      </x:c>
      <x:c r="AJ882" s="55" t="n">
        <x:v>424</x:v>
      </x:c>
      <x:c r="AK882" s="55" t="n">
        <x:v>705</x:v>
      </x:c>
      <x:c r="AL882" s="55" t="n">
        <x:v>1589</x:v>
      </x:c>
      <x:c r="AM882" s="55" t="n">
        <x:v>4755</x:v>
      </x:c>
      <x:c r="AN882" s="55" t="n">
        <x:v>2795</x:v>
      </x:c>
      <x:c r="AO882" s="55" t="n">
        <x:v>0</x:v>
      </x:c>
      <x:c r="AP882" s="55" t="n">
        <x:v>2329</x:v>
      </x:c>
      <x:c r="AQ882" s="55" t="n">
        <x:v>915</x:v>
      </x:c>
    </x:row>
    <x:row r="883">
      <x:c r="A883" s="54" t="str">
        <x:v>T1_SHARED_CATCHMENT</x:v>
      </x:c>
      <x:c r="B883" s="54" t="n">
        <x:v>877</x:v>
      </x:c>
      <x:c r="C883" s="54" t="str">
        <x:v>NYC-V2-R01</x:v>
      </x:c>
      <x:c r="D883" s="54" t="str">
        <x:v>V2</x:v>
      </x:c>
      <x:c r="E883" s="54" t="str">
        <x:v>ADMITTED</x:v>
      </x:c>
      <x:c r="F883" s="55" t="n">
        <x:v>29838</x:v>
      </x:c>
      <x:c r="G883" s="55" t="n">
        <x:v>7726</x:v>
      </x:c>
      <x:c r="H883" s="55" t="n">
        <x:v>3257</x:v>
      </x:c>
      <x:c r="I883" s="55" t="n">
        <x:v>1490</x:v>
      </x:c>
      <x:c r="J883" s="55" t="n">
        <x:v>138</x:v>
      </x:c>
      <x:c r="K883" s="55" t="n">
        <x:v>27450</x:v>
      </x:c>
      <x:c r="L883" s="55" t="n">
        <x:v>5215</x:v>
      </x:c>
      <x:c r="M883" s="55" t="n">
        <x:v>683</x:v>
      </x:c>
      <x:c r="N883" s="55" t="n">
        <x:v>2871</x:v>
      </x:c>
      <x:c r="O883" s="55" t="n">
        <x:v>1661</x:v>
      </x:c>
      <x:c r="P883" s="55" t="n">
        <x:v>343</x:v>
      </x:c>
      <x:c r="Q883" s="55" t="n">
        <x:v>2761</x:v>
      </x:c>
      <x:c r="R883" s="55" t="n">
        <x:v>2233</x:v>
      </x:c>
      <x:c r="S883" s="55" t="n">
        <x:v>2776</x:v>
      </x:c>
      <x:c r="T883" s="55" t="n">
        <x:v>1234</x:v>
      </x:c>
      <x:c r="U883" s="55" t="n">
        <x:v>1936</x:v>
      </x:c>
      <x:c r="V883" s="55" t="n">
        <x:v>10727</x:v>
      </x:c>
      <x:c r="W883" s="55" t="n">
        <x:v>7245</x:v>
      </x:c>
      <x:c r="X883" s="55" t="n">
        <x:v>3482</x:v>
      </x:c>
      <x:c r="Y883" s="55" t="n">
        <x:v>2950</x:v>
      </x:c>
      <x:c r="Z883" s="55" t="n">
        <x:v>3466</x:v>
      </x:c>
      <x:c r="AA883" s="55" t="n">
        <x:v>3068</x:v>
      </x:c>
      <x:c r="AB883" s="55" t="n">
        <x:v>1063</x:v>
      </x:c>
      <x:c r="AC883" s="55" t="n">
        <x:v>8066</x:v>
      </x:c>
      <x:c r="AD883" s="55" t="n">
        <x:v>2838</x:v>
      </x:c>
      <x:c r="AE883" s="55" t="n">
        <x:v>10816</x:v>
      </x:c>
      <x:c r="AF883" s="55" t="n">
        <x:v>10727</x:v>
      </x:c>
      <x:c r="AG883" s="55" t="n">
        <x:v>89</x:v>
      </x:c>
      <x:c r="AH883" s="55" t="n">
        <x:v>122</x:v>
      </x:c>
      <x:c r="AI883" s="55" t="n">
        <x:v>10605</x:v>
      </x:c>
      <x:c r="AJ883" s="55" t="n">
        <x:v>350</x:v>
      </x:c>
      <x:c r="AK883" s="55" t="n">
        <x:v>902</x:v>
      </x:c>
      <x:c r="AL883" s="55" t="n">
        <x:v>1216</x:v>
      </x:c>
      <x:c r="AM883" s="55" t="n">
        <x:v>5307</x:v>
      </x:c>
      <x:c r="AN883" s="55" t="n">
        <x:v>2950</x:v>
      </x:c>
      <x:c r="AO883" s="55" t="n">
        <x:v>2</x:v>
      </x:c>
      <x:c r="AP883" s="55" t="n">
        <x:v>2212</x:v>
      </x:c>
      <x:c r="AQ883" s="55" t="n">
        <x:v>941</x:v>
      </x:c>
    </x:row>
    <x:row r="884">
      <x:c r="A884" s="54" t="str">
        <x:v>T1_SHARED_CATCHMENT</x:v>
      </x:c>
      <x:c r="B884" s="54" t="n">
        <x:v>878</x:v>
      </x:c>
      <x:c r="C884" s="54" t="str">
        <x:v>NYC-V2-R01</x:v>
      </x:c>
      <x:c r="D884" s="54" t="str">
        <x:v>V2</x:v>
      </x:c>
      <x:c r="E884" s="54" t="str">
        <x:v>ADMITTED</x:v>
      </x:c>
      <x:c r="F884" s="55" t="n">
        <x:v>29258</x:v>
      </x:c>
      <x:c r="G884" s="55" t="n">
        <x:v>6933</x:v>
      </x:c>
      <x:c r="H884" s="55" t="n">
        <x:v>3193</x:v>
      </x:c>
      <x:c r="I884" s="55" t="n">
        <x:v>944</x:v>
      </x:c>
      <x:c r="J884" s="55" t="n">
        <x:v>38</x:v>
      </x:c>
      <x:c r="K884" s="55" t="n">
        <x:v>28953</x:v>
      </x:c>
      <x:c r="L884" s="55" t="n">
        <x:v>5242</x:v>
      </x:c>
      <x:c r="M884" s="55" t="n">
        <x:v>257</x:v>
      </x:c>
      <x:c r="N884" s="55" t="n">
        <x:v>3183</x:v>
      </x:c>
      <x:c r="O884" s="55" t="n">
        <x:v>1802</x:v>
      </x:c>
      <x:c r="P884" s="55" t="n">
        <x:v>596</x:v>
      </x:c>
      <x:c r="Q884" s="55" t="n">
        <x:v>2315</x:v>
      </x:c>
      <x:c r="R884" s="55" t="n">
        <x:v>1179</x:v>
      </x:c>
      <x:c r="S884" s="55" t="n">
        <x:v>2784</x:v>
      </x:c>
      <x:c r="T884" s="55" t="n">
        <x:v>792</x:v>
      </x:c>
      <x:c r="U884" s="55" t="n">
        <x:v>1712</x:v>
      </x:c>
      <x:c r="V884" s="55" t="n">
        <x:v>10135</x:v>
      </x:c>
      <x:c r="W884" s="55" t="n">
        <x:v>6984</x:v>
      </x:c>
      <x:c r="X884" s="55" t="n">
        <x:v>3151</x:v>
      </x:c>
      <x:c r="Y884" s="55" t="n">
        <x:v>2667</x:v>
      </x:c>
      <x:c r="Z884" s="55" t="n">
        <x:v>3884</x:v>
      </x:c>
      <x:c r="AA884" s="55" t="n">
        <x:v>3091</x:v>
      </x:c>
      <x:c r="AB884" s="55" t="n">
        <x:v>1223</x:v>
      </x:c>
      <x:c r="AC884" s="55" t="n">
        <x:v>8165</x:v>
      </x:c>
      <x:c r="AD884" s="55" t="n">
        <x:v>2451</x:v>
      </x:c>
      <x:c r="AE884" s="55" t="n">
        <x:v>10240</x:v>
      </x:c>
      <x:c r="AF884" s="55" t="n">
        <x:v>10135</x:v>
      </x:c>
      <x:c r="AG884" s="55" t="n">
        <x:v>105</x:v>
      </x:c>
      <x:c r="AH884" s="55" t="n">
        <x:v>226</x:v>
      </x:c>
      <x:c r="AI884" s="55" t="n">
        <x:v>9909</x:v>
      </x:c>
      <x:c r="AJ884" s="55" t="n">
        <x:v>287</x:v>
      </x:c>
      <x:c r="AK884" s="55" t="n">
        <x:v>949</x:v>
      </x:c>
      <x:c r="AL884" s="55" t="n">
        <x:v>1736</x:v>
      </x:c>
      <x:c r="AM884" s="55" t="n">
        <x:v>4741</x:v>
      </x:c>
      <x:c r="AN884" s="55" t="n">
        <x:v>2398</x:v>
      </x:c>
      <x:c r="AO884" s="55" t="n">
        <x:v>24</x:v>
      </x:c>
      <x:c r="AP884" s="55" t="n">
        <x:v>2397</x:v>
      </x:c>
      <x:c r="AQ884" s="55" t="n">
        <x:v>947</x:v>
      </x:c>
    </x:row>
    <x:row r="885">
      <x:c r="A885" s="54" t="str">
        <x:v>T1_SHARED_CATCHMENT</x:v>
      </x:c>
      <x:c r="B885" s="54" t="n">
        <x:v>879</x:v>
      </x:c>
      <x:c r="C885" s="54" t="str">
        <x:v>NYC-V2-R01</x:v>
      </x:c>
      <x:c r="D885" s="54" t="str">
        <x:v>V2</x:v>
      </x:c>
      <x:c r="E885" s="54" t="str">
        <x:v>ADMITTED</x:v>
      </x:c>
      <x:c r="F885" s="55" t="n">
        <x:v>34278</x:v>
      </x:c>
      <x:c r="G885" s="55" t="n">
        <x:v>6724</x:v>
      </x:c>
      <x:c r="H885" s="55" t="n">
        <x:v>3646</x:v>
      </x:c>
      <x:c r="I885" s="55" t="n">
        <x:v>1674</x:v>
      </x:c>
      <x:c r="J885" s="55" t="n">
        <x:v>319</x:v>
      </x:c>
      <x:c r="K885" s="55" t="n">
        <x:v>34278</x:v>
      </x:c>
      <x:c r="L885" s="55" t="n">
        <x:v>6412</x:v>
      </x:c>
      <x:c r="M885" s="55" t="n">
        <x:v>1542</x:v>
      </x:c>
      <x:c r="N885" s="55" t="n">
        <x:v>2700</x:v>
      </x:c>
      <x:c r="O885" s="55" t="n">
        <x:v>2170</x:v>
      </x:c>
      <x:c r="P885" s="55" t="n">
        <x:v>682</x:v>
      </x:c>
      <x:c r="Q885" s="55" t="n">
        <x:v>1749</x:v>
      </x:c>
      <x:c r="R885" s="55" t="n">
        <x:v>1459</x:v>
      </x:c>
      <x:c r="S885" s="55" t="n">
        <x:v>2648</x:v>
      </x:c>
      <x:c r="T885" s="55" t="n">
        <x:v>1143</x:v>
      </x:c>
      <x:c r="U885" s="55" t="n">
        <x:v>1206</x:v>
      </x:c>
      <x:c r="V885" s="55" t="n">
        <x:v>10122</x:v>
      </x:c>
      <x:c r="W885" s="55" t="n">
        <x:v>6850</x:v>
      </x:c>
      <x:c r="X885" s="55" t="n">
        <x:v>3272</x:v>
      </x:c>
      <x:c r="Y885" s="55" t="n">
        <x:v>2796</x:v>
      </x:c>
      <x:c r="Z885" s="55" t="n">
        <x:v>3607</x:v>
      </x:c>
      <x:c r="AA885" s="55" t="n">
        <x:v>3302</x:v>
      </x:c>
      <x:c r="AB885" s="55" t="n">
        <x:v>793</x:v>
      </x:c>
      <x:c r="AC885" s="55" t="n">
        <x:v>7761</x:v>
      </x:c>
      <x:c r="AD885" s="55" t="n">
        <x:v>3369</x:v>
      </x:c>
      <x:c r="AE885" s="55" t="n">
        <x:v>10238</x:v>
      </x:c>
      <x:c r="AF885" s="55" t="n">
        <x:v>10122</x:v>
      </x:c>
      <x:c r="AG885" s="55" t="n">
        <x:v>116</x:v>
      </x:c>
      <x:c r="AH885" s="55" t="n">
        <x:v>532</x:v>
      </x:c>
      <x:c r="AI885" s="55" t="n">
        <x:v>9590</x:v>
      </x:c>
      <x:c r="AJ885" s="55" t="n">
        <x:v>308</x:v>
      </x:c>
      <x:c r="AK885" s="55" t="n">
        <x:v>1010</x:v>
      </x:c>
      <x:c r="AL885" s="55" t="n">
        <x:v>1642</x:v>
      </x:c>
      <x:c r="AM885" s="55" t="n">
        <x:v>4935</x:v>
      </x:c>
      <x:c r="AN885" s="55" t="n">
        <x:v>2227</x:v>
      </x:c>
      <x:c r="AO885" s="55" t="n">
        <x:v>0</x:v>
      </x:c>
      <x:c r="AP885" s="55" t="n">
        <x:v>2478</x:v>
      </x:c>
      <x:c r="AQ885" s="55" t="n">
        <x:v>955</x:v>
      </x:c>
    </x:row>
    <x:row r="886">
      <x:c r="A886" s="54" t="str">
        <x:v>T1_SHARED_CATCHMENT</x:v>
      </x:c>
      <x:c r="B886" s="54" t="n">
        <x:v>880</x:v>
      </x:c>
      <x:c r="C886" s="54" t="str">
        <x:v>NYC-V2-R01</x:v>
      </x:c>
      <x:c r="D886" s="54" t="str">
        <x:v>V2</x:v>
      </x:c>
      <x:c r="E886" s="54" t="str">
        <x:v>ADMITTED</x:v>
      </x:c>
      <x:c r="F886" s="55" t="n">
        <x:v>31900</x:v>
      </x:c>
      <x:c r="G886" s="55" t="n">
        <x:v>8006</x:v>
      </x:c>
      <x:c r="H886" s="55" t="n">
        <x:v>3146</x:v>
      </x:c>
      <x:c r="I886" s="55" t="n">
        <x:v>1175</x:v>
      </x:c>
      <x:c r="J886" s="55" t="n">
        <x:v>224</x:v>
      </x:c>
      <x:c r="K886" s="55" t="n">
        <x:v>30328</x:v>
      </x:c>
      <x:c r="L886" s="55" t="n">
        <x:v>5509</x:v>
      </x:c>
      <x:c r="M886" s="55" t="n">
        <x:v>1101</x:v>
      </x:c>
      <x:c r="N886" s="55" t="n">
        <x:v>2678</x:v>
      </x:c>
      <x:c r="O886" s="55" t="n">
        <x:v>1730</x:v>
      </x:c>
      <x:c r="P886" s="55" t="n">
        <x:v>1075</x:v>
      </x:c>
      <x:c r="Q886" s="55" t="n">
        <x:v>2133</x:v>
      </x:c>
      <x:c r="R886" s="55" t="n">
        <x:v>1837</x:v>
      </x:c>
      <x:c r="S886" s="55" t="n">
        <x:v>2830</x:v>
      </x:c>
      <x:c r="T886" s="55" t="n">
        <x:v>1661</x:v>
      </x:c>
      <x:c r="U886" s="55" t="n">
        <x:v>2434</x:v>
      </x:c>
      <x:c r="V886" s="55" t="n">
        <x:v>10374</x:v>
      </x:c>
      <x:c r="W886" s="55" t="n">
        <x:v>6896</x:v>
      </x:c>
      <x:c r="X886" s="55" t="n">
        <x:v>3478</x:v>
      </x:c>
      <x:c r="Y886" s="55" t="n">
        <x:v>3085</x:v>
      </x:c>
      <x:c r="Z886" s="55" t="n">
        <x:v>3892</x:v>
      </x:c>
      <x:c r="AA886" s="55" t="n">
        <x:v>3146</x:v>
      </x:c>
      <x:c r="AB886" s="55" t="n">
        <x:v>1198</x:v>
      </x:c>
      <x:c r="AC886" s="55" t="n">
        <x:v>7831</x:v>
      </x:c>
      <x:c r="AD886" s="55" t="n">
        <x:v>2402</x:v>
      </x:c>
      <x:c r="AE886" s="55" t="n">
        <x:v>10485</x:v>
      </x:c>
      <x:c r="AF886" s="55" t="n">
        <x:v>10374</x:v>
      </x:c>
      <x:c r="AG886" s="55" t="n">
        <x:v>111</x:v>
      </x:c>
      <x:c r="AH886" s="55" t="n">
        <x:v>373</x:v>
      </x:c>
      <x:c r="AI886" s="55" t="n">
        <x:v>10001</x:v>
      </x:c>
      <x:c r="AJ886" s="55" t="n">
        <x:v>356</x:v>
      </x:c>
      <x:c r="AK886" s="55" t="n">
        <x:v>893</x:v>
      </x:c>
      <x:c r="AL886" s="55" t="n">
        <x:v>2083</x:v>
      </x:c>
      <x:c r="AM886" s="55" t="n">
        <x:v>4135</x:v>
      </x:c>
      <x:c r="AN886" s="55" t="n">
        <x:v>2837</x:v>
      </x:c>
      <x:c r="AO886" s="55" t="n">
        <x:v>70</x:v>
      </x:c>
      <x:c r="AP886" s="55" t="n">
        <x:v>2378</x:v>
      </x:c>
      <x:c r="AQ886" s="55" t="n">
        <x:v>984</x:v>
      </x:c>
    </x:row>
    <x:row r="887">
      <x:c r="A887" s="54" t="str">
        <x:v>T1_SHARED_CATCHMENT</x:v>
      </x:c>
      <x:c r="B887" s="54" t="n">
        <x:v>881</x:v>
      </x:c>
      <x:c r="C887" s="54" t="str">
        <x:v>NYC-V2-R01</x:v>
      </x:c>
      <x:c r="D887" s="54" t="str">
        <x:v>V2</x:v>
      </x:c>
      <x:c r="E887" s="54" t="str">
        <x:v>ADMITTED</x:v>
      </x:c>
      <x:c r="F887" s="55" t="n">
        <x:v>31776</x:v>
      </x:c>
      <x:c r="G887" s="55" t="n">
        <x:v>8070</x:v>
      </x:c>
      <x:c r="H887" s="55" t="n">
        <x:v>3861</x:v>
      </x:c>
      <x:c r="I887" s="55" t="n">
        <x:v>1289</x:v>
      </x:c>
      <x:c r="J887" s="55" t="n">
        <x:v>236</x:v>
      </x:c>
      <x:c r="K887" s="55" t="n">
        <x:v>31289</x:v>
      </x:c>
      <x:c r="L887" s="55" t="n">
        <x:v>5948</x:v>
      </x:c>
      <x:c r="M887" s="55" t="n">
        <x:v>2216</x:v>
      </x:c>
      <x:c r="N887" s="55" t="n">
        <x:v>2138</x:v>
      </x:c>
      <x:c r="O887" s="55" t="n">
        <x:v>1594</x:v>
      </x:c>
      <x:c r="P887" s="55" t="n">
        <x:v>1193</x:v>
      </x:c>
      <x:c r="Q887" s="55" t="n">
        <x:v>2321</x:v>
      </x:c>
      <x:c r="R887" s="55" t="n">
        <x:v>2221</x:v>
      </x:c>
      <x:c r="S887" s="55" t="n">
        <x:v>2897</x:v>
      </x:c>
      <x:c r="T887" s="55" t="n">
        <x:v>1128</x:v>
      </x:c>
      <x:c r="U887" s="55" t="n">
        <x:v>2484</x:v>
      </x:c>
      <x:c r="V887" s="55" t="n">
        <x:v>10416</x:v>
      </x:c>
      <x:c r="W887" s="55" t="n">
        <x:v>7200</x:v>
      </x:c>
      <x:c r="X887" s="55" t="n">
        <x:v>3216</x:v>
      </x:c>
      <x:c r="Y887" s="55" t="n">
        <x:v>2740</x:v>
      </x:c>
      <x:c r="Z887" s="55" t="n">
        <x:v>3870</x:v>
      </x:c>
      <x:c r="AA887" s="55" t="n">
        <x:v>3255</x:v>
      </x:c>
      <x:c r="AB887" s="55" t="n">
        <x:v>1164</x:v>
      </x:c>
      <x:c r="AC887" s="55" t="n">
        <x:v>7866</x:v>
      </x:c>
      <x:c r="AD887" s="55" t="n">
        <x:v>3182</x:v>
      </x:c>
      <x:c r="AE887" s="55" t="n">
        <x:v>10490</x:v>
      </x:c>
      <x:c r="AF887" s="55" t="n">
        <x:v>10416</x:v>
      </x:c>
      <x:c r="AG887" s="55" t="n">
        <x:v>74</x:v>
      </x:c>
      <x:c r="AH887" s="55" t="n">
        <x:v>402</x:v>
      </x:c>
      <x:c r="AI887" s="55" t="n">
        <x:v>10014</x:v>
      </x:c>
      <x:c r="AJ887" s="55" t="n">
        <x:v>200</x:v>
      </x:c>
      <x:c r="AK887" s="55" t="n">
        <x:v>860</x:v>
      </x:c>
      <x:c r="AL887" s="55" t="n">
        <x:v>1486</x:v>
      </x:c>
      <x:c r="AM887" s="55" t="n">
        <x:v>4965</x:v>
      </x:c>
      <x:c r="AN887" s="55" t="n">
        <x:v>2905</x:v>
      </x:c>
      <x:c r="AO887" s="55" t="n">
        <x:v>0</x:v>
      </x:c>
      <x:c r="AP887" s="55" t="n">
        <x:v>2585</x:v>
      </x:c>
      <x:c r="AQ887" s="55" t="n">
        <x:v>926</x:v>
      </x:c>
    </x:row>
    <x:row r="888">
      <x:c r="A888" s="54" t="str">
        <x:v>T1_SHARED_CATCHMENT</x:v>
      </x:c>
      <x:c r="B888" s="54" t="n">
        <x:v>882</x:v>
      </x:c>
      <x:c r="C888" s="54" t="str">
        <x:v>NYC-V2-R01</x:v>
      </x:c>
      <x:c r="D888" s="54" t="str">
        <x:v>V2</x:v>
      </x:c>
      <x:c r="E888" s="54" t="str">
        <x:v>ADMITTED</x:v>
      </x:c>
      <x:c r="F888" s="55" t="n">
        <x:v>31085</x:v>
      </x:c>
      <x:c r="G888" s="55" t="n">
        <x:v>7278</x:v>
      </x:c>
      <x:c r="H888" s="55" t="n">
        <x:v>3158</x:v>
      </x:c>
      <x:c r="I888" s="55" t="n">
        <x:v>1093</x:v>
      </x:c>
      <x:c r="J888" s="55" t="n">
        <x:v>0</x:v>
      </x:c>
      <x:c r="K888" s="55" t="n">
        <x:v>31085</x:v>
      </x:c>
      <x:c r="L888" s="55" t="n">
        <x:v>5515</x:v>
      </x:c>
      <x:c r="M888" s="55" t="n">
        <x:v>1078</x:v>
      </x:c>
      <x:c r="N888" s="55" t="n">
        <x:v>2846</x:v>
      </x:c>
      <x:c r="O888" s="55" t="n">
        <x:v>1591</x:v>
      </x:c>
      <x:c r="P888" s="55" t="n">
        <x:v>910</x:v>
      </x:c>
      <x:c r="Q888" s="55" t="n">
        <x:v>3298</x:v>
      </x:c>
      <x:c r="R888" s="55" t="n">
        <x:v>1835</x:v>
      </x:c>
      <x:c r="S888" s="55" t="n">
        <x:v>2441</x:v>
      </x:c>
      <x:c r="T888" s="55" t="n">
        <x:v>880</x:v>
      </x:c>
      <x:c r="U888" s="55" t="n">
        <x:v>2006</x:v>
      </x:c>
      <x:c r="V888" s="55" t="n">
        <x:v>10437</x:v>
      </x:c>
      <x:c r="W888" s="55" t="n">
        <x:v>7538</x:v>
      </x:c>
      <x:c r="X888" s="55" t="n">
        <x:v>2899</x:v>
      </x:c>
      <x:c r="Y888" s="55" t="n">
        <x:v>2468</x:v>
      </x:c>
      <x:c r="Z888" s="55" t="n">
        <x:v>3449</x:v>
      </x:c>
      <x:c r="AA888" s="55" t="n">
        <x:v>3158</x:v>
      </x:c>
      <x:c r="AB888" s="55" t="n">
        <x:v>818</x:v>
      </x:c>
      <x:c r="AC888" s="55" t="n">
        <x:v>7990</x:v>
      </x:c>
      <x:c r="AD888" s="55" t="n">
        <x:v>2804</x:v>
      </x:c>
      <x:c r="AE888" s="55" t="n">
        <x:v>10531</x:v>
      </x:c>
      <x:c r="AF888" s="55" t="n">
        <x:v>10437</x:v>
      </x:c>
      <x:c r="AG888" s="55" t="n">
        <x:v>94</x:v>
      </x:c>
      <x:c r="AH888" s="55" t="n">
        <x:v>277</x:v>
      </x:c>
      <x:c r="AI888" s="55" t="n">
        <x:v>10160</x:v>
      </x:c>
      <x:c r="AJ888" s="55" t="n">
        <x:v>421</x:v>
      </x:c>
      <x:c r="AK888" s="55" t="n">
        <x:v>1229</x:v>
      </x:c>
      <x:c r="AL888" s="55" t="n">
        <x:v>1768</x:v>
      </x:c>
      <x:c r="AM888" s="55" t="n">
        <x:v>4525</x:v>
      </x:c>
      <x:c r="AN888" s="55" t="n">
        <x:v>2494</x:v>
      </x:c>
      <x:c r="AO888" s="55" t="n">
        <x:v>0</x:v>
      </x:c>
      <x:c r="AP888" s="55" t="n">
        <x:v>2742</x:v>
      </x:c>
      <x:c r="AQ888" s="55" t="n">
        <x:v>921</x:v>
      </x:c>
    </x:row>
    <x:row r="889">
      <x:c r="A889" s="54" t="str">
        <x:v>T1_SHARED_CATCHMENT</x:v>
      </x:c>
      <x:c r="B889" s="54" t="n">
        <x:v>883</x:v>
      </x:c>
      <x:c r="C889" s="54" t="str">
        <x:v>NYC-V2-R01</x:v>
      </x:c>
      <x:c r="D889" s="54" t="str">
        <x:v>V2</x:v>
      </x:c>
      <x:c r="E889" s="54" t="str">
        <x:v>ADMITTED</x:v>
      </x:c>
      <x:c r="F889" s="55" t="n">
        <x:v>30104</x:v>
      </x:c>
      <x:c r="G889" s="55" t="n">
        <x:v>6250</x:v>
      </x:c>
      <x:c r="H889" s="55" t="n">
        <x:v>3092</x:v>
      </x:c>
      <x:c r="I889" s="55" t="n">
        <x:v>1034</x:v>
      </x:c>
      <x:c r="J889" s="55" t="n">
        <x:v>111</x:v>
      </x:c>
      <x:c r="K889" s="55" t="n">
        <x:v>30104</x:v>
      </x:c>
      <x:c r="L889" s="55" t="n">
        <x:v>5073</x:v>
      </x:c>
      <x:c r="M889" s="55" t="n">
        <x:v>1739</x:v>
      </x:c>
      <x:c r="N889" s="55" t="n">
        <x:v>2178</x:v>
      </x:c>
      <x:c r="O889" s="55" t="n">
        <x:v>1156</x:v>
      </x:c>
      <x:c r="P889" s="55" t="n">
        <x:v>433</x:v>
      </x:c>
      <x:c r="Q889" s="55" t="n">
        <x:v>2359</x:v>
      </x:c>
      <x:c r="R889" s="55" t="n">
        <x:v>1823</x:v>
      </x:c>
      <x:c r="S889" s="55" t="n">
        <x:v>2167</x:v>
      </x:c>
      <x:c r="T889" s="55" t="n">
        <x:v>905</x:v>
      </x:c>
      <x:c r="U889" s="55" t="n">
        <x:v>2564</x:v>
      </x:c>
      <x:c r="V889" s="55" t="n">
        <x:v>9206</x:v>
      </x:c>
      <x:c r="W889" s="55" t="n">
        <x:v>6712</x:v>
      </x:c>
      <x:c r="X889" s="55" t="n">
        <x:v>2494</x:v>
      </x:c>
      <x:c r="Y889" s="55" t="n">
        <x:v>2102</x:v>
      </x:c>
      <x:c r="Z889" s="55" t="n">
        <x:v>3659</x:v>
      </x:c>
      <x:c r="AA889" s="55" t="n">
        <x:v>2814</x:v>
      </x:c>
      <x:c r="AB889" s="55" t="n">
        <x:v>1048</x:v>
      </x:c>
      <x:c r="AC889" s="55" t="n">
        <x:v>8254</x:v>
      </x:c>
      <x:c r="AD889" s="55" t="n">
        <x:v>2758</x:v>
      </x:c>
      <x:c r="AE889" s="55" t="n">
        <x:v>9259</x:v>
      </x:c>
      <x:c r="AF889" s="55" t="n">
        <x:v>9206</x:v>
      </x:c>
      <x:c r="AG889" s="55" t="n">
        <x:v>53</x:v>
      </x:c>
      <x:c r="AH889" s="55" t="n">
        <x:v>323</x:v>
      </x:c>
      <x:c r="AI889" s="55" t="n">
        <x:v>8883</x:v>
      </x:c>
      <x:c r="AJ889" s="55" t="n">
        <x:v>213</x:v>
      </x:c>
      <x:c r="AK889" s="55" t="n">
        <x:v>957</x:v>
      </x:c>
      <x:c r="AL889" s="55" t="n">
        <x:v>1171</x:v>
      </x:c>
      <x:c r="AM889" s="55" t="n">
        <x:v>4186</x:v>
      </x:c>
      <x:c r="AN889" s="55" t="n">
        <x:v>2570</x:v>
      </x:c>
      <x:c r="AO889" s="55" t="n">
        <x:v>109</x:v>
      </x:c>
      <x:c r="AP889" s="55" t="n">
        <x:v>2307</x:v>
      </x:c>
      <x:c r="AQ889" s="55" t="n">
        <x:v>953</x:v>
      </x:c>
    </x:row>
    <x:row r="890">
      <x:c r="A890" s="54" t="str">
        <x:v>T1_SHARED_CATCHMENT</x:v>
      </x:c>
      <x:c r="B890" s="54" t="n">
        <x:v>884</x:v>
      </x:c>
      <x:c r="C890" s="54" t="str">
        <x:v>NYC-V2-R01</x:v>
      </x:c>
      <x:c r="D890" s="54" t="str">
        <x:v>V2</x:v>
      </x:c>
      <x:c r="E890" s="54" t="str">
        <x:v>ADMITTED</x:v>
      </x:c>
      <x:c r="F890" s="55" t="n">
        <x:v>32370</x:v>
      </x:c>
      <x:c r="G890" s="55" t="n">
        <x:v>6289</x:v>
      </x:c>
      <x:c r="H890" s="55" t="n">
        <x:v>3342</x:v>
      </x:c>
      <x:c r="I890" s="55" t="n">
        <x:v>1492</x:v>
      </x:c>
      <x:c r="J890" s="55" t="n">
        <x:v>301</x:v>
      </x:c>
      <x:c r="K890" s="55" t="n">
        <x:v>32370</x:v>
      </x:c>
      <x:c r="L890" s="55" t="n">
        <x:v>5927</x:v>
      </x:c>
      <x:c r="M890" s="55" t="n">
        <x:v>1375</x:v>
      </x:c>
      <x:c r="N890" s="55" t="n">
        <x:v>2664</x:v>
      </x:c>
      <x:c r="O890" s="55" t="n">
        <x:v>1888</x:v>
      </x:c>
      <x:c r="P890" s="55" t="n">
        <x:v>583</x:v>
      </x:c>
      <x:c r="Q890" s="55" t="n">
        <x:v>2230</x:v>
      </x:c>
      <x:c r="R890" s="55" t="n">
        <x:v>2038</x:v>
      </x:c>
      <x:c r="S890" s="55" t="n">
        <x:v>2551</x:v>
      </x:c>
      <x:c r="T890" s="55" t="n">
        <x:v>1508</x:v>
      </x:c>
      <x:c r="U890" s="55" t="n">
        <x:v>1956</x:v>
      </x:c>
      <x:c r="V890" s="55" t="n">
        <x:v>10635</x:v>
      </x:c>
      <x:c r="W890" s="55" t="n">
        <x:v>7816</x:v>
      </x:c>
      <x:c r="X890" s="55" t="n">
        <x:v>2819</x:v>
      </x:c>
      <x:c r="Y890" s="55" t="n">
        <x:v>2490</x:v>
      </x:c>
      <x:c r="Z890" s="55" t="n">
        <x:v>3018</x:v>
      </x:c>
      <x:c r="AA890" s="55" t="n">
        <x:v>3342</x:v>
      </x:c>
      <x:c r="AB890" s="55" t="n">
        <x:v>1129</x:v>
      </x:c>
      <x:c r="AC890" s="55" t="n">
        <x:v>7487</x:v>
      </x:c>
      <x:c r="AD890" s="55" t="n">
        <x:v>3469</x:v>
      </x:c>
      <x:c r="AE890" s="55" t="n">
        <x:v>10793</x:v>
      </x:c>
      <x:c r="AF890" s="55" t="n">
        <x:v>10635</x:v>
      </x:c>
      <x:c r="AG890" s="55" t="n">
        <x:v>158</x:v>
      </x:c>
      <x:c r="AH890" s="55" t="n">
        <x:v>429</x:v>
      </x:c>
      <x:c r="AI890" s="55" t="n">
        <x:v>10206</x:v>
      </x:c>
      <x:c r="AJ890" s="55" t="n">
        <x:v>484</x:v>
      </x:c>
      <x:c r="AK890" s="55" t="n">
        <x:v>818</x:v>
      </x:c>
      <x:c r="AL890" s="55" t="n">
        <x:v>1624</x:v>
      </x:c>
      <x:c r="AM890" s="55" t="n">
        <x:v>4864</x:v>
      </x:c>
      <x:c r="AN890" s="55" t="n">
        <x:v>2796</x:v>
      </x:c>
      <x:c r="AO890" s="55" t="n">
        <x:v>49</x:v>
      </x:c>
      <x:c r="AP890" s="55" t="n">
        <x:v>2606</x:v>
      </x:c>
      <x:c r="AQ890" s="55" t="n">
        <x:v>954</x:v>
      </x:c>
    </x:row>
    <x:row r="891">
      <x:c r="A891" s="54" t="str">
        <x:v>T1_SHARED_CATCHMENT</x:v>
      </x:c>
      <x:c r="B891" s="54" t="n">
        <x:v>885</x:v>
      </x:c>
      <x:c r="C891" s="54" t="str">
        <x:v>NYC-V2-R01</x:v>
      </x:c>
      <x:c r="D891" s="54" t="str">
        <x:v>V2</x:v>
      </x:c>
      <x:c r="E891" s="54" t="str">
        <x:v>ADMITTED</x:v>
      </x:c>
      <x:c r="F891" s="55" t="n">
        <x:v>30154</x:v>
      </x:c>
      <x:c r="G891" s="55" t="n">
        <x:v>7782</x:v>
      </x:c>
      <x:c r="H891" s="55" t="n">
        <x:v>3373</x:v>
      </x:c>
      <x:c r="I891" s="55" t="n">
        <x:v>1495</x:v>
      </x:c>
      <x:c r="J891" s="55" t="n">
        <x:v>254</x:v>
      </x:c>
      <x:c r="K891" s="55" t="n">
        <x:v>28376</x:v>
      </x:c>
      <x:c r="L891" s="55" t="n">
        <x:v>4558</x:v>
      </x:c>
      <x:c r="M891" s="55" t="n">
        <x:v>502</x:v>
      </x:c>
      <x:c r="N891" s="55" t="n">
        <x:v>2643</x:v>
      </x:c>
      <x:c r="O891" s="55" t="n">
        <x:v>1413</x:v>
      </x:c>
      <x:c r="P891" s="55" t="n">
        <x:v>501</x:v>
      </x:c>
      <x:c r="Q891" s="55" t="n">
        <x:v>2946</x:v>
      </x:c>
      <x:c r="R891" s="55" t="n">
        <x:v>1612</x:v>
      </x:c>
      <x:c r="S891" s="55" t="n">
        <x:v>2367</x:v>
      </x:c>
      <x:c r="T891" s="55" t="n">
        <x:v>1300</x:v>
      </x:c>
      <x:c r="U891" s="55" t="n">
        <x:v>2549</x:v>
      </x:c>
      <x:c r="V891" s="55" t="n">
        <x:v>10393</x:v>
      </x:c>
      <x:c r="W891" s="55" t="n">
        <x:v>7559</x:v>
      </x:c>
      <x:c r="X891" s="55" t="n">
        <x:v>2834</x:v>
      </x:c>
      <x:c r="Y891" s="55" t="n">
        <x:v>2378</x:v>
      </x:c>
      <x:c r="Z891" s="55" t="n">
        <x:v>3530</x:v>
      </x:c>
      <x:c r="AA891" s="55" t="n">
        <x:v>2883</x:v>
      </x:c>
      <x:c r="AB891" s="55" t="n">
        <x:v>849</x:v>
      </x:c>
      <x:c r="AC891" s="55" t="n">
        <x:v>7979</x:v>
      </x:c>
      <x:c r="AD891" s="55" t="n">
        <x:v>3040</x:v>
      </x:c>
      <x:c r="AE891" s="55" t="n">
        <x:v>10439</x:v>
      </x:c>
      <x:c r="AF891" s="55" t="n">
        <x:v>10393</x:v>
      </x:c>
      <x:c r="AG891" s="55" t="n">
        <x:v>46</x:v>
      </x:c>
      <x:c r="AH891" s="55" t="n">
        <x:v>697</x:v>
      </x:c>
      <x:c r="AI891" s="55" t="n">
        <x:v>9696</x:v>
      </x:c>
      <x:c r="AJ891" s="55" t="n">
        <x:v>322</x:v>
      </x:c>
      <x:c r="AK891" s="55" t="n">
        <x:v>861</x:v>
      </x:c>
      <x:c r="AL891" s="55" t="n">
        <x:v>1578</x:v>
      </x:c>
      <x:c r="AM891" s="55" t="n">
        <x:v>4890</x:v>
      </x:c>
      <x:c r="AN891" s="55" t="n">
        <x:v>2742</x:v>
      </x:c>
      <x:c r="AO891" s="55" t="n">
        <x:v>0</x:v>
      </x:c>
      <x:c r="AP891" s="55" t="n">
        <x:v>1738</x:v>
      </x:c>
      <x:c r="AQ891" s="55" t="n">
        <x:v>987</x:v>
      </x:c>
    </x:row>
    <x:row r="892">
      <x:c r="A892" s="54" t="str">
        <x:v>T1_SHARED_CATCHMENT</x:v>
      </x:c>
      <x:c r="B892" s="54" t="n">
        <x:v>886</x:v>
      </x:c>
      <x:c r="C892" s="54" t="str">
        <x:v>NYC-V2-R01</x:v>
      </x:c>
      <x:c r="D892" s="54" t="str">
        <x:v>V2</x:v>
      </x:c>
      <x:c r="E892" s="54" t="str">
        <x:v>ADMITTED</x:v>
      </x:c>
      <x:c r="F892" s="55" t="n">
        <x:v>32198</x:v>
      </x:c>
      <x:c r="G892" s="55" t="n">
        <x:v>8458</x:v>
      </x:c>
      <x:c r="H892" s="55" t="n">
        <x:v>3969</x:v>
      </x:c>
      <x:c r="I892" s="55" t="n">
        <x:v>1638</x:v>
      </x:c>
      <x:c r="J892" s="55" t="n">
        <x:v>259</x:v>
      </x:c>
      <x:c r="K892" s="55" t="n">
        <x:v>28463</x:v>
      </x:c>
      <x:c r="L892" s="55" t="n">
        <x:v>5179</x:v>
      </x:c>
      <x:c r="M892" s="55" t="n">
        <x:v>716</x:v>
      </x:c>
      <x:c r="N892" s="55" t="n">
        <x:v>2575</x:v>
      </x:c>
      <x:c r="O892" s="55" t="n">
        <x:v>1888</x:v>
      </x:c>
      <x:c r="P892" s="55" t="n">
        <x:v>747</x:v>
      </x:c>
      <x:c r="Q892" s="55" t="n">
        <x:v>2591</x:v>
      </x:c>
      <x:c r="R892" s="55" t="n">
        <x:v>1966</x:v>
      </x:c>
      <x:c r="S892" s="55" t="n">
        <x:v>2470</x:v>
      </x:c>
      <x:c r="T892" s="55" t="n">
        <x:v>1215</x:v>
      </x:c>
      <x:c r="U892" s="55" t="n">
        <x:v>2065</x:v>
      </x:c>
      <x:c r="V892" s="55" t="n">
        <x:v>10400</x:v>
      </x:c>
      <x:c r="W892" s="55" t="n">
        <x:v>7478</x:v>
      </x:c>
      <x:c r="X892" s="55" t="n">
        <x:v>2922</x:v>
      </x:c>
      <x:c r="Y892" s="55" t="n">
        <x:v>2522</x:v>
      </x:c>
      <x:c r="Z892" s="55" t="n">
        <x:v>4074</x:v>
      </x:c>
      <x:c r="AA892" s="55" t="n">
        <x:v>3123</x:v>
      </x:c>
      <x:c r="AB892" s="55" t="n">
        <x:v>972</x:v>
      </x:c>
      <x:c r="AC892" s="55" t="n">
        <x:v>8028</x:v>
      </x:c>
      <x:c r="AD892" s="55" t="n">
        <x:v>3236</x:v>
      </x:c>
      <x:c r="AE892" s="55" t="n">
        <x:v>10525</x:v>
      </x:c>
      <x:c r="AF892" s="55" t="n">
        <x:v>10400</x:v>
      </x:c>
      <x:c r="AG892" s="55" t="n">
        <x:v>125</x:v>
      </x:c>
      <x:c r="AH892" s="55" t="n">
        <x:v>554</x:v>
      </x:c>
      <x:c r="AI892" s="55" t="n">
        <x:v>9846</x:v>
      </x:c>
      <x:c r="AJ892" s="55" t="n">
        <x:v>329</x:v>
      </x:c>
      <x:c r="AK892" s="55" t="n">
        <x:v>1020</x:v>
      </x:c>
      <x:c r="AL892" s="55" t="n">
        <x:v>1690</x:v>
      </x:c>
      <x:c r="AM892" s="55" t="n">
        <x:v>4795</x:v>
      </x:c>
      <x:c r="AN892" s="55" t="n">
        <x:v>2540</x:v>
      </x:c>
      <x:c r="AO892" s="55" t="n">
        <x:v>26</x:v>
      </x:c>
      <x:c r="AP892" s="55" t="n">
        <x:v>2443</x:v>
      </x:c>
      <x:c r="AQ892" s="55" t="n">
        <x:v>972</x:v>
      </x:c>
    </x:row>
    <x:row r="893">
      <x:c r="A893" s="54" t="str">
        <x:v>T1_SHARED_CATCHMENT</x:v>
      </x:c>
      <x:c r="B893" s="54" t="n">
        <x:v>887</x:v>
      </x:c>
      <x:c r="C893" s="54" t="str">
        <x:v>NYC-V2-R01</x:v>
      </x:c>
      <x:c r="D893" s="54" t="str">
        <x:v>V2</x:v>
      </x:c>
      <x:c r="E893" s="54" t="str">
        <x:v>ADMITTED</x:v>
      </x:c>
      <x:c r="F893" s="55" t="n">
        <x:v>32298</x:v>
      </x:c>
      <x:c r="G893" s="55" t="n">
        <x:v>10283</x:v>
      </x:c>
      <x:c r="H893" s="55" t="n">
        <x:v>2951</x:v>
      </x:c>
      <x:c r="I893" s="55" t="n">
        <x:v>1128</x:v>
      </x:c>
      <x:c r="J893" s="55" t="n">
        <x:v>56</x:v>
      </x:c>
      <x:c r="K893" s="55" t="n">
        <x:v>30902</x:v>
      </x:c>
      <x:c r="L893" s="55" t="n">
        <x:v>6650</x:v>
      </x:c>
      <x:c r="M893" s="55" t="n">
        <x:v>1760</x:v>
      </x:c>
      <x:c r="N893" s="55" t="n">
        <x:v>2853</x:v>
      </x:c>
      <x:c r="O893" s="55" t="n">
        <x:v>2037</x:v>
      </x:c>
      <x:c r="P893" s="55" t="n">
        <x:v>644</x:v>
      </x:c>
      <x:c r="Q893" s="55" t="n">
        <x:v>2521</x:v>
      </x:c>
      <x:c r="R893" s="55" t="n">
        <x:v>2368</x:v>
      </x:c>
      <x:c r="S893" s="55" t="n">
        <x:v>3018</x:v>
      </x:c>
      <x:c r="T893" s="55" t="n">
        <x:v>1362</x:v>
      </x:c>
      <x:c r="U893" s="55" t="n">
        <x:v>2606</x:v>
      </x:c>
      <x:c r="V893" s="55" t="n">
        <x:v>10707</x:v>
      </x:c>
      <x:c r="W893" s="55" t="n">
        <x:v>7559</x:v>
      </x:c>
      <x:c r="X893" s="55" t="n">
        <x:v>3148</x:v>
      </x:c>
      <x:c r="Y893" s="55" t="n">
        <x:v>2847</x:v>
      </x:c>
      <x:c r="Z893" s="55" t="n">
        <x:v>3939</x:v>
      </x:c>
      <x:c r="AA893" s="55" t="n">
        <x:v>2951</x:v>
      </x:c>
      <x:c r="AB893" s="55" t="n">
        <x:v>856</x:v>
      </x:c>
      <x:c r="AC893" s="55" t="n">
        <x:v>8285</x:v>
      </x:c>
      <x:c r="AD893" s="55" t="n">
        <x:v>2749</x:v>
      </x:c>
      <x:c r="AE893" s="55" t="n">
        <x:v>10763</x:v>
      </x:c>
      <x:c r="AF893" s="55" t="n">
        <x:v>10707</x:v>
      </x:c>
      <x:c r="AG893" s="55" t="n">
        <x:v>56</x:v>
      </x:c>
      <x:c r="AH893" s="55" t="n">
        <x:v>379</x:v>
      </x:c>
      <x:c r="AI893" s="55" t="n">
        <x:v>10328</x:v>
      </x:c>
      <x:c r="AJ893" s="55" t="n">
        <x:v>123</x:v>
      </x:c>
      <x:c r="AK893" s="55" t="n">
        <x:v>1305</x:v>
      </x:c>
      <x:c r="AL893" s="55" t="n">
        <x:v>1792</x:v>
      </x:c>
      <x:c r="AM893" s="55" t="n">
        <x:v>5377</x:v>
      </x:c>
      <x:c r="AN893" s="55" t="n">
        <x:v>2102</x:v>
      </x:c>
      <x:c r="AO893" s="55" t="n">
        <x:v>8</x:v>
      </x:c>
      <x:c r="AP893" s="55" t="n">
        <x:v>2751</x:v>
      </x:c>
      <x:c r="AQ893" s="55" t="n">
        <x:v>939</x:v>
      </x:c>
    </x:row>
    <x:row r="894">
      <x:c r="A894" s="54" t="str">
        <x:v>T1_SHARED_CATCHMENT</x:v>
      </x:c>
      <x:c r="B894" s="54" t="n">
        <x:v>888</x:v>
      </x:c>
      <x:c r="C894" s="54" t="str">
        <x:v>NYC-V2-R01</x:v>
      </x:c>
      <x:c r="D894" s="54" t="str">
        <x:v>V2</x:v>
      </x:c>
      <x:c r="E894" s="54" t="str">
        <x:v>ADMITTED</x:v>
      </x:c>
      <x:c r="F894" s="55" t="n">
        <x:v>29875</x:v>
      </x:c>
      <x:c r="G894" s="55" t="n">
        <x:v>6956</x:v>
      </x:c>
      <x:c r="H894" s="55" t="n">
        <x:v>3240</x:v>
      </x:c>
      <x:c r="I894" s="55" t="n">
        <x:v>1302</x:v>
      </x:c>
      <x:c r="J894" s="55" t="n">
        <x:v>332</x:v>
      </x:c>
      <x:c r="K894" s="55" t="n">
        <x:v>29561</x:v>
      </x:c>
      <x:c r="L894" s="55" t="n">
        <x:v>4943</x:v>
      </x:c>
      <x:c r="M894" s="55" t="n">
        <x:v>1233</x:v>
      </x:c>
      <x:c r="N894" s="55" t="n">
        <x:v>1856</x:v>
      </x:c>
      <x:c r="O894" s="55" t="n">
        <x:v>1854</x:v>
      </x:c>
      <x:c r="P894" s="55" t="n">
        <x:v>630</x:v>
      </x:c>
      <x:c r="Q894" s="55" t="n">
        <x:v>2804</x:v>
      </x:c>
      <x:c r="R894" s="55" t="n">
        <x:v>2478</x:v>
      </x:c>
      <x:c r="S894" s="55" t="n">
        <x:v>2565</x:v>
      </x:c>
      <x:c r="T894" s="55" t="n">
        <x:v>1389</x:v>
      </x:c>
      <x:c r="U894" s="55" t="n">
        <x:v>2210</x:v>
      </x:c>
      <x:c r="V894" s="55" t="n">
        <x:v>11146</x:v>
      </x:c>
      <x:c r="W894" s="55" t="n">
        <x:v>8216</x:v>
      </x:c>
      <x:c r="X894" s="55" t="n">
        <x:v>2930</x:v>
      </x:c>
      <x:c r="Y894" s="55" t="n">
        <x:v>2267</x:v>
      </x:c>
      <x:c r="Z894" s="55" t="n">
        <x:v>3583</x:v>
      </x:c>
      <x:c r="AA894" s="55" t="n">
        <x:v>2996</x:v>
      </x:c>
      <x:c r="AB894" s="55" t="n">
        <x:v>1167</x:v>
      </x:c>
      <x:c r="AC894" s="55" t="n">
        <x:v>8042</x:v>
      </x:c>
      <x:c r="AD894" s="55" t="n">
        <x:v>1821</x:v>
      </x:c>
      <x:c r="AE894" s="55" t="n">
        <x:v>11182</x:v>
      </x:c>
      <x:c r="AF894" s="55" t="n">
        <x:v>11146</x:v>
      </x:c>
      <x:c r="AG894" s="55" t="n">
        <x:v>36</x:v>
      </x:c>
      <x:c r="AH894" s="55" t="n">
        <x:v>467</x:v>
      </x:c>
      <x:c r="AI894" s="55" t="n">
        <x:v>10679</x:v>
      </x:c>
      <x:c r="AJ894" s="55" t="n">
        <x:v>288</x:v>
      </x:c>
      <x:c r="AK894" s="55" t="n">
        <x:v>1212</x:v>
      </x:c>
      <x:c r="AL894" s="55" t="n">
        <x:v>2034</x:v>
      </x:c>
      <x:c r="AM894" s="55" t="n">
        <x:v>4672</x:v>
      </x:c>
      <x:c r="AN894" s="55" t="n">
        <x:v>2940</x:v>
      </x:c>
      <x:c r="AO894" s="55" t="n">
        <x:v>0</x:v>
      </x:c>
      <x:c r="AP894" s="55" t="n">
        <x:v>2224</x:v>
      </x:c>
      <x:c r="AQ894" s="55" t="n">
        <x:v>926</x:v>
      </x:c>
    </x:row>
    <x:row r="895">
      <x:c r="A895" s="54" t="str">
        <x:v>T1_SHARED_CATCHMENT</x:v>
      </x:c>
      <x:c r="B895" s="54" t="n">
        <x:v>889</x:v>
      </x:c>
      <x:c r="C895" s="54" t="str">
        <x:v>NYC-V2-R01</x:v>
      </x:c>
      <x:c r="D895" s="54" t="str">
        <x:v>V2</x:v>
      </x:c>
      <x:c r="E895" s="54" t="str">
        <x:v>ADMITTED</x:v>
      </x:c>
      <x:c r="F895" s="55" t="n">
        <x:v>32942</x:v>
      </x:c>
      <x:c r="G895" s="55" t="n">
        <x:v>7842</x:v>
      </x:c>
      <x:c r="H895" s="55" t="n">
        <x:v>3316</x:v>
      </x:c>
      <x:c r="I895" s="55" t="n">
        <x:v>1083</x:v>
      </x:c>
      <x:c r="J895" s="55" t="n">
        <x:v>228</x:v>
      </x:c>
      <x:c r="K895" s="55" t="n">
        <x:v>32942</x:v>
      </x:c>
      <x:c r="L895" s="55" t="n">
        <x:v>5888</x:v>
      </x:c>
      <x:c r="M895" s="55" t="n">
        <x:v>1330</x:v>
      </x:c>
      <x:c r="N895" s="55" t="n">
        <x:v>2801</x:v>
      </x:c>
      <x:c r="O895" s="55" t="n">
        <x:v>1757</x:v>
      </x:c>
      <x:c r="P895" s="55" t="n">
        <x:v>597</x:v>
      </x:c>
      <x:c r="Q895" s="55" t="n">
        <x:v>1924</x:v>
      </x:c>
      <x:c r="R895" s="55" t="n">
        <x:v>1748</x:v>
      </x:c>
      <x:c r="S895" s="55" t="n">
        <x:v>2239</x:v>
      </x:c>
      <x:c r="T895" s="55" t="n">
        <x:v>1358</x:v>
      </x:c>
      <x:c r="U895" s="55" t="n">
        <x:v>2259</x:v>
      </x:c>
      <x:c r="V895" s="55" t="n">
        <x:v>10293</x:v>
      </x:c>
      <x:c r="W895" s="55" t="n">
        <x:v>7287</x:v>
      </x:c>
      <x:c r="X895" s="55" t="n">
        <x:v>3006</x:v>
      </x:c>
      <x:c r="Y895" s="55" t="n">
        <x:v>2654</x:v>
      </x:c>
      <x:c r="Z895" s="55" t="n">
        <x:v>3937</x:v>
      </x:c>
      <x:c r="AA895" s="55" t="n">
        <x:v>2799</x:v>
      </x:c>
      <x:c r="AB895" s="55" t="n">
        <x:v>1228</x:v>
      </x:c>
      <x:c r="AC895" s="55" t="n">
        <x:v>7934</x:v>
      </x:c>
      <x:c r="AD895" s="55" t="n">
        <x:v>3008</x:v>
      </x:c>
      <x:c r="AE895" s="55" t="n">
        <x:v>10293</x:v>
      </x:c>
      <x:c r="AF895" s="55" t="n">
        <x:v>10293</x:v>
      </x:c>
      <x:c r="AG895" s="55" t="n">
        <x:v>0</x:v>
      </x:c>
      <x:c r="AH895" s="55" t="n">
        <x:v>482</x:v>
      </x:c>
      <x:c r="AI895" s="55" t="n">
        <x:v>9811</x:v>
      </x:c>
      <x:c r="AJ895" s="55" t="n">
        <x:v>369</x:v>
      </x:c>
      <x:c r="AK895" s="55" t="n">
        <x:v>832</x:v>
      </x:c>
      <x:c r="AL895" s="55" t="n">
        <x:v>1662</x:v>
      </x:c>
      <x:c r="AM895" s="55" t="n">
        <x:v>4433</x:v>
      </x:c>
      <x:c r="AN895" s="55" t="n">
        <x:v>2966</x:v>
      </x:c>
      <x:c r="AO895" s="55" t="n">
        <x:v>31</x:v>
      </x:c>
      <x:c r="AP895" s="55" t="n">
        <x:v>2422</x:v>
      </x:c>
      <x:c r="AQ895" s="55" t="n">
        <x:v>965</x:v>
      </x:c>
    </x:row>
    <x:row r="896">
      <x:c r="A896" s="54" t="str">
        <x:v>T1_SHARED_CATCHMENT</x:v>
      </x:c>
      <x:c r="B896" s="54" t="n">
        <x:v>890</x:v>
      </x:c>
      <x:c r="C896" s="54" t="str">
        <x:v>NYC-V2-R01</x:v>
      </x:c>
      <x:c r="D896" s="54" t="str">
        <x:v>V2</x:v>
      </x:c>
      <x:c r="E896" s="54" t="str">
        <x:v>ADMITTED</x:v>
      </x:c>
      <x:c r="F896" s="55" t="n">
        <x:v>31628</x:v>
      </x:c>
      <x:c r="G896" s="55" t="n">
        <x:v>8513</x:v>
      </x:c>
      <x:c r="H896" s="55" t="n">
        <x:v>3357</x:v>
      </x:c>
      <x:c r="I896" s="55" t="n">
        <x:v>1473</x:v>
      </x:c>
      <x:c r="J896" s="55" t="n">
        <x:v>445</x:v>
      </x:c>
      <x:c r="K896" s="55" t="n">
        <x:v>30345</x:v>
      </x:c>
      <x:c r="L896" s="55" t="n">
        <x:v>5854</x:v>
      </x:c>
      <x:c r="M896" s="55" t="n">
        <x:v>1420</x:v>
      </x:c>
      <x:c r="N896" s="55" t="n">
        <x:v>3064</x:v>
      </x:c>
      <x:c r="O896" s="55" t="n">
        <x:v>1370</x:v>
      </x:c>
      <x:c r="P896" s="55" t="n">
        <x:v>979</x:v>
      </x:c>
      <x:c r="Q896" s="55" t="n">
        <x:v>2609</x:v>
      </x:c>
      <x:c r="R896" s="55" t="n">
        <x:v>2583</x:v>
      </x:c>
      <x:c r="S896" s="55" t="n">
        <x:v>2375</x:v>
      </x:c>
      <x:c r="T896" s="55" t="n">
        <x:v>1190</x:v>
      </x:c>
      <x:c r="U896" s="55" t="n">
        <x:v>2014</x:v>
      </x:c>
      <x:c r="V896" s="55" t="n">
        <x:v>11039</x:v>
      </x:c>
      <x:c r="W896" s="55" t="n">
        <x:v>7822</x:v>
      </x:c>
      <x:c r="X896" s="55" t="n">
        <x:v>3217</x:v>
      </x:c>
      <x:c r="Y896" s="55" t="n">
        <x:v>2781</x:v>
      </x:c>
      <x:c r="Z896" s="55" t="n">
        <x:v>3870</x:v>
      </x:c>
      <x:c r="AA896" s="55" t="n">
        <x:v>3357</x:v>
      </x:c>
      <x:c r="AB896" s="55" t="n">
        <x:v>1143</x:v>
      </x:c>
      <x:c r="AC896" s="55" t="n">
        <x:v>8564</x:v>
      </x:c>
      <x:c r="AD896" s="55" t="n">
        <x:v>3166</x:v>
      </x:c>
      <x:c r="AE896" s="55" t="n">
        <x:v>11202</x:v>
      </x:c>
      <x:c r="AF896" s="55" t="n">
        <x:v>11039</x:v>
      </x:c>
      <x:c r="AG896" s="55" t="n">
        <x:v>163</x:v>
      </x:c>
      <x:c r="AH896" s="55" t="n">
        <x:v>535</x:v>
      </x:c>
      <x:c r="AI896" s="55" t="n">
        <x:v>10504</x:v>
      </x:c>
      <x:c r="AJ896" s="55" t="n">
        <x:v>418</x:v>
      </x:c>
      <x:c r="AK896" s="55" t="n">
        <x:v>1161</x:v>
      </x:c>
      <x:c r="AL896" s="55" t="n">
        <x:v>1569</x:v>
      </x:c>
      <x:c r="AM896" s="55" t="n">
        <x:v>4955</x:v>
      </x:c>
      <x:c r="AN896" s="55" t="n">
        <x:v>2936</x:v>
      </x:c>
      <x:c r="AO896" s="55" t="n">
        <x:v>0</x:v>
      </x:c>
      <x:c r="AP896" s="55" t="n">
        <x:v>2470</x:v>
      </x:c>
      <x:c r="AQ896" s="55" t="n">
        <x:v>959</x:v>
      </x:c>
    </x:row>
    <x:row r="897">
      <x:c r="A897" s="54" t="str">
        <x:v>T1_SHARED_CATCHMENT</x:v>
      </x:c>
      <x:c r="B897" s="54" t="n">
        <x:v>891</x:v>
      </x:c>
      <x:c r="C897" s="54" t="str">
        <x:v>NYC-V2-R01</x:v>
      </x:c>
      <x:c r="D897" s="54" t="str">
        <x:v>V2</x:v>
      </x:c>
      <x:c r="E897" s="54" t="str">
        <x:v>ADMITTED</x:v>
      </x:c>
      <x:c r="F897" s="55" t="n">
        <x:v>32997</x:v>
      </x:c>
      <x:c r="G897" s="55" t="n">
        <x:v>7907</x:v>
      </x:c>
      <x:c r="H897" s="55" t="n">
        <x:v>3269</x:v>
      </x:c>
      <x:c r="I897" s="55" t="n">
        <x:v>1335</x:v>
      </x:c>
      <x:c r="J897" s="55" t="n">
        <x:v>165</x:v>
      </x:c>
      <x:c r="K897" s="55" t="n">
        <x:v>32997</x:v>
      </x:c>
      <x:c r="L897" s="55" t="n">
        <x:v>8512</x:v>
      </x:c>
      <x:c r="M897" s="55" t="n">
        <x:v>3220</x:v>
      </x:c>
      <x:c r="N897" s="55" t="n">
        <x:v>3159</x:v>
      </x:c>
      <x:c r="O897" s="55" t="n">
        <x:v>2133</x:v>
      </x:c>
      <x:c r="P897" s="55" t="n">
        <x:v>1043</x:v>
      </x:c>
      <x:c r="Q897" s="55" t="n">
        <x:v>2892</x:v>
      </x:c>
      <x:c r="R897" s="55" t="n">
        <x:v>2002</x:v>
      </x:c>
      <x:c r="S897" s="55" t="n">
        <x:v>2408</x:v>
      </x:c>
      <x:c r="T897" s="55" t="n">
        <x:v>1556</x:v>
      </x:c>
      <x:c r="U897" s="55" t="n">
        <x:v>2153</x:v>
      </x:c>
      <x:c r="V897" s="55" t="n">
        <x:v>10552</x:v>
      </x:c>
      <x:c r="W897" s="55" t="n">
        <x:v>6689</x:v>
      </x:c>
      <x:c r="X897" s="55" t="n">
        <x:v>3863</x:v>
      </x:c>
      <x:c r="Y897" s="55" t="n">
        <x:v>3355</x:v>
      </x:c>
      <x:c r="Z897" s="55" t="n">
        <x:v>3603</x:v>
      </x:c>
      <x:c r="AA897" s="55" t="n">
        <x:v>3044</x:v>
      </x:c>
      <x:c r="AB897" s="55" t="n">
        <x:v>1387</x:v>
      </x:c>
      <x:c r="AC897" s="55" t="n">
        <x:v>8635</x:v>
      </x:c>
      <x:c r="AD897" s="55" t="n">
        <x:v>2583</x:v>
      </x:c>
      <x:c r="AE897" s="55" t="n">
        <x:v>10647</x:v>
      </x:c>
      <x:c r="AF897" s="55" t="n">
        <x:v>10552</x:v>
      </x:c>
      <x:c r="AG897" s="55" t="n">
        <x:v>95</x:v>
      </x:c>
      <x:c r="AH897" s="55" t="n">
        <x:v>457</x:v>
      </x:c>
      <x:c r="AI897" s="55" t="n">
        <x:v>10095</x:v>
      </x:c>
      <x:c r="AJ897" s="55" t="n">
        <x:v>419</x:v>
      </x:c>
      <x:c r="AK897" s="55" t="n">
        <x:v>997</x:v>
      </x:c>
      <x:c r="AL897" s="55" t="n">
        <x:v>1575</x:v>
      </x:c>
      <x:c r="AM897" s="55" t="n">
        <x:v>5205</x:v>
      </x:c>
      <x:c r="AN897" s="55" t="n">
        <x:v>2298</x:v>
      </x:c>
      <x:c r="AO897" s="55" t="n">
        <x:v>58</x:v>
      </x:c>
      <x:c r="AP897" s="55" t="n">
        <x:v>2242</x:v>
      </x:c>
      <x:c r="AQ897" s="55" t="n">
        <x:v>919</x:v>
      </x:c>
    </x:row>
    <x:row r="898">
      <x:c r="A898" s="54" t="str">
        <x:v>T1_SHARED_CATCHMENT</x:v>
      </x:c>
      <x:c r="B898" s="54" t="n">
        <x:v>892</x:v>
      </x:c>
      <x:c r="C898" s="54" t="str">
        <x:v>NYC-V2-R01</x:v>
      </x:c>
      <x:c r="D898" s="54" t="str">
        <x:v>V2</x:v>
      </x:c>
      <x:c r="E898" s="54" t="str">
        <x:v>ADMITTED</x:v>
      </x:c>
      <x:c r="F898" s="55" t="n">
        <x:v>33220</x:v>
      </x:c>
      <x:c r="G898" s="55" t="n">
        <x:v>8494</x:v>
      </x:c>
      <x:c r="H898" s="55" t="n">
        <x:v>3461</x:v>
      </x:c>
      <x:c r="I898" s="55" t="n">
        <x:v>1337</x:v>
      </x:c>
      <x:c r="J898" s="55" t="n">
        <x:v>302</x:v>
      </x:c>
      <x:c r="K898" s="55" t="n">
        <x:v>33220</x:v>
      </x:c>
      <x:c r="L898" s="55" t="n">
        <x:v>6785</x:v>
      </x:c>
      <x:c r="M898" s="55" t="n">
        <x:v>1877</x:v>
      </x:c>
      <x:c r="N898" s="55" t="n">
        <x:v>2892</x:v>
      </x:c>
      <x:c r="O898" s="55" t="n">
        <x:v>2016</x:v>
      </x:c>
      <x:c r="P898" s="55" t="n">
        <x:v>1095</x:v>
      </x:c>
      <x:c r="Q898" s="55" t="n">
        <x:v>2774</x:v>
      </x:c>
      <x:c r="R898" s="55" t="n">
        <x:v>2067</x:v>
      </x:c>
      <x:c r="S898" s="55" t="n">
        <x:v>2873</x:v>
      </x:c>
      <x:c r="T898" s="55" t="n">
        <x:v>1057</x:v>
      </x:c>
      <x:c r="U898" s="55" t="n">
        <x:v>2124</x:v>
      </x:c>
      <x:c r="V898" s="55" t="n">
        <x:v>10622</x:v>
      </x:c>
      <x:c r="W898" s="55" t="n">
        <x:v>7402</x:v>
      </x:c>
      <x:c r="X898" s="55" t="n">
        <x:v>3220</x:v>
      </x:c>
      <x:c r="Y898" s="55" t="n">
        <x:v>2860</x:v>
      </x:c>
      <x:c r="Z898" s="55" t="n">
        <x:v>4270</x:v>
      </x:c>
      <x:c r="AA898" s="55" t="n">
        <x:v>3216</x:v>
      </x:c>
      <x:c r="AB898" s="55" t="n">
        <x:v>1354</x:v>
      </x:c>
      <x:c r="AC898" s="55" t="n">
        <x:v>8698</x:v>
      </x:c>
      <x:c r="AD898" s="55" t="n">
        <x:v>3011</x:v>
      </x:c>
      <x:c r="AE898" s="55" t="n">
        <x:v>10774</x:v>
      </x:c>
      <x:c r="AF898" s="55" t="n">
        <x:v>10622</x:v>
      </x:c>
      <x:c r="AG898" s="55" t="n">
        <x:v>152</x:v>
      </x:c>
      <x:c r="AH898" s="55" t="n">
        <x:v>326</x:v>
      </x:c>
      <x:c r="AI898" s="55" t="n">
        <x:v>10296</x:v>
      </x:c>
      <x:c r="AJ898" s="55" t="n">
        <x:v>501</x:v>
      </x:c>
      <x:c r="AK898" s="55" t="n">
        <x:v>1025</x:v>
      </x:c>
      <x:c r="AL898" s="55" t="n">
        <x:v>1828</x:v>
      </x:c>
      <x:c r="AM898" s="55" t="n">
        <x:v>4666</x:v>
      </x:c>
      <x:c r="AN898" s="55" t="n">
        <x:v>2584</x:v>
      </x:c>
      <x:c r="AO898" s="55" t="n">
        <x:v>18</x:v>
      </x:c>
      <x:c r="AP898" s="55" t="n">
        <x:v>2967</x:v>
      </x:c>
      <x:c r="AQ898" s="55" t="n">
        <x:v>922</x:v>
      </x:c>
    </x:row>
    <x:row r="899">
      <x:c r="A899" s="54" t="str">
        <x:v>T1_SHARED_CATCHMENT</x:v>
      </x:c>
      <x:c r="B899" s="54" t="n">
        <x:v>893</x:v>
      </x:c>
      <x:c r="C899" s="54" t="str">
        <x:v>NYC-V2-R01</x:v>
      </x:c>
      <x:c r="D899" s="54" t="str">
        <x:v>V2</x:v>
      </x:c>
      <x:c r="E899" s="54" t="str">
        <x:v>ADMITTED</x:v>
      </x:c>
      <x:c r="F899" s="55" t="n">
        <x:v>32716</x:v>
      </x:c>
      <x:c r="G899" s="55" t="n">
        <x:v>7950</x:v>
      </x:c>
      <x:c r="H899" s="55" t="n">
        <x:v>3139</x:v>
      </x:c>
      <x:c r="I899" s="55" t="n">
        <x:v>667</x:v>
      </x:c>
      <x:c r="J899" s="55" t="n">
        <x:v>91</x:v>
      </x:c>
      <x:c r="K899" s="55" t="n">
        <x:v>32716</x:v>
      </x:c>
      <x:c r="L899" s="55" t="n">
        <x:v>5858</x:v>
      </x:c>
      <x:c r="M899" s="55" t="n">
        <x:v>1772</x:v>
      </x:c>
      <x:c r="N899" s="55" t="n">
        <x:v>2889</x:v>
      </x:c>
      <x:c r="O899" s="55" t="n">
        <x:v>1197</x:v>
      </x:c>
      <x:c r="P899" s="55" t="n">
        <x:v>722</x:v>
      </x:c>
      <x:c r="Q899" s="55" t="n">
        <x:v>2589</x:v>
      </x:c>
      <x:c r="R899" s="55" t="n">
        <x:v>2649</x:v>
      </x:c>
      <x:c r="S899" s="55" t="n">
        <x:v>2858</x:v>
      </x:c>
      <x:c r="T899" s="55" t="n">
        <x:v>1793</x:v>
      </x:c>
      <x:c r="U899" s="55" t="n">
        <x:v>1718</x:v>
      </x:c>
      <x:c r="V899" s="55" t="n">
        <x:v>10316</x:v>
      </x:c>
      <x:c r="W899" s="55" t="n">
        <x:v>6938</x:v>
      </x:c>
      <x:c r="X899" s="55" t="n">
        <x:v>3378</x:v>
      </x:c>
      <x:c r="Y899" s="55" t="n">
        <x:v>3108</x:v>
      </x:c>
      <x:c r="Z899" s="55" t="n">
        <x:v>3457</x:v>
      </x:c>
      <x:c r="AA899" s="55" t="n">
        <x:v>3139</x:v>
      </x:c>
      <x:c r="AB899" s="55" t="n">
        <x:v>1050</x:v>
      </x:c>
      <x:c r="AC899" s="55" t="n">
        <x:v>7860</x:v>
      </x:c>
      <x:c r="AD899" s="55" t="n">
        <x:v>2492</x:v>
      </x:c>
      <x:c r="AE899" s="55" t="n">
        <x:v>10397</x:v>
      </x:c>
      <x:c r="AF899" s="55" t="n">
        <x:v>10316</x:v>
      </x:c>
      <x:c r="AG899" s="55" t="n">
        <x:v>81</x:v>
      </x:c>
      <x:c r="AH899" s="55" t="n">
        <x:v>632</x:v>
      </x:c>
      <x:c r="AI899" s="55" t="n">
        <x:v>9684</x:v>
      </x:c>
      <x:c r="AJ899" s="55" t="n">
        <x:v>352</x:v>
      </x:c>
      <x:c r="AK899" s="55" t="n">
        <x:v>1172</x:v>
      </x:c>
      <x:c r="AL899" s="55" t="n">
        <x:v>1393</x:v>
      </x:c>
      <x:c r="AM899" s="55" t="n">
        <x:v>4715</x:v>
      </x:c>
      <x:c r="AN899" s="55" t="n">
        <x:v>2684</x:v>
      </x:c>
      <x:c r="AO899" s="55" t="n">
        <x:v>0</x:v>
      </x:c>
      <x:c r="AP899" s="55" t="n">
        <x:v>2592</x:v>
      </x:c>
      <x:c r="AQ899" s="55" t="n">
        <x:v>963</x:v>
      </x:c>
    </x:row>
    <x:row r="900">
      <x:c r="A900" s="54" t="str">
        <x:v>T1_SHARED_CATCHMENT</x:v>
      </x:c>
      <x:c r="B900" s="54" t="n">
        <x:v>894</x:v>
      </x:c>
      <x:c r="C900" s="54" t="str">
        <x:v>NYC-V2-R01</x:v>
      </x:c>
      <x:c r="D900" s="54" t="str">
        <x:v>V2</x:v>
      </x:c>
      <x:c r="E900" s="54" t="str">
        <x:v>ADMITTED</x:v>
      </x:c>
      <x:c r="F900" s="55" t="n">
        <x:v>28588</x:v>
      </x:c>
      <x:c r="G900" s="55" t="n">
        <x:v>6188</x:v>
      </x:c>
      <x:c r="H900" s="55" t="n">
        <x:v>3317</x:v>
      </x:c>
      <x:c r="I900" s="55" t="n">
        <x:v>1086</x:v>
      </x:c>
      <x:c r="J900" s="55" t="n">
        <x:v>62</x:v>
      </x:c>
      <x:c r="K900" s="55" t="n">
        <x:v>27941</x:v>
      </x:c>
      <x:c r="L900" s="55" t="n">
        <x:v>4440</x:v>
      </x:c>
      <x:c r="M900" s="55" t="n">
        <x:v>683</x:v>
      </x:c>
      <x:c r="N900" s="55" t="n">
        <x:v>2447</x:v>
      </x:c>
      <x:c r="O900" s="55" t="n">
        <x:v>1310</x:v>
      </x:c>
      <x:c r="P900" s="55" t="n">
        <x:v>792</x:v>
      </x:c>
      <x:c r="Q900" s="55" t="n">
        <x:v>2989</x:v>
      </x:c>
      <x:c r="R900" s="55" t="n">
        <x:v>1629</x:v>
      </x:c>
      <x:c r="S900" s="55" t="n">
        <x:v>3525</x:v>
      </x:c>
      <x:c r="T900" s="55" t="n">
        <x:v>1455</x:v>
      </x:c>
      <x:c r="U900" s="55" t="n">
        <x:v>1154</x:v>
      </x:c>
      <x:c r="V900" s="55" t="n">
        <x:v>10592</x:v>
      </x:c>
      <x:c r="W900" s="55" t="n">
        <x:v>7381</x:v>
      </x:c>
      <x:c r="X900" s="55" t="n">
        <x:v>3211</x:v>
      </x:c>
      <x:c r="Y900" s="55" t="n">
        <x:v>2854</x:v>
      </x:c>
      <x:c r="Z900" s="55" t="n">
        <x:v>4014</x:v>
      </x:c>
      <x:c r="AA900" s="55" t="n">
        <x:v>3317</x:v>
      </x:c>
      <x:c r="AB900" s="55" t="n">
        <x:v>790</x:v>
      </x:c>
      <x:c r="AC900" s="55" t="n">
        <x:v>8108</x:v>
      </x:c>
      <x:c r="AD900" s="55" t="n">
        <x:v>2751</x:v>
      </x:c>
      <x:c r="AE900" s="55" t="n">
        <x:v>10716</x:v>
      </x:c>
      <x:c r="AF900" s="55" t="n">
        <x:v>10592</x:v>
      </x:c>
      <x:c r="AG900" s="55" t="n">
        <x:v>124</x:v>
      </x:c>
      <x:c r="AH900" s="55" t="n">
        <x:v>570</x:v>
      </x:c>
      <x:c r="AI900" s="55" t="n">
        <x:v>10022</x:v>
      </x:c>
      <x:c r="AJ900" s="55" t="n">
        <x:v>465</x:v>
      </x:c>
      <x:c r="AK900" s="55" t="n">
        <x:v>964</x:v>
      </x:c>
      <x:c r="AL900" s="55" t="n">
        <x:v>1502</x:v>
      </x:c>
      <x:c r="AM900" s="55" t="n">
        <x:v>5055</x:v>
      </x:c>
      <x:c r="AN900" s="55" t="n">
        <x:v>2534</x:v>
      </x:c>
      <x:c r="AO900" s="55" t="n">
        <x:v>72</x:v>
      </x:c>
      <x:c r="AP900" s="55" t="n">
        <x:v>2203</x:v>
      </x:c>
      <x:c r="AQ900" s="55" t="n">
        <x:v>982</x:v>
      </x:c>
    </x:row>
    <x:row r="901">
      <x:c r="A901" s="54" t="str">
        <x:v>T1_SHARED_CATCHMENT</x:v>
      </x:c>
      <x:c r="B901" s="54" t="n">
        <x:v>895</x:v>
      </x:c>
      <x:c r="C901" s="54" t="str">
        <x:v>NYC-V2-R01</x:v>
      </x:c>
      <x:c r="D901" s="54" t="str">
        <x:v>V2</x:v>
      </x:c>
      <x:c r="E901" s="54" t="str">
        <x:v>ADMITTED</x:v>
      </x:c>
      <x:c r="F901" s="55" t="n">
        <x:v>31776</x:v>
      </x:c>
      <x:c r="G901" s="55" t="n">
        <x:v>8792</x:v>
      </x:c>
      <x:c r="H901" s="55" t="n">
        <x:v>3319</x:v>
      </x:c>
      <x:c r="I901" s="55" t="n">
        <x:v>1052</x:v>
      </x:c>
      <x:c r="J901" s="55" t="n">
        <x:v>228</x:v>
      </x:c>
      <x:c r="K901" s="55" t="n">
        <x:v>29319</x:v>
      </x:c>
      <x:c r="L901" s="55" t="n">
        <x:v>6423</x:v>
      </x:c>
      <x:c r="M901" s="55" t="n">
        <x:v>927</x:v>
      </x:c>
      <x:c r="N901" s="55" t="n">
        <x:v>3341</x:v>
      </x:c>
      <x:c r="O901" s="55" t="n">
        <x:v>2155</x:v>
      </x:c>
      <x:c r="P901" s="55" t="n">
        <x:v>971</x:v>
      </x:c>
      <x:c r="Q901" s="55" t="n">
        <x:v>2228</x:v>
      </x:c>
      <x:c r="R901" s="55" t="n">
        <x:v>2066</x:v>
      </x:c>
      <x:c r="S901" s="55" t="n">
        <x:v>2934</x:v>
      </x:c>
      <x:c r="T901" s="55" t="n">
        <x:v>919</x:v>
      </x:c>
      <x:c r="U901" s="55" t="n">
        <x:v>2404</x:v>
      </x:c>
      <x:c r="V901" s="55" t="n">
        <x:v>10876</x:v>
      </x:c>
      <x:c r="W901" s="55" t="n">
        <x:v>7326</x:v>
      </x:c>
      <x:c r="X901" s="55" t="n">
        <x:v>3550</x:v>
      </x:c>
      <x:c r="Y901" s="55" t="n">
        <x:v>3111</x:v>
      </x:c>
      <x:c r="Z901" s="55" t="n">
        <x:v>4133</x:v>
      </x:c>
      <x:c r="AA901" s="55" t="n">
        <x:v>3319</x:v>
      </x:c>
      <x:c r="AB901" s="55" t="n">
        <x:v>1487</x:v>
      </x:c>
      <x:c r="AC901" s="55" t="n">
        <x:v>8702</x:v>
      </x:c>
      <x:c r="AD901" s="55" t="n">
        <x:v>3503</x:v>
      </x:c>
      <x:c r="AE901" s="55" t="n">
        <x:v>10979</x:v>
      </x:c>
      <x:c r="AF901" s="55" t="n">
        <x:v>10876</x:v>
      </x:c>
      <x:c r="AG901" s="55" t="n">
        <x:v>103</x:v>
      </x:c>
      <x:c r="AH901" s="55" t="n">
        <x:v>660</x:v>
      </x:c>
      <x:c r="AI901" s="55" t="n">
        <x:v>10216</x:v>
      </x:c>
      <x:c r="AJ901" s="55" t="n">
        <x:v>403</x:v>
      </x:c>
      <x:c r="AK901" s="55" t="n">
        <x:v>921</x:v>
      </x:c>
      <x:c r="AL901" s="55" t="n">
        <x:v>1475</x:v>
      </x:c>
      <x:c r="AM901" s="55" t="n">
        <x:v>5012</x:v>
      </x:c>
      <x:c r="AN901" s="55" t="n">
        <x:v>3027</x:v>
      </x:c>
      <x:c r="AO901" s="55" t="n">
        <x:v>38</x:v>
      </x:c>
      <x:c r="AP901" s="55" t="n">
        <x:v>2439</x:v>
      </x:c>
      <x:c r="AQ901" s="55" t="n">
        <x:v>945</x:v>
      </x:c>
    </x:row>
    <x:row r="902">
      <x:c r="A902" s="54" t="str">
        <x:v>T1_SHARED_CATCHMENT</x:v>
      </x:c>
      <x:c r="B902" s="54" t="n">
        <x:v>896</x:v>
      </x:c>
      <x:c r="C902" s="54" t="str">
        <x:v>NYC-V2-R01</x:v>
      </x:c>
      <x:c r="D902" s="54" t="str">
        <x:v>V2</x:v>
      </x:c>
      <x:c r="E902" s="54" t="str">
        <x:v>ADMITTED</x:v>
      </x:c>
      <x:c r="F902" s="55" t="n">
        <x:v>32226</x:v>
      </x:c>
      <x:c r="G902" s="55" t="n">
        <x:v>9330</x:v>
      </x:c>
      <x:c r="H902" s="55" t="n">
        <x:v>3051</x:v>
      </x:c>
      <x:c r="I902" s="55" t="n">
        <x:v>1384</x:v>
      </x:c>
      <x:c r="J902" s="55" t="n">
        <x:v>0</x:v>
      </x:c>
      <x:c r="K902" s="55" t="n">
        <x:v>30526</x:v>
      </x:c>
      <x:c r="L902" s="55" t="n">
        <x:v>4358</x:v>
      </x:c>
      <x:c r="M902" s="55" t="n">
        <x:v>758</x:v>
      </x:c>
      <x:c r="N902" s="55" t="n">
        <x:v>2031</x:v>
      </x:c>
      <x:c r="O902" s="55" t="n">
        <x:v>1569</x:v>
      </x:c>
      <x:c r="P902" s="55" t="n">
        <x:v>560</x:v>
      </x:c>
      <x:c r="Q902" s="55" t="n">
        <x:v>2952</x:v>
      </x:c>
      <x:c r="R902" s="55" t="n">
        <x:v>1622</x:v>
      </x:c>
      <x:c r="S902" s="55" t="n">
        <x:v>3086</x:v>
      </x:c>
      <x:c r="T902" s="55" t="n">
        <x:v>939</x:v>
      </x:c>
      <x:c r="U902" s="55" t="n">
        <x:v>2147</x:v>
      </x:c>
      <x:c r="V902" s="55" t="n">
        <x:v>10685</x:v>
      </x:c>
      <x:c r="W902" s="55" t="n">
        <x:v>7618</x:v>
      </x:c>
      <x:c r="X902" s="55" t="n">
        <x:v>3067</x:v>
      </x:c>
      <x:c r="Y902" s="55" t="n">
        <x:v>2492</x:v>
      </x:c>
      <x:c r="Z902" s="55" t="n">
        <x:v>3641</x:v>
      </x:c>
      <x:c r="AA902" s="55" t="n">
        <x:v>2301</x:v>
      </x:c>
      <x:c r="AB902" s="55" t="n">
        <x:v>735</x:v>
      </x:c>
      <x:c r="AC902" s="55" t="n">
        <x:v>7969</x:v>
      </x:c>
      <x:c r="AD902" s="55" t="n">
        <x:v>2335</x:v>
      </x:c>
      <x:c r="AE902" s="55" t="n">
        <x:v>10765</x:v>
      </x:c>
      <x:c r="AF902" s="55" t="n">
        <x:v>10685</x:v>
      </x:c>
      <x:c r="AG902" s="55" t="n">
        <x:v>80</x:v>
      </x:c>
      <x:c r="AH902" s="55" t="n">
        <x:v>654</x:v>
      </x:c>
      <x:c r="AI902" s="55" t="n">
        <x:v>10031</x:v>
      </x:c>
      <x:c r="AJ902" s="55" t="n">
        <x:v>180</x:v>
      </x:c>
      <x:c r="AK902" s="55" t="n">
        <x:v>1315</x:v>
      </x:c>
      <x:c r="AL902" s="55" t="n">
        <x:v>1492</x:v>
      </x:c>
      <x:c r="AM902" s="55" t="n">
        <x:v>4729</x:v>
      </x:c>
      <x:c r="AN902" s="55" t="n">
        <x:v>2906</x:v>
      </x:c>
      <x:c r="AO902" s="55" t="n">
        <x:v>63</x:v>
      </x:c>
      <x:c r="AP902" s="55" t="n">
        <x:v>2751</x:v>
      </x:c>
      <x:c r="AQ902" s="55" t="n">
        <x:v>933</x:v>
      </x:c>
    </x:row>
    <x:row r="903">
      <x:c r="A903" s="54" t="str">
        <x:v>T1_SHARED_CATCHMENT</x:v>
      </x:c>
      <x:c r="B903" s="54" t="n">
        <x:v>897</x:v>
      </x:c>
      <x:c r="C903" s="54" t="str">
        <x:v>NYC-V2-R01</x:v>
      </x:c>
      <x:c r="D903" s="54" t="str">
        <x:v>V2</x:v>
      </x:c>
      <x:c r="E903" s="54" t="str">
        <x:v>ADMITTED</x:v>
      </x:c>
      <x:c r="F903" s="55" t="n">
        <x:v>30754</x:v>
      </x:c>
      <x:c r="G903" s="55" t="n">
        <x:v>8459</x:v>
      </x:c>
      <x:c r="H903" s="55" t="n">
        <x:v>2862</x:v>
      </x:c>
      <x:c r="I903" s="55" t="n">
        <x:v>910</x:v>
      </x:c>
      <x:c r="J903" s="55" t="n">
        <x:v>116</x:v>
      </x:c>
      <x:c r="K903" s="55" t="n">
        <x:v>30754</x:v>
      </x:c>
      <x:c r="L903" s="55" t="n">
        <x:v>5676</x:v>
      </x:c>
      <x:c r="M903" s="55" t="n">
        <x:v>1043</x:v>
      </x:c>
      <x:c r="N903" s="55" t="n">
        <x:v>2723</x:v>
      </x:c>
      <x:c r="O903" s="55" t="n">
        <x:v>1910</x:v>
      </x:c>
      <x:c r="P903" s="55" t="n">
        <x:v>705</x:v>
      </x:c>
      <x:c r="Q903" s="55" t="n">
        <x:v>1824</x:v>
      </x:c>
      <x:c r="R903" s="55" t="n">
        <x:v>1260</x:v>
      </x:c>
      <x:c r="S903" s="55" t="n">
        <x:v>2735</x:v>
      </x:c>
      <x:c r="T903" s="55" t="n">
        <x:v>1066</x:v>
      </x:c>
      <x:c r="U903" s="55" t="n">
        <x:v>1859</x:v>
      </x:c>
      <x:c r="V903" s="55" t="n">
        <x:v>10250</x:v>
      </x:c>
      <x:c r="W903" s="55" t="n">
        <x:v>7105</x:v>
      </x:c>
      <x:c r="X903" s="55" t="n">
        <x:v>3145</x:v>
      </x:c>
      <x:c r="Y903" s="55" t="n">
        <x:v>2709</x:v>
      </x:c>
      <x:c r="Z903" s="55" t="n">
        <x:v>3244</x:v>
      </x:c>
      <x:c r="AA903" s="55" t="n">
        <x:v>2788</x:v>
      </x:c>
      <x:c r="AB903" s="55" t="n">
        <x:v>1155</x:v>
      </x:c>
      <x:c r="AC903" s="55" t="n">
        <x:v>7774</x:v>
      </x:c>
      <x:c r="AD903" s="55" t="n">
        <x:v>3269</x:v>
      </x:c>
      <x:c r="AE903" s="55" t="n">
        <x:v>10357</x:v>
      </x:c>
      <x:c r="AF903" s="55" t="n">
        <x:v>10250</x:v>
      </x:c>
      <x:c r="AG903" s="55" t="n">
        <x:v>107</x:v>
      </x:c>
      <x:c r="AH903" s="55" t="n">
        <x:v>463</x:v>
      </x:c>
      <x:c r="AI903" s="55" t="n">
        <x:v>9787</x:v>
      </x:c>
      <x:c r="AJ903" s="55" t="n">
        <x:v>419</x:v>
      </x:c>
      <x:c r="AK903" s="55" t="n">
        <x:v>1141</x:v>
      </x:c>
      <x:c r="AL903" s="55" t="n">
        <x:v>1522</x:v>
      </x:c>
      <x:c r="AM903" s="55" t="n">
        <x:v>4922</x:v>
      </x:c>
      <x:c r="AN903" s="55" t="n">
        <x:v>2168</x:v>
      </x:c>
      <x:c r="AO903" s="55" t="n">
        <x:v>78</x:v>
      </x:c>
      <x:c r="AP903" s="55" t="n">
        <x:v>1949</x:v>
      </x:c>
      <x:c r="AQ903" s="55" t="n">
        <x:v>928</x:v>
      </x:c>
    </x:row>
    <x:row r="904">
      <x:c r="A904" s="54" t="str">
        <x:v>T1_SHARED_CATCHMENT</x:v>
      </x:c>
      <x:c r="B904" s="54" t="n">
        <x:v>898</x:v>
      </x:c>
      <x:c r="C904" s="54" t="str">
        <x:v>NYC-V2-R01</x:v>
      </x:c>
      <x:c r="D904" s="54" t="str">
        <x:v>V2</x:v>
      </x:c>
      <x:c r="E904" s="54" t="str">
        <x:v>ADMITTED</x:v>
      </x:c>
      <x:c r="F904" s="55" t="n">
        <x:v>30732</x:v>
      </x:c>
      <x:c r="G904" s="55" t="n">
        <x:v>8086</x:v>
      </x:c>
      <x:c r="H904" s="55" t="n">
        <x:v>3361</x:v>
      </x:c>
      <x:c r="I904" s="55" t="n">
        <x:v>1564</x:v>
      </x:c>
      <x:c r="J904" s="55" t="n">
        <x:v>435</x:v>
      </x:c>
      <x:c r="K904" s="55" t="n">
        <x:v>29985</x:v>
      </x:c>
      <x:c r="L904" s="55" t="n">
        <x:v>6906</x:v>
      </x:c>
      <x:c r="M904" s="55" t="n">
        <x:v>2182</x:v>
      </x:c>
      <x:c r="N904" s="55" t="n">
        <x:v>2623</x:v>
      </x:c>
      <x:c r="O904" s="55" t="n">
        <x:v>2101</x:v>
      </x:c>
      <x:c r="P904" s="55" t="n">
        <x:v>1236</x:v>
      </x:c>
      <x:c r="Q904" s="55" t="n">
        <x:v>2226</x:v>
      </x:c>
      <x:c r="R904" s="55" t="n">
        <x:v>1157</x:v>
      </x:c>
      <x:c r="S904" s="55" t="n">
        <x:v>2572</x:v>
      </x:c>
      <x:c r="T904" s="55" t="n">
        <x:v>1434</x:v>
      </x:c>
      <x:c r="U904" s="55" t="n">
        <x:v>1923</x:v>
      </x:c>
      <x:c r="V904" s="55" t="n">
        <x:v>10836</x:v>
      </x:c>
      <x:c r="W904" s="55" t="n">
        <x:v>8114</x:v>
      </x:c>
      <x:c r="X904" s="55" t="n">
        <x:v>2722</x:v>
      </x:c>
      <x:c r="Y904" s="55" t="n">
        <x:v>2654</x:v>
      </x:c>
      <x:c r="Z904" s="55" t="n">
        <x:v>3594</x:v>
      </x:c>
      <x:c r="AA904" s="55" t="n">
        <x:v>2870</x:v>
      </x:c>
      <x:c r="AB904" s="55" t="n">
        <x:v>1310</x:v>
      </x:c>
      <x:c r="AC904" s="55" t="n">
        <x:v>8344</x:v>
      </x:c>
      <x:c r="AD904" s="55" t="n">
        <x:v>2821</x:v>
      </x:c>
      <x:c r="AE904" s="55" t="n">
        <x:v>10954</x:v>
      </x:c>
      <x:c r="AF904" s="55" t="n">
        <x:v>10836</x:v>
      </x:c>
      <x:c r="AG904" s="55" t="n">
        <x:v>118</x:v>
      </x:c>
      <x:c r="AH904" s="55" t="n">
        <x:v>616</x:v>
      </x:c>
      <x:c r="AI904" s="55" t="n">
        <x:v>10220</x:v>
      </x:c>
      <x:c r="AJ904" s="55" t="n">
        <x:v>203</x:v>
      </x:c>
      <x:c r="AK904" s="55" t="n">
        <x:v>891</x:v>
      </x:c>
      <x:c r="AL904" s="55" t="n">
        <x:v>1531</x:v>
      </x:c>
      <x:c r="AM904" s="55" t="n">
        <x:v>5545</x:v>
      </x:c>
      <x:c r="AN904" s="55" t="n">
        <x:v>2653</x:v>
      </x:c>
      <x:c r="AO904" s="55" t="n">
        <x:v>13</x:v>
      </x:c>
      <x:c r="AP904" s="55" t="n">
        <x:v>2239</x:v>
      </x:c>
      <x:c r="AQ904" s="55" t="n">
        <x:v>966</x:v>
      </x:c>
    </x:row>
    <x:row r="905">
      <x:c r="A905" s="54" t="str">
        <x:v>T1_SHARED_CATCHMENT</x:v>
      </x:c>
      <x:c r="B905" s="54" t="n">
        <x:v>899</x:v>
      </x:c>
      <x:c r="C905" s="54" t="str">
        <x:v>NYC-V2-R01</x:v>
      </x:c>
      <x:c r="D905" s="54" t="str">
        <x:v>V2</x:v>
      </x:c>
      <x:c r="E905" s="54" t="str">
        <x:v>ADMITTED</x:v>
      </x:c>
      <x:c r="F905" s="55" t="n">
        <x:v>30640</x:v>
      </x:c>
      <x:c r="G905" s="55" t="n">
        <x:v>6128</x:v>
      </x:c>
      <x:c r="H905" s="55" t="n">
        <x:v>3139</x:v>
      </x:c>
      <x:c r="I905" s="55" t="n">
        <x:v>950</x:v>
      </x:c>
      <x:c r="J905" s="55" t="n">
        <x:v>258</x:v>
      </x:c>
      <x:c r="K905" s="55" t="n">
        <x:v>30640</x:v>
      </x:c>
      <x:c r="L905" s="55" t="n">
        <x:v>5921</x:v>
      </x:c>
      <x:c r="M905" s="55" t="n">
        <x:v>2419</x:v>
      </x:c>
      <x:c r="N905" s="55" t="n">
        <x:v>2352</x:v>
      </x:c>
      <x:c r="O905" s="55" t="n">
        <x:v>1150</x:v>
      </x:c>
      <x:c r="P905" s="55" t="n">
        <x:v>1072</x:v>
      </x:c>
      <x:c r="Q905" s="55" t="n">
        <x:v>2203</x:v>
      </x:c>
      <x:c r="R905" s="55" t="n">
        <x:v>2596</x:v>
      </x:c>
      <x:c r="S905" s="55" t="n">
        <x:v>2609</x:v>
      </x:c>
      <x:c r="T905" s="55" t="n">
        <x:v>1247</x:v>
      </x:c>
      <x:c r="U905" s="55" t="n">
        <x:v>1566</x:v>
      </x:c>
      <x:c r="V905" s="55" t="n">
        <x:v>10485</x:v>
      </x:c>
      <x:c r="W905" s="55" t="n">
        <x:v>7132</x:v>
      </x:c>
      <x:c r="X905" s="55" t="n">
        <x:v>3353</x:v>
      </x:c>
      <x:c r="Y905" s="55" t="n">
        <x:v>2814</x:v>
      </x:c>
      <x:c r="Z905" s="55" t="n">
        <x:v>3737</x:v>
      </x:c>
      <x:c r="AA905" s="55" t="n">
        <x:v>2975</x:v>
      </x:c>
      <x:c r="AB905" s="55" t="n">
        <x:v>737</x:v>
      </x:c>
      <x:c r="AC905" s="55" t="n">
        <x:v>8476</x:v>
      </x:c>
      <x:c r="AD905" s="55" t="n">
        <x:v>3092</x:v>
      </x:c>
      <x:c r="AE905" s="55" t="n">
        <x:v>10599</x:v>
      </x:c>
      <x:c r="AF905" s="55" t="n">
        <x:v>10485</x:v>
      </x:c>
      <x:c r="AG905" s="55" t="n">
        <x:v>114</x:v>
      </x:c>
      <x:c r="AH905" s="55" t="n">
        <x:v>303</x:v>
      </x:c>
      <x:c r="AI905" s="55" t="n">
        <x:v>10182</x:v>
      </x:c>
      <x:c r="AJ905" s="55" t="n">
        <x:v>266</x:v>
      </x:c>
      <x:c r="AK905" s="55" t="n">
        <x:v>1425</x:v>
      </x:c>
      <x:c r="AL905" s="55" t="n">
        <x:v>1739</x:v>
      </x:c>
      <x:c r="AM905" s="55" t="n">
        <x:v>4829</x:v>
      </x:c>
      <x:c r="AN905" s="55" t="n">
        <x:v>2226</x:v>
      </x:c>
      <x:c r="AO905" s="55" t="n">
        <x:v>0</x:v>
      </x:c>
      <x:c r="AP905" s="55" t="n">
        <x:v>2073</x:v>
      </x:c>
      <x:c r="AQ905" s="55" t="n">
        <x:v>945</x:v>
      </x:c>
    </x:row>
    <x:row r="906">
      <x:c r="A906" s="54" t="str">
        <x:v>T1_SHARED_CATCHMENT</x:v>
      </x:c>
      <x:c r="B906" s="54" t="n">
        <x:v>900</x:v>
      </x:c>
      <x:c r="C906" s="54" t="str">
        <x:v>NYC-V2-R01</x:v>
      </x:c>
      <x:c r="D906" s="54" t="str">
        <x:v>V2</x:v>
      </x:c>
      <x:c r="E906" s="54" t="str">
        <x:v>ADMITTED</x:v>
      </x:c>
      <x:c r="F906" s="55" t="n">
        <x:v>30223</x:v>
      </x:c>
      <x:c r="G906" s="55" t="n">
        <x:v>7270</x:v>
      </x:c>
      <x:c r="H906" s="55" t="n">
        <x:v>3155</x:v>
      </x:c>
      <x:c r="I906" s="55" t="n">
        <x:v>1373</x:v>
      </x:c>
      <x:c r="J906" s="55" t="n">
        <x:v>191</x:v>
      </x:c>
      <x:c r="K906" s="55" t="n">
        <x:v>30209</x:v>
      </x:c>
      <x:c r="L906" s="55" t="n">
        <x:v>5831</x:v>
      </x:c>
      <x:c r="M906" s="55" t="n">
        <x:v>1098</x:v>
      </x:c>
      <x:c r="N906" s="55" t="n">
        <x:v>2698</x:v>
      </x:c>
      <x:c r="O906" s="55" t="n">
        <x:v>2035</x:v>
      </x:c>
      <x:c r="P906" s="55" t="n">
        <x:v>843</x:v>
      </x:c>
      <x:c r="Q906" s="55" t="n">
        <x:v>2116</x:v>
      </x:c>
      <x:c r="R906" s="55" t="n">
        <x:v>1974</x:v>
      </x:c>
      <x:c r="S906" s="55" t="n">
        <x:v>3099</x:v>
      </x:c>
      <x:c r="T906" s="55" t="n">
        <x:v>1417</x:v>
      </x:c>
      <x:c r="U906" s="55" t="n">
        <x:v>2170</x:v>
      </x:c>
      <x:c r="V906" s="55" t="n">
        <x:v>10572</x:v>
      </x:c>
      <x:c r="W906" s="55" t="n">
        <x:v>7770</x:v>
      </x:c>
      <x:c r="X906" s="55" t="n">
        <x:v>2802</x:v>
      </x:c>
      <x:c r="Y906" s="55" t="n">
        <x:v>2342</x:v>
      </x:c>
      <x:c r="Z906" s="55" t="n">
        <x:v>4026</x:v>
      </x:c>
      <x:c r="AA906" s="55" t="n">
        <x:v>2885</x:v>
      </x:c>
      <x:c r="AB906" s="55" t="n">
        <x:v>950</x:v>
      </x:c>
      <x:c r="AC906" s="55" t="n">
        <x:v>8162</x:v>
      </x:c>
      <x:c r="AD906" s="55" t="n">
        <x:v>2583</x:v>
      </x:c>
      <x:c r="AE906" s="55" t="n">
        <x:v>10702</x:v>
      </x:c>
      <x:c r="AF906" s="55" t="n">
        <x:v>10572</x:v>
      </x:c>
      <x:c r="AG906" s="55" t="n">
        <x:v>130</x:v>
      </x:c>
      <x:c r="AH906" s="55" t="n">
        <x:v>521</x:v>
      </x:c>
      <x:c r="AI906" s="55" t="n">
        <x:v>10051</x:v>
      </x:c>
      <x:c r="AJ906" s="55" t="n">
        <x:v>259</x:v>
      </x:c>
      <x:c r="AK906" s="55" t="n">
        <x:v>1098</x:v>
      </x:c>
      <x:c r="AL906" s="55" t="n">
        <x:v>1480</x:v>
      </x:c>
      <x:c r="AM906" s="55" t="n">
        <x:v>4774</x:v>
      </x:c>
      <x:c r="AN906" s="55" t="n">
        <x:v>2936</x:v>
      </x:c>
      <x:c r="AO906" s="55" t="n">
        <x:v>25</x:v>
      </x:c>
      <x:c r="AP906" s="55" t="n">
        <x:v>2285</x:v>
      </x:c>
      <x:c r="AQ906" s="55" t="n">
        <x:v>965</x:v>
      </x:c>
    </x:row>
    <x:row r="907">
      <x:c r="A907" s="54" t="str">
        <x:v>T1_SHARED_CATCHMENT</x:v>
      </x:c>
      <x:c r="B907" s="54" t="n">
        <x:v>901</x:v>
      </x:c>
      <x:c r="C907" s="54" t="str">
        <x:v>NYC-V2-R01</x:v>
      </x:c>
      <x:c r="D907" s="54" t="str">
        <x:v>V2</x:v>
      </x:c>
      <x:c r="E907" s="54" t="str">
        <x:v>ADMITTED</x:v>
      </x:c>
      <x:c r="F907" s="55" t="n">
        <x:v>32751</x:v>
      </x:c>
      <x:c r="G907" s="55" t="n">
        <x:v>8458</x:v>
      </x:c>
      <x:c r="H907" s="55" t="n">
        <x:v>3636</x:v>
      </x:c>
      <x:c r="I907" s="55" t="n">
        <x:v>1236</x:v>
      </x:c>
      <x:c r="J907" s="55" t="n">
        <x:v>525</x:v>
      </x:c>
      <x:c r="K907" s="55" t="n">
        <x:v>32751</x:v>
      </x:c>
      <x:c r="L907" s="55" t="n">
        <x:v>7951</x:v>
      </x:c>
      <x:c r="M907" s="55" t="n">
        <x:v>2609</x:v>
      </x:c>
      <x:c r="N907" s="55" t="n">
        <x:v>3462</x:v>
      </x:c>
      <x:c r="O907" s="55" t="n">
        <x:v>1880</x:v>
      </x:c>
      <x:c r="P907" s="55" t="n">
        <x:v>746</x:v>
      </x:c>
      <x:c r="Q907" s="55" t="n">
        <x:v>2293</x:v>
      </x:c>
      <x:c r="R907" s="55" t="n">
        <x:v>2644</x:v>
      </x:c>
      <x:c r="S907" s="55" t="n">
        <x:v>2984</x:v>
      </x:c>
      <x:c r="T907" s="55" t="n">
        <x:v>1233</x:v>
      </x:c>
      <x:c r="U907" s="55" t="n">
        <x:v>2241</x:v>
      </x:c>
      <x:c r="V907" s="55" t="n">
        <x:v>11172</x:v>
      </x:c>
      <x:c r="W907" s="55" t="n">
        <x:v>8473</x:v>
      </x:c>
      <x:c r="X907" s="55" t="n">
        <x:v>2699</x:v>
      </x:c>
      <x:c r="Y907" s="55" t="n">
        <x:v>2379</x:v>
      </x:c>
      <x:c r="Z907" s="55" t="n">
        <x:v>3576</x:v>
      </x:c>
      <x:c r="AA907" s="55" t="n">
        <x:v>2927</x:v>
      </x:c>
      <x:c r="AB907" s="55" t="n">
        <x:v>1120</x:v>
      </x:c>
      <x:c r="AC907" s="55" t="n">
        <x:v>8455</x:v>
      </x:c>
      <x:c r="AD907" s="55" t="n">
        <x:v>3194</x:v>
      </x:c>
      <x:c r="AE907" s="55" t="n">
        <x:v>11251</x:v>
      </x:c>
      <x:c r="AF907" s="55" t="n">
        <x:v>11172</x:v>
      </x:c>
      <x:c r="AG907" s="55" t="n">
        <x:v>79</x:v>
      </x:c>
      <x:c r="AH907" s="55" t="n">
        <x:v>755</x:v>
      </x:c>
      <x:c r="AI907" s="55" t="n">
        <x:v>10417</x:v>
      </x:c>
      <x:c r="AJ907" s="55" t="n">
        <x:v>420</x:v>
      </x:c>
      <x:c r="AK907" s="55" t="n">
        <x:v>1084</x:v>
      </x:c>
      <x:c r="AL907" s="55" t="n">
        <x:v>1577</x:v>
      </x:c>
      <x:c r="AM907" s="55" t="n">
        <x:v>4895</x:v>
      </x:c>
      <x:c r="AN907" s="55" t="n">
        <x:v>3114</x:v>
      </x:c>
      <x:c r="AO907" s="55" t="n">
        <x:v>82</x:v>
      </x:c>
      <x:c r="AP907" s="55" t="n">
        <x:v>2358</x:v>
      </x:c>
      <x:c r="AQ907" s="55" t="n">
        <x:v>963</x:v>
      </x:c>
    </x:row>
    <x:row r="908">
      <x:c r="A908" s="54" t="str">
        <x:v>T1_SHARED_CATCHMENT</x:v>
      </x:c>
      <x:c r="B908" s="54" t="n">
        <x:v>902</x:v>
      </x:c>
      <x:c r="C908" s="54" t="str">
        <x:v>NYC-V2-R01</x:v>
      </x:c>
      <x:c r="D908" s="54" t="str">
        <x:v>V2</x:v>
      </x:c>
      <x:c r="E908" s="54" t="str">
        <x:v>ADMITTED</x:v>
      </x:c>
      <x:c r="F908" s="55" t="n">
        <x:v>31798</x:v>
      </x:c>
      <x:c r="G908" s="55" t="n">
        <x:v>8212</x:v>
      </x:c>
      <x:c r="H908" s="55" t="n">
        <x:v>3277</x:v>
      </x:c>
      <x:c r="I908" s="55" t="n">
        <x:v>764</x:v>
      </x:c>
      <x:c r="J908" s="55" t="n">
        <x:v>132</x:v>
      </x:c>
      <x:c r="K908" s="55" t="n">
        <x:v>28635</x:v>
      </x:c>
      <x:c r="L908" s="55" t="n">
        <x:v>5596</x:v>
      </x:c>
      <x:c r="M908" s="55" t="n">
        <x:v>1710</x:v>
      </x:c>
      <x:c r="N908" s="55" t="n">
        <x:v>2173</x:v>
      </x:c>
      <x:c r="O908" s="55" t="n">
        <x:v>1713</x:v>
      </x:c>
      <x:c r="P908" s="55" t="n">
        <x:v>794</x:v>
      </x:c>
      <x:c r="Q908" s="55" t="n">
        <x:v>1785</x:v>
      </x:c>
      <x:c r="R908" s="55" t="n">
        <x:v>1662</x:v>
      </x:c>
      <x:c r="S908" s="55" t="n">
        <x:v>2490</x:v>
      </x:c>
      <x:c r="T908" s="55" t="n">
        <x:v>1043</x:v>
      </x:c>
      <x:c r="U908" s="55" t="n">
        <x:v>1867</x:v>
      </x:c>
      <x:c r="V908" s="55" t="n">
        <x:v>9969</x:v>
      </x:c>
      <x:c r="W908" s="55" t="n">
        <x:v>6867</x:v>
      </x:c>
      <x:c r="X908" s="55" t="n">
        <x:v>3102</x:v>
      </x:c>
      <x:c r="Y908" s="55" t="n">
        <x:v>2763</x:v>
      </x:c>
      <x:c r="Z908" s="55" t="n">
        <x:v>3192</x:v>
      </x:c>
      <x:c r="AA908" s="55" t="n">
        <x:v>3277</x:v>
      </x:c>
      <x:c r="AB908" s="55" t="n">
        <x:v>1148</x:v>
      </x:c>
      <x:c r="AC908" s="55" t="n">
        <x:v>7997</x:v>
      </x:c>
      <x:c r="AD908" s="55" t="n">
        <x:v>2912</x:v>
      </x:c>
      <x:c r="AE908" s="55" t="n">
        <x:v>9969</x:v>
      </x:c>
      <x:c r="AF908" s="55" t="n">
        <x:v>9969</x:v>
      </x:c>
      <x:c r="AG908" s="55" t="n">
        <x:v>0</x:v>
      </x:c>
      <x:c r="AH908" s="55" t="n">
        <x:v>381</x:v>
      </x:c>
      <x:c r="AI908" s="55" t="n">
        <x:v>9588</x:v>
      </x:c>
      <x:c r="AJ908" s="55" t="n">
        <x:v>399</x:v>
      </x:c>
      <x:c r="AK908" s="55" t="n">
        <x:v>1084</x:v>
      </x:c>
      <x:c r="AL908" s="55" t="n">
        <x:v>1661</x:v>
      </x:c>
      <x:c r="AM908" s="55" t="n">
        <x:v>4595</x:v>
      </x:c>
      <x:c r="AN908" s="55" t="n">
        <x:v>2230</x:v>
      </x:c>
      <x:c r="AO908" s="55" t="n">
        <x:v>0</x:v>
      </x:c>
      <x:c r="AP908" s="55" t="n">
        <x:v>2199</x:v>
      </x:c>
      <x:c r="AQ908" s="55" t="n">
        <x:v>999</x:v>
      </x:c>
    </x:row>
    <x:row r="909">
      <x:c r="A909" s="54" t="str">
        <x:v>T1_SHARED_CATCHMENT</x:v>
      </x:c>
      <x:c r="B909" s="54" t="n">
        <x:v>903</x:v>
      </x:c>
      <x:c r="C909" s="54" t="str">
        <x:v>NYC-V2-R01</x:v>
      </x:c>
      <x:c r="D909" s="54" t="str">
        <x:v>V2</x:v>
      </x:c>
      <x:c r="E909" s="54" t="str">
        <x:v>ADMITTED</x:v>
      </x:c>
      <x:c r="F909" s="55" t="n">
        <x:v>30187</x:v>
      </x:c>
      <x:c r="G909" s="55" t="n">
        <x:v>7648</x:v>
      </x:c>
      <x:c r="H909" s="55" t="n">
        <x:v>3088</x:v>
      </x:c>
      <x:c r="I909" s="55" t="n">
        <x:v>1230</x:v>
      </x:c>
      <x:c r="J909" s="55" t="n">
        <x:v>93</x:v>
      </x:c>
      <x:c r="K909" s="55" t="n">
        <x:v>29324</x:v>
      </x:c>
      <x:c r="L909" s="55" t="n">
        <x:v>4093</x:v>
      </x:c>
      <x:c r="M909" s="55" t="n">
        <x:v>710</x:v>
      </x:c>
      <x:c r="N909" s="55" t="n">
        <x:v>1988</x:v>
      </x:c>
      <x:c r="O909" s="55" t="n">
        <x:v>1395</x:v>
      </x:c>
      <x:c r="P909" s="55" t="n">
        <x:v>730</x:v>
      </x:c>
      <x:c r="Q909" s="55" t="n">
        <x:v>1873</x:v>
      </x:c>
      <x:c r="R909" s="55" t="n">
        <x:v>1737</x:v>
      </x:c>
      <x:c r="S909" s="55" t="n">
        <x:v>2744</x:v>
      </x:c>
      <x:c r="T909" s="55" t="n">
        <x:v>1132</x:v>
      </x:c>
      <x:c r="U909" s="55" t="n">
        <x:v>2033</x:v>
      </x:c>
      <x:c r="V909" s="55" t="n">
        <x:v>9469</x:v>
      </x:c>
      <x:c r="W909" s="55" t="n">
        <x:v>6283</x:v>
      </x:c>
      <x:c r="X909" s="55" t="n">
        <x:v>3186</x:v>
      </x:c>
      <x:c r="Y909" s="55" t="n">
        <x:v>2846</x:v>
      </x:c>
      <x:c r="Z909" s="55" t="n">
        <x:v>4240</x:v>
      </x:c>
      <x:c r="AA909" s="55" t="n">
        <x:v>3088</x:v>
      </x:c>
      <x:c r="AB909" s="55" t="n">
        <x:v>733</x:v>
      </x:c>
      <x:c r="AC909" s="55" t="n">
        <x:v>7170</x:v>
      </x:c>
      <x:c r="AD909" s="55" t="n">
        <x:v>2667</x:v>
      </x:c>
      <x:c r="AE909" s="55" t="n">
        <x:v>9593</x:v>
      </x:c>
      <x:c r="AF909" s="55" t="n">
        <x:v>9469</x:v>
      </x:c>
      <x:c r="AG909" s="55" t="n">
        <x:v>124</x:v>
      </x:c>
      <x:c r="AH909" s="55" t="n">
        <x:v>202</x:v>
      </x:c>
      <x:c r="AI909" s="55" t="n">
        <x:v>9267</x:v>
      </x:c>
      <x:c r="AJ909" s="55" t="n">
        <x:v>58</x:v>
      </x:c>
      <x:c r="AK909" s="55" t="n">
        <x:v>948</x:v>
      </x:c>
      <x:c r="AL909" s="55" t="n">
        <x:v>1399</x:v>
      </x:c>
      <x:c r="AM909" s="55" t="n">
        <x:v>4564</x:v>
      </x:c>
      <x:c r="AN909" s="55" t="n">
        <x:v>2500</x:v>
      </x:c>
      <x:c r="AO909" s="55" t="n">
        <x:v>0</x:v>
      </x:c>
      <x:c r="AP909" s="55" t="n">
        <x:v>2257</x:v>
      </x:c>
      <x:c r="AQ909" s="55" t="n">
        <x:v>915</x:v>
      </x:c>
    </x:row>
    <x:row r="910">
      <x:c r="A910" s="54" t="str">
        <x:v>T1_SHARED_CATCHMENT</x:v>
      </x:c>
      <x:c r="B910" s="54" t="n">
        <x:v>904</x:v>
      </x:c>
      <x:c r="C910" s="54" t="str">
        <x:v>NYC-V2-R01</x:v>
      </x:c>
      <x:c r="D910" s="54" t="str">
        <x:v>V2</x:v>
      </x:c>
      <x:c r="E910" s="54" t="str">
        <x:v>ADMITTED</x:v>
      </x:c>
      <x:c r="F910" s="55" t="n">
        <x:v>31250</x:v>
      </x:c>
      <x:c r="G910" s="55" t="n">
        <x:v>6515</x:v>
      </x:c>
      <x:c r="H910" s="55" t="n">
        <x:v>3409</x:v>
      </x:c>
      <x:c r="I910" s="55" t="n">
        <x:v>977</x:v>
      </x:c>
      <x:c r="J910" s="55" t="n">
        <x:v>146</x:v>
      </x:c>
      <x:c r="K910" s="55" t="n">
        <x:v>31250</x:v>
      </x:c>
      <x:c r="L910" s="55" t="n">
        <x:v>7350</x:v>
      </x:c>
      <x:c r="M910" s="55" t="n">
        <x:v>1968</x:v>
      </x:c>
      <x:c r="N910" s="55" t="n">
        <x:v>3047</x:v>
      </x:c>
      <x:c r="O910" s="55" t="n">
        <x:v>2335</x:v>
      </x:c>
      <x:c r="P910" s="55" t="n">
        <x:v>1158</x:v>
      </x:c>
      <x:c r="Q910" s="55" t="n">
        <x:v>3002</x:v>
      </x:c>
      <x:c r="R910" s="55" t="n">
        <x:v>2076</x:v>
      </x:c>
      <x:c r="S910" s="55" t="n">
        <x:v>3215</x:v>
      </x:c>
      <x:c r="T910" s="55" t="n">
        <x:v>1437</x:v>
      </x:c>
      <x:c r="U910" s="55" t="n">
        <x:v>2529</x:v>
      </x:c>
      <x:c r="V910" s="55" t="n">
        <x:v>10134</x:v>
      </x:c>
      <x:c r="W910" s="55" t="n">
        <x:v>7208</x:v>
      </x:c>
      <x:c r="X910" s="55" t="n">
        <x:v>2926</x:v>
      </x:c>
      <x:c r="Y910" s="55" t="n">
        <x:v>2552</x:v>
      </x:c>
      <x:c r="Z910" s="55" t="n">
        <x:v>3729</x:v>
      </x:c>
      <x:c r="AA910" s="55" t="n">
        <x:v>3409</x:v>
      </x:c>
      <x:c r="AB910" s="55" t="n">
        <x:v>1207</x:v>
      </x:c>
      <x:c r="AC910" s="55" t="n">
        <x:v>8267</x:v>
      </x:c>
      <x:c r="AD910" s="55" t="n">
        <x:v>2736</x:v>
      </x:c>
      <x:c r="AE910" s="55" t="n">
        <x:v>10220</x:v>
      </x:c>
      <x:c r="AF910" s="55" t="n">
        <x:v>10134</x:v>
      </x:c>
      <x:c r="AG910" s="55" t="n">
        <x:v>86</x:v>
      </x:c>
      <x:c r="AH910" s="55" t="n">
        <x:v>532</x:v>
      </x:c>
      <x:c r="AI910" s="55" t="n">
        <x:v>9602</x:v>
      </x:c>
      <x:c r="AJ910" s="55" t="n">
        <x:v>257</x:v>
      </x:c>
      <x:c r="AK910" s="55" t="n">
        <x:v>1251</x:v>
      </x:c>
      <x:c r="AL910" s="55" t="n">
        <x:v>1450</x:v>
      </x:c>
      <x:c r="AM910" s="55" t="n">
        <x:v>4884</x:v>
      </x:c>
      <x:c r="AN910" s="55" t="n">
        <x:v>2221</x:v>
      </x:c>
      <x:c r="AO910" s="55" t="n">
        <x:v>71</x:v>
      </x:c>
      <x:c r="AP910" s="55" t="n">
        <x:v>2608</x:v>
      </x:c>
      <x:c r="AQ910" s="55" t="n">
        <x:v>1032</x:v>
      </x:c>
    </x:row>
    <x:row r="911">
      <x:c r="A911" s="54" t="str">
        <x:v>T1_SHARED_CATCHMENT</x:v>
      </x:c>
      <x:c r="B911" s="54" t="n">
        <x:v>905</x:v>
      </x:c>
      <x:c r="C911" s="54" t="str">
        <x:v>NYC-V2-R01</x:v>
      </x:c>
      <x:c r="D911" s="54" t="str">
        <x:v>V2</x:v>
      </x:c>
      <x:c r="E911" s="54" t="str">
        <x:v>ADMITTED</x:v>
      </x:c>
      <x:c r="F911" s="55" t="n">
        <x:v>30357</x:v>
      </x:c>
      <x:c r="G911" s="55" t="n">
        <x:v>7554</x:v>
      </x:c>
      <x:c r="H911" s="55" t="n">
        <x:v>3559</x:v>
      </x:c>
      <x:c r="I911" s="55" t="n">
        <x:v>1616</x:v>
      </x:c>
      <x:c r="J911" s="55" t="n">
        <x:v>478</x:v>
      </x:c>
      <x:c r="K911" s="55" t="n">
        <x:v>29202</x:v>
      </x:c>
      <x:c r="L911" s="55" t="n">
        <x:v>4224</x:v>
      </x:c>
      <x:c r="M911" s="55" t="n">
        <x:v>471</x:v>
      </x:c>
      <x:c r="N911" s="55" t="n">
        <x:v>2483</x:v>
      </x:c>
      <x:c r="O911" s="55" t="n">
        <x:v>1270</x:v>
      </x:c>
      <x:c r="P911" s="55" t="n">
        <x:v>958</x:v>
      </x:c>
      <x:c r="Q911" s="55" t="n">
        <x:v>2427</x:v>
      </x:c>
      <x:c r="R911" s="55" t="n">
        <x:v>2053</x:v>
      </x:c>
      <x:c r="S911" s="55" t="n">
        <x:v>3101</x:v>
      </x:c>
      <x:c r="T911" s="55" t="n">
        <x:v>843</x:v>
      </x:c>
      <x:c r="U911" s="55" t="n">
        <x:v>2184</x:v>
      </x:c>
      <x:c r="V911" s="55" t="n">
        <x:v>9548</x:v>
      </x:c>
      <x:c r="W911" s="55" t="n">
        <x:v>6238</x:v>
      </x:c>
      <x:c r="X911" s="55" t="n">
        <x:v>3310</x:v>
      </x:c>
      <x:c r="Y911" s="55" t="n">
        <x:v>2962</x:v>
      </x:c>
      <x:c r="Z911" s="55" t="n">
        <x:v>4224</x:v>
      </x:c>
      <x:c r="AA911" s="55" t="n">
        <x:v>3559</x:v>
      </x:c>
      <x:c r="AB911" s="55" t="n">
        <x:v>1231</x:v>
      </x:c>
      <x:c r="AC911" s="55" t="n">
        <x:v>8011</x:v>
      </x:c>
      <x:c r="AD911" s="55" t="n">
        <x:v>3128</x:v>
      </x:c>
      <x:c r="AE911" s="55" t="n">
        <x:v>9651</x:v>
      </x:c>
      <x:c r="AF911" s="55" t="n">
        <x:v>9548</x:v>
      </x:c>
      <x:c r="AG911" s="55" t="n">
        <x:v>103</x:v>
      </x:c>
      <x:c r="AH911" s="55" t="n">
        <x:v>406</x:v>
      </x:c>
      <x:c r="AI911" s="55" t="n">
        <x:v>9142</x:v>
      </x:c>
      <x:c r="AJ911" s="55" t="n">
        <x:v>166</x:v>
      </x:c>
      <x:c r="AK911" s="55" t="n">
        <x:v>1038</x:v>
      </x:c>
      <x:c r="AL911" s="55" t="n">
        <x:v>1390</x:v>
      </x:c>
      <x:c r="AM911" s="55" t="n">
        <x:v>4766</x:v>
      </x:c>
      <x:c r="AN911" s="55" t="n">
        <x:v>2188</x:v>
      </x:c>
      <x:c r="AO911" s="55" t="n">
        <x:v>0</x:v>
      </x:c>
      <x:c r="AP911" s="55" t="n">
        <x:v>2390</x:v>
      </x:c>
      <x:c r="AQ911" s="55" t="n">
        <x:v>965</x:v>
      </x:c>
    </x:row>
    <x:row r="912">
      <x:c r="A912" s="54" t="str">
        <x:v>T1_SHARED_CATCHMENT</x:v>
      </x:c>
      <x:c r="B912" s="54" t="n">
        <x:v>906</x:v>
      </x:c>
      <x:c r="C912" s="54" t="str">
        <x:v>NYC-V2-R01</x:v>
      </x:c>
      <x:c r="D912" s="54" t="str">
        <x:v>V2</x:v>
      </x:c>
      <x:c r="E912" s="54" t="str">
        <x:v>ADMITTED</x:v>
      </x:c>
      <x:c r="F912" s="55" t="n">
        <x:v>33060</x:v>
      </x:c>
      <x:c r="G912" s="55" t="n">
        <x:v>7962</x:v>
      </x:c>
      <x:c r="H912" s="55" t="n">
        <x:v>4206</x:v>
      </x:c>
      <x:c r="I912" s="55" t="n">
        <x:v>1747</x:v>
      </x:c>
      <x:c r="J912" s="55" t="n">
        <x:v>460</x:v>
      </x:c>
      <x:c r="K912" s="55" t="n">
        <x:v>27598</x:v>
      </x:c>
      <x:c r="L912" s="55" t="n">
        <x:v>5728</x:v>
      </x:c>
      <x:c r="M912" s="55" t="n">
        <x:v>896</x:v>
      </x:c>
      <x:c r="N912" s="55" t="n">
        <x:v>3030</x:v>
      </x:c>
      <x:c r="O912" s="55" t="n">
        <x:v>1802</x:v>
      </x:c>
      <x:c r="P912" s="55" t="n">
        <x:v>715</x:v>
      </x:c>
      <x:c r="Q912" s="55" t="n">
        <x:v>1286</x:v>
      </x:c>
      <x:c r="R912" s="55" t="n">
        <x:v>2012</x:v>
      </x:c>
      <x:c r="S912" s="55" t="n">
        <x:v>2301</x:v>
      </x:c>
      <x:c r="T912" s="55" t="n">
        <x:v>755</x:v>
      </x:c>
      <x:c r="U912" s="55" t="n">
        <x:v>2746</x:v>
      </x:c>
      <x:c r="V912" s="55" t="n">
        <x:v>10171</x:v>
      </x:c>
      <x:c r="W912" s="55" t="n">
        <x:v>7114</x:v>
      </x:c>
      <x:c r="X912" s="55" t="n">
        <x:v>3057</x:v>
      </x:c>
      <x:c r="Y912" s="55" t="n">
        <x:v>2664</x:v>
      </x:c>
      <x:c r="Z912" s="55" t="n">
        <x:v>3475</x:v>
      </x:c>
      <x:c r="AA912" s="55" t="n">
        <x:v>3771</x:v>
      </x:c>
      <x:c r="AB912" s="55" t="n">
        <x:v>1160</x:v>
      </x:c>
      <x:c r="AC912" s="55" t="n">
        <x:v>8266</x:v>
      </x:c>
      <x:c r="AD912" s="55" t="n">
        <x:v>2823</x:v>
      </x:c>
      <x:c r="AE912" s="55" t="n">
        <x:v>10273</x:v>
      </x:c>
      <x:c r="AF912" s="55" t="n">
        <x:v>10171</x:v>
      </x:c>
      <x:c r="AG912" s="55" t="n">
        <x:v>102</x:v>
      </x:c>
      <x:c r="AH912" s="55" t="n">
        <x:v>189</x:v>
      </x:c>
      <x:c r="AI912" s="55" t="n">
        <x:v>9982</x:v>
      </x:c>
      <x:c r="AJ912" s="55" t="n">
        <x:v>129</x:v>
      </x:c>
      <x:c r="AK912" s="55" t="n">
        <x:v>650</x:v>
      </x:c>
      <x:c r="AL912" s="55" t="n">
        <x:v>1964</x:v>
      </x:c>
      <x:c r="AM912" s="55" t="n">
        <x:v>5082</x:v>
      </x:c>
      <x:c r="AN912" s="55" t="n">
        <x:v>2304</x:v>
      </x:c>
      <x:c r="AO912" s="55" t="n">
        <x:v>42</x:v>
      </x:c>
      <x:c r="AP912" s="55" t="n">
        <x:v>2664</x:v>
      </x:c>
      <x:c r="AQ912" s="55" t="n">
        <x:v>924</x:v>
      </x:c>
    </x:row>
    <x:row r="913">
      <x:c r="A913" s="54" t="str">
        <x:v>T1_SHARED_CATCHMENT</x:v>
      </x:c>
      <x:c r="B913" s="54" t="n">
        <x:v>907</x:v>
      </x:c>
      <x:c r="C913" s="54" t="str">
        <x:v>NYC-V2-R01</x:v>
      </x:c>
      <x:c r="D913" s="54" t="str">
        <x:v>V2</x:v>
      </x:c>
      <x:c r="E913" s="54" t="str">
        <x:v>ADMITTED</x:v>
      </x:c>
      <x:c r="F913" s="55" t="n">
        <x:v>32884</x:v>
      </x:c>
      <x:c r="G913" s="55" t="n">
        <x:v>9008</x:v>
      </x:c>
      <x:c r="H913" s="55" t="n">
        <x:v>3411</x:v>
      </x:c>
      <x:c r="I913" s="55" t="n">
        <x:v>766</x:v>
      </x:c>
      <x:c r="J913" s="55" t="n">
        <x:v>179</x:v>
      </x:c>
      <x:c r="K913" s="55" t="n">
        <x:v>31183</x:v>
      </x:c>
      <x:c r="L913" s="55" t="n">
        <x:v>4732</x:v>
      </x:c>
      <x:c r="M913" s="55" t="n">
        <x:v>88</x:v>
      </x:c>
      <x:c r="N913" s="55" t="n">
        <x:v>2759</x:v>
      </x:c>
      <x:c r="O913" s="55" t="n">
        <x:v>1885</x:v>
      </x:c>
      <x:c r="P913" s="55" t="n">
        <x:v>1120</x:v>
      </x:c>
      <x:c r="Q913" s="55" t="n">
        <x:v>2035</x:v>
      </x:c>
      <x:c r="R913" s="55" t="n">
        <x:v>1996</x:v>
      </x:c>
      <x:c r="S913" s="55" t="n">
        <x:v>2514</x:v>
      </x:c>
      <x:c r="T913" s="55" t="n">
        <x:v>1404</x:v>
      </x:c>
      <x:c r="U913" s="55" t="n">
        <x:v>1433</x:v>
      </x:c>
      <x:c r="V913" s="55" t="n">
        <x:v>10643</x:v>
      </x:c>
      <x:c r="W913" s="55" t="n">
        <x:v>7469</x:v>
      </x:c>
      <x:c r="X913" s="55" t="n">
        <x:v>3174</x:v>
      </x:c>
      <x:c r="Y913" s="55" t="n">
        <x:v>2656</x:v>
      </x:c>
      <x:c r="Z913" s="55" t="n">
        <x:v>4476</x:v>
      </x:c>
      <x:c r="AA913" s="55" t="n">
        <x:v>3411</x:v>
      </x:c>
      <x:c r="AB913" s="55" t="n">
        <x:v>995</x:v>
      </x:c>
      <x:c r="AC913" s="55" t="n">
        <x:v>7596</x:v>
      </x:c>
      <x:c r="AD913" s="55" t="n">
        <x:v>2667</x:v>
      </x:c>
      <x:c r="AE913" s="55" t="n">
        <x:v>10754</x:v>
      </x:c>
      <x:c r="AF913" s="55" t="n">
        <x:v>10643</x:v>
      </x:c>
      <x:c r="AG913" s="55" t="n">
        <x:v>111</x:v>
      </x:c>
      <x:c r="AH913" s="55" t="n">
        <x:v>440</x:v>
      </x:c>
      <x:c r="AI913" s="55" t="n">
        <x:v>10203</x:v>
      </x:c>
      <x:c r="AJ913" s="55" t="n">
        <x:v>295</x:v>
      </x:c>
      <x:c r="AK913" s="55" t="n">
        <x:v>1320</x:v>
      </x:c>
      <x:c r="AL913" s="55" t="n">
        <x:v>990</x:v>
      </x:c>
      <x:c r="AM913" s="55" t="n">
        <x:v>5351</x:v>
      </x:c>
      <x:c r="AN913" s="55" t="n">
        <x:v>2649</x:v>
      </x:c>
      <x:c r="AO913" s="55" t="n">
        <x:v>38</x:v>
      </x:c>
      <x:c r="AP913" s="55" t="n">
        <x:v>2826</x:v>
      </x:c>
      <x:c r="AQ913" s="55" t="n">
        <x:v>989</x:v>
      </x:c>
    </x:row>
    <x:row r="914">
      <x:c r="A914" s="54" t="str">
        <x:v>T1_SHARED_CATCHMENT</x:v>
      </x:c>
      <x:c r="B914" s="54" t="n">
        <x:v>908</x:v>
      </x:c>
      <x:c r="C914" s="54" t="str">
        <x:v>NYC-V2-R01</x:v>
      </x:c>
      <x:c r="D914" s="54" t="str">
        <x:v>V2</x:v>
      </x:c>
      <x:c r="E914" s="54" t="str">
        <x:v>ADMITTED</x:v>
      </x:c>
      <x:c r="F914" s="55" t="n">
        <x:v>31318</x:v>
      </x:c>
      <x:c r="G914" s="55" t="n">
        <x:v>7322</x:v>
      </x:c>
      <x:c r="H914" s="55" t="n">
        <x:v>3076</x:v>
      </x:c>
      <x:c r="I914" s="55" t="n">
        <x:v>1256</x:v>
      </x:c>
      <x:c r="J914" s="55" t="n">
        <x:v>30</x:v>
      </x:c>
      <x:c r="K914" s="55" t="n">
        <x:v>31318</x:v>
      </x:c>
      <x:c r="L914" s="55" t="n">
        <x:v>6989</x:v>
      </x:c>
      <x:c r="M914" s="55" t="n">
        <x:v>1964</x:v>
      </x:c>
      <x:c r="N914" s="55" t="n">
        <x:v>2983</x:v>
      </x:c>
      <x:c r="O914" s="55" t="n">
        <x:v>2042</x:v>
      </x:c>
      <x:c r="P914" s="55" t="n">
        <x:v>472</x:v>
      </x:c>
      <x:c r="Q914" s="55" t="n">
        <x:v>2812</x:v>
      </x:c>
      <x:c r="R914" s="55" t="n">
        <x:v>1491</x:v>
      </x:c>
      <x:c r="S914" s="55" t="n">
        <x:v>3013</x:v>
      </x:c>
      <x:c r="T914" s="55" t="n">
        <x:v>1092</x:v>
      </x:c>
      <x:c r="U914" s="55" t="n">
        <x:v>2492</x:v>
      </x:c>
      <x:c r="V914" s="55" t="n">
        <x:v>10356</x:v>
      </x:c>
      <x:c r="W914" s="55" t="n">
        <x:v>7504</x:v>
      </x:c>
      <x:c r="X914" s="55" t="n">
        <x:v>2852</x:v>
      </x:c>
      <x:c r="Y914" s="55" t="n">
        <x:v>2442</x:v>
      </x:c>
      <x:c r="Z914" s="55" t="n">
        <x:v>3934</x:v>
      </x:c>
      <x:c r="AA914" s="55" t="n">
        <x:v>3076</x:v>
      </x:c>
      <x:c r="AB914" s="55" t="n">
        <x:v>1014</x:v>
      </x:c>
      <x:c r="AC914" s="55" t="n">
        <x:v>8500</x:v>
      </x:c>
      <x:c r="AD914" s="55" t="n">
        <x:v>3215</x:v>
      </x:c>
      <x:c r="AE914" s="55" t="n">
        <x:v>10529</x:v>
      </x:c>
      <x:c r="AF914" s="55" t="n">
        <x:v>10356</x:v>
      </x:c>
      <x:c r="AG914" s="55" t="n">
        <x:v>173</x:v>
      </x:c>
      <x:c r="AH914" s="55" t="n">
        <x:v>291</x:v>
      </x:c>
      <x:c r="AI914" s="55" t="n">
        <x:v>10065</x:v>
      </x:c>
      <x:c r="AJ914" s="55" t="n">
        <x:v>267</x:v>
      </x:c>
      <x:c r="AK914" s="55" t="n">
        <x:v>1248</x:v>
      </x:c>
      <x:c r="AL914" s="55" t="n">
        <x:v>1293</x:v>
      </x:c>
      <x:c r="AM914" s="55" t="n">
        <x:v>4538</x:v>
      </x:c>
      <x:c r="AN914" s="55" t="n">
        <x:v>3010</x:v>
      </x:c>
      <x:c r="AO914" s="55" t="n">
        <x:v>0</x:v>
      </x:c>
      <x:c r="AP914" s="55" t="n">
        <x:v>2388</x:v>
      </x:c>
      <x:c r="AQ914" s="55" t="n">
        <x:v>947</x:v>
      </x:c>
    </x:row>
    <x:row r="915">
      <x:c r="A915" s="54" t="str">
        <x:v>T1_SHARED_CATCHMENT</x:v>
      </x:c>
      <x:c r="B915" s="54" t="n">
        <x:v>909</x:v>
      </x:c>
      <x:c r="C915" s="54" t="str">
        <x:v>NYC-V2-R01</x:v>
      </x:c>
      <x:c r="D915" s="54" t="str">
        <x:v>V2</x:v>
      </x:c>
      <x:c r="E915" s="54" t="str">
        <x:v>ADMITTED</x:v>
      </x:c>
      <x:c r="F915" s="55" t="n">
        <x:v>30430</x:v>
      </x:c>
      <x:c r="G915" s="55" t="n">
        <x:v>6810</x:v>
      </x:c>
      <x:c r="H915" s="55" t="n">
        <x:v>3118</x:v>
      </x:c>
      <x:c r="I915" s="55" t="n">
        <x:v>955</x:v>
      </x:c>
      <x:c r="J915" s="55" t="n">
        <x:v>265</x:v>
      </x:c>
      <x:c r="K915" s="55" t="n">
        <x:v>30430</x:v>
      </x:c>
      <x:c r="L915" s="55" t="n">
        <x:v>4719</x:v>
      </x:c>
      <x:c r="M915" s="55" t="n">
        <x:v>553</x:v>
      </x:c>
      <x:c r="N915" s="55" t="n">
        <x:v>2720</x:v>
      </x:c>
      <x:c r="O915" s="55" t="n">
        <x:v>1446</x:v>
      </x:c>
      <x:c r="P915" s="55" t="n">
        <x:v>663</x:v>
      </x:c>
      <x:c r="Q915" s="55" t="n">
        <x:v>1870</x:v>
      </x:c>
      <x:c r="R915" s="55" t="n">
        <x:v>1617</x:v>
      </x:c>
      <x:c r="S915" s="55" t="n">
        <x:v>2425</x:v>
      </x:c>
      <x:c r="T915" s="55" t="n">
        <x:v>658</x:v>
      </x:c>
      <x:c r="U915" s="55" t="n">
        <x:v>1404</x:v>
      </x:c>
      <x:c r="V915" s="55" t="n">
        <x:v>9940</x:v>
      </x:c>
      <x:c r="W915" s="55" t="n">
        <x:v>6934</x:v>
      </x:c>
      <x:c r="X915" s="55" t="n">
        <x:v>3006</x:v>
      </x:c>
      <x:c r="Y915" s="55" t="n">
        <x:v>2579</x:v>
      </x:c>
      <x:c r="Z915" s="55" t="n">
        <x:v>3642</x:v>
      </x:c>
      <x:c r="AA915" s="55" t="n">
        <x:v>3118</x:v>
      </x:c>
      <x:c r="AB915" s="55" t="n">
        <x:v>866</x:v>
      </x:c>
      <x:c r="AC915" s="55" t="n">
        <x:v>7642</x:v>
      </x:c>
      <x:c r="AD915" s="55" t="n">
        <x:v>3010</x:v>
      </x:c>
      <x:c r="AE915" s="55" t="n">
        <x:v>9978</x:v>
      </x:c>
      <x:c r="AF915" s="55" t="n">
        <x:v>9940</x:v>
      </x:c>
      <x:c r="AG915" s="55" t="n">
        <x:v>38</x:v>
      </x:c>
      <x:c r="AH915" s="55" t="n">
        <x:v>280</x:v>
      </x:c>
      <x:c r="AI915" s="55" t="n">
        <x:v>9660</x:v>
      </x:c>
      <x:c r="AJ915" s="55" t="n">
        <x:v>471</x:v>
      </x:c>
      <x:c r="AK915" s="55" t="n">
        <x:v>1213</x:v>
      </x:c>
      <x:c r="AL915" s="55" t="n">
        <x:v>1678</x:v>
      </x:c>
      <x:c r="AM915" s="55" t="n">
        <x:v>4076</x:v>
      </x:c>
      <x:c r="AN915" s="55" t="n">
        <x:v>2502</x:v>
      </x:c>
      <x:c r="AO915" s="55" t="n">
        <x:v>0</x:v>
      </x:c>
      <x:c r="AP915" s="55" t="n">
        <x:v>2272</x:v>
      </x:c>
      <x:c r="AQ915" s="55" t="n">
        <x:v>965</x:v>
      </x:c>
    </x:row>
    <x:row r="916">
      <x:c r="A916" s="54" t="str">
        <x:v>T1_SHARED_CATCHMENT</x:v>
      </x:c>
      <x:c r="B916" s="54" t="n">
        <x:v>910</x:v>
      </x:c>
      <x:c r="C916" s="54" t="str">
        <x:v>NYC-V2-R01</x:v>
      </x:c>
      <x:c r="D916" s="54" t="str">
        <x:v>V2</x:v>
      </x:c>
      <x:c r="E916" s="54" t="str">
        <x:v>ADMITTED</x:v>
      </x:c>
      <x:c r="F916" s="55" t="n">
        <x:v>31738</x:v>
      </x:c>
      <x:c r="G916" s="55" t="n">
        <x:v>8915</x:v>
      </x:c>
      <x:c r="H916" s="55" t="n">
        <x:v>3289</x:v>
      </x:c>
      <x:c r="I916" s="55" t="n">
        <x:v>1307</x:v>
      </x:c>
      <x:c r="J916" s="55" t="n">
        <x:v>229</x:v>
      </x:c>
      <x:c r="K916" s="55" t="n">
        <x:v>30982</x:v>
      </x:c>
      <x:c r="L916" s="55" t="n">
        <x:v>5781</x:v>
      </x:c>
      <x:c r="M916" s="55" t="n">
        <x:v>1580</x:v>
      </x:c>
      <x:c r="N916" s="55" t="n">
        <x:v>2690</x:v>
      </x:c>
      <x:c r="O916" s="55" t="n">
        <x:v>1511</x:v>
      </x:c>
      <x:c r="P916" s="55" t="n">
        <x:v>1103</x:v>
      </x:c>
      <x:c r="Q916" s="55" t="n">
        <x:v>2913</x:v>
      </x:c>
      <x:c r="R916" s="55" t="n">
        <x:v>1882</x:v>
      </x:c>
      <x:c r="S916" s="55" t="n">
        <x:v>3435</x:v>
      </x:c>
      <x:c r="T916" s="55" t="n">
        <x:v>1389</x:v>
      </x:c>
      <x:c r="U916" s="55" t="n">
        <x:v>1911</x:v>
      </x:c>
      <x:c r="V916" s="55" t="n">
        <x:v>10083</x:v>
      </x:c>
      <x:c r="W916" s="55" t="n">
        <x:v>7071</x:v>
      </x:c>
      <x:c r="X916" s="55" t="n">
        <x:v>3012</x:v>
      </x:c>
      <x:c r="Y916" s="55" t="n">
        <x:v>2594</x:v>
      </x:c>
      <x:c r="Z916" s="55" t="n">
        <x:v>4438</x:v>
      </x:c>
      <x:c r="AA916" s="55" t="n">
        <x:v>3245</x:v>
      </x:c>
      <x:c r="AB916" s="55" t="n">
        <x:v>1591</x:v>
      </x:c>
      <x:c r="AC916" s="55" t="n">
        <x:v>8520</x:v>
      </x:c>
      <x:c r="AD916" s="55" t="n">
        <x:v>2744</x:v>
      </x:c>
      <x:c r="AE916" s="55" t="n">
        <x:v>10337</x:v>
      </x:c>
      <x:c r="AF916" s="55" t="n">
        <x:v>10083</x:v>
      </x:c>
      <x:c r="AG916" s="55" t="n">
        <x:v>254</x:v>
      </x:c>
      <x:c r="AH916" s="55" t="n">
        <x:v>444</x:v>
      </x:c>
      <x:c r="AI916" s="55" t="n">
        <x:v>9639</x:v>
      </x:c>
      <x:c r="AJ916" s="55" t="n">
        <x:v>230</x:v>
      </x:c>
      <x:c r="AK916" s="55" t="n">
        <x:v>1121</x:v>
      </x:c>
      <x:c r="AL916" s="55" t="n">
        <x:v>930</x:v>
      </x:c>
      <x:c r="AM916" s="55" t="n">
        <x:v>5220</x:v>
      </x:c>
      <x:c r="AN916" s="55" t="n">
        <x:v>2546</x:v>
      </x:c>
      <x:c r="AO916" s="55" t="n">
        <x:v>36</x:v>
      </x:c>
      <x:c r="AP916" s="55" t="n">
        <x:v>2212</x:v>
      </x:c>
      <x:c r="AQ916" s="55" t="n">
        <x:v>971</x:v>
      </x:c>
    </x:row>
    <x:row r="917">
      <x:c r="A917" s="54" t="str">
        <x:v>T1_SHARED_CATCHMENT</x:v>
      </x:c>
      <x:c r="B917" s="54" t="n">
        <x:v>911</x:v>
      </x:c>
      <x:c r="C917" s="54" t="str">
        <x:v>NYC-V2-R01</x:v>
      </x:c>
      <x:c r="D917" s="54" t="str">
        <x:v>V2</x:v>
      </x:c>
      <x:c r="E917" s="54" t="str">
        <x:v>ADMITTED</x:v>
      </x:c>
      <x:c r="F917" s="55" t="n">
        <x:v>32581</x:v>
      </x:c>
      <x:c r="G917" s="55" t="n">
        <x:v>8911</x:v>
      </x:c>
      <x:c r="H917" s="55" t="n">
        <x:v>3199</x:v>
      </x:c>
      <x:c r="I917" s="55" t="n">
        <x:v>1277</x:v>
      </x:c>
      <x:c r="J917" s="55" t="n">
        <x:v>300</x:v>
      </x:c>
      <x:c r="K917" s="55" t="n">
        <x:v>28830</x:v>
      </x:c>
      <x:c r="L917" s="55" t="n">
        <x:v>5934</x:v>
      </x:c>
      <x:c r="M917" s="55" t="n">
        <x:v>913</x:v>
      </x:c>
      <x:c r="N917" s="55" t="n">
        <x:v>3070</x:v>
      </x:c>
      <x:c r="O917" s="55" t="n">
        <x:v>1951</x:v>
      </x:c>
      <x:c r="P917" s="55" t="n">
        <x:v>887</x:v>
      </x:c>
      <x:c r="Q917" s="55" t="n">
        <x:v>2176</x:v>
      </x:c>
      <x:c r="R917" s="55" t="n">
        <x:v>1854</x:v>
      </x:c>
      <x:c r="S917" s="55" t="n">
        <x:v>2897</x:v>
      </x:c>
      <x:c r="T917" s="55" t="n">
        <x:v>1438</x:v>
      </x:c>
      <x:c r="U917" s="55" t="n">
        <x:v>2341</x:v>
      </x:c>
      <x:c r="V917" s="55" t="n">
        <x:v>10822</x:v>
      </x:c>
      <x:c r="W917" s="55" t="n">
        <x:v>7584</x:v>
      </x:c>
      <x:c r="X917" s="55" t="n">
        <x:v>3238</x:v>
      </x:c>
      <x:c r="Y917" s="55" t="n">
        <x:v>2805</x:v>
      </x:c>
      <x:c r="Z917" s="55" t="n">
        <x:v>3077</x:v>
      </x:c>
      <x:c r="AA917" s="55" t="n">
        <x:v>3199</x:v>
      </x:c>
      <x:c r="AB917" s="55" t="n">
        <x:v>1027</x:v>
      </x:c>
      <x:c r="AC917" s="55" t="n">
        <x:v>7765</x:v>
      </x:c>
      <x:c r="AD917" s="55" t="n">
        <x:v>3123</x:v>
      </x:c>
      <x:c r="AE917" s="55" t="n">
        <x:v>10830</x:v>
      </x:c>
      <x:c r="AF917" s="55" t="n">
        <x:v>10822</x:v>
      </x:c>
      <x:c r="AG917" s="55" t="n">
        <x:v>8</x:v>
      </x:c>
      <x:c r="AH917" s="55" t="n">
        <x:v>543</x:v>
      </x:c>
      <x:c r="AI917" s="55" t="n">
        <x:v>10279</x:v>
      </x:c>
      <x:c r="AJ917" s="55" t="n">
        <x:v>389</x:v>
      </x:c>
      <x:c r="AK917" s="55" t="n">
        <x:v>1201</x:v>
      </x:c>
      <x:c r="AL917" s="55" t="n">
        <x:v>1960</x:v>
      </x:c>
      <x:c r="AM917" s="55" t="n">
        <x:v>4561</x:v>
      </x:c>
      <x:c r="AN917" s="55" t="n">
        <x:v>2711</x:v>
      </x:c>
      <x:c r="AO917" s="55" t="n">
        <x:v>0</x:v>
      </x:c>
      <x:c r="AP917" s="55" t="n">
        <x:v>2539</x:v>
      </x:c>
      <x:c r="AQ917" s="55" t="n">
        <x:v>959</x:v>
      </x:c>
    </x:row>
    <x:row r="918">
      <x:c r="A918" s="54" t="str">
        <x:v>T1_SHARED_CATCHMENT</x:v>
      </x:c>
      <x:c r="B918" s="54" t="n">
        <x:v>912</x:v>
      </x:c>
      <x:c r="C918" s="54" t="str">
        <x:v>NYC-V2-R01</x:v>
      </x:c>
      <x:c r="D918" s="54" t="str">
        <x:v>V2</x:v>
      </x:c>
      <x:c r="E918" s="54" t="str">
        <x:v>ADMITTED</x:v>
      </x:c>
      <x:c r="F918" s="55" t="n">
        <x:v>31417</x:v>
      </x:c>
      <x:c r="G918" s="55" t="n">
        <x:v>7979</x:v>
      </x:c>
      <x:c r="H918" s="55" t="n">
        <x:v>3570</x:v>
      </x:c>
      <x:c r="I918" s="55" t="n">
        <x:v>1607</x:v>
      </x:c>
      <x:c r="J918" s="55" t="n">
        <x:v>246</x:v>
      </x:c>
      <x:c r="K918" s="55" t="n">
        <x:v>30957</x:v>
      </x:c>
      <x:c r="L918" s="55" t="n">
        <x:v>5746</x:v>
      </x:c>
      <x:c r="M918" s="55" t="n">
        <x:v>2117</x:v>
      </x:c>
      <x:c r="N918" s="55" t="n">
        <x:v>2416</x:v>
      </x:c>
      <x:c r="O918" s="55" t="n">
        <x:v>1213</x:v>
      </x:c>
      <x:c r="P918" s="55" t="n">
        <x:v>720</x:v>
      </x:c>
      <x:c r="Q918" s="55" t="n">
        <x:v>2674</x:v>
      </x:c>
      <x:c r="R918" s="55" t="n">
        <x:v>2304</x:v>
      </x:c>
      <x:c r="S918" s="55" t="n">
        <x:v>3107</x:v>
      </x:c>
      <x:c r="T918" s="55" t="n">
        <x:v>991</x:v>
      </x:c>
      <x:c r="U918" s="55" t="n">
        <x:v>2234</x:v>
      </x:c>
      <x:c r="V918" s="55" t="n">
        <x:v>10432</x:v>
      </x:c>
      <x:c r="W918" s="55" t="n">
        <x:v>7254</x:v>
      </x:c>
      <x:c r="X918" s="55" t="n">
        <x:v>3178</x:v>
      </x:c>
      <x:c r="Y918" s="55" t="n">
        <x:v>2929</x:v>
      </x:c>
      <x:c r="Z918" s="55" t="n">
        <x:v>3899</x:v>
      </x:c>
      <x:c r="AA918" s="55" t="n">
        <x:v>2653</x:v>
      </x:c>
      <x:c r="AB918" s="55" t="n">
        <x:v>1046</x:v>
      </x:c>
      <x:c r="AC918" s="55" t="n">
        <x:v>8462</x:v>
      </x:c>
      <x:c r="AD918" s="55" t="n">
        <x:v>3267</x:v>
      </x:c>
      <x:c r="AE918" s="55" t="n">
        <x:v>10536</x:v>
      </x:c>
      <x:c r="AF918" s="55" t="n">
        <x:v>10432</x:v>
      </x:c>
      <x:c r="AG918" s="55" t="n">
        <x:v>104</x:v>
      </x:c>
      <x:c r="AH918" s="55" t="n">
        <x:v>224</x:v>
      </x:c>
      <x:c r="AI918" s="55" t="n">
        <x:v>10208</x:v>
      </x:c>
      <x:c r="AJ918" s="55" t="n">
        <x:v>213</x:v>
      </x:c>
      <x:c r="AK918" s="55" t="n">
        <x:v>1100</x:v>
      </x:c>
      <x:c r="AL918" s="55" t="n">
        <x:v>1748</x:v>
      </x:c>
      <x:c r="AM918" s="55" t="n">
        <x:v>5108</x:v>
      </x:c>
      <x:c r="AN918" s="55" t="n">
        <x:v>2234</x:v>
      </x:c>
      <x:c r="AO918" s="55" t="n">
        <x:v>29</x:v>
      </x:c>
      <x:c r="AP918" s="55" t="n">
        <x:v>2719</x:v>
      </x:c>
      <x:c r="AQ918" s="55" t="n">
        <x:v>941</x:v>
      </x:c>
    </x:row>
    <x:row r="919">
      <x:c r="A919" s="54" t="str">
        <x:v>T1_SHARED_CATCHMENT</x:v>
      </x:c>
      <x:c r="B919" s="54" t="n">
        <x:v>913</x:v>
      </x:c>
      <x:c r="C919" s="54" t="str">
        <x:v>NYC-V2-R01</x:v>
      </x:c>
      <x:c r="D919" s="54" t="str">
        <x:v>V2</x:v>
      </x:c>
      <x:c r="E919" s="54" t="str">
        <x:v>ADMITTED</x:v>
      </x:c>
      <x:c r="F919" s="55" t="n">
        <x:v>32987</x:v>
      </x:c>
      <x:c r="G919" s="55" t="n">
        <x:v>8067</x:v>
      </x:c>
      <x:c r="H919" s="55" t="n">
        <x:v>3518</x:v>
      </x:c>
      <x:c r="I919" s="55" t="n">
        <x:v>1331</x:v>
      </x:c>
      <x:c r="J919" s="55" t="n">
        <x:v>305</x:v>
      </x:c>
      <x:c r="K919" s="55" t="n">
        <x:v>32987</x:v>
      </x:c>
      <x:c r="L919" s="55" t="n">
        <x:v>6377</x:v>
      </x:c>
      <x:c r="M919" s="55" t="n">
        <x:v>1673</x:v>
      </x:c>
      <x:c r="N919" s="55" t="n">
        <x:v>2791</x:v>
      </x:c>
      <x:c r="O919" s="55" t="n">
        <x:v>1913</x:v>
      </x:c>
      <x:c r="P919" s="55" t="n">
        <x:v>919</x:v>
      </x:c>
      <x:c r="Q919" s="55" t="n">
        <x:v>2927</x:v>
      </x:c>
      <x:c r="R919" s="55" t="n">
        <x:v>2268</x:v>
      </x:c>
      <x:c r="S919" s="55" t="n">
        <x:v>2830</x:v>
      </x:c>
      <x:c r="T919" s="55" t="n">
        <x:v>1311</x:v>
      </x:c>
      <x:c r="U919" s="55" t="n">
        <x:v>1878</x:v>
      </x:c>
      <x:c r="V919" s="55" t="n">
        <x:v>10126</x:v>
      </x:c>
      <x:c r="W919" s="55" t="n">
        <x:v>6619</x:v>
      </x:c>
      <x:c r="X919" s="55" t="n">
        <x:v>3507</x:v>
      </x:c>
      <x:c r="Y919" s="55" t="n">
        <x:v>3197</x:v>
      </x:c>
      <x:c r="Z919" s="55" t="n">
        <x:v>3522</x:v>
      </x:c>
      <x:c r="AA919" s="55" t="n">
        <x:v>3518</x:v>
      </x:c>
      <x:c r="AB919" s="55" t="n">
        <x:v>1351</x:v>
      </x:c>
      <x:c r="AC919" s="55" t="n">
        <x:v>8588</x:v>
      </x:c>
      <x:c r="AD919" s="55" t="n">
        <x:v>3280</x:v>
      </x:c>
      <x:c r="AE919" s="55" t="n">
        <x:v>10313</x:v>
      </x:c>
      <x:c r="AF919" s="55" t="n">
        <x:v>10126</x:v>
      </x:c>
      <x:c r="AG919" s="55" t="n">
        <x:v>187</x:v>
      </x:c>
      <x:c r="AH919" s="55" t="n">
        <x:v>591</x:v>
      </x:c>
      <x:c r="AI919" s="55" t="n">
        <x:v>9535</x:v>
      </x:c>
      <x:c r="AJ919" s="55" t="n">
        <x:v>236</x:v>
      </x:c>
      <x:c r="AK919" s="55" t="n">
        <x:v>1014</x:v>
      </x:c>
      <x:c r="AL919" s="55" t="n">
        <x:v>1888</x:v>
      </x:c>
      <x:c r="AM919" s="55" t="n">
        <x:v>4623</x:v>
      </x:c>
      <x:c r="AN919" s="55" t="n">
        <x:v>2365</x:v>
      </x:c>
      <x:c r="AO919" s="55" t="n">
        <x:v>0</x:v>
      </x:c>
      <x:c r="AP919" s="55" t="n">
        <x:v>3017</x:v>
      </x:c>
      <x:c r="AQ919" s="55" t="n">
        <x:v>950</x:v>
      </x:c>
    </x:row>
    <x:row r="920">
      <x:c r="A920" s="54" t="str">
        <x:v>T1_SHARED_CATCHMENT</x:v>
      </x:c>
      <x:c r="B920" s="54" t="n">
        <x:v>914</x:v>
      </x:c>
      <x:c r="C920" s="54" t="str">
        <x:v>NYC-V2-R01</x:v>
      </x:c>
      <x:c r="D920" s="54" t="str">
        <x:v>V2</x:v>
      </x:c>
      <x:c r="E920" s="54" t="str">
        <x:v>ADMITTED</x:v>
      </x:c>
      <x:c r="F920" s="55" t="n">
        <x:v>32681</x:v>
      </x:c>
      <x:c r="G920" s="55" t="n">
        <x:v>8421</x:v>
      </x:c>
      <x:c r="H920" s="55" t="n">
        <x:v>3637</x:v>
      </x:c>
      <x:c r="I920" s="55" t="n">
        <x:v>1635</x:v>
      </x:c>
      <x:c r="J920" s="55" t="n">
        <x:v>349</x:v>
      </x:c>
      <x:c r="K920" s="55" t="n">
        <x:v>32681</x:v>
      </x:c>
      <x:c r="L920" s="55" t="n">
        <x:v>6321</x:v>
      </x:c>
      <x:c r="M920" s="55" t="n">
        <x:v>834</x:v>
      </x:c>
      <x:c r="N920" s="55" t="n">
        <x:v>3274</x:v>
      </x:c>
      <x:c r="O920" s="55" t="n">
        <x:v>2213</x:v>
      </x:c>
      <x:c r="P920" s="55" t="n">
        <x:v>790</x:v>
      </x:c>
      <x:c r="Q920" s="55" t="n">
        <x:v>2564</x:v>
      </x:c>
      <x:c r="R920" s="55" t="n">
        <x:v>1881</x:v>
      </x:c>
      <x:c r="S920" s="55" t="n">
        <x:v>2830</x:v>
      </x:c>
      <x:c r="T920" s="55" t="n">
        <x:v>731</x:v>
      </x:c>
      <x:c r="U920" s="55" t="n">
        <x:v>1741</x:v>
      </x:c>
      <x:c r="V920" s="55" t="n">
        <x:v>11283</x:v>
      </x:c>
      <x:c r="W920" s="55" t="n">
        <x:v>8154</x:v>
      </x:c>
      <x:c r="X920" s="55" t="n">
        <x:v>3129</x:v>
      </x:c>
      <x:c r="Y920" s="55" t="n">
        <x:v>2556</x:v>
      </x:c>
      <x:c r="Z920" s="55" t="n">
        <x:v>3907</x:v>
      </x:c>
      <x:c r="AA920" s="55" t="n">
        <x:v>3637</x:v>
      </x:c>
      <x:c r="AB920" s="55" t="n">
        <x:v>1387</x:v>
      </x:c>
      <x:c r="AC920" s="55" t="n">
        <x:v>8124</x:v>
      </x:c>
      <x:c r="AD920" s="55" t="n">
        <x:v>2938</x:v>
      </x:c>
      <x:c r="AE920" s="55" t="n">
        <x:v>11372</x:v>
      </x:c>
      <x:c r="AF920" s="55" t="n">
        <x:v>11283</x:v>
      </x:c>
      <x:c r="AG920" s="55" t="n">
        <x:v>89</x:v>
      </x:c>
      <x:c r="AH920" s="55" t="n">
        <x:v>689</x:v>
      </x:c>
      <x:c r="AI920" s="55" t="n">
        <x:v>10594</x:v>
      </x:c>
      <x:c r="AJ920" s="55" t="n">
        <x:v>399</x:v>
      </x:c>
      <x:c r="AK920" s="55" t="n">
        <x:v>1072</x:v>
      </x:c>
      <x:c r="AL920" s="55" t="n">
        <x:v>1644</x:v>
      </x:c>
      <x:c r="AM920" s="55" t="n">
        <x:v>4977</x:v>
      </x:c>
      <x:c r="AN920" s="55" t="n">
        <x:v>3181</x:v>
      </x:c>
      <x:c r="AO920" s="55" t="n">
        <x:v>10</x:v>
      </x:c>
      <x:c r="AP920" s="55" t="n">
        <x:v>2408</x:v>
      </x:c>
      <x:c r="AQ920" s="55" t="n">
        <x:v>927</x:v>
      </x:c>
    </x:row>
    <x:row r="921">
      <x:c r="A921" s="54" t="str">
        <x:v>T1_SHARED_CATCHMENT</x:v>
      </x:c>
      <x:c r="B921" s="54" t="n">
        <x:v>915</x:v>
      </x:c>
      <x:c r="C921" s="54" t="str">
        <x:v>NYC-V2-R01</x:v>
      </x:c>
      <x:c r="D921" s="54" t="str">
        <x:v>V2</x:v>
      </x:c>
      <x:c r="E921" s="54" t="str">
        <x:v>ADMITTED</x:v>
      </x:c>
      <x:c r="F921" s="55" t="n">
        <x:v>33108</x:v>
      </x:c>
      <x:c r="G921" s="55" t="n">
        <x:v>8259</x:v>
      </x:c>
      <x:c r="H921" s="55" t="n">
        <x:v>3035</x:v>
      </x:c>
      <x:c r="I921" s="55" t="n">
        <x:v>981</x:v>
      </x:c>
      <x:c r="J921" s="55" t="n">
        <x:v>81</x:v>
      </x:c>
      <x:c r="K921" s="55" t="n">
        <x:v>25731</x:v>
      </x:c>
      <x:c r="L921" s="55" t="n">
        <x:v>5287</x:v>
      </x:c>
      <x:c r="M921" s="55" t="n">
        <x:v>907</x:v>
      </x:c>
      <x:c r="N921" s="55" t="n">
        <x:v>2379</x:v>
      </x:c>
      <x:c r="O921" s="55" t="n">
        <x:v>2001</x:v>
      </x:c>
      <x:c r="P921" s="55" t="n">
        <x:v>1066</x:v>
      </x:c>
      <x:c r="Q921" s="55" t="n">
        <x:v>1613</x:v>
      </x:c>
      <x:c r="R921" s="55" t="n">
        <x:v>1854</x:v>
      </x:c>
      <x:c r="S921" s="55" t="n">
        <x:v>2485</x:v>
      </x:c>
      <x:c r="T921" s="55" t="n">
        <x:v>1394</x:v>
      </x:c>
      <x:c r="U921" s="55" t="n">
        <x:v>1954</x:v>
      </x:c>
      <x:c r="V921" s="55" t="n">
        <x:v>10377</x:v>
      </x:c>
      <x:c r="W921" s="55" t="n">
        <x:v>7599</x:v>
      </x:c>
      <x:c r="X921" s="55" t="n">
        <x:v>2778</x:v>
      </x:c>
      <x:c r="Y921" s="55" t="n">
        <x:v>2263</x:v>
      </x:c>
      <x:c r="Z921" s="55" t="n">
        <x:v>3985</x:v>
      </x:c>
      <x:c r="AA921" s="55" t="n">
        <x:v>3035</x:v>
      </x:c>
      <x:c r="AB921" s="55" t="n">
        <x:v>924</x:v>
      </x:c>
      <x:c r="AC921" s="55" t="n">
        <x:v>7469</x:v>
      </x:c>
      <x:c r="AD921" s="55" t="n">
        <x:v>3147</x:v>
      </x:c>
      <x:c r="AE921" s="55" t="n">
        <x:v>10409</x:v>
      </x:c>
      <x:c r="AF921" s="55" t="n">
        <x:v>10377</x:v>
      </x:c>
      <x:c r="AG921" s="55" t="n">
        <x:v>32</x:v>
      </x:c>
      <x:c r="AH921" s="55" t="n">
        <x:v>252</x:v>
      </x:c>
      <x:c r="AI921" s="55" t="n">
        <x:v>10125</x:v>
      </x:c>
      <x:c r="AJ921" s="55" t="n">
        <x:v>383</x:v>
      </x:c>
      <x:c r="AK921" s="55" t="n">
        <x:v>888</x:v>
      </x:c>
      <x:c r="AL921" s="55" t="n">
        <x:v>1787</x:v>
      </x:c>
      <x:c r="AM921" s="55" t="n">
        <x:v>5034</x:v>
      </x:c>
      <x:c r="AN921" s="55" t="n">
        <x:v>2285</x:v>
      </x:c>
      <x:c r="AO921" s="55" t="n">
        <x:v>0</x:v>
      </x:c>
      <x:c r="AP921" s="55" t="n">
        <x:v>2085</x:v>
      </x:c>
      <x:c r="AQ921" s="55" t="n">
        <x:v>980</x:v>
      </x:c>
    </x:row>
    <x:row r="922">
      <x:c r="A922" s="54" t="str">
        <x:v>T1_SHARED_CATCHMENT</x:v>
      </x:c>
      <x:c r="B922" s="54" t="n">
        <x:v>916</x:v>
      </x:c>
      <x:c r="C922" s="54" t="str">
        <x:v>NYC-V2-R01</x:v>
      </x:c>
      <x:c r="D922" s="54" t="str">
        <x:v>V2</x:v>
      </x:c>
      <x:c r="E922" s="54" t="str">
        <x:v>ADMITTED</x:v>
      </x:c>
      <x:c r="F922" s="55" t="n">
        <x:v>31975</x:v>
      </x:c>
      <x:c r="G922" s="55" t="n">
        <x:v>7614</x:v>
      </x:c>
      <x:c r="H922" s="55" t="n">
        <x:v>3400</x:v>
      </x:c>
      <x:c r="I922" s="55" t="n">
        <x:v>1689</x:v>
      </x:c>
      <x:c r="J922" s="55" t="n">
        <x:v>144</x:v>
      </x:c>
      <x:c r="K922" s="55" t="n">
        <x:v>29713</x:v>
      </x:c>
      <x:c r="L922" s="55" t="n">
        <x:v>5302</x:v>
      </x:c>
      <x:c r="M922" s="55" t="n">
        <x:v>939</x:v>
      </x:c>
      <x:c r="N922" s="55" t="n">
        <x:v>2923</x:v>
      </x:c>
      <x:c r="O922" s="55" t="n">
        <x:v>1440</x:v>
      </x:c>
      <x:c r="P922" s="55" t="n">
        <x:v>1213</x:v>
      </x:c>
      <x:c r="Q922" s="55" t="n">
        <x:v>2196</x:v>
      </x:c>
      <x:c r="R922" s="55" t="n">
        <x:v>2338</x:v>
      </x:c>
      <x:c r="S922" s="55" t="n">
        <x:v>3214</x:v>
      </x:c>
      <x:c r="T922" s="55" t="n">
        <x:v>1198</x:v>
      </x:c>
      <x:c r="U922" s="55" t="n">
        <x:v>2220</x:v>
      </x:c>
      <x:c r="V922" s="55" t="n">
        <x:v>10165</x:v>
      </x:c>
      <x:c r="W922" s="55" t="n">
        <x:v>7446</x:v>
      </x:c>
      <x:c r="X922" s="55" t="n">
        <x:v>2719</x:v>
      </x:c>
      <x:c r="Y922" s="55" t="n">
        <x:v>2268</x:v>
      </x:c>
      <x:c r="Z922" s="55" t="n">
        <x:v>3391</x:v>
      </x:c>
      <x:c r="AA922" s="55" t="n">
        <x:v>2562</x:v>
      </x:c>
      <x:c r="AB922" s="55" t="n">
        <x:v>1089</x:v>
      </x:c>
      <x:c r="AC922" s="55" t="n">
        <x:v>8245</x:v>
      </x:c>
      <x:c r="AD922" s="55" t="n">
        <x:v>3067</x:v>
      </x:c>
      <x:c r="AE922" s="55" t="n">
        <x:v>10273</x:v>
      </x:c>
      <x:c r="AF922" s="55" t="n">
        <x:v>10165</x:v>
      </x:c>
      <x:c r="AG922" s="55" t="n">
        <x:v>108</x:v>
      </x:c>
      <x:c r="AH922" s="55" t="n">
        <x:v>274</x:v>
      </x:c>
      <x:c r="AI922" s="55" t="n">
        <x:v>9891</x:v>
      </x:c>
      <x:c r="AJ922" s="55" t="n">
        <x:v>373</x:v>
      </x:c>
      <x:c r="AK922" s="55" t="n">
        <x:v>910</x:v>
      </x:c>
      <x:c r="AL922" s="55" t="n">
        <x:v>1548</x:v>
      </x:c>
      <x:c r="AM922" s="55" t="n">
        <x:v>4435</x:v>
      </x:c>
      <x:c r="AN922" s="55" t="n">
        <x:v>2899</x:v>
      </x:c>
      <x:c r="AO922" s="55" t="n">
        <x:v>0</x:v>
      </x:c>
      <x:c r="AP922" s="55" t="n">
        <x:v>2060</x:v>
      </x:c>
      <x:c r="AQ922" s="55" t="n">
        <x:v>958</x:v>
      </x:c>
    </x:row>
    <x:row r="923">
      <x:c r="A923" s="54" t="str">
        <x:v>T1_SHARED_CATCHMENT</x:v>
      </x:c>
      <x:c r="B923" s="54" t="n">
        <x:v>917</x:v>
      </x:c>
      <x:c r="C923" s="54" t="str">
        <x:v>NYC-V2-R01</x:v>
      </x:c>
      <x:c r="D923" s="54" t="str">
        <x:v>V2</x:v>
      </x:c>
      <x:c r="E923" s="54" t="str">
        <x:v>ADMITTED</x:v>
      </x:c>
      <x:c r="F923" s="55" t="n">
        <x:v>31919</x:v>
      </x:c>
      <x:c r="G923" s="55" t="n">
        <x:v>9361</x:v>
      </x:c>
      <x:c r="H923" s="55" t="n">
        <x:v>3277</x:v>
      </x:c>
      <x:c r="I923" s="55" t="n">
        <x:v>971</x:v>
      </x:c>
      <x:c r="J923" s="55" t="n">
        <x:v>321</x:v>
      </x:c>
      <x:c r="K923" s="55" t="n">
        <x:v>31300</x:v>
      </x:c>
      <x:c r="L923" s="55" t="n">
        <x:v>7206</x:v>
      </x:c>
      <x:c r="M923" s="55" t="n">
        <x:v>2760</x:v>
      </x:c>
      <x:c r="N923" s="55" t="n">
        <x:v>2475</x:v>
      </x:c>
      <x:c r="O923" s="55" t="n">
        <x:v>1971</x:v>
      </x:c>
      <x:c r="P923" s="55" t="n">
        <x:v>995</x:v>
      </x:c>
      <x:c r="Q923" s="55" t="n">
        <x:v>3196</x:v>
      </x:c>
      <x:c r="R923" s="55" t="n">
        <x:v>2341</x:v>
      </x:c>
      <x:c r="S923" s="55" t="n">
        <x:v>2834</x:v>
      </x:c>
      <x:c r="T923" s="55" t="n">
        <x:v>1332</x:v>
      </x:c>
      <x:c r="U923" s="55" t="n">
        <x:v>2712</x:v>
      </x:c>
      <x:c r="V923" s="55" t="n">
        <x:v>10747</x:v>
      </x:c>
      <x:c r="W923" s="55" t="n">
        <x:v>7809</x:v>
      </x:c>
      <x:c r="X923" s="55" t="n">
        <x:v>2938</x:v>
      </x:c>
      <x:c r="Y923" s="55" t="n">
        <x:v>2734</x:v>
      </x:c>
      <x:c r="Z923" s="55" t="n">
        <x:v>3882</x:v>
      </x:c>
      <x:c r="AA923" s="55" t="n">
        <x:v>2893</x:v>
      </x:c>
      <x:c r="AB923" s="55" t="n">
        <x:v>1329</x:v>
      </x:c>
      <x:c r="AC923" s="55" t="n">
        <x:v>7927</x:v>
      </x:c>
      <x:c r="AD923" s="55" t="n">
        <x:v>3710</x:v>
      </x:c>
      <x:c r="AE923" s="55" t="n">
        <x:v>10793</x:v>
      </x:c>
      <x:c r="AF923" s="55" t="n">
        <x:v>10747</x:v>
      </x:c>
      <x:c r="AG923" s="55" t="n">
        <x:v>46</x:v>
      </x:c>
      <x:c r="AH923" s="55" t="n">
        <x:v>379</x:v>
      </x:c>
      <x:c r="AI923" s="55" t="n">
        <x:v>10368</x:v>
      </x:c>
      <x:c r="AJ923" s="55" t="n">
        <x:v>389</x:v>
      </x:c>
      <x:c r="AK923" s="55" t="n">
        <x:v>1052</x:v>
      </x:c>
      <x:c r="AL923" s="55" t="n">
        <x:v>1499</x:v>
      </x:c>
      <x:c r="AM923" s="55" t="n">
        <x:v>4648</x:v>
      </x:c>
      <x:c r="AN923" s="55" t="n">
        <x:v>3113</x:v>
      </x:c>
      <x:c r="AO923" s="55" t="n">
        <x:v>46</x:v>
      </x:c>
      <x:c r="AP923" s="55" t="n">
        <x:v>2204</x:v>
      </x:c>
      <x:c r="AQ923" s="55" t="n">
        <x:v>1019</x:v>
      </x:c>
    </x:row>
    <x:row r="924">
      <x:c r="A924" s="54" t="str">
        <x:v>T1_SHARED_CATCHMENT</x:v>
      </x:c>
      <x:c r="B924" s="54" t="n">
        <x:v>918</x:v>
      </x:c>
      <x:c r="C924" s="54" t="str">
        <x:v>NYC-V2-R01</x:v>
      </x:c>
      <x:c r="D924" s="54" t="str">
        <x:v>V2</x:v>
      </x:c>
      <x:c r="E924" s="54" t="str">
        <x:v>ADMITTED</x:v>
      </x:c>
      <x:c r="F924" s="55" t="n">
        <x:v>32030</x:v>
      </x:c>
      <x:c r="G924" s="55" t="n">
        <x:v>7985</x:v>
      </x:c>
      <x:c r="H924" s="55" t="n">
        <x:v>3346</x:v>
      </x:c>
      <x:c r="I924" s="55" t="n">
        <x:v>1344</x:v>
      </x:c>
      <x:c r="J924" s="55" t="n">
        <x:v>257</x:v>
      </x:c>
      <x:c r="K924" s="55" t="n">
        <x:v>30031</x:v>
      </x:c>
      <x:c r="L924" s="55" t="n">
        <x:v>4808</x:v>
      </x:c>
      <x:c r="M924" s="55" t="n">
        <x:v>314</x:v>
      </x:c>
      <x:c r="N924" s="55" t="n">
        <x:v>2471</x:v>
      </x:c>
      <x:c r="O924" s="55" t="n">
        <x:v>2023</x:v>
      </x:c>
      <x:c r="P924" s="55" t="n">
        <x:v>1122</x:v>
      </x:c>
      <x:c r="Q924" s="55" t="n">
        <x:v>3008</x:v>
      </x:c>
      <x:c r="R924" s="55" t="n">
        <x:v>1706</x:v>
      </x:c>
      <x:c r="S924" s="55" t="n">
        <x:v>2186</x:v>
      </x:c>
      <x:c r="T924" s="55" t="n">
        <x:v>1367</x:v>
      </x:c>
      <x:c r="U924" s="55" t="n">
        <x:v>1671</x:v>
      </x:c>
      <x:c r="V924" s="55" t="n">
        <x:v>10363</x:v>
      </x:c>
      <x:c r="W924" s="55" t="n">
        <x:v>7133</x:v>
      </x:c>
      <x:c r="X924" s="55" t="n">
        <x:v>3230</x:v>
      </x:c>
      <x:c r="Y924" s="55" t="n">
        <x:v>2994</x:v>
      </x:c>
      <x:c r="Z924" s="55" t="n">
        <x:v>4110</x:v>
      </x:c>
      <x:c r="AA924" s="55" t="n">
        <x:v>2704</x:v>
      </x:c>
      <x:c r="AB924" s="55" t="n">
        <x:v>1064</x:v>
      </x:c>
      <x:c r="AC924" s="55" t="n">
        <x:v>8423</x:v>
      </x:c>
      <x:c r="AD924" s="55" t="n">
        <x:v>3646</x:v>
      </x:c>
      <x:c r="AE924" s="55" t="n">
        <x:v>10446</x:v>
      </x:c>
      <x:c r="AF924" s="55" t="n">
        <x:v>10363</x:v>
      </x:c>
      <x:c r="AG924" s="55" t="n">
        <x:v>83</x:v>
      </x:c>
      <x:c r="AH924" s="55" t="n">
        <x:v>264</x:v>
      </x:c>
      <x:c r="AI924" s="55" t="n">
        <x:v>10099</x:v>
      </x:c>
      <x:c r="AJ924" s="55" t="n">
        <x:v>441</x:v>
      </x:c>
      <x:c r="AK924" s="55" t="n">
        <x:v>742</x:v>
      </x:c>
      <x:c r="AL924" s="55" t="n">
        <x:v>1543</x:v>
      </x:c>
      <x:c r="AM924" s="55" t="n">
        <x:v>5271</x:v>
      </x:c>
      <x:c r="AN924" s="55" t="n">
        <x:v>2366</x:v>
      </x:c>
      <x:c r="AO924" s="55" t="n">
        <x:v>0</x:v>
      </x:c>
      <x:c r="AP924" s="55" t="n">
        <x:v>2175</x:v>
      </x:c>
      <x:c r="AQ924" s="55" t="n">
        <x:v>939</x:v>
      </x:c>
    </x:row>
    <x:row r="925">
      <x:c r="A925" s="54" t="str">
        <x:v>T1_SHARED_CATCHMENT</x:v>
      </x:c>
      <x:c r="B925" s="54" t="n">
        <x:v>919</x:v>
      </x:c>
      <x:c r="C925" s="54" t="str">
        <x:v>NYC-V2-R01</x:v>
      </x:c>
      <x:c r="D925" s="54" t="str">
        <x:v>V2</x:v>
      </x:c>
      <x:c r="E925" s="54" t="str">
        <x:v>ADMITTED</x:v>
      </x:c>
      <x:c r="F925" s="55" t="n">
        <x:v>32471</x:v>
      </x:c>
      <x:c r="G925" s="55" t="n">
        <x:v>8691</x:v>
      </x:c>
      <x:c r="H925" s="55" t="n">
        <x:v>3012</x:v>
      </x:c>
      <x:c r="I925" s="55" t="n">
        <x:v>1283</x:v>
      </x:c>
      <x:c r="J925" s="55" t="n">
        <x:v>362</x:v>
      </x:c>
      <x:c r="K925" s="55" t="n">
        <x:v>30226</x:v>
      </x:c>
      <x:c r="L925" s="55" t="n">
        <x:v>5913</x:v>
      </x:c>
      <x:c r="M925" s="55" t="n">
        <x:v>1076</x:v>
      </x:c>
      <x:c r="N925" s="55" t="n">
        <x:v>2921</x:v>
      </x:c>
      <x:c r="O925" s="55" t="n">
        <x:v>1916</x:v>
      </x:c>
      <x:c r="P925" s="55" t="n">
        <x:v>970</x:v>
      </x:c>
      <x:c r="Q925" s="55" t="n">
        <x:v>2915</x:v>
      </x:c>
      <x:c r="R925" s="55" t="n">
        <x:v>2022</x:v>
      </x:c>
      <x:c r="S925" s="55" t="n">
        <x:v>2989</x:v>
      </x:c>
      <x:c r="T925" s="55" t="n">
        <x:v>1091</x:v>
      </x:c>
      <x:c r="U925" s="55" t="n">
        <x:v>1949</x:v>
      </x:c>
      <x:c r="V925" s="55" t="n">
        <x:v>10470</x:v>
      </x:c>
      <x:c r="W925" s="55" t="n">
        <x:v>7328</x:v>
      </x:c>
      <x:c r="X925" s="55" t="n">
        <x:v>3142</x:v>
      </x:c>
      <x:c r="Y925" s="55" t="n">
        <x:v>2366</x:v>
      </x:c>
      <x:c r="Z925" s="55" t="n">
        <x:v>3579</x:v>
      </x:c>
      <x:c r="AA925" s="55" t="n">
        <x:v>3012</x:v>
      </x:c>
      <x:c r="AB925" s="55" t="n">
        <x:v>1099</x:v>
      </x:c>
      <x:c r="AC925" s="55" t="n">
        <x:v>7928</x:v>
      </x:c>
      <x:c r="AD925" s="55" t="n">
        <x:v>3441</x:v>
      </x:c>
      <x:c r="AE925" s="55" t="n">
        <x:v>10578</x:v>
      </x:c>
      <x:c r="AF925" s="55" t="n">
        <x:v>10470</x:v>
      </x:c>
      <x:c r="AG925" s="55" t="n">
        <x:v>108</x:v>
      </x:c>
      <x:c r="AH925" s="55" t="n">
        <x:v>521</x:v>
      </x:c>
      <x:c r="AI925" s="55" t="n">
        <x:v>9949</x:v>
      </x:c>
      <x:c r="AJ925" s="55" t="n">
        <x:v>263</x:v>
      </x:c>
      <x:c r="AK925" s="55" t="n">
        <x:v>1002</x:v>
      </x:c>
      <x:c r="AL925" s="55" t="n">
        <x:v>1711</x:v>
      </x:c>
      <x:c r="AM925" s="55" t="n">
        <x:v>4709</x:v>
      </x:c>
      <x:c r="AN925" s="55" t="n">
        <x:v>2738</x:v>
      </x:c>
      <x:c r="AO925" s="55" t="n">
        <x:v>47</x:v>
      </x:c>
      <x:c r="AP925" s="55" t="n">
        <x:v>2287</x:v>
      </x:c>
      <x:c r="AQ925" s="55" t="n">
        <x:v>933</x:v>
      </x:c>
    </x:row>
    <x:row r="926">
      <x:c r="A926" s="54" t="str">
        <x:v>T1_SHARED_CATCHMENT</x:v>
      </x:c>
      <x:c r="B926" s="54" t="n">
        <x:v>920</x:v>
      </x:c>
      <x:c r="C926" s="54" t="str">
        <x:v>NYC-V2-R01</x:v>
      </x:c>
      <x:c r="D926" s="54" t="str">
        <x:v>V2</x:v>
      </x:c>
      <x:c r="E926" s="54" t="str">
        <x:v>ADMITTED</x:v>
      </x:c>
      <x:c r="F926" s="55" t="n">
        <x:v>30629</x:v>
      </x:c>
      <x:c r="G926" s="55" t="n">
        <x:v>7662</x:v>
      </x:c>
      <x:c r="H926" s="55" t="n">
        <x:v>3641</x:v>
      </x:c>
      <x:c r="I926" s="55" t="n">
        <x:v>1465</x:v>
      </x:c>
      <x:c r="J926" s="55" t="n">
        <x:v>326</x:v>
      </x:c>
      <x:c r="K926" s="55" t="n">
        <x:v>29322</x:v>
      </x:c>
      <x:c r="L926" s="55" t="n">
        <x:v>5786</x:v>
      </x:c>
      <x:c r="M926" s="55" t="n">
        <x:v>1100</x:v>
      </x:c>
      <x:c r="N926" s="55" t="n">
        <x:v>2916</x:v>
      </x:c>
      <x:c r="O926" s="55" t="n">
        <x:v>1770</x:v>
      </x:c>
      <x:c r="P926" s="55" t="n">
        <x:v>1097</x:v>
      </x:c>
      <x:c r="Q926" s="55" t="n">
        <x:v>2522</x:v>
      </x:c>
      <x:c r="R926" s="55" t="n">
        <x:v>1972</x:v>
      </x:c>
      <x:c r="S926" s="55" t="n">
        <x:v>2247</x:v>
      </x:c>
      <x:c r="T926" s="55" t="n">
        <x:v>1227</x:v>
      </x:c>
      <x:c r="U926" s="55" t="n">
        <x:v>1914</x:v>
      </x:c>
      <x:c r="V926" s="55" t="n">
        <x:v>10448</x:v>
      </x:c>
      <x:c r="W926" s="55" t="n">
        <x:v>7284</x:v>
      </x:c>
      <x:c r="X926" s="55" t="n">
        <x:v>3164</x:v>
      </x:c>
      <x:c r="Y926" s="55" t="n">
        <x:v>2819</x:v>
      </x:c>
      <x:c r="Z926" s="55" t="n">
        <x:v>4127</x:v>
      </x:c>
      <x:c r="AA926" s="55" t="n">
        <x:v>2865</x:v>
      </x:c>
      <x:c r="AB926" s="55" t="n">
        <x:v>955</x:v>
      </x:c>
      <x:c r="AC926" s="55" t="n">
        <x:v>7769</x:v>
      </x:c>
      <x:c r="AD926" s="55" t="n">
        <x:v>2069</x:v>
      </x:c>
      <x:c r="AE926" s="55" t="n">
        <x:v>10560</x:v>
      </x:c>
      <x:c r="AF926" s="55" t="n">
        <x:v>10448</x:v>
      </x:c>
      <x:c r="AG926" s="55" t="n">
        <x:v>112</x:v>
      </x:c>
      <x:c r="AH926" s="55" t="n">
        <x:v>496</x:v>
      </x:c>
      <x:c r="AI926" s="55" t="n">
        <x:v>9952</x:v>
      </x:c>
      <x:c r="AJ926" s="55" t="n">
        <x:v>289</x:v>
      </x:c>
      <x:c r="AK926" s="55" t="n">
        <x:v>911</x:v>
      </x:c>
      <x:c r="AL926" s="55" t="n">
        <x:v>1900</x:v>
      </x:c>
      <x:c r="AM926" s="55" t="n">
        <x:v>4498</x:v>
      </x:c>
      <x:c r="AN926" s="55" t="n">
        <x:v>2722</x:v>
      </x:c>
      <x:c r="AO926" s="55" t="n">
        <x:v>128</x:v>
      </x:c>
      <x:c r="AP926" s="55" t="n">
        <x:v>2573</x:v>
      </x:c>
      <x:c r="AQ926" s="55" t="n">
        <x:v>963</x:v>
      </x:c>
    </x:row>
    <x:row r="927">
      <x:c r="A927" s="54" t="str">
        <x:v>T1_SHARED_CATCHMENT</x:v>
      </x:c>
      <x:c r="B927" s="54" t="n">
        <x:v>921</x:v>
      </x:c>
      <x:c r="C927" s="54" t="str">
        <x:v>NYC-V2-R01</x:v>
      </x:c>
      <x:c r="D927" s="54" t="str">
        <x:v>V2</x:v>
      </x:c>
      <x:c r="E927" s="54" t="str">
        <x:v>ADMITTED</x:v>
      </x:c>
      <x:c r="F927" s="55" t="n">
        <x:v>31553</x:v>
      </x:c>
      <x:c r="G927" s="55" t="n">
        <x:v>8524</x:v>
      </x:c>
      <x:c r="H927" s="55" t="n">
        <x:v>3461</x:v>
      </x:c>
      <x:c r="I927" s="55" t="n">
        <x:v>1220</x:v>
      </x:c>
      <x:c r="J927" s="55" t="n">
        <x:v>302</x:v>
      </x:c>
      <x:c r="K927" s="55" t="n">
        <x:v>27449</x:v>
      </x:c>
      <x:c r="L927" s="55" t="n">
        <x:v>7135</x:v>
      </x:c>
      <x:c r="M927" s="55" t="n">
        <x:v>1429</x:v>
      </x:c>
      <x:c r="N927" s="55" t="n">
        <x:v>3230</x:v>
      </x:c>
      <x:c r="O927" s="55" t="n">
        <x:v>2476</x:v>
      </x:c>
      <x:c r="P927" s="55" t="n">
        <x:v>1068</x:v>
      </x:c>
      <x:c r="Q927" s="55" t="n">
        <x:v>2700</x:v>
      </x:c>
      <x:c r="R927" s="55" t="n">
        <x:v>2057</x:v>
      </x:c>
      <x:c r="S927" s="55" t="n">
        <x:v>2666</x:v>
      </x:c>
      <x:c r="T927" s="55" t="n">
        <x:v>1669</x:v>
      </x:c>
      <x:c r="U927" s="55" t="n">
        <x:v>2059</x:v>
      </x:c>
      <x:c r="V927" s="55" t="n">
        <x:v>10676</x:v>
      </x:c>
      <x:c r="W927" s="55" t="n">
        <x:v>7360</x:v>
      </x:c>
      <x:c r="X927" s="55" t="n">
        <x:v>3316</x:v>
      </x:c>
      <x:c r="Y927" s="55" t="n">
        <x:v>2800</x:v>
      </x:c>
      <x:c r="Z927" s="55" t="n">
        <x:v>3404</x:v>
      </x:c>
      <x:c r="AA927" s="55" t="n">
        <x:v>3461</x:v>
      </x:c>
      <x:c r="AB927" s="55" t="n">
        <x:v>1332</x:v>
      </x:c>
      <x:c r="AC927" s="55" t="n">
        <x:v>7745</x:v>
      </x:c>
      <x:c r="AD927" s="55" t="n">
        <x:v>3273</x:v>
      </x:c>
      <x:c r="AE927" s="55" t="n">
        <x:v>10789</x:v>
      </x:c>
      <x:c r="AF927" s="55" t="n">
        <x:v>10676</x:v>
      </x:c>
      <x:c r="AG927" s="55" t="n">
        <x:v>113</x:v>
      </x:c>
      <x:c r="AH927" s="55" t="n">
        <x:v>391</x:v>
      </x:c>
      <x:c r="AI927" s="55" t="n">
        <x:v>10285</x:v>
      </x:c>
      <x:c r="AJ927" s="55" t="n">
        <x:v>338</x:v>
      </x:c>
      <x:c r="AK927" s="55" t="n">
        <x:v>1148</x:v>
      </x:c>
      <x:c r="AL927" s="55" t="n">
        <x:v>1538</x:v>
      </x:c>
      <x:c r="AM927" s="55" t="n">
        <x:v>4773</x:v>
      </x:c>
      <x:c r="AN927" s="55" t="n">
        <x:v>2879</x:v>
      </x:c>
      <x:c r="AO927" s="55" t="n">
        <x:v>0</x:v>
      </x:c>
      <x:c r="AP927" s="55" t="n">
        <x:v>2774</x:v>
      </x:c>
      <x:c r="AQ927" s="55" t="n">
        <x:v>977</x:v>
      </x:c>
    </x:row>
    <x:row r="928">
      <x:c r="A928" s="54" t="str">
        <x:v>T1_SHARED_CATCHMENT</x:v>
      </x:c>
      <x:c r="B928" s="54" t="n">
        <x:v>922</x:v>
      </x:c>
      <x:c r="C928" s="54" t="str">
        <x:v>NYC-V2-R01</x:v>
      </x:c>
      <x:c r="D928" s="54" t="str">
        <x:v>V2</x:v>
      </x:c>
      <x:c r="E928" s="54" t="str">
        <x:v>ADMITTED</x:v>
      </x:c>
      <x:c r="F928" s="55" t="n">
        <x:v>30033</x:v>
      </x:c>
      <x:c r="G928" s="55" t="n">
        <x:v>7727</x:v>
      </x:c>
      <x:c r="H928" s="55" t="n">
        <x:v>2990</x:v>
      </x:c>
      <x:c r="I928" s="55" t="n">
        <x:v>1048</x:v>
      </x:c>
      <x:c r="J928" s="55" t="n">
        <x:v>180</x:v>
      </x:c>
      <x:c r="K928" s="55" t="n">
        <x:v>28489</x:v>
      </x:c>
      <x:c r="L928" s="55" t="n">
        <x:v>5204</x:v>
      </x:c>
      <x:c r="M928" s="55" t="n">
        <x:v>1201</x:v>
      </x:c>
      <x:c r="N928" s="55" t="n">
        <x:v>2275</x:v>
      </x:c>
      <x:c r="O928" s="55" t="n">
        <x:v>1728</x:v>
      </x:c>
      <x:c r="P928" s="55" t="n">
        <x:v>1104</x:v>
      </x:c>
      <x:c r="Q928" s="55" t="n">
        <x:v>1728</x:v>
      </x:c>
      <x:c r="R928" s="55" t="n">
        <x:v>2269</x:v>
      </x:c>
      <x:c r="S928" s="55" t="n">
        <x:v>3177</x:v>
      </x:c>
      <x:c r="T928" s="55" t="n">
        <x:v>1711</x:v>
      </x:c>
      <x:c r="U928" s="55" t="n">
        <x:v>2538</x:v>
      </x:c>
      <x:c r="V928" s="55" t="n">
        <x:v>10776</x:v>
      </x:c>
      <x:c r="W928" s="55" t="n">
        <x:v>7561</x:v>
      </x:c>
      <x:c r="X928" s="55" t="n">
        <x:v>3215</x:v>
      </x:c>
      <x:c r="Y928" s="55" t="n">
        <x:v>2841</x:v>
      </x:c>
      <x:c r="Z928" s="55" t="n">
        <x:v>4151</x:v>
      </x:c>
      <x:c r="AA928" s="55" t="n">
        <x:v>2864</x:v>
      </x:c>
      <x:c r="AB928" s="55" t="n">
        <x:v>1262</x:v>
      </x:c>
      <x:c r="AC928" s="55" t="n">
        <x:v>8118</x:v>
      </x:c>
      <x:c r="AD928" s="55" t="n">
        <x:v>2955</x:v>
      </x:c>
      <x:c r="AE928" s="55" t="n">
        <x:v>10920</x:v>
      </x:c>
      <x:c r="AF928" s="55" t="n">
        <x:v>10776</x:v>
      </x:c>
      <x:c r="AG928" s="55" t="n">
        <x:v>144</x:v>
      </x:c>
      <x:c r="AH928" s="55" t="n">
        <x:v>548</x:v>
      </x:c>
      <x:c r="AI928" s="55" t="n">
        <x:v>10228</x:v>
      </x:c>
      <x:c r="AJ928" s="55" t="n">
        <x:v>355</x:v>
      </x:c>
      <x:c r="AK928" s="55" t="n">
        <x:v>1023</x:v>
      </x:c>
      <x:c r="AL928" s="55" t="n">
        <x:v>1693</x:v>
      </x:c>
      <x:c r="AM928" s="55" t="n">
        <x:v>5104</x:v>
      </x:c>
      <x:c r="AN928" s="55" t="n">
        <x:v>2579</x:v>
      </x:c>
      <x:c r="AO928" s="55" t="n">
        <x:v>22</x:v>
      </x:c>
      <x:c r="AP928" s="55" t="n">
        <x:v>2522</x:v>
      </x:c>
      <x:c r="AQ928" s="55" t="n">
        <x:v>932</x:v>
      </x:c>
    </x:row>
    <x:row r="929">
      <x:c r="A929" s="54" t="str">
        <x:v>T1_SHARED_CATCHMENT</x:v>
      </x:c>
      <x:c r="B929" s="54" t="n">
        <x:v>923</x:v>
      </x:c>
      <x:c r="C929" s="54" t="str">
        <x:v>NYC-V2-R01</x:v>
      </x:c>
      <x:c r="D929" s="54" t="str">
        <x:v>V2</x:v>
      </x:c>
      <x:c r="E929" s="54" t="str">
        <x:v>ADMITTED</x:v>
      </x:c>
      <x:c r="F929" s="55" t="n">
        <x:v>33841</x:v>
      </x:c>
      <x:c r="G929" s="55" t="n">
        <x:v>8821</x:v>
      </x:c>
      <x:c r="H929" s="55" t="n">
        <x:v>3188</x:v>
      </x:c>
      <x:c r="I929" s="55" t="n">
        <x:v>1097</x:v>
      </x:c>
      <x:c r="J929" s="55" t="n">
        <x:v>362</x:v>
      </x:c>
      <x:c r="K929" s="55" t="n">
        <x:v>32303</x:v>
      </x:c>
      <x:c r="L929" s="55" t="n">
        <x:v>6702</x:v>
      </x:c>
      <x:c r="M929" s="55" t="n">
        <x:v>2212</x:v>
      </x:c>
      <x:c r="N929" s="55" t="n">
        <x:v>2961</x:v>
      </x:c>
      <x:c r="O929" s="55" t="n">
        <x:v>1529</x:v>
      </x:c>
      <x:c r="P929" s="55" t="n">
        <x:v>426</x:v>
      </x:c>
      <x:c r="Q929" s="55" t="n">
        <x:v>2332</x:v>
      </x:c>
      <x:c r="R929" s="55" t="n">
        <x:v>1868</x:v>
      </x:c>
      <x:c r="S929" s="55" t="n">
        <x:v>3166</x:v>
      </x:c>
      <x:c r="T929" s="55" t="n">
        <x:v>1347</x:v>
      </x:c>
      <x:c r="U929" s="55" t="n">
        <x:v>2006</x:v>
      </x:c>
      <x:c r="V929" s="55" t="n">
        <x:v>10718</x:v>
      </x:c>
      <x:c r="W929" s="55" t="n">
        <x:v>7579</x:v>
      </x:c>
      <x:c r="X929" s="55" t="n">
        <x:v>3139</x:v>
      </x:c>
      <x:c r="Y929" s="55" t="n">
        <x:v>2957</x:v>
      </x:c>
      <x:c r="Z929" s="55" t="n">
        <x:v>4036</x:v>
      </x:c>
      <x:c r="AA929" s="55" t="n">
        <x:v>2983</x:v>
      </x:c>
      <x:c r="AB929" s="55" t="n">
        <x:v>873</x:v>
      </x:c>
      <x:c r="AC929" s="55" t="n">
        <x:v>8166</x:v>
      </x:c>
      <x:c r="AD929" s="55" t="n">
        <x:v>2644</x:v>
      </x:c>
      <x:c r="AE929" s="55" t="n">
        <x:v>10779</x:v>
      </x:c>
      <x:c r="AF929" s="55" t="n">
        <x:v>10718</x:v>
      </x:c>
      <x:c r="AG929" s="55" t="n">
        <x:v>61</x:v>
      </x:c>
      <x:c r="AH929" s="55" t="n">
        <x:v>487</x:v>
      </x:c>
      <x:c r="AI929" s="55" t="n">
        <x:v>10231</x:v>
      </x:c>
      <x:c r="AJ929" s="55" t="n">
        <x:v>431</x:v>
      </x:c>
      <x:c r="AK929" s="55" t="n">
        <x:v>1150</x:v>
      </x:c>
      <x:c r="AL929" s="55" t="n">
        <x:v>1752</x:v>
      </x:c>
      <x:c r="AM929" s="55" t="n">
        <x:v>4677</x:v>
      </x:c>
      <x:c r="AN929" s="55" t="n">
        <x:v>2708</x:v>
      </x:c>
      <x:c r="AO929" s="55" t="n">
        <x:v>0</x:v>
      </x:c>
      <x:c r="AP929" s="55" t="n">
        <x:v>2609</x:v>
      </x:c>
      <x:c r="AQ929" s="55" t="n">
        <x:v>964</x:v>
      </x:c>
    </x:row>
    <x:row r="930">
      <x:c r="A930" s="54" t="str">
        <x:v>T1_SHARED_CATCHMENT</x:v>
      </x:c>
      <x:c r="B930" s="54" t="n">
        <x:v>924</x:v>
      </x:c>
      <x:c r="C930" s="54" t="str">
        <x:v>NYC-V2-R01</x:v>
      </x:c>
      <x:c r="D930" s="54" t="str">
        <x:v>V2</x:v>
      </x:c>
      <x:c r="E930" s="54" t="str">
        <x:v>ADMITTED</x:v>
      </x:c>
      <x:c r="F930" s="55" t="n">
        <x:v>29707</x:v>
      </x:c>
      <x:c r="G930" s="55" t="n">
        <x:v>7541</x:v>
      </x:c>
      <x:c r="H930" s="55" t="n">
        <x:v>3627</x:v>
      </x:c>
      <x:c r="I930" s="55" t="n">
        <x:v>1422</x:v>
      </x:c>
      <x:c r="J930" s="55" t="n">
        <x:v>420</x:v>
      </x:c>
      <x:c r="K930" s="55" t="n">
        <x:v>27867</x:v>
      </x:c>
      <x:c r="L930" s="55" t="n">
        <x:v>5376</x:v>
      </x:c>
      <x:c r="M930" s="55" t="n">
        <x:v>883</x:v>
      </x:c>
      <x:c r="N930" s="55" t="n">
        <x:v>2417</x:v>
      </x:c>
      <x:c r="O930" s="55" t="n">
        <x:v>2076</x:v>
      </x:c>
      <x:c r="P930" s="55" t="n">
        <x:v>913</x:v>
      </x:c>
      <x:c r="Q930" s="55" t="n">
        <x:v>2738</x:v>
      </x:c>
      <x:c r="R930" s="55" t="n">
        <x:v>1697</x:v>
      </x:c>
      <x:c r="S930" s="55" t="n">
        <x:v>2737</x:v>
      </x:c>
      <x:c r="T930" s="55" t="n">
        <x:v>1463</x:v>
      </x:c>
      <x:c r="U930" s="55" t="n">
        <x:v>1963</x:v>
      </x:c>
      <x:c r="V930" s="55" t="n">
        <x:v>9917</x:v>
      </x:c>
      <x:c r="W930" s="55" t="n">
        <x:v>6942</x:v>
      </x:c>
      <x:c r="X930" s="55" t="n">
        <x:v>2975</x:v>
      </x:c>
      <x:c r="Y930" s="55" t="n">
        <x:v>2837</x:v>
      </x:c>
      <x:c r="Z930" s="55" t="n">
        <x:v>3861</x:v>
      </x:c>
      <x:c r="AA930" s="55" t="n">
        <x:v>2955</x:v>
      </x:c>
      <x:c r="AB930" s="55" t="n">
        <x:v>945</x:v>
      </x:c>
      <x:c r="AC930" s="55" t="n">
        <x:v>7276</x:v>
      </x:c>
      <x:c r="AD930" s="55" t="n">
        <x:v>2756</x:v>
      </x:c>
      <x:c r="AE930" s="55" t="n">
        <x:v>9969</x:v>
      </x:c>
      <x:c r="AF930" s="55" t="n">
        <x:v>9917</x:v>
      </x:c>
      <x:c r="AG930" s="55" t="n">
        <x:v>52</x:v>
      </x:c>
      <x:c r="AH930" s="55" t="n">
        <x:v>190</x:v>
      </x:c>
      <x:c r="AI930" s="55" t="n">
        <x:v>9727</x:v>
      </x:c>
      <x:c r="AJ930" s="55" t="n">
        <x:v>294</x:v>
      </x:c>
      <x:c r="AK930" s="55" t="n">
        <x:v>888</x:v>
      </x:c>
      <x:c r="AL930" s="55" t="n">
        <x:v>1721</x:v>
      </x:c>
      <x:c r="AM930" s="55" t="n">
        <x:v>4383</x:v>
      </x:c>
      <x:c r="AN930" s="55" t="n">
        <x:v>2631</x:v>
      </x:c>
      <x:c r="AO930" s="55" t="n">
        <x:v>0</x:v>
      </x:c>
      <x:c r="AP930" s="55" t="n">
        <x:v>2544</x:v>
      </x:c>
      <x:c r="AQ930" s="55" t="n">
        <x:v>960</x:v>
      </x:c>
    </x:row>
    <x:row r="931">
      <x:c r="A931" s="54" t="str">
        <x:v>T1_SHARED_CATCHMENT</x:v>
      </x:c>
      <x:c r="B931" s="54" t="n">
        <x:v>925</x:v>
      </x:c>
      <x:c r="C931" s="54" t="str">
        <x:v>NYC-V2-R01</x:v>
      </x:c>
      <x:c r="D931" s="54" t="str">
        <x:v>V2</x:v>
      </x:c>
      <x:c r="E931" s="54" t="str">
        <x:v>ADMITTED</x:v>
      </x:c>
      <x:c r="F931" s="55" t="n">
        <x:v>29400</x:v>
      </x:c>
      <x:c r="G931" s="55" t="n">
        <x:v>7325</x:v>
      </x:c>
      <x:c r="H931" s="55" t="n">
        <x:v>2821</x:v>
      </x:c>
      <x:c r="I931" s="55" t="n">
        <x:v>1126</x:v>
      </x:c>
      <x:c r="J931" s="55" t="n">
        <x:v>23</x:v>
      </x:c>
      <x:c r="K931" s="55" t="n">
        <x:v>29348</x:v>
      </x:c>
      <x:c r="L931" s="55" t="n">
        <x:v>5179</x:v>
      </x:c>
      <x:c r="M931" s="55" t="n">
        <x:v>2023</x:v>
      </x:c>
      <x:c r="N931" s="55" t="n">
        <x:v>1806</x:v>
      </x:c>
      <x:c r="O931" s="55" t="n">
        <x:v>1350</x:v>
      </x:c>
      <x:c r="P931" s="55" t="n">
        <x:v>765</x:v>
      </x:c>
      <x:c r="Q931" s="55" t="n">
        <x:v>2072</x:v>
      </x:c>
      <x:c r="R931" s="55" t="n">
        <x:v>1978</x:v>
      </x:c>
      <x:c r="S931" s="55" t="n">
        <x:v>2743</x:v>
      </x:c>
      <x:c r="T931" s="55" t="n">
        <x:v>826</x:v>
      </x:c>
      <x:c r="U931" s="55" t="n">
        <x:v>1731</x:v>
      </x:c>
      <x:c r="V931" s="55" t="n">
        <x:v>9972</x:v>
      </x:c>
      <x:c r="W931" s="55" t="n">
        <x:v>7019</x:v>
      </x:c>
      <x:c r="X931" s="55" t="n">
        <x:v>2953</x:v>
      </x:c>
      <x:c r="Y931" s="55" t="n">
        <x:v>2577</x:v>
      </x:c>
      <x:c r="Z931" s="55" t="n">
        <x:v>3288</x:v>
      </x:c>
      <x:c r="AA931" s="55" t="n">
        <x:v>2821</x:v>
      </x:c>
      <x:c r="AB931" s="55" t="n">
        <x:v>588</x:v>
      </x:c>
      <x:c r="AC931" s="55" t="n">
        <x:v>7930</x:v>
      </x:c>
      <x:c r="AD931" s="55" t="n">
        <x:v>2592</x:v>
      </x:c>
      <x:c r="AE931" s="55" t="n">
        <x:v>10057</x:v>
      </x:c>
      <x:c r="AF931" s="55" t="n">
        <x:v>9972</x:v>
      </x:c>
      <x:c r="AG931" s="55" t="n">
        <x:v>85</x:v>
      </x:c>
      <x:c r="AH931" s="55" t="n">
        <x:v>111</x:v>
      </x:c>
      <x:c r="AI931" s="55" t="n">
        <x:v>9861</x:v>
      </x:c>
      <x:c r="AJ931" s="55" t="n">
        <x:v>284</x:v>
      </x:c>
      <x:c r="AK931" s="55" t="n">
        <x:v>1078</x:v>
      </x:c>
      <x:c r="AL931" s="55" t="n">
        <x:v>1115</x:v>
      </x:c>
      <x:c r="AM931" s="55" t="n">
        <x:v>5275</x:v>
      </x:c>
      <x:c r="AN931" s="55" t="n">
        <x:v>2220</x:v>
      </x:c>
      <x:c r="AO931" s="55" t="n">
        <x:v>0</x:v>
      </x:c>
      <x:c r="AP931" s="55" t="n">
        <x:v>1976</x:v>
      </x:c>
      <x:c r="AQ931" s="55" t="n">
        <x:v>984</x:v>
      </x:c>
    </x:row>
    <x:row r="932">
      <x:c r="A932" s="54" t="str">
        <x:v>T1_SHARED_CATCHMENT</x:v>
      </x:c>
      <x:c r="B932" s="54" t="n">
        <x:v>926</x:v>
      </x:c>
      <x:c r="C932" s="54" t="str">
        <x:v>NYC-V2-R01</x:v>
      </x:c>
      <x:c r="D932" s="54" t="str">
        <x:v>V2</x:v>
      </x:c>
      <x:c r="E932" s="54" t="str">
        <x:v>ADMITTED</x:v>
      </x:c>
      <x:c r="F932" s="55" t="n">
        <x:v>30776</x:v>
      </x:c>
      <x:c r="G932" s="55" t="n">
        <x:v>6356</x:v>
      </x:c>
      <x:c r="H932" s="55" t="n">
        <x:v>3528</x:v>
      </x:c>
      <x:c r="I932" s="55" t="n">
        <x:v>1165</x:v>
      </x:c>
      <x:c r="J932" s="55" t="n">
        <x:v>273</x:v>
      </x:c>
      <x:c r="K932" s="55" t="n">
        <x:v>28571</x:v>
      </x:c>
      <x:c r="L932" s="55" t="n">
        <x:v>5069</x:v>
      </x:c>
      <x:c r="M932" s="55" t="n">
        <x:v>827</x:v>
      </x:c>
      <x:c r="N932" s="55" t="n">
        <x:v>2544</x:v>
      </x:c>
      <x:c r="O932" s="55" t="n">
        <x:v>1698</x:v>
      </x:c>
      <x:c r="P932" s="55" t="n">
        <x:v>1170</x:v>
      </x:c>
      <x:c r="Q932" s="55" t="n">
        <x:v>2624</x:v>
      </x:c>
      <x:c r="R932" s="55" t="n">
        <x:v>1971</x:v>
      </x:c>
      <x:c r="S932" s="55" t="n">
        <x:v>2389</x:v>
      </x:c>
      <x:c r="T932" s="55" t="n">
        <x:v>1291</x:v>
      </x:c>
      <x:c r="U932" s="55" t="n">
        <x:v>1834</x:v>
      </x:c>
      <x:c r="V932" s="55" t="n">
        <x:v>10779</x:v>
      </x:c>
      <x:c r="W932" s="55" t="n">
        <x:v>7595</x:v>
      </x:c>
      <x:c r="X932" s="55" t="n">
        <x:v>3184</x:v>
      </x:c>
      <x:c r="Y932" s="55" t="n">
        <x:v>2868</x:v>
      </x:c>
      <x:c r="Z932" s="55" t="n">
        <x:v>4196</x:v>
      </x:c>
      <x:c r="AA932" s="55" t="n">
        <x:v>3005</x:v>
      </x:c>
      <x:c r="AB932" s="55" t="n">
        <x:v>1280</x:v>
      </x:c>
      <x:c r="AC932" s="55" t="n">
        <x:v>7805</x:v>
      </x:c>
      <x:c r="AD932" s="55" t="n">
        <x:v>2381</x:v>
      </x:c>
      <x:c r="AE932" s="55" t="n">
        <x:v>10853</x:v>
      </x:c>
      <x:c r="AF932" s="55" t="n">
        <x:v>10779</x:v>
      </x:c>
      <x:c r="AG932" s="55" t="n">
        <x:v>74</x:v>
      </x:c>
      <x:c r="AH932" s="55" t="n">
        <x:v>645</x:v>
      </x:c>
      <x:c r="AI932" s="55" t="n">
        <x:v>10134</x:v>
      </x:c>
      <x:c r="AJ932" s="55" t="n">
        <x:v>217</x:v>
      </x:c>
      <x:c r="AK932" s="55" t="n">
        <x:v>1356</x:v>
      </x:c>
      <x:c r="AL932" s="55" t="n">
        <x:v>1085</x:v>
      </x:c>
      <x:c r="AM932" s="55" t="n">
        <x:v>4991</x:v>
      </x:c>
      <x:c r="AN932" s="55" t="n">
        <x:v>3085</x:v>
      </x:c>
      <x:c r="AO932" s="55" t="n">
        <x:v>45</x:v>
      </x:c>
      <x:c r="AP932" s="55" t="n">
        <x:v>2502</x:v>
      </x:c>
      <x:c r="AQ932" s="55" t="n">
        <x:v>947</x:v>
      </x:c>
    </x:row>
    <x:row r="933">
      <x:c r="A933" s="54" t="str">
        <x:v>T1_SHARED_CATCHMENT</x:v>
      </x:c>
      <x:c r="B933" s="54" t="n">
        <x:v>927</x:v>
      </x:c>
      <x:c r="C933" s="54" t="str">
        <x:v>NYC-V2-R01</x:v>
      </x:c>
      <x:c r="D933" s="54" t="str">
        <x:v>V2</x:v>
      </x:c>
      <x:c r="E933" s="54" t="str">
        <x:v>ADMITTED</x:v>
      </x:c>
      <x:c r="F933" s="55" t="n">
        <x:v>30775</x:v>
      </x:c>
      <x:c r="G933" s="55" t="n">
        <x:v>7055</x:v>
      </x:c>
      <x:c r="H933" s="55" t="n">
        <x:v>3252</x:v>
      </x:c>
      <x:c r="I933" s="55" t="n">
        <x:v>1442</x:v>
      </x:c>
      <x:c r="J933" s="55" t="n">
        <x:v>187</x:v>
      </x:c>
      <x:c r="K933" s="55" t="n">
        <x:v>30775</x:v>
      </x:c>
      <x:c r="L933" s="55" t="n">
        <x:v>5507</x:v>
      </x:c>
      <x:c r="M933" s="55" t="n">
        <x:v>1319</x:v>
      </x:c>
      <x:c r="N933" s="55" t="n">
        <x:v>2620</x:v>
      </x:c>
      <x:c r="O933" s="55" t="n">
        <x:v>1568</x:v>
      </x:c>
      <x:c r="P933" s="55" t="n">
        <x:v>777</x:v>
      </x:c>
      <x:c r="Q933" s="55" t="n">
        <x:v>1263</x:v>
      </x:c>
      <x:c r="R933" s="55" t="n">
        <x:v>1922</x:v>
      </x:c>
      <x:c r="S933" s="55" t="n">
        <x:v>2609</x:v>
      </x:c>
      <x:c r="T933" s="55" t="n">
        <x:v>1068</x:v>
      </x:c>
      <x:c r="U933" s="55" t="n">
        <x:v>2122</x:v>
      </x:c>
      <x:c r="V933" s="55" t="n">
        <x:v>10218</x:v>
      </x:c>
      <x:c r="W933" s="55" t="n">
        <x:v>7302</x:v>
      </x:c>
      <x:c r="X933" s="55" t="n">
        <x:v>2916</x:v>
      </x:c>
      <x:c r="Y933" s="55" t="n">
        <x:v>2473</x:v>
      </x:c>
      <x:c r="Z933" s="55" t="n">
        <x:v>3557</x:v>
      </x:c>
      <x:c r="AA933" s="55" t="n">
        <x:v>2816</x:v>
      </x:c>
      <x:c r="AB933" s="55" t="n">
        <x:v>862</x:v>
      </x:c>
      <x:c r="AC933" s="55" t="n">
        <x:v>7674</x:v>
      </x:c>
      <x:c r="AD933" s="55" t="n">
        <x:v>3272</x:v>
      </x:c>
      <x:c r="AE933" s="55" t="n">
        <x:v>10269</x:v>
      </x:c>
      <x:c r="AF933" s="55" t="n">
        <x:v>10218</x:v>
      </x:c>
      <x:c r="AG933" s="55" t="n">
        <x:v>51</x:v>
      </x:c>
      <x:c r="AH933" s="55" t="n">
        <x:v>340</x:v>
      </x:c>
      <x:c r="AI933" s="55" t="n">
        <x:v>9878</x:v>
      </x:c>
      <x:c r="AJ933" s="55" t="n">
        <x:v>396</x:v>
      </x:c>
      <x:c r="AK933" s="55" t="n">
        <x:v>561</x:v>
      </x:c>
      <x:c r="AL933" s="55" t="n">
        <x:v>1476</x:v>
      </x:c>
      <x:c r="AM933" s="55" t="n">
        <x:v>4833</x:v>
      </x:c>
      <x:c r="AN933" s="55" t="n">
        <x:v>2952</x:v>
      </x:c>
      <x:c r="AO933" s="55" t="n">
        <x:v>0</x:v>
      </x:c>
      <x:c r="AP933" s="55" t="n">
        <x:v>2210</x:v>
      </x:c>
      <x:c r="AQ933" s="55" t="n">
        <x:v>969</x:v>
      </x:c>
    </x:row>
    <x:row r="934">
      <x:c r="A934" s="54" t="str">
        <x:v>T1_SHARED_CATCHMENT</x:v>
      </x:c>
      <x:c r="B934" s="54" t="n">
        <x:v>928</x:v>
      </x:c>
      <x:c r="C934" s="54" t="str">
        <x:v>NYC-V2-R01</x:v>
      </x:c>
      <x:c r="D934" s="54" t="str">
        <x:v>V2</x:v>
      </x:c>
      <x:c r="E934" s="54" t="str">
        <x:v>ADMITTED</x:v>
      </x:c>
      <x:c r="F934" s="55" t="n">
        <x:v>33408</x:v>
      </x:c>
      <x:c r="G934" s="55" t="n">
        <x:v>7365</x:v>
      </x:c>
      <x:c r="H934" s="55" t="n">
        <x:v>3069</x:v>
      </x:c>
      <x:c r="I934" s="55" t="n">
        <x:v>1430</x:v>
      </x:c>
      <x:c r="J934" s="55" t="n">
        <x:v>320</x:v>
      </x:c>
      <x:c r="K934" s="55" t="n">
        <x:v>33408</x:v>
      </x:c>
      <x:c r="L934" s="55" t="n">
        <x:v>6138</x:v>
      </x:c>
      <x:c r="M934" s="55" t="n">
        <x:v>1990</x:v>
      </x:c>
      <x:c r="N934" s="55" t="n">
        <x:v>2550</x:v>
      </x:c>
      <x:c r="O934" s="55" t="n">
        <x:v>1598</x:v>
      </x:c>
      <x:c r="P934" s="55" t="n">
        <x:v>672</x:v>
      </x:c>
      <x:c r="Q934" s="55" t="n">
        <x:v>2423</x:v>
      </x:c>
      <x:c r="R934" s="55" t="n">
        <x:v>1700</x:v>
      </x:c>
      <x:c r="S934" s="55" t="n">
        <x:v>3501</x:v>
      </x:c>
      <x:c r="T934" s="55" t="n">
        <x:v>1185</x:v>
      </x:c>
      <x:c r="U934" s="55" t="n">
        <x:v>2339</x:v>
      </x:c>
      <x:c r="V934" s="55" t="n">
        <x:v>10564</x:v>
      </x:c>
      <x:c r="W934" s="55" t="n">
        <x:v>7581</x:v>
      </x:c>
      <x:c r="X934" s="55" t="n">
        <x:v>2983</x:v>
      </x:c>
      <x:c r="Y934" s="55" t="n">
        <x:v>2686</x:v>
      </x:c>
      <x:c r="Z934" s="55" t="n">
        <x:v>3973</x:v>
      </x:c>
      <x:c r="AA934" s="55" t="n">
        <x:v>3069</x:v>
      </x:c>
      <x:c r="AB934" s="55" t="n">
        <x:v>1251</x:v>
      </x:c>
      <x:c r="AC934" s="55" t="n">
        <x:v>8518</x:v>
      </x:c>
      <x:c r="AD934" s="55" t="n">
        <x:v>3150</x:v>
      </x:c>
      <x:c r="AE934" s="55" t="n">
        <x:v>10629</x:v>
      </x:c>
      <x:c r="AF934" s="55" t="n">
        <x:v>10564</x:v>
      </x:c>
      <x:c r="AG934" s="55" t="n">
        <x:v>65</x:v>
      </x:c>
      <x:c r="AH934" s="55" t="n">
        <x:v>580</x:v>
      </x:c>
      <x:c r="AI934" s="55" t="n">
        <x:v>9984</x:v>
      </x:c>
      <x:c r="AJ934" s="55" t="n">
        <x:v>462</x:v>
      </x:c>
      <x:c r="AK934" s="55" t="n">
        <x:v>1383</x:v>
      </x:c>
      <x:c r="AL934" s="55" t="n">
        <x:v>1503</x:v>
      </x:c>
      <x:c r="AM934" s="55" t="n">
        <x:v>4648</x:v>
      </x:c>
      <x:c r="AN934" s="55" t="n">
        <x:v>2532</x:v>
      </x:c>
      <x:c r="AO934" s="55" t="n">
        <x:v>36</x:v>
      </x:c>
      <x:c r="AP934" s="55" t="n">
        <x:v>2391</x:v>
      </x:c>
      <x:c r="AQ934" s="55" t="n">
        <x:v>943</x:v>
      </x:c>
    </x:row>
    <x:row r="935">
      <x:c r="A935" s="54" t="str">
        <x:v>T1_SHARED_CATCHMENT</x:v>
      </x:c>
      <x:c r="B935" s="54" t="n">
        <x:v>929</x:v>
      </x:c>
      <x:c r="C935" s="54" t="str">
        <x:v>NYC-V2-R01</x:v>
      </x:c>
      <x:c r="D935" s="54" t="str">
        <x:v>V2</x:v>
      </x:c>
      <x:c r="E935" s="54" t="str">
        <x:v>ADMITTED</x:v>
      </x:c>
      <x:c r="F935" s="55" t="n">
        <x:v>33088</x:v>
      </x:c>
      <x:c r="G935" s="55" t="n">
        <x:v>8663</x:v>
      </x:c>
      <x:c r="H935" s="55" t="n">
        <x:v>3335</x:v>
      </x:c>
      <x:c r="I935" s="55" t="n">
        <x:v>1392</x:v>
      </x:c>
      <x:c r="J935" s="55" t="n">
        <x:v>108</x:v>
      </x:c>
      <x:c r="K935" s="55" t="n">
        <x:v>33088</x:v>
      </x:c>
      <x:c r="L935" s="55" t="n">
        <x:v>7515</x:v>
      </x:c>
      <x:c r="M935" s="55" t="n">
        <x:v>1918</x:v>
      </x:c>
      <x:c r="N935" s="55" t="n">
        <x:v>3442</x:v>
      </x:c>
      <x:c r="O935" s="55" t="n">
        <x:v>2155</x:v>
      </x:c>
      <x:c r="P935" s="55" t="n">
        <x:v>795</x:v>
      </x:c>
      <x:c r="Q935" s="55" t="n">
        <x:v>2851</x:v>
      </x:c>
      <x:c r="R935" s="55" t="n">
        <x:v>2105</x:v>
      </x:c>
      <x:c r="S935" s="55" t="n">
        <x:v>2941</x:v>
      </x:c>
      <x:c r="T935" s="55" t="n">
        <x:v>1206</x:v>
      </x:c>
      <x:c r="U935" s="55" t="n">
        <x:v>2326</x:v>
      </x:c>
      <x:c r="V935" s="55" t="n">
        <x:v>10840</x:v>
      </x:c>
      <x:c r="W935" s="55" t="n">
        <x:v>8065</x:v>
      </x:c>
      <x:c r="X935" s="55" t="n">
        <x:v>2775</x:v>
      </x:c>
      <x:c r="Y935" s="55" t="n">
        <x:v>2406</x:v>
      </x:c>
      <x:c r="Z935" s="55" t="n">
        <x:v>3782</x:v>
      </x:c>
      <x:c r="AA935" s="55" t="n">
        <x:v>3335</x:v>
      </x:c>
      <x:c r="AB935" s="55" t="n">
        <x:v>1287</x:v>
      </x:c>
      <x:c r="AC935" s="55" t="n">
        <x:v>8150</x:v>
      </x:c>
      <x:c r="AD935" s="55" t="n">
        <x:v>3101</x:v>
      </x:c>
      <x:c r="AE935" s="55" t="n">
        <x:v>10921</x:v>
      </x:c>
      <x:c r="AF935" s="55" t="n">
        <x:v>10840</x:v>
      </x:c>
      <x:c r="AG935" s="55" t="n">
        <x:v>81</x:v>
      </x:c>
      <x:c r="AH935" s="55" t="n">
        <x:v>518</x:v>
      </x:c>
      <x:c r="AI935" s="55" t="n">
        <x:v>10322</x:v>
      </x:c>
      <x:c r="AJ935" s="55" t="n">
        <x:v>437</x:v>
      </x:c>
      <x:c r="AK935" s="55" t="n">
        <x:v>1194</x:v>
      </x:c>
      <x:c r="AL935" s="55" t="n">
        <x:v>1245</x:v>
      </x:c>
      <x:c r="AM935" s="55" t="n">
        <x:v>5301</x:v>
      </x:c>
      <x:c r="AN935" s="55" t="n">
        <x:v>2663</x:v>
      </x:c>
      <x:c r="AO935" s="55" t="n">
        <x:v>0</x:v>
      </x:c>
      <x:c r="AP935" s="55" t="n">
        <x:v>2468</x:v>
      </x:c>
      <x:c r="AQ935" s="55" t="n">
        <x:v>972</x:v>
      </x:c>
    </x:row>
    <x:row r="936">
      <x:c r="A936" s="54" t="str">
        <x:v>T1_SHARED_CATCHMENT</x:v>
      </x:c>
      <x:c r="B936" s="54" t="n">
        <x:v>930</x:v>
      </x:c>
      <x:c r="C936" s="54" t="str">
        <x:v>NYC-V2-R01</x:v>
      </x:c>
      <x:c r="D936" s="54" t="str">
        <x:v>V2</x:v>
      </x:c>
      <x:c r="E936" s="54" t="str">
        <x:v>ADMITTED</x:v>
      </x:c>
      <x:c r="F936" s="55" t="n">
        <x:v>34547</x:v>
      </x:c>
      <x:c r="G936" s="55" t="n">
        <x:v>7712</x:v>
      </x:c>
      <x:c r="H936" s="55" t="n">
        <x:v>3917</x:v>
      </x:c>
      <x:c r="I936" s="55" t="n">
        <x:v>1761</x:v>
      </x:c>
      <x:c r="J936" s="55" t="n">
        <x:v>318</x:v>
      </x:c>
      <x:c r="K936" s="55" t="n">
        <x:v>34547</x:v>
      </x:c>
      <x:c r="L936" s="55" t="n">
        <x:v>6834</x:v>
      </x:c>
      <x:c r="M936" s="55" t="n">
        <x:v>2087</x:v>
      </x:c>
      <x:c r="N936" s="55" t="n">
        <x:v>2935</x:v>
      </x:c>
      <x:c r="O936" s="55" t="n">
        <x:v>1812</x:v>
      </x:c>
      <x:c r="P936" s="55" t="n">
        <x:v>851</x:v>
      </x:c>
      <x:c r="Q936" s="55" t="n">
        <x:v>1503</x:v>
      </x:c>
      <x:c r="R936" s="55" t="n">
        <x:v>2075</x:v>
      </x:c>
      <x:c r="S936" s="55" t="n">
        <x:v>3243</x:v>
      </x:c>
      <x:c r="T936" s="55" t="n">
        <x:v>1799</x:v>
      </x:c>
      <x:c r="U936" s="55" t="n">
        <x:v>1646</x:v>
      </x:c>
      <x:c r="V936" s="55" t="n">
        <x:v>10915</x:v>
      </x:c>
      <x:c r="W936" s="55" t="n">
        <x:v>7583</x:v>
      </x:c>
      <x:c r="X936" s="55" t="n">
        <x:v>3332</x:v>
      </x:c>
      <x:c r="Y936" s="55" t="n">
        <x:v>2781</x:v>
      </x:c>
      <x:c r="Z936" s="55" t="n">
        <x:v>3757</x:v>
      </x:c>
      <x:c r="AA936" s="55" t="n">
        <x:v>3917</x:v>
      </x:c>
      <x:c r="AB936" s="55" t="n">
        <x:v>1269</x:v>
      </x:c>
      <x:c r="AC936" s="55" t="n">
        <x:v>8073</x:v>
      </x:c>
      <x:c r="AD936" s="55" t="n">
        <x:v>3019</x:v>
      </x:c>
      <x:c r="AE936" s="55" t="n">
        <x:v>11078</x:v>
      </x:c>
      <x:c r="AF936" s="55" t="n">
        <x:v>10915</x:v>
      </x:c>
      <x:c r="AG936" s="55" t="n">
        <x:v>163</x:v>
      </x:c>
      <x:c r="AH936" s="55" t="n">
        <x:v>548</x:v>
      </x:c>
      <x:c r="AI936" s="55" t="n">
        <x:v>10367</x:v>
      </x:c>
      <x:c r="AJ936" s="55" t="n">
        <x:v>512</x:v>
      </x:c>
      <x:c r="AK936" s="55" t="n">
        <x:v>1046</x:v>
      </x:c>
      <x:c r="AL936" s="55" t="n">
        <x:v>1782</x:v>
      </x:c>
      <x:c r="AM936" s="55" t="n">
        <x:v>5033</x:v>
      </x:c>
      <x:c r="AN936" s="55" t="n">
        <x:v>2492</x:v>
      </x:c>
      <x:c r="AO936" s="55" t="n">
        <x:v>50</x:v>
      </x:c>
      <x:c r="AP936" s="55" t="n">
        <x:v>3031</x:v>
      </x:c>
      <x:c r="AQ936" s="55" t="n">
        <x:v>995</x:v>
      </x:c>
    </x:row>
    <x:row r="937">
      <x:c r="A937" s="54" t="str">
        <x:v>T1_SHARED_CATCHMENT</x:v>
      </x:c>
      <x:c r="B937" s="54" t="n">
        <x:v>931</x:v>
      </x:c>
      <x:c r="C937" s="54" t="str">
        <x:v>NYC-V2-R01</x:v>
      </x:c>
      <x:c r="D937" s="54" t="str">
        <x:v>V2</x:v>
      </x:c>
      <x:c r="E937" s="54" t="str">
        <x:v>ADMITTED</x:v>
      </x:c>
      <x:c r="F937" s="55" t="n">
        <x:v>30473</x:v>
      </x:c>
      <x:c r="G937" s="55" t="n">
        <x:v>7176</x:v>
      </x:c>
      <x:c r="H937" s="55" t="n">
        <x:v>3503</x:v>
      </x:c>
      <x:c r="I937" s="55" t="n">
        <x:v>1308</x:v>
      </x:c>
      <x:c r="J937" s="55" t="n">
        <x:v>223</x:v>
      </x:c>
      <x:c r="K937" s="55" t="n">
        <x:v>28693</x:v>
      </x:c>
      <x:c r="L937" s="55" t="n">
        <x:v>6092</x:v>
      </x:c>
      <x:c r="M937" s="55" t="n">
        <x:v>1516</x:v>
      </x:c>
      <x:c r="N937" s="55" t="n">
        <x:v>3046</x:v>
      </x:c>
      <x:c r="O937" s="55" t="n">
        <x:v>1530</x:v>
      </x:c>
      <x:c r="P937" s="55" t="n">
        <x:v>1116</x:v>
      </x:c>
      <x:c r="Q937" s="55" t="n">
        <x:v>1666</x:v>
      </x:c>
      <x:c r="R937" s="55" t="n">
        <x:v>2299</x:v>
      </x:c>
      <x:c r="S937" s="55" t="n">
        <x:v>3131</x:v>
      </x:c>
      <x:c r="T937" s="55" t="n">
        <x:v>1151</x:v>
      </x:c>
      <x:c r="U937" s="55" t="n">
        <x:v>2249</x:v>
      </x:c>
      <x:c r="V937" s="55" t="n">
        <x:v>10547</x:v>
      </x:c>
      <x:c r="W937" s="55" t="n">
        <x:v>7810</x:v>
      </x:c>
      <x:c r="X937" s="55" t="n">
        <x:v>2737</x:v>
      </x:c>
      <x:c r="Y937" s="55" t="n">
        <x:v>2304</x:v>
      </x:c>
      <x:c r="Z937" s="55" t="n">
        <x:v>3607</x:v>
      </x:c>
      <x:c r="AA937" s="55" t="n">
        <x:v>2926</x:v>
      </x:c>
      <x:c r="AB937" s="55" t="n">
        <x:v>1355</x:v>
      </x:c>
      <x:c r="AC937" s="55" t="n">
        <x:v>7547</x:v>
      </x:c>
      <x:c r="AD937" s="55" t="n">
        <x:v>2997</x:v>
      </x:c>
      <x:c r="AE937" s="55" t="n">
        <x:v>10563</x:v>
      </x:c>
      <x:c r="AF937" s="55" t="n">
        <x:v>10547</x:v>
      </x:c>
      <x:c r="AG937" s="55" t="n">
        <x:v>16</x:v>
      </x:c>
      <x:c r="AH937" s="55" t="n">
        <x:v>208</x:v>
      </x:c>
      <x:c r="AI937" s="55" t="n">
        <x:v>10339</x:v>
      </x:c>
      <x:c r="AJ937" s="55" t="n">
        <x:v>84</x:v>
      </x:c>
      <x:c r="AK937" s="55" t="n">
        <x:v>1126</x:v>
      </x:c>
      <x:c r="AL937" s="55" t="n">
        <x:v>1564</x:v>
      </x:c>
      <x:c r="AM937" s="55" t="n">
        <x:v>5083</x:v>
      </x:c>
      <x:c r="AN937" s="55" t="n">
        <x:v>2690</x:v>
      </x:c>
      <x:c r="AO937" s="55" t="n">
        <x:v>0</x:v>
      </x:c>
      <x:c r="AP937" s="55" t="n">
        <x:v>2326</x:v>
      </x:c>
      <x:c r="AQ937" s="55" t="n">
        <x:v>940</x:v>
      </x:c>
    </x:row>
    <x:row r="938">
      <x:c r="A938" s="54" t="str">
        <x:v>T1_SHARED_CATCHMENT</x:v>
      </x:c>
      <x:c r="B938" s="54" t="n">
        <x:v>932</x:v>
      </x:c>
      <x:c r="C938" s="54" t="str">
        <x:v>NYC-V2-R01</x:v>
      </x:c>
      <x:c r="D938" s="54" t="str">
        <x:v>V2</x:v>
      </x:c>
      <x:c r="E938" s="54" t="str">
        <x:v>ADMITTED</x:v>
      </x:c>
      <x:c r="F938" s="55" t="n">
        <x:v>28825</x:v>
      </x:c>
      <x:c r="G938" s="55" t="n">
        <x:v>6662</x:v>
      </x:c>
      <x:c r="H938" s="55" t="n">
        <x:v>2793</x:v>
      </x:c>
      <x:c r="I938" s="55" t="n">
        <x:v>643</x:v>
      </x:c>
      <x:c r="J938" s="55" t="n">
        <x:v>71</x:v>
      </x:c>
      <x:c r="K938" s="55" t="n">
        <x:v>27515</x:v>
      </x:c>
      <x:c r="L938" s="55" t="n">
        <x:v>3790</x:v>
      </x:c>
      <x:c r="M938" s="55" t="n">
        <x:v>0</x:v>
      </x:c>
      <x:c r="N938" s="55" t="n">
        <x:v>2339</x:v>
      </x:c>
      <x:c r="O938" s="55" t="n">
        <x:v>1451</x:v>
      </x:c>
      <x:c r="P938" s="55" t="n">
        <x:v>710</x:v>
      </x:c>
      <x:c r="Q938" s="55" t="n">
        <x:v>1430</x:v>
      </x:c>
      <x:c r="R938" s="55" t="n">
        <x:v>1574</x:v>
      </x:c>
      <x:c r="S938" s="55" t="n">
        <x:v>2652</x:v>
      </x:c>
      <x:c r="T938" s="55" t="n">
        <x:v>1315</x:v>
      </x:c>
      <x:c r="U938" s="55" t="n">
        <x:v>1930</x:v>
      </x:c>
      <x:c r="V938" s="55" t="n">
        <x:v>9938</x:v>
      </x:c>
      <x:c r="W938" s="55" t="n">
        <x:v>6702</x:v>
      </x:c>
      <x:c r="X938" s="55" t="n">
        <x:v>3236</x:v>
      </x:c>
      <x:c r="Y938" s="55" t="n">
        <x:v>2533</x:v>
      </x:c>
      <x:c r="Z938" s="55" t="n">
        <x:v>3896</x:v>
      </x:c>
      <x:c r="AA938" s="55" t="n">
        <x:v>2767</x:v>
      </x:c>
      <x:c r="AB938" s="55" t="n">
        <x:v>1235</x:v>
      </x:c>
      <x:c r="AC938" s="55" t="n">
        <x:v>7981</x:v>
      </x:c>
      <x:c r="AD938" s="55" t="n">
        <x:v>3110</x:v>
      </x:c>
      <x:c r="AE938" s="55" t="n">
        <x:v>10137</x:v>
      </x:c>
      <x:c r="AF938" s="55" t="n">
        <x:v>9938</x:v>
      </x:c>
      <x:c r="AG938" s="55" t="n">
        <x:v>199</x:v>
      </x:c>
      <x:c r="AH938" s="55" t="n">
        <x:v>494</x:v>
      </x:c>
      <x:c r="AI938" s="55" t="n">
        <x:v>9444</x:v>
      </x:c>
      <x:c r="AJ938" s="55" t="n">
        <x:v>538</x:v>
      </x:c>
      <x:c r="AK938" s="55" t="n">
        <x:v>888</x:v>
      </x:c>
      <x:c r="AL938" s="55" t="n">
        <x:v>2310</x:v>
      </x:c>
      <x:c r="AM938" s="55" t="n">
        <x:v>4198</x:v>
      </x:c>
      <x:c r="AN938" s="55" t="n">
        <x:v>2004</x:v>
      </x:c>
      <x:c r="AO938" s="55" t="n">
        <x:v>0</x:v>
      </x:c>
      <x:c r="AP938" s="55" t="n">
        <x:v>1995</x:v>
      </x:c>
      <x:c r="AQ938" s="55" t="n">
        <x:v>969</x:v>
      </x:c>
    </x:row>
    <x:row r="939">
      <x:c r="A939" s="54" t="str">
        <x:v>T1_SHARED_CATCHMENT</x:v>
      </x:c>
      <x:c r="B939" s="54" t="n">
        <x:v>933</x:v>
      </x:c>
      <x:c r="C939" s="54" t="str">
        <x:v>NYC-V2-R01</x:v>
      </x:c>
      <x:c r="D939" s="54" t="str">
        <x:v>V2</x:v>
      </x:c>
      <x:c r="E939" s="54" t="str">
        <x:v>ADMITTED</x:v>
      </x:c>
      <x:c r="F939" s="55" t="n">
        <x:v>30166</x:v>
      </x:c>
      <x:c r="G939" s="55" t="n">
        <x:v>6691</x:v>
      </x:c>
      <x:c r="H939" s="55" t="n">
        <x:v>3263</x:v>
      </x:c>
      <x:c r="I939" s="55" t="n">
        <x:v>976</x:v>
      </x:c>
      <x:c r="J939" s="55" t="n">
        <x:v>79</x:v>
      </x:c>
      <x:c r="K939" s="55" t="n">
        <x:v>29357</x:v>
      </x:c>
      <x:c r="L939" s="55" t="n">
        <x:v>5311</x:v>
      </x:c>
      <x:c r="M939" s="55" t="n">
        <x:v>373</x:v>
      </x:c>
      <x:c r="N939" s="55" t="n">
        <x:v>2837</x:v>
      </x:c>
      <x:c r="O939" s="55" t="n">
        <x:v>2101</x:v>
      </x:c>
      <x:c r="P939" s="55" t="n">
        <x:v>798</x:v>
      </x:c>
      <x:c r="Q939" s="55" t="n">
        <x:v>1754</x:v>
      </x:c>
      <x:c r="R939" s="55" t="n">
        <x:v>1916</x:v>
      </x:c>
      <x:c r="S939" s="55" t="n">
        <x:v>2566</x:v>
      </x:c>
      <x:c r="T939" s="55" t="n">
        <x:v>1296</x:v>
      </x:c>
      <x:c r="U939" s="55" t="n">
        <x:v>1929</x:v>
      </x:c>
      <x:c r="V939" s="55" t="n">
        <x:v>9976</x:v>
      </x:c>
      <x:c r="W939" s="55" t="n">
        <x:v>6876</x:v>
      </x:c>
      <x:c r="X939" s="55" t="n">
        <x:v>3100</x:v>
      </x:c>
      <x:c r="Y939" s="55" t="n">
        <x:v>2706</x:v>
      </x:c>
      <x:c r="Z939" s="55" t="n">
        <x:v>3233</x:v>
      </x:c>
      <x:c r="AA939" s="55" t="n">
        <x:v>3025</x:v>
      </x:c>
      <x:c r="AB939" s="55" t="n">
        <x:v>991</x:v>
      </x:c>
      <x:c r="AC939" s="55" t="n">
        <x:v>7448</x:v>
      </x:c>
      <x:c r="AD939" s="55" t="n">
        <x:v>2537</x:v>
      </x:c>
      <x:c r="AE939" s="55" t="n">
        <x:v>10016</x:v>
      </x:c>
      <x:c r="AF939" s="55" t="n">
        <x:v>9976</x:v>
      </x:c>
      <x:c r="AG939" s="55" t="n">
        <x:v>40</x:v>
      </x:c>
      <x:c r="AH939" s="55" t="n">
        <x:v>312</x:v>
      </x:c>
      <x:c r="AI939" s="55" t="n">
        <x:v>9664</x:v>
      </x:c>
      <x:c r="AJ939" s="55" t="n">
        <x:v>288</x:v>
      </x:c>
      <x:c r="AK939" s="55" t="n">
        <x:v>862</x:v>
      </x:c>
      <x:c r="AL939" s="55" t="n">
        <x:v>1546</x:v>
      </x:c>
      <x:c r="AM939" s="55" t="n">
        <x:v>4696</x:v>
      </x:c>
      <x:c r="AN939" s="55" t="n">
        <x:v>2498</x:v>
      </x:c>
      <x:c r="AO939" s="55" t="n">
        <x:v>86</x:v>
      </x:c>
      <x:c r="AP939" s="55" t="n">
        <x:v>1693</x:v>
      </x:c>
      <x:c r="AQ939" s="55" t="n">
        <x:v>932</x:v>
      </x:c>
    </x:row>
    <x:row r="940">
      <x:c r="A940" s="54" t="str">
        <x:v>T1_SHARED_CATCHMENT</x:v>
      </x:c>
      <x:c r="B940" s="54" t="n">
        <x:v>934</x:v>
      </x:c>
      <x:c r="C940" s="54" t="str">
        <x:v>NYC-V2-R01</x:v>
      </x:c>
      <x:c r="D940" s="54" t="str">
        <x:v>V2</x:v>
      </x:c>
      <x:c r="E940" s="54" t="str">
        <x:v>ADMITTED</x:v>
      </x:c>
      <x:c r="F940" s="55" t="n">
        <x:v>31844</x:v>
      </x:c>
      <x:c r="G940" s="55" t="n">
        <x:v>7518</x:v>
      </x:c>
      <x:c r="H940" s="55" t="n">
        <x:v>3343</x:v>
      </x:c>
      <x:c r="I940" s="55" t="n">
        <x:v>1368</x:v>
      </x:c>
      <x:c r="J940" s="55" t="n">
        <x:v>183</x:v>
      </x:c>
      <x:c r="K940" s="55" t="n">
        <x:v>30690</x:v>
      </x:c>
      <x:c r="L940" s="55" t="n">
        <x:v>4589</x:v>
      </x:c>
      <x:c r="M940" s="55" t="n">
        <x:v>904</x:v>
      </x:c>
      <x:c r="N940" s="55" t="n">
        <x:v>1946</x:v>
      </x:c>
      <x:c r="O940" s="55" t="n">
        <x:v>1739</x:v>
      </x:c>
      <x:c r="P940" s="55" t="n">
        <x:v>760</x:v>
      </x:c>
      <x:c r="Q940" s="55" t="n">
        <x:v>2961</x:v>
      </x:c>
      <x:c r="R940" s="55" t="n">
        <x:v>2155</x:v>
      </x:c>
      <x:c r="S940" s="55" t="n">
        <x:v>2748</x:v>
      </x:c>
      <x:c r="T940" s="55" t="n">
        <x:v>1419</x:v>
      </x:c>
      <x:c r="U940" s="55" t="n">
        <x:v>2037</x:v>
      </x:c>
      <x:c r="V940" s="55" t="n">
        <x:v>10351</x:v>
      </x:c>
      <x:c r="W940" s="55" t="n">
        <x:v>7539</x:v>
      </x:c>
      <x:c r="X940" s="55" t="n">
        <x:v>2812</x:v>
      </x:c>
      <x:c r="Y940" s="55" t="n">
        <x:v>2651</x:v>
      </x:c>
      <x:c r="Z940" s="55" t="n">
        <x:v>3623</x:v>
      </x:c>
      <x:c r="AA940" s="55" t="n">
        <x:v>3343</x:v>
      </x:c>
      <x:c r="AB940" s="55" t="n">
        <x:v>923</x:v>
      </x:c>
      <x:c r="AC940" s="55" t="n">
        <x:v>7836</x:v>
      </x:c>
      <x:c r="AD940" s="55" t="n">
        <x:v>3096</x:v>
      </x:c>
      <x:c r="AE940" s="55" t="n">
        <x:v>10498</x:v>
      </x:c>
      <x:c r="AF940" s="55" t="n">
        <x:v>10351</x:v>
      </x:c>
      <x:c r="AG940" s="55" t="n">
        <x:v>147</x:v>
      </x:c>
      <x:c r="AH940" s="55" t="n">
        <x:v>268</x:v>
      </x:c>
      <x:c r="AI940" s="55" t="n">
        <x:v>10083</x:v>
      </x:c>
      <x:c r="AJ940" s="55" t="n">
        <x:v>351</x:v>
      </x:c>
      <x:c r="AK940" s="55" t="n">
        <x:v>913</x:v>
      </x:c>
      <x:c r="AL940" s="55" t="n">
        <x:v>1491</x:v>
      </x:c>
      <x:c r="AM940" s="55" t="n">
        <x:v>4709</x:v>
      </x:c>
      <x:c r="AN940" s="55" t="n">
        <x:v>2887</x:v>
      </x:c>
      <x:c r="AO940" s="55" t="n">
        <x:v>0</x:v>
      </x:c>
      <x:c r="AP940" s="55" t="n">
        <x:v>1930</x:v>
      </x:c>
      <x:c r="AQ940" s="55" t="n">
        <x:v>902</x:v>
      </x:c>
    </x:row>
    <x:row r="941">
      <x:c r="A941" s="54" t="str">
        <x:v>T1_SHARED_CATCHMENT</x:v>
      </x:c>
      <x:c r="B941" s="54" t="n">
        <x:v>935</x:v>
      </x:c>
      <x:c r="C941" s="54" t="str">
        <x:v>NYC-V2-R01</x:v>
      </x:c>
      <x:c r="D941" s="54" t="str">
        <x:v>V2</x:v>
      </x:c>
      <x:c r="E941" s="54" t="str">
        <x:v>ADMITTED</x:v>
      </x:c>
      <x:c r="F941" s="55" t="n">
        <x:v>32063</x:v>
      </x:c>
      <x:c r="G941" s="55" t="n">
        <x:v>8421</x:v>
      </x:c>
      <x:c r="H941" s="55" t="n">
        <x:v>3320</x:v>
      </x:c>
      <x:c r="I941" s="55" t="n">
        <x:v>1235</x:v>
      </x:c>
      <x:c r="J941" s="55" t="n">
        <x:v>380</x:v>
      </x:c>
      <x:c r="K941" s="55" t="n">
        <x:v>32063</x:v>
      </x:c>
      <x:c r="L941" s="55" t="n">
        <x:v>7059</x:v>
      </x:c>
      <x:c r="M941" s="55" t="n">
        <x:v>1431</x:v>
      </x:c>
      <x:c r="N941" s="55" t="n">
        <x:v>3742</x:v>
      </x:c>
      <x:c r="O941" s="55" t="n">
        <x:v>1886</x:v>
      </x:c>
      <x:c r="P941" s="55" t="n">
        <x:v>1406</x:v>
      </x:c>
      <x:c r="Q941" s="55" t="n">
        <x:v>2473</x:v>
      </x:c>
      <x:c r="R941" s="55" t="n">
        <x:v>2464</x:v>
      </x:c>
      <x:c r="S941" s="55" t="n">
        <x:v>3704</x:v>
      </x:c>
      <x:c r="T941" s="55" t="n">
        <x:v>1386</x:v>
      </x:c>
      <x:c r="U941" s="55" t="n">
        <x:v>2049</x:v>
      </x:c>
      <x:c r="V941" s="55" t="n">
        <x:v>11518</x:v>
      </x:c>
      <x:c r="W941" s="55" t="n">
        <x:v>8078</x:v>
      </x:c>
      <x:c r="X941" s="55" t="n">
        <x:v>3440</x:v>
      </x:c>
      <x:c r="Y941" s="55" t="n">
        <x:v>3059</x:v>
      </x:c>
      <x:c r="Z941" s="55" t="n">
        <x:v>4258</x:v>
      </x:c>
      <x:c r="AA941" s="55" t="n">
        <x:v>3320</x:v>
      </x:c>
      <x:c r="AB941" s="55" t="n">
        <x:v>1303</x:v>
      </x:c>
      <x:c r="AC941" s="55" t="n">
        <x:v>8633</x:v>
      </x:c>
      <x:c r="AD941" s="55" t="n">
        <x:v>3088</x:v>
      </x:c>
      <x:c r="AE941" s="55" t="n">
        <x:v>11628</x:v>
      </x:c>
      <x:c r="AF941" s="55" t="n">
        <x:v>11518</x:v>
      </x:c>
      <x:c r="AG941" s="55" t="n">
        <x:v>110</x:v>
      </x:c>
      <x:c r="AH941" s="55" t="n">
        <x:v>695</x:v>
      </x:c>
      <x:c r="AI941" s="55" t="n">
        <x:v>10823</x:v>
      </x:c>
      <x:c r="AJ941" s="55" t="n">
        <x:v>656</x:v>
      </x:c>
      <x:c r="AK941" s="55" t="n">
        <x:v>1044</x:v>
      </x:c>
      <x:c r="AL941" s="55" t="n">
        <x:v>1806</x:v>
      </x:c>
      <x:c r="AM941" s="55" t="n">
        <x:v>5286</x:v>
      </x:c>
      <x:c r="AN941" s="55" t="n">
        <x:v>2726</x:v>
      </x:c>
      <x:c r="AO941" s="55" t="n">
        <x:v>0</x:v>
      </x:c>
      <x:c r="AP941" s="55" t="n">
        <x:v>1936</x:v>
      </x:c>
      <x:c r="AQ941" s="55" t="n">
        <x:v>986</x:v>
      </x:c>
    </x:row>
    <x:row r="942">
      <x:c r="A942" s="54" t="str">
        <x:v>T1_SHARED_CATCHMENT</x:v>
      </x:c>
      <x:c r="B942" s="54" t="n">
        <x:v>936</x:v>
      </x:c>
      <x:c r="C942" s="54" t="str">
        <x:v>NYC-V2-R01</x:v>
      </x:c>
      <x:c r="D942" s="54" t="str">
        <x:v>V2</x:v>
      </x:c>
      <x:c r="E942" s="54" t="str">
        <x:v>ADMITTED</x:v>
      </x:c>
      <x:c r="F942" s="55" t="n">
        <x:v>30102</x:v>
      </x:c>
      <x:c r="G942" s="55" t="n">
        <x:v>7643</x:v>
      </x:c>
      <x:c r="H942" s="55" t="n">
        <x:v>3408</x:v>
      </x:c>
      <x:c r="I942" s="55" t="n">
        <x:v>1243</x:v>
      </x:c>
      <x:c r="J942" s="55" t="n">
        <x:v>282</x:v>
      </x:c>
      <x:c r="K942" s="55" t="n">
        <x:v>29571</x:v>
      </x:c>
      <x:c r="L942" s="55" t="n">
        <x:v>4599</x:v>
      </x:c>
      <x:c r="M942" s="55" t="n">
        <x:v>1</x:v>
      </x:c>
      <x:c r="N942" s="55" t="n">
        <x:v>2774</x:v>
      </x:c>
      <x:c r="O942" s="55" t="n">
        <x:v>1824</x:v>
      </x:c>
      <x:c r="P942" s="55" t="n">
        <x:v>1043</x:v>
      </x:c>
      <x:c r="Q942" s="55" t="n">
        <x:v>1914</x:v>
      </x:c>
      <x:c r="R942" s="55" t="n">
        <x:v>2086</x:v>
      </x:c>
      <x:c r="S942" s="55" t="n">
        <x:v>3146</x:v>
      </x:c>
      <x:c r="T942" s="55" t="n">
        <x:v>1254</x:v>
      </x:c>
      <x:c r="U942" s="55" t="n">
        <x:v>2281</x:v>
      </x:c>
      <x:c r="V942" s="55" t="n">
        <x:v>10159</x:v>
      </x:c>
      <x:c r="W942" s="55" t="n">
        <x:v>7448</x:v>
      </x:c>
      <x:c r="X942" s="55" t="n">
        <x:v>2711</x:v>
      </x:c>
      <x:c r="Y942" s="55" t="n">
        <x:v>2392</x:v>
      </x:c>
      <x:c r="Z942" s="55" t="n">
        <x:v>4186</x:v>
      </x:c>
      <x:c r="AA942" s="55" t="n">
        <x:v>2940</x:v>
      </x:c>
      <x:c r="AB942" s="55" t="n">
        <x:v>974</x:v>
      </x:c>
      <x:c r="AC942" s="55" t="n">
        <x:v>8350</x:v>
      </x:c>
      <x:c r="AD942" s="55" t="n">
        <x:v>2869</x:v>
      </x:c>
      <x:c r="AE942" s="55" t="n">
        <x:v>10314</x:v>
      </x:c>
      <x:c r="AF942" s="55" t="n">
        <x:v>10159</x:v>
      </x:c>
      <x:c r="AG942" s="55" t="n">
        <x:v>155</x:v>
      </x:c>
      <x:c r="AH942" s="55" t="n">
        <x:v>319</x:v>
      </x:c>
      <x:c r="AI942" s="55" t="n">
        <x:v>9840</x:v>
      </x:c>
      <x:c r="AJ942" s="55" t="n">
        <x:v>344</x:v>
      </x:c>
      <x:c r="AK942" s="55" t="n">
        <x:v>1048</x:v>
      </x:c>
      <x:c r="AL942" s="55" t="n">
        <x:v>1608</x:v>
      </x:c>
      <x:c r="AM942" s="55" t="n">
        <x:v>4352</x:v>
      </x:c>
      <x:c r="AN942" s="55" t="n">
        <x:v>2807</x:v>
      </x:c>
      <x:c r="AO942" s="55" t="n">
        <x:v>0</x:v>
      </x:c>
      <x:c r="AP942" s="55" t="n">
        <x:v>2452</x:v>
      </x:c>
      <x:c r="AQ942" s="55" t="n">
        <x:v>919</x:v>
      </x:c>
    </x:row>
    <x:row r="943">
      <x:c r="A943" s="54" t="str">
        <x:v>T1_SHARED_CATCHMENT</x:v>
      </x:c>
      <x:c r="B943" s="54" t="n">
        <x:v>937</x:v>
      </x:c>
      <x:c r="C943" s="54" t="str">
        <x:v>NYC-V2-R01</x:v>
      </x:c>
      <x:c r="D943" s="54" t="str">
        <x:v>V2</x:v>
      </x:c>
      <x:c r="E943" s="54" t="str">
        <x:v>ADMITTED</x:v>
      </x:c>
      <x:c r="F943" s="55" t="n">
        <x:v>31618</x:v>
      </x:c>
      <x:c r="G943" s="55" t="n">
        <x:v>8557</x:v>
      </x:c>
      <x:c r="H943" s="55" t="n">
        <x:v>3244</x:v>
      </x:c>
      <x:c r="I943" s="55" t="n">
        <x:v>929</x:v>
      </x:c>
      <x:c r="J943" s="55" t="n">
        <x:v>202</x:v>
      </x:c>
      <x:c r="K943" s="55" t="n">
        <x:v>28407</x:v>
      </x:c>
      <x:c r="L943" s="55" t="n">
        <x:v>4325</x:v>
      </x:c>
      <x:c r="M943" s="55" t="n">
        <x:v>0</x:v>
      </x:c>
      <x:c r="N943" s="55" t="n">
        <x:v>2442</x:v>
      </x:c>
      <x:c r="O943" s="55" t="n">
        <x:v>1883</x:v>
      </x:c>
      <x:c r="P943" s="55" t="n">
        <x:v>1101</x:v>
      </x:c>
      <x:c r="Q943" s="55" t="n">
        <x:v>2271</x:v>
      </x:c>
      <x:c r="R943" s="55" t="n">
        <x:v>1990</x:v>
      </x:c>
      <x:c r="S943" s="55" t="n">
        <x:v>3065</x:v>
      </x:c>
      <x:c r="T943" s="55" t="n">
        <x:v>1354</x:v>
      </x:c>
      <x:c r="U943" s="55" t="n">
        <x:v>1876</x:v>
      </x:c>
      <x:c r="V943" s="55" t="n">
        <x:v>11172</x:v>
      </x:c>
      <x:c r="W943" s="55" t="n">
        <x:v>7662</x:v>
      </x:c>
      <x:c r="X943" s="55" t="n">
        <x:v>3510</x:v>
      </x:c>
      <x:c r="Y943" s="55" t="n">
        <x:v>3052</x:v>
      </x:c>
      <x:c r="Z943" s="55" t="n">
        <x:v>3654</x:v>
      </x:c>
      <x:c r="AA943" s="55" t="n">
        <x:v>3048</x:v>
      </x:c>
      <x:c r="AB943" s="55" t="n">
        <x:v>1260</x:v>
      </x:c>
      <x:c r="AC943" s="55" t="n">
        <x:v>8872</x:v>
      </x:c>
      <x:c r="AD943" s="55" t="n">
        <x:v>2532</x:v>
      </x:c>
      <x:c r="AE943" s="55" t="n">
        <x:v>11219</x:v>
      </x:c>
      <x:c r="AF943" s="55" t="n">
        <x:v>11172</x:v>
      </x:c>
      <x:c r="AG943" s="55" t="n">
        <x:v>47</x:v>
      </x:c>
      <x:c r="AH943" s="55" t="n">
        <x:v>382</x:v>
      </x:c>
      <x:c r="AI943" s="55" t="n">
        <x:v>10790</x:v>
      </x:c>
      <x:c r="AJ943" s="55" t="n">
        <x:v>439</x:v>
      </x:c>
      <x:c r="AK943" s="55" t="n">
        <x:v>881</x:v>
      </x:c>
      <x:c r="AL943" s="55" t="n">
        <x:v>1531</x:v>
      </x:c>
      <x:c r="AM943" s="55" t="n">
        <x:v>4926</x:v>
      </x:c>
      <x:c r="AN943" s="55" t="n">
        <x:v>3395</x:v>
      </x:c>
      <x:c r="AO943" s="55" t="n">
        <x:v>0</x:v>
      </x:c>
      <x:c r="AP943" s="55" t="n">
        <x:v>2735</x:v>
      </x:c>
      <x:c r="AQ943" s="55" t="n">
        <x:v>975</x:v>
      </x:c>
    </x:row>
    <x:row r="944">
      <x:c r="A944" s="54" t="str">
        <x:v>T1_SHARED_CATCHMENT</x:v>
      </x:c>
      <x:c r="B944" s="54" t="n">
        <x:v>938</x:v>
      </x:c>
      <x:c r="C944" s="54" t="str">
        <x:v>NYC-V2-R01</x:v>
      </x:c>
      <x:c r="D944" s="54" t="str">
        <x:v>V2</x:v>
      </x:c>
      <x:c r="E944" s="54" t="str">
        <x:v>ADMITTED</x:v>
      </x:c>
      <x:c r="F944" s="55" t="n">
        <x:v>31429</x:v>
      </x:c>
      <x:c r="G944" s="55" t="n">
        <x:v>7711</x:v>
      </x:c>
      <x:c r="H944" s="55" t="n">
        <x:v>3591</x:v>
      </x:c>
      <x:c r="I944" s="55" t="n">
        <x:v>1337</x:v>
      </x:c>
      <x:c r="J944" s="55" t="n">
        <x:v>150</x:v>
      </x:c>
      <x:c r="K944" s="55" t="n">
        <x:v>31429</x:v>
      </x:c>
      <x:c r="L944" s="55" t="n">
        <x:v>5746</x:v>
      </x:c>
      <x:c r="M944" s="55" t="n">
        <x:v>1265</x:v>
      </x:c>
      <x:c r="N944" s="55" t="n">
        <x:v>2644</x:v>
      </x:c>
      <x:c r="O944" s="55" t="n">
        <x:v>1837</x:v>
      </x:c>
      <x:c r="P944" s="55" t="n">
        <x:v>918</x:v>
      </x:c>
      <x:c r="Q944" s="55" t="n">
        <x:v>3093</x:v>
      </x:c>
      <x:c r="R944" s="55" t="n">
        <x:v>1481</x:v>
      </x:c>
      <x:c r="S944" s="55" t="n">
        <x:v>2921</x:v>
      </x:c>
      <x:c r="T944" s="55" t="n">
        <x:v>1323</x:v>
      </x:c>
      <x:c r="U944" s="55" t="n">
        <x:v>1890</x:v>
      </x:c>
      <x:c r="V944" s="55" t="n">
        <x:v>10525</x:v>
      </x:c>
      <x:c r="W944" s="55" t="n">
        <x:v>7713</x:v>
      </x:c>
      <x:c r="X944" s="55" t="n">
        <x:v>2812</x:v>
      </x:c>
      <x:c r="Y944" s="55" t="n">
        <x:v>2457</x:v>
      </x:c>
      <x:c r="Z944" s="55" t="n">
        <x:v>3682</x:v>
      </x:c>
      <x:c r="AA944" s="55" t="n">
        <x:v>3591</x:v>
      </x:c>
      <x:c r="AB944" s="55" t="n">
        <x:v>1458</x:v>
      </x:c>
      <x:c r="AC944" s="55" t="n">
        <x:v>7954</x:v>
      </x:c>
      <x:c r="AD944" s="55" t="n">
        <x:v>2679</x:v>
      </x:c>
      <x:c r="AE944" s="55" t="n">
        <x:v>10569</x:v>
      </x:c>
      <x:c r="AF944" s="55" t="n">
        <x:v>10525</x:v>
      </x:c>
      <x:c r="AG944" s="55" t="n">
        <x:v>44</x:v>
      </x:c>
      <x:c r="AH944" s="55" t="n">
        <x:v>163</x:v>
      </x:c>
      <x:c r="AI944" s="55" t="n">
        <x:v>10362</x:v>
      </x:c>
      <x:c r="AJ944" s="55" t="n">
        <x:v>242</x:v>
      </x:c>
      <x:c r="AK944" s="55" t="n">
        <x:v>1066</x:v>
      </x:c>
      <x:c r="AL944" s="55" t="n">
        <x:v>1379</x:v>
      </x:c>
      <x:c r="AM944" s="55" t="n">
        <x:v>4955</x:v>
      </x:c>
      <x:c r="AN944" s="55" t="n">
        <x:v>2878</x:v>
      </x:c>
      <x:c r="AO944" s="55" t="n">
        <x:v>5</x:v>
      </x:c>
      <x:c r="AP944" s="55" t="n">
        <x:v>2642</x:v>
      </x:c>
      <x:c r="AQ944" s="55" t="n">
        <x:v>980</x:v>
      </x:c>
    </x:row>
    <x:row r="945">
      <x:c r="A945" s="54" t="str">
        <x:v>T1_SHARED_CATCHMENT</x:v>
      </x:c>
      <x:c r="B945" s="54" t="n">
        <x:v>939</x:v>
      </x:c>
      <x:c r="C945" s="54" t="str">
        <x:v>NYC-V2-R01</x:v>
      </x:c>
      <x:c r="D945" s="54" t="str">
        <x:v>V2</x:v>
      </x:c>
      <x:c r="E945" s="54" t="str">
        <x:v>ADMITTED</x:v>
      </x:c>
      <x:c r="F945" s="55" t="n">
        <x:v>32650</x:v>
      </x:c>
      <x:c r="G945" s="55" t="n">
        <x:v>9040</x:v>
      </x:c>
      <x:c r="H945" s="55" t="n">
        <x:v>3647</x:v>
      </x:c>
      <x:c r="I945" s="55" t="n">
        <x:v>1259</x:v>
      </x:c>
      <x:c r="J945" s="55" t="n">
        <x:v>307</x:v>
      </x:c>
      <x:c r="K945" s="55" t="n">
        <x:v>31878</x:v>
      </x:c>
      <x:c r="L945" s="55" t="n">
        <x:v>7033</x:v>
      </x:c>
      <x:c r="M945" s="55" t="n">
        <x:v>2016</x:v>
      </x:c>
      <x:c r="N945" s="55" t="n">
        <x:v>3124</x:v>
      </x:c>
      <x:c r="O945" s="55" t="n">
        <x:v>1893</x:v>
      </x:c>
      <x:c r="P945" s="55" t="n">
        <x:v>1030</x:v>
      </x:c>
      <x:c r="Q945" s="55" t="n">
        <x:v>2727</x:v>
      </x:c>
      <x:c r="R945" s="55" t="n">
        <x:v>1757</x:v>
      </x:c>
      <x:c r="S945" s="55" t="n">
        <x:v>2578</x:v>
      </x:c>
      <x:c r="T945" s="55" t="n">
        <x:v>1327</x:v>
      </x:c>
      <x:c r="U945" s="55" t="n">
        <x:v>1935</x:v>
      </x:c>
      <x:c r="V945" s="55" t="n">
        <x:v>9530</x:v>
      </x:c>
      <x:c r="W945" s="55" t="n">
        <x:v>6089</x:v>
      </x:c>
      <x:c r="X945" s="55" t="n">
        <x:v>3441</x:v>
      </x:c>
      <x:c r="Y945" s="55" t="n">
        <x:v>3020</x:v>
      </x:c>
      <x:c r="Z945" s="55" t="n">
        <x:v>3560</x:v>
      </x:c>
      <x:c r="AA945" s="55" t="n">
        <x:v>3647</x:v>
      </x:c>
      <x:c r="AB945" s="55" t="n">
        <x:v>1578</x:v>
      </x:c>
      <x:c r="AC945" s="55" t="n">
        <x:v>7911</x:v>
      </x:c>
      <x:c r="AD945" s="55" t="n">
        <x:v>2861</x:v>
      </x:c>
      <x:c r="AE945" s="55" t="n">
        <x:v>9623</x:v>
      </x:c>
      <x:c r="AF945" s="55" t="n">
        <x:v>9530</x:v>
      </x:c>
      <x:c r="AG945" s="55" t="n">
        <x:v>93</x:v>
      </x:c>
      <x:c r="AH945" s="55" t="n">
        <x:v>182</x:v>
      </x:c>
      <x:c r="AI945" s="55" t="n">
        <x:v>9348</x:v>
      </x:c>
      <x:c r="AJ945" s="55" t="n">
        <x:v>354</x:v>
      </x:c>
      <x:c r="AK945" s="55" t="n">
        <x:v>989</x:v>
      </x:c>
      <x:c r="AL945" s="55" t="n">
        <x:v>1495</x:v>
      </x:c>
      <x:c r="AM945" s="55" t="n">
        <x:v>4576</x:v>
      </x:c>
      <x:c r="AN945" s="55" t="n">
        <x:v>2097</x:v>
      </x:c>
      <x:c r="AO945" s="55" t="n">
        <x:v>19</x:v>
      </x:c>
      <x:c r="AP945" s="55" t="n">
        <x:v>2266</x:v>
      </x:c>
      <x:c r="AQ945" s="55" t="n">
        <x:v>949</x:v>
      </x:c>
    </x:row>
    <x:row r="946">
      <x:c r="A946" s="54" t="str">
        <x:v>T1_SHARED_CATCHMENT</x:v>
      </x:c>
      <x:c r="B946" s="54" t="n">
        <x:v>940</x:v>
      </x:c>
      <x:c r="C946" s="54" t="str">
        <x:v>NYC-V2-R01</x:v>
      </x:c>
      <x:c r="D946" s="54" t="str">
        <x:v>V2</x:v>
      </x:c>
      <x:c r="E946" s="54" t="str">
        <x:v>ADMITTED</x:v>
      </x:c>
      <x:c r="F946" s="55" t="n">
        <x:v>30325</x:v>
      </x:c>
      <x:c r="G946" s="55" t="n">
        <x:v>6647</x:v>
      </x:c>
      <x:c r="H946" s="55" t="n">
        <x:v>2877</x:v>
      </x:c>
      <x:c r="I946" s="55" t="n">
        <x:v>1050</x:v>
      </x:c>
      <x:c r="J946" s="55" t="n">
        <x:v>246</x:v>
      </x:c>
      <x:c r="K946" s="55" t="n">
        <x:v>28735</x:v>
      </x:c>
      <x:c r="L946" s="55" t="n">
        <x:v>4275</x:v>
      </x:c>
      <x:c r="M946" s="55" t="n">
        <x:v>744</x:v>
      </x:c>
      <x:c r="N946" s="55" t="n">
        <x:v>2010</x:v>
      </x:c>
      <x:c r="O946" s="55" t="n">
        <x:v>1521</x:v>
      </x:c>
      <x:c r="P946" s="55" t="n">
        <x:v>426</x:v>
      </x:c>
      <x:c r="Q946" s="55" t="n">
        <x:v>1544</x:v>
      </x:c>
      <x:c r="R946" s="55" t="n">
        <x:v>1748</x:v>
      </x:c>
      <x:c r="S946" s="55" t="n">
        <x:v>2195</x:v>
      </x:c>
      <x:c r="T946" s="55" t="n">
        <x:v>1032</x:v>
      </x:c>
      <x:c r="U946" s="55" t="n">
        <x:v>1325</x:v>
      </x:c>
      <x:c r="V946" s="55" t="n">
        <x:v>10119</x:v>
      </x:c>
      <x:c r="W946" s="55" t="n">
        <x:v>6718</x:v>
      </x:c>
      <x:c r="X946" s="55" t="n">
        <x:v>3401</x:v>
      </x:c>
      <x:c r="Y946" s="55" t="n">
        <x:v>2948</x:v>
      </x:c>
      <x:c r="Z946" s="55" t="n">
        <x:v>3117</x:v>
      </x:c>
      <x:c r="AA946" s="55" t="n">
        <x:v>2753</x:v>
      </x:c>
      <x:c r="AB946" s="55" t="n">
        <x:v>1053</x:v>
      </x:c>
      <x:c r="AC946" s="55" t="n">
        <x:v>7707</x:v>
      </x:c>
      <x:c r="AD946" s="55" t="n">
        <x:v>2492</x:v>
      </x:c>
      <x:c r="AE946" s="55" t="n">
        <x:v>10229</x:v>
      </x:c>
      <x:c r="AF946" s="55" t="n">
        <x:v>10119</x:v>
      </x:c>
      <x:c r="AG946" s="55" t="n">
        <x:v>110</x:v>
      </x:c>
      <x:c r="AH946" s="55" t="n">
        <x:v>310</x:v>
      </x:c>
      <x:c r="AI946" s="55" t="n">
        <x:v>9809</x:v>
      </x:c>
      <x:c r="AJ946" s="55" t="n">
        <x:v>290</x:v>
      </x:c>
      <x:c r="AK946" s="55" t="n">
        <x:v>801</x:v>
      </x:c>
      <x:c r="AL946" s="55" t="n">
        <x:v>1680</x:v>
      </x:c>
      <x:c r="AM946" s="55" t="n">
        <x:v>4513</x:v>
      </x:c>
      <x:c r="AN946" s="55" t="n">
        <x:v>2835</x:v>
      </x:c>
      <x:c r="AO946" s="55" t="n">
        <x:v>0</x:v>
      </x:c>
      <x:c r="AP946" s="55" t="n">
        <x:v>2483</x:v>
      </x:c>
      <x:c r="AQ946" s="55" t="n">
        <x:v>896</x:v>
      </x:c>
    </x:row>
    <x:row r="947">
      <x:c r="A947" s="54" t="str">
        <x:v>T1_SHARED_CATCHMENT</x:v>
      </x:c>
      <x:c r="B947" s="54" t="n">
        <x:v>941</x:v>
      </x:c>
      <x:c r="C947" s="54" t="str">
        <x:v>NYC-V2-R01</x:v>
      </x:c>
      <x:c r="D947" s="54" t="str">
        <x:v>V2</x:v>
      </x:c>
      <x:c r="E947" s="54" t="str">
        <x:v>ADMITTED</x:v>
      </x:c>
      <x:c r="F947" s="55" t="n">
        <x:v>34364</x:v>
      </x:c>
      <x:c r="G947" s="55" t="n">
        <x:v>8447</x:v>
      </x:c>
      <x:c r="H947" s="55" t="n">
        <x:v>3362</x:v>
      </x:c>
      <x:c r="I947" s="55" t="n">
        <x:v>1173</x:v>
      </x:c>
      <x:c r="J947" s="55" t="n">
        <x:v>284</x:v>
      </x:c>
      <x:c r="K947" s="55" t="n">
        <x:v>34364</x:v>
      </x:c>
      <x:c r="L947" s="55" t="n">
        <x:v>7571</x:v>
      </x:c>
      <x:c r="M947" s="55" t="n">
        <x:v>2489</x:v>
      </x:c>
      <x:c r="N947" s="55" t="n">
        <x:v>3216</x:v>
      </x:c>
      <x:c r="O947" s="55" t="n">
        <x:v>1866</x:v>
      </x:c>
      <x:c r="P947" s="55" t="n">
        <x:v>1048</x:v>
      </x:c>
      <x:c r="Q947" s="55" t="n">
        <x:v>2769</x:v>
      </x:c>
      <x:c r="R947" s="55" t="n">
        <x:v>1735</x:v>
      </x:c>
      <x:c r="S947" s="55" t="n">
        <x:v>2963</x:v>
      </x:c>
      <x:c r="T947" s="55" t="n">
        <x:v>1305</x:v>
      </x:c>
      <x:c r="U947" s="55" t="n">
        <x:v>2340</x:v>
      </x:c>
      <x:c r="V947" s="55" t="n">
        <x:v>10439</x:v>
      </x:c>
      <x:c r="W947" s="55" t="n">
        <x:v>7389</x:v>
      </x:c>
      <x:c r="X947" s="55" t="n">
        <x:v>3050</x:v>
      </x:c>
      <x:c r="Y947" s="55" t="n">
        <x:v>2641</x:v>
      </x:c>
      <x:c r="Z947" s="55" t="n">
        <x:v>3815</x:v>
      </x:c>
      <x:c r="AA947" s="55" t="n">
        <x:v>3362</x:v>
      </x:c>
      <x:c r="AB947" s="55" t="n">
        <x:v>1458</x:v>
      </x:c>
      <x:c r="AC947" s="55" t="n">
        <x:v>8047</x:v>
      </x:c>
      <x:c r="AD947" s="55" t="n">
        <x:v>3178</x:v>
      </x:c>
      <x:c r="AE947" s="55" t="n">
        <x:v>10557</x:v>
      </x:c>
      <x:c r="AF947" s="55" t="n">
        <x:v>10439</x:v>
      </x:c>
      <x:c r="AG947" s="55" t="n">
        <x:v>118</x:v>
      </x:c>
      <x:c r="AH947" s="55" t="n">
        <x:v>424</x:v>
      </x:c>
      <x:c r="AI947" s="55" t="n">
        <x:v>10015</x:v>
      </x:c>
      <x:c r="AJ947" s="55" t="n">
        <x:v>388</x:v>
      </x:c>
      <x:c r="AK947" s="55" t="n">
        <x:v>1022</x:v>
      </x:c>
      <x:c r="AL947" s="55" t="n">
        <x:v>1544</x:v>
      </x:c>
      <x:c r="AM947" s="55" t="n">
        <x:v>4704</x:v>
      </x:c>
      <x:c r="AN947" s="55" t="n">
        <x:v>2767</x:v>
      </x:c>
      <x:c r="AO947" s="55" t="n">
        <x:v>14</x:v>
      </x:c>
      <x:c r="AP947" s="55" t="n">
        <x:v>2371</x:v>
      </x:c>
      <x:c r="AQ947" s="55" t="n">
        <x:v>977</x:v>
      </x:c>
    </x:row>
    <x:row r="948">
      <x:c r="A948" s="54" t="str">
        <x:v>T1_SHARED_CATCHMENT</x:v>
      </x:c>
      <x:c r="B948" s="54" t="n">
        <x:v>942</x:v>
      </x:c>
      <x:c r="C948" s="54" t="str">
        <x:v>NYC-V2-R01</x:v>
      </x:c>
      <x:c r="D948" s="54" t="str">
        <x:v>V2</x:v>
      </x:c>
      <x:c r="E948" s="54" t="str">
        <x:v>ADMITTED</x:v>
      </x:c>
      <x:c r="F948" s="55" t="n">
        <x:v>32017</x:v>
      </x:c>
      <x:c r="G948" s="55" t="n">
        <x:v>5875</x:v>
      </x:c>
      <x:c r="H948" s="55" t="n">
        <x:v>3469</x:v>
      </x:c>
      <x:c r="I948" s="55" t="n">
        <x:v>1732</x:v>
      </x:c>
      <x:c r="J948" s="55" t="n">
        <x:v>258</x:v>
      </x:c>
      <x:c r="K948" s="55" t="n">
        <x:v>32017</x:v>
      </x:c>
      <x:c r="L948" s="55" t="n">
        <x:v>6729</x:v>
      </x:c>
      <x:c r="M948" s="55" t="n">
        <x:v>2111</x:v>
      </x:c>
      <x:c r="N948" s="55" t="n">
        <x:v>2841</x:v>
      </x:c>
      <x:c r="O948" s="55" t="n">
        <x:v>1777</x:v>
      </x:c>
      <x:c r="P948" s="55" t="n">
        <x:v>628</x:v>
      </x:c>
      <x:c r="Q948" s="55" t="n">
        <x:v>1616</x:v>
      </x:c>
      <x:c r="R948" s="55" t="n">
        <x:v>1874</x:v>
      </x:c>
      <x:c r="S948" s="55" t="n">
        <x:v>2628</x:v>
      </x:c>
      <x:c r="T948" s="55" t="n">
        <x:v>1295</x:v>
      </x:c>
      <x:c r="U948" s="55" t="n">
        <x:v>1848</x:v>
      </x:c>
      <x:c r="V948" s="55" t="n">
        <x:v>10994</x:v>
      </x:c>
      <x:c r="W948" s="55" t="n">
        <x:v>8171</x:v>
      </x:c>
      <x:c r="X948" s="55" t="n">
        <x:v>2823</x:v>
      </x:c>
      <x:c r="Y948" s="55" t="n">
        <x:v>2424</x:v>
      </x:c>
      <x:c r="Z948" s="55" t="n">
        <x:v>3780</x:v>
      </x:c>
      <x:c r="AA948" s="55" t="n">
        <x:v>2520</x:v>
      </x:c>
      <x:c r="AB948" s="55" t="n">
        <x:v>1041</x:v>
      </x:c>
      <x:c r="AC948" s="55" t="n">
        <x:v>8166</x:v>
      </x:c>
      <x:c r="AD948" s="55" t="n">
        <x:v>2729</x:v>
      </x:c>
      <x:c r="AE948" s="55" t="n">
        <x:v>11086</x:v>
      </x:c>
      <x:c r="AF948" s="55" t="n">
        <x:v>10994</x:v>
      </x:c>
      <x:c r="AG948" s="55" t="n">
        <x:v>92</x:v>
      </x:c>
      <x:c r="AH948" s="55" t="n">
        <x:v>575</x:v>
      </x:c>
      <x:c r="AI948" s="55" t="n">
        <x:v>10419</x:v>
      </x:c>
      <x:c r="AJ948" s="55" t="n">
        <x:v>155</x:v>
      </x:c>
      <x:c r="AK948" s="55" t="n">
        <x:v>828</x:v>
      </x:c>
      <x:c r="AL948" s="55" t="n">
        <x:v>2002</x:v>
      </x:c>
      <x:c r="AM948" s="55" t="n">
        <x:v>4793</x:v>
      </x:c>
      <x:c r="AN948" s="55" t="n">
        <x:v>3216</x:v>
      </x:c>
      <x:c r="AO948" s="55" t="n">
        <x:v>0</x:v>
      </x:c>
      <x:c r="AP948" s="55" t="n">
        <x:v>2486</x:v>
      </x:c>
      <x:c r="AQ948" s="55" t="n">
        <x:v>906</x:v>
      </x:c>
    </x:row>
    <x:row r="949">
      <x:c r="A949" s="54" t="str">
        <x:v>T1_SHARED_CATCHMENT</x:v>
      </x:c>
      <x:c r="B949" s="54" t="n">
        <x:v>943</x:v>
      </x:c>
      <x:c r="C949" s="54" t="str">
        <x:v>NYC-V2-R01</x:v>
      </x:c>
      <x:c r="D949" s="54" t="str">
        <x:v>V2</x:v>
      </x:c>
      <x:c r="E949" s="54" t="str">
        <x:v>ADMITTED</x:v>
      </x:c>
      <x:c r="F949" s="55" t="n">
        <x:v>33273</x:v>
      </x:c>
      <x:c r="G949" s="55" t="n">
        <x:v>7253</x:v>
      </x:c>
      <x:c r="H949" s="55" t="n">
        <x:v>3365</x:v>
      </x:c>
      <x:c r="I949" s="55" t="n">
        <x:v>1370</x:v>
      </x:c>
      <x:c r="J949" s="55" t="n">
        <x:v>285</x:v>
      </x:c>
      <x:c r="K949" s="55" t="n">
        <x:v>33273</x:v>
      </x:c>
      <x:c r="L949" s="55" t="n">
        <x:v>6042</x:v>
      </x:c>
      <x:c r="M949" s="55" t="n">
        <x:v>1382</x:v>
      </x:c>
      <x:c r="N949" s="55" t="n">
        <x:v>2928</x:v>
      </x:c>
      <x:c r="O949" s="55" t="n">
        <x:v>1732</x:v>
      </x:c>
      <x:c r="P949" s="55" t="n">
        <x:v>1047</x:v>
      </x:c>
      <x:c r="Q949" s="55" t="n">
        <x:v>3618</x:v>
      </x:c>
      <x:c r="R949" s="55" t="n">
        <x:v>1519</x:v>
      </x:c>
      <x:c r="S949" s="55" t="n">
        <x:v>3389</x:v>
      </x:c>
      <x:c r="T949" s="55" t="n">
        <x:v>946</x:v>
      </x:c>
      <x:c r="U949" s="55" t="n">
        <x:v>2442</x:v>
      </x:c>
      <x:c r="V949" s="55" t="n">
        <x:v>10326</x:v>
      </x:c>
      <x:c r="W949" s="55" t="n">
        <x:v>7149</x:v>
      </x:c>
      <x:c r="X949" s="55" t="n">
        <x:v>3177</x:v>
      </x:c>
      <x:c r="Y949" s="55" t="n">
        <x:v>2738</x:v>
      </x:c>
      <x:c r="Z949" s="55" t="n">
        <x:v>3645</x:v>
      </x:c>
      <x:c r="AA949" s="55" t="n">
        <x:v>2700</x:v>
      </x:c>
      <x:c r="AB949" s="55" t="n">
        <x:v>1299</x:v>
      </x:c>
      <x:c r="AC949" s="55" t="n">
        <x:v>8168</x:v>
      </x:c>
      <x:c r="AD949" s="55" t="n">
        <x:v>3042</x:v>
      </x:c>
      <x:c r="AE949" s="55" t="n">
        <x:v>10451</x:v>
      </x:c>
      <x:c r="AF949" s="55" t="n">
        <x:v>10326</x:v>
      </x:c>
      <x:c r="AG949" s="55" t="n">
        <x:v>125</x:v>
      </x:c>
      <x:c r="AH949" s="55" t="n">
        <x:v>389</x:v>
      </x:c>
      <x:c r="AI949" s="55" t="n">
        <x:v>9937</x:v>
      </x:c>
      <x:c r="AJ949" s="55" t="n">
        <x:v>301</x:v>
      </x:c>
      <x:c r="AK949" s="55" t="n">
        <x:v>1222</x:v>
      </x:c>
      <x:c r="AL949" s="55" t="n">
        <x:v>1303</x:v>
      </x:c>
      <x:c r="AM949" s="55" t="n">
        <x:v>4883</x:v>
      </x:c>
      <x:c r="AN949" s="55" t="n">
        <x:v>2584</x:v>
      </x:c>
      <x:c r="AO949" s="55" t="n">
        <x:v>33</x:v>
      </x:c>
      <x:c r="AP949" s="55" t="n">
        <x:v>2098</x:v>
      </x:c>
      <x:c r="AQ949" s="55" t="n">
        <x:v>971</x:v>
      </x:c>
    </x:row>
    <x:row r="950">
      <x:c r="A950" s="54" t="str">
        <x:v>T1_SHARED_CATCHMENT</x:v>
      </x:c>
      <x:c r="B950" s="54" t="n">
        <x:v>944</x:v>
      </x:c>
      <x:c r="C950" s="54" t="str">
        <x:v>NYC-V2-R01</x:v>
      </x:c>
      <x:c r="D950" s="54" t="str">
        <x:v>V2</x:v>
      </x:c>
      <x:c r="E950" s="54" t="str">
        <x:v>ADMITTED</x:v>
      </x:c>
      <x:c r="F950" s="55" t="n">
        <x:v>30111</x:v>
      </x:c>
      <x:c r="G950" s="55" t="n">
        <x:v>7058</x:v>
      </x:c>
      <x:c r="H950" s="55" t="n">
        <x:v>3002</x:v>
      </x:c>
      <x:c r="I950" s="55" t="n">
        <x:v>1319</x:v>
      </x:c>
      <x:c r="J950" s="55" t="n">
        <x:v>36</x:v>
      </x:c>
      <x:c r="K950" s="55" t="n">
        <x:v>30111</x:v>
      </x:c>
      <x:c r="L950" s="55" t="n">
        <x:v>6173</x:v>
      </x:c>
      <x:c r="M950" s="55" t="n">
        <x:v>1926</x:v>
      </x:c>
      <x:c r="N950" s="55" t="n">
        <x:v>2292</x:v>
      </x:c>
      <x:c r="O950" s="55" t="n">
        <x:v>1955</x:v>
      </x:c>
      <x:c r="P950" s="55" t="n">
        <x:v>869</x:v>
      </x:c>
      <x:c r="Q950" s="55" t="n">
        <x:v>2490</x:v>
      </x:c>
      <x:c r="R950" s="55" t="n">
        <x:v>1894</x:v>
      </x:c>
      <x:c r="S950" s="55" t="n">
        <x:v>2739</x:v>
      </x:c>
      <x:c r="T950" s="55" t="n">
        <x:v>1379</x:v>
      </x:c>
      <x:c r="U950" s="55" t="n">
        <x:v>1841</x:v>
      </x:c>
      <x:c r="V950" s="55" t="n">
        <x:v>10650</x:v>
      </x:c>
      <x:c r="W950" s="55" t="n">
        <x:v>7416</x:v>
      </x:c>
      <x:c r="X950" s="55" t="n">
        <x:v>3234</x:v>
      </x:c>
      <x:c r="Y950" s="55" t="n">
        <x:v>2662</x:v>
      </x:c>
      <x:c r="Z950" s="55" t="n">
        <x:v>3675</x:v>
      </x:c>
      <x:c r="AA950" s="55" t="n">
        <x:v>3002</x:v>
      </x:c>
      <x:c r="AB950" s="55" t="n">
        <x:v>1097</x:v>
      </x:c>
      <x:c r="AC950" s="55" t="n">
        <x:v>7909</x:v>
      </x:c>
      <x:c r="AD950" s="55" t="n">
        <x:v>3347</x:v>
      </x:c>
      <x:c r="AE950" s="55" t="n">
        <x:v>10770</x:v>
      </x:c>
      <x:c r="AF950" s="55" t="n">
        <x:v>10650</x:v>
      </x:c>
      <x:c r="AG950" s="55" t="n">
        <x:v>120</x:v>
      </x:c>
      <x:c r="AH950" s="55" t="n">
        <x:v>430</x:v>
      </x:c>
      <x:c r="AI950" s="55" t="n">
        <x:v>10220</x:v>
      </x:c>
      <x:c r="AJ950" s="55" t="n">
        <x:v>302</x:v>
      </x:c>
      <x:c r="AK950" s="55" t="n">
        <x:v>1391</x:v>
      </x:c>
      <x:c r="AL950" s="55" t="n">
        <x:v>1476</x:v>
      </x:c>
      <x:c r="AM950" s="55" t="n">
        <x:v>5782</x:v>
      </x:c>
      <x:c r="AN950" s="55" t="n">
        <x:v>1699</x:v>
      </x:c>
      <x:c r="AO950" s="55" t="n">
        <x:v>0</x:v>
      </x:c>
      <x:c r="AP950" s="55" t="n">
        <x:v>2173</x:v>
      </x:c>
      <x:c r="AQ950" s="55" t="n">
        <x:v>981</x:v>
      </x:c>
    </x:row>
    <x:row r="951">
      <x:c r="A951" s="54" t="str">
        <x:v>T1_SHARED_CATCHMENT</x:v>
      </x:c>
      <x:c r="B951" s="54" t="n">
        <x:v>945</x:v>
      </x:c>
      <x:c r="C951" s="54" t="str">
        <x:v>NYC-V2-R01</x:v>
      </x:c>
      <x:c r="D951" s="54" t="str">
        <x:v>V2</x:v>
      </x:c>
      <x:c r="E951" s="54" t="str">
        <x:v>ADMITTED</x:v>
      </x:c>
      <x:c r="F951" s="55" t="n">
        <x:v>31493</x:v>
      </x:c>
      <x:c r="G951" s="55" t="n">
        <x:v>6604</x:v>
      </x:c>
      <x:c r="H951" s="55" t="n">
        <x:v>2838</x:v>
      </x:c>
      <x:c r="I951" s="55" t="n">
        <x:v>1044</x:v>
      </x:c>
      <x:c r="J951" s="55" t="n">
        <x:v>242</x:v>
      </x:c>
      <x:c r="K951" s="55" t="n">
        <x:v>31493</x:v>
      </x:c>
      <x:c r="L951" s="55" t="n">
        <x:v>4593</x:v>
      </x:c>
      <x:c r="M951" s="55" t="n">
        <x:v>900</x:v>
      </x:c>
      <x:c r="N951" s="55" t="n">
        <x:v>2544</x:v>
      </x:c>
      <x:c r="O951" s="55" t="n">
        <x:v>1149</x:v>
      </x:c>
      <x:c r="P951" s="55" t="n">
        <x:v>870</x:v>
      </x:c>
      <x:c r="Q951" s="55" t="n">
        <x:v>1916</x:v>
      </x:c>
      <x:c r="R951" s="55" t="n">
        <x:v>1582</x:v>
      </x:c>
      <x:c r="S951" s="55" t="n">
        <x:v>2350</x:v>
      </x:c>
      <x:c r="T951" s="55" t="n">
        <x:v>1425</x:v>
      </x:c>
      <x:c r="U951" s="55" t="n">
        <x:v>2281</x:v>
      </x:c>
      <x:c r="V951" s="55" t="n">
        <x:v>9783</x:v>
      </x:c>
      <x:c r="W951" s="55" t="n">
        <x:v>7230</x:v>
      </x:c>
      <x:c r="X951" s="55" t="n">
        <x:v>2553</x:v>
      </x:c>
      <x:c r="Y951" s="55" t="n">
        <x:v>1881</x:v>
      </x:c>
      <x:c r="Z951" s="55" t="n">
        <x:v>3080</x:v>
      </x:c>
      <x:c r="AA951" s="55" t="n">
        <x:v>2328</x:v>
      </x:c>
      <x:c r="AB951" s="55" t="n">
        <x:v>775</x:v>
      </x:c>
      <x:c r="AC951" s="55" t="n">
        <x:v>8094</x:v>
      </x:c>
      <x:c r="AD951" s="55" t="n">
        <x:v>2525</x:v>
      </x:c>
      <x:c r="AE951" s="55" t="n">
        <x:v>9920</x:v>
      </x:c>
      <x:c r="AF951" s="55" t="n">
        <x:v>9783</x:v>
      </x:c>
      <x:c r="AG951" s="55" t="n">
        <x:v>137</x:v>
      </x:c>
      <x:c r="AH951" s="55" t="n">
        <x:v>347</x:v>
      </x:c>
      <x:c r="AI951" s="55" t="n">
        <x:v>9436</x:v>
      </x:c>
      <x:c r="AJ951" s="55" t="n">
        <x:v>142</x:v>
      </x:c>
      <x:c r="AK951" s="55" t="n">
        <x:v>986</x:v>
      </x:c>
      <x:c r="AL951" s="55" t="n">
        <x:v>1756</x:v>
      </x:c>
      <x:c r="AM951" s="55" t="n">
        <x:v>4454</x:v>
      </x:c>
      <x:c r="AN951" s="55" t="n">
        <x:v>2407</x:v>
      </x:c>
      <x:c r="AO951" s="55" t="n">
        <x:v>38</x:v>
      </x:c>
      <x:c r="AP951" s="55" t="n">
        <x:v>1791</x:v>
      </x:c>
      <x:c r="AQ951" s="55" t="n">
        <x:v>915</x:v>
      </x:c>
    </x:row>
    <x:row r="952">
      <x:c r="A952" s="54" t="str">
        <x:v>T1_SHARED_CATCHMENT</x:v>
      </x:c>
      <x:c r="B952" s="54" t="n">
        <x:v>946</x:v>
      </x:c>
      <x:c r="C952" s="54" t="str">
        <x:v>NYC-V2-R01</x:v>
      </x:c>
      <x:c r="D952" s="54" t="str">
        <x:v>V2</x:v>
      </x:c>
      <x:c r="E952" s="54" t="str">
        <x:v>ADMITTED</x:v>
      </x:c>
      <x:c r="F952" s="55" t="n">
        <x:v>32825</x:v>
      </x:c>
      <x:c r="G952" s="55" t="n">
        <x:v>8302</x:v>
      </x:c>
      <x:c r="H952" s="55" t="n">
        <x:v>3702</x:v>
      </x:c>
      <x:c r="I952" s="55" t="n">
        <x:v>1131</x:v>
      </x:c>
      <x:c r="J952" s="55" t="n">
        <x:v>300</x:v>
      </x:c>
      <x:c r="K952" s="55" t="n">
        <x:v>32825</x:v>
      </x:c>
      <x:c r="L952" s="55" t="n">
        <x:v>6606</x:v>
      </x:c>
      <x:c r="M952" s="55" t="n">
        <x:v>1781</x:v>
      </x:c>
      <x:c r="N952" s="55" t="n">
        <x:v>3025</x:v>
      </x:c>
      <x:c r="O952" s="55" t="n">
        <x:v>1800</x:v>
      </x:c>
      <x:c r="P952" s="55" t="n">
        <x:v>1260</x:v>
      </x:c>
      <x:c r="Q952" s="55" t="n">
        <x:v>2360</x:v>
      </x:c>
      <x:c r="R952" s="55" t="n">
        <x:v>1749</x:v>
      </x:c>
      <x:c r="S952" s="55" t="n">
        <x:v>3174</x:v>
      </x:c>
      <x:c r="T952" s="55" t="n">
        <x:v>1460</x:v>
      </x:c>
      <x:c r="U952" s="55" t="n">
        <x:v>2005</x:v>
      </x:c>
      <x:c r="V952" s="55" t="n">
        <x:v>10776</x:v>
      </x:c>
      <x:c r="W952" s="55" t="n">
        <x:v>7769</x:v>
      </x:c>
      <x:c r="X952" s="55" t="n">
        <x:v>3007</x:v>
      </x:c>
      <x:c r="Y952" s="55" t="n">
        <x:v>2539</x:v>
      </x:c>
      <x:c r="Z952" s="55" t="n">
        <x:v>4086</x:v>
      </x:c>
      <x:c r="AA952" s="55" t="n">
        <x:v>3702</x:v>
      </x:c>
      <x:c r="AB952" s="55" t="n">
        <x:v>1265</x:v>
      </x:c>
      <x:c r="AC952" s="55" t="n">
        <x:v>8528</x:v>
      </x:c>
      <x:c r="AD952" s="55" t="n">
        <x:v>2904</x:v>
      </x:c>
      <x:c r="AE952" s="55" t="n">
        <x:v>10892</x:v>
      </x:c>
      <x:c r="AF952" s="55" t="n">
        <x:v>10776</x:v>
      </x:c>
      <x:c r="AG952" s="55" t="n">
        <x:v>116</x:v>
      </x:c>
      <x:c r="AH952" s="55" t="n">
        <x:v>488</x:v>
      </x:c>
      <x:c r="AI952" s="55" t="n">
        <x:v>10288</x:v>
      </x:c>
      <x:c r="AJ952" s="55" t="n">
        <x:v>323</x:v>
      </x:c>
      <x:c r="AK952" s="55" t="n">
        <x:v>1130</x:v>
      </x:c>
      <x:c r="AL952" s="55" t="n">
        <x:v>1698</x:v>
      </x:c>
      <x:c r="AM952" s="55" t="n">
        <x:v>4924</x:v>
      </x:c>
      <x:c r="AN952" s="55" t="n">
        <x:v>2701</x:v>
      </x:c>
      <x:c r="AO952" s="55" t="n">
        <x:v>0</x:v>
      </x:c>
      <x:c r="AP952" s="55" t="n">
        <x:v>2873</x:v>
      </x:c>
      <x:c r="AQ952" s="55" t="n">
        <x:v>955</x:v>
      </x:c>
    </x:row>
    <x:row r="953">
      <x:c r="A953" s="54" t="str">
        <x:v>T1_SHARED_CATCHMENT</x:v>
      </x:c>
      <x:c r="B953" s="54" t="n">
        <x:v>947</x:v>
      </x:c>
      <x:c r="C953" s="54" t="str">
        <x:v>NYC-V2-R01</x:v>
      </x:c>
      <x:c r="D953" s="54" t="str">
        <x:v>V2</x:v>
      </x:c>
      <x:c r="E953" s="54" t="str">
        <x:v>ADMITTED</x:v>
      </x:c>
      <x:c r="F953" s="55" t="n">
        <x:v>30448</x:v>
      </x:c>
      <x:c r="G953" s="55" t="n">
        <x:v>8427</x:v>
      </x:c>
      <x:c r="H953" s="55" t="n">
        <x:v>3232</x:v>
      </x:c>
      <x:c r="I953" s="55" t="n">
        <x:v>1432</x:v>
      </x:c>
      <x:c r="J953" s="55" t="n">
        <x:v>136</x:v>
      </x:c>
      <x:c r="K953" s="55" t="n">
        <x:v>28698</x:v>
      </x:c>
      <x:c r="L953" s="55" t="n">
        <x:v>5069</x:v>
      </x:c>
      <x:c r="M953" s="55" t="n">
        <x:v>959</x:v>
      </x:c>
      <x:c r="N953" s="55" t="n">
        <x:v>2628</x:v>
      </x:c>
      <x:c r="O953" s="55" t="n">
        <x:v>1482</x:v>
      </x:c>
      <x:c r="P953" s="55" t="n">
        <x:v>852</x:v>
      </x:c>
      <x:c r="Q953" s="55" t="n">
        <x:v>2081</x:v>
      </x:c>
      <x:c r="R953" s="55" t="n">
        <x:v>1929</x:v>
      </x:c>
      <x:c r="S953" s="55" t="n">
        <x:v>3011</x:v>
      </x:c>
      <x:c r="T953" s="55" t="n">
        <x:v>1655</x:v>
      </x:c>
      <x:c r="U953" s="55" t="n">
        <x:v>1993</x:v>
      </x:c>
      <x:c r="V953" s="55" t="n">
        <x:v>10058</x:v>
      </x:c>
      <x:c r="W953" s="55" t="n">
        <x:v>7005</x:v>
      </x:c>
      <x:c r="X953" s="55" t="n">
        <x:v>3053</x:v>
      </x:c>
      <x:c r="Y953" s="55" t="n">
        <x:v>2518</x:v>
      </x:c>
      <x:c r="Z953" s="55" t="n">
        <x:v>3669</x:v>
      </x:c>
      <x:c r="AA953" s="55" t="n">
        <x:v>2920</x:v>
      </x:c>
      <x:c r="AB953" s="55" t="n">
        <x:v>1306</x:v>
      </x:c>
      <x:c r="AC953" s="55" t="n">
        <x:v>7851</x:v>
      </x:c>
      <x:c r="AD953" s="55" t="n">
        <x:v>2768</x:v>
      </x:c>
      <x:c r="AE953" s="55" t="n">
        <x:v>10074</x:v>
      </x:c>
      <x:c r="AF953" s="55" t="n">
        <x:v>10058</x:v>
      </x:c>
      <x:c r="AG953" s="55" t="n">
        <x:v>16</x:v>
      </x:c>
      <x:c r="AH953" s="55" t="n">
        <x:v>548</x:v>
      </x:c>
      <x:c r="AI953" s="55" t="n">
        <x:v>9510</x:v>
      </x:c>
      <x:c r="AJ953" s="55" t="n">
        <x:v>440</x:v>
      </x:c>
      <x:c r="AK953" s="55" t="n">
        <x:v>909</x:v>
      </x:c>
      <x:c r="AL953" s="55" t="n">
        <x:v>1665</x:v>
      </x:c>
      <x:c r="AM953" s="55" t="n">
        <x:v>4814</x:v>
      </x:c>
      <x:c r="AN953" s="55" t="n">
        <x:v>2186</x:v>
      </x:c>
      <x:c r="AO953" s="55" t="n">
        <x:v>44</x:v>
      </x:c>
      <x:c r="AP953" s="55" t="n">
        <x:v>2751</x:v>
      </x:c>
      <x:c r="AQ953" s="55" t="n">
        <x:v>962</x:v>
      </x:c>
    </x:row>
    <x:row r="954">
      <x:c r="A954" s="54" t="str">
        <x:v>T1_SHARED_CATCHMENT</x:v>
      </x:c>
      <x:c r="B954" s="54" t="n">
        <x:v>948</x:v>
      </x:c>
      <x:c r="C954" s="54" t="str">
        <x:v>NYC-V2-R01</x:v>
      </x:c>
      <x:c r="D954" s="54" t="str">
        <x:v>V2</x:v>
      </x:c>
      <x:c r="E954" s="54" t="str">
        <x:v>ADMITTED</x:v>
      </x:c>
      <x:c r="F954" s="55" t="n">
        <x:v>32376</x:v>
      </x:c>
      <x:c r="G954" s="55" t="n">
        <x:v>8917</x:v>
      </x:c>
      <x:c r="H954" s="55" t="n">
        <x:v>3386</x:v>
      </x:c>
      <x:c r="I954" s="55" t="n">
        <x:v>1094</x:v>
      </x:c>
      <x:c r="J954" s="55" t="n">
        <x:v>109</x:v>
      </x:c>
      <x:c r="K954" s="55" t="n">
        <x:v>30079</x:v>
      </x:c>
      <x:c r="L954" s="55" t="n">
        <x:v>5631</x:v>
      </x:c>
      <x:c r="M954" s="55" t="n">
        <x:v>1090</x:v>
      </x:c>
      <x:c r="N954" s="55" t="n">
        <x:v>2588</x:v>
      </x:c>
      <x:c r="O954" s="55" t="n">
        <x:v>1953</x:v>
      </x:c>
      <x:c r="P954" s="55" t="n">
        <x:v>764</x:v>
      </x:c>
      <x:c r="Q954" s="55" t="n">
        <x:v>2906</x:v>
      </x:c>
      <x:c r="R954" s="55" t="n">
        <x:v>1459</x:v>
      </x:c>
      <x:c r="S954" s="55" t="n">
        <x:v>3109</x:v>
      </x:c>
      <x:c r="T954" s="55" t="n">
        <x:v>1596</x:v>
      </x:c>
      <x:c r="U954" s="55" t="n">
        <x:v>2308</x:v>
      </x:c>
      <x:c r="V954" s="55" t="n">
        <x:v>10943</x:v>
      </x:c>
      <x:c r="W954" s="55" t="n">
        <x:v>7616</x:v>
      </x:c>
      <x:c r="X954" s="55" t="n">
        <x:v>3327</x:v>
      </x:c>
      <x:c r="Y954" s="55" t="n">
        <x:v>2918</x:v>
      </x:c>
      <x:c r="Z954" s="55" t="n">
        <x:v>4031</x:v>
      </x:c>
      <x:c r="AA954" s="55" t="n">
        <x:v>3386</x:v>
      </x:c>
      <x:c r="AB954" s="55" t="n">
        <x:v>1436</x:v>
      </x:c>
      <x:c r="AC954" s="55" t="n">
        <x:v>8235</x:v>
      </x:c>
      <x:c r="AD954" s="55" t="n">
        <x:v>2914</x:v>
      </x:c>
      <x:c r="AE954" s="55" t="n">
        <x:v>11031</x:v>
      </x:c>
      <x:c r="AF954" s="55" t="n">
        <x:v>10943</x:v>
      </x:c>
      <x:c r="AG954" s="55" t="n">
        <x:v>88</x:v>
      </x:c>
      <x:c r="AH954" s="55" t="n">
        <x:v>580</x:v>
      </x:c>
      <x:c r="AI954" s="55" t="n">
        <x:v>10363</x:v>
      </x:c>
      <x:c r="AJ954" s="55" t="n">
        <x:v>466</x:v>
      </x:c>
      <x:c r="AK954" s="55" t="n">
        <x:v>1030</x:v>
      </x:c>
      <x:c r="AL954" s="55" t="n">
        <x:v>1888</x:v>
      </x:c>
      <x:c r="AM954" s="55" t="n">
        <x:v>5049</x:v>
      </x:c>
      <x:c r="AN954" s="55" t="n">
        <x:v>2455</x:v>
      </x:c>
      <x:c r="AO954" s="55" t="n">
        <x:v>55</x:v>
      </x:c>
      <x:c r="AP954" s="55" t="n">
        <x:v>2638</x:v>
      </x:c>
      <x:c r="AQ954" s="55" t="n">
        <x:v>974</x:v>
      </x:c>
    </x:row>
    <x:row r="955">
      <x:c r="A955" s="54" t="str">
        <x:v>T1_SHARED_CATCHMENT</x:v>
      </x:c>
      <x:c r="B955" s="54" t="n">
        <x:v>949</x:v>
      </x:c>
      <x:c r="C955" s="54" t="str">
        <x:v>NYC-V2-R01</x:v>
      </x:c>
      <x:c r="D955" s="54" t="str">
        <x:v>V2</x:v>
      </x:c>
      <x:c r="E955" s="54" t="str">
        <x:v>ADMITTED</x:v>
      </x:c>
      <x:c r="F955" s="55" t="n">
        <x:v>32321</x:v>
      </x:c>
      <x:c r="G955" s="55" t="n">
        <x:v>8195</x:v>
      </x:c>
      <x:c r="H955" s="55" t="n">
        <x:v>3171</x:v>
      </x:c>
      <x:c r="I955" s="55" t="n">
        <x:v>1283</x:v>
      </x:c>
      <x:c r="J955" s="55" t="n">
        <x:v>283</x:v>
      </x:c>
      <x:c r="K955" s="55" t="n">
        <x:v>29912</x:v>
      </x:c>
      <x:c r="L955" s="55" t="n">
        <x:v>5232</x:v>
      </x:c>
      <x:c r="M955" s="55" t="n">
        <x:v>1354</x:v>
      </x:c>
      <x:c r="N955" s="55" t="n">
        <x:v>2689</x:v>
      </x:c>
      <x:c r="O955" s="55" t="n">
        <x:v>1189</x:v>
      </x:c>
      <x:c r="P955" s="55" t="n">
        <x:v>971</x:v>
      </x:c>
      <x:c r="Q955" s="55" t="n">
        <x:v>2977</x:v>
      </x:c>
      <x:c r="R955" s="55" t="n">
        <x:v>1534</x:v>
      </x:c>
      <x:c r="S955" s="55" t="n">
        <x:v>2145</x:v>
      </x:c>
      <x:c r="T955" s="55" t="n">
        <x:v>989</x:v>
      </x:c>
      <x:c r="U955" s="55" t="n">
        <x:v>1910</x:v>
      </x:c>
      <x:c r="V955" s="55" t="n">
        <x:v>10517</x:v>
      </x:c>
      <x:c r="W955" s="55" t="n">
        <x:v>7301</x:v>
      </x:c>
      <x:c r="X955" s="55" t="n">
        <x:v>3216</x:v>
      </x:c>
      <x:c r="Y955" s="55" t="n">
        <x:v>2820</x:v>
      </x:c>
      <x:c r="Z955" s="55" t="n">
        <x:v>3434</x:v>
      </x:c>
      <x:c r="AA955" s="55" t="n">
        <x:v>3171</x:v>
      </x:c>
      <x:c r="AB955" s="55" t="n">
        <x:v>854</x:v>
      </x:c>
      <x:c r="AC955" s="55" t="n">
        <x:v>8142</x:v>
      </x:c>
      <x:c r="AD955" s="55" t="n">
        <x:v>2550</x:v>
      </x:c>
      <x:c r="AE955" s="55" t="n">
        <x:v>10606</x:v>
      </x:c>
      <x:c r="AF955" s="55" t="n">
        <x:v>10517</x:v>
      </x:c>
      <x:c r="AG955" s="55" t="n">
        <x:v>89</x:v>
      </x:c>
      <x:c r="AH955" s="55" t="n">
        <x:v>375</x:v>
      </x:c>
      <x:c r="AI955" s="55" t="n">
        <x:v>10142</x:v>
      </x:c>
      <x:c r="AJ955" s="55" t="n">
        <x:v>341</x:v>
      </x:c>
      <x:c r="AK955" s="55" t="n">
        <x:v>887</x:v>
      </x:c>
      <x:c r="AL955" s="55" t="n">
        <x:v>1505</x:v>
      </x:c>
      <x:c r="AM955" s="55" t="n">
        <x:v>5089</x:v>
      </x:c>
      <x:c r="AN955" s="55" t="n">
        <x:v>2695</x:v>
      </x:c>
      <x:c r="AO955" s="55" t="n">
        <x:v>0</x:v>
      </x:c>
      <x:c r="AP955" s="55" t="n">
        <x:v>2387</x:v>
      </x:c>
      <x:c r="AQ955" s="55" t="n">
        <x:v>962</x:v>
      </x:c>
    </x:row>
    <x:row r="956">
      <x:c r="A956" s="54" t="str">
        <x:v>T1_SHARED_CATCHMENT</x:v>
      </x:c>
      <x:c r="B956" s="54" t="n">
        <x:v>950</x:v>
      </x:c>
      <x:c r="C956" s="54" t="str">
        <x:v>NYC-V2-R01</x:v>
      </x:c>
      <x:c r="D956" s="54" t="str">
        <x:v>V2</x:v>
      </x:c>
      <x:c r="E956" s="54" t="str">
        <x:v>ADMITTED</x:v>
      </x:c>
      <x:c r="F956" s="55" t="n">
        <x:v>30130</x:v>
      </x:c>
      <x:c r="G956" s="55" t="n">
        <x:v>7751</x:v>
      </x:c>
      <x:c r="H956" s="55" t="n">
        <x:v>3448</x:v>
      </x:c>
      <x:c r="I956" s="55" t="n">
        <x:v>1200</x:v>
      </x:c>
      <x:c r="J956" s="55" t="n">
        <x:v>303</x:v>
      </x:c>
      <x:c r="K956" s="55" t="n">
        <x:v>30130</x:v>
      </x:c>
      <x:c r="L956" s="55" t="n">
        <x:v>5942</x:v>
      </x:c>
      <x:c r="M956" s="55" t="n">
        <x:v>1459</x:v>
      </x:c>
      <x:c r="N956" s="55" t="n">
        <x:v>2732</x:v>
      </x:c>
      <x:c r="O956" s="55" t="n">
        <x:v>1751</x:v>
      </x:c>
      <x:c r="P956" s="55" t="n">
        <x:v>705</x:v>
      </x:c>
      <x:c r="Q956" s="55" t="n">
        <x:v>3289</x:v>
      </x:c>
      <x:c r="R956" s="55" t="n">
        <x:v>1676</x:v>
      </x:c>
      <x:c r="S956" s="55" t="n">
        <x:v>2998</x:v>
      </x:c>
      <x:c r="T956" s="55" t="n">
        <x:v>1295</x:v>
      </x:c>
      <x:c r="U956" s="55" t="n">
        <x:v>2735</x:v>
      </x:c>
      <x:c r="V956" s="55" t="n">
        <x:v>10111</x:v>
      </x:c>
      <x:c r="W956" s="55" t="n">
        <x:v>6766</x:v>
      </x:c>
      <x:c r="X956" s="55" t="n">
        <x:v>3345</x:v>
      </x:c>
      <x:c r="Y956" s="55" t="n">
        <x:v>2805</x:v>
      </x:c>
      <x:c r="Z956" s="55" t="n">
        <x:v>3981</x:v>
      </x:c>
      <x:c r="AA956" s="55" t="n">
        <x:v>3448</x:v>
      </x:c>
      <x:c r="AB956" s="55" t="n">
        <x:v>1198</x:v>
      </x:c>
      <x:c r="AC956" s="55" t="n">
        <x:v>8015</x:v>
      </x:c>
      <x:c r="AD956" s="55" t="n">
        <x:v>2823</x:v>
      </x:c>
      <x:c r="AE956" s="55" t="n">
        <x:v>10177</x:v>
      </x:c>
      <x:c r="AF956" s="55" t="n">
        <x:v>10111</x:v>
      </x:c>
      <x:c r="AG956" s="55" t="n">
        <x:v>66</x:v>
      </x:c>
      <x:c r="AH956" s="55" t="n">
        <x:v>477</x:v>
      </x:c>
      <x:c r="AI956" s="55" t="n">
        <x:v>9634</x:v>
      </x:c>
      <x:c r="AJ956" s="55" t="n">
        <x:v>251</x:v>
      </x:c>
      <x:c r="AK956" s="55" t="n">
        <x:v>1146</x:v>
      </x:c>
      <x:c r="AL956" s="55" t="n">
        <x:v>1704</x:v>
      </x:c>
      <x:c r="AM956" s="55" t="n">
        <x:v>4785</x:v>
      </x:c>
      <x:c r="AN956" s="55" t="n">
        <x:v>2225</x:v>
      </x:c>
      <x:c r="AO956" s="55" t="n">
        <x:v>0</x:v>
      </x:c>
      <x:c r="AP956" s="55" t="n">
        <x:v>2764</x:v>
      </x:c>
      <x:c r="AQ956" s="55" t="n">
        <x:v>979</x:v>
      </x:c>
    </x:row>
    <x:row r="957">
      <x:c r="A957" s="54" t="str">
        <x:v>T1_SHARED_CATCHMENT</x:v>
      </x:c>
      <x:c r="B957" s="54" t="n">
        <x:v>951</x:v>
      </x:c>
      <x:c r="C957" s="54" t="str">
        <x:v>NYC-V2-R01</x:v>
      </x:c>
      <x:c r="D957" s="54" t="str">
        <x:v>V2</x:v>
      </x:c>
      <x:c r="E957" s="54" t="str">
        <x:v>ADMITTED</x:v>
      </x:c>
      <x:c r="F957" s="55" t="n">
        <x:v>32587</x:v>
      </x:c>
      <x:c r="G957" s="55" t="n">
        <x:v>7714</x:v>
      </x:c>
      <x:c r="H957" s="55" t="n">
        <x:v>3440</x:v>
      </x:c>
      <x:c r="I957" s="55" t="n">
        <x:v>1214</x:v>
      </x:c>
      <x:c r="J957" s="55" t="n">
        <x:v>276</x:v>
      </x:c>
      <x:c r="K957" s="55" t="n">
        <x:v>32587</x:v>
      </x:c>
      <x:c r="L957" s="55" t="n">
        <x:v>6477</x:v>
      </x:c>
      <x:c r="M957" s="55" t="n">
        <x:v>1652</x:v>
      </x:c>
      <x:c r="N957" s="55" t="n">
        <x:v>2890</x:v>
      </x:c>
      <x:c r="O957" s="55" t="n">
        <x:v>1935</x:v>
      </x:c>
      <x:c r="P957" s="55" t="n">
        <x:v>545</x:v>
      </x:c>
      <x:c r="Q957" s="55" t="n">
        <x:v>3560</x:v>
      </x:c>
      <x:c r="R957" s="55" t="n">
        <x:v>2376</x:v>
      </x:c>
      <x:c r="S957" s="55" t="n">
        <x:v>3275</x:v>
      </x:c>
      <x:c r="T957" s="55" t="n">
        <x:v>1309</x:v>
      </x:c>
      <x:c r="U957" s="55" t="n">
        <x:v>1911</x:v>
      </x:c>
      <x:c r="V957" s="55" t="n">
        <x:v>10588</x:v>
      </x:c>
      <x:c r="W957" s="55" t="n">
        <x:v>7390</x:v>
      </x:c>
      <x:c r="X957" s="55" t="n">
        <x:v>3198</x:v>
      </x:c>
      <x:c r="Y957" s="55" t="n">
        <x:v>2696</x:v>
      </x:c>
      <x:c r="Z957" s="55" t="n">
        <x:v>3714</x:v>
      </x:c>
      <x:c r="AA957" s="55" t="n">
        <x:v>3440</x:v>
      </x:c>
      <x:c r="AB957" s="55" t="n">
        <x:v>1223</x:v>
      </x:c>
      <x:c r="AC957" s="55" t="n">
        <x:v>7707</x:v>
      </x:c>
      <x:c r="AD957" s="55" t="n">
        <x:v>3108</x:v>
      </x:c>
      <x:c r="AE957" s="55" t="n">
        <x:v>10707</x:v>
      </x:c>
      <x:c r="AF957" s="55" t="n">
        <x:v>10588</x:v>
      </x:c>
      <x:c r="AG957" s="55" t="n">
        <x:v>119</x:v>
      </x:c>
      <x:c r="AH957" s="55" t="n">
        <x:v>440</x:v>
      </x:c>
      <x:c r="AI957" s="55" t="n">
        <x:v>10148</x:v>
      </x:c>
      <x:c r="AJ957" s="55" t="n">
        <x:v>464</x:v>
      </x:c>
      <x:c r="AK957" s="55" t="n">
        <x:v>734</x:v>
      </x:c>
      <x:c r="AL957" s="55" t="n">
        <x:v>1221</x:v>
      </x:c>
      <x:c r="AM957" s="55" t="n">
        <x:v>5294</x:v>
      </x:c>
      <x:c r="AN957" s="55" t="n">
        <x:v>2858</x:v>
      </x:c>
      <x:c r="AO957" s="55" t="n">
        <x:v>17</x:v>
      </x:c>
      <x:c r="AP957" s="55" t="n">
        <x:v>2707</x:v>
      </x:c>
      <x:c r="AQ957" s="55" t="n">
        <x:v>969</x:v>
      </x:c>
    </x:row>
    <x:row r="958">
      <x:c r="A958" s="54" t="str">
        <x:v>T1_SHARED_CATCHMENT</x:v>
      </x:c>
      <x:c r="B958" s="54" t="n">
        <x:v>952</x:v>
      </x:c>
      <x:c r="C958" s="54" t="str">
        <x:v>NYC-V2-R01</x:v>
      </x:c>
      <x:c r="D958" s="54" t="str">
        <x:v>V2</x:v>
      </x:c>
      <x:c r="E958" s="54" t="str">
        <x:v>ADMITTED</x:v>
      </x:c>
      <x:c r="F958" s="55" t="n">
        <x:v>32704</x:v>
      </x:c>
      <x:c r="G958" s="55" t="n">
        <x:v>5783</x:v>
      </x:c>
      <x:c r="H958" s="55" t="n">
        <x:v>3713</x:v>
      </x:c>
      <x:c r="I958" s="55" t="n">
        <x:v>2053</x:v>
      </x:c>
      <x:c r="J958" s="55" t="n">
        <x:v>410</x:v>
      </x:c>
      <x:c r="K958" s="55" t="n">
        <x:v>32704</x:v>
      </x:c>
      <x:c r="L958" s="55" t="n">
        <x:v>5855</x:v>
      </x:c>
      <x:c r="M958" s="55" t="n">
        <x:v>1790</x:v>
      </x:c>
      <x:c r="N958" s="55" t="n">
        <x:v>2349</x:v>
      </x:c>
      <x:c r="O958" s="55" t="n">
        <x:v>1716</x:v>
      </x:c>
      <x:c r="P958" s="55" t="n">
        <x:v>980</x:v>
      </x:c>
      <x:c r="Q958" s="55" t="n">
        <x:v>3471</x:v>
      </x:c>
      <x:c r="R958" s="55" t="n">
        <x:v>1177</x:v>
      </x:c>
      <x:c r="S958" s="55" t="n">
        <x:v>3260</x:v>
      </x:c>
      <x:c r="T958" s="55" t="n">
        <x:v>1395</x:v>
      </x:c>
      <x:c r="U958" s="55" t="n">
        <x:v>1694</x:v>
      </x:c>
      <x:c r="V958" s="55" t="n">
        <x:v>10688</x:v>
      </x:c>
      <x:c r="W958" s="55" t="n">
        <x:v>7435</x:v>
      </x:c>
      <x:c r="X958" s="55" t="n">
        <x:v>3253</x:v>
      </x:c>
      <x:c r="Y958" s="55" t="n">
        <x:v>3000</x:v>
      </x:c>
      <x:c r="Z958" s="55" t="n">
        <x:v>4075</x:v>
      </x:c>
      <x:c r="AA958" s="55" t="n">
        <x:v>3364</x:v>
      </x:c>
      <x:c r="AB958" s="55" t="n">
        <x:v>1117</x:v>
      </x:c>
      <x:c r="AC958" s="55" t="n">
        <x:v>8627</x:v>
      </x:c>
      <x:c r="AD958" s="55" t="n">
        <x:v>3343</x:v>
      </x:c>
      <x:c r="AE958" s="55" t="n">
        <x:v>10790</x:v>
      </x:c>
      <x:c r="AF958" s="55" t="n">
        <x:v>10688</x:v>
      </x:c>
      <x:c r="AG958" s="55" t="n">
        <x:v>102</x:v>
      </x:c>
      <x:c r="AH958" s="55" t="n">
        <x:v>556</x:v>
      </x:c>
      <x:c r="AI958" s="55" t="n">
        <x:v>10132</x:v>
      </x:c>
      <x:c r="AJ958" s="55" t="n">
        <x:v>359</x:v>
      </x:c>
      <x:c r="AK958" s="55" t="n">
        <x:v>883</x:v>
      </x:c>
      <x:c r="AL958" s="55" t="n">
        <x:v>1281</x:v>
      </x:c>
      <x:c r="AM958" s="55" t="n">
        <x:v>5040</x:v>
      </x:c>
      <x:c r="AN958" s="55" t="n">
        <x:v>3103</x:v>
      </x:c>
      <x:c r="AO958" s="55" t="n">
        <x:v>22</x:v>
      </x:c>
      <x:c r="AP958" s="55" t="n">
        <x:v>2140</x:v>
      </x:c>
      <x:c r="AQ958" s="55" t="n">
        <x:v>997</x:v>
      </x:c>
    </x:row>
    <x:row r="959">
      <x:c r="A959" s="54" t="str">
        <x:v>T1_SHARED_CATCHMENT</x:v>
      </x:c>
      <x:c r="B959" s="54" t="n">
        <x:v>953</x:v>
      </x:c>
      <x:c r="C959" s="54" t="str">
        <x:v>NYC-V2-R01</x:v>
      </x:c>
      <x:c r="D959" s="54" t="str">
        <x:v>V2</x:v>
      </x:c>
      <x:c r="E959" s="54" t="str">
        <x:v>ADMITTED</x:v>
      </x:c>
      <x:c r="F959" s="55" t="n">
        <x:v>31415</x:v>
      </x:c>
      <x:c r="G959" s="55" t="n">
        <x:v>5848</x:v>
      </x:c>
      <x:c r="H959" s="55" t="n">
        <x:v>3103</x:v>
      </x:c>
      <x:c r="I959" s="55" t="n">
        <x:v>973</x:v>
      </x:c>
      <x:c r="J959" s="55" t="n">
        <x:v>190</x:v>
      </x:c>
      <x:c r="K959" s="55" t="n">
        <x:v>31415</x:v>
      </x:c>
      <x:c r="L959" s="55" t="n">
        <x:v>5489</x:v>
      </x:c>
      <x:c r="M959" s="55" t="n">
        <x:v>1542</x:v>
      </x:c>
      <x:c r="N959" s="55" t="n">
        <x:v>2328</x:v>
      </x:c>
      <x:c r="O959" s="55" t="n">
        <x:v>1619</x:v>
      </x:c>
      <x:c r="P959" s="55" t="n">
        <x:v>833</x:v>
      </x:c>
      <x:c r="Q959" s="55" t="n">
        <x:v>3230</x:v>
      </x:c>
      <x:c r="R959" s="55" t="n">
        <x:v>2007</x:v>
      </x:c>
      <x:c r="S959" s="55" t="n">
        <x:v>2769</x:v>
      </x:c>
      <x:c r="T959" s="55" t="n">
        <x:v>1265</x:v>
      </x:c>
      <x:c r="U959" s="55" t="n">
        <x:v>1886</x:v>
      </x:c>
      <x:c r="V959" s="55" t="n">
        <x:v>10408</x:v>
      </x:c>
      <x:c r="W959" s="55" t="n">
        <x:v>7579</x:v>
      </x:c>
      <x:c r="X959" s="55" t="n">
        <x:v>2829</x:v>
      </x:c>
      <x:c r="Y959" s="55" t="n">
        <x:v>2305</x:v>
      </x:c>
      <x:c r="Z959" s="55" t="n">
        <x:v>3438</x:v>
      </x:c>
      <x:c r="AA959" s="55" t="n">
        <x:v>3103</x:v>
      </x:c>
      <x:c r="AB959" s="55" t="n">
        <x:v>1009</x:v>
      </x:c>
      <x:c r="AC959" s="55" t="n">
        <x:v>7803</x:v>
      </x:c>
      <x:c r="AD959" s="55" t="n">
        <x:v>2271</x:v>
      </x:c>
      <x:c r="AE959" s="55" t="n">
        <x:v>10470</x:v>
      </x:c>
      <x:c r="AF959" s="55" t="n">
        <x:v>10408</x:v>
      </x:c>
      <x:c r="AG959" s="55" t="n">
        <x:v>62</x:v>
      </x:c>
      <x:c r="AH959" s="55" t="n">
        <x:v>324</x:v>
      </x:c>
      <x:c r="AI959" s="55" t="n">
        <x:v>10084</x:v>
      </x:c>
      <x:c r="AJ959" s="55" t="n">
        <x:v>306</x:v>
      </x:c>
      <x:c r="AK959" s="55" t="n">
        <x:v>1058</x:v>
      </x:c>
      <x:c r="AL959" s="55" t="n">
        <x:v>1772</x:v>
      </x:c>
      <x:c r="AM959" s="55" t="n">
        <x:v>5250</x:v>
      </x:c>
      <x:c r="AN959" s="55" t="n">
        <x:v>1983</x:v>
      </x:c>
      <x:c r="AO959" s="55" t="n">
        <x:v>39</x:v>
      </x:c>
      <x:c r="AP959" s="55" t="n">
        <x:v>2364</x:v>
      </x:c>
      <x:c r="AQ959" s="55" t="n">
        <x:v>942</x:v>
      </x:c>
    </x:row>
    <x:row r="960">
      <x:c r="A960" s="54" t="str">
        <x:v>T1_SHARED_CATCHMENT</x:v>
      </x:c>
      <x:c r="B960" s="54" t="n">
        <x:v>954</x:v>
      </x:c>
      <x:c r="C960" s="54" t="str">
        <x:v>NYC-V2-R01</x:v>
      </x:c>
      <x:c r="D960" s="54" t="str">
        <x:v>V2</x:v>
      </x:c>
      <x:c r="E960" s="54" t="str">
        <x:v>ADMITTED</x:v>
      </x:c>
      <x:c r="F960" s="55" t="n">
        <x:v>30277</x:v>
      </x:c>
      <x:c r="G960" s="55" t="n">
        <x:v>6780</x:v>
      </x:c>
      <x:c r="H960" s="55" t="n">
        <x:v>3003</x:v>
      </x:c>
      <x:c r="I960" s="55" t="n">
        <x:v>1229</x:v>
      </x:c>
      <x:c r="J960" s="55" t="n">
        <x:v>187</x:v>
      </x:c>
      <x:c r="K960" s="55" t="n">
        <x:v>30277</x:v>
      </x:c>
      <x:c r="L960" s="55" t="n">
        <x:v>4626</x:v>
      </x:c>
      <x:c r="M960" s="55" t="n">
        <x:v>878</x:v>
      </x:c>
      <x:c r="N960" s="55" t="n">
        <x:v>1811</x:v>
      </x:c>
      <x:c r="O960" s="55" t="n">
        <x:v>1937</x:v>
      </x:c>
      <x:c r="P960" s="55" t="n">
        <x:v>941</x:v>
      </x:c>
      <x:c r="Q960" s="55" t="n">
        <x:v>2656</x:v>
      </x:c>
      <x:c r="R960" s="55" t="n">
        <x:v>1812</x:v>
      </x:c>
      <x:c r="S960" s="55" t="n">
        <x:v>2452</x:v>
      </x:c>
      <x:c r="T960" s="55" t="n">
        <x:v>1355</x:v>
      </x:c>
      <x:c r="U960" s="55" t="n">
        <x:v>1785</x:v>
      </x:c>
      <x:c r="V960" s="55" t="n">
        <x:v>10892</x:v>
      </x:c>
      <x:c r="W960" s="55" t="n">
        <x:v>8245</x:v>
      </x:c>
      <x:c r="X960" s="55" t="n">
        <x:v>2647</x:v>
      </x:c>
      <x:c r="Y960" s="55" t="n">
        <x:v>2106</x:v>
      </x:c>
      <x:c r="Z960" s="55" t="n">
        <x:v>3405</x:v>
      </x:c>
      <x:c r="AA960" s="55" t="n">
        <x:v>2465</x:v>
      </x:c>
      <x:c r="AB960" s="55" t="n">
        <x:v>939</x:v>
      </x:c>
      <x:c r="AC960" s="55" t="n">
        <x:v>7406</x:v>
      </x:c>
      <x:c r="AD960" s="55" t="n">
        <x:v>2522</x:v>
      </x:c>
      <x:c r="AE960" s="55" t="n">
        <x:v>10892</x:v>
      </x:c>
      <x:c r="AF960" s="55" t="n">
        <x:v>10892</x:v>
      </x:c>
      <x:c r="AG960" s="55" t="n">
        <x:v>0</x:v>
      </x:c>
      <x:c r="AH960" s="55" t="n">
        <x:v>305</x:v>
      </x:c>
      <x:c r="AI960" s="55" t="n">
        <x:v>10587</x:v>
      </x:c>
      <x:c r="AJ960" s="55" t="n">
        <x:v>277</x:v>
      </x:c>
      <x:c r="AK960" s="55" t="n">
        <x:v>1221</x:v>
      </x:c>
      <x:c r="AL960" s="55" t="n">
        <x:v>1771</x:v>
      </x:c>
      <x:c r="AM960" s="55" t="n">
        <x:v>4938</x:v>
      </x:c>
      <x:c r="AN960" s="55" t="n">
        <x:v>2670</x:v>
      </x:c>
      <x:c r="AO960" s="55" t="n">
        <x:v>15</x:v>
      </x:c>
      <x:c r="AP960" s="55" t="n">
        <x:v>1901</x:v>
      </x:c>
      <x:c r="AQ960" s="55" t="n">
        <x:v>947</x:v>
      </x:c>
    </x:row>
    <x:row r="961">
      <x:c r="A961" s="54" t="str">
        <x:v>T1_SHARED_CATCHMENT</x:v>
      </x:c>
      <x:c r="B961" s="54" t="n">
        <x:v>955</x:v>
      </x:c>
      <x:c r="C961" s="54" t="str">
        <x:v>NYC-V2-R01</x:v>
      </x:c>
      <x:c r="D961" s="54" t="str">
        <x:v>V2</x:v>
      </x:c>
      <x:c r="E961" s="54" t="str">
        <x:v>ADMITTED</x:v>
      </x:c>
      <x:c r="F961" s="55" t="n">
        <x:v>33026</x:v>
      </x:c>
      <x:c r="G961" s="55" t="n">
        <x:v>7580</x:v>
      </x:c>
      <x:c r="H961" s="55" t="n">
        <x:v>3607</x:v>
      </x:c>
      <x:c r="I961" s="55" t="n">
        <x:v>1336</x:v>
      </x:c>
      <x:c r="J961" s="55" t="n">
        <x:v>305</x:v>
      </x:c>
      <x:c r="K961" s="55" t="n">
        <x:v>33026</x:v>
      </x:c>
      <x:c r="L961" s="55" t="n">
        <x:v>6710</x:v>
      </x:c>
      <x:c r="M961" s="55" t="n">
        <x:v>1533</x:v>
      </x:c>
      <x:c r="N961" s="55" t="n">
        <x:v>3257</x:v>
      </x:c>
      <x:c r="O961" s="55" t="n">
        <x:v>1920</x:v>
      </x:c>
      <x:c r="P961" s="55" t="n">
        <x:v>686</x:v>
      </x:c>
      <x:c r="Q961" s="55" t="n">
        <x:v>2436</x:v>
      </x:c>
      <x:c r="R961" s="55" t="n">
        <x:v>1875</x:v>
      </x:c>
      <x:c r="S961" s="55" t="n">
        <x:v>3389</x:v>
      </x:c>
      <x:c r="T961" s="55" t="n">
        <x:v>1385</x:v>
      </x:c>
      <x:c r="U961" s="55" t="n">
        <x:v>2004</x:v>
      </x:c>
      <x:c r="V961" s="55" t="n">
        <x:v>10475</x:v>
      </x:c>
      <x:c r="W961" s="55" t="n">
        <x:v>7336</x:v>
      </x:c>
      <x:c r="X961" s="55" t="n">
        <x:v>3139</x:v>
      </x:c>
      <x:c r="Y961" s="55" t="n">
        <x:v>2771</x:v>
      </x:c>
      <x:c r="Z961" s="55" t="n">
        <x:v>3509</x:v>
      </x:c>
      <x:c r="AA961" s="55" t="n">
        <x:v>3228</x:v>
      </x:c>
      <x:c r="AB961" s="55" t="n">
        <x:v>1217</x:v>
      </x:c>
      <x:c r="AC961" s="55" t="n">
        <x:v>7634</x:v>
      </x:c>
      <x:c r="AD961" s="55" t="n">
        <x:v>2828</x:v>
      </x:c>
      <x:c r="AE961" s="55" t="n">
        <x:v>10534</x:v>
      </x:c>
      <x:c r="AF961" s="55" t="n">
        <x:v>10475</x:v>
      </x:c>
      <x:c r="AG961" s="55" t="n">
        <x:v>59</x:v>
      </x:c>
      <x:c r="AH961" s="55" t="n">
        <x:v>373</x:v>
      </x:c>
      <x:c r="AI961" s="55" t="n">
        <x:v>10102</x:v>
      </x:c>
      <x:c r="AJ961" s="55" t="n">
        <x:v>258</x:v>
      </x:c>
      <x:c r="AK961" s="55" t="n">
        <x:v>438</x:v>
      </x:c>
      <x:c r="AL961" s="55" t="n">
        <x:v>1769</x:v>
      </x:c>
      <x:c r="AM961" s="55" t="n">
        <x:v>5786</x:v>
      </x:c>
      <x:c r="AN961" s="55" t="n">
        <x:v>2224</x:v>
      </x:c>
      <x:c r="AO961" s="55" t="n">
        <x:v>0</x:v>
      </x:c>
      <x:c r="AP961" s="55" t="n">
        <x:v>2448</x:v>
      </x:c>
      <x:c r="AQ961" s="55" t="n">
        <x:v>943</x:v>
      </x:c>
    </x:row>
    <x:row r="962">
      <x:c r="A962" s="54" t="str">
        <x:v>T1_SHARED_CATCHMENT</x:v>
      </x:c>
      <x:c r="B962" s="54" t="n">
        <x:v>956</x:v>
      </x:c>
      <x:c r="C962" s="54" t="str">
        <x:v>NYC-V2-R01</x:v>
      </x:c>
      <x:c r="D962" s="54" t="str">
        <x:v>V2</x:v>
      </x:c>
      <x:c r="E962" s="54" t="str">
        <x:v>ADMITTED</x:v>
      </x:c>
      <x:c r="F962" s="55" t="n">
        <x:v>31586</x:v>
      </x:c>
      <x:c r="G962" s="55" t="n">
        <x:v>8665</x:v>
      </x:c>
      <x:c r="H962" s="55" t="n">
        <x:v>3527</x:v>
      </x:c>
      <x:c r="I962" s="55" t="n">
        <x:v>1112</x:v>
      </x:c>
      <x:c r="J962" s="55" t="n">
        <x:v>306</x:v>
      </x:c>
      <x:c r="K962" s="55" t="n">
        <x:v>31586</x:v>
      </x:c>
      <x:c r="L962" s="55" t="n">
        <x:v>7011</x:v>
      </x:c>
      <x:c r="M962" s="55" t="n">
        <x:v>1791</x:v>
      </x:c>
      <x:c r="N962" s="55" t="n">
        <x:v>3226</x:v>
      </x:c>
      <x:c r="O962" s="55" t="n">
        <x:v>1994</x:v>
      </x:c>
      <x:c r="P962" s="55" t="n">
        <x:v>1224</x:v>
      </x:c>
      <x:c r="Q962" s="55" t="n">
        <x:v>3706</x:v>
      </x:c>
      <x:c r="R962" s="55" t="n">
        <x:v>1933</x:v>
      </x:c>
      <x:c r="S962" s="55" t="n">
        <x:v>2623</x:v>
      </x:c>
      <x:c r="T962" s="55" t="n">
        <x:v>1501</x:v>
      </x:c>
      <x:c r="U962" s="55" t="n">
        <x:v>2326</x:v>
      </x:c>
      <x:c r="V962" s="55" t="n">
        <x:v>11201</x:v>
      </x:c>
      <x:c r="W962" s="55" t="n">
        <x:v>8074</x:v>
      </x:c>
      <x:c r="X962" s="55" t="n">
        <x:v>3127</x:v>
      </x:c>
      <x:c r="Y962" s="55" t="n">
        <x:v>2677</x:v>
      </x:c>
      <x:c r="Z962" s="55" t="n">
        <x:v>4227</x:v>
      </x:c>
      <x:c r="AA962" s="55" t="n">
        <x:v>3527</x:v>
      </x:c>
      <x:c r="AB962" s="55" t="n">
        <x:v>1118</x:v>
      </x:c>
      <x:c r="AC962" s="55" t="n">
        <x:v>8465</x:v>
      </x:c>
      <x:c r="AD962" s="55" t="n">
        <x:v>2796</x:v>
      </x:c>
      <x:c r="AE962" s="55" t="n">
        <x:v>11311</x:v>
      </x:c>
      <x:c r="AF962" s="55" t="n">
        <x:v>11201</x:v>
      </x:c>
      <x:c r="AG962" s="55" t="n">
        <x:v>110</x:v>
      </x:c>
      <x:c r="AH962" s="55" t="n">
        <x:v>444</x:v>
      </x:c>
      <x:c r="AI962" s="55" t="n">
        <x:v>10757</x:v>
      </x:c>
      <x:c r="AJ962" s="55" t="n">
        <x:v>507</x:v>
      </x:c>
      <x:c r="AK962" s="55" t="n">
        <x:v>1154</x:v>
      </x:c>
      <x:c r="AL962" s="55" t="n">
        <x:v>1972</x:v>
      </x:c>
      <x:c r="AM962" s="55" t="n">
        <x:v>5128</x:v>
      </x:c>
      <x:c r="AN962" s="55" t="n">
        <x:v>2440</x:v>
      </x:c>
      <x:c r="AO962" s="55" t="n">
        <x:v>0</x:v>
      </x:c>
      <x:c r="AP962" s="55" t="n">
        <x:v>2622</x:v>
      </x:c>
      <x:c r="AQ962" s="55" t="n">
        <x:v>996</x:v>
      </x:c>
    </x:row>
    <x:row r="963">
      <x:c r="A963" s="54" t="str">
        <x:v>T1_SHARED_CATCHMENT</x:v>
      </x:c>
      <x:c r="B963" s="54" t="n">
        <x:v>957</x:v>
      </x:c>
      <x:c r="C963" s="54" t="str">
        <x:v>NYC-V2-R01</x:v>
      </x:c>
      <x:c r="D963" s="54" t="str">
        <x:v>V2</x:v>
      </x:c>
      <x:c r="E963" s="54" t="str">
        <x:v>ADMITTED</x:v>
      </x:c>
      <x:c r="F963" s="55" t="n">
        <x:v>31343</x:v>
      </x:c>
      <x:c r="G963" s="55" t="n">
        <x:v>8178</x:v>
      </x:c>
      <x:c r="H963" s="55" t="n">
        <x:v>3201</x:v>
      </x:c>
      <x:c r="I963" s="55" t="n">
        <x:v>1139</x:v>
      </x:c>
      <x:c r="J963" s="55" t="n">
        <x:v>11</x:v>
      </x:c>
      <x:c r="K963" s="55" t="n">
        <x:v>31343</x:v>
      </x:c>
      <x:c r="L963" s="55" t="n">
        <x:v>5326</x:v>
      </x:c>
      <x:c r="M963" s="55" t="n">
        <x:v>1108</x:v>
      </x:c>
      <x:c r="N963" s="55" t="n">
        <x:v>2699</x:v>
      </x:c>
      <x:c r="O963" s="55" t="n">
        <x:v>1519</x:v>
      </x:c>
      <x:c r="P963" s="55" t="n">
        <x:v>419</x:v>
      </x:c>
      <x:c r="Q963" s="55" t="n">
        <x:v>1972</x:v>
      </x:c>
      <x:c r="R963" s="55" t="n">
        <x:v>1551</x:v>
      </x:c>
      <x:c r="S963" s="55" t="n">
        <x:v>3093</x:v>
      </x:c>
      <x:c r="T963" s="55" t="n">
        <x:v>1487</x:v>
      </x:c>
      <x:c r="U963" s="55" t="n">
        <x:v>2258</x:v>
      </x:c>
      <x:c r="V963" s="55" t="n">
        <x:v>9886</x:v>
      </x:c>
      <x:c r="W963" s="55" t="n">
        <x:v>6436</x:v>
      </x:c>
      <x:c r="X963" s="55" t="n">
        <x:v>3450</x:v>
      </x:c>
      <x:c r="Y963" s="55" t="n">
        <x:v>2905</x:v>
      </x:c>
      <x:c r="Z963" s="55" t="n">
        <x:v>3437</x:v>
      </x:c>
      <x:c r="AA963" s="55" t="n">
        <x:v>3201</x:v>
      </x:c>
      <x:c r="AB963" s="55" t="n">
        <x:v>1272</x:v>
      </x:c>
      <x:c r="AC963" s="55" t="n">
        <x:v>7889</x:v>
      </x:c>
      <x:c r="AD963" s="55" t="n">
        <x:v>2900</x:v>
      </x:c>
      <x:c r="AE963" s="55" t="n">
        <x:v>9931</x:v>
      </x:c>
      <x:c r="AF963" s="55" t="n">
        <x:v>9886</x:v>
      </x:c>
      <x:c r="AG963" s="55" t="n">
        <x:v>45</x:v>
      </x:c>
      <x:c r="AH963" s="55" t="n">
        <x:v>412</x:v>
      </x:c>
      <x:c r="AI963" s="55" t="n">
        <x:v>9474</x:v>
      </x:c>
      <x:c r="AJ963" s="55" t="n">
        <x:v>292</x:v>
      </x:c>
      <x:c r="AK963" s="55" t="n">
        <x:v>879</x:v>
      </x:c>
      <x:c r="AL963" s="55" t="n">
        <x:v>1505</x:v>
      </x:c>
      <x:c r="AM963" s="55" t="n">
        <x:v>4391</x:v>
      </x:c>
      <x:c r="AN963" s="55" t="n">
        <x:v>2731</x:v>
      </x:c>
      <x:c r="AO963" s="55" t="n">
        <x:v>88</x:v>
      </x:c>
      <x:c r="AP963" s="55" t="n">
        <x:v>2036</x:v>
      </x:c>
      <x:c r="AQ963" s="55" t="n">
        <x:v>964</x:v>
      </x:c>
    </x:row>
    <x:row r="964">
      <x:c r="A964" s="54" t="str">
        <x:v>T1_SHARED_CATCHMENT</x:v>
      </x:c>
      <x:c r="B964" s="54" t="n">
        <x:v>958</x:v>
      </x:c>
      <x:c r="C964" s="54" t="str">
        <x:v>NYC-V2-R01</x:v>
      </x:c>
      <x:c r="D964" s="54" t="str">
        <x:v>V2</x:v>
      </x:c>
      <x:c r="E964" s="54" t="str">
        <x:v>ADMITTED</x:v>
      </x:c>
      <x:c r="F964" s="55" t="n">
        <x:v>32881</x:v>
      </x:c>
      <x:c r="G964" s="55" t="n">
        <x:v>9102</x:v>
      </x:c>
      <x:c r="H964" s="55" t="n">
        <x:v>3846</x:v>
      </x:c>
      <x:c r="I964" s="55" t="n">
        <x:v>1726</x:v>
      </x:c>
      <x:c r="J964" s="55" t="n">
        <x:v>417</x:v>
      </x:c>
      <x:c r="K964" s="55" t="n">
        <x:v>30815</x:v>
      </x:c>
      <x:c r="L964" s="55" t="n">
        <x:v>6440</x:v>
      </x:c>
      <x:c r="M964" s="55" t="n">
        <x:v>1921</x:v>
      </x:c>
      <x:c r="N964" s="55" t="n">
        <x:v>2957</x:v>
      </x:c>
      <x:c r="O964" s="55" t="n">
        <x:v>1562</x:v>
      </x:c>
      <x:c r="P964" s="55" t="n">
        <x:v>854</x:v>
      </x:c>
      <x:c r="Q964" s="55" t="n">
        <x:v>2020</x:v>
      </x:c>
      <x:c r="R964" s="55" t="n">
        <x:v>1741</x:v>
      </x:c>
      <x:c r="S964" s="55" t="n">
        <x:v>3024</x:v>
      </x:c>
      <x:c r="T964" s="55" t="n">
        <x:v>1231</x:v>
      </x:c>
      <x:c r="U964" s="55" t="n">
        <x:v>2383</x:v>
      </x:c>
      <x:c r="V964" s="55" t="n">
        <x:v>9933</x:v>
      </x:c>
      <x:c r="W964" s="55" t="n">
        <x:v>6627</x:v>
      </x:c>
      <x:c r="X964" s="55" t="n">
        <x:v>3306</x:v>
      </x:c>
      <x:c r="Y964" s="55" t="n">
        <x:v>2753</x:v>
      </x:c>
      <x:c r="Z964" s="55" t="n">
        <x:v>4022</x:v>
      </x:c>
      <x:c r="AA964" s="55" t="n">
        <x:v>3125</x:v>
      </x:c>
      <x:c r="AB964" s="55" t="n">
        <x:v>1379</x:v>
      </x:c>
      <x:c r="AC964" s="55" t="n">
        <x:v>8459</x:v>
      </x:c>
      <x:c r="AD964" s="55" t="n">
        <x:v>2941</x:v>
      </x:c>
      <x:c r="AE964" s="55" t="n">
        <x:v>10124</x:v>
      </x:c>
      <x:c r="AF964" s="55" t="n">
        <x:v>9933</x:v>
      </x:c>
      <x:c r="AG964" s="55" t="n">
        <x:v>191</x:v>
      </x:c>
      <x:c r="AH964" s="55" t="n">
        <x:v>236</x:v>
      </x:c>
      <x:c r="AI964" s="55" t="n">
        <x:v>9697</x:v>
      </x:c>
      <x:c r="AJ964" s="55" t="n">
        <x:v>382</x:v>
      </x:c>
      <x:c r="AK964" s="55" t="n">
        <x:v>799</x:v>
      </x:c>
      <x:c r="AL964" s="55" t="n">
        <x:v>1378</x:v>
      </x:c>
      <x:c r="AM964" s="55" t="n">
        <x:v>5017</x:v>
      </x:c>
      <x:c r="AN964" s="55" t="n">
        <x:v>2308</x:v>
      </x:c>
      <x:c r="AO964" s="55" t="n">
        <x:v>49</x:v>
      </x:c>
      <x:c r="AP964" s="55" t="n">
        <x:v>2516</x:v>
      </x:c>
      <x:c r="AQ964" s="55" t="n">
        <x:v>1002</x:v>
      </x:c>
    </x:row>
    <x:row r="965">
      <x:c r="A965" s="54" t="str">
        <x:v>T1_SHARED_CATCHMENT</x:v>
      </x:c>
      <x:c r="B965" s="54" t="n">
        <x:v>959</x:v>
      </x:c>
      <x:c r="C965" s="54" t="str">
        <x:v>NYC-V2-R01</x:v>
      </x:c>
      <x:c r="D965" s="54" t="str">
        <x:v>V2</x:v>
      </x:c>
      <x:c r="E965" s="54" t="str">
        <x:v>ADMITTED</x:v>
      </x:c>
      <x:c r="F965" s="55" t="n">
        <x:v>32784</x:v>
      </x:c>
      <x:c r="G965" s="55" t="n">
        <x:v>7270</x:v>
      </x:c>
      <x:c r="H965" s="55" t="n">
        <x:v>3734</x:v>
      </x:c>
      <x:c r="I965" s="55" t="n">
        <x:v>1570</x:v>
      </x:c>
      <x:c r="J965" s="55" t="n">
        <x:v>293</x:v>
      </x:c>
      <x:c r="K965" s="55" t="n">
        <x:v>32784</x:v>
      </x:c>
      <x:c r="L965" s="55" t="n">
        <x:v>6615</x:v>
      </x:c>
      <x:c r="M965" s="55" t="n">
        <x:v>1632</x:v>
      </x:c>
      <x:c r="N965" s="55" t="n">
        <x:v>3230</x:v>
      </x:c>
      <x:c r="O965" s="55" t="n">
        <x:v>1753</x:v>
      </x:c>
      <x:c r="P965" s="55" t="n">
        <x:v>1358</x:v>
      </x:c>
      <x:c r="Q965" s="55" t="n">
        <x:v>2236</x:v>
      </x:c>
      <x:c r="R965" s="55" t="n">
        <x:v>2458</x:v>
      </x:c>
      <x:c r="S965" s="55" t="n">
        <x:v>2972</x:v>
      </x:c>
      <x:c r="T965" s="55" t="n">
        <x:v>1110</x:v>
      </x:c>
      <x:c r="U965" s="55" t="n">
        <x:v>2292</x:v>
      </x:c>
      <x:c r="V965" s="55" t="n">
        <x:v>10378</x:v>
      </x:c>
      <x:c r="W965" s="55" t="n">
        <x:v>6886</x:v>
      </x:c>
      <x:c r="X965" s="55" t="n">
        <x:v>3492</x:v>
      </x:c>
      <x:c r="Y965" s="55" t="n">
        <x:v>2991</x:v>
      </x:c>
      <x:c r="Z965" s="55" t="n">
        <x:v>4037</x:v>
      </x:c>
      <x:c r="AA965" s="55" t="n">
        <x:v>3734</x:v>
      </x:c>
      <x:c r="AB965" s="55" t="n">
        <x:v>1277</x:v>
      </x:c>
      <x:c r="AC965" s="55" t="n">
        <x:v>8311</x:v>
      </x:c>
      <x:c r="AD965" s="55" t="n">
        <x:v>2857</x:v>
      </x:c>
      <x:c r="AE965" s="55" t="n">
        <x:v>10433</x:v>
      </x:c>
      <x:c r="AF965" s="55" t="n">
        <x:v>10378</x:v>
      </x:c>
      <x:c r="AG965" s="55" t="n">
        <x:v>55</x:v>
      </x:c>
      <x:c r="AH965" s="55" t="n">
        <x:v>467</x:v>
      </x:c>
      <x:c r="AI965" s="55" t="n">
        <x:v>9911</x:v>
      </x:c>
      <x:c r="AJ965" s="55" t="n">
        <x:v>307</x:v>
      </x:c>
      <x:c r="AK965" s="55" t="n">
        <x:v>699</x:v>
      </x:c>
      <x:c r="AL965" s="55" t="n">
        <x:v>1146</x:v>
      </x:c>
      <x:c r="AM965" s="55" t="n">
        <x:v>5071</x:v>
      </x:c>
      <x:c r="AN965" s="55" t="n">
        <x:v>3068</x:v>
      </x:c>
      <x:c r="AO965" s="55" t="n">
        <x:v>87</x:v>
      </x:c>
      <x:c r="AP965" s="55" t="n">
        <x:v>2989</x:v>
      </x:c>
      <x:c r="AQ965" s="55" t="n">
        <x:v>994</x:v>
      </x:c>
    </x:row>
    <x:row r="966">
      <x:c r="A966" s="54" t="str">
        <x:v>T1_SHARED_CATCHMENT</x:v>
      </x:c>
      <x:c r="B966" s="54" t="n">
        <x:v>960</x:v>
      </x:c>
      <x:c r="C966" s="54" t="str">
        <x:v>NYC-V2-R01</x:v>
      </x:c>
      <x:c r="D966" s="54" t="str">
        <x:v>V2</x:v>
      </x:c>
      <x:c r="E966" s="54" t="str">
        <x:v>ADMITTED</x:v>
      </x:c>
      <x:c r="F966" s="55" t="n">
        <x:v>29554</x:v>
      </x:c>
      <x:c r="G966" s="55" t="n">
        <x:v>5842</x:v>
      </x:c>
      <x:c r="H966" s="55" t="n">
        <x:v>3218</x:v>
      </x:c>
      <x:c r="I966" s="55" t="n">
        <x:v>586</x:v>
      </x:c>
      <x:c r="J966" s="55" t="n">
        <x:v>0</x:v>
      </x:c>
      <x:c r="K966" s="55" t="n">
        <x:v>29554</x:v>
      </x:c>
      <x:c r="L966" s="55" t="n">
        <x:v>4471</x:v>
      </x:c>
      <x:c r="M966" s="55" t="n">
        <x:v>628</x:v>
      </x:c>
      <x:c r="N966" s="55" t="n">
        <x:v>2383</x:v>
      </x:c>
      <x:c r="O966" s="55" t="n">
        <x:v>1460</x:v>
      </x:c>
      <x:c r="P966" s="55" t="n">
        <x:v>689</x:v>
      </x:c>
      <x:c r="Q966" s="55" t="n">
        <x:v>2317</x:v>
      </x:c>
      <x:c r="R966" s="55" t="n">
        <x:v>1293</x:v>
      </x:c>
      <x:c r="S966" s="55" t="n">
        <x:v>2320</x:v>
      </x:c>
      <x:c r="T966" s="55" t="n">
        <x:v>659</x:v>
      </x:c>
      <x:c r="U966" s="55" t="n">
        <x:v>1536</x:v>
      </x:c>
      <x:c r="V966" s="55" t="n">
        <x:v>10542</x:v>
      </x:c>
      <x:c r="W966" s="55" t="n">
        <x:v>7534</x:v>
      </x:c>
      <x:c r="X966" s="55" t="n">
        <x:v>3008</x:v>
      </x:c>
      <x:c r="Y966" s="55" t="n">
        <x:v>2541</x:v>
      </x:c>
      <x:c r="Z966" s="55" t="n">
        <x:v>3727</x:v>
      </x:c>
      <x:c r="AA966" s="55" t="n">
        <x:v>3218</x:v>
      </x:c>
      <x:c r="AB966" s="55" t="n">
        <x:v>1396</x:v>
      </x:c>
      <x:c r="AC966" s="55" t="n">
        <x:v>8463</x:v>
      </x:c>
      <x:c r="AD966" s="55" t="n">
        <x:v>2900</x:v>
      </x:c>
      <x:c r="AE966" s="55" t="n">
        <x:v>10636</x:v>
      </x:c>
      <x:c r="AF966" s="55" t="n">
        <x:v>10542</x:v>
      </x:c>
      <x:c r="AG966" s="55" t="n">
        <x:v>94</x:v>
      </x:c>
      <x:c r="AH966" s="55" t="n">
        <x:v>385</x:v>
      </x:c>
      <x:c r="AI966" s="55" t="n">
        <x:v>10157</x:v>
      </x:c>
      <x:c r="AJ966" s="55" t="n">
        <x:v>390</x:v>
      </x:c>
      <x:c r="AK966" s="55" t="n">
        <x:v>879</x:v>
      </x:c>
      <x:c r="AL966" s="55" t="n">
        <x:v>1540</x:v>
      </x:c>
      <x:c r="AM966" s="55" t="n">
        <x:v>4689</x:v>
      </x:c>
      <x:c r="AN966" s="55" t="n">
        <x:v>2994</x:v>
      </x:c>
      <x:c r="AO966" s="55" t="n">
        <x:v>50</x:v>
      </x:c>
      <x:c r="AP966" s="55" t="n">
        <x:v>2682</x:v>
      </x:c>
      <x:c r="AQ966" s="55" t="n">
        <x:v>896</x:v>
      </x:c>
    </x:row>
    <x:row r="967">
      <x:c r="A967" s="54" t="str">
        <x:v>T1_SHARED_CATCHMENT</x:v>
      </x:c>
      <x:c r="B967" s="54" t="n">
        <x:v>961</x:v>
      </x:c>
      <x:c r="C967" s="54" t="str">
        <x:v>NYC-V2-R01</x:v>
      </x:c>
      <x:c r="D967" s="54" t="str">
        <x:v>V2</x:v>
      </x:c>
      <x:c r="E967" s="54" t="str">
        <x:v>ADMITTED</x:v>
      </x:c>
      <x:c r="F967" s="55" t="n">
        <x:v>30806</x:v>
      </x:c>
      <x:c r="G967" s="55" t="n">
        <x:v>7254</x:v>
      </x:c>
      <x:c r="H967" s="55" t="n">
        <x:v>3426</x:v>
      </x:c>
      <x:c r="I967" s="55" t="n">
        <x:v>992</x:v>
      </x:c>
      <x:c r="J967" s="55" t="n">
        <x:v>138</x:v>
      </x:c>
      <x:c r="K967" s="55" t="n">
        <x:v>30806</x:v>
      </x:c>
      <x:c r="L967" s="55" t="n">
        <x:v>5860</x:v>
      </x:c>
      <x:c r="M967" s="55" t="n">
        <x:v>741</x:v>
      </x:c>
      <x:c r="N967" s="55" t="n">
        <x:v>3367</x:v>
      </x:c>
      <x:c r="O967" s="55" t="n">
        <x:v>1752</x:v>
      </x:c>
      <x:c r="P967" s="55" t="n">
        <x:v>639</x:v>
      </x:c>
      <x:c r="Q967" s="55" t="n">
        <x:v>2648</x:v>
      </x:c>
      <x:c r="R967" s="55" t="n">
        <x:v>2282</x:v>
      </x:c>
      <x:c r="S967" s="55" t="n">
        <x:v>2563</x:v>
      </x:c>
      <x:c r="T967" s="55" t="n">
        <x:v>914</x:v>
      </x:c>
      <x:c r="U967" s="55" t="n">
        <x:v>2084</x:v>
      </x:c>
      <x:c r="V967" s="55" t="n">
        <x:v>10258</x:v>
      </x:c>
      <x:c r="W967" s="55" t="n">
        <x:v>7206</x:v>
      </x:c>
      <x:c r="X967" s="55" t="n">
        <x:v>3052</x:v>
      </x:c>
      <x:c r="Y967" s="55" t="n">
        <x:v>2701</x:v>
      </x:c>
      <x:c r="Z967" s="55" t="n">
        <x:v>3359</x:v>
      </x:c>
      <x:c r="AA967" s="55" t="n">
        <x:v>3426</x:v>
      </x:c>
      <x:c r="AB967" s="55" t="n">
        <x:v>1216</x:v>
      </x:c>
      <x:c r="AC967" s="55" t="n">
        <x:v>8146</x:v>
      </x:c>
      <x:c r="AD967" s="55" t="n">
        <x:v>3142</x:v>
      </x:c>
      <x:c r="AE967" s="55" t="n">
        <x:v>10344</x:v>
      </x:c>
      <x:c r="AF967" s="55" t="n">
        <x:v>10258</x:v>
      </x:c>
      <x:c r="AG967" s="55" t="n">
        <x:v>86</x:v>
      </x:c>
      <x:c r="AH967" s="55" t="n">
        <x:v>416</x:v>
      </x:c>
      <x:c r="AI967" s="55" t="n">
        <x:v>9842</x:v>
      </x:c>
      <x:c r="AJ967" s="55" t="n">
        <x:v>198</x:v>
      </x:c>
      <x:c r="AK967" s="55" t="n">
        <x:v>1013</x:v>
      </x:c>
      <x:c r="AL967" s="55" t="n">
        <x:v>1607</x:v>
      </x:c>
      <x:c r="AM967" s="55" t="n">
        <x:v>4598</x:v>
      </x:c>
      <x:c r="AN967" s="55" t="n">
        <x:v>2820</x:v>
      </x:c>
      <x:c r="AO967" s="55" t="n">
        <x:v>22</x:v>
      </x:c>
      <x:c r="AP967" s="55" t="n">
        <x:v>2161</x:v>
      </x:c>
      <x:c r="AQ967" s="55" t="n">
        <x:v>965</x:v>
      </x:c>
    </x:row>
    <x:row r="968">
      <x:c r="A968" s="54" t="str">
        <x:v>T1_SHARED_CATCHMENT</x:v>
      </x:c>
      <x:c r="B968" s="54" t="n">
        <x:v>962</x:v>
      </x:c>
      <x:c r="C968" s="54" t="str">
        <x:v>NYC-V2-R01</x:v>
      </x:c>
      <x:c r="D968" s="54" t="str">
        <x:v>V2</x:v>
      </x:c>
      <x:c r="E968" s="54" t="str">
        <x:v>ADMITTED</x:v>
      </x:c>
      <x:c r="F968" s="55" t="n">
        <x:v>33315</x:v>
      </x:c>
      <x:c r="G968" s="55" t="n">
        <x:v>9067</x:v>
      </x:c>
      <x:c r="H968" s="55" t="n">
        <x:v>3320</x:v>
      </x:c>
      <x:c r="I968" s="55" t="n">
        <x:v>1100</x:v>
      </x:c>
      <x:c r="J968" s="55" t="n">
        <x:v>133</x:v>
      </x:c>
      <x:c r="K968" s="55" t="n">
        <x:v>31645</x:v>
      </x:c>
      <x:c r="L968" s="55" t="n">
        <x:v>6521</x:v>
      </x:c>
      <x:c r="M968" s="55" t="n">
        <x:v>1545</x:v>
      </x:c>
      <x:c r="N968" s="55" t="n">
        <x:v>3390</x:v>
      </x:c>
      <x:c r="O968" s="55" t="n">
        <x:v>1586</x:v>
      </x:c>
      <x:c r="P968" s="55" t="n">
        <x:v>419</x:v>
      </x:c>
      <x:c r="Q968" s="55" t="n">
        <x:v>2718</x:v>
      </x:c>
      <x:c r="R968" s="55" t="n">
        <x:v>1709</x:v>
      </x:c>
      <x:c r="S968" s="55" t="n">
        <x:v>2323</x:v>
      </x:c>
      <x:c r="T968" s="55" t="n">
        <x:v>787</x:v>
      </x:c>
      <x:c r="U968" s="55" t="n">
        <x:v>1997</x:v>
      </x:c>
      <x:c r="V968" s="55" t="n">
        <x:v>10209</x:v>
      </x:c>
      <x:c r="W968" s="55" t="n">
        <x:v>7250</x:v>
      </x:c>
      <x:c r="X968" s="55" t="n">
        <x:v>2959</x:v>
      </x:c>
      <x:c r="Y968" s="55" t="n">
        <x:v>2492</x:v>
      </x:c>
      <x:c r="Z968" s="55" t="n">
        <x:v>3425</x:v>
      </x:c>
      <x:c r="AA968" s="55" t="n">
        <x:v>3320</x:v>
      </x:c>
      <x:c r="AB968" s="55" t="n">
        <x:v>1415</x:v>
      </x:c>
      <x:c r="AC968" s="55" t="n">
        <x:v>7831</x:v>
      </x:c>
      <x:c r="AD968" s="55" t="n">
        <x:v>3001</x:v>
      </x:c>
      <x:c r="AE968" s="55" t="n">
        <x:v>10291</x:v>
      </x:c>
      <x:c r="AF968" s="55" t="n">
        <x:v>10209</x:v>
      </x:c>
      <x:c r="AG968" s="55" t="n">
        <x:v>82</x:v>
      </x:c>
      <x:c r="AH968" s="55" t="n">
        <x:v>310</x:v>
      </x:c>
      <x:c r="AI968" s="55" t="n">
        <x:v>9899</x:v>
      </x:c>
      <x:c r="AJ968" s="55" t="n">
        <x:v>302</x:v>
      </x:c>
      <x:c r="AK968" s="55" t="n">
        <x:v>863</x:v>
      </x:c>
      <x:c r="AL968" s="55" t="n">
        <x:v>1265</x:v>
      </x:c>
      <x:c r="AM968" s="55" t="n">
        <x:v>4915</x:v>
      </x:c>
      <x:c r="AN968" s="55" t="n">
        <x:v>2848</x:v>
      </x:c>
      <x:c r="AO968" s="55" t="n">
        <x:v>16</x:v>
      </x:c>
      <x:c r="AP968" s="55" t="n">
        <x:v>2708</x:v>
      </x:c>
      <x:c r="AQ968" s="55" t="n">
        <x:v>969</x:v>
      </x:c>
    </x:row>
    <x:row r="969">
      <x:c r="A969" s="54" t="str">
        <x:v>T1_SHARED_CATCHMENT</x:v>
      </x:c>
      <x:c r="B969" s="54" t="n">
        <x:v>963</x:v>
      </x:c>
      <x:c r="C969" s="54" t="str">
        <x:v>NYC-V2-R01</x:v>
      </x:c>
      <x:c r="D969" s="54" t="str">
        <x:v>V2</x:v>
      </x:c>
      <x:c r="E969" s="54" t="str">
        <x:v>ADMITTED</x:v>
      </x:c>
      <x:c r="F969" s="55" t="n">
        <x:v>28211</x:v>
      </x:c>
      <x:c r="G969" s="55" t="n">
        <x:v>7009</x:v>
      </x:c>
      <x:c r="H969" s="55" t="n">
        <x:v>3043</x:v>
      </x:c>
      <x:c r="I969" s="55" t="n">
        <x:v>1460</x:v>
      </x:c>
      <x:c r="J969" s="55" t="n">
        <x:v>359</x:v>
      </x:c>
      <x:c r="K969" s="55" t="n">
        <x:v>27065</x:v>
      </x:c>
      <x:c r="L969" s="55" t="n">
        <x:v>5136</x:v>
      </x:c>
      <x:c r="M969" s="55" t="n">
        <x:v>705</x:v>
      </x:c>
      <x:c r="N969" s="55" t="n">
        <x:v>2655</x:v>
      </x:c>
      <x:c r="O969" s="55" t="n">
        <x:v>1776</x:v>
      </x:c>
      <x:c r="P969" s="55" t="n">
        <x:v>1056</x:v>
      </x:c>
      <x:c r="Q969" s="55" t="n">
        <x:v>1577</x:v>
      </x:c>
      <x:c r="R969" s="55" t="n">
        <x:v>1133</x:v>
      </x:c>
      <x:c r="S969" s="55" t="n">
        <x:v>2208</x:v>
      </x:c>
      <x:c r="T969" s="55" t="n">
        <x:v>923</x:v>
      </x:c>
      <x:c r="U969" s="55" t="n">
        <x:v>2706</x:v>
      </x:c>
      <x:c r="V969" s="55" t="n">
        <x:v>10555</x:v>
      </x:c>
      <x:c r="W969" s="55" t="n">
        <x:v>7360</x:v>
      </x:c>
      <x:c r="X969" s="55" t="n">
        <x:v>3195</x:v>
      </x:c>
      <x:c r="Y969" s="55" t="n">
        <x:v>2823</x:v>
      </x:c>
      <x:c r="Z969" s="55" t="n">
        <x:v>3921</x:v>
      </x:c>
      <x:c r="AA969" s="55" t="n">
        <x:v>2099</x:v>
      </x:c>
      <x:c r="AB969" s="55" t="n">
        <x:v>1195</x:v>
      </x:c>
      <x:c r="AC969" s="55" t="n">
        <x:v>8218</x:v>
      </x:c>
      <x:c r="AD969" s="55" t="n">
        <x:v>3271</x:v>
      </x:c>
      <x:c r="AE969" s="55" t="n">
        <x:v>10664</x:v>
      </x:c>
      <x:c r="AF969" s="55" t="n">
        <x:v>10555</x:v>
      </x:c>
      <x:c r="AG969" s="55" t="n">
        <x:v>109</x:v>
      </x:c>
      <x:c r="AH969" s="55" t="n">
        <x:v>474</x:v>
      </x:c>
      <x:c r="AI969" s="55" t="n">
        <x:v>10081</x:v>
      </x:c>
      <x:c r="AJ969" s="55" t="n">
        <x:v>236</x:v>
      </x:c>
      <x:c r="AK969" s="55" t="n">
        <x:v>788</x:v>
      </x:c>
      <x:c r="AL969" s="55" t="n">
        <x:v>1692</x:v>
      </x:c>
      <x:c r="AM969" s="55" t="n">
        <x:v>4998</x:v>
      </x:c>
      <x:c r="AN969" s="55" t="n">
        <x:v>2841</x:v>
      </x:c>
      <x:c r="AO969" s="55" t="n">
        <x:v>0</x:v>
      </x:c>
      <x:c r="AP969" s="55" t="n">
        <x:v>2513</x:v>
      </x:c>
      <x:c r="AQ969" s="55" t="n">
        <x:v>899</x:v>
      </x:c>
    </x:row>
    <x:row r="970">
      <x:c r="A970" s="54" t="str">
        <x:v>T1_SHARED_CATCHMENT</x:v>
      </x:c>
      <x:c r="B970" s="54" t="n">
        <x:v>964</x:v>
      </x:c>
      <x:c r="C970" s="54" t="str">
        <x:v>NYC-V2-R01</x:v>
      </x:c>
      <x:c r="D970" s="54" t="str">
        <x:v>V2</x:v>
      </x:c>
      <x:c r="E970" s="54" t="str">
        <x:v>ADMITTED</x:v>
      </x:c>
      <x:c r="F970" s="55" t="n">
        <x:v>30492</x:v>
      </x:c>
      <x:c r="G970" s="55" t="n">
        <x:v>6826</x:v>
      </x:c>
      <x:c r="H970" s="55" t="n">
        <x:v>3298</x:v>
      </x:c>
      <x:c r="I970" s="55" t="n">
        <x:v>1435</x:v>
      </x:c>
      <x:c r="J970" s="55" t="n">
        <x:v>215</x:v>
      </x:c>
      <x:c r="K970" s="55" t="n">
        <x:v>29789</x:v>
      </x:c>
      <x:c r="L970" s="55" t="n">
        <x:v>4688</x:v>
      </x:c>
      <x:c r="M970" s="55" t="n">
        <x:v>397</x:v>
      </x:c>
      <x:c r="N970" s="55" t="n">
        <x:v>2680</x:v>
      </x:c>
      <x:c r="O970" s="55" t="n">
        <x:v>1611</x:v>
      </x:c>
      <x:c r="P970" s="55" t="n">
        <x:v>550</x:v>
      </x:c>
      <x:c r="Q970" s="55" t="n">
        <x:v>1246</x:v>
      </x:c>
      <x:c r="R970" s="55" t="n">
        <x:v>1827</x:v>
      </x:c>
      <x:c r="S970" s="55" t="n">
        <x:v>2546</x:v>
      </x:c>
      <x:c r="T970" s="55" t="n">
        <x:v>1469</x:v>
      </x:c>
      <x:c r="U970" s="55" t="n">
        <x:v>2171</x:v>
      </x:c>
      <x:c r="V970" s="55" t="n">
        <x:v>10020</x:v>
      </x:c>
      <x:c r="W970" s="55" t="n">
        <x:v>6971</x:v>
      </x:c>
      <x:c r="X970" s="55" t="n">
        <x:v>3049</x:v>
      </x:c>
      <x:c r="Y970" s="55" t="n">
        <x:v>2648</x:v>
      </x:c>
      <x:c r="Z970" s="55" t="n">
        <x:v>3907</x:v>
      </x:c>
      <x:c r="AA970" s="55" t="n">
        <x:v>2210</x:v>
      </x:c>
      <x:c r="AB970" s="55" t="n">
        <x:v>490</x:v>
      </x:c>
      <x:c r="AC970" s="55" t="n">
        <x:v>8227</x:v>
      </x:c>
      <x:c r="AD970" s="55" t="n">
        <x:v>3718</x:v>
      </x:c>
      <x:c r="AE970" s="55" t="n">
        <x:v>10081</x:v>
      </x:c>
      <x:c r="AF970" s="55" t="n">
        <x:v>10020</x:v>
      </x:c>
      <x:c r="AG970" s="55" t="n">
        <x:v>61</x:v>
      </x:c>
      <x:c r="AH970" s="55" t="n">
        <x:v>226</x:v>
      </x:c>
      <x:c r="AI970" s="55" t="n">
        <x:v>9794</x:v>
      </x:c>
      <x:c r="AJ970" s="55" t="n">
        <x:v>157</x:v>
      </x:c>
      <x:c r="AK970" s="55" t="n">
        <x:v>880</x:v>
      </x:c>
      <x:c r="AL970" s="55" t="n">
        <x:v>1501</x:v>
      </x:c>
      <x:c r="AM970" s="55" t="n">
        <x:v>4633</x:v>
      </x:c>
      <x:c r="AN970" s="55" t="n">
        <x:v>2849</x:v>
      </x:c>
      <x:c r="AO970" s="55" t="n">
        <x:v>0</x:v>
      </x:c>
      <x:c r="AP970" s="55" t="n">
        <x:v>2544</x:v>
      </x:c>
      <x:c r="AQ970" s="55" t="n">
        <x:v>936</x:v>
      </x:c>
    </x:row>
    <x:row r="971">
      <x:c r="A971" s="54" t="str">
        <x:v>T1_SHARED_CATCHMENT</x:v>
      </x:c>
      <x:c r="B971" s="54" t="n">
        <x:v>965</x:v>
      </x:c>
      <x:c r="C971" s="54" t="str">
        <x:v>NYC-V2-R01</x:v>
      </x:c>
      <x:c r="D971" s="54" t="str">
        <x:v>V2</x:v>
      </x:c>
      <x:c r="E971" s="54" t="str">
        <x:v>ADMITTED</x:v>
      </x:c>
      <x:c r="F971" s="55" t="n">
        <x:v>32781</x:v>
      </x:c>
      <x:c r="G971" s="55" t="n">
        <x:v>6388</x:v>
      </x:c>
      <x:c r="H971" s="55" t="n">
        <x:v>2985</x:v>
      </x:c>
      <x:c r="I971" s="55" t="n">
        <x:v>1289</x:v>
      </x:c>
      <x:c r="J971" s="55" t="n">
        <x:v>258</x:v>
      </x:c>
      <x:c r="K971" s="55" t="n">
        <x:v>32781</x:v>
      </x:c>
      <x:c r="L971" s="55" t="n">
        <x:v>6113</x:v>
      </x:c>
      <x:c r="M971" s="55" t="n">
        <x:v>1407</x:v>
      </x:c>
      <x:c r="N971" s="55" t="n">
        <x:v>2709</x:v>
      </x:c>
      <x:c r="O971" s="55" t="n">
        <x:v>1997</x:v>
      </x:c>
      <x:c r="P971" s="55" t="n">
        <x:v>591</x:v>
      </x:c>
      <x:c r="Q971" s="55" t="n">
        <x:v>1993</x:v>
      </x:c>
      <x:c r="R971" s="55" t="n">
        <x:v>1142</x:v>
      </x:c>
      <x:c r="S971" s="55" t="n">
        <x:v>1980</x:v>
      </x:c>
      <x:c r="T971" s="55" t="n">
        <x:v>1070</x:v>
      </x:c>
      <x:c r="U971" s="55" t="n">
        <x:v>1710</x:v>
      </x:c>
      <x:c r="V971" s="55" t="n">
        <x:v>10438</x:v>
      </x:c>
      <x:c r="W971" s="55" t="n">
        <x:v>7222</x:v>
      </x:c>
      <x:c r="X971" s="55" t="n">
        <x:v>3216</x:v>
      </x:c>
      <x:c r="Y971" s="55" t="n">
        <x:v>2792</x:v>
      </x:c>
      <x:c r="Z971" s="55" t="n">
        <x:v>3427</x:v>
      </x:c>
      <x:c r="AA971" s="55" t="n">
        <x:v>2910</x:v>
      </x:c>
      <x:c r="AB971" s="55" t="n">
        <x:v>1033</x:v>
      </x:c>
      <x:c r="AC971" s="55" t="n">
        <x:v>8090</x:v>
      </x:c>
      <x:c r="AD971" s="55" t="n">
        <x:v>2645</x:v>
      </x:c>
      <x:c r="AE971" s="55" t="n">
        <x:v>10550</x:v>
      </x:c>
      <x:c r="AF971" s="55" t="n">
        <x:v>10438</x:v>
      </x:c>
      <x:c r="AG971" s="55" t="n">
        <x:v>112</x:v>
      </x:c>
      <x:c r="AH971" s="55" t="n">
        <x:v>520</x:v>
      </x:c>
      <x:c r="AI971" s="55" t="n">
        <x:v>9918</x:v>
      </x:c>
      <x:c r="AJ971" s="55" t="n">
        <x:v>120</x:v>
      </x:c>
      <x:c r="AK971" s="55" t="n">
        <x:v>741</x:v>
      </x:c>
      <x:c r="AL971" s="55" t="n">
        <x:v>1346</x:v>
      </x:c>
      <x:c r="AM971" s="55" t="n">
        <x:v>5995</x:v>
      </x:c>
      <x:c r="AN971" s="55" t="n">
        <x:v>2236</x:v>
      </x:c>
      <x:c r="AO971" s="55" t="n">
        <x:v>0</x:v>
      </x:c>
      <x:c r="AP971" s="55" t="n">
        <x:v>1954</x:v>
      </x:c>
      <x:c r="AQ971" s="55" t="n">
        <x:v>1001</x:v>
      </x:c>
    </x:row>
    <x:row r="972">
      <x:c r="A972" s="54" t="str">
        <x:v>T1_SHARED_CATCHMENT</x:v>
      </x:c>
      <x:c r="B972" s="54" t="n">
        <x:v>966</x:v>
      </x:c>
      <x:c r="C972" s="54" t="str">
        <x:v>NYC-V2-R01</x:v>
      </x:c>
      <x:c r="D972" s="54" t="str">
        <x:v>V2</x:v>
      </x:c>
      <x:c r="E972" s="54" t="str">
        <x:v>ADMITTED</x:v>
      </x:c>
      <x:c r="F972" s="55" t="n">
        <x:v>31706</x:v>
      </x:c>
      <x:c r="G972" s="55" t="n">
        <x:v>7183</x:v>
      </x:c>
      <x:c r="H972" s="55" t="n">
        <x:v>3256</x:v>
      </x:c>
      <x:c r="I972" s="55" t="n">
        <x:v>1107</x:v>
      </x:c>
      <x:c r="J972" s="55" t="n">
        <x:v>295</x:v>
      </x:c>
      <x:c r="K972" s="55" t="n">
        <x:v>31040</x:v>
      </x:c>
      <x:c r="L972" s="55" t="n">
        <x:v>4746</x:v>
      </x:c>
      <x:c r="M972" s="55" t="n">
        <x:v>674</x:v>
      </x:c>
      <x:c r="N972" s="55" t="n">
        <x:v>2528</x:v>
      </x:c>
      <x:c r="O972" s="55" t="n">
        <x:v>1544</x:v>
      </x:c>
      <x:c r="P972" s="55" t="n">
        <x:v>862</x:v>
      </x:c>
      <x:c r="Q972" s="55" t="n">
        <x:v>1649</x:v>
      </x:c>
      <x:c r="R972" s="55" t="n">
        <x:v>1720</x:v>
      </x:c>
      <x:c r="S972" s="55" t="n">
        <x:v>3344</x:v>
      </x:c>
      <x:c r="T972" s="55" t="n">
        <x:v>626</x:v>
      </x:c>
      <x:c r="U972" s="55" t="n">
        <x:v>2420</x:v>
      </x:c>
      <x:c r="V972" s="55" t="n">
        <x:v>10277</x:v>
      </x:c>
      <x:c r="W972" s="55" t="n">
        <x:v>7022</x:v>
      </x:c>
      <x:c r="X972" s="55" t="n">
        <x:v>3255</x:v>
      </x:c>
      <x:c r="Y972" s="55" t="n">
        <x:v>2794</x:v>
      </x:c>
      <x:c r="Z972" s="55" t="n">
        <x:v>3449</x:v>
      </x:c>
      <x:c r="AA972" s="55" t="n">
        <x:v>2702</x:v>
      </x:c>
      <x:c r="AB972" s="55" t="n">
        <x:v>558</x:v>
      </x:c>
      <x:c r="AC972" s="55" t="n">
        <x:v>7940</x:v>
      </x:c>
      <x:c r="AD972" s="55" t="n">
        <x:v>2442</x:v>
      </x:c>
      <x:c r="AE972" s="55" t="n">
        <x:v>10334</x:v>
      </x:c>
      <x:c r="AF972" s="55" t="n">
        <x:v>10277</x:v>
      </x:c>
      <x:c r="AG972" s="55" t="n">
        <x:v>57</x:v>
      </x:c>
      <x:c r="AH972" s="55" t="n">
        <x:v>456</x:v>
      </x:c>
      <x:c r="AI972" s="55" t="n">
        <x:v>9821</x:v>
      </x:c>
      <x:c r="AJ972" s="55" t="n">
        <x:v>235</x:v>
      </x:c>
      <x:c r="AK972" s="55" t="n">
        <x:v>981</x:v>
      </x:c>
      <x:c r="AL972" s="55" t="n">
        <x:v>1804</x:v>
      </x:c>
      <x:c r="AM972" s="55" t="n">
        <x:v>4769</x:v>
      </x:c>
      <x:c r="AN972" s="55" t="n">
        <x:v>2488</x:v>
      </x:c>
      <x:c r="AO972" s="55" t="n">
        <x:v>0</x:v>
      </x:c>
      <x:c r="AP972" s="55" t="n">
        <x:v>1692</x:v>
      </x:c>
      <x:c r="AQ972" s="55" t="n">
        <x:v>907</x:v>
      </x:c>
    </x:row>
    <x:row r="973">
      <x:c r="A973" s="54" t="str">
        <x:v>T1_SHARED_CATCHMENT</x:v>
      </x:c>
      <x:c r="B973" s="54" t="n">
        <x:v>967</x:v>
      </x:c>
      <x:c r="C973" s="54" t="str">
        <x:v>NYC-V2-R01</x:v>
      </x:c>
      <x:c r="D973" s="54" t="str">
        <x:v>V2</x:v>
      </x:c>
      <x:c r="E973" s="54" t="str">
        <x:v>ADMITTED</x:v>
      </x:c>
      <x:c r="F973" s="55" t="n">
        <x:v>30881</x:v>
      </x:c>
      <x:c r="G973" s="55" t="n">
        <x:v>7860</x:v>
      </x:c>
      <x:c r="H973" s="55" t="n">
        <x:v>3142</x:v>
      </x:c>
      <x:c r="I973" s="55" t="n">
        <x:v>978</x:v>
      </x:c>
      <x:c r="J973" s="55" t="n">
        <x:v>255</x:v>
      </x:c>
      <x:c r="K973" s="55" t="n">
        <x:v>30172</x:v>
      </x:c>
      <x:c r="L973" s="55" t="n">
        <x:v>5810</x:v>
      </x:c>
      <x:c r="M973" s="55" t="n">
        <x:v>1054</x:v>
      </x:c>
      <x:c r="N973" s="55" t="n">
        <x:v>2656</x:v>
      </x:c>
      <x:c r="O973" s="55" t="n">
        <x:v>2100</x:v>
      </x:c>
      <x:c r="P973" s="55" t="n">
        <x:v>1068</x:v>
      </x:c>
      <x:c r="Q973" s="55" t="n">
        <x:v>2338</x:v>
      </x:c>
      <x:c r="R973" s="55" t="n">
        <x:v>2518</x:v>
      </x:c>
      <x:c r="S973" s="55" t="n">
        <x:v>3231</x:v>
      </x:c>
      <x:c r="T973" s="55" t="n">
        <x:v>1416</x:v>
      </x:c>
      <x:c r="U973" s="55" t="n">
        <x:v>1703</x:v>
      </x:c>
      <x:c r="V973" s="55" t="n">
        <x:v>10955</x:v>
      </x:c>
      <x:c r="W973" s="55" t="n">
        <x:v>7984</x:v>
      </x:c>
      <x:c r="X973" s="55" t="n">
        <x:v>2971</x:v>
      </x:c>
      <x:c r="Y973" s="55" t="n">
        <x:v>2699</x:v>
      </x:c>
      <x:c r="Z973" s="55" t="n">
        <x:v>3909</x:v>
      </x:c>
      <x:c r="AA973" s="55" t="n">
        <x:v>2896</x:v>
      </x:c>
      <x:c r="AB973" s="55" t="n">
        <x:v>1157</x:v>
      </x:c>
      <x:c r="AC973" s="55" t="n">
        <x:v>8415</x:v>
      </x:c>
      <x:c r="AD973" s="55" t="n">
        <x:v>2281</x:v>
      </x:c>
      <x:c r="AE973" s="55" t="n">
        <x:v>10986</x:v>
      </x:c>
      <x:c r="AF973" s="55" t="n">
        <x:v>10955</x:v>
      </x:c>
      <x:c r="AG973" s="55" t="n">
        <x:v>31</x:v>
      </x:c>
      <x:c r="AH973" s="55" t="n">
        <x:v>601</x:v>
      </x:c>
      <x:c r="AI973" s="55" t="n">
        <x:v>10354</x:v>
      </x:c>
      <x:c r="AJ973" s="55" t="n">
        <x:v>482</x:v>
      </x:c>
      <x:c r="AK973" s="55" t="n">
        <x:v>1199</x:v>
      </x:c>
      <x:c r="AL973" s="55" t="n">
        <x:v>2017</x:v>
      </x:c>
      <x:c r="AM973" s="55" t="n">
        <x:v>4645</x:v>
      </x:c>
      <x:c r="AN973" s="55" t="n">
        <x:v>2612</x:v>
      </x:c>
      <x:c r="AO973" s="55" t="n">
        <x:v>0</x:v>
      </x:c>
      <x:c r="AP973" s="55" t="n">
        <x:v>2472</x:v>
      </x:c>
      <x:c r="AQ973" s="55" t="n">
        <x:v>963</x:v>
      </x:c>
    </x:row>
    <x:row r="974">
      <x:c r="A974" s="54" t="str">
        <x:v>T1_SHARED_CATCHMENT</x:v>
      </x:c>
      <x:c r="B974" s="54" t="n">
        <x:v>968</x:v>
      </x:c>
      <x:c r="C974" s="54" t="str">
        <x:v>NYC-V2-R01</x:v>
      </x:c>
      <x:c r="D974" s="54" t="str">
        <x:v>V2</x:v>
      </x:c>
      <x:c r="E974" s="54" t="str">
        <x:v>ADMITTED</x:v>
      </x:c>
      <x:c r="F974" s="55" t="n">
        <x:v>32898</x:v>
      </x:c>
      <x:c r="G974" s="55" t="n">
        <x:v>8608</x:v>
      </x:c>
      <x:c r="H974" s="55" t="n">
        <x:v>3690</x:v>
      </x:c>
      <x:c r="I974" s="55" t="n">
        <x:v>1010</x:v>
      </x:c>
      <x:c r="J974" s="55" t="n">
        <x:v>451</x:v>
      </x:c>
      <x:c r="K974" s="55" t="n">
        <x:v>32898</x:v>
      </x:c>
      <x:c r="L974" s="55" t="n">
        <x:v>5995</x:v>
      </x:c>
      <x:c r="M974" s="55" t="n">
        <x:v>1328</x:v>
      </x:c>
      <x:c r="N974" s="55" t="n">
        <x:v>2749</x:v>
      </x:c>
      <x:c r="O974" s="55" t="n">
        <x:v>1918</x:v>
      </x:c>
      <x:c r="P974" s="55" t="n">
        <x:v>744</x:v>
      </x:c>
      <x:c r="Q974" s="55" t="n">
        <x:v>3102</x:v>
      </x:c>
      <x:c r="R974" s="55" t="n">
        <x:v>2207</x:v>
      </x:c>
      <x:c r="S974" s="55" t="n">
        <x:v>2810</x:v>
      </x:c>
      <x:c r="T974" s="55" t="n">
        <x:v>1270</x:v>
      </x:c>
      <x:c r="U974" s="55" t="n">
        <x:v>1768</x:v>
      </x:c>
      <x:c r="V974" s="55" t="n">
        <x:v>10346</x:v>
      </x:c>
      <x:c r="W974" s="55" t="n">
        <x:v>7344</x:v>
      </x:c>
      <x:c r="X974" s="55" t="n">
        <x:v>3002</x:v>
      </x:c>
      <x:c r="Y974" s="55" t="n">
        <x:v>2507</x:v>
      </x:c>
      <x:c r="Z974" s="55" t="n">
        <x:v>4000</x:v>
      </x:c>
      <x:c r="AA974" s="55" t="n">
        <x:v>3690</x:v>
      </x:c>
      <x:c r="AB974" s="55" t="n">
        <x:v>1171</x:v>
      </x:c>
      <x:c r="AC974" s="55" t="n">
        <x:v>8136</x:v>
      </x:c>
      <x:c r="AD974" s="55" t="n">
        <x:v>2966</x:v>
      </x:c>
      <x:c r="AE974" s="55" t="n">
        <x:v>10533</x:v>
      </x:c>
      <x:c r="AF974" s="55" t="n">
        <x:v>10346</x:v>
      </x:c>
      <x:c r="AG974" s="55" t="n">
        <x:v>187</x:v>
      </x:c>
      <x:c r="AH974" s="55" t="n">
        <x:v>478</x:v>
      </x:c>
      <x:c r="AI974" s="55" t="n">
        <x:v>9868</x:v>
      </x:c>
      <x:c r="AJ974" s="55" t="n">
        <x:v>333</x:v>
      </x:c>
      <x:c r="AK974" s="55" t="n">
        <x:v>1146</x:v>
      </x:c>
      <x:c r="AL974" s="55" t="n">
        <x:v>1295</x:v>
      </x:c>
      <x:c r="AM974" s="55" t="n">
        <x:v>4703</x:v>
      </x:c>
      <x:c r="AN974" s="55" t="n">
        <x:v>2806</x:v>
      </x:c>
      <x:c r="AO974" s="55" t="n">
        <x:v>63</x:v>
      </x:c>
      <x:c r="AP974" s="55" t="n">
        <x:v>2048</x:v>
      </x:c>
      <x:c r="AQ974" s="55" t="n">
        <x:v>994</x:v>
      </x:c>
    </x:row>
    <x:row r="975">
      <x:c r="A975" s="54" t="str">
        <x:v>T1_SHARED_CATCHMENT</x:v>
      </x:c>
      <x:c r="B975" s="54" t="n">
        <x:v>969</x:v>
      </x:c>
      <x:c r="C975" s="54" t="str">
        <x:v>NYC-V2-R01</x:v>
      </x:c>
      <x:c r="D975" s="54" t="str">
        <x:v>V2</x:v>
      </x:c>
      <x:c r="E975" s="54" t="str">
        <x:v>ADMITTED</x:v>
      </x:c>
      <x:c r="F975" s="55" t="n">
        <x:v>31903</x:v>
      </x:c>
      <x:c r="G975" s="55" t="n">
        <x:v>7431</x:v>
      </x:c>
      <x:c r="H975" s="55" t="n">
        <x:v>3433</x:v>
      </x:c>
      <x:c r="I975" s="55" t="n">
        <x:v>1338</x:v>
      </x:c>
      <x:c r="J975" s="55" t="n">
        <x:v>289</x:v>
      </x:c>
      <x:c r="K975" s="55" t="n">
        <x:v>31653</x:v>
      </x:c>
      <x:c r="L975" s="55" t="n">
        <x:v>6440</x:v>
      </x:c>
      <x:c r="M975" s="55" t="n">
        <x:v>876</x:v>
      </x:c>
      <x:c r="N975" s="55" t="n">
        <x:v>3455</x:v>
      </x:c>
      <x:c r="O975" s="55" t="n">
        <x:v>2109</x:v>
      </x:c>
      <x:c r="P975" s="55" t="n">
        <x:v>1075</x:v>
      </x:c>
      <x:c r="Q975" s="55" t="n">
        <x:v>1921</x:v>
      </x:c>
      <x:c r="R975" s="55" t="n">
        <x:v>1868</x:v>
      </x:c>
      <x:c r="S975" s="55" t="n">
        <x:v>3182</x:v>
      </x:c>
      <x:c r="T975" s="55" t="n">
        <x:v>1347</x:v>
      </x:c>
      <x:c r="U975" s="55" t="n">
        <x:v>2053</x:v>
      </x:c>
      <x:c r="V975" s="55" t="n">
        <x:v>10616</x:v>
      </x:c>
      <x:c r="W975" s="55" t="n">
        <x:v>7768</x:v>
      </x:c>
      <x:c r="X975" s="55" t="n">
        <x:v>2848</x:v>
      </x:c>
      <x:c r="Y975" s="55" t="n">
        <x:v>2572</x:v>
      </x:c>
      <x:c r="Z975" s="55" t="n">
        <x:v>3615</x:v>
      </x:c>
      <x:c r="AA975" s="55" t="n">
        <x:v>3393</x:v>
      </x:c>
      <x:c r="AB975" s="55" t="n">
        <x:v>996</x:v>
      </x:c>
      <x:c r="AC975" s="55" t="n">
        <x:v>7878</x:v>
      </x:c>
      <x:c r="AD975" s="55" t="n">
        <x:v>3075</x:v>
      </x:c>
      <x:c r="AE975" s="55" t="n">
        <x:v>10717</x:v>
      </x:c>
      <x:c r="AF975" s="55" t="n">
        <x:v>10616</x:v>
      </x:c>
      <x:c r="AG975" s="55" t="n">
        <x:v>101</x:v>
      </x:c>
      <x:c r="AH975" s="55" t="n">
        <x:v>414</x:v>
      </x:c>
      <x:c r="AI975" s="55" t="n">
        <x:v>10202</x:v>
      </x:c>
      <x:c r="AJ975" s="55" t="n">
        <x:v>391</x:v>
      </x:c>
      <x:c r="AK975" s="55" t="n">
        <x:v>1317</x:v>
      </x:c>
      <x:c r="AL975" s="55" t="n">
        <x:v>1583</x:v>
      </x:c>
      <x:c r="AM975" s="55" t="n">
        <x:v>4887</x:v>
      </x:c>
      <x:c r="AN975" s="55" t="n">
        <x:v>2401</x:v>
      </x:c>
      <x:c r="AO975" s="55" t="n">
        <x:v>37</x:v>
      </x:c>
      <x:c r="AP975" s="55" t="n">
        <x:v>2230</x:v>
      </x:c>
      <x:c r="AQ975" s="55" t="n">
        <x:v>986</x:v>
      </x:c>
    </x:row>
    <x:row r="976">
      <x:c r="A976" s="54" t="str">
        <x:v>T1_SHARED_CATCHMENT</x:v>
      </x:c>
      <x:c r="B976" s="54" t="n">
        <x:v>970</x:v>
      </x:c>
      <x:c r="C976" s="54" t="str">
        <x:v>NYC-V2-R01</x:v>
      </x:c>
      <x:c r="D976" s="54" t="str">
        <x:v>V2</x:v>
      </x:c>
      <x:c r="E976" s="54" t="str">
        <x:v>ADMITTED</x:v>
      </x:c>
      <x:c r="F976" s="55" t="n">
        <x:v>32386</x:v>
      </x:c>
      <x:c r="G976" s="55" t="n">
        <x:v>8453</x:v>
      </x:c>
      <x:c r="H976" s="55" t="n">
        <x:v>3599</x:v>
      </x:c>
      <x:c r="I976" s="55" t="n">
        <x:v>1483</x:v>
      </x:c>
      <x:c r="J976" s="55" t="n">
        <x:v>272</x:v>
      </x:c>
      <x:c r="K976" s="55" t="n">
        <x:v>31116</x:v>
      </x:c>
      <x:c r="L976" s="55" t="n">
        <x:v>6044</x:v>
      </x:c>
      <x:c r="M976" s="55" t="n">
        <x:v>1701</x:v>
      </x:c>
      <x:c r="N976" s="55" t="n">
        <x:v>2636</x:v>
      </x:c>
      <x:c r="O976" s="55" t="n">
        <x:v>1707</x:v>
      </x:c>
      <x:c r="P976" s="55" t="n">
        <x:v>1476</x:v>
      </x:c>
      <x:c r="Q976" s="55" t="n">
        <x:v>3175</x:v>
      </x:c>
      <x:c r="R976" s="55" t="n">
        <x:v>2444</x:v>
      </x:c>
      <x:c r="S976" s="55" t="n">
        <x:v>2446</x:v>
      </x:c>
      <x:c r="T976" s="55" t="n">
        <x:v>1459</x:v>
      </x:c>
      <x:c r="U976" s="55" t="n">
        <x:v>2088</x:v>
      </x:c>
      <x:c r="V976" s="55" t="n">
        <x:v>10528</x:v>
      </x:c>
      <x:c r="W976" s="55" t="n">
        <x:v>7827</x:v>
      </x:c>
      <x:c r="X976" s="55" t="n">
        <x:v>2701</x:v>
      </x:c>
      <x:c r="Y976" s="55" t="n">
        <x:v>2494</x:v>
      </x:c>
      <x:c r="Z976" s="55" t="n">
        <x:v>3817</x:v>
      </x:c>
      <x:c r="AA976" s="55" t="n">
        <x:v>3259</x:v>
      </x:c>
      <x:c r="AB976" s="55" t="n">
        <x:v>1276</x:v>
      </x:c>
      <x:c r="AC976" s="55" t="n">
        <x:v>8788</x:v>
      </x:c>
      <x:c r="AD976" s="55" t="n">
        <x:v>3213</x:v>
      </x:c>
      <x:c r="AE976" s="55" t="n">
        <x:v>10619</x:v>
      </x:c>
      <x:c r="AF976" s="55" t="n">
        <x:v>10528</x:v>
      </x:c>
      <x:c r="AG976" s="55" t="n">
        <x:v>91</x:v>
      </x:c>
      <x:c r="AH976" s="55" t="n">
        <x:v>529</x:v>
      </x:c>
      <x:c r="AI976" s="55" t="n">
        <x:v>9999</x:v>
      </x:c>
      <x:c r="AJ976" s="55" t="n">
        <x:v>477</x:v>
      </x:c>
      <x:c r="AK976" s="55" t="n">
        <x:v>1006</x:v>
      </x:c>
      <x:c r="AL976" s="55" t="n">
        <x:v>1303</x:v>
      </x:c>
      <x:c r="AM976" s="55" t="n">
        <x:v>4631</x:v>
      </x:c>
      <x:c r="AN976" s="55" t="n">
        <x:v>3016</x:v>
      </x:c>
      <x:c r="AO976" s="55" t="n">
        <x:v>95</x:v>
      </x:c>
      <x:c r="AP976" s="55" t="n">
        <x:v>2671</x:v>
      </x:c>
      <x:c r="AQ976" s="55" t="n">
        <x:v>972</x:v>
      </x:c>
    </x:row>
    <x:row r="977">
      <x:c r="A977" s="54" t="str">
        <x:v>T1_SHARED_CATCHMENT</x:v>
      </x:c>
      <x:c r="B977" s="54" t="n">
        <x:v>971</x:v>
      </x:c>
      <x:c r="C977" s="54" t="str">
        <x:v>NYC-V2-R01</x:v>
      </x:c>
      <x:c r="D977" s="54" t="str">
        <x:v>V2</x:v>
      </x:c>
      <x:c r="E977" s="54" t="str">
        <x:v>ADMITTED</x:v>
      </x:c>
      <x:c r="F977" s="55" t="n">
        <x:v>30974</x:v>
      </x:c>
      <x:c r="G977" s="55" t="n">
        <x:v>7382</x:v>
      </x:c>
      <x:c r="H977" s="55" t="n">
        <x:v>3506</x:v>
      </x:c>
      <x:c r="I977" s="55" t="n">
        <x:v>1771</x:v>
      </x:c>
      <x:c r="J977" s="55" t="n">
        <x:v>462</x:v>
      </x:c>
      <x:c r="K977" s="55" t="n">
        <x:v>28413</x:v>
      </x:c>
      <x:c r="L977" s="55" t="n">
        <x:v>4822</x:v>
      </x:c>
      <x:c r="M977" s="55" t="n">
        <x:v>660</x:v>
      </x:c>
      <x:c r="N977" s="55" t="n">
        <x:v>2341</x:v>
      </x:c>
      <x:c r="O977" s="55" t="n">
        <x:v>1821</x:v>
      </x:c>
      <x:c r="P977" s="55" t="n">
        <x:v>764</x:v>
      </x:c>
      <x:c r="Q977" s="55" t="n">
        <x:v>1603</x:v>
      </x:c>
      <x:c r="R977" s="55" t="n">
        <x:v>1874</x:v>
      </x:c>
      <x:c r="S977" s="55" t="n">
        <x:v>2552</x:v>
      </x:c>
      <x:c r="T977" s="55" t="n">
        <x:v>981</x:v>
      </x:c>
      <x:c r="U977" s="55" t="n">
        <x:v>2197</x:v>
      </x:c>
      <x:c r="V977" s="55" t="n">
        <x:v>10667</x:v>
      </x:c>
      <x:c r="W977" s="55" t="n">
        <x:v>7555</x:v>
      </x:c>
      <x:c r="X977" s="55" t="n">
        <x:v>3112</x:v>
      </x:c>
      <x:c r="Y977" s="55" t="n">
        <x:v>2746</x:v>
      </x:c>
      <x:c r="Z977" s="55" t="n">
        <x:v>3948</x:v>
      </x:c>
      <x:c r="AA977" s="55" t="n">
        <x:v>3040</x:v>
      </x:c>
      <x:c r="AB977" s="55" t="n">
        <x:v>1223</x:v>
      </x:c>
      <x:c r="AC977" s="55" t="n">
        <x:v>7796</x:v>
      </x:c>
      <x:c r="AD977" s="55" t="n">
        <x:v>3156</x:v>
      </x:c>
      <x:c r="AE977" s="55" t="n">
        <x:v>10751</x:v>
      </x:c>
      <x:c r="AF977" s="55" t="n">
        <x:v>10667</x:v>
      </x:c>
      <x:c r="AG977" s="55" t="n">
        <x:v>84</x:v>
      </x:c>
      <x:c r="AH977" s="55" t="n">
        <x:v>587</x:v>
      </x:c>
      <x:c r="AI977" s="55" t="n">
        <x:v>10080</x:v>
      </x:c>
      <x:c r="AJ977" s="55" t="n">
        <x:v>367</x:v>
      </x:c>
      <x:c r="AK977" s="55" t="n">
        <x:v>1137</x:v>
      </x:c>
      <x:c r="AL977" s="55" t="n">
        <x:v>1714</x:v>
      </x:c>
      <x:c r="AM977" s="55" t="n">
        <x:v>4766</x:v>
      </x:c>
      <x:c r="AN977" s="55" t="n">
        <x:v>2668</x:v>
      </x:c>
      <x:c r="AO977" s="55" t="n">
        <x:v>15</x:v>
      </x:c>
      <x:c r="AP977" s="55" t="n">
        <x:v>2356</x:v>
      </x:c>
      <x:c r="AQ977" s="55" t="n">
        <x:v>1001</x:v>
      </x:c>
    </x:row>
    <x:row r="978">
      <x:c r="A978" s="54" t="str">
        <x:v>T1_SHARED_CATCHMENT</x:v>
      </x:c>
      <x:c r="B978" s="54" t="n">
        <x:v>972</x:v>
      </x:c>
      <x:c r="C978" s="54" t="str">
        <x:v>NYC-V2-R01</x:v>
      </x:c>
      <x:c r="D978" s="54" t="str">
        <x:v>V2</x:v>
      </x:c>
      <x:c r="E978" s="54" t="str">
        <x:v>ADMITTED</x:v>
      </x:c>
      <x:c r="F978" s="55" t="n">
        <x:v>30180</x:v>
      </x:c>
      <x:c r="G978" s="55" t="n">
        <x:v>7646</x:v>
      </x:c>
      <x:c r="H978" s="55" t="n">
        <x:v>3114</x:v>
      </x:c>
      <x:c r="I978" s="55" t="n">
        <x:v>1171</x:v>
      </x:c>
      <x:c r="J978" s="55" t="n">
        <x:v>157</x:v>
      </x:c>
      <x:c r="K978" s="55" t="n">
        <x:v>29167</x:v>
      </x:c>
      <x:c r="L978" s="55" t="n">
        <x:v>5630</x:v>
      </x:c>
      <x:c r="M978" s="55" t="n">
        <x:v>1616</x:v>
      </x:c>
      <x:c r="N978" s="55" t="n">
        <x:v>2519</x:v>
      </x:c>
      <x:c r="O978" s="55" t="n">
        <x:v>1495</x:v>
      </x:c>
      <x:c r="P978" s="55" t="n">
        <x:v>954</x:v>
      </x:c>
      <x:c r="Q978" s="55" t="n">
        <x:v>3083</x:v>
      </x:c>
      <x:c r="R978" s="55" t="n">
        <x:v>1611</x:v>
      </x:c>
      <x:c r="S978" s="55" t="n">
        <x:v>2729</x:v>
      </x:c>
      <x:c r="T978" s="55" t="n">
        <x:v>989</x:v>
      </x:c>
      <x:c r="U978" s="55" t="n">
        <x:v>1557</x:v>
      </x:c>
      <x:c r="V978" s="55" t="n">
        <x:v>11088</x:v>
      </x:c>
      <x:c r="W978" s="55" t="n">
        <x:v>7404</x:v>
      </x:c>
      <x:c r="X978" s="55" t="n">
        <x:v>3684</x:v>
      </x:c>
      <x:c r="Y978" s="55" t="n">
        <x:v>3375</x:v>
      </x:c>
      <x:c r="Z978" s="55" t="n">
        <x:v>3706</x:v>
      </x:c>
      <x:c r="AA978" s="55" t="n">
        <x:v>3100</x:v>
      </x:c>
      <x:c r="AB978" s="55" t="n">
        <x:v>986</x:v>
      </x:c>
      <x:c r="AC978" s="55" t="n">
        <x:v>7797</x:v>
      </x:c>
      <x:c r="AD978" s="55" t="n">
        <x:v>2486</x:v>
      </x:c>
      <x:c r="AE978" s="55" t="n">
        <x:v>11093</x:v>
      </x:c>
      <x:c r="AF978" s="55" t="n">
        <x:v>11088</x:v>
      </x:c>
      <x:c r="AG978" s="55" t="n">
        <x:v>5</x:v>
      </x:c>
      <x:c r="AH978" s="55" t="n">
        <x:v>577</x:v>
      </x:c>
      <x:c r="AI978" s="55" t="n">
        <x:v>10511</x:v>
      </x:c>
      <x:c r="AJ978" s="55" t="n">
        <x:v>333</x:v>
      </x:c>
      <x:c r="AK978" s="55" t="n">
        <x:v>1202</x:v>
      </x:c>
      <x:c r="AL978" s="55" t="n">
        <x:v>1764</x:v>
      </x:c>
      <x:c r="AM978" s="55" t="n">
        <x:v>5146</x:v>
      </x:c>
      <x:c r="AN978" s="55" t="n">
        <x:v>2643</x:v>
      </x:c>
      <x:c r="AO978" s="55" t="n">
        <x:v>0</x:v>
      </x:c>
      <x:c r="AP978" s="55" t="n">
        <x:v>2456</x:v>
      </x:c>
      <x:c r="AQ978" s="55" t="n">
        <x:v>1004</x:v>
      </x:c>
    </x:row>
    <x:row r="979">
      <x:c r="A979" s="54" t="str">
        <x:v>T1_SHARED_CATCHMENT</x:v>
      </x:c>
      <x:c r="B979" s="54" t="n">
        <x:v>973</x:v>
      </x:c>
      <x:c r="C979" s="54" t="str">
        <x:v>NYC-V2-R01</x:v>
      </x:c>
      <x:c r="D979" s="54" t="str">
        <x:v>V2</x:v>
      </x:c>
      <x:c r="E979" s="54" t="str">
        <x:v>ADMITTED</x:v>
      </x:c>
      <x:c r="F979" s="55" t="n">
        <x:v>30548</x:v>
      </x:c>
      <x:c r="G979" s="55" t="n">
        <x:v>7640</x:v>
      </x:c>
      <x:c r="H979" s="55" t="n">
        <x:v>3361</x:v>
      </x:c>
      <x:c r="I979" s="55" t="n">
        <x:v>1133</x:v>
      </x:c>
      <x:c r="J979" s="55" t="n">
        <x:v>86</x:v>
      </x:c>
      <x:c r="K979" s="55" t="n">
        <x:v>28960</x:v>
      </x:c>
      <x:c r="L979" s="55" t="n">
        <x:v>5984</x:v>
      </x:c>
      <x:c r="M979" s="55" t="n">
        <x:v>1247</x:v>
      </x:c>
      <x:c r="N979" s="55" t="n">
        <x:v>2688</x:v>
      </x:c>
      <x:c r="O979" s="55" t="n">
        <x:v>2049</x:v>
      </x:c>
      <x:c r="P979" s="55" t="n">
        <x:v>487</x:v>
      </x:c>
      <x:c r="Q979" s="55" t="n">
        <x:v>1951</x:v>
      </x:c>
      <x:c r="R979" s="55" t="n">
        <x:v>1771</x:v>
      </x:c>
      <x:c r="S979" s="55" t="n">
        <x:v>2632</x:v>
      </x:c>
      <x:c r="T979" s="55" t="n">
        <x:v>1084</x:v>
      </x:c>
      <x:c r="U979" s="55" t="n">
        <x:v>2250</x:v>
      </x:c>
      <x:c r="V979" s="55" t="n">
        <x:v>11025</x:v>
      </x:c>
      <x:c r="W979" s="55" t="n">
        <x:v>8156</x:v>
      </x:c>
      <x:c r="X979" s="55" t="n">
        <x:v>2869</x:v>
      </x:c>
      <x:c r="Y979" s="55" t="n">
        <x:v>2456</x:v>
      </x:c>
      <x:c r="Z979" s="55" t="n">
        <x:v>3638</x:v>
      </x:c>
      <x:c r="AA979" s="55" t="n">
        <x:v>3361</x:v>
      </x:c>
      <x:c r="AB979" s="55" t="n">
        <x:v>1168</x:v>
      </x:c>
      <x:c r="AC979" s="55" t="n">
        <x:v>8174</x:v>
      </x:c>
      <x:c r="AD979" s="55" t="n">
        <x:v>2941</x:v>
      </x:c>
      <x:c r="AE979" s="55" t="n">
        <x:v>11110</x:v>
      </x:c>
      <x:c r="AF979" s="55" t="n">
        <x:v>11025</x:v>
      </x:c>
      <x:c r="AG979" s="55" t="n">
        <x:v>85</x:v>
      </x:c>
      <x:c r="AH979" s="55" t="n">
        <x:v>738</x:v>
      </x:c>
      <x:c r="AI979" s="55" t="n">
        <x:v>10287</x:v>
      </x:c>
      <x:c r="AJ979" s="55" t="n">
        <x:v>223</x:v>
      </x:c>
      <x:c r="AK979" s="55" t="n">
        <x:v>1015</x:v>
      </x:c>
      <x:c r="AL979" s="55" t="n">
        <x:v>2163</x:v>
      </x:c>
      <x:c r="AM979" s="55" t="n">
        <x:v>4867</x:v>
      </x:c>
      <x:c r="AN979" s="55" t="n">
        <x:v>2706</x:v>
      </x:c>
      <x:c r="AO979" s="55" t="n">
        <x:v>51</x:v>
      </x:c>
      <x:c r="AP979" s="55" t="n">
        <x:v>3186</x:v>
      </x:c>
      <x:c r="AQ979" s="55" t="n">
        <x:v>971</x:v>
      </x:c>
    </x:row>
    <x:row r="980">
      <x:c r="A980" s="54" t="str">
        <x:v>T1_SHARED_CATCHMENT</x:v>
      </x:c>
      <x:c r="B980" s="54" t="n">
        <x:v>974</x:v>
      </x:c>
      <x:c r="C980" s="54" t="str">
        <x:v>NYC-V2-R01</x:v>
      </x:c>
      <x:c r="D980" s="54" t="str">
        <x:v>V2</x:v>
      </x:c>
      <x:c r="E980" s="54" t="str">
        <x:v>ADMITTED</x:v>
      </x:c>
      <x:c r="F980" s="55" t="n">
        <x:v>30252</x:v>
      </x:c>
      <x:c r="G980" s="55" t="n">
        <x:v>7226</x:v>
      </x:c>
      <x:c r="H980" s="55" t="n">
        <x:v>3037</x:v>
      </x:c>
      <x:c r="I980" s="55" t="n">
        <x:v>1215</x:v>
      </x:c>
      <x:c r="J980" s="55" t="n">
        <x:v>149</x:v>
      </x:c>
      <x:c r="K980" s="55" t="n">
        <x:v>29117</x:v>
      </x:c>
      <x:c r="L980" s="55" t="n">
        <x:v>5006</x:v>
      </x:c>
      <x:c r="M980" s="55" t="n">
        <x:v>585</x:v>
      </x:c>
      <x:c r="N980" s="55" t="n">
        <x:v>2557</x:v>
      </x:c>
      <x:c r="O980" s="55" t="n">
        <x:v>1864</x:v>
      </x:c>
      <x:c r="P980" s="55" t="n">
        <x:v>672</x:v>
      </x:c>
      <x:c r="Q980" s="55" t="n">
        <x:v>1610</x:v>
      </x:c>
      <x:c r="R980" s="55" t="n">
        <x:v>1783</x:v>
      </x:c>
      <x:c r="S980" s="55" t="n">
        <x:v>2332</x:v>
      </x:c>
      <x:c r="T980" s="55" t="n">
        <x:v>1156</x:v>
      </x:c>
      <x:c r="U980" s="55" t="n">
        <x:v>1706</x:v>
      </x:c>
      <x:c r="V980" s="55" t="n">
        <x:v>10614</x:v>
      </x:c>
      <x:c r="W980" s="55" t="n">
        <x:v>7489</x:v>
      </x:c>
      <x:c r="X980" s="55" t="n">
        <x:v>3125</x:v>
      </x:c>
      <x:c r="Y980" s="55" t="n">
        <x:v>2856</x:v>
      </x:c>
      <x:c r="Z980" s="55" t="n">
        <x:v>3183</x:v>
      </x:c>
      <x:c r="AA980" s="55" t="n">
        <x:v>2747</x:v>
      </x:c>
      <x:c r="AB980" s="55" t="n">
        <x:v>1000</x:v>
      </x:c>
      <x:c r="AC980" s="55" t="n">
        <x:v>8144</x:v>
      </x:c>
      <x:c r="AD980" s="55" t="n">
        <x:v>2732</x:v>
      </x:c>
      <x:c r="AE980" s="55" t="n">
        <x:v>10614</x:v>
      </x:c>
      <x:c r="AF980" s="55" t="n">
        <x:v>10614</x:v>
      </x:c>
      <x:c r="AG980" s="55" t="n">
        <x:v>0</x:v>
      </x:c>
      <x:c r="AH980" s="55" t="n">
        <x:v>306</x:v>
      </x:c>
      <x:c r="AI980" s="55" t="n">
        <x:v>10308</x:v>
      </x:c>
      <x:c r="AJ980" s="55" t="n">
        <x:v>292</x:v>
      </x:c>
      <x:c r="AK980" s="55" t="n">
        <x:v>1009</x:v>
      </x:c>
      <x:c r="AL980" s="55" t="n">
        <x:v>1842</x:v>
      </x:c>
      <x:c r="AM980" s="55" t="n">
        <x:v>4995</x:v>
      </x:c>
      <x:c r="AN980" s="55" t="n">
        <x:v>2476</x:v>
      </x:c>
      <x:c r="AO980" s="55" t="n">
        <x:v>0</x:v>
      </x:c>
      <x:c r="AP980" s="55" t="n">
        <x:v>2484</x:v>
      </x:c>
      <x:c r="AQ980" s="55" t="n">
        <x:v>940</x:v>
      </x:c>
    </x:row>
    <x:row r="981">
      <x:c r="A981" s="54" t="str">
        <x:v>T1_SHARED_CATCHMENT</x:v>
      </x:c>
      <x:c r="B981" s="54" t="n">
        <x:v>975</x:v>
      </x:c>
      <x:c r="C981" s="54" t="str">
        <x:v>NYC-V2-R01</x:v>
      </x:c>
      <x:c r="D981" s="54" t="str">
        <x:v>V2</x:v>
      </x:c>
      <x:c r="E981" s="54" t="str">
        <x:v>ADMITTED</x:v>
      </x:c>
      <x:c r="F981" s="55" t="n">
        <x:v>31182</x:v>
      </x:c>
      <x:c r="G981" s="55" t="n">
        <x:v>6530</x:v>
      </x:c>
      <x:c r="H981" s="55" t="n">
        <x:v>3871</x:v>
      </x:c>
      <x:c r="I981" s="55" t="n">
        <x:v>1403</x:v>
      </x:c>
      <x:c r="J981" s="55" t="n">
        <x:v>294</x:v>
      </x:c>
      <x:c r="K981" s="55" t="n">
        <x:v>31182</x:v>
      </x:c>
      <x:c r="L981" s="55" t="n">
        <x:v>7441</x:v>
      </x:c>
      <x:c r="M981" s="55" t="n">
        <x:v>2564</x:v>
      </x:c>
      <x:c r="N981" s="55" t="n">
        <x:v>3187</x:v>
      </x:c>
      <x:c r="O981" s="55" t="n">
        <x:v>1690</x:v>
      </x:c>
      <x:c r="P981" s="55" t="n">
        <x:v>292</x:v>
      </x:c>
      <x:c r="Q981" s="55" t="n">
        <x:v>1918</x:v>
      </x:c>
      <x:c r="R981" s="55" t="n">
        <x:v>1854</x:v>
      </x:c>
      <x:c r="S981" s="55" t="n">
        <x:v>2823</x:v>
      </x:c>
      <x:c r="T981" s="55" t="n">
        <x:v>1457</x:v>
      </x:c>
      <x:c r="U981" s="55" t="n">
        <x:v>2737</x:v>
      </x:c>
      <x:c r="V981" s="55" t="n">
        <x:v>11001</x:v>
      </x:c>
      <x:c r="W981" s="55" t="n">
        <x:v>7897</x:v>
      </x:c>
      <x:c r="X981" s="55" t="n">
        <x:v>3104</x:v>
      </x:c>
      <x:c r="Y981" s="55" t="n">
        <x:v>2691</x:v>
      </x:c>
      <x:c r="Z981" s="55" t="n">
        <x:v>3608</x:v>
      </x:c>
      <x:c r="AA981" s="55" t="n">
        <x:v>3400</x:v>
      </x:c>
      <x:c r="AB981" s="55" t="n">
        <x:v>1285</x:v>
      </x:c>
      <x:c r="AC981" s="55" t="n">
        <x:v>8637</x:v>
      </x:c>
      <x:c r="AD981" s="55" t="n">
        <x:v>3165</x:v>
      </x:c>
      <x:c r="AE981" s="55" t="n">
        <x:v>11147</x:v>
      </x:c>
      <x:c r="AF981" s="55" t="n">
        <x:v>11001</x:v>
      </x:c>
      <x:c r="AG981" s="55" t="n">
        <x:v>146</x:v>
      </x:c>
      <x:c r="AH981" s="55" t="n">
        <x:v>612</x:v>
      </x:c>
      <x:c r="AI981" s="55" t="n">
        <x:v>10389</x:v>
      </x:c>
      <x:c r="AJ981" s="55" t="n">
        <x:v>270</x:v>
      </x:c>
      <x:c r="AK981" s="55" t="n">
        <x:v>1071</x:v>
      </x:c>
      <x:c r="AL981" s="55" t="n">
        <x:v>1648</x:v>
      </x:c>
      <x:c r="AM981" s="55" t="n">
        <x:v>5653</x:v>
      </x:c>
      <x:c r="AN981" s="55" t="n">
        <x:v>2359</x:v>
      </x:c>
      <x:c r="AO981" s="55" t="n">
        <x:v>0</x:v>
      </x:c>
      <x:c r="AP981" s="55" t="n">
        <x:v>2138</x:v>
      </x:c>
      <x:c r="AQ981" s="55" t="n">
        <x:v>944</x:v>
      </x:c>
    </x:row>
    <x:row r="982">
      <x:c r="A982" s="54" t="str">
        <x:v>T1_SHARED_CATCHMENT</x:v>
      </x:c>
      <x:c r="B982" s="54" t="n">
        <x:v>976</x:v>
      </x:c>
      <x:c r="C982" s="54" t="str">
        <x:v>NYC-V2-R01</x:v>
      </x:c>
      <x:c r="D982" s="54" t="str">
        <x:v>V2</x:v>
      </x:c>
      <x:c r="E982" s="54" t="str">
        <x:v>ADMITTED</x:v>
      </x:c>
      <x:c r="F982" s="55" t="n">
        <x:v>32176</x:v>
      </x:c>
      <x:c r="G982" s="55" t="n">
        <x:v>8599</x:v>
      </x:c>
      <x:c r="H982" s="55" t="n">
        <x:v>3480</x:v>
      </x:c>
      <x:c r="I982" s="55" t="n">
        <x:v>1559</x:v>
      </x:c>
      <x:c r="J982" s="55" t="n">
        <x:v>379</x:v>
      </x:c>
      <x:c r="K982" s="55" t="n">
        <x:v>32137</x:v>
      </x:c>
      <x:c r="L982" s="55" t="n">
        <x:v>6459</x:v>
      </x:c>
      <x:c r="M982" s="55" t="n">
        <x:v>2085</x:v>
      </x:c>
      <x:c r="N982" s="55" t="n">
        <x:v>2712</x:v>
      </x:c>
      <x:c r="O982" s="55" t="n">
        <x:v>1662</x:v>
      </x:c>
      <x:c r="P982" s="55" t="n">
        <x:v>1394</x:v>
      </x:c>
      <x:c r="Q982" s="55" t="n">
        <x:v>2897</x:v>
      </x:c>
      <x:c r="R982" s="55" t="n">
        <x:v>2186</x:v>
      </x:c>
      <x:c r="S982" s="55" t="n">
        <x:v>2717</x:v>
      </x:c>
      <x:c r="T982" s="55" t="n">
        <x:v>1354</x:v>
      </x:c>
      <x:c r="U982" s="55" t="n">
        <x:v>1799</x:v>
      </x:c>
      <x:c r="V982" s="55" t="n">
        <x:v>10129</x:v>
      </x:c>
      <x:c r="W982" s="55" t="n">
        <x:v>6971</x:v>
      </x:c>
      <x:c r="X982" s="55" t="n">
        <x:v>3158</x:v>
      </x:c>
      <x:c r="Y982" s="55" t="n">
        <x:v>2610</x:v>
      </x:c>
      <x:c r="Z982" s="55" t="n">
        <x:v>3815</x:v>
      </x:c>
      <x:c r="AA982" s="55" t="n">
        <x:v>2275</x:v>
      </x:c>
      <x:c r="AB982" s="55" t="n">
        <x:v>564</x:v>
      </x:c>
      <x:c r="AC982" s="55" t="n">
        <x:v>7654</x:v>
      </x:c>
      <x:c r="AD982" s="55" t="n">
        <x:v>3193</x:v>
      </x:c>
      <x:c r="AE982" s="55" t="n">
        <x:v>10267</x:v>
      </x:c>
      <x:c r="AF982" s="55" t="n">
        <x:v>10129</x:v>
      </x:c>
      <x:c r="AG982" s="55" t="n">
        <x:v>138</x:v>
      </x:c>
      <x:c r="AH982" s="55" t="n">
        <x:v>317</x:v>
      </x:c>
      <x:c r="AI982" s="55" t="n">
        <x:v>9812</x:v>
      </x:c>
      <x:c r="AJ982" s="55" t="n">
        <x:v>350</x:v>
      </x:c>
      <x:c r="AK982" s="55" t="n">
        <x:v>788</x:v>
      </x:c>
      <x:c r="AL982" s="55" t="n">
        <x:v>1895</x:v>
      </x:c>
      <x:c r="AM982" s="55" t="n">
        <x:v>4416</x:v>
      </x:c>
      <x:c r="AN982" s="55" t="n">
        <x:v>2680</x:v>
      </x:c>
      <x:c r="AO982" s="55" t="n">
        <x:v>0</x:v>
      </x:c>
      <x:c r="AP982" s="55" t="n">
        <x:v>1894</x:v>
      </x:c>
      <x:c r="AQ982" s="55" t="n">
        <x:v>933</x:v>
      </x:c>
    </x:row>
    <x:row r="983">
      <x:c r="A983" s="54" t="str">
        <x:v>T1_SHARED_CATCHMENT</x:v>
      </x:c>
      <x:c r="B983" s="54" t="n">
        <x:v>977</x:v>
      </x:c>
      <x:c r="C983" s="54" t="str">
        <x:v>NYC-V2-R01</x:v>
      </x:c>
      <x:c r="D983" s="54" t="str">
        <x:v>V2</x:v>
      </x:c>
      <x:c r="E983" s="54" t="str">
        <x:v>ADMITTED</x:v>
      </x:c>
      <x:c r="F983" s="55" t="n">
        <x:v>32139</x:v>
      </x:c>
      <x:c r="G983" s="55" t="n">
        <x:v>7435</x:v>
      </x:c>
      <x:c r="H983" s="55" t="n">
        <x:v>4057</x:v>
      </x:c>
      <x:c r="I983" s="55" t="n">
        <x:v>1850</x:v>
      </x:c>
      <x:c r="J983" s="55" t="n">
        <x:v>580</x:v>
      </x:c>
      <x:c r="K983" s="55" t="n">
        <x:v>31563</x:v>
      </x:c>
      <x:c r="L983" s="55" t="n">
        <x:v>6205</x:v>
      </x:c>
      <x:c r="M983" s="55" t="n">
        <x:v>2267</x:v>
      </x:c>
      <x:c r="N983" s="55" t="n">
        <x:v>2728</x:v>
      </x:c>
      <x:c r="O983" s="55" t="n">
        <x:v>1210</x:v>
      </x:c>
      <x:c r="P983" s="55" t="n">
        <x:v>462</x:v>
      </x:c>
      <x:c r="Q983" s="55" t="n">
        <x:v>2328</x:v>
      </x:c>
      <x:c r="R983" s="55" t="n">
        <x:v>1895</x:v>
      </x:c>
      <x:c r="S983" s="55" t="n">
        <x:v>2465</x:v>
      </x:c>
      <x:c r="T983" s="55" t="n">
        <x:v>1208</x:v>
      </x:c>
      <x:c r="U983" s="55" t="n">
        <x:v>1561</x:v>
      </x:c>
      <x:c r="V983" s="55" t="n">
        <x:v>10376</x:v>
      </x:c>
      <x:c r="W983" s="55" t="n">
        <x:v>7264</x:v>
      </x:c>
      <x:c r="X983" s="55" t="n">
        <x:v>3112</x:v>
      </x:c>
      <x:c r="Y983" s="55" t="n">
        <x:v>2624</x:v>
      </x:c>
      <x:c r="Z983" s="55" t="n">
        <x:v>3742</x:v>
      </x:c>
      <x:c r="AA983" s="55" t="n">
        <x:v>3512</x:v>
      </x:c>
      <x:c r="AB983" s="55" t="n">
        <x:v>1366</x:v>
      </x:c>
      <x:c r="AC983" s="55" t="n">
        <x:v>8508</x:v>
      </x:c>
      <x:c r="AD983" s="55" t="n">
        <x:v>3274</x:v>
      </x:c>
      <x:c r="AE983" s="55" t="n">
        <x:v>10505</x:v>
      </x:c>
      <x:c r="AF983" s="55" t="n">
        <x:v>10376</x:v>
      </x:c>
      <x:c r="AG983" s="55" t="n">
        <x:v>129</x:v>
      </x:c>
      <x:c r="AH983" s="55" t="n">
        <x:v>542</x:v>
      </x:c>
      <x:c r="AI983" s="55" t="n">
        <x:v>9834</x:v>
      </x:c>
      <x:c r="AJ983" s="55" t="n">
        <x:v>314</x:v>
      </x:c>
      <x:c r="AK983" s="55" t="n">
        <x:v>1046</x:v>
      </x:c>
      <x:c r="AL983" s="55" t="n">
        <x:v>1254</x:v>
      </x:c>
      <x:c r="AM983" s="55" t="n">
        <x:v>5119</x:v>
      </x:c>
      <x:c r="AN983" s="55" t="n">
        <x:v>2597</x:v>
      </x:c>
      <x:c r="AO983" s="55" t="n">
        <x:v>46</x:v>
      </x:c>
      <x:c r="AP983" s="55" t="n">
        <x:v>2223</x:v>
      </x:c>
      <x:c r="AQ983" s="55" t="n">
        <x:v>1018</x:v>
      </x:c>
    </x:row>
    <x:row r="984">
      <x:c r="A984" s="54" t="str">
        <x:v>T1_SHARED_CATCHMENT</x:v>
      </x:c>
      <x:c r="B984" s="54" t="n">
        <x:v>978</x:v>
      </x:c>
      <x:c r="C984" s="54" t="str">
        <x:v>NYC-V2-R01</x:v>
      </x:c>
      <x:c r="D984" s="54" t="str">
        <x:v>V2</x:v>
      </x:c>
      <x:c r="E984" s="54" t="str">
        <x:v>ADMITTED</x:v>
      </x:c>
      <x:c r="F984" s="55" t="n">
        <x:v>33551</x:v>
      </x:c>
      <x:c r="G984" s="55" t="n">
        <x:v>7705</x:v>
      </x:c>
      <x:c r="H984" s="55" t="n">
        <x:v>3294</x:v>
      </x:c>
      <x:c r="I984" s="55" t="n">
        <x:v>1721</x:v>
      </x:c>
      <x:c r="J984" s="55" t="n">
        <x:v>323</x:v>
      </x:c>
      <x:c r="K984" s="55" t="n">
        <x:v>33551</x:v>
      </x:c>
      <x:c r="L984" s="55" t="n">
        <x:v>6235</x:v>
      </x:c>
      <x:c r="M984" s="55" t="n">
        <x:v>1423</x:v>
      </x:c>
      <x:c r="N984" s="55" t="n">
        <x:v>3205</x:v>
      </x:c>
      <x:c r="O984" s="55" t="n">
        <x:v>1607</x:v>
      </x:c>
      <x:c r="P984" s="55" t="n">
        <x:v>885</x:v>
      </x:c>
      <x:c r="Q984" s="55" t="n">
        <x:v>2366</x:v>
      </x:c>
      <x:c r="R984" s="55" t="n">
        <x:v>2155</x:v>
      </x:c>
      <x:c r="S984" s="55" t="n">
        <x:v>2165</x:v>
      </x:c>
      <x:c r="T984" s="55" t="n">
        <x:v>1679</x:v>
      </x:c>
      <x:c r="U984" s="55" t="n">
        <x:v>1911</x:v>
      </x:c>
      <x:c r="V984" s="55" t="n">
        <x:v>10933</x:v>
      </x:c>
      <x:c r="W984" s="55" t="n">
        <x:v>7631</x:v>
      </x:c>
      <x:c r="X984" s="55" t="n">
        <x:v>3302</x:v>
      </x:c>
      <x:c r="Y984" s="55" t="n">
        <x:v>2942</x:v>
      </x:c>
      <x:c r="Z984" s="55" t="n">
        <x:v>3655</x:v>
      </x:c>
      <x:c r="AA984" s="55" t="n">
        <x:v>2802</x:v>
      </x:c>
      <x:c r="AB984" s="55" t="n">
        <x:v>682</x:v>
      </x:c>
      <x:c r="AC984" s="55" t="n">
        <x:v>7928</x:v>
      </x:c>
      <x:c r="AD984" s="55" t="n">
        <x:v>2733</x:v>
      </x:c>
      <x:c r="AE984" s="55" t="n">
        <x:v>11024</x:v>
      </x:c>
      <x:c r="AF984" s="55" t="n">
        <x:v>10933</x:v>
      </x:c>
      <x:c r="AG984" s="55" t="n">
        <x:v>91</x:v>
      </x:c>
      <x:c r="AH984" s="55" t="n">
        <x:v>573</x:v>
      </x:c>
      <x:c r="AI984" s="55" t="n">
        <x:v>10360</x:v>
      </x:c>
      <x:c r="AJ984" s="55" t="n">
        <x:v>323</x:v>
      </x:c>
      <x:c r="AK984" s="55" t="n">
        <x:v>880</x:v>
      </x:c>
      <x:c r="AL984" s="55" t="n">
        <x:v>1483</x:v>
      </x:c>
      <x:c r="AM984" s="55" t="n">
        <x:v>5245</x:v>
      </x:c>
      <x:c r="AN984" s="55" t="n">
        <x:v>2899</x:v>
      </x:c>
      <x:c r="AO984" s="55" t="n">
        <x:v>103</x:v>
      </x:c>
      <x:c r="AP984" s="55" t="n">
        <x:v>2340</x:v>
      </x:c>
      <x:c r="AQ984" s="55" t="n">
        <x:v>995</x:v>
      </x:c>
    </x:row>
    <x:row r="985">
      <x:c r="A985" s="54" t="str">
        <x:v>T1_SHARED_CATCHMENT</x:v>
      </x:c>
      <x:c r="B985" s="54" t="n">
        <x:v>979</x:v>
      </x:c>
      <x:c r="C985" s="54" t="str">
        <x:v>NYC-V2-R01</x:v>
      </x:c>
      <x:c r="D985" s="54" t="str">
        <x:v>V2</x:v>
      </x:c>
      <x:c r="E985" s="54" t="str">
        <x:v>ADMITTED</x:v>
      </x:c>
      <x:c r="F985" s="55" t="n">
        <x:v>31572</x:v>
      </x:c>
      <x:c r="G985" s="55" t="n">
        <x:v>7461</x:v>
      </x:c>
      <x:c r="H985" s="55" t="n">
        <x:v>3554</x:v>
      </x:c>
      <x:c r="I985" s="55" t="n">
        <x:v>1248</x:v>
      </x:c>
      <x:c r="J985" s="55" t="n">
        <x:v>122</x:v>
      </x:c>
      <x:c r="K985" s="55" t="n">
        <x:v>31572</x:v>
      </x:c>
      <x:c r="L985" s="55" t="n">
        <x:v>4543</x:v>
      </x:c>
      <x:c r="M985" s="55" t="n">
        <x:v>479</x:v>
      </x:c>
      <x:c r="N985" s="55" t="n">
        <x:v>2632</x:v>
      </x:c>
      <x:c r="O985" s="55" t="n">
        <x:v>1432</x:v>
      </x:c>
      <x:c r="P985" s="55" t="n">
        <x:v>723</x:v>
      </x:c>
      <x:c r="Q985" s="55" t="n">
        <x:v>2708</x:v>
      </x:c>
      <x:c r="R985" s="55" t="n">
        <x:v>1983</x:v>
      </x:c>
      <x:c r="S985" s="55" t="n">
        <x:v>2703</x:v>
      </x:c>
      <x:c r="T985" s="55" t="n">
        <x:v>1158</x:v>
      </x:c>
      <x:c r="U985" s="55" t="n">
        <x:v>1398</x:v>
      </x:c>
      <x:c r="V985" s="55" t="n">
        <x:v>10354</x:v>
      </x:c>
      <x:c r="W985" s="55" t="n">
        <x:v>7595</x:v>
      </x:c>
      <x:c r="X985" s="55" t="n">
        <x:v>2759</x:v>
      </x:c>
      <x:c r="Y985" s="55" t="n">
        <x:v>2319</x:v>
      </x:c>
      <x:c r="Z985" s="55" t="n">
        <x:v>3355</x:v>
      </x:c>
      <x:c r="AA985" s="55" t="n">
        <x:v>3554</x:v>
      </x:c>
      <x:c r="AB985" s="55" t="n">
        <x:v>1313</x:v>
      </x:c>
      <x:c r="AC985" s="55" t="n">
        <x:v>7685</x:v>
      </x:c>
      <x:c r="AD985" s="55" t="n">
        <x:v>2800</x:v>
      </x:c>
      <x:c r="AE985" s="55" t="n">
        <x:v>10452</x:v>
      </x:c>
      <x:c r="AF985" s="55" t="n">
        <x:v>10354</x:v>
      </x:c>
      <x:c r="AG985" s="55" t="n">
        <x:v>98</x:v>
      </x:c>
      <x:c r="AH985" s="55" t="n">
        <x:v>297</x:v>
      </x:c>
      <x:c r="AI985" s="55" t="n">
        <x:v>10057</x:v>
      </x:c>
      <x:c r="AJ985" s="55" t="n">
        <x:v>244</x:v>
      </x:c>
      <x:c r="AK985" s="55" t="n">
        <x:v>974</x:v>
      </x:c>
      <x:c r="AL985" s="55" t="n">
        <x:v>1784</x:v>
      </x:c>
      <x:c r="AM985" s="55" t="n">
        <x:v>4317</x:v>
      </x:c>
      <x:c r="AN985" s="55" t="n">
        <x:v>3035</x:v>
      </x:c>
      <x:c r="AO985" s="55" t="n">
        <x:v>0</x:v>
      </x:c>
      <x:c r="AP985" s="55" t="n">
        <x:v>2800</x:v>
      </x:c>
      <x:c r="AQ985" s="55" t="n">
        <x:v>978</x:v>
      </x:c>
    </x:row>
    <x:row r="986">
      <x:c r="A986" s="54" t="str">
        <x:v>T1_SHARED_CATCHMENT</x:v>
      </x:c>
      <x:c r="B986" s="54" t="n">
        <x:v>980</x:v>
      </x:c>
      <x:c r="C986" s="54" t="str">
        <x:v>NYC-V2-R01</x:v>
      </x:c>
      <x:c r="D986" s="54" t="str">
        <x:v>V2</x:v>
      </x:c>
      <x:c r="E986" s="54" t="str">
        <x:v>ADMITTED</x:v>
      </x:c>
      <x:c r="F986" s="55" t="n">
        <x:v>31461</x:v>
      </x:c>
      <x:c r="G986" s="55" t="n">
        <x:v>8125</x:v>
      </x:c>
      <x:c r="H986" s="55" t="n">
        <x:v>3166</x:v>
      </x:c>
      <x:c r="I986" s="55" t="n">
        <x:v>824</x:v>
      </x:c>
      <x:c r="J986" s="55" t="n">
        <x:v>0</x:v>
      </x:c>
      <x:c r="K986" s="55" t="n">
        <x:v>28472</x:v>
      </x:c>
      <x:c r="L986" s="55" t="n">
        <x:v>4922</x:v>
      </x:c>
      <x:c r="M986" s="55" t="n">
        <x:v>906</x:v>
      </x:c>
      <x:c r="N986" s="55" t="n">
        <x:v>2545</x:v>
      </x:c>
      <x:c r="O986" s="55" t="n">
        <x:v>1471</x:v>
      </x:c>
      <x:c r="P986" s="55" t="n">
        <x:v>864</x:v>
      </x:c>
      <x:c r="Q986" s="55" t="n">
        <x:v>2023</x:v>
      </x:c>
      <x:c r="R986" s="55" t="n">
        <x:v>1456</x:v>
      </x:c>
      <x:c r="S986" s="55" t="n">
        <x:v>2020</x:v>
      </x:c>
      <x:c r="T986" s="55" t="n">
        <x:v>1366</x:v>
      </x:c>
      <x:c r="U986" s="55" t="n">
        <x:v>1522</x:v>
      </x:c>
      <x:c r="V986" s="55" t="n">
        <x:v>10886</x:v>
      </x:c>
      <x:c r="W986" s="55" t="n">
        <x:v>8339</x:v>
      </x:c>
      <x:c r="X986" s="55" t="n">
        <x:v>2547</x:v>
      </x:c>
      <x:c r="Y986" s="55" t="n">
        <x:v>2037</x:v>
      </x:c>
      <x:c r="Z986" s="55" t="n">
        <x:v>3905</x:v>
      </x:c>
      <x:c r="AA986" s="55" t="n">
        <x:v>3166</x:v>
      </x:c>
      <x:c r="AB986" s="55" t="n">
        <x:v>1201</x:v>
      </x:c>
      <x:c r="AC986" s="55" t="n">
        <x:v>8192</x:v>
      </x:c>
      <x:c r="AD986" s="55" t="n">
        <x:v>2745</x:v>
      </x:c>
      <x:c r="AE986" s="55" t="n">
        <x:v>10914</x:v>
      </x:c>
      <x:c r="AF986" s="55" t="n">
        <x:v>10886</x:v>
      </x:c>
      <x:c r="AG986" s="55" t="n">
        <x:v>28</x:v>
      </x:c>
      <x:c r="AH986" s="55" t="n">
        <x:v>622</x:v>
      </x:c>
      <x:c r="AI986" s="55" t="n">
        <x:v>10264</x:v>
      </x:c>
      <x:c r="AJ986" s="55" t="n">
        <x:v>222</x:v>
      </x:c>
      <x:c r="AK986" s="55" t="n">
        <x:v>1000</x:v>
      </x:c>
      <x:c r="AL986" s="55" t="n">
        <x:v>1863</x:v>
      </x:c>
      <x:c r="AM986" s="55" t="n">
        <x:v>4881</x:v>
      </x:c>
      <x:c r="AN986" s="55" t="n">
        <x:v>2885</x:v>
      </x:c>
      <x:c r="AO986" s="55" t="n">
        <x:v>35</x:v>
      </x:c>
      <x:c r="AP986" s="55" t="n">
        <x:v>2843</x:v>
      </x:c>
      <x:c r="AQ986" s="55" t="n">
        <x:v>946</x:v>
      </x:c>
    </x:row>
    <x:row r="987">
      <x:c r="A987" s="54" t="str">
        <x:v>T1_SHARED_CATCHMENT</x:v>
      </x:c>
      <x:c r="B987" s="54" t="n">
        <x:v>981</x:v>
      </x:c>
      <x:c r="C987" s="54" t="str">
        <x:v>NYC-V2-R01</x:v>
      </x:c>
      <x:c r="D987" s="54" t="str">
        <x:v>V2</x:v>
      </x:c>
      <x:c r="E987" s="54" t="str">
        <x:v>ADMITTED</x:v>
      </x:c>
      <x:c r="F987" s="55" t="n">
        <x:v>30797</x:v>
      </x:c>
      <x:c r="G987" s="55" t="n">
        <x:v>7340</x:v>
      </x:c>
      <x:c r="H987" s="55" t="n">
        <x:v>3235</x:v>
      </x:c>
      <x:c r="I987" s="55" t="n">
        <x:v>1358</x:v>
      </x:c>
      <x:c r="J987" s="55" t="n">
        <x:v>221</x:v>
      </x:c>
      <x:c r="K987" s="55" t="n">
        <x:v>30797</x:v>
      </x:c>
      <x:c r="L987" s="55" t="n">
        <x:v>5697</x:v>
      </x:c>
      <x:c r="M987" s="55" t="n">
        <x:v>1438</x:v>
      </x:c>
      <x:c r="N987" s="55" t="n">
        <x:v>2208</x:v>
      </x:c>
      <x:c r="O987" s="55" t="n">
        <x:v>2051</x:v>
      </x:c>
      <x:c r="P987" s="55" t="n">
        <x:v>575</x:v>
      </x:c>
      <x:c r="Q987" s="55" t="n">
        <x:v>2643</x:v>
      </x:c>
      <x:c r="R987" s="55" t="n">
        <x:v>2017</x:v>
      </x:c>
      <x:c r="S987" s="55" t="n">
        <x:v>2426</x:v>
      </x:c>
      <x:c r="T987" s="55" t="n">
        <x:v>1178</x:v>
      </x:c>
      <x:c r="U987" s="55" t="n">
        <x:v>1980</x:v>
      </x:c>
      <x:c r="V987" s="55" t="n">
        <x:v>10786</x:v>
      </x:c>
      <x:c r="W987" s="55" t="n">
        <x:v>7287</x:v>
      </x:c>
      <x:c r="X987" s="55" t="n">
        <x:v>3499</x:v>
      </x:c>
      <x:c r="Y987" s="55" t="n">
        <x:v>2941</x:v>
      </x:c>
      <x:c r="Z987" s="55" t="n">
        <x:v>3974</x:v>
      </x:c>
      <x:c r="AA987" s="55" t="n">
        <x:v>3235</x:v>
      </x:c>
      <x:c r="AB987" s="55" t="n">
        <x:v>1062</x:v>
      </x:c>
      <x:c r="AC987" s="55" t="n">
        <x:v>7906</x:v>
      </x:c>
      <x:c r="AD987" s="55" t="n">
        <x:v>2795</x:v>
      </x:c>
      <x:c r="AE987" s="55" t="n">
        <x:v>10964</x:v>
      </x:c>
      <x:c r="AF987" s="55" t="n">
        <x:v>10786</x:v>
      </x:c>
      <x:c r="AG987" s="55" t="n">
        <x:v>178</x:v>
      </x:c>
      <x:c r="AH987" s="55" t="n">
        <x:v>269</x:v>
      </x:c>
      <x:c r="AI987" s="55" t="n">
        <x:v>10517</x:v>
      </x:c>
      <x:c r="AJ987" s="55" t="n">
        <x:v>403</x:v>
      </x:c>
      <x:c r="AK987" s="55" t="n">
        <x:v>1284</x:v>
      </x:c>
      <x:c r="AL987" s="55" t="n">
        <x:v>1118</x:v>
      </x:c>
      <x:c r="AM987" s="55" t="n">
        <x:v>5263</x:v>
      </x:c>
      <x:c r="AN987" s="55" t="n">
        <x:v>2645</x:v>
      </x:c>
      <x:c r="AO987" s="55" t="n">
        <x:v>73</x:v>
      </x:c>
      <x:c r="AP987" s="55" t="n">
        <x:v>2572</x:v>
      </x:c>
      <x:c r="AQ987" s="55" t="n">
        <x:v>958</x:v>
      </x:c>
    </x:row>
    <x:row r="988">
      <x:c r="A988" s="54" t="str">
        <x:v>T1_SHARED_CATCHMENT</x:v>
      </x:c>
      <x:c r="B988" s="54" t="n">
        <x:v>982</x:v>
      </x:c>
      <x:c r="C988" s="54" t="str">
        <x:v>NYC-V2-R01</x:v>
      </x:c>
      <x:c r="D988" s="54" t="str">
        <x:v>V2</x:v>
      </x:c>
      <x:c r="E988" s="54" t="str">
        <x:v>ADMITTED</x:v>
      </x:c>
      <x:c r="F988" s="55" t="n">
        <x:v>30697</x:v>
      </x:c>
      <x:c r="G988" s="55" t="n">
        <x:v>6609</x:v>
      </x:c>
      <x:c r="H988" s="55" t="n">
        <x:v>3502</x:v>
      </x:c>
      <x:c r="I988" s="55" t="n">
        <x:v>1448</x:v>
      </x:c>
      <x:c r="J988" s="55" t="n">
        <x:v>321</x:v>
      </x:c>
      <x:c r="K988" s="55" t="n">
        <x:v>30697</x:v>
      </x:c>
      <x:c r="L988" s="55" t="n">
        <x:v>5497</x:v>
      </x:c>
      <x:c r="M988" s="55" t="n">
        <x:v>1479</x:v>
      </x:c>
      <x:c r="N988" s="55" t="n">
        <x:v>2258</x:v>
      </x:c>
      <x:c r="O988" s="55" t="n">
        <x:v>1760</x:v>
      </x:c>
      <x:c r="P988" s="55" t="n">
        <x:v>705</x:v>
      </x:c>
      <x:c r="Q988" s="55" t="n">
        <x:v>3085</x:v>
      </x:c>
      <x:c r="R988" s="55" t="n">
        <x:v>1663</x:v>
      </x:c>
      <x:c r="S988" s="55" t="n">
        <x:v>2760</x:v>
      </x:c>
      <x:c r="T988" s="55" t="n">
        <x:v>1140</x:v>
      </x:c>
      <x:c r="U988" s="55" t="n">
        <x:v>2015</x:v>
      </x:c>
      <x:c r="V988" s="55" t="n">
        <x:v>10903</x:v>
      </x:c>
      <x:c r="W988" s="55" t="n">
        <x:v>7287</x:v>
      </x:c>
      <x:c r="X988" s="55" t="n">
        <x:v>3616</x:v>
      </x:c>
      <x:c r="Y988" s="55" t="n">
        <x:v>2991</x:v>
      </x:c>
      <x:c r="Z988" s="55" t="n">
        <x:v>3326</x:v>
      </x:c>
      <x:c r="AA988" s="55" t="n">
        <x:v>3502</x:v>
      </x:c>
      <x:c r="AB988" s="55" t="n">
        <x:v>950</x:v>
      </x:c>
      <x:c r="AC988" s="55" t="n">
        <x:v>8778</x:v>
      </x:c>
      <x:c r="AD988" s="55" t="n">
        <x:v>2840</x:v>
      </x:c>
      <x:c r="AE988" s="55" t="n">
        <x:v>10987</x:v>
      </x:c>
      <x:c r="AF988" s="55" t="n">
        <x:v>10903</x:v>
      </x:c>
      <x:c r="AG988" s="55" t="n">
        <x:v>84</x:v>
      </x:c>
      <x:c r="AH988" s="55" t="n">
        <x:v>643</x:v>
      </x:c>
      <x:c r="AI988" s="55" t="n">
        <x:v>10260</x:v>
      </x:c>
      <x:c r="AJ988" s="55" t="n">
        <x:v>457</x:v>
      </x:c>
      <x:c r="AK988" s="55" t="n">
        <x:v>1126</x:v>
      </x:c>
      <x:c r="AL988" s="55" t="n">
        <x:v>1221</x:v>
      </x:c>
      <x:c r="AM988" s="55" t="n">
        <x:v>4939</x:v>
      </x:c>
      <x:c r="AN988" s="55" t="n">
        <x:v>3152</x:v>
      </x:c>
      <x:c r="AO988" s="55" t="n">
        <x:v>8</x:v>
      </x:c>
      <x:c r="AP988" s="55" t="n">
        <x:v>2237</x:v>
      </x:c>
      <x:c r="AQ988" s="55" t="n">
        <x:v>947</x:v>
      </x:c>
    </x:row>
    <x:row r="989">
      <x:c r="A989" s="54" t="str">
        <x:v>T1_SHARED_CATCHMENT</x:v>
      </x:c>
      <x:c r="B989" s="54" t="n">
        <x:v>983</x:v>
      </x:c>
      <x:c r="C989" s="54" t="str">
        <x:v>NYC-V2-R01</x:v>
      </x:c>
      <x:c r="D989" s="54" t="str">
        <x:v>V2</x:v>
      </x:c>
      <x:c r="E989" s="54" t="str">
        <x:v>ADMITTED</x:v>
      </x:c>
      <x:c r="F989" s="55" t="n">
        <x:v>31744</x:v>
      </x:c>
      <x:c r="G989" s="55" t="n">
        <x:v>8733</x:v>
      </x:c>
      <x:c r="H989" s="55" t="n">
        <x:v>3501</x:v>
      </x:c>
      <x:c r="I989" s="55" t="n">
        <x:v>1503</x:v>
      </x:c>
      <x:c r="J989" s="55" t="n">
        <x:v>375</x:v>
      </x:c>
      <x:c r="K989" s="55" t="n">
        <x:v>31744</x:v>
      </x:c>
      <x:c r="L989" s="55" t="n">
        <x:v>6108</x:v>
      </x:c>
      <x:c r="M989" s="55" t="n">
        <x:v>1479</x:v>
      </x:c>
      <x:c r="N989" s="55" t="n">
        <x:v>2531</x:v>
      </x:c>
      <x:c r="O989" s="55" t="n">
        <x:v>2098</x:v>
      </x:c>
      <x:c r="P989" s="55" t="n">
        <x:v>1197</x:v>
      </x:c>
      <x:c r="Q989" s="55" t="n">
        <x:v>2971</x:v>
      </x:c>
      <x:c r="R989" s="55" t="n">
        <x:v>2118</x:v>
      </x:c>
      <x:c r="S989" s="55" t="n">
        <x:v>2625</x:v>
      </x:c>
      <x:c r="T989" s="55" t="n">
        <x:v>1534</x:v>
      </x:c>
      <x:c r="U989" s="55" t="n">
        <x:v>2132</x:v>
      </x:c>
      <x:c r="V989" s="55" t="n">
        <x:v>11088</x:v>
      </x:c>
      <x:c r="W989" s="55" t="n">
        <x:v>7639</x:v>
      </x:c>
      <x:c r="X989" s="55" t="n">
        <x:v>3449</x:v>
      </x:c>
      <x:c r="Y989" s="55" t="n">
        <x:v>3079</x:v>
      </x:c>
      <x:c r="Z989" s="55" t="n">
        <x:v>3898</x:v>
      </x:c>
      <x:c r="AA989" s="55" t="n">
        <x:v>3501</x:v>
      </x:c>
      <x:c r="AB989" s="55" t="n">
        <x:v>1141</x:v>
      </x:c>
      <x:c r="AC989" s="55" t="n">
        <x:v>7869</x:v>
      </x:c>
      <x:c r="AD989" s="55" t="n">
        <x:v>3181</x:v>
      </x:c>
      <x:c r="AE989" s="55" t="n">
        <x:v>11156</x:v>
      </x:c>
      <x:c r="AF989" s="55" t="n">
        <x:v>11088</x:v>
      </x:c>
      <x:c r="AG989" s="55" t="n">
        <x:v>68</x:v>
      </x:c>
      <x:c r="AH989" s="55" t="n">
        <x:v>526</x:v>
      </x:c>
      <x:c r="AI989" s="55" t="n">
        <x:v>10562</x:v>
      </x:c>
      <x:c r="AJ989" s="55" t="n">
        <x:v>476</x:v>
      </x:c>
      <x:c r="AK989" s="55" t="n">
        <x:v>1382</x:v>
      </x:c>
      <x:c r="AL989" s="55" t="n">
        <x:v>1209</x:v>
      </x:c>
      <x:c r="AM989" s="55" t="n">
        <x:v>5307</x:v>
      </x:c>
      <x:c r="AN989" s="55" t="n">
        <x:v>2634</x:v>
      </x:c>
      <x:c r="AO989" s="55" t="n">
        <x:v>80</x:v>
      </x:c>
      <x:c r="AP989" s="55" t="n">
        <x:v>2197</x:v>
      </x:c>
      <x:c r="AQ989" s="55" t="n">
        <x:v>952</x:v>
      </x:c>
    </x:row>
    <x:row r="990">
      <x:c r="A990" s="54" t="str">
        <x:v>T1_SHARED_CATCHMENT</x:v>
      </x:c>
      <x:c r="B990" s="54" t="n">
        <x:v>984</x:v>
      </x:c>
      <x:c r="C990" s="54" t="str">
        <x:v>NYC-V2-R01</x:v>
      </x:c>
      <x:c r="D990" s="54" t="str">
        <x:v>V2</x:v>
      </x:c>
      <x:c r="E990" s="54" t="str">
        <x:v>ADMITTED</x:v>
      </x:c>
      <x:c r="F990" s="55" t="n">
        <x:v>33325</x:v>
      </x:c>
      <x:c r="G990" s="55" t="n">
        <x:v>9019</x:v>
      </x:c>
      <x:c r="H990" s="55" t="n">
        <x:v>3360</x:v>
      </x:c>
      <x:c r="I990" s="55" t="n">
        <x:v>1174</x:v>
      </x:c>
      <x:c r="J990" s="55" t="n">
        <x:v>193</x:v>
      </x:c>
      <x:c r="K990" s="55" t="n">
        <x:v>31899</x:v>
      </x:c>
      <x:c r="L990" s="55" t="n">
        <x:v>7208</x:v>
      </x:c>
      <x:c r="M990" s="55" t="n">
        <x:v>1181</x:v>
      </x:c>
      <x:c r="N990" s="55" t="n">
        <x:v>3846</x:v>
      </x:c>
      <x:c r="O990" s="55" t="n">
        <x:v>2181</x:v>
      </x:c>
      <x:c r="P990" s="55" t="n">
        <x:v>992</x:v>
      </x:c>
      <x:c r="Q990" s="55" t="n">
        <x:v>1711</x:v>
      </x:c>
      <x:c r="R990" s="55" t="n">
        <x:v>1761</x:v>
      </x:c>
      <x:c r="S990" s="55" t="n">
        <x:v>2883</x:v>
      </x:c>
      <x:c r="T990" s="55" t="n">
        <x:v>1526</x:v>
      </x:c>
      <x:c r="U990" s="55" t="n">
        <x:v>2604</x:v>
      </x:c>
      <x:c r="V990" s="55" t="n">
        <x:v>11362</x:v>
      </x:c>
      <x:c r="W990" s="55" t="n">
        <x:v>7963</x:v>
      </x:c>
      <x:c r="X990" s="55" t="n">
        <x:v>3399</x:v>
      </x:c>
      <x:c r="Y990" s="55" t="n">
        <x:v>3233</x:v>
      </x:c>
      <x:c r="Z990" s="55" t="n">
        <x:v>3504</x:v>
      </x:c>
      <x:c r="AA990" s="55" t="n">
        <x:v>3360</x:v>
      </x:c>
      <x:c r="AB990" s="55" t="n">
        <x:v>1635</x:v>
      </x:c>
      <x:c r="AC990" s="55" t="n">
        <x:v>8211</x:v>
      </x:c>
      <x:c r="AD990" s="55" t="n">
        <x:v>3694</x:v>
      </x:c>
      <x:c r="AE990" s="55" t="n">
        <x:v>11466</x:v>
      </x:c>
      <x:c r="AF990" s="55" t="n">
        <x:v>11362</x:v>
      </x:c>
      <x:c r="AG990" s="55" t="n">
        <x:v>104</x:v>
      </x:c>
      <x:c r="AH990" s="55" t="n">
        <x:v>500</x:v>
      </x:c>
      <x:c r="AI990" s="55" t="n">
        <x:v>10862</x:v>
      </x:c>
      <x:c r="AJ990" s="55" t="n">
        <x:v>387</x:v>
      </x:c>
      <x:c r="AK990" s="55" t="n">
        <x:v>1062</x:v>
      </x:c>
      <x:c r="AL990" s="55" t="n">
        <x:v>1842</x:v>
      </x:c>
      <x:c r="AM990" s="55" t="n">
        <x:v>5356</x:v>
      </x:c>
      <x:c r="AN990" s="55" t="n">
        <x:v>2715</x:v>
      </x:c>
      <x:c r="AO990" s="55" t="n">
        <x:v>0</x:v>
      </x:c>
      <x:c r="AP990" s="55" t="n">
        <x:v>2697</x:v>
      </x:c>
      <x:c r="AQ990" s="55" t="n">
        <x:v>994</x:v>
      </x:c>
    </x:row>
    <x:row r="991">
      <x:c r="A991" s="54" t="str">
        <x:v>T1_SHARED_CATCHMENT</x:v>
      </x:c>
      <x:c r="B991" s="54" t="n">
        <x:v>985</x:v>
      </x:c>
      <x:c r="C991" s="54" t="str">
        <x:v>NYC-V2-R01</x:v>
      </x:c>
      <x:c r="D991" s="54" t="str">
        <x:v>V2</x:v>
      </x:c>
      <x:c r="E991" s="54" t="str">
        <x:v>ADMITTED</x:v>
      </x:c>
      <x:c r="F991" s="55" t="n">
        <x:v>30105</x:v>
      </x:c>
      <x:c r="G991" s="55" t="n">
        <x:v>5794</x:v>
      </x:c>
      <x:c r="H991" s="55" t="n">
        <x:v>2971</x:v>
      </x:c>
      <x:c r="I991" s="55" t="n">
        <x:v>1151</x:v>
      </x:c>
      <x:c r="J991" s="55" t="n">
        <x:v>354</x:v>
      </x:c>
      <x:c r="K991" s="55" t="n">
        <x:v>30105</x:v>
      </x:c>
      <x:c r="L991" s="55" t="n">
        <x:v>4847</x:v>
      </x:c>
      <x:c r="M991" s="55" t="n">
        <x:v>1713</x:v>
      </x:c>
      <x:c r="N991" s="55" t="n">
        <x:v>1889</x:v>
      </x:c>
      <x:c r="O991" s="55" t="n">
        <x:v>1245</x:v>
      </x:c>
      <x:c r="P991" s="55" t="n">
        <x:v>751</x:v>
      </x:c>
      <x:c r="Q991" s="55" t="n">
        <x:v>3024</x:v>
      </x:c>
      <x:c r="R991" s="55" t="n">
        <x:v>1872</x:v>
      </x:c>
      <x:c r="S991" s="55" t="n">
        <x:v>2362</x:v>
      </x:c>
      <x:c r="T991" s="55" t="n">
        <x:v>904</x:v>
      </x:c>
      <x:c r="U991" s="55" t="n">
        <x:v>1784</x:v>
      </x:c>
      <x:c r="V991" s="55" t="n">
        <x:v>10027</x:v>
      </x:c>
      <x:c r="W991" s="55" t="n">
        <x:v>7008</x:v>
      </x:c>
      <x:c r="X991" s="55" t="n">
        <x:v>3019</x:v>
      </x:c>
      <x:c r="Y991" s="55" t="n">
        <x:v>2637</x:v>
      </x:c>
      <x:c r="Z991" s="55" t="n">
        <x:v>3660</x:v>
      </x:c>
      <x:c r="AA991" s="55" t="n">
        <x:v>2955</x:v>
      </x:c>
      <x:c r="AB991" s="55" t="n">
        <x:v>1032</x:v>
      </x:c>
      <x:c r="AC991" s="55" t="n">
        <x:v>7811</x:v>
      </x:c>
      <x:c r="AD991" s="55" t="n">
        <x:v>2893</x:v>
      </x:c>
      <x:c r="AE991" s="55" t="n">
        <x:v>10102</x:v>
      </x:c>
      <x:c r="AF991" s="55" t="n">
        <x:v>10027</x:v>
      </x:c>
      <x:c r="AG991" s="55" t="n">
        <x:v>75</x:v>
      </x:c>
      <x:c r="AH991" s="55" t="n">
        <x:v>541</x:v>
      </x:c>
      <x:c r="AI991" s="55" t="n">
        <x:v>9486</x:v>
      </x:c>
      <x:c r="AJ991" s="55" t="n">
        <x:v>284</x:v>
      </x:c>
      <x:c r="AK991" s="55" t="n">
        <x:v>937</x:v>
      </x:c>
      <x:c r="AL991" s="55" t="n">
        <x:v>1381</x:v>
      </x:c>
      <x:c r="AM991" s="55" t="n">
        <x:v>4967</x:v>
      </x:c>
      <x:c r="AN991" s="55" t="n">
        <x:v>2458</x:v>
      </x:c>
      <x:c r="AO991" s="55" t="n">
        <x:v>0</x:v>
      </x:c>
      <x:c r="AP991" s="55" t="n">
        <x:v>2575</x:v>
      </x:c>
      <x:c r="AQ991" s="55" t="n">
        <x:v>948</x:v>
      </x:c>
    </x:row>
    <x:row r="992">
      <x:c r="A992" s="54" t="str">
        <x:v>T1_SHARED_CATCHMENT</x:v>
      </x:c>
      <x:c r="B992" s="54" t="n">
        <x:v>986</x:v>
      </x:c>
      <x:c r="C992" s="54" t="str">
        <x:v>NYC-V2-R01</x:v>
      </x:c>
      <x:c r="D992" s="54" t="str">
        <x:v>V2</x:v>
      </x:c>
      <x:c r="E992" s="54" t="str">
        <x:v>ADMITTED</x:v>
      </x:c>
      <x:c r="F992" s="55" t="n">
        <x:v>32285</x:v>
      </x:c>
      <x:c r="G992" s="55" t="n">
        <x:v>7935</x:v>
      </x:c>
      <x:c r="H992" s="55" t="n">
        <x:v>3494</x:v>
      </x:c>
      <x:c r="I992" s="55" t="n">
        <x:v>984</x:v>
      </x:c>
      <x:c r="J992" s="55" t="n">
        <x:v>122</x:v>
      </x:c>
      <x:c r="K992" s="55" t="n">
        <x:v>32285</x:v>
      </x:c>
      <x:c r="L992" s="55" t="n">
        <x:v>7156</x:v>
      </x:c>
      <x:c r="M992" s="55" t="n">
        <x:v>2304</x:v>
      </x:c>
      <x:c r="N992" s="55" t="n">
        <x:v>2955</x:v>
      </x:c>
      <x:c r="O992" s="55" t="n">
        <x:v>1897</x:v>
      </x:c>
      <x:c r="P992" s="55" t="n">
        <x:v>1032</x:v>
      </x:c>
      <x:c r="Q992" s="55" t="n">
        <x:v>2927</x:v>
      </x:c>
      <x:c r="R992" s="55" t="n">
        <x:v>1564</x:v>
      </x:c>
      <x:c r="S992" s="55" t="n">
        <x:v>3055</x:v>
      </x:c>
      <x:c r="T992" s="55" t="n">
        <x:v>1072</x:v>
      </x:c>
      <x:c r="U992" s="55" t="n">
        <x:v>1759</x:v>
      </x:c>
      <x:c r="V992" s="55" t="n">
        <x:v>10480</x:v>
      </x:c>
      <x:c r="W992" s="55" t="n">
        <x:v>7707</x:v>
      </x:c>
      <x:c r="X992" s="55" t="n">
        <x:v>2773</x:v>
      </x:c>
      <x:c r="Y992" s="55" t="n">
        <x:v>2285</x:v>
      </x:c>
      <x:c r="Z992" s="55" t="n">
        <x:v>3264</x:v>
      </x:c>
      <x:c r="AA992" s="55" t="n">
        <x:v>3494</x:v>
      </x:c>
      <x:c r="AB992" s="55" t="n">
        <x:v>991</x:v>
      </x:c>
      <x:c r="AC992" s="55" t="n">
        <x:v>8094</x:v>
      </x:c>
      <x:c r="AD992" s="55" t="n">
        <x:v>2325</x:v>
      </x:c>
      <x:c r="AE992" s="55" t="n">
        <x:v>10592</x:v>
      </x:c>
      <x:c r="AF992" s="55" t="n">
        <x:v>10480</x:v>
      </x:c>
      <x:c r="AG992" s="55" t="n">
        <x:v>112</x:v>
      </x:c>
      <x:c r="AH992" s="55" t="n">
        <x:v>553</x:v>
      </x:c>
      <x:c r="AI992" s="55" t="n">
        <x:v>9927</x:v>
      </x:c>
      <x:c r="AJ992" s="55" t="n">
        <x:v>287</x:v>
      </x:c>
      <x:c r="AK992" s="55" t="n">
        <x:v>707</x:v>
      </x:c>
      <x:c r="AL992" s="55" t="n">
        <x:v>1682</x:v>
      </x:c>
      <x:c r="AM992" s="55" t="n">
        <x:v>5294</x:v>
      </x:c>
      <x:c r="AN992" s="55" t="n">
        <x:v>2455</x:v>
      </x:c>
      <x:c r="AO992" s="55" t="n">
        <x:v>55</x:v>
      </x:c>
      <x:c r="AP992" s="55" t="n">
        <x:v>2256</x:v>
      </x:c>
      <x:c r="AQ992" s="55" t="n">
        <x:v>913</x:v>
      </x:c>
    </x:row>
    <x:row r="993">
      <x:c r="A993" s="54" t="str">
        <x:v>T1_SHARED_CATCHMENT</x:v>
      </x:c>
      <x:c r="B993" s="54" t="n">
        <x:v>987</x:v>
      </x:c>
      <x:c r="C993" s="54" t="str">
        <x:v>NYC-V2-R01</x:v>
      </x:c>
      <x:c r="D993" s="54" t="str">
        <x:v>V2</x:v>
      </x:c>
      <x:c r="E993" s="54" t="str">
        <x:v>ADMITTED</x:v>
      </x:c>
      <x:c r="F993" s="55" t="n">
        <x:v>30955</x:v>
      </x:c>
      <x:c r="G993" s="55" t="n">
        <x:v>9047</x:v>
      </x:c>
      <x:c r="H993" s="55" t="n">
        <x:v>2855</x:v>
      </x:c>
      <x:c r="I993" s="55" t="n">
        <x:v>590</x:v>
      </x:c>
      <x:c r="J993" s="55" t="n">
        <x:v>0</x:v>
      </x:c>
      <x:c r="K993" s="55" t="n">
        <x:v>27754</x:v>
      </x:c>
      <x:c r="L993" s="55" t="n">
        <x:v>5303</x:v>
      </x:c>
      <x:c r="M993" s="55" t="n">
        <x:v>1261</x:v>
      </x:c>
      <x:c r="N993" s="55" t="n">
        <x:v>2913</x:v>
      </x:c>
      <x:c r="O993" s="55" t="n">
        <x:v>1129</x:v>
      </x:c>
      <x:c r="P993" s="55" t="n">
        <x:v>651</x:v>
      </x:c>
      <x:c r="Q993" s="55" t="n">
        <x:v>2153</x:v>
      </x:c>
      <x:c r="R993" s="55" t="n">
        <x:v>2042</x:v>
      </x:c>
      <x:c r="S993" s="55" t="n">
        <x:v>1621</x:v>
      </x:c>
      <x:c r="T993" s="55" t="n">
        <x:v>1169</x:v>
      </x:c>
      <x:c r="U993" s="55" t="n">
        <x:v>1977</x:v>
      </x:c>
      <x:c r="V993" s="55" t="n">
        <x:v>10928</x:v>
      </x:c>
      <x:c r="W993" s="55" t="n">
        <x:v>7835</x:v>
      </x:c>
      <x:c r="X993" s="55" t="n">
        <x:v>3093</x:v>
      </x:c>
      <x:c r="Y993" s="55" t="n">
        <x:v>2745</x:v>
      </x:c>
      <x:c r="Z993" s="55" t="n">
        <x:v>3804</x:v>
      </x:c>
      <x:c r="AA993" s="55" t="n">
        <x:v>2855</x:v>
      </x:c>
      <x:c r="AB993" s="55" t="n">
        <x:v>1024</x:v>
      </x:c>
      <x:c r="AC993" s="55" t="n">
        <x:v>7656</x:v>
      </x:c>
      <x:c r="AD993" s="55" t="n">
        <x:v>2208</x:v>
      </x:c>
      <x:c r="AE993" s="55" t="n">
        <x:v>11026</x:v>
      </x:c>
      <x:c r="AF993" s="55" t="n">
        <x:v>10928</x:v>
      </x:c>
      <x:c r="AG993" s="55" t="n">
        <x:v>98</x:v>
      </x:c>
      <x:c r="AH993" s="55" t="n">
        <x:v>428</x:v>
      </x:c>
      <x:c r="AI993" s="55" t="n">
        <x:v>10500</x:v>
      </x:c>
      <x:c r="AJ993" s="55" t="n">
        <x:v>300</x:v>
      </x:c>
      <x:c r="AK993" s="55" t="n">
        <x:v>1002</x:v>
      </x:c>
      <x:c r="AL993" s="55" t="n">
        <x:v>1713</x:v>
      </x:c>
      <x:c r="AM993" s="55" t="n">
        <x:v>4795</x:v>
      </x:c>
      <x:c r="AN993" s="55" t="n">
        <x:v>3098</x:v>
      </x:c>
      <x:c r="AO993" s="55" t="n">
        <x:v>20</x:v>
      </x:c>
      <x:c r="AP993" s="55" t="n">
        <x:v>2663</x:v>
      </x:c>
      <x:c r="AQ993" s="55" t="n">
        <x:v>935</x:v>
      </x:c>
    </x:row>
    <x:row r="994">
      <x:c r="A994" s="54" t="str">
        <x:v>T1_SHARED_CATCHMENT</x:v>
      </x:c>
      <x:c r="B994" s="54" t="n">
        <x:v>988</x:v>
      </x:c>
      <x:c r="C994" s="54" t="str">
        <x:v>NYC-V2-R01</x:v>
      </x:c>
      <x:c r="D994" s="54" t="str">
        <x:v>V2</x:v>
      </x:c>
      <x:c r="E994" s="54" t="str">
        <x:v>ADMITTED</x:v>
      </x:c>
      <x:c r="F994" s="55" t="n">
        <x:v>31043</x:v>
      </x:c>
      <x:c r="G994" s="55" t="n">
        <x:v>6520</x:v>
      </x:c>
      <x:c r="H994" s="55" t="n">
        <x:v>3150</x:v>
      </x:c>
      <x:c r="I994" s="55" t="n">
        <x:v>1302</x:v>
      </x:c>
      <x:c r="J994" s="55" t="n">
        <x:v>241</x:v>
      </x:c>
      <x:c r="K994" s="55" t="n">
        <x:v>31043</x:v>
      </x:c>
      <x:c r="L994" s="55" t="n">
        <x:v>6158</x:v>
      </x:c>
      <x:c r="M994" s="55" t="n">
        <x:v>1147</x:v>
      </x:c>
      <x:c r="N994" s="55" t="n">
        <x:v>3271</x:v>
      </x:c>
      <x:c r="O994" s="55" t="n">
        <x:v>1740</x:v>
      </x:c>
      <x:c r="P994" s="55" t="n">
        <x:v>428</x:v>
      </x:c>
      <x:c r="Q994" s="55" t="n">
        <x:v>2152</x:v>
      </x:c>
      <x:c r="R994" s="55" t="n">
        <x:v>916</x:v>
      </x:c>
      <x:c r="S994" s="55" t="n">
        <x:v>2536</x:v>
      </x:c>
      <x:c r="T994" s="55" t="n">
        <x:v>1087</x:v>
      </x:c>
      <x:c r="U994" s="55" t="n">
        <x:v>2176</x:v>
      </x:c>
      <x:c r="V994" s="55" t="n">
        <x:v>11001</x:v>
      </x:c>
      <x:c r="W994" s="55" t="n">
        <x:v>7756</x:v>
      </x:c>
      <x:c r="X994" s="55" t="n">
        <x:v>3245</x:v>
      </x:c>
      <x:c r="Y994" s="55" t="n">
        <x:v>2733</x:v>
      </x:c>
      <x:c r="Z994" s="55" t="n">
        <x:v>3311</x:v>
      </x:c>
      <x:c r="AA994" s="55" t="n">
        <x:v>2938</x:v>
      </x:c>
      <x:c r="AB994" s="55" t="n">
        <x:v>1057</x:v>
      </x:c>
      <x:c r="AC994" s="55" t="n">
        <x:v>7421</x:v>
      </x:c>
      <x:c r="AD994" s="55" t="n">
        <x:v>2730</x:v>
      </x:c>
      <x:c r="AE994" s="55" t="n">
        <x:v>11001</x:v>
      </x:c>
      <x:c r="AF994" s="55" t="n">
        <x:v>11001</x:v>
      </x:c>
      <x:c r="AG994" s="55" t="n">
        <x:v>0</x:v>
      </x:c>
      <x:c r="AH994" s="55" t="n">
        <x:v>451</x:v>
      </x:c>
      <x:c r="AI994" s="55" t="n">
        <x:v>10550</x:v>
      </x:c>
      <x:c r="AJ994" s="55" t="n">
        <x:v>462</x:v>
      </x:c>
      <x:c r="AK994" s="55" t="n">
        <x:v>911</x:v>
      </x:c>
      <x:c r="AL994" s="55" t="n">
        <x:v>1231</x:v>
      </x:c>
      <x:c r="AM994" s="55" t="n">
        <x:v>5367</x:v>
      </x:c>
      <x:c r="AN994" s="55" t="n">
        <x:v>3030</x:v>
      </x:c>
      <x:c r="AO994" s="55" t="n">
        <x:v>0</x:v>
      </x:c>
      <x:c r="AP994" s="55" t="n">
        <x:v>2144</x:v>
      </x:c>
      <x:c r="AQ994" s="55" t="n">
        <x:v>976</x:v>
      </x:c>
    </x:row>
    <x:row r="995">
      <x:c r="A995" s="54" t="str">
        <x:v>T1_SHARED_CATCHMENT</x:v>
      </x:c>
      <x:c r="B995" s="54" t="n">
        <x:v>989</x:v>
      </x:c>
      <x:c r="C995" s="54" t="str">
        <x:v>NYC-V2-R01</x:v>
      </x:c>
      <x:c r="D995" s="54" t="str">
        <x:v>V2</x:v>
      </x:c>
      <x:c r="E995" s="54" t="str">
        <x:v>ADMITTED</x:v>
      </x:c>
      <x:c r="F995" s="55" t="n">
        <x:v>31843</x:v>
      </x:c>
      <x:c r="G995" s="55" t="n">
        <x:v>7852</x:v>
      </x:c>
      <x:c r="H995" s="55" t="n">
        <x:v>3332</x:v>
      </x:c>
      <x:c r="I995" s="55" t="n">
        <x:v>1507</x:v>
      </x:c>
      <x:c r="J995" s="55" t="n">
        <x:v>191</x:v>
      </x:c>
      <x:c r="K995" s="55" t="n">
        <x:v>31843</x:v>
      </x:c>
      <x:c r="L995" s="55" t="n">
        <x:v>6783</x:v>
      </x:c>
      <x:c r="M995" s="55" t="n">
        <x:v>1655</x:v>
      </x:c>
      <x:c r="N995" s="55" t="n">
        <x:v>3490</x:v>
      </x:c>
      <x:c r="O995" s="55" t="n">
        <x:v>1638</x:v>
      </x:c>
      <x:c r="P995" s="55" t="n">
        <x:v>1237</x:v>
      </x:c>
      <x:c r="Q995" s="55" t="n">
        <x:v>2866</x:v>
      </x:c>
      <x:c r="R995" s="55" t="n">
        <x:v>1989</x:v>
      </x:c>
      <x:c r="S995" s="55" t="n">
        <x:v>2311</x:v>
      </x:c>
      <x:c r="T995" s="55" t="n">
        <x:v>1548</x:v>
      </x:c>
      <x:c r="U995" s="55" t="n">
        <x:v>2270</x:v>
      </x:c>
      <x:c r="V995" s="55" t="n">
        <x:v>11598</x:v>
      </x:c>
      <x:c r="W995" s="55" t="n">
        <x:v>8466</x:v>
      </x:c>
      <x:c r="X995" s="55" t="n">
        <x:v>3132</x:v>
      </x:c>
      <x:c r="Y995" s="55" t="n">
        <x:v>2551</x:v>
      </x:c>
      <x:c r="Z995" s="55" t="n">
        <x:v>4240</x:v>
      </x:c>
      <x:c r="AA995" s="55" t="n">
        <x:v>3055</x:v>
      </x:c>
      <x:c r="AB995" s="55" t="n">
        <x:v>841</x:v>
      </x:c>
      <x:c r="AC995" s="55" t="n">
        <x:v>7834</x:v>
      </x:c>
      <x:c r="AD995" s="55" t="n">
        <x:v>3076</x:v>
      </x:c>
      <x:c r="AE995" s="55" t="n">
        <x:v>11642</x:v>
      </x:c>
      <x:c r="AF995" s="55" t="n">
        <x:v>11598</x:v>
      </x:c>
      <x:c r="AG995" s="55" t="n">
        <x:v>44</x:v>
      </x:c>
      <x:c r="AH995" s="55" t="n">
        <x:v>407</x:v>
      </x:c>
      <x:c r="AI995" s="55" t="n">
        <x:v>11191</x:v>
      </x:c>
      <x:c r="AJ995" s="55" t="n">
        <x:v>272</x:v>
      </x:c>
      <x:c r="AK995" s="55" t="n">
        <x:v>1241</x:v>
      </x:c>
      <x:c r="AL995" s="55" t="n">
        <x:v>1947</x:v>
      </x:c>
      <x:c r="AM995" s="55" t="n">
        <x:v>4737</x:v>
      </x:c>
      <x:c r="AN995" s="55" t="n">
        <x:v>3346</x:v>
      </x:c>
      <x:c r="AO995" s="55" t="n">
        <x:v>55</x:v>
      </x:c>
      <x:c r="AP995" s="55" t="n">
        <x:v>2240</x:v>
      </x:c>
      <x:c r="AQ995" s="55" t="n">
        <x:v>961</x:v>
      </x:c>
    </x:row>
    <x:row r="996">
      <x:c r="A996" s="54" t="str">
        <x:v>T1_SHARED_CATCHMENT</x:v>
      </x:c>
      <x:c r="B996" s="54" t="n">
        <x:v>990</x:v>
      </x:c>
      <x:c r="C996" s="54" t="str">
        <x:v>NYC-V2-R01</x:v>
      </x:c>
      <x:c r="D996" s="54" t="str">
        <x:v>V2</x:v>
      </x:c>
      <x:c r="E996" s="54" t="str">
        <x:v>ADMITTED</x:v>
      </x:c>
      <x:c r="F996" s="55" t="n">
        <x:v>30978</x:v>
      </x:c>
      <x:c r="G996" s="55" t="n">
        <x:v>7160</x:v>
      </x:c>
      <x:c r="H996" s="55" t="n">
        <x:v>2988</x:v>
      </x:c>
      <x:c r="I996" s="55" t="n">
        <x:v>1496</x:v>
      </x:c>
      <x:c r="J996" s="55" t="n">
        <x:v>223</x:v>
      </x:c>
      <x:c r="K996" s="55" t="n">
        <x:v>30978</x:v>
      </x:c>
      <x:c r="L996" s="55" t="n">
        <x:v>5835</x:v>
      </x:c>
      <x:c r="M996" s="55" t="n">
        <x:v>1269</x:v>
      </x:c>
      <x:c r="N996" s="55" t="n">
        <x:v>2645</x:v>
      </x:c>
      <x:c r="O996" s="55" t="n">
        <x:v>1921</x:v>
      </x:c>
      <x:c r="P996" s="55" t="n">
        <x:v>1139</x:v>
      </x:c>
      <x:c r="Q996" s="55" t="n">
        <x:v>2496</x:v>
      </x:c>
      <x:c r="R996" s="55" t="n">
        <x:v>1567</x:v>
      </x:c>
      <x:c r="S996" s="55" t="n">
        <x:v>2205</x:v>
      </x:c>
      <x:c r="T996" s="55" t="n">
        <x:v>1269</x:v>
      </x:c>
      <x:c r="U996" s="55" t="n">
        <x:v>933</x:v>
      </x:c>
      <x:c r="V996" s="55" t="n">
        <x:v>9886</x:v>
      </x:c>
      <x:c r="W996" s="55" t="n">
        <x:v>7162</x:v>
      </x:c>
      <x:c r="X996" s="55" t="n">
        <x:v>2724</x:v>
      </x:c>
      <x:c r="Y996" s="55" t="n">
        <x:v>2380</x:v>
      </x:c>
      <x:c r="Z996" s="55" t="n">
        <x:v>2995</x:v>
      </x:c>
      <x:c r="AA996" s="55" t="n">
        <x:v>2845</x:v>
      </x:c>
      <x:c r="AB996" s="55" t="n">
        <x:v>886</x:v>
      </x:c>
      <x:c r="AC996" s="55" t="n">
        <x:v>7540</x:v>
      </x:c>
      <x:c r="AD996" s="55" t="n">
        <x:v>2456</x:v>
      </x:c>
      <x:c r="AE996" s="55" t="n">
        <x:v>9922</x:v>
      </x:c>
      <x:c r="AF996" s="55" t="n">
        <x:v>9886</x:v>
      </x:c>
      <x:c r="AG996" s="55" t="n">
        <x:v>36</x:v>
      </x:c>
      <x:c r="AH996" s="55" t="n">
        <x:v>311</x:v>
      </x:c>
      <x:c r="AI996" s="55" t="n">
        <x:v>9575</x:v>
      </x:c>
      <x:c r="AJ996" s="55" t="n">
        <x:v>211</x:v>
      </x:c>
      <x:c r="AK996" s="55" t="n">
        <x:v>1199</x:v>
      </x:c>
      <x:c r="AL996" s="55" t="n">
        <x:v>1442</x:v>
      </x:c>
      <x:c r="AM996" s="55" t="n">
        <x:v>4358</x:v>
      </x:c>
      <x:c r="AN996" s="55" t="n">
        <x:v>2603</x:v>
      </x:c>
      <x:c r="AO996" s="55" t="n">
        <x:v>73</x:v>
      </x:c>
      <x:c r="AP996" s="55" t="n">
        <x:v>2159</x:v>
      </x:c>
      <x:c r="AQ996" s="55" t="n">
        <x:v>948</x:v>
      </x:c>
    </x:row>
    <x:row r="997">
      <x:c r="A997" s="54" t="str">
        <x:v>T1_SHARED_CATCHMENT</x:v>
      </x:c>
      <x:c r="B997" s="54" t="n">
        <x:v>991</x:v>
      </x:c>
      <x:c r="C997" s="54" t="str">
        <x:v>NYC-V2-R01</x:v>
      </x:c>
      <x:c r="D997" s="54" t="str">
        <x:v>V2</x:v>
      </x:c>
      <x:c r="E997" s="54" t="str">
        <x:v>ADMITTED</x:v>
      </x:c>
      <x:c r="F997" s="55" t="n">
        <x:v>32752</x:v>
      </x:c>
      <x:c r="G997" s="55" t="n">
        <x:v>8229</x:v>
      </x:c>
      <x:c r="H997" s="55" t="n">
        <x:v>2952</x:v>
      </x:c>
      <x:c r="I997" s="55" t="n">
        <x:v>1599</x:v>
      </x:c>
      <x:c r="J997" s="55" t="n">
        <x:v>237</x:v>
      </x:c>
      <x:c r="K997" s="55" t="n">
        <x:v>31229</x:v>
      </x:c>
      <x:c r="L997" s="55" t="n">
        <x:v>7105</x:v>
      </x:c>
      <x:c r="M997" s="55" t="n">
        <x:v>1630</x:v>
      </x:c>
      <x:c r="N997" s="55" t="n">
        <x:v>3465</x:v>
      </x:c>
      <x:c r="O997" s="55" t="n">
        <x:v>2010</x:v>
      </x:c>
      <x:c r="P997" s="55" t="n">
        <x:v>968</x:v>
      </x:c>
      <x:c r="Q997" s="55" t="n">
        <x:v>2699</x:v>
      </x:c>
      <x:c r="R997" s="55" t="n">
        <x:v>2297</x:v>
      </x:c>
      <x:c r="S997" s="55" t="n">
        <x:v>2696</x:v>
      </x:c>
      <x:c r="T997" s="55" t="n">
        <x:v>1360</x:v>
      </x:c>
      <x:c r="U997" s="55" t="n">
        <x:v>2267</x:v>
      </x:c>
      <x:c r="V997" s="55" t="n">
        <x:v>11123</x:v>
      </x:c>
      <x:c r="W997" s="55" t="n">
        <x:v>8070</x:v>
      </x:c>
      <x:c r="X997" s="55" t="n">
        <x:v>3053</x:v>
      </x:c>
      <x:c r="Y997" s="55" t="n">
        <x:v>2667</x:v>
      </x:c>
      <x:c r="Z997" s="55" t="n">
        <x:v>3798</x:v>
      </x:c>
      <x:c r="AA997" s="55" t="n">
        <x:v>2744</x:v>
      </x:c>
      <x:c r="AB997" s="55" t="n">
        <x:v>1289</x:v>
      </x:c>
      <x:c r="AC997" s="55" t="n">
        <x:v>7719</x:v>
      </x:c>
      <x:c r="AD997" s="55" t="n">
        <x:v>2374</x:v>
      </x:c>
      <x:c r="AE997" s="55" t="n">
        <x:v>11211</x:v>
      </x:c>
      <x:c r="AF997" s="55" t="n">
        <x:v>11123</x:v>
      </x:c>
      <x:c r="AG997" s="55" t="n">
        <x:v>88</x:v>
      </x:c>
      <x:c r="AH997" s="55" t="n">
        <x:v>509</x:v>
      </x:c>
      <x:c r="AI997" s="55" t="n">
        <x:v>10614</x:v>
      </x:c>
      <x:c r="AJ997" s="55" t="n">
        <x:v>125</x:v>
      </x:c>
      <x:c r="AK997" s="55" t="n">
        <x:v>1323</x:v>
      </x:c>
      <x:c r="AL997" s="55" t="n">
        <x:v>1596</x:v>
      </x:c>
      <x:c r="AM997" s="55" t="n">
        <x:v>5310</x:v>
      </x:c>
      <x:c r="AN997" s="55" t="n">
        <x:v>2687</x:v>
      </x:c>
      <x:c r="AO997" s="55" t="n">
        <x:v>82</x:v>
      </x:c>
      <x:c r="AP997" s="55" t="n">
        <x:v>2405</x:v>
      </x:c>
      <x:c r="AQ997" s="55" t="n">
        <x:v>955</x:v>
      </x:c>
    </x:row>
    <x:row r="998">
      <x:c r="A998" s="54" t="str">
        <x:v>T1_SHARED_CATCHMENT</x:v>
      </x:c>
      <x:c r="B998" s="54" t="n">
        <x:v>992</x:v>
      </x:c>
      <x:c r="C998" s="54" t="str">
        <x:v>NYC-V2-R01</x:v>
      </x:c>
      <x:c r="D998" s="54" t="str">
        <x:v>V2</x:v>
      </x:c>
      <x:c r="E998" s="54" t="str">
        <x:v>ADMITTED</x:v>
      </x:c>
      <x:c r="F998" s="55" t="n">
        <x:v>30728</x:v>
      </x:c>
      <x:c r="G998" s="55" t="n">
        <x:v>7281</x:v>
      </x:c>
      <x:c r="H998" s="55" t="n">
        <x:v>3189</x:v>
      </x:c>
      <x:c r="I998" s="55" t="n">
        <x:v>1123</x:v>
      </x:c>
      <x:c r="J998" s="55" t="n">
        <x:v>329</x:v>
      </x:c>
      <x:c r="K998" s="55" t="n">
        <x:v>30271</x:v>
      </x:c>
      <x:c r="L998" s="55" t="n">
        <x:v>5834</x:v>
      </x:c>
      <x:c r="M998" s="55" t="n">
        <x:v>1276</x:v>
      </x:c>
      <x:c r="N998" s="55" t="n">
        <x:v>2959</x:v>
      </x:c>
      <x:c r="O998" s="55" t="n">
        <x:v>1599</x:v>
      </x:c>
      <x:c r="P998" s="55" t="n">
        <x:v>710</x:v>
      </x:c>
      <x:c r="Q998" s="55" t="n">
        <x:v>2110</x:v>
      </x:c>
      <x:c r="R998" s="55" t="n">
        <x:v>1866</x:v>
      </x:c>
      <x:c r="S998" s="55" t="n">
        <x:v>2934</x:v>
      </x:c>
      <x:c r="T998" s="55" t="n">
        <x:v>1383</x:v>
      </x:c>
      <x:c r="U998" s="55" t="n">
        <x:v>1597</x:v>
      </x:c>
      <x:c r="V998" s="55" t="n">
        <x:v>11669</x:v>
      </x:c>
      <x:c r="W998" s="55" t="n">
        <x:v>8892</x:v>
      </x:c>
      <x:c r="X998" s="55" t="n">
        <x:v>2777</x:v>
      </x:c>
      <x:c r="Y998" s="55" t="n">
        <x:v>2241</x:v>
      </x:c>
      <x:c r="Z998" s="55" t="n">
        <x:v>3500</x:v>
      </x:c>
      <x:c r="AA998" s="55" t="n">
        <x:v>3181</x:v>
      </x:c>
      <x:c r="AB998" s="55" t="n">
        <x:v>966</x:v>
      </x:c>
      <x:c r="AC998" s="55" t="n">
        <x:v>8037</x:v>
      </x:c>
      <x:c r="AD998" s="55" t="n">
        <x:v>3175</x:v>
      </x:c>
      <x:c r="AE998" s="55" t="n">
        <x:v>11719</x:v>
      </x:c>
      <x:c r="AF998" s="55" t="n">
        <x:v>11669</x:v>
      </x:c>
      <x:c r="AG998" s="55" t="n">
        <x:v>50</x:v>
      </x:c>
      <x:c r="AH998" s="55" t="n">
        <x:v>743</x:v>
      </x:c>
      <x:c r="AI998" s="55" t="n">
        <x:v>10926</x:v>
      </x:c>
      <x:c r="AJ998" s="55" t="n">
        <x:v>543</x:v>
      </x:c>
      <x:c r="AK998" s="55" t="n">
        <x:v>1279</x:v>
      </x:c>
      <x:c r="AL998" s="55" t="n">
        <x:v>2009</x:v>
      </x:c>
      <x:c r="AM998" s="55" t="n">
        <x:v>5070</x:v>
      </x:c>
      <x:c r="AN998" s="55" t="n">
        <x:v>2757</x:v>
      </x:c>
      <x:c r="AO998" s="55" t="n">
        <x:v>11</x:v>
      </x:c>
      <x:c r="AP998" s="55" t="n">
        <x:v>2662</x:v>
      </x:c>
      <x:c r="AQ998" s="55" t="n">
        <x:v>942</x:v>
      </x:c>
    </x:row>
    <x:row r="999">
      <x:c r="A999" s="54" t="str">
        <x:v>T1_SHARED_CATCHMENT</x:v>
      </x:c>
      <x:c r="B999" s="54" t="n">
        <x:v>993</x:v>
      </x:c>
      <x:c r="C999" s="54" t="str">
        <x:v>NYC-V2-R01</x:v>
      </x:c>
      <x:c r="D999" s="54" t="str">
        <x:v>V2</x:v>
      </x:c>
      <x:c r="E999" s="54" t="str">
        <x:v>ADMITTED</x:v>
      </x:c>
      <x:c r="F999" s="55" t="n">
        <x:v>33180</x:v>
      </x:c>
      <x:c r="G999" s="55" t="n">
        <x:v>9569</x:v>
      </x:c>
      <x:c r="H999" s="55" t="n">
        <x:v>3470</x:v>
      </x:c>
      <x:c r="I999" s="55" t="n">
        <x:v>1006</x:v>
      </x:c>
      <x:c r="J999" s="55" t="n">
        <x:v>0</x:v>
      </x:c>
      <x:c r="K999" s="55" t="n">
        <x:v>30639</x:v>
      </x:c>
      <x:c r="L999" s="55" t="n">
        <x:v>5481</x:v>
      </x:c>
      <x:c r="M999" s="55" t="n">
        <x:v>1466</x:v>
      </x:c>
      <x:c r="N999" s="55" t="n">
        <x:v>2480</x:v>
      </x:c>
      <x:c r="O999" s="55" t="n">
        <x:v>1535</x:v>
      </x:c>
      <x:c r="P999" s="55" t="n">
        <x:v>569</x:v>
      </x:c>
      <x:c r="Q999" s="55" t="n">
        <x:v>1555</x:v>
      </x:c>
      <x:c r="R999" s="55" t="n">
        <x:v>2064</x:v>
      </x:c>
      <x:c r="S999" s="55" t="n">
        <x:v>2945</x:v>
      </x:c>
      <x:c r="T999" s="55" t="n">
        <x:v>1326</x:v>
      </x:c>
      <x:c r="U999" s="55" t="n">
        <x:v>2031</x:v>
      </x:c>
      <x:c r="V999" s="55" t="n">
        <x:v>10312</x:v>
      </x:c>
      <x:c r="W999" s="55" t="n">
        <x:v>7031</x:v>
      </x:c>
      <x:c r="X999" s="55" t="n">
        <x:v>3281</x:v>
      </x:c>
      <x:c r="Y999" s="55" t="n">
        <x:v>2743</x:v>
      </x:c>
      <x:c r="Z999" s="55" t="n">
        <x:v>3697</x:v>
      </x:c>
      <x:c r="AA999" s="55" t="n">
        <x:v>3470</x:v>
      </x:c>
      <x:c r="AB999" s="55" t="n">
        <x:v>1374</x:v>
      </x:c>
      <x:c r="AC999" s="55" t="n">
        <x:v>7814</x:v>
      </x:c>
      <x:c r="AD999" s="55" t="n">
        <x:v>2447</x:v>
      </x:c>
      <x:c r="AE999" s="55" t="n">
        <x:v>10364</x:v>
      </x:c>
      <x:c r="AF999" s="55" t="n">
        <x:v>10312</x:v>
      </x:c>
      <x:c r="AG999" s="55" t="n">
        <x:v>52</x:v>
      </x:c>
      <x:c r="AH999" s="55" t="n">
        <x:v>375</x:v>
      </x:c>
      <x:c r="AI999" s="55" t="n">
        <x:v>9937</x:v>
      </x:c>
      <x:c r="AJ999" s="55" t="n">
        <x:v>272</x:v>
      </x:c>
      <x:c r="AK999" s="55" t="n">
        <x:v>867</x:v>
      </x:c>
      <x:c r="AL999" s="55" t="n">
        <x:v>2328</x:v>
      </x:c>
      <x:c r="AM999" s="55" t="n">
        <x:v>4364</x:v>
      </x:c>
      <x:c r="AN999" s="55" t="n">
        <x:v>2475</x:v>
      </x:c>
      <x:c r="AO999" s="55" t="n">
        <x:v>6</x:v>
      </x:c>
      <x:c r="AP999" s="55" t="n">
        <x:v>2127</x:v>
      </x:c>
      <x:c r="AQ999" s="55" t="n">
        <x:v>958</x:v>
      </x:c>
    </x:row>
    <x:row r="1000">
      <x:c r="A1000" s="54" t="str">
        <x:v>T1_SHARED_CATCHMENT</x:v>
      </x:c>
      <x:c r="B1000" s="54" t="n">
        <x:v>994</x:v>
      </x:c>
      <x:c r="C1000" s="54" t="str">
        <x:v>NYC-V2-R01</x:v>
      </x:c>
      <x:c r="D1000" s="54" t="str">
        <x:v>V2</x:v>
      </x:c>
      <x:c r="E1000" s="54" t="str">
        <x:v>ADMITTED</x:v>
      </x:c>
      <x:c r="F1000" s="55" t="n">
        <x:v>34389</x:v>
      </x:c>
      <x:c r="G1000" s="55" t="n">
        <x:v>8071</x:v>
      </x:c>
      <x:c r="H1000" s="55" t="n">
        <x:v>3480</x:v>
      </x:c>
      <x:c r="I1000" s="55" t="n">
        <x:v>855</x:v>
      </x:c>
      <x:c r="J1000" s="55" t="n">
        <x:v>109</x:v>
      </x:c>
      <x:c r="K1000" s="55" t="n">
        <x:v>34389</x:v>
      </x:c>
      <x:c r="L1000" s="55" t="n">
        <x:v>6678</x:v>
      </x:c>
      <x:c r="M1000" s="55" t="n">
        <x:v>1822</x:v>
      </x:c>
      <x:c r="N1000" s="55" t="n">
        <x:v>2829</x:v>
      </x:c>
      <x:c r="O1000" s="55" t="n">
        <x:v>2027</x:v>
      </x:c>
      <x:c r="P1000" s="55" t="n">
        <x:v>869</x:v>
      </x:c>
      <x:c r="Q1000" s="55" t="n">
        <x:v>2457</x:v>
      </x:c>
      <x:c r="R1000" s="55" t="n">
        <x:v>1879</x:v>
      </x:c>
      <x:c r="S1000" s="55" t="n">
        <x:v>2909</x:v>
      </x:c>
      <x:c r="T1000" s="55" t="n">
        <x:v>837</x:v>
      </x:c>
      <x:c r="U1000" s="55" t="n">
        <x:v>1326</x:v>
      </x:c>
      <x:c r="V1000" s="55" t="n">
        <x:v>10389</x:v>
      </x:c>
      <x:c r="W1000" s="55" t="n">
        <x:v>7481</x:v>
      </x:c>
      <x:c r="X1000" s="55" t="n">
        <x:v>2908</x:v>
      </x:c>
      <x:c r="Y1000" s="55" t="n">
        <x:v>2492</x:v>
      </x:c>
      <x:c r="Z1000" s="55" t="n">
        <x:v>3521</x:v>
      </x:c>
      <x:c r="AA1000" s="55" t="n">
        <x:v>3480</x:v>
      </x:c>
      <x:c r="AB1000" s="55" t="n">
        <x:v>895</x:v>
      </x:c>
      <x:c r="AC1000" s="55" t="n">
        <x:v>7921</x:v>
      </x:c>
      <x:c r="AD1000" s="55" t="n">
        <x:v>3452</x:v>
      </x:c>
      <x:c r="AE1000" s="55" t="n">
        <x:v>10478</x:v>
      </x:c>
      <x:c r="AF1000" s="55" t="n">
        <x:v>10389</x:v>
      </x:c>
      <x:c r="AG1000" s="55" t="n">
        <x:v>89</x:v>
      </x:c>
      <x:c r="AH1000" s="55" t="n">
        <x:v>213</x:v>
      </x:c>
      <x:c r="AI1000" s="55" t="n">
        <x:v>10176</x:v>
      </x:c>
      <x:c r="AJ1000" s="55" t="n">
        <x:v>525</x:v>
      </x:c>
      <x:c r="AK1000" s="55" t="n">
        <x:v>720</x:v>
      </x:c>
      <x:c r="AL1000" s="55" t="n">
        <x:v>1625</x:v>
      </x:c>
      <x:c r="AM1000" s="55" t="n">
        <x:v>5094</x:v>
      </x:c>
      <x:c r="AN1000" s="55" t="n">
        <x:v>2384</x:v>
      </x:c>
      <x:c r="AO1000" s="55" t="n">
        <x:v>41</x:v>
      </x:c>
      <x:c r="AP1000" s="55" t="n">
        <x:v>2181</x:v>
      </x:c>
      <x:c r="AQ1000" s="55" t="n">
        <x:v>977</x:v>
      </x:c>
    </x:row>
    <x:row r="1001">
      <x:c r="A1001" s="54" t="str">
        <x:v>T1_SHARED_CATCHMENT</x:v>
      </x:c>
      <x:c r="B1001" s="54" t="n">
        <x:v>995</x:v>
      </x:c>
      <x:c r="C1001" s="54" t="str">
        <x:v>NYC-V2-R01</x:v>
      </x:c>
      <x:c r="D1001" s="54" t="str">
        <x:v>V2</x:v>
      </x:c>
      <x:c r="E1001" s="54" t="str">
        <x:v>ADMITTED</x:v>
      </x:c>
      <x:c r="F1001" s="55" t="n">
        <x:v>30204</x:v>
      </x:c>
      <x:c r="G1001" s="55" t="n">
        <x:v>7869</x:v>
      </x:c>
      <x:c r="H1001" s="55" t="n">
        <x:v>3198</x:v>
      </x:c>
      <x:c r="I1001" s="55" t="n">
        <x:v>862</x:v>
      </x:c>
      <x:c r="J1001" s="55" t="n">
        <x:v>193</x:v>
      </x:c>
      <x:c r="K1001" s="55" t="n">
        <x:v>29667</x:v>
      </x:c>
      <x:c r="L1001" s="55" t="n">
        <x:v>5078</x:v>
      </x:c>
      <x:c r="M1001" s="55" t="n">
        <x:v>891</x:v>
      </x:c>
      <x:c r="N1001" s="55" t="n">
        <x:v>2555</x:v>
      </x:c>
      <x:c r="O1001" s="55" t="n">
        <x:v>1632</x:v>
      </x:c>
      <x:c r="P1001" s="55" t="n">
        <x:v>1090</x:v>
      </x:c>
      <x:c r="Q1001" s="55" t="n">
        <x:v>2448</x:v>
      </x:c>
      <x:c r="R1001" s="55" t="n">
        <x:v>1696</x:v>
      </x:c>
      <x:c r="S1001" s="55" t="n">
        <x:v>2503</x:v>
      </x:c>
      <x:c r="T1001" s="55" t="n">
        <x:v>1173</x:v>
      </x:c>
      <x:c r="U1001" s="55" t="n">
        <x:v>2550</x:v>
      </x:c>
      <x:c r="V1001" s="55" t="n">
        <x:v>10132</x:v>
      </x:c>
      <x:c r="W1001" s="55" t="n">
        <x:v>7331</x:v>
      </x:c>
      <x:c r="X1001" s="55" t="n">
        <x:v>2801</x:v>
      </x:c>
      <x:c r="Y1001" s="55" t="n">
        <x:v>2558</x:v>
      </x:c>
      <x:c r="Z1001" s="55" t="n">
        <x:v>4126</x:v>
      </x:c>
      <x:c r="AA1001" s="55" t="n">
        <x:v>2880</x:v>
      </x:c>
      <x:c r="AB1001" s="55" t="n">
        <x:v>1107</x:v>
      </x:c>
      <x:c r="AC1001" s="55" t="n">
        <x:v>7987</x:v>
      </x:c>
      <x:c r="AD1001" s="55" t="n">
        <x:v>2536</x:v>
      </x:c>
      <x:c r="AE1001" s="55" t="n">
        <x:v>10159</x:v>
      </x:c>
      <x:c r="AF1001" s="55" t="n">
        <x:v>10132</x:v>
      </x:c>
      <x:c r="AG1001" s="55" t="n">
        <x:v>27</x:v>
      </x:c>
      <x:c r="AH1001" s="55" t="n">
        <x:v>396</x:v>
      </x:c>
      <x:c r="AI1001" s="55" t="n">
        <x:v>9736</x:v>
      </x:c>
      <x:c r="AJ1001" s="55" t="n">
        <x:v>120</x:v>
      </x:c>
      <x:c r="AK1001" s="55" t="n">
        <x:v>1174</x:v>
      </x:c>
      <x:c r="AL1001" s="55" t="n">
        <x:v>1773</x:v>
      </x:c>
      <x:c r="AM1001" s="55" t="n">
        <x:v>4591</x:v>
      </x:c>
      <x:c r="AN1001" s="55" t="n">
        <x:v>2369</x:v>
      </x:c>
      <x:c r="AO1001" s="55" t="n">
        <x:v>105</x:v>
      </x:c>
      <x:c r="AP1001" s="55" t="n">
        <x:v>2470</x:v>
      </x:c>
      <x:c r="AQ1001" s="55" t="n">
        <x:v>941</x:v>
      </x:c>
    </x:row>
    <x:row r="1002">
      <x:c r="A1002" s="54" t="str">
        <x:v>T1_SHARED_CATCHMENT</x:v>
      </x:c>
      <x:c r="B1002" s="54" t="n">
        <x:v>996</x:v>
      </x:c>
      <x:c r="C1002" s="54" t="str">
        <x:v>NYC-V2-R01</x:v>
      </x:c>
      <x:c r="D1002" s="54" t="str">
        <x:v>V2</x:v>
      </x:c>
      <x:c r="E1002" s="54" t="str">
        <x:v>ADMITTED</x:v>
      </x:c>
      <x:c r="F1002" s="55" t="n">
        <x:v>30923</x:v>
      </x:c>
      <x:c r="G1002" s="55" t="n">
        <x:v>8845</x:v>
      </x:c>
      <x:c r="H1002" s="55" t="n">
        <x:v>3821</x:v>
      </x:c>
      <x:c r="I1002" s="55" t="n">
        <x:v>970</x:v>
      </x:c>
      <x:c r="J1002" s="55" t="n">
        <x:v>211</x:v>
      </x:c>
      <x:c r="K1002" s="55" t="n">
        <x:v>30542</x:v>
      </x:c>
      <x:c r="L1002" s="55" t="n">
        <x:v>6875</x:v>
      </x:c>
      <x:c r="M1002" s="55" t="n">
        <x:v>2309</x:v>
      </x:c>
      <x:c r="N1002" s="55" t="n">
        <x:v>2845</x:v>
      </x:c>
      <x:c r="O1002" s="55" t="n">
        <x:v>1721</x:v>
      </x:c>
      <x:c r="P1002" s="55" t="n">
        <x:v>1079</x:v>
      </x:c>
      <x:c r="Q1002" s="55" t="n">
        <x:v>2834</x:v>
      </x:c>
      <x:c r="R1002" s="55" t="n">
        <x:v>2086</x:v>
      </x:c>
      <x:c r="S1002" s="55" t="n">
        <x:v>2306</x:v>
      </x:c>
      <x:c r="T1002" s="55" t="n">
        <x:v>1198</x:v>
      </x:c>
      <x:c r="U1002" s="55" t="n">
        <x:v>1741</x:v>
      </x:c>
      <x:c r="V1002" s="55" t="n">
        <x:v>11321</x:v>
      </x:c>
      <x:c r="W1002" s="55" t="n">
        <x:v>8347</x:v>
      </x:c>
      <x:c r="X1002" s="55" t="n">
        <x:v>2974</x:v>
      </x:c>
      <x:c r="Y1002" s="55" t="n">
        <x:v>2683</x:v>
      </x:c>
      <x:c r="Z1002" s="55" t="n">
        <x:v>3971</x:v>
      </x:c>
      <x:c r="AA1002" s="55" t="n">
        <x:v>3821</x:v>
      </x:c>
      <x:c r="AB1002" s="55" t="n">
        <x:v>1269</x:v>
      </x:c>
      <x:c r="AC1002" s="55" t="n">
        <x:v>8199</x:v>
      </x:c>
      <x:c r="AD1002" s="55" t="n">
        <x:v>3244</x:v>
      </x:c>
      <x:c r="AE1002" s="55" t="n">
        <x:v>11473</x:v>
      </x:c>
      <x:c r="AF1002" s="55" t="n">
        <x:v>11321</x:v>
      </x:c>
      <x:c r="AG1002" s="55" t="n">
        <x:v>152</x:v>
      </x:c>
      <x:c r="AH1002" s="55" t="n">
        <x:v>718</x:v>
      </x:c>
      <x:c r="AI1002" s="55" t="n">
        <x:v>10603</x:v>
      </x:c>
      <x:c r="AJ1002" s="55" t="n">
        <x:v>341</x:v>
      </x:c>
      <x:c r="AK1002" s="55" t="n">
        <x:v>1137</x:v>
      </x:c>
      <x:c r="AL1002" s="55" t="n">
        <x:v>1575</x:v>
      </x:c>
      <x:c r="AM1002" s="55" t="n">
        <x:v>5291</x:v>
      </x:c>
      <x:c r="AN1002" s="55" t="n">
        <x:v>2960</x:v>
      </x:c>
      <x:c r="AO1002" s="55" t="n">
        <x:v>17</x:v>
      </x:c>
      <x:c r="AP1002" s="55" t="n">
        <x:v>2731</x:v>
      </x:c>
      <x:c r="AQ1002" s="55" t="n">
        <x:v>981</x:v>
      </x:c>
    </x:row>
    <x:row r="1003">
      <x:c r="A1003" s="54" t="str">
        <x:v>T1_SHARED_CATCHMENT</x:v>
      </x:c>
      <x:c r="B1003" s="54" t="n">
        <x:v>997</x:v>
      </x:c>
      <x:c r="C1003" s="54" t="str">
        <x:v>NYC-V2-R01</x:v>
      </x:c>
      <x:c r="D1003" s="54" t="str">
        <x:v>V2</x:v>
      </x:c>
      <x:c r="E1003" s="54" t="str">
        <x:v>ADMITTED</x:v>
      </x:c>
      <x:c r="F1003" s="55" t="n">
        <x:v>30852</x:v>
      </x:c>
      <x:c r="G1003" s="55" t="n">
        <x:v>8047</x:v>
      </x:c>
      <x:c r="H1003" s="55" t="n">
        <x:v>2903</x:v>
      </x:c>
      <x:c r="I1003" s="55" t="n">
        <x:v>838</x:v>
      </x:c>
      <x:c r="J1003" s="55" t="n">
        <x:v>123</x:v>
      </x:c>
      <x:c r="K1003" s="55" t="n">
        <x:v>30852</x:v>
      </x:c>
      <x:c r="L1003" s="55" t="n">
        <x:v>5644</x:v>
      </x:c>
      <x:c r="M1003" s="55" t="n">
        <x:v>1559</x:v>
      </x:c>
      <x:c r="N1003" s="55" t="n">
        <x:v>2500</x:v>
      </x:c>
      <x:c r="O1003" s="55" t="n">
        <x:v>1585</x:v>
      </x:c>
      <x:c r="P1003" s="55" t="n">
        <x:v>730</x:v>
      </x:c>
      <x:c r="Q1003" s="55" t="n">
        <x:v>1184</x:v>
      </x:c>
      <x:c r="R1003" s="55" t="n">
        <x:v>2029</x:v>
      </x:c>
      <x:c r="S1003" s="55" t="n">
        <x:v>2447</x:v>
      </x:c>
      <x:c r="T1003" s="55" t="n">
        <x:v>1733</x:v>
      </x:c>
      <x:c r="U1003" s="55" t="n">
        <x:v>2152</x:v>
      </x:c>
      <x:c r="V1003" s="55" t="n">
        <x:v>10802</x:v>
      </x:c>
      <x:c r="W1003" s="55" t="n">
        <x:v>8011</x:v>
      </x:c>
      <x:c r="X1003" s="55" t="n">
        <x:v>2791</x:v>
      </x:c>
      <x:c r="Y1003" s="55" t="n">
        <x:v>2444</x:v>
      </x:c>
      <x:c r="Z1003" s="55" t="n">
        <x:v>3606</x:v>
      </x:c>
      <x:c r="AA1003" s="55" t="n">
        <x:v>2865</x:v>
      </x:c>
      <x:c r="AB1003" s="55" t="n">
        <x:v>861</x:v>
      </x:c>
      <x:c r="AC1003" s="55" t="n">
        <x:v>8121</x:v>
      </x:c>
      <x:c r="AD1003" s="55" t="n">
        <x:v>2534</x:v>
      </x:c>
      <x:c r="AE1003" s="55" t="n">
        <x:v>10828</x:v>
      </x:c>
      <x:c r="AF1003" s="55" t="n">
        <x:v>10802</x:v>
      </x:c>
      <x:c r="AG1003" s="55" t="n">
        <x:v>26</x:v>
      </x:c>
      <x:c r="AH1003" s="55" t="n">
        <x:v>272</x:v>
      </x:c>
      <x:c r="AI1003" s="55" t="n">
        <x:v>10530</x:v>
      </x:c>
      <x:c r="AJ1003" s="55" t="n">
        <x:v>434</x:v>
      </x:c>
      <x:c r="AK1003" s="55" t="n">
        <x:v>925</x:v>
      </x:c>
      <x:c r="AL1003" s="55" t="n">
        <x:v>1629</x:v>
      </x:c>
      <x:c r="AM1003" s="55" t="n">
        <x:v>5242</x:v>
      </x:c>
      <x:c r="AN1003" s="55" t="n">
        <x:v>2520</x:v>
      </x:c>
      <x:c r="AO1003" s="55" t="n">
        <x:v>52</x:v>
      </x:c>
      <x:c r="AP1003" s="55" t="n">
        <x:v>2985</x:v>
      </x:c>
      <x:c r="AQ1003" s="55" t="n">
        <x:v>968</x:v>
      </x:c>
    </x:row>
    <x:row r="1004">
      <x:c r="A1004" s="54" t="str">
        <x:v>T1_SHARED_CATCHMENT</x:v>
      </x:c>
      <x:c r="B1004" s="54" t="n">
        <x:v>998</x:v>
      </x:c>
      <x:c r="C1004" s="54" t="str">
        <x:v>NYC-V2-R01</x:v>
      </x:c>
      <x:c r="D1004" s="54" t="str">
        <x:v>V2</x:v>
      </x:c>
      <x:c r="E1004" s="54" t="str">
        <x:v>ADMITTED</x:v>
      </x:c>
      <x:c r="F1004" s="55" t="n">
        <x:v>33706</x:v>
      </x:c>
      <x:c r="G1004" s="55" t="n">
        <x:v>8288</x:v>
      </x:c>
      <x:c r="H1004" s="55" t="n">
        <x:v>3848</x:v>
      </x:c>
      <x:c r="I1004" s="55" t="n">
        <x:v>1344</x:v>
      </x:c>
      <x:c r="J1004" s="55" t="n">
        <x:v>452</x:v>
      </x:c>
      <x:c r="K1004" s="55" t="n">
        <x:v>31519</x:v>
      </x:c>
      <x:c r="L1004" s="55" t="n">
        <x:v>6139</x:v>
      </x:c>
      <x:c r="M1004" s="55" t="n">
        <x:v>1688</x:v>
      </x:c>
      <x:c r="N1004" s="55" t="n">
        <x:v>2876</x:v>
      </x:c>
      <x:c r="O1004" s="55" t="n">
        <x:v>1575</x:v>
      </x:c>
      <x:c r="P1004" s="55" t="n">
        <x:v>1247</x:v>
      </x:c>
      <x:c r="Q1004" s="55" t="n">
        <x:v>1934</x:v>
      </x:c>
      <x:c r="R1004" s="55" t="n">
        <x:v>1856</x:v>
      </x:c>
      <x:c r="S1004" s="55" t="n">
        <x:v>2867</x:v>
      </x:c>
      <x:c r="T1004" s="55" t="n">
        <x:v>1034</x:v>
      </x:c>
      <x:c r="U1004" s="55" t="n">
        <x:v>1795</x:v>
      </x:c>
      <x:c r="V1004" s="55" t="n">
        <x:v>11033</x:v>
      </x:c>
      <x:c r="W1004" s="55" t="n">
        <x:v>8096</x:v>
      </x:c>
      <x:c r="X1004" s="55" t="n">
        <x:v>2937</x:v>
      </x:c>
      <x:c r="Y1004" s="55" t="n">
        <x:v>2637</x:v>
      </x:c>
      <x:c r="Z1004" s="55" t="n">
        <x:v>4239</x:v>
      </x:c>
      <x:c r="AA1004" s="55" t="n">
        <x:v>2678</x:v>
      </x:c>
      <x:c r="AB1004" s="55" t="n">
        <x:v>998</x:v>
      </x:c>
      <x:c r="AC1004" s="55" t="n">
        <x:v>8997</x:v>
      </x:c>
      <x:c r="AD1004" s="55" t="n">
        <x:v>2418</x:v>
      </x:c>
      <x:c r="AE1004" s="55" t="n">
        <x:v>11112</x:v>
      </x:c>
      <x:c r="AF1004" s="55" t="n">
        <x:v>11033</x:v>
      </x:c>
      <x:c r="AG1004" s="55" t="n">
        <x:v>79</x:v>
      </x:c>
      <x:c r="AH1004" s="55" t="n">
        <x:v>495</x:v>
      </x:c>
      <x:c r="AI1004" s="55" t="n">
        <x:v>10538</x:v>
      </x:c>
      <x:c r="AJ1004" s="55" t="n">
        <x:v>434</x:v>
      </x:c>
      <x:c r="AK1004" s="55" t="n">
        <x:v>1128</x:v>
      </x:c>
      <x:c r="AL1004" s="55" t="n">
        <x:v>1193</x:v>
      </x:c>
      <x:c r="AM1004" s="55" t="n">
        <x:v>5210</x:v>
      </x:c>
      <x:c r="AN1004" s="55" t="n">
        <x:v>2992</x:v>
      </x:c>
      <x:c r="AO1004" s="55" t="n">
        <x:v>76</x:v>
      </x:c>
      <x:c r="AP1004" s="55" t="n">
        <x:v>2299</x:v>
      </x:c>
      <x:c r="AQ1004" s="55" t="n">
        <x:v>1007</x:v>
      </x:c>
    </x:row>
    <x:row r="1005">
      <x:c r="A1005" s="54" t="str">
        <x:v>T1_SHARED_CATCHMENT</x:v>
      </x:c>
      <x:c r="B1005" s="54" t="n">
        <x:v>999</x:v>
      </x:c>
      <x:c r="C1005" s="54" t="str">
        <x:v>NYC-V2-R01</x:v>
      </x:c>
      <x:c r="D1005" s="54" t="str">
        <x:v>V2</x:v>
      </x:c>
      <x:c r="E1005" s="54" t="str">
        <x:v>ADMITTED</x:v>
      </x:c>
      <x:c r="F1005" s="55" t="n">
        <x:v>31705</x:v>
      </x:c>
      <x:c r="G1005" s="55" t="n">
        <x:v>7974</x:v>
      </x:c>
      <x:c r="H1005" s="55" t="n">
        <x:v>3177</x:v>
      </x:c>
      <x:c r="I1005" s="55" t="n">
        <x:v>973</x:v>
      </x:c>
      <x:c r="J1005" s="55" t="n">
        <x:v>285</x:v>
      </x:c>
      <x:c r="K1005" s="55" t="n">
        <x:v>31705</x:v>
      </x:c>
      <x:c r="L1005" s="55" t="n">
        <x:v>5523</x:v>
      </x:c>
      <x:c r="M1005" s="55" t="n">
        <x:v>252</x:v>
      </x:c>
      <x:c r="N1005" s="55" t="n">
        <x:v>3167</x:v>
      </x:c>
      <x:c r="O1005" s="55" t="n">
        <x:v>2104</x:v>
      </x:c>
      <x:c r="P1005" s="55" t="n">
        <x:v>640</x:v>
      </x:c>
      <x:c r="Q1005" s="55" t="n">
        <x:v>2151</x:v>
      </x:c>
      <x:c r="R1005" s="55" t="n">
        <x:v>1705</x:v>
      </x:c>
      <x:c r="S1005" s="55" t="n">
        <x:v>2450</x:v>
      </x:c>
      <x:c r="T1005" s="55" t="n">
        <x:v>1659</x:v>
      </x:c>
      <x:c r="U1005" s="55" t="n">
        <x:v>1748</x:v>
      </x:c>
      <x:c r="V1005" s="55" t="n">
        <x:v>10606</x:v>
      </x:c>
      <x:c r="W1005" s="55" t="n">
        <x:v>7625</x:v>
      </x:c>
      <x:c r="X1005" s="55" t="n">
        <x:v>2981</x:v>
      </x:c>
      <x:c r="Y1005" s="55" t="n">
        <x:v>2597</x:v>
      </x:c>
      <x:c r="Z1005" s="55" t="n">
        <x:v>3723</x:v>
      </x:c>
      <x:c r="AA1005" s="55" t="n">
        <x:v>2762</x:v>
      </x:c>
      <x:c r="AB1005" s="55" t="n">
        <x:v>1170</x:v>
      </x:c>
      <x:c r="AC1005" s="55" t="n">
        <x:v>7938</x:v>
      </x:c>
      <x:c r="AD1005" s="55" t="n">
        <x:v>3027</x:v>
      </x:c>
      <x:c r="AE1005" s="55" t="n">
        <x:v>10693</x:v>
      </x:c>
      <x:c r="AF1005" s="55" t="n">
        <x:v>10606</x:v>
      </x:c>
      <x:c r="AG1005" s="55" t="n">
        <x:v>87</x:v>
      </x:c>
      <x:c r="AH1005" s="55" t="n">
        <x:v>377</x:v>
      </x:c>
      <x:c r="AI1005" s="55" t="n">
        <x:v>10229</x:v>
      </x:c>
      <x:c r="AJ1005" s="55" t="n">
        <x:v>140</x:v>
      </x:c>
      <x:c r="AK1005" s="55" t="n">
        <x:v>354</x:v>
      </x:c>
      <x:c r="AL1005" s="55" t="n">
        <x:v>1475</x:v>
      </x:c>
      <x:c r="AM1005" s="55" t="n">
        <x:v>5024</x:v>
      </x:c>
      <x:c r="AN1005" s="55" t="n">
        <x:v>3613</x:v>
      </x:c>
      <x:c r="AO1005" s="55" t="n">
        <x:v>0</x:v>
      </x:c>
      <x:c r="AP1005" s="55" t="n">
        <x:v>2609</x:v>
      </x:c>
      <x:c r="AQ1005" s="55" t="n">
        <x:v>925</x:v>
      </x:c>
    </x:row>
    <x:row r="1006">
      <x:c r="A1006" s="56" t="str">
        <x:v>T1_SHARED_CATCHMENT</x:v>
      </x:c>
      <x:c r="B1006" s="56" t="n">
        <x:v>1000</x:v>
      </x:c>
      <x:c r="C1006" s="56" t="str">
        <x:v>NYC-V2-R01</x:v>
      </x:c>
      <x:c r="D1006" s="56" t="str">
        <x:v>V2</x:v>
      </x:c>
      <x:c r="E1006" s="56" t="str">
        <x:v>ADMITTED</x:v>
      </x:c>
      <x:c r="F1006" s="57" t="n">
        <x:v>30233</x:v>
      </x:c>
      <x:c r="G1006" s="57" t="n">
        <x:v>7821</x:v>
      </x:c>
      <x:c r="H1006" s="57" t="n">
        <x:v>3154</x:v>
      </x:c>
      <x:c r="I1006" s="57" t="n">
        <x:v>1092</x:v>
      </x:c>
      <x:c r="J1006" s="57" t="n">
        <x:v>196</x:v>
      </x:c>
      <x:c r="K1006" s="57" t="n">
        <x:v>28366</x:v>
      </x:c>
      <x:c r="L1006" s="57" t="n">
        <x:v>5244</x:v>
      </x:c>
      <x:c r="M1006" s="57" t="n">
        <x:v>685</x:v>
      </x:c>
      <x:c r="N1006" s="57" t="n">
        <x:v>2754</x:v>
      </x:c>
      <x:c r="O1006" s="57" t="n">
        <x:v>1805</x:v>
      </x:c>
      <x:c r="P1006" s="57" t="n">
        <x:v>837</x:v>
      </x:c>
      <x:c r="Q1006" s="57" t="n">
        <x:v>2253</x:v>
      </x:c>
      <x:c r="R1006" s="57" t="n">
        <x:v>1935</x:v>
      </x:c>
      <x:c r="S1006" s="57" t="n">
        <x:v>2925</x:v>
      </x:c>
      <x:c r="T1006" s="57" t="n">
        <x:v>678</x:v>
      </x:c>
      <x:c r="U1006" s="57" t="n">
        <x:v>2312</x:v>
      </x:c>
      <x:c r="V1006" s="57" t="n">
        <x:v>10491</x:v>
      </x:c>
      <x:c r="W1006" s="57" t="n">
        <x:v>7497</x:v>
      </x:c>
      <x:c r="X1006" s="57" t="n">
        <x:v>2994</x:v>
      </x:c>
      <x:c r="Y1006" s="57" t="n">
        <x:v>2465</x:v>
      </x:c>
      <x:c r="Z1006" s="57" t="n">
        <x:v>3658</x:v>
      </x:c>
      <x:c r="AA1006" s="57" t="n">
        <x:v>2968</x:v>
      </x:c>
      <x:c r="AB1006" s="57" t="n">
        <x:v>1068</x:v>
      </x:c>
      <x:c r="AC1006" s="57" t="n">
        <x:v>8373</x:v>
      </x:c>
      <x:c r="AD1006" s="57" t="n">
        <x:v>2987</x:v>
      </x:c>
      <x:c r="AE1006" s="57" t="n">
        <x:v>10620</x:v>
      </x:c>
      <x:c r="AF1006" s="57" t="n">
        <x:v>10491</x:v>
      </x:c>
      <x:c r="AG1006" s="57" t="n">
        <x:v>129</x:v>
      </x:c>
      <x:c r="AH1006" s="57" t="n">
        <x:v>397</x:v>
      </x:c>
      <x:c r="AI1006" s="57" t="n">
        <x:v>10094</x:v>
      </x:c>
      <x:c r="AJ1006" s="57" t="n">
        <x:v>159</x:v>
      </x:c>
      <x:c r="AK1006" s="57" t="n">
        <x:v>716</x:v>
      </x:c>
      <x:c r="AL1006" s="57" t="n">
        <x:v>1842</x:v>
      </x:c>
      <x:c r="AM1006" s="57" t="n">
        <x:v>4587</x:v>
      </x:c>
      <x:c r="AN1006" s="57" t="n">
        <x:v>3187</x:v>
      </x:c>
      <x:c r="AO1006" s="57" t="n">
        <x:v>0</x:v>
      </x:c>
      <x:c r="AP1006" s="57" t="n">
        <x:v>2488</x:v>
      </x:c>
      <x:c r="AQ1006" s="57" t="n">
        <x:v>961</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xSplit="5" ySplit="6" topLeftCell="F7" activePane="bottomRight" state="frozen"/>
    </x:sheetView>
  </x:sheetViews>
  <x:sheetFormatPr defaultRowHeight="15"/>
  <x:cols>
    <x:col min="1" max="1" width="28" hidden="0" customWidth="1"/>
    <x:col min="2" max="2" width="10" hidden="0" customWidth="1"/>
    <x:col min="3" max="3" width="18" hidden="0" customWidth="1"/>
    <x:col min="4" max="4" width="11" hidden="0" customWidth="1"/>
    <x:col min="5" max="5" width="32"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17" hidden="0" customWidth="1"/>
    <x:col min="36" max="36" width="17" hidden="0" customWidth="1"/>
    <x:col min="37" max="37" width="17" hidden="0" customWidth="1"/>
    <x:col min="38" max="38" width="17" hidden="0" customWidth="1"/>
    <x:col min="39" max="39" width="17" hidden="0" customWidth="1"/>
    <x:col min="40" max="40" width="17" hidden="0" customWidth="1"/>
    <x:col min="41" max="41" width="17" hidden="0" customWidth="1"/>
    <x:col min="42" max="42" width="17" hidden="0" customWidth="1"/>
    <x:col min="43" max="43" width="17" hidden="0" customWidth="1"/>
  </x:cols>
  <x:sheetData>
    <x:row r="1">
      <x:c r="A1" s="1" t="str">
        <x:v>Candidate T2</x:v>
      </x:c>
      <x:c r="B1" s="28"/>
      <x:c r="C1" s="28"/>
      <x:c r="D1" s="28"/>
      <x:c r="E1" s="28"/>
      <x:c r="F1" s="28"/>
      <x:c r="G1" s="28"/>
      <x:c r="H1" s="28"/>
      <x:c r="I1" s="28"/>
      <x:c r="J1" s="28"/>
      <x:c r="K1" s="28"/>
      <x:c r="L1" s="28"/>
      <x:c r="M1" s="28"/>
      <x:c r="N1" s="28"/>
      <x:c r="O1" s="28"/>
      <x:c r="P1" s="28"/>
      <x:c r="Q1" s="28"/>
      <x:c r="R1" s="28"/>
      <x:c r="S1" s="28"/>
      <x:c r="T1" s="28"/>
      <x:c r="U1" s="28"/>
      <x:c r="V1" s="28"/>
      <x:c r="W1" s="28"/>
      <x:c r="X1" s="28"/>
      <x:c r="Y1" s="28"/>
      <x:c r="Z1" s="28"/>
      <x:c r="AA1" s="28"/>
      <x:c r="AB1" s="28"/>
      <x:c r="AC1" s="28"/>
      <x:c r="AD1" s="28"/>
      <x:c r="AE1" s="28"/>
      <x:c r="AF1" s="28"/>
      <x:c r="AG1" s="28"/>
      <x:c r="AH1" s="28"/>
      <x:c r="AI1" s="28"/>
      <x:c r="AJ1" s="28"/>
      <x:c r="AK1" s="28"/>
      <x:c r="AL1" s="28"/>
      <x:c r="AM1" s="28"/>
      <x:c r="AN1" s="28"/>
      <x:c r="AO1" s="28"/>
      <x:c r="AP1" s="28"/>
      <x:c r="AQ1" s="28"/>
    </x:row>
    <x:row r="2">
      <x:c r="A2" s="2" t="str">
        <x:v>T2_CONCORDANT_DOMAIN: the 1,000-member NYC-V2-R01 focal diagnostic; full 12,000-row case is hash-committed</x:v>
      </x:c>
      <x:c r="B2" s="28"/>
      <x:c r="C2" s="28"/>
      <x:c r="D2" s="28"/>
      <x:c r="E2" s="28"/>
      <x:c r="F2" s="28"/>
      <x:c r="G2" s="28"/>
      <x:c r="H2" s="28"/>
      <x:c r="I2" s="28"/>
      <x:c r="J2" s="28"/>
      <x:c r="K2" s="28"/>
      <x:c r="L2" s="28"/>
      <x:c r="M2" s="28"/>
      <x:c r="N2" s="28"/>
      <x:c r="O2" s="28"/>
      <x:c r="P2" s="28"/>
      <x:c r="Q2" s="28"/>
      <x:c r="R2" s="28"/>
      <x:c r="S2" s="28"/>
      <x:c r="T2" s="28"/>
      <x:c r="U2" s="28"/>
      <x:c r="V2" s="28"/>
      <x:c r="W2" s="28"/>
      <x:c r="X2" s="28"/>
      <x:c r="Y2" s="28"/>
      <x:c r="Z2" s="28"/>
      <x:c r="AA2" s="28"/>
      <x:c r="AB2" s="28"/>
      <x:c r="AC2" s="28"/>
      <x:c r="AD2" s="28"/>
      <x:c r="AE2" s="28"/>
      <x:c r="AF2" s="28"/>
      <x:c r="AG2" s="28"/>
      <x:c r="AH2" s="28"/>
      <x:c r="AI2" s="28"/>
      <x:c r="AJ2" s="28"/>
      <x:c r="AK2" s="28"/>
      <x:c r="AL2" s="28"/>
      <x:c r="AM2" s="28"/>
      <x:c r="AN2" s="28"/>
      <x:c r="AO2" s="28"/>
      <x:c r="AP2" s="28"/>
      <x:c r="AQ2" s="28"/>
    </x:row>
    <x:row r="3">
      <x:c r="A3" s="28"/>
      <x:c r="B3" s="28"/>
      <x:c r="C3" s="28"/>
      <x:c r="D3" s="28"/>
      <x:c r="E3" s="28"/>
      <x:c r="F3" s="28"/>
      <x:c r="G3" s="28"/>
      <x:c r="H3" s="28"/>
      <x:c r="I3" s="28"/>
      <x:c r="J3" s="28"/>
      <x:c r="K3" s="28"/>
      <x:c r="L3" s="28"/>
      <x:c r="M3" s="28"/>
      <x:c r="N3" s="28"/>
      <x:c r="O3" s="28"/>
      <x:c r="P3" s="28"/>
      <x:c r="Q3" s="28"/>
      <x:c r="R3" s="28"/>
      <x:c r="S3" s="28"/>
      <x:c r="T3" s="28"/>
      <x:c r="U3" s="28"/>
      <x:c r="V3" s="28"/>
      <x:c r="W3" s="28"/>
      <x:c r="X3" s="28"/>
      <x:c r="Y3" s="28"/>
      <x:c r="Z3" s="28"/>
      <x:c r="AA3" s="28"/>
      <x:c r="AB3" s="28"/>
      <x:c r="AC3" s="28"/>
      <x:c r="AD3" s="28"/>
      <x:c r="AE3" s="28"/>
      <x:c r="AF3" s="28"/>
      <x:c r="AG3" s="28"/>
      <x:c r="AH3" s="28"/>
      <x:c r="AI3" s="28"/>
      <x:c r="AJ3" s="28"/>
      <x:c r="AK3" s="28"/>
      <x:c r="AL3" s="28"/>
      <x:c r="AM3" s="28"/>
      <x:c r="AN3" s="28"/>
      <x:c r="AO3" s="28"/>
      <x:c r="AP3" s="28"/>
      <x:c r="AQ3" s="28"/>
    </x:row>
    <x:row r="4">
      <x:c r="A4" s="29"/>
      <x:c r="B4" s="29"/>
      <x:c r="C4" s="29"/>
      <x:c r="D4" s="29"/>
      <x:c r="E4" s="29"/>
      <x:c r="F4" s="29"/>
      <x:c r="G4" s="29"/>
      <x:c r="H4" s="29"/>
      <x:c r="I4" s="29"/>
      <x:c r="J4" s="29"/>
      <x:c r="K4" s="29"/>
      <x:c r="L4" s="29"/>
      <x:c r="M4" s="29"/>
      <x:c r="N4" s="29"/>
      <x:c r="O4" s="29"/>
      <x:c r="P4" s="29"/>
      <x:c r="Q4" s="29"/>
      <x:c r="R4" s="29"/>
      <x:c r="S4" s="29"/>
      <x:c r="T4" s="29"/>
      <x:c r="U4" s="29"/>
      <x:c r="V4" s="29"/>
      <x:c r="W4" s="29"/>
      <x:c r="X4" s="29"/>
      <x:c r="Y4" s="29"/>
      <x:c r="Z4" s="29"/>
      <x:c r="AA4" s="29"/>
      <x:c r="AB4" s="29"/>
      <x:c r="AC4" s="29"/>
      <x:c r="AD4" s="29"/>
      <x:c r="AE4" s="29"/>
      <x:c r="AF4" s="29"/>
      <x:c r="AG4" s="29"/>
      <x:c r="AH4" s="29"/>
      <x:c r="AI4" s="29"/>
      <x:c r="AJ4" s="29"/>
      <x:c r="AK4" s="29"/>
      <x:c r="AL4" s="29"/>
      <x:c r="AM4" s="29"/>
      <x:c r="AN4" s="29"/>
      <x:c r="AO4" s="29"/>
      <x:c r="AP4" s="29"/>
      <x:c r="AQ4" s="29"/>
      <x:c r="AR4" s="3"/>
      <x:c r="AS4" s="3"/>
      <x:c r="AT4" s="3"/>
      <x:c r="AU4" s="3"/>
      <x:c r="AV4" s="3"/>
      <x:c r="AW4" s="3"/>
      <x:c r="AX4" s="3"/>
      <x:c r="AY4" s="3"/>
      <x:c r="AZ4" s="3"/>
    </x:row>
    <x:row r="5">
      <x:c r="A5" s="28"/>
      <x:c r="B5" s="28"/>
      <x:c r="C5" s="28"/>
      <x:c r="D5" s="28"/>
      <x:c r="E5" s="28"/>
      <x:c r="F5" s="28"/>
      <x:c r="G5" s="28"/>
      <x:c r="H5" s="28"/>
      <x:c r="I5" s="28"/>
      <x:c r="J5" s="28"/>
      <x:c r="K5" s="28"/>
      <x:c r="L5" s="28"/>
      <x:c r="M5" s="28"/>
      <x:c r="N5" s="28"/>
      <x:c r="O5" s="28"/>
      <x:c r="P5" s="28"/>
      <x:c r="Q5" s="28"/>
      <x:c r="R5" s="28"/>
      <x:c r="S5" s="28"/>
      <x:c r="T5" s="28"/>
      <x:c r="U5" s="28"/>
      <x:c r="V5" s="28"/>
      <x:c r="W5" s="28"/>
      <x:c r="X5" s="28"/>
      <x:c r="Y5" s="28"/>
      <x:c r="Z5" s="28"/>
      <x:c r="AA5" s="28"/>
      <x:c r="AB5" s="28"/>
      <x:c r="AC5" s="28"/>
      <x:c r="AD5" s="28"/>
      <x:c r="AE5" s="28"/>
      <x:c r="AF5" s="28"/>
      <x:c r="AG5" s="28"/>
      <x:c r="AH5" s="28"/>
      <x:c r="AI5" s="28"/>
      <x:c r="AJ5" s="28"/>
      <x:c r="AK5" s="28"/>
      <x:c r="AL5" s="28"/>
      <x:c r="AM5" s="28"/>
      <x:c r="AN5" s="28"/>
      <x:c r="AO5" s="28"/>
      <x:c r="AP5" s="28"/>
      <x:c r="AQ5" s="28"/>
    </x:row>
    <x:row r="6" ht="54" customHeight="1">
      <x:c r="A6" s="16" t="str">
        <x:v>case_id</x:v>
      </x:c>
      <x:c r="B6" s="16" t="str">
        <x:v>member_id</x:v>
      </x:c>
      <x:c r="C6" s="16" t="str">
        <x:v>catchment</x:v>
      </x:c>
      <x:c r="D6" s="16" t="str">
        <x:v>archetype</x:v>
      </x:c>
      <x:c r="E6" s="16" t="str">
        <x:v>target_status</x:v>
      </x:c>
      <x:c r="F6" s="16" t="str">
        <x:v>acs_population</x:v>
      </x:c>
      <x:c r="G6" s="16" t="str">
        <x:v>age_under_18</x:v>
      </x:c>
      <x:c r="H6" s="16" t="str">
        <x:v>age_65_plus</x:v>
      </x:c>
      <x:c r="I6" s="16" t="str">
        <x:v>age_75_plus</x:v>
      </x:c>
      <x:c r="J6" s="16" t="str">
        <x:v>age_85_plus</x:v>
      </x:c>
      <x:c r="K6" s="16" t="str">
        <x:v>civilian_noninstitutionalized</x:v>
      </x:c>
      <x:c r="L6" s="16" t="str">
        <x:v>any_disability</x:v>
      </x:c>
      <x:c r="M6" s="16" t="str">
        <x:v>disability_under_18</x:v>
      </x:c>
      <x:c r="N6" s="16" t="str">
        <x:v>disability_18_64</x:v>
      </x:c>
      <x:c r="O6" s="16" t="str">
        <x:v>disability_65_plus</x:v>
      </x:c>
      <x:c r="P6" s="16" t="str">
        <x:v>hearing_difficulty</x:v>
      </x:c>
      <x:c r="Q6" s="16" t="str">
        <x:v>vision_difficulty</x:v>
      </x:c>
      <x:c r="R6" s="16" t="str">
        <x:v>cognitive_difficulty</x:v>
      </x:c>
      <x:c r="S6" s="16" t="str">
        <x:v>ambulatory_difficulty</x:v>
      </x:c>
      <x:c r="T6" s="16" t="str">
        <x:v>self_care_difficulty</x:v>
      </x:c>
      <x:c r="U6" s="16" t="str">
        <x:v>independent_living_difficulty</x:v>
      </x:c>
      <x:c r="V6" s="16" t="str">
        <x:v>households</x:v>
      </x:c>
      <x:c r="W6" s="16" t="str">
        <x:v>family_households</x:v>
      </x:c>
      <x:c r="X6" s="16" t="str">
        <x:v>nonfamily_households</x:v>
      </x:c>
      <x:c r="Y6" s="16" t="str">
        <x:v>living_alone_households</x:v>
      </x:c>
      <x:c r="Z6" s="16" t="str">
        <x:v>households_with_children</x:v>
      </x:c>
      <x:c r="AA6" s="16" t="str">
        <x:v>households_with_age65</x:v>
      </x:c>
      <x:c r="AB6" s="16" t="str">
        <x:v>age65_one_person_households</x:v>
      </x:c>
      <x:c r="AC6" s="16" t="str">
        <x:v>no_vehicle_households</x:v>
      </x:c>
      <x:c r="AD6" s="16" t="str">
        <x:v>limited_english_households</x:v>
      </x:c>
      <x:c r="AE6" s="16" t="str">
        <x:v>housing_units</x:v>
      </x:c>
      <x:c r="AF6" s="16" t="str">
        <x:v>occupied_housing_units</x:v>
      </x:c>
      <x:c r="AG6" s="16" t="str">
        <x:v>vacant_housing_units</x:v>
      </x:c>
      <x:c r="AH6" s="16" t="str">
        <x:v>owner_occupied_units</x:v>
      </x:c>
      <x:c r="AI6" s="16" t="str">
        <x:v>renter_occupied_units</x:v>
      </x:c>
      <x:c r="AJ6" s="16" t="str">
        <x:v>one_unit_structures</x:v>
      </x:c>
      <x:c r="AK6" s="16" t="str">
        <x:v>two_to_four_unit_structures</x:v>
      </x:c>
      <x:c r="AL6" s="16" t="str">
        <x:v>five_to_nineteen_unit_structures</x:v>
      </x:c>
      <x:c r="AM6" s="16" t="str">
        <x:v>twenty_to_forty_nine_unit_structures</x:v>
      </x:c>
      <x:c r="AN6" s="16" t="str">
        <x:v>fifty_plus_unit_structures</x:v>
      </x:c>
      <x:c r="AO6" s="16" t="str">
        <x:v>mobile_or_other_units</x:v>
      </x:c>
      <x:c r="AP6" s="16" t="str">
        <x:v>electric_heat_households</x:v>
      </x:c>
      <x:c r="AQ6" s="16" t="str">
        <x:v>group_quarters_population</x:v>
      </x:c>
    </x:row>
    <x:row r="7">
      <x:c r="A7" s="52" t="str">
        <x:v>T2_CONCORDANT_DOMAIN</x:v>
      </x:c>
      <x:c r="B7" s="52" t="n">
        <x:v>1</x:v>
      </x:c>
      <x:c r="C7" s="52" t="str">
        <x:v>NYC-V2-R01</x:v>
      </x:c>
      <x:c r="D7" s="52" t="str">
        <x:v>V2</x:v>
      </x:c>
      <x:c r="E7" s="52" t="str">
        <x:v>ADMITTED</x:v>
      </x:c>
      <x:c r="F7" s="53" t="n">
        <x:v>30811</x:v>
      </x:c>
      <x:c r="G7" s="53" t="n">
        <x:v>7389</x:v>
      </x:c>
      <x:c r="H7" s="53" t="n">
        <x:v>3342</x:v>
      </x:c>
      <x:c r="I7" s="53" t="n">
        <x:v>705</x:v>
      </x:c>
      <x:c r="J7" s="53" t="n">
        <x:v>130</x:v>
      </x:c>
      <x:c r="K7" s="53" t="n">
        <x:v>30811</x:v>
      </x:c>
      <x:c r="L7" s="53" t="n">
        <x:v>6140</x:v>
      </x:c>
      <x:c r="M7" s="53" t="n">
        <x:v>1472</x:v>
      </x:c>
      <x:c r="N7" s="53" t="n">
        <x:v>2906</x:v>
      </x:c>
      <x:c r="O7" s="53" t="n">
        <x:v>1762</x:v>
      </x:c>
      <x:c r="P7" s="53" t="n">
        <x:v>931</x:v>
      </x:c>
      <x:c r="Q7" s="53" t="n">
        <x:v>2922</x:v>
      </x:c>
      <x:c r="R7" s="53" t="n">
        <x:v>2300</x:v>
      </x:c>
      <x:c r="S7" s="53" t="n">
        <x:v>3565</x:v>
      </x:c>
      <x:c r="T7" s="53" t="n">
        <x:v>983</x:v>
      </x:c>
      <x:c r="U7" s="53" t="n">
        <x:v>2195</x:v>
      </x:c>
      <x:c r="V7" s="53" t="n">
        <x:v>10538</x:v>
      </x:c>
      <x:c r="W7" s="53" t="n">
        <x:v>6983</x:v>
      </x:c>
      <x:c r="X7" s="53" t="n">
        <x:v>3555</x:v>
      </x:c>
      <x:c r="Y7" s="53" t="n">
        <x:v>3150</x:v>
      </x:c>
      <x:c r="Z7" s="53" t="n">
        <x:v>3975</x:v>
      </x:c>
      <x:c r="AA7" s="53" t="n">
        <x:v>3342</x:v>
      </x:c>
      <x:c r="AB7" s="53" t="n">
        <x:v>1028</x:v>
      </x:c>
      <x:c r="AC7" s="53" t="n">
        <x:v>8512</x:v>
      </x:c>
      <x:c r="AD7" s="53" t="n">
        <x:v>3020</x:v>
      </x:c>
      <x:c r="AE7" s="53" t="n">
        <x:v>10671</x:v>
      </x:c>
      <x:c r="AF7" s="53" t="n">
        <x:v>10538</x:v>
      </x:c>
      <x:c r="AG7" s="53" t="n">
        <x:v>133</x:v>
      </x:c>
      <x:c r="AH7" s="53" t="n">
        <x:v>535</x:v>
      </x:c>
      <x:c r="AI7" s="53" t="n">
        <x:v>10003</x:v>
      </x:c>
      <x:c r="AJ7" s="53" t="n">
        <x:v>309</x:v>
      </x:c>
      <x:c r="AK7" s="53" t="n">
        <x:v>1003</x:v>
      </x:c>
      <x:c r="AL7" s="53" t="n">
        <x:v>2006</x:v>
      </x:c>
      <x:c r="AM7" s="53" t="n">
        <x:v>4825</x:v>
      </x:c>
      <x:c r="AN7" s="53" t="n">
        <x:v>2390</x:v>
      </x:c>
      <x:c r="AO7" s="53" t="n">
        <x:v>5</x:v>
      </x:c>
      <x:c r="AP7" s="53" t="n">
        <x:v>2309</x:v>
      </x:c>
      <x:c r="AQ7" s="53" t="n">
        <x:v>952</x:v>
      </x:c>
    </x:row>
    <x:row r="8">
      <x:c r="A8" s="54" t="str">
        <x:v>T2_CONCORDANT_DOMAIN</x:v>
      </x:c>
      <x:c r="B8" s="54" t="n">
        <x:v>2</x:v>
      </x:c>
      <x:c r="C8" s="54" t="str">
        <x:v>NYC-V2-R01</x:v>
      </x:c>
      <x:c r="D8" s="54" t="str">
        <x:v>V2</x:v>
      </x:c>
      <x:c r="E8" s="54" t="str">
        <x:v>ADMITTED</x:v>
      </x:c>
      <x:c r="F8" s="55" t="n">
        <x:v>30543</x:v>
      </x:c>
      <x:c r="G8" s="55" t="n">
        <x:v>7627</x:v>
      </x:c>
      <x:c r="H8" s="55" t="n">
        <x:v>3383</x:v>
      </x:c>
      <x:c r="I8" s="55" t="n">
        <x:v>971</x:v>
      </x:c>
      <x:c r="J8" s="55" t="n">
        <x:v>114</x:v>
      </x:c>
      <x:c r="K8" s="55" t="n">
        <x:v>30404</x:v>
      </x:c>
      <x:c r="L8" s="55" t="n">
        <x:v>5389</x:v>
      </x:c>
      <x:c r="M8" s="55" t="n">
        <x:v>681</x:v>
      </x:c>
      <x:c r="N8" s="55" t="n">
        <x:v>2897</x:v>
      </x:c>
      <x:c r="O8" s="55" t="n">
        <x:v>1811</x:v>
      </x:c>
      <x:c r="P8" s="55" t="n">
        <x:v>916</x:v>
      </x:c>
      <x:c r="Q8" s="55" t="n">
        <x:v>1640</x:v>
      </x:c>
      <x:c r="R8" s="55" t="n">
        <x:v>1998</x:v>
      </x:c>
      <x:c r="S8" s="55" t="n">
        <x:v>2933</x:v>
      </x:c>
      <x:c r="T8" s="55" t="n">
        <x:v>1185</x:v>
      </x:c>
      <x:c r="U8" s="55" t="n">
        <x:v>1527</x:v>
      </x:c>
      <x:c r="V8" s="55" t="n">
        <x:v>11005</x:v>
      </x:c>
      <x:c r="W8" s="55" t="n">
        <x:v>7763</x:v>
      </x:c>
      <x:c r="X8" s="55" t="n">
        <x:v>3242</x:v>
      </x:c>
      <x:c r="Y8" s="55" t="n">
        <x:v>2693</x:v>
      </x:c>
      <x:c r="Z8" s="55" t="n">
        <x:v>3804</x:v>
      </x:c>
      <x:c r="AA8" s="55" t="n">
        <x:v>3383</x:v>
      </x:c>
      <x:c r="AB8" s="55" t="n">
        <x:v>1418</x:v>
      </x:c>
      <x:c r="AC8" s="55" t="n">
        <x:v>7893</x:v>
      </x:c>
      <x:c r="AD8" s="55" t="n">
        <x:v>2694</x:v>
      </x:c>
      <x:c r="AE8" s="55" t="n">
        <x:v>11133</x:v>
      </x:c>
      <x:c r="AF8" s="55" t="n">
        <x:v>11005</x:v>
      </x:c>
      <x:c r="AG8" s="55" t="n">
        <x:v>128</x:v>
      </x:c>
      <x:c r="AH8" s="55" t="n">
        <x:v>561</x:v>
      </x:c>
      <x:c r="AI8" s="55" t="n">
        <x:v>10444</x:v>
      </x:c>
      <x:c r="AJ8" s="55" t="n">
        <x:v>349</x:v>
      </x:c>
      <x:c r="AK8" s="55" t="n">
        <x:v>1487</x:v>
      </x:c>
      <x:c r="AL8" s="55" t="n">
        <x:v>1662</x:v>
      </x:c>
      <x:c r="AM8" s="55" t="n">
        <x:v>4843</x:v>
      </x:c>
      <x:c r="AN8" s="55" t="n">
        <x:v>2664</x:v>
      </x:c>
      <x:c r="AO8" s="55" t="n">
        <x:v>0</x:v>
      </x:c>
      <x:c r="AP8" s="55" t="n">
        <x:v>2440</x:v>
      </x:c>
      <x:c r="AQ8" s="55" t="n">
        <x:v>945</x:v>
      </x:c>
    </x:row>
    <x:row r="9">
      <x:c r="A9" s="54" t="str">
        <x:v>T2_CONCORDANT_DOMAIN</x:v>
      </x:c>
      <x:c r="B9" s="54" t="n">
        <x:v>3</x:v>
      </x:c>
      <x:c r="C9" s="54" t="str">
        <x:v>NYC-V2-R01</x:v>
      </x:c>
      <x:c r="D9" s="54" t="str">
        <x:v>V2</x:v>
      </x:c>
      <x:c r="E9" s="54" t="str">
        <x:v>ADMITTED</x:v>
      </x:c>
      <x:c r="F9" s="55" t="n">
        <x:v>30580</x:v>
      </x:c>
      <x:c r="G9" s="55" t="n">
        <x:v>8524</x:v>
      </x:c>
      <x:c r="H9" s="55" t="n">
        <x:v>3387</x:v>
      </x:c>
      <x:c r="I9" s="55" t="n">
        <x:v>1425</x:v>
      </x:c>
      <x:c r="J9" s="55" t="n">
        <x:v>373</x:v>
      </x:c>
      <x:c r="K9" s="55" t="n">
        <x:v>30580</x:v>
      </x:c>
      <x:c r="L9" s="55" t="n">
        <x:v>6784</x:v>
      </x:c>
      <x:c r="M9" s="55" t="n">
        <x:v>1755</x:v>
      </x:c>
      <x:c r="N9" s="55" t="n">
        <x:v>3241</x:v>
      </x:c>
      <x:c r="O9" s="55" t="n">
        <x:v>1788</x:v>
      </x:c>
      <x:c r="P9" s="55" t="n">
        <x:v>1162</x:v>
      </x:c>
      <x:c r="Q9" s="55" t="n">
        <x:v>2632</x:v>
      </x:c>
      <x:c r="R9" s="55" t="n">
        <x:v>1973</x:v>
      </x:c>
      <x:c r="S9" s="55" t="n">
        <x:v>2892</x:v>
      </x:c>
      <x:c r="T9" s="55" t="n">
        <x:v>1160</x:v>
      </x:c>
      <x:c r="U9" s="55" t="n">
        <x:v>2155</x:v>
      </x:c>
      <x:c r="V9" s="55" t="n">
        <x:v>10377</x:v>
      </x:c>
      <x:c r="W9" s="55" t="n">
        <x:v>7273</x:v>
      </x:c>
      <x:c r="X9" s="55" t="n">
        <x:v>3104</x:v>
      </x:c>
      <x:c r="Y9" s="55" t="n">
        <x:v>2824</x:v>
      </x:c>
      <x:c r="Z9" s="55" t="n">
        <x:v>3823</x:v>
      </x:c>
      <x:c r="AA9" s="55" t="n">
        <x:v>3387</x:v>
      </x:c>
      <x:c r="AB9" s="55" t="n">
        <x:v>1061</x:v>
      </x:c>
      <x:c r="AC9" s="55" t="n">
        <x:v>7799</x:v>
      </x:c>
      <x:c r="AD9" s="55" t="n">
        <x:v>3601</x:v>
      </x:c>
      <x:c r="AE9" s="55" t="n">
        <x:v>10410</x:v>
      </x:c>
      <x:c r="AF9" s="55" t="n">
        <x:v>10377</x:v>
      </x:c>
      <x:c r="AG9" s="55" t="n">
        <x:v>33</x:v>
      </x:c>
      <x:c r="AH9" s="55" t="n">
        <x:v>330</x:v>
      </x:c>
      <x:c r="AI9" s="55" t="n">
        <x:v>10047</x:v>
      </x:c>
      <x:c r="AJ9" s="55" t="n">
        <x:v>476</x:v>
      </x:c>
      <x:c r="AK9" s="55" t="n">
        <x:v>1187</x:v>
      </x:c>
      <x:c r="AL9" s="55" t="n">
        <x:v>1416</x:v>
      </x:c>
      <x:c r="AM9" s="55" t="n">
        <x:v>4626</x:v>
      </x:c>
      <x:c r="AN9" s="55" t="n">
        <x:v>2639</x:v>
      </x:c>
      <x:c r="AO9" s="55" t="n">
        <x:v>33</x:v>
      </x:c>
      <x:c r="AP9" s="55" t="n">
        <x:v>2446</x:v>
      </x:c>
      <x:c r="AQ9" s="55" t="n">
        <x:v>943</x:v>
      </x:c>
    </x:row>
    <x:row r="10">
      <x:c r="A10" s="54" t="str">
        <x:v>T2_CONCORDANT_DOMAIN</x:v>
      </x:c>
      <x:c r="B10" s="54" t="n">
        <x:v>4</x:v>
      </x:c>
      <x:c r="C10" s="54" t="str">
        <x:v>NYC-V2-R01</x:v>
      </x:c>
      <x:c r="D10" s="54" t="str">
        <x:v>V2</x:v>
      </x:c>
      <x:c r="E10" s="54" t="str">
        <x:v>ADMITTED</x:v>
      </x:c>
      <x:c r="F10" s="55" t="n">
        <x:v>32085</x:v>
      </x:c>
      <x:c r="G10" s="55" t="n">
        <x:v>8146</x:v>
      </x:c>
      <x:c r="H10" s="55" t="n">
        <x:v>3875</x:v>
      </x:c>
      <x:c r="I10" s="55" t="n">
        <x:v>1241</x:v>
      </x:c>
      <x:c r="J10" s="55" t="n">
        <x:v>92</x:v>
      </x:c>
      <x:c r="K10" s="55" t="n">
        <x:v>32085</x:v>
      </x:c>
      <x:c r="L10" s="55" t="n">
        <x:v>5964</x:v>
      </x:c>
      <x:c r="M10" s="55" t="n">
        <x:v>974</x:v>
      </x:c>
      <x:c r="N10" s="55" t="n">
        <x:v>2853</x:v>
      </x:c>
      <x:c r="O10" s="55" t="n">
        <x:v>2137</x:v>
      </x:c>
      <x:c r="P10" s="55" t="n">
        <x:v>1252</x:v>
      </x:c>
      <x:c r="Q10" s="55" t="n">
        <x:v>2359</x:v>
      </x:c>
      <x:c r="R10" s="55" t="n">
        <x:v>1633</x:v>
      </x:c>
      <x:c r="S10" s="55" t="n">
        <x:v>2315</x:v>
      </x:c>
      <x:c r="T10" s="55" t="n">
        <x:v>1217</x:v>
      </x:c>
      <x:c r="U10" s="55" t="n">
        <x:v>1966</x:v>
      </x:c>
      <x:c r="V10" s="55" t="n">
        <x:v>10810</x:v>
      </x:c>
      <x:c r="W10" s="55" t="n">
        <x:v>7522</x:v>
      </x:c>
      <x:c r="X10" s="55" t="n">
        <x:v>3288</x:v>
      </x:c>
      <x:c r="Y10" s="55" t="n">
        <x:v>2900</x:v>
      </x:c>
      <x:c r="Z10" s="55" t="n">
        <x:v>4059</x:v>
      </x:c>
      <x:c r="AA10" s="55" t="n">
        <x:v>3875</x:v>
      </x:c>
      <x:c r="AB10" s="55" t="n">
        <x:v>1258</x:v>
      </x:c>
      <x:c r="AC10" s="55" t="n">
        <x:v>7944</x:v>
      </x:c>
      <x:c r="AD10" s="55" t="n">
        <x:v>2617</x:v>
      </x:c>
      <x:c r="AE10" s="55" t="n">
        <x:v>10855</x:v>
      </x:c>
      <x:c r="AF10" s="55" t="n">
        <x:v>10810</x:v>
      </x:c>
      <x:c r="AG10" s="55" t="n">
        <x:v>45</x:v>
      </x:c>
      <x:c r="AH10" s="55" t="n">
        <x:v>401</x:v>
      </x:c>
      <x:c r="AI10" s="55" t="n">
        <x:v>10409</x:v>
      </x:c>
      <x:c r="AJ10" s="55" t="n">
        <x:v>318</x:v>
      </x:c>
      <x:c r="AK10" s="55" t="n">
        <x:v>1110</x:v>
      </x:c>
      <x:c r="AL10" s="55" t="n">
        <x:v>1572</x:v>
      </x:c>
      <x:c r="AM10" s="55" t="n">
        <x:v>5014</x:v>
      </x:c>
      <x:c r="AN10" s="55" t="n">
        <x:v>2771</x:v>
      </x:c>
      <x:c r="AO10" s="55" t="n">
        <x:v>25</x:v>
      </x:c>
      <x:c r="AP10" s="55" t="n">
        <x:v>2497</x:v>
      </x:c>
      <x:c r="AQ10" s="55" t="n">
        <x:v>955</x:v>
      </x:c>
    </x:row>
    <x:row r="11">
      <x:c r="A11" s="54" t="str">
        <x:v>T2_CONCORDANT_DOMAIN</x:v>
      </x:c>
      <x:c r="B11" s="54" t="n">
        <x:v>5</x:v>
      </x:c>
      <x:c r="C11" s="54" t="str">
        <x:v>NYC-V2-R01</x:v>
      </x:c>
      <x:c r="D11" s="54" t="str">
        <x:v>V2</x:v>
      </x:c>
      <x:c r="E11" s="54" t="str">
        <x:v>ADMITTED</x:v>
      </x:c>
      <x:c r="F11" s="55" t="n">
        <x:v>30401</x:v>
      </x:c>
      <x:c r="G11" s="55" t="n">
        <x:v>6821</x:v>
      </x:c>
      <x:c r="H11" s="55" t="n">
        <x:v>2905</x:v>
      </x:c>
      <x:c r="I11" s="55" t="n">
        <x:v>844</x:v>
      </x:c>
      <x:c r="J11" s="55" t="n">
        <x:v>97</x:v>
      </x:c>
      <x:c r="K11" s="55" t="n">
        <x:v>27200</x:v>
      </x:c>
      <x:c r="L11" s="55" t="n">
        <x:v>4525</x:v>
      </x:c>
      <x:c r="M11" s="55" t="n">
        <x:v>402</x:v>
      </x:c>
      <x:c r="N11" s="55" t="n">
        <x:v>2448</x:v>
      </x:c>
      <x:c r="O11" s="55" t="n">
        <x:v>1675</x:v>
      </x:c>
      <x:c r="P11" s="55" t="n">
        <x:v>794</x:v>
      </x:c>
      <x:c r="Q11" s="55" t="n">
        <x:v>2499</x:v>
      </x:c>
      <x:c r="R11" s="55" t="n">
        <x:v>1573</x:v>
      </x:c>
      <x:c r="S11" s="55" t="n">
        <x:v>2649</x:v>
      </x:c>
      <x:c r="T11" s="55" t="n">
        <x:v>1024</x:v>
      </x:c>
      <x:c r="U11" s="55" t="n">
        <x:v>2397</x:v>
      </x:c>
      <x:c r="V11" s="55" t="n">
        <x:v>10467</x:v>
      </x:c>
      <x:c r="W11" s="55" t="n">
        <x:v>7548</x:v>
      </x:c>
      <x:c r="X11" s="55" t="n">
        <x:v>2919</x:v>
      </x:c>
      <x:c r="Y11" s="55" t="n">
        <x:v>2440</x:v>
      </x:c>
      <x:c r="Z11" s="55" t="n">
        <x:v>3420</x:v>
      </x:c>
      <x:c r="AA11" s="55" t="n">
        <x:v>2601</x:v>
      </x:c>
      <x:c r="AB11" s="55" t="n">
        <x:v>797</x:v>
      </x:c>
      <x:c r="AC11" s="55" t="n">
        <x:v>7793</x:v>
      </x:c>
      <x:c r="AD11" s="55" t="n">
        <x:v>2825</x:v>
      </x:c>
      <x:c r="AE11" s="55" t="n">
        <x:v>10471</x:v>
      </x:c>
      <x:c r="AF11" s="55" t="n">
        <x:v>10467</x:v>
      </x:c>
      <x:c r="AG11" s="55" t="n">
        <x:v>4</x:v>
      </x:c>
      <x:c r="AH11" s="55" t="n">
        <x:v>317</x:v>
      </x:c>
      <x:c r="AI11" s="55" t="n">
        <x:v>10150</x:v>
      </x:c>
      <x:c r="AJ11" s="55" t="n">
        <x:v>210</x:v>
      </x:c>
      <x:c r="AK11" s="55" t="n">
        <x:v>1130</x:v>
      </x:c>
      <x:c r="AL11" s="55" t="n">
        <x:v>1433</x:v>
      </x:c>
      <x:c r="AM11" s="55" t="n">
        <x:v>4992</x:v>
      </x:c>
      <x:c r="AN11" s="55" t="n">
        <x:v>2633</x:v>
      </x:c>
      <x:c r="AO11" s="55" t="n">
        <x:v>69</x:v>
      </x:c>
      <x:c r="AP11" s="55" t="n">
        <x:v>2129</x:v>
      </x:c>
      <x:c r="AQ11" s="55" t="n">
        <x:v>959</x:v>
      </x:c>
    </x:row>
    <x:row r="12">
      <x:c r="A12" s="54" t="str">
        <x:v>T2_CONCORDANT_DOMAIN</x:v>
      </x:c>
      <x:c r="B12" s="54" t="n">
        <x:v>6</x:v>
      </x:c>
      <x:c r="C12" s="54" t="str">
        <x:v>NYC-V2-R01</x:v>
      </x:c>
      <x:c r="D12" s="54" t="str">
        <x:v>V2</x:v>
      </x:c>
      <x:c r="E12" s="54" t="str">
        <x:v>ADMITTED</x:v>
      </x:c>
      <x:c r="F12" s="55" t="n">
        <x:v>29761</x:v>
      </x:c>
      <x:c r="G12" s="55" t="n">
        <x:v>6124</x:v>
      </x:c>
      <x:c r="H12" s="55" t="n">
        <x:v>3191</x:v>
      </x:c>
      <x:c r="I12" s="55" t="n">
        <x:v>1395</x:v>
      </x:c>
      <x:c r="J12" s="55" t="n">
        <x:v>229</x:v>
      </x:c>
      <x:c r="K12" s="55" t="n">
        <x:v>29761</x:v>
      </x:c>
      <x:c r="L12" s="55" t="n">
        <x:v>4938</x:v>
      </x:c>
      <x:c r="M12" s="55" t="n">
        <x:v>1277</x:v>
      </x:c>
      <x:c r="N12" s="55" t="n">
        <x:v>2181</x:v>
      </x:c>
      <x:c r="O12" s="55" t="n">
        <x:v>1480</x:v>
      </x:c>
      <x:c r="P12" s="55" t="n">
        <x:v>640</x:v>
      </x:c>
      <x:c r="Q12" s="55" t="n">
        <x:v>2652</x:v>
      </x:c>
      <x:c r="R12" s="55" t="n">
        <x:v>1674</x:v>
      </x:c>
      <x:c r="S12" s="55" t="n">
        <x:v>2163</x:v>
      </x:c>
      <x:c r="T12" s="55" t="n">
        <x:v>1049</x:v>
      </x:c>
      <x:c r="U12" s="55" t="n">
        <x:v>1644</x:v>
      </x:c>
      <x:c r="V12" s="55" t="n">
        <x:v>9762</x:v>
      </x:c>
      <x:c r="W12" s="55" t="n">
        <x:v>6656</x:v>
      </x:c>
      <x:c r="X12" s="55" t="n">
        <x:v>3106</x:v>
      </x:c>
      <x:c r="Y12" s="55" t="n">
        <x:v>2585</x:v>
      </x:c>
      <x:c r="Z12" s="55" t="n">
        <x:v>3368</x:v>
      </x:c>
      <x:c r="AA12" s="55" t="n">
        <x:v>2718</x:v>
      </x:c>
      <x:c r="AB12" s="55" t="n">
        <x:v>780</x:v>
      </x:c>
      <x:c r="AC12" s="55" t="n">
        <x:v>7598</x:v>
      </x:c>
      <x:c r="AD12" s="55" t="n">
        <x:v>3006</x:v>
      </x:c>
      <x:c r="AE12" s="55" t="n">
        <x:v>9854</x:v>
      </x:c>
      <x:c r="AF12" s="55" t="n">
        <x:v>9762</x:v>
      </x:c>
      <x:c r="AG12" s="55" t="n">
        <x:v>92</x:v>
      </x:c>
      <x:c r="AH12" s="55" t="n">
        <x:v>387</x:v>
      </x:c>
      <x:c r="AI12" s="55" t="n">
        <x:v>9375</x:v>
      </x:c>
      <x:c r="AJ12" s="55" t="n">
        <x:v>250</x:v>
      </x:c>
      <x:c r="AK12" s="55" t="n">
        <x:v>895</x:v>
      </x:c>
      <x:c r="AL12" s="55" t="n">
        <x:v>1475</x:v>
      </x:c>
      <x:c r="AM12" s="55" t="n">
        <x:v>4529</x:v>
      </x:c>
      <x:c r="AN12" s="55" t="n">
        <x:v>2586</x:v>
      </x:c>
      <x:c r="AO12" s="55" t="n">
        <x:v>27</x:v>
      </x:c>
      <x:c r="AP12" s="55" t="n">
        <x:v>2128</x:v>
      </x:c>
      <x:c r="AQ12" s="55" t="n">
        <x:v>947</x:v>
      </x:c>
    </x:row>
    <x:row r="13">
      <x:c r="A13" s="54" t="str">
        <x:v>T2_CONCORDANT_DOMAIN</x:v>
      </x:c>
      <x:c r="B13" s="54" t="n">
        <x:v>7</x:v>
      </x:c>
      <x:c r="C13" s="54" t="str">
        <x:v>NYC-V2-R01</x:v>
      </x:c>
      <x:c r="D13" s="54" t="str">
        <x:v>V2</x:v>
      </x:c>
      <x:c r="E13" s="54" t="str">
        <x:v>ADMITTED</x:v>
      </x:c>
      <x:c r="F13" s="55" t="n">
        <x:v>30745</x:v>
      </x:c>
      <x:c r="G13" s="55" t="n">
        <x:v>7817</x:v>
      </x:c>
      <x:c r="H13" s="55" t="n">
        <x:v>3225</x:v>
      </x:c>
      <x:c r="I13" s="55" t="n">
        <x:v>1225</x:v>
      </x:c>
      <x:c r="J13" s="55" t="n">
        <x:v>343</x:v>
      </x:c>
      <x:c r="K13" s="55" t="n">
        <x:v>29186</x:v>
      </x:c>
      <x:c r="L13" s="55" t="n">
        <x:v>4201</x:v>
      </x:c>
      <x:c r="M13" s="55" t="n">
        <x:v>167</x:v>
      </x:c>
      <x:c r="N13" s="55" t="n">
        <x:v>2560</x:v>
      </x:c>
      <x:c r="O13" s="55" t="n">
        <x:v>1474</x:v>
      </x:c>
      <x:c r="P13" s="55" t="n">
        <x:v>1100</x:v>
      </x:c>
      <x:c r="Q13" s="55" t="n">
        <x:v>2637</x:v>
      </x:c>
      <x:c r="R13" s="55" t="n">
        <x:v>2252</x:v>
      </x:c>
      <x:c r="S13" s="55" t="n">
        <x:v>2373</x:v>
      </x:c>
      <x:c r="T13" s="55" t="n">
        <x:v>893</x:v>
      </x:c>
      <x:c r="U13" s="55" t="n">
        <x:v>1848</x:v>
      </x:c>
      <x:c r="V13" s="55" t="n">
        <x:v>10400</x:v>
      </x:c>
      <x:c r="W13" s="55" t="n">
        <x:v>7528</x:v>
      </x:c>
      <x:c r="X13" s="55" t="n">
        <x:v>2872</x:v>
      </x:c>
      <x:c r="Y13" s="55" t="n">
        <x:v>2426</x:v>
      </x:c>
      <x:c r="Z13" s="55" t="n">
        <x:v>4267</x:v>
      </x:c>
      <x:c r="AA13" s="55" t="n">
        <x:v>3225</x:v>
      </x:c>
      <x:c r="AB13" s="55" t="n">
        <x:v>1243</x:v>
      </x:c>
      <x:c r="AC13" s="55" t="n">
        <x:v>8337</x:v>
      </x:c>
      <x:c r="AD13" s="55" t="n">
        <x:v>3184</x:v>
      </x:c>
      <x:c r="AE13" s="55" t="n">
        <x:v>10467</x:v>
      </x:c>
      <x:c r="AF13" s="55" t="n">
        <x:v>10400</x:v>
      </x:c>
      <x:c r="AG13" s="55" t="n">
        <x:v>67</x:v>
      </x:c>
      <x:c r="AH13" s="55" t="n">
        <x:v>512</x:v>
      </x:c>
      <x:c r="AI13" s="55" t="n">
        <x:v>9888</x:v>
      </x:c>
      <x:c r="AJ13" s="55" t="n">
        <x:v>352</x:v>
      </x:c>
      <x:c r="AK13" s="55" t="n">
        <x:v>639</x:v>
      </x:c>
      <x:c r="AL13" s="55" t="n">
        <x:v>1502</x:v>
      </x:c>
      <x:c r="AM13" s="55" t="n">
        <x:v>5435</x:v>
      </x:c>
      <x:c r="AN13" s="55" t="n">
        <x:v>2472</x:v>
      </x:c>
      <x:c r="AO13" s="55" t="n">
        <x:v>0</x:v>
      </x:c>
      <x:c r="AP13" s="55" t="n">
        <x:v>2125</x:v>
      </x:c>
      <x:c r="AQ13" s="55" t="n">
        <x:v>1000</x:v>
      </x:c>
    </x:row>
    <x:row r="14">
      <x:c r="A14" s="54" t="str">
        <x:v>T2_CONCORDANT_DOMAIN</x:v>
      </x:c>
      <x:c r="B14" s="54" t="n">
        <x:v>8</x:v>
      </x:c>
      <x:c r="C14" s="54" t="str">
        <x:v>NYC-V2-R01</x:v>
      </x:c>
      <x:c r="D14" s="54" t="str">
        <x:v>V2</x:v>
      </x:c>
      <x:c r="E14" s="54" t="str">
        <x:v>ADMITTED</x:v>
      </x:c>
      <x:c r="F14" s="55" t="n">
        <x:v>28235</x:v>
      </x:c>
      <x:c r="G14" s="55" t="n">
        <x:v>5700</x:v>
      </x:c>
      <x:c r="H14" s="55" t="n">
        <x:v>3062</x:v>
      </x:c>
      <x:c r="I14" s="55" t="n">
        <x:v>1191</x:v>
      </x:c>
      <x:c r="J14" s="55" t="n">
        <x:v>259</x:v>
      </x:c>
      <x:c r="K14" s="55" t="n">
        <x:v>28235</x:v>
      </x:c>
      <x:c r="L14" s="55" t="n">
        <x:v>4275</x:v>
      </x:c>
      <x:c r="M14" s="55" t="n">
        <x:v>807</x:v>
      </x:c>
      <x:c r="N14" s="55" t="n">
        <x:v>2113</x:v>
      </x:c>
      <x:c r="O14" s="55" t="n">
        <x:v>1355</x:v>
      </x:c>
      <x:c r="P14" s="55" t="n">
        <x:v>582</x:v>
      </x:c>
      <x:c r="Q14" s="55" t="n">
        <x:v>1738</x:v>
      </x:c>
      <x:c r="R14" s="55" t="n">
        <x:v>1683</x:v>
      </x:c>
      <x:c r="S14" s="55" t="n">
        <x:v>2039</x:v>
      </x:c>
      <x:c r="T14" s="55" t="n">
        <x:v>1102</x:v>
      </x:c>
      <x:c r="U14" s="55" t="n">
        <x:v>1739</x:v>
      </x:c>
      <x:c r="V14" s="55" t="n">
        <x:v>9708</x:v>
      </x:c>
      <x:c r="W14" s="55" t="n">
        <x:v>6967</x:v>
      </x:c>
      <x:c r="X14" s="55" t="n">
        <x:v>2741</x:v>
      </x:c>
      <x:c r="Y14" s="55" t="n">
        <x:v>2213</x:v>
      </x:c>
      <x:c r="Z14" s="55" t="n">
        <x:v>3938</x:v>
      </x:c>
      <x:c r="AA14" s="55" t="n">
        <x:v>2940</x:v>
      </x:c>
      <x:c r="AB14" s="55" t="n">
        <x:v>1140</x:v>
      </x:c>
      <x:c r="AC14" s="55" t="n">
        <x:v>7442</x:v>
      </x:c>
      <x:c r="AD14" s="55" t="n">
        <x:v>2137</x:v>
      </x:c>
      <x:c r="AE14" s="55" t="n">
        <x:v>9851</x:v>
      </x:c>
      <x:c r="AF14" s="55" t="n">
        <x:v>9708</x:v>
      </x:c>
      <x:c r="AG14" s="55" t="n">
        <x:v>143</x:v>
      </x:c>
      <x:c r="AH14" s="55" t="n">
        <x:v>253</x:v>
      </x:c>
      <x:c r="AI14" s="55" t="n">
        <x:v>9455</x:v>
      </x:c>
      <x:c r="AJ14" s="55" t="n">
        <x:v>396</x:v>
      </x:c>
      <x:c r="AK14" s="55" t="n">
        <x:v>670</x:v>
      </x:c>
      <x:c r="AL14" s="55" t="n">
        <x:v>1564</x:v>
      </x:c>
      <x:c r="AM14" s="55" t="n">
        <x:v>4772</x:v>
      </x:c>
      <x:c r="AN14" s="55" t="n">
        <x:v>2306</x:v>
      </x:c>
      <x:c r="AO14" s="55" t="n">
        <x:v>0</x:v>
      </x:c>
      <x:c r="AP14" s="55" t="n">
        <x:v>1960</x:v>
      </x:c>
      <x:c r="AQ14" s="55" t="n">
        <x:v>974</x:v>
      </x:c>
    </x:row>
    <x:row r="15">
      <x:c r="A15" s="54" t="str">
        <x:v>T2_CONCORDANT_DOMAIN</x:v>
      </x:c>
      <x:c r="B15" s="54" t="n">
        <x:v>9</x:v>
      </x:c>
      <x:c r="C15" s="54" t="str">
        <x:v>NYC-V2-R01</x:v>
      </x:c>
      <x:c r="D15" s="54" t="str">
        <x:v>V2</x:v>
      </x:c>
      <x:c r="E15" s="54" t="str">
        <x:v>ADMITTED</x:v>
      </x:c>
      <x:c r="F15" s="55" t="n">
        <x:v>32298</x:v>
      </x:c>
      <x:c r="G15" s="55" t="n">
        <x:v>9593</x:v>
      </x:c>
      <x:c r="H15" s="55" t="n">
        <x:v>3439</x:v>
      </x:c>
      <x:c r="I15" s="55" t="n">
        <x:v>1131</x:v>
      </x:c>
      <x:c r="J15" s="55" t="n">
        <x:v>238</x:v>
      </x:c>
      <x:c r="K15" s="55" t="n">
        <x:v>29908</x:v>
      </x:c>
      <x:c r="L15" s="55" t="n">
        <x:v>6109</x:v>
      </x:c>
      <x:c r="M15" s="55" t="n">
        <x:v>1542</x:v>
      </x:c>
      <x:c r="N15" s="55" t="n">
        <x:v>2981</x:v>
      </x:c>
      <x:c r="O15" s="55" t="n">
        <x:v>1586</x:v>
      </x:c>
      <x:c r="P15" s="55" t="n">
        <x:v>837</x:v>
      </x:c>
      <x:c r="Q15" s="55" t="n">
        <x:v>2184</x:v>
      </x:c>
      <x:c r="R15" s="55" t="n">
        <x:v>2243</x:v>
      </x:c>
      <x:c r="S15" s="55" t="n">
        <x:v>3057</x:v>
      </x:c>
      <x:c r="T15" s="55" t="n">
        <x:v>1327</x:v>
      </x:c>
      <x:c r="U15" s="55" t="n">
        <x:v>2513</x:v>
      </x:c>
      <x:c r="V15" s="55" t="n">
        <x:v>10396</x:v>
      </x:c>
      <x:c r="W15" s="55" t="n">
        <x:v>7035</x:v>
      </x:c>
      <x:c r="X15" s="55" t="n">
        <x:v>3361</x:v>
      </x:c>
      <x:c r="Y15" s="55" t="n">
        <x:v>2869</x:v>
      </x:c>
      <x:c r="Z15" s="55" t="n">
        <x:v>4543</x:v>
      </x:c>
      <x:c r="AA15" s="55" t="n">
        <x:v>3199</x:v>
      </x:c>
      <x:c r="AB15" s="55" t="n">
        <x:v>1206</x:v>
      </x:c>
      <x:c r="AC15" s="55" t="n">
        <x:v>8633</x:v>
      </x:c>
      <x:c r="AD15" s="55" t="n">
        <x:v>3934</x:v>
      </x:c>
      <x:c r="AE15" s="55" t="n">
        <x:v>10598</x:v>
      </x:c>
      <x:c r="AF15" s="55" t="n">
        <x:v>10396</x:v>
      </x:c>
      <x:c r="AG15" s="55" t="n">
        <x:v>202</x:v>
      </x:c>
      <x:c r="AH15" s="55" t="n">
        <x:v>504</x:v>
      </x:c>
      <x:c r="AI15" s="55" t="n">
        <x:v>9892</x:v>
      </x:c>
      <x:c r="AJ15" s="55" t="n">
        <x:v>418</x:v>
      </x:c>
      <x:c r="AK15" s="55" t="n">
        <x:v>1050</x:v>
      </x:c>
      <x:c r="AL15" s="55" t="n">
        <x:v>1748</x:v>
      </x:c>
      <x:c r="AM15" s="55" t="n">
        <x:v>4647</x:v>
      </x:c>
      <x:c r="AN15" s="55" t="n">
        <x:v>2354</x:v>
      </x:c>
      <x:c r="AO15" s="55" t="n">
        <x:v>179</x:v>
      </x:c>
      <x:c r="AP15" s="55" t="n">
        <x:v>2565</x:v>
      </x:c>
      <x:c r="AQ15" s="55" t="n">
        <x:v>973</x:v>
      </x:c>
    </x:row>
    <x:row r="16">
      <x:c r="A16" s="54" t="str">
        <x:v>T2_CONCORDANT_DOMAIN</x:v>
      </x:c>
      <x:c r="B16" s="54" t="n">
        <x:v>10</x:v>
      </x:c>
      <x:c r="C16" s="54" t="str">
        <x:v>NYC-V2-R01</x:v>
      </x:c>
      <x:c r="D16" s="54" t="str">
        <x:v>V2</x:v>
      </x:c>
      <x:c r="E16" s="54" t="str">
        <x:v>ADMITTED</x:v>
      </x:c>
      <x:c r="F16" s="55" t="n">
        <x:v>30361</x:v>
      </x:c>
      <x:c r="G16" s="55" t="n">
        <x:v>7476</x:v>
      </x:c>
      <x:c r="H16" s="55" t="n">
        <x:v>3249</x:v>
      </x:c>
      <x:c r="I16" s="55" t="n">
        <x:v>1411</x:v>
      </x:c>
      <x:c r="J16" s="55" t="n">
        <x:v>325</x:v>
      </x:c>
      <x:c r="K16" s="55" t="n">
        <x:v>30221</x:v>
      </x:c>
      <x:c r="L16" s="55" t="n">
        <x:v>5430</x:v>
      </x:c>
      <x:c r="M16" s="55" t="n">
        <x:v>906</x:v>
      </x:c>
      <x:c r="N16" s="55" t="n">
        <x:v>2677</x:v>
      </x:c>
      <x:c r="O16" s="55" t="n">
        <x:v>1847</x:v>
      </x:c>
      <x:c r="P16" s="55" t="n">
        <x:v>562</x:v>
      </x:c>
      <x:c r="Q16" s="55" t="n">
        <x:v>2208</x:v>
      </x:c>
      <x:c r="R16" s="55" t="n">
        <x:v>1414</x:v>
      </x:c>
      <x:c r="S16" s="55" t="n">
        <x:v>2027</x:v>
      </x:c>
      <x:c r="T16" s="55" t="n">
        <x:v>695</x:v>
      </x:c>
      <x:c r="U16" s="55" t="n">
        <x:v>1670</x:v>
      </x:c>
      <x:c r="V16" s="55" t="n">
        <x:v>9889</x:v>
      </x:c>
      <x:c r="W16" s="55" t="n">
        <x:v>6971</x:v>
      </x:c>
      <x:c r="X16" s="55" t="n">
        <x:v>2918</x:v>
      </x:c>
      <x:c r="Y16" s="55" t="n">
        <x:v>2483</x:v>
      </x:c>
      <x:c r="Z16" s="55" t="n">
        <x:v>3441</x:v>
      </x:c>
      <x:c r="AA16" s="55" t="n">
        <x:v>2923</x:v>
      </x:c>
      <x:c r="AB16" s="55" t="n">
        <x:v>980</x:v>
      </x:c>
      <x:c r="AC16" s="55" t="n">
        <x:v>7941</x:v>
      </x:c>
      <x:c r="AD16" s="55" t="n">
        <x:v>2353</x:v>
      </x:c>
      <x:c r="AE16" s="55" t="n">
        <x:v>9894</x:v>
      </x:c>
      <x:c r="AF16" s="55" t="n">
        <x:v>9889</x:v>
      </x:c>
      <x:c r="AG16" s="55" t="n">
        <x:v>5</x:v>
      </x:c>
      <x:c r="AH16" s="55" t="n">
        <x:v>223</x:v>
      </x:c>
      <x:c r="AI16" s="55" t="n">
        <x:v>9666</x:v>
      </x:c>
      <x:c r="AJ16" s="55" t="n">
        <x:v>259</x:v>
      </x:c>
      <x:c r="AK16" s="55" t="n">
        <x:v>899</x:v>
      </x:c>
      <x:c r="AL16" s="55" t="n">
        <x:v>1358</x:v>
      </x:c>
      <x:c r="AM16" s="55" t="n">
        <x:v>4828</x:v>
      </x:c>
      <x:c r="AN16" s="55" t="n">
        <x:v>2545</x:v>
      </x:c>
      <x:c r="AO16" s="55" t="n">
        <x:v>0</x:v>
      </x:c>
      <x:c r="AP16" s="55" t="n">
        <x:v>2175</x:v>
      </x:c>
      <x:c r="AQ16" s="55" t="n">
        <x:v>915</x:v>
      </x:c>
    </x:row>
    <x:row r="17">
      <x:c r="A17" s="54" t="str">
        <x:v>T2_CONCORDANT_DOMAIN</x:v>
      </x:c>
      <x:c r="B17" s="54" t="n">
        <x:v>11</x:v>
      </x:c>
      <x:c r="C17" s="54" t="str">
        <x:v>NYC-V2-R01</x:v>
      </x:c>
      <x:c r="D17" s="54" t="str">
        <x:v>V2</x:v>
      </x:c>
      <x:c r="E17" s="54" t="str">
        <x:v>ADMITTED</x:v>
      </x:c>
      <x:c r="F17" s="55" t="n">
        <x:v>32603</x:v>
      </x:c>
      <x:c r="G17" s="55" t="n">
        <x:v>8089</x:v>
      </x:c>
      <x:c r="H17" s="55" t="n">
        <x:v>3427</x:v>
      </x:c>
      <x:c r="I17" s="55" t="n">
        <x:v>1429</x:v>
      </x:c>
      <x:c r="J17" s="55" t="n">
        <x:v>325</x:v>
      </x:c>
      <x:c r="K17" s="55" t="n">
        <x:v>29045</x:v>
      </x:c>
      <x:c r="L17" s="55" t="n">
        <x:v>5985</x:v>
      </x:c>
      <x:c r="M17" s="55" t="n">
        <x:v>1540</x:v>
      </x:c>
      <x:c r="N17" s="55" t="n">
        <x:v>2792</x:v>
      </x:c>
      <x:c r="O17" s="55" t="n">
        <x:v>1653</x:v>
      </x:c>
      <x:c r="P17" s="55" t="n">
        <x:v>1171</x:v>
      </x:c>
      <x:c r="Q17" s="55" t="n">
        <x:v>2608</x:v>
      </x:c>
      <x:c r="R17" s="55" t="n">
        <x:v>2062</x:v>
      </x:c>
      <x:c r="S17" s="55" t="n">
        <x:v>3155</x:v>
      </x:c>
      <x:c r="T17" s="55" t="n">
        <x:v>1460</x:v>
      </x:c>
      <x:c r="U17" s="55" t="n">
        <x:v>2491</x:v>
      </x:c>
      <x:c r="V17" s="55" t="n">
        <x:v>11263</x:v>
      </x:c>
      <x:c r="W17" s="55" t="n">
        <x:v>8168</x:v>
      </x:c>
      <x:c r="X17" s="55" t="n">
        <x:v>3095</x:v>
      </x:c>
      <x:c r="Y17" s="55" t="n">
        <x:v>2628</x:v>
      </x:c>
      <x:c r="Z17" s="55" t="n">
        <x:v>3805</x:v>
      </x:c>
      <x:c r="AA17" s="55" t="n">
        <x:v>3225</x:v>
      </x:c>
      <x:c r="AB17" s="55" t="n">
        <x:v>938</x:v>
      </x:c>
      <x:c r="AC17" s="55" t="n">
        <x:v>8103</x:v>
      </x:c>
      <x:c r="AD17" s="55" t="n">
        <x:v>2780</x:v>
      </x:c>
      <x:c r="AE17" s="55" t="n">
        <x:v>11442</x:v>
      </x:c>
      <x:c r="AF17" s="55" t="n">
        <x:v>11263</x:v>
      </x:c>
      <x:c r="AG17" s="55" t="n">
        <x:v>179</x:v>
      </x:c>
      <x:c r="AH17" s="55" t="n">
        <x:v>621</x:v>
      </x:c>
      <x:c r="AI17" s="55" t="n">
        <x:v>10642</x:v>
      </x:c>
      <x:c r="AJ17" s="55" t="n">
        <x:v>348</x:v>
      </x:c>
      <x:c r="AK17" s="55" t="n">
        <x:v>1459</x:v>
      </x:c>
      <x:c r="AL17" s="55" t="n">
        <x:v>1795</x:v>
      </x:c>
      <x:c r="AM17" s="55" t="n">
        <x:v>4807</x:v>
      </x:c>
      <x:c r="AN17" s="55" t="n">
        <x:v>2839</x:v>
      </x:c>
      <x:c r="AO17" s="55" t="n">
        <x:v>15</x:v>
      </x:c>
      <x:c r="AP17" s="55" t="n">
        <x:v>2777</x:v>
      </x:c>
      <x:c r="AQ17" s="55" t="n">
        <x:v>977</x:v>
      </x:c>
    </x:row>
    <x:row r="18">
      <x:c r="A18" s="54" t="str">
        <x:v>T2_CONCORDANT_DOMAIN</x:v>
      </x:c>
      <x:c r="B18" s="54" t="n">
        <x:v>12</x:v>
      </x:c>
      <x:c r="C18" s="54" t="str">
        <x:v>NYC-V2-R01</x:v>
      </x:c>
      <x:c r="D18" s="54" t="str">
        <x:v>V2</x:v>
      </x:c>
      <x:c r="E18" s="54" t="str">
        <x:v>ADMITTED</x:v>
      </x:c>
      <x:c r="F18" s="55" t="n">
        <x:v>34354</x:v>
      </x:c>
      <x:c r="G18" s="55" t="n">
        <x:v>8079</x:v>
      </x:c>
      <x:c r="H18" s="55" t="n">
        <x:v>3690</x:v>
      </x:c>
      <x:c r="I18" s="55" t="n">
        <x:v>1816</x:v>
      </x:c>
      <x:c r="J18" s="55" t="n">
        <x:v>520</x:v>
      </x:c>
      <x:c r="K18" s="55" t="n">
        <x:v>34354</x:v>
      </x:c>
      <x:c r="L18" s="55" t="n">
        <x:v>7377</x:v>
      </x:c>
      <x:c r="M18" s="55" t="n">
        <x:v>2304</x:v>
      </x:c>
      <x:c r="N18" s="55" t="n">
        <x:v>2761</x:v>
      </x:c>
      <x:c r="O18" s="55" t="n">
        <x:v>2312</x:v>
      </x:c>
      <x:c r="P18" s="55" t="n">
        <x:v>1353</x:v>
      </x:c>
      <x:c r="Q18" s="55" t="n">
        <x:v>3341</x:v>
      </x:c>
      <x:c r="R18" s="55" t="n">
        <x:v>2387</x:v>
      </x:c>
      <x:c r="S18" s="55" t="n">
        <x:v>3502</x:v>
      </x:c>
      <x:c r="T18" s="55" t="n">
        <x:v>1871</x:v>
      </x:c>
      <x:c r="U18" s="55" t="n">
        <x:v>2901</x:v>
      </x:c>
      <x:c r="V18" s="55" t="n">
        <x:v>10465</x:v>
      </x:c>
      <x:c r="W18" s="55" t="n">
        <x:v>6711</x:v>
      </x:c>
      <x:c r="X18" s="55" t="n">
        <x:v>3754</x:v>
      </x:c>
      <x:c r="Y18" s="55" t="n">
        <x:v>3317</x:v>
      </x:c>
      <x:c r="Z18" s="55" t="n">
        <x:v>4578</x:v>
      </x:c>
      <x:c r="AA18" s="55" t="n">
        <x:v>3651</x:v>
      </x:c>
      <x:c r="AB18" s="55" t="n">
        <x:v>1633</x:v>
      </x:c>
      <x:c r="AC18" s="55" t="n">
        <x:v>8847</x:v>
      </x:c>
      <x:c r="AD18" s="55" t="n">
        <x:v>3690</x:v>
      </x:c>
      <x:c r="AE18" s="55" t="n">
        <x:v>10664</x:v>
      </x:c>
      <x:c r="AF18" s="55" t="n">
        <x:v>10465</x:v>
      </x:c>
      <x:c r="AG18" s="55" t="n">
        <x:v>199</x:v>
      </x:c>
      <x:c r="AH18" s="55" t="n">
        <x:v>562</x:v>
      </x:c>
      <x:c r="AI18" s="55" t="n">
        <x:v>9903</x:v>
      </x:c>
      <x:c r="AJ18" s="55" t="n">
        <x:v>499</x:v>
      </x:c>
      <x:c r="AK18" s="55" t="n">
        <x:v>1197</x:v>
      </x:c>
      <x:c r="AL18" s="55" t="n">
        <x:v>1630</x:v>
      </x:c>
      <x:c r="AM18" s="55" t="n">
        <x:v>4720</x:v>
      </x:c>
      <x:c r="AN18" s="55" t="n">
        <x:v>2303</x:v>
      </x:c>
      <x:c r="AO18" s="55" t="n">
        <x:v>116</x:v>
      </x:c>
      <x:c r="AP18" s="55" t="n">
        <x:v>2881</x:v>
      </x:c>
      <x:c r="AQ18" s="55" t="n">
        <x:v>1025</x:v>
      </x:c>
    </x:row>
    <x:row r="19">
      <x:c r="A19" s="54" t="str">
        <x:v>T2_CONCORDANT_DOMAIN</x:v>
      </x:c>
      <x:c r="B19" s="54" t="n">
        <x:v>13</x:v>
      </x:c>
      <x:c r="C19" s="54" t="str">
        <x:v>NYC-V2-R01</x:v>
      </x:c>
      <x:c r="D19" s="54" t="str">
        <x:v>V2</x:v>
      </x:c>
      <x:c r="E19" s="54" t="str">
        <x:v>ADMITTED</x:v>
      </x:c>
      <x:c r="F19" s="55" t="n">
        <x:v>32609</x:v>
      </x:c>
      <x:c r="G19" s="55" t="n">
        <x:v>8484</x:v>
      </x:c>
      <x:c r="H19" s="55" t="n">
        <x:v>3459</x:v>
      </x:c>
      <x:c r="I19" s="55" t="n">
        <x:v>1756</x:v>
      </x:c>
      <x:c r="J19" s="55" t="n">
        <x:v>354</x:v>
      </x:c>
      <x:c r="K19" s="55" t="n">
        <x:v>32609</x:v>
      </x:c>
      <x:c r="L19" s="55" t="n">
        <x:v>6628</x:v>
      </x:c>
      <x:c r="M19" s="55" t="n">
        <x:v>1633</x:v>
      </x:c>
      <x:c r="N19" s="55" t="n">
        <x:v>2986</x:v>
      </x:c>
      <x:c r="O19" s="55" t="n">
        <x:v>2009</x:v>
      </x:c>
      <x:c r="P19" s="55" t="n">
        <x:v>1110</x:v>
      </x:c>
      <x:c r="Q19" s="55" t="n">
        <x:v>2092</x:v>
      </x:c>
      <x:c r="R19" s="55" t="n">
        <x:v>1521</x:v>
      </x:c>
      <x:c r="S19" s="55" t="n">
        <x:v>3060</x:v>
      </x:c>
      <x:c r="T19" s="55" t="n">
        <x:v>1635</x:v>
      </x:c>
      <x:c r="U19" s="55" t="n">
        <x:v>2435</x:v>
      </x:c>
      <x:c r="V19" s="55" t="n">
        <x:v>10866</x:v>
      </x:c>
      <x:c r="W19" s="55" t="n">
        <x:v>7857</x:v>
      </x:c>
      <x:c r="X19" s="55" t="n">
        <x:v>3009</x:v>
      </x:c>
      <x:c r="Y19" s="55" t="n">
        <x:v>2550</x:v>
      </x:c>
      <x:c r="Z19" s="55" t="n">
        <x:v>3098</x:v>
      </x:c>
      <x:c r="AA19" s="55" t="n">
        <x:v>2722</x:v>
      </x:c>
      <x:c r="AB19" s="55" t="n">
        <x:v>1196</x:v>
      </x:c>
      <x:c r="AC19" s="55" t="n">
        <x:v>7953</x:v>
      </x:c>
      <x:c r="AD19" s="55" t="n">
        <x:v>2508</x:v>
      </x:c>
      <x:c r="AE19" s="55" t="n">
        <x:v>10988</x:v>
      </x:c>
      <x:c r="AF19" s="55" t="n">
        <x:v>10866</x:v>
      </x:c>
      <x:c r="AG19" s="55" t="n">
        <x:v>122</x:v>
      </x:c>
      <x:c r="AH19" s="55" t="n">
        <x:v>665</x:v>
      </x:c>
      <x:c r="AI19" s="55" t="n">
        <x:v>10201</x:v>
      </x:c>
      <x:c r="AJ19" s="55" t="n">
        <x:v>476</x:v>
      </x:c>
      <x:c r="AK19" s="55" t="n">
        <x:v>1217</x:v>
      </x:c>
      <x:c r="AL19" s="55" t="n">
        <x:v>1614</x:v>
      </x:c>
      <x:c r="AM19" s="55" t="n">
        <x:v>4921</x:v>
      </x:c>
      <x:c r="AN19" s="55" t="n">
        <x:v>2525</x:v>
      </x:c>
      <x:c r="AO19" s="55" t="n">
        <x:v>113</x:v>
      </x:c>
      <x:c r="AP19" s="55" t="n">
        <x:v>2960</x:v>
      </x:c>
      <x:c r="AQ19" s="55" t="n">
        <x:v>986</x:v>
      </x:c>
    </x:row>
    <x:row r="20">
      <x:c r="A20" s="54" t="str">
        <x:v>T2_CONCORDANT_DOMAIN</x:v>
      </x:c>
      <x:c r="B20" s="54" t="n">
        <x:v>14</x:v>
      </x:c>
      <x:c r="C20" s="54" t="str">
        <x:v>NYC-V2-R01</x:v>
      </x:c>
      <x:c r="D20" s="54" t="str">
        <x:v>V2</x:v>
      </x:c>
      <x:c r="E20" s="54" t="str">
        <x:v>ADMITTED</x:v>
      </x:c>
      <x:c r="F20" s="55" t="n">
        <x:v>35996</x:v>
      </x:c>
      <x:c r="G20" s="55" t="n">
        <x:v>7595</x:v>
      </x:c>
      <x:c r="H20" s="55" t="n">
        <x:v>3823</x:v>
      </x:c>
      <x:c r="I20" s="55" t="n">
        <x:v>1626</x:v>
      </x:c>
      <x:c r="J20" s="55" t="n">
        <x:v>256</x:v>
      </x:c>
      <x:c r="K20" s="55" t="n">
        <x:v>35996</x:v>
      </x:c>
      <x:c r="L20" s="55" t="n">
        <x:v>9616</x:v>
      </x:c>
      <x:c r="M20" s="55" t="n">
        <x:v>3708</x:v>
      </x:c>
      <x:c r="N20" s="55" t="n">
        <x:v>3628</x:v>
      </x:c>
      <x:c r="O20" s="55" t="n">
        <x:v>2280</x:v>
      </x:c>
      <x:c r="P20" s="55" t="n">
        <x:v>924</x:v>
      </x:c>
      <x:c r="Q20" s="55" t="n">
        <x:v>2336</x:v>
      </x:c>
      <x:c r="R20" s="55" t="n">
        <x:v>2311</x:v>
      </x:c>
      <x:c r="S20" s="55" t="n">
        <x:v>3244</x:v>
      </x:c>
      <x:c r="T20" s="55" t="n">
        <x:v>1632</x:v>
      </x:c>
      <x:c r="U20" s="55" t="n">
        <x:v>2376</x:v>
      </x:c>
      <x:c r="V20" s="55" t="n">
        <x:v>10146</x:v>
      </x:c>
      <x:c r="W20" s="55" t="n">
        <x:v>7200</x:v>
      </x:c>
      <x:c r="X20" s="55" t="n">
        <x:v>2946</x:v>
      </x:c>
      <x:c r="Y20" s="55" t="n">
        <x:v>2520</x:v>
      </x:c>
      <x:c r="Z20" s="55" t="n">
        <x:v>3955</x:v>
      </x:c>
      <x:c r="AA20" s="55" t="n">
        <x:v>3013</x:v>
      </x:c>
      <x:c r="AB20" s="55" t="n">
        <x:v>1161</x:v>
      </x:c>
      <x:c r="AC20" s="55" t="n">
        <x:v>8246</x:v>
      </x:c>
      <x:c r="AD20" s="55" t="n">
        <x:v>2555</x:v>
      </x:c>
      <x:c r="AE20" s="55" t="n">
        <x:v>10301</x:v>
      </x:c>
      <x:c r="AF20" s="55" t="n">
        <x:v>10146</x:v>
      </x:c>
      <x:c r="AG20" s="55" t="n">
        <x:v>155</x:v>
      </x:c>
      <x:c r="AH20" s="55" t="n">
        <x:v>354</x:v>
      </x:c>
      <x:c r="AI20" s="55" t="n">
        <x:v>9792</x:v>
      </x:c>
      <x:c r="AJ20" s="55" t="n">
        <x:v>343</x:v>
      </x:c>
      <x:c r="AK20" s="55" t="n">
        <x:v>1238</x:v>
      </x:c>
      <x:c r="AL20" s="55" t="n">
        <x:v>1656</x:v>
      </x:c>
      <x:c r="AM20" s="55" t="n">
        <x:v>4728</x:v>
      </x:c>
      <x:c r="AN20" s="55" t="n">
        <x:v>2120</x:v>
      </x:c>
      <x:c r="AO20" s="55" t="n">
        <x:v>61</x:v>
      </x:c>
      <x:c r="AP20" s="55" t="n">
        <x:v>2399</x:v>
      </x:c>
      <x:c r="AQ20" s="55" t="n">
        <x:v>983</x:v>
      </x:c>
    </x:row>
    <x:row r="21">
      <x:c r="A21" s="54" t="str">
        <x:v>T2_CONCORDANT_DOMAIN</x:v>
      </x:c>
      <x:c r="B21" s="54" t="n">
        <x:v>15</x:v>
      </x:c>
      <x:c r="C21" s="54" t="str">
        <x:v>NYC-V2-R01</x:v>
      </x:c>
      <x:c r="D21" s="54" t="str">
        <x:v>V2</x:v>
      </x:c>
      <x:c r="E21" s="54" t="str">
        <x:v>ADMITTED</x:v>
      </x:c>
      <x:c r="F21" s="55" t="n">
        <x:v>31272</x:v>
      </x:c>
      <x:c r="G21" s="55" t="n">
        <x:v>6240</x:v>
      </x:c>
      <x:c r="H21" s="55" t="n">
        <x:v>3175</x:v>
      </x:c>
      <x:c r="I21" s="55" t="n">
        <x:v>1190</x:v>
      </x:c>
      <x:c r="J21" s="55" t="n">
        <x:v>213</x:v>
      </x:c>
      <x:c r="K21" s="55" t="n">
        <x:v>31272</x:v>
      </x:c>
      <x:c r="L21" s="55" t="n">
        <x:v>6490</x:v>
      </x:c>
      <x:c r="M21" s="55" t="n">
        <x:v>1857</x:v>
      </x:c>
      <x:c r="N21" s="55" t="n">
        <x:v>2810</x:v>
      </x:c>
      <x:c r="O21" s="55" t="n">
        <x:v>1823</x:v>
      </x:c>
      <x:c r="P21" s="55" t="n">
        <x:v>794</x:v>
      </x:c>
      <x:c r="Q21" s="55" t="n">
        <x:v>2410</x:v>
      </x:c>
      <x:c r="R21" s="55" t="n">
        <x:v>1576</x:v>
      </x:c>
      <x:c r="S21" s="55" t="n">
        <x:v>3154</x:v>
      </x:c>
      <x:c r="T21" s="55" t="n">
        <x:v>899</x:v>
      </x:c>
      <x:c r="U21" s="55" t="n">
        <x:v>2003</x:v>
      </x:c>
      <x:c r="V21" s="55" t="n">
        <x:v>10261</x:v>
      </x:c>
      <x:c r="W21" s="55" t="n">
        <x:v>7277</x:v>
      </x:c>
      <x:c r="X21" s="55" t="n">
        <x:v>2984</x:v>
      </x:c>
      <x:c r="Y21" s="55" t="n">
        <x:v>2578</x:v>
      </x:c>
      <x:c r="Z21" s="55" t="n">
        <x:v>3586</x:v>
      </x:c>
      <x:c r="AA21" s="55" t="n">
        <x:v>3070</x:v>
      </x:c>
      <x:c r="AB21" s="55" t="n">
        <x:v>993</x:v>
      </x:c>
      <x:c r="AC21" s="55" t="n">
        <x:v>8644</x:v>
      </x:c>
      <x:c r="AD21" s="55" t="n">
        <x:v>2852</x:v>
      </x:c>
      <x:c r="AE21" s="55" t="n">
        <x:v>10313</x:v>
      </x:c>
      <x:c r="AF21" s="55" t="n">
        <x:v>10261</x:v>
      </x:c>
      <x:c r="AG21" s="55" t="n">
        <x:v>52</x:v>
      </x:c>
      <x:c r="AH21" s="55" t="n">
        <x:v>495</x:v>
      </x:c>
      <x:c r="AI21" s="55" t="n">
        <x:v>9766</x:v>
      </x:c>
      <x:c r="AJ21" s="55" t="n">
        <x:v>249</x:v>
      </x:c>
      <x:c r="AK21" s="55" t="n">
        <x:v>744</x:v>
      </x:c>
      <x:c r="AL21" s="55" t="n">
        <x:v>1576</x:v>
      </x:c>
      <x:c r="AM21" s="55" t="n">
        <x:v>4685</x:v>
      </x:c>
      <x:c r="AN21" s="55" t="n">
        <x:v>3007</x:v>
      </x:c>
      <x:c r="AO21" s="55" t="n">
        <x:v>0</x:v>
      </x:c>
      <x:c r="AP21" s="55" t="n">
        <x:v>1879</x:v>
      </x:c>
      <x:c r="AQ21" s="55" t="n">
        <x:v>984</x:v>
      </x:c>
    </x:row>
    <x:row r="22">
      <x:c r="A22" s="54" t="str">
        <x:v>T2_CONCORDANT_DOMAIN</x:v>
      </x:c>
      <x:c r="B22" s="54" t="n">
        <x:v>16</x:v>
      </x:c>
      <x:c r="C22" s="54" t="str">
        <x:v>NYC-V2-R01</x:v>
      </x:c>
      <x:c r="D22" s="54" t="str">
        <x:v>V2</x:v>
      </x:c>
      <x:c r="E22" s="54" t="str">
        <x:v>ADMITTED</x:v>
      </x:c>
      <x:c r="F22" s="55" t="n">
        <x:v>32003</x:v>
      </x:c>
      <x:c r="G22" s="55" t="n">
        <x:v>8225</x:v>
      </x:c>
      <x:c r="H22" s="55" t="n">
        <x:v>3140</x:v>
      </x:c>
      <x:c r="I22" s="55" t="n">
        <x:v>1407</x:v>
      </x:c>
      <x:c r="J22" s="55" t="n">
        <x:v>388</x:v>
      </x:c>
      <x:c r="K22" s="55" t="n">
        <x:v>31795</x:v>
      </x:c>
      <x:c r="L22" s="55" t="n">
        <x:v>6867</x:v>
      </x:c>
      <x:c r="M22" s="55" t="n">
        <x:v>2086</x:v>
      </x:c>
      <x:c r="N22" s="55" t="n">
        <x:v>2913</x:v>
      </x:c>
      <x:c r="O22" s="55" t="n">
        <x:v>1868</x:v>
      </x:c>
      <x:c r="P22" s="55" t="n">
        <x:v>544</x:v>
      </x:c>
      <x:c r="Q22" s="55" t="n">
        <x:v>3048</x:v>
      </x:c>
      <x:c r="R22" s="55" t="n">
        <x:v>2075</x:v>
      </x:c>
      <x:c r="S22" s="55" t="n">
        <x:v>2732</x:v>
      </x:c>
      <x:c r="T22" s="55" t="n">
        <x:v>1307</x:v>
      </x:c>
      <x:c r="U22" s="55" t="n">
        <x:v>2307</x:v>
      </x:c>
      <x:c r="V22" s="55" t="n">
        <x:v>10645</x:v>
      </x:c>
      <x:c r="W22" s="55" t="n">
        <x:v>7512</x:v>
      </x:c>
      <x:c r="X22" s="55" t="n">
        <x:v>3133</x:v>
      </x:c>
      <x:c r="Y22" s="55" t="n">
        <x:v>2529</x:v>
      </x:c>
      <x:c r="Z22" s="55" t="n">
        <x:v>4054</x:v>
      </x:c>
      <x:c r="AA22" s="55" t="n">
        <x:v>2782</x:v>
      </x:c>
      <x:c r="AB22" s="55" t="n">
        <x:v>1196</x:v>
      </x:c>
      <x:c r="AC22" s="55" t="n">
        <x:v>8323</x:v>
      </x:c>
      <x:c r="AD22" s="55" t="n">
        <x:v>3382</x:v>
      </x:c>
      <x:c r="AE22" s="55" t="n">
        <x:v>10711</x:v>
      </x:c>
      <x:c r="AF22" s="55" t="n">
        <x:v>10645</x:v>
      </x:c>
      <x:c r="AG22" s="55" t="n">
        <x:v>66</x:v>
      </x:c>
      <x:c r="AH22" s="55" t="n">
        <x:v>581</x:v>
      </x:c>
      <x:c r="AI22" s="55" t="n">
        <x:v>10064</x:v>
      </x:c>
      <x:c r="AJ22" s="55" t="n">
        <x:v>404</x:v>
      </x:c>
      <x:c r="AK22" s="55" t="n">
        <x:v>890</x:v>
      </x:c>
      <x:c r="AL22" s="55" t="n">
        <x:v>1614</x:v>
      </x:c>
      <x:c r="AM22" s="55" t="n">
        <x:v>5178</x:v>
      </x:c>
      <x:c r="AN22" s="55" t="n">
        <x:v>2529</x:v>
      </x:c>
      <x:c r="AO22" s="55" t="n">
        <x:v>30</x:v>
      </x:c>
      <x:c r="AP22" s="55" t="n">
        <x:v>3143</x:v>
      </x:c>
      <x:c r="AQ22" s="55" t="n">
        <x:v>979</x:v>
      </x:c>
    </x:row>
    <x:row r="23">
      <x:c r="A23" s="54" t="str">
        <x:v>T2_CONCORDANT_DOMAIN</x:v>
      </x:c>
      <x:c r="B23" s="54" t="n">
        <x:v>17</x:v>
      </x:c>
      <x:c r="C23" s="54" t="str">
        <x:v>NYC-V2-R01</x:v>
      </x:c>
      <x:c r="D23" s="54" t="str">
        <x:v>V2</x:v>
      </x:c>
      <x:c r="E23" s="54" t="str">
        <x:v>ADMITTED</x:v>
      </x:c>
      <x:c r="F23" s="55" t="n">
        <x:v>30585</x:v>
      </x:c>
      <x:c r="G23" s="55" t="n">
        <x:v>5299</x:v>
      </x:c>
      <x:c r="H23" s="55" t="n">
        <x:v>3051</x:v>
      </x:c>
      <x:c r="I23" s="55" t="n">
        <x:v>1145</x:v>
      </x:c>
      <x:c r="J23" s="55" t="n">
        <x:v>129</x:v>
      </x:c>
      <x:c r="K23" s="55" t="n">
        <x:v>30585</x:v>
      </x:c>
      <x:c r="L23" s="55" t="n">
        <x:v>5164</x:v>
      </x:c>
      <x:c r="M23" s="55" t="n">
        <x:v>851</x:v>
      </x:c>
      <x:c r="N23" s="55" t="n">
        <x:v>2458</x:v>
      </x:c>
      <x:c r="O23" s="55" t="n">
        <x:v>1855</x:v>
      </x:c>
      <x:c r="P23" s="55" t="n">
        <x:v>584</x:v>
      </x:c>
      <x:c r="Q23" s="55" t="n">
        <x:v>3074</x:v>
      </x:c>
      <x:c r="R23" s="55" t="n">
        <x:v>1820</x:v>
      </x:c>
      <x:c r="S23" s="55" t="n">
        <x:v>2671</x:v>
      </x:c>
      <x:c r="T23" s="55" t="n">
        <x:v>924</x:v>
      </x:c>
      <x:c r="U23" s="55" t="n">
        <x:v>2065</x:v>
      </x:c>
      <x:c r="V23" s="55" t="n">
        <x:v>9452</x:v>
      </x:c>
      <x:c r="W23" s="55" t="n">
        <x:v>6502</x:v>
      </x:c>
      <x:c r="X23" s="55" t="n">
        <x:v>2950</x:v>
      </x:c>
      <x:c r="Y23" s="55" t="n">
        <x:v>2563</x:v>
      </x:c>
      <x:c r="Z23" s="55" t="n">
        <x:v>3332</x:v>
      </x:c>
      <x:c r="AA23" s="55" t="n">
        <x:v>2781</x:v>
      </x:c>
      <x:c r="AB23" s="55" t="n">
        <x:v>952</x:v>
      </x:c>
      <x:c r="AC23" s="55" t="n">
        <x:v>7845</x:v>
      </x:c>
      <x:c r="AD23" s="55" t="n">
        <x:v>2442</x:v>
      </x:c>
      <x:c r="AE23" s="55" t="n">
        <x:v>9527</x:v>
      </x:c>
      <x:c r="AF23" s="55" t="n">
        <x:v>9452</x:v>
      </x:c>
      <x:c r="AG23" s="55" t="n">
        <x:v>75</x:v>
      </x:c>
      <x:c r="AH23" s="55" t="n">
        <x:v>310</x:v>
      </x:c>
      <x:c r="AI23" s="55" t="n">
        <x:v>9142</x:v>
      </x:c>
      <x:c r="AJ23" s="55" t="n">
        <x:v>123</x:v>
      </x:c>
      <x:c r="AK23" s="55" t="n">
        <x:v>883</x:v>
      </x:c>
      <x:c r="AL23" s="55" t="n">
        <x:v>1069</x:v>
      </x:c>
      <x:c r="AM23" s="55" t="n">
        <x:v>4814</x:v>
      </x:c>
      <x:c r="AN23" s="55" t="n">
        <x:v>2563</x:v>
      </x:c>
      <x:c r="AO23" s="55" t="n">
        <x:v>0</x:v>
      </x:c>
      <x:c r="AP23" s="55" t="n">
        <x:v>1957</x:v>
      </x:c>
      <x:c r="AQ23" s="55" t="n">
        <x:v>897</x:v>
      </x:c>
    </x:row>
    <x:row r="24">
      <x:c r="A24" s="54" t="str">
        <x:v>T2_CONCORDANT_DOMAIN</x:v>
      </x:c>
      <x:c r="B24" s="54" t="n">
        <x:v>18</x:v>
      </x:c>
      <x:c r="C24" s="54" t="str">
        <x:v>NYC-V2-R01</x:v>
      </x:c>
      <x:c r="D24" s="54" t="str">
        <x:v>V2</x:v>
      </x:c>
      <x:c r="E24" s="54" t="str">
        <x:v>ADMITTED</x:v>
      </x:c>
      <x:c r="F24" s="55" t="n">
        <x:v>32907</x:v>
      </x:c>
      <x:c r="G24" s="55" t="n">
        <x:v>8654</x:v>
      </x:c>
      <x:c r="H24" s="55" t="n">
        <x:v>2832</x:v>
      </x:c>
      <x:c r="I24" s="55" t="n">
        <x:v>994</x:v>
      </x:c>
      <x:c r="J24" s="55" t="n">
        <x:v>104</x:v>
      </x:c>
      <x:c r="K24" s="55" t="n">
        <x:v>32907</x:v>
      </x:c>
      <x:c r="L24" s="55" t="n">
        <x:v>6408</x:v>
      </x:c>
      <x:c r="M24" s="55" t="n">
        <x:v>1870</x:v>
      </x:c>
      <x:c r="N24" s="55" t="n">
        <x:v>2801</x:v>
      </x:c>
      <x:c r="O24" s="55" t="n">
        <x:v>1737</x:v>
      </x:c>
      <x:c r="P24" s="55" t="n">
        <x:v>845</x:v>
      </x:c>
      <x:c r="Q24" s="55" t="n">
        <x:v>3103</x:v>
      </x:c>
      <x:c r="R24" s="55" t="n">
        <x:v>1558</x:v>
      </x:c>
      <x:c r="S24" s="55" t="n">
        <x:v>2309</x:v>
      </x:c>
      <x:c r="T24" s="55" t="n">
        <x:v>1639</x:v>
      </x:c>
      <x:c r="U24" s="55" t="n">
        <x:v>2055</x:v>
      </x:c>
      <x:c r="V24" s="55" t="n">
        <x:v>10378</x:v>
      </x:c>
      <x:c r="W24" s="55" t="n">
        <x:v>7499</x:v>
      </x:c>
      <x:c r="X24" s="55" t="n">
        <x:v>2879</x:v>
      </x:c>
      <x:c r="Y24" s="55" t="n">
        <x:v>2320</x:v>
      </x:c>
      <x:c r="Z24" s="55" t="n">
        <x:v>3389</x:v>
      </x:c>
      <x:c r="AA24" s="55" t="n">
        <x:v>2832</x:v>
      </x:c>
      <x:c r="AB24" s="55" t="n">
        <x:v>1150</x:v>
      </x:c>
      <x:c r="AC24" s="55" t="n">
        <x:v>7699</x:v>
      </x:c>
      <x:c r="AD24" s="55" t="n">
        <x:v>2609</x:v>
      </x:c>
      <x:c r="AE24" s="55" t="n">
        <x:v>10455</x:v>
      </x:c>
      <x:c r="AF24" s="55" t="n">
        <x:v>10378</x:v>
      </x:c>
      <x:c r="AG24" s="55" t="n">
        <x:v>77</x:v>
      </x:c>
      <x:c r="AH24" s="55" t="n">
        <x:v>428</x:v>
      </x:c>
      <x:c r="AI24" s="55" t="n">
        <x:v>9950</x:v>
      </x:c>
      <x:c r="AJ24" s="55" t="n">
        <x:v>237</x:v>
      </x:c>
      <x:c r="AK24" s="55" t="n">
        <x:v>962</x:v>
      </x:c>
      <x:c r="AL24" s="55" t="n">
        <x:v>1551</x:v>
      </x:c>
      <x:c r="AM24" s="55" t="n">
        <x:v>4681</x:v>
      </x:c>
      <x:c r="AN24" s="55" t="n">
        <x:v>2935</x:v>
      </x:c>
      <x:c r="AO24" s="55" t="n">
        <x:v>12</x:v>
      </x:c>
      <x:c r="AP24" s="55" t="n">
        <x:v>2357</x:v>
      </x:c>
      <x:c r="AQ24" s="55" t="n">
        <x:v>957</x:v>
      </x:c>
    </x:row>
    <x:row r="25">
      <x:c r="A25" s="54" t="str">
        <x:v>T2_CONCORDANT_DOMAIN</x:v>
      </x:c>
      <x:c r="B25" s="54" t="n">
        <x:v>19</x:v>
      </x:c>
      <x:c r="C25" s="54" t="str">
        <x:v>NYC-V2-R01</x:v>
      </x:c>
      <x:c r="D25" s="54" t="str">
        <x:v>V2</x:v>
      </x:c>
      <x:c r="E25" s="54" t="str">
        <x:v>ADMITTED</x:v>
      </x:c>
      <x:c r="F25" s="55" t="n">
        <x:v>28918</x:v>
      </x:c>
      <x:c r="G25" s="55" t="n">
        <x:v>6512</x:v>
      </x:c>
      <x:c r="H25" s="55" t="n">
        <x:v>2984</x:v>
      </x:c>
      <x:c r="I25" s="55" t="n">
        <x:v>1100</x:v>
      </x:c>
      <x:c r="J25" s="55" t="n">
        <x:v>276</x:v>
      </x:c>
      <x:c r="K25" s="55" t="n">
        <x:v>27614</x:v>
      </x:c>
      <x:c r="L25" s="55" t="n">
        <x:v>3477</x:v>
      </x:c>
      <x:c r="M25" s="55" t="n">
        <x:v>0</x:v>
      </x:c>
      <x:c r="N25" s="55" t="n">
        <x:v>1884</x:v>
      </x:c>
      <x:c r="O25" s="55" t="n">
        <x:v>1593</x:v>
      </x:c>
      <x:c r="P25" s="55" t="n">
        <x:v>763</x:v>
      </x:c>
      <x:c r="Q25" s="55" t="n">
        <x:v>2293</x:v>
      </x:c>
      <x:c r="R25" s="55" t="n">
        <x:v>1220</x:v>
      </x:c>
      <x:c r="S25" s="55" t="n">
        <x:v>1474</x:v>
      </x:c>
      <x:c r="T25" s="55" t="n">
        <x:v>783</x:v>
      </x:c>
      <x:c r="U25" s="55" t="n">
        <x:v>1937</x:v>
      </x:c>
      <x:c r="V25" s="55" t="n">
        <x:v>10080</x:v>
      </x:c>
      <x:c r="W25" s="55" t="n">
        <x:v>7360</x:v>
      </x:c>
      <x:c r="X25" s="55" t="n">
        <x:v>2720</x:v>
      </x:c>
      <x:c r="Y25" s="55" t="n">
        <x:v>2296</x:v>
      </x:c>
      <x:c r="Z25" s="55" t="n">
        <x:v>3166</x:v>
      </x:c>
      <x:c r="AA25" s="55" t="n">
        <x:v>2843</x:v>
      </x:c>
      <x:c r="AB25" s="55" t="n">
        <x:v>1032</x:v>
      </x:c>
      <x:c r="AC25" s="55" t="n">
        <x:v>7506</x:v>
      </x:c>
      <x:c r="AD25" s="55" t="n">
        <x:v>2497</x:v>
      </x:c>
      <x:c r="AE25" s="55" t="n">
        <x:v>10137</x:v>
      </x:c>
      <x:c r="AF25" s="55" t="n">
        <x:v>10080</x:v>
      </x:c>
      <x:c r="AG25" s="55" t="n">
        <x:v>57</x:v>
      </x:c>
      <x:c r="AH25" s="55" t="n">
        <x:v>440</x:v>
      </x:c>
      <x:c r="AI25" s="55" t="n">
        <x:v>9640</x:v>
      </x:c>
      <x:c r="AJ25" s="55" t="n">
        <x:v>281</x:v>
      </x:c>
      <x:c r="AK25" s="55" t="n">
        <x:v>721</x:v>
      </x:c>
      <x:c r="AL25" s="55" t="n">
        <x:v>1667</x:v>
      </x:c>
      <x:c r="AM25" s="55" t="n">
        <x:v>5094</x:v>
      </x:c>
      <x:c r="AN25" s="55" t="n">
        <x:v>2317</x:v>
      </x:c>
      <x:c r="AO25" s="55" t="n">
        <x:v>0</x:v>
      </x:c>
      <x:c r="AP25" s="55" t="n">
        <x:v>2189</x:v>
      </x:c>
      <x:c r="AQ25" s="55" t="n">
        <x:v>907</x:v>
      </x:c>
    </x:row>
    <x:row r="26">
      <x:c r="A26" s="54" t="str">
        <x:v>T2_CONCORDANT_DOMAIN</x:v>
      </x:c>
      <x:c r="B26" s="54" t="n">
        <x:v>20</x:v>
      </x:c>
      <x:c r="C26" s="54" t="str">
        <x:v>NYC-V2-R01</x:v>
      </x:c>
      <x:c r="D26" s="54" t="str">
        <x:v>V2</x:v>
      </x:c>
      <x:c r="E26" s="54" t="str">
        <x:v>ADMITTED</x:v>
      </x:c>
      <x:c r="F26" s="55" t="n">
        <x:v>33329</x:v>
      </x:c>
      <x:c r="G26" s="55" t="n">
        <x:v>8505</x:v>
      </x:c>
      <x:c r="H26" s="55" t="n">
        <x:v>3278</x:v>
      </x:c>
      <x:c r="I26" s="55" t="n">
        <x:v>1343</x:v>
      </x:c>
      <x:c r="J26" s="55" t="n">
        <x:v>186</x:v>
      </x:c>
      <x:c r="K26" s="55" t="n">
        <x:v>33329</x:v>
      </x:c>
      <x:c r="L26" s="55" t="n">
        <x:v>7164</x:v>
      </x:c>
      <x:c r="M26" s="55" t="n">
        <x:v>1897</x:v>
      </x:c>
      <x:c r="N26" s="55" t="n">
        <x:v>3309</x:v>
      </x:c>
      <x:c r="O26" s="55" t="n">
        <x:v>1958</x:v>
      </x:c>
      <x:c r="P26" s="55" t="n">
        <x:v>902</x:v>
      </x:c>
      <x:c r="Q26" s="55" t="n">
        <x:v>2828</x:v>
      </x:c>
      <x:c r="R26" s="55" t="n">
        <x:v>1907</x:v>
      </x:c>
      <x:c r="S26" s="55" t="n">
        <x:v>3449</x:v>
      </x:c>
      <x:c r="T26" s="55" t="n">
        <x:v>1328</x:v>
      </x:c>
      <x:c r="U26" s="55" t="n">
        <x:v>2227</x:v>
      </x:c>
      <x:c r="V26" s="55" t="n">
        <x:v>11302</x:v>
      </x:c>
      <x:c r="W26" s="55" t="n">
        <x:v>8435</x:v>
      </x:c>
      <x:c r="X26" s="55" t="n">
        <x:v>2867</x:v>
      </x:c>
      <x:c r="Y26" s="55" t="n">
        <x:v>2442</x:v>
      </x:c>
      <x:c r="Z26" s="55" t="n">
        <x:v>3893</x:v>
      </x:c>
      <x:c r="AA26" s="55" t="n">
        <x:v>3085</x:v>
      </x:c>
      <x:c r="AB26" s="55" t="n">
        <x:v>1295</x:v>
      </x:c>
      <x:c r="AC26" s="55" t="n">
        <x:v>8108</x:v>
      </x:c>
      <x:c r="AD26" s="55" t="n">
        <x:v>3527</x:v>
      </x:c>
      <x:c r="AE26" s="55" t="n">
        <x:v>11429</x:v>
      </x:c>
      <x:c r="AF26" s="55" t="n">
        <x:v>11302</x:v>
      </x:c>
      <x:c r="AG26" s="55" t="n">
        <x:v>127</x:v>
      </x:c>
      <x:c r="AH26" s="55" t="n">
        <x:v>629</x:v>
      </x:c>
      <x:c r="AI26" s="55" t="n">
        <x:v>10673</x:v>
      </x:c>
      <x:c r="AJ26" s="55" t="n">
        <x:v>254</x:v>
      </x:c>
      <x:c r="AK26" s="55" t="n">
        <x:v>1205</x:v>
      </x:c>
      <x:c r="AL26" s="55" t="n">
        <x:v>2052</x:v>
      </x:c>
      <x:c r="AM26" s="55" t="n">
        <x:v>5253</x:v>
      </x:c>
      <x:c r="AN26" s="55" t="n">
        <x:v>2478</x:v>
      </x:c>
      <x:c r="AO26" s="55" t="n">
        <x:v>60</x:v>
      </x:c>
      <x:c r="AP26" s="55" t="n">
        <x:v>2296</x:v>
      </x:c>
      <x:c r="AQ26" s="55" t="n">
        <x:v>932</x:v>
      </x:c>
    </x:row>
    <x:row r="27">
      <x:c r="A27" s="54" t="str">
        <x:v>T2_CONCORDANT_DOMAIN</x:v>
      </x:c>
      <x:c r="B27" s="54" t="n">
        <x:v>21</x:v>
      </x:c>
      <x:c r="C27" s="54" t="str">
        <x:v>NYC-V2-R01</x:v>
      </x:c>
      <x:c r="D27" s="54" t="str">
        <x:v>V2</x:v>
      </x:c>
      <x:c r="E27" s="54" t="str">
        <x:v>ADMITTED</x:v>
      </x:c>
      <x:c r="F27" s="55" t="n">
        <x:v>30034</x:v>
      </x:c>
      <x:c r="G27" s="55" t="n">
        <x:v>7172</x:v>
      </x:c>
      <x:c r="H27" s="55" t="n">
        <x:v>3472</x:v>
      </x:c>
      <x:c r="I27" s="55" t="n">
        <x:v>1449</x:v>
      </x:c>
      <x:c r="J27" s="55" t="n">
        <x:v>178</x:v>
      </x:c>
      <x:c r="K27" s="55" t="n">
        <x:v>30034</x:v>
      </x:c>
      <x:c r="L27" s="55" t="n">
        <x:v>5472</x:v>
      </x:c>
      <x:c r="M27" s="55" t="n">
        <x:v>982</x:v>
      </x:c>
      <x:c r="N27" s="55" t="n">
        <x:v>3090</x:v>
      </x:c>
      <x:c r="O27" s="55" t="n">
        <x:v>1400</x:v>
      </x:c>
      <x:c r="P27" s="55" t="n">
        <x:v>805</x:v>
      </x:c>
      <x:c r="Q27" s="55" t="n">
        <x:v>2310</x:v>
      </x:c>
      <x:c r="R27" s="55" t="n">
        <x:v>2513</x:v>
      </x:c>
      <x:c r="S27" s="55" t="n">
        <x:v>2753</x:v>
      </x:c>
      <x:c r="T27" s="55" t="n">
        <x:v>1259</x:v>
      </x:c>
      <x:c r="U27" s="55" t="n">
        <x:v>2239</x:v>
      </x:c>
      <x:c r="V27" s="55" t="n">
        <x:v>10120</x:v>
      </x:c>
      <x:c r="W27" s="55" t="n">
        <x:v>6915</x:v>
      </x:c>
      <x:c r="X27" s="55" t="n">
        <x:v>3205</x:v>
      </x:c>
      <x:c r="Y27" s="55" t="n">
        <x:v>2698</x:v>
      </x:c>
      <x:c r="Z27" s="55" t="n">
        <x:v>3969</x:v>
      </x:c>
      <x:c r="AA27" s="55" t="n">
        <x:v>3472</x:v>
      </x:c>
      <x:c r="AB27" s="55" t="n">
        <x:v>1226</x:v>
      </x:c>
      <x:c r="AC27" s="55" t="n">
        <x:v>8138</x:v>
      </x:c>
      <x:c r="AD27" s="55" t="n">
        <x:v>3079</x:v>
      </x:c>
      <x:c r="AE27" s="55" t="n">
        <x:v>10211</x:v>
      </x:c>
      <x:c r="AF27" s="55" t="n">
        <x:v>10120</x:v>
      </x:c>
      <x:c r="AG27" s="55" t="n">
        <x:v>91</x:v>
      </x:c>
      <x:c r="AH27" s="55" t="n">
        <x:v>0</x:v>
      </x:c>
      <x:c r="AI27" s="55" t="n">
        <x:v>10120</x:v>
      </x:c>
      <x:c r="AJ27" s="55" t="n">
        <x:v>284</x:v>
      </x:c>
      <x:c r="AK27" s="55" t="n">
        <x:v>1212</x:v>
      </x:c>
      <x:c r="AL27" s="55" t="n">
        <x:v>1056</x:v>
      </x:c>
      <x:c r="AM27" s="55" t="n">
        <x:v>4622</x:v>
      </x:c>
      <x:c r="AN27" s="55" t="n">
        <x:v>2946</x:v>
      </x:c>
      <x:c r="AO27" s="55" t="n">
        <x:v>0</x:v>
      </x:c>
      <x:c r="AP27" s="55" t="n">
        <x:v>2176</x:v>
      </x:c>
      <x:c r="AQ27" s="55" t="n">
        <x:v>948</x:v>
      </x:c>
    </x:row>
    <x:row r="28">
      <x:c r="A28" s="54" t="str">
        <x:v>T2_CONCORDANT_DOMAIN</x:v>
      </x:c>
      <x:c r="B28" s="54" t="n">
        <x:v>22</x:v>
      </x:c>
      <x:c r="C28" s="54" t="str">
        <x:v>NYC-V2-R01</x:v>
      </x:c>
      <x:c r="D28" s="54" t="str">
        <x:v>V2</x:v>
      </x:c>
      <x:c r="E28" s="54" t="str">
        <x:v>ADMITTED</x:v>
      </x:c>
      <x:c r="F28" s="55" t="n">
        <x:v>33221</x:v>
      </x:c>
      <x:c r="G28" s="55" t="n">
        <x:v>6424</x:v>
      </x:c>
      <x:c r="H28" s="55" t="n">
        <x:v>3200</x:v>
      </x:c>
      <x:c r="I28" s="55" t="n">
        <x:v>1224</x:v>
      </x:c>
      <x:c r="J28" s="55" t="n">
        <x:v>138</x:v>
      </x:c>
      <x:c r="K28" s="55" t="n">
        <x:v>33221</x:v>
      </x:c>
      <x:c r="L28" s="55" t="n">
        <x:v>7450</x:v>
      </x:c>
      <x:c r="M28" s="55" t="n">
        <x:v>2270</x:v>
      </x:c>
      <x:c r="N28" s="55" t="n">
        <x:v>3257</x:v>
      </x:c>
      <x:c r="O28" s="55" t="n">
        <x:v>1923</x:v>
      </x:c>
      <x:c r="P28" s="55" t="n">
        <x:v>945</x:v>
      </x:c>
      <x:c r="Q28" s="55" t="n">
        <x:v>3210</x:v>
      </x:c>
      <x:c r="R28" s="55" t="n">
        <x:v>2090</x:v>
      </x:c>
      <x:c r="S28" s="55" t="n">
        <x:v>3326</x:v>
      </x:c>
      <x:c r="T28" s="55" t="n">
        <x:v>1138</x:v>
      </x:c>
      <x:c r="U28" s="55" t="n">
        <x:v>2135</x:v>
      </x:c>
      <x:c r="V28" s="55" t="n">
        <x:v>10900</x:v>
      </x:c>
      <x:c r="W28" s="55" t="n">
        <x:v>7579</x:v>
      </x:c>
      <x:c r="X28" s="55" t="n">
        <x:v>3321</x:v>
      </x:c>
      <x:c r="Y28" s="55" t="n">
        <x:v>2883</x:v>
      </x:c>
      <x:c r="Z28" s="55" t="n">
        <x:v>4405</x:v>
      </x:c>
      <x:c r="AA28" s="55" t="n">
        <x:v>2830</x:v>
      </x:c>
      <x:c r="AB28" s="55" t="n">
        <x:v>1055</x:v>
      </x:c>
      <x:c r="AC28" s="55" t="n">
        <x:v>8164</x:v>
      </x:c>
      <x:c r="AD28" s="55" t="n">
        <x:v>2527</x:v>
      </x:c>
      <x:c r="AE28" s="55" t="n">
        <x:v>10985</x:v>
      </x:c>
      <x:c r="AF28" s="55" t="n">
        <x:v>10900</x:v>
      </x:c>
      <x:c r="AG28" s="55" t="n">
        <x:v>85</x:v>
      </x:c>
      <x:c r="AH28" s="55" t="n">
        <x:v>311</x:v>
      </x:c>
      <x:c r="AI28" s="55" t="n">
        <x:v>10589</x:v>
      </x:c>
      <x:c r="AJ28" s="55" t="n">
        <x:v>392</x:v>
      </x:c>
      <x:c r="AK28" s="55" t="n">
        <x:v>1349</x:v>
      </x:c>
      <x:c r="AL28" s="55" t="n">
        <x:v>1746</x:v>
      </x:c>
      <x:c r="AM28" s="55" t="n">
        <x:v>4572</x:v>
      </x:c>
      <x:c r="AN28" s="55" t="n">
        <x:v>2841</x:v>
      </x:c>
      <x:c r="AO28" s="55" t="n">
        <x:v>0</x:v>
      </x:c>
      <x:c r="AP28" s="55" t="n">
        <x:v>2931</x:v>
      </x:c>
      <x:c r="AQ28" s="55" t="n">
        <x:v>942</x:v>
      </x:c>
    </x:row>
    <x:row r="29">
      <x:c r="A29" s="54" t="str">
        <x:v>T2_CONCORDANT_DOMAIN</x:v>
      </x:c>
      <x:c r="B29" s="54" t="n">
        <x:v>23</x:v>
      </x:c>
      <x:c r="C29" s="54" t="str">
        <x:v>NYC-V2-R01</x:v>
      </x:c>
      <x:c r="D29" s="54" t="str">
        <x:v>V2</x:v>
      </x:c>
      <x:c r="E29" s="54" t="str">
        <x:v>ADMITTED</x:v>
      </x:c>
      <x:c r="F29" s="55" t="n">
        <x:v>31279</x:v>
      </x:c>
      <x:c r="G29" s="55" t="n">
        <x:v>8525</x:v>
      </x:c>
      <x:c r="H29" s="55" t="n">
        <x:v>3301</x:v>
      </x:c>
      <x:c r="I29" s="55" t="n">
        <x:v>1417</x:v>
      </x:c>
      <x:c r="J29" s="55" t="n">
        <x:v>116</x:v>
      </x:c>
      <x:c r="K29" s="55" t="n">
        <x:v>30555</x:v>
      </x:c>
      <x:c r="L29" s="55" t="n">
        <x:v>5518</x:v>
      </x:c>
      <x:c r="M29" s="55" t="n">
        <x:v>1358</x:v>
      </x:c>
      <x:c r="N29" s="55" t="n">
        <x:v>2190</x:v>
      </x:c>
      <x:c r="O29" s="55" t="n">
        <x:v>1970</x:v>
      </x:c>
      <x:c r="P29" s="55" t="n">
        <x:v>658</x:v>
      </x:c>
      <x:c r="Q29" s="55" t="n">
        <x:v>2178</x:v>
      </x:c>
      <x:c r="R29" s="55" t="n">
        <x:v>2103</x:v>
      </x:c>
      <x:c r="S29" s="55" t="n">
        <x:v>2532</x:v>
      </x:c>
      <x:c r="T29" s="55" t="n">
        <x:v>708</x:v>
      </x:c>
      <x:c r="U29" s="55" t="n">
        <x:v>1832</x:v>
      </x:c>
      <x:c r="V29" s="55" t="n">
        <x:v>10781</x:v>
      </x:c>
      <x:c r="W29" s="55" t="n">
        <x:v>7806</x:v>
      </x:c>
      <x:c r="X29" s="55" t="n">
        <x:v>2975</x:v>
      </x:c>
      <x:c r="Y29" s="55" t="n">
        <x:v>2763</x:v>
      </x:c>
      <x:c r="Z29" s="55" t="n">
        <x:v>4037</x:v>
      </x:c>
      <x:c r="AA29" s="55" t="n">
        <x:v>2888</x:v>
      </x:c>
      <x:c r="AB29" s="55" t="n">
        <x:v>1031</x:v>
      </x:c>
      <x:c r="AC29" s="55" t="n">
        <x:v>8373</x:v>
      </x:c>
      <x:c r="AD29" s="55" t="n">
        <x:v>3018</x:v>
      </x:c>
      <x:c r="AE29" s="55" t="n">
        <x:v>10847</x:v>
      </x:c>
      <x:c r="AF29" s="55" t="n">
        <x:v>10781</x:v>
      </x:c>
      <x:c r="AG29" s="55" t="n">
        <x:v>66</x:v>
      </x:c>
      <x:c r="AH29" s="55" t="n">
        <x:v>453</x:v>
      </x:c>
      <x:c r="AI29" s="55" t="n">
        <x:v>10328</x:v>
      </x:c>
      <x:c r="AJ29" s="55" t="n">
        <x:v>314</x:v>
      </x:c>
      <x:c r="AK29" s="55" t="n">
        <x:v>1031</x:v>
      </x:c>
      <x:c r="AL29" s="55" t="n">
        <x:v>1757</x:v>
      </x:c>
      <x:c r="AM29" s="55" t="n">
        <x:v>5458</x:v>
      </x:c>
      <x:c r="AN29" s="55" t="n">
        <x:v>2214</x:v>
      </x:c>
      <x:c r="AO29" s="55" t="n">
        <x:v>7</x:v>
      </x:c>
      <x:c r="AP29" s="55" t="n">
        <x:v>2575</x:v>
      </x:c>
      <x:c r="AQ29" s="55" t="n">
        <x:v>948</x:v>
      </x:c>
    </x:row>
    <x:row r="30">
      <x:c r="A30" s="54" t="str">
        <x:v>T2_CONCORDANT_DOMAIN</x:v>
      </x:c>
      <x:c r="B30" s="54" t="n">
        <x:v>24</x:v>
      </x:c>
      <x:c r="C30" s="54" t="str">
        <x:v>NYC-V2-R01</x:v>
      </x:c>
      <x:c r="D30" s="54" t="str">
        <x:v>V2</x:v>
      </x:c>
      <x:c r="E30" s="54" t="str">
        <x:v>ADMITTED</x:v>
      </x:c>
      <x:c r="F30" s="55" t="n">
        <x:v>29580</x:v>
      </x:c>
      <x:c r="G30" s="55" t="n">
        <x:v>7171</x:v>
      </x:c>
      <x:c r="H30" s="55" t="n">
        <x:v>3481</x:v>
      </x:c>
      <x:c r="I30" s="55" t="n">
        <x:v>1191</x:v>
      </x:c>
      <x:c r="J30" s="55" t="n">
        <x:v>198</x:v>
      </x:c>
      <x:c r="K30" s="55" t="n">
        <x:v>27291</x:v>
      </x:c>
      <x:c r="L30" s="55" t="n">
        <x:v>3967</x:v>
      </x:c>
      <x:c r="M30" s="55" t="n">
        <x:v>110</x:v>
      </x:c>
      <x:c r="N30" s="55" t="n">
        <x:v>2175</x:v>
      </x:c>
      <x:c r="O30" s="55" t="n">
        <x:v>1682</x:v>
      </x:c>
      <x:c r="P30" s="55" t="n">
        <x:v>792</x:v>
      </x:c>
      <x:c r="Q30" s="55" t="n">
        <x:v>2190</x:v>
      </x:c>
      <x:c r="R30" s="55" t="n">
        <x:v>1667</x:v>
      </x:c>
      <x:c r="S30" s="55" t="n">
        <x:v>2189</x:v>
      </x:c>
      <x:c r="T30" s="55" t="n">
        <x:v>1119</x:v>
      </x:c>
      <x:c r="U30" s="55" t="n">
        <x:v>1530</x:v>
      </x:c>
      <x:c r="V30" s="55" t="n">
        <x:v>10202</x:v>
      </x:c>
      <x:c r="W30" s="55" t="n">
        <x:v>7476</x:v>
      </x:c>
      <x:c r="X30" s="55" t="n">
        <x:v>2726</x:v>
      </x:c>
      <x:c r="Y30" s="55" t="n">
        <x:v>2489</x:v>
      </x:c>
      <x:c r="Z30" s="55" t="n">
        <x:v>3574</x:v>
      </x:c>
      <x:c r="AA30" s="55" t="n">
        <x:v>3024</x:v>
      </x:c>
      <x:c r="AB30" s="55" t="n">
        <x:v>1083</x:v>
      </x:c>
      <x:c r="AC30" s="55" t="n">
        <x:v>8062</x:v>
      </x:c>
      <x:c r="AD30" s="55" t="n">
        <x:v>2398</x:v>
      </x:c>
      <x:c r="AE30" s="55" t="n">
        <x:v>10267</x:v>
      </x:c>
      <x:c r="AF30" s="55" t="n">
        <x:v>10202</x:v>
      </x:c>
      <x:c r="AG30" s="55" t="n">
        <x:v>65</x:v>
      </x:c>
      <x:c r="AH30" s="55" t="n">
        <x:v>382</x:v>
      </x:c>
      <x:c r="AI30" s="55" t="n">
        <x:v>9820</x:v>
      </x:c>
      <x:c r="AJ30" s="55" t="n">
        <x:v>297</x:v>
      </x:c>
      <x:c r="AK30" s="55" t="n">
        <x:v>1074</x:v>
      </x:c>
      <x:c r="AL30" s="55" t="n">
        <x:v>1683</x:v>
      </x:c>
      <x:c r="AM30" s="55" t="n">
        <x:v>4426</x:v>
      </x:c>
      <x:c r="AN30" s="55" t="n">
        <x:v>2666</x:v>
      </x:c>
      <x:c r="AO30" s="55" t="n">
        <x:v>56</x:v>
      </x:c>
      <x:c r="AP30" s="55" t="n">
        <x:v>2143</x:v>
      </x:c>
      <x:c r="AQ30" s="55" t="n">
        <x:v>919</x:v>
      </x:c>
    </x:row>
    <x:row r="31">
      <x:c r="A31" s="54" t="str">
        <x:v>T2_CONCORDANT_DOMAIN</x:v>
      </x:c>
      <x:c r="B31" s="54" t="n">
        <x:v>25</x:v>
      </x:c>
      <x:c r="C31" s="54" t="str">
        <x:v>NYC-V2-R01</x:v>
      </x:c>
      <x:c r="D31" s="54" t="str">
        <x:v>V2</x:v>
      </x:c>
      <x:c r="E31" s="54" t="str">
        <x:v>ADMITTED</x:v>
      </x:c>
      <x:c r="F31" s="55" t="n">
        <x:v>31912</x:v>
      </x:c>
      <x:c r="G31" s="55" t="n">
        <x:v>8871</x:v>
      </x:c>
      <x:c r="H31" s="55" t="n">
        <x:v>3701</x:v>
      </x:c>
      <x:c r="I31" s="55" t="n">
        <x:v>1326</x:v>
      </x:c>
      <x:c r="J31" s="55" t="n">
        <x:v>262</x:v>
      </x:c>
      <x:c r="K31" s="55" t="n">
        <x:v>29497</x:v>
      </x:c>
      <x:c r="L31" s="55" t="n">
        <x:v>6193</x:v>
      </x:c>
      <x:c r="M31" s="55" t="n">
        <x:v>910</x:v>
      </x:c>
      <x:c r="N31" s="55" t="n">
        <x:v>3036</x:v>
      </x:c>
      <x:c r="O31" s="55" t="n">
        <x:v>2247</x:v>
      </x:c>
      <x:c r="P31" s="55" t="n">
        <x:v>866</x:v>
      </x:c>
      <x:c r="Q31" s="55" t="n">
        <x:v>3139</x:v>
      </x:c>
      <x:c r="R31" s="55" t="n">
        <x:v>2252</x:v>
      </x:c>
      <x:c r="S31" s="55" t="n">
        <x:v>3260</x:v>
      </x:c>
      <x:c r="T31" s="55" t="n">
        <x:v>1779</x:v>
      </x:c>
      <x:c r="U31" s="55" t="n">
        <x:v>2428</x:v>
      </x:c>
      <x:c r="V31" s="55" t="n">
        <x:v>10704</x:v>
      </x:c>
      <x:c r="W31" s="55" t="n">
        <x:v>7230</x:v>
      </x:c>
      <x:c r="X31" s="55" t="n">
        <x:v>3474</x:v>
      </x:c>
      <x:c r="Y31" s="55" t="n">
        <x:v>2914</x:v>
      </x:c>
      <x:c r="Z31" s="55" t="n">
        <x:v>3904</x:v>
      </x:c>
      <x:c r="AA31" s="55" t="n">
        <x:v>3653</x:v>
      </x:c>
      <x:c r="AB31" s="55" t="n">
        <x:v>1461</x:v>
      </x:c>
      <x:c r="AC31" s="55" t="n">
        <x:v>8359</x:v>
      </x:c>
      <x:c r="AD31" s="55" t="n">
        <x:v>3329</x:v>
      </x:c>
      <x:c r="AE31" s="55" t="n">
        <x:v>10874</x:v>
      </x:c>
      <x:c r="AF31" s="55" t="n">
        <x:v>10704</x:v>
      </x:c>
      <x:c r="AG31" s="55" t="n">
        <x:v>170</x:v>
      </x:c>
      <x:c r="AH31" s="55" t="n">
        <x:v>493</x:v>
      </x:c>
      <x:c r="AI31" s="55" t="n">
        <x:v>10211</x:v>
      </x:c>
      <x:c r="AJ31" s="55" t="n">
        <x:v>386</x:v>
      </x:c>
      <x:c r="AK31" s="55" t="n">
        <x:v>1293</x:v>
      </x:c>
      <x:c r="AL31" s="55" t="n">
        <x:v>1515</x:v>
      </x:c>
      <x:c r="AM31" s="55" t="n">
        <x:v>5119</x:v>
      </x:c>
      <x:c r="AN31" s="55" t="n">
        <x:v>2358</x:v>
      </x:c>
      <x:c r="AO31" s="55" t="n">
        <x:v>33</x:v>
      </x:c>
      <x:c r="AP31" s="55" t="n">
        <x:v>2619</x:v>
      </x:c>
      <x:c r="AQ31" s="55" t="n">
        <x:v>990</x:v>
      </x:c>
    </x:row>
    <x:row r="32">
      <x:c r="A32" s="54" t="str">
        <x:v>T2_CONCORDANT_DOMAIN</x:v>
      </x:c>
      <x:c r="B32" s="54" t="n">
        <x:v>26</x:v>
      </x:c>
      <x:c r="C32" s="54" t="str">
        <x:v>NYC-V2-R01</x:v>
      </x:c>
      <x:c r="D32" s="54" t="str">
        <x:v>V2</x:v>
      </x:c>
      <x:c r="E32" s="54" t="str">
        <x:v>ADMITTED</x:v>
      </x:c>
      <x:c r="F32" s="55" t="n">
        <x:v>31783</x:v>
      </x:c>
      <x:c r="G32" s="55" t="n">
        <x:v>8338</x:v>
      </x:c>
      <x:c r="H32" s="55" t="n">
        <x:v>3334</x:v>
      </x:c>
      <x:c r="I32" s="55" t="n">
        <x:v>1544</x:v>
      </x:c>
      <x:c r="J32" s="55" t="n">
        <x:v>258</x:v>
      </x:c>
      <x:c r="K32" s="55" t="n">
        <x:v>31783</x:v>
      </x:c>
      <x:c r="L32" s="55" t="n">
        <x:v>6161</x:v>
      </x:c>
      <x:c r="M32" s="55" t="n">
        <x:v>1641</x:v>
      </x:c>
      <x:c r="N32" s="55" t="n">
        <x:v>2930</x:v>
      </x:c>
      <x:c r="O32" s="55" t="n">
        <x:v>1590</x:v>
      </x:c>
      <x:c r="P32" s="55" t="n">
        <x:v>1275</x:v>
      </x:c>
      <x:c r="Q32" s="55" t="n">
        <x:v>1979</x:v>
      </x:c>
      <x:c r="R32" s="55" t="n">
        <x:v>1825</x:v>
      </x:c>
      <x:c r="S32" s="55" t="n">
        <x:v>3126</x:v>
      </x:c>
      <x:c r="T32" s="55" t="n">
        <x:v>1174</x:v>
      </x:c>
      <x:c r="U32" s="55" t="n">
        <x:v>2138</x:v>
      </x:c>
      <x:c r="V32" s="55" t="n">
        <x:v>10828</x:v>
      </x:c>
      <x:c r="W32" s="55" t="n">
        <x:v>7916</x:v>
      </x:c>
      <x:c r="X32" s="55" t="n">
        <x:v>2912</x:v>
      </x:c>
      <x:c r="Y32" s="55" t="n">
        <x:v>2613</x:v>
      </x:c>
      <x:c r="Z32" s="55" t="n">
        <x:v>3465</x:v>
      </x:c>
      <x:c r="AA32" s="55" t="n">
        <x:v>3210</x:v>
      </x:c>
      <x:c r="AB32" s="55" t="n">
        <x:v>1107</x:v>
      </x:c>
      <x:c r="AC32" s="55" t="n">
        <x:v>7912</x:v>
      </x:c>
      <x:c r="AD32" s="55" t="n">
        <x:v>3216</x:v>
      </x:c>
      <x:c r="AE32" s="55" t="n">
        <x:v>10857</x:v>
      </x:c>
      <x:c r="AF32" s="55" t="n">
        <x:v>10828</x:v>
      </x:c>
      <x:c r="AG32" s="55" t="n">
        <x:v>29</x:v>
      </x:c>
      <x:c r="AH32" s="55" t="n">
        <x:v>342</x:v>
      </x:c>
      <x:c r="AI32" s="55" t="n">
        <x:v>10486</x:v>
      </x:c>
      <x:c r="AJ32" s="55" t="n">
        <x:v>392</x:v>
      </x:c>
      <x:c r="AK32" s="55" t="n">
        <x:v>1238</x:v>
      </x:c>
      <x:c r="AL32" s="55" t="n">
        <x:v>2024</x:v>
      </x:c>
      <x:c r="AM32" s="55" t="n">
        <x:v>4536</x:v>
      </x:c>
      <x:c r="AN32" s="55" t="n">
        <x:v>2628</x:v>
      </x:c>
      <x:c r="AO32" s="55" t="n">
        <x:v>10</x:v>
      </x:c>
      <x:c r="AP32" s="55" t="n">
        <x:v>2345</x:v>
      </x:c>
      <x:c r="AQ32" s="55" t="n">
        <x:v>977</x:v>
      </x:c>
    </x:row>
    <x:row r="33">
      <x:c r="A33" s="54" t="str">
        <x:v>T2_CONCORDANT_DOMAIN</x:v>
      </x:c>
      <x:c r="B33" s="54" t="n">
        <x:v>27</x:v>
      </x:c>
      <x:c r="C33" s="54" t="str">
        <x:v>NYC-V2-R01</x:v>
      </x:c>
      <x:c r="D33" s="54" t="str">
        <x:v>V2</x:v>
      </x:c>
      <x:c r="E33" s="54" t="str">
        <x:v>ADMITTED</x:v>
      </x:c>
      <x:c r="F33" s="55" t="n">
        <x:v>30092</x:v>
      </x:c>
      <x:c r="G33" s="55" t="n">
        <x:v>6516</x:v>
      </x:c>
      <x:c r="H33" s="55" t="n">
        <x:v>3929</x:v>
      </x:c>
      <x:c r="I33" s="55" t="n">
        <x:v>2000</x:v>
      </x:c>
      <x:c r="J33" s="55" t="n">
        <x:v>433</x:v>
      </x:c>
      <x:c r="K33" s="55" t="n">
        <x:v>30092</x:v>
      </x:c>
      <x:c r="L33" s="55" t="n">
        <x:v>6204</x:v>
      </x:c>
      <x:c r="M33" s="55" t="n">
        <x:v>1601</x:v>
      </x:c>
      <x:c r="N33" s="55" t="n">
        <x:v>3325</x:v>
      </x:c>
      <x:c r="O33" s="55" t="n">
        <x:v>1278</x:v>
      </x:c>
      <x:c r="P33" s="55" t="n">
        <x:v>1328</x:v>
      </x:c>
      <x:c r="Q33" s="55" t="n">
        <x:v>3229</x:v>
      </x:c>
      <x:c r="R33" s="55" t="n">
        <x:v>2082</x:v>
      </x:c>
      <x:c r="S33" s="55" t="n">
        <x:v>3139</x:v>
      </x:c>
      <x:c r="T33" s="55" t="n">
        <x:v>1590</x:v>
      </x:c>
      <x:c r="U33" s="55" t="n">
        <x:v>2259</x:v>
      </x:c>
      <x:c r="V33" s="55" t="n">
        <x:v>10522</x:v>
      </x:c>
      <x:c r="W33" s="55" t="n">
        <x:v>7407</x:v>
      </x:c>
      <x:c r="X33" s="55" t="n">
        <x:v>3115</x:v>
      </x:c>
      <x:c r="Y33" s="55" t="n">
        <x:v>2764</x:v>
      </x:c>
      <x:c r="Z33" s="55" t="n">
        <x:v>3524</x:v>
      </x:c>
      <x:c r="AA33" s="55" t="n">
        <x:v>2867</x:v>
      </x:c>
      <x:c r="AB33" s="55" t="n">
        <x:v>1002</x:v>
      </x:c>
      <x:c r="AC33" s="55" t="n">
        <x:v>7737</x:v>
      </x:c>
      <x:c r="AD33" s="55" t="n">
        <x:v>3091</x:v>
      </x:c>
      <x:c r="AE33" s="55" t="n">
        <x:v>10636</x:v>
      </x:c>
      <x:c r="AF33" s="55" t="n">
        <x:v>10522</x:v>
      </x:c>
      <x:c r="AG33" s="55" t="n">
        <x:v>114</x:v>
      </x:c>
      <x:c r="AH33" s="55" t="n">
        <x:v>455</x:v>
      </x:c>
      <x:c r="AI33" s="55" t="n">
        <x:v>10067</x:v>
      </x:c>
      <x:c r="AJ33" s="55" t="n">
        <x:v>259</x:v>
      </x:c>
      <x:c r="AK33" s="55" t="n">
        <x:v>996</x:v>
      </x:c>
      <x:c r="AL33" s="55" t="n">
        <x:v>1610</x:v>
      </x:c>
      <x:c r="AM33" s="55" t="n">
        <x:v>4793</x:v>
      </x:c>
      <x:c r="AN33" s="55" t="n">
        <x:v>2802</x:v>
      </x:c>
      <x:c r="AO33" s="55" t="n">
        <x:v>62</x:v>
      </x:c>
      <x:c r="AP33" s="55" t="n">
        <x:v>2539</x:v>
      </x:c>
      <x:c r="AQ33" s="55" t="n">
        <x:v>930</x:v>
      </x:c>
    </x:row>
    <x:row r="34">
      <x:c r="A34" s="54" t="str">
        <x:v>T2_CONCORDANT_DOMAIN</x:v>
      </x:c>
      <x:c r="B34" s="54" t="n">
        <x:v>28</x:v>
      </x:c>
      <x:c r="C34" s="54" t="str">
        <x:v>NYC-V2-R01</x:v>
      </x:c>
      <x:c r="D34" s="54" t="str">
        <x:v>V2</x:v>
      </x:c>
      <x:c r="E34" s="54" t="str">
        <x:v>ADMITTED</x:v>
      </x:c>
      <x:c r="F34" s="55" t="n">
        <x:v>31667</x:v>
      </x:c>
      <x:c r="G34" s="55" t="n">
        <x:v>7903</x:v>
      </x:c>
      <x:c r="H34" s="55" t="n">
        <x:v>2982</x:v>
      </x:c>
      <x:c r="I34" s="55" t="n">
        <x:v>1026</x:v>
      </x:c>
      <x:c r="J34" s="55" t="n">
        <x:v>92</x:v>
      </x:c>
      <x:c r="K34" s="55" t="n">
        <x:v>31154</x:v>
      </x:c>
      <x:c r="L34" s="55" t="n">
        <x:v>5109</x:v>
      </x:c>
      <x:c r="M34" s="55" t="n">
        <x:v>1344</x:v>
      </x:c>
      <x:c r="N34" s="55" t="n">
        <x:v>2497</x:v>
      </x:c>
      <x:c r="O34" s="55" t="n">
        <x:v>1268</x:v>
      </x:c>
      <x:c r="P34" s="55" t="n">
        <x:v>804</x:v>
      </x:c>
      <x:c r="Q34" s="55" t="n">
        <x:v>1899</x:v>
      </x:c>
      <x:c r="R34" s="55" t="n">
        <x:v>1604</x:v>
      </x:c>
      <x:c r="S34" s="55" t="n">
        <x:v>2360</x:v>
      </x:c>
      <x:c r="T34" s="55" t="n">
        <x:v>762</x:v>
      </x:c>
      <x:c r="U34" s="55" t="n">
        <x:v>1422</x:v>
      </x:c>
      <x:c r="V34" s="55" t="n">
        <x:v>10293</x:v>
      </x:c>
      <x:c r="W34" s="55" t="n">
        <x:v>7619</x:v>
      </x:c>
      <x:c r="X34" s="55" t="n">
        <x:v>2674</x:v>
      </x:c>
      <x:c r="Y34" s="55" t="n">
        <x:v>2299</x:v>
      </x:c>
      <x:c r="Z34" s="55" t="n">
        <x:v>3819</x:v>
      </x:c>
      <x:c r="AA34" s="55" t="n">
        <x:v>2982</x:v>
      </x:c>
      <x:c r="AB34" s="55" t="n">
        <x:v>1128</x:v>
      </x:c>
      <x:c r="AC34" s="55" t="n">
        <x:v>7912</x:v>
      </x:c>
      <x:c r="AD34" s="55" t="n">
        <x:v>2950</x:v>
      </x:c>
      <x:c r="AE34" s="55" t="n">
        <x:v>10293</x:v>
      </x:c>
      <x:c r="AF34" s="55" t="n">
        <x:v>10293</x:v>
      </x:c>
      <x:c r="AG34" s="55" t="n">
        <x:v>0</x:v>
      </x:c>
      <x:c r="AH34" s="55" t="n">
        <x:v>488</x:v>
      </x:c>
      <x:c r="AI34" s="55" t="n">
        <x:v>9805</x:v>
      </x:c>
      <x:c r="AJ34" s="55" t="n">
        <x:v>244</x:v>
      </x:c>
      <x:c r="AK34" s="55" t="n">
        <x:v>952</x:v>
      </x:c>
      <x:c r="AL34" s="55" t="n">
        <x:v>1446</x:v>
      </x:c>
      <x:c r="AM34" s="55" t="n">
        <x:v>5049</x:v>
      </x:c>
      <x:c r="AN34" s="55" t="n">
        <x:v>2602</x:v>
      </x:c>
      <x:c r="AO34" s="55" t="n">
        <x:v>0</x:v>
      </x:c>
      <x:c r="AP34" s="55" t="n">
        <x:v>1921</x:v>
      </x:c>
      <x:c r="AQ34" s="55" t="n">
        <x:v>959</x:v>
      </x:c>
    </x:row>
    <x:row r="35">
      <x:c r="A35" s="54" t="str">
        <x:v>T2_CONCORDANT_DOMAIN</x:v>
      </x:c>
      <x:c r="B35" s="54" t="n">
        <x:v>29</x:v>
      </x:c>
      <x:c r="C35" s="54" t="str">
        <x:v>NYC-V2-R01</x:v>
      </x:c>
      <x:c r="D35" s="54" t="str">
        <x:v>V2</x:v>
      </x:c>
      <x:c r="E35" s="54" t="str">
        <x:v>ADMITTED</x:v>
      </x:c>
      <x:c r="F35" s="55" t="n">
        <x:v>31315</x:v>
      </x:c>
      <x:c r="G35" s="55" t="n">
        <x:v>7331</x:v>
      </x:c>
      <x:c r="H35" s="55" t="n">
        <x:v>3291</x:v>
      </x:c>
      <x:c r="I35" s="55" t="n">
        <x:v>1259</x:v>
      </x:c>
      <x:c r="J35" s="55" t="n">
        <x:v>286</x:v>
      </x:c>
      <x:c r="K35" s="55" t="n">
        <x:v>29281</x:v>
      </x:c>
      <x:c r="L35" s="55" t="n">
        <x:v>4957</x:v>
      </x:c>
      <x:c r="M35" s="55" t="n">
        <x:v>567</x:v>
      </x:c>
      <x:c r="N35" s="55" t="n">
        <x:v>2843</x:v>
      </x:c>
      <x:c r="O35" s="55" t="n">
        <x:v>1547</x:v>
      </x:c>
      <x:c r="P35" s="55" t="n">
        <x:v>937</x:v>
      </x:c>
      <x:c r="Q35" s="55" t="n">
        <x:v>2186</x:v>
      </x:c>
      <x:c r="R35" s="55" t="n">
        <x:v>1420</x:v>
      </x:c>
      <x:c r="S35" s="55" t="n">
        <x:v>2645</x:v>
      </x:c>
      <x:c r="T35" s="55" t="n">
        <x:v>994</x:v>
      </x:c>
      <x:c r="U35" s="55" t="n">
        <x:v>2004</x:v>
      </x:c>
      <x:c r="V35" s="55" t="n">
        <x:v>10345</x:v>
      </x:c>
      <x:c r="W35" s="55" t="n">
        <x:v>7367</x:v>
      </x:c>
      <x:c r="X35" s="55" t="n">
        <x:v>2978</x:v>
      </x:c>
      <x:c r="Y35" s="55" t="n">
        <x:v>2547</x:v>
      </x:c>
      <x:c r="Z35" s="55" t="n">
        <x:v>3307</x:v>
      </x:c>
      <x:c r="AA35" s="55" t="n">
        <x:v>2424</x:v>
      </x:c>
      <x:c r="AB35" s="55" t="n">
        <x:v>695</x:v>
      </x:c>
      <x:c r="AC35" s="55" t="n">
        <x:v>7467</x:v>
      </x:c>
      <x:c r="AD35" s="55" t="n">
        <x:v>2385</x:v>
      </x:c>
      <x:c r="AE35" s="55" t="n">
        <x:v>10415</x:v>
      </x:c>
      <x:c r="AF35" s="55" t="n">
        <x:v>10345</x:v>
      </x:c>
      <x:c r="AG35" s="55" t="n">
        <x:v>70</x:v>
      </x:c>
      <x:c r="AH35" s="55" t="n">
        <x:v>437</x:v>
      </x:c>
      <x:c r="AI35" s="55" t="n">
        <x:v>9908</x:v>
      </x:c>
      <x:c r="AJ35" s="55" t="n">
        <x:v>267</x:v>
      </x:c>
      <x:c r="AK35" s="55" t="n">
        <x:v>877</x:v>
      </x:c>
      <x:c r="AL35" s="55" t="n">
        <x:v>1555</x:v>
      </x:c>
      <x:c r="AM35" s="55" t="n">
        <x:v>4824</x:v>
      </x:c>
      <x:c r="AN35" s="55" t="n">
        <x:v>2765</x:v>
      </x:c>
      <x:c r="AO35" s="55" t="n">
        <x:v>57</x:v>
      </x:c>
      <x:c r="AP35" s="55" t="n">
        <x:v>2143</x:v>
      </x:c>
      <x:c r="AQ35" s="55" t="n">
        <x:v>974</x:v>
      </x:c>
    </x:row>
    <x:row r="36">
      <x:c r="A36" s="54" t="str">
        <x:v>T2_CONCORDANT_DOMAIN</x:v>
      </x:c>
      <x:c r="B36" s="54" t="n">
        <x:v>30</x:v>
      </x:c>
      <x:c r="C36" s="54" t="str">
        <x:v>NYC-V2-R01</x:v>
      </x:c>
      <x:c r="D36" s="54" t="str">
        <x:v>V2</x:v>
      </x:c>
      <x:c r="E36" s="54" t="str">
        <x:v>ADMITTED</x:v>
      </x:c>
      <x:c r="F36" s="55" t="n">
        <x:v>35150</x:v>
      </x:c>
      <x:c r="G36" s="55" t="n">
        <x:v>8598</x:v>
      </x:c>
      <x:c r="H36" s="55" t="n">
        <x:v>3837</x:v>
      </x:c>
      <x:c r="I36" s="55" t="n">
        <x:v>1525</x:v>
      </x:c>
      <x:c r="J36" s="55" t="n">
        <x:v>350</x:v>
      </x:c>
      <x:c r="K36" s="55" t="n">
        <x:v>30171</x:v>
      </x:c>
      <x:c r="L36" s="55" t="n">
        <x:v>5252</x:v>
      </x:c>
      <x:c r="M36" s="55" t="n">
        <x:v>1408</x:v>
      </x:c>
      <x:c r="N36" s="55" t="n">
        <x:v>2242</x:v>
      </x:c>
      <x:c r="O36" s="55" t="n">
        <x:v>1602</x:v>
      </x:c>
      <x:c r="P36" s="55" t="n">
        <x:v>752</x:v>
      </x:c>
      <x:c r="Q36" s="55" t="n">
        <x:v>2511</x:v>
      </x:c>
      <x:c r="R36" s="55" t="n">
        <x:v>2349</x:v>
      </x:c>
      <x:c r="S36" s="55" t="n">
        <x:v>2554</x:v>
      </x:c>
      <x:c r="T36" s="55" t="n">
        <x:v>792</x:v>
      </x:c>
      <x:c r="U36" s="55" t="n">
        <x:v>1592</x:v>
      </x:c>
      <x:c r="V36" s="55" t="n">
        <x:v>10626</x:v>
      </x:c>
      <x:c r="W36" s="55" t="n">
        <x:v>7785</x:v>
      </x:c>
      <x:c r="X36" s="55" t="n">
        <x:v>2841</x:v>
      </x:c>
      <x:c r="Y36" s="55" t="n">
        <x:v>2372</x:v>
      </x:c>
      <x:c r="Z36" s="55" t="n">
        <x:v>4292</x:v>
      </x:c>
      <x:c r="AA36" s="55" t="n">
        <x:v>3245</x:v>
      </x:c>
      <x:c r="AB36" s="55" t="n">
        <x:v>1304</x:v>
      </x:c>
      <x:c r="AC36" s="55" t="n">
        <x:v>8206</x:v>
      </x:c>
      <x:c r="AD36" s="55" t="n">
        <x:v>3084</x:v>
      </x:c>
      <x:c r="AE36" s="55" t="n">
        <x:v>10731</x:v>
      </x:c>
      <x:c r="AF36" s="55" t="n">
        <x:v>10626</x:v>
      </x:c>
      <x:c r="AG36" s="55" t="n">
        <x:v>105</x:v>
      </x:c>
      <x:c r="AH36" s="55" t="n">
        <x:v>471</x:v>
      </x:c>
      <x:c r="AI36" s="55" t="n">
        <x:v>10155</x:v>
      </x:c>
      <x:c r="AJ36" s="55" t="n">
        <x:v>309</x:v>
      </x:c>
      <x:c r="AK36" s="55" t="n">
        <x:v>1091</x:v>
      </x:c>
      <x:c r="AL36" s="55" t="n">
        <x:v>1684</x:v>
      </x:c>
      <x:c r="AM36" s="55" t="n">
        <x:v>4579</x:v>
      </x:c>
      <x:c r="AN36" s="55" t="n">
        <x:v>2963</x:v>
      </x:c>
      <x:c r="AO36" s="55" t="n">
        <x:v>0</x:v>
      </x:c>
      <x:c r="AP36" s="55" t="n">
        <x:v>2452</x:v>
      </x:c>
      <x:c r="AQ36" s="55" t="n">
        <x:v>989</x:v>
      </x:c>
    </x:row>
    <x:row r="37">
      <x:c r="A37" s="54" t="str">
        <x:v>T2_CONCORDANT_DOMAIN</x:v>
      </x:c>
      <x:c r="B37" s="54" t="n">
        <x:v>31</x:v>
      </x:c>
      <x:c r="C37" s="54" t="str">
        <x:v>NYC-V2-R01</x:v>
      </x:c>
      <x:c r="D37" s="54" t="str">
        <x:v>V2</x:v>
      </x:c>
      <x:c r="E37" s="54" t="str">
        <x:v>ADMITTED</x:v>
      </x:c>
      <x:c r="F37" s="55" t="n">
        <x:v>30040</x:v>
      </x:c>
      <x:c r="G37" s="55" t="n">
        <x:v>7539</x:v>
      </x:c>
      <x:c r="H37" s="55" t="n">
        <x:v>3229</x:v>
      </x:c>
      <x:c r="I37" s="55" t="n">
        <x:v>833</x:v>
      </x:c>
      <x:c r="J37" s="55" t="n">
        <x:v>0</x:v>
      </x:c>
      <x:c r="K37" s="55" t="n">
        <x:v>29817</x:v>
      </x:c>
      <x:c r="L37" s="55" t="n">
        <x:v>5174</x:v>
      </x:c>
      <x:c r="M37" s="55" t="n">
        <x:v>916</x:v>
      </x:c>
      <x:c r="N37" s="55" t="n">
        <x:v>2330</x:v>
      </x:c>
      <x:c r="O37" s="55" t="n">
        <x:v>1928</x:v>
      </x:c>
      <x:c r="P37" s="55" t="n">
        <x:v>170</x:v>
      </x:c>
      <x:c r="Q37" s="55" t="n">
        <x:v>2076</x:v>
      </x:c>
      <x:c r="R37" s="55" t="n">
        <x:v>1619</x:v>
      </x:c>
      <x:c r="S37" s="55" t="n">
        <x:v>2462</x:v>
      </x:c>
      <x:c r="T37" s="55" t="n">
        <x:v>983</x:v>
      </x:c>
      <x:c r="U37" s="55" t="n">
        <x:v>1142</x:v>
      </x:c>
      <x:c r="V37" s="55" t="n">
        <x:v>10329</x:v>
      </x:c>
      <x:c r="W37" s="55" t="n">
        <x:v>7465</x:v>
      </x:c>
      <x:c r="X37" s="55" t="n">
        <x:v>2864</x:v>
      </x:c>
      <x:c r="Y37" s="55" t="n">
        <x:v>2300</x:v>
      </x:c>
      <x:c r="Z37" s="55" t="n">
        <x:v>3543</x:v>
      </x:c>
      <x:c r="AA37" s="55" t="n">
        <x:v>3229</x:v>
      </x:c>
      <x:c r="AB37" s="55" t="n">
        <x:v>1124</x:v>
      </x:c>
      <x:c r="AC37" s="55" t="n">
        <x:v>8047</x:v>
      </x:c>
      <x:c r="AD37" s="55" t="n">
        <x:v>2768</x:v>
      </x:c>
      <x:c r="AE37" s="55" t="n">
        <x:v>10352</x:v>
      </x:c>
      <x:c r="AF37" s="55" t="n">
        <x:v>10329</x:v>
      </x:c>
      <x:c r="AG37" s="55" t="n">
        <x:v>23</x:v>
      </x:c>
      <x:c r="AH37" s="55" t="n">
        <x:v>345</x:v>
      </x:c>
      <x:c r="AI37" s="55" t="n">
        <x:v>9984</x:v>
      </x:c>
      <x:c r="AJ37" s="55" t="n">
        <x:v>291</x:v>
      </x:c>
      <x:c r="AK37" s="55" t="n">
        <x:v>860</x:v>
      </x:c>
      <x:c r="AL37" s="55" t="n">
        <x:v>1849</x:v>
      </x:c>
      <x:c r="AM37" s="55" t="n">
        <x:v>4567</x:v>
      </x:c>
      <x:c r="AN37" s="55" t="n">
        <x:v>2762</x:v>
      </x:c>
      <x:c r="AO37" s="55" t="n">
        <x:v>0</x:v>
      </x:c>
      <x:c r="AP37" s="55" t="n">
        <x:v>2182</x:v>
      </x:c>
      <x:c r="AQ37" s="55" t="n">
        <x:v>852</x:v>
      </x:c>
    </x:row>
    <x:row r="38">
      <x:c r="A38" s="54" t="str">
        <x:v>T2_CONCORDANT_DOMAIN</x:v>
      </x:c>
      <x:c r="B38" s="54" t="n">
        <x:v>32</x:v>
      </x:c>
      <x:c r="C38" s="54" t="str">
        <x:v>NYC-V2-R01</x:v>
      </x:c>
      <x:c r="D38" s="54" t="str">
        <x:v>V2</x:v>
      </x:c>
      <x:c r="E38" s="54" t="str">
        <x:v>ADMITTED</x:v>
      </x:c>
      <x:c r="F38" s="55" t="n">
        <x:v>28430</x:v>
      </x:c>
      <x:c r="G38" s="55" t="n">
        <x:v>6998</x:v>
      </x:c>
      <x:c r="H38" s="55" t="n">
        <x:v>3531</x:v>
      </x:c>
      <x:c r="I38" s="55" t="n">
        <x:v>1439</x:v>
      </x:c>
      <x:c r="J38" s="55" t="n">
        <x:v>274</x:v>
      </x:c>
      <x:c r="K38" s="55" t="n">
        <x:v>28127</x:v>
      </x:c>
      <x:c r="L38" s="55" t="n">
        <x:v>4468</x:v>
      </x:c>
      <x:c r="M38" s="55" t="n">
        <x:v>835</x:v>
      </x:c>
      <x:c r="N38" s="55" t="n">
        <x:v>1859</x:v>
      </x:c>
      <x:c r="O38" s="55" t="n">
        <x:v>1774</x:v>
      </x:c>
      <x:c r="P38" s="55" t="n">
        <x:v>1001</x:v>
      </x:c>
      <x:c r="Q38" s="55" t="n">
        <x:v>2242</x:v>
      </x:c>
      <x:c r="R38" s="55" t="n">
        <x:v>1921</x:v>
      </x:c>
      <x:c r="S38" s="55" t="n">
        <x:v>2278</x:v>
      </x:c>
      <x:c r="T38" s="55" t="n">
        <x:v>1251</x:v>
      </x:c>
      <x:c r="U38" s="55" t="n">
        <x:v>2549</x:v>
      </x:c>
      <x:c r="V38" s="55" t="n">
        <x:v>10575</x:v>
      </x:c>
      <x:c r="W38" s="55" t="n">
        <x:v>7708</x:v>
      </x:c>
      <x:c r="X38" s="55" t="n">
        <x:v>2867</x:v>
      </x:c>
      <x:c r="Y38" s="55" t="n">
        <x:v>2345</x:v>
      </x:c>
      <x:c r="Z38" s="55" t="n">
        <x:v>3660</x:v>
      </x:c>
      <x:c r="AA38" s="55" t="n">
        <x:v>3150</x:v>
      </x:c>
      <x:c r="AB38" s="55" t="n">
        <x:v>1205</x:v>
      </x:c>
      <x:c r="AC38" s="55" t="n">
        <x:v>8162</x:v>
      </x:c>
      <x:c r="AD38" s="55" t="n">
        <x:v>2463</x:v>
      </x:c>
      <x:c r="AE38" s="55" t="n">
        <x:v>10642</x:v>
      </x:c>
      <x:c r="AF38" s="55" t="n">
        <x:v>10575</x:v>
      </x:c>
      <x:c r="AG38" s="55" t="n">
        <x:v>67</x:v>
      </x:c>
      <x:c r="AH38" s="55" t="n">
        <x:v>639</x:v>
      </x:c>
      <x:c r="AI38" s="55" t="n">
        <x:v>9936</x:v>
      </x:c>
      <x:c r="AJ38" s="55" t="n">
        <x:v>494</x:v>
      </x:c>
      <x:c r="AK38" s="55" t="n">
        <x:v>1100</x:v>
      </x:c>
      <x:c r="AL38" s="55" t="n">
        <x:v>1544</x:v>
      </x:c>
      <x:c r="AM38" s="55" t="n">
        <x:v>4826</x:v>
      </x:c>
      <x:c r="AN38" s="55" t="n">
        <x:v>2611</x:v>
      </x:c>
      <x:c r="AO38" s="55" t="n">
        <x:v>0</x:v>
      </x:c>
      <x:c r="AP38" s="55" t="n">
        <x:v>2338</x:v>
      </x:c>
      <x:c r="AQ38" s="55" t="n">
        <x:v>977</x:v>
      </x:c>
    </x:row>
    <x:row r="39">
      <x:c r="A39" s="54" t="str">
        <x:v>T2_CONCORDANT_DOMAIN</x:v>
      </x:c>
      <x:c r="B39" s="54" t="n">
        <x:v>33</x:v>
      </x:c>
      <x:c r="C39" s="54" t="str">
        <x:v>NYC-V2-R01</x:v>
      </x:c>
      <x:c r="D39" s="54" t="str">
        <x:v>V2</x:v>
      </x:c>
      <x:c r="E39" s="54" t="str">
        <x:v>ADMITTED</x:v>
      </x:c>
      <x:c r="F39" s="55" t="n">
        <x:v>30898</x:v>
      </x:c>
      <x:c r="G39" s="55" t="n">
        <x:v>7607</x:v>
      </x:c>
      <x:c r="H39" s="55" t="n">
        <x:v>3286</x:v>
      </x:c>
      <x:c r="I39" s="55" t="n">
        <x:v>1124</x:v>
      </x:c>
      <x:c r="J39" s="55" t="n">
        <x:v>6</x:v>
      </x:c>
      <x:c r="K39" s="55" t="n">
        <x:v>28438</x:v>
      </x:c>
      <x:c r="L39" s="55" t="n">
        <x:v>5592</x:v>
      </x:c>
      <x:c r="M39" s="55" t="n">
        <x:v>1272</x:v>
      </x:c>
      <x:c r="N39" s="55" t="n">
        <x:v>2738</x:v>
      </x:c>
      <x:c r="O39" s="55" t="n">
        <x:v>1582</x:v>
      </x:c>
      <x:c r="P39" s="55" t="n">
        <x:v>931</x:v>
      </x:c>
      <x:c r="Q39" s="55" t="n">
        <x:v>2761</x:v>
      </x:c>
      <x:c r="R39" s="55" t="n">
        <x:v>2068</x:v>
      </x:c>
      <x:c r="S39" s="55" t="n">
        <x:v>2482</x:v>
      </x:c>
      <x:c r="T39" s="55" t="n">
        <x:v>1612</x:v>
      </x:c>
      <x:c r="U39" s="55" t="n">
        <x:v>1784</x:v>
      </x:c>
      <x:c r="V39" s="55" t="n">
        <x:v>10388</x:v>
      </x:c>
      <x:c r="W39" s="55" t="n">
        <x:v>7499</x:v>
      </x:c>
      <x:c r="X39" s="55" t="n">
        <x:v>2889</x:v>
      </x:c>
      <x:c r="Y39" s="55" t="n">
        <x:v>2470</x:v>
      </x:c>
      <x:c r="Z39" s="55" t="n">
        <x:v>3861</x:v>
      </x:c>
      <x:c r="AA39" s="55" t="n">
        <x:v>2756</x:v>
      </x:c>
      <x:c r="AB39" s="55" t="n">
        <x:v>823</x:v>
      </x:c>
      <x:c r="AC39" s="55" t="n">
        <x:v>7484</x:v>
      </x:c>
      <x:c r="AD39" s="55" t="n">
        <x:v>2557</x:v>
      </x:c>
      <x:c r="AE39" s="55" t="n">
        <x:v>10437</x:v>
      </x:c>
      <x:c r="AF39" s="55" t="n">
        <x:v>10388</x:v>
      </x:c>
      <x:c r="AG39" s="55" t="n">
        <x:v>49</x:v>
      </x:c>
      <x:c r="AH39" s="55" t="n">
        <x:v>396</x:v>
      </x:c>
      <x:c r="AI39" s="55" t="n">
        <x:v>9992</x:v>
      </x:c>
      <x:c r="AJ39" s="55" t="n">
        <x:v>385</x:v>
      </x:c>
      <x:c r="AK39" s="55" t="n">
        <x:v>917</x:v>
      </x:c>
      <x:c r="AL39" s="55" t="n">
        <x:v>1616</x:v>
      </x:c>
      <x:c r="AM39" s="55" t="n">
        <x:v>4836</x:v>
      </x:c>
      <x:c r="AN39" s="55" t="n">
        <x:v>2565</x:v>
      </x:c>
      <x:c r="AO39" s="55" t="n">
        <x:v>69</x:v>
      </x:c>
      <x:c r="AP39" s="55" t="n">
        <x:v>2283</x:v>
      </x:c>
      <x:c r="AQ39" s="55" t="n">
        <x:v>943</x:v>
      </x:c>
    </x:row>
    <x:row r="40">
      <x:c r="A40" s="54" t="str">
        <x:v>T2_CONCORDANT_DOMAIN</x:v>
      </x:c>
      <x:c r="B40" s="54" t="n">
        <x:v>34</x:v>
      </x:c>
      <x:c r="C40" s="54" t="str">
        <x:v>NYC-V2-R01</x:v>
      </x:c>
      <x:c r="D40" s="54" t="str">
        <x:v>V2</x:v>
      </x:c>
      <x:c r="E40" s="54" t="str">
        <x:v>ADMITTED</x:v>
      </x:c>
      <x:c r="F40" s="55" t="n">
        <x:v>29367</x:v>
      </x:c>
      <x:c r="G40" s="55" t="n">
        <x:v>6847</x:v>
      </x:c>
      <x:c r="H40" s="55" t="n">
        <x:v>2697</x:v>
      </x:c>
      <x:c r="I40" s="55" t="n">
        <x:v>1102</x:v>
      </x:c>
      <x:c r="J40" s="55" t="n">
        <x:v>94</x:v>
      </x:c>
      <x:c r="K40" s="55" t="n">
        <x:v>29367</x:v>
      </x:c>
      <x:c r="L40" s="55" t="n">
        <x:v>4451</x:v>
      </x:c>
      <x:c r="M40" s="55" t="n">
        <x:v>471</x:v>
      </x:c>
      <x:c r="N40" s="55" t="n">
        <x:v>2140</x:v>
      </x:c>
      <x:c r="O40" s="55" t="n">
        <x:v>1840</x:v>
      </x:c>
      <x:c r="P40" s="55" t="n">
        <x:v>596</x:v>
      </x:c>
      <x:c r="Q40" s="55" t="n">
        <x:v>2433</x:v>
      </x:c>
      <x:c r="R40" s="55" t="n">
        <x:v>1835</x:v>
      </x:c>
      <x:c r="S40" s="55" t="n">
        <x:v>2723</x:v>
      </x:c>
      <x:c r="T40" s="55" t="n">
        <x:v>1386</x:v>
      </x:c>
      <x:c r="U40" s="55" t="n">
        <x:v>1739</x:v>
      </x:c>
      <x:c r="V40" s="55" t="n">
        <x:v>10469</x:v>
      </x:c>
      <x:c r="W40" s="55" t="n">
        <x:v>7687</x:v>
      </x:c>
      <x:c r="X40" s="55" t="n">
        <x:v>2782</x:v>
      </x:c>
      <x:c r="Y40" s="55" t="n">
        <x:v>2374</x:v>
      </x:c>
      <x:c r="Z40" s="55" t="n">
        <x:v>3972</x:v>
      </x:c>
      <x:c r="AA40" s="55" t="n">
        <x:v>2697</x:v>
      </x:c>
      <x:c r="AB40" s="55" t="n">
        <x:v>957</x:v>
      </x:c>
      <x:c r="AC40" s="55" t="n">
        <x:v>7509</x:v>
      </x:c>
      <x:c r="AD40" s="55" t="n">
        <x:v>2575</x:v>
      </x:c>
      <x:c r="AE40" s="55" t="n">
        <x:v>10473</x:v>
      </x:c>
      <x:c r="AF40" s="55" t="n">
        <x:v>10469</x:v>
      </x:c>
      <x:c r="AG40" s="55" t="n">
        <x:v>4</x:v>
      </x:c>
      <x:c r="AH40" s="55" t="n">
        <x:v>439</x:v>
      </x:c>
      <x:c r="AI40" s="55" t="n">
        <x:v>10030</x:v>
      </x:c>
      <x:c r="AJ40" s="55" t="n">
        <x:v>371</x:v>
      </x:c>
      <x:c r="AK40" s="55" t="n">
        <x:v>939</x:v>
      </x:c>
      <x:c r="AL40" s="55" t="n">
        <x:v>1251</x:v>
      </x:c>
      <x:c r="AM40" s="55" t="n">
        <x:v>5027</x:v>
      </x:c>
      <x:c r="AN40" s="55" t="n">
        <x:v>2865</x:v>
      </x:c>
      <x:c r="AO40" s="55" t="n">
        <x:v>16</x:v>
      </x:c>
      <x:c r="AP40" s="55" t="n">
        <x:v>2257</x:v>
      </x:c>
      <x:c r="AQ40" s="55" t="n">
        <x:v>909</x:v>
      </x:c>
    </x:row>
    <x:row r="41">
      <x:c r="A41" s="54" t="str">
        <x:v>T2_CONCORDANT_DOMAIN</x:v>
      </x:c>
      <x:c r="B41" s="54" t="n">
        <x:v>35</x:v>
      </x:c>
      <x:c r="C41" s="54" t="str">
        <x:v>NYC-V2-R01</x:v>
      </x:c>
      <x:c r="D41" s="54" t="str">
        <x:v>V2</x:v>
      </x:c>
      <x:c r="E41" s="54" t="str">
        <x:v>ADMITTED</x:v>
      </x:c>
      <x:c r="F41" s="55" t="n">
        <x:v>31336</x:v>
      </x:c>
      <x:c r="G41" s="55" t="n">
        <x:v>8711</x:v>
      </x:c>
      <x:c r="H41" s="55" t="n">
        <x:v>3079</x:v>
      </x:c>
      <x:c r="I41" s="55" t="n">
        <x:v>1200</x:v>
      </x:c>
      <x:c r="J41" s="55" t="n">
        <x:v>224</x:v>
      </x:c>
      <x:c r="K41" s="55" t="n">
        <x:v>27982</x:v>
      </x:c>
      <x:c r="L41" s="55" t="n">
        <x:v>4802</x:v>
      </x:c>
      <x:c r="M41" s="55" t="n">
        <x:v>1425</x:v>
      </x:c>
      <x:c r="N41" s="55" t="n">
        <x:v>1991</x:v>
      </x:c>
      <x:c r="O41" s="55" t="n">
        <x:v>1386</x:v>
      </x:c>
      <x:c r="P41" s="55" t="n">
        <x:v>392</x:v>
      </x:c>
      <x:c r="Q41" s="55" t="n">
        <x:v>2877</x:v>
      </x:c>
      <x:c r="R41" s="55" t="n">
        <x:v>1632</x:v>
      </x:c>
      <x:c r="S41" s="55" t="n">
        <x:v>2518</x:v>
      </x:c>
      <x:c r="T41" s="55" t="n">
        <x:v>859</x:v>
      </x:c>
      <x:c r="U41" s="55" t="n">
        <x:v>1742</x:v>
      </x:c>
      <x:c r="V41" s="55" t="n">
        <x:v>10121</x:v>
      </x:c>
      <x:c r="W41" s="55" t="n">
        <x:v>6787</x:v>
      </x:c>
      <x:c r="X41" s="55" t="n">
        <x:v>3334</x:v>
      </x:c>
      <x:c r="Y41" s="55" t="n">
        <x:v>2869</x:v>
      </x:c>
      <x:c r="Z41" s="55" t="n">
        <x:v>3311</x:v>
      </x:c>
      <x:c r="AA41" s="55" t="n">
        <x:v>3009</x:v>
      </x:c>
      <x:c r="AB41" s="55" t="n">
        <x:v>781</x:v>
      </x:c>
      <x:c r="AC41" s="55" t="n">
        <x:v>7704</x:v>
      </x:c>
      <x:c r="AD41" s="55" t="n">
        <x:v>3214</x:v>
      </x:c>
      <x:c r="AE41" s="55" t="n">
        <x:v>10197</x:v>
      </x:c>
      <x:c r="AF41" s="55" t="n">
        <x:v>10121</x:v>
      </x:c>
      <x:c r="AG41" s="55" t="n">
        <x:v>76</x:v>
      </x:c>
      <x:c r="AH41" s="55" t="n">
        <x:v>505</x:v>
      </x:c>
      <x:c r="AI41" s="55" t="n">
        <x:v>9616</x:v>
      </x:c>
      <x:c r="AJ41" s="55" t="n">
        <x:v>97</x:v>
      </x:c>
      <x:c r="AK41" s="55" t="n">
        <x:v>699</x:v>
      </x:c>
      <x:c r="AL41" s="55" t="n">
        <x:v>1609</x:v>
      </x:c>
      <x:c r="AM41" s="55" t="n">
        <x:v>4970</x:v>
      </x:c>
      <x:c r="AN41" s="55" t="n">
        <x:v>2746</x:v>
      </x:c>
      <x:c r="AO41" s="55" t="n">
        <x:v>0</x:v>
      </x:c>
      <x:c r="AP41" s="55" t="n">
        <x:v>2141</x:v>
      </x:c>
      <x:c r="AQ41" s="55" t="n">
        <x:v>957</x:v>
      </x:c>
    </x:row>
    <x:row r="42">
      <x:c r="A42" s="54" t="str">
        <x:v>T2_CONCORDANT_DOMAIN</x:v>
      </x:c>
      <x:c r="B42" s="54" t="n">
        <x:v>36</x:v>
      </x:c>
      <x:c r="C42" s="54" t="str">
        <x:v>NYC-V2-R01</x:v>
      </x:c>
      <x:c r="D42" s="54" t="str">
        <x:v>V2</x:v>
      </x:c>
      <x:c r="E42" s="54" t="str">
        <x:v>ADMITTED</x:v>
      </x:c>
      <x:c r="F42" s="55" t="n">
        <x:v>31307</x:v>
      </x:c>
      <x:c r="G42" s="55" t="n">
        <x:v>7643</x:v>
      </x:c>
      <x:c r="H42" s="55" t="n">
        <x:v>3663</x:v>
      </x:c>
      <x:c r="I42" s="55" t="n">
        <x:v>1186</x:v>
      </x:c>
      <x:c r="J42" s="55" t="n">
        <x:v>177</x:v>
      </x:c>
      <x:c r="K42" s="55" t="n">
        <x:v>30699</x:v>
      </x:c>
      <x:c r="L42" s="55" t="n">
        <x:v>4916</x:v>
      </x:c>
      <x:c r="M42" s="55" t="n">
        <x:v>605</x:v>
      </x:c>
      <x:c r="N42" s="55" t="n">
        <x:v>2579</x:v>
      </x:c>
      <x:c r="O42" s="55" t="n">
        <x:v>1732</x:v>
      </x:c>
      <x:c r="P42" s="55" t="n">
        <x:v>637</x:v>
      </x:c>
      <x:c r="Q42" s="55" t="n">
        <x:v>2368</x:v>
      </x:c>
      <x:c r="R42" s="55" t="n">
        <x:v>1656</x:v>
      </x:c>
      <x:c r="S42" s="55" t="n">
        <x:v>2644</x:v>
      </x:c>
      <x:c r="T42" s="55" t="n">
        <x:v>839</x:v>
      </x:c>
      <x:c r="U42" s="55" t="n">
        <x:v>1837</x:v>
      </x:c>
      <x:c r="V42" s="55" t="n">
        <x:v>10542</x:v>
      </x:c>
      <x:c r="W42" s="55" t="n">
        <x:v>7243</x:v>
      </x:c>
      <x:c r="X42" s="55" t="n">
        <x:v>3299</x:v>
      </x:c>
      <x:c r="Y42" s="55" t="n">
        <x:v>2792</x:v>
      </x:c>
      <x:c r="Z42" s="55" t="n">
        <x:v>3669</x:v>
      </x:c>
      <x:c r="AA42" s="55" t="n">
        <x:v>3663</x:v>
      </x:c>
      <x:c r="AB42" s="55" t="n">
        <x:v>1234</x:v>
      </x:c>
      <x:c r="AC42" s="55" t="n">
        <x:v>8674</x:v>
      </x:c>
      <x:c r="AD42" s="55" t="n">
        <x:v>3297</x:v>
      </x:c>
      <x:c r="AE42" s="55" t="n">
        <x:v>10659</x:v>
      </x:c>
      <x:c r="AF42" s="55" t="n">
        <x:v>10542</x:v>
      </x:c>
      <x:c r="AG42" s="55" t="n">
        <x:v>117</x:v>
      </x:c>
      <x:c r="AH42" s="55" t="n">
        <x:v>575</x:v>
      </x:c>
      <x:c r="AI42" s="55" t="n">
        <x:v>9967</x:v>
      </x:c>
      <x:c r="AJ42" s="55" t="n">
        <x:v>368</x:v>
      </x:c>
      <x:c r="AK42" s="55" t="n">
        <x:v>987</x:v>
      </x:c>
      <x:c r="AL42" s="55" t="n">
        <x:v>1891</x:v>
      </x:c>
      <x:c r="AM42" s="55" t="n">
        <x:v>4829</x:v>
      </x:c>
      <x:c r="AN42" s="55" t="n">
        <x:v>2443</x:v>
      </x:c>
      <x:c r="AO42" s="55" t="n">
        <x:v>24</x:v>
      </x:c>
      <x:c r="AP42" s="55" t="n">
        <x:v>2231</x:v>
      </x:c>
      <x:c r="AQ42" s="55" t="n">
        <x:v>967</x:v>
      </x:c>
    </x:row>
    <x:row r="43">
      <x:c r="A43" s="54" t="str">
        <x:v>T2_CONCORDANT_DOMAIN</x:v>
      </x:c>
      <x:c r="B43" s="54" t="n">
        <x:v>37</x:v>
      </x:c>
      <x:c r="C43" s="54" t="str">
        <x:v>NYC-V2-R01</x:v>
      </x:c>
      <x:c r="D43" s="54" t="str">
        <x:v>V2</x:v>
      </x:c>
      <x:c r="E43" s="54" t="str">
        <x:v>ADMITTED</x:v>
      </x:c>
      <x:c r="F43" s="55" t="n">
        <x:v>30905</x:v>
      </x:c>
      <x:c r="G43" s="55" t="n">
        <x:v>7741</x:v>
      </x:c>
      <x:c r="H43" s="55" t="n">
        <x:v>2986</x:v>
      </x:c>
      <x:c r="I43" s="55" t="n">
        <x:v>1119</x:v>
      </x:c>
      <x:c r="J43" s="55" t="n">
        <x:v>59</x:v>
      </x:c>
      <x:c r="K43" s="55" t="n">
        <x:v>30905</x:v>
      </x:c>
      <x:c r="L43" s="55" t="n">
        <x:v>5756</x:v>
      </x:c>
      <x:c r="M43" s="55" t="n">
        <x:v>1559</x:v>
      </x:c>
      <x:c r="N43" s="55" t="n">
        <x:v>2472</x:v>
      </x:c>
      <x:c r="O43" s="55" t="n">
        <x:v>1725</x:v>
      </x:c>
      <x:c r="P43" s="55" t="n">
        <x:v>783</x:v>
      </x:c>
      <x:c r="Q43" s="55" t="n">
        <x:v>2244</x:v>
      </x:c>
      <x:c r="R43" s="55" t="n">
        <x:v>1610</x:v>
      </x:c>
      <x:c r="S43" s="55" t="n">
        <x:v>2930</x:v>
      </x:c>
      <x:c r="T43" s="55" t="n">
        <x:v>1383</x:v>
      </x:c>
      <x:c r="U43" s="55" t="n">
        <x:v>2057</x:v>
      </x:c>
      <x:c r="V43" s="55" t="n">
        <x:v>10076</x:v>
      </x:c>
      <x:c r="W43" s="55" t="n">
        <x:v>7592</x:v>
      </x:c>
      <x:c r="X43" s="55" t="n">
        <x:v>2484</x:v>
      </x:c>
      <x:c r="Y43" s="55" t="n">
        <x:v>2227</x:v>
      </x:c>
      <x:c r="Z43" s="55" t="n">
        <x:v>3241</x:v>
      </x:c>
      <x:c r="AA43" s="55" t="n">
        <x:v>2379</x:v>
      </x:c>
      <x:c r="AB43" s="55" t="n">
        <x:v>593</x:v>
      </x:c>
      <x:c r="AC43" s="55" t="n">
        <x:v>7182</x:v>
      </x:c>
      <x:c r="AD43" s="55" t="n">
        <x:v>2261</x:v>
      </x:c>
      <x:c r="AE43" s="55" t="n">
        <x:v>10127</x:v>
      </x:c>
      <x:c r="AF43" s="55" t="n">
        <x:v>10076</x:v>
      </x:c>
      <x:c r="AG43" s="55" t="n">
        <x:v>51</x:v>
      </x:c>
      <x:c r="AH43" s="55" t="n">
        <x:v>454</x:v>
      </x:c>
      <x:c r="AI43" s="55" t="n">
        <x:v>9622</x:v>
      </x:c>
      <x:c r="AJ43" s="55" t="n">
        <x:v>261</x:v>
      </x:c>
      <x:c r="AK43" s="55" t="n">
        <x:v>1196</x:v>
      </x:c>
      <x:c r="AL43" s="55" t="n">
        <x:v>1282</x:v>
      </x:c>
      <x:c r="AM43" s="55" t="n">
        <x:v>5016</x:v>
      </x:c>
      <x:c r="AN43" s="55" t="n">
        <x:v>2321</x:v>
      </x:c>
      <x:c r="AO43" s="55" t="n">
        <x:v>0</x:v>
      </x:c>
      <x:c r="AP43" s="55" t="n">
        <x:v>2583</x:v>
      </x:c>
      <x:c r="AQ43" s="55" t="n">
        <x:v>951</x:v>
      </x:c>
    </x:row>
    <x:row r="44">
      <x:c r="A44" s="54" t="str">
        <x:v>T2_CONCORDANT_DOMAIN</x:v>
      </x:c>
      <x:c r="B44" s="54" t="n">
        <x:v>38</x:v>
      </x:c>
      <x:c r="C44" s="54" t="str">
        <x:v>NYC-V2-R01</x:v>
      </x:c>
      <x:c r="D44" s="54" t="str">
        <x:v>V2</x:v>
      </x:c>
      <x:c r="E44" s="54" t="str">
        <x:v>ADMITTED</x:v>
      </x:c>
      <x:c r="F44" s="55" t="n">
        <x:v>32013</x:v>
      </x:c>
      <x:c r="G44" s="55" t="n">
        <x:v>7903</x:v>
      </x:c>
      <x:c r="H44" s="55" t="n">
        <x:v>3404</x:v>
      </x:c>
      <x:c r="I44" s="55" t="n">
        <x:v>1245</x:v>
      </x:c>
      <x:c r="J44" s="55" t="n">
        <x:v>397</x:v>
      </x:c>
      <x:c r="K44" s="55" t="n">
        <x:v>31241</x:v>
      </x:c>
      <x:c r="L44" s="55" t="n">
        <x:v>6418</x:v>
      </x:c>
      <x:c r="M44" s="55" t="n">
        <x:v>2223</x:v>
      </x:c>
      <x:c r="N44" s="55" t="n">
        <x:v>2510</x:v>
      </x:c>
      <x:c r="O44" s="55" t="n">
        <x:v>1685</x:v>
      </x:c>
      <x:c r="P44" s="55" t="n">
        <x:v>906</x:v>
      </x:c>
      <x:c r="Q44" s="55" t="n">
        <x:v>2922</x:v>
      </x:c>
      <x:c r="R44" s="55" t="n">
        <x:v>1875</x:v>
      </x:c>
      <x:c r="S44" s="55" t="n">
        <x:v>3332</x:v>
      </x:c>
      <x:c r="T44" s="55" t="n">
        <x:v>1597</x:v>
      </x:c>
      <x:c r="U44" s="55" t="n">
        <x:v>2777</x:v>
      </x:c>
      <x:c r="V44" s="55" t="n">
        <x:v>10480</x:v>
      </x:c>
      <x:c r="W44" s="55" t="n">
        <x:v>7633</x:v>
      </x:c>
      <x:c r="X44" s="55" t="n">
        <x:v>2847</x:v>
      </x:c>
      <x:c r="Y44" s="55" t="n">
        <x:v>2337</x:v>
      </x:c>
      <x:c r="Z44" s="55" t="n">
        <x:v>3582</x:v>
      </x:c>
      <x:c r="AA44" s="55" t="n">
        <x:v>2993</x:v>
      </x:c>
      <x:c r="AB44" s="55" t="n">
        <x:v>900</x:v>
      </x:c>
      <x:c r="AC44" s="55" t="n">
        <x:v>7685</x:v>
      </x:c>
      <x:c r="AD44" s="55" t="n">
        <x:v>2871</x:v>
      </x:c>
      <x:c r="AE44" s="55" t="n">
        <x:v>10516</x:v>
      </x:c>
      <x:c r="AF44" s="55" t="n">
        <x:v>10480</x:v>
      </x:c>
      <x:c r="AG44" s="55" t="n">
        <x:v>36</x:v>
      </x:c>
      <x:c r="AH44" s="55" t="n">
        <x:v>470</x:v>
      </x:c>
      <x:c r="AI44" s="55" t="n">
        <x:v>10010</x:v>
      </x:c>
      <x:c r="AJ44" s="55" t="n">
        <x:v>166</x:v>
      </x:c>
      <x:c r="AK44" s="55" t="n">
        <x:v>1075</x:v>
      </x:c>
      <x:c r="AL44" s="55" t="n">
        <x:v>1739</x:v>
      </x:c>
      <x:c r="AM44" s="55" t="n">
        <x:v>5345</x:v>
      </x:c>
      <x:c r="AN44" s="55" t="n">
        <x:v>2106</x:v>
      </x:c>
      <x:c r="AO44" s="55" t="n">
        <x:v>49</x:v>
      </x:c>
      <x:c r="AP44" s="55" t="n">
        <x:v>2269</x:v>
      </x:c>
      <x:c r="AQ44" s="55" t="n">
        <x:v>971</x:v>
      </x:c>
    </x:row>
    <x:row r="45">
      <x:c r="A45" s="54" t="str">
        <x:v>T2_CONCORDANT_DOMAIN</x:v>
      </x:c>
      <x:c r="B45" s="54" t="n">
        <x:v>39</x:v>
      </x:c>
      <x:c r="C45" s="54" t="str">
        <x:v>NYC-V2-R01</x:v>
      </x:c>
      <x:c r="D45" s="54" t="str">
        <x:v>V2</x:v>
      </x:c>
      <x:c r="E45" s="54" t="str">
        <x:v>ADMITTED</x:v>
      </x:c>
      <x:c r="F45" s="55" t="n">
        <x:v>31141</x:v>
      </x:c>
      <x:c r="G45" s="55" t="n">
        <x:v>6546</x:v>
      </x:c>
      <x:c r="H45" s="55" t="n">
        <x:v>3476</x:v>
      </x:c>
      <x:c r="I45" s="55" t="n">
        <x:v>1613</x:v>
      </x:c>
      <x:c r="J45" s="55" t="n">
        <x:v>365</x:v>
      </x:c>
      <x:c r="K45" s="55" t="n">
        <x:v>31141</x:v>
      </x:c>
      <x:c r="L45" s="55" t="n">
        <x:v>6593</x:v>
      </x:c>
      <x:c r="M45" s="55" t="n">
        <x:v>1584</x:v>
      </x:c>
      <x:c r="N45" s="55" t="n">
        <x:v>2938</x:v>
      </x:c>
      <x:c r="O45" s="55" t="n">
        <x:v>2071</x:v>
      </x:c>
      <x:c r="P45" s="55" t="n">
        <x:v>981</x:v>
      </x:c>
      <x:c r="Q45" s="55" t="n">
        <x:v>2819</x:v>
      </x:c>
      <x:c r="R45" s="55" t="n">
        <x:v>2217</x:v>
      </x:c>
      <x:c r="S45" s="55" t="n">
        <x:v>2480</x:v>
      </x:c>
      <x:c r="T45" s="55" t="n">
        <x:v>1553</x:v>
      </x:c>
      <x:c r="U45" s="55" t="n">
        <x:v>2103</x:v>
      </x:c>
      <x:c r="V45" s="55" t="n">
        <x:v>10438</x:v>
      </x:c>
      <x:c r="W45" s="55" t="n">
        <x:v>6986</x:v>
      </x:c>
      <x:c r="X45" s="55" t="n">
        <x:v>3452</x:v>
      </x:c>
      <x:c r="Y45" s="55" t="n">
        <x:v>3069</x:v>
      </x:c>
      <x:c r="Z45" s="55" t="n">
        <x:v>3451</x:v>
      </x:c>
      <x:c r="AA45" s="55" t="n">
        <x:v>3476</x:v>
      </x:c>
      <x:c r="AB45" s="55" t="n">
        <x:v>1293</x:v>
      </x:c>
      <x:c r="AC45" s="55" t="n">
        <x:v>8213</x:v>
      </x:c>
      <x:c r="AD45" s="55" t="n">
        <x:v>2813</x:v>
      </x:c>
      <x:c r="AE45" s="55" t="n">
        <x:v>10544</x:v>
      </x:c>
      <x:c r="AF45" s="55" t="n">
        <x:v>10438</x:v>
      </x:c>
      <x:c r="AG45" s="55" t="n">
        <x:v>106</x:v>
      </x:c>
      <x:c r="AH45" s="55" t="n">
        <x:v>318</x:v>
      </x:c>
      <x:c r="AI45" s="55" t="n">
        <x:v>10120</x:v>
      </x:c>
      <x:c r="AJ45" s="55" t="n">
        <x:v>258</x:v>
      </x:c>
      <x:c r="AK45" s="55" t="n">
        <x:v>1177</x:v>
      </x:c>
      <x:c r="AL45" s="55" t="n">
        <x:v>1291</x:v>
      </x:c>
      <x:c r="AM45" s="55" t="n">
        <x:v>4754</x:v>
      </x:c>
      <x:c r="AN45" s="55" t="n">
        <x:v>2901</x:v>
      </x:c>
      <x:c r="AO45" s="55" t="n">
        <x:v>57</x:v>
      </x:c>
      <x:c r="AP45" s="55" t="n">
        <x:v>2840</x:v>
      </x:c>
      <x:c r="AQ45" s="55" t="n">
        <x:v>936</x:v>
      </x:c>
    </x:row>
    <x:row r="46">
      <x:c r="A46" s="54" t="str">
        <x:v>T2_CONCORDANT_DOMAIN</x:v>
      </x:c>
      <x:c r="B46" s="54" t="n">
        <x:v>40</x:v>
      </x:c>
      <x:c r="C46" s="54" t="str">
        <x:v>NYC-V2-R01</x:v>
      </x:c>
      <x:c r="D46" s="54" t="str">
        <x:v>V2</x:v>
      </x:c>
      <x:c r="E46" s="54" t="str">
        <x:v>ADMITTED</x:v>
      </x:c>
      <x:c r="F46" s="55" t="n">
        <x:v>29524</x:v>
      </x:c>
      <x:c r="G46" s="55" t="n">
        <x:v>6297</x:v>
      </x:c>
      <x:c r="H46" s="55" t="n">
        <x:v>2720</x:v>
      </x:c>
      <x:c r="I46" s="55" t="n">
        <x:v>1065</x:v>
      </x:c>
      <x:c r="J46" s="55" t="n">
        <x:v>55</x:v>
      </x:c>
      <x:c r="K46" s="55" t="n">
        <x:v>29283</x:v>
      </x:c>
      <x:c r="L46" s="55" t="n">
        <x:v>4396</x:v>
      </x:c>
      <x:c r="M46" s="55" t="n">
        <x:v>948</x:v>
      </x:c>
      <x:c r="N46" s="55" t="n">
        <x:v>2419</x:v>
      </x:c>
      <x:c r="O46" s="55" t="n">
        <x:v>1029</x:v>
      </x:c>
      <x:c r="P46" s="55" t="n">
        <x:v>654</x:v>
      </x:c>
      <x:c r="Q46" s="55" t="n">
        <x:v>2102</x:v>
      </x:c>
      <x:c r="R46" s="55" t="n">
        <x:v>1302</x:v>
      </x:c>
      <x:c r="S46" s="55" t="n">
        <x:v>2379</x:v>
      </x:c>
      <x:c r="T46" s="55" t="n">
        <x:v>993</x:v>
      </x:c>
      <x:c r="U46" s="55" t="n">
        <x:v>1265</x:v>
      </x:c>
      <x:c r="V46" s="55" t="n">
        <x:v>9373</x:v>
      </x:c>
      <x:c r="W46" s="55" t="n">
        <x:v>6634</x:v>
      </x:c>
      <x:c r="X46" s="55" t="n">
        <x:v>2739</x:v>
      </x:c>
      <x:c r="Y46" s="55" t="n">
        <x:v>2421</x:v>
      </x:c>
      <x:c r="Z46" s="55" t="n">
        <x:v>3478</x:v>
      </x:c>
      <x:c r="AA46" s="55" t="n">
        <x:v>2720</x:v>
      </x:c>
      <x:c r="AB46" s="55" t="n">
        <x:v>777</x:v>
      </x:c>
      <x:c r="AC46" s="55" t="n">
        <x:v>7870</x:v>
      </x:c>
      <x:c r="AD46" s="55" t="n">
        <x:v>2353</x:v>
      </x:c>
      <x:c r="AE46" s="55" t="n">
        <x:v>9429</x:v>
      </x:c>
      <x:c r="AF46" s="55" t="n">
        <x:v>9373</x:v>
      </x:c>
      <x:c r="AG46" s="55" t="n">
        <x:v>56</x:v>
      </x:c>
      <x:c r="AH46" s="55" t="n">
        <x:v>190</x:v>
      </x:c>
      <x:c r="AI46" s="55" t="n">
        <x:v>9183</x:v>
      </x:c>
      <x:c r="AJ46" s="55" t="n">
        <x:v>140</x:v>
      </x:c>
      <x:c r="AK46" s="55" t="n">
        <x:v>502</x:v>
      </x:c>
      <x:c r="AL46" s="55" t="n">
        <x:v>1631</x:v>
      </x:c>
      <x:c r="AM46" s="55" t="n">
        <x:v>4611</x:v>
      </x:c>
      <x:c r="AN46" s="55" t="n">
        <x:v>2489</x:v>
      </x:c>
      <x:c r="AO46" s="55" t="n">
        <x:v>0</x:v>
      </x:c>
      <x:c r="AP46" s="55" t="n">
        <x:v>2348</x:v>
      </x:c>
      <x:c r="AQ46" s="55" t="n">
        <x:v>929</x:v>
      </x:c>
    </x:row>
    <x:row r="47">
      <x:c r="A47" s="54" t="str">
        <x:v>T2_CONCORDANT_DOMAIN</x:v>
      </x:c>
      <x:c r="B47" s="54" t="n">
        <x:v>41</x:v>
      </x:c>
      <x:c r="C47" s="54" t="str">
        <x:v>NYC-V2-R01</x:v>
      </x:c>
      <x:c r="D47" s="54" t="str">
        <x:v>V2</x:v>
      </x:c>
      <x:c r="E47" s="54" t="str">
        <x:v>ADMITTED</x:v>
      </x:c>
      <x:c r="F47" s="55" t="n">
        <x:v>32593</x:v>
      </x:c>
      <x:c r="G47" s="55" t="n">
        <x:v>7839</x:v>
      </x:c>
      <x:c r="H47" s="55" t="n">
        <x:v>3290</x:v>
      </x:c>
      <x:c r="I47" s="55" t="n">
        <x:v>1310</x:v>
      </x:c>
      <x:c r="J47" s="55" t="n">
        <x:v>146</x:v>
      </x:c>
      <x:c r="K47" s="55" t="n">
        <x:v>32593</x:v>
      </x:c>
      <x:c r="L47" s="55" t="n">
        <x:v>6514</x:v>
      </x:c>
      <x:c r="M47" s="55" t="n">
        <x:v>1947</x:v>
      </x:c>
      <x:c r="N47" s="55" t="n">
        <x:v>2959</x:v>
      </x:c>
      <x:c r="O47" s="55" t="n">
        <x:v>1608</x:v>
      </x:c>
      <x:c r="P47" s="55" t="n">
        <x:v>1086</x:v>
      </x:c>
      <x:c r="Q47" s="55" t="n">
        <x:v>2616</x:v>
      </x:c>
      <x:c r="R47" s="55" t="n">
        <x:v>1847</x:v>
      </x:c>
      <x:c r="S47" s="55" t="n">
        <x:v>3504</x:v>
      </x:c>
      <x:c r="T47" s="55" t="n">
        <x:v>1477</x:v>
      </x:c>
      <x:c r="U47" s="55" t="n">
        <x:v>2323</x:v>
      </x:c>
      <x:c r="V47" s="55" t="n">
        <x:v>10977</x:v>
      </x:c>
      <x:c r="W47" s="55" t="n">
        <x:v>7387</x:v>
      </x:c>
      <x:c r="X47" s="55" t="n">
        <x:v>3590</x:v>
      </x:c>
      <x:c r="Y47" s="55" t="n">
        <x:v>3029</x:v>
      </x:c>
      <x:c r="Z47" s="55" t="n">
        <x:v>3779</x:v>
      </x:c>
      <x:c r="AA47" s="55" t="n">
        <x:v>3290</x:v>
      </x:c>
      <x:c r="AB47" s="55" t="n">
        <x:v>1305</x:v>
      </x:c>
      <x:c r="AC47" s="55" t="n">
        <x:v>8017</x:v>
      </x:c>
      <x:c r="AD47" s="55" t="n">
        <x:v>3379</x:v>
      </x:c>
      <x:c r="AE47" s="55" t="n">
        <x:v>11105</x:v>
      </x:c>
      <x:c r="AF47" s="55" t="n">
        <x:v>10977</x:v>
      </x:c>
      <x:c r="AG47" s="55" t="n">
        <x:v>128</x:v>
      </x:c>
      <x:c r="AH47" s="55" t="n">
        <x:v>347</x:v>
      </x:c>
      <x:c r="AI47" s="55" t="n">
        <x:v>10630</x:v>
      </x:c>
      <x:c r="AJ47" s="55" t="n">
        <x:v>424</x:v>
      </x:c>
      <x:c r="AK47" s="55" t="n">
        <x:v>858</x:v>
      </x:c>
      <x:c r="AL47" s="55" t="n">
        <x:v>1602</x:v>
      </x:c>
      <x:c r="AM47" s="55" t="n">
        <x:v>5179</x:v>
      </x:c>
      <x:c r="AN47" s="55" t="n">
        <x:v>2796</x:v>
      </x:c>
      <x:c r="AO47" s="55" t="n">
        <x:v>118</x:v>
      </x:c>
      <x:c r="AP47" s="55" t="n">
        <x:v>2615</x:v>
      </x:c>
      <x:c r="AQ47" s="55" t="n">
        <x:v>963</x:v>
      </x:c>
    </x:row>
    <x:row r="48">
      <x:c r="A48" s="54" t="str">
        <x:v>T2_CONCORDANT_DOMAIN</x:v>
      </x:c>
      <x:c r="B48" s="54" t="n">
        <x:v>42</x:v>
      </x:c>
      <x:c r="C48" s="54" t="str">
        <x:v>NYC-V2-R01</x:v>
      </x:c>
      <x:c r="D48" s="54" t="str">
        <x:v>V2</x:v>
      </x:c>
      <x:c r="E48" s="54" t="str">
        <x:v>ADMITTED</x:v>
      </x:c>
      <x:c r="F48" s="55" t="n">
        <x:v>31874</x:v>
      </x:c>
      <x:c r="G48" s="55" t="n">
        <x:v>8768</x:v>
      </x:c>
      <x:c r="H48" s="55" t="n">
        <x:v>3531</x:v>
      </x:c>
      <x:c r="I48" s="55" t="n">
        <x:v>1462</x:v>
      </x:c>
      <x:c r="J48" s="55" t="n">
        <x:v>247</x:v>
      </x:c>
      <x:c r="K48" s="55" t="n">
        <x:v>31278</x:v>
      </x:c>
      <x:c r="L48" s="55" t="n">
        <x:v>6775</x:v>
      </x:c>
      <x:c r="M48" s="55" t="n">
        <x:v>1857</x:v>
      </x:c>
      <x:c r="N48" s="55" t="n">
        <x:v>2663</x:v>
      </x:c>
      <x:c r="O48" s="55" t="n">
        <x:v>2255</x:v>
      </x:c>
      <x:c r="P48" s="55" t="n">
        <x:v>944</x:v>
      </x:c>
      <x:c r="Q48" s="55" t="n">
        <x:v>2317</x:v>
      </x:c>
      <x:c r="R48" s="55" t="n">
        <x:v>2185</x:v>
      </x:c>
      <x:c r="S48" s="55" t="n">
        <x:v>2868</x:v>
      </x:c>
      <x:c r="T48" s="55" t="n">
        <x:v>1452</x:v>
      </x:c>
      <x:c r="U48" s="55" t="n">
        <x:v>2920</x:v>
      </x:c>
      <x:c r="V48" s="55" t="n">
        <x:v>11530</x:v>
      </x:c>
      <x:c r="W48" s="55" t="n">
        <x:v>8677</x:v>
      </x:c>
      <x:c r="X48" s="55" t="n">
        <x:v>2853</x:v>
      </x:c>
      <x:c r="Y48" s="55" t="n">
        <x:v>2648</x:v>
      </x:c>
      <x:c r="Z48" s="55" t="n">
        <x:v>3863</x:v>
      </x:c>
      <x:c r="AA48" s="55" t="n">
        <x:v>3281</x:v>
      </x:c>
      <x:c r="AB48" s="55" t="n">
        <x:v>1456</x:v>
      </x:c>
      <x:c r="AC48" s="55" t="n">
        <x:v>8407</x:v>
      </x:c>
      <x:c r="AD48" s="55" t="n">
        <x:v>3457</x:v>
      </x:c>
      <x:c r="AE48" s="55" t="n">
        <x:v>11687</x:v>
      </x:c>
      <x:c r="AF48" s="55" t="n">
        <x:v>11530</x:v>
      </x:c>
      <x:c r="AG48" s="55" t="n">
        <x:v>157</x:v>
      </x:c>
      <x:c r="AH48" s="55" t="n">
        <x:v>703</x:v>
      </x:c>
      <x:c r="AI48" s="55" t="n">
        <x:v>10827</x:v>
      </x:c>
      <x:c r="AJ48" s="55" t="n">
        <x:v>387</x:v>
      </x:c>
      <x:c r="AK48" s="55" t="n">
        <x:v>1054</x:v>
      </x:c>
      <x:c r="AL48" s="55" t="n">
        <x:v>1772</x:v>
      </x:c>
      <x:c r="AM48" s="55" t="n">
        <x:v>4653</x:v>
      </x:c>
      <x:c r="AN48" s="55" t="n">
        <x:v>3582</x:v>
      </x:c>
      <x:c r="AO48" s="55" t="n">
        <x:v>82</x:v>
      </x:c>
      <x:c r="AP48" s="55" t="n">
        <x:v>2518</x:v>
      </x:c>
      <x:c r="AQ48" s="55" t="n">
        <x:v>950</x:v>
      </x:c>
    </x:row>
    <x:row r="49">
      <x:c r="A49" s="54" t="str">
        <x:v>T2_CONCORDANT_DOMAIN</x:v>
      </x:c>
      <x:c r="B49" s="54" t="n">
        <x:v>43</x:v>
      </x:c>
      <x:c r="C49" s="54" t="str">
        <x:v>NYC-V2-R01</x:v>
      </x:c>
      <x:c r="D49" s="54" t="str">
        <x:v>V2</x:v>
      </x:c>
      <x:c r="E49" s="54" t="str">
        <x:v>ADMITTED</x:v>
      </x:c>
      <x:c r="F49" s="55" t="n">
        <x:v>29330</x:v>
      </x:c>
      <x:c r="G49" s="55" t="n">
        <x:v>7132</x:v>
      </x:c>
      <x:c r="H49" s="55" t="n">
        <x:v>3059</x:v>
      </x:c>
      <x:c r="I49" s="55" t="n">
        <x:v>781</x:v>
      </x:c>
      <x:c r="J49" s="55" t="n">
        <x:v>60</x:v>
      </x:c>
      <x:c r="K49" s="55" t="n">
        <x:v>29330</x:v>
      </x:c>
      <x:c r="L49" s="55" t="n">
        <x:v>3622</x:v>
      </x:c>
      <x:c r="M49" s="55" t="n">
        <x:v>634</x:v>
      </x:c>
      <x:c r="N49" s="55" t="n">
        <x:v>1706</x:v>
      </x:c>
      <x:c r="O49" s="55" t="n">
        <x:v>1282</x:v>
      </x:c>
      <x:c r="P49" s="55" t="n">
        <x:v>542</x:v>
      </x:c>
      <x:c r="Q49" s="55" t="n">
        <x:v>1668</x:v>
      </x:c>
      <x:c r="R49" s="55" t="n">
        <x:v>1795</x:v>
      </x:c>
      <x:c r="S49" s="55" t="n">
        <x:v>2649</x:v>
      </x:c>
      <x:c r="T49" s="55" t="n">
        <x:v>887</x:v>
      </x:c>
      <x:c r="U49" s="55" t="n">
        <x:v>1593</x:v>
      </x:c>
      <x:c r="V49" s="55" t="n">
        <x:v>9944</x:v>
      </x:c>
      <x:c r="W49" s="55" t="n">
        <x:v>7069</x:v>
      </x:c>
      <x:c r="X49" s="55" t="n">
        <x:v>2875</x:v>
      </x:c>
      <x:c r="Y49" s="55" t="n">
        <x:v>2657</x:v>
      </x:c>
      <x:c r="Z49" s="55" t="n">
        <x:v>3298</x:v>
      </x:c>
      <x:c r="AA49" s="55" t="n">
        <x:v>2671</x:v>
      </x:c>
      <x:c r="AB49" s="55" t="n">
        <x:v>878</x:v>
      </x:c>
      <x:c r="AC49" s="55" t="n">
        <x:v>8559</x:v>
      </x:c>
      <x:c r="AD49" s="55" t="n">
        <x:v>3155</x:v>
      </x:c>
      <x:c r="AE49" s="55" t="n">
        <x:v>9986</x:v>
      </x:c>
      <x:c r="AF49" s="55" t="n">
        <x:v>9944</x:v>
      </x:c>
      <x:c r="AG49" s="55" t="n">
        <x:v>42</x:v>
      </x:c>
      <x:c r="AH49" s="55" t="n">
        <x:v>227</x:v>
      </x:c>
      <x:c r="AI49" s="55" t="n">
        <x:v>9717</x:v>
      </x:c>
      <x:c r="AJ49" s="55" t="n">
        <x:v>444</x:v>
      </x:c>
      <x:c r="AK49" s="55" t="n">
        <x:v>736</x:v>
      </x:c>
      <x:c r="AL49" s="55" t="n">
        <x:v>1288</x:v>
      </x:c>
      <x:c r="AM49" s="55" t="n">
        <x:v>4997</x:v>
      </x:c>
      <x:c r="AN49" s="55" t="n">
        <x:v>2479</x:v>
      </x:c>
      <x:c r="AO49" s="55" t="n">
        <x:v>0</x:v>
      </x:c>
      <x:c r="AP49" s="55" t="n">
        <x:v>1676</x:v>
      </x:c>
      <x:c r="AQ49" s="55" t="n">
        <x:v>947</x:v>
      </x:c>
    </x:row>
    <x:row r="50">
      <x:c r="A50" s="54" t="str">
        <x:v>T2_CONCORDANT_DOMAIN</x:v>
      </x:c>
      <x:c r="B50" s="54" t="n">
        <x:v>44</x:v>
      </x:c>
      <x:c r="C50" s="54" t="str">
        <x:v>NYC-V2-R01</x:v>
      </x:c>
      <x:c r="D50" s="54" t="str">
        <x:v>V2</x:v>
      </x:c>
      <x:c r="E50" s="54" t="str">
        <x:v>ADMITTED</x:v>
      </x:c>
      <x:c r="F50" s="55" t="n">
        <x:v>30813</x:v>
      </x:c>
      <x:c r="G50" s="55" t="n">
        <x:v>8212</x:v>
      </x:c>
      <x:c r="H50" s="55" t="n">
        <x:v>3257</x:v>
      </x:c>
      <x:c r="I50" s="55" t="n">
        <x:v>1067</x:v>
      </x:c>
      <x:c r="J50" s="55" t="n">
        <x:v>207</x:v>
      </x:c>
      <x:c r="K50" s="55" t="n">
        <x:v>29282</x:v>
      </x:c>
      <x:c r="L50" s="55" t="n">
        <x:v>4854</x:v>
      </x:c>
      <x:c r="M50" s="55" t="n">
        <x:v>621</x:v>
      </x:c>
      <x:c r="N50" s="55" t="n">
        <x:v>2632</x:v>
      </x:c>
      <x:c r="O50" s="55" t="n">
        <x:v>1601</x:v>
      </x:c>
      <x:c r="P50" s="55" t="n">
        <x:v>814</x:v>
      </x:c>
      <x:c r="Q50" s="55" t="n">
        <x:v>2515</x:v>
      </x:c>
      <x:c r="R50" s="55" t="n">
        <x:v>1678</x:v>
      </x:c>
      <x:c r="S50" s="55" t="n">
        <x:v>3019</x:v>
      </x:c>
      <x:c r="T50" s="55" t="n">
        <x:v>1335</x:v>
      </x:c>
      <x:c r="U50" s="55" t="n">
        <x:v>2113</x:v>
      </x:c>
      <x:c r="V50" s="55" t="n">
        <x:v>9804</x:v>
      </x:c>
      <x:c r="W50" s="55" t="n">
        <x:v>7215</x:v>
      </x:c>
      <x:c r="X50" s="55" t="n">
        <x:v>2589</x:v>
      </x:c>
      <x:c r="Y50" s="55" t="n">
        <x:v>2187</x:v>
      </x:c>
      <x:c r="Z50" s="55" t="n">
        <x:v>3070</x:v>
      </x:c>
      <x:c r="AA50" s="55" t="n">
        <x:v>2010</x:v>
      </x:c>
      <x:c r="AB50" s="55" t="n">
        <x:v>497</x:v>
      </x:c>
      <x:c r="AC50" s="55" t="n">
        <x:v>7716</x:v>
      </x:c>
      <x:c r="AD50" s="55" t="n">
        <x:v>2183</x:v>
      </x:c>
      <x:c r="AE50" s="55" t="n">
        <x:v>9875</x:v>
      </x:c>
      <x:c r="AF50" s="55" t="n">
        <x:v>9804</x:v>
      </x:c>
      <x:c r="AG50" s="55" t="n">
        <x:v>71</x:v>
      </x:c>
      <x:c r="AH50" s="55" t="n">
        <x:v>363</x:v>
      </x:c>
      <x:c r="AI50" s="55" t="n">
        <x:v>9441</x:v>
      </x:c>
      <x:c r="AJ50" s="55" t="n">
        <x:v>279</x:v>
      </x:c>
      <x:c r="AK50" s="55" t="n">
        <x:v>942</x:v>
      </x:c>
      <x:c r="AL50" s="55" t="n">
        <x:v>1173</x:v>
      </x:c>
      <x:c r="AM50" s="55" t="n">
        <x:v>5091</x:v>
      </x:c>
      <x:c r="AN50" s="55" t="n">
        <x:v>2319</x:v>
      </x:c>
      <x:c r="AO50" s="55" t="n">
        <x:v>0</x:v>
      </x:c>
      <x:c r="AP50" s="55" t="n">
        <x:v>2274</x:v>
      </x:c>
      <x:c r="AQ50" s="55" t="n">
        <x:v>945</x:v>
      </x:c>
    </x:row>
    <x:row r="51">
      <x:c r="A51" s="54" t="str">
        <x:v>T2_CONCORDANT_DOMAIN</x:v>
      </x:c>
      <x:c r="B51" s="54" t="n">
        <x:v>45</x:v>
      </x:c>
      <x:c r="C51" s="54" t="str">
        <x:v>NYC-V2-R01</x:v>
      </x:c>
      <x:c r="D51" s="54" t="str">
        <x:v>V2</x:v>
      </x:c>
      <x:c r="E51" s="54" t="str">
        <x:v>ADMITTED</x:v>
      </x:c>
      <x:c r="F51" s="55" t="n">
        <x:v>32000</x:v>
      </x:c>
      <x:c r="G51" s="55" t="n">
        <x:v>8900</x:v>
      </x:c>
      <x:c r="H51" s="55" t="n">
        <x:v>3192</x:v>
      </x:c>
      <x:c r="I51" s="55" t="n">
        <x:v>1627</x:v>
      </x:c>
      <x:c r="J51" s="55" t="n">
        <x:v>113</x:v>
      </x:c>
      <x:c r="K51" s="55" t="n">
        <x:v>30312</x:v>
      </x:c>
      <x:c r="L51" s="55" t="n">
        <x:v>5747</x:v>
      </x:c>
      <x:c r="M51" s="55" t="n">
        <x:v>875</x:v>
      </x:c>
      <x:c r="N51" s="55" t="n">
        <x:v>3096</x:v>
      </x:c>
      <x:c r="O51" s="55" t="n">
        <x:v>1776</x:v>
      </x:c>
      <x:c r="P51" s="55" t="n">
        <x:v>728</x:v>
      </x:c>
      <x:c r="Q51" s="55" t="n">
        <x:v>2910</x:v>
      </x:c>
      <x:c r="R51" s="55" t="n">
        <x:v>1885</x:v>
      </x:c>
      <x:c r="S51" s="55" t="n">
        <x:v>3161</x:v>
      </x:c>
      <x:c r="T51" s="55" t="n">
        <x:v>1313</x:v>
      </x:c>
      <x:c r="U51" s="55" t="n">
        <x:v>2331</x:v>
      </x:c>
      <x:c r="V51" s="55" t="n">
        <x:v>10530</x:v>
      </x:c>
      <x:c r="W51" s="55" t="n">
        <x:v>7483</x:v>
      </x:c>
      <x:c r="X51" s="55" t="n">
        <x:v>3047</x:v>
      </x:c>
      <x:c r="Y51" s="55" t="n">
        <x:v>2644</x:v>
      </x:c>
      <x:c r="Z51" s="55" t="n">
        <x:v>3186</x:v>
      </x:c>
      <x:c r="AA51" s="55" t="n">
        <x:v>2493</x:v>
      </x:c>
      <x:c r="AB51" s="55" t="n">
        <x:v>1154</x:v>
      </x:c>
      <x:c r="AC51" s="55" t="n">
        <x:v>7646</x:v>
      </x:c>
      <x:c r="AD51" s="55" t="n">
        <x:v>3027</x:v>
      </x:c>
      <x:c r="AE51" s="55" t="n">
        <x:v>10602</x:v>
      </x:c>
      <x:c r="AF51" s="55" t="n">
        <x:v>10530</x:v>
      </x:c>
      <x:c r="AG51" s="55" t="n">
        <x:v>72</x:v>
      </x:c>
      <x:c r="AH51" s="55" t="n">
        <x:v>196</x:v>
      </x:c>
      <x:c r="AI51" s="55" t="n">
        <x:v>10334</x:v>
      </x:c>
      <x:c r="AJ51" s="55" t="n">
        <x:v>303</x:v>
      </x:c>
      <x:c r="AK51" s="55" t="n">
        <x:v>816</x:v>
      </x:c>
      <x:c r="AL51" s="55" t="n">
        <x:v>1503</x:v>
      </x:c>
      <x:c r="AM51" s="55" t="n">
        <x:v>5058</x:v>
      </x:c>
      <x:c r="AN51" s="55" t="n">
        <x:v>2850</x:v>
      </x:c>
      <x:c r="AO51" s="55" t="n">
        <x:v>0</x:v>
      </x:c>
      <x:c r="AP51" s="55" t="n">
        <x:v>1835</x:v>
      </x:c>
      <x:c r="AQ51" s="55" t="n">
        <x:v>973</x:v>
      </x:c>
    </x:row>
    <x:row r="52">
      <x:c r="A52" s="54" t="str">
        <x:v>T2_CONCORDANT_DOMAIN</x:v>
      </x:c>
      <x:c r="B52" s="54" t="n">
        <x:v>46</x:v>
      </x:c>
      <x:c r="C52" s="54" t="str">
        <x:v>NYC-V2-R01</x:v>
      </x:c>
      <x:c r="D52" s="54" t="str">
        <x:v>V2</x:v>
      </x:c>
      <x:c r="E52" s="54" t="str">
        <x:v>ADMITTED</x:v>
      </x:c>
      <x:c r="F52" s="55" t="n">
        <x:v>31608</x:v>
      </x:c>
      <x:c r="G52" s="55" t="n">
        <x:v>8627</x:v>
      </x:c>
      <x:c r="H52" s="55" t="n">
        <x:v>3944</x:v>
      </x:c>
      <x:c r="I52" s="55" t="n">
        <x:v>1115</x:v>
      </x:c>
      <x:c r="J52" s="55" t="n">
        <x:v>192</x:v>
      </x:c>
      <x:c r="K52" s="55" t="n">
        <x:v>31608</x:v>
      </x:c>
      <x:c r="L52" s="55" t="n">
        <x:v>6845</x:v>
      </x:c>
      <x:c r="M52" s="55" t="n">
        <x:v>1743</x:v>
      </x:c>
      <x:c r="N52" s="55" t="n">
        <x:v>2987</x:v>
      </x:c>
      <x:c r="O52" s="55" t="n">
        <x:v>2115</x:v>
      </x:c>
      <x:c r="P52" s="55" t="n">
        <x:v>1015</x:v>
      </x:c>
      <x:c r="Q52" s="55" t="n">
        <x:v>3029</x:v>
      </x:c>
      <x:c r="R52" s="55" t="n">
        <x:v>2333</x:v>
      </x:c>
      <x:c r="S52" s="55" t="n">
        <x:v>3556</x:v>
      </x:c>
      <x:c r="T52" s="55" t="n">
        <x:v>1436</x:v>
      </x:c>
      <x:c r="U52" s="55" t="n">
        <x:v>2679</x:v>
      </x:c>
      <x:c r="V52" s="55" t="n">
        <x:v>10886</x:v>
      </x:c>
      <x:c r="W52" s="55" t="n">
        <x:v>7459</x:v>
      </x:c>
      <x:c r="X52" s="55" t="n">
        <x:v>3427</x:v>
      </x:c>
      <x:c r="Y52" s="55" t="n">
        <x:v>3014</x:v>
      </x:c>
      <x:c r="Z52" s="55" t="n">
        <x:v>4340</x:v>
      </x:c>
      <x:c r="AA52" s="55" t="n">
        <x:v>3944</x:v>
      </x:c>
      <x:c r="AB52" s="55" t="n">
        <x:v>1613</x:v>
      </x:c>
      <x:c r="AC52" s="55" t="n">
        <x:v>8810</x:v>
      </x:c>
      <x:c r="AD52" s="55" t="n">
        <x:v>3491</x:v>
      </x:c>
      <x:c r="AE52" s="55" t="n">
        <x:v>10976</x:v>
      </x:c>
      <x:c r="AF52" s="55" t="n">
        <x:v>10886</x:v>
      </x:c>
      <x:c r="AG52" s="55" t="n">
        <x:v>90</x:v>
      </x:c>
      <x:c r="AH52" s="55" t="n">
        <x:v>537</x:v>
      </x:c>
      <x:c r="AI52" s="55" t="n">
        <x:v>10349</x:v>
      </x:c>
      <x:c r="AJ52" s="55" t="n">
        <x:v>504</x:v>
      </x:c>
      <x:c r="AK52" s="55" t="n">
        <x:v>993</x:v>
      </x:c>
      <x:c r="AL52" s="55" t="n">
        <x:v>1641</x:v>
      </x:c>
      <x:c r="AM52" s="55" t="n">
        <x:v>5072</x:v>
      </x:c>
      <x:c r="AN52" s="55" t="n">
        <x:v>2676</x:v>
      </x:c>
      <x:c r="AO52" s="55" t="n">
        <x:v>0</x:v>
      </x:c>
      <x:c r="AP52" s="55" t="n">
        <x:v>2469</x:v>
      </x:c>
      <x:c r="AQ52" s="55" t="n">
        <x:v>978</x:v>
      </x:c>
    </x:row>
    <x:row r="53">
      <x:c r="A53" s="54" t="str">
        <x:v>T2_CONCORDANT_DOMAIN</x:v>
      </x:c>
      <x:c r="B53" s="54" t="n">
        <x:v>47</x:v>
      </x:c>
      <x:c r="C53" s="54" t="str">
        <x:v>NYC-V2-R01</x:v>
      </x:c>
      <x:c r="D53" s="54" t="str">
        <x:v>V2</x:v>
      </x:c>
      <x:c r="E53" s="54" t="str">
        <x:v>ADMITTED</x:v>
      </x:c>
      <x:c r="F53" s="55" t="n">
        <x:v>29419</x:v>
      </x:c>
      <x:c r="G53" s="55" t="n">
        <x:v>6608</x:v>
      </x:c>
      <x:c r="H53" s="55" t="n">
        <x:v>2982</x:v>
      </x:c>
      <x:c r="I53" s="55" t="n">
        <x:v>1311</x:v>
      </x:c>
      <x:c r="J53" s="55" t="n">
        <x:v>21</x:v>
      </x:c>
      <x:c r="K53" s="55" t="n">
        <x:v>29419</x:v>
      </x:c>
      <x:c r="L53" s="55" t="n">
        <x:v>5143</x:v>
      </x:c>
      <x:c r="M53" s="55" t="n">
        <x:v>959</x:v>
      </x:c>
      <x:c r="N53" s="55" t="n">
        <x:v>2578</x:v>
      </x:c>
      <x:c r="O53" s="55" t="n">
        <x:v>1606</x:v>
      </x:c>
      <x:c r="P53" s="55" t="n">
        <x:v>376</x:v>
      </x:c>
      <x:c r="Q53" s="55" t="n">
        <x:v>967</x:v>
      </x:c>
      <x:c r="R53" s="55" t="n">
        <x:v>1433</x:v>
      </x:c>
      <x:c r="S53" s="55" t="n">
        <x:v>2232</x:v>
      </x:c>
      <x:c r="T53" s="55" t="n">
        <x:v>828</x:v>
      </x:c>
      <x:c r="U53" s="55" t="n">
        <x:v>1398</x:v>
      </x:c>
      <x:c r="V53" s="55" t="n">
        <x:v>10232</x:v>
      </x:c>
      <x:c r="W53" s="55" t="n">
        <x:v>6947</x:v>
      </x:c>
      <x:c r="X53" s="55" t="n">
        <x:v>3285</x:v>
      </x:c>
      <x:c r="Y53" s="55" t="n">
        <x:v>2946</x:v>
      </x:c>
      <x:c r="Z53" s="55" t="n">
        <x:v>3539</x:v>
      </x:c>
      <x:c r="AA53" s="55" t="n">
        <x:v>2781</x:v>
      </x:c>
      <x:c r="AB53" s="55" t="n">
        <x:v>1039</x:v>
      </x:c>
      <x:c r="AC53" s="55" t="n">
        <x:v>7787</x:v>
      </x:c>
      <x:c r="AD53" s="55" t="n">
        <x:v>2654</x:v>
      </x:c>
      <x:c r="AE53" s="55" t="n">
        <x:v>10232</x:v>
      </x:c>
      <x:c r="AF53" s="55" t="n">
        <x:v>10232</x:v>
      </x:c>
      <x:c r="AG53" s="55" t="n">
        <x:v>0</x:v>
      </x:c>
      <x:c r="AH53" s="55" t="n">
        <x:v>258</x:v>
      </x:c>
      <x:c r="AI53" s="55" t="n">
        <x:v>9974</x:v>
      </x:c>
      <x:c r="AJ53" s="55" t="n">
        <x:v>246</x:v>
      </x:c>
      <x:c r="AK53" s="55" t="n">
        <x:v>899</x:v>
      </x:c>
      <x:c r="AL53" s="55" t="n">
        <x:v>1360</x:v>
      </x:c>
      <x:c r="AM53" s="55" t="n">
        <x:v>5030</x:v>
      </x:c>
      <x:c r="AN53" s="55" t="n">
        <x:v>2697</x:v>
      </x:c>
      <x:c r="AO53" s="55" t="n">
        <x:v>0</x:v>
      </x:c>
      <x:c r="AP53" s="55" t="n">
        <x:v>1962</x:v>
      </x:c>
      <x:c r="AQ53" s="55" t="n">
        <x:v>920</x:v>
      </x:c>
    </x:row>
    <x:row r="54">
      <x:c r="A54" s="54" t="str">
        <x:v>T2_CONCORDANT_DOMAIN</x:v>
      </x:c>
      <x:c r="B54" s="54" t="n">
        <x:v>48</x:v>
      </x:c>
      <x:c r="C54" s="54" t="str">
        <x:v>NYC-V2-R01</x:v>
      </x:c>
      <x:c r="D54" s="54" t="str">
        <x:v>V2</x:v>
      </x:c>
      <x:c r="E54" s="54" t="str">
        <x:v>ADMITTED</x:v>
      </x:c>
      <x:c r="F54" s="55" t="n">
        <x:v>32867</x:v>
      </x:c>
      <x:c r="G54" s="55" t="n">
        <x:v>7840</x:v>
      </x:c>
      <x:c r="H54" s="55" t="n">
        <x:v>3428</x:v>
      </x:c>
      <x:c r="I54" s="55" t="n">
        <x:v>1575</x:v>
      </x:c>
      <x:c r="J54" s="55" t="n">
        <x:v>291</x:v>
      </x:c>
      <x:c r="K54" s="55" t="n">
        <x:v>32867</x:v>
      </x:c>
      <x:c r="L54" s="55" t="n">
        <x:v>7576</x:v>
      </x:c>
      <x:c r="M54" s="55" t="n">
        <x:v>2005</x:v>
      </x:c>
      <x:c r="N54" s="55" t="n">
        <x:v>3224</x:v>
      </x:c>
      <x:c r="O54" s="55" t="n">
        <x:v>2347</x:v>
      </x:c>
      <x:c r="P54" s="55" t="n">
        <x:v>823</x:v>
      </x:c>
      <x:c r="Q54" s="55" t="n">
        <x:v>2760</x:v>
      </x:c>
      <x:c r="R54" s="55" t="n">
        <x:v>1848</x:v>
      </x:c>
      <x:c r="S54" s="55" t="n">
        <x:v>2987</x:v>
      </x:c>
      <x:c r="T54" s="55" t="n">
        <x:v>1454</x:v>
      </x:c>
      <x:c r="U54" s="55" t="n">
        <x:v>2541</x:v>
      </x:c>
      <x:c r="V54" s="55" t="n">
        <x:v>9835</x:v>
      </x:c>
      <x:c r="W54" s="55" t="n">
        <x:v>6570</x:v>
      </x:c>
      <x:c r="X54" s="55" t="n">
        <x:v>3265</x:v>
      </x:c>
      <x:c r="Y54" s="55" t="n">
        <x:v>2828</x:v>
      </x:c>
      <x:c r="Z54" s="55" t="n">
        <x:v>4307</x:v>
      </x:c>
      <x:c r="AA54" s="55" t="n">
        <x:v>3426</x:v>
      </x:c>
      <x:c r="AB54" s="55" t="n">
        <x:v>1329</x:v>
      </x:c>
      <x:c r="AC54" s="55" t="n">
        <x:v>7639</x:v>
      </x:c>
      <x:c r="AD54" s="55" t="n">
        <x:v>3286</x:v>
      </x:c>
      <x:c r="AE54" s="55" t="n">
        <x:v>9967</x:v>
      </x:c>
      <x:c r="AF54" s="55" t="n">
        <x:v>9835</x:v>
      </x:c>
      <x:c r="AG54" s="55" t="n">
        <x:v>132</x:v>
      </x:c>
      <x:c r="AH54" s="55" t="n">
        <x:v>268</x:v>
      </x:c>
      <x:c r="AI54" s="55" t="n">
        <x:v>9567</x:v>
      </x:c>
      <x:c r="AJ54" s="55" t="n">
        <x:v>392</x:v>
      </x:c>
      <x:c r="AK54" s="55" t="n">
        <x:v>1073</x:v>
      </x:c>
      <x:c r="AL54" s="55" t="n">
        <x:v>1777</x:v>
      </x:c>
      <x:c r="AM54" s="55" t="n">
        <x:v>4410</x:v>
      </x:c>
      <x:c r="AN54" s="55" t="n">
        <x:v>2162</x:v>
      </x:c>
      <x:c r="AO54" s="55" t="n">
        <x:v>21</x:v>
      </x:c>
      <x:c r="AP54" s="55" t="n">
        <x:v>2168</x:v>
      </x:c>
      <x:c r="AQ54" s="55" t="n">
        <x:v>964</x:v>
      </x:c>
    </x:row>
    <x:row r="55">
      <x:c r="A55" s="54" t="str">
        <x:v>T2_CONCORDANT_DOMAIN</x:v>
      </x:c>
      <x:c r="B55" s="54" t="n">
        <x:v>49</x:v>
      </x:c>
      <x:c r="C55" s="54" t="str">
        <x:v>NYC-V2-R01</x:v>
      </x:c>
      <x:c r="D55" s="54" t="str">
        <x:v>V2</x:v>
      </x:c>
      <x:c r="E55" s="54" t="str">
        <x:v>ADMITTED</x:v>
      </x:c>
      <x:c r="F55" s="55" t="n">
        <x:v>29674</x:v>
      </x:c>
      <x:c r="G55" s="55" t="n">
        <x:v>6423</x:v>
      </x:c>
      <x:c r="H55" s="55" t="n">
        <x:v>3334</x:v>
      </x:c>
      <x:c r="I55" s="55" t="n">
        <x:v>1067</x:v>
      </x:c>
      <x:c r="J55" s="55" t="n">
        <x:v>209</x:v>
      </x:c>
      <x:c r="K55" s="55" t="n">
        <x:v>29674</x:v>
      </x:c>
      <x:c r="L55" s="55" t="n">
        <x:v>5511</x:v>
      </x:c>
      <x:c r="M55" s="55" t="n">
        <x:v>1369</x:v>
      </x:c>
      <x:c r="N55" s="55" t="n">
        <x:v>2288</x:v>
      </x:c>
      <x:c r="O55" s="55" t="n">
        <x:v>1854</x:v>
      </x:c>
      <x:c r="P55" s="55" t="n">
        <x:v>563</x:v>
      </x:c>
      <x:c r="Q55" s="55" t="n">
        <x:v>1366</x:v>
      </x:c>
      <x:c r="R55" s="55" t="n">
        <x:v>1541</x:v>
      </x:c>
      <x:c r="S55" s="55" t="n">
        <x:v>2173</x:v>
      </x:c>
      <x:c r="T55" s="55" t="n">
        <x:v>1096</x:v>
      </x:c>
      <x:c r="U55" s="55" t="n">
        <x:v>1558</x:v>
      </x:c>
      <x:c r="V55" s="55" t="n">
        <x:v>10247</x:v>
      </x:c>
      <x:c r="W55" s="55" t="n">
        <x:v>7372</x:v>
      </x:c>
      <x:c r="X55" s="55" t="n">
        <x:v>2875</x:v>
      </x:c>
      <x:c r="Y55" s="55" t="n">
        <x:v>2522</x:v>
      </x:c>
      <x:c r="Z55" s="55" t="n">
        <x:v>3224</x:v>
      </x:c>
      <x:c r="AA55" s="55" t="n">
        <x:v>3334</x:v>
      </x:c>
      <x:c r="AB55" s="55" t="n">
        <x:v>1190</x:v>
      </x:c>
      <x:c r="AC55" s="55" t="n">
        <x:v>8040</x:v>
      </x:c>
      <x:c r="AD55" s="55" t="n">
        <x:v>2725</x:v>
      </x:c>
      <x:c r="AE55" s="55" t="n">
        <x:v>10315</x:v>
      </x:c>
      <x:c r="AF55" s="55" t="n">
        <x:v>10247</x:v>
      </x:c>
      <x:c r="AG55" s="55" t="n">
        <x:v>68</x:v>
      </x:c>
      <x:c r="AH55" s="55" t="n">
        <x:v>442</x:v>
      </x:c>
      <x:c r="AI55" s="55" t="n">
        <x:v>9805</x:v>
      </x:c>
      <x:c r="AJ55" s="55" t="n">
        <x:v>375</x:v>
      </x:c>
      <x:c r="AK55" s="55" t="n">
        <x:v>980</x:v>
      </x:c>
      <x:c r="AL55" s="55" t="n">
        <x:v>1315</x:v>
      </x:c>
      <x:c r="AM55" s="55" t="n">
        <x:v>4774</x:v>
      </x:c>
      <x:c r="AN55" s="55" t="n">
        <x:v>2803</x:v>
      </x:c>
      <x:c r="AO55" s="55" t="n">
        <x:v>0</x:v>
      </x:c>
      <x:c r="AP55" s="55" t="n">
        <x:v>2223</x:v>
      </x:c>
      <x:c r="AQ55" s="55" t="n">
        <x:v>938</x:v>
      </x:c>
    </x:row>
    <x:row r="56">
      <x:c r="A56" s="54" t="str">
        <x:v>T2_CONCORDANT_DOMAIN</x:v>
      </x:c>
      <x:c r="B56" s="54" t="n">
        <x:v>50</x:v>
      </x:c>
      <x:c r="C56" s="54" t="str">
        <x:v>NYC-V2-R01</x:v>
      </x:c>
      <x:c r="D56" s="54" t="str">
        <x:v>V2</x:v>
      </x:c>
      <x:c r="E56" s="54" t="str">
        <x:v>ADMITTED</x:v>
      </x:c>
      <x:c r="F56" s="55" t="n">
        <x:v>33116</x:v>
      </x:c>
      <x:c r="G56" s="55" t="n">
        <x:v>8100</x:v>
      </x:c>
      <x:c r="H56" s="55" t="n">
        <x:v>3023</x:v>
      </x:c>
      <x:c r="I56" s="55" t="n">
        <x:v>1130</x:v>
      </x:c>
      <x:c r="J56" s="55" t="n">
        <x:v>233</x:v>
      </x:c>
      <x:c r="K56" s="55" t="n">
        <x:v>33116</x:v>
      </x:c>
      <x:c r="L56" s="55" t="n">
        <x:v>6650</x:v>
      </x:c>
      <x:c r="M56" s="55" t="n">
        <x:v>1790</x:v>
      </x:c>
      <x:c r="N56" s="55" t="n">
        <x:v>2747</x:v>
      </x:c>
      <x:c r="O56" s="55" t="n">
        <x:v>2113</x:v>
      </x:c>
      <x:c r="P56" s="55" t="n">
        <x:v>1019</x:v>
      </x:c>
      <x:c r="Q56" s="55" t="n">
        <x:v>2630</x:v>
      </x:c>
      <x:c r="R56" s="55" t="n">
        <x:v>1772</x:v>
      </x:c>
      <x:c r="S56" s="55" t="n">
        <x:v>3072</x:v>
      </x:c>
      <x:c r="T56" s="55" t="n">
        <x:v>1428</x:v>
      </x:c>
      <x:c r="U56" s="55" t="n">
        <x:v>2384</x:v>
      </x:c>
      <x:c r="V56" s="55" t="n">
        <x:v>9900</x:v>
      </x:c>
      <x:c r="W56" s="55" t="n">
        <x:v>6447</x:v>
      </x:c>
      <x:c r="X56" s="55" t="n">
        <x:v>3453</x:v>
      </x:c>
      <x:c r="Y56" s="55" t="n">
        <x:v>3161</x:v>
      </x:c>
      <x:c r="Z56" s="55" t="n">
        <x:v>3943</x:v>
      </x:c>
      <x:c r="AA56" s="55" t="n">
        <x:v>2910</x:v>
      </x:c>
      <x:c r="AB56" s="55" t="n">
        <x:v>1212</x:v>
      </x:c>
      <x:c r="AC56" s="55" t="n">
        <x:v>8760</x:v>
      </x:c>
      <x:c r="AD56" s="55" t="n">
        <x:v>3461</x:v>
      </x:c>
      <x:c r="AE56" s="55" t="n">
        <x:v>9999</x:v>
      </x:c>
      <x:c r="AF56" s="55" t="n">
        <x:v>9900</x:v>
      </x:c>
      <x:c r="AG56" s="55" t="n">
        <x:v>99</x:v>
      </x:c>
      <x:c r="AH56" s="55" t="n">
        <x:v>293</x:v>
      </x:c>
      <x:c r="AI56" s="55" t="n">
        <x:v>9607</x:v>
      </x:c>
      <x:c r="AJ56" s="55" t="n">
        <x:v>366</x:v>
      </x:c>
      <x:c r="AK56" s="55" t="n">
        <x:v>957</x:v>
      </x:c>
      <x:c r="AL56" s="55" t="n">
        <x:v>1552</x:v>
      </x:c>
      <x:c r="AM56" s="55" t="n">
        <x:v>4672</x:v>
      </x:c>
      <x:c r="AN56" s="55" t="n">
        <x:v>2237</x:v>
      </x:c>
      <x:c r="AO56" s="55" t="n">
        <x:v>116</x:v>
      </x:c>
      <x:c r="AP56" s="55" t="n">
        <x:v>2673</x:v>
      </x:c>
      <x:c r="AQ56" s="55" t="n">
        <x:v>950</x:v>
      </x:c>
    </x:row>
    <x:row r="57">
      <x:c r="A57" s="54" t="str">
        <x:v>T2_CONCORDANT_DOMAIN</x:v>
      </x:c>
      <x:c r="B57" s="54" t="n">
        <x:v>51</x:v>
      </x:c>
      <x:c r="C57" s="54" t="str">
        <x:v>NYC-V2-R01</x:v>
      </x:c>
      <x:c r="D57" s="54" t="str">
        <x:v>V2</x:v>
      </x:c>
      <x:c r="E57" s="54" t="str">
        <x:v>ADMITTED</x:v>
      </x:c>
      <x:c r="F57" s="55" t="n">
        <x:v>32729</x:v>
      </x:c>
      <x:c r="G57" s="55" t="n">
        <x:v>8726</x:v>
      </x:c>
      <x:c r="H57" s="55" t="n">
        <x:v>3398</x:v>
      </x:c>
      <x:c r="I57" s="55" t="n">
        <x:v>1578</x:v>
      </x:c>
      <x:c r="J57" s="55" t="n">
        <x:v>330</x:v>
      </x:c>
      <x:c r="K57" s="55" t="n">
        <x:v>32729</x:v>
      </x:c>
      <x:c r="L57" s="55" t="n">
        <x:v>7384</x:v>
      </x:c>
      <x:c r="M57" s="55" t="n">
        <x:v>2649</x:v>
      </x:c>
      <x:c r="N57" s="55" t="n">
        <x:v>2931</x:v>
      </x:c>
      <x:c r="O57" s="55" t="n">
        <x:v>1804</x:v>
      </x:c>
      <x:c r="P57" s="55" t="n">
        <x:v>1126</x:v>
      </x:c>
      <x:c r="Q57" s="55" t="n">
        <x:v>2460</x:v>
      </x:c>
      <x:c r="R57" s="55" t="n">
        <x:v>2347</x:v>
      </x:c>
      <x:c r="S57" s="55" t="n">
        <x:v>3002</x:v>
      </x:c>
      <x:c r="T57" s="55" t="n">
        <x:v>1233</x:v>
      </x:c>
      <x:c r="U57" s="55" t="n">
        <x:v>2620</x:v>
      </x:c>
      <x:c r="V57" s="55" t="n">
        <x:v>11217</x:v>
      </x:c>
      <x:c r="W57" s="55" t="n">
        <x:v>7998</x:v>
      </x:c>
      <x:c r="X57" s="55" t="n">
        <x:v>3219</x:v>
      </x:c>
      <x:c r="Y57" s="55" t="n">
        <x:v>2917</x:v>
      </x:c>
      <x:c r="Z57" s="55" t="n">
        <x:v>3860</x:v>
      </x:c>
      <x:c r="AA57" s="55" t="n">
        <x:v>3220</x:v>
      </x:c>
      <x:c r="AB57" s="55" t="n">
        <x:v>1355</x:v>
      </x:c>
      <x:c r="AC57" s="55" t="n">
        <x:v>8134</x:v>
      </x:c>
      <x:c r="AD57" s="55" t="n">
        <x:v>3279</x:v>
      </x:c>
      <x:c r="AE57" s="55" t="n">
        <x:v>11273</x:v>
      </x:c>
      <x:c r="AF57" s="55" t="n">
        <x:v>11217</x:v>
      </x:c>
      <x:c r="AG57" s="55" t="n">
        <x:v>56</x:v>
      </x:c>
      <x:c r="AH57" s="55" t="n">
        <x:v>728</x:v>
      </x:c>
      <x:c r="AI57" s="55" t="n">
        <x:v>10489</x:v>
      </x:c>
      <x:c r="AJ57" s="55" t="n">
        <x:v>385</x:v>
      </x:c>
      <x:c r="AK57" s="55" t="n">
        <x:v>1338</x:v>
      </x:c>
      <x:c r="AL57" s="55" t="n">
        <x:v>1656</x:v>
      </x:c>
      <x:c r="AM57" s="55" t="n">
        <x:v>5101</x:v>
      </x:c>
      <x:c r="AN57" s="55" t="n">
        <x:v>2737</x:v>
      </x:c>
      <x:c r="AO57" s="55" t="n">
        <x:v>0</x:v>
      </x:c>
      <x:c r="AP57" s="55" t="n">
        <x:v>2666</x:v>
      </x:c>
      <x:c r="AQ57" s="55" t="n">
        <x:v>984</x:v>
      </x:c>
    </x:row>
    <x:row r="58">
      <x:c r="A58" s="54" t="str">
        <x:v>T2_CONCORDANT_DOMAIN</x:v>
      </x:c>
      <x:c r="B58" s="54" t="n">
        <x:v>52</x:v>
      </x:c>
      <x:c r="C58" s="54" t="str">
        <x:v>NYC-V2-R01</x:v>
      </x:c>
      <x:c r="D58" s="54" t="str">
        <x:v>V2</x:v>
      </x:c>
      <x:c r="E58" s="54" t="str">
        <x:v>ADMITTED</x:v>
      </x:c>
      <x:c r="F58" s="55" t="n">
        <x:v>32052</x:v>
      </x:c>
      <x:c r="G58" s="55" t="n">
        <x:v>9153</x:v>
      </x:c>
      <x:c r="H58" s="55" t="n">
        <x:v>2955</x:v>
      </x:c>
      <x:c r="I58" s="55" t="n">
        <x:v>1245</x:v>
      </x:c>
      <x:c r="J58" s="55" t="n">
        <x:v>185</x:v>
      </x:c>
      <x:c r="K58" s="55" t="n">
        <x:v>30502</x:v>
      </x:c>
      <x:c r="L58" s="55" t="n">
        <x:v>5834</x:v>
      </x:c>
      <x:c r="M58" s="55" t="n">
        <x:v>1280</x:v>
      </x:c>
      <x:c r="N58" s="55" t="n">
        <x:v>3005</x:v>
      </x:c>
      <x:c r="O58" s="55" t="n">
        <x:v>1549</x:v>
      </x:c>
      <x:c r="P58" s="55" t="n">
        <x:v>756</x:v>
      </x:c>
      <x:c r="Q58" s="55" t="n">
        <x:v>2401</x:v>
      </x:c>
      <x:c r="R58" s="55" t="n">
        <x:v>1725</x:v>
      </x:c>
      <x:c r="S58" s="55" t="n">
        <x:v>2689</x:v>
      </x:c>
      <x:c r="T58" s="55" t="n">
        <x:v>947</x:v>
      </x:c>
      <x:c r="U58" s="55" t="n">
        <x:v>2088</x:v>
      </x:c>
      <x:c r="V58" s="55" t="n">
        <x:v>10755</x:v>
      </x:c>
      <x:c r="W58" s="55" t="n">
        <x:v>7669</x:v>
      </x:c>
      <x:c r="X58" s="55" t="n">
        <x:v>3086</x:v>
      </x:c>
      <x:c r="Y58" s="55" t="n">
        <x:v>2744</x:v>
      </x:c>
      <x:c r="Z58" s="55" t="n">
        <x:v>3753</x:v>
      </x:c>
      <x:c r="AA58" s="55" t="n">
        <x:v>2947</x:v>
      </x:c>
      <x:c r="AB58" s="55" t="n">
        <x:v>1246</x:v>
      </x:c>
      <x:c r="AC58" s="55" t="n">
        <x:v>8097</x:v>
      </x:c>
      <x:c r="AD58" s="55" t="n">
        <x:v>2261</x:v>
      </x:c>
      <x:c r="AE58" s="55" t="n">
        <x:v>10843</x:v>
      </x:c>
      <x:c r="AF58" s="55" t="n">
        <x:v>10755</x:v>
      </x:c>
      <x:c r="AG58" s="55" t="n">
        <x:v>88</x:v>
      </x:c>
      <x:c r="AH58" s="55" t="n">
        <x:v>525</x:v>
      </x:c>
      <x:c r="AI58" s="55" t="n">
        <x:v>10230</x:v>
      </x:c>
      <x:c r="AJ58" s="55" t="n">
        <x:v>274</x:v>
      </x:c>
      <x:c r="AK58" s="55" t="n">
        <x:v>1059</x:v>
      </x:c>
      <x:c r="AL58" s="55" t="n">
        <x:v>1571</x:v>
      </x:c>
      <x:c r="AM58" s="55" t="n">
        <x:v>4782</x:v>
      </x:c>
      <x:c r="AN58" s="55" t="n">
        <x:v>3013</x:v>
      </x:c>
      <x:c r="AO58" s="55" t="n">
        <x:v>56</x:v>
      </x:c>
      <x:c r="AP58" s="55" t="n">
        <x:v>2922</x:v>
      </x:c>
      <x:c r="AQ58" s="55" t="n">
        <x:v>958</x:v>
      </x:c>
    </x:row>
    <x:row r="59">
      <x:c r="A59" s="54" t="str">
        <x:v>T2_CONCORDANT_DOMAIN</x:v>
      </x:c>
      <x:c r="B59" s="54" t="n">
        <x:v>53</x:v>
      </x:c>
      <x:c r="C59" s="54" t="str">
        <x:v>NYC-V2-R01</x:v>
      </x:c>
      <x:c r="D59" s="54" t="str">
        <x:v>V2</x:v>
      </x:c>
      <x:c r="E59" s="54" t="str">
        <x:v>ADMITTED</x:v>
      </x:c>
      <x:c r="F59" s="55" t="n">
        <x:v>32525</x:v>
      </x:c>
      <x:c r="G59" s="55" t="n">
        <x:v>8037</x:v>
      </x:c>
      <x:c r="H59" s="55" t="n">
        <x:v>3629</x:v>
      </x:c>
      <x:c r="I59" s="55" t="n">
        <x:v>1550</x:v>
      </x:c>
      <x:c r="J59" s="55" t="n">
        <x:v>394</x:v>
      </x:c>
      <x:c r="K59" s="55" t="n">
        <x:v>31143</x:v>
      </x:c>
      <x:c r="L59" s="55" t="n">
        <x:v>6043</x:v>
      </x:c>
      <x:c r="M59" s="55" t="n">
        <x:v>1462</x:v>
      </x:c>
      <x:c r="N59" s="55" t="n">
        <x:v>2801</x:v>
      </x:c>
      <x:c r="O59" s="55" t="n">
        <x:v>1780</x:v>
      </x:c>
      <x:c r="P59" s="55" t="n">
        <x:v>716</x:v>
      </x:c>
      <x:c r="Q59" s="55" t="n">
        <x:v>2320</x:v>
      </x:c>
      <x:c r="R59" s="55" t="n">
        <x:v>1808</x:v>
      </x:c>
      <x:c r="S59" s="55" t="n">
        <x:v>2697</x:v>
      </x:c>
      <x:c r="T59" s="55" t="n">
        <x:v>711</x:v>
      </x:c>
      <x:c r="U59" s="55" t="n">
        <x:v>1891</x:v>
      </x:c>
      <x:c r="V59" s="55" t="n">
        <x:v>10309</x:v>
      </x:c>
      <x:c r="W59" s="55" t="n">
        <x:v>7014</x:v>
      </x:c>
      <x:c r="X59" s="55" t="n">
        <x:v>3295</x:v>
      </x:c>
      <x:c r="Y59" s="55" t="n">
        <x:v>2821</x:v>
      </x:c>
      <x:c r="Z59" s="55" t="n">
        <x:v>3486</x:v>
      </x:c>
      <x:c r="AA59" s="55" t="n">
        <x:v>3015</x:v>
      </x:c>
      <x:c r="AB59" s="55" t="n">
        <x:v>1138</x:v>
      </x:c>
      <x:c r="AC59" s="55" t="n">
        <x:v>7903</x:v>
      </x:c>
      <x:c r="AD59" s="55" t="n">
        <x:v>3164</x:v>
      </x:c>
      <x:c r="AE59" s="55" t="n">
        <x:v>10430</x:v>
      </x:c>
      <x:c r="AF59" s="55" t="n">
        <x:v>10309</x:v>
      </x:c>
      <x:c r="AG59" s="55" t="n">
        <x:v>121</x:v>
      </x:c>
      <x:c r="AH59" s="55" t="n">
        <x:v>701</x:v>
      </x:c>
      <x:c r="AI59" s="55" t="n">
        <x:v>9608</x:v>
      </x:c>
      <x:c r="AJ59" s="55" t="n">
        <x:v>443</x:v>
      </x:c>
      <x:c r="AK59" s="55" t="n">
        <x:v>1009</x:v>
      </x:c>
      <x:c r="AL59" s="55" t="n">
        <x:v>1401</x:v>
      </x:c>
      <x:c r="AM59" s="55" t="n">
        <x:v>4453</x:v>
      </x:c>
      <x:c r="AN59" s="55" t="n">
        <x:v>2935</x:v>
      </x:c>
      <x:c r="AO59" s="55" t="n">
        <x:v>68</x:v>
      </x:c>
      <x:c r="AP59" s="55" t="n">
        <x:v>2545</x:v>
      </x:c>
      <x:c r="AQ59" s="55" t="n">
        <x:v>971</x:v>
      </x:c>
    </x:row>
    <x:row r="60">
      <x:c r="A60" s="54" t="str">
        <x:v>T2_CONCORDANT_DOMAIN</x:v>
      </x:c>
      <x:c r="B60" s="54" t="n">
        <x:v>54</x:v>
      </x:c>
      <x:c r="C60" s="54" t="str">
        <x:v>NYC-V2-R01</x:v>
      </x:c>
      <x:c r="D60" s="54" t="str">
        <x:v>V2</x:v>
      </x:c>
      <x:c r="E60" s="54" t="str">
        <x:v>ADMITTED</x:v>
      </x:c>
      <x:c r="F60" s="55" t="n">
        <x:v>32125</x:v>
      </x:c>
      <x:c r="G60" s="55" t="n">
        <x:v>6306</x:v>
      </x:c>
      <x:c r="H60" s="55" t="n">
        <x:v>3658</x:v>
      </x:c>
      <x:c r="I60" s="55" t="n">
        <x:v>1350</x:v>
      </x:c>
      <x:c r="J60" s="55" t="n">
        <x:v>276</x:v>
      </x:c>
      <x:c r="K60" s="55" t="n">
        <x:v>32125</x:v>
      </x:c>
      <x:c r="L60" s="55" t="n">
        <x:v>6823</x:v>
      </x:c>
      <x:c r="M60" s="55" t="n">
        <x:v>1988</x:v>
      </x:c>
      <x:c r="N60" s="55" t="n">
        <x:v>3139</x:v>
      </x:c>
      <x:c r="O60" s="55" t="n">
        <x:v>1696</x:v>
      </x:c>
      <x:c r="P60" s="55" t="n">
        <x:v>886</x:v>
      </x:c>
      <x:c r="Q60" s="55" t="n">
        <x:v>1853</x:v>
      </x:c>
      <x:c r="R60" s="55" t="n">
        <x:v>1436</x:v>
      </x:c>
      <x:c r="S60" s="55" t="n">
        <x:v>2474</x:v>
      </x:c>
      <x:c r="T60" s="55" t="n">
        <x:v>1305</x:v>
      </x:c>
      <x:c r="U60" s="55" t="n">
        <x:v>1601</x:v>
      </x:c>
      <x:c r="V60" s="55" t="n">
        <x:v>10566</x:v>
      </x:c>
      <x:c r="W60" s="55" t="n">
        <x:v>7410</x:v>
      </x:c>
      <x:c r="X60" s="55" t="n">
        <x:v>3156</x:v>
      </x:c>
      <x:c r="Y60" s="55" t="n">
        <x:v>2854</x:v>
      </x:c>
      <x:c r="Z60" s="55" t="n">
        <x:v>3834</x:v>
      </x:c>
      <x:c r="AA60" s="55" t="n">
        <x:v>3658</x:v>
      </x:c>
      <x:c r="AB60" s="55" t="n">
        <x:v>1188</x:v>
      </x:c>
      <x:c r="AC60" s="55" t="n">
        <x:v>8078</x:v>
      </x:c>
      <x:c r="AD60" s="55" t="n">
        <x:v>2727</x:v>
      </x:c>
      <x:c r="AE60" s="55" t="n">
        <x:v>10673</x:v>
      </x:c>
      <x:c r="AF60" s="55" t="n">
        <x:v>10566</x:v>
      </x:c>
      <x:c r="AG60" s="55" t="n">
        <x:v>107</x:v>
      </x:c>
      <x:c r="AH60" s="55" t="n">
        <x:v>597</x:v>
      </x:c>
      <x:c r="AI60" s="55" t="n">
        <x:v>9969</x:v>
      </x:c>
      <x:c r="AJ60" s="55" t="n">
        <x:v>443</x:v>
      </x:c>
      <x:c r="AK60" s="55" t="n">
        <x:v>951</x:v>
      </x:c>
      <x:c r="AL60" s="55" t="n">
        <x:v>1537</x:v>
      </x:c>
      <x:c r="AM60" s="55" t="n">
        <x:v>4801</x:v>
      </x:c>
      <x:c r="AN60" s="55" t="n">
        <x:v>2775</x:v>
      </x:c>
      <x:c r="AO60" s="55" t="n">
        <x:v>59</x:v>
      </x:c>
      <x:c r="AP60" s="55" t="n">
        <x:v>2574</x:v>
      </x:c>
      <x:c r="AQ60" s="55" t="n">
        <x:v>955</x:v>
      </x:c>
    </x:row>
    <x:row r="61">
      <x:c r="A61" s="54" t="str">
        <x:v>T2_CONCORDANT_DOMAIN</x:v>
      </x:c>
      <x:c r="B61" s="54" t="n">
        <x:v>55</x:v>
      </x:c>
      <x:c r="C61" s="54" t="str">
        <x:v>NYC-V2-R01</x:v>
      </x:c>
      <x:c r="D61" s="54" t="str">
        <x:v>V2</x:v>
      </x:c>
      <x:c r="E61" s="54" t="str">
        <x:v>ADMITTED</x:v>
      </x:c>
      <x:c r="F61" s="55" t="n">
        <x:v>29999</x:v>
      </x:c>
      <x:c r="G61" s="55" t="n">
        <x:v>7092</x:v>
      </x:c>
      <x:c r="H61" s="55" t="n">
        <x:v>2987</x:v>
      </x:c>
      <x:c r="I61" s="55" t="n">
        <x:v>720</x:v>
      </x:c>
      <x:c r="J61" s="55" t="n">
        <x:v>158</x:v>
      </x:c>
      <x:c r="K61" s="55" t="n">
        <x:v>28365</x:v>
      </x:c>
      <x:c r="L61" s="55" t="n">
        <x:v>5338</x:v>
      </x:c>
      <x:c r="M61" s="55" t="n">
        <x:v>1299</x:v>
      </x:c>
      <x:c r="N61" s="55" t="n">
        <x:v>2383</x:v>
      </x:c>
      <x:c r="O61" s="55" t="n">
        <x:v>1656</x:v>
      </x:c>
      <x:c r="P61" s="55" t="n">
        <x:v>790</x:v>
      </x:c>
      <x:c r="Q61" s="55" t="n">
        <x:v>1898</x:v>
      </x:c>
      <x:c r="R61" s="55" t="n">
        <x:v>1859</x:v>
      </x:c>
      <x:c r="S61" s="55" t="n">
        <x:v>2338</x:v>
      </x:c>
      <x:c r="T61" s="55" t="n">
        <x:v>1161</x:v>
      </x:c>
      <x:c r="U61" s="55" t="n">
        <x:v>1675</x:v>
      </x:c>
      <x:c r="V61" s="55" t="n">
        <x:v>9759</x:v>
      </x:c>
      <x:c r="W61" s="55" t="n">
        <x:v>7079</x:v>
      </x:c>
      <x:c r="X61" s="55" t="n">
        <x:v>2680</x:v>
      </x:c>
      <x:c r="Y61" s="55" t="n">
        <x:v>2341</x:v>
      </x:c>
      <x:c r="Z61" s="55" t="n">
        <x:v>3859</x:v>
      </x:c>
      <x:c r="AA61" s="55" t="n">
        <x:v>2987</x:v>
      </x:c>
      <x:c r="AB61" s="55" t="n">
        <x:v>729</x:v>
      </x:c>
      <x:c r="AC61" s="55" t="n">
        <x:v>8015</x:v>
      </x:c>
      <x:c r="AD61" s="55" t="n">
        <x:v>3078</x:v>
      </x:c>
      <x:c r="AE61" s="55" t="n">
        <x:v>9762</x:v>
      </x:c>
      <x:c r="AF61" s="55" t="n">
        <x:v>9759</x:v>
      </x:c>
      <x:c r="AG61" s="55" t="n">
        <x:v>3</x:v>
      </x:c>
      <x:c r="AH61" s="55" t="n">
        <x:v>389</x:v>
      </x:c>
      <x:c r="AI61" s="55" t="n">
        <x:v>9370</x:v>
      </x:c>
      <x:c r="AJ61" s="55" t="n">
        <x:v>129</x:v>
      </x:c>
      <x:c r="AK61" s="55" t="n">
        <x:v>878</x:v>
      </x:c>
      <x:c r="AL61" s="55" t="n">
        <x:v>1627</x:v>
      </x:c>
      <x:c r="AM61" s="55" t="n">
        <x:v>4783</x:v>
      </x:c>
      <x:c r="AN61" s="55" t="n">
        <x:v>2342</x:v>
      </x:c>
      <x:c r="AO61" s="55" t="n">
        <x:v>0</x:v>
      </x:c>
      <x:c r="AP61" s="55" t="n">
        <x:v>2221</x:v>
      </x:c>
      <x:c r="AQ61" s="55" t="n">
        <x:v>967</x:v>
      </x:c>
    </x:row>
    <x:row r="62">
      <x:c r="A62" s="54" t="str">
        <x:v>T2_CONCORDANT_DOMAIN</x:v>
      </x:c>
      <x:c r="B62" s="54" t="n">
        <x:v>56</x:v>
      </x:c>
      <x:c r="C62" s="54" t="str">
        <x:v>NYC-V2-R01</x:v>
      </x:c>
      <x:c r="D62" s="54" t="str">
        <x:v>V2</x:v>
      </x:c>
      <x:c r="E62" s="54" t="str">
        <x:v>ADMITTED</x:v>
      </x:c>
      <x:c r="F62" s="55" t="n">
        <x:v>31849</x:v>
      </x:c>
      <x:c r="G62" s="55" t="n">
        <x:v>7497</x:v>
      </x:c>
      <x:c r="H62" s="55" t="n">
        <x:v>3325</x:v>
      </x:c>
      <x:c r="I62" s="55" t="n">
        <x:v>1317</x:v>
      </x:c>
      <x:c r="J62" s="55" t="n">
        <x:v>210</x:v>
      </x:c>
      <x:c r="K62" s="55" t="n">
        <x:v>31849</x:v>
      </x:c>
      <x:c r="L62" s="55" t="n">
        <x:v>7273</x:v>
      </x:c>
      <x:c r="M62" s="55" t="n">
        <x:v>2052</x:v>
      </x:c>
      <x:c r="N62" s="55" t="n">
        <x:v>3372</x:v>
      </x:c>
      <x:c r="O62" s="55" t="n">
        <x:v>1849</x:v>
      </x:c>
      <x:c r="P62" s="55" t="n">
        <x:v>617</x:v>
      </x:c>
      <x:c r="Q62" s="55" t="n">
        <x:v>2122</x:v>
      </x:c>
      <x:c r="R62" s="55" t="n">
        <x:v>2412</x:v>
      </x:c>
      <x:c r="S62" s="55" t="n">
        <x:v>2750</x:v>
      </x:c>
      <x:c r="T62" s="55" t="n">
        <x:v>1554</x:v>
      </x:c>
      <x:c r="U62" s="55" t="n">
        <x:v>2363</x:v>
      </x:c>
      <x:c r="V62" s="55" t="n">
        <x:v>10774</x:v>
      </x:c>
      <x:c r="W62" s="55" t="n">
        <x:v>7246</x:v>
      </x:c>
      <x:c r="X62" s="55" t="n">
        <x:v>3528</x:v>
      </x:c>
      <x:c r="Y62" s="55" t="n">
        <x:v>3062</x:v>
      </x:c>
      <x:c r="Z62" s="55" t="n">
        <x:v>3711</x:v>
      </x:c>
      <x:c r="AA62" s="55" t="n">
        <x:v>2786</x:v>
      </x:c>
      <x:c r="AB62" s="55" t="n">
        <x:v>1247</x:v>
      </x:c>
      <x:c r="AC62" s="55" t="n">
        <x:v>8665</x:v>
      </x:c>
      <x:c r="AD62" s="55" t="n">
        <x:v>3261</x:v>
      </x:c>
      <x:c r="AE62" s="55" t="n">
        <x:v>10895</x:v>
      </x:c>
      <x:c r="AF62" s="55" t="n">
        <x:v>10774</x:v>
      </x:c>
      <x:c r="AG62" s="55" t="n">
        <x:v>121</x:v>
      </x:c>
      <x:c r="AH62" s="55" t="n">
        <x:v>473</x:v>
      </x:c>
      <x:c r="AI62" s="55" t="n">
        <x:v>10301</x:v>
      </x:c>
      <x:c r="AJ62" s="55" t="n">
        <x:v>361</x:v>
      </x:c>
      <x:c r="AK62" s="55" t="n">
        <x:v>1164</x:v>
      </x:c>
      <x:c r="AL62" s="55" t="n">
        <x:v>1422</x:v>
      </x:c>
      <x:c r="AM62" s="55" t="n">
        <x:v>5450</x:v>
      </x:c>
      <x:c r="AN62" s="55" t="n">
        <x:v>2327</x:v>
      </x:c>
      <x:c r="AO62" s="55" t="n">
        <x:v>50</x:v>
      </x:c>
      <x:c r="AP62" s="55" t="n">
        <x:v>2520</x:v>
      </x:c>
      <x:c r="AQ62" s="55" t="n">
        <x:v>983</x:v>
      </x:c>
    </x:row>
    <x:row r="63">
      <x:c r="A63" s="54" t="str">
        <x:v>T2_CONCORDANT_DOMAIN</x:v>
      </x:c>
      <x:c r="B63" s="54" t="n">
        <x:v>57</x:v>
      </x:c>
      <x:c r="C63" s="54" t="str">
        <x:v>NYC-V2-R01</x:v>
      </x:c>
      <x:c r="D63" s="54" t="str">
        <x:v>V2</x:v>
      </x:c>
      <x:c r="E63" s="54" t="str">
        <x:v>ADMITTED</x:v>
      </x:c>
      <x:c r="F63" s="55" t="n">
        <x:v>30353</x:v>
      </x:c>
      <x:c r="G63" s="55" t="n">
        <x:v>7310</x:v>
      </x:c>
      <x:c r="H63" s="55" t="n">
        <x:v>2906</x:v>
      </x:c>
      <x:c r="I63" s="55" t="n">
        <x:v>1232</x:v>
      </x:c>
      <x:c r="J63" s="55" t="n">
        <x:v>292</x:v>
      </x:c>
      <x:c r="K63" s="55" t="n">
        <x:v>30353</x:v>
      </x:c>
      <x:c r="L63" s="55" t="n">
        <x:v>6814</x:v>
      </x:c>
      <x:c r="M63" s="55" t="n">
        <x:v>1469</x:v>
      </x:c>
      <x:c r="N63" s="55" t="n">
        <x:v>3281</x:v>
      </x:c>
      <x:c r="O63" s="55" t="n">
        <x:v>2064</x:v>
      </x:c>
      <x:c r="P63" s="55" t="n">
        <x:v>725</x:v>
      </x:c>
      <x:c r="Q63" s="55" t="n">
        <x:v>2972</x:v>
      </x:c>
      <x:c r="R63" s="55" t="n">
        <x:v>2198</x:v>
      </x:c>
      <x:c r="S63" s="55" t="n">
        <x:v>2374</x:v>
      </x:c>
      <x:c r="T63" s="55" t="n">
        <x:v>1292</x:v>
      </x:c>
      <x:c r="U63" s="55" t="n">
        <x:v>2002</x:v>
      </x:c>
      <x:c r="V63" s="55" t="n">
        <x:v>11199</x:v>
      </x:c>
      <x:c r="W63" s="55" t="n">
        <x:v>7980</x:v>
      </x:c>
      <x:c r="X63" s="55" t="n">
        <x:v>3219</x:v>
      </x:c>
      <x:c r="Y63" s="55" t="n">
        <x:v>2925</x:v>
      </x:c>
      <x:c r="Z63" s="55" t="n">
        <x:v>3839</x:v>
      </x:c>
      <x:c r="AA63" s="55" t="n">
        <x:v>2646</x:v>
      </x:c>
      <x:c r="AB63" s="55" t="n">
        <x:v>997</x:v>
      </x:c>
      <x:c r="AC63" s="55" t="n">
        <x:v>8403</x:v>
      </x:c>
      <x:c r="AD63" s="55" t="n">
        <x:v>2984</x:v>
      </x:c>
      <x:c r="AE63" s="55" t="n">
        <x:v>11356</x:v>
      </x:c>
      <x:c r="AF63" s="55" t="n">
        <x:v>11199</x:v>
      </x:c>
      <x:c r="AG63" s="55" t="n">
        <x:v>157</x:v>
      </x:c>
      <x:c r="AH63" s="55" t="n">
        <x:v>476</x:v>
      </x:c>
      <x:c r="AI63" s="55" t="n">
        <x:v>10723</x:v>
      </x:c>
      <x:c r="AJ63" s="55" t="n">
        <x:v>249</x:v>
      </x:c>
      <x:c r="AK63" s="55" t="n">
        <x:v>817</x:v>
      </x:c>
      <x:c r="AL63" s="55" t="n">
        <x:v>1821</x:v>
      </x:c>
      <x:c r="AM63" s="55" t="n">
        <x:v>5247</x:v>
      </x:c>
      <x:c r="AN63" s="55" t="n">
        <x:v>3020</x:v>
      </x:c>
      <x:c r="AO63" s="55" t="n">
        <x:v>45</x:v>
      </x:c>
      <x:c r="AP63" s="55" t="n">
        <x:v>2813</x:v>
      </x:c>
      <x:c r="AQ63" s="55" t="n">
        <x:v>956</x:v>
      </x:c>
    </x:row>
    <x:row r="64">
      <x:c r="A64" s="54" t="str">
        <x:v>T2_CONCORDANT_DOMAIN</x:v>
      </x:c>
      <x:c r="B64" s="54" t="n">
        <x:v>58</x:v>
      </x:c>
      <x:c r="C64" s="54" t="str">
        <x:v>NYC-V2-R01</x:v>
      </x:c>
      <x:c r="D64" s="54" t="str">
        <x:v>V2</x:v>
      </x:c>
      <x:c r="E64" s="54" t="str">
        <x:v>ADMITTED</x:v>
      </x:c>
      <x:c r="F64" s="55" t="n">
        <x:v>30431</x:v>
      </x:c>
      <x:c r="G64" s="55" t="n">
        <x:v>7583</x:v>
      </x:c>
      <x:c r="H64" s="55" t="n">
        <x:v>3247</x:v>
      </x:c>
      <x:c r="I64" s="55" t="n">
        <x:v>1252</x:v>
      </x:c>
      <x:c r="J64" s="55" t="n">
        <x:v>217</x:v>
      </x:c>
      <x:c r="K64" s="55" t="n">
        <x:v>28797</x:v>
      </x:c>
      <x:c r="L64" s="55" t="n">
        <x:v>4446</x:v>
      </x:c>
      <x:c r="M64" s="55" t="n">
        <x:v>498</x:v>
      </x:c>
      <x:c r="N64" s="55" t="n">
        <x:v>2433</x:v>
      </x:c>
      <x:c r="O64" s="55" t="n">
        <x:v>1515</x:v>
      </x:c>
      <x:c r="P64" s="55" t="n">
        <x:v>547</x:v>
      </x:c>
      <x:c r="Q64" s="55" t="n">
        <x:v>2076</x:v>
      </x:c>
      <x:c r="R64" s="55" t="n">
        <x:v>1760</x:v>
      </x:c>
      <x:c r="S64" s="55" t="n">
        <x:v>1846</x:v>
      </x:c>
      <x:c r="T64" s="55" t="n">
        <x:v>826</x:v>
      </x:c>
      <x:c r="U64" s="55" t="n">
        <x:v>1542</x:v>
      </x:c>
      <x:c r="V64" s="55" t="n">
        <x:v>10322</x:v>
      </x:c>
      <x:c r="W64" s="55" t="n">
        <x:v>7257</x:v>
      </x:c>
      <x:c r="X64" s="55" t="n">
        <x:v>3065</x:v>
      </x:c>
      <x:c r="Y64" s="55" t="n">
        <x:v>2578</x:v>
      </x:c>
      <x:c r="Z64" s="55" t="n">
        <x:v>3284</x:v>
      </x:c>
      <x:c r="AA64" s="55" t="n">
        <x:v>2639</x:v>
      </x:c>
      <x:c r="AB64" s="55" t="n">
        <x:v>928</x:v>
      </x:c>
      <x:c r="AC64" s="55" t="n">
        <x:v>7877</x:v>
      </x:c>
      <x:c r="AD64" s="55" t="n">
        <x:v>2788</x:v>
      </x:c>
      <x:c r="AE64" s="55" t="n">
        <x:v>10350</x:v>
      </x:c>
      <x:c r="AF64" s="55" t="n">
        <x:v>10322</x:v>
      </x:c>
      <x:c r="AG64" s="55" t="n">
        <x:v>28</x:v>
      </x:c>
      <x:c r="AH64" s="55" t="n">
        <x:v>279</x:v>
      </x:c>
      <x:c r="AI64" s="55" t="n">
        <x:v>10043</x:v>
      </x:c>
      <x:c r="AJ64" s="55" t="n">
        <x:v>214</x:v>
      </x:c>
      <x:c r="AK64" s="55" t="n">
        <x:v>975</x:v>
      </x:c>
      <x:c r="AL64" s="55" t="n">
        <x:v>1465</x:v>
      </x:c>
      <x:c r="AM64" s="55" t="n">
        <x:v>5240</x:v>
      </x:c>
      <x:c r="AN64" s="55" t="n">
        <x:v>2392</x:v>
      </x:c>
      <x:c r="AO64" s="55" t="n">
        <x:v>36</x:v>
      </x:c>
      <x:c r="AP64" s="55" t="n">
        <x:v>2066</x:v>
      </x:c>
      <x:c r="AQ64" s="55" t="n">
        <x:v>945</x:v>
      </x:c>
    </x:row>
    <x:row r="65">
      <x:c r="A65" s="54" t="str">
        <x:v>T2_CONCORDANT_DOMAIN</x:v>
      </x:c>
      <x:c r="B65" s="54" t="n">
        <x:v>59</x:v>
      </x:c>
      <x:c r="C65" s="54" t="str">
        <x:v>NYC-V2-R01</x:v>
      </x:c>
      <x:c r="D65" s="54" t="str">
        <x:v>V2</x:v>
      </x:c>
      <x:c r="E65" s="54" t="str">
        <x:v>ADMITTED</x:v>
      </x:c>
      <x:c r="F65" s="55" t="n">
        <x:v>33638</x:v>
      </x:c>
      <x:c r="G65" s="55" t="n">
        <x:v>9259</x:v>
      </x:c>
      <x:c r="H65" s="55" t="n">
        <x:v>3619</x:v>
      </x:c>
      <x:c r="I65" s="55" t="n">
        <x:v>1315</x:v>
      </x:c>
      <x:c r="J65" s="55" t="n">
        <x:v>361</x:v>
      </x:c>
      <x:c r="K65" s="55" t="n">
        <x:v>31105</x:v>
      </x:c>
      <x:c r="L65" s="55" t="n">
        <x:v>7505</x:v>
      </x:c>
      <x:c r="M65" s="55" t="n">
        <x:v>3004</x:v>
      </x:c>
      <x:c r="N65" s="55" t="n">
        <x:v>2667</x:v>
      </x:c>
      <x:c r="O65" s="55" t="n">
        <x:v>1834</x:v>
      </x:c>
      <x:c r="P65" s="55" t="n">
        <x:v>1320</x:v>
      </x:c>
      <x:c r="Q65" s="55" t="n">
        <x:v>2946</x:v>
      </x:c>
      <x:c r="R65" s="55" t="n">
        <x:v>2439</x:v>
      </x:c>
      <x:c r="S65" s="55" t="n">
        <x:v>3363</x:v>
      </x:c>
      <x:c r="T65" s="55" t="n">
        <x:v>1590</x:v>
      </x:c>
      <x:c r="U65" s="55" t="n">
        <x:v>2088</x:v>
      </x:c>
      <x:c r="V65" s="55" t="n">
        <x:v>11174</x:v>
      </x:c>
      <x:c r="W65" s="55" t="n">
        <x:v>7892</x:v>
      </x:c>
      <x:c r="X65" s="55" t="n">
        <x:v>3282</x:v>
      </x:c>
      <x:c r="Y65" s="55" t="n">
        <x:v>2773</x:v>
      </x:c>
      <x:c r="Z65" s="55" t="n">
        <x:v>4071</x:v>
      </x:c>
      <x:c r="AA65" s="55" t="n">
        <x:v>3238</x:v>
      </x:c>
      <x:c r="AB65" s="55" t="n">
        <x:v>1148</x:v>
      </x:c>
      <x:c r="AC65" s="55" t="n">
        <x:v>8080</x:v>
      </x:c>
      <x:c r="AD65" s="55" t="n">
        <x:v>2951</x:v>
      </x:c>
      <x:c r="AE65" s="55" t="n">
        <x:v>11280</x:v>
      </x:c>
      <x:c r="AF65" s="55" t="n">
        <x:v>11174</x:v>
      </x:c>
      <x:c r="AG65" s="55" t="n">
        <x:v>106</x:v>
      </x:c>
      <x:c r="AH65" s="55" t="n">
        <x:v>501</x:v>
      </x:c>
      <x:c r="AI65" s="55" t="n">
        <x:v>10673</x:v>
      </x:c>
      <x:c r="AJ65" s="55" t="n">
        <x:v>364</x:v>
      </x:c>
      <x:c r="AK65" s="55" t="n">
        <x:v>1147</x:v>
      </x:c>
      <x:c r="AL65" s="55" t="n">
        <x:v>1888</x:v>
      </x:c>
      <x:c r="AM65" s="55" t="n">
        <x:v>5170</x:v>
      </x:c>
      <x:c r="AN65" s="55" t="n">
        <x:v>2589</x:v>
      </x:c>
      <x:c r="AO65" s="55" t="n">
        <x:v>16</x:v>
      </x:c>
      <x:c r="AP65" s="55" t="n">
        <x:v>2442</x:v>
      </x:c>
      <x:c r="AQ65" s="55" t="n">
        <x:v>982</x:v>
      </x:c>
    </x:row>
    <x:row r="66">
      <x:c r="A66" s="54" t="str">
        <x:v>T2_CONCORDANT_DOMAIN</x:v>
      </x:c>
      <x:c r="B66" s="54" t="n">
        <x:v>60</x:v>
      </x:c>
      <x:c r="C66" s="54" t="str">
        <x:v>NYC-V2-R01</x:v>
      </x:c>
      <x:c r="D66" s="54" t="str">
        <x:v>V2</x:v>
      </x:c>
      <x:c r="E66" s="54" t="str">
        <x:v>ADMITTED</x:v>
      </x:c>
      <x:c r="F66" s="55" t="n">
        <x:v>30802</x:v>
      </x:c>
      <x:c r="G66" s="55" t="n">
        <x:v>7446</x:v>
      </x:c>
      <x:c r="H66" s="55" t="n">
        <x:v>3249</x:v>
      </x:c>
      <x:c r="I66" s="55" t="n">
        <x:v>1592</x:v>
      </x:c>
      <x:c r="J66" s="55" t="n">
        <x:v>118</x:v>
      </x:c>
      <x:c r="K66" s="55" t="n">
        <x:v>30054</x:v>
      </x:c>
      <x:c r="L66" s="55" t="n">
        <x:v>4610</x:v>
      </x:c>
      <x:c r="M66" s="55" t="n">
        <x:v>456</x:v>
      </x:c>
      <x:c r="N66" s="55" t="n">
        <x:v>2415</x:v>
      </x:c>
      <x:c r="O66" s="55" t="n">
        <x:v>1739</x:v>
      </x:c>
      <x:c r="P66" s="55" t="n">
        <x:v>996</x:v>
      </x:c>
      <x:c r="Q66" s="55" t="n">
        <x:v>1768</x:v>
      </x:c>
      <x:c r="R66" s="55" t="n">
        <x:v>2065</x:v>
      </x:c>
      <x:c r="S66" s="55" t="n">
        <x:v>2639</x:v>
      </x:c>
      <x:c r="T66" s="55" t="n">
        <x:v>1142</x:v>
      </x:c>
      <x:c r="U66" s="55" t="n">
        <x:v>1865</x:v>
      </x:c>
      <x:c r="V66" s="55" t="n">
        <x:v>10769</x:v>
      </x:c>
      <x:c r="W66" s="55" t="n">
        <x:v>7606</x:v>
      </x:c>
      <x:c r="X66" s="55" t="n">
        <x:v>3163</x:v>
      </x:c>
      <x:c r="Y66" s="55" t="n">
        <x:v>2728</x:v>
      </x:c>
      <x:c r="Z66" s="55" t="n">
        <x:v>3251</x:v>
      </x:c>
      <x:c r="AA66" s="55" t="n">
        <x:v>3097</x:v>
      </x:c>
      <x:c r="AB66" s="55" t="n">
        <x:v>927</x:v>
      </x:c>
      <x:c r="AC66" s="55" t="n">
        <x:v>7706</x:v>
      </x:c>
      <x:c r="AD66" s="55" t="n">
        <x:v>2676</x:v>
      </x:c>
      <x:c r="AE66" s="55" t="n">
        <x:v>10882</x:v>
      </x:c>
      <x:c r="AF66" s="55" t="n">
        <x:v>10769</x:v>
      </x:c>
      <x:c r="AG66" s="55" t="n">
        <x:v>113</x:v>
      </x:c>
      <x:c r="AH66" s="55" t="n">
        <x:v>351</x:v>
      </x:c>
      <x:c r="AI66" s="55" t="n">
        <x:v>10418</x:v>
      </x:c>
      <x:c r="AJ66" s="55" t="n">
        <x:v>355</x:v>
      </x:c>
      <x:c r="AK66" s="55" t="n">
        <x:v>711</x:v>
      </x:c>
      <x:c r="AL66" s="55" t="n">
        <x:v>1264</x:v>
      </x:c>
      <x:c r="AM66" s="55" t="n">
        <x:v>5548</x:v>
      </x:c>
      <x:c r="AN66" s="55" t="n">
        <x:v>2891</x:v>
      </x:c>
      <x:c r="AO66" s="55" t="n">
        <x:v>0</x:v>
      </x:c>
      <x:c r="AP66" s="55" t="n">
        <x:v>2137</x:v>
      </x:c>
      <x:c r="AQ66" s="55" t="n">
        <x:v>910</x:v>
      </x:c>
    </x:row>
    <x:row r="67">
      <x:c r="A67" s="54" t="str">
        <x:v>T2_CONCORDANT_DOMAIN</x:v>
      </x:c>
      <x:c r="B67" s="54" t="n">
        <x:v>61</x:v>
      </x:c>
      <x:c r="C67" s="54" t="str">
        <x:v>NYC-V2-R01</x:v>
      </x:c>
      <x:c r="D67" s="54" t="str">
        <x:v>V2</x:v>
      </x:c>
      <x:c r="E67" s="54" t="str">
        <x:v>ADMITTED</x:v>
      </x:c>
      <x:c r="F67" s="55" t="n">
        <x:v>32702</x:v>
      </x:c>
      <x:c r="G67" s="55" t="n">
        <x:v>5802</x:v>
      </x:c>
      <x:c r="H67" s="55" t="n">
        <x:v>3477</x:v>
      </x:c>
      <x:c r="I67" s="55" t="n">
        <x:v>1313</x:v>
      </x:c>
      <x:c r="J67" s="55" t="n">
        <x:v>240</x:v>
      </x:c>
      <x:c r="K67" s="55" t="n">
        <x:v>32702</x:v>
      </x:c>
      <x:c r="L67" s="55" t="n">
        <x:v>6645</x:v>
      </x:c>
      <x:c r="M67" s="55" t="n">
        <x:v>1736</x:v>
      </x:c>
      <x:c r="N67" s="55" t="n">
        <x:v>3173</x:v>
      </x:c>
      <x:c r="O67" s="55" t="n">
        <x:v>1736</x:v>
      </x:c>
      <x:c r="P67" s="55" t="n">
        <x:v>668</x:v>
      </x:c>
      <x:c r="Q67" s="55" t="n">
        <x:v>2507</x:v>
      </x:c>
      <x:c r="R67" s="55" t="n">
        <x:v>1877</x:v>
      </x:c>
      <x:c r="S67" s="55" t="n">
        <x:v>2977</x:v>
      </x:c>
      <x:c r="T67" s="55" t="n">
        <x:v>1266</x:v>
      </x:c>
      <x:c r="U67" s="55" t="n">
        <x:v>2284</x:v>
      </x:c>
      <x:c r="V67" s="55" t="n">
        <x:v>10301</x:v>
      </x:c>
      <x:c r="W67" s="55" t="n">
        <x:v>7247</x:v>
      </x:c>
      <x:c r="X67" s="55" t="n">
        <x:v>3054</x:v>
      </x:c>
      <x:c r="Y67" s="55" t="n">
        <x:v>2773</x:v>
      </x:c>
      <x:c r="Z67" s="55" t="n">
        <x:v>3550</x:v>
      </x:c>
      <x:c r="AA67" s="55" t="n">
        <x:v>3477</x:v>
      </x:c>
      <x:c r="AB67" s="55" t="n">
        <x:v>1180</x:v>
      </x:c>
      <x:c r="AC67" s="55" t="n">
        <x:v>9124</x:v>
      </x:c>
      <x:c r="AD67" s="55" t="n">
        <x:v>2394</x:v>
      </x:c>
      <x:c r="AE67" s="55" t="n">
        <x:v>10371</x:v>
      </x:c>
      <x:c r="AF67" s="55" t="n">
        <x:v>10301</x:v>
      </x:c>
      <x:c r="AG67" s="55" t="n">
        <x:v>70</x:v>
      </x:c>
      <x:c r="AH67" s="55" t="n">
        <x:v>343</x:v>
      </x:c>
      <x:c r="AI67" s="55" t="n">
        <x:v>9958</x:v>
      </x:c>
      <x:c r="AJ67" s="55" t="n">
        <x:v>386</x:v>
      </x:c>
      <x:c r="AK67" s="55" t="n">
        <x:v>708</x:v>
      </x:c>
      <x:c r="AL67" s="55" t="n">
        <x:v>1466</x:v>
      </x:c>
      <x:c r="AM67" s="55" t="n">
        <x:v>5085</x:v>
      </x:c>
      <x:c r="AN67" s="55" t="n">
        <x:v>2633</x:v>
      </x:c>
      <x:c r="AO67" s="55" t="n">
        <x:v>23</x:v>
      </x:c>
      <x:c r="AP67" s="55" t="n">
        <x:v>1873</x:v>
      </x:c>
      <x:c r="AQ67" s="55" t="n">
        <x:v>944</x:v>
      </x:c>
    </x:row>
    <x:row r="68">
      <x:c r="A68" s="54" t="str">
        <x:v>T2_CONCORDANT_DOMAIN</x:v>
      </x:c>
      <x:c r="B68" s="54" t="n">
        <x:v>62</x:v>
      </x:c>
      <x:c r="C68" s="54" t="str">
        <x:v>NYC-V2-R01</x:v>
      </x:c>
      <x:c r="D68" s="54" t="str">
        <x:v>V2</x:v>
      </x:c>
      <x:c r="E68" s="54" t="str">
        <x:v>ADMITTED</x:v>
      </x:c>
      <x:c r="F68" s="55" t="n">
        <x:v>33334</x:v>
      </x:c>
      <x:c r="G68" s="55" t="n">
        <x:v>7977</x:v>
      </x:c>
      <x:c r="H68" s="55" t="n">
        <x:v>3935</x:v>
      </x:c>
      <x:c r="I68" s="55" t="n">
        <x:v>1835</x:v>
      </x:c>
      <x:c r="J68" s="55" t="n">
        <x:v>380</x:v>
      </x:c>
      <x:c r="K68" s="55" t="n">
        <x:v>33334</x:v>
      </x:c>
      <x:c r="L68" s="55" t="n">
        <x:v>8170</x:v>
      </x:c>
      <x:c r="M68" s="55" t="n">
        <x:v>2728</x:v>
      </x:c>
      <x:c r="N68" s="55" t="n">
        <x:v>3276</x:v>
      </x:c>
      <x:c r="O68" s="55" t="n">
        <x:v>2166</x:v>
      </x:c>
      <x:c r="P68" s="55" t="n">
        <x:v>1388</x:v>
      </x:c>
      <x:c r="Q68" s="55" t="n">
        <x:v>3156</x:v>
      </x:c>
      <x:c r="R68" s="55" t="n">
        <x:v>2132</x:v>
      </x:c>
      <x:c r="S68" s="55" t="n">
        <x:v>4249</x:v>
      </x:c>
      <x:c r="T68" s="55" t="n">
        <x:v>1243</x:v>
      </x:c>
      <x:c r="U68" s="55" t="n">
        <x:v>2112</x:v>
      </x:c>
      <x:c r="V68" s="55" t="n">
        <x:v>11463</x:v>
      </x:c>
      <x:c r="W68" s="55" t="n">
        <x:v>8235</x:v>
      </x:c>
      <x:c r="X68" s="55" t="n">
        <x:v>3228</x:v>
      </x:c>
      <x:c r="Y68" s="55" t="n">
        <x:v>2834</x:v>
      </x:c>
      <x:c r="Z68" s="55" t="n">
        <x:v>4133</x:v>
      </x:c>
      <x:c r="AA68" s="55" t="n">
        <x:v>3515</x:v>
      </x:c>
      <x:c r="AB68" s="55" t="n">
        <x:v>1229</x:v>
      </x:c>
      <x:c r="AC68" s="55" t="n">
        <x:v>8541</x:v>
      </x:c>
      <x:c r="AD68" s="55" t="n">
        <x:v>3465</x:v>
      </x:c>
      <x:c r="AE68" s="55" t="n">
        <x:v>11674</x:v>
      </x:c>
      <x:c r="AF68" s="55" t="n">
        <x:v>11463</x:v>
      </x:c>
      <x:c r="AG68" s="55" t="n">
        <x:v>211</x:v>
      </x:c>
      <x:c r="AH68" s="55" t="n">
        <x:v>691</x:v>
      </x:c>
      <x:c r="AI68" s="55" t="n">
        <x:v>10772</x:v>
      </x:c>
      <x:c r="AJ68" s="55" t="n">
        <x:v>383</x:v>
      </x:c>
      <x:c r="AK68" s="55" t="n">
        <x:v>1087</x:v>
      </x:c>
      <x:c r="AL68" s="55" t="n">
        <x:v>2130</x:v>
      </x:c>
      <x:c r="AM68" s="55" t="n">
        <x:v>4723</x:v>
      </x:c>
      <x:c r="AN68" s="55" t="n">
        <x:v>2990</x:v>
      </x:c>
      <x:c r="AO68" s="55" t="n">
        <x:v>150</x:v>
      </x:c>
      <x:c r="AP68" s="55" t="n">
        <x:v>2955</x:v>
      </x:c>
      <x:c r="AQ68" s="55" t="n">
        <x:v>1006</x:v>
      </x:c>
    </x:row>
    <x:row r="69">
      <x:c r="A69" s="54" t="str">
        <x:v>T2_CONCORDANT_DOMAIN</x:v>
      </x:c>
      <x:c r="B69" s="54" t="n">
        <x:v>63</x:v>
      </x:c>
      <x:c r="C69" s="54" t="str">
        <x:v>NYC-V2-R01</x:v>
      </x:c>
      <x:c r="D69" s="54" t="str">
        <x:v>V2</x:v>
      </x:c>
      <x:c r="E69" s="54" t="str">
        <x:v>ADMITTED</x:v>
      </x:c>
      <x:c r="F69" s="55" t="n">
        <x:v>32019</x:v>
      </x:c>
      <x:c r="G69" s="55" t="n">
        <x:v>8352</x:v>
      </x:c>
      <x:c r="H69" s="55" t="n">
        <x:v>3536</x:v>
      </x:c>
      <x:c r="I69" s="55" t="n">
        <x:v>1391</x:v>
      </x:c>
      <x:c r="J69" s="55" t="n">
        <x:v>143</x:v>
      </x:c>
      <x:c r="K69" s="55" t="n">
        <x:v>31985</x:v>
      </x:c>
      <x:c r="L69" s="55" t="n">
        <x:v>7114</x:v>
      </x:c>
      <x:c r="M69" s="55" t="n">
        <x:v>2231</x:v>
      </x:c>
      <x:c r="N69" s="55" t="n">
        <x:v>2856</x:v>
      </x:c>
      <x:c r="O69" s="55" t="n">
        <x:v>2027</x:v>
      </x:c>
      <x:c r="P69" s="55" t="n">
        <x:v>711</x:v>
      </x:c>
      <x:c r="Q69" s="55" t="n">
        <x:v>3276</x:v>
      </x:c>
      <x:c r="R69" s="55" t="n">
        <x:v>2203</x:v>
      </x:c>
      <x:c r="S69" s="55" t="n">
        <x:v>3309</x:v>
      </x:c>
      <x:c r="T69" s="55" t="n">
        <x:v>1610</x:v>
      </x:c>
      <x:c r="U69" s="55" t="n">
        <x:v>2620</x:v>
      </x:c>
      <x:c r="V69" s="55" t="n">
        <x:v>10590</x:v>
      </x:c>
      <x:c r="W69" s="55" t="n">
        <x:v>7687</x:v>
      </x:c>
      <x:c r="X69" s="55" t="n">
        <x:v>2903</x:v>
      </x:c>
      <x:c r="Y69" s="55" t="n">
        <x:v>2518</x:v>
      </x:c>
      <x:c r="Z69" s="55" t="n">
        <x:v>3456</x:v>
      </x:c>
      <x:c r="AA69" s="55" t="n">
        <x:v>2855</x:v>
      </x:c>
      <x:c r="AB69" s="55" t="n">
        <x:v>970</x:v>
      </x:c>
      <x:c r="AC69" s="55" t="n">
        <x:v>8352</x:v>
      </x:c>
      <x:c r="AD69" s="55" t="n">
        <x:v>3348</x:v>
      </x:c>
      <x:c r="AE69" s="55" t="n">
        <x:v>10667</x:v>
      </x:c>
      <x:c r="AF69" s="55" t="n">
        <x:v>10590</x:v>
      </x:c>
      <x:c r="AG69" s="55" t="n">
        <x:v>77</x:v>
      </x:c>
      <x:c r="AH69" s="55" t="n">
        <x:v>566</x:v>
      </x:c>
      <x:c r="AI69" s="55" t="n">
        <x:v>10024</x:v>
      </x:c>
      <x:c r="AJ69" s="55" t="n">
        <x:v>227</x:v>
      </x:c>
      <x:c r="AK69" s="55" t="n">
        <x:v>905</x:v>
      </x:c>
      <x:c r="AL69" s="55" t="n">
        <x:v>1489</x:v>
      </x:c>
      <x:c r="AM69" s="55" t="n">
        <x:v>4757</x:v>
      </x:c>
      <x:c r="AN69" s="55" t="n">
        <x:v>3212</x:v>
      </x:c>
      <x:c r="AO69" s="55" t="n">
        <x:v>0</x:v>
      </x:c>
      <x:c r="AP69" s="55" t="n">
        <x:v>2112</x:v>
      </x:c>
      <x:c r="AQ69" s="55" t="n">
        <x:v>937</x:v>
      </x:c>
    </x:row>
    <x:row r="70">
      <x:c r="A70" s="54" t="str">
        <x:v>T2_CONCORDANT_DOMAIN</x:v>
      </x:c>
      <x:c r="B70" s="54" t="n">
        <x:v>64</x:v>
      </x:c>
      <x:c r="C70" s="54" t="str">
        <x:v>NYC-V2-R01</x:v>
      </x:c>
      <x:c r="D70" s="54" t="str">
        <x:v>V2</x:v>
      </x:c>
      <x:c r="E70" s="54" t="str">
        <x:v>ADMITTED</x:v>
      </x:c>
      <x:c r="F70" s="55" t="n">
        <x:v>32925</x:v>
      </x:c>
      <x:c r="G70" s="55" t="n">
        <x:v>8634</x:v>
      </x:c>
      <x:c r="H70" s="55" t="n">
        <x:v>3481</x:v>
      </x:c>
      <x:c r="I70" s="55" t="n">
        <x:v>1609</x:v>
      </x:c>
      <x:c r="J70" s="55" t="n">
        <x:v>340</x:v>
      </x:c>
      <x:c r="K70" s="55" t="n">
        <x:v>29294</x:v>
      </x:c>
      <x:c r="L70" s="55" t="n">
        <x:v>5434</x:v>
      </x:c>
      <x:c r="M70" s="55" t="n">
        <x:v>1409</x:v>
      </x:c>
      <x:c r="N70" s="55" t="n">
        <x:v>2152</x:v>
      </x:c>
      <x:c r="O70" s="55" t="n">
        <x:v>1873</x:v>
      </x:c>
      <x:c r="P70" s="55" t="n">
        <x:v>596</x:v>
      </x:c>
      <x:c r="Q70" s="55" t="n">
        <x:v>2047</x:v>
      </x:c>
      <x:c r="R70" s="55" t="n">
        <x:v>2161</x:v>
      </x:c>
      <x:c r="S70" s="55" t="n">
        <x:v>3190</x:v>
      </x:c>
      <x:c r="T70" s="55" t="n">
        <x:v>1055</x:v>
      </x:c>
      <x:c r="U70" s="55" t="n">
        <x:v>1675</x:v>
      </x:c>
      <x:c r="V70" s="55" t="n">
        <x:v>10773</x:v>
      </x:c>
      <x:c r="W70" s="55" t="n">
        <x:v>7278</x:v>
      </x:c>
      <x:c r="X70" s="55" t="n">
        <x:v>3495</x:v>
      </x:c>
      <x:c r="Y70" s="55" t="n">
        <x:v>3061</x:v>
      </x:c>
      <x:c r="Z70" s="55" t="n">
        <x:v>3631</x:v>
      </x:c>
      <x:c r="AA70" s="55" t="n">
        <x:v>3148</x:v>
      </x:c>
      <x:c r="AB70" s="55" t="n">
        <x:v>1063</x:v>
      </x:c>
      <x:c r="AC70" s="55" t="n">
        <x:v>8034</x:v>
      </x:c>
      <x:c r="AD70" s="55" t="n">
        <x:v>3403</x:v>
      </x:c>
      <x:c r="AE70" s="55" t="n">
        <x:v>10798</x:v>
      </x:c>
      <x:c r="AF70" s="55" t="n">
        <x:v>10773</x:v>
      </x:c>
      <x:c r="AG70" s="55" t="n">
        <x:v>25</x:v>
      </x:c>
      <x:c r="AH70" s="55" t="n">
        <x:v>645</x:v>
      </x:c>
      <x:c r="AI70" s="55" t="n">
        <x:v>10128</x:v>
      </x:c>
      <x:c r="AJ70" s="55" t="n">
        <x:v>229</x:v>
      </x:c>
      <x:c r="AK70" s="55" t="n">
        <x:v>882</x:v>
      </x:c>
      <x:c r="AL70" s="55" t="n">
        <x:v>1785</x:v>
      </x:c>
      <x:c r="AM70" s="55" t="n">
        <x:v>5138</x:v>
      </x:c>
      <x:c r="AN70" s="55" t="n">
        <x:v>2739</x:v>
      </x:c>
      <x:c r="AO70" s="55" t="n">
        <x:v>0</x:v>
      </x:c>
      <x:c r="AP70" s="55" t="n">
        <x:v>2202</x:v>
      </x:c>
      <x:c r="AQ70" s="55" t="n">
        <x:v>961</x:v>
      </x:c>
    </x:row>
    <x:row r="71">
      <x:c r="A71" s="54" t="str">
        <x:v>T2_CONCORDANT_DOMAIN</x:v>
      </x:c>
      <x:c r="B71" s="54" t="n">
        <x:v>65</x:v>
      </x:c>
      <x:c r="C71" s="54" t="str">
        <x:v>NYC-V2-R01</x:v>
      </x:c>
      <x:c r="D71" s="54" t="str">
        <x:v>V2</x:v>
      </x:c>
      <x:c r="E71" s="54" t="str">
        <x:v>ADMITTED</x:v>
      </x:c>
      <x:c r="F71" s="55" t="n">
        <x:v>29771</x:v>
      </x:c>
      <x:c r="G71" s="55" t="n">
        <x:v>7733</x:v>
      </x:c>
      <x:c r="H71" s="55" t="n">
        <x:v>2905</x:v>
      </x:c>
      <x:c r="I71" s="55" t="n">
        <x:v>1145</x:v>
      </x:c>
      <x:c r="J71" s="55" t="n">
        <x:v>118</x:v>
      </x:c>
      <x:c r="K71" s="55" t="n">
        <x:v>29771</x:v>
      </x:c>
      <x:c r="L71" s="55" t="n">
        <x:v>4913</x:v>
      </x:c>
      <x:c r="M71" s="55" t="n">
        <x:v>1162</x:v>
      </x:c>
      <x:c r="N71" s="55" t="n">
        <x:v>2408</x:v>
      </x:c>
      <x:c r="O71" s="55" t="n">
        <x:v>1343</x:v>
      </x:c>
      <x:c r="P71" s="55" t="n">
        <x:v>305</x:v>
      </x:c>
      <x:c r="Q71" s="55" t="n">
        <x:v>1510</x:v>
      </x:c>
      <x:c r="R71" s="55" t="n">
        <x:v>1575</x:v>
      </x:c>
      <x:c r="S71" s="55" t="n">
        <x:v>2643</x:v>
      </x:c>
      <x:c r="T71" s="55" t="n">
        <x:v>798</x:v>
      </x:c>
      <x:c r="U71" s="55" t="n">
        <x:v>1618</x:v>
      </x:c>
      <x:c r="V71" s="55" t="n">
        <x:v>9984</x:v>
      </x:c>
      <x:c r="W71" s="55" t="n">
        <x:v>7238</x:v>
      </x:c>
      <x:c r="X71" s="55" t="n">
        <x:v>2746</x:v>
      </x:c>
      <x:c r="Y71" s="55" t="n">
        <x:v>2459</x:v>
      </x:c>
      <x:c r="Z71" s="55" t="n">
        <x:v>3704</x:v>
      </x:c>
      <x:c r="AA71" s="55" t="n">
        <x:v>2905</x:v>
      </x:c>
      <x:c r="AB71" s="55" t="n">
        <x:v>1290</x:v>
      </x:c>
      <x:c r="AC71" s="55" t="n">
        <x:v>7633</x:v>
      </x:c>
      <x:c r="AD71" s="55" t="n">
        <x:v>2511</x:v>
      </x:c>
      <x:c r="AE71" s="55" t="n">
        <x:v>9988</x:v>
      </x:c>
      <x:c r="AF71" s="55" t="n">
        <x:v>9984</x:v>
      </x:c>
      <x:c r="AG71" s="55" t="n">
        <x:v>4</x:v>
      </x:c>
      <x:c r="AH71" s="55" t="n">
        <x:v>272</x:v>
      </x:c>
      <x:c r="AI71" s="55" t="n">
        <x:v>9712</x:v>
      </x:c>
      <x:c r="AJ71" s="55" t="n">
        <x:v>243</x:v>
      </x:c>
      <x:c r="AK71" s="55" t="n">
        <x:v>801</x:v>
      </x:c>
      <x:c r="AL71" s="55" t="n">
        <x:v>2082</x:v>
      </x:c>
      <x:c r="AM71" s="55" t="n">
        <x:v>4975</x:v>
      </x:c>
      <x:c r="AN71" s="55" t="n">
        <x:v>1883</x:v>
      </x:c>
      <x:c r="AO71" s="55" t="n">
        <x:v>0</x:v>
      </x:c>
      <x:c r="AP71" s="55" t="n">
        <x:v>2164</x:v>
      </x:c>
      <x:c r="AQ71" s="55" t="n">
        <x:v>960</x:v>
      </x:c>
    </x:row>
    <x:row r="72">
      <x:c r="A72" s="54" t="str">
        <x:v>T2_CONCORDANT_DOMAIN</x:v>
      </x:c>
      <x:c r="B72" s="54" t="n">
        <x:v>66</x:v>
      </x:c>
      <x:c r="C72" s="54" t="str">
        <x:v>NYC-V2-R01</x:v>
      </x:c>
      <x:c r="D72" s="54" t="str">
        <x:v>V2</x:v>
      </x:c>
      <x:c r="E72" s="54" t="str">
        <x:v>ADMITTED</x:v>
      </x:c>
      <x:c r="F72" s="55" t="n">
        <x:v>29781</x:v>
      </x:c>
      <x:c r="G72" s="55" t="n">
        <x:v>7833</x:v>
      </x:c>
      <x:c r="H72" s="55" t="n">
        <x:v>3325</x:v>
      </x:c>
      <x:c r="I72" s="55" t="n">
        <x:v>1227</x:v>
      </x:c>
      <x:c r="J72" s="55" t="n">
        <x:v>194</x:v>
      </x:c>
      <x:c r="K72" s="55" t="n">
        <x:v>29348</x:v>
      </x:c>
      <x:c r="L72" s="55" t="n">
        <x:v>4717</x:v>
      </x:c>
      <x:c r="M72" s="55" t="n">
        <x:v>427</x:v>
      </x:c>
      <x:c r="N72" s="55" t="n">
        <x:v>2354</x:v>
      </x:c>
      <x:c r="O72" s="55" t="n">
        <x:v>1936</x:v>
      </x:c>
      <x:c r="P72" s="55" t="n">
        <x:v>883</x:v>
      </x:c>
      <x:c r="Q72" s="55" t="n">
        <x:v>2206</x:v>
      </x:c>
      <x:c r="R72" s="55" t="n">
        <x:v>1822</x:v>
      </x:c>
      <x:c r="S72" s="55" t="n">
        <x:v>3010</x:v>
      </x:c>
      <x:c r="T72" s="55" t="n">
        <x:v>1353</x:v>
      </x:c>
      <x:c r="U72" s="55" t="n">
        <x:v>2368</x:v>
      </x:c>
      <x:c r="V72" s="55" t="n">
        <x:v>10400</x:v>
      </x:c>
      <x:c r="W72" s="55" t="n">
        <x:v>7495</x:v>
      </x:c>
      <x:c r="X72" s="55" t="n">
        <x:v>2905</x:v>
      </x:c>
      <x:c r="Y72" s="55" t="n">
        <x:v>2688</x:v>
      </x:c>
      <x:c r="Z72" s="55" t="n">
        <x:v>3688</x:v>
      </x:c>
      <x:c r="AA72" s="55" t="n">
        <x:v>3325</x:v>
      </x:c>
      <x:c r="AB72" s="55" t="n">
        <x:v>1078</x:v>
      </x:c>
      <x:c r="AC72" s="55" t="n">
        <x:v>8157</x:v>
      </x:c>
      <x:c r="AD72" s="55" t="n">
        <x:v>2908</x:v>
      </x:c>
      <x:c r="AE72" s="55" t="n">
        <x:v>10501</x:v>
      </x:c>
      <x:c r="AF72" s="55" t="n">
        <x:v>10400</x:v>
      </x:c>
      <x:c r="AG72" s="55" t="n">
        <x:v>101</x:v>
      </x:c>
      <x:c r="AH72" s="55" t="n">
        <x:v>422</x:v>
      </x:c>
      <x:c r="AI72" s="55" t="n">
        <x:v>9978</x:v>
      </x:c>
      <x:c r="AJ72" s="55" t="n">
        <x:v>340</x:v>
      </x:c>
      <x:c r="AK72" s="55" t="n">
        <x:v>974</x:v>
      </x:c>
      <x:c r="AL72" s="55" t="n">
        <x:v>1343</x:v>
      </x:c>
      <x:c r="AM72" s="55" t="n">
        <x:v>4639</x:v>
      </x:c>
      <x:c r="AN72" s="55" t="n">
        <x:v>3037</x:v>
      </x:c>
      <x:c r="AO72" s="55" t="n">
        <x:v>67</x:v>
      </x:c>
      <x:c r="AP72" s="55" t="n">
        <x:v>2323</x:v>
      </x:c>
      <x:c r="AQ72" s="55" t="n">
        <x:v>956</x:v>
      </x:c>
    </x:row>
    <x:row r="73">
      <x:c r="A73" s="54" t="str">
        <x:v>T2_CONCORDANT_DOMAIN</x:v>
      </x:c>
      <x:c r="B73" s="54" t="n">
        <x:v>67</x:v>
      </x:c>
      <x:c r="C73" s="54" t="str">
        <x:v>NYC-V2-R01</x:v>
      </x:c>
      <x:c r="D73" s="54" t="str">
        <x:v>V2</x:v>
      </x:c>
      <x:c r="E73" s="54" t="str">
        <x:v>ADMITTED</x:v>
      </x:c>
      <x:c r="F73" s="55" t="n">
        <x:v>31863</x:v>
      </x:c>
      <x:c r="G73" s="55" t="n">
        <x:v>6962</x:v>
      </x:c>
      <x:c r="H73" s="55" t="n">
        <x:v>3148</x:v>
      </x:c>
      <x:c r="I73" s="55" t="n">
        <x:v>1047</x:v>
      </x:c>
      <x:c r="J73" s="55" t="n">
        <x:v>181</x:v>
      </x:c>
      <x:c r="K73" s="55" t="n">
        <x:v>29960</x:v>
      </x:c>
      <x:c r="L73" s="55" t="n">
        <x:v>4155</x:v>
      </x:c>
      <x:c r="M73" s="55" t="n">
        <x:v>586</x:v>
      </x:c>
      <x:c r="N73" s="55" t="n">
        <x:v>2151</x:v>
      </x:c>
      <x:c r="O73" s="55" t="n">
        <x:v>1418</x:v>
      </x:c>
      <x:c r="P73" s="55" t="n">
        <x:v>740</x:v>
      </x:c>
      <x:c r="Q73" s="55" t="n">
        <x:v>3274</x:v>
      </x:c>
      <x:c r="R73" s="55" t="n">
        <x:v>1939</x:v>
      </x:c>
      <x:c r="S73" s="55" t="n">
        <x:v>2341</x:v>
      </x:c>
      <x:c r="T73" s="55" t="n">
        <x:v>1267</x:v>
      </x:c>
      <x:c r="U73" s="55" t="n">
        <x:v>1399</x:v>
      </x:c>
      <x:c r="V73" s="55" t="n">
        <x:v>10218</x:v>
      </x:c>
      <x:c r="W73" s="55" t="n">
        <x:v>7269</x:v>
      </x:c>
      <x:c r="X73" s="55" t="n">
        <x:v>2949</x:v>
      </x:c>
      <x:c r="Y73" s="55" t="n">
        <x:v>2604</x:v>
      </x:c>
      <x:c r="Z73" s="55" t="n">
        <x:v>3750</x:v>
      </x:c>
      <x:c r="AA73" s="55" t="n">
        <x:v>3110</x:v>
      </x:c>
      <x:c r="AB73" s="55" t="n">
        <x:v>1146</x:v>
      </x:c>
      <x:c r="AC73" s="55" t="n">
        <x:v>7925</x:v>
      </x:c>
      <x:c r="AD73" s="55" t="n">
        <x:v>2243</x:v>
      </x:c>
      <x:c r="AE73" s="55" t="n">
        <x:v>10325</x:v>
      </x:c>
      <x:c r="AF73" s="55" t="n">
        <x:v>10218</x:v>
      </x:c>
      <x:c r="AG73" s="55" t="n">
        <x:v>107</x:v>
      </x:c>
      <x:c r="AH73" s="55" t="n">
        <x:v>476</x:v>
      </x:c>
      <x:c r="AI73" s="55" t="n">
        <x:v>9742</x:v>
      </x:c>
      <x:c r="AJ73" s="55" t="n">
        <x:v>325</x:v>
      </x:c>
      <x:c r="AK73" s="55" t="n">
        <x:v>1049</x:v>
      </x:c>
      <x:c r="AL73" s="55" t="n">
        <x:v>1433</x:v>
      </x:c>
      <x:c r="AM73" s="55" t="n">
        <x:v>5001</x:v>
      </x:c>
      <x:c r="AN73" s="55" t="n">
        <x:v>2410</x:v>
      </x:c>
      <x:c r="AO73" s="55" t="n">
        <x:v>0</x:v>
      </x:c>
      <x:c r="AP73" s="55" t="n">
        <x:v>1888</x:v>
      </x:c>
      <x:c r="AQ73" s="55" t="n">
        <x:v>977</x:v>
      </x:c>
    </x:row>
    <x:row r="74">
      <x:c r="A74" s="54" t="str">
        <x:v>T2_CONCORDANT_DOMAIN</x:v>
      </x:c>
      <x:c r="B74" s="54" t="n">
        <x:v>68</x:v>
      </x:c>
      <x:c r="C74" s="54" t="str">
        <x:v>NYC-V2-R01</x:v>
      </x:c>
      <x:c r="D74" s="54" t="str">
        <x:v>V2</x:v>
      </x:c>
      <x:c r="E74" s="54" t="str">
        <x:v>ADMITTED</x:v>
      </x:c>
      <x:c r="F74" s="55" t="n">
        <x:v>30196</x:v>
      </x:c>
      <x:c r="G74" s="55" t="n">
        <x:v>7360</x:v>
      </x:c>
      <x:c r="H74" s="55" t="n">
        <x:v>3334</x:v>
      </x:c>
      <x:c r="I74" s="55" t="n">
        <x:v>1467</x:v>
      </x:c>
      <x:c r="J74" s="55" t="n">
        <x:v>280</x:v>
      </x:c>
      <x:c r="K74" s="55" t="n">
        <x:v>29535</x:v>
      </x:c>
      <x:c r="L74" s="55" t="n">
        <x:v>5759</x:v>
      </x:c>
      <x:c r="M74" s="55" t="n">
        <x:v>1053</x:v>
      </x:c>
      <x:c r="N74" s="55" t="n">
        <x:v>3034</x:v>
      </x:c>
      <x:c r="O74" s="55" t="n">
        <x:v>1672</x:v>
      </x:c>
      <x:c r="P74" s="55" t="n">
        <x:v>1087</x:v>
      </x:c>
      <x:c r="Q74" s="55" t="n">
        <x:v>2653</x:v>
      </x:c>
      <x:c r="R74" s="55" t="n">
        <x:v>1392</x:v>
      </x:c>
      <x:c r="S74" s="55" t="n">
        <x:v>2762</x:v>
      </x:c>
      <x:c r="T74" s="55" t="n">
        <x:v>1356</x:v>
      </x:c>
      <x:c r="U74" s="55" t="n">
        <x:v>2023</x:v>
      </x:c>
      <x:c r="V74" s="55" t="n">
        <x:v>10499</x:v>
      </x:c>
      <x:c r="W74" s="55" t="n">
        <x:v>7913</x:v>
      </x:c>
      <x:c r="X74" s="55" t="n">
        <x:v>2586</x:v>
      </x:c>
      <x:c r="Y74" s="55" t="n">
        <x:v>2246</x:v>
      </x:c>
      <x:c r="Z74" s="55" t="n">
        <x:v>3230</x:v>
      </x:c>
      <x:c r="AA74" s="55" t="n">
        <x:v>3038</x:v>
      </x:c>
      <x:c r="AB74" s="55" t="n">
        <x:v>907</x:v>
      </x:c>
      <x:c r="AC74" s="55" t="n">
        <x:v>8155</x:v>
      </x:c>
      <x:c r="AD74" s="55" t="n">
        <x:v>3461</x:v>
      </x:c>
      <x:c r="AE74" s="55" t="n">
        <x:v>10665</x:v>
      </x:c>
      <x:c r="AF74" s="55" t="n">
        <x:v>10499</x:v>
      </x:c>
      <x:c r="AG74" s="55" t="n">
        <x:v>166</x:v>
      </x:c>
      <x:c r="AH74" s="55" t="n">
        <x:v>527</x:v>
      </x:c>
      <x:c r="AI74" s="55" t="n">
        <x:v>9972</x:v>
      </x:c>
      <x:c r="AJ74" s="55" t="n">
        <x:v>388</x:v>
      </x:c>
      <x:c r="AK74" s="55" t="n">
        <x:v>934</x:v>
      </x:c>
      <x:c r="AL74" s="55" t="n">
        <x:v>1630</x:v>
      </x:c>
      <x:c r="AM74" s="55" t="n">
        <x:v>4810</x:v>
      </x:c>
      <x:c r="AN74" s="55" t="n">
        <x:v>2737</x:v>
      </x:c>
      <x:c r="AO74" s="55" t="n">
        <x:v>0</x:v>
      </x:c>
      <x:c r="AP74" s="55" t="n">
        <x:v>2482</x:v>
      </x:c>
      <x:c r="AQ74" s="55" t="n">
        <x:v>977</x:v>
      </x:c>
    </x:row>
    <x:row r="75">
      <x:c r="A75" s="54" t="str">
        <x:v>T2_CONCORDANT_DOMAIN</x:v>
      </x:c>
      <x:c r="B75" s="54" t="n">
        <x:v>69</x:v>
      </x:c>
      <x:c r="C75" s="54" t="str">
        <x:v>NYC-V2-R01</x:v>
      </x:c>
      <x:c r="D75" s="54" t="str">
        <x:v>V2</x:v>
      </x:c>
      <x:c r="E75" s="54" t="str">
        <x:v>ADMITTED</x:v>
      </x:c>
      <x:c r="F75" s="55" t="n">
        <x:v>34037</x:v>
      </x:c>
      <x:c r="G75" s="55" t="n">
        <x:v>8938</x:v>
      </x:c>
      <x:c r="H75" s="55" t="n">
        <x:v>3505</x:v>
      </x:c>
      <x:c r="I75" s="55" t="n">
        <x:v>1252</x:v>
      </x:c>
      <x:c r="J75" s="55" t="n">
        <x:v>282</x:v>
      </x:c>
      <x:c r="K75" s="55" t="n">
        <x:v>34037</x:v>
      </x:c>
      <x:c r="L75" s="55" t="n">
        <x:v>6797</x:v>
      </x:c>
      <x:c r="M75" s="55" t="n">
        <x:v>1487</x:v>
      </x:c>
      <x:c r="N75" s="55" t="n">
        <x:v>3065</x:v>
      </x:c>
      <x:c r="O75" s="55" t="n">
        <x:v>2245</x:v>
      </x:c>
      <x:c r="P75" s="55" t="n">
        <x:v>1076</x:v>
      </x:c>
      <x:c r="Q75" s="55" t="n">
        <x:v>1793</x:v>
      </x:c>
      <x:c r="R75" s="55" t="n">
        <x:v>1731</x:v>
      </x:c>
      <x:c r="S75" s="55" t="n">
        <x:v>3008</x:v>
      </x:c>
      <x:c r="T75" s="55" t="n">
        <x:v>1486</x:v>
      </x:c>
      <x:c r="U75" s="55" t="n">
        <x:v>1959</x:v>
      </x:c>
      <x:c r="V75" s="55" t="n">
        <x:v>10475</x:v>
      </x:c>
      <x:c r="W75" s="55" t="n">
        <x:v>7932</x:v>
      </x:c>
      <x:c r="X75" s="55" t="n">
        <x:v>2543</x:v>
      </x:c>
      <x:c r="Y75" s="55" t="n">
        <x:v>2069</x:v>
      </x:c>
      <x:c r="Z75" s="55" t="n">
        <x:v>3433</x:v>
      </x:c>
      <x:c r="AA75" s="55" t="n">
        <x:v>2524</x:v>
      </x:c>
      <x:c r="AB75" s="55" t="n">
        <x:v>935</x:v>
      </x:c>
      <x:c r="AC75" s="55" t="n">
        <x:v>7635</x:v>
      </x:c>
      <x:c r="AD75" s="55" t="n">
        <x:v>2676</x:v>
      </x:c>
      <x:c r="AE75" s="55" t="n">
        <x:v>10522</x:v>
      </x:c>
      <x:c r="AF75" s="55" t="n">
        <x:v>10475</x:v>
      </x:c>
      <x:c r="AG75" s="55" t="n">
        <x:v>47</x:v>
      </x:c>
      <x:c r="AH75" s="55" t="n">
        <x:v>465</x:v>
      </x:c>
      <x:c r="AI75" s="55" t="n">
        <x:v>10010</x:v>
      </x:c>
      <x:c r="AJ75" s="55" t="n">
        <x:v>244</x:v>
      </x:c>
      <x:c r="AK75" s="55" t="n">
        <x:v>955</x:v>
      </x:c>
      <x:c r="AL75" s="55" t="n">
        <x:v>1611</x:v>
      </x:c>
      <x:c r="AM75" s="55" t="n">
        <x:v>5262</x:v>
      </x:c>
      <x:c r="AN75" s="55" t="n">
        <x:v>2403</x:v>
      </x:c>
      <x:c r="AO75" s="55" t="n">
        <x:v>0</x:v>
      </x:c>
      <x:c r="AP75" s="55" t="n">
        <x:v>2071</x:v>
      </x:c>
      <x:c r="AQ75" s="55" t="n">
        <x:v>956</x:v>
      </x:c>
    </x:row>
    <x:row r="76">
      <x:c r="A76" s="54" t="str">
        <x:v>T2_CONCORDANT_DOMAIN</x:v>
      </x:c>
      <x:c r="B76" s="54" t="n">
        <x:v>70</x:v>
      </x:c>
      <x:c r="C76" s="54" t="str">
        <x:v>NYC-V2-R01</x:v>
      </x:c>
      <x:c r="D76" s="54" t="str">
        <x:v>V2</x:v>
      </x:c>
      <x:c r="E76" s="54" t="str">
        <x:v>ADMITTED</x:v>
      </x:c>
      <x:c r="F76" s="55" t="n">
        <x:v>32483</x:v>
      </x:c>
      <x:c r="G76" s="55" t="n">
        <x:v>8619</x:v>
      </x:c>
      <x:c r="H76" s="55" t="n">
        <x:v>3192</x:v>
      </x:c>
      <x:c r="I76" s="55" t="n">
        <x:v>1371</x:v>
      </x:c>
      <x:c r="J76" s="55" t="n">
        <x:v>303</x:v>
      </x:c>
      <x:c r="K76" s="55" t="n">
        <x:v>30018</x:v>
      </x:c>
      <x:c r="L76" s="55" t="n">
        <x:v>4481</x:v>
      </x:c>
      <x:c r="M76" s="55" t="n">
        <x:v>870</x:v>
      </x:c>
      <x:c r="N76" s="55" t="n">
        <x:v>1986</x:v>
      </x:c>
      <x:c r="O76" s="55" t="n">
        <x:v>1625</x:v>
      </x:c>
      <x:c r="P76" s="55" t="n">
        <x:v>616</x:v>
      </x:c>
      <x:c r="Q76" s="55" t="n">
        <x:v>1473</x:v>
      </x:c>
      <x:c r="R76" s="55" t="n">
        <x:v>1415</x:v>
      </x:c>
      <x:c r="S76" s="55" t="n">
        <x:v>2945</x:v>
      </x:c>
      <x:c r="T76" s="55" t="n">
        <x:v>987</x:v>
      </x:c>
      <x:c r="U76" s="55" t="n">
        <x:v>1894</x:v>
      </x:c>
      <x:c r="V76" s="55" t="n">
        <x:v>10278</x:v>
      </x:c>
      <x:c r="W76" s="55" t="n">
        <x:v>7317</x:v>
      </x:c>
      <x:c r="X76" s="55" t="n">
        <x:v>2961</x:v>
      </x:c>
      <x:c r="Y76" s="55" t="n">
        <x:v>2633</x:v>
      </x:c>
      <x:c r="Z76" s="55" t="n">
        <x:v>3530</x:v>
      </x:c>
      <x:c r="AA76" s="55" t="n">
        <x:v>2717</x:v>
      </x:c>
      <x:c r="AB76" s="55" t="n">
        <x:v>852</x:v>
      </x:c>
      <x:c r="AC76" s="55" t="n">
        <x:v>8557</x:v>
      </x:c>
      <x:c r="AD76" s="55" t="n">
        <x:v>2909</x:v>
      </x:c>
      <x:c r="AE76" s="55" t="n">
        <x:v>10436</x:v>
      </x:c>
      <x:c r="AF76" s="55" t="n">
        <x:v>10278</x:v>
      </x:c>
      <x:c r="AG76" s="55" t="n">
        <x:v>158</x:v>
      </x:c>
      <x:c r="AH76" s="55" t="n">
        <x:v>401</x:v>
      </x:c>
      <x:c r="AI76" s="55" t="n">
        <x:v>9877</x:v>
      </x:c>
      <x:c r="AJ76" s="55" t="n">
        <x:v>280</x:v>
      </x:c>
      <x:c r="AK76" s="55" t="n">
        <x:v>1045</x:v>
      </x:c>
      <x:c r="AL76" s="55" t="n">
        <x:v>1405</x:v>
      </x:c>
      <x:c r="AM76" s="55" t="n">
        <x:v>4733</x:v>
      </x:c>
      <x:c r="AN76" s="55" t="n">
        <x:v>2812</x:v>
      </x:c>
      <x:c r="AO76" s="55" t="n">
        <x:v>3</x:v>
      </x:c>
      <x:c r="AP76" s="55" t="n">
        <x:v>2689</x:v>
      </x:c>
      <x:c r="AQ76" s="55" t="n">
        <x:v>992</x:v>
      </x:c>
    </x:row>
    <x:row r="77">
      <x:c r="A77" s="54" t="str">
        <x:v>T2_CONCORDANT_DOMAIN</x:v>
      </x:c>
      <x:c r="B77" s="54" t="n">
        <x:v>71</x:v>
      </x:c>
      <x:c r="C77" s="54" t="str">
        <x:v>NYC-V2-R01</x:v>
      </x:c>
      <x:c r="D77" s="54" t="str">
        <x:v>V2</x:v>
      </x:c>
      <x:c r="E77" s="54" t="str">
        <x:v>ADMITTED</x:v>
      </x:c>
      <x:c r="F77" s="55" t="n">
        <x:v>29614</x:v>
      </x:c>
      <x:c r="G77" s="55" t="n">
        <x:v>7262</x:v>
      </x:c>
      <x:c r="H77" s="55" t="n">
        <x:v>3307</x:v>
      </x:c>
      <x:c r="I77" s="55" t="n">
        <x:v>1337</x:v>
      </x:c>
      <x:c r="J77" s="55" t="n">
        <x:v>222</x:v>
      </x:c>
      <x:c r="K77" s="55" t="n">
        <x:v>28862</x:v>
      </x:c>
      <x:c r="L77" s="55" t="n">
        <x:v>4497</x:v>
      </x:c>
      <x:c r="M77" s="55" t="n">
        <x:v>721</x:v>
      </x:c>
      <x:c r="N77" s="55" t="n">
        <x:v>2226</x:v>
      </x:c>
      <x:c r="O77" s="55" t="n">
        <x:v>1550</x:v>
      </x:c>
      <x:c r="P77" s="55" t="n">
        <x:v>648</x:v>
      </x:c>
      <x:c r="Q77" s="55" t="n">
        <x:v>1602</x:v>
      </x:c>
      <x:c r="R77" s="55" t="n">
        <x:v>1959</x:v>
      </x:c>
      <x:c r="S77" s="55" t="n">
        <x:v>2657</x:v>
      </x:c>
      <x:c r="T77" s="55" t="n">
        <x:v>1011</x:v>
      </x:c>
      <x:c r="U77" s="55" t="n">
        <x:v>1918</x:v>
      </x:c>
      <x:c r="V77" s="55" t="n">
        <x:v>10514</x:v>
      </x:c>
      <x:c r="W77" s="55" t="n">
        <x:v>7350</x:v>
      </x:c>
      <x:c r="X77" s="55" t="n">
        <x:v>3164</x:v>
      </x:c>
      <x:c r="Y77" s="55" t="n">
        <x:v>2671</x:v>
      </x:c>
      <x:c r="Z77" s="55" t="n">
        <x:v>3704</x:v>
      </x:c>
      <x:c r="AA77" s="55" t="n">
        <x:v>2981</x:v>
      </x:c>
      <x:c r="AB77" s="55" t="n">
        <x:v>888</x:v>
      </x:c>
      <x:c r="AC77" s="55" t="n">
        <x:v>7756</x:v>
      </x:c>
      <x:c r="AD77" s="55" t="n">
        <x:v>3203</x:v>
      </x:c>
      <x:c r="AE77" s="55" t="n">
        <x:v>10573</x:v>
      </x:c>
      <x:c r="AF77" s="55" t="n">
        <x:v>10514</x:v>
      </x:c>
      <x:c r="AG77" s="55" t="n">
        <x:v>59</x:v>
      </x:c>
      <x:c r="AH77" s="55" t="n">
        <x:v>230</x:v>
      </x:c>
      <x:c r="AI77" s="55" t="n">
        <x:v>10284</x:v>
      </x:c>
      <x:c r="AJ77" s="55" t="n">
        <x:v>357</x:v>
      </x:c>
      <x:c r="AK77" s="55" t="n">
        <x:v>966</x:v>
      </x:c>
      <x:c r="AL77" s="55" t="n">
        <x:v>1618</x:v>
      </x:c>
      <x:c r="AM77" s="55" t="n">
        <x:v>5208</x:v>
      </x:c>
      <x:c r="AN77" s="55" t="n">
        <x:v>2365</x:v>
      </x:c>
      <x:c r="AO77" s="55" t="n">
        <x:v>0</x:v>
      </x:c>
      <x:c r="AP77" s="55" t="n">
        <x:v>2516</x:v>
      </x:c>
      <x:c r="AQ77" s="55" t="n">
        <x:v>980</x:v>
      </x:c>
    </x:row>
    <x:row r="78">
      <x:c r="A78" s="54" t="str">
        <x:v>T2_CONCORDANT_DOMAIN</x:v>
      </x:c>
      <x:c r="B78" s="54" t="n">
        <x:v>72</x:v>
      </x:c>
      <x:c r="C78" s="54" t="str">
        <x:v>NYC-V2-R01</x:v>
      </x:c>
      <x:c r="D78" s="54" t="str">
        <x:v>V2</x:v>
      </x:c>
      <x:c r="E78" s="54" t="str">
        <x:v>ADMITTED</x:v>
      </x:c>
      <x:c r="F78" s="55" t="n">
        <x:v>31427</x:v>
      </x:c>
      <x:c r="G78" s="55" t="n">
        <x:v>8365</x:v>
      </x:c>
      <x:c r="H78" s="55" t="n">
        <x:v>3470</x:v>
      </x:c>
      <x:c r="I78" s="55" t="n">
        <x:v>1380</x:v>
      </x:c>
      <x:c r="J78" s="55" t="n">
        <x:v>223</x:v>
      </x:c>
      <x:c r="K78" s="55" t="n">
        <x:v>29799</x:v>
      </x:c>
      <x:c r="L78" s="55" t="n">
        <x:v>5071</x:v>
      </x:c>
      <x:c r="M78" s="55" t="n">
        <x:v>507</x:v>
      </x:c>
      <x:c r="N78" s="55" t="n">
        <x:v>2467</x:v>
      </x:c>
      <x:c r="O78" s="55" t="n">
        <x:v>2097</x:v>
      </x:c>
      <x:c r="P78" s="55" t="n">
        <x:v>950</x:v>
      </x:c>
      <x:c r="Q78" s="55" t="n">
        <x:v>3433</x:v>
      </x:c>
      <x:c r="R78" s="55" t="n">
        <x:v>2377</x:v>
      </x:c>
      <x:c r="S78" s="55" t="n">
        <x:v>2858</x:v>
      </x:c>
      <x:c r="T78" s="55" t="n">
        <x:v>1272</x:v>
      </x:c>
      <x:c r="U78" s="55" t="n">
        <x:v>2298</x:v>
      </x:c>
      <x:c r="V78" s="55" t="n">
        <x:v>10237</x:v>
      </x:c>
      <x:c r="W78" s="55" t="n">
        <x:v>7446</x:v>
      </x:c>
      <x:c r="X78" s="55" t="n">
        <x:v>2791</x:v>
      </x:c>
      <x:c r="Y78" s="55" t="n">
        <x:v>2611</x:v>
      </x:c>
      <x:c r="Z78" s="55" t="n">
        <x:v>3899</x:v>
      </x:c>
      <x:c r="AA78" s="55" t="n">
        <x:v>3127</x:v>
      </x:c>
      <x:c r="AB78" s="55" t="n">
        <x:v>993</x:v>
      </x:c>
      <x:c r="AC78" s="55" t="n">
        <x:v>8044</x:v>
      </x:c>
      <x:c r="AD78" s="55" t="n">
        <x:v>3006</x:v>
      </x:c>
      <x:c r="AE78" s="55" t="n">
        <x:v>10347</x:v>
      </x:c>
      <x:c r="AF78" s="55" t="n">
        <x:v>10237</x:v>
      </x:c>
      <x:c r="AG78" s="55" t="n">
        <x:v>110</x:v>
      </x:c>
      <x:c r="AH78" s="55" t="n">
        <x:v>311</x:v>
      </x:c>
      <x:c r="AI78" s="55" t="n">
        <x:v>9926</x:v>
      </x:c>
      <x:c r="AJ78" s="55" t="n">
        <x:v>438</x:v>
      </x:c>
      <x:c r="AK78" s="55" t="n">
        <x:v>935</x:v>
      </x:c>
      <x:c r="AL78" s="55" t="n">
        <x:v>1313</x:v>
      </x:c>
      <x:c r="AM78" s="55" t="n">
        <x:v>4828</x:v>
      </x:c>
      <x:c r="AN78" s="55" t="n">
        <x:v>2678</x:v>
      </x:c>
      <x:c r="AO78" s="55" t="n">
        <x:v>45</x:v>
      </x:c>
      <x:c r="AP78" s="55" t="n">
        <x:v>2269</x:v>
      </x:c>
      <x:c r="AQ78" s="55" t="n">
        <x:v>958</x:v>
      </x:c>
    </x:row>
    <x:row r="79">
      <x:c r="A79" s="54" t="str">
        <x:v>T2_CONCORDANT_DOMAIN</x:v>
      </x:c>
      <x:c r="B79" s="54" t="n">
        <x:v>73</x:v>
      </x:c>
      <x:c r="C79" s="54" t="str">
        <x:v>NYC-V2-R01</x:v>
      </x:c>
      <x:c r="D79" s="54" t="str">
        <x:v>V2</x:v>
      </x:c>
      <x:c r="E79" s="54" t="str">
        <x:v>ADMITTED</x:v>
      </x:c>
      <x:c r="F79" s="55" t="n">
        <x:v>29529</x:v>
      </x:c>
      <x:c r="G79" s="55" t="n">
        <x:v>6899</x:v>
      </x:c>
      <x:c r="H79" s="55" t="n">
        <x:v>3326</x:v>
      </x:c>
      <x:c r="I79" s="55" t="n">
        <x:v>1332</x:v>
      </x:c>
      <x:c r="J79" s="55" t="n">
        <x:v>162</x:v>
      </x:c>
      <x:c r="K79" s="55" t="n">
        <x:v>29529</x:v>
      </x:c>
      <x:c r="L79" s="55" t="n">
        <x:v>5347</x:v>
      </x:c>
      <x:c r="M79" s="55" t="n">
        <x:v>716</x:v>
      </x:c>
      <x:c r="N79" s="55" t="n">
        <x:v>2707</x:v>
      </x:c>
      <x:c r="O79" s="55" t="n">
        <x:v>1924</x:v>
      </x:c>
      <x:c r="P79" s="55" t="n">
        <x:v>987</x:v>
      </x:c>
      <x:c r="Q79" s="55" t="n">
        <x:v>2917</x:v>
      </x:c>
      <x:c r="R79" s="55" t="n">
        <x:v>2038</x:v>
      </x:c>
      <x:c r="S79" s="55" t="n">
        <x:v>3031</x:v>
      </x:c>
      <x:c r="T79" s="55" t="n">
        <x:v>1084</x:v>
      </x:c>
      <x:c r="U79" s="55" t="n">
        <x:v>2065</x:v>
      </x:c>
      <x:c r="V79" s="55" t="n">
        <x:v>10841</x:v>
      </x:c>
      <x:c r="W79" s="55" t="n">
        <x:v>7602</x:v>
      </x:c>
      <x:c r="X79" s="55" t="n">
        <x:v>3239</x:v>
      </x:c>
      <x:c r="Y79" s="55" t="n">
        <x:v>2797</x:v>
      </x:c>
      <x:c r="Z79" s="55" t="n">
        <x:v>3740</x:v>
      </x:c>
      <x:c r="AA79" s="55" t="n">
        <x:v>3065</x:v>
      </x:c>
      <x:c r="AB79" s="55" t="n">
        <x:v>965</x:v>
      </x:c>
      <x:c r="AC79" s="55" t="n">
        <x:v>8389</x:v>
      </x:c>
      <x:c r="AD79" s="55" t="n">
        <x:v>3165</x:v>
      </x:c>
      <x:c r="AE79" s="55" t="n">
        <x:v>10963</x:v>
      </x:c>
      <x:c r="AF79" s="55" t="n">
        <x:v>10841</x:v>
      </x:c>
      <x:c r="AG79" s="55" t="n">
        <x:v>122</x:v>
      </x:c>
      <x:c r="AH79" s="55" t="n">
        <x:v>691</x:v>
      </x:c>
      <x:c r="AI79" s="55" t="n">
        <x:v>10150</x:v>
      </x:c>
      <x:c r="AJ79" s="55" t="n">
        <x:v>410</x:v>
      </x:c>
      <x:c r="AK79" s="55" t="n">
        <x:v>1060</x:v>
      </x:c>
      <x:c r="AL79" s="55" t="n">
        <x:v>1610</x:v>
      </x:c>
      <x:c r="AM79" s="55" t="n">
        <x:v>4673</x:v>
      </x:c>
      <x:c r="AN79" s="55" t="n">
        <x:v>3010</x:v>
      </x:c>
      <x:c r="AO79" s="55" t="n">
        <x:v>78</x:v>
      </x:c>
      <x:c r="AP79" s="55" t="n">
        <x:v>2946</x:v>
      </x:c>
      <x:c r="AQ79" s="55" t="n">
        <x:v>930</x:v>
      </x:c>
    </x:row>
    <x:row r="80">
      <x:c r="A80" s="54" t="str">
        <x:v>T2_CONCORDANT_DOMAIN</x:v>
      </x:c>
      <x:c r="B80" s="54" t="n">
        <x:v>74</x:v>
      </x:c>
      <x:c r="C80" s="54" t="str">
        <x:v>NYC-V2-R01</x:v>
      </x:c>
      <x:c r="D80" s="54" t="str">
        <x:v>V2</x:v>
      </x:c>
      <x:c r="E80" s="54" t="str">
        <x:v>ADMITTED</x:v>
      </x:c>
      <x:c r="F80" s="55" t="n">
        <x:v>29608</x:v>
      </x:c>
      <x:c r="G80" s="55" t="n">
        <x:v>7918</x:v>
      </x:c>
      <x:c r="H80" s="55" t="n">
        <x:v>2970</x:v>
      </x:c>
      <x:c r="I80" s="55" t="n">
        <x:v>708</x:v>
      </x:c>
      <x:c r="J80" s="55" t="n">
        <x:v>0</x:v>
      </x:c>
      <x:c r="K80" s="55" t="n">
        <x:v>29608</x:v>
      </x:c>
      <x:c r="L80" s="55" t="n">
        <x:v>3955</x:v>
      </x:c>
      <x:c r="M80" s="55" t="n">
        <x:v>549</x:v>
      </x:c>
      <x:c r="N80" s="55" t="n">
        <x:v>2260</x:v>
      </x:c>
      <x:c r="O80" s="55" t="n">
        <x:v>1146</x:v>
      </x:c>
      <x:c r="P80" s="55" t="n">
        <x:v>570</x:v>
      </x:c>
      <x:c r="Q80" s="55" t="n">
        <x:v>2253</x:v>
      </x:c>
      <x:c r="R80" s="55" t="n">
        <x:v>1651</x:v>
      </x:c>
      <x:c r="S80" s="55" t="n">
        <x:v>2930</x:v>
      </x:c>
      <x:c r="T80" s="55" t="n">
        <x:v>1108</x:v>
      </x:c>
      <x:c r="U80" s="55" t="n">
        <x:v>1023</x:v>
      </x:c>
      <x:c r="V80" s="55" t="n">
        <x:v>10277</x:v>
      </x:c>
      <x:c r="W80" s="55" t="n">
        <x:v>7132</x:v>
      </x:c>
      <x:c r="X80" s="55" t="n">
        <x:v>3145</x:v>
      </x:c>
      <x:c r="Y80" s="55" t="n">
        <x:v>2605</x:v>
      </x:c>
      <x:c r="Z80" s="55" t="n">
        <x:v>3530</x:v>
      </x:c>
      <x:c r="AA80" s="55" t="n">
        <x:v>2970</x:v>
      </x:c>
      <x:c r="AB80" s="55" t="n">
        <x:v>1046</x:v>
      </x:c>
      <x:c r="AC80" s="55" t="n">
        <x:v>7952</x:v>
      </x:c>
      <x:c r="AD80" s="55" t="n">
        <x:v>2369</x:v>
      </x:c>
      <x:c r="AE80" s="55" t="n">
        <x:v>10317</x:v>
      </x:c>
      <x:c r="AF80" s="55" t="n">
        <x:v>10277</x:v>
      </x:c>
      <x:c r="AG80" s="55" t="n">
        <x:v>40</x:v>
      </x:c>
      <x:c r="AH80" s="55" t="n">
        <x:v>197</x:v>
      </x:c>
      <x:c r="AI80" s="55" t="n">
        <x:v>10080</x:v>
      </x:c>
      <x:c r="AJ80" s="55" t="n">
        <x:v>404</x:v>
      </x:c>
      <x:c r="AK80" s="55" t="n">
        <x:v>872</x:v>
      </x:c>
      <x:c r="AL80" s="55" t="n">
        <x:v>1438</x:v>
      </x:c>
      <x:c r="AM80" s="55" t="n">
        <x:v>4540</x:v>
      </x:c>
      <x:c r="AN80" s="55" t="n">
        <x:v>3009</x:v>
      </x:c>
      <x:c r="AO80" s="55" t="n">
        <x:v>14</x:v>
      </x:c>
      <x:c r="AP80" s="55" t="n">
        <x:v>2342</x:v>
      </x:c>
      <x:c r="AQ80" s="55" t="n">
        <x:v>922</x:v>
      </x:c>
    </x:row>
    <x:row r="81">
      <x:c r="A81" s="54" t="str">
        <x:v>T2_CONCORDANT_DOMAIN</x:v>
      </x:c>
      <x:c r="B81" s="54" t="n">
        <x:v>75</x:v>
      </x:c>
      <x:c r="C81" s="54" t="str">
        <x:v>NYC-V2-R01</x:v>
      </x:c>
      <x:c r="D81" s="54" t="str">
        <x:v>V2</x:v>
      </x:c>
      <x:c r="E81" s="54" t="str">
        <x:v>ADMITTED</x:v>
      </x:c>
      <x:c r="F81" s="55" t="n">
        <x:v>31077</x:v>
      </x:c>
      <x:c r="G81" s="55" t="n">
        <x:v>7443</x:v>
      </x:c>
      <x:c r="H81" s="55" t="n">
        <x:v>3505</x:v>
      </x:c>
      <x:c r="I81" s="55" t="n">
        <x:v>1339</x:v>
      </x:c>
      <x:c r="J81" s="55" t="n">
        <x:v>248</x:v>
      </x:c>
      <x:c r="K81" s="55" t="n">
        <x:v>30106</x:v>
      </x:c>
      <x:c r="L81" s="55" t="n">
        <x:v>4882</x:v>
      </x:c>
      <x:c r="M81" s="55" t="n">
        <x:v>1008</x:v>
      </x:c>
      <x:c r="N81" s="55" t="n">
        <x:v>2572</x:v>
      </x:c>
      <x:c r="O81" s="55" t="n">
        <x:v>1302</x:v>
      </x:c>
      <x:c r="P81" s="55" t="n">
        <x:v>639</x:v>
      </x:c>
      <x:c r="Q81" s="55" t="n">
        <x:v>1914</x:v>
      </x:c>
      <x:c r="R81" s="55" t="n">
        <x:v>2002</x:v>
      </x:c>
      <x:c r="S81" s="55" t="n">
        <x:v>3107</x:v>
      </x:c>
      <x:c r="T81" s="55" t="n">
        <x:v>1044</x:v>
      </x:c>
      <x:c r="U81" s="55" t="n">
        <x:v>2001</x:v>
      </x:c>
      <x:c r="V81" s="55" t="n">
        <x:v>9972</x:v>
      </x:c>
      <x:c r="W81" s="55" t="n">
        <x:v>7169</x:v>
      </x:c>
      <x:c r="X81" s="55" t="n">
        <x:v>2803</x:v>
      </x:c>
      <x:c r="Y81" s="55" t="n">
        <x:v>2482</x:v>
      </x:c>
      <x:c r="Z81" s="55" t="n">
        <x:v>3574</x:v>
      </x:c>
      <x:c r="AA81" s="55" t="n">
        <x:v>2977</x:v>
      </x:c>
      <x:c r="AB81" s="55" t="n">
        <x:v>869</x:v>
      </x:c>
      <x:c r="AC81" s="55" t="n">
        <x:v>7918</x:v>
      </x:c>
      <x:c r="AD81" s="55" t="n">
        <x:v>2234</x:v>
      </x:c>
      <x:c r="AE81" s="55" t="n">
        <x:v>10102</x:v>
      </x:c>
      <x:c r="AF81" s="55" t="n">
        <x:v>9972</x:v>
      </x:c>
      <x:c r="AG81" s="55" t="n">
        <x:v>130</x:v>
      </x:c>
      <x:c r="AH81" s="55" t="n">
        <x:v>366</x:v>
      </x:c>
      <x:c r="AI81" s="55" t="n">
        <x:v>9606</x:v>
      </x:c>
      <x:c r="AJ81" s="55" t="n">
        <x:v>384</x:v>
      </x:c>
      <x:c r="AK81" s="55" t="n">
        <x:v>852</x:v>
      </x:c>
      <x:c r="AL81" s="55" t="n">
        <x:v>1652</x:v>
      </x:c>
      <x:c r="AM81" s="55" t="n">
        <x:v>4546</x:v>
      </x:c>
      <x:c r="AN81" s="55" t="n">
        <x:v>2538</x:v>
      </x:c>
      <x:c r="AO81" s="55" t="n">
        <x:v>0</x:v>
      </x:c>
      <x:c r="AP81" s="55" t="n">
        <x:v>2152</x:v>
      </x:c>
      <x:c r="AQ81" s="55" t="n">
        <x:v>940</x:v>
      </x:c>
    </x:row>
    <x:row r="82">
      <x:c r="A82" s="54" t="str">
        <x:v>T2_CONCORDANT_DOMAIN</x:v>
      </x:c>
      <x:c r="B82" s="54" t="n">
        <x:v>76</x:v>
      </x:c>
      <x:c r="C82" s="54" t="str">
        <x:v>NYC-V2-R01</x:v>
      </x:c>
      <x:c r="D82" s="54" t="str">
        <x:v>V2</x:v>
      </x:c>
      <x:c r="E82" s="54" t="str">
        <x:v>ADMITTED</x:v>
      </x:c>
      <x:c r="F82" s="55" t="n">
        <x:v>31141</x:v>
      </x:c>
      <x:c r="G82" s="55" t="n">
        <x:v>7565</x:v>
      </x:c>
      <x:c r="H82" s="55" t="n">
        <x:v>3157</x:v>
      </x:c>
      <x:c r="I82" s="55" t="n">
        <x:v>1046</x:v>
      </x:c>
      <x:c r="J82" s="55" t="n">
        <x:v>415</x:v>
      </x:c>
      <x:c r="K82" s="55" t="n">
        <x:v>31141</x:v>
      </x:c>
      <x:c r="L82" s="55" t="n">
        <x:v>5818</x:v>
      </x:c>
      <x:c r="M82" s="55" t="n">
        <x:v>1203</x:v>
      </x:c>
      <x:c r="N82" s="55" t="n">
        <x:v>2899</x:v>
      </x:c>
      <x:c r="O82" s="55" t="n">
        <x:v>1716</x:v>
      </x:c>
      <x:c r="P82" s="55" t="n">
        <x:v>499</x:v>
      </x:c>
      <x:c r="Q82" s="55" t="n">
        <x:v>2012</x:v>
      </x:c>
      <x:c r="R82" s="55" t="n">
        <x:v>1613</x:v>
      </x:c>
      <x:c r="S82" s="55" t="n">
        <x:v>2031</x:v>
      </x:c>
      <x:c r="T82" s="55" t="n">
        <x:v>1226</x:v>
      </x:c>
      <x:c r="U82" s="55" t="n">
        <x:v>1827</x:v>
      </x:c>
      <x:c r="V82" s="55" t="n">
        <x:v>10822</x:v>
      </x:c>
      <x:c r="W82" s="55" t="n">
        <x:v>7590</x:v>
      </x:c>
      <x:c r="X82" s="55" t="n">
        <x:v>3232</x:v>
      </x:c>
      <x:c r="Y82" s="55" t="n">
        <x:v>2745</x:v>
      </x:c>
      <x:c r="Z82" s="55" t="n">
        <x:v>3648</x:v>
      </x:c>
      <x:c r="AA82" s="55" t="n">
        <x:v>2894</x:v>
      </x:c>
      <x:c r="AB82" s="55" t="n">
        <x:v>1058</x:v>
      </x:c>
      <x:c r="AC82" s="55" t="n">
        <x:v>7898</x:v>
      </x:c>
      <x:c r="AD82" s="55" t="n">
        <x:v>2435</x:v>
      </x:c>
      <x:c r="AE82" s="55" t="n">
        <x:v>10908</x:v>
      </x:c>
      <x:c r="AF82" s="55" t="n">
        <x:v>10822</x:v>
      </x:c>
      <x:c r="AG82" s="55" t="n">
        <x:v>86</x:v>
      </x:c>
      <x:c r="AH82" s="55" t="n">
        <x:v>489</x:v>
      </x:c>
      <x:c r="AI82" s="55" t="n">
        <x:v>10333</x:v>
      </x:c>
      <x:c r="AJ82" s="55" t="n">
        <x:v>321</x:v>
      </x:c>
      <x:c r="AK82" s="55" t="n">
        <x:v>776</x:v>
      </x:c>
      <x:c r="AL82" s="55" t="n">
        <x:v>1633</x:v>
      </x:c>
      <x:c r="AM82" s="55" t="n">
        <x:v>4979</x:v>
      </x:c>
      <x:c r="AN82" s="55" t="n">
        <x:v>3113</x:v>
      </x:c>
      <x:c r="AO82" s="55" t="n">
        <x:v>0</x:v>
      </x:c>
      <x:c r="AP82" s="55" t="n">
        <x:v>1847</x:v>
      </x:c>
      <x:c r="AQ82" s="55" t="n">
        <x:v>980</x:v>
      </x:c>
    </x:row>
    <x:row r="83">
      <x:c r="A83" s="54" t="str">
        <x:v>T2_CONCORDANT_DOMAIN</x:v>
      </x:c>
      <x:c r="B83" s="54" t="n">
        <x:v>77</x:v>
      </x:c>
      <x:c r="C83" s="54" t="str">
        <x:v>NYC-V2-R01</x:v>
      </x:c>
      <x:c r="D83" s="54" t="str">
        <x:v>V2</x:v>
      </x:c>
      <x:c r="E83" s="54" t="str">
        <x:v>ADMITTED</x:v>
      </x:c>
      <x:c r="F83" s="55" t="n">
        <x:v>32962</x:v>
      </x:c>
      <x:c r="G83" s="55" t="n">
        <x:v>7285</x:v>
      </x:c>
      <x:c r="H83" s="55" t="n">
        <x:v>3466</x:v>
      </x:c>
      <x:c r="I83" s="55" t="n">
        <x:v>1636</x:v>
      </x:c>
      <x:c r="J83" s="55" t="n">
        <x:v>172</x:v>
      </x:c>
      <x:c r="K83" s="55" t="n">
        <x:v>32962</x:v>
      </x:c>
      <x:c r="L83" s="55" t="n">
        <x:v>7053</x:v>
      </x:c>
      <x:c r="M83" s="55" t="n">
        <x:v>939</x:v>
      </x:c>
      <x:c r="N83" s="55" t="n">
        <x:v>3645</x:v>
      </x:c>
      <x:c r="O83" s="55" t="n">
        <x:v>2469</x:v>
      </x:c>
      <x:c r="P83" s="55" t="n">
        <x:v>1215</x:v>
      </x:c>
      <x:c r="Q83" s="55" t="n">
        <x:v>2619</x:v>
      </x:c>
      <x:c r="R83" s="55" t="n">
        <x:v>2255</x:v>
      </x:c>
      <x:c r="S83" s="55" t="n">
        <x:v>2896</x:v>
      </x:c>
      <x:c r="T83" s="55" t="n">
        <x:v>1677</x:v>
      </x:c>
      <x:c r="U83" s="55" t="n">
        <x:v>2569</x:v>
      </x:c>
      <x:c r="V83" s="55" t="n">
        <x:v>9968</x:v>
      </x:c>
      <x:c r="W83" s="55" t="n">
        <x:v>6253</x:v>
      </x:c>
      <x:c r="X83" s="55" t="n">
        <x:v>3715</x:v>
      </x:c>
      <x:c r="Y83" s="55" t="n">
        <x:v>3225</x:v>
      </x:c>
      <x:c r="Z83" s="55" t="n">
        <x:v>3770</x:v>
      </x:c>
      <x:c r="AA83" s="55" t="n">
        <x:v>3156</x:v>
      </x:c>
      <x:c r="AB83" s="55" t="n">
        <x:v>1272</x:v>
      </x:c>
      <x:c r="AC83" s="55" t="n">
        <x:v>8140</x:v>
      </x:c>
      <x:c r="AD83" s="55" t="n">
        <x:v>3242</x:v>
      </x:c>
      <x:c r="AE83" s="55" t="n">
        <x:v>10054</x:v>
      </x:c>
      <x:c r="AF83" s="55" t="n">
        <x:v>9968</x:v>
      </x:c>
      <x:c r="AG83" s="55" t="n">
        <x:v>86</x:v>
      </x:c>
      <x:c r="AH83" s="55" t="n">
        <x:v>471</x:v>
      </x:c>
      <x:c r="AI83" s="55" t="n">
        <x:v>9497</x:v>
      </x:c>
      <x:c r="AJ83" s="55" t="n">
        <x:v>245</x:v>
      </x:c>
      <x:c r="AK83" s="55" t="n">
        <x:v>1067</x:v>
      </x:c>
      <x:c r="AL83" s="55" t="n">
        <x:v>1477</x:v>
      </x:c>
      <x:c r="AM83" s="55" t="n">
        <x:v>4926</x:v>
      </x:c>
      <x:c r="AN83" s="55" t="n">
        <x:v>2253</x:v>
      </x:c>
      <x:c r="AO83" s="55" t="n">
        <x:v>0</x:v>
      </x:c>
      <x:c r="AP83" s="55" t="n">
        <x:v>2238</x:v>
      </x:c>
      <x:c r="AQ83" s="55" t="n">
        <x:v>945</x:v>
      </x:c>
    </x:row>
    <x:row r="84">
      <x:c r="A84" s="54" t="str">
        <x:v>T2_CONCORDANT_DOMAIN</x:v>
      </x:c>
      <x:c r="B84" s="54" t="n">
        <x:v>78</x:v>
      </x:c>
      <x:c r="C84" s="54" t="str">
        <x:v>NYC-V2-R01</x:v>
      </x:c>
      <x:c r="D84" s="54" t="str">
        <x:v>V2</x:v>
      </x:c>
      <x:c r="E84" s="54" t="str">
        <x:v>ADMITTED</x:v>
      </x:c>
      <x:c r="F84" s="55" t="n">
        <x:v>31427</x:v>
      </x:c>
      <x:c r="G84" s="55" t="n">
        <x:v>8354</x:v>
      </x:c>
      <x:c r="H84" s="55" t="n">
        <x:v>3690</x:v>
      </x:c>
      <x:c r="I84" s="55" t="n">
        <x:v>1615</x:v>
      </x:c>
      <x:c r="J84" s="55" t="n">
        <x:v>385</x:v>
      </x:c>
      <x:c r="K84" s="55" t="n">
        <x:v>30547</x:v>
      </x:c>
      <x:c r="L84" s="55" t="n">
        <x:v>6285</x:v>
      </x:c>
      <x:c r="M84" s="55" t="n">
        <x:v>1466</x:v>
      </x:c>
      <x:c r="N84" s="55" t="n">
        <x:v>2814</x:v>
      </x:c>
      <x:c r="O84" s="55" t="n">
        <x:v>2005</x:v>
      </x:c>
      <x:c r="P84" s="55" t="n">
        <x:v>1054</x:v>
      </x:c>
      <x:c r="Q84" s="55" t="n">
        <x:v>2027</x:v>
      </x:c>
      <x:c r="R84" s="55" t="n">
        <x:v>1578</x:v>
      </x:c>
      <x:c r="S84" s="55" t="n">
        <x:v>2990</x:v>
      </x:c>
      <x:c r="T84" s="55" t="n">
        <x:v>1266</x:v>
      </x:c>
      <x:c r="U84" s="55" t="n">
        <x:v>2328</x:v>
      </x:c>
      <x:c r="V84" s="55" t="n">
        <x:v>10245</x:v>
      </x:c>
      <x:c r="W84" s="55" t="n">
        <x:v>7220</x:v>
      </x:c>
      <x:c r="X84" s="55" t="n">
        <x:v>3025</x:v>
      </x:c>
      <x:c r="Y84" s="55" t="n">
        <x:v>2618</x:v>
      </x:c>
      <x:c r="Z84" s="55" t="n">
        <x:v>4199</x:v>
      </x:c>
      <x:c r="AA84" s="55" t="n">
        <x:v>2857</x:v>
      </x:c>
      <x:c r="AB84" s="55" t="n">
        <x:v>1117</x:v>
      </x:c>
      <x:c r="AC84" s="55" t="n">
        <x:v>8032</x:v>
      </x:c>
      <x:c r="AD84" s="55" t="n">
        <x:v>3218</x:v>
      </x:c>
      <x:c r="AE84" s="55" t="n">
        <x:v>10370</x:v>
      </x:c>
      <x:c r="AF84" s="55" t="n">
        <x:v>10245</x:v>
      </x:c>
      <x:c r="AG84" s="55" t="n">
        <x:v>125</x:v>
      </x:c>
      <x:c r="AH84" s="55" t="n">
        <x:v>464</x:v>
      </x:c>
      <x:c r="AI84" s="55" t="n">
        <x:v>9781</x:v>
      </x:c>
      <x:c r="AJ84" s="55" t="n">
        <x:v>404</x:v>
      </x:c>
      <x:c r="AK84" s="55" t="n">
        <x:v>1070</x:v>
      </x:c>
      <x:c r="AL84" s="55" t="n">
        <x:v>1470</x:v>
      </x:c>
      <x:c r="AM84" s="55" t="n">
        <x:v>5138</x:v>
      </x:c>
      <x:c r="AN84" s="55" t="n">
        <x:v>2136</x:v>
      </x:c>
      <x:c r="AO84" s="55" t="n">
        <x:v>27</x:v>
      </x:c>
      <x:c r="AP84" s="55" t="n">
        <x:v>2501</x:v>
      </x:c>
      <x:c r="AQ84" s="55" t="n">
        <x:v>958</x:v>
      </x:c>
    </x:row>
    <x:row r="85">
      <x:c r="A85" s="54" t="str">
        <x:v>T2_CONCORDANT_DOMAIN</x:v>
      </x:c>
      <x:c r="B85" s="54" t="n">
        <x:v>79</x:v>
      </x:c>
      <x:c r="C85" s="54" t="str">
        <x:v>NYC-V2-R01</x:v>
      </x:c>
      <x:c r="D85" s="54" t="str">
        <x:v>V2</x:v>
      </x:c>
      <x:c r="E85" s="54" t="str">
        <x:v>ADMITTED</x:v>
      </x:c>
      <x:c r="F85" s="55" t="n">
        <x:v>30427</x:v>
      </x:c>
      <x:c r="G85" s="55" t="n">
        <x:v>7228</x:v>
      </x:c>
      <x:c r="H85" s="55" t="n">
        <x:v>3011</x:v>
      </x:c>
      <x:c r="I85" s="55" t="n">
        <x:v>920</x:v>
      </x:c>
      <x:c r="J85" s="55" t="n">
        <x:v>139</x:v>
      </x:c>
      <x:c r="K85" s="55" t="n">
        <x:v>30427</x:v>
      </x:c>
      <x:c r="L85" s="55" t="n">
        <x:v>5052</x:v>
      </x:c>
      <x:c r="M85" s="55" t="n">
        <x:v>675</x:v>
      </x:c>
      <x:c r="N85" s="55" t="n">
        <x:v>2385</x:v>
      </x:c>
      <x:c r="O85" s="55" t="n">
        <x:v>1992</x:v>
      </x:c>
      <x:c r="P85" s="55" t="n">
        <x:v>715</x:v>
      </x:c>
      <x:c r="Q85" s="55" t="n">
        <x:v>2246</x:v>
      </x:c>
      <x:c r="R85" s="55" t="n">
        <x:v>1711</x:v>
      </x:c>
      <x:c r="S85" s="55" t="n">
        <x:v>3203</x:v>
      </x:c>
      <x:c r="T85" s="55" t="n">
        <x:v>997</x:v>
      </x:c>
      <x:c r="U85" s="55" t="n">
        <x:v>1995</x:v>
      </x:c>
      <x:c r="V85" s="55" t="n">
        <x:v>9653</x:v>
      </x:c>
      <x:c r="W85" s="55" t="n">
        <x:v>6742</x:v>
      </x:c>
      <x:c r="X85" s="55" t="n">
        <x:v>2911</x:v>
      </x:c>
      <x:c r="Y85" s="55" t="n">
        <x:v>2695</x:v>
      </x:c>
      <x:c r="Z85" s="55" t="n">
        <x:v>3617</x:v>
      </x:c>
      <x:c r="AA85" s="55" t="n">
        <x:v>2922</x:v>
      </x:c>
      <x:c r="AB85" s="55" t="n">
        <x:v>942</x:v>
      </x:c>
      <x:c r="AC85" s="55" t="n">
        <x:v>8017</x:v>
      </x:c>
      <x:c r="AD85" s="55" t="n">
        <x:v>3057</x:v>
      </x:c>
      <x:c r="AE85" s="55" t="n">
        <x:v>9681</x:v>
      </x:c>
      <x:c r="AF85" s="55" t="n">
        <x:v>9653</x:v>
      </x:c>
      <x:c r="AG85" s="55" t="n">
        <x:v>28</x:v>
      </x:c>
      <x:c r="AH85" s="55" t="n">
        <x:v>107</x:v>
      </x:c>
      <x:c r="AI85" s="55" t="n">
        <x:v>9546</x:v>
      </x:c>
      <x:c r="AJ85" s="55" t="n">
        <x:v>298</x:v>
      </x:c>
      <x:c r="AK85" s="55" t="n">
        <x:v>877</x:v>
      </x:c>
      <x:c r="AL85" s="55" t="n">
        <x:v>1814</x:v>
      </x:c>
      <x:c r="AM85" s="55" t="n">
        <x:v>4434</x:v>
      </x:c>
      <x:c r="AN85" s="55" t="n">
        <x:v>2230</x:v>
      </x:c>
      <x:c r="AO85" s="55" t="n">
        <x:v>0</x:v>
      </x:c>
      <x:c r="AP85" s="55" t="n">
        <x:v>2401</x:v>
      </x:c>
      <x:c r="AQ85" s="55" t="n">
        <x:v>964</x:v>
      </x:c>
    </x:row>
    <x:row r="86">
      <x:c r="A86" s="54" t="str">
        <x:v>T2_CONCORDANT_DOMAIN</x:v>
      </x:c>
      <x:c r="B86" s="54" t="n">
        <x:v>80</x:v>
      </x:c>
      <x:c r="C86" s="54" t="str">
        <x:v>NYC-V2-R01</x:v>
      </x:c>
      <x:c r="D86" s="54" t="str">
        <x:v>V2</x:v>
      </x:c>
      <x:c r="E86" s="54" t="str">
        <x:v>ADMITTED</x:v>
      </x:c>
      <x:c r="F86" s="55" t="n">
        <x:v>30169</x:v>
      </x:c>
      <x:c r="G86" s="55" t="n">
        <x:v>7154</x:v>
      </x:c>
      <x:c r="H86" s="55" t="n">
        <x:v>3129</x:v>
      </x:c>
      <x:c r="I86" s="55" t="n">
        <x:v>442</x:v>
      </x:c>
      <x:c r="J86" s="55" t="n">
        <x:v>0</x:v>
      </x:c>
      <x:c r="K86" s="55" t="n">
        <x:v>30169</x:v>
      </x:c>
      <x:c r="L86" s="55" t="n">
        <x:v>5154</x:v>
      </x:c>
      <x:c r="M86" s="55" t="n">
        <x:v>1477</x:v>
      </x:c>
      <x:c r="N86" s="55" t="n">
        <x:v>2331</x:v>
      </x:c>
      <x:c r="O86" s="55" t="n">
        <x:v>1346</x:v>
      </x:c>
      <x:c r="P86" s="55" t="n">
        <x:v>437</x:v>
      </x:c>
      <x:c r="Q86" s="55" t="n">
        <x:v>2124</x:v>
      </x:c>
      <x:c r="R86" s="55" t="n">
        <x:v>1538</x:v>
      </x:c>
      <x:c r="S86" s="55" t="n">
        <x:v>2587</x:v>
      </x:c>
      <x:c r="T86" s="55" t="n">
        <x:v>914</x:v>
      </x:c>
      <x:c r="U86" s="55" t="n">
        <x:v>1880</x:v>
      </x:c>
      <x:c r="V86" s="55" t="n">
        <x:v>10563</x:v>
      </x:c>
      <x:c r="W86" s="55" t="n">
        <x:v>7944</x:v>
      </x:c>
      <x:c r="X86" s="55" t="n">
        <x:v>2619</x:v>
      </x:c>
      <x:c r="Y86" s="55" t="n">
        <x:v>2264</x:v>
      </x:c>
      <x:c r="Z86" s="55" t="n">
        <x:v>3714</x:v>
      </x:c>
      <x:c r="AA86" s="55" t="n">
        <x:v>3129</x:v>
      </x:c>
      <x:c r="AB86" s="55" t="n">
        <x:v>1075</x:v>
      </x:c>
      <x:c r="AC86" s="55" t="n">
        <x:v>7578</x:v>
      </x:c>
      <x:c r="AD86" s="55" t="n">
        <x:v>2594</x:v>
      </x:c>
      <x:c r="AE86" s="55" t="n">
        <x:v>10581</x:v>
      </x:c>
      <x:c r="AF86" s="55" t="n">
        <x:v>10563</x:v>
      </x:c>
      <x:c r="AG86" s="55" t="n">
        <x:v>18</x:v>
      </x:c>
      <x:c r="AH86" s="55" t="n">
        <x:v>209</x:v>
      </x:c>
      <x:c r="AI86" s="55" t="n">
        <x:v>10354</x:v>
      </x:c>
      <x:c r="AJ86" s="55" t="n">
        <x:v>280</x:v>
      </x:c>
      <x:c r="AK86" s="55" t="n">
        <x:v>815</x:v>
      </x:c>
      <x:c r="AL86" s="55" t="n">
        <x:v>1615</x:v>
      </x:c>
      <x:c r="AM86" s="55" t="n">
        <x:v>4913</x:v>
      </x:c>
      <x:c r="AN86" s="55" t="n">
        <x:v>2940</x:v>
      </x:c>
      <x:c r="AO86" s="55" t="n">
        <x:v>0</x:v>
      </x:c>
      <x:c r="AP86" s="55" t="n">
        <x:v>2088</x:v>
      </x:c>
      <x:c r="AQ86" s="55" t="n">
        <x:v>933</x:v>
      </x:c>
    </x:row>
    <x:row r="87">
      <x:c r="A87" s="54" t="str">
        <x:v>T2_CONCORDANT_DOMAIN</x:v>
      </x:c>
      <x:c r="B87" s="54" t="n">
        <x:v>81</x:v>
      </x:c>
      <x:c r="C87" s="54" t="str">
        <x:v>NYC-V2-R01</x:v>
      </x:c>
      <x:c r="D87" s="54" t="str">
        <x:v>V2</x:v>
      </x:c>
      <x:c r="E87" s="54" t="str">
        <x:v>ADMITTED</x:v>
      </x:c>
      <x:c r="F87" s="55" t="n">
        <x:v>30799</x:v>
      </x:c>
      <x:c r="G87" s="55" t="n">
        <x:v>7562</x:v>
      </x:c>
      <x:c r="H87" s="55" t="n">
        <x:v>3639</x:v>
      </x:c>
      <x:c r="I87" s="55" t="n">
        <x:v>916</x:v>
      </x:c>
      <x:c r="J87" s="55" t="n">
        <x:v>68</x:v>
      </x:c>
      <x:c r="K87" s="55" t="n">
        <x:v>30799</x:v>
      </x:c>
      <x:c r="L87" s="55" t="n">
        <x:v>6254</x:v>
      </x:c>
      <x:c r="M87" s="55" t="n">
        <x:v>1845</x:v>
      </x:c>
      <x:c r="N87" s="55" t="n">
        <x:v>2881</x:v>
      </x:c>
      <x:c r="O87" s="55" t="n">
        <x:v>1528</x:v>
      </x:c>
      <x:c r="P87" s="55" t="n">
        <x:v>811</x:v>
      </x:c>
      <x:c r="Q87" s="55" t="n">
        <x:v>3282</x:v>
      </x:c>
      <x:c r="R87" s="55" t="n">
        <x:v>1982</x:v>
      </x:c>
      <x:c r="S87" s="55" t="n">
        <x:v>2490</x:v>
      </x:c>
      <x:c r="T87" s="55" t="n">
        <x:v>1451</x:v>
      </x:c>
      <x:c r="U87" s="55" t="n">
        <x:v>2332</x:v>
      </x:c>
      <x:c r="V87" s="55" t="n">
        <x:v>10066</x:v>
      </x:c>
      <x:c r="W87" s="55" t="n">
        <x:v>6865</x:v>
      </x:c>
      <x:c r="X87" s="55" t="n">
        <x:v>3201</x:v>
      </x:c>
      <x:c r="Y87" s="55" t="n">
        <x:v>2826</x:v>
      </x:c>
      <x:c r="Z87" s="55" t="n">
        <x:v>4210</x:v>
      </x:c>
      <x:c r="AA87" s="55" t="n">
        <x:v>3639</x:v>
      </x:c>
      <x:c r="AB87" s="55" t="n">
        <x:v>1369</x:v>
      </x:c>
      <x:c r="AC87" s="55" t="n">
        <x:v>8321</x:v>
      </x:c>
      <x:c r="AD87" s="55" t="n">
        <x:v>3171</x:v>
      </x:c>
      <x:c r="AE87" s="55" t="n">
        <x:v>10121</x:v>
      </x:c>
      <x:c r="AF87" s="55" t="n">
        <x:v>10066</x:v>
      </x:c>
      <x:c r="AG87" s="55" t="n">
        <x:v>55</x:v>
      </x:c>
      <x:c r="AH87" s="55" t="n">
        <x:v>285</x:v>
      </x:c>
      <x:c r="AI87" s="55" t="n">
        <x:v>9781</x:v>
      </x:c>
      <x:c r="AJ87" s="55" t="n">
        <x:v>231</x:v>
      </x:c>
      <x:c r="AK87" s="55" t="n">
        <x:v>1216</x:v>
      </x:c>
      <x:c r="AL87" s="55" t="n">
        <x:v>1630</x:v>
      </x:c>
      <x:c r="AM87" s="55" t="n">
        <x:v>4172</x:v>
      </x:c>
      <x:c r="AN87" s="55" t="n">
        <x:v>2817</x:v>
      </x:c>
      <x:c r="AO87" s="55" t="n">
        <x:v>0</x:v>
      </x:c>
      <x:c r="AP87" s="55" t="n">
        <x:v>2043</x:v>
      </x:c>
      <x:c r="AQ87" s="55" t="n">
        <x:v>969</x:v>
      </x:c>
    </x:row>
    <x:row r="88">
      <x:c r="A88" s="54" t="str">
        <x:v>T2_CONCORDANT_DOMAIN</x:v>
      </x:c>
      <x:c r="B88" s="54" t="n">
        <x:v>82</x:v>
      </x:c>
      <x:c r="C88" s="54" t="str">
        <x:v>NYC-V2-R01</x:v>
      </x:c>
      <x:c r="D88" s="54" t="str">
        <x:v>V2</x:v>
      </x:c>
      <x:c r="E88" s="54" t="str">
        <x:v>ADMITTED</x:v>
      </x:c>
      <x:c r="F88" s="55" t="n">
        <x:v>30964</x:v>
      </x:c>
      <x:c r="G88" s="55" t="n">
        <x:v>8843</x:v>
      </x:c>
      <x:c r="H88" s="55" t="n">
        <x:v>3370</x:v>
      </x:c>
      <x:c r="I88" s="55" t="n">
        <x:v>1150</x:v>
      </x:c>
      <x:c r="J88" s="55" t="n">
        <x:v>173</x:v>
      </x:c>
      <x:c r="K88" s="55" t="n">
        <x:v>30778</x:v>
      </x:c>
      <x:c r="L88" s="55" t="n">
        <x:v>5587</x:v>
      </x:c>
      <x:c r="M88" s="55" t="n">
        <x:v>1698</x:v>
      </x:c>
      <x:c r="N88" s="55" t="n">
        <x:v>2581</x:v>
      </x:c>
      <x:c r="O88" s="55" t="n">
        <x:v>1308</x:v>
      </x:c>
      <x:c r="P88" s="55" t="n">
        <x:v>786</x:v>
      </x:c>
      <x:c r="Q88" s="55" t="n">
        <x:v>1838</x:v>
      </x:c>
      <x:c r="R88" s="55" t="n">
        <x:v>2220</x:v>
      </x:c>
      <x:c r="S88" s="55" t="n">
        <x:v>2331</x:v>
      </x:c>
      <x:c r="T88" s="55" t="n">
        <x:v>1709</x:v>
      </x:c>
      <x:c r="U88" s="55" t="n">
        <x:v>2366</x:v>
      </x:c>
      <x:c r="V88" s="55" t="n">
        <x:v>9761</x:v>
      </x:c>
      <x:c r="W88" s="55" t="n">
        <x:v>6876</x:v>
      </x:c>
      <x:c r="X88" s="55" t="n">
        <x:v>2885</x:v>
      </x:c>
      <x:c r="Y88" s="55" t="n">
        <x:v>2260</x:v>
      </x:c>
      <x:c r="Z88" s="55" t="n">
        <x:v>3379</x:v>
      </x:c>
      <x:c r="AA88" s="55" t="n">
        <x:v>3370</x:v>
      </x:c>
      <x:c r="AB88" s="55" t="n">
        <x:v>1157</x:v>
      </x:c>
      <x:c r="AC88" s="55" t="n">
        <x:v>7876</x:v>
      </x:c>
      <x:c r="AD88" s="55" t="n">
        <x:v>2592</x:v>
      </x:c>
      <x:c r="AE88" s="55" t="n">
        <x:v>9831</x:v>
      </x:c>
      <x:c r="AF88" s="55" t="n">
        <x:v>9761</x:v>
      </x:c>
      <x:c r="AG88" s="55" t="n">
        <x:v>70</x:v>
      </x:c>
      <x:c r="AH88" s="55" t="n">
        <x:v>314</x:v>
      </x:c>
      <x:c r="AI88" s="55" t="n">
        <x:v>9447</x:v>
      </x:c>
      <x:c r="AJ88" s="55" t="n">
        <x:v>323</x:v>
      </x:c>
      <x:c r="AK88" s="55" t="n">
        <x:v>831</x:v>
      </x:c>
      <x:c r="AL88" s="55" t="n">
        <x:v>1224</x:v>
      </x:c>
      <x:c r="AM88" s="55" t="n">
        <x:v>5048</x:v>
      </x:c>
      <x:c r="AN88" s="55" t="n">
        <x:v>2318</x:v>
      </x:c>
      <x:c r="AO88" s="55" t="n">
        <x:v>17</x:v>
      </x:c>
      <x:c r="AP88" s="55" t="n">
        <x:v>2619</x:v>
      </x:c>
      <x:c r="AQ88" s="55" t="n">
        <x:v>985</x:v>
      </x:c>
    </x:row>
    <x:row r="89">
      <x:c r="A89" s="54" t="str">
        <x:v>T2_CONCORDANT_DOMAIN</x:v>
      </x:c>
      <x:c r="B89" s="54" t="n">
        <x:v>83</x:v>
      </x:c>
      <x:c r="C89" s="54" t="str">
        <x:v>NYC-V2-R01</x:v>
      </x:c>
      <x:c r="D89" s="54" t="str">
        <x:v>V2</x:v>
      </x:c>
      <x:c r="E89" s="54" t="str">
        <x:v>ADMITTED</x:v>
      </x:c>
      <x:c r="F89" s="55" t="n">
        <x:v>31194</x:v>
      </x:c>
      <x:c r="G89" s="55" t="n">
        <x:v>7194</x:v>
      </x:c>
      <x:c r="H89" s="55" t="n">
        <x:v>3078</x:v>
      </x:c>
      <x:c r="I89" s="55" t="n">
        <x:v>1121</x:v>
      </x:c>
      <x:c r="J89" s="55" t="n">
        <x:v>248</x:v>
      </x:c>
      <x:c r="K89" s="55" t="n">
        <x:v>31194</x:v>
      </x:c>
      <x:c r="L89" s="55" t="n">
        <x:v>6162</x:v>
      </x:c>
      <x:c r="M89" s="55" t="n">
        <x:v>1485</x:v>
      </x:c>
      <x:c r="N89" s="55" t="n">
        <x:v>2560</x:v>
      </x:c>
      <x:c r="O89" s="55" t="n">
        <x:v>2117</x:v>
      </x:c>
      <x:c r="P89" s="55" t="n">
        <x:v>781</x:v>
      </x:c>
      <x:c r="Q89" s="55" t="n">
        <x:v>2583</x:v>
      </x:c>
      <x:c r="R89" s="55" t="n">
        <x:v>2009</x:v>
      </x:c>
      <x:c r="S89" s="55" t="n">
        <x:v>2479</x:v>
      </x:c>
      <x:c r="T89" s="55" t="n">
        <x:v>1011</x:v>
      </x:c>
      <x:c r="U89" s="55" t="n">
        <x:v>1567</x:v>
      </x:c>
      <x:c r="V89" s="55" t="n">
        <x:v>11112</x:v>
      </x:c>
      <x:c r="W89" s="55" t="n">
        <x:v>8474</x:v>
      </x:c>
      <x:c r="X89" s="55" t="n">
        <x:v>2638</x:v>
      </x:c>
      <x:c r="Y89" s="55" t="n">
        <x:v>2311</x:v>
      </x:c>
      <x:c r="Z89" s="55" t="n">
        <x:v>3673</x:v>
      </x:c>
      <x:c r="AA89" s="55" t="n">
        <x:v>3078</x:v>
      </x:c>
      <x:c r="AB89" s="55" t="n">
        <x:v>703</x:v>
      </x:c>
      <x:c r="AC89" s="55" t="n">
        <x:v>8459</x:v>
      </x:c>
      <x:c r="AD89" s="55" t="n">
        <x:v>2996</x:v>
      </x:c>
      <x:c r="AE89" s="55" t="n">
        <x:v>11139</x:v>
      </x:c>
      <x:c r="AF89" s="55" t="n">
        <x:v>11112</x:v>
      </x:c>
      <x:c r="AG89" s="55" t="n">
        <x:v>27</x:v>
      </x:c>
      <x:c r="AH89" s="55" t="n">
        <x:v>704</x:v>
      </x:c>
      <x:c r="AI89" s="55" t="n">
        <x:v>10408</x:v>
      </x:c>
      <x:c r="AJ89" s="55" t="n">
        <x:v>403</x:v>
      </x:c>
      <x:c r="AK89" s="55" t="n">
        <x:v>1232</x:v>
      </x:c>
      <x:c r="AL89" s="55" t="n">
        <x:v>1871</x:v>
      </x:c>
      <x:c r="AM89" s="55" t="n">
        <x:v>5025</x:v>
      </x:c>
      <x:c r="AN89" s="55" t="n">
        <x:v>2562</x:v>
      </x:c>
      <x:c r="AO89" s="55" t="n">
        <x:v>19</x:v>
      </x:c>
      <x:c r="AP89" s="55" t="n">
        <x:v>2198</x:v>
      </x:c>
      <x:c r="AQ89" s="55" t="n">
        <x:v>948</x:v>
      </x:c>
    </x:row>
    <x:row r="90">
      <x:c r="A90" s="54" t="str">
        <x:v>T2_CONCORDANT_DOMAIN</x:v>
      </x:c>
      <x:c r="B90" s="54" t="n">
        <x:v>84</x:v>
      </x:c>
      <x:c r="C90" s="54" t="str">
        <x:v>NYC-V2-R01</x:v>
      </x:c>
      <x:c r="D90" s="54" t="str">
        <x:v>V2</x:v>
      </x:c>
      <x:c r="E90" s="54" t="str">
        <x:v>ADMITTED</x:v>
      </x:c>
      <x:c r="F90" s="55" t="n">
        <x:v>31630</x:v>
      </x:c>
      <x:c r="G90" s="55" t="n">
        <x:v>8243</x:v>
      </x:c>
      <x:c r="H90" s="55" t="n">
        <x:v>3502</x:v>
      </x:c>
      <x:c r="I90" s="55" t="n">
        <x:v>1339</x:v>
      </x:c>
      <x:c r="J90" s="55" t="n">
        <x:v>225</x:v>
      </x:c>
      <x:c r="K90" s="55" t="n">
        <x:v>31131</x:v>
      </x:c>
      <x:c r="L90" s="55" t="n">
        <x:v>5468</x:v>
      </x:c>
      <x:c r="M90" s="55" t="n">
        <x:v>1530</x:v>
      </x:c>
      <x:c r="N90" s="55" t="n">
        <x:v>2123</x:v>
      </x:c>
      <x:c r="O90" s="55" t="n">
        <x:v>1815</x:v>
      </x:c>
      <x:c r="P90" s="55" t="n">
        <x:v>1130</x:v>
      </x:c>
      <x:c r="Q90" s="55" t="n">
        <x:v>836</x:v>
      </x:c>
      <x:c r="R90" s="55" t="n">
        <x:v>1572</x:v>
      </x:c>
      <x:c r="S90" s="55" t="n">
        <x:v>2556</x:v>
      </x:c>
      <x:c r="T90" s="55" t="n">
        <x:v>1279</x:v>
      </x:c>
      <x:c r="U90" s="55" t="n">
        <x:v>2665</x:v>
      </x:c>
      <x:c r="V90" s="55" t="n">
        <x:v>10230</x:v>
      </x:c>
      <x:c r="W90" s="55" t="n">
        <x:v>6913</x:v>
      </x:c>
      <x:c r="X90" s="55" t="n">
        <x:v>3317</x:v>
      </x:c>
      <x:c r="Y90" s="55" t="n">
        <x:v>3055</x:v>
      </x:c>
      <x:c r="Z90" s="55" t="n">
        <x:v>3057</x:v>
      </x:c>
      <x:c r="AA90" s="55" t="n">
        <x:v>3492</x:v>
      </x:c>
      <x:c r="AB90" s="55" t="n">
        <x:v>1206</x:v>
      </x:c>
      <x:c r="AC90" s="55" t="n">
        <x:v>8509</x:v>
      </x:c>
      <x:c r="AD90" s="55" t="n">
        <x:v>3233</x:v>
      </x:c>
      <x:c r="AE90" s="55" t="n">
        <x:v>10372</x:v>
      </x:c>
      <x:c r="AF90" s="55" t="n">
        <x:v>10230</x:v>
      </x:c>
      <x:c r="AG90" s="55" t="n">
        <x:v>142</x:v>
      </x:c>
      <x:c r="AH90" s="55" t="n">
        <x:v>443</x:v>
      </x:c>
      <x:c r="AI90" s="55" t="n">
        <x:v>9787</x:v>
      </x:c>
      <x:c r="AJ90" s="55" t="n">
        <x:v>318</x:v>
      </x:c>
      <x:c r="AK90" s="55" t="n">
        <x:v>1223</x:v>
      </x:c>
      <x:c r="AL90" s="55" t="n">
        <x:v>1612</x:v>
      </x:c>
      <x:c r="AM90" s="55" t="n">
        <x:v>4389</x:v>
      </x:c>
      <x:c r="AN90" s="55" t="n">
        <x:v>2688</x:v>
      </x:c>
      <x:c r="AO90" s="55" t="n">
        <x:v>0</x:v>
      </x:c>
      <x:c r="AP90" s="55" t="n">
        <x:v>2264</x:v>
      </x:c>
      <x:c r="AQ90" s="55" t="n">
        <x:v>939</x:v>
      </x:c>
    </x:row>
    <x:row r="91">
      <x:c r="A91" s="54" t="str">
        <x:v>T2_CONCORDANT_DOMAIN</x:v>
      </x:c>
      <x:c r="B91" s="54" t="n">
        <x:v>85</x:v>
      </x:c>
      <x:c r="C91" s="54" t="str">
        <x:v>NYC-V2-R01</x:v>
      </x:c>
      <x:c r="D91" s="54" t="str">
        <x:v>V2</x:v>
      </x:c>
      <x:c r="E91" s="54" t="str">
        <x:v>ADMITTED</x:v>
      </x:c>
      <x:c r="F91" s="55" t="n">
        <x:v>28069</x:v>
      </x:c>
      <x:c r="G91" s="55" t="n">
        <x:v>5246</x:v>
      </x:c>
      <x:c r="H91" s="55" t="n">
        <x:v>2987</x:v>
      </x:c>
      <x:c r="I91" s="55" t="n">
        <x:v>801</x:v>
      </x:c>
      <x:c r="J91" s="55" t="n">
        <x:v>79</x:v>
      </x:c>
      <x:c r="K91" s="55" t="n">
        <x:v>28069</x:v>
      </x:c>
      <x:c r="L91" s="55" t="n">
        <x:v>4012</x:v>
      </x:c>
      <x:c r="M91" s="55" t="n">
        <x:v>9</x:v>
      </x:c>
      <x:c r="N91" s="55" t="n">
        <x:v>2504</x:v>
      </x:c>
      <x:c r="O91" s="55" t="n">
        <x:v>1499</x:v>
      </x:c>
      <x:c r="P91" s="55" t="n">
        <x:v>686</x:v>
      </x:c>
      <x:c r="Q91" s="55" t="n">
        <x:v>2113</x:v>
      </x:c>
      <x:c r="R91" s="55" t="n">
        <x:v>1530</x:v>
      </x:c>
      <x:c r="S91" s="55" t="n">
        <x:v>2541</x:v>
      </x:c>
      <x:c r="T91" s="55" t="n">
        <x:v>1375</x:v>
      </x:c>
      <x:c r="U91" s="55" t="n">
        <x:v>1853</x:v>
      </x:c>
      <x:c r="V91" s="55" t="n">
        <x:v>10193</x:v>
      </x:c>
      <x:c r="W91" s="55" t="n">
        <x:v>7689</x:v>
      </x:c>
      <x:c r="X91" s="55" t="n">
        <x:v>2504</x:v>
      </x:c>
      <x:c r="Y91" s="55" t="n">
        <x:v>2142</x:v>
      </x:c>
      <x:c r="Z91" s="55" t="n">
        <x:v>3004</x:v>
      </x:c>
      <x:c r="AA91" s="55" t="n">
        <x:v>2987</x:v>
      </x:c>
      <x:c r="AB91" s="55" t="n">
        <x:v>623</x:v>
      </x:c>
      <x:c r="AC91" s="55" t="n">
        <x:v>7298</x:v>
      </x:c>
      <x:c r="AD91" s="55" t="n">
        <x:v>2478</x:v>
      </x:c>
      <x:c r="AE91" s="55" t="n">
        <x:v>10275</x:v>
      </x:c>
      <x:c r="AF91" s="55" t="n">
        <x:v>10193</x:v>
      </x:c>
      <x:c r="AG91" s="55" t="n">
        <x:v>82</x:v>
      </x:c>
      <x:c r="AH91" s="55" t="n">
        <x:v>239</x:v>
      </x:c>
      <x:c r="AI91" s="55" t="n">
        <x:v>9954</x:v>
      </x:c>
      <x:c r="AJ91" s="55" t="n">
        <x:v>267</x:v>
      </x:c>
      <x:c r="AK91" s="55" t="n">
        <x:v>1272</x:v>
      </x:c>
      <x:c r="AL91" s="55" t="n">
        <x:v>1555</x:v>
      </x:c>
      <x:c r="AM91" s="55" t="n">
        <x:v>4689</x:v>
      </x:c>
      <x:c r="AN91" s="55" t="n">
        <x:v>2410</x:v>
      </x:c>
      <x:c r="AO91" s="55" t="n">
        <x:v>0</x:v>
      </x:c>
      <x:c r="AP91" s="55" t="n">
        <x:v>1730</x:v>
      </x:c>
      <x:c r="AQ91" s="55" t="n">
        <x:v>885</x:v>
      </x:c>
    </x:row>
    <x:row r="92">
      <x:c r="A92" s="54" t="str">
        <x:v>T2_CONCORDANT_DOMAIN</x:v>
      </x:c>
      <x:c r="B92" s="54" t="n">
        <x:v>86</x:v>
      </x:c>
      <x:c r="C92" s="54" t="str">
        <x:v>NYC-V2-R01</x:v>
      </x:c>
      <x:c r="D92" s="54" t="str">
        <x:v>V2</x:v>
      </x:c>
      <x:c r="E92" s="54" t="str">
        <x:v>ADMITTED</x:v>
      </x:c>
      <x:c r="F92" s="55" t="n">
        <x:v>30803</x:v>
      </x:c>
      <x:c r="G92" s="55" t="n">
        <x:v>7551</x:v>
      </x:c>
      <x:c r="H92" s="55" t="n">
        <x:v>3609</x:v>
      </x:c>
      <x:c r="I92" s="55" t="n">
        <x:v>1312</x:v>
      </x:c>
      <x:c r="J92" s="55" t="n">
        <x:v>300</x:v>
      </x:c>
      <x:c r="K92" s="55" t="n">
        <x:v>30803</x:v>
      </x:c>
      <x:c r="L92" s="55" t="n">
        <x:v>6089</x:v>
      </x:c>
      <x:c r="M92" s="55" t="n">
        <x:v>1242</x:v>
      </x:c>
      <x:c r="N92" s="55" t="n">
        <x:v>2857</x:v>
      </x:c>
      <x:c r="O92" s="55" t="n">
        <x:v>1990</x:v>
      </x:c>
      <x:c r="P92" s="55" t="n">
        <x:v>685</x:v>
      </x:c>
      <x:c r="Q92" s="55" t="n">
        <x:v>2150</x:v>
      </x:c>
      <x:c r="R92" s="55" t="n">
        <x:v>1846</x:v>
      </x:c>
      <x:c r="S92" s="55" t="n">
        <x:v>3098</x:v>
      </x:c>
      <x:c r="T92" s="55" t="n">
        <x:v>1185</x:v>
      </x:c>
      <x:c r="U92" s="55" t="n">
        <x:v>2355</x:v>
      </x:c>
      <x:c r="V92" s="55" t="n">
        <x:v>10578</x:v>
      </x:c>
      <x:c r="W92" s="55" t="n">
        <x:v>7536</x:v>
      </x:c>
      <x:c r="X92" s="55" t="n">
        <x:v>3042</x:v>
      </x:c>
      <x:c r="Y92" s="55" t="n">
        <x:v>2496</x:v>
      </x:c>
      <x:c r="Z92" s="55" t="n">
        <x:v>3409</x:v>
      </x:c>
      <x:c r="AA92" s="55" t="n">
        <x:v>3130</x:v>
      </x:c>
      <x:c r="AB92" s="55" t="n">
        <x:v>1196</x:v>
      </x:c>
      <x:c r="AC92" s="55" t="n">
        <x:v>7365</x:v>
      </x:c>
      <x:c r="AD92" s="55" t="n">
        <x:v>2822</x:v>
      </x:c>
      <x:c r="AE92" s="55" t="n">
        <x:v>10611</x:v>
      </x:c>
      <x:c r="AF92" s="55" t="n">
        <x:v>10578</x:v>
      </x:c>
      <x:c r="AG92" s="55" t="n">
        <x:v>33</x:v>
      </x:c>
      <x:c r="AH92" s="55" t="n">
        <x:v>413</x:v>
      </x:c>
      <x:c r="AI92" s="55" t="n">
        <x:v>10165</x:v>
      </x:c>
      <x:c r="AJ92" s="55" t="n">
        <x:v>368</x:v>
      </x:c>
      <x:c r="AK92" s="55" t="n">
        <x:v>928</x:v>
      </x:c>
      <x:c r="AL92" s="55" t="n">
        <x:v>1553</x:v>
      </x:c>
      <x:c r="AM92" s="55" t="n">
        <x:v>4866</x:v>
      </x:c>
      <x:c r="AN92" s="55" t="n">
        <x:v>2863</x:v>
      </x:c>
      <x:c r="AO92" s="55" t="n">
        <x:v>0</x:v>
      </x:c>
      <x:c r="AP92" s="55" t="n">
        <x:v>2281</x:v>
      </x:c>
      <x:c r="AQ92" s="55" t="n">
        <x:v>974</x:v>
      </x:c>
    </x:row>
    <x:row r="93">
      <x:c r="A93" s="54" t="str">
        <x:v>T2_CONCORDANT_DOMAIN</x:v>
      </x:c>
      <x:c r="B93" s="54" t="n">
        <x:v>87</x:v>
      </x:c>
      <x:c r="C93" s="54" t="str">
        <x:v>NYC-V2-R01</x:v>
      </x:c>
      <x:c r="D93" s="54" t="str">
        <x:v>V2</x:v>
      </x:c>
      <x:c r="E93" s="54" t="str">
        <x:v>ADMITTED</x:v>
      </x:c>
      <x:c r="F93" s="55" t="n">
        <x:v>29420</x:v>
      </x:c>
      <x:c r="G93" s="55" t="n">
        <x:v>7225</x:v>
      </x:c>
      <x:c r="H93" s="55" t="n">
        <x:v>2812</x:v>
      </x:c>
      <x:c r="I93" s="55" t="n">
        <x:v>903</x:v>
      </x:c>
      <x:c r="J93" s="55" t="n">
        <x:v>120</x:v>
      </x:c>
      <x:c r="K93" s="55" t="n">
        <x:v>29420</x:v>
      </x:c>
      <x:c r="L93" s="55" t="n">
        <x:v>4123</x:v>
      </x:c>
      <x:c r="M93" s="55" t="n">
        <x:v>0</x:v>
      </x:c>
      <x:c r="N93" s="55" t="n">
        <x:v>2185</x:v>
      </x:c>
      <x:c r="O93" s="55" t="n">
        <x:v>1938</x:v>
      </x:c>
      <x:c r="P93" s="55" t="n">
        <x:v>655</x:v>
      </x:c>
      <x:c r="Q93" s="55" t="n">
        <x:v>1665</x:v>
      </x:c>
      <x:c r="R93" s="55" t="n">
        <x:v>1585</x:v>
      </x:c>
      <x:c r="S93" s="55" t="n">
        <x:v>1373</x:v>
      </x:c>
      <x:c r="T93" s="55" t="n">
        <x:v>880</x:v>
      </x:c>
      <x:c r="U93" s="55" t="n">
        <x:v>1126</x:v>
      </x:c>
      <x:c r="V93" s="55" t="n">
        <x:v>10285</x:v>
      </x:c>
      <x:c r="W93" s="55" t="n">
        <x:v>7808</x:v>
      </x:c>
      <x:c r="X93" s="55" t="n">
        <x:v>2477</x:v>
      </x:c>
      <x:c r="Y93" s="55" t="n">
        <x:v>2177</x:v>
      </x:c>
      <x:c r="Z93" s="55" t="n">
        <x:v>3318</x:v>
      </x:c>
      <x:c r="AA93" s="55" t="n">
        <x:v>2577</x:v>
      </x:c>
      <x:c r="AB93" s="55" t="n">
        <x:v>613</x:v>
      </x:c>
      <x:c r="AC93" s="55" t="n">
        <x:v>7418</x:v>
      </x:c>
      <x:c r="AD93" s="55" t="n">
        <x:v>2015</x:v>
      </x:c>
      <x:c r="AE93" s="55" t="n">
        <x:v>10285</x:v>
      </x:c>
      <x:c r="AF93" s="55" t="n">
        <x:v>10285</x:v>
      </x:c>
      <x:c r="AG93" s="55" t="n">
        <x:v>0</x:v>
      </x:c>
      <x:c r="AH93" s="55" t="n">
        <x:v>322</x:v>
      </x:c>
      <x:c r="AI93" s="55" t="n">
        <x:v>9963</x:v>
      </x:c>
      <x:c r="AJ93" s="55" t="n">
        <x:v>234</x:v>
      </x:c>
      <x:c r="AK93" s="55" t="n">
        <x:v>820</x:v>
      </x:c>
      <x:c r="AL93" s="55" t="n">
        <x:v>1674</x:v>
      </x:c>
      <x:c r="AM93" s="55" t="n">
        <x:v>4966</x:v>
      </x:c>
      <x:c r="AN93" s="55" t="n">
        <x:v>2591</x:v>
      </x:c>
      <x:c r="AO93" s="55" t="n">
        <x:v>0</x:v>
      </x:c>
      <x:c r="AP93" s="55" t="n">
        <x:v>2302</x:v>
      </x:c>
      <x:c r="AQ93" s="55" t="n">
        <x:v>930</x:v>
      </x:c>
    </x:row>
    <x:row r="94">
      <x:c r="A94" s="54" t="str">
        <x:v>T2_CONCORDANT_DOMAIN</x:v>
      </x:c>
      <x:c r="B94" s="54" t="n">
        <x:v>88</x:v>
      </x:c>
      <x:c r="C94" s="54" t="str">
        <x:v>NYC-V2-R01</x:v>
      </x:c>
      <x:c r="D94" s="54" t="str">
        <x:v>V2</x:v>
      </x:c>
      <x:c r="E94" s="54" t="str">
        <x:v>ADMITTED</x:v>
      </x:c>
      <x:c r="F94" s="55" t="n">
        <x:v>29461</x:v>
      </x:c>
      <x:c r="G94" s="55" t="n">
        <x:v>6466</x:v>
      </x:c>
      <x:c r="H94" s="55" t="n">
        <x:v>3587</x:v>
      </x:c>
      <x:c r="I94" s="55" t="n">
        <x:v>1612</x:v>
      </x:c>
      <x:c r="J94" s="55" t="n">
        <x:v>239</x:v>
      </x:c>
      <x:c r="K94" s="55" t="n">
        <x:v>29461</x:v>
      </x:c>
      <x:c r="L94" s="55" t="n">
        <x:v>5090</x:v>
      </x:c>
      <x:c r="M94" s="55" t="n">
        <x:v>1805</x:v>
      </x:c>
      <x:c r="N94" s="55" t="n">
        <x:v>2180</x:v>
      </x:c>
      <x:c r="O94" s="55" t="n">
        <x:v>1105</x:v>
      </x:c>
      <x:c r="P94" s="55" t="n">
        <x:v>763</x:v>
      </x:c>
      <x:c r="Q94" s="55" t="n">
        <x:v>2623</x:v>
      </x:c>
      <x:c r="R94" s="55" t="n">
        <x:v>1637</x:v>
      </x:c>
      <x:c r="S94" s="55" t="n">
        <x:v>2581</x:v>
      </x:c>
      <x:c r="T94" s="55" t="n">
        <x:v>1188</x:v>
      </x:c>
      <x:c r="U94" s="55" t="n">
        <x:v>2164</x:v>
      </x:c>
      <x:c r="V94" s="55" t="n">
        <x:v>11022</x:v>
      </x:c>
      <x:c r="W94" s="55" t="n">
        <x:v>8109</x:v>
      </x:c>
      <x:c r="X94" s="55" t="n">
        <x:v>2913</x:v>
      </x:c>
      <x:c r="Y94" s="55" t="n">
        <x:v>2434</x:v>
      </x:c>
      <x:c r="Z94" s="55" t="n">
        <x:v>3299</x:v>
      </x:c>
      <x:c r="AA94" s="55" t="n">
        <x:v>2775</x:v>
      </x:c>
      <x:c r="AB94" s="55" t="n">
        <x:v>794</x:v>
      </x:c>
      <x:c r="AC94" s="55" t="n">
        <x:v>7959</x:v>
      </x:c>
      <x:c r="AD94" s="55" t="n">
        <x:v>2215</x:v>
      </x:c>
      <x:c r="AE94" s="55" t="n">
        <x:v>11112</x:v>
      </x:c>
      <x:c r="AF94" s="55" t="n">
        <x:v>11022</x:v>
      </x:c>
      <x:c r="AG94" s="55" t="n">
        <x:v>90</x:v>
      </x:c>
      <x:c r="AH94" s="55" t="n">
        <x:v>488</x:v>
      </x:c>
      <x:c r="AI94" s="55" t="n">
        <x:v>10534</x:v>
      </x:c>
      <x:c r="AJ94" s="55" t="n">
        <x:v>194</x:v>
      </x:c>
      <x:c r="AK94" s="55" t="n">
        <x:v>1105</x:v>
      </x:c>
      <x:c r="AL94" s="55" t="n">
        <x:v>1788</x:v>
      </x:c>
      <x:c r="AM94" s="55" t="n">
        <x:v>5125</x:v>
      </x:c>
      <x:c r="AN94" s="55" t="n">
        <x:v>2797</x:v>
      </x:c>
      <x:c r="AO94" s="55" t="n">
        <x:v>13</x:v>
      </x:c>
      <x:c r="AP94" s="55" t="n">
        <x:v>2375</x:v>
      </x:c>
      <x:c r="AQ94" s="55" t="n">
        <x:v>950</x:v>
      </x:c>
    </x:row>
    <x:row r="95">
      <x:c r="A95" s="54" t="str">
        <x:v>T2_CONCORDANT_DOMAIN</x:v>
      </x:c>
      <x:c r="B95" s="54" t="n">
        <x:v>89</x:v>
      </x:c>
      <x:c r="C95" s="54" t="str">
        <x:v>NYC-V2-R01</x:v>
      </x:c>
      <x:c r="D95" s="54" t="str">
        <x:v>V2</x:v>
      </x:c>
      <x:c r="E95" s="54" t="str">
        <x:v>ADMITTED</x:v>
      </x:c>
      <x:c r="F95" s="55" t="n">
        <x:v>32473</x:v>
      </x:c>
      <x:c r="G95" s="55" t="n">
        <x:v>8659</x:v>
      </x:c>
      <x:c r="H95" s="55" t="n">
        <x:v>3851</x:v>
      </x:c>
      <x:c r="I95" s="55" t="n">
        <x:v>1640</x:v>
      </x:c>
      <x:c r="J95" s="55" t="n">
        <x:v>423</x:v>
      </x:c>
      <x:c r="K95" s="55" t="n">
        <x:v>32297</x:v>
      </x:c>
      <x:c r="L95" s="55" t="n">
        <x:v>6605</x:v>
      </x:c>
      <x:c r="M95" s="55" t="n">
        <x:v>1195</x:v>
      </x:c>
      <x:c r="N95" s="55" t="n">
        <x:v>3311</x:v>
      </x:c>
      <x:c r="O95" s="55" t="n">
        <x:v>2099</x:v>
      </x:c>
      <x:c r="P95" s="55" t="n">
        <x:v>822</x:v>
      </x:c>
      <x:c r="Q95" s="55" t="n">
        <x:v>2946</x:v>
      </x:c>
      <x:c r="R95" s="55" t="n">
        <x:v>2087</x:v>
      </x:c>
      <x:c r="S95" s="55" t="n">
        <x:v>2972</x:v>
      </x:c>
      <x:c r="T95" s="55" t="n">
        <x:v>1516</x:v>
      </x:c>
      <x:c r="U95" s="55" t="n">
        <x:v>2193</x:v>
      </x:c>
      <x:c r="V95" s="55" t="n">
        <x:v>10817</x:v>
      </x:c>
      <x:c r="W95" s="55" t="n">
        <x:v>7486</x:v>
      </x:c>
      <x:c r="X95" s="55" t="n">
        <x:v>3331</x:v>
      </x:c>
      <x:c r="Y95" s="55" t="n">
        <x:v>2878</x:v>
      </x:c>
      <x:c r="Z95" s="55" t="n">
        <x:v>4219</x:v>
      </x:c>
      <x:c r="AA95" s="55" t="n">
        <x:v>3759</x:v>
      </x:c>
      <x:c r="AB95" s="55" t="n">
        <x:v>1459</x:v>
      </x:c>
      <x:c r="AC95" s="55" t="n">
        <x:v>8675</x:v>
      </x:c>
      <x:c r="AD95" s="55" t="n">
        <x:v>3618</x:v>
      </x:c>
      <x:c r="AE95" s="55" t="n">
        <x:v>10954</x:v>
      </x:c>
      <x:c r="AF95" s="55" t="n">
        <x:v>10817</x:v>
      </x:c>
      <x:c r="AG95" s="55" t="n">
        <x:v>137</x:v>
      </x:c>
      <x:c r="AH95" s="55" t="n">
        <x:v>389</x:v>
      </x:c>
      <x:c r="AI95" s="55" t="n">
        <x:v>10428</x:v>
      </x:c>
      <x:c r="AJ95" s="55" t="n">
        <x:v>485</x:v>
      </x:c>
      <x:c r="AK95" s="55" t="n">
        <x:v>1005</x:v>
      </x:c>
      <x:c r="AL95" s="55" t="n">
        <x:v>1695</x:v>
      </x:c>
      <x:c r="AM95" s="55" t="n">
        <x:v>4848</x:v>
      </x:c>
      <x:c r="AN95" s="55" t="n">
        <x:v>2736</x:v>
      </x:c>
      <x:c r="AO95" s="55" t="n">
        <x:v>48</x:v>
      </x:c>
      <x:c r="AP95" s="55" t="n">
        <x:v>2220</x:v>
      </x:c>
      <x:c r="AQ95" s="55" t="n">
        <x:v>1005</x:v>
      </x:c>
    </x:row>
    <x:row r="96">
      <x:c r="A96" s="54" t="str">
        <x:v>T2_CONCORDANT_DOMAIN</x:v>
      </x:c>
      <x:c r="B96" s="54" t="n">
        <x:v>90</x:v>
      </x:c>
      <x:c r="C96" s="54" t="str">
        <x:v>NYC-V2-R01</x:v>
      </x:c>
      <x:c r="D96" s="54" t="str">
        <x:v>V2</x:v>
      </x:c>
      <x:c r="E96" s="54" t="str">
        <x:v>ADMITTED</x:v>
      </x:c>
      <x:c r="F96" s="55" t="n">
        <x:v>30837</x:v>
      </x:c>
      <x:c r="G96" s="55" t="n">
        <x:v>8294</x:v>
      </x:c>
      <x:c r="H96" s="55" t="n">
        <x:v>3342</x:v>
      </x:c>
      <x:c r="I96" s="55" t="n">
        <x:v>1224</x:v>
      </x:c>
      <x:c r="J96" s="55" t="n">
        <x:v>256</x:v>
      </x:c>
      <x:c r="K96" s="55" t="n">
        <x:v>28420</x:v>
      </x:c>
      <x:c r="L96" s="55" t="n">
        <x:v>4327</x:v>
      </x:c>
      <x:c r="M96" s="55" t="n">
        <x:v>0</x:v>
      </x:c>
      <x:c r="N96" s="55" t="n">
        <x:v>2437</x:v>
      </x:c>
      <x:c r="O96" s="55" t="n">
        <x:v>1890</x:v>
      </x:c>
      <x:c r="P96" s="55" t="n">
        <x:v>697</x:v>
      </x:c>
      <x:c r="Q96" s="55" t="n">
        <x:v>2766</x:v>
      </x:c>
      <x:c r="R96" s="55" t="n">
        <x:v>1285</x:v>
      </x:c>
      <x:c r="S96" s="55" t="n">
        <x:v>2298</x:v>
      </x:c>
      <x:c r="T96" s="55" t="n">
        <x:v>1194</x:v>
      </x:c>
      <x:c r="U96" s="55" t="n">
        <x:v>2171</x:v>
      </x:c>
      <x:c r="V96" s="55" t="n">
        <x:v>10066</x:v>
      </x:c>
      <x:c r="W96" s="55" t="n">
        <x:v>7378</x:v>
      </x:c>
      <x:c r="X96" s="55" t="n">
        <x:v>2688</x:v>
      </x:c>
      <x:c r="Y96" s="55" t="n">
        <x:v>2463</x:v>
      </x:c>
      <x:c r="Z96" s="55" t="n">
        <x:v>3808</x:v>
      </x:c>
      <x:c r="AA96" s="55" t="n">
        <x:v>3254</x:v>
      </x:c>
      <x:c r="AB96" s="55" t="n">
        <x:v>1188</x:v>
      </x:c>
      <x:c r="AC96" s="55" t="n">
        <x:v>8275</x:v>
      </x:c>
      <x:c r="AD96" s="55" t="n">
        <x:v>2768</x:v>
      </x:c>
      <x:c r="AE96" s="55" t="n">
        <x:v>10120</x:v>
      </x:c>
      <x:c r="AF96" s="55" t="n">
        <x:v>10066</x:v>
      </x:c>
      <x:c r="AG96" s="55" t="n">
        <x:v>54</x:v>
      </x:c>
      <x:c r="AH96" s="55" t="n">
        <x:v>565</x:v>
      </x:c>
      <x:c r="AI96" s="55" t="n">
        <x:v>9501</x:v>
      </x:c>
      <x:c r="AJ96" s="55" t="n">
        <x:v>356</x:v>
      </x:c>
      <x:c r="AK96" s="55" t="n">
        <x:v>525</x:v>
      </x:c>
      <x:c r="AL96" s="55" t="n">
        <x:v>1557</x:v>
      </x:c>
      <x:c r="AM96" s="55" t="n">
        <x:v>4719</x:v>
      </x:c>
      <x:c r="AN96" s="55" t="n">
        <x:v>2909</x:v>
      </x:c>
      <x:c r="AO96" s="55" t="n">
        <x:v>0</x:v>
      </x:c>
      <x:c r="AP96" s="55" t="n">
        <x:v>2332</x:v>
      </x:c>
      <x:c r="AQ96" s="55" t="n">
        <x:v>984</x:v>
      </x:c>
    </x:row>
    <x:row r="97">
      <x:c r="A97" s="54" t="str">
        <x:v>T2_CONCORDANT_DOMAIN</x:v>
      </x:c>
      <x:c r="B97" s="54" t="n">
        <x:v>91</x:v>
      </x:c>
      <x:c r="C97" s="54" t="str">
        <x:v>NYC-V2-R01</x:v>
      </x:c>
      <x:c r="D97" s="54" t="str">
        <x:v>V2</x:v>
      </x:c>
      <x:c r="E97" s="54" t="str">
        <x:v>ADMITTED</x:v>
      </x:c>
      <x:c r="F97" s="55" t="n">
        <x:v>30910</x:v>
      </x:c>
      <x:c r="G97" s="55" t="n">
        <x:v>6958</x:v>
      </x:c>
      <x:c r="H97" s="55" t="n">
        <x:v>2659</x:v>
      </x:c>
      <x:c r="I97" s="55" t="n">
        <x:v>1221</x:v>
      </x:c>
      <x:c r="J97" s="55" t="n">
        <x:v>143</x:v>
      </x:c>
      <x:c r="K97" s="55" t="n">
        <x:v>30910</x:v>
      </x:c>
      <x:c r="L97" s="55" t="n">
        <x:v>5038</x:v>
      </x:c>
      <x:c r="M97" s="55" t="n">
        <x:v>551</x:v>
      </x:c>
      <x:c r="N97" s="55" t="n">
        <x:v>2790</x:v>
      </x:c>
      <x:c r="O97" s="55" t="n">
        <x:v>1697</x:v>
      </x:c>
      <x:c r="P97" s="55" t="n">
        <x:v>553</x:v>
      </x:c>
      <x:c r="Q97" s="55" t="n">
        <x:v>2092</x:v>
      </x:c>
      <x:c r="R97" s="55" t="n">
        <x:v>2201</x:v>
      </x:c>
      <x:c r="S97" s="55" t="n">
        <x:v>2059</x:v>
      </x:c>
      <x:c r="T97" s="55" t="n">
        <x:v>1088</x:v>
      </x:c>
      <x:c r="U97" s="55" t="n">
        <x:v>1700</x:v>
      </x:c>
      <x:c r="V97" s="55" t="n">
        <x:v>10211</x:v>
      </x:c>
      <x:c r="W97" s="55" t="n">
        <x:v>7093</x:v>
      </x:c>
      <x:c r="X97" s="55" t="n">
        <x:v>3118</x:v>
      </x:c>
      <x:c r="Y97" s="55" t="n">
        <x:v>2533</x:v>
      </x:c>
      <x:c r="Z97" s="55" t="n">
        <x:v>3599</x:v>
      </x:c>
      <x:c r="AA97" s="55" t="n">
        <x:v>2645</x:v>
      </x:c>
      <x:c r="AB97" s="55" t="n">
        <x:v>1005</x:v>
      </x:c>
      <x:c r="AC97" s="55" t="n">
        <x:v>7369</x:v>
      </x:c>
      <x:c r="AD97" s="55" t="n">
        <x:v>2511</x:v>
      </x:c>
      <x:c r="AE97" s="55" t="n">
        <x:v>10314</x:v>
      </x:c>
      <x:c r="AF97" s="55" t="n">
        <x:v>10211</x:v>
      </x:c>
      <x:c r="AG97" s="55" t="n">
        <x:v>103</x:v>
      </x:c>
      <x:c r="AH97" s="55" t="n">
        <x:v>246</x:v>
      </x:c>
      <x:c r="AI97" s="55" t="n">
        <x:v>9965</x:v>
      </x:c>
      <x:c r="AJ97" s="55" t="n">
        <x:v>426</x:v>
      </x:c>
      <x:c r="AK97" s="55" t="n">
        <x:v>1054</x:v>
      </x:c>
      <x:c r="AL97" s="55" t="n">
        <x:v>1567</x:v>
      </x:c>
      <x:c r="AM97" s="55" t="n">
        <x:v>4669</x:v>
      </x:c>
      <x:c r="AN97" s="55" t="n">
        <x:v>2460</x:v>
      </x:c>
      <x:c r="AO97" s="55" t="n">
        <x:v>35</x:v>
      </x:c>
      <x:c r="AP97" s="55" t="n">
        <x:v>2255</x:v>
      </x:c>
      <x:c r="AQ97" s="55" t="n">
        <x:v>970</x:v>
      </x:c>
    </x:row>
    <x:row r="98">
      <x:c r="A98" s="54" t="str">
        <x:v>T2_CONCORDANT_DOMAIN</x:v>
      </x:c>
      <x:c r="B98" s="54" t="n">
        <x:v>92</x:v>
      </x:c>
      <x:c r="C98" s="54" t="str">
        <x:v>NYC-V2-R01</x:v>
      </x:c>
      <x:c r="D98" s="54" t="str">
        <x:v>V2</x:v>
      </x:c>
      <x:c r="E98" s="54" t="str">
        <x:v>ADMITTED</x:v>
      </x:c>
      <x:c r="F98" s="55" t="n">
        <x:v>32514</x:v>
      </x:c>
      <x:c r="G98" s="55" t="n">
        <x:v>6500</x:v>
      </x:c>
      <x:c r="H98" s="55" t="n">
        <x:v>3380</x:v>
      </x:c>
      <x:c r="I98" s="55" t="n">
        <x:v>1411</x:v>
      </x:c>
      <x:c r="J98" s="55" t="n">
        <x:v>398</x:v>
      </x:c>
      <x:c r="K98" s="55" t="n">
        <x:v>32514</x:v>
      </x:c>
      <x:c r="L98" s="55" t="n">
        <x:v>6809</x:v>
      </x:c>
      <x:c r="M98" s="55" t="n">
        <x:v>2266</x:v>
      </x:c>
      <x:c r="N98" s="55" t="n">
        <x:v>2993</x:v>
      </x:c>
      <x:c r="O98" s="55" t="n">
        <x:v>1550</x:v>
      </x:c>
      <x:c r="P98" s="55" t="n">
        <x:v>1050</x:v>
      </x:c>
      <x:c r="Q98" s="55" t="n">
        <x:v>2908</x:v>
      </x:c>
      <x:c r="R98" s="55" t="n">
        <x:v>2120</x:v>
      </x:c>
      <x:c r="S98" s="55" t="n">
        <x:v>3321</x:v>
      </x:c>
      <x:c r="T98" s="55" t="n">
        <x:v>1218</x:v>
      </x:c>
      <x:c r="U98" s="55" t="n">
        <x:v>2488</x:v>
      </x:c>
      <x:c r="V98" s="55" t="n">
        <x:v>10877</x:v>
      </x:c>
      <x:c r="W98" s="55" t="n">
        <x:v>7614</x:v>
      </x:c>
      <x:c r="X98" s="55" t="n">
        <x:v>3263</x:v>
      </x:c>
      <x:c r="Y98" s="55" t="n">
        <x:v>2732</x:v>
      </x:c>
      <x:c r="Z98" s="55" t="n">
        <x:v>4088</x:v>
      </x:c>
      <x:c r="AA98" s="55" t="n">
        <x:v>3379</x:v>
      </x:c>
      <x:c r="AB98" s="55" t="n">
        <x:v>1254</x:v>
      </x:c>
      <x:c r="AC98" s="55" t="n">
        <x:v>8694</x:v>
      </x:c>
      <x:c r="AD98" s="55" t="n">
        <x:v>3378</x:v>
      </x:c>
      <x:c r="AE98" s="55" t="n">
        <x:v>10932</x:v>
      </x:c>
      <x:c r="AF98" s="55" t="n">
        <x:v>10877</x:v>
      </x:c>
      <x:c r="AG98" s="55" t="n">
        <x:v>55</x:v>
      </x:c>
      <x:c r="AH98" s="55" t="n">
        <x:v>520</x:v>
      </x:c>
      <x:c r="AI98" s="55" t="n">
        <x:v>10357</x:v>
      </x:c>
      <x:c r="AJ98" s="55" t="n">
        <x:v>372</x:v>
      </x:c>
      <x:c r="AK98" s="55" t="n">
        <x:v>1048</x:v>
      </x:c>
      <x:c r="AL98" s="55" t="n">
        <x:v>1342</x:v>
      </x:c>
      <x:c r="AM98" s="55" t="n">
        <x:v>5162</x:v>
      </x:c>
      <x:c r="AN98" s="55" t="n">
        <x:v>2953</x:v>
      </x:c>
      <x:c r="AO98" s="55" t="n">
        <x:v>0</x:v>
      </x:c>
      <x:c r="AP98" s="55" t="n">
        <x:v>2628</x:v>
      </x:c>
      <x:c r="AQ98" s="55" t="n">
        <x:v>932</x:v>
      </x:c>
    </x:row>
    <x:row r="99">
      <x:c r="A99" s="54" t="str">
        <x:v>T2_CONCORDANT_DOMAIN</x:v>
      </x:c>
      <x:c r="B99" s="54" t="n">
        <x:v>93</x:v>
      </x:c>
      <x:c r="C99" s="54" t="str">
        <x:v>NYC-V2-R01</x:v>
      </x:c>
      <x:c r="D99" s="54" t="str">
        <x:v>V2</x:v>
      </x:c>
      <x:c r="E99" s="54" t="str">
        <x:v>ADMITTED</x:v>
      </x:c>
      <x:c r="F99" s="55" t="n">
        <x:v>31093</x:v>
      </x:c>
      <x:c r="G99" s="55" t="n">
        <x:v>8581</x:v>
      </x:c>
      <x:c r="H99" s="55" t="n">
        <x:v>2757</x:v>
      </x:c>
      <x:c r="I99" s="55" t="n">
        <x:v>1065</x:v>
      </x:c>
      <x:c r="J99" s="55" t="n">
        <x:v>212</x:v>
      </x:c>
      <x:c r="K99" s="55" t="n">
        <x:v>27951</x:v>
      </x:c>
      <x:c r="L99" s="55" t="n">
        <x:v>3947</x:v>
      </x:c>
      <x:c r="M99" s="55" t="n">
        <x:v>134</x:v>
      </x:c>
      <x:c r="N99" s="55" t="n">
        <x:v>2318</x:v>
      </x:c>
      <x:c r="O99" s="55" t="n">
        <x:v>1495</x:v>
      </x:c>
      <x:c r="P99" s="55" t="n">
        <x:v>599</x:v>
      </x:c>
      <x:c r="Q99" s="55" t="n">
        <x:v>2411</x:v>
      </x:c>
      <x:c r="R99" s="55" t="n">
        <x:v>2028</x:v>
      </x:c>
      <x:c r="S99" s="55" t="n">
        <x:v>2463</x:v>
      </x:c>
      <x:c r="T99" s="55" t="n">
        <x:v>1483</x:v>
      </x:c>
      <x:c r="U99" s="55" t="n">
        <x:v>2235</x:v>
      </x:c>
      <x:c r="V99" s="55" t="n">
        <x:v>10486</x:v>
      </x:c>
      <x:c r="W99" s="55" t="n">
        <x:v>7757</x:v>
      </x:c>
      <x:c r="X99" s="55" t="n">
        <x:v>2729</x:v>
      </x:c>
      <x:c r="Y99" s="55" t="n">
        <x:v>2280</x:v>
      </x:c>
      <x:c r="Z99" s="55" t="n">
        <x:v>3474</x:v>
      </x:c>
      <x:c r="AA99" s="55" t="n">
        <x:v>2443</x:v>
      </x:c>
      <x:c r="AB99" s="55" t="n">
        <x:v>717</x:v>
      </x:c>
      <x:c r="AC99" s="55" t="n">
        <x:v>7576</x:v>
      </x:c>
      <x:c r="AD99" s="55" t="n">
        <x:v>2437</x:v>
      </x:c>
      <x:c r="AE99" s="55" t="n">
        <x:v>10629</x:v>
      </x:c>
      <x:c r="AF99" s="55" t="n">
        <x:v>10486</x:v>
      </x:c>
      <x:c r="AG99" s="55" t="n">
        <x:v>143</x:v>
      </x:c>
      <x:c r="AH99" s="55" t="n">
        <x:v>329</x:v>
      </x:c>
      <x:c r="AI99" s="55" t="n">
        <x:v>10157</x:v>
      </x:c>
      <x:c r="AJ99" s="55" t="n">
        <x:v>256</x:v>
      </x:c>
      <x:c r="AK99" s="55" t="n">
        <x:v>1037</x:v>
      </x:c>
      <x:c r="AL99" s="55" t="n">
        <x:v>1653</x:v>
      </x:c>
      <x:c r="AM99" s="55" t="n">
        <x:v>4857</x:v>
      </x:c>
      <x:c r="AN99" s="55" t="n">
        <x:v>2627</x:v>
      </x:c>
      <x:c r="AO99" s="55" t="n">
        <x:v>56</x:v>
      </x:c>
      <x:c r="AP99" s="55" t="n">
        <x:v>2015</x:v>
      </x:c>
      <x:c r="AQ99" s="55" t="n">
        <x:v>934</x:v>
      </x:c>
    </x:row>
    <x:row r="100">
      <x:c r="A100" s="54" t="str">
        <x:v>T2_CONCORDANT_DOMAIN</x:v>
      </x:c>
      <x:c r="B100" s="54" t="n">
        <x:v>94</x:v>
      </x:c>
      <x:c r="C100" s="54" t="str">
        <x:v>NYC-V2-R01</x:v>
      </x:c>
      <x:c r="D100" s="54" t="str">
        <x:v>V2</x:v>
      </x:c>
      <x:c r="E100" s="54" t="str">
        <x:v>ADMITTED</x:v>
      </x:c>
      <x:c r="F100" s="55" t="n">
        <x:v>31809</x:v>
      </x:c>
      <x:c r="G100" s="55" t="n">
        <x:v>8904</x:v>
      </x:c>
      <x:c r="H100" s="55" t="n">
        <x:v>3120</x:v>
      </x:c>
      <x:c r="I100" s="55" t="n">
        <x:v>1105</x:v>
      </x:c>
      <x:c r="J100" s="55" t="n">
        <x:v>190</x:v>
      </x:c>
      <x:c r="K100" s="55" t="n">
        <x:v>30091</x:v>
      </x:c>
      <x:c r="L100" s="55" t="n">
        <x:v>5815</x:v>
      </x:c>
      <x:c r="M100" s="55" t="n">
        <x:v>1975</x:v>
      </x:c>
      <x:c r="N100" s="55" t="n">
        <x:v>2472</x:v>
      </x:c>
      <x:c r="O100" s="55" t="n">
        <x:v>1368</x:v>
      </x:c>
      <x:c r="P100" s="55" t="n">
        <x:v>830</x:v>
      </x:c>
      <x:c r="Q100" s="55" t="n">
        <x:v>2223</x:v>
      </x:c>
      <x:c r="R100" s="55" t="n">
        <x:v>1781</x:v>
      </x:c>
      <x:c r="S100" s="55" t="n">
        <x:v>2495</x:v>
      </x:c>
      <x:c r="T100" s="55" t="n">
        <x:v>999</x:v>
      </x:c>
      <x:c r="U100" s="55" t="n">
        <x:v>2095</x:v>
      </x:c>
      <x:c r="V100" s="55" t="n">
        <x:v>10090</x:v>
      </x:c>
      <x:c r="W100" s="55" t="n">
        <x:v>7496</x:v>
      </x:c>
      <x:c r="X100" s="55" t="n">
        <x:v>2594</x:v>
      </x:c>
      <x:c r="Y100" s="55" t="n">
        <x:v>2272</x:v>
      </x:c>
      <x:c r="Z100" s="55" t="n">
        <x:v>3193</x:v>
      </x:c>
      <x:c r="AA100" s="55" t="n">
        <x:v>3120</x:v>
      </x:c>
      <x:c r="AB100" s="55" t="n">
        <x:v>936</x:v>
      </x:c>
      <x:c r="AC100" s="55" t="n">
        <x:v>7760</x:v>
      </x:c>
      <x:c r="AD100" s="55" t="n">
        <x:v>2544</x:v>
      </x:c>
      <x:c r="AE100" s="55" t="n">
        <x:v>10172</x:v>
      </x:c>
      <x:c r="AF100" s="55" t="n">
        <x:v>10090</x:v>
      </x:c>
      <x:c r="AG100" s="55" t="n">
        <x:v>82</x:v>
      </x:c>
      <x:c r="AH100" s="55" t="n">
        <x:v>339</x:v>
      </x:c>
      <x:c r="AI100" s="55" t="n">
        <x:v>9751</x:v>
      </x:c>
      <x:c r="AJ100" s="55" t="n">
        <x:v>119</x:v>
      </x:c>
      <x:c r="AK100" s="55" t="n">
        <x:v>1193</x:v>
      </x:c>
      <x:c r="AL100" s="55" t="n">
        <x:v>1417</x:v>
      </x:c>
      <x:c r="AM100" s="55" t="n">
        <x:v>4765</x:v>
      </x:c>
      <x:c r="AN100" s="55" t="n">
        <x:v>2596</x:v>
      </x:c>
      <x:c r="AO100" s="55" t="n">
        <x:v>0</x:v>
      </x:c>
      <x:c r="AP100" s="55" t="n">
        <x:v>2102</x:v>
      </x:c>
      <x:c r="AQ100" s="55" t="n">
        <x:v>968</x:v>
      </x:c>
    </x:row>
    <x:row r="101">
      <x:c r="A101" s="54" t="str">
        <x:v>T2_CONCORDANT_DOMAIN</x:v>
      </x:c>
      <x:c r="B101" s="54" t="n">
        <x:v>95</x:v>
      </x:c>
      <x:c r="C101" s="54" t="str">
        <x:v>NYC-V2-R01</x:v>
      </x:c>
      <x:c r="D101" s="54" t="str">
        <x:v>V2</x:v>
      </x:c>
      <x:c r="E101" s="54" t="str">
        <x:v>ADMITTED</x:v>
      </x:c>
      <x:c r="F101" s="55" t="n">
        <x:v>31704</x:v>
      </x:c>
      <x:c r="G101" s="55" t="n">
        <x:v>8294</x:v>
      </x:c>
      <x:c r="H101" s="55" t="n">
        <x:v>3343</x:v>
      </x:c>
      <x:c r="I101" s="55" t="n">
        <x:v>1331</x:v>
      </x:c>
      <x:c r="J101" s="55" t="n">
        <x:v>267</x:v>
      </x:c>
      <x:c r="K101" s="55" t="n">
        <x:v>29222</x:v>
      </x:c>
      <x:c r="L101" s="55" t="n">
        <x:v>4968</x:v>
      </x:c>
      <x:c r="M101" s="55" t="n">
        <x:v>40</x:v>
      </x:c>
      <x:c r="N101" s="55" t="n">
        <x:v>3215</x:v>
      </x:c>
      <x:c r="O101" s="55" t="n">
        <x:v>1713</x:v>
      </x:c>
      <x:c r="P101" s="55" t="n">
        <x:v>827</x:v>
      </x:c>
      <x:c r="Q101" s="55" t="n">
        <x:v>2165</x:v>
      </x:c>
      <x:c r="R101" s="55" t="n">
        <x:v>1814</x:v>
      </x:c>
      <x:c r="S101" s="55" t="n">
        <x:v>2477</x:v>
      </x:c>
      <x:c r="T101" s="55" t="n">
        <x:v>1395</x:v>
      </x:c>
      <x:c r="U101" s="55" t="n">
        <x:v>1790</x:v>
      </x:c>
      <x:c r="V101" s="55" t="n">
        <x:v>10509</x:v>
      </x:c>
      <x:c r="W101" s="55" t="n">
        <x:v>7468</x:v>
      </x:c>
      <x:c r="X101" s="55" t="n">
        <x:v>3041</x:v>
      </x:c>
      <x:c r="Y101" s="55" t="n">
        <x:v>2589</x:v>
      </x:c>
      <x:c r="Z101" s="55" t="n">
        <x:v>3461</x:v>
      </x:c>
      <x:c r="AA101" s="55" t="n">
        <x:v>3210</x:v>
      </x:c>
      <x:c r="AB101" s="55" t="n">
        <x:v>1266</x:v>
      </x:c>
      <x:c r="AC101" s="55" t="n">
        <x:v>8338</x:v>
      </x:c>
      <x:c r="AD101" s="55" t="n">
        <x:v>2540</x:v>
      </x:c>
      <x:c r="AE101" s="55" t="n">
        <x:v>10567</x:v>
      </x:c>
      <x:c r="AF101" s="55" t="n">
        <x:v>10509</x:v>
      </x:c>
      <x:c r="AG101" s="55" t="n">
        <x:v>58</x:v>
      </x:c>
      <x:c r="AH101" s="55" t="n">
        <x:v>320</x:v>
      </x:c>
      <x:c r="AI101" s="55" t="n">
        <x:v>10189</x:v>
      </x:c>
      <x:c r="AJ101" s="55" t="n">
        <x:v>283</x:v>
      </x:c>
      <x:c r="AK101" s="55" t="n">
        <x:v>1268</x:v>
      </x:c>
      <x:c r="AL101" s="55" t="n">
        <x:v>1946</x:v>
      </x:c>
      <x:c r="AM101" s="55" t="n">
        <x:v>4461</x:v>
      </x:c>
      <x:c r="AN101" s="55" t="n">
        <x:v>2509</x:v>
      </x:c>
      <x:c r="AO101" s="55" t="n">
        <x:v>42</x:v>
      </x:c>
      <x:c r="AP101" s="55" t="n">
        <x:v>2295</x:v>
      </x:c>
      <x:c r="AQ101" s="55" t="n">
        <x:v>958</x:v>
      </x:c>
    </x:row>
    <x:row r="102">
      <x:c r="A102" s="54" t="str">
        <x:v>T2_CONCORDANT_DOMAIN</x:v>
      </x:c>
      <x:c r="B102" s="54" t="n">
        <x:v>96</x:v>
      </x:c>
      <x:c r="C102" s="54" t="str">
        <x:v>NYC-V2-R01</x:v>
      </x:c>
      <x:c r="D102" s="54" t="str">
        <x:v>V2</x:v>
      </x:c>
      <x:c r="E102" s="54" t="str">
        <x:v>ADMITTED</x:v>
      </x:c>
      <x:c r="F102" s="55" t="n">
        <x:v>34681</x:v>
      </x:c>
      <x:c r="G102" s="55" t="n">
        <x:v>10775</x:v>
      </x:c>
      <x:c r="H102" s="55" t="n">
        <x:v>3496</x:v>
      </x:c>
      <x:c r="I102" s="55" t="n">
        <x:v>1333</x:v>
      </x:c>
      <x:c r="J102" s="55" t="n">
        <x:v>375</x:v>
      </x:c>
      <x:c r="K102" s="55" t="n">
        <x:v>30314</x:v>
      </x:c>
      <x:c r="L102" s="55" t="n">
        <x:v>6482</x:v>
      </x:c>
      <x:c r="M102" s="55" t="n">
        <x:v>1704</x:v>
      </x:c>
      <x:c r="N102" s="55" t="n">
        <x:v>2853</x:v>
      </x:c>
      <x:c r="O102" s="55" t="n">
        <x:v>1925</x:v>
      </x:c>
      <x:c r="P102" s="55" t="n">
        <x:v>847</x:v>
      </x:c>
      <x:c r="Q102" s="55" t="n">
        <x:v>2427</x:v>
      </x:c>
      <x:c r="R102" s="55" t="n">
        <x:v>2088</x:v>
      </x:c>
      <x:c r="S102" s="55" t="n">
        <x:v>2463</x:v>
      </x:c>
      <x:c r="T102" s="55" t="n">
        <x:v>1225</x:v>
      </x:c>
      <x:c r="U102" s="55" t="n">
        <x:v>2475</x:v>
      </x:c>
      <x:c r="V102" s="55" t="n">
        <x:v>10824</x:v>
      </x:c>
      <x:c r="W102" s="55" t="n">
        <x:v>7723</x:v>
      </x:c>
      <x:c r="X102" s="55" t="n">
        <x:v>3101</x:v>
      </x:c>
      <x:c r="Y102" s="55" t="n">
        <x:v>2638</x:v>
      </x:c>
      <x:c r="Z102" s="55" t="n">
        <x:v>4169</x:v>
      </x:c>
      <x:c r="AA102" s="55" t="n">
        <x:v>3496</x:v>
      </x:c>
      <x:c r="AB102" s="55" t="n">
        <x:v>1364</x:v>
      </x:c>
      <x:c r="AC102" s="55" t="n">
        <x:v>8495</x:v>
      </x:c>
      <x:c r="AD102" s="55" t="n">
        <x:v>3310</x:v>
      </x:c>
      <x:c r="AE102" s="55" t="n">
        <x:v>10958</x:v>
      </x:c>
      <x:c r="AF102" s="55" t="n">
        <x:v>10824</x:v>
      </x:c>
      <x:c r="AG102" s="55" t="n">
        <x:v>134</x:v>
      </x:c>
      <x:c r="AH102" s="55" t="n">
        <x:v>421</x:v>
      </x:c>
      <x:c r="AI102" s="55" t="n">
        <x:v>10403</x:v>
      </x:c>
      <x:c r="AJ102" s="55" t="n">
        <x:v>275</x:v>
      </x:c>
      <x:c r="AK102" s="55" t="n">
        <x:v>753</x:v>
      </x:c>
      <x:c r="AL102" s="55" t="n">
        <x:v>1595</x:v>
      </x:c>
      <x:c r="AM102" s="55" t="n">
        <x:v>4816</x:v>
      </x:c>
      <x:c r="AN102" s="55" t="n">
        <x:v>3320</x:v>
      </x:c>
      <x:c r="AO102" s="55" t="n">
        <x:v>65</x:v>
      </x:c>
      <x:c r="AP102" s="55" t="n">
        <x:v>2493</x:v>
      </x:c>
      <x:c r="AQ102" s="55" t="n">
        <x:v>993</x:v>
      </x:c>
    </x:row>
    <x:row r="103">
      <x:c r="A103" s="54" t="str">
        <x:v>T2_CONCORDANT_DOMAIN</x:v>
      </x:c>
      <x:c r="B103" s="54" t="n">
        <x:v>97</x:v>
      </x:c>
      <x:c r="C103" s="54" t="str">
        <x:v>NYC-V2-R01</x:v>
      </x:c>
      <x:c r="D103" s="54" t="str">
        <x:v>V2</x:v>
      </x:c>
      <x:c r="E103" s="54" t="str">
        <x:v>ADMITTED</x:v>
      </x:c>
      <x:c r="F103" s="55" t="n">
        <x:v>29832</x:v>
      </x:c>
      <x:c r="G103" s="55" t="n">
        <x:v>6783</x:v>
      </x:c>
      <x:c r="H103" s="55" t="n">
        <x:v>3393</x:v>
      </x:c>
      <x:c r="I103" s="55" t="n">
        <x:v>1447</x:v>
      </x:c>
      <x:c r="J103" s="55" t="n">
        <x:v>242</x:v>
      </x:c>
      <x:c r="K103" s="55" t="n">
        <x:v>29832</x:v>
      </x:c>
      <x:c r="L103" s="55" t="n">
        <x:v>6164</x:v>
      </x:c>
      <x:c r="M103" s="55" t="n">
        <x:v>1576</x:v>
      </x:c>
      <x:c r="N103" s="55" t="n">
        <x:v>3051</x:v>
      </x:c>
      <x:c r="O103" s="55" t="n">
        <x:v>1537</x:v>
      </x:c>
      <x:c r="P103" s="55" t="n">
        <x:v>846</x:v>
      </x:c>
      <x:c r="Q103" s="55" t="n">
        <x:v>2200</x:v>
      </x:c>
      <x:c r="R103" s="55" t="n">
        <x:v>1958</x:v>
      </x:c>
      <x:c r="S103" s="55" t="n">
        <x:v>3283</x:v>
      </x:c>
      <x:c r="T103" s="55" t="n">
        <x:v>1548</x:v>
      </x:c>
      <x:c r="U103" s="55" t="n">
        <x:v>1815</x:v>
      </x:c>
      <x:c r="V103" s="55" t="n">
        <x:v>10545</x:v>
      </x:c>
      <x:c r="W103" s="55" t="n">
        <x:v>7449</x:v>
      </x:c>
      <x:c r="X103" s="55" t="n">
        <x:v>3096</x:v>
      </x:c>
      <x:c r="Y103" s="55" t="n">
        <x:v>2592</x:v>
      </x:c>
      <x:c r="Z103" s="55" t="n">
        <x:v>4316</x:v>
      </x:c>
      <x:c r="AA103" s="55" t="n">
        <x:v>3380</x:v>
      </x:c>
      <x:c r="AB103" s="55" t="n">
        <x:v>1367</x:v>
      </x:c>
      <x:c r="AC103" s="55" t="n">
        <x:v>8161</x:v>
      </x:c>
      <x:c r="AD103" s="55" t="n">
        <x:v>3041</x:v>
      </x:c>
      <x:c r="AE103" s="55" t="n">
        <x:v>10687</x:v>
      </x:c>
      <x:c r="AF103" s="55" t="n">
        <x:v>10545</x:v>
      </x:c>
      <x:c r="AG103" s="55" t="n">
        <x:v>142</x:v>
      </x:c>
      <x:c r="AH103" s="55" t="n">
        <x:v>453</x:v>
      </x:c>
      <x:c r="AI103" s="55" t="n">
        <x:v>10092</x:v>
      </x:c>
      <x:c r="AJ103" s="55" t="n">
        <x:v>369</x:v>
      </x:c>
      <x:c r="AK103" s="55" t="n">
        <x:v>866</x:v>
      </x:c>
      <x:c r="AL103" s="55" t="n">
        <x:v>1647</x:v>
      </x:c>
      <x:c r="AM103" s="55" t="n">
        <x:v>4961</x:v>
      </x:c>
      <x:c r="AN103" s="55" t="n">
        <x:v>2623</x:v>
      </x:c>
      <x:c r="AO103" s="55" t="n">
        <x:v>79</x:v>
      </x:c>
      <x:c r="AP103" s="55" t="n">
        <x:v>2504</x:v>
      </x:c>
      <x:c r="AQ103" s="55" t="n">
        <x:v>951</x:v>
      </x:c>
    </x:row>
    <x:row r="104">
      <x:c r="A104" s="54" t="str">
        <x:v>T2_CONCORDANT_DOMAIN</x:v>
      </x:c>
      <x:c r="B104" s="54" t="n">
        <x:v>98</x:v>
      </x:c>
      <x:c r="C104" s="54" t="str">
        <x:v>NYC-V2-R01</x:v>
      </x:c>
      <x:c r="D104" s="54" t="str">
        <x:v>V2</x:v>
      </x:c>
      <x:c r="E104" s="54" t="str">
        <x:v>ADMITTED</x:v>
      </x:c>
      <x:c r="F104" s="55" t="n">
        <x:v>29308</x:v>
      </x:c>
      <x:c r="G104" s="55" t="n">
        <x:v>7109</x:v>
      </x:c>
      <x:c r="H104" s="55" t="n">
        <x:v>2742</x:v>
      </x:c>
      <x:c r="I104" s="55" t="n">
        <x:v>1086</x:v>
      </x:c>
      <x:c r="J104" s="55" t="n">
        <x:v>74</x:v>
      </x:c>
      <x:c r="K104" s="55" t="n">
        <x:v>28043</x:v>
      </x:c>
      <x:c r="L104" s="55" t="n">
        <x:v>3051</x:v>
      </x:c>
      <x:c r="M104" s="55" t="n">
        <x:v>0</x:v>
      </x:c>
      <x:c r="N104" s="55" t="n">
        <x:v>1713</x:v>
      </x:c>
      <x:c r="O104" s="55" t="n">
        <x:v>1338</x:v>
      </x:c>
      <x:c r="P104" s="55" t="n">
        <x:v>483</x:v>
      </x:c>
      <x:c r="Q104" s="55" t="n">
        <x:v>1137</x:v>
      </x:c>
      <x:c r="R104" s="55" t="n">
        <x:v>1437</x:v>
      </x:c>
      <x:c r="S104" s="55" t="n">
        <x:v>1821</x:v>
      </x:c>
      <x:c r="T104" s="55" t="n">
        <x:v>914</x:v>
      </x:c>
      <x:c r="U104" s="55" t="n">
        <x:v>1728</x:v>
      </x:c>
      <x:c r="V104" s="55" t="n">
        <x:v>9714</x:v>
      </x:c>
      <x:c r="W104" s="55" t="n">
        <x:v>6910</x:v>
      </x:c>
      <x:c r="X104" s="55" t="n">
        <x:v>2804</x:v>
      </x:c>
      <x:c r="Y104" s="55" t="n">
        <x:v>2281</x:v>
      </x:c>
      <x:c r="Z104" s="55" t="n">
        <x:v>3279</x:v>
      </x:c>
      <x:c r="AA104" s="55" t="n">
        <x:v>2231</x:v>
      </x:c>
      <x:c r="AB104" s="55" t="n">
        <x:v>637</x:v>
      </x:c>
      <x:c r="AC104" s="55" t="n">
        <x:v>7543</x:v>
      </x:c>
      <x:c r="AD104" s="55" t="n">
        <x:v>2651</x:v>
      </x:c>
      <x:c r="AE104" s="55" t="n">
        <x:v>9757</x:v>
      </x:c>
      <x:c r="AF104" s="55" t="n">
        <x:v>9714</x:v>
      </x:c>
      <x:c r="AG104" s="55" t="n">
        <x:v>43</x:v>
      </x:c>
      <x:c r="AH104" s="55" t="n">
        <x:v>222</x:v>
      </x:c>
      <x:c r="AI104" s="55" t="n">
        <x:v>9492</x:v>
      </x:c>
      <x:c r="AJ104" s="55" t="n">
        <x:v>199</x:v>
      </x:c>
      <x:c r="AK104" s="55" t="n">
        <x:v>820</x:v>
      </x:c>
      <x:c r="AL104" s="55" t="n">
        <x:v>1134</x:v>
      </x:c>
      <x:c r="AM104" s="55" t="n">
        <x:v>4978</x:v>
      </x:c>
      <x:c r="AN104" s="55" t="n">
        <x:v>2583</x:v>
      </x:c>
      <x:c r="AO104" s="55" t="n">
        <x:v>0</x:v>
      </x:c>
      <x:c r="AP104" s="55" t="n">
        <x:v>1932</x:v>
      </x:c>
      <x:c r="AQ104" s="55" t="n">
        <x:v>925</x:v>
      </x:c>
    </x:row>
    <x:row r="105">
      <x:c r="A105" s="54" t="str">
        <x:v>T2_CONCORDANT_DOMAIN</x:v>
      </x:c>
      <x:c r="B105" s="54" t="n">
        <x:v>99</x:v>
      </x:c>
      <x:c r="C105" s="54" t="str">
        <x:v>NYC-V2-R01</x:v>
      </x:c>
      <x:c r="D105" s="54" t="str">
        <x:v>V2</x:v>
      </x:c>
      <x:c r="E105" s="54" t="str">
        <x:v>ADMITTED</x:v>
      </x:c>
      <x:c r="F105" s="55" t="n">
        <x:v>31601</x:v>
      </x:c>
      <x:c r="G105" s="55" t="n">
        <x:v>8467</x:v>
      </x:c>
      <x:c r="H105" s="55" t="n">
        <x:v>3502</x:v>
      </x:c>
      <x:c r="I105" s="55" t="n">
        <x:v>1190</x:v>
      </x:c>
      <x:c r="J105" s="55" t="n">
        <x:v>161</x:v>
      </x:c>
      <x:c r="K105" s="55" t="n">
        <x:v>31234</x:v>
      </x:c>
      <x:c r="L105" s="55" t="n">
        <x:v>4482</x:v>
      </x:c>
      <x:c r="M105" s="55" t="n">
        <x:v>196</x:v>
      </x:c>
      <x:c r="N105" s="55" t="n">
        <x:v>2801</x:v>
      </x:c>
      <x:c r="O105" s="55" t="n">
        <x:v>1485</x:v>
      </x:c>
      <x:c r="P105" s="55" t="n">
        <x:v>570</x:v>
      </x:c>
      <x:c r="Q105" s="55" t="n">
        <x:v>1511</x:v>
      </x:c>
      <x:c r="R105" s="55" t="n">
        <x:v>1699</x:v>
      </x:c>
      <x:c r="S105" s="55" t="n">
        <x:v>2214</x:v>
      </x:c>
      <x:c r="T105" s="55" t="n">
        <x:v>976</x:v>
      </x:c>
      <x:c r="U105" s="55" t="n">
        <x:v>1571</x:v>
      </x:c>
      <x:c r="V105" s="55" t="n">
        <x:v>9594</x:v>
      </x:c>
      <x:c r="W105" s="55" t="n">
        <x:v>6594</x:v>
      </x:c>
      <x:c r="X105" s="55" t="n">
        <x:v>3000</x:v>
      </x:c>
      <x:c r="Y105" s="55" t="n">
        <x:v>2733</x:v>
      </x:c>
      <x:c r="Z105" s="55" t="n">
        <x:v>3762</x:v>
      </x:c>
      <x:c r="AA105" s="55" t="n">
        <x:v>3502</x:v>
      </x:c>
      <x:c r="AB105" s="55" t="n">
        <x:v>1215</x:v>
      </x:c>
      <x:c r="AC105" s="55" t="n">
        <x:v>7473</x:v>
      </x:c>
      <x:c r="AD105" s="55" t="n">
        <x:v>2695</x:v>
      </x:c>
      <x:c r="AE105" s="55" t="n">
        <x:v>9607</x:v>
      </x:c>
      <x:c r="AF105" s="55" t="n">
        <x:v>9594</x:v>
      </x:c>
      <x:c r="AG105" s="55" t="n">
        <x:v>13</x:v>
      </x:c>
      <x:c r="AH105" s="55" t="n">
        <x:v>263</x:v>
      </x:c>
      <x:c r="AI105" s="55" t="n">
        <x:v>9331</x:v>
      </x:c>
      <x:c r="AJ105" s="55" t="n">
        <x:v>250</x:v>
      </x:c>
      <x:c r="AK105" s="55" t="n">
        <x:v>971</x:v>
      </x:c>
      <x:c r="AL105" s="55" t="n">
        <x:v>1296</x:v>
      </x:c>
      <x:c r="AM105" s="55" t="n">
        <x:v>4269</x:v>
      </x:c>
      <x:c r="AN105" s="55" t="n">
        <x:v>2808</x:v>
      </x:c>
      <x:c r="AO105" s="55" t="n">
        <x:v>0</x:v>
      </x:c>
      <x:c r="AP105" s="55" t="n">
        <x:v>1791</x:v>
      </x:c>
      <x:c r="AQ105" s="55" t="n">
        <x:v>987</x:v>
      </x:c>
    </x:row>
    <x:row r="106">
      <x:c r="A106" s="54" t="str">
        <x:v>T2_CONCORDANT_DOMAIN</x:v>
      </x:c>
      <x:c r="B106" s="54" t="n">
        <x:v>100</x:v>
      </x:c>
      <x:c r="C106" s="54" t="str">
        <x:v>NYC-V2-R01</x:v>
      </x:c>
      <x:c r="D106" s="54" t="str">
        <x:v>V2</x:v>
      </x:c>
      <x:c r="E106" s="54" t="str">
        <x:v>ADMITTED</x:v>
      </x:c>
      <x:c r="F106" s="55" t="n">
        <x:v>31640</x:v>
      </x:c>
      <x:c r="G106" s="55" t="n">
        <x:v>8431</x:v>
      </x:c>
      <x:c r="H106" s="55" t="n">
        <x:v>3353</x:v>
      </x:c>
      <x:c r="I106" s="55" t="n">
        <x:v>1529</x:v>
      </x:c>
      <x:c r="J106" s="55" t="n">
        <x:v>242</x:v>
      </x:c>
      <x:c r="K106" s="55" t="n">
        <x:v>30039</x:v>
      </x:c>
      <x:c r="L106" s="55" t="n">
        <x:v>7297</x:v>
      </x:c>
      <x:c r="M106" s="55" t="n">
        <x:v>2287</x:v>
      </x:c>
      <x:c r="N106" s="55" t="n">
        <x:v>2880</x:v>
      </x:c>
      <x:c r="O106" s="55" t="n">
        <x:v>2130</x:v>
      </x:c>
      <x:c r="P106" s="55" t="n">
        <x:v>1038</x:v>
      </x:c>
      <x:c r="Q106" s="55" t="n">
        <x:v>3470</x:v>
      </x:c>
      <x:c r="R106" s="55" t="n">
        <x:v>2547</x:v>
      </x:c>
      <x:c r="S106" s="55" t="n">
        <x:v>3330</x:v>
      </x:c>
      <x:c r="T106" s="55" t="n">
        <x:v>1581</x:v>
      </x:c>
      <x:c r="U106" s="55" t="n">
        <x:v>2407</x:v>
      </x:c>
      <x:c r="V106" s="55" t="n">
        <x:v>10846</x:v>
      </x:c>
      <x:c r="W106" s="55" t="n">
        <x:v>7708</x:v>
      </x:c>
      <x:c r="X106" s="55" t="n">
        <x:v>3138</x:v>
      </x:c>
      <x:c r="Y106" s="55" t="n">
        <x:v>2722</x:v>
      </x:c>
      <x:c r="Z106" s="55" t="n">
        <x:v>3968</x:v>
      </x:c>
      <x:c r="AA106" s="55" t="n">
        <x:v>3127</x:v>
      </x:c>
      <x:c r="AB106" s="55" t="n">
        <x:v>935</x:v>
      </x:c>
      <x:c r="AC106" s="55" t="n">
        <x:v>8299</x:v>
      </x:c>
      <x:c r="AD106" s="55" t="n">
        <x:v>3097</x:v>
      </x:c>
      <x:c r="AE106" s="55" t="n">
        <x:v>11012</x:v>
      </x:c>
      <x:c r="AF106" s="55" t="n">
        <x:v>10846</x:v>
      </x:c>
      <x:c r="AG106" s="55" t="n">
        <x:v>166</x:v>
      </x:c>
      <x:c r="AH106" s="55" t="n">
        <x:v>613</x:v>
      </x:c>
      <x:c r="AI106" s="55" t="n">
        <x:v>10233</x:v>
      </x:c>
      <x:c r="AJ106" s="55" t="n">
        <x:v>683</x:v>
      </x:c>
      <x:c r="AK106" s="55" t="n">
        <x:v>1399</x:v>
      </x:c>
      <x:c r="AL106" s="55" t="n">
        <x:v>1516</x:v>
      </x:c>
      <x:c r="AM106" s="55" t="n">
        <x:v>4476</x:v>
      </x:c>
      <x:c r="AN106" s="55" t="n">
        <x:v>2705</x:v>
      </x:c>
      <x:c r="AO106" s="55" t="n">
        <x:v>67</x:v>
      </x:c>
      <x:c r="AP106" s="55" t="n">
        <x:v>2621</x:v>
      </x:c>
      <x:c r="AQ106" s="55" t="n">
        <x:v>958</x:v>
      </x:c>
    </x:row>
    <x:row r="107">
      <x:c r="A107" s="54" t="str">
        <x:v>T2_CONCORDANT_DOMAIN</x:v>
      </x:c>
      <x:c r="B107" s="54" t="n">
        <x:v>101</x:v>
      </x:c>
      <x:c r="C107" s="54" t="str">
        <x:v>NYC-V2-R01</x:v>
      </x:c>
      <x:c r="D107" s="54" t="str">
        <x:v>V2</x:v>
      </x:c>
      <x:c r="E107" s="54" t="str">
        <x:v>ADMITTED</x:v>
      </x:c>
      <x:c r="F107" s="55" t="n">
        <x:v>31997</x:v>
      </x:c>
      <x:c r="G107" s="55" t="n">
        <x:v>9130</x:v>
      </x:c>
      <x:c r="H107" s="55" t="n">
        <x:v>3472</x:v>
      </x:c>
      <x:c r="I107" s="55" t="n">
        <x:v>1551</x:v>
      </x:c>
      <x:c r="J107" s="55" t="n">
        <x:v>314</x:v>
      </x:c>
      <x:c r="K107" s="55" t="n">
        <x:v>31856</x:v>
      </x:c>
      <x:c r="L107" s="55" t="n">
        <x:v>8095</x:v>
      </x:c>
      <x:c r="M107" s="55" t="n">
        <x:v>2523</x:v>
      </x:c>
      <x:c r="N107" s="55" t="n">
        <x:v>3097</x:v>
      </x:c>
      <x:c r="O107" s="55" t="n">
        <x:v>2475</x:v>
      </x:c>
      <x:c r="P107" s="55" t="n">
        <x:v>1207</x:v>
      </x:c>
      <x:c r="Q107" s="55" t="n">
        <x:v>3088</x:v>
      </x:c>
      <x:c r="R107" s="55" t="n">
        <x:v>2257</x:v>
      </x:c>
      <x:c r="S107" s="55" t="n">
        <x:v>3051</x:v>
      </x:c>
      <x:c r="T107" s="55" t="n">
        <x:v>1433</x:v>
      </x:c>
      <x:c r="U107" s="55" t="n">
        <x:v>2668</x:v>
      </x:c>
      <x:c r="V107" s="55" t="n">
        <x:v>11237</x:v>
      </x:c>
      <x:c r="W107" s="55" t="n">
        <x:v>7692</x:v>
      </x:c>
      <x:c r="X107" s="55" t="n">
        <x:v>3545</x:v>
      </x:c>
      <x:c r="Y107" s="55" t="n">
        <x:v>2975</x:v>
      </x:c>
      <x:c r="Z107" s="55" t="n">
        <x:v>3794</x:v>
      </x:c>
      <x:c r="AA107" s="55" t="n">
        <x:v>3366</x:v>
      </x:c>
      <x:c r="AB107" s="55" t="n">
        <x:v>1538</x:v>
      </x:c>
      <x:c r="AC107" s="55" t="n">
        <x:v>8392</x:v>
      </x:c>
      <x:c r="AD107" s="55" t="n">
        <x:v>2949</x:v>
      </x:c>
      <x:c r="AE107" s="55" t="n">
        <x:v>11306</x:v>
      </x:c>
      <x:c r="AF107" s="55" t="n">
        <x:v>11237</x:v>
      </x:c>
      <x:c r="AG107" s="55" t="n">
        <x:v>69</x:v>
      </x:c>
      <x:c r="AH107" s="55" t="n">
        <x:v>541</x:v>
      </x:c>
      <x:c r="AI107" s="55" t="n">
        <x:v>10696</x:v>
      </x:c>
      <x:c r="AJ107" s="55" t="n">
        <x:v>353</x:v>
      </x:c>
      <x:c r="AK107" s="55" t="n">
        <x:v>1245</x:v>
      </x:c>
      <x:c r="AL107" s="55" t="n">
        <x:v>1638</x:v>
      </x:c>
      <x:c r="AM107" s="55" t="n">
        <x:v>5097</x:v>
      </x:c>
      <x:c r="AN107" s="55" t="n">
        <x:v>2861</x:v>
      </x:c>
      <x:c r="AO107" s="55" t="n">
        <x:v>43</x:v>
      </x:c>
      <x:c r="AP107" s="55" t="n">
        <x:v>2518</x:v>
      </x:c>
      <x:c r="AQ107" s="55" t="n">
        <x:v>947</x:v>
      </x:c>
    </x:row>
    <x:row r="108">
      <x:c r="A108" s="54" t="str">
        <x:v>T2_CONCORDANT_DOMAIN</x:v>
      </x:c>
      <x:c r="B108" s="54" t="n">
        <x:v>102</x:v>
      </x:c>
      <x:c r="C108" s="54" t="str">
        <x:v>NYC-V2-R01</x:v>
      </x:c>
      <x:c r="D108" s="54" t="str">
        <x:v>V2</x:v>
      </x:c>
      <x:c r="E108" s="54" t="str">
        <x:v>ADMITTED</x:v>
      </x:c>
      <x:c r="F108" s="55" t="n">
        <x:v>32394</x:v>
      </x:c>
      <x:c r="G108" s="55" t="n">
        <x:v>7888</x:v>
      </x:c>
      <x:c r="H108" s="55" t="n">
        <x:v>3463</x:v>
      </x:c>
      <x:c r="I108" s="55" t="n">
        <x:v>1261</x:v>
      </x:c>
      <x:c r="J108" s="55" t="n">
        <x:v>276</x:v>
      </x:c>
      <x:c r="K108" s="55" t="n">
        <x:v>32394</x:v>
      </x:c>
      <x:c r="L108" s="55" t="n">
        <x:v>5973</x:v>
      </x:c>
      <x:c r="M108" s="55" t="n">
        <x:v>1269</x:v>
      </x:c>
      <x:c r="N108" s="55" t="n">
        <x:v>2944</x:v>
      </x:c>
      <x:c r="O108" s="55" t="n">
        <x:v>1760</x:v>
      </x:c>
      <x:c r="P108" s="55" t="n">
        <x:v>604</x:v>
      </x:c>
      <x:c r="Q108" s="55" t="n">
        <x:v>3184</x:v>
      </x:c>
      <x:c r="R108" s="55" t="n">
        <x:v>2119</x:v>
      </x:c>
      <x:c r="S108" s="55" t="n">
        <x:v>3181</x:v>
      </x:c>
      <x:c r="T108" s="55" t="n">
        <x:v>1135</x:v>
      </x:c>
      <x:c r="U108" s="55" t="n">
        <x:v>1803</x:v>
      </x:c>
      <x:c r="V108" s="55" t="n">
        <x:v>10519</x:v>
      </x:c>
      <x:c r="W108" s="55" t="n">
        <x:v>7078</x:v>
      </x:c>
      <x:c r="X108" s="55" t="n">
        <x:v>3441</x:v>
      </x:c>
      <x:c r="Y108" s="55" t="n">
        <x:v>2868</x:v>
      </x:c>
      <x:c r="Z108" s="55" t="n">
        <x:v>4351</x:v>
      </x:c>
      <x:c r="AA108" s="55" t="n">
        <x:v>3463</x:v>
      </x:c>
      <x:c r="AB108" s="55" t="n">
        <x:v>1332</x:v>
      </x:c>
      <x:c r="AC108" s="55" t="n">
        <x:v>7916</x:v>
      </x:c>
      <x:c r="AD108" s="55" t="n">
        <x:v>3480</x:v>
      </x:c>
      <x:c r="AE108" s="55" t="n">
        <x:v>10649</x:v>
      </x:c>
      <x:c r="AF108" s="55" t="n">
        <x:v>10519</x:v>
      </x:c>
      <x:c r="AG108" s="55" t="n">
        <x:v>130</x:v>
      </x:c>
      <x:c r="AH108" s="55" t="n">
        <x:v>419</x:v>
      </x:c>
      <x:c r="AI108" s="55" t="n">
        <x:v>10100</x:v>
      </x:c>
      <x:c r="AJ108" s="55" t="n">
        <x:v>430</x:v>
      </x:c>
      <x:c r="AK108" s="55" t="n">
        <x:v>1140</x:v>
      </x:c>
      <x:c r="AL108" s="55" t="n">
        <x:v>1216</x:v>
      </x:c>
      <x:c r="AM108" s="55" t="n">
        <x:v>5200</x:v>
      </x:c>
      <x:c r="AN108" s="55" t="n">
        <x:v>2506</x:v>
      </x:c>
      <x:c r="AO108" s="55" t="n">
        <x:v>27</x:v>
      </x:c>
      <x:c r="AP108" s="55" t="n">
        <x:v>2735</x:v>
      </x:c>
      <x:c r="AQ108" s="55" t="n">
        <x:v>957</x:v>
      </x:c>
    </x:row>
    <x:row r="109">
      <x:c r="A109" s="54" t="str">
        <x:v>T2_CONCORDANT_DOMAIN</x:v>
      </x:c>
      <x:c r="B109" s="54" t="n">
        <x:v>103</x:v>
      </x:c>
      <x:c r="C109" s="54" t="str">
        <x:v>NYC-V2-R01</x:v>
      </x:c>
      <x:c r="D109" s="54" t="str">
        <x:v>V2</x:v>
      </x:c>
      <x:c r="E109" s="54" t="str">
        <x:v>ADMITTED</x:v>
      </x:c>
      <x:c r="F109" s="55" t="n">
        <x:v>32146</x:v>
      </x:c>
      <x:c r="G109" s="55" t="n">
        <x:v>8304</x:v>
      </x:c>
      <x:c r="H109" s="55" t="n">
        <x:v>3860</x:v>
      </x:c>
      <x:c r="I109" s="55" t="n">
        <x:v>1467</x:v>
      </x:c>
      <x:c r="J109" s="55" t="n">
        <x:v>287</x:v>
      </x:c>
      <x:c r="K109" s="55" t="n">
        <x:v>31865</x:v>
      </x:c>
      <x:c r="L109" s="55" t="n">
        <x:v>6848</x:v>
      </x:c>
      <x:c r="M109" s="55" t="n">
        <x:v>1413</x:v>
      </x:c>
      <x:c r="N109" s="55" t="n">
        <x:v>3301</x:v>
      </x:c>
      <x:c r="O109" s="55" t="n">
        <x:v>2134</x:v>
      </x:c>
      <x:c r="P109" s="55" t="n">
        <x:v>997</x:v>
      </x:c>
      <x:c r="Q109" s="55" t="n">
        <x:v>3342</x:v>
      </x:c>
      <x:c r="R109" s="55" t="n">
        <x:v>2312</x:v>
      </x:c>
      <x:c r="S109" s="55" t="n">
        <x:v>3150</x:v>
      </x:c>
      <x:c r="T109" s="55" t="n">
        <x:v>1728</x:v>
      </x:c>
      <x:c r="U109" s="55" t="n">
        <x:v>2147</x:v>
      </x:c>
      <x:c r="V109" s="55" t="n">
        <x:v>11111</x:v>
      </x:c>
      <x:c r="W109" s="55" t="n">
        <x:v>7688</x:v>
      </x:c>
      <x:c r="X109" s="55" t="n">
        <x:v>3423</x:v>
      </x:c>
      <x:c r="Y109" s="55" t="n">
        <x:v>3120</x:v>
      </x:c>
      <x:c r="Z109" s="55" t="n">
        <x:v>3995</x:v>
      </x:c>
      <x:c r="AA109" s="55" t="n">
        <x:v>3860</x:v>
      </x:c>
      <x:c r="AB109" s="55" t="n">
        <x:v>1324</x:v>
      </x:c>
      <x:c r="AC109" s="55" t="n">
        <x:v>8504</x:v>
      </x:c>
      <x:c r="AD109" s="55" t="n">
        <x:v>3151</x:v>
      </x:c>
      <x:c r="AE109" s="55" t="n">
        <x:v>11198</x:v>
      </x:c>
      <x:c r="AF109" s="55" t="n">
        <x:v>11111</x:v>
      </x:c>
      <x:c r="AG109" s="55" t="n">
        <x:v>87</x:v>
      </x:c>
      <x:c r="AH109" s="55" t="n">
        <x:v>519</x:v>
      </x:c>
      <x:c r="AI109" s="55" t="n">
        <x:v>10592</x:v>
      </x:c>
      <x:c r="AJ109" s="55" t="n">
        <x:v>423</x:v>
      </x:c>
      <x:c r="AK109" s="55" t="n">
        <x:v>875</x:v>
      </x:c>
      <x:c r="AL109" s="55" t="n">
        <x:v>1565</x:v>
      </x:c>
      <x:c r="AM109" s="55" t="n">
        <x:v>5144</x:v>
      </x:c>
      <x:c r="AN109" s="55" t="n">
        <x:v>3063</x:v>
      </x:c>
      <x:c r="AO109" s="55" t="n">
        <x:v>41</x:v>
      </x:c>
      <x:c r="AP109" s="55" t="n">
        <x:v>2520</x:v>
      </x:c>
      <x:c r="AQ109" s="55" t="n">
        <x:v>1023</x:v>
      </x:c>
    </x:row>
    <x:row r="110">
      <x:c r="A110" s="54" t="str">
        <x:v>T2_CONCORDANT_DOMAIN</x:v>
      </x:c>
      <x:c r="B110" s="54" t="n">
        <x:v>104</x:v>
      </x:c>
      <x:c r="C110" s="54" t="str">
        <x:v>NYC-V2-R01</x:v>
      </x:c>
      <x:c r="D110" s="54" t="str">
        <x:v>V2</x:v>
      </x:c>
      <x:c r="E110" s="54" t="str">
        <x:v>ADMITTED</x:v>
      </x:c>
      <x:c r="F110" s="55" t="n">
        <x:v>30940</x:v>
      </x:c>
      <x:c r="G110" s="55" t="n">
        <x:v>7455</x:v>
      </x:c>
      <x:c r="H110" s="55" t="n">
        <x:v>3341</x:v>
      </x:c>
      <x:c r="I110" s="55" t="n">
        <x:v>1456</x:v>
      </x:c>
      <x:c r="J110" s="55" t="n">
        <x:v>153</x:v>
      </x:c>
      <x:c r="K110" s="55" t="n">
        <x:v>30940</x:v>
      </x:c>
      <x:c r="L110" s="55" t="n">
        <x:v>4573</x:v>
      </x:c>
      <x:c r="M110" s="55" t="n">
        <x:v>759</x:v>
      </x:c>
      <x:c r="N110" s="55" t="n">
        <x:v>2409</x:v>
      </x:c>
      <x:c r="O110" s="55" t="n">
        <x:v>1405</x:v>
      </x:c>
      <x:c r="P110" s="55" t="n">
        <x:v>680</x:v>
      </x:c>
      <x:c r="Q110" s="55" t="n">
        <x:v>2122</x:v>
      </x:c>
      <x:c r="R110" s="55" t="n">
        <x:v>1235</x:v>
      </x:c>
      <x:c r="S110" s="55" t="n">
        <x:v>2485</x:v>
      </x:c>
      <x:c r="T110" s="55" t="n">
        <x:v>1237</x:v>
      </x:c>
      <x:c r="U110" s="55" t="n">
        <x:v>2591</x:v>
      </x:c>
      <x:c r="V110" s="55" t="n">
        <x:v>10359</x:v>
      </x:c>
      <x:c r="W110" s="55" t="n">
        <x:v>7442</x:v>
      </x:c>
      <x:c r="X110" s="55" t="n">
        <x:v>2917</x:v>
      </x:c>
      <x:c r="Y110" s="55" t="n">
        <x:v>2572</x:v>
      </x:c>
      <x:c r="Z110" s="55" t="n">
        <x:v>3600</x:v>
      </x:c>
      <x:c r="AA110" s="55" t="n">
        <x:v>2776</x:v>
      </x:c>
      <x:c r="AB110" s="55" t="n">
        <x:v>1045</x:v>
      </x:c>
      <x:c r="AC110" s="55" t="n">
        <x:v>7426</x:v>
      </x:c>
      <x:c r="AD110" s="55" t="n">
        <x:v>2543</x:v>
      </x:c>
      <x:c r="AE110" s="55" t="n">
        <x:v>10437</x:v>
      </x:c>
      <x:c r="AF110" s="55" t="n">
        <x:v>10359</x:v>
      </x:c>
      <x:c r="AG110" s="55" t="n">
        <x:v>78</x:v>
      </x:c>
      <x:c r="AH110" s="55" t="n">
        <x:v>405</x:v>
      </x:c>
      <x:c r="AI110" s="55" t="n">
        <x:v>9954</x:v>
      </x:c>
      <x:c r="AJ110" s="55" t="n">
        <x:v>181</x:v>
      </x:c>
      <x:c r="AK110" s="55" t="n">
        <x:v>1020</x:v>
      </x:c>
      <x:c r="AL110" s="55" t="n">
        <x:v>1169</x:v>
      </x:c>
      <x:c r="AM110" s="55" t="n">
        <x:v>5457</x:v>
      </x:c>
      <x:c r="AN110" s="55" t="n">
        <x:v>2498</x:v>
      </x:c>
      <x:c r="AO110" s="55" t="n">
        <x:v>34</x:v>
      </x:c>
      <x:c r="AP110" s="55" t="n">
        <x:v>2442</x:v>
      </x:c>
      <x:c r="AQ110" s="55" t="n">
        <x:v>963</x:v>
      </x:c>
    </x:row>
    <x:row r="111">
      <x:c r="A111" s="54" t="str">
        <x:v>T2_CONCORDANT_DOMAIN</x:v>
      </x:c>
      <x:c r="B111" s="54" t="n">
        <x:v>105</x:v>
      </x:c>
      <x:c r="C111" s="54" t="str">
        <x:v>NYC-V2-R01</x:v>
      </x:c>
      <x:c r="D111" s="54" t="str">
        <x:v>V2</x:v>
      </x:c>
      <x:c r="E111" s="54" t="str">
        <x:v>ADMITTED</x:v>
      </x:c>
      <x:c r="F111" s="55" t="n">
        <x:v>29346</x:v>
      </x:c>
      <x:c r="G111" s="55" t="n">
        <x:v>7597</x:v>
      </x:c>
      <x:c r="H111" s="55" t="n">
        <x:v>3122</x:v>
      </x:c>
      <x:c r="I111" s="55" t="n">
        <x:v>1397</x:v>
      </x:c>
      <x:c r="J111" s="55" t="n">
        <x:v>133</x:v>
      </x:c>
      <x:c r="K111" s="55" t="n">
        <x:v>28881</x:v>
      </x:c>
      <x:c r="L111" s="55" t="n">
        <x:v>4257</x:v>
      </x:c>
      <x:c r="M111" s="55" t="n">
        <x:v>751</x:v>
      </x:c>
      <x:c r="N111" s="55" t="n">
        <x:v>2177</x:v>
      </x:c>
      <x:c r="O111" s="55" t="n">
        <x:v>1329</x:v>
      </x:c>
      <x:c r="P111" s="55" t="n">
        <x:v>138</x:v>
      </x:c>
      <x:c r="Q111" s="55" t="n">
        <x:v>1748</x:v>
      </x:c>
      <x:c r="R111" s="55" t="n">
        <x:v>1669</x:v>
      </x:c>
      <x:c r="S111" s="55" t="n">
        <x:v>3088</x:v>
      </x:c>
      <x:c r="T111" s="55" t="n">
        <x:v>1294</x:v>
      </x:c>
      <x:c r="U111" s="55" t="n">
        <x:v>2062</x:v>
      </x:c>
      <x:c r="V111" s="55" t="n">
        <x:v>10883</x:v>
      </x:c>
      <x:c r="W111" s="55" t="n">
        <x:v>7770</x:v>
      </x:c>
      <x:c r="X111" s="55" t="n">
        <x:v>3113</x:v>
      </x:c>
      <x:c r="Y111" s="55" t="n">
        <x:v>2896</x:v>
      </x:c>
      <x:c r="Z111" s="55" t="n">
        <x:v>3635</x:v>
      </x:c>
      <x:c r="AA111" s="55" t="n">
        <x:v>3072</x:v>
      </x:c>
      <x:c r="AB111" s="55" t="n">
        <x:v>1043</x:v>
      </x:c>
      <x:c r="AC111" s="55" t="n">
        <x:v>7591</x:v>
      </x:c>
      <x:c r="AD111" s="55" t="n">
        <x:v>3032</x:v>
      </x:c>
      <x:c r="AE111" s="55" t="n">
        <x:v>10972</x:v>
      </x:c>
      <x:c r="AF111" s="55" t="n">
        <x:v>10883</x:v>
      </x:c>
      <x:c r="AG111" s="55" t="n">
        <x:v>89</x:v>
      </x:c>
      <x:c r="AH111" s="55" t="n">
        <x:v>510</x:v>
      </x:c>
      <x:c r="AI111" s="55" t="n">
        <x:v>10373</x:v>
      </x:c>
      <x:c r="AJ111" s="55" t="n">
        <x:v>388</x:v>
      </x:c>
      <x:c r="AK111" s="55" t="n">
        <x:v>1057</x:v>
      </x:c>
      <x:c r="AL111" s="55" t="n">
        <x:v>1927</x:v>
      </x:c>
      <x:c r="AM111" s="55" t="n">
        <x:v>4599</x:v>
      </x:c>
      <x:c r="AN111" s="55" t="n">
        <x:v>2908</x:v>
      </x:c>
      <x:c r="AO111" s="55" t="n">
        <x:v>4</x:v>
      </x:c>
      <x:c r="AP111" s="55" t="n">
        <x:v>2414</x:v>
      </x:c>
      <x:c r="AQ111" s="55" t="n">
        <x:v>953</x:v>
      </x:c>
    </x:row>
    <x:row r="112">
      <x:c r="A112" s="54" t="str">
        <x:v>T2_CONCORDANT_DOMAIN</x:v>
      </x:c>
      <x:c r="B112" s="54" t="n">
        <x:v>106</x:v>
      </x:c>
      <x:c r="C112" s="54" t="str">
        <x:v>NYC-V2-R01</x:v>
      </x:c>
      <x:c r="D112" s="54" t="str">
        <x:v>V2</x:v>
      </x:c>
      <x:c r="E112" s="54" t="str">
        <x:v>ADMITTED</x:v>
      </x:c>
      <x:c r="F112" s="55" t="n">
        <x:v>31300</x:v>
      </x:c>
      <x:c r="G112" s="55" t="n">
        <x:v>7089</x:v>
      </x:c>
      <x:c r="H112" s="55" t="n">
        <x:v>3209</x:v>
      </x:c>
      <x:c r="I112" s="55" t="n">
        <x:v>1253</x:v>
      </x:c>
      <x:c r="J112" s="55" t="n">
        <x:v>138</x:v>
      </x:c>
      <x:c r="K112" s="55" t="n">
        <x:v>31300</x:v>
      </x:c>
      <x:c r="L112" s="55" t="n">
        <x:v>6719</x:v>
      </x:c>
      <x:c r="M112" s="55" t="n">
        <x:v>1486</x:v>
      </x:c>
      <x:c r="N112" s="55" t="n">
        <x:v>2996</x:v>
      </x:c>
      <x:c r="O112" s="55" t="n">
        <x:v>2237</x:v>
      </x:c>
      <x:c r="P112" s="55" t="n">
        <x:v>1099</x:v>
      </x:c>
      <x:c r="Q112" s="55" t="n">
        <x:v>2675</x:v>
      </x:c>
      <x:c r="R112" s="55" t="n">
        <x:v>2169</x:v>
      </x:c>
      <x:c r="S112" s="55" t="n">
        <x:v>2857</x:v>
      </x:c>
      <x:c r="T112" s="55" t="n">
        <x:v>1399</x:v>
      </x:c>
      <x:c r="U112" s="55" t="n">
        <x:v>1937</x:v>
      </x:c>
      <x:c r="V112" s="55" t="n">
        <x:v>11038</x:v>
      </x:c>
      <x:c r="W112" s="55" t="n">
        <x:v>7557</x:v>
      </x:c>
      <x:c r="X112" s="55" t="n">
        <x:v>3481</x:v>
      </x:c>
      <x:c r="Y112" s="55" t="n">
        <x:v>2986</x:v>
      </x:c>
      <x:c r="Z112" s="55" t="n">
        <x:v>4011</x:v>
      </x:c>
      <x:c r="AA112" s="55" t="n">
        <x:v>3209</x:v>
      </x:c>
      <x:c r="AB112" s="55" t="n">
        <x:v>1109</x:v>
      </x:c>
      <x:c r="AC112" s="55" t="n">
        <x:v>8052</x:v>
      </x:c>
      <x:c r="AD112" s="55" t="n">
        <x:v>2663</x:v>
      </x:c>
      <x:c r="AE112" s="55" t="n">
        <x:v>11134</x:v>
      </x:c>
      <x:c r="AF112" s="55" t="n">
        <x:v>11038</x:v>
      </x:c>
      <x:c r="AG112" s="55" t="n">
        <x:v>96</x:v>
      </x:c>
      <x:c r="AH112" s="55" t="n">
        <x:v>546</x:v>
      </x:c>
      <x:c r="AI112" s="55" t="n">
        <x:v>10492</x:v>
      </x:c>
      <x:c r="AJ112" s="55" t="n">
        <x:v>229</x:v>
      </x:c>
      <x:c r="AK112" s="55" t="n">
        <x:v>1269</x:v>
      </x:c>
      <x:c r="AL112" s="55" t="n">
        <x:v>1483</x:v>
      </x:c>
      <x:c r="AM112" s="55" t="n">
        <x:v>5013</x:v>
      </x:c>
      <x:c r="AN112" s="55" t="n">
        <x:v>3020</x:v>
      </x:c>
      <x:c r="AO112" s="55" t="n">
        <x:v>24</x:v>
      </x:c>
      <x:c r="AP112" s="55" t="n">
        <x:v>2426</x:v>
      </x:c>
      <x:c r="AQ112" s="55" t="n">
        <x:v>964</x:v>
      </x:c>
    </x:row>
    <x:row r="113">
      <x:c r="A113" s="54" t="str">
        <x:v>T2_CONCORDANT_DOMAIN</x:v>
      </x:c>
      <x:c r="B113" s="54" t="n">
        <x:v>107</x:v>
      </x:c>
      <x:c r="C113" s="54" t="str">
        <x:v>NYC-V2-R01</x:v>
      </x:c>
      <x:c r="D113" s="54" t="str">
        <x:v>V2</x:v>
      </x:c>
      <x:c r="E113" s="54" t="str">
        <x:v>ADMITTED</x:v>
      </x:c>
      <x:c r="F113" s="55" t="n">
        <x:v>32761</x:v>
      </x:c>
      <x:c r="G113" s="55" t="n">
        <x:v>8293</x:v>
      </x:c>
      <x:c r="H113" s="55" t="n">
        <x:v>3886</x:v>
      </x:c>
      <x:c r="I113" s="55" t="n">
        <x:v>1830</x:v>
      </x:c>
      <x:c r="J113" s="55" t="n">
        <x:v>481</x:v>
      </x:c>
      <x:c r="K113" s="55" t="n">
        <x:v>32761</x:v>
      </x:c>
      <x:c r="L113" s="55" t="n">
        <x:v>6734</x:v>
      </x:c>
      <x:c r="M113" s="55" t="n">
        <x:v>1570</x:v>
      </x:c>
      <x:c r="N113" s="55" t="n">
        <x:v>3179</x:v>
      </x:c>
      <x:c r="O113" s="55" t="n">
        <x:v>1985</x:v>
      </x:c>
      <x:c r="P113" s="55" t="n">
        <x:v>864</x:v>
      </x:c>
      <x:c r="Q113" s="55" t="n">
        <x:v>2954</x:v>
      </x:c>
      <x:c r="R113" s="55" t="n">
        <x:v>2055</x:v>
      </x:c>
      <x:c r="S113" s="55" t="n">
        <x:v>3613</x:v>
      </x:c>
      <x:c r="T113" s="55" t="n">
        <x:v>1279</x:v>
      </x:c>
      <x:c r="U113" s="55" t="n">
        <x:v>2638</x:v>
      </x:c>
      <x:c r="V113" s="55" t="n">
        <x:v>10770</x:v>
      </x:c>
      <x:c r="W113" s="55" t="n">
        <x:v>7103</x:v>
      </x:c>
      <x:c r="X113" s="55" t="n">
        <x:v>3667</x:v>
      </x:c>
      <x:c r="Y113" s="55" t="n">
        <x:v>3329</x:v>
      </x:c>
      <x:c r="Z113" s="55" t="n">
        <x:v>4270</x:v>
      </x:c>
      <x:c r="AA113" s="55" t="n">
        <x:v>3886</x:v>
      </x:c>
      <x:c r="AB113" s="55" t="n">
        <x:v>1288</x:v>
      </x:c>
      <x:c r="AC113" s="55" t="n">
        <x:v>9063</x:v>
      </x:c>
      <x:c r="AD113" s="55" t="n">
        <x:v>3079</x:v>
      </x:c>
      <x:c r="AE113" s="55" t="n">
        <x:v>10874</x:v>
      </x:c>
      <x:c r="AF113" s="55" t="n">
        <x:v>10770</x:v>
      </x:c>
      <x:c r="AG113" s="55" t="n">
        <x:v>104</x:v>
      </x:c>
      <x:c r="AH113" s="55" t="n">
        <x:v>520</x:v>
      </x:c>
      <x:c r="AI113" s="55" t="n">
        <x:v>10250</x:v>
      </x:c>
      <x:c r="AJ113" s="55" t="n">
        <x:v>583</x:v>
      </x:c>
      <x:c r="AK113" s="55" t="n">
        <x:v>1344</x:v>
      </x:c>
      <x:c r="AL113" s="55" t="n">
        <x:v>1277</x:v>
      </x:c>
      <x:c r="AM113" s="55" t="n">
        <x:v>4835</x:v>
      </x:c>
      <x:c r="AN113" s="55" t="n">
        <x:v>2627</x:v>
      </x:c>
      <x:c r="AO113" s="55" t="n">
        <x:v>104</x:v>
      </x:c>
      <x:c r="AP113" s="55" t="n">
        <x:v>2639</x:v>
      </x:c>
      <x:c r="AQ113" s="55" t="n">
        <x:v>980</x:v>
      </x:c>
    </x:row>
    <x:row r="114">
      <x:c r="A114" s="54" t="str">
        <x:v>T2_CONCORDANT_DOMAIN</x:v>
      </x:c>
      <x:c r="B114" s="54" t="n">
        <x:v>108</x:v>
      </x:c>
      <x:c r="C114" s="54" t="str">
        <x:v>NYC-V2-R01</x:v>
      </x:c>
      <x:c r="D114" s="54" t="str">
        <x:v>V2</x:v>
      </x:c>
      <x:c r="E114" s="54" t="str">
        <x:v>ADMITTED</x:v>
      </x:c>
      <x:c r="F114" s="55" t="n">
        <x:v>32690</x:v>
      </x:c>
      <x:c r="G114" s="55" t="n">
        <x:v>9166</x:v>
      </x:c>
      <x:c r="H114" s="55" t="n">
        <x:v>3529</x:v>
      </x:c>
      <x:c r="I114" s="55" t="n">
        <x:v>1622</x:v>
      </x:c>
      <x:c r="J114" s="55" t="n">
        <x:v>299</x:v>
      </x:c>
      <x:c r="K114" s="55" t="n">
        <x:v>32690</x:v>
      </x:c>
      <x:c r="L114" s="55" t="n">
        <x:v>6698</x:v>
      </x:c>
      <x:c r="M114" s="55" t="n">
        <x:v>1709</x:v>
      </x:c>
      <x:c r="N114" s="55" t="n">
        <x:v>2857</x:v>
      </x:c>
      <x:c r="O114" s="55" t="n">
        <x:v>2132</x:v>
      </x:c>
      <x:c r="P114" s="55" t="n">
        <x:v>786</x:v>
      </x:c>
      <x:c r="Q114" s="55" t="n">
        <x:v>2636</x:v>
      </x:c>
      <x:c r="R114" s="55" t="n">
        <x:v>2062</x:v>
      </x:c>
      <x:c r="S114" s="55" t="n">
        <x:v>3133</x:v>
      </x:c>
      <x:c r="T114" s="55" t="n">
        <x:v>1291</x:v>
      </x:c>
      <x:c r="U114" s="55" t="n">
        <x:v>1930</x:v>
      </x:c>
      <x:c r="V114" s="55" t="n">
        <x:v>10416</x:v>
      </x:c>
      <x:c r="W114" s="55" t="n">
        <x:v>7254</x:v>
      </x:c>
      <x:c r="X114" s="55" t="n">
        <x:v>3162</x:v>
      </x:c>
      <x:c r="Y114" s="55" t="n">
        <x:v>2857</x:v>
      </x:c>
      <x:c r="Z114" s="55" t="n">
        <x:v>3863</x:v>
      </x:c>
      <x:c r="AA114" s="55" t="n">
        <x:v>3355</x:v>
      </x:c>
      <x:c r="AB114" s="55" t="n">
        <x:v>1173</x:v>
      </x:c>
      <x:c r="AC114" s="55" t="n">
        <x:v>8292</x:v>
      </x:c>
      <x:c r="AD114" s="55" t="n">
        <x:v>3438</x:v>
      </x:c>
      <x:c r="AE114" s="55" t="n">
        <x:v>10437</x:v>
      </x:c>
      <x:c r="AF114" s="55" t="n">
        <x:v>10416</x:v>
      </x:c>
      <x:c r="AG114" s="55" t="n">
        <x:v>21</x:v>
      </x:c>
      <x:c r="AH114" s="55" t="n">
        <x:v>380</x:v>
      </x:c>
      <x:c r="AI114" s="55" t="n">
        <x:v>10036</x:v>
      </x:c>
      <x:c r="AJ114" s="55" t="n">
        <x:v>391</x:v>
      </x:c>
      <x:c r="AK114" s="55" t="n">
        <x:v>1235</x:v>
      </x:c>
      <x:c r="AL114" s="55" t="n">
        <x:v>1523</x:v>
      </x:c>
      <x:c r="AM114" s="55" t="n">
        <x:v>4854</x:v>
      </x:c>
      <x:c r="AN114" s="55" t="n">
        <x:v>2385</x:v>
      </x:c>
      <x:c r="AO114" s="55" t="n">
        <x:v>28</x:v>
      </x:c>
      <x:c r="AP114" s="55" t="n">
        <x:v>2448</x:v>
      </x:c>
      <x:c r="AQ114" s="55" t="n">
        <x:v>997</x:v>
      </x:c>
    </x:row>
    <x:row r="115">
      <x:c r="A115" s="54" t="str">
        <x:v>T2_CONCORDANT_DOMAIN</x:v>
      </x:c>
      <x:c r="B115" s="54" t="n">
        <x:v>109</x:v>
      </x:c>
      <x:c r="C115" s="54" t="str">
        <x:v>NYC-V2-R01</x:v>
      </x:c>
      <x:c r="D115" s="54" t="str">
        <x:v>V2</x:v>
      </x:c>
      <x:c r="E115" s="54" t="str">
        <x:v>ADMITTED</x:v>
      </x:c>
      <x:c r="F115" s="55" t="n">
        <x:v>30546</x:v>
      </x:c>
      <x:c r="G115" s="55" t="n">
        <x:v>6975</x:v>
      </x:c>
      <x:c r="H115" s="55" t="n">
        <x:v>2951</x:v>
      </x:c>
      <x:c r="I115" s="55" t="n">
        <x:v>1062</x:v>
      </x:c>
      <x:c r="J115" s="55" t="n">
        <x:v>168</x:v>
      </x:c>
      <x:c r="K115" s="55" t="n">
        <x:v>30546</x:v>
      </x:c>
      <x:c r="L115" s="55" t="n">
        <x:v>5919</x:v>
      </x:c>
      <x:c r="M115" s="55" t="n">
        <x:v>1718</x:v>
      </x:c>
      <x:c r="N115" s="55" t="n">
        <x:v>2358</x:v>
      </x:c>
      <x:c r="O115" s="55" t="n">
        <x:v>1843</x:v>
      </x:c>
      <x:c r="P115" s="55" t="n">
        <x:v>603</x:v>
      </x:c>
      <x:c r="Q115" s="55" t="n">
        <x:v>1990</x:v>
      </x:c>
      <x:c r="R115" s="55" t="n">
        <x:v>1778</x:v>
      </x:c>
      <x:c r="S115" s="55" t="n">
        <x:v>2504</x:v>
      </x:c>
      <x:c r="T115" s="55" t="n">
        <x:v>624</x:v>
      </x:c>
      <x:c r="U115" s="55" t="n">
        <x:v>1552</x:v>
      </x:c>
      <x:c r="V115" s="55" t="n">
        <x:v>10098</x:v>
      </x:c>
      <x:c r="W115" s="55" t="n">
        <x:v>7545</x:v>
      </x:c>
      <x:c r="X115" s="55" t="n">
        <x:v>2553</x:v>
      </x:c>
      <x:c r="Y115" s="55" t="n">
        <x:v>2069</x:v>
      </x:c>
      <x:c r="Z115" s="55" t="n">
        <x:v>3548</x:v>
      </x:c>
      <x:c r="AA115" s="55" t="n">
        <x:v>2794</x:v>
      </x:c>
      <x:c r="AB115" s="55" t="n">
        <x:v>1075</x:v>
      </x:c>
      <x:c r="AC115" s="55" t="n">
        <x:v>7867</x:v>
      </x:c>
      <x:c r="AD115" s="55" t="n">
        <x:v>2351</x:v>
      </x:c>
      <x:c r="AE115" s="55" t="n">
        <x:v>10120</x:v>
      </x:c>
      <x:c r="AF115" s="55" t="n">
        <x:v>10098</x:v>
      </x:c>
      <x:c r="AG115" s="55" t="n">
        <x:v>22</x:v>
      </x:c>
      <x:c r="AH115" s="55" t="n">
        <x:v>270</x:v>
      </x:c>
      <x:c r="AI115" s="55" t="n">
        <x:v>9828</x:v>
      </x:c>
      <x:c r="AJ115" s="55" t="n">
        <x:v>158</x:v>
      </x:c>
      <x:c r="AK115" s="55" t="n">
        <x:v>843</x:v>
      </x:c>
      <x:c r="AL115" s="55" t="n">
        <x:v>1233</x:v>
      </x:c>
      <x:c r="AM115" s="55" t="n">
        <x:v>5127</x:v>
      </x:c>
      <x:c r="AN115" s="55" t="n">
        <x:v>2737</x:v>
      </x:c>
      <x:c r="AO115" s="55" t="n">
        <x:v>0</x:v>
      </x:c>
      <x:c r="AP115" s="55" t="n">
        <x:v>2302</x:v>
      </x:c>
      <x:c r="AQ115" s="55" t="n">
        <x:v>919</x:v>
      </x:c>
    </x:row>
    <x:row r="116">
      <x:c r="A116" s="54" t="str">
        <x:v>T2_CONCORDANT_DOMAIN</x:v>
      </x:c>
      <x:c r="B116" s="54" t="n">
        <x:v>110</x:v>
      </x:c>
      <x:c r="C116" s="54" t="str">
        <x:v>NYC-V2-R01</x:v>
      </x:c>
      <x:c r="D116" s="54" t="str">
        <x:v>V2</x:v>
      </x:c>
      <x:c r="E116" s="54" t="str">
        <x:v>ADMITTED</x:v>
      </x:c>
      <x:c r="F116" s="55" t="n">
        <x:v>33739</x:v>
      </x:c>
      <x:c r="G116" s="55" t="n">
        <x:v>9063</x:v>
      </x:c>
      <x:c r="H116" s="55" t="n">
        <x:v>3339</x:v>
      </x:c>
      <x:c r="I116" s="55" t="n">
        <x:v>1447</x:v>
      </x:c>
      <x:c r="J116" s="55" t="n">
        <x:v>337</x:v>
      </x:c>
      <x:c r="K116" s="55" t="n">
        <x:v>27946</x:v>
      </x:c>
      <x:c r="L116" s="55" t="n">
        <x:v>3798</x:v>
      </x:c>
      <x:c r="M116" s="55" t="n">
        <x:v>0</x:v>
      </x:c>
      <x:c r="N116" s="55" t="n">
        <x:v>2221</x:v>
      </x:c>
      <x:c r="O116" s="55" t="n">
        <x:v>1577</x:v>
      </x:c>
      <x:c r="P116" s="55" t="n">
        <x:v>163</x:v>
      </x:c>
      <x:c r="Q116" s="55" t="n">
        <x:v>1228</x:v>
      </x:c>
      <x:c r="R116" s="55" t="n">
        <x:v>1394</x:v>
      </x:c>
      <x:c r="S116" s="55" t="n">
        <x:v>2270</x:v>
      </x:c>
      <x:c r="T116" s="55" t="n">
        <x:v>554</x:v>
      </x:c>
      <x:c r="U116" s="55" t="n">
        <x:v>1641</x:v>
      </x:c>
      <x:c r="V116" s="55" t="n">
        <x:v>10856</x:v>
      </x:c>
      <x:c r="W116" s="55" t="n">
        <x:v>7954</x:v>
      </x:c>
      <x:c r="X116" s="55" t="n">
        <x:v>2902</x:v>
      </x:c>
      <x:c r="Y116" s="55" t="n">
        <x:v>2442</x:v>
      </x:c>
      <x:c r="Z116" s="55" t="n">
        <x:v>3769</x:v>
      </x:c>
      <x:c r="AA116" s="55" t="n">
        <x:v>3099</x:v>
      </x:c>
      <x:c r="AB116" s="55" t="n">
        <x:v>1126</x:v>
      </x:c>
      <x:c r="AC116" s="55" t="n">
        <x:v>7991</x:v>
      </x:c>
      <x:c r="AD116" s="55" t="n">
        <x:v>2913</x:v>
      </x:c>
      <x:c r="AE116" s="55" t="n">
        <x:v>10888</x:v>
      </x:c>
      <x:c r="AF116" s="55" t="n">
        <x:v>10856</x:v>
      </x:c>
      <x:c r="AG116" s="55" t="n">
        <x:v>32</x:v>
      </x:c>
      <x:c r="AH116" s="55" t="n">
        <x:v>384</x:v>
      </x:c>
      <x:c r="AI116" s="55" t="n">
        <x:v>10472</x:v>
      </x:c>
      <x:c r="AJ116" s="55" t="n">
        <x:v>441</x:v>
      </x:c>
      <x:c r="AK116" s="55" t="n">
        <x:v>845</x:v>
      </x:c>
      <x:c r="AL116" s="55" t="n">
        <x:v>1556</x:v>
      </x:c>
      <x:c r="AM116" s="55" t="n">
        <x:v>5193</x:v>
      </x:c>
      <x:c r="AN116" s="55" t="n">
        <x:v>2821</x:v>
      </x:c>
      <x:c r="AO116" s="55" t="n">
        <x:v>0</x:v>
      </x:c>
      <x:c r="AP116" s="55" t="n">
        <x:v>2154</x:v>
      </x:c>
      <x:c r="AQ116" s="55" t="n">
        <x:v>958</x:v>
      </x:c>
    </x:row>
    <x:row r="117">
      <x:c r="A117" s="54" t="str">
        <x:v>T2_CONCORDANT_DOMAIN</x:v>
      </x:c>
      <x:c r="B117" s="54" t="n">
        <x:v>111</x:v>
      </x:c>
      <x:c r="C117" s="54" t="str">
        <x:v>NYC-V2-R01</x:v>
      </x:c>
      <x:c r="D117" s="54" t="str">
        <x:v>V2</x:v>
      </x:c>
      <x:c r="E117" s="54" t="str">
        <x:v>ADMITTED</x:v>
      </x:c>
      <x:c r="F117" s="55" t="n">
        <x:v>31730</x:v>
      </x:c>
      <x:c r="G117" s="55" t="n">
        <x:v>6745</x:v>
      </x:c>
      <x:c r="H117" s="55" t="n">
        <x:v>3265</x:v>
      </x:c>
      <x:c r="I117" s="55" t="n">
        <x:v>1499</x:v>
      </x:c>
      <x:c r="J117" s="55" t="n">
        <x:v>169</x:v>
      </x:c>
      <x:c r="K117" s="55" t="n">
        <x:v>31730</x:v>
      </x:c>
      <x:c r="L117" s="55" t="n">
        <x:v>5727</x:v>
      </x:c>
      <x:c r="M117" s="55" t="n">
        <x:v>1901</x:v>
      </x:c>
      <x:c r="N117" s="55" t="n">
        <x:v>1947</x:v>
      </x:c>
      <x:c r="O117" s="55" t="n">
        <x:v>1879</x:v>
      </x:c>
      <x:c r="P117" s="55" t="n">
        <x:v>1177</x:v>
      </x:c>
      <x:c r="Q117" s="55" t="n">
        <x:v>2016</x:v>
      </x:c>
      <x:c r="R117" s="55" t="n">
        <x:v>2262</x:v>
      </x:c>
      <x:c r="S117" s="55" t="n">
        <x:v>3187</x:v>
      </x:c>
      <x:c r="T117" s="55" t="n">
        <x:v>1332</x:v>
      </x:c>
      <x:c r="U117" s="55" t="n">
        <x:v>2046</x:v>
      </x:c>
      <x:c r="V117" s="55" t="n">
        <x:v>10250</x:v>
      </x:c>
      <x:c r="W117" s="55" t="n">
        <x:v>7346</x:v>
      </x:c>
      <x:c r="X117" s="55" t="n">
        <x:v>2904</x:v>
      </x:c>
      <x:c r="Y117" s="55" t="n">
        <x:v>2461</x:v>
      </x:c>
      <x:c r="Z117" s="55" t="n">
        <x:v>3660</x:v>
      </x:c>
      <x:c r="AA117" s="55" t="n">
        <x:v>2830</x:v>
      </x:c>
      <x:c r="AB117" s="55" t="n">
        <x:v>935</x:v>
      </x:c>
      <x:c r="AC117" s="55" t="n">
        <x:v>7328</x:v>
      </x:c>
      <x:c r="AD117" s="55" t="n">
        <x:v>2595</x:v>
      </x:c>
      <x:c r="AE117" s="55" t="n">
        <x:v>10284</x:v>
      </x:c>
      <x:c r="AF117" s="55" t="n">
        <x:v>10250</x:v>
      </x:c>
      <x:c r="AG117" s="55" t="n">
        <x:v>34</x:v>
      </x:c>
      <x:c r="AH117" s="55" t="n">
        <x:v>537</x:v>
      </x:c>
      <x:c r="AI117" s="55" t="n">
        <x:v>9713</x:v>
      </x:c>
      <x:c r="AJ117" s="55" t="n">
        <x:v>316</x:v>
      </x:c>
      <x:c r="AK117" s="55" t="n">
        <x:v>834</x:v>
      </x:c>
      <x:c r="AL117" s="55" t="n">
        <x:v>1571</x:v>
      </x:c>
      <x:c r="AM117" s="55" t="n">
        <x:v>4802</x:v>
      </x:c>
      <x:c r="AN117" s="55" t="n">
        <x:v>2720</x:v>
      </x:c>
      <x:c r="AO117" s="55" t="n">
        <x:v>7</x:v>
      </x:c>
      <x:c r="AP117" s="55" t="n">
        <x:v>2422</x:v>
      </x:c>
      <x:c r="AQ117" s="55" t="n">
        <x:v>978</x:v>
      </x:c>
    </x:row>
    <x:row r="118">
      <x:c r="A118" s="54" t="str">
        <x:v>T2_CONCORDANT_DOMAIN</x:v>
      </x:c>
      <x:c r="B118" s="54" t="n">
        <x:v>112</x:v>
      </x:c>
      <x:c r="C118" s="54" t="str">
        <x:v>NYC-V2-R01</x:v>
      </x:c>
      <x:c r="D118" s="54" t="str">
        <x:v>V2</x:v>
      </x:c>
      <x:c r="E118" s="54" t="str">
        <x:v>ADMITTED</x:v>
      </x:c>
      <x:c r="F118" s="55" t="n">
        <x:v>32024</x:v>
      </x:c>
      <x:c r="G118" s="55" t="n">
        <x:v>7106</x:v>
      </x:c>
      <x:c r="H118" s="55" t="n">
        <x:v>3357</x:v>
      </x:c>
      <x:c r="I118" s="55" t="n">
        <x:v>1221</x:v>
      </x:c>
      <x:c r="J118" s="55" t="n">
        <x:v>171</x:v>
      </x:c>
      <x:c r="K118" s="55" t="n">
        <x:v>32024</x:v>
      </x:c>
      <x:c r="L118" s="55" t="n">
        <x:v>7555</x:v>
      </x:c>
      <x:c r="M118" s="55" t="n">
        <x:v>2672</x:v>
      </x:c>
      <x:c r="N118" s="55" t="n">
        <x:v>3149</x:v>
      </x:c>
      <x:c r="O118" s="55" t="n">
        <x:v>1734</x:v>
      </x:c>
      <x:c r="P118" s="55" t="n">
        <x:v>915</x:v>
      </x:c>
      <x:c r="Q118" s="55" t="n">
        <x:v>3034</x:v>
      </x:c>
      <x:c r="R118" s="55" t="n">
        <x:v>2201</x:v>
      </x:c>
      <x:c r="S118" s="55" t="n">
        <x:v>2540</x:v>
      </x:c>
      <x:c r="T118" s="55" t="n">
        <x:v>1725</x:v>
      </x:c>
      <x:c r="U118" s="55" t="n">
        <x:v>1983</x:v>
      </x:c>
      <x:c r="V118" s="55" t="n">
        <x:v>10678</x:v>
      </x:c>
      <x:c r="W118" s="55" t="n">
        <x:v>7269</x:v>
      </x:c>
      <x:c r="X118" s="55" t="n">
        <x:v>3409</x:v>
      </x:c>
      <x:c r="Y118" s="55" t="n">
        <x:v>2935</x:v>
      </x:c>
      <x:c r="Z118" s="55" t="n">
        <x:v>4147</x:v>
      </x:c>
      <x:c r="AA118" s="55" t="n">
        <x:v>3357</x:v>
      </x:c>
      <x:c r="AB118" s="55" t="n">
        <x:v>1378</x:v>
      </x:c>
      <x:c r="AC118" s="55" t="n">
        <x:v>8385</x:v>
      </x:c>
      <x:c r="AD118" s="55" t="n">
        <x:v>3351</x:v>
      </x:c>
      <x:c r="AE118" s="55" t="n">
        <x:v>10804</x:v>
      </x:c>
      <x:c r="AF118" s="55" t="n">
        <x:v>10678</x:v>
      </x:c>
      <x:c r="AG118" s="55" t="n">
        <x:v>126</x:v>
      </x:c>
      <x:c r="AH118" s="55" t="n">
        <x:v>422</x:v>
      </x:c>
      <x:c r="AI118" s="55" t="n">
        <x:v>10256</x:v>
      </x:c>
      <x:c r="AJ118" s="55" t="n">
        <x:v>351</x:v>
      </x:c>
      <x:c r="AK118" s="55" t="n">
        <x:v>1035</x:v>
      </x:c>
      <x:c r="AL118" s="55" t="n">
        <x:v>1672</x:v>
      </x:c>
      <x:c r="AM118" s="55" t="n">
        <x:v>4893</x:v>
      </x:c>
      <x:c r="AN118" s="55" t="n">
        <x:v>2727</x:v>
      </x:c>
      <x:c r="AO118" s="55" t="n">
        <x:v>0</x:v>
      </x:c>
      <x:c r="AP118" s="55" t="n">
        <x:v>2358</x:v>
      </x:c>
      <x:c r="AQ118" s="55" t="n">
        <x:v>962</x:v>
      </x:c>
    </x:row>
    <x:row r="119">
      <x:c r="A119" s="54" t="str">
        <x:v>T2_CONCORDANT_DOMAIN</x:v>
      </x:c>
      <x:c r="B119" s="54" t="n">
        <x:v>113</x:v>
      </x:c>
      <x:c r="C119" s="54" t="str">
        <x:v>NYC-V2-R01</x:v>
      </x:c>
      <x:c r="D119" s="54" t="str">
        <x:v>V2</x:v>
      </x:c>
      <x:c r="E119" s="54" t="str">
        <x:v>ADMITTED</x:v>
      </x:c>
      <x:c r="F119" s="55" t="n">
        <x:v>30610</x:v>
      </x:c>
      <x:c r="G119" s="55" t="n">
        <x:v>7847</x:v>
      </x:c>
      <x:c r="H119" s="55" t="n">
        <x:v>3380</x:v>
      </x:c>
      <x:c r="I119" s="55" t="n">
        <x:v>1241</x:v>
      </x:c>
      <x:c r="J119" s="55" t="n">
        <x:v>260</x:v>
      </x:c>
      <x:c r="K119" s="55" t="n">
        <x:v>29766</x:v>
      </x:c>
      <x:c r="L119" s="55" t="n">
        <x:v>5983</x:v>
      </x:c>
      <x:c r="M119" s="55" t="n">
        <x:v>1319</x:v>
      </x:c>
      <x:c r="N119" s="55" t="n">
        <x:v>2844</x:v>
      </x:c>
      <x:c r="O119" s="55" t="n">
        <x:v>1820</x:v>
      </x:c>
      <x:c r="P119" s="55" t="n">
        <x:v>771</x:v>
      </x:c>
      <x:c r="Q119" s="55" t="n">
        <x:v>2076</x:v>
      </x:c>
      <x:c r="R119" s="55" t="n">
        <x:v>2111</x:v>
      </x:c>
      <x:c r="S119" s="55" t="n">
        <x:v>2870</x:v>
      </x:c>
      <x:c r="T119" s="55" t="n">
        <x:v>1222</x:v>
      </x:c>
      <x:c r="U119" s="55" t="n">
        <x:v>2517</x:v>
      </x:c>
      <x:c r="V119" s="55" t="n">
        <x:v>10758</x:v>
      </x:c>
      <x:c r="W119" s="55" t="n">
        <x:v>7496</x:v>
      </x:c>
      <x:c r="X119" s="55" t="n">
        <x:v>3262</x:v>
      </x:c>
      <x:c r="Y119" s="55" t="n">
        <x:v>2748</x:v>
      </x:c>
      <x:c r="Z119" s="55" t="n">
        <x:v>3931</x:v>
      </x:c>
      <x:c r="AA119" s="55" t="n">
        <x:v>3380</x:v>
      </x:c>
      <x:c r="AB119" s="55" t="n">
        <x:v>1425</x:v>
      </x:c>
      <x:c r="AC119" s="55" t="n">
        <x:v>8501</x:v>
      </x:c>
      <x:c r="AD119" s="55" t="n">
        <x:v>2961</x:v>
      </x:c>
      <x:c r="AE119" s="55" t="n">
        <x:v>10868</x:v>
      </x:c>
      <x:c r="AF119" s="55" t="n">
        <x:v>10758</x:v>
      </x:c>
      <x:c r="AG119" s="55" t="n">
        <x:v>110</x:v>
      </x:c>
      <x:c r="AH119" s="55" t="n">
        <x:v>629</x:v>
      </x:c>
      <x:c r="AI119" s="55" t="n">
        <x:v>10129</x:v>
      </x:c>
      <x:c r="AJ119" s="55" t="n">
        <x:v>211</x:v>
      </x:c>
      <x:c r="AK119" s="55" t="n">
        <x:v>905</x:v>
      </x:c>
      <x:c r="AL119" s="55" t="n">
        <x:v>1989</x:v>
      </x:c>
      <x:c r="AM119" s="55" t="n">
        <x:v>5002</x:v>
      </x:c>
      <x:c r="AN119" s="55" t="n">
        <x:v>2642</x:v>
      </x:c>
      <x:c r="AO119" s="55" t="n">
        <x:v>9</x:v>
      </x:c>
      <x:c r="AP119" s="55" t="n">
        <x:v>2583</x:v>
      </x:c>
      <x:c r="AQ119" s="55" t="n">
        <x:v>964</x:v>
      </x:c>
    </x:row>
    <x:row r="120">
      <x:c r="A120" s="54" t="str">
        <x:v>T2_CONCORDANT_DOMAIN</x:v>
      </x:c>
      <x:c r="B120" s="54" t="n">
        <x:v>114</x:v>
      </x:c>
      <x:c r="C120" s="54" t="str">
        <x:v>NYC-V2-R01</x:v>
      </x:c>
      <x:c r="D120" s="54" t="str">
        <x:v>V2</x:v>
      </x:c>
      <x:c r="E120" s="54" t="str">
        <x:v>ADMITTED</x:v>
      </x:c>
      <x:c r="F120" s="55" t="n">
        <x:v>30622</x:v>
      </x:c>
      <x:c r="G120" s="55" t="n">
        <x:v>8166</x:v>
      </x:c>
      <x:c r="H120" s="55" t="n">
        <x:v>2913</x:v>
      </x:c>
      <x:c r="I120" s="55" t="n">
        <x:v>1085</x:v>
      </x:c>
      <x:c r="J120" s="55" t="n">
        <x:v>111</x:v>
      </x:c>
      <x:c r="K120" s="55" t="n">
        <x:v>30622</x:v>
      </x:c>
      <x:c r="L120" s="55" t="n">
        <x:v>4248</x:v>
      </x:c>
      <x:c r="M120" s="55" t="n">
        <x:v>314</x:v>
      </x:c>
      <x:c r="N120" s="55" t="n">
        <x:v>2384</x:v>
      </x:c>
      <x:c r="O120" s="55" t="n">
        <x:v>1550</x:v>
      </x:c>
      <x:c r="P120" s="55" t="n">
        <x:v>483</x:v>
      </x:c>
      <x:c r="Q120" s="55" t="n">
        <x:v>2375</x:v>
      </x:c>
      <x:c r="R120" s="55" t="n">
        <x:v>1542</x:v>
      </x:c>
      <x:c r="S120" s="55" t="n">
        <x:v>2130</x:v>
      </x:c>
      <x:c r="T120" s="55" t="n">
        <x:v>1090</x:v>
      </x:c>
      <x:c r="U120" s="55" t="n">
        <x:v>1426</x:v>
      </x:c>
      <x:c r="V120" s="55" t="n">
        <x:v>10362</x:v>
      </x:c>
      <x:c r="W120" s="55" t="n">
        <x:v>7316</x:v>
      </x:c>
      <x:c r="X120" s="55" t="n">
        <x:v>3046</x:v>
      </x:c>
      <x:c r="Y120" s="55" t="n">
        <x:v>2524</x:v>
      </x:c>
      <x:c r="Z120" s="55" t="n">
        <x:v>3431</x:v>
      </x:c>
      <x:c r="AA120" s="55" t="n">
        <x:v>2825</x:v>
      </x:c>
      <x:c r="AB120" s="55" t="n">
        <x:v>822</x:v>
      </x:c>
      <x:c r="AC120" s="55" t="n">
        <x:v>7771</x:v>
      </x:c>
      <x:c r="AD120" s="55" t="n">
        <x:v>2546</x:v>
      </x:c>
      <x:c r="AE120" s="55" t="n">
        <x:v>10484</x:v>
      </x:c>
      <x:c r="AF120" s="55" t="n">
        <x:v>10362</x:v>
      </x:c>
      <x:c r="AG120" s="55" t="n">
        <x:v>122</x:v>
      </x:c>
      <x:c r="AH120" s="55" t="n">
        <x:v>471</x:v>
      </x:c>
      <x:c r="AI120" s="55" t="n">
        <x:v>9891</x:v>
      </x:c>
      <x:c r="AJ120" s="55" t="n">
        <x:v>451</x:v>
      </x:c>
      <x:c r="AK120" s="55" t="n">
        <x:v>908</x:v>
      </x:c>
      <x:c r="AL120" s="55" t="n">
        <x:v>1334</x:v>
      </x:c>
      <x:c r="AM120" s="55" t="n">
        <x:v>4984</x:v>
      </x:c>
      <x:c r="AN120" s="55" t="n">
        <x:v>2651</x:v>
      </x:c>
      <x:c r="AO120" s="55" t="n">
        <x:v>34</x:v>
      </x:c>
      <x:c r="AP120" s="55" t="n">
        <x:v>2349</x:v>
      </x:c>
      <x:c r="AQ120" s="55" t="n">
        <x:v>955</x:v>
      </x:c>
    </x:row>
    <x:row r="121">
      <x:c r="A121" s="54" t="str">
        <x:v>T2_CONCORDANT_DOMAIN</x:v>
      </x:c>
      <x:c r="B121" s="54" t="n">
        <x:v>115</x:v>
      </x:c>
      <x:c r="C121" s="54" t="str">
        <x:v>NYC-V2-R01</x:v>
      </x:c>
      <x:c r="D121" s="54" t="str">
        <x:v>V2</x:v>
      </x:c>
      <x:c r="E121" s="54" t="str">
        <x:v>ADMITTED</x:v>
      </x:c>
      <x:c r="F121" s="55" t="n">
        <x:v>32006</x:v>
      </x:c>
      <x:c r="G121" s="55" t="n">
        <x:v>8848</x:v>
      </x:c>
      <x:c r="H121" s="55" t="n">
        <x:v>3448</x:v>
      </x:c>
      <x:c r="I121" s="55" t="n">
        <x:v>1383</x:v>
      </x:c>
      <x:c r="J121" s="55" t="n">
        <x:v>184</x:v>
      </x:c>
      <x:c r="K121" s="55" t="n">
        <x:v>29850</x:v>
      </x:c>
      <x:c r="L121" s="55" t="n">
        <x:v>6027</x:v>
      </x:c>
      <x:c r="M121" s="55" t="n">
        <x:v>1736</x:v>
      </x:c>
      <x:c r="N121" s="55" t="n">
        <x:v>2620</x:v>
      </x:c>
      <x:c r="O121" s="55" t="n">
        <x:v>1671</x:v>
      </x:c>
      <x:c r="P121" s="55" t="n">
        <x:v>657</x:v>
      </x:c>
      <x:c r="Q121" s="55" t="n">
        <x:v>2222</x:v>
      </x:c>
      <x:c r="R121" s="55" t="n">
        <x:v>1716</x:v>
      </x:c>
      <x:c r="S121" s="55" t="n">
        <x:v>2746</x:v>
      </x:c>
      <x:c r="T121" s="55" t="n">
        <x:v>903</x:v>
      </x:c>
      <x:c r="U121" s="55" t="n">
        <x:v>2057</x:v>
      </x:c>
      <x:c r="V121" s="55" t="n">
        <x:v>11020</x:v>
      </x:c>
      <x:c r="W121" s="55" t="n">
        <x:v>7729</x:v>
      </x:c>
      <x:c r="X121" s="55" t="n">
        <x:v>3291</x:v>
      </x:c>
      <x:c r="Y121" s="55" t="n">
        <x:v>2863</x:v>
      </x:c>
      <x:c r="Z121" s="55" t="n">
        <x:v>3235</x:v>
      </x:c>
      <x:c r="AA121" s="55" t="n">
        <x:v>3448</x:v>
      </x:c>
      <x:c r="AB121" s="55" t="n">
        <x:v>1559</x:v>
      </x:c>
      <x:c r="AC121" s="55" t="n">
        <x:v>7211</x:v>
      </x:c>
      <x:c r="AD121" s="55" t="n">
        <x:v>3273</x:v>
      </x:c>
      <x:c r="AE121" s="55" t="n">
        <x:v>11119</x:v>
      </x:c>
      <x:c r="AF121" s="55" t="n">
        <x:v>11020</x:v>
      </x:c>
      <x:c r="AG121" s="55" t="n">
        <x:v>99</x:v>
      </x:c>
      <x:c r="AH121" s="55" t="n">
        <x:v>551</x:v>
      </x:c>
      <x:c r="AI121" s="55" t="n">
        <x:v>10469</x:v>
      </x:c>
      <x:c r="AJ121" s="55" t="n">
        <x:v>440</x:v>
      </x:c>
      <x:c r="AK121" s="55" t="n">
        <x:v>681</x:v>
      </x:c>
      <x:c r="AL121" s="55" t="n">
        <x:v>1368</x:v>
      </x:c>
      <x:c r="AM121" s="55" t="n">
        <x:v>5433</x:v>
      </x:c>
      <x:c r="AN121" s="55" t="n">
        <x:v>3087</x:v>
      </x:c>
      <x:c r="AO121" s="55" t="n">
        <x:v>11</x:v>
      </x:c>
      <x:c r="AP121" s="55" t="n">
        <x:v>2654</x:v>
      </x:c>
      <x:c r="AQ121" s="55" t="n">
        <x:v>980</x:v>
      </x:c>
    </x:row>
    <x:row r="122">
      <x:c r="A122" s="54" t="str">
        <x:v>T2_CONCORDANT_DOMAIN</x:v>
      </x:c>
      <x:c r="B122" s="54" t="n">
        <x:v>116</x:v>
      </x:c>
      <x:c r="C122" s="54" t="str">
        <x:v>NYC-V2-R01</x:v>
      </x:c>
      <x:c r="D122" s="54" t="str">
        <x:v>V2</x:v>
      </x:c>
      <x:c r="E122" s="54" t="str">
        <x:v>ADMITTED</x:v>
      </x:c>
      <x:c r="F122" s="55" t="n">
        <x:v>34184</x:v>
      </x:c>
      <x:c r="G122" s="55" t="n">
        <x:v>8810</x:v>
      </x:c>
      <x:c r="H122" s="55" t="n">
        <x:v>3479</x:v>
      </x:c>
      <x:c r="I122" s="55" t="n">
        <x:v>1415</x:v>
      </x:c>
      <x:c r="J122" s="55" t="n">
        <x:v>400</x:v>
      </x:c>
      <x:c r="K122" s="55" t="n">
        <x:v>34184</x:v>
      </x:c>
      <x:c r="L122" s="55" t="n">
        <x:v>8081</x:v>
      </x:c>
      <x:c r="M122" s="55" t="n">
        <x:v>2772</x:v>
      </x:c>
      <x:c r="N122" s="55" t="n">
        <x:v>3372</x:v>
      </x:c>
      <x:c r="O122" s="55" t="n">
        <x:v>1937</x:v>
      </x:c>
      <x:c r="P122" s="55" t="n">
        <x:v>1113</x:v>
      </x:c>
      <x:c r="Q122" s="55" t="n">
        <x:v>2697</x:v>
      </x:c>
      <x:c r="R122" s="55" t="n">
        <x:v>2439</x:v>
      </x:c>
      <x:c r="S122" s="55" t="n">
        <x:v>2899</x:v>
      </x:c>
      <x:c r="T122" s="55" t="n">
        <x:v>1821</x:v>
      </x:c>
      <x:c r="U122" s="55" t="n">
        <x:v>2378</x:v>
      </x:c>
      <x:c r="V122" s="55" t="n">
        <x:v>10846</x:v>
      </x:c>
      <x:c r="W122" s="55" t="n">
        <x:v>7173</x:v>
      </x:c>
      <x:c r="X122" s="55" t="n">
        <x:v>3673</x:v>
      </x:c>
      <x:c r="Y122" s="55" t="n">
        <x:v>3109</x:v>
      </x:c>
      <x:c r="Z122" s="55" t="n">
        <x:v>4653</x:v>
      </x:c>
      <x:c r="AA122" s="55" t="n">
        <x:v>3479</x:v>
      </x:c>
      <x:c r="AB122" s="55" t="n">
        <x:v>1638</x:v>
      </x:c>
      <x:c r="AC122" s="55" t="n">
        <x:v>8605</x:v>
      </x:c>
      <x:c r="AD122" s="55" t="n">
        <x:v>3472</x:v>
      </x:c>
      <x:c r="AE122" s="55" t="n">
        <x:v>11045</x:v>
      </x:c>
      <x:c r="AF122" s="55" t="n">
        <x:v>10846</x:v>
      </x:c>
      <x:c r="AG122" s="55" t="n">
        <x:v>199</x:v>
      </x:c>
      <x:c r="AH122" s="55" t="n">
        <x:v>601</x:v>
      </x:c>
      <x:c r="AI122" s="55" t="n">
        <x:v>10245</x:v>
      </x:c>
      <x:c r="AJ122" s="55" t="n">
        <x:v>503</x:v>
      </x:c>
      <x:c r="AK122" s="55" t="n">
        <x:v>1158</x:v>
      </x:c>
      <x:c r="AL122" s="55" t="n">
        <x:v>1741</x:v>
      </x:c>
      <x:c r="AM122" s="55" t="n">
        <x:v>4619</x:v>
      </x:c>
      <x:c r="AN122" s="55" t="n">
        <x:v>2688</x:v>
      </x:c>
      <x:c r="AO122" s="55" t="n">
        <x:v>137</x:v>
      </x:c>
      <x:c r="AP122" s="55" t="n">
        <x:v>3368</x:v>
      </x:c>
      <x:c r="AQ122" s="55" t="n">
        <x:v>966</x:v>
      </x:c>
    </x:row>
    <x:row r="123">
      <x:c r="A123" s="54" t="str">
        <x:v>T2_CONCORDANT_DOMAIN</x:v>
      </x:c>
      <x:c r="B123" s="54" t="n">
        <x:v>117</x:v>
      </x:c>
      <x:c r="C123" s="54" t="str">
        <x:v>NYC-V2-R01</x:v>
      </x:c>
      <x:c r="D123" s="54" t="str">
        <x:v>V2</x:v>
      </x:c>
      <x:c r="E123" s="54" t="str">
        <x:v>ADMITTED</x:v>
      </x:c>
      <x:c r="F123" s="55" t="n">
        <x:v>32470</x:v>
      </x:c>
      <x:c r="G123" s="55" t="n">
        <x:v>8010</x:v>
      </x:c>
      <x:c r="H123" s="55" t="n">
        <x:v>3343</x:v>
      </x:c>
      <x:c r="I123" s="55" t="n">
        <x:v>1307</x:v>
      </x:c>
      <x:c r="J123" s="55" t="n">
        <x:v>183</x:v>
      </x:c>
      <x:c r="K123" s="55" t="n">
        <x:v>32470</x:v>
      </x:c>
      <x:c r="L123" s="55" t="n">
        <x:v>7330</x:v>
      </x:c>
      <x:c r="M123" s="55" t="n">
        <x:v>2016</x:v>
      </x:c>
      <x:c r="N123" s="55" t="n">
        <x:v>3473</x:v>
      </x:c>
      <x:c r="O123" s="55" t="n">
        <x:v>1841</x:v>
      </x:c>
      <x:c r="P123" s="55" t="n">
        <x:v>817</x:v>
      </x:c>
      <x:c r="Q123" s="55" t="n">
        <x:v>1582</x:v>
      </x:c>
      <x:c r="R123" s="55" t="n">
        <x:v>1639</x:v>
      </x:c>
      <x:c r="S123" s="55" t="n">
        <x:v>2620</x:v>
      </x:c>
      <x:c r="T123" s="55" t="n">
        <x:v>1745</x:v>
      </x:c>
      <x:c r="U123" s="55" t="n">
        <x:v>2079</x:v>
      </x:c>
      <x:c r="V123" s="55" t="n">
        <x:v>10376</x:v>
      </x:c>
      <x:c r="W123" s="55" t="n">
        <x:v>7279</x:v>
      </x:c>
      <x:c r="X123" s="55" t="n">
        <x:v>3097</x:v>
      </x:c>
      <x:c r="Y123" s="55" t="n">
        <x:v>2737</x:v>
      </x:c>
      <x:c r="Z123" s="55" t="n">
        <x:v>3786</x:v>
      </x:c>
      <x:c r="AA123" s="55" t="n">
        <x:v>3343</x:v>
      </x:c>
      <x:c r="AB123" s="55" t="n">
        <x:v>1208</x:v>
      </x:c>
      <x:c r="AC123" s="55" t="n">
        <x:v>7861</x:v>
      </x:c>
      <x:c r="AD123" s="55" t="n">
        <x:v>2896</x:v>
      </x:c>
      <x:c r="AE123" s="55" t="n">
        <x:v>10448</x:v>
      </x:c>
      <x:c r="AF123" s="55" t="n">
        <x:v>10376</x:v>
      </x:c>
      <x:c r="AG123" s="55" t="n">
        <x:v>72</x:v>
      </x:c>
      <x:c r="AH123" s="55" t="n">
        <x:v>395</x:v>
      </x:c>
      <x:c r="AI123" s="55" t="n">
        <x:v>9981</x:v>
      </x:c>
      <x:c r="AJ123" s="55" t="n">
        <x:v>190</x:v>
      </x:c>
      <x:c r="AK123" s="55" t="n">
        <x:v>1075</x:v>
      </x:c>
      <x:c r="AL123" s="55" t="n">
        <x:v>1310</x:v>
      </x:c>
      <x:c r="AM123" s="55" t="n">
        <x:v>5215</x:v>
      </x:c>
      <x:c r="AN123" s="55" t="n">
        <x:v>2586</x:v>
      </x:c>
      <x:c r="AO123" s="55" t="n">
        <x:v>0</x:v>
      </x:c>
      <x:c r="AP123" s="55" t="n">
        <x:v>2273</x:v>
      </x:c>
      <x:c r="AQ123" s="55" t="n">
        <x:v>960</x:v>
      </x:c>
    </x:row>
    <x:row r="124">
      <x:c r="A124" s="54" t="str">
        <x:v>T2_CONCORDANT_DOMAIN</x:v>
      </x:c>
      <x:c r="B124" s="54" t="n">
        <x:v>118</x:v>
      </x:c>
      <x:c r="C124" s="54" t="str">
        <x:v>NYC-V2-R01</x:v>
      </x:c>
      <x:c r="D124" s="54" t="str">
        <x:v>V2</x:v>
      </x:c>
      <x:c r="E124" s="54" t="str">
        <x:v>ADMITTED</x:v>
      </x:c>
      <x:c r="F124" s="55" t="n">
        <x:v>30970</x:v>
      </x:c>
      <x:c r="G124" s="55" t="n">
        <x:v>7554</x:v>
      </x:c>
      <x:c r="H124" s="55" t="n">
        <x:v>3141</x:v>
      </x:c>
      <x:c r="I124" s="55" t="n">
        <x:v>1291</x:v>
      </x:c>
      <x:c r="J124" s="55" t="n">
        <x:v>233</x:v>
      </x:c>
      <x:c r="K124" s="55" t="n">
        <x:v>29202</x:v>
      </x:c>
      <x:c r="L124" s="55" t="n">
        <x:v>5027</x:v>
      </x:c>
      <x:c r="M124" s="55" t="n">
        <x:v>1416</x:v>
      </x:c>
      <x:c r="N124" s="55" t="n">
        <x:v>2002</x:v>
      </x:c>
      <x:c r="O124" s="55" t="n">
        <x:v>1609</x:v>
      </x:c>
      <x:c r="P124" s="55" t="n">
        <x:v>365</x:v>
      </x:c>
      <x:c r="Q124" s="55" t="n">
        <x:v>1684</x:v>
      </x:c>
      <x:c r="R124" s="55" t="n">
        <x:v>1828</x:v>
      </x:c>
      <x:c r="S124" s="55" t="n">
        <x:v>2770</x:v>
      </x:c>
      <x:c r="T124" s="55" t="n">
        <x:v>820</x:v>
      </x:c>
      <x:c r="U124" s="55" t="n">
        <x:v>1010</x:v>
      </x:c>
      <x:c r="V124" s="55" t="n">
        <x:v>10284</x:v>
      </x:c>
      <x:c r="W124" s="55" t="n">
        <x:v>7318</x:v>
      </x:c>
      <x:c r="X124" s="55" t="n">
        <x:v>2966</x:v>
      </x:c>
      <x:c r="Y124" s="55" t="n">
        <x:v>2446</x:v>
      </x:c>
      <x:c r="Z124" s="55" t="n">
        <x:v>3731</x:v>
      </x:c>
      <x:c r="AA124" s="55" t="n">
        <x:v>2319</x:v>
      </x:c>
      <x:c r="AB124" s="55" t="n">
        <x:v>720</x:v>
      </x:c>
      <x:c r="AC124" s="55" t="n">
        <x:v>7871</x:v>
      </x:c>
      <x:c r="AD124" s="55" t="n">
        <x:v>2457</x:v>
      </x:c>
      <x:c r="AE124" s="55" t="n">
        <x:v>10284</x:v>
      </x:c>
      <x:c r="AF124" s="55" t="n">
        <x:v>10284</x:v>
      </x:c>
      <x:c r="AG124" s="55" t="n">
        <x:v>0</x:v>
      </x:c>
      <x:c r="AH124" s="55" t="n">
        <x:v>295</x:v>
      </x:c>
      <x:c r="AI124" s="55" t="n">
        <x:v>9989</x:v>
      </x:c>
      <x:c r="AJ124" s="55" t="n">
        <x:v>265</x:v>
      </x:c>
      <x:c r="AK124" s="55" t="n">
        <x:v>801</x:v>
      </x:c>
      <x:c r="AL124" s="55" t="n">
        <x:v>1561</x:v>
      </x:c>
      <x:c r="AM124" s="55" t="n">
        <x:v>4871</x:v>
      </x:c>
      <x:c r="AN124" s="55" t="n">
        <x:v>2786</x:v>
      </x:c>
      <x:c r="AO124" s="55" t="n">
        <x:v>0</x:v>
      </x:c>
      <x:c r="AP124" s="55" t="n">
        <x:v>2205</x:v>
      </x:c>
      <x:c r="AQ124" s="55" t="n">
        <x:v>919</x:v>
      </x:c>
    </x:row>
    <x:row r="125">
      <x:c r="A125" s="54" t="str">
        <x:v>T2_CONCORDANT_DOMAIN</x:v>
      </x:c>
      <x:c r="B125" s="54" t="n">
        <x:v>119</x:v>
      </x:c>
      <x:c r="C125" s="54" t="str">
        <x:v>NYC-V2-R01</x:v>
      </x:c>
      <x:c r="D125" s="54" t="str">
        <x:v>V2</x:v>
      </x:c>
      <x:c r="E125" s="54" t="str">
        <x:v>ADMITTED</x:v>
      </x:c>
      <x:c r="F125" s="55" t="n">
        <x:v>31492</x:v>
      </x:c>
      <x:c r="G125" s="55" t="n">
        <x:v>8712</x:v>
      </x:c>
      <x:c r="H125" s="55" t="n">
        <x:v>3036</x:v>
      </x:c>
      <x:c r="I125" s="55" t="n">
        <x:v>1226</x:v>
      </x:c>
      <x:c r="J125" s="55" t="n">
        <x:v>100</x:v>
      </x:c>
      <x:c r="K125" s="55" t="n">
        <x:v>30019</x:v>
      </x:c>
      <x:c r="L125" s="55" t="n">
        <x:v>5776</x:v>
      </x:c>
      <x:c r="M125" s="55" t="n">
        <x:v>1487</x:v>
      </x:c>
      <x:c r="N125" s="55" t="n">
        <x:v>2395</x:v>
      </x:c>
      <x:c r="O125" s="55" t="n">
        <x:v>1894</x:v>
      </x:c>
      <x:c r="P125" s="55" t="n">
        <x:v>959</x:v>
      </x:c>
      <x:c r="Q125" s="55" t="n">
        <x:v>2144</x:v>
      </x:c>
      <x:c r="R125" s="55" t="n">
        <x:v>1884</x:v>
      </x:c>
      <x:c r="S125" s="55" t="n">
        <x:v>2983</x:v>
      </x:c>
      <x:c r="T125" s="55" t="n">
        <x:v>1297</x:v>
      </x:c>
      <x:c r="U125" s="55" t="n">
        <x:v>1864</x:v>
      </x:c>
      <x:c r="V125" s="55" t="n">
        <x:v>10532</x:v>
      </x:c>
      <x:c r="W125" s="55" t="n">
        <x:v>7644</x:v>
      </x:c>
      <x:c r="X125" s="55" t="n">
        <x:v>2888</x:v>
      </x:c>
      <x:c r="Y125" s="55" t="n">
        <x:v>2645</x:v>
      </x:c>
      <x:c r="Z125" s="55" t="n">
        <x:v>3544</x:v>
      </x:c>
      <x:c r="AA125" s="55" t="n">
        <x:v>3036</x:v>
      </x:c>
      <x:c r="AB125" s="55" t="n">
        <x:v>1080</x:v>
      </x:c>
      <x:c r="AC125" s="55" t="n">
        <x:v>8125</x:v>
      </x:c>
      <x:c r="AD125" s="55" t="n">
        <x:v>2431</x:v>
      </x:c>
      <x:c r="AE125" s="55" t="n">
        <x:v>10612</x:v>
      </x:c>
      <x:c r="AF125" s="55" t="n">
        <x:v>10532</x:v>
      </x:c>
      <x:c r="AG125" s="55" t="n">
        <x:v>80</x:v>
      </x:c>
      <x:c r="AH125" s="55" t="n">
        <x:v>346</x:v>
      </x:c>
      <x:c r="AI125" s="55" t="n">
        <x:v>10186</x:v>
      </x:c>
      <x:c r="AJ125" s="55" t="n">
        <x:v>466</x:v>
      </x:c>
      <x:c r="AK125" s="55" t="n">
        <x:v>855</x:v>
      </x:c>
      <x:c r="AL125" s="55" t="n">
        <x:v>1426</x:v>
      </x:c>
      <x:c r="AM125" s="55" t="n">
        <x:v>4843</x:v>
      </x:c>
      <x:c r="AN125" s="55" t="n">
        <x:v>2942</x:v>
      </x:c>
      <x:c r="AO125" s="55" t="n">
        <x:v>0</x:v>
      </x:c>
      <x:c r="AP125" s="55" t="n">
        <x:v>2398</x:v>
      </x:c>
      <x:c r="AQ125" s="55" t="n">
        <x:v>983</x:v>
      </x:c>
    </x:row>
    <x:row r="126">
      <x:c r="A126" s="54" t="str">
        <x:v>T2_CONCORDANT_DOMAIN</x:v>
      </x:c>
      <x:c r="B126" s="54" t="n">
        <x:v>120</x:v>
      </x:c>
      <x:c r="C126" s="54" t="str">
        <x:v>NYC-V2-R01</x:v>
      </x:c>
      <x:c r="D126" s="54" t="str">
        <x:v>V2</x:v>
      </x:c>
      <x:c r="E126" s="54" t="str">
        <x:v>ADMITTED</x:v>
      </x:c>
      <x:c r="F126" s="55" t="n">
        <x:v>30716</x:v>
      </x:c>
      <x:c r="G126" s="55" t="n">
        <x:v>7641</x:v>
      </x:c>
      <x:c r="H126" s="55" t="n">
        <x:v>3082</x:v>
      </x:c>
      <x:c r="I126" s="55" t="n">
        <x:v>927</x:v>
      </x:c>
      <x:c r="J126" s="55" t="n">
        <x:v>122</x:v>
      </x:c>
      <x:c r="K126" s="55" t="n">
        <x:v>30716</x:v>
      </x:c>
      <x:c r="L126" s="55" t="n">
        <x:v>4710</x:v>
      </x:c>
      <x:c r="M126" s="55" t="n">
        <x:v>616</x:v>
      </x:c>
      <x:c r="N126" s="55" t="n">
        <x:v>2555</x:v>
      </x:c>
      <x:c r="O126" s="55" t="n">
        <x:v>1539</x:v>
      </x:c>
      <x:c r="P126" s="55" t="n">
        <x:v>801</x:v>
      </x:c>
      <x:c r="Q126" s="55" t="n">
        <x:v>2927</x:v>
      </x:c>
      <x:c r="R126" s="55" t="n">
        <x:v>1619</x:v>
      </x:c>
      <x:c r="S126" s="55" t="n">
        <x:v>2791</x:v>
      </x:c>
      <x:c r="T126" s="55" t="n">
        <x:v>986</x:v>
      </x:c>
      <x:c r="U126" s="55" t="n">
        <x:v>1860</x:v>
      </x:c>
      <x:c r="V126" s="55" t="n">
        <x:v>11118</x:v>
      </x:c>
      <x:c r="W126" s="55" t="n">
        <x:v>8112</x:v>
      </x:c>
      <x:c r="X126" s="55" t="n">
        <x:v>3006</x:v>
      </x:c>
      <x:c r="Y126" s="55" t="n">
        <x:v>2637</x:v>
      </x:c>
      <x:c r="Z126" s="55" t="n">
        <x:v>3498</x:v>
      </x:c>
      <x:c r="AA126" s="55" t="n">
        <x:v>3082</x:v>
      </x:c>
      <x:c r="AB126" s="55" t="n">
        <x:v>1187</x:v>
      </x:c>
      <x:c r="AC126" s="55" t="n">
        <x:v>8283</x:v>
      </x:c>
      <x:c r="AD126" s="55" t="n">
        <x:v>2677</x:v>
      </x:c>
      <x:c r="AE126" s="55" t="n">
        <x:v>11157</x:v>
      </x:c>
      <x:c r="AF126" s="55" t="n">
        <x:v>11118</x:v>
      </x:c>
      <x:c r="AG126" s="55" t="n">
        <x:v>39</x:v>
      </x:c>
      <x:c r="AH126" s="55" t="n">
        <x:v>610</x:v>
      </x:c>
      <x:c r="AI126" s="55" t="n">
        <x:v>10508</x:v>
      </x:c>
      <x:c r="AJ126" s="55" t="n">
        <x:v>504</x:v>
      </x:c>
      <x:c r="AK126" s="55" t="n">
        <x:v>972</x:v>
      </x:c>
      <x:c r="AL126" s="55" t="n">
        <x:v>1944</x:v>
      </x:c>
      <x:c r="AM126" s="55" t="n">
        <x:v>5224</x:v>
      </x:c>
      <x:c r="AN126" s="55" t="n">
        <x:v>2455</x:v>
      </x:c>
      <x:c r="AO126" s="55" t="n">
        <x:v>19</x:v>
      </x:c>
      <x:c r="AP126" s="55" t="n">
        <x:v>2598</x:v>
      </x:c>
      <x:c r="AQ126" s="55" t="n">
        <x:v>969</x:v>
      </x:c>
    </x:row>
    <x:row r="127">
      <x:c r="A127" s="54" t="str">
        <x:v>T2_CONCORDANT_DOMAIN</x:v>
      </x:c>
      <x:c r="B127" s="54" t="n">
        <x:v>121</x:v>
      </x:c>
      <x:c r="C127" s="54" t="str">
        <x:v>NYC-V2-R01</x:v>
      </x:c>
      <x:c r="D127" s="54" t="str">
        <x:v>V2</x:v>
      </x:c>
      <x:c r="E127" s="54" t="str">
        <x:v>ADMITTED</x:v>
      </x:c>
      <x:c r="F127" s="55" t="n">
        <x:v>29126</x:v>
      </x:c>
      <x:c r="G127" s="55" t="n">
        <x:v>7003</x:v>
      </x:c>
      <x:c r="H127" s="55" t="n">
        <x:v>2881</x:v>
      </x:c>
      <x:c r="I127" s="55" t="n">
        <x:v>721</x:v>
      </x:c>
      <x:c r="J127" s="55" t="n">
        <x:v>88</x:v>
      </x:c>
      <x:c r="K127" s="55" t="n">
        <x:v>28891</x:v>
      </x:c>
      <x:c r="L127" s="55" t="n">
        <x:v>5047</x:v>
      </x:c>
      <x:c r="M127" s="55" t="n">
        <x:v>642</x:v>
      </x:c>
      <x:c r="N127" s="55" t="n">
        <x:v>2798</x:v>
      </x:c>
      <x:c r="O127" s="55" t="n">
        <x:v>1607</x:v>
      </x:c>
      <x:c r="P127" s="55" t="n">
        <x:v>743</x:v>
      </x:c>
      <x:c r="Q127" s="55" t="n">
        <x:v>2151</x:v>
      </x:c>
      <x:c r="R127" s="55" t="n">
        <x:v>1000</x:v>
      </x:c>
      <x:c r="S127" s="55" t="n">
        <x:v>3067</x:v>
      </x:c>
      <x:c r="T127" s="55" t="n">
        <x:v>1218</x:v>
      </x:c>
      <x:c r="U127" s="55" t="n">
        <x:v>1966</x:v>
      </x:c>
      <x:c r="V127" s="55" t="n">
        <x:v>10191</x:v>
      </x:c>
      <x:c r="W127" s="55" t="n">
        <x:v>7333</x:v>
      </x:c>
      <x:c r="X127" s="55" t="n">
        <x:v>2858</x:v>
      </x:c>
      <x:c r="Y127" s="55" t="n">
        <x:v>2290</x:v>
      </x:c>
      <x:c r="Z127" s="55" t="n">
        <x:v>3964</x:v>
      </x:c>
      <x:c r="AA127" s="55" t="n">
        <x:v>2881</x:v>
      </x:c>
      <x:c r="AB127" s="55" t="n">
        <x:v>717</x:v>
      </x:c>
      <x:c r="AC127" s="55" t="n">
        <x:v>8128</x:v>
      </x:c>
      <x:c r="AD127" s="55" t="n">
        <x:v>2775</x:v>
      </x:c>
      <x:c r="AE127" s="55" t="n">
        <x:v>10287</x:v>
      </x:c>
      <x:c r="AF127" s="55" t="n">
        <x:v>10191</x:v>
      </x:c>
      <x:c r="AG127" s="55" t="n">
        <x:v>96</x:v>
      </x:c>
      <x:c r="AH127" s="55" t="n">
        <x:v>483</x:v>
      </x:c>
      <x:c r="AI127" s="55" t="n">
        <x:v>9708</x:v>
      </x:c>
      <x:c r="AJ127" s="55" t="n">
        <x:v>435</x:v>
      </x:c>
      <x:c r="AK127" s="55" t="n">
        <x:v>963</x:v>
      </x:c>
      <x:c r="AL127" s="55" t="n">
        <x:v>1626</x:v>
      </x:c>
      <x:c r="AM127" s="55" t="n">
        <x:v>4851</x:v>
      </x:c>
      <x:c r="AN127" s="55" t="n">
        <x:v>2301</x:v>
      </x:c>
      <x:c r="AO127" s="55" t="n">
        <x:v>15</x:v>
      </x:c>
      <x:c r="AP127" s="55" t="n">
        <x:v>2265</x:v>
      </x:c>
      <x:c r="AQ127" s="55" t="n">
        <x:v>957</x:v>
      </x:c>
    </x:row>
    <x:row r="128">
      <x:c r="A128" s="54" t="str">
        <x:v>T2_CONCORDANT_DOMAIN</x:v>
      </x:c>
      <x:c r="B128" s="54" t="n">
        <x:v>122</x:v>
      </x:c>
      <x:c r="C128" s="54" t="str">
        <x:v>NYC-V2-R01</x:v>
      </x:c>
      <x:c r="D128" s="54" t="str">
        <x:v>V2</x:v>
      </x:c>
      <x:c r="E128" s="54" t="str">
        <x:v>ADMITTED</x:v>
      </x:c>
      <x:c r="F128" s="55" t="n">
        <x:v>31163</x:v>
      </x:c>
      <x:c r="G128" s="55" t="n">
        <x:v>7164</x:v>
      </x:c>
      <x:c r="H128" s="55" t="n">
        <x:v>3365</x:v>
      </x:c>
      <x:c r="I128" s="55" t="n">
        <x:v>858</x:v>
      </x:c>
      <x:c r="J128" s="55" t="n">
        <x:v>76</x:v>
      </x:c>
      <x:c r="K128" s="55" t="n">
        <x:v>31163</x:v>
      </x:c>
      <x:c r="L128" s="55" t="n">
        <x:v>6339</x:v>
      </x:c>
      <x:c r="M128" s="55" t="n">
        <x:v>1994</x:v>
      </x:c>
      <x:c r="N128" s="55" t="n">
        <x:v>2821</x:v>
      </x:c>
      <x:c r="O128" s="55" t="n">
        <x:v>1524</x:v>
      </x:c>
      <x:c r="P128" s="55" t="n">
        <x:v>885</x:v>
      </x:c>
      <x:c r="Q128" s="55" t="n">
        <x:v>2605</x:v>
      </x:c>
      <x:c r="R128" s="55" t="n">
        <x:v>1682</x:v>
      </x:c>
      <x:c r="S128" s="55" t="n">
        <x:v>2927</x:v>
      </x:c>
      <x:c r="T128" s="55" t="n">
        <x:v>1027</x:v>
      </x:c>
      <x:c r="U128" s="55" t="n">
        <x:v>1975</x:v>
      </x:c>
      <x:c r="V128" s="55" t="n">
        <x:v>10330</x:v>
      </x:c>
      <x:c r="W128" s="55" t="n">
        <x:v>7022</x:v>
      </x:c>
      <x:c r="X128" s="55" t="n">
        <x:v>3308</x:v>
      </x:c>
      <x:c r="Y128" s="55" t="n">
        <x:v>2811</x:v>
      </x:c>
      <x:c r="Z128" s="55" t="n">
        <x:v>3797</x:v>
      </x:c>
      <x:c r="AA128" s="55" t="n">
        <x:v>3365</x:v>
      </x:c>
      <x:c r="AB128" s="55" t="n">
        <x:v>1091</x:v>
      </x:c>
      <x:c r="AC128" s="55" t="n">
        <x:v>7799</x:v>
      </x:c>
      <x:c r="AD128" s="55" t="n">
        <x:v>2992</x:v>
      </x:c>
      <x:c r="AE128" s="55" t="n">
        <x:v>10457</x:v>
      </x:c>
      <x:c r="AF128" s="55" t="n">
        <x:v>10330</x:v>
      </x:c>
      <x:c r="AG128" s="55" t="n">
        <x:v>127</x:v>
      </x:c>
      <x:c r="AH128" s="55" t="n">
        <x:v>432</x:v>
      </x:c>
      <x:c r="AI128" s="55" t="n">
        <x:v>9898</x:v>
      </x:c>
      <x:c r="AJ128" s="55" t="n">
        <x:v>70</x:v>
      </x:c>
      <x:c r="AK128" s="55" t="n">
        <x:v>813</x:v>
      </x:c>
      <x:c r="AL128" s="55" t="n">
        <x:v>1584</x:v>
      </x:c>
      <x:c r="AM128" s="55" t="n">
        <x:v>5043</x:v>
      </x:c>
      <x:c r="AN128" s="55" t="n">
        <x:v>2752</x:v>
      </x:c>
      <x:c r="AO128" s="55" t="n">
        <x:v>68</x:v>
      </x:c>
      <x:c r="AP128" s="55" t="n">
        <x:v>2167</x:v>
      </x:c>
      <x:c r="AQ128" s="55" t="n">
        <x:v>992</x:v>
      </x:c>
    </x:row>
    <x:row r="129">
      <x:c r="A129" s="54" t="str">
        <x:v>T2_CONCORDANT_DOMAIN</x:v>
      </x:c>
      <x:c r="B129" s="54" t="n">
        <x:v>123</x:v>
      </x:c>
      <x:c r="C129" s="54" t="str">
        <x:v>NYC-V2-R01</x:v>
      </x:c>
      <x:c r="D129" s="54" t="str">
        <x:v>V2</x:v>
      </x:c>
      <x:c r="E129" s="54" t="str">
        <x:v>ADMITTED</x:v>
      </x:c>
      <x:c r="F129" s="55" t="n">
        <x:v>29599</x:v>
      </x:c>
      <x:c r="G129" s="55" t="n">
        <x:v>7269</x:v>
      </x:c>
      <x:c r="H129" s="55" t="n">
        <x:v>3084</x:v>
      </x:c>
      <x:c r="I129" s="55" t="n">
        <x:v>1004</x:v>
      </x:c>
      <x:c r="J129" s="55" t="n">
        <x:v>138</x:v>
      </x:c>
      <x:c r="K129" s="55" t="n">
        <x:v>27866</x:v>
      </x:c>
      <x:c r="L129" s="55" t="n">
        <x:v>5133</x:v>
      </x:c>
      <x:c r="M129" s="55" t="n">
        <x:v>1032</x:v>
      </x:c>
      <x:c r="N129" s="55" t="n">
        <x:v>2686</x:v>
      </x:c>
      <x:c r="O129" s="55" t="n">
        <x:v>1415</x:v>
      </x:c>
      <x:c r="P129" s="55" t="n">
        <x:v>882</x:v>
      </x:c>
      <x:c r="Q129" s="55" t="n">
        <x:v>1997</x:v>
      </x:c>
      <x:c r="R129" s="55" t="n">
        <x:v>1830</x:v>
      </x:c>
      <x:c r="S129" s="55" t="n">
        <x:v>3184</x:v>
      </x:c>
      <x:c r="T129" s="55" t="n">
        <x:v>1003</x:v>
      </x:c>
      <x:c r="U129" s="55" t="n">
        <x:v>1939</x:v>
      </x:c>
      <x:c r="V129" s="55" t="n">
        <x:v>10267</x:v>
      </x:c>
      <x:c r="W129" s="55" t="n">
        <x:v>7660</x:v>
      </x:c>
      <x:c r="X129" s="55" t="n">
        <x:v>2607</x:v>
      </x:c>
      <x:c r="Y129" s="55" t="n">
        <x:v>2054</x:v>
      </x:c>
      <x:c r="Z129" s="55" t="n">
        <x:v>3294</x:v>
      </x:c>
      <x:c r="AA129" s="55" t="n">
        <x:v>2566</x:v>
      </x:c>
      <x:c r="AB129" s="55" t="n">
        <x:v>946</x:v>
      </x:c>
      <x:c r="AC129" s="55" t="n">
        <x:v>7534</x:v>
      </x:c>
      <x:c r="AD129" s="55" t="n">
        <x:v>2712</x:v>
      </x:c>
      <x:c r="AE129" s="55" t="n">
        <x:v>10387</x:v>
      </x:c>
      <x:c r="AF129" s="55" t="n">
        <x:v>10267</x:v>
      </x:c>
      <x:c r="AG129" s="55" t="n">
        <x:v>120</x:v>
      </x:c>
      <x:c r="AH129" s="55" t="n">
        <x:v>363</x:v>
      </x:c>
      <x:c r="AI129" s="55" t="n">
        <x:v>9904</x:v>
      </x:c>
      <x:c r="AJ129" s="55" t="n">
        <x:v>275</x:v>
      </x:c>
      <x:c r="AK129" s="55" t="n">
        <x:v>864</x:v>
      </x:c>
      <x:c r="AL129" s="55" t="n">
        <x:v>1640</x:v>
      </x:c>
      <x:c r="AM129" s="55" t="n">
        <x:v>5025</x:v>
      </x:c>
      <x:c r="AN129" s="55" t="n">
        <x:v>2461</x:v>
      </x:c>
      <x:c r="AO129" s="55" t="n">
        <x:v>2</x:v>
      </x:c>
      <x:c r="AP129" s="55" t="n">
        <x:v>2410</x:v>
      </x:c>
      <x:c r="AQ129" s="55" t="n">
        <x:v>950</x:v>
      </x:c>
    </x:row>
    <x:row r="130">
      <x:c r="A130" s="54" t="str">
        <x:v>T2_CONCORDANT_DOMAIN</x:v>
      </x:c>
      <x:c r="B130" s="54" t="n">
        <x:v>124</x:v>
      </x:c>
      <x:c r="C130" s="54" t="str">
        <x:v>NYC-V2-R01</x:v>
      </x:c>
      <x:c r="D130" s="54" t="str">
        <x:v>V2</x:v>
      </x:c>
      <x:c r="E130" s="54" t="str">
        <x:v>ADMITTED</x:v>
      </x:c>
      <x:c r="F130" s="55" t="n">
        <x:v>30324</x:v>
      </x:c>
      <x:c r="G130" s="55" t="n">
        <x:v>7562</x:v>
      </x:c>
      <x:c r="H130" s="55" t="n">
        <x:v>3108</x:v>
      </x:c>
      <x:c r="I130" s="55" t="n">
        <x:v>1311</x:v>
      </x:c>
      <x:c r="J130" s="55" t="n">
        <x:v>215</x:v>
      </x:c>
      <x:c r="K130" s="55" t="n">
        <x:v>30086</x:v>
      </x:c>
      <x:c r="L130" s="55" t="n">
        <x:v>5235</x:v>
      </x:c>
      <x:c r="M130" s="55" t="n">
        <x:v>1035</x:v>
      </x:c>
      <x:c r="N130" s="55" t="n">
        <x:v>2705</x:v>
      </x:c>
      <x:c r="O130" s="55" t="n">
        <x:v>1495</x:v>
      </x:c>
      <x:c r="P130" s="55" t="n">
        <x:v>1079</x:v>
      </x:c>
      <x:c r="Q130" s="55" t="n">
        <x:v>2237</x:v>
      </x:c>
      <x:c r="R130" s="55" t="n">
        <x:v>2049</x:v>
      </x:c>
      <x:c r="S130" s="55" t="n">
        <x:v>2767</x:v>
      </x:c>
      <x:c r="T130" s="55" t="n">
        <x:v>1388</x:v>
      </x:c>
      <x:c r="U130" s="55" t="n">
        <x:v>2157</x:v>
      </x:c>
      <x:c r="V130" s="55" t="n">
        <x:v>10321</x:v>
      </x:c>
      <x:c r="W130" s="55" t="n">
        <x:v>7202</x:v>
      </x:c>
      <x:c r="X130" s="55" t="n">
        <x:v>3119</x:v>
      </x:c>
      <x:c r="Y130" s="55" t="n">
        <x:v>2698</x:v>
      </x:c>
      <x:c r="Z130" s="55" t="n">
        <x:v>3506</x:v>
      </x:c>
      <x:c r="AA130" s="55" t="n">
        <x:v>3108</x:v>
      </x:c>
      <x:c r="AB130" s="55" t="n">
        <x:v>1087</x:v>
      </x:c>
      <x:c r="AC130" s="55" t="n">
        <x:v>7973</x:v>
      </x:c>
      <x:c r="AD130" s="55" t="n">
        <x:v>3174</x:v>
      </x:c>
      <x:c r="AE130" s="55" t="n">
        <x:v>10477</x:v>
      </x:c>
      <x:c r="AF130" s="55" t="n">
        <x:v>10321</x:v>
      </x:c>
      <x:c r="AG130" s="55" t="n">
        <x:v>156</x:v>
      </x:c>
      <x:c r="AH130" s="55" t="n">
        <x:v>305</x:v>
      </x:c>
      <x:c r="AI130" s="55" t="n">
        <x:v>10016</x:v>
      </x:c>
      <x:c r="AJ130" s="55" t="n">
        <x:v>458</x:v>
      </x:c>
      <x:c r="AK130" s="55" t="n">
        <x:v>773</x:v>
      </x:c>
      <x:c r="AL130" s="55" t="n">
        <x:v>1812</x:v>
      </x:c>
      <x:c r="AM130" s="55" t="n">
        <x:v>4746</x:v>
      </x:c>
      <x:c r="AN130" s="55" t="n">
        <x:v>2471</x:v>
      </x:c>
      <x:c r="AO130" s="55" t="n">
        <x:v>61</x:v>
      </x:c>
      <x:c r="AP130" s="55" t="n">
        <x:v>2397</x:v>
      </x:c>
      <x:c r="AQ130" s="55" t="n">
        <x:v>974</x:v>
      </x:c>
    </x:row>
    <x:row r="131">
      <x:c r="A131" s="54" t="str">
        <x:v>T2_CONCORDANT_DOMAIN</x:v>
      </x:c>
      <x:c r="B131" s="54" t="n">
        <x:v>125</x:v>
      </x:c>
      <x:c r="C131" s="54" t="str">
        <x:v>NYC-V2-R01</x:v>
      </x:c>
      <x:c r="D131" s="54" t="str">
        <x:v>V2</x:v>
      </x:c>
      <x:c r="E131" s="54" t="str">
        <x:v>ADMITTED</x:v>
      </x:c>
      <x:c r="F131" s="55" t="n">
        <x:v>31716</x:v>
      </x:c>
      <x:c r="G131" s="55" t="n">
        <x:v>7827</x:v>
      </x:c>
      <x:c r="H131" s="55" t="n">
        <x:v>3142</x:v>
      </x:c>
      <x:c r="I131" s="55" t="n">
        <x:v>1240</x:v>
      </x:c>
      <x:c r="J131" s="55" t="n">
        <x:v>165</x:v>
      </x:c>
      <x:c r="K131" s="55" t="n">
        <x:v>31716</x:v>
      </x:c>
      <x:c r="L131" s="55" t="n">
        <x:v>5609</x:v>
      </x:c>
      <x:c r="M131" s="55" t="n">
        <x:v>1290</x:v>
      </x:c>
      <x:c r="N131" s="55" t="n">
        <x:v>2491</x:v>
      </x:c>
      <x:c r="O131" s="55" t="n">
        <x:v>1828</x:v>
      </x:c>
      <x:c r="P131" s="55" t="n">
        <x:v>952</x:v>
      </x:c>
      <x:c r="Q131" s="55" t="n">
        <x:v>1562</x:v>
      </x:c>
      <x:c r="R131" s="55" t="n">
        <x:v>2173</x:v>
      </x:c>
      <x:c r="S131" s="55" t="n">
        <x:v>2493</x:v>
      </x:c>
      <x:c r="T131" s="55" t="n">
        <x:v>1073</x:v>
      </x:c>
      <x:c r="U131" s="55" t="n">
        <x:v>2044</x:v>
      </x:c>
      <x:c r="V131" s="55" t="n">
        <x:v>11052</x:v>
      </x:c>
      <x:c r="W131" s="55" t="n">
        <x:v>8122</x:v>
      </x:c>
      <x:c r="X131" s="55" t="n">
        <x:v>2930</x:v>
      </x:c>
      <x:c r="Y131" s="55" t="n">
        <x:v>2848</x:v>
      </x:c>
      <x:c r="Z131" s="55" t="n">
        <x:v>3907</x:v>
      </x:c>
      <x:c r="AA131" s="55" t="n">
        <x:v>3069</x:v>
      </x:c>
      <x:c r="AB131" s="55" t="n">
        <x:v>938</x:v>
      </x:c>
      <x:c r="AC131" s="55" t="n">
        <x:v>8459</x:v>
      </x:c>
      <x:c r="AD131" s="55" t="n">
        <x:v>3550</x:v>
      </x:c>
      <x:c r="AE131" s="55" t="n">
        <x:v>11169</x:v>
      </x:c>
      <x:c r="AF131" s="55" t="n">
        <x:v>11052</x:v>
      </x:c>
      <x:c r="AG131" s="55" t="n">
        <x:v>117</x:v>
      </x:c>
      <x:c r="AH131" s="55" t="n">
        <x:v>555</x:v>
      </x:c>
      <x:c r="AI131" s="55" t="n">
        <x:v>10497</x:v>
      </x:c>
      <x:c r="AJ131" s="55" t="n">
        <x:v>411</x:v>
      </x:c>
      <x:c r="AK131" s="55" t="n">
        <x:v>1266</x:v>
      </x:c>
      <x:c r="AL131" s="55" t="n">
        <x:v>1393</x:v>
      </x:c>
      <x:c r="AM131" s="55" t="n">
        <x:v>5266</x:v>
      </x:c>
      <x:c r="AN131" s="55" t="n">
        <x:v>2681</x:v>
      </x:c>
      <x:c r="AO131" s="55" t="n">
        <x:v>35</x:v>
      </x:c>
      <x:c r="AP131" s="55" t="n">
        <x:v>2167</x:v>
      </x:c>
      <x:c r="AQ131" s="55" t="n">
        <x:v>964</x:v>
      </x:c>
    </x:row>
    <x:row r="132">
      <x:c r="A132" s="54" t="str">
        <x:v>T2_CONCORDANT_DOMAIN</x:v>
      </x:c>
      <x:c r="B132" s="54" t="n">
        <x:v>126</x:v>
      </x:c>
      <x:c r="C132" s="54" t="str">
        <x:v>NYC-V2-R01</x:v>
      </x:c>
      <x:c r="D132" s="54" t="str">
        <x:v>V2</x:v>
      </x:c>
      <x:c r="E132" s="54" t="str">
        <x:v>ADMITTED</x:v>
      </x:c>
      <x:c r="F132" s="55" t="n">
        <x:v>32732</x:v>
      </x:c>
      <x:c r="G132" s="55" t="n">
        <x:v>8426</x:v>
      </x:c>
      <x:c r="H132" s="55" t="n">
        <x:v>3660</x:v>
      </x:c>
      <x:c r="I132" s="55" t="n">
        <x:v>1392</x:v>
      </x:c>
      <x:c r="J132" s="55" t="n">
        <x:v>308</x:v>
      </x:c>
      <x:c r="K132" s="55" t="n">
        <x:v>31187</x:v>
      </x:c>
      <x:c r="L132" s="55" t="n">
        <x:v>6974</x:v>
      </x:c>
      <x:c r="M132" s="55" t="n">
        <x:v>1415</x:v>
      </x:c>
      <x:c r="N132" s="55" t="n">
        <x:v>3249</x:v>
      </x:c>
      <x:c r="O132" s="55" t="n">
        <x:v>2310</x:v>
      </x:c>
      <x:c r="P132" s="55" t="n">
        <x:v>1248</x:v>
      </x:c>
      <x:c r="Q132" s="55" t="n">
        <x:v>2807</x:v>
      </x:c>
      <x:c r="R132" s="55" t="n">
        <x:v>2378</x:v>
      </x:c>
      <x:c r="S132" s="55" t="n">
        <x:v>2679</x:v>
      </x:c>
      <x:c r="T132" s="55" t="n">
        <x:v>1366</x:v>
      </x:c>
      <x:c r="U132" s="55" t="n">
        <x:v>2193</x:v>
      </x:c>
      <x:c r="V132" s="55" t="n">
        <x:v>11066</x:v>
      </x:c>
      <x:c r="W132" s="55" t="n">
        <x:v>7722</x:v>
      </x:c>
      <x:c r="X132" s="55" t="n">
        <x:v>3344</x:v>
      </x:c>
      <x:c r="Y132" s="55" t="n">
        <x:v>2943</x:v>
      </x:c>
      <x:c r="Z132" s="55" t="n">
        <x:v>4080</x:v>
      </x:c>
      <x:c r="AA132" s="55" t="n">
        <x:v>2843</x:v>
      </x:c>
      <x:c r="AB132" s="55" t="n">
        <x:v>1096</x:v>
      </x:c>
      <x:c r="AC132" s="55" t="n">
        <x:v>7969</x:v>
      </x:c>
      <x:c r="AD132" s="55" t="n">
        <x:v>2685</x:v>
      </x:c>
      <x:c r="AE132" s="55" t="n">
        <x:v>11237</x:v>
      </x:c>
      <x:c r="AF132" s="55" t="n">
        <x:v>11066</x:v>
      </x:c>
      <x:c r="AG132" s="55" t="n">
        <x:v>171</x:v>
      </x:c>
      <x:c r="AH132" s="55" t="n">
        <x:v>646</x:v>
      </x:c>
      <x:c r="AI132" s="55" t="n">
        <x:v>10420</x:v>
      </x:c>
      <x:c r="AJ132" s="55" t="n">
        <x:v>509</x:v>
      </x:c>
      <x:c r="AK132" s="55" t="n">
        <x:v>1001</x:v>
      </x:c>
      <x:c r="AL132" s="55" t="n">
        <x:v>1928</x:v>
      </x:c>
      <x:c r="AM132" s="55" t="n">
        <x:v>5223</x:v>
      </x:c>
      <x:c r="AN132" s="55" t="n">
        <x:v>2358</x:v>
      </x:c>
      <x:c r="AO132" s="55" t="n">
        <x:v>47</x:v>
      </x:c>
      <x:c r="AP132" s="55" t="n">
        <x:v>3141</x:v>
      </x:c>
      <x:c r="AQ132" s="55" t="n">
        <x:v>974</x:v>
      </x:c>
    </x:row>
    <x:row r="133">
      <x:c r="A133" s="54" t="str">
        <x:v>T2_CONCORDANT_DOMAIN</x:v>
      </x:c>
      <x:c r="B133" s="54" t="n">
        <x:v>127</x:v>
      </x:c>
      <x:c r="C133" s="54" t="str">
        <x:v>NYC-V2-R01</x:v>
      </x:c>
      <x:c r="D133" s="54" t="str">
        <x:v>V2</x:v>
      </x:c>
      <x:c r="E133" s="54" t="str">
        <x:v>ADMITTED</x:v>
      </x:c>
      <x:c r="F133" s="55" t="n">
        <x:v>32031</x:v>
      </x:c>
      <x:c r="G133" s="55" t="n">
        <x:v>7107</x:v>
      </x:c>
      <x:c r="H133" s="55" t="n">
        <x:v>3613</x:v>
      </x:c>
      <x:c r="I133" s="55" t="n">
        <x:v>1251</x:v>
      </x:c>
      <x:c r="J133" s="55" t="n">
        <x:v>112</x:v>
      </x:c>
      <x:c r="K133" s="55" t="n">
        <x:v>32031</x:v>
      </x:c>
      <x:c r="L133" s="55" t="n">
        <x:v>5426</x:v>
      </x:c>
      <x:c r="M133" s="55" t="n">
        <x:v>954</x:v>
      </x:c>
      <x:c r="N133" s="55" t="n">
        <x:v>2648</x:v>
      </x:c>
      <x:c r="O133" s="55" t="n">
        <x:v>1824</x:v>
      </x:c>
      <x:c r="P133" s="55" t="n">
        <x:v>842</x:v>
      </x:c>
      <x:c r="Q133" s="55" t="n">
        <x:v>2782</x:v>
      </x:c>
      <x:c r="R133" s="55" t="n">
        <x:v>1909</x:v>
      </x:c>
      <x:c r="S133" s="55" t="n">
        <x:v>2899</x:v>
      </x:c>
      <x:c r="T133" s="55" t="n">
        <x:v>1141</x:v>
      </x:c>
      <x:c r="U133" s="55" t="n">
        <x:v>2058</x:v>
      </x:c>
      <x:c r="V133" s="55" t="n">
        <x:v>10048</x:v>
      </x:c>
      <x:c r="W133" s="55" t="n">
        <x:v>7198</x:v>
      </x:c>
      <x:c r="X133" s="55" t="n">
        <x:v>2850</x:v>
      </x:c>
      <x:c r="Y133" s="55" t="n">
        <x:v>2394</x:v>
      </x:c>
      <x:c r="Z133" s="55" t="n">
        <x:v>4113</x:v>
      </x:c>
      <x:c r="AA133" s="55" t="n">
        <x:v>3613</x:v>
      </x:c>
      <x:c r="AB133" s="55" t="n">
        <x:v>1384</x:v>
      </x:c>
      <x:c r="AC133" s="55" t="n">
        <x:v>7707</x:v>
      </x:c>
      <x:c r="AD133" s="55" t="n">
        <x:v>2453</x:v>
      </x:c>
      <x:c r="AE133" s="55" t="n">
        <x:v>10134</x:v>
      </x:c>
      <x:c r="AF133" s="55" t="n">
        <x:v>10048</x:v>
      </x:c>
      <x:c r="AG133" s="55" t="n">
        <x:v>86</x:v>
      </x:c>
      <x:c r="AH133" s="55" t="n">
        <x:v>480</x:v>
      </x:c>
      <x:c r="AI133" s="55" t="n">
        <x:v>9568</x:v>
      </x:c>
      <x:c r="AJ133" s="55" t="n">
        <x:v>376</x:v>
      </x:c>
      <x:c r="AK133" s="55" t="n">
        <x:v>587</x:v>
      </x:c>
      <x:c r="AL133" s="55" t="n">
        <x:v>1395</x:v>
      </x:c>
      <x:c r="AM133" s="55" t="n">
        <x:v>5227</x:v>
      </x:c>
      <x:c r="AN133" s="55" t="n">
        <x:v>2418</x:v>
      </x:c>
      <x:c r="AO133" s="55" t="n">
        <x:v>45</x:v>
      </x:c>
      <x:c r="AP133" s="55" t="n">
        <x:v>2650</x:v>
      </x:c>
      <x:c r="AQ133" s="55" t="n">
        <x:v>986</x:v>
      </x:c>
    </x:row>
    <x:row r="134">
      <x:c r="A134" s="54" t="str">
        <x:v>T2_CONCORDANT_DOMAIN</x:v>
      </x:c>
      <x:c r="B134" s="54" t="n">
        <x:v>128</x:v>
      </x:c>
      <x:c r="C134" s="54" t="str">
        <x:v>NYC-V2-R01</x:v>
      </x:c>
      <x:c r="D134" s="54" t="str">
        <x:v>V2</x:v>
      </x:c>
      <x:c r="E134" s="54" t="str">
        <x:v>ADMITTED</x:v>
      </x:c>
      <x:c r="F134" s="55" t="n">
        <x:v>29804</x:v>
      </x:c>
      <x:c r="G134" s="55" t="n">
        <x:v>7875</x:v>
      </x:c>
      <x:c r="H134" s="55" t="n">
        <x:v>3321</x:v>
      </x:c>
      <x:c r="I134" s="55" t="n">
        <x:v>1284</x:v>
      </x:c>
      <x:c r="J134" s="55" t="n">
        <x:v>191</x:v>
      </x:c>
      <x:c r="K134" s="55" t="n">
        <x:v>29067</x:v>
      </x:c>
      <x:c r="L134" s="55" t="n">
        <x:v>5031</x:v>
      </x:c>
      <x:c r="M134" s="55" t="n">
        <x:v>0</x:v>
      </x:c>
      <x:c r="N134" s="55" t="n">
        <x:v>2710</x:v>
      </x:c>
      <x:c r="O134" s="55" t="n">
        <x:v>2321</x:v>
      </x:c>
      <x:c r="P134" s="55" t="n">
        <x:v>676</x:v>
      </x:c>
      <x:c r="Q134" s="55" t="n">
        <x:v>2428</x:v>
      </x:c>
      <x:c r="R134" s="55" t="n">
        <x:v>1684</x:v>
      </x:c>
      <x:c r="S134" s="55" t="n">
        <x:v>2663</x:v>
      </x:c>
      <x:c r="T134" s="55" t="n">
        <x:v>791</x:v>
      </x:c>
      <x:c r="U134" s="55" t="n">
        <x:v>2057</x:v>
      </x:c>
      <x:c r="V134" s="55" t="n">
        <x:v>9998</x:v>
      </x:c>
      <x:c r="W134" s="55" t="n">
        <x:v>6990</x:v>
      </x:c>
      <x:c r="X134" s="55" t="n">
        <x:v>3008</x:v>
      </x:c>
      <x:c r="Y134" s="55" t="n">
        <x:v>2577</x:v>
      </x:c>
      <x:c r="Z134" s="55" t="n">
        <x:v>3426</x:v>
      </x:c>
      <x:c r="AA134" s="55" t="n">
        <x:v>3321</x:v>
      </x:c>
      <x:c r="AB134" s="55" t="n">
        <x:v>1095</x:v>
      </x:c>
      <x:c r="AC134" s="55" t="n">
        <x:v>7435</x:v>
      </x:c>
      <x:c r="AD134" s="55" t="n">
        <x:v>2813</x:v>
      </x:c>
      <x:c r="AE134" s="55" t="n">
        <x:v>10101</x:v>
      </x:c>
      <x:c r="AF134" s="55" t="n">
        <x:v>9998</x:v>
      </x:c>
      <x:c r="AG134" s="55" t="n">
        <x:v>103</x:v>
      </x:c>
      <x:c r="AH134" s="55" t="n">
        <x:v>440</x:v>
      </x:c>
      <x:c r="AI134" s="55" t="n">
        <x:v>9558</x:v>
      </x:c>
      <x:c r="AJ134" s="55" t="n">
        <x:v>248</x:v>
      </x:c>
      <x:c r="AK134" s="55" t="n">
        <x:v>1261</x:v>
      </x:c>
      <x:c r="AL134" s="55" t="n">
        <x:v>1500</x:v>
      </x:c>
      <x:c r="AM134" s="55" t="n">
        <x:v>4405</x:v>
      </x:c>
      <x:c r="AN134" s="55" t="n">
        <x:v>2584</x:v>
      </x:c>
      <x:c r="AO134" s="55" t="n">
        <x:v>0</x:v>
      </x:c>
      <x:c r="AP134" s="55" t="n">
        <x:v>2385</x:v>
      </x:c>
      <x:c r="AQ134" s="55" t="n">
        <x:v>986</x:v>
      </x:c>
    </x:row>
    <x:row r="135">
      <x:c r="A135" s="54" t="str">
        <x:v>T2_CONCORDANT_DOMAIN</x:v>
      </x:c>
      <x:c r="B135" s="54" t="n">
        <x:v>129</x:v>
      </x:c>
      <x:c r="C135" s="54" t="str">
        <x:v>NYC-V2-R01</x:v>
      </x:c>
      <x:c r="D135" s="54" t="str">
        <x:v>V2</x:v>
      </x:c>
      <x:c r="E135" s="54" t="str">
        <x:v>ADMITTED</x:v>
      </x:c>
      <x:c r="F135" s="55" t="n">
        <x:v>30256</x:v>
      </x:c>
      <x:c r="G135" s="55" t="n">
        <x:v>7589</x:v>
      </x:c>
      <x:c r="H135" s="55" t="n">
        <x:v>3015</x:v>
      </x:c>
      <x:c r="I135" s="55" t="n">
        <x:v>1212</x:v>
      </x:c>
      <x:c r="J135" s="55" t="n">
        <x:v>242</x:v>
      </x:c>
      <x:c r="K135" s="55" t="n">
        <x:v>29417</x:v>
      </x:c>
      <x:c r="L135" s="55" t="n">
        <x:v>4027</x:v>
      </x:c>
      <x:c r="M135" s="55" t="n">
        <x:v>375</x:v>
      </x:c>
      <x:c r="N135" s="55" t="n">
        <x:v>2256</x:v>
      </x:c>
      <x:c r="O135" s="55" t="n">
        <x:v>1396</x:v>
      </x:c>
      <x:c r="P135" s="55" t="n">
        <x:v>539</x:v>
      </x:c>
      <x:c r="Q135" s="55" t="n">
        <x:v>2314</x:v>
      </x:c>
      <x:c r="R135" s="55" t="n">
        <x:v>2032</x:v>
      </x:c>
      <x:c r="S135" s="55" t="n">
        <x:v>2296</x:v>
      </x:c>
      <x:c r="T135" s="55" t="n">
        <x:v>1236</x:v>
      </x:c>
      <x:c r="U135" s="55" t="n">
        <x:v>2244</x:v>
      </x:c>
      <x:c r="V135" s="55" t="n">
        <x:v>10384</x:v>
      </x:c>
      <x:c r="W135" s="55" t="n">
        <x:v>7233</x:v>
      </x:c>
      <x:c r="X135" s="55" t="n">
        <x:v>3151</x:v>
      </x:c>
      <x:c r="Y135" s="55" t="n">
        <x:v>2837</x:v>
      </x:c>
      <x:c r="Z135" s="55" t="n">
        <x:v>3768</x:v>
      </x:c>
      <x:c r="AA135" s="55" t="n">
        <x:v>3015</x:v>
      </x:c>
      <x:c r="AB135" s="55" t="n">
        <x:v>1098</x:v>
      </x:c>
      <x:c r="AC135" s="55" t="n">
        <x:v>8738</x:v>
      </x:c>
      <x:c r="AD135" s="55" t="n">
        <x:v>3111</x:v>
      </x:c>
      <x:c r="AE135" s="55" t="n">
        <x:v>10525</x:v>
      </x:c>
      <x:c r="AF135" s="55" t="n">
        <x:v>10384</x:v>
      </x:c>
      <x:c r="AG135" s="55" t="n">
        <x:v>141</x:v>
      </x:c>
      <x:c r="AH135" s="55" t="n">
        <x:v>507</x:v>
      </x:c>
      <x:c r="AI135" s="55" t="n">
        <x:v>9877</x:v>
      </x:c>
      <x:c r="AJ135" s="55" t="n">
        <x:v>482</x:v>
      </x:c>
      <x:c r="AK135" s="55" t="n">
        <x:v>1043</x:v>
      </x:c>
      <x:c r="AL135" s="55" t="n">
        <x:v>1576</x:v>
      </x:c>
      <x:c r="AM135" s="55" t="n">
        <x:v>4328</x:v>
      </x:c>
      <x:c r="AN135" s="55" t="n">
        <x:v>2951</x:v>
      </x:c>
      <x:c r="AO135" s="55" t="n">
        <x:v>4</x:v>
      </x:c>
      <x:c r="AP135" s="55" t="n">
        <x:v>2339</x:v>
      </x:c>
      <x:c r="AQ135" s="55" t="n">
        <x:v>968</x:v>
      </x:c>
    </x:row>
    <x:row r="136">
      <x:c r="A136" s="54" t="str">
        <x:v>T2_CONCORDANT_DOMAIN</x:v>
      </x:c>
      <x:c r="B136" s="54" t="n">
        <x:v>130</x:v>
      </x:c>
      <x:c r="C136" s="54" t="str">
        <x:v>NYC-V2-R01</x:v>
      </x:c>
      <x:c r="D136" s="54" t="str">
        <x:v>V2</x:v>
      </x:c>
      <x:c r="E136" s="54" t="str">
        <x:v>ADMITTED</x:v>
      </x:c>
      <x:c r="F136" s="55" t="n">
        <x:v>29800</x:v>
      </x:c>
      <x:c r="G136" s="55" t="n">
        <x:v>7323</x:v>
      </x:c>
      <x:c r="H136" s="55" t="n">
        <x:v>2913</x:v>
      </x:c>
      <x:c r="I136" s="55" t="n">
        <x:v>1129</x:v>
      </x:c>
      <x:c r="J136" s="55" t="n">
        <x:v>73</x:v>
      </x:c>
      <x:c r="K136" s="55" t="n">
        <x:v>29800</x:v>
      </x:c>
      <x:c r="L136" s="55" t="n">
        <x:v>5216</x:v>
      </x:c>
      <x:c r="M136" s="55" t="n">
        <x:v>1175</x:v>
      </x:c>
      <x:c r="N136" s="55" t="n">
        <x:v>2216</x:v>
      </x:c>
      <x:c r="O136" s="55" t="n">
        <x:v>1825</x:v>
      </x:c>
      <x:c r="P136" s="55" t="n">
        <x:v>905</x:v>
      </x:c>
      <x:c r="Q136" s="55" t="n">
        <x:v>2913</x:v>
      </x:c>
      <x:c r="R136" s="55" t="n">
        <x:v>1214</x:v>
      </x:c>
      <x:c r="S136" s="55" t="n">
        <x:v>2925</x:v>
      </x:c>
      <x:c r="T136" s="55" t="n">
        <x:v>807</x:v>
      </x:c>
      <x:c r="U136" s="55" t="n">
        <x:v>1718</x:v>
      </x:c>
      <x:c r="V136" s="55" t="n">
        <x:v>10412</x:v>
      </x:c>
      <x:c r="W136" s="55" t="n">
        <x:v>8063</x:v>
      </x:c>
      <x:c r="X136" s="55" t="n">
        <x:v>2349</x:v>
      </x:c>
      <x:c r="Y136" s="55" t="n">
        <x:v>1993</x:v>
      </x:c>
      <x:c r="Z136" s="55" t="n">
        <x:v>3956</x:v>
      </x:c>
      <x:c r="AA136" s="55" t="n">
        <x:v>2608</x:v>
      </x:c>
      <x:c r="AB136" s="55" t="n">
        <x:v>820</x:v>
      </x:c>
      <x:c r="AC136" s="55" t="n">
        <x:v>7816</x:v>
      </x:c>
      <x:c r="AD136" s="55" t="n">
        <x:v>2846</x:v>
      </x:c>
      <x:c r="AE136" s="55" t="n">
        <x:v>10423</x:v>
      </x:c>
      <x:c r="AF136" s="55" t="n">
        <x:v>10412</x:v>
      </x:c>
      <x:c r="AG136" s="55" t="n">
        <x:v>11</x:v>
      </x:c>
      <x:c r="AH136" s="55" t="n">
        <x:v>474</x:v>
      </x:c>
      <x:c r="AI136" s="55" t="n">
        <x:v>9938</x:v>
      </x:c>
      <x:c r="AJ136" s="55" t="n">
        <x:v>345</x:v>
      </x:c>
      <x:c r="AK136" s="55" t="n">
        <x:v>614</x:v>
      </x:c>
      <x:c r="AL136" s="55" t="n">
        <x:v>1745</x:v>
      </x:c>
      <x:c r="AM136" s="55" t="n">
        <x:v>4941</x:v>
      </x:c>
      <x:c r="AN136" s="55" t="n">
        <x:v>2767</x:v>
      </x:c>
      <x:c r="AO136" s="55" t="n">
        <x:v>0</x:v>
      </x:c>
      <x:c r="AP136" s="55" t="n">
        <x:v>1927</x:v>
      </x:c>
      <x:c r="AQ136" s="55" t="n">
        <x:v>917</x:v>
      </x:c>
    </x:row>
    <x:row r="137">
      <x:c r="A137" s="54" t="str">
        <x:v>T2_CONCORDANT_DOMAIN</x:v>
      </x:c>
      <x:c r="B137" s="54" t="n">
        <x:v>131</x:v>
      </x:c>
      <x:c r="C137" s="54" t="str">
        <x:v>NYC-V2-R01</x:v>
      </x:c>
      <x:c r="D137" s="54" t="str">
        <x:v>V2</x:v>
      </x:c>
      <x:c r="E137" s="54" t="str">
        <x:v>ADMITTED</x:v>
      </x:c>
      <x:c r="F137" s="55" t="n">
        <x:v>32997</x:v>
      </x:c>
      <x:c r="G137" s="55" t="n">
        <x:v>8796</x:v>
      </x:c>
      <x:c r="H137" s="55" t="n">
        <x:v>3250</x:v>
      </x:c>
      <x:c r="I137" s="55" t="n">
        <x:v>1117</x:v>
      </x:c>
      <x:c r="J137" s="55" t="n">
        <x:v>286</x:v>
      </x:c>
      <x:c r="K137" s="55" t="n">
        <x:v>30142</x:v>
      </x:c>
      <x:c r="L137" s="55" t="n">
        <x:v>6038</x:v>
      </x:c>
      <x:c r="M137" s="55" t="n">
        <x:v>1546</x:v>
      </x:c>
      <x:c r="N137" s="55" t="n">
        <x:v>2571</x:v>
      </x:c>
      <x:c r="O137" s="55" t="n">
        <x:v>1921</x:v>
      </x:c>
      <x:c r="P137" s="55" t="n">
        <x:v>612</x:v>
      </x:c>
      <x:c r="Q137" s="55" t="n">
        <x:v>2536</x:v>
      </x:c>
      <x:c r="R137" s="55" t="n">
        <x:v>1813</x:v>
      </x:c>
      <x:c r="S137" s="55" t="n">
        <x:v>2739</x:v>
      </x:c>
      <x:c r="T137" s="55" t="n">
        <x:v>1575</x:v>
      </x:c>
      <x:c r="U137" s="55" t="n">
        <x:v>2064</x:v>
      </x:c>
      <x:c r="V137" s="55" t="n">
        <x:v>10490</x:v>
      </x:c>
      <x:c r="W137" s="55" t="n">
        <x:v>6933</x:v>
      </x:c>
      <x:c r="X137" s="55" t="n">
        <x:v>3557</x:v>
      </x:c>
      <x:c r="Y137" s="55" t="n">
        <x:v>2954</x:v>
      </x:c>
      <x:c r="Z137" s="55" t="n">
        <x:v>3448</x:v>
      </x:c>
      <x:c r="AA137" s="55" t="n">
        <x:v>3250</x:v>
      </x:c>
      <x:c r="AB137" s="55" t="n">
        <x:v>1211</x:v>
      </x:c>
      <x:c r="AC137" s="55" t="n">
        <x:v>8084</x:v>
      </x:c>
      <x:c r="AD137" s="55" t="n">
        <x:v>2699</x:v>
      </x:c>
      <x:c r="AE137" s="55" t="n">
        <x:v>10590</x:v>
      </x:c>
      <x:c r="AF137" s="55" t="n">
        <x:v>10490</x:v>
      </x:c>
      <x:c r="AG137" s="55" t="n">
        <x:v>100</x:v>
      </x:c>
      <x:c r="AH137" s="55" t="n">
        <x:v>288</x:v>
      </x:c>
      <x:c r="AI137" s="55" t="n">
        <x:v>10202</x:v>
      </x:c>
      <x:c r="AJ137" s="55" t="n">
        <x:v>210</x:v>
      </x:c>
      <x:c r="AK137" s="55" t="n">
        <x:v>1163</x:v>
      </x:c>
      <x:c r="AL137" s="55" t="n">
        <x:v>1373</x:v>
      </x:c>
      <x:c r="AM137" s="55" t="n">
        <x:v>5209</x:v>
      </x:c>
      <x:c r="AN137" s="55" t="n">
        <x:v>2484</x:v>
      </x:c>
      <x:c r="AO137" s="55" t="n">
        <x:v>51</x:v>
      </x:c>
      <x:c r="AP137" s="55" t="n">
        <x:v>2292</x:v>
      </x:c>
      <x:c r="AQ137" s="55" t="n">
        <x:v>983</x:v>
      </x:c>
    </x:row>
    <x:row r="138">
      <x:c r="A138" s="54" t="str">
        <x:v>T2_CONCORDANT_DOMAIN</x:v>
      </x:c>
      <x:c r="B138" s="54" t="n">
        <x:v>132</x:v>
      </x:c>
      <x:c r="C138" s="54" t="str">
        <x:v>NYC-V2-R01</x:v>
      </x:c>
      <x:c r="D138" s="54" t="str">
        <x:v>V2</x:v>
      </x:c>
      <x:c r="E138" s="54" t="str">
        <x:v>ADMITTED</x:v>
      </x:c>
      <x:c r="F138" s="55" t="n">
        <x:v>30679</x:v>
      </x:c>
      <x:c r="G138" s="55" t="n">
        <x:v>6342</x:v>
      </x:c>
      <x:c r="H138" s="55" t="n">
        <x:v>3629</x:v>
      </x:c>
      <x:c r="I138" s="55" t="n">
        <x:v>1681</x:v>
      </x:c>
      <x:c r="J138" s="55" t="n">
        <x:v>278</x:v>
      </x:c>
      <x:c r="K138" s="55" t="n">
        <x:v>30279</x:v>
      </x:c>
      <x:c r="L138" s="55" t="n">
        <x:v>6695</x:v>
      </x:c>
      <x:c r="M138" s="55" t="n">
        <x:v>1424</x:v>
      </x:c>
      <x:c r="N138" s="55" t="n">
        <x:v>3131</x:v>
      </x:c>
      <x:c r="O138" s="55" t="n">
        <x:v>2140</x:v>
      </x:c>
      <x:c r="P138" s="55" t="n">
        <x:v>942</x:v>
      </x:c>
      <x:c r="Q138" s="55" t="n">
        <x:v>2998</x:v>
      </x:c>
      <x:c r="R138" s="55" t="n">
        <x:v>1628</x:v>
      </x:c>
      <x:c r="S138" s="55" t="n">
        <x:v>3560</x:v>
      </x:c>
      <x:c r="T138" s="55" t="n">
        <x:v>1100</x:v>
      </x:c>
      <x:c r="U138" s="55" t="n">
        <x:v>1974</x:v>
      </x:c>
      <x:c r="V138" s="55" t="n">
        <x:v>10954</x:v>
      </x:c>
      <x:c r="W138" s="55" t="n">
        <x:v>8172</x:v>
      </x:c>
      <x:c r="X138" s="55" t="n">
        <x:v>2782</x:v>
      </x:c>
      <x:c r="Y138" s="55" t="n">
        <x:v>2548</x:v>
      </x:c>
      <x:c r="Z138" s="55" t="n">
        <x:v>3841</x:v>
      </x:c>
      <x:c r="AA138" s="55" t="n">
        <x:v>3118</x:v>
      </x:c>
      <x:c r="AB138" s="55" t="n">
        <x:v>1179</x:v>
      </x:c>
      <x:c r="AC138" s="55" t="n">
        <x:v>7667</x:v>
      </x:c>
      <x:c r="AD138" s="55" t="n">
        <x:v>2651</x:v>
      </x:c>
      <x:c r="AE138" s="55" t="n">
        <x:v>11049</x:v>
      </x:c>
      <x:c r="AF138" s="55" t="n">
        <x:v>10954</x:v>
      </x:c>
      <x:c r="AG138" s="55" t="n">
        <x:v>95</x:v>
      </x:c>
      <x:c r="AH138" s="55" t="n">
        <x:v>667</x:v>
      </x:c>
      <x:c r="AI138" s="55" t="n">
        <x:v>10287</x:v>
      </x:c>
      <x:c r="AJ138" s="55" t="n">
        <x:v>422</x:v>
      </x:c>
      <x:c r="AK138" s="55" t="n">
        <x:v>1111</x:v>
      </x:c>
      <x:c r="AL138" s="55" t="n">
        <x:v>1660</x:v>
      </x:c>
      <x:c r="AM138" s="55" t="n">
        <x:v>5233</x:v>
      </x:c>
      <x:c r="AN138" s="55" t="n">
        <x:v>2491</x:v>
      </x:c>
      <x:c r="AO138" s="55" t="n">
        <x:v>37</x:v>
      </x:c>
      <x:c r="AP138" s="55" t="n">
        <x:v>2459</x:v>
      </x:c>
      <x:c r="AQ138" s="55" t="n">
        <x:v>936</x:v>
      </x:c>
    </x:row>
    <x:row r="139">
      <x:c r="A139" s="54" t="str">
        <x:v>T2_CONCORDANT_DOMAIN</x:v>
      </x:c>
      <x:c r="B139" s="54" t="n">
        <x:v>133</x:v>
      </x:c>
      <x:c r="C139" s="54" t="str">
        <x:v>NYC-V2-R01</x:v>
      </x:c>
      <x:c r="D139" s="54" t="str">
        <x:v>V2</x:v>
      </x:c>
      <x:c r="E139" s="54" t="str">
        <x:v>ADMITTED</x:v>
      </x:c>
      <x:c r="F139" s="55" t="n">
        <x:v>32444</x:v>
      </x:c>
      <x:c r="G139" s="55" t="n">
        <x:v>8294</x:v>
      </x:c>
      <x:c r="H139" s="55" t="n">
        <x:v>3727</x:v>
      </x:c>
      <x:c r="I139" s="55" t="n">
        <x:v>1405</x:v>
      </x:c>
      <x:c r="J139" s="55" t="n">
        <x:v>210</x:v>
      </x:c>
      <x:c r="K139" s="55" t="n">
        <x:v>32444</x:v>
      </x:c>
      <x:c r="L139" s="55" t="n">
        <x:v>7704</x:v>
      </x:c>
      <x:c r="M139" s="55" t="n">
        <x:v>2542</x:v>
      </x:c>
      <x:c r="N139" s="55" t="n">
        <x:v>3151</x:v>
      </x:c>
      <x:c r="O139" s="55" t="n">
        <x:v>2011</x:v>
      </x:c>
      <x:c r="P139" s="55" t="n">
        <x:v>1224</x:v>
      </x:c>
      <x:c r="Q139" s="55" t="n">
        <x:v>2788</x:v>
      </x:c>
      <x:c r="R139" s="55" t="n">
        <x:v>2021</x:v>
      </x:c>
      <x:c r="S139" s="55" t="n">
        <x:v>3514</x:v>
      </x:c>
      <x:c r="T139" s="55" t="n">
        <x:v>1777</x:v>
      </x:c>
      <x:c r="U139" s="55" t="n">
        <x:v>2171</x:v>
      </x:c>
      <x:c r="V139" s="55" t="n">
        <x:v>10727</x:v>
      </x:c>
      <x:c r="W139" s="55" t="n">
        <x:v>7477</x:v>
      </x:c>
      <x:c r="X139" s="55" t="n">
        <x:v>3250</x:v>
      </x:c>
      <x:c r="Y139" s="55" t="n">
        <x:v>2807</x:v>
      </x:c>
      <x:c r="Z139" s="55" t="n">
        <x:v>4162</x:v>
      </x:c>
      <x:c r="AA139" s="55" t="n">
        <x:v>3727</x:v>
      </x:c>
      <x:c r="AB139" s="55" t="n">
        <x:v>1292</x:v>
      </x:c>
      <x:c r="AC139" s="55" t="n">
        <x:v>8454</x:v>
      </x:c>
      <x:c r="AD139" s="55" t="n">
        <x:v>3821</x:v>
      </x:c>
      <x:c r="AE139" s="55" t="n">
        <x:v>10876</x:v>
      </x:c>
      <x:c r="AF139" s="55" t="n">
        <x:v>10727</x:v>
      </x:c>
      <x:c r="AG139" s="55" t="n">
        <x:v>149</x:v>
      </x:c>
      <x:c r="AH139" s="55" t="n">
        <x:v>542</x:v>
      </x:c>
      <x:c r="AI139" s="55" t="n">
        <x:v>10185</x:v>
      </x:c>
      <x:c r="AJ139" s="55" t="n">
        <x:v>455</x:v>
      </x:c>
      <x:c r="AK139" s="55" t="n">
        <x:v>1388</x:v>
      </x:c>
      <x:c r="AL139" s="55" t="n">
        <x:v>1577</x:v>
      </x:c>
      <x:c r="AM139" s="55" t="n">
        <x:v>4670</x:v>
      </x:c>
      <x:c r="AN139" s="55" t="n">
        <x:v>2574</x:v>
      </x:c>
      <x:c r="AO139" s="55" t="n">
        <x:v>63</x:v>
      </x:c>
      <x:c r="AP139" s="55" t="n">
        <x:v>2386</x:v>
      </x:c>
      <x:c r="AQ139" s="55" t="n">
        <x:v>973</x:v>
      </x:c>
    </x:row>
    <x:row r="140">
      <x:c r="A140" s="54" t="str">
        <x:v>T2_CONCORDANT_DOMAIN</x:v>
      </x:c>
      <x:c r="B140" s="54" t="n">
        <x:v>134</x:v>
      </x:c>
      <x:c r="C140" s="54" t="str">
        <x:v>NYC-V2-R01</x:v>
      </x:c>
      <x:c r="D140" s="54" t="str">
        <x:v>V2</x:v>
      </x:c>
      <x:c r="E140" s="54" t="str">
        <x:v>ADMITTED</x:v>
      </x:c>
      <x:c r="F140" s="55" t="n">
        <x:v>31287</x:v>
      </x:c>
      <x:c r="G140" s="55" t="n">
        <x:v>7586</x:v>
      </x:c>
      <x:c r="H140" s="55" t="n">
        <x:v>3479</x:v>
      </x:c>
      <x:c r="I140" s="55" t="n">
        <x:v>1239</x:v>
      </x:c>
      <x:c r="J140" s="55" t="n">
        <x:v>171</x:v>
      </x:c>
      <x:c r="K140" s="55" t="n">
        <x:v>31287</x:v>
      </x:c>
      <x:c r="L140" s="55" t="n">
        <x:v>5536</x:v>
      </x:c>
      <x:c r="M140" s="55" t="n">
        <x:v>719</x:v>
      </x:c>
      <x:c r="N140" s="55" t="n">
        <x:v>2810</x:v>
      </x:c>
      <x:c r="O140" s="55" t="n">
        <x:v>2007</x:v>
      </x:c>
      <x:c r="P140" s="55" t="n">
        <x:v>726</x:v>
      </x:c>
      <x:c r="Q140" s="55" t="n">
        <x:v>2620</x:v>
      </x:c>
      <x:c r="R140" s="55" t="n">
        <x:v>1884</x:v>
      </x:c>
      <x:c r="S140" s="55" t="n">
        <x:v>2839</x:v>
      </x:c>
      <x:c r="T140" s="55" t="n">
        <x:v>1674</x:v>
      </x:c>
      <x:c r="U140" s="55" t="n">
        <x:v>2302</x:v>
      </x:c>
      <x:c r="V140" s="55" t="n">
        <x:v>10619</x:v>
      </x:c>
      <x:c r="W140" s="55" t="n">
        <x:v>7277</x:v>
      </x:c>
      <x:c r="X140" s="55" t="n">
        <x:v>3342</x:v>
      </x:c>
      <x:c r="Y140" s="55" t="n">
        <x:v>3028</x:v>
      </x:c>
      <x:c r="Z140" s="55" t="n">
        <x:v>3247</x:v>
      </x:c>
      <x:c r="AA140" s="55" t="n">
        <x:v>3479</x:v>
      </x:c>
      <x:c r="AB140" s="55" t="n">
        <x:v>1195</x:v>
      </x:c>
      <x:c r="AC140" s="55" t="n">
        <x:v>8304</x:v>
      </x:c>
      <x:c r="AD140" s="55" t="n">
        <x:v>2351</x:v>
      </x:c>
      <x:c r="AE140" s="55" t="n">
        <x:v>10628</x:v>
      </x:c>
      <x:c r="AF140" s="55" t="n">
        <x:v>10619</x:v>
      </x:c>
      <x:c r="AG140" s="55" t="n">
        <x:v>9</x:v>
      </x:c>
      <x:c r="AH140" s="55" t="n">
        <x:v>272</x:v>
      </x:c>
      <x:c r="AI140" s="55" t="n">
        <x:v>10347</x:v>
      </x:c>
      <x:c r="AJ140" s="55" t="n">
        <x:v>272</x:v>
      </x:c>
      <x:c r="AK140" s="55" t="n">
        <x:v>979</x:v>
      </x:c>
      <x:c r="AL140" s="55" t="n">
        <x:v>1605</x:v>
      </x:c>
      <x:c r="AM140" s="55" t="n">
        <x:v>4625</x:v>
      </x:c>
      <x:c r="AN140" s="55" t="n">
        <x:v>3138</x:v>
      </x:c>
      <x:c r="AO140" s="55" t="n">
        <x:v>0</x:v>
      </x:c>
      <x:c r="AP140" s="55" t="n">
        <x:v>2082</x:v>
      </x:c>
      <x:c r="AQ140" s="55" t="n">
        <x:v>965</x:v>
      </x:c>
    </x:row>
    <x:row r="141">
      <x:c r="A141" s="54" t="str">
        <x:v>T2_CONCORDANT_DOMAIN</x:v>
      </x:c>
      <x:c r="B141" s="54" t="n">
        <x:v>135</x:v>
      </x:c>
      <x:c r="C141" s="54" t="str">
        <x:v>NYC-V2-R01</x:v>
      </x:c>
      <x:c r="D141" s="54" t="str">
        <x:v>V2</x:v>
      </x:c>
      <x:c r="E141" s="54" t="str">
        <x:v>ADMITTED</x:v>
      </x:c>
      <x:c r="F141" s="55" t="n">
        <x:v>31386</x:v>
      </x:c>
      <x:c r="G141" s="55" t="n">
        <x:v>8260</x:v>
      </x:c>
      <x:c r="H141" s="55" t="n">
        <x:v>3281</x:v>
      </x:c>
      <x:c r="I141" s="55" t="n">
        <x:v>1199</x:v>
      </x:c>
      <x:c r="J141" s="55" t="n">
        <x:v>231</x:v>
      </x:c>
      <x:c r="K141" s="55" t="n">
        <x:v>31386</x:v>
      </x:c>
      <x:c r="L141" s="55" t="n">
        <x:v>6079</x:v>
      </x:c>
      <x:c r="M141" s="55" t="n">
        <x:v>1580</x:v>
      </x:c>
      <x:c r="N141" s="55" t="n">
        <x:v>2604</x:v>
      </x:c>
      <x:c r="O141" s="55" t="n">
        <x:v>1895</x:v>
      </x:c>
      <x:c r="P141" s="55" t="n">
        <x:v>980</x:v>
      </x:c>
      <x:c r="Q141" s="55" t="n">
        <x:v>3288</x:v>
      </x:c>
      <x:c r="R141" s="55" t="n">
        <x:v>2027</x:v>
      </x:c>
      <x:c r="S141" s="55" t="n">
        <x:v>3221</x:v>
      </x:c>
      <x:c r="T141" s="55" t="n">
        <x:v>1346</x:v>
      </x:c>
      <x:c r="U141" s="55" t="n">
        <x:v>2186</x:v>
      </x:c>
      <x:c r="V141" s="55" t="n">
        <x:v>10644</x:v>
      </x:c>
      <x:c r="W141" s="55" t="n">
        <x:v>7440</x:v>
      </x:c>
      <x:c r="X141" s="55" t="n">
        <x:v>3204</x:v>
      </x:c>
      <x:c r="Y141" s="55" t="n">
        <x:v>2679</x:v>
      </x:c>
      <x:c r="Z141" s="55" t="n">
        <x:v>4411</x:v>
      </x:c>
      <x:c r="AA141" s="55" t="n">
        <x:v>3190</x:v>
      </x:c>
      <x:c r="AB141" s="55" t="n">
        <x:v>981</x:v>
      </x:c>
      <x:c r="AC141" s="55" t="n">
        <x:v>7991</x:v>
      </x:c>
      <x:c r="AD141" s="55" t="n">
        <x:v>2687</x:v>
      </x:c>
      <x:c r="AE141" s="55" t="n">
        <x:v>10751</x:v>
      </x:c>
      <x:c r="AF141" s="55" t="n">
        <x:v>10644</x:v>
      </x:c>
      <x:c r="AG141" s="55" t="n">
        <x:v>107</x:v>
      </x:c>
      <x:c r="AH141" s="55" t="n">
        <x:v>520</x:v>
      </x:c>
      <x:c r="AI141" s="55" t="n">
        <x:v>10124</x:v>
      </x:c>
      <x:c r="AJ141" s="55" t="n">
        <x:v>451</x:v>
      </x:c>
      <x:c r="AK141" s="55" t="n">
        <x:v>1035</x:v>
      </x:c>
      <x:c r="AL141" s="55" t="n">
        <x:v>1693</x:v>
      </x:c>
      <x:c r="AM141" s="55" t="n">
        <x:v>4893</x:v>
      </x:c>
      <x:c r="AN141" s="55" t="n">
        <x:v>2510</x:v>
      </x:c>
      <x:c r="AO141" s="55" t="n">
        <x:v>62</x:v>
      </x:c>
      <x:c r="AP141" s="55" t="n">
        <x:v>2517</x:v>
      </x:c>
      <x:c r="AQ141" s="55" t="n">
        <x:v>961</x:v>
      </x:c>
    </x:row>
    <x:row r="142">
      <x:c r="A142" s="54" t="str">
        <x:v>T2_CONCORDANT_DOMAIN</x:v>
      </x:c>
      <x:c r="B142" s="54" t="n">
        <x:v>136</x:v>
      </x:c>
      <x:c r="C142" s="54" t="str">
        <x:v>NYC-V2-R01</x:v>
      </x:c>
      <x:c r="D142" s="54" t="str">
        <x:v>V2</x:v>
      </x:c>
      <x:c r="E142" s="54" t="str">
        <x:v>ADMITTED</x:v>
      </x:c>
      <x:c r="F142" s="55" t="n">
        <x:v>32273</x:v>
      </x:c>
      <x:c r="G142" s="55" t="n">
        <x:v>8141</x:v>
      </x:c>
      <x:c r="H142" s="55" t="n">
        <x:v>3159</x:v>
      </x:c>
      <x:c r="I142" s="55" t="n">
        <x:v>1488</x:v>
      </x:c>
      <x:c r="J142" s="55" t="n">
        <x:v>185</x:v>
      </x:c>
      <x:c r="K142" s="55" t="n">
        <x:v>27462</x:v>
      </x:c>
      <x:c r="L142" s="55" t="n">
        <x:v>5472</x:v>
      </x:c>
      <x:c r="M142" s="55" t="n">
        <x:v>1298</x:v>
      </x:c>
      <x:c r="N142" s="55" t="n">
        <x:v>2618</x:v>
      </x:c>
      <x:c r="O142" s="55" t="n">
        <x:v>1556</x:v>
      </x:c>
      <x:c r="P142" s="55" t="n">
        <x:v>853</x:v>
      </x:c>
      <x:c r="Q142" s="55" t="n">
        <x:v>2004</x:v>
      </x:c>
      <x:c r="R142" s="55" t="n">
        <x:v>1872</x:v>
      </x:c>
      <x:c r="S142" s="55" t="n">
        <x:v>2893</x:v>
      </x:c>
      <x:c r="T142" s="55" t="n">
        <x:v>1128</x:v>
      </x:c>
      <x:c r="U142" s="55" t="n">
        <x:v>2122</x:v>
      </x:c>
      <x:c r="V142" s="55" t="n">
        <x:v>10148</x:v>
      </x:c>
      <x:c r="W142" s="55" t="n">
        <x:v>7117</x:v>
      </x:c>
      <x:c r="X142" s="55" t="n">
        <x:v>3031</x:v>
      </x:c>
      <x:c r="Y142" s="55" t="n">
        <x:v>2793</x:v>
      </x:c>
      <x:c r="Z142" s="55" t="n">
        <x:v>3852</x:v>
      </x:c>
      <x:c r="AA142" s="55" t="n">
        <x:v>2826</x:v>
      </x:c>
      <x:c r="AB142" s="55" t="n">
        <x:v>877</x:v>
      </x:c>
      <x:c r="AC142" s="55" t="n">
        <x:v>8180</x:v>
      </x:c>
      <x:c r="AD142" s="55" t="n">
        <x:v>2812</x:v>
      </x:c>
      <x:c r="AE142" s="55" t="n">
        <x:v>10202</x:v>
      </x:c>
      <x:c r="AF142" s="55" t="n">
        <x:v>10148</x:v>
      </x:c>
      <x:c r="AG142" s="55" t="n">
        <x:v>54</x:v>
      </x:c>
      <x:c r="AH142" s="55" t="n">
        <x:v>299</x:v>
      </x:c>
      <x:c r="AI142" s="55" t="n">
        <x:v>9849</x:v>
      </x:c>
      <x:c r="AJ142" s="55" t="n">
        <x:v>98</x:v>
      </x:c>
      <x:c r="AK142" s="55" t="n">
        <x:v>917</x:v>
      </x:c>
      <x:c r="AL142" s="55" t="n">
        <x:v>1526</x:v>
      </x:c>
      <x:c r="AM142" s="55" t="n">
        <x:v>4624</x:v>
      </x:c>
      <x:c r="AN142" s="55" t="n">
        <x:v>2983</x:v>
      </x:c>
      <x:c r="AO142" s="55" t="n">
        <x:v>0</x:v>
      </x:c>
      <x:c r="AP142" s="55" t="n">
        <x:v>2514</x:v>
      </x:c>
      <x:c r="AQ142" s="55" t="n">
        <x:v>972</x:v>
      </x:c>
    </x:row>
    <x:row r="143">
      <x:c r="A143" s="54" t="str">
        <x:v>T2_CONCORDANT_DOMAIN</x:v>
      </x:c>
      <x:c r="B143" s="54" t="n">
        <x:v>137</x:v>
      </x:c>
      <x:c r="C143" s="54" t="str">
        <x:v>NYC-V2-R01</x:v>
      </x:c>
      <x:c r="D143" s="54" t="str">
        <x:v>V2</x:v>
      </x:c>
      <x:c r="E143" s="54" t="str">
        <x:v>ADMITTED</x:v>
      </x:c>
      <x:c r="F143" s="55" t="n">
        <x:v>30983</x:v>
      </x:c>
      <x:c r="G143" s="55" t="n">
        <x:v>8021</x:v>
      </x:c>
      <x:c r="H143" s="55" t="n">
        <x:v>3170</x:v>
      </x:c>
      <x:c r="I143" s="55" t="n">
        <x:v>636</x:v>
      </x:c>
      <x:c r="J143" s="55" t="n">
        <x:v>130</x:v>
      </x:c>
      <x:c r="K143" s="55" t="n">
        <x:v>30983</x:v>
      </x:c>
      <x:c r="L143" s="55" t="n">
        <x:v>5806</x:v>
      </x:c>
      <x:c r="M143" s="55" t="n">
        <x:v>1129</x:v>
      </x:c>
      <x:c r="N143" s="55" t="n">
        <x:v>2780</x:v>
      </x:c>
      <x:c r="O143" s="55" t="n">
        <x:v>1897</x:v>
      </x:c>
      <x:c r="P143" s="55" t="n">
        <x:v>705</x:v>
      </x:c>
      <x:c r="Q143" s="55" t="n">
        <x:v>2426</x:v>
      </x:c>
      <x:c r="R143" s="55" t="n">
        <x:v>1785</x:v>
      </x:c>
      <x:c r="S143" s="55" t="n">
        <x:v>2489</x:v>
      </x:c>
      <x:c r="T143" s="55" t="n">
        <x:v>1234</x:v>
      </x:c>
      <x:c r="U143" s="55" t="n">
        <x:v>2185</x:v>
      </x:c>
      <x:c r="V143" s="55" t="n">
        <x:v>10853</x:v>
      </x:c>
      <x:c r="W143" s="55" t="n">
        <x:v>7501</x:v>
      </x:c>
      <x:c r="X143" s="55" t="n">
        <x:v>3352</x:v>
      </x:c>
      <x:c r="Y143" s="55" t="n">
        <x:v>3012</x:v>
      </x:c>
      <x:c r="Z143" s="55" t="n">
        <x:v>3410</x:v>
      </x:c>
      <x:c r="AA143" s="55" t="n">
        <x:v>3170</x:v>
      </x:c>
      <x:c r="AB143" s="55" t="n">
        <x:v>1242</x:v>
      </x:c>
      <x:c r="AC143" s="55" t="n">
        <x:v>7562</x:v>
      </x:c>
      <x:c r="AD143" s="55" t="n">
        <x:v>2792</x:v>
      </x:c>
      <x:c r="AE143" s="55" t="n">
        <x:v>10933</x:v>
      </x:c>
      <x:c r="AF143" s="55" t="n">
        <x:v>10853</x:v>
      </x:c>
      <x:c r="AG143" s="55" t="n">
        <x:v>80</x:v>
      </x:c>
      <x:c r="AH143" s="55" t="n">
        <x:v>510</x:v>
      </x:c>
      <x:c r="AI143" s="55" t="n">
        <x:v>10343</x:v>
      </x:c>
      <x:c r="AJ143" s="55" t="n">
        <x:v>392</x:v>
      </x:c>
      <x:c r="AK143" s="55" t="n">
        <x:v>1208</x:v>
      </x:c>
      <x:c r="AL143" s="55" t="n">
        <x:v>2021</x:v>
      </x:c>
      <x:c r="AM143" s="55" t="n">
        <x:v>4750</x:v>
      </x:c>
      <x:c r="AN143" s="55" t="n">
        <x:v>2415</x:v>
      </x:c>
      <x:c r="AO143" s="55" t="n">
        <x:v>67</x:v>
      </x:c>
      <x:c r="AP143" s="55" t="n">
        <x:v>2593</x:v>
      </x:c>
      <x:c r="AQ143" s="55" t="n">
        <x:v>947</x:v>
      </x:c>
    </x:row>
    <x:row r="144">
      <x:c r="A144" s="54" t="str">
        <x:v>T2_CONCORDANT_DOMAIN</x:v>
      </x:c>
      <x:c r="B144" s="54" t="n">
        <x:v>138</x:v>
      </x:c>
      <x:c r="C144" s="54" t="str">
        <x:v>NYC-V2-R01</x:v>
      </x:c>
      <x:c r="D144" s="54" t="str">
        <x:v>V2</x:v>
      </x:c>
      <x:c r="E144" s="54" t="str">
        <x:v>ADMITTED</x:v>
      </x:c>
      <x:c r="F144" s="55" t="n">
        <x:v>31791</x:v>
      </x:c>
      <x:c r="G144" s="55" t="n">
        <x:v>7568</x:v>
      </x:c>
      <x:c r="H144" s="55" t="n">
        <x:v>3471</x:v>
      </x:c>
      <x:c r="I144" s="55" t="n">
        <x:v>1245</x:v>
      </x:c>
      <x:c r="J144" s="55" t="n">
        <x:v>278</x:v>
      </x:c>
      <x:c r="K144" s="55" t="n">
        <x:v>31791</x:v>
      </x:c>
      <x:c r="L144" s="55" t="n">
        <x:v>5943</x:v>
      </x:c>
      <x:c r="M144" s="55" t="n">
        <x:v>1300</x:v>
      </x:c>
      <x:c r="N144" s="55" t="n">
        <x:v>2911</x:v>
      </x:c>
      <x:c r="O144" s="55" t="n">
        <x:v>1732</x:v>
      </x:c>
      <x:c r="P144" s="55" t="n">
        <x:v>444</x:v>
      </x:c>
      <x:c r="Q144" s="55" t="n">
        <x:v>1827</x:v>
      </x:c>
      <x:c r="R144" s="55" t="n">
        <x:v>1910</x:v>
      </x:c>
      <x:c r="S144" s="55" t="n">
        <x:v>3151</x:v>
      </x:c>
      <x:c r="T144" s="55" t="n">
        <x:v>1368</x:v>
      </x:c>
      <x:c r="U144" s="55" t="n">
        <x:v>1960</x:v>
      </x:c>
      <x:c r="V144" s="55" t="n">
        <x:v>10806</x:v>
      </x:c>
      <x:c r="W144" s="55" t="n">
        <x:v>8202</x:v>
      </x:c>
      <x:c r="X144" s="55" t="n">
        <x:v>2604</x:v>
      </x:c>
      <x:c r="Y144" s="55" t="n">
        <x:v>2281</x:v>
      </x:c>
      <x:c r="Z144" s="55" t="n">
        <x:v>3538</x:v>
      </x:c>
      <x:c r="AA144" s="55" t="n">
        <x:v>2843</x:v>
      </x:c>
      <x:c r="AB144" s="55" t="n">
        <x:v>853</x:v>
      </x:c>
      <x:c r="AC144" s="55" t="n">
        <x:v>7978</x:v>
      </x:c>
      <x:c r="AD144" s="55" t="n">
        <x:v>2822</x:v>
      </x:c>
      <x:c r="AE144" s="55" t="n">
        <x:v>10884</x:v>
      </x:c>
      <x:c r="AF144" s="55" t="n">
        <x:v>10806</x:v>
      </x:c>
      <x:c r="AG144" s="55" t="n">
        <x:v>78</x:v>
      </x:c>
      <x:c r="AH144" s="55" t="n">
        <x:v>516</x:v>
      </x:c>
      <x:c r="AI144" s="55" t="n">
        <x:v>10290</x:v>
      </x:c>
      <x:c r="AJ144" s="55" t="n">
        <x:v>351</x:v>
      </x:c>
      <x:c r="AK144" s="55" t="n">
        <x:v>1271</x:v>
      </x:c>
      <x:c r="AL144" s="55" t="n">
        <x:v>1454</x:v>
      </x:c>
      <x:c r="AM144" s="55" t="n">
        <x:v>5092</x:v>
      </x:c>
      <x:c r="AN144" s="55" t="n">
        <x:v>2602</x:v>
      </x:c>
      <x:c r="AO144" s="55" t="n">
        <x:v>36</x:v>
      </x:c>
      <x:c r="AP144" s="55" t="n">
        <x:v>2438</x:v>
      </x:c>
      <x:c r="AQ144" s="55" t="n">
        <x:v>964</x:v>
      </x:c>
    </x:row>
    <x:row r="145">
      <x:c r="A145" s="54" t="str">
        <x:v>T2_CONCORDANT_DOMAIN</x:v>
      </x:c>
      <x:c r="B145" s="54" t="n">
        <x:v>139</x:v>
      </x:c>
      <x:c r="C145" s="54" t="str">
        <x:v>NYC-V2-R01</x:v>
      </x:c>
      <x:c r="D145" s="54" t="str">
        <x:v>V2</x:v>
      </x:c>
      <x:c r="E145" s="54" t="str">
        <x:v>ADMITTED</x:v>
      </x:c>
      <x:c r="F145" s="55" t="n">
        <x:v>31566</x:v>
      </x:c>
      <x:c r="G145" s="55" t="n">
        <x:v>6863</x:v>
      </x:c>
      <x:c r="H145" s="55" t="n">
        <x:v>2961</x:v>
      </x:c>
      <x:c r="I145" s="55" t="n">
        <x:v>1074</x:v>
      </x:c>
      <x:c r="J145" s="55" t="n">
        <x:v>71</x:v>
      </x:c>
      <x:c r="K145" s="55" t="n">
        <x:v>31566</x:v>
      </x:c>
      <x:c r="L145" s="55" t="n">
        <x:v>6361</x:v>
      </x:c>
      <x:c r="M145" s="55" t="n">
        <x:v>1632</x:v>
      </x:c>
      <x:c r="N145" s="55" t="n">
        <x:v>2881</x:v>
      </x:c>
      <x:c r="O145" s="55" t="n">
        <x:v>1848</x:v>
      </x:c>
      <x:c r="P145" s="55" t="n">
        <x:v>645</x:v>
      </x:c>
      <x:c r="Q145" s="55" t="n">
        <x:v>1924</x:v>
      </x:c>
      <x:c r="R145" s="55" t="n">
        <x:v>1661</x:v>
      </x:c>
      <x:c r="S145" s="55" t="n">
        <x:v>2658</x:v>
      </x:c>
      <x:c r="T145" s="55" t="n">
        <x:v>1005</x:v>
      </x:c>
      <x:c r="U145" s="55" t="n">
        <x:v>1722</x:v>
      </x:c>
      <x:c r="V145" s="55" t="n">
        <x:v>10323</x:v>
      </x:c>
      <x:c r="W145" s="55" t="n">
        <x:v>7227</x:v>
      </x:c>
      <x:c r="X145" s="55" t="n">
        <x:v>3096</x:v>
      </x:c>
      <x:c r="Y145" s="55" t="n">
        <x:v>2536</x:v>
      </x:c>
      <x:c r="Z145" s="55" t="n">
        <x:v>3176</x:v>
      </x:c>
      <x:c r="AA145" s="55" t="n">
        <x:v>2829</x:v>
      </x:c>
      <x:c r="AB145" s="55" t="n">
        <x:v>791</x:v>
      </x:c>
      <x:c r="AC145" s="55" t="n">
        <x:v>8109</x:v>
      </x:c>
      <x:c r="AD145" s="55" t="n">
        <x:v>2453</x:v>
      </x:c>
      <x:c r="AE145" s="55" t="n">
        <x:v>10401</x:v>
      </x:c>
      <x:c r="AF145" s="55" t="n">
        <x:v>10323</x:v>
      </x:c>
      <x:c r="AG145" s="55" t="n">
        <x:v>78</x:v>
      </x:c>
      <x:c r="AH145" s="55" t="n">
        <x:v>210</x:v>
      </x:c>
      <x:c r="AI145" s="55" t="n">
        <x:v>10113</x:v>
      </x:c>
      <x:c r="AJ145" s="55" t="n">
        <x:v>265</x:v>
      </x:c>
      <x:c r="AK145" s="55" t="n">
        <x:v>1031</x:v>
      </x:c>
      <x:c r="AL145" s="55" t="n">
        <x:v>1520</x:v>
      </x:c>
      <x:c r="AM145" s="55" t="n">
        <x:v>5080</x:v>
      </x:c>
      <x:c r="AN145" s="55" t="n">
        <x:v>2394</x:v>
      </x:c>
      <x:c r="AO145" s="55" t="n">
        <x:v>33</x:v>
      </x:c>
      <x:c r="AP145" s="55" t="n">
        <x:v>1959</x:v>
      </x:c>
      <x:c r="AQ145" s="55" t="n">
        <x:v>928</x:v>
      </x:c>
    </x:row>
    <x:row r="146">
      <x:c r="A146" s="54" t="str">
        <x:v>T2_CONCORDANT_DOMAIN</x:v>
      </x:c>
      <x:c r="B146" s="54" t="n">
        <x:v>140</x:v>
      </x:c>
      <x:c r="C146" s="54" t="str">
        <x:v>NYC-V2-R01</x:v>
      </x:c>
      <x:c r="D146" s="54" t="str">
        <x:v>V2</x:v>
      </x:c>
      <x:c r="E146" s="54" t="str">
        <x:v>ADMITTED</x:v>
      </x:c>
      <x:c r="F146" s="55" t="n">
        <x:v>33470</x:v>
      </x:c>
      <x:c r="G146" s="55" t="n">
        <x:v>8018</x:v>
      </x:c>
      <x:c r="H146" s="55" t="n">
        <x:v>3229</x:v>
      </x:c>
      <x:c r="I146" s="55" t="n">
        <x:v>1179</x:v>
      </x:c>
      <x:c r="J146" s="55" t="n">
        <x:v>222</x:v>
      </x:c>
      <x:c r="K146" s="55" t="n">
        <x:v>33470</x:v>
      </x:c>
      <x:c r="L146" s="55" t="n">
        <x:v>7526</x:v>
      </x:c>
      <x:c r="M146" s="55" t="n">
        <x:v>1670</x:v>
      </x:c>
      <x:c r="N146" s="55" t="n">
        <x:v>3390</x:v>
      </x:c>
      <x:c r="O146" s="55" t="n">
        <x:v>2466</x:v>
      </x:c>
      <x:c r="P146" s="55" t="n">
        <x:v>1049</x:v>
      </x:c>
      <x:c r="Q146" s="55" t="n">
        <x:v>2725</x:v>
      </x:c>
      <x:c r="R146" s="55" t="n">
        <x:v>2003</x:v>
      </x:c>
      <x:c r="S146" s="55" t="n">
        <x:v>3141</x:v>
      </x:c>
      <x:c r="T146" s="55" t="n">
        <x:v>1288</x:v>
      </x:c>
      <x:c r="U146" s="55" t="n">
        <x:v>2179</x:v>
      </x:c>
      <x:c r="V146" s="55" t="n">
        <x:v>11070</x:v>
      </x:c>
      <x:c r="W146" s="55" t="n">
        <x:v>8114</x:v>
      </x:c>
      <x:c r="X146" s="55" t="n">
        <x:v>2956</x:v>
      </x:c>
      <x:c r="Y146" s="55" t="n">
        <x:v>2473</x:v>
      </x:c>
      <x:c r="Z146" s="55" t="n">
        <x:v>3867</x:v>
      </x:c>
      <x:c r="AA146" s="55" t="n">
        <x:v>2710</x:v>
      </x:c>
      <x:c r="AB146" s="55" t="n">
        <x:v>1083</x:v>
      </x:c>
      <x:c r="AC146" s="55" t="n">
        <x:v>8384</x:v>
      </x:c>
      <x:c r="AD146" s="55" t="n">
        <x:v>3116</x:v>
      </x:c>
      <x:c r="AE146" s="55" t="n">
        <x:v>11211</x:v>
      </x:c>
      <x:c r="AF146" s="55" t="n">
        <x:v>11070</x:v>
      </x:c>
      <x:c r="AG146" s="55" t="n">
        <x:v>141</x:v>
      </x:c>
      <x:c r="AH146" s="55" t="n">
        <x:v>445</x:v>
      </x:c>
      <x:c r="AI146" s="55" t="n">
        <x:v>10625</x:v>
      </x:c>
      <x:c r="AJ146" s="55" t="n">
        <x:v>343</x:v>
      </x:c>
      <x:c r="AK146" s="55" t="n">
        <x:v>1184</x:v>
      </x:c>
      <x:c r="AL146" s="55" t="n">
        <x:v>1806</x:v>
      </x:c>
      <x:c r="AM146" s="55" t="n">
        <x:v>5070</x:v>
      </x:c>
      <x:c r="AN146" s="55" t="n">
        <x:v>2597</x:v>
      </x:c>
      <x:c r="AO146" s="55" t="n">
        <x:v>70</x:v>
      </x:c>
      <x:c r="AP146" s="55" t="n">
        <x:v>2780</x:v>
      </x:c>
      <x:c r="AQ146" s="55" t="n">
        <x:v>990</x:v>
      </x:c>
    </x:row>
    <x:row r="147">
      <x:c r="A147" s="54" t="str">
        <x:v>T2_CONCORDANT_DOMAIN</x:v>
      </x:c>
      <x:c r="B147" s="54" t="n">
        <x:v>141</x:v>
      </x:c>
      <x:c r="C147" s="54" t="str">
        <x:v>NYC-V2-R01</x:v>
      </x:c>
      <x:c r="D147" s="54" t="str">
        <x:v>V2</x:v>
      </x:c>
      <x:c r="E147" s="54" t="str">
        <x:v>ADMITTED</x:v>
      </x:c>
      <x:c r="F147" s="55" t="n">
        <x:v>31511</x:v>
      </x:c>
      <x:c r="G147" s="55" t="n">
        <x:v>6614</x:v>
      </x:c>
      <x:c r="H147" s="55" t="n">
        <x:v>3529</x:v>
      </x:c>
      <x:c r="I147" s="55" t="n">
        <x:v>1589</x:v>
      </x:c>
      <x:c r="J147" s="55" t="n">
        <x:v>261</x:v>
      </x:c>
      <x:c r="K147" s="55" t="n">
        <x:v>31511</x:v>
      </x:c>
      <x:c r="L147" s="55" t="n">
        <x:v>6261</x:v>
      </x:c>
      <x:c r="M147" s="55" t="n">
        <x:v>2333</x:v>
      </x:c>
      <x:c r="N147" s="55" t="n">
        <x:v>2769</x:v>
      </x:c>
      <x:c r="O147" s="55" t="n">
        <x:v>1159</x:v>
      </x:c>
      <x:c r="P147" s="55" t="n">
        <x:v>921</x:v>
      </x:c>
      <x:c r="Q147" s="55" t="n">
        <x:v>2265</x:v>
      </x:c>
      <x:c r="R147" s="55" t="n">
        <x:v>1709</x:v>
      </x:c>
      <x:c r="S147" s="55" t="n">
        <x:v>3014</x:v>
      </x:c>
      <x:c r="T147" s="55" t="n">
        <x:v>1038</x:v>
      </x:c>
      <x:c r="U147" s="55" t="n">
        <x:v>2709</x:v>
      </x:c>
      <x:c r="V147" s="55" t="n">
        <x:v>10384</x:v>
      </x:c>
      <x:c r="W147" s="55" t="n">
        <x:v>7131</x:v>
      </x:c>
      <x:c r="X147" s="55" t="n">
        <x:v>3253</x:v>
      </x:c>
      <x:c r="Y147" s="55" t="n">
        <x:v>2737</x:v>
      </x:c>
      <x:c r="Z147" s="55" t="n">
        <x:v>4074</x:v>
      </x:c>
      <x:c r="AA147" s="55" t="n">
        <x:v>3529</x:v>
      </x:c>
      <x:c r="AB147" s="55" t="n">
        <x:v>1125</x:v>
      </x:c>
      <x:c r="AC147" s="55" t="n">
        <x:v>7965</x:v>
      </x:c>
      <x:c r="AD147" s="55" t="n">
        <x:v>3159</x:v>
      </x:c>
      <x:c r="AE147" s="55" t="n">
        <x:v>10500</x:v>
      </x:c>
      <x:c r="AF147" s="55" t="n">
        <x:v>10384</x:v>
      </x:c>
      <x:c r="AG147" s="55" t="n">
        <x:v>116</x:v>
      </x:c>
      <x:c r="AH147" s="55" t="n">
        <x:v>397</x:v>
      </x:c>
      <x:c r="AI147" s="55" t="n">
        <x:v>9987</x:v>
      </x:c>
      <x:c r="AJ147" s="55" t="n">
        <x:v>414</x:v>
      </x:c>
      <x:c r="AK147" s="55" t="n">
        <x:v>940</x:v>
      </x:c>
      <x:c r="AL147" s="55" t="n">
        <x:v>1720</x:v>
      </x:c>
      <x:c r="AM147" s="55" t="n">
        <x:v>5070</x:v>
      </x:c>
      <x:c r="AN147" s="55" t="n">
        <x:v>2220</x:v>
      </x:c>
      <x:c r="AO147" s="55" t="n">
        <x:v>20</x:v>
      </x:c>
      <x:c r="AP147" s="55" t="n">
        <x:v>2628</x:v>
      </x:c>
      <x:c r="AQ147" s="55" t="n">
        <x:v>998</x:v>
      </x:c>
    </x:row>
    <x:row r="148">
      <x:c r="A148" s="54" t="str">
        <x:v>T2_CONCORDANT_DOMAIN</x:v>
      </x:c>
      <x:c r="B148" s="54" t="n">
        <x:v>142</x:v>
      </x:c>
      <x:c r="C148" s="54" t="str">
        <x:v>NYC-V2-R01</x:v>
      </x:c>
      <x:c r="D148" s="54" t="str">
        <x:v>V2</x:v>
      </x:c>
      <x:c r="E148" s="54" t="str">
        <x:v>ADMITTED</x:v>
      </x:c>
      <x:c r="F148" s="55" t="n">
        <x:v>30645</x:v>
      </x:c>
      <x:c r="G148" s="55" t="n">
        <x:v>7349</x:v>
      </x:c>
      <x:c r="H148" s="55" t="n">
        <x:v>3306</x:v>
      </x:c>
      <x:c r="I148" s="55" t="n">
        <x:v>1211</x:v>
      </x:c>
      <x:c r="J148" s="55" t="n">
        <x:v>302</x:v>
      </x:c>
      <x:c r="K148" s="55" t="n">
        <x:v>29160</x:v>
      </x:c>
      <x:c r="L148" s="55" t="n">
        <x:v>6026</x:v>
      </x:c>
      <x:c r="M148" s="55" t="n">
        <x:v>1658</x:v>
      </x:c>
      <x:c r="N148" s="55" t="n">
        <x:v>2508</x:v>
      </x:c>
      <x:c r="O148" s="55" t="n">
        <x:v>1860</x:v>
      </x:c>
      <x:c r="P148" s="55" t="n">
        <x:v>979</x:v>
      </x:c>
      <x:c r="Q148" s="55" t="n">
        <x:v>1386</x:v>
      </x:c>
      <x:c r="R148" s="55" t="n">
        <x:v>2052</x:v>
      </x:c>
      <x:c r="S148" s="55" t="n">
        <x:v>3081</x:v>
      </x:c>
      <x:c r="T148" s="55" t="n">
        <x:v>1133</x:v>
      </x:c>
      <x:c r="U148" s="55" t="n">
        <x:v>1781</x:v>
      </x:c>
      <x:c r="V148" s="55" t="n">
        <x:v>10100</x:v>
      </x:c>
      <x:c r="W148" s="55" t="n">
        <x:v>6830</x:v>
      </x:c>
      <x:c r="X148" s="55" t="n">
        <x:v>3270</x:v>
      </x:c>
      <x:c r="Y148" s="55" t="n">
        <x:v>2790</x:v>
      </x:c>
      <x:c r="Z148" s="55" t="n">
        <x:v>3113</x:v>
      </x:c>
      <x:c r="AA148" s="55" t="n">
        <x:v>3306</x:v>
      </x:c>
      <x:c r="AB148" s="55" t="n">
        <x:v>1197</x:v>
      </x:c>
      <x:c r="AC148" s="55" t="n">
        <x:v>8333</x:v>
      </x:c>
      <x:c r="AD148" s="55" t="n">
        <x:v>3304</x:v>
      </x:c>
      <x:c r="AE148" s="55" t="n">
        <x:v>10185</x:v>
      </x:c>
      <x:c r="AF148" s="55" t="n">
        <x:v>10100</x:v>
      </x:c>
      <x:c r="AG148" s="55" t="n">
        <x:v>85</x:v>
      </x:c>
      <x:c r="AH148" s="55" t="n">
        <x:v>398</x:v>
      </x:c>
      <x:c r="AI148" s="55" t="n">
        <x:v>9702</x:v>
      </x:c>
      <x:c r="AJ148" s="55" t="n">
        <x:v>378</x:v>
      </x:c>
      <x:c r="AK148" s="55" t="n">
        <x:v>801</x:v>
      </x:c>
      <x:c r="AL148" s="55" t="n">
        <x:v>1593</x:v>
      </x:c>
      <x:c r="AM148" s="55" t="n">
        <x:v>4580</x:v>
      </x:c>
      <x:c r="AN148" s="55" t="n">
        <x:v>2748</x:v>
      </x:c>
      <x:c r="AO148" s="55" t="n">
        <x:v>0</x:v>
      </x:c>
      <x:c r="AP148" s="55" t="n">
        <x:v>1799</x:v>
      </x:c>
      <x:c r="AQ148" s="55" t="n">
        <x:v>955</x:v>
      </x:c>
    </x:row>
    <x:row r="149">
      <x:c r="A149" s="54" t="str">
        <x:v>T2_CONCORDANT_DOMAIN</x:v>
      </x:c>
      <x:c r="B149" s="54" t="n">
        <x:v>143</x:v>
      </x:c>
      <x:c r="C149" s="54" t="str">
        <x:v>NYC-V2-R01</x:v>
      </x:c>
      <x:c r="D149" s="54" t="str">
        <x:v>V2</x:v>
      </x:c>
      <x:c r="E149" s="54" t="str">
        <x:v>ADMITTED</x:v>
      </x:c>
      <x:c r="F149" s="55" t="n">
        <x:v>30828</x:v>
      </x:c>
      <x:c r="G149" s="55" t="n">
        <x:v>7928</x:v>
      </x:c>
      <x:c r="H149" s="55" t="n">
        <x:v>3521</x:v>
      </x:c>
      <x:c r="I149" s="55" t="n">
        <x:v>1425</x:v>
      </x:c>
      <x:c r="J149" s="55" t="n">
        <x:v>253</x:v>
      </x:c>
      <x:c r="K149" s="55" t="n">
        <x:v>28744</x:v>
      </x:c>
      <x:c r="L149" s="55" t="n">
        <x:v>5038</x:v>
      </x:c>
      <x:c r="M149" s="55" t="n">
        <x:v>972</x:v>
      </x:c>
      <x:c r="N149" s="55" t="n">
        <x:v>2618</x:v>
      </x:c>
      <x:c r="O149" s="55" t="n">
        <x:v>1448</x:v>
      </x:c>
      <x:c r="P149" s="55" t="n">
        <x:v>568</x:v>
      </x:c>
      <x:c r="Q149" s="55" t="n">
        <x:v>1942</x:v>
      </x:c>
      <x:c r="R149" s="55" t="n">
        <x:v>1754</x:v>
      </x:c>
      <x:c r="S149" s="55" t="n">
        <x:v>3322</x:v>
      </x:c>
      <x:c r="T149" s="55" t="n">
        <x:v>1235</x:v>
      </x:c>
      <x:c r="U149" s="55" t="n">
        <x:v>2042</x:v>
      </x:c>
      <x:c r="V149" s="55" t="n">
        <x:v>10628</x:v>
      </x:c>
      <x:c r="W149" s="55" t="n">
        <x:v>7267</x:v>
      </x:c>
      <x:c r="X149" s="55" t="n">
        <x:v>3361</x:v>
      </x:c>
      <x:c r="Y149" s="55" t="n">
        <x:v>2758</x:v>
      </x:c>
      <x:c r="Z149" s="55" t="n">
        <x:v>3636</x:v>
      </x:c>
      <x:c r="AA149" s="55" t="n">
        <x:v>3284</x:v>
      </x:c>
      <x:c r="AB149" s="55" t="n">
        <x:v>992</x:v>
      </x:c>
      <x:c r="AC149" s="55" t="n">
        <x:v>7962</x:v>
      </x:c>
      <x:c r="AD149" s="55" t="n">
        <x:v>2924</x:v>
      </x:c>
      <x:c r="AE149" s="55" t="n">
        <x:v>10719</x:v>
      </x:c>
      <x:c r="AF149" s="55" t="n">
        <x:v>10628</x:v>
      </x:c>
      <x:c r="AG149" s="55" t="n">
        <x:v>91</x:v>
      </x:c>
      <x:c r="AH149" s="55" t="n">
        <x:v>552</x:v>
      </x:c>
      <x:c r="AI149" s="55" t="n">
        <x:v>10076</x:v>
      </x:c>
      <x:c r="AJ149" s="55" t="n">
        <x:v>368</x:v>
      </x:c>
      <x:c r="AK149" s="55" t="n">
        <x:v>1202</x:v>
      </x:c>
      <x:c r="AL149" s="55" t="n">
        <x:v>1334</x:v>
      </x:c>
      <x:c r="AM149" s="55" t="n">
        <x:v>4874</x:v>
      </x:c>
      <x:c r="AN149" s="55" t="n">
        <x:v>2843</x:v>
      </x:c>
      <x:c r="AO149" s="55" t="n">
        <x:v>7</x:v>
      </x:c>
      <x:c r="AP149" s="55" t="n">
        <x:v>2297</x:v>
      </x:c>
      <x:c r="AQ149" s="55" t="n">
        <x:v>954</x:v>
      </x:c>
    </x:row>
    <x:row r="150">
      <x:c r="A150" s="54" t="str">
        <x:v>T2_CONCORDANT_DOMAIN</x:v>
      </x:c>
      <x:c r="B150" s="54" t="n">
        <x:v>144</x:v>
      </x:c>
      <x:c r="C150" s="54" t="str">
        <x:v>NYC-V2-R01</x:v>
      </x:c>
      <x:c r="D150" s="54" t="str">
        <x:v>V2</x:v>
      </x:c>
      <x:c r="E150" s="54" t="str">
        <x:v>ADMITTED</x:v>
      </x:c>
      <x:c r="F150" s="55" t="n">
        <x:v>29523</x:v>
      </x:c>
      <x:c r="G150" s="55" t="n">
        <x:v>7047</x:v>
      </x:c>
      <x:c r="H150" s="55" t="n">
        <x:v>3191</x:v>
      </x:c>
      <x:c r="I150" s="55" t="n">
        <x:v>1272</x:v>
      </x:c>
      <x:c r="J150" s="55" t="n">
        <x:v>140</x:v>
      </x:c>
      <x:c r="K150" s="55" t="n">
        <x:v>29523</x:v>
      </x:c>
      <x:c r="L150" s="55" t="n">
        <x:v>3810</x:v>
      </x:c>
      <x:c r="M150" s="55" t="n">
        <x:v>561</x:v>
      </x:c>
      <x:c r="N150" s="55" t="n">
        <x:v>1929</x:v>
      </x:c>
      <x:c r="O150" s="55" t="n">
        <x:v>1320</x:v>
      </x:c>
      <x:c r="P150" s="55" t="n">
        <x:v>775</x:v>
      </x:c>
      <x:c r="Q150" s="55" t="n">
        <x:v>2069</x:v>
      </x:c>
      <x:c r="R150" s="55" t="n">
        <x:v>1572</x:v>
      </x:c>
      <x:c r="S150" s="55" t="n">
        <x:v>2442</x:v>
      </x:c>
      <x:c r="T150" s="55" t="n">
        <x:v>1231</x:v>
      </x:c>
      <x:c r="U150" s="55" t="n">
        <x:v>1849</x:v>
      </x:c>
      <x:c r="V150" s="55" t="n">
        <x:v>10234</x:v>
      </x:c>
      <x:c r="W150" s="55" t="n">
        <x:v>7171</x:v>
      </x:c>
      <x:c r="X150" s="55" t="n">
        <x:v>3063</x:v>
      </x:c>
      <x:c r="Y150" s="55" t="n">
        <x:v>2642</x:v>
      </x:c>
      <x:c r="Z150" s="55" t="n">
        <x:v>3221</x:v>
      </x:c>
      <x:c r="AA150" s="55" t="n">
        <x:v>2873</x:v>
      </x:c>
      <x:c r="AB150" s="55" t="n">
        <x:v>1138</x:v>
      </x:c>
      <x:c r="AC150" s="55" t="n">
        <x:v>7671</x:v>
      </x:c>
      <x:c r="AD150" s="55" t="n">
        <x:v>2502</x:v>
      </x:c>
      <x:c r="AE150" s="55" t="n">
        <x:v>10265</x:v>
      </x:c>
      <x:c r="AF150" s="55" t="n">
        <x:v>10234</x:v>
      </x:c>
      <x:c r="AG150" s="55" t="n">
        <x:v>31</x:v>
      </x:c>
      <x:c r="AH150" s="55" t="n">
        <x:v>324</x:v>
      </x:c>
      <x:c r="AI150" s="55" t="n">
        <x:v>9910</x:v>
      </x:c>
      <x:c r="AJ150" s="55" t="n">
        <x:v>250</x:v>
      </x:c>
      <x:c r="AK150" s="55" t="n">
        <x:v>1073</x:v>
      </x:c>
      <x:c r="AL150" s="55" t="n">
        <x:v>1282</x:v>
      </x:c>
      <x:c r="AM150" s="55" t="n">
        <x:v>5225</x:v>
      </x:c>
      <x:c r="AN150" s="55" t="n">
        <x:v>2404</x:v>
      </x:c>
      <x:c r="AO150" s="55" t="n">
        <x:v>0</x:v>
      </x:c>
      <x:c r="AP150" s="55" t="n">
        <x:v>1944</x:v>
      </x:c>
      <x:c r="AQ150" s="55" t="n">
        <x:v>969</x:v>
      </x:c>
    </x:row>
    <x:row r="151">
      <x:c r="A151" s="54" t="str">
        <x:v>T2_CONCORDANT_DOMAIN</x:v>
      </x:c>
      <x:c r="B151" s="54" t="n">
        <x:v>145</x:v>
      </x:c>
      <x:c r="C151" s="54" t="str">
        <x:v>NYC-V2-R01</x:v>
      </x:c>
      <x:c r="D151" s="54" t="str">
        <x:v>V2</x:v>
      </x:c>
      <x:c r="E151" s="54" t="str">
        <x:v>ADMITTED</x:v>
      </x:c>
      <x:c r="F151" s="55" t="n">
        <x:v>32139</x:v>
      </x:c>
      <x:c r="G151" s="55" t="n">
        <x:v>8137</x:v>
      </x:c>
      <x:c r="H151" s="55" t="n">
        <x:v>3585</x:v>
      </x:c>
      <x:c r="I151" s="55" t="n">
        <x:v>1180</x:v>
      </x:c>
      <x:c r="J151" s="55" t="n">
        <x:v>188</x:v>
      </x:c>
      <x:c r="K151" s="55" t="n">
        <x:v>32139</x:v>
      </x:c>
      <x:c r="L151" s="55" t="n">
        <x:v>6343</x:v>
      </x:c>
      <x:c r="M151" s="55" t="n">
        <x:v>1815</x:v>
      </x:c>
      <x:c r="N151" s="55" t="n">
        <x:v>2912</x:v>
      </x:c>
      <x:c r="O151" s="55" t="n">
        <x:v>1616</x:v>
      </x:c>
      <x:c r="P151" s="55" t="n">
        <x:v>1051</x:v>
      </x:c>
      <x:c r="Q151" s="55" t="n">
        <x:v>2803</x:v>
      </x:c>
      <x:c r="R151" s="55" t="n">
        <x:v>1896</x:v>
      </x:c>
      <x:c r="S151" s="55" t="n">
        <x:v>2353</x:v>
      </x:c>
      <x:c r="T151" s="55" t="n">
        <x:v>2127</x:v>
      </x:c>
      <x:c r="U151" s="55" t="n">
        <x:v>1688</x:v>
      </x:c>
      <x:c r="V151" s="55" t="n">
        <x:v>10281</x:v>
      </x:c>
      <x:c r="W151" s="55" t="n">
        <x:v>6475</x:v>
      </x:c>
      <x:c r="X151" s="55" t="n">
        <x:v>3806</x:v>
      </x:c>
      <x:c r="Y151" s="55" t="n">
        <x:v>3193</x:v>
      </x:c>
      <x:c r="Z151" s="55" t="n">
        <x:v>3827</x:v>
      </x:c>
      <x:c r="AA151" s="55" t="n">
        <x:v>3585</x:v>
      </x:c>
      <x:c r="AB151" s="55" t="n">
        <x:v>1609</x:v>
      </x:c>
      <x:c r="AC151" s="55" t="n">
        <x:v>8262</x:v>
      </x:c>
      <x:c r="AD151" s="55" t="n">
        <x:v>3618</x:v>
      </x:c>
      <x:c r="AE151" s="55" t="n">
        <x:v>10411</x:v>
      </x:c>
      <x:c r="AF151" s="55" t="n">
        <x:v>10281</x:v>
      </x:c>
      <x:c r="AG151" s="55" t="n">
        <x:v>130</x:v>
      </x:c>
      <x:c r="AH151" s="55" t="n">
        <x:v>315</x:v>
      </x:c>
      <x:c r="AI151" s="55" t="n">
        <x:v>9966</x:v>
      </x:c>
      <x:c r="AJ151" s="55" t="n">
        <x:v>459</x:v>
      </x:c>
      <x:c r="AK151" s="55" t="n">
        <x:v>1152</x:v>
      </x:c>
      <x:c r="AL151" s="55" t="n">
        <x:v>1534</x:v>
      </x:c>
      <x:c r="AM151" s="55" t="n">
        <x:v>4425</x:v>
      </x:c>
      <x:c r="AN151" s="55" t="n">
        <x:v>2711</x:v>
      </x:c>
      <x:c r="AO151" s="55" t="n">
        <x:v>0</x:v>
      </x:c>
      <x:c r="AP151" s="55" t="n">
        <x:v>2369</x:v>
      </x:c>
      <x:c r="AQ151" s="55" t="n">
        <x:v>981</x:v>
      </x:c>
    </x:row>
    <x:row r="152">
      <x:c r="A152" s="54" t="str">
        <x:v>T2_CONCORDANT_DOMAIN</x:v>
      </x:c>
      <x:c r="B152" s="54" t="n">
        <x:v>146</x:v>
      </x:c>
      <x:c r="C152" s="54" t="str">
        <x:v>NYC-V2-R01</x:v>
      </x:c>
      <x:c r="D152" s="54" t="str">
        <x:v>V2</x:v>
      </x:c>
      <x:c r="E152" s="54" t="str">
        <x:v>ADMITTED</x:v>
      </x:c>
      <x:c r="F152" s="55" t="n">
        <x:v>31831</x:v>
      </x:c>
      <x:c r="G152" s="55" t="n">
        <x:v>7869</x:v>
      </x:c>
      <x:c r="H152" s="55" t="n">
        <x:v>3400</x:v>
      </x:c>
      <x:c r="I152" s="55" t="n">
        <x:v>1659</x:v>
      </x:c>
      <x:c r="J152" s="55" t="n">
        <x:v>260</x:v>
      </x:c>
      <x:c r="K152" s="55" t="n">
        <x:v>30420</x:v>
      </x:c>
      <x:c r="L152" s="55" t="n">
        <x:v>4318</x:v>
      </x:c>
      <x:c r="M152" s="55" t="n">
        <x:v>366</x:v>
      </x:c>
      <x:c r="N152" s="55" t="n">
        <x:v>2371</x:v>
      </x:c>
      <x:c r="O152" s="55" t="n">
        <x:v>1581</x:v>
      </x:c>
      <x:c r="P152" s="55" t="n">
        <x:v>571</x:v>
      </x:c>
      <x:c r="Q152" s="55" t="n">
        <x:v>2421</x:v>
      </x:c>
      <x:c r="R152" s="55" t="n">
        <x:v>2211</x:v>
      </x:c>
      <x:c r="S152" s="55" t="n">
        <x:v>2239</x:v>
      </x:c>
      <x:c r="T152" s="55" t="n">
        <x:v>1005</x:v>
      </x:c>
      <x:c r="U152" s="55" t="n">
        <x:v>1614</x:v>
      </x:c>
      <x:c r="V152" s="55" t="n">
        <x:v>10329</x:v>
      </x:c>
      <x:c r="W152" s="55" t="n">
        <x:v>7221</x:v>
      </x:c>
      <x:c r="X152" s="55" t="n">
        <x:v>3108</x:v>
      </x:c>
      <x:c r="Y152" s="55" t="n">
        <x:v>2539</x:v>
      </x:c>
      <x:c r="Z152" s="55" t="n">
        <x:v>3758</x:v>
      </x:c>
      <x:c r="AA152" s="55" t="n">
        <x:v>2718</x:v>
      </x:c>
      <x:c r="AB152" s="55" t="n">
        <x:v>1062</x:v>
      </x:c>
      <x:c r="AC152" s="55" t="n">
        <x:v>8123</x:v>
      </x:c>
      <x:c r="AD152" s="55" t="n">
        <x:v>3158</x:v>
      </x:c>
      <x:c r="AE152" s="55" t="n">
        <x:v>10350</x:v>
      </x:c>
      <x:c r="AF152" s="55" t="n">
        <x:v>10329</x:v>
      </x:c>
      <x:c r="AG152" s="55" t="n">
        <x:v>21</x:v>
      </x:c>
      <x:c r="AH152" s="55" t="n">
        <x:v>435</x:v>
      </x:c>
      <x:c r="AI152" s="55" t="n">
        <x:v>9894</x:v>
      </x:c>
      <x:c r="AJ152" s="55" t="n">
        <x:v>219</x:v>
      </x:c>
      <x:c r="AK152" s="55" t="n">
        <x:v>982</x:v>
      </x:c>
      <x:c r="AL152" s="55" t="n">
        <x:v>1600</x:v>
      </x:c>
      <x:c r="AM152" s="55" t="n">
        <x:v>4854</x:v>
      </x:c>
      <x:c r="AN152" s="55" t="n">
        <x:v>2674</x:v>
      </x:c>
      <x:c r="AO152" s="55" t="n">
        <x:v>0</x:v>
      </x:c>
      <x:c r="AP152" s="55" t="n">
        <x:v>1660</x:v>
      </x:c>
      <x:c r="AQ152" s="55" t="n">
        <x:v>939</x:v>
      </x:c>
    </x:row>
    <x:row r="153">
      <x:c r="A153" s="54" t="str">
        <x:v>T2_CONCORDANT_DOMAIN</x:v>
      </x:c>
      <x:c r="B153" s="54" t="n">
        <x:v>147</x:v>
      </x:c>
      <x:c r="C153" s="54" t="str">
        <x:v>NYC-V2-R01</x:v>
      </x:c>
      <x:c r="D153" s="54" t="str">
        <x:v>V2</x:v>
      </x:c>
      <x:c r="E153" s="54" t="str">
        <x:v>ADMITTED</x:v>
      </x:c>
      <x:c r="F153" s="55" t="n">
        <x:v>30336</x:v>
      </x:c>
      <x:c r="G153" s="55" t="n">
        <x:v>7020</x:v>
      </x:c>
      <x:c r="H153" s="55" t="n">
        <x:v>3230</x:v>
      </x:c>
      <x:c r="I153" s="55" t="n">
        <x:v>1578</x:v>
      </x:c>
      <x:c r="J153" s="55" t="n">
        <x:v>226</x:v>
      </x:c>
      <x:c r="K153" s="55" t="n">
        <x:v>28930</x:v>
      </x:c>
      <x:c r="L153" s="55" t="n">
        <x:v>5822</x:v>
      </x:c>
      <x:c r="M153" s="55" t="n">
        <x:v>1043</x:v>
      </x:c>
      <x:c r="N153" s="55" t="n">
        <x:v>2879</x:v>
      </x:c>
      <x:c r="O153" s="55" t="n">
        <x:v>1900</x:v>
      </x:c>
      <x:c r="P153" s="55" t="n">
        <x:v>529</x:v>
      </x:c>
      <x:c r="Q153" s="55" t="n">
        <x:v>2261</x:v>
      </x:c>
      <x:c r="R153" s="55" t="n">
        <x:v>1991</x:v>
      </x:c>
      <x:c r="S153" s="55" t="n">
        <x:v>3347</x:v>
      </x:c>
      <x:c r="T153" s="55" t="n">
        <x:v>991</x:v>
      </x:c>
      <x:c r="U153" s="55" t="n">
        <x:v>2184</x:v>
      </x:c>
      <x:c r="V153" s="55" t="n">
        <x:v>10234</x:v>
      </x:c>
      <x:c r="W153" s="55" t="n">
        <x:v>6920</x:v>
      </x:c>
      <x:c r="X153" s="55" t="n">
        <x:v>3314</x:v>
      </x:c>
      <x:c r="Y153" s="55" t="n">
        <x:v>2899</x:v>
      </x:c>
      <x:c r="Z153" s="55" t="n">
        <x:v>4023</x:v>
      </x:c>
      <x:c r="AA153" s="55" t="n">
        <x:v>3230</x:v>
      </x:c>
      <x:c r="AB153" s="55" t="n">
        <x:v>1282</x:v>
      </x:c>
      <x:c r="AC153" s="55" t="n">
        <x:v>8108</x:v>
      </x:c>
      <x:c r="AD153" s="55" t="n">
        <x:v>3562</x:v>
      </x:c>
      <x:c r="AE153" s="55" t="n">
        <x:v>10298</x:v>
      </x:c>
      <x:c r="AF153" s="55" t="n">
        <x:v>10234</x:v>
      </x:c>
      <x:c r="AG153" s="55" t="n">
        <x:v>64</x:v>
      </x:c>
      <x:c r="AH153" s="55" t="n">
        <x:v>594</x:v>
      </x:c>
      <x:c r="AI153" s="55" t="n">
        <x:v>9640</x:v>
      </x:c>
      <x:c r="AJ153" s="55" t="n">
        <x:v>401</x:v>
      </x:c>
      <x:c r="AK153" s="55" t="n">
        <x:v>935</x:v>
      </x:c>
      <x:c r="AL153" s="55" t="n">
        <x:v>1722</x:v>
      </x:c>
      <x:c r="AM153" s="55" t="n">
        <x:v>4423</x:v>
      </x:c>
      <x:c r="AN153" s="55" t="n">
        <x:v>2733</x:v>
      </x:c>
      <x:c r="AO153" s="55" t="n">
        <x:v>20</x:v>
      </x:c>
      <x:c r="AP153" s="55" t="n">
        <x:v>2548</x:v>
      </x:c>
      <x:c r="AQ153" s="55" t="n">
        <x:v>980</x:v>
      </x:c>
    </x:row>
    <x:row r="154">
      <x:c r="A154" s="54" t="str">
        <x:v>T2_CONCORDANT_DOMAIN</x:v>
      </x:c>
      <x:c r="B154" s="54" t="n">
        <x:v>148</x:v>
      </x:c>
      <x:c r="C154" s="54" t="str">
        <x:v>NYC-V2-R01</x:v>
      </x:c>
      <x:c r="D154" s="54" t="str">
        <x:v>V2</x:v>
      </x:c>
      <x:c r="E154" s="54" t="str">
        <x:v>ADMITTED</x:v>
      </x:c>
      <x:c r="F154" s="55" t="n">
        <x:v>29002</x:v>
      </x:c>
      <x:c r="G154" s="55" t="n">
        <x:v>6786</x:v>
      </x:c>
      <x:c r="H154" s="55" t="n">
        <x:v>3328</x:v>
      </x:c>
      <x:c r="I154" s="55" t="n">
        <x:v>1046</x:v>
      </x:c>
      <x:c r="J154" s="55" t="n">
        <x:v>72</x:v>
      </x:c>
      <x:c r="K154" s="55" t="n">
        <x:v>29002</x:v>
      </x:c>
      <x:c r="L154" s="55" t="n">
        <x:v>4846</x:v>
      </x:c>
      <x:c r="M154" s="55" t="n">
        <x:v>1327</x:v>
      </x:c>
      <x:c r="N154" s="55" t="n">
        <x:v>2330</x:v>
      </x:c>
      <x:c r="O154" s="55" t="n">
        <x:v>1189</x:v>
      </x:c>
      <x:c r="P154" s="55" t="n">
        <x:v>839</x:v>
      </x:c>
      <x:c r="Q154" s="55" t="n">
        <x:v>1929</x:v>
      </x:c>
      <x:c r="R154" s="55" t="n">
        <x:v>1918</x:v>
      </x:c>
      <x:c r="S154" s="55" t="n">
        <x:v>2418</x:v>
      </x:c>
      <x:c r="T154" s="55" t="n">
        <x:v>1125</x:v>
      </x:c>
      <x:c r="U154" s="55" t="n">
        <x:v>2171</x:v>
      </x:c>
      <x:c r="V154" s="55" t="n">
        <x:v>9533</x:v>
      </x:c>
      <x:c r="W154" s="55" t="n">
        <x:v>6588</x:v>
      </x:c>
      <x:c r="X154" s="55" t="n">
        <x:v>2945</x:v>
      </x:c>
      <x:c r="Y154" s="55" t="n">
        <x:v>2414</x:v>
      </x:c>
      <x:c r="Z154" s="55" t="n">
        <x:v>3891</x:v>
      </x:c>
      <x:c r="AA154" s="55" t="n">
        <x:v>3328</x:v>
      </x:c>
      <x:c r="AB154" s="55" t="n">
        <x:v>1204</x:v>
      </x:c>
      <x:c r="AC154" s="55" t="n">
        <x:v>7446</x:v>
      </x:c>
      <x:c r="AD154" s="55" t="n">
        <x:v>2381</x:v>
      </x:c>
      <x:c r="AE154" s="55" t="n">
        <x:v>9696</x:v>
      </x:c>
      <x:c r="AF154" s="55" t="n">
        <x:v>9533</x:v>
      </x:c>
      <x:c r="AG154" s="55" t="n">
        <x:v>163</x:v>
      </x:c>
      <x:c r="AH154" s="55" t="n">
        <x:v>401</x:v>
      </x:c>
      <x:c r="AI154" s="55" t="n">
        <x:v>9132</x:v>
      </x:c>
      <x:c r="AJ154" s="55" t="n">
        <x:v>259</x:v>
      </x:c>
      <x:c r="AK154" s="55" t="n">
        <x:v>1031</x:v>
      </x:c>
      <x:c r="AL154" s="55" t="n">
        <x:v>1639</x:v>
      </x:c>
      <x:c r="AM154" s="55" t="n">
        <x:v>4196</x:v>
      </x:c>
      <x:c r="AN154" s="55" t="n">
        <x:v>2380</x:v>
      </x:c>
      <x:c r="AO154" s="55" t="n">
        <x:v>28</x:v>
      </x:c>
      <x:c r="AP154" s="55" t="n">
        <x:v>2372</x:v>
      </x:c>
      <x:c r="AQ154" s="55" t="n">
        <x:v>912</x:v>
      </x:c>
    </x:row>
    <x:row r="155">
      <x:c r="A155" s="54" t="str">
        <x:v>T2_CONCORDANT_DOMAIN</x:v>
      </x:c>
      <x:c r="B155" s="54" t="n">
        <x:v>149</x:v>
      </x:c>
      <x:c r="C155" s="54" t="str">
        <x:v>NYC-V2-R01</x:v>
      </x:c>
      <x:c r="D155" s="54" t="str">
        <x:v>V2</x:v>
      </x:c>
      <x:c r="E155" s="54" t="str">
        <x:v>ADMITTED</x:v>
      </x:c>
      <x:c r="F155" s="55" t="n">
        <x:v>31971</x:v>
      </x:c>
      <x:c r="G155" s="55" t="n">
        <x:v>8037</x:v>
      </x:c>
      <x:c r="H155" s="55" t="n">
        <x:v>3226</x:v>
      </x:c>
      <x:c r="I155" s="55" t="n">
        <x:v>1256</x:v>
      </x:c>
      <x:c r="J155" s="55" t="n">
        <x:v>49</x:v>
      </x:c>
      <x:c r="K155" s="55" t="n">
        <x:v>27696</x:v>
      </x:c>
      <x:c r="L155" s="55" t="n">
        <x:v>5228</x:v>
      </x:c>
      <x:c r="M155" s="55" t="n">
        <x:v>1369</x:v>
      </x:c>
      <x:c r="N155" s="55" t="n">
        <x:v>2583</x:v>
      </x:c>
      <x:c r="O155" s="55" t="n">
        <x:v>1276</x:v>
      </x:c>
      <x:c r="P155" s="55" t="n">
        <x:v>565</x:v>
      </x:c>
      <x:c r="Q155" s="55" t="n">
        <x:v>2104</x:v>
      </x:c>
      <x:c r="R155" s="55" t="n">
        <x:v>1368</x:v>
      </x:c>
      <x:c r="S155" s="55" t="n">
        <x:v>2444</x:v>
      </x:c>
      <x:c r="T155" s="55" t="n">
        <x:v>1372</x:v>
      </x:c>
      <x:c r="U155" s="55" t="n">
        <x:v>1539</x:v>
      </x:c>
      <x:c r="V155" s="55" t="n">
        <x:v>10461</x:v>
      </x:c>
      <x:c r="W155" s="55" t="n">
        <x:v>7228</x:v>
      </x:c>
      <x:c r="X155" s="55" t="n">
        <x:v>3233</x:v>
      </x:c>
      <x:c r="Y155" s="55" t="n">
        <x:v>2769</x:v>
      </x:c>
      <x:c r="Z155" s="55" t="n">
        <x:v>3562</x:v>
      </x:c>
      <x:c r="AA155" s="55" t="n">
        <x:v>3103</x:v>
      </x:c>
      <x:c r="AB155" s="55" t="n">
        <x:v>1034</x:v>
      </x:c>
      <x:c r="AC155" s="55" t="n">
        <x:v>7248</x:v>
      </x:c>
      <x:c r="AD155" s="55" t="n">
        <x:v>2764</x:v>
      </x:c>
      <x:c r="AE155" s="55" t="n">
        <x:v>10523</x:v>
      </x:c>
      <x:c r="AF155" s="55" t="n">
        <x:v>10461</x:v>
      </x:c>
      <x:c r="AG155" s="55" t="n">
        <x:v>62</x:v>
      </x:c>
      <x:c r="AH155" s="55" t="n">
        <x:v>217</x:v>
      </x:c>
      <x:c r="AI155" s="55" t="n">
        <x:v>10244</x:v>
      </x:c>
      <x:c r="AJ155" s="55" t="n">
        <x:v>316</x:v>
      </x:c>
      <x:c r="AK155" s="55" t="n">
        <x:v>854</x:v>
      </x:c>
      <x:c r="AL155" s="55" t="n">
        <x:v>1357</x:v>
      </x:c>
      <x:c r="AM155" s="55" t="n">
        <x:v>5436</x:v>
      </x:c>
      <x:c r="AN155" s="55" t="n">
        <x:v>2470</x:v>
      </x:c>
      <x:c r="AO155" s="55" t="n">
        <x:v>28</x:v>
      </x:c>
      <x:c r="AP155" s="55" t="n">
        <x:v>2425</x:v>
      </x:c>
      <x:c r="AQ155" s="55" t="n">
        <x:v>970</x:v>
      </x:c>
    </x:row>
    <x:row r="156">
      <x:c r="A156" s="54" t="str">
        <x:v>T2_CONCORDANT_DOMAIN</x:v>
      </x:c>
      <x:c r="B156" s="54" t="n">
        <x:v>150</x:v>
      </x:c>
      <x:c r="C156" s="54" t="str">
        <x:v>NYC-V2-R01</x:v>
      </x:c>
      <x:c r="D156" s="54" t="str">
        <x:v>V2</x:v>
      </x:c>
      <x:c r="E156" s="54" t="str">
        <x:v>ADMITTED</x:v>
      </x:c>
      <x:c r="F156" s="55" t="n">
        <x:v>30765</x:v>
      </x:c>
      <x:c r="G156" s="55" t="n">
        <x:v>7889</x:v>
      </x:c>
      <x:c r="H156" s="55" t="n">
        <x:v>3280</x:v>
      </x:c>
      <x:c r="I156" s="55" t="n">
        <x:v>1095</x:v>
      </x:c>
      <x:c r="J156" s="55" t="n">
        <x:v>173</x:v>
      </x:c>
      <x:c r="K156" s="55" t="n">
        <x:v>30765</x:v>
      </x:c>
      <x:c r="L156" s="55" t="n">
        <x:v>6114</x:v>
      </x:c>
      <x:c r="M156" s="55" t="n">
        <x:v>1720</x:v>
      </x:c>
      <x:c r="N156" s="55" t="n">
        <x:v>2821</x:v>
      </x:c>
      <x:c r="O156" s="55" t="n">
        <x:v>1573</x:v>
      </x:c>
      <x:c r="P156" s="55" t="n">
        <x:v>672</x:v>
      </x:c>
      <x:c r="Q156" s="55" t="n">
        <x:v>3349</x:v>
      </x:c>
      <x:c r="R156" s="55" t="n">
        <x:v>2104</x:v>
      </x:c>
      <x:c r="S156" s="55" t="n">
        <x:v>2536</x:v>
      </x:c>
      <x:c r="T156" s="55" t="n">
        <x:v>1651</x:v>
      </x:c>
      <x:c r="U156" s="55" t="n">
        <x:v>2230</x:v>
      </x:c>
      <x:c r="V156" s="55" t="n">
        <x:v>10771</x:v>
      </x:c>
      <x:c r="W156" s="55" t="n">
        <x:v>8061</x:v>
      </x:c>
      <x:c r="X156" s="55" t="n">
        <x:v>2710</x:v>
      </x:c>
      <x:c r="Y156" s="55" t="n">
        <x:v>2303</x:v>
      </x:c>
      <x:c r="Z156" s="55" t="n">
        <x:v>3556</x:v>
      </x:c>
      <x:c r="AA156" s="55" t="n">
        <x:v>3280</x:v>
      </x:c>
      <x:c r="AB156" s="55" t="n">
        <x:v>1208</x:v>
      </x:c>
      <x:c r="AC156" s="55" t="n">
        <x:v>8046</x:v>
      </x:c>
      <x:c r="AD156" s="55" t="n">
        <x:v>3194</x:v>
      </x:c>
      <x:c r="AE156" s="55" t="n">
        <x:v>10859</x:v>
      </x:c>
      <x:c r="AF156" s="55" t="n">
        <x:v>10771</x:v>
      </x:c>
      <x:c r="AG156" s="55" t="n">
        <x:v>88</x:v>
      </x:c>
      <x:c r="AH156" s="55" t="n">
        <x:v>793</x:v>
      </x:c>
      <x:c r="AI156" s="55" t="n">
        <x:v>9978</x:v>
      </x:c>
      <x:c r="AJ156" s="55" t="n">
        <x:v>280</x:v>
      </x:c>
      <x:c r="AK156" s="55" t="n">
        <x:v>831</x:v>
      </x:c>
      <x:c r="AL156" s="55" t="n">
        <x:v>1312</x:v>
      </x:c>
      <x:c r="AM156" s="55" t="n">
        <x:v>4869</x:v>
      </x:c>
      <x:c r="AN156" s="55" t="n">
        <x:v>3381</x:v>
      </x:c>
      <x:c r="AO156" s="55" t="n">
        <x:v>98</x:v>
      </x:c>
      <x:c r="AP156" s="55" t="n">
        <x:v>2340</x:v>
      </x:c>
      <x:c r="AQ156" s="55" t="n">
        <x:v>957</x:v>
      </x:c>
    </x:row>
    <x:row r="157">
      <x:c r="A157" s="54" t="str">
        <x:v>T2_CONCORDANT_DOMAIN</x:v>
      </x:c>
      <x:c r="B157" s="54" t="n">
        <x:v>151</x:v>
      </x:c>
      <x:c r="C157" s="54" t="str">
        <x:v>NYC-V2-R01</x:v>
      </x:c>
      <x:c r="D157" s="54" t="str">
        <x:v>V2</x:v>
      </x:c>
      <x:c r="E157" s="54" t="str">
        <x:v>ADMITTED</x:v>
      </x:c>
      <x:c r="F157" s="55" t="n">
        <x:v>33433</x:v>
      </x:c>
      <x:c r="G157" s="55" t="n">
        <x:v>9085</x:v>
      </x:c>
      <x:c r="H157" s="55" t="n">
        <x:v>3817</x:v>
      </x:c>
      <x:c r="I157" s="55" t="n">
        <x:v>1740</x:v>
      </x:c>
      <x:c r="J157" s="55" t="n">
        <x:v>514</x:v>
      </x:c>
      <x:c r="K157" s="55" t="n">
        <x:v>33320</x:v>
      </x:c>
      <x:c r="L157" s="55" t="n">
        <x:v>8250</x:v>
      </x:c>
      <x:c r="M157" s="55" t="n">
        <x:v>2945</x:v>
      </x:c>
      <x:c r="N157" s="55" t="n">
        <x:v>3216</x:v>
      </x:c>
      <x:c r="O157" s="55" t="n">
        <x:v>2089</x:v>
      </x:c>
      <x:c r="P157" s="55" t="n">
        <x:v>1260</x:v>
      </x:c>
      <x:c r="Q157" s="55" t="n">
        <x:v>3789</x:v>
      </x:c>
      <x:c r="R157" s="55" t="n">
        <x:v>2148</x:v>
      </x:c>
      <x:c r="S157" s="55" t="n">
        <x:v>3170</x:v>
      </x:c>
      <x:c r="T157" s="55" t="n">
        <x:v>1757</x:v>
      </x:c>
      <x:c r="U157" s="55" t="n">
        <x:v>2534</x:v>
      </x:c>
      <x:c r="V157" s="55" t="n">
        <x:v>11017</x:v>
      </x:c>
      <x:c r="W157" s="55" t="n">
        <x:v>7905</x:v>
      </x:c>
      <x:c r="X157" s="55" t="n">
        <x:v>3112</x:v>
      </x:c>
      <x:c r="Y157" s="55" t="n">
        <x:v>2731</x:v>
      </x:c>
      <x:c r="Z157" s="55" t="n">
        <x:v>4075</x:v>
      </x:c>
      <x:c r="AA157" s="55" t="n">
        <x:v>3073</x:v>
      </x:c>
      <x:c r="AB157" s="55" t="n">
        <x:v>1035</x:v>
      </x:c>
      <x:c r="AC157" s="55" t="n">
        <x:v>8277</x:v>
      </x:c>
      <x:c r="AD157" s="55" t="n">
        <x:v>3323</x:v>
      </x:c>
      <x:c r="AE157" s="55" t="n">
        <x:v>11105</x:v>
      </x:c>
      <x:c r="AF157" s="55" t="n">
        <x:v>11017</x:v>
      </x:c>
      <x:c r="AG157" s="55" t="n">
        <x:v>88</x:v>
      </x:c>
      <x:c r="AH157" s="55" t="n">
        <x:v>488</x:v>
      </x:c>
      <x:c r="AI157" s="55" t="n">
        <x:v>10529</x:v>
      </x:c>
      <x:c r="AJ157" s="55" t="n">
        <x:v>390</x:v>
      </x:c>
      <x:c r="AK157" s="55" t="n">
        <x:v>1354</x:v>
      </x:c>
      <x:c r="AL157" s="55" t="n">
        <x:v>1753</x:v>
      </x:c>
      <x:c r="AM157" s="55" t="n">
        <x:v>4818</x:v>
      </x:c>
      <x:c r="AN157" s="55" t="n">
        <x:v>2694</x:v>
      </x:c>
      <x:c r="AO157" s="55" t="n">
        <x:v>8</x:v>
      </x:c>
      <x:c r="AP157" s="55" t="n">
        <x:v>2545</x:v>
      </x:c>
      <x:c r="AQ157" s="55" t="n">
        <x:v>952</x:v>
      </x:c>
    </x:row>
    <x:row r="158">
      <x:c r="A158" s="54" t="str">
        <x:v>T2_CONCORDANT_DOMAIN</x:v>
      </x:c>
      <x:c r="B158" s="54" t="n">
        <x:v>152</x:v>
      </x:c>
      <x:c r="C158" s="54" t="str">
        <x:v>NYC-V2-R01</x:v>
      </x:c>
      <x:c r="D158" s="54" t="str">
        <x:v>V2</x:v>
      </x:c>
      <x:c r="E158" s="54" t="str">
        <x:v>ADMITTED</x:v>
      </x:c>
      <x:c r="F158" s="55" t="n">
        <x:v>32938</x:v>
      </x:c>
      <x:c r="G158" s="55" t="n">
        <x:v>7470</x:v>
      </x:c>
      <x:c r="H158" s="55" t="n">
        <x:v>3722</x:v>
      </x:c>
      <x:c r="I158" s="55" t="n">
        <x:v>1049</x:v>
      </x:c>
      <x:c r="J158" s="55" t="n">
        <x:v>290</x:v>
      </x:c>
      <x:c r="K158" s="55" t="n">
        <x:v>32938</x:v>
      </x:c>
      <x:c r="L158" s="55" t="n">
        <x:v>6886</x:v>
      </x:c>
      <x:c r="M158" s="55" t="n">
        <x:v>1985</x:v>
      </x:c>
      <x:c r="N158" s="55" t="n">
        <x:v>2981</x:v>
      </x:c>
      <x:c r="O158" s="55" t="n">
        <x:v>1920</x:v>
      </x:c>
      <x:c r="P158" s="55" t="n">
        <x:v>1184</x:v>
      </x:c>
      <x:c r="Q158" s="55" t="n">
        <x:v>3010</x:v>
      </x:c>
      <x:c r="R158" s="55" t="n">
        <x:v>2502</x:v>
      </x:c>
      <x:c r="S158" s="55" t="n">
        <x:v>3075</x:v>
      </x:c>
      <x:c r="T158" s="55" t="n">
        <x:v>1414</x:v>
      </x:c>
      <x:c r="U158" s="55" t="n">
        <x:v>2553</x:v>
      </x:c>
      <x:c r="V158" s="55" t="n">
        <x:v>10687</x:v>
      </x:c>
      <x:c r="W158" s="55" t="n">
        <x:v>7401</x:v>
      </x:c>
      <x:c r="X158" s="55" t="n">
        <x:v>3286</x:v>
      </x:c>
      <x:c r="Y158" s="55" t="n">
        <x:v>2912</x:v>
      </x:c>
      <x:c r="Z158" s="55" t="n">
        <x:v>4264</x:v>
      </x:c>
      <x:c r="AA158" s="55" t="n">
        <x:v>3722</x:v>
      </x:c>
      <x:c r="AB158" s="55" t="n">
        <x:v>1244</x:v>
      </x:c>
      <x:c r="AC158" s="55" t="n">
        <x:v>8557</x:v>
      </x:c>
      <x:c r="AD158" s="55" t="n">
        <x:v>3226</x:v>
      </x:c>
      <x:c r="AE158" s="55" t="n">
        <x:v>10794</x:v>
      </x:c>
      <x:c r="AF158" s="55" t="n">
        <x:v>10687</x:v>
      </x:c>
      <x:c r="AG158" s="55" t="n">
        <x:v>107</x:v>
      </x:c>
      <x:c r="AH158" s="55" t="n">
        <x:v>257</x:v>
      </x:c>
      <x:c r="AI158" s="55" t="n">
        <x:v>10430</x:v>
      </x:c>
      <x:c r="AJ158" s="55" t="n">
        <x:v>405</x:v>
      </x:c>
      <x:c r="AK158" s="55" t="n">
        <x:v>777</x:v>
      </x:c>
      <x:c r="AL158" s="55" t="n">
        <x:v>1916</x:v>
      </x:c>
      <x:c r="AM158" s="55" t="n">
        <x:v>5060</x:v>
      </x:c>
      <x:c r="AN158" s="55" t="n">
        <x:v>2439</x:v>
      </x:c>
      <x:c r="AO158" s="55" t="n">
        <x:v>90</x:v>
      </x:c>
      <x:c r="AP158" s="55" t="n">
        <x:v>2459</x:v>
      </x:c>
      <x:c r="AQ158" s="55" t="n">
        <x:v>949</x:v>
      </x:c>
    </x:row>
    <x:row r="159">
      <x:c r="A159" s="54" t="str">
        <x:v>T2_CONCORDANT_DOMAIN</x:v>
      </x:c>
      <x:c r="B159" s="54" t="n">
        <x:v>153</x:v>
      </x:c>
      <x:c r="C159" s="54" t="str">
        <x:v>NYC-V2-R01</x:v>
      </x:c>
      <x:c r="D159" s="54" t="str">
        <x:v>V2</x:v>
      </x:c>
      <x:c r="E159" s="54" t="str">
        <x:v>ADMITTED</x:v>
      </x:c>
      <x:c r="F159" s="55" t="n">
        <x:v>31039</x:v>
      </x:c>
      <x:c r="G159" s="55" t="n">
        <x:v>7714</x:v>
      </x:c>
      <x:c r="H159" s="55" t="n">
        <x:v>3051</x:v>
      </x:c>
      <x:c r="I159" s="55" t="n">
        <x:v>1214</x:v>
      </x:c>
      <x:c r="J159" s="55" t="n">
        <x:v>220</x:v>
      </x:c>
      <x:c r="K159" s="55" t="n">
        <x:v>31039</x:v>
      </x:c>
      <x:c r="L159" s="55" t="n">
        <x:v>6345</x:v>
      </x:c>
      <x:c r="M159" s="55" t="n">
        <x:v>1422</x:v>
      </x:c>
      <x:c r="N159" s="55" t="n">
        <x:v>2693</x:v>
      </x:c>
      <x:c r="O159" s="55" t="n">
        <x:v>2230</x:v>
      </x:c>
      <x:c r="P159" s="55" t="n">
        <x:v>955</x:v>
      </x:c>
      <x:c r="Q159" s="55" t="n">
        <x:v>2068</x:v>
      </x:c>
      <x:c r="R159" s="55" t="n">
        <x:v>1643</x:v>
      </x:c>
      <x:c r="S159" s="55" t="n">
        <x:v>1970</x:v>
      </x:c>
      <x:c r="T159" s="55" t="n">
        <x:v>1186</x:v>
      </x:c>
      <x:c r="U159" s="55" t="n">
        <x:v>2077</x:v>
      </x:c>
      <x:c r="V159" s="55" t="n">
        <x:v>10601</x:v>
      </x:c>
      <x:c r="W159" s="55" t="n">
        <x:v>7821</x:v>
      </x:c>
      <x:c r="X159" s="55" t="n">
        <x:v>2780</x:v>
      </x:c>
      <x:c r="Y159" s="55" t="n">
        <x:v>2295</x:v>
      </x:c>
      <x:c r="Z159" s="55" t="n">
        <x:v>3304</x:v>
      </x:c>
      <x:c r="AA159" s="55" t="n">
        <x:v>3045</x:v>
      </x:c>
      <x:c r="AB159" s="55" t="n">
        <x:v>1070</x:v>
      </x:c>
      <x:c r="AC159" s="55" t="n">
        <x:v>7205</x:v>
      </x:c>
      <x:c r="AD159" s="55" t="n">
        <x:v>2612</x:v>
      </x:c>
      <x:c r="AE159" s="55" t="n">
        <x:v>10627</x:v>
      </x:c>
      <x:c r="AF159" s="55" t="n">
        <x:v>10601</x:v>
      </x:c>
      <x:c r="AG159" s="55" t="n">
        <x:v>26</x:v>
      </x:c>
      <x:c r="AH159" s="55" t="n">
        <x:v>336</x:v>
      </x:c>
      <x:c r="AI159" s="55" t="n">
        <x:v>10265</x:v>
      </x:c>
      <x:c r="AJ159" s="55" t="n">
        <x:v>359</x:v>
      </x:c>
      <x:c r="AK159" s="55" t="n">
        <x:v>880</x:v>
      </x:c>
      <x:c r="AL159" s="55" t="n">
        <x:v>1442</x:v>
      </x:c>
      <x:c r="AM159" s="55" t="n">
        <x:v>5266</x:v>
      </x:c>
      <x:c r="AN159" s="55" t="n">
        <x:v>2654</x:v>
      </x:c>
      <x:c r="AO159" s="55" t="n">
        <x:v>0</x:v>
      </x:c>
      <x:c r="AP159" s="55" t="n">
        <x:v>2164</x:v>
      </x:c>
      <x:c r="AQ159" s="55" t="n">
        <x:v>937</x:v>
      </x:c>
    </x:row>
    <x:row r="160">
      <x:c r="A160" s="54" t="str">
        <x:v>T2_CONCORDANT_DOMAIN</x:v>
      </x:c>
      <x:c r="B160" s="54" t="n">
        <x:v>154</x:v>
      </x:c>
      <x:c r="C160" s="54" t="str">
        <x:v>NYC-V2-R01</x:v>
      </x:c>
      <x:c r="D160" s="54" t="str">
        <x:v>V2</x:v>
      </x:c>
      <x:c r="E160" s="54" t="str">
        <x:v>ADMITTED</x:v>
      </x:c>
      <x:c r="F160" s="55" t="n">
        <x:v>33073</x:v>
      </x:c>
      <x:c r="G160" s="55" t="n">
        <x:v>9130</x:v>
      </x:c>
      <x:c r="H160" s="55" t="n">
        <x:v>3130</x:v>
      </x:c>
      <x:c r="I160" s="55" t="n">
        <x:v>1173</x:v>
      </x:c>
      <x:c r="J160" s="55" t="n">
        <x:v>204</x:v>
      </x:c>
      <x:c r="K160" s="55" t="n">
        <x:v>30204</x:v>
      </x:c>
      <x:c r="L160" s="55" t="n">
        <x:v>5020</x:v>
      </x:c>
      <x:c r="M160" s="55" t="n">
        <x:v>1005</x:v>
      </x:c>
      <x:c r="N160" s="55" t="n">
        <x:v>2512</x:v>
      </x:c>
      <x:c r="O160" s="55" t="n">
        <x:v>1503</x:v>
      </x:c>
      <x:c r="P160" s="55" t="n">
        <x:v>604</x:v>
      </x:c>
      <x:c r="Q160" s="55" t="n">
        <x:v>1926</x:v>
      </x:c>
      <x:c r="R160" s="55" t="n">
        <x:v>1486</x:v>
      </x:c>
      <x:c r="S160" s="55" t="n">
        <x:v>2701</x:v>
      </x:c>
      <x:c r="T160" s="55" t="n">
        <x:v>1178</x:v>
      </x:c>
      <x:c r="U160" s="55" t="n">
        <x:v>1458</x:v>
      </x:c>
      <x:c r="V160" s="55" t="n">
        <x:v>10447</x:v>
      </x:c>
      <x:c r="W160" s="55" t="n">
        <x:v>7566</x:v>
      </x:c>
      <x:c r="X160" s="55" t="n">
        <x:v>2881</x:v>
      </x:c>
      <x:c r="Y160" s="55" t="n">
        <x:v>2392</x:v>
      </x:c>
      <x:c r="Z160" s="55" t="n">
        <x:v>4053</x:v>
      </x:c>
      <x:c r="AA160" s="55" t="n">
        <x:v>3130</x:v>
      </x:c>
      <x:c r="AB160" s="55" t="n">
        <x:v>996</x:v>
      </x:c>
      <x:c r="AC160" s="55" t="n">
        <x:v>7765</x:v>
      </x:c>
      <x:c r="AD160" s="55" t="n">
        <x:v>2679</x:v>
      </x:c>
      <x:c r="AE160" s="55" t="n">
        <x:v>10513</x:v>
      </x:c>
      <x:c r="AF160" s="55" t="n">
        <x:v>10447</x:v>
      </x:c>
      <x:c r="AG160" s="55" t="n">
        <x:v>66</x:v>
      </x:c>
      <x:c r="AH160" s="55" t="n">
        <x:v>463</x:v>
      </x:c>
      <x:c r="AI160" s="55" t="n">
        <x:v>9984</x:v>
      </x:c>
      <x:c r="AJ160" s="55" t="n">
        <x:v>179</x:v>
      </x:c>
      <x:c r="AK160" s="55" t="n">
        <x:v>950</x:v>
      </x:c>
      <x:c r="AL160" s="55" t="n">
        <x:v>1512</x:v>
      </x:c>
      <x:c r="AM160" s="55" t="n">
        <x:v>5411</x:v>
      </x:c>
      <x:c r="AN160" s="55" t="n">
        <x:v>2366</x:v>
      </x:c>
      <x:c r="AO160" s="55" t="n">
        <x:v>29</x:v>
      </x:c>
      <x:c r="AP160" s="55" t="n">
        <x:v>2521</x:v>
      </x:c>
      <x:c r="AQ160" s="55" t="n">
        <x:v>947</x:v>
      </x:c>
    </x:row>
    <x:row r="161">
      <x:c r="A161" s="54" t="str">
        <x:v>T2_CONCORDANT_DOMAIN</x:v>
      </x:c>
      <x:c r="B161" s="54" t="n">
        <x:v>155</x:v>
      </x:c>
      <x:c r="C161" s="54" t="str">
        <x:v>NYC-V2-R01</x:v>
      </x:c>
      <x:c r="D161" s="54" t="str">
        <x:v>V2</x:v>
      </x:c>
      <x:c r="E161" s="54" t="str">
        <x:v>ADMITTED</x:v>
      </x:c>
      <x:c r="F161" s="55" t="n">
        <x:v>30616</x:v>
      </x:c>
      <x:c r="G161" s="55" t="n">
        <x:v>7013</x:v>
      </x:c>
      <x:c r="H161" s="55" t="n">
        <x:v>3472</x:v>
      </x:c>
      <x:c r="I161" s="55" t="n">
        <x:v>1347</x:v>
      </x:c>
      <x:c r="J161" s="55" t="n">
        <x:v>284</x:v>
      </x:c>
      <x:c r="K161" s="55" t="n">
        <x:v>30616</x:v>
      </x:c>
      <x:c r="L161" s="55" t="n">
        <x:v>7006</x:v>
      </x:c>
      <x:c r="M161" s="55" t="n">
        <x:v>1970</x:v>
      </x:c>
      <x:c r="N161" s="55" t="n">
        <x:v>3096</x:v>
      </x:c>
      <x:c r="O161" s="55" t="n">
        <x:v>1940</x:v>
      </x:c>
      <x:c r="P161" s="55" t="n">
        <x:v>553</x:v>
      </x:c>
      <x:c r="Q161" s="55" t="n">
        <x:v>2211</x:v>
      </x:c>
      <x:c r="R161" s="55" t="n">
        <x:v>2309</x:v>
      </x:c>
      <x:c r="S161" s="55" t="n">
        <x:v>3214</x:v>
      </x:c>
      <x:c r="T161" s="55" t="n">
        <x:v>1125</x:v>
      </x:c>
      <x:c r="U161" s="55" t="n">
        <x:v>1919</x:v>
      </x:c>
      <x:c r="V161" s="55" t="n">
        <x:v>10633</x:v>
      </x:c>
      <x:c r="W161" s="55" t="n">
        <x:v>7478</x:v>
      </x:c>
      <x:c r="X161" s="55" t="n">
        <x:v>3155</x:v>
      </x:c>
      <x:c r="Y161" s="55" t="n">
        <x:v>2870</x:v>
      </x:c>
      <x:c r="Z161" s="55" t="n">
        <x:v>3726</x:v>
      </x:c>
      <x:c r="AA161" s="55" t="n">
        <x:v>3183</x:v>
      </x:c>
      <x:c r="AB161" s="55" t="n">
        <x:v>1162</x:v>
      </x:c>
      <x:c r="AC161" s="55" t="n">
        <x:v>7598</x:v>
      </x:c>
      <x:c r="AD161" s="55" t="n">
        <x:v>2845</x:v>
      </x:c>
      <x:c r="AE161" s="55" t="n">
        <x:v>10741</x:v>
      </x:c>
      <x:c r="AF161" s="55" t="n">
        <x:v>10633</x:v>
      </x:c>
      <x:c r="AG161" s="55" t="n">
        <x:v>108</x:v>
      </x:c>
      <x:c r="AH161" s="55" t="n">
        <x:v>334</x:v>
      </x:c>
      <x:c r="AI161" s="55" t="n">
        <x:v>10299</x:v>
      </x:c>
      <x:c r="AJ161" s="55" t="n">
        <x:v>485</x:v>
      </x:c>
      <x:c r="AK161" s="55" t="n">
        <x:v>850</x:v>
      </x:c>
      <x:c r="AL161" s="55" t="n">
        <x:v>1328</x:v>
      </x:c>
      <x:c r="AM161" s="55" t="n">
        <x:v>5219</x:v>
      </x:c>
      <x:c r="AN161" s="55" t="n">
        <x:v>2713</x:v>
      </x:c>
      <x:c r="AO161" s="55" t="n">
        <x:v>38</x:v>
      </x:c>
      <x:c r="AP161" s="55" t="n">
        <x:v>2492</x:v>
      </x:c>
      <x:c r="AQ161" s="55" t="n">
        <x:v>921</x:v>
      </x:c>
    </x:row>
    <x:row r="162">
      <x:c r="A162" s="54" t="str">
        <x:v>T2_CONCORDANT_DOMAIN</x:v>
      </x:c>
      <x:c r="B162" s="54" t="n">
        <x:v>156</x:v>
      </x:c>
      <x:c r="C162" s="54" t="str">
        <x:v>NYC-V2-R01</x:v>
      </x:c>
      <x:c r="D162" s="54" t="str">
        <x:v>V2</x:v>
      </x:c>
      <x:c r="E162" s="54" t="str">
        <x:v>ADMITTED</x:v>
      </x:c>
      <x:c r="F162" s="55" t="n">
        <x:v>29815</x:v>
      </x:c>
      <x:c r="G162" s="55" t="n">
        <x:v>7650</x:v>
      </x:c>
      <x:c r="H162" s="55" t="n">
        <x:v>2961</x:v>
      </x:c>
      <x:c r="I162" s="55" t="n">
        <x:v>776</x:v>
      </x:c>
      <x:c r="J162" s="55" t="n">
        <x:v>62</x:v>
      </x:c>
      <x:c r="K162" s="55" t="n">
        <x:v>29815</x:v>
      </x:c>
      <x:c r="L162" s="55" t="n">
        <x:v>4307</x:v>
      </x:c>
      <x:c r="M162" s="55" t="n">
        <x:v>44</x:v>
      </x:c>
      <x:c r="N162" s="55" t="n">
        <x:v>2696</x:v>
      </x:c>
      <x:c r="O162" s="55" t="n">
        <x:v>1567</x:v>
      </x:c>
      <x:c r="P162" s="55" t="n">
        <x:v>583</x:v>
      </x:c>
      <x:c r="Q162" s="55" t="n">
        <x:v>1831</x:v>
      </x:c>
      <x:c r="R162" s="55" t="n">
        <x:v>1774</x:v>
      </x:c>
      <x:c r="S162" s="55" t="n">
        <x:v>1884</x:v>
      </x:c>
      <x:c r="T162" s="55" t="n">
        <x:v>985</x:v>
      </x:c>
      <x:c r="U162" s="55" t="n">
        <x:v>1343</x:v>
      </x:c>
      <x:c r="V162" s="55" t="n">
        <x:v>10841</x:v>
      </x:c>
      <x:c r="W162" s="55" t="n">
        <x:v>7901</x:v>
      </x:c>
      <x:c r="X162" s="55" t="n">
        <x:v>2940</x:v>
      </x:c>
      <x:c r="Y162" s="55" t="n">
        <x:v>2559</x:v>
      </x:c>
      <x:c r="Z162" s="55" t="n">
        <x:v>3867</x:v>
      </x:c>
      <x:c r="AA162" s="55" t="n">
        <x:v>2961</x:v>
      </x:c>
      <x:c r="AB162" s="55" t="n">
        <x:v>780</x:v>
      </x:c>
      <x:c r="AC162" s="55" t="n">
        <x:v>7761</x:v>
      </x:c>
      <x:c r="AD162" s="55" t="n">
        <x:v>2662</x:v>
      </x:c>
      <x:c r="AE162" s="55" t="n">
        <x:v>10887</x:v>
      </x:c>
      <x:c r="AF162" s="55" t="n">
        <x:v>10841</x:v>
      </x:c>
      <x:c r="AG162" s="55" t="n">
        <x:v>46</x:v>
      </x:c>
      <x:c r="AH162" s="55" t="n">
        <x:v>424</x:v>
      </x:c>
      <x:c r="AI162" s="55" t="n">
        <x:v>10417</x:v>
      </x:c>
      <x:c r="AJ162" s="55" t="n">
        <x:v>209</x:v>
      </x:c>
      <x:c r="AK162" s="55" t="n">
        <x:v>1130</x:v>
      </x:c>
      <x:c r="AL162" s="55" t="n">
        <x:v>1770</x:v>
      </x:c>
      <x:c r="AM162" s="55" t="n">
        <x:v>5058</x:v>
      </x:c>
      <x:c r="AN162" s="55" t="n">
        <x:v>2669</x:v>
      </x:c>
      <x:c r="AO162" s="55" t="n">
        <x:v>5</x:v>
      </x:c>
      <x:c r="AP162" s="55" t="n">
        <x:v>2361</x:v>
      </x:c>
      <x:c r="AQ162" s="55" t="n">
        <x:v>913</x:v>
      </x:c>
    </x:row>
    <x:row r="163">
      <x:c r="A163" s="54" t="str">
        <x:v>T2_CONCORDANT_DOMAIN</x:v>
      </x:c>
      <x:c r="B163" s="54" t="n">
        <x:v>157</x:v>
      </x:c>
      <x:c r="C163" s="54" t="str">
        <x:v>NYC-V2-R01</x:v>
      </x:c>
      <x:c r="D163" s="54" t="str">
        <x:v>V2</x:v>
      </x:c>
      <x:c r="E163" s="54" t="str">
        <x:v>ADMITTED</x:v>
      </x:c>
      <x:c r="F163" s="55" t="n">
        <x:v>30105</x:v>
      </x:c>
      <x:c r="G163" s="55" t="n">
        <x:v>6748</x:v>
      </x:c>
      <x:c r="H163" s="55" t="n">
        <x:v>3392</x:v>
      </x:c>
      <x:c r="I163" s="55" t="n">
        <x:v>1388</x:v>
      </x:c>
      <x:c r="J163" s="55" t="n">
        <x:v>344</x:v>
      </x:c>
      <x:c r="K163" s="55" t="n">
        <x:v>26926</x:v>
      </x:c>
      <x:c r="L163" s="55" t="n">
        <x:v>3697</x:v>
      </x:c>
      <x:c r="M163" s="55" t="n">
        <x:v>40</x:v>
      </x:c>
      <x:c r="N163" s="55" t="n">
        <x:v>1959</x:v>
      </x:c>
      <x:c r="O163" s="55" t="n">
        <x:v>1698</x:v>
      </x:c>
      <x:c r="P163" s="55" t="n">
        <x:v>378</x:v>
      </x:c>
      <x:c r="Q163" s="55" t="n">
        <x:v>1740</x:v>
      </x:c>
      <x:c r="R163" s="55" t="n">
        <x:v>1442</x:v>
      </x:c>
      <x:c r="S163" s="55" t="n">
        <x:v>2427</x:v>
      </x:c>
      <x:c r="T163" s="55" t="n">
        <x:v>1274</x:v>
      </x:c>
      <x:c r="U163" s="55" t="n">
        <x:v>1803</x:v>
      </x:c>
      <x:c r="V163" s="55" t="n">
        <x:v>10595</x:v>
      </x:c>
      <x:c r="W163" s="55" t="n">
        <x:v>7864</x:v>
      </x:c>
      <x:c r="X163" s="55" t="n">
        <x:v>2731</x:v>
      </x:c>
      <x:c r="Y163" s="55" t="n">
        <x:v>2480</x:v>
      </x:c>
      <x:c r="Z163" s="55" t="n">
        <x:v>3437</x:v>
      </x:c>
      <x:c r="AA163" s="55" t="n">
        <x:v>3026</x:v>
      </x:c>
      <x:c r="AB163" s="55" t="n">
        <x:v>906</x:v>
      </x:c>
      <x:c r="AC163" s="55" t="n">
        <x:v>7683</x:v>
      </x:c>
      <x:c r="AD163" s="55" t="n">
        <x:v>2616</x:v>
      </x:c>
      <x:c r="AE163" s="55" t="n">
        <x:v>10646</x:v>
      </x:c>
      <x:c r="AF163" s="55" t="n">
        <x:v>10595</x:v>
      </x:c>
      <x:c r="AG163" s="55" t="n">
        <x:v>51</x:v>
      </x:c>
      <x:c r="AH163" s="55" t="n">
        <x:v>410</x:v>
      </x:c>
      <x:c r="AI163" s="55" t="n">
        <x:v>10185</x:v>
      </x:c>
      <x:c r="AJ163" s="55" t="n">
        <x:v>192</x:v>
      </x:c>
      <x:c r="AK163" s="55" t="n">
        <x:v>879</x:v>
      </x:c>
      <x:c r="AL163" s="55" t="n">
        <x:v>1367</x:v>
      </x:c>
      <x:c r="AM163" s="55" t="n">
        <x:v>5009</x:v>
      </x:c>
      <x:c r="AN163" s="55" t="n">
        <x:v>3148</x:v>
      </x:c>
      <x:c r="AO163" s="55" t="n">
        <x:v>0</x:v>
      </x:c>
      <x:c r="AP163" s="55" t="n">
        <x:v>2198</x:v>
      </x:c>
      <x:c r="AQ163" s="55" t="n">
        <x:v>965</x:v>
      </x:c>
    </x:row>
    <x:row r="164">
      <x:c r="A164" s="54" t="str">
        <x:v>T2_CONCORDANT_DOMAIN</x:v>
      </x:c>
      <x:c r="B164" s="54" t="n">
        <x:v>158</x:v>
      </x:c>
      <x:c r="C164" s="54" t="str">
        <x:v>NYC-V2-R01</x:v>
      </x:c>
      <x:c r="D164" s="54" t="str">
        <x:v>V2</x:v>
      </x:c>
      <x:c r="E164" s="54" t="str">
        <x:v>ADMITTED</x:v>
      </x:c>
      <x:c r="F164" s="55" t="n">
        <x:v>31448</x:v>
      </x:c>
      <x:c r="G164" s="55" t="n">
        <x:v>8396</x:v>
      </x:c>
      <x:c r="H164" s="55" t="n">
        <x:v>3199</x:v>
      </x:c>
      <x:c r="I164" s="55" t="n">
        <x:v>1115</x:v>
      </x:c>
      <x:c r="J164" s="55" t="n">
        <x:v>144</x:v>
      </x:c>
      <x:c r="K164" s="55" t="n">
        <x:v>30320</x:v>
      </x:c>
      <x:c r="L164" s="55" t="n">
        <x:v>4887</x:v>
      </x:c>
      <x:c r="M164" s="55" t="n">
        <x:v>288</x:v>
      </x:c>
      <x:c r="N164" s="55" t="n">
        <x:v>2653</x:v>
      </x:c>
      <x:c r="O164" s="55" t="n">
        <x:v>1946</x:v>
      </x:c>
      <x:c r="P164" s="55" t="n">
        <x:v>1080</x:v>
      </x:c>
      <x:c r="Q164" s="55" t="n">
        <x:v>3466</x:v>
      </x:c>
      <x:c r="R164" s="55" t="n">
        <x:v>2117</x:v>
      </x:c>
      <x:c r="S164" s="55" t="n">
        <x:v>3110</x:v>
      </x:c>
      <x:c r="T164" s="55" t="n">
        <x:v>1138</x:v>
      </x:c>
      <x:c r="U164" s="55" t="n">
        <x:v>1905</x:v>
      </x:c>
      <x:c r="V164" s="55" t="n">
        <x:v>11170</x:v>
      </x:c>
      <x:c r="W164" s="55" t="n">
        <x:v>8236</x:v>
      </x:c>
      <x:c r="X164" s="55" t="n">
        <x:v>2934</x:v>
      </x:c>
      <x:c r="Y164" s="55" t="n">
        <x:v>2518</x:v>
      </x:c>
      <x:c r="Z164" s="55" t="n">
        <x:v>3700</x:v>
      </x:c>
      <x:c r="AA164" s="55" t="n">
        <x:v>3199</x:v>
      </x:c>
      <x:c r="AB164" s="55" t="n">
        <x:v>1290</x:v>
      </x:c>
      <x:c r="AC164" s="55" t="n">
        <x:v>7798</x:v>
      </x:c>
      <x:c r="AD164" s="55" t="n">
        <x:v>2920</x:v>
      </x:c>
      <x:c r="AE164" s="55" t="n">
        <x:v>11267</x:v>
      </x:c>
      <x:c r="AF164" s="55" t="n">
        <x:v>11170</x:v>
      </x:c>
      <x:c r="AG164" s="55" t="n">
        <x:v>97</x:v>
      </x:c>
      <x:c r="AH164" s="55" t="n">
        <x:v>573</x:v>
      </x:c>
      <x:c r="AI164" s="55" t="n">
        <x:v>10597</x:v>
      </x:c>
      <x:c r="AJ164" s="55" t="n">
        <x:v>384</x:v>
      </x:c>
      <x:c r="AK164" s="55" t="n">
        <x:v>1519</x:v>
      </x:c>
      <x:c r="AL164" s="55" t="n">
        <x:v>1271</x:v>
      </x:c>
      <x:c r="AM164" s="55" t="n">
        <x:v>5230</x:v>
      </x:c>
      <x:c r="AN164" s="55" t="n">
        <x:v>2699</x:v>
      </x:c>
      <x:c r="AO164" s="55" t="n">
        <x:v>67</x:v>
      </x:c>
      <x:c r="AP164" s="55" t="n">
        <x:v>2210</x:v>
      </x:c>
      <x:c r="AQ164" s="55" t="n">
        <x:v>933</x:v>
      </x:c>
    </x:row>
    <x:row r="165">
      <x:c r="A165" s="54" t="str">
        <x:v>T2_CONCORDANT_DOMAIN</x:v>
      </x:c>
      <x:c r="B165" s="54" t="n">
        <x:v>159</x:v>
      </x:c>
      <x:c r="C165" s="54" t="str">
        <x:v>NYC-V2-R01</x:v>
      </x:c>
      <x:c r="D165" s="54" t="str">
        <x:v>V2</x:v>
      </x:c>
      <x:c r="E165" s="54" t="str">
        <x:v>ADMITTED</x:v>
      </x:c>
      <x:c r="F165" s="55" t="n">
        <x:v>29222</x:v>
      </x:c>
      <x:c r="G165" s="55" t="n">
        <x:v>7129</x:v>
      </x:c>
      <x:c r="H165" s="55" t="n">
        <x:v>3258</x:v>
      </x:c>
      <x:c r="I165" s="55" t="n">
        <x:v>1322</x:v>
      </x:c>
      <x:c r="J165" s="55" t="n">
        <x:v>209</x:v>
      </x:c>
      <x:c r="K165" s="55" t="n">
        <x:v>28703</x:v>
      </x:c>
      <x:c r="L165" s="55" t="n">
        <x:v>5256</x:v>
      </x:c>
      <x:c r="M165" s="55" t="n">
        <x:v>1274</x:v>
      </x:c>
      <x:c r="N165" s="55" t="n">
        <x:v>2421</x:v>
      </x:c>
      <x:c r="O165" s="55" t="n">
        <x:v>1561</x:v>
      </x:c>
      <x:c r="P165" s="55" t="n">
        <x:v>672</x:v>
      </x:c>
      <x:c r="Q165" s="55" t="n">
        <x:v>2592</x:v>
      </x:c>
      <x:c r="R165" s="55" t="n">
        <x:v>1504</x:v>
      </x:c>
      <x:c r="S165" s="55" t="n">
        <x:v>3200</x:v>
      </x:c>
      <x:c r="T165" s="55" t="n">
        <x:v>1055</x:v>
      </x:c>
      <x:c r="U165" s="55" t="n">
        <x:v>2117</x:v>
      </x:c>
      <x:c r="V165" s="55" t="n">
        <x:v>10370</x:v>
      </x:c>
      <x:c r="W165" s="55" t="n">
        <x:v>7682</x:v>
      </x:c>
      <x:c r="X165" s="55" t="n">
        <x:v>2688</x:v>
      </x:c>
      <x:c r="Y165" s="55" t="n">
        <x:v>2400</x:v>
      </x:c>
      <x:c r="Z165" s="55" t="n">
        <x:v>3554</x:v>
      </x:c>
      <x:c r="AA165" s="55" t="n">
        <x:v>2960</x:v>
      </x:c>
      <x:c r="AB165" s="55" t="n">
        <x:v>1229</x:v>
      </x:c>
      <x:c r="AC165" s="55" t="n">
        <x:v>7645</x:v>
      </x:c>
      <x:c r="AD165" s="55" t="n">
        <x:v>3210</x:v>
      </x:c>
      <x:c r="AE165" s="55" t="n">
        <x:v>10506</x:v>
      </x:c>
      <x:c r="AF165" s="55" t="n">
        <x:v>10370</x:v>
      </x:c>
      <x:c r="AG165" s="55" t="n">
        <x:v>136</x:v>
      </x:c>
      <x:c r="AH165" s="55" t="n">
        <x:v>409</x:v>
      </x:c>
      <x:c r="AI165" s="55" t="n">
        <x:v>9961</x:v>
      </x:c>
      <x:c r="AJ165" s="55" t="n">
        <x:v>343</x:v>
      </x:c>
      <x:c r="AK165" s="55" t="n">
        <x:v>984</x:v>
      </x:c>
      <x:c r="AL165" s="55" t="n">
        <x:v>1674</x:v>
      </x:c>
      <x:c r="AM165" s="55" t="n">
        <x:v>4789</x:v>
      </x:c>
      <x:c r="AN165" s="55" t="n">
        <x:v>2580</x:v>
      </x:c>
      <x:c r="AO165" s="55" t="n">
        <x:v>0</x:v>
      </x:c>
      <x:c r="AP165" s="55" t="n">
        <x:v>2155</x:v>
      </x:c>
      <x:c r="AQ165" s="55" t="n">
        <x:v>968</x:v>
      </x:c>
    </x:row>
    <x:row r="166">
      <x:c r="A166" s="54" t="str">
        <x:v>T2_CONCORDANT_DOMAIN</x:v>
      </x:c>
      <x:c r="B166" s="54" t="n">
        <x:v>160</x:v>
      </x:c>
      <x:c r="C166" s="54" t="str">
        <x:v>NYC-V2-R01</x:v>
      </x:c>
      <x:c r="D166" s="54" t="str">
        <x:v>V2</x:v>
      </x:c>
      <x:c r="E166" s="54" t="str">
        <x:v>ADMITTED</x:v>
      </x:c>
      <x:c r="F166" s="55" t="n">
        <x:v>31927</x:v>
      </x:c>
      <x:c r="G166" s="55" t="n">
        <x:v>7590</x:v>
      </x:c>
      <x:c r="H166" s="55" t="n">
        <x:v>3523</x:v>
      </x:c>
      <x:c r="I166" s="55" t="n">
        <x:v>1248</x:v>
      </x:c>
      <x:c r="J166" s="55" t="n">
        <x:v>313</x:v>
      </x:c>
      <x:c r="K166" s="55" t="n">
        <x:v>31927</x:v>
      </x:c>
      <x:c r="L166" s="55" t="n">
        <x:v>7654</x:v>
      </x:c>
      <x:c r="M166" s="55" t="n">
        <x:v>1946</x:v>
      </x:c>
      <x:c r="N166" s="55" t="n">
        <x:v>3598</x:v>
      </x:c>
      <x:c r="O166" s="55" t="n">
        <x:v>2110</x:v>
      </x:c>
      <x:c r="P166" s="55" t="n">
        <x:v>988</x:v>
      </x:c>
      <x:c r="Q166" s="55" t="n">
        <x:v>3081</x:v>
      </x:c>
      <x:c r="R166" s="55" t="n">
        <x:v>2380</x:v>
      </x:c>
      <x:c r="S166" s="55" t="n">
        <x:v>3191</x:v>
      </x:c>
      <x:c r="T166" s="55" t="n">
        <x:v>1198</x:v>
      </x:c>
      <x:c r="U166" s="55" t="n">
        <x:v>2898</x:v>
      </x:c>
      <x:c r="V166" s="55" t="n">
        <x:v>10792</x:v>
      </x:c>
      <x:c r="W166" s="55" t="n">
        <x:v>7077</x:v>
      </x:c>
      <x:c r="X166" s="55" t="n">
        <x:v>3715</x:v>
      </x:c>
      <x:c r="Y166" s="55" t="n">
        <x:v>3351</x:v>
      </x:c>
      <x:c r="Z166" s="55" t="n">
        <x:v>3934</x:v>
      </x:c>
      <x:c r="AA166" s="55" t="n">
        <x:v>3140</x:v>
      </x:c>
      <x:c r="AB166" s="55" t="n">
        <x:v>1081</x:v>
      </x:c>
      <x:c r="AC166" s="55" t="n">
        <x:v>8254</x:v>
      </x:c>
      <x:c r="AD166" s="55" t="n">
        <x:v>3150</x:v>
      </x:c>
      <x:c r="AE166" s="55" t="n">
        <x:v>10910</x:v>
      </x:c>
      <x:c r="AF166" s="55" t="n">
        <x:v>10792</x:v>
      </x:c>
      <x:c r="AG166" s="55" t="n">
        <x:v>118</x:v>
      </x:c>
      <x:c r="AH166" s="55" t="n">
        <x:v>574</x:v>
      </x:c>
      <x:c r="AI166" s="55" t="n">
        <x:v>10218</x:v>
      </x:c>
      <x:c r="AJ166" s="55" t="n">
        <x:v>431</x:v>
      </x:c>
      <x:c r="AK166" s="55" t="n">
        <x:v>1168</x:v>
      </x:c>
      <x:c r="AL166" s="55" t="n">
        <x:v>1653</x:v>
      </x:c>
      <x:c r="AM166" s="55" t="n">
        <x:v>4805</x:v>
      </x:c>
      <x:c r="AN166" s="55" t="n">
        <x:v>2706</x:v>
      </x:c>
      <x:c r="AO166" s="55" t="n">
        <x:v>29</x:v>
      </x:c>
      <x:c r="AP166" s="55" t="n">
        <x:v>2802</x:v>
      </x:c>
      <x:c r="AQ166" s="55" t="n">
        <x:v>974</x:v>
      </x:c>
    </x:row>
    <x:row r="167">
      <x:c r="A167" s="54" t="str">
        <x:v>T2_CONCORDANT_DOMAIN</x:v>
      </x:c>
      <x:c r="B167" s="54" t="n">
        <x:v>161</x:v>
      </x:c>
      <x:c r="C167" s="54" t="str">
        <x:v>NYC-V2-R01</x:v>
      </x:c>
      <x:c r="D167" s="54" t="str">
        <x:v>V2</x:v>
      </x:c>
      <x:c r="E167" s="54" t="str">
        <x:v>ADMITTED</x:v>
      </x:c>
      <x:c r="F167" s="55" t="n">
        <x:v>31910</x:v>
      </x:c>
      <x:c r="G167" s="55" t="n">
        <x:v>8941</x:v>
      </x:c>
      <x:c r="H167" s="55" t="n">
        <x:v>3019</x:v>
      </x:c>
      <x:c r="I167" s="55" t="n">
        <x:v>1512</x:v>
      </x:c>
      <x:c r="J167" s="55" t="n">
        <x:v>218</x:v>
      </x:c>
      <x:c r="K167" s="55" t="n">
        <x:v>29509</x:v>
      </x:c>
      <x:c r="L167" s="55" t="n">
        <x:v>6507</x:v>
      </x:c>
      <x:c r="M167" s="55" t="n">
        <x:v>1903</x:v>
      </x:c>
      <x:c r="N167" s="55" t="n">
        <x:v>2628</x:v>
      </x:c>
      <x:c r="O167" s="55" t="n">
        <x:v>1976</x:v>
      </x:c>
      <x:c r="P167" s="55" t="n">
        <x:v>659</x:v>
      </x:c>
      <x:c r="Q167" s="55" t="n">
        <x:v>2198</x:v>
      </x:c>
      <x:c r="R167" s="55" t="n">
        <x:v>2088</x:v>
      </x:c>
      <x:c r="S167" s="55" t="n">
        <x:v>2837</x:v>
      </x:c>
      <x:c r="T167" s="55" t="n">
        <x:v>1316</x:v>
      </x:c>
      <x:c r="U167" s="55" t="n">
        <x:v>1894</x:v>
      </x:c>
      <x:c r="V167" s="55" t="n">
        <x:v>10670</x:v>
      </x:c>
      <x:c r="W167" s="55" t="n">
        <x:v>7520</x:v>
      </x:c>
      <x:c r="X167" s="55" t="n">
        <x:v>3150</x:v>
      </x:c>
      <x:c r="Y167" s="55" t="n">
        <x:v>2862</x:v>
      </x:c>
      <x:c r="Z167" s="55" t="n">
        <x:v>3483</x:v>
      </x:c>
      <x:c r="AA167" s="55" t="n">
        <x:v>2436</x:v>
      </x:c>
      <x:c r="AB167" s="55" t="n">
        <x:v>972</x:v>
      </x:c>
      <x:c r="AC167" s="55" t="n">
        <x:v>8092</x:v>
      </x:c>
      <x:c r="AD167" s="55" t="n">
        <x:v>2542</x:v>
      </x:c>
      <x:c r="AE167" s="55" t="n">
        <x:v>10746</x:v>
      </x:c>
      <x:c r="AF167" s="55" t="n">
        <x:v>10670</x:v>
      </x:c>
      <x:c r="AG167" s="55" t="n">
        <x:v>76</x:v>
      </x:c>
      <x:c r="AH167" s="55" t="n">
        <x:v>525</x:v>
      </x:c>
      <x:c r="AI167" s="55" t="n">
        <x:v>10145</x:v>
      </x:c>
      <x:c r="AJ167" s="55" t="n">
        <x:v>323</x:v>
      </x:c>
      <x:c r="AK167" s="55" t="n">
        <x:v>1098</x:v>
      </x:c>
      <x:c r="AL167" s="55" t="n">
        <x:v>1505</x:v>
      </x:c>
      <x:c r="AM167" s="55" t="n">
        <x:v>5056</x:v>
      </x:c>
      <x:c r="AN167" s="55" t="n">
        <x:v>2614</x:v>
      </x:c>
      <x:c r="AO167" s="55" t="n">
        <x:v>74</x:v>
      </x:c>
      <x:c r="AP167" s="55" t="n">
        <x:v>2634</x:v>
      </x:c>
      <x:c r="AQ167" s="55" t="n">
        <x:v>949</x:v>
      </x:c>
    </x:row>
    <x:row r="168">
      <x:c r="A168" s="54" t="str">
        <x:v>T2_CONCORDANT_DOMAIN</x:v>
      </x:c>
      <x:c r="B168" s="54" t="n">
        <x:v>162</x:v>
      </x:c>
      <x:c r="C168" s="54" t="str">
        <x:v>NYC-V2-R01</x:v>
      </x:c>
      <x:c r="D168" s="54" t="str">
        <x:v>V2</x:v>
      </x:c>
      <x:c r="E168" s="54" t="str">
        <x:v>ADMITTED</x:v>
      </x:c>
      <x:c r="F168" s="55" t="n">
        <x:v>28497</x:v>
      </x:c>
      <x:c r="G168" s="55" t="n">
        <x:v>6479</x:v>
      </x:c>
      <x:c r="H168" s="55" t="n">
        <x:v>2686</x:v>
      </x:c>
      <x:c r="I168" s="55" t="n">
        <x:v>1026</x:v>
      </x:c>
      <x:c r="J168" s="55" t="n">
        <x:v>36</x:v>
      </x:c>
      <x:c r="K168" s="55" t="n">
        <x:v>28497</x:v>
      </x:c>
      <x:c r="L168" s="55" t="n">
        <x:v>4777</x:v>
      </x:c>
      <x:c r="M168" s="55" t="n">
        <x:v>1055</x:v>
      </x:c>
      <x:c r="N168" s="55" t="n">
        <x:v>2082</x:v>
      </x:c>
      <x:c r="O168" s="55" t="n">
        <x:v>1640</x:v>
      </x:c>
      <x:c r="P168" s="55" t="n">
        <x:v>732</x:v>
      </x:c>
      <x:c r="Q168" s="55" t="n">
        <x:v>1950</x:v>
      </x:c>
      <x:c r="R168" s="55" t="n">
        <x:v>1946</x:v>
      </x:c>
      <x:c r="S168" s="55" t="n">
        <x:v>2241</x:v>
      </x:c>
      <x:c r="T168" s="55" t="n">
        <x:v>528</x:v>
      </x:c>
      <x:c r="U168" s="55" t="n">
        <x:v>1542</x:v>
      </x:c>
      <x:c r="V168" s="55" t="n">
        <x:v>10095</x:v>
      </x:c>
      <x:c r="W168" s="55" t="n">
        <x:v>7120</x:v>
      </x:c>
      <x:c r="X168" s="55" t="n">
        <x:v>2975</x:v>
      </x:c>
      <x:c r="Y168" s="55" t="n">
        <x:v>2632</x:v>
      </x:c>
      <x:c r="Z168" s="55" t="n">
        <x:v>3668</x:v>
      </x:c>
      <x:c r="AA168" s="55" t="n">
        <x:v>2533</x:v>
      </x:c>
      <x:c r="AB168" s="55" t="n">
        <x:v>804</x:v>
      </x:c>
      <x:c r="AC168" s="55" t="n">
        <x:v>8210</x:v>
      </x:c>
      <x:c r="AD168" s="55" t="n">
        <x:v>2864</x:v>
      </x:c>
      <x:c r="AE168" s="55" t="n">
        <x:v>10185</x:v>
      </x:c>
      <x:c r="AF168" s="55" t="n">
        <x:v>10095</x:v>
      </x:c>
      <x:c r="AG168" s="55" t="n">
        <x:v>90</x:v>
      </x:c>
      <x:c r="AH168" s="55" t="n">
        <x:v>504</x:v>
      </x:c>
      <x:c r="AI168" s="55" t="n">
        <x:v>9591</x:v>
      </x:c>
      <x:c r="AJ168" s="55" t="n">
        <x:v>267</x:v>
      </x:c>
      <x:c r="AK168" s="55" t="n">
        <x:v>714</x:v>
      </x:c>
      <x:c r="AL168" s="55" t="n">
        <x:v>1379</x:v>
      </x:c>
      <x:c r="AM168" s="55" t="n">
        <x:v>5034</x:v>
      </x:c>
      <x:c r="AN168" s="55" t="n">
        <x:v>2698</x:v>
      </x:c>
      <x:c r="AO168" s="55" t="n">
        <x:v>3</x:v>
      </x:c>
      <x:c r="AP168" s="55" t="n">
        <x:v>2191</x:v>
      </x:c>
      <x:c r="AQ168" s="55" t="n">
        <x:v>890</x:v>
      </x:c>
    </x:row>
    <x:row r="169">
      <x:c r="A169" s="54" t="str">
        <x:v>T2_CONCORDANT_DOMAIN</x:v>
      </x:c>
      <x:c r="B169" s="54" t="n">
        <x:v>163</x:v>
      </x:c>
      <x:c r="C169" s="54" t="str">
        <x:v>NYC-V2-R01</x:v>
      </x:c>
      <x:c r="D169" s="54" t="str">
        <x:v>V2</x:v>
      </x:c>
      <x:c r="E169" s="54" t="str">
        <x:v>ADMITTED</x:v>
      </x:c>
      <x:c r="F169" s="55" t="n">
        <x:v>32217</x:v>
      </x:c>
      <x:c r="G169" s="55" t="n">
        <x:v>7618</x:v>
      </x:c>
      <x:c r="H169" s="55" t="n">
        <x:v>3472</x:v>
      </x:c>
      <x:c r="I169" s="55" t="n">
        <x:v>1076</x:v>
      </x:c>
      <x:c r="J169" s="55" t="n">
        <x:v>184</x:v>
      </x:c>
      <x:c r="K169" s="55" t="n">
        <x:v>30509</x:v>
      </x:c>
      <x:c r="L169" s="55" t="n">
        <x:v>5152</x:v>
      </x:c>
      <x:c r="M169" s="55" t="n">
        <x:v>993</x:v>
      </x:c>
      <x:c r="N169" s="55" t="n">
        <x:v>2479</x:v>
      </x:c>
      <x:c r="O169" s="55" t="n">
        <x:v>1680</x:v>
      </x:c>
      <x:c r="P169" s="55" t="n">
        <x:v>1293</x:v>
      </x:c>
      <x:c r="Q169" s="55" t="n">
        <x:v>2239</x:v>
      </x:c>
      <x:c r="R169" s="55" t="n">
        <x:v>1512</x:v>
      </x:c>
      <x:c r="S169" s="55" t="n">
        <x:v>2131</x:v>
      </x:c>
      <x:c r="T169" s="55" t="n">
        <x:v>1109</x:v>
      </x:c>
      <x:c r="U169" s="55" t="n">
        <x:v>2135</x:v>
      </x:c>
      <x:c r="V169" s="55" t="n">
        <x:v>10522</x:v>
      </x:c>
      <x:c r="W169" s="55" t="n">
        <x:v>7430</x:v>
      </x:c>
      <x:c r="X169" s="55" t="n">
        <x:v>3092</x:v>
      </x:c>
      <x:c r="Y169" s="55" t="n">
        <x:v>2766</x:v>
      </x:c>
      <x:c r="Z169" s="55" t="n">
        <x:v>3691</x:v>
      </x:c>
      <x:c r="AA169" s="55" t="n">
        <x:v>3472</x:v>
      </x:c>
      <x:c r="AB169" s="55" t="n">
        <x:v>1354</x:v>
      </x:c>
      <x:c r="AC169" s="55" t="n">
        <x:v>7868</x:v>
      </x:c>
      <x:c r="AD169" s="55" t="n">
        <x:v>2907</x:v>
      </x:c>
      <x:c r="AE169" s="55" t="n">
        <x:v>10626</x:v>
      </x:c>
      <x:c r="AF169" s="55" t="n">
        <x:v>10522</x:v>
      </x:c>
      <x:c r="AG169" s="55" t="n">
        <x:v>104</x:v>
      </x:c>
      <x:c r="AH169" s="55" t="n">
        <x:v>533</x:v>
      </x:c>
      <x:c r="AI169" s="55" t="n">
        <x:v>9989</x:v>
      </x:c>
      <x:c r="AJ169" s="55" t="n">
        <x:v>542</x:v>
      </x:c>
      <x:c r="AK169" s="55" t="n">
        <x:v>790</x:v>
      </x:c>
      <x:c r="AL169" s="55" t="n">
        <x:v>1587</x:v>
      </x:c>
      <x:c r="AM169" s="55" t="n">
        <x:v>4851</x:v>
      </x:c>
      <x:c r="AN169" s="55" t="n">
        <x:v>2719</x:v>
      </x:c>
      <x:c r="AO169" s="55" t="n">
        <x:v>33</x:v>
      </x:c>
      <x:c r="AP169" s="55" t="n">
        <x:v>2641</x:v>
      </x:c>
      <x:c r="AQ169" s="55" t="n">
        <x:v>961</x:v>
      </x:c>
    </x:row>
    <x:row r="170">
      <x:c r="A170" s="54" t="str">
        <x:v>T2_CONCORDANT_DOMAIN</x:v>
      </x:c>
      <x:c r="B170" s="54" t="n">
        <x:v>164</x:v>
      </x:c>
      <x:c r="C170" s="54" t="str">
        <x:v>NYC-V2-R01</x:v>
      </x:c>
      <x:c r="D170" s="54" t="str">
        <x:v>V2</x:v>
      </x:c>
      <x:c r="E170" s="54" t="str">
        <x:v>ADMITTED</x:v>
      </x:c>
      <x:c r="F170" s="55" t="n">
        <x:v>31327</x:v>
      </x:c>
      <x:c r="G170" s="55" t="n">
        <x:v>7588</x:v>
      </x:c>
      <x:c r="H170" s="55" t="n">
        <x:v>3396</x:v>
      </x:c>
      <x:c r="I170" s="55" t="n">
        <x:v>1412</x:v>
      </x:c>
      <x:c r="J170" s="55" t="n">
        <x:v>350</x:v>
      </x:c>
      <x:c r="K170" s="55" t="n">
        <x:v>30271</x:v>
      </x:c>
      <x:c r="L170" s="55" t="n">
        <x:v>5905</x:v>
      </x:c>
      <x:c r="M170" s="55" t="n">
        <x:v>1129</x:v>
      </x:c>
      <x:c r="N170" s="55" t="n">
        <x:v>3077</x:v>
      </x:c>
      <x:c r="O170" s="55" t="n">
        <x:v>1699</x:v>
      </x:c>
      <x:c r="P170" s="55" t="n">
        <x:v>1303</x:v>
      </x:c>
      <x:c r="Q170" s="55" t="n">
        <x:v>2220</x:v>
      </x:c>
      <x:c r="R170" s="55" t="n">
        <x:v>1919</x:v>
      </x:c>
      <x:c r="S170" s="55" t="n">
        <x:v>2927</x:v>
      </x:c>
      <x:c r="T170" s="55" t="n">
        <x:v>1227</x:v>
      </x:c>
      <x:c r="U170" s="55" t="n">
        <x:v>1753</x:v>
      </x:c>
      <x:c r="V170" s="55" t="n">
        <x:v>10953</x:v>
      </x:c>
      <x:c r="W170" s="55" t="n">
        <x:v>7637</x:v>
      </x:c>
      <x:c r="X170" s="55" t="n">
        <x:v>3316</x:v>
      </x:c>
      <x:c r="Y170" s="55" t="n">
        <x:v>2768</x:v>
      </x:c>
      <x:c r="Z170" s="55" t="n">
        <x:v>3754</x:v>
      </x:c>
      <x:c r="AA170" s="55" t="n">
        <x:v>3396</x:v>
      </x:c>
      <x:c r="AB170" s="55" t="n">
        <x:v>1242</x:v>
      </x:c>
      <x:c r="AC170" s="55" t="n">
        <x:v>8193</x:v>
      </x:c>
      <x:c r="AD170" s="55" t="n">
        <x:v>2941</x:v>
      </x:c>
      <x:c r="AE170" s="55" t="n">
        <x:v>10996</x:v>
      </x:c>
      <x:c r="AF170" s="55" t="n">
        <x:v>10953</x:v>
      </x:c>
      <x:c r="AG170" s="55" t="n">
        <x:v>43</x:v>
      </x:c>
      <x:c r="AH170" s="55" t="n">
        <x:v>532</x:v>
      </x:c>
      <x:c r="AI170" s="55" t="n">
        <x:v>10421</x:v>
      </x:c>
      <x:c r="AJ170" s="55" t="n">
        <x:v>344</x:v>
      </x:c>
      <x:c r="AK170" s="55" t="n">
        <x:v>1315</x:v>
      </x:c>
      <x:c r="AL170" s="55" t="n">
        <x:v>1451</x:v>
      </x:c>
      <x:c r="AM170" s="55" t="n">
        <x:v>4687</x:v>
      </x:c>
      <x:c r="AN170" s="55" t="n">
        <x:v>3099</x:v>
      </x:c>
      <x:c r="AO170" s="55" t="n">
        <x:v>57</x:v>
      </x:c>
      <x:c r="AP170" s="55" t="n">
        <x:v>2680</x:v>
      </x:c>
      <x:c r="AQ170" s="55" t="n">
        <x:v>1016</x:v>
      </x:c>
    </x:row>
    <x:row r="171">
      <x:c r="A171" s="54" t="str">
        <x:v>T2_CONCORDANT_DOMAIN</x:v>
      </x:c>
      <x:c r="B171" s="54" t="n">
        <x:v>165</x:v>
      </x:c>
      <x:c r="C171" s="54" t="str">
        <x:v>NYC-V2-R01</x:v>
      </x:c>
      <x:c r="D171" s="54" t="str">
        <x:v>V2</x:v>
      </x:c>
      <x:c r="E171" s="54" t="str">
        <x:v>ADMITTED</x:v>
      </x:c>
      <x:c r="F171" s="55" t="n">
        <x:v>30530</x:v>
      </x:c>
      <x:c r="G171" s="55" t="n">
        <x:v>7048</x:v>
      </x:c>
      <x:c r="H171" s="55" t="n">
        <x:v>2898</x:v>
      </x:c>
      <x:c r="I171" s="55" t="n">
        <x:v>1083</x:v>
      </x:c>
      <x:c r="J171" s="55" t="n">
        <x:v>121</x:v>
      </x:c>
      <x:c r="K171" s="55" t="n">
        <x:v>30530</x:v>
      </x:c>
      <x:c r="L171" s="55" t="n">
        <x:v>5723</x:v>
      </x:c>
      <x:c r="M171" s="55" t="n">
        <x:v>1968</x:v>
      </x:c>
      <x:c r="N171" s="55" t="n">
        <x:v>2347</x:v>
      </x:c>
      <x:c r="O171" s="55" t="n">
        <x:v>1408</x:v>
      </x:c>
      <x:c r="P171" s="55" t="n">
        <x:v>1124</x:v>
      </x:c>
      <x:c r="Q171" s="55" t="n">
        <x:v>1862</x:v>
      </x:c>
      <x:c r="R171" s="55" t="n">
        <x:v>2062</x:v>
      </x:c>
      <x:c r="S171" s="55" t="n">
        <x:v>2858</x:v>
      </x:c>
      <x:c r="T171" s="55" t="n">
        <x:v>592</x:v>
      </x:c>
      <x:c r="U171" s="55" t="n">
        <x:v>1698</x:v>
      </x:c>
      <x:c r="V171" s="55" t="n">
        <x:v>10109</x:v>
      </x:c>
      <x:c r="W171" s="55" t="n">
        <x:v>6931</x:v>
      </x:c>
      <x:c r="X171" s="55" t="n">
        <x:v>3178</x:v>
      </x:c>
      <x:c r="Y171" s="55" t="n">
        <x:v>2718</x:v>
      </x:c>
      <x:c r="Z171" s="55" t="n">
        <x:v>4052</x:v>
      </x:c>
      <x:c r="AA171" s="55" t="n">
        <x:v>2898</x:v>
      </x:c>
      <x:c r="AB171" s="55" t="n">
        <x:v>1140</x:v>
      </x:c>
      <x:c r="AC171" s="55" t="n">
        <x:v>8054</x:v>
      </x:c>
      <x:c r="AD171" s="55" t="n">
        <x:v>3213</x:v>
      </x:c>
      <x:c r="AE171" s="55" t="n">
        <x:v>10196</x:v>
      </x:c>
      <x:c r="AF171" s="55" t="n">
        <x:v>10109</x:v>
      </x:c>
      <x:c r="AG171" s="55" t="n">
        <x:v>87</x:v>
      </x:c>
      <x:c r="AH171" s="55" t="n">
        <x:v>386</x:v>
      </x:c>
      <x:c r="AI171" s="55" t="n">
        <x:v>9723</x:v>
      </x:c>
      <x:c r="AJ171" s="55" t="n">
        <x:v>332</x:v>
      </x:c>
      <x:c r="AK171" s="55" t="n">
        <x:v>1064</x:v>
      </x:c>
      <x:c r="AL171" s="55" t="n">
        <x:v>1542</x:v>
      </x:c>
      <x:c r="AM171" s="55" t="n">
        <x:v>4387</x:v>
      </x:c>
      <x:c r="AN171" s="55" t="n">
        <x:v>2756</x:v>
      </x:c>
      <x:c r="AO171" s="55" t="n">
        <x:v>28</x:v>
      </x:c>
      <x:c r="AP171" s="55" t="n">
        <x:v>2497</x:v>
      </x:c>
      <x:c r="AQ171" s="55" t="n">
        <x:v>940</x:v>
      </x:c>
    </x:row>
    <x:row r="172">
      <x:c r="A172" s="54" t="str">
        <x:v>T2_CONCORDANT_DOMAIN</x:v>
      </x:c>
      <x:c r="B172" s="54" t="n">
        <x:v>166</x:v>
      </x:c>
      <x:c r="C172" s="54" t="str">
        <x:v>NYC-V2-R01</x:v>
      </x:c>
      <x:c r="D172" s="54" t="str">
        <x:v>V2</x:v>
      </x:c>
      <x:c r="E172" s="54" t="str">
        <x:v>ADMITTED</x:v>
      </x:c>
      <x:c r="F172" s="55" t="n">
        <x:v>30022</x:v>
      </x:c>
      <x:c r="G172" s="55" t="n">
        <x:v>8069</x:v>
      </x:c>
      <x:c r="H172" s="55" t="n">
        <x:v>3175</x:v>
      </x:c>
      <x:c r="I172" s="55" t="n">
        <x:v>1007</x:v>
      </x:c>
      <x:c r="J172" s="55" t="n">
        <x:v>148</x:v>
      </x:c>
      <x:c r="K172" s="55" t="n">
        <x:v>29608</x:v>
      </x:c>
      <x:c r="L172" s="55" t="n">
        <x:v>6412</x:v>
      </x:c>
      <x:c r="M172" s="55" t="n">
        <x:v>1589</x:v>
      </x:c>
      <x:c r="N172" s="55" t="n">
        <x:v>2983</x:v>
      </x:c>
      <x:c r="O172" s="55" t="n">
        <x:v>1840</x:v>
      </x:c>
      <x:c r="P172" s="55" t="n">
        <x:v>1087</x:v>
      </x:c>
      <x:c r="Q172" s="55" t="n">
        <x:v>2265</x:v>
      </x:c>
      <x:c r="R172" s="55" t="n">
        <x:v>2613</x:v>
      </x:c>
      <x:c r="S172" s="55" t="n">
        <x:v>2768</x:v>
      </x:c>
      <x:c r="T172" s="55" t="n">
        <x:v>1415</x:v>
      </x:c>
      <x:c r="U172" s="55" t="n">
        <x:v>1753</x:v>
      </x:c>
      <x:c r="V172" s="55" t="n">
        <x:v>10743</x:v>
      </x:c>
      <x:c r="W172" s="55" t="n">
        <x:v>7790</x:v>
      </x:c>
      <x:c r="X172" s="55" t="n">
        <x:v>2953</x:v>
      </x:c>
      <x:c r="Y172" s="55" t="n">
        <x:v>2756</x:v>
      </x:c>
      <x:c r="Z172" s="55" t="n">
        <x:v>3070</x:v>
      </x:c>
      <x:c r="AA172" s="55" t="n">
        <x:v>2860</x:v>
      </x:c>
      <x:c r="AB172" s="55" t="n">
        <x:v>1217</x:v>
      </x:c>
      <x:c r="AC172" s="55" t="n">
        <x:v>8255</x:v>
      </x:c>
      <x:c r="AD172" s="55" t="n">
        <x:v>2484</x:v>
      </x:c>
      <x:c r="AE172" s="55" t="n">
        <x:v>10827</x:v>
      </x:c>
      <x:c r="AF172" s="55" t="n">
        <x:v>10743</x:v>
      </x:c>
      <x:c r="AG172" s="55" t="n">
        <x:v>84</x:v>
      </x:c>
      <x:c r="AH172" s="55" t="n">
        <x:v>362</x:v>
      </x:c>
      <x:c r="AI172" s="55" t="n">
        <x:v>10381</x:v>
      </x:c>
      <x:c r="AJ172" s="55" t="n">
        <x:v>417</x:v>
      </x:c>
      <x:c r="AK172" s="55" t="n">
        <x:v>1380</x:v>
      </x:c>
      <x:c r="AL172" s="55" t="n">
        <x:v>1919</x:v>
      </x:c>
      <x:c r="AM172" s="55" t="n">
        <x:v>4843</x:v>
      </x:c>
      <x:c r="AN172" s="55" t="n">
        <x:v>2165</x:v>
      </x:c>
      <x:c r="AO172" s="55" t="n">
        <x:v>19</x:v>
      </x:c>
      <x:c r="AP172" s="55" t="n">
        <x:v>2737</x:v>
      </x:c>
      <x:c r="AQ172" s="55" t="n">
        <x:v>932</x:v>
      </x:c>
    </x:row>
    <x:row r="173">
      <x:c r="A173" s="54" t="str">
        <x:v>T2_CONCORDANT_DOMAIN</x:v>
      </x:c>
      <x:c r="B173" s="54" t="n">
        <x:v>167</x:v>
      </x:c>
      <x:c r="C173" s="54" t="str">
        <x:v>NYC-V2-R01</x:v>
      </x:c>
      <x:c r="D173" s="54" t="str">
        <x:v>V2</x:v>
      </x:c>
      <x:c r="E173" s="54" t="str">
        <x:v>ADMITTED</x:v>
      </x:c>
      <x:c r="F173" s="55" t="n">
        <x:v>32098</x:v>
      </x:c>
      <x:c r="G173" s="55" t="n">
        <x:v>8657</x:v>
      </x:c>
      <x:c r="H173" s="55" t="n">
        <x:v>3114</x:v>
      </x:c>
      <x:c r="I173" s="55" t="n">
        <x:v>648</x:v>
      </x:c>
      <x:c r="J173" s="55" t="n">
        <x:v>0</x:v>
      </x:c>
      <x:c r="K173" s="55" t="n">
        <x:v>32098</x:v>
      </x:c>
      <x:c r="L173" s="55" t="n">
        <x:v>4902</x:v>
      </x:c>
      <x:c r="M173" s="55" t="n">
        <x:v>1060</x:v>
      </x:c>
      <x:c r="N173" s="55" t="n">
        <x:v>2360</x:v>
      </x:c>
      <x:c r="O173" s="55" t="n">
        <x:v>1482</x:v>
      </x:c>
      <x:c r="P173" s="55" t="n">
        <x:v>867</x:v>
      </x:c>
      <x:c r="Q173" s="55" t="n">
        <x:v>1765</x:v>
      </x:c>
      <x:c r="R173" s="55" t="n">
        <x:v>1962</x:v>
      </x:c>
      <x:c r="S173" s="55" t="n">
        <x:v>2673</x:v>
      </x:c>
      <x:c r="T173" s="55" t="n">
        <x:v>1008</x:v>
      </x:c>
      <x:c r="U173" s="55" t="n">
        <x:v>1808</x:v>
      </x:c>
      <x:c r="V173" s="55" t="n">
        <x:v>10238</x:v>
      </x:c>
      <x:c r="W173" s="55" t="n">
        <x:v>7373</x:v>
      </x:c>
      <x:c r="X173" s="55" t="n">
        <x:v>2865</x:v>
      </x:c>
      <x:c r="Y173" s="55" t="n">
        <x:v>2294</x:v>
      </x:c>
      <x:c r="Z173" s="55" t="n">
        <x:v>3652</x:v>
      </x:c>
      <x:c r="AA173" s="55" t="n">
        <x:v>3114</x:v>
      </x:c>
      <x:c r="AB173" s="55" t="n">
        <x:v>1020</x:v>
      </x:c>
      <x:c r="AC173" s="55" t="n">
        <x:v>7832</x:v>
      </x:c>
      <x:c r="AD173" s="55" t="n">
        <x:v>2491</x:v>
      </x:c>
      <x:c r="AE173" s="55" t="n">
        <x:v>10238</x:v>
      </x:c>
      <x:c r="AF173" s="55" t="n">
        <x:v>10238</x:v>
      </x:c>
      <x:c r="AG173" s="55" t="n">
        <x:v>0</x:v>
      </x:c>
      <x:c r="AH173" s="55" t="n">
        <x:v>154</x:v>
      </x:c>
      <x:c r="AI173" s="55" t="n">
        <x:v>10084</x:v>
      </x:c>
      <x:c r="AJ173" s="55" t="n">
        <x:v>218</x:v>
      </x:c>
      <x:c r="AK173" s="55" t="n">
        <x:v>853</x:v>
      </x:c>
      <x:c r="AL173" s="55" t="n">
        <x:v>1480</x:v>
      </x:c>
      <x:c r="AM173" s="55" t="n">
        <x:v>5114</x:v>
      </x:c>
      <x:c r="AN173" s="55" t="n">
        <x:v>2573</x:v>
      </x:c>
      <x:c r="AO173" s="55" t="n">
        <x:v>0</x:v>
      </x:c>
      <x:c r="AP173" s="55" t="n">
        <x:v>1921</x:v>
      </x:c>
      <x:c r="AQ173" s="55" t="n">
        <x:v>925</x:v>
      </x:c>
    </x:row>
    <x:row r="174">
      <x:c r="A174" s="54" t="str">
        <x:v>T2_CONCORDANT_DOMAIN</x:v>
      </x:c>
      <x:c r="B174" s="54" t="n">
        <x:v>168</x:v>
      </x:c>
      <x:c r="C174" s="54" t="str">
        <x:v>NYC-V2-R01</x:v>
      </x:c>
      <x:c r="D174" s="54" t="str">
        <x:v>V2</x:v>
      </x:c>
      <x:c r="E174" s="54" t="str">
        <x:v>ADMITTED</x:v>
      </x:c>
      <x:c r="F174" s="55" t="n">
        <x:v>31888</x:v>
      </x:c>
      <x:c r="G174" s="55" t="n">
        <x:v>5857</x:v>
      </x:c>
      <x:c r="H174" s="55" t="n">
        <x:v>3600</x:v>
      </x:c>
      <x:c r="I174" s="55" t="n">
        <x:v>1635</x:v>
      </x:c>
      <x:c r="J174" s="55" t="n">
        <x:v>318</x:v>
      </x:c>
      <x:c r="K174" s="55" t="n">
        <x:v>31888</x:v>
      </x:c>
      <x:c r="L174" s="55" t="n">
        <x:v>5934</x:v>
      </x:c>
      <x:c r="M174" s="55" t="n">
        <x:v>1318</x:v>
      </x:c>
      <x:c r="N174" s="55" t="n">
        <x:v>2777</x:v>
      </x:c>
      <x:c r="O174" s="55" t="n">
        <x:v>1839</x:v>
      </x:c>
      <x:c r="P174" s="55" t="n">
        <x:v>1058</x:v>
      </x:c>
      <x:c r="Q174" s="55" t="n">
        <x:v>2903</x:v>
      </x:c>
      <x:c r="R174" s="55" t="n">
        <x:v>2074</x:v>
      </x:c>
      <x:c r="S174" s="55" t="n">
        <x:v>3139</x:v>
      </x:c>
      <x:c r="T174" s="55" t="n">
        <x:v>1072</x:v>
      </x:c>
      <x:c r="U174" s="55" t="n">
        <x:v>1830</x:v>
      </x:c>
      <x:c r="V174" s="55" t="n">
        <x:v>10305</x:v>
      </x:c>
      <x:c r="W174" s="55" t="n">
        <x:v>7258</x:v>
      </x:c>
      <x:c r="X174" s="55" t="n">
        <x:v>3047</x:v>
      </x:c>
      <x:c r="Y174" s="55" t="n">
        <x:v>2718</x:v>
      </x:c>
      <x:c r="Z174" s="55" t="n">
        <x:v>3724</x:v>
      </x:c>
      <x:c r="AA174" s="55" t="n">
        <x:v>3084</x:v>
      </x:c>
      <x:c r="AB174" s="55" t="n">
        <x:v>1060</x:v>
      </x:c>
      <x:c r="AC174" s="55" t="n">
        <x:v>7911</x:v>
      </x:c>
      <x:c r="AD174" s="55" t="n">
        <x:v>2911</x:v>
      </x:c>
      <x:c r="AE174" s="55" t="n">
        <x:v>10375</x:v>
      </x:c>
      <x:c r="AF174" s="55" t="n">
        <x:v>10305</x:v>
      </x:c>
      <x:c r="AG174" s="55" t="n">
        <x:v>70</x:v>
      </x:c>
      <x:c r="AH174" s="55" t="n">
        <x:v>346</x:v>
      </x:c>
      <x:c r="AI174" s="55" t="n">
        <x:v>9959</x:v>
      </x:c>
      <x:c r="AJ174" s="55" t="n">
        <x:v>158</x:v>
      </x:c>
      <x:c r="AK174" s="55" t="n">
        <x:v>902</x:v>
      </x:c>
      <x:c r="AL174" s="55" t="n">
        <x:v>1621</x:v>
      </x:c>
      <x:c r="AM174" s="55" t="n">
        <x:v>4895</x:v>
      </x:c>
      <x:c r="AN174" s="55" t="n">
        <x:v>2729</x:v>
      </x:c>
      <x:c r="AO174" s="55" t="n">
        <x:v>0</x:v>
      </x:c>
      <x:c r="AP174" s="55" t="n">
        <x:v>2409</x:v>
      </x:c>
      <x:c r="AQ174" s="55" t="n">
        <x:v>979</x:v>
      </x:c>
    </x:row>
    <x:row r="175">
      <x:c r="A175" s="54" t="str">
        <x:v>T2_CONCORDANT_DOMAIN</x:v>
      </x:c>
      <x:c r="B175" s="54" t="n">
        <x:v>169</x:v>
      </x:c>
      <x:c r="C175" s="54" t="str">
        <x:v>NYC-V2-R01</x:v>
      </x:c>
      <x:c r="D175" s="54" t="str">
        <x:v>V2</x:v>
      </x:c>
      <x:c r="E175" s="54" t="str">
        <x:v>ADMITTED</x:v>
      </x:c>
      <x:c r="F175" s="55" t="n">
        <x:v>31032</x:v>
      </x:c>
      <x:c r="G175" s="55" t="n">
        <x:v>7094</x:v>
      </x:c>
      <x:c r="H175" s="55" t="n">
        <x:v>3415</x:v>
      </x:c>
      <x:c r="I175" s="55" t="n">
        <x:v>1044</x:v>
      </x:c>
      <x:c r="J175" s="55" t="n">
        <x:v>125</x:v>
      </x:c>
      <x:c r="K175" s="55" t="n">
        <x:v>28801</x:v>
      </x:c>
      <x:c r="L175" s="55" t="n">
        <x:v>5049</x:v>
      </x:c>
      <x:c r="M175" s="55" t="n">
        <x:v>312</x:v>
      </x:c>
      <x:c r="N175" s="55" t="n">
        <x:v>2676</x:v>
      </x:c>
      <x:c r="O175" s="55" t="n">
        <x:v>2061</x:v>
      </x:c>
      <x:c r="P175" s="55" t="n">
        <x:v>923</x:v>
      </x:c>
      <x:c r="Q175" s="55" t="n">
        <x:v>2498</x:v>
      </x:c>
      <x:c r="R175" s="55" t="n">
        <x:v>1917</x:v>
      </x:c>
      <x:c r="S175" s="55" t="n">
        <x:v>3077</x:v>
      </x:c>
      <x:c r="T175" s="55" t="n">
        <x:v>1088</x:v>
      </x:c>
      <x:c r="U175" s="55" t="n">
        <x:v>2256</x:v>
      </x:c>
      <x:c r="V175" s="55" t="n">
        <x:v>10004</x:v>
      </x:c>
      <x:c r="W175" s="55" t="n">
        <x:v>6834</x:v>
      </x:c>
      <x:c r="X175" s="55" t="n">
        <x:v>3170</x:v>
      </x:c>
      <x:c r="Y175" s="55" t="n">
        <x:v>3004</x:v>
      </x:c>
      <x:c r="Z175" s="55" t="n">
        <x:v>3715</x:v>
      </x:c>
      <x:c r="AA175" s="55" t="n">
        <x:v>3415</x:v>
      </x:c>
      <x:c r="AB175" s="55" t="n">
        <x:v>1163</x:v>
      </x:c>
      <x:c r="AC175" s="55" t="n">
        <x:v>8224</x:v>
      </x:c>
      <x:c r="AD175" s="55" t="n">
        <x:v>3371</x:v>
      </x:c>
      <x:c r="AE175" s="55" t="n">
        <x:v>10188</x:v>
      </x:c>
      <x:c r="AF175" s="55" t="n">
        <x:v>10004</x:v>
      </x:c>
      <x:c r="AG175" s="55" t="n">
        <x:v>184</x:v>
      </x:c>
      <x:c r="AH175" s="55" t="n">
        <x:v>255</x:v>
      </x:c>
      <x:c r="AI175" s="55" t="n">
        <x:v>9749</x:v>
      </x:c>
      <x:c r="AJ175" s="55" t="n">
        <x:v>402</x:v>
      </x:c>
      <x:c r="AK175" s="55" t="n">
        <x:v>863</x:v>
      </x:c>
      <x:c r="AL175" s="55" t="n">
        <x:v>1656</x:v>
      </x:c>
      <x:c r="AM175" s="55" t="n">
        <x:v>4194</x:v>
      </x:c>
      <x:c r="AN175" s="55" t="n">
        <x:v>2889</x:v>
      </x:c>
      <x:c r="AO175" s="55" t="n">
        <x:v>0</x:v>
      </x:c>
      <x:c r="AP175" s="55" t="n">
        <x:v>2544</x:v>
      </x:c>
      <x:c r="AQ175" s="55" t="n">
        <x:v>923</x:v>
      </x:c>
    </x:row>
    <x:row r="176">
      <x:c r="A176" s="54" t="str">
        <x:v>T2_CONCORDANT_DOMAIN</x:v>
      </x:c>
      <x:c r="B176" s="54" t="n">
        <x:v>170</x:v>
      </x:c>
      <x:c r="C176" s="54" t="str">
        <x:v>NYC-V2-R01</x:v>
      </x:c>
      <x:c r="D176" s="54" t="str">
        <x:v>V2</x:v>
      </x:c>
      <x:c r="E176" s="54" t="str">
        <x:v>ADMITTED</x:v>
      </x:c>
      <x:c r="F176" s="55" t="n">
        <x:v>31926</x:v>
      </x:c>
      <x:c r="G176" s="55" t="n">
        <x:v>7633</x:v>
      </x:c>
      <x:c r="H176" s="55" t="n">
        <x:v>3674</x:v>
      </x:c>
      <x:c r="I176" s="55" t="n">
        <x:v>1514</x:v>
      </x:c>
      <x:c r="J176" s="55" t="n">
        <x:v>279</x:v>
      </x:c>
      <x:c r="K176" s="55" t="n">
        <x:v>30996</x:v>
      </x:c>
      <x:c r="L176" s="55" t="n">
        <x:v>6810</x:v>
      </x:c>
      <x:c r="M176" s="55" t="n">
        <x:v>1580</x:v>
      </x:c>
      <x:c r="N176" s="55" t="n">
        <x:v>3259</x:v>
      </x:c>
      <x:c r="O176" s="55" t="n">
        <x:v>1971</x:v>
      </x:c>
      <x:c r="P176" s="55" t="n">
        <x:v>1357</x:v>
      </x:c>
      <x:c r="Q176" s="55" t="n">
        <x:v>3303</x:v>
      </x:c>
      <x:c r="R176" s="55" t="n">
        <x:v>1930</x:v>
      </x:c>
      <x:c r="S176" s="55" t="n">
        <x:v>3753</x:v>
      </x:c>
      <x:c r="T176" s="55" t="n">
        <x:v>1397</x:v>
      </x:c>
      <x:c r="U176" s="55" t="n">
        <x:v>2761</x:v>
      </x:c>
      <x:c r="V176" s="55" t="n">
        <x:v>11304</x:v>
      </x:c>
      <x:c r="W176" s="55" t="n">
        <x:v>8026</x:v>
      </x:c>
      <x:c r="X176" s="55" t="n">
        <x:v>3278</x:v>
      </x:c>
      <x:c r="Y176" s="55" t="n">
        <x:v>2941</x:v>
      </x:c>
      <x:c r="Z176" s="55" t="n">
        <x:v>3850</x:v>
      </x:c>
      <x:c r="AA176" s="55" t="n">
        <x:v>2695</x:v>
      </x:c>
      <x:c r="AB176" s="55" t="n">
        <x:v>927</x:v>
      </x:c>
      <x:c r="AC176" s="55" t="n">
        <x:v>8407</x:v>
      </x:c>
      <x:c r="AD176" s="55" t="n">
        <x:v>3070</x:v>
      </x:c>
      <x:c r="AE176" s="55" t="n">
        <x:v>11405</x:v>
      </x:c>
      <x:c r="AF176" s="55" t="n">
        <x:v>11304</x:v>
      </x:c>
      <x:c r="AG176" s="55" t="n">
        <x:v>101</x:v>
      </x:c>
      <x:c r="AH176" s="55" t="n">
        <x:v>415</x:v>
      </x:c>
      <x:c r="AI176" s="55" t="n">
        <x:v>10889</x:v>
      </x:c>
      <x:c r="AJ176" s="55" t="n">
        <x:v>365</x:v>
      </x:c>
      <x:c r="AK176" s="55" t="n">
        <x:v>1290</x:v>
      </x:c>
      <x:c r="AL176" s="55" t="n">
        <x:v>1630</x:v>
      </x:c>
      <x:c r="AM176" s="55" t="n">
        <x:v>4884</x:v>
      </x:c>
      <x:c r="AN176" s="55" t="n">
        <x:v>3091</x:v>
      </x:c>
      <x:c r="AO176" s="55" t="n">
        <x:v>44</x:v>
      </x:c>
      <x:c r="AP176" s="55" t="n">
        <x:v>2582</x:v>
      </x:c>
      <x:c r="AQ176" s="55" t="n">
        <x:v>963</x:v>
      </x:c>
    </x:row>
    <x:row r="177">
      <x:c r="A177" s="54" t="str">
        <x:v>T2_CONCORDANT_DOMAIN</x:v>
      </x:c>
      <x:c r="B177" s="54" t="n">
        <x:v>171</x:v>
      </x:c>
      <x:c r="C177" s="54" t="str">
        <x:v>NYC-V2-R01</x:v>
      </x:c>
      <x:c r="D177" s="54" t="str">
        <x:v>V2</x:v>
      </x:c>
      <x:c r="E177" s="54" t="str">
        <x:v>ADMITTED</x:v>
      </x:c>
      <x:c r="F177" s="55" t="n">
        <x:v>31327</x:v>
      </x:c>
      <x:c r="G177" s="55" t="n">
        <x:v>8168</x:v>
      </x:c>
      <x:c r="H177" s="55" t="n">
        <x:v>3316</x:v>
      </x:c>
      <x:c r="I177" s="55" t="n">
        <x:v>970</x:v>
      </x:c>
      <x:c r="J177" s="55" t="n">
        <x:v>184</x:v>
      </x:c>
      <x:c r="K177" s="55" t="n">
        <x:v>31309</x:v>
      </x:c>
      <x:c r="L177" s="55" t="n">
        <x:v>4775</x:v>
      </x:c>
      <x:c r="M177" s="55" t="n">
        <x:v>694</x:v>
      </x:c>
      <x:c r="N177" s="55" t="n">
        <x:v>2465</x:v>
      </x:c>
      <x:c r="O177" s="55" t="n">
        <x:v>1616</x:v>
      </x:c>
      <x:c r="P177" s="55" t="n">
        <x:v>752</x:v>
      </x:c>
      <x:c r="Q177" s="55" t="n">
        <x:v>1757</x:v>
      </x:c>
      <x:c r="R177" s="55" t="n">
        <x:v>1717</x:v>
      </x:c>
      <x:c r="S177" s="55" t="n">
        <x:v>2204</x:v>
      </x:c>
      <x:c r="T177" s="55" t="n">
        <x:v>675</x:v>
      </x:c>
      <x:c r="U177" s="55" t="n">
        <x:v>1777</x:v>
      </x:c>
      <x:c r="V177" s="55" t="n">
        <x:v>10565</x:v>
      </x:c>
      <x:c r="W177" s="55" t="n">
        <x:v>7788</x:v>
      </x:c>
      <x:c r="X177" s="55" t="n">
        <x:v>2777</x:v>
      </x:c>
      <x:c r="Y177" s="55" t="n">
        <x:v>2408</x:v>
      </x:c>
      <x:c r="Z177" s="55" t="n">
        <x:v>3747</x:v>
      </x:c>
      <x:c r="AA177" s="55" t="n">
        <x:v>3316</x:v>
      </x:c>
      <x:c r="AB177" s="55" t="n">
        <x:v>1082</x:v>
      </x:c>
      <x:c r="AC177" s="55" t="n">
        <x:v>7760</x:v>
      </x:c>
      <x:c r="AD177" s="55" t="n">
        <x:v>3595</x:v>
      </x:c>
      <x:c r="AE177" s="55" t="n">
        <x:v>10686</x:v>
      </x:c>
      <x:c r="AF177" s="55" t="n">
        <x:v>10565</x:v>
      </x:c>
      <x:c r="AG177" s="55" t="n">
        <x:v>121</x:v>
      </x:c>
      <x:c r="AH177" s="55" t="n">
        <x:v>324</x:v>
      </x:c>
      <x:c r="AI177" s="55" t="n">
        <x:v>10241</x:v>
      </x:c>
      <x:c r="AJ177" s="55" t="n">
        <x:v>432</x:v>
      </x:c>
      <x:c r="AK177" s="55" t="n">
        <x:v>927</x:v>
      </x:c>
      <x:c r="AL177" s="55" t="n">
        <x:v>1712</x:v>
      </x:c>
      <x:c r="AM177" s="55" t="n">
        <x:v>4903</x:v>
      </x:c>
      <x:c r="AN177" s="55" t="n">
        <x:v>2591</x:v>
      </x:c>
      <x:c r="AO177" s="55" t="n">
        <x:v>0</x:v>
      </x:c>
      <x:c r="AP177" s="55" t="n">
        <x:v>2141</x:v>
      </x:c>
      <x:c r="AQ177" s="55" t="n">
        <x:v>938</x:v>
      </x:c>
    </x:row>
    <x:row r="178">
      <x:c r="A178" s="54" t="str">
        <x:v>T2_CONCORDANT_DOMAIN</x:v>
      </x:c>
      <x:c r="B178" s="54" t="n">
        <x:v>172</x:v>
      </x:c>
      <x:c r="C178" s="54" t="str">
        <x:v>NYC-V2-R01</x:v>
      </x:c>
      <x:c r="D178" s="54" t="str">
        <x:v>V2</x:v>
      </x:c>
      <x:c r="E178" s="54" t="str">
        <x:v>ADMITTED</x:v>
      </x:c>
      <x:c r="F178" s="55" t="n">
        <x:v>28922</x:v>
      </x:c>
      <x:c r="G178" s="55" t="n">
        <x:v>6868</x:v>
      </x:c>
      <x:c r="H178" s="55" t="n">
        <x:v>3258</x:v>
      </x:c>
      <x:c r="I178" s="55" t="n">
        <x:v>1071</x:v>
      </x:c>
      <x:c r="J178" s="55" t="n">
        <x:v>65</x:v>
      </x:c>
      <x:c r="K178" s="55" t="n">
        <x:v>28922</x:v>
      </x:c>
      <x:c r="L178" s="55" t="n">
        <x:v>4627</x:v>
      </x:c>
      <x:c r="M178" s="55" t="n">
        <x:v>863</x:v>
      </x:c>
      <x:c r="N178" s="55" t="n">
        <x:v>2551</x:v>
      </x:c>
      <x:c r="O178" s="55" t="n">
        <x:v>1213</x:v>
      </x:c>
      <x:c r="P178" s="55" t="n">
        <x:v>573</x:v>
      </x:c>
      <x:c r="Q178" s="55" t="n">
        <x:v>1695</x:v>
      </x:c>
      <x:c r="R178" s="55" t="n">
        <x:v>1761</x:v>
      </x:c>
      <x:c r="S178" s="55" t="n">
        <x:v>2839</x:v>
      </x:c>
      <x:c r="T178" s="55" t="n">
        <x:v>972</x:v>
      </x:c>
      <x:c r="U178" s="55" t="n">
        <x:v>2230</x:v>
      </x:c>
      <x:c r="V178" s="55" t="n">
        <x:v>10291</x:v>
      </x:c>
      <x:c r="W178" s="55" t="n">
        <x:v>7247</x:v>
      </x:c>
      <x:c r="X178" s="55" t="n">
        <x:v>3044</x:v>
      </x:c>
      <x:c r="Y178" s="55" t="n">
        <x:v>2573</x:v>
      </x:c>
      <x:c r="Z178" s="55" t="n">
        <x:v>3388</x:v>
      </x:c>
      <x:c r="AA178" s="55" t="n">
        <x:v>3242</x:v>
      </x:c>
      <x:c r="AB178" s="55" t="n">
        <x:v>1078</x:v>
      </x:c>
      <x:c r="AC178" s="55" t="n">
        <x:v>7918</x:v>
      </x:c>
      <x:c r="AD178" s="55" t="n">
        <x:v>2753</x:v>
      </x:c>
      <x:c r="AE178" s="55" t="n">
        <x:v>10323</x:v>
      </x:c>
      <x:c r="AF178" s="55" t="n">
        <x:v>10291</x:v>
      </x:c>
      <x:c r="AG178" s="55" t="n">
        <x:v>32</x:v>
      </x:c>
      <x:c r="AH178" s="55" t="n">
        <x:v>252</x:v>
      </x:c>
      <x:c r="AI178" s="55" t="n">
        <x:v>10039</x:v>
      </x:c>
      <x:c r="AJ178" s="55" t="n">
        <x:v>309</x:v>
      </x:c>
      <x:c r="AK178" s="55" t="n">
        <x:v>839</x:v>
      </x:c>
      <x:c r="AL178" s="55" t="n">
        <x:v>1906</x:v>
      </x:c>
      <x:c r="AM178" s="55" t="n">
        <x:v>4533</x:v>
      </x:c>
      <x:c r="AN178" s="55" t="n">
        <x:v>2704</x:v>
      </x:c>
      <x:c r="AO178" s="55" t="n">
        <x:v>0</x:v>
      </x:c>
      <x:c r="AP178" s="55" t="n">
        <x:v>2100</x:v>
      </x:c>
      <x:c r="AQ178" s="55" t="n">
        <x:v>933</x:v>
      </x:c>
    </x:row>
    <x:row r="179">
      <x:c r="A179" s="54" t="str">
        <x:v>T2_CONCORDANT_DOMAIN</x:v>
      </x:c>
      <x:c r="B179" s="54" t="n">
        <x:v>173</x:v>
      </x:c>
      <x:c r="C179" s="54" t="str">
        <x:v>NYC-V2-R01</x:v>
      </x:c>
      <x:c r="D179" s="54" t="str">
        <x:v>V2</x:v>
      </x:c>
      <x:c r="E179" s="54" t="str">
        <x:v>ADMITTED</x:v>
      </x:c>
      <x:c r="F179" s="55" t="n">
        <x:v>32849</x:v>
      </x:c>
      <x:c r="G179" s="55" t="n">
        <x:v>8469</x:v>
      </x:c>
      <x:c r="H179" s="55" t="n">
        <x:v>3503</x:v>
      </x:c>
      <x:c r="I179" s="55" t="n">
        <x:v>1427</x:v>
      </x:c>
      <x:c r="J179" s="55" t="n">
        <x:v>395</x:v>
      </x:c>
      <x:c r="K179" s="55" t="n">
        <x:v>32849</x:v>
      </x:c>
      <x:c r="L179" s="55" t="n">
        <x:v>7332</x:v>
      </x:c>
      <x:c r="M179" s="55" t="n">
        <x:v>2014</x:v>
      </x:c>
      <x:c r="N179" s="55" t="n">
        <x:v>3154</x:v>
      </x:c>
      <x:c r="O179" s="55" t="n">
        <x:v>2164</x:v>
      </x:c>
      <x:c r="P179" s="55" t="n">
        <x:v>938</x:v>
      </x:c>
      <x:c r="Q179" s="55" t="n">
        <x:v>3555</x:v>
      </x:c>
      <x:c r="R179" s="55" t="n">
        <x:v>2825</x:v>
      </x:c>
      <x:c r="S179" s="55" t="n">
        <x:v>3029</x:v>
      </x:c>
      <x:c r="T179" s="55" t="n">
        <x:v>1292</x:v>
      </x:c>
      <x:c r="U179" s="55" t="n">
        <x:v>2041</x:v>
      </x:c>
      <x:c r="V179" s="55" t="n">
        <x:v>10284</x:v>
      </x:c>
      <x:c r="W179" s="55" t="n">
        <x:v>7434</x:v>
      </x:c>
      <x:c r="X179" s="55" t="n">
        <x:v>2850</x:v>
      </x:c>
      <x:c r="Y179" s="55" t="n">
        <x:v>2421</x:v>
      </x:c>
      <x:c r="Z179" s="55" t="n">
        <x:v>4634</x:v>
      </x:c>
      <x:c r="AA179" s="55" t="n">
        <x:v>3435</x:v>
      </x:c>
      <x:c r="AB179" s="55" t="n">
        <x:v>1261</x:v>
      </x:c>
      <x:c r="AC179" s="55" t="n">
        <x:v>8167</x:v>
      </x:c>
      <x:c r="AD179" s="55" t="n">
        <x:v>3039</x:v>
      </x:c>
      <x:c r="AE179" s="55" t="n">
        <x:v>10399</x:v>
      </x:c>
      <x:c r="AF179" s="55" t="n">
        <x:v>10284</x:v>
      </x:c>
      <x:c r="AG179" s="55" t="n">
        <x:v>115</x:v>
      </x:c>
      <x:c r="AH179" s="55" t="n">
        <x:v>569</x:v>
      </x:c>
      <x:c r="AI179" s="55" t="n">
        <x:v>9715</x:v>
      </x:c>
      <x:c r="AJ179" s="55" t="n">
        <x:v>269</x:v>
      </x:c>
      <x:c r="AK179" s="55" t="n">
        <x:v>738</x:v>
      </x:c>
      <x:c r="AL179" s="55" t="n">
        <x:v>1665</x:v>
      </x:c>
      <x:c r="AM179" s="55" t="n">
        <x:v>4776</x:v>
      </x:c>
      <x:c r="AN179" s="55" t="n">
        <x:v>2813</x:v>
      </x:c>
      <x:c r="AO179" s="55" t="n">
        <x:v>23</x:v>
      </x:c>
      <x:c r="AP179" s="55" t="n">
        <x:v>2512</x:v>
      </x:c>
      <x:c r="AQ179" s="55" t="n">
        <x:v>970</x:v>
      </x:c>
    </x:row>
    <x:row r="180">
      <x:c r="A180" s="54" t="str">
        <x:v>T2_CONCORDANT_DOMAIN</x:v>
      </x:c>
      <x:c r="B180" s="54" t="n">
        <x:v>174</x:v>
      </x:c>
      <x:c r="C180" s="54" t="str">
        <x:v>NYC-V2-R01</x:v>
      </x:c>
      <x:c r="D180" s="54" t="str">
        <x:v>V2</x:v>
      </x:c>
      <x:c r="E180" s="54" t="str">
        <x:v>ADMITTED</x:v>
      </x:c>
      <x:c r="F180" s="55" t="n">
        <x:v>32210</x:v>
      </x:c>
      <x:c r="G180" s="55" t="n">
        <x:v>7581</x:v>
      </x:c>
      <x:c r="H180" s="55" t="n">
        <x:v>3625</x:v>
      </x:c>
      <x:c r="I180" s="55" t="n">
        <x:v>1437</x:v>
      </x:c>
      <x:c r="J180" s="55" t="n">
        <x:v>426</x:v>
      </x:c>
      <x:c r="K180" s="55" t="n">
        <x:v>32210</x:v>
      </x:c>
      <x:c r="L180" s="55" t="n">
        <x:v>6457</x:v>
      </x:c>
      <x:c r="M180" s="55" t="n">
        <x:v>1374</x:v>
      </x:c>
      <x:c r="N180" s="55" t="n">
        <x:v>3197</x:v>
      </x:c>
      <x:c r="O180" s="55" t="n">
        <x:v>1886</x:v>
      </x:c>
      <x:c r="P180" s="55" t="n">
        <x:v>1242</x:v>
      </x:c>
      <x:c r="Q180" s="55" t="n">
        <x:v>2192</x:v>
      </x:c>
      <x:c r="R180" s="55" t="n">
        <x:v>2173</x:v>
      </x:c>
      <x:c r="S180" s="55" t="n">
        <x:v>3131</x:v>
      </x:c>
      <x:c r="T180" s="55" t="n">
        <x:v>1667</x:v>
      </x:c>
      <x:c r="U180" s="55" t="n">
        <x:v>2538</x:v>
      </x:c>
      <x:c r="V180" s="55" t="n">
        <x:v>10307</x:v>
      </x:c>
      <x:c r="W180" s="55" t="n">
        <x:v>7223</x:v>
      </x:c>
      <x:c r="X180" s="55" t="n">
        <x:v>3084</x:v>
      </x:c>
      <x:c r="Y180" s="55" t="n">
        <x:v>2548</x:v>
      </x:c>
      <x:c r="Z180" s="55" t="n">
        <x:v>3320</x:v>
      </x:c>
      <x:c r="AA180" s="55" t="n">
        <x:v>3280</x:v>
      </x:c>
      <x:c r="AB180" s="55" t="n">
        <x:v>1352</x:v>
      </x:c>
      <x:c r="AC180" s="55" t="n">
        <x:v>7704</x:v>
      </x:c>
      <x:c r="AD180" s="55" t="n">
        <x:v>2992</x:v>
      </x:c>
      <x:c r="AE180" s="55" t="n">
        <x:v>10477</x:v>
      </x:c>
      <x:c r="AF180" s="55" t="n">
        <x:v>10307</x:v>
      </x:c>
      <x:c r="AG180" s="55" t="n">
        <x:v>170</x:v>
      </x:c>
      <x:c r="AH180" s="55" t="n">
        <x:v>458</x:v>
      </x:c>
      <x:c r="AI180" s="55" t="n">
        <x:v>9849</x:v>
      </x:c>
      <x:c r="AJ180" s="55" t="n">
        <x:v>334</x:v>
      </x:c>
      <x:c r="AK180" s="55" t="n">
        <x:v>1183</x:v>
      </x:c>
      <x:c r="AL180" s="55" t="n">
        <x:v>1533</x:v>
      </x:c>
      <x:c r="AM180" s="55" t="n">
        <x:v>4526</x:v>
      </x:c>
      <x:c r="AN180" s="55" t="n">
        <x:v>2731</x:v>
      </x:c>
      <x:c r="AO180" s="55" t="n">
        <x:v>0</x:v>
      </x:c>
      <x:c r="AP180" s="55" t="n">
        <x:v>3023</x:v>
      </x:c>
      <x:c r="AQ180" s="55" t="n">
        <x:v>976</x:v>
      </x:c>
    </x:row>
    <x:row r="181">
      <x:c r="A181" s="54" t="str">
        <x:v>T2_CONCORDANT_DOMAIN</x:v>
      </x:c>
      <x:c r="B181" s="54" t="n">
        <x:v>175</x:v>
      </x:c>
      <x:c r="C181" s="54" t="str">
        <x:v>NYC-V2-R01</x:v>
      </x:c>
      <x:c r="D181" s="54" t="str">
        <x:v>V2</x:v>
      </x:c>
      <x:c r="E181" s="54" t="str">
        <x:v>ADMITTED</x:v>
      </x:c>
      <x:c r="F181" s="55" t="n">
        <x:v>32102</x:v>
      </x:c>
      <x:c r="G181" s="55" t="n">
        <x:v>8340</x:v>
      </x:c>
      <x:c r="H181" s="55" t="n">
        <x:v>3586</x:v>
      </x:c>
      <x:c r="I181" s="55" t="n">
        <x:v>1619</x:v>
      </x:c>
      <x:c r="J181" s="55" t="n">
        <x:v>350</x:v>
      </x:c>
      <x:c r="K181" s="55" t="n">
        <x:v>31180</x:v>
      </x:c>
      <x:c r="L181" s="55" t="n">
        <x:v>5400</x:v>
      </x:c>
      <x:c r="M181" s="55" t="n">
        <x:v>652</x:v>
      </x:c>
      <x:c r="N181" s="55" t="n">
        <x:v>2853</x:v>
      </x:c>
      <x:c r="O181" s="55" t="n">
        <x:v>1895</x:v>
      </x:c>
      <x:c r="P181" s="55" t="n">
        <x:v>909</x:v>
      </x:c>
      <x:c r="Q181" s="55" t="n">
        <x:v>1580</x:v>
      </x:c>
      <x:c r="R181" s="55" t="n">
        <x:v>1911</x:v>
      </x:c>
      <x:c r="S181" s="55" t="n">
        <x:v>2264</x:v>
      </x:c>
      <x:c r="T181" s="55" t="n">
        <x:v>983</x:v>
      </x:c>
      <x:c r="U181" s="55" t="n">
        <x:v>1971</x:v>
      </x:c>
      <x:c r="V181" s="55" t="n">
        <x:v>10582</x:v>
      </x:c>
      <x:c r="W181" s="55" t="n">
        <x:v>8026</x:v>
      </x:c>
      <x:c r="X181" s="55" t="n">
        <x:v>2556</x:v>
      </x:c>
      <x:c r="Y181" s="55" t="n">
        <x:v>2272</x:v>
      </x:c>
      <x:c r="Z181" s="55" t="n">
        <x:v>4297</x:v>
      </x:c>
      <x:c r="AA181" s="55" t="n">
        <x:v>3160</x:v>
      </x:c>
      <x:c r="AB181" s="55" t="n">
        <x:v>949</x:v>
      </x:c>
      <x:c r="AC181" s="55" t="n">
        <x:v>7805</x:v>
      </x:c>
      <x:c r="AD181" s="55" t="n">
        <x:v>3461</x:v>
      </x:c>
      <x:c r="AE181" s="55" t="n">
        <x:v>10635</x:v>
      </x:c>
      <x:c r="AF181" s="55" t="n">
        <x:v>10582</x:v>
      </x:c>
      <x:c r="AG181" s="55" t="n">
        <x:v>53</x:v>
      </x:c>
      <x:c r="AH181" s="55" t="n">
        <x:v>413</x:v>
      </x:c>
      <x:c r="AI181" s="55" t="n">
        <x:v>10169</x:v>
      </x:c>
      <x:c r="AJ181" s="55" t="n">
        <x:v>287</x:v>
      </x:c>
      <x:c r="AK181" s="55" t="n">
        <x:v>975</x:v>
      </x:c>
      <x:c r="AL181" s="55" t="n">
        <x:v>1401</x:v>
      </x:c>
      <x:c r="AM181" s="55" t="n">
        <x:v>4883</x:v>
      </x:c>
      <x:c r="AN181" s="55" t="n">
        <x:v>3036</x:v>
      </x:c>
      <x:c r="AO181" s="55" t="n">
        <x:v>0</x:v>
      </x:c>
      <x:c r="AP181" s="55" t="n">
        <x:v>1947</x:v>
      </x:c>
      <x:c r="AQ181" s="55" t="n">
        <x:v>924</x:v>
      </x:c>
    </x:row>
    <x:row r="182">
      <x:c r="A182" s="54" t="str">
        <x:v>T2_CONCORDANT_DOMAIN</x:v>
      </x:c>
      <x:c r="B182" s="54" t="n">
        <x:v>176</x:v>
      </x:c>
      <x:c r="C182" s="54" t="str">
        <x:v>NYC-V2-R01</x:v>
      </x:c>
      <x:c r="D182" s="54" t="str">
        <x:v>V2</x:v>
      </x:c>
      <x:c r="E182" s="54" t="str">
        <x:v>ADMITTED</x:v>
      </x:c>
      <x:c r="F182" s="55" t="n">
        <x:v>34010</x:v>
      </x:c>
      <x:c r="G182" s="55" t="n">
        <x:v>9346</x:v>
      </x:c>
      <x:c r="H182" s="55" t="n">
        <x:v>3542</x:v>
      </x:c>
      <x:c r="I182" s="55" t="n">
        <x:v>1556</x:v>
      </x:c>
      <x:c r="J182" s="55" t="n">
        <x:v>361</x:v>
      </x:c>
      <x:c r="K182" s="55" t="n">
        <x:v>27168</x:v>
      </x:c>
      <x:c r="L182" s="55" t="n">
        <x:v>5177</x:v>
      </x:c>
      <x:c r="M182" s="55" t="n">
        <x:v>1241</x:v>
      </x:c>
      <x:c r="N182" s="55" t="n">
        <x:v>2473</x:v>
      </x:c>
      <x:c r="O182" s="55" t="n">
        <x:v>1463</x:v>
      </x:c>
      <x:c r="P182" s="55" t="n">
        <x:v>907</x:v>
      </x:c>
      <x:c r="Q182" s="55" t="n">
        <x:v>1507</x:v>
      </x:c>
      <x:c r="R182" s="55" t="n">
        <x:v>1389</x:v>
      </x:c>
      <x:c r="S182" s="55" t="n">
        <x:v>1845</x:v>
      </x:c>
      <x:c r="T182" s="55" t="n">
        <x:v>1158</x:v>
      </x:c>
      <x:c r="U182" s="55" t="n">
        <x:v>1564</x:v>
      </x:c>
      <x:c r="V182" s="55" t="n">
        <x:v>9767</x:v>
      </x:c>
      <x:c r="W182" s="55" t="n">
        <x:v>6836</x:v>
      </x:c>
      <x:c r="X182" s="55" t="n">
        <x:v>2931</x:v>
      </x:c>
      <x:c r="Y182" s="55" t="n">
        <x:v>2346</x:v>
      </x:c>
      <x:c r="Z182" s="55" t="n">
        <x:v>4067</x:v>
      </x:c>
      <x:c r="AA182" s="55" t="n">
        <x:v>3542</x:v>
      </x:c>
      <x:c r="AB182" s="55" t="n">
        <x:v>1226</x:v>
      </x:c>
      <x:c r="AC182" s="55" t="n">
        <x:v>8114</x:v>
      </x:c>
      <x:c r="AD182" s="55" t="n">
        <x:v>2948</x:v>
      </x:c>
      <x:c r="AE182" s="55" t="n">
        <x:v>9894</x:v>
      </x:c>
      <x:c r="AF182" s="55" t="n">
        <x:v>9767</x:v>
      </x:c>
      <x:c r="AG182" s="55" t="n">
        <x:v>127</x:v>
      </x:c>
      <x:c r="AH182" s="55" t="n">
        <x:v>260</x:v>
      </x:c>
      <x:c r="AI182" s="55" t="n">
        <x:v>9507</x:v>
      </x:c>
      <x:c r="AJ182" s="55" t="n">
        <x:v>217</x:v>
      </x:c>
      <x:c r="AK182" s="55" t="n">
        <x:v>954</x:v>
      </x:c>
      <x:c r="AL182" s="55" t="n">
        <x:v>1193</x:v>
      </x:c>
      <x:c r="AM182" s="55" t="n">
        <x:v>4938</x:v>
      </x:c>
      <x:c r="AN182" s="55" t="n">
        <x:v>2418</x:v>
      </x:c>
      <x:c r="AO182" s="55" t="n">
        <x:v>47</x:v>
      </x:c>
      <x:c r="AP182" s="55" t="n">
        <x:v>2181</x:v>
      </x:c>
      <x:c r="AQ182" s="55" t="n">
        <x:v>975</x:v>
      </x:c>
    </x:row>
    <x:row r="183">
      <x:c r="A183" s="54" t="str">
        <x:v>T2_CONCORDANT_DOMAIN</x:v>
      </x:c>
      <x:c r="B183" s="54" t="n">
        <x:v>177</x:v>
      </x:c>
      <x:c r="C183" s="54" t="str">
        <x:v>NYC-V2-R01</x:v>
      </x:c>
      <x:c r="D183" s="54" t="str">
        <x:v>V2</x:v>
      </x:c>
      <x:c r="E183" s="54" t="str">
        <x:v>ADMITTED</x:v>
      </x:c>
      <x:c r="F183" s="55" t="n">
        <x:v>28807</x:v>
      </x:c>
      <x:c r="G183" s="55" t="n">
        <x:v>6099</x:v>
      </x:c>
      <x:c r="H183" s="55" t="n">
        <x:v>3290</x:v>
      </x:c>
      <x:c r="I183" s="55" t="n">
        <x:v>1563</x:v>
      </x:c>
      <x:c r="J183" s="55" t="n">
        <x:v>238</x:v>
      </x:c>
      <x:c r="K183" s="55" t="n">
        <x:v>28666</x:v>
      </x:c>
      <x:c r="L183" s="55" t="n">
        <x:v>3412</x:v>
      </x:c>
      <x:c r="M183" s="55" t="n">
        <x:v>404</x:v>
      </x:c>
      <x:c r="N183" s="55" t="n">
        <x:v>1798</x:v>
      </x:c>
      <x:c r="O183" s="55" t="n">
        <x:v>1210</x:v>
      </x:c>
      <x:c r="P183" s="55" t="n">
        <x:v>520</x:v>
      </x:c>
      <x:c r="Q183" s="55" t="n">
        <x:v>1713</x:v>
      </x:c>
      <x:c r="R183" s="55" t="n">
        <x:v>1682</x:v>
      </x:c>
      <x:c r="S183" s="55" t="n">
        <x:v>2342</x:v>
      </x:c>
      <x:c r="T183" s="55" t="n">
        <x:v>555</x:v>
      </x:c>
      <x:c r="U183" s="55" t="n">
        <x:v>1904</x:v>
      </x:c>
      <x:c r="V183" s="55" t="n">
        <x:v>10011</x:v>
      </x:c>
      <x:c r="W183" s="55" t="n">
        <x:v>6956</x:v>
      </x:c>
      <x:c r="X183" s="55" t="n">
        <x:v>3055</x:v>
      </x:c>
      <x:c r="Y183" s="55" t="n">
        <x:v>2521</x:v>
      </x:c>
      <x:c r="Z183" s="55" t="n">
        <x:v>3769</x:v>
      </x:c>
      <x:c r="AA183" s="55" t="n">
        <x:v>2878</x:v>
      </x:c>
      <x:c r="AB183" s="55" t="n">
        <x:v>823</x:v>
      </x:c>
      <x:c r="AC183" s="55" t="n">
        <x:v>7857</x:v>
      </x:c>
      <x:c r="AD183" s="55" t="n">
        <x:v>3004</x:v>
      </x:c>
      <x:c r="AE183" s="55" t="n">
        <x:v>10082</x:v>
      </x:c>
      <x:c r="AF183" s="55" t="n">
        <x:v>10011</x:v>
      </x:c>
      <x:c r="AG183" s="55" t="n">
        <x:v>71</x:v>
      </x:c>
      <x:c r="AH183" s="55" t="n">
        <x:v>342</x:v>
      </x:c>
      <x:c r="AI183" s="55" t="n">
        <x:v>9669</x:v>
      </x:c>
      <x:c r="AJ183" s="55" t="n">
        <x:v>208</x:v>
      </x:c>
      <x:c r="AK183" s="55" t="n">
        <x:v>781</x:v>
      </x:c>
      <x:c r="AL183" s="55" t="n">
        <x:v>1679</x:v>
      </x:c>
      <x:c r="AM183" s="55" t="n">
        <x:v>4947</x:v>
      </x:c>
      <x:c r="AN183" s="55" t="n">
        <x:v>2396</x:v>
      </x:c>
      <x:c r="AO183" s="55" t="n">
        <x:v>0</x:v>
      </x:c>
      <x:c r="AP183" s="55" t="n">
        <x:v>2038</x:v>
      </x:c>
      <x:c r="AQ183" s="55" t="n">
        <x:v>950</x:v>
      </x:c>
    </x:row>
    <x:row r="184">
      <x:c r="A184" s="54" t="str">
        <x:v>T2_CONCORDANT_DOMAIN</x:v>
      </x:c>
      <x:c r="B184" s="54" t="n">
        <x:v>178</x:v>
      </x:c>
      <x:c r="C184" s="54" t="str">
        <x:v>NYC-V2-R01</x:v>
      </x:c>
      <x:c r="D184" s="54" t="str">
        <x:v>V2</x:v>
      </x:c>
      <x:c r="E184" s="54" t="str">
        <x:v>ADMITTED</x:v>
      </x:c>
      <x:c r="F184" s="55" t="n">
        <x:v>30870</x:v>
      </x:c>
      <x:c r="G184" s="55" t="n">
        <x:v>7466</x:v>
      </x:c>
      <x:c r="H184" s="55" t="n">
        <x:v>3137</x:v>
      </x:c>
      <x:c r="I184" s="55" t="n">
        <x:v>1159</x:v>
      </x:c>
      <x:c r="J184" s="55" t="n">
        <x:v>243</x:v>
      </x:c>
      <x:c r="K184" s="55" t="n">
        <x:v>30272</x:v>
      </x:c>
      <x:c r="L184" s="55" t="n">
        <x:v>5235</x:v>
      </x:c>
      <x:c r="M184" s="55" t="n">
        <x:v>870</x:v>
      </x:c>
      <x:c r="N184" s="55" t="n">
        <x:v>2656</x:v>
      </x:c>
      <x:c r="O184" s="55" t="n">
        <x:v>1709</x:v>
      </x:c>
      <x:c r="P184" s="55" t="n">
        <x:v>553</x:v>
      </x:c>
      <x:c r="Q184" s="55" t="n">
        <x:v>2323</x:v>
      </x:c>
      <x:c r="R184" s="55" t="n">
        <x:v>1476</x:v>
      </x:c>
      <x:c r="S184" s="55" t="n">
        <x:v>1645</x:v>
      </x:c>
      <x:c r="T184" s="55" t="n">
        <x:v>1329</x:v>
      </x:c>
      <x:c r="U184" s="55" t="n">
        <x:v>1649</x:v>
      </x:c>
      <x:c r="V184" s="55" t="n">
        <x:v>9887</x:v>
      </x:c>
      <x:c r="W184" s="55" t="n">
        <x:v>6699</x:v>
      </x:c>
      <x:c r="X184" s="55" t="n">
        <x:v>3188</x:v>
      </x:c>
      <x:c r="Y184" s="55" t="n">
        <x:v>2839</x:v>
      </x:c>
      <x:c r="Z184" s="55" t="n">
        <x:v>3658</x:v>
      </x:c>
      <x:c r="AA184" s="55" t="n">
        <x:v>2859</x:v>
      </x:c>
      <x:c r="AB184" s="55" t="n">
        <x:v>978</x:v>
      </x:c>
      <x:c r="AC184" s="55" t="n">
        <x:v>7737</x:v>
      </x:c>
      <x:c r="AD184" s="55" t="n">
        <x:v>2478</x:v>
      </x:c>
      <x:c r="AE184" s="55" t="n">
        <x:v>9959</x:v>
      </x:c>
      <x:c r="AF184" s="55" t="n">
        <x:v>9887</x:v>
      </x:c>
      <x:c r="AG184" s="55" t="n">
        <x:v>72</x:v>
      </x:c>
      <x:c r="AH184" s="55" t="n">
        <x:v>170</x:v>
      </x:c>
      <x:c r="AI184" s="55" t="n">
        <x:v>9717</x:v>
      </x:c>
      <x:c r="AJ184" s="55" t="n">
        <x:v>270</x:v>
      </x:c>
      <x:c r="AK184" s="55" t="n">
        <x:v>779</x:v>
      </x:c>
      <x:c r="AL184" s="55" t="n">
        <x:v>1430</x:v>
      </x:c>
      <x:c r="AM184" s="55" t="n">
        <x:v>4848</x:v>
      </x:c>
      <x:c r="AN184" s="55" t="n">
        <x:v>2560</x:v>
      </x:c>
      <x:c r="AO184" s="55" t="n">
        <x:v>0</x:v>
      </x:c>
      <x:c r="AP184" s="55" t="n">
        <x:v>2234</x:v>
      </x:c>
      <x:c r="AQ184" s="55" t="n">
        <x:v>967</x:v>
      </x:c>
    </x:row>
    <x:row r="185">
      <x:c r="A185" s="54" t="str">
        <x:v>T2_CONCORDANT_DOMAIN</x:v>
      </x:c>
      <x:c r="B185" s="54" t="n">
        <x:v>179</x:v>
      </x:c>
      <x:c r="C185" s="54" t="str">
        <x:v>NYC-V2-R01</x:v>
      </x:c>
      <x:c r="D185" s="54" t="str">
        <x:v>V2</x:v>
      </x:c>
      <x:c r="E185" s="54" t="str">
        <x:v>ADMITTED</x:v>
      </x:c>
      <x:c r="F185" s="55" t="n">
        <x:v>30289</x:v>
      </x:c>
      <x:c r="G185" s="55" t="n">
        <x:v>7377</x:v>
      </x:c>
      <x:c r="H185" s="55" t="n">
        <x:v>3556</x:v>
      </x:c>
      <x:c r="I185" s="55" t="n">
        <x:v>1405</x:v>
      </x:c>
      <x:c r="J185" s="55" t="n">
        <x:v>293</x:v>
      </x:c>
      <x:c r="K185" s="55" t="n">
        <x:v>29460</x:v>
      </x:c>
      <x:c r="L185" s="55" t="n">
        <x:v>6385</x:v>
      </x:c>
      <x:c r="M185" s="55" t="n">
        <x:v>1520</x:v>
      </x:c>
      <x:c r="N185" s="55" t="n">
        <x:v>3047</x:v>
      </x:c>
      <x:c r="O185" s="55" t="n">
        <x:v>1818</x:v>
      </x:c>
      <x:c r="P185" s="55" t="n">
        <x:v>1138</x:v>
      </x:c>
      <x:c r="Q185" s="55" t="n">
        <x:v>3250</x:v>
      </x:c>
      <x:c r="R185" s="55" t="n">
        <x:v>1900</x:v>
      </x:c>
      <x:c r="S185" s="55" t="n">
        <x:v>2216</x:v>
      </x:c>
      <x:c r="T185" s="55" t="n">
        <x:v>1264</x:v>
      </x:c>
      <x:c r="U185" s="55" t="n">
        <x:v>1830</x:v>
      </x:c>
      <x:c r="V185" s="55" t="n">
        <x:v>10504</x:v>
      </x:c>
      <x:c r="W185" s="55" t="n">
        <x:v>7463</x:v>
      </x:c>
      <x:c r="X185" s="55" t="n">
        <x:v>3041</x:v>
      </x:c>
      <x:c r="Y185" s="55" t="n">
        <x:v>2534</x:v>
      </x:c>
      <x:c r="Z185" s="55" t="n">
        <x:v>3612</x:v>
      </x:c>
      <x:c r="AA185" s="55" t="n">
        <x:v>2956</x:v>
      </x:c>
      <x:c r="AB185" s="55" t="n">
        <x:v>1132</x:v>
      </x:c>
      <x:c r="AC185" s="55" t="n">
        <x:v>7986</x:v>
      </x:c>
      <x:c r="AD185" s="55" t="n">
        <x:v>3143</x:v>
      </x:c>
      <x:c r="AE185" s="55" t="n">
        <x:v>10609</x:v>
      </x:c>
      <x:c r="AF185" s="55" t="n">
        <x:v>10504</x:v>
      </x:c>
      <x:c r="AG185" s="55" t="n">
        <x:v>105</x:v>
      </x:c>
      <x:c r="AH185" s="55" t="n">
        <x:v>406</x:v>
      </x:c>
      <x:c r="AI185" s="55" t="n">
        <x:v>10098</x:v>
      </x:c>
      <x:c r="AJ185" s="55" t="n">
        <x:v>416</x:v>
      </x:c>
      <x:c r="AK185" s="55" t="n">
        <x:v>1190</x:v>
      </x:c>
      <x:c r="AL185" s="55" t="n">
        <x:v>1332</x:v>
      </x:c>
      <x:c r="AM185" s="55" t="n">
        <x:v>4667</x:v>
      </x:c>
      <x:c r="AN185" s="55" t="n">
        <x:v>2870</x:v>
      </x:c>
      <x:c r="AO185" s="55" t="n">
        <x:v>29</x:v>
      </x:c>
      <x:c r="AP185" s="55" t="n">
        <x:v>2623</x:v>
      </x:c>
      <x:c r="AQ185" s="55" t="n">
        <x:v>933</x:v>
      </x:c>
    </x:row>
    <x:row r="186">
      <x:c r="A186" s="54" t="str">
        <x:v>T2_CONCORDANT_DOMAIN</x:v>
      </x:c>
      <x:c r="B186" s="54" t="n">
        <x:v>180</x:v>
      </x:c>
      <x:c r="C186" s="54" t="str">
        <x:v>NYC-V2-R01</x:v>
      </x:c>
      <x:c r="D186" s="54" t="str">
        <x:v>V2</x:v>
      </x:c>
      <x:c r="E186" s="54" t="str">
        <x:v>ADMITTED</x:v>
      </x:c>
      <x:c r="F186" s="55" t="n">
        <x:v>34929</x:v>
      </x:c>
      <x:c r="G186" s="55" t="n">
        <x:v>8838</x:v>
      </x:c>
      <x:c r="H186" s="55" t="n">
        <x:v>3621</x:v>
      </x:c>
      <x:c r="I186" s="55" t="n">
        <x:v>1511</x:v>
      </x:c>
      <x:c r="J186" s="55" t="n">
        <x:v>370</x:v>
      </x:c>
      <x:c r="K186" s="55" t="n">
        <x:v>29379</x:v>
      </x:c>
      <x:c r="L186" s="55" t="n">
        <x:v>4909</x:v>
      </x:c>
      <x:c r="M186" s="55" t="n">
        <x:v>1240</x:v>
      </x:c>
      <x:c r="N186" s="55" t="n">
        <x:v>1997</x:v>
      </x:c>
      <x:c r="O186" s="55" t="n">
        <x:v>1672</x:v>
      </x:c>
      <x:c r="P186" s="55" t="n">
        <x:v>686</x:v>
      </x:c>
      <x:c r="Q186" s="55" t="n">
        <x:v>2473</x:v>
      </x:c>
      <x:c r="R186" s="55" t="n">
        <x:v>1500</x:v>
      </x:c>
      <x:c r="S186" s="55" t="n">
        <x:v>2357</x:v>
      </x:c>
      <x:c r="T186" s="55" t="n">
        <x:v>1051</x:v>
      </x:c>
      <x:c r="U186" s="55" t="n">
        <x:v>1431</x:v>
      </x:c>
      <x:c r="V186" s="55" t="n">
        <x:v>10168</x:v>
      </x:c>
      <x:c r="W186" s="55" t="n">
        <x:v>7150</x:v>
      </x:c>
      <x:c r="X186" s="55" t="n">
        <x:v>3018</x:v>
      </x:c>
      <x:c r="Y186" s="55" t="n">
        <x:v>2767</x:v>
      </x:c>
      <x:c r="Z186" s="55" t="n">
        <x:v>3832</x:v>
      </x:c>
      <x:c r="AA186" s="55" t="n">
        <x:v>2963</x:v>
      </x:c>
      <x:c r="AB186" s="55" t="n">
        <x:v>1156</x:v>
      </x:c>
      <x:c r="AC186" s="55" t="n">
        <x:v>8435</x:v>
      </x:c>
      <x:c r="AD186" s="55" t="n">
        <x:v>3221</x:v>
      </x:c>
      <x:c r="AE186" s="55" t="n">
        <x:v>10249</x:v>
      </x:c>
      <x:c r="AF186" s="55" t="n">
        <x:v>10168</x:v>
      </x:c>
      <x:c r="AG186" s="55" t="n">
        <x:v>81</x:v>
      </x:c>
      <x:c r="AH186" s="55" t="n">
        <x:v>425</x:v>
      </x:c>
      <x:c r="AI186" s="55" t="n">
        <x:v>9743</x:v>
      </x:c>
      <x:c r="AJ186" s="55" t="n">
        <x:v>110</x:v>
      </x:c>
      <x:c r="AK186" s="55" t="n">
        <x:v>819</x:v>
      </x:c>
      <x:c r="AL186" s="55" t="n">
        <x:v>1506</x:v>
      </x:c>
      <x:c r="AM186" s="55" t="n">
        <x:v>4870</x:v>
      </x:c>
      <x:c r="AN186" s="55" t="n">
        <x:v>2863</x:v>
      </x:c>
      <x:c r="AO186" s="55" t="n">
        <x:v>0</x:v>
      </x:c>
      <x:c r="AP186" s="55" t="n">
        <x:v>2175</x:v>
      </x:c>
      <x:c r="AQ186" s="55" t="n">
        <x:v>935</x:v>
      </x:c>
    </x:row>
    <x:row r="187">
      <x:c r="A187" s="54" t="str">
        <x:v>T2_CONCORDANT_DOMAIN</x:v>
      </x:c>
      <x:c r="B187" s="54" t="n">
        <x:v>181</x:v>
      </x:c>
      <x:c r="C187" s="54" t="str">
        <x:v>NYC-V2-R01</x:v>
      </x:c>
      <x:c r="D187" s="54" t="str">
        <x:v>V2</x:v>
      </x:c>
      <x:c r="E187" s="54" t="str">
        <x:v>ADMITTED</x:v>
      </x:c>
      <x:c r="F187" s="55" t="n">
        <x:v>28411</x:v>
      </x:c>
      <x:c r="G187" s="55" t="n">
        <x:v>6531</x:v>
      </x:c>
      <x:c r="H187" s="55" t="n">
        <x:v>2731</x:v>
      </x:c>
      <x:c r="I187" s="55" t="n">
        <x:v>837</x:v>
      </x:c>
      <x:c r="J187" s="55" t="n">
        <x:v>0</x:v>
      </x:c>
      <x:c r="K187" s="55" t="n">
        <x:v>28411</x:v>
      </x:c>
      <x:c r="L187" s="55" t="n">
        <x:v>3493</x:v>
      </x:c>
      <x:c r="M187" s="55" t="n">
        <x:v>210</x:v>
      </x:c>
      <x:c r="N187" s="55" t="n">
        <x:v>2124</x:v>
      </x:c>
      <x:c r="O187" s="55" t="n">
        <x:v>1159</x:v>
      </x:c>
      <x:c r="P187" s="55" t="n">
        <x:v>311</x:v>
      </x:c>
      <x:c r="Q187" s="55" t="n">
        <x:v>2203</x:v>
      </x:c>
      <x:c r="R187" s="55" t="n">
        <x:v>1546</x:v>
      </x:c>
      <x:c r="S187" s="55" t="n">
        <x:v>2075</x:v>
      </x:c>
      <x:c r="T187" s="55" t="n">
        <x:v>990</x:v>
      </x:c>
      <x:c r="U187" s="55" t="n">
        <x:v>1256</x:v>
      </x:c>
      <x:c r="V187" s="55" t="n">
        <x:v>9254</x:v>
      </x:c>
      <x:c r="W187" s="55" t="n">
        <x:v>6415</x:v>
      </x:c>
      <x:c r="X187" s="55" t="n">
        <x:v>2839</x:v>
      </x:c>
      <x:c r="Y187" s="55" t="n">
        <x:v>2429</x:v>
      </x:c>
      <x:c r="Z187" s="55" t="n">
        <x:v>3505</x:v>
      </x:c>
      <x:c r="AA187" s="55" t="n">
        <x:v>2564</x:v>
      </x:c>
      <x:c r="AB187" s="55" t="n">
        <x:v>708</x:v>
      </x:c>
      <x:c r="AC187" s="55" t="n">
        <x:v>7760</x:v>
      </x:c>
      <x:c r="AD187" s="55" t="n">
        <x:v>2256</x:v>
      </x:c>
      <x:c r="AE187" s="55" t="n">
        <x:v>9260</x:v>
      </x:c>
      <x:c r="AF187" s="55" t="n">
        <x:v>9254</x:v>
      </x:c>
      <x:c r="AG187" s="55" t="n">
        <x:v>6</x:v>
      </x:c>
      <x:c r="AH187" s="55" t="n">
        <x:v>0</x:v>
      </x:c>
      <x:c r="AI187" s="55" t="n">
        <x:v>9254</x:v>
      </x:c>
      <x:c r="AJ187" s="55" t="n">
        <x:v>44</x:v>
      </x:c>
      <x:c r="AK187" s="55" t="n">
        <x:v>949</x:v>
      </x:c>
      <x:c r="AL187" s="55" t="n">
        <x:v>1096</x:v>
      </x:c>
      <x:c r="AM187" s="55" t="n">
        <x:v>4951</x:v>
      </x:c>
      <x:c r="AN187" s="55" t="n">
        <x:v>2214</x:v>
      </x:c>
      <x:c r="AO187" s="55" t="n">
        <x:v>0</x:v>
      </x:c>
      <x:c r="AP187" s="55" t="n">
        <x:v>2103</x:v>
      </x:c>
      <x:c r="AQ187" s="55" t="n">
        <x:v>934</x:v>
      </x:c>
    </x:row>
    <x:row r="188">
      <x:c r="A188" s="54" t="str">
        <x:v>T2_CONCORDANT_DOMAIN</x:v>
      </x:c>
      <x:c r="B188" s="54" t="n">
        <x:v>182</x:v>
      </x:c>
      <x:c r="C188" s="54" t="str">
        <x:v>NYC-V2-R01</x:v>
      </x:c>
      <x:c r="D188" s="54" t="str">
        <x:v>V2</x:v>
      </x:c>
      <x:c r="E188" s="54" t="str">
        <x:v>ADMITTED</x:v>
      </x:c>
      <x:c r="F188" s="55" t="n">
        <x:v>31882</x:v>
      </x:c>
      <x:c r="G188" s="55" t="n">
        <x:v>8597</x:v>
      </x:c>
      <x:c r="H188" s="55" t="n">
        <x:v>3075</x:v>
      </x:c>
      <x:c r="I188" s="55" t="n">
        <x:v>1127</x:v>
      </x:c>
      <x:c r="J188" s="55" t="n">
        <x:v>272</x:v>
      </x:c>
      <x:c r="K188" s="55" t="n">
        <x:v>31882</x:v>
      </x:c>
      <x:c r="L188" s="55" t="n">
        <x:v>6216</x:v>
      </x:c>
      <x:c r="M188" s="55" t="n">
        <x:v>1201</x:v>
      </x:c>
      <x:c r="N188" s="55" t="n">
        <x:v>3073</x:v>
      </x:c>
      <x:c r="O188" s="55" t="n">
        <x:v>1942</x:v>
      </x:c>
      <x:c r="P188" s="55" t="n">
        <x:v>1155</x:v>
      </x:c>
      <x:c r="Q188" s="55" t="n">
        <x:v>3263</x:v>
      </x:c>
      <x:c r="R188" s="55" t="n">
        <x:v>2104</x:v>
      </x:c>
      <x:c r="S188" s="55" t="n">
        <x:v>3046</x:v>
      </x:c>
      <x:c r="T188" s="55" t="n">
        <x:v>1461</x:v>
      </x:c>
      <x:c r="U188" s="55" t="n">
        <x:v>2644</x:v>
      </x:c>
      <x:c r="V188" s="55" t="n">
        <x:v>10466</x:v>
      </x:c>
      <x:c r="W188" s="55" t="n">
        <x:v>7486</x:v>
      </x:c>
      <x:c r="X188" s="55" t="n">
        <x:v>2980</x:v>
      </x:c>
      <x:c r="Y188" s="55" t="n">
        <x:v>2564</x:v>
      </x:c>
      <x:c r="Z188" s="55" t="n">
        <x:v>3554</x:v>
      </x:c>
      <x:c r="AA188" s="55" t="n">
        <x:v>2891</x:v>
      </x:c>
      <x:c r="AB188" s="55" t="n">
        <x:v>1214</x:v>
      </x:c>
      <x:c r="AC188" s="55" t="n">
        <x:v>8108</x:v>
      </x:c>
      <x:c r="AD188" s="55" t="n">
        <x:v>2178</x:v>
      </x:c>
      <x:c r="AE188" s="55" t="n">
        <x:v>10497</x:v>
      </x:c>
      <x:c r="AF188" s="55" t="n">
        <x:v>10466</x:v>
      </x:c>
      <x:c r="AG188" s="55" t="n">
        <x:v>31</x:v>
      </x:c>
      <x:c r="AH188" s="55" t="n">
        <x:v>384</x:v>
      </x:c>
      <x:c r="AI188" s="55" t="n">
        <x:v>10082</x:v>
      </x:c>
      <x:c r="AJ188" s="55" t="n">
        <x:v>343</x:v>
      </x:c>
      <x:c r="AK188" s="55" t="n">
        <x:v>976</x:v>
      </x:c>
      <x:c r="AL188" s="55" t="n">
        <x:v>1108</x:v>
      </x:c>
      <x:c r="AM188" s="55" t="n">
        <x:v>5069</x:v>
      </x:c>
      <x:c r="AN188" s="55" t="n">
        <x:v>2970</x:v>
      </x:c>
      <x:c r="AO188" s="55" t="n">
        <x:v>0</x:v>
      </x:c>
      <x:c r="AP188" s="55" t="n">
        <x:v>2118</x:v>
      </x:c>
      <x:c r="AQ188" s="55" t="n">
        <x:v>987</x:v>
      </x:c>
    </x:row>
    <x:row r="189">
      <x:c r="A189" s="54" t="str">
        <x:v>T2_CONCORDANT_DOMAIN</x:v>
      </x:c>
      <x:c r="B189" s="54" t="n">
        <x:v>183</x:v>
      </x:c>
      <x:c r="C189" s="54" t="str">
        <x:v>NYC-V2-R01</x:v>
      </x:c>
      <x:c r="D189" s="54" t="str">
        <x:v>V2</x:v>
      </x:c>
      <x:c r="E189" s="54" t="str">
        <x:v>ADMITTED</x:v>
      </x:c>
      <x:c r="F189" s="55" t="n">
        <x:v>31895</x:v>
      </x:c>
      <x:c r="G189" s="55" t="n">
        <x:v>8120</x:v>
      </x:c>
      <x:c r="H189" s="55" t="n">
        <x:v>3156</x:v>
      </x:c>
      <x:c r="I189" s="55" t="n">
        <x:v>1033</x:v>
      </x:c>
      <x:c r="J189" s="55" t="n">
        <x:v>190</x:v>
      </x:c>
      <x:c r="K189" s="55" t="n">
        <x:v>31196</x:v>
      </x:c>
      <x:c r="L189" s="55" t="n">
        <x:v>7156</x:v>
      </x:c>
      <x:c r="M189" s="55" t="n">
        <x:v>2131</x:v>
      </x:c>
      <x:c r="N189" s="55" t="n">
        <x:v>3033</x:v>
      </x:c>
      <x:c r="O189" s="55" t="n">
        <x:v>1992</x:v>
      </x:c>
      <x:c r="P189" s="55" t="n">
        <x:v>853</x:v>
      </x:c>
      <x:c r="Q189" s="55" t="n">
        <x:v>2382</x:v>
      </x:c>
      <x:c r="R189" s="55" t="n">
        <x:v>1520</x:v>
      </x:c>
      <x:c r="S189" s="55" t="n">
        <x:v>2823</x:v>
      </x:c>
      <x:c r="T189" s="55" t="n">
        <x:v>913</x:v>
      </x:c>
      <x:c r="U189" s="55" t="n">
        <x:v>2369</x:v>
      </x:c>
      <x:c r="V189" s="55" t="n">
        <x:v>10617</x:v>
      </x:c>
      <x:c r="W189" s="55" t="n">
        <x:v>7513</x:v>
      </x:c>
      <x:c r="X189" s="55" t="n">
        <x:v>3104</x:v>
      </x:c>
      <x:c r="Y189" s="55" t="n">
        <x:v>2890</x:v>
      </x:c>
      <x:c r="Z189" s="55" t="n">
        <x:v>3452</x:v>
      </x:c>
      <x:c r="AA189" s="55" t="n">
        <x:v>2919</x:v>
      </x:c>
      <x:c r="AB189" s="55" t="n">
        <x:v>1102</x:v>
      </x:c>
      <x:c r="AC189" s="55" t="n">
        <x:v>7737</x:v>
      </x:c>
      <x:c r="AD189" s="55" t="n">
        <x:v>3498</x:v>
      </x:c>
      <x:c r="AE189" s="55" t="n">
        <x:v>10731</x:v>
      </x:c>
      <x:c r="AF189" s="55" t="n">
        <x:v>10617</x:v>
      </x:c>
      <x:c r="AG189" s="55" t="n">
        <x:v>114</x:v>
      </x:c>
      <x:c r="AH189" s="55" t="n">
        <x:v>256</x:v>
      </x:c>
      <x:c r="AI189" s="55" t="n">
        <x:v>10361</x:v>
      </x:c>
      <x:c r="AJ189" s="55" t="n">
        <x:v>243</x:v>
      </x:c>
      <x:c r="AK189" s="55" t="n">
        <x:v>893</x:v>
      </x:c>
      <x:c r="AL189" s="55" t="n">
        <x:v>1656</x:v>
      </x:c>
      <x:c r="AM189" s="55" t="n">
        <x:v>4518</x:v>
      </x:c>
      <x:c r="AN189" s="55" t="n">
        <x:v>3297</x:v>
      </x:c>
      <x:c r="AO189" s="55" t="n">
        <x:v>10</x:v>
      </x:c>
      <x:c r="AP189" s="55" t="n">
        <x:v>2612</x:v>
      </x:c>
      <x:c r="AQ189" s="55" t="n">
        <x:v>928</x:v>
      </x:c>
    </x:row>
    <x:row r="190">
      <x:c r="A190" s="54" t="str">
        <x:v>T2_CONCORDANT_DOMAIN</x:v>
      </x:c>
      <x:c r="B190" s="54" t="n">
        <x:v>184</x:v>
      </x:c>
      <x:c r="C190" s="54" t="str">
        <x:v>NYC-V2-R01</x:v>
      </x:c>
      <x:c r="D190" s="54" t="str">
        <x:v>V2</x:v>
      </x:c>
      <x:c r="E190" s="54" t="str">
        <x:v>ADMITTED</x:v>
      </x:c>
      <x:c r="F190" s="55" t="n">
        <x:v>32599</x:v>
      </x:c>
      <x:c r="G190" s="55" t="n">
        <x:v>8885</x:v>
      </x:c>
      <x:c r="H190" s="55" t="n">
        <x:v>3761</x:v>
      </x:c>
      <x:c r="I190" s="55" t="n">
        <x:v>1535</x:v>
      </x:c>
      <x:c r="J190" s="55" t="n">
        <x:v>336</x:v>
      </x:c>
      <x:c r="K190" s="55" t="n">
        <x:v>28881</x:v>
      </x:c>
      <x:c r="L190" s="55" t="n">
        <x:v>5382</x:v>
      </x:c>
      <x:c r="M190" s="55" t="n">
        <x:v>1028</x:v>
      </x:c>
      <x:c r="N190" s="55" t="n">
        <x:v>2881</x:v>
      </x:c>
      <x:c r="O190" s="55" t="n">
        <x:v>1473</x:v>
      </x:c>
      <x:c r="P190" s="55" t="n">
        <x:v>927</x:v>
      </x:c>
      <x:c r="Q190" s="55" t="n">
        <x:v>2521</x:v>
      </x:c>
      <x:c r="R190" s="55" t="n">
        <x:v>1384</x:v>
      </x:c>
      <x:c r="S190" s="55" t="n">
        <x:v>2946</x:v>
      </x:c>
      <x:c r="T190" s="55" t="n">
        <x:v>1644</x:v>
      </x:c>
      <x:c r="U190" s="55" t="n">
        <x:v>2020</x:v>
      </x:c>
      <x:c r="V190" s="55" t="n">
        <x:v>11194</x:v>
      </x:c>
      <x:c r="W190" s="55" t="n">
        <x:v>8340</x:v>
      </x:c>
      <x:c r="X190" s="55" t="n">
        <x:v>2854</x:v>
      </x:c>
      <x:c r="Y190" s="55" t="n">
        <x:v>2456</x:v>
      </x:c>
      <x:c r="Z190" s="55" t="n">
        <x:v>3644</x:v>
      </x:c>
      <x:c r="AA190" s="55" t="n">
        <x:v>2911</x:v>
      </x:c>
      <x:c r="AB190" s="55" t="n">
        <x:v>903</x:v>
      </x:c>
      <x:c r="AC190" s="55" t="n">
        <x:v>8426</x:v>
      </x:c>
      <x:c r="AD190" s="55" t="n">
        <x:v>2825</x:v>
      </x:c>
      <x:c r="AE190" s="55" t="n">
        <x:v>11310</x:v>
      </x:c>
      <x:c r="AF190" s="55" t="n">
        <x:v>11194</x:v>
      </x:c>
      <x:c r="AG190" s="55" t="n">
        <x:v>116</x:v>
      </x:c>
      <x:c r="AH190" s="55" t="n">
        <x:v>512</x:v>
      </x:c>
      <x:c r="AI190" s="55" t="n">
        <x:v>10682</x:v>
      </x:c>
      <x:c r="AJ190" s="55" t="n">
        <x:v>350</x:v>
      </x:c>
      <x:c r="AK190" s="55" t="n">
        <x:v>1088</x:v>
      </x:c>
      <x:c r="AL190" s="55" t="n">
        <x:v>1887</x:v>
      </x:c>
      <x:c r="AM190" s="55" t="n">
        <x:v>4630</x:v>
      </x:c>
      <x:c r="AN190" s="55" t="n">
        <x:v>3159</x:v>
      </x:c>
      <x:c r="AO190" s="55" t="n">
        <x:v>80</x:v>
      </x:c>
      <x:c r="AP190" s="55" t="n">
        <x:v>2613</x:v>
      </x:c>
      <x:c r="AQ190" s="55" t="n">
        <x:v>978</x:v>
      </x:c>
    </x:row>
    <x:row r="191">
      <x:c r="A191" s="54" t="str">
        <x:v>T2_CONCORDANT_DOMAIN</x:v>
      </x:c>
      <x:c r="B191" s="54" t="n">
        <x:v>185</x:v>
      </x:c>
      <x:c r="C191" s="54" t="str">
        <x:v>NYC-V2-R01</x:v>
      </x:c>
      <x:c r="D191" s="54" t="str">
        <x:v>V2</x:v>
      </x:c>
      <x:c r="E191" s="54" t="str">
        <x:v>ADMITTED</x:v>
      </x:c>
      <x:c r="F191" s="55" t="n">
        <x:v>31301</x:v>
      </x:c>
      <x:c r="G191" s="55" t="n">
        <x:v>7437</x:v>
      </x:c>
      <x:c r="H191" s="55" t="n">
        <x:v>3594</x:v>
      </x:c>
      <x:c r="I191" s="55" t="n">
        <x:v>1488</x:v>
      </x:c>
      <x:c r="J191" s="55" t="n">
        <x:v>474</x:v>
      </x:c>
      <x:c r="K191" s="55" t="n">
        <x:v>31301</x:v>
      </x:c>
      <x:c r="L191" s="55" t="n">
        <x:v>5967</x:v>
      </x:c>
      <x:c r="M191" s="55" t="n">
        <x:v>1760</x:v>
      </x:c>
      <x:c r="N191" s="55" t="n">
        <x:v>2366</x:v>
      </x:c>
      <x:c r="O191" s="55" t="n">
        <x:v>1841</x:v>
      </x:c>
      <x:c r="P191" s="55" t="n">
        <x:v>914</x:v>
      </x:c>
      <x:c r="Q191" s="55" t="n">
        <x:v>2171</x:v>
      </x:c>
      <x:c r="R191" s="55" t="n">
        <x:v>2319</x:v>
      </x:c>
      <x:c r="S191" s="55" t="n">
        <x:v>3346</x:v>
      </x:c>
      <x:c r="T191" s="55" t="n">
        <x:v>1386</x:v>
      </x:c>
      <x:c r="U191" s="55" t="n">
        <x:v>2065</x:v>
      </x:c>
      <x:c r="V191" s="55" t="n">
        <x:v>10200</x:v>
      </x:c>
      <x:c r="W191" s="55" t="n">
        <x:v>6826</x:v>
      </x:c>
      <x:c r="X191" s="55" t="n">
        <x:v>3374</x:v>
      </x:c>
      <x:c r="Y191" s="55" t="n">
        <x:v>2914</x:v>
      </x:c>
      <x:c r="Z191" s="55" t="n">
        <x:v>4025</x:v>
      </x:c>
      <x:c r="AA191" s="55" t="n">
        <x:v>3533</x:v>
      </x:c>
      <x:c r="AB191" s="55" t="n">
        <x:v>1208</x:v>
      </x:c>
      <x:c r="AC191" s="55" t="n">
        <x:v>8432</x:v>
      </x:c>
      <x:c r="AD191" s="55" t="n">
        <x:v>3187</x:v>
      </x:c>
      <x:c r="AE191" s="55" t="n">
        <x:v>10288</x:v>
      </x:c>
      <x:c r="AF191" s="55" t="n">
        <x:v>10200</x:v>
      </x:c>
      <x:c r="AG191" s="55" t="n">
        <x:v>88</x:v>
      </x:c>
      <x:c r="AH191" s="55" t="n">
        <x:v>373</x:v>
      </x:c>
      <x:c r="AI191" s="55" t="n">
        <x:v>9827</x:v>
      </x:c>
      <x:c r="AJ191" s="55" t="n">
        <x:v>268</x:v>
      </x:c>
      <x:c r="AK191" s="55" t="n">
        <x:v>864</x:v>
      </x:c>
      <x:c r="AL191" s="55" t="n">
        <x:v>1703</x:v>
      </x:c>
      <x:c r="AM191" s="55" t="n">
        <x:v>5139</x:v>
      </x:c>
      <x:c r="AN191" s="55" t="n">
        <x:v>2203</x:v>
      </x:c>
      <x:c r="AO191" s="55" t="n">
        <x:v>23</x:v>
      </x:c>
      <x:c r="AP191" s="55" t="n">
        <x:v>2871</x:v>
      </x:c>
      <x:c r="AQ191" s="55" t="n">
        <x:v>956</x:v>
      </x:c>
    </x:row>
    <x:row r="192">
      <x:c r="A192" s="54" t="str">
        <x:v>T2_CONCORDANT_DOMAIN</x:v>
      </x:c>
      <x:c r="B192" s="54" t="n">
        <x:v>186</x:v>
      </x:c>
      <x:c r="C192" s="54" t="str">
        <x:v>NYC-V2-R01</x:v>
      </x:c>
      <x:c r="D192" s="54" t="str">
        <x:v>V2</x:v>
      </x:c>
      <x:c r="E192" s="54" t="str">
        <x:v>ADMITTED</x:v>
      </x:c>
      <x:c r="F192" s="55" t="n">
        <x:v>30855</x:v>
      </x:c>
      <x:c r="G192" s="55" t="n">
        <x:v>8211</x:v>
      </x:c>
      <x:c r="H192" s="55" t="n">
        <x:v>3182</x:v>
      </x:c>
      <x:c r="I192" s="55" t="n">
        <x:v>1334</x:v>
      </x:c>
      <x:c r="J192" s="55" t="n">
        <x:v>46</x:v>
      </x:c>
      <x:c r="K192" s="55" t="n">
        <x:v>29824</x:v>
      </x:c>
      <x:c r="L192" s="55" t="n">
        <x:v>6284</x:v>
      </x:c>
      <x:c r="M192" s="55" t="n">
        <x:v>1545</x:v>
      </x:c>
      <x:c r="N192" s="55" t="n">
        <x:v>2974</x:v>
      </x:c>
      <x:c r="O192" s="55" t="n">
        <x:v>1765</x:v>
      </x:c>
      <x:c r="P192" s="55" t="n">
        <x:v>912</x:v>
      </x:c>
      <x:c r="Q192" s="55" t="n">
        <x:v>3097</x:v>
      </x:c>
      <x:c r="R192" s="55" t="n">
        <x:v>1910</x:v>
      </x:c>
      <x:c r="S192" s="55" t="n">
        <x:v>3275</x:v>
      </x:c>
      <x:c r="T192" s="55" t="n">
        <x:v>1395</x:v>
      </x:c>
      <x:c r="U192" s="55" t="n">
        <x:v>2303</x:v>
      </x:c>
      <x:c r="V192" s="55" t="n">
        <x:v>10129</x:v>
      </x:c>
      <x:c r="W192" s="55" t="n">
        <x:v>7071</x:v>
      </x:c>
      <x:c r="X192" s="55" t="n">
        <x:v>3058</x:v>
      </x:c>
      <x:c r="Y192" s="55" t="n">
        <x:v>2751</x:v>
      </x:c>
      <x:c r="Z192" s="55" t="n">
        <x:v>3450</x:v>
      </x:c>
      <x:c r="AA192" s="55" t="n">
        <x:v>3182</x:v>
      </x:c>
      <x:c r="AB192" s="55" t="n">
        <x:v>1080</x:v>
      </x:c>
      <x:c r="AC192" s="55" t="n">
        <x:v>8277</x:v>
      </x:c>
      <x:c r="AD192" s="55" t="n">
        <x:v>2476</x:v>
      </x:c>
      <x:c r="AE192" s="55" t="n">
        <x:v>10254</x:v>
      </x:c>
      <x:c r="AF192" s="55" t="n">
        <x:v>10129</x:v>
      </x:c>
      <x:c r="AG192" s="55" t="n">
        <x:v>125</x:v>
      </x:c>
      <x:c r="AH192" s="55" t="n">
        <x:v>378</x:v>
      </x:c>
      <x:c r="AI192" s="55" t="n">
        <x:v>9751</x:v>
      </x:c>
      <x:c r="AJ192" s="55" t="n">
        <x:v>315</x:v>
      </x:c>
      <x:c r="AK192" s="55" t="n">
        <x:v>1041</x:v>
      </x:c>
      <x:c r="AL192" s="55" t="n">
        <x:v>1243</x:v>
      </x:c>
      <x:c r="AM192" s="55" t="n">
        <x:v>4980</x:v>
      </x:c>
      <x:c r="AN192" s="55" t="n">
        <x:v>2550</x:v>
      </x:c>
      <x:c r="AO192" s="55" t="n">
        <x:v>0</x:v>
      </x:c>
      <x:c r="AP192" s="55" t="n">
        <x:v>2695</x:v>
      </x:c>
      <x:c r="AQ192" s="55" t="n">
        <x:v>944</x:v>
      </x:c>
    </x:row>
    <x:row r="193">
      <x:c r="A193" s="54" t="str">
        <x:v>T2_CONCORDANT_DOMAIN</x:v>
      </x:c>
      <x:c r="B193" s="54" t="n">
        <x:v>187</x:v>
      </x:c>
      <x:c r="C193" s="54" t="str">
        <x:v>NYC-V2-R01</x:v>
      </x:c>
      <x:c r="D193" s="54" t="str">
        <x:v>V2</x:v>
      </x:c>
      <x:c r="E193" s="54" t="str">
        <x:v>ADMITTED</x:v>
      </x:c>
      <x:c r="F193" s="55" t="n">
        <x:v>29840</x:v>
      </x:c>
      <x:c r="G193" s="55" t="n">
        <x:v>6586</x:v>
      </x:c>
      <x:c r="H193" s="55" t="n">
        <x:v>3358</x:v>
      </x:c>
      <x:c r="I193" s="55" t="n">
        <x:v>1276</x:v>
      </x:c>
      <x:c r="J193" s="55" t="n">
        <x:v>219</x:v>
      </x:c>
      <x:c r="K193" s="55" t="n">
        <x:v>29707</x:v>
      </x:c>
      <x:c r="L193" s="55" t="n">
        <x:v>4430</x:v>
      </x:c>
      <x:c r="M193" s="55" t="n">
        <x:v>974</x:v>
      </x:c>
      <x:c r="N193" s="55" t="n">
        <x:v>2317</x:v>
      </x:c>
      <x:c r="O193" s="55" t="n">
        <x:v>1139</x:v>
      </x:c>
      <x:c r="P193" s="55" t="n">
        <x:v>417</x:v>
      </x:c>
      <x:c r="Q193" s="55" t="n">
        <x:v>1508</x:v>
      </x:c>
      <x:c r="R193" s="55" t="n">
        <x:v>1864</x:v>
      </x:c>
      <x:c r="S193" s="55" t="n">
        <x:v>2525</x:v>
      </x:c>
      <x:c r="T193" s="55" t="n">
        <x:v>828</x:v>
      </x:c>
      <x:c r="U193" s="55" t="n">
        <x:v>1812</x:v>
      </x:c>
      <x:c r="V193" s="55" t="n">
        <x:v>10244</x:v>
      </x:c>
      <x:c r="W193" s="55" t="n">
        <x:v>7334</x:v>
      </x:c>
      <x:c r="X193" s="55" t="n">
        <x:v>2910</x:v>
      </x:c>
      <x:c r="Y193" s="55" t="n">
        <x:v>2337</x:v>
      </x:c>
      <x:c r="Z193" s="55" t="n">
        <x:v>3396</x:v>
      </x:c>
      <x:c r="AA193" s="55" t="n">
        <x:v>2754</x:v>
      </x:c>
      <x:c r="AB193" s="55" t="n">
        <x:v>752</x:v>
      </x:c>
      <x:c r="AC193" s="55" t="n">
        <x:v>7731</x:v>
      </x:c>
      <x:c r="AD193" s="55" t="n">
        <x:v>2265</x:v>
      </x:c>
      <x:c r="AE193" s="55" t="n">
        <x:v>10308</x:v>
      </x:c>
      <x:c r="AF193" s="55" t="n">
        <x:v>10244</x:v>
      </x:c>
      <x:c r="AG193" s="55" t="n">
        <x:v>64</x:v>
      </x:c>
      <x:c r="AH193" s="55" t="n">
        <x:v>270</x:v>
      </x:c>
      <x:c r="AI193" s="55" t="n">
        <x:v>9974</x:v>
      </x:c>
      <x:c r="AJ193" s="55" t="n">
        <x:v>334</x:v>
      </x:c>
      <x:c r="AK193" s="55" t="n">
        <x:v>1019</x:v>
      </x:c>
      <x:c r="AL193" s="55" t="n">
        <x:v>1332</x:v>
      </x:c>
      <x:c r="AM193" s="55" t="n">
        <x:v>5222</x:v>
      </x:c>
      <x:c r="AN193" s="55" t="n">
        <x:v>2337</x:v>
      </x:c>
      <x:c r="AO193" s="55" t="n">
        <x:v>0</x:v>
      </x:c>
      <x:c r="AP193" s="55" t="n">
        <x:v>2441</x:v>
      </x:c>
      <x:c r="AQ193" s="55" t="n">
        <x:v>947</x:v>
      </x:c>
    </x:row>
    <x:row r="194">
      <x:c r="A194" s="54" t="str">
        <x:v>T2_CONCORDANT_DOMAIN</x:v>
      </x:c>
      <x:c r="B194" s="54" t="n">
        <x:v>188</x:v>
      </x:c>
      <x:c r="C194" s="54" t="str">
        <x:v>NYC-V2-R01</x:v>
      </x:c>
      <x:c r="D194" s="54" t="str">
        <x:v>V2</x:v>
      </x:c>
      <x:c r="E194" s="54" t="str">
        <x:v>ADMITTED</x:v>
      </x:c>
      <x:c r="F194" s="55" t="n">
        <x:v>32176</x:v>
      </x:c>
      <x:c r="G194" s="55" t="n">
        <x:v>7747</x:v>
      </x:c>
      <x:c r="H194" s="55" t="n">
        <x:v>3354</x:v>
      </x:c>
      <x:c r="I194" s="55" t="n">
        <x:v>1317</x:v>
      </x:c>
      <x:c r="J194" s="55" t="n">
        <x:v>165</x:v>
      </x:c>
      <x:c r="K194" s="55" t="n">
        <x:v>32176</x:v>
      </x:c>
      <x:c r="L194" s="55" t="n">
        <x:v>6912</x:v>
      </x:c>
      <x:c r="M194" s="55" t="n">
        <x:v>1831</x:v>
      </x:c>
      <x:c r="N194" s="55" t="n">
        <x:v>3084</x:v>
      </x:c>
      <x:c r="O194" s="55" t="n">
        <x:v>1997</x:v>
      </x:c>
      <x:c r="P194" s="55" t="n">
        <x:v>681</x:v>
      </x:c>
      <x:c r="Q194" s="55" t="n">
        <x:v>1603</x:v>
      </x:c>
      <x:c r="R194" s="55" t="n">
        <x:v>2063</x:v>
      </x:c>
      <x:c r="S194" s="55" t="n">
        <x:v>3158</x:v>
      </x:c>
      <x:c r="T194" s="55" t="n">
        <x:v>1536</x:v>
      </x:c>
      <x:c r="U194" s="55" t="n">
        <x:v>2402</x:v>
      </x:c>
      <x:c r="V194" s="55" t="n">
        <x:v>10808</x:v>
      </x:c>
      <x:c r="W194" s="55" t="n">
        <x:v>7849</x:v>
      </x:c>
      <x:c r="X194" s="55" t="n">
        <x:v>2959</x:v>
      </x:c>
      <x:c r="Y194" s="55" t="n">
        <x:v>2538</x:v>
      </x:c>
      <x:c r="Z194" s="55" t="n">
        <x:v>3576</x:v>
      </x:c>
      <x:c r="AA194" s="55" t="n">
        <x:v>2918</x:v>
      </x:c>
      <x:c r="AB194" s="55" t="n">
        <x:v>964</x:v>
      </x:c>
      <x:c r="AC194" s="55" t="n">
        <x:v>8521</x:v>
      </x:c>
      <x:c r="AD194" s="55" t="n">
        <x:v>2785</x:v>
      </x:c>
      <x:c r="AE194" s="55" t="n">
        <x:v>10900</x:v>
      </x:c>
      <x:c r="AF194" s="55" t="n">
        <x:v>10808</x:v>
      </x:c>
      <x:c r="AG194" s="55" t="n">
        <x:v>92</x:v>
      </x:c>
      <x:c r="AH194" s="55" t="n">
        <x:v>630</x:v>
      </x:c>
      <x:c r="AI194" s="55" t="n">
        <x:v>10178</x:v>
      </x:c>
      <x:c r="AJ194" s="55" t="n">
        <x:v>220</x:v>
      </x:c>
      <x:c r="AK194" s="55" t="n">
        <x:v>1255</x:v>
      </x:c>
      <x:c r="AL194" s="55" t="n">
        <x:v>1448</x:v>
      </x:c>
      <x:c r="AM194" s="55" t="n">
        <x:v>5124</x:v>
      </x:c>
      <x:c r="AN194" s="55" t="n">
        <x:v>2687</x:v>
      </x:c>
      <x:c r="AO194" s="55" t="n">
        <x:v>74</x:v>
      </x:c>
      <x:c r="AP194" s="55" t="n">
        <x:v>2490</x:v>
      </x:c>
      <x:c r="AQ194" s="55" t="n">
        <x:v>1032</x:v>
      </x:c>
    </x:row>
    <x:row r="195">
      <x:c r="A195" s="54" t="str">
        <x:v>T2_CONCORDANT_DOMAIN</x:v>
      </x:c>
      <x:c r="B195" s="54" t="n">
        <x:v>189</x:v>
      </x:c>
      <x:c r="C195" s="54" t="str">
        <x:v>NYC-V2-R01</x:v>
      </x:c>
      <x:c r="D195" s="54" t="str">
        <x:v>V2</x:v>
      </x:c>
      <x:c r="E195" s="54" t="str">
        <x:v>ADMITTED</x:v>
      </x:c>
      <x:c r="F195" s="55" t="n">
        <x:v>32443</x:v>
      </x:c>
      <x:c r="G195" s="55" t="n">
        <x:v>8808</x:v>
      </x:c>
      <x:c r="H195" s="55" t="n">
        <x:v>3497</x:v>
      </x:c>
      <x:c r="I195" s="55" t="n">
        <x:v>1287</x:v>
      </x:c>
      <x:c r="J195" s="55" t="n">
        <x:v>287</x:v>
      </x:c>
      <x:c r="K195" s="55" t="n">
        <x:v>30660</x:v>
      </x:c>
      <x:c r="L195" s="55" t="n">
        <x:v>5717</x:v>
      </x:c>
      <x:c r="M195" s="55" t="n">
        <x:v>1437</x:v>
      </x:c>
      <x:c r="N195" s="55" t="n">
        <x:v>2526</x:v>
      </x:c>
      <x:c r="O195" s="55" t="n">
        <x:v>1754</x:v>
      </x:c>
      <x:c r="P195" s="55" t="n">
        <x:v>888</x:v>
      </x:c>
      <x:c r="Q195" s="55" t="n">
        <x:v>2273</x:v>
      </x:c>
      <x:c r="R195" s="55" t="n">
        <x:v>1437</x:v>
      </x:c>
      <x:c r="S195" s="55" t="n">
        <x:v>2727</x:v>
      </x:c>
      <x:c r="T195" s="55" t="n">
        <x:v>1344</x:v>
      </x:c>
      <x:c r="U195" s="55" t="n">
        <x:v>2422</x:v>
      </x:c>
      <x:c r="V195" s="55" t="n">
        <x:v>10722</x:v>
      </x:c>
      <x:c r="W195" s="55" t="n">
        <x:v>7992</x:v>
      </x:c>
      <x:c r="X195" s="55" t="n">
        <x:v>2730</x:v>
      </x:c>
      <x:c r="Y195" s="55" t="n">
        <x:v>2343</x:v>
      </x:c>
      <x:c r="Z195" s="55" t="n">
        <x:v>3911</x:v>
      </x:c>
      <x:c r="AA195" s="55" t="n">
        <x:v>3497</x:v>
      </x:c>
      <x:c r="AB195" s="55" t="n">
        <x:v>1136</x:v>
      </x:c>
      <x:c r="AC195" s="55" t="n">
        <x:v>8057</x:v>
      </x:c>
      <x:c r="AD195" s="55" t="n">
        <x:v>2896</x:v>
      </x:c>
      <x:c r="AE195" s="55" t="n">
        <x:v>10814</x:v>
      </x:c>
      <x:c r="AF195" s="55" t="n">
        <x:v>10722</x:v>
      </x:c>
      <x:c r="AG195" s="55" t="n">
        <x:v>92</x:v>
      </x:c>
      <x:c r="AH195" s="55" t="n">
        <x:v>485</x:v>
      </x:c>
      <x:c r="AI195" s="55" t="n">
        <x:v>10237</x:v>
      </x:c>
      <x:c r="AJ195" s="55" t="n">
        <x:v>329</x:v>
      </x:c>
      <x:c r="AK195" s="55" t="n">
        <x:v>1263</x:v>
      </x:c>
      <x:c r="AL195" s="55" t="n">
        <x:v>1938</x:v>
      </x:c>
      <x:c r="AM195" s="55" t="n">
        <x:v>4852</x:v>
      </x:c>
      <x:c r="AN195" s="55" t="n">
        <x:v>2279</x:v>
      </x:c>
      <x:c r="AO195" s="55" t="n">
        <x:v>61</x:v>
      </x:c>
      <x:c r="AP195" s="55" t="n">
        <x:v>2306</x:v>
      </x:c>
      <x:c r="AQ195" s="55" t="n">
        <x:v>952</x:v>
      </x:c>
    </x:row>
    <x:row r="196">
      <x:c r="A196" s="54" t="str">
        <x:v>T2_CONCORDANT_DOMAIN</x:v>
      </x:c>
      <x:c r="B196" s="54" t="n">
        <x:v>190</x:v>
      </x:c>
      <x:c r="C196" s="54" t="str">
        <x:v>NYC-V2-R01</x:v>
      </x:c>
      <x:c r="D196" s="54" t="str">
        <x:v>V2</x:v>
      </x:c>
      <x:c r="E196" s="54" t="str">
        <x:v>ADMITTED</x:v>
      </x:c>
      <x:c r="F196" s="55" t="n">
        <x:v>30937</x:v>
      </x:c>
      <x:c r="G196" s="55" t="n">
        <x:v>8292</x:v>
      </x:c>
      <x:c r="H196" s="55" t="n">
        <x:v>3379</x:v>
      </x:c>
      <x:c r="I196" s="55" t="n">
        <x:v>1574</x:v>
      </x:c>
      <x:c r="J196" s="55" t="n">
        <x:v>239</x:v>
      </x:c>
      <x:c r="K196" s="55" t="n">
        <x:v>30937</x:v>
      </x:c>
      <x:c r="L196" s="55" t="n">
        <x:v>6913</x:v>
      </x:c>
      <x:c r="M196" s="55" t="n">
        <x:v>2124</x:v>
      </x:c>
      <x:c r="N196" s="55" t="n">
        <x:v>2721</x:v>
      </x:c>
      <x:c r="O196" s="55" t="n">
        <x:v>2068</x:v>
      </x:c>
      <x:c r="P196" s="55" t="n">
        <x:v>550</x:v>
      </x:c>
      <x:c r="Q196" s="55" t="n">
        <x:v>2043</x:v>
      </x:c>
      <x:c r="R196" s="55" t="n">
        <x:v>2065</x:v>
      </x:c>
      <x:c r="S196" s="55" t="n">
        <x:v>2451</x:v>
      </x:c>
      <x:c r="T196" s="55" t="n">
        <x:v>1557</x:v>
      </x:c>
      <x:c r="U196" s="55" t="n">
        <x:v>2248</x:v>
      </x:c>
      <x:c r="V196" s="55" t="n">
        <x:v>10557</x:v>
      </x:c>
      <x:c r="W196" s="55" t="n">
        <x:v>7484</x:v>
      </x:c>
      <x:c r="X196" s="55" t="n">
        <x:v>3073</x:v>
      </x:c>
      <x:c r="Y196" s="55" t="n">
        <x:v>2685</x:v>
      </x:c>
      <x:c r="Z196" s="55" t="n">
        <x:v>3880</x:v>
      </x:c>
      <x:c r="AA196" s="55" t="n">
        <x:v>3379</x:v>
      </x:c>
      <x:c r="AB196" s="55" t="n">
        <x:v>1354</x:v>
      </x:c>
      <x:c r="AC196" s="55" t="n">
        <x:v>8396</x:v>
      </x:c>
      <x:c r="AD196" s="55" t="n">
        <x:v>3091</x:v>
      </x:c>
      <x:c r="AE196" s="55" t="n">
        <x:v>10694</x:v>
      </x:c>
      <x:c r="AF196" s="55" t="n">
        <x:v>10557</x:v>
      </x:c>
      <x:c r="AG196" s="55" t="n">
        <x:v>137</x:v>
      </x:c>
      <x:c r="AH196" s="55" t="n">
        <x:v>492</x:v>
      </x:c>
      <x:c r="AI196" s="55" t="n">
        <x:v>10065</x:v>
      </x:c>
      <x:c r="AJ196" s="55" t="n">
        <x:v>165</x:v>
      </x:c>
      <x:c r="AK196" s="55" t="n">
        <x:v>972</x:v>
      </x:c>
      <x:c r="AL196" s="55" t="n">
        <x:v>1987</x:v>
      </x:c>
      <x:c r="AM196" s="55" t="n">
        <x:v>4994</x:v>
      </x:c>
      <x:c r="AN196" s="55" t="n">
        <x:v>2335</x:v>
      </x:c>
      <x:c r="AO196" s="55" t="n">
        <x:v>104</x:v>
      </x:c>
      <x:c r="AP196" s="55" t="n">
        <x:v>2173</x:v>
      </x:c>
      <x:c r="AQ196" s="55" t="n">
        <x:v>986</x:v>
      </x:c>
    </x:row>
    <x:row r="197">
      <x:c r="A197" s="54" t="str">
        <x:v>T2_CONCORDANT_DOMAIN</x:v>
      </x:c>
      <x:c r="B197" s="54" t="n">
        <x:v>191</x:v>
      </x:c>
      <x:c r="C197" s="54" t="str">
        <x:v>NYC-V2-R01</x:v>
      </x:c>
      <x:c r="D197" s="54" t="str">
        <x:v>V2</x:v>
      </x:c>
      <x:c r="E197" s="54" t="str">
        <x:v>ADMITTED</x:v>
      </x:c>
      <x:c r="F197" s="55" t="n">
        <x:v>32264</x:v>
      </x:c>
      <x:c r="G197" s="55" t="n">
        <x:v>7661</x:v>
      </x:c>
      <x:c r="H197" s="55" t="n">
        <x:v>3540</x:v>
      </x:c>
      <x:c r="I197" s="55" t="n">
        <x:v>1041</x:v>
      </x:c>
      <x:c r="J197" s="55" t="n">
        <x:v>94</x:v>
      </x:c>
      <x:c r="K197" s="55" t="n">
        <x:v>32264</x:v>
      </x:c>
      <x:c r="L197" s="55" t="n">
        <x:v>7462</x:v>
      </x:c>
      <x:c r="M197" s="55" t="n">
        <x:v>2131</x:v>
      </x:c>
      <x:c r="N197" s="55" t="n">
        <x:v>3239</x:v>
      </x:c>
      <x:c r="O197" s="55" t="n">
        <x:v>2092</x:v>
      </x:c>
      <x:c r="P197" s="55" t="n">
        <x:v>901</x:v>
      </x:c>
      <x:c r="Q197" s="55" t="n">
        <x:v>2048</x:v>
      </x:c>
      <x:c r="R197" s="55" t="n">
        <x:v>2425</x:v>
      </x:c>
      <x:c r="S197" s="55" t="n">
        <x:v>3494</x:v>
      </x:c>
      <x:c r="T197" s="55" t="n">
        <x:v>1569</x:v>
      </x:c>
      <x:c r="U197" s="55" t="n">
        <x:v>2254</x:v>
      </x:c>
      <x:c r="V197" s="55" t="n">
        <x:v>10205</x:v>
      </x:c>
      <x:c r="W197" s="55" t="n">
        <x:v>7017</x:v>
      </x:c>
      <x:c r="X197" s="55" t="n">
        <x:v>3188</x:v>
      </x:c>
      <x:c r="Y197" s="55" t="n">
        <x:v>2803</x:v>
      </x:c>
      <x:c r="Z197" s="55" t="n">
        <x:v>3844</x:v>
      </x:c>
      <x:c r="AA197" s="55" t="n">
        <x:v>3540</x:v>
      </x:c>
      <x:c r="AB197" s="55" t="n">
        <x:v>1343</x:v>
      </x:c>
      <x:c r="AC197" s="55" t="n">
        <x:v>7845</x:v>
      </x:c>
      <x:c r="AD197" s="55" t="n">
        <x:v>3127</x:v>
      </x:c>
      <x:c r="AE197" s="55" t="n">
        <x:v>10371</x:v>
      </x:c>
      <x:c r="AF197" s="55" t="n">
        <x:v>10205</x:v>
      </x:c>
      <x:c r="AG197" s="55" t="n">
        <x:v>166</x:v>
      </x:c>
      <x:c r="AH197" s="55" t="n">
        <x:v>586</x:v>
      </x:c>
      <x:c r="AI197" s="55" t="n">
        <x:v>9619</x:v>
      </x:c>
      <x:c r="AJ197" s="55" t="n">
        <x:v>318</x:v>
      </x:c>
      <x:c r="AK197" s="55" t="n">
        <x:v>635</x:v>
      </x:c>
      <x:c r="AL197" s="55" t="n">
        <x:v>1328</x:v>
      </x:c>
      <x:c r="AM197" s="55" t="n">
        <x:v>5111</x:v>
      </x:c>
      <x:c r="AN197" s="55" t="n">
        <x:v>2813</x:v>
      </x:c>
      <x:c r="AO197" s="55" t="n">
        <x:v>0</x:v>
      </x:c>
      <x:c r="AP197" s="55" t="n">
        <x:v>2489</x:v>
      </x:c>
      <x:c r="AQ197" s="55" t="n">
        <x:v>946</x:v>
      </x:c>
    </x:row>
    <x:row r="198">
      <x:c r="A198" s="54" t="str">
        <x:v>T2_CONCORDANT_DOMAIN</x:v>
      </x:c>
      <x:c r="B198" s="54" t="n">
        <x:v>192</x:v>
      </x:c>
      <x:c r="C198" s="54" t="str">
        <x:v>NYC-V2-R01</x:v>
      </x:c>
      <x:c r="D198" s="54" t="str">
        <x:v>V2</x:v>
      </x:c>
      <x:c r="E198" s="54" t="str">
        <x:v>ADMITTED</x:v>
      </x:c>
      <x:c r="F198" s="55" t="n">
        <x:v>31131</x:v>
      </x:c>
      <x:c r="G198" s="55" t="n">
        <x:v>7096</x:v>
      </x:c>
      <x:c r="H198" s="55" t="n">
        <x:v>4081</x:v>
      </x:c>
      <x:c r="I198" s="55" t="n">
        <x:v>1175</x:v>
      </x:c>
      <x:c r="J198" s="55" t="n">
        <x:v>245</x:v>
      </x:c>
      <x:c r="K198" s="55" t="n">
        <x:v>31113</x:v>
      </x:c>
      <x:c r="L198" s="55" t="n">
        <x:v>6563</x:v>
      </x:c>
      <x:c r="M198" s="55" t="n">
        <x:v>2195</x:v>
      </x:c>
      <x:c r="N198" s="55" t="n">
        <x:v>2722</x:v>
      </x:c>
      <x:c r="O198" s="55" t="n">
        <x:v>1646</x:v>
      </x:c>
      <x:c r="P198" s="55" t="n">
        <x:v>623</x:v>
      </x:c>
      <x:c r="Q198" s="55" t="n">
        <x:v>2657</x:v>
      </x:c>
      <x:c r="R198" s="55" t="n">
        <x:v>1838</x:v>
      </x:c>
      <x:c r="S198" s="55" t="n">
        <x:v>2461</x:v>
      </x:c>
      <x:c r="T198" s="55" t="n">
        <x:v>930</x:v>
      </x:c>
      <x:c r="U198" s="55" t="n">
        <x:v>2102</x:v>
      </x:c>
      <x:c r="V198" s="55" t="n">
        <x:v>11039</x:v>
      </x:c>
      <x:c r="W198" s="55" t="n">
        <x:v>8317</x:v>
      </x:c>
      <x:c r="X198" s="55" t="n">
        <x:v>2722</x:v>
      </x:c>
      <x:c r="Y198" s="55" t="n">
        <x:v>2478</x:v>
      </x:c>
      <x:c r="Z198" s="55" t="n">
        <x:v>3455</x:v>
      </x:c>
      <x:c r="AA198" s="55" t="n">
        <x:v>2956</x:v>
      </x:c>
      <x:c r="AB198" s="55" t="n">
        <x:v>1108</x:v>
      </x:c>
      <x:c r="AC198" s="55" t="n">
        <x:v>8462</x:v>
      </x:c>
      <x:c r="AD198" s="55" t="n">
        <x:v>2675</x:v>
      </x:c>
      <x:c r="AE198" s="55" t="n">
        <x:v>11100</x:v>
      </x:c>
      <x:c r="AF198" s="55" t="n">
        <x:v>11039</x:v>
      </x:c>
      <x:c r="AG198" s="55" t="n">
        <x:v>61</x:v>
      </x:c>
      <x:c r="AH198" s="55" t="n">
        <x:v>707</x:v>
      </x:c>
      <x:c r="AI198" s="55" t="n">
        <x:v>10332</x:v>
      </x:c>
      <x:c r="AJ198" s="55" t="n">
        <x:v>493</x:v>
      </x:c>
      <x:c r="AK198" s="55" t="n">
        <x:v>883</x:v>
      </x:c>
      <x:c r="AL198" s="55" t="n">
        <x:v>1753</x:v>
      </x:c>
      <x:c r="AM198" s="55" t="n">
        <x:v>5369</x:v>
      </x:c>
      <x:c r="AN198" s="55" t="n">
        <x:v>2541</x:v>
      </x:c>
      <x:c r="AO198" s="55" t="n">
        <x:v>0</x:v>
      </x:c>
      <x:c r="AP198" s="55" t="n">
        <x:v>2402</x:v>
      </x:c>
      <x:c r="AQ198" s="55" t="n">
        <x:v>955</x:v>
      </x:c>
    </x:row>
    <x:row r="199">
      <x:c r="A199" s="54" t="str">
        <x:v>T2_CONCORDANT_DOMAIN</x:v>
      </x:c>
      <x:c r="B199" s="54" t="n">
        <x:v>193</x:v>
      </x:c>
      <x:c r="C199" s="54" t="str">
        <x:v>NYC-V2-R01</x:v>
      </x:c>
      <x:c r="D199" s="54" t="str">
        <x:v>V2</x:v>
      </x:c>
      <x:c r="E199" s="54" t="str">
        <x:v>ADMITTED</x:v>
      </x:c>
      <x:c r="F199" s="55" t="n">
        <x:v>29530</x:v>
      </x:c>
      <x:c r="G199" s="55" t="n">
        <x:v>5681</x:v>
      </x:c>
      <x:c r="H199" s="55" t="n">
        <x:v>2594</x:v>
      </x:c>
      <x:c r="I199" s="55" t="n">
        <x:v>482</x:v>
      </x:c>
      <x:c r="J199" s="55" t="n">
        <x:v>0</x:v>
      </x:c>
      <x:c r="K199" s="55" t="n">
        <x:v>29530</x:v>
      </x:c>
      <x:c r="L199" s="55" t="n">
        <x:v>3423</x:v>
      </x:c>
      <x:c r="M199" s="55" t="n">
        <x:v>192</x:v>
      </x:c>
      <x:c r="N199" s="55" t="n">
        <x:v>1730</x:v>
      </x:c>
      <x:c r="O199" s="55" t="n">
        <x:v>1501</x:v>
      </x:c>
      <x:c r="P199" s="55" t="n">
        <x:v>531</x:v>
      </x:c>
      <x:c r="Q199" s="55" t="n">
        <x:v>1921</x:v>
      </x:c>
      <x:c r="R199" s="55" t="n">
        <x:v>1651</x:v>
      </x:c>
      <x:c r="S199" s="55" t="n">
        <x:v>2673</x:v>
      </x:c>
      <x:c r="T199" s="55" t="n">
        <x:v>827</x:v>
      </x:c>
      <x:c r="U199" s="55" t="n">
        <x:v>1912</x:v>
      </x:c>
      <x:c r="V199" s="55" t="n">
        <x:v>10340</x:v>
      </x:c>
      <x:c r="W199" s="55" t="n">
        <x:v>7735</x:v>
      </x:c>
      <x:c r="X199" s="55" t="n">
        <x:v>2605</x:v>
      </x:c>
      <x:c r="Y199" s="55" t="n">
        <x:v>2127</x:v>
      </x:c>
      <x:c r="Z199" s="55" t="n">
        <x:v>3392</x:v>
      </x:c>
      <x:c r="AA199" s="55" t="n">
        <x:v>2594</x:v>
      </x:c>
      <x:c r="AB199" s="55" t="n">
        <x:v>447</x:v>
      </x:c>
      <x:c r="AC199" s="55" t="n">
        <x:v>6972</x:v>
      </x:c>
      <x:c r="AD199" s="55" t="n">
        <x:v>2261</x:v>
      </x:c>
      <x:c r="AE199" s="55" t="n">
        <x:v>10345</x:v>
      </x:c>
      <x:c r="AF199" s="55" t="n">
        <x:v>10340</x:v>
      </x:c>
      <x:c r="AG199" s="55" t="n">
        <x:v>5</x:v>
      </x:c>
      <x:c r="AH199" s="55" t="n">
        <x:v>277</x:v>
      </x:c>
      <x:c r="AI199" s="55" t="n">
        <x:v>10063</x:v>
      </x:c>
      <x:c r="AJ199" s="55" t="n">
        <x:v>254</x:v>
      </x:c>
      <x:c r="AK199" s="55" t="n">
        <x:v>1146</x:v>
      </x:c>
      <x:c r="AL199" s="55" t="n">
        <x:v>1661</x:v>
      </x:c>
      <x:c r="AM199" s="55" t="n">
        <x:v>4793</x:v>
      </x:c>
      <x:c r="AN199" s="55" t="n">
        <x:v>2486</x:v>
      </x:c>
      <x:c r="AO199" s="55" t="n">
        <x:v>0</x:v>
      </x:c>
      <x:c r="AP199" s="55" t="n">
        <x:v>1881</x:v>
      </x:c>
      <x:c r="AQ199" s="55" t="n">
        <x:v>898</x:v>
      </x:c>
    </x:row>
    <x:row r="200">
      <x:c r="A200" s="54" t="str">
        <x:v>T2_CONCORDANT_DOMAIN</x:v>
      </x:c>
      <x:c r="B200" s="54" t="n">
        <x:v>194</x:v>
      </x:c>
      <x:c r="C200" s="54" t="str">
        <x:v>NYC-V2-R01</x:v>
      </x:c>
      <x:c r="D200" s="54" t="str">
        <x:v>V2</x:v>
      </x:c>
      <x:c r="E200" s="54" t="str">
        <x:v>ADMITTED</x:v>
      </x:c>
      <x:c r="F200" s="55" t="n">
        <x:v>31788</x:v>
      </x:c>
      <x:c r="G200" s="55" t="n">
        <x:v>6996</x:v>
      </x:c>
      <x:c r="H200" s="55" t="n">
        <x:v>3294</x:v>
      </x:c>
      <x:c r="I200" s="55" t="n">
        <x:v>1297</x:v>
      </x:c>
      <x:c r="J200" s="55" t="n">
        <x:v>139</x:v>
      </x:c>
      <x:c r="K200" s="55" t="n">
        <x:v>31788</x:v>
      </x:c>
      <x:c r="L200" s="55" t="n">
        <x:v>6305</x:v>
      </x:c>
      <x:c r="M200" s="55" t="n">
        <x:v>1574</x:v>
      </x:c>
      <x:c r="N200" s="55" t="n">
        <x:v>3074</x:v>
      </x:c>
      <x:c r="O200" s="55" t="n">
        <x:v>1657</x:v>
      </x:c>
      <x:c r="P200" s="55" t="n">
        <x:v>841</x:v>
      </x:c>
      <x:c r="Q200" s="55" t="n">
        <x:v>2257</x:v>
      </x:c>
      <x:c r="R200" s="55" t="n">
        <x:v>2337</x:v>
      </x:c>
      <x:c r="S200" s="55" t="n">
        <x:v>3052</x:v>
      </x:c>
      <x:c r="T200" s="55" t="n">
        <x:v>1269</x:v>
      </x:c>
      <x:c r="U200" s="55" t="n">
        <x:v>1996</x:v>
      </x:c>
      <x:c r="V200" s="55" t="n">
        <x:v>10320</x:v>
      </x:c>
      <x:c r="W200" s="55" t="n">
        <x:v>7211</x:v>
      </x:c>
      <x:c r="X200" s="55" t="n">
        <x:v>3109</x:v>
      </x:c>
      <x:c r="Y200" s="55" t="n">
        <x:v>2555</x:v>
      </x:c>
      <x:c r="Z200" s="55" t="n">
        <x:v>3485</x:v>
      </x:c>
      <x:c r="AA200" s="55" t="n">
        <x:v>2860</x:v>
      </x:c>
      <x:c r="AB200" s="55" t="n">
        <x:v>963</x:v>
      </x:c>
      <x:c r="AC200" s="55" t="n">
        <x:v>7880</x:v>
      </x:c>
      <x:c r="AD200" s="55" t="n">
        <x:v>3040</x:v>
      </x:c>
      <x:c r="AE200" s="55" t="n">
        <x:v>10433</x:v>
      </x:c>
      <x:c r="AF200" s="55" t="n">
        <x:v>10320</x:v>
      </x:c>
      <x:c r="AG200" s="55" t="n">
        <x:v>113</x:v>
      </x:c>
      <x:c r="AH200" s="55" t="n">
        <x:v>510</x:v>
      </x:c>
      <x:c r="AI200" s="55" t="n">
        <x:v>9810</x:v>
      </x:c>
      <x:c r="AJ200" s="55" t="n">
        <x:v>481</x:v>
      </x:c>
      <x:c r="AK200" s="55" t="n">
        <x:v>1043</x:v>
      </x:c>
      <x:c r="AL200" s="55" t="n">
        <x:v>1081</x:v>
      </x:c>
      <x:c r="AM200" s="55" t="n">
        <x:v>5178</x:v>
      </x:c>
      <x:c r="AN200" s="55" t="n">
        <x:v>2537</x:v>
      </x:c>
      <x:c r="AO200" s="55" t="n">
        <x:v>0</x:v>
      </x:c>
      <x:c r="AP200" s="55" t="n">
        <x:v>2496</x:v>
      </x:c>
      <x:c r="AQ200" s="55" t="n">
        <x:v>969</x:v>
      </x:c>
    </x:row>
    <x:row r="201">
      <x:c r="A201" s="54" t="str">
        <x:v>T2_CONCORDANT_DOMAIN</x:v>
      </x:c>
      <x:c r="B201" s="54" t="n">
        <x:v>195</x:v>
      </x:c>
      <x:c r="C201" s="54" t="str">
        <x:v>NYC-V2-R01</x:v>
      </x:c>
      <x:c r="D201" s="54" t="str">
        <x:v>V2</x:v>
      </x:c>
      <x:c r="E201" s="54" t="str">
        <x:v>ADMITTED</x:v>
      </x:c>
      <x:c r="F201" s="55" t="n">
        <x:v>32250</x:v>
      </x:c>
      <x:c r="G201" s="55" t="n">
        <x:v>8065</x:v>
      </x:c>
      <x:c r="H201" s="55" t="n">
        <x:v>3318</x:v>
      </x:c>
      <x:c r="I201" s="55" t="n">
        <x:v>1314</x:v>
      </x:c>
      <x:c r="J201" s="55" t="n">
        <x:v>325</x:v>
      </x:c>
      <x:c r="K201" s="55" t="n">
        <x:v>32250</x:v>
      </x:c>
      <x:c r="L201" s="55" t="n">
        <x:v>6752</x:v>
      </x:c>
      <x:c r="M201" s="55" t="n">
        <x:v>1974</x:v>
      </x:c>
      <x:c r="N201" s="55" t="n">
        <x:v>2803</x:v>
      </x:c>
      <x:c r="O201" s="55" t="n">
        <x:v>1975</x:v>
      </x:c>
      <x:c r="P201" s="55" t="n">
        <x:v>781</x:v>
      </x:c>
      <x:c r="Q201" s="55" t="n">
        <x:v>2319</x:v>
      </x:c>
      <x:c r="R201" s="55" t="n">
        <x:v>2119</x:v>
      </x:c>
      <x:c r="S201" s="55" t="n">
        <x:v>2700</x:v>
      </x:c>
      <x:c r="T201" s="55" t="n">
        <x:v>1421</x:v>
      </x:c>
      <x:c r="U201" s="55" t="n">
        <x:v>2184</x:v>
      </x:c>
      <x:c r="V201" s="55" t="n">
        <x:v>10638</x:v>
      </x:c>
      <x:c r="W201" s="55" t="n">
        <x:v>7481</x:v>
      </x:c>
      <x:c r="X201" s="55" t="n">
        <x:v>3157</x:v>
      </x:c>
      <x:c r="Y201" s="55" t="n">
        <x:v>2746</x:v>
      </x:c>
      <x:c r="Z201" s="55" t="n">
        <x:v>3944</x:v>
      </x:c>
      <x:c r="AA201" s="55" t="n">
        <x:v>3318</x:v>
      </x:c>
      <x:c r="AB201" s="55" t="n">
        <x:v>1158</x:v>
      </x:c>
      <x:c r="AC201" s="55" t="n">
        <x:v>8272</x:v>
      </x:c>
      <x:c r="AD201" s="55" t="n">
        <x:v>2553</x:v>
      </x:c>
      <x:c r="AE201" s="55" t="n">
        <x:v>10782</x:v>
      </x:c>
      <x:c r="AF201" s="55" t="n">
        <x:v>10638</x:v>
      </x:c>
      <x:c r="AG201" s="55" t="n">
        <x:v>144</x:v>
      </x:c>
      <x:c r="AH201" s="55" t="n">
        <x:v>567</x:v>
      </x:c>
      <x:c r="AI201" s="55" t="n">
        <x:v>10071</x:v>
      </x:c>
      <x:c r="AJ201" s="55" t="n">
        <x:v>408</x:v>
      </x:c>
      <x:c r="AK201" s="55" t="n">
        <x:v>1200</x:v>
      </x:c>
      <x:c r="AL201" s="55" t="n">
        <x:v>1492</x:v>
      </x:c>
      <x:c r="AM201" s="55" t="n">
        <x:v>4601</x:v>
      </x:c>
      <x:c r="AN201" s="55" t="n">
        <x:v>2930</x:v>
      </x:c>
      <x:c r="AO201" s="55" t="n">
        <x:v>7</x:v>
      </x:c>
      <x:c r="AP201" s="55" t="n">
        <x:v>2908</x:v>
      </x:c>
      <x:c r="AQ201" s="55" t="n">
        <x:v>955</x:v>
      </x:c>
    </x:row>
    <x:row r="202">
      <x:c r="A202" s="54" t="str">
        <x:v>T2_CONCORDANT_DOMAIN</x:v>
      </x:c>
      <x:c r="B202" s="54" t="n">
        <x:v>196</x:v>
      </x:c>
      <x:c r="C202" s="54" t="str">
        <x:v>NYC-V2-R01</x:v>
      </x:c>
      <x:c r="D202" s="54" t="str">
        <x:v>V2</x:v>
      </x:c>
      <x:c r="E202" s="54" t="str">
        <x:v>ADMITTED</x:v>
      </x:c>
      <x:c r="F202" s="55" t="n">
        <x:v>31838</x:v>
      </x:c>
      <x:c r="G202" s="55" t="n">
        <x:v>8865</x:v>
      </x:c>
      <x:c r="H202" s="55" t="n">
        <x:v>3255</x:v>
      </x:c>
      <x:c r="I202" s="55" t="n">
        <x:v>1752</x:v>
      </x:c>
      <x:c r="J202" s="55" t="n">
        <x:v>333</x:v>
      </x:c>
      <x:c r="K202" s="55" t="n">
        <x:v>31773</x:v>
      </x:c>
      <x:c r="L202" s="55" t="n">
        <x:v>5549</x:v>
      </x:c>
      <x:c r="M202" s="55" t="n">
        <x:v>1304</x:v>
      </x:c>
      <x:c r="N202" s="55" t="n">
        <x:v>2579</x:v>
      </x:c>
      <x:c r="O202" s="55" t="n">
        <x:v>1666</x:v>
      </x:c>
      <x:c r="P202" s="55" t="n">
        <x:v>851</x:v>
      </x:c>
      <x:c r="Q202" s="55" t="n">
        <x:v>2932</x:v>
      </x:c>
      <x:c r="R202" s="55" t="n">
        <x:v>2484</x:v>
      </x:c>
      <x:c r="S202" s="55" t="n">
        <x:v>2991</x:v>
      </x:c>
      <x:c r="T202" s="55" t="n">
        <x:v>1457</x:v>
      </x:c>
      <x:c r="U202" s="55" t="n">
        <x:v>1948</x:v>
      </x:c>
      <x:c r="V202" s="55" t="n">
        <x:v>10808</x:v>
      </x:c>
      <x:c r="W202" s="55" t="n">
        <x:v>7238</x:v>
      </x:c>
      <x:c r="X202" s="55" t="n">
        <x:v>3570</x:v>
      </x:c>
      <x:c r="Y202" s="55" t="n">
        <x:v>3196</x:v>
      </x:c>
      <x:c r="Z202" s="55" t="n">
        <x:v>3327</x:v>
      </x:c>
      <x:c r="AA202" s="55" t="n">
        <x:v>2825</x:v>
      </x:c>
      <x:c r="AB202" s="55" t="n">
        <x:v>839</x:v>
      </x:c>
      <x:c r="AC202" s="55" t="n">
        <x:v>8007</x:v>
      </x:c>
      <x:c r="AD202" s="55" t="n">
        <x:v>2959</x:v>
      </x:c>
      <x:c r="AE202" s="55" t="n">
        <x:v>10905</x:v>
      </x:c>
      <x:c r="AF202" s="55" t="n">
        <x:v>10808</x:v>
      </x:c>
      <x:c r="AG202" s="55" t="n">
        <x:v>97</x:v>
      </x:c>
      <x:c r="AH202" s="55" t="n">
        <x:v>499</x:v>
      </x:c>
      <x:c r="AI202" s="55" t="n">
        <x:v>10309</x:v>
      </x:c>
      <x:c r="AJ202" s="55" t="n">
        <x:v>471</x:v>
      </x:c>
      <x:c r="AK202" s="55" t="n">
        <x:v>1122</x:v>
      </x:c>
      <x:c r="AL202" s="55" t="n">
        <x:v>1694</x:v>
      </x:c>
      <x:c r="AM202" s="55" t="n">
        <x:v>5138</x:v>
      </x:c>
      <x:c r="AN202" s="55" t="n">
        <x:v>2336</x:v>
      </x:c>
      <x:c r="AO202" s="55" t="n">
        <x:v>47</x:v>
      </x:c>
      <x:c r="AP202" s="55" t="n">
        <x:v>2461</x:v>
      </x:c>
      <x:c r="AQ202" s="55" t="n">
        <x:v>958</x:v>
      </x:c>
    </x:row>
    <x:row r="203">
      <x:c r="A203" s="54" t="str">
        <x:v>T2_CONCORDANT_DOMAIN</x:v>
      </x:c>
      <x:c r="B203" s="54" t="n">
        <x:v>197</x:v>
      </x:c>
      <x:c r="C203" s="54" t="str">
        <x:v>NYC-V2-R01</x:v>
      </x:c>
      <x:c r="D203" s="54" t="str">
        <x:v>V2</x:v>
      </x:c>
      <x:c r="E203" s="54" t="str">
        <x:v>ADMITTED</x:v>
      </x:c>
      <x:c r="F203" s="55" t="n">
        <x:v>30467</x:v>
      </x:c>
      <x:c r="G203" s="55" t="n">
        <x:v>7873</x:v>
      </x:c>
      <x:c r="H203" s="55" t="n">
        <x:v>3147</x:v>
      </x:c>
      <x:c r="I203" s="55" t="n">
        <x:v>1097</x:v>
      </x:c>
      <x:c r="J203" s="55" t="n">
        <x:v>94</x:v>
      </x:c>
      <x:c r="K203" s="55" t="n">
        <x:v>29467</x:v>
      </x:c>
      <x:c r="L203" s="55" t="n">
        <x:v>4896</x:v>
      </x:c>
      <x:c r="M203" s="55" t="n">
        <x:v>441</x:v>
      </x:c>
      <x:c r="N203" s="55" t="n">
        <x:v>2786</x:v>
      </x:c>
      <x:c r="O203" s="55" t="n">
        <x:v>1669</x:v>
      </x:c>
      <x:c r="P203" s="55" t="n">
        <x:v>343</x:v>
      </x:c>
      <x:c r="Q203" s="55" t="n">
        <x:v>2237</x:v>
      </x:c>
      <x:c r="R203" s="55" t="n">
        <x:v>2068</x:v>
      </x:c>
      <x:c r="S203" s="55" t="n">
        <x:v>2581</x:v>
      </x:c>
      <x:c r="T203" s="55" t="n">
        <x:v>1210</x:v>
      </x:c>
      <x:c r="U203" s="55" t="n">
        <x:v>1801</x:v>
      </x:c>
      <x:c r="V203" s="55" t="n">
        <x:v>10206</x:v>
      </x:c>
      <x:c r="W203" s="55" t="n">
        <x:v>7502</x:v>
      </x:c>
      <x:c r="X203" s="55" t="n">
        <x:v>2704</x:v>
      </x:c>
      <x:c r="Y203" s="55" t="n">
        <x:v>2431</x:v>
      </x:c>
      <x:c r="Z203" s="55" t="n">
        <x:v>3816</x:v>
      </x:c>
      <x:c r="AA203" s="55" t="n">
        <x:v>2736</x:v>
      </x:c>
      <x:c r="AB203" s="55" t="n">
        <x:v>885</x:v>
      </x:c>
      <x:c r="AC203" s="55" t="n">
        <x:v>7881</x:v>
      </x:c>
      <x:c r="AD203" s="55" t="n">
        <x:v>2803</x:v>
      </x:c>
      <x:c r="AE203" s="55" t="n">
        <x:v>10258</x:v>
      </x:c>
      <x:c r="AF203" s="55" t="n">
        <x:v>10206</x:v>
      </x:c>
      <x:c r="AG203" s="55" t="n">
        <x:v>52</x:v>
      </x:c>
      <x:c r="AH203" s="55" t="n">
        <x:v>206</x:v>
      </x:c>
      <x:c r="AI203" s="55" t="n">
        <x:v>10000</x:v>
      </x:c>
      <x:c r="AJ203" s="55" t="n">
        <x:v>298</x:v>
      </x:c>
      <x:c r="AK203" s="55" t="n">
        <x:v>630</x:v>
      </x:c>
      <x:c r="AL203" s="55" t="n">
        <x:v>1681</x:v>
      </x:c>
      <x:c r="AM203" s="55" t="n">
        <x:v>4747</x:v>
      </x:c>
      <x:c r="AN203" s="55" t="n">
        <x:v>2780</x:v>
      </x:c>
      <x:c r="AO203" s="55" t="n">
        <x:v>70</x:v>
      </x:c>
      <x:c r="AP203" s="55" t="n">
        <x:v>2132</x:v>
      </x:c>
      <x:c r="AQ203" s="55" t="n">
        <x:v>936</x:v>
      </x:c>
    </x:row>
    <x:row r="204">
      <x:c r="A204" s="54" t="str">
        <x:v>T2_CONCORDANT_DOMAIN</x:v>
      </x:c>
      <x:c r="B204" s="54" t="n">
        <x:v>198</x:v>
      </x:c>
      <x:c r="C204" s="54" t="str">
        <x:v>NYC-V2-R01</x:v>
      </x:c>
      <x:c r="D204" s="54" t="str">
        <x:v>V2</x:v>
      </x:c>
      <x:c r="E204" s="54" t="str">
        <x:v>ADMITTED</x:v>
      </x:c>
      <x:c r="F204" s="55" t="n">
        <x:v>31129</x:v>
      </x:c>
      <x:c r="G204" s="55" t="n">
        <x:v>6948</x:v>
      </x:c>
      <x:c r="H204" s="55" t="n">
        <x:v>2998</x:v>
      </x:c>
      <x:c r="I204" s="55" t="n">
        <x:v>1035</x:v>
      </x:c>
      <x:c r="J204" s="55" t="n">
        <x:v>112</x:v>
      </x:c>
      <x:c r="K204" s="55" t="n">
        <x:v>31129</x:v>
      </x:c>
      <x:c r="L204" s="55" t="n">
        <x:v>4544</x:v>
      </x:c>
      <x:c r="M204" s="55" t="n">
        <x:v>480</x:v>
      </x:c>
      <x:c r="N204" s="55" t="n">
        <x:v>2569</x:v>
      </x:c>
      <x:c r="O204" s="55" t="n">
        <x:v>1495</x:v>
      </x:c>
      <x:c r="P204" s="55" t="n">
        <x:v>737</x:v>
      </x:c>
      <x:c r="Q204" s="55" t="n">
        <x:v>1865</x:v>
      </x:c>
      <x:c r="R204" s="55" t="n">
        <x:v>1779</x:v>
      </x:c>
      <x:c r="S204" s="55" t="n">
        <x:v>2892</x:v>
      </x:c>
      <x:c r="T204" s="55" t="n">
        <x:v>1101</x:v>
      </x:c>
      <x:c r="U204" s="55" t="n">
        <x:v>1461</x:v>
      </x:c>
      <x:c r="V204" s="55" t="n">
        <x:v>9950</x:v>
      </x:c>
      <x:c r="W204" s="55" t="n">
        <x:v>7438</x:v>
      </x:c>
      <x:c r="X204" s="55" t="n">
        <x:v>2512</x:v>
      </x:c>
      <x:c r="Y204" s="55" t="n">
        <x:v>1879</x:v>
      </x:c>
      <x:c r="Z204" s="55" t="n">
        <x:v>3329</x:v>
      </x:c>
      <x:c r="AA204" s="55" t="n">
        <x:v>2456</x:v>
      </x:c>
      <x:c r="AB204" s="55" t="n">
        <x:v>757</x:v>
      </x:c>
      <x:c r="AC204" s="55" t="n">
        <x:v>7655</x:v>
      </x:c>
      <x:c r="AD204" s="55" t="n">
        <x:v>1932</x:v>
      </x:c>
      <x:c r="AE204" s="55" t="n">
        <x:v>10019</x:v>
      </x:c>
      <x:c r="AF204" s="55" t="n">
        <x:v>9950</x:v>
      </x:c>
      <x:c r="AG204" s="55" t="n">
        <x:v>69</x:v>
      </x:c>
      <x:c r="AH204" s="55" t="n">
        <x:v>346</x:v>
      </x:c>
      <x:c r="AI204" s="55" t="n">
        <x:v>9604</x:v>
      </x:c>
      <x:c r="AJ204" s="55" t="n">
        <x:v>206</x:v>
      </x:c>
      <x:c r="AK204" s="55" t="n">
        <x:v>1020</x:v>
      </x:c>
      <x:c r="AL204" s="55" t="n">
        <x:v>1627</x:v>
      </x:c>
      <x:c r="AM204" s="55" t="n">
        <x:v>4514</x:v>
      </x:c>
      <x:c r="AN204" s="55" t="n">
        <x:v>2583</x:v>
      </x:c>
      <x:c r="AO204" s="55" t="n">
        <x:v>0</x:v>
      </x:c>
      <x:c r="AP204" s="55" t="n">
        <x:v>1669</x:v>
      </x:c>
      <x:c r="AQ204" s="55" t="n">
        <x:v>960</x:v>
      </x:c>
    </x:row>
    <x:row r="205">
      <x:c r="A205" s="54" t="str">
        <x:v>T2_CONCORDANT_DOMAIN</x:v>
      </x:c>
      <x:c r="B205" s="54" t="n">
        <x:v>199</x:v>
      </x:c>
      <x:c r="C205" s="54" t="str">
        <x:v>NYC-V2-R01</x:v>
      </x:c>
      <x:c r="D205" s="54" t="str">
        <x:v>V2</x:v>
      </x:c>
      <x:c r="E205" s="54" t="str">
        <x:v>ADMITTED</x:v>
      </x:c>
      <x:c r="F205" s="55" t="n">
        <x:v>32659</x:v>
      </x:c>
      <x:c r="G205" s="55" t="n">
        <x:v>8761</x:v>
      </x:c>
      <x:c r="H205" s="55" t="n">
        <x:v>3570</x:v>
      </x:c>
      <x:c r="I205" s="55" t="n">
        <x:v>1507</x:v>
      </x:c>
      <x:c r="J205" s="55" t="n">
        <x:v>209</x:v>
      </x:c>
      <x:c r="K205" s="55" t="n">
        <x:v>30157</x:v>
      </x:c>
      <x:c r="L205" s="55" t="n">
        <x:v>6929</x:v>
      </x:c>
      <x:c r="M205" s="55" t="n">
        <x:v>2063</x:v>
      </x:c>
      <x:c r="N205" s="55" t="n">
        <x:v>2990</x:v>
      </x:c>
      <x:c r="O205" s="55" t="n">
        <x:v>1876</x:v>
      </x:c>
      <x:c r="P205" s="55" t="n">
        <x:v>938</x:v>
      </x:c>
      <x:c r="Q205" s="55" t="n">
        <x:v>2113</x:v>
      </x:c>
      <x:c r="R205" s="55" t="n">
        <x:v>2133</x:v>
      </x:c>
      <x:c r="S205" s="55" t="n">
        <x:v>3041</x:v>
      </x:c>
      <x:c r="T205" s="55" t="n">
        <x:v>1594</x:v>
      </x:c>
      <x:c r="U205" s="55" t="n">
        <x:v>2231</x:v>
      </x:c>
      <x:c r="V205" s="55" t="n">
        <x:v>10335</x:v>
      </x:c>
      <x:c r="W205" s="55" t="n">
        <x:v>6729</x:v>
      </x:c>
      <x:c r="X205" s="55" t="n">
        <x:v>3606</x:v>
      </x:c>
      <x:c r="Y205" s="55" t="n">
        <x:v>3121</x:v>
      </x:c>
      <x:c r="Z205" s="55" t="n">
        <x:v>4436</x:v>
      </x:c>
      <x:c r="AA205" s="55" t="n">
        <x:v>3173</x:v>
      </x:c>
      <x:c r="AB205" s="55" t="n">
        <x:v>1310</x:v>
      </x:c>
      <x:c r="AC205" s="55" t="n">
        <x:v>8369</x:v>
      </x:c>
      <x:c r="AD205" s="55" t="n">
        <x:v>3371</x:v>
      </x:c>
      <x:c r="AE205" s="55" t="n">
        <x:v>10487</x:v>
      </x:c>
      <x:c r="AF205" s="55" t="n">
        <x:v>10335</x:v>
      </x:c>
      <x:c r="AG205" s="55" t="n">
        <x:v>152</x:v>
      </x:c>
      <x:c r="AH205" s="55" t="n">
        <x:v>410</x:v>
      </x:c>
      <x:c r="AI205" s="55" t="n">
        <x:v>9925</x:v>
      </x:c>
      <x:c r="AJ205" s="55" t="n">
        <x:v>302</x:v>
      </x:c>
      <x:c r="AK205" s="55" t="n">
        <x:v>1159</x:v>
      </x:c>
      <x:c r="AL205" s="55" t="n">
        <x:v>1423</x:v>
      </x:c>
      <x:c r="AM205" s="55" t="n">
        <x:v>4924</x:v>
      </x:c>
      <x:c r="AN205" s="55" t="n">
        <x:v>2527</x:v>
      </x:c>
      <x:c r="AO205" s="55" t="n">
        <x:v>0</x:v>
      </x:c>
      <x:c r="AP205" s="55" t="n">
        <x:v>2740</x:v>
      </x:c>
      <x:c r="AQ205" s="55" t="n">
        <x:v>960</x:v>
      </x:c>
    </x:row>
    <x:row r="206">
      <x:c r="A206" s="54" t="str">
        <x:v>T2_CONCORDANT_DOMAIN</x:v>
      </x:c>
      <x:c r="B206" s="54" t="n">
        <x:v>200</x:v>
      </x:c>
      <x:c r="C206" s="54" t="str">
        <x:v>NYC-V2-R01</x:v>
      </x:c>
      <x:c r="D206" s="54" t="str">
        <x:v>V2</x:v>
      </x:c>
      <x:c r="E206" s="54" t="str">
        <x:v>ADMITTED</x:v>
      </x:c>
      <x:c r="F206" s="55" t="n">
        <x:v>32476</x:v>
      </x:c>
      <x:c r="G206" s="55" t="n">
        <x:v>8042</x:v>
      </x:c>
      <x:c r="H206" s="55" t="n">
        <x:v>3092</x:v>
      </x:c>
      <x:c r="I206" s="55" t="n">
        <x:v>958</x:v>
      </x:c>
      <x:c r="J206" s="55" t="n">
        <x:v>160</x:v>
      </x:c>
      <x:c r="K206" s="55" t="n">
        <x:v>32476</x:v>
      </x:c>
      <x:c r="L206" s="55" t="n">
        <x:v>6181</x:v>
      </x:c>
      <x:c r="M206" s="55" t="n">
        <x:v>1467</x:v>
      </x:c>
      <x:c r="N206" s="55" t="n">
        <x:v>2862</x:v>
      </x:c>
      <x:c r="O206" s="55" t="n">
        <x:v>1852</x:v>
      </x:c>
      <x:c r="P206" s="55" t="n">
        <x:v>760</x:v>
      </x:c>
      <x:c r="Q206" s="55" t="n">
        <x:v>2495</x:v>
      </x:c>
      <x:c r="R206" s="55" t="n">
        <x:v>1601</x:v>
      </x:c>
      <x:c r="S206" s="55" t="n">
        <x:v>2928</x:v>
      </x:c>
      <x:c r="T206" s="55" t="n">
        <x:v>1442</x:v>
      </x:c>
      <x:c r="U206" s="55" t="n">
        <x:v>1663</x:v>
      </x:c>
      <x:c r="V206" s="55" t="n">
        <x:v>9997</x:v>
      </x:c>
      <x:c r="W206" s="55" t="n">
        <x:v>7283</x:v>
      </x:c>
      <x:c r="X206" s="55" t="n">
        <x:v>2714</x:v>
      </x:c>
      <x:c r="Y206" s="55" t="n">
        <x:v>2318</x:v>
      </x:c>
      <x:c r="Z206" s="55" t="n">
        <x:v>3769</x:v>
      </x:c>
      <x:c r="AA206" s="55" t="n">
        <x:v>2754</x:v>
      </x:c>
      <x:c r="AB206" s="55" t="n">
        <x:v>851</x:v>
      </x:c>
      <x:c r="AC206" s="55" t="n">
        <x:v>7469</x:v>
      </x:c>
      <x:c r="AD206" s="55" t="n">
        <x:v>2956</x:v>
      </x:c>
      <x:c r="AE206" s="55" t="n">
        <x:v>10004</x:v>
      </x:c>
      <x:c r="AF206" s="55" t="n">
        <x:v>9997</x:v>
      </x:c>
      <x:c r="AG206" s="55" t="n">
        <x:v>7</x:v>
      </x:c>
      <x:c r="AH206" s="55" t="n">
        <x:v>395</x:v>
      </x:c>
      <x:c r="AI206" s="55" t="n">
        <x:v>9602</x:v>
      </x:c>
      <x:c r="AJ206" s="55" t="n">
        <x:v>341</x:v>
      </x:c>
      <x:c r="AK206" s="55" t="n">
        <x:v>605</x:v>
      </x:c>
      <x:c r="AL206" s="55" t="n">
        <x:v>1293</x:v>
      </x:c>
      <x:c r="AM206" s="55" t="n">
        <x:v>4857</x:v>
      </x:c>
      <x:c r="AN206" s="55" t="n">
        <x:v>2901</x:v>
      </x:c>
      <x:c r="AO206" s="55" t="n">
        <x:v>0</x:v>
      </x:c>
      <x:c r="AP206" s="55" t="n">
        <x:v>2279</x:v>
      </x:c>
      <x:c r="AQ206" s="55" t="n">
        <x:v>993</x:v>
      </x:c>
    </x:row>
    <x:row r="207">
      <x:c r="A207" s="54" t="str">
        <x:v>T2_CONCORDANT_DOMAIN</x:v>
      </x:c>
      <x:c r="B207" s="54" t="n">
        <x:v>201</x:v>
      </x:c>
      <x:c r="C207" s="54" t="str">
        <x:v>NYC-V2-R01</x:v>
      </x:c>
      <x:c r="D207" s="54" t="str">
        <x:v>V2</x:v>
      </x:c>
      <x:c r="E207" s="54" t="str">
        <x:v>ADMITTED</x:v>
      </x:c>
      <x:c r="F207" s="55" t="n">
        <x:v>30105</x:v>
      </x:c>
      <x:c r="G207" s="55" t="n">
        <x:v>7595</x:v>
      </x:c>
      <x:c r="H207" s="55" t="n">
        <x:v>2903</x:v>
      </x:c>
      <x:c r="I207" s="55" t="n">
        <x:v>1172</x:v>
      </x:c>
      <x:c r="J207" s="55" t="n">
        <x:v>390</x:v>
      </x:c>
      <x:c r="K207" s="55" t="n">
        <x:v>29770</x:v>
      </x:c>
      <x:c r="L207" s="55" t="n">
        <x:v>6225</x:v>
      </x:c>
      <x:c r="M207" s="55" t="n">
        <x:v>1415</x:v>
      </x:c>
      <x:c r="N207" s="55" t="n">
        <x:v>2693</x:v>
      </x:c>
      <x:c r="O207" s="55" t="n">
        <x:v>2117</x:v>
      </x:c>
      <x:c r="P207" s="55" t="n">
        <x:v>778</x:v>
      </x:c>
      <x:c r="Q207" s="55" t="n">
        <x:v>2216</x:v>
      </x:c>
      <x:c r="R207" s="55" t="n">
        <x:v>2232</x:v>
      </x:c>
      <x:c r="S207" s="55" t="n">
        <x:v>3269</x:v>
      </x:c>
      <x:c r="T207" s="55" t="n">
        <x:v>1507</x:v>
      </x:c>
      <x:c r="U207" s="55" t="n">
        <x:v>2150</x:v>
      </x:c>
      <x:c r="V207" s="55" t="n">
        <x:v>10550</x:v>
      </x:c>
      <x:c r="W207" s="55" t="n">
        <x:v>7099</x:v>
      </x:c>
      <x:c r="X207" s="55" t="n">
        <x:v>3451</x:v>
      </x:c>
      <x:c r="Y207" s="55" t="n">
        <x:v>3124</x:v>
      </x:c>
      <x:c r="Z207" s="55" t="n">
        <x:v>3358</x:v>
      </x:c>
      <x:c r="AA207" s="55" t="n">
        <x:v>2794</x:v>
      </x:c>
      <x:c r="AB207" s="55" t="n">
        <x:v>878</x:v>
      </x:c>
      <x:c r="AC207" s="55" t="n">
        <x:v>8334</x:v>
      </x:c>
      <x:c r="AD207" s="55" t="n">
        <x:v>3148</x:v>
      </x:c>
      <x:c r="AE207" s="55" t="n">
        <x:v>10676</x:v>
      </x:c>
      <x:c r="AF207" s="55" t="n">
        <x:v>10550</x:v>
      </x:c>
      <x:c r="AG207" s="55" t="n">
        <x:v>126</x:v>
      </x:c>
      <x:c r="AH207" s="55" t="n">
        <x:v>545</x:v>
      </x:c>
      <x:c r="AI207" s="55" t="n">
        <x:v>10005</x:v>
      </x:c>
      <x:c r="AJ207" s="55" t="n">
        <x:v>226</x:v>
      </x:c>
      <x:c r="AK207" s="55" t="n">
        <x:v>1021</x:v>
      </x:c>
      <x:c r="AL207" s="55" t="n">
        <x:v>1627</x:v>
      </x:c>
      <x:c r="AM207" s="55" t="n">
        <x:v>4750</x:v>
      </x:c>
      <x:c r="AN207" s="55" t="n">
        <x:v>2926</x:v>
      </x:c>
      <x:c r="AO207" s="55" t="n">
        <x:v>0</x:v>
      </x:c>
      <x:c r="AP207" s="55" t="n">
        <x:v>2406</x:v>
      </x:c>
      <x:c r="AQ207" s="55" t="n">
        <x:v>971</x:v>
      </x:c>
    </x:row>
    <x:row r="208">
      <x:c r="A208" s="54" t="str">
        <x:v>T2_CONCORDANT_DOMAIN</x:v>
      </x:c>
      <x:c r="B208" s="54" t="n">
        <x:v>202</x:v>
      </x:c>
      <x:c r="C208" s="54" t="str">
        <x:v>NYC-V2-R01</x:v>
      </x:c>
      <x:c r="D208" s="54" t="str">
        <x:v>V2</x:v>
      </x:c>
      <x:c r="E208" s="54" t="str">
        <x:v>ADMITTED</x:v>
      </x:c>
      <x:c r="F208" s="55" t="n">
        <x:v>31963</x:v>
      </x:c>
      <x:c r="G208" s="55" t="n">
        <x:v>8854</x:v>
      </x:c>
      <x:c r="H208" s="55" t="n">
        <x:v>3110</x:v>
      </x:c>
      <x:c r="I208" s="55" t="n">
        <x:v>1529</x:v>
      </x:c>
      <x:c r="J208" s="55" t="n">
        <x:v>60</x:v>
      </x:c>
      <x:c r="K208" s="55" t="n">
        <x:v>29569</x:v>
      </x:c>
      <x:c r="L208" s="55" t="n">
        <x:v>4379</x:v>
      </x:c>
      <x:c r="M208" s="55" t="n">
        <x:v>876</x:v>
      </x:c>
      <x:c r="N208" s="55" t="n">
        <x:v>1829</x:v>
      </x:c>
      <x:c r="O208" s="55" t="n">
        <x:v>1674</x:v>
      </x:c>
      <x:c r="P208" s="55" t="n">
        <x:v>356</x:v>
      </x:c>
      <x:c r="Q208" s="55" t="n">
        <x:v>2426</x:v>
      </x:c>
      <x:c r="R208" s="55" t="n">
        <x:v>1721</x:v>
      </x:c>
      <x:c r="S208" s="55" t="n">
        <x:v>2094</x:v>
      </x:c>
      <x:c r="T208" s="55" t="n">
        <x:v>1087</x:v>
      </x:c>
      <x:c r="U208" s="55" t="n">
        <x:v>1158</x:v>
      </x:c>
      <x:c r="V208" s="55" t="n">
        <x:v>10038</x:v>
      </x:c>
      <x:c r="W208" s="55" t="n">
        <x:v>7435</x:v>
      </x:c>
      <x:c r="X208" s="55" t="n">
        <x:v>2603</x:v>
      </x:c>
      <x:c r="Y208" s="55" t="n">
        <x:v>2247</x:v>
      </x:c>
      <x:c r="Z208" s="55" t="n">
        <x:v>3237</x:v>
      </x:c>
      <x:c r="AA208" s="55" t="n">
        <x:v>2945</x:v>
      </x:c>
      <x:c r="AB208" s="55" t="n">
        <x:v>954</x:v>
      </x:c>
      <x:c r="AC208" s="55" t="n">
        <x:v>7346</x:v>
      </x:c>
      <x:c r="AD208" s="55" t="n">
        <x:v>1871</x:v>
      </x:c>
      <x:c r="AE208" s="55" t="n">
        <x:v>10071</x:v>
      </x:c>
      <x:c r="AF208" s="55" t="n">
        <x:v>10038</x:v>
      </x:c>
      <x:c r="AG208" s="55" t="n">
        <x:v>33</x:v>
      </x:c>
      <x:c r="AH208" s="55" t="n">
        <x:v>295</x:v>
      </x:c>
      <x:c r="AI208" s="55" t="n">
        <x:v>9743</x:v>
      </x:c>
      <x:c r="AJ208" s="55" t="n">
        <x:v>186</x:v>
      </x:c>
      <x:c r="AK208" s="55" t="n">
        <x:v>655</x:v>
      </x:c>
      <x:c r="AL208" s="55" t="n">
        <x:v>1379</x:v>
      </x:c>
      <x:c r="AM208" s="55" t="n">
        <x:v>4938</x:v>
      </x:c>
      <x:c r="AN208" s="55" t="n">
        <x:v>2880</x:v>
      </x:c>
      <x:c r="AO208" s="55" t="n">
        <x:v>0</x:v>
      </x:c>
      <x:c r="AP208" s="55" t="n">
        <x:v>1915</x:v>
      </x:c>
      <x:c r="AQ208" s="55" t="n">
        <x:v>926</x:v>
      </x:c>
    </x:row>
    <x:row r="209">
      <x:c r="A209" s="54" t="str">
        <x:v>T2_CONCORDANT_DOMAIN</x:v>
      </x:c>
      <x:c r="B209" s="54" t="n">
        <x:v>203</x:v>
      </x:c>
      <x:c r="C209" s="54" t="str">
        <x:v>NYC-V2-R01</x:v>
      </x:c>
      <x:c r="D209" s="54" t="str">
        <x:v>V2</x:v>
      </x:c>
      <x:c r="E209" s="54" t="str">
        <x:v>ADMITTED</x:v>
      </x:c>
      <x:c r="F209" s="55" t="n">
        <x:v>32661</x:v>
      </x:c>
      <x:c r="G209" s="55" t="n">
        <x:v>7074</x:v>
      </x:c>
      <x:c r="H209" s="55" t="n">
        <x:v>3012</x:v>
      </x:c>
      <x:c r="I209" s="55" t="n">
        <x:v>620</x:v>
      </x:c>
      <x:c r="J209" s="55" t="n">
        <x:v>0</x:v>
      </x:c>
      <x:c r="K209" s="55" t="n">
        <x:v>32661</x:v>
      </x:c>
      <x:c r="L209" s="55" t="n">
        <x:v>5850</x:v>
      </x:c>
      <x:c r="M209" s="55" t="n">
        <x:v>1282</x:v>
      </x:c>
      <x:c r="N209" s="55" t="n">
        <x:v>2792</x:v>
      </x:c>
      <x:c r="O209" s="55" t="n">
        <x:v>1776</x:v>
      </x:c>
      <x:c r="P209" s="55" t="n">
        <x:v>870</x:v>
      </x:c>
      <x:c r="Q209" s="55" t="n">
        <x:v>2297</x:v>
      </x:c>
      <x:c r="R209" s="55" t="n">
        <x:v>1513</x:v>
      </x:c>
      <x:c r="S209" s="55" t="n">
        <x:v>2664</x:v>
      </x:c>
      <x:c r="T209" s="55" t="n">
        <x:v>1236</x:v>
      </x:c>
      <x:c r="U209" s="55" t="n">
        <x:v>1791</x:v>
      </x:c>
      <x:c r="V209" s="55" t="n">
        <x:v>10072</x:v>
      </x:c>
      <x:c r="W209" s="55" t="n">
        <x:v>7119</x:v>
      </x:c>
      <x:c r="X209" s="55" t="n">
        <x:v>2953</x:v>
      </x:c>
      <x:c r="Y209" s="55" t="n">
        <x:v>2558</x:v>
      </x:c>
      <x:c r="Z209" s="55" t="n">
        <x:v>3917</x:v>
      </x:c>
      <x:c r="AA209" s="55" t="n">
        <x:v>3012</x:v>
      </x:c>
      <x:c r="AB209" s="55" t="n">
        <x:v>924</x:v>
      </x:c>
      <x:c r="AC209" s="55" t="n">
        <x:v>8210</x:v>
      </x:c>
      <x:c r="AD209" s="55" t="n">
        <x:v>2458</x:v>
      </x:c>
      <x:c r="AE209" s="55" t="n">
        <x:v>10085</x:v>
      </x:c>
      <x:c r="AF209" s="55" t="n">
        <x:v>10072</x:v>
      </x:c>
      <x:c r="AG209" s="55" t="n">
        <x:v>13</x:v>
      </x:c>
      <x:c r="AH209" s="55" t="n">
        <x:v>313</x:v>
      </x:c>
      <x:c r="AI209" s="55" t="n">
        <x:v>9759</x:v>
      </x:c>
      <x:c r="AJ209" s="55" t="n">
        <x:v>141</x:v>
      </x:c>
      <x:c r="AK209" s="55" t="n">
        <x:v>869</x:v>
      </x:c>
      <x:c r="AL209" s="55" t="n">
        <x:v>1472</x:v>
      </x:c>
      <x:c r="AM209" s="55" t="n">
        <x:v>4705</x:v>
      </x:c>
      <x:c r="AN209" s="55" t="n">
        <x:v>2883</x:v>
      </x:c>
      <x:c r="AO209" s="55" t="n">
        <x:v>2</x:v>
      </x:c>
      <x:c r="AP209" s="55" t="n">
        <x:v>1782</x:v>
      </x:c>
      <x:c r="AQ209" s="55" t="n">
        <x:v>946</x:v>
      </x:c>
    </x:row>
    <x:row r="210">
      <x:c r="A210" s="54" t="str">
        <x:v>T2_CONCORDANT_DOMAIN</x:v>
      </x:c>
      <x:c r="B210" s="54" t="n">
        <x:v>204</x:v>
      </x:c>
      <x:c r="C210" s="54" t="str">
        <x:v>NYC-V2-R01</x:v>
      </x:c>
      <x:c r="D210" s="54" t="str">
        <x:v>V2</x:v>
      </x:c>
      <x:c r="E210" s="54" t="str">
        <x:v>ADMITTED</x:v>
      </x:c>
      <x:c r="F210" s="55" t="n">
        <x:v>30610</x:v>
      </x:c>
      <x:c r="G210" s="55" t="n">
        <x:v>7447</x:v>
      </x:c>
      <x:c r="H210" s="55" t="n">
        <x:v>3339</x:v>
      </x:c>
      <x:c r="I210" s="55" t="n">
        <x:v>1655</x:v>
      </x:c>
      <x:c r="J210" s="55" t="n">
        <x:v>209</x:v>
      </x:c>
      <x:c r="K210" s="55" t="n">
        <x:v>30610</x:v>
      </x:c>
      <x:c r="L210" s="55" t="n">
        <x:v>5273</x:v>
      </x:c>
      <x:c r="M210" s="55" t="n">
        <x:v>1580</x:v>
      </x:c>
      <x:c r="N210" s="55" t="n">
        <x:v>2515</x:v>
      </x:c>
      <x:c r="O210" s="55" t="n">
        <x:v>1178</x:v>
      </x:c>
      <x:c r="P210" s="55" t="n">
        <x:v>536</x:v>
      </x:c>
      <x:c r="Q210" s="55" t="n">
        <x:v>2923</x:v>
      </x:c>
      <x:c r="R210" s="55" t="n">
        <x:v>1645</x:v>
      </x:c>
      <x:c r="S210" s="55" t="n">
        <x:v>2309</x:v>
      </x:c>
      <x:c r="T210" s="55" t="n">
        <x:v>968</x:v>
      </x:c>
      <x:c r="U210" s="55" t="n">
        <x:v>2503</x:v>
      </x:c>
      <x:c r="V210" s="55" t="n">
        <x:v>10372</x:v>
      </x:c>
      <x:c r="W210" s="55" t="n">
        <x:v>7380</x:v>
      </x:c>
      <x:c r="X210" s="55" t="n">
        <x:v>2992</x:v>
      </x:c>
      <x:c r="Y210" s="55" t="n">
        <x:v>2543</x:v>
      </x:c>
      <x:c r="Z210" s="55" t="n">
        <x:v>3475</x:v>
      </x:c>
      <x:c r="AA210" s="55" t="n">
        <x:v>3250</x:v>
      </x:c>
      <x:c r="AB210" s="55" t="n">
        <x:v>1279</x:v>
      </x:c>
      <x:c r="AC210" s="55" t="n">
        <x:v>7783</x:v>
      </x:c>
      <x:c r="AD210" s="55" t="n">
        <x:v>3060</x:v>
      </x:c>
      <x:c r="AE210" s="55" t="n">
        <x:v>10389</x:v>
      </x:c>
      <x:c r="AF210" s="55" t="n">
        <x:v>10372</x:v>
      </x:c>
      <x:c r="AG210" s="55" t="n">
        <x:v>17</x:v>
      </x:c>
      <x:c r="AH210" s="55" t="n">
        <x:v>308</x:v>
      </x:c>
      <x:c r="AI210" s="55" t="n">
        <x:v>10064</x:v>
      </x:c>
      <x:c r="AJ210" s="55" t="n">
        <x:v>300</x:v>
      </x:c>
      <x:c r="AK210" s="55" t="n">
        <x:v>717</x:v>
      </x:c>
      <x:c r="AL210" s="55" t="n">
        <x:v>1387</x:v>
      </x:c>
      <x:c r="AM210" s="55" t="n">
        <x:v>4809</x:v>
      </x:c>
      <x:c r="AN210" s="55" t="n">
        <x:v>3159</x:v>
      </x:c>
      <x:c r="AO210" s="55" t="n">
        <x:v>0</x:v>
      </x:c>
      <x:c r="AP210" s="55" t="n">
        <x:v>2555</x:v>
      </x:c>
      <x:c r="AQ210" s="55" t="n">
        <x:v>966</x:v>
      </x:c>
    </x:row>
    <x:row r="211">
      <x:c r="A211" s="54" t="str">
        <x:v>T2_CONCORDANT_DOMAIN</x:v>
      </x:c>
      <x:c r="B211" s="54" t="n">
        <x:v>205</x:v>
      </x:c>
      <x:c r="C211" s="54" t="str">
        <x:v>NYC-V2-R01</x:v>
      </x:c>
      <x:c r="D211" s="54" t="str">
        <x:v>V2</x:v>
      </x:c>
      <x:c r="E211" s="54" t="str">
        <x:v>ADMITTED</x:v>
      </x:c>
      <x:c r="F211" s="55" t="n">
        <x:v>31342</x:v>
      </x:c>
      <x:c r="G211" s="55" t="n">
        <x:v>7354</x:v>
      </x:c>
      <x:c r="H211" s="55" t="n">
        <x:v>3466</x:v>
      </x:c>
      <x:c r="I211" s="55" t="n">
        <x:v>1507</x:v>
      </x:c>
      <x:c r="J211" s="55" t="n">
        <x:v>309</x:v>
      </x:c>
      <x:c r="K211" s="55" t="n">
        <x:v>31342</x:v>
      </x:c>
      <x:c r="L211" s="55" t="n">
        <x:v>6353</x:v>
      </x:c>
      <x:c r="M211" s="55" t="n">
        <x:v>1668</x:v>
      </x:c>
      <x:c r="N211" s="55" t="n">
        <x:v>2739</x:v>
      </x:c>
      <x:c r="O211" s="55" t="n">
        <x:v>1946</x:v>
      </x:c>
      <x:c r="P211" s="55" t="n">
        <x:v>1008</x:v>
      </x:c>
      <x:c r="Q211" s="55" t="n">
        <x:v>2767</x:v>
      </x:c>
      <x:c r="R211" s="55" t="n">
        <x:v>2039</x:v>
      </x:c>
      <x:c r="S211" s="55" t="n">
        <x:v>3378</x:v>
      </x:c>
      <x:c r="T211" s="55" t="n">
        <x:v>1252</x:v>
      </x:c>
      <x:c r="U211" s="55" t="n">
        <x:v>2119</x:v>
      </x:c>
      <x:c r="V211" s="55" t="n">
        <x:v>10611</x:v>
      </x:c>
      <x:c r="W211" s="55" t="n">
        <x:v>7116</x:v>
      </x:c>
      <x:c r="X211" s="55" t="n">
        <x:v>3495</x:v>
      </x:c>
      <x:c r="Y211" s="55" t="n">
        <x:v>3154</x:v>
      </x:c>
      <x:c r="Z211" s="55" t="n">
        <x:v>3718</x:v>
      </x:c>
      <x:c r="AA211" s="55" t="n">
        <x:v>3466</x:v>
      </x:c>
      <x:c r="AB211" s="55" t="n">
        <x:v>1263</x:v>
      </x:c>
      <x:c r="AC211" s="55" t="n">
        <x:v>8299</x:v>
      </x:c>
      <x:c r="AD211" s="55" t="n">
        <x:v>3507</x:v>
      </x:c>
      <x:c r="AE211" s="55" t="n">
        <x:v>10724</x:v>
      </x:c>
      <x:c r="AF211" s="55" t="n">
        <x:v>10611</x:v>
      </x:c>
      <x:c r="AG211" s="55" t="n">
        <x:v>113</x:v>
      </x:c>
      <x:c r="AH211" s="55" t="n">
        <x:v>560</x:v>
      </x:c>
      <x:c r="AI211" s="55" t="n">
        <x:v>10051</x:v>
      </x:c>
      <x:c r="AJ211" s="55" t="n">
        <x:v>273</x:v>
      </x:c>
      <x:c r="AK211" s="55" t="n">
        <x:v>879</x:v>
      </x:c>
      <x:c r="AL211" s="55" t="n">
        <x:v>1345</x:v>
      </x:c>
      <x:c r="AM211" s="55" t="n">
        <x:v>5377</x:v>
      </x:c>
      <x:c r="AN211" s="55" t="n">
        <x:v>2717</x:v>
      </x:c>
      <x:c r="AO211" s="55" t="n">
        <x:v>20</x:v>
      </x:c>
      <x:c r="AP211" s="55" t="n">
        <x:v>2639</x:v>
      </x:c>
      <x:c r="AQ211" s="55" t="n">
        <x:v>939</x:v>
      </x:c>
    </x:row>
    <x:row r="212">
      <x:c r="A212" s="54" t="str">
        <x:v>T2_CONCORDANT_DOMAIN</x:v>
      </x:c>
      <x:c r="B212" s="54" t="n">
        <x:v>206</x:v>
      </x:c>
      <x:c r="C212" s="54" t="str">
        <x:v>NYC-V2-R01</x:v>
      </x:c>
      <x:c r="D212" s="54" t="str">
        <x:v>V2</x:v>
      </x:c>
      <x:c r="E212" s="54" t="str">
        <x:v>ADMITTED</x:v>
      </x:c>
      <x:c r="F212" s="55" t="n">
        <x:v>30015</x:v>
      </x:c>
      <x:c r="G212" s="55" t="n">
        <x:v>6757</x:v>
      </x:c>
      <x:c r="H212" s="55" t="n">
        <x:v>3175</x:v>
      </x:c>
      <x:c r="I212" s="55" t="n">
        <x:v>1233</x:v>
      </x:c>
      <x:c r="J212" s="55" t="n">
        <x:v>128</x:v>
      </x:c>
      <x:c r="K212" s="55" t="n">
        <x:v>30015</x:v>
      </x:c>
      <x:c r="L212" s="55" t="n">
        <x:v>5227</x:v>
      </x:c>
      <x:c r="M212" s="55" t="n">
        <x:v>1420</x:v>
      </x:c>
      <x:c r="N212" s="55" t="n">
        <x:v>2299</x:v>
      </x:c>
      <x:c r="O212" s="55" t="n">
        <x:v>1508</x:v>
      </x:c>
      <x:c r="P212" s="55" t="n">
        <x:v>86</x:v>
      </x:c>
      <x:c r="Q212" s="55" t="n">
        <x:v>2002</x:v>
      </x:c>
      <x:c r="R212" s="55" t="n">
        <x:v>1434</x:v>
      </x:c>
      <x:c r="S212" s="55" t="n">
        <x:v>2549</x:v>
      </x:c>
      <x:c r="T212" s="55" t="n">
        <x:v>826</x:v>
      </x:c>
      <x:c r="U212" s="55" t="n">
        <x:v>1675</x:v>
      </x:c>
      <x:c r="V212" s="55" t="n">
        <x:v>9860</x:v>
      </x:c>
      <x:c r="W212" s="55" t="n">
        <x:v>6604</x:v>
      </x:c>
      <x:c r="X212" s="55" t="n">
        <x:v>3256</x:v>
      </x:c>
      <x:c r="Y212" s="55" t="n">
        <x:v>2890</x:v>
      </x:c>
      <x:c r="Z212" s="55" t="n">
        <x:v>3751</x:v>
      </x:c>
      <x:c r="AA212" s="55" t="n">
        <x:v>2800</x:v>
      </x:c>
      <x:c r="AB212" s="55" t="n">
        <x:v>762</x:v>
      </x:c>
      <x:c r="AC212" s="55" t="n">
        <x:v>8233</x:v>
      </x:c>
      <x:c r="AD212" s="55" t="n">
        <x:v>2745</x:v>
      </x:c>
      <x:c r="AE212" s="55" t="n">
        <x:v>9913</x:v>
      </x:c>
      <x:c r="AF212" s="55" t="n">
        <x:v>9860</x:v>
      </x:c>
      <x:c r="AG212" s="55" t="n">
        <x:v>53</x:v>
      </x:c>
      <x:c r="AH212" s="55" t="n">
        <x:v>282</x:v>
      </x:c>
      <x:c r="AI212" s="55" t="n">
        <x:v>9578</x:v>
      </x:c>
      <x:c r="AJ212" s="55" t="n">
        <x:v>243</x:v>
      </x:c>
      <x:c r="AK212" s="55" t="n">
        <x:v>777</x:v>
      </x:c>
      <x:c r="AL212" s="55" t="n">
        <x:v>1756</x:v>
      </x:c>
      <x:c r="AM212" s="55" t="n">
        <x:v>4689</x:v>
      </x:c>
      <x:c r="AN212" s="55" t="n">
        <x:v>2395</x:v>
      </x:c>
      <x:c r="AO212" s="55" t="n">
        <x:v>0</x:v>
      </x:c>
      <x:c r="AP212" s="55" t="n">
        <x:v>2251</x:v>
      </x:c>
      <x:c r="AQ212" s="55" t="n">
        <x:v>959</x:v>
      </x:c>
    </x:row>
    <x:row r="213">
      <x:c r="A213" s="54" t="str">
        <x:v>T2_CONCORDANT_DOMAIN</x:v>
      </x:c>
      <x:c r="B213" s="54" t="n">
        <x:v>207</x:v>
      </x:c>
      <x:c r="C213" s="54" t="str">
        <x:v>NYC-V2-R01</x:v>
      </x:c>
      <x:c r="D213" s="54" t="str">
        <x:v>V2</x:v>
      </x:c>
      <x:c r="E213" s="54" t="str">
        <x:v>ADMITTED</x:v>
      </x:c>
      <x:c r="F213" s="55" t="n">
        <x:v>30788</x:v>
      </x:c>
      <x:c r="G213" s="55" t="n">
        <x:v>6968</x:v>
      </x:c>
      <x:c r="H213" s="55" t="n">
        <x:v>3626</x:v>
      </x:c>
      <x:c r="I213" s="55" t="n">
        <x:v>1386</x:v>
      </x:c>
      <x:c r="J213" s="55" t="n">
        <x:v>272</x:v>
      </x:c>
      <x:c r="K213" s="55" t="n">
        <x:v>30788</x:v>
      </x:c>
      <x:c r="L213" s="55" t="n">
        <x:v>6184</x:v>
      </x:c>
      <x:c r="M213" s="55" t="n">
        <x:v>1353</x:v>
      </x:c>
      <x:c r="N213" s="55" t="n">
        <x:v>2800</x:v>
      </x:c>
      <x:c r="O213" s="55" t="n">
        <x:v>2031</x:v>
      </x:c>
      <x:c r="P213" s="55" t="n">
        <x:v>921</x:v>
      </x:c>
      <x:c r="Q213" s="55" t="n">
        <x:v>2692</x:v>
      </x:c>
      <x:c r="R213" s="55" t="n">
        <x:v>2264</x:v>
      </x:c>
      <x:c r="S213" s="55" t="n">
        <x:v>2666</x:v>
      </x:c>
      <x:c r="T213" s="55" t="n">
        <x:v>1349</x:v>
      </x:c>
      <x:c r="U213" s="55" t="n">
        <x:v>1975</x:v>
      </x:c>
      <x:c r="V213" s="55" t="n">
        <x:v>10306</x:v>
      </x:c>
      <x:c r="W213" s="55" t="n">
        <x:v>6936</x:v>
      </x:c>
      <x:c r="X213" s="55" t="n">
        <x:v>3370</x:v>
      </x:c>
      <x:c r="Y213" s="55" t="n">
        <x:v>2970</x:v>
      </x:c>
      <x:c r="Z213" s="55" t="n">
        <x:v>3686</x:v>
      </x:c>
      <x:c r="AA213" s="55" t="n">
        <x:v>3132</x:v>
      </x:c>
      <x:c r="AB213" s="55" t="n">
        <x:v>1086</x:v>
      </x:c>
      <x:c r="AC213" s="55" t="n">
        <x:v>7702</x:v>
      </x:c>
      <x:c r="AD213" s="55" t="n">
        <x:v>3509</x:v>
      </x:c>
      <x:c r="AE213" s="55" t="n">
        <x:v>10437</x:v>
      </x:c>
      <x:c r="AF213" s="55" t="n">
        <x:v>10306</x:v>
      </x:c>
      <x:c r="AG213" s="55" t="n">
        <x:v>131</x:v>
      </x:c>
      <x:c r="AH213" s="55" t="n">
        <x:v>394</x:v>
      </x:c>
      <x:c r="AI213" s="55" t="n">
        <x:v>9912</x:v>
      </x:c>
      <x:c r="AJ213" s="55" t="n">
        <x:v>354</x:v>
      </x:c>
      <x:c r="AK213" s="55" t="n">
        <x:v>942</x:v>
      </x:c>
      <x:c r="AL213" s="55" t="n">
        <x:v>1506</x:v>
      </x:c>
      <x:c r="AM213" s="55" t="n">
        <x:v>4602</x:v>
      </x:c>
      <x:c r="AN213" s="55" t="n">
        <x:v>2836</x:v>
      </x:c>
      <x:c r="AO213" s="55" t="n">
        <x:v>66</x:v>
      </x:c>
      <x:c r="AP213" s="55" t="n">
        <x:v>2294</x:v>
      </x:c>
      <x:c r="AQ213" s="55" t="n">
        <x:v>953</x:v>
      </x:c>
    </x:row>
    <x:row r="214">
      <x:c r="A214" s="54" t="str">
        <x:v>T2_CONCORDANT_DOMAIN</x:v>
      </x:c>
      <x:c r="B214" s="54" t="n">
        <x:v>208</x:v>
      </x:c>
      <x:c r="C214" s="54" t="str">
        <x:v>NYC-V2-R01</x:v>
      </x:c>
      <x:c r="D214" s="54" t="str">
        <x:v>V2</x:v>
      </x:c>
      <x:c r="E214" s="54" t="str">
        <x:v>ADMITTED</x:v>
      </x:c>
      <x:c r="F214" s="55" t="n">
        <x:v>30084</x:v>
      </x:c>
      <x:c r="G214" s="55" t="n">
        <x:v>7507</x:v>
      </x:c>
      <x:c r="H214" s="55" t="n">
        <x:v>3325</x:v>
      </x:c>
      <x:c r="I214" s="55" t="n">
        <x:v>1243</x:v>
      </x:c>
      <x:c r="J214" s="55" t="n">
        <x:v>228</x:v>
      </x:c>
      <x:c r="K214" s="55" t="n">
        <x:v>28939</x:v>
      </x:c>
      <x:c r="L214" s="55" t="n">
        <x:v>4109</x:v>
      </x:c>
      <x:c r="M214" s="55" t="n">
        <x:v>460</x:v>
      </x:c>
      <x:c r="N214" s="55" t="n">
        <x:v>2128</x:v>
      </x:c>
      <x:c r="O214" s="55" t="n">
        <x:v>1521</x:v>
      </x:c>
      <x:c r="P214" s="55" t="n">
        <x:v>407</x:v>
      </x:c>
      <x:c r="Q214" s="55" t="n">
        <x:v>1848</x:v>
      </x:c>
      <x:c r="R214" s="55" t="n">
        <x:v>1646</x:v>
      </x:c>
      <x:c r="S214" s="55" t="n">
        <x:v>2180</x:v>
      </x:c>
      <x:c r="T214" s="55" t="n">
        <x:v>1222</x:v>
      </x:c>
      <x:c r="U214" s="55" t="n">
        <x:v>1628</x:v>
      </x:c>
      <x:c r="V214" s="55" t="n">
        <x:v>10523</x:v>
      </x:c>
      <x:c r="W214" s="55" t="n">
        <x:v>7511</x:v>
      </x:c>
      <x:c r="X214" s="55" t="n">
        <x:v>3012</x:v>
      </x:c>
      <x:c r="Y214" s="55" t="n">
        <x:v>2609</x:v>
      </x:c>
      <x:c r="Z214" s="55" t="n">
        <x:v>3367</x:v>
      </x:c>
      <x:c r="AA214" s="55" t="n">
        <x:v>3325</x:v>
      </x:c>
      <x:c r="AB214" s="55" t="n">
        <x:v>1270</x:v>
      </x:c>
      <x:c r="AC214" s="55" t="n">
        <x:v>7578</x:v>
      </x:c>
      <x:c r="AD214" s="55" t="n">
        <x:v>2739</x:v>
      </x:c>
      <x:c r="AE214" s="55" t="n">
        <x:v>10580</x:v>
      </x:c>
      <x:c r="AF214" s="55" t="n">
        <x:v>10523</x:v>
      </x:c>
      <x:c r="AG214" s="55" t="n">
        <x:v>57</x:v>
      </x:c>
      <x:c r="AH214" s="55" t="n">
        <x:v>407</x:v>
      </x:c>
      <x:c r="AI214" s="55" t="n">
        <x:v>10116</x:v>
      </x:c>
      <x:c r="AJ214" s="55" t="n">
        <x:v>398</x:v>
      </x:c>
      <x:c r="AK214" s="55" t="n">
        <x:v>954</x:v>
      </x:c>
      <x:c r="AL214" s="55" t="n">
        <x:v>1512</x:v>
      </x:c>
      <x:c r="AM214" s="55" t="n">
        <x:v>5291</x:v>
      </x:c>
      <x:c r="AN214" s="55" t="n">
        <x:v>2337</x:v>
      </x:c>
      <x:c r="AO214" s="55" t="n">
        <x:v>31</x:v>
      </x:c>
      <x:c r="AP214" s="55" t="n">
        <x:v>2159</x:v>
      </x:c>
      <x:c r="AQ214" s="55" t="n">
        <x:v>953</x:v>
      </x:c>
    </x:row>
    <x:row r="215">
      <x:c r="A215" s="54" t="str">
        <x:v>T2_CONCORDANT_DOMAIN</x:v>
      </x:c>
      <x:c r="B215" s="54" t="n">
        <x:v>209</x:v>
      </x:c>
      <x:c r="C215" s="54" t="str">
        <x:v>NYC-V2-R01</x:v>
      </x:c>
      <x:c r="D215" s="54" t="str">
        <x:v>V2</x:v>
      </x:c>
      <x:c r="E215" s="54" t="str">
        <x:v>ADMITTED</x:v>
      </x:c>
      <x:c r="F215" s="55" t="n">
        <x:v>31401</x:v>
      </x:c>
      <x:c r="G215" s="55" t="n">
        <x:v>8705</x:v>
      </x:c>
      <x:c r="H215" s="55" t="n">
        <x:v>3015</x:v>
      </x:c>
      <x:c r="I215" s="55" t="n">
        <x:v>1009</x:v>
      </x:c>
      <x:c r="J215" s="55" t="n">
        <x:v>217</x:v>
      </x:c>
      <x:c r="K215" s="55" t="n">
        <x:v>29964</x:v>
      </x:c>
      <x:c r="L215" s="55" t="n">
        <x:v>4739</x:v>
      </x:c>
      <x:c r="M215" s="55" t="n">
        <x:v>554</x:v>
      </x:c>
      <x:c r="N215" s="55" t="n">
        <x:v>2280</x:v>
      </x:c>
      <x:c r="O215" s="55" t="n">
        <x:v>1905</x:v>
      </x:c>
      <x:c r="P215" s="55" t="n">
        <x:v>1090</x:v>
      </x:c>
      <x:c r="Q215" s="55" t="n">
        <x:v>2999</x:v>
      </x:c>
      <x:c r="R215" s="55" t="n">
        <x:v>2073</x:v>
      </x:c>
      <x:c r="S215" s="55" t="n">
        <x:v>2751</x:v>
      </x:c>
      <x:c r="T215" s="55" t="n">
        <x:v>1153</x:v>
      </x:c>
      <x:c r="U215" s="55" t="n">
        <x:v>2076</x:v>
      </x:c>
      <x:c r="V215" s="55" t="n">
        <x:v>11080</x:v>
      </x:c>
      <x:c r="W215" s="55" t="n">
        <x:v>8047</x:v>
      </x:c>
      <x:c r="X215" s="55" t="n">
        <x:v>3033</x:v>
      </x:c>
      <x:c r="Y215" s="55" t="n">
        <x:v>2800</x:v>
      </x:c>
      <x:c r="Z215" s="55" t="n">
        <x:v>3604</x:v>
      </x:c>
      <x:c r="AA215" s="55" t="n">
        <x:v>3015</x:v>
      </x:c>
      <x:c r="AB215" s="55" t="n">
        <x:v>1146</x:v>
      </x:c>
      <x:c r="AC215" s="55" t="n">
        <x:v>7995</x:v>
      </x:c>
      <x:c r="AD215" s="55" t="n">
        <x:v>3376</x:v>
      </x:c>
      <x:c r="AE215" s="55" t="n">
        <x:v>11125</x:v>
      </x:c>
      <x:c r="AF215" s="55" t="n">
        <x:v>11080</x:v>
      </x:c>
      <x:c r="AG215" s="55" t="n">
        <x:v>45</x:v>
      </x:c>
      <x:c r="AH215" s="55" t="n">
        <x:v>476</x:v>
      </x:c>
      <x:c r="AI215" s="55" t="n">
        <x:v>10604</x:v>
      </x:c>
      <x:c r="AJ215" s="55" t="n">
        <x:v>270</x:v>
      </x:c>
      <x:c r="AK215" s="55" t="n">
        <x:v>1032</x:v>
      </x:c>
      <x:c r="AL215" s="55" t="n">
        <x:v>2012</x:v>
      </x:c>
      <x:c r="AM215" s="55" t="n">
        <x:v>4881</x:v>
      </x:c>
      <x:c r="AN215" s="55" t="n">
        <x:v>2885</x:v>
      </x:c>
      <x:c r="AO215" s="55" t="n">
        <x:v>0</x:v>
      </x:c>
      <x:c r="AP215" s="55" t="n">
        <x:v>2419</x:v>
      </x:c>
      <x:c r="AQ215" s="55" t="n">
        <x:v>964</x:v>
      </x:c>
    </x:row>
    <x:row r="216">
      <x:c r="A216" s="54" t="str">
        <x:v>T2_CONCORDANT_DOMAIN</x:v>
      </x:c>
      <x:c r="B216" s="54" t="n">
        <x:v>210</x:v>
      </x:c>
      <x:c r="C216" s="54" t="str">
        <x:v>NYC-V2-R01</x:v>
      </x:c>
      <x:c r="D216" s="54" t="str">
        <x:v>V2</x:v>
      </x:c>
      <x:c r="E216" s="54" t="str">
        <x:v>ADMITTED</x:v>
      </x:c>
      <x:c r="F216" s="55" t="n">
        <x:v>31562</x:v>
      </x:c>
      <x:c r="G216" s="55" t="n">
        <x:v>6687</x:v>
      </x:c>
      <x:c r="H216" s="55" t="n">
        <x:v>3371</x:v>
      </x:c>
      <x:c r="I216" s="55" t="n">
        <x:v>1509</x:v>
      </x:c>
      <x:c r="J216" s="55" t="n">
        <x:v>384</x:v>
      </x:c>
      <x:c r="K216" s="55" t="n">
        <x:v>31562</x:v>
      </x:c>
      <x:c r="L216" s="55" t="n">
        <x:v>5534</x:v>
      </x:c>
      <x:c r="M216" s="55" t="n">
        <x:v>766</x:v>
      </x:c>
      <x:c r="N216" s="55" t="n">
        <x:v>3162</x:v>
      </x:c>
      <x:c r="O216" s="55" t="n">
        <x:v>1606</x:v>
      </x:c>
      <x:c r="P216" s="55" t="n">
        <x:v>730</x:v>
      </x:c>
      <x:c r="Q216" s="55" t="n">
        <x:v>2388</x:v>
      </x:c>
      <x:c r="R216" s="55" t="n">
        <x:v>1547</x:v>
      </x:c>
      <x:c r="S216" s="55" t="n">
        <x:v>2541</x:v>
      </x:c>
      <x:c r="T216" s="55" t="n">
        <x:v>1446</x:v>
      </x:c>
      <x:c r="U216" s="55" t="n">
        <x:v>1773</x:v>
      </x:c>
      <x:c r="V216" s="55" t="n">
        <x:v>9877</x:v>
      </x:c>
      <x:c r="W216" s="55" t="n">
        <x:v>6499</x:v>
      </x:c>
      <x:c r="X216" s="55" t="n">
        <x:v>3378</x:v>
      </x:c>
      <x:c r="Y216" s="55" t="n">
        <x:v>2787</x:v>
      </x:c>
      <x:c r="Z216" s="55" t="n">
        <x:v>4026</x:v>
      </x:c>
      <x:c r="AA216" s="55" t="n">
        <x:v>3094</x:v>
      </x:c>
      <x:c r="AB216" s="55" t="n">
        <x:v>1136</x:v>
      </x:c>
      <x:c r="AC216" s="55" t="n">
        <x:v>7901</x:v>
      </x:c>
      <x:c r="AD216" s="55" t="n">
        <x:v>2367</x:v>
      </x:c>
      <x:c r="AE216" s="55" t="n">
        <x:v>9944</x:v>
      </x:c>
      <x:c r="AF216" s="55" t="n">
        <x:v>9877</x:v>
      </x:c>
      <x:c r="AG216" s="55" t="n">
        <x:v>67</x:v>
      </x:c>
      <x:c r="AH216" s="55" t="n">
        <x:v>409</x:v>
      </x:c>
      <x:c r="AI216" s="55" t="n">
        <x:v>9468</x:v>
      </x:c>
      <x:c r="AJ216" s="55" t="n">
        <x:v>259</x:v>
      </x:c>
      <x:c r="AK216" s="55" t="n">
        <x:v>970</x:v>
      </x:c>
      <x:c r="AL216" s="55" t="n">
        <x:v>1111</x:v>
      </x:c>
      <x:c r="AM216" s="55" t="n">
        <x:v>5230</x:v>
      </x:c>
      <x:c r="AN216" s="55" t="n">
        <x:v>2307</x:v>
      </x:c>
      <x:c r="AO216" s="55" t="n">
        <x:v>0</x:v>
      </x:c>
      <x:c r="AP216" s="55" t="n">
        <x:v>2213</x:v>
      </x:c>
      <x:c r="AQ216" s="55" t="n">
        <x:v>947</x:v>
      </x:c>
    </x:row>
    <x:row r="217">
      <x:c r="A217" s="54" t="str">
        <x:v>T2_CONCORDANT_DOMAIN</x:v>
      </x:c>
      <x:c r="B217" s="54" t="n">
        <x:v>211</x:v>
      </x:c>
      <x:c r="C217" s="54" t="str">
        <x:v>NYC-V2-R01</x:v>
      </x:c>
      <x:c r="D217" s="54" t="str">
        <x:v>V2</x:v>
      </x:c>
      <x:c r="E217" s="54" t="str">
        <x:v>ADMITTED</x:v>
      </x:c>
      <x:c r="F217" s="55" t="n">
        <x:v>30967</x:v>
      </x:c>
      <x:c r="G217" s="55" t="n">
        <x:v>7984</x:v>
      </x:c>
      <x:c r="H217" s="55" t="n">
        <x:v>3359</x:v>
      </x:c>
      <x:c r="I217" s="55" t="n">
        <x:v>1396</x:v>
      </x:c>
      <x:c r="J217" s="55" t="n">
        <x:v>243</x:v>
      </x:c>
      <x:c r="K217" s="55" t="n">
        <x:v>29408</x:v>
      </x:c>
      <x:c r="L217" s="55" t="n">
        <x:v>5361</x:v>
      </x:c>
      <x:c r="M217" s="55" t="n">
        <x:v>1149</x:v>
      </x:c>
      <x:c r="N217" s="55" t="n">
        <x:v>2111</x:v>
      </x:c>
      <x:c r="O217" s="55" t="n">
        <x:v>2101</x:v>
      </x:c>
      <x:c r="P217" s="55" t="n">
        <x:v>563</x:v>
      </x:c>
      <x:c r="Q217" s="55" t="n">
        <x:v>1897</x:v>
      </x:c>
      <x:c r="R217" s="55" t="n">
        <x:v>1835</x:v>
      </x:c>
      <x:c r="S217" s="55" t="n">
        <x:v>3149</x:v>
      </x:c>
      <x:c r="T217" s="55" t="n">
        <x:v>965</x:v>
      </x:c>
      <x:c r="U217" s="55" t="n">
        <x:v>1227</x:v>
      </x:c>
      <x:c r="V217" s="55" t="n">
        <x:v>10282</x:v>
      </x:c>
      <x:c r="W217" s="55" t="n">
        <x:v>7262</x:v>
      </x:c>
      <x:c r="X217" s="55" t="n">
        <x:v>3020</x:v>
      </x:c>
      <x:c r="Y217" s="55" t="n">
        <x:v>2575</x:v>
      </x:c>
      <x:c r="Z217" s="55" t="n">
        <x:v>3430</x:v>
      </x:c>
      <x:c r="AA217" s="55" t="n">
        <x:v>3359</x:v>
      </x:c>
      <x:c r="AB217" s="55" t="n">
        <x:v>1324</x:v>
      </x:c>
      <x:c r="AC217" s="55" t="n">
        <x:v>8585</x:v>
      </x:c>
      <x:c r="AD217" s="55" t="n">
        <x:v>2832</x:v>
      </x:c>
      <x:c r="AE217" s="55" t="n">
        <x:v>10396</x:v>
      </x:c>
      <x:c r="AF217" s="55" t="n">
        <x:v>10282</x:v>
      </x:c>
      <x:c r="AG217" s="55" t="n">
        <x:v>114</x:v>
      </x:c>
      <x:c r="AH217" s="55" t="n">
        <x:v>217</x:v>
      </x:c>
      <x:c r="AI217" s="55" t="n">
        <x:v>10065</x:v>
      </x:c>
      <x:c r="AJ217" s="55" t="n">
        <x:v>423</x:v>
      </x:c>
      <x:c r="AK217" s="55" t="n">
        <x:v>943</x:v>
      </x:c>
      <x:c r="AL217" s="55" t="n">
        <x:v>1200</x:v>
      </x:c>
      <x:c r="AM217" s="55" t="n">
        <x:v>5018</x:v>
      </x:c>
      <x:c r="AN217" s="55" t="n">
        <x:v>2632</x:v>
      </x:c>
      <x:c r="AO217" s="55" t="n">
        <x:v>66</x:v>
      </x:c>
      <x:c r="AP217" s="55" t="n">
        <x:v>2410</x:v>
      </x:c>
      <x:c r="AQ217" s="55" t="n">
        <x:v>962</x:v>
      </x:c>
    </x:row>
    <x:row r="218">
      <x:c r="A218" s="54" t="str">
        <x:v>T2_CONCORDANT_DOMAIN</x:v>
      </x:c>
      <x:c r="B218" s="54" t="n">
        <x:v>212</x:v>
      </x:c>
      <x:c r="C218" s="54" t="str">
        <x:v>NYC-V2-R01</x:v>
      </x:c>
      <x:c r="D218" s="54" t="str">
        <x:v>V2</x:v>
      </x:c>
      <x:c r="E218" s="54" t="str">
        <x:v>ADMITTED</x:v>
      </x:c>
      <x:c r="F218" s="55" t="n">
        <x:v>33154</x:v>
      </x:c>
      <x:c r="G218" s="55" t="n">
        <x:v>8034</x:v>
      </x:c>
      <x:c r="H218" s="55" t="n">
        <x:v>3341</x:v>
      </x:c>
      <x:c r="I218" s="55" t="n">
        <x:v>1102</x:v>
      </x:c>
      <x:c r="J218" s="55" t="n">
        <x:v>327</x:v>
      </x:c>
      <x:c r="K218" s="55" t="n">
        <x:v>30702</x:v>
      </x:c>
      <x:c r="L218" s="55" t="n">
        <x:v>5648</x:v>
      </x:c>
      <x:c r="M218" s="55" t="n">
        <x:v>951</x:v>
      </x:c>
      <x:c r="N218" s="55" t="n">
        <x:v>2949</x:v>
      </x:c>
      <x:c r="O218" s="55" t="n">
        <x:v>1748</x:v>
      </x:c>
      <x:c r="P218" s="55" t="n">
        <x:v>684</x:v>
      </x:c>
      <x:c r="Q218" s="55" t="n">
        <x:v>1666</x:v>
      </x:c>
      <x:c r="R218" s="55" t="n">
        <x:v>1714</x:v>
      </x:c>
      <x:c r="S218" s="55" t="n">
        <x:v>2380</x:v>
      </x:c>
      <x:c r="T218" s="55" t="n">
        <x:v>1350</x:v>
      </x:c>
      <x:c r="U218" s="55" t="n">
        <x:v>2142</x:v>
      </x:c>
      <x:c r="V218" s="55" t="n">
        <x:v>11583</x:v>
      </x:c>
      <x:c r="W218" s="55" t="n">
        <x:v>8930</x:v>
      </x:c>
      <x:c r="X218" s="55" t="n">
        <x:v>2653</x:v>
      </x:c>
      <x:c r="Y218" s="55" t="n">
        <x:v>2172</x:v>
      </x:c>
      <x:c r="Z218" s="55" t="n">
        <x:v>3663</x:v>
      </x:c>
      <x:c r="AA218" s="55" t="n">
        <x:v>2784</x:v>
      </x:c>
      <x:c r="AB218" s="55" t="n">
        <x:v>901</x:v>
      </x:c>
      <x:c r="AC218" s="55" t="n">
        <x:v>8419</x:v>
      </x:c>
      <x:c r="AD218" s="55" t="n">
        <x:v>3145</x:v>
      </x:c>
      <x:c r="AE218" s="55" t="n">
        <x:v>11702</x:v>
      </x:c>
      <x:c r="AF218" s="55" t="n">
        <x:v>11583</x:v>
      </x:c>
      <x:c r="AG218" s="55" t="n">
        <x:v>119</x:v>
      </x:c>
      <x:c r="AH218" s="55" t="n">
        <x:v>701</x:v>
      </x:c>
      <x:c r="AI218" s="55" t="n">
        <x:v>10882</x:v>
      </x:c>
      <x:c r="AJ218" s="55" t="n">
        <x:v>360</x:v>
      </x:c>
      <x:c r="AK218" s="55" t="n">
        <x:v>1137</x:v>
      </x:c>
      <x:c r="AL218" s="55" t="n">
        <x:v>1695</x:v>
      </x:c>
      <x:c r="AM218" s="55" t="n">
        <x:v>5408</x:v>
      </x:c>
      <x:c r="AN218" s="55" t="n">
        <x:v>2885</x:v>
      </x:c>
      <x:c r="AO218" s="55" t="n">
        <x:v>98</x:v>
      </x:c>
      <x:c r="AP218" s="55" t="n">
        <x:v>2680</x:v>
      </x:c>
      <x:c r="AQ218" s="55" t="n">
        <x:v>961</x:v>
      </x:c>
    </x:row>
    <x:row r="219">
      <x:c r="A219" s="54" t="str">
        <x:v>T2_CONCORDANT_DOMAIN</x:v>
      </x:c>
      <x:c r="B219" s="54" t="n">
        <x:v>213</x:v>
      </x:c>
      <x:c r="C219" s="54" t="str">
        <x:v>NYC-V2-R01</x:v>
      </x:c>
      <x:c r="D219" s="54" t="str">
        <x:v>V2</x:v>
      </x:c>
      <x:c r="E219" s="54" t="str">
        <x:v>ADMITTED</x:v>
      </x:c>
      <x:c r="F219" s="55" t="n">
        <x:v>30432</x:v>
      </x:c>
      <x:c r="G219" s="55" t="n">
        <x:v>7699</x:v>
      </x:c>
      <x:c r="H219" s="55" t="n">
        <x:v>3417</x:v>
      </x:c>
      <x:c r="I219" s="55" t="n">
        <x:v>1329</x:v>
      </x:c>
      <x:c r="J219" s="55" t="n">
        <x:v>163</x:v>
      </x:c>
      <x:c r="K219" s="55" t="n">
        <x:v>29835</x:v>
      </x:c>
      <x:c r="L219" s="55" t="n">
        <x:v>4971</x:v>
      </x:c>
      <x:c r="M219" s="55" t="n">
        <x:v>1019</x:v>
      </x:c>
      <x:c r="N219" s="55" t="n">
        <x:v>2483</x:v>
      </x:c>
      <x:c r="O219" s="55" t="n">
        <x:v>1469</x:v>
      </x:c>
      <x:c r="P219" s="55" t="n">
        <x:v>846</x:v>
      </x:c>
      <x:c r="Q219" s="55" t="n">
        <x:v>2617</x:v>
      </x:c>
      <x:c r="R219" s="55" t="n">
        <x:v>2095</x:v>
      </x:c>
      <x:c r="S219" s="55" t="n">
        <x:v>2702</x:v>
      </x:c>
      <x:c r="T219" s="55" t="n">
        <x:v>1402</x:v>
      </x:c>
      <x:c r="U219" s="55" t="n">
        <x:v>1659</x:v>
      </x:c>
      <x:c r="V219" s="55" t="n">
        <x:v>10465</x:v>
      </x:c>
      <x:c r="W219" s="55" t="n">
        <x:v>7839</x:v>
      </x:c>
      <x:c r="X219" s="55" t="n">
        <x:v>2626</x:v>
      </x:c>
      <x:c r="Y219" s="55" t="n">
        <x:v>2259</x:v>
      </x:c>
      <x:c r="Z219" s="55" t="n">
        <x:v>3287</x:v>
      </x:c>
      <x:c r="AA219" s="55" t="n">
        <x:v>2638</x:v>
      </x:c>
      <x:c r="AB219" s="55" t="n">
        <x:v>626</x:v>
      </x:c>
      <x:c r="AC219" s="55" t="n">
        <x:v>7562</x:v>
      </x:c>
      <x:c r="AD219" s="55" t="n">
        <x:v>2690</x:v>
      </x:c>
      <x:c r="AE219" s="55" t="n">
        <x:v>10560</x:v>
      </x:c>
      <x:c r="AF219" s="55" t="n">
        <x:v>10465</x:v>
      </x:c>
      <x:c r="AG219" s="55" t="n">
        <x:v>95</x:v>
      </x:c>
      <x:c r="AH219" s="55" t="n">
        <x:v>453</x:v>
      </x:c>
      <x:c r="AI219" s="55" t="n">
        <x:v>10012</x:v>
      </x:c>
      <x:c r="AJ219" s="55" t="n">
        <x:v>303</x:v>
      </x:c>
      <x:c r="AK219" s="55" t="n">
        <x:v>1159</x:v>
      </x:c>
      <x:c r="AL219" s="55" t="n">
        <x:v>1379</x:v>
      </x:c>
      <x:c r="AM219" s="55" t="n">
        <x:v>5091</x:v>
      </x:c>
      <x:c r="AN219" s="55" t="n">
        <x:v>2494</x:v>
      </x:c>
      <x:c r="AO219" s="55" t="n">
        <x:v>39</x:v>
      </x:c>
      <x:c r="AP219" s="55" t="n">
        <x:v>2843</x:v>
      </x:c>
      <x:c r="AQ219" s="55" t="n">
        <x:v>981</x:v>
      </x:c>
    </x:row>
    <x:row r="220">
      <x:c r="A220" s="54" t="str">
        <x:v>T2_CONCORDANT_DOMAIN</x:v>
      </x:c>
      <x:c r="B220" s="54" t="n">
        <x:v>214</x:v>
      </x:c>
      <x:c r="C220" s="54" t="str">
        <x:v>NYC-V2-R01</x:v>
      </x:c>
      <x:c r="D220" s="54" t="str">
        <x:v>V2</x:v>
      </x:c>
      <x:c r="E220" s="54" t="str">
        <x:v>ADMITTED</x:v>
      </x:c>
      <x:c r="F220" s="55" t="n">
        <x:v>33966</x:v>
      </x:c>
      <x:c r="G220" s="55" t="n">
        <x:v>9331</x:v>
      </x:c>
      <x:c r="H220" s="55" t="n">
        <x:v>3767</x:v>
      </x:c>
      <x:c r="I220" s="55" t="n">
        <x:v>1824</x:v>
      </x:c>
      <x:c r="J220" s="55" t="n">
        <x:v>400</x:v>
      </x:c>
      <x:c r="K220" s="55" t="n">
        <x:v>33966</x:v>
      </x:c>
      <x:c r="L220" s="55" t="n">
        <x:v>7665</x:v>
      </x:c>
      <x:c r="M220" s="55" t="n">
        <x:v>2007</x:v>
      </x:c>
      <x:c r="N220" s="55" t="n">
        <x:v>3364</x:v>
      </x:c>
      <x:c r="O220" s="55" t="n">
        <x:v>2294</x:v>
      </x:c>
      <x:c r="P220" s="55" t="n">
        <x:v>1480</x:v>
      </x:c>
      <x:c r="Q220" s="55" t="n">
        <x:v>3559</x:v>
      </x:c>
      <x:c r="R220" s="55" t="n">
        <x:v>1882</x:v>
      </x:c>
      <x:c r="S220" s="55" t="n">
        <x:v>3418</x:v>
      </x:c>
      <x:c r="T220" s="55" t="n">
        <x:v>1977</x:v>
      </x:c>
      <x:c r="U220" s="55" t="n">
        <x:v>3004</x:v>
      </x:c>
      <x:c r="V220" s="55" t="n">
        <x:v>11528</x:v>
      </x:c>
      <x:c r="W220" s="55" t="n">
        <x:v>8484</x:v>
      </x:c>
      <x:c r="X220" s="55" t="n">
        <x:v>3044</x:v>
      </x:c>
      <x:c r="Y220" s="55" t="n">
        <x:v>2770</x:v>
      </x:c>
      <x:c r="Z220" s="55" t="n">
        <x:v>4456</x:v>
      </x:c>
      <x:c r="AA220" s="55" t="n">
        <x:v>3767</x:v>
      </x:c>
      <x:c r="AB220" s="55" t="n">
        <x:v>1832</x:v>
      </x:c>
      <x:c r="AC220" s="55" t="n">
        <x:v>8698</x:v>
      </x:c>
      <x:c r="AD220" s="55" t="n">
        <x:v>3228</x:v>
      </x:c>
      <x:c r="AE220" s="55" t="n">
        <x:v>11704</x:v>
      </x:c>
      <x:c r="AF220" s="55" t="n">
        <x:v>11528</x:v>
      </x:c>
      <x:c r="AG220" s="55" t="n">
        <x:v>176</x:v>
      </x:c>
      <x:c r="AH220" s="55" t="n">
        <x:v>876</x:v>
      </x:c>
      <x:c r="AI220" s="55" t="n">
        <x:v>10652</x:v>
      </x:c>
      <x:c r="AJ220" s="55" t="n">
        <x:v>567</x:v>
      </x:c>
      <x:c r="AK220" s="55" t="n">
        <x:v>1488</x:v>
      </x:c>
      <x:c r="AL220" s="55" t="n">
        <x:v>1788</x:v>
      </x:c>
      <x:c r="AM220" s="55" t="n">
        <x:v>4776</x:v>
      </x:c>
      <x:c r="AN220" s="55" t="n">
        <x:v>2781</x:v>
      </x:c>
      <x:c r="AO220" s="55" t="n">
        <x:v>128</x:v>
      </x:c>
      <x:c r="AP220" s="55" t="n">
        <x:v>3157</x:v>
      </x:c>
      <x:c r="AQ220" s="55" t="n">
        <x:v>997</x:v>
      </x:c>
    </x:row>
    <x:row r="221">
      <x:c r="A221" s="54" t="str">
        <x:v>T2_CONCORDANT_DOMAIN</x:v>
      </x:c>
      <x:c r="B221" s="54" t="n">
        <x:v>215</x:v>
      </x:c>
      <x:c r="C221" s="54" t="str">
        <x:v>NYC-V2-R01</x:v>
      </x:c>
      <x:c r="D221" s="54" t="str">
        <x:v>V2</x:v>
      </x:c>
      <x:c r="E221" s="54" t="str">
        <x:v>ADMITTED</x:v>
      </x:c>
      <x:c r="F221" s="55" t="n">
        <x:v>31898</x:v>
      </x:c>
      <x:c r="G221" s="55" t="n">
        <x:v>6953</x:v>
      </x:c>
      <x:c r="H221" s="55" t="n">
        <x:v>3124</x:v>
      </x:c>
      <x:c r="I221" s="55" t="n">
        <x:v>1399</x:v>
      </x:c>
      <x:c r="J221" s="55" t="n">
        <x:v>276</x:v>
      </x:c>
      <x:c r="K221" s="55" t="n">
        <x:v>31898</x:v>
      </x:c>
      <x:c r="L221" s="55" t="n">
        <x:v>6581</x:v>
      </x:c>
      <x:c r="M221" s="55" t="n">
        <x:v>1573</x:v>
      </x:c>
      <x:c r="N221" s="55" t="n">
        <x:v>3147</x:v>
      </x:c>
      <x:c r="O221" s="55" t="n">
        <x:v>1861</x:v>
      </x:c>
      <x:c r="P221" s="55" t="n">
        <x:v>1222</x:v>
      </x:c>
      <x:c r="Q221" s="55" t="n">
        <x:v>2581</x:v>
      </x:c>
      <x:c r="R221" s="55" t="n">
        <x:v>1912</x:v>
      </x:c>
      <x:c r="S221" s="55" t="n">
        <x:v>2888</x:v>
      </x:c>
      <x:c r="T221" s="55" t="n">
        <x:v>1530</x:v>
      </x:c>
      <x:c r="U221" s="55" t="n">
        <x:v>2189</x:v>
      </x:c>
      <x:c r="V221" s="55" t="n">
        <x:v>11090</x:v>
      </x:c>
      <x:c r="W221" s="55" t="n">
        <x:v>7988</x:v>
      </x:c>
      <x:c r="X221" s="55" t="n">
        <x:v>3102</x:v>
      </x:c>
      <x:c r="Y221" s="55" t="n">
        <x:v>2745</x:v>
      </x:c>
      <x:c r="Z221" s="55" t="n">
        <x:v>3932</x:v>
      </x:c>
      <x:c r="AA221" s="55" t="n">
        <x:v>3124</x:v>
      </x:c>
      <x:c r="AB221" s="55" t="n">
        <x:v>1280</x:v>
      </x:c>
      <x:c r="AC221" s="55" t="n">
        <x:v>8267</x:v>
      </x:c>
      <x:c r="AD221" s="55" t="n">
        <x:v>2872</x:v>
      </x:c>
      <x:c r="AE221" s="55" t="n">
        <x:v>11183</x:v>
      </x:c>
      <x:c r="AF221" s="55" t="n">
        <x:v>11090</x:v>
      </x:c>
      <x:c r="AG221" s="55" t="n">
        <x:v>93</x:v>
      </x:c>
      <x:c r="AH221" s="55" t="n">
        <x:v>495</x:v>
      </x:c>
      <x:c r="AI221" s="55" t="n">
        <x:v>10595</x:v>
      </x:c>
      <x:c r="AJ221" s="55" t="n">
        <x:v>453</x:v>
      </x:c>
      <x:c r="AK221" s="55" t="n">
        <x:v>1003</x:v>
      </x:c>
      <x:c r="AL221" s="55" t="n">
        <x:v>1856</x:v>
      </x:c>
      <x:c r="AM221" s="55" t="n">
        <x:v>4790</x:v>
      </x:c>
      <x:c r="AN221" s="55" t="n">
        <x:v>2883</x:v>
      </x:c>
      <x:c r="AO221" s="55" t="n">
        <x:v>105</x:v>
      </x:c>
      <x:c r="AP221" s="55" t="n">
        <x:v>2516</x:v>
      </x:c>
      <x:c r="AQ221" s="55" t="n">
        <x:v>959</x:v>
      </x:c>
    </x:row>
    <x:row r="222">
      <x:c r="A222" s="54" t="str">
        <x:v>T2_CONCORDANT_DOMAIN</x:v>
      </x:c>
      <x:c r="B222" s="54" t="n">
        <x:v>216</x:v>
      </x:c>
      <x:c r="C222" s="54" t="str">
        <x:v>NYC-V2-R01</x:v>
      </x:c>
      <x:c r="D222" s="54" t="str">
        <x:v>V2</x:v>
      </x:c>
      <x:c r="E222" s="54" t="str">
        <x:v>ADMITTED</x:v>
      </x:c>
      <x:c r="F222" s="55" t="n">
        <x:v>28757</x:v>
      </x:c>
      <x:c r="G222" s="55" t="n">
        <x:v>6248</x:v>
      </x:c>
      <x:c r="H222" s="55" t="n">
        <x:v>2837</x:v>
      </x:c>
      <x:c r="I222" s="55" t="n">
        <x:v>857</x:v>
      </x:c>
      <x:c r="J222" s="55" t="n">
        <x:v>96</x:v>
      </x:c>
      <x:c r="K222" s="55" t="n">
        <x:v>28757</x:v>
      </x:c>
      <x:c r="L222" s="55" t="n">
        <x:v>4519</x:v>
      </x:c>
      <x:c r="M222" s="55" t="n">
        <x:v>499</x:v>
      </x:c>
      <x:c r="N222" s="55" t="n">
        <x:v>2731</x:v>
      </x:c>
      <x:c r="O222" s="55" t="n">
        <x:v>1289</x:v>
      </x:c>
      <x:c r="P222" s="55" t="n">
        <x:v>440</x:v>
      </x:c>
      <x:c r="Q222" s="55" t="n">
        <x:v>2135</x:v>
      </x:c>
      <x:c r="R222" s="55" t="n">
        <x:v>1628</x:v>
      </x:c>
      <x:c r="S222" s="55" t="n">
        <x:v>2522</x:v>
      </x:c>
      <x:c r="T222" s="55" t="n">
        <x:v>916</x:v>
      </x:c>
      <x:c r="U222" s="55" t="n">
        <x:v>1704</x:v>
      </x:c>
      <x:c r="V222" s="55" t="n">
        <x:v>9828</x:v>
      </x:c>
      <x:c r="W222" s="55" t="n">
        <x:v>6937</x:v>
      </x:c>
      <x:c r="X222" s="55" t="n">
        <x:v>2891</x:v>
      </x:c>
      <x:c r="Y222" s="55" t="n">
        <x:v>2398</x:v>
      </x:c>
      <x:c r="Z222" s="55" t="n">
        <x:v>3135</x:v>
      </x:c>
      <x:c r="AA222" s="55" t="n">
        <x:v>2837</x:v>
      </x:c>
      <x:c r="AB222" s="55" t="n">
        <x:v>997</x:v>
      </x:c>
      <x:c r="AC222" s="55" t="n">
        <x:v>8262</x:v>
      </x:c>
      <x:c r="AD222" s="55" t="n">
        <x:v>2997</x:v>
      </x:c>
      <x:c r="AE222" s="55" t="n">
        <x:v>9828</x:v>
      </x:c>
      <x:c r="AF222" s="55" t="n">
        <x:v>9828</x:v>
      </x:c>
      <x:c r="AG222" s="55" t="n">
        <x:v>0</x:v>
      </x:c>
      <x:c r="AH222" s="55" t="n">
        <x:v>177</x:v>
      </x:c>
      <x:c r="AI222" s="55" t="n">
        <x:v>9651</x:v>
      </x:c>
      <x:c r="AJ222" s="55" t="n">
        <x:v>305</x:v>
      </x:c>
      <x:c r="AK222" s="55" t="n">
        <x:v>868</x:v>
      </x:c>
      <x:c r="AL222" s="55" t="n">
        <x:v>1838</x:v>
      </x:c>
      <x:c r="AM222" s="55" t="n">
        <x:v>4606</x:v>
      </x:c>
      <x:c r="AN222" s="55" t="n">
        <x:v>2211</x:v>
      </x:c>
      <x:c r="AO222" s="55" t="n">
        <x:v>0</x:v>
      </x:c>
      <x:c r="AP222" s="55" t="n">
        <x:v>2270</x:v>
      </x:c>
      <x:c r="AQ222" s="55" t="n">
        <x:v>944</x:v>
      </x:c>
    </x:row>
    <x:row r="223">
      <x:c r="A223" s="54" t="str">
        <x:v>T2_CONCORDANT_DOMAIN</x:v>
      </x:c>
      <x:c r="B223" s="54" t="n">
        <x:v>217</x:v>
      </x:c>
      <x:c r="C223" s="54" t="str">
        <x:v>NYC-V2-R01</x:v>
      </x:c>
      <x:c r="D223" s="54" t="str">
        <x:v>V2</x:v>
      </x:c>
      <x:c r="E223" s="54" t="str">
        <x:v>ADMITTED</x:v>
      </x:c>
      <x:c r="F223" s="55" t="n">
        <x:v>30307</x:v>
      </x:c>
      <x:c r="G223" s="55" t="n">
        <x:v>6678</x:v>
      </x:c>
      <x:c r="H223" s="55" t="n">
        <x:v>3003</x:v>
      </x:c>
      <x:c r="I223" s="55" t="n">
        <x:v>1210</x:v>
      </x:c>
      <x:c r="J223" s="55" t="n">
        <x:v>246</x:v>
      </x:c>
      <x:c r="K223" s="55" t="n">
        <x:v>30307</x:v>
      </x:c>
      <x:c r="L223" s="55" t="n">
        <x:v>4778</x:v>
      </x:c>
      <x:c r="M223" s="55" t="n">
        <x:v>812</x:v>
      </x:c>
      <x:c r="N223" s="55" t="n">
        <x:v>2262</x:v>
      </x:c>
      <x:c r="O223" s="55" t="n">
        <x:v>1704</x:v>
      </x:c>
      <x:c r="P223" s="55" t="n">
        <x:v>442</x:v>
      </x:c>
      <x:c r="Q223" s="55" t="n">
        <x:v>1869</x:v>
      </x:c>
      <x:c r="R223" s="55" t="n">
        <x:v>1414</x:v>
      </x:c>
      <x:c r="S223" s="55" t="n">
        <x:v>2684</x:v>
      </x:c>
      <x:c r="T223" s="55" t="n">
        <x:v>1241</x:v>
      </x:c>
      <x:c r="U223" s="55" t="n">
        <x:v>1718</x:v>
      </x:c>
      <x:c r="V223" s="55" t="n">
        <x:v>10851</x:v>
      </x:c>
      <x:c r="W223" s="55" t="n">
        <x:v>7969</x:v>
      </x:c>
      <x:c r="X223" s="55" t="n">
        <x:v>2882</x:v>
      </x:c>
      <x:c r="Y223" s="55" t="n">
        <x:v>2431</x:v>
      </x:c>
      <x:c r="Z223" s="55" t="n">
        <x:v>3541</x:v>
      </x:c>
      <x:c r="AA223" s="55" t="n">
        <x:v>2412</x:v>
      </x:c>
      <x:c r="AB223" s="55" t="n">
        <x:v>648</x:v>
      </x:c>
      <x:c r="AC223" s="55" t="n">
        <x:v>7926</x:v>
      </x:c>
      <x:c r="AD223" s="55" t="n">
        <x:v>2846</x:v>
      </x:c>
      <x:c r="AE223" s="55" t="n">
        <x:v>10865</x:v>
      </x:c>
      <x:c r="AF223" s="55" t="n">
        <x:v>10851</x:v>
      </x:c>
      <x:c r="AG223" s="55" t="n">
        <x:v>14</x:v>
      </x:c>
      <x:c r="AH223" s="55" t="n">
        <x:v>522</x:v>
      </x:c>
      <x:c r="AI223" s="55" t="n">
        <x:v>10329</x:v>
      </x:c>
      <x:c r="AJ223" s="55" t="n">
        <x:v>245</x:v>
      </x:c>
      <x:c r="AK223" s="55" t="n">
        <x:v>1011</x:v>
      </x:c>
      <x:c r="AL223" s="55" t="n">
        <x:v>1732</x:v>
      </x:c>
      <x:c r="AM223" s="55" t="n">
        <x:v>5435</x:v>
      </x:c>
      <x:c r="AN223" s="55" t="n">
        <x:v>2390</x:v>
      </x:c>
      <x:c r="AO223" s="55" t="n">
        <x:v>38</x:v>
      </x:c>
      <x:c r="AP223" s="55" t="n">
        <x:v>2351</x:v>
      </x:c>
      <x:c r="AQ223" s="55" t="n">
        <x:v>945</x:v>
      </x:c>
    </x:row>
    <x:row r="224">
      <x:c r="A224" s="54" t="str">
        <x:v>T2_CONCORDANT_DOMAIN</x:v>
      </x:c>
      <x:c r="B224" s="54" t="n">
        <x:v>218</x:v>
      </x:c>
      <x:c r="C224" s="54" t="str">
        <x:v>NYC-V2-R01</x:v>
      </x:c>
      <x:c r="D224" s="54" t="str">
        <x:v>V2</x:v>
      </x:c>
      <x:c r="E224" s="54" t="str">
        <x:v>ADMITTED</x:v>
      </x:c>
      <x:c r="F224" s="55" t="n">
        <x:v>29390</x:v>
      </x:c>
      <x:c r="G224" s="55" t="n">
        <x:v>7165</x:v>
      </x:c>
      <x:c r="H224" s="55" t="n">
        <x:v>2837</x:v>
      </x:c>
      <x:c r="I224" s="55" t="n">
        <x:v>885</x:v>
      </x:c>
      <x:c r="J224" s="55" t="n">
        <x:v>61</x:v>
      </x:c>
      <x:c r="K224" s="55" t="n">
        <x:v>26680</x:v>
      </x:c>
      <x:c r="L224" s="55" t="n">
        <x:v>3441</x:v>
      </x:c>
      <x:c r="M224" s="55" t="n">
        <x:v>339</x:v>
      </x:c>
      <x:c r="N224" s="55" t="n">
        <x:v>1950</x:v>
      </x:c>
      <x:c r="O224" s="55" t="n">
        <x:v>1152</x:v>
      </x:c>
      <x:c r="P224" s="55" t="n">
        <x:v>852</x:v>
      </x:c>
      <x:c r="Q224" s="55" t="n">
        <x:v>2253</x:v>
      </x:c>
      <x:c r="R224" s="55" t="n">
        <x:v>1868</x:v>
      </x:c>
      <x:c r="S224" s="55" t="n">
        <x:v>2647</x:v>
      </x:c>
      <x:c r="T224" s="55" t="n">
        <x:v>1400</x:v>
      </x:c>
      <x:c r="U224" s="55" t="n">
        <x:v>2044</x:v>
      </x:c>
      <x:c r="V224" s="55" t="n">
        <x:v>9705</x:v>
      </x:c>
      <x:c r="W224" s="55" t="n">
        <x:v>7198</x:v>
      </x:c>
      <x:c r="X224" s="55" t="n">
        <x:v>2507</x:v>
      </x:c>
      <x:c r="Y224" s="55" t="n">
        <x:v>2172</x:v>
      </x:c>
      <x:c r="Z224" s="55" t="n">
        <x:v>2895</x:v>
      </x:c>
      <x:c r="AA224" s="55" t="n">
        <x:v>2837</x:v>
      </x:c>
      <x:c r="AB224" s="55" t="n">
        <x:v>826</x:v>
      </x:c>
      <x:c r="AC224" s="55" t="n">
        <x:v>7101</x:v>
      </x:c>
      <x:c r="AD224" s="55" t="n">
        <x:v>2256</x:v>
      </x:c>
      <x:c r="AE224" s="55" t="n">
        <x:v>9713</x:v>
      </x:c>
      <x:c r="AF224" s="55" t="n">
        <x:v>9705</x:v>
      </x:c>
      <x:c r="AG224" s="55" t="n">
        <x:v>8</x:v>
      </x:c>
      <x:c r="AH224" s="55" t="n">
        <x:v>396</x:v>
      </x:c>
      <x:c r="AI224" s="55" t="n">
        <x:v>9309</x:v>
      </x:c>
      <x:c r="AJ224" s="55" t="n">
        <x:v>239</x:v>
      </x:c>
      <x:c r="AK224" s="55" t="n">
        <x:v>870</x:v>
      </x:c>
      <x:c r="AL224" s="55" t="n">
        <x:v>1652</x:v>
      </x:c>
      <x:c r="AM224" s="55" t="n">
        <x:v>4553</x:v>
      </x:c>
      <x:c r="AN224" s="55" t="n">
        <x:v>2391</x:v>
      </x:c>
      <x:c r="AO224" s="55" t="n">
        <x:v>0</x:v>
      </x:c>
      <x:c r="AP224" s="55" t="n">
        <x:v>2596</x:v>
      </x:c>
      <x:c r="AQ224" s="55" t="n">
        <x:v>943</x:v>
      </x:c>
    </x:row>
    <x:row r="225">
      <x:c r="A225" s="54" t="str">
        <x:v>T2_CONCORDANT_DOMAIN</x:v>
      </x:c>
      <x:c r="B225" s="54" t="n">
        <x:v>219</x:v>
      </x:c>
      <x:c r="C225" s="54" t="str">
        <x:v>NYC-V2-R01</x:v>
      </x:c>
      <x:c r="D225" s="54" t="str">
        <x:v>V2</x:v>
      </x:c>
      <x:c r="E225" s="54" t="str">
        <x:v>ADMITTED</x:v>
      </x:c>
      <x:c r="F225" s="55" t="n">
        <x:v>31494</x:v>
      </x:c>
      <x:c r="G225" s="55" t="n">
        <x:v>8514</x:v>
      </x:c>
      <x:c r="H225" s="55" t="n">
        <x:v>3340</x:v>
      </x:c>
      <x:c r="I225" s="55" t="n">
        <x:v>1114</x:v>
      </x:c>
      <x:c r="J225" s="55" t="n">
        <x:v>23</x:v>
      </x:c>
      <x:c r="K225" s="55" t="n">
        <x:v>31494</x:v>
      </x:c>
      <x:c r="L225" s="55" t="n">
        <x:v>6542</x:v>
      </x:c>
      <x:c r="M225" s="55" t="n">
        <x:v>2026</x:v>
      </x:c>
      <x:c r="N225" s="55" t="n">
        <x:v>2614</x:v>
      </x:c>
      <x:c r="O225" s="55" t="n">
        <x:v>1902</x:v>
      </x:c>
      <x:c r="P225" s="55" t="n">
        <x:v>823</x:v>
      </x:c>
      <x:c r="Q225" s="55" t="n">
        <x:v>2760</x:v>
      </x:c>
      <x:c r="R225" s="55" t="n">
        <x:v>2021</x:v>
      </x:c>
      <x:c r="S225" s="55" t="n">
        <x:v>2469</x:v>
      </x:c>
      <x:c r="T225" s="55" t="n">
        <x:v>1201</x:v>
      </x:c>
      <x:c r="U225" s="55" t="n">
        <x:v>2118</x:v>
      </x:c>
      <x:c r="V225" s="55" t="n">
        <x:v>9802</x:v>
      </x:c>
      <x:c r="W225" s="55" t="n">
        <x:v>6645</x:v>
      </x:c>
      <x:c r="X225" s="55" t="n">
        <x:v>3157</x:v>
      </x:c>
      <x:c r="Y225" s="55" t="n">
        <x:v>2727</x:v>
      </x:c>
      <x:c r="Z225" s="55" t="n">
        <x:v>3562</x:v>
      </x:c>
      <x:c r="AA225" s="55" t="n">
        <x:v>3340</x:v>
      </x:c>
      <x:c r="AB225" s="55" t="n">
        <x:v>1426</x:v>
      </x:c>
      <x:c r="AC225" s="55" t="n">
        <x:v>7781</x:v>
      </x:c>
      <x:c r="AD225" s="55" t="n">
        <x:v>2883</x:v>
      </x:c>
      <x:c r="AE225" s="55" t="n">
        <x:v>9855</x:v>
      </x:c>
      <x:c r="AF225" s="55" t="n">
        <x:v>9802</x:v>
      </x:c>
      <x:c r="AG225" s="55" t="n">
        <x:v>53</x:v>
      </x:c>
      <x:c r="AH225" s="55" t="n">
        <x:v>327</x:v>
      </x:c>
      <x:c r="AI225" s="55" t="n">
        <x:v>9475</x:v>
      </x:c>
      <x:c r="AJ225" s="55" t="n">
        <x:v>309</x:v>
      </x:c>
      <x:c r="AK225" s="55" t="n">
        <x:v>822</x:v>
      </x:c>
      <x:c r="AL225" s="55" t="n">
        <x:v>1388</x:v>
      </x:c>
      <x:c r="AM225" s="55" t="n">
        <x:v>4834</x:v>
      </x:c>
      <x:c r="AN225" s="55" t="n">
        <x:v>2449</x:v>
      </x:c>
      <x:c r="AO225" s="55" t="n">
        <x:v>0</x:v>
      </x:c>
      <x:c r="AP225" s="55" t="n">
        <x:v>1781</x:v>
      </x:c>
      <x:c r="AQ225" s="55" t="n">
        <x:v>938</x:v>
      </x:c>
    </x:row>
    <x:row r="226">
      <x:c r="A226" s="54" t="str">
        <x:v>T2_CONCORDANT_DOMAIN</x:v>
      </x:c>
      <x:c r="B226" s="54" t="n">
        <x:v>220</x:v>
      </x:c>
      <x:c r="C226" s="54" t="str">
        <x:v>NYC-V2-R01</x:v>
      </x:c>
      <x:c r="D226" s="54" t="str">
        <x:v>V2</x:v>
      </x:c>
      <x:c r="E226" s="54" t="str">
        <x:v>ADMITTED</x:v>
      </x:c>
      <x:c r="F226" s="55" t="n">
        <x:v>34099</x:v>
      </x:c>
      <x:c r="G226" s="55" t="n">
        <x:v>10092</x:v>
      </x:c>
      <x:c r="H226" s="55" t="n">
        <x:v>3884</x:v>
      </x:c>
      <x:c r="I226" s="55" t="n">
        <x:v>1569</x:v>
      </x:c>
      <x:c r="J226" s="55" t="n">
        <x:v>418</x:v>
      </x:c>
      <x:c r="K226" s="55" t="n">
        <x:v>32450</x:v>
      </x:c>
      <x:c r="L226" s="55" t="n">
        <x:v>6401</x:v>
      </x:c>
      <x:c r="M226" s="55" t="n">
        <x:v>1391</x:v>
      </x:c>
      <x:c r="N226" s="55" t="n">
        <x:v>2988</x:v>
      </x:c>
      <x:c r="O226" s="55" t="n">
        <x:v>2022</x:v>
      </x:c>
      <x:c r="P226" s="55" t="n">
        <x:v>1046</x:v>
      </x:c>
      <x:c r="Q226" s="55" t="n">
        <x:v>3368</x:v>
      </x:c>
      <x:c r="R226" s="55" t="n">
        <x:v>2512</x:v>
      </x:c>
      <x:c r="S226" s="55" t="n">
        <x:v>3461</x:v>
      </x:c>
      <x:c r="T226" s="55" t="n">
        <x:v>1413</x:v>
      </x:c>
      <x:c r="U226" s="55" t="n">
        <x:v>2500</x:v>
      </x:c>
      <x:c r="V226" s="55" t="n">
        <x:v>11100</x:v>
      </x:c>
      <x:c r="W226" s="55" t="n">
        <x:v>7513</x:v>
      </x:c>
      <x:c r="X226" s="55" t="n">
        <x:v>3587</x:v>
      </x:c>
      <x:c r="Y226" s="55" t="n">
        <x:v>3112</x:v>
      </x:c>
      <x:c r="Z226" s="55" t="n">
        <x:v>4260</x:v>
      </x:c>
      <x:c r="AA226" s="55" t="n">
        <x:v>3416</x:v>
      </x:c>
      <x:c r="AB226" s="55" t="n">
        <x:v>1290</x:v>
      </x:c>
      <x:c r="AC226" s="55" t="n">
        <x:v>8733</x:v>
      </x:c>
      <x:c r="AD226" s="55" t="n">
        <x:v>3240</x:v>
      </x:c>
      <x:c r="AE226" s="55" t="n">
        <x:v>11212</x:v>
      </x:c>
      <x:c r="AF226" s="55" t="n">
        <x:v>11100</x:v>
      </x:c>
      <x:c r="AG226" s="55" t="n">
        <x:v>112</x:v>
      </x:c>
      <x:c r="AH226" s="55" t="n">
        <x:v>671</x:v>
      </x:c>
      <x:c r="AI226" s="55" t="n">
        <x:v>10429</x:v>
      </x:c>
      <x:c r="AJ226" s="55" t="n">
        <x:v>395</x:v>
      </x:c>
      <x:c r="AK226" s="55" t="n">
        <x:v>1122</x:v>
      </x:c>
      <x:c r="AL226" s="55" t="n">
        <x:v>1898</x:v>
      </x:c>
      <x:c r="AM226" s="55" t="n">
        <x:v>4551</x:v>
      </x:c>
      <x:c r="AN226" s="55" t="n">
        <x:v>3115</x:v>
      </x:c>
      <x:c r="AO226" s="55" t="n">
        <x:v>19</x:v>
      </x:c>
      <x:c r="AP226" s="55" t="n">
        <x:v>2327</x:v>
      </x:c>
      <x:c r="AQ226" s="55" t="n">
        <x:v>962</x:v>
      </x:c>
    </x:row>
    <x:row r="227">
      <x:c r="A227" s="54" t="str">
        <x:v>T2_CONCORDANT_DOMAIN</x:v>
      </x:c>
      <x:c r="B227" s="54" t="n">
        <x:v>221</x:v>
      </x:c>
      <x:c r="C227" s="54" t="str">
        <x:v>NYC-V2-R01</x:v>
      </x:c>
      <x:c r="D227" s="54" t="str">
        <x:v>V2</x:v>
      </x:c>
      <x:c r="E227" s="54" t="str">
        <x:v>ADMITTED</x:v>
      </x:c>
      <x:c r="F227" s="55" t="n">
        <x:v>31720</x:v>
      </x:c>
      <x:c r="G227" s="55" t="n">
        <x:v>9241</x:v>
      </x:c>
      <x:c r="H227" s="55" t="n">
        <x:v>3584</x:v>
      </x:c>
      <x:c r="I227" s="55" t="n">
        <x:v>1521</x:v>
      </x:c>
      <x:c r="J227" s="55" t="n">
        <x:v>399</x:v>
      </x:c>
      <x:c r="K227" s="55" t="n">
        <x:v>30289</x:v>
      </x:c>
      <x:c r="L227" s="55" t="n">
        <x:v>5717</x:v>
      </x:c>
      <x:c r="M227" s="55" t="n">
        <x:v>1278</x:v>
      </x:c>
      <x:c r="N227" s="55" t="n">
        <x:v>2540</x:v>
      </x:c>
      <x:c r="O227" s="55" t="n">
        <x:v>1899</x:v>
      </x:c>
      <x:c r="P227" s="55" t="n">
        <x:v>1172</x:v>
      </x:c>
      <x:c r="Q227" s="55" t="n">
        <x:v>1975</x:v>
      </x:c>
      <x:c r="R227" s="55" t="n">
        <x:v>1628</x:v>
      </x:c>
      <x:c r="S227" s="55" t="n">
        <x:v>2603</x:v>
      </x:c>
      <x:c r="T227" s="55" t="n">
        <x:v>1221</x:v>
      </x:c>
      <x:c r="U227" s="55" t="n">
        <x:v>2301</x:v>
      </x:c>
      <x:c r="V227" s="55" t="n">
        <x:v>10815</x:v>
      </x:c>
      <x:c r="W227" s="55" t="n">
        <x:v>7544</x:v>
      </x:c>
      <x:c r="X227" s="55" t="n">
        <x:v>3271</x:v>
      </x:c>
      <x:c r="Y227" s="55" t="n">
        <x:v>2731</x:v>
      </x:c>
      <x:c r="Z227" s="55" t="n">
        <x:v>4705</x:v>
      </x:c>
      <x:c r="AA227" s="55" t="n">
        <x:v>3584</x:v>
      </x:c>
      <x:c r="AB227" s="55" t="n">
        <x:v>1366</x:v>
      </x:c>
      <x:c r="AC227" s="55" t="n">
        <x:v>8601</x:v>
      </x:c>
      <x:c r="AD227" s="55" t="n">
        <x:v>3707</x:v>
      </x:c>
      <x:c r="AE227" s="55" t="n">
        <x:v>10894</x:v>
      </x:c>
      <x:c r="AF227" s="55" t="n">
        <x:v>10815</x:v>
      </x:c>
      <x:c r="AG227" s="55" t="n">
        <x:v>79</x:v>
      </x:c>
      <x:c r="AH227" s="55" t="n">
        <x:v>640</x:v>
      </x:c>
      <x:c r="AI227" s="55" t="n">
        <x:v>10175</x:v>
      </x:c>
      <x:c r="AJ227" s="55" t="n">
        <x:v>215</x:v>
      </x:c>
      <x:c r="AK227" s="55" t="n">
        <x:v>768</x:v>
      </x:c>
      <x:c r="AL227" s="55" t="n">
        <x:v>1506</x:v>
      </x:c>
      <x:c r="AM227" s="55" t="n">
        <x:v>5152</x:v>
      </x:c>
      <x:c r="AN227" s="55" t="n">
        <x:v>3109</x:v>
      </x:c>
      <x:c r="AO227" s="55" t="n">
        <x:v>65</x:v>
      </x:c>
      <x:c r="AP227" s="55" t="n">
        <x:v>2191</x:v>
      </x:c>
      <x:c r="AQ227" s="55" t="n">
        <x:v>1004</x:v>
      </x:c>
    </x:row>
    <x:row r="228">
      <x:c r="A228" s="54" t="str">
        <x:v>T2_CONCORDANT_DOMAIN</x:v>
      </x:c>
      <x:c r="B228" s="54" t="n">
        <x:v>222</x:v>
      </x:c>
      <x:c r="C228" s="54" t="str">
        <x:v>NYC-V2-R01</x:v>
      </x:c>
      <x:c r="D228" s="54" t="str">
        <x:v>V2</x:v>
      </x:c>
      <x:c r="E228" s="54" t="str">
        <x:v>ADMITTED</x:v>
      </x:c>
      <x:c r="F228" s="55" t="n">
        <x:v>31309</x:v>
      </x:c>
      <x:c r="G228" s="55" t="n">
        <x:v>7692</x:v>
      </x:c>
      <x:c r="H228" s="55" t="n">
        <x:v>4147</x:v>
      </x:c>
      <x:c r="I228" s="55" t="n">
        <x:v>1835</x:v>
      </x:c>
      <x:c r="J228" s="55" t="n">
        <x:v>364</x:v>
      </x:c>
      <x:c r="K228" s="55" t="n">
        <x:v>29313</x:v>
      </x:c>
      <x:c r="L228" s="55" t="n">
        <x:v>6035</x:v>
      </x:c>
      <x:c r="M228" s="55" t="n">
        <x:v>1767</x:v>
      </x:c>
      <x:c r="N228" s="55" t="n">
        <x:v>2673</x:v>
      </x:c>
      <x:c r="O228" s="55" t="n">
        <x:v>1595</x:v>
      </x:c>
      <x:c r="P228" s="55" t="n">
        <x:v>1046</x:v>
      </x:c>
      <x:c r="Q228" s="55" t="n">
        <x:v>3196</x:v>
      </x:c>
      <x:c r="R228" s="55" t="n">
        <x:v>2012</x:v>
      </x:c>
      <x:c r="S228" s="55" t="n">
        <x:v>2612</x:v>
      </x:c>
      <x:c r="T228" s="55" t="n">
        <x:v>1454</x:v>
      </x:c>
      <x:c r="U228" s="55" t="n">
        <x:v>2198</x:v>
      </x:c>
      <x:c r="V228" s="55" t="n">
        <x:v>10574</x:v>
      </x:c>
      <x:c r="W228" s="55" t="n">
        <x:v>7376</x:v>
      </x:c>
      <x:c r="X228" s="55" t="n">
        <x:v>3198</x:v>
      </x:c>
      <x:c r="Y228" s="55" t="n">
        <x:v>2877</x:v>
      </x:c>
      <x:c r="Z228" s="55" t="n">
        <x:v>3851</x:v>
      </x:c>
      <x:c r="AA228" s="55" t="n">
        <x:v>3382</x:v>
      </x:c>
      <x:c r="AB228" s="55" t="n">
        <x:v>1184</x:v>
      </x:c>
      <x:c r="AC228" s="55" t="n">
        <x:v>8104</x:v>
      </x:c>
      <x:c r="AD228" s="55" t="n">
        <x:v>3403</x:v>
      </x:c>
      <x:c r="AE228" s="55" t="n">
        <x:v>10670</x:v>
      </x:c>
      <x:c r="AF228" s="55" t="n">
        <x:v>10574</x:v>
      </x:c>
      <x:c r="AG228" s="55" t="n">
        <x:v>96</x:v>
      </x:c>
      <x:c r="AH228" s="55" t="n">
        <x:v>479</x:v>
      </x:c>
      <x:c r="AI228" s="55" t="n">
        <x:v>10095</x:v>
      </x:c>
      <x:c r="AJ228" s="55" t="n">
        <x:v>342</x:v>
      </x:c>
      <x:c r="AK228" s="55" t="n">
        <x:v>1160</x:v>
      </x:c>
      <x:c r="AL228" s="55" t="n">
        <x:v>1496</x:v>
      </x:c>
      <x:c r="AM228" s="55" t="n">
        <x:v>4948</x:v>
      </x:c>
      <x:c r="AN228" s="55" t="n">
        <x:v>2628</x:v>
      </x:c>
      <x:c r="AO228" s="55" t="n">
        <x:v>0</x:v>
      </x:c>
      <x:c r="AP228" s="55" t="n">
        <x:v>2293</x:v>
      </x:c>
      <x:c r="AQ228" s="55" t="n">
        <x:v>961</x:v>
      </x:c>
    </x:row>
    <x:row r="229">
      <x:c r="A229" s="54" t="str">
        <x:v>T2_CONCORDANT_DOMAIN</x:v>
      </x:c>
      <x:c r="B229" s="54" t="n">
        <x:v>223</x:v>
      </x:c>
      <x:c r="C229" s="54" t="str">
        <x:v>NYC-V2-R01</x:v>
      </x:c>
      <x:c r="D229" s="54" t="str">
        <x:v>V2</x:v>
      </x:c>
      <x:c r="E229" s="54" t="str">
        <x:v>ADMITTED</x:v>
      </x:c>
      <x:c r="F229" s="55" t="n">
        <x:v>29546</x:v>
      </x:c>
      <x:c r="G229" s="55" t="n">
        <x:v>6491</x:v>
      </x:c>
      <x:c r="H229" s="55" t="n">
        <x:v>3008</x:v>
      </x:c>
      <x:c r="I229" s="55" t="n">
        <x:v>901</x:v>
      </x:c>
      <x:c r="J229" s="55" t="n">
        <x:v>146</x:v>
      </x:c>
      <x:c r="K229" s="55" t="n">
        <x:v>29546</x:v>
      </x:c>
      <x:c r="L229" s="55" t="n">
        <x:v>5137</x:v>
      </x:c>
      <x:c r="M229" s="55" t="n">
        <x:v>1068</x:v>
      </x:c>
      <x:c r="N229" s="55" t="n">
        <x:v>2739</x:v>
      </x:c>
      <x:c r="O229" s="55" t="n">
        <x:v>1330</x:v>
      </x:c>
      <x:c r="P229" s="55" t="n">
        <x:v>483</x:v>
      </x:c>
      <x:c r="Q229" s="55" t="n">
        <x:v>1782</x:v>
      </x:c>
      <x:c r="R229" s="55" t="n">
        <x:v>1800</x:v>
      </x:c>
      <x:c r="S229" s="55" t="n">
        <x:v>2252</x:v>
      </x:c>
      <x:c r="T229" s="55" t="n">
        <x:v>1178</x:v>
      </x:c>
      <x:c r="U229" s="55" t="n">
        <x:v>1815</x:v>
      </x:c>
      <x:c r="V229" s="55" t="n">
        <x:v>9752</x:v>
      </x:c>
      <x:c r="W229" s="55" t="n">
        <x:v>6869</x:v>
      </x:c>
      <x:c r="X229" s="55" t="n">
        <x:v>2883</x:v>
      </x:c>
      <x:c r="Y229" s="55" t="n">
        <x:v>2426</x:v>
      </x:c>
      <x:c r="Z229" s="55" t="n">
        <x:v>3627</x:v>
      </x:c>
      <x:c r="AA229" s="55" t="n">
        <x:v>3008</x:v>
      </x:c>
      <x:c r="AB229" s="55" t="n">
        <x:v>924</x:v>
      </x:c>
      <x:c r="AC229" s="55" t="n">
        <x:v>7824</x:v>
      </x:c>
      <x:c r="AD229" s="55" t="n">
        <x:v>2544</x:v>
      </x:c>
      <x:c r="AE229" s="55" t="n">
        <x:v>9902</x:v>
      </x:c>
      <x:c r="AF229" s="55" t="n">
        <x:v>9752</x:v>
      </x:c>
      <x:c r="AG229" s="55" t="n">
        <x:v>150</x:v>
      </x:c>
      <x:c r="AH229" s="55" t="n">
        <x:v>408</x:v>
      </x:c>
      <x:c r="AI229" s="55" t="n">
        <x:v>9344</x:v>
      </x:c>
      <x:c r="AJ229" s="55" t="n">
        <x:v>307</x:v>
      </x:c>
      <x:c r="AK229" s="55" t="n">
        <x:v>888</x:v>
      </x:c>
      <x:c r="AL229" s="55" t="n">
        <x:v>1128</x:v>
      </x:c>
      <x:c r="AM229" s="55" t="n">
        <x:v>4528</x:v>
      </x:c>
      <x:c r="AN229" s="55" t="n">
        <x:v>2851</x:v>
      </x:c>
      <x:c r="AO229" s="55" t="n">
        <x:v>50</x:v>
      </x:c>
      <x:c r="AP229" s="55" t="n">
        <x:v>2390</x:v>
      </x:c>
      <x:c r="AQ229" s="55" t="n">
        <x:v>931</x:v>
      </x:c>
    </x:row>
    <x:row r="230">
      <x:c r="A230" s="54" t="str">
        <x:v>T2_CONCORDANT_DOMAIN</x:v>
      </x:c>
      <x:c r="B230" s="54" t="n">
        <x:v>224</x:v>
      </x:c>
      <x:c r="C230" s="54" t="str">
        <x:v>NYC-V2-R01</x:v>
      </x:c>
      <x:c r="D230" s="54" t="str">
        <x:v>V2</x:v>
      </x:c>
      <x:c r="E230" s="54" t="str">
        <x:v>ADMITTED</x:v>
      </x:c>
      <x:c r="F230" s="55" t="n">
        <x:v>31656</x:v>
      </x:c>
      <x:c r="G230" s="55" t="n">
        <x:v>6804</x:v>
      </x:c>
      <x:c r="H230" s="55" t="n">
        <x:v>2821</x:v>
      </x:c>
      <x:c r="I230" s="55" t="n">
        <x:v>1118</x:v>
      </x:c>
      <x:c r="J230" s="55" t="n">
        <x:v>173</x:v>
      </x:c>
      <x:c r="K230" s="55" t="n">
        <x:v>31656</x:v>
      </x:c>
      <x:c r="L230" s="55" t="n">
        <x:v>5791</x:v>
      </x:c>
      <x:c r="M230" s="55" t="n">
        <x:v>1077</x:v>
      </x:c>
      <x:c r="N230" s="55" t="n">
        <x:v>2698</x:v>
      </x:c>
      <x:c r="O230" s="55" t="n">
        <x:v>2016</x:v>
      </x:c>
      <x:c r="P230" s="55" t="n">
        <x:v>887</x:v>
      </x:c>
      <x:c r="Q230" s="55" t="n">
        <x:v>2732</x:v>
      </x:c>
      <x:c r="R230" s="55" t="n">
        <x:v>2271</x:v>
      </x:c>
      <x:c r="S230" s="55" t="n">
        <x:v>3259</x:v>
      </x:c>
      <x:c r="T230" s="55" t="n">
        <x:v>1227</x:v>
      </x:c>
      <x:c r="U230" s="55" t="n">
        <x:v>2255</x:v>
      </x:c>
      <x:c r="V230" s="55" t="n">
        <x:v>10760</x:v>
      </x:c>
      <x:c r="W230" s="55" t="n">
        <x:v>7669</x:v>
      </x:c>
      <x:c r="X230" s="55" t="n">
        <x:v>3091</x:v>
      </x:c>
      <x:c r="Y230" s="55" t="n">
        <x:v>2542</x:v>
      </x:c>
      <x:c r="Z230" s="55" t="n">
        <x:v>3305</x:v>
      </x:c>
      <x:c r="AA230" s="55" t="n">
        <x:v>2696</x:v>
      </x:c>
      <x:c r="AB230" s="55" t="n">
        <x:v>1104</x:v>
      </x:c>
      <x:c r="AC230" s="55" t="n">
        <x:v>8068</x:v>
      </x:c>
      <x:c r="AD230" s="55" t="n">
        <x:v>2958</x:v>
      </x:c>
      <x:c r="AE230" s="55" t="n">
        <x:v>10828</x:v>
      </x:c>
      <x:c r="AF230" s="55" t="n">
        <x:v>10760</x:v>
      </x:c>
      <x:c r="AG230" s="55" t="n">
        <x:v>68</x:v>
      </x:c>
      <x:c r="AH230" s="55" t="n">
        <x:v>410</x:v>
      </x:c>
      <x:c r="AI230" s="55" t="n">
        <x:v>10350</x:v>
      </x:c>
      <x:c r="AJ230" s="55" t="n">
        <x:v>521</x:v>
      </x:c>
      <x:c r="AK230" s="55" t="n">
        <x:v>1025</x:v>
      </x:c>
      <x:c r="AL230" s="55" t="n">
        <x:v>1318</x:v>
      </x:c>
      <x:c r="AM230" s="55" t="n">
        <x:v>5076</x:v>
      </x:c>
      <x:c r="AN230" s="55" t="n">
        <x:v>2782</x:v>
      </x:c>
      <x:c r="AO230" s="55" t="n">
        <x:v>38</x:v>
      </x:c>
      <x:c r="AP230" s="55" t="n">
        <x:v>2059</x:v>
      </x:c>
      <x:c r="AQ230" s="55" t="n">
        <x:v>910</x:v>
      </x:c>
    </x:row>
    <x:row r="231">
      <x:c r="A231" s="54" t="str">
        <x:v>T2_CONCORDANT_DOMAIN</x:v>
      </x:c>
      <x:c r="B231" s="54" t="n">
        <x:v>225</x:v>
      </x:c>
      <x:c r="C231" s="54" t="str">
        <x:v>NYC-V2-R01</x:v>
      </x:c>
      <x:c r="D231" s="54" t="str">
        <x:v>V2</x:v>
      </x:c>
      <x:c r="E231" s="54" t="str">
        <x:v>ADMITTED</x:v>
      </x:c>
      <x:c r="F231" s="55" t="n">
        <x:v>28703</x:v>
      </x:c>
      <x:c r="G231" s="55" t="n">
        <x:v>6426</x:v>
      </x:c>
      <x:c r="H231" s="55" t="n">
        <x:v>3200</x:v>
      </x:c>
      <x:c r="I231" s="55" t="n">
        <x:v>1142</x:v>
      </x:c>
      <x:c r="J231" s="55" t="n">
        <x:v>154</x:v>
      </x:c>
      <x:c r="K231" s="55" t="n">
        <x:v>28703</x:v>
      </x:c>
      <x:c r="L231" s="55" t="n">
        <x:v>5083</x:v>
      </x:c>
      <x:c r="M231" s="55" t="n">
        <x:v>928</x:v>
      </x:c>
      <x:c r="N231" s="55" t="n">
        <x:v>2508</x:v>
      </x:c>
      <x:c r="O231" s="55" t="n">
        <x:v>1647</x:v>
      </x:c>
      <x:c r="P231" s="55" t="n">
        <x:v>461</x:v>
      </x:c>
      <x:c r="Q231" s="55" t="n">
        <x:v>2114</x:v>
      </x:c>
      <x:c r="R231" s="55" t="n">
        <x:v>1421</x:v>
      </x:c>
      <x:c r="S231" s="55" t="n">
        <x:v>2529</x:v>
      </x:c>
      <x:c r="T231" s="55" t="n">
        <x:v>896</x:v>
      </x:c>
      <x:c r="U231" s="55" t="n">
        <x:v>1770</x:v>
      </x:c>
      <x:c r="V231" s="55" t="n">
        <x:v>10416</x:v>
      </x:c>
      <x:c r="W231" s="55" t="n">
        <x:v>7689</x:v>
      </x:c>
      <x:c r="X231" s="55" t="n">
        <x:v>2727</x:v>
      </x:c>
      <x:c r="Y231" s="55" t="n">
        <x:v>2359</x:v>
      </x:c>
      <x:c r="Z231" s="55" t="n">
        <x:v>3429</x:v>
      </x:c>
      <x:c r="AA231" s="55" t="n">
        <x:v>2764</x:v>
      </x:c>
      <x:c r="AB231" s="55" t="n">
        <x:v>1205</x:v>
      </x:c>
      <x:c r="AC231" s="55" t="n">
        <x:v>7303</x:v>
      </x:c>
      <x:c r="AD231" s="55" t="n">
        <x:v>2468</x:v>
      </x:c>
      <x:c r="AE231" s="55" t="n">
        <x:v>10494</x:v>
      </x:c>
      <x:c r="AF231" s="55" t="n">
        <x:v>10416</x:v>
      </x:c>
      <x:c r="AG231" s="55" t="n">
        <x:v>78</x:v>
      </x:c>
      <x:c r="AH231" s="55" t="n">
        <x:v>380</x:v>
      </x:c>
      <x:c r="AI231" s="55" t="n">
        <x:v>10036</x:v>
      </x:c>
      <x:c r="AJ231" s="55" t="n">
        <x:v>456</x:v>
      </x:c>
      <x:c r="AK231" s="55" t="n">
        <x:v>838</x:v>
      </x:c>
      <x:c r="AL231" s="55" t="n">
        <x:v>1621</x:v>
      </x:c>
      <x:c r="AM231" s="55" t="n">
        <x:v>4916</x:v>
      </x:c>
      <x:c r="AN231" s="55" t="n">
        <x:v>2585</x:v>
      </x:c>
      <x:c r="AO231" s="55" t="n">
        <x:v>0</x:v>
      </x:c>
      <x:c r="AP231" s="55" t="n">
        <x:v>2294</x:v>
      </x:c>
      <x:c r="AQ231" s="55" t="n">
        <x:v>951</x:v>
      </x:c>
    </x:row>
    <x:row r="232">
      <x:c r="A232" s="54" t="str">
        <x:v>T2_CONCORDANT_DOMAIN</x:v>
      </x:c>
      <x:c r="B232" s="54" t="n">
        <x:v>226</x:v>
      </x:c>
      <x:c r="C232" s="54" t="str">
        <x:v>NYC-V2-R01</x:v>
      </x:c>
      <x:c r="D232" s="54" t="str">
        <x:v>V2</x:v>
      </x:c>
      <x:c r="E232" s="54" t="str">
        <x:v>ADMITTED</x:v>
      </x:c>
      <x:c r="F232" s="55" t="n">
        <x:v>34697</x:v>
      </x:c>
      <x:c r="G232" s="55" t="n">
        <x:v>8538</x:v>
      </x:c>
      <x:c r="H232" s="55" t="n">
        <x:v>3740</x:v>
      </x:c>
      <x:c r="I232" s="55" t="n">
        <x:v>1521</x:v>
      </x:c>
      <x:c r="J232" s="55" t="n">
        <x:v>271</x:v>
      </x:c>
      <x:c r="K232" s="55" t="n">
        <x:v>32003</x:v>
      </x:c>
      <x:c r="L232" s="55" t="n">
        <x:v>7074</x:v>
      </x:c>
      <x:c r="M232" s="55" t="n">
        <x:v>1666</x:v>
      </x:c>
      <x:c r="N232" s="55" t="n">
        <x:v>3313</x:v>
      </x:c>
      <x:c r="O232" s="55" t="n">
        <x:v>2095</x:v>
      </x:c>
      <x:c r="P232" s="55" t="n">
        <x:v>857</x:v>
      </x:c>
      <x:c r="Q232" s="55" t="n">
        <x:v>2403</x:v>
      </x:c>
      <x:c r="R232" s="55" t="n">
        <x:v>2095</x:v>
      </x:c>
      <x:c r="S232" s="55" t="n">
        <x:v>3431</x:v>
      </x:c>
      <x:c r="T232" s="55" t="n">
        <x:v>1315</x:v>
      </x:c>
      <x:c r="U232" s="55" t="n">
        <x:v>2199</x:v>
      </x:c>
      <x:c r="V232" s="55" t="n">
        <x:v>10745</x:v>
      </x:c>
      <x:c r="W232" s="55" t="n">
        <x:v>7736</x:v>
      </x:c>
      <x:c r="X232" s="55" t="n">
        <x:v>3009</x:v>
      </x:c>
      <x:c r="Y232" s="55" t="n">
        <x:v>2668</x:v>
      </x:c>
      <x:c r="Z232" s="55" t="n">
        <x:v>4377</x:v>
      </x:c>
      <x:c r="AA232" s="55" t="n">
        <x:v>3428</x:v>
      </x:c>
      <x:c r="AB232" s="55" t="n">
        <x:v>1224</x:v>
      </x:c>
      <x:c r="AC232" s="55" t="n">
        <x:v>7759</x:v>
      </x:c>
      <x:c r="AD232" s="55" t="n">
        <x:v>3099</x:v>
      </x:c>
      <x:c r="AE232" s="55" t="n">
        <x:v>10830</x:v>
      </x:c>
      <x:c r="AF232" s="55" t="n">
        <x:v>10745</x:v>
      </x:c>
      <x:c r="AG232" s="55" t="n">
        <x:v>85</x:v>
      </x:c>
      <x:c r="AH232" s="55" t="n">
        <x:v>533</x:v>
      </x:c>
      <x:c r="AI232" s="55" t="n">
        <x:v>10212</x:v>
      </x:c>
      <x:c r="AJ232" s="55" t="n">
        <x:v>466</x:v>
      </x:c>
      <x:c r="AK232" s="55" t="n">
        <x:v>969</x:v>
      </x:c>
      <x:c r="AL232" s="55" t="n">
        <x:v>1949</x:v>
      </x:c>
      <x:c r="AM232" s="55" t="n">
        <x:v>4485</x:v>
      </x:c>
      <x:c r="AN232" s="55" t="n">
        <x:v>2817</x:v>
      </x:c>
      <x:c r="AO232" s="55" t="n">
        <x:v>59</x:v>
      </x:c>
      <x:c r="AP232" s="55" t="n">
        <x:v>2289</x:v>
      </x:c>
      <x:c r="AQ232" s="55" t="n">
        <x:v>1017</x:v>
      </x:c>
    </x:row>
    <x:row r="233">
      <x:c r="A233" s="54" t="str">
        <x:v>T2_CONCORDANT_DOMAIN</x:v>
      </x:c>
      <x:c r="B233" s="54" t="n">
        <x:v>227</x:v>
      </x:c>
      <x:c r="C233" s="54" t="str">
        <x:v>NYC-V2-R01</x:v>
      </x:c>
      <x:c r="D233" s="54" t="str">
        <x:v>V2</x:v>
      </x:c>
      <x:c r="E233" s="54" t="str">
        <x:v>ADMITTED</x:v>
      </x:c>
      <x:c r="F233" s="55" t="n">
        <x:v>30701</x:v>
      </x:c>
      <x:c r="G233" s="55" t="n">
        <x:v>8149</x:v>
      </x:c>
      <x:c r="H233" s="55" t="n">
        <x:v>3213</x:v>
      </x:c>
      <x:c r="I233" s="55" t="n">
        <x:v>1037</x:v>
      </x:c>
      <x:c r="J233" s="55" t="n">
        <x:v>45</x:v>
      </x:c>
      <x:c r="K233" s="55" t="n">
        <x:v>28705</x:v>
      </x:c>
      <x:c r="L233" s="55" t="n">
        <x:v>5031</x:v>
      </x:c>
      <x:c r="M233" s="55" t="n">
        <x:v>1076</x:v>
      </x:c>
      <x:c r="N233" s="55" t="n">
        <x:v>2467</x:v>
      </x:c>
      <x:c r="O233" s="55" t="n">
        <x:v>1488</x:v>
      </x:c>
      <x:c r="P233" s="55" t="n">
        <x:v>865</x:v>
      </x:c>
      <x:c r="Q233" s="55" t="n">
        <x:v>1497</x:v>
      </x:c>
      <x:c r="R233" s="55" t="n">
        <x:v>1539</x:v>
      </x:c>
      <x:c r="S233" s="55" t="n">
        <x:v>2200</x:v>
      </x:c>
      <x:c r="T233" s="55" t="n">
        <x:v>1129</x:v>
      </x:c>
      <x:c r="U233" s="55" t="n">
        <x:v>1537</x:v>
      </x:c>
      <x:c r="V233" s="55" t="n">
        <x:v>10008</x:v>
      </x:c>
      <x:c r="W233" s="55" t="n">
        <x:v>7080</x:v>
      </x:c>
      <x:c r="X233" s="55" t="n">
        <x:v>2928</x:v>
      </x:c>
      <x:c r="Y233" s="55" t="n">
        <x:v>2496</x:v>
      </x:c>
      <x:c r="Z233" s="55" t="n">
        <x:v>3647</x:v>
      </x:c>
      <x:c r="AA233" s="55" t="n">
        <x:v>3213</x:v>
      </x:c>
      <x:c r="AB233" s="55" t="n">
        <x:v>892</x:v>
      </x:c>
      <x:c r="AC233" s="55" t="n">
        <x:v>8491</x:v>
      </x:c>
      <x:c r="AD233" s="55" t="n">
        <x:v>2561</x:v>
      </x:c>
      <x:c r="AE233" s="55" t="n">
        <x:v>10008</x:v>
      </x:c>
      <x:c r="AF233" s="55" t="n">
        <x:v>10008</x:v>
      </x:c>
      <x:c r="AG233" s="55" t="n">
        <x:v>0</x:v>
      </x:c>
      <x:c r="AH233" s="55" t="n">
        <x:v>449</x:v>
      </x:c>
      <x:c r="AI233" s="55" t="n">
        <x:v>9559</x:v>
      </x:c>
      <x:c r="AJ233" s="55" t="n">
        <x:v>347</x:v>
      </x:c>
      <x:c r="AK233" s="55" t="n">
        <x:v>948</x:v>
      </x:c>
      <x:c r="AL233" s="55" t="n">
        <x:v>1941</x:v>
      </x:c>
      <x:c r="AM233" s="55" t="n">
        <x:v>4629</x:v>
      </x:c>
      <x:c r="AN233" s="55" t="n">
        <x:v>2143</x:v>
      </x:c>
      <x:c r="AO233" s="55" t="n">
        <x:v>0</x:v>
      </x:c>
      <x:c r="AP233" s="55" t="n">
        <x:v>2111</x:v>
      </x:c>
      <x:c r="AQ233" s="55" t="n">
        <x:v>961</x:v>
      </x:c>
    </x:row>
    <x:row r="234">
      <x:c r="A234" s="54" t="str">
        <x:v>T2_CONCORDANT_DOMAIN</x:v>
      </x:c>
      <x:c r="B234" s="54" t="n">
        <x:v>228</x:v>
      </x:c>
      <x:c r="C234" s="54" t="str">
        <x:v>NYC-V2-R01</x:v>
      </x:c>
      <x:c r="D234" s="54" t="str">
        <x:v>V2</x:v>
      </x:c>
      <x:c r="E234" s="54" t="str">
        <x:v>ADMITTED</x:v>
      </x:c>
      <x:c r="F234" s="55" t="n">
        <x:v>30979</x:v>
      </x:c>
      <x:c r="G234" s="55" t="n">
        <x:v>8329</x:v>
      </x:c>
      <x:c r="H234" s="55" t="n">
        <x:v>2971</x:v>
      </x:c>
      <x:c r="I234" s="55" t="n">
        <x:v>1032</x:v>
      </x:c>
      <x:c r="J234" s="55" t="n">
        <x:v>50</x:v>
      </x:c>
      <x:c r="K234" s="55" t="n">
        <x:v>30773</x:v>
      </x:c>
      <x:c r="L234" s="55" t="n">
        <x:v>5101</x:v>
      </x:c>
      <x:c r="M234" s="55" t="n">
        <x:v>930</x:v>
      </x:c>
      <x:c r="N234" s="55" t="n">
        <x:v>2809</x:v>
      </x:c>
      <x:c r="O234" s="55" t="n">
        <x:v>1362</x:v>
      </x:c>
      <x:c r="P234" s="55" t="n">
        <x:v>890</x:v>
      </x:c>
      <x:c r="Q234" s="55" t="n">
        <x:v>1930</x:v>
      </x:c>
      <x:c r="R234" s="55" t="n">
        <x:v>2197</x:v>
      </x:c>
      <x:c r="S234" s="55" t="n">
        <x:v>2317</x:v>
      </x:c>
      <x:c r="T234" s="55" t="n">
        <x:v>936</x:v>
      </x:c>
      <x:c r="U234" s="55" t="n">
        <x:v>2388</x:v>
      </x:c>
      <x:c r="V234" s="55" t="n">
        <x:v>9708</x:v>
      </x:c>
      <x:c r="W234" s="55" t="n">
        <x:v>6875</x:v>
      </x:c>
      <x:c r="X234" s="55" t="n">
        <x:v>2833</x:v>
      </x:c>
      <x:c r="Y234" s="55" t="n">
        <x:v>2383</x:v>
      </x:c>
      <x:c r="Z234" s="55" t="n">
        <x:v>3074</x:v>
      </x:c>
      <x:c r="AA234" s="55" t="n">
        <x:v>2613</x:v>
      </x:c>
      <x:c r="AB234" s="55" t="n">
        <x:v>912</x:v>
      </x:c>
      <x:c r="AC234" s="55" t="n">
        <x:v>7968</x:v>
      </x:c>
      <x:c r="AD234" s="55" t="n">
        <x:v>2128</x:v>
      </x:c>
      <x:c r="AE234" s="55" t="n">
        <x:v>9847</x:v>
      </x:c>
      <x:c r="AF234" s="55" t="n">
        <x:v>9708</x:v>
      </x:c>
      <x:c r="AG234" s="55" t="n">
        <x:v>139</x:v>
      </x:c>
      <x:c r="AH234" s="55" t="n">
        <x:v>484</x:v>
      </x:c>
      <x:c r="AI234" s="55" t="n">
        <x:v>9224</x:v>
      </x:c>
      <x:c r="AJ234" s="55" t="n">
        <x:v>147</x:v>
      </x:c>
      <x:c r="AK234" s="55" t="n">
        <x:v>861</x:v>
      </x:c>
      <x:c r="AL234" s="55" t="n">
        <x:v>1401</x:v>
      </x:c>
      <x:c r="AM234" s="55" t="n">
        <x:v>4650</x:v>
      </x:c>
      <x:c r="AN234" s="55" t="n">
        <x:v>2621</x:v>
      </x:c>
      <x:c r="AO234" s="55" t="n">
        <x:v>28</x:v>
      </x:c>
      <x:c r="AP234" s="55" t="n">
        <x:v>2287</x:v>
      </x:c>
      <x:c r="AQ234" s="55" t="n">
        <x:v>980</x:v>
      </x:c>
    </x:row>
    <x:row r="235">
      <x:c r="A235" s="54" t="str">
        <x:v>T2_CONCORDANT_DOMAIN</x:v>
      </x:c>
      <x:c r="B235" s="54" t="n">
        <x:v>229</x:v>
      </x:c>
      <x:c r="C235" s="54" t="str">
        <x:v>NYC-V2-R01</x:v>
      </x:c>
      <x:c r="D235" s="54" t="str">
        <x:v>V2</x:v>
      </x:c>
      <x:c r="E235" s="54" t="str">
        <x:v>ADMITTED</x:v>
      </x:c>
      <x:c r="F235" s="55" t="n">
        <x:v>32852</x:v>
      </x:c>
      <x:c r="G235" s="55" t="n">
        <x:v>9388</x:v>
      </x:c>
      <x:c r="H235" s="55" t="n">
        <x:v>3341</x:v>
      </x:c>
      <x:c r="I235" s="55" t="n">
        <x:v>1164</x:v>
      </x:c>
      <x:c r="J235" s="55" t="n">
        <x:v>226</x:v>
      </x:c>
      <x:c r="K235" s="55" t="n">
        <x:v>30752</x:v>
      </x:c>
      <x:c r="L235" s="55" t="n">
        <x:v>5987</x:v>
      </x:c>
      <x:c r="M235" s="55" t="n">
        <x:v>1881</x:v>
      </x:c>
      <x:c r="N235" s="55" t="n">
        <x:v>2481</x:v>
      </x:c>
      <x:c r="O235" s="55" t="n">
        <x:v>1625</x:v>
      </x:c>
      <x:c r="P235" s="55" t="n">
        <x:v>372</x:v>
      </x:c>
      <x:c r="Q235" s="55" t="n">
        <x:v>2352</x:v>
      </x:c>
      <x:c r="R235" s="55" t="n">
        <x:v>1787</x:v>
      </x:c>
      <x:c r="S235" s="55" t="n">
        <x:v>2701</x:v>
      </x:c>
      <x:c r="T235" s="55" t="n">
        <x:v>1075</x:v>
      </x:c>
      <x:c r="U235" s="55" t="n">
        <x:v>2088</x:v>
      </x:c>
      <x:c r="V235" s="55" t="n">
        <x:v>10511</x:v>
      </x:c>
      <x:c r="W235" s="55" t="n">
        <x:v>7741</x:v>
      </x:c>
      <x:c r="X235" s="55" t="n">
        <x:v>2770</x:v>
      </x:c>
      <x:c r="Y235" s="55" t="n">
        <x:v>2424</x:v>
      </x:c>
      <x:c r="Z235" s="55" t="n">
        <x:v>3917</x:v>
      </x:c>
      <x:c r="AA235" s="55" t="n">
        <x:v>3013</x:v>
      </x:c>
      <x:c r="AB235" s="55" t="n">
        <x:v>1126</x:v>
      </x:c>
      <x:c r="AC235" s="55" t="n">
        <x:v>8076</x:v>
      </x:c>
      <x:c r="AD235" s="55" t="n">
        <x:v>2922</x:v>
      </x:c>
      <x:c r="AE235" s="55" t="n">
        <x:v>10568</x:v>
      </x:c>
      <x:c r="AF235" s="55" t="n">
        <x:v>10511</x:v>
      </x:c>
      <x:c r="AG235" s="55" t="n">
        <x:v>57</x:v>
      </x:c>
      <x:c r="AH235" s="55" t="n">
        <x:v>159</x:v>
      </x:c>
      <x:c r="AI235" s="55" t="n">
        <x:v>10352</x:v>
      </x:c>
      <x:c r="AJ235" s="55" t="n">
        <x:v>337</x:v>
      </x:c>
      <x:c r="AK235" s="55" t="n">
        <x:v>882</x:v>
      </x:c>
      <x:c r="AL235" s="55" t="n">
        <x:v>1624</x:v>
      </x:c>
      <x:c r="AM235" s="55" t="n">
        <x:v>5234</x:v>
      </x:c>
      <x:c r="AN235" s="55" t="n">
        <x:v>2418</x:v>
      </x:c>
      <x:c r="AO235" s="55" t="n">
        <x:v>16</x:v>
      </x:c>
      <x:c r="AP235" s="55" t="n">
        <x:v>2409</x:v>
      </x:c>
      <x:c r="AQ235" s="55" t="n">
        <x:v>950</x:v>
      </x:c>
    </x:row>
    <x:row r="236">
      <x:c r="A236" s="54" t="str">
        <x:v>T2_CONCORDANT_DOMAIN</x:v>
      </x:c>
      <x:c r="B236" s="54" t="n">
        <x:v>230</x:v>
      </x:c>
      <x:c r="C236" s="54" t="str">
        <x:v>NYC-V2-R01</x:v>
      </x:c>
      <x:c r="D236" s="54" t="str">
        <x:v>V2</x:v>
      </x:c>
      <x:c r="E236" s="54" t="str">
        <x:v>ADMITTED</x:v>
      </x:c>
      <x:c r="F236" s="55" t="n">
        <x:v>32743</x:v>
      </x:c>
      <x:c r="G236" s="55" t="n">
        <x:v>8721</x:v>
      </x:c>
      <x:c r="H236" s="55" t="n">
        <x:v>3752</x:v>
      </x:c>
      <x:c r="I236" s="55" t="n">
        <x:v>1615</x:v>
      </x:c>
      <x:c r="J236" s="55" t="n">
        <x:v>313</x:v>
      </x:c>
      <x:c r="K236" s="55" t="n">
        <x:v>30033</x:v>
      </x:c>
      <x:c r="L236" s="55" t="n">
        <x:v>5309</x:v>
      </x:c>
      <x:c r="M236" s="55" t="n">
        <x:v>611</x:v>
      </x:c>
      <x:c r="N236" s="55" t="n">
        <x:v>2568</x:v>
      </x:c>
      <x:c r="O236" s="55" t="n">
        <x:v>2130</x:v>
      </x:c>
      <x:c r="P236" s="55" t="n">
        <x:v>916</x:v>
      </x:c>
      <x:c r="Q236" s="55" t="n">
        <x:v>1905</x:v>
      </x:c>
      <x:c r="R236" s="55" t="n">
        <x:v>1964</x:v>
      </x:c>
      <x:c r="S236" s="55" t="n">
        <x:v>2732</x:v>
      </x:c>
      <x:c r="T236" s="55" t="n">
        <x:v>1336</x:v>
      </x:c>
      <x:c r="U236" s="55" t="n">
        <x:v>2196</x:v>
      </x:c>
      <x:c r="V236" s="55" t="n">
        <x:v>10698</x:v>
      </x:c>
      <x:c r="W236" s="55" t="n">
        <x:v>7266</x:v>
      </x:c>
      <x:c r="X236" s="55" t="n">
        <x:v>3432</x:v>
      </x:c>
      <x:c r="Y236" s="55" t="n">
        <x:v>3127</x:v>
      </x:c>
      <x:c r="Z236" s="55" t="n">
        <x:v>4411</x:v>
      </x:c>
      <x:c r="AA236" s="55" t="n">
        <x:v>3321</x:v>
      </x:c>
      <x:c r="AB236" s="55" t="n">
        <x:v>1268</x:v>
      </x:c>
      <x:c r="AC236" s="55" t="n">
        <x:v>8959</x:v>
      </x:c>
      <x:c r="AD236" s="55" t="n">
        <x:v>3237</x:v>
      </x:c>
      <x:c r="AE236" s="55" t="n">
        <x:v>10832</x:v>
      </x:c>
      <x:c r="AF236" s="55" t="n">
        <x:v>10698</x:v>
      </x:c>
      <x:c r="AG236" s="55" t="n">
        <x:v>134</x:v>
      </x:c>
      <x:c r="AH236" s="55" t="n">
        <x:v>337</x:v>
      </x:c>
      <x:c r="AI236" s="55" t="n">
        <x:v>10361</x:v>
      </x:c>
      <x:c r="AJ236" s="55" t="n">
        <x:v>320</x:v>
      </x:c>
      <x:c r="AK236" s="55" t="n">
        <x:v>1085</x:v>
      </x:c>
      <x:c r="AL236" s="55" t="n">
        <x:v>1611</x:v>
      </x:c>
      <x:c r="AM236" s="55" t="n">
        <x:v>5089</x:v>
      </x:c>
      <x:c r="AN236" s="55" t="n">
        <x:v>2540</x:v>
      </x:c>
      <x:c r="AO236" s="55" t="n">
        <x:v>53</x:v>
      </x:c>
      <x:c r="AP236" s="55" t="n">
        <x:v>2562</x:v>
      </x:c>
      <x:c r="AQ236" s="55" t="n">
        <x:v>976</x:v>
      </x:c>
    </x:row>
    <x:row r="237">
      <x:c r="A237" s="54" t="str">
        <x:v>T2_CONCORDANT_DOMAIN</x:v>
      </x:c>
      <x:c r="B237" s="54" t="n">
        <x:v>231</x:v>
      </x:c>
      <x:c r="C237" s="54" t="str">
        <x:v>NYC-V2-R01</x:v>
      </x:c>
      <x:c r="D237" s="54" t="str">
        <x:v>V2</x:v>
      </x:c>
      <x:c r="E237" s="54" t="str">
        <x:v>ADMITTED</x:v>
      </x:c>
      <x:c r="F237" s="55" t="n">
        <x:v>29792</x:v>
      </x:c>
      <x:c r="G237" s="55" t="n">
        <x:v>7485</x:v>
      </x:c>
      <x:c r="H237" s="55" t="n">
        <x:v>3177</x:v>
      </x:c>
      <x:c r="I237" s="55" t="n">
        <x:v>1473</x:v>
      </x:c>
      <x:c r="J237" s="55" t="n">
        <x:v>98</x:v>
      </x:c>
      <x:c r="K237" s="55" t="n">
        <x:v>29792</x:v>
      </x:c>
      <x:c r="L237" s="55" t="n">
        <x:v>5550</x:v>
      </x:c>
      <x:c r="M237" s="55" t="n">
        <x:v>1304</x:v>
      </x:c>
      <x:c r="N237" s="55" t="n">
        <x:v>2450</x:v>
      </x:c>
      <x:c r="O237" s="55" t="n">
        <x:v>1796</x:v>
      </x:c>
      <x:c r="P237" s="55" t="n">
        <x:v>657</x:v>
      </x:c>
      <x:c r="Q237" s="55" t="n">
        <x:v>2450</x:v>
      </x:c>
      <x:c r="R237" s="55" t="n">
        <x:v>1646</x:v>
      </x:c>
      <x:c r="S237" s="55" t="n">
        <x:v>3341</x:v>
      </x:c>
      <x:c r="T237" s="55" t="n">
        <x:v>1290</x:v>
      </x:c>
      <x:c r="U237" s="55" t="n">
        <x:v>2035</x:v>
      </x:c>
      <x:c r="V237" s="55" t="n">
        <x:v>10513</x:v>
      </x:c>
      <x:c r="W237" s="55" t="n">
        <x:v>7247</x:v>
      </x:c>
      <x:c r="X237" s="55" t="n">
        <x:v>3266</x:v>
      </x:c>
      <x:c r="Y237" s="55" t="n">
        <x:v>2900</x:v>
      </x:c>
      <x:c r="Z237" s="55" t="n">
        <x:v>3341</x:v>
      </x:c>
      <x:c r="AA237" s="55" t="n">
        <x:v>3177</x:v>
      </x:c>
      <x:c r="AB237" s="55" t="n">
        <x:v>1179</x:v>
      </x:c>
      <x:c r="AC237" s="55" t="n">
        <x:v>8293</x:v>
      </x:c>
      <x:c r="AD237" s="55" t="n">
        <x:v>3135</x:v>
      </x:c>
      <x:c r="AE237" s="55" t="n">
        <x:v>10634</x:v>
      </x:c>
      <x:c r="AF237" s="55" t="n">
        <x:v>10513</x:v>
      </x:c>
      <x:c r="AG237" s="55" t="n">
        <x:v>121</x:v>
      </x:c>
      <x:c r="AH237" s="55" t="n">
        <x:v>381</x:v>
      </x:c>
      <x:c r="AI237" s="55" t="n">
        <x:v>10132</x:v>
      </x:c>
      <x:c r="AJ237" s="55" t="n">
        <x:v>281</x:v>
      </x:c>
      <x:c r="AK237" s="55" t="n">
        <x:v>751</x:v>
      </x:c>
      <x:c r="AL237" s="55" t="n">
        <x:v>1386</x:v>
      </x:c>
      <x:c r="AM237" s="55" t="n">
        <x:v>4903</x:v>
      </x:c>
      <x:c r="AN237" s="55" t="n">
        <x:v>3177</x:v>
      </x:c>
      <x:c r="AO237" s="55" t="n">
        <x:v>15</x:v>
      </x:c>
      <x:c r="AP237" s="55" t="n">
        <x:v>2382</x:v>
      </x:c>
      <x:c r="AQ237" s="55" t="n">
        <x:v>952</x:v>
      </x:c>
    </x:row>
    <x:row r="238">
      <x:c r="A238" s="54" t="str">
        <x:v>T2_CONCORDANT_DOMAIN</x:v>
      </x:c>
      <x:c r="B238" s="54" t="n">
        <x:v>232</x:v>
      </x:c>
      <x:c r="C238" s="54" t="str">
        <x:v>NYC-V2-R01</x:v>
      </x:c>
      <x:c r="D238" s="54" t="str">
        <x:v>V2</x:v>
      </x:c>
      <x:c r="E238" s="54" t="str">
        <x:v>ADMITTED</x:v>
      </x:c>
      <x:c r="F238" s="55" t="n">
        <x:v>32345</x:v>
      </x:c>
      <x:c r="G238" s="55" t="n">
        <x:v>8089</x:v>
      </x:c>
      <x:c r="H238" s="55" t="n">
        <x:v>3200</x:v>
      </x:c>
      <x:c r="I238" s="55" t="n">
        <x:v>1246</x:v>
      </x:c>
      <x:c r="J238" s="55" t="n">
        <x:v>106</x:v>
      </x:c>
      <x:c r="K238" s="55" t="n">
        <x:v>32345</x:v>
      </x:c>
      <x:c r="L238" s="55" t="n">
        <x:v>5405</x:v>
      </x:c>
      <x:c r="M238" s="55" t="n">
        <x:v>1847</x:v>
      </x:c>
      <x:c r="N238" s="55" t="n">
        <x:v>1993</x:v>
      </x:c>
      <x:c r="O238" s="55" t="n">
        <x:v>1565</x:v>
      </x:c>
      <x:c r="P238" s="55" t="n">
        <x:v>955</x:v>
      </x:c>
      <x:c r="Q238" s="55" t="n">
        <x:v>2592</x:v>
      </x:c>
      <x:c r="R238" s="55" t="n">
        <x:v>1812</x:v>
      </x:c>
      <x:c r="S238" s="55" t="n">
        <x:v>2527</x:v>
      </x:c>
      <x:c r="T238" s="55" t="n">
        <x:v>1134</x:v>
      </x:c>
      <x:c r="U238" s="55" t="n">
        <x:v>2238</x:v>
      </x:c>
      <x:c r="V238" s="55" t="n">
        <x:v>10272</x:v>
      </x:c>
      <x:c r="W238" s="55" t="n">
        <x:v>7038</x:v>
      </x:c>
      <x:c r="X238" s="55" t="n">
        <x:v>3234</x:v>
      </x:c>
      <x:c r="Y238" s="55" t="n">
        <x:v>2672</x:v>
      </x:c>
      <x:c r="Z238" s="55" t="n">
        <x:v>4213</x:v>
      </x:c>
      <x:c r="AA238" s="55" t="n">
        <x:v>3200</x:v>
      </x:c>
      <x:c r="AB238" s="55" t="n">
        <x:v>981</x:v>
      </x:c>
      <x:c r="AC238" s="55" t="n">
        <x:v>7980</x:v>
      </x:c>
      <x:c r="AD238" s="55" t="n">
        <x:v>2766</x:v>
      </x:c>
      <x:c r="AE238" s="55" t="n">
        <x:v>10399</x:v>
      </x:c>
      <x:c r="AF238" s="55" t="n">
        <x:v>10272</x:v>
      </x:c>
      <x:c r="AG238" s="55" t="n">
        <x:v>127</x:v>
      </x:c>
      <x:c r="AH238" s="55" t="n">
        <x:v>262</x:v>
      </x:c>
      <x:c r="AI238" s="55" t="n">
        <x:v>10010</x:v>
      </x:c>
      <x:c r="AJ238" s="55" t="n">
        <x:v>305</x:v>
      </x:c>
      <x:c r="AK238" s="55" t="n">
        <x:v>948</x:v>
      </x:c>
      <x:c r="AL238" s="55" t="n">
        <x:v>1718</x:v>
      </x:c>
      <x:c r="AM238" s="55" t="n">
        <x:v>4971</x:v>
      </x:c>
      <x:c r="AN238" s="55" t="n">
        <x:v>2324</x:v>
      </x:c>
      <x:c r="AO238" s="55" t="n">
        <x:v>6</x:v>
      </x:c>
      <x:c r="AP238" s="55" t="n">
        <x:v>2399</x:v>
      </x:c>
      <x:c r="AQ238" s="55" t="n">
        <x:v>941</x:v>
      </x:c>
    </x:row>
    <x:row r="239">
      <x:c r="A239" s="54" t="str">
        <x:v>T2_CONCORDANT_DOMAIN</x:v>
      </x:c>
      <x:c r="B239" s="54" t="n">
        <x:v>233</x:v>
      </x:c>
      <x:c r="C239" s="54" t="str">
        <x:v>NYC-V2-R01</x:v>
      </x:c>
      <x:c r="D239" s="54" t="str">
        <x:v>V2</x:v>
      </x:c>
      <x:c r="E239" s="54" t="str">
        <x:v>ADMITTED</x:v>
      </x:c>
      <x:c r="F239" s="55" t="n">
        <x:v>31243</x:v>
      </x:c>
      <x:c r="G239" s="55" t="n">
        <x:v>8410</x:v>
      </x:c>
      <x:c r="H239" s="55" t="n">
        <x:v>3456</x:v>
      </x:c>
      <x:c r="I239" s="55" t="n">
        <x:v>1608</x:v>
      </x:c>
      <x:c r="J239" s="55" t="n">
        <x:v>325</x:v>
      </x:c>
      <x:c r="K239" s="55" t="n">
        <x:v>30683</x:v>
      </x:c>
      <x:c r="L239" s="55" t="n">
        <x:v>5622</x:v>
      </x:c>
      <x:c r="M239" s="55" t="n">
        <x:v>1384</x:v>
      </x:c>
      <x:c r="N239" s="55" t="n">
        <x:v>2585</x:v>
      </x:c>
      <x:c r="O239" s="55" t="n">
        <x:v>1653</x:v>
      </x:c>
      <x:c r="P239" s="55" t="n">
        <x:v>1009</x:v>
      </x:c>
      <x:c r="Q239" s="55" t="n">
        <x:v>1421</x:v>
      </x:c>
      <x:c r="R239" s="55" t="n">
        <x:v>1937</x:v>
      </x:c>
      <x:c r="S239" s="55" t="n">
        <x:v>2844</x:v>
      </x:c>
      <x:c r="T239" s="55" t="n">
        <x:v>978</x:v>
      </x:c>
      <x:c r="U239" s="55" t="n">
        <x:v>1987</x:v>
      </x:c>
      <x:c r="V239" s="55" t="n">
        <x:v>10985</x:v>
      </x:c>
      <x:c r="W239" s="55" t="n">
        <x:v>7649</x:v>
      </x:c>
      <x:c r="X239" s="55" t="n">
        <x:v>3336</x:v>
      </x:c>
      <x:c r="Y239" s="55" t="n">
        <x:v>2940</x:v>
      </x:c>
      <x:c r="Z239" s="55" t="n">
        <x:v>4265</x:v>
      </x:c>
      <x:c r="AA239" s="55" t="n">
        <x:v>3331</x:v>
      </x:c>
      <x:c r="AB239" s="55" t="n">
        <x:v>1378</x:v>
      </x:c>
      <x:c r="AC239" s="55" t="n">
        <x:v>8217</x:v>
      </x:c>
      <x:c r="AD239" s="55" t="n">
        <x:v>2375</x:v>
      </x:c>
      <x:c r="AE239" s="55" t="n">
        <x:v>11075</x:v>
      </x:c>
      <x:c r="AF239" s="55" t="n">
        <x:v>10985</x:v>
      </x:c>
      <x:c r="AG239" s="55" t="n">
        <x:v>90</x:v>
      </x:c>
      <x:c r="AH239" s="55" t="n">
        <x:v>558</x:v>
      </x:c>
      <x:c r="AI239" s="55" t="n">
        <x:v>10427</x:v>
      </x:c>
      <x:c r="AJ239" s="55" t="n">
        <x:v>521</x:v>
      </x:c>
      <x:c r="AK239" s="55" t="n">
        <x:v>856</x:v>
      </x:c>
      <x:c r="AL239" s="55" t="n">
        <x:v>1978</x:v>
      </x:c>
      <x:c r="AM239" s="55" t="n">
        <x:v>4915</x:v>
      </x:c>
      <x:c r="AN239" s="55" t="n">
        <x:v>2692</x:v>
      </x:c>
      <x:c r="AO239" s="55" t="n">
        <x:v>23</x:v>
      </x:c>
      <x:c r="AP239" s="55" t="n">
        <x:v>2866</x:v>
      </x:c>
      <x:c r="AQ239" s="55" t="n">
        <x:v>1010</x:v>
      </x:c>
    </x:row>
    <x:row r="240">
      <x:c r="A240" s="54" t="str">
        <x:v>T2_CONCORDANT_DOMAIN</x:v>
      </x:c>
      <x:c r="B240" s="54" t="n">
        <x:v>234</x:v>
      </x:c>
      <x:c r="C240" s="54" t="str">
        <x:v>NYC-V2-R01</x:v>
      </x:c>
      <x:c r="D240" s="54" t="str">
        <x:v>V2</x:v>
      </x:c>
      <x:c r="E240" s="54" t="str">
        <x:v>ADMITTED</x:v>
      </x:c>
      <x:c r="F240" s="55" t="n">
        <x:v>31292</x:v>
      </x:c>
      <x:c r="G240" s="55" t="n">
        <x:v>6787</x:v>
      </x:c>
      <x:c r="H240" s="55" t="n">
        <x:v>3092</x:v>
      </x:c>
      <x:c r="I240" s="55" t="n">
        <x:v>1157</x:v>
      </x:c>
      <x:c r="J240" s="55" t="n">
        <x:v>182</x:v>
      </x:c>
      <x:c r="K240" s="55" t="n">
        <x:v>31292</x:v>
      </x:c>
      <x:c r="L240" s="55" t="n">
        <x:v>5223</x:v>
      </x:c>
      <x:c r="M240" s="55" t="n">
        <x:v>1199</x:v>
      </x:c>
      <x:c r="N240" s="55" t="n">
        <x:v>2387</x:v>
      </x:c>
      <x:c r="O240" s="55" t="n">
        <x:v>1637</x:v>
      </x:c>
      <x:c r="P240" s="55" t="n">
        <x:v>569</x:v>
      </x:c>
      <x:c r="Q240" s="55" t="n">
        <x:v>2308</x:v>
      </x:c>
      <x:c r="R240" s="55" t="n">
        <x:v>1636</x:v>
      </x:c>
      <x:c r="S240" s="55" t="n">
        <x:v>2409</x:v>
      </x:c>
      <x:c r="T240" s="55" t="n">
        <x:v>1015</x:v>
      </x:c>
      <x:c r="U240" s="55" t="n">
        <x:v>1663</x:v>
      </x:c>
      <x:c r="V240" s="55" t="n">
        <x:v>10645</x:v>
      </x:c>
      <x:c r="W240" s="55" t="n">
        <x:v>7817</x:v>
      </x:c>
      <x:c r="X240" s="55" t="n">
        <x:v>2828</x:v>
      </x:c>
      <x:c r="Y240" s="55" t="n">
        <x:v>2525</x:v>
      </x:c>
      <x:c r="Z240" s="55" t="n">
        <x:v>3842</x:v>
      </x:c>
      <x:c r="AA240" s="55" t="n">
        <x:v>2363</x:v>
      </x:c>
      <x:c r="AB240" s="55" t="n">
        <x:v>1006</x:v>
      </x:c>
      <x:c r="AC240" s="55" t="n">
        <x:v>8012</x:v>
      </x:c>
      <x:c r="AD240" s="55" t="n">
        <x:v>2614</x:v>
      </x:c>
      <x:c r="AE240" s="55" t="n">
        <x:v>10645</x:v>
      </x:c>
      <x:c r="AF240" s="55" t="n">
        <x:v>10645</x:v>
      </x:c>
      <x:c r="AG240" s="55" t="n">
        <x:v>0</x:v>
      </x:c>
      <x:c r="AH240" s="55" t="n">
        <x:v>438</x:v>
      </x:c>
      <x:c r="AI240" s="55" t="n">
        <x:v>10207</x:v>
      </x:c>
      <x:c r="AJ240" s="55" t="n">
        <x:v>281</x:v>
      </x:c>
      <x:c r="AK240" s="55" t="n">
        <x:v>622</x:v>
      </x:c>
      <x:c r="AL240" s="55" t="n">
        <x:v>1818</x:v>
      </x:c>
      <x:c r="AM240" s="55" t="n">
        <x:v>4823</x:v>
      </x:c>
      <x:c r="AN240" s="55" t="n">
        <x:v>3101</x:v>
      </x:c>
      <x:c r="AO240" s="55" t="n">
        <x:v>0</x:v>
      </x:c>
      <x:c r="AP240" s="55" t="n">
        <x:v>1963</x:v>
      </x:c>
      <x:c r="AQ240" s="55" t="n">
        <x:v>945</x:v>
      </x:c>
    </x:row>
    <x:row r="241">
      <x:c r="A241" s="54" t="str">
        <x:v>T2_CONCORDANT_DOMAIN</x:v>
      </x:c>
      <x:c r="B241" s="54" t="n">
        <x:v>235</x:v>
      </x:c>
      <x:c r="C241" s="54" t="str">
        <x:v>NYC-V2-R01</x:v>
      </x:c>
      <x:c r="D241" s="54" t="str">
        <x:v>V2</x:v>
      </x:c>
      <x:c r="E241" s="54" t="str">
        <x:v>ADMITTED</x:v>
      </x:c>
      <x:c r="F241" s="55" t="n">
        <x:v>30242</x:v>
      </x:c>
      <x:c r="G241" s="55" t="n">
        <x:v>7399</x:v>
      </x:c>
      <x:c r="H241" s="55" t="n">
        <x:v>3127</x:v>
      </x:c>
      <x:c r="I241" s="55" t="n">
        <x:v>1531</x:v>
      </x:c>
      <x:c r="J241" s="55" t="n">
        <x:v>320</x:v>
      </x:c>
      <x:c r="K241" s="55" t="n">
        <x:v>30242</x:v>
      </x:c>
      <x:c r="L241" s="55" t="n">
        <x:v>6202</x:v>
      </x:c>
      <x:c r="M241" s="55" t="n">
        <x:v>1569</x:v>
      </x:c>
      <x:c r="N241" s="55" t="n">
        <x:v>2980</x:v>
      </x:c>
      <x:c r="O241" s="55" t="n">
        <x:v>1653</x:v>
      </x:c>
      <x:c r="P241" s="55" t="n">
        <x:v>977</x:v>
      </x:c>
      <x:c r="Q241" s="55" t="n">
        <x:v>2463</x:v>
      </x:c>
      <x:c r="R241" s="55" t="n">
        <x:v>1643</x:v>
      </x:c>
      <x:c r="S241" s="55" t="n">
        <x:v>2838</x:v>
      </x:c>
      <x:c r="T241" s="55" t="n">
        <x:v>1392</x:v>
      </x:c>
      <x:c r="U241" s="55" t="n">
        <x:v>2124</x:v>
      </x:c>
      <x:c r="V241" s="55" t="n">
        <x:v>11042</x:v>
      </x:c>
      <x:c r="W241" s="55" t="n">
        <x:v>7645</x:v>
      </x:c>
      <x:c r="X241" s="55" t="n">
        <x:v>3397</x:v>
      </x:c>
      <x:c r="Y241" s="55" t="n">
        <x:v>2884</x:v>
      </x:c>
      <x:c r="Z241" s="55" t="n">
        <x:v>3687</x:v>
      </x:c>
      <x:c r="AA241" s="55" t="n">
        <x:v>2850</x:v>
      </x:c>
      <x:c r="AB241" s="55" t="n">
        <x:v>873</x:v>
      </x:c>
      <x:c r="AC241" s="55" t="n">
        <x:v>8701</x:v>
      </x:c>
      <x:c r="AD241" s="55" t="n">
        <x:v>2558</x:v>
      </x:c>
      <x:c r="AE241" s="55" t="n">
        <x:v>11143</x:v>
      </x:c>
      <x:c r="AF241" s="55" t="n">
        <x:v>11042</x:v>
      </x:c>
      <x:c r="AG241" s="55" t="n">
        <x:v>101</x:v>
      </x:c>
      <x:c r="AH241" s="55" t="n">
        <x:v>515</x:v>
      </x:c>
      <x:c r="AI241" s="55" t="n">
        <x:v>10527</x:v>
      </x:c>
      <x:c r="AJ241" s="55" t="n">
        <x:v>541</x:v>
      </x:c>
      <x:c r="AK241" s="55" t="n">
        <x:v>1155</x:v>
      </x:c>
      <x:c r="AL241" s="55" t="n">
        <x:v>1569</x:v>
      </x:c>
      <x:c r="AM241" s="55" t="n">
        <x:v>4991</x:v>
      </x:c>
      <x:c r="AN241" s="55" t="n">
        <x:v>2768</x:v>
      </x:c>
      <x:c r="AO241" s="55" t="n">
        <x:v>18</x:v>
      </x:c>
      <x:c r="AP241" s="55" t="n">
        <x:v>2053</x:v>
      </x:c>
      <x:c r="AQ241" s="55" t="n">
        <x:v>974</x:v>
      </x:c>
    </x:row>
    <x:row r="242">
      <x:c r="A242" s="54" t="str">
        <x:v>T2_CONCORDANT_DOMAIN</x:v>
      </x:c>
      <x:c r="B242" s="54" t="n">
        <x:v>236</x:v>
      </x:c>
      <x:c r="C242" s="54" t="str">
        <x:v>NYC-V2-R01</x:v>
      </x:c>
      <x:c r="D242" s="54" t="str">
        <x:v>V2</x:v>
      </x:c>
      <x:c r="E242" s="54" t="str">
        <x:v>ADMITTED</x:v>
      </x:c>
      <x:c r="F242" s="55" t="n">
        <x:v>31472</x:v>
      </x:c>
      <x:c r="G242" s="55" t="n">
        <x:v>6934</x:v>
      </x:c>
      <x:c r="H242" s="55" t="n">
        <x:v>3549</x:v>
      </x:c>
      <x:c r="I242" s="55" t="n">
        <x:v>1318</x:v>
      </x:c>
      <x:c r="J242" s="55" t="n">
        <x:v>227</x:v>
      </x:c>
      <x:c r="K242" s="55" t="n">
        <x:v>31472</x:v>
      </x:c>
      <x:c r="L242" s="55" t="n">
        <x:v>5450</x:v>
      </x:c>
      <x:c r="M242" s="55" t="n">
        <x:v>1212</x:v>
      </x:c>
      <x:c r="N242" s="55" t="n">
        <x:v>2287</x:v>
      </x:c>
      <x:c r="O242" s="55" t="n">
        <x:v>1951</x:v>
      </x:c>
      <x:c r="P242" s="55" t="n">
        <x:v>639</x:v>
      </x:c>
      <x:c r="Q242" s="55" t="n">
        <x:v>1837</x:v>
      </x:c>
      <x:c r="R242" s="55" t="n">
        <x:v>1571</x:v>
      </x:c>
      <x:c r="S242" s="55" t="n">
        <x:v>2487</x:v>
      </x:c>
      <x:c r="T242" s="55" t="n">
        <x:v>804</x:v>
      </x:c>
      <x:c r="U242" s="55" t="n">
        <x:v>1535</x:v>
      </x:c>
      <x:c r="V242" s="55" t="n">
        <x:v>10273</x:v>
      </x:c>
      <x:c r="W242" s="55" t="n">
        <x:v>7107</x:v>
      </x:c>
      <x:c r="X242" s="55" t="n">
        <x:v>3166</x:v>
      </x:c>
      <x:c r="Y242" s="55" t="n">
        <x:v>2722</x:v>
      </x:c>
      <x:c r="Z242" s="55" t="n">
        <x:v>3223</x:v>
      </x:c>
      <x:c r="AA242" s="55" t="n">
        <x:v>3549</x:v>
      </x:c>
      <x:c r="AB242" s="55" t="n">
        <x:v>1219</x:v>
      </x:c>
      <x:c r="AC242" s="55" t="n">
        <x:v>8487</x:v>
      </x:c>
      <x:c r="AD242" s="55" t="n">
        <x:v>3368</x:v>
      </x:c>
      <x:c r="AE242" s="55" t="n">
        <x:v>10387</x:v>
      </x:c>
      <x:c r="AF242" s="55" t="n">
        <x:v>10273</x:v>
      </x:c>
      <x:c r="AG242" s="55" t="n">
        <x:v>114</x:v>
      </x:c>
      <x:c r="AH242" s="55" t="n">
        <x:v>114</x:v>
      </x:c>
      <x:c r="AI242" s="55" t="n">
        <x:v>10159</x:v>
      </x:c>
      <x:c r="AJ242" s="55" t="n">
        <x:v>290</x:v>
      </x:c>
      <x:c r="AK242" s="55" t="n">
        <x:v>860</x:v>
      </x:c>
      <x:c r="AL242" s="55" t="n">
        <x:v>1524</x:v>
      </x:c>
      <x:c r="AM242" s="55" t="n">
        <x:v>4984</x:v>
      </x:c>
      <x:c r="AN242" s="55" t="n">
        <x:v>2615</x:v>
      </x:c>
      <x:c r="AO242" s="55" t="n">
        <x:v>0</x:v>
      </x:c>
      <x:c r="AP242" s="55" t="n">
        <x:v>2144</x:v>
      </x:c>
      <x:c r="AQ242" s="55" t="n">
        <x:v>950</x:v>
      </x:c>
    </x:row>
    <x:row r="243">
      <x:c r="A243" s="54" t="str">
        <x:v>T2_CONCORDANT_DOMAIN</x:v>
      </x:c>
      <x:c r="B243" s="54" t="n">
        <x:v>237</x:v>
      </x:c>
      <x:c r="C243" s="54" t="str">
        <x:v>NYC-V2-R01</x:v>
      </x:c>
      <x:c r="D243" s="54" t="str">
        <x:v>V2</x:v>
      </x:c>
      <x:c r="E243" s="54" t="str">
        <x:v>ADMITTED</x:v>
      </x:c>
      <x:c r="F243" s="55" t="n">
        <x:v>33212</x:v>
      </x:c>
      <x:c r="G243" s="55" t="n">
        <x:v>8969</x:v>
      </x:c>
      <x:c r="H243" s="55" t="n">
        <x:v>3724</x:v>
      </x:c>
      <x:c r="I243" s="55" t="n">
        <x:v>1809</x:v>
      </x:c>
      <x:c r="J243" s="55" t="n">
        <x:v>347</x:v>
      </x:c>
      <x:c r="K243" s="55" t="n">
        <x:v>32382</x:v>
      </x:c>
      <x:c r="L243" s="55" t="n">
        <x:v>6763</x:v>
      </x:c>
      <x:c r="M243" s="55" t="n">
        <x:v>2243</x:v>
      </x:c>
      <x:c r="N243" s="55" t="n">
        <x:v>2722</x:v>
      </x:c>
      <x:c r="O243" s="55" t="n">
        <x:v>1798</x:v>
      </x:c>
      <x:c r="P243" s="55" t="n">
        <x:v>959</x:v>
      </x:c>
      <x:c r="Q243" s="55" t="n">
        <x:v>3107</x:v>
      </x:c>
      <x:c r="R243" s="55" t="n">
        <x:v>2208</x:v>
      </x:c>
      <x:c r="S243" s="55" t="n">
        <x:v>3713</x:v>
      </x:c>
      <x:c r="T243" s="55" t="n">
        <x:v>1370</x:v>
      </x:c>
      <x:c r="U243" s="55" t="n">
        <x:v>2672</x:v>
      </x:c>
      <x:c r="V243" s="55" t="n">
        <x:v>10367</x:v>
      </x:c>
      <x:c r="W243" s="55" t="n">
        <x:v>7485</x:v>
      </x:c>
      <x:c r="X243" s="55" t="n">
        <x:v>2882</x:v>
      </x:c>
      <x:c r="Y243" s="55" t="n">
        <x:v>2581</x:v>
      </x:c>
      <x:c r="Z243" s="55" t="n">
        <x:v>3632</x:v>
      </x:c>
      <x:c r="AA243" s="55" t="n">
        <x:v>3259</x:v>
      </x:c>
      <x:c r="AB243" s="55" t="n">
        <x:v>1194</x:v>
      </x:c>
      <x:c r="AC243" s="55" t="n">
        <x:v>8378</x:v>
      </x:c>
      <x:c r="AD243" s="55" t="n">
        <x:v>3433</x:v>
      </x:c>
      <x:c r="AE243" s="55" t="n">
        <x:v>10445</x:v>
      </x:c>
      <x:c r="AF243" s="55" t="n">
        <x:v>10367</x:v>
      </x:c>
      <x:c r="AG243" s="55" t="n">
        <x:v>78</x:v>
      </x:c>
      <x:c r="AH243" s="55" t="n">
        <x:v>622</x:v>
      </x:c>
      <x:c r="AI243" s="55" t="n">
        <x:v>9745</x:v>
      </x:c>
      <x:c r="AJ243" s="55" t="n">
        <x:v>436</x:v>
      </x:c>
      <x:c r="AK243" s="55" t="n">
        <x:v>944</x:v>
      </x:c>
      <x:c r="AL243" s="55" t="n">
        <x:v>1518</x:v>
      </x:c>
      <x:c r="AM243" s="55" t="n">
        <x:v>5229</x:v>
      </x:c>
      <x:c r="AN243" s="55" t="n">
        <x:v>2231</x:v>
      </x:c>
      <x:c r="AO243" s="55" t="n">
        <x:v>9</x:v>
      </x:c>
      <x:c r="AP243" s="55" t="n">
        <x:v>2146</x:v>
      </x:c>
      <x:c r="AQ243" s="55" t="n">
        <x:v>972</x:v>
      </x:c>
    </x:row>
    <x:row r="244">
      <x:c r="A244" s="54" t="str">
        <x:v>T2_CONCORDANT_DOMAIN</x:v>
      </x:c>
      <x:c r="B244" s="54" t="n">
        <x:v>238</x:v>
      </x:c>
      <x:c r="C244" s="54" t="str">
        <x:v>NYC-V2-R01</x:v>
      </x:c>
      <x:c r="D244" s="54" t="str">
        <x:v>V2</x:v>
      </x:c>
      <x:c r="E244" s="54" t="str">
        <x:v>ADMITTED</x:v>
      </x:c>
      <x:c r="F244" s="55" t="n">
        <x:v>31742</x:v>
      </x:c>
      <x:c r="G244" s="55" t="n">
        <x:v>7763</x:v>
      </x:c>
      <x:c r="H244" s="55" t="n">
        <x:v>3289</x:v>
      </x:c>
      <x:c r="I244" s="55" t="n">
        <x:v>1433</x:v>
      </x:c>
      <x:c r="J244" s="55" t="n">
        <x:v>221</x:v>
      </x:c>
      <x:c r="K244" s="55" t="n">
        <x:v>31742</x:v>
      </x:c>
      <x:c r="L244" s="55" t="n">
        <x:v>7880</x:v>
      </x:c>
      <x:c r="M244" s="55" t="n">
        <x:v>2432</x:v>
      </x:c>
      <x:c r="N244" s="55" t="n">
        <x:v>3366</x:v>
      </x:c>
      <x:c r="O244" s="55" t="n">
        <x:v>2082</x:v>
      </x:c>
      <x:c r="P244" s="55" t="n">
        <x:v>1102</x:v>
      </x:c>
      <x:c r="Q244" s="55" t="n">
        <x:v>2349</x:v>
      </x:c>
      <x:c r="R244" s="55" t="n">
        <x:v>2007</x:v>
      </x:c>
      <x:c r="S244" s="55" t="n">
        <x:v>2633</x:v>
      </x:c>
      <x:c r="T244" s="55" t="n">
        <x:v>1285</x:v>
      </x:c>
      <x:c r="U244" s="55" t="n">
        <x:v>2442</x:v>
      </x:c>
      <x:c r="V244" s="55" t="n">
        <x:v>10957</x:v>
      </x:c>
      <x:c r="W244" s="55" t="n">
        <x:v>7933</x:v>
      </x:c>
      <x:c r="X244" s="55" t="n">
        <x:v>3024</x:v>
      </x:c>
      <x:c r="Y244" s="55" t="n">
        <x:v>2646</x:v>
      </x:c>
      <x:c r="Z244" s="55" t="n">
        <x:v>3937</x:v>
      </x:c>
      <x:c r="AA244" s="55" t="n">
        <x:v>3256</x:v>
      </x:c>
      <x:c r="AB244" s="55" t="n">
        <x:v>1323</x:v>
      </x:c>
      <x:c r="AC244" s="55" t="n">
        <x:v>8095</x:v>
      </x:c>
      <x:c r="AD244" s="55" t="n">
        <x:v>3227</x:v>
      </x:c>
      <x:c r="AE244" s="55" t="n">
        <x:v>11066</x:v>
      </x:c>
      <x:c r="AF244" s="55" t="n">
        <x:v>10957</x:v>
      </x:c>
      <x:c r="AG244" s="55" t="n">
        <x:v>109</x:v>
      </x:c>
      <x:c r="AH244" s="55" t="n">
        <x:v>614</x:v>
      </x:c>
      <x:c r="AI244" s="55" t="n">
        <x:v>10343</x:v>
      </x:c>
      <x:c r="AJ244" s="55" t="n">
        <x:v>373</x:v>
      </x:c>
      <x:c r="AK244" s="55" t="n">
        <x:v>1385</x:v>
      </x:c>
      <x:c r="AL244" s="55" t="n">
        <x:v>1777</x:v>
      </x:c>
      <x:c r="AM244" s="55" t="n">
        <x:v>4905</x:v>
      </x:c>
      <x:c r="AN244" s="55" t="n">
        <x:v>2393</x:v>
      </x:c>
      <x:c r="AO244" s="55" t="n">
        <x:v>124</x:v>
      </x:c>
      <x:c r="AP244" s="55" t="n">
        <x:v>2106</x:v>
      </x:c>
      <x:c r="AQ244" s="55" t="n">
        <x:v>1006</x:v>
      </x:c>
    </x:row>
    <x:row r="245">
      <x:c r="A245" s="54" t="str">
        <x:v>T2_CONCORDANT_DOMAIN</x:v>
      </x:c>
      <x:c r="B245" s="54" t="n">
        <x:v>239</x:v>
      </x:c>
      <x:c r="C245" s="54" t="str">
        <x:v>NYC-V2-R01</x:v>
      </x:c>
      <x:c r="D245" s="54" t="str">
        <x:v>V2</x:v>
      </x:c>
      <x:c r="E245" s="54" t="str">
        <x:v>ADMITTED</x:v>
      </x:c>
      <x:c r="F245" s="55" t="n">
        <x:v>29617</x:v>
      </x:c>
      <x:c r="G245" s="55" t="n">
        <x:v>6560</x:v>
      </x:c>
      <x:c r="H245" s="55" t="n">
        <x:v>3168</x:v>
      </x:c>
      <x:c r="I245" s="55" t="n">
        <x:v>1337</x:v>
      </x:c>
      <x:c r="J245" s="55" t="n">
        <x:v>245</x:v>
      </x:c>
      <x:c r="K245" s="55" t="n">
        <x:v>29617</x:v>
      </x:c>
      <x:c r="L245" s="55" t="n">
        <x:v>4781</x:v>
      </x:c>
      <x:c r="M245" s="55" t="n">
        <x:v>1128</x:v>
      </x:c>
      <x:c r="N245" s="55" t="n">
        <x:v>2333</x:v>
      </x:c>
      <x:c r="O245" s="55" t="n">
        <x:v>1320</x:v>
      </x:c>
      <x:c r="P245" s="55" t="n">
        <x:v>986</x:v>
      </x:c>
      <x:c r="Q245" s="55" t="n">
        <x:v>2222</x:v>
      </x:c>
      <x:c r="R245" s="55" t="n">
        <x:v>2135</x:v>
      </x:c>
      <x:c r="S245" s="55" t="n">
        <x:v>2650</x:v>
      </x:c>
      <x:c r="T245" s="55" t="n">
        <x:v>1196</x:v>
      </x:c>
      <x:c r="U245" s="55" t="n">
        <x:v>2267</x:v>
      </x:c>
      <x:c r="V245" s="55" t="n">
        <x:v>10653</x:v>
      </x:c>
      <x:c r="W245" s="55" t="n">
        <x:v>7740</x:v>
      </x:c>
      <x:c r="X245" s="55" t="n">
        <x:v>2913</x:v>
      </x:c>
      <x:c r="Y245" s="55" t="n">
        <x:v>2631</x:v>
      </x:c>
      <x:c r="Z245" s="55" t="n">
        <x:v>3246</x:v>
      </x:c>
      <x:c r="AA245" s="55" t="n">
        <x:v>2837</x:v>
      </x:c>
      <x:c r="AB245" s="55" t="n">
        <x:v>1106</x:v>
      </x:c>
      <x:c r="AC245" s="55" t="n">
        <x:v>8548</x:v>
      </x:c>
      <x:c r="AD245" s="55" t="n">
        <x:v>2648</x:v>
      </x:c>
      <x:c r="AE245" s="55" t="n">
        <x:v>10736</x:v>
      </x:c>
      <x:c r="AF245" s="55" t="n">
        <x:v>10653</x:v>
      </x:c>
      <x:c r="AG245" s="55" t="n">
        <x:v>83</x:v>
      </x:c>
      <x:c r="AH245" s="55" t="n">
        <x:v>668</x:v>
      </x:c>
      <x:c r="AI245" s="55" t="n">
        <x:v>9985</x:v>
      </x:c>
      <x:c r="AJ245" s="55" t="n">
        <x:v>294</x:v>
      </x:c>
      <x:c r="AK245" s="55" t="n">
        <x:v>1256</x:v>
      </x:c>
      <x:c r="AL245" s="55" t="n">
        <x:v>1484</x:v>
      </x:c>
      <x:c r="AM245" s="55" t="n">
        <x:v>5060</x:v>
      </x:c>
      <x:c r="AN245" s="55" t="n">
        <x:v>2502</x:v>
      </x:c>
      <x:c r="AO245" s="55" t="n">
        <x:v>57</x:v>
      </x:c>
      <x:c r="AP245" s="55" t="n">
        <x:v>2403</x:v>
      </x:c>
      <x:c r="AQ245" s="55" t="n">
        <x:v>956</x:v>
      </x:c>
    </x:row>
    <x:row r="246">
      <x:c r="A246" s="54" t="str">
        <x:v>T2_CONCORDANT_DOMAIN</x:v>
      </x:c>
      <x:c r="B246" s="54" t="n">
        <x:v>240</x:v>
      </x:c>
      <x:c r="C246" s="54" t="str">
        <x:v>NYC-V2-R01</x:v>
      </x:c>
      <x:c r="D246" s="54" t="str">
        <x:v>V2</x:v>
      </x:c>
      <x:c r="E246" s="54" t="str">
        <x:v>ADMITTED</x:v>
      </x:c>
      <x:c r="F246" s="55" t="n">
        <x:v>31938</x:v>
      </x:c>
      <x:c r="G246" s="55" t="n">
        <x:v>8099</x:v>
      </x:c>
      <x:c r="H246" s="55" t="n">
        <x:v>3579</x:v>
      </x:c>
      <x:c r="I246" s="55" t="n">
        <x:v>1423</x:v>
      </x:c>
      <x:c r="J246" s="55" t="n">
        <x:v>212</x:v>
      </x:c>
      <x:c r="K246" s="55" t="n">
        <x:v>30143</x:v>
      </x:c>
      <x:c r="L246" s="55" t="n">
        <x:v>5872</x:v>
      </x:c>
      <x:c r="M246" s="55" t="n">
        <x:v>1463</x:v>
      </x:c>
      <x:c r="N246" s="55" t="n">
        <x:v>2566</x:v>
      </x:c>
      <x:c r="O246" s="55" t="n">
        <x:v>1843</x:v>
      </x:c>
      <x:c r="P246" s="55" t="n">
        <x:v>342</x:v>
      </x:c>
      <x:c r="Q246" s="55" t="n">
        <x:v>2767</x:v>
      </x:c>
      <x:c r="R246" s="55" t="n">
        <x:v>1820</x:v>
      </x:c>
      <x:c r="S246" s="55" t="n">
        <x:v>2680</x:v>
      </x:c>
      <x:c r="T246" s="55" t="n">
        <x:v>1276</x:v>
      </x:c>
      <x:c r="U246" s="55" t="n">
        <x:v>2375</x:v>
      </x:c>
      <x:c r="V246" s="55" t="n">
        <x:v>9634</x:v>
      </x:c>
      <x:c r="W246" s="55" t="n">
        <x:v>6559</x:v>
      </x:c>
      <x:c r="X246" s="55" t="n">
        <x:v>3075</x:v>
      </x:c>
      <x:c r="Y246" s="55" t="n">
        <x:v>2594</x:v>
      </x:c>
      <x:c r="Z246" s="55" t="n">
        <x:v>3876</x:v>
      </x:c>
      <x:c r="AA246" s="55" t="n">
        <x:v>3579</x:v>
      </x:c>
      <x:c r="AB246" s="55" t="n">
        <x:v>1288</x:v>
      </x:c>
      <x:c r="AC246" s="55" t="n">
        <x:v>7918</x:v>
      </x:c>
      <x:c r="AD246" s="55" t="n">
        <x:v>2800</x:v>
      </x:c>
      <x:c r="AE246" s="55" t="n">
        <x:v>9775</x:v>
      </x:c>
      <x:c r="AF246" s="55" t="n">
        <x:v>9634</x:v>
      </x:c>
      <x:c r="AG246" s="55" t="n">
        <x:v>141</x:v>
      </x:c>
      <x:c r="AH246" s="55" t="n">
        <x:v>294</x:v>
      </x:c>
      <x:c r="AI246" s="55" t="n">
        <x:v>9340</x:v>
      </x:c>
      <x:c r="AJ246" s="55" t="n">
        <x:v>277</x:v>
      </x:c>
      <x:c r="AK246" s="55" t="n">
        <x:v>827</x:v>
      </x:c>
      <x:c r="AL246" s="55" t="n">
        <x:v>1670</x:v>
      </x:c>
      <x:c r="AM246" s="55" t="n">
        <x:v>4386</x:v>
      </x:c>
      <x:c r="AN246" s="55" t="n">
        <x:v>2418</x:v>
      </x:c>
      <x:c r="AO246" s="55" t="n">
        <x:v>56</x:v>
      </x:c>
      <x:c r="AP246" s="55" t="n">
        <x:v>1962</x:v>
      </x:c>
      <x:c r="AQ246" s="55" t="n">
        <x:v>947</x:v>
      </x:c>
    </x:row>
    <x:row r="247">
      <x:c r="A247" s="54" t="str">
        <x:v>T2_CONCORDANT_DOMAIN</x:v>
      </x:c>
      <x:c r="B247" s="54" t="n">
        <x:v>241</x:v>
      </x:c>
      <x:c r="C247" s="54" t="str">
        <x:v>NYC-V2-R01</x:v>
      </x:c>
      <x:c r="D247" s="54" t="str">
        <x:v>V2</x:v>
      </x:c>
      <x:c r="E247" s="54" t="str">
        <x:v>ADMITTED</x:v>
      </x:c>
      <x:c r="F247" s="55" t="n">
        <x:v>31321</x:v>
      </x:c>
      <x:c r="G247" s="55" t="n">
        <x:v>8733</x:v>
      </x:c>
      <x:c r="H247" s="55" t="n">
        <x:v>3434</x:v>
      </x:c>
      <x:c r="I247" s="55" t="n">
        <x:v>1064</x:v>
      </x:c>
      <x:c r="J247" s="55" t="n">
        <x:v>283</x:v>
      </x:c>
      <x:c r="K247" s="55" t="n">
        <x:v>30711</x:v>
      </x:c>
      <x:c r="L247" s="55" t="n">
        <x:v>6645</x:v>
      </x:c>
      <x:c r="M247" s="55" t="n">
        <x:v>1723</x:v>
      </x:c>
      <x:c r="N247" s="55" t="n">
        <x:v>2913</x:v>
      </x:c>
      <x:c r="O247" s="55" t="n">
        <x:v>2009</x:v>
      </x:c>
      <x:c r="P247" s="55" t="n">
        <x:v>1081</x:v>
      </x:c>
      <x:c r="Q247" s="55" t="n">
        <x:v>2889</x:v>
      </x:c>
      <x:c r="R247" s="55" t="n">
        <x:v>2507</x:v>
      </x:c>
      <x:c r="S247" s="55" t="n">
        <x:v>2822</x:v>
      </x:c>
      <x:c r="T247" s="55" t="n">
        <x:v>1428</x:v>
      </x:c>
      <x:c r="U247" s="55" t="n">
        <x:v>2367</x:v>
      </x:c>
      <x:c r="V247" s="55" t="n">
        <x:v>10601</x:v>
      </x:c>
      <x:c r="W247" s="55" t="n">
        <x:v>7000</x:v>
      </x:c>
      <x:c r="X247" s="55" t="n">
        <x:v>3601</x:v>
      </x:c>
      <x:c r="Y247" s="55" t="n">
        <x:v>2901</x:v>
      </x:c>
      <x:c r="Z247" s="55" t="n">
        <x:v>3484</x:v>
      </x:c>
      <x:c r="AA247" s="55" t="n">
        <x:v>3434</x:v>
      </x:c>
      <x:c r="AB247" s="55" t="n">
        <x:v>1678</x:v>
      </x:c>
      <x:c r="AC247" s="55" t="n">
        <x:v>8590</x:v>
      </x:c>
      <x:c r="AD247" s="55" t="n">
        <x:v>3051</x:v>
      </x:c>
      <x:c r="AE247" s="55" t="n">
        <x:v>10698</x:v>
      </x:c>
      <x:c r="AF247" s="55" t="n">
        <x:v>10601</x:v>
      </x:c>
      <x:c r="AG247" s="55" t="n">
        <x:v>97</x:v>
      </x:c>
      <x:c r="AH247" s="55" t="n">
        <x:v>551</x:v>
      </x:c>
      <x:c r="AI247" s="55" t="n">
        <x:v>10050</x:v>
      </x:c>
      <x:c r="AJ247" s="55" t="n">
        <x:v>415</x:v>
      </x:c>
      <x:c r="AK247" s="55" t="n">
        <x:v>1021</x:v>
      </x:c>
      <x:c r="AL247" s="55" t="n">
        <x:v>1800</x:v>
      </x:c>
      <x:c r="AM247" s="55" t="n">
        <x:v>4983</x:v>
      </x:c>
      <x:c r="AN247" s="55" t="n">
        <x:v>2382</x:v>
      </x:c>
      <x:c r="AO247" s="55" t="n">
        <x:v>0</x:v>
      </x:c>
      <x:c r="AP247" s="55" t="n">
        <x:v>2454</x:v>
      </x:c>
      <x:c r="AQ247" s="55" t="n">
        <x:v>985</x:v>
      </x:c>
    </x:row>
    <x:row r="248">
      <x:c r="A248" s="54" t="str">
        <x:v>T2_CONCORDANT_DOMAIN</x:v>
      </x:c>
      <x:c r="B248" s="54" t="n">
        <x:v>242</x:v>
      </x:c>
      <x:c r="C248" s="54" t="str">
        <x:v>NYC-V2-R01</x:v>
      </x:c>
      <x:c r="D248" s="54" t="str">
        <x:v>V2</x:v>
      </x:c>
      <x:c r="E248" s="54" t="str">
        <x:v>ADMITTED</x:v>
      </x:c>
      <x:c r="F248" s="55" t="n">
        <x:v>31517</x:v>
      </x:c>
      <x:c r="G248" s="55" t="n">
        <x:v>8614</x:v>
      </x:c>
      <x:c r="H248" s="55" t="n">
        <x:v>3551</x:v>
      </x:c>
      <x:c r="I248" s="55" t="n">
        <x:v>1491</x:v>
      </x:c>
      <x:c r="J248" s="55" t="n">
        <x:v>434</x:v>
      </x:c>
      <x:c r="K248" s="55" t="n">
        <x:v>31346</x:v>
      </x:c>
      <x:c r="L248" s="55" t="n">
        <x:v>5415</x:v>
      </x:c>
      <x:c r="M248" s="55" t="n">
        <x:v>1090</x:v>
      </x:c>
      <x:c r="N248" s="55" t="n">
        <x:v>2499</x:v>
      </x:c>
      <x:c r="O248" s="55" t="n">
        <x:v>1826</x:v>
      </x:c>
      <x:c r="P248" s="55" t="n">
        <x:v>603</x:v>
      </x:c>
      <x:c r="Q248" s="55" t="n">
        <x:v>1818</x:v>
      </x:c>
      <x:c r="R248" s="55" t="n">
        <x:v>1892</x:v>
      </x:c>
      <x:c r="S248" s="55" t="n">
        <x:v>3111</x:v>
      </x:c>
      <x:c r="T248" s="55" t="n">
        <x:v>1380</x:v>
      </x:c>
      <x:c r="U248" s="55" t="n">
        <x:v>2248</x:v>
      </x:c>
      <x:c r="V248" s="55" t="n">
        <x:v>11719</x:v>
      </x:c>
      <x:c r="W248" s="55" t="n">
        <x:v>8684</x:v>
      </x:c>
      <x:c r="X248" s="55" t="n">
        <x:v>3035</x:v>
      </x:c>
      <x:c r="Y248" s="55" t="n">
        <x:v>2651</x:v>
      </x:c>
      <x:c r="Z248" s="55" t="n">
        <x:v>4397</x:v>
      </x:c>
      <x:c r="AA248" s="55" t="n">
        <x:v>2947</x:v>
      </x:c>
      <x:c r="AB248" s="55" t="n">
        <x:v>1025</x:v>
      </x:c>
      <x:c r="AC248" s="55" t="n">
        <x:v>8113</x:v>
      </x:c>
      <x:c r="AD248" s="55" t="n">
        <x:v>3080</x:v>
      </x:c>
      <x:c r="AE248" s="55" t="n">
        <x:v>11794</x:v>
      </x:c>
      <x:c r="AF248" s="55" t="n">
        <x:v>11719</x:v>
      </x:c>
      <x:c r="AG248" s="55" t="n">
        <x:v>75</x:v>
      </x:c>
      <x:c r="AH248" s="55" t="n">
        <x:v>769</x:v>
      </x:c>
      <x:c r="AI248" s="55" t="n">
        <x:v>10950</x:v>
      </x:c>
      <x:c r="AJ248" s="55" t="n">
        <x:v>306</x:v>
      </x:c>
      <x:c r="AK248" s="55" t="n">
        <x:v>1281</x:v>
      </x:c>
      <x:c r="AL248" s="55" t="n">
        <x:v>1968</x:v>
      </x:c>
      <x:c r="AM248" s="55" t="n">
        <x:v>5274</x:v>
      </x:c>
      <x:c r="AN248" s="55" t="n">
        <x:v>2848</x:v>
      </x:c>
      <x:c r="AO248" s="55" t="n">
        <x:v>42</x:v>
      </x:c>
      <x:c r="AP248" s="55" t="n">
        <x:v>2395</x:v>
      </x:c>
      <x:c r="AQ248" s="55" t="n">
        <x:v>984</x:v>
      </x:c>
    </x:row>
    <x:row r="249">
      <x:c r="A249" s="54" t="str">
        <x:v>T2_CONCORDANT_DOMAIN</x:v>
      </x:c>
      <x:c r="B249" s="54" t="n">
        <x:v>243</x:v>
      </x:c>
      <x:c r="C249" s="54" t="str">
        <x:v>NYC-V2-R01</x:v>
      </x:c>
      <x:c r="D249" s="54" t="str">
        <x:v>V2</x:v>
      </x:c>
      <x:c r="E249" s="54" t="str">
        <x:v>ADMITTED</x:v>
      </x:c>
      <x:c r="F249" s="55" t="n">
        <x:v>32227</x:v>
      </x:c>
      <x:c r="G249" s="55" t="n">
        <x:v>7950</x:v>
      </x:c>
      <x:c r="H249" s="55" t="n">
        <x:v>2746</x:v>
      </x:c>
      <x:c r="I249" s="55" t="n">
        <x:v>1010</x:v>
      </x:c>
      <x:c r="J249" s="55" t="n">
        <x:v>22</x:v>
      </x:c>
      <x:c r="K249" s="55" t="n">
        <x:v>32227</x:v>
      </x:c>
      <x:c r="L249" s="55" t="n">
        <x:v>5483</x:v>
      </x:c>
      <x:c r="M249" s="55" t="n">
        <x:v>1096</x:v>
      </x:c>
      <x:c r="N249" s="55" t="n">
        <x:v>2738</x:v>
      </x:c>
      <x:c r="O249" s="55" t="n">
        <x:v>1649</x:v>
      </x:c>
      <x:c r="P249" s="55" t="n">
        <x:v>884</x:v>
      </x:c>
      <x:c r="Q249" s="55" t="n">
        <x:v>1696</x:v>
      </x:c>
      <x:c r="R249" s="55" t="n">
        <x:v>1634</x:v>
      </x:c>
      <x:c r="S249" s="55" t="n">
        <x:v>2036</x:v>
      </x:c>
      <x:c r="T249" s="55" t="n">
        <x:v>1110</x:v>
      </x:c>
      <x:c r="U249" s="55" t="n">
        <x:v>1925</x:v>
      </x:c>
      <x:c r="V249" s="55" t="n">
        <x:v>10062</x:v>
      </x:c>
      <x:c r="W249" s="55" t="n">
        <x:v>6729</x:v>
      </x:c>
      <x:c r="X249" s="55" t="n">
        <x:v>3333</x:v>
      </x:c>
      <x:c r="Y249" s="55" t="n">
        <x:v>2804</x:v>
      </x:c>
      <x:c r="Z249" s="55" t="n">
        <x:v>3940</x:v>
      </x:c>
      <x:c r="AA249" s="55" t="n">
        <x:v>2636</x:v>
      </x:c>
      <x:c r="AB249" s="55" t="n">
        <x:v>736</x:v>
      </x:c>
      <x:c r="AC249" s="55" t="n">
        <x:v>8087</x:v>
      </x:c>
      <x:c r="AD249" s="55" t="n">
        <x:v>2698</x:v>
      </x:c>
      <x:c r="AE249" s="55" t="n">
        <x:v>10159</x:v>
      </x:c>
      <x:c r="AF249" s="55" t="n">
        <x:v>10062</x:v>
      </x:c>
      <x:c r="AG249" s="55" t="n">
        <x:v>97</x:v>
      </x:c>
      <x:c r="AH249" s="55" t="n">
        <x:v>332</x:v>
      </x:c>
      <x:c r="AI249" s="55" t="n">
        <x:v>9730</x:v>
      </x:c>
      <x:c r="AJ249" s="55" t="n">
        <x:v>271</x:v>
      </x:c>
      <x:c r="AK249" s="55" t="n">
        <x:v>907</x:v>
      </x:c>
      <x:c r="AL249" s="55" t="n">
        <x:v>1427</x:v>
      </x:c>
      <x:c r="AM249" s="55" t="n">
        <x:v>4528</x:v>
      </x:c>
      <x:c r="AN249" s="55" t="n">
        <x:v>2929</x:v>
      </x:c>
      <x:c r="AO249" s="55" t="n">
        <x:v>0</x:v>
      </x:c>
      <x:c r="AP249" s="55" t="n">
        <x:v>1884</x:v>
      </x:c>
      <x:c r="AQ249" s="55" t="n">
        <x:v>922</x:v>
      </x:c>
    </x:row>
    <x:row r="250">
      <x:c r="A250" s="54" t="str">
        <x:v>T2_CONCORDANT_DOMAIN</x:v>
      </x:c>
      <x:c r="B250" s="54" t="n">
        <x:v>244</x:v>
      </x:c>
      <x:c r="C250" s="54" t="str">
        <x:v>NYC-V2-R01</x:v>
      </x:c>
      <x:c r="D250" s="54" t="str">
        <x:v>V2</x:v>
      </x:c>
      <x:c r="E250" s="54" t="str">
        <x:v>ADMITTED</x:v>
      </x:c>
      <x:c r="F250" s="55" t="n">
        <x:v>32701</x:v>
      </x:c>
      <x:c r="G250" s="55" t="n">
        <x:v>8282</x:v>
      </x:c>
      <x:c r="H250" s="55" t="n">
        <x:v>3620</x:v>
      </x:c>
      <x:c r="I250" s="55" t="n">
        <x:v>1353</x:v>
      </x:c>
      <x:c r="J250" s="55" t="n">
        <x:v>318</x:v>
      </x:c>
      <x:c r="K250" s="55" t="n">
        <x:v>32701</x:v>
      </x:c>
      <x:c r="L250" s="55" t="n">
        <x:v>7760</x:v>
      </x:c>
      <x:c r="M250" s="55" t="n">
        <x:v>2009</x:v>
      </x:c>
      <x:c r="N250" s="55" t="n">
        <x:v>3754</x:v>
      </x:c>
      <x:c r="O250" s="55" t="n">
        <x:v>1997</x:v>
      </x:c>
      <x:c r="P250" s="55" t="n">
        <x:v>1056</x:v>
      </x:c>
      <x:c r="Q250" s="55" t="n">
        <x:v>2658</x:v>
      </x:c>
      <x:c r="R250" s="55" t="n">
        <x:v>1776</x:v>
      </x:c>
      <x:c r="S250" s="55" t="n">
        <x:v>2809</x:v>
      </x:c>
      <x:c r="T250" s="55" t="n">
        <x:v>1695</x:v>
      </x:c>
      <x:c r="U250" s="55" t="n">
        <x:v>2151</x:v>
      </x:c>
      <x:c r="V250" s="55" t="n">
        <x:v>10501</x:v>
      </x:c>
      <x:c r="W250" s="55" t="n">
        <x:v>7573</x:v>
      </x:c>
      <x:c r="X250" s="55" t="n">
        <x:v>2928</x:v>
      </x:c>
      <x:c r="Y250" s="55" t="n">
        <x:v>2538</x:v>
      </x:c>
      <x:c r="Z250" s="55" t="n">
        <x:v>3646</x:v>
      </x:c>
      <x:c r="AA250" s="55" t="n">
        <x:v>3620</x:v>
      </x:c>
      <x:c r="AB250" s="55" t="n">
        <x:v>1379</x:v>
      </x:c>
      <x:c r="AC250" s="55" t="n">
        <x:v>8112</x:v>
      </x:c>
      <x:c r="AD250" s="55" t="n">
        <x:v>3191</x:v>
      </x:c>
      <x:c r="AE250" s="55" t="n">
        <x:v>10627</x:v>
      </x:c>
      <x:c r="AF250" s="55" t="n">
        <x:v>10501</x:v>
      </x:c>
      <x:c r="AG250" s="55" t="n">
        <x:v>126</x:v>
      </x:c>
      <x:c r="AH250" s="55" t="n">
        <x:v>504</x:v>
      </x:c>
      <x:c r="AI250" s="55" t="n">
        <x:v>9997</x:v>
      </x:c>
      <x:c r="AJ250" s="55" t="n">
        <x:v>311</x:v>
      </x:c>
      <x:c r="AK250" s="55" t="n">
        <x:v>793</x:v>
      </x:c>
      <x:c r="AL250" s="55" t="n">
        <x:v>1673</x:v>
      </x:c>
      <x:c r="AM250" s="55" t="n">
        <x:v>4636</x:v>
      </x:c>
      <x:c r="AN250" s="55" t="n">
        <x:v>3058</x:v>
      </x:c>
      <x:c r="AO250" s="55" t="n">
        <x:v>30</x:v>
      </x:c>
      <x:c r="AP250" s="55" t="n">
        <x:v>2556</x:v>
      </x:c>
      <x:c r="AQ250" s="55" t="n">
        <x:v>1006</x:v>
      </x:c>
    </x:row>
    <x:row r="251">
      <x:c r="A251" s="54" t="str">
        <x:v>T2_CONCORDANT_DOMAIN</x:v>
      </x:c>
      <x:c r="B251" s="54" t="n">
        <x:v>245</x:v>
      </x:c>
      <x:c r="C251" s="54" t="str">
        <x:v>NYC-V2-R01</x:v>
      </x:c>
      <x:c r="D251" s="54" t="str">
        <x:v>V2</x:v>
      </x:c>
      <x:c r="E251" s="54" t="str">
        <x:v>ADMITTED</x:v>
      </x:c>
      <x:c r="F251" s="55" t="n">
        <x:v>32414</x:v>
      </x:c>
      <x:c r="G251" s="55" t="n">
        <x:v>8721</x:v>
      </x:c>
      <x:c r="H251" s="55" t="n">
        <x:v>3198</x:v>
      </x:c>
      <x:c r="I251" s="55" t="n">
        <x:v>1365</x:v>
      </x:c>
      <x:c r="J251" s="55" t="n">
        <x:v>287</x:v>
      </x:c>
      <x:c r="K251" s="55" t="n">
        <x:v>29812</x:v>
      </x:c>
      <x:c r="L251" s="55" t="n">
        <x:v>5717</x:v>
      </x:c>
      <x:c r="M251" s="55" t="n">
        <x:v>1416</x:v>
      </x:c>
      <x:c r="N251" s="55" t="n">
        <x:v>2637</x:v>
      </x:c>
      <x:c r="O251" s="55" t="n">
        <x:v>1664</x:v>
      </x:c>
      <x:c r="P251" s="55" t="n">
        <x:v>841</x:v>
      </x:c>
      <x:c r="Q251" s="55" t="n">
        <x:v>2933</x:v>
      </x:c>
      <x:c r="R251" s="55" t="n">
        <x:v>1769</x:v>
      </x:c>
      <x:c r="S251" s="55" t="n">
        <x:v>3108</x:v>
      </x:c>
      <x:c r="T251" s="55" t="n">
        <x:v>1127</x:v>
      </x:c>
      <x:c r="U251" s="55" t="n">
        <x:v>1829</x:v>
      </x:c>
      <x:c r="V251" s="55" t="n">
        <x:v>11096</x:v>
      </x:c>
      <x:c r="W251" s="55" t="n">
        <x:v>8024</x:v>
      </x:c>
      <x:c r="X251" s="55" t="n">
        <x:v>3072</x:v>
      </x:c>
      <x:c r="Y251" s="55" t="n">
        <x:v>2596</x:v>
      </x:c>
      <x:c r="Z251" s="55" t="n">
        <x:v>3572</x:v>
      </x:c>
      <x:c r="AA251" s="55" t="n">
        <x:v>2658</x:v>
      </x:c>
      <x:c r="AB251" s="55" t="n">
        <x:v>1147</x:v>
      </x:c>
      <x:c r="AC251" s="55" t="n">
        <x:v>8281</x:v>
      </x:c>
      <x:c r="AD251" s="55" t="n">
        <x:v>3606</x:v>
      </x:c>
      <x:c r="AE251" s="55" t="n">
        <x:v>11183</x:v>
      </x:c>
      <x:c r="AF251" s="55" t="n">
        <x:v>11096</x:v>
      </x:c>
      <x:c r="AG251" s="55" t="n">
        <x:v>87</x:v>
      </x:c>
      <x:c r="AH251" s="55" t="n">
        <x:v>464</x:v>
      </x:c>
      <x:c r="AI251" s="55" t="n">
        <x:v>10632</x:v>
      </x:c>
      <x:c r="AJ251" s="55" t="n">
        <x:v>317</x:v>
      </x:c>
      <x:c r="AK251" s="55" t="n">
        <x:v>1124</x:v>
      </x:c>
      <x:c r="AL251" s="55" t="n">
        <x:v>1761</x:v>
      </x:c>
      <x:c r="AM251" s="55" t="n">
        <x:v>4969</x:v>
      </x:c>
      <x:c r="AN251" s="55" t="n">
        <x:v>2860</x:v>
      </x:c>
      <x:c r="AO251" s="55" t="n">
        <x:v>65</x:v>
      </x:c>
      <x:c r="AP251" s="55" t="n">
        <x:v>2274</x:v>
      </x:c>
      <x:c r="AQ251" s="55" t="n">
        <x:v>963</x:v>
      </x:c>
    </x:row>
    <x:row r="252">
      <x:c r="A252" s="54" t="str">
        <x:v>T2_CONCORDANT_DOMAIN</x:v>
      </x:c>
      <x:c r="B252" s="54" t="n">
        <x:v>246</x:v>
      </x:c>
      <x:c r="C252" s="54" t="str">
        <x:v>NYC-V2-R01</x:v>
      </x:c>
      <x:c r="D252" s="54" t="str">
        <x:v>V2</x:v>
      </x:c>
      <x:c r="E252" s="54" t="str">
        <x:v>ADMITTED</x:v>
      </x:c>
      <x:c r="F252" s="55" t="n">
        <x:v>31034</x:v>
      </x:c>
      <x:c r="G252" s="55" t="n">
        <x:v>7642</x:v>
      </x:c>
      <x:c r="H252" s="55" t="n">
        <x:v>3424</x:v>
      </x:c>
      <x:c r="I252" s="55" t="n">
        <x:v>1274</x:v>
      </x:c>
      <x:c r="J252" s="55" t="n">
        <x:v>319</x:v>
      </x:c>
      <x:c r="K252" s="55" t="n">
        <x:v>31034</x:v>
      </x:c>
      <x:c r="L252" s="55" t="n">
        <x:v>5814</x:v>
      </x:c>
      <x:c r="M252" s="55" t="n">
        <x:v>1184</x:v>
      </x:c>
      <x:c r="N252" s="55" t="n">
        <x:v>2960</x:v>
      </x:c>
      <x:c r="O252" s="55" t="n">
        <x:v>1670</x:v>
      </x:c>
      <x:c r="P252" s="55" t="n">
        <x:v>768</x:v>
      </x:c>
      <x:c r="Q252" s="55" t="n">
        <x:v>2058</x:v>
      </x:c>
      <x:c r="R252" s="55" t="n">
        <x:v>1847</x:v>
      </x:c>
      <x:c r="S252" s="55" t="n">
        <x:v>2793</x:v>
      </x:c>
      <x:c r="T252" s="55" t="n">
        <x:v>1237</x:v>
      </x:c>
      <x:c r="U252" s="55" t="n">
        <x:v>2311</x:v>
      </x:c>
      <x:c r="V252" s="55" t="n">
        <x:v>9786</x:v>
      </x:c>
      <x:c r="W252" s="55" t="n">
        <x:v>7043</x:v>
      </x:c>
      <x:c r="X252" s="55" t="n">
        <x:v>2743</x:v>
      </x:c>
      <x:c r="Y252" s="55" t="n">
        <x:v>2347</x:v>
      </x:c>
      <x:c r="Z252" s="55" t="n">
        <x:v>3825</x:v>
      </x:c>
      <x:c r="AA252" s="55" t="n">
        <x:v>3357</x:v>
      </x:c>
      <x:c r="AB252" s="55" t="n">
        <x:v>1330</x:v>
      </x:c>
      <x:c r="AC252" s="55" t="n">
        <x:v>8046</x:v>
      </x:c>
      <x:c r="AD252" s="55" t="n">
        <x:v>2742</x:v>
      </x:c>
      <x:c r="AE252" s="55" t="n">
        <x:v>9859</x:v>
      </x:c>
      <x:c r="AF252" s="55" t="n">
        <x:v>9786</x:v>
      </x:c>
      <x:c r="AG252" s="55" t="n">
        <x:v>73</x:v>
      </x:c>
      <x:c r="AH252" s="55" t="n">
        <x:v>285</x:v>
      </x:c>
      <x:c r="AI252" s="55" t="n">
        <x:v>9501</x:v>
      </x:c>
      <x:c r="AJ252" s="55" t="n">
        <x:v>438</x:v>
      </x:c>
      <x:c r="AK252" s="55" t="n">
        <x:v>840</x:v>
      </x:c>
      <x:c r="AL252" s="55" t="n">
        <x:v>1357</x:v>
      </x:c>
      <x:c r="AM252" s="55" t="n">
        <x:v>4859</x:v>
      </x:c>
      <x:c r="AN252" s="55" t="n">
        <x:v>2292</x:v>
      </x:c>
      <x:c r="AO252" s="55" t="n">
        <x:v>0</x:v>
      </x:c>
      <x:c r="AP252" s="55" t="n">
        <x:v>2008</x:v>
      </x:c>
      <x:c r="AQ252" s="55" t="n">
        <x:v>967</x:v>
      </x:c>
    </x:row>
    <x:row r="253">
      <x:c r="A253" s="54" t="str">
        <x:v>T2_CONCORDANT_DOMAIN</x:v>
      </x:c>
      <x:c r="B253" s="54" t="n">
        <x:v>247</x:v>
      </x:c>
      <x:c r="C253" s="54" t="str">
        <x:v>NYC-V2-R01</x:v>
      </x:c>
      <x:c r="D253" s="54" t="str">
        <x:v>V2</x:v>
      </x:c>
      <x:c r="E253" s="54" t="str">
        <x:v>ADMITTED</x:v>
      </x:c>
      <x:c r="F253" s="55" t="n">
        <x:v>28127</x:v>
      </x:c>
      <x:c r="G253" s="55" t="n">
        <x:v>5437</x:v>
      </x:c>
      <x:c r="H253" s="55" t="n">
        <x:v>2921</x:v>
      </x:c>
      <x:c r="I253" s="55" t="n">
        <x:v>1102</x:v>
      </x:c>
      <x:c r="J253" s="55" t="n">
        <x:v>89</x:v>
      </x:c>
      <x:c r="K253" s="55" t="n">
        <x:v>28127</x:v>
      </x:c>
      <x:c r="L253" s="55" t="n">
        <x:v>4051</x:v>
      </x:c>
      <x:c r="M253" s="55" t="n">
        <x:v>422</x:v>
      </x:c>
      <x:c r="N253" s="55" t="n">
        <x:v>2429</x:v>
      </x:c>
      <x:c r="O253" s="55" t="n">
        <x:v>1200</x:v>
      </x:c>
      <x:c r="P253" s="55" t="n">
        <x:v>397</x:v>
      </x:c>
      <x:c r="Q253" s="55" t="n">
        <x:v>1590</x:v>
      </x:c>
      <x:c r="R253" s="55" t="n">
        <x:v>1384</x:v>
      </x:c>
      <x:c r="S253" s="55" t="n">
        <x:v>2078</x:v>
      </x:c>
      <x:c r="T253" s="55" t="n">
        <x:v>670</x:v>
      </x:c>
      <x:c r="U253" s="55" t="n">
        <x:v>1431</x:v>
      </x:c>
      <x:c r="V253" s="55" t="n">
        <x:v>9943</x:v>
      </x:c>
      <x:c r="W253" s="55" t="n">
        <x:v>7090</x:v>
      </x:c>
      <x:c r="X253" s="55" t="n">
        <x:v>2853</x:v>
      </x:c>
      <x:c r="Y253" s="55" t="n">
        <x:v>2425</x:v>
      </x:c>
      <x:c r="Z253" s="55" t="n">
        <x:v>3528</x:v>
      </x:c>
      <x:c r="AA253" s="55" t="n">
        <x:v>2364</x:v>
      </x:c>
      <x:c r="AB253" s="55" t="n">
        <x:v>614</x:v>
      </x:c>
      <x:c r="AC253" s="55" t="n">
        <x:v>8268</x:v>
      </x:c>
      <x:c r="AD253" s="55" t="n">
        <x:v>2949</x:v>
      </x:c>
      <x:c r="AE253" s="55" t="n">
        <x:v>9969</x:v>
      </x:c>
      <x:c r="AF253" s="55" t="n">
        <x:v>9943</x:v>
      </x:c>
      <x:c r="AG253" s="55" t="n">
        <x:v>26</x:v>
      </x:c>
      <x:c r="AH253" s="55" t="n">
        <x:v>306</x:v>
      </x:c>
      <x:c r="AI253" s="55" t="n">
        <x:v>9637</x:v>
      </x:c>
      <x:c r="AJ253" s="55" t="n">
        <x:v>279</x:v>
      </x:c>
      <x:c r="AK253" s="55" t="n">
        <x:v>1190</x:v>
      </x:c>
      <x:c r="AL253" s="55" t="n">
        <x:v>1351</x:v>
      </x:c>
      <x:c r="AM253" s="55" t="n">
        <x:v>4725</x:v>
      </x:c>
      <x:c r="AN253" s="55" t="n">
        <x:v>2398</x:v>
      </x:c>
      <x:c r="AO253" s="55" t="n">
        <x:v>0</x:v>
      </x:c>
      <x:c r="AP253" s="55" t="n">
        <x:v>2312</x:v>
      </x:c>
      <x:c r="AQ253" s="55" t="n">
        <x:v>899</x:v>
      </x:c>
    </x:row>
    <x:row r="254">
      <x:c r="A254" s="54" t="str">
        <x:v>T2_CONCORDANT_DOMAIN</x:v>
      </x:c>
      <x:c r="B254" s="54" t="n">
        <x:v>248</x:v>
      </x:c>
      <x:c r="C254" s="54" t="str">
        <x:v>NYC-V2-R01</x:v>
      </x:c>
      <x:c r="D254" s="54" t="str">
        <x:v>V2</x:v>
      </x:c>
      <x:c r="E254" s="54" t="str">
        <x:v>ADMITTED</x:v>
      </x:c>
      <x:c r="F254" s="55" t="n">
        <x:v>31017</x:v>
      </x:c>
      <x:c r="G254" s="55" t="n">
        <x:v>6629</x:v>
      </x:c>
      <x:c r="H254" s="55" t="n">
        <x:v>3580</x:v>
      </x:c>
      <x:c r="I254" s="55" t="n">
        <x:v>1271</x:v>
      </x:c>
      <x:c r="J254" s="55" t="n">
        <x:v>271</x:v>
      </x:c>
      <x:c r="K254" s="55" t="n">
        <x:v>30760</x:v>
      </x:c>
      <x:c r="L254" s="55" t="n">
        <x:v>5421</x:v>
      </x:c>
      <x:c r="M254" s="55" t="n">
        <x:v>1725</x:v>
      </x:c>
      <x:c r="N254" s="55" t="n">
        <x:v>2211</x:v>
      </x:c>
      <x:c r="O254" s="55" t="n">
        <x:v>1485</x:v>
      </x:c>
      <x:c r="P254" s="55" t="n">
        <x:v>416</x:v>
      </x:c>
      <x:c r="Q254" s="55" t="n">
        <x:v>1850</x:v>
      </x:c>
      <x:c r="R254" s="55" t="n">
        <x:v>1489</x:v>
      </x:c>
      <x:c r="S254" s="55" t="n">
        <x:v>2551</x:v>
      </x:c>
      <x:c r="T254" s="55" t="n">
        <x:v>965</x:v>
      </x:c>
      <x:c r="U254" s="55" t="n">
        <x:v>1734</x:v>
      </x:c>
      <x:c r="V254" s="55" t="n">
        <x:v>10653</x:v>
      </x:c>
      <x:c r="W254" s="55" t="n">
        <x:v>7389</x:v>
      </x:c>
      <x:c r="X254" s="55" t="n">
        <x:v>3264</x:v>
      </x:c>
      <x:c r="Y254" s="55" t="n">
        <x:v>2829</x:v>
      </x:c>
      <x:c r="Z254" s="55" t="n">
        <x:v>4088</x:v>
      </x:c>
      <x:c r="AA254" s="55" t="n">
        <x:v>2814</x:v>
      </x:c>
      <x:c r="AB254" s="55" t="n">
        <x:v>1285</x:v>
      </x:c>
      <x:c r="AC254" s="55" t="n">
        <x:v>8603</x:v>
      </x:c>
      <x:c r="AD254" s="55" t="n">
        <x:v>2991</x:v>
      </x:c>
      <x:c r="AE254" s="55" t="n">
        <x:v>10675</x:v>
      </x:c>
      <x:c r="AF254" s="55" t="n">
        <x:v>10653</x:v>
      </x:c>
      <x:c r="AG254" s="55" t="n">
        <x:v>22</x:v>
      </x:c>
      <x:c r="AH254" s="55" t="n">
        <x:v>682</x:v>
      </x:c>
      <x:c r="AI254" s="55" t="n">
        <x:v>9971</x:v>
      </x:c>
      <x:c r="AJ254" s="55" t="n">
        <x:v>512</x:v>
      </x:c>
      <x:c r="AK254" s="55" t="n">
        <x:v>940</x:v>
      </x:c>
      <x:c r="AL254" s="55" t="n">
        <x:v>1684</x:v>
      </x:c>
      <x:c r="AM254" s="55" t="n">
        <x:v>4962</x:v>
      </x:c>
      <x:c r="AN254" s="55" t="n">
        <x:v>2477</x:v>
      </x:c>
      <x:c r="AO254" s="55" t="n">
        <x:v>78</x:v>
      </x:c>
      <x:c r="AP254" s="55" t="n">
        <x:v>2313</x:v>
      </x:c>
      <x:c r="AQ254" s="55" t="n">
        <x:v>1004</x:v>
      </x:c>
    </x:row>
    <x:row r="255">
      <x:c r="A255" s="54" t="str">
        <x:v>T2_CONCORDANT_DOMAIN</x:v>
      </x:c>
      <x:c r="B255" s="54" t="n">
        <x:v>249</x:v>
      </x:c>
      <x:c r="C255" s="54" t="str">
        <x:v>NYC-V2-R01</x:v>
      </x:c>
      <x:c r="D255" s="54" t="str">
        <x:v>V2</x:v>
      </x:c>
      <x:c r="E255" s="54" t="str">
        <x:v>ADMITTED</x:v>
      </x:c>
      <x:c r="F255" s="55" t="n">
        <x:v>31458</x:v>
      </x:c>
      <x:c r="G255" s="55" t="n">
        <x:v>8037</x:v>
      </x:c>
      <x:c r="H255" s="55" t="n">
        <x:v>2803</x:v>
      </x:c>
      <x:c r="I255" s="55" t="n">
        <x:v>963</x:v>
      </x:c>
      <x:c r="J255" s="55" t="n">
        <x:v>189</x:v>
      </x:c>
      <x:c r="K255" s="55" t="n">
        <x:v>31458</x:v>
      </x:c>
      <x:c r="L255" s="55" t="n">
        <x:v>5231</x:v>
      </x:c>
      <x:c r="M255" s="55" t="n">
        <x:v>1100</x:v>
      </x:c>
      <x:c r="N255" s="55" t="n">
        <x:v>2462</x:v>
      </x:c>
      <x:c r="O255" s="55" t="n">
        <x:v>1669</x:v>
      </x:c>
      <x:c r="P255" s="55" t="n">
        <x:v>902</x:v>
      </x:c>
      <x:c r="Q255" s="55" t="n">
        <x:v>3514</x:v>
      </x:c>
      <x:c r="R255" s="55" t="n">
        <x:v>1697</x:v>
      </x:c>
      <x:c r="S255" s="55" t="n">
        <x:v>2712</x:v>
      </x:c>
      <x:c r="T255" s="55" t="n">
        <x:v>1088</x:v>
      </x:c>
      <x:c r="U255" s="55" t="n">
        <x:v>2654</x:v>
      </x:c>
      <x:c r="V255" s="55" t="n">
        <x:v>10344</x:v>
      </x:c>
      <x:c r="W255" s="55" t="n">
        <x:v>7528</x:v>
      </x:c>
      <x:c r="X255" s="55" t="n">
        <x:v>2816</x:v>
      </x:c>
      <x:c r="Y255" s="55" t="n">
        <x:v>2419</x:v>
      </x:c>
      <x:c r="Z255" s="55" t="n">
        <x:v>3127</x:v>
      </x:c>
      <x:c r="AA255" s="55" t="n">
        <x:v>2803</x:v>
      </x:c>
      <x:c r="AB255" s="55" t="n">
        <x:v>903</x:v>
      </x:c>
      <x:c r="AC255" s="55" t="n">
        <x:v>7410</x:v>
      </x:c>
      <x:c r="AD255" s="55" t="n">
        <x:v>2143</x:v>
      </x:c>
      <x:c r="AE255" s="55" t="n">
        <x:v>10437</x:v>
      </x:c>
      <x:c r="AF255" s="55" t="n">
        <x:v>10344</x:v>
      </x:c>
      <x:c r="AG255" s="55" t="n">
        <x:v>93</x:v>
      </x:c>
      <x:c r="AH255" s="55" t="n">
        <x:v>313</x:v>
      </x:c>
      <x:c r="AI255" s="55" t="n">
        <x:v>10031</x:v>
      </x:c>
      <x:c r="AJ255" s="55" t="n">
        <x:v>331</x:v>
      </x:c>
      <x:c r="AK255" s="55" t="n">
        <x:v>1229</x:v>
      </x:c>
      <x:c r="AL255" s="55" t="n">
        <x:v>1250</x:v>
      </x:c>
      <x:c r="AM255" s="55" t="n">
        <x:v>4947</x:v>
      </x:c>
      <x:c r="AN255" s="55" t="n">
        <x:v>2587</x:v>
      </x:c>
      <x:c r="AO255" s="55" t="n">
        <x:v>0</x:v>
      </x:c>
      <x:c r="AP255" s="55" t="n">
        <x:v>2100</x:v>
      </x:c>
      <x:c r="AQ255" s="55" t="n">
        <x:v>985</x:v>
      </x:c>
    </x:row>
    <x:row r="256">
      <x:c r="A256" s="54" t="str">
        <x:v>T2_CONCORDANT_DOMAIN</x:v>
      </x:c>
      <x:c r="B256" s="54" t="n">
        <x:v>250</x:v>
      </x:c>
      <x:c r="C256" s="54" t="str">
        <x:v>NYC-V2-R01</x:v>
      </x:c>
      <x:c r="D256" s="54" t="str">
        <x:v>V2</x:v>
      </x:c>
      <x:c r="E256" s="54" t="str">
        <x:v>ADMITTED</x:v>
      </x:c>
      <x:c r="F256" s="55" t="n">
        <x:v>32237</x:v>
      </x:c>
      <x:c r="G256" s="55" t="n">
        <x:v>7574</x:v>
      </x:c>
      <x:c r="H256" s="55" t="n">
        <x:v>2611</x:v>
      </x:c>
      <x:c r="I256" s="55" t="n">
        <x:v>1064</x:v>
      </x:c>
      <x:c r="J256" s="55" t="n">
        <x:v>73</x:v>
      </x:c>
      <x:c r="K256" s="55" t="n">
        <x:v>32237</x:v>
      </x:c>
      <x:c r="L256" s="55" t="n">
        <x:v>5530</x:v>
      </x:c>
      <x:c r="M256" s="55" t="n">
        <x:v>444</x:v>
      </x:c>
      <x:c r="N256" s="55" t="n">
        <x:v>3021</x:v>
      </x:c>
      <x:c r="O256" s="55" t="n">
        <x:v>2065</x:v>
      </x:c>
      <x:c r="P256" s="55" t="n">
        <x:v>1277</x:v>
      </x:c>
      <x:c r="Q256" s="55" t="n">
        <x:v>2736</x:v>
      </x:c>
      <x:c r="R256" s="55" t="n">
        <x:v>1725</x:v>
      </x:c>
      <x:c r="S256" s="55" t="n">
        <x:v>2515</x:v>
      </x:c>
      <x:c r="T256" s="55" t="n">
        <x:v>940</x:v>
      </x:c>
      <x:c r="U256" s="55" t="n">
        <x:v>2150</x:v>
      </x:c>
      <x:c r="V256" s="55" t="n">
        <x:v>10649</x:v>
      </x:c>
      <x:c r="W256" s="55" t="n">
        <x:v>7686</x:v>
      </x:c>
      <x:c r="X256" s="55" t="n">
        <x:v>2963</x:v>
      </x:c>
      <x:c r="Y256" s="55" t="n">
        <x:v>2449</x:v>
      </x:c>
      <x:c r="Z256" s="55" t="n">
        <x:v>3394</x:v>
      </x:c>
      <x:c r="AA256" s="55" t="n">
        <x:v>2567</x:v>
      </x:c>
      <x:c r="AB256" s="55" t="n">
        <x:v>646</x:v>
      </x:c>
      <x:c r="AC256" s="55" t="n">
        <x:v>8022</x:v>
      </x:c>
      <x:c r="AD256" s="55" t="n">
        <x:v>3183</x:v>
      </x:c>
      <x:c r="AE256" s="55" t="n">
        <x:v>10720</x:v>
      </x:c>
      <x:c r="AF256" s="55" t="n">
        <x:v>10649</x:v>
      </x:c>
      <x:c r="AG256" s="55" t="n">
        <x:v>71</x:v>
      </x:c>
      <x:c r="AH256" s="55" t="n">
        <x:v>452</x:v>
      </x:c>
      <x:c r="AI256" s="55" t="n">
        <x:v>10197</x:v>
      </x:c>
      <x:c r="AJ256" s="55" t="n">
        <x:v>318</x:v>
      </x:c>
      <x:c r="AK256" s="55" t="n">
        <x:v>1350</x:v>
      </x:c>
      <x:c r="AL256" s="55" t="n">
        <x:v>1418</x:v>
      </x:c>
      <x:c r="AM256" s="55" t="n">
        <x:v>5050</x:v>
      </x:c>
      <x:c r="AN256" s="55" t="n">
        <x:v>2513</x:v>
      </x:c>
      <x:c r="AO256" s="55" t="n">
        <x:v>0</x:v>
      </x:c>
      <x:c r="AP256" s="55" t="n">
        <x:v>2353</x:v>
      </x:c>
      <x:c r="AQ256" s="55" t="n">
        <x:v>950</x:v>
      </x:c>
    </x:row>
    <x:row r="257">
      <x:c r="A257" s="54" t="str">
        <x:v>T2_CONCORDANT_DOMAIN</x:v>
      </x:c>
      <x:c r="B257" s="54" t="n">
        <x:v>251</x:v>
      </x:c>
      <x:c r="C257" s="54" t="str">
        <x:v>NYC-V2-R01</x:v>
      </x:c>
      <x:c r="D257" s="54" t="str">
        <x:v>V2</x:v>
      </x:c>
      <x:c r="E257" s="54" t="str">
        <x:v>ADMITTED</x:v>
      </x:c>
      <x:c r="F257" s="55" t="n">
        <x:v>30303</x:v>
      </x:c>
      <x:c r="G257" s="55" t="n">
        <x:v>7564</x:v>
      </x:c>
      <x:c r="H257" s="55" t="n">
        <x:v>3039</x:v>
      </x:c>
      <x:c r="I257" s="55" t="n">
        <x:v>787</x:v>
      </x:c>
      <x:c r="J257" s="55" t="n">
        <x:v>170</x:v>
      </x:c>
      <x:c r="K257" s="55" t="n">
        <x:v>30303</x:v>
      </x:c>
      <x:c r="L257" s="55" t="n">
        <x:v>5898</x:v>
      </x:c>
      <x:c r="M257" s="55" t="n">
        <x:v>1651</x:v>
      </x:c>
      <x:c r="N257" s="55" t="n">
        <x:v>2407</x:v>
      </x:c>
      <x:c r="O257" s="55" t="n">
        <x:v>1840</x:v>
      </x:c>
      <x:c r="P257" s="55" t="n">
        <x:v>1113</x:v>
      </x:c>
      <x:c r="Q257" s="55" t="n">
        <x:v>2561</x:v>
      </x:c>
      <x:c r="R257" s="55" t="n">
        <x:v>2241</x:v>
      </x:c>
      <x:c r="S257" s="55" t="n">
        <x:v>2595</x:v>
      </x:c>
      <x:c r="T257" s="55" t="n">
        <x:v>1014</x:v>
      </x:c>
      <x:c r="U257" s="55" t="n">
        <x:v>2288</x:v>
      </x:c>
      <x:c r="V257" s="55" t="n">
        <x:v>11044</x:v>
      </x:c>
      <x:c r="W257" s="55" t="n">
        <x:v>7770</x:v>
      </x:c>
      <x:c r="X257" s="55" t="n">
        <x:v>3274</x:v>
      </x:c>
      <x:c r="Y257" s="55" t="n">
        <x:v>2950</x:v>
      </x:c>
      <x:c r="Z257" s="55" t="n">
        <x:v>4135</x:v>
      </x:c>
      <x:c r="AA257" s="55" t="n">
        <x:v>3007</x:v>
      </x:c>
      <x:c r="AB257" s="55" t="n">
        <x:v>1054</x:v>
      </x:c>
      <x:c r="AC257" s="55" t="n">
        <x:v>8639</x:v>
      </x:c>
      <x:c r="AD257" s="55" t="n">
        <x:v>2632</x:v>
      </x:c>
      <x:c r="AE257" s="55" t="n">
        <x:v>11148</x:v>
      </x:c>
      <x:c r="AF257" s="55" t="n">
        <x:v>11044</x:v>
      </x:c>
      <x:c r="AG257" s="55" t="n">
        <x:v>104</x:v>
      </x:c>
      <x:c r="AH257" s="55" t="n">
        <x:v>482</x:v>
      </x:c>
      <x:c r="AI257" s="55" t="n">
        <x:v>10562</x:v>
      </x:c>
      <x:c r="AJ257" s="55" t="n">
        <x:v>520</x:v>
      </x:c>
      <x:c r="AK257" s="55" t="n">
        <x:v>1202</x:v>
      </x:c>
      <x:c r="AL257" s="55" t="n">
        <x:v>1726</x:v>
      </x:c>
      <x:c r="AM257" s="55" t="n">
        <x:v>5511</x:v>
      </x:c>
      <x:c r="AN257" s="55" t="n">
        <x:v>2040</x:v>
      </x:c>
      <x:c r="AO257" s="55" t="n">
        <x:v>45</x:v>
      </x:c>
      <x:c r="AP257" s="55" t="n">
        <x:v>2205</x:v>
      </x:c>
      <x:c r="AQ257" s="55" t="n">
        <x:v>930</x:v>
      </x:c>
    </x:row>
    <x:row r="258">
      <x:c r="A258" s="54" t="str">
        <x:v>T2_CONCORDANT_DOMAIN</x:v>
      </x:c>
      <x:c r="B258" s="54" t="n">
        <x:v>252</x:v>
      </x:c>
      <x:c r="C258" s="54" t="str">
        <x:v>NYC-V2-R01</x:v>
      </x:c>
      <x:c r="D258" s="54" t="str">
        <x:v>V2</x:v>
      </x:c>
      <x:c r="E258" s="54" t="str">
        <x:v>ADMITTED</x:v>
      </x:c>
      <x:c r="F258" s="55" t="n">
        <x:v>29670</x:v>
      </x:c>
      <x:c r="G258" s="55" t="n">
        <x:v>7532</x:v>
      </x:c>
      <x:c r="H258" s="55" t="n">
        <x:v>3226</x:v>
      </x:c>
      <x:c r="I258" s="55" t="n">
        <x:v>1267</x:v>
      </x:c>
      <x:c r="J258" s="55" t="n">
        <x:v>329</x:v>
      </x:c>
      <x:c r="K258" s="55" t="n">
        <x:v>29670</x:v>
      </x:c>
      <x:c r="L258" s="55" t="n">
        <x:v>5215</x:v>
      </x:c>
      <x:c r="M258" s="55" t="n">
        <x:v>1240</x:v>
      </x:c>
      <x:c r="N258" s="55" t="n">
        <x:v>2422</x:v>
      </x:c>
      <x:c r="O258" s="55" t="n">
        <x:v>1553</x:v>
      </x:c>
      <x:c r="P258" s="55" t="n">
        <x:v>812</x:v>
      </x:c>
      <x:c r="Q258" s="55" t="n">
        <x:v>1930</x:v>
      </x:c>
      <x:c r="R258" s="55" t="n">
        <x:v>1755</x:v>
      </x:c>
      <x:c r="S258" s="55" t="n">
        <x:v>2522</x:v>
      </x:c>
      <x:c r="T258" s="55" t="n">
        <x:v>1086</x:v>
      </x:c>
      <x:c r="U258" s="55" t="n">
        <x:v>1851</x:v>
      </x:c>
      <x:c r="V258" s="55" t="n">
        <x:v>10905</x:v>
      </x:c>
      <x:c r="W258" s="55" t="n">
        <x:v>7698</x:v>
      </x:c>
      <x:c r="X258" s="55" t="n">
        <x:v>3207</x:v>
      </x:c>
      <x:c r="Y258" s="55" t="n">
        <x:v>2756</x:v>
      </x:c>
      <x:c r="Z258" s="55" t="n">
        <x:v>3103</x:v>
      </x:c>
      <x:c r="AA258" s="55" t="n">
        <x:v>3226</x:v>
      </x:c>
      <x:c r="AB258" s="55" t="n">
        <x:v>995</x:v>
      </x:c>
      <x:c r="AC258" s="55" t="n">
        <x:v>8684</x:v>
      </x:c>
      <x:c r="AD258" s="55" t="n">
        <x:v>3351</x:v>
      </x:c>
      <x:c r="AE258" s="55" t="n">
        <x:v>10951</x:v>
      </x:c>
      <x:c r="AF258" s="55" t="n">
        <x:v>10905</x:v>
      </x:c>
      <x:c r="AG258" s="55" t="n">
        <x:v>46</x:v>
      </x:c>
      <x:c r="AH258" s="55" t="n">
        <x:v>526</x:v>
      </x:c>
      <x:c r="AI258" s="55" t="n">
        <x:v>10379</x:v>
      </x:c>
      <x:c r="AJ258" s="55" t="n">
        <x:v>414</x:v>
      </x:c>
      <x:c r="AK258" s="55" t="n">
        <x:v>1360</x:v>
      </x:c>
      <x:c r="AL258" s="55" t="n">
        <x:v>1487</x:v>
      </x:c>
      <x:c r="AM258" s="55" t="n">
        <x:v>4650</x:v>
      </x:c>
      <x:c r="AN258" s="55" t="n">
        <x:v>2959</x:v>
      </x:c>
      <x:c r="AO258" s="55" t="n">
        <x:v>35</x:v>
      </x:c>
      <x:c r="AP258" s="55" t="n">
        <x:v>2396</x:v>
      </x:c>
      <x:c r="AQ258" s="55" t="n">
        <x:v>990</x:v>
      </x:c>
    </x:row>
    <x:row r="259">
      <x:c r="A259" s="54" t="str">
        <x:v>T2_CONCORDANT_DOMAIN</x:v>
      </x:c>
      <x:c r="B259" s="54" t="n">
        <x:v>253</x:v>
      </x:c>
      <x:c r="C259" s="54" t="str">
        <x:v>NYC-V2-R01</x:v>
      </x:c>
      <x:c r="D259" s="54" t="str">
        <x:v>V2</x:v>
      </x:c>
      <x:c r="E259" s="54" t="str">
        <x:v>ADMITTED</x:v>
      </x:c>
      <x:c r="F259" s="55" t="n">
        <x:v>31351</x:v>
      </x:c>
      <x:c r="G259" s="55" t="n">
        <x:v>8763</x:v>
      </x:c>
      <x:c r="H259" s="55" t="n">
        <x:v>3020</x:v>
      </x:c>
      <x:c r="I259" s="55" t="n">
        <x:v>1025</x:v>
      </x:c>
      <x:c r="J259" s="55" t="n">
        <x:v>65</x:v>
      </x:c>
      <x:c r="K259" s="55" t="n">
        <x:v>29292</x:v>
      </x:c>
      <x:c r="L259" s="55" t="n">
        <x:v>5773</x:v>
      </x:c>
      <x:c r="M259" s="55" t="n">
        <x:v>947</x:v>
      </x:c>
      <x:c r="N259" s="55" t="n">
        <x:v>3106</x:v>
      </x:c>
      <x:c r="O259" s="55" t="n">
        <x:v>1720</x:v>
      </x:c>
      <x:c r="P259" s="55" t="n">
        <x:v>864</x:v>
      </x:c>
      <x:c r="Q259" s="55" t="n">
        <x:v>2888</x:v>
      </x:c>
      <x:c r="R259" s="55" t="n">
        <x:v>1782</x:v>
      </x:c>
      <x:c r="S259" s="55" t="n">
        <x:v>2693</x:v>
      </x:c>
      <x:c r="T259" s="55" t="n">
        <x:v>1328</x:v>
      </x:c>
      <x:c r="U259" s="55" t="n">
        <x:v>2256</x:v>
      </x:c>
      <x:c r="V259" s="55" t="n">
        <x:v>10584</x:v>
      </x:c>
      <x:c r="W259" s="55" t="n">
        <x:v>7825</x:v>
      </x:c>
      <x:c r="X259" s="55" t="n">
        <x:v>2759</x:v>
      </x:c>
      <x:c r="Y259" s="55" t="n">
        <x:v>2459</x:v>
      </x:c>
      <x:c r="Z259" s="55" t="n">
        <x:v>3626</x:v>
      </x:c>
      <x:c r="AA259" s="55" t="n">
        <x:v>3020</x:v>
      </x:c>
      <x:c r="AB259" s="55" t="n">
        <x:v>1019</x:v>
      </x:c>
      <x:c r="AC259" s="55" t="n">
        <x:v>7888</x:v>
      </x:c>
      <x:c r="AD259" s="55" t="n">
        <x:v>3421</x:v>
      </x:c>
      <x:c r="AE259" s="55" t="n">
        <x:v>10584</x:v>
      </x:c>
      <x:c r="AF259" s="55" t="n">
        <x:v>10584</x:v>
      </x:c>
      <x:c r="AG259" s="55" t="n">
        <x:v>0</x:v>
      </x:c>
      <x:c r="AH259" s="55" t="n">
        <x:v>344</x:v>
      </x:c>
      <x:c r="AI259" s="55" t="n">
        <x:v>10240</x:v>
      </x:c>
      <x:c r="AJ259" s="55" t="n">
        <x:v>350</x:v>
      </x:c>
      <x:c r="AK259" s="55" t="n">
        <x:v>875</x:v>
      </x:c>
      <x:c r="AL259" s="55" t="n">
        <x:v>1451</x:v>
      </x:c>
      <x:c r="AM259" s="55" t="n">
        <x:v>5128</x:v>
      </x:c>
      <x:c r="AN259" s="55" t="n">
        <x:v>2741</x:v>
      </x:c>
      <x:c r="AO259" s="55" t="n">
        <x:v>39</x:v>
      </x:c>
      <x:c r="AP259" s="55" t="n">
        <x:v>2347</x:v>
      </x:c>
      <x:c r="AQ259" s="55" t="n">
        <x:v>954</x:v>
      </x:c>
    </x:row>
    <x:row r="260">
      <x:c r="A260" s="54" t="str">
        <x:v>T2_CONCORDANT_DOMAIN</x:v>
      </x:c>
      <x:c r="B260" s="54" t="n">
        <x:v>254</x:v>
      </x:c>
      <x:c r="C260" s="54" t="str">
        <x:v>NYC-V2-R01</x:v>
      </x:c>
      <x:c r="D260" s="54" t="str">
        <x:v>V2</x:v>
      </x:c>
      <x:c r="E260" s="54" t="str">
        <x:v>ADMITTED</x:v>
      </x:c>
      <x:c r="F260" s="55" t="n">
        <x:v>31438</x:v>
      </x:c>
      <x:c r="G260" s="55" t="n">
        <x:v>7661</x:v>
      </x:c>
      <x:c r="H260" s="55" t="n">
        <x:v>2922</x:v>
      </x:c>
      <x:c r="I260" s="55" t="n">
        <x:v>963</x:v>
      </x:c>
      <x:c r="J260" s="55" t="n">
        <x:v>119</x:v>
      </x:c>
      <x:c r="K260" s="55" t="n">
        <x:v>31438</x:v>
      </x:c>
      <x:c r="L260" s="55" t="n">
        <x:v>5130</x:v>
      </x:c>
      <x:c r="M260" s="55" t="n">
        <x:v>938</x:v>
      </x:c>
      <x:c r="N260" s="55" t="n">
        <x:v>2601</x:v>
      </x:c>
      <x:c r="O260" s="55" t="n">
        <x:v>1591</x:v>
      </x:c>
      <x:c r="P260" s="55" t="n">
        <x:v>803</x:v>
      </x:c>
      <x:c r="Q260" s="55" t="n">
        <x:v>3227</x:v>
      </x:c>
      <x:c r="R260" s="55" t="n">
        <x:v>1864</x:v>
      </x:c>
      <x:c r="S260" s="55" t="n">
        <x:v>2415</x:v>
      </x:c>
      <x:c r="T260" s="55" t="n">
        <x:v>1292</x:v>
      </x:c>
      <x:c r="U260" s="55" t="n">
        <x:v>2112</x:v>
      </x:c>
      <x:c r="V260" s="55" t="n">
        <x:v>10651</x:v>
      </x:c>
      <x:c r="W260" s="55" t="n">
        <x:v>7859</x:v>
      </x:c>
      <x:c r="X260" s="55" t="n">
        <x:v>2792</x:v>
      </x:c>
      <x:c r="Y260" s="55" t="n">
        <x:v>2348</x:v>
      </x:c>
      <x:c r="Z260" s="55" t="n">
        <x:v>3943</x:v>
      </x:c>
      <x:c r="AA260" s="55" t="n">
        <x:v>2901</x:v>
      </x:c>
      <x:c r="AB260" s="55" t="n">
        <x:v>921</x:v>
      </x:c>
      <x:c r="AC260" s="55" t="n">
        <x:v>8552</x:v>
      </x:c>
      <x:c r="AD260" s="55" t="n">
        <x:v>2745</x:v>
      </x:c>
      <x:c r="AE260" s="55" t="n">
        <x:v>10760</x:v>
      </x:c>
      <x:c r="AF260" s="55" t="n">
        <x:v>10651</x:v>
      </x:c>
      <x:c r="AG260" s="55" t="n">
        <x:v>109</x:v>
      </x:c>
      <x:c r="AH260" s="55" t="n">
        <x:v>494</x:v>
      </x:c>
      <x:c r="AI260" s="55" t="n">
        <x:v>10157</x:v>
      </x:c>
      <x:c r="AJ260" s="55" t="n">
        <x:v>305</x:v>
      </x:c>
      <x:c r="AK260" s="55" t="n">
        <x:v>837</x:v>
      </x:c>
      <x:c r="AL260" s="55" t="n">
        <x:v>1547</x:v>
      </x:c>
      <x:c r="AM260" s="55" t="n">
        <x:v>5404</x:v>
      </x:c>
      <x:c r="AN260" s="55" t="n">
        <x:v>2549</x:v>
      </x:c>
      <x:c r="AO260" s="55" t="n">
        <x:v>9</x:v>
      </x:c>
      <x:c r="AP260" s="55" t="n">
        <x:v>2213</x:v>
      </x:c>
      <x:c r="AQ260" s="55" t="n">
        <x:v>1004</x:v>
      </x:c>
    </x:row>
    <x:row r="261">
      <x:c r="A261" s="54" t="str">
        <x:v>T2_CONCORDANT_DOMAIN</x:v>
      </x:c>
      <x:c r="B261" s="54" t="n">
        <x:v>255</x:v>
      </x:c>
      <x:c r="C261" s="54" t="str">
        <x:v>NYC-V2-R01</x:v>
      </x:c>
      <x:c r="D261" s="54" t="str">
        <x:v>V2</x:v>
      </x:c>
      <x:c r="E261" s="54" t="str">
        <x:v>ADMITTED</x:v>
      </x:c>
      <x:c r="F261" s="55" t="n">
        <x:v>29710</x:v>
      </x:c>
      <x:c r="G261" s="55" t="n">
        <x:v>7124</x:v>
      </x:c>
      <x:c r="H261" s="55" t="n">
        <x:v>3218</x:v>
      </x:c>
      <x:c r="I261" s="55" t="n">
        <x:v>1486</x:v>
      </x:c>
      <x:c r="J261" s="55" t="n">
        <x:v>167</x:v>
      </x:c>
      <x:c r="K261" s="55" t="n">
        <x:v>29144</x:v>
      </x:c>
      <x:c r="L261" s="55" t="n">
        <x:v>5319</x:v>
      </x:c>
      <x:c r="M261" s="55" t="n">
        <x:v>997</x:v>
      </x:c>
      <x:c r="N261" s="55" t="n">
        <x:v>2586</x:v>
      </x:c>
      <x:c r="O261" s="55" t="n">
        <x:v>1736</x:v>
      </x:c>
      <x:c r="P261" s="55" t="n">
        <x:v>567</x:v>
      </x:c>
      <x:c r="Q261" s="55" t="n">
        <x:v>2774</x:v>
      </x:c>
      <x:c r="R261" s="55" t="n">
        <x:v>1767</x:v>
      </x:c>
      <x:c r="S261" s="55" t="n">
        <x:v>2958</x:v>
      </x:c>
      <x:c r="T261" s="55" t="n">
        <x:v>1093</x:v>
      </x:c>
      <x:c r="U261" s="55" t="n">
        <x:v>1993</x:v>
      </x:c>
      <x:c r="V261" s="55" t="n">
        <x:v>9750</x:v>
      </x:c>
      <x:c r="W261" s="55" t="n">
        <x:v>6401</x:v>
      </x:c>
      <x:c r="X261" s="55" t="n">
        <x:v>3349</x:v>
      </x:c>
      <x:c r="Y261" s="55" t="n">
        <x:v>2977</x:v>
      </x:c>
      <x:c r="Z261" s="55" t="n">
        <x:v>3535</x:v>
      </x:c>
      <x:c r="AA261" s="55" t="n">
        <x:v>2911</x:v>
      </x:c>
      <x:c r="AB261" s="55" t="n">
        <x:v>705</x:v>
      </x:c>
      <x:c r="AC261" s="55" t="n">
        <x:v>7704</x:v>
      </x:c>
      <x:c r="AD261" s="55" t="n">
        <x:v>2336</x:v>
      </x:c>
      <x:c r="AE261" s="55" t="n">
        <x:v>9855</x:v>
      </x:c>
      <x:c r="AF261" s="55" t="n">
        <x:v>9750</x:v>
      </x:c>
      <x:c r="AG261" s="55" t="n">
        <x:v>105</x:v>
      </x:c>
      <x:c r="AH261" s="55" t="n">
        <x:v>239</x:v>
      </x:c>
      <x:c r="AI261" s="55" t="n">
        <x:v>9511</x:v>
      </x:c>
      <x:c r="AJ261" s="55" t="n">
        <x:v>259</x:v>
      </x:c>
      <x:c r="AK261" s="55" t="n">
        <x:v>775</x:v>
      </x:c>
      <x:c r="AL261" s="55" t="n">
        <x:v>1815</x:v>
      </x:c>
      <x:c r="AM261" s="55" t="n">
        <x:v>4903</x:v>
      </x:c>
      <x:c r="AN261" s="55" t="n">
        <x:v>1998</x:v>
      </x:c>
      <x:c r="AO261" s="55" t="n">
        <x:v>0</x:v>
      </x:c>
      <x:c r="AP261" s="55" t="n">
        <x:v>2351</x:v>
      </x:c>
      <x:c r="AQ261" s="55" t="n">
        <x:v>962</x:v>
      </x:c>
    </x:row>
    <x:row r="262">
      <x:c r="A262" s="54" t="str">
        <x:v>T2_CONCORDANT_DOMAIN</x:v>
      </x:c>
      <x:c r="B262" s="54" t="n">
        <x:v>256</x:v>
      </x:c>
      <x:c r="C262" s="54" t="str">
        <x:v>NYC-V2-R01</x:v>
      </x:c>
      <x:c r="D262" s="54" t="str">
        <x:v>V2</x:v>
      </x:c>
      <x:c r="E262" s="54" t="str">
        <x:v>ADMITTED</x:v>
      </x:c>
      <x:c r="F262" s="55" t="n">
        <x:v>31050</x:v>
      </x:c>
      <x:c r="G262" s="55" t="n">
        <x:v>8470</x:v>
      </x:c>
      <x:c r="H262" s="55" t="n">
        <x:v>3368</x:v>
      </x:c>
      <x:c r="I262" s="55" t="n">
        <x:v>1376</x:v>
      </x:c>
      <x:c r="J262" s="55" t="n">
        <x:v>244</x:v>
      </x:c>
      <x:c r="K262" s="55" t="n">
        <x:v>31050</x:v>
      </x:c>
      <x:c r="L262" s="55" t="n">
        <x:v>5880</x:v>
      </x:c>
      <x:c r="M262" s="55" t="n">
        <x:v>1454</x:v>
      </x:c>
      <x:c r="N262" s="55" t="n">
        <x:v>2651</x:v>
      </x:c>
      <x:c r="O262" s="55" t="n">
        <x:v>1775</x:v>
      </x:c>
      <x:c r="P262" s="55" t="n">
        <x:v>570</x:v>
      </x:c>
      <x:c r="Q262" s="55" t="n">
        <x:v>2725</x:v>
      </x:c>
      <x:c r="R262" s="55" t="n">
        <x:v>1839</x:v>
      </x:c>
      <x:c r="S262" s="55" t="n">
        <x:v>2675</x:v>
      </x:c>
      <x:c r="T262" s="55" t="n">
        <x:v>1173</x:v>
      </x:c>
      <x:c r="U262" s="55" t="n">
        <x:v>2423</x:v>
      </x:c>
      <x:c r="V262" s="55" t="n">
        <x:v>10692</x:v>
      </x:c>
      <x:c r="W262" s="55" t="n">
        <x:v>7427</x:v>
      </x:c>
      <x:c r="X262" s="55" t="n">
        <x:v>3265</x:v>
      </x:c>
      <x:c r="Y262" s="55" t="n">
        <x:v>2680</x:v>
      </x:c>
      <x:c r="Z262" s="55" t="n">
        <x:v>3855</x:v>
      </x:c>
      <x:c r="AA262" s="55" t="n">
        <x:v>3368</x:v>
      </x:c>
      <x:c r="AB262" s="55" t="n">
        <x:v>1336</x:v>
      </x:c>
      <x:c r="AC262" s="55" t="n">
        <x:v>8052</x:v>
      </x:c>
      <x:c r="AD262" s="55" t="n">
        <x:v>2883</x:v>
      </x:c>
      <x:c r="AE262" s="55" t="n">
        <x:v>10786</x:v>
      </x:c>
      <x:c r="AF262" s="55" t="n">
        <x:v>10692</x:v>
      </x:c>
      <x:c r="AG262" s="55" t="n">
        <x:v>94</x:v>
      </x:c>
      <x:c r="AH262" s="55" t="n">
        <x:v>736</x:v>
      </x:c>
      <x:c r="AI262" s="55" t="n">
        <x:v>9956</x:v>
      </x:c>
      <x:c r="AJ262" s="55" t="n">
        <x:v>348</x:v>
      </x:c>
      <x:c r="AK262" s="55" t="n">
        <x:v>1055</x:v>
      </x:c>
      <x:c r="AL262" s="55" t="n">
        <x:v>1600</x:v>
      </x:c>
      <x:c r="AM262" s="55" t="n">
        <x:v>4938</x:v>
      </x:c>
      <x:c r="AN262" s="55" t="n">
        <x:v>2695</x:v>
      </x:c>
      <x:c r="AO262" s="55" t="n">
        <x:v>56</x:v>
      </x:c>
      <x:c r="AP262" s="55" t="n">
        <x:v>2514</x:v>
      </x:c>
      <x:c r="AQ262" s="55" t="n">
        <x:v>928</x:v>
      </x:c>
    </x:row>
    <x:row r="263">
      <x:c r="A263" s="54" t="str">
        <x:v>T2_CONCORDANT_DOMAIN</x:v>
      </x:c>
      <x:c r="B263" s="54" t="n">
        <x:v>257</x:v>
      </x:c>
      <x:c r="C263" s="54" t="str">
        <x:v>NYC-V2-R01</x:v>
      </x:c>
      <x:c r="D263" s="54" t="str">
        <x:v>V2</x:v>
      </x:c>
      <x:c r="E263" s="54" t="str">
        <x:v>ADMITTED</x:v>
      </x:c>
      <x:c r="F263" s="55" t="n">
        <x:v>32568</x:v>
      </x:c>
      <x:c r="G263" s="55" t="n">
        <x:v>8151</x:v>
      </x:c>
      <x:c r="H263" s="55" t="n">
        <x:v>3512</x:v>
      </x:c>
      <x:c r="I263" s="55" t="n">
        <x:v>1688</x:v>
      </x:c>
      <x:c r="J263" s="55" t="n">
        <x:v>242</x:v>
      </x:c>
      <x:c r="K263" s="55" t="n">
        <x:v>32568</x:v>
      </x:c>
      <x:c r="L263" s="55" t="n">
        <x:v>6377</x:v>
      </x:c>
      <x:c r="M263" s="55" t="n">
        <x:v>1851</x:v>
      </x:c>
      <x:c r="N263" s="55" t="n">
        <x:v>2856</x:v>
      </x:c>
      <x:c r="O263" s="55" t="n">
        <x:v>1670</x:v>
      </x:c>
      <x:c r="P263" s="55" t="n">
        <x:v>1095</x:v>
      </x:c>
      <x:c r="Q263" s="55" t="n">
        <x:v>2282</x:v>
      </x:c>
      <x:c r="R263" s="55" t="n">
        <x:v>1962</x:v>
      </x:c>
      <x:c r="S263" s="55" t="n">
        <x:v>2839</x:v>
      </x:c>
      <x:c r="T263" s="55" t="n">
        <x:v>979</x:v>
      </x:c>
      <x:c r="U263" s="55" t="n">
        <x:v>2151</x:v>
      </x:c>
      <x:c r="V263" s="55" t="n">
        <x:v>10031</x:v>
      </x:c>
      <x:c r="W263" s="55" t="n">
        <x:v>6547</x:v>
      </x:c>
      <x:c r="X263" s="55" t="n">
        <x:v>3484</x:v>
      </x:c>
      <x:c r="Y263" s="55" t="n">
        <x:v>3096</x:v>
      </x:c>
      <x:c r="Z263" s="55" t="n">
        <x:v>4018</x:v>
      </x:c>
      <x:c r="AA263" s="55" t="n">
        <x:v>3512</x:v>
      </x:c>
      <x:c r="AB263" s="55" t="n">
        <x:v>1372</x:v>
      </x:c>
      <x:c r="AC263" s="55" t="n">
        <x:v>8179</x:v>
      </x:c>
      <x:c r="AD263" s="55" t="n">
        <x:v>2743</x:v>
      </x:c>
      <x:c r="AE263" s="55" t="n">
        <x:v>10146</x:v>
      </x:c>
      <x:c r="AF263" s="55" t="n">
        <x:v>10031</x:v>
      </x:c>
      <x:c r="AG263" s="55" t="n">
        <x:v>115</x:v>
      </x:c>
      <x:c r="AH263" s="55" t="n">
        <x:v>217</x:v>
      </x:c>
      <x:c r="AI263" s="55" t="n">
        <x:v>9814</x:v>
      </x:c>
      <x:c r="AJ263" s="55" t="n">
        <x:v>406</x:v>
      </x:c>
      <x:c r="AK263" s="55" t="n">
        <x:v>791</x:v>
      </x:c>
      <x:c r="AL263" s="55" t="n">
        <x:v>1229</x:v>
      </x:c>
      <x:c r="AM263" s="55" t="n">
        <x:v>4914</x:v>
      </x:c>
      <x:c r="AN263" s="55" t="n">
        <x:v>2648</x:v>
      </x:c>
      <x:c r="AO263" s="55" t="n">
        <x:v>43</x:v>
      </x:c>
      <x:c r="AP263" s="55" t="n">
        <x:v>2308</x:v>
      </x:c>
      <x:c r="AQ263" s="55" t="n">
        <x:v>975</x:v>
      </x:c>
    </x:row>
    <x:row r="264">
      <x:c r="A264" s="54" t="str">
        <x:v>T2_CONCORDANT_DOMAIN</x:v>
      </x:c>
      <x:c r="B264" s="54" t="n">
        <x:v>258</x:v>
      </x:c>
      <x:c r="C264" s="54" t="str">
        <x:v>NYC-V2-R01</x:v>
      </x:c>
      <x:c r="D264" s="54" t="str">
        <x:v>V2</x:v>
      </x:c>
      <x:c r="E264" s="54" t="str">
        <x:v>ADMITTED</x:v>
      </x:c>
      <x:c r="F264" s="55" t="n">
        <x:v>30914</x:v>
      </x:c>
      <x:c r="G264" s="55" t="n">
        <x:v>7931</x:v>
      </x:c>
      <x:c r="H264" s="55" t="n">
        <x:v>3089</x:v>
      </x:c>
      <x:c r="I264" s="55" t="n">
        <x:v>967</x:v>
      </x:c>
      <x:c r="J264" s="55" t="n">
        <x:v>236</x:v>
      </x:c>
      <x:c r="K264" s="55" t="n">
        <x:v>30914</x:v>
      </x:c>
      <x:c r="L264" s="55" t="n">
        <x:v>5205</x:v>
      </x:c>
      <x:c r="M264" s="55" t="n">
        <x:v>1270</x:v>
      </x:c>
      <x:c r="N264" s="55" t="n">
        <x:v>2502</x:v>
      </x:c>
      <x:c r="O264" s="55" t="n">
        <x:v>1433</x:v>
      </x:c>
      <x:c r="P264" s="55" t="n">
        <x:v>350</x:v>
      </x:c>
      <x:c r="Q264" s="55" t="n">
        <x:v>2336</x:v>
      </x:c>
      <x:c r="R264" s="55" t="n">
        <x:v>1474</x:v>
      </x:c>
      <x:c r="S264" s="55" t="n">
        <x:v>2409</x:v>
      </x:c>
      <x:c r="T264" s="55" t="n">
        <x:v>919</x:v>
      </x:c>
      <x:c r="U264" s="55" t="n">
        <x:v>1646</x:v>
      </x:c>
      <x:c r="V264" s="55" t="n">
        <x:v>10838</x:v>
      </x:c>
      <x:c r="W264" s="55" t="n">
        <x:v>7612</x:v>
      </x:c>
      <x:c r="X264" s="55" t="n">
        <x:v>3226</x:v>
      </x:c>
      <x:c r="Y264" s="55" t="n">
        <x:v>2715</x:v>
      </x:c>
      <x:c r="Z264" s="55" t="n">
        <x:v>3524</x:v>
      </x:c>
      <x:c r="AA264" s="55" t="n">
        <x:v>2626</x:v>
      </x:c>
      <x:c r="AB264" s="55" t="n">
        <x:v>926</x:v>
      </x:c>
      <x:c r="AC264" s="55" t="n">
        <x:v>7591</x:v>
      </x:c>
      <x:c r="AD264" s="55" t="n">
        <x:v>3154</x:v>
      </x:c>
      <x:c r="AE264" s="55" t="n">
        <x:v>10990</x:v>
      </x:c>
      <x:c r="AF264" s="55" t="n">
        <x:v>10838</x:v>
      </x:c>
      <x:c r="AG264" s="55" t="n">
        <x:v>152</x:v>
      </x:c>
      <x:c r="AH264" s="55" t="n">
        <x:v>514</x:v>
      </x:c>
      <x:c r="AI264" s="55" t="n">
        <x:v>10324</x:v>
      </x:c>
      <x:c r="AJ264" s="55" t="n">
        <x:v>270</x:v>
      </x:c>
      <x:c r="AK264" s="55" t="n">
        <x:v>847</x:v>
      </x:c>
      <x:c r="AL264" s="55" t="n">
        <x:v>1682</x:v>
      </x:c>
      <x:c r="AM264" s="55" t="n">
        <x:v>5114</x:v>
      </x:c>
      <x:c r="AN264" s="55" t="n">
        <x:v>2925</x:v>
      </x:c>
      <x:c r="AO264" s="55" t="n">
        <x:v>0</x:v>
      </x:c>
      <x:c r="AP264" s="55" t="n">
        <x:v>2572</x:v>
      </x:c>
      <x:c r="AQ264" s="55" t="n">
        <x:v>903</x:v>
      </x:c>
    </x:row>
    <x:row r="265">
      <x:c r="A265" s="54" t="str">
        <x:v>T2_CONCORDANT_DOMAIN</x:v>
      </x:c>
      <x:c r="B265" s="54" t="n">
        <x:v>259</x:v>
      </x:c>
      <x:c r="C265" s="54" t="str">
        <x:v>NYC-V2-R01</x:v>
      </x:c>
      <x:c r="D265" s="54" t="str">
        <x:v>V2</x:v>
      </x:c>
      <x:c r="E265" s="54" t="str">
        <x:v>ADMITTED</x:v>
      </x:c>
      <x:c r="F265" s="55" t="n">
        <x:v>29483</x:v>
      </x:c>
      <x:c r="G265" s="55" t="n">
        <x:v>6660</x:v>
      </x:c>
      <x:c r="H265" s="55" t="n">
        <x:v>3381</x:v>
      </x:c>
      <x:c r="I265" s="55" t="n">
        <x:v>1723</x:v>
      </x:c>
      <x:c r="J265" s="55" t="n">
        <x:v>230</x:v>
      </x:c>
      <x:c r="K265" s="55" t="n">
        <x:v>29483</x:v>
      </x:c>
      <x:c r="L265" s="55" t="n">
        <x:v>4274</x:v>
      </x:c>
      <x:c r="M265" s="55" t="n">
        <x:v>270</x:v>
      </x:c>
      <x:c r="N265" s="55" t="n">
        <x:v>2562</x:v>
      </x:c>
      <x:c r="O265" s="55" t="n">
        <x:v>1442</x:v>
      </x:c>
      <x:c r="P265" s="55" t="n">
        <x:v>368</x:v>
      </x:c>
      <x:c r="Q265" s="55" t="n">
        <x:v>2092</x:v>
      </x:c>
      <x:c r="R265" s="55" t="n">
        <x:v>1807</x:v>
      </x:c>
      <x:c r="S265" s="55" t="n">
        <x:v>2355</x:v>
      </x:c>
      <x:c r="T265" s="55" t="n">
        <x:v>1163</x:v>
      </x:c>
      <x:c r="U265" s="55" t="n">
        <x:v>1735</x:v>
      </x:c>
      <x:c r="V265" s="55" t="n">
        <x:v>10503</x:v>
      </x:c>
      <x:c r="W265" s="55" t="n">
        <x:v>7435</x:v>
      </x:c>
      <x:c r="X265" s="55" t="n">
        <x:v>3068</x:v>
      </x:c>
      <x:c r="Y265" s="55" t="n">
        <x:v>2586</x:v>
      </x:c>
      <x:c r="Z265" s="55" t="n">
        <x:v>3699</x:v>
      </x:c>
      <x:c r="AA265" s="55" t="n">
        <x:v>3164</x:v>
      </x:c>
      <x:c r="AB265" s="55" t="n">
        <x:v>1215</x:v>
      </x:c>
      <x:c r="AC265" s="55" t="n">
        <x:v>7812</x:v>
      </x:c>
      <x:c r="AD265" s="55" t="n">
        <x:v>2728</x:v>
      </x:c>
      <x:c r="AE265" s="55" t="n">
        <x:v>10600</x:v>
      </x:c>
      <x:c r="AF265" s="55" t="n">
        <x:v>10503</x:v>
      </x:c>
      <x:c r="AG265" s="55" t="n">
        <x:v>97</x:v>
      </x:c>
      <x:c r="AH265" s="55" t="n">
        <x:v>504</x:v>
      </x:c>
      <x:c r="AI265" s="55" t="n">
        <x:v>9999</x:v>
      </x:c>
      <x:c r="AJ265" s="55" t="n">
        <x:v>249</x:v>
      </x:c>
      <x:c r="AK265" s="55" t="n">
        <x:v>976</x:v>
      </x:c>
      <x:c r="AL265" s="55" t="n">
        <x:v>1583</x:v>
      </x:c>
      <x:c r="AM265" s="55" t="n">
        <x:v>4995</x:v>
      </x:c>
      <x:c r="AN265" s="55" t="n">
        <x:v>2623</x:v>
      </x:c>
      <x:c r="AO265" s="55" t="n">
        <x:v>77</x:v>
      </x:c>
      <x:c r="AP265" s="55" t="n">
        <x:v>2230</x:v>
      </x:c>
      <x:c r="AQ265" s="55" t="n">
        <x:v>986</x:v>
      </x:c>
    </x:row>
    <x:row r="266">
      <x:c r="A266" s="54" t="str">
        <x:v>T2_CONCORDANT_DOMAIN</x:v>
      </x:c>
      <x:c r="B266" s="54" t="n">
        <x:v>260</x:v>
      </x:c>
      <x:c r="C266" s="54" t="str">
        <x:v>NYC-V2-R01</x:v>
      </x:c>
      <x:c r="D266" s="54" t="str">
        <x:v>V2</x:v>
      </x:c>
      <x:c r="E266" s="54" t="str">
        <x:v>ADMITTED</x:v>
      </x:c>
      <x:c r="F266" s="55" t="n">
        <x:v>30672</x:v>
      </x:c>
      <x:c r="G266" s="55" t="n">
        <x:v>6969</x:v>
      </x:c>
      <x:c r="H266" s="55" t="n">
        <x:v>3576</x:v>
      </x:c>
      <x:c r="I266" s="55" t="n">
        <x:v>1710</x:v>
      </x:c>
      <x:c r="J266" s="55" t="n">
        <x:v>325</x:v>
      </x:c>
      <x:c r="K266" s="55" t="n">
        <x:v>30672</x:v>
      </x:c>
      <x:c r="L266" s="55" t="n">
        <x:v>5303</x:v>
      </x:c>
      <x:c r="M266" s="55" t="n">
        <x:v>1023</x:v>
      </x:c>
      <x:c r="N266" s="55" t="n">
        <x:v>2303</x:v>
      </x:c>
      <x:c r="O266" s="55" t="n">
        <x:v>1977</x:v>
      </x:c>
      <x:c r="P266" s="55" t="n">
        <x:v>1006</x:v>
      </x:c>
      <x:c r="Q266" s="55" t="n">
        <x:v>2171</x:v>
      </x:c>
      <x:c r="R266" s="55" t="n">
        <x:v>1984</x:v>
      </x:c>
      <x:c r="S266" s="55" t="n">
        <x:v>3316</x:v>
      </x:c>
      <x:c r="T266" s="55" t="n">
        <x:v>1717</x:v>
      </x:c>
      <x:c r="U266" s="55" t="n">
        <x:v>1737</x:v>
      </x:c>
      <x:c r="V266" s="55" t="n">
        <x:v>10737</x:v>
      </x:c>
      <x:c r="W266" s="55" t="n">
        <x:v>7938</x:v>
      </x:c>
      <x:c r="X266" s="55" t="n">
        <x:v>2799</x:v>
      </x:c>
      <x:c r="Y266" s="55" t="n">
        <x:v>2427</x:v>
      </x:c>
      <x:c r="Z266" s="55" t="n">
        <x:v>3505</x:v>
      </x:c>
      <x:c r="AA266" s="55" t="n">
        <x:v>3576</x:v>
      </x:c>
      <x:c r="AB266" s="55" t="n">
        <x:v>1266</x:v>
      </x:c>
      <x:c r="AC266" s="55" t="n">
        <x:v>8112</x:v>
      </x:c>
      <x:c r="AD266" s="55" t="n">
        <x:v>2895</x:v>
      </x:c>
      <x:c r="AE266" s="55" t="n">
        <x:v>10908</x:v>
      </x:c>
      <x:c r="AF266" s="55" t="n">
        <x:v>10737</x:v>
      </x:c>
      <x:c r="AG266" s="55" t="n">
        <x:v>171</x:v>
      </x:c>
      <x:c r="AH266" s="55" t="n">
        <x:v>363</x:v>
      </x:c>
      <x:c r="AI266" s="55" t="n">
        <x:v>10374</x:v>
      </x:c>
      <x:c r="AJ266" s="55" t="n">
        <x:v>309</x:v>
      </x:c>
      <x:c r="AK266" s="55" t="n">
        <x:v>1233</x:v>
      </x:c>
      <x:c r="AL266" s="55" t="n">
        <x:v>1474</x:v>
      </x:c>
      <x:c r="AM266" s="55" t="n">
        <x:v>5070</x:v>
      </x:c>
      <x:c r="AN266" s="55" t="n">
        <x:v>2545</x:v>
      </x:c>
      <x:c r="AO266" s="55" t="n">
        <x:v>106</x:v>
      </x:c>
      <x:c r="AP266" s="55" t="n">
        <x:v>2136</x:v>
      </x:c>
      <x:c r="AQ266" s="55" t="n">
        <x:v>954</x:v>
      </x:c>
    </x:row>
    <x:row r="267">
      <x:c r="A267" s="54" t="str">
        <x:v>T2_CONCORDANT_DOMAIN</x:v>
      </x:c>
      <x:c r="B267" s="54" t="n">
        <x:v>261</x:v>
      </x:c>
      <x:c r="C267" s="54" t="str">
        <x:v>NYC-V2-R01</x:v>
      </x:c>
      <x:c r="D267" s="54" t="str">
        <x:v>V2</x:v>
      </x:c>
      <x:c r="E267" s="54" t="str">
        <x:v>ADMITTED</x:v>
      </x:c>
      <x:c r="F267" s="55" t="n">
        <x:v>30541</x:v>
      </x:c>
      <x:c r="G267" s="55" t="n">
        <x:v>7368</x:v>
      </x:c>
      <x:c r="H267" s="55" t="n">
        <x:v>3042</x:v>
      </x:c>
      <x:c r="I267" s="55" t="n">
        <x:v>1112</x:v>
      </x:c>
      <x:c r="J267" s="55" t="n">
        <x:v>140</x:v>
      </x:c>
      <x:c r="K267" s="55" t="n">
        <x:v>30541</x:v>
      </x:c>
      <x:c r="L267" s="55" t="n">
        <x:v>6552</x:v>
      </x:c>
      <x:c r="M267" s="55" t="n">
        <x:v>2003</x:v>
      </x:c>
      <x:c r="N267" s="55" t="n">
        <x:v>2891</x:v>
      </x:c>
      <x:c r="O267" s="55" t="n">
        <x:v>1658</x:v>
      </x:c>
      <x:c r="P267" s="55" t="n">
        <x:v>896</x:v>
      </x:c>
      <x:c r="Q267" s="55" t="n">
        <x:v>2915</x:v>
      </x:c>
      <x:c r="R267" s="55" t="n">
        <x:v>2193</x:v>
      </x:c>
      <x:c r="S267" s="55" t="n">
        <x:v>2679</x:v>
      </x:c>
      <x:c r="T267" s="55" t="n">
        <x:v>1116</x:v>
      </x:c>
      <x:c r="U267" s="55" t="n">
        <x:v>1403</x:v>
      </x:c>
      <x:c r="V267" s="55" t="n">
        <x:v>9856</x:v>
      </x:c>
      <x:c r="W267" s="55" t="n">
        <x:v>6856</x:v>
      </x:c>
      <x:c r="X267" s="55" t="n">
        <x:v>3000</x:v>
      </x:c>
      <x:c r="Y267" s="55" t="n">
        <x:v>2463</x:v>
      </x:c>
      <x:c r="Z267" s="55" t="n">
        <x:v>3868</x:v>
      </x:c>
      <x:c r="AA267" s="55" t="n">
        <x:v>3042</x:v>
      </x:c>
      <x:c r="AB267" s="55" t="n">
        <x:v>1100</x:v>
      </x:c>
      <x:c r="AC267" s="55" t="n">
        <x:v>8484</x:v>
      </x:c>
      <x:c r="AD267" s="55" t="n">
        <x:v>2581</x:v>
      </x:c>
      <x:c r="AE267" s="55" t="n">
        <x:v>9898</x:v>
      </x:c>
      <x:c r="AF267" s="55" t="n">
        <x:v>9856</x:v>
      </x:c>
      <x:c r="AG267" s="55" t="n">
        <x:v>42</x:v>
      </x:c>
      <x:c r="AH267" s="55" t="n">
        <x:v>335</x:v>
      </x:c>
      <x:c r="AI267" s="55" t="n">
        <x:v>9521</x:v>
      </x:c>
      <x:c r="AJ267" s="55" t="n">
        <x:v>162</x:v>
      </x:c>
      <x:c r="AK267" s="55" t="n">
        <x:v>1032</x:v>
      </x:c>
      <x:c r="AL267" s="55" t="n">
        <x:v>1268</x:v>
      </x:c>
      <x:c r="AM267" s="55" t="n">
        <x:v>5053</x:v>
      </x:c>
      <x:c r="AN267" s="55" t="n">
        <x:v>2312</x:v>
      </x:c>
      <x:c r="AO267" s="55" t="n">
        <x:v>29</x:v>
      </x:c>
      <x:c r="AP267" s="55" t="n">
        <x:v>2276</x:v>
      </x:c>
      <x:c r="AQ267" s="55" t="n">
        <x:v>942</x:v>
      </x:c>
    </x:row>
    <x:row r="268">
      <x:c r="A268" s="54" t="str">
        <x:v>T2_CONCORDANT_DOMAIN</x:v>
      </x:c>
      <x:c r="B268" s="54" t="n">
        <x:v>262</x:v>
      </x:c>
      <x:c r="C268" s="54" t="str">
        <x:v>NYC-V2-R01</x:v>
      </x:c>
      <x:c r="D268" s="54" t="str">
        <x:v>V2</x:v>
      </x:c>
      <x:c r="E268" s="54" t="str">
        <x:v>ADMITTED</x:v>
      </x:c>
      <x:c r="F268" s="55" t="n">
        <x:v>32379</x:v>
      </x:c>
      <x:c r="G268" s="55" t="n">
        <x:v>7337</x:v>
      </x:c>
      <x:c r="H268" s="55" t="n">
        <x:v>3649</x:v>
      </x:c>
      <x:c r="I268" s="55" t="n">
        <x:v>1755</x:v>
      </x:c>
      <x:c r="J268" s="55" t="n">
        <x:v>328</x:v>
      </x:c>
      <x:c r="K268" s="55" t="n">
        <x:v>32379</x:v>
      </x:c>
      <x:c r="L268" s="55" t="n">
        <x:v>6508</x:v>
      </x:c>
      <x:c r="M268" s="55" t="n">
        <x:v>1336</x:v>
      </x:c>
      <x:c r="N268" s="55" t="n">
        <x:v>2989</x:v>
      </x:c>
      <x:c r="O268" s="55" t="n">
        <x:v>2183</x:v>
      </x:c>
      <x:c r="P268" s="55" t="n">
        <x:v>903</x:v>
      </x:c>
      <x:c r="Q268" s="55" t="n">
        <x:v>2248</x:v>
      </x:c>
      <x:c r="R268" s="55" t="n">
        <x:v>2426</x:v>
      </x:c>
      <x:c r="S268" s="55" t="n">
        <x:v>3589</x:v>
      </x:c>
      <x:c r="T268" s="55" t="n">
        <x:v>1337</x:v>
      </x:c>
      <x:c r="U268" s="55" t="n">
        <x:v>1862</x:v>
      </x:c>
      <x:c r="V268" s="55" t="n">
        <x:v>10499</x:v>
      </x:c>
      <x:c r="W268" s="55" t="n">
        <x:v>7107</x:v>
      </x:c>
      <x:c r="X268" s="55" t="n">
        <x:v>3392</x:v>
      </x:c>
      <x:c r="Y268" s="55" t="n">
        <x:v>2858</x:v>
      </x:c>
      <x:c r="Z268" s="55" t="n">
        <x:v>3881</x:v>
      </x:c>
      <x:c r="AA268" s="55" t="n">
        <x:v>3256</x:v>
      </x:c>
      <x:c r="AB268" s="55" t="n">
        <x:v>1381</x:v>
      </x:c>
      <x:c r="AC268" s="55" t="n">
        <x:v>8301</x:v>
      </x:c>
      <x:c r="AD268" s="55" t="n">
        <x:v>2916</x:v>
      </x:c>
      <x:c r="AE268" s="55" t="n">
        <x:v>10579</x:v>
      </x:c>
      <x:c r="AF268" s="55" t="n">
        <x:v>10499</x:v>
      </x:c>
      <x:c r="AG268" s="55" t="n">
        <x:v>80</x:v>
      </x:c>
      <x:c r="AH268" s="55" t="n">
        <x:v>434</x:v>
      </x:c>
      <x:c r="AI268" s="55" t="n">
        <x:v>10065</x:v>
      </x:c>
      <x:c r="AJ268" s="55" t="n">
        <x:v>359</x:v>
      </x:c>
      <x:c r="AK268" s="55" t="n">
        <x:v>1105</x:v>
      </x:c>
      <x:c r="AL268" s="55" t="n">
        <x:v>1306</x:v>
      </x:c>
      <x:c r="AM268" s="55" t="n">
        <x:v>5055</x:v>
      </x:c>
      <x:c r="AN268" s="55" t="n">
        <x:v>2674</x:v>
      </x:c>
      <x:c r="AO268" s="55" t="n">
        <x:v>0</x:v>
      </x:c>
      <x:c r="AP268" s="55" t="n">
        <x:v>2415</x:v>
      </x:c>
      <x:c r="AQ268" s="55" t="n">
        <x:v>961</x:v>
      </x:c>
    </x:row>
    <x:row r="269">
      <x:c r="A269" s="54" t="str">
        <x:v>T2_CONCORDANT_DOMAIN</x:v>
      </x:c>
      <x:c r="B269" s="54" t="n">
        <x:v>263</x:v>
      </x:c>
      <x:c r="C269" s="54" t="str">
        <x:v>NYC-V2-R01</x:v>
      </x:c>
      <x:c r="D269" s="54" t="str">
        <x:v>V2</x:v>
      </x:c>
      <x:c r="E269" s="54" t="str">
        <x:v>ADMITTED</x:v>
      </x:c>
      <x:c r="F269" s="55" t="n">
        <x:v>31452</x:v>
      </x:c>
      <x:c r="G269" s="55" t="n">
        <x:v>8337</x:v>
      </x:c>
      <x:c r="H269" s="55" t="n">
        <x:v>3129</x:v>
      </x:c>
      <x:c r="I269" s="55" t="n">
        <x:v>1443</x:v>
      </x:c>
      <x:c r="J269" s="55" t="n">
        <x:v>288</x:v>
      </x:c>
      <x:c r="K269" s="55" t="n">
        <x:v>27083</x:v>
      </x:c>
      <x:c r="L269" s="55" t="n">
        <x:v>3317</x:v>
      </x:c>
      <x:c r="M269" s="55" t="n">
        <x:v>356</x:v>
      </x:c>
      <x:c r="N269" s="55" t="n">
        <x:v>1980</x:v>
      </x:c>
      <x:c r="O269" s="55" t="n">
        <x:v>981</x:v>
      </x:c>
      <x:c r="P269" s="55" t="n">
        <x:v>538</x:v>
      </x:c>
      <x:c r="Q269" s="55" t="n">
        <x:v>2234</x:v>
      </x:c>
      <x:c r="R269" s="55" t="n">
        <x:v>1500</x:v>
      </x:c>
      <x:c r="S269" s="55" t="n">
        <x:v>2455</x:v>
      </x:c>
      <x:c r="T269" s="55" t="n">
        <x:v>1025</x:v>
      </x:c>
      <x:c r="U269" s="55" t="n">
        <x:v>1418</x:v>
      </x:c>
      <x:c r="V269" s="55" t="n">
        <x:v>10211</x:v>
      </x:c>
      <x:c r="W269" s="55" t="n">
        <x:v>7034</x:v>
      </x:c>
      <x:c r="X269" s="55" t="n">
        <x:v>3177</x:v>
      </x:c>
      <x:c r="Y269" s="55" t="n">
        <x:v>2721</x:v>
      </x:c>
      <x:c r="Z269" s="55" t="n">
        <x:v>3853</x:v>
      </x:c>
      <x:c r="AA269" s="55" t="n">
        <x:v>2951</x:v>
      </x:c>
      <x:c r="AB269" s="55" t="n">
        <x:v>1117</x:v>
      </x:c>
      <x:c r="AC269" s="55" t="n">
        <x:v>8149</x:v>
      </x:c>
      <x:c r="AD269" s="55" t="n">
        <x:v>3220</x:v>
      </x:c>
      <x:c r="AE269" s="55" t="n">
        <x:v>10211</x:v>
      </x:c>
      <x:c r="AF269" s="55" t="n">
        <x:v>10211</x:v>
      </x:c>
      <x:c r="AG269" s="55" t="n">
        <x:v>0</x:v>
      </x:c>
      <x:c r="AH269" s="55" t="n">
        <x:v>311</x:v>
      </x:c>
      <x:c r="AI269" s="55" t="n">
        <x:v>9900</x:v>
      </x:c>
      <x:c r="AJ269" s="55" t="n">
        <x:v>268</x:v>
      </x:c>
      <x:c r="AK269" s="55" t="n">
        <x:v>1095</x:v>
      </x:c>
      <x:c r="AL269" s="55" t="n">
        <x:v>1668</x:v>
      </x:c>
      <x:c r="AM269" s="55" t="n">
        <x:v>4778</x:v>
      </x:c>
      <x:c r="AN269" s="55" t="n">
        <x:v>2402</x:v>
      </x:c>
      <x:c r="AO269" s="55" t="n">
        <x:v>0</x:v>
      </x:c>
      <x:c r="AP269" s="55" t="n">
        <x:v>2016</x:v>
      </x:c>
      <x:c r="AQ269" s="55" t="n">
        <x:v>992</x:v>
      </x:c>
    </x:row>
    <x:row r="270">
      <x:c r="A270" s="54" t="str">
        <x:v>T2_CONCORDANT_DOMAIN</x:v>
      </x:c>
      <x:c r="B270" s="54" t="n">
        <x:v>264</x:v>
      </x:c>
      <x:c r="C270" s="54" t="str">
        <x:v>NYC-V2-R01</x:v>
      </x:c>
      <x:c r="D270" s="54" t="str">
        <x:v>V2</x:v>
      </x:c>
      <x:c r="E270" s="54" t="str">
        <x:v>ADMITTED</x:v>
      </x:c>
      <x:c r="F270" s="55" t="n">
        <x:v>30639</x:v>
      </x:c>
      <x:c r="G270" s="55" t="n">
        <x:v>8379</x:v>
      </x:c>
      <x:c r="H270" s="55" t="n">
        <x:v>3011</x:v>
      </x:c>
      <x:c r="I270" s="55" t="n">
        <x:v>1284</x:v>
      </x:c>
      <x:c r="J270" s="55" t="n">
        <x:v>202</x:v>
      </x:c>
      <x:c r="K270" s="55" t="n">
        <x:v>30639</x:v>
      </x:c>
      <x:c r="L270" s="55" t="n">
        <x:v>5132</x:v>
      </x:c>
      <x:c r="M270" s="55" t="n">
        <x:v>990</x:v>
      </x:c>
      <x:c r="N270" s="55" t="n">
        <x:v>2522</x:v>
      </x:c>
      <x:c r="O270" s="55" t="n">
        <x:v>1620</x:v>
      </x:c>
      <x:c r="P270" s="55" t="n">
        <x:v>995</x:v>
      </x:c>
      <x:c r="Q270" s="55" t="n">
        <x:v>2742</x:v>
      </x:c>
      <x:c r="R270" s="55" t="n">
        <x:v>1949</x:v>
      </x:c>
      <x:c r="S270" s="55" t="n">
        <x:v>2765</x:v>
      </x:c>
      <x:c r="T270" s="55" t="n">
        <x:v>1004</x:v>
      </x:c>
      <x:c r="U270" s="55" t="n">
        <x:v>1775</x:v>
      </x:c>
      <x:c r="V270" s="55" t="n">
        <x:v>10969</x:v>
      </x:c>
      <x:c r="W270" s="55" t="n">
        <x:v>8169</x:v>
      </x:c>
      <x:c r="X270" s="55" t="n">
        <x:v>2800</x:v>
      </x:c>
      <x:c r="Y270" s="55" t="n">
        <x:v>2451</x:v>
      </x:c>
      <x:c r="Z270" s="55" t="n">
        <x:v>3259</x:v>
      </x:c>
      <x:c r="AA270" s="55" t="n">
        <x:v>2837</x:v>
      </x:c>
      <x:c r="AB270" s="55" t="n">
        <x:v>1005</x:v>
      </x:c>
      <x:c r="AC270" s="55" t="n">
        <x:v>7846</x:v>
      </x:c>
      <x:c r="AD270" s="55" t="n">
        <x:v>2548</x:v>
      </x:c>
      <x:c r="AE270" s="55" t="n">
        <x:v>11036</x:v>
      </x:c>
      <x:c r="AF270" s="55" t="n">
        <x:v>10969</x:v>
      </x:c>
      <x:c r="AG270" s="55" t="n">
        <x:v>67</x:v>
      </x:c>
      <x:c r="AH270" s="55" t="n">
        <x:v>607</x:v>
      </x:c>
      <x:c r="AI270" s="55" t="n">
        <x:v>10362</x:v>
      </x:c>
      <x:c r="AJ270" s="55" t="n">
        <x:v>375</x:v>
      </x:c>
      <x:c r="AK270" s="55" t="n">
        <x:v>1225</x:v>
      </x:c>
      <x:c r="AL270" s="55" t="n">
        <x:v>1577</x:v>
      </x:c>
      <x:c r="AM270" s="55" t="n">
        <x:v>4837</x:v>
      </x:c>
      <x:c r="AN270" s="55" t="n">
        <x:v>2923</x:v>
      </x:c>
      <x:c r="AO270" s="55" t="n">
        <x:v>32</x:v>
      </x:c>
      <x:c r="AP270" s="55" t="n">
        <x:v>2298</x:v>
      </x:c>
      <x:c r="AQ270" s="55" t="n">
        <x:v>959</x:v>
      </x:c>
    </x:row>
    <x:row r="271">
      <x:c r="A271" s="54" t="str">
        <x:v>T2_CONCORDANT_DOMAIN</x:v>
      </x:c>
      <x:c r="B271" s="54" t="n">
        <x:v>265</x:v>
      </x:c>
      <x:c r="C271" s="54" t="str">
        <x:v>NYC-V2-R01</x:v>
      </x:c>
      <x:c r="D271" s="54" t="str">
        <x:v>V2</x:v>
      </x:c>
      <x:c r="E271" s="54" t="str">
        <x:v>ADMITTED</x:v>
      </x:c>
      <x:c r="F271" s="55" t="n">
        <x:v>30723</x:v>
      </x:c>
      <x:c r="G271" s="55" t="n">
        <x:v>7372</x:v>
      </x:c>
      <x:c r="H271" s="55" t="n">
        <x:v>3015</x:v>
      </x:c>
      <x:c r="I271" s="55" t="n">
        <x:v>1070</x:v>
      </x:c>
      <x:c r="J271" s="55" t="n">
        <x:v>220</x:v>
      </x:c>
      <x:c r="K271" s="55" t="n">
        <x:v>29329</x:v>
      </x:c>
      <x:c r="L271" s="55" t="n">
        <x:v>5589</x:v>
      </x:c>
      <x:c r="M271" s="55" t="n">
        <x:v>1236</x:v>
      </x:c>
      <x:c r="N271" s="55" t="n">
        <x:v>2573</x:v>
      </x:c>
      <x:c r="O271" s="55" t="n">
        <x:v>1780</x:v>
      </x:c>
      <x:c r="P271" s="55" t="n">
        <x:v>719</x:v>
      </x:c>
      <x:c r="Q271" s="55" t="n">
        <x:v>2675</x:v>
      </x:c>
      <x:c r="R271" s="55" t="n">
        <x:v>2051</x:v>
      </x:c>
      <x:c r="S271" s="55" t="n">
        <x:v>2777</x:v>
      </x:c>
      <x:c r="T271" s="55" t="n">
        <x:v>1027</x:v>
      </x:c>
      <x:c r="U271" s="55" t="n">
        <x:v>2070</x:v>
      </x:c>
      <x:c r="V271" s="55" t="n">
        <x:v>10632</x:v>
      </x:c>
      <x:c r="W271" s="55" t="n">
        <x:v>7525</x:v>
      </x:c>
      <x:c r="X271" s="55" t="n">
        <x:v>3107</x:v>
      </x:c>
      <x:c r="Y271" s="55" t="n">
        <x:v>2592</x:v>
      </x:c>
      <x:c r="Z271" s="55" t="n">
        <x:v>3869</x:v>
      </x:c>
      <x:c r="AA271" s="55" t="n">
        <x:v>2937</x:v>
      </x:c>
      <x:c r="AB271" s="55" t="n">
        <x:v>1031</x:v>
      </x:c>
      <x:c r="AC271" s="55" t="n">
        <x:v>8101</x:v>
      </x:c>
      <x:c r="AD271" s="55" t="n">
        <x:v>2128</x:v>
      </x:c>
      <x:c r="AE271" s="55" t="n">
        <x:v>10726</x:v>
      </x:c>
      <x:c r="AF271" s="55" t="n">
        <x:v>10632</x:v>
      </x:c>
      <x:c r="AG271" s="55" t="n">
        <x:v>94</x:v>
      </x:c>
      <x:c r="AH271" s="55" t="n">
        <x:v>629</x:v>
      </x:c>
      <x:c r="AI271" s="55" t="n">
        <x:v>10003</x:v>
      </x:c>
      <x:c r="AJ271" s="55" t="n">
        <x:v>264</x:v>
      </x:c>
      <x:c r="AK271" s="55" t="n">
        <x:v>855</x:v>
      </x:c>
      <x:c r="AL271" s="55" t="n">
        <x:v>1583</x:v>
      </x:c>
      <x:c r="AM271" s="55" t="n">
        <x:v>4804</x:v>
      </x:c>
      <x:c r="AN271" s="55" t="n">
        <x:v>3114</x:v>
      </x:c>
      <x:c r="AO271" s="55" t="n">
        <x:v>12</x:v>
      </x:c>
      <x:c r="AP271" s="55" t="n">
        <x:v>2563</x:v>
      </x:c>
      <x:c r="AQ271" s="55" t="n">
        <x:v>981</x:v>
      </x:c>
    </x:row>
    <x:row r="272">
      <x:c r="A272" s="54" t="str">
        <x:v>T2_CONCORDANT_DOMAIN</x:v>
      </x:c>
      <x:c r="B272" s="54" t="n">
        <x:v>266</x:v>
      </x:c>
      <x:c r="C272" s="54" t="str">
        <x:v>NYC-V2-R01</x:v>
      </x:c>
      <x:c r="D272" s="54" t="str">
        <x:v>V2</x:v>
      </x:c>
      <x:c r="E272" s="54" t="str">
        <x:v>ADMITTED</x:v>
      </x:c>
      <x:c r="F272" s="55" t="n">
        <x:v>32922</x:v>
      </x:c>
      <x:c r="G272" s="55" t="n">
        <x:v>7487</x:v>
      </x:c>
      <x:c r="H272" s="55" t="n">
        <x:v>2952</x:v>
      </x:c>
      <x:c r="I272" s="55" t="n">
        <x:v>1432</x:v>
      </x:c>
      <x:c r="J272" s="55" t="n">
        <x:v>128</x:v>
      </x:c>
      <x:c r="K272" s="55" t="n">
        <x:v>32922</x:v>
      </x:c>
      <x:c r="L272" s="55" t="n">
        <x:v>6115</x:v>
      </x:c>
      <x:c r="M272" s="55" t="n">
        <x:v>1169</x:v>
      </x:c>
      <x:c r="N272" s="55" t="n">
        <x:v>2778</x:v>
      </x:c>
      <x:c r="O272" s="55" t="n">
        <x:v>2168</x:v>
      </x:c>
      <x:c r="P272" s="55" t="n">
        <x:v>696</x:v>
      </x:c>
      <x:c r="Q272" s="55" t="n">
        <x:v>2121</x:v>
      </x:c>
      <x:c r="R272" s="55" t="n">
        <x:v>2347</x:v>
      </x:c>
      <x:c r="S272" s="55" t="n">
        <x:v>2406</x:v>
      </x:c>
      <x:c r="T272" s="55" t="n">
        <x:v>1284</x:v>
      </x:c>
      <x:c r="U272" s="55" t="n">
        <x:v>2333</x:v>
      </x:c>
      <x:c r="V272" s="55" t="n">
        <x:v>10011</x:v>
      </x:c>
      <x:c r="W272" s="55" t="n">
        <x:v>7425</x:v>
      </x:c>
      <x:c r="X272" s="55" t="n">
        <x:v>2586</x:v>
      </x:c>
      <x:c r="Y272" s="55" t="n">
        <x:v>2216</x:v>
      </x:c>
      <x:c r="Z272" s="55" t="n">
        <x:v>3652</x:v>
      </x:c>
      <x:c r="AA272" s="55" t="n">
        <x:v>2876</x:v>
      </x:c>
      <x:c r="AB272" s="55" t="n">
        <x:v>1011</x:v>
      </x:c>
      <x:c r="AC272" s="55" t="n">
        <x:v>7988</x:v>
      </x:c>
      <x:c r="AD272" s="55" t="n">
        <x:v>2962</x:v>
      </x:c>
      <x:c r="AE272" s="55" t="n">
        <x:v>10068</x:v>
      </x:c>
      <x:c r="AF272" s="55" t="n">
        <x:v>10011</x:v>
      </x:c>
      <x:c r="AG272" s="55" t="n">
        <x:v>57</x:v>
      </x:c>
      <x:c r="AH272" s="55" t="n">
        <x:v>278</x:v>
      </x:c>
      <x:c r="AI272" s="55" t="n">
        <x:v>9733</x:v>
      </x:c>
      <x:c r="AJ272" s="55" t="n">
        <x:v>184</x:v>
      </x:c>
      <x:c r="AK272" s="55" t="n">
        <x:v>1194</x:v>
      </x:c>
      <x:c r="AL272" s="55" t="n">
        <x:v>1638</x:v>
      </x:c>
      <x:c r="AM272" s="55" t="n">
        <x:v>4578</x:v>
      </x:c>
      <x:c r="AN272" s="55" t="n">
        <x:v>2417</x:v>
      </x:c>
      <x:c r="AO272" s="55" t="n">
        <x:v>0</x:v>
      </x:c>
      <x:c r="AP272" s="55" t="n">
        <x:v>2518</x:v>
      </x:c>
      <x:c r="AQ272" s="55" t="n">
        <x:v>961</x:v>
      </x:c>
    </x:row>
    <x:row r="273">
      <x:c r="A273" s="54" t="str">
        <x:v>T2_CONCORDANT_DOMAIN</x:v>
      </x:c>
      <x:c r="B273" s="54" t="n">
        <x:v>267</x:v>
      </x:c>
      <x:c r="C273" s="54" t="str">
        <x:v>NYC-V2-R01</x:v>
      </x:c>
      <x:c r="D273" s="54" t="str">
        <x:v>V2</x:v>
      </x:c>
      <x:c r="E273" s="54" t="str">
        <x:v>ADMITTED</x:v>
      </x:c>
      <x:c r="F273" s="55" t="n">
        <x:v>31179</x:v>
      </x:c>
      <x:c r="G273" s="55" t="n">
        <x:v>7394</x:v>
      </x:c>
      <x:c r="H273" s="55" t="n">
        <x:v>3424</x:v>
      </x:c>
      <x:c r="I273" s="55" t="n">
        <x:v>1314</x:v>
      </x:c>
      <x:c r="J273" s="55" t="n">
        <x:v>238</x:v>
      </x:c>
      <x:c r="K273" s="55" t="n">
        <x:v>31179</x:v>
      </x:c>
      <x:c r="L273" s="55" t="n">
        <x:v>6782</x:v>
      </x:c>
      <x:c r="M273" s="55" t="n">
        <x:v>2023</x:v>
      </x:c>
      <x:c r="N273" s="55" t="n">
        <x:v>2975</x:v>
      </x:c>
      <x:c r="O273" s="55" t="n">
        <x:v>1784</x:v>
      </x:c>
      <x:c r="P273" s="55" t="n">
        <x:v>890</x:v>
      </x:c>
      <x:c r="Q273" s="55" t="n">
        <x:v>3236</x:v>
      </x:c>
      <x:c r="R273" s="55" t="n">
        <x:v>1921</x:v>
      </x:c>
      <x:c r="S273" s="55" t="n">
        <x:v>2769</x:v>
      </x:c>
      <x:c r="T273" s="55" t="n">
        <x:v>1060</x:v>
      </x:c>
      <x:c r="U273" s="55" t="n">
        <x:v>2500</x:v>
      </x:c>
      <x:c r="V273" s="55" t="n">
        <x:v>10988</x:v>
      </x:c>
      <x:c r="W273" s="55" t="n">
        <x:v>7833</x:v>
      </x:c>
      <x:c r="X273" s="55" t="n">
        <x:v>3155</x:v>
      </x:c>
      <x:c r="Y273" s="55" t="n">
        <x:v>2708</x:v>
      </x:c>
      <x:c r="Z273" s="55" t="n">
        <x:v>3558</x:v>
      </x:c>
      <x:c r="AA273" s="55" t="n">
        <x:v>3424</x:v>
      </x:c>
      <x:c r="AB273" s="55" t="n">
        <x:v>1097</x:v>
      </x:c>
      <x:c r="AC273" s="55" t="n">
        <x:v>8582</x:v>
      </x:c>
      <x:c r="AD273" s="55" t="n">
        <x:v>2851</x:v>
      </x:c>
      <x:c r="AE273" s="55" t="n">
        <x:v>11058</x:v>
      </x:c>
      <x:c r="AF273" s="55" t="n">
        <x:v>10988</x:v>
      </x:c>
      <x:c r="AG273" s="55" t="n">
        <x:v>70</x:v>
      </x:c>
      <x:c r="AH273" s="55" t="n">
        <x:v>551</x:v>
      </x:c>
      <x:c r="AI273" s="55" t="n">
        <x:v>10437</x:v>
      </x:c>
      <x:c r="AJ273" s="55" t="n">
        <x:v>557</x:v>
      </x:c>
      <x:c r="AK273" s="55" t="n">
        <x:v>1235</x:v>
      </x:c>
      <x:c r="AL273" s="55" t="n">
        <x:v>1506</x:v>
      </x:c>
      <x:c r="AM273" s="55" t="n">
        <x:v>5103</x:v>
      </x:c>
      <x:c r="AN273" s="55" t="n">
        <x:v>2575</x:v>
      </x:c>
      <x:c r="AO273" s="55" t="n">
        <x:v>12</x:v>
      </x:c>
      <x:c r="AP273" s="55" t="n">
        <x:v>2518</x:v>
      </x:c>
      <x:c r="AQ273" s="55" t="n">
        <x:v>962</x:v>
      </x:c>
    </x:row>
    <x:row r="274">
      <x:c r="A274" s="54" t="str">
        <x:v>T2_CONCORDANT_DOMAIN</x:v>
      </x:c>
      <x:c r="B274" s="54" t="n">
        <x:v>268</x:v>
      </x:c>
      <x:c r="C274" s="54" t="str">
        <x:v>NYC-V2-R01</x:v>
      </x:c>
      <x:c r="D274" s="54" t="str">
        <x:v>V2</x:v>
      </x:c>
      <x:c r="E274" s="54" t="str">
        <x:v>ADMITTED</x:v>
      </x:c>
      <x:c r="F274" s="55" t="n">
        <x:v>31218</x:v>
      </x:c>
      <x:c r="G274" s="55" t="n">
        <x:v>6634</x:v>
      </x:c>
      <x:c r="H274" s="55" t="n">
        <x:v>3565</x:v>
      </x:c>
      <x:c r="I274" s="55" t="n">
        <x:v>1569</x:v>
      </x:c>
      <x:c r="J274" s="55" t="n">
        <x:v>300</x:v>
      </x:c>
      <x:c r="K274" s="55" t="n">
        <x:v>31218</x:v>
      </x:c>
      <x:c r="L274" s="55" t="n">
        <x:v>6689</x:v>
      </x:c>
      <x:c r="M274" s="55" t="n">
        <x:v>1768</x:v>
      </x:c>
      <x:c r="N274" s="55" t="n">
        <x:v>2972</x:v>
      </x:c>
      <x:c r="O274" s="55" t="n">
        <x:v>1949</x:v>
      </x:c>
      <x:c r="P274" s="55" t="n">
        <x:v>602</x:v>
      </x:c>
      <x:c r="Q274" s="55" t="n">
        <x:v>2173</x:v>
      </x:c>
      <x:c r="R274" s="55" t="n">
        <x:v>1687</x:v>
      </x:c>
      <x:c r="S274" s="55" t="n">
        <x:v>2860</x:v>
      </x:c>
      <x:c r="T274" s="55" t="n">
        <x:v>1271</x:v>
      </x:c>
      <x:c r="U274" s="55" t="n">
        <x:v>2071</x:v>
      </x:c>
      <x:c r="V274" s="55" t="n">
        <x:v>9904</x:v>
      </x:c>
      <x:c r="W274" s="55" t="n">
        <x:v>6669</x:v>
      </x:c>
      <x:c r="X274" s="55" t="n">
        <x:v>3235</x:v>
      </x:c>
      <x:c r="Y274" s="55" t="n">
        <x:v>2865</x:v>
      </x:c>
      <x:c r="Z274" s="55" t="n">
        <x:v>3410</x:v>
      </x:c>
      <x:c r="AA274" s="55" t="n">
        <x:v>2829</x:v>
      </x:c>
      <x:c r="AB274" s="55" t="n">
        <x:v>626</x:v>
      </x:c>
      <x:c r="AC274" s="55" t="n">
        <x:v>7841</x:v>
      </x:c>
      <x:c r="AD274" s="55" t="n">
        <x:v>2674</x:v>
      </x:c>
      <x:c r="AE274" s="55" t="n">
        <x:v>9914</x:v>
      </x:c>
      <x:c r="AF274" s="55" t="n">
        <x:v>9904</x:v>
      </x:c>
      <x:c r="AG274" s="55" t="n">
        <x:v>10</x:v>
      </x:c>
      <x:c r="AH274" s="55" t="n">
        <x:v>288</x:v>
      </x:c>
      <x:c r="AI274" s="55" t="n">
        <x:v>9616</x:v>
      </x:c>
      <x:c r="AJ274" s="55" t="n">
        <x:v>386</x:v>
      </x:c>
      <x:c r="AK274" s="55" t="n">
        <x:v>1269</x:v>
      </x:c>
      <x:c r="AL274" s="55" t="n">
        <x:v>1007</x:v>
      </x:c>
      <x:c r="AM274" s="55" t="n">
        <x:v>4572</x:v>
      </x:c>
      <x:c r="AN274" s="55" t="n">
        <x:v>2670</x:v>
      </x:c>
      <x:c r="AO274" s="55" t="n">
        <x:v>0</x:v>
      </x:c>
      <x:c r="AP274" s="55" t="n">
        <x:v>2270</x:v>
      </x:c>
      <x:c r="AQ274" s="55" t="n">
        <x:v>965</x:v>
      </x:c>
    </x:row>
    <x:row r="275">
      <x:c r="A275" s="54" t="str">
        <x:v>T2_CONCORDANT_DOMAIN</x:v>
      </x:c>
      <x:c r="B275" s="54" t="n">
        <x:v>269</x:v>
      </x:c>
      <x:c r="C275" s="54" t="str">
        <x:v>NYC-V2-R01</x:v>
      </x:c>
      <x:c r="D275" s="54" t="str">
        <x:v>V2</x:v>
      </x:c>
      <x:c r="E275" s="54" t="str">
        <x:v>ADMITTED</x:v>
      </x:c>
      <x:c r="F275" s="55" t="n">
        <x:v>30245</x:v>
      </x:c>
      <x:c r="G275" s="55" t="n">
        <x:v>7913</x:v>
      </x:c>
      <x:c r="H275" s="55" t="n">
        <x:v>3079</x:v>
      </x:c>
      <x:c r="I275" s="55" t="n">
        <x:v>1147</x:v>
      </x:c>
      <x:c r="J275" s="55" t="n">
        <x:v>149</x:v>
      </x:c>
      <x:c r="K275" s="55" t="n">
        <x:v>30245</x:v>
      </x:c>
      <x:c r="L275" s="55" t="n">
        <x:v>4295</x:v>
      </x:c>
      <x:c r="M275" s="55" t="n">
        <x:v>744</x:v>
      </x:c>
      <x:c r="N275" s="55" t="n">
        <x:v>1968</x:v>
      </x:c>
      <x:c r="O275" s="55" t="n">
        <x:v>1583</x:v>
      </x:c>
      <x:c r="P275" s="55" t="n">
        <x:v>696</x:v>
      </x:c>
      <x:c r="Q275" s="55" t="n">
        <x:v>1664</x:v>
      </x:c>
      <x:c r="R275" s="55" t="n">
        <x:v>1600</x:v>
      </x:c>
      <x:c r="S275" s="55" t="n">
        <x:v>2295</x:v>
      </x:c>
      <x:c r="T275" s="55" t="n">
        <x:v>1045</x:v>
      </x:c>
      <x:c r="U275" s="55" t="n">
        <x:v>2223</x:v>
      </x:c>
      <x:c r="V275" s="55" t="n">
        <x:v>10585</x:v>
      </x:c>
      <x:c r="W275" s="55" t="n">
        <x:v>7207</x:v>
      </x:c>
      <x:c r="X275" s="55" t="n">
        <x:v>3378</x:v>
      </x:c>
      <x:c r="Y275" s="55" t="n">
        <x:v>2857</x:v>
      </x:c>
      <x:c r="Z275" s="55" t="n">
        <x:v>3767</x:v>
      </x:c>
      <x:c r="AA275" s="55" t="n">
        <x:v>3079</x:v>
      </x:c>
      <x:c r="AB275" s="55" t="n">
        <x:v>884</x:v>
      </x:c>
      <x:c r="AC275" s="55" t="n">
        <x:v>8281</x:v>
      </x:c>
      <x:c r="AD275" s="55" t="n">
        <x:v>2580</x:v>
      </x:c>
      <x:c r="AE275" s="55" t="n">
        <x:v>10684</x:v>
      </x:c>
      <x:c r="AF275" s="55" t="n">
        <x:v>10585</x:v>
      </x:c>
      <x:c r="AG275" s="55" t="n">
        <x:v>99</x:v>
      </x:c>
      <x:c r="AH275" s="55" t="n">
        <x:v>435</x:v>
      </x:c>
      <x:c r="AI275" s="55" t="n">
        <x:v>10150</x:v>
      </x:c>
      <x:c r="AJ275" s="55" t="n">
        <x:v>301</x:v>
      </x:c>
      <x:c r="AK275" s="55" t="n">
        <x:v>722</x:v>
      </x:c>
      <x:c r="AL275" s="55" t="n">
        <x:v>1629</x:v>
      </x:c>
      <x:c r="AM275" s="55" t="n">
        <x:v>5147</x:v>
      </x:c>
      <x:c r="AN275" s="55" t="n">
        <x:v>2785</x:v>
      </x:c>
      <x:c r="AO275" s="55" t="n">
        <x:v>1</x:v>
      </x:c>
      <x:c r="AP275" s="55" t="n">
        <x:v>2754</x:v>
      </x:c>
      <x:c r="AQ275" s="55" t="n">
        <x:v>943</x:v>
      </x:c>
    </x:row>
    <x:row r="276">
      <x:c r="A276" s="54" t="str">
        <x:v>T2_CONCORDANT_DOMAIN</x:v>
      </x:c>
      <x:c r="B276" s="54" t="n">
        <x:v>270</x:v>
      </x:c>
      <x:c r="C276" s="54" t="str">
        <x:v>NYC-V2-R01</x:v>
      </x:c>
      <x:c r="D276" s="54" t="str">
        <x:v>V2</x:v>
      </x:c>
      <x:c r="E276" s="54" t="str">
        <x:v>ADMITTED</x:v>
      </x:c>
      <x:c r="F276" s="55" t="n">
        <x:v>32904</x:v>
      </x:c>
      <x:c r="G276" s="55" t="n">
        <x:v>8302</x:v>
      </x:c>
      <x:c r="H276" s="55" t="n">
        <x:v>2957</x:v>
      </x:c>
      <x:c r="I276" s="55" t="n">
        <x:v>1167</x:v>
      </x:c>
      <x:c r="J276" s="55" t="n">
        <x:v>205</x:v>
      </x:c>
      <x:c r="K276" s="55" t="n">
        <x:v>32904</x:v>
      </x:c>
      <x:c r="L276" s="55" t="n">
        <x:v>6652</x:v>
      </x:c>
      <x:c r="M276" s="55" t="n">
        <x:v>1901</x:v>
      </x:c>
      <x:c r="N276" s="55" t="n">
        <x:v>2974</x:v>
      </x:c>
      <x:c r="O276" s="55" t="n">
        <x:v>1777</x:v>
      </x:c>
      <x:c r="P276" s="55" t="n">
        <x:v>629</x:v>
      </x:c>
      <x:c r="Q276" s="55" t="n">
        <x:v>1870</x:v>
      </x:c>
      <x:c r="R276" s="55" t="n">
        <x:v>1948</x:v>
      </x:c>
      <x:c r="S276" s="55" t="n">
        <x:v>2538</x:v>
      </x:c>
      <x:c r="T276" s="55" t="n">
        <x:v>1218</x:v>
      </x:c>
      <x:c r="U276" s="55" t="n">
        <x:v>1958</x:v>
      </x:c>
      <x:c r="V276" s="55" t="n">
        <x:v>10665</x:v>
      </x:c>
      <x:c r="W276" s="55" t="n">
        <x:v>7762</x:v>
      </x:c>
      <x:c r="X276" s="55" t="n">
        <x:v>2903</x:v>
      </x:c>
      <x:c r="Y276" s="55" t="n">
        <x:v>2638</x:v>
      </x:c>
      <x:c r="Z276" s="55" t="n">
        <x:v>3263</x:v>
      </x:c>
      <x:c r="AA276" s="55" t="n">
        <x:v>2904</x:v>
      </x:c>
      <x:c r="AB276" s="55" t="n">
        <x:v>1095</x:v>
      </x:c>
      <x:c r="AC276" s="55" t="n">
        <x:v>8140</x:v>
      </x:c>
      <x:c r="AD276" s="55" t="n">
        <x:v>2836</x:v>
      </x:c>
      <x:c r="AE276" s="55" t="n">
        <x:v>10738</x:v>
      </x:c>
      <x:c r="AF276" s="55" t="n">
        <x:v>10665</x:v>
      </x:c>
      <x:c r="AG276" s="55" t="n">
        <x:v>73</x:v>
      </x:c>
      <x:c r="AH276" s="55" t="n">
        <x:v>438</x:v>
      </x:c>
      <x:c r="AI276" s="55" t="n">
        <x:v>10227</x:v>
      </x:c>
      <x:c r="AJ276" s="55" t="n">
        <x:v>322</x:v>
      </x:c>
      <x:c r="AK276" s="55" t="n">
        <x:v>958</x:v>
      </x:c>
      <x:c r="AL276" s="55" t="n">
        <x:v>1536</x:v>
      </x:c>
      <x:c r="AM276" s="55" t="n">
        <x:v>5215</x:v>
      </x:c>
      <x:c r="AN276" s="55" t="n">
        <x:v>2628</x:v>
      </x:c>
      <x:c r="AO276" s="55" t="n">
        <x:v>6</x:v>
      </x:c>
      <x:c r="AP276" s="55" t="n">
        <x:v>2239</x:v>
      </x:c>
      <x:c r="AQ276" s="55" t="n">
        <x:v>962</x:v>
      </x:c>
    </x:row>
    <x:row r="277">
      <x:c r="A277" s="54" t="str">
        <x:v>T2_CONCORDANT_DOMAIN</x:v>
      </x:c>
      <x:c r="B277" s="54" t="n">
        <x:v>271</x:v>
      </x:c>
      <x:c r="C277" s="54" t="str">
        <x:v>NYC-V2-R01</x:v>
      </x:c>
      <x:c r="D277" s="54" t="str">
        <x:v>V2</x:v>
      </x:c>
      <x:c r="E277" s="54" t="str">
        <x:v>ADMITTED</x:v>
      </x:c>
      <x:c r="F277" s="55" t="n">
        <x:v>34292</x:v>
      </x:c>
      <x:c r="G277" s="55" t="n">
        <x:v>9670</x:v>
      </x:c>
      <x:c r="H277" s="55" t="n">
        <x:v>3748</x:v>
      </x:c>
      <x:c r="I277" s="55" t="n">
        <x:v>1669</x:v>
      </x:c>
      <x:c r="J277" s="55" t="n">
        <x:v>450</x:v>
      </x:c>
      <x:c r="K277" s="55" t="n">
        <x:v>29709</x:v>
      </x:c>
      <x:c r="L277" s="55" t="n">
        <x:v>6521</x:v>
      </x:c>
      <x:c r="M277" s="55" t="n">
        <x:v>2089</x:v>
      </x:c>
      <x:c r="N277" s="55" t="n">
        <x:v>2654</x:v>
      </x:c>
      <x:c r="O277" s="55" t="n">
        <x:v>1778</x:v>
      </x:c>
      <x:c r="P277" s="55" t="n">
        <x:v>885</x:v>
      </x:c>
      <x:c r="Q277" s="55" t="n">
        <x:v>2758</x:v>
      </x:c>
      <x:c r="R277" s="55" t="n">
        <x:v>2024</x:v>
      </x:c>
      <x:c r="S277" s="55" t="n">
        <x:v>3270</x:v>
      </x:c>
      <x:c r="T277" s="55" t="n">
        <x:v>1201</x:v>
      </x:c>
      <x:c r="U277" s="55" t="n">
        <x:v>2316</x:v>
      </x:c>
      <x:c r="V277" s="55" t="n">
        <x:v>10691</x:v>
      </x:c>
      <x:c r="W277" s="55" t="n">
        <x:v>7298</x:v>
      </x:c>
      <x:c r="X277" s="55" t="n">
        <x:v>3393</x:v>
      </x:c>
      <x:c r="Y277" s="55" t="n">
        <x:v>2791</x:v>
      </x:c>
      <x:c r="Z277" s="55" t="n">
        <x:v>3789</x:v>
      </x:c>
      <x:c r="AA277" s="55" t="n">
        <x:v>3477</x:v>
      </x:c>
      <x:c r="AB277" s="55" t="n">
        <x:v>1166</x:v>
      </x:c>
      <x:c r="AC277" s="55" t="n">
        <x:v>8367</x:v>
      </x:c>
      <x:c r="AD277" s="55" t="n">
        <x:v>3262</x:v>
      </x:c>
      <x:c r="AE277" s="55" t="n">
        <x:v>10898</x:v>
      </x:c>
      <x:c r="AF277" s="55" t="n">
        <x:v>10691</x:v>
      </x:c>
      <x:c r="AG277" s="55" t="n">
        <x:v>207</x:v>
      </x:c>
      <x:c r="AH277" s="55" t="n">
        <x:v>641</x:v>
      </x:c>
      <x:c r="AI277" s="55" t="n">
        <x:v>10050</x:v>
      </x:c>
      <x:c r="AJ277" s="55" t="n">
        <x:v>388</x:v>
      </x:c>
      <x:c r="AK277" s="55" t="n">
        <x:v>1114</x:v>
      </x:c>
      <x:c r="AL277" s="55" t="n">
        <x:v>1794</x:v>
      </x:c>
      <x:c r="AM277" s="55" t="n">
        <x:v>4577</x:v>
      </x:c>
      <x:c r="AN277" s="55" t="n">
        <x:v>2702</x:v>
      </x:c>
      <x:c r="AO277" s="55" t="n">
        <x:v>116</x:v>
      </x:c>
      <x:c r="AP277" s="55" t="n">
        <x:v>2495</x:v>
      </x:c>
      <x:c r="AQ277" s="55" t="n">
        <x:v>996</x:v>
      </x:c>
    </x:row>
    <x:row r="278">
      <x:c r="A278" s="54" t="str">
        <x:v>T2_CONCORDANT_DOMAIN</x:v>
      </x:c>
      <x:c r="B278" s="54" t="n">
        <x:v>272</x:v>
      </x:c>
      <x:c r="C278" s="54" t="str">
        <x:v>NYC-V2-R01</x:v>
      </x:c>
      <x:c r="D278" s="54" t="str">
        <x:v>V2</x:v>
      </x:c>
      <x:c r="E278" s="54" t="str">
        <x:v>ADMITTED</x:v>
      </x:c>
      <x:c r="F278" s="55" t="n">
        <x:v>30445</x:v>
      </x:c>
      <x:c r="G278" s="55" t="n">
        <x:v>7776</x:v>
      </x:c>
      <x:c r="H278" s="55" t="n">
        <x:v>2976</x:v>
      </x:c>
      <x:c r="I278" s="55" t="n">
        <x:v>1161</x:v>
      </x:c>
      <x:c r="J278" s="55" t="n">
        <x:v>179</x:v>
      </x:c>
      <x:c r="K278" s="55" t="n">
        <x:v>27867</x:v>
      </x:c>
      <x:c r="L278" s="55" t="n">
        <x:v>4156</x:v>
      </x:c>
      <x:c r="M278" s="55" t="n">
        <x:v>0</x:v>
      </x:c>
      <x:c r="N278" s="55" t="n">
        <x:v>2327</x:v>
      </x:c>
      <x:c r="O278" s="55" t="n">
        <x:v>1829</x:v>
      </x:c>
      <x:c r="P278" s="55" t="n">
        <x:v>999</x:v>
      </x:c>
      <x:c r="Q278" s="55" t="n">
        <x:v>2414</x:v>
      </x:c>
      <x:c r="R278" s="55" t="n">
        <x:v>2105</x:v>
      </x:c>
      <x:c r="S278" s="55" t="n">
        <x:v>2572</x:v>
      </x:c>
      <x:c r="T278" s="55" t="n">
        <x:v>757</x:v>
      </x:c>
      <x:c r="U278" s="55" t="n">
        <x:v>1924</x:v>
      </x:c>
      <x:c r="V278" s="55" t="n">
        <x:v>10004</x:v>
      </x:c>
      <x:c r="W278" s="55" t="n">
        <x:v>7187</x:v>
      </x:c>
      <x:c r="X278" s="55" t="n">
        <x:v>2817</x:v>
      </x:c>
      <x:c r="Y278" s="55" t="n">
        <x:v>2358</x:v>
      </x:c>
      <x:c r="Z278" s="55" t="n">
        <x:v>3952</x:v>
      </x:c>
      <x:c r="AA278" s="55" t="n">
        <x:v>2700</x:v>
      </x:c>
      <x:c r="AB278" s="55" t="n">
        <x:v>986</x:v>
      </x:c>
      <x:c r="AC278" s="55" t="n">
        <x:v>7685</x:v>
      </x:c>
      <x:c r="AD278" s="55" t="n">
        <x:v>2609</x:v>
      </x:c>
      <x:c r="AE278" s="55" t="n">
        <x:v>10088</x:v>
      </x:c>
      <x:c r="AF278" s="55" t="n">
        <x:v>10004</x:v>
      </x:c>
      <x:c r="AG278" s="55" t="n">
        <x:v>84</x:v>
      </x:c>
      <x:c r="AH278" s="55" t="n">
        <x:v>467</x:v>
      </x:c>
      <x:c r="AI278" s="55" t="n">
        <x:v>9537</x:v>
      </x:c>
      <x:c r="AJ278" s="55" t="n">
        <x:v>248</x:v>
      </x:c>
      <x:c r="AK278" s="55" t="n">
        <x:v>844</x:v>
      </x:c>
      <x:c r="AL278" s="55" t="n">
        <x:v>1219</x:v>
      </x:c>
      <x:c r="AM278" s="55" t="n">
        <x:v>5050</x:v>
      </x:c>
      <x:c r="AN278" s="55" t="n">
        <x:v>2643</x:v>
      </x:c>
      <x:c r="AO278" s="55" t="n">
        <x:v>0</x:v>
      </x:c>
      <x:c r="AP278" s="55" t="n">
        <x:v>1882</x:v>
      </x:c>
      <x:c r="AQ278" s="55" t="n">
        <x:v>961</x:v>
      </x:c>
    </x:row>
    <x:row r="279">
      <x:c r="A279" s="54" t="str">
        <x:v>T2_CONCORDANT_DOMAIN</x:v>
      </x:c>
      <x:c r="B279" s="54" t="n">
        <x:v>273</x:v>
      </x:c>
      <x:c r="C279" s="54" t="str">
        <x:v>NYC-V2-R01</x:v>
      </x:c>
      <x:c r="D279" s="54" t="str">
        <x:v>V2</x:v>
      </x:c>
      <x:c r="E279" s="54" t="str">
        <x:v>ADMITTED</x:v>
      </x:c>
      <x:c r="F279" s="55" t="n">
        <x:v>30450</x:v>
      </x:c>
      <x:c r="G279" s="55" t="n">
        <x:v>7579</x:v>
      </x:c>
      <x:c r="H279" s="55" t="n">
        <x:v>3393</x:v>
      </x:c>
      <x:c r="I279" s="55" t="n">
        <x:v>1553</x:v>
      </x:c>
      <x:c r="J279" s="55" t="n">
        <x:v>222</x:v>
      </x:c>
      <x:c r="K279" s="55" t="n">
        <x:v>30450</x:v>
      </x:c>
      <x:c r="L279" s="55" t="n">
        <x:v>5350</x:v>
      </x:c>
      <x:c r="M279" s="55" t="n">
        <x:v>1228</x:v>
      </x:c>
      <x:c r="N279" s="55" t="n">
        <x:v>2586</x:v>
      </x:c>
      <x:c r="O279" s="55" t="n">
        <x:v>1536</x:v>
      </x:c>
      <x:c r="P279" s="55" t="n">
        <x:v>695</x:v>
      </x:c>
      <x:c r="Q279" s="55" t="n">
        <x:v>2148</x:v>
      </x:c>
      <x:c r="R279" s="55" t="n">
        <x:v>1597</x:v>
      </x:c>
      <x:c r="S279" s="55" t="n">
        <x:v>2110</x:v>
      </x:c>
      <x:c r="T279" s="55" t="n">
        <x:v>1177</x:v>
      </x:c>
      <x:c r="U279" s="55" t="n">
        <x:v>1457</x:v>
      </x:c>
      <x:c r="V279" s="55" t="n">
        <x:v>10553</x:v>
      </x:c>
      <x:c r="W279" s="55" t="n">
        <x:v>7405</x:v>
      </x:c>
      <x:c r="X279" s="55" t="n">
        <x:v>3148</x:v>
      </x:c>
      <x:c r="Y279" s="55" t="n">
        <x:v>2789</x:v>
      </x:c>
      <x:c r="Z279" s="55" t="n">
        <x:v>3378</x:v>
      </x:c>
      <x:c r="AA279" s="55" t="n">
        <x:v>2526</x:v>
      </x:c>
      <x:c r="AB279" s="55" t="n">
        <x:v>790</x:v>
      </x:c>
      <x:c r="AC279" s="55" t="n">
        <x:v>8124</x:v>
      </x:c>
      <x:c r="AD279" s="55" t="n">
        <x:v>3024</x:v>
      </x:c>
      <x:c r="AE279" s="55" t="n">
        <x:v>10568</x:v>
      </x:c>
      <x:c r="AF279" s="55" t="n">
        <x:v>10553</x:v>
      </x:c>
      <x:c r="AG279" s="55" t="n">
        <x:v>15</x:v>
      </x:c>
      <x:c r="AH279" s="55" t="n">
        <x:v>361</x:v>
      </x:c>
      <x:c r="AI279" s="55" t="n">
        <x:v>10192</x:v>
      </x:c>
      <x:c r="AJ279" s="55" t="n">
        <x:v>360</x:v>
      </x:c>
      <x:c r="AK279" s="55" t="n">
        <x:v>1111</x:v>
      </x:c>
      <x:c r="AL279" s="55" t="n">
        <x:v>1510</x:v>
      </x:c>
      <x:c r="AM279" s="55" t="n">
        <x:v>4552</x:v>
      </x:c>
      <x:c r="AN279" s="55" t="n">
        <x:v>3020</x:v>
      </x:c>
      <x:c r="AO279" s="55" t="n">
        <x:v>0</x:v>
      </x:c>
      <x:c r="AP279" s="55" t="n">
        <x:v>2389</x:v>
      </x:c>
      <x:c r="AQ279" s="55" t="n">
        <x:v>964</x:v>
      </x:c>
    </x:row>
    <x:row r="280">
      <x:c r="A280" s="54" t="str">
        <x:v>T2_CONCORDANT_DOMAIN</x:v>
      </x:c>
      <x:c r="B280" s="54" t="n">
        <x:v>274</x:v>
      </x:c>
      <x:c r="C280" s="54" t="str">
        <x:v>NYC-V2-R01</x:v>
      </x:c>
      <x:c r="D280" s="54" t="str">
        <x:v>V2</x:v>
      </x:c>
      <x:c r="E280" s="54" t="str">
        <x:v>ADMITTED</x:v>
      </x:c>
      <x:c r="F280" s="55" t="n">
        <x:v>31941</x:v>
      </x:c>
      <x:c r="G280" s="55" t="n">
        <x:v>8243</x:v>
      </x:c>
      <x:c r="H280" s="55" t="n">
        <x:v>3408</x:v>
      </x:c>
      <x:c r="I280" s="55" t="n">
        <x:v>1332</x:v>
      </x:c>
      <x:c r="J280" s="55" t="n">
        <x:v>277</x:v>
      </x:c>
      <x:c r="K280" s="55" t="n">
        <x:v>28784</x:v>
      </x:c>
      <x:c r="L280" s="55" t="n">
        <x:v>3915</x:v>
      </x:c>
      <x:c r="M280" s="55" t="n">
        <x:v>350</x:v>
      </x:c>
      <x:c r="N280" s="55" t="n">
        <x:v>1957</x:v>
      </x:c>
      <x:c r="O280" s="55" t="n">
        <x:v>1608</x:v>
      </x:c>
      <x:c r="P280" s="55" t="n">
        <x:v>874</x:v>
      </x:c>
      <x:c r="Q280" s="55" t="n">
        <x:v>2936</x:v>
      </x:c>
      <x:c r="R280" s="55" t="n">
        <x:v>1973</x:v>
      </x:c>
      <x:c r="S280" s="55" t="n">
        <x:v>2798</x:v>
      </x:c>
      <x:c r="T280" s="55" t="n">
        <x:v>1072</x:v>
      </x:c>
      <x:c r="U280" s="55" t="n">
        <x:v>2092</x:v>
      </x:c>
      <x:c r="V280" s="55" t="n">
        <x:v>11031</x:v>
      </x:c>
      <x:c r="W280" s="55" t="n">
        <x:v>7694</x:v>
      </x:c>
      <x:c r="X280" s="55" t="n">
        <x:v>3337</x:v>
      </x:c>
      <x:c r="Y280" s="55" t="n">
        <x:v>2869</x:v>
      </x:c>
      <x:c r="Z280" s="55" t="n">
        <x:v>3884</x:v>
      </x:c>
      <x:c r="AA280" s="55" t="n">
        <x:v>3033</x:v>
      </x:c>
      <x:c r="AB280" s="55" t="n">
        <x:v>1275</x:v>
      </x:c>
      <x:c r="AC280" s="55" t="n">
        <x:v>8335</x:v>
      </x:c>
      <x:c r="AD280" s="55" t="n">
        <x:v>3026</x:v>
      </x:c>
      <x:c r="AE280" s="55" t="n">
        <x:v>11074</x:v>
      </x:c>
      <x:c r="AF280" s="55" t="n">
        <x:v>11031</x:v>
      </x:c>
      <x:c r="AG280" s="55" t="n">
        <x:v>43</x:v>
      </x:c>
      <x:c r="AH280" s="55" t="n">
        <x:v>452</x:v>
      </x:c>
      <x:c r="AI280" s="55" t="n">
        <x:v>10579</x:v>
      </x:c>
      <x:c r="AJ280" s="55" t="n">
        <x:v>326</x:v>
      </x:c>
      <x:c r="AK280" s="55" t="n">
        <x:v>1002</x:v>
      </x:c>
      <x:c r="AL280" s="55" t="n">
        <x:v>1724</x:v>
      </x:c>
      <x:c r="AM280" s="55" t="n">
        <x:v>4812</x:v>
      </x:c>
      <x:c r="AN280" s="55" t="n">
        <x:v>3167</x:v>
      </x:c>
      <x:c r="AO280" s="55" t="n">
        <x:v>0</x:v>
      </x:c>
      <x:c r="AP280" s="55" t="n">
        <x:v>2308</x:v>
      </x:c>
      <x:c r="AQ280" s="55" t="n">
        <x:v>967</x:v>
      </x:c>
    </x:row>
    <x:row r="281">
      <x:c r="A281" s="54" t="str">
        <x:v>T2_CONCORDANT_DOMAIN</x:v>
      </x:c>
      <x:c r="B281" s="54" t="n">
        <x:v>275</x:v>
      </x:c>
      <x:c r="C281" s="54" t="str">
        <x:v>NYC-V2-R01</x:v>
      </x:c>
      <x:c r="D281" s="54" t="str">
        <x:v>V2</x:v>
      </x:c>
      <x:c r="E281" s="54" t="str">
        <x:v>ADMITTED</x:v>
      </x:c>
      <x:c r="F281" s="55" t="n">
        <x:v>32105</x:v>
      </x:c>
      <x:c r="G281" s="55" t="n">
        <x:v>7993</x:v>
      </x:c>
      <x:c r="H281" s="55" t="n">
        <x:v>3683</x:v>
      </x:c>
      <x:c r="I281" s="55" t="n">
        <x:v>1721</x:v>
      </x:c>
      <x:c r="J281" s="55" t="n">
        <x:v>396</x:v>
      </x:c>
      <x:c r="K281" s="55" t="n">
        <x:v>32105</x:v>
      </x:c>
      <x:c r="L281" s="55" t="n">
        <x:v>6741</x:v>
      </x:c>
      <x:c r="M281" s="55" t="n">
        <x:v>1936</x:v>
      </x:c>
      <x:c r="N281" s="55" t="n">
        <x:v>2899</x:v>
      </x:c>
      <x:c r="O281" s="55" t="n">
        <x:v>1906</x:v>
      </x:c>
      <x:c r="P281" s="55" t="n">
        <x:v>998</x:v>
      </x:c>
      <x:c r="Q281" s="55" t="n">
        <x:v>4131</x:v>
      </x:c>
      <x:c r="R281" s="55" t="n">
        <x:v>1858</x:v>
      </x:c>
      <x:c r="S281" s="55" t="n">
        <x:v>3661</x:v>
      </x:c>
      <x:c r="T281" s="55" t="n">
        <x:v>1445</x:v>
      </x:c>
      <x:c r="U281" s="55" t="n">
        <x:v>2616</x:v>
      </x:c>
      <x:c r="V281" s="55" t="n">
        <x:v>10880</x:v>
      </x:c>
      <x:c r="W281" s="55" t="n">
        <x:v>7639</x:v>
      </x:c>
      <x:c r="X281" s="55" t="n">
        <x:v>3241</x:v>
      </x:c>
      <x:c r="Y281" s="55" t="n">
        <x:v>2810</x:v>
      </x:c>
      <x:c r="Z281" s="55" t="n">
        <x:v>4073</x:v>
      </x:c>
      <x:c r="AA281" s="55" t="n">
        <x:v>3683</x:v>
      </x:c>
      <x:c r="AB281" s="55" t="n">
        <x:v>1279</x:v>
      </x:c>
      <x:c r="AC281" s="55" t="n">
        <x:v>9062</x:v>
      </x:c>
      <x:c r="AD281" s="55" t="n">
        <x:v>3313</x:v>
      </x:c>
      <x:c r="AE281" s="55" t="n">
        <x:v>10918</x:v>
      </x:c>
      <x:c r="AF281" s="55" t="n">
        <x:v>10880</x:v>
      </x:c>
      <x:c r="AG281" s="55" t="n">
        <x:v>38</x:v>
      </x:c>
      <x:c r="AH281" s="55" t="n">
        <x:v>635</x:v>
      </x:c>
      <x:c r="AI281" s="55" t="n">
        <x:v>10245</x:v>
      </x:c>
      <x:c r="AJ281" s="55" t="n">
        <x:v>209</x:v>
      </x:c>
      <x:c r="AK281" s="55" t="n">
        <x:v>859</x:v>
      </x:c>
      <x:c r="AL281" s="55" t="n">
        <x:v>1610</x:v>
      </x:c>
      <x:c r="AM281" s="55" t="n">
        <x:v>5559</x:v>
      </x:c>
      <x:c r="AN281" s="55" t="n">
        <x:v>2643</x:v>
      </x:c>
      <x:c r="AO281" s="55" t="n">
        <x:v>0</x:v>
      </x:c>
      <x:c r="AP281" s="55" t="n">
        <x:v>2322</x:v>
      </x:c>
      <x:c r="AQ281" s="55" t="n">
        <x:v>951</x:v>
      </x:c>
    </x:row>
    <x:row r="282">
      <x:c r="A282" s="54" t="str">
        <x:v>T2_CONCORDANT_DOMAIN</x:v>
      </x:c>
      <x:c r="B282" s="54" t="n">
        <x:v>276</x:v>
      </x:c>
      <x:c r="C282" s="54" t="str">
        <x:v>NYC-V2-R01</x:v>
      </x:c>
      <x:c r="D282" s="54" t="str">
        <x:v>V2</x:v>
      </x:c>
      <x:c r="E282" s="54" t="str">
        <x:v>ADMITTED</x:v>
      </x:c>
      <x:c r="F282" s="55" t="n">
        <x:v>30351</x:v>
      </x:c>
      <x:c r="G282" s="55" t="n">
        <x:v>7834</x:v>
      </x:c>
      <x:c r="H282" s="55" t="n">
        <x:v>2925</x:v>
      </x:c>
      <x:c r="I282" s="55" t="n">
        <x:v>1100</x:v>
      </x:c>
      <x:c r="J282" s="55" t="n">
        <x:v>161</x:v>
      </x:c>
      <x:c r="K282" s="55" t="n">
        <x:v>30351</x:v>
      </x:c>
      <x:c r="L282" s="55" t="n">
        <x:v>4294</x:v>
      </x:c>
      <x:c r="M282" s="55" t="n">
        <x:v>329</x:v>
      </x:c>
      <x:c r="N282" s="55" t="n">
        <x:v>2430</x:v>
      </x:c>
      <x:c r="O282" s="55" t="n">
        <x:v>1535</x:v>
      </x:c>
      <x:c r="P282" s="55" t="n">
        <x:v>789</x:v>
      </x:c>
      <x:c r="Q282" s="55" t="n">
        <x:v>1868</x:v>
      </x:c>
      <x:c r="R282" s="55" t="n">
        <x:v>1356</x:v>
      </x:c>
      <x:c r="S282" s="55" t="n">
        <x:v>2531</x:v>
      </x:c>
      <x:c r="T282" s="55" t="n">
        <x:v>947</x:v>
      </x:c>
      <x:c r="U282" s="55" t="n">
        <x:v>1806</x:v>
      </x:c>
      <x:c r="V282" s="55" t="n">
        <x:v>9932</x:v>
      </x:c>
      <x:c r="W282" s="55" t="n">
        <x:v>7224</x:v>
      </x:c>
      <x:c r="X282" s="55" t="n">
        <x:v>2708</x:v>
      </x:c>
      <x:c r="Y282" s="55" t="n">
        <x:v>2284</x:v>
      </x:c>
      <x:c r="Z282" s="55" t="n">
        <x:v>3375</x:v>
      </x:c>
      <x:c r="AA282" s="55" t="n">
        <x:v>2925</x:v>
      </x:c>
      <x:c r="AB282" s="55" t="n">
        <x:v>1030</x:v>
      </x:c>
      <x:c r="AC282" s="55" t="n">
        <x:v>7586</x:v>
      </x:c>
      <x:c r="AD282" s="55" t="n">
        <x:v>2339</x:v>
      </x:c>
      <x:c r="AE282" s="55" t="n">
        <x:v>9971</x:v>
      </x:c>
      <x:c r="AF282" s="55" t="n">
        <x:v>9932</x:v>
      </x:c>
      <x:c r="AG282" s="55" t="n">
        <x:v>39</x:v>
      </x:c>
      <x:c r="AH282" s="55" t="n">
        <x:v>332</x:v>
      </x:c>
      <x:c r="AI282" s="55" t="n">
        <x:v>9600</x:v>
      </x:c>
      <x:c r="AJ282" s="55" t="n">
        <x:v>129</x:v>
      </x:c>
      <x:c r="AK282" s="55" t="n">
        <x:v>946</x:v>
      </x:c>
      <x:c r="AL282" s="55" t="n">
        <x:v>1514</x:v>
      </x:c>
      <x:c r="AM282" s="55" t="n">
        <x:v>5111</x:v>
      </x:c>
      <x:c r="AN282" s="55" t="n">
        <x:v>2232</x:v>
      </x:c>
      <x:c r="AO282" s="55" t="n">
        <x:v>0</x:v>
      </x:c>
      <x:c r="AP282" s="55" t="n">
        <x:v>2350</x:v>
      </x:c>
      <x:c r="AQ282" s="55" t="n">
        <x:v>912</x:v>
      </x:c>
    </x:row>
    <x:row r="283">
      <x:c r="A283" s="54" t="str">
        <x:v>T2_CONCORDANT_DOMAIN</x:v>
      </x:c>
      <x:c r="B283" s="54" t="n">
        <x:v>277</x:v>
      </x:c>
      <x:c r="C283" s="54" t="str">
        <x:v>NYC-V2-R01</x:v>
      </x:c>
      <x:c r="D283" s="54" t="str">
        <x:v>V2</x:v>
      </x:c>
      <x:c r="E283" s="54" t="str">
        <x:v>ADMITTED</x:v>
      </x:c>
      <x:c r="F283" s="55" t="n">
        <x:v>31845</x:v>
      </x:c>
      <x:c r="G283" s="55" t="n">
        <x:v>7721</x:v>
      </x:c>
      <x:c r="H283" s="55" t="n">
        <x:v>3402</x:v>
      </x:c>
      <x:c r="I283" s="55" t="n">
        <x:v>1271</x:v>
      </x:c>
      <x:c r="J283" s="55" t="n">
        <x:v>241</x:v>
      </x:c>
      <x:c r="K283" s="55" t="n">
        <x:v>31845</x:v>
      </x:c>
      <x:c r="L283" s="55" t="n">
        <x:v>6715</x:v>
      </x:c>
      <x:c r="M283" s="55" t="n">
        <x:v>1835</x:v>
      </x:c>
      <x:c r="N283" s="55" t="n">
        <x:v>2681</x:v>
      </x:c>
      <x:c r="O283" s="55" t="n">
        <x:v>2199</x:v>
      </x:c>
      <x:c r="P283" s="55" t="n">
        <x:v>1045</x:v>
      </x:c>
      <x:c r="Q283" s="55" t="n">
        <x:v>2892</x:v>
      </x:c>
      <x:c r="R283" s="55" t="n">
        <x:v>1952</x:v>
      </x:c>
      <x:c r="S283" s="55" t="n">
        <x:v>2888</x:v>
      </x:c>
      <x:c r="T283" s="55" t="n">
        <x:v>1433</x:v>
      </x:c>
      <x:c r="U283" s="55" t="n">
        <x:v>2473</x:v>
      </x:c>
      <x:c r="V283" s="55" t="n">
        <x:v>10416</x:v>
      </x:c>
      <x:c r="W283" s="55" t="n">
        <x:v>6973</x:v>
      </x:c>
      <x:c r="X283" s="55" t="n">
        <x:v>3443</x:v>
      </x:c>
      <x:c r="Y283" s="55" t="n">
        <x:v>3016</x:v>
      </x:c>
      <x:c r="Z283" s="55" t="n">
        <x:v>3610</x:v>
      </x:c>
      <x:c r="AA283" s="55" t="n">
        <x:v>3402</x:v>
      </x:c>
      <x:c r="AB283" s="55" t="n">
        <x:v>1183</x:v>
      </x:c>
      <x:c r="AC283" s="55" t="n">
        <x:v>7695</x:v>
      </x:c>
      <x:c r="AD283" s="55" t="n">
        <x:v>3246</x:v>
      </x:c>
      <x:c r="AE283" s="55" t="n">
        <x:v>10533</x:v>
      </x:c>
      <x:c r="AF283" s="55" t="n">
        <x:v>10416</x:v>
      </x:c>
      <x:c r="AG283" s="55" t="n">
        <x:v>117</x:v>
      </x:c>
      <x:c r="AH283" s="55" t="n">
        <x:v>660</x:v>
      </x:c>
      <x:c r="AI283" s="55" t="n">
        <x:v>9756</x:v>
      </x:c>
      <x:c r="AJ283" s="55" t="n">
        <x:v>384</x:v>
      </x:c>
      <x:c r="AK283" s="55" t="n">
        <x:v>1025</x:v>
      </x:c>
      <x:c r="AL283" s="55" t="n">
        <x:v>1790</x:v>
      </x:c>
      <x:c r="AM283" s="55" t="n">
        <x:v>4831</x:v>
      </x:c>
      <x:c r="AN283" s="55" t="n">
        <x:v>2365</x:v>
      </x:c>
      <x:c r="AO283" s="55" t="n">
        <x:v>21</x:v>
      </x:c>
      <x:c r="AP283" s="55" t="n">
        <x:v>2338</x:v>
      </x:c>
      <x:c r="AQ283" s="55" t="n">
        <x:v>989</x:v>
      </x:c>
    </x:row>
    <x:row r="284">
      <x:c r="A284" s="54" t="str">
        <x:v>T2_CONCORDANT_DOMAIN</x:v>
      </x:c>
      <x:c r="B284" s="54" t="n">
        <x:v>278</x:v>
      </x:c>
      <x:c r="C284" s="54" t="str">
        <x:v>NYC-V2-R01</x:v>
      </x:c>
      <x:c r="D284" s="54" t="str">
        <x:v>V2</x:v>
      </x:c>
      <x:c r="E284" s="54" t="str">
        <x:v>ADMITTED</x:v>
      </x:c>
      <x:c r="F284" s="55" t="n">
        <x:v>31834</x:v>
      </x:c>
      <x:c r="G284" s="55" t="n">
        <x:v>8256</x:v>
      </x:c>
      <x:c r="H284" s="55" t="n">
        <x:v>3062</x:v>
      </x:c>
      <x:c r="I284" s="55" t="n">
        <x:v>898</x:v>
      </x:c>
      <x:c r="J284" s="55" t="n">
        <x:v>251</x:v>
      </x:c>
      <x:c r="K284" s="55" t="n">
        <x:v>29270</x:v>
      </x:c>
      <x:c r="L284" s="55" t="n">
        <x:v>5061</x:v>
      </x:c>
      <x:c r="M284" s="55" t="n">
        <x:v>465</x:v>
      </x:c>
      <x:c r="N284" s="55" t="n">
        <x:v>2499</x:v>
      </x:c>
      <x:c r="O284" s="55" t="n">
        <x:v>2097</x:v>
      </x:c>
      <x:c r="P284" s="55" t="n">
        <x:v>618</x:v>
      </x:c>
      <x:c r="Q284" s="55" t="n">
        <x:v>1940</x:v>
      </x:c>
      <x:c r="R284" s="55" t="n">
        <x:v>1778</x:v>
      </x:c>
      <x:c r="S284" s="55" t="n">
        <x:v>2762</x:v>
      </x:c>
      <x:c r="T284" s="55" t="n">
        <x:v>954</x:v>
      </x:c>
      <x:c r="U284" s="55" t="n">
        <x:v>1813</x:v>
      </x:c>
      <x:c r="V284" s="55" t="n">
        <x:v>10291</x:v>
      </x:c>
      <x:c r="W284" s="55" t="n">
        <x:v>7223</x:v>
      </x:c>
      <x:c r="X284" s="55" t="n">
        <x:v>3068</x:v>
      </x:c>
      <x:c r="Y284" s="55" t="n">
        <x:v>2681</x:v>
      </x:c>
      <x:c r="Z284" s="55" t="n">
        <x:v>3790</x:v>
      </x:c>
      <x:c r="AA284" s="55" t="n">
        <x:v>2964</x:v>
      </x:c>
      <x:c r="AB284" s="55" t="n">
        <x:v>1009</x:v>
      </x:c>
      <x:c r="AC284" s="55" t="n">
        <x:v>7741</x:v>
      </x:c>
      <x:c r="AD284" s="55" t="n">
        <x:v>2708</x:v>
      </x:c>
      <x:c r="AE284" s="55" t="n">
        <x:v>10340</x:v>
      </x:c>
      <x:c r="AF284" s="55" t="n">
        <x:v>10291</x:v>
      </x:c>
      <x:c r="AG284" s="55" t="n">
        <x:v>49</x:v>
      </x:c>
      <x:c r="AH284" s="55" t="n">
        <x:v>292</x:v>
      </x:c>
      <x:c r="AI284" s="55" t="n">
        <x:v>9999</x:v>
      </x:c>
      <x:c r="AJ284" s="55" t="n">
        <x:v>70</x:v>
      </x:c>
      <x:c r="AK284" s="55" t="n">
        <x:v>693</x:v>
      </x:c>
      <x:c r="AL284" s="55" t="n">
        <x:v>1725</x:v>
      </x:c>
      <x:c r="AM284" s="55" t="n">
        <x:v>5337</x:v>
      </x:c>
      <x:c r="AN284" s="55" t="n">
        <x:v>2447</x:v>
      </x:c>
      <x:c r="AO284" s="55" t="n">
        <x:v>19</x:v>
      </x:c>
      <x:c r="AP284" s="55" t="n">
        <x:v>1981</x:v>
      </x:c>
      <x:c r="AQ284" s="55" t="n">
        <x:v>980</x:v>
      </x:c>
    </x:row>
    <x:row r="285">
      <x:c r="A285" s="54" t="str">
        <x:v>T2_CONCORDANT_DOMAIN</x:v>
      </x:c>
      <x:c r="B285" s="54" t="n">
        <x:v>279</x:v>
      </x:c>
      <x:c r="C285" s="54" t="str">
        <x:v>NYC-V2-R01</x:v>
      </x:c>
      <x:c r="D285" s="54" t="str">
        <x:v>V2</x:v>
      </x:c>
      <x:c r="E285" s="54" t="str">
        <x:v>ADMITTED</x:v>
      </x:c>
      <x:c r="F285" s="55" t="n">
        <x:v>31698</x:v>
      </x:c>
      <x:c r="G285" s="55" t="n">
        <x:v>8409</x:v>
      </x:c>
      <x:c r="H285" s="55" t="n">
        <x:v>3570</x:v>
      </x:c>
      <x:c r="I285" s="55" t="n">
        <x:v>1664</x:v>
      </x:c>
      <x:c r="J285" s="55" t="n">
        <x:v>350</x:v>
      </x:c>
      <x:c r="K285" s="55" t="n">
        <x:v>31230</x:v>
      </x:c>
      <x:c r="L285" s="55" t="n">
        <x:v>6241</x:v>
      </x:c>
      <x:c r="M285" s="55" t="n">
        <x:v>882</x:v>
      </x:c>
      <x:c r="N285" s="55" t="n">
        <x:v>3334</x:v>
      </x:c>
      <x:c r="O285" s="55" t="n">
        <x:v>2025</x:v>
      </x:c>
      <x:c r="P285" s="55" t="n">
        <x:v>875</x:v>
      </x:c>
      <x:c r="Q285" s="55" t="n">
        <x:v>2051</x:v>
      </x:c>
      <x:c r="R285" s="55" t="n">
        <x:v>2242</x:v>
      </x:c>
      <x:c r="S285" s="55" t="n">
        <x:v>2783</x:v>
      </x:c>
      <x:c r="T285" s="55" t="n">
        <x:v>1338</x:v>
      </x:c>
      <x:c r="U285" s="55" t="n">
        <x:v>2598</x:v>
      </x:c>
      <x:c r="V285" s="55" t="n">
        <x:v>10441</x:v>
      </x:c>
      <x:c r="W285" s="55" t="n">
        <x:v>7580</x:v>
      </x:c>
      <x:c r="X285" s="55" t="n">
        <x:v>2861</x:v>
      </x:c>
      <x:c r="Y285" s="55" t="n">
        <x:v>2518</x:v>
      </x:c>
      <x:c r="Z285" s="55" t="n">
        <x:v>3676</x:v>
      </x:c>
      <x:c r="AA285" s="55" t="n">
        <x:v>2940</x:v>
      </x:c>
      <x:c r="AB285" s="55" t="n">
        <x:v>798</x:v>
      </x:c>
      <x:c r="AC285" s="55" t="n">
        <x:v>8047</x:v>
      </x:c>
      <x:c r="AD285" s="55" t="n">
        <x:v>2768</x:v>
      </x:c>
      <x:c r="AE285" s="55" t="n">
        <x:v>10589</x:v>
      </x:c>
      <x:c r="AF285" s="55" t="n">
        <x:v>10441</x:v>
      </x:c>
      <x:c r="AG285" s="55" t="n">
        <x:v>148</x:v>
      </x:c>
      <x:c r="AH285" s="55" t="n">
        <x:v>472</x:v>
      </x:c>
      <x:c r="AI285" s="55" t="n">
        <x:v>9969</x:v>
      </x:c>
      <x:c r="AJ285" s="55" t="n">
        <x:v>326</x:v>
      </x:c>
      <x:c r="AK285" s="55" t="n">
        <x:v>1155</x:v>
      </x:c>
      <x:c r="AL285" s="55" t="n">
        <x:v>1789</x:v>
      </x:c>
      <x:c r="AM285" s="55" t="n">
        <x:v>4874</x:v>
      </x:c>
      <x:c r="AN285" s="55" t="n">
        <x:v>2259</x:v>
      </x:c>
      <x:c r="AO285" s="55" t="n">
        <x:v>38</x:v>
      </x:c>
      <x:c r="AP285" s="55" t="n">
        <x:v>2481</x:v>
      </x:c>
      <x:c r="AQ285" s="55" t="n">
        <x:v>956</x:v>
      </x:c>
    </x:row>
    <x:row r="286">
      <x:c r="A286" s="54" t="str">
        <x:v>T2_CONCORDANT_DOMAIN</x:v>
      </x:c>
      <x:c r="B286" s="54" t="n">
        <x:v>280</x:v>
      </x:c>
      <x:c r="C286" s="54" t="str">
        <x:v>NYC-V2-R01</x:v>
      </x:c>
      <x:c r="D286" s="54" t="str">
        <x:v>V2</x:v>
      </x:c>
      <x:c r="E286" s="54" t="str">
        <x:v>ADMITTED</x:v>
      </x:c>
      <x:c r="F286" s="55" t="n">
        <x:v>28824</x:v>
      </x:c>
      <x:c r="G286" s="55" t="n">
        <x:v>6861</x:v>
      </x:c>
      <x:c r="H286" s="55" t="n">
        <x:v>2928</x:v>
      </x:c>
      <x:c r="I286" s="55" t="n">
        <x:v>594</x:v>
      </x:c>
      <x:c r="J286" s="55" t="n">
        <x:v>0</x:v>
      </x:c>
      <x:c r="K286" s="55" t="n">
        <x:v>27360</x:v>
      </x:c>
      <x:c r="L286" s="55" t="n">
        <x:v>3924</x:v>
      </x:c>
      <x:c r="M286" s="55" t="n">
        <x:v>0</x:v>
      </x:c>
      <x:c r="N286" s="55" t="n">
        <x:v>2652</x:v>
      </x:c>
      <x:c r="O286" s="55" t="n">
        <x:v>1272</x:v>
      </x:c>
      <x:c r="P286" s="55" t="n">
        <x:v>384</x:v>
      </x:c>
      <x:c r="Q286" s="55" t="n">
        <x:v>1222</x:v>
      </x:c>
      <x:c r="R286" s="55" t="n">
        <x:v>1027</x:v>
      </x:c>
      <x:c r="S286" s="55" t="n">
        <x:v>2082</x:v>
      </x:c>
      <x:c r="T286" s="55" t="n">
        <x:v>455</x:v>
      </x:c>
      <x:c r="U286" s="55" t="n">
        <x:v>1449</x:v>
      </x:c>
      <x:c r="V286" s="55" t="n">
        <x:v>9778</x:v>
      </x:c>
      <x:c r="W286" s="55" t="n">
        <x:v>6914</x:v>
      </x:c>
      <x:c r="X286" s="55" t="n">
        <x:v>2864</x:v>
      </x:c>
      <x:c r="Y286" s="55" t="n">
        <x:v>2499</x:v>
      </x:c>
      <x:c r="Z286" s="55" t="n">
        <x:v>3426</x:v>
      </x:c>
      <x:c r="AA286" s="55" t="n">
        <x:v>2928</x:v>
      </x:c>
      <x:c r="AB286" s="55" t="n">
        <x:v>752</x:v>
      </x:c>
      <x:c r="AC286" s="55" t="n">
        <x:v>7278</x:v>
      </x:c>
      <x:c r="AD286" s="55" t="n">
        <x:v>2301</x:v>
      </x:c>
      <x:c r="AE286" s="55" t="n">
        <x:v>9778</x:v>
      </x:c>
      <x:c r="AF286" s="55" t="n">
        <x:v>9778</x:v>
      </x:c>
      <x:c r="AG286" s="55" t="n">
        <x:v>0</x:v>
      </x:c>
      <x:c r="AH286" s="55" t="n">
        <x:v>126</x:v>
      </x:c>
      <x:c r="AI286" s="55" t="n">
        <x:v>9652</x:v>
      </x:c>
      <x:c r="AJ286" s="55" t="n">
        <x:v>201</x:v>
      </x:c>
      <x:c r="AK286" s="55" t="n">
        <x:v>682</x:v>
      </x:c>
      <x:c r="AL286" s="55" t="n">
        <x:v>1509</x:v>
      </x:c>
      <x:c r="AM286" s="55" t="n">
        <x:v>4627</x:v>
      </x:c>
      <x:c r="AN286" s="55" t="n">
        <x:v>2759</x:v>
      </x:c>
      <x:c r="AO286" s="55" t="n">
        <x:v>0</x:v>
      </x:c>
      <x:c r="AP286" s="55" t="n">
        <x:v>1800</x:v>
      </x:c>
      <x:c r="AQ286" s="55" t="n">
        <x:v>909</x:v>
      </x:c>
    </x:row>
    <x:row r="287">
      <x:c r="A287" s="54" t="str">
        <x:v>T2_CONCORDANT_DOMAIN</x:v>
      </x:c>
      <x:c r="B287" s="54" t="n">
        <x:v>281</x:v>
      </x:c>
      <x:c r="C287" s="54" t="str">
        <x:v>NYC-V2-R01</x:v>
      </x:c>
      <x:c r="D287" s="54" t="str">
        <x:v>V2</x:v>
      </x:c>
      <x:c r="E287" s="54" t="str">
        <x:v>ADMITTED</x:v>
      </x:c>
      <x:c r="F287" s="55" t="n">
        <x:v>29893</x:v>
      </x:c>
      <x:c r="G287" s="55" t="n">
        <x:v>5878</x:v>
      </x:c>
      <x:c r="H287" s="55" t="n">
        <x:v>2711</x:v>
      </x:c>
      <x:c r="I287" s="55" t="n">
        <x:v>1077</x:v>
      </x:c>
      <x:c r="J287" s="55" t="n">
        <x:v>65</x:v>
      </x:c>
      <x:c r="K287" s="55" t="n">
        <x:v>29893</x:v>
      </x:c>
      <x:c r="L287" s="55" t="n">
        <x:v>5761</x:v>
      </x:c>
      <x:c r="M287" s="55" t="n">
        <x:v>1589</x:v>
      </x:c>
      <x:c r="N287" s="55" t="n">
        <x:v>2462</x:v>
      </x:c>
      <x:c r="O287" s="55" t="n">
        <x:v>1710</x:v>
      </x:c>
      <x:c r="P287" s="55" t="n">
        <x:v>436</x:v>
      </x:c>
      <x:c r="Q287" s="55" t="n">
        <x:v>1653</x:v>
      </x:c>
      <x:c r="R287" s="55" t="n">
        <x:v>1446</x:v>
      </x:c>
      <x:c r="S287" s="55" t="n">
        <x:v>2210</x:v>
      </x:c>
      <x:c r="T287" s="55" t="n">
        <x:v>1091</x:v>
      </x:c>
      <x:c r="U287" s="55" t="n">
        <x:v>1426</x:v>
      </x:c>
      <x:c r="V287" s="55" t="n">
        <x:v>10717</x:v>
      </x:c>
      <x:c r="W287" s="55" t="n">
        <x:v>7715</x:v>
      </x:c>
      <x:c r="X287" s="55" t="n">
        <x:v>3002</x:v>
      </x:c>
      <x:c r="Y287" s="55" t="n">
        <x:v>2607</x:v>
      </x:c>
      <x:c r="Z287" s="55" t="n">
        <x:v>3804</x:v>
      </x:c>
      <x:c r="AA287" s="55" t="n">
        <x:v>2226</x:v>
      </x:c>
      <x:c r="AB287" s="55" t="n">
        <x:v>703</x:v>
      </x:c>
      <x:c r="AC287" s="55" t="n">
        <x:v>7566</x:v>
      </x:c>
      <x:c r="AD287" s="55" t="n">
        <x:v>2446</x:v>
      </x:c>
      <x:c r="AE287" s="55" t="n">
        <x:v>10757</x:v>
      </x:c>
      <x:c r="AF287" s="55" t="n">
        <x:v>10717</x:v>
      </x:c>
      <x:c r="AG287" s="55" t="n">
        <x:v>40</x:v>
      </x:c>
      <x:c r="AH287" s="55" t="n">
        <x:v>286</x:v>
      </x:c>
      <x:c r="AI287" s="55" t="n">
        <x:v>10431</x:v>
      </x:c>
      <x:c r="AJ287" s="55" t="n">
        <x:v>404</x:v>
      </x:c>
      <x:c r="AK287" s="55" t="n">
        <x:v>1239</x:v>
      </x:c>
      <x:c r="AL287" s="55" t="n">
        <x:v>1545</x:v>
      </x:c>
      <x:c r="AM287" s="55" t="n">
        <x:v>4640</x:v>
      </x:c>
      <x:c r="AN287" s="55" t="n">
        <x:v>2889</x:v>
      </x:c>
      <x:c r="AO287" s="55" t="n">
        <x:v>0</x:v>
      </x:c>
      <x:c r="AP287" s="55" t="n">
        <x:v>2060</x:v>
      </x:c>
      <x:c r="AQ287" s="55" t="n">
        <x:v>940</x:v>
      </x:c>
    </x:row>
    <x:row r="288">
      <x:c r="A288" s="54" t="str">
        <x:v>T2_CONCORDANT_DOMAIN</x:v>
      </x:c>
      <x:c r="B288" s="54" t="n">
        <x:v>282</x:v>
      </x:c>
      <x:c r="C288" s="54" t="str">
        <x:v>NYC-V2-R01</x:v>
      </x:c>
      <x:c r="D288" s="54" t="str">
        <x:v>V2</x:v>
      </x:c>
      <x:c r="E288" s="54" t="str">
        <x:v>ADMITTED</x:v>
      </x:c>
      <x:c r="F288" s="55" t="n">
        <x:v>31194</x:v>
      </x:c>
      <x:c r="G288" s="55" t="n">
        <x:v>8092</x:v>
      </x:c>
      <x:c r="H288" s="55" t="n">
        <x:v>3478</x:v>
      </x:c>
      <x:c r="I288" s="55" t="n">
        <x:v>1450</x:v>
      </x:c>
      <x:c r="J288" s="55" t="n">
        <x:v>328</x:v>
      </x:c>
      <x:c r="K288" s="55" t="n">
        <x:v>30222</x:v>
      </x:c>
      <x:c r="L288" s="55" t="n">
        <x:v>6337</x:v>
      </x:c>
      <x:c r="M288" s="55" t="n">
        <x:v>814</x:v>
      </x:c>
      <x:c r="N288" s="55" t="n">
        <x:v>3009</x:v>
      </x:c>
      <x:c r="O288" s="55" t="n">
        <x:v>2514</x:v>
      </x:c>
      <x:c r="P288" s="55" t="n">
        <x:v>1028</x:v>
      </x:c>
      <x:c r="Q288" s="55" t="n">
        <x:v>2322</x:v>
      </x:c>
      <x:c r="R288" s="55" t="n">
        <x:v>1926</x:v>
      </x:c>
      <x:c r="S288" s="55" t="n">
        <x:v>3531</x:v>
      </x:c>
      <x:c r="T288" s="55" t="n">
        <x:v>1142</x:v>
      </x:c>
      <x:c r="U288" s="55" t="n">
        <x:v>2222</x:v>
      </x:c>
      <x:c r="V288" s="55" t="n">
        <x:v>10498</x:v>
      </x:c>
      <x:c r="W288" s="55" t="n">
        <x:v>7146</x:v>
      </x:c>
      <x:c r="X288" s="55" t="n">
        <x:v>3352</x:v>
      </x:c>
      <x:c r="Y288" s="55" t="n">
        <x:v>2845</x:v>
      </x:c>
      <x:c r="Z288" s="55" t="n">
        <x:v>4388</x:v>
      </x:c>
      <x:c r="AA288" s="55" t="n">
        <x:v>2902</x:v>
      </x:c>
      <x:c r="AB288" s="55" t="n">
        <x:v>921</x:v>
      </x:c>
      <x:c r="AC288" s="55" t="n">
        <x:v>8573</x:v>
      </x:c>
      <x:c r="AD288" s="55" t="n">
        <x:v>2893</x:v>
      </x:c>
      <x:c r="AE288" s="55" t="n">
        <x:v>10589</x:v>
      </x:c>
      <x:c r="AF288" s="55" t="n">
        <x:v>10498</x:v>
      </x:c>
      <x:c r="AG288" s="55" t="n">
        <x:v>91</x:v>
      </x:c>
      <x:c r="AH288" s="55" t="n">
        <x:v>571</x:v>
      </x:c>
      <x:c r="AI288" s="55" t="n">
        <x:v>9927</x:v>
      </x:c>
      <x:c r="AJ288" s="55" t="n">
        <x:v>388</x:v>
      </x:c>
      <x:c r="AK288" s="55" t="n">
        <x:v>923</x:v>
      </x:c>
      <x:c r="AL288" s="55" t="n">
        <x:v>1534</x:v>
      </x:c>
      <x:c r="AM288" s="55" t="n">
        <x:v>4918</x:v>
      </x:c>
      <x:c r="AN288" s="55" t="n">
        <x:v>2735</x:v>
      </x:c>
      <x:c r="AO288" s="55" t="n">
        <x:v>0</x:v>
      </x:c>
      <x:c r="AP288" s="55" t="n">
        <x:v>2301</x:v>
      </x:c>
      <x:c r="AQ288" s="55" t="n">
        <x:v>957</x:v>
      </x:c>
    </x:row>
    <x:row r="289">
      <x:c r="A289" s="54" t="str">
        <x:v>T2_CONCORDANT_DOMAIN</x:v>
      </x:c>
      <x:c r="B289" s="54" t="n">
        <x:v>283</x:v>
      </x:c>
      <x:c r="C289" s="54" t="str">
        <x:v>NYC-V2-R01</x:v>
      </x:c>
      <x:c r="D289" s="54" t="str">
        <x:v>V2</x:v>
      </x:c>
      <x:c r="E289" s="54" t="str">
        <x:v>ADMITTED</x:v>
      </x:c>
      <x:c r="F289" s="55" t="n">
        <x:v>30709</x:v>
      </x:c>
      <x:c r="G289" s="55" t="n">
        <x:v>8451</x:v>
      </x:c>
      <x:c r="H289" s="55" t="n">
        <x:v>3096</x:v>
      </x:c>
      <x:c r="I289" s="55" t="n">
        <x:v>1118</x:v>
      </x:c>
      <x:c r="J289" s="55" t="n">
        <x:v>134</x:v>
      </x:c>
      <x:c r="K289" s="55" t="n">
        <x:v>30020</x:v>
      </x:c>
      <x:c r="L289" s="55" t="n">
        <x:v>4766</x:v>
      </x:c>
      <x:c r="M289" s="55" t="n">
        <x:v>643</x:v>
      </x:c>
      <x:c r="N289" s="55" t="n">
        <x:v>2620</x:v>
      </x:c>
      <x:c r="O289" s="55" t="n">
        <x:v>1503</x:v>
      </x:c>
      <x:c r="P289" s="55" t="n">
        <x:v>864</x:v>
      </x:c>
      <x:c r="Q289" s="55" t="n">
        <x:v>1463</x:v>
      </x:c>
      <x:c r="R289" s="55" t="n">
        <x:v>1836</x:v>
      </x:c>
      <x:c r="S289" s="55" t="n">
        <x:v>2682</x:v>
      </x:c>
      <x:c r="T289" s="55" t="n">
        <x:v>1715</x:v>
      </x:c>
      <x:c r="U289" s="55" t="n">
        <x:v>1905</x:v>
      </x:c>
      <x:c r="V289" s="55" t="n">
        <x:v>10526</x:v>
      </x:c>
      <x:c r="W289" s="55" t="n">
        <x:v>7388</x:v>
      </x:c>
      <x:c r="X289" s="55" t="n">
        <x:v>3138</x:v>
      </x:c>
      <x:c r="Y289" s="55" t="n">
        <x:v>2725</x:v>
      </x:c>
      <x:c r="Z289" s="55" t="n">
        <x:v>3892</x:v>
      </x:c>
      <x:c r="AA289" s="55" t="n">
        <x:v>3033</x:v>
      </x:c>
      <x:c r="AB289" s="55" t="n">
        <x:v>1246</x:v>
      </x:c>
      <x:c r="AC289" s="55" t="n">
        <x:v>7618</x:v>
      </x:c>
      <x:c r="AD289" s="55" t="n">
        <x:v>2348</x:v>
      </x:c>
      <x:c r="AE289" s="55" t="n">
        <x:v>10601</x:v>
      </x:c>
      <x:c r="AF289" s="55" t="n">
        <x:v>10526</x:v>
      </x:c>
      <x:c r="AG289" s="55" t="n">
        <x:v>75</x:v>
      </x:c>
      <x:c r="AH289" s="55" t="n">
        <x:v>418</x:v>
      </x:c>
      <x:c r="AI289" s="55" t="n">
        <x:v>10108</x:v>
      </x:c>
      <x:c r="AJ289" s="55" t="n">
        <x:v>413</x:v>
      </x:c>
      <x:c r="AK289" s="55" t="n">
        <x:v>1164</x:v>
      </x:c>
      <x:c r="AL289" s="55" t="n">
        <x:v>1561</x:v>
      </x:c>
      <x:c r="AM289" s="55" t="n">
        <x:v>5020</x:v>
      </x:c>
      <x:c r="AN289" s="55" t="n">
        <x:v>2312</x:v>
      </x:c>
      <x:c r="AO289" s="55" t="n">
        <x:v>56</x:v>
      </x:c>
      <x:c r="AP289" s="55" t="n">
        <x:v>2059</x:v>
      </x:c>
      <x:c r="AQ289" s="55" t="n">
        <x:v>974</x:v>
      </x:c>
    </x:row>
    <x:row r="290">
      <x:c r="A290" s="54" t="str">
        <x:v>T2_CONCORDANT_DOMAIN</x:v>
      </x:c>
      <x:c r="B290" s="54" t="n">
        <x:v>284</x:v>
      </x:c>
      <x:c r="C290" s="54" t="str">
        <x:v>NYC-V2-R01</x:v>
      </x:c>
      <x:c r="D290" s="54" t="str">
        <x:v>V2</x:v>
      </x:c>
      <x:c r="E290" s="54" t="str">
        <x:v>ADMITTED</x:v>
      </x:c>
      <x:c r="F290" s="55" t="n">
        <x:v>30253</x:v>
      </x:c>
      <x:c r="G290" s="55" t="n">
        <x:v>7050</x:v>
      </x:c>
      <x:c r="H290" s="55" t="n">
        <x:v>2845</x:v>
      </x:c>
      <x:c r="I290" s="55" t="n">
        <x:v>611</x:v>
      </x:c>
      <x:c r="J290" s="55" t="n">
        <x:v>125</x:v>
      </x:c>
      <x:c r="K290" s="55" t="n">
        <x:v>30253</x:v>
      </x:c>
      <x:c r="L290" s="55" t="n">
        <x:v>4138</x:v>
      </x:c>
      <x:c r="M290" s="55" t="n">
        <x:v>572</x:v>
      </x:c>
      <x:c r="N290" s="55" t="n">
        <x:v>2217</x:v>
      </x:c>
      <x:c r="O290" s="55" t="n">
        <x:v>1349</x:v>
      </x:c>
      <x:c r="P290" s="55" t="n">
        <x:v>737</x:v>
      </x:c>
      <x:c r="Q290" s="55" t="n">
        <x:v>1680</x:v>
      </x:c>
      <x:c r="R290" s="55" t="n">
        <x:v>1633</x:v>
      </x:c>
      <x:c r="S290" s="55" t="n">
        <x:v>2570</x:v>
      </x:c>
      <x:c r="T290" s="55" t="n">
        <x:v>1271</x:v>
      </x:c>
      <x:c r="U290" s="55" t="n">
        <x:v>1596</x:v>
      </x:c>
      <x:c r="V290" s="55" t="n">
        <x:v>9960</x:v>
      </x:c>
      <x:c r="W290" s="55" t="n">
        <x:v>6943</x:v>
      </x:c>
      <x:c r="X290" s="55" t="n">
        <x:v>3017</x:v>
      </x:c>
      <x:c r="Y290" s="55" t="n">
        <x:v>2546</x:v>
      </x:c>
      <x:c r="Z290" s="55" t="n">
        <x:v>3608</x:v>
      </x:c>
      <x:c r="AA290" s="55" t="n">
        <x:v>2845</x:v>
      </x:c>
      <x:c r="AB290" s="55" t="n">
        <x:v>1160</x:v>
      </x:c>
      <x:c r="AC290" s="55" t="n">
        <x:v>7718</x:v>
      </x:c>
      <x:c r="AD290" s="55" t="n">
        <x:v>3147</x:v>
      </x:c>
      <x:c r="AE290" s="55" t="n">
        <x:v>9960</x:v>
      </x:c>
      <x:c r="AF290" s="55" t="n">
        <x:v>9960</x:v>
      </x:c>
      <x:c r="AG290" s="55" t="n">
        <x:v>0</x:v>
      </x:c>
      <x:c r="AH290" s="55" t="n">
        <x:v>296</x:v>
      </x:c>
      <x:c r="AI290" s="55" t="n">
        <x:v>9664</x:v>
      </x:c>
      <x:c r="AJ290" s="55" t="n">
        <x:v>349</x:v>
      </x:c>
      <x:c r="AK290" s="55" t="n">
        <x:v>955</x:v>
      </x:c>
      <x:c r="AL290" s="55" t="n">
        <x:v>1382</x:v>
      </x:c>
      <x:c r="AM290" s="55" t="n">
        <x:v>4700</x:v>
      </x:c>
      <x:c r="AN290" s="55" t="n">
        <x:v>2574</x:v>
      </x:c>
      <x:c r="AO290" s="55" t="n">
        <x:v>0</x:v>
      </x:c>
      <x:c r="AP290" s="55" t="n">
        <x:v>2225</x:v>
      </x:c>
      <x:c r="AQ290" s="55" t="n">
        <x:v>901</x:v>
      </x:c>
    </x:row>
    <x:row r="291">
      <x:c r="A291" s="54" t="str">
        <x:v>T2_CONCORDANT_DOMAIN</x:v>
      </x:c>
      <x:c r="B291" s="54" t="n">
        <x:v>285</x:v>
      </x:c>
      <x:c r="C291" s="54" t="str">
        <x:v>NYC-V2-R01</x:v>
      </x:c>
      <x:c r="D291" s="54" t="str">
        <x:v>V2</x:v>
      </x:c>
      <x:c r="E291" s="54" t="str">
        <x:v>ADMITTED</x:v>
      </x:c>
      <x:c r="F291" s="55" t="n">
        <x:v>31232</x:v>
      </x:c>
      <x:c r="G291" s="55" t="n">
        <x:v>7827</x:v>
      </x:c>
      <x:c r="H291" s="55" t="n">
        <x:v>3311</x:v>
      </x:c>
      <x:c r="I291" s="55" t="n">
        <x:v>1594</x:v>
      </x:c>
      <x:c r="J291" s="55" t="n">
        <x:v>224</x:v>
      </x:c>
      <x:c r="K291" s="55" t="n">
        <x:v>30351</x:v>
      </x:c>
      <x:c r="L291" s="55" t="n">
        <x:v>5941</x:v>
      </x:c>
      <x:c r="M291" s="55" t="n">
        <x:v>1369</x:v>
      </x:c>
      <x:c r="N291" s="55" t="n">
        <x:v>2975</x:v>
      </x:c>
      <x:c r="O291" s="55" t="n">
        <x:v>1597</x:v>
      </x:c>
      <x:c r="P291" s="55" t="n">
        <x:v>1076</x:v>
      </x:c>
      <x:c r="Q291" s="55" t="n">
        <x:v>2047</x:v>
      </x:c>
      <x:c r="R291" s="55" t="n">
        <x:v>1802</x:v>
      </x:c>
      <x:c r="S291" s="55" t="n">
        <x:v>2529</x:v>
      </x:c>
      <x:c r="T291" s="55" t="n">
        <x:v>1189</x:v>
      </x:c>
      <x:c r="U291" s="55" t="n">
        <x:v>1908</x:v>
      </x:c>
      <x:c r="V291" s="55" t="n">
        <x:v>9845</x:v>
      </x:c>
      <x:c r="W291" s="55" t="n">
        <x:v>6893</x:v>
      </x:c>
      <x:c r="X291" s="55" t="n">
        <x:v>2952</x:v>
      </x:c>
      <x:c r="Y291" s="55" t="n">
        <x:v>2528</x:v>
      </x:c>
      <x:c r="Z291" s="55" t="n">
        <x:v>3349</x:v>
      </x:c>
      <x:c r="AA291" s="55" t="n">
        <x:v>3311</x:v>
      </x:c>
      <x:c r="AB291" s="55" t="n">
        <x:v>976</x:v>
      </x:c>
      <x:c r="AC291" s="55" t="n">
        <x:v>7908</x:v>
      </x:c>
      <x:c r="AD291" s="55" t="n">
        <x:v>2760</x:v>
      </x:c>
      <x:c r="AE291" s="55" t="n">
        <x:v>9876</x:v>
      </x:c>
      <x:c r="AF291" s="55" t="n">
        <x:v>9845</x:v>
      </x:c>
      <x:c r="AG291" s="55" t="n">
        <x:v>31</x:v>
      </x:c>
      <x:c r="AH291" s="55" t="n">
        <x:v>355</x:v>
      </x:c>
      <x:c r="AI291" s="55" t="n">
        <x:v>9490</x:v>
      </x:c>
      <x:c r="AJ291" s="55" t="n">
        <x:v>427</x:v>
      </x:c>
      <x:c r="AK291" s="55" t="n">
        <x:v>1008</x:v>
      </x:c>
      <x:c r="AL291" s="55" t="n">
        <x:v>1491</x:v>
      </x:c>
      <x:c r="AM291" s="55" t="n">
        <x:v>4553</x:v>
      </x:c>
      <x:c r="AN291" s="55" t="n">
        <x:v>2355</x:v>
      </x:c>
      <x:c r="AO291" s="55" t="n">
        <x:v>11</x:v>
      </x:c>
      <x:c r="AP291" s="55" t="n">
        <x:v>2268</x:v>
      </x:c>
      <x:c r="AQ291" s="55" t="n">
        <x:v>948</x:v>
      </x:c>
    </x:row>
    <x:row r="292">
      <x:c r="A292" s="54" t="str">
        <x:v>T2_CONCORDANT_DOMAIN</x:v>
      </x:c>
      <x:c r="B292" s="54" t="n">
        <x:v>286</x:v>
      </x:c>
      <x:c r="C292" s="54" t="str">
        <x:v>NYC-V2-R01</x:v>
      </x:c>
      <x:c r="D292" s="54" t="str">
        <x:v>V2</x:v>
      </x:c>
      <x:c r="E292" s="54" t="str">
        <x:v>ADMITTED</x:v>
      </x:c>
      <x:c r="F292" s="55" t="n">
        <x:v>30374</x:v>
      </x:c>
      <x:c r="G292" s="55" t="n">
        <x:v>6366</x:v>
      </x:c>
      <x:c r="H292" s="55" t="n">
        <x:v>3253</x:v>
      </x:c>
      <x:c r="I292" s="55" t="n">
        <x:v>1220</x:v>
      </x:c>
      <x:c r="J292" s="55" t="n">
        <x:v>170</x:v>
      </x:c>
      <x:c r="K292" s="55" t="n">
        <x:v>30374</x:v>
      </x:c>
      <x:c r="L292" s="55" t="n">
        <x:v>4676</x:v>
      </x:c>
      <x:c r="M292" s="55" t="n">
        <x:v>1167</x:v>
      </x:c>
      <x:c r="N292" s="55" t="n">
        <x:v>1992</x:v>
      </x:c>
      <x:c r="O292" s="55" t="n">
        <x:v>1517</x:v>
      </x:c>
      <x:c r="P292" s="55" t="n">
        <x:v>570</x:v>
      </x:c>
      <x:c r="Q292" s="55" t="n">
        <x:v>1968</x:v>
      </x:c>
      <x:c r="R292" s="55" t="n">
        <x:v>1793</x:v>
      </x:c>
      <x:c r="S292" s="55" t="n">
        <x:v>3026</x:v>
      </x:c>
      <x:c r="T292" s="55" t="n">
        <x:v>1010</x:v>
      </x:c>
      <x:c r="U292" s="55" t="n">
        <x:v>1426</x:v>
      </x:c>
      <x:c r="V292" s="55" t="n">
        <x:v>9989</x:v>
      </x:c>
      <x:c r="W292" s="55" t="n">
        <x:v>7261</x:v>
      </x:c>
      <x:c r="X292" s="55" t="n">
        <x:v>2728</x:v>
      </x:c>
      <x:c r="Y292" s="55" t="n">
        <x:v>2295</x:v>
      </x:c>
      <x:c r="Z292" s="55" t="n">
        <x:v>3603</x:v>
      </x:c>
      <x:c r="AA292" s="55" t="n">
        <x:v>2853</x:v>
      </x:c>
      <x:c r="AB292" s="55" t="n">
        <x:v>1007</x:v>
      </x:c>
      <x:c r="AC292" s="55" t="n">
        <x:v>7745</x:v>
      </x:c>
      <x:c r="AD292" s="55" t="n">
        <x:v>2896</x:v>
      </x:c>
      <x:c r="AE292" s="55" t="n">
        <x:v>10056</x:v>
      </x:c>
      <x:c r="AF292" s="55" t="n">
        <x:v>9989</x:v>
      </x:c>
      <x:c r="AG292" s="55" t="n">
        <x:v>67</x:v>
      </x:c>
      <x:c r="AH292" s="55" t="n">
        <x:v>197</x:v>
      </x:c>
      <x:c r="AI292" s="55" t="n">
        <x:v>9792</x:v>
      </x:c>
      <x:c r="AJ292" s="55" t="n">
        <x:v>161</x:v>
      </x:c>
      <x:c r="AK292" s="55" t="n">
        <x:v>801</x:v>
      </x:c>
      <x:c r="AL292" s="55" t="n">
        <x:v>1378</x:v>
      </x:c>
      <x:c r="AM292" s="55" t="n">
        <x:v>4572</x:v>
      </x:c>
      <x:c r="AN292" s="55" t="n">
        <x:v>3077</x:v>
      </x:c>
      <x:c r="AO292" s="55" t="n">
        <x:v>0</x:v>
      </x:c>
      <x:c r="AP292" s="55" t="n">
        <x:v>2361</x:v>
      </x:c>
      <x:c r="AQ292" s="55" t="n">
        <x:v>945</x:v>
      </x:c>
    </x:row>
    <x:row r="293">
      <x:c r="A293" s="54" t="str">
        <x:v>T2_CONCORDANT_DOMAIN</x:v>
      </x:c>
      <x:c r="B293" s="54" t="n">
        <x:v>287</x:v>
      </x:c>
      <x:c r="C293" s="54" t="str">
        <x:v>NYC-V2-R01</x:v>
      </x:c>
      <x:c r="D293" s="54" t="str">
        <x:v>V2</x:v>
      </x:c>
      <x:c r="E293" s="54" t="str">
        <x:v>ADMITTED</x:v>
      </x:c>
      <x:c r="F293" s="55" t="n">
        <x:v>32906</x:v>
      </x:c>
      <x:c r="G293" s="55" t="n">
        <x:v>8745</x:v>
      </x:c>
      <x:c r="H293" s="55" t="n">
        <x:v>3549</x:v>
      </x:c>
      <x:c r="I293" s="55" t="n">
        <x:v>1366</x:v>
      </x:c>
      <x:c r="J293" s="55" t="n">
        <x:v>273</x:v>
      </x:c>
      <x:c r="K293" s="55" t="n">
        <x:v>30805</x:v>
      </x:c>
      <x:c r="L293" s="55" t="n">
        <x:v>6911</x:v>
      </x:c>
      <x:c r="M293" s="55" t="n">
        <x:v>1397</x:v>
      </x:c>
      <x:c r="N293" s="55" t="n">
        <x:v>3453</x:v>
      </x:c>
      <x:c r="O293" s="55" t="n">
        <x:v>2061</x:v>
      </x:c>
      <x:c r="P293" s="55" t="n">
        <x:v>772</x:v>
      </x:c>
      <x:c r="Q293" s="55" t="n">
        <x:v>2270</x:v>
      </x:c>
      <x:c r="R293" s="55" t="n">
        <x:v>2412</x:v>
      </x:c>
      <x:c r="S293" s="55" t="n">
        <x:v>2787</x:v>
      </x:c>
      <x:c r="T293" s="55" t="n">
        <x:v>1264</x:v>
      </x:c>
      <x:c r="U293" s="55" t="n">
        <x:v>1884</x:v>
      </x:c>
      <x:c r="V293" s="55" t="n">
        <x:v>9886</x:v>
      </x:c>
      <x:c r="W293" s="55" t="n">
        <x:v>6420</x:v>
      </x:c>
      <x:c r="X293" s="55" t="n">
        <x:v>3466</x:v>
      </x:c>
      <x:c r="Y293" s="55" t="n">
        <x:v>3023</x:v>
      </x:c>
      <x:c r="Z293" s="55" t="n">
        <x:v>4011</x:v>
      </x:c>
      <x:c r="AA293" s="55" t="n">
        <x:v>3549</x:v>
      </x:c>
      <x:c r="AB293" s="55" t="n">
        <x:v>1525</x:v>
      </x:c>
      <x:c r="AC293" s="55" t="n">
        <x:v>8141</x:v>
      </x:c>
      <x:c r="AD293" s="55" t="n">
        <x:v>2652</x:v>
      </x:c>
      <x:c r="AE293" s="55" t="n">
        <x:v>9996</x:v>
      </x:c>
      <x:c r="AF293" s="55" t="n">
        <x:v>9886</x:v>
      </x:c>
      <x:c r="AG293" s="55" t="n">
        <x:v>110</x:v>
      </x:c>
      <x:c r="AH293" s="55" t="n">
        <x:v>538</x:v>
      </x:c>
      <x:c r="AI293" s="55" t="n">
        <x:v>9348</x:v>
      </x:c>
      <x:c r="AJ293" s="55" t="n">
        <x:v>253</x:v>
      </x:c>
      <x:c r="AK293" s="55" t="n">
        <x:v>1166</x:v>
      </x:c>
      <x:c r="AL293" s="55" t="n">
        <x:v>1376</x:v>
      </x:c>
      <x:c r="AM293" s="55" t="n">
        <x:v>4731</x:v>
      </x:c>
      <x:c r="AN293" s="55" t="n">
        <x:v>2360</x:v>
      </x:c>
      <x:c r="AO293" s="55" t="n">
        <x:v>0</x:v>
      </x:c>
      <x:c r="AP293" s="55" t="n">
        <x:v>2502</x:v>
      </x:c>
      <x:c r="AQ293" s="55" t="n">
        <x:v>982</x:v>
      </x:c>
    </x:row>
    <x:row r="294">
      <x:c r="A294" s="54" t="str">
        <x:v>T2_CONCORDANT_DOMAIN</x:v>
      </x:c>
      <x:c r="B294" s="54" t="n">
        <x:v>288</x:v>
      </x:c>
      <x:c r="C294" s="54" t="str">
        <x:v>NYC-V2-R01</x:v>
      </x:c>
      <x:c r="D294" s="54" t="str">
        <x:v>V2</x:v>
      </x:c>
      <x:c r="E294" s="54" t="str">
        <x:v>ADMITTED</x:v>
      </x:c>
      <x:c r="F294" s="55" t="n">
        <x:v>31200</x:v>
      </x:c>
      <x:c r="G294" s="55" t="n">
        <x:v>8001</x:v>
      </x:c>
      <x:c r="H294" s="55" t="n">
        <x:v>3197</x:v>
      </x:c>
      <x:c r="I294" s="55" t="n">
        <x:v>1155</x:v>
      </x:c>
      <x:c r="J294" s="55" t="n">
        <x:v>135</x:v>
      </x:c>
      <x:c r="K294" s="55" t="n">
        <x:v>30763</x:v>
      </x:c>
      <x:c r="L294" s="55" t="n">
        <x:v>6076</x:v>
      </x:c>
      <x:c r="M294" s="55" t="n">
        <x:v>1774</x:v>
      </x:c>
      <x:c r="N294" s="55" t="n">
        <x:v>2736</x:v>
      </x:c>
      <x:c r="O294" s="55" t="n">
        <x:v>1566</x:v>
      </x:c>
      <x:c r="P294" s="55" t="n">
        <x:v>930</x:v>
      </x:c>
      <x:c r="Q294" s="55" t="n">
        <x:v>3249</x:v>
      </x:c>
      <x:c r="R294" s="55" t="n">
        <x:v>2185</x:v>
      </x:c>
      <x:c r="S294" s="55" t="n">
        <x:v>2976</x:v>
      </x:c>
      <x:c r="T294" s="55" t="n">
        <x:v>1635</x:v>
      </x:c>
      <x:c r="U294" s="55" t="n">
        <x:v>2183</x:v>
      </x:c>
      <x:c r="V294" s="55" t="n">
        <x:v>10137</x:v>
      </x:c>
      <x:c r="W294" s="55" t="n">
        <x:v>6689</x:v>
      </x:c>
      <x:c r="X294" s="55" t="n">
        <x:v>3448</x:v>
      </x:c>
      <x:c r="Y294" s="55" t="n">
        <x:v>2869</x:v>
      </x:c>
      <x:c r="Z294" s="55" t="n">
        <x:v>3719</x:v>
      </x:c>
      <x:c r="AA294" s="55" t="n">
        <x:v>3197</x:v>
      </x:c>
      <x:c r="AB294" s="55" t="n">
        <x:v>881</x:v>
      </x:c>
      <x:c r="AC294" s="55" t="n">
        <x:v>8410</x:v>
      </x:c>
      <x:c r="AD294" s="55" t="n">
        <x:v>2556</x:v>
      </x:c>
      <x:c r="AE294" s="55" t="n">
        <x:v>10278</x:v>
      </x:c>
      <x:c r="AF294" s="55" t="n">
        <x:v>10137</x:v>
      </x:c>
      <x:c r="AG294" s="55" t="n">
        <x:v>141</x:v>
      </x:c>
      <x:c r="AH294" s="55" t="n">
        <x:v>467</x:v>
      </x:c>
      <x:c r="AI294" s="55" t="n">
        <x:v>9670</x:v>
      </x:c>
      <x:c r="AJ294" s="55" t="n">
        <x:v>339</x:v>
      </x:c>
      <x:c r="AK294" s="55" t="n">
        <x:v>1131</x:v>
      </x:c>
      <x:c r="AL294" s="55" t="n">
        <x:v>1859</x:v>
      </x:c>
      <x:c r="AM294" s="55" t="n">
        <x:v>4562</x:v>
      </x:c>
      <x:c r="AN294" s="55" t="n">
        <x:v>2244</x:v>
      </x:c>
      <x:c r="AO294" s="55" t="n">
        <x:v>2</x:v>
      </x:c>
      <x:c r="AP294" s="55" t="n">
        <x:v>2496</x:v>
      </x:c>
      <x:c r="AQ294" s="55" t="n">
        <x:v>951</x:v>
      </x:c>
    </x:row>
    <x:row r="295">
      <x:c r="A295" s="54" t="str">
        <x:v>T2_CONCORDANT_DOMAIN</x:v>
      </x:c>
      <x:c r="B295" s="54" t="n">
        <x:v>289</x:v>
      </x:c>
      <x:c r="C295" s="54" t="str">
        <x:v>NYC-V2-R01</x:v>
      </x:c>
      <x:c r="D295" s="54" t="str">
        <x:v>V2</x:v>
      </x:c>
      <x:c r="E295" s="54" t="str">
        <x:v>ADMITTED</x:v>
      </x:c>
      <x:c r="F295" s="55" t="n">
        <x:v>32430</x:v>
      </x:c>
      <x:c r="G295" s="55" t="n">
        <x:v>8888</x:v>
      </x:c>
      <x:c r="H295" s="55" t="n">
        <x:v>3494</x:v>
      </x:c>
      <x:c r="I295" s="55" t="n">
        <x:v>1438</x:v>
      </x:c>
      <x:c r="J295" s="55" t="n">
        <x:v>214</x:v>
      </x:c>
      <x:c r="K295" s="55" t="n">
        <x:v>29561</x:v>
      </x:c>
      <x:c r="L295" s="55" t="n">
        <x:v>5218</x:v>
      </x:c>
      <x:c r="M295" s="55" t="n">
        <x:v>825</x:v>
      </x:c>
      <x:c r="N295" s="55" t="n">
        <x:v>2614</x:v>
      </x:c>
      <x:c r="O295" s="55" t="n">
        <x:v>1779</x:v>
      </x:c>
      <x:c r="P295" s="55" t="n">
        <x:v>745</x:v>
      </x:c>
      <x:c r="Q295" s="55" t="n">
        <x:v>1656</x:v>
      </x:c>
      <x:c r="R295" s="55" t="n">
        <x:v>2317</x:v>
      </x:c>
      <x:c r="S295" s="55" t="n">
        <x:v>3193</x:v>
      </x:c>
      <x:c r="T295" s="55" t="n">
        <x:v>1393</x:v>
      </x:c>
      <x:c r="U295" s="55" t="n">
        <x:v>2304</x:v>
      </x:c>
      <x:c r="V295" s="55" t="n">
        <x:v>11124</x:v>
      </x:c>
      <x:c r="W295" s="55" t="n">
        <x:v>7949</x:v>
      </x:c>
      <x:c r="X295" s="55" t="n">
        <x:v>3175</x:v>
      </x:c>
      <x:c r="Y295" s="55" t="n">
        <x:v>2797</x:v>
      </x:c>
      <x:c r="Z295" s="55" t="n">
        <x:v>4546</x:v>
      </x:c>
      <x:c r="AA295" s="55" t="n">
        <x:v>3494</x:v>
      </x:c>
      <x:c r="AB295" s="55" t="n">
        <x:v>1359</x:v>
      </x:c>
      <x:c r="AC295" s="55" t="n">
        <x:v>8199</x:v>
      </x:c>
      <x:c r="AD295" s="55" t="n">
        <x:v>3230</x:v>
      </x:c>
      <x:c r="AE295" s="55" t="n">
        <x:v>11310</x:v>
      </x:c>
      <x:c r="AF295" s="55" t="n">
        <x:v>11124</x:v>
      </x:c>
      <x:c r="AG295" s="55" t="n">
        <x:v>186</x:v>
      </x:c>
      <x:c r="AH295" s="55" t="n">
        <x:v>597</x:v>
      </x:c>
      <x:c r="AI295" s="55" t="n">
        <x:v>10527</x:v>
      </x:c>
      <x:c r="AJ295" s="55" t="n">
        <x:v>448</x:v>
      </x:c>
      <x:c r="AK295" s="55" t="n">
        <x:v>969</x:v>
      </x:c>
      <x:c r="AL295" s="55" t="n">
        <x:v>1919</x:v>
      </x:c>
      <x:c r="AM295" s="55" t="n">
        <x:v>4868</x:v>
      </x:c>
      <x:c r="AN295" s="55" t="n">
        <x:v>2920</x:v>
      </x:c>
      <x:c r="AO295" s="55" t="n">
        <x:v>0</x:v>
      </x:c>
      <x:c r="AP295" s="55" t="n">
        <x:v>2806</x:v>
      </x:c>
      <x:c r="AQ295" s="55" t="n">
        <x:v>948</x:v>
      </x:c>
    </x:row>
    <x:row r="296">
      <x:c r="A296" s="54" t="str">
        <x:v>T2_CONCORDANT_DOMAIN</x:v>
      </x:c>
      <x:c r="B296" s="54" t="n">
        <x:v>290</x:v>
      </x:c>
      <x:c r="C296" s="54" t="str">
        <x:v>NYC-V2-R01</x:v>
      </x:c>
      <x:c r="D296" s="54" t="str">
        <x:v>V2</x:v>
      </x:c>
      <x:c r="E296" s="54" t="str">
        <x:v>ADMITTED</x:v>
      </x:c>
      <x:c r="F296" s="55" t="n">
        <x:v>31374</x:v>
      </x:c>
      <x:c r="G296" s="55" t="n">
        <x:v>5631</x:v>
      </x:c>
      <x:c r="H296" s="55" t="n">
        <x:v>3033</x:v>
      </x:c>
      <x:c r="I296" s="55" t="n">
        <x:v>1425</x:v>
      </x:c>
      <x:c r="J296" s="55" t="n">
        <x:v>93</x:v>
      </x:c>
      <x:c r="K296" s="55" t="n">
        <x:v>31374</x:v>
      </x:c>
      <x:c r="L296" s="55" t="n">
        <x:v>5587</x:v>
      </x:c>
      <x:c r="M296" s="55" t="n">
        <x:v>1302</x:v>
      </x:c>
      <x:c r="N296" s="55" t="n">
        <x:v>2858</x:v>
      </x:c>
      <x:c r="O296" s="55" t="n">
        <x:v>1427</x:v>
      </x:c>
      <x:c r="P296" s="55" t="n">
        <x:v>577</x:v>
      </x:c>
      <x:c r="Q296" s="55" t="n">
        <x:v>1614</x:v>
      </x:c>
      <x:c r="R296" s="55" t="n">
        <x:v>2096</x:v>
      </x:c>
      <x:c r="S296" s="55" t="n">
        <x:v>2912</x:v>
      </x:c>
      <x:c r="T296" s="55" t="n">
        <x:v>1543</x:v>
      </x:c>
      <x:c r="U296" s="55" t="n">
        <x:v>1750</x:v>
      </x:c>
      <x:c r="V296" s="55" t="n">
        <x:v>10712</x:v>
      </x:c>
      <x:c r="W296" s="55" t="n">
        <x:v>7302</x:v>
      </x:c>
      <x:c r="X296" s="55" t="n">
        <x:v>3410</x:v>
      </x:c>
      <x:c r="Y296" s="55" t="n">
        <x:v>3111</x:v>
      </x:c>
      <x:c r="Z296" s="55" t="n">
        <x:v>3291</x:v>
      </x:c>
      <x:c r="AA296" s="55" t="n">
        <x:v>2909</x:v>
      </x:c>
      <x:c r="AB296" s="55" t="n">
        <x:v>948</x:v>
      </x:c>
      <x:c r="AC296" s="55" t="n">
        <x:v>8223</x:v>
      </x:c>
      <x:c r="AD296" s="55" t="n">
        <x:v>3121</x:v>
      </x:c>
      <x:c r="AE296" s="55" t="n">
        <x:v>10774</x:v>
      </x:c>
      <x:c r="AF296" s="55" t="n">
        <x:v>10712</x:v>
      </x:c>
      <x:c r="AG296" s="55" t="n">
        <x:v>62</x:v>
      </x:c>
      <x:c r="AH296" s="55" t="n">
        <x:v>147</x:v>
      </x:c>
      <x:c r="AI296" s="55" t="n">
        <x:v>10565</x:v>
      </x:c>
      <x:c r="AJ296" s="55" t="n">
        <x:v>414</x:v>
      </x:c>
      <x:c r="AK296" s="55" t="n">
        <x:v>1004</x:v>
      </x:c>
      <x:c r="AL296" s="55" t="n">
        <x:v>1576</x:v>
      </x:c>
      <x:c r="AM296" s="55" t="n">
        <x:v>5268</x:v>
      </x:c>
      <x:c r="AN296" s="55" t="n">
        <x:v>2421</x:v>
      </x:c>
      <x:c r="AO296" s="55" t="n">
        <x:v>29</x:v>
      </x:c>
      <x:c r="AP296" s="55" t="n">
        <x:v>2626</x:v>
      </x:c>
      <x:c r="AQ296" s="55" t="n">
        <x:v>968</x:v>
      </x:c>
    </x:row>
    <x:row r="297">
      <x:c r="A297" s="54" t="str">
        <x:v>T2_CONCORDANT_DOMAIN</x:v>
      </x:c>
      <x:c r="B297" s="54" t="n">
        <x:v>291</x:v>
      </x:c>
      <x:c r="C297" s="54" t="str">
        <x:v>NYC-V2-R01</x:v>
      </x:c>
      <x:c r="D297" s="54" t="str">
        <x:v>V2</x:v>
      </x:c>
      <x:c r="E297" s="54" t="str">
        <x:v>ADMITTED</x:v>
      </x:c>
      <x:c r="F297" s="55" t="n">
        <x:v>31398</x:v>
      </x:c>
      <x:c r="G297" s="55" t="n">
        <x:v>8788</x:v>
      </x:c>
      <x:c r="H297" s="55" t="n">
        <x:v>3264</x:v>
      </x:c>
      <x:c r="I297" s="55" t="n">
        <x:v>1057</x:v>
      </x:c>
      <x:c r="J297" s="55" t="n">
        <x:v>173</x:v>
      </x:c>
      <x:c r="K297" s="55" t="n">
        <x:v>29468</x:v>
      </x:c>
      <x:c r="L297" s="55" t="n">
        <x:v>5449</x:v>
      </x:c>
      <x:c r="M297" s="55" t="n">
        <x:v>961</x:v>
      </x:c>
      <x:c r="N297" s="55" t="n">
        <x:v>2573</x:v>
      </x:c>
      <x:c r="O297" s="55" t="n">
        <x:v>1915</x:v>
      </x:c>
      <x:c r="P297" s="55" t="n">
        <x:v>639</x:v>
      </x:c>
      <x:c r="Q297" s="55" t="n">
        <x:v>1912</x:v>
      </x:c>
      <x:c r="R297" s="55" t="n">
        <x:v>1927</x:v>
      </x:c>
      <x:c r="S297" s="55" t="n">
        <x:v>2785</x:v>
      </x:c>
      <x:c r="T297" s="55" t="n">
        <x:v>1021</x:v>
      </x:c>
      <x:c r="U297" s="55" t="n">
        <x:v>1819</x:v>
      </x:c>
      <x:c r="V297" s="55" t="n">
        <x:v>10436</x:v>
      </x:c>
      <x:c r="W297" s="55" t="n">
        <x:v>7585</x:v>
      </x:c>
      <x:c r="X297" s="55" t="n">
        <x:v>2851</x:v>
      </x:c>
      <x:c r="Y297" s="55" t="n">
        <x:v>2533</x:v>
      </x:c>
      <x:c r="Z297" s="55" t="n">
        <x:v>3812</x:v>
      </x:c>
      <x:c r="AA297" s="55" t="n">
        <x:v>3264</x:v>
      </x:c>
      <x:c r="AB297" s="55" t="n">
        <x:v>1041</x:v>
      </x:c>
      <x:c r="AC297" s="55" t="n">
        <x:v>7712</x:v>
      </x:c>
      <x:c r="AD297" s="55" t="n">
        <x:v>2835</x:v>
      </x:c>
      <x:c r="AE297" s="55" t="n">
        <x:v>10457</x:v>
      </x:c>
      <x:c r="AF297" s="55" t="n">
        <x:v>10436</x:v>
      </x:c>
      <x:c r="AG297" s="55" t="n">
        <x:v>21</x:v>
      </x:c>
      <x:c r="AH297" s="55" t="n">
        <x:v>282</x:v>
      </x:c>
      <x:c r="AI297" s="55" t="n">
        <x:v>10154</x:v>
      </x:c>
      <x:c r="AJ297" s="55" t="n">
        <x:v>424</x:v>
      </x:c>
      <x:c r="AK297" s="55" t="n">
        <x:v>617</x:v>
      </x:c>
      <x:c r="AL297" s="55" t="n">
        <x:v>1577</x:v>
      </x:c>
      <x:c r="AM297" s="55" t="n">
        <x:v>4888</x:v>
      </x:c>
      <x:c r="AN297" s="55" t="n">
        <x:v>2911</x:v>
      </x:c>
      <x:c r="AO297" s="55" t="n">
        <x:v>19</x:v>
      </x:c>
      <x:c r="AP297" s="55" t="n">
        <x:v>2479</x:v>
      </x:c>
      <x:c r="AQ297" s="55" t="n">
        <x:v>998</x:v>
      </x:c>
    </x:row>
    <x:row r="298">
      <x:c r="A298" s="54" t="str">
        <x:v>T2_CONCORDANT_DOMAIN</x:v>
      </x:c>
      <x:c r="B298" s="54" t="n">
        <x:v>292</x:v>
      </x:c>
      <x:c r="C298" s="54" t="str">
        <x:v>NYC-V2-R01</x:v>
      </x:c>
      <x:c r="D298" s="54" t="str">
        <x:v>V2</x:v>
      </x:c>
      <x:c r="E298" s="54" t="str">
        <x:v>ADMITTED</x:v>
      </x:c>
      <x:c r="F298" s="55" t="n">
        <x:v>32118</x:v>
      </x:c>
      <x:c r="G298" s="55" t="n">
        <x:v>8457</x:v>
      </x:c>
      <x:c r="H298" s="55" t="n">
        <x:v>3310</x:v>
      </x:c>
      <x:c r="I298" s="55" t="n">
        <x:v>1132</x:v>
      </x:c>
      <x:c r="J298" s="55" t="n">
        <x:v>251</x:v>
      </x:c>
      <x:c r="K298" s="55" t="n">
        <x:v>30448</x:v>
      </x:c>
      <x:c r="L298" s="55" t="n">
        <x:v>7132</x:v>
      </x:c>
      <x:c r="M298" s="55" t="n">
        <x:v>2088</x:v>
      </x:c>
      <x:c r="N298" s="55" t="n">
        <x:v>3062</x:v>
      </x:c>
      <x:c r="O298" s="55" t="n">
        <x:v>1982</x:v>
      </x:c>
      <x:c r="P298" s="55" t="n">
        <x:v>923</x:v>
      </x:c>
      <x:c r="Q298" s="55" t="n">
        <x:v>2716</x:v>
      </x:c>
      <x:c r="R298" s="55" t="n">
        <x:v>1715</x:v>
      </x:c>
      <x:c r="S298" s="55" t="n">
        <x:v>2993</x:v>
      </x:c>
      <x:c r="T298" s="55" t="n">
        <x:v>1673</x:v>
      </x:c>
      <x:c r="U298" s="55" t="n">
        <x:v>1965</x:v>
      </x:c>
      <x:c r="V298" s="55" t="n">
        <x:v>10639</x:v>
      </x:c>
      <x:c r="W298" s="55" t="n">
        <x:v>6987</x:v>
      </x:c>
      <x:c r="X298" s="55" t="n">
        <x:v>3652</x:v>
      </x:c>
      <x:c r="Y298" s="55" t="n">
        <x:v>3051</x:v>
      </x:c>
      <x:c r="Z298" s="55" t="n">
        <x:v>3900</x:v>
      </x:c>
      <x:c r="AA298" s="55" t="n">
        <x:v>3163</x:v>
      </x:c>
      <x:c r="AB298" s="55" t="n">
        <x:v>1496</x:v>
      </x:c>
      <x:c r="AC298" s="55" t="n">
        <x:v>7918</x:v>
      </x:c>
      <x:c r="AD298" s="55" t="n">
        <x:v>2653</x:v>
      </x:c>
      <x:c r="AE298" s="55" t="n">
        <x:v>10751</x:v>
      </x:c>
      <x:c r="AF298" s="55" t="n">
        <x:v>10639</x:v>
      </x:c>
      <x:c r="AG298" s="55" t="n">
        <x:v>112</x:v>
      </x:c>
      <x:c r="AH298" s="55" t="n">
        <x:v>481</x:v>
      </x:c>
      <x:c r="AI298" s="55" t="n">
        <x:v>10158</x:v>
      </x:c>
      <x:c r="AJ298" s="55" t="n">
        <x:v>349</x:v>
      </x:c>
      <x:c r="AK298" s="55" t="n">
        <x:v>961</x:v>
      </x:c>
      <x:c r="AL298" s="55" t="n">
        <x:v>1290</x:v>
      </x:c>
      <x:c r="AM298" s="55" t="n">
        <x:v>5202</x:v>
      </x:c>
      <x:c r="AN298" s="55" t="n">
        <x:v>2820</x:v>
      </x:c>
      <x:c r="AO298" s="55" t="n">
        <x:v>17</x:v>
      </x:c>
      <x:c r="AP298" s="55" t="n">
        <x:v>2436</x:v>
      </x:c>
      <x:c r="AQ298" s="55" t="n">
        <x:v>986</x:v>
      </x:c>
    </x:row>
    <x:row r="299">
      <x:c r="A299" s="54" t="str">
        <x:v>T2_CONCORDANT_DOMAIN</x:v>
      </x:c>
      <x:c r="B299" s="54" t="n">
        <x:v>293</x:v>
      </x:c>
      <x:c r="C299" s="54" t="str">
        <x:v>NYC-V2-R01</x:v>
      </x:c>
      <x:c r="D299" s="54" t="str">
        <x:v>V2</x:v>
      </x:c>
      <x:c r="E299" s="54" t="str">
        <x:v>ADMITTED</x:v>
      </x:c>
      <x:c r="F299" s="55" t="n">
        <x:v>31077</x:v>
      </x:c>
      <x:c r="G299" s="55" t="n">
        <x:v>7119</x:v>
      </x:c>
      <x:c r="H299" s="55" t="n">
        <x:v>3150</x:v>
      </x:c>
      <x:c r="I299" s="55" t="n">
        <x:v>1084</x:v>
      </x:c>
      <x:c r="J299" s="55" t="n">
        <x:v>13</x:v>
      </x:c>
      <x:c r="K299" s="55" t="n">
        <x:v>31077</x:v>
      </x:c>
      <x:c r="L299" s="55" t="n">
        <x:v>6452</x:v>
      </x:c>
      <x:c r="M299" s="55" t="n">
        <x:v>1834</x:v>
      </x:c>
      <x:c r="N299" s="55" t="n">
        <x:v>2617</x:v>
      </x:c>
      <x:c r="O299" s="55" t="n">
        <x:v>2001</x:v>
      </x:c>
      <x:c r="P299" s="55" t="n">
        <x:v>1025</x:v>
      </x:c>
      <x:c r="Q299" s="55" t="n">
        <x:v>2617</x:v>
      </x:c>
      <x:c r="R299" s="55" t="n">
        <x:v>2056</x:v>
      </x:c>
      <x:c r="S299" s="55" t="n">
        <x:v>3175</x:v>
      </x:c>
      <x:c r="T299" s="55" t="n">
        <x:v>1550</x:v>
      </x:c>
      <x:c r="U299" s="55" t="n">
        <x:v>2230</x:v>
      </x:c>
      <x:c r="V299" s="55" t="n">
        <x:v>10742</x:v>
      </x:c>
      <x:c r="W299" s="55" t="n">
        <x:v>7762</x:v>
      </x:c>
      <x:c r="X299" s="55" t="n">
        <x:v>2980</x:v>
      </x:c>
      <x:c r="Y299" s="55" t="n">
        <x:v>2482</x:v>
      </x:c>
      <x:c r="Z299" s="55" t="n">
        <x:v>3716</x:v>
      </x:c>
      <x:c r="AA299" s="55" t="n">
        <x:v>2897</x:v>
      </x:c>
      <x:c r="AB299" s="55" t="n">
        <x:v>1257</x:v>
      </x:c>
      <x:c r="AC299" s="55" t="n">
        <x:v>8578</x:v>
      </x:c>
      <x:c r="AD299" s="55" t="n">
        <x:v>2979</x:v>
      </x:c>
      <x:c r="AE299" s="55" t="n">
        <x:v>10871</x:v>
      </x:c>
      <x:c r="AF299" s="55" t="n">
        <x:v>10742</x:v>
      </x:c>
      <x:c r="AG299" s="55" t="n">
        <x:v>129</x:v>
      </x:c>
      <x:c r="AH299" s="55" t="n">
        <x:v>420</x:v>
      </x:c>
      <x:c r="AI299" s="55" t="n">
        <x:v>10322</x:v>
      </x:c>
      <x:c r="AJ299" s="55" t="n">
        <x:v>319</x:v>
      </x:c>
      <x:c r="AK299" s="55" t="n">
        <x:v>1205</x:v>
      </x:c>
      <x:c r="AL299" s="55" t="n">
        <x:v>1639</x:v>
      </x:c>
      <x:c r="AM299" s="55" t="n">
        <x:v>4621</x:v>
      </x:c>
      <x:c r="AN299" s="55" t="n">
        <x:v>2950</x:v>
      </x:c>
      <x:c r="AO299" s="55" t="n">
        <x:v>8</x:v>
      </x:c>
      <x:c r="AP299" s="55" t="n">
        <x:v>2748</x:v>
      </x:c>
      <x:c r="AQ299" s="55" t="n">
        <x:v>971</x:v>
      </x:c>
    </x:row>
    <x:row r="300">
      <x:c r="A300" s="54" t="str">
        <x:v>T2_CONCORDANT_DOMAIN</x:v>
      </x:c>
      <x:c r="B300" s="54" t="n">
        <x:v>294</x:v>
      </x:c>
      <x:c r="C300" s="54" t="str">
        <x:v>NYC-V2-R01</x:v>
      </x:c>
      <x:c r="D300" s="54" t="str">
        <x:v>V2</x:v>
      </x:c>
      <x:c r="E300" s="54" t="str">
        <x:v>ADMITTED</x:v>
      </x:c>
      <x:c r="F300" s="55" t="n">
        <x:v>32894</x:v>
      </x:c>
      <x:c r="G300" s="55" t="n">
        <x:v>6417</x:v>
      </x:c>
      <x:c r="H300" s="55" t="n">
        <x:v>3769</x:v>
      </x:c>
      <x:c r="I300" s="55" t="n">
        <x:v>1516</x:v>
      </x:c>
      <x:c r="J300" s="55" t="n">
        <x:v>199</x:v>
      </x:c>
      <x:c r="K300" s="55" t="n">
        <x:v>32894</x:v>
      </x:c>
      <x:c r="L300" s="55" t="n">
        <x:v>6186</x:v>
      </x:c>
      <x:c r="M300" s="55" t="n">
        <x:v>1559</x:v>
      </x:c>
      <x:c r="N300" s="55" t="n">
        <x:v>2853</x:v>
      </x:c>
      <x:c r="O300" s="55" t="n">
        <x:v>1774</x:v>
      </x:c>
      <x:c r="P300" s="55" t="n">
        <x:v>984</x:v>
      </x:c>
      <x:c r="Q300" s="55" t="n">
        <x:v>2153</x:v>
      </x:c>
      <x:c r="R300" s="55" t="n">
        <x:v>1962</x:v>
      </x:c>
      <x:c r="S300" s="55" t="n">
        <x:v>2549</x:v>
      </x:c>
      <x:c r="T300" s="55" t="n">
        <x:v>1326</x:v>
      </x:c>
      <x:c r="U300" s="55" t="n">
        <x:v>2788</x:v>
      </x:c>
      <x:c r="V300" s="55" t="n">
        <x:v>10435</x:v>
      </x:c>
      <x:c r="W300" s="55" t="n">
        <x:v>7657</x:v>
      </x:c>
      <x:c r="X300" s="55" t="n">
        <x:v>2778</x:v>
      </x:c>
      <x:c r="Y300" s="55" t="n">
        <x:v>2385</x:v>
      </x:c>
      <x:c r="Z300" s="55" t="n">
        <x:v>3764</x:v>
      </x:c>
      <x:c r="AA300" s="55" t="n">
        <x:v>2779</x:v>
      </x:c>
      <x:c r="AB300" s="55" t="n">
        <x:v>1148</x:v>
      </x:c>
      <x:c r="AC300" s="55" t="n">
        <x:v>7418</x:v>
      </x:c>
      <x:c r="AD300" s="55" t="n">
        <x:v>3420</x:v>
      </x:c>
      <x:c r="AE300" s="55" t="n">
        <x:v>10541</x:v>
      </x:c>
      <x:c r="AF300" s="55" t="n">
        <x:v>10435</x:v>
      </x:c>
      <x:c r="AG300" s="55" t="n">
        <x:v>106</x:v>
      </x:c>
      <x:c r="AH300" s="55" t="n">
        <x:v>415</x:v>
      </x:c>
      <x:c r="AI300" s="55" t="n">
        <x:v>10020</x:v>
      </x:c>
      <x:c r="AJ300" s="55" t="n">
        <x:v>419</x:v>
      </x:c>
      <x:c r="AK300" s="55" t="n">
        <x:v>1129</x:v>
      </x:c>
      <x:c r="AL300" s="55" t="n">
        <x:v>1578</x:v>
      </x:c>
      <x:c r="AM300" s="55" t="n">
        <x:v>4511</x:v>
      </x:c>
      <x:c r="AN300" s="55" t="n">
        <x:v>2761</x:v>
      </x:c>
      <x:c r="AO300" s="55" t="n">
        <x:v>37</x:v>
      </x:c>
      <x:c r="AP300" s="55" t="n">
        <x:v>2286</x:v>
      </x:c>
      <x:c r="AQ300" s="55" t="n">
        <x:v>1005</x:v>
      </x:c>
    </x:row>
    <x:row r="301">
      <x:c r="A301" s="54" t="str">
        <x:v>T2_CONCORDANT_DOMAIN</x:v>
      </x:c>
      <x:c r="B301" s="54" t="n">
        <x:v>295</x:v>
      </x:c>
      <x:c r="C301" s="54" t="str">
        <x:v>NYC-V2-R01</x:v>
      </x:c>
      <x:c r="D301" s="54" t="str">
        <x:v>V2</x:v>
      </x:c>
      <x:c r="E301" s="54" t="str">
        <x:v>ADMITTED</x:v>
      </x:c>
      <x:c r="F301" s="55" t="n">
        <x:v>29008</x:v>
      </x:c>
      <x:c r="G301" s="55" t="n">
        <x:v>7376</x:v>
      </x:c>
      <x:c r="H301" s="55" t="n">
        <x:v>3164</x:v>
      </x:c>
      <x:c r="I301" s="55" t="n">
        <x:v>1158</x:v>
      </x:c>
      <x:c r="J301" s="55" t="n">
        <x:v>110</x:v>
      </x:c>
      <x:c r="K301" s="55" t="n">
        <x:v>29008</x:v>
      </x:c>
      <x:c r="L301" s="55" t="n">
        <x:v>5352</x:v>
      </x:c>
      <x:c r="M301" s="55" t="n">
        <x:v>1372</x:v>
      </x:c>
      <x:c r="N301" s="55" t="n">
        <x:v>2528</x:v>
      </x:c>
      <x:c r="O301" s="55" t="n">
        <x:v>1452</x:v>
      </x:c>
      <x:c r="P301" s="55" t="n">
        <x:v>1055</x:v>
      </x:c>
      <x:c r="Q301" s="55" t="n">
        <x:v>2472</x:v>
      </x:c>
      <x:c r="R301" s="55" t="n">
        <x:v>1899</x:v>
      </x:c>
      <x:c r="S301" s="55" t="n">
        <x:v>2370</x:v>
      </x:c>
      <x:c r="T301" s="55" t="n">
        <x:v>1138</x:v>
      </x:c>
      <x:c r="U301" s="55" t="n">
        <x:v>1872</x:v>
      </x:c>
      <x:c r="V301" s="55" t="n">
        <x:v>10087</x:v>
      </x:c>
      <x:c r="W301" s="55" t="n">
        <x:v>6945</x:v>
      </x:c>
      <x:c r="X301" s="55" t="n">
        <x:v>3142</x:v>
      </x:c>
      <x:c r="Y301" s="55" t="n">
        <x:v>2821</x:v>
      </x:c>
      <x:c r="Z301" s="55" t="n">
        <x:v>3448</x:v>
      </x:c>
      <x:c r="AA301" s="55" t="n">
        <x:v>3164</x:v>
      </x:c>
      <x:c r="AB301" s="55" t="n">
        <x:v>1029</x:v>
      </x:c>
      <x:c r="AC301" s="55" t="n">
        <x:v>8128</x:v>
      </x:c>
      <x:c r="AD301" s="55" t="n">
        <x:v>3182</x:v>
      </x:c>
      <x:c r="AE301" s="55" t="n">
        <x:v>10117</x:v>
      </x:c>
      <x:c r="AF301" s="55" t="n">
        <x:v>10087</x:v>
      </x:c>
      <x:c r="AG301" s="55" t="n">
        <x:v>30</x:v>
      </x:c>
      <x:c r="AH301" s="55" t="n">
        <x:v>500</x:v>
      </x:c>
      <x:c r="AI301" s="55" t="n">
        <x:v>9587</x:v>
      </x:c>
      <x:c r="AJ301" s="55" t="n">
        <x:v>154</x:v>
      </x:c>
      <x:c r="AK301" s="55" t="n">
        <x:v>986</x:v>
      </x:c>
      <x:c r="AL301" s="55" t="n">
        <x:v>1665</x:v>
      </x:c>
      <x:c r="AM301" s="55" t="n">
        <x:v>4674</x:v>
      </x:c>
      <x:c r="AN301" s="55" t="n">
        <x:v>2608</x:v>
      </x:c>
      <x:c r="AO301" s="55" t="n">
        <x:v>0</x:v>
      </x:c>
      <x:c r="AP301" s="55" t="n">
        <x:v>1871</x:v>
      </x:c>
      <x:c r="AQ301" s="55" t="n">
        <x:v>930</x:v>
      </x:c>
    </x:row>
    <x:row r="302">
      <x:c r="A302" s="54" t="str">
        <x:v>T2_CONCORDANT_DOMAIN</x:v>
      </x:c>
      <x:c r="B302" s="54" t="n">
        <x:v>296</x:v>
      </x:c>
      <x:c r="C302" s="54" t="str">
        <x:v>NYC-V2-R01</x:v>
      </x:c>
      <x:c r="D302" s="54" t="str">
        <x:v>V2</x:v>
      </x:c>
      <x:c r="E302" s="54" t="str">
        <x:v>ADMITTED</x:v>
      </x:c>
      <x:c r="F302" s="55" t="n">
        <x:v>32487</x:v>
      </x:c>
      <x:c r="G302" s="55" t="n">
        <x:v>7759</x:v>
      </x:c>
      <x:c r="H302" s="55" t="n">
        <x:v>3125</x:v>
      </x:c>
      <x:c r="I302" s="55" t="n">
        <x:v>973</x:v>
      </x:c>
      <x:c r="J302" s="55" t="n">
        <x:v>172</x:v>
      </x:c>
      <x:c r="K302" s="55" t="n">
        <x:v>32487</x:v>
      </x:c>
      <x:c r="L302" s="55" t="n">
        <x:v>5704</x:v>
      </x:c>
      <x:c r="M302" s="55" t="n">
        <x:v>1624</x:v>
      </x:c>
      <x:c r="N302" s="55" t="n">
        <x:v>2647</x:v>
      </x:c>
      <x:c r="O302" s="55" t="n">
        <x:v>1433</x:v>
      </x:c>
      <x:c r="P302" s="55" t="n">
        <x:v>735</x:v>
      </x:c>
      <x:c r="Q302" s="55" t="n">
        <x:v>2215</x:v>
      </x:c>
      <x:c r="R302" s="55" t="n">
        <x:v>1922</x:v>
      </x:c>
      <x:c r="S302" s="55" t="n">
        <x:v>2764</x:v>
      </x:c>
      <x:c r="T302" s="55" t="n">
        <x:v>1310</x:v>
      </x:c>
      <x:c r="U302" s="55" t="n">
        <x:v>2552</x:v>
      </x:c>
      <x:c r="V302" s="55" t="n">
        <x:v>10546</x:v>
      </x:c>
      <x:c r="W302" s="55" t="n">
        <x:v>7729</x:v>
      </x:c>
      <x:c r="X302" s="55" t="n">
        <x:v>2817</x:v>
      </x:c>
      <x:c r="Y302" s="55" t="n">
        <x:v>2393</x:v>
      </x:c>
      <x:c r="Z302" s="55" t="n">
        <x:v>3314</x:v>
      </x:c>
      <x:c r="AA302" s="55" t="n">
        <x:v>3125</x:v>
      </x:c>
      <x:c r="AB302" s="55" t="n">
        <x:v>902</x:v>
      </x:c>
      <x:c r="AC302" s="55" t="n">
        <x:v>7816</x:v>
      </x:c>
      <x:c r="AD302" s="55" t="n">
        <x:v>2343</x:v>
      </x:c>
      <x:c r="AE302" s="55" t="n">
        <x:v>10607</x:v>
      </x:c>
      <x:c r="AF302" s="55" t="n">
        <x:v>10546</x:v>
      </x:c>
      <x:c r="AG302" s="55" t="n">
        <x:v>61</x:v>
      </x:c>
      <x:c r="AH302" s="55" t="n">
        <x:v>243</x:v>
      </x:c>
      <x:c r="AI302" s="55" t="n">
        <x:v>10303</x:v>
      </x:c>
      <x:c r="AJ302" s="55" t="n">
        <x:v>382</x:v>
      </x:c>
      <x:c r="AK302" s="55" t="n">
        <x:v>970</x:v>
      </x:c>
      <x:c r="AL302" s="55" t="n">
        <x:v>1910</x:v>
      </x:c>
      <x:c r="AM302" s="55" t="n">
        <x:v>4588</x:v>
      </x:c>
      <x:c r="AN302" s="55" t="n">
        <x:v>2671</x:v>
      </x:c>
      <x:c r="AO302" s="55" t="n">
        <x:v>25</x:v>
      </x:c>
      <x:c r="AP302" s="55" t="n">
        <x:v>2177</x:v>
      </x:c>
      <x:c r="AQ302" s="55" t="n">
        <x:v>906</x:v>
      </x:c>
    </x:row>
    <x:row r="303">
      <x:c r="A303" s="54" t="str">
        <x:v>T2_CONCORDANT_DOMAIN</x:v>
      </x:c>
      <x:c r="B303" s="54" t="n">
        <x:v>297</x:v>
      </x:c>
      <x:c r="C303" s="54" t="str">
        <x:v>NYC-V2-R01</x:v>
      </x:c>
      <x:c r="D303" s="54" t="str">
        <x:v>V2</x:v>
      </x:c>
      <x:c r="E303" s="54" t="str">
        <x:v>ADMITTED</x:v>
      </x:c>
      <x:c r="F303" s="55" t="n">
        <x:v>29985</x:v>
      </x:c>
      <x:c r="G303" s="55" t="n">
        <x:v>7355</x:v>
      </x:c>
      <x:c r="H303" s="55" t="n">
        <x:v>3117</x:v>
      </x:c>
      <x:c r="I303" s="55" t="n">
        <x:v>1526</x:v>
      </x:c>
      <x:c r="J303" s="55" t="n">
        <x:v>118</x:v>
      </x:c>
      <x:c r="K303" s="55" t="n">
        <x:v>29954</x:v>
      </x:c>
      <x:c r="L303" s="55" t="n">
        <x:v>5635</x:v>
      </x:c>
      <x:c r="M303" s="55" t="n">
        <x:v>1643</x:v>
      </x:c>
      <x:c r="N303" s="55" t="n">
        <x:v>2470</x:v>
      </x:c>
      <x:c r="O303" s="55" t="n">
        <x:v>1522</x:v>
      </x:c>
      <x:c r="P303" s="55" t="n">
        <x:v>1008</x:v>
      </x:c>
      <x:c r="Q303" s="55" t="n">
        <x:v>2316</x:v>
      </x:c>
      <x:c r="R303" s="55" t="n">
        <x:v>1851</x:v>
      </x:c>
      <x:c r="S303" s="55" t="n">
        <x:v>2701</x:v>
      </x:c>
      <x:c r="T303" s="55" t="n">
        <x:v>1390</x:v>
      </x:c>
      <x:c r="U303" s="55" t="n">
        <x:v>1956</x:v>
      </x:c>
      <x:c r="V303" s="55" t="n">
        <x:v>10691</x:v>
      </x:c>
      <x:c r="W303" s="55" t="n">
        <x:v>7672</x:v>
      </x:c>
      <x:c r="X303" s="55" t="n">
        <x:v>3019</x:v>
      </x:c>
      <x:c r="Y303" s="55" t="n">
        <x:v>2546</x:v>
      </x:c>
      <x:c r="Z303" s="55" t="n">
        <x:v>3401</x:v>
      </x:c>
      <x:c r="AA303" s="55" t="n">
        <x:v>2986</x:v>
      </x:c>
      <x:c r="AB303" s="55" t="n">
        <x:v>912</x:v>
      </x:c>
      <x:c r="AC303" s="55" t="n">
        <x:v>7393</x:v>
      </x:c>
      <x:c r="AD303" s="55" t="n">
        <x:v>3535</x:v>
      </x:c>
      <x:c r="AE303" s="55" t="n">
        <x:v>10791</x:v>
      </x:c>
      <x:c r="AF303" s="55" t="n">
        <x:v>10691</x:v>
      </x:c>
      <x:c r="AG303" s="55" t="n">
        <x:v>100</x:v>
      </x:c>
      <x:c r="AH303" s="55" t="n">
        <x:v>431</x:v>
      </x:c>
      <x:c r="AI303" s="55" t="n">
        <x:v>10260</x:v>
      </x:c>
      <x:c r="AJ303" s="55" t="n">
        <x:v>389</x:v>
      </x:c>
      <x:c r="AK303" s="55" t="n">
        <x:v>1184</x:v>
      </x:c>
      <x:c r="AL303" s="55" t="n">
        <x:v>1512</x:v>
      </x:c>
      <x:c r="AM303" s="55" t="n">
        <x:v>4541</x:v>
      </x:c>
      <x:c r="AN303" s="55" t="n">
        <x:v>3045</x:v>
      </x:c>
      <x:c r="AO303" s="55" t="n">
        <x:v>20</x:v>
      </x:c>
      <x:c r="AP303" s="55" t="n">
        <x:v>2463</x:v>
      </x:c>
      <x:c r="AQ303" s="55" t="n">
        <x:v>927</x:v>
      </x:c>
    </x:row>
    <x:row r="304">
      <x:c r="A304" s="54" t="str">
        <x:v>T2_CONCORDANT_DOMAIN</x:v>
      </x:c>
      <x:c r="B304" s="54" t="n">
        <x:v>298</x:v>
      </x:c>
      <x:c r="C304" s="54" t="str">
        <x:v>NYC-V2-R01</x:v>
      </x:c>
      <x:c r="D304" s="54" t="str">
        <x:v>V2</x:v>
      </x:c>
      <x:c r="E304" s="54" t="str">
        <x:v>ADMITTED</x:v>
      </x:c>
      <x:c r="F304" s="55" t="n">
        <x:v>34285</x:v>
      </x:c>
      <x:c r="G304" s="55" t="n">
        <x:v>9232</x:v>
      </x:c>
      <x:c r="H304" s="55" t="n">
        <x:v>3650</x:v>
      </x:c>
      <x:c r="I304" s="55" t="n">
        <x:v>1129</x:v>
      </x:c>
      <x:c r="J304" s="55" t="n">
        <x:v>121</x:v>
      </x:c>
      <x:c r="K304" s="55" t="n">
        <x:v>34285</x:v>
      </x:c>
      <x:c r="L304" s="55" t="n">
        <x:v>7791</x:v>
      </x:c>
      <x:c r="M304" s="55" t="n">
        <x:v>2977</x:v>
      </x:c>
      <x:c r="N304" s="55" t="n">
        <x:v>2721</x:v>
      </x:c>
      <x:c r="O304" s="55" t="n">
        <x:v>2093</x:v>
      </x:c>
      <x:c r="P304" s="55" t="n">
        <x:v>1249</x:v>
      </x:c>
      <x:c r="Q304" s="55" t="n">
        <x:v>3138</x:v>
      </x:c>
      <x:c r="R304" s="55" t="n">
        <x:v>2158</x:v>
      </x:c>
      <x:c r="S304" s="55" t="n">
        <x:v>3206</x:v>
      </x:c>
      <x:c r="T304" s="55" t="n">
        <x:v>1360</x:v>
      </x:c>
      <x:c r="U304" s="55" t="n">
        <x:v>2224</x:v>
      </x:c>
      <x:c r="V304" s="55" t="n">
        <x:v>11188</x:v>
      </x:c>
      <x:c r="W304" s="55" t="n">
        <x:v>8168</x:v>
      </x:c>
      <x:c r="X304" s="55" t="n">
        <x:v>3020</x:v>
      </x:c>
      <x:c r="Y304" s="55" t="n">
        <x:v>2599</x:v>
      </x:c>
      <x:c r="Z304" s="55" t="n">
        <x:v>3940</x:v>
      </x:c>
      <x:c r="AA304" s="55" t="n">
        <x:v>3650</x:v>
      </x:c>
      <x:c r="AB304" s="55" t="n">
        <x:v>1212</x:v>
      </x:c>
      <x:c r="AC304" s="55" t="n">
        <x:v>8322</x:v>
      </x:c>
      <x:c r="AD304" s="55" t="n">
        <x:v>3265</x:v>
      </x:c>
      <x:c r="AE304" s="55" t="n">
        <x:v>11337</x:v>
      </x:c>
      <x:c r="AF304" s="55" t="n">
        <x:v>11188</x:v>
      </x:c>
      <x:c r="AG304" s="55" t="n">
        <x:v>149</x:v>
      </x:c>
      <x:c r="AH304" s="55" t="n">
        <x:v>459</x:v>
      </x:c>
      <x:c r="AI304" s="55" t="n">
        <x:v>10729</x:v>
      </x:c>
      <x:c r="AJ304" s="55" t="n">
        <x:v>493</x:v>
      </x:c>
      <x:c r="AK304" s="55" t="n">
        <x:v>1264</x:v>
      </x:c>
      <x:c r="AL304" s="55" t="n">
        <x:v>984</x:v>
      </x:c>
      <x:c r="AM304" s="55" t="n">
        <x:v>5513</x:v>
      </x:c>
      <x:c r="AN304" s="55" t="n">
        <x:v>2906</x:v>
      </x:c>
      <x:c r="AO304" s="55" t="n">
        <x:v>28</x:v>
      </x:c>
      <x:c r="AP304" s="55" t="n">
        <x:v>2283</x:v>
      </x:c>
      <x:c r="AQ304" s="55" t="n">
        <x:v>1000</x:v>
      </x:c>
    </x:row>
    <x:row r="305">
      <x:c r="A305" s="54" t="str">
        <x:v>T2_CONCORDANT_DOMAIN</x:v>
      </x:c>
      <x:c r="B305" s="54" t="n">
        <x:v>299</x:v>
      </x:c>
      <x:c r="C305" s="54" t="str">
        <x:v>NYC-V2-R01</x:v>
      </x:c>
      <x:c r="D305" s="54" t="str">
        <x:v>V2</x:v>
      </x:c>
      <x:c r="E305" s="54" t="str">
        <x:v>ADMITTED</x:v>
      </x:c>
      <x:c r="F305" s="55" t="n">
        <x:v>32558</x:v>
      </x:c>
      <x:c r="G305" s="55" t="n">
        <x:v>8365</x:v>
      </x:c>
      <x:c r="H305" s="55" t="n">
        <x:v>3558</x:v>
      </x:c>
      <x:c r="I305" s="55" t="n">
        <x:v>1583</x:v>
      </x:c>
      <x:c r="J305" s="55" t="n">
        <x:v>369</x:v>
      </x:c>
      <x:c r="K305" s="55" t="n">
        <x:v>31328</x:v>
      </x:c>
      <x:c r="L305" s="55" t="n">
        <x:v>5824</x:v>
      </x:c>
      <x:c r="M305" s="55" t="n">
        <x:v>1113</x:v>
      </x:c>
      <x:c r="N305" s="55" t="n">
        <x:v>2768</x:v>
      </x:c>
      <x:c r="O305" s="55" t="n">
        <x:v>1943</x:v>
      </x:c>
      <x:c r="P305" s="55" t="n">
        <x:v>685</x:v>
      </x:c>
      <x:c r="Q305" s="55" t="n">
        <x:v>2086</x:v>
      </x:c>
      <x:c r="R305" s="55" t="n">
        <x:v>1795</x:v>
      </x:c>
      <x:c r="S305" s="55" t="n">
        <x:v>2444</x:v>
      </x:c>
      <x:c r="T305" s="55" t="n">
        <x:v>1089</x:v>
      </x:c>
      <x:c r="U305" s="55" t="n">
        <x:v>2509</x:v>
      </x:c>
      <x:c r="V305" s="55" t="n">
        <x:v>11220</x:v>
      </x:c>
      <x:c r="W305" s="55" t="n">
        <x:v>8230</x:v>
      </x:c>
      <x:c r="X305" s="55" t="n">
        <x:v>2990</x:v>
      </x:c>
      <x:c r="Y305" s="55" t="n">
        <x:v>2514</x:v>
      </x:c>
      <x:c r="Z305" s="55" t="n">
        <x:v>4151</x:v>
      </x:c>
      <x:c r="AA305" s="55" t="n">
        <x:v>3386</x:v>
      </x:c>
      <x:c r="AB305" s="55" t="n">
        <x:v>1208</x:v>
      </x:c>
      <x:c r="AC305" s="55" t="n">
        <x:v>7758</x:v>
      </x:c>
      <x:c r="AD305" s="55" t="n">
        <x:v>3154</x:v>
      </x:c>
      <x:c r="AE305" s="55" t="n">
        <x:v>11329</x:v>
      </x:c>
      <x:c r="AF305" s="55" t="n">
        <x:v>11220</x:v>
      </x:c>
      <x:c r="AG305" s="55" t="n">
        <x:v>109</x:v>
      </x:c>
      <x:c r="AH305" s="55" t="n">
        <x:v>808</x:v>
      </x:c>
      <x:c r="AI305" s="55" t="n">
        <x:v>10412</x:v>
      </x:c>
      <x:c r="AJ305" s="55" t="n">
        <x:v>476</x:v>
      </x:c>
      <x:c r="AK305" s="55" t="n">
        <x:v>861</x:v>
      </x:c>
      <x:c r="AL305" s="55" t="n">
        <x:v>1583</x:v>
      </x:c>
      <x:c r="AM305" s="55" t="n">
        <x:v>5150</x:v>
      </x:c>
      <x:c r="AN305" s="55" t="n">
        <x:v>3100</x:v>
      </x:c>
      <x:c r="AO305" s="55" t="n">
        <x:v>50</x:v>
      </x:c>
      <x:c r="AP305" s="55" t="n">
        <x:v>3045</x:v>
      </x:c>
      <x:c r="AQ305" s="55" t="n">
        <x:v>1002</x:v>
      </x:c>
    </x:row>
    <x:row r="306">
      <x:c r="A306" s="54" t="str">
        <x:v>T2_CONCORDANT_DOMAIN</x:v>
      </x:c>
      <x:c r="B306" s="54" t="n">
        <x:v>300</x:v>
      </x:c>
      <x:c r="C306" s="54" t="str">
        <x:v>NYC-V2-R01</x:v>
      </x:c>
      <x:c r="D306" s="54" t="str">
        <x:v>V2</x:v>
      </x:c>
      <x:c r="E306" s="54" t="str">
        <x:v>ADMITTED</x:v>
      </x:c>
      <x:c r="F306" s="55" t="n">
        <x:v>27832</x:v>
      </x:c>
      <x:c r="G306" s="55" t="n">
        <x:v>6339</x:v>
      </x:c>
      <x:c r="H306" s="55" t="n">
        <x:v>2603</x:v>
      </x:c>
      <x:c r="I306" s="55" t="n">
        <x:v>335</x:v>
      </x:c>
      <x:c r="J306" s="55" t="n">
        <x:v>0</x:v>
      </x:c>
      <x:c r="K306" s="55" t="n">
        <x:v>27832</x:v>
      </x:c>
      <x:c r="L306" s="55" t="n">
        <x:v>2925</x:v>
      </x:c>
      <x:c r="M306" s="55" t="n">
        <x:v>0</x:v>
      </x:c>
      <x:c r="N306" s="55" t="n">
        <x:v>1689</x:v>
      </x:c>
      <x:c r="O306" s="55" t="n">
        <x:v>1236</x:v>
      </x:c>
      <x:c r="P306" s="55" t="n">
        <x:v>242</x:v>
      </x:c>
      <x:c r="Q306" s="55" t="n">
        <x:v>1028</x:v>
      </x:c>
      <x:c r="R306" s="55" t="n">
        <x:v>1219</x:v>
      </x:c>
      <x:c r="S306" s="55" t="n">
        <x:v>1208</x:v>
      </x:c>
      <x:c r="T306" s="55" t="n">
        <x:v>723</x:v>
      </x:c>
      <x:c r="U306" s="55" t="n">
        <x:v>867</x:v>
      </x:c>
      <x:c r="V306" s="55" t="n">
        <x:v>9487</x:v>
      </x:c>
      <x:c r="W306" s="55" t="n">
        <x:v>7101</x:v>
      </x:c>
      <x:c r="X306" s="55" t="n">
        <x:v>2386</x:v>
      </x:c>
      <x:c r="Y306" s="55" t="n">
        <x:v>2057</x:v>
      </x:c>
      <x:c r="Z306" s="55" t="n">
        <x:v>3053</x:v>
      </x:c>
      <x:c r="AA306" s="55" t="n">
        <x:v>2505</x:v>
      </x:c>
      <x:c r="AB306" s="55" t="n">
        <x:v>591</x:v>
      </x:c>
      <x:c r="AC306" s="55" t="n">
        <x:v>7225</x:v>
      </x:c>
      <x:c r="AD306" s="55" t="n">
        <x:v>2331</x:v>
      </x:c>
      <x:c r="AE306" s="55" t="n">
        <x:v>9487</x:v>
      </x:c>
      <x:c r="AF306" s="55" t="n">
        <x:v>9487</x:v>
      </x:c>
      <x:c r="AG306" s="55" t="n">
        <x:v>0</x:v>
      </x:c>
      <x:c r="AH306" s="55" t="n">
        <x:v>136</x:v>
      </x:c>
      <x:c r="AI306" s="55" t="n">
        <x:v>9351</x:v>
      </x:c>
      <x:c r="AJ306" s="55" t="n">
        <x:v>181</x:v>
      </x:c>
      <x:c r="AK306" s="55" t="n">
        <x:v>787</x:v>
      </x:c>
      <x:c r="AL306" s="55" t="n">
        <x:v>1327</x:v>
      </x:c>
      <x:c r="AM306" s="55" t="n">
        <x:v>4524</x:v>
      </x:c>
      <x:c r="AN306" s="55" t="n">
        <x:v>2668</x:v>
      </x:c>
      <x:c r="AO306" s="55" t="n">
        <x:v>0</x:v>
      </x:c>
      <x:c r="AP306" s="55" t="n">
        <x:v>1887</x:v>
      </x:c>
      <x:c r="AQ306" s="55" t="n">
        <x:v>928</x:v>
      </x:c>
    </x:row>
    <x:row r="307">
      <x:c r="A307" s="54" t="str">
        <x:v>T2_CONCORDANT_DOMAIN</x:v>
      </x:c>
      <x:c r="B307" s="54" t="n">
        <x:v>301</x:v>
      </x:c>
      <x:c r="C307" s="54" t="str">
        <x:v>NYC-V2-R01</x:v>
      </x:c>
      <x:c r="D307" s="54" t="str">
        <x:v>V2</x:v>
      </x:c>
      <x:c r="E307" s="54" t="str">
        <x:v>ADMITTED</x:v>
      </x:c>
      <x:c r="F307" s="55" t="n">
        <x:v>32689</x:v>
      </x:c>
      <x:c r="G307" s="55" t="n">
        <x:v>8827</x:v>
      </x:c>
      <x:c r="H307" s="55" t="n">
        <x:v>3314</x:v>
      </x:c>
      <x:c r="I307" s="55" t="n">
        <x:v>1193</x:v>
      </x:c>
      <x:c r="J307" s="55" t="n">
        <x:v>235</x:v>
      </x:c>
      <x:c r="K307" s="55" t="n">
        <x:v>31947</x:v>
      </x:c>
      <x:c r="L307" s="55" t="n">
        <x:v>5734</x:v>
      </x:c>
      <x:c r="M307" s="55" t="n">
        <x:v>1479</x:v>
      </x:c>
      <x:c r="N307" s="55" t="n">
        <x:v>2560</x:v>
      </x:c>
      <x:c r="O307" s="55" t="n">
        <x:v>1695</x:v>
      </x:c>
      <x:c r="P307" s="55" t="n">
        <x:v>836</x:v>
      </x:c>
      <x:c r="Q307" s="55" t="n">
        <x:v>1458</x:v>
      </x:c>
      <x:c r="R307" s="55" t="n">
        <x:v>1746</x:v>
      </x:c>
      <x:c r="S307" s="55" t="n">
        <x:v>2438</x:v>
      </x:c>
      <x:c r="T307" s="55" t="n">
        <x:v>994</x:v>
      </x:c>
      <x:c r="U307" s="55" t="n">
        <x:v>2305</x:v>
      </x:c>
      <x:c r="V307" s="55" t="n">
        <x:v>9860</x:v>
      </x:c>
      <x:c r="W307" s="55" t="n">
        <x:v>6765</x:v>
      </x:c>
      <x:c r="X307" s="55" t="n">
        <x:v>3095</x:v>
      </x:c>
      <x:c r="Y307" s="55" t="n">
        <x:v>2568</x:v>
      </x:c>
      <x:c r="Z307" s="55" t="n">
        <x:v>3959</x:v>
      </x:c>
      <x:c r="AA307" s="55" t="n">
        <x:v>2951</x:v>
      </x:c>
      <x:c r="AB307" s="55" t="n">
        <x:v>1012</x:v>
      </x:c>
      <x:c r="AC307" s="55" t="n">
        <x:v>7852</x:v>
      </x:c>
      <x:c r="AD307" s="55" t="n">
        <x:v>2928</x:v>
      </x:c>
      <x:c r="AE307" s="55" t="n">
        <x:v>9990</x:v>
      </x:c>
      <x:c r="AF307" s="55" t="n">
        <x:v>9860</x:v>
      </x:c>
      <x:c r="AG307" s="55" t="n">
        <x:v>130</x:v>
      </x:c>
      <x:c r="AH307" s="55" t="n">
        <x:v>297</x:v>
      </x:c>
      <x:c r="AI307" s="55" t="n">
        <x:v>9563</x:v>
      </x:c>
      <x:c r="AJ307" s="55" t="n">
        <x:v>313</x:v>
      </x:c>
      <x:c r="AK307" s="55" t="n">
        <x:v>888</x:v>
      </x:c>
      <x:c r="AL307" s="55" t="n">
        <x:v>1412</x:v>
      </x:c>
      <x:c r="AM307" s="55" t="n">
        <x:v>4683</x:v>
      </x:c>
      <x:c r="AN307" s="55" t="n">
        <x:v>2488</x:v>
      </x:c>
      <x:c r="AO307" s="55" t="n">
        <x:v>76</x:v>
      </x:c>
      <x:c r="AP307" s="55" t="n">
        <x:v>1999</x:v>
      </x:c>
      <x:c r="AQ307" s="55" t="n">
        <x:v>947</x:v>
      </x:c>
    </x:row>
    <x:row r="308">
      <x:c r="A308" s="54" t="str">
        <x:v>T2_CONCORDANT_DOMAIN</x:v>
      </x:c>
      <x:c r="B308" s="54" t="n">
        <x:v>302</x:v>
      </x:c>
      <x:c r="C308" s="54" t="str">
        <x:v>NYC-V2-R01</x:v>
      </x:c>
      <x:c r="D308" s="54" t="str">
        <x:v>V2</x:v>
      </x:c>
      <x:c r="E308" s="54" t="str">
        <x:v>ADMITTED</x:v>
      </x:c>
      <x:c r="F308" s="55" t="n">
        <x:v>30352</x:v>
      </x:c>
      <x:c r="G308" s="55" t="n">
        <x:v>6568</x:v>
      </x:c>
      <x:c r="H308" s="55" t="n">
        <x:v>3319</x:v>
      </x:c>
      <x:c r="I308" s="55" t="n">
        <x:v>934</x:v>
      </x:c>
      <x:c r="J308" s="55" t="n">
        <x:v>58</x:v>
      </x:c>
      <x:c r="K308" s="55" t="n">
        <x:v>30352</x:v>
      </x:c>
      <x:c r="L308" s="55" t="n">
        <x:v>5557</x:v>
      </x:c>
      <x:c r="M308" s="55" t="n">
        <x:v>1475</x:v>
      </x:c>
      <x:c r="N308" s="55" t="n">
        <x:v>2333</x:v>
      </x:c>
      <x:c r="O308" s="55" t="n">
        <x:v>1749</x:v>
      </x:c>
      <x:c r="P308" s="55" t="n">
        <x:v>415</x:v>
      </x:c>
      <x:c r="Q308" s="55" t="n">
        <x:v>3217</x:v>
      </x:c>
      <x:c r="R308" s="55" t="n">
        <x:v>1684</x:v>
      </x:c>
      <x:c r="S308" s="55" t="n">
        <x:v>2432</x:v>
      </x:c>
      <x:c r="T308" s="55" t="n">
        <x:v>1095</x:v>
      </x:c>
      <x:c r="U308" s="55" t="n">
        <x:v>1475</x:v>
      </x:c>
      <x:c r="V308" s="55" t="n">
        <x:v>9969</x:v>
      </x:c>
      <x:c r="W308" s="55" t="n">
        <x:v>7150</x:v>
      </x:c>
      <x:c r="X308" s="55" t="n">
        <x:v>2819</x:v>
      </x:c>
      <x:c r="Y308" s="55" t="n">
        <x:v>2153</x:v>
      </x:c>
      <x:c r="Z308" s="55" t="n">
        <x:v>3118</x:v>
      </x:c>
      <x:c r="AA308" s="55" t="n">
        <x:v>3319</x:v>
      </x:c>
      <x:c r="AB308" s="55" t="n">
        <x:v>1238</x:v>
      </x:c>
      <x:c r="AC308" s="55" t="n">
        <x:v>7773</x:v>
      </x:c>
      <x:c r="AD308" s="55" t="n">
        <x:v>2901</x:v>
      </x:c>
      <x:c r="AE308" s="55" t="n">
        <x:v>10041</x:v>
      </x:c>
      <x:c r="AF308" s="55" t="n">
        <x:v>9969</x:v>
      </x:c>
      <x:c r="AG308" s="55" t="n">
        <x:v>72</x:v>
      </x:c>
      <x:c r="AH308" s="55" t="n">
        <x:v>270</x:v>
      </x:c>
      <x:c r="AI308" s="55" t="n">
        <x:v>9699</x:v>
      </x:c>
      <x:c r="AJ308" s="55" t="n">
        <x:v>165</x:v>
      </x:c>
      <x:c r="AK308" s="55" t="n">
        <x:v>732</x:v>
      </x:c>
      <x:c r="AL308" s="55" t="n">
        <x:v>1512</x:v>
      </x:c>
      <x:c r="AM308" s="55" t="n">
        <x:v>5088</x:v>
      </x:c>
      <x:c r="AN308" s="55" t="n">
        <x:v>2472</x:v>
      </x:c>
      <x:c r="AO308" s="55" t="n">
        <x:v>0</x:v>
      </x:c>
      <x:c r="AP308" s="55" t="n">
        <x:v>2073</x:v>
      </x:c>
      <x:c r="AQ308" s="55" t="n">
        <x:v>932</x:v>
      </x:c>
    </x:row>
    <x:row r="309">
      <x:c r="A309" s="54" t="str">
        <x:v>T2_CONCORDANT_DOMAIN</x:v>
      </x:c>
      <x:c r="B309" s="54" t="n">
        <x:v>303</x:v>
      </x:c>
      <x:c r="C309" s="54" t="str">
        <x:v>NYC-V2-R01</x:v>
      </x:c>
      <x:c r="D309" s="54" t="str">
        <x:v>V2</x:v>
      </x:c>
      <x:c r="E309" s="54" t="str">
        <x:v>ADMITTED</x:v>
      </x:c>
      <x:c r="F309" s="55" t="n">
        <x:v>32263</x:v>
      </x:c>
      <x:c r="G309" s="55" t="n">
        <x:v>7969</x:v>
      </x:c>
      <x:c r="H309" s="55" t="n">
        <x:v>3603</x:v>
      </x:c>
      <x:c r="I309" s="55" t="n">
        <x:v>1320</x:v>
      </x:c>
      <x:c r="J309" s="55" t="n">
        <x:v>349</x:v>
      </x:c>
      <x:c r="K309" s="55" t="n">
        <x:v>32171</x:v>
      </x:c>
      <x:c r="L309" s="55" t="n">
        <x:v>6839</x:v>
      </x:c>
      <x:c r="M309" s="55" t="n">
        <x:v>1961</x:v>
      </x:c>
      <x:c r="N309" s="55" t="n">
        <x:v>2552</x:v>
      </x:c>
      <x:c r="O309" s="55" t="n">
        <x:v>2326</x:v>
      </x:c>
      <x:c r="P309" s="55" t="n">
        <x:v>1241</x:v>
      </x:c>
      <x:c r="Q309" s="55" t="n">
        <x:v>2448</x:v>
      </x:c>
      <x:c r="R309" s="55" t="n">
        <x:v>1786</x:v>
      </x:c>
      <x:c r="S309" s="55" t="n">
        <x:v>2340</x:v>
      </x:c>
      <x:c r="T309" s="55" t="n">
        <x:v>1427</x:v>
      </x:c>
      <x:c r="U309" s="55" t="n">
        <x:v>2300</x:v>
      </x:c>
      <x:c r="V309" s="55" t="n">
        <x:v>10298</x:v>
      </x:c>
      <x:c r="W309" s="55" t="n">
        <x:v>7760</x:v>
      </x:c>
      <x:c r="X309" s="55" t="n">
        <x:v>2538</x:v>
      </x:c>
      <x:c r="Y309" s="55" t="n">
        <x:v>2085</x:v>
      </x:c>
      <x:c r="Z309" s="55" t="n">
        <x:v>3431</x:v>
      </x:c>
      <x:c r="AA309" s="55" t="n">
        <x:v>3334</x:v>
      </x:c>
      <x:c r="AB309" s="55" t="n">
        <x:v>910</x:v>
      </x:c>
      <x:c r="AC309" s="55" t="n">
        <x:v>7722</x:v>
      </x:c>
      <x:c r="AD309" s="55" t="n">
        <x:v>3076</x:v>
      </x:c>
      <x:c r="AE309" s="55" t="n">
        <x:v>10371</x:v>
      </x:c>
      <x:c r="AF309" s="55" t="n">
        <x:v>10298</x:v>
      </x:c>
      <x:c r="AG309" s="55" t="n">
        <x:v>73</x:v>
      </x:c>
      <x:c r="AH309" s="55" t="n">
        <x:v>218</x:v>
      </x:c>
      <x:c r="AI309" s="55" t="n">
        <x:v>10080</x:v>
      </x:c>
      <x:c r="AJ309" s="55" t="n">
        <x:v>288</x:v>
      </x:c>
      <x:c r="AK309" s="55" t="n">
        <x:v>775</x:v>
      </x:c>
      <x:c r="AL309" s="55" t="n">
        <x:v>1307</x:v>
      </x:c>
      <x:c r="AM309" s="55" t="n">
        <x:v>5068</x:v>
      </x:c>
      <x:c r="AN309" s="55" t="n">
        <x:v>2830</x:v>
      </x:c>
      <x:c r="AO309" s="55" t="n">
        <x:v>30</x:v>
      </x:c>
      <x:c r="AP309" s="55" t="n">
        <x:v>2293</x:v>
      </x:c>
      <x:c r="AQ309" s="55" t="n">
        <x:v>917</x:v>
      </x:c>
    </x:row>
    <x:row r="310">
      <x:c r="A310" s="54" t="str">
        <x:v>T2_CONCORDANT_DOMAIN</x:v>
      </x:c>
      <x:c r="B310" s="54" t="n">
        <x:v>304</x:v>
      </x:c>
      <x:c r="C310" s="54" t="str">
        <x:v>NYC-V2-R01</x:v>
      </x:c>
      <x:c r="D310" s="54" t="str">
        <x:v>V2</x:v>
      </x:c>
      <x:c r="E310" s="54" t="str">
        <x:v>ADMITTED</x:v>
      </x:c>
      <x:c r="F310" s="55" t="n">
        <x:v>31180</x:v>
      </x:c>
      <x:c r="G310" s="55" t="n">
        <x:v>7082</x:v>
      </x:c>
      <x:c r="H310" s="55" t="n">
        <x:v>3116</x:v>
      </x:c>
      <x:c r="I310" s="55" t="n">
        <x:v>1121</x:v>
      </x:c>
      <x:c r="J310" s="55" t="n">
        <x:v>229</x:v>
      </x:c>
      <x:c r="K310" s="55" t="n">
        <x:v>31180</x:v>
      </x:c>
      <x:c r="L310" s="55" t="n">
        <x:v>4972</x:v>
      </x:c>
      <x:c r="M310" s="55" t="n">
        <x:v>1190</x:v>
      </x:c>
      <x:c r="N310" s="55" t="n">
        <x:v>2110</x:v>
      </x:c>
      <x:c r="O310" s="55" t="n">
        <x:v>1672</x:v>
      </x:c>
      <x:c r="P310" s="55" t="n">
        <x:v>747</x:v>
      </x:c>
      <x:c r="Q310" s="55" t="n">
        <x:v>2053</x:v>
      </x:c>
      <x:c r="R310" s="55" t="n">
        <x:v>1675</x:v>
      </x:c>
      <x:c r="S310" s="55" t="n">
        <x:v>3071</x:v>
      </x:c>
      <x:c r="T310" s="55" t="n">
        <x:v>1269</x:v>
      </x:c>
      <x:c r="U310" s="55" t="n">
        <x:v>1726</x:v>
      </x:c>
      <x:c r="V310" s="55" t="n">
        <x:v>10596</x:v>
      </x:c>
      <x:c r="W310" s="55" t="n">
        <x:v>6991</x:v>
      </x:c>
      <x:c r="X310" s="55" t="n">
        <x:v>3605</x:v>
      </x:c>
      <x:c r="Y310" s="55" t="n">
        <x:v>3287</x:v>
      </x:c>
      <x:c r="Z310" s="55" t="n">
        <x:v>3928</x:v>
      </x:c>
      <x:c r="AA310" s="55" t="n">
        <x:v>3116</x:v>
      </x:c>
      <x:c r="AB310" s="55" t="n">
        <x:v>1001</x:v>
      </x:c>
      <x:c r="AC310" s="55" t="n">
        <x:v>8001</x:v>
      </x:c>
      <x:c r="AD310" s="55" t="n">
        <x:v>2608</x:v>
      </x:c>
      <x:c r="AE310" s="55" t="n">
        <x:v>10629</x:v>
      </x:c>
      <x:c r="AF310" s="55" t="n">
        <x:v>10596</x:v>
      </x:c>
      <x:c r="AG310" s="55" t="n">
        <x:v>33</x:v>
      </x:c>
      <x:c r="AH310" s="55" t="n">
        <x:v>326</x:v>
      </x:c>
      <x:c r="AI310" s="55" t="n">
        <x:v>10270</x:v>
      </x:c>
      <x:c r="AJ310" s="55" t="n">
        <x:v>297</x:v>
      </x:c>
      <x:c r="AK310" s="55" t="n">
        <x:v>883</x:v>
      </x:c>
      <x:c r="AL310" s="55" t="n">
        <x:v>1863</x:v>
      </x:c>
      <x:c r="AM310" s="55" t="n">
        <x:v>4672</x:v>
      </x:c>
      <x:c r="AN310" s="55" t="n">
        <x:v>2872</x:v>
      </x:c>
      <x:c r="AO310" s="55" t="n">
        <x:v>9</x:v>
      </x:c>
      <x:c r="AP310" s="55" t="n">
        <x:v>2095</x:v>
      </x:c>
      <x:c r="AQ310" s="55" t="n">
        <x:v>969</x:v>
      </x:c>
    </x:row>
    <x:row r="311">
      <x:c r="A311" s="54" t="str">
        <x:v>T2_CONCORDANT_DOMAIN</x:v>
      </x:c>
      <x:c r="B311" s="54" t="n">
        <x:v>305</x:v>
      </x:c>
      <x:c r="C311" s="54" t="str">
        <x:v>NYC-V2-R01</x:v>
      </x:c>
      <x:c r="D311" s="54" t="str">
        <x:v>V2</x:v>
      </x:c>
      <x:c r="E311" s="54" t="str">
        <x:v>ADMITTED</x:v>
      </x:c>
      <x:c r="F311" s="55" t="n">
        <x:v>30585</x:v>
      </x:c>
      <x:c r="G311" s="55" t="n">
        <x:v>6230</x:v>
      </x:c>
      <x:c r="H311" s="55" t="n">
        <x:v>2853</x:v>
      </x:c>
      <x:c r="I311" s="55" t="n">
        <x:v>1204</x:v>
      </x:c>
      <x:c r="J311" s="55" t="n">
        <x:v>80</x:v>
      </x:c>
      <x:c r="K311" s="55" t="n">
        <x:v>30585</x:v>
      </x:c>
      <x:c r="L311" s="55" t="n">
        <x:v>5880</x:v>
      </x:c>
      <x:c r="M311" s="55" t="n">
        <x:v>1373</x:v>
      </x:c>
      <x:c r="N311" s="55" t="n">
        <x:v>2500</x:v>
      </x:c>
      <x:c r="O311" s="55" t="n">
        <x:v>2007</x:v>
      </x:c>
      <x:c r="P311" s="55" t="n">
        <x:v>480</x:v>
      </x:c>
      <x:c r="Q311" s="55" t="n">
        <x:v>1882</x:v>
      </x:c>
      <x:c r="R311" s="55" t="n">
        <x:v>1759</x:v>
      </x:c>
      <x:c r="S311" s="55" t="n">
        <x:v>2435</x:v>
      </x:c>
      <x:c r="T311" s="55" t="n">
        <x:v>910</x:v>
      </x:c>
      <x:c r="U311" s="55" t="n">
        <x:v>2190</x:v>
      </x:c>
      <x:c r="V311" s="55" t="n">
        <x:v>10313</x:v>
      </x:c>
      <x:c r="W311" s="55" t="n">
        <x:v>7351</x:v>
      </x:c>
      <x:c r="X311" s="55" t="n">
        <x:v>2962</x:v>
      </x:c>
      <x:c r="Y311" s="55" t="n">
        <x:v>2540</x:v>
      </x:c>
      <x:c r="Z311" s="55" t="n">
        <x:v>3504</x:v>
      </x:c>
      <x:c r="AA311" s="55" t="n">
        <x:v>2853</x:v>
      </x:c>
      <x:c r="AB311" s="55" t="n">
        <x:v>1127</x:v>
      </x:c>
      <x:c r="AC311" s="55" t="n">
        <x:v>7970</x:v>
      </x:c>
      <x:c r="AD311" s="55" t="n">
        <x:v>2702</x:v>
      </x:c>
      <x:c r="AE311" s="55" t="n">
        <x:v>10351</x:v>
      </x:c>
      <x:c r="AF311" s="55" t="n">
        <x:v>10313</x:v>
      </x:c>
      <x:c r="AG311" s="55" t="n">
        <x:v>38</x:v>
      </x:c>
      <x:c r="AH311" s="55" t="n">
        <x:v>258</x:v>
      </x:c>
      <x:c r="AI311" s="55" t="n">
        <x:v>10055</x:v>
      </x:c>
      <x:c r="AJ311" s="55" t="n">
        <x:v>282</x:v>
      </x:c>
      <x:c r="AK311" s="55" t="n">
        <x:v>1011</x:v>
      </x:c>
      <x:c r="AL311" s="55" t="n">
        <x:v>1725</x:v>
      </x:c>
      <x:c r="AM311" s="55" t="n">
        <x:v>4566</x:v>
      </x:c>
      <x:c r="AN311" s="55" t="n">
        <x:v>2706</x:v>
      </x:c>
      <x:c r="AO311" s="55" t="n">
        <x:v>23</x:v>
      </x:c>
      <x:c r="AP311" s="55" t="n">
        <x:v>2335</x:v>
      </x:c>
      <x:c r="AQ311" s="55" t="n">
        <x:v>936</x:v>
      </x:c>
    </x:row>
    <x:row r="312">
      <x:c r="A312" s="54" t="str">
        <x:v>T2_CONCORDANT_DOMAIN</x:v>
      </x:c>
      <x:c r="B312" s="54" t="n">
        <x:v>306</x:v>
      </x:c>
      <x:c r="C312" s="54" t="str">
        <x:v>NYC-V2-R01</x:v>
      </x:c>
      <x:c r="D312" s="54" t="str">
        <x:v>V2</x:v>
      </x:c>
      <x:c r="E312" s="54" t="str">
        <x:v>ADMITTED</x:v>
      </x:c>
      <x:c r="F312" s="55" t="n">
        <x:v>32247</x:v>
      </x:c>
      <x:c r="G312" s="55" t="n">
        <x:v>9106</x:v>
      </x:c>
      <x:c r="H312" s="55" t="n">
        <x:v>3775</x:v>
      </x:c>
      <x:c r="I312" s="55" t="n">
        <x:v>1851</x:v>
      </x:c>
      <x:c r="J312" s="55" t="n">
        <x:v>493</x:v>
      </x:c>
      <x:c r="K312" s="55" t="n">
        <x:v>31411</x:v>
      </x:c>
      <x:c r="L312" s="55" t="n">
        <x:v>5895</x:v>
      </x:c>
      <x:c r="M312" s="55" t="n">
        <x:v>1432</x:v>
      </x:c>
      <x:c r="N312" s="55" t="n">
        <x:v>2390</x:v>
      </x:c>
      <x:c r="O312" s="55" t="n">
        <x:v>2073</x:v>
      </x:c>
      <x:c r="P312" s="55" t="n">
        <x:v>1050</x:v>
      </x:c>
      <x:c r="Q312" s="55" t="n">
        <x:v>2521</x:v>
      </x:c>
      <x:c r="R312" s="55" t="n">
        <x:v>2232</x:v>
      </x:c>
      <x:c r="S312" s="55" t="n">
        <x:v>3137</x:v>
      </x:c>
      <x:c r="T312" s="55" t="n">
        <x:v>1719</x:v>
      </x:c>
      <x:c r="U312" s="55" t="n">
        <x:v>2251</x:v>
      </x:c>
      <x:c r="V312" s="55" t="n">
        <x:v>10629</x:v>
      </x:c>
      <x:c r="W312" s="55" t="n">
        <x:v>7856</x:v>
      </x:c>
      <x:c r="X312" s="55" t="n">
        <x:v>2773</x:v>
      </x:c>
      <x:c r="Y312" s="55" t="n">
        <x:v>2239</x:v>
      </x:c>
      <x:c r="Z312" s="55" t="n">
        <x:v>3395</x:v>
      </x:c>
      <x:c r="AA312" s="55" t="n">
        <x:v>3363</x:v>
      </x:c>
      <x:c r="AB312" s="55" t="n">
        <x:v>1387</x:v>
      </x:c>
      <x:c r="AC312" s="55" t="n">
        <x:v>8732</x:v>
      </x:c>
      <x:c r="AD312" s="55" t="n">
        <x:v>3867</x:v>
      </x:c>
      <x:c r="AE312" s="55" t="n">
        <x:v>10673</x:v>
      </x:c>
      <x:c r="AF312" s="55" t="n">
        <x:v>10629</x:v>
      </x:c>
      <x:c r="AG312" s="55" t="n">
        <x:v>44</x:v>
      </x:c>
      <x:c r="AH312" s="55" t="n">
        <x:v>506</x:v>
      </x:c>
      <x:c r="AI312" s="55" t="n">
        <x:v>10123</x:v>
      </x:c>
      <x:c r="AJ312" s="55" t="n">
        <x:v>288</x:v>
      </x:c>
      <x:c r="AK312" s="55" t="n">
        <x:v>911</x:v>
      </x:c>
      <x:c r="AL312" s="55" t="n">
        <x:v>1207</x:v>
      </x:c>
      <x:c r="AM312" s="55" t="n">
        <x:v>5607</x:v>
      </x:c>
      <x:c r="AN312" s="55" t="n">
        <x:v>2546</x:v>
      </x:c>
      <x:c r="AO312" s="55" t="n">
        <x:v>70</x:v>
      </x:c>
      <x:c r="AP312" s="55" t="n">
        <x:v>2640</x:v>
      </x:c>
      <x:c r="AQ312" s="55" t="n">
        <x:v>973</x:v>
      </x:c>
    </x:row>
    <x:row r="313">
      <x:c r="A313" s="54" t="str">
        <x:v>T2_CONCORDANT_DOMAIN</x:v>
      </x:c>
      <x:c r="B313" s="54" t="n">
        <x:v>307</x:v>
      </x:c>
      <x:c r="C313" s="54" t="str">
        <x:v>NYC-V2-R01</x:v>
      </x:c>
      <x:c r="D313" s="54" t="str">
        <x:v>V2</x:v>
      </x:c>
      <x:c r="E313" s="54" t="str">
        <x:v>ADMITTED</x:v>
      </x:c>
      <x:c r="F313" s="55" t="n">
        <x:v>32489</x:v>
      </x:c>
      <x:c r="G313" s="55" t="n">
        <x:v>8126</x:v>
      </x:c>
      <x:c r="H313" s="55" t="n">
        <x:v>3032</x:v>
      </x:c>
      <x:c r="I313" s="55" t="n">
        <x:v>1206</x:v>
      </x:c>
      <x:c r="J313" s="55" t="n">
        <x:v>256</x:v>
      </x:c>
      <x:c r="K313" s="55" t="n">
        <x:v>32489</x:v>
      </x:c>
      <x:c r="L313" s="55" t="n">
        <x:v>7961</x:v>
      </x:c>
      <x:c r="M313" s="55" t="n">
        <x:v>2469</x:v>
      </x:c>
      <x:c r="N313" s="55" t="n">
        <x:v>3128</x:v>
      </x:c>
      <x:c r="O313" s="55" t="n">
        <x:v>2364</x:v>
      </x:c>
      <x:c r="P313" s="55" t="n">
        <x:v>1126</x:v>
      </x:c>
      <x:c r="Q313" s="55" t="n">
        <x:v>2905</x:v>
      </x:c>
      <x:c r="R313" s="55" t="n">
        <x:v>1926</x:v>
      </x:c>
      <x:c r="S313" s="55" t="n">
        <x:v>2397</x:v>
      </x:c>
      <x:c r="T313" s="55" t="n">
        <x:v>1536</x:v>
      </x:c>
      <x:c r="U313" s="55" t="n">
        <x:v>2332</x:v>
      </x:c>
      <x:c r="V313" s="55" t="n">
        <x:v>10677</x:v>
      </x:c>
      <x:c r="W313" s="55" t="n">
        <x:v>7591</x:v>
      </x:c>
      <x:c r="X313" s="55" t="n">
        <x:v>3086</x:v>
      </x:c>
      <x:c r="Y313" s="55" t="n">
        <x:v>2794</x:v>
      </x:c>
      <x:c r="Z313" s="55" t="n">
        <x:v>3960</x:v>
      </x:c>
      <x:c r="AA313" s="55" t="n">
        <x:v>3032</x:v>
      </x:c>
      <x:c r="AB313" s="55" t="n">
        <x:v>1296</x:v>
      </x:c>
      <x:c r="AC313" s="55" t="n">
        <x:v>8589</x:v>
      </x:c>
      <x:c r="AD313" s="55" t="n">
        <x:v>3255</x:v>
      </x:c>
      <x:c r="AE313" s="55" t="n">
        <x:v>10772</x:v>
      </x:c>
      <x:c r="AF313" s="55" t="n">
        <x:v>10677</x:v>
      </x:c>
      <x:c r="AG313" s="55" t="n">
        <x:v>95</x:v>
      </x:c>
      <x:c r="AH313" s="55" t="n">
        <x:v>365</x:v>
      </x:c>
      <x:c r="AI313" s="55" t="n">
        <x:v>10312</x:v>
      </x:c>
      <x:c r="AJ313" s="55" t="n">
        <x:v>347</x:v>
      </x:c>
      <x:c r="AK313" s="55" t="n">
        <x:v>1185</x:v>
      </x:c>
      <x:c r="AL313" s="55" t="n">
        <x:v>1556</x:v>
      </x:c>
      <x:c r="AM313" s="55" t="n">
        <x:v>5322</x:v>
      </x:c>
      <x:c r="AN313" s="55" t="n">
        <x:v>2257</x:v>
      </x:c>
      <x:c r="AO313" s="55" t="n">
        <x:v>10</x:v>
      </x:c>
      <x:c r="AP313" s="55" t="n">
        <x:v>2509</x:v>
      </x:c>
      <x:c r="AQ313" s="55" t="n">
        <x:v>936</x:v>
      </x:c>
    </x:row>
    <x:row r="314">
      <x:c r="A314" s="54" t="str">
        <x:v>T2_CONCORDANT_DOMAIN</x:v>
      </x:c>
      <x:c r="B314" s="54" t="n">
        <x:v>308</x:v>
      </x:c>
      <x:c r="C314" s="54" t="str">
        <x:v>NYC-V2-R01</x:v>
      </x:c>
      <x:c r="D314" s="54" t="str">
        <x:v>V2</x:v>
      </x:c>
      <x:c r="E314" s="54" t="str">
        <x:v>ADMITTED</x:v>
      </x:c>
      <x:c r="F314" s="55" t="n">
        <x:v>30627</x:v>
      </x:c>
      <x:c r="G314" s="55" t="n">
        <x:v>7619</x:v>
      </x:c>
      <x:c r="H314" s="55" t="n">
        <x:v>3254</x:v>
      </x:c>
      <x:c r="I314" s="55" t="n">
        <x:v>1295</x:v>
      </x:c>
      <x:c r="J314" s="55" t="n">
        <x:v>214</x:v>
      </x:c>
      <x:c r="K314" s="55" t="n">
        <x:v>30627</x:v>
      </x:c>
      <x:c r="L314" s="55" t="n">
        <x:v>6065</x:v>
      </x:c>
      <x:c r="M314" s="55" t="n">
        <x:v>1292</x:v>
      </x:c>
      <x:c r="N314" s="55" t="n">
        <x:v>3036</x:v>
      </x:c>
      <x:c r="O314" s="55" t="n">
        <x:v>1737</x:v>
      </x:c>
      <x:c r="P314" s="55" t="n">
        <x:v>921</x:v>
      </x:c>
      <x:c r="Q314" s="55" t="n">
        <x:v>1904</x:v>
      </x:c>
      <x:c r="R314" s="55" t="n">
        <x:v>1915</x:v>
      </x:c>
      <x:c r="S314" s="55" t="n">
        <x:v>3104</x:v>
      </x:c>
      <x:c r="T314" s="55" t="n">
        <x:v>1094</x:v>
      </x:c>
      <x:c r="U314" s="55" t="n">
        <x:v>1842</x:v>
      </x:c>
      <x:c r="V314" s="55" t="n">
        <x:v>10770</x:v>
      </x:c>
      <x:c r="W314" s="55" t="n">
        <x:v>7732</x:v>
      </x:c>
      <x:c r="X314" s="55" t="n">
        <x:v>3038</x:v>
      </x:c>
      <x:c r="Y314" s="55" t="n">
        <x:v>2622</x:v>
      </x:c>
      <x:c r="Z314" s="55" t="n">
        <x:v>3921</x:v>
      </x:c>
      <x:c r="AA314" s="55" t="n">
        <x:v>2572</x:v>
      </x:c>
      <x:c r="AB314" s="55" t="n">
        <x:v>876</x:v>
      </x:c>
      <x:c r="AC314" s="55" t="n">
        <x:v>8117</x:v>
      </x:c>
      <x:c r="AD314" s="55" t="n">
        <x:v>2934</x:v>
      </x:c>
      <x:c r="AE314" s="55" t="n">
        <x:v>10823</x:v>
      </x:c>
      <x:c r="AF314" s="55" t="n">
        <x:v>10770</x:v>
      </x:c>
      <x:c r="AG314" s="55" t="n">
        <x:v>53</x:v>
      </x:c>
      <x:c r="AH314" s="55" t="n">
        <x:v>370</x:v>
      </x:c>
      <x:c r="AI314" s="55" t="n">
        <x:v>10400</x:v>
      </x:c>
      <x:c r="AJ314" s="55" t="n">
        <x:v>369</x:v>
      </x:c>
      <x:c r="AK314" s="55" t="n">
        <x:v>813</x:v>
      </x:c>
      <x:c r="AL314" s="55" t="n">
        <x:v>2055</x:v>
      </x:c>
      <x:c r="AM314" s="55" t="n">
        <x:v>5288</x:v>
      </x:c>
      <x:c r="AN314" s="55" t="n">
        <x:v>2245</x:v>
      </x:c>
      <x:c r="AO314" s="55" t="n">
        <x:v>0</x:v>
      </x:c>
      <x:c r="AP314" s="55" t="n">
        <x:v>2951</x:v>
      </x:c>
      <x:c r="AQ314" s="55" t="n">
        <x:v>952</x:v>
      </x:c>
    </x:row>
    <x:row r="315">
      <x:c r="A315" s="54" t="str">
        <x:v>T2_CONCORDANT_DOMAIN</x:v>
      </x:c>
      <x:c r="B315" s="54" t="n">
        <x:v>309</x:v>
      </x:c>
      <x:c r="C315" s="54" t="str">
        <x:v>NYC-V2-R01</x:v>
      </x:c>
      <x:c r="D315" s="54" t="str">
        <x:v>V2</x:v>
      </x:c>
      <x:c r="E315" s="54" t="str">
        <x:v>ADMITTED</x:v>
      </x:c>
      <x:c r="F315" s="55" t="n">
        <x:v>30857</x:v>
      </x:c>
      <x:c r="G315" s="55" t="n">
        <x:v>7802</x:v>
      </x:c>
      <x:c r="H315" s="55" t="n">
        <x:v>2926</x:v>
      </x:c>
      <x:c r="I315" s="55" t="n">
        <x:v>765</x:v>
      </x:c>
      <x:c r="J315" s="55" t="n">
        <x:v>134</x:v>
      </x:c>
      <x:c r="K315" s="55" t="n">
        <x:v>29285</x:v>
      </x:c>
      <x:c r="L315" s="55" t="n">
        <x:v>5738</x:v>
      </x:c>
      <x:c r="M315" s="55" t="n">
        <x:v>1272</x:v>
      </x:c>
      <x:c r="N315" s="55" t="n">
        <x:v>2919</x:v>
      </x:c>
      <x:c r="O315" s="55" t="n">
        <x:v>1547</x:v>
      </x:c>
      <x:c r="P315" s="55" t="n">
        <x:v>671</x:v>
      </x:c>
      <x:c r="Q315" s="55" t="n">
        <x:v>2302</x:v>
      </x:c>
      <x:c r="R315" s="55" t="n">
        <x:v>2009</x:v>
      </x:c>
      <x:c r="S315" s="55" t="n">
        <x:v>3055</x:v>
      </x:c>
      <x:c r="T315" s="55" t="n">
        <x:v>678</x:v>
      </x:c>
      <x:c r="U315" s="55" t="n">
        <x:v>1729</x:v>
      </x:c>
      <x:c r="V315" s="55" t="n">
        <x:v>10238</x:v>
      </x:c>
      <x:c r="W315" s="55" t="n">
        <x:v>6858</x:v>
      </x:c>
      <x:c r="X315" s="55" t="n">
        <x:v>3380</x:v>
      </x:c>
      <x:c r="Y315" s="55" t="n">
        <x:v>2923</x:v>
      </x:c>
      <x:c r="Z315" s="55" t="n">
        <x:v>3977</x:v>
      </x:c>
      <x:c r="AA315" s="55" t="n">
        <x:v>2926</x:v>
      </x:c>
      <x:c r="AB315" s="55" t="n">
        <x:v>760</x:v>
      </x:c>
      <x:c r="AC315" s="55" t="n">
        <x:v>7966</x:v>
      </x:c>
      <x:c r="AD315" s="55" t="n">
        <x:v>2699</x:v>
      </x:c>
      <x:c r="AE315" s="55" t="n">
        <x:v>10283</x:v>
      </x:c>
      <x:c r="AF315" s="55" t="n">
        <x:v>10238</x:v>
      </x:c>
      <x:c r="AG315" s="55" t="n">
        <x:v>45</x:v>
      </x:c>
      <x:c r="AH315" s="55" t="n">
        <x:v>437</x:v>
      </x:c>
      <x:c r="AI315" s="55" t="n">
        <x:v>9801</x:v>
      </x:c>
      <x:c r="AJ315" s="55" t="n">
        <x:v>298</x:v>
      </x:c>
      <x:c r="AK315" s="55" t="n">
        <x:v>856</x:v>
      </x:c>
      <x:c r="AL315" s="55" t="n">
        <x:v>1306</x:v>
      </x:c>
      <x:c r="AM315" s="55" t="n">
        <x:v>5257</x:v>
      </x:c>
      <x:c r="AN315" s="55" t="n">
        <x:v>2521</x:v>
      </x:c>
      <x:c r="AO315" s="55" t="n">
        <x:v>0</x:v>
      </x:c>
      <x:c r="AP315" s="55" t="n">
        <x:v>2400</x:v>
      </x:c>
      <x:c r="AQ315" s="55" t="n">
        <x:v>946</x:v>
      </x:c>
    </x:row>
    <x:row r="316">
      <x:c r="A316" s="54" t="str">
        <x:v>T2_CONCORDANT_DOMAIN</x:v>
      </x:c>
      <x:c r="B316" s="54" t="n">
        <x:v>310</x:v>
      </x:c>
      <x:c r="C316" s="54" t="str">
        <x:v>NYC-V2-R01</x:v>
      </x:c>
      <x:c r="D316" s="54" t="str">
        <x:v>V2</x:v>
      </x:c>
      <x:c r="E316" s="54" t="str">
        <x:v>ADMITTED</x:v>
      </x:c>
      <x:c r="F316" s="55" t="n">
        <x:v>31774</x:v>
      </x:c>
      <x:c r="G316" s="55" t="n">
        <x:v>7912</x:v>
      </x:c>
      <x:c r="H316" s="55" t="n">
        <x:v>3176</x:v>
      </x:c>
      <x:c r="I316" s="55" t="n">
        <x:v>1053</x:v>
      </x:c>
      <x:c r="J316" s="55" t="n">
        <x:v>237</x:v>
      </x:c>
      <x:c r="K316" s="55" t="n">
        <x:v>28385</x:v>
      </x:c>
      <x:c r="L316" s="55" t="n">
        <x:v>4776</x:v>
      </x:c>
      <x:c r="M316" s="55" t="n">
        <x:v>653</x:v>
      </x:c>
      <x:c r="N316" s="55" t="n">
        <x:v>2570</x:v>
      </x:c>
      <x:c r="O316" s="55" t="n">
        <x:v>1553</x:v>
      </x:c>
      <x:c r="P316" s="55" t="n">
        <x:v>480</x:v>
      </x:c>
      <x:c r="Q316" s="55" t="n">
        <x:v>1475</x:v>
      </x:c>
      <x:c r="R316" s="55" t="n">
        <x:v>1586</x:v>
      </x:c>
      <x:c r="S316" s="55" t="n">
        <x:v>2845</x:v>
      </x:c>
      <x:c r="T316" s="55" t="n">
        <x:v>711</x:v>
      </x:c>
      <x:c r="U316" s="55" t="n">
        <x:v>1195</x:v>
      </x:c>
      <x:c r="V316" s="55" t="n">
        <x:v>9356</x:v>
      </x:c>
      <x:c r="W316" s="55" t="n">
        <x:v>6428</x:v>
      </x:c>
      <x:c r="X316" s="55" t="n">
        <x:v>2928</x:v>
      </x:c>
      <x:c r="Y316" s="55" t="n">
        <x:v>2694</x:v>
      </x:c>
      <x:c r="Z316" s="55" t="n">
        <x:v>2942</x:v>
      </x:c>
      <x:c r="AA316" s="55" t="n">
        <x:v>2465</x:v>
      </x:c>
      <x:c r="AB316" s="55" t="n">
        <x:v>648</x:v>
      </x:c>
      <x:c r="AC316" s="55" t="n">
        <x:v>7587</x:v>
      </x:c>
      <x:c r="AD316" s="55" t="n">
        <x:v>2637</x:v>
      </x:c>
      <x:c r="AE316" s="55" t="n">
        <x:v>9385</x:v>
      </x:c>
      <x:c r="AF316" s="55" t="n">
        <x:v>9356</x:v>
      </x:c>
      <x:c r="AG316" s="55" t="n">
        <x:v>29</x:v>
      </x:c>
      <x:c r="AH316" s="55" t="n">
        <x:v>268</x:v>
      </x:c>
      <x:c r="AI316" s="55" t="n">
        <x:v>9088</x:v>
      </x:c>
      <x:c r="AJ316" s="55" t="n">
        <x:v>185</x:v>
      </x:c>
      <x:c r="AK316" s="55" t="n">
        <x:v>709</x:v>
      </x:c>
      <x:c r="AL316" s="55" t="n">
        <x:v>1286</x:v>
      </x:c>
      <x:c r="AM316" s="55" t="n">
        <x:v>4482</x:v>
      </x:c>
      <x:c r="AN316" s="55" t="n">
        <x:v>2653</x:v>
      </x:c>
      <x:c r="AO316" s="55" t="n">
        <x:v>41</x:v>
      </x:c>
      <x:c r="AP316" s="55" t="n">
        <x:v>1776</x:v>
      </x:c>
      <x:c r="AQ316" s="55" t="n">
        <x:v>944</x:v>
      </x:c>
    </x:row>
    <x:row r="317">
      <x:c r="A317" s="54" t="str">
        <x:v>T2_CONCORDANT_DOMAIN</x:v>
      </x:c>
      <x:c r="B317" s="54" t="n">
        <x:v>311</x:v>
      </x:c>
      <x:c r="C317" s="54" t="str">
        <x:v>NYC-V2-R01</x:v>
      </x:c>
      <x:c r="D317" s="54" t="str">
        <x:v>V2</x:v>
      </x:c>
      <x:c r="E317" s="54" t="str">
        <x:v>ADMITTED</x:v>
      </x:c>
      <x:c r="F317" s="55" t="n">
        <x:v>34821</x:v>
      </x:c>
      <x:c r="G317" s="55" t="n">
        <x:v>8597</x:v>
      </x:c>
      <x:c r="H317" s="55" t="n">
        <x:v>3149</x:v>
      </x:c>
      <x:c r="I317" s="55" t="n">
        <x:v>1494</x:v>
      </x:c>
      <x:c r="J317" s="55" t="n">
        <x:v>49</x:v>
      </x:c>
      <x:c r="K317" s="55" t="n">
        <x:v>34821</x:v>
      </x:c>
      <x:c r="L317" s="55" t="n">
        <x:v>6763</x:v>
      </x:c>
      <x:c r="M317" s="55" t="n">
        <x:v>1650</x:v>
      </x:c>
      <x:c r="N317" s="55" t="n">
        <x:v>2955</x:v>
      </x:c>
      <x:c r="O317" s="55" t="n">
        <x:v>2158</x:v>
      </x:c>
      <x:c r="P317" s="55" t="n">
        <x:v>1035</x:v>
      </x:c>
      <x:c r="Q317" s="55" t="n">
        <x:v>3109</x:v>
      </x:c>
      <x:c r="R317" s="55" t="n">
        <x:v>2122</x:v>
      </x:c>
      <x:c r="S317" s="55" t="n">
        <x:v>3100</x:v>
      </x:c>
      <x:c r="T317" s="55" t="n">
        <x:v>1364</x:v>
      </x:c>
      <x:c r="U317" s="55" t="n">
        <x:v>2249</x:v>
      </x:c>
      <x:c r="V317" s="55" t="n">
        <x:v>10042</x:v>
      </x:c>
      <x:c r="W317" s="55" t="n">
        <x:v>7220</x:v>
      </x:c>
      <x:c r="X317" s="55" t="n">
        <x:v>2822</x:v>
      </x:c>
      <x:c r="Y317" s="55" t="n">
        <x:v>2399</x:v>
      </x:c>
      <x:c r="Z317" s="55" t="n">
        <x:v>3608</x:v>
      </x:c>
      <x:c r="AA317" s="55" t="n">
        <x:v>2995</x:v>
      </x:c>
      <x:c r="AB317" s="55" t="n">
        <x:v>1041</x:v>
      </x:c>
      <x:c r="AC317" s="55" t="n">
        <x:v>8201</x:v>
      </x:c>
      <x:c r="AD317" s="55" t="n">
        <x:v>2737</x:v>
      </x:c>
      <x:c r="AE317" s="55" t="n">
        <x:v>10120</x:v>
      </x:c>
      <x:c r="AF317" s="55" t="n">
        <x:v>10042</x:v>
      </x:c>
      <x:c r="AG317" s="55" t="n">
        <x:v>78</x:v>
      </x:c>
      <x:c r="AH317" s="55" t="n">
        <x:v>422</x:v>
      </x:c>
      <x:c r="AI317" s="55" t="n">
        <x:v>9620</x:v>
      </x:c>
      <x:c r="AJ317" s="55" t="n">
        <x:v>229</x:v>
      </x:c>
      <x:c r="AK317" s="55" t="n">
        <x:v>1201</x:v>
      </x:c>
      <x:c r="AL317" s="55" t="n">
        <x:v>1227</x:v>
      </x:c>
      <x:c r="AM317" s="55" t="n">
        <x:v>4875</x:v>
      </x:c>
      <x:c r="AN317" s="55" t="n">
        <x:v>2510</x:v>
      </x:c>
      <x:c r="AO317" s="55" t="n">
        <x:v>0</x:v>
      </x:c>
      <x:c r="AP317" s="55" t="n">
        <x:v>1933</x:v>
      </x:c>
      <x:c r="AQ317" s="55" t="n">
        <x:v>983</x:v>
      </x:c>
    </x:row>
    <x:row r="318">
      <x:c r="A318" s="54" t="str">
        <x:v>T2_CONCORDANT_DOMAIN</x:v>
      </x:c>
      <x:c r="B318" s="54" t="n">
        <x:v>312</x:v>
      </x:c>
      <x:c r="C318" s="54" t="str">
        <x:v>NYC-V2-R01</x:v>
      </x:c>
      <x:c r="D318" s="54" t="str">
        <x:v>V2</x:v>
      </x:c>
      <x:c r="E318" s="54" t="str">
        <x:v>ADMITTED</x:v>
      </x:c>
      <x:c r="F318" s="55" t="n">
        <x:v>30947</x:v>
      </x:c>
      <x:c r="G318" s="55" t="n">
        <x:v>7079</x:v>
      </x:c>
      <x:c r="H318" s="55" t="n">
        <x:v>3511</x:v>
      </x:c>
      <x:c r="I318" s="55" t="n">
        <x:v>1600</x:v>
      </x:c>
      <x:c r="J318" s="55" t="n">
        <x:v>252</x:v>
      </x:c>
      <x:c r="K318" s="55" t="n">
        <x:v>30947</x:v>
      </x:c>
      <x:c r="L318" s="55" t="n">
        <x:v>4836</x:v>
      </x:c>
      <x:c r="M318" s="55" t="n">
        <x:v>171</x:v>
      </x:c>
      <x:c r="N318" s="55" t="n">
        <x:v>2936</x:v>
      </x:c>
      <x:c r="O318" s="55" t="n">
        <x:v>1729</x:v>
      </x:c>
      <x:c r="P318" s="55" t="n">
        <x:v>1089</x:v>
      </x:c>
      <x:c r="Q318" s="55" t="n">
        <x:v>2953</x:v>
      </x:c>
      <x:c r="R318" s="55" t="n">
        <x:v>2240</x:v>
      </x:c>
      <x:c r="S318" s="55" t="n">
        <x:v>3025</x:v>
      </x:c>
      <x:c r="T318" s="55" t="n">
        <x:v>1805</x:v>
      </x:c>
      <x:c r="U318" s="55" t="n">
        <x:v>2313</x:v>
      </x:c>
      <x:c r="V318" s="55" t="n">
        <x:v>10023</x:v>
      </x:c>
      <x:c r="W318" s="55" t="n">
        <x:v>7136</x:v>
      </x:c>
      <x:c r="X318" s="55" t="n">
        <x:v>2887</x:v>
      </x:c>
      <x:c r="Y318" s="55" t="n">
        <x:v>2640</x:v>
      </x:c>
      <x:c r="Z318" s="55" t="n">
        <x:v>3596</x:v>
      </x:c>
      <x:c r="AA318" s="55" t="n">
        <x:v>3179</x:v>
      </x:c>
      <x:c r="AB318" s="55" t="n">
        <x:v>1093</x:v>
      </x:c>
      <x:c r="AC318" s="55" t="n">
        <x:v>8176</x:v>
      </x:c>
      <x:c r="AD318" s="55" t="n">
        <x:v>2843</x:v>
      </x:c>
      <x:c r="AE318" s="55" t="n">
        <x:v>10138</x:v>
      </x:c>
      <x:c r="AF318" s="55" t="n">
        <x:v>10023</x:v>
      </x:c>
      <x:c r="AG318" s="55" t="n">
        <x:v>115</x:v>
      </x:c>
      <x:c r="AH318" s="55" t="n">
        <x:v>343</x:v>
      </x:c>
      <x:c r="AI318" s="55" t="n">
        <x:v>9680</x:v>
      </x:c>
      <x:c r="AJ318" s="55" t="n">
        <x:v>200</x:v>
      </x:c>
      <x:c r="AK318" s="55" t="n">
        <x:v>1243</x:v>
      </x:c>
      <x:c r="AL318" s="55" t="n">
        <x:v>1602</x:v>
      </x:c>
      <x:c r="AM318" s="55" t="n">
        <x:v>4793</x:v>
      </x:c>
      <x:c r="AN318" s="55" t="n">
        <x:v>2185</x:v>
      </x:c>
      <x:c r="AO318" s="55" t="n">
        <x:v>0</x:v>
      </x:c>
      <x:c r="AP318" s="55" t="n">
        <x:v>2529</x:v>
      </x:c>
      <x:c r="AQ318" s="55" t="n">
        <x:v>953</x:v>
      </x:c>
    </x:row>
    <x:row r="319">
      <x:c r="A319" s="54" t="str">
        <x:v>T2_CONCORDANT_DOMAIN</x:v>
      </x:c>
      <x:c r="B319" s="54" t="n">
        <x:v>313</x:v>
      </x:c>
      <x:c r="C319" s="54" t="str">
        <x:v>NYC-V2-R01</x:v>
      </x:c>
      <x:c r="D319" s="54" t="str">
        <x:v>V2</x:v>
      </x:c>
      <x:c r="E319" s="54" t="str">
        <x:v>ADMITTED</x:v>
      </x:c>
      <x:c r="F319" s="55" t="n">
        <x:v>31499</x:v>
      </x:c>
      <x:c r="G319" s="55" t="n">
        <x:v>8096</x:v>
      </x:c>
      <x:c r="H319" s="55" t="n">
        <x:v>3235</x:v>
      </x:c>
      <x:c r="I319" s="55" t="n">
        <x:v>1449</x:v>
      </x:c>
      <x:c r="J319" s="55" t="n">
        <x:v>364</x:v>
      </x:c>
      <x:c r="K319" s="55" t="n">
        <x:v>31499</x:v>
      </x:c>
      <x:c r="L319" s="55" t="n">
        <x:v>5042</x:v>
      </x:c>
      <x:c r="M319" s="55" t="n">
        <x:v>1114</x:v>
      </x:c>
      <x:c r="N319" s="55" t="n">
        <x:v>2459</x:v>
      </x:c>
      <x:c r="O319" s="55" t="n">
        <x:v>1469</x:v>
      </x:c>
      <x:c r="P319" s="55" t="n">
        <x:v>922</x:v>
      </x:c>
      <x:c r="Q319" s="55" t="n">
        <x:v>2354</x:v>
      </x:c>
      <x:c r="R319" s="55" t="n">
        <x:v>1983</x:v>
      </x:c>
      <x:c r="S319" s="55" t="n">
        <x:v>2840</x:v>
      </x:c>
      <x:c r="T319" s="55" t="n">
        <x:v>1229</x:v>
      </x:c>
      <x:c r="U319" s="55" t="n">
        <x:v>1976</x:v>
      </x:c>
      <x:c r="V319" s="55" t="n">
        <x:v>11128</x:v>
      </x:c>
      <x:c r="W319" s="55" t="n">
        <x:v>8070</x:v>
      </x:c>
      <x:c r="X319" s="55" t="n">
        <x:v>3058</x:v>
      </x:c>
      <x:c r="Y319" s="55" t="n">
        <x:v>2674</x:v>
      </x:c>
      <x:c r="Z319" s="55" t="n">
        <x:v>3390</x:v>
      </x:c>
      <x:c r="AA319" s="55" t="n">
        <x:v>3235</x:v>
      </x:c>
      <x:c r="AB319" s="55" t="n">
        <x:v>1328</x:v>
      </x:c>
      <x:c r="AC319" s="55" t="n">
        <x:v>7746</x:v>
      </x:c>
      <x:c r="AD319" s="55" t="n">
        <x:v>2815</x:v>
      </x:c>
      <x:c r="AE319" s="55" t="n">
        <x:v>11198</x:v>
      </x:c>
      <x:c r="AF319" s="55" t="n">
        <x:v>11128</x:v>
      </x:c>
      <x:c r="AG319" s="55" t="n">
        <x:v>70</x:v>
      </x:c>
      <x:c r="AH319" s="55" t="n">
        <x:v>531</x:v>
      </x:c>
      <x:c r="AI319" s="55" t="n">
        <x:v>10597</x:v>
      </x:c>
      <x:c r="AJ319" s="55" t="n">
        <x:v>368</x:v>
      </x:c>
      <x:c r="AK319" s="55" t="n">
        <x:v>1045</x:v>
      </x:c>
      <x:c r="AL319" s="55" t="n">
        <x:v>1639</x:v>
      </x:c>
      <x:c r="AM319" s="55" t="n">
        <x:v>5174</x:v>
      </x:c>
      <x:c r="AN319" s="55" t="n">
        <x:v>2894</x:v>
      </x:c>
      <x:c r="AO319" s="55" t="n">
        <x:v>8</x:v>
      </x:c>
      <x:c r="AP319" s="55" t="n">
        <x:v>2463</x:v>
      </x:c>
      <x:c r="AQ319" s="55" t="n">
        <x:v>1004</x:v>
      </x:c>
    </x:row>
    <x:row r="320">
      <x:c r="A320" s="54" t="str">
        <x:v>T2_CONCORDANT_DOMAIN</x:v>
      </x:c>
      <x:c r="B320" s="54" t="n">
        <x:v>314</x:v>
      </x:c>
      <x:c r="C320" s="54" t="str">
        <x:v>NYC-V2-R01</x:v>
      </x:c>
      <x:c r="D320" s="54" t="str">
        <x:v>V2</x:v>
      </x:c>
      <x:c r="E320" s="54" t="str">
        <x:v>ADMITTED</x:v>
      </x:c>
      <x:c r="F320" s="55" t="n">
        <x:v>31959</x:v>
      </x:c>
      <x:c r="G320" s="55" t="n">
        <x:v>7306</x:v>
      </x:c>
      <x:c r="H320" s="55" t="n">
        <x:v>3099</x:v>
      </x:c>
      <x:c r="I320" s="55" t="n">
        <x:v>1455</x:v>
      </x:c>
      <x:c r="J320" s="55" t="n">
        <x:v>260</x:v>
      </x:c>
      <x:c r="K320" s="55" t="n">
        <x:v>31959</x:v>
      </x:c>
      <x:c r="L320" s="55" t="n">
        <x:v>6761</x:v>
      </x:c>
      <x:c r="M320" s="55" t="n">
        <x:v>1931</x:v>
      </x:c>
      <x:c r="N320" s="55" t="n">
        <x:v>3275</x:v>
      </x:c>
      <x:c r="O320" s="55" t="n">
        <x:v>1555</x:v>
      </x:c>
      <x:c r="P320" s="55" t="n">
        <x:v>934</x:v>
      </x:c>
      <x:c r="Q320" s="55" t="n">
        <x:v>2771</x:v>
      </x:c>
      <x:c r="R320" s="55" t="n">
        <x:v>1450</x:v>
      </x:c>
      <x:c r="S320" s="55" t="n">
        <x:v>2977</x:v>
      </x:c>
      <x:c r="T320" s="55" t="n">
        <x:v>1285</x:v>
      </x:c>
      <x:c r="U320" s="55" t="n">
        <x:v>2245</x:v>
      </x:c>
      <x:c r="V320" s="55" t="n">
        <x:v>10726</x:v>
      </x:c>
      <x:c r="W320" s="55" t="n">
        <x:v>7585</x:v>
      </x:c>
      <x:c r="X320" s="55" t="n">
        <x:v>3141</x:v>
      </x:c>
      <x:c r="Y320" s="55" t="n">
        <x:v>2600</x:v>
      </x:c>
      <x:c r="Z320" s="55" t="n">
        <x:v>3656</x:v>
      </x:c>
      <x:c r="AA320" s="55" t="n">
        <x:v>3081</x:v>
      </x:c>
      <x:c r="AB320" s="55" t="n">
        <x:v>1203</x:v>
      </x:c>
      <x:c r="AC320" s="55" t="n">
        <x:v>7787</x:v>
      </x:c>
      <x:c r="AD320" s="55" t="n">
        <x:v>3418</x:v>
      </x:c>
      <x:c r="AE320" s="55" t="n">
        <x:v>10875</x:v>
      </x:c>
      <x:c r="AF320" s="55" t="n">
        <x:v>10726</x:v>
      </x:c>
      <x:c r="AG320" s="55" t="n">
        <x:v>149</x:v>
      </x:c>
      <x:c r="AH320" s="55" t="n">
        <x:v>500</x:v>
      </x:c>
      <x:c r="AI320" s="55" t="n">
        <x:v>10226</x:v>
      </x:c>
      <x:c r="AJ320" s="55" t="n">
        <x:v>442</x:v>
      </x:c>
      <x:c r="AK320" s="55" t="n">
        <x:v>1214</x:v>
      </x:c>
      <x:c r="AL320" s="55" t="n">
        <x:v>1824</x:v>
      </x:c>
      <x:c r="AM320" s="55" t="n">
        <x:v>4467</x:v>
      </x:c>
      <x:c r="AN320" s="55" t="n">
        <x:v>2694</x:v>
      </x:c>
      <x:c r="AO320" s="55" t="n">
        <x:v>85</x:v>
      </x:c>
      <x:c r="AP320" s="55" t="n">
        <x:v>2537</x:v>
      </x:c>
      <x:c r="AQ320" s="55" t="n">
        <x:v>953</x:v>
      </x:c>
    </x:row>
    <x:row r="321">
      <x:c r="A321" s="54" t="str">
        <x:v>T2_CONCORDANT_DOMAIN</x:v>
      </x:c>
      <x:c r="B321" s="54" t="n">
        <x:v>315</x:v>
      </x:c>
      <x:c r="C321" s="54" t="str">
        <x:v>NYC-V2-R01</x:v>
      </x:c>
      <x:c r="D321" s="54" t="str">
        <x:v>V2</x:v>
      </x:c>
      <x:c r="E321" s="54" t="str">
        <x:v>ADMITTED</x:v>
      </x:c>
      <x:c r="F321" s="55" t="n">
        <x:v>33771</x:v>
      </x:c>
      <x:c r="G321" s="55" t="n">
        <x:v>8284</x:v>
      </x:c>
      <x:c r="H321" s="55" t="n">
        <x:v>3023</x:v>
      </x:c>
      <x:c r="I321" s="55" t="n">
        <x:v>1190</x:v>
      </x:c>
      <x:c r="J321" s="55" t="n">
        <x:v>160</x:v>
      </x:c>
      <x:c r="K321" s="55" t="n">
        <x:v>33771</x:v>
      </x:c>
      <x:c r="L321" s="55" t="n">
        <x:v>6778</x:v>
      </x:c>
      <x:c r="M321" s="55" t="n">
        <x:v>1634</x:v>
      </x:c>
      <x:c r="N321" s="55" t="n">
        <x:v>3254</x:v>
      </x:c>
      <x:c r="O321" s="55" t="n">
        <x:v>1890</x:v>
      </x:c>
      <x:c r="P321" s="55" t="n">
        <x:v>1455</x:v>
      </x:c>
      <x:c r="Q321" s="55" t="n">
        <x:v>3013</x:v>
      </x:c>
      <x:c r="R321" s="55" t="n">
        <x:v>2232</x:v>
      </x:c>
      <x:c r="S321" s="55" t="n">
        <x:v>2802</x:v>
      </x:c>
      <x:c r="T321" s="55" t="n">
        <x:v>1441</x:v>
      </x:c>
      <x:c r="U321" s="55" t="n">
        <x:v>1656</x:v>
      </x:c>
      <x:c r="V321" s="55" t="n">
        <x:v>10457</x:v>
      </x:c>
      <x:c r="W321" s="55" t="n">
        <x:v>7540</x:v>
      </x:c>
      <x:c r="X321" s="55" t="n">
        <x:v>2917</x:v>
      </x:c>
      <x:c r="Y321" s="55" t="n">
        <x:v>2637</x:v>
      </x:c>
      <x:c r="Z321" s="55" t="n">
        <x:v>3410</x:v>
      </x:c>
      <x:c r="AA321" s="55" t="n">
        <x:v>2725</x:v>
      </x:c>
      <x:c r="AB321" s="55" t="n">
        <x:v>1089</x:v>
      </x:c>
      <x:c r="AC321" s="55" t="n">
        <x:v>8057</x:v>
      </x:c>
      <x:c r="AD321" s="55" t="n">
        <x:v>3058</x:v>
      </x:c>
      <x:c r="AE321" s="55" t="n">
        <x:v>10561</x:v>
      </x:c>
      <x:c r="AF321" s="55" t="n">
        <x:v>10457</x:v>
      </x:c>
      <x:c r="AG321" s="55" t="n">
        <x:v>104</x:v>
      </x:c>
      <x:c r="AH321" s="55" t="n">
        <x:v>581</x:v>
      </x:c>
      <x:c r="AI321" s="55" t="n">
        <x:v>9876</x:v>
      </x:c>
      <x:c r="AJ321" s="55" t="n">
        <x:v>206</x:v>
      </x:c>
      <x:c r="AK321" s="55" t="n">
        <x:v>1080</x:v>
      </x:c>
      <x:c r="AL321" s="55" t="n">
        <x:v>1614</x:v>
      </x:c>
      <x:c r="AM321" s="55" t="n">
        <x:v>4904</x:v>
      </x:c>
      <x:c r="AN321" s="55" t="n">
        <x:v>2629</x:v>
      </x:c>
      <x:c r="AO321" s="55" t="n">
        <x:v>24</x:v>
      </x:c>
      <x:c r="AP321" s="55" t="n">
        <x:v>2687</x:v>
      </x:c>
      <x:c r="AQ321" s="55" t="n">
        <x:v>951</x:v>
      </x:c>
    </x:row>
    <x:row r="322">
      <x:c r="A322" s="54" t="str">
        <x:v>T2_CONCORDANT_DOMAIN</x:v>
      </x:c>
      <x:c r="B322" s="54" t="n">
        <x:v>316</x:v>
      </x:c>
      <x:c r="C322" s="54" t="str">
        <x:v>NYC-V2-R01</x:v>
      </x:c>
      <x:c r="D322" s="54" t="str">
        <x:v>V2</x:v>
      </x:c>
      <x:c r="E322" s="54" t="str">
        <x:v>ADMITTED</x:v>
      </x:c>
      <x:c r="F322" s="55" t="n">
        <x:v>31363</x:v>
      </x:c>
      <x:c r="G322" s="55" t="n">
        <x:v>8322</x:v>
      </x:c>
      <x:c r="H322" s="55" t="n">
        <x:v>3006</x:v>
      </x:c>
      <x:c r="I322" s="55" t="n">
        <x:v>1051</x:v>
      </x:c>
      <x:c r="J322" s="55" t="n">
        <x:v>165</x:v>
      </x:c>
      <x:c r="K322" s="55" t="n">
        <x:v>29538</x:v>
      </x:c>
      <x:c r="L322" s="55" t="n">
        <x:v>5036</x:v>
      </x:c>
      <x:c r="M322" s="55" t="n">
        <x:v>1550</x:v>
      </x:c>
      <x:c r="N322" s="55" t="n">
        <x:v>2279</x:v>
      </x:c>
      <x:c r="O322" s="55" t="n">
        <x:v>1207</x:v>
      </x:c>
      <x:c r="P322" s="55" t="n">
        <x:v>504</x:v>
      </x:c>
      <x:c r="Q322" s="55" t="n">
        <x:v>2473</x:v>
      </x:c>
      <x:c r="R322" s="55" t="n">
        <x:v>1598</x:v>
      </x:c>
      <x:c r="S322" s="55" t="n">
        <x:v>2958</x:v>
      </x:c>
      <x:c r="T322" s="55" t="n">
        <x:v>1145</x:v>
      </x:c>
      <x:c r="U322" s="55" t="n">
        <x:v>1571</x:v>
      </x:c>
      <x:c r="V322" s="55" t="n">
        <x:v>10423</x:v>
      </x:c>
      <x:c r="W322" s="55" t="n">
        <x:v>7588</x:v>
      </x:c>
      <x:c r="X322" s="55" t="n">
        <x:v>2835</x:v>
      </x:c>
      <x:c r="Y322" s="55" t="n">
        <x:v>2523</x:v>
      </x:c>
      <x:c r="Z322" s="55" t="n">
        <x:v>3911</x:v>
      </x:c>
      <x:c r="AA322" s="55" t="n">
        <x:v>2904</x:v>
      </x:c>
      <x:c r="AB322" s="55" t="n">
        <x:v>653</x:v>
      </x:c>
      <x:c r="AC322" s="55" t="n">
        <x:v>8068</x:v>
      </x:c>
      <x:c r="AD322" s="55" t="n">
        <x:v>2632</x:v>
      </x:c>
      <x:c r="AE322" s="55" t="n">
        <x:v>10485</x:v>
      </x:c>
      <x:c r="AF322" s="55" t="n">
        <x:v>10423</x:v>
      </x:c>
      <x:c r="AG322" s="55" t="n">
        <x:v>62</x:v>
      </x:c>
      <x:c r="AH322" s="55" t="n">
        <x:v>496</x:v>
      </x:c>
      <x:c r="AI322" s="55" t="n">
        <x:v>9927</x:v>
      </x:c>
      <x:c r="AJ322" s="55" t="n">
        <x:v>311</x:v>
      </x:c>
      <x:c r="AK322" s="55" t="n">
        <x:v>1148</x:v>
      </x:c>
      <x:c r="AL322" s="55" t="n">
        <x:v>1407</x:v>
      </x:c>
      <x:c r="AM322" s="55" t="n">
        <x:v>4508</x:v>
      </x:c>
      <x:c r="AN322" s="55" t="n">
        <x:v>3041</x:v>
      </x:c>
      <x:c r="AO322" s="55" t="n">
        <x:v>8</x:v>
      </x:c>
      <x:c r="AP322" s="55" t="n">
        <x:v>2360</x:v>
      </x:c>
      <x:c r="AQ322" s="55" t="n">
        <x:v>939</x:v>
      </x:c>
    </x:row>
    <x:row r="323">
      <x:c r="A323" s="54" t="str">
        <x:v>T2_CONCORDANT_DOMAIN</x:v>
      </x:c>
      <x:c r="B323" s="54" t="n">
        <x:v>317</x:v>
      </x:c>
      <x:c r="C323" s="54" t="str">
        <x:v>NYC-V2-R01</x:v>
      </x:c>
      <x:c r="D323" s="54" t="str">
        <x:v>V2</x:v>
      </x:c>
      <x:c r="E323" s="54" t="str">
        <x:v>ADMITTED</x:v>
      </x:c>
      <x:c r="F323" s="55" t="n">
        <x:v>34132</x:v>
      </x:c>
      <x:c r="G323" s="55" t="n">
        <x:v>9675</x:v>
      </x:c>
      <x:c r="H323" s="55" t="n">
        <x:v>3492</x:v>
      </x:c>
      <x:c r="I323" s="55" t="n">
        <x:v>1688</x:v>
      </x:c>
      <x:c r="J323" s="55" t="n">
        <x:v>364</x:v>
      </x:c>
      <x:c r="K323" s="55" t="n">
        <x:v>33565</x:v>
      </x:c>
      <x:c r="L323" s="55" t="n">
        <x:v>7039</x:v>
      </x:c>
      <x:c r="M323" s="55" t="n">
        <x:v>1696</x:v>
      </x:c>
      <x:c r="N323" s="55" t="n">
        <x:v>3219</x:v>
      </x:c>
      <x:c r="O323" s="55" t="n">
        <x:v>2124</x:v>
      </x:c>
      <x:c r="P323" s="55" t="n">
        <x:v>1143</x:v>
      </x:c>
      <x:c r="Q323" s="55" t="n">
        <x:v>3106</x:v>
      </x:c>
      <x:c r="R323" s="55" t="n">
        <x:v>2681</x:v>
      </x:c>
      <x:c r="S323" s="55" t="n">
        <x:v>3577</x:v>
      </x:c>
      <x:c r="T323" s="55" t="n">
        <x:v>1438</x:v>
      </x:c>
      <x:c r="U323" s="55" t="n">
        <x:v>2393</x:v>
      </x:c>
      <x:c r="V323" s="55" t="n">
        <x:v>11045</x:v>
      </x:c>
      <x:c r="W323" s="55" t="n">
        <x:v>7813</x:v>
      </x:c>
      <x:c r="X323" s="55" t="n">
        <x:v>3232</x:v>
      </x:c>
      <x:c r="Y323" s="55" t="n">
        <x:v>2943</x:v>
      </x:c>
      <x:c r="Z323" s="55" t="n">
        <x:v>4208</x:v>
      </x:c>
      <x:c r="AA323" s="55" t="n">
        <x:v>3492</x:v>
      </x:c>
      <x:c r="AB323" s="55" t="n">
        <x:v>1464</x:v>
      </x:c>
      <x:c r="AC323" s="55" t="n">
        <x:v>8571</x:v>
      </x:c>
      <x:c r="AD323" s="55" t="n">
        <x:v>3422</x:v>
      </x:c>
      <x:c r="AE323" s="55" t="n">
        <x:v>11192</x:v>
      </x:c>
      <x:c r="AF323" s="55" t="n">
        <x:v>11045</x:v>
      </x:c>
      <x:c r="AG323" s="55" t="n">
        <x:v>147</x:v>
      </x:c>
      <x:c r="AH323" s="55" t="n">
        <x:v>498</x:v>
      </x:c>
      <x:c r="AI323" s="55" t="n">
        <x:v>10547</x:v>
      </x:c>
      <x:c r="AJ323" s="55" t="n">
        <x:v>594</x:v>
      </x:c>
      <x:c r="AK323" s="55" t="n">
        <x:v>932</x:v>
      </x:c>
      <x:c r="AL323" s="55" t="n">
        <x:v>1787</x:v>
      </x:c>
      <x:c r="AM323" s="55" t="n">
        <x:v>4870</x:v>
      </x:c>
      <x:c r="AN323" s="55" t="n">
        <x:v>2765</x:v>
      </x:c>
      <x:c r="AO323" s="55" t="n">
        <x:v>97</x:v>
      </x:c>
      <x:c r="AP323" s="55" t="n">
        <x:v>2482</x:v>
      </x:c>
      <x:c r="AQ323" s="55" t="n">
        <x:v>999</x:v>
      </x:c>
    </x:row>
    <x:row r="324">
      <x:c r="A324" s="54" t="str">
        <x:v>T2_CONCORDANT_DOMAIN</x:v>
      </x:c>
      <x:c r="B324" s="54" t="n">
        <x:v>318</x:v>
      </x:c>
      <x:c r="C324" s="54" t="str">
        <x:v>NYC-V2-R01</x:v>
      </x:c>
      <x:c r="D324" s="54" t="str">
        <x:v>V2</x:v>
      </x:c>
      <x:c r="E324" s="54" t="str">
        <x:v>ADMITTED</x:v>
      </x:c>
      <x:c r="F324" s="55" t="n">
        <x:v>29432</x:v>
      </x:c>
      <x:c r="G324" s="55" t="n">
        <x:v>7769</x:v>
      </x:c>
      <x:c r="H324" s="55" t="n">
        <x:v>3450</x:v>
      </x:c>
      <x:c r="I324" s="55" t="n">
        <x:v>775</x:v>
      </x:c>
      <x:c r="J324" s="55" t="n">
        <x:v>28</x:v>
      </x:c>
      <x:c r="K324" s="55" t="n">
        <x:v>29076</x:v>
      </x:c>
      <x:c r="L324" s="55" t="n">
        <x:v>5071</x:v>
      </x:c>
      <x:c r="M324" s="55" t="n">
        <x:v>531</x:v>
      </x:c>
      <x:c r="N324" s="55" t="n">
        <x:v>2791</x:v>
      </x:c>
      <x:c r="O324" s="55" t="n">
        <x:v>1749</x:v>
      </x:c>
      <x:c r="P324" s="55" t="n">
        <x:v>715</x:v>
      </x:c>
      <x:c r="Q324" s="55" t="n">
        <x:v>1731</x:v>
      </x:c>
      <x:c r="R324" s="55" t="n">
        <x:v>1564</x:v>
      </x:c>
      <x:c r="S324" s="55" t="n">
        <x:v>2239</x:v>
      </x:c>
      <x:c r="T324" s="55" t="n">
        <x:v>761</x:v>
      </x:c>
      <x:c r="U324" s="55" t="n">
        <x:v>1978</x:v>
      </x:c>
      <x:c r="V324" s="55" t="n">
        <x:v>10070</x:v>
      </x:c>
      <x:c r="W324" s="55" t="n">
        <x:v>7111</x:v>
      </x:c>
      <x:c r="X324" s="55" t="n">
        <x:v>2959</x:v>
      </x:c>
      <x:c r="Y324" s="55" t="n">
        <x:v>2501</x:v>
      </x:c>
      <x:c r="Z324" s="55" t="n">
        <x:v>3642</x:v>
      </x:c>
      <x:c r="AA324" s="55" t="n">
        <x:v>3450</x:v>
      </x:c>
      <x:c r="AB324" s="55" t="n">
        <x:v>1020</x:v>
      </x:c>
      <x:c r="AC324" s="55" t="n">
        <x:v>8188</x:v>
      </x:c>
      <x:c r="AD324" s="55" t="n">
        <x:v>3146</x:v>
      </x:c>
      <x:c r="AE324" s="55" t="n">
        <x:v>10106</x:v>
      </x:c>
      <x:c r="AF324" s="55" t="n">
        <x:v>10070</x:v>
      </x:c>
      <x:c r="AG324" s="55" t="n">
        <x:v>36</x:v>
      </x:c>
      <x:c r="AH324" s="55" t="n">
        <x:v>278</x:v>
      </x:c>
      <x:c r="AI324" s="55" t="n">
        <x:v>9792</x:v>
      </x:c>
      <x:c r="AJ324" s="55" t="n">
        <x:v>344</x:v>
      </x:c>
      <x:c r="AK324" s="55" t="n">
        <x:v>713</x:v>
      </x:c>
      <x:c r="AL324" s="55" t="n">
        <x:v>1316</x:v>
      </x:c>
      <x:c r="AM324" s="55" t="n">
        <x:v>5182</x:v>
      </x:c>
      <x:c r="AN324" s="55" t="n">
        <x:v>2502</x:v>
      </x:c>
      <x:c r="AO324" s="55" t="n">
        <x:v>13</x:v>
      </x:c>
      <x:c r="AP324" s="55" t="n">
        <x:v>2281</x:v>
      </x:c>
      <x:c r="AQ324" s="55" t="n">
        <x:v>948</x:v>
      </x:c>
    </x:row>
    <x:row r="325">
      <x:c r="A325" s="54" t="str">
        <x:v>T2_CONCORDANT_DOMAIN</x:v>
      </x:c>
      <x:c r="B325" s="54" t="n">
        <x:v>319</x:v>
      </x:c>
      <x:c r="C325" s="54" t="str">
        <x:v>NYC-V2-R01</x:v>
      </x:c>
      <x:c r="D325" s="54" t="str">
        <x:v>V2</x:v>
      </x:c>
      <x:c r="E325" s="54" t="str">
        <x:v>ADMITTED</x:v>
      </x:c>
      <x:c r="F325" s="55" t="n">
        <x:v>31852</x:v>
      </x:c>
      <x:c r="G325" s="55" t="n">
        <x:v>6913</x:v>
      </x:c>
      <x:c r="H325" s="55" t="n">
        <x:v>3566</x:v>
      </x:c>
      <x:c r="I325" s="55" t="n">
        <x:v>1535</x:v>
      </x:c>
      <x:c r="J325" s="55" t="n">
        <x:v>294</x:v>
      </x:c>
      <x:c r="K325" s="55" t="n">
        <x:v>31852</x:v>
      </x:c>
      <x:c r="L325" s="55" t="n">
        <x:v>5020</x:v>
      </x:c>
      <x:c r="M325" s="55" t="n">
        <x:v>933</x:v>
      </x:c>
      <x:c r="N325" s="55" t="n">
        <x:v>2596</x:v>
      </x:c>
      <x:c r="O325" s="55" t="n">
        <x:v>1491</x:v>
      </x:c>
      <x:c r="P325" s="55" t="n">
        <x:v>602</x:v>
      </x:c>
      <x:c r="Q325" s="55" t="n">
        <x:v>2345</x:v>
      </x:c>
      <x:c r="R325" s="55" t="n">
        <x:v>1668</x:v>
      </x:c>
      <x:c r="S325" s="55" t="n">
        <x:v>2404</x:v>
      </x:c>
      <x:c r="T325" s="55" t="n">
        <x:v>1696</x:v>
      </x:c>
      <x:c r="U325" s="55" t="n">
        <x:v>1961</x:v>
      </x:c>
      <x:c r="V325" s="55" t="n">
        <x:v>10625</x:v>
      </x:c>
      <x:c r="W325" s="55" t="n">
        <x:v>7394</x:v>
      </x:c>
      <x:c r="X325" s="55" t="n">
        <x:v>3231</x:v>
      </x:c>
      <x:c r="Y325" s="55" t="n">
        <x:v>2776</x:v>
      </x:c>
      <x:c r="Z325" s="55" t="n">
        <x:v>3554</x:v>
      </x:c>
      <x:c r="AA325" s="55" t="n">
        <x:v>2736</x:v>
      </x:c>
      <x:c r="AB325" s="55" t="n">
        <x:v>851</x:v>
      </x:c>
      <x:c r="AC325" s="55" t="n">
        <x:v>7649</x:v>
      </x:c>
      <x:c r="AD325" s="55" t="n">
        <x:v>2358</x:v>
      </x:c>
      <x:c r="AE325" s="55" t="n">
        <x:v>10763</x:v>
      </x:c>
      <x:c r="AF325" s="55" t="n">
        <x:v>10625</x:v>
      </x:c>
      <x:c r="AG325" s="55" t="n">
        <x:v>138</x:v>
      </x:c>
      <x:c r="AH325" s="55" t="n">
        <x:v>447</x:v>
      </x:c>
      <x:c r="AI325" s="55" t="n">
        <x:v>10178</x:v>
      </x:c>
      <x:c r="AJ325" s="55" t="n">
        <x:v>397</x:v>
      </x:c>
      <x:c r="AK325" s="55" t="n">
        <x:v>877</x:v>
      </x:c>
      <x:c r="AL325" s="55" t="n">
        <x:v>1471</x:v>
      </x:c>
      <x:c r="AM325" s="55" t="n">
        <x:v>5241</x:v>
      </x:c>
      <x:c r="AN325" s="55" t="n">
        <x:v>2606</x:v>
      </x:c>
      <x:c r="AO325" s="55" t="n">
        <x:v>33</x:v>
      </x:c>
      <x:c r="AP325" s="55" t="n">
        <x:v>1987</x:v>
      </x:c>
      <x:c r="AQ325" s="55" t="n">
        <x:v>941</x:v>
      </x:c>
    </x:row>
    <x:row r="326">
      <x:c r="A326" s="54" t="str">
        <x:v>T2_CONCORDANT_DOMAIN</x:v>
      </x:c>
      <x:c r="B326" s="54" t="n">
        <x:v>320</x:v>
      </x:c>
      <x:c r="C326" s="54" t="str">
        <x:v>NYC-V2-R01</x:v>
      </x:c>
      <x:c r="D326" s="54" t="str">
        <x:v>V2</x:v>
      </x:c>
      <x:c r="E326" s="54" t="str">
        <x:v>ADMITTED</x:v>
      </x:c>
      <x:c r="F326" s="55" t="n">
        <x:v>30341</x:v>
      </x:c>
      <x:c r="G326" s="55" t="n">
        <x:v>7309</x:v>
      </x:c>
      <x:c r="H326" s="55" t="n">
        <x:v>2994</x:v>
      </x:c>
      <x:c r="I326" s="55" t="n">
        <x:v>1051</x:v>
      </x:c>
      <x:c r="J326" s="55" t="n">
        <x:v>52</x:v>
      </x:c>
      <x:c r="K326" s="55" t="n">
        <x:v>28982</x:v>
      </x:c>
      <x:c r="L326" s="55" t="n">
        <x:v>4757</x:v>
      </x:c>
      <x:c r="M326" s="55" t="n">
        <x:v>705</x:v>
      </x:c>
      <x:c r="N326" s="55" t="n">
        <x:v>2514</x:v>
      </x:c>
      <x:c r="O326" s="55" t="n">
        <x:v>1538</x:v>
      </x:c>
      <x:c r="P326" s="55" t="n">
        <x:v>718</x:v>
      </x:c>
      <x:c r="Q326" s="55" t="n">
        <x:v>2109</x:v>
      </x:c>
      <x:c r="R326" s="55" t="n">
        <x:v>1971</x:v>
      </x:c>
      <x:c r="S326" s="55" t="n">
        <x:v>2604</x:v>
      </x:c>
      <x:c r="T326" s="55" t="n">
        <x:v>976</x:v>
      </x:c>
      <x:c r="U326" s="55" t="n">
        <x:v>2318</x:v>
      </x:c>
      <x:c r="V326" s="55" t="n">
        <x:v>10401</x:v>
      </x:c>
      <x:c r="W326" s="55" t="n">
        <x:v>7433</x:v>
      </x:c>
      <x:c r="X326" s="55" t="n">
        <x:v>2968</x:v>
      </x:c>
      <x:c r="Y326" s="55" t="n">
        <x:v>2471</x:v>
      </x:c>
      <x:c r="Z326" s="55" t="n">
        <x:v>3482</x:v>
      </x:c>
      <x:c r="AA326" s="55" t="n">
        <x:v>2590</x:v>
      </x:c>
      <x:c r="AB326" s="55" t="n">
        <x:v>885</x:v>
      </x:c>
      <x:c r="AC326" s="55" t="n">
        <x:v>8231</x:v>
      </x:c>
      <x:c r="AD326" s="55" t="n">
        <x:v>2515</x:v>
      </x:c>
      <x:c r="AE326" s="55" t="n">
        <x:v>10514</x:v>
      </x:c>
      <x:c r="AF326" s="55" t="n">
        <x:v>10401</x:v>
      </x:c>
      <x:c r="AG326" s="55" t="n">
        <x:v>113</x:v>
      </x:c>
      <x:c r="AH326" s="55" t="n">
        <x:v>385</x:v>
      </x:c>
      <x:c r="AI326" s="55" t="n">
        <x:v>10016</x:v>
      </x:c>
      <x:c r="AJ326" s="55" t="n">
        <x:v>308</x:v>
      </x:c>
      <x:c r="AK326" s="55" t="n">
        <x:v>848</x:v>
      </x:c>
      <x:c r="AL326" s="55" t="n">
        <x:v>1082</x:v>
      </x:c>
      <x:c r="AM326" s="55" t="n">
        <x:v>5284</x:v>
      </x:c>
      <x:c r="AN326" s="55" t="n">
        <x:v>2876</x:v>
      </x:c>
      <x:c r="AO326" s="55" t="n">
        <x:v>3</x:v>
      </x:c>
      <x:c r="AP326" s="55" t="n">
        <x:v>2652</x:v>
      </x:c>
      <x:c r="AQ326" s="55" t="n">
        <x:v>922</x:v>
      </x:c>
    </x:row>
    <x:row r="327">
      <x:c r="A327" s="54" t="str">
        <x:v>T2_CONCORDANT_DOMAIN</x:v>
      </x:c>
      <x:c r="B327" s="54" t="n">
        <x:v>321</x:v>
      </x:c>
      <x:c r="C327" s="54" t="str">
        <x:v>NYC-V2-R01</x:v>
      </x:c>
      <x:c r="D327" s="54" t="str">
        <x:v>V2</x:v>
      </x:c>
      <x:c r="E327" s="54" t="str">
        <x:v>ADMITTED</x:v>
      </x:c>
      <x:c r="F327" s="55" t="n">
        <x:v>32269</x:v>
      </x:c>
      <x:c r="G327" s="55" t="n">
        <x:v>8398</x:v>
      </x:c>
      <x:c r="H327" s="55" t="n">
        <x:v>3968</x:v>
      </x:c>
      <x:c r="I327" s="55" t="n">
        <x:v>1510</x:v>
      </x:c>
      <x:c r="J327" s="55" t="n">
        <x:v>410</x:v>
      </x:c>
      <x:c r="K327" s="55" t="n">
        <x:v>32157</x:v>
      </x:c>
      <x:c r="L327" s="55" t="n">
        <x:v>6502</x:v>
      </x:c>
      <x:c r="M327" s="55" t="n">
        <x:v>2129</x:v>
      </x:c>
      <x:c r="N327" s="55" t="n">
        <x:v>2568</x:v>
      </x:c>
      <x:c r="O327" s="55" t="n">
        <x:v>1805</x:v>
      </x:c>
      <x:c r="P327" s="55" t="n">
        <x:v>1339</x:v>
      </x:c>
      <x:c r="Q327" s="55" t="n">
        <x:v>2170</x:v>
      </x:c>
      <x:c r="R327" s="55" t="n">
        <x:v>2177</x:v>
      </x:c>
      <x:c r="S327" s="55" t="n">
        <x:v>2484</x:v>
      </x:c>
      <x:c r="T327" s="55" t="n">
        <x:v>1136</x:v>
      </x:c>
      <x:c r="U327" s="55" t="n">
        <x:v>2084</x:v>
      </x:c>
      <x:c r="V327" s="55" t="n">
        <x:v>10995</x:v>
      </x:c>
      <x:c r="W327" s="55" t="n">
        <x:v>7673</x:v>
      </x:c>
      <x:c r="X327" s="55" t="n">
        <x:v>3322</x:v>
      </x:c>
      <x:c r="Y327" s="55" t="n">
        <x:v>3074</x:v>
      </x:c>
      <x:c r="Z327" s="55" t="n">
        <x:v>4170</x:v>
      </x:c>
      <x:c r="AA327" s="55" t="n">
        <x:v>3469</x:v>
      </x:c>
      <x:c r="AB327" s="55" t="n">
        <x:v>1528</x:v>
      </x:c>
      <x:c r="AC327" s="55" t="n">
        <x:v>8612</x:v>
      </x:c>
      <x:c r="AD327" s="55" t="n">
        <x:v>3537</x:v>
      </x:c>
      <x:c r="AE327" s="55" t="n">
        <x:v>11092</x:v>
      </x:c>
      <x:c r="AF327" s="55" t="n">
        <x:v>10995</x:v>
      </x:c>
      <x:c r="AG327" s="55" t="n">
        <x:v>97</x:v>
      </x:c>
      <x:c r="AH327" s="55" t="n">
        <x:v>431</x:v>
      </x:c>
      <x:c r="AI327" s="55" t="n">
        <x:v>10564</x:v>
      </x:c>
      <x:c r="AJ327" s="55" t="n">
        <x:v>344</x:v>
      </x:c>
      <x:c r="AK327" s="55" t="n">
        <x:v>1256</x:v>
      </x:c>
      <x:c r="AL327" s="55" t="n">
        <x:v>1747</x:v>
      </x:c>
      <x:c r="AM327" s="55" t="n">
        <x:v>4857</x:v>
      </x:c>
      <x:c r="AN327" s="55" t="n">
        <x:v>2715</x:v>
      </x:c>
      <x:c r="AO327" s="55" t="n">
        <x:v>76</x:v>
      </x:c>
      <x:c r="AP327" s="55" t="n">
        <x:v>3058</x:v>
      </x:c>
      <x:c r="AQ327" s="55" t="n">
        <x:v>948</x:v>
      </x:c>
    </x:row>
    <x:row r="328">
      <x:c r="A328" s="54" t="str">
        <x:v>T2_CONCORDANT_DOMAIN</x:v>
      </x:c>
      <x:c r="B328" s="54" t="n">
        <x:v>322</x:v>
      </x:c>
      <x:c r="C328" s="54" t="str">
        <x:v>NYC-V2-R01</x:v>
      </x:c>
      <x:c r="D328" s="54" t="str">
        <x:v>V2</x:v>
      </x:c>
      <x:c r="E328" s="54" t="str">
        <x:v>ADMITTED</x:v>
      </x:c>
      <x:c r="F328" s="55" t="n">
        <x:v>30886</x:v>
      </x:c>
      <x:c r="G328" s="55" t="n">
        <x:v>7602</x:v>
      </x:c>
      <x:c r="H328" s="55" t="n">
        <x:v>3208</x:v>
      </x:c>
      <x:c r="I328" s="55" t="n">
        <x:v>1356</x:v>
      </x:c>
      <x:c r="J328" s="55" t="n">
        <x:v>213</x:v>
      </x:c>
      <x:c r="K328" s="55" t="n">
        <x:v>30886</x:v>
      </x:c>
      <x:c r="L328" s="55" t="n">
        <x:v>6669</x:v>
      </x:c>
      <x:c r="M328" s="55" t="n">
        <x:v>2085</x:v>
      </x:c>
      <x:c r="N328" s="55" t="n">
        <x:v>2716</x:v>
      </x:c>
      <x:c r="O328" s="55" t="n">
        <x:v>1868</x:v>
      </x:c>
      <x:c r="P328" s="55" t="n">
        <x:v>842</x:v>
      </x:c>
      <x:c r="Q328" s="55" t="n">
        <x:v>3434</x:v>
      </x:c>
      <x:c r="R328" s="55" t="n">
        <x:v>2445</x:v>
      </x:c>
      <x:c r="S328" s="55" t="n">
        <x:v>2635</x:v>
      </x:c>
      <x:c r="T328" s="55" t="n">
        <x:v>1242</x:v>
      </x:c>
      <x:c r="U328" s="55" t="n">
        <x:v>1927</x:v>
      </x:c>
      <x:c r="V328" s="55" t="n">
        <x:v>11430</x:v>
      </x:c>
      <x:c r="W328" s="55" t="n">
        <x:v>8452</x:v>
      </x:c>
      <x:c r="X328" s="55" t="n">
        <x:v>2978</x:v>
      </x:c>
      <x:c r="Y328" s="55" t="n">
        <x:v>2686</x:v>
      </x:c>
      <x:c r="Z328" s="55" t="n">
        <x:v>3602</x:v>
      </x:c>
      <x:c r="AA328" s="55" t="n">
        <x:v>2943</x:v>
      </x:c>
      <x:c r="AB328" s="55" t="n">
        <x:v>1112</x:v>
      </x:c>
      <x:c r="AC328" s="55" t="n">
        <x:v>8239</x:v>
      </x:c>
      <x:c r="AD328" s="55" t="n">
        <x:v>3278</x:v>
      </x:c>
      <x:c r="AE328" s="55" t="n">
        <x:v>11520</x:v>
      </x:c>
      <x:c r="AF328" s="55" t="n">
        <x:v>11430</x:v>
      </x:c>
      <x:c r="AG328" s="55" t="n">
        <x:v>90</x:v>
      </x:c>
      <x:c r="AH328" s="55" t="n">
        <x:v>490</x:v>
      </x:c>
      <x:c r="AI328" s="55" t="n">
        <x:v>10940</x:v>
      </x:c>
      <x:c r="AJ328" s="55" t="n">
        <x:v>317</x:v>
      </x:c>
      <x:c r="AK328" s="55" t="n">
        <x:v>1150</x:v>
      </x:c>
      <x:c r="AL328" s="55" t="n">
        <x:v>1856</x:v>
      </x:c>
      <x:c r="AM328" s="55" t="n">
        <x:v>5202</x:v>
      </x:c>
      <x:c r="AN328" s="55" t="n">
        <x:v>2861</x:v>
      </x:c>
      <x:c r="AO328" s="55" t="n">
        <x:v>44</x:v>
      </x:c>
      <x:c r="AP328" s="55" t="n">
        <x:v>2778</x:v>
      </x:c>
      <x:c r="AQ328" s="55" t="n">
        <x:v>976</x:v>
      </x:c>
    </x:row>
    <x:row r="329">
      <x:c r="A329" s="54" t="str">
        <x:v>T2_CONCORDANT_DOMAIN</x:v>
      </x:c>
      <x:c r="B329" s="54" t="n">
        <x:v>323</x:v>
      </x:c>
      <x:c r="C329" s="54" t="str">
        <x:v>NYC-V2-R01</x:v>
      </x:c>
      <x:c r="D329" s="54" t="str">
        <x:v>V2</x:v>
      </x:c>
      <x:c r="E329" s="54" t="str">
        <x:v>ADMITTED</x:v>
      </x:c>
      <x:c r="F329" s="55" t="n">
        <x:v>31888</x:v>
      </x:c>
      <x:c r="G329" s="55" t="n">
        <x:v>6622</x:v>
      </x:c>
      <x:c r="H329" s="55" t="n">
        <x:v>3874</x:v>
      </x:c>
      <x:c r="I329" s="55" t="n">
        <x:v>1525</x:v>
      </x:c>
      <x:c r="J329" s="55" t="n">
        <x:v>190</x:v>
      </x:c>
      <x:c r="K329" s="55" t="n">
        <x:v>31888</x:v>
      </x:c>
      <x:c r="L329" s="55" t="n">
        <x:v>5810</x:v>
      </x:c>
      <x:c r="M329" s="55" t="n">
        <x:v>1302</x:v>
      </x:c>
      <x:c r="N329" s="55" t="n">
        <x:v>2785</x:v>
      </x:c>
      <x:c r="O329" s="55" t="n">
        <x:v>1723</x:v>
      </x:c>
      <x:c r="P329" s="55" t="n">
        <x:v>809</x:v>
      </x:c>
      <x:c r="Q329" s="55" t="n">
        <x:v>1758</x:v>
      </x:c>
      <x:c r="R329" s="55" t="n">
        <x:v>1773</x:v>
      </x:c>
      <x:c r="S329" s="55" t="n">
        <x:v>2880</x:v>
      </x:c>
      <x:c r="T329" s="55" t="n">
        <x:v>1074</x:v>
      </x:c>
      <x:c r="U329" s="55" t="n">
        <x:v>2122</x:v>
      </x:c>
      <x:c r="V329" s="55" t="n">
        <x:v>10060</x:v>
      </x:c>
      <x:c r="W329" s="55" t="n">
        <x:v>6998</x:v>
      </x:c>
      <x:c r="X329" s="55" t="n">
        <x:v>3062</x:v>
      </x:c>
      <x:c r="Y329" s="55" t="n">
        <x:v>2616</x:v>
      </x:c>
      <x:c r="Z329" s="55" t="n">
        <x:v>3699</x:v>
      </x:c>
      <x:c r="AA329" s="55" t="n">
        <x:v>2898</x:v>
      </x:c>
      <x:c r="AB329" s="55" t="n">
        <x:v>1020</x:v>
      </x:c>
      <x:c r="AC329" s="55" t="n">
        <x:v>7771</x:v>
      </x:c>
      <x:c r="AD329" s="55" t="n">
        <x:v>3138</x:v>
      </x:c>
      <x:c r="AE329" s="55" t="n">
        <x:v>10152</x:v>
      </x:c>
      <x:c r="AF329" s="55" t="n">
        <x:v>10060</x:v>
      </x:c>
      <x:c r="AG329" s="55" t="n">
        <x:v>92</x:v>
      </x:c>
      <x:c r="AH329" s="55" t="n">
        <x:v>348</x:v>
      </x:c>
      <x:c r="AI329" s="55" t="n">
        <x:v>9712</x:v>
      </x:c>
      <x:c r="AJ329" s="55" t="n">
        <x:v>346</x:v>
      </x:c>
      <x:c r="AK329" s="55" t="n">
        <x:v>1015</x:v>
      </x:c>
      <x:c r="AL329" s="55" t="n">
        <x:v>1753</x:v>
      </x:c>
      <x:c r="AM329" s="55" t="n">
        <x:v>4787</x:v>
      </x:c>
      <x:c r="AN329" s="55" t="n">
        <x:v>2159</x:v>
      </x:c>
      <x:c r="AO329" s="55" t="n">
        <x:v>0</x:v>
      </x:c>
      <x:c r="AP329" s="55" t="n">
        <x:v>2158</x:v>
      </x:c>
      <x:c r="AQ329" s="55" t="n">
        <x:v>931</x:v>
      </x:c>
    </x:row>
    <x:row r="330">
      <x:c r="A330" s="54" t="str">
        <x:v>T2_CONCORDANT_DOMAIN</x:v>
      </x:c>
      <x:c r="B330" s="54" t="n">
        <x:v>324</x:v>
      </x:c>
      <x:c r="C330" s="54" t="str">
        <x:v>NYC-V2-R01</x:v>
      </x:c>
      <x:c r="D330" s="54" t="str">
        <x:v>V2</x:v>
      </x:c>
      <x:c r="E330" s="54" t="str">
        <x:v>ADMITTED</x:v>
      </x:c>
      <x:c r="F330" s="55" t="n">
        <x:v>29576</x:v>
      </x:c>
      <x:c r="G330" s="55" t="n">
        <x:v>6771</x:v>
      </x:c>
      <x:c r="H330" s="55" t="n">
        <x:v>3005</x:v>
      </x:c>
      <x:c r="I330" s="55" t="n">
        <x:v>1057</x:v>
      </x:c>
      <x:c r="J330" s="55" t="n">
        <x:v>106</x:v>
      </x:c>
      <x:c r="K330" s="55" t="n">
        <x:v>29576</x:v>
      </x:c>
      <x:c r="L330" s="55" t="n">
        <x:v>4742</x:v>
      </x:c>
      <x:c r="M330" s="55" t="n">
        <x:v>771</x:v>
      </x:c>
      <x:c r="N330" s="55" t="n">
        <x:v>2416</x:v>
      </x:c>
      <x:c r="O330" s="55" t="n">
        <x:v>1555</x:v>
      </x:c>
      <x:c r="P330" s="55" t="n">
        <x:v>659</x:v>
      </x:c>
      <x:c r="Q330" s="55" t="n">
        <x:v>1806</x:v>
      </x:c>
      <x:c r="R330" s="55" t="n">
        <x:v>1238</x:v>
      </x:c>
      <x:c r="S330" s="55" t="n">
        <x:v>2063</x:v>
      </x:c>
      <x:c r="T330" s="55" t="n">
        <x:v>965</x:v>
      </x:c>
      <x:c r="U330" s="55" t="n">
        <x:v>1634</x:v>
      </x:c>
      <x:c r="V330" s="55" t="n">
        <x:v>9744</x:v>
      </x:c>
      <x:c r="W330" s="55" t="n">
        <x:v>6726</x:v>
      </x:c>
      <x:c r="X330" s="55" t="n">
        <x:v>3018</x:v>
      </x:c>
      <x:c r="Y330" s="55" t="n">
        <x:v>2502</x:v>
      </x:c>
      <x:c r="Z330" s="55" t="n">
        <x:v>3567</x:v>
      </x:c>
      <x:c r="AA330" s="55" t="n">
        <x:v>3005</x:v>
      </x:c>
      <x:c r="AB330" s="55" t="n">
        <x:v>1195</x:v>
      </x:c>
      <x:c r="AC330" s="55" t="n">
        <x:v>7988</x:v>
      </x:c>
      <x:c r="AD330" s="55" t="n">
        <x:v>2999</x:v>
      </x:c>
      <x:c r="AE330" s="55" t="n">
        <x:v>9773</x:v>
      </x:c>
      <x:c r="AF330" s="55" t="n">
        <x:v>9744</x:v>
      </x:c>
      <x:c r="AG330" s="55" t="n">
        <x:v>29</x:v>
      </x:c>
      <x:c r="AH330" s="55" t="n">
        <x:v>420</x:v>
      </x:c>
      <x:c r="AI330" s="55" t="n">
        <x:v>9324</x:v>
      </x:c>
      <x:c r="AJ330" s="55" t="n">
        <x:v>499</x:v>
      </x:c>
      <x:c r="AK330" s="55" t="n">
        <x:v>765</x:v>
      </x:c>
      <x:c r="AL330" s="55" t="n">
        <x:v>1585</x:v>
      </x:c>
      <x:c r="AM330" s="55" t="n">
        <x:v>4320</x:v>
      </x:c>
      <x:c r="AN330" s="55" t="n">
        <x:v>2575</x:v>
      </x:c>
      <x:c r="AO330" s="55" t="n">
        <x:v>0</x:v>
      </x:c>
      <x:c r="AP330" s="55" t="n">
        <x:v>1933</x:v>
      </x:c>
      <x:c r="AQ330" s="55" t="n">
        <x:v>944</x:v>
      </x:c>
    </x:row>
    <x:row r="331">
      <x:c r="A331" s="54" t="str">
        <x:v>T2_CONCORDANT_DOMAIN</x:v>
      </x:c>
      <x:c r="B331" s="54" t="n">
        <x:v>325</x:v>
      </x:c>
      <x:c r="C331" s="54" t="str">
        <x:v>NYC-V2-R01</x:v>
      </x:c>
      <x:c r="D331" s="54" t="str">
        <x:v>V2</x:v>
      </x:c>
      <x:c r="E331" s="54" t="str">
        <x:v>ADMITTED</x:v>
      </x:c>
      <x:c r="F331" s="55" t="n">
        <x:v>28589</x:v>
      </x:c>
      <x:c r="G331" s="55" t="n">
        <x:v>5355</x:v>
      </x:c>
      <x:c r="H331" s="55" t="n">
        <x:v>2980</x:v>
      </x:c>
      <x:c r="I331" s="55" t="n">
        <x:v>1331</x:v>
      </x:c>
      <x:c r="J331" s="55" t="n">
        <x:v>205</x:v>
      </x:c>
      <x:c r="K331" s="55" t="n">
        <x:v>28589</x:v>
      </x:c>
      <x:c r="L331" s="55" t="n">
        <x:v>3696</x:v>
      </x:c>
      <x:c r="M331" s="55" t="n">
        <x:v>0</x:v>
      </x:c>
      <x:c r="N331" s="55" t="n">
        <x:v>2367</x:v>
      </x:c>
      <x:c r="O331" s="55" t="n">
        <x:v>1329</x:v>
      </x:c>
      <x:c r="P331" s="55" t="n">
        <x:v>381</x:v>
      </x:c>
      <x:c r="Q331" s="55" t="n">
        <x:v>1193</x:v>
      </x:c>
      <x:c r="R331" s="55" t="n">
        <x:v>1396</x:v>
      </x:c>
      <x:c r="S331" s="55" t="n">
        <x:v>2112</x:v>
      </x:c>
      <x:c r="T331" s="55" t="n">
        <x:v>1191</x:v>
      </x:c>
      <x:c r="U331" s="55" t="n">
        <x:v>1495</x:v>
      </x:c>
      <x:c r="V331" s="55" t="n">
        <x:v>9858</x:v>
      </x:c>
      <x:c r="W331" s="55" t="n">
        <x:v>7238</x:v>
      </x:c>
      <x:c r="X331" s="55" t="n">
        <x:v>2620</x:v>
      </x:c>
      <x:c r="Y331" s="55" t="n">
        <x:v>2195</x:v>
      </x:c>
      <x:c r="Z331" s="55" t="n">
        <x:v>3429</x:v>
      </x:c>
      <x:c r="AA331" s="55" t="n">
        <x:v>2782</x:v>
      </x:c>
      <x:c r="AB331" s="55" t="n">
        <x:v>779</x:v>
      </x:c>
      <x:c r="AC331" s="55" t="n">
        <x:v>6708</x:v>
      </x:c>
      <x:c r="AD331" s="55" t="n">
        <x:v>2356</x:v>
      </x:c>
      <x:c r="AE331" s="55" t="n">
        <x:v>9862</x:v>
      </x:c>
      <x:c r="AF331" s="55" t="n">
        <x:v>9858</x:v>
      </x:c>
      <x:c r="AG331" s="55" t="n">
        <x:v>4</x:v>
      </x:c>
      <x:c r="AH331" s="55" t="n">
        <x:v>154</x:v>
      </x:c>
      <x:c r="AI331" s="55" t="n">
        <x:v>9704</x:v>
      </x:c>
      <x:c r="AJ331" s="55" t="n">
        <x:v>250</x:v>
      </x:c>
      <x:c r="AK331" s="55" t="n">
        <x:v>917</x:v>
      </x:c>
      <x:c r="AL331" s="55" t="n">
        <x:v>1570</x:v>
      </x:c>
      <x:c r="AM331" s="55" t="n">
        <x:v>4732</x:v>
      </x:c>
      <x:c r="AN331" s="55" t="n">
        <x:v>2389</x:v>
      </x:c>
      <x:c r="AO331" s="55" t="n">
        <x:v>0</x:v>
      </x:c>
      <x:c r="AP331" s="55" t="n">
        <x:v>2302</x:v>
      </x:c>
      <x:c r="AQ331" s="55" t="n">
        <x:v>936</x:v>
      </x:c>
    </x:row>
    <x:row r="332">
      <x:c r="A332" s="54" t="str">
        <x:v>T2_CONCORDANT_DOMAIN</x:v>
      </x:c>
      <x:c r="B332" s="54" t="n">
        <x:v>326</x:v>
      </x:c>
      <x:c r="C332" s="54" t="str">
        <x:v>NYC-V2-R01</x:v>
      </x:c>
      <x:c r="D332" s="54" t="str">
        <x:v>V2</x:v>
      </x:c>
      <x:c r="E332" s="54" t="str">
        <x:v>ADMITTED</x:v>
      </x:c>
      <x:c r="F332" s="55" t="n">
        <x:v>32724</x:v>
      </x:c>
      <x:c r="G332" s="55" t="n">
        <x:v>8449</x:v>
      </x:c>
      <x:c r="H332" s="55" t="n">
        <x:v>3452</x:v>
      </x:c>
      <x:c r="I332" s="55" t="n">
        <x:v>1306</x:v>
      </x:c>
      <x:c r="J332" s="55" t="n">
        <x:v>305</x:v>
      </x:c>
      <x:c r="K332" s="55" t="n">
        <x:v>31632</x:v>
      </x:c>
      <x:c r="L332" s="55" t="n">
        <x:v>6456</x:v>
      </x:c>
      <x:c r="M332" s="55" t="n">
        <x:v>1890</x:v>
      </x:c>
      <x:c r="N332" s="55" t="n">
        <x:v>2527</x:v>
      </x:c>
      <x:c r="O332" s="55" t="n">
        <x:v>2039</x:v>
      </x:c>
      <x:c r="P332" s="55" t="n">
        <x:v>841</x:v>
      </x:c>
      <x:c r="Q332" s="55" t="n">
        <x:v>2402</x:v>
      </x:c>
      <x:c r="R332" s="55" t="n">
        <x:v>2242</x:v>
      </x:c>
      <x:c r="S332" s="55" t="n">
        <x:v>2799</x:v>
      </x:c>
      <x:c r="T332" s="55" t="n">
        <x:v>1478</x:v>
      </x:c>
      <x:c r="U332" s="55" t="n">
        <x:v>1846</x:v>
      </x:c>
      <x:c r="V332" s="55" t="n">
        <x:v>10178</x:v>
      </x:c>
      <x:c r="W332" s="55" t="n">
        <x:v>6741</x:v>
      </x:c>
      <x:c r="X332" s="55" t="n">
        <x:v>3437</x:v>
      </x:c>
      <x:c r="Y332" s="55" t="n">
        <x:v>2955</x:v>
      </x:c>
      <x:c r="Z332" s="55" t="n">
        <x:v>3835</x:v>
      </x:c>
      <x:c r="AA332" s="55" t="n">
        <x:v>3452</x:v>
      </x:c>
      <x:c r="AB332" s="55" t="n">
        <x:v>1169</x:v>
      </x:c>
      <x:c r="AC332" s="55" t="n">
        <x:v>8540</x:v>
      </x:c>
      <x:c r="AD332" s="55" t="n">
        <x:v>3006</x:v>
      </x:c>
      <x:c r="AE332" s="55" t="n">
        <x:v>10316</x:v>
      </x:c>
      <x:c r="AF332" s="55" t="n">
        <x:v>10178</x:v>
      </x:c>
      <x:c r="AG332" s="55" t="n">
        <x:v>138</x:v>
      </x:c>
      <x:c r="AH332" s="55" t="n">
        <x:v>341</x:v>
      </x:c>
      <x:c r="AI332" s="55" t="n">
        <x:v>9837</x:v>
      </x:c>
      <x:c r="AJ332" s="55" t="n">
        <x:v>290</x:v>
      </x:c>
      <x:c r="AK332" s="55" t="n">
        <x:v>1160</x:v>
      </x:c>
      <x:c r="AL332" s="55" t="n">
        <x:v>1597</x:v>
      </x:c>
      <x:c r="AM332" s="55" t="n">
        <x:v>4894</x:v>
      </x:c>
      <x:c r="AN332" s="55" t="n">
        <x:v>2211</x:v>
      </x:c>
      <x:c r="AO332" s="55" t="n">
        <x:v>26</x:v>
      </x:c>
      <x:c r="AP332" s="55" t="n">
        <x:v>2662</x:v>
      </x:c>
      <x:c r="AQ332" s="55" t="n">
        <x:v>973</x:v>
      </x:c>
    </x:row>
    <x:row r="333">
      <x:c r="A333" s="54" t="str">
        <x:v>T2_CONCORDANT_DOMAIN</x:v>
      </x:c>
      <x:c r="B333" s="54" t="n">
        <x:v>327</x:v>
      </x:c>
      <x:c r="C333" s="54" t="str">
        <x:v>NYC-V2-R01</x:v>
      </x:c>
      <x:c r="D333" s="54" t="str">
        <x:v>V2</x:v>
      </x:c>
      <x:c r="E333" s="54" t="str">
        <x:v>ADMITTED</x:v>
      </x:c>
      <x:c r="F333" s="55" t="n">
        <x:v>33494</x:v>
      </x:c>
      <x:c r="G333" s="55" t="n">
        <x:v>8075</x:v>
      </x:c>
      <x:c r="H333" s="55" t="n">
        <x:v>3192</x:v>
      </x:c>
      <x:c r="I333" s="55" t="n">
        <x:v>1488</x:v>
      </x:c>
      <x:c r="J333" s="55" t="n">
        <x:v>241</x:v>
      </x:c>
      <x:c r="K333" s="55" t="n">
        <x:v>33494</x:v>
      </x:c>
      <x:c r="L333" s="55" t="n">
        <x:v>5773</x:v>
      </x:c>
      <x:c r="M333" s="55" t="n">
        <x:v>1257</x:v>
      </x:c>
      <x:c r="N333" s="55" t="n">
        <x:v>2914</x:v>
      </x:c>
      <x:c r="O333" s="55" t="n">
        <x:v>1602</x:v>
      </x:c>
      <x:c r="P333" s="55" t="n">
        <x:v>953</x:v>
      </x:c>
      <x:c r="Q333" s="55" t="n">
        <x:v>3145</x:v>
      </x:c>
      <x:c r="R333" s="55" t="n">
        <x:v>1937</x:v>
      </x:c>
      <x:c r="S333" s="55" t="n">
        <x:v>2484</x:v>
      </x:c>
      <x:c r="T333" s="55" t="n">
        <x:v>1281</x:v>
      </x:c>
      <x:c r="U333" s="55" t="n">
        <x:v>2450</x:v>
      </x:c>
      <x:c r="V333" s="55" t="n">
        <x:v>10935</x:v>
      </x:c>
      <x:c r="W333" s="55" t="n">
        <x:v>7639</x:v>
      </x:c>
      <x:c r="X333" s="55" t="n">
        <x:v>3296</x:v>
      </x:c>
      <x:c r="Y333" s="55" t="n">
        <x:v>3147</x:v>
      </x:c>
      <x:c r="Z333" s="55" t="n">
        <x:v>3951</x:v>
      </x:c>
      <x:c r="AA333" s="55" t="n">
        <x:v>3127</x:v>
      </x:c>
      <x:c r="AB333" s="55" t="n">
        <x:v>1007</x:v>
      </x:c>
      <x:c r="AC333" s="55" t="n">
        <x:v>8766</x:v>
      </x:c>
      <x:c r="AD333" s="55" t="n">
        <x:v>3130</x:v>
      </x:c>
      <x:c r="AE333" s="55" t="n">
        <x:v>11008</x:v>
      </x:c>
      <x:c r="AF333" s="55" t="n">
        <x:v>10935</x:v>
      </x:c>
      <x:c r="AG333" s="55" t="n">
        <x:v>73</x:v>
      </x:c>
      <x:c r="AH333" s="55" t="n">
        <x:v>562</x:v>
      </x:c>
      <x:c r="AI333" s="55" t="n">
        <x:v>10373</x:v>
      </x:c>
      <x:c r="AJ333" s="55" t="n">
        <x:v>299</x:v>
      </x:c>
      <x:c r="AK333" s="55" t="n">
        <x:v>811</x:v>
      </x:c>
      <x:c r="AL333" s="55" t="n">
        <x:v>1858</x:v>
      </x:c>
      <x:c r="AM333" s="55" t="n">
        <x:v>5278</x:v>
      </x:c>
      <x:c r="AN333" s="55" t="n">
        <x:v>2689</x:v>
      </x:c>
      <x:c r="AO333" s="55" t="n">
        <x:v>0</x:v>
      </x:c>
      <x:c r="AP333" s="55" t="n">
        <x:v>2790</x:v>
      </x:c>
      <x:c r="AQ333" s="55" t="n">
        <x:v>959</x:v>
      </x:c>
    </x:row>
    <x:row r="334">
      <x:c r="A334" s="54" t="str">
        <x:v>T2_CONCORDANT_DOMAIN</x:v>
      </x:c>
      <x:c r="B334" s="54" t="n">
        <x:v>328</x:v>
      </x:c>
      <x:c r="C334" s="54" t="str">
        <x:v>NYC-V2-R01</x:v>
      </x:c>
      <x:c r="D334" s="54" t="str">
        <x:v>V2</x:v>
      </x:c>
      <x:c r="E334" s="54" t="str">
        <x:v>ADMITTED</x:v>
      </x:c>
      <x:c r="F334" s="55" t="n">
        <x:v>31134</x:v>
      </x:c>
      <x:c r="G334" s="55" t="n">
        <x:v>8135</x:v>
      </x:c>
      <x:c r="H334" s="55" t="n">
        <x:v>3399</x:v>
      </x:c>
      <x:c r="I334" s="55" t="n">
        <x:v>1422</x:v>
      </x:c>
      <x:c r="J334" s="55" t="n">
        <x:v>259</x:v>
      </x:c>
      <x:c r="K334" s="55" t="n">
        <x:v>28478</x:v>
      </x:c>
      <x:c r="L334" s="55" t="n">
        <x:v>4526</x:v>
      </x:c>
      <x:c r="M334" s="55" t="n">
        <x:v>1119</x:v>
      </x:c>
      <x:c r="N334" s="55" t="n">
        <x:v>1903</x:v>
      </x:c>
      <x:c r="O334" s="55" t="n">
        <x:v>1504</x:v>
      </x:c>
      <x:c r="P334" s="55" t="n">
        <x:v>433</x:v>
      </x:c>
      <x:c r="Q334" s="55" t="n">
        <x:v>2040</x:v>
      </x:c>
      <x:c r="R334" s="55" t="n">
        <x:v>2017</x:v>
      </x:c>
      <x:c r="S334" s="55" t="n">
        <x:v>2600</x:v>
      </x:c>
      <x:c r="T334" s="55" t="n">
        <x:v>1258</x:v>
      </x:c>
      <x:c r="U334" s="55" t="n">
        <x:v>1469</x:v>
      </x:c>
      <x:c r="V334" s="55" t="n">
        <x:v>10630</x:v>
      </x:c>
      <x:c r="W334" s="55" t="n">
        <x:v>7388</x:v>
      </x:c>
      <x:c r="X334" s="55" t="n">
        <x:v>3242</x:v>
      </x:c>
      <x:c r="Y334" s="55" t="n">
        <x:v>2875</x:v>
      </x:c>
      <x:c r="Z334" s="55" t="n">
        <x:v>4069</x:v>
      </x:c>
      <x:c r="AA334" s="55" t="n">
        <x:v>3175</x:v>
      </x:c>
      <x:c r="AB334" s="55" t="n">
        <x:v>860</x:v>
      </x:c>
      <x:c r="AC334" s="55" t="n">
        <x:v>7800</x:v>
      </x:c>
      <x:c r="AD334" s="55" t="n">
        <x:v>2619</x:v>
      </x:c>
      <x:c r="AE334" s="55" t="n">
        <x:v>10688</x:v>
      </x:c>
      <x:c r="AF334" s="55" t="n">
        <x:v>10630</x:v>
      </x:c>
      <x:c r="AG334" s="55" t="n">
        <x:v>58</x:v>
      </x:c>
      <x:c r="AH334" s="55" t="n">
        <x:v>196</x:v>
      </x:c>
      <x:c r="AI334" s="55" t="n">
        <x:v>10434</x:v>
      </x:c>
      <x:c r="AJ334" s="55" t="n">
        <x:v>472</x:v>
      </x:c>
      <x:c r="AK334" s="55" t="n">
        <x:v>979</x:v>
      </x:c>
      <x:c r="AL334" s="55" t="n">
        <x:v>1792</x:v>
      </x:c>
      <x:c r="AM334" s="55" t="n">
        <x:v>4773</x:v>
      </x:c>
      <x:c r="AN334" s="55" t="n">
        <x:v>2614</x:v>
      </x:c>
      <x:c r="AO334" s="55" t="n">
        <x:v>0</x:v>
      </x:c>
      <x:c r="AP334" s="55" t="n">
        <x:v>2363</x:v>
      </x:c>
      <x:c r="AQ334" s="55" t="n">
        <x:v>1030</x:v>
      </x:c>
    </x:row>
    <x:row r="335">
      <x:c r="A335" s="54" t="str">
        <x:v>T2_CONCORDANT_DOMAIN</x:v>
      </x:c>
      <x:c r="B335" s="54" t="n">
        <x:v>329</x:v>
      </x:c>
      <x:c r="C335" s="54" t="str">
        <x:v>NYC-V2-R01</x:v>
      </x:c>
      <x:c r="D335" s="54" t="str">
        <x:v>V2</x:v>
      </x:c>
      <x:c r="E335" s="54" t="str">
        <x:v>ADMITTED</x:v>
      </x:c>
      <x:c r="F335" s="55" t="n">
        <x:v>30894</x:v>
      </x:c>
      <x:c r="G335" s="55" t="n">
        <x:v>8492</x:v>
      </x:c>
      <x:c r="H335" s="55" t="n">
        <x:v>3375</x:v>
      </x:c>
      <x:c r="I335" s="55" t="n">
        <x:v>959</x:v>
      </x:c>
      <x:c r="J335" s="55" t="n">
        <x:v>120</x:v>
      </x:c>
      <x:c r="K335" s="55" t="n">
        <x:v>30712</x:v>
      </x:c>
      <x:c r="L335" s="55" t="n">
        <x:v>7331</x:v>
      </x:c>
      <x:c r="M335" s="55" t="n">
        <x:v>2035</x:v>
      </x:c>
      <x:c r="N335" s="55" t="n">
        <x:v>3066</x:v>
      </x:c>
      <x:c r="O335" s="55" t="n">
        <x:v>2230</x:v>
      </x:c>
      <x:c r="P335" s="55" t="n">
        <x:v>1037</x:v>
      </x:c>
      <x:c r="Q335" s="55" t="n">
        <x:v>2676</x:v>
      </x:c>
      <x:c r="R335" s="55" t="n">
        <x:v>1835</x:v>
      </x:c>
      <x:c r="S335" s="55" t="n">
        <x:v>3333</x:v>
      </x:c>
      <x:c r="T335" s="55" t="n">
        <x:v>1507</x:v>
      </x:c>
      <x:c r="U335" s="55" t="n">
        <x:v>2476</x:v>
      </x:c>
      <x:c r="V335" s="55" t="n">
        <x:v>10323</x:v>
      </x:c>
      <x:c r="W335" s="55" t="n">
        <x:v>7338</x:v>
      </x:c>
      <x:c r="X335" s="55" t="n">
        <x:v>2985</x:v>
      </x:c>
      <x:c r="Y335" s="55" t="n">
        <x:v>2666</x:v>
      </x:c>
      <x:c r="Z335" s="55" t="n">
        <x:v>3516</x:v>
      </x:c>
      <x:c r="AA335" s="55" t="n">
        <x:v>3375</x:v>
      </x:c>
      <x:c r="AB335" s="55" t="n">
        <x:v>1328</x:v>
      </x:c>
      <x:c r="AC335" s="55" t="n">
        <x:v>7947</x:v>
      </x:c>
      <x:c r="AD335" s="55" t="n">
        <x:v>2707</x:v>
      </x:c>
      <x:c r="AE335" s="55" t="n">
        <x:v>10416</x:v>
      </x:c>
      <x:c r="AF335" s="55" t="n">
        <x:v>10323</x:v>
      </x:c>
      <x:c r="AG335" s="55" t="n">
        <x:v>93</x:v>
      </x:c>
      <x:c r="AH335" s="55" t="n">
        <x:v>285</x:v>
      </x:c>
      <x:c r="AI335" s="55" t="n">
        <x:v>10038</x:v>
      </x:c>
      <x:c r="AJ335" s="55" t="n">
        <x:v>271</x:v>
      </x:c>
      <x:c r="AK335" s="55" t="n">
        <x:v>992</x:v>
      </x:c>
      <x:c r="AL335" s="55" t="n">
        <x:v>1481</x:v>
      </x:c>
      <x:c r="AM335" s="55" t="n">
        <x:v>4980</x:v>
      </x:c>
      <x:c r="AN335" s="55" t="n">
        <x:v>2599</x:v>
      </x:c>
      <x:c r="AO335" s="55" t="n">
        <x:v>0</x:v>
      </x:c>
      <x:c r="AP335" s="55" t="n">
        <x:v>2219</x:v>
      </x:c>
      <x:c r="AQ335" s="55" t="n">
        <x:v>923</x:v>
      </x:c>
    </x:row>
    <x:row r="336">
      <x:c r="A336" s="54" t="str">
        <x:v>T2_CONCORDANT_DOMAIN</x:v>
      </x:c>
      <x:c r="B336" s="54" t="n">
        <x:v>330</x:v>
      </x:c>
      <x:c r="C336" s="54" t="str">
        <x:v>NYC-V2-R01</x:v>
      </x:c>
      <x:c r="D336" s="54" t="str">
        <x:v>V2</x:v>
      </x:c>
      <x:c r="E336" s="54" t="str">
        <x:v>ADMITTED</x:v>
      </x:c>
      <x:c r="F336" s="55" t="n">
        <x:v>32129</x:v>
      </x:c>
      <x:c r="G336" s="55" t="n">
        <x:v>7735</x:v>
      </x:c>
      <x:c r="H336" s="55" t="n">
        <x:v>3263</x:v>
      </x:c>
      <x:c r="I336" s="55" t="n">
        <x:v>1318</x:v>
      </x:c>
      <x:c r="J336" s="55" t="n">
        <x:v>266</x:v>
      </x:c>
      <x:c r="K336" s="55" t="n">
        <x:v>32129</x:v>
      </x:c>
      <x:c r="L336" s="55" t="n">
        <x:v>5889</x:v>
      </x:c>
      <x:c r="M336" s="55" t="n">
        <x:v>1561</x:v>
      </x:c>
      <x:c r="N336" s="55" t="n">
        <x:v>2535</x:v>
      </x:c>
      <x:c r="O336" s="55" t="n">
        <x:v>1793</x:v>
      </x:c>
      <x:c r="P336" s="55" t="n">
        <x:v>714</x:v>
      </x:c>
      <x:c r="Q336" s="55" t="n">
        <x:v>3211</x:v>
      </x:c>
      <x:c r="R336" s="55" t="n">
        <x:v>2239</x:v>
      </x:c>
      <x:c r="S336" s="55" t="n">
        <x:v>2881</x:v>
      </x:c>
      <x:c r="T336" s="55" t="n">
        <x:v>1394</x:v>
      </x:c>
      <x:c r="U336" s="55" t="n">
        <x:v>2167</x:v>
      </x:c>
      <x:c r="V336" s="55" t="n">
        <x:v>10935</x:v>
      </x:c>
      <x:c r="W336" s="55" t="n">
        <x:v>7605</x:v>
      </x:c>
      <x:c r="X336" s="55" t="n">
        <x:v>3330</x:v>
      </x:c>
      <x:c r="Y336" s="55" t="n">
        <x:v>2819</x:v>
      </x:c>
      <x:c r="Z336" s="55" t="n">
        <x:v>3575</x:v>
      </x:c>
      <x:c r="AA336" s="55" t="n">
        <x:v>2720</x:v>
      </x:c>
      <x:c r="AB336" s="55" t="n">
        <x:v>1242</x:v>
      </x:c>
      <x:c r="AC336" s="55" t="n">
        <x:v>8495</x:v>
      </x:c>
      <x:c r="AD336" s="55" t="n">
        <x:v>2418</x:v>
      </x:c>
      <x:c r="AE336" s="55" t="n">
        <x:v>10982</x:v>
      </x:c>
      <x:c r="AF336" s="55" t="n">
        <x:v>10935</x:v>
      </x:c>
      <x:c r="AG336" s="55" t="n">
        <x:v>47</x:v>
      </x:c>
      <x:c r="AH336" s="55" t="n">
        <x:v>638</x:v>
      </x:c>
      <x:c r="AI336" s="55" t="n">
        <x:v>10297</x:v>
      </x:c>
      <x:c r="AJ336" s="55" t="n">
        <x:v>432</x:v>
      </x:c>
      <x:c r="AK336" s="55" t="n">
        <x:v>1092</x:v>
      </x:c>
      <x:c r="AL336" s="55" t="n">
        <x:v>1589</x:v>
      </x:c>
      <x:c r="AM336" s="55" t="n">
        <x:v>4829</x:v>
      </x:c>
      <x:c r="AN336" s="55" t="n">
        <x:v>2930</x:v>
      </x:c>
      <x:c r="AO336" s="55" t="n">
        <x:v>63</x:v>
      </x:c>
      <x:c r="AP336" s="55" t="n">
        <x:v>2246</x:v>
      </x:c>
      <x:c r="AQ336" s="55" t="n">
        <x:v>959</x:v>
      </x:c>
    </x:row>
    <x:row r="337">
      <x:c r="A337" s="54" t="str">
        <x:v>T2_CONCORDANT_DOMAIN</x:v>
      </x:c>
      <x:c r="B337" s="54" t="n">
        <x:v>331</x:v>
      </x:c>
      <x:c r="C337" s="54" t="str">
        <x:v>NYC-V2-R01</x:v>
      </x:c>
      <x:c r="D337" s="54" t="str">
        <x:v>V2</x:v>
      </x:c>
      <x:c r="E337" s="54" t="str">
        <x:v>ADMITTED</x:v>
      </x:c>
      <x:c r="F337" s="55" t="n">
        <x:v>29191</x:v>
      </x:c>
      <x:c r="G337" s="55" t="n">
        <x:v>6862</x:v>
      </x:c>
      <x:c r="H337" s="55" t="n">
        <x:v>3369</x:v>
      </x:c>
      <x:c r="I337" s="55" t="n">
        <x:v>1016</x:v>
      </x:c>
      <x:c r="J337" s="55" t="n">
        <x:v>63</x:v>
      </x:c>
      <x:c r="K337" s="55" t="n">
        <x:v>28880</x:v>
      </x:c>
      <x:c r="L337" s="55" t="n">
        <x:v>5690</x:v>
      </x:c>
      <x:c r="M337" s="55" t="n">
        <x:v>1532</x:v>
      </x:c>
      <x:c r="N337" s="55" t="n">
        <x:v>2707</x:v>
      </x:c>
      <x:c r="O337" s="55" t="n">
        <x:v>1451</x:v>
      </x:c>
      <x:c r="P337" s="55" t="n">
        <x:v>730</x:v>
      </x:c>
      <x:c r="Q337" s="55" t="n">
        <x:v>2731</x:v>
      </x:c>
      <x:c r="R337" s="55" t="n">
        <x:v>2163</x:v>
      </x:c>
      <x:c r="S337" s="55" t="n">
        <x:v>2649</x:v>
      </x:c>
      <x:c r="T337" s="55" t="n">
        <x:v>1206</x:v>
      </x:c>
      <x:c r="U337" s="55" t="n">
        <x:v>1880</x:v>
      </x:c>
      <x:c r="V337" s="55" t="n">
        <x:v>10610</x:v>
      </x:c>
      <x:c r="W337" s="55" t="n">
        <x:v>7400</x:v>
      </x:c>
      <x:c r="X337" s="55" t="n">
        <x:v>3210</x:v>
      </x:c>
      <x:c r="Y337" s="55" t="n">
        <x:v>2636</x:v>
      </x:c>
      <x:c r="Z337" s="55" t="n">
        <x:v>4131</x:v>
      </x:c>
      <x:c r="AA337" s="55" t="n">
        <x:v>3369</x:v>
      </x:c>
      <x:c r="AB337" s="55" t="n">
        <x:v>1269</x:v>
      </x:c>
      <x:c r="AC337" s="55" t="n">
        <x:v>7994</x:v>
      </x:c>
      <x:c r="AD337" s="55" t="n">
        <x:v>2958</x:v>
      </x:c>
      <x:c r="AE337" s="55" t="n">
        <x:v>10712</x:v>
      </x:c>
      <x:c r="AF337" s="55" t="n">
        <x:v>10610</x:v>
      </x:c>
      <x:c r="AG337" s="55" t="n">
        <x:v>102</x:v>
      </x:c>
      <x:c r="AH337" s="55" t="n">
        <x:v>638</x:v>
      </x:c>
      <x:c r="AI337" s="55" t="n">
        <x:v>9972</x:v>
      </x:c>
      <x:c r="AJ337" s="55" t="n">
        <x:v>424</x:v>
      </x:c>
      <x:c r="AK337" s="55" t="n">
        <x:v>1066</x:v>
      </x:c>
      <x:c r="AL337" s="55" t="n">
        <x:v>1802</x:v>
      </x:c>
      <x:c r="AM337" s="55" t="n">
        <x:v>4991</x:v>
      </x:c>
      <x:c r="AN337" s="55" t="n">
        <x:v>2327</x:v>
      </x:c>
      <x:c r="AO337" s="55" t="n">
        <x:v>0</x:v>
      </x:c>
      <x:c r="AP337" s="55" t="n">
        <x:v>2374</x:v>
      </x:c>
      <x:c r="AQ337" s="55" t="n">
        <x:v>932</x:v>
      </x:c>
    </x:row>
    <x:row r="338">
      <x:c r="A338" s="54" t="str">
        <x:v>T2_CONCORDANT_DOMAIN</x:v>
      </x:c>
      <x:c r="B338" s="54" t="n">
        <x:v>332</x:v>
      </x:c>
      <x:c r="C338" s="54" t="str">
        <x:v>NYC-V2-R01</x:v>
      </x:c>
      <x:c r="D338" s="54" t="str">
        <x:v>V2</x:v>
      </x:c>
      <x:c r="E338" s="54" t="str">
        <x:v>ADMITTED</x:v>
      </x:c>
      <x:c r="F338" s="55" t="n">
        <x:v>31061</x:v>
      </x:c>
      <x:c r="G338" s="55" t="n">
        <x:v>6258</x:v>
      </x:c>
      <x:c r="H338" s="55" t="n">
        <x:v>3094</x:v>
      </x:c>
      <x:c r="I338" s="55" t="n">
        <x:v>1228</x:v>
      </x:c>
      <x:c r="J338" s="55" t="n">
        <x:v>217</x:v>
      </x:c>
      <x:c r="K338" s="55" t="n">
        <x:v>31061</x:v>
      </x:c>
      <x:c r="L338" s="55" t="n">
        <x:v>4129</x:v>
      </x:c>
      <x:c r="M338" s="55" t="n">
        <x:v>618</x:v>
      </x:c>
      <x:c r="N338" s="55" t="n">
        <x:v>2073</x:v>
      </x:c>
      <x:c r="O338" s="55" t="n">
        <x:v>1438</x:v>
      </x:c>
      <x:c r="P338" s="55" t="n">
        <x:v>384</x:v>
      </x:c>
      <x:c r="Q338" s="55" t="n">
        <x:v>2106</x:v>
      </x:c>
      <x:c r="R338" s="55" t="n">
        <x:v>1721</x:v>
      </x:c>
      <x:c r="S338" s="55" t="n">
        <x:v>2902</x:v>
      </x:c>
      <x:c r="T338" s="55" t="n">
        <x:v>978</x:v>
      </x:c>
      <x:c r="U338" s="55" t="n">
        <x:v>1856</x:v>
      </x:c>
      <x:c r="V338" s="55" t="n">
        <x:v>9909</x:v>
      </x:c>
      <x:c r="W338" s="55" t="n">
        <x:v>6962</x:v>
      </x:c>
      <x:c r="X338" s="55" t="n">
        <x:v>2947</x:v>
      </x:c>
      <x:c r="Y338" s="55" t="n">
        <x:v>2373</x:v>
      </x:c>
      <x:c r="Z338" s="55" t="n">
        <x:v>3823</x:v>
      </x:c>
      <x:c r="AA338" s="55" t="n">
        <x:v>3010</x:v>
      </x:c>
      <x:c r="AB338" s="55" t="n">
        <x:v>993</x:v>
      </x:c>
      <x:c r="AC338" s="55" t="n">
        <x:v>7722</x:v>
      </x:c>
      <x:c r="AD338" s="55" t="n">
        <x:v>2398</x:v>
      </x:c>
      <x:c r="AE338" s="55" t="n">
        <x:v>10065</x:v>
      </x:c>
      <x:c r="AF338" s="55" t="n">
        <x:v>9909</x:v>
      </x:c>
      <x:c r="AG338" s="55" t="n">
        <x:v>156</x:v>
      </x:c>
      <x:c r="AH338" s="55" t="n">
        <x:v>292</x:v>
      </x:c>
      <x:c r="AI338" s="55" t="n">
        <x:v>9617</x:v>
      </x:c>
      <x:c r="AJ338" s="55" t="n">
        <x:v>304</x:v>
      </x:c>
      <x:c r="AK338" s="55" t="n">
        <x:v>670</x:v>
      </x:c>
      <x:c r="AL338" s="55" t="n">
        <x:v>1074</x:v>
      </x:c>
      <x:c r="AM338" s="55" t="n">
        <x:v>4797</x:v>
      </x:c>
      <x:c r="AN338" s="55" t="n">
        <x:v>3050</x:v>
      </x:c>
      <x:c r="AO338" s="55" t="n">
        <x:v>14</x:v>
      </x:c>
      <x:c r="AP338" s="55" t="n">
        <x:v>2153</x:v>
      </x:c>
      <x:c r="AQ338" s="55" t="n">
        <x:v>965</x:v>
      </x:c>
    </x:row>
    <x:row r="339">
      <x:c r="A339" s="54" t="str">
        <x:v>T2_CONCORDANT_DOMAIN</x:v>
      </x:c>
      <x:c r="B339" s="54" t="n">
        <x:v>333</x:v>
      </x:c>
      <x:c r="C339" s="54" t="str">
        <x:v>NYC-V2-R01</x:v>
      </x:c>
      <x:c r="D339" s="54" t="str">
        <x:v>V2</x:v>
      </x:c>
      <x:c r="E339" s="54" t="str">
        <x:v>ADMITTED</x:v>
      </x:c>
      <x:c r="F339" s="55" t="n">
        <x:v>28849</x:v>
      </x:c>
      <x:c r="G339" s="55" t="n">
        <x:v>6610</x:v>
      </x:c>
      <x:c r="H339" s="55" t="n">
        <x:v>2912</x:v>
      </x:c>
      <x:c r="I339" s="55" t="n">
        <x:v>1053</x:v>
      </x:c>
      <x:c r="J339" s="55" t="n">
        <x:v>154</x:v>
      </x:c>
      <x:c r="K339" s="55" t="n">
        <x:v>28849</x:v>
      </x:c>
      <x:c r="L339" s="55" t="n">
        <x:v>4370</x:v>
      </x:c>
      <x:c r="M339" s="55" t="n">
        <x:v>0</x:v>
      </x:c>
      <x:c r="N339" s="55" t="n">
        <x:v>2876</x:v>
      </x:c>
      <x:c r="O339" s="55" t="n">
        <x:v>1494</x:v>
      </x:c>
      <x:c r="P339" s="55" t="n">
        <x:v>738</x:v>
      </x:c>
      <x:c r="Q339" s="55" t="n">
        <x:v>2171</x:v>
      </x:c>
      <x:c r="R339" s="55" t="n">
        <x:v>1893</x:v>
      </x:c>
      <x:c r="S339" s="55" t="n">
        <x:v>2732</x:v>
      </x:c>
      <x:c r="T339" s="55" t="n">
        <x:v>840</x:v>
      </x:c>
      <x:c r="U339" s="55" t="n">
        <x:v>1736</x:v>
      </x:c>
      <x:c r="V339" s="55" t="n">
        <x:v>10504</x:v>
      </x:c>
      <x:c r="W339" s="55" t="n">
        <x:v>7319</x:v>
      </x:c>
      <x:c r="X339" s="55" t="n">
        <x:v>3185</x:v>
      </x:c>
      <x:c r="Y339" s="55" t="n">
        <x:v>2786</x:v>
      </x:c>
      <x:c r="Z339" s="55" t="n">
        <x:v>3162</x:v>
      </x:c>
      <x:c r="AA339" s="55" t="n">
        <x:v>2912</x:v>
      </x:c>
      <x:c r="AB339" s="55" t="n">
        <x:v>901</x:v>
      </x:c>
      <x:c r="AC339" s="55" t="n">
        <x:v>7891</x:v>
      </x:c>
      <x:c r="AD339" s="55" t="n">
        <x:v>2786</x:v>
      </x:c>
      <x:c r="AE339" s="55" t="n">
        <x:v>10547</x:v>
      </x:c>
      <x:c r="AF339" s="55" t="n">
        <x:v>10504</x:v>
      </x:c>
      <x:c r="AG339" s="55" t="n">
        <x:v>43</x:v>
      </x:c>
      <x:c r="AH339" s="55" t="n">
        <x:v>295</x:v>
      </x:c>
      <x:c r="AI339" s="55" t="n">
        <x:v>10209</x:v>
      </x:c>
      <x:c r="AJ339" s="55" t="n">
        <x:v>294</x:v>
      </x:c>
      <x:c r="AK339" s="55" t="n">
        <x:v>1082</x:v>
      </x:c>
      <x:c r="AL339" s="55" t="n">
        <x:v>1694</x:v>
      </x:c>
      <x:c r="AM339" s="55" t="n">
        <x:v>5104</x:v>
      </x:c>
      <x:c r="AN339" s="55" t="n">
        <x:v>2330</x:v>
      </x:c>
      <x:c r="AO339" s="55" t="n">
        <x:v>0</x:v>
      </x:c>
      <x:c r="AP339" s="55" t="n">
        <x:v>2442</x:v>
      </x:c>
      <x:c r="AQ339" s="55" t="n">
        <x:v>915</x:v>
      </x:c>
    </x:row>
    <x:row r="340">
      <x:c r="A340" s="54" t="str">
        <x:v>T2_CONCORDANT_DOMAIN</x:v>
      </x:c>
      <x:c r="B340" s="54" t="n">
        <x:v>334</x:v>
      </x:c>
      <x:c r="C340" s="54" t="str">
        <x:v>NYC-V2-R01</x:v>
      </x:c>
      <x:c r="D340" s="54" t="str">
        <x:v>V2</x:v>
      </x:c>
      <x:c r="E340" s="54" t="str">
        <x:v>ADMITTED</x:v>
      </x:c>
      <x:c r="F340" s="55" t="n">
        <x:v>31270</x:v>
      </x:c>
      <x:c r="G340" s="55" t="n">
        <x:v>7792</x:v>
      </x:c>
      <x:c r="H340" s="55" t="n">
        <x:v>2871</x:v>
      </x:c>
      <x:c r="I340" s="55" t="n">
        <x:v>849</x:v>
      </x:c>
      <x:c r="J340" s="55" t="n">
        <x:v>256</x:v>
      </x:c>
      <x:c r="K340" s="55" t="n">
        <x:v>29414</x:v>
      </x:c>
      <x:c r="L340" s="55" t="n">
        <x:v>4683</x:v>
      </x:c>
      <x:c r="M340" s="55" t="n">
        <x:v>677</x:v>
      </x:c>
      <x:c r="N340" s="55" t="n">
        <x:v>2212</x:v>
      </x:c>
      <x:c r="O340" s="55" t="n">
        <x:v>1794</x:v>
      </x:c>
      <x:c r="P340" s="55" t="n">
        <x:v>581</x:v>
      </x:c>
      <x:c r="Q340" s="55" t="n">
        <x:v>1856</x:v>
      </x:c>
      <x:c r="R340" s="55" t="n">
        <x:v>1730</x:v>
      </x:c>
      <x:c r="S340" s="55" t="n">
        <x:v>2550</x:v>
      </x:c>
      <x:c r="T340" s="55" t="n">
        <x:v>1481</x:v>
      </x:c>
      <x:c r="U340" s="55" t="n">
        <x:v>1684</x:v>
      </x:c>
      <x:c r="V340" s="55" t="n">
        <x:v>9386</x:v>
      </x:c>
      <x:c r="W340" s="55" t="n">
        <x:v>6123</x:v>
      </x:c>
      <x:c r="X340" s="55" t="n">
        <x:v>3263</x:v>
      </x:c>
      <x:c r="Y340" s="55" t="n">
        <x:v>2590</x:v>
      </x:c>
      <x:c r="Z340" s="55" t="n">
        <x:v>3183</x:v>
      </x:c>
      <x:c r="AA340" s="55" t="n">
        <x:v>2871</x:v>
      </x:c>
      <x:c r="AB340" s="55" t="n">
        <x:v>935</x:v>
      </x:c>
      <x:c r="AC340" s="55" t="n">
        <x:v>7584</x:v>
      </x:c>
      <x:c r="AD340" s="55" t="n">
        <x:v>2442</x:v>
      </x:c>
      <x:c r="AE340" s="55" t="n">
        <x:v>9424</x:v>
      </x:c>
      <x:c r="AF340" s="55" t="n">
        <x:v>9386</x:v>
      </x:c>
      <x:c r="AG340" s="55" t="n">
        <x:v>38</x:v>
      </x:c>
      <x:c r="AH340" s="55" t="n">
        <x:v>225</x:v>
      </x:c>
      <x:c r="AI340" s="55" t="n">
        <x:v>9161</x:v>
      </x:c>
      <x:c r="AJ340" s="55" t="n">
        <x:v>209</x:v>
      </x:c>
      <x:c r="AK340" s="55" t="n">
        <x:v>816</x:v>
      </x:c>
      <x:c r="AL340" s="55" t="n">
        <x:v>892</x:v>
      </x:c>
      <x:c r="AM340" s="55" t="n">
        <x:v>4592</x:v>
      </x:c>
      <x:c r="AN340" s="55" t="n">
        <x:v>2779</x:v>
      </x:c>
      <x:c r="AO340" s="55" t="n">
        <x:v>98</x:v>
      </x:c>
      <x:c r="AP340" s="55" t="n">
        <x:v>2503</x:v>
      </x:c>
      <x:c r="AQ340" s="55" t="n">
        <x:v>925</x:v>
      </x:c>
    </x:row>
    <x:row r="341">
      <x:c r="A341" s="54" t="str">
        <x:v>T2_CONCORDANT_DOMAIN</x:v>
      </x:c>
      <x:c r="B341" s="54" t="n">
        <x:v>335</x:v>
      </x:c>
      <x:c r="C341" s="54" t="str">
        <x:v>NYC-V2-R01</x:v>
      </x:c>
      <x:c r="D341" s="54" t="str">
        <x:v>V2</x:v>
      </x:c>
      <x:c r="E341" s="54" t="str">
        <x:v>ADMITTED</x:v>
      </x:c>
      <x:c r="F341" s="55" t="n">
        <x:v>32418</x:v>
      </x:c>
      <x:c r="G341" s="55" t="n">
        <x:v>8975</x:v>
      </x:c>
      <x:c r="H341" s="55" t="n">
        <x:v>4269</x:v>
      </x:c>
      <x:c r="I341" s="55" t="n">
        <x:v>1670</x:v>
      </x:c>
      <x:c r="J341" s="55" t="n">
        <x:v>341</x:v>
      </x:c>
      <x:c r="K341" s="55" t="n">
        <x:v>30505</x:v>
      </x:c>
      <x:c r="L341" s="55" t="n">
        <x:v>7187</x:v>
      </x:c>
      <x:c r="M341" s="55" t="n">
        <x:v>1661</x:v>
      </x:c>
      <x:c r="N341" s="55" t="n">
        <x:v>3177</x:v>
      </x:c>
      <x:c r="O341" s="55" t="n">
        <x:v>2349</x:v>
      </x:c>
      <x:c r="P341" s="55" t="n">
        <x:v>1040</x:v>
      </x:c>
      <x:c r="Q341" s="55" t="n">
        <x:v>2556</x:v>
      </x:c>
      <x:c r="R341" s="55" t="n">
        <x:v>2527</x:v>
      </x:c>
      <x:c r="S341" s="55" t="n">
        <x:v>3724</x:v>
      </x:c>
      <x:c r="T341" s="55" t="n">
        <x:v>1293</x:v>
      </x:c>
      <x:c r="U341" s="55" t="n">
        <x:v>2050</x:v>
      </x:c>
      <x:c r="V341" s="55" t="n">
        <x:v>10689</x:v>
      </x:c>
      <x:c r="W341" s="55" t="n">
        <x:v>7002</x:v>
      </x:c>
      <x:c r="X341" s="55" t="n">
        <x:v>3687</x:v>
      </x:c>
      <x:c r="Y341" s="55" t="n">
        <x:v>3333</x:v>
      </x:c>
      <x:c r="Z341" s="55" t="n">
        <x:v>3997</x:v>
      </x:c>
      <x:c r="AA341" s="55" t="n">
        <x:v>4269</x:v>
      </x:c>
      <x:c r="AB341" s="55" t="n">
        <x:v>1606</x:v>
      </x:c>
      <x:c r="AC341" s="55" t="n">
        <x:v>8633</x:v>
      </x:c>
      <x:c r="AD341" s="55" t="n">
        <x:v>3411</x:v>
      </x:c>
      <x:c r="AE341" s="55" t="n">
        <x:v>10863</x:v>
      </x:c>
      <x:c r="AF341" s="55" t="n">
        <x:v>10689</x:v>
      </x:c>
      <x:c r="AG341" s="55" t="n">
        <x:v>174</x:v>
      </x:c>
      <x:c r="AH341" s="55" t="n">
        <x:v>582</x:v>
      </x:c>
      <x:c r="AI341" s="55" t="n">
        <x:v>10107</x:v>
      </x:c>
      <x:c r="AJ341" s="55" t="n">
        <x:v>395</x:v>
      </x:c>
      <x:c r="AK341" s="55" t="n">
        <x:v>1135</x:v>
      </x:c>
      <x:c r="AL341" s="55" t="n">
        <x:v>1700</x:v>
      </x:c>
      <x:c r="AM341" s="55" t="n">
        <x:v>4881</x:v>
      </x:c>
      <x:c r="AN341" s="55" t="n">
        <x:v>2519</x:v>
      </x:c>
      <x:c r="AO341" s="55" t="n">
        <x:v>59</x:v>
      </x:c>
      <x:c r="AP341" s="55" t="n">
        <x:v>2807</x:v>
      </x:c>
      <x:c r="AQ341" s="55" t="n">
        <x:v>972</x:v>
      </x:c>
    </x:row>
    <x:row r="342">
      <x:c r="A342" s="54" t="str">
        <x:v>T2_CONCORDANT_DOMAIN</x:v>
      </x:c>
      <x:c r="B342" s="54" t="n">
        <x:v>336</x:v>
      </x:c>
      <x:c r="C342" s="54" t="str">
        <x:v>NYC-V2-R01</x:v>
      </x:c>
      <x:c r="D342" s="54" t="str">
        <x:v>V2</x:v>
      </x:c>
      <x:c r="E342" s="54" t="str">
        <x:v>ADMITTED</x:v>
      </x:c>
      <x:c r="F342" s="55" t="n">
        <x:v>30607</x:v>
      </x:c>
      <x:c r="G342" s="55" t="n">
        <x:v>6972</x:v>
      </x:c>
      <x:c r="H342" s="55" t="n">
        <x:v>3237</x:v>
      </x:c>
      <x:c r="I342" s="55" t="n">
        <x:v>1100</x:v>
      </x:c>
      <x:c r="J342" s="55" t="n">
        <x:v>161</x:v>
      </x:c>
      <x:c r="K342" s="55" t="n">
        <x:v>30607</x:v>
      </x:c>
      <x:c r="L342" s="55" t="n">
        <x:v>6120</x:v>
      </x:c>
      <x:c r="M342" s="55" t="n">
        <x:v>1602</x:v>
      </x:c>
      <x:c r="N342" s="55" t="n">
        <x:v>2419</x:v>
      </x:c>
      <x:c r="O342" s="55" t="n">
        <x:v>2099</x:v>
      </x:c>
      <x:c r="P342" s="55" t="n">
        <x:v>874</x:v>
      </x:c>
      <x:c r="Q342" s="55" t="n">
        <x:v>2700</x:v>
      </x:c>
      <x:c r="R342" s="55" t="n">
        <x:v>2150</x:v>
      </x:c>
      <x:c r="S342" s="55" t="n">
        <x:v>3034</x:v>
      </x:c>
      <x:c r="T342" s="55" t="n">
        <x:v>1579</x:v>
      </x:c>
      <x:c r="U342" s="55" t="n">
        <x:v>2222</x:v>
      </x:c>
      <x:c r="V342" s="55" t="n">
        <x:v>10446</x:v>
      </x:c>
      <x:c r="W342" s="55" t="n">
        <x:v>7515</x:v>
      </x:c>
      <x:c r="X342" s="55" t="n">
        <x:v>2931</x:v>
      </x:c>
      <x:c r="Y342" s="55" t="n">
        <x:v>2499</x:v>
      </x:c>
      <x:c r="Z342" s="55" t="n">
        <x:v>3145</x:v>
      </x:c>
      <x:c r="AA342" s="55" t="n">
        <x:v>2978</x:v>
      </x:c>
      <x:c r="AB342" s="55" t="n">
        <x:v>1098</x:v>
      </x:c>
      <x:c r="AC342" s="55" t="n">
        <x:v>8117</x:v>
      </x:c>
      <x:c r="AD342" s="55" t="n">
        <x:v>3253</x:v>
      </x:c>
      <x:c r="AE342" s="55" t="n">
        <x:v>10539</x:v>
      </x:c>
      <x:c r="AF342" s="55" t="n">
        <x:v>10446</x:v>
      </x:c>
      <x:c r="AG342" s="55" t="n">
        <x:v>93</x:v>
      </x:c>
      <x:c r="AH342" s="55" t="n">
        <x:v>218</x:v>
      </x:c>
      <x:c r="AI342" s="55" t="n">
        <x:v>10228</x:v>
      </x:c>
      <x:c r="AJ342" s="55" t="n">
        <x:v>110</x:v>
      </x:c>
      <x:c r="AK342" s="55" t="n">
        <x:v>960</x:v>
      </x:c>
      <x:c r="AL342" s="55" t="n">
        <x:v>1797</x:v>
      </x:c>
      <x:c r="AM342" s="55" t="n">
        <x:v>5042</x:v>
      </x:c>
      <x:c r="AN342" s="55" t="n">
        <x:v>2529</x:v>
      </x:c>
      <x:c r="AO342" s="55" t="n">
        <x:v>8</x:v>
      </x:c>
      <x:c r="AP342" s="55" t="n">
        <x:v>2227</x:v>
      </x:c>
      <x:c r="AQ342" s="55" t="n">
        <x:v>967</x:v>
      </x:c>
    </x:row>
    <x:row r="343">
      <x:c r="A343" s="54" t="str">
        <x:v>T2_CONCORDANT_DOMAIN</x:v>
      </x:c>
      <x:c r="B343" s="54" t="n">
        <x:v>337</x:v>
      </x:c>
      <x:c r="C343" s="54" t="str">
        <x:v>NYC-V2-R01</x:v>
      </x:c>
      <x:c r="D343" s="54" t="str">
        <x:v>V2</x:v>
      </x:c>
      <x:c r="E343" s="54" t="str">
        <x:v>ADMITTED</x:v>
      </x:c>
      <x:c r="F343" s="55" t="n">
        <x:v>30061</x:v>
      </x:c>
      <x:c r="G343" s="55" t="n">
        <x:v>6596</x:v>
      </x:c>
      <x:c r="H343" s="55" t="n">
        <x:v>3160</x:v>
      </x:c>
      <x:c r="I343" s="55" t="n">
        <x:v>1309</x:v>
      </x:c>
      <x:c r="J343" s="55" t="n">
        <x:v>74</x:v>
      </x:c>
      <x:c r="K343" s="55" t="n">
        <x:v>28330</x:v>
      </x:c>
      <x:c r="L343" s="55" t="n">
        <x:v>5127</x:v>
      </x:c>
      <x:c r="M343" s="55" t="n">
        <x:v>1404</x:v>
      </x:c>
      <x:c r="N343" s="55" t="n">
        <x:v>2557</x:v>
      </x:c>
      <x:c r="O343" s="55" t="n">
        <x:v>1166</x:v>
      </x:c>
      <x:c r="P343" s="55" t="n">
        <x:v>834</x:v>
      </x:c>
      <x:c r="Q343" s="55" t="n">
        <x:v>2173</x:v>
      </x:c>
      <x:c r="R343" s="55" t="n">
        <x:v>1600</x:v>
      </x:c>
      <x:c r="S343" s="55" t="n">
        <x:v>2119</x:v>
      </x:c>
      <x:c r="T343" s="55" t="n">
        <x:v>952</x:v>
      </x:c>
      <x:c r="U343" s="55" t="n">
        <x:v>2240</x:v>
      </x:c>
      <x:c r="V343" s="55" t="n">
        <x:v>10762</x:v>
      </x:c>
      <x:c r="W343" s="55" t="n">
        <x:v>7791</x:v>
      </x:c>
      <x:c r="X343" s="55" t="n">
        <x:v>2971</x:v>
      </x:c>
      <x:c r="Y343" s="55" t="n">
        <x:v>2606</x:v>
      </x:c>
      <x:c r="Z343" s="55" t="n">
        <x:v>3691</x:v>
      </x:c>
      <x:c r="AA343" s="55" t="n">
        <x:v>3160</x:v>
      </x:c>
      <x:c r="AB343" s="55" t="n">
        <x:v>938</x:v>
      </x:c>
      <x:c r="AC343" s="55" t="n">
        <x:v>8101</x:v>
      </x:c>
      <x:c r="AD343" s="55" t="n">
        <x:v>3021</x:v>
      </x:c>
      <x:c r="AE343" s="55" t="n">
        <x:v>10809</x:v>
      </x:c>
      <x:c r="AF343" s="55" t="n">
        <x:v>10762</x:v>
      </x:c>
      <x:c r="AG343" s="55" t="n">
        <x:v>47</x:v>
      </x:c>
      <x:c r="AH343" s="55" t="n">
        <x:v>369</x:v>
      </x:c>
      <x:c r="AI343" s="55" t="n">
        <x:v>10393</x:v>
      </x:c>
      <x:c r="AJ343" s="55" t="n">
        <x:v>322</x:v>
      </x:c>
      <x:c r="AK343" s="55" t="n">
        <x:v>1036</x:v>
      </x:c>
      <x:c r="AL343" s="55" t="n">
        <x:v>1858</x:v>
      </x:c>
      <x:c r="AM343" s="55" t="n">
        <x:v>4876</x:v>
      </x:c>
      <x:c r="AN343" s="55" t="n">
        <x:v>2670</x:v>
      </x:c>
      <x:c r="AO343" s="55" t="n">
        <x:v>0</x:v>
      </x:c>
      <x:c r="AP343" s="55" t="n">
        <x:v>2407</x:v>
      </x:c>
      <x:c r="AQ343" s="55" t="n">
        <x:v>953</x:v>
      </x:c>
    </x:row>
    <x:row r="344">
      <x:c r="A344" s="54" t="str">
        <x:v>T2_CONCORDANT_DOMAIN</x:v>
      </x:c>
      <x:c r="B344" s="54" t="n">
        <x:v>338</x:v>
      </x:c>
      <x:c r="C344" s="54" t="str">
        <x:v>NYC-V2-R01</x:v>
      </x:c>
      <x:c r="D344" s="54" t="str">
        <x:v>V2</x:v>
      </x:c>
      <x:c r="E344" s="54" t="str">
        <x:v>ADMITTED</x:v>
      </x:c>
      <x:c r="F344" s="55" t="n">
        <x:v>31212</x:v>
      </x:c>
      <x:c r="G344" s="55" t="n">
        <x:v>7674</x:v>
      </x:c>
      <x:c r="H344" s="55" t="n">
        <x:v>3055</x:v>
      </x:c>
      <x:c r="I344" s="55" t="n">
        <x:v>1240</x:v>
      </x:c>
      <x:c r="J344" s="55" t="n">
        <x:v>244</x:v>
      </x:c>
      <x:c r="K344" s="55" t="n">
        <x:v>31212</x:v>
      </x:c>
      <x:c r="L344" s="55" t="n">
        <x:v>5071</x:v>
      </x:c>
      <x:c r="M344" s="55" t="n">
        <x:v>960</x:v>
      </x:c>
      <x:c r="N344" s="55" t="n">
        <x:v>2463</x:v>
      </x:c>
      <x:c r="O344" s="55" t="n">
        <x:v>1648</x:v>
      </x:c>
      <x:c r="P344" s="55" t="n">
        <x:v>583</x:v>
      </x:c>
      <x:c r="Q344" s="55" t="n">
        <x:v>2194</x:v>
      </x:c>
      <x:c r="R344" s="55" t="n">
        <x:v>1789</x:v>
      </x:c>
      <x:c r="S344" s="55" t="n">
        <x:v>2431</x:v>
      </x:c>
      <x:c r="T344" s="55" t="n">
        <x:v>978</x:v>
      </x:c>
      <x:c r="U344" s="55" t="n">
        <x:v>1738</x:v>
      </x:c>
      <x:c r="V344" s="55" t="n">
        <x:v>10185</x:v>
      </x:c>
      <x:c r="W344" s="55" t="n">
        <x:v>6934</x:v>
      </x:c>
      <x:c r="X344" s="55" t="n">
        <x:v>3251</x:v>
      </x:c>
      <x:c r="Y344" s="55" t="n">
        <x:v>2630</x:v>
      </x:c>
      <x:c r="Z344" s="55" t="n">
        <x:v>3595</x:v>
      </x:c>
      <x:c r="AA344" s="55" t="n">
        <x:v>3055</x:v>
      </x:c>
      <x:c r="AB344" s="55" t="n">
        <x:v>1312</x:v>
      </x:c>
      <x:c r="AC344" s="55" t="n">
        <x:v>8128</x:v>
      </x:c>
      <x:c r="AD344" s="55" t="n">
        <x:v>2937</x:v>
      </x:c>
      <x:c r="AE344" s="55" t="n">
        <x:v>10257</x:v>
      </x:c>
      <x:c r="AF344" s="55" t="n">
        <x:v>10185</x:v>
      </x:c>
      <x:c r="AG344" s="55" t="n">
        <x:v>72</x:v>
      </x:c>
      <x:c r="AH344" s="55" t="n">
        <x:v>389</x:v>
      </x:c>
      <x:c r="AI344" s="55" t="n">
        <x:v>9796</x:v>
      </x:c>
      <x:c r="AJ344" s="55" t="n">
        <x:v>373</x:v>
      </x:c>
      <x:c r="AK344" s="55" t="n">
        <x:v>921</x:v>
      </x:c>
      <x:c r="AL344" s="55" t="n">
        <x:v>1656</x:v>
      </x:c>
      <x:c r="AM344" s="55" t="n">
        <x:v>5195</x:v>
      </x:c>
      <x:c r="AN344" s="55" t="n">
        <x:v>2034</x:v>
      </x:c>
      <x:c r="AO344" s="55" t="n">
        <x:v>6</x:v>
      </x:c>
      <x:c r="AP344" s="55" t="n">
        <x:v>2270</x:v>
      </x:c>
      <x:c r="AQ344" s="55" t="n">
        <x:v>920</x:v>
      </x:c>
    </x:row>
    <x:row r="345">
      <x:c r="A345" s="54" t="str">
        <x:v>T2_CONCORDANT_DOMAIN</x:v>
      </x:c>
      <x:c r="B345" s="54" t="n">
        <x:v>339</x:v>
      </x:c>
      <x:c r="C345" s="54" t="str">
        <x:v>NYC-V2-R01</x:v>
      </x:c>
      <x:c r="D345" s="54" t="str">
        <x:v>V2</x:v>
      </x:c>
      <x:c r="E345" s="54" t="str">
        <x:v>ADMITTED</x:v>
      </x:c>
      <x:c r="F345" s="55" t="n">
        <x:v>30541</x:v>
      </x:c>
      <x:c r="G345" s="55" t="n">
        <x:v>7282</x:v>
      </x:c>
      <x:c r="H345" s="55" t="n">
        <x:v>3203</x:v>
      </x:c>
      <x:c r="I345" s="55" t="n">
        <x:v>1358</x:v>
      </x:c>
      <x:c r="J345" s="55" t="n">
        <x:v>261</x:v>
      </x:c>
      <x:c r="K345" s="55" t="n">
        <x:v>30541</x:v>
      </x:c>
      <x:c r="L345" s="55" t="n">
        <x:v>6096</x:v>
      </x:c>
      <x:c r="M345" s="55" t="n">
        <x:v>1389</x:v>
      </x:c>
      <x:c r="N345" s="55" t="n">
        <x:v>2620</x:v>
      </x:c>
      <x:c r="O345" s="55" t="n">
        <x:v>2087</x:v>
      </x:c>
      <x:c r="P345" s="55" t="n">
        <x:v>972</x:v>
      </x:c>
      <x:c r="Q345" s="55" t="n">
        <x:v>2068</x:v>
      </x:c>
      <x:c r="R345" s="55" t="n">
        <x:v>2161</x:v>
      </x:c>
      <x:c r="S345" s="55" t="n">
        <x:v>3025</x:v>
      </x:c>
      <x:c r="T345" s="55" t="n">
        <x:v>1300</x:v>
      </x:c>
      <x:c r="U345" s="55" t="n">
        <x:v>2444</x:v>
      </x:c>
      <x:c r="V345" s="55" t="n">
        <x:v>10937</x:v>
      </x:c>
      <x:c r="W345" s="55" t="n">
        <x:v>7665</x:v>
      </x:c>
      <x:c r="X345" s="55" t="n">
        <x:v>3272</x:v>
      </x:c>
      <x:c r="Y345" s="55" t="n">
        <x:v>2879</x:v>
      </x:c>
      <x:c r="Z345" s="55" t="n">
        <x:v>3941</x:v>
      </x:c>
      <x:c r="AA345" s="55" t="n">
        <x:v>3199</x:v>
      </x:c>
      <x:c r="AB345" s="55" t="n">
        <x:v>1268</x:v>
      </x:c>
      <x:c r="AC345" s="55" t="n">
        <x:v>8591</x:v>
      </x:c>
      <x:c r="AD345" s="55" t="n">
        <x:v>3295</x:v>
      </x:c>
      <x:c r="AE345" s="55" t="n">
        <x:v>11026</x:v>
      </x:c>
      <x:c r="AF345" s="55" t="n">
        <x:v>10937</x:v>
      </x:c>
      <x:c r="AG345" s="55" t="n">
        <x:v>89</x:v>
      </x:c>
      <x:c r="AH345" s="55" t="n">
        <x:v>594</x:v>
      </x:c>
      <x:c r="AI345" s="55" t="n">
        <x:v>10343</x:v>
      </x:c>
      <x:c r="AJ345" s="55" t="n">
        <x:v>186</x:v>
      </x:c>
      <x:c r="AK345" s="55" t="n">
        <x:v>998</x:v>
      </x:c>
      <x:c r="AL345" s="55" t="n">
        <x:v>1880</x:v>
      </x:c>
      <x:c r="AM345" s="55" t="n">
        <x:v>4803</x:v>
      </x:c>
      <x:c r="AN345" s="55" t="n">
        <x:v>2968</x:v>
      </x:c>
      <x:c r="AO345" s="55" t="n">
        <x:v>102</x:v>
      </x:c>
      <x:c r="AP345" s="55" t="n">
        <x:v>2583</x:v>
      </x:c>
      <x:c r="AQ345" s="55" t="n">
        <x:v>1005</x:v>
      </x:c>
    </x:row>
    <x:row r="346">
      <x:c r="A346" s="54" t="str">
        <x:v>T2_CONCORDANT_DOMAIN</x:v>
      </x:c>
      <x:c r="B346" s="54" t="n">
        <x:v>340</x:v>
      </x:c>
      <x:c r="C346" s="54" t="str">
        <x:v>NYC-V2-R01</x:v>
      </x:c>
      <x:c r="D346" s="54" t="str">
        <x:v>V2</x:v>
      </x:c>
      <x:c r="E346" s="54" t="str">
        <x:v>ADMITTED</x:v>
      </x:c>
      <x:c r="F346" s="55" t="n">
        <x:v>31199</x:v>
      </x:c>
      <x:c r="G346" s="55" t="n">
        <x:v>7635</x:v>
      </x:c>
      <x:c r="H346" s="55" t="n">
        <x:v>3310</x:v>
      </x:c>
      <x:c r="I346" s="55" t="n">
        <x:v>1179</x:v>
      </x:c>
      <x:c r="J346" s="55" t="n">
        <x:v>197</x:v>
      </x:c>
      <x:c r="K346" s="55" t="n">
        <x:v>30688</x:v>
      </x:c>
      <x:c r="L346" s="55" t="n">
        <x:v>5523</x:v>
      </x:c>
      <x:c r="M346" s="55" t="n">
        <x:v>1807</x:v>
      </x:c>
      <x:c r="N346" s="55" t="n">
        <x:v>2343</x:v>
      </x:c>
      <x:c r="O346" s="55" t="n">
        <x:v>1373</x:v>
      </x:c>
      <x:c r="P346" s="55" t="n">
        <x:v>818</x:v>
      </x:c>
      <x:c r="Q346" s="55" t="n">
        <x:v>2308</x:v>
      </x:c>
      <x:c r="R346" s="55" t="n">
        <x:v>1818</x:v>
      </x:c>
      <x:c r="S346" s="55" t="n">
        <x:v>2899</x:v>
      </x:c>
      <x:c r="T346" s="55" t="n">
        <x:v>1076</x:v>
      </x:c>
      <x:c r="U346" s="55" t="n">
        <x:v>1230</x:v>
      </x:c>
      <x:c r="V346" s="55" t="n">
        <x:v>10233</x:v>
      </x:c>
      <x:c r="W346" s="55" t="n">
        <x:v>7228</x:v>
      </x:c>
      <x:c r="X346" s="55" t="n">
        <x:v>3005</x:v>
      </x:c>
      <x:c r="Y346" s="55" t="n">
        <x:v>2490</x:v>
      </x:c>
      <x:c r="Z346" s="55" t="n">
        <x:v>3691</x:v>
      </x:c>
      <x:c r="AA346" s="55" t="n">
        <x:v>2937</x:v>
      </x:c>
      <x:c r="AB346" s="55" t="n">
        <x:v>740</x:v>
      </x:c>
      <x:c r="AC346" s="55" t="n">
        <x:v>7925</x:v>
      </x:c>
      <x:c r="AD346" s="55" t="n">
        <x:v>2469</x:v>
      </x:c>
      <x:c r="AE346" s="55" t="n">
        <x:v>10347</x:v>
      </x:c>
      <x:c r="AF346" s="55" t="n">
        <x:v>10233</x:v>
      </x:c>
      <x:c r="AG346" s="55" t="n">
        <x:v>114</x:v>
      </x:c>
      <x:c r="AH346" s="55" t="n">
        <x:v>179</x:v>
      </x:c>
      <x:c r="AI346" s="55" t="n">
        <x:v>10054</x:v>
      </x:c>
      <x:c r="AJ346" s="55" t="n">
        <x:v>422</x:v>
      </x:c>
      <x:c r="AK346" s="55" t="n">
        <x:v>1091</x:v>
      </x:c>
      <x:c r="AL346" s="55" t="n">
        <x:v>1638</x:v>
      </x:c>
      <x:c r="AM346" s="55" t="n">
        <x:v>4660</x:v>
      </x:c>
      <x:c r="AN346" s="55" t="n">
        <x:v>2422</x:v>
      </x:c>
      <x:c r="AO346" s="55" t="n">
        <x:v>0</x:v>
      </x:c>
      <x:c r="AP346" s="55" t="n">
        <x:v>2396</x:v>
      </x:c>
      <x:c r="AQ346" s="55" t="n">
        <x:v>974</x:v>
      </x:c>
    </x:row>
    <x:row r="347">
      <x:c r="A347" s="54" t="str">
        <x:v>T2_CONCORDANT_DOMAIN</x:v>
      </x:c>
      <x:c r="B347" s="54" t="n">
        <x:v>341</x:v>
      </x:c>
      <x:c r="C347" s="54" t="str">
        <x:v>NYC-V2-R01</x:v>
      </x:c>
      <x:c r="D347" s="54" t="str">
        <x:v>V2</x:v>
      </x:c>
      <x:c r="E347" s="54" t="str">
        <x:v>ADMITTED</x:v>
      </x:c>
      <x:c r="F347" s="55" t="n">
        <x:v>29067</x:v>
      </x:c>
      <x:c r="G347" s="55" t="n">
        <x:v>5426</x:v>
      </x:c>
      <x:c r="H347" s="55" t="n">
        <x:v>3023</x:v>
      </x:c>
      <x:c r="I347" s="55" t="n">
        <x:v>1042</x:v>
      </x:c>
      <x:c r="J347" s="55" t="n">
        <x:v>208</x:v>
      </x:c>
      <x:c r="K347" s="55" t="n">
        <x:v>29067</x:v>
      </x:c>
      <x:c r="L347" s="55" t="n">
        <x:v>5215</x:v>
      </x:c>
      <x:c r="M347" s="55" t="n">
        <x:v>1062</x:v>
      </x:c>
      <x:c r="N347" s="55" t="n">
        <x:v>2347</x:v>
      </x:c>
      <x:c r="O347" s="55" t="n">
        <x:v>1806</x:v>
      </x:c>
      <x:c r="P347" s="55" t="n">
        <x:v>522</x:v>
      </x:c>
      <x:c r="Q347" s="55" t="n">
        <x:v>2277</x:v>
      </x:c>
      <x:c r="R347" s="55" t="n">
        <x:v>1780</x:v>
      </x:c>
      <x:c r="S347" s="55" t="n">
        <x:v>2842</x:v>
      </x:c>
      <x:c r="T347" s="55" t="n">
        <x:v>545</x:v>
      </x:c>
      <x:c r="U347" s="55" t="n">
        <x:v>2437</x:v>
      </x:c>
      <x:c r="V347" s="55" t="n">
        <x:v>10293</x:v>
      </x:c>
      <x:c r="W347" s="55" t="n">
        <x:v>7734</x:v>
      </x:c>
      <x:c r="X347" s="55" t="n">
        <x:v>2559</x:v>
      </x:c>
      <x:c r="Y347" s="55" t="n">
        <x:v>2134</x:v>
      </x:c>
      <x:c r="Z347" s="55" t="n">
        <x:v>3706</x:v>
      </x:c>
      <x:c r="AA347" s="55" t="n">
        <x:v>2623</x:v>
      </x:c>
      <x:c r="AB347" s="55" t="n">
        <x:v>1025</x:v>
      </x:c>
      <x:c r="AC347" s="55" t="n">
        <x:v>7458</x:v>
      </x:c>
      <x:c r="AD347" s="55" t="n">
        <x:v>2196</x:v>
      </x:c>
      <x:c r="AE347" s="55" t="n">
        <x:v>10368</x:v>
      </x:c>
      <x:c r="AF347" s="55" t="n">
        <x:v>10293</x:v>
      </x:c>
      <x:c r="AG347" s="55" t="n">
        <x:v>75</x:v>
      </x:c>
      <x:c r="AH347" s="55" t="n">
        <x:v>473</x:v>
      </x:c>
      <x:c r="AI347" s="55" t="n">
        <x:v>9820</x:v>
      </x:c>
      <x:c r="AJ347" s="55" t="n">
        <x:v>518</x:v>
      </x:c>
      <x:c r="AK347" s="55" t="n">
        <x:v>1125</x:v>
      </x:c>
      <x:c r="AL347" s="55" t="n">
        <x:v>1280</x:v>
      </x:c>
      <x:c r="AM347" s="55" t="n">
        <x:v>4890</x:v>
      </x:c>
      <x:c r="AN347" s="55" t="n">
        <x:v>2404</x:v>
      </x:c>
      <x:c r="AO347" s="55" t="n">
        <x:v>76</x:v>
      </x:c>
      <x:c r="AP347" s="55" t="n">
        <x:v>2595</x:v>
      </x:c>
      <x:c r="AQ347" s="55" t="n">
        <x:v>944</x:v>
      </x:c>
    </x:row>
    <x:row r="348">
      <x:c r="A348" s="54" t="str">
        <x:v>T2_CONCORDANT_DOMAIN</x:v>
      </x:c>
      <x:c r="B348" s="54" t="n">
        <x:v>342</x:v>
      </x:c>
      <x:c r="C348" s="54" t="str">
        <x:v>NYC-V2-R01</x:v>
      </x:c>
      <x:c r="D348" s="54" t="str">
        <x:v>V2</x:v>
      </x:c>
      <x:c r="E348" s="54" t="str">
        <x:v>ADMITTED</x:v>
      </x:c>
      <x:c r="F348" s="55" t="n">
        <x:v>32358</x:v>
      </x:c>
      <x:c r="G348" s="55" t="n">
        <x:v>8074</x:v>
      </x:c>
      <x:c r="H348" s="55" t="n">
        <x:v>3699</x:v>
      </x:c>
      <x:c r="I348" s="55" t="n">
        <x:v>599</x:v>
      </x:c>
      <x:c r="J348" s="55" t="n">
        <x:v>85</x:v>
      </x:c>
      <x:c r="K348" s="55" t="n">
        <x:v>32358</x:v>
      </x:c>
      <x:c r="L348" s="55" t="n">
        <x:v>6727</x:v>
      </x:c>
      <x:c r="M348" s="55" t="n">
        <x:v>1942</x:v>
      </x:c>
      <x:c r="N348" s="55" t="n">
        <x:v>2921</x:v>
      </x:c>
      <x:c r="O348" s="55" t="n">
        <x:v>1864</x:v>
      </x:c>
      <x:c r="P348" s="55" t="n">
        <x:v>1101</x:v>
      </x:c>
      <x:c r="Q348" s="55" t="n">
        <x:v>2093</x:v>
      </x:c>
      <x:c r="R348" s="55" t="n">
        <x:v>1764</x:v>
      </x:c>
      <x:c r="S348" s="55" t="n">
        <x:v>3247</x:v>
      </x:c>
      <x:c r="T348" s="55" t="n">
        <x:v>1514</x:v>
      </x:c>
      <x:c r="U348" s="55" t="n">
        <x:v>2174</x:v>
      </x:c>
      <x:c r="V348" s="55" t="n">
        <x:v>10602</x:v>
      </x:c>
      <x:c r="W348" s="55" t="n">
        <x:v>7397</x:v>
      </x:c>
      <x:c r="X348" s="55" t="n">
        <x:v>3205</x:v>
      </x:c>
      <x:c r="Y348" s="55" t="n">
        <x:v>2723</x:v>
      </x:c>
      <x:c r="Z348" s="55" t="n">
        <x:v>4302</x:v>
      </x:c>
      <x:c r="AA348" s="55" t="n">
        <x:v>3699</x:v>
      </x:c>
      <x:c r="AB348" s="55" t="n">
        <x:v>1471</x:v>
      </x:c>
      <x:c r="AC348" s="55" t="n">
        <x:v>7938</x:v>
      </x:c>
      <x:c r="AD348" s="55" t="n">
        <x:v>3185</x:v>
      </x:c>
      <x:c r="AE348" s="55" t="n">
        <x:v>10737</x:v>
      </x:c>
      <x:c r="AF348" s="55" t="n">
        <x:v>10602</x:v>
      </x:c>
      <x:c r="AG348" s="55" t="n">
        <x:v>135</x:v>
      </x:c>
      <x:c r="AH348" s="55" t="n">
        <x:v>617</x:v>
      </x:c>
      <x:c r="AI348" s="55" t="n">
        <x:v>9985</x:v>
      </x:c>
      <x:c r="AJ348" s="55" t="n">
        <x:v>348</x:v>
      </x:c>
      <x:c r="AK348" s="55" t="n">
        <x:v>964</x:v>
      </x:c>
      <x:c r="AL348" s="55" t="n">
        <x:v>1395</x:v>
      </x:c>
      <x:c r="AM348" s="55" t="n">
        <x:v>4996</x:v>
      </x:c>
      <x:c r="AN348" s="55" t="n">
        <x:v>2826</x:v>
      </x:c>
      <x:c r="AO348" s="55" t="n">
        <x:v>73</x:v>
      </x:c>
      <x:c r="AP348" s="55" t="n">
        <x:v>2377</x:v>
      </x:c>
      <x:c r="AQ348" s="55" t="n">
        <x:v>954</x:v>
      </x:c>
    </x:row>
    <x:row r="349">
      <x:c r="A349" s="54" t="str">
        <x:v>T2_CONCORDANT_DOMAIN</x:v>
      </x:c>
      <x:c r="B349" s="54" t="n">
        <x:v>343</x:v>
      </x:c>
      <x:c r="C349" s="54" t="str">
        <x:v>NYC-V2-R01</x:v>
      </x:c>
      <x:c r="D349" s="54" t="str">
        <x:v>V2</x:v>
      </x:c>
      <x:c r="E349" s="54" t="str">
        <x:v>ADMITTED</x:v>
      </x:c>
      <x:c r="F349" s="55" t="n">
        <x:v>34618</x:v>
      </x:c>
      <x:c r="G349" s="55" t="n">
        <x:v>10114</x:v>
      </x:c>
      <x:c r="H349" s="55" t="n">
        <x:v>3690</x:v>
      </x:c>
      <x:c r="I349" s="55" t="n">
        <x:v>1631</x:v>
      </x:c>
      <x:c r="J349" s="55" t="n">
        <x:v>109</x:v>
      </x:c>
      <x:c r="K349" s="55" t="n">
        <x:v>33560</x:v>
      </x:c>
      <x:c r="L349" s="55" t="n">
        <x:v>7762</x:v>
      </x:c>
      <x:c r="M349" s="55" t="n">
        <x:v>3112</x:v>
      </x:c>
      <x:c r="N349" s="55" t="n">
        <x:v>3074</x:v>
      </x:c>
      <x:c r="O349" s="55" t="n">
        <x:v>1576</x:v>
      </x:c>
      <x:c r="P349" s="55" t="n">
        <x:v>1045</x:v>
      </x:c>
      <x:c r="Q349" s="55" t="n">
        <x:v>3311</x:v>
      </x:c>
      <x:c r="R349" s="55" t="n">
        <x:v>2094</x:v>
      </x:c>
      <x:c r="S349" s="55" t="n">
        <x:v>3450</x:v>
      </x:c>
      <x:c r="T349" s="55" t="n">
        <x:v>1356</x:v>
      </x:c>
      <x:c r="U349" s="55" t="n">
        <x:v>2621</x:v>
      </x:c>
      <x:c r="V349" s="55" t="n">
        <x:v>10535</x:v>
      </x:c>
      <x:c r="W349" s="55" t="n">
        <x:v>7267</x:v>
      </x:c>
      <x:c r="X349" s="55" t="n">
        <x:v>3268</x:v>
      </x:c>
      <x:c r="Y349" s="55" t="n">
        <x:v>2964</x:v>
      </x:c>
      <x:c r="Z349" s="55" t="n">
        <x:v>3790</x:v>
      </x:c>
      <x:c r="AA349" s="55" t="n">
        <x:v>3690</x:v>
      </x:c>
      <x:c r="AB349" s="55" t="n">
        <x:v>1412</x:v>
      </x:c>
      <x:c r="AC349" s="55" t="n">
        <x:v>8628</x:v>
      </x:c>
      <x:c r="AD349" s="55" t="n">
        <x:v>3252</x:v>
      </x:c>
      <x:c r="AE349" s="55" t="n">
        <x:v>10656</x:v>
      </x:c>
      <x:c r="AF349" s="55" t="n">
        <x:v>10535</x:v>
      </x:c>
      <x:c r="AG349" s="55" t="n">
        <x:v>121</x:v>
      </x:c>
      <x:c r="AH349" s="55" t="n">
        <x:v>486</x:v>
      </x:c>
      <x:c r="AI349" s="55" t="n">
        <x:v>10049</x:v>
      </x:c>
      <x:c r="AJ349" s="55" t="n">
        <x:v>343</x:v>
      </x:c>
      <x:c r="AK349" s="55" t="n">
        <x:v>1017</x:v>
      </x:c>
      <x:c r="AL349" s="55" t="n">
        <x:v>1488</x:v>
      </x:c>
      <x:c r="AM349" s="55" t="n">
        <x:v>4816</x:v>
      </x:c>
      <x:c r="AN349" s="55" t="n">
        <x:v>2753</x:v>
      </x:c>
      <x:c r="AO349" s="55" t="n">
        <x:v>118</x:v>
      </x:c>
      <x:c r="AP349" s="55" t="n">
        <x:v>2637</x:v>
      </x:c>
      <x:c r="AQ349" s="55" t="n">
        <x:v>983</x:v>
      </x:c>
    </x:row>
    <x:row r="350">
      <x:c r="A350" s="54" t="str">
        <x:v>T2_CONCORDANT_DOMAIN</x:v>
      </x:c>
      <x:c r="B350" s="54" t="n">
        <x:v>344</x:v>
      </x:c>
      <x:c r="C350" s="54" t="str">
        <x:v>NYC-V2-R01</x:v>
      </x:c>
      <x:c r="D350" s="54" t="str">
        <x:v>V2</x:v>
      </x:c>
      <x:c r="E350" s="54" t="str">
        <x:v>ADMITTED</x:v>
      </x:c>
      <x:c r="F350" s="55" t="n">
        <x:v>29513</x:v>
      </x:c>
      <x:c r="G350" s="55" t="n">
        <x:v>7179</x:v>
      </x:c>
      <x:c r="H350" s="55" t="n">
        <x:v>3146</x:v>
      </x:c>
      <x:c r="I350" s="55" t="n">
        <x:v>979</x:v>
      </x:c>
      <x:c r="J350" s="55" t="n">
        <x:v>25</x:v>
      </x:c>
      <x:c r="K350" s="55" t="n">
        <x:v>29513</x:v>
      </x:c>
      <x:c r="L350" s="55" t="n">
        <x:v>5515</x:v>
      </x:c>
      <x:c r="M350" s="55" t="n">
        <x:v>946</x:v>
      </x:c>
      <x:c r="N350" s="55" t="n">
        <x:v>2823</x:v>
      </x:c>
      <x:c r="O350" s="55" t="n">
        <x:v>1746</x:v>
      </x:c>
      <x:c r="P350" s="55" t="n">
        <x:v>843</x:v>
      </x:c>
      <x:c r="Q350" s="55" t="n">
        <x:v>2352</x:v>
      </x:c>
      <x:c r="R350" s="55" t="n">
        <x:v>1596</x:v>
      </x:c>
      <x:c r="S350" s="55" t="n">
        <x:v>2022</x:v>
      </x:c>
      <x:c r="T350" s="55" t="n">
        <x:v>1100</x:v>
      </x:c>
      <x:c r="U350" s="55" t="n">
        <x:v>2411</x:v>
      </x:c>
      <x:c r="V350" s="55" t="n">
        <x:v>9911</x:v>
      </x:c>
      <x:c r="W350" s="55" t="n">
        <x:v>7284</x:v>
      </x:c>
      <x:c r="X350" s="55" t="n">
        <x:v>2627</x:v>
      </x:c>
      <x:c r="Y350" s="55" t="n">
        <x:v>2375</x:v>
      </x:c>
      <x:c r="Z350" s="55" t="n">
        <x:v>3487</x:v>
      </x:c>
      <x:c r="AA350" s="55" t="n">
        <x:v>3146</x:v>
      </x:c>
      <x:c r="AB350" s="55" t="n">
        <x:v>1059</x:v>
      </x:c>
      <x:c r="AC350" s="55" t="n">
        <x:v>8335</x:v>
      </x:c>
      <x:c r="AD350" s="55" t="n">
        <x:v>3120</x:v>
      </x:c>
      <x:c r="AE350" s="55" t="n">
        <x:v>9946</x:v>
      </x:c>
      <x:c r="AF350" s="55" t="n">
        <x:v>9911</x:v>
      </x:c>
      <x:c r="AG350" s="55" t="n">
        <x:v>35</x:v>
      </x:c>
      <x:c r="AH350" s="55" t="n">
        <x:v>138</x:v>
      </x:c>
      <x:c r="AI350" s="55" t="n">
        <x:v>9773</x:v>
      </x:c>
      <x:c r="AJ350" s="55" t="n">
        <x:v>233</x:v>
      </x:c>
      <x:c r="AK350" s="55" t="n">
        <x:v>854</x:v>
      </x:c>
      <x:c r="AL350" s="55" t="n">
        <x:v>1365</x:v>
      </x:c>
      <x:c r="AM350" s="55" t="n">
        <x:v>4741</x:v>
      </x:c>
      <x:c r="AN350" s="55" t="n">
        <x:v>2718</x:v>
      </x:c>
      <x:c r="AO350" s="55" t="n">
        <x:v>0</x:v>
      </x:c>
      <x:c r="AP350" s="55" t="n">
        <x:v>2513</x:v>
      </x:c>
      <x:c r="AQ350" s="55" t="n">
        <x:v>937</x:v>
      </x:c>
    </x:row>
    <x:row r="351">
      <x:c r="A351" s="54" t="str">
        <x:v>T2_CONCORDANT_DOMAIN</x:v>
      </x:c>
      <x:c r="B351" s="54" t="n">
        <x:v>345</x:v>
      </x:c>
      <x:c r="C351" s="54" t="str">
        <x:v>NYC-V2-R01</x:v>
      </x:c>
      <x:c r="D351" s="54" t="str">
        <x:v>V2</x:v>
      </x:c>
      <x:c r="E351" s="54" t="str">
        <x:v>ADMITTED</x:v>
      </x:c>
      <x:c r="F351" s="55" t="n">
        <x:v>29829</x:v>
      </x:c>
      <x:c r="G351" s="55" t="n">
        <x:v>7060</x:v>
      </x:c>
      <x:c r="H351" s="55" t="n">
        <x:v>3286</x:v>
      </x:c>
      <x:c r="I351" s="55" t="n">
        <x:v>1287</x:v>
      </x:c>
      <x:c r="J351" s="55" t="n">
        <x:v>28</x:v>
      </x:c>
      <x:c r="K351" s="55" t="n">
        <x:v>29829</x:v>
      </x:c>
      <x:c r="L351" s="55" t="n">
        <x:v>5770</x:v>
      </x:c>
      <x:c r="M351" s="55" t="n">
        <x:v>1777</x:v>
      </x:c>
      <x:c r="N351" s="55" t="n">
        <x:v>2571</x:v>
      </x:c>
      <x:c r="O351" s="55" t="n">
        <x:v>1422</x:v>
      </x:c>
      <x:c r="P351" s="55" t="n">
        <x:v>598</x:v>
      </x:c>
      <x:c r="Q351" s="55" t="n">
        <x:v>2050</x:v>
      </x:c>
      <x:c r="R351" s="55" t="n">
        <x:v>1674</x:v>
      </x:c>
      <x:c r="S351" s="55" t="n">
        <x:v>2593</x:v>
      </x:c>
      <x:c r="T351" s="55" t="n">
        <x:v>1232</x:v>
      </x:c>
      <x:c r="U351" s="55" t="n">
        <x:v>1912</x:v>
      </x:c>
      <x:c r="V351" s="55" t="n">
        <x:v>10565</x:v>
      </x:c>
      <x:c r="W351" s="55" t="n">
        <x:v>7437</x:v>
      </x:c>
      <x:c r="X351" s="55" t="n">
        <x:v>3128</x:v>
      </x:c>
      <x:c r="Y351" s="55" t="n">
        <x:v>2703</x:v>
      </x:c>
      <x:c r="Z351" s="55" t="n">
        <x:v>3444</x:v>
      </x:c>
      <x:c r="AA351" s="55" t="n">
        <x:v>2968</x:v>
      </x:c>
      <x:c r="AB351" s="55" t="n">
        <x:v>615</x:v>
      </x:c>
      <x:c r="AC351" s="55" t="n">
        <x:v>7663</x:v>
      </x:c>
      <x:c r="AD351" s="55" t="n">
        <x:v>2596</x:v>
      </x:c>
      <x:c r="AE351" s="55" t="n">
        <x:v>10658</x:v>
      </x:c>
      <x:c r="AF351" s="55" t="n">
        <x:v>10565</x:v>
      </x:c>
      <x:c r="AG351" s="55" t="n">
        <x:v>93</x:v>
      </x:c>
      <x:c r="AH351" s="55" t="n">
        <x:v>572</x:v>
      </x:c>
      <x:c r="AI351" s="55" t="n">
        <x:v>9993</x:v>
      </x:c>
      <x:c r="AJ351" s="55" t="n">
        <x:v>369</x:v>
      </x:c>
      <x:c r="AK351" s="55" t="n">
        <x:v>709</x:v>
      </x:c>
      <x:c r="AL351" s="55" t="n">
        <x:v>1842</x:v>
      </x:c>
      <x:c r="AM351" s="55" t="n">
        <x:v>4694</x:v>
      </x:c>
      <x:c r="AN351" s="55" t="n">
        <x:v>2951</x:v>
      </x:c>
      <x:c r="AO351" s="55" t="n">
        <x:v>0</x:v>
      </x:c>
      <x:c r="AP351" s="55" t="n">
        <x:v>2461</x:v>
      </x:c>
      <x:c r="AQ351" s="55" t="n">
        <x:v>954</x:v>
      </x:c>
    </x:row>
    <x:row r="352">
      <x:c r="A352" s="54" t="str">
        <x:v>T2_CONCORDANT_DOMAIN</x:v>
      </x:c>
      <x:c r="B352" s="54" t="n">
        <x:v>346</x:v>
      </x:c>
      <x:c r="C352" s="54" t="str">
        <x:v>NYC-V2-R01</x:v>
      </x:c>
      <x:c r="D352" s="54" t="str">
        <x:v>V2</x:v>
      </x:c>
      <x:c r="E352" s="54" t="str">
        <x:v>ADMITTED</x:v>
      </x:c>
      <x:c r="F352" s="55" t="n">
        <x:v>33191</x:v>
      </x:c>
      <x:c r="G352" s="55" t="n">
        <x:v>8972</x:v>
      </x:c>
      <x:c r="H352" s="55" t="n">
        <x:v>3213</x:v>
      </x:c>
      <x:c r="I352" s="55" t="n">
        <x:v>1227</x:v>
      </x:c>
      <x:c r="J352" s="55" t="n">
        <x:v>244</x:v>
      </x:c>
      <x:c r="K352" s="55" t="n">
        <x:v>31283</x:v>
      </x:c>
      <x:c r="L352" s="55" t="n">
        <x:v>5951</x:v>
      </x:c>
      <x:c r="M352" s="55" t="n">
        <x:v>1062</x:v>
      </x:c>
      <x:c r="N352" s="55" t="n">
        <x:v>3221</x:v>
      </x:c>
      <x:c r="O352" s="55" t="n">
        <x:v>1668</x:v>
      </x:c>
      <x:c r="P352" s="55" t="n">
        <x:v>769</x:v>
      </x:c>
      <x:c r="Q352" s="55" t="n">
        <x:v>2768</x:v>
      </x:c>
      <x:c r="R352" s="55" t="n">
        <x:v>2057</x:v>
      </x:c>
      <x:c r="S352" s="55" t="n">
        <x:v>2662</x:v>
      </x:c>
      <x:c r="T352" s="55" t="n">
        <x:v>1256</x:v>
      </x:c>
      <x:c r="U352" s="55" t="n">
        <x:v>2202</x:v>
      </x:c>
      <x:c r="V352" s="55" t="n">
        <x:v>11266</x:v>
      </x:c>
      <x:c r="W352" s="55" t="n">
        <x:v>8457</x:v>
      </x:c>
      <x:c r="X352" s="55" t="n">
        <x:v>2809</x:v>
      </x:c>
      <x:c r="Y352" s="55" t="n">
        <x:v>2492</x:v>
      </x:c>
      <x:c r="Z352" s="55" t="n">
        <x:v>3130</x:v>
      </x:c>
      <x:c r="AA352" s="55" t="n">
        <x:v>2540</x:v>
      </x:c>
      <x:c r="AB352" s="55" t="n">
        <x:v>887</x:v>
      </x:c>
      <x:c r="AC352" s="55" t="n">
        <x:v>8354</x:v>
      </x:c>
      <x:c r="AD352" s="55" t="n">
        <x:v>2791</x:v>
      </x:c>
      <x:c r="AE352" s="55" t="n">
        <x:v>11410</x:v>
      </x:c>
      <x:c r="AF352" s="55" t="n">
        <x:v>11266</x:v>
      </x:c>
      <x:c r="AG352" s="55" t="n">
        <x:v>144</x:v>
      </x:c>
      <x:c r="AH352" s="55" t="n">
        <x:v>484</x:v>
      </x:c>
      <x:c r="AI352" s="55" t="n">
        <x:v>10782</x:v>
      </x:c>
      <x:c r="AJ352" s="55" t="n">
        <x:v>414</x:v>
      </x:c>
      <x:c r="AK352" s="55" t="n">
        <x:v>1040</x:v>
      </x:c>
      <x:c r="AL352" s="55" t="n">
        <x:v>1719</x:v>
      </x:c>
      <x:c r="AM352" s="55" t="n">
        <x:v>4969</x:v>
      </x:c>
      <x:c r="AN352" s="55" t="n">
        <x:v>3112</x:v>
      </x:c>
      <x:c r="AO352" s="55" t="n">
        <x:v>12</x:v>
      </x:c>
      <x:c r="AP352" s="55" t="n">
        <x:v>2734</x:v>
      </x:c>
      <x:c r="AQ352" s="55" t="n">
        <x:v>975</x:v>
      </x:c>
    </x:row>
    <x:row r="353">
      <x:c r="A353" s="54" t="str">
        <x:v>T2_CONCORDANT_DOMAIN</x:v>
      </x:c>
      <x:c r="B353" s="54" t="n">
        <x:v>347</x:v>
      </x:c>
      <x:c r="C353" s="54" t="str">
        <x:v>NYC-V2-R01</x:v>
      </x:c>
      <x:c r="D353" s="54" t="str">
        <x:v>V2</x:v>
      </x:c>
      <x:c r="E353" s="54" t="str">
        <x:v>ADMITTED</x:v>
      </x:c>
      <x:c r="F353" s="55" t="n">
        <x:v>30472</x:v>
      </x:c>
      <x:c r="G353" s="55" t="n">
        <x:v>7474</x:v>
      </x:c>
      <x:c r="H353" s="55" t="n">
        <x:v>3390</x:v>
      </x:c>
      <x:c r="I353" s="55" t="n">
        <x:v>1523</x:v>
      </x:c>
      <x:c r="J353" s="55" t="n">
        <x:v>370</x:v>
      </x:c>
      <x:c r="K353" s="55" t="n">
        <x:v>29732</x:v>
      </x:c>
      <x:c r="L353" s="55" t="n">
        <x:v>6198</x:v>
      </x:c>
      <x:c r="M353" s="55" t="n">
        <x:v>1731</x:v>
      </x:c>
      <x:c r="N353" s="55" t="n">
        <x:v>2604</x:v>
      </x:c>
      <x:c r="O353" s="55" t="n">
        <x:v>1863</x:v>
      </x:c>
      <x:c r="P353" s="55" t="n">
        <x:v>799</x:v>
      </x:c>
      <x:c r="Q353" s="55" t="n">
        <x:v>2948</x:v>
      </x:c>
      <x:c r="R353" s="55" t="n">
        <x:v>1951</x:v>
      </x:c>
      <x:c r="S353" s="55" t="n">
        <x:v>2593</x:v>
      </x:c>
      <x:c r="T353" s="55" t="n">
        <x:v>1108</x:v>
      </x:c>
      <x:c r="U353" s="55" t="n">
        <x:v>2004</x:v>
      </x:c>
      <x:c r="V353" s="55" t="n">
        <x:v>10363</x:v>
      </x:c>
      <x:c r="W353" s="55" t="n">
        <x:v>7485</x:v>
      </x:c>
      <x:c r="X353" s="55" t="n">
        <x:v>2878</x:v>
      </x:c>
      <x:c r="Y353" s="55" t="n">
        <x:v>2532</x:v>
      </x:c>
      <x:c r="Z353" s="55" t="n">
        <x:v>3431</x:v>
      </x:c>
      <x:c r="AA353" s="55" t="n">
        <x:v>2386</x:v>
      </x:c>
      <x:c r="AB353" s="55" t="n">
        <x:v>827</x:v>
      </x:c>
      <x:c r="AC353" s="55" t="n">
        <x:v>7826</x:v>
      </x:c>
      <x:c r="AD353" s="55" t="n">
        <x:v>2631</x:v>
      </x:c>
      <x:c r="AE353" s="55" t="n">
        <x:v>10418</x:v>
      </x:c>
      <x:c r="AF353" s="55" t="n">
        <x:v>10363</x:v>
      </x:c>
      <x:c r="AG353" s="55" t="n">
        <x:v>55</x:v>
      </x:c>
      <x:c r="AH353" s="55" t="n">
        <x:v>437</x:v>
      </x:c>
      <x:c r="AI353" s="55" t="n">
        <x:v>9926</x:v>
      </x:c>
      <x:c r="AJ353" s="55" t="n">
        <x:v>403</x:v>
      </x:c>
      <x:c r="AK353" s="55" t="n">
        <x:v>822</x:v>
      </x:c>
      <x:c r="AL353" s="55" t="n">
        <x:v>1827</x:v>
      </x:c>
      <x:c r="AM353" s="55" t="n">
        <x:v>4656</x:v>
      </x:c>
      <x:c r="AN353" s="55" t="n">
        <x:v>2655</x:v>
      </x:c>
      <x:c r="AO353" s="55" t="n">
        <x:v>0</x:v>
      </x:c>
      <x:c r="AP353" s="55" t="n">
        <x:v>2176</x:v>
      </x:c>
      <x:c r="AQ353" s="55" t="n">
        <x:v>935</x:v>
      </x:c>
    </x:row>
    <x:row r="354">
      <x:c r="A354" s="54" t="str">
        <x:v>T2_CONCORDANT_DOMAIN</x:v>
      </x:c>
      <x:c r="B354" s="54" t="n">
        <x:v>348</x:v>
      </x:c>
      <x:c r="C354" s="54" t="str">
        <x:v>NYC-V2-R01</x:v>
      </x:c>
      <x:c r="D354" s="54" t="str">
        <x:v>V2</x:v>
      </x:c>
      <x:c r="E354" s="54" t="str">
        <x:v>ADMITTED</x:v>
      </x:c>
      <x:c r="F354" s="55" t="n">
        <x:v>31578</x:v>
      </x:c>
      <x:c r="G354" s="55" t="n">
        <x:v>7501</x:v>
      </x:c>
      <x:c r="H354" s="55" t="n">
        <x:v>3293</x:v>
      </x:c>
      <x:c r="I354" s="55" t="n">
        <x:v>1361</x:v>
      </x:c>
      <x:c r="J354" s="55" t="n">
        <x:v>263</x:v>
      </x:c>
      <x:c r="K354" s="55" t="n">
        <x:v>31578</x:v>
      </x:c>
      <x:c r="L354" s="55" t="n">
        <x:v>6758</x:v>
      </x:c>
      <x:c r="M354" s="55" t="n">
        <x:v>1837</x:v>
      </x:c>
      <x:c r="N354" s="55" t="n">
        <x:v>3150</x:v>
      </x:c>
      <x:c r="O354" s="55" t="n">
        <x:v>1771</x:v>
      </x:c>
      <x:c r="P354" s="55" t="n">
        <x:v>797</x:v>
      </x:c>
      <x:c r="Q354" s="55" t="n">
        <x:v>3000</x:v>
      </x:c>
      <x:c r="R354" s="55" t="n">
        <x:v>1927</x:v>
      </x:c>
      <x:c r="S354" s="55" t="n">
        <x:v>2932</x:v>
      </x:c>
      <x:c r="T354" s="55" t="n">
        <x:v>1326</x:v>
      </x:c>
      <x:c r="U354" s="55" t="n">
        <x:v>2006</x:v>
      </x:c>
      <x:c r="V354" s="55" t="n">
        <x:v>11449</x:v>
      </x:c>
      <x:c r="W354" s="55" t="n">
        <x:v>8409</x:v>
      </x:c>
      <x:c r="X354" s="55" t="n">
        <x:v>3040</x:v>
      </x:c>
      <x:c r="Y354" s="55" t="n">
        <x:v>2761</x:v>
      </x:c>
      <x:c r="Z354" s="55" t="n">
        <x:v>3877</x:v>
      </x:c>
      <x:c r="AA354" s="55" t="n">
        <x:v>2711</x:v>
      </x:c>
      <x:c r="AB354" s="55" t="n">
        <x:v>1081</x:v>
      </x:c>
      <x:c r="AC354" s="55" t="n">
        <x:v>8087</x:v>
      </x:c>
      <x:c r="AD354" s="55" t="n">
        <x:v>2737</x:v>
      </x:c>
      <x:c r="AE354" s="55" t="n">
        <x:v>11540</x:v>
      </x:c>
      <x:c r="AF354" s="55" t="n">
        <x:v>11449</x:v>
      </x:c>
      <x:c r="AG354" s="55" t="n">
        <x:v>91</x:v>
      </x:c>
      <x:c r="AH354" s="55" t="n">
        <x:v>544</x:v>
      </x:c>
      <x:c r="AI354" s="55" t="n">
        <x:v>10905</x:v>
      </x:c>
      <x:c r="AJ354" s="55" t="n">
        <x:v>557</x:v>
      </x:c>
      <x:c r="AK354" s="55" t="n">
        <x:v>1071</x:v>
      </x:c>
      <x:c r="AL354" s="55" t="n">
        <x:v>1803</x:v>
      </x:c>
      <x:c r="AM354" s="55" t="n">
        <x:v>5398</x:v>
      </x:c>
      <x:c r="AN354" s="55" t="n">
        <x:v>2593</x:v>
      </x:c>
      <x:c r="AO354" s="55" t="n">
        <x:v>27</x:v>
      </x:c>
      <x:c r="AP354" s="55" t="n">
        <x:v>2345</x:v>
      </x:c>
      <x:c r="AQ354" s="55" t="n">
        <x:v>977</x:v>
      </x:c>
    </x:row>
    <x:row r="355">
      <x:c r="A355" s="54" t="str">
        <x:v>T2_CONCORDANT_DOMAIN</x:v>
      </x:c>
      <x:c r="B355" s="54" t="n">
        <x:v>349</x:v>
      </x:c>
      <x:c r="C355" s="54" t="str">
        <x:v>NYC-V2-R01</x:v>
      </x:c>
      <x:c r="D355" s="54" t="str">
        <x:v>V2</x:v>
      </x:c>
      <x:c r="E355" s="54" t="str">
        <x:v>ADMITTED</x:v>
      </x:c>
      <x:c r="F355" s="55" t="n">
        <x:v>30285</x:v>
      </x:c>
      <x:c r="G355" s="55" t="n">
        <x:v>6733</x:v>
      </x:c>
      <x:c r="H355" s="55" t="n">
        <x:v>3444</x:v>
      </x:c>
      <x:c r="I355" s="55" t="n">
        <x:v>1030</x:v>
      </x:c>
      <x:c r="J355" s="55" t="n">
        <x:v>285</x:v>
      </x:c>
      <x:c r="K355" s="55" t="n">
        <x:v>30285</x:v>
      </x:c>
      <x:c r="L355" s="55" t="n">
        <x:v>6829</x:v>
      </x:c>
      <x:c r="M355" s="55" t="n">
        <x:v>2041</x:v>
      </x:c>
      <x:c r="N355" s="55" t="n">
        <x:v>2684</x:v>
      </x:c>
      <x:c r="O355" s="55" t="n">
        <x:v>2104</x:v>
      </x:c>
      <x:c r="P355" s="55" t="n">
        <x:v>977</x:v>
      </x:c>
      <x:c r="Q355" s="55" t="n">
        <x:v>3117</x:v>
      </x:c>
      <x:c r="R355" s="55" t="n">
        <x:v>2498</x:v>
      </x:c>
      <x:c r="S355" s="55" t="n">
        <x:v>2667</x:v>
      </x:c>
      <x:c r="T355" s="55" t="n">
        <x:v>1225</x:v>
      </x:c>
      <x:c r="U355" s="55" t="n">
        <x:v>2898</x:v>
      </x:c>
      <x:c r="V355" s="55" t="n">
        <x:v>9713</x:v>
      </x:c>
      <x:c r="W355" s="55" t="n">
        <x:v>6591</x:v>
      </x:c>
      <x:c r="X355" s="55" t="n">
        <x:v>3122</x:v>
      </x:c>
      <x:c r="Y355" s="55" t="n">
        <x:v>2724</x:v>
      </x:c>
      <x:c r="Z355" s="55" t="n">
        <x:v>4204</x:v>
      </x:c>
      <x:c r="AA355" s="55" t="n">
        <x:v>3444</x:v>
      </x:c>
      <x:c r="AB355" s="55" t="n">
        <x:v>1300</x:v>
      </x:c>
      <x:c r="AC355" s="55" t="n">
        <x:v>7888</x:v>
      </x:c>
      <x:c r="AD355" s="55" t="n">
        <x:v>3262</x:v>
      </x:c>
      <x:c r="AE355" s="55" t="n">
        <x:v>9753</x:v>
      </x:c>
      <x:c r="AF355" s="55" t="n">
        <x:v>9713</x:v>
      </x:c>
      <x:c r="AG355" s="55" t="n">
        <x:v>40</x:v>
      </x:c>
      <x:c r="AH355" s="55" t="n">
        <x:v>351</x:v>
      </x:c>
      <x:c r="AI355" s="55" t="n">
        <x:v>9362</x:v>
      </x:c>
      <x:c r="AJ355" s="55" t="n">
        <x:v>203</x:v>
      </x:c>
      <x:c r="AK355" s="55" t="n">
        <x:v>1013</x:v>
      </x:c>
      <x:c r="AL355" s="55" t="n">
        <x:v>1730</x:v>
      </x:c>
      <x:c r="AM355" s="55" t="n">
        <x:v>4713</x:v>
      </x:c>
      <x:c r="AN355" s="55" t="n">
        <x:v>2054</x:v>
      </x:c>
      <x:c r="AO355" s="55" t="n">
        <x:v>0</x:v>
      </x:c>
      <x:c r="AP355" s="55" t="n">
        <x:v>2511</x:v>
      </x:c>
      <x:c r="AQ355" s="55" t="n">
        <x:v>920</x:v>
      </x:c>
    </x:row>
    <x:row r="356">
      <x:c r="A356" s="54" t="str">
        <x:v>T2_CONCORDANT_DOMAIN</x:v>
      </x:c>
      <x:c r="B356" s="54" t="n">
        <x:v>350</x:v>
      </x:c>
      <x:c r="C356" s="54" t="str">
        <x:v>NYC-V2-R01</x:v>
      </x:c>
      <x:c r="D356" s="54" t="str">
        <x:v>V2</x:v>
      </x:c>
      <x:c r="E356" s="54" t="str">
        <x:v>ADMITTED</x:v>
      </x:c>
      <x:c r="F356" s="55" t="n">
        <x:v>31926</x:v>
      </x:c>
      <x:c r="G356" s="55" t="n">
        <x:v>7870</x:v>
      </x:c>
      <x:c r="H356" s="55" t="n">
        <x:v>3168</x:v>
      </x:c>
      <x:c r="I356" s="55" t="n">
        <x:v>1228</x:v>
      </x:c>
      <x:c r="J356" s="55" t="n">
        <x:v>146</x:v>
      </x:c>
      <x:c r="K356" s="55" t="n">
        <x:v>30634</x:v>
      </x:c>
      <x:c r="L356" s="55" t="n">
        <x:v>4995</x:v>
      </x:c>
      <x:c r="M356" s="55" t="n">
        <x:v>309</x:v>
      </x:c>
      <x:c r="N356" s="55" t="n">
        <x:v>3033</x:v>
      </x:c>
      <x:c r="O356" s="55" t="n">
        <x:v>1653</x:v>
      </x:c>
      <x:c r="P356" s="55" t="n">
        <x:v>804</x:v>
      </x:c>
      <x:c r="Q356" s="55" t="n">
        <x:v>2797</x:v>
      </x:c>
      <x:c r="R356" s="55" t="n">
        <x:v>1970</x:v>
      </x:c>
      <x:c r="S356" s="55" t="n">
        <x:v>2592</x:v>
      </x:c>
      <x:c r="T356" s="55" t="n">
        <x:v>1565</x:v>
      </x:c>
      <x:c r="U356" s="55" t="n">
        <x:v>2507</x:v>
      </x:c>
      <x:c r="V356" s="55" t="n">
        <x:v>10949</x:v>
      </x:c>
      <x:c r="W356" s="55" t="n">
        <x:v>7932</x:v>
      </x:c>
      <x:c r="X356" s="55" t="n">
        <x:v>3017</x:v>
      </x:c>
      <x:c r="Y356" s="55" t="n">
        <x:v>2589</x:v>
      </x:c>
      <x:c r="Z356" s="55" t="n">
        <x:v>4066</x:v>
      </x:c>
      <x:c r="AA356" s="55" t="n">
        <x:v>2827</x:v>
      </x:c>
      <x:c r="AB356" s="55" t="n">
        <x:v>1093</x:v>
      </x:c>
      <x:c r="AC356" s="55" t="n">
        <x:v>7882</x:v>
      </x:c>
      <x:c r="AD356" s="55" t="n">
        <x:v>3100</x:v>
      </x:c>
      <x:c r="AE356" s="55" t="n">
        <x:v>11070</x:v>
      </x:c>
      <x:c r="AF356" s="55" t="n">
        <x:v>10949</x:v>
      </x:c>
      <x:c r="AG356" s="55" t="n">
        <x:v>121</x:v>
      </x:c>
      <x:c r="AH356" s="55" t="n">
        <x:v>434</x:v>
      </x:c>
      <x:c r="AI356" s="55" t="n">
        <x:v>10515</x:v>
      </x:c>
      <x:c r="AJ356" s="55" t="n">
        <x:v>469</x:v>
      </x:c>
      <x:c r="AK356" s="55" t="n">
        <x:v>1062</x:v>
      </x:c>
      <x:c r="AL356" s="55" t="n">
        <x:v>1767</x:v>
      </x:c>
      <x:c r="AM356" s="55" t="n">
        <x:v>4909</x:v>
      </x:c>
      <x:c r="AN356" s="55" t="n">
        <x:v>2651</x:v>
      </x:c>
      <x:c r="AO356" s="55" t="n">
        <x:v>91</x:v>
      </x:c>
      <x:c r="AP356" s="55" t="n">
        <x:v>2324</x:v>
      </x:c>
      <x:c r="AQ356" s="55" t="n">
        <x:v>947</x:v>
      </x:c>
    </x:row>
    <x:row r="357">
      <x:c r="A357" s="54" t="str">
        <x:v>T2_CONCORDANT_DOMAIN</x:v>
      </x:c>
      <x:c r="B357" s="54" t="n">
        <x:v>351</x:v>
      </x:c>
      <x:c r="C357" s="54" t="str">
        <x:v>NYC-V2-R01</x:v>
      </x:c>
      <x:c r="D357" s="54" t="str">
        <x:v>V2</x:v>
      </x:c>
      <x:c r="E357" s="54" t="str">
        <x:v>ADMITTED</x:v>
      </x:c>
      <x:c r="F357" s="55" t="n">
        <x:v>32922</x:v>
      </x:c>
      <x:c r="G357" s="55" t="n">
        <x:v>8688</x:v>
      </x:c>
      <x:c r="H357" s="55" t="n">
        <x:v>3502</x:v>
      </x:c>
      <x:c r="I357" s="55" t="n">
        <x:v>1235</x:v>
      </x:c>
      <x:c r="J357" s="55" t="n">
        <x:v>272</x:v>
      </x:c>
      <x:c r="K357" s="55" t="n">
        <x:v>29467</x:v>
      </x:c>
      <x:c r="L357" s="55" t="n">
        <x:v>5791</x:v>
      </x:c>
      <x:c r="M357" s="55" t="n">
        <x:v>1199</x:v>
      </x:c>
      <x:c r="N357" s="55" t="n">
        <x:v>2765</x:v>
      </x:c>
      <x:c r="O357" s="55" t="n">
        <x:v>1827</x:v>
      </x:c>
      <x:c r="P357" s="55" t="n">
        <x:v>755</x:v>
      </x:c>
      <x:c r="Q357" s="55" t="n">
        <x:v>2506</x:v>
      </x:c>
      <x:c r="R357" s="55" t="n">
        <x:v>1512</x:v>
      </x:c>
      <x:c r="S357" s="55" t="n">
        <x:v>3211</x:v>
      </x:c>
      <x:c r="T357" s="55" t="n">
        <x:v>1383</x:v>
      </x:c>
      <x:c r="U357" s="55" t="n">
        <x:v>2205</x:v>
      </x:c>
      <x:c r="V357" s="55" t="n">
        <x:v>10970</x:v>
      </x:c>
      <x:c r="W357" s="55" t="n">
        <x:v>7881</x:v>
      </x:c>
      <x:c r="X357" s="55" t="n">
        <x:v>3089</x:v>
      </x:c>
      <x:c r="Y357" s="55" t="n">
        <x:v>2579</x:v>
      </x:c>
      <x:c r="Z357" s="55" t="n">
        <x:v>4276</x:v>
      </x:c>
      <x:c r="AA357" s="55" t="n">
        <x:v>3502</x:v>
      </x:c>
      <x:c r="AB357" s="55" t="n">
        <x:v>1173</x:v>
      </x:c>
      <x:c r="AC357" s="55" t="n">
        <x:v>8372</x:v>
      </x:c>
      <x:c r="AD357" s="55" t="n">
        <x:v>2659</x:v>
      </x:c>
      <x:c r="AE357" s="55" t="n">
        <x:v>11131</x:v>
      </x:c>
      <x:c r="AF357" s="55" t="n">
        <x:v>10970</x:v>
      </x:c>
      <x:c r="AG357" s="55" t="n">
        <x:v>161</x:v>
      </x:c>
      <x:c r="AH357" s="55" t="n">
        <x:v>380</x:v>
      </x:c>
      <x:c r="AI357" s="55" t="n">
        <x:v>10590</x:v>
      </x:c>
      <x:c r="AJ357" s="55" t="n">
        <x:v>323</x:v>
      </x:c>
      <x:c r="AK357" s="55" t="n">
        <x:v>1350</x:v>
      </x:c>
      <x:c r="AL357" s="55" t="n">
        <x:v>1742</x:v>
      </x:c>
      <x:c r="AM357" s="55" t="n">
        <x:v>5057</x:v>
      </x:c>
      <x:c r="AN357" s="55" t="n">
        <x:v>2462</x:v>
      </x:c>
      <x:c r="AO357" s="55" t="n">
        <x:v>36</x:v>
      </x:c>
      <x:c r="AP357" s="55" t="n">
        <x:v>2571</x:v>
      </x:c>
      <x:c r="AQ357" s="55" t="n">
        <x:v>1009</x:v>
      </x:c>
    </x:row>
    <x:row r="358">
      <x:c r="A358" s="54" t="str">
        <x:v>T2_CONCORDANT_DOMAIN</x:v>
      </x:c>
      <x:c r="B358" s="54" t="n">
        <x:v>352</x:v>
      </x:c>
      <x:c r="C358" s="54" t="str">
        <x:v>NYC-V2-R01</x:v>
      </x:c>
      <x:c r="D358" s="54" t="str">
        <x:v>V2</x:v>
      </x:c>
      <x:c r="E358" s="54" t="str">
        <x:v>ADMITTED</x:v>
      </x:c>
      <x:c r="F358" s="55" t="n">
        <x:v>32314</x:v>
      </x:c>
      <x:c r="G358" s="55" t="n">
        <x:v>8827</x:v>
      </x:c>
      <x:c r="H358" s="55" t="n">
        <x:v>3268</x:v>
      </x:c>
      <x:c r="I358" s="55" t="n">
        <x:v>939</x:v>
      </x:c>
      <x:c r="J358" s="55" t="n">
        <x:v>216</x:v>
      </x:c>
      <x:c r="K358" s="55" t="n">
        <x:v>26188</x:v>
      </x:c>
      <x:c r="L358" s="55" t="n">
        <x:v>3471</x:v>
      </x:c>
      <x:c r="M358" s="55" t="n">
        <x:v>209</x:v>
      </x:c>
      <x:c r="N358" s="55" t="n">
        <x:v>1709</x:v>
      </x:c>
      <x:c r="O358" s="55" t="n">
        <x:v>1553</x:v>
      </x:c>
      <x:c r="P358" s="55" t="n">
        <x:v>470</x:v>
      </x:c>
      <x:c r="Q358" s="55" t="n">
        <x:v>1972</x:v>
      </x:c>
      <x:c r="R358" s="55" t="n">
        <x:v>1395</x:v>
      </x:c>
      <x:c r="S358" s="55" t="n">
        <x:v>2100</x:v>
      </x:c>
      <x:c r="T358" s="55" t="n">
        <x:v>596</x:v>
      </x:c>
      <x:c r="U358" s="55" t="n">
        <x:v>1792</x:v>
      </x:c>
      <x:c r="V358" s="55" t="n">
        <x:v>9625</x:v>
      </x:c>
      <x:c r="W358" s="55" t="n">
        <x:v>7031</x:v>
      </x:c>
      <x:c r="X358" s="55" t="n">
        <x:v>2594</x:v>
      </x:c>
      <x:c r="Y358" s="55" t="n">
        <x:v>2122</x:v>
      </x:c>
      <x:c r="Z358" s="55" t="n">
        <x:v>3089</x:v>
      </x:c>
      <x:c r="AA358" s="55" t="n">
        <x:v>2677</x:v>
      </x:c>
      <x:c r="AB358" s="55" t="n">
        <x:v>871</x:v>
      </x:c>
      <x:c r="AC358" s="55" t="n">
        <x:v>7702</x:v>
      </x:c>
      <x:c r="AD358" s="55" t="n">
        <x:v>2706</x:v>
      </x:c>
      <x:c r="AE358" s="55" t="n">
        <x:v>9752</x:v>
      </x:c>
      <x:c r="AF358" s="55" t="n">
        <x:v>9625</x:v>
      </x:c>
      <x:c r="AG358" s="55" t="n">
        <x:v>127</x:v>
      </x:c>
      <x:c r="AH358" s="55" t="n">
        <x:v>415</x:v>
      </x:c>
      <x:c r="AI358" s="55" t="n">
        <x:v>9210</x:v>
      </x:c>
      <x:c r="AJ358" s="55" t="n">
        <x:v>310</x:v>
      </x:c>
      <x:c r="AK358" s="55" t="n">
        <x:v>903</x:v>
      </x:c>
      <x:c r="AL358" s="55" t="n">
        <x:v>1428</x:v>
      </x:c>
      <x:c r="AM358" s="55" t="n">
        <x:v>4392</x:v>
      </x:c>
      <x:c r="AN358" s="55" t="n">
        <x:v>2592</x:v>
      </x:c>
      <x:c r="AO358" s="55" t="n">
        <x:v>0</x:v>
      </x:c>
      <x:c r="AP358" s="55" t="n">
        <x:v>2242</x:v>
      </x:c>
      <x:c r="AQ358" s="55" t="n">
        <x:v>951</x:v>
      </x:c>
    </x:row>
    <x:row r="359">
      <x:c r="A359" s="54" t="str">
        <x:v>T2_CONCORDANT_DOMAIN</x:v>
      </x:c>
      <x:c r="B359" s="54" t="n">
        <x:v>353</x:v>
      </x:c>
      <x:c r="C359" s="54" t="str">
        <x:v>NYC-V2-R01</x:v>
      </x:c>
      <x:c r="D359" s="54" t="str">
        <x:v>V2</x:v>
      </x:c>
      <x:c r="E359" s="54" t="str">
        <x:v>ADMITTED</x:v>
      </x:c>
      <x:c r="F359" s="55" t="n">
        <x:v>30703</x:v>
      </x:c>
      <x:c r="G359" s="55" t="n">
        <x:v>6249</x:v>
      </x:c>
      <x:c r="H359" s="55" t="n">
        <x:v>3339</x:v>
      </x:c>
      <x:c r="I359" s="55" t="n">
        <x:v>1288</x:v>
      </x:c>
      <x:c r="J359" s="55" t="n">
        <x:v>181</x:v>
      </x:c>
      <x:c r="K359" s="55" t="n">
        <x:v>30703</x:v>
      </x:c>
      <x:c r="L359" s="55" t="n">
        <x:v>5258</x:v>
      </x:c>
      <x:c r="M359" s="55" t="n">
        <x:v>1228</x:v>
      </x:c>
      <x:c r="N359" s="55" t="n">
        <x:v>2227</x:v>
      </x:c>
      <x:c r="O359" s="55" t="n">
        <x:v>1803</x:v>
      </x:c>
      <x:c r="P359" s="55" t="n">
        <x:v>470</x:v>
      </x:c>
      <x:c r="Q359" s="55" t="n">
        <x:v>2678</x:v>
      </x:c>
      <x:c r="R359" s="55" t="n">
        <x:v>1839</x:v>
      </x:c>
      <x:c r="S359" s="55" t="n">
        <x:v>3195</x:v>
      </x:c>
      <x:c r="T359" s="55" t="n">
        <x:v>1290</x:v>
      </x:c>
      <x:c r="U359" s="55" t="n">
        <x:v>1520</x:v>
      </x:c>
      <x:c r="V359" s="55" t="n">
        <x:v>9908</x:v>
      </x:c>
      <x:c r="W359" s="55" t="n">
        <x:v>7288</x:v>
      </x:c>
      <x:c r="X359" s="55" t="n">
        <x:v>2620</x:v>
      </x:c>
      <x:c r="Y359" s="55" t="n">
        <x:v>2200</x:v>
      </x:c>
      <x:c r="Z359" s="55" t="n">
        <x:v>3446</x:v>
      </x:c>
      <x:c r="AA359" s="55" t="n">
        <x:v>3339</x:v>
      </x:c>
      <x:c r="AB359" s="55" t="n">
        <x:v>1394</x:v>
      </x:c>
      <x:c r="AC359" s="55" t="n">
        <x:v>7956</x:v>
      </x:c>
      <x:c r="AD359" s="55" t="n">
        <x:v>2882</x:v>
      </x:c>
      <x:c r="AE359" s="55" t="n">
        <x:v>9961</x:v>
      </x:c>
      <x:c r="AF359" s="55" t="n">
        <x:v>9908</x:v>
      </x:c>
      <x:c r="AG359" s="55" t="n">
        <x:v>53</x:v>
      </x:c>
      <x:c r="AH359" s="55" t="n">
        <x:v>350</x:v>
      </x:c>
      <x:c r="AI359" s="55" t="n">
        <x:v>9558</x:v>
      </x:c>
      <x:c r="AJ359" s="55" t="n">
        <x:v>218</x:v>
      </x:c>
      <x:c r="AK359" s="55" t="n">
        <x:v>805</x:v>
      </x:c>
      <x:c r="AL359" s="55" t="n">
        <x:v>1304</x:v>
      </x:c>
      <x:c r="AM359" s="55" t="n">
        <x:v>5039</x:v>
      </x:c>
      <x:c r="AN359" s="55" t="n">
        <x:v>2542</x:v>
      </x:c>
      <x:c r="AO359" s="55" t="n">
        <x:v>0</x:v>
      </x:c>
      <x:c r="AP359" s="55" t="n">
        <x:v>1913</x:v>
      </x:c>
      <x:c r="AQ359" s="55" t="n">
        <x:v>936</x:v>
      </x:c>
    </x:row>
    <x:row r="360">
      <x:c r="A360" s="54" t="str">
        <x:v>T2_CONCORDANT_DOMAIN</x:v>
      </x:c>
      <x:c r="B360" s="54" t="n">
        <x:v>354</x:v>
      </x:c>
      <x:c r="C360" s="54" t="str">
        <x:v>NYC-V2-R01</x:v>
      </x:c>
      <x:c r="D360" s="54" t="str">
        <x:v>V2</x:v>
      </x:c>
      <x:c r="E360" s="54" t="str">
        <x:v>ADMITTED</x:v>
      </x:c>
      <x:c r="F360" s="55" t="n">
        <x:v>33272</x:v>
      </x:c>
      <x:c r="G360" s="55" t="n">
        <x:v>9049</x:v>
      </x:c>
      <x:c r="H360" s="55" t="n">
        <x:v>3453</x:v>
      </x:c>
      <x:c r="I360" s="55" t="n">
        <x:v>1775</x:v>
      </x:c>
      <x:c r="J360" s="55" t="n">
        <x:v>266</x:v>
      </x:c>
      <x:c r="K360" s="55" t="n">
        <x:v>29202</x:v>
      </x:c>
      <x:c r="L360" s="55" t="n">
        <x:v>4253</x:v>
      </x:c>
      <x:c r="M360" s="55" t="n">
        <x:v>0</x:v>
      </x:c>
      <x:c r="N360" s="55" t="n">
        <x:v>2496</x:v>
      </x:c>
      <x:c r="O360" s="55" t="n">
        <x:v>1757</x:v>
      </x:c>
      <x:c r="P360" s="55" t="n">
        <x:v>922</x:v>
      </x:c>
      <x:c r="Q360" s="55" t="n">
        <x:v>2563</x:v>
      </x:c>
      <x:c r="R360" s="55" t="n">
        <x:v>1969</x:v>
      </x:c>
      <x:c r="S360" s="55" t="n">
        <x:v>2986</x:v>
      </x:c>
      <x:c r="T360" s="55" t="n">
        <x:v>1043</x:v>
      </x:c>
      <x:c r="U360" s="55" t="n">
        <x:v>2371</x:v>
      </x:c>
      <x:c r="V360" s="55" t="n">
        <x:v>10721</x:v>
      </x:c>
      <x:c r="W360" s="55" t="n">
        <x:v>7398</x:v>
      </x:c>
      <x:c r="X360" s="55" t="n">
        <x:v>3323</x:v>
      </x:c>
      <x:c r="Y360" s="55" t="n">
        <x:v>3018</x:v>
      </x:c>
      <x:c r="Z360" s="55" t="n">
        <x:v>3949</x:v>
      </x:c>
      <x:c r="AA360" s="55" t="n">
        <x:v>3193</x:v>
      </x:c>
      <x:c r="AB360" s="55" t="n">
        <x:v>1068</x:v>
      </x:c>
      <x:c r="AC360" s="55" t="n">
        <x:v>8336</x:v>
      </x:c>
      <x:c r="AD360" s="55" t="n">
        <x:v>3081</x:v>
      </x:c>
      <x:c r="AE360" s="55" t="n">
        <x:v>10859</x:v>
      </x:c>
      <x:c r="AF360" s="55" t="n">
        <x:v>10721</x:v>
      </x:c>
      <x:c r="AG360" s="55" t="n">
        <x:v>138</x:v>
      </x:c>
      <x:c r="AH360" s="55" t="n">
        <x:v>369</x:v>
      </x:c>
      <x:c r="AI360" s="55" t="n">
        <x:v>10352</x:v>
      </x:c>
      <x:c r="AJ360" s="55" t="n">
        <x:v>283</x:v>
      </x:c>
      <x:c r="AK360" s="55" t="n">
        <x:v>1298</x:v>
      </x:c>
      <x:c r="AL360" s="55" t="n">
        <x:v>2036</x:v>
      </x:c>
      <x:c r="AM360" s="55" t="n">
        <x:v>4829</x:v>
      </x:c>
      <x:c r="AN360" s="55" t="n">
        <x:v>2253</x:v>
      </x:c>
      <x:c r="AO360" s="55" t="n">
        <x:v>22</x:v>
      </x:c>
      <x:c r="AP360" s="55" t="n">
        <x:v>2832</x:v>
      </x:c>
      <x:c r="AQ360" s="55" t="n">
        <x:v>954</x:v>
      </x:c>
    </x:row>
    <x:row r="361">
      <x:c r="A361" s="54" t="str">
        <x:v>T2_CONCORDANT_DOMAIN</x:v>
      </x:c>
      <x:c r="B361" s="54" t="n">
        <x:v>355</x:v>
      </x:c>
      <x:c r="C361" s="54" t="str">
        <x:v>NYC-V2-R01</x:v>
      </x:c>
      <x:c r="D361" s="54" t="str">
        <x:v>V2</x:v>
      </x:c>
      <x:c r="E361" s="54" t="str">
        <x:v>ADMITTED</x:v>
      </x:c>
      <x:c r="F361" s="55" t="n">
        <x:v>30152</x:v>
      </x:c>
      <x:c r="G361" s="55" t="n">
        <x:v>6560</x:v>
      </x:c>
      <x:c r="H361" s="55" t="n">
        <x:v>3196</x:v>
      </x:c>
      <x:c r="I361" s="55" t="n">
        <x:v>1314</x:v>
      </x:c>
      <x:c r="J361" s="55" t="n">
        <x:v>45</x:v>
      </x:c>
      <x:c r="K361" s="55" t="n">
        <x:v>30152</x:v>
      </x:c>
      <x:c r="L361" s="55" t="n">
        <x:v>4458</x:v>
      </x:c>
      <x:c r="M361" s="55" t="n">
        <x:v>717</x:v>
      </x:c>
      <x:c r="N361" s="55" t="n">
        <x:v>2269</x:v>
      </x:c>
      <x:c r="O361" s="55" t="n">
        <x:v>1472</x:v>
      </x:c>
      <x:c r="P361" s="55" t="n">
        <x:v>637</x:v>
      </x:c>
      <x:c r="Q361" s="55" t="n">
        <x:v>2196</x:v>
      </x:c>
      <x:c r="R361" s="55" t="n">
        <x:v>1965</x:v>
      </x:c>
      <x:c r="S361" s="55" t="n">
        <x:v>2724</x:v>
      </x:c>
      <x:c r="T361" s="55" t="n">
        <x:v>782</x:v>
      </x:c>
      <x:c r="U361" s="55" t="n">
        <x:v>1924</x:v>
      </x:c>
      <x:c r="V361" s="55" t="n">
        <x:v>9811</x:v>
      </x:c>
      <x:c r="W361" s="55" t="n">
        <x:v>6892</x:v>
      </x:c>
      <x:c r="X361" s="55" t="n">
        <x:v>2919</x:v>
      </x:c>
      <x:c r="Y361" s="55" t="n">
        <x:v>2505</x:v>
      </x:c>
      <x:c r="Z361" s="55" t="n">
        <x:v>3518</x:v>
      </x:c>
      <x:c r="AA361" s="55" t="n">
        <x:v>2959</x:v>
      </x:c>
      <x:c r="AB361" s="55" t="n">
        <x:v>941</x:v>
      </x:c>
      <x:c r="AC361" s="55" t="n">
        <x:v>7687</x:v>
      </x:c>
      <x:c r="AD361" s="55" t="n">
        <x:v>2114</x:v>
      </x:c>
      <x:c r="AE361" s="55" t="n">
        <x:v>9891</x:v>
      </x:c>
      <x:c r="AF361" s="55" t="n">
        <x:v>9811</x:v>
      </x:c>
      <x:c r="AG361" s="55" t="n">
        <x:v>80</x:v>
      </x:c>
      <x:c r="AH361" s="55" t="n">
        <x:v>441</x:v>
      </x:c>
      <x:c r="AI361" s="55" t="n">
        <x:v>9370</x:v>
      </x:c>
      <x:c r="AJ361" s="55" t="n">
        <x:v>102</x:v>
      </x:c>
      <x:c r="AK361" s="55" t="n">
        <x:v>824</x:v>
      </x:c>
      <x:c r="AL361" s="55" t="n">
        <x:v>1643</x:v>
      </x:c>
      <x:c r="AM361" s="55" t="n">
        <x:v>4462</x:v>
      </x:c>
      <x:c r="AN361" s="55" t="n">
        <x:v>2780</x:v>
      </x:c>
      <x:c r="AO361" s="55" t="n">
        <x:v>0</x:v>
      </x:c>
      <x:c r="AP361" s="55" t="n">
        <x:v>2422</x:v>
      </x:c>
      <x:c r="AQ361" s="55" t="n">
        <x:v>937</x:v>
      </x:c>
    </x:row>
    <x:row r="362">
      <x:c r="A362" s="54" t="str">
        <x:v>T2_CONCORDANT_DOMAIN</x:v>
      </x:c>
      <x:c r="B362" s="54" t="n">
        <x:v>356</x:v>
      </x:c>
      <x:c r="C362" s="54" t="str">
        <x:v>NYC-V2-R01</x:v>
      </x:c>
      <x:c r="D362" s="54" t="str">
        <x:v>V2</x:v>
      </x:c>
      <x:c r="E362" s="54" t="str">
        <x:v>ADMITTED</x:v>
      </x:c>
      <x:c r="F362" s="55" t="n">
        <x:v>31279</x:v>
      </x:c>
      <x:c r="G362" s="55" t="n">
        <x:v>8615</x:v>
      </x:c>
      <x:c r="H362" s="55" t="n">
        <x:v>3074</x:v>
      </x:c>
      <x:c r="I362" s="55" t="n">
        <x:v>825</x:v>
      </x:c>
      <x:c r="J362" s="55" t="n">
        <x:v>84</x:v>
      </x:c>
      <x:c r="K362" s="55" t="n">
        <x:v>29851</x:v>
      </x:c>
      <x:c r="L362" s="55" t="n">
        <x:v>4679</x:v>
      </x:c>
      <x:c r="M362" s="55" t="n">
        <x:v>362</x:v>
      </x:c>
      <x:c r="N362" s="55" t="n">
        <x:v>2881</x:v>
      </x:c>
      <x:c r="O362" s="55" t="n">
        <x:v>1436</x:v>
      </x:c>
      <x:c r="P362" s="55" t="n">
        <x:v>611</x:v>
      </x:c>
      <x:c r="Q362" s="55" t="n">
        <x:v>2317</x:v>
      </x:c>
      <x:c r="R362" s="55" t="n">
        <x:v>1598</x:v>
      </x:c>
      <x:c r="S362" s="55" t="n">
        <x:v>2518</x:v>
      </x:c>
      <x:c r="T362" s="55" t="n">
        <x:v>568</x:v>
      </x:c>
      <x:c r="U362" s="55" t="n">
        <x:v>1962</x:v>
      </x:c>
      <x:c r="V362" s="55" t="n">
        <x:v>10411</x:v>
      </x:c>
      <x:c r="W362" s="55" t="n">
        <x:v>7660</x:v>
      </x:c>
      <x:c r="X362" s="55" t="n">
        <x:v>2751</x:v>
      </x:c>
      <x:c r="Y362" s="55" t="n">
        <x:v>2205</x:v>
      </x:c>
      <x:c r="Z362" s="55" t="n">
        <x:v>3141</x:v>
      </x:c>
      <x:c r="AA362" s="55" t="n">
        <x:v>3074</x:v>
      </x:c>
      <x:c r="AB362" s="55" t="n">
        <x:v>687</x:v>
      </x:c>
      <x:c r="AC362" s="55" t="n">
        <x:v>7912</x:v>
      </x:c>
      <x:c r="AD362" s="55" t="n">
        <x:v>2829</x:v>
      </x:c>
      <x:c r="AE362" s="55" t="n">
        <x:v>10556</x:v>
      </x:c>
      <x:c r="AF362" s="55" t="n">
        <x:v>10411</x:v>
      </x:c>
      <x:c r="AG362" s="55" t="n">
        <x:v>145</x:v>
      </x:c>
      <x:c r="AH362" s="55" t="n">
        <x:v>401</x:v>
      </x:c>
      <x:c r="AI362" s="55" t="n">
        <x:v>10010</x:v>
      </x:c>
      <x:c r="AJ362" s="55" t="n">
        <x:v>388</x:v>
      </x:c>
      <x:c r="AK362" s="55" t="n">
        <x:v>816</x:v>
      </x:c>
      <x:c r="AL362" s="55" t="n">
        <x:v>1600</x:v>
      </x:c>
      <x:c r="AM362" s="55" t="n">
        <x:v>4823</x:v>
      </x:c>
      <x:c r="AN362" s="55" t="n">
        <x:v>2726</x:v>
      </x:c>
      <x:c r="AO362" s="55" t="n">
        <x:v>58</x:v>
      </x:c>
      <x:c r="AP362" s="55" t="n">
        <x:v>2194</x:v>
      </x:c>
      <x:c r="AQ362" s="55" t="n">
        <x:v>924</x:v>
      </x:c>
    </x:row>
    <x:row r="363">
      <x:c r="A363" s="54" t="str">
        <x:v>T2_CONCORDANT_DOMAIN</x:v>
      </x:c>
      <x:c r="B363" s="54" t="n">
        <x:v>357</x:v>
      </x:c>
      <x:c r="C363" s="54" t="str">
        <x:v>NYC-V2-R01</x:v>
      </x:c>
      <x:c r="D363" s="54" t="str">
        <x:v>V2</x:v>
      </x:c>
      <x:c r="E363" s="54" t="str">
        <x:v>ADMITTED</x:v>
      </x:c>
      <x:c r="F363" s="55" t="n">
        <x:v>32997</x:v>
      </x:c>
      <x:c r="G363" s="55" t="n">
        <x:v>8471</x:v>
      </x:c>
      <x:c r="H363" s="55" t="n">
        <x:v>3628</x:v>
      </x:c>
      <x:c r="I363" s="55" t="n">
        <x:v>1361</x:v>
      </x:c>
      <x:c r="J363" s="55" t="n">
        <x:v>324</x:v>
      </x:c>
      <x:c r="K363" s="55" t="n">
        <x:v>32997</x:v>
      </x:c>
      <x:c r="L363" s="55" t="n">
        <x:v>6422</x:v>
      </x:c>
      <x:c r="M363" s="55" t="n">
        <x:v>2010</x:v>
      </x:c>
      <x:c r="N363" s="55" t="n">
        <x:v>2678</x:v>
      </x:c>
      <x:c r="O363" s="55" t="n">
        <x:v>1734</x:v>
      </x:c>
      <x:c r="P363" s="55" t="n">
        <x:v>1275</x:v>
      </x:c>
      <x:c r="Q363" s="55" t="n">
        <x:v>2271</x:v>
      </x:c>
      <x:c r="R363" s="55" t="n">
        <x:v>2420</x:v>
      </x:c>
      <x:c r="S363" s="55" t="n">
        <x:v>2654</x:v>
      </x:c>
      <x:c r="T363" s="55" t="n">
        <x:v>1232</x:v>
      </x:c>
      <x:c r="U363" s="55" t="n">
        <x:v>2316</x:v>
      </x:c>
      <x:c r="V363" s="55" t="n">
        <x:v>9785</x:v>
      </x:c>
      <x:c r="W363" s="55" t="n">
        <x:v>6655</x:v>
      </x:c>
      <x:c r="X363" s="55" t="n">
        <x:v>3130</x:v>
      </x:c>
      <x:c r="Y363" s="55" t="n">
        <x:v>2683</x:v>
      </x:c>
      <x:c r="Z363" s="55" t="n">
        <x:v>3557</x:v>
      </x:c>
      <x:c r="AA363" s="55" t="n">
        <x:v>3216</x:v>
      </x:c>
      <x:c r="AB363" s="55" t="n">
        <x:v>1267</x:v>
      </x:c>
      <x:c r="AC363" s="55" t="n">
        <x:v>8066</x:v>
      </x:c>
      <x:c r="AD363" s="55" t="n">
        <x:v>2995</x:v>
      </x:c>
      <x:c r="AE363" s="55" t="n">
        <x:v>9886</x:v>
      </x:c>
      <x:c r="AF363" s="55" t="n">
        <x:v>9785</x:v>
      </x:c>
      <x:c r="AG363" s="55" t="n">
        <x:v>101</x:v>
      </x:c>
      <x:c r="AH363" s="55" t="n">
        <x:v>235</x:v>
      </x:c>
      <x:c r="AI363" s="55" t="n">
        <x:v>9550</x:v>
      </x:c>
      <x:c r="AJ363" s="55" t="n">
        <x:v>301</x:v>
      </x:c>
      <x:c r="AK363" s="55" t="n">
        <x:v>970</x:v>
      </x:c>
      <x:c r="AL363" s="55" t="n">
        <x:v>1525</x:v>
      </x:c>
      <x:c r="AM363" s="55" t="n">
        <x:v>4701</x:v>
      </x:c>
      <x:c r="AN363" s="55" t="n">
        <x:v>2288</x:v>
      </x:c>
      <x:c r="AO363" s="55" t="n">
        <x:v>0</x:v>
      </x:c>
      <x:c r="AP363" s="55" t="n">
        <x:v>2399</x:v>
      </x:c>
      <x:c r="AQ363" s="55" t="n">
        <x:v>971</x:v>
      </x:c>
    </x:row>
    <x:row r="364">
      <x:c r="A364" s="54" t="str">
        <x:v>T2_CONCORDANT_DOMAIN</x:v>
      </x:c>
      <x:c r="B364" s="54" t="n">
        <x:v>358</x:v>
      </x:c>
      <x:c r="C364" s="54" t="str">
        <x:v>NYC-V2-R01</x:v>
      </x:c>
      <x:c r="D364" s="54" t="str">
        <x:v>V2</x:v>
      </x:c>
      <x:c r="E364" s="54" t="str">
        <x:v>ADMITTED</x:v>
      </x:c>
      <x:c r="F364" s="55" t="n">
        <x:v>30528</x:v>
      </x:c>
      <x:c r="G364" s="55" t="n">
        <x:v>6912</x:v>
      </x:c>
      <x:c r="H364" s="55" t="n">
        <x:v>3377</x:v>
      </x:c>
      <x:c r="I364" s="55" t="n">
        <x:v>1407</x:v>
      </x:c>
      <x:c r="J364" s="55" t="n">
        <x:v>290</x:v>
      </x:c>
      <x:c r="K364" s="55" t="n">
        <x:v>30528</x:v>
      </x:c>
      <x:c r="L364" s="55" t="n">
        <x:v>4837</x:v>
      </x:c>
      <x:c r="M364" s="55" t="n">
        <x:v>592</x:v>
      </x:c>
      <x:c r="N364" s="55" t="n">
        <x:v>2802</x:v>
      </x:c>
      <x:c r="O364" s="55" t="n">
        <x:v>1443</x:v>
      </x:c>
      <x:c r="P364" s="55" t="n">
        <x:v>953</x:v>
      </x:c>
      <x:c r="Q364" s="55" t="n">
        <x:v>2363</x:v>
      </x:c>
      <x:c r="R364" s="55" t="n">
        <x:v>1646</x:v>
      </x:c>
      <x:c r="S364" s="55" t="n">
        <x:v>2464</x:v>
      </x:c>
      <x:c r="T364" s="55" t="n">
        <x:v>1375</x:v>
      </x:c>
      <x:c r="U364" s="55" t="n">
        <x:v>1949</x:v>
      </x:c>
      <x:c r="V364" s="55" t="n">
        <x:v>10249</x:v>
      </x:c>
      <x:c r="W364" s="55" t="n">
        <x:v>7392</x:v>
      </x:c>
      <x:c r="X364" s="55" t="n">
        <x:v>2857</x:v>
      </x:c>
      <x:c r="Y364" s="55" t="n">
        <x:v>2617</x:v>
      </x:c>
      <x:c r="Z364" s="55" t="n">
        <x:v>3765</x:v>
      </x:c>
      <x:c r="AA364" s="55" t="n">
        <x:v>2752</x:v>
      </x:c>
      <x:c r="AB364" s="55" t="n">
        <x:v>768</x:v>
      </x:c>
      <x:c r="AC364" s="55" t="n">
        <x:v>8590</x:v>
      </x:c>
      <x:c r="AD364" s="55" t="n">
        <x:v>3194</x:v>
      </x:c>
      <x:c r="AE364" s="55" t="n">
        <x:v>10314</x:v>
      </x:c>
      <x:c r="AF364" s="55" t="n">
        <x:v>10249</x:v>
      </x:c>
      <x:c r="AG364" s="55" t="n">
        <x:v>65</x:v>
      </x:c>
      <x:c r="AH364" s="55" t="n">
        <x:v>350</x:v>
      </x:c>
      <x:c r="AI364" s="55" t="n">
        <x:v>9899</x:v>
      </x:c>
      <x:c r="AJ364" s="55" t="n">
        <x:v>364</x:v>
      </x:c>
      <x:c r="AK364" s="55" t="n">
        <x:v>994</x:v>
      </x:c>
      <x:c r="AL364" s="55" t="n">
        <x:v>1349</x:v>
      </x:c>
      <x:c r="AM364" s="55" t="n">
        <x:v>5097</x:v>
      </x:c>
      <x:c r="AN364" s="55" t="n">
        <x:v>2445</x:v>
      </x:c>
      <x:c r="AO364" s="55" t="n">
        <x:v>0</x:v>
      </x:c>
      <x:c r="AP364" s="55" t="n">
        <x:v>2245</x:v>
      </x:c>
      <x:c r="AQ364" s="55" t="n">
        <x:v>983</x:v>
      </x:c>
    </x:row>
    <x:row r="365">
      <x:c r="A365" s="54" t="str">
        <x:v>T2_CONCORDANT_DOMAIN</x:v>
      </x:c>
      <x:c r="B365" s="54" t="n">
        <x:v>359</x:v>
      </x:c>
      <x:c r="C365" s="54" t="str">
        <x:v>NYC-V2-R01</x:v>
      </x:c>
      <x:c r="D365" s="54" t="str">
        <x:v>V2</x:v>
      </x:c>
      <x:c r="E365" s="54" t="str">
        <x:v>ADMITTED</x:v>
      </x:c>
      <x:c r="F365" s="55" t="n">
        <x:v>31223</x:v>
      </x:c>
      <x:c r="G365" s="55" t="n">
        <x:v>7864</x:v>
      </x:c>
      <x:c r="H365" s="55" t="n">
        <x:v>3515</x:v>
      </x:c>
      <x:c r="I365" s="55" t="n">
        <x:v>813</x:v>
      </x:c>
      <x:c r="J365" s="55" t="n">
        <x:v>114</x:v>
      </x:c>
      <x:c r="K365" s="55" t="n">
        <x:v>31223</x:v>
      </x:c>
      <x:c r="L365" s="55" t="n">
        <x:v>6114</x:v>
      </x:c>
      <x:c r="M365" s="55" t="n">
        <x:v>1970</x:v>
      </x:c>
      <x:c r="N365" s="55" t="n">
        <x:v>2621</x:v>
      </x:c>
      <x:c r="O365" s="55" t="n">
        <x:v>1523</x:v>
      </x:c>
      <x:c r="P365" s="55" t="n">
        <x:v>1225</x:v>
      </x:c>
      <x:c r="Q365" s="55" t="n">
        <x:v>1789</x:v>
      </x:c>
      <x:c r="R365" s="55" t="n">
        <x:v>1708</x:v>
      </x:c>
      <x:c r="S365" s="55" t="n">
        <x:v>2195</x:v>
      </x:c>
      <x:c r="T365" s="55" t="n">
        <x:v>1326</x:v>
      </x:c>
      <x:c r="U365" s="55" t="n">
        <x:v>2380</x:v>
      </x:c>
      <x:c r="V365" s="55" t="n">
        <x:v>10621</x:v>
      </x:c>
      <x:c r="W365" s="55" t="n">
        <x:v>7659</x:v>
      </x:c>
      <x:c r="X365" s="55" t="n">
        <x:v>2962</x:v>
      </x:c>
      <x:c r="Y365" s="55" t="n">
        <x:v>2662</x:v>
      </x:c>
      <x:c r="Z365" s="55" t="n">
        <x:v>3980</x:v>
      </x:c>
      <x:c r="AA365" s="55" t="n">
        <x:v>3515</x:v>
      </x:c>
      <x:c r="AB365" s="55" t="n">
        <x:v>1126</x:v>
      </x:c>
      <x:c r="AC365" s="55" t="n">
        <x:v>7495</x:v>
      </x:c>
      <x:c r="AD365" s="55" t="n">
        <x:v>3099</x:v>
      </x:c>
      <x:c r="AE365" s="55" t="n">
        <x:v>10728</x:v>
      </x:c>
      <x:c r="AF365" s="55" t="n">
        <x:v>10621</x:v>
      </x:c>
      <x:c r="AG365" s="55" t="n">
        <x:v>107</x:v>
      </x:c>
      <x:c r="AH365" s="55" t="n">
        <x:v>473</x:v>
      </x:c>
      <x:c r="AI365" s="55" t="n">
        <x:v>10148</x:v>
      </x:c>
      <x:c r="AJ365" s="55" t="n">
        <x:v>178</x:v>
      </x:c>
      <x:c r="AK365" s="55" t="n">
        <x:v>914</x:v>
      </x:c>
      <x:c r="AL365" s="55" t="n">
        <x:v>1865</x:v>
      </x:c>
      <x:c r="AM365" s="55" t="n">
        <x:v>5327</x:v>
      </x:c>
      <x:c r="AN365" s="55" t="n">
        <x:v>2317</x:v>
      </x:c>
      <x:c r="AO365" s="55" t="n">
        <x:v>20</x:v>
      </x:c>
      <x:c r="AP365" s="55" t="n">
        <x:v>2343</x:v>
      </x:c>
      <x:c r="AQ365" s="55" t="n">
        <x:v>934</x:v>
      </x:c>
    </x:row>
    <x:row r="366">
      <x:c r="A366" s="54" t="str">
        <x:v>T2_CONCORDANT_DOMAIN</x:v>
      </x:c>
      <x:c r="B366" s="54" t="n">
        <x:v>360</x:v>
      </x:c>
      <x:c r="C366" s="54" t="str">
        <x:v>NYC-V2-R01</x:v>
      </x:c>
      <x:c r="D366" s="54" t="str">
        <x:v>V2</x:v>
      </x:c>
      <x:c r="E366" s="54" t="str">
        <x:v>ADMITTED</x:v>
      </x:c>
      <x:c r="F366" s="55" t="n">
        <x:v>29702</x:v>
      </x:c>
      <x:c r="G366" s="55" t="n">
        <x:v>6395</x:v>
      </x:c>
      <x:c r="H366" s="55" t="n">
        <x:v>3554</x:v>
      </x:c>
      <x:c r="I366" s="55" t="n">
        <x:v>1513</x:v>
      </x:c>
      <x:c r="J366" s="55" t="n">
        <x:v>342</x:v>
      </x:c>
      <x:c r="K366" s="55" t="n">
        <x:v>29702</x:v>
      </x:c>
      <x:c r="L366" s="55" t="n">
        <x:v>5722</x:v>
      </x:c>
      <x:c r="M366" s="55" t="n">
        <x:v>1878</x:v>
      </x:c>
      <x:c r="N366" s="55" t="n">
        <x:v>2175</x:v>
      </x:c>
      <x:c r="O366" s="55" t="n">
        <x:v>1669</x:v>
      </x:c>
      <x:c r="P366" s="55" t="n">
        <x:v>869</x:v>
      </x:c>
      <x:c r="Q366" s="55" t="n">
        <x:v>2378</x:v>
      </x:c>
      <x:c r="R366" s="55" t="n">
        <x:v>1462</x:v>
      </x:c>
      <x:c r="S366" s="55" t="n">
        <x:v>2689</x:v>
      </x:c>
      <x:c r="T366" s="55" t="n">
        <x:v>1377</x:v>
      </x:c>
      <x:c r="U366" s="55" t="n">
        <x:v>1527</x:v>
      </x:c>
      <x:c r="V366" s="55" t="n">
        <x:v>9974</x:v>
      </x:c>
      <x:c r="W366" s="55" t="n">
        <x:v>6892</x:v>
      </x:c>
      <x:c r="X366" s="55" t="n">
        <x:v>3082</x:v>
      </x:c>
      <x:c r="Y366" s="55" t="n">
        <x:v>2649</x:v>
      </x:c>
      <x:c r="Z366" s="55" t="n">
        <x:v>3989</x:v>
      </x:c>
      <x:c r="AA366" s="55" t="n">
        <x:v>3041</x:v>
      </x:c>
      <x:c r="AB366" s="55" t="n">
        <x:v>957</x:v>
      </x:c>
      <x:c r="AC366" s="55" t="n">
        <x:v>8297</x:v>
      </x:c>
      <x:c r="AD366" s="55" t="n">
        <x:v>2344</x:v>
      </x:c>
      <x:c r="AE366" s="55" t="n">
        <x:v>10090</x:v>
      </x:c>
      <x:c r="AF366" s="55" t="n">
        <x:v>9974</x:v>
      </x:c>
      <x:c r="AG366" s="55" t="n">
        <x:v>116</x:v>
      </x:c>
      <x:c r="AH366" s="55" t="n">
        <x:v>503</x:v>
      </x:c>
      <x:c r="AI366" s="55" t="n">
        <x:v>9471</x:v>
      </x:c>
      <x:c r="AJ366" s="55" t="n">
        <x:v>454</x:v>
      </x:c>
      <x:c r="AK366" s="55" t="n">
        <x:v>899</x:v>
      </x:c>
      <x:c r="AL366" s="55" t="n">
        <x:v>1259</x:v>
      </x:c>
      <x:c r="AM366" s="55" t="n">
        <x:v>4905</x:v>
      </x:c>
      <x:c r="AN366" s="55" t="n">
        <x:v>2456</x:v>
      </x:c>
      <x:c r="AO366" s="55" t="n">
        <x:v>1</x:v>
      </x:c>
      <x:c r="AP366" s="55" t="n">
        <x:v>2480</x:v>
      </x:c>
      <x:c r="AQ366" s="55" t="n">
        <x:v>971</x:v>
      </x:c>
    </x:row>
    <x:row r="367">
      <x:c r="A367" s="54" t="str">
        <x:v>T2_CONCORDANT_DOMAIN</x:v>
      </x:c>
      <x:c r="B367" s="54" t="n">
        <x:v>361</x:v>
      </x:c>
      <x:c r="C367" s="54" t="str">
        <x:v>NYC-V2-R01</x:v>
      </x:c>
      <x:c r="D367" s="54" t="str">
        <x:v>V2</x:v>
      </x:c>
      <x:c r="E367" s="54" t="str">
        <x:v>ADMITTED</x:v>
      </x:c>
      <x:c r="F367" s="55" t="n">
        <x:v>34172</x:v>
      </x:c>
      <x:c r="G367" s="55" t="n">
        <x:v>8679</x:v>
      </x:c>
      <x:c r="H367" s="55" t="n">
        <x:v>4253</x:v>
      </x:c>
      <x:c r="I367" s="55" t="n">
        <x:v>1803</x:v>
      </x:c>
      <x:c r="J367" s="55" t="n">
        <x:v>597</x:v>
      </x:c>
      <x:c r="K367" s="55" t="n">
        <x:v>34172</x:v>
      </x:c>
      <x:c r="L367" s="55" t="n">
        <x:v>8286</x:v>
      </x:c>
      <x:c r="M367" s="55" t="n">
        <x:v>2375</x:v>
      </x:c>
      <x:c r="N367" s="55" t="n">
        <x:v>3471</x:v>
      </x:c>
      <x:c r="O367" s="55" t="n">
        <x:v>2440</x:v>
      </x:c>
      <x:c r="P367" s="55" t="n">
        <x:v>1325</x:v>
      </x:c>
      <x:c r="Q367" s="55" t="n">
        <x:v>3145</x:v>
      </x:c>
      <x:c r="R367" s="55" t="n">
        <x:v>2338</x:v>
      </x:c>
      <x:c r="S367" s="55" t="n">
        <x:v>3764</x:v>
      </x:c>
      <x:c r="T367" s="55" t="n">
        <x:v>1290</x:v>
      </x:c>
      <x:c r="U367" s="55" t="n">
        <x:v>2383</x:v>
      </x:c>
      <x:c r="V367" s="55" t="n">
        <x:v>11385</x:v>
      </x:c>
      <x:c r="W367" s="55" t="n">
        <x:v>8133</x:v>
      </x:c>
      <x:c r="X367" s="55" t="n">
        <x:v>3252</x:v>
      </x:c>
      <x:c r="Y367" s="55" t="n">
        <x:v>2969</x:v>
      </x:c>
      <x:c r="Z367" s="55" t="n">
        <x:v>3931</x:v>
      </x:c>
      <x:c r="AA367" s="55" t="n">
        <x:v>4253</x:v>
      </x:c>
      <x:c r="AB367" s="55" t="n">
        <x:v>1556</x:v>
      </x:c>
      <x:c r="AC367" s="55" t="n">
        <x:v>8426</x:v>
      </x:c>
      <x:c r="AD367" s="55" t="n">
        <x:v>3488</x:v>
      </x:c>
      <x:c r="AE367" s="55" t="n">
        <x:v>11543</x:v>
      </x:c>
      <x:c r="AF367" s="55" t="n">
        <x:v>11385</x:v>
      </x:c>
      <x:c r="AG367" s="55" t="n">
        <x:v>158</x:v>
      </x:c>
      <x:c r="AH367" s="55" t="n">
        <x:v>668</x:v>
      </x:c>
      <x:c r="AI367" s="55" t="n">
        <x:v>10717</x:v>
      </x:c>
      <x:c r="AJ367" s="55" t="n">
        <x:v>461</x:v>
      </x:c>
      <x:c r="AK367" s="55" t="n">
        <x:v>1224</x:v>
      </x:c>
      <x:c r="AL367" s="55" t="n">
        <x:v>1650</x:v>
      </x:c>
      <x:c r="AM367" s="55" t="n">
        <x:v>5252</x:v>
      </x:c>
      <x:c r="AN367" s="55" t="n">
        <x:v>2773</x:v>
      </x:c>
      <x:c r="AO367" s="55" t="n">
        <x:v>25</x:v>
      </x:c>
      <x:c r="AP367" s="55" t="n">
        <x:v>2733</x:v>
      </x:c>
      <x:c r="AQ367" s="55" t="n">
        <x:v>992</x:v>
      </x:c>
    </x:row>
    <x:row r="368">
      <x:c r="A368" s="54" t="str">
        <x:v>T2_CONCORDANT_DOMAIN</x:v>
      </x:c>
      <x:c r="B368" s="54" t="n">
        <x:v>362</x:v>
      </x:c>
      <x:c r="C368" s="54" t="str">
        <x:v>NYC-V2-R01</x:v>
      </x:c>
      <x:c r="D368" s="54" t="str">
        <x:v>V2</x:v>
      </x:c>
      <x:c r="E368" s="54" t="str">
        <x:v>ADMITTED</x:v>
      </x:c>
      <x:c r="F368" s="55" t="n">
        <x:v>32992</x:v>
      </x:c>
      <x:c r="G368" s="55" t="n">
        <x:v>8114</x:v>
      </x:c>
      <x:c r="H368" s="55" t="n">
        <x:v>3577</x:v>
      </x:c>
      <x:c r="I368" s="55" t="n">
        <x:v>1285</x:v>
      </x:c>
      <x:c r="J368" s="55" t="n">
        <x:v>321</x:v>
      </x:c>
      <x:c r="K368" s="55" t="n">
        <x:v>32992</x:v>
      </x:c>
      <x:c r="L368" s="55" t="n">
        <x:v>6868</x:v>
      </x:c>
      <x:c r="M368" s="55" t="n">
        <x:v>1457</x:v>
      </x:c>
      <x:c r="N368" s="55" t="n">
        <x:v>3380</x:v>
      </x:c>
      <x:c r="O368" s="55" t="n">
        <x:v>2031</x:v>
      </x:c>
      <x:c r="P368" s="55" t="n">
        <x:v>956</x:v>
      </x:c>
      <x:c r="Q368" s="55" t="n">
        <x:v>2007</x:v>
      </x:c>
      <x:c r="R368" s="55" t="n">
        <x:v>2336</x:v>
      </x:c>
      <x:c r="S368" s="55" t="n">
        <x:v>3599</x:v>
      </x:c>
      <x:c r="T368" s="55" t="n">
        <x:v>1199</x:v>
      </x:c>
      <x:c r="U368" s="55" t="n">
        <x:v>2452</x:v>
      </x:c>
      <x:c r="V368" s="55" t="n">
        <x:v>10997</x:v>
      </x:c>
      <x:c r="W368" s="55" t="n">
        <x:v>7384</x:v>
      </x:c>
      <x:c r="X368" s="55" t="n">
        <x:v>3613</x:v>
      </x:c>
      <x:c r="Y368" s="55" t="n">
        <x:v>3130</x:v>
      </x:c>
      <x:c r="Z368" s="55" t="n">
        <x:v>3543</x:v>
      </x:c>
      <x:c r="AA368" s="55" t="n">
        <x:v>3555</x:v>
      </x:c>
      <x:c r="AB368" s="55" t="n">
        <x:v>1455</x:v>
      </x:c>
      <x:c r="AC368" s="55" t="n">
        <x:v>8531</x:v>
      </x:c>
      <x:c r="AD368" s="55" t="n">
        <x:v>3063</x:v>
      </x:c>
      <x:c r="AE368" s="55" t="n">
        <x:v>11154</x:v>
      </x:c>
      <x:c r="AF368" s="55" t="n">
        <x:v>10997</x:v>
      </x:c>
      <x:c r="AG368" s="55" t="n">
        <x:v>157</x:v>
      </x:c>
      <x:c r="AH368" s="55" t="n">
        <x:v>647</x:v>
      </x:c>
      <x:c r="AI368" s="55" t="n">
        <x:v>10350</x:v>
      </x:c>
      <x:c r="AJ368" s="55" t="n">
        <x:v>293</x:v>
      </x:c>
      <x:c r="AK368" s="55" t="n">
        <x:v>1077</x:v>
      </x:c>
      <x:c r="AL368" s="55" t="n">
        <x:v>1466</x:v>
      </x:c>
      <x:c r="AM368" s="55" t="n">
        <x:v>5204</x:v>
      </x:c>
      <x:c r="AN368" s="55" t="n">
        <x:v>2891</x:v>
      </x:c>
      <x:c r="AO368" s="55" t="n">
        <x:v>66</x:v>
      </x:c>
      <x:c r="AP368" s="55" t="n">
        <x:v>2752</x:v>
      </x:c>
      <x:c r="AQ368" s="55" t="n">
        <x:v>952</x:v>
      </x:c>
    </x:row>
    <x:row r="369">
      <x:c r="A369" s="54" t="str">
        <x:v>T2_CONCORDANT_DOMAIN</x:v>
      </x:c>
      <x:c r="B369" s="54" t="n">
        <x:v>363</x:v>
      </x:c>
      <x:c r="C369" s="54" t="str">
        <x:v>NYC-V2-R01</x:v>
      </x:c>
      <x:c r="D369" s="54" t="str">
        <x:v>V2</x:v>
      </x:c>
      <x:c r="E369" s="54" t="str">
        <x:v>ADMITTED</x:v>
      </x:c>
      <x:c r="F369" s="55" t="n">
        <x:v>30048</x:v>
      </x:c>
      <x:c r="G369" s="55" t="n">
        <x:v>6935</x:v>
      </x:c>
      <x:c r="H369" s="55" t="n">
        <x:v>2850</x:v>
      </x:c>
      <x:c r="I369" s="55" t="n">
        <x:v>1240</x:v>
      </x:c>
      <x:c r="J369" s="55" t="n">
        <x:v>207</x:v>
      </x:c>
      <x:c r="K369" s="55" t="n">
        <x:v>30048</x:v>
      </x:c>
      <x:c r="L369" s="55" t="n">
        <x:v>4556</x:v>
      </x:c>
      <x:c r="M369" s="55" t="n">
        <x:v>0</x:v>
      </x:c>
      <x:c r="N369" s="55" t="n">
        <x:v>2622</x:v>
      </x:c>
      <x:c r="O369" s="55" t="n">
        <x:v>1934</x:v>
      </x:c>
      <x:c r="P369" s="55" t="n">
        <x:v>400</x:v>
      </x:c>
      <x:c r="Q369" s="55" t="n">
        <x:v>2357</x:v>
      </x:c>
      <x:c r="R369" s="55" t="n">
        <x:v>1775</x:v>
      </x:c>
      <x:c r="S369" s="55" t="n">
        <x:v>2707</x:v>
      </x:c>
      <x:c r="T369" s="55" t="n">
        <x:v>1134</x:v>
      </x:c>
      <x:c r="U369" s="55" t="n">
        <x:v>1628</x:v>
      </x:c>
      <x:c r="V369" s="55" t="n">
        <x:v>10364</x:v>
      </x:c>
      <x:c r="W369" s="55" t="n">
        <x:v>7641</x:v>
      </x:c>
      <x:c r="X369" s="55" t="n">
        <x:v>2723</x:v>
      </x:c>
      <x:c r="Y369" s="55" t="n">
        <x:v>2442</x:v>
      </x:c>
      <x:c r="Z369" s="55" t="n">
        <x:v>3233</x:v>
      </x:c>
      <x:c r="AA369" s="55" t="n">
        <x:v>2345</x:v>
      </x:c>
      <x:c r="AB369" s="55" t="n">
        <x:v>1175</x:v>
      </x:c>
      <x:c r="AC369" s="55" t="n">
        <x:v>8166</x:v>
      </x:c>
      <x:c r="AD369" s="55" t="n">
        <x:v>2646</x:v>
      </x:c>
      <x:c r="AE369" s="55" t="n">
        <x:v>10434</x:v>
      </x:c>
      <x:c r="AF369" s="55" t="n">
        <x:v>10364</x:v>
      </x:c>
      <x:c r="AG369" s="55" t="n">
        <x:v>70</x:v>
      </x:c>
      <x:c r="AH369" s="55" t="n">
        <x:v>381</x:v>
      </x:c>
      <x:c r="AI369" s="55" t="n">
        <x:v>9983</x:v>
      </x:c>
      <x:c r="AJ369" s="55" t="n">
        <x:v>210</x:v>
      </x:c>
      <x:c r="AK369" s="55" t="n">
        <x:v>953</x:v>
      </x:c>
      <x:c r="AL369" s="55" t="n">
        <x:v>1643</x:v>
      </x:c>
      <x:c r="AM369" s="55" t="n">
        <x:v>4690</x:v>
      </x:c>
      <x:c r="AN369" s="55" t="n">
        <x:v>2848</x:v>
      </x:c>
      <x:c r="AO369" s="55" t="n">
        <x:v>20</x:v>
      </x:c>
      <x:c r="AP369" s="55" t="n">
        <x:v>2094</x:v>
      </x:c>
      <x:c r="AQ369" s="55" t="n">
        <x:v>951</x:v>
      </x:c>
    </x:row>
    <x:row r="370">
      <x:c r="A370" s="54" t="str">
        <x:v>T2_CONCORDANT_DOMAIN</x:v>
      </x:c>
      <x:c r="B370" s="54" t="n">
        <x:v>364</x:v>
      </x:c>
      <x:c r="C370" s="54" t="str">
        <x:v>NYC-V2-R01</x:v>
      </x:c>
      <x:c r="D370" s="54" t="str">
        <x:v>V2</x:v>
      </x:c>
      <x:c r="E370" s="54" t="str">
        <x:v>ADMITTED</x:v>
      </x:c>
      <x:c r="F370" s="55" t="n">
        <x:v>30962</x:v>
      </x:c>
      <x:c r="G370" s="55" t="n">
        <x:v>6812</x:v>
      </x:c>
      <x:c r="H370" s="55" t="n">
        <x:v>3365</x:v>
      </x:c>
      <x:c r="I370" s="55" t="n">
        <x:v>1489</x:v>
      </x:c>
      <x:c r="J370" s="55" t="n">
        <x:v>211</x:v>
      </x:c>
      <x:c r="K370" s="55" t="n">
        <x:v>30962</x:v>
      </x:c>
      <x:c r="L370" s="55" t="n">
        <x:v>6448</x:v>
      </x:c>
      <x:c r="M370" s="55" t="n">
        <x:v>2061</x:v>
      </x:c>
      <x:c r="N370" s="55" t="n">
        <x:v>2870</x:v>
      </x:c>
      <x:c r="O370" s="55" t="n">
        <x:v>1517</x:v>
      </x:c>
      <x:c r="P370" s="55" t="n">
        <x:v>864</x:v>
      </x:c>
      <x:c r="Q370" s="55" t="n">
        <x:v>3679</x:v>
      </x:c>
      <x:c r="R370" s="55" t="n">
        <x:v>1891</x:v>
      </x:c>
      <x:c r="S370" s="55" t="n">
        <x:v>3085</x:v>
      </x:c>
      <x:c r="T370" s="55" t="n">
        <x:v>1740</x:v>
      </x:c>
      <x:c r="U370" s="55" t="n">
        <x:v>1963</x:v>
      </x:c>
      <x:c r="V370" s="55" t="n">
        <x:v>10695</x:v>
      </x:c>
      <x:c r="W370" s="55" t="n">
        <x:v>7720</x:v>
      </x:c>
      <x:c r="X370" s="55" t="n">
        <x:v>2975</x:v>
      </x:c>
      <x:c r="Y370" s="55" t="n">
        <x:v>2544</x:v>
      </x:c>
      <x:c r="Z370" s="55" t="n">
        <x:v>3752</x:v>
      </x:c>
      <x:c r="AA370" s="55" t="n">
        <x:v>3223</x:v>
      </x:c>
      <x:c r="AB370" s="55" t="n">
        <x:v>1168</x:v>
      </x:c>
      <x:c r="AC370" s="55" t="n">
        <x:v>7765</x:v>
      </x:c>
      <x:c r="AD370" s="55" t="n">
        <x:v>3113</x:v>
      </x:c>
      <x:c r="AE370" s="55" t="n">
        <x:v>10811</x:v>
      </x:c>
      <x:c r="AF370" s="55" t="n">
        <x:v>10695</x:v>
      </x:c>
      <x:c r="AG370" s="55" t="n">
        <x:v>116</x:v>
      </x:c>
      <x:c r="AH370" s="55" t="n">
        <x:v>493</x:v>
      </x:c>
      <x:c r="AI370" s="55" t="n">
        <x:v>10202</x:v>
      </x:c>
      <x:c r="AJ370" s="55" t="n">
        <x:v>368</x:v>
      </x:c>
      <x:c r="AK370" s="55" t="n">
        <x:v>1033</x:v>
      </x:c>
      <x:c r="AL370" s="55" t="n">
        <x:v>1336</x:v>
      </x:c>
      <x:c r="AM370" s="55" t="n">
        <x:v>5242</x:v>
      </x:c>
      <x:c r="AN370" s="55" t="n">
        <x:v>2716</x:v>
      </x:c>
      <x:c r="AO370" s="55" t="n">
        <x:v>0</x:v>
      </x:c>
      <x:c r="AP370" s="55" t="n">
        <x:v>2758</x:v>
      </x:c>
      <x:c r="AQ370" s="55" t="n">
        <x:v>997</x:v>
      </x:c>
    </x:row>
    <x:row r="371">
      <x:c r="A371" s="54" t="str">
        <x:v>T2_CONCORDANT_DOMAIN</x:v>
      </x:c>
      <x:c r="B371" s="54" t="n">
        <x:v>365</x:v>
      </x:c>
      <x:c r="C371" s="54" t="str">
        <x:v>NYC-V2-R01</x:v>
      </x:c>
      <x:c r="D371" s="54" t="str">
        <x:v>V2</x:v>
      </x:c>
      <x:c r="E371" s="54" t="str">
        <x:v>ADMITTED</x:v>
      </x:c>
      <x:c r="F371" s="55" t="n">
        <x:v>34139</x:v>
      </x:c>
      <x:c r="G371" s="55" t="n">
        <x:v>9353</x:v>
      </x:c>
      <x:c r="H371" s="55" t="n">
        <x:v>3397</x:v>
      </x:c>
      <x:c r="I371" s="55" t="n">
        <x:v>1298</x:v>
      </x:c>
      <x:c r="J371" s="55" t="n">
        <x:v>193</x:v>
      </x:c>
      <x:c r="K371" s="55" t="n">
        <x:v>30055</x:v>
      </x:c>
      <x:c r="L371" s="55" t="n">
        <x:v>5249</x:v>
      </x:c>
      <x:c r="M371" s="55" t="n">
        <x:v>1099</x:v>
      </x:c>
      <x:c r="N371" s="55" t="n">
        <x:v>2689</x:v>
      </x:c>
      <x:c r="O371" s="55" t="n">
        <x:v>1461</x:v>
      </x:c>
      <x:c r="P371" s="55" t="n">
        <x:v>494</x:v>
      </x:c>
      <x:c r="Q371" s="55" t="n">
        <x:v>2306</x:v>
      </x:c>
      <x:c r="R371" s="55" t="n">
        <x:v>1843</x:v>
      </x:c>
      <x:c r="S371" s="55" t="n">
        <x:v>3010</x:v>
      </x:c>
      <x:c r="T371" s="55" t="n">
        <x:v>1169</x:v>
      </x:c>
      <x:c r="U371" s="55" t="n">
        <x:v>1944</x:v>
      </x:c>
      <x:c r="V371" s="55" t="n">
        <x:v>9788</x:v>
      </x:c>
      <x:c r="W371" s="55" t="n">
        <x:v>6595</x:v>
      </x:c>
      <x:c r="X371" s="55" t="n">
        <x:v>3193</x:v>
      </x:c>
      <x:c r="Y371" s="55" t="n">
        <x:v>2899</x:v>
      </x:c>
      <x:c r="Z371" s="55" t="n">
        <x:v>3837</x:v>
      </x:c>
      <x:c r="AA371" s="55" t="n">
        <x:v>3066</x:v>
      </x:c>
      <x:c r="AB371" s="55" t="n">
        <x:v>1067</x:v>
      </x:c>
      <x:c r="AC371" s="55" t="n">
        <x:v>7977</x:v>
      </x:c>
      <x:c r="AD371" s="55" t="n">
        <x:v>2632</x:v>
      </x:c>
      <x:c r="AE371" s="55" t="n">
        <x:v>9822</x:v>
      </x:c>
      <x:c r="AF371" s="55" t="n">
        <x:v>9788</x:v>
      </x:c>
      <x:c r="AG371" s="55" t="n">
        <x:v>34</x:v>
      </x:c>
      <x:c r="AH371" s="55" t="n">
        <x:v>384</x:v>
      </x:c>
      <x:c r="AI371" s="55" t="n">
        <x:v>9404</x:v>
      </x:c>
      <x:c r="AJ371" s="55" t="n">
        <x:v>365</x:v>
      </x:c>
      <x:c r="AK371" s="55" t="n">
        <x:v>992</x:v>
      </x:c>
      <x:c r="AL371" s="55" t="n">
        <x:v>1355</x:v>
      </x:c>
      <x:c r="AM371" s="55" t="n">
        <x:v>4256</x:v>
      </x:c>
      <x:c r="AN371" s="55" t="n">
        <x:v>2820</x:v>
      </x:c>
      <x:c r="AO371" s="55" t="n">
        <x:v>0</x:v>
      </x:c>
      <x:c r="AP371" s="55" t="n">
        <x:v>2555</x:v>
      </x:c>
      <x:c r="AQ371" s="55" t="n">
        <x:v>983</x:v>
      </x:c>
    </x:row>
    <x:row r="372">
      <x:c r="A372" s="54" t="str">
        <x:v>T2_CONCORDANT_DOMAIN</x:v>
      </x:c>
      <x:c r="B372" s="54" t="n">
        <x:v>366</x:v>
      </x:c>
      <x:c r="C372" s="54" t="str">
        <x:v>NYC-V2-R01</x:v>
      </x:c>
      <x:c r="D372" s="54" t="str">
        <x:v>V2</x:v>
      </x:c>
      <x:c r="E372" s="54" t="str">
        <x:v>ADMITTED</x:v>
      </x:c>
      <x:c r="F372" s="55" t="n">
        <x:v>32650</x:v>
      </x:c>
      <x:c r="G372" s="55" t="n">
        <x:v>8838</x:v>
      </x:c>
      <x:c r="H372" s="55" t="n">
        <x:v>3671</x:v>
      </x:c>
      <x:c r="I372" s="55" t="n">
        <x:v>1428</x:v>
      </x:c>
      <x:c r="J372" s="55" t="n">
        <x:v>331</x:v>
      </x:c>
      <x:c r="K372" s="55" t="n">
        <x:v>32650</x:v>
      </x:c>
      <x:c r="L372" s="55" t="n">
        <x:v>7886</x:v>
      </x:c>
      <x:c r="M372" s="55" t="n">
        <x:v>2316</x:v>
      </x:c>
      <x:c r="N372" s="55" t="n">
        <x:v>3477</x:v>
      </x:c>
      <x:c r="O372" s="55" t="n">
        <x:v>2093</x:v>
      </x:c>
      <x:c r="P372" s="55" t="n">
        <x:v>1196</x:v>
      </x:c>
      <x:c r="Q372" s="55" t="n">
        <x:v>3240</x:v>
      </x:c>
      <x:c r="R372" s="55" t="n">
        <x:v>2051</x:v>
      </x:c>
      <x:c r="S372" s="55" t="n">
        <x:v>2975</x:v>
      </x:c>
      <x:c r="T372" s="55" t="n">
        <x:v>1791</x:v>
      </x:c>
      <x:c r="U372" s="55" t="n">
        <x:v>2041</x:v>
      </x:c>
      <x:c r="V372" s="55" t="n">
        <x:v>10876</x:v>
      </x:c>
      <x:c r="W372" s="55" t="n">
        <x:v>7554</x:v>
      </x:c>
      <x:c r="X372" s="55" t="n">
        <x:v>3322</x:v>
      </x:c>
      <x:c r="Y372" s="55" t="n">
        <x:v>2958</x:v>
      </x:c>
      <x:c r="Z372" s="55" t="n">
        <x:v>4091</x:v>
      </x:c>
      <x:c r="AA372" s="55" t="n">
        <x:v>3671</x:v>
      </x:c>
      <x:c r="AB372" s="55" t="n">
        <x:v>1369</x:v>
      </x:c>
      <x:c r="AC372" s="55" t="n">
        <x:v>8471</x:v>
      </x:c>
      <x:c r="AD372" s="55" t="n">
        <x:v>2901</x:v>
      </x:c>
      <x:c r="AE372" s="55" t="n">
        <x:v>10981</x:v>
      </x:c>
      <x:c r="AF372" s="55" t="n">
        <x:v>10876</x:v>
      </x:c>
      <x:c r="AG372" s="55" t="n">
        <x:v>105</x:v>
      </x:c>
      <x:c r="AH372" s="55" t="n">
        <x:v>619</x:v>
      </x:c>
      <x:c r="AI372" s="55" t="n">
        <x:v>10257</x:v>
      </x:c>
      <x:c r="AJ372" s="55" t="n">
        <x:v>350</x:v>
      </x:c>
      <x:c r="AK372" s="55" t="n">
        <x:v>1089</x:v>
      </x:c>
      <x:c r="AL372" s="55" t="n">
        <x:v>1582</x:v>
      </x:c>
      <x:c r="AM372" s="55" t="n">
        <x:v>5136</x:v>
      </x:c>
      <x:c r="AN372" s="55" t="n">
        <x:v>2598</x:v>
      </x:c>
      <x:c r="AO372" s="55" t="n">
        <x:v>121</x:v>
      </x:c>
      <x:c r="AP372" s="55" t="n">
        <x:v>3071</x:v>
      </x:c>
      <x:c r="AQ372" s="55" t="n">
        <x:v>971</x:v>
      </x:c>
    </x:row>
    <x:row r="373">
      <x:c r="A373" s="54" t="str">
        <x:v>T2_CONCORDANT_DOMAIN</x:v>
      </x:c>
      <x:c r="B373" s="54" t="n">
        <x:v>367</x:v>
      </x:c>
      <x:c r="C373" s="54" t="str">
        <x:v>NYC-V2-R01</x:v>
      </x:c>
      <x:c r="D373" s="54" t="str">
        <x:v>V2</x:v>
      </x:c>
      <x:c r="E373" s="54" t="str">
        <x:v>ADMITTED</x:v>
      </x:c>
      <x:c r="F373" s="55" t="n">
        <x:v>28473</x:v>
      </x:c>
      <x:c r="G373" s="55" t="n">
        <x:v>7687</x:v>
      </x:c>
      <x:c r="H373" s="55" t="n">
        <x:v>2675</x:v>
      </x:c>
      <x:c r="I373" s="55" t="n">
        <x:v>1063</x:v>
      </x:c>
      <x:c r="J373" s="55" t="n">
        <x:v>94</x:v>
      </x:c>
      <x:c r="K373" s="55" t="n">
        <x:v>28080</x:v>
      </x:c>
      <x:c r="L373" s="55" t="n">
        <x:v>4896</x:v>
      </x:c>
      <x:c r="M373" s="55" t="n">
        <x:v>456</x:v>
      </x:c>
      <x:c r="N373" s="55" t="n">
        <x:v>2884</x:v>
      </x:c>
      <x:c r="O373" s="55" t="n">
        <x:v>1556</x:v>
      </x:c>
      <x:c r="P373" s="55" t="n">
        <x:v>770</x:v>
      </x:c>
      <x:c r="Q373" s="55" t="n">
        <x:v>2606</x:v>
      </x:c>
      <x:c r="R373" s="55" t="n">
        <x:v>1568</x:v>
      </x:c>
      <x:c r="S373" s="55" t="n">
        <x:v>2065</x:v>
      </x:c>
      <x:c r="T373" s="55" t="n">
        <x:v>1283</x:v>
      </x:c>
      <x:c r="U373" s="55" t="n">
        <x:v>1929</x:v>
      </x:c>
      <x:c r="V373" s="55" t="n">
        <x:v>10278</x:v>
      </x:c>
      <x:c r="W373" s="55" t="n">
        <x:v>7553</x:v>
      </x:c>
      <x:c r="X373" s="55" t="n">
        <x:v>2725</x:v>
      </x:c>
      <x:c r="Y373" s="55" t="n">
        <x:v>2213</x:v>
      </x:c>
      <x:c r="Z373" s="55" t="n">
        <x:v>3508</x:v>
      </x:c>
      <x:c r="AA373" s="55" t="n">
        <x:v>2509</x:v>
      </x:c>
      <x:c r="AB373" s="55" t="n">
        <x:v>443</x:v>
      </x:c>
      <x:c r="AC373" s="55" t="n">
        <x:v>7458</x:v>
      </x:c>
      <x:c r="AD373" s="55" t="n">
        <x:v>2685</x:v>
      </x:c>
      <x:c r="AE373" s="55" t="n">
        <x:v>10353</x:v>
      </x:c>
      <x:c r="AF373" s="55" t="n">
        <x:v>10278</x:v>
      </x:c>
      <x:c r="AG373" s="55" t="n">
        <x:v>75</x:v>
      </x:c>
      <x:c r="AH373" s="55" t="n">
        <x:v>400</x:v>
      </x:c>
      <x:c r="AI373" s="55" t="n">
        <x:v>9878</x:v>
      </x:c>
      <x:c r="AJ373" s="55" t="n">
        <x:v>384</x:v>
      </x:c>
      <x:c r="AK373" s="55" t="n">
        <x:v>836</x:v>
      </x:c>
      <x:c r="AL373" s="55" t="n">
        <x:v>1808</x:v>
      </x:c>
      <x:c r="AM373" s="55" t="n">
        <x:v>4778</x:v>
      </x:c>
      <x:c r="AN373" s="55" t="n">
        <x:v>2472</x:v>
      </x:c>
      <x:c r="AO373" s="55" t="n">
        <x:v>0</x:v>
      </x:c>
      <x:c r="AP373" s="55" t="n">
        <x:v>2450</x:v>
      </x:c>
      <x:c r="AQ373" s="55" t="n">
        <x:v>940</x:v>
      </x:c>
    </x:row>
    <x:row r="374">
      <x:c r="A374" s="54" t="str">
        <x:v>T2_CONCORDANT_DOMAIN</x:v>
      </x:c>
      <x:c r="B374" s="54" t="n">
        <x:v>368</x:v>
      </x:c>
      <x:c r="C374" s="54" t="str">
        <x:v>NYC-V2-R01</x:v>
      </x:c>
      <x:c r="D374" s="54" t="str">
        <x:v>V2</x:v>
      </x:c>
      <x:c r="E374" s="54" t="str">
        <x:v>ADMITTED</x:v>
      </x:c>
      <x:c r="F374" s="55" t="n">
        <x:v>28639</x:v>
      </x:c>
      <x:c r="G374" s="55" t="n">
        <x:v>6038</x:v>
      </x:c>
      <x:c r="H374" s="55" t="n">
        <x:v>3227</x:v>
      </x:c>
      <x:c r="I374" s="55" t="n">
        <x:v>1134</x:v>
      </x:c>
      <x:c r="J374" s="55" t="n">
        <x:v>221</x:v>
      </x:c>
      <x:c r="K374" s="55" t="n">
        <x:v>28639</x:v>
      </x:c>
      <x:c r="L374" s="55" t="n">
        <x:v>4027</x:v>
      </x:c>
      <x:c r="M374" s="55" t="n">
        <x:v>0</x:v>
      </x:c>
      <x:c r="N374" s="55" t="n">
        <x:v>2295</x:v>
      </x:c>
      <x:c r="O374" s="55" t="n">
        <x:v>1732</x:v>
      </x:c>
      <x:c r="P374" s="55" t="n">
        <x:v>829</x:v>
      </x:c>
      <x:c r="Q374" s="55" t="n">
        <x:v>2394</x:v>
      </x:c>
      <x:c r="R374" s="55" t="n">
        <x:v>1657</x:v>
      </x:c>
      <x:c r="S374" s="55" t="n">
        <x:v>2366</x:v>
      </x:c>
      <x:c r="T374" s="55" t="n">
        <x:v>1206</x:v>
      </x:c>
      <x:c r="U374" s="55" t="n">
        <x:v>1652</x:v>
      </x:c>
      <x:c r="V374" s="55" t="n">
        <x:v>10409</x:v>
      </x:c>
      <x:c r="W374" s="55" t="n">
        <x:v>7486</x:v>
      </x:c>
      <x:c r="X374" s="55" t="n">
        <x:v>2923</x:v>
      </x:c>
      <x:c r="Y374" s="55" t="n">
        <x:v>2618</x:v>
      </x:c>
      <x:c r="Z374" s="55" t="n">
        <x:v>3846</x:v>
      </x:c>
      <x:c r="AA374" s="55" t="n">
        <x:v>3186</x:v>
      </x:c>
      <x:c r="AB374" s="55" t="n">
        <x:v>1151</x:v>
      </x:c>
      <x:c r="AC374" s="55" t="n">
        <x:v>8018</x:v>
      </x:c>
      <x:c r="AD374" s="55" t="n">
        <x:v>2214</x:v>
      </x:c>
      <x:c r="AE374" s="55" t="n">
        <x:v>10455</x:v>
      </x:c>
      <x:c r="AF374" s="55" t="n">
        <x:v>10409</x:v>
      </x:c>
      <x:c r="AG374" s="55" t="n">
        <x:v>46</x:v>
      </x:c>
      <x:c r="AH374" s="55" t="n">
        <x:v>425</x:v>
      </x:c>
      <x:c r="AI374" s="55" t="n">
        <x:v>9984</x:v>
      </x:c>
      <x:c r="AJ374" s="55" t="n">
        <x:v>268</x:v>
      </x:c>
      <x:c r="AK374" s="55" t="n">
        <x:v>935</x:v>
      </x:c>
      <x:c r="AL374" s="55" t="n">
        <x:v>1631</x:v>
      </x:c>
      <x:c r="AM374" s="55" t="n">
        <x:v>5205</x:v>
      </x:c>
      <x:c r="AN374" s="55" t="n">
        <x:v>2362</x:v>
      </x:c>
      <x:c r="AO374" s="55" t="n">
        <x:v>8</x:v>
      </x:c>
      <x:c r="AP374" s="55" t="n">
        <x:v>2413</x:v>
      </x:c>
      <x:c r="AQ374" s="55" t="n">
        <x:v>940</x:v>
      </x:c>
    </x:row>
    <x:row r="375">
      <x:c r="A375" s="54" t="str">
        <x:v>T2_CONCORDANT_DOMAIN</x:v>
      </x:c>
      <x:c r="B375" s="54" t="n">
        <x:v>369</x:v>
      </x:c>
      <x:c r="C375" s="54" t="str">
        <x:v>NYC-V2-R01</x:v>
      </x:c>
      <x:c r="D375" s="54" t="str">
        <x:v>V2</x:v>
      </x:c>
      <x:c r="E375" s="54" t="str">
        <x:v>ADMITTED</x:v>
      </x:c>
      <x:c r="F375" s="55" t="n">
        <x:v>30437</x:v>
      </x:c>
      <x:c r="G375" s="55" t="n">
        <x:v>7649</x:v>
      </x:c>
      <x:c r="H375" s="55" t="n">
        <x:v>3112</x:v>
      </x:c>
      <x:c r="I375" s="55" t="n">
        <x:v>1309</x:v>
      </x:c>
      <x:c r="J375" s="55" t="n">
        <x:v>182</x:v>
      </x:c>
      <x:c r="K375" s="55" t="n">
        <x:v>30437</x:v>
      </x:c>
      <x:c r="L375" s="55" t="n">
        <x:v>5629</x:v>
      </x:c>
      <x:c r="M375" s="55" t="n">
        <x:v>1367</x:v>
      </x:c>
      <x:c r="N375" s="55" t="n">
        <x:v>2476</x:v>
      </x:c>
      <x:c r="O375" s="55" t="n">
        <x:v>1786</x:v>
      </x:c>
      <x:c r="P375" s="55" t="n">
        <x:v>762</x:v>
      </x:c>
      <x:c r="Q375" s="55" t="n">
        <x:v>2873</x:v>
      </x:c>
      <x:c r="R375" s="55" t="n">
        <x:v>2058</x:v>
      </x:c>
      <x:c r="S375" s="55" t="n">
        <x:v>2895</x:v>
      </x:c>
      <x:c r="T375" s="55" t="n">
        <x:v>927</x:v>
      </x:c>
      <x:c r="U375" s="55" t="n">
        <x:v>2235</x:v>
      </x:c>
      <x:c r="V375" s="55" t="n">
        <x:v>10645</x:v>
      </x:c>
      <x:c r="W375" s="55" t="n">
        <x:v>7346</x:v>
      </x:c>
      <x:c r="X375" s="55" t="n">
        <x:v>3299</x:v>
      </x:c>
      <x:c r="Y375" s="55" t="n">
        <x:v>2805</x:v>
      </x:c>
      <x:c r="Z375" s="55" t="n">
        <x:v>3916</x:v>
      </x:c>
      <x:c r="AA375" s="55" t="n">
        <x:v>3076</x:v>
      </x:c>
      <x:c r="AB375" s="55" t="n">
        <x:v>1178</x:v>
      </x:c>
      <x:c r="AC375" s="55" t="n">
        <x:v>8556</x:v>
      </x:c>
      <x:c r="AD375" s="55" t="n">
        <x:v>2973</x:v>
      </x:c>
      <x:c r="AE375" s="55" t="n">
        <x:v>10746</x:v>
      </x:c>
      <x:c r="AF375" s="55" t="n">
        <x:v>10645</x:v>
      </x:c>
      <x:c r="AG375" s="55" t="n">
        <x:v>101</x:v>
      </x:c>
      <x:c r="AH375" s="55" t="n">
        <x:v>435</x:v>
      </x:c>
      <x:c r="AI375" s="55" t="n">
        <x:v>10210</x:v>
      </x:c>
      <x:c r="AJ375" s="55" t="n">
        <x:v>399</x:v>
      </x:c>
      <x:c r="AK375" s="55" t="n">
        <x:v>561</x:v>
      </x:c>
      <x:c r="AL375" s="55" t="n">
        <x:v>1745</x:v>
      </x:c>
      <x:c r="AM375" s="55" t="n">
        <x:v>4976</x:v>
      </x:c>
      <x:c r="AN375" s="55" t="n">
        <x:v>2964</x:v>
      </x:c>
      <x:c r="AO375" s="55" t="n">
        <x:v>0</x:v>
      </x:c>
      <x:c r="AP375" s="55" t="n">
        <x:v>2280</x:v>
      </x:c>
      <x:c r="AQ375" s="55" t="n">
        <x:v>956</x:v>
      </x:c>
    </x:row>
    <x:row r="376">
      <x:c r="A376" s="54" t="str">
        <x:v>T2_CONCORDANT_DOMAIN</x:v>
      </x:c>
      <x:c r="B376" s="54" t="n">
        <x:v>370</x:v>
      </x:c>
      <x:c r="C376" s="54" t="str">
        <x:v>NYC-V2-R01</x:v>
      </x:c>
      <x:c r="D376" s="54" t="str">
        <x:v>V2</x:v>
      </x:c>
      <x:c r="E376" s="54" t="str">
        <x:v>ADMITTED</x:v>
      </x:c>
      <x:c r="F376" s="55" t="n">
        <x:v>30468</x:v>
      </x:c>
      <x:c r="G376" s="55" t="n">
        <x:v>7400</x:v>
      </x:c>
      <x:c r="H376" s="55" t="n">
        <x:v>3126</x:v>
      </x:c>
      <x:c r="I376" s="55" t="n">
        <x:v>1255</x:v>
      </x:c>
      <x:c r="J376" s="55" t="n">
        <x:v>393</x:v>
      </x:c>
      <x:c r="K376" s="55" t="n">
        <x:v>30468</x:v>
      </x:c>
      <x:c r="L376" s="55" t="n">
        <x:v>5690</x:v>
      </x:c>
      <x:c r="M376" s="55" t="n">
        <x:v>1488</x:v>
      </x:c>
      <x:c r="N376" s="55" t="n">
        <x:v>2480</x:v>
      </x:c>
      <x:c r="O376" s="55" t="n">
        <x:v>1722</x:v>
      </x:c>
      <x:c r="P376" s="55" t="n">
        <x:v>641</x:v>
      </x:c>
      <x:c r="Q376" s="55" t="n">
        <x:v>1992</x:v>
      </x:c>
      <x:c r="R376" s="55" t="n">
        <x:v>1606</x:v>
      </x:c>
      <x:c r="S376" s="55" t="n">
        <x:v>2505</x:v>
      </x:c>
      <x:c r="T376" s="55" t="n">
        <x:v>1436</x:v>
      </x:c>
      <x:c r="U376" s="55" t="n">
        <x:v>2186</x:v>
      </x:c>
      <x:c r="V376" s="55" t="n">
        <x:v>10165</x:v>
      </x:c>
      <x:c r="W376" s="55" t="n">
        <x:v>7429</x:v>
      </x:c>
      <x:c r="X376" s="55" t="n">
        <x:v>2736</x:v>
      </x:c>
      <x:c r="Y376" s="55" t="n">
        <x:v>2461</x:v>
      </x:c>
      <x:c r="Z376" s="55" t="n">
        <x:v>3678</x:v>
      </x:c>
      <x:c r="AA376" s="55" t="n">
        <x:v>2846</x:v>
      </x:c>
      <x:c r="AB376" s="55" t="n">
        <x:v>986</x:v>
      </x:c>
      <x:c r="AC376" s="55" t="n">
        <x:v>8055</x:v>
      </x:c>
      <x:c r="AD376" s="55" t="n">
        <x:v>2878</x:v>
      </x:c>
      <x:c r="AE376" s="55" t="n">
        <x:v>10297</x:v>
      </x:c>
      <x:c r="AF376" s="55" t="n">
        <x:v>10165</x:v>
      </x:c>
      <x:c r="AG376" s="55" t="n">
        <x:v>132</x:v>
      </x:c>
      <x:c r="AH376" s="55" t="n">
        <x:v>525</x:v>
      </x:c>
      <x:c r="AI376" s="55" t="n">
        <x:v>9640</x:v>
      </x:c>
      <x:c r="AJ376" s="55" t="n">
        <x:v>442</x:v>
      </x:c>
      <x:c r="AK376" s="55" t="n">
        <x:v>1154</x:v>
      </x:c>
      <x:c r="AL376" s="55" t="n">
        <x:v>1431</x:v>
      </x:c>
      <x:c r="AM376" s="55" t="n">
        <x:v>4573</x:v>
      </x:c>
      <x:c r="AN376" s="55" t="n">
        <x:v>2565</x:v>
      </x:c>
      <x:c r="AO376" s="55" t="n">
        <x:v>0</x:v>
      </x:c>
      <x:c r="AP376" s="55" t="n">
        <x:v>2319</x:v>
      </x:c>
      <x:c r="AQ376" s="55" t="n">
        <x:v>968</x:v>
      </x:c>
    </x:row>
    <x:row r="377">
      <x:c r="A377" s="54" t="str">
        <x:v>T2_CONCORDANT_DOMAIN</x:v>
      </x:c>
      <x:c r="B377" s="54" t="n">
        <x:v>371</x:v>
      </x:c>
      <x:c r="C377" s="54" t="str">
        <x:v>NYC-V2-R01</x:v>
      </x:c>
      <x:c r="D377" s="54" t="str">
        <x:v>V2</x:v>
      </x:c>
      <x:c r="E377" s="54" t="str">
        <x:v>ADMITTED</x:v>
      </x:c>
      <x:c r="F377" s="55" t="n">
        <x:v>30564</x:v>
      </x:c>
      <x:c r="G377" s="55" t="n">
        <x:v>7608</x:v>
      </x:c>
      <x:c r="H377" s="55" t="n">
        <x:v>3053</x:v>
      </x:c>
      <x:c r="I377" s="55" t="n">
        <x:v>1027</x:v>
      </x:c>
      <x:c r="J377" s="55" t="n">
        <x:v>150</x:v>
      </x:c>
      <x:c r="K377" s="55" t="n">
        <x:v>29662</x:v>
      </x:c>
      <x:c r="L377" s="55" t="n">
        <x:v>5447</x:v>
      </x:c>
      <x:c r="M377" s="55" t="n">
        <x:v>1560</x:v>
      </x:c>
      <x:c r="N377" s="55" t="n">
        <x:v>2235</x:v>
      </x:c>
      <x:c r="O377" s="55" t="n">
        <x:v>1652</x:v>
      </x:c>
      <x:c r="P377" s="55" t="n">
        <x:v>611</x:v>
      </x:c>
      <x:c r="Q377" s="55" t="n">
        <x:v>2423</x:v>
      </x:c>
      <x:c r="R377" s="55" t="n">
        <x:v>1386</x:v>
      </x:c>
      <x:c r="S377" s="55" t="n">
        <x:v>2321</x:v>
      </x:c>
      <x:c r="T377" s="55" t="n">
        <x:v>949</x:v>
      </x:c>
      <x:c r="U377" s="55" t="n">
        <x:v>1603</x:v>
      </x:c>
      <x:c r="V377" s="55" t="n">
        <x:v>10308</x:v>
      </x:c>
      <x:c r="W377" s="55" t="n">
        <x:v>7076</x:v>
      </x:c>
      <x:c r="X377" s="55" t="n">
        <x:v>3232</x:v>
      </x:c>
      <x:c r="Y377" s="55" t="n">
        <x:v>2625</x:v>
      </x:c>
      <x:c r="Z377" s="55" t="n">
        <x:v>3480</x:v>
      </x:c>
      <x:c r="AA377" s="55" t="n">
        <x:v>3053</x:v>
      </x:c>
      <x:c r="AB377" s="55" t="n">
        <x:v>1152</x:v>
      </x:c>
      <x:c r="AC377" s="55" t="n">
        <x:v>8474</x:v>
      </x:c>
      <x:c r="AD377" s="55" t="n">
        <x:v>3140</x:v>
      </x:c>
      <x:c r="AE377" s="55" t="n">
        <x:v>10407</x:v>
      </x:c>
      <x:c r="AF377" s="55" t="n">
        <x:v>10308</x:v>
      </x:c>
      <x:c r="AG377" s="55" t="n">
        <x:v>99</x:v>
      </x:c>
      <x:c r="AH377" s="55" t="n">
        <x:v>217</x:v>
      </x:c>
      <x:c r="AI377" s="55" t="n">
        <x:v>10091</x:v>
      </x:c>
      <x:c r="AJ377" s="55" t="n">
        <x:v>258</x:v>
      </x:c>
      <x:c r="AK377" s="55" t="n">
        <x:v>914</x:v>
      </x:c>
      <x:c r="AL377" s="55" t="n">
        <x:v>1652</x:v>
      </x:c>
      <x:c r="AM377" s="55" t="n">
        <x:v>4995</x:v>
      </x:c>
      <x:c r="AN377" s="55" t="n">
        <x:v>2489</x:v>
      </x:c>
      <x:c r="AO377" s="55" t="n">
        <x:v>0</x:v>
      </x:c>
      <x:c r="AP377" s="55" t="n">
        <x:v>2069</x:v>
      </x:c>
      <x:c r="AQ377" s="55" t="n">
        <x:v>938</x:v>
      </x:c>
    </x:row>
    <x:row r="378">
      <x:c r="A378" s="54" t="str">
        <x:v>T2_CONCORDANT_DOMAIN</x:v>
      </x:c>
      <x:c r="B378" s="54" t="n">
        <x:v>372</x:v>
      </x:c>
      <x:c r="C378" s="54" t="str">
        <x:v>NYC-V2-R01</x:v>
      </x:c>
      <x:c r="D378" s="54" t="str">
        <x:v>V2</x:v>
      </x:c>
      <x:c r="E378" s="54" t="str">
        <x:v>ADMITTED</x:v>
      </x:c>
      <x:c r="F378" s="55" t="n">
        <x:v>30079</x:v>
      </x:c>
      <x:c r="G378" s="55" t="n">
        <x:v>6441</x:v>
      </x:c>
      <x:c r="H378" s="55" t="n">
        <x:v>3137</x:v>
      </x:c>
      <x:c r="I378" s="55" t="n">
        <x:v>1364</x:v>
      </x:c>
      <x:c r="J378" s="55" t="n">
        <x:v>270</x:v>
      </x:c>
      <x:c r="K378" s="55" t="n">
        <x:v>30079</x:v>
      </x:c>
      <x:c r="L378" s="55" t="n">
        <x:v>5713</x:v>
      </x:c>
      <x:c r="M378" s="55" t="n">
        <x:v>1606</x:v>
      </x:c>
      <x:c r="N378" s="55" t="n">
        <x:v>2329</x:v>
      </x:c>
      <x:c r="O378" s="55" t="n">
        <x:v>1778</x:v>
      </x:c>
      <x:c r="P378" s="55" t="n">
        <x:v>953</x:v>
      </x:c>
      <x:c r="Q378" s="55" t="n">
        <x:v>3064</x:v>
      </x:c>
      <x:c r="R378" s="55" t="n">
        <x:v>2220</x:v>
      </x:c>
      <x:c r="S378" s="55" t="n">
        <x:v>3156</x:v>
      </x:c>
      <x:c r="T378" s="55" t="n">
        <x:v>1137</x:v>
      </x:c>
      <x:c r="U378" s="55" t="n">
        <x:v>1692</x:v>
      </x:c>
      <x:c r="V378" s="55" t="n">
        <x:v>9623</x:v>
      </x:c>
      <x:c r="W378" s="55" t="n">
        <x:v>6745</x:v>
      </x:c>
      <x:c r="X378" s="55" t="n">
        <x:v>2878</x:v>
      </x:c>
      <x:c r="Y378" s="55" t="n">
        <x:v>2513</x:v>
      </x:c>
      <x:c r="Z378" s="55" t="n">
        <x:v>3464</x:v>
      </x:c>
      <x:c r="AA378" s="55" t="n">
        <x:v>2891</x:v>
      </x:c>
      <x:c r="AB378" s="55" t="n">
        <x:v>1021</x:v>
      </x:c>
      <x:c r="AC378" s="55" t="n">
        <x:v>8038</x:v>
      </x:c>
      <x:c r="AD378" s="55" t="n">
        <x:v>2669</x:v>
      </x:c>
      <x:c r="AE378" s="55" t="n">
        <x:v>9700</x:v>
      </x:c>
      <x:c r="AF378" s="55" t="n">
        <x:v>9623</x:v>
      </x:c>
      <x:c r="AG378" s="55" t="n">
        <x:v>77</x:v>
      </x:c>
      <x:c r="AH378" s="55" t="n">
        <x:v>170</x:v>
      </x:c>
      <x:c r="AI378" s="55" t="n">
        <x:v>9453</x:v>
      </x:c>
      <x:c r="AJ378" s="55" t="n">
        <x:v>145</x:v>
      </x:c>
      <x:c r="AK378" s="55" t="n">
        <x:v>839</x:v>
      </x:c>
      <x:c r="AL378" s="55" t="n">
        <x:v>1696</x:v>
      </x:c>
      <x:c r="AM378" s="55" t="n">
        <x:v>5034</x:v>
      </x:c>
      <x:c r="AN378" s="55" t="n">
        <x:v>1909</x:v>
      </x:c>
      <x:c r="AO378" s="55" t="n">
        <x:v>0</x:v>
      </x:c>
      <x:c r="AP378" s="55" t="n">
        <x:v>2242</x:v>
      </x:c>
      <x:c r="AQ378" s="55" t="n">
        <x:v>946</x:v>
      </x:c>
    </x:row>
    <x:row r="379">
      <x:c r="A379" s="54" t="str">
        <x:v>T2_CONCORDANT_DOMAIN</x:v>
      </x:c>
      <x:c r="B379" s="54" t="n">
        <x:v>373</x:v>
      </x:c>
      <x:c r="C379" s="54" t="str">
        <x:v>NYC-V2-R01</x:v>
      </x:c>
      <x:c r="D379" s="54" t="str">
        <x:v>V2</x:v>
      </x:c>
      <x:c r="E379" s="54" t="str">
        <x:v>ADMITTED</x:v>
      </x:c>
      <x:c r="F379" s="55" t="n">
        <x:v>31035</x:v>
      </x:c>
      <x:c r="G379" s="55" t="n">
        <x:v>6852</x:v>
      </x:c>
      <x:c r="H379" s="55" t="n">
        <x:v>3304</x:v>
      </x:c>
      <x:c r="I379" s="55" t="n">
        <x:v>1190</x:v>
      </x:c>
      <x:c r="J379" s="55" t="n">
        <x:v>237</x:v>
      </x:c>
      <x:c r="K379" s="55" t="n">
        <x:v>31035</x:v>
      </x:c>
      <x:c r="L379" s="55" t="n">
        <x:v>6163</x:v>
      </x:c>
      <x:c r="M379" s="55" t="n">
        <x:v>2005</x:v>
      </x:c>
      <x:c r="N379" s="55" t="n">
        <x:v>2714</x:v>
      </x:c>
      <x:c r="O379" s="55" t="n">
        <x:v>1444</x:v>
      </x:c>
      <x:c r="P379" s="55" t="n">
        <x:v>991</x:v>
      </x:c>
      <x:c r="Q379" s="55" t="n">
        <x:v>2389</x:v>
      </x:c>
      <x:c r="R379" s="55" t="n">
        <x:v>2181</x:v>
      </x:c>
      <x:c r="S379" s="55" t="n">
        <x:v>2327</x:v>
      </x:c>
      <x:c r="T379" s="55" t="n">
        <x:v>1224</x:v>
      </x:c>
      <x:c r="U379" s="55" t="n">
        <x:v>2865</x:v>
      </x:c>
      <x:c r="V379" s="55" t="n">
        <x:v>10369</x:v>
      </x:c>
      <x:c r="W379" s="55" t="n">
        <x:v>6856</x:v>
      </x:c>
      <x:c r="X379" s="55" t="n">
        <x:v>3513</x:v>
      </x:c>
      <x:c r="Y379" s="55" t="n">
        <x:v>2863</x:v>
      </x:c>
      <x:c r="Z379" s="55" t="n">
        <x:v>3224</x:v>
      </x:c>
      <x:c r="AA379" s="55" t="n">
        <x:v>3304</x:v>
      </x:c>
      <x:c r="AB379" s="55" t="n">
        <x:v>1176</x:v>
      </x:c>
      <x:c r="AC379" s="55" t="n">
        <x:v>7835</x:v>
      </x:c>
      <x:c r="AD379" s="55" t="n">
        <x:v>2794</x:v>
      </x:c>
      <x:c r="AE379" s="55" t="n">
        <x:v>10499</x:v>
      </x:c>
      <x:c r="AF379" s="55" t="n">
        <x:v>10369</x:v>
      </x:c>
      <x:c r="AG379" s="55" t="n">
        <x:v>130</x:v>
      </x:c>
      <x:c r="AH379" s="55" t="n">
        <x:v>386</x:v>
      </x:c>
      <x:c r="AI379" s="55" t="n">
        <x:v>9983</x:v>
      </x:c>
      <x:c r="AJ379" s="55" t="n">
        <x:v>365</x:v>
      </x:c>
      <x:c r="AK379" s="55" t="n">
        <x:v>1043</x:v>
      </x:c>
      <x:c r="AL379" s="55" t="n">
        <x:v>1321</x:v>
      </x:c>
      <x:c r="AM379" s="55" t="n">
        <x:v>4886</x:v>
      </x:c>
      <x:c r="AN379" s="55" t="n">
        <x:v>2748</x:v>
      </x:c>
      <x:c r="AO379" s="55" t="n">
        <x:v>6</x:v>
      </x:c>
      <x:c r="AP379" s="55" t="n">
        <x:v>2607</x:v>
      </x:c>
      <x:c r="AQ379" s="55" t="n">
        <x:v>944</x:v>
      </x:c>
    </x:row>
    <x:row r="380">
      <x:c r="A380" s="54" t="str">
        <x:v>T2_CONCORDANT_DOMAIN</x:v>
      </x:c>
      <x:c r="B380" s="54" t="n">
        <x:v>374</x:v>
      </x:c>
      <x:c r="C380" s="54" t="str">
        <x:v>NYC-V2-R01</x:v>
      </x:c>
      <x:c r="D380" s="54" t="str">
        <x:v>V2</x:v>
      </x:c>
      <x:c r="E380" s="54" t="str">
        <x:v>ADMITTED</x:v>
      </x:c>
      <x:c r="F380" s="55" t="n">
        <x:v>33509</x:v>
      </x:c>
      <x:c r="G380" s="55" t="n">
        <x:v>8971</x:v>
      </x:c>
      <x:c r="H380" s="55" t="n">
        <x:v>3344</x:v>
      </x:c>
      <x:c r="I380" s="55" t="n">
        <x:v>1908</x:v>
      </x:c>
      <x:c r="J380" s="55" t="n">
        <x:v>398</x:v>
      </x:c>
      <x:c r="K380" s="55" t="n">
        <x:v>33509</x:v>
      </x:c>
      <x:c r="L380" s="55" t="n">
        <x:v>7364</x:v>
      </x:c>
      <x:c r="M380" s="55" t="n">
        <x:v>2481</x:v>
      </x:c>
      <x:c r="N380" s="55" t="n">
        <x:v>3061</x:v>
      </x:c>
      <x:c r="O380" s="55" t="n">
        <x:v>1822</x:v>
      </x:c>
      <x:c r="P380" s="55" t="n">
        <x:v>990</x:v>
      </x:c>
      <x:c r="Q380" s="55" t="n">
        <x:v>2815</x:v>
      </x:c>
      <x:c r="R380" s="55" t="n">
        <x:v>2275</x:v>
      </x:c>
      <x:c r="S380" s="55" t="n">
        <x:v>3279</x:v>
      </x:c>
      <x:c r="T380" s="55" t="n">
        <x:v>1673</x:v>
      </x:c>
      <x:c r="U380" s="55" t="n">
        <x:v>1855</x:v>
      </x:c>
      <x:c r="V380" s="55" t="n">
        <x:v>11306</x:v>
      </x:c>
      <x:c r="W380" s="55" t="n">
        <x:v>7887</x:v>
      </x:c>
      <x:c r="X380" s="55" t="n">
        <x:v>3419</x:v>
      </x:c>
      <x:c r="Y380" s="55" t="n">
        <x:v>2894</x:v>
      </x:c>
      <x:c r="Z380" s="55" t="n">
        <x:v>4038</x:v>
      </x:c>
      <x:c r="AA380" s="55" t="n">
        <x:v>3344</x:v>
      </x:c>
      <x:c r="AB380" s="55" t="n">
        <x:v>1237</x:v>
      </x:c>
      <x:c r="AC380" s="55" t="n">
        <x:v>8213</x:v>
      </x:c>
      <x:c r="AD380" s="55" t="n">
        <x:v>3237</x:v>
      </x:c>
      <x:c r="AE380" s="55" t="n">
        <x:v>11529</x:v>
      </x:c>
      <x:c r="AF380" s="55" t="n">
        <x:v>11306</x:v>
      </x:c>
      <x:c r="AG380" s="55" t="n">
        <x:v>223</x:v>
      </x:c>
      <x:c r="AH380" s="55" t="n">
        <x:v>723</x:v>
      </x:c>
      <x:c r="AI380" s="55" t="n">
        <x:v>10583</x:v>
      </x:c>
      <x:c r="AJ380" s="55" t="n">
        <x:v>376</x:v>
      </x:c>
      <x:c r="AK380" s="55" t="n">
        <x:v>1192</x:v>
      </x:c>
      <x:c r="AL380" s="55" t="n">
        <x:v>1397</x:v>
      </x:c>
      <x:c r="AM380" s="55" t="n">
        <x:v>5359</x:v>
      </x:c>
      <x:c r="AN380" s="55" t="n">
        <x:v>2839</x:v>
      </x:c>
      <x:c r="AO380" s="55" t="n">
        <x:v>143</x:v>
      </x:c>
      <x:c r="AP380" s="55" t="n">
        <x:v>2999</x:v>
      </x:c>
      <x:c r="AQ380" s="55" t="n">
        <x:v>986</x:v>
      </x:c>
    </x:row>
    <x:row r="381">
      <x:c r="A381" s="54" t="str">
        <x:v>T2_CONCORDANT_DOMAIN</x:v>
      </x:c>
      <x:c r="B381" s="54" t="n">
        <x:v>375</x:v>
      </x:c>
      <x:c r="C381" s="54" t="str">
        <x:v>NYC-V2-R01</x:v>
      </x:c>
      <x:c r="D381" s="54" t="str">
        <x:v>V2</x:v>
      </x:c>
      <x:c r="E381" s="54" t="str">
        <x:v>ADMITTED</x:v>
      </x:c>
      <x:c r="F381" s="55" t="n">
        <x:v>31882</x:v>
      </x:c>
      <x:c r="G381" s="55" t="n">
        <x:v>8601</x:v>
      </x:c>
      <x:c r="H381" s="55" t="n">
        <x:v>3239</x:v>
      </x:c>
      <x:c r="I381" s="55" t="n">
        <x:v>1153</x:v>
      </x:c>
      <x:c r="J381" s="55" t="n">
        <x:v>319</x:v>
      </x:c>
      <x:c r="K381" s="55" t="n">
        <x:v>31882</x:v>
      </x:c>
      <x:c r="L381" s="55" t="n">
        <x:v>5668</x:v>
      </x:c>
      <x:c r="M381" s="55" t="n">
        <x:v>1631</x:v>
      </x:c>
      <x:c r="N381" s="55" t="n">
        <x:v>2431</x:v>
      </x:c>
      <x:c r="O381" s="55" t="n">
        <x:v>1606</x:v>
      </x:c>
      <x:c r="P381" s="55" t="n">
        <x:v>945</x:v>
      </x:c>
      <x:c r="Q381" s="55" t="n">
        <x:v>3139</x:v>
      </x:c>
      <x:c r="R381" s="55" t="n">
        <x:v>2049</x:v>
      </x:c>
      <x:c r="S381" s="55" t="n">
        <x:v>2770</x:v>
      </x:c>
      <x:c r="T381" s="55" t="n">
        <x:v>1057</x:v>
      </x:c>
      <x:c r="U381" s="55" t="n">
        <x:v>2341</x:v>
      </x:c>
      <x:c r="V381" s="55" t="n">
        <x:v>10620</x:v>
      </x:c>
      <x:c r="W381" s="55" t="n">
        <x:v>7463</x:v>
      </x:c>
      <x:c r="X381" s="55" t="n">
        <x:v>3157</x:v>
      </x:c>
      <x:c r="Y381" s="55" t="n">
        <x:v>2757</x:v>
      </x:c>
      <x:c r="Z381" s="55" t="n">
        <x:v>3860</x:v>
      </x:c>
      <x:c r="AA381" s="55" t="n">
        <x:v>3239</x:v>
      </x:c>
      <x:c r="AB381" s="55" t="n">
        <x:v>1384</x:v>
      </x:c>
      <x:c r="AC381" s="55" t="n">
        <x:v>7941</x:v>
      </x:c>
      <x:c r="AD381" s="55" t="n">
        <x:v>2484</x:v>
      </x:c>
      <x:c r="AE381" s="55" t="n">
        <x:v>10629</x:v>
      </x:c>
      <x:c r="AF381" s="55" t="n">
        <x:v>10620</x:v>
      </x:c>
      <x:c r="AG381" s="55" t="n">
        <x:v>9</x:v>
      </x:c>
      <x:c r="AH381" s="55" t="n">
        <x:v>423</x:v>
      </x:c>
      <x:c r="AI381" s="55" t="n">
        <x:v>10197</x:v>
      </x:c>
      <x:c r="AJ381" s="55" t="n">
        <x:v>398</x:v>
      </x:c>
      <x:c r="AK381" s="55" t="n">
        <x:v>1028</x:v>
      </x:c>
      <x:c r="AL381" s="55" t="n">
        <x:v>1746</x:v>
      </x:c>
      <x:c r="AM381" s="55" t="n">
        <x:v>4810</x:v>
      </x:c>
      <x:c r="AN381" s="55" t="n">
        <x:v>2638</x:v>
      </x:c>
      <x:c r="AO381" s="55" t="n">
        <x:v>0</x:v>
      </x:c>
      <x:c r="AP381" s="55" t="n">
        <x:v>2402</x:v>
      </x:c>
      <x:c r="AQ381" s="55" t="n">
        <x:v>1005</x:v>
      </x:c>
    </x:row>
    <x:row r="382">
      <x:c r="A382" s="54" t="str">
        <x:v>T2_CONCORDANT_DOMAIN</x:v>
      </x:c>
      <x:c r="B382" s="54" t="n">
        <x:v>376</x:v>
      </x:c>
      <x:c r="C382" s="54" t="str">
        <x:v>NYC-V2-R01</x:v>
      </x:c>
      <x:c r="D382" s="54" t="str">
        <x:v>V2</x:v>
      </x:c>
      <x:c r="E382" s="54" t="str">
        <x:v>ADMITTED</x:v>
      </x:c>
      <x:c r="F382" s="55" t="n">
        <x:v>32252</x:v>
      </x:c>
      <x:c r="G382" s="55" t="n">
        <x:v>8441</x:v>
      </x:c>
      <x:c r="H382" s="55" t="n">
        <x:v>3165</x:v>
      </x:c>
      <x:c r="I382" s="55" t="n">
        <x:v>1491</x:v>
      </x:c>
      <x:c r="J382" s="55" t="n">
        <x:v>142</x:v>
      </x:c>
      <x:c r="K382" s="55" t="n">
        <x:v>32252</x:v>
      </x:c>
      <x:c r="L382" s="55" t="n">
        <x:v>6030</x:v>
      </x:c>
      <x:c r="M382" s="55" t="n">
        <x:v>1252</x:v>
      </x:c>
      <x:c r="N382" s="55" t="n">
        <x:v>2781</x:v>
      </x:c>
      <x:c r="O382" s="55" t="n">
        <x:v>1997</x:v>
      </x:c>
      <x:c r="P382" s="55" t="n">
        <x:v>1059</x:v>
      </x:c>
      <x:c r="Q382" s="55" t="n">
        <x:v>2752</x:v>
      </x:c>
      <x:c r="R382" s="55" t="n">
        <x:v>1859</x:v>
      </x:c>
      <x:c r="S382" s="55" t="n">
        <x:v>2970</x:v>
      </x:c>
      <x:c r="T382" s="55" t="n">
        <x:v>1420</x:v>
      </x:c>
      <x:c r="U382" s="55" t="n">
        <x:v>1927</x:v>
      </x:c>
      <x:c r="V382" s="55" t="n">
        <x:v>10074</x:v>
      </x:c>
      <x:c r="W382" s="55" t="n">
        <x:v>6985</x:v>
      </x:c>
      <x:c r="X382" s="55" t="n">
        <x:v>3089</x:v>
      </x:c>
      <x:c r="Y382" s="55" t="n">
        <x:v>2711</x:v>
      </x:c>
      <x:c r="Z382" s="55" t="n">
        <x:v>3935</x:v>
      </x:c>
      <x:c r="AA382" s="55" t="n">
        <x:v>2605</x:v>
      </x:c>
      <x:c r="AB382" s="55" t="n">
        <x:v>950</x:v>
      </x:c>
      <x:c r="AC382" s="55" t="n">
        <x:v>7622</x:v>
      </x:c>
      <x:c r="AD382" s="55" t="n">
        <x:v>2540</x:v>
      </x:c>
      <x:c r="AE382" s="55" t="n">
        <x:v>10143</x:v>
      </x:c>
      <x:c r="AF382" s="55" t="n">
        <x:v>10074</x:v>
      </x:c>
      <x:c r="AG382" s="55" t="n">
        <x:v>69</x:v>
      </x:c>
      <x:c r="AH382" s="55" t="n">
        <x:v>374</x:v>
      </x:c>
      <x:c r="AI382" s="55" t="n">
        <x:v>9700</x:v>
      </x:c>
      <x:c r="AJ382" s="55" t="n">
        <x:v>375</x:v>
      </x:c>
      <x:c r="AK382" s="55" t="n">
        <x:v>637</x:v>
      </x:c>
      <x:c r="AL382" s="55" t="n">
        <x:v>1811</x:v>
      </x:c>
      <x:c r="AM382" s="55" t="n">
        <x:v>4783</x:v>
      </x:c>
      <x:c r="AN382" s="55" t="n">
        <x:v>2468</x:v>
      </x:c>
      <x:c r="AO382" s="55" t="n">
        <x:v>0</x:v>
      </x:c>
      <x:c r="AP382" s="55" t="n">
        <x:v>2431</x:v>
      </x:c>
      <x:c r="AQ382" s="55" t="n">
        <x:v>935</x:v>
      </x:c>
    </x:row>
    <x:row r="383">
      <x:c r="A383" s="54" t="str">
        <x:v>T2_CONCORDANT_DOMAIN</x:v>
      </x:c>
      <x:c r="B383" s="54" t="n">
        <x:v>377</x:v>
      </x:c>
      <x:c r="C383" s="54" t="str">
        <x:v>NYC-V2-R01</x:v>
      </x:c>
      <x:c r="D383" s="54" t="str">
        <x:v>V2</x:v>
      </x:c>
      <x:c r="E383" s="54" t="str">
        <x:v>ADMITTED</x:v>
      </x:c>
      <x:c r="F383" s="55" t="n">
        <x:v>32147</x:v>
      </x:c>
      <x:c r="G383" s="55" t="n">
        <x:v>7089</x:v>
      </x:c>
      <x:c r="H383" s="55" t="n">
        <x:v>3156</x:v>
      </x:c>
      <x:c r="I383" s="55" t="n">
        <x:v>1259</x:v>
      </x:c>
      <x:c r="J383" s="55" t="n">
        <x:v>213</x:v>
      </x:c>
      <x:c r="K383" s="55" t="n">
        <x:v>32147</x:v>
      </x:c>
      <x:c r="L383" s="55" t="n">
        <x:v>7041</x:v>
      </x:c>
      <x:c r="M383" s="55" t="n">
        <x:v>2006</x:v>
      </x:c>
      <x:c r="N383" s="55" t="n">
        <x:v>2815</x:v>
      </x:c>
      <x:c r="O383" s="55" t="n">
        <x:v>2220</x:v>
      </x:c>
      <x:c r="P383" s="55" t="n">
        <x:v>1077</x:v>
      </x:c>
      <x:c r="Q383" s="55" t="n">
        <x:v>2021</x:v>
      </x:c>
      <x:c r="R383" s="55" t="n">
        <x:v>2321</x:v>
      </x:c>
      <x:c r="S383" s="55" t="n">
        <x:v>2971</x:v>
      </x:c>
      <x:c r="T383" s="55" t="n">
        <x:v>1261</x:v>
      </x:c>
      <x:c r="U383" s="55" t="n">
        <x:v>2286</x:v>
      </x:c>
      <x:c r="V383" s="55" t="n">
        <x:v>10722</x:v>
      </x:c>
      <x:c r="W383" s="55" t="n">
        <x:v>7818</x:v>
      </x:c>
      <x:c r="X383" s="55" t="n">
        <x:v>2904</x:v>
      </x:c>
      <x:c r="Y383" s="55" t="n">
        <x:v>2478</x:v>
      </x:c>
      <x:c r="Z383" s="55" t="n">
        <x:v>3770</x:v>
      </x:c>
      <x:c r="AA383" s="55" t="n">
        <x:v>3156</x:v>
      </x:c>
      <x:c r="AB383" s="55" t="n">
        <x:v>1171</x:v>
      </x:c>
      <x:c r="AC383" s="55" t="n">
        <x:v>8278</x:v>
      </x:c>
      <x:c r="AD383" s="55" t="n">
        <x:v>2882</x:v>
      </x:c>
      <x:c r="AE383" s="55" t="n">
        <x:v>10872</x:v>
      </x:c>
      <x:c r="AF383" s="55" t="n">
        <x:v>10722</x:v>
      </x:c>
      <x:c r="AG383" s="55" t="n">
        <x:v>150</x:v>
      </x:c>
      <x:c r="AH383" s="55" t="n">
        <x:v>321</x:v>
      </x:c>
      <x:c r="AI383" s="55" t="n">
        <x:v>10401</x:v>
      </x:c>
      <x:c r="AJ383" s="55" t="n">
        <x:v>425</x:v>
      </x:c>
      <x:c r="AK383" s="55" t="n">
        <x:v>1368</x:v>
      </x:c>
      <x:c r="AL383" s="55" t="n">
        <x:v>1396</x:v>
      </x:c>
      <x:c r="AM383" s="55" t="n">
        <x:v>4379</x:v>
      </x:c>
      <x:c r="AN383" s="55" t="n">
        <x:v>3040</x:v>
      </x:c>
      <x:c r="AO383" s="55" t="n">
        <x:v>114</x:v>
      </x:c>
      <x:c r="AP383" s="55" t="n">
        <x:v>2408</x:v>
      </x:c>
      <x:c r="AQ383" s="55" t="n">
        <x:v>974</x:v>
      </x:c>
    </x:row>
    <x:row r="384">
      <x:c r="A384" s="54" t="str">
        <x:v>T2_CONCORDANT_DOMAIN</x:v>
      </x:c>
      <x:c r="B384" s="54" t="n">
        <x:v>378</x:v>
      </x:c>
      <x:c r="C384" s="54" t="str">
        <x:v>NYC-V2-R01</x:v>
      </x:c>
      <x:c r="D384" s="54" t="str">
        <x:v>V2</x:v>
      </x:c>
      <x:c r="E384" s="54" t="str">
        <x:v>ADMITTED</x:v>
      </x:c>
      <x:c r="F384" s="55" t="n">
        <x:v>32027</x:v>
      </x:c>
      <x:c r="G384" s="55" t="n">
        <x:v>9236</x:v>
      </x:c>
      <x:c r="H384" s="55" t="n">
        <x:v>3194</x:v>
      </x:c>
      <x:c r="I384" s="55" t="n">
        <x:v>1420</x:v>
      </x:c>
      <x:c r="J384" s="55" t="n">
        <x:v>192</x:v>
      </x:c>
      <x:c r="K384" s="55" t="n">
        <x:v>32027</x:v>
      </x:c>
      <x:c r="L384" s="55" t="n">
        <x:v>5950</x:v>
      </x:c>
      <x:c r="M384" s="55" t="n">
        <x:v>1443</x:v>
      </x:c>
      <x:c r="N384" s="55" t="n">
        <x:v>2692</x:v>
      </x:c>
      <x:c r="O384" s="55" t="n">
        <x:v>1815</x:v>
      </x:c>
      <x:c r="P384" s="55" t="n">
        <x:v>1025</x:v>
      </x:c>
      <x:c r="Q384" s="55" t="n">
        <x:v>2132</x:v>
      </x:c>
      <x:c r="R384" s="55" t="n">
        <x:v>1977</x:v>
      </x:c>
      <x:c r="S384" s="55" t="n">
        <x:v>2983</x:v>
      </x:c>
      <x:c r="T384" s="55" t="n">
        <x:v>975</x:v>
      </x:c>
      <x:c r="U384" s="55" t="n">
        <x:v>2468</x:v>
      </x:c>
      <x:c r="V384" s="55" t="n">
        <x:v>10780</x:v>
      </x:c>
      <x:c r="W384" s="55" t="n">
        <x:v>7415</x:v>
      </x:c>
      <x:c r="X384" s="55" t="n">
        <x:v>3365</x:v>
      </x:c>
      <x:c r="Y384" s="55" t="n">
        <x:v>2845</x:v>
      </x:c>
      <x:c r="Z384" s="55" t="n">
        <x:v>3853</x:v>
      </x:c>
      <x:c r="AA384" s="55" t="n">
        <x:v>2894</x:v>
      </x:c>
      <x:c r="AB384" s="55" t="n">
        <x:v>1069</x:v>
      </x:c>
      <x:c r="AC384" s="55" t="n">
        <x:v>7862</x:v>
      </x:c>
      <x:c r="AD384" s="55" t="n">
        <x:v>2844</x:v>
      </x:c>
      <x:c r="AE384" s="55" t="n">
        <x:v>10916</x:v>
      </x:c>
      <x:c r="AF384" s="55" t="n">
        <x:v>10780</x:v>
      </x:c>
      <x:c r="AG384" s="55" t="n">
        <x:v>136</x:v>
      </x:c>
      <x:c r="AH384" s="55" t="n">
        <x:v>793</x:v>
      </x:c>
      <x:c r="AI384" s="55" t="n">
        <x:v>9987</x:v>
      </x:c>
      <x:c r="AJ384" s="55" t="n">
        <x:v>348</x:v>
      </x:c>
      <x:c r="AK384" s="55" t="n">
        <x:v>969</x:v>
      </x:c>
      <x:c r="AL384" s="55" t="n">
        <x:v>1466</x:v>
      </x:c>
      <x:c r="AM384" s="55" t="n">
        <x:v>4961</x:v>
      </x:c>
      <x:c r="AN384" s="55" t="n">
        <x:v>2963</x:v>
      </x:c>
      <x:c r="AO384" s="55" t="n">
        <x:v>73</x:v>
      </x:c>
      <x:c r="AP384" s="55" t="n">
        <x:v>2592</x:v>
      </x:c>
      <x:c r="AQ384" s="55" t="n">
        <x:v>965</x:v>
      </x:c>
    </x:row>
    <x:row r="385">
      <x:c r="A385" s="54" t="str">
        <x:v>T2_CONCORDANT_DOMAIN</x:v>
      </x:c>
      <x:c r="B385" s="54" t="n">
        <x:v>379</x:v>
      </x:c>
      <x:c r="C385" s="54" t="str">
        <x:v>NYC-V2-R01</x:v>
      </x:c>
      <x:c r="D385" s="54" t="str">
        <x:v>V2</x:v>
      </x:c>
      <x:c r="E385" s="54" t="str">
        <x:v>ADMITTED</x:v>
      </x:c>
      <x:c r="F385" s="55" t="n">
        <x:v>33059</x:v>
      </x:c>
      <x:c r="G385" s="55" t="n">
        <x:v>7824</x:v>
      </x:c>
      <x:c r="H385" s="55" t="n">
        <x:v>3188</x:v>
      </x:c>
      <x:c r="I385" s="55" t="n">
        <x:v>1184</x:v>
      </x:c>
      <x:c r="J385" s="55" t="n">
        <x:v>205</x:v>
      </x:c>
      <x:c r="K385" s="55" t="n">
        <x:v>33059</x:v>
      </x:c>
      <x:c r="L385" s="55" t="n">
        <x:v>6473</x:v>
      </x:c>
      <x:c r="M385" s="55" t="n">
        <x:v>1348</x:v>
      </x:c>
      <x:c r="N385" s="55" t="n">
        <x:v>3075</x:v>
      </x:c>
      <x:c r="O385" s="55" t="n">
        <x:v>2050</x:v>
      </x:c>
      <x:c r="P385" s="55" t="n">
        <x:v>1242</x:v>
      </x:c>
      <x:c r="Q385" s="55" t="n">
        <x:v>2418</x:v>
      </x:c>
      <x:c r="R385" s="55" t="n">
        <x:v>2073</x:v>
      </x:c>
      <x:c r="S385" s="55" t="n">
        <x:v>2890</x:v>
      </x:c>
      <x:c r="T385" s="55" t="n">
        <x:v>1686</x:v>
      </x:c>
      <x:c r="U385" s="55" t="n">
        <x:v>2174</x:v>
      </x:c>
      <x:c r="V385" s="55" t="n">
        <x:v>10694</x:v>
      </x:c>
      <x:c r="W385" s="55" t="n">
        <x:v>7502</x:v>
      </x:c>
      <x:c r="X385" s="55" t="n">
        <x:v>3192</x:v>
      </x:c>
      <x:c r="Y385" s="55" t="n">
        <x:v>2795</x:v>
      </x:c>
      <x:c r="Z385" s="55" t="n">
        <x:v>3762</x:v>
      </x:c>
      <x:c r="AA385" s="55" t="n">
        <x:v>3188</x:v>
      </x:c>
      <x:c r="AB385" s="55" t="n">
        <x:v>1196</x:v>
      </x:c>
      <x:c r="AC385" s="55" t="n">
        <x:v>8004</x:v>
      </x:c>
      <x:c r="AD385" s="55" t="n">
        <x:v>2876</x:v>
      </x:c>
      <x:c r="AE385" s="55" t="n">
        <x:v>10808</x:v>
      </x:c>
      <x:c r="AF385" s="55" t="n">
        <x:v>10694</x:v>
      </x:c>
      <x:c r="AG385" s="55" t="n">
        <x:v>114</x:v>
      </x:c>
      <x:c r="AH385" s="55" t="n">
        <x:v>792</x:v>
      </x:c>
      <x:c r="AI385" s="55" t="n">
        <x:v>9902</x:v>
      </x:c>
      <x:c r="AJ385" s="55" t="n">
        <x:v>477</x:v>
      </x:c>
      <x:c r="AK385" s="55" t="n">
        <x:v>977</x:v>
      </x:c>
      <x:c r="AL385" s="55" t="n">
        <x:v>1453</x:v>
      </x:c>
      <x:c r="AM385" s="55" t="n">
        <x:v>4945</x:v>
      </x:c>
      <x:c r="AN385" s="55" t="n">
        <x:v>2766</x:v>
      </x:c>
      <x:c r="AO385" s="55" t="n">
        <x:v>76</x:v>
      </x:c>
      <x:c r="AP385" s="55" t="n">
        <x:v>2195</x:v>
      </x:c>
      <x:c r="AQ385" s="55" t="n">
        <x:v>1011</x:v>
      </x:c>
    </x:row>
    <x:row r="386">
      <x:c r="A386" s="54" t="str">
        <x:v>T2_CONCORDANT_DOMAIN</x:v>
      </x:c>
      <x:c r="B386" s="54" t="n">
        <x:v>380</x:v>
      </x:c>
      <x:c r="C386" s="54" t="str">
        <x:v>NYC-V2-R01</x:v>
      </x:c>
      <x:c r="D386" s="54" t="str">
        <x:v>V2</x:v>
      </x:c>
      <x:c r="E386" s="54" t="str">
        <x:v>ADMITTED</x:v>
      </x:c>
      <x:c r="F386" s="55" t="n">
        <x:v>29002</x:v>
      </x:c>
      <x:c r="G386" s="55" t="n">
        <x:v>6433</x:v>
      </x:c>
      <x:c r="H386" s="55" t="n">
        <x:v>3043</x:v>
      </x:c>
      <x:c r="I386" s="55" t="n">
        <x:v>820</x:v>
      </x:c>
      <x:c r="J386" s="55" t="n">
        <x:v>0</x:v>
      </x:c>
      <x:c r="K386" s="55" t="n">
        <x:v>29002</x:v>
      </x:c>
      <x:c r="L386" s="55" t="n">
        <x:v>5628</x:v>
      </x:c>
      <x:c r="M386" s="55" t="n">
        <x:v>1008</x:v>
      </x:c>
      <x:c r="N386" s="55" t="n">
        <x:v>2545</x:v>
      </x:c>
      <x:c r="O386" s="55" t="n">
        <x:v>2075</x:v>
      </x:c>
      <x:c r="P386" s="55" t="n">
        <x:v>720</x:v>
      </x:c>
      <x:c r="Q386" s="55" t="n">
        <x:v>2063</x:v>
      </x:c>
      <x:c r="R386" s="55" t="n">
        <x:v>1542</x:v>
      </x:c>
      <x:c r="S386" s="55" t="n">
        <x:v>2321</x:v>
      </x:c>
      <x:c r="T386" s="55" t="n">
        <x:v>1142</x:v>
      </x:c>
      <x:c r="U386" s="55" t="n">
        <x:v>1796</x:v>
      </x:c>
      <x:c r="V386" s="55" t="n">
        <x:v>10286</x:v>
      </x:c>
      <x:c r="W386" s="55" t="n">
        <x:v>7418</x:v>
      </x:c>
      <x:c r="X386" s="55" t="n">
        <x:v>2868</x:v>
      </x:c>
      <x:c r="Y386" s="55" t="n">
        <x:v>2492</x:v>
      </x:c>
      <x:c r="Z386" s="55" t="n">
        <x:v>3320</x:v>
      </x:c>
      <x:c r="AA386" s="55" t="n">
        <x:v>3043</x:v>
      </x:c>
      <x:c r="AB386" s="55" t="n">
        <x:v>1183</x:v>
      </x:c>
      <x:c r="AC386" s="55" t="n">
        <x:v>8046</x:v>
      </x:c>
      <x:c r="AD386" s="55" t="n">
        <x:v>2570</x:v>
      </x:c>
      <x:c r="AE386" s="55" t="n">
        <x:v>10307</x:v>
      </x:c>
      <x:c r="AF386" s="55" t="n">
        <x:v>10286</x:v>
      </x:c>
      <x:c r="AG386" s="55" t="n">
        <x:v>21</x:v>
      </x:c>
      <x:c r="AH386" s="55" t="n">
        <x:v>429</x:v>
      </x:c>
      <x:c r="AI386" s="55" t="n">
        <x:v>9857</x:v>
      </x:c>
      <x:c r="AJ386" s="55" t="n">
        <x:v>339</x:v>
      </x:c>
      <x:c r="AK386" s="55" t="n">
        <x:v>853</x:v>
      </x:c>
      <x:c r="AL386" s="55" t="n">
        <x:v>1761</x:v>
      </x:c>
      <x:c r="AM386" s="55" t="n">
        <x:v>4639</x:v>
      </x:c>
      <x:c r="AN386" s="55" t="n">
        <x:v>2654</x:v>
      </x:c>
      <x:c r="AO386" s="55" t="n">
        <x:v>40</x:v>
      </x:c>
      <x:c r="AP386" s="55" t="n">
        <x:v>2179</x:v>
      </x:c>
      <x:c r="AQ386" s="55" t="n">
        <x:v>930</x:v>
      </x:c>
    </x:row>
    <x:row r="387">
      <x:c r="A387" s="54" t="str">
        <x:v>T2_CONCORDANT_DOMAIN</x:v>
      </x:c>
      <x:c r="B387" s="54" t="n">
        <x:v>381</x:v>
      </x:c>
      <x:c r="C387" s="54" t="str">
        <x:v>NYC-V2-R01</x:v>
      </x:c>
      <x:c r="D387" s="54" t="str">
        <x:v>V2</x:v>
      </x:c>
      <x:c r="E387" s="54" t="str">
        <x:v>ADMITTED</x:v>
      </x:c>
      <x:c r="F387" s="55" t="n">
        <x:v>31032</x:v>
      </x:c>
      <x:c r="G387" s="55" t="n">
        <x:v>6270</x:v>
      </x:c>
      <x:c r="H387" s="55" t="n">
        <x:v>3456</x:v>
      </x:c>
      <x:c r="I387" s="55" t="n">
        <x:v>1384</x:v>
      </x:c>
      <x:c r="J387" s="55" t="n">
        <x:v>312</x:v>
      </x:c>
      <x:c r="K387" s="55" t="n">
        <x:v>31032</x:v>
      </x:c>
      <x:c r="L387" s="55" t="n">
        <x:v>4706</x:v>
      </x:c>
      <x:c r="M387" s="55" t="n">
        <x:v>34</x:v>
      </x:c>
      <x:c r="N387" s="55" t="n">
        <x:v>3090</x:v>
      </x:c>
      <x:c r="O387" s="55" t="n">
        <x:v>1582</x:v>
      </x:c>
      <x:c r="P387" s="55" t="n">
        <x:v>902</x:v>
      </x:c>
      <x:c r="Q387" s="55" t="n">
        <x:v>2385</x:v>
      </x:c>
      <x:c r="R387" s="55" t="n">
        <x:v>1702</x:v>
      </x:c>
      <x:c r="S387" s="55" t="n">
        <x:v>2476</x:v>
      </x:c>
      <x:c r="T387" s="55" t="n">
        <x:v>1194</x:v>
      </x:c>
      <x:c r="U387" s="55" t="n">
        <x:v>1670</x:v>
      </x:c>
      <x:c r="V387" s="55" t="n">
        <x:v>9862</x:v>
      </x:c>
      <x:c r="W387" s="55" t="n">
        <x:v>6728</x:v>
      </x:c>
      <x:c r="X387" s="55" t="n">
        <x:v>3134</x:v>
      </x:c>
      <x:c r="Y387" s="55" t="n">
        <x:v>2800</x:v>
      </x:c>
      <x:c r="Z387" s="55" t="n">
        <x:v>3688</x:v>
      </x:c>
      <x:c r="AA387" s="55" t="n">
        <x:v>2915</x:v>
      </x:c>
      <x:c r="AB387" s="55" t="n">
        <x:v>1048</x:v>
      </x:c>
      <x:c r="AC387" s="55" t="n">
        <x:v>8007</x:v>
      </x:c>
      <x:c r="AD387" s="55" t="n">
        <x:v>3513</x:v>
      </x:c>
      <x:c r="AE387" s="55" t="n">
        <x:v>9957</x:v>
      </x:c>
      <x:c r="AF387" s="55" t="n">
        <x:v>9862</x:v>
      </x:c>
      <x:c r="AG387" s="55" t="n">
        <x:v>95</x:v>
      </x:c>
      <x:c r="AH387" s="55" t="n">
        <x:v>409</x:v>
      </x:c>
      <x:c r="AI387" s="55" t="n">
        <x:v>9453</x:v>
      </x:c>
      <x:c r="AJ387" s="55" t="n">
        <x:v>350</x:v>
      </x:c>
      <x:c r="AK387" s="55" t="n">
        <x:v>981</x:v>
      </x:c>
      <x:c r="AL387" s="55" t="n">
        <x:v>1341</x:v>
      </x:c>
      <x:c r="AM387" s="55" t="n">
        <x:v>4642</x:v>
      </x:c>
      <x:c r="AN387" s="55" t="n">
        <x:v>2548</x:v>
      </x:c>
      <x:c r="AO387" s="55" t="n">
        <x:v>0</x:v>
      </x:c>
      <x:c r="AP387" s="55" t="n">
        <x:v>2369</x:v>
      </x:c>
      <x:c r="AQ387" s="55" t="n">
        <x:v>938</x:v>
      </x:c>
    </x:row>
    <x:row r="388">
      <x:c r="A388" s="54" t="str">
        <x:v>T2_CONCORDANT_DOMAIN</x:v>
      </x:c>
      <x:c r="B388" s="54" t="n">
        <x:v>382</x:v>
      </x:c>
      <x:c r="C388" s="54" t="str">
        <x:v>NYC-V2-R01</x:v>
      </x:c>
      <x:c r="D388" s="54" t="str">
        <x:v>V2</x:v>
      </x:c>
      <x:c r="E388" s="54" t="str">
        <x:v>ADMITTED</x:v>
      </x:c>
      <x:c r="F388" s="55" t="n">
        <x:v>32791</x:v>
      </x:c>
      <x:c r="G388" s="55" t="n">
        <x:v>8629</x:v>
      </x:c>
      <x:c r="H388" s="55" t="n">
        <x:v>3813</x:v>
      </x:c>
      <x:c r="I388" s="55" t="n">
        <x:v>1653</x:v>
      </x:c>
      <x:c r="J388" s="55" t="n">
        <x:v>279</x:v>
      </x:c>
      <x:c r="K388" s="55" t="n">
        <x:v>32791</x:v>
      </x:c>
      <x:c r="L388" s="55" t="n">
        <x:v>6524</x:v>
      </x:c>
      <x:c r="M388" s="55" t="n">
        <x:v>1549</x:v>
      </x:c>
      <x:c r="N388" s="55" t="n">
        <x:v>2860</x:v>
      </x:c>
      <x:c r="O388" s="55" t="n">
        <x:v>2115</x:v>
      </x:c>
      <x:c r="P388" s="55" t="n">
        <x:v>1150</x:v>
      </x:c>
      <x:c r="Q388" s="55" t="n">
        <x:v>2757</x:v>
      </x:c>
      <x:c r="R388" s="55" t="n">
        <x:v>2128</x:v>
      </x:c>
      <x:c r="S388" s="55" t="n">
        <x:v>2956</x:v>
      </x:c>
      <x:c r="T388" s="55" t="n">
        <x:v>1493</x:v>
      </x:c>
      <x:c r="U388" s="55" t="n">
        <x:v>2195</x:v>
      </x:c>
      <x:c r="V388" s="55" t="n">
        <x:v>10237</x:v>
      </x:c>
      <x:c r="W388" s="55" t="n">
        <x:v>6944</x:v>
      </x:c>
      <x:c r="X388" s="55" t="n">
        <x:v>3293</x:v>
      </x:c>
      <x:c r="Y388" s="55" t="n">
        <x:v>2887</x:v>
      </x:c>
      <x:c r="Z388" s="55" t="n">
        <x:v>3984</x:v>
      </x:c>
      <x:c r="AA388" s="55" t="n">
        <x:v>3813</x:v>
      </x:c>
      <x:c r="AB388" s="55" t="n">
        <x:v>1395</x:v>
      </x:c>
      <x:c r="AC388" s="55" t="n">
        <x:v>8364</x:v>
      </x:c>
      <x:c r="AD388" s="55" t="n">
        <x:v>3423</x:v>
      </x:c>
      <x:c r="AE388" s="55" t="n">
        <x:v>10363</x:v>
      </x:c>
      <x:c r="AF388" s="55" t="n">
        <x:v>10237</x:v>
      </x:c>
      <x:c r="AG388" s="55" t="n">
        <x:v>126</x:v>
      </x:c>
      <x:c r="AH388" s="55" t="n">
        <x:v>284</x:v>
      </x:c>
      <x:c r="AI388" s="55" t="n">
        <x:v>9953</x:v>
      </x:c>
      <x:c r="AJ388" s="55" t="n">
        <x:v>252</x:v>
      </x:c>
      <x:c r="AK388" s="55" t="n">
        <x:v>1058</x:v>
      </x:c>
      <x:c r="AL388" s="55" t="n">
        <x:v>1313</x:v>
      </x:c>
      <x:c r="AM388" s="55" t="n">
        <x:v>4922</x:v>
      </x:c>
      <x:c r="AN388" s="55" t="n">
        <x:v>2672</x:v>
      </x:c>
      <x:c r="AO388" s="55" t="n">
        <x:v>20</x:v>
      </x:c>
      <x:c r="AP388" s="55" t="n">
        <x:v>1875</x:v>
      </x:c>
      <x:c r="AQ388" s="55" t="n">
        <x:v>1018</x:v>
      </x:c>
    </x:row>
    <x:row r="389">
      <x:c r="A389" s="54" t="str">
        <x:v>T2_CONCORDANT_DOMAIN</x:v>
      </x:c>
      <x:c r="B389" s="54" t="n">
        <x:v>383</x:v>
      </x:c>
      <x:c r="C389" s="54" t="str">
        <x:v>NYC-V2-R01</x:v>
      </x:c>
      <x:c r="D389" s="54" t="str">
        <x:v>V2</x:v>
      </x:c>
      <x:c r="E389" s="54" t="str">
        <x:v>ADMITTED</x:v>
      </x:c>
      <x:c r="F389" s="55" t="n">
        <x:v>32021</x:v>
      </x:c>
      <x:c r="G389" s="55" t="n">
        <x:v>6124</x:v>
      </x:c>
      <x:c r="H389" s="55" t="n">
        <x:v>2886</x:v>
      </x:c>
      <x:c r="I389" s="55" t="n">
        <x:v>1343</x:v>
      </x:c>
      <x:c r="J389" s="55" t="n">
        <x:v>181</x:v>
      </x:c>
      <x:c r="K389" s="55" t="n">
        <x:v>32021</x:v>
      </x:c>
      <x:c r="L389" s="55" t="n">
        <x:v>6438</x:v>
      </x:c>
      <x:c r="M389" s="55" t="n">
        <x:v>1264</x:v>
      </x:c>
      <x:c r="N389" s="55" t="n">
        <x:v>3237</x:v>
      </x:c>
      <x:c r="O389" s="55" t="n">
        <x:v>1937</x:v>
      </x:c>
      <x:c r="P389" s="55" t="n">
        <x:v>677</x:v>
      </x:c>
      <x:c r="Q389" s="55" t="n">
        <x:v>2837</x:v>
      </x:c>
      <x:c r="R389" s="55" t="n">
        <x:v>2190</x:v>
      </x:c>
      <x:c r="S389" s="55" t="n">
        <x:v>2996</x:v>
      </x:c>
      <x:c r="T389" s="55" t="n">
        <x:v>1620</x:v>
      </x:c>
      <x:c r="U389" s="55" t="n">
        <x:v>2405</x:v>
      </x:c>
      <x:c r="V389" s="55" t="n">
        <x:v>10382</x:v>
      </x:c>
      <x:c r="W389" s="55" t="n">
        <x:v>6940</x:v>
      </x:c>
      <x:c r="X389" s="55" t="n">
        <x:v>3442</x:v>
      </x:c>
      <x:c r="Y389" s="55" t="n">
        <x:v>3047</x:v>
      </x:c>
      <x:c r="Z389" s="55" t="n">
        <x:v>3820</x:v>
      </x:c>
      <x:c r="AA389" s="55" t="n">
        <x:v>2619</x:v>
      </x:c>
      <x:c r="AB389" s="55" t="n">
        <x:v>1099</x:v>
      </x:c>
      <x:c r="AC389" s="55" t="n">
        <x:v>7563</x:v>
      </x:c>
      <x:c r="AD389" s="55" t="n">
        <x:v>3344</x:v>
      </x:c>
      <x:c r="AE389" s="55" t="n">
        <x:v>10440</x:v>
      </x:c>
      <x:c r="AF389" s="55" t="n">
        <x:v>10382</x:v>
      </x:c>
      <x:c r="AG389" s="55" t="n">
        <x:v>58</x:v>
      </x:c>
      <x:c r="AH389" s="55" t="n">
        <x:v>396</x:v>
      </x:c>
      <x:c r="AI389" s="55" t="n">
        <x:v>9986</x:v>
      </x:c>
      <x:c r="AJ389" s="55" t="n">
        <x:v>280</x:v>
      </x:c>
      <x:c r="AK389" s="55" t="n">
        <x:v>1198</x:v>
      </x:c>
      <x:c r="AL389" s="55" t="n">
        <x:v>1668</x:v>
      </x:c>
      <x:c r="AM389" s="55" t="n">
        <x:v>4227</x:v>
      </x:c>
      <x:c r="AN389" s="55" t="n">
        <x:v>2957</x:v>
      </x:c>
      <x:c r="AO389" s="55" t="n">
        <x:v>52</x:v>
      </x:c>
      <x:c r="AP389" s="55" t="n">
        <x:v>2785</x:v>
      </x:c>
      <x:c r="AQ389" s="55" t="n">
        <x:v>947</x:v>
      </x:c>
    </x:row>
    <x:row r="390">
      <x:c r="A390" s="54" t="str">
        <x:v>T2_CONCORDANT_DOMAIN</x:v>
      </x:c>
      <x:c r="B390" s="54" t="n">
        <x:v>384</x:v>
      </x:c>
      <x:c r="C390" s="54" t="str">
        <x:v>NYC-V2-R01</x:v>
      </x:c>
      <x:c r="D390" s="54" t="str">
        <x:v>V2</x:v>
      </x:c>
      <x:c r="E390" s="54" t="str">
        <x:v>ADMITTED</x:v>
      </x:c>
      <x:c r="F390" s="55" t="n">
        <x:v>30618</x:v>
      </x:c>
      <x:c r="G390" s="55" t="n">
        <x:v>7727</x:v>
      </x:c>
      <x:c r="H390" s="55" t="n">
        <x:v>3544</x:v>
      </x:c>
      <x:c r="I390" s="55" t="n">
        <x:v>1626</x:v>
      </x:c>
      <x:c r="J390" s="55" t="n">
        <x:v>216</x:v>
      </x:c>
      <x:c r="K390" s="55" t="n">
        <x:v>30084</x:v>
      </x:c>
      <x:c r="L390" s="55" t="n">
        <x:v>6258</x:v>
      </x:c>
      <x:c r="M390" s="55" t="n">
        <x:v>1255</x:v>
      </x:c>
      <x:c r="N390" s="55" t="n">
        <x:v>3155</x:v>
      </x:c>
      <x:c r="O390" s="55" t="n">
        <x:v>1848</x:v>
      </x:c>
      <x:c r="P390" s="55" t="n">
        <x:v>425</x:v>
      </x:c>
      <x:c r="Q390" s="55" t="n">
        <x:v>2164</x:v>
      </x:c>
      <x:c r="R390" s="55" t="n">
        <x:v>2283</x:v>
      </x:c>
      <x:c r="S390" s="55" t="n">
        <x:v>2886</x:v>
      </x:c>
      <x:c r="T390" s="55" t="n">
        <x:v>1447</x:v>
      </x:c>
      <x:c r="U390" s="55" t="n">
        <x:v>2243</x:v>
      </x:c>
      <x:c r="V390" s="55" t="n">
        <x:v>10455</x:v>
      </x:c>
      <x:c r="W390" s="55" t="n">
        <x:v>7653</x:v>
      </x:c>
      <x:c r="X390" s="55" t="n">
        <x:v>2802</x:v>
      </x:c>
      <x:c r="Y390" s="55" t="n">
        <x:v>2521</x:v>
      </x:c>
      <x:c r="Z390" s="55" t="n">
        <x:v>3771</x:v>
      </x:c>
      <x:c r="AA390" s="55" t="n">
        <x:v>3243</x:v>
      </x:c>
      <x:c r="AB390" s="55" t="n">
        <x:v>1150</x:v>
      </x:c>
      <x:c r="AC390" s="55" t="n">
        <x:v>7894</x:v>
      </x:c>
      <x:c r="AD390" s="55" t="n">
        <x:v>3335</x:v>
      </x:c>
      <x:c r="AE390" s="55" t="n">
        <x:v>10529</x:v>
      </x:c>
      <x:c r="AF390" s="55" t="n">
        <x:v>10455</x:v>
      </x:c>
      <x:c r="AG390" s="55" t="n">
        <x:v>74</x:v>
      </x:c>
      <x:c r="AH390" s="55" t="n">
        <x:v>457</x:v>
      </x:c>
      <x:c r="AI390" s="55" t="n">
        <x:v>9998</x:v>
      </x:c>
      <x:c r="AJ390" s="55" t="n">
        <x:v>397</x:v>
      </x:c>
      <x:c r="AK390" s="55" t="n">
        <x:v>1144</x:v>
      </x:c>
      <x:c r="AL390" s="55" t="n">
        <x:v>1350</x:v>
      </x:c>
      <x:c r="AM390" s="55" t="n">
        <x:v>4906</x:v>
      </x:c>
      <x:c r="AN390" s="55" t="n">
        <x:v>2658</x:v>
      </x:c>
      <x:c r="AO390" s="55" t="n">
        <x:v>0</x:v>
      </x:c>
      <x:c r="AP390" s="55" t="n">
        <x:v>2303</x:v>
      </x:c>
      <x:c r="AQ390" s="55" t="n">
        <x:v>937</x:v>
      </x:c>
    </x:row>
    <x:row r="391">
      <x:c r="A391" s="54" t="str">
        <x:v>T2_CONCORDANT_DOMAIN</x:v>
      </x:c>
      <x:c r="B391" s="54" t="n">
        <x:v>385</x:v>
      </x:c>
      <x:c r="C391" s="54" t="str">
        <x:v>NYC-V2-R01</x:v>
      </x:c>
      <x:c r="D391" s="54" t="str">
        <x:v>V2</x:v>
      </x:c>
      <x:c r="E391" s="54" t="str">
        <x:v>ADMITTED</x:v>
      </x:c>
      <x:c r="F391" s="55" t="n">
        <x:v>33509</x:v>
      </x:c>
      <x:c r="G391" s="55" t="n">
        <x:v>9147</x:v>
      </x:c>
      <x:c r="H391" s="55" t="n">
        <x:v>3573</x:v>
      </x:c>
      <x:c r="I391" s="55" t="n">
        <x:v>1657</x:v>
      </x:c>
      <x:c r="J391" s="55" t="n">
        <x:v>453</x:v>
      </x:c>
      <x:c r="K391" s="55" t="n">
        <x:v>28646</x:v>
      </x:c>
      <x:c r="L391" s="55" t="n">
        <x:v>5598</x:v>
      </x:c>
      <x:c r="M391" s="55" t="n">
        <x:v>1076</x:v>
      </x:c>
      <x:c r="N391" s="55" t="n">
        <x:v>2669</x:v>
      </x:c>
      <x:c r="O391" s="55" t="n">
        <x:v>1853</x:v>
      </x:c>
      <x:c r="P391" s="55" t="n">
        <x:v>706</x:v>
      </x:c>
      <x:c r="Q391" s="55" t="n">
        <x:v>2307</x:v>
      </x:c>
      <x:c r="R391" s="55" t="n">
        <x:v>2062</x:v>
      </x:c>
      <x:c r="S391" s="55" t="n">
        <x:v>3424</x:v>
      </x:c>
      <x:c r="T391" s="55" t="n">
        <x:v>1437</x:v>
      </x:c>
      <x:c r="U391" s="55" t="n">
        <x:v>1786</x:v>
      </x:c>
      <x:c r="V391" s="55" t="n">
        <x:v>10526</x:v>
      </x:c>
      <x:c r="W391" s="55" t="n">
        <x:v>7681</x:v>
      </x:c>
      <x:c r="X391" s="55" t="n">
        <x:v>2845</x:v>
      </x:c>
      <x:c r="Y391" s="55" t="n">
        <x:v>2321</x:v>
      </x:c>
      <x:c r="Z391" s="55" t="n">
        <x:v>3723</x:v>
      </x:c>
      <x:c r="AA391" s="55" t="n">
        <x:v>3238</x:v>
      </x:c>
      <x:c r="AB391" s="55" t="n">
        <x:v>1196</x:v>
      </x:c>
      <x:c r="AC391" s="55" t="n">
        <x:v>8378</x:v>
      </x:c>
      <x:c r="AD391" s="55" t="n">
        <x:v>3020</x:v>
      </x:c>
      <x:c r="AE391" s="55" t="n">
        <x:v>10654</x:v>
      </x:c>
      <x:c r="AF391" s="55" t="n">
        <x:v>10526</x:v>
      </x:c>
      <x:c r="AG391" s="55" t="n">
        <x:v>128</x:v>
      </x:c>
      <x:c r="AH391" s="55" t="n">
        <x:v>525</x:v>
      </x:c>
      <x:c r="AI391" s="55" t="n">
        <x:v>10001</x:v>
      </x:c>
      <x:c r="AJ391" s="55" t="n">
        <x:v>396</x:v>
      </x:c>
      <x:c r="AK391" s="55" t="n">
        <x:v>963</x:v>
      </x:c>
      <x:c r="AL391" s="55" t="n">
        <x:v>1696</x:v>
      </x:c>
      <x:c r="AM391" s="55" t="n">
        <x:v>4860</x:v>
      </x:c>
      <x:c r="AN391" s="55" t="n">
        <x:v>2524</x:v>
      </x:c>
      <x:c r="AO391" s="55" t="n">
        <x:v>87</x:v>
      </x:c>
      <x:c r="AP391" s="55" t="n">
        <x:v>2305</x:v>
      </x:c>
      <x:c r="AQ391" s="55" t="n">
        <x:v>967</x:v>
      </x:c>
    </x:row>
    <x:row r="392">
      <x:c r="A392" s="54" t="str">
        <x:v>T2_CONCORDANT_DOMAIN</x:v>
      </x:c>
      <x:c r="B392" s="54" t="n">
        <x:v>386</x:v>
      </x:c>
      <x:c r="C392" s="54" t="str">
        <x:v>NYC-V2-R01</x:v>
      </x:c>
      <x:c r="D392" s="54" t="str">
        <x:v>V2</x:v>
      </x:c>
      <x:c r="E392" s="54" t="str">
        <x:v>ADMITTED</x:v>
      </x:c>
      <x:c r="F392" s="55" t="n">
        <x:v>33569</x:v>
      </x:c>
      <x:c r="G392" s="55" t="n">
        <x:v>6550</x:v>
      </x:c>
      <x:c r="H392" s="55" t="n">
        <x:v>3582</x:v>
      </x:c>
      <x:c r="I392" s="55" t="n">
        <x:v>1758</x:v>
      </x:c>
      <x:c r="J392" s="55" t="n">
        <x:v>274</x:v>
      </x:c>
      <x:c r="K392" s="55" t="n">
        <x:v>33569</x:v>
      </x:c>
      <x:c r="L392" s="55" t="n">
        <x:v>6798</x:v>
      </x:c>
      <x:c r="M392" s="55" t="n">
        <x:v>1876</x:v>
      </x:c>
      <x:c r="N392" s="55" t="n">
        <x:v>3145</x:v>
      </x:c>
      <x:c r="O392" s="55" t="n">
        <x:v>1777</x:v>
      </x:c>
      <x:c r="P392" s="55" t="n">
        <x:v>693</x:v>
      </x:c>
      <x:c r="Q392" s="55" t="n">
        <x:v>1755</x:v>
      </x:c>
      <x:c r="R392" s="55" t="n">
        <x:v>1975</x:v>
      </x:c>
      <x:c r="S392" s="55" t="n">
        <x:v>3195</x:v>
      </x:c>
      <x:c r="T392" s="55" t="n">
        <x:v>1048</x:v>
      </x:c>
      <x:c r="U392" s="55" t="n">
        <x:v>2169</x:v>
      </x:c>
      <x:c r="V392" s="55" t="n">
        <x:v>10769</x:v>
      </x:c>
      <x:c r="W392" s="55" t="n">
        <x:v>8242</x:v>
      </x:c>
      <x:c r="X392" s="55" t="n">
        <x:v>2527</x:v>
      </x:c>
      <x:c r="Y392" s="55" t="n">
        <x:v>2277</x:v>
      </x:c>
      <x:c r="Z392" s="55" t="n">
        <x:v>3515</x:v>
      </x:c>
      <x:c r="AA392" s="55" t="n">
        <x:v>3387</x:v>
      </x:c>
      <x:c r="AB392" s="55" t="n">
        <x:v>1263</x:v>
      </x:c>
      <x:c r="AC392" s="55" t="n">
        <x:v>8040</x:v>
      </x:c>
      <x:c r="AD392" s="55" t="n">
        <x:v>2155</x:v>
      </x:c>
      <x:c r="AE392" s="55" t="n">
        <x:v>10889</x:v>
      </x:c>
      <x:c r="AF392" s="55" t="n">
        <x:v>10769</x:v>
      </x:c>
      <x:c r="AG392" s="55" t="n">
        <x:v>120</x:v>
      </x:c>
      <x:c r="AH392" s="55" t="n">
        <x:v>580</x:v>
      </x:c>
      <x:c r="AI392" s="55" t="n">
        <x:v>10189</x:v>
      </x:c>
      <x:c r="AJ392" s="55" t="n">
        <x:v>182</x:v>
      </x:c>
      <x:c r="AK392" s="55" t="n">
        <x:v>988</x:v>
      </x:c>
      <x:c r="AL392" s="55" t="n">
        <x:v>1570</x:v>
      </x:c>
      <x:c r="AM392" s="55" t="n">
        <x:v>5067</x:v>
      </x:c>
      <x:c r="AN392" s="55" t="n">
        <x:v>2936</x:v>
      </x:c>
      <x:c r="AO392" s="55" t="n">
        <x:v>26</x:v>
      </x:c>
      <x:c r="AP392" s="55" t="n">
        <x:v>2617</x:v>
      </x:c>
      <x:c r="AQ392" s="55" t="n">
        <x:v>945</x:v>
      </x:c>
    </x:row>
    <x:row r="393">
      <x:c r="A393" s="54" t="str">
        <x:v>T2_CONCORDANT_DOMAIN</x:v>
      </x:c>
      <x:c r="B393" s="54" t="n">
        <x:v>387</x:v>
      </x:c>
      <x:c r="C393" s="54" t="str">
        <x:v>NYC-V2-R01</x:v>
      </x:c>
      <x:c r="D393" s="54" t="str">
        <x:v>V2</x:v>
      </x:c>
      <x:c r="E393" s="54" t="str">
        <x:v>ADMITTED</x:v>
      </x:c>
      <x:c r="F393" s="55" t="n">
        <x:v>30935</x:v>
      </x:c>
      <x:c r="G393" s="55" t="n">
        <x:v>7281</x:v>
      </x:c>
      <x:c r="H393" s="55" t="n">
        <x:v>3356</x:v>
      </x:c>
      <x:c r="I393" s="55" t="n">
        <x:v>1532</x:v>
      </x:c>
      <x:c r="J393" s="55" t="n">
        <x:v>419</x:v>
      </x:c>
      <x:c r="K393" s="55" t="n">
        <x:v>30935</x:v>
      </x:c>
      <x:c r="L393" s="55" t="n">
        <x:v>5254</x:v>
      </x:c>
      <x:c r="M393" s="55" t="n">
        <x:v>935</x:v>
      </x:c>
      <x:c r="N393" s="55" t="n">
        <x:v>2560</x:v>
      </x:c>
      <x:c r="O393" s="55" t="n">
        <x:v>1759</x:v>
      </x:c>
      <x:c r="P393" s="55" t="n">
        <x:v>619</x:v>
      </x:c>
      <x:c r="Q393" s="55" t="n">
        <x:v>2896</x:v>
      </x:c>
      <x:c r="R393" s="55" t="n">
        <x:v>1984</x:v>
      </x:c>
      <x:c r="S393" s="55" t="n">
        <x:v>2692</x:v>
      </x:c>
      <x:c r="T393" s="55" t="n">
        <x:v>1099</x:v>
      </x:c>
      <x:c r="U393" s="55" t="n">
        <x:v>1984</x:v>
      </x:c>
      <x:c r="V393" s="55" t="n">
        <x:v>10991</x:v>
      </x:c>
      <x:c r="W393" s="55" t="n">
        <x:v>7614</x:v>
      </x:c>
      <x:c r="X393" s="55" t="n">
        <x:v>3377</x:v>
      </x:c>
      <x:c r="Y393" s="55" t="n">
        <x:v>2880</x:v>
      </x:c>
      <x:c r="Z393" s="55" t="n">
        <x:v>4259</x:v>
      </x:c>
      <x:c r="AA393" s="55" t="n">
        <x:v>3013</x:v>
      </x:c>
      <x:c r="AB393" s="55" t="n">
        <x:v>1029</x:v>
      </x:c>
      <x:c r="AC393" s="55" t="n">
        <x:v>8852</x:v>
      </x:c>
      <x:c r="AD393" s="55" t="n">
        <x:v>2367</x:v>
      </x:c>
      <x:c r="AE393" s="55" t="n">
        <x:v>11033</x:v>
      </x:c>
      <x:c r="AF393" s="55" t="n">
        <x:v>10991</x:v>
      </x:c>
      <x:c r="AG393" s="55" t="n">
        <x:v>42</x:v>
      </x:c>
      <x:c r="AH393" s="55" t="n">
        <x:v>389</x:v>
      </x:c>
      <x:c r="AI393" s="55" t="n">
        <x:v>10602</x:v>
      </x:c>
      <x:c r="AJ393" s="55" t="n">
        <x:v>375</x:v>
      </x:c>
      <x:c r="AK393" s="55" t="n">
        <x:v>754</x:v>
      </x:c>
      <x:c r="AL393" s="55" t="n">
        <x:v>1702</x:v>
      </x:c>
      <x:c r="AM393" s="55" t="n">
        <x:v>5112</x:v>
      </x:c>
      <x:c r="AN393" s="55" t="n">
        <x:v>3009</x:v>
      </x:c>
      <x:c r="AO393" s="55" t="n">
        <x:v>39</x:v>
      </x:c>
      <x:c r="AP393" s="55" t="n">
        <x:v>2539</x:v>
      </x:c>
      <x:c r="AQ393" s="55" t="n">
        <x:v>956</x:v>
      </x:c>
    </x:row>
    <x:row r="394">
      <x:c r="A394" s="54" t="str">
        <x:v>T2_CONCORDANT_DOMAIN</x:v>
      </x:c>
      <x:c r="B394" s="54" t="n">
        <x:v>388</x:v>
      </x:c>
      <x:c r="C394" s="54" t="str">
        <x:v>NYC-V2-R01</x:v>
      </x:c>
      <x:c r="D394" s="54" t="str">
        <x:v>V2</x:v>
      </x:c>
      <x:c r="E394" s="54" t="str">
        <x:v>ADMITTED</x:v>
      </x:c>
      <x:c r="F394" s="55" t="n">
        <x:v>32413</x:v>
      </x:c>
      <x:c r="G394" s="55" t="n">
        <x:v>8762</x:v>
      </x:c>
      <x:c r="H394" s="55" t="n">
        <x:v>3365</x:v>
      </x:c>
      <x:c r="I394" s="55" t="n">
        <x:v>1523</x:v>
      </x:c>
      <x:c r="J394" s="55" t="n">
        <x:v>438</x:v>
      </x:c>
      <x:c r="K394" s="55" t="n">
        <x:v>31532</x:v>
      </x:c>
      <x:c r="L394" s="55" t="n">
        <x:v>6390</x:v>
      </x:c>
      <x:c r="M394" s="55" t="n">
        <x:v>1644</x:v>
      </x:c>
      <x:c r="N394" s="55" t="n">
        <x:v>2812</x:v>
      </x:c>
      <x:c r="O394" s="55" t="n">
        <x:v>1934</x:v>
      </x:c>
      <x:c r="P394" s="55" t="n">
        <x:v>503</x:v>
      </x:c>
      <x:c r="Q394" s="55" t="n">
        <x:v>2318</x:v>
      </x:c>
      <x:c r="R394" s="55" t="n">
        <x:v>2245</x:v>
      </x:c>
      <x:c r="S394" s="55" t="n">
        <x:v>2777</x:v>
      </x:c>
      <x:c r="T394" s="55" t="n">
        <x:v>1631</x:v>
      </x:c>
      <x:c r="U394" s="55" t="n">
        <x:v>2351</x:v>
      </x:c>
      <x:c r="V394" s="55" t="n">
        <x:v>10588</x:v>
      </x:c>
      <x:c r="W394" s="55" t="n">
        <x:v>7547</x:v>
      </x:c>
      <x:c r="X394" s="55" t="n">
        <x:v>3041</x:v>
      </x:c>
      <x:c r="Y394" s="55" t="n">
        <x:v>2581</x:v>
      </x:c>
      <x:c r="Z394" s="55" t="n">
        <x:v>3893</x:v>
      </x:c>
      <x:c r="AA394" s="55" t="n">
        <x:v>2766</x:v>
      </x:c>
      <x:c r="AB394" s="55" t="n">
        <x:v>876</x:v>
      </x:c>
      <x:c r="AC394" s="55" t="n">
        <x:v>7930</x:v>
      </x:c>
      <x:c r="AD394" s="55" t="n">
        <x:v>3335</x:v>
      </x:c>
      <x:c r="AE394" s="55" t="n">
        <x:v>10683</x:v>
      </x:c>
      <x:c r="AF394" s="55" t="n">
        <x:v>10588</x:v>
      </x:c>
      <x:c r="AG394" s="55" t="n">
        <x:v>95</x:v>
      </x:c>
      <x:c r="AH394" s="55" t="n">
        <x:v>462</x:v>
      </x:c>
      <x:c r="AI394" s="55" t="n">
        <x:v>10126</x:v>
      </x:c>
      <x:c r="AJ394" s="55" t="n">
        <x:v>263</x:v>
      </x:c>
      <x:c r="AK394" s="55" t="n">
        <x:v>1068</x:v>
      </x:c>
      <x:c r="AL394" s="55" t="n">
        <x:v>1548</x:v>
      </x:c>
      <x:c r="AM394" s="55" t="n">
        <x:v>5151</x:v>
      </x:c>
      <x:c r="AN394" s="55" t="n">
        <x:v>2558</x:v>
      </x:c>
      <x:c r="AO394" s="55" t="n">
        <x:v>0</x:v>
      </x:c>
      <x:c r="AP394" s="55" t="n">
        <x:v>2434</x:v>
      </x:c>
      <x:c r="AQ394" s="55" t="n">
        <x:v>989</x:v>
      </x:c>
    </x:row>
    <x:row r="395">
      <x:c r="A395" s="54" t="str">
        <x:v>T2_CONCORDANT_DOMAIN</x:v>
      </x:c>
      <x:c r="B395" s="54" t="n">
        <x:v>389</x:v>
      </x:c>
      <x:c r="C395" s="54" t="str">
        <x:v>NYC-V2-R01</x:v>
      </x:c>
      <x:c r="D395" s="54" t="str">
        <x:v>V2</x:v>
      </x:c>
      <x:c r="E395" s="54" t="str">
        <x:v>ADMITTED</x:v>
      </x:c>
      <x:c r="F395" s="55" t="n">
        <x:v>30397</x:v>
      </x:c>
      <x:c r="G395" s="55" t="n">
        <x:v>7799</x:v>
      </x:c>
      <x:c r="H395" s="55" t="n">
        <x:v>3108</x:v>
      </x:c>
      <x:c r="I395" s="55" t="n">
        <x:v>1229</x:v>
      </x:c>
      <x:c r="J395" s="55" t="n">
        <x:v>93</x:v>
      </x:c>
      <x:c r="K395" s="55" t="n">
        <x:v>30397</x:v>
      </x:c>
      <x:c r="L395" s="55" t="n">
        <x:v>5375</x:v>
      </x:c>
      <x:c r="M395" s="55" t="n">
        <x:v>1183</x:v>
      </x:c>
      <x:c r="N395" s="55" t="n">
        <x:v>2691</x:v>
      </x:c>
      <x:c r="O395" s="55" t="n">
        <x:v>1501</x:v>
      </x:c>
      <x:c r="P395" s="55" t="n">
        <x:v>879</x:v>
      </x:c>
      <x:c r="Q395" s="55" t="n">
        <x:v>3306</x:v>
      </x:c>
      <x:c r="R395" s="55" t="n">
        <x:v>1710</x:v>
      </x:c>
      <x:c r="S395" s="55" t="n">
        <x:v>3129</x:v>
      </x:c>
      <x:c r="T395" s="55" t="n">
        <x:v>1277</x:v>
      </x:c>
      <x:c r="U395" s="55" t="n">
        <x:v>2508</x:v>
      </x:c>
      <x:c r="V395" s="55" t="n">
        <x:v>10118</x:v>
      </x:c>
      <x:c r="W395" s="55" t="n">
        <x:v>6825</x:v>
      </x:c>
      <x:c r="X395" s="55" t="n">
        <x:v>3293</x:v>
      </x:c>
      <x:c r="Y395" s="55" t="n">
        <x:v>2724</x:v>
      </x:c>
      <x:c r="Z395" s="55" t="n">
        <x:v>3319</x:v>
      </x:c>
      <x:c r="AA395" s="55" t="n">
        <x:v>3087</x:v>
      </x:c>
      <x:c r="AB395" s="55" t="n">
        <x:v>1266</x:v>
      </x:c>
      <x:c r="AC395" s="55" t="n">
        <x:v>7789</x:v>
      </x:c>
      <x:c r="AD395" s="55" t="n">
        <x:v>3032</x:v>
      </x:c>
      <x:c r="AE395" s="55" t="n">
        <x:v>10204</x:v>
      </x:c>
      <x:c r="AF395" s="55" t="n">
        <x:v>10118</x:v>
      </x:c>
      <x:c r="AG395" s="55" t="n">
        <x:v>86</x:v>
      </x:c>
      <x:c r="AH395" s="55" t="n">
        <x:v>375</x:v>
      </x:c>
      <x:c r="AI395" s="55" t="n">
        <x:v>9743</x:v>
      </x:c>
      <x:c r="AJ395" s="55" t="n">
        <x:v>398</x:v>
      </x:c>
      <x:c r="AK395" s="55" t="n">
        <x:v>1030</x:v>
      </x:c>
      <x:c r="AL395" s="55" t="n">
        <x:v>1249</x:v>
      </x:c>
      <x:c r="AM395" s="55" t="n">
        <x:v>5274</x:v>
      </x:c>
      <x:c r="AN395" s="55" t="n">
        <x:v>2167</x:v>
      </x:c>
      <x:c r="AO395" s="55" t="n">
        <x:v>0</x:v>
      </x:c>
      <x:c r="AP395" s="55" t="n">
        <x:v>2054</x:v>
      </x:c>
      <x:c r="AQ395" s="55" t="n">
        <x:v>941</x:v>
      </x:c>
    </x:row>
    <x:row r="396">
      <x:c r="A396" s="54" t="str">
        <x:v>T2_CONCORDANT_DOMAIN</x:v>
      </x:c>
      <x:c r="B396" s="54" t="n">
        <x:v>390</x:v>
      </x:c>
      <x:c r="C396" s="54" t="str">
        <x:v>NYC-V2-R01</x:v>
      </x:c>
      <x:c r="D396" s="54" t="str">
        <x:v>V2</x:v>
      </x:c>
      <x:c r="E396" s="54" t="str">
        <x:v>ADMITTED</x:v>
      </x:c>
      <x:c r="F396" s="55" t="n">
        <x:v>31400</x:v>
      </x:c>
      <x:c r="G396" s="55" t="n">
        <x:v>8240</x:v>
      </x:c>
      <x:c r="H396" s="55" t="n">
        <x:v>3622</x:v>
      </x:c>
      <x:c r="I396" s="55" t="n">
        <x:v>1535</x:v>
      </x:c>
      <x:c r="J396" s="55" t="n">
        <x:v>183</x:v>
      </x:c>
      <x:c r="K396" s="55" t="n">
        <x:v>29235</x:v>
      </x:c>
      <x:c r="L396" s="55" t="n">
        <x:v>4705</x:v>
      </x:c>
      <x:c r="M396" s="55" t="n">
        <x:v>825</x:v>
      </x:c>
      <x:c r="N396" s="55" t="n">
        <x:v>2371</x:v>
      </x:c>
      <x:c r="O396" s="55" t="n">
        <x:v>1509</x:v>
      </x:c>
      <x:c r="P396" s="55" t="n">
        <x:v>558</x:v>
      </x:c>
      <x:c r="Q396" s="55" t="n">
        <x:v>1586</x:v>
      </x:c>
      <x:c r="R396" s="55" t="n">
        <x:v>1959</x:v>
      </x:c>
      <x:c r="S396" s="55" t="n">
        <x:v>2601</x:v>
      </x:c>
      <x:c r="T396" s="55" t="n">
        <x:v>1140</x:v>
      </x:c>
      <x:c r="U396" s="55" t="n">
        <x:v>1608</x:v>
      </x:c>
      <x:c r="V396" s="55" t="n">
        <x:v>10262</x:v>
      </x:c>
      <x:c r="W396" s="55" t="n">
        <x:v>7383</x:v>
      </x:c>
      <x:c r="X396" s="55" t="n">
        <x:v>2879</x:v>
      </x:c>
      <x:c r="Y396" s="55" t="n">
        <x:v>2336</x:v>
      </x:c>
      <x:c r="Z396" s="55" t="n">
        <x:v>3684</x:v>
      </x:c>
      <x:c r="AA396" s="55" t="n">
        <x:v>3033</x:v>
      </x:c>
      <x:c r="AB396" s="55" t="n">
        <x:v>1030</x:v>
      </x:c>
      <x:c r="AC396" s="55" t="n">
        <x:v>7663</x:v>
      </x:c>
      <x:c r="AD396" s="55" t="n">
        <x:v>3428</x:v>
      </x:c>
      <x:c r="AE396" s="55" t="n">
        <x:v>10348</x:v>
      </x:c>
      <x:c r="AF396" s="55" t="n">
        <x:v>10262</x:v>
      </x:c>
      <x:c r="AG396" s="55" t="n">
        <x:v>86</x:v>
      </x:c>
      <x:c r="AH396" s="55" t="n">
        <x:v>491</x:v>
      </x:c>
      <x:c r="AI396" s="55" t="n">
        <x:v>9771</x:v>
      </x:c>
      <x:c r="AJ396" s="55" t="n">
        <x:v>303</x:v>
      </x:c>
      <x:c r="AK396" s="55" t="n">
        <x:v>698</x:v>
      </x:c>
      <x:c r="AL396" s="55" t="n">
        <x:v>1677</x:v>
      </x:c>
      <x:c r="AM396" s="55" t="n">
        <x:v>4961</x:v>
      </x:c>
      <x:c r="AN396" s="55" t="n">
        <x:v>2623</x:v>
      </x:c>
      <x:c r="AO396" s="55" t="n">
        <x:v>0</x:v>
      </x:c>
      <x:c r="AP396" s="55" t="n">
        <x:v>2226</x:v>
      </x:c>
      <x:c r="AQ396" s="55" t="n">
        <x:v>985</x:v>
      </x:c>
    </x:row>
    <x:row r="397">
      <x:c r="A397" s="54" t="str">
        <x:v>T2_CONCORDANT_DOMAIN</x:v>
      </x:c>
      <x:c r="B397" s="54" t="n">
        <x:v>391</x:v>
      </x:c>
      <x:c r="C397" s="54" t="str">
        <x:v>NYC-V2-R01</x:v>
      </x:c>
      <x:c r="D397" s="54" t="str">
        <x:v>V2</x:v>
      </x:c>
      <x:c r="E397" s="54" t="str">
        <x:v>ADMITTED</x:v>
      </x:c>
      <x:c r="F397" s="55" t="n">
        <x:v>31374</x:v>
      </x:c>
      <x:c r="G397" s="55" t="n">
        <x:v>8848</x:v>
      </x:c>
      <x:c r="H397" s="55" t="n">
        <x:v>3128</x:v>
      </x:c>
      <x:c r="I397" s="55" t="n">
        <x:v>1214</x:v>
      </x:c>
      <x:c r="J397" s="55" t="n">
        <x:v>281</x:v>
      </x:c>
      <x:c r="K397" s="55" t="n">
        <x:v>27902</x:v>
      </x:c>
      <x:c r="L397" s="55" t="n">
        <x:v>4814</x:v>
      </x:c>
      <x:c r="M397" s="55" t="n">
        <x:v>0</x:v>
      </x:c>
      <x:c r="N397" s="55" t="n">
        <x:v>2945</x:v>
      </x:c>
      <x:c r="O397" s="55" t="n">
        <x:v>1869</x:v>
      </x:c>
      <x:c r="P397" s="55" t="n">
        <x:v>983</x:v>
      </x:c>
      <x:c r="Q397" s="55" t="n">
        <x:v>2867</x:v>
      </x:c>
      <x:c r="R397" s="55" t="n">
        <x:v>2483</x:v>
      </x:c>
      <x:c r="S397" s="55" t="n">
        <x:v>2869</x:v>
      </x:c>
      <x:c r="T397" s="55" t="n">
        <x:v>1066</x:v>
      </x:c>
      <x:c r="U397" s="55" t="n">
        <x:v>1827</x:v>
      </x:c>
      <x:c r="V397" s="55" t="n">
        <x:v>10738</x:v>
      </x:c>
      <x:c r="W397" s="55" t="n">
        <x:v>7566</x:v>
      </x:c>
      <x:c r="X397" s="55" t="n">
        <x:v>3172</x:v>
      </x:c>
      <x:c r="Y397" s="55" t="n">
        <x:v>2649</x:v>
      </x:c>
      <x:c r="Z397" s="55" t="n">
        <x:v>3921</x:v>
      </x:c>
      <x:c r="AA397" s="55" t="n">
        <x:v>3128</x:v>
      </x:c>
      <x:c r="AB397" s="55" t="n">
        <x:v>1013</x:v>
      </x:c>
      <x:c r="AC397" s="55" t="n">
        <x:v>8156</x:v>
      </x:c>
      <x:c r="AD397" s="55" t="n">
        <x:v>2969</x:v>
      </x:c>
      <x:c r="AE397" s="55" t="n">
        <x:v>10867</x:v>
      </x:c>
      <x:c r="AF397" s="55" t="n">
        <x:v>10738</x:v>
      </x:c>
      <x:c r="AG397" s="55" t="n">
        <x:v>129</x:v>
      </x:c>
      <x:c r="AH397" s="55" t="n">
        <x:v>465</x:v>
      </x:c>
      <x:c r="AI397" s="55" t="n">
        <x:v>10273</x:v>
      </x:c>
      <x:c r="AJ397" s="55" t="n">
        <x:v>302</x:v>
      </x:c>
      <x:c r="AK397" s="55" t="n">
        <x:v>1437</x:v>
      </x:c>
      <x:c r="AL397" s="55" t="n">
        <x:v>1465</x:v>
      </x:c>
      <x:c r="AM397" s="55" t="n">
        <x:v>4644</x:v>
      </x:c>
      <x:c r="AN397" s="55" t="n">
        <x:v>2886</x:v>
      </x:c>
      <x:c r="AO397" s="55" t="n">
        <x:v>4</x:v>
      </x:c>
      <x:c r="AP397" s="55" t="n">
        <x:v>2528</x:v>
      </x:c>
      <x:c r="AQ397" s="55" t="n">
        <x:v>1030</x:v>
      </x:c>
    </x:row>
    <x:row r="398">
      <x:c r="A398" s="54" t="str">
        <x:v>T2_CONCORDANT_DOMAIN</x:v>
      </x:c>
      <x:c r="B398" s="54" t="n">
        <x:v>392</x:v>
      </x:c>
      <x:c r="C398" s="54" t="str">
        <x:v>NYC-V2-R01</x:v>
      </x:c>
      <x:c r="D398" s="54" t="str">
        <x:v>V2</x:v>
      </x:c>
      <x:c r="E398" s="54" t="str">
        <x:v>ADMITTED</x:v>
      </x:c>
      <x:c r="F398" s="55" t="n">
        <x:v>31726</x:v>
      </x:c>
      <x:c r="G398" s="55" t="n">
        <x:v>8934</x:v>
      </x:c>
      <x:c r="H398" s="55" t="n">
        <x:v>3363</x:v>
      </x:c>
      <x:c r="I398" s="55" t="n">
        <x:v>1298</x:v>
      </x:c>
      <x:c r="J398" s="55" t="n">
        <x:v>199</x:v>
      </x:c>
      <x:c r="K398" s="55" t="n">
        <x:v>28700</x:v>
      </x:c>
      <x:c r="L398" s="55" t="n">
        <x:v>4232</x:v>
      </x:c>
      <x:c r="M398" s="55" t="n">
        <x:v>343</x:v>
      </x:c>
      <x:c r="N398" s="55" t="n">
        <x:v>2237</x:v>
      </x:c>
      <x:c r="O398" s="55" t="n">
        <x:v>1652</x:v>
      </x:c>
      <x:c r="P398" s="55" t="n">
        <x:v>320</x:v>
      </x:c>
      <x:c r="Q398" s="55" t="n">
        <x:v>2601</x:v>
      </x:c>
      <x:c r="R398" s="55" t="n">
        <x:v>1580</x:v>
      </x:c>
      <x:c r="S398" s="55" t="n">
        <x:v>2313</x:v>
      </x:c>
      <x:c r="T398" s="55" t="n">
        <x:v>1225</x:v>
      </x:c>
      <x:c r="U398" s="55" t="n">
        <x:v>1762</x:v>
      </x:c>
      <x:c r="V398" s="55" t="n">
        <x:v>10491</x:v>
      </x:c>
      <x:c r="W398" s="55" t="n">
        <x:v>7452</x:v>
      </x:c>
      <x:c r="X398" s="55" t="n">
        <x:v>3039</x:v>
      </x:c>
      <x:c r="Y398" s="55" t="n">
        <x:v>2594</x:v>
      </x:c>
      <x:c r="Z398" s="55" t="n">
        <x:v>3906</x:v>
      </x:c>
      <x:c r="AA398" s="55" t="n">
        <x:v>3363</x:v>
      </x:c>
      <x:c r="AB398" s="55" t="n">
        <x:v>1183</x:v>
      </x:c>
      <x:c r="AC398" s="55" t="n">
        <x:v>8071</x:v>
      </x:c>
      <x:c r="AD398" s="55" t="n">
        <x:v>2465</x:v>
      </x:c>
      <x:c r="AE398" s="55" t="n">
        <x:v>10601</x:v>
      </x:c>
      <x:c r="AF398" s="55" t="n">
        <x:v>10491</x:v>
      </x:c>
      <x:c r="AG398" s="55" t="n">
        <x:v>110</x:v>
      </x:c>
      <x:c r="AH398" s="55" t="n">
        <x:v>463</x:v>
      </x:c>
      <x:c r="AI398" s="55" t="n">
        <x:v>10028</x:v>
      </x:c>
      <x:c r="AJ398" s="55" t="n">
        <x:v>218</x:v>
      </x:c>
      <x:c r="AK398" s="55" t="n">
        <x:v>662</x:v>
      </x:c>
      <x:c r="AL398" s="55" t="n">
        <x:v>1511</x:v>
      </x:c>
      <x:c r="AM398" s="55" t="n">
        <x:v>5161</x:v>
      </x:c>
      <x:c r="AN398" s="55" t="n">
        <x:v>2939</x:v>
      </x:c>
      <x:c r="AO398" s="55" t="n">
        <x:v>0</x:v>
      </x:c>
      <x:c r="AP398" s="55" t="n">
        <x:v>2621</x:v>
      </x:c>
      <x:c r="AQ398" s="55" t="n">
        <x:v>978</x:v>
      </x:c>
    </x:row>
    <x:row r="399">
      <x:c r="A399" s="54" t="str">
        <x:v>T2_CONCORDANT_DOMAIN</x:v>
      </x:c>
      <x:c r="B399" s="54" t="n">
        <x:v>393</x:v>
      </x:c>
      <x:c r="C399" s="54" t="str">
        <x:v>NYC-V2-R01</x:v>
      </x:c>
      <x:c r="D399" s="54" t="str">
        <x:v>V2</x:v>
      </x:c>
      <x:c r="E399" s="54" t="str">
        <x:v>ADMITTED</x:v>
      </x:c>
      <x:c r="F399" s="55" t="n">
        <x:v>28602</x:v>
      </x:c>
      <x:c r="G399" s="55" t="n">
        <x:v>7009</x:v>
      </x:c>
      <x:c r="H399" s="55" t="n">
        <x:v>2993</x:v>
      </x:c>
      <x:c r="I399" s="55" t="n">
        <x:v>775</x:v>
      </x:c>
      <x:c r="J399" s="55" t="n">
        <x:v>0</x:v>
      </x:c>
      <x:c r="K399" s="55" t="n">
        <x:v>28602</x:v>
      </x:c>
      <x:c r="L399" s="55" t="n">
        <x:v>4507</x:v>
      </x:c>
      <x:c r="M399" s="55" t="n">
        <x:v>148</x:v>
      </x:c>
      <x:c r="N399" s="55" t="n">
        <x:v>2742</x:v>
      </x:c>
      <x:c r="O399" s="55" t="n">
        <x:v>1617</x:v>
      </x:c>
      <x:c r="P399" s="55" t="n">
        <x:v>606</x:v>
      </x:c>
      <x:c r="Q399" s="55" t="n">
        <x:v>1938</x:v>
      </x:c>
      <x:c r="R399" s="55" t="n">
        <x:v>1425</x:v>
      </x:c>
      <x:c r="S399" s="55" t="n">
        <x:v>1756</x:v>
      </x:c>
      <x:c r="T399" s="55" t="n">
        <x:v>1271</x:v>
      </x:c>
      <x:c r="U399" s="55" t="n">
        <x:v>1785</x:v>
      </x:c>
      <x:c r="V399" s="55" t="n">
        <x:v>10388</x:v>
      </x:c>
      <x:c r="W399" s="55" t="n">
        <x:v>7304</x:v>
      </x:c>
      <x:c r="X399" s="55" t="n">
        <x:v>3084</x:v>
      </x:c>
      <x:c r="Y399" s="55" t="n">
        <x:v>2687</x:v>
      </x:c>
      <x:c r="Z399" s="55" t="n">
        <x:v>4050</x:v>
      </x:c>
      <x:c r="AA399" s="55" t="n">
        <x:v>2993</x:v>
      </x:c>
      <x:c r="AB399" s="55" t="n">
        <x:v>1015</x:v>
      </x:c>
      <x:c r="AC399" s="55" t="n">
        <x:v>7932</x:v>
      </x:c>
      <x:c r="AD399" s="55" t="n">
        <x:v>2637</x:v>
      </x:c>
      <x:c r="AE399" s="55" t="n">
        <x:v>10427</x:v>
      </x:c>
      <x:c r="AF399" s="55" t="n">
        <x:v>10388</x:v>
      </x:c>
      <x:c r="AG399" s="55" t="n">
        <x:v>39</x:v>
      </x:c>
      <x:c r="AH399" s="55" t="n">
        <x:v>520</x:v>
      </x:c>
      <x:c r="AI399" s="55" t="n">
        <x:v>9868</x:v>
      </x:c>
      <x:c r="AJ399" s="55" t="n">
        <x:v>200</x:v>
      </x:c>
      <x:c r="AK399" s="55" t="n">
        <x:v>1045</x:v>
      </x:c>
      <x:c r="AL399" s="55" t="n">
        <x:v>1613</x:v>
      </x:c>
      <x:c r="AM399" s="55" t="n">
        <x:v>4839</x:v>
      </x:c>
      <x:c r="AN399" s="55" t="n">
        <x:v>2691</x:v>
      </x:c>
      <x:c r="AO399" s="55" t="n">
        <x:v>0</x:v>
      </x:c>
      <x:c r="AP399" s="55" t="n">
        <x:v>1961</x:v>
      </x:c>
      <x:c r="AQ399" s="55" t="n">
        <x:v>933</x:v>
      </x:c>
    </x:row>
    <x:row r="400">
      <x:c r="A400" s="54" t="str">
        <x:v>T2_CONCORDANT_DOMAIN</x:v>
      </x:c>
      <x:c r="B400" s="54" t="n">
        <x:v>394</x:v>
      </x:c>
      <x:c r="C400" s="54" t="str">
        <x:v>NYC-V2-R01</x:v>
      </x:c>
      <x:c r="D400" s="54" t="str">
        <x:v>V2</x:v>
      </x:c>
      <x:c r="E400" s="54" t="str">
        <x:v>ADMITTED</x:v>
      </x:c>
      <x:c r="F400" s="55" t="n">
        <x:v>31762</x:v>
      </x:c>
      <x:c r="G400" s="55" t="n">
        <x:v>8269</x:v>
      </x:c>
      <x:c r="H400" s="55" t="n">
        <x:v>3325</x:v>
      </x:c>
      <x:c r="I400" s="55" t="n">
        <x:v>1655</x:v>
      </x:c>
      <x:c r="J400" s="55" t="n">
        <x:v>270</x:v>
      </x:c>
      <x:c r="K400" s="55" t="n">
        <x:v>31762</x:v>
      </x:c>
      <x:c r="L400" s="55" t="n">
        <x:v>6491</x:v>
      </x:c>
      <x:c r="M400" s="55" t="n">
        <x:v>1729</x:v>
      </x:c>
      <x:c r="N400" s="55" t="n">
        <x:v>3091</x:v>
      </x:c>
      <x:c r="O400" s="55" t="n">
        <x:v>1671</x:v>
      </x:c>
      <x:c r="P400" s="55" t="n">
        <x:v>857</x:v>
      </x:c>
      <x:c r="Q400" s="55" t="n">
        <x:v>2300</x:v>
      </x:c>
      <x:c r="R400" s="55" t="n">
        <x:v>2135</x:v>
      </x:c>
      <x:c r="S400" s="55" t="n">
        <x:v>3235</x:v>
      </x:c>
      <x:c r="T400" s="55" t="n">
        <x:v>1172</x:v>
      </x:c>
      <x:c r="U400" s="55" t="n">
        <x:v>2654</x:v>
      </x:c>
      <x:c r="V400" s="55" t="n">
        <x:v>10727</x:v>
      </x:c>
      <x:c r="W400" s="55" t="n">
        <x:v>7757</x:v>
      </x:c>
      <x:c r="X400" s="55" t="n">
        <x:v>2970</x:v>
      </x:c>
      <x:c r="Y400" s="55" t="n">
        <x:v>2567</x:v>
      </x:c>
      <x:c r="Z400" s="55" t="n">
        <x:v>3763</x:v>
      </x:c>
      <x:c r="AA400" s="55" t="n">
        <x:v>3321</x:v>
      </x:c>
      <x:c r="AB400" s="55" t="n">
        <x:v>1403</x:v>
      </x:c>
      <x:c r="AC400" s="55" t="n">
        <x:v>7840</x:v>
      </x:c>
      <x:c r="AD400" s="55" t="n">
        <x:v>3118</x:v>
      </x:c>
      <x:c r="AE400" s="55" t="n">
        <x:v>10787</x:v>
      </x:c>
      <x:c r="AF400" s="55" t="n">
        <x:v>10727</x:v>
      </x:c>
      <x:c r="AG400" s="55" t="n">
        <x:v>60</x:v>
      </x:c>
      <x:c r="AH400" s="55" t="n">
        <x:v>642</x:v>
      </x:c>
      <x:c r="AI400" s="55" t="n">
        <x:v>10085</x:v>
      </x:c>
      <x:c r="AJ400" s="55" t="n">
        <x:v>229</x:v>
      </x:c>
      <x:c r="AK400" s="55" t="n">
        <x:v>1277</x:v>
      </x:c>
      <x:c r="AL400" s="55" t="n">
        <x:v>1717</x:v>
      </x:c>
      <x:c r="AM400" s="55" t="n">
        <x:v>4470</x:v>
      </x:c>
      <x:c r="AN400" s="55" t="n">
        <x:v>2942</x:v>
      </x:c>
      <x:c r="AO400" s="55" t="n">
        <x:v>92</x:v>
      </x:c>
      <x:c r="AP400" s="55" t="n">
        <x:v>2513</x:v>
      </x:c>
      <x:c r="AQ400" s="55" t="n">
        <x:v>980</x:v>
      </x:c>
    </x:row>
    <x:row r="401">
      <x:c r="A401" s="54" t="str">
        <x:v>T2_CONCORDANT_DOMAIN</x:v>
      </x:c>
      <x:c r="B401" s="54" t="n">
        <x:v>395</x:v>
      </x:c>
      <x:c r="C401" s="54" t="str">
        <x:v>NYC-V2-R01</x:v>
      </x:c>
      <x:c r="D401" s="54" t="str">
        <x:v>V2</x:v>
      </x:c>
      <x:c r="E401" s="54" t="str">
        <x:v>ADMITTED</x:v>
      </x:c>
      <x:c r="F401" s="55" t="n">
        <x:v>30710</x:v>
      </x:c>
      <x:c r="G401" s="55" t="n">
        <x:v>6832</x:v>
      </x:c>
      <x:c r="H401" s="55" t="n">
        <x:v>2997</x:v>
      </x:c>
      <x:c r="I401" s="55" t="n">
        <x:v>708</x:v>
      </x:c>
      <x:c r="J401" s="55" t="n">
        <x:v>0</x:v>
      </x:c>
      <x:c r="K401" s="55" t="n">
        <x:v>30710</x:v>
      </x:c>
      <x:c r="L401" s="55" t="n">
        <x:v>5520</x:v>
      </x:c>
      <x:c r="M401" s="55" t="n">
        <x:v>1087</x:v>
      </x:c>
      <x:c r="N401" s="55" t="n">
        <x:v>2916</x:v>
      </x:c>
      <x:c r="O401" s="55" t="n">
        <x:v>1517</x:v>
      </x:c>
      <x:c r="P401" s="55" t="n">
        <x:v>806</x:v>
      </x:c>
      <x:c r="Q401" s="55" t="n">
        <x:v>2365</x:v>
      </x:c>
      <x:c r="R401" s="55" t="n">
        <x:v>1103</x:v>
      </x:c>
      <x:c r="S401" s="55" t="n">
        <x:v>2269</x:v>
      </x:c>
      <x:c r="T401" s="55" t="n">
        <x:v>1101</x:v>
      </x:c>
      <x:c r="U401" s="55" t="n">
        <x:v>1957</x:v>
      </x:c>
      <x:c r="V401" s="55" t="n">
        <x:v>10792</x:v>
      </x:c>
      <x:c r="W401" s="55" t="n">
        <x:v>7850</x:v>
      </x:c>
      <x:c r="X401" s="55" t="n">
        <x:v>2942</x:v>
      </x:c>
      <x:c r="Y401" s="55" t="n">
        <x:v>2415</x:v>
      </x:c>
      <x:c r="Z401" s="55" t="n">
        <x:v>3710</x:v>
      </x:c>
      <x:c r="AA401" s="55" t="n">
        <x:v>2872</x:v>
      </x:c>
      <x:c r="AB401" s="55" t="n">
        <x:v>971</x:v>
      </x:c>
      <x:c r="AC401" s="55" t="n">
        <x:v>7833</x:v>
      </x:c>
      <x:c r="AD401" s="55" t="n">
        <x:v>2832</x:v>
      </x:c>
      <x:c r="AE401" s="55" t="n">
        <x:v>10810</x:v>
      </x:c>
      <x:c r="AF401" s="55" t="n">
        <x:v>10792</x:v>
      </x:c>
      <x:c r="AG401" s="55" t="n">
        <x:v>18</x:v>
      </x:c>
      <x:c r="AH401" s="55" t="n">
        <x:v>580</x:v>
      </x:c>
      <x:c r="AI401" s="55" t="n">
        <x:v>10212</x:v>
      </x:c>
      <x:c r="AJ401" s="55" t="n">
        <x:v>343</x:v>
      </x:c>
      <x:c r="AK401" s="55" t="n">
        <x:v>1130</x:v>
      </x:c>
      <x:c r="AL401" s="55" t="n">
        <x:v>1850</x:v>
      </x:c>
      <x:c r="AM401" s="55" t="n">
        <x:v>5051</x:v>
      </x:c>
      <x:c r="AN401" s="55" t="n">
        <x:v>2392</x:v>
      </x:c>
      <x:c r="AO401" s="55" t="n">
        <x:v>26</x:v>
      </x:c>
      <x:c r="AP401" s="55" t="n">
        <x:v>2270</x:v>
      </x:c>
      <x:c r="AQ401" s="55" t="n">
        <x:v>922</x:v>
      </x:c>
    </x:row>
    <x:row r="402">
      <x:c r="A402" s="54" t="str">
        <x:v>T2_CONCORDANT_DOMAIN</x:v>
      </x:c>
      <x:c r="B402" s="54" t="n">
        <x:v>396</x:v>
      </x:c>
      <x:c r="C402" s="54" t="str">
        <x:v>NYC-V2-R01</x:v>
      </x:c>
      <x:c r="D402" s="54" t="str">
        <x:v>V2</x:v>
      </x:c>
      <x:c r="E402" s="54" t="str">
        <x:v>ADMITTED</x:v>
      </x:c>
      <x:c r="F402" s="55" t="n">
        <x:v>31051</x:v>
      </x:c>
      <x:c r="G402" s="55" t="n">
        <x:v>8594</x:v>
      </x:c>
      <x:c r="H402" s="55" t="n">
        <x:v>3431</x:v>
      </x:c>
      <x:c r="I402" s="55" t="n">
        <x:v>1636</x:v>
      </x:c>
      <x:c r="J402" s="55" t="n">
        <x:v>393</x:v>
      </x:c>
      <x:c r="K402" s="55" t="n">
        <x:v>30597</x:v>
      </x:c>
      <x:c r="L402" s="55" t="n">
        <x:v>6152</x:v>
      </x:c>
      <x:c r="M402" s="55" t="n">
        <x:v>1244</x:v>
      </x:c>
      <x:c r="N402" s="55" t="n">
        <x:v>2920</x:v>
      </x:c>
      <x:c r="O402" s="55" t="n">
        <x:v>1988</x:v>
      </x:c>
      <x:c r="P402" s="55" t="n">
        <x:v>928</x:v>
      </x:c>
      <x:c r="Q402" s="55" t="n">
        <x:v>2266</x:v>
      </x:c>
      <x:c r="R402" s="55" t="n">
        <x:v>1480</x:v>
      </x:c>
      <x:c r="S402" s="55" t="n">
        <x:v>2941</x:v>
      </x:c>
      <x:c r="T402" s="55" t="n">
        <x:v>1109</x:v>
      </x:c>
      <x:c r="U402" s="55" t="n">
        <x:v>1973</x:v>
      </x:c>
      <x:c r="V402" s="55" t="n">
        <x:v>10616</x:v>
      </x:c>
      <x:c r="W402" s="55" t="n">
        <x:v>7413</x:v>
      </x:c>
      <x:c r="X402" s="55" t="n">
        <x:v>3203</x:v>
      </x:c>
      <x:c r="Y402" s="55" t="n">
        <x:v>2836</x:v>
      </x:c>
      <x:c r="Z402" s="55" t="n">
        <x:v>3664</x:v>
      </x:c>
      <x:c r="AA402" s="55" t="n">
        <x:v>3262</x:v>
      </x:c>
      <x:c r="AB402" s="55" t="n">
        <x:v>1176</x:v>
      </x:c>
      <x:c r="AC402" s="55" t="n">
        <x:v>8007</x:v>
      </x:c>
      <x:c r="AD402" s="55" t="n">
        <x:v>2658</x:v>
      </x:c>
      <x:c r="AE402" s="55" t="n">
        <x:v>10786</x:v>
      </x:c>
      <x:c r="AF402" s="55" t="n">
        <x:v>10616</x:v>
      </x:c>
      <x:c r="AG402" s="55" t="n">
        <x:v>170</x:v>
      </x:c>
      <x:c r="AH402" s="55" t="n">
        <x:v>451</x:v>
      </x:c>
      <x:c r="AI402" s="55" t="n">
        <x:v>10165</x:v>
      </x:c>
      <x:c r="AJ402" s="55" t="n">
        <x:v>516</x:v>
      </x:c>
      <x:c r="AK402" s="55" t="n">
        <x:v>906</x:v>
      </x:c>
      <x:c r="AL402" s="55" t="n">
        <x:v>1619</x:v>
      </x:c>
      <x:c r="AM402" s="55" t="n">
        <x:v>4882</x:v>
      </x:c>
      <x:c r="AN402" s="55" t="n">
        <x:v>2653</x:v>
      </x:c>
      <x:c r="AO402" s="55" t="n">
        <x:v>40</x:v>
      </x:c>
      <x:c r="AP402" s="55" t="n">
        <x:v>2266</x:v>
      </x:c>
      <x:c r="AQ402" s="55" t="n">
        <x:v>976</x:v>
      </x:c>
    </x:row>
    <x:row r="403">
      <x:c r="A403" s="54" t="str">
        <x:v>T2_CONCORDANT_DOMAIN</x:v>
      </x:c>
      <x:c r="B403" s="54" t="n">
        <x:v>397</x:v>
      </x:c>
      <x:c r="C403" s="54" t="str">
        <x:v>NYC-V2-R01</x:v>
      </x:c>
      <x:c r="D403" s="54" t="str">
        <x:v>V2</x:v>
      </x:c>
      <x:c r="E403" s="54" t="str">
        <x:v>ADMITTED</x:v>
      </x:c>
      <x:c r="F403" s="55" t="n">
        <x:v>33178</x:v>
      </x:c>
      <x:c r="G403" s="55" t="n">
        <x:v>8609</x:v>
      </x:c>
      <x:c r="H403" s="55" t="n">
        <x:v>3746</x:v>
      </x:c>
      <x:c r="I403" s="55" t="n">
        <x:v>1764</x:v>
      </x:c>
      <x:c r="J403" s="55" t="n">
        <x:v>451</x:v>
      </x:c>
      <x:c r="K403" s="55" t="n">
        <x:v>31884</x:v>
      </x:c>
      <x:c r="L403" s="55" t="n">
        <x:v>6438</x:v>
      </x:c>
      <x:c r="M403" s="55" t="n">
        <x:v>1727</x:v>
      </x:c>
      <x:c r="N403" s="55" t="n">
        <x:v>2990</x:v>
      </x:c>
      <x:c r="O403" s="55" t="n">
        <x:v>1721</x:v>
      </x:c>
      <x:c r="P403" s="55" t="n">
        <x:v>613</x:v>
      </x:c>
      <x:c r="Q403" s="55" t="n">
        <x:v>1798</x:v>
      </x:c>
      <x:c r="R403" s="55" t="n">
        <x:v>1777</x:v>
      </x:c>
      <x:c r="S403" s="55" t="n">
        <x:v>2681</x:v>
      </x:c>
      <x:c r="T403" s="55" t="n">
        <x:v>1228</x:v>
      </x:c>
      <x:c r="U403" s="55" t="n">
        <x:v>2174</x:v>
      </x:c>
      <x:c r="V403" s="55" t="n">
        <x:v>10468</x:v>
      </x:c>
      <x:c r="W403" s="55" t="n">
        <x:v>7200</x:v>
      </x:c>
      <x:c r="X403" s="55" t="n">
        <x:v>3268</x:v>
      </x:c>
      <x:c r="Y403" s="55" t="n">
        <x:v>2831</x:v>
      </x:c>
      <x:c r="Z403" s="55" t="n">
        <x:v>4020</x:v>
      </x:c>
      <x:c r="AA403" s="55" t="n">
        <x:v>3186</x:v>
      </x:c>
      <x:c r="AB403" s="55" t="n">
        <x:v>1291</x:v>
      </x:c>
      <x:c r="AC403" s="55" t="n">
        <x:v>8206</x:v>
      </x:c>
      <x:c r="AD403" s="55" t="n">
        <x:v>3318</x:v>
      </x:c>
      <x:c r="AE403" s="55" t="n">
        <x:v>10569</x:v>
      </x:c>
      <x:c r="AF403" s="55" t="n">
        <x:v>10468</x:v>
      </x:c>
      <x:c r="AG403" s="55" t="n">
        <x:v>101</x:v>
      </x:c>
      <x:c r="AH403" s="55" t="n">
        <x:v>621</x:v>
      </x:c>
      <x:c r="AI403" s="55" t="n">
        <x:v>9847</x:v>
      </x:c>
      <x:c r="AJ403" s="55" t="n">
        <x:v>621</x:v>
      </x:c>
      <x:c r="AK403" s="55" t="n">
        <x:v>1061</x:v>
      </x:c>
      <x:c r="AL403" s="55" t="n">
        <x:v>1667</x:v>
      </x:c>
      <x:c r="AM403" s="55" t="n">
        <x:v>4658</x:v>
      </x:c>
      <x:c r="AN403" s="55" t="n">
        <x:v>2373</x:v>
      </x:c>
      <x:c r="AO403" s="55" t="n">
        <x:v>88</x:v>
      </x:c>
      <x:c r="AP403" s="55" t="n">
        <x:v>2512</x:v>
      </x:c>
      <x:c r="AQ403" s="55" t="n">
        <x:v>945</x:v>
      </x:c>
    </x:row>
    <x:row r="404">
      <x:c r="A404" s="54" t="str">
        <x:v>T2_CONCORDANT_DOMAIN</x:v>
      </x:c>
      <x:c r="B404" s="54" t="n">
        <x:v>398</x:v>
      </x:c>
      <x:c r="C404" s="54" t="str">
        <x:v>NYC-V2-R01</x:v>
      </x:c>
      <x:c r="D404" s="54" t="str">
        <x:v>V2</x:v>
      </x:c>
      <x:c r="E404" s="54" t="str">
        <x:v>ADMITTED</x:v>
      </x:c>
      <x:c r="F404" s="55" t="n">
        <x:v>31762</x:v>
      </x:c>
      <x:c r="G404" s="55" t="n">
        <x:v>8117</x:v>
      </x:c>
      <x:c r="H404" s="55" t="n">
        <x:v>3056</x:v>
      </x:c>
      <x:c r="I404" s="55" t="n">
        <x:v>1342</x:v>
      </x:c>
      <x:c r="J404" s="55" t="n">
        <x:v>166</x:v>
      </x:c>
      <x:c r="K404" s="55" t="n">
        <x:v>31762</x:v>
      </x:c>
      <x:c r="L404" s="55" t="n">
        <x:v>7476</x:v>
      </x:c>
      <x:c r="M404" s="55" t="n">
        <x:v>2065</x:v>
      </x:c>
      <x:c r="N404" s="55" t="n">
        <x:v>3125</x:v>
      </x:c>
      <x:c r="O404" s="55" t="n">
        <x:v>2286</x:v>
      </x:c>
      <x:c r="P404" s="55" t="n">
        <x:v>907</x:v>
      </x:c>
      <x:c r="Q404" s="55" t="n">
        <x:v>2874</x:v>
      </x:c>
      <x:c r="R404" s="55" t="n">
        <x:v>1840</x:v>
      </x:c>
      <x:c r="S404" s="55" t="n">
        <x:v>3313</x:v>
      </x:c>
      <x:c r="T404" s="55" t="n">
        <x:v>1773</x:v>
      </x:c>
      <x:c r="U404" s="55" t="n">
        <x:v>2895</x:v>
      </x:c>
      <x:c r="V404" s="55" t="n">
        <x:v>10377</x:v>
      </x:c>
      <x:c r="W404" s="55" t="n">
        <x:v>7388</x:v>
      </x:c>
      <x:c r="X404" s="55" t="n">
        <x:v>2989</x:v>
      </x:c>
      <x:c r="Y404" s="55" t="n">
        <x:v>2685</x:v>
      </x:c>
      <x:c r="Z404" s="55" t="n">
        <x:v>3675</x:v>
      </x:c>
      <x:c r="AA404" s="55" t="n">
        <x:v>2684</x:v>
      </x:c>
      <x:c r="AB404" s="55" t="n">
        <x:v>1196</x:v>
      </x:c>
      <x:c r="AC404" s="55" t="n">
        <x:v>7757</x:v>
      </x:c>
      <x:c r="AD404" s="55" t="n">
        <x:v>2257</x:v>
      </x:c>
      <x:c r="AE404" s="55" t="n">
        <x:v>10438</x:v>
      </x:c>
      <x:c r="AF404" s="55" t="n">
        <x:v>10377</x:v>
      </x:c>
      <x:c r="AG404" s="55" t="n">
        <x:v>61</x:v>
      </x:c>
      <x:c r="AH404" s="55" t="n">
        <x:v>556</x:v>
      </x:c>
      <x:c r="AI404" s="55" t="n">
        <x:v>9821</x:v>
      </x:c>
      <x:c r="AJ404" s="55" t="n">
        <x:v>431</x:v>
      </x:c>
      <x:c r="AK404" s="55" t="n">
        <x:v>1086</x:v>
      </x:c>
      <x:c r="AL404" s="55" t="n">
        <x:v>1361</x:v>
      </x:c>
      <x:c r="AM404" s="55" t="n">
        <x:v>5048</x:v>
      </x:c>
      <x:c r="AN404" s="55" t="n">
        <x:v>2436</x:v>
      </x:c>
      <x:c r="AO404" s="55" t="n">
        <x:v>15</x:v>
      </x:c>
      <x:c r="AP404" s="55" t="n">
        <x:v>2448</x:v>
      </x:c>
      <x:c r="AQ404" s="55" t="n">
        <x:v>986</x:v>
      </x:c>
    </x:row>
    <x:row r="405">
      <x:c r="A405" s="54" t="str">
        <x:v>T2_CONCORDANT_DOMAIN</x:v>
      </x:c>
      <x:c r="B405" s="54" t="n">
        <x:v>399</x:v>
      </x:c>
      <x:c r="C405" s="54" t="str">
        <x:v>NYC-V2-R01</x:v>
      </x:c>
      <x:c r="D405" s="54" t="str">
        <x:v>V2</x:v>
      </x:c>
      <x:c r="E405" s="54" t="str">
        <x:v>ADMITTED</x:v>
      </x:c>
      <x:c r="F405" s="55" t="n">
        <x:v>33383</x:v>
      </x:c>
      <x:c r="G405" s="55" t="n">
        <x:v>9520</x:v>
      </x:c>
      <x:c r="H405" s="55" t="n">
        <x:v>3386</x:v>
      </x:c>
      <x:c r="I405" s="55" t="n">
        <x:v>1490</x:v>
      </x:c>
      <x:c r="J405" s="55" t="n">
        <x:v>275</x:v>
      </x:c>
      <x:c r="K405" s="55" t="n">
        <x:v>30320</x:v>
      </x:c>
      <x:c r="L405" s="55" t="n">
        <x:v>7394</x:v>
      </x:c>
      <x:c r="M405" s="55" t="n">
        <x:v>2389</x:v>
      </x:c>
      <x:c r="N405" s="55" t="n">
        <x:v>3349</x:v>
      </x:c>
      <x:c r="O405" s="55" t="n">
        <x:v>1656</x:v>
      </x:c>
      <x:c r="P405" s="55" t="n">
        <x:v>666</x:v>
      </x:c>
      <x:c r="Q405" s="55" t="n">
        <x:v>3020</x:v>
      </x:c>
      <x:c r="R405" s="55" t="n">
        <x:v>2015</x:v>
      </x:c>
      <x:c r="S405" s="55" t="n">
        <x:v>3678</x:v>
      </x:c>
      <x:c r="T405" s="55" t="n">
        <x:v>1258</x:v>
      </x:c>
      <x:c r="U405" s="55" t="n">
        <x:v>2431</x:v>
      </x:c>
      <x:c r="V405" s="55" t="n">
        <x:v>10536</x:v>
      </x:c>
      <x:c r="W405" s="55" t="n">
        <x:v>7162</x:v>
      </x:c>
      <x:c r="X405" s="55" t="n">
        <x:v>3374</x:v>
      </x:c>
      <x:c r="Y405" s="55" t="n">
        <x:v>3003</x:v>
      </x:c>
      <x:c r="Z405" s="55" t="n">
        <x:v>3766</x:v>
      </x:c>
      <x:c r="AA405" s="55" t="n">
        <x:v>3386</x:v>
      </x:c>
      <x:c r="AB405" s="55" t="n">
        <x:v>1236</x:v>
      </x:c>
      <x:c r="AC405" s="55" t="n">
        <x:v>8359</x:v>
      </x:c>
      <x:c r="AD405" s="55" t="n">
        <x:v>3239</x:v>
      </x:c>
      <x:c r="AE405" s="55" t="n">
        <x:v>10660</x:v>
      </x:c>
      <x:c r="AF405" s="55" t="n">
        <x:v>10536</x:v>
      </x:c>
      <x:c r="AG405" s="55" t="n">
        <x:v>124</x:v>
      </x:c>
      <x:c r="AH405" s="55" t="n">
        <x:v>606</x:v>
      </x:c>
      <x:c r="AI405" s="55" t="n">
        <x:v>9930</x:v>
      </x:c>
      <x:c r="AJ405" s="55" t="n">
        <x:v>403</x:v>
      </x:c>
      <x:c r="AK405" s="55" t="n">
        <x:v>1168</x:v>
      </x:c>
      <x:c r="AL405" s="55" t="n">
        <x:v>1451</x:v>
      </x:c>
      <x:c r="AM405" s="55" t="n">
        <x:v>4895</x:v>
      </x:c>
      <x:c r="AN405" s="55" t="n">
        <x:v>2619</x:v>
      </x:c>
      <x:c r="AO405" s="55" t="n">
        <x:v>0</x:v>
      </x:c>
      <x:c r="AP405" s="55" t="n">
        <x:v>2219</x:v>
      </x:c>
      <x:c r="AQ405" s="55" t="n">
        <x:v>971</x:v>
      </x:c>
    </x:row>
    <x:row r="406">
      <x:c r="A406" s="54" t="str">
        <x:v>T2_CONCORDANT_DOMAIN</x:v>
      </x:c>
      <x:c r="B406" s="54" t="n">
        <x:v>400</x:v>
      </x:c>
      <x:c r="C406" s="54" t="str">
        <x:v>NYC-V2-R01</x:v>
      </x:c>
      <x:c r="D406" s="54" t="str">
        <x:v>V2</x:v>
      </x:c>
      <x:c r="E406" s="54" t="str">
        <x:v>ADMITTED</x:v>
      </x:c>
      <x:c r="F406" s="55" t="n">
        <x:v>31663</x:v>
      </x:c>
      <x:c r="G406" s="55" t="n">
        <x:v>9057</x:v>
      </x:c>
      <x:c r="H406" s="55" t="n">
        <x:v>3141</x:v>
      </x:c>
      <x:c r="I406" s="55" t="n">
        <x:v>1311</x:v>
      </x:c>
      <x:c r="J406" s="55" t="n">
        <x:v>167</x:v>
      </x:c>
      <x:c r="K406" s="55" t="n">
        <x:v>29860</x:v>
      </x:c>
      <x:c r="L406" s="55" t="n">
        <x:v>6168</x:v>
      </x:c>
      <x:c r="M406" s="55" t="n">
        <x:v>1552</x:v>
      </x:c>
      <x:c r="N406" s="55" t="n">
        <x:v>2934</x:v>
      </x:c>
      <x:c r="O406" s="55" t="n">
        <x:v>1682</x:v>
      </x:c>
      <x:c r="P406" s="55" t="n">
        <x:v>1139</x:v>
      </x:c>
      <x:c r="Q406" s="55" t="n">
        <x:v>2521</x:v>
      </x:c>
      <x:c r="R406" s="55" t="n">
        <x:v>2597</x:v>
      </x:c>
      <x:c r="S406" s="55" t="n">
        <x:v>2691</x:v>
      </x:c>
      <x:c r="T406" s="55" t="n">
        <x:v>1299</x:v>
      </x:c>
      <x:c r="U406" s="55" t="n">
        <x:v>2277</x:v>
      </x:c>
      <x:c r="V406" s="55" t="n">
        <x:v>10841</x:v>
      </x:c>
      <x:c r="W406" s="55" t="n">
        <x:v>7338</x:v>
      </x:c>
      <x:c r="X406" s="55" t="n">
        <x:v>3503</x:v>
      </x:c>
      <x:c r="Y406" s="55" t="n">
        <x:v>3227</x:v>
      </x:c>
      <x:c r="Z406" s="55" t="n">
        <x:v>3789</x:v>
      </x:c>
      <x:c r="AA406" s="55" t="n">
        <x:v>3141</x:v>
      </x:c>
      <x:c r="AB406" s="55" t="n">
        <x:v>1142</x:v>
      </x:c>
      <x:c r="AC406" s="55" t="n">
        <x:v>8081</x:v>
      </x:c>
      <x:c r="AD406" s="55" t="n">
        <x:v>3333</x:v>
      </x:c>
      <x:c r="AE406" s="55" t="n">
        <x:v>10978</x:v>
      </x:c>
      <x:c r="AF406" s="55" t="n">
        <x:v>10841</x:v>
      </x:c>
      <x:c r="AG406" s="55" t="n">
        <x:v>137</x:v>
      </x:c>
      <x:c r="AH406" s="55" t="n">
        <x:v>525</x:v>
      </x:c>
      <x:c r="AI406" s="55" t="n">
        <x:v>10316</x:v>
      </x:c>
      <x:c r="AJ406" s="55" t="n">
        <x:v>442</x:v>
      </x:c>
      <x:c r="AK406" s="55" t="n">
        <x:v>1091</x:v>
      </x:c>
      <x:c r="AL406" s="55" t="n">
        <x:v>1365</x:v>
      </x:c>
      <x:c r="AM406" s="55" t="n">
        <x:v>5494</x:v>
      </x:c>
      <x:c r="AN406" s="55" t="n">
        <x:v>2397</x:v>
      </x:c>
      <x:c r="AO406" s="55" t="n">
        <x:v>52</x:v>
      </x:c>
      <x:c r="AP406" s="55" t="n">
        <x:v>2282</x:v>
      </x:c>
      <x:c r="AQ406" s="55" t="n">
        <x:v>981</x:v>
      </x:c>
    </x:row>
    <x:row r="407">
      <x:c r="A407" s="54" t="str">
        <x:v>T2_CONCORDANT_DOMAIN</x:v>
      </x:c>
      <x:c r="B407" s="54" t="n">
        <x:v>401</x:v>
      </x:c>
      <x:c r="C407" s="54" t="str">
        <x:v>NYC-V2-R01</x:v>
      </x:c>
      <x:c r="D407" s="54" t="str">
        <x:v>V2</x:v>
      </x:c>
      <x:c r="E407" s="54" t="str">
        <x:v>ADMITTED</x:v>
      </x:c>
      <x:c r="F407" s="55" t="n">
        <x:v>31606</x:v>
      </x:c>
      <x:c r="G407" s="55" t="n">
        <x:v>8441</x:v>
      </x:c>
      <x:c r="H407" s="55" t="n">
        <x:v>2984</x:v>
      </x:c>
      <x:c r="I407" s="55" t="n">
        <x:v>1175</x:v>
      </x:c>
      <x:c r="J407" s="55" t="n">
        <x:v>220</x:v>
      </x:c>
      <x:c r="K407" s="55" t="n">
        <x:v>29229</x:v>
      </x:c>
      <x:c r="L407" s="55" t="n">
        <x:v>4210</x:v>
      </x:c>
      <x:c r="M407" s="55" t="n">
        <x:v>159</x:v>
      </x:c>
      <x:c r="N407" s="55" t="n">
        <x:v>2390</x:v>
      </x:c>
      <x:c r="O407" s="55" t="n">
        <x:v>1661</x:v>
      </x:c>
      <x:c r="P407" s="55" t="n">
        <x:v>741</x:v>
      </x:c>
      <x:c r="Q407" s="55" t="n">
        <x:v>1884</x:v>
      </x:c>
      <x:c r="R407" s="55" t="n">
        <x:v>1881</x:v>
      </x:c>
      <x:c r="S407" s="55" t="n">
        <x:v>2331</x:v>
      </x:c>
      <x:c r="T407" s="55" t="n">
        <x:v>1134</x:v>
      </x:c>
      <x:c r="U407" s="55" t="n">
        <x:v>1950</x:v>
      </x:c>
      <x:c r="V407" s="55" t="n">
        <x:v>10493</x:v>
      </x:c>
      <x:c r="W407" s="55" t="n">
        <x:v>7589</x:v>
      </x:c>
      <x:c r="X407" s="55" t="n">
        <x:v>2904</x:v>
      </x:c>
      <x:c r="Y407" s="55" t="n">
        <x:v>2560</x:v>
      </x:c>
      <x:c r="Z407" s="55" t="n">
        <x:v>3841</x:v>
      </x:c>
      <x:c r="AA407" s="55" t="n">
        <x:v>2981</x:v>
      </x:c>
      <x:c r="AB407" s="55" t="n">
        <x:v>1109</x:v>
      </x:c>
      <x:c r="AC407" s="55" t="n">
        <x:v>7878</x:v>
      </x:c>
      <x:c r="AD407" s="55" t="n">
        <x:v>2894</x:v>
      </x:c>
      <x:c r="AE407" s="55" t="n">
        <x:v>10556</x:v>
      </x:c>
      <x:c r="AF407" s="55" t="n">
        <x:v>10493</x:v>
      </x:c>
      <x:c r="AG407" s="55" t="n">
        <x:v>63</x:v>
      </x:c>
      <x:c r="AH407" s="55" t="n">
        <x:v>367</x:v>
      </x:c>
      <x:c r="AI407" s="55" t="n">
        <x:v>10126</x:v>
      </x:c>
      <x:c r="AJ407" s="55" t="n">
        <x:v>207</x:v>
      </x:c>
      <x:c r="AK407" s="55" t="n">
        <x:v>1167</x:v>
      </x:c>
      <x:c r="AL407" s="55" t="n">
        <x:v>1644</x:v>
      </x:c>
      <x:c r="AM407" s="55" t="n">
        <x:v>5120</x:v>
      </x:c>
      <x:c r="AN407" s="55" t="n">
        <x:v>2355</x:v>
      </x:c>
      <x:c r="AO407" s="55" t="n">
        <x:v>0</x:v>
      </x:c>
      <x:c r="AP407" s="55" t="n">
        <x:v>1881</x:v>
      </x:c>
      <x:c r="AQ407" s="55" t="n">
        <x:v>932</x:v>
      </x:c>
    </x:row>
    <x:row r="408">
      <x:c r="A408" s="54" t="str">
        <x:v>T2_CONCORDANT_DOMAIN</x:v>
      </x:c>
      <x:c r="B408" s="54" t="n">
        <x:v>402</x:v>
      </x:c>
      <x:c r="C408" s="54" t="str">
        <x:v>NYC-V2-R01</x:v>
      </x:c>
      <x:c r="D408" s="54" t="str">
        <x:v>V2</x:v>
      </x:c>
      <x:c r="E408" s="54" t="str">
        <x:v>ADMITTED</x:v>
      </x:c>
      <x:c r="F408" s="55" t="n">
        <x:v>31249</x:v>
      </x:c>
      <x:c r="G408" s="55" t="n">
        <x:v>8696</x:v>
      </x:c>
      <x:c r="H408" s="55" t="n">
        <x:v>2866</x:v>
      </x:c>
      <x:c r="I408" s="55" t="n">
        <x:v>1067</x:v>
      </x:c>
      <x:c r="J408" s="55" t="n">
        <x:v>239</x:v>
      </x:c>
      <x:c r="K408" s="55" t="n">
        <x:v>31249</x:v>
      </x:c>
      <x:c r="L408" s="55" t="n">
        <x:v>6949</x:v>
      </x:c>
      <x:c r="M408" s="55" t="n">
        <x:v>2510</x:v>
      </x:c>
      <x:c r="N408" s="55" t="n">
        <x:v>2567</x:v>
      </x:c>
      <x:c r="O408" s="55" t="n">
        <x:v>1872</x:v>
      </x:c>
      <x:c r="P408" s="55" t="n">
        <x:v>991</x:v>
      </x:c>
      <x:c r="Q408" s="55" t="n">
        <x:v>1706</x:v>
      </x:c>
      <x:c r="R408" s="55" t="n">
        <x:v>1820</x:v>
      </x:c>
      <x:c r="S408" s="55" t="n">
        <x:v>2883</x:v>
      </x:c>
      <x:c r="T408" s="55" t="n">
        <x:v>1326</x:v>
      </x:c>
      <x:c r="U408" s="55" t="n">
        <x:v>1894</x:v>
      </x:c>
      <x:c r="V408" s="55" t="n">
        <x:v>10172</x:v>
      </x:c>
      <x:c r="W408" s="55" t="n">
        <x:v>7076</x:v>
      </x:c>
      <x:c r="X408" s="55" t="n">
        <x:v>3096</x:v>
      </x:c>
      <x:c r="Y408" s="55" t="n">
        <x:v>2601</x:v>
      </x:c>
      <x:c r="Z408" s="55" t="n">
        <x:v>3620</x:v>
      </x:c>
      <x:c r="AA408" s="55" t="n">
        <x:v>2866</x:v>
      </x:c>
      <x:c r="AB408" s="55" t="n">
        <x:v>1126</x:v>
      </x:c>
      <x:c r="AC408" s="55" t="n">
        <x:v>7407</x:v>
      </x:c>
      <x:c r="AD408" s="55" t="n">
        <x:v>2441</x:v>
      </x:c>
      <x:c r="AE408" s="55" t="n">
        <x:v>10232</x:v>
      </x:c>
      <x:c r="AF408" s="55" t="n">
        <x:v>10172</x:v>
      </x:c>
      <x:c r="AG408" s="55" t="n">
        <x:v>60</x:v>
      </x:c>
      <x:c r="AH408" s="55" t="n">
        <x:v>404</x:v>
      </x:c>
      <x:c r="AI408" s="55" t="n">
        <x:v>9768</x:v>
      </x:c>
      <x:c r="AJ408" s="55" t="n">
        <x:v>346</x:v>
      </x:c>
      <x:c r="AK408" s="55" t="n">
        <x:v>592</x:v>
      </x:c>
      <x:c r="AL408" s="55" t="n">
        <x:v>1420</x:v>
      </x:c>
      <x:c r="AM408" s="55" t="n">
        <x:v>4776</x:v>
      </x:c>
      <x:c r="AN408" s="55" t="n">
        <x:v>2981</x:v>
      </x:c>
      <x:c r="AO408" s="55" t="n">
        <x:v>57</x:v>
      </x:c>
      <x:c r="AP408" s="55" t="n">
        <x:v>1832</x:v>
      </x:c>
      <x:c r="AQ408" s="55" t="n">
        <x:v>1032</x:v>
      </x:c>
    </x:row>
    <x:row r="409">
      <x:c r="A409" s="54" t="str">
        <x:v>T2_CONCORDANT_DOMAIN</x:v>
      </x:c>
      <x:c r="B409" s="54" t="n">
        <x:v>403</x:v>
      </x:c>
      <x:c r="C409" s="54" t="str">
        <x:v>NYC-V2-R01</x:v>
      </x:c>
      <x:c r="D409" s="54" t="str">
        <x:v>V2</x:v>
      </x:c>
      <x:c r="E409" s="54" t="str">
        <x:v>ADMITTED</x:v>
      </x:c>
      <x:c r="F409" s="55" t="n">
        <x:v>32433</x:v>
      </x:c>
      <x:c r="G409" s="55" t="n">
        <x:v>8029</x:v>
      </x:c>
      <x:c r="H409" s="55" t="n">
        <x:v>3492</x:v>
      </x:c>
      <x:c r="I409" s="55" t="n">
        <x:v>1566</x:v>
      </x:c>
      <x:c r="J409" s="55" t="n">
        <x:v>207</x:v>
      </x:c>
      <x:c r="K409" s="55" t="n">
        <x:v>32433</x:v>
      </x:c>
      <x:c r="L409" s="55" t="n">
        <x:v>7145</x:v>
      </x:c>
      <x:c r="M409" s="55" t="n">
        <x:v>2256</x:v>
      </x:c>
      <x:c r="N409" s="55" t="n">
        <x:v>3018</x:v>
      </x:c>
      <x:c r="O409" s="55" t="n">
        <x:v>1871</x:v>
      </x:c>
      <x:c r="P409" s="55" t="n">
        <x:v>993</x:v>
      </x:c>
      <x:c r="Q409" s="55" t="n">
        <x:v>2070</x:v>
      </x:c>
      <x:c r="R409" s="55" t="n">
        <x:v>2021</x:v>
      </x:c>
      <x:c r="S409" s="55" t="n">
        <x:v>3078</x:v>
      </x:c>
      <x:c r="T409" s="55" t="n">
        <x:v>1405</x:v>
      </x:c>
      <x:c r="U409" s="55" t="n">
        <x:v>2051</x:v>
      </x:c>
      <x:c r="V409" s="55" t="n">
        <x:v>10346</x:v>
      </x:c>
      <x:c r="W409" s="55" t="n">
        <x:v>7500</x:v>
      </x:c>
      <x:c r="X409" s="55" t="n">
        <x:v>2846</x:v>
      </x:c>
      <x:c r="Y409" s="55" t="n">
        <x:v>2316</x:v>
      </x:c>
      <x:c r="Z409" s="55" t="n">
        <x:v>3569</x:v>
      </x:c>
      <x:c r="AA409" s="55" t="n">
        <x:v>2584</x:v>
      </x:c>
      <x:c r="AB409" s="55" t="n">
        <x:v>883</x:v>
      </x:c>
      <x:c r="AC409" s="55" t="n">
        <x:v>7694</x:v>
      </x:c>
      <x:c r="AD409" s="55" t="n">
        <x:v>2691</x:v>
      </x:c>
      <x:c r="AE409" s="55" t="n">
        <x:v>10477</x:v>
      </x:c>
      <x:c r="AF409" s="55" t="n">
        <x:v>10346</x:v>
      </x:c>
      <x:c r="AG409" s="55" t="n">
        <x:v>131</x:v>
      </x:c>
      <x:c r="AH409" s="55" t="n">
        <x:v>458</x:v>
      </x:c>
      <x:c r="AI409" s="55" t="n">
        <x:v>9888</x:v>
      </x:c>
      <x:c r="AJ409" s="55" t="n">
        <x:v>226</x:v>
      </x:c>
      <x:c r="AK409" s="55" t="n">
        <x:v>1144</x:v>
      </x:c>
      <x:c r="AL409" s="55" t="n">
        <x:v>1912</x:v>
      </x:c>
      <x:c r="AM409" s="55" t="n">
        <x:v>4533</x:v>
      </x:c>
      <x:c r="AN409" s="55" t="n">
        <x:v>2435</x:v>
      </x:c>
      <x:c r="AO409" s="55" t="n">
        <x:v>96</x:v>
      </x:c>
      <x:c r="AP409" s="55" t="n">
        <x:v>2498</x:v>
      </x:c>
      <x:c r="AQ409" s="55" t="n">
        <x:v>948</x:v>
      </x:c>
    </x:row>
    <x:row r="410">
      <x:c r="A410" s="54" t="str">
        <x:v>T2_CONCORDANT_DOMAIN</x:v>
      </x:c>
      <x:c r="B410" s="54" t="n">
        <x:v>404</x:v>
      </x:c>
      <x:c r="C410" s="54" t="str">
        <x:v>NYC-V2-R01</x:v>
      </x:c>
      <x:c r="D410" s="54" t="str">
        <x:v>V2</x:v>
      </x:c>
      <x:c r="E410" s="54" t="str">
        <x:v>ADMITTED</x:v>
      </x:c>
      <x:c r="F410" s="55" t="n">
        <x:v>34093</x:v>
      </x:c>
      <x:c r="G410" s="55" t="n">
        <x:v>9733</x:v>
      </x:c>
      <x:c r="H410" s="55" t="n">
        <x:v>3601</x:v>
      </x:c>
      <x:c r="I410" s="55" t="n">
        <x:v>1647</x:v>
      </x:c>
      <x:c r="J410" s="55" t="n">
        <x:v>385</x:v>
      </x:c>
      <x:c r="K410" s="55" t="n">
        <x:v>32338</x:v>
      </x:c>
      <x:c r="L410" s="55" t="n">
        <x:v>6874</x:v>
      </x:c>
      <x:c r="M410" s="55" t="n">
        <x:v>2956</x:v>
      </x:c>
      <x:c r="N410" s="55" t="n">
        <x:v>2593</x:v>
      </x:c>
      <x:c r="O410" s="55" t="n">
        <x:v>1325</x:v>
      </x:c>
      <x:c r="P410" s="55" t="n">
        <x:v>1060</x:v>
      </x:c>
      <x:c r="Q410" s="55" t="n">
        <x:v>2799</x:v>
      </x:c>
      <x:c r="R410" s="55" t="n">
        <x:v>1831</x:v>
      </x:c>
      <x:c r="S410" s="55" t="n">
        <x:v>3090</x:v>
      </x:c>
      <x:c r="T410" s="55" t="n">
        <x:v>1420</x:v>
      </x:c>
      <x:c r="U410" s="55" t="n">
        <x:v>2337</x:v>
      </x:c>
      <x:c r="V410" s="55" t="n">
        <x:v>11129</x:v>
      </x:c>
      <x:c r="W410" s="55" t="n">
        <x:v>8033</x:v>
      </x:c>
      <x:c r="X410" s="55" t="n">
        <x:v>3096</x:v>
      </x:c>
      <x:c r="Y410" s="55" t="n">
        <x:v>2660</x:v>
      </x:c>
      <x:c r="Z410" s="55" t="n">
        <x:v>3592</x:v>
      </x:c>
      <x:c r="AA410" s="55" t="n">
        <x:v>3580</x:v>
      </x:c>
      <x:c r="AB410" s="55" t="n">
        <x:v>1643</x:v>
      </x:c>
      <x:c r="AC410" s="55" t="n">
        <x:v>8054</x:v>
      </x:c>
      <x:c r="AD410" s="55" t="n">
        <x:v>3286</x:v>
      </x:c>
      <x:c r="AE410" s="55" t="n">
        <x:v>11246</x:v>
      </x:c>
      <x:c r="AF410" s="55" t="n">
        <x:v>11129</x:v>
      </x:c>
      <x:c r="AG410" s="55" t="n">
        <x:v>117</x:v>
      </x:c>
      <x:c r="AH410" s="55" t="n">
        <x:v>544</x:v>
      </x:c>
      <x:c r="AI410" s="55" t="n">
        <x:v>10585</x:v>
      </x:c>
      <x:c r="AJ410" s="55" t="n">
        <x:v>318</x:v>
      </x:c>
      <x:c r="AK410" s="55" t="n">
        <x:v>1066</x:v>
      </x:c>
      <x:c r="AL410" s="55" t="n">
        <x:v>2019</x:v>
      </x:c>
      <x:c r="AM410" s="55" t="n">
        <x:v>5174</x:v>
      </x:c>
      <x:c r="AN410" s="55" t="n">
        <x:v>2460</x:v>
      </x:c>
      <x:c r="AO410" s="55" t="n">
        <x:v>92</x:v>
      </x:c>
      <x:c r="AP410" s="55" t="n">
        <x:v>2357</x:v>
      </x:c>
      <x:c r="AQ410" s="55" t="n">
        <x:v>999</x:v>
      </x:c>
    </x:row>
    <x:row r="411">
      <x:c r="A411" s="54" t="str">
        <x:v>T2_CONCORDANT_DOMAIN</x:v>
      </x:c>
      <x:c r="B411" s="54" t="n">
        <x:v>405</x:v>
      </x:c>
      <x:c r="C411" s="54" t="str">
        <x:v>NYC-V2-R01</x:v>
      </x:c>
      <x:c r="D411" s="54" t="str">
        <x:v>V2</x:v>
      </x:c>
      <x:c r="E411" s="54" t="str">
        <x:v>ADMITTED</x:v>
      </x:c>
      <x:c r="F411" s="55" t="n">
        <x:v>32265</x:v>
      </x:c>
      <x:c r="G411" s="55" t="n">
        <x:v>7791</x:v>
      </x:c>
      <x:c r="H411" s="55" t="n">
        <x:v>3358</x:v>
      </x:c>
      <x:c r="I411" s="55" t="n">
        <x:v>1305</x:v>
      </x:c>
      <x:c r="J411" s="55" t="n">
        <x:v>272</x:v>
      </x:c>
      <x:c r="K411" s="55" t="n">
        <x:v>32265</x:v>
      </x:c>
      <x:c r="L411" s="55" t="n">
        <x:v>6793</x:v>
      </x:c>
      <x:c r="M411" s="55" t="n">
        <x:v>1634</x:v>
      </x:c>
      <x:c r="N411" s="55" t="n">
        <x:v>3143</x:v>
      </x:c>
      <x:c r="O411" s="55" t="n">
        <x:v>2016</x:v>
      </x:c>
      <x:c r="P411" s="55" t="n">
        <x:v>786</x:v>
      </x:c>
      <x:c r="Q411" s="55" t="n">
        <x:v>3483</x:v>
      </x:c>
      <x:c r="R411" s="55" t="n">
        <x:v>1973</x:v>
      </x:c>
      <x:c r="S411" s="55" t="n">
        <x:v>3471</x:v>
      </x:c>
      <x:c r="T411" s="55" t="n">
        <x:v>1684</x:v>
      </x:c>
      <x:c r="U411" s="55" t="n">
        <x:v>2388</x:v>
      </x:c>
      <x:c r="V411" s="55" t="n">
        <x:v>11220</x:v>
      </x:c>
      <x:c r="W411" s="55" t="n">
        <x:v>8021</x:v>
      </x:c>
      <x:c r="X411" s="55" t="n">
        <x:v>3199</x:v>
      </x:c>
      <x:c r="Y411" s="55" t="n">
        <x:v>2832</x:v>
      </x:c>
      <x:c r="Z411" s="55" t="n">
        <x:v>4051</x:v>
      </x:c>
      <x:c r="AA411" s="55" t="n">
        <x:v>3358</x:v>
      </x:c>
      <x:c r="AB411" s="55" t="n">
        <x:v>1071</x:v>
      </x:c>
      <x:c r="AC411" s="55" t="n">
        <x:v>8349</x:v>
      </x:c>
      <x:c r="AD411" s="55" t="n">
        <x:v>3102</x:v>
      </x:c>
      <x:c r="AE411" s="55" t="n">
        <x:v>11333</x:v>
      </x:c>
      <x:c r="AF411" s="55" t="n">
        <x:v>11220</x:v>
      </x:c>
      <x:c r="AG411" s="55" t="n">
        <x:v>113</x:v>
      </x:c>
      <x:c r="AH411" s="55" t="n">
        <x:v>339</x:v>
      </x:c>
      <x:c r="AI411" s="55" t="n">
        <x:v>10881</x:v>
      </x:c>
      <x:c r="AJ411" s="55" t="n">
        <x:v>446</x:v>
      </x:c>
      <x:c r="AK411" s="55" t="n">
        <x:v>973</x:v>
      </x:c>
      <x:c r="AL411" s="55" t="n">
        <x:v>2075</x:v>
      </x:c>
      <x:c r="AM411" s="55" t="n">
        <x:v>4751</x:v>
      </x:c>
      <x:c r="AN411" s="55" t="n">
        <x:v>2924</x:v>
      </x:c>
      <x:c r="AO411" s="55" t="n">
        <x:v>51</x:v>
      </x:c>
      <x:c r="AP411" s="55" t="n">
        <x:v>2540</x:v>
      </x:c>
      <x:c r="AQ411" s="55" t="n">
        <x:v>974</x:v>
      </x:c>
    </x:row>
    <x:row r="412">
      <x:c r="A412" s="54" t="str">
        <x:v>T2_CONCORDANT_DOMAIN</x:v>
      </x:c>
      <x:c r="B412" s="54" t="n">
        <x:v>406</x:v>
      </x:c>
      <x:c r="C412" s="54" t="str">
        <x:v>NYC-V2-R01</x:v>
      </x:c>
      <x:c r="D412" s="54" t="str">
        <x:v>V2</x:v>
      </x:c>
      <x:c r="E412" s="54" t="str">
        <x:v>ADMITTED</x:v>
      </x:c>
      <x:c r="F412" s="55" t="n">
        <x:v>32158</x:v>
      </x:c>
      <x:c r="G412" s="55" t="n">
        <x:v>8734</x:v>
      </x:c>
      <x:c r="H412" s="55" t="n">
        <x:v>3759</x:v>
      </x:c>
      <x:c r="I412" s="55" t="n">
        <x:v>1937</x:v>
      </x:c>
      <x:c r="J412" s="55" t="n">
        <x:v>368</x:v>
      </x:c>
      <x:c r="K412" s="55" t="n">
        <x:v>30031</x:v>
      </x:c>
      <x:c r="L412" s="55" t="n">
        <x:v>6177</x:v>
      </x:c>
      <x:c r="M412" s="55" t="n">
        <x:v>1465</x:v>
      </x:c>
      <x:c r="N412" s="55" t="n">
        <x:v>2580</x:v>
      </x:c>
      <x:c r="O412" s="55" t="n">
        <x:v>2132</x:v>
      </x:c>
      <x:c r="P412" s="55" t="n">
        <x:v>1344</x:v>
      </x:c>
      <x:c r="Q412" s="55" t="n">
        <x:v>3813</x:v>
      </x:c>
      <x:c r="R412" s="55" t="n">
        <x:v>1988</x:v>
      </x:c>
      <x:c r="S412" s="55" t="n">
        <x:v>2854</x:v>
      </x:c>
      <x:c r="T412" s="55" t="n">
        <x:v>1357</x:v>
      </x:c>
      <x:c r="U412" s="55" t="n">
        <x:v>2534</x:v>
      </x:c>
      <x:c r="V412" s="55" t="n">
        <x:v>11391</x:v>
      </x:c>
      <x:c r="W412" s="55" t="n">
        <x:v>8271</x:v>
      </x:c>
      <x:c r="X412" s="55" t="n">
        <x:v>3120</x:v>
      </x:c>
      <x:c r="Y412" s="55" t="n">
        <x:v>2722</x:v>
      </x:c>
      <x:c r="Z412" s="55" t="n">
        <x:v>4243</x:v>
      </x:c>
      <x:c r="AA412" s="55" t="n">
        <x:v>3759</x:v>
      </x:c>
      <x:c r="AB412" s="55" t="n">
        <x:v>1263</x:v>
      </x:c>
      <x:c r="AC412" s="55" t="n">
        <x:v>8761</x:v>
      </x:c>
      <x:c r="AD412" s="55" t="n">
        <x:v>3292</x:v>
      </x:c>
      <x:c r="AE412" s="55" t="n">
        <x:v>11560</x:v>
      </x:c>
      <x:c r="AF412" s="55" t="n">
        <x:v>11391</x:v>
      </x:c>
      <x:c r="AG412" s="55" t="n">
        <x:v>169</x:v>
      </x:c>
      <x:c r="AH412" s="55" t="n">
        <x:v>920</x:v>
      </x:c>
      <x:c r="AI412" s="55" t="n">
        <x:v>10471</x:v>
      </x:c>
      <x:c r="AJ412" s="55" t="n">
        <x:v>554</x:v>
      </x:c>
      <x:c r="AK412" s="55" t="n">
        <x:v>886</x:v>
      </x:c>
      <x:c r="AL412" s="55" t="n">
        <x:v>1594</x:v>
      </x:c>
      <x:c r="AM412" s="55" t="n">
        <x:v>4912</x:v>
      </x:c>
      <x:c r="AN412" s="55" t="n">
        <x:v>3346</x:v>
      </x:c>
      <x:c r="AO412" s="55" t="n">
        <x:v>99</x:v>
      </x:c>
      <x:c r="AP412" s="55" t="n">
        <x:v>2480</x:v>
      </x:c>
      <x:c r="AQ412" s="55" t="n">
        <x:v>1009</x:v>
      </x:c>
    </x:row>
    <x:row r="413">
      <x:c r="A413" s="54" t="str">
        <x:v>T2_CONCORDANT_DOMAIN</x:v>
      </x:c>
      <x:c r="B413" s="54" t="n">
        <x:v>407</x:v>
      </x:c>
      <x:c r="C413" s="54" t="str">
        <x:v>NYC-V2-R01</x:v>
      </x:c>
      <x:c r="D413" s="54" t="str">
        <x:v>V2</x:v>
      </x:c>
      <x:c r="E413" s="54" t="str">
        <x:v>ADMITTED</x:v>
      </x:c>
      <x:c r="F413" s="55" t="n">
        <x:v>31060</x:v>
      </x:c>
      <x:c r="G413" s="55" t="n">
        <x:v>7158</x:v>
      </x:c>
      <x:c r="H413" s="55" t="n">
        <x:v>3560</x:v>
      </x:c>
      <x:c r="I413" s="55" t="n">
        <x:v>1595</x:v>
      </x:c>
      <x:c r="J413" s="55" t="n">
        <x:v>321</x:v>
      </x:c>
      <x:c r="K413" s="55" t="n">
        <x:v>30026</x:v>
      </x:c>
      <x:c r="L413" s="55" t="n">
        <x:v>5990</x:v>
      </x:c>
      <x:c r="M413" s="55" t="n">
        <x:v>1397</x:v>
      </x:c>
      <x:c r="N413" s="55" t="n">
        <x:v>2724</x:v>
      </x:c>
      <x:c r="O413" s="55" t="n">
        <x:v>1869</x:v>
      </x:c>
      <x:c r="P413" s="55" t="n">
        <x:v>1095</x:v>
      </x:c>
      <x:c r="Q413" s="55" t="n">
        <x:v>3351</x:v>
      </x:c>
      <x:c r="R413" s="55" t="n">
        <x:v>2101</x:v>
      </x:c>
      <x:c r="S413" s="55" t="n">
        <x:v>2828</x:v>
      </x:c>
      <x:c r="T413" s="55" t="n">
        <x:v>1291</x:v>
      </x:c>
      <x:c r="U413" s="55" t="n">
        <x:v>1960</x:v>
      </x:c>
      <x:c r="V413" s="55" t="n">
        <x:v>10938</x:v>
      </x:c>
      <x:c r="W413" s="55" t="n">
        <x:v>7914</x:v>
      </x:c>
      <x:c r="X413" s="55" t="n">
        <x:v>3024</x:v>
      </x:c>
      <x:c r="Y413" s="55" t="n">
        <x:v>2699</x:v>
      </x:c>
      <x:c r="Z413" s="55" t="n">
        <x:v>3625</x:v>
      </x:c>
      <x:c r="AA413" s="55" t="n">
        <x:v>3222</x:v>
      </x:c>
      <x:c r="AB413" s="55" t="n">
        <x:v>1127</x:v>
      </x:c>
      <x:c r="AC413" s="55" t="n">
        <x:v>7883</x:v>
      </x:c>
      <x:c r="AD413" s="55" t="n">
        <x:v>3261</x:v>
      </x:c>
      <x:c r="AE413" s="55" t="n">
        <x:v>10949</x:v>
      </x:c>
      <x:c r="AF413" s="55" t="n">
        <x:v>10938</x:v>
      </x:c>
      <x:c r="AG413" s="55" t="n">
        <x:v>11</x:v>
      </x:c>
      <x:c r="AH413" s="55" t="n">
        <x:v>468</x:v>
      </x:c>
      <x:c r="AI413" s="55" t="n">
        <x:v>10470</x:v>
      </x:c>
      <x:c r="AJ413" s="55" t="n">
        <x:v>336</x:v>
      </x:c>
      <x:c r="AK413" s="55" t="n">
        <x:v>1135</x:v>
      </x:c>
      <x:c r="AL413" s="55" t="n">
        <x:v>1772</x:v>
      </x:c>
      <x:c r="AM413" s="55" t="n">
        <x:v>4695</x:v>
      </x:c>
      <x:c r="AN413" s="55" t="n">
        <x:v>3000</x:v>
      </x:c>
      <x:c r="AO413" s="55" t="n">
        <x:v>0</x:v>
      </x:c>
      <x:c r="AP413" s="55" t="n">
        <x:v>2264</x:v>
      </x:c>
      <x:c r="AQ413" s="55" t="n">
        <x:v>985</x:v>
      </x:c>
    </x:row>
    <x:row r="414">
      <x:c r="A414" s="54" t="str">
        <x:v>T2_CONCORDANT_DOMAIN</x:v>
      </x:c>
      <x:c r="B414" s="54" t="n">
        <x:v>408</x:v>
      </x:c>
      <x:c r="C414" s="54" t="str">
        <x:v>NYC-V2-R01</x:v>
      </x:c>
      <x:c r="D414" s="54" t="str">
        <x:v>V2</x:v>
      </x:c>
      <x:c r="E414" s="54" t="str">
        <x:v>ADMITTED</x:v>
      </x:c>
      <x:c r="F414" s="55" t="n">
        <x:v>29830</x:v>
      </x:c>
      <x:c r="G414" s="55" t="n">
        <x:v>7125</x:v>
      </x:c>
      <x:c r="H414" s="55" t="n">
        <x:v>3108</x:v>
      </x:c>
      <x:c r="I414" s="55" t="n">
        <x:v>1114</x:v>
      </x:c>
      <x:c r="J414" s="55" t="n">
        <x:v>61</x:v>
      </x:c>
      <x:c r="K414" s="55" t="n">
        <x:v>29830</x:v>
      </x:c>
      <x:c r="L414" s="55" t="n">
        <x:v>5529</x:v>
      </x:c>
      <x:c r="M414" s="55" t="n">
        <x:v>2031</x:v>
      </x:c>
      <x:c r="N414" s="55" t="n">
        <x:v>2236</x:v>
      </x:c>
      <x:c r="O414" s="55" t="n">
        <x:v>1262</x:v>
      </x:c>
      <x:c r="P414" s="55" t="n">
        <x:v>1162</x:v>
      </x:c>
      <x:c r="Q414" s="55" t="n">
        <x:v>2054</x:v>
      </x:c>
      <x:c r="R414" s="55" t="n">
        <x:v>1628</x:v>
      </x:c>
      <x:c r="S414" s="55" t="n">
        <x:v>2486</x:v>
      </x:c>
      <x:c r="T414" s="55" t="n">
        <x:v>1311</x:v>
      </x:c>
      <x:c r="U414" s="55" t="n">
        <x:v>2195</x:v>
      </x:c>
      <x:c r="V414" s="55" t="n">
        <x:v>10216</x:v>
      </x:c>
      <x:c r="W414" s="55" t="n">
        <x:v>7070</x:v>
      </x:c>
      <x:c r="X414" s="55" t="n">
        <x:v>3146</x:v>
      </x:c>
      <x:c r="Y414" s="55" t="n">
        <x:v>2605</x:v>
      </x:c>
      <x:c r="Z414" s="55" t="n">
        <x:v>3380</x:v>
      </x:c>
      <x:c r="AA414" s="55" t="n">
        <x:v>2826</x:v>
      </x:c>
      <x:c r="AB414" s="55" t="n">
        <x:v>1214</x:v>
      </x:c>
      <x:c r="AC414" s="55" t="n">
        <x:v>8054</x:v>
      </x:c>
      <x:c r="AD414" s="55" t="n">
        <x:v>2946</x:v>
      </x:c>
      <x:c r="AE414" s="55" t="n">
        <x:v>10313</x:v>
      </x:c>
      <x:c r="AF414" s="55" t="n">
        <x:v>10216</x:v>
      </x:c>
      <x:c r="AG414" s="55" t="n">
        <x:v>97</x:v>
      </x:c>
      <x:c r="AH414" s="55" t="n">
        <x:v>380</x:v>
      </x:c>
      <x:c r="AI414" s="55" t="n">
        <x:v>9836</x:v>
      </x:c>
      <x:c r="AJ414" s="55" t="n">
        <x:v>414</x:v>
      </x:c>
      <x:c r="AK414" s="55" t="n">
        <x:v>1008</x:v>
      </x:c>
      <x:c r="AL414" s="55" t="n">
        <x:v>1404</x:v>
      </x:c>
      <x:c r="AM414" s="55" t="n">
        <x:v>4618</x:v>
      </x:c>
      <x:c r="AN414" s="55" t="n">
        <x:v>2708</x:v>
      </x:c>
      <x:c r="AO414" s="55" t="n">
        <x:v>64</x:v>
      </x:c>
      <x:c r="AP414" s="55" t="n">
        <x:v>2594</x:v>
      </x:c>
      <x:c r="AQ414" s="55" t="n">
        <x:v>919</x:v>
      </x:c>
    </x:row>
    <x:row r="415">
      <x:c r="A415" s="54" t="str">
        <x:v>T2_CONCORDANT_DOMAIN</x:v>
      </x:c>
      <x:c r="B415" s="54" t="n">
        <x:v>409</x:v>
      </x:c>
      <x:c r="C415" s="54" t="str">
        <x:v>NYC-V2-R01</x:v>
      </x:c>
      <x:c r="D415" s="54" t="str">
        <x:v>V2</x:v>
      </x:c>
      <x:c r="E415" s="54" t="str">
        <x:v>ADMITTED</x:v>
      </x:c>
      <x:c r="F415" s="55" t="n">
        <x:v>30015</x:v>
      </x:c>
      <x:c r="G415" s="55" t="n">
        <x:v>7252</x:v>
      </x:c>
      <x:c r="H415" s="55" t="n">
        <x:v>3239</x:v>
      </x:c>
      <x:c r="I415" s="55" t="n">
        <x:v>817</x:v>
      </x:c>
      <x:c r="J415" s="55" t="n">
        <x:v>166</x:v>
      </x:c>
      <x:c r="K415" s="55" t="n">
        <x:v>30015</x:v>
      </x:c>
      <x:c r="L415" s="55" t="n">
        <x:v>5447</x:v>
      </x:c>
      <x:c r="M415" s="55" t="n">
        <x:v>838</x:v>
      </x:c>
      <x:c r="N415" s="55" t="n">
        <x:v>3017</x:v>
      </x:c>
      <x:c r="O415" s="55" t="n">
        <x:v>1592</x:v>
      </x:c>
      <x:c r="P415" s="55" t="n">
        <x:v>894</x:v>
      </x:c>
      <x:c r="Q415" s="55" t="n">
        <x:v>2601</x:v>
      </x:c>
      <x:c r="R415" s="55" t="n">
        <x:v>2278</x:v>
      </x:c>
      <x:c r="S415" s="55" t="n">
        <x:v>2511</x:v>
      </x:c>
      <x:c r="T415" s="55" t="n">
        <x:v>856</x:v>
      </x:c>
      <x:c r="U415" s="55" t="n">
        <x:v>2024</x:v>
      </x:c>
      <x:c r="V415" s="55" t="n">
        <x:v>10131</x:v>
      </x:c>
      <x:c r="W415" s="55" t="n">
        <x:v>7255</x:v>
      </x:c>
      <x:c r="X415" s="55" t="n">
        <x:v>2876</x:v>
      </x:c>
      <x:c r="Y415" s="55" t="n">
        <x:v>2490</x:v>
      </x:c>
      <x:c r="Z415" s="55" t="n">
        <x:v>3396</x:v>
      </x:c>
      <x:c r="AA415" s="55" t="n">
        <x:v>3239</x:v>
      </x:c>
      <x:c r="AB415" s="55" t="n">
        <x:v>1080</x:v>
      </x:c>
      <x:c r="AC415" s="55" t="n">
        <x:v>7919</x:v>
      </x:c>
      <x:c r="AD415" s="55" t="n">
        <x:v>2811</x:v>
      </x:c>
      <x:c r="AE415" s="55" t="n">
        <x:v>10148</x:v>
      </x:c>
      <x:c r="AF415" s="55" t="n">
        <x:v>10131</x:v>
      </x:c>
      <x:c r="AG415" s="55" t="n">
        <x:v>17</x:v>
      </x:c>
      <x:c r="AH415" s="55" t="n">
        <x:v>250</x:v>
      </x:c>
      <x:c r="AI415" s="55" t="n">
        <x:v>9881</x:v>
      </x:c>
      <x:c r="AJ415" s="55" t="n">
        <x:v>417</x:v>
      </x:c>
      <x:c r="AK415" s="55" t="n">
        <x:v>863</x:v>
      </x:c>
      <x:c r="AL415" s="55" t="n">
        <x:v>1678</x:v>
      </x:c>
      <x:c r="AM415" s="55" t="n">
        <x:v>4376</x:v>
      </x:c>
      <x:c r="AN415" s="55" t="n">
        <x:v>2784</x:v>
      </x:c>
      <x:c r="AO415" s="55" t="n">
        <x:v>13</x:v>
      </x:c>
      <x:c r="AP415" s="55" t="n">
        <x:v>2113</x:v>
      </x:c>
      <x:c r="AQ415" s="55" t="n">
        <x:v>943</x:v>
      </x:c>
    </x:row>
    <x:row r="416">
      <x:c r="A416" s="54" t="str">
        <x:v>T2_CONCORDANT_DOMAIN</x:v>
      </x:c>
      <x:c r="B416" s="54" t="n">
        <x:v>410</x:v>
      </x:c>
      <x:c r="C416" s="54" t="str">
        <x:v>NYC-V2-R01</x:v>
      </x:c>
      <x:c r="D416" s="54" t="str">
        <x:v>V2</x:v>
      </x:c>
      <x:c r="E416" s="54" t="str">
        <x:v>ADMITTED</x:v>
      </x:c>
      <x:c r="F416" s="55" t="n">
        <x:v>31942</x:v>
      </x:c>
      <x:c r="G416" s="55" t="n">
        <x:v>7438</x:v>
      </x:c>
      <x:c r="H416" s="55" t="n">
        <x:v>3210</x:v>
      </x:c>
      <x:c r="I416" s="55" t="n">
        <x:v>1533</x:v>
      </x:c>
      <x:c r="J416" s="55" t="n">
        <x:v>336</x:v>
      </x:c>
      <x:c r="K416" s="55" t="n">
        <x:v>31942</x:v>
      </x:c>
      <x:c r="L416" s="55" t="n">
        <x:v>6978</x:v>
      </x:c>
      <x:c r="M416" s="55" t="n">
        <x:v>1246</x:v>
      </x:c>
      <x:c r="N416" s="55" t="n">
        <x:v>3193</x:v>
      </x:c>
      <x:c r="O416" s="55" t="n">
        <x:v>2539</x:v>
      </x:c>
      <x:c r="P416" s="55" t="n">
        <x:v>792</x:v>
      </x:c>
      <x:c r="Q416" s="55" t="n">
        <x:v>2592</x:v>
      </x:c>
      <x:c r="R416" s="55" t="n">
        <x:v>2300</x:v>
      </x:c>
      <x:c r="S416" s="55" t="n">
        <x:v>3102</x:v>
      </x:c>
      <x:c r="T416" s="55" t="n">
        <x:v>1476</x:v>
      </x:c>
      <x:c r="U416" s="55" t="n">
        <x:v>2442</x:v>
      </x:c>
      <x:c r="V416" s="55" t="n">
        <x:v>11282</x:v>
      </x:c>
      <x:c r="W416" s="55" t="n">
        <x:v>8245</x:v>
      </x:c>
      <x:c r="X416" s="55" t="n">
        <x:v>3037</x:v>
      </x:c>
      <x:c r="Y416" s="55" t="n">
        <x:v>2569</x:v>
      </x:c>
      <x:c r="Z416" s="55" t="n">
        <x:v>3928</x:v>
      </x:c>
      <x:c r="AA416" s="55" t="n">
        <x:v>3210</x:v>
      </x:c>
      <x:c r="AB416" s="55" t="n">
        <x:v>1163</x:v>
      </x:c>
      <x:c r="AC416" s="55" t="n">
        <x:v>8115</x:v>
      </x:c>
      <x:c r="AD416" s="55" t="n">
        <x:v>2854</x:v>
      </x:c>
      <x:c r="AE416" s="55" t="n">
        <x:v>11346</x:v>
      </x:c>
      <x:c r="AF416" s="55" t="n">
        <x:v>11282</x:v>
      </x:c>
      <x:c r="AG416" s="55" t="n">
        <x:v>64</x:v>
      </x:c>
      <x:c r="AH416" s="55" t="n">
        <x:v>550</x:v>
      </x:c>
      <x:c r="AI416" s="55" t="n">
        <x:v>10732</x:v>
      </x:c>
      <x:c r="AJ416" s="55" t="n">
        <x:v>341</x:v>
      </x:c>
      <x:c r="AK416" s="55" t="n">
        <x:v>990</x:v>
      </x:c>
      <x:c r="AL416" s="55" t="n">
        <x:v>1497</x:v>
      </x:c>
      <x:c r="AM416" s="55" t="n">
        <x:v>5342</x:v>
      </x:c>
      <x:c r="AN416" s="55" t="n">
        <x:v>3092</x:v>
      </x:c>
      <x:c r="AO416" s="55" t="n">
        <x:v>20</x:v>
      </x:c>
      <x:c r="AP416" s="55" t="n">
        <x:v>2499</x:v>
      </x:c>
      <x:c r="AQ416" s="55" t="n">
        <x:v>939</x:v>
      </x:c>
    </x:row>
    <x:row r="417">
      <x:c r="A417" s="54" t="str">
        <x:v>T2_CONCORDANT_DOMAIN</x:v>
      </x:c>
      <x:c r="B417" s="54" t="n">
        <x:v>411</x:v>
      </x:c>
      <x:c r="C417" s="54" t="str">
        <x:v>NYC-V2-R01</x:v>
      </x:c>
      <x:c r="D417" s="54" t="str">
        <x:v>V2</x:v>
      </x:c>
      <x:c r="E417" s="54" t="str">
        <x:v>ADMITTED</x:v>
      </x:c>
      <x:c r="F417" s="55" t="n">
        <x:v>34133</x:v>
      </x:c>
      <x:c r="G417" s="55" t="n">
        <x:v>8790</x:v>
      </x:c>
      <x:c r="H417" s="55" t="n">
        <x:v>3806</x:v>
      </x:c>
      <x:c r="I417" s="55" t="n">
        <x:v>1869</x:v>
      </x:c>
      <x:c r="J417" s="55" t="n">
        <x:v>462</x:v>
      </x:c>
      <x:c r="K417" s="55" t="n">
        <x:v>34133</x:v>
      </x:c>
      <x:c r="L417" s="55" t="n">
        <x:v>8183</x:v>
      </x:c>
      <x:c r="M417" s="55" t="n">
        <x:v>2713</x:v>
      </x:c>
      <x:c r="N417" s="55" t="n">
        <x:v>3306</x:v>
      </x:c>
      <x:c r="O417" s="55" t="n">
        <x:v>2164</x:v>
      </x:c>
      <x:c r="P417" s="55" t="n">
        <x:v>1124</x:v>
      </x:c>
      <x:c r="Q417" s="55" t="n">
        <x:v>3225</x:v>
      </x:c>
      <x:c r="R417" s="55" t="n">
        <x:v>2018</x:v>
      </x:c>
      <x:c r="S417" s="55" t="n">
        <x:v>3298</x:v>
      </x:c>
      <x:c r="T417" s="55" t="n">
        <x:v>1791</x:v>
      </x:c>
      <x:c r="U417" s="55" t="n">
        <x:v>2313</x:v>
      </x:c>
      <x:c r="V417" s="55" t="n">
        <x:v>10928</x:v>
      </x:c>
      <x:c r="W417" s="55" t="n">
        <x:v>7907</x:v>
      </x:c>
      <x:c r="X417" s="55" t="n">
        <x:v>3021</x:v>
      </x:c>
      <x:c r="Y417" s="55" t="n">
        <x:v>2646</x:v>
      </x:c>
      <x:c r="Z417" s="55" t="n">
        <x:v>3838</x:v>
      </x:c>
      <x:c r="AA417" s="55" t="n">
        <x:v>2991</x:v>
      </x:c>
      <x:c r="AB417" s="55" t="n">
        <x:v>1193</x:v>
      </x:c>
      <x:c r="AC417" s="55" t="n">
        <x:v>8106</x:v>
      </x:c>
      <x:c r="AD417" s="55" t="n">
        <x:v>2927</x:v>
      </x:c>
      <x:c r="AE417" s="55" t="n">
        <x:v>11092</x:v>
      </x:c>
      <x:c r="AF417" s="55" t="n">
        <x:v>10928</x:v>
      </x:c>
      <x:c r="AG417" s="55" t="n">
        <x:v>164</x:v>
      </x:c>
      <x:c r="AH417" s="55" t="n">
        <x:v>565</x:v>
      </x:c>
      <x:c r="AI417" s="55" t="n">
        <x:v>10363</x:v>
      </x:c>
      <x:c r="AJ417" s="55" t="n">
        <x:v>464</x:v>
      </x:c>
      <x:c r="AK417" s="55" t="n">
        <x:v>1073</x:v>
      </x:c>
      <x:c r="AL417" s="55" t="n">
        <x:v>1876</x:v>
      </x:c>
      <x:c r="AM417" s="55" t="n">
        <x:v>4465</x:v>
      </x:c>
      <x:c r="AN417" s="55" t="n">
        <x:v>3007</x:v>
      </x:c>
      <x:c r="AO417" s="55" t="n">
        <x:v>43</x:v>
      </x:c>
      <x:c r="AP417" s="55" t="n">
        <x:v>2761</x:v>
      </x:c>
      <x:c r="AQ417" s="55" t="n">
        <x:v>971</x:v>
      </x:c>
    </x:row>
    <x:row r="418">
      <x:c r="A418" s="54" t="str">
        <x:v>T2_CONCORDANT_DOMAIN</x:v>
      </x:c>
      <x:c r="B418" s="54" t="n">
        <x:v>412</x:v>
      </x:c>
      <x:c r="C418" s="54" t="str">
        <x:v>NYC-V2-R01</x:v>
      </x:c>
      <x:c r="D418" s="54" t="str">
        <x:v>V2</x:v>
      </x:c>
      <x:c r="E418" s="54" t="str">
        <x:v>ADMITTED</x:v>
      </x:c>
      <x:c r="F418" s="55" t="n">
        <x:v>30003</x:v>
      </x:c>
      <x:c r="G418" s="55" t="n">
        <x:v>7563</x:v>
      </x:c>
      <x:c r="H418" s="55" t="n">
        <x:v>2998</x:v>
      </x:c>
      <x:c r="I418" s="55" t="n">
        <x:v>1146</x:v>
      </x:c>
      <x:c r="J418" s="55" t="n">
        <x:v>62</x:v>
      </x:c>
      <x:c r="K418" s="55" t="n">
        <x:v>30003</x:v>
      </x:c>
      <x:c r="L418" s="55" t="n">
        <x:v>6767</x:v>
      </x:c>
      <x:c r="M418" s="55" t="n">
        <x:v>2432</x:v>
      </x:c>
      <x:c r="N418" s="55" t="n">
        <x:v>2522</x:v>
      </x:c>
      <x:c r="O418" s="55" t="n">
        <x:v>1813</x:v>
      </x:c>
      <x:c r="P418" s="55" t="n">
        <x:v>1222</x:v>
      </x:c>
      <x:c r="Q418" s="55" t="n">
        <x:v>2106</x:v>
      </x:c>
      <x:c r="R418" s="55" t="n">
        <x:v>1586</x:v>
      </x:c>
      <x:c r="S418" s="55" t="n">
        <x:v>3100</x:v>
      </x:c>
      <x:c r="T418" s="55" t="n">
        <x:v>1071</x:v>
      </x:c>
      <x:c r="U418" s="55" t="n">
        <x:v>2474</x:v>
      </x:c>
      <x:c r="V418" s="55" t="n">
        <x:v>10489</x:v>
      </x:c>
      <x:c r="W418" s="55" t="n">
        <x:v>7578</x:v>
      </x:c>
      <x:c r="X418" s="55" t="n">
        <x:v>2911</x:v>
      </x:c>
      <x:c r="Y418" s="55" t="n">
        <x:v>2551</x:v>
      </x:c>
      <x:c r="Z418" s="55" t="n">
        <x:v>3612</x:v>
      </x:c>
      <x:c r="AA418" s="55" t="n">
        <x:v>2998</x:v>
      </x:c>
      <x:c r="AB418" s="55" t="n">
        <x:v>844</x:v>
      </x:c>
      <x:c r="AC418" s="55" t="n">
        <x:v>7787</x:v>
      </x:c>
      <x:c r="AD418" s="55" t="n">
        <x:v>2665</x:v>
      </x:c>
      <x:c r="AE418" s="55" t="n">
        <x:v>10615</x:v>
      </x:c>
      <x:c r="AF418" s="55" t="n">
        <x:v>10489</x:v>
      </x:c>
      <x:c r="AG418" s="55" t="n">
        <x:v>126</x:v>
      </x:c>
      <x:c r="AH418" s="55" t="n">
        <x:v>257</x:v>
      </x:c>
      <x:c r="AI418" s="55" t="n">
        <x:v>10232</x:v>
      </x:c>
      <x:c r="AJ418" s="55" t="n">
        <x:v>316</x:v>
      </x:c>
      <x:c r="AK418" s="55" t="n">
        <x:v>1227</x:v>
      </x:c>
      <x:c r="AL418" s="55" t="n">
        <x:v>1383</x:v>
      </x:c>
      <x:c r="AM418" s="55" t="n">
        <x:v>5124</x:v>
      </x:c>
      <x:c r="AN418" s="55" t="n">
        <x:v>2407</x:v>
      </x:c>
      <x:c r="AO418" s="55" t="n">
        <x:v>32</x:v>
      </x:c>
      <x:c r="AP418" s="55" t="n">
        <x:v>2548</x:v>
      </x:c>
      <x:c r="AQ418" s="55" t="n">
        <x:v>979</x:v>
      </x:c>
    </x:row>
    <x:row r="419">
      <x:c r="A419" s="54" t="str">
        <x:v>T2_CONCORDANT_DOMAIN</x:v>
      </x:c>
      <x:c r="B419" s="54" t="n">
        <x:v>413</x:v>
      </x:c>
      <x:c r="C419" s="54" t="str">
        <x:v>NYC-V2-R01</x:v>
      </x:c>
      <x:c r="D419" s="54" t="str">
        <x:v>V2</x:v>
      </x:c>
      <x:c r="E419" s="54" t="str">
        <x:v>ADMITTED</x:v>
      </x:c>
      <x:c r="F419" s="55" t="n">
        <x:v>35086</x:v>
      </x:c>
      <x:c r="G419" s="55" t="n">
        <x:v>9929</x:v>
      </x:c>
      <x:c r="H419" s="55" t="n">
        <x:v>4120</x:v>
      </x:c>
      <x:c r="I419" s="55" t="n">
        <x:v>1681</x:v>
      </x:c>
      <x:c r="J419" s="55" t="n">
        <x:v>234</x:v>
      </x:c>
      <x:c r="K419" s="55" t="n">
        <x:v>33657</x:v>
      </x:c>
      <x:c r="L419" s="55" t="n">
        <x:v>8712</x:v>
      </x:c>
      <x:c r="M419" s="55" t="n">
        <x:v>2953</x:v>
      </x:c>
      <x:c r="N419" s="55" t="n">
        <x:v>3471</x:v>
      </x:c>
      <x:c r="O419" s="55" t="n">
        <x:v>2288</x:v>
      </x:c>
      <x:c r="P419" s="55" t="n">
        <x:v>1153</x:v>
      </x:c>
      <x:c r="Q419" s="55" t="n">
        <x:v>3237</x:v>
      </x:c>
      <x:c r="R419" s="55" t="n">
        <x:v>2492</x:v>
      </x:c>
      <x:c r="S419" s="55" t="n">
        <x:v>3479</x:v>
      </x:c>
      <x:c r="T419" s="55" t="n">
        <x:v>1297</x:v>
      </x:c>
      <x:c r="U419" s="55" t="n">
        <x:v>2868</x:v>
      </x:c>
      <x:c r="V419" s="55" t="n">
        <x:v>11334</x:v>
      </x:c>
      <x:c r="W419" s="55" t="n">
        <x:v>8212</x:v>
      </x:c>
      <x:c r="X419" s="55" t="n">
        <x:v>3122</x:v>
      </x:c>
      <x:c r="Y419" s="55" t="n">
        <x:v>2770</x:v>
      </x:c>
      <x:c r="Z419" s="55" t="n">
        <x:v>4019</x:v>
      </x:c>
      <x:c r="AA419" s="55" t="n">
        <x:v>3036</x:v>
      </x:c>
      <x:c r="AB419" s="55" t="n">
        <x:v>1051</x:v>
      </x:c>
      <x:c r="AC419" s="55" t="n">
        <x:v>8429</x:v>
      </x:c>
      <x:c r="AD419" s="55" t="n">
        <x:v>3285</x:v>
      </x:c>
      <x:c r="AE419" s="55" t="n">
        <x:v>11461</x:v>
      </x:c>
      <x:c r="AF419" s="55" t="n">
        <x:v>11334</x:v>
      </x:c>
      <x:c r="AG419" s="55" t="n">
        <x:v>127</x:v>
      </x:c>
      <x:c r="AH419" s="55" t="n">
        <x:v>686</x:v>
      </x:c>
      <x:c r="AI419" s="55" t="n">
        <x:v>10648</x:v>
      </x:c>
      <x:c r="AJ419" s="55" t="n">
        <x:v>450</x:v>
      </x:c>
      <x:c r="AK419" s="55" t="n">
        <x:v>1020</x:v>
      </x:c>
      <x:c r="AL419" s="55" t="n">
        <x:v>1725</x:v>
      </x:c>
      <x:c r="AM419" s="55" t="n">
        <x:v>4901</x:v>
      </x:c>
      <x:c r="AN419" s="55" t="n">
        <x:v>3155</x:v>
      </x:c>
      <x:c r="AO419" s="55" t="n">
        <x:v>83</x:v>
      </x:c>
      <x:c r="AP419" s="55" t="n">
        <x:v>2572</x:v>
      </x:c>
      <x:c r="AQ419" s="55" t="n">
        <x:v>1015</x:v>
      </x:c>
    </x:row>
    <x:row r="420">
      <x:c r="A420" s="54" t="str">
        <x:v>T2_CONCORDANT_DOMAIN</x:v>
      </x:c>
      <x:c r="B420" s="54" t="n">
        <x:v>414</x:v>
      </x:c>
      <x:c r="C420" s="54" t="str">
        <x:v>NYC-V2-R01</x:v>
      </x:c>
      <x:c r="D420" s="54" t="str">
        <x:v>V2</x:v>
      </x:c>
      <x:c r="E420" s="54" t="str">
        <x:v>ADMITTED</x:v>
      </x:c>
      <x:c r="F420" s="55" t="n">
        <x:v>31936</x:v>
      </x:c>
      <x:c r="G420" s="55" t="n">
        <x:v>8075</x:v>
      </x:c>
      <x:c r="H420" s="55" t="n">
        <x:v>3273</x:v>
      </x:c>
      <x:c r="I420" s="55" t="n">
        <x:v>1376</x:v>
      </x:c>
      <x:c r="J420" s="55" t="n">
        <x:v>147</x:v>
      </x:c>
      <x:c r="K420" s="55" t="n">
        <x:v>27998</x:v>
      </x:c>
      <x:c r="L420" s="55" t="n">
        <x:v>4367</x:v>
      </x:c>
      <x:c r="M420" s="55" t="n">
        <x:v>671</x:v>
      </x:c>
      <x:c r="N420" s="55" t="n">
        <x:v>2119</x:v>
      </x:c>
      <x:c r="O420" s="55" t="n">
        <x:v>1577</x:v>
      </x:c>
      <x:c r="P420" s="55" t="n">
        <x:v>982</x:v>
      </x:c>
      <x:c r="Q420" s="55" t="n">
        <x:v>1713</x:v>
      </x:c>
      <x:c r="R420" s="55" t="n">
        <x:v>1789</x:v>
      </x:c>
      <x:c r="S420" s="55" t="n">
        <x:v>3267</x:v>
      </x:c>
      <x:c r="T420" s="55" t="n">
        <x:v>962</x:v>
      </x:c>
      <x:c r="U420" s="55" t="n">
        <x:v>2362</x:v>
      </x:c>
      <x:c r="V420" s="55" t="n">
        <x:v>10236</x:v>
      </x:c>
      <x:c r="W420" s="55" t="n">
        <x:v>7253</x:v>
      </x:c>
      <x:c r="X420" s="55" t="n">
        <x:v>2983</x:v>
      </x:c>
      <x:c r="Y420" s="55" t="n">
        <x:v>2569</x:v>
      </x:c>
      <x:c r="Z420" s="55" t="n">
        <x:v>3616</x:v>
      </x:c>
      <x:c r="AA420" s="55" t="n">
        <x:v>2922</x:v>
      </x:c>
      <x:c r="AB420" s="55" t="n">
        <x:v>808</x:v>
      </x:c>
      <x:c r="AC420" s="55" t="n">
        <x:v>7744</x:v>
      </x:c>
      <x:c r="AD420" s="55" t="n">
        <x:v>2518</x:v>
      </x:c>
      <x:c r="AE420" s="55" t="n">
        <x:v>10312</x:v>
      </x:c>
      <x:c r="AF420" s="55" t="n">
        <x:v>10236</x:v>
      </x:c>
      <x:c r="AG420" s="55" t="n">
        <x:v>76</x:v>
      </x:c>
      <x:c r="AH420" s="55" t="n">
        <x:v>283</x:v>
      </x:c>
      <x:c r="AI420" s="55" t="n">
        <x:v>9953</x:v>
      </x:c>
      <x:c r="AJ420" s="55" t="n">
        <x:v>228</x:v>
      </x:c>
      <x:c r="AK420" s="55" t="n">
        <x:v>1051</x:v>
      </x:c>
      <x:c r="AL420" s="55" t="n">
        <x:v>1865</x:v>
      </x:c>
      <x:c r="AM420" s="55" t="n">
        <x:v>4611</x:v>
      </x:c>
      <x:c r="AN420" s="55" t="n">
        <x:v>2461</x:v>
      </x:c>
      <x:c r="AO420" s="55" t="n">
        <x:v>20</x:v>
      </x:c>
      <x:c r="AP420" s="55" t="n">
        <x:v>2297</x:v>
      </x:c>
      <x:c r="AQ420" s="55" t="n">
        <x:v>907</x:v>
      </x:c>
    </x:row>
    <x:row r="421">
      <x:c r="A421" s="54" t="str">
        <x:v>T2_CONCORDANT_DOMAIN</x:v>
      </x:c>
      <x:c r="B421" s="54" t="n">
        <x:v>415</x:v>
      </x:c>
      <x:c r="C421" s="54" t="str">
        <x:v>NYC-V2-R01</x:v>
      </x:c>
      <x:c r="D421" s="54" t="str">
        <x:v>V2</x:v>
      </x:c>
      <x:c r="E421" s="54" t="str">
        <x:v>ADMITTED</x:v>
      </x:c>
      <x:c r="F421" s="55" t="n">
        <x:v>30574</x:v>
      </x:c>
      <x:c r="G421" s="55" t="n">
        <x:v>6945</x:v>
      </x:c>
      <x:c r="H421" s="55" t="n">
        <x:v>3402</x:v>
      </x:c>
      <x:c r="I421" s="55" t="n">
        <x:v>1387</x:v>
      </x:c>
      <x:c r="J421" s="55" t="n">
        <x:v>261</x:v>
      </x:c>
      <x:c r="K421" s="55" t="n">
        <x:v>30574</x:v>
      </x:c>
      <x:c r="L421" s="55" t="n">
        <x:v>5309</x:v>
      </x:c>
      <x:c r="M421" s="55" t="n">
        <x:v>626</x:v>
      </x:c>
      <x:c r="N421" s="55" t="n">
        <x:v>2769</x:v>
      </x:c>
      <x:c r="O421" s="55" t="n">
        <x:v>1914</x:v>
      </x:c>
      <x:c r="P421" s="55" t="n">
        <x:v>589</x:v>
      </x:c>
      <x:c r="Q421" s="55" t="n">
        <x:v>2431</x:v>
      </x:c>
      <x:c r="R421" s="55" t="n">
        <x:v>1877</x:v>
      </x:c>
      <x:c r="S421" s="55" t="n">
        <x:v>2638</x:v>
      </x:c>
      <x:c r="T421" s="55" t="n">
        <x:v>931</x:v>
      </x:c>
      <x:c r="U421" s="55" t="n">
        <x:v>1324</x:v>
      </x:c>
      <x:c r="V421" s="55" t="n">
        <x:v>10206</x:v>
      </x:c>
      <x:c r="W421" s="55" t="n">
        <x:v>6848</x:v>
      </x:c>
      <x:c r="X421" s="55" t="n">
        <x:v>3358</x:v>
      </x:c>
      <x:c r="Y421" s="55" t="n">
        <x:v>2904</x:v>
      </x:c>
      <x:c r="Z421" s="55" t="n">
        <x:v>3305</x:v>
      </x:c>
      <x:c r="AA421" s="55" t="n">
        <x:v>3402</x:v>
      </x:c>
      <x:c r="AB421" s="55" t="n">
        <x:v>1535</x:v>
      </x:c>
      <x:c r="AC421" s="55" t="n">
        <x:v>7864</x:v>
      </x:c>
      <x:c r="AD421" s="55" t="n">
        <x:v>2785</x:v>
      </x:c>
      <x:c r="AE421" s="55" t="n">
        <x:v>10206</x:v>
      </x:c>
      <x:c r="AF421" s="55" t="n">
        <x:v>10206</x:v>
      </x:c>
      <x:c r="AG421" s="55" t="n">
        <x:v>0</x:v>
      </x:c>
      <x:c r="AH421" s="55" t="n">
        <x:v>346</x:v>
      </x:c>
      <x:c r="AI421" s="55" t="n">
        <x:v>9860</x:v>
      </x:c>
      <x:c r="AJ421" s="55" t="n">
        <x:v>280</x:v>
      </x:c>
      <x:c r="AK421" s="55" t="n">
        <x:v>1021</x:v>
      </x:c>
      <x:c r="AL421" s="55" t="n">
        <x:v>1451</x:v>
      </x:c>
      <x:c r="AM421" s="55" t="n">
        <x:v>4939</x:v>
      </x:c>
      <x:c r="AN421" s="55" t="n">
        <x:v>2503</x:v>
      </x:c>
      <x:c r="AO421" s="55" t="n">
        <x:v>12</x:v>
      </x:c>
      <x:c r="AP421" s="55" t="n">
        <x:v>1961</x:v>
      </x:c>
      <x:c r="AQ421" s="55" t="n">
        <x:v>947</x:v>
      </x:c>
    </x:row>
    <x:row r="422">
      <x:c r="A422" s="54" t="str">
        <x:v>T2_CONCORDANT_DOMAIN</x:v>
      </x:c>
      <x:c r="B422" s="54" t="n">
        <x:v>416</x:v>
      </x:c>
      <x:c r="C422" s="54" t="str">
        <x:v>NYC-V2-R01</x:v>
      </x:c>
      <x:c r="D422" s="54" t="str">
        <x:v>V2</x:v>
      </x:c>
      <x:c r="E422" s="54" t="str">
        <x:v>ADMITTED</x:v>
      </x:c>
      <x:c r="F422" s="55" t="n">
        <x:v>31875</x:v>
      </x:c>
      <x:c r="G422" s="55" t="n">
        <x:v>8451</x:v>
      </x:c>
      <x:c r="H422" s="55" t="n">
        <x:v>3089</x:v>
      </x:c>
      <x:c r="I422" s="55" t="n">
        <x:v>1035</x:v>
      </x:c>
      <x:c r="J422" s="55" t="n">
        <x:v>186</x:v>
      </x:c>
      <x:c r="K422" s="55" t="n">
        <x:v>30577</x:v>
      </x:c>
      <x:c r="L422" s="55" t="n">
        <x:v>5117</x:v>
      </x:c>
      <x:c r="M422" s="55" t="n">
        <x:v>1326</x:v>
      </x:c>
      <x:c r="N422" s="55" t="n">
        <x:v>2211</x:v>
      </x:c>
      <x:c r="O422" s="55" t="n">
        <x:v>1580</x:v>
      </x:c>
      <x:c r="P422" s="55" t="n">
        <x:v>740</x:v>
      </x:c>
      <x:c r="Q422" s="55" t="n">
        <x:v>2412</x:v>
      </x:c>
      <x:c r="R422" s="55" t="n">
        <x:v>1648</x:v>
      </x:c>
      <x:c r="S422" s="55" t="n">
        <x:v>2725</x:v>
      </x:c>
      <x:c r="T422" s="55" t="n">
        <x:v>1078</x:v>
      </x:c>
      <x:c r="U422" s="55" t="n">
        <x:v>2100</x:v>
      </x:c>
      <x:c r="V422" s="55" t="n">
        <x:v>10660</x:v>
      </x:c>
      <x:c r="W422" s="55" t="n">
        <x:v>7522</x:v>
      </x:c>
      <x:c r="X422" s="55" t="n">
        <x:v>3138</x:v>
      </x:c>
      <x:c r="Y422" s="55" t="n">
        <x:v>2656</x:v>
      </x:c>
      <x:c r="Z422" s="55" t="n">
        <x:v>4355</x:v>
      </x:c>
      <x:c r="AA422" s="55" t="n">
        <x:v>2967</x:v>
      </x:c>
      <x:c r="AB422" s="55" t="n">
        <x:v>1227</x:v>
      </x:c>
      <x:c r="AC422" s="55" t="n">
        <x:v>8818</x:v>
      </x:c>
      <x:c r="AD422" s="55" t="n">
        <x:v>3563</x:v>
      </x:c>
      <x:c r="AE422" s="55" t="n">
        <x:v>10775</x:v>
      </x:c>
      <x:c r="AF422" s="55" t="n">
        <x:v>10660</x:v>
      </x:c>
      <x:c r="AG422" s="55" t="n">
        <x:v>115</x:v>
      </x:c>
      <x:c r="AH422" s="55" t="n">
        <x:v>628</x:v>
      </x:c>
      <x:c r="AI422" s="55" t="n">
        <x:v>10032</x:v>
      </x:c>
      <x:c r="AJ422" s="55" t="n">
        <x:v>423</x:v>
      </x:c>
      <x:c r="AK422" s="55" t="n">
        <x:v>1287</x:v>
      </x:c>
      <x:c r="AL422" s="55" t="n">
        <x:v>1639</x:v>
      </x:c>
      <x:c r="AM422" s="55" t="n">
        <x:v>5083</x:v>
      </x:c>
      <x:c r="AN422" s="55" t="n">
        <x:v>2228</x:v>
      </x:c>
      <x:c r="AO422" s="55" t="n">
        <x:v>0</x:v>
      </x:c>
      <x:c r="AP422" s="55" t="n">
        <x:v>2683</x:v>
      </x:c>
      <x:c r="AQ422" s="55" t="n">
        <x:v>966</x:v>
      </x:c>
    </x:row>
    <x:row r="423">
      <x:c r="A423" s="54" t="str">
        <x:v>T2_CONCORDANT_DOMAIN</x:v>
      </x:c>
      <x:c r="B423" s="54" t="n">
        <x:v>417</x:v>
      </x:c>
      <x:c r="C423" s="54" t="str">
        <x:v>NYC-V2-R01</x:v>
      </x:c>
      <x:c r="D423" s="54" t="str">
        <x:v>V2</x:v>
      </x:c>
      <x:c r="E423" s="54" t="str">
        <x:v>ADMITTED</x:v>
      </x:c>
      <x:c r="F423" s="55" t="n">
        <x:v>29803</x:v>
      </x:c>
      <x:c r="G423" s="55" t="n">
        <x:v>7619</x:v>
      </x:c>
      <x:c r="H423" s="55" t="n">
        <x:v>2788</x:v>
      </x:c>
      <x:c r="I423" s="55" t="n">
        <x:v>1046</x:v>
      </x:c>
      <x:c r="J423" s="55" t="n">
        <x:v>86</x:v>
      </x:c>
      <x:c r="K423" s="55" t="n">
        <x:v>28768</x:v>
      </x:c>
      <x:c r="L423" s="55" t="n">
        <x:v>3717</x:v>
      </x:c>
      <x:c r="M423" s="55" t="n">
        <x:v>66</x:v>
      </x:c>
      <x:c r="N423" s="55" t="n">
        <x:v>2104</x:v>
      </x:c>
      <x:c r="O423" s="55" t="n">
        <x:v>1547</x:v>
      </x:c>
      <x:c r="P423" s="55" t="n">
        <x:v>784</x:v>
      </x:c>
      <x:c r="Q423" s="55" t="n">
        <x:v>1246</x:v>
      </x:c>
      <x:c r="R423" s="55" t="n">
        <x:v>1497</x:v>
      </x:c>
      <x:c r="S423" s="55" t="n">
        <x:v>2001</x:v>
      </x:c>
      <x:c r="T423" s="55" t="n">
        <x:v>1050</x:v>
      </x:c>
      <x:c r="U423" s="55" t="n">
        <x:v>1377</x:v>
      </x:c>
      <x:c r="V423" s="55" t="n">
        <x:v>10475</x:v>
      </x:c>
      <x:c r="W423" s="55" t="n">
        <x:v>7536</x:v>
      </x:c>
      <x:c r="X423" s="55" t="n">
        <x:v>2939</x:v>
      </x:c>
      <x:c r="Y423" s="55" t="n">
        <x:v>2509</x:v>
      </x:c>
      <x:c r="Z423" s="55" t="n">
        <x:v>3025</x:v>
      </x:c>
      <x:c r="AA423" s="55" t="n">
        <x:v>2788</x:v>
      </x:c>
      <x:c r="AB423" s="55" t="n">
        <x:v>804</x:v>
      </x:c>
      <x:c r="AC423" s="55" t="n">
        <x:v>7011</x:v>
      </x:c>
      <x:c r="AD423" s="55" t="n">
        <x:v>2206</x:v>
      </x:c>
      <x:c r="AE423" s="55" t="n">
        <x:v>10475</x:v>
      </x:c>
      <x:c r="AF423" s="55" t="n">
        <x:v>10475</x:v>
      </x:c>
      <x:c r="AG423" s="55" t="n">
        <x:v>0</x:v>
      </x:c>
      <x:c r="AH423" s="55" t="n">
        <x:v>301</x:v>
      </x:c>
      <x:c r="AI423" s="55" t="n">
        <x:v>10174</x:v>
      </x:c>
      <x:c r="AJ423" s="55" t="n">
        <x:v>333</x:v>
      </x:c>
      <x:c r="AK423" s="55" t="n">
        <x:v>709</x:v>
      </x:c>
      <x:c r="AL423" s="55" t="n">
        <x:v>1962</x:v>
      </x:c>
      <x:c r="AM423" s="55" t="n">
        <x:v>4553</x:v>
      </x:c>
      <x:c r="AN423" s="55" t="n">
        <x:v>2882</x:v>
      </x:c>
      <x:c r="AO423" s="55" t="n">
        <x:v>36</x:v>
      </x:c>
      <x:c r="AP423" s="55" t="n">
        <x:v>2299</x:v>
      </x:c>
      <x:c r="AQ423" s="55" t="n">
        <x:v>931</x:v>
      </x:c>
    </x:row>
    <x:row r="424">
      <x:c r="A424" s="54" t="str">
        <x:v>T2_CONCORDANT_DOMAIN</x:v>
      </x:c>
      <x:c r="B424" s="54" t="n">
        <x:v>418</x:v>
      </x:c>
      <x:c r="C424" s="54" t="str">
        <x:v>NYC-V2-R01</x:v>
      </x:c>
      <x:c r="D424" s="54" t="str">
        <x:v>V2</x:v>
      </x:c>
      <x:c r="E424" s="54" t="str">
        <x:v>ADMITTED</x:v>
      </x:c>
      <x:c r="F424" s="55" t="n">
        <x:v>28755</x:v>
      </x:c>
      <x:c r="G424" s="55" t="n">
        <x:v>6358</x:v>
      </x:c>
      <x:c r="H424" s="55" t="n">
        <x:v>2702</x:v>
      </x:c>
      <x:c r="I424" s="55" t="n">
        <x:v>731</x:v>
      </x:c>
      <x:c r="J424" s="55" t="n">
        <x:v>0</x:v>
      </x:c>
      <x:c r="K424" s="55" t="n">
        <x:v>28755</x:v>
      </x:c>
      <x:c r="L424" s="55" t="n">
        <x:v>5588</x:v>
      </x:c>
      <x:c r="M424" s="55" t="n">
        <x:v>547</x:v>
      </x:c>
      <x:c r="N424" s="55" t="n">
        <x:v>3020</x:v>
      </x:c>
      <x:c r="O424" s="55" t="n">
        <x:v>2021</x:v>
      </x:c>
      <x:c r="P424" s="55" t="n">
        <x:v>854</x:v>
      </x:c>
      <x:c r="Q424" s="55" t="n">
        <x:v>1714</x:v>
      </x:c>
      <x:c r="R424" s="55" t="n">
        <x:v>1726</x:v>
      </x:c>
      <x:c r="S424" s="55" t="n">
        <x:v>2680</x:v>
      </x:c>
      <x:c r="T424" s="55" t="n">
        <x:v>837</x:v>
      </x:c>
      <x:c r="U424" s="55" t="n">
        <x:v>1993</x:v>
      </x:c>
      <x:c r="V424" s="55" t="n">
        <x:v>10264</x:v>
      </x:c>
      <x:c r="W424" s="55" t="n">
        <x:v>7309</x:v>
      </x:c>
      <x:c r="X424" s="55" t="n">
        <x:v>2955</x:v>
      </x:c>
      <x:c r="Y424" s="55" t="n">
        <x:v>2306</x:v>
      </x:c>
      <x:c r="Z424" s="55" t="n">
        <x:v>3070</x:v>
      </x:c>
      <x:c r="AA424" s="55" t="n">
        <x:v>2654</x:v>
      </x:c>
      <x:c r="AB424" s="55" t="n">
        <x:v>922</x:v>
      </x:c>
      <x:c r="AC424" s="55" t="n">
        <x:v>7749</x:v>
      </x:c>
      <x:c r="AD424" s="55" t="n">
        <x:v>2527</x:v>
      </x:c>
      <x:c r="AE424" s="55" t="n">
        <x:v>10305</x:v>
      </x:c>
      <x:c r="AF424" s="55" t="n">
        <x:v>10264</x:v>
      </x:c>
      <x:c r="AG424" s="55" t="n">
        <x:v>41</x:v>
      </x:c>
      <x:c r="AH424" s="55" t="n">
        <x:v>196</x:v>
      </x:c>
      <x:c r="AI424" s="55" t="n">
        <x:v>10068</x:v>
      </x:c>
      <x:c r="AJ424" s="55" t="n">
        <x:v>152</x:v>
      </x:c>
      <x:c r="AK424" s="55" t="n">
        <x:v>882</x:v>
      </x:c>
      <x:c r="AL424" s="55" t="n">
        <x:v>1694</x:v>
      </x:c>
      <x:c r="AM424" s="55" t="n">
        <x:v>5030</x:v>
      </x:c>
      <x:c r="AN424" s="55" t="n">
        <x:v>2506</x:v>
      </x:c>
      <x:c r="AO424" s="55" t="n">
        <x:v>0</x:v>
      </x:c>
      <x:c r="AP424" s="55" t="n">
        <x:v>1884</x:v>
      </x:c>
      <x:c r="AQ424" s="55" t="n">
        <x:v>936</x:v>
      </x:c>
    </x:row>
    <x:row r="425">
      <x:c r="A425" s="54" t="str">
        <x:v>T2_CONCORDANT_DOMAIN</x:v>
      </x:c>
      <x:c r="B425" s="54" t="n">
        <x:v>419</x:v>
      </x:c>
      <x:c r="C425" s="54" t="str">
        <x:v>NYC-V2-R01</x:v>
      </x:c>
      <x:c r="D425" s="54" t="str">
        <x:v>V2</x:v>
      </x:c>
      <x:c r="E425" s="54" t="str">
        <x:v>ADMITTED</x:v>
      </x:c>
      <x:c r="F425" s="55" t="n">
        <x:v>32601</x:v>
      </x:c>
      <x:c r="G425" s="55" t="n">
        <x:v>8379</x:v>
      </x:c>
      <x:c r="H425" s="55" t="n">
        <x:v>3579</x:v>
      </x:c>
      <x:c r="I425" s="55" t="n">
        <x:v>1456</x:v>
      </x:c>
      <x:c r="J425" s="55" t="n">
        <x:v>408</x:v>
      </x:c>
      <x:c r="K425" s="55" t="n">
        <x:v>28212</x:v>
      </x:c>
      <x:c r="L425" s="55" t="n">
        <x:v>4298</x:v>
      </x:c>
      <x:c r="M425" s="55" t="n">
        <x:v>1109</x:v>
      </x:c>
      <x:c r="N425" s="55" t="n">
        <x:v>1732</x:v>
      </x:c>
      <x:c r="O425" s="55" t="n">
        <x:v>1457</x:v>
      </x:c>
      <x:c r="P425" s="55" t="n">
        <x:v>691</x:v>
      </x:c>
      <x:c r="Q425" s="55" t="n">
        <x:v>2393</x:v>
      </x:c>
      <x:c r="R425" s="55" t="n">
        <x:v>1676</x:v>
      </x:c>
      <x:c r="S425" s="55" t="n">
        <x:v>2804</x:v>
      </x:c>
      <x:c r="T425" s="55" t="n">
        <x:v>1134</x:v>
      </x:c>
      <x:c r="U425" s="55" t="n">
        <x:v>1748</x:v>
      </x:c>
      <x:c r="V425" s="55" t="n">
        <x:v>10433</x:v>
      </x:c>
      <x:c r="W425" s="55" t="n">
        <x:v>7246</x:v>
      </x:c>
      <x:c r="X425" s="55" t="n">
        <x:v>3187</x:v>
      </x:c>
      <x:c r="Y425" s="55" t="n">
        <x:v>2837</x:v>
      </x:c>
      <x:c r="Z425" s="55" t="n">
        <x:v>3961</x:v>
      </x:c>
      <x:c r="AA425" s="55" t="n">
        <x:v>3388</x:v>
      </x:c>
      <x:c r="AB425" s="55" t="n">
        <x:v>1105</x:v>
      </x:c>
      <x:c r="AC425" s="55" t="n">
        <x:v>8337</x:v>
      </x:c>
      <x:c r="AD425" s="55" t="n">
        <x:v>2971</x:v>
      </x:c>
      <x:c r="AE425" s="55" t="n">
        <x:v>10585</x:v>
      </x:c>
      <x:c r="AF425" s="55" t="n">
        <x:v>10433</x:v>
      </x:c>
      <x:c r="AG425" s="55" t="n">
        <x:v>152</x:v>
      </x:c>
      <x:c r="AH425" s="55" t="n">
        <x:v>292</x:v>
      </x:c>
      <x:c r="AI425" s="55" t="n">
        <x:v>10141</x:v>
      </x:c>
      <x:c r="AJ425" s="55" t="n">
        <x:v>306</x:v>
      </x:c>
      <x:c r="AK425" s="55" t="n">
        <x:v>1043</x:v>
      </x:c>
      <x:c r="AL425" s="55" t="n">
        <x:v>2014</x:v>
      </x:c>
      <x:c r="AM425" s="55" t="n">
        <x:v>4634</x:v>
      </x:c>
      <x:c r="AN425" s="55" t="n">
        <x:v>2425</x:v>
      </x:c>
      <x:c r="AO425" s="55" t="n">
        <x:v>11</x:v>
      </x:c>
      <x:c r="AP425" s="55" t="n">
        <x:v>2788</x:v>
      </x:c>
      <x:c r="AQ425" s="55" t="n">
        <x:v>982</x:v>
      </x:c>
    </x:row>
    <x:row r="426">
      <x:c r="A426" s="54" t="str">
        <x:v>T2_CONCORDANT_DOMAIN</x:v>
      </x:c>
      <x:c r="B426" s="54" t="n">
        <x:v>420</x:v>
      </x:c>
      <x:c r="C426" s="54" t="str">
        <x:v>NYC-V2-R01</x:v>
      </x:c>
      <x:c r="D426" s="54" t="str">
        <x:v>V2</x:v>
      </x:c>
      <x:c r="E426" s="54" t="str">
        <x:v>ADMITTED</x:v>
      </x:c>
      <x:c r="F426" s="55" t="n">
        <x:v>32641</x:v>
      </x:c>
      <x:c r="G426" s="55" t="n">
        <x:v>8705</x:v>
      </x:c>
      <x:c r="H426" s="55" t="n">
        <x:v>3094</x:v>
      </x:c>
      <x:c r="I426" s="55" t="n">
        <x:v>682</x:v>
      </x:c>
      <x:c r="J426" s="55" t="n">
        <x:v>129</x:v>
      </x:c>
      <x:c r="K426" s="55" t="n">
        <x:v>30518</x:v>
      </x:c>
      <x:c r="L426" s="55" t="n">
        <x:v>7380</x:v>
      </x:c>
      <x:c r="M426" s="55" t="n">
        <x:v>1580</x:v>
      </x:c>
      <x:c r="N426" s="55" t="n">
        <x:v>3312</x:v>
      </x:c>
      <x:c r="O426" s="55" t="n">
        <x:v>2488</x:v>
      </x:c>
      <x:c r="P426" s="55" t="n">
        <x:v>849</x:v>
      </x:c>
      <x:c r="Q426" s="55" t="n">
        <x:v>3064</x:v>
      </x:c>
      <x:c r="R426" s="55" t="n">
        <x:v>2165</x:v>
      </x:c>
      <x:c r="S426" s="55" t="n">
        <x:v>3191</x:v>
      </x:c>
      <x:c r="T426" s="55" t="n">
        <x:v>1433</x:v>
      </x:c>
      <x:c r="U426" s="55" t="n">
        <x:v>2318</x:v>
      </x:c>
      <x:c r="V426" s="55" t="n">
        <x:v>11021</x:v>
      </x:c>
      <x:c r="W426" s="55" t="n">
        <x:v>7795</x:v>
      </x:c>
      <x:c r="X426" s="55" t="n">
        <x:v>3226</x:v>
      </x:c>
      <x:c r="Y426" s="55" t="n">
        <x:v>2783</x:v>
      </x:c>
      <x:c r="Z426" s="55" t="n">
        <x:v>4258</x:v>
      </x:c>
      <x:c r="AA426" s="55" t="n">
        <x:v>3094</x:v>
      </x:c>
      <x:c r="AB426" s="55" t="n">
        <x:v>1143</x:v>
      </x:c>
      <x:c r="AC426" s="55" t="n">
        <x:v>8234</x:v>
      </x:c>
      <x:c r="AD426" s="55" t="n">
        <x:v>3324</x:v>
      </x:c>
      <x:c r="AE426" s="55" t="n">
        <x:v>11111</x:v>
      </x:c>
      <x:c r="AF426" s="55" t="n">
        <x:v>11021</x:v>
      </x:c>
      <x:c r="AG426" s="55" t="n">
        <x:v>90</x:v>
      </x:c>
      <x:c r="AH426" s="55" t="n">
        <x:v>520</x:v>
      </x:c>
      <x:c r="AI426" s="55" t="n">
        <x:v>10501</x:v>
      </x:c>
      <x:c r="AJ426" s="55" t="n">
        <x:v>398</x:v>
      </x:c>
      <x:c r="AK426" s="55" t="n">
        <x:v>1122</x:v>
      </x:c>
      <x:c r="AL426" s="55" t="n">
        <x:v>1432</x:v>
      </x:c>
      <x:c r="AM426" s="55" t="n">
        <x:v>5006</x:v>
      </x:c>
      <x:c r="AN426" s="55" t="n">
        <x:v>3063</x:v>
      </x:c>
      <x:c r="AO426" s="55" t="n">
        <x:v>0</x:v>
      </x:c>
      <x:c r="AP426" s="55" t="n">
        <x:v>2400</x:v>
      </x:c>
      <x:c r="AQ426" s="55" t="n">
        <x:v>961</x:v>
      </x:c>
    </x:row>
    <x:row r="427">
      <x:c r="A427" s="54" t="str">
        <x:v>T2_CONCORDANT_DOMAIN</x:v>
      </x:c>
      <x:c r="B427" s="54" t="n">
        <x:v>421</x:v>
      </x:c>
      <x:c r="C427" s="54" t="str">
        <x:v>NYC-V2-R01</x:v>
      </x:c>
      <x:c r="D427" s="54" t="str">
        <x:v>V2</x:v>
      </x:c>
      <x:c r="E427" s="54" t="str">
        <x:v>ADMITTED</x:v>
      </x:c>
      <x:c r="F427" s="55" t="n">
        <x:v>32022</x:v>
      </x:c>
      <x:c r="G427" s="55" t="n">
        <x:v>8103</x:v>
      </x:c>
      <x:c r="H427" s="55" t="n">
        <x:v>3233</x:v>
      </x:c>
      <x:c r="I427" s="55" t="n">
        <x:v>1576</x:v>
      </x:c>
      <x:c r="J427" s="55" t="n">
        <x:v>195</x:v>
      </x:c>
      <x:c r="K427" s="55" t="n">
        <x:v>29836</x:v>
      </x:c>
      <x:c r="L427" s="55" t="n">
        <x:v>5054</x:v>
      </x:c>
      <x:c r="M427" s="55" t="n">
        <x:v>907</x:v>
      </x:c>
      <x:c r="N427" s="55" t="n">
        <x:v>2430</x:v>
      </x:c>
      <x:c r="O427" s="55" t="n">
        <x:v>1717</x:v>
      </x:c>
      <x:c r="P427" s="55" t="n">
        <x:v>923</x:v>
      </x:c>
      <x:c r="Q427" s="55" t="n">
        <x:v>2016</x:v>
      </x:c>
      <x:c r="R427" s="55" t="n">
        <x:v>1719</x:v>
      </x:c>
      <x:c r="S427" s="55" t="n">
        <x:v>2441</x:v>
      </x:c>
      <x:c r="T427" s="55" t="n">
        <x:v>1176</x:v>
      </x:c>
      <x:c r="U427" s="55" t="n">
        <x:v>2034</x:v>
      </x:c>
      <x:c r="V427" s="55" t="n">
        <x:v>10664</x:v>
      </x:c>
      <x:c r="W427" s="55" t="n">
        <x:v>7404</x:v>
      </x:c>
      <x:c r="X427" s="55" t="n">
        <x:v>3260</x:v>
      </x:c>
      <x:c r="Y427" s="55" t="n">
        <x:v>2937</x:v>
      </x:c>
      <x:c r="Z427" s="55" t="n">
        <x:v>3998</x:v>
      </x:c>
      <x:c r="AA427" s="55" t="n">
        <x:v>3219</x:v>
      </x:c>
      <x:c r="AB427" s="55" t="n">
        <x:v>1204</x:v>
      </x:c>
      <x:c r="AC427" s="55" t="n">
        <x:v>7997</x:v>
      </x:c>
      <x:c r="AD427" s="55" t="n">
        <x:v>3006</x:v>
      </x:c>
      <x:c r="AE427" s="55" t="n">
        <x:v>10786</x:v>
      </x:c>
      <x:c r="AF427" s="55" t="n">
        <x:v>10664</x:v>
      </x:c>
      <x:c r="AG427" s="55" t="n">
        <x:v>122</x:v>
      </x:c>
      <x:c r="AH427" s="55" t="n">
        <x:v>532</x:v>
      </x:c>
      <x:c r="AI427" s="55" t="n">
        <x:v>10132</x:v>
      </x:c>
      <x:c r="AJ427" s="55" t="n">
        <x:v>424</x:v>
      </x:c>
      <x:c r="AK427" s="55" t="n">
        <x:v>948</x:v>
      </x:c>
      <x:c r="AL427" s="55" t="n">
        <x:v>1678</x:v>
      </x:c>
      <x:c r="AM427" s="55" t="n">
        <x:v>4783</x:v>
      </x:c>
      <x:c r="AN427" s="55" t="n">
        <x:v>2765</x:v>
      </x:c>
      <x:c r="AO427" s="55" t="n">
        <x:v>66</x:v>
      </x:c>
      <x:c r="AP427" s="55" t="n">
        <x:v>2256</x:v>
      </x:c>
      <x:c r="AQ427" s="55" t="n">
        <x:v>956</x:v>
      </x:c>
    </x:row>
    <x:row r="428">
      <x:c r="A428" s="54" t="str">
        <x:v>T2_CONCORDANT_DOMAIN</x:v>
      </x:c>
      <x:c r="B428" s="54" t="n">
        <x:v>422</x:v>
      </x:c>
      <x:c r="C428" s="54" t="str">
        <x:v>NYC-V2-R01</x:v>
      </x:c>
      <x:c r="D428" s="54" t="str">
        <x:v>V2</x:v>
      </x:c>
      <x:c r="E428" s="54" t="str">
        <x:v>ADMITTED</x:v>
      </x:c>
      <x:c r="F428" s="55" t="n">
        <x:v>32534</x:v>
      </x:c>
      <x:c r="G428" s="55" t="n">
        <x:v>8566</x:v>
      </x:c>
      <x:c r="H428" s="55" t="n">
        <x:v>3440</x:v>
      </x:c>
      <x:c r="I428" s="55" t="n">
        <x:v>1240</x:v>
      </x:c>
      <x:c r="J428" s="55" t="n">
        <x:v>353</x:v>
      </x:c>
      <x:c r="K428" s="55" t="n">
        <x:v>30546</x:v>
      </x:c>
      <x:c r="L428" s="55" t="n">
        <x:v>5605</x:v>
      </x:c>
      <x:c r="M428" s="55" t="n">
        <x:v>1115</x:v>
      </x:c>
      <x:c r="N428" s="55" t="n">
        <x:v>2833</x:v>
      </x:c>
      <x:c r="O428" s="55" t="n">
        <x:v>1657</x:v>
      </x:c>
      <x:c r="P428" s="55" t="n">
        <x:v>462</x:v>
      </x:c>
      <x:c r="Q428" s="55" t="n">
        <x:v>1814</x:v>
      </x:c>
      <x:c r="R428" s="55" t="n">
        <x:v>1615</x:v>
      </x:c>
      <x:c r="S428" s="55" t="n">
        <x:v>2917</x:v>
      </x:c>
      <x:c r="T428" s="55" t="n">
        <x:v>1127</x:v>
      </x:c>
      <x:c r="U428" s="55" t="n">
        <x:v>1987</x:v>
      </x:c>
      <x:c r="V428" s="55" t="n">
        <x:v>10335</x:v>
      </x:c>
      <x:c r="W428" s="55" t="n">
        <x:v>7582</x:v>
      </x:c>
      <x:c r="X428" s="55" t="n">
        <x:v>2753</x:v>
      </x:c>
      <x:c r="Y428" s="55" t="n">
        <x:v>2491</x:v>
      </x:c>
      <x:c r="Z428" s="55" t="n">
        <x:v>3993</x:v>
      </x:c>
      <x:c r="AA428" s="55" t="n">
        <x:v>3017</x:v>
      </x:c>
      <x:c r="AB428" s="55" t="n">
        <x:v>1233</x:v>
      </x:c>
      <x:c r="AC428" s="55" t="n">
        <x:v>7421</x:v>
      </x:c>
      <x:c r="AD428" s="55" t="n">
        <x:v>2853</x:v>
      </x:c>
      <x:c r="AE428" s="55" t="n">
        <x:v>10372</x:v>
      </x:c>
      <x:c r="AF428" s="55" t="n">
        <x:v>10335</x:v>
      </x:c>
      <x:c r="AG428" s="55" t="n">
        <x:v>37</x:v>
      </x:c>
      <x:c r="AH428" s="55" t="n">
        <x:v>491</x:v>
      </x:c>
      <x:c r="AI428" s="55" t="n">
        <x:v>9844</x:v>
      </x:c>
      <x:c r="AJ428" s="55" t="n">
        <x:v>337</x:v>
      </x:c>
      <x:c r="AK428" s="55" t="n">
        <x:v>782</x:v>
      </x:c>
      <x:c r="AL428" s="55" t="n">
        <x:v>1640</x:v>
      </x:c>
      <x:c r="AM428" s="55" t="n">
        <x:v>4855</x:v>
      </x:c>
      <x:c r="AN428" s="55" t="n">
        <x:v>2721</x:v>
      </x:c>
      <x:c r="AO428" s="55" t="n">
        <x:v>0</x:v>
      </x:c>
      <x:c r="AP428" s="55" t="n">
        <x:v>2338</x:v>
      </x:c>
      <x:c r="AQ428" s="55" t="n">
        <x:v>973</x:v>
      </x:c>
    </x:row>
    <x:row r="429">
      <x:c r="A429" s="54" t="str">
        <x:v>T2_CONCORDANT_DOMAIN</x:v>
      </x:c>
      <x:c r="B429" s="54" t="n">
        <x:v>423</x:v>
      </x:c>
      <x:c r="C429" s="54" t="str">
        <x:v>NYC-V2-R01</x:v>
      </x:c>
      <x:c r="D429" s="54" t="str">
        <x:v>V2</x:v>
      </x:c>
      <x:c r="E429" s="54" t="str">
        <x:v>ADMITTED</x:v>
      </x:c>
      <x:c r="F429" s="55" t="n">
        <x:v>31305</x:v>
      </x:c>
      <x:c r="G429" s="55" t="n">
        <x:v>8395</x:v>
      </x:c>
      <x:c r="H429" s="55" t="n">
        <x:v>3171</x:v>
      </x:c>
      <x:c r="I429" s="55" t="n">
        <x:v>989</x:v>
      </x:c>
      <x:c r="J429" s="55" t="n">
        <x:v>146</x:v>
      </x:c>
      <x:c r="K429" s="55" t="n">
        <x:v>31305</x:v>
      </x:c>
      <x:c r="L429" s="55" t="n">
        <x:v>5875</x:v>
      </x:c>
      <x:c r="M429" s="55" t="n">
        <x:v>1235</x:v>
      </x:c>
      <x:c r="N429" s="55" t="n">
        <x:v>2846</x:v>
      </x:c>
      <x:c r="O429" s="55" t="n">
        <x:v>1794</x:v>
      </x:c>
      <x:c r="P429" s="55" t="n">
        <x:v>1043</x:v>
      </x:c>
      <x:c r="Q429" s="55" t="n">
        <x:v>3007</x:v>
      </x:c>
      <x:c r="R429" s="55" t="n">
        <x:v>2037</x:v>
      </x:c>
      <x:c r="S429" s="55" t="n">
        <x:v>2821</x:v>
      </x:c>
      <x:c r="T429" s="55" t="n">
        <x:v>1304</x:v>
      </x:c>
      <x:c r="U429" s="55" t="n">
        <x:v>1734</x:v>
      </x:c>
      <x:c r="V429" s="55" t="n">
        <x:v>10408</x:v>
      </x:c>
      <x:c r="W429" s="55" t="n">
        <x:v>7521</x:v>
      </x:c>
      <x:c r="X429" s="55" t="n">
        <x:v>2887</x:v>
      </x:c>
      <x:c r="Y429" s="55" t="n">
        <x:v>2573</x:v>
      </x:c>
      <x:c r="Z429" s="55" t="n">
        <x:v>3846</x:v>
      </x:c>
      <x:c r="AA429" s="55" t="n">
        <x:v>2848</x:v>
      </x:c>
      <x:c r="AB429" s="55" t="n">
        <x:v>920</x:v>
      </x:c>
      <x:c r="AC429" s="55" t="n">
        <x:v>7552</x:v>
      </x:c>
      <x:c r="AD429" s="55" t="n">
        <x:v>2868</x:v>
      </x:c>
      <x:c r="AE429" s="55" t="n">
        <x:v>10487</x:v>
      </x:c>
      <x:c r="AF429" s="55" t="n">
        <x:v>10408</x:v>
      </x:c>
      <x:c r="AG429" s="55" t="n">
        <x:v>79</x:v>
      </x:c>
      <x:c r="AH429" s="55" t="n">
        <x:v>411</x:v>
      </x:c>
      <x:c r="AI429" s="55" t="n">
        <x:v>9997</x:v>
      </x:c>
      <x:c r="AJ429" s="55" t="n">
        <x:v>273</x:v>
      </x:c>
      <x:c r="AK429" s="55" t="n">
        <x:v>922</x:v>
      </x:c>
      <x:c r="AL429" s="55" t="n">
        <x:v>1295</x:v>
      </x:c>
      <x:c r="AM429" s="55" t="n">
        <x:v>5124</x:v>
      </x:c>
      <x:c r="AN429" s="55" t="n">
        <x:v>2794</x:v>
      </x:c>
      <x:c r="AO429" s="55" t="n">
        <x:v>0</x:v>
      </x:c>
      <x:c r="AP429" s="55" t="n">
        <x:v>2261</x:v>
      </x:c>
      <x:c r="AQ429" s="55" t="n">
        <x:v>948</x:v>
      </x:c>
    </x:row>
    <x:row r="430">
      <x:c r="A430" s="54" t="str">
        <x:v>T2_CONCORDANT_DOMAIN</x:v>
      </x:c>
      <x:c r="B430" s="54" t="n">
        <x:v>424</x:v>
      </x:c>
      <x:c r="C430" s="54" t="str">
        <x:v>NYC-V2-R01</x:v>
      </x:c>
      <x:c r="D430" s="54" t="str">
        <x:v>V2</x:v>
      </x:c>
      <x:c r="E430" s="54" t="str">
        <x:v>ADMITTED</x:v>
      </x:c>
      <x:c r="F430" s="55" t="n">
        <x:v>31643</x:v>
      </x:c>
      <x:c r="G430" s="55" t="n">
        <x:v>7700</x:v>
      </x:c>
      <x:c r="H430" s="55" t="n">
        <x:v>3391</x:v>
      </x:c>
      <x:c r="I430" s="55" t="n">
        <x:v>1146</x:v>
      </x:c>
      <x:c r="J430" s="55" t="n">
        <x:v>269</x:v>
      </x:c>
      <x:c r="K430" s="55" t="n">
        <x:v>31643</x:v>
      </x:c>
      <x:c r="L430" s="55" t="n">
        <x:v>6270</x:v>
      </x:c>
      <x:c r="M430" s="55" t="n">
        <x:v>1880</x:v>
      </x:c>
      <x:c r="N430" s="55" t="n">
        <x:v>2753</x:v>
      </x:c>
      <x:c r="O430" s="55" t="n">
        <x:v>1637</x:v>
      </x:c>
      <x:c r="P430" s="55" t="n">
        <x:v>1108</x:v>
      </x:c>
      <x:c r="Q430" s="55" t="n">
        <x:v>3156</x:v>
      </x:c>
      <x:c r="R430" s="55" t="n">
        <x:v>1764</x:v>
      </x:c>
      <x:c r="S430" s="55" t="n">
        <x:v>2812</x:v>
      </x:c>
      <x:c r="T430" s="55" t="n">
        <x:v>962</x:v>
      </x:c>
      <x:c r="U430" s="55" t="n">
        <x:v>1647</x:v>
      </x:c>
      <x:c r="V430" s="55" t="n">
        <x:v>10933</x:v>
      </x:c>
      <x:c r="W430" s="55" t="n">
        <x:v>7841</x:v>
      </x:c>
      <x:c r="X430" s="55" t="n">
        <x:v>3092</x:v>
      </x:c>
      <x:c r="Y430" s="55" t="n">
        <x:v>2782</x:v>
      </x:c>
      <x:c r="Z430" s="55" t="n">
        <x:v>4220</x:v>
      </x:c>
      <x:c r="AA430" s="55" t="n">
        <x:v>3391</x:v>
      </x:c>
      <x:c r="AB430" s="55" t="n">
        <x:v>1065</x:v>
      </x:c>
      <x:c r="AC430" s="55" t="n">
        <x:v>7752</x:v>
      </x:c>
      <x:c r="AD430" s="55" t="n">
        <x:v>3058</x:v>
      </x:c>
      <x:c r="AE430" s="55" t="n">
        <x:v>11001</x:v>
      </x:c>
      <x:c r="AF430" s="55" t="n">
        <x:v>10933</x:v>
      </x:c>
      <x:c r="AG430" s="55" t="n">
        <x:v>68</x:v>
      </x:c>
      <x:c r="AH430" s="55" t="n">
        <x:v>468</x:v>
      </x:c>
      <x:c r="AI430" s="55" t="n">
        <x:v>10465</x:v>
      </x:c>
      <x:c r="AJ430" s="55" t="n">
        <x:v>455</x:v>
      </x:c>
      <x:c r="AK430" s="55" t="n">
        <x:v>1323</x:v>
      </x:c>
      <x:c r="AL430" s="55" t="n">
        <x:v>1493</x:v>
      </x:c>
      <x:c r="AM430" s="55" t="n">
        <x:v>5115</x:v>
      </x:c>
      <x:c r="AN430" s="55" t="n">
        <x:v>2480</x:v>
      </x:c>
      <x:c r="AO430" s="55" t="n">
        <x:v>67</x:v>
      </x:c>
      <x:c r="AP430" s="55" t="n">
        <x:v>2387</x:v>
      </x:c>
      <x:c r="AQ430" s="55" t="n">
        <x:v>970</x:v>
      </x:c>
    </x:row>
    <x:row r="431">
      <x:c r="A431" s="54" t="str">
        <x:v>T2_CONCORDANT_DOMAIN</x:v>
      </x:c>
      <x:c r="B431" s="54" t="n">
        <x:v>425</x:v>
      </x:c>
      <x:c r="C431" s="54" t="str">
        <x:v>NYC-V2-R01</x:v>
      </x:c>
      <x:c r="D431" s="54" t="str">
        <x:v>V2</x:v>
      </x:c>
      <x:c r="E431" s="54" t="str">
        <x:v>ADMITTED</x:v>
      </x:c>
      <x:c r="F431" s="55" t="n">
        <x:v>31408</x:v>
      </x:c>
      <x:c r="G431" s="55" t="n">
        <x:v>7749</x:v>
      </x:c>
      <x:c r="H431" s="55" t="n">
        <x:v>3211</x:v>
      </x:c>
      <x:c r="I431" s="55" t="n">
        <x:v>1189</x:v>
      </x:c>
      <x:c r="J431" s="55" t="n">
        <x:v>137</x:v>
      </x:c>
      <x:c r="K431" s="55" t="n">
        <x:v>31408</x:v>
      </x:c>
      <x:c r="L431" s="55" t="n">
        <x:v>6480</x:v>
      </x:c>
      <x:c r="M431" s="55" t="n">
        <x:v>1333</x:v>
      </x:c>
      <x:c r="N431" s="55" t="n">
        <x:v>2876</x:v>
      </x:c>
      <x:c r="O431" s="55" t="n">
        <x:v>2271</x:v>
      </x:c>
      <x:c r="P431" s="55" t="n">
        <x:v>949</x:v>
      </x:c>
      <x:c r="Q431" s="55" t="n">
        <x:v>2242</x:v>
      </x:c>
      <x:c r="R431" s="55" t="n">
        <x:v>1742</x:v>
      </x:c>
      <x:c r="S431" s="55" t="n">
        <x:v>2657</x:v>
      </x:c>
      <x:c r="T431" s="55" t="n">
        <x:v>1130</x:v>
      </x:c>
      <x:c r="U431" s="55" t="n">
        <x:v>1924</x:v>
      </x:c>
      <x:c r="V431" s="55" t="n">
        <x:v>10422</x:v>
      </x:c>
      <x:c r="W431" s="55" t="n">
        <x:v>7131</x:v>
      </x:c>
      <x:c r="X431" s="55" t="n">
        <x:v>3291</x:v>
      </x:c>
      <x:c r="Y431" s="55" t="n">
        <x:v>2856</x:v>
      </x:c>
      <x:c r="Z431" s="55" t="n">
        <x:v>3585</x:v>
      </x:c>
      <x:c r="AA431" s="55" t="n">
        <x:v>2938</x:v>
      </x:c>
      <x:c r="AB431" s="55" t="n">
        <x:v>1086</x:v>
      </x:c>
      <x:c r="AC431" s="55" t="n">
        <x:v>8162</x:v>
      </x:c>
      <x:c r="AD431" s="55" t="n">
        <x:v>2834</x:v>
      </x:c>
      <x:c r="AE431" s="55" t="n">
        <x:v>10519</x:v>
      </x:c>
      <x:c r="AF431" s="55" t="n">
        <x:v>10422</x:v>
      </x:c>
      <x:c r="AG431" s="55" t="n">
        <x:v>97</x:v>
      </x:c>
      <x:c r="AH431" s="55" t="n">
        <x:v>481</x:v>
      </x:c>
      <x:c r="AI431" s="55" t="n">
        <x:v>9941</x:v>
      </x:c>
      <x:c r="AJ431" s="55" t="n">
        <x:v>270</x:v>
      </x:c>
      <x:c r="AK431" s="55" t="n">
        <x:v>1044</x:v>
      </x:c>
      <x:c r="AL431" s="55" t="n">
        <x:v>1432</x:v>
      </x:c>
      <x:c r="AM431" s="55" t="n">
        <x:v>5308</x:v>
      </x:c>
      <x:c r="AN431" s="55" t="n">
        <x:v>2321</x:v>
      </x:c>
      <x:c r="AO431" s="55" t="n">
        <x:v>47</x:v>
      </x:c>
      <x:c r="AP431" s="55" t="n">
        <x:v>2701</x:v>
      </x:c>
      <x:c r="AQ431" s="55" t="n">
        <x:v>960</x:v>
      </x:c>
    </x:row>
    <x:row r="432">
      <x:c r="A432" s="54" t="str">
        <x:v>T2_CONCORDANT_DOMAIN</x:v>
      </x:c>
      <x:c r="B432" s="54" t="n">
        <x:v>426</x:v>
      </x:c>
      <x:c r="C432" s="54" t="str">
        <x:v>NYC-V2-R01</x:v>
      </x:c>
      <x:c r="D432" s="54" t="str">
        <x:v>V2</x:v>
      </x:c>
      <x:c r="E432" s="54" t="str">
        <x:v>ADMITTED</x:v>
      </x:c>
      <x:c r="F432" s="55" t="n">
        <x:v>33441</x:v>
      </x:c>
      <x:c r="G432" s="55" t="n">
        <x:v>8849</x:v>
      </x:c>
      <x:c r="H432" s="55" t="n">
        <x:v>3821</x:v>
      </x:c>
      <x:c r="I432" s="55" t="n">
        <x:v>1550</x:v>
      </x:c>
      <x:c r="J432" s="55" t="n">
        <x:v>476</x:v>
      </x:c>
      <x:c r="K432" s="55" t="n">
        <x:v>30886</x:v>
      </x:c>
      <x:c r="L432" s="55" t="n">
        <x:v>6234</x:v>
      </x:c>
      <x:c r="M432" s="55" t="n">
        <x:v>719</x:v>
      </x:c>
      <x:c r="N432" s="55" t="n">
        <x:v>2958</x:v>
      </x:c>
      <x:c r="O432" s="55" t="n">
        <x:v>2557</x:v>
      </x:c>
      <x:c r="P432" s="55" t="n">
        <x:v>1067</x:v>
      </x:c>
      <x:c r="Q432" s="55" t="n">
        <x:v>3599</x:v>
      </x:c>
      <x:c r="R432" s="55" t="n">
        <x:v>2155</x:v>
      </x:c>
      <x:c r="S432" s="55" t="n">
        <x:v>2755</x:v>
      </x:c>
      <x:c r="T432" s="55" t="n">
        <x:v>1565</x:v>
      </x:c>
      <x:c r="U432" s="55" t="n">
        <x:v>1957</x:v>
      </x:c>
      <x:c r="V432" s="55" t="n">
        <x:v>11151</x:v>
      </x:c>
      <x:c r="W432" s="55" t="n">
        <x:v>7911</x:v>
      </x:c>
      <x:c r="X432" s="55" t="n">
        <x:v>3240</x:v>
      </x:c>
      <x:c r="Y432" s="55" t="n">
        <x:v>2888</x:v>
      </x:c>
      <x:c r="Z432" s="55" t="n">
        <x:v>4376</x:v>
      </x:c>
      <x:c r="AA432" s="55" t="n">
        <x:v>3554</x:v>
      </x:c>
      <x:c r="AB432" s="55" t="n">
        <x:v>1133</x:v>
      </x:c>
      <x:c r="AC432" s="55" t="n">
        <x:v>8138</x:v>
      </x:c>
      <x:c r="AD432" s="55" t="n">
        <x:v>3379</x:v>
      </x:c>
      <x:c r="AE432" s="55" t="n">
        <x:v>11265</x:v>
      </x:c>
      <x:c r="AF432" s="55" t="n">
        <x:v>11151</x:v>
      </x:c>
      <x:c r="AG432" s="55" t="n">
        <x:v>114</x:v>
      </x:c>
      <x:c r="AH432" s="55" t="n">
        <x:v>591</x:v>
      </x:c>
      <x:c r="AI432" s="55" t="n">
        <x:v>10560</x:v>
      </x:c>
      <x:c r="AJ432" s="55" t="n">
        <x:v>501</x:v>
      </x:c>
      <x:c r="AK432" s="55" t="n">
        <x:v>1090</x:v>
      </x:c>
      <x:c r="AL432" s="55" t="n">
        <x:v>1499</x:v>
      </x:c>
      <x:c r="AM432" s="55" t="n">
        <x:v>5240</x:v>
      </x:c>
      <x:c r="AN432" s="55" t="n">
        <x:v>2821</x:v>
      </x:c>
      <x:c r="AO432" s="55" t="n">
        <x:v>0</x:v>
      </x:c>
      <x:c r="AP432" s="55" t="n">
        <x:v>2543</x:v>
      </x:c>
      <x:c r="AQ432" s="55" t="n">
        <x:v>997</x:v>
      </x:c>
    </x:row>
    <x:row r="433">
      <x:c r="A433" s="54" t="str">
        <x:v>T2_CONCORDANT_DOMAIN</x:v>
      </x:c>
      <x:c r="B433" s="54" t="n">
        <x:v>427</x:v>
      </x:c>
      <x:c r="C433" s="54" t="str">
        <x:v>NYC-V2-R01</x:v>
      </x:c>
      <x:c r="D433" s="54" t="str">
        <x:v>V2</x:v>
      </x:c>
      <x:c r="E433" s="54" t="str">
        <x:v>ADMITTED</x:v>
      </x:c>
      <x:c r="F433" s="55" t="n">
        <x:v>31403</x:v>
      </x:c>
      <x:c r="G433" s="55" t="n">
        <x:v>7243</x:v>
      </x:c>
      <x:c r="H433" s="55" t="n">
        <x:v>3991</x:v>
      </x:c>
      <x:c r="I433" s="55" t="n">
        <x:v>1434</x:v>
      </x:c>
      <x:c r="J433" s="55" t="n">
        <x:v>333</x:v>
      </x:c>
      <x:c r="K433" s="55" t="n">
        <x:v>31403</x:v>
      </x:c>
      <x:c r="L433" s="55" t="n">
        <x:v>5993</x:v>
      </x:c>
      <x:c r="M433" s="55" t="n">
        <x:v>1487</x:v>
      </x:c>
      <x:c r="N433" s="55" t="n">
        <x:v>2772</x:v>
      </x:c>
      <x:c r="O433" s="55" t="n">
        <x:v>1734</x:v>
      </x:c>
      <x:c r="P433" s="55" t="n">
        <x:v>1037</x:v>
      </x:c>
      <x:c r="Q433" s="55" t="n">
        <x:v>2797</x:v>
      </x:c>
      <x:c r="R433" s="55" t="n">
        <x:v>1800</x:v>
      </x:c>
      <x:c r="S433" s="55" t="n">
        <x:v>3070</x:v>
      </x:c>
      <x:c r="T433" s="55" t="n">
        <x:v>1056</x:v>
      </x:c>
      <x:c r="U433" s="55" t="n">
        <x:v>1690</x:v>
      </x:c>
      <x:c r="V433" s="55" t="n">
        <x:v>10405</x:v>
      </x:c>
      <x:c r="W433" s="55" t="n">
        <x:v>7506</x:v>
      </x:c>
      <x:c r="X433" s="55" t="n">
        <x:v>2899</x:v>
      </x:c>
      <x:c r="Y433" s="55" t="n">
        <x:v>2340</x:v>
      </x:c>
      <x:c r="Z433" s="55" t="n">
        <x:v>3828</x:v>
      </x:c>
      <x:c r="AA433" s="55" t="n">
        <x:v>3080</x:v>
      </x:c>
      <x:c r="AB433" s="55" t="n">
        <x:v>1264</x:v>
      </x:c>
      <x:c r="AC433" s="55" t="n">
        <x:v>8220</x:v>
      </x:c>
      <x:c r="AD433" s="55" t="n">
        <x:v>2864</x:v>
      </x:c>
      <x:c r="AE433" s="55" t="n">
        <x:v>10533</x:v>
      </x:c>
      <x:c r="AF433" s="55" t="n">
        <x:v>10405</x:v>
      </x:c>
      <x:c r="AG433" s="55" t="n">
        <x:v>128</x:v>
      </x:c>
      <x:c r="AH433" s="55" t="n">
        <x:v>356</x:v>
      </x:c>
      <x:c r="AI433" s="55" t="n">
        <x:v>10049</x:v>
      </x:c>
      <x:c r="AJ433" s="55" t="n">
        <x:v>319</x:v>
      </x:c>
      <x:c r="AK433" s="55" t="n">
        <x:v>872</x:v>
      </x:c>
      <x:c r="AL433" s="55" t="n">
        <x:v>1584</x:v>
      </x:c>
      <x:c r="AM433" s="55" t="n">
        <x:v>4541</x:v>
      </x:c>
      <x:c r="AN433" s="55" t="n">
        <x:v>3089</x:v>
      </x:c>
      <x:c r="AO433" s="55" t="n">
        <x:v>0</x:v>
      </x:c>
      <x:c r="AP433" s="55" t="n">
        <x:v>2672</x:v>
      </x:c>
      <x:c r="AQ433" s="55" t="n">
        <x:v>998</x:v>
      </x:c>
    </x:row>
    <x:row r="434">
      <x:c r="A434" s="54" t="str">
        <x:v>T2_CONCORDANT_DOMAIN</x:v>
      </x:c>
      <x:c r="B434" s="54" t="n">
        <x:v>428</x:v>
      </x:c>
      <x:c r="C434" s="54" t="str">
        <x:v>NYC-V2-R01</x:v>
      </x:c>
      <x:c r="D434" s="54" t="str">
        <x:v>V2</x:v>
      </x:c>
      <x:c r="E434" s="54" t="str">
        <x:v>ADMITTED</x:v>
      </x:c>
      <x:c r="F434" s="55" t="n">
        <x:v>34513</x:v>
      </x:c>
      <x:c r="G434" s="55" t="n">
        <x:v>8778</x:v>
      </x:c>
      <x:c r="H434" s="55" t="n">
        <x:v>3379</x:v>
      </x:c>
      <x:c r="I434" s="55" t="n">
        <x:v>1375</x:v>
      </x:c>
      <x:c r="J434" s="55" t="n">
        <x:v>349</x:v>
      </x:c>
      <x:c r="K434" s="55" t="n">
        <x:v>34513</x:v>
      </x:c>
      <x:c r="L434" s="55" t="n">
        <x:v>7627</x:v>
      </x:c>
      <x:c r="M434" s="55" t="n">
        <x:v>2348</x:v>
      </x:c>
      <x:c r="N434" s="55" t="n">
        <x:v>3042</x:v>
      </x:c>
      <x:c r="O434" s="55" t="n">
        <x:v>2237</x:v>
      </x:c>
      <x:c r="P434" s="55" t="n">
        <x:v>957</x:v>
      </x:c>
      <x:c r="Q434" s="55" t="n">
        <x:v>3651</x:v>
      </x:c>
      <x:c r="R434" s="55" t="n">
        <x:v>1846</x:v>
      </x:c>
      <x:c r="S434" s="55" t="n">
        <x:v>2913</x:v>
      </x:c>
      <x:c r="T434" s="55" t="n">
        <x:v>1591</x:v>
      </x:c>
      <x:c r="U434" s="55" t="n">
        <x:v>2443</x:v>
      </x:c>
      <x:c r="V434" s="55" t="n">
        <x:v>10861</x:v>
      </x:c>
      <x:c r="W434" s="55" t="n">
        <x:v>7468</x:v>
      </x:c>
      <x:c r="X434" s="55" t="n">
        <x:v>3393</x:v>
      </x:c>
      <x:c r="Y434" s="55" t="n">
        <x:v>2912</x:v>
      </x:c>
      <x:c r="Z434" s="55" t="n">
        <x:v>3850</x:v>
      </x:c>
      <x:c r="AA434" s="55" t="n">
        <x:v>2582</x:v>
      </x:c>
      <x:c r="AB434" s="55" t="n">
        <x:v>1158</x:v>
      </x:c>
      <x:c r="AC434" s="55" t="n">
        <x:v>8624</x:v>
      </x:c>
      <x:c r="AD434" s="55" t="n">
        <x:v>2825</x:v>
      </x:c>
      <x:c r="AE434" s="55" t="n">
        <x:v>11007</x:v>
      </x:c>
      <x:c r="AF434" s="55" t="n">
        <x:v>10861</x:v>
      </x:c>
      <x:c r="AG434" s="55" t="n">
        <x:v>146</x:v>
      </x:c>
      <x:c r="AH434" s="55" t="n">
        <x:v>455</x:v>
      </x:c>
      <x:c r="AI434" s="55" t="n">
        <x:v>10406</x:v>
      </x:c>
      <x:c r="AJ434" s="55" t="n">
        <x:v>480</x:v>
      </x:c>
      <x:c r="AK434" s="55" t="n">
        <x:v>1035</x:v>
      </x:c>
      <x:c r="AL434" s="55" t="n">
        <x:v>1724</x:v>
      </x:c>
      <x:c r="AM434" s="55" t="n">
        <x:v>5202</x:v>
      </x:c>
      <x:c r="AN434" s="55" t="n">
        <x:v>2420</x:v>
      </x:c>
      <x:c r="AO434" s="55" t="n">
        <x:v>0</x:v>
      </x:c>
      <x:c r="AP434" s="55" t="n">
        <x:v>2442</x:v>
      </x:c>
      <x:c r="AQ434" s="55" t="n">
        <x:v>987</x:v>
      </x:c>
    </x:row>
    <x:row r="435">
      <x:c r="A435" s="54" t="str">
        <x:v>T2_CONCORDANT_DOMAIN</x:v>
      </x:c>
      <x:c r="B435" s="54" t="n">
        <x:v>429</x:v>
      </x:c>
      <x:c r="C435" s="54" t="str">
        <x:v>NYC-V2-R01</x:v>
      </x:c>
      <x:c r="D435" s="54" t="str">
        <x:v>V2</x:v>
      </x:c>
      <x:c r="E435" s="54" t="str">
        <x:v>ADMITTED</x:v>
      </x:c>
      <x:c r="F435" s="55" t="n">
        <x:v>31067</x:v>
      </x:c>
      <x:c r="G435" s="55" t="n">
        <x:v>7460</x:v>
      </x:c>
      <x:c r="H435" s="55" t="n">
        <x:v>3405</x:v>
      </x:c>
      <x:c r="I435" s="55" t="n">
        <x:v>1366</x:v>
      </x:c>
      <x:c r="J435" s="55" t="n">
        <x:v>160</x:v>
      </x:c>
      <x:c r="K435" s="55" t="n">
        <x:v>31067</x:v>
      </x:c>
      <x:c r="L435" s="55" t="n">
        <x:v>5104</x:v>
      </x:c>
      <x:c r="M435" s="55" t="n">
        <x:v>1201</x:v>
      </x:c>
      <x:c r="N435" s="55" t="n">
        <x:v>2487</x:v>
      </x:c>
      <x:c r="O435" s="55" t="n">
        <x:v>1416</x:v>
      </x:c>
      <x:c r="P435" s="55" t="n">
        <x:v>844</x:v>
      </x:c>
      <x:c r="Q435" s="55" t="n">
        <x:v>2105</x:v>
      </x:c>
      <x:c r="R435" s="55" t="n">
        <x:v>1729</x:v>
      </x:c>
      <x:c r="S435" s="55" t="n">
        <x:v>2836</x:v>
      </x:c>
      <x:c r="T435" s="55" t="n">
        <x:v>752</x:v>
      </x:c>
      <x:c r="U435" s="55" t="n">
        <x:v>1453</x:v>
      </x:c>
      <x:c r="V435" s="55" t="n">
        <x:v>10442</x:v>
      </x:c>
      <x:c r="W435" s="55" t="n">
        <x:v>7287</x:v>
      </x:c>
      <x:c r="X435" s="55" t="n">
        <x:v>3155</x:v>
      </x:c>
      <x:c r="Y435" s="55" t="n">
        <x:v>2701</x:v>
      </x:c>
      <x:c r="Z435" s="55" t="n">
        <x:v>3459</x:v>
      </x:c>
      <x:c r="AA435" s="55" t="n">
        <x:v>3323</x:v>
      </x:c>
      <x:c r="AB435" s="55" t="n">
        <x:v>1188</x:v>
      </x:c>
      <x:c r="AC435" s="55" t="n">
        <x:v>8399</x:v>
      </x:c>
      <x:c r="AD435" s="55" t="n">
        <x:v>3438</x:v>
      </x:c>
      <x:c r="AE435" s="55" t="n">
        <x:v>10503</x:v>
      </x:c>
      <x:c r="AF435" s="55" t="n">
        <x:v>10442</x:v>
      </x:c>
      <x:c r="AG435" s="55" t="n">
        <x:v>61</x:v>
      </x:c>
      <x:c r="AH435" s="55" t="n">
        <x:v>386</x:v>
      </x:c>
      <x:c r="AI435" s="55" t="n">
        <x:v>10056</x:v>
      </x:c>
      <x:c r="AJ435" s="55" t="n">
        <x:v>365</x:v>
      </x:c>
      <x:c r="AK435" s="55" t="n">
        <x:v>923</x:v>
      </x:c>
      <x:c r="AL435" s="55" t="n">
        <x:v>1363</x:v>
      </x:c>
      <x:c r="AM435" s="55" t="n">
        <x:v>5507</x:v>
      </x:c>
      <x:c r="AN435" s="55" t="n">
        <x:v>2284</x:v>
      </x:c>
      <x:c r="AO435" s="55" t="n">
        <x:v>0</x:v>
      </x:c>
      <x:c r="AP435" s="55" t="n">
        <x:v>2462</x:v>
      </x:c>
      <x:c r="AQ435" s="55" t="n">
        <x:v>889</x:v>
      </x:c>
    </x:row>
    <x:row r="436">
      <x:c r="A436" s="54" t="str">
        <x:v>T2_CONCORDANT_DOMAIN</x:v>
      </x:c>
      <x:c r="B436" s="54" t="n">
        <x:v>430</x:v>
      </x:c>
      <x:c r="C436" s="54" t="str">
        <x:v>NYC-V2-R01</x:v>
      </x:c>
      <x:c r="D436" s="54" t="str">
        <x:v>V2</x:v>
      </x:c>
      <x:c r="E436" s="54" t="str">
        <x:v>ADMITTED</x:v>
      </x:c>
      <x:c r="F436" s="55" t="n">
        <x:v>30185</x:v>
      </x:c>
      <x:c r="G436" s="55" t="n">
        <x:v>7187</x:v>
      </x:c>
      <x:c r="H436" s="55" t="n">
        <x:v>2841</x:v>
      </x:c>
      <x:c r="I436" s="55" t="n">
        <x:v>861</x:v>
      </x:c>
      <x:c r="J436" s="55" t="n">
        <x:v>247</x:v>
      </x:c>
      <x:c r="K436" s="55" t="n">
        <x:v>29685</x:v>
      </x:c>
      <x:c r="L436" s="55" t="n">
        <x:v>3888</x:v>
      </x:c>
      <x:c r="M436" s="55" t="n">
        <x:v>503</x:v>
      </x:c>
      <x:c r="N436" s="55" t="n">
        <x:v>1883</x:v>
      </x:c>
      <x:c r="O436" s="55" t="n">
        <x:v>1502</x:v>
      </x:c>
      <x:c r="P436" s="55" t="n">
        <x:v>572</x:v>
      </x:c>
      <x:c r="Q436" s="55" t="n">
        <x:v>2308</x:v>
      </x:c>
      <x:c r="R436" s="55" t="n">
        <x:v>1722</x:v>
      </x:c>
      <x:c r="S436" s="55" t="n">
        <x:v>2575</x:v>
      </x:c>
      <x:c r="T436" s="55" t="n">
        <x:v>1481</x:v>
      </x:c>
      <x:c r="U436" s="55" t="n">
        <x:v>1943</x:v>
      </x:c>
      <x:c r="V436" s="55" t="n">
        <x:v>10391</x:v>
      </x:c>
      <x:c r="W436" s="55" t="n">
        <x:v>7808</x:v>
      </x:c>
      <x:c r="X436" s="55" t="n">
        <x:v>2583</x:v>
      </x:c>
      <x:c r="Y436" s="55" t="n">
        <x:v>2170</x:v>
      </x:c>
      <x:c r="Z436" s="55" t="n">
        <x:v>3400</x:v>
      </x:c>
      <x:c r="AA436" s="55" t="n">
        <x:v>2841</x:v>
      </x:c>
      <x:c r="AB436" s="55" t="n">
        <x:v>1013</x:v>
      </x:c>
      <x:c r="AC436" s="55" t="n">
        <x:v>7842</x:v>
      </x:c>
      <x:c r="AD436" s="55" t="n">
        <x:v>2867</x:v>
      </x:c>
      <x:c r="AE436" s="55" t="n">
        <x:v>10421</x:v>
      </x:c>
      <x:c r="AF436" s="55" t="n">
        <x:v>10391</x:v>
      </x:c>
      <x:c r="AG436" s="55" t="n">
        <x:v>30</x:v>
      </x:c>
      <x:c r="AH436" s="55" t="n">
        <x:v>501</x:v>
      </x:c>
      <x:c r="AI436" s="55" t="n">
        <x:v>9890</x:v>
      </x:c>
      <x:c r="AJ436" s="55" t="n">
        <x:v>300</x:v>
      </x:c>
      <x:c r="AK436" s="55" t="n">
        <x:v>1278</x:v>
      </x:c>
      <x:c r="AL436" s="55" t="n">
        <x:v>1334</x:v>
      </x:c>
      <x:c r="AM436" s="55" t="n">
        <x:v>4568</x:v>
      </x:c>
      <x:c r="AN436" s="55" t="n">
        <x:v>2909</x:v>
      </x:c>
      <x:c r="AO436" s="55" t="n">
        <x:v>2</x:v>
      </x:c>
      <x:c r="AP436" s="55" t="n">
        <x:v>2087</x:v>
      </x:c>
      <x:c r="AQ436" s="55" t="n">
        <x:v>950</x:v>
      </x:c>
    </x:row>
    <x:row r="437">
      <x:c r="A437" s="54" t="str">
        <x:v>T2_CONCORDANT_DOMAIN</x:v>
      </x:c>
      <x:c r="B437" s="54" t="n">
        <x:v>431</x:v>
      </x:c>
      <x:c r="C437" s="54" t="str">
        <x:v>NYC-V2-R01</x:v>
      </x:c>
      <x:c r="D437" s="54" t="str">
        <x:v>V2</x:v>
      </x:c>
      <x:c r="E437" s="54" t="str">
        <x:v>ADMITTED</x:v>
      </x:c>
      <x:c r="F437" s="55" t="n">
        <x:v>32510</x:v>
      </x:c>
      <x:c r="G437" s="55" t="n">
        <x:v>7427</x:v>
      </x:c>
      <x:c r="H437" s="55" t="n">
        <x:v>2905</x:v>
      </x:c>
      <x:c r="I437" s="55" t="n">
        <x:v>836</x:v>
      </x:c>
      <x:c r="J437" s="55" t="n">
        <x:v>137</x:v>
      </x:c>
      <x:c r="K437" s="55" t="n">
        <x:v>32510</x:v>
      </x:c>
      <x:c r="L437" s="55" t="n">
        <x:v>6096</x:v>
      </x:c>
      <x:c r="M437" s="55" t="n">
        <x:v>1164</x:v>
      </x:c>
      <x:c r="N437" s="55" t="n">
        <x:v>2577</x:v>
      </x:c>
      <x:c r="O437" s="55" t="n">
        <x:v>2355</x:v>
      </x:c>
      <x:c r="P437" s="55" t="n">
        <x:v>1010</x:v>
      </x:c>
      <x:c r="Q437" s="55" t="n">
        <x:v>2861</x:v>
      </x:c>
      <x:c r="R437" s="55" t="n">
        <x:v>1868</x:v>
      </x:c>
      <x:c r="S437" s="55" t="n">
        <x:v>2870</x:v>
      </x:c>
      <x:c r="T437" s="55" t="n">
        <x:v>1569</x:v>
      </x:c>
      <x:c r="U437" s="55" t="n">
        <x:v>2146</x:v>
      </x:c>
      <x:c r="V437" s="55" t="n">
        <x:v>10182</x:v>
      </x:c>
      <x:c r="W437" s="55" t="n">
        <x:v>7489</x:v>
      </x:c>
      <x:c r="X437" s="55" t="n">
        <x:v>2693</x:v>
      </x:c>
      <x:c r="Y437" s="55" t="n">
        <x:v>2470</x:v>
      </x:c>
      <x:c r="Z437" s="55" t="n">
        <x:v>3418</x:v>
      </x:c>
      <x:c r="AA437" s="55" t="n">
        <x:v>2905</x:v>
      </x:c>
      <x:c r="AB437" s="55" t="n">
        <x:v>1037</x:v>
      </x:c>
      <x:c r="AC437" s="55" t="n">
        <x:v>8285</x:v>
      </x:c>
      <x:c r="AD437" s="55" t="n">
        <x:v>2368</x:v>
      </x:c>
      <x:c r="AE437" s="55" t="n">
        <x:v>10278</x:v>
      </x:c>
      <x:c r="AF437" s="55" t="n">
        <x:v>10182</x:v>
      </x:c>
      <x:c r="AG437" s="55" t="n">
        <x:v>96</x:v>
      </x:c>
      <x:c r="AH437" s="55" t="n">
        <x:v>381</x:v>
      </x:c>
      <x:c r="AI437" s="55" t="n">
        <x:v>9801</x:v>
      </x:c>
      <x:c r="AJ437" s="55" t="n">
        <x:v>506</x:v>
      </x:c>
      <x:c r="AK437" s="55" t="n">
        <x:v>862</x:v>
      </x:c>
      <x:c r="AL437" s="55" t="n">
        <x:v>1517</x:v>
      </x:c>
      <x:c r="AM437" s="55" t="n">
        <x:v>4957</x:v>
      </x:c>
      <x:c r="AN437" s="55" t="n">
        <x:v>2332</x:v>
      </x:c>
      <x:c r="AO437" s="55" t="n">
        <x:v>8</x:v>
      </x:c>
      <x:c r="AP437" s="55" t="n">
        <x:v>2808</x:v>
      </x:c>
      <x:c r="AQ437" s="55" t="n">
        <x:v>945</x:v>
      </x:c>
    </x:row>
    <x:row r="438">
      <x:c r="A438" s="54" t="str">
        <x:v>T2_CONCORDANT_DOMAIN</x:v>
      </x:c>
      <x:c r="B438" s="54" t="n">
        <x:v>432</x:v>
      </x:c>
      <x:c r="C438" s="54" t="str">
        <x:v>NYC-V2-R01</x:v>
      </x:c>
      <x:c r="D438" s="54" t="str">
        <x:v>V2</x:v>
      </x:c>
      <x:c r="E438" s="54" t="str">
        <x:v>ADMITTED</x:v>
      </x:c>
      <x:c r="F438" s="55" t="n">
        <x:v>31706</x:v>
      </x:c>
      <x:c r="G438" s="55" t="n">
        <x:v>8596</x:v>
      </x:c>
      <x:c r="H438" s="55" t="n">
        <x:v>3565</x:v>
      </x:c>
      <x:c r="I438" s="55" t="n">
        <x:v>1652</x:v>
      </x:c>
      <x:c r="J438" s="55" t="n">
        <x:v>348</x:v>
      </x:c>
      <x:c r="K438" s="55" t="n">
        <x:v>31706</x:v>
      </x:c>
      <x:c r="L438" s="55" t="n">
        <x:v>7460</x:v>
      </x:c>
      <x:c r="M438" s="55" t="n">
        <x:v>2182</x:v>
      </x:c>
      <x:c r="N438" s="55" t="n">
        <x:v>3239</x:v>
      </x:c>
      <x:c r="O438" s="55" t="n">
        <x:v>2039</x:v>
      </x:c>
      <x:c r="P438" s="55" t="n">
        <x:v>1415</x:v>
      </x:c>
      <x:c r="Q438" s="55" t="n">
        <x:v>2936</x:v>
      </x:c>
      <x:c r="R438" s="55" t="n">
        <x:v>1923</x:v>
      </x:c>
      <x:c r="S438" s="55" t="n">
        <x:v>3580</x:v>
      </x:c>
      <x:c r="T438" s="55" t="n">
        <x:v>1784</x:v>
      </x:c>
      <x:c r="U438" s="55" t="n">
        <x:v>2948</x:v>
      </x:c>
      <x:c r="V438" s="55" t="n">
        <x:v>10937</x:v>
      </x:c>
      <x:c r="W438" s="55" t="n">
        <x:v>7845</x:v>
      </x:c>
      <x:c r="X438" s="55" t="n">
        <x:v>3092</x:v>
      </x:c>
      <x:c r="Y438" s="55" t="n">
        <x:v>2687</x:v>
      </x:c>
      <x:c r="Z438" s="55" t="n">
        <x:v>4081</x:v>
      </x:c>
      <x:c r="AA438" s="55" t="n">
        <x:v>3398</x:v>
      </x:c>
      <x:c r="AB438" s="55" t="n">
        <x:v>1190</x:v>
      </x:c>
      <x:c r="AC438" s="55" t="n">
        <x:v>8335</x:v>
      </x:c>
      <x:c r="AD438" s="55" t="n">
        <x:v>2671</x:v>
      </x:c>
      <x:c r="AE438" s="55" t="n">
        <x:v>11040</x:v>
      </x:c>
      <x:c r="AF438" s="55" t="n">
        <x:v>10937</x:v>
      </x:c>
      <x:c r="AG438" s="55" t="n">
        <x:v>103</x:v>
      </x:c>
      <x:c r="AH438" s="55" t="n">
        <x:v>727</x:v>
      </x:c>
      <x:c r="AI438" s="55" t="n">
        <x:v>10210</x:v>
      </x:c>
      <x:c r="AJ438" s="55" t="n">
        <x:v>374</x:v>
      </x:c>
      <x:c r="AK438" s="55" t="n">
        <x:v>1141</x:v>
      </x:c>
      <x:c r="AL438" s="55" t="n">
        <x:v>1908</x:v>
      </x:c>
      <x:c r="AM438" s="55" t="n">
        <x:v>4810</x:v>
      </x:c>
      <x:c r="AN438" s="55" t="n">
        <x:v>2628</x:v>
      </x:c>
      <x:c r="AO438" s="55" t="n">
        <x:v>76</x:v>
      </x:c>
      <x:c r="AP438" s="55" t="n">
        <x:v>2561</x:v>
      </x:c>
      <x:c r="AQ438" s="55" t="n">
        <x:v>969</x:v>
      </x:c>
    </x:row>
    <x:row r="439">
      <x:c r="A439" s="54" t="str">
        <x:v>T2_CONCORDANT_DOMAIN</x:v>
      </x:c>
      <x:c r="B439" s="54" t="n">
        <x:v>433</x:v>
      </x:c>
      <x:c r="C439" s="54" t="str">
        <x:v>NYC-V2-R01</x:v>
      </x:c>
      <x:c r="D439" s="54" t="str">
        <x:v>V2</x:v>
      </x:c>
      <x:c r="E439" s="54" t="str">
        <x:v>ADMITTED</x:v>
      </x:c>
      <x:c r="F439" s="55" t="n">
        <x:v>29623</x:v>
      </x:c>
      <x:c r="G439" s="55" t="n">
        <x:v>7447</x:v>
      </x:c>
      <x:c r="H439" s="55" t="n">
        <x:v>3524</x:v>
      </x:c>
      <x:c r="I439" s="55" t="n">
        <x:v>899</x:v>
      </x:c>
      <x:c r="J439" s="55" t="n">
        <x:v>343</x:v>
      </x:c>
      <x:c r="K439" s="55" t="n">
        <x:v>29266</x:v>
      </x:c>
      <x:c r="L439" s="55" t="n">
        <x:v>5481</x:v>
      </x:c>
      <x:c r="M439" s="55" t="n">
        <x:v>1882</x:v>
      </x:c>
      <x:c r="N439" s="55" t="n">
        <x:v>2290</x:v>
      </x:c>
      <x:c r="O439" s="55" t="n">
        <x:v>1309</x:v>
      </x:c>
      <x:c r="P439" s="55" t="n">
        <x:v>213</x:v>
      </x:c>
      <x:c r="Q439" s="55" t="n">
        <x:v>1919</x:v>
      </x:c>
      <x:c r="R439" s="55" t="n">
        <x:v>1266</x:v>
      </x:c>
      <x:c r="S439" s="55" t="n">
        <x:v>1509</x:v>
      </x:c>
      <x:c r="T439" s="55" t="n">
        <x:v>910</x:v>
      </x:c>
      <x:c r="U439" s="55" t="n">
        <x:v>1010</x:v>
      </x:c>
      <x:c r="V439" s="55" t="n">
        <x:v>10213</x:v>
      </x:c>
      <x:c r="W439" s="55" t="n">
        <x:v>7154</x:v>
      </x:c>
      <x:c r="X439" s="55" t="n">
        <x:v>3059</x:v>
      </x:c>
      <x:c r="Y439" s="55" t="n">
        <x:v>2759</x:v>
      </x:c>
      <x:c r="Z439" s="55" t="n">
        <x:v>3305</x:v>
      </x:c>
      <x:c r="AA439" s="55" t="n">
        <x:v>3524</x:v>
      </x:c>
      <x:c r="AB439" s="55" t="n">
        <x:v>1285</x:v>
      </x:c>
      <x:c r="AC439" s="55" t="n">
        <x:v>8425</x:v>
      </x:c>
      <x:c r="AD439" s="55" t="n">
        <x:v>3367</x:v>
      </x:c>
      <x:c r="AE439" s="55" t="n">
        <x:v>10268</x:v>
      </x:c>
      <x:c r="AF439" s="55" t="n">
        <x:v>10213</x:v>
      </x:c>
      <x:c r="AG439" s="55" t="n">
        <x:v>55</x:v>
      </x:c>
      <x:c r="AH439" s="55" t="n">
        <x:v>443</x:v>
      </x:c>
      <x:c r="AI439" s="55" t="n">
        <x:v>9770</x:v>
      </x:c>
      <x:c r="AJ439" s="55" t="n">
        <x:v>184</x:v>
      </x:c>
      <x:c r="AK439" s="55" t="n">
        <x:v>995</x:v>
      </x:c>
      <x:c r="AL439" s="55" t="n">
        <x:v>1618</x:v>
      </x:c>
      <x:c r="AM439" s="55" t="n">
        <x:v>4255</x:v>
      </x:c>
      <x:c r="AN439" s="55" t="n">
        <x:v>3145</x:v>
      </x:c>
      <x:c r="AO439" s="55" t="n">
        <x:v>16</x:v>
      </x:c>
      <x:c r="AP439" s="55" t="n">
        <x:v>1930</x:v>
      </x:c>
      <x:c r="AQ439" s="55" t="n">
        <x:v>972</x:v>
      </x:c>
    </x:row>
    <x:row r="440">
      <x:c r="A440" s="54" t="str">
        <x:v>T2_CONCORDANT_DOMAIN</x:v>
      </x:c>
      <x:c r="B440" s="54" t="n">
        <x:v>434</x:v>
      </x:c>
      <x:c r="C440" s="54" t="str">
        <x:v>NYC-V2-R01</x:v>
      </x:c>
      <x:c r="D440" s="54" t="str">
        <x:v>V2</x:v>
      </x:c>
      <x:c r="E440" s="54" t="str">
        <x:v>ADMITTED</x:v>
      </x:c>
      <x:c r="F440" s="55" t="n">
        <x:v>30246</x:v>
      </x:c>
      <x:c r="G440" s="55" t="n">
        <x:v>6842</x:v>
      </x:c>
      <x:c r="H440" s="55" t="n">
        <x:v>3111</x:v>
      </x:c>
      <x:c r="I440" s="55" t="n">
        <x:v>1034</x:v>
      </x:c>
      <x:c r="J440" s="55" t="n">
        <x:v>306</x:v>
      </x:c>
      <x:c r="K440" s="55" t="n">
        <x:v>30246</x:v>
      </x:c>
      <x:c r="L440" s="55" t="n">
        <x:v>6172</x:v>
      </x:c>
      <x:c r="M440" s="55" t="n">
        <x:v>2026</x:v>
      </x:c>
      <x:c r="N440" s="55" t="n">
        <x:v>2618</x:v>
      </x:c>
      <x:c r="O440" s="55" t="n">
        <x:v>1528</x:v>
      </x:c>
      <x:c r="P440" s="55" t="n">
        <x:v>793</x:v>
      </x:c>
      <x:c r="Q440" s="55" t="n">
        <x:v>2312</x:v>
      </x:c>
      <x:c r="R440" s="55" t="n">
        <x:v>2109</x:v>
      </x:c>
      <x:c r="S440" s="55" t="n">
        <x:v>2679</x:v>
      </x:c>
      <x:c r="T440" s="55" t="n">
        <x:v>1374</x:v>
      </x:c>
      <x:c r="U440" s="55" t="n">
        <x:v>1844</x:v>
      </x:c>
      <x:c r="V440" s="55" t="n">
        <x:v>9609</x:v>
      </x:c>
      <x:c r="W440" s="55" t="n">
        <x:v>6840</x:v>
      </x:c>
      <x:c r="X440" s="55" t="n">
        <x:v>2769</x:v>
      </x:c>
      <x:c r="Y440" s="55" t="n">
        <x:v>2376</x:v>
      </x:c>
      <x:c r="Z440" s="55" t="n">
        <x:v>3858</x:v>
      </x:c>
      <x:c r="AA440" s="55" t="n">
        <x:v>2873</x:v>
      </x:c>
      <x:c r="AB440" s="55" t="n">
        <x:v>729</x:v>
      </x:c>
      <x:c r="AC440" s="55" t="n">
        <x:v>7902</x:v>
      </x:c>
      <x:c r="AD440" s="55" t="n">
        <x:v>2888</x:v>
      </x:c>
      <x:c r="AE440" s="55" t="n">
        <x:v>9705</x:v>
      </x:c>
      <x:c r="AF440" s="55" t="n">
        <x:v>9609</x:v>
      </x:c>
      <x:c r="AG440" s="55" t="n">
        <x:v>96</x:v>
      </x:c>
      <x:c r="AH440" s="55" t="n">
        <x:v>68</x:v>
      </x:c>
      <x:c r="AI440" s="55" t="n">
        <x:v>9541</x:v>
      </x:c>
      <x:c r="AJ440" s="55" t="n">
        <x:v>339</x:v>
      </x:c>
      <x:c r="AK440" s="55" t="n">
        <x:v>869</x:v>
      </x:c>
      <x:c r="AL440" s="55" t="n">
        <x:v>1531</x:v>
      </x:c>
      <x:c r="AM440" s="55" t="n">
        <x:v>4348</x:v>
      </x:c>
      <x:c r="AN440" s="55" t="n">
        <x:v>2522</x:v>
      </x:c>
      <x:c r="AO440" s="55" t="n">
        <x:v>0</x:v>
      </x:c>
      <x:c r="AP440" s="55" t="n">
        <x:v>1664</x:v>
      </x:c>
      <x:c r="AQ440" s="55" t="n">
        <x:v>929</x:v>
      </x:c>
    </x:row>
    <x:row r="441">
      <x:c r="A441" s="54" t="str">
        <x:v>T2_CONCORDANT_DOMAIN</x:v>
      </x:c>
      <x:c r="B441" s="54" t="n">
        <x:v>435</x:v>
      </x:c>
      <x:c r="C441" s="54" t="str">
        <x:v>NYC-V2-R01</x:v>
      </x:c>
      <x:c r="D441" s="54" t="str">
        <x:v>V2</x:v>
      </x:c>
      <x:c r="E441" s="54" t="str">
        <x:v>ADMITTED</x:v>
      </x:c>
      <x:c r="F441" s="55" t="n">
        <x:v>31611</x:v>
      </x:c>
      <x:c r="G441" s="55" t="n">
        <x:v>6422</x:v>
      </x:c>
      <x:c r="H441" s="55" t="n">
        <x:v>3043</x:v>
      </x:c>
      <x:c r="I441" s="55" t="n">
        <x:v>748</x:v>
      </x:c>
      <x:c r="J441" s="55" t="n">
        <x:v>109</x:v>
      </x:c>
      <x:c r="K441" s="55" t="n">
        <x:v>31611</x:v>
      </x:c>
      <x:c r="L441" s="55" t="n">
        <x:v>5560</x:v>
      </x:c>
      <x:c r="M441" s="55" t="n">
        <x:v>1145</x:v>
      </x:c>
      <x:c r="N441" s="55" t="n">
        <x:v>2555</x:v>
      </x:c>
      <x:c r="O441" s="55" t="n">
        <x:v>1860</x:v>
      </x:c>
      <x:c r="P441" s="55" t="n">
        <x:v>1033</x:v>
      </x:c>
      <x:c r="Q441" s="55" t="n">
        <x:v>2275</x:v>
      </x:c>
      <x:c r="R441" s="55" t="n">
        <x:v>1509</x:v>
      </x:c>
      <x:c r="S441" s="55" t="n">
        <x:v>2872</x:v>
      </x:c>
      <x:c r="T441" s="55" t="n">
        <x:v>1255</x:v>
      </x:c>
      <x:c r="U441" s="55" t="n">
        <x:v>2214</x:v>
      </x:c>
      <x:c r="V441" s="55" t="n">
        <x:v>10635</x:v>
      </x:c>
      <x:c r="W441" s="55" t="n">
        <x:v>7884</x:v>
      </x:c>
      <x:c r="X441" s="55" t="n">
        <x:v>2751</x:v>
      </x:c>
      <x:c r="Y441" s="55" t="n">
        <x:v>2475</x:v>
      </x:c>
      <x:c r="Z441" s="55" t="n">
        <x:v>3695</x:v>
      </x:c>
      <x:c r="AA441" s="55" t="n">
        <x:v>3043</x:v>
      </x:c>
      <x:c r="AB441" s="55" t="n">
        <x:v>1034</x:v>
      </x:c>
      <x:c r="AC441" s="55" t="n">
        <x:v>7660</x:v>
      </x:c>
      <x:c r="AD441" s="55" t="n">
        <x:v>2409</x:v>
      </x:c>
      <x:c r="AE441" s="55" t="n">
        <x:v>10709</x:v>
      </x:c>
      <x:c r="AF441" s="55" t="n">
        <x:v>10635</x:v>
      </x:c>
      <x:c r="AG441" s="55" t="n">
        <x:v>74</x:v>
      </x:c>
      <x:c r="AH441" s="55" t="n">
        <x:v>521</x:v>
      </x:c>
      <x:c r="AI441" s="55" t="n">
        <x:v>10114</x:v>
      </x:c>
      <x:c r="AJ441" s="55" t="n">
        <x:v>270</x:v>
      </x:c>
      <x:c r="AK441" s="55" t="n">
        <x:v>832</x:v>
      </x:c>
      <x:c r="AL441" s="55" t="n">
        <x:v>1465</x:v>
      </x:c>
      <x:c r="AM441" s="55" t="n">
        <x:v>5041</x:v>
      </x:c>
      <x:c r="AN441" s="55" t="n">
        <x:v>3022</x:v>
      </x:c>
      <x:c r="AO441" s="55" t="n">
        <x:v>5</x:v>
      </x:c>
      <x:c r="AP441" s="55" t="n">
        <x:v>1846</x:v>
      </x:c>
      <x:c r="AQ441" s="55" t="n">
        <x:v>910</x:v>
      </x:c>
    </x:row>
    <x:row r="442">
      <x:c r="A442" s="54" t="str">
        <x:v>T2_CONCORDANT_DOMAIN</x:v>
      </x:c>
      <x:c r="B442" s="54" t="n">
        <x:v>436</x:v>
      </x:c>
      <x:c r="C442" s="54" t="str">
        <x:v>NYC-V2-R01</x:v>
      </x:c>
      <x:c r="D442" s="54" t="str">
        <x:v>V2</x:v>
      </x:c>
      <x:c r="E442" s="54" t="str">
        <x:v>ADMITTED</x:v>
      </x:c>
      <x:c r="F442" s="55" t="n">
        <x:v>30881</x:v>
      </x:c>
      <x:c r="G442" s="55" t="n">
        <x:v>7882</x:v>
      </x:c>
      <x:c r="H442" s="55" t="n">
        <x:v>3276</x:v>
      </x:c>
      <x:c r="I442" s="55" t="n">
        <x:v>1230</x:v>
      </x:c>
      <x:c r="J442" s="55" t="n">
        <x:v>243</x:v>
      </x:c>
      <x:c r="K442" s="55" t="n">
        <x:v>30881</x:v>
      </x:c>
      <x:c r="L442" s="55" t="n">
        <x:v>7603</x:v>
      </x:c>
      <x:c r="M442" s="55" t="n">
        <x:v>2092</x:v>
      </x:c>
      <x:c r="N442" s="55" t="n">
        <x:v>3284</x:v>
      </x:c>
      <x:c r="O442" s="55" t="n">
        <x:v>2227</x:v>
      </x:c>
      <x:c r="P442" s="55" t="n">
        <x:v>1010</x:v>
      </x:c>
      <x:c r="Q442" s="55" t="n">
        <x:v>2398</x:v>
      </x:c>
      <x:c r="R442" s="55" t="n">
        <x:v>2544</x:v>
      </x:c>
      <x:c r="S442" s="55" t="n">
        <x:v>3238</x:v>
      </x:c>
      <x:c r="T442" s="55" t="n">
        <x:v>1301</x:v>
      </x:c>
      <x:c r="U442" s="55" t="n">
        <x:v>2029</x:v>
      </x:c>
      <x:c r="V442" s="55" t="n">
        <x:v>10269</x:v>
      </x:c>
      <x:c r="W442" s="55" t="n">
        <x:v>7309</x:v>
      </x:c>
      <x:c r="X442" s="55" t="n">
        <x:v>2960</x:v>
      </x:c>
      <x:c r="Y442" s="55" t="n">
        <x:v>2463</x:v>
      </x:c>
      <x:c r="Z442" s="55" t="n">
        <x:v>4019</x:v>
      </x:c>
      <x:c r="AA442" s="55" t="n">
        <x:v>3262</x:v>
      </x:c>
      <x:c r="AB442" s="55" t="n">
        <x:v>1130</x:v>
      </x:c>
      <x:c r="AC442" s="55" t="n">
        <x:v>7776</x:v>
      </x:c>
      <x:c r="AD442" s="55" t="n">
        <x:v>2800</x:v>
      </x:c>
      <x:c r="AE442" s="55" t="n">
        <x:v>10435</x:v>
      </x:c>
      <x:c r="AF442" s="55" t="n">
        <x:v>10269</x:v>
      </x:c>
      <x:c r="AG442" s="55" t="n">
        <x:v>166</x:v>
      </x:c>
      <x:c r="AH442" s="55" t="n">
        <x:v>328</x:v>
      </x:c>
      <x:c r="AI442" s="55" t="n">
        <x:v>9941</x:v>
      </x:c>
      <x:c r="AJ442" s="55" t="n">
        <x:v>316</x:v>
      </x:c>
      <x:c r="AK442" s="55" t="n">
        <x:v>1120</x:v>
      </x:c>
      <x:c r="AL442" s="55" t="n">
        <x:v>1314</x:v>
      </x:c>
      <x:c r="AM442" s="55" t="n">
        <x:v>4563</x:v>
      </x:c>
      <x:c r="AN442" s="55" t="n">
        <x:v>2874</x:v>
      </x:c>
      <x:c r="AO442" s="55" t="n">
        <x:v>82</x:v>
      </x:c>
      <x:c r="AP442" s="55" t="n">
        <x:v>2739</x:v>
      </x:c>
      <x:c r="AQ442" s="55" t="n">
        <x:v>957</x:v>
      </x:c>
    </x:row>
    <x:row r="443">
      <x:c r="A443" s="54" t="str">
        <x:v>T2_CONCORDANT_DOMAIN</x:v>
      </x:c>
      <x:c r="B443" s="54" t="n">
        <x:v>437</x:v>
      </x:c>
      <x:c r="C443" s="54" t="str">
        <x:v>NYC-V2-R01</x:v>
      </x:c>
      <x:c r="D443" s="54" t="str">
        <x:v>V2</x:v>
      </x:c>
      <x:c r="E443" s="54" t="str">
        <x:v>ADMITTED</x:v>
      </x:c>
      <x:c r="F443" s="55" t="n">
        <x:v>32053</x:v>
      </x:c>
      <x:c r="G443" s="55" t="n">
        <x:v>6886</x:v>
      </x:c>
      <x:c r="H443" s="55" t="n">
        <x:v>3235</x:v>
      </x:c>
      <x:c r="I443" s="55" t="n">
        <x:v>1262</x:v>
      </x:c>
      <x:c r="J443" s="55" t="n">
        <x:v>186</x:v>
      </x:c>
      <x:c r="K443" s="55" t="n">
        <x:v>32053</x:v>
      </x:c>
      <x:c r="L443" s="55" t="n">
        <x:v>6080</x:v>
      </x:c>
      <x:c r="M443" s="55" t="n">
        <x:v>1450</x:v>
      </x:c>
      <x:c r="N443" s="55" t="n">
        <x:v>3101</x:v>
      </x:c>
      <x:c r="O443" s="55" t="n">
        <x:v>1529</x:v>
      </x:c>
      <x:c r="P443" s="55" t="n">
        <x:v>899</x:v>
      </x:c>
      <x:c r="Q443" s="55" t="n">
        <x:v>2529</x:v>
      </x:c>
      <x:c r="R443" s="55" t="n">
        <x:v>2256</x:v>
      </x:c>
      <x:c r="S443" s="55" t="n">
        <x:v>2704</x:v>
      </x:c>
      <x:c r="T443" s="55" t="n">
        <x:v>1625</x:v>
      </x:c>
      <x:c r="U443" s="55" t="n">
        <x:v>2156</x:v>
      </x:c>
      <x:c r="V443" s="55" t="n">
        <x:v>9730</x:v>
      </x:c>
      <x:c r="W443" s="55" t="n">
        <x:v>6939</x:v>
      </x:c>
      <x:c r="X443" s="55" t="n">
        <x:v>2791</x:v>
      </x:c>
      <x:c r="Y443" s="55" t="n">
        <x:v>2300</x:v>
      </x:c>
      <x:c r="Z443" s="55" t="n">
        <x:v>4146</x:v>
      </x:c>
      <x:c r="AA443" s="55" t="n">
        <x:v>2638</x:v>
      </x:c>
      <x:c r="AB443" s="55" t="n">
        <x:v>625</x:v>
      </x:c>
      <x:c r="AC443" s="55" t="n">
        <x:v>8214</x:v>
      </x:c>
      <x:c r="AD443" s="55" t="n">
        <x:v>3501</x:v>
      </x:c>
      <x:c r="AE443" s="55" t="n">
        <x:v>9869</x:v>
      </x:c>
      <x:c r="AF443" s="55" t="n">
        <x:v>9730</x:v>
      </x:c>
      <x:c r="AG443" s="55" t="n">
        <x:v>139</x:v>
      </x:c>
      <x:c r="AH443" s="55" t="n">
        <x:v>316</x:v>
      </x:c>
      <x:c r="AI443" s="55" t="n">
        <x:v>9414</x:v>
      </x:c>
      <x:c r="AJ443" s="55" t="n">
        <x:v>198</x:v>
      </x:c>
      <x:c r="AK443" s="55" t="n">
        <x:v>521</x:v>
      </x:c>
      <x:c r="AL443" s="55" t="n">
        <x:v>1383</x:v>
      </x:c>
      <x:c r="AM443" s="55" t="n">
        <x:v>5097</x:v>
      </x:c>
      <x:c r="AN443" s="55" t="n">
        <x:v>2531</x:v>
      </x:c>
      <x:c r="AO443" s="55" t="n">
        <x:v>0</x:v>
      </x:c>
      <x:c r="AP443" s="55" t="n">
        <x:v>2110</x:v>
      </x:c>
      <x:c r="AQ443" s="55" t="n">
        <x:v>967</x:v>
      </x:c>
    </x:row>
    <x:row r="444">
      <x:c r="A444" s="54" t="str">
        <x:v>T2_CONCORDANT_DOMAIN</x:v>
      </x:c>
      <x:c r="B444" s="54" t="n">
        <x:v>438</x:v>
      </x:c>
      <x:c r="C444" s="54" t="str">
        <x:v>NYC-V2-R01</x:v>
      </x:c>
      <x:c r="D444" s="54" t="str">
        <x:v>V2</x:v>
      </x:c>
      <x:c r="E444" s="54" t="str">
        <x:v>ADMITTED</x:v>
      </x:c>
      <x:c r="F444" s="55" t="n">
        <x:v>32696</x:v>
      </x:c>
      <x:c r="G444" s="55" t="n">
        <x:v>7300</x:v>
      </x:c>
      <x:c r="H444" s="55" t="n">
        <x:v>2865</x:v>
      </x:c>
      <x:c r="I444" s="55" t="n">
        <x:v>1118</x:v>
      </x:c>
      <x:c r="J444" s="55" t="n">
        <x:v>187</x:v>
      </x:c>
      <x:c r="K444" s="55" t="n">
        <x:v>32696</x:v>
      </x:c>
      <x:c r="L444" s="55" t="n">
        <x:v>5437</x:v>
      </x:c>
      <x:c r="M444" s="55" t="n">
        <x:v>1324</x:v>
      </x:c>
      <x:c r="N444" s="55" t="n">
        <x:v>2370</x:v>
      </x:c>
      <x:c r="O444" s="55" t="n">
        <x:v>1743</x:v>
      </x:c>
      <x:c r="P444" s="55" t="n">
        <x:v>619</x:v>
      </x:c>
      <x:c r="Q444" s="55" t="n">
        <x:v>2115</x:v>
      </x:c>
      <x:c r="R444" s="55" t="n">
        <x:v>1827</x:v>
      </x:c>
      <x:c r="S444" s="55" t="n">
        <x:v>2744</x:v>
      </x:c>
      <x:c r="T444" s="55" t="n">
        <x:v>959</x:v>
      </x:c>
      <x:c r="U444" s="55" t="n">
        <x:v>1731</x:v>
      </x:c>
      <x:c r="V444" s="55" t="n">
        <x:v>10970</x:v>
      </x:c>
      <x:c r="W444" s="55" t="n">
        <x:v>8143</x:v>
      </x:c>
      <x:c r="X444" s="55" t="n">
        <x:v>2827</x:v>
      </x:c>
      <x:c r="Y444" s="55" t="n">
        <x:v>2260</x:v>
      </x:c>
      <x:c r="Z444" s="55" t="n">
        <x:v>3578</x:v>
      </x:c>
      <x:c r="AA444" s="55" t="n">
        <x:v>2766</x:v>
      </x:c>
      <x:c r="AB444" s="55" t="n">
        <x:v>946</x:v>
      </x:c>
      <x:c r="AC444" s="55" t="n">
        <x:v>8178</x:v>
      </x:c>
      <x:c r="AD444" s="55" t="n">
        <x:v>2971</x:v>
      </x:c>
      <x:c r="AE444" s="55" t="n">
        <x:v>10971</x:v>
      </x:c>
      <x:c r="AF444" s="55" t="n">
        <x:v>10970</x:v>
      </x:c>
      <x:c r="AG444" s="55" t="n">
        <x:v>1</x:v>
      </x:c>
      <x:c r="AH444" s="55" t="n">
        <x:v>372</x:v>
      </x:c>
      <x:c r="AI444" s="55" t="n">
        <x:v>10598</x:v>
      </x:c>
      <x:c r="AJ444" s="55" t="n">
        <x:v>284</x:v>
      </x:c>
      <x:c r="AK444" s="55" t="n">
        <x:v>1071</x:v>
      </x:c>
      <x:c r="AL444" s="55" t="n">
        <x:v>1806</x:v>
      </x:c>
      <x:c r="AM444" s="55" t="n">
        <x:v>4660</x:v>
      </x:c>
      <x:c r="AN444" s="55" t="n">
        <x:v>3134</x:v>
      </x:c>
      <x:c r="AO444" s="55" t="n">
        <x:v>15</x:v>
      </x:c>
      <x:c r="AP444" s="55" t="n">
        <x:v>1883</x:v>
      </x:c>
      <x:c r="AQ444" s="55" t="n">
        <x:v>955</x:v>
      </x:c>
    </x:row>
    <x:row r="445">
      <x:c r="A445" s="54" t="str">
        <x:v>T2_CONCORDANT_DOMAIN</x:v>
      </x:c>
      <x:c r="B445" s="54" t="n">
        <x:v>439</x:v>
      </x:c>
      <x:c r="C445" s="54" t="str">
        <x:v>NYC-V2-R01</x:v>
      </x:c>
      <x:c r="D445" s="54" t="str">
        <x:v>V2</x:v>
      </x:c>
      <x:c r="E445" s="54" t="str">
        <x:v>ADMITTED</x:v>
      </x:c>
      <x:c r="F445" s="55" t="n">
        <x:v>32658</x:v>
      </x:c>
      <x:c r="G445" s="55" t="n">
        <x:v>8262</x:v>
      </x:c>
      <x:c r="H445" s="55" t="n">
        <x:v>3250</x:v>
      </x:c>
      <x:c r="I445" s="55" t="n">
        <x:v>1172</x:v>
      </x:c>
      <x:c r="J445" s="55" t="n">
        <x:v>228</x:v>
      </x:c>
      <x:c r="K445" s="55" t="n">
        <x:v>32658</x:v>
      </x:c>
      <x:c r="L445" s="55" t="n">
        <x:v>7279</x:v>
      </x:c>
      <x:c r="M445" s="55" t="n">
        <x:v>2257</x:v>
      </x:c>
      <x:c r="N445" s="55" t="n">
        <x:v>3048</x:v>
      </x:c>
      <x:c r="O445" s="55" t="n">
        <x:v>1974</x:v>
      </x:c>
      <x:c r="P445" s="55" t="n">
        <x:v>710</x:v>
      </x:c>
      <x:c r="Q445" s="55" t="n">
        <x:v>2945</x:v>
      </x:c>
      <x:c r="R445" s="55" t="n">
        <x:v>1757</x:v>
      </x:c>
      <x:c r="S445" s="55" t="n">
        <x:v>3240</x:v>
      </x:c>
      <x:c r="T445" s="55" t="n">
        <x:v>1517</x:v>
      </x:c>
      <x:c r="U445" s="55" t="n">
        <x:v>1740</x:v>
      </x:c>
      <x:c r="V445" s="55" t="n">
        <x:v>10035</x:v>
      </x:c>
      <x:c r="W445" s="55" t="n">
        <x:v>6899</x:v>
      </x:c>
      <x:c r="X445" s="55" t="n">
        <x:v>3136</x:v>
      </x:c>
      <x:c r="Y445" s="55" t="n">
        <x:v>2834</x:v>
      </x:c>
      <x:c r="Z445" s="55" t="n">
        <x:v>3980</x:v>
      </x:c>
      <x:c r="AA445" s="55" t="n">
        <x:v>3243</x:v>
      </x:c>
      <x:c r="AB445" s="55" t="n">
        <x:v>1172</x:v>
      </x:c>
      <x:c r="AC445" s="55" t="n">
        <x:v>7734</x:v>
      </x:c>
      <x:c r="AD445" s="55" t="n">
        <x:v>2479</x:v>
      </x:c>
      <x:c r="AE445" s="55" t="n">
        <x:v>10160</x:v>
      </x:c>
      <x:c r="AF445" s="55" t="n">
        <x:v>10035</x:v>
      </x:c>
      <x:c r="AG445" s="55" t="n">
        <x:v>125</x:v>
      </x:c>
      <x:c r="AH445" s="55" t="n">
        <x:v>402</x:v>
      </x:c>
      <x:c r="AI445" s="55" t="n">
        <x:v>9633</x:v>
      </x:c>
      <x:c r="AJ445" s="55" t="n">
        <x:v>301</x:v>
      </x:c>
      <x:c r="AK445" s="55" t="n">
        <x:v>1241</x:v>
      </x:c>
      <x:c r="AL445" s="55" t="n">
        <x:v>1647</x:v>
      </x:c>
      <x:c r="AM445" s="55" t="n">
        <x:v>4594</x:v>
      </x:c>
      <x:c r="AN445" s="55" t="n">
        <x:v>2191</x:v>
      </x:c>
      <x:c r="AO445" s="55" t="n">
        <x:v>61</x:v>
      </x:c>
      <x:c r="AP445" s="55" t="n">
        <x:v>2180</x:v>
      </x:c>
      <x:c r="AQ445" s="55" t="n">
        <x:v>978</x:v>
      </x:c>
    </x:row>
    <x:row r="446">
      <x:c r="A446" s="54" t="str">
        <x:v>T2_CONCORDANT_DOMAIN</x:v>
      </x:c>
      <x:c r="B446" s="54" t="n">
        <x:v>440</x:v>
      </x:c>
      <x:c r="C446" s="54" t="str">
        <x:v>NYC-V2-R01</x:v>
      </x:c>
      <x:c r="D446" s="54" t="str">
        <x:v>V2</x:v>
      </x:c>
      <x:c r="E446" s="54" t="str">
        <x:v>ADMITTED</x:v>
      </x:c>
      <x:c r="F446" s="55" t="n">
        <x:v>31751</x:v>
      </x:c>
      <x:c r="G446" s="55" t="n">
        <x:v>8080</x:v>
      </x:c>
      <x:c r="H446" s="55" t="n">
        <x:v>3502</x:v>
      </x:c>
      <x:c r="I446" s="55" t="n">
        <x:v>1323</x:v>
      </x:c>
      <x:c r="J446" s="55" t="n">
        <x:v>375</x:v>
      </x:c>
      <x:c r="K446" s="55" t="n">
        <x:v>31751</x:v>
      </x:c>
      <x:c r="L446" s="55" t="n">
        <x:v>6443</x:v>
      </x:c>
      <x:c r="M446" s="55" t="n">
        <x:v>1326</x:v>
      </x:c>
      <x:c r="N446" s="55" t="n">
        <x:v>2786</x:v>
      </x:c>
      <x:c r="O446" s="55" t="n">
        <x:v>2331</x:v>
      </x:c>
      <x:c r="P446" s="55" t="n">
        <x:v>844</x:v>
      </x:c>
      <x:c r="Q446" s="55" t="n">
        <x:v>2609</x:v>
      </x:c>
      <x:c r="R446" s="55" t="n">
        <x:v>1332</x:v>
      </x:c>
      <x:c r="S446" s="55" t="n">
        <x:v>2955</x:v>
      </x:c>
      <x:c r="T446" s="55" t="n">
        <x:v>1492</x:v>
      </x:c>
      <x:c r="U446" s="55" t="n">
        <x:v>2088</x:v>
      </x:c>
      <x:c r="V446" s="55" t="n">
        <x:v>11273</x:v>
      </x:c>
      <x:c r="W446" s="55" t="n">
        <x:v>8135</x:v>
      </x:c>
      <x:c r="X446" s="55" t="n">
        <x:v>3138</x:v>
      </x:c>
      <x:c r="Y446" s="55" t="n">
        <x:v>2616</x:v>
      </x:c>
      <x:c r="Z446" s="55" t="n">
        <x:v>4392</x:v>
      </x:c>
      <x:c r="AA446" s="55" t="n">
        <x:v>3502</x:v>
      </x:c>
      <x:c r="AB446" s="55" t="n">
        <x:v>1326</x:v>
      </x:c>
      <x:c r="AC446" s="55" t="n">
        <x:v>8519</x:v>
      </x:c>
      <x:c r="AD446" s="55" t="n">
        <x:v>3549</x:v>
      </x:c>
      <x:c r="AE446" s="55" t="n">
        <x:v>11398</x:v>
      </x:c>
      <x:c r="AF446" s="55" t="n">
        <x:v>11273</x:v>
      </x:c>
      <x:c r="AG446" s="55" t="n">
        <x:v>125</x:v>
      </x:c>
      <x:c r="AH446" s="55" t="n">
        <x:v>736</x:v>
      </x:c>
      <x:c r="AI446" s="55" t="n">
        <x:v>10537</x:v>
      </x:c>
      <x:c r="AJ446" s="55" t="n">
        <x:v>615</x:v>
      </x:c>
      <x:c r="AK446" s="55" t="n">
        <x:v>1134</x:v>
      </x:c>
      <x:c r="AL446" s="55" t="n">
        <x:v>1721</x:v>
      </x:c>
      <x:c r="AM446" s="55" t="n">
        <x:v>4990</x:v>
      </x:c>
      <x:c r="AN446" s="55" t="n">
        <x:v>2772</x:v>
      </x:c>
      <x:c r="AO446" s="55" t="n">
        <x:v>41</x:v>
      </x:c>
      <x:c r="AP446" s="55" t="n">
        <x:v>2670</x:v>
      </x:c>
      <x:c r="AQ446" s="55" t="n">
        <x:v>996</x:v>
      </x:c>
    </x:row>
    <x:row r="447">
      <x:c r="A447" s="54" t="str">
        <x:v>T2_CONCORDANT_DOMAIN</x:v>
      </x:c>
      <x:c r="B447" s="54" t="n">
        <x:v>441</x:v>
      </x:c>
      <x:c r="C447" s="54" t="str">
        <x:v>NYC-V2-R01</x:v>
      </x:c>
      <x:c r="D447" s="54" t="str">
        <x:v>V2</x:v>
      </x:c>
      <x:c r="E447" s="54" t="str">
        <x:v>ADMITTED</x:v>
      </x:c>
      <x:c r="F447" s="55" t="n">
        <x:v>29897</x:v>
      </x:c>
      <x:c r="G447" s="55" t="n">
        <x:v>6346</x:v>
      </x:c>
      <x:c r="H447" s="55" t="n">
        <x:v>2807</x:v>
      </x:c>
      <x:c r="I447" s="55" t="n">
        <x:v>1106</x:v>
      </x:c>
      <x:c r="J447" s="55" t="n">
        <x:v>83</x:v>
      </x:c>
      <x:c r="K447" s="55" t="n">
        <x:v>29897</x:v>
      </x:c>
      <x:c r="L447" s="55" t="n">
        <x:v>5585</x:v>
      </x:c>
      <x:c r="M447" s="55" t="n">
        <x:v>870</x:v>
      </x:c>
      <x:c r="N447" s="55" t="n">
        <x:v>2666</x:v>
      </x:c>
      <x:c r="O447" s="55" t="n">
        <x:v>2049</x:v>
      </x:c>
      <x:c r="P447" s="55" t="n">
        <x:v>748</x:v>
      </x:c>
      <x:c r="Q447" s="55" t="n">
        <x:v>2879</x:v>
      </x:c>
      <x:c r="R447" s="55" t="n">
        <x:v>1677</x:v>
      </x:c>
      <x:c r="S447" s="55" t="n">
        <x:v>2654</x:v>
      </x:c>
      <x:c r="T447" s="55" t="n">
        <x:v>934</x:v>
      </x:c>
      <x:c r="U447" s="55" t="n">
        <x:v>1939</x:v>
      </x:c>
      <x:c r="V447" s="55" t="n">
        <x:v>10570</x:v>
      </x:c>
      <x:c r="W447" s="55" t="n">
        <x:v>7760</x:v>
      </x:c>
      <x:c r="X447" s="55" t="n">
        <x:v>2810</x:v>
      </x:c>
      <x:c r="Y447" s="55" t="n">
        <x:v>2481</x:v>
      </x:c>
      <x:c r="Z447" s="55" t="n">
        <x:v>4025</x:v>
      </x:c>
      <x:c r="AA447" s="55" t="n">
        <x:v>2642</x:v>
      </x:c>
      <x:c r="AB447" s="55" t="n">
        <x:v>1189</x:v>
      </x:c>
      <x:c r="AC447" s="55" t="n">
        <x:v>7890</x:v>
      </x:c>
      <x:c r="AD447" s="55" t="n">
        <x:v>2870</x:v>
      </x:c>
      <x:c r="AE447" s="55" t="n">
        <x:v>10598</x:v>
      </x:c>
      <x:c r="AF447" s="55" t="n">
        <x:v>10570</x:v>
      </x:c>
      <x:c r="AG447" s="55" t="n">
        <x:v>28</x:v>
      </x:c>
      <x:c r="AH447" s="55" t="n">
        <x:v>334</x:v>
      </x:c>
      <x:c r="AI447" s="55" t="n">
        <x:v>10236</x:v>
      </x:c>
      <x:c r="AJ447" s="55" t="n">
        <x:v>347</x:v>
      </x:c>
      <x:c r="AK447" s="55" t="n">
        <x:v>1194</x:v>
      </x:c>
      <x:c r="AL447" s="55" t="n">
        <x:v>1496</x:v>
      </x:c>
      <x:c r="AM447" s="55" t="n">
        <x:v>4963</x:v>
      </x:c>
      <x:c r="AN447" s="55" t="n">
        <x:v>2570</x:v>
      </x:c>
      <x:c r="AO447" s="55" t="n">
        <x:v>0</x:v>
      </x:c>
      <x:c r="AP447" s="55" t="n">
        <x:v>1830</x:v>
      </x:c>
      <x:c r="AQ447" s="55" t="n">
        <x:v>921</x:v>
      </x:c>
    </x:row>
    <x:row r="448">
      <x:c r="A448" s="54" t="str">
        <x:v>T2_CONCORDANT_DOMAIN</x:v>
      </x:c>
      <x:c r="B448" s="54" t="n">
        <x:v>442</x:v>
      </x:c>
      <x:c r="C448" s="54" t="str">
        <x:v>NYC-V2-R01</x:v>
      </x:c>
      <x:c r="D448" s="54" t="str">
        <x:v>V2</x:v>
      </x:c>
      <x:c r="E448" s="54" t="str">
        <x:v>ADMITTED</x:v>
      </x:c>
      <x:c r="F448" s="55" t="n">
        <x:v>30329</x:v>
      </x:c>
      <x:c r="G448" s="55" t="n">
        <x:v>6921</x:v>
      </x:c>
      <x:c r="H448" s="55" t="n">
        <x:v>3927</x:v>
      </x:c>
      <x:c r="I448" s="55" t="n">
        <x:v>1778</x:v>
      </x:c>
      <x:c r="J448" s="55" t="n">
        <x:v>342</x:v>
      </x:c>
      <x:c r="K448" s="55" t="n">
        <x:v>30329</x:v>
      </x:c>
      <x:c r="L448" s="55" t="n">
        <x:v>6251</x:v>
      </x:c>
      <x:c r="M448" s="55" t="n">
        <x:v>2083</x:v>
      </x:c>
      <x:c r="N448" s="55" t="n">
        <x:v>2655</x:v>
      </x:c>
      <x:c r="O448" s="55" t="n">
        <x:v>1513</x:v>
      </x:c>
      <x:c r="P448" s="55" t="n">
        <x:v>1254</x:v>
      </x:c>
      <x:c r="Q448" s="55" t="n">
        <x:v>2422</x:v>
      </x:c>
      <x:c r="R448" s="55" t="n">
        <x:v>2127</x:v>
      </x:c>
      <x:c r="S448" s="55" t="n">
        <x:v>2456</x:v>
      </x:c>
      <x:c r="T448" s="55" t="n">
        <x:v>1452</x:v>
      </x:c>
      <x:c r="U448" s="55" t="n">
        <x:v>1921</x:v>
      </x:c>
      <x:c r="V448" s="55" t="n">
        <x:v>10855</x:v>
      </x:c>
      <x:c r="W448" s="55" t="n">
        <x:v>7745</x:v>
      </x:c>
      <x:c r="X448" s="55" t="n">
        <x:v>3110</x:v>
      </x:c>
      <x:c r="Y448" s="55" t="n">
        <x:v>2750</x:v>
      </x:c>
      <x:c r="Z448" s="55" t="n">
        <x:v>3771</x:v>
      </x:c>
      <x:c r="AA448" s="55" t="n">
        <x:v>3609</x:v>
      </x:c>
      <x:c r="AB448" s="55" t="n">
        <x:v>1404</x:v>
      </x:c>
      <x:c r="AC448" s="55" t="n">
        <x:v>7921</x:v>
      </x:c>
      <x:c r="AD448" s="55" t="n">
        <x:v>3446</x:v>
      </x:c>
      <x:c r="AE448" s="55" t="n">
        <x:v>10917</x:v>
      </x:c>
      <x:c r="AF448" s="55" t="n">
        <x:v>10855</x:v>
      </x:c>
      <x:c r="AG448" s="55" t="n">
        <x:v>62</x:v>
      </x:c>
      <x:c r="AH448" s="55" t="n">
        <x:v>522</x:v>
      </x:c>
      <x:c r="AI448" s="55" t="n">
        <x:v>10333</x:v>
      </x:c>
      <x:c r="AJ448" s="55" t="n">
        <x:v>255</x:v>
      </x:c>
      <x:c r="AK448" s="55" t="n">
        <x:v>934</x:v>
      </x:c>
      <x:c r="AL448" s="55" t="n">
        <x:v>1562</x:v>
      </x:c>
      <x:c r="AM448" s="55" t="n">
        <x:v>5251</x:v>
      </x:c>
      <x:c r="AN448" s="55" t="n">
        <x:v>2853</x:v>
      </x:c>
      <x:c r="AO448" s="55" t="n">
        <x:v>0</x:v>
      </x:c>
      <x:c r="AP448" s="55" t="n">
        <x:v>2332</x:v>
      </x:c>
      <x:c r="AQ448" s="55" t="n">
        <x:v>953</x:v>
      </x:c>
    </x:row>
    <x:row r="449">
      <x:c r="A449" s="54" t="str">
        <x:v>T2_CONCORDANT_DOMAIN</x:v>
      </x:c>
      <x:c r="B449" s="54" t="n">
        <x:v>443</x:v>
      </x:c>
      <x:c r="C449" s="54" t="str">
        <x:v>NYC-V2-R01</x:v>
      </x:c>
      <x:c r="D449" s="54" t="str">
        <x:v>V2</x:v>
      </x:c>
      <x:c r="E449" s="54" t="str">
        <x:v>ADMITTED</x:v>
      </x:c>
      <x:c r="F449" s="55" t="n">
        <x:v>31661</x:v>
      </x:c>
      <x:c r="G449" s="55" t="n">
        <x:v>8130</x:v>
      </x:c>
      <x:c r="H449" s="55" t="n">
        <x:v>3474</x:v>
      </x:c>
      <x:c r="I449" s="55" t="n">
        <x:v>1380</x:v>
      </x:c>
      <x:c r="J449" s="55" t="n">
        <x:v>183</x:v>
      </x:c>
      <x:c r="K449" s="55" t="n">
        <x:v>29682</x:v>
      </x:c>
      <x:c r="L449" s="55" t="n">
        <x:v>5391</x:v>
      </x:c>
      <x:c r="M449" s="55" t="n">
        <x:v>573</x:v>
      </x:c>
      <x:c r="N449" s="55" t="n">
        <x:v>3203</x:v>
      </x:c>
      <x:c r="O449" s="55" t="n">
        <x:v>1615</x:v>
      </x:c>
      <x:c r="P449" s="55" t="n">
        <x:v>945</x:v>
      </x:c>
      <x:c r="Q449" s="55" t="n">
        <x:v>2790</x:v>
      </x:c>
      <x:c r="R449" s="55" t="n">
        <x:v>1946</x:v>
      </x:c>
      <x:c r="S449" s="55" t="n">
        <x:v>2768</x:v>
      </x:c>
      <x:c r="T449" s="55" t="n">
        <x:v>1531</x:v>
      </x:c>
      <x:c r="U449" s="55" t="n">
        <x:v>2078</x:v>
      </x:c>
      <x:c r="V449" s="55" t="n">
        <x:v>10815</x:v>
      </x:c>
      <x:c r="W449" s="55" t="n">
        <x:v>7326</x:v>
      </x:c>
      <x:c r="X449" s="55" t="n">
        <x:v>3489</x:v>
      </x:c>
      <x:c r="Y449" s="55" t="n">
        <x:v>3112</x:v>
      </x:c>
      <x:c r="Z449" s="55" t="n">
        <x:v>4077</x:v>
      </x:c>
      <x:c r="AA449" s="55" t="n">
        <x:v>3167</x:v>
      </x:c>
      <x:c r="AB449" s="55" t="n">
        <x:v>918</x:v>
      </x:c>
      <x:c r="AC449" s="55" t="n">
        <x:v>9024</x:v>
      </x:c>
      <x:c r="AD449" s="55" t="n">
        <x:v>3428</x:v>
      </x:c>
      <x:c r="AE449" s="55" t="n">
        <x:v>10906</x:v>
      </x:c>
      <x:c r="AF449" s="55" t="n">
        <x:v>10815</x:v>
      </x:c>
      <x:c r="AG449" s="55" t="n">
        <x:v>91</x:v>
      </x:c>
      <x:c r="AH449" s="55" t="n">
        <x:v>454</x:v>
      </x:c>
      <x:c r="AI449" s="55" t="n">
        <x:v>10361</x:v>
      </x:c>
      <x:c r="AJ449" s="55" t="n">
        <x:v>301</x:v>
      </x:c>
      <x:c r="AK449" s="55" t="n">
        <x:v>1130</x:v>
      </x:c>
      <x:c r="AL449" s="55" t="n">
        <x:v>1701</x:v>
      </x:c>
      <x:c r="AM449" s="55" t="n">
        <x:v>4969</x:v>
      </x:c>
      <x:c r="AN449" s="55" t="n">
        <x:v>2667</x:v>
      </x:c>
      <x:c r="AO449" s="55" t="n">
        <x:v>47</x:v>
      </x:c>
      <x:c r="AP449" s="55" t="n">
        <x:v>2308</x:v>
      </x:c>
      <x:c r="AQ449" s="55" t="n">
        <x:v>971</x:v>
      </x:c>
    </x:row>
    <x:row r="450">
      <x:c r="A450" s="54" t="str">
        <x:v>T2_CONCORDANT_DOMAIN</x:v>
      </x:c>
      <x:c r="B450" s="54" t="n">
        <x:v>444</x:v>
      </x:c>
      <x:c r="C450" s="54" t="str">
        <x:v>NYC-V2-R01</x:v>
      </x:c>
      <x:c r="D450" s="54" t="str">
        <x:v>V2</x:v>
      </x:c>
      <x:c r="E450" s="54" t="str">
        <x:v>ADMITTED</x:v>
      </x:c>
      <x:c r="F450" s="55" t="n">
        <x:v>29474</x:v>
      </x:c>
      <x:c r="G450" s="55" t="n">
        <x:v>7565</x:v>
      </x:c>
      <x:c r="H450" s="55" t="n">
        <x:v>2889</x:v>
      </x:c>
      <x:c r="I450" s="55" t="n">
        <x:v>1230</x:v>
      </x:c>
      <x:c r="J450" s="55" t="n">
        <x:v>184</x:v>
      </x:c>
      <x:c r="K450" s="55" t="n">
        <x:v>28120</x:v>
      </x:c>
      <x:c r="L450" s="55" t="n">
        <x:v>4352</x:v>
      </x:c>
      <x:c r="M450" s="55" t="n">
        <x:v>891</x:v>
      </x:c>
      <x:c r="N450" s="55" t="n">
        <x:v>2465</x:v>
      </x:c>
      <x:c r="O450" s="55" t="n">
        <x:v>996</x:v>
      </x:c>
      <x:c r="P450" s="55" t="n">
        <x:v>391</x:v>
      </x:c>
      <x:c r="Q450" s="55" t="n">
        <x:v>1467</x:v>
      </x:c>
      <x:c r="R450" s="55" t="n">
        <x:v>1661</x:v>
      </x:c>
      <x:c r="S450" s="55" t="n">
        <x:v>2290</x:v>
      </x:c>
      <x:c r="T450" s="55" t="n">
        <x:v>1182</x:v>
      </x:c>
      <x:c r="U450" s="55" t="n">
        <x:v>1602</x:v>
      </x:c>
      <x:c r="V450" s="55" t="n">
        <x:v>10350</x:v>
      </x:c>
      <x:c r="W450" s="55" t="n">
        <x:v>7677</x:v>
      </x:c>
      <x:c r="X450" s="55" t="n">
        <x:v>2673</x:v>
      </x:c>
      <x:c r="Y450" s="55" t="n">
        <x:v>2257</x:v>
      </x:c>
      <x:c r="Z450" s="55" t="n">
        <x:v>3703</x:v>
      </x:c>
      <x:c r="AA450" s="55" t="n">
        <x:v>2889</x:v>
      </x:c>
      <x:c r="AB450" s="55" t="n">
        <x:v>1106</x:v>
      </x:c>
      <x:c r="AC450" s="55" t="n">
        <x:v>7923</x:v>
      </x:c>
      <x:c r="AD450" s="55" t="n">
        <x:v>2749</x:v>
      </x:c>
      <x:c r="AE450" s="55" t="n">
        <x:v>10430</x:v>
      </x:c>
      <x:c r="AF450" s="55" t="n">
        <x:v>10350</x:v>
      </x:c>
      <x:c r="AG450" s="55" t="n">
        <x:v>80</x:v>
      </x:c>
      <x:c r="AH450" s="55" t="n">
        <x:v>342</x:v>
      </x:c>
      <x:c r="AI450" s="55" t="n">
        <x:v>10008</x:v>
      </x:c>
      <x:c r="AJ450" s="55" t="n">
        <x:v>308</x:v>
      </x:c>
      <x:c r="AK450" s="55" t="n">
        <x:v>1029</x:v>
      </x:c>
      <x:c r="AL450" s="55" t="n">
        <x:v>1053</x:v>
      </x:c>
      <x:c r="AM450" s="55" t="n">
        <x:v>5242</x:v>
      </x:c>
      <x:c r="AN450" s="55" t="n">
        <x:v>2718</x:v>
      </x:c>
      <x:c r="AO450" s="55" t="n">
        <x:v>0</x:v>
      </x:c>
      <x:c r="AP450" s="55" t="n">
        <x:v>2016</x:v>
      </x:c>
      <x:c r="AQ450" s="55" t="n">
        <x:v>969</x:v>
      </x:c>
    </x:row>
    <x:row r="451">
      <x:c r="A451" s="54" t="str">
        <x:v>T2_CONCORDANT_DOMAIN</x:v>
      </x:c>
      <x:c r="B451" s="54" t="n">
        <x:v>445</x:v>
      </x:c>
      <x:c r="C451" s="54" t="str">
        <x:v>NYC-V2-R01</x:v>
      </x:c>
      <x:c r="D451" s="54" t="str">
        <x:v>V2</x:v>
      </x:c>
      <x:c r="E451" s="54" t="str">
        <x:v>ADMITTED</x:v>
      </x:c>
      <x:c r="F451" s="55" t="n">
        <x:v>31192</x:v>
      </x:c>
      <x:c r="G451" s="55" t="n">
        <x:v>6520</x:v>
      </x:c>
      <x:c r="H451" s="55" t="n">
        <x:v>3718</x:v>
      </x:c>
      <x:c r="I451" s="55" t="n">
        <x:v>1613</x:v>
      </x:c>
      <x:c r="J451" s="55" t="n">
        <x:v>277</x:v>
      </x:c>
      <x:c r="K451" s="55" t="n">
        <x:v>31192</x:v>
      </x:c>
      <x:c r="L451" s="55" t="n">
        <x:v>6822</x:v>
      </x:c>
      <x:c r="M451" s="55" t="n">
        <x:v>1964</x:v>
      </x:c>
      <x:c r="N451" s="55" t="n">
        <x:v>2669</x:v>
      </x:c>
      <x:c r="O451" s="55" t="n">
        <x:v>2189</x:v>
      </x:c>
      <x:c r="P451" s="55" t="n">
        <x:v>890</x:v>
      </x:c>
      <x:c r="Q451" s="55" t="n">
        <x:v>2299</x:v>
      </x:c>
      <x:c r="R451" s="55" t="n">
        <x:v>2190</x:v>
      </x:c>
      <x:c r="S451" s="55" t="n">
        <x:v>3019</x:v>
      </x:c>
      <x:c r="T451" s="55" t="n">
        <x:v>1191</x:v>
      </x:c>
      <x:c r="U451" s="55" t="n">
        <x:v>1988</x:v>
      </x:c>
      <x:c r="V451" s="55" t="n">
        <x:v>10685</x:v>
      </x:c>
      <x:c r="W451" s="55" t="n">
        <x:v>7623</x:v>
      </x:c>
      <x:c r="X451" s="55" t="n">
        <x:v>3062</x:v>
      </x:c>
      <x:c r="Y451" s="55" t="n">
        <x:v>2687</x:v>
      </x:c>
      <x:c r="Z451" s="55" t="n">
        <x:v>3874</x:v>
      </x:c>
      <x:c r="AA451" s="55" t="n">
        <x:v>3431</x:v>
      </x:c>
      <x:c r="AB451" s="55" t="n">
        <x:v>1360</x:v>
      </x:c>
      <x:c r="AC451" s="55" t="n">
        <x:v>8205</x:v>
      </x:c>
      <x:c r="AD451" s="55" t="n">
        <x:v>3031</x:v>
      </x:c>
      <x:c r="AE451" s="55" t="n">
        <x:v>10770</x:v>
      </x:c>
      <x:c r="AF451" s="55" t="n">
        <x:v>10685</x:v>
      </x:c>
      <x:c r="AG451" s="55" t="n">
        <x:v>85</x:v>
      </x:c>
      <x:c r="AH451" s="55" t="n">
        <x:v>534</x:v>
      </x:c>
      <x:c r="AI451" s="55" t="n">
        <x:v>10151</x:v>
      </x:c>
      <x:c r="AJ451" s="55" t="n">
        <x:v>315</x:v>
      </x:c>
      <x:c r="AK451" s="55" t="n">
        <x:v>1086</x:v>
      </x:c>
      <x:c r="AL451" s="55" t="n">
        <x:v>1581</x:v>
      </x:c>
      <x:c r="AM451" s="55" t="n">
        <x:v>5332</x:v>
      </x:c>
      <x:c r="AN451" s="55" t="n">
        <x:v>2317</x:v>
      </x:c>
      <x:c r="AO451" s="55" t="n">
        <x:v>54</x:v>
      </x:c>
      <x:c r="AP451" s="55" t="n">
        <x:v>2284</x:v>
      </x:c>
      <x:c r="AQ451" s="55" t="n">
        <x:v>958</x:v>
      </x:c>
    </x:row>
    <x:row r="452">
      <x:c r="A452" s="54" t="str">
        <x:v>T2_CONCORDANT_DOMAIN</x:v>
      </x:c>
      <x:c r="B452" s="54" t="n">
        <x:v>446</x:v>
      </x:c>
      <x:c r="C452" s="54" t="str">
        <x:v>NYC-V2-R01</x:v>
      </x:c>
      <x:c r="D452" s="54" t="str">
        <x:v>V2</x:v>
      </x:c>
      <x:c r="E452" s="54" t="str">
        <x:v>ADMITTED</x:v>
      </x:c>
      <x:c r="F452" s="55" t="n">
        <x:v>30352</x:v>
      </x:c>
      <x:c r="G452" s="55" t="n">
        <x:v>8027</x:v>
      </x:c>
      <x:c r="H452" s="55" t="n">
        <x:v>3511</x:v>
      </x:c>
      <x:c r="I452" s="55" t="n">
        <x:v>1210</x:v>
      </x:c>
      <x:c r="J452" s="55" t="n">
        <x:v>205</x:v>
      </x:c>
      <x:c r="K452" s="55" t="n">
        <x:v>29572</x:v>
      </x:c>
      <x:c r="L452" s="55" t="n">
        <x:v>5889</x:v>
      </x:c>
      <x:c r="M452" s="55" t="n">
        <x:v>1633</x:v>
      </x:c>
      <x:c r="N452" s="55" t="n">
        <x:v>2718</x:v>
      </x:c>
      <x:c r="O452" s="55" t="n">
        <x:v>1538</x:v>
      </x:c>
      <x:c r="P452" s="55" t="n">
        <x:v>593</x:v>
      </x:c>
      <x:c r="Q452" s="55" t="n">
        <x:v>949</x:v>
      </x:c>
      <x:c r="R452" s="55" t="n">
        <x:v>2417</x:v>
      </x:c>
      <x:c r="S452" s="55" t="n">
        <x:v>2471</x:v>
      </x:c>
      <x:c r="T452" s="55" t="n">
        <x:v>1081</x:v>
      </x:c>
      <x:c r="U452" s="55" t="n">
        <x:v>2142</x:v>
      </x:c>
      <x:c r="V452" s="55" t="n">
        <x:v>10450</x:v>
      </x:c>
      <x:c r="W452" s="55" t="n">
        <x:v>7352</x:v>
      </x:c>
      <x:c r="X452" s="55" t="n">
        <x:v>3098</x:v>
      </x:c>
      <x:c r="Y452" s="55" t="n">
        <x:v>2734</x:v>
      </x:c>
      <x:c r="Z452" s="55" t="n">
        <x:v>3681</x:v>
      </x:c>
      <x:c r="AA452" s="55" t="n">
        <x:v>3511</x:v>
      </x:c>
      <x:c r="AB452" s="55" t="n">
        <x:v>1637</x:v>
      </x:c>
      <x:c r="AC452" s="55" t="n">
        <x:v>8660</x:v>
      </x:c>
      <x:c r="AD452" s="55" t="n">
        <x:v>2970</x:v>
      </x:c>
      <x:c r="AE452" s="55" t="n">
        <x:v>10516</x:v>
      </x:c>
      <x:c r="AF452" s="55" t="n">
        <x:v>10450</x:v>
      </x:c>
      <x:c r="AG452" s="55" t="n">
        <x:v>66</x:v>
      </x:c>
      <x:c r="AH452" s="55" t="n">
        <x:v>447</x:v>
      </x:c>
      <x:c r="AI452" s="55" t="n">
        <x:v>10003</x:v>
      </x:c>
      <x:c r="AJ452" s="55" t="n">
        <x:v>6</x:v>
      </x:c>
      <x:c r="AK452" s="55" t="n">
        <x:v>1386</x:v>
      </x:c>
      <x:c r="AL452" s="55" t="n">
        <x:v>1765</x:v>
      </x:c>
      <x:c r="AM452" s="55" t="n">
        <x:v>4930</x:v>
      </x:c>
      <x:c r="AN452" s="55" t="n">
        <x:v>2357</x:v>
      </x:c>
      <x:c r="AO452" s="55" t="n">
        <x:v>6</x:v>
      </x:c>
      <x:c r="AP452" s="55" t="n">
        <x:v>2092</x:v>
      </x:c>
      <x:c r="AQ452" s="55" t="n">
        <x:v>916</x:v>
      </x:c>
    </x:row>
    <x:row r="453">
      <x:c r="A453" s="54" t="str">
        <x:v>T2_CONCORDANT_DOMAIN</x:v>
      </x:c>
      <x:c r="B453" s="54" t="n">
        <x:v>447</x:v>
      </x:c>
      <x:c r="C453" s="54" t="str">
        <x:v>NYC-V2-R01</x:v>
      </x:c>
      <x:c r="D453" s="54" t="str">
        <x:v>V2</x:v>
      </x:c>
      <x:c r="E453" s="54" t="str">
        <x:v>ADMITTED</x:v>
      </x:c>
      <x:c r="F453" s="55" t="n">
        <x:v>31011</x:v>
      </x:c>
      <x:c r="G453" s="55" t="n">
        <x:v>8173</x:v>
      </x:c>
      <x:c r="H453" s="55" t="n">
        <x:v>3293</x:v>
      </x:c>
      <x:c r="I453" s="55" t="n">
        <x:v>1187</x:v>
      </x:c>
      <x:c r="J453" s="55" t="n">
        <x:v>326</x:v>
      </x:c>
      <x:c r="K453" s="55" t="n">
        <x:v>30494</x:v>
      </x:c>
      <x:c r="L453" s="55" t="n">
        <x:v>5953</x:v>
      </x:c>
      <x:c r="M453" s="55" t="n">
        <x:v>1457</x:v>
      </x:c>
      <x:c r="N453" s="55" t="n">
        <x:v>2774</x:v>
      </x:c>
      <x:c r="O453" s="55" t="n">
        <x:v>1722</x:v>
      </x:c>
      <x:c r="P453" s="55" t="n">
        <x:v>818</x:v>
      </x:c>
      <x:c r="Q453" s="55" t="n">
        <x:v>2039</x:v>
      </x:c>
      <x:c r="R453" s="55" t="n">
        <x:v>1968</x:v>
      </x:c>
      <x:c r="S453" s="55" t="n">
        <x:v>2896</x:v>
      </x:c>
      <x:c r="T453" s="55" t="n">
        <x:v>1164</x:v>
      </x:c>
      <x:c r="U453" s="55" t="n">
        <x:v>1421</x:v>
      </x:c>
      <x:c r="V453" s="55" t="n">
        <x:v>10662</x:v>
      </x:c>
      <x:c r="W453" s="55" t="n">
        <x:v>7619</x:v>
      </x:c>
      <x:c r="X453" s="55" t="n">
        <x:v>3043</x:v>
      </x:c>
      <x:c r="Y453" s="55" t="n">
        <x:v>2582</x:v>
      </x:c>
      <x:c r="Z453" s="55" t="n">
        <x:v>3781</x:v>
      </x:c>
      <x:c r="AA453" s="55" t="n">
        <x:v>2868</x:v>
      </x:c>
      <x:c r="AB453" s="55" t="n">
        <x:v>906</x:v>
      </x:c>
      <x:c r="AC453" s="55" t="n">
        <x:v>7753</x:v>
      </x:c>
      <x:c r="AD453" s="55" t="n">
        <x:v>3037</x:v>
      </x:c>
      <x:c r="AE453" s="55" t="n">
        <x:v>10763</x:v>
      </x:c>
      <x:c r="AF453" s="55" t="n">
        <x:v>10662</x:v>
      </x:c>
      <x:c r="AG453" s="55" t="n">
        <x:v>101</x:v>
      </x:c>
      <x:c r="AH453" s="55" t="n">
        <x:v>302</x:v>
      </x:c>
      <x:c r="AI453" s="55" t="n">
        <x:v>10360</x:v>
      </x:c>
      <x:c r="AJ453" s="55" t="n">
        <x:v>289</x:v>
      </x:c>
      <x:c r="AK453" s="55" t="n">
        <x:v>882</x:v>
      </x:c>
      <x:c r="AL453" s="55" t="n">
        <x:v>1824</x:v>
      </x:c>
      <x:c r="AM453" s="55" t="n">
        <x:v>4944</x:v>
      </x:c>
      <x:c r="AN453" s="55" t="n">
        <x:v>2634</x:v>
      </x:c>
      <x:c r="AO453" s="55" t="n">
        <x:v>89</x:v>
      </x:c>
      <x:c r="AP453" s="55" t="n">
        <x:v>2712</x:v>
      </x:c>
      <x:c r="AQ453" s="55" t="n">
        <x:v>982</x:v>
      </x:c>
    </x:row>
    <x:row r="454">
      <x:c r="A454" s="54" t="str">
        <x:v>T2_CONCORDANT_DOMAIN</x:v>
      </x:c>
      <x:c r="B454" s="54" t="n">
        <x:v>448</x:v>
      </x:c>
      <x:c r="C454" s="54" t="str">
        <x:v>NYC-V2-R01</x:v>
      </x:c>
      <x:c r="D454" s="54" t="str">
        <x:v>V2</x:v>
      </x:c>
      <x:c r="E454" s="54" t="str">
        <x:v>ADMITTED</x:v>
      </x:c>
      <x:c r="F454" s="55" t="n">
        <x:v>31185</x:v>
      </x:c>
      <x:c r="G454" s="55" t="n">
        <x:v>7731</x:v>
      </x:c>
      <x:c r="H454" s="55" t="n">
        <x:v>2797</x:v>
      </x:c>
      <x:c r="I454" s="55" t="n">
        <x:v>1054</x:v>
      </x:c>
      <x:c r="J454" s="55" t="n">
        <x:v>73</x:v>
      </x:c>
      <x:c r="K454" s="55" t="n">
        <x:v>27546</x:v>
      </x:c>
      <x:c r="L454" s="55" t="n">
        <x:v>3869</x:v>
      </x:c>
      <x:c r="M454" s="55" t="n">
        <x:v>671</x:v>
      </x:c>
      <x:c r="N454" s="55" t="n">
        <x:v>2055</x:v>
      </x:c>
      <x:c r="O454" s="55" t="n">
        <x:v>1143</x:v>
      </x:c>
      <x:c r="P454" s="55" t="n">
        <x:v>1110</x:v>
      </x:c>
      <x:c r="Q454" s="55" t="n">
        <x:v>3016</x:v>
      </x:c>
      <x:c r="R454" s="55" t="n">
        <x:v>1480</x:v>
      </x:c>
      <x:c r="S454" s="55" t="n">
        <x:v>2670</x:v>
      </x:c>
      <x:c r="T454" s="55" t="n">
        <x:v>1462</x:v>
      </x:c>
      <x:c r="U454" s="55" t="n">
        <x:v>1663</x:v>
      </x:c>
      <x:c r="V454" s="55" t="n">
        <x:v>10301</x:v>
      </x:c>
      <x:c r="W454" s="55" t="n">
        <x:v>7551</x:v>
      </x:c>
      <x:c r="X454" s="55" t="n">
        <x:v>2750</x:v>
      </x:c>
      <x:c r="Y454" s="55" t="n">
        <x:v>2403</x:v>
      </x:c>
      <x:c r="Z454" s="55" t="n">
        <x:v>3698</x:v>
      </x:c>
      <x:c r="AA454" s="55" t="n">
        <x:v>2774</x:v>
      </x:c>
      <x:c r="AB454" s="55" t="n">
        <x:v>862</x:v>
      </x:c>
      <x:c r="AC454" s="55" t="n">
        <x:v>7943</x:v>
      </x:c>
      <x:c r="AD454" s="55" t="n">
        <x:v>2772</x:v>
      </x:c>
      <x:c r="AE454" s="55" t="n">
        <x:v>10319</x:v>
      </x:c>
      <x:c r="AF454" s="55" t="n">
        <x:v>10301</x:v>
      </x:c>
      <x:c r="AG454" s="55" t="n">
        <x:v>18</x:v>
      </x:c>
      <x:c r="AH454" s="55" t="n">
        <x:v>484</x:v>
      </x:c>
      <x:c r="AI454" s="55" t="n">
        <x:v>9817</x:v>
      </x:c>
      <x:c r="AJ454" s="55" t="n">
        <x:v>294</x:v>
      </x:c>
      <x:c r="AK454" s="55" t="n">
        <x:v>865</x:v>
      </x:c>
      <x:c r="AL454" s="55" t="n">
        <x:v>1538</x:v>
      </x:c>
      <x:c r="AM454" s="55" t="n">
        <x:v>4780</x:v>
      </x:c>
      <x:c r="AN454" s="55" t="n">
        <x:v>2801</x:v>
      </x:c>
      <x:c r="AO454" s="55" t="n">
        <x:v>23</x:v>
      </x:c>
      <x:c r="AP454" s="55" t="n">
        <x:v>2499</x:v>
      </x:c>
      <x:c r="AQ454" s="55" t="n">
        <x:v>964</x:v>
      </x:c>
    </x:row>
    <x:row r="455">
      <x:c r="A455" s="54" t="str">
        <x:v>T2_CONCORDANT_DOMAIN</x:v>
      </x:c>
      <x:c r="B455" s="54" t="n">
        <x:v>449</x:v>
      </x:c>
      <x:c r="C455" s="54" t="str">
        <x:v>NYC-V2-R01</x:v>
      </x:c>
      <x:c r="D455" s="54" t="str">
        <x:v>V2</x:v>
      </x:c>
      <x:c r="E455" s="54" t="str">
        <x:v>ADMITTED</x:v>
      </x:c>
      <x:c r="F455" s="55" t="n">
        <x:v>30666</x:v>
      </x:c>
      <x:c r="G455" s="55" t="n">
        <x:v>7534</x:v>
      </x:c>
      <x:c r="H455" s="55" t="n">
        <x:v>3674</x:v>
      </x:c>
      <x:c r="I455" s="55" t="n">
        <x:v>1270</x:v>
      </x:c>
      <x:c r="J455" s="55" t="n">
        <x:v>272</x:v>
      </x:c>
      <x:c r="K455" s="55" t="n">
        <x:v>30176</x:v>
      </x:c>
      <x:c r="L455" s="55" t="n">
        <x:v>6070</x:v>
      </x:c>
      <x:c r="M455" s="55" t="n">
        <x:v>1398</x:v>
      </x:c>
      <x:c r="N455" s="55" t="n">
        <x:v>2895</x:v>
      </x:c>
      <x:c r="O455" s="55" t="n">
        <x:v>1777</x:v>
      </x:c>
      <x:c r="P455" s="55" t="n">
        <x:v>926</x:v>
      </x:c>
      <x:c r="Q455" s="55" t="n">
        <x:v>1971</x:v>
      </x:c>
      <x:c r="R455" s="55" t="n">
        <x:v>1514</x:v>
      </x:c>
      <x:c r="S455" s="55" t="n">
        <x:v>2149</x:v>
      </x:c>
      <x:c r="T455" s="55" t="n">
        <x:v>1295</x:v>
      </x:c>
      <x:c r="U455" s="55" t="n">
        <x:v>1435</x:v>
      </x:c>
      <x:c r="V455" s="55" t="n">
        <x:v>9951</x:v>
      </x:c>
      <x:c r="W455" s="55" t="n">
        <x:v>7097</x:v>
      </x:c>
      <x:c r="X455" s="55" t="n">
        <x:v>2854</x:v>
      </x:c>
      <x:c r="Y455" s="55" t="n">
        <x:v>2526</x:v>
      </x:c>
      <x:c r="Z455" s="55" t="n">
        <x:v>2941</x:v>
      </x:c>
      <x:c r="AA455" s="55" t="n">
        <x:v>3244</x:v>
      </x:c>
      <x:c r="AB455" s="55" t="n">
        <x:v>1052</x:v>
      </x:c>
      <x:c r="AC455" s="55" t="n">
        <x:v>8245</x:v>
      </x:c>
      <x:c r="AD455" s="55" t="n">
        <x:v>2772</x:v>
      </x:c>
      <x:c r="AE455" s="55" t="n">
        <x:v>10017</x:v>
      </x:c>
      <x:c r="AF455" s="55" t="n">
        <x:v>9951</x:v>
      </x:c>
      <x:c r="AG455" s="55" t="n">
        <x:v>66</x:v>
      </x:c>
      <x:c r="AH455" s="55" t="n">
        <x:v>168</x:v>
      </x:c>
      <x:c r="AI455" s="55" t="n">
        <x:v>9783</x:v>
      </x:c>
      <x:c r="AJ455" s="55" t="n">
        <x:v>278</x:v>
      </x:c>
      <x:c r="AK455" s="55" t="n">
        <x:v>727</x:v>
      </x:c>
      <x:c r="AL455" s="55" t="n">
        <x:v>1248</x:v>
      </x:c>
      <x:c r="AM455" s="55" t="n">
        <x:v>4669</x:v>
      </x:c>
      <x:c r="AN455" s="55" t="n">
        <x:v>3029</x:v>
      </x:c>
      <x:c r="AO455" s="55" t="n">
        <x:v>0</x:v>
      </x:c>
      <x:c r="AP455" s="55" t="n">
        <x:v>1943</x:v>
      </x:c>
      <x:c r="AQ455" s="55" t="n">
        <x:v>970</x:v>
      </x:c>
    </x:row>
    <x:row r="456">
      <x:c r="A456" s="54" t="str">
        <x:v>T2_CONCORDANT_DOMAIN</x:v>
      </x:c>
      <x:c r="B456" s="54" t="n">
        <x:v>450</x:v>
      </x:c>
      <x:c r="C456" s="54" t="str">
        <x:v>NYC-V2-R01</x:v>
      </x:c>
      <x:c r="D456" s="54" t="str">
        <x:v>V2</x:v>
      </x:c>
      <x:c r="E456" s="54" t="str">
        <x:v>ADMITTED</x:v>
      </x:c>
      <x:c r="F456" s="55" t="n">
        <x:v>33597</x:v>
      </x:c>
      <x:c r="G456" s="55" t="n">
        <x:v>8522</x:v>
      </x:c>
      <x:c r="H456" s="55" t="n">
        <x:v>3448</x:v>
      </x:c>
      <x:c r="I456" s="55" t="n">
        <x:v>1371</x:v>
      </x:c>
      <x:c r="J456" s="55" t="n">
        <x:v>330</x:v>
      </x:c>
      <x:c r="K456" s="55" t="n">
        <x:v>33597</x:v>
      </x:c>
      <x:c r="L456" s="55" t="n">
        <x:v>7547</x:v>
      </x:c>
      <x:c r="M456" s="55" t="n">
        <x:v>2050</x:v>
      </x:c>
      <x:c r="N456" s="55" t="n">
        <x:v>3066</x:v>
      </x:c>
      <x:c r="O456" s="55" t="n">
        <x:v>2431</x:v>
      </x:c>
      <x:c r="P456" s="55" t="n">
        <x:v>940</x:v>
      </x:c>
      <x:c r="Q456" s="55" t="n">
        <x:v>2915</x:v>
      </x:c>
      <x:c r="R456" s="55" t="n">
        <x:v>2349</x:v>
      </x:c>
      <x:c r="S456" s="55" t="n">
        <x:v>3951</x:v>
      </x:c>
      <x:c r="T456" s="55" t="n">
        <x:v>1414</x:v>
      </x:c>
      <x:c r="U456" s="55" t="n">
        <x:v>2288</x:v>
      </x:c>
      <x:c r="V456" s="55" t="n">
        <x:v>10454</x:v>
      </x:c>
      <x:c r="W456" s="55" t="n">
        <x:v>6883</x:v>
      </x:c>
      <x:c r="X456" s="55" t="n">
        <x:v>3571</x:v>
      </x:c>
      <x:c r="Y456" s="55" t="n">
        <x:v>3066</x:v>
      </x:c>
      <x:c r="Z456" s="55" t="n">
        <x:v>3693</x:v>
      </x:c>
      <x:c r="AA456" s="55" t="n">
        <x:v>3391</x:v>
      </x:c>
      <x:c r="AB456" s="55" t="n">
        <x:v>1045</x:v>
      </x:c>
      <x:c r="AC456" s="55" t="n">
        <x:v>8620</x:v>
      </x:c>
      <x:c r="AD456" s="55" t="n">
        <x:v>2932</x:v>
      </x:c>
      <x:c r="AE456" s="55" t="n">
        <x:v>10575</x:v>
      </x:c>
      <x:c r="AF456" s="55" t="n">
        <x:v>10454</x:v>
      </x:c>
      <x:c r="AG456" s="55" t="n">
        <x:v>121</x:v>
      </x:c>
      <x:c r="AH456" s="55" t="n">
        <x:v>480</x:v>
      </x:c>
      <x:c r="AI456" s="55" t="n">
        <x:v>9974</x:v>
      </x:c>
      <x:c r="AJ456" s="55" t="n">
        <x:v>337</x:v>
      </x:c>
      <x:c r="AK456" s="55" t="n">
        <x:v>1133</x:v>
      </x:c>
      <x:c r="AL456" s="55" t="n">
        <x:v>1720</x:v>
      </x:c>
      <x:c r="AM456" s="55" t="n">
        <x:v>4653</x:v>
      </x:c>
      <x:c r="AN456" s="55" t="n">
        <x:v>2602</x:v>
      </x:c>
      <x:c r="AO456" s="55" t="n">
        <x:v>9</x:v>
      </x:c>
      <x:c r="AP456" s="55" t="n">
        <x:v>2198</x:v>
      </x:c>
      <x:c r="AQ456" s="55" t="n">
        <x:v>973</x:v>
      </x:c>
    </x:row>
    <x:row r="457">
      <x:c r="A457" s="54" t="str">
        <x:v>T2_CONCORDANT_DOMAIN</x:v>
      </x:c>
      <x:c r="B457" s="54" t="n">
        <x:v>451</x:v>
      </x:c>
      <x:c r="C457" s="54" t="str">
        <x:v>NYC-V2-R01</x:v>
      </x:c>
      <x:c r="D457" s="54" t="str">
        <x:v>V2</x:v>
      </x:c>
      <x:c r="E457" s="54" t="str">
        <x:v>ADMITTED</x:v>
      </x:c>
      <x:c r="F457" s="55" t="n">
        <x:v>33240</x:v>
      </x:c>
      <x:c r="G457" s="55" t="n">
        <x:v>8217</x:v>
      </x:c>
      <x:c r="H457" s="55" t="n">
        <x:v>3890</x:v>
      </x:c>
      <x:c r="I457" s="55" t="n">
        <x:v>1442</x:v>
      </x:c>
      <x:c r="J457" s="55" t="n">
        <x:v>366</x:v>
      </x:c>
      <x:c r="K457" s="55" t="n">
        <x:v>31891</x:v>
      </x:c>
      <x:c r="L457" s="55" t="n">
        <x:v>6969</x:v>
      </x:c>
      <x:c r="M457" s="55" t="n">
        <x:v>1580</x:v>
      </x:c>
      <x:c r="N457" s="55" t="n">
        <x:v>3103</x:v>
      </x:c>
      <x:c r="O457" s="55" t="n">
        <x:v>2286</x:v>
      </x:c>
      <x:c r="P457" s="55" t="n">
        <x:v>894</x:v>
      </x:c>
      <x:c r="Q457" s="55" t="n">
        <x:v>2907</x:v>
      </x:c>
      <x:c r="R457" s="55" t="n">
        <x:v>2318</x:v>
      </x:c>
      <x:c r="S457" s="55" t="n">
        <x:v>4211</x:v>
      </x:c>
      <x:c r="T457" s="55" t="n">
        <x:v>1143</x:v>
      </x:c>
      <x:c r="U457" s="55" t="n">
        <x:v>2081</x:v>
      </x:c>
      <x:c r="V457" s="55" t="n">
        <x:v>11570</x:v>
      </x:c>
      <x:c r="W457" s="55" t="n">
        <x:v>8451</x:v>
      </x:c>
      <x:c r="X457" s="55" t="n">
        <x:v>3119</x:v>
      </x:c>
      <x:c r="Y457" s="55" t="n">
        <x:v>2974</x:v>
      </x:c>
      <x:c r="Z457" s="55" t="n">
        <x:v>3596</x:v>
      </x:c>
      <x:c r="AA457" s="55" t="n">
        <x:v>3536</x:v>
      </x:c>
      <x:c r="AB457" s="55" t="n">
        <x:v>1037</x:v>
      </x:c>
      <x:c r="AC457" s="55" t="n">
        <x:v>8344</x:v>
      </x:c>
      <x:c r="AD457" s="55" t="n">
        <x:v>3243</x:v>
      </x:c>
      <x:c r="AE457" s="55" t="n">
        <x:v>11643</x:v>
      </x:c>
      <x:c r="AF457" s="55" t="n">
        <x:v>11570</x:v>
      </x:c>
      <x:c r="AG457" s="55" t="n">
        <x:v>73</x:v>
      </x:c>
      <x:c r="AH457" s="55" t="n">
        <x:v>707</x:v>
      </x:c>
      <x:c r="AI457" s="55" t="n">
        <x:v>10863</x:v>
      </x:c>
      <x:c r="AJ457" s="55" t="n">
        <x:v>513</x:v>
      </x:c>
      <x:c r="AK457" s="55" t="n">
        <x:v>1238</x:v>
      </x:c>
      <x:c r="AL457" s="55" t="n">
        <x:v>1609</x:v>
      </x:c>
      <x:c r="AM457" s="55" t="n">
        <x:v>5106</x:v>
      </x:c>
      <x:c r="AN457" s="55" t="n">
        <x:v>3022</x:v>
      </x:c>
      <x:c r="AO457" s="55" t="n">
        <x:v>82</x:v>
      </x:c>
      <x:c r="AP457" s="55" t="n">
        <x:v>2571</x:v>
      </x:c>
      <x:c r="AQ457" s="55" t="n">
        <x:v>1015</x:v>
      </x:c>
    </x:row>
    <x:row r="458">
      <x:c r="A458" s="54" t="str">
        <x:v>T2_CONCORDANT_DOMAIN</x:v>
      </x:c>
      <x:c r="B458" s="54" t="n">
        <x:v>452</x:v>
      </x:c>
      <x:c r="C458" s="54" t="str">
        <x:v>NYC-V2-R01</x:v>
      </x:c>
      <x:c r="D458" s="54" t="str">
        <x:v>V2</x:v>
      </x:c>
      <x:c r="E458" s="54" t="str">
        <x:v>ADMITTED</x:v>
      </x:c>
      <x:c r="F458" s="55" t="n">
        <x:v>32217</x:v>
      </x:c>
      <x:c r="G458" s="55" t="n">
        <x:v>7350</x:v>
      </x:c>
      <x:c r="H458" s="55" t="n">
        <x:v>3548</x:v>
      </x:c>
      <x:c r="I458" s="55" t="n">
        <x:v>1377</x:v>
      </x:c>
      <x:c r="J458" s="55" t="n">
        <x:v>279</x:v>
      </x:c>
      <x:c r="K458" s="55" t="n">
        <x:v>30214</x:v>
      </x:c>
      <x:c r="L458" s="55" t="n">
        <x:v>5221</x:v>
      </x:c>
      <x:c r="M458" s="55" t="n">
        <x:v>1087</x:v>
      </x:c>
      <x:c r="N458" s="55" t="n">
        <x:v>2518</x:v>
      </x:c>
      <x:c r="O458" s="55" t="n">
        <x:v>1616</x:v>
      </x:c>
      <x:c r="P458" s="55" t="n">
        <x:v>609</x:v>
      </x:c>
      <x:c r="Q458" s="55" t="n">
        <x:v>2512</x:v>
      </x:c>
      <x:c r="R458" s="55" t="n">
        <x:v>2253</x:v>
      </x:c>
      <x:c r="S458" s="55" t="n">
        <x:v>2410</x:v>
      </x:c>
      <x:c r="T458" s="55" t="n">
        <x:v>1435</x:v>
      </x:c>
      <x:c r="U458" s="55" t="n">
        <x:v>1952</x:v>
      </x:c>
      <x:c r="V458" s="55" t="n">
        <x:v>10444</x:v>
      </x:c>
      <x:c r="W458" s="55" t="n">
        <x:v>7784</x:v>
      </x:c>
      <x:c r="X458" s="55" t="n">
        <x:v>2660</x:v>
      </x:c>
      <x:c r="Y458" s="55" t="n">
        <x:v>2317</x:v>
      </x:c>
      <x:c r="Z458" s="55" t="n">
        <x:v>3766</x:v>
      </x:c>
      <x:c r="AA458" s="55" t="n">
        <x:v>2665</x:v>
      </x:c>
      <x:c r="AB458" s="55" t="n">
        <x:v>924</x:v>
      </x:c>
      <x:c r="AC458" s="55" t="n">
        <x:v>8100</x:v>
      </x:c>
      <x:c r="AD458" s="55" t="n">
        <x:v>2283</x:v>
      </x:c>
      <x:c r="AE458" s="55" t="n">
        <x:v>10542</x:v>
      </x:c>
      <x:c r="AF458" s="55" t="n">
        <x:v>10444</x:v>
      </x:c>
      <x:c r="AG458" s="55" t="n">
        <x:v>98</x:v>
      </x:c>
      <x:c r="AH458" s="55" t="n">
        <x:v>442</x:v>
      </x:c>
      <x:c r="AI458" s="55" t="n">
        <x:v>10002</x:v>
      </x:c>
      <x:c r="AJ458" s="55" t="n">
        <x:v>206</x:v>
      </x:c>
      <x:c r="AK458" s="55" t="n">
        <x:v>716</x:v>
      </x:c>
      <x:c r="AL458" s="55" t="n">
        <x:v>1935</x:v>
      </x:c>
      <x:c r="AM458" s="55" t="n">
        <x:v>4974</x:v>
      </x:c>
      <x:c r="AN458" s="55" t="n">
        <x:v>2613</x:v>
      </x:c>
      <x:c r="AO458" s="55" t="n">
        <x:v>0</x:v>
      </x:c>
      <x:c r="AP458" s="55" t="n">
        <x:v>1962</x:v>
      </x:c>
      <x:c r="AQ458" s="55" t="n">
        <x:v>934</x:v>
      </x:c>
    </x:row>
    <x:row r="459">
      <x:c r="A459" s="54" t="str">
        <x:v>T2_CONCORDANT_DOMAIN</x:v>
      </x:c>
      <x:c r="B459" s="54" t="n">
        <x:v>453</x:v>
      </x:c>
      <x:c r="C459" s="54" t="str">
        <x:v>NYC-V2-R01</x:v>
      </x:c>
      <x:c r="D459" s="54" t="str">
        <x:v>V2</x:v>
      </x:c>
      <x:c r="E459" s="54" t="str">
        <x:v>ADMITTED</x:v>
      </x:c>
      <x:c r="F459" s="55" t="n">
        <x:v>29754</x:v>
      </x:c>
      <x:c r="G459" s="55" t="n">
        <x:v>6797</x:v>
      </x:c>
      <x:c r="H459" s="55" t="n">
        <x:v>3087</x:v>
      </x:c>
      <x:c r="I459" s="55" t="n">
        <x:v>1092</x:v>
      </x:c>
      <x:c r="J459" s="55" t="n">
        <x:v>60</x:v>
      </x:c>
      <x:c r="K459" s="55" t="n">
        <x:v>27156</x:v>
      </x:c>
      <x:c r="L459" s="55" t="n">
        <x:v>3406</x:v>
      </x:c>
      <x:c r="M459" s="55" t="n">
        <x:v>166</x:v>
      </x:c>
      <x:c r="N459" s="55" t="n">
        <x:v>2084</x:v>
      </x:c>
      <x:c r="O459" s="55" t="n">
        <x:v>1156</x:v>
      </x:c>
      <x:c r="P459" s="55" t="n">
        <x:v>404</x:v>
      </x:c>
      <x:c r="Q459" s="55" t="n">
        <x:v>1320</x:v>
      </x:c>
      <x:c r="R459" s="55" t="n">
        <x:v>2040</x:v>
      </x:c>
      <x:c r="S459" s="55" t="n">
        <x:v>2293</x:v>
      </x:c>
      <x:c r="T459" s="55" t="n">
        <x:v>884</x:v>
      </x:c>
      <x:c r="U459" s="55" t="n">
        <x:v>1737</x:v>
      </x:c>
      <x:c r="V459" s="55" t="n">
        <x:v>10619</x:v>
      </x:c>
      <x:c r="W459" s="55" t="n">
        <x:v>7972</x:v>
      </x:c>
      <x:c r="X459" s="55" t="n">
        <x:v>2647</x:v>
      </x:c>
      <x:c r="Y459" s="55" t="n">
        <x:v>2033</x:v>
      </x:c>
      <x:c r="Z459" s="55" t="n">
        <x:v>3411</x:v>
      </x:c>
      <x:c r="AA459" s="55" t="n">
        <x:v>3087</x:v>
      </x:c>
      <x:c r="AB459" s="55" t="n">
        <x:v>1027</x:v>
      </x:c>
      <x:c r="AC459" s="55" t="n">
        <x:v>7783</x:v>
      </x:c>
      <x:c r="AD459" s="55" t="n">
        <x:v>1983</x:v>
      </x:c>
      <x:c r="AE459" s="55" t="n">
        <x:v>10714</x:v>
      </x:c>
      <x:c r="AF459" s="55" t="n">
        <x:v>10619</x:v>
      </x:c>
      <x:c r="AG459" s="55" t="n">
        <x:v>95</x:v>
      </x:c>
      <x:c r="AH459" s="55" t="n">
        <x:v>433</x:v>
      </x:c>
      <x:c r="AI459" s="55" t="n">
        <x:v>10186</x:v>
      </x:c>
      <x:c r="AJ459" s="55" t="n">
        <x:v>116</x:v>
      </x:c>
      <x:c r="AK459" s="55" t="n">
        <x:v>954</x:v>
      </x:c>
      <x:c r="AL459" s="55" t="n">
        <x:v>1306</x:v>
      </x:c>
      <x:c r="AM459" s="55" t="n">
        <x:v>4918</x:v>
      </x:c>
      <x:c r="AN459" s="55" t="n">
        <x:v>3314</x:v>
      </x:c>
      <x:c r="AO459" s="55" t="n">
        <x:v>11</x:v>
      </x:c>
      <x:c r="AP459" s="55" t="n">
        <x:v>2279</x:v>
      </x:c>
      <x:c r="AQ459" s="55" t="n">
        <x:v>941</x:v>
      </x:c>
    </x:row>
    <x:row r="460">
      <x:c r="A460" s="54" t="str">
        <x:v>T2_CONCORDANT_DOMAIN</x:v>
      </x:c>
      <x:c r="B460" s="54" t="n">
        <x:v>454</x:v>
      </x:c>
      <x:c r="C460" s="54" t="str">
        <x:v>NYC-V2-R01</x:v>
      </x:c>
      <x:c r="D460" s="54" t="str">
        <x:v>V2</x:v>
      </x:c>
      <x:c r="E460" s="54" t="str">
        <x:v>ADMITTED</x:v>
      </x:c>
      <x:c r="F460" s="55" t="n">
        <x:v>30502</x:v>
      </x:c>
      <x:c r="G460" s="55" t="n">
        <x:v>7020</x:v>
      </x:c>
      <x:c r="H460" s="55" t="n">
        <x:v>3243</x:v>
      </x:c>
      <x:c r="I460" s="55" t="n">
        <x:v>1338</x:v>
      </x:c>
      <x:c r="J460" s="55" t="n">
        <x:v>258</x:v>
      </x:c>
      <x:c r="K460" s="55" t="n">
        <x:v>30502</x:v>
      </x:c>
      <x:c r="L460" s="55" t="n">
        <x:v>5188</x:v>
      </x:c>
      <x:c r="M460" s="55" t="n">
        <x:v>1011</x:v>
      </x:c>
      <x:c r="N460" s="55" t="n">
        <x:v>2333</x:v>
      </x:c>
      <x:c r="O460" s="55" t="n">
        <x:v>1844</x:v>
      </x:c>
      <x:c r="P460" s="55" t="n">
        <x:v>758</x:v>
      </x:c>
      <x:c r="Q460" s="55" t="n">
        <x:v>1864</x:v>
      </x:c>
      <x:c r="R460" s="55" t="n">
        <x:v>2043</x:v>
      </x:c>
      <x:c r="S460" s="55" t="n">
        <x:v>2554</x:v>
      </x:c>
      <x:c r="T460" s="55" t="n">
        <x:v>1266</x:v>
      </x:c>
      <x:c r="U460" s="55" t="n">
        <x:v>2264</x:v>
      </x:c>
      <x:c r="V460" s="55" t="n">
        <x:v>10498</x:v>
      </x:c>
      <x:c r="W460" s="55" t="n">
        <x:v>7266</x:v>
      </x:c>
      <x:c r="X460" s="55" t="n">
        <x:v>3232</x:v>
      </x:c>
      <x:c r="Y460" s="55" t="n">
        <x:v>2836</x:v>
      </x:c>
      <x:c r="Z460" s="55" t="n">
        <x:v>4028</x:v>
      </x:c>
      <x:c r="AA460" s="55" t="n">
        <x:v>3114</x:v>
      </x:c>
      <x:c r="AB460" s="55" t="n">
        <x:v>1138</x:v>
      </x:c>
      <x:c r="AC460" s="55" t="n">
        <x:v>8419</x:v>
      </x:c>
      <x:c r="AD460" s="55" t="n">
        <x:v>3043</x:v>
      </x:c>
      <x:c r="AE460" s="55" t="n">
        <x:v>10567</x:v>
      </x:c>
      <x:c r="AF460" s="55" t="n">
        <x:v>10498</x:v>
      </x:c>
      <x:c r="AG460" s="55" t="n">
        <x:v>69</x:v>
      </x:c>
      <x:c r="AH460" s="55" t="n">
        <x:v>407</x:v>
      </x:c>
      <x:c r="AI460" s="55" t="n">
        <x:v>10091</x:v>
      </x:c>
      <x:c r="AJ460" s="55" t="n">
        <x:v>394</x:v>
      </x:c>
      <x:c r="AK460" s="55" t="n">
        <x:v>1239</x:v>
      </x:c>
      <x:c r="AL460" s="55" t="n">
        <x:v>1768</x:v>
      </x:c>
      <x:c r="AM460" s="55" t="n">
        <x:v>4561</x:v>
      </x:c>
      <x:c r="AN460" s="55" t="n">
        <x:v>2536</x:v>
      </x:c>
      <x:c r="AO460" s="55" t="n">
        <x:v>0</x:v>
      </x:c>
      <x:c r="AP460" s="55" t="n">
        <x:v>2859</x:v>
      </x:c>
      <x:c r="AQ460" s="55" t="n">
        <x:v>939</x:v>
      </x:c>
    </x:row>
    <x:row r="461">
      <x:c r="A461" s="54" t="str">
        <x:v>T2_CONCORDANT_DOMAIN</x:v>
      </x:c>
      <x:c r="B461" s="54" t="n">
        <x:v>455</x:v>
      </x:c>
      <x:c r="C461" s="54" t="str">
        <x:v>NYC-V2-R01</x:v>
      </x:c>
      <x:c r="D461" s="54" t="str">
        <x:v>V2</x:v>
      </x:c>
      <x:c r="E461" s="54" t="str">
        <x:v>ADMITTED</x:v>
      </x:c>
      <x:c r="F461" s="55" t="n">
        <x:v>28669</x:v>
      </x:c>
      <x:c r="G461" s="55" t="n">
        <x:v>6760</x:v>
      </x:c>
      <x:c r="H461" s="55" t="n">
        <x:v>2868</x:v>
      </x:c>
      <x:c r="I461" s="55" t="n">
        <x:v>950</x:v>
      </x:c>
      <x:c r="J461" s="55" t="n">
        <x:v>38</x:v>
      </x:c>
      <x:c r="K461" s="55" t="n">
        <x:v>28669</x:v>
      </x:c>
      <x:c r="L461" s="55" t="n">
        <x:v>4624</x:v>
      </x:c>
      <x:c r="M461" s="55" t="n">
        <x:v>799</x:v>
      </x:c>
      <x:c r="N461" s="55" t="n">
        <x:v>2349</x:v>
      </x:c>
      <x:c r="O461" s="55" t="n">
        <x:v>1476</x:v>
      </x:c>
      <x:c r="P461" s="55" t="n">
        <x:v>735</x:v>
      </x:c>
      <x:c r="Q461" s="55" t="n">
        <x:v>2499</x:v>
      </x:c>
      <x:c r="R461" s="55" t="n">
        <x:v>1586</x:v>
      </x:c>
      <x:c r="S461" s="55" t="n">
        <x:v>2964</x:v>
      </x:c>
      <x:c r="T461" s="55" t="n">
        <x:v>1076</x:v>
      </x:c>
      <x:c r="U461" s="55" t="n">
        <x:v>1741</x:v>
      </x:c>
      <x:c r="V461" s="55" t="n">
        <x:v>10260</x:v>
      </x:c>
      <x:c r="W461" s="55" t="n">
        <x:v>7222</x:v>
      </x:c>
      <x:c r="X461" s="55" t="n">
        <x:v>3038</x:v>
      </x:c>
      <x:c r="Y461" s="55" t="n">
        <x:v>2523</x:v>
      </x:c>
      <x:c r="Z461" s="55" t="n">
        <x:v>3522</x:v>
      </x:c>
      <x:c r="AA461" s="55" t="n">
        <x:v>2868</x:v>
      </x:c>
      <x:c r="AB461" s="55" t="n">
        <x:v>1152</x:v>
      </x:c>
      <x:c r="AC461" s="55" t="n">
        <x:v>7624</x:v>
      </x:c>
      <x:c r="AD461" s="55" t="n">
        <x:v>3105</x:v>
      </x:c>
      <x:c r="AE461" s="55" t="n">
        <x:v>10360</x:v>
      </x:c>
      <x:c r="AF461" s="55" t="n">
        <x:v>10260</x:v>
      </x:c>
      <x:c r="AG461" s="55" t="n">
        <x:v>100</x:v>
      </x:c>
      <x:c r="AH461" s="55" t="n">
        <x:v>406</x:v>
      </x:c>
      <x:c r="AI461" s="55" t="n">
        <x:v>9854</x:v>
      </x:c>
      <x:c r="AJ461" s="55" t="n">
        <x:v>179</x:v>
      </x:c>
      <x:c r="AK461" s="55" t="n">
        <x:v>1059</x:v>
      </x:c>
      <x:c r="AL461" s="55" t="n">
        <x:v>1673</x:v>
      </x:c>
      <x:c r="AM461" s="55" t="n">
        <x:v>4674</x:v>
      </x:c>
      <x:c r="AN461" s="55" t="n">
        <x:v>2672</x:v>
      </x:c>
      <x:c r="AO461" s="55" t="n">
        <x:v>3</x:v>
      </x:c>
      <x:c r="AP461" s="55" t="n">
        <x:v>2457</x:v>
      </x:c>
      <x:c r="AQ461" s="55" t="n">
        <x:v>927</x:v>
      </x:c>
    </x:row>
    <x:row r="462">
      <x:c r="A462" s="54" t="str">
        <x:v>T2_CONCORDANT_DOMAIN</x:v>
      </x:c>
      <x:c r="B462" s="54" t="n">
        <x:v>456</x:v>
      </x:c>
      <x:c r="C462" s="54" t="str">
        <x:v>NYC-V2-R01</x:v>
      </x:c>
      <x:c r="D462" s="54" t="str">
        <x:v>V2</x:v>
      </x:c>
      <x:c r="E462" s="54" t="str">
        <x:v>ADMITTED</x:v>
      </x:c>
      <x:c r="F462" s="55" t="n">
        <x:v>26707</x:v>
      </x:c>
      <x:c r="G462" s="55" t="n">
        <x:v>6099</x:v>
      </x:c>
      <x:c r="H462" s="55" t="n">
        <x:v>3105</x:v>
      </x:c>
      <x:c r="I462" s="55" t="n">
        <x:v>1135</x:v>
      </x:c>
      <x:c r="J462" s="55" t="n">
        <x:v>4</x:v>
      </x:c>
      <x:c r="K462" s="55" t="n">
        <x:v>26365</x:v>
      </x:c>
      <x:c r="L462" s="55" t="n">
        <x:v>3610</x:v>
      </x:c>
      <x:c r="M462" s="55" t="n">
        <x:v>0</x:v>
      </x:c>
      <x:c r="N462" s="55" t="n">
        <x:v>2170</x:v>
      </x:c>
      <x:c r="O462" s="55" t="n">
        <x:v>1440</x:v>
      </x:c>
      <x:c r="P462" s="55" t="n">
        <x:v>286</x:v>
      </x:c>
      <x:c r="Q462" s="55" t="n">
        <x:v>1111</x:v>
      </x:c>
      <x:c r="R462" s="55" t="n">
        <x:v>1345</x:v>
      </x:c>
      <x:c r="S462" s="55" t="n">
        <x:v>2746</x:v>
      </x:c>
      <x:c r="T462" s="55" t="n">
        <x:v>1236</x:v>
      </x:c>
      <x:c r="U462" s="55" t="n">
        <x:v>1629</x:v>
      </x:c>
      <x:c r="V462" s="55" t="n">
        <x:v>9844</x:v>
      </x:c>
      <x:c r="W462" s="55" t="n">
        <x:v>7152</x:v>
      </x:c>
      <x:c r="X462" s="55" t="n">
        <x:v>2692</x:v>
      </x:c>
      <x:c r="Y462" s="55" t="n">
        <x:v>2393</x:v>
      </x:c>
      <x:c r="Z462" s="55" t="n">
        <x:v>3769</x:v>
      </x:c>
      <x:c r="AA462" s="55" t="n">
        <x:v>2880</x:v>
      </x:c>
      <x:c r="AB462" s="55" t="n">
        <x:v>980</x:v>
      </x:c>
      <x:c r="AC462" s="55" t="n">
        <x:v>8176</x:v>
      </x:c>
      <x:c r="AD462" s="55" t="n">
        <x:v>2647</x:v>
      </x:c>
      <x:c r="AE462" s="55" t="n">
        <x:v>9844</x:v>
      </x:c>
      <x:c r="AF462" s="55" t="n">
        <x:v>9844</x:v>
      </x:c>
      <x:c r="AG462" s="55" t="n">
        <x:v>0</x:v>
      </x:c>
      <x:c r="AH462" s="55" t="n">
        <x:v>196</x:v>
      </x:c>
      <x:c r="AI462" s="55" t="n">
        <x:v>9648</x:v>
      </x:c>
      <x:c r="AJ462" s="55" t="n">
        <x:v>349</x:v>
      </x:c>
      <x:c r="AK462" s="55" t="n">
        <x:v>943</x:v>
      </x:c>
      <x:c r="AL462" s="55" t="n">
        <x:v>1518</x:v>
      </x:c>
      <x:c r="AM462" s="55" t="n">
        <x:v>4787</x:v>
      </x:c>
      <x:c r="AN462" s="55" t="n">
        <x:v>2247</x:v>
      </x:c>
      <x:c r="AO462" s="55" t="n">
        <x:v>0</x:v>
      </x:c>
      <x:c r="AP462" s="55" t="n">
        <x:v>2147</x:v>
      </x:c>
      <x:c r="AQ462" s="55" t="n">
        <x:v>939</x:v>
      </x:c>
    </x:row>
    <x:row r="463">
      <x:c r="A463" s="54" t="str">
        <x:v>T2_CONCORDANT_DOMAIN</x:v>
      </x:c>
      <x:c r="B463" s="54" t="n">
        <x:v>457</x:v>
      </x:c>
      <x:c r="C463" s="54" t="str">
        <x:v>NYC-V2-R01</x:v>
      </x:c>
      <x:c r="D463" s="54" t="str">
        <x:v>V2</x:v>
      </x:c>
      <x:c r="E463" s="54" t="str">
        <x:v>ADMITTED</x:v>
      </x:c>
      <x:c r="F463" s="55" t="n">
        <x:v>31790</x:v>
      </x:c>
      <x:c r="G463" s="55" t="n">
        <x:v>7277</x:v>
      </x:c>
      <x:c r="H463" s="55" t="n">
        <x:v>2665</x:v>
      </x:c>
      <x:c r="I463" s="55" t="n">
        <x:v>786</x:v>
      </x:c>
      <x:c r="J463" s="55" t="n">
        <x:v>0</x:v>
      </x:c>
      <x:c r="K463" s="55" t="n">
        <x:v>31790</x:v>
      </x:c>
      <x:c r="L463" s="55" t="n">
        <x:v>7521</x:v>
      </x:c>
      <x:c r="M463" s="55" t="n">
        <x:v>2530</x:v>
      </x:c>
      <x:c r="N463" s="55" t="n">
        <x:v>3261</x:v>
      </x:c>
      <x:c r="O463" s="55" t="n">
        <x:v>1730</x:v>
      </x:c>
      <x:c r="P463" s="55" t="n">
        <x:v>918</x:v>
      </x:c>
      <x:c r="Q463" s="55" t="n">
        <x:v>2113</x:v>
      </x:c>
      <x:c r="R463" s="55" t="n">
        <x:v>1839</x:v>
      </x:c>
      <x:c r="S463" s="55" t="n">
        <x:v>2714</x:v>
      </x:c>
      <x:c r="T463" s="55" t="n">
        <x:v>1335</x:v>
      </x:c>
      <x:c r="U463" s="55" t="n">
        <x:v>2382</x:v>
      </x:c>
      <x:c r="V463" s="55" t="n">
        <x:v>10438</x:v>
      </x:c>
      <x:c r="W463" s="55" t="n">
        <x:v>7080</x:v>
      </x:c>
      <x:c r="X463" s="55" t="n">
        <x:v>3358</x:v>
      </x:c>
      <x:c r="Y463" s="55" t="n">
        <x:v>2992</x:v>
      </x:c>
      <x:c r="Z463" s="55" t="n">
        <x:v>3700</x:v>
      </x:c>
      <x:c r="AA463" s="55" t="n">
        <x:v>2665</x:v>
      </x:c>
      <x:c r="AB463" s="55" t="n">
        <x:v>939</x:v>
      </x:c>
      <x:c r="AC463" s="55" t="n">
        <x:v>8432</x:v>
      </x:c>
      <x:c r="AD463" s="55" t="n">
        <x:v>3376</x:v>
      </x:c>
      <x:c r="AE463" s="55" t="n">
        <x:v>10450</x:v>
      </x:c>
      <x:c r="AF463" s="55" t="n">
        <x:v>10438</x:v>
      </x:c>
      <x:c r="AG463" s="55" t="n">
        <x:v>12</x:v>
      </x:c>
      <x:c r="AH463" s="55" t="n">
        <x:v>408</x:v>
      </x:c>
      <x:c r="AI463" s="55" t="n">
        <x:v>10030</x:v>
      </x:c>
      <x:c r="AJ463" s="55" t="n">
        <x:v>285</x:v>
      </x:c>
      <x:c r="AK463" s="55" t="n">
        <x:v>1272</x:v>
      </x:c>
      <x:c r="AL463" s="55" t="n">
        <x:v>1606</x:v>
      </x:c>
      <x:c r="AM463" s="55" t="n">
        <x:v>4786</x:v>
      </x:c>
      <x:c r="AN463" s="55" t="n">
        <x:v>2473</x:v>
      </x:c>
      <x:c r="AO463" s="55" t="n">
        <x:v>16</x:v>
      </x:c>
      <x:c r="AP463" s="55" t="n">
        <x:v>2590</x:v>
      </x:c>
      <x:c r="AQ463" s="55" t="n">
        <x:v>971</x:v>
      </x:c>
    </x:row>
    <x:row r="464">
      <x:c r="A464" s="54" t="str">
        <x:v>T2_CONCORDANT_DOMAIN</x:v>
      </x:c>
      <x:c r="B464" s="54" t="n">
        <x:v>458</x:v>
      </x:c>
      <x:c r="C464" s="54" t="str">
        <x:v>NYC-V2-R01</x:v>
      </x:c>
      <x:c r="D464" s="54" t="str">
        <x:v>V2</x:v>
      </x:c>
      <x:c r="E464" s="54" t="str">
        <x:v>ADMITTED</x:v>
      </x:c>
      <x:c r="F464" s="55" t="n">
        <x:v>31738</x:v>
      </x:c>
      <x:c r="G464" s="55" t="n">
        <x:v>6606</x:v>
      </x:c>
      <x:c r="H464" s="55" t="n">
        <x:v>3251</x:v>
      </x:c>
      <x:c r="I464" s="55" t="n">
        <x:v>1492</x:v>
      </x:c>
      <x:c r="J464" s="55" t="n">
        <x:v>238</x:v>
      </x:c>
      <x:c r="K464" s="55" t="n">
        <x:v>31738</x:v>
      </x:c>
      <x:c r="L464" s="55" t="n">
        <x:v>7243</x:v>
      </x:c>
      <x:c r="M464" s="55" t="n">
        <x:v>2189</x:v>
      </x:c>
      <x:c r="N464" s="55" t="n">
        <x:v>3010</x:v>
      </x:c>
      <x:c r="O464" s="55" t="n">
        <x:v>2044</x:v>
      </x:c>
      <x:c r="P464" s="55" t="n">
        <x:v>1075</x:v>
      </x:c>
      <x:c r="Q464" s="55" t="n">
        <x:v>2076</x:v>
      </x:c>
      <x:c r="R464" s="55" t="n">
        <x:v>2210</x:v>
      </x:c>
      <x:c r="S464" s="55" t="n">
        <x:v>3002</x:v>
      </x:c>
      <x:c r="T464" s="55" t="n">
        <x:v>1196</x:v>
      </x:c>
      <x:c r="U464" s="55" t="n">
        <x:v>2319</x:v>
      </x:c>
      <x:c r="V464" s="55" t="n">
        <x:v>10125</x:v>
      </x:c>
      <x:c r="W464" s="55" t="n">
        <x:v>7190</x:v>
      </x:c>
      <x:c r="X464" s="55" t="n">
        <x:v>2935</x:v>
      </x:c>
      <x:c r="Y464" s="55" t="n">
        <x:v>2428</x:v>
      </x:c>
      <x:c r="Z464" s="55" t="n">
        <x:v>3561</x:v>
      </x:c>
      <x:c r="AA464" s="55" t="n">
        <x:v>2992</x:v>
      </x:c>
      <x:c r="AB464" s="55" t="n">
        <x:v>1272</x:v>
      </x:c>
      <x:c r="AC464" s="55" t="n">
        <x:v>7997</x:v>
      </x:c>
      <x:c r="AD464" s="55" t="n">
        <x:v>2850</x:v>
      </x:c>
      <x:c r="AE464" s="55" t="n">
        <x:v>10281</x:v>
      </x:c>
      <x:c r="AF464" s="55" t="n">
        <x:v>10125</x:v>
      </x:c>
      <x:c r="AG464" s="55" t="n">
        <x:v>156</x:v>
      </x:c>
      <x:c r="AH464" s="55" t="n">
        <x:v>447</x:v>
      </x:c>
      <x:c r="AI464" s="55" t="n">
        <x:v>9678</x:v>
      </x:c>
      <x:c r="AJ464" s="55" t="n">
        <x:v>302</x:v>
      </x:c>
      <x:c r="AK464" s="55" t="n">
        <x:v>1202</x:v>
      </x:c>
      <x:c r="AL464" s="55" t="n">
        <x:v>1931</x:v>
      </x:c>
      <x:c r="AM464" s="55" t="n">
        <x:v>4309</x:v>
      </x:c>
      <x:c r="AN464" s="55" t="n">
        <x:v>2381</x:v>
      </x:c>
      <x:c r="AO464" s="55" t="n">
        <x:v>0</x:v>
      </x:c>
      <x:c r="AP464" s="55" t="n">
        <x:v>2230</x:v>
      </x:c>
      <x:c r="AQ464" s="55" t="n">
        <x:v>959</x:v>
      </x:c>
    </x:row>
    <x:row r="465">
      <x:c r="A465" s="54" t="str">
        <x:v>T2_CONCORDANT_DOMAIN</x:v>
      </x:c>
      <x:c r="B465" s="54" t="n">
        <x:v>459</x:v>
      </x:c>
      <x:c r="C465" s="54" t="str">
        <x:v>NYC-V2-R01</x:v>
      </x:c>
      <x:c r="D465" s="54" t="str">
        <x:v>V2</x:v>
      </x:c>
      <x:c r="E465" s="54" t="str">
        <x:v>ADMITTED</x:v>
      </x:c>
      <x:c r="F465" s="55" t="n">
        <x:v>31246</x:v>
      </x:c>
      <x:c r="G465" s="55" t="n">
        <x:v>7074</x:v>
      </x:c>
      <x:c r="H465" s="55" t="n">
        <x:v>3139</x:v>
      </x:c>
      <x:c r="I465" s="55" t="n">
        <x:v>1282</x:v>
      </x:c>
      <x:c r="J465" s="55" t="n">
        <x:v>35</x:v>
      </x:c>
      <x:c r="K465" s="55" t="n">
        <x:v>31246</x:v>
      </x:c>
      <x:c r="L465" s="55" t="n">
        <x:v>5402</x:v>
      </x:c>
      <x:c r="M465" s="55" t="n">
        <x:v>988</x:v>
      </x:c>
      <x:c r="N465" s="55" t="n">
        <x:v>2763</x:v>
      </x:c>
      <x:c r="O465" s="55" t="n">
        <x:v>1651</x:v>
      </x:c>
      <x:c r="P465" s="55" t="n">
        <x:v>416</x:v>
      </x:c>
      <x:c r="Q465" s="55" t="n">
        <x:v>1565</x:v>
      </x:c>
      <x:c r="R465" s="55" t="n">
        <x:v>1714</x:v>
      </x:c>
      <x:c r="S465" s="55" t="n">
        <x:v>2799</x:v>
      </x:c>
      <x:c r="T465" s="55" t="n">
        <x:v>1117</x:v>
      </x:c>
      <x:c r="U465" s="55" t="n">
        <x:v>2156</x:v>
      </x:c>
      <x:c r="V465" s="55" t="n">
        <x:v>10430</x:v>
      </x:c>
      <x:c r="W465" s="55" t="n">
        <x:v>7446</x:v>
      </x:c>
      <x:c r="X465" s="55" t="n">
        <x:v>2984</x:v>
      </x:c>
      <x:c r="Y465" s="55" t="n">
        <x:v>2313</x:v>
      </x:c>
      <x:c r="Z465" s="55" t="n">
        <x:v>3933</x:v>
      </x:c>
      <x:c r="AA465" s="55" t="n">
        <x:v>3139</x:v>
      </x:c>
      <x:c r="AB465" s="55" t="n">
        <x:v>1041</x:v>
      </x:c>
      <x:c r="AC465" s="55" t="n">
        <x:v>7905</x:v>
      </x:c>
      <x:c r="AD465" s="55" t="n">
        <x:v>2443</x:v>
      </x:c>
      <x:c r="AE465" s="55" t="n">
        <x:v>10534</x:v>
      </x:c>
      <x:c r="AF465" s="55" t="n">
        <x:v>10430</x:v>
      </x:c>
      <x:c r="AG465" s="55" t="n">
        <x:v>104</x:v>
      </x:c>
      <x:c r="AH465" s="55" t="n">
        <x:v>451</x:v>
      </x:c>
      <x:c r="AI465" s="55" t="n">
        <x:v>9979</x:v>
      </x:c>
      <x:c r="AJ465" s="55" t="n">
        <x:v>303</x:v>
      </x:c>
      <x:c r="AK465" s="55" t="n">
        <x:v>1166</x:v>
      </x:c>
      <x:c r="AL465" s="55" t="n">
        <x:v>1615</x:v>
      </x:c>
      <x:c r="AM465" s="55" t="n">
        <x:v>5215</x:v>
      </x:c>
      <x:c r="AN465" s="55" t="n">
        <x:v>2116</x:v>
      </x:c>
      <x:c r="AO465" s="55" t="n">
        <x:v>15</x:v>
      </x:c>
      <x:c r="AP465" s="55" t="n">
        <x:v>2171</x:v>
      </x:c>
      <x:c r="AQ465" s="55" t="n">
        <x:v>927</x:v>
      </x:c>
    </x:row>
    <x:row r="466">
      <x:c r="A466" s="54" t="str">
        <x:v>T2_CONCORDANT_DOMAIN</x:v>
      </x:c>
      <x:c r="B466" s="54" t="n">
        <x:v>460</x:v>
      </x:c>
      <x:c r="C466" s="54" t="str">
        <x:v>NYC-V2-R01</x:v>
      </x:c>
      <x:c r="D466" s="54" t="str">
        <x:v>V2</x:v>
      </x:c>
      <x:c r="E466" s="54" t="str">
        <x:v>ADMITTED</x:v>
      </x:c>
      <x:c r="F466" s="55" t="n">
        <x:v>30490</x:v>
      </x:c>
      <x:c r="G466" s="55" t="n">
        <x:v>7017</x:v>
      </x:c>
      <x:c r="H466" s="55" t="n">
        <x:v>3674</x:v>
      </x:c>
      <x:c r="I466" s="55" t="n">
        <x:v>1389</x:v>
      </x:c>
      <x:c r="J466" s="55" t="n">
        <x:v>167</x:v>
      </x:c>
      <x:c r="K466" s="55" t="n">
        <x:v>29181</x:v>
      </x:c>
      <x:c r="L466" s="55" t="n">
        <x:v>4722</x:v>
      </x:c>
      <x:c r="M466" s="55" t="n">
        <x:v>260</x:v>
      </x:c>
      <x:c r="N466" s="55" t="n">
        <x:v>2697</x:v>
      </x:c>
      <x:c r="O466" s="55" t="n">
        <x:v>1765</x:v>
      </x:c>
      <x:c r="P466" s="55" t="n">
        <x:v>575</x:v>
      </x:c>
      <x:c r="Q466" s="55" t="n">
        <x:v>2846</x:v>
      </x:c>
      <x:c r="R466" s="55" t="n">
        <x:v>1648</x:v>
      </x:c>
      <x:c r="S466" s="55" t="n">
        <x:v>2423</x:v>
      </x:c>
      <x:c r="T466" s="55" t="n">
        <x:v>1241</x:v>
      </x:c>
      <x:c r="U466" s="55" t="n">
        <x:v>2106</x:v>
      </x:c>
      <x:c r="V466" s="55" t="n">
        <x:v>10077</x:v>
      </x:c>
      <x:c r="W466" s="55" t="n">
        <x:v>7241</x:v>
      </x:c>
      <x:c r="X466" s="55" t="n">
        <x:v>2836</x:v>
      </x:c>
      <x:c r="Y466" s="55" t="n">
        <x:v>2410</x:v>
      </x:c>
      <x:c r="Z466" s="55" t="n">
        <x:v>3641</x:v>
      </x:c>
      <x:c r="AA466" s="55" t="n">
        <x:v>2969</x:v>
      </x:c>
      <x:c r="AB466" s="55" t="n">
        <x:v>1296</x:v>
      </x:c>
      <x:c r="AC466" s="55" t="n">
        <x:v>7668</x:v>
      </x:c>
      <x:c r="AD466" s="55" t="n">
        <x:v>2928</x:v>
      </x:c>
      <x:c r="AE466" s="55" t="n">
        <x:v>10216</x:v>
      </x:c>
      <x:c r="AF466" s="55" t="n">
        <x:v>10077</x:v>
      </x:c>
      <x:c r="AG466" s="55" t="n">
        <x:v>139</x:v>
      </x:c>
      <x:c r="AH466" s="55" t="n">
        <x:v>376</x:v>
      </x:c>
      <x:c r="AI466" s="55" t="n">
        <x:v>9701</x:v>
      </x:c>
      <x:c r="AJ466" s="55" t="n">
        <x:v>203</x:v>
      </x:c>
      <x:c r="AK466" s="55" t="n">
        <x:v>1062</x:v>
      </x:c>
      <x:c r="AL466" s="55" t="n">
        <x:v>1657</x:v>
      </x:c>
      <x:c r="AM466" s="55" t="n">
        <x:v>4759</x:v>
      </x:c>
      <x:c r="AN466" s="55" t="n">
        <x:v>2322</x:v>
      </x:c>
      <x:c r="AO466" s="55" t="n">
        <x:v>74</x:v>
      </x:c>
      <x:c r="AP466" s="55" t="n">
        <x:v>2091</x:v>
      </x:c>
      <x:c r="AQ466" s="55" t="n">
        <x:v>938</x:v>
      </x:c>
    </x:row>
    <x:row r="467">
      <x:c r="A467" s="54" t="str">
        <x:v>T2_CONCORDANT_DOMAIN</x:v>
      </x:c>
      <x:c r="B467" s="54" t="n">
        <x:v>461</x:v>
      </x:c>
      <x:c r="C467" s="54" t="str">
        <x:v>NYC-V2-R01</x:v>
      </x:c>
      <x:c r="D467" s="54" t="str">
        <x:v>V2</x:v>
      </x:c>
      <x:c r="E467" s="54" t="str">
        <x:v>ADMITTED</x:v>
      </x:c>
      <x:c r="F467" s="55" t="n">
        <x:v>29807</x:v>
      </x:c>
      <x:c r="G467" s="55" t="n">
        <x:v>7556</x:v>
      </x:c>
      <x:c r="H467" s="55" t="n">
        <x:v>3186</x:v>
      </x:c>
      <x:c r="I467" s="55" t="n">
        <x:v>1118</x:v>
      </x:c>
      <x:c r="J467" s="55" t="n">
        <x:v>333</x:v>
      </x:c>
      <x:c r="K467" s="55" t="n">
        <x:v>29091</x:v>
      </x:c>
      <x:c r="L467" s="55" t="n">
        <x:v>4353</x:v>
      </x:c>
      <x:c r="M467" s="55" t="n">
        <x:v>705</x:v>
      </x:c>
      <x:c r="N467" s="55" t="n">
        <x:v>2184</x:v>
      </x:c>
      <x:c r="O467" s="55" t="n">
        <x:v>1464</x:v>
      </x:c>
      <x:c r="P467" s="55" t="n">
        <x:v>409</x:v>
      </x:c>
      <x:c r="Q467" s="55" t="n">
        <x:v>1854</x:v>
      </x:c>
      <x:c r="R467" s="55" t="n">
        <x:v>1216</x:v>
      </x:c>
      <x:c r="S467" s="55" t="n">
        <x:v>2660</x:v>
      </x:c>
      <x:c r="T467" s="55" t="n">
        <x:v>650</x:v>
      </x:c>
      <x:c r="U467" s="55" t="n">
        <x:v>1705</x:v>
      </x:c>
      <x:c r="V467" s="55" t="n">
        <x:v>10026</x:v>
      </x:c>
      <x:c r="W467" s="55" t="n">
        <x:v>7066</x:v>
      </x:c>
      <x:c r="X467" s="55" t="n">
        <x:v>2960</x:v>
      </x:c>
      <x:c r="Y467" s="55" t="n">
        <x:v>2680</x:v>
      </x:c>
      <x:c r="Z467" s="55" t="n">
        <x:v>3243</x:v>
      </x:c>
      <x:c r="AA467" s="55" t="n">
        <x:v>3186</x:v>
      </x:c>
      <x:c r="AB467" s="55" t="n">
        <x:v>1181</x:v>
      </x:c>
      <x:c r="AC467" s="55" t="n">
        <x:v>8515</x:v>
      </x:c>
      <x:c r="AD467" s="55" t="n">
        <x:v>2647</x:v>
      </x:c>
      <x:c r="AE467" s="55" t="n">
        <x:v>10057</x:v>
      </x:c>
      <x:c r="AF467" s="55" t="n">
        <x:v>10026</x:v>
      </x:c>
      <x:c r="AG467" s="55" t="n">
        <x:v>31</x:v>
      </x:c>
      <x:c r="AH467" s="55" t="n">
        <x:v>203</x:v>
      </x:c>
      <x:c r="AI467" s="55" t="n">
        <x:v>9823</x:v>
      </x:c>
      <x:c r="AJ467" s="55" t="n">
        <x:v>359</x:v>
      </x:c>
      <x:c r="AK467" s="55" t="n">
        <x:v>767</x:v>
      </x:c>
      <x:c r="AL467" s="55" t="n">
        <x:v>1452</x:v>
      </x:c>
      <x:c r="AM467" s="55" t="n">
        <x:v>4945</x:v>
      </x:c>
      <x:c r="AN467" s="55" t="n">
        <x:v>2503</x:v>
      </x:c>
      <x:c r="AO467" s="55" t="n">
        <x:v>0</x:v>
      </x:c>
      <x:c r="AP467" s="55" t="n">
        <x:v>2145</x:v>
      </x:c>
      <x:c r="AQ467" s="55" t="n">
        <x:v>930</x:v>
      </x:c>
    </x:row>
    <x:row r="468">
      <x:c r="A468" s="54" t="str">
        <x:v>T2_CONCORDANT_DOMAIN</x:v>
      </x:c>
      <x:c r="B468" s="54" t="n">
        <x:v>462</x:v>
      </x:c>
      <x:c r="C468" s="54" t="str">
        <x:v>NYC-V2-R01</x:v>
      </x:c>
      <x:c r="D468" s="54" t="str">
        <x:v>V2</x:v>
      </x:c>
      <x:c r="E468" s="54" t="str">
        <x:v>ADMITTED</x:v>
      </x:c>
      <x:c r="F468" s="55" t="n">
        <x:v>30232</x:v>
      </x:c>
      <x:c r="G468" s="55" t="n">
        <x:v>7089</x:v>
      </x:c>
      <x:c r="H468" s="55" t="n">
        <x:v>3467</x:v>
      </x:c>
      <x:c r="I468" s="55" t="n">
        <x:v>1128</x:v>
      </x:c>
      <x:c r="J468" s="55" t="n">
        <x:v>186</x:v>
      </x:c>
      <x:c r="K468" s="55" t="n">
        <x:v>27724</x:v>
      </x:c>
      <x:c r="L468" s="55" t="n">
        <x:v>4028</x:v>
      </x:c>
      <x:c r="M468" s="55" t="n">
        <x:v>0</x:v>
      </x:c>
      <x:c r="N468" s="55" t="n">
        <x:v>2356</x:v>
      </x:c>
      <x:c r="O468" s="55" t="n">
        <x:v>1672</x:v>
      </x:c>
      <x:c r="P468" s="55" t="n">
        <x:v>513</x:v>
      </x:c>
      <x:c r="Q468" s="55" t="n">
        <x:v>1839</x:v>
      </x:c>
      <x:c r="R468" s="55" t="n">
        <x:v>1697</x:v>
      </x:c>
      <x:c r="S468" s="55" t="n">
        <x:v>1920</x:v>
      </x:c>
      <x:c r="T468" s="55" t="n">
        <x:v>1001</x:v>
      </x:c>
      <x:c r="U468" s="55" t="n">
        <x:v>1533</x:v>
      </x:c>
      <x:c r="V468" s="55" t="n">
        <x:v>9964</x:v>
      </x:c>
      <x:c r="W468" s="55" t="n">
        <x:v>7197</x:v>
      </x:c>
      <x:c r="X468" s="55" t="n">
        <x:v>2767</x:v>
      </x:c>
      <x:c r="Y468" s="55" t="n">
        <x:v>2337</x:v>
      </x:c>
      <x:c r="Z468" s="55" t="n">
        <x:v>3568</x:v>
      </x:c>
      <x:c r="AA468" s="55" t="n">
        <x:v>3467</x:v>
      </x:c>
      <x:c r="AB468" s="55" t="n">
        <x:v>1016</x:v>
      </x:c>
      <x:c r="AC468" s="55" t="n">
        <x:v>8095</x:v>
      </x:c>
      <x:c r="AD468" s="55" t="n">
        <x:v>2365</x:v>
      </x:c>
      <x:c r="AE468" s="55" t="n">
        <x:v>10046</x:v>
      </x:c>
      <x:c r="AF468" s="55" t="n">
        <x:v>9964</x:v>
      </x:c>
      <x:c r="AG468" s="55" t="n">
        <x:v>82</x:v>
      </x:c>
      <x:c r="AH468" s="55" t="n">
        <x:v>480</x:v>
      </x:c>
      <x:c r="AI468" s="55" t="n">
        <x:v>9484</x:v>
      </x:c>
      <x:c r="AJ468" s="55" t="n">
        <x:v>249</x:v>
      </x:c>
      <x:c r="AK468" s="55" t="n">
        <x:v>543</x:v>
      </x:c>
      <x:c r="AL468" s="55" t="n">
        <x:v>1545</x:v>
      </x:c>
      <x:c r="AM468" s="55" t="n">
        <x:v>4561</x:v>
      </x:c>
      <x:c r="AN468" s="55" t="n">
        <x:v>3031</x:v>
      </x:c>
      <x:c r="AO468" s="55" t="n">
        <x:v>35</x:v>
      </x:c>
      <x:c r="AP468" s="55" t="n">
        <x:v>2140</x:v>
      </x:c>
      <x:c r="AQ468" s="55" t="n">
        <x:v>925</x:v>
      </x:c>
    </x:row>
    <x:row r="469">
      <x:c r="A469" s="54" t="str">
        <x:v>T2_CONCORDANT_DOMAIN</x:v>
      </x:c>
      <x:c r="B469" s="54" t="n">
        <x:v>463</x:v>
      </x:c>
      <x:c r="C469" s="54" t="str">
        <x:v>NYC-V2-R01</x:v>
      </x:c>
      <x:c r="D469" s="54" t="str">
        <x:v>V2</x:v>
      </x:c>
      <x:c r="E469" s="54" t="str">
        <x:v>ADMITTED</x:v>
      </x:c>
      <x:c r="F469" s="55" t="n">
        <x:v>33564</x:v>
      </x:c>
      <x:c r="G469" s="55" t="n">
        <x:v>7827</x:v>
      </x:c>
      <x:c r="H469" s="55" t="n">
        <x:v>3585</x:v>
      </x:c>
      <x:c r="I469" s="55" t="n">
        <x:v>1351</x:v>
      </x:c>
      <x:c r="J469" s="55" t="n">
        <x:v>435</x:v>
      </x:c>
      <x:c r="K469" s="55" t="n">
        <x:v>33564</x:v>
      </x:c>
      <x:c r="L469" s="55" t="n">
        <x:v>6917</x:v>
      </x:c>
      <x:c r="M469" s="55" t="n">
        <x:v>1763</x:v>
      </x:c>
      <x:c r="N469" s="55" t="n">
        <x:v>2889</x:v>
      </x:c>
      <x:c r="O469" s="55" t="n">
        <x:v>2265</x:v>
      </x:c>
      <x:c r="P469" s="55" t="n">
        <x:v>1108</x:v>
      </x:c>
      <x:c r="Q469" s="55" t="n">
        <x:v>3102</x:v>
      </x:c>
      <x:c r="R469" s="55" t="n">
        <x:v>1928</x:v>
      </x:c>
      <x:c r="S469" s="55" t="n">
        <x:v>2703</x:v>
      </x:c>
      <x:c r="T469" s="55" t="n">
        <x:v>1424</x:v>
      </x:c>
      <x:c r="U469" s="55" t="n">
        <x:v>2412</x:v>
      </x:c>
      <x:c r="V469" s="55" t="n">
        <x:v>10416</x:v>
      </x:c>
      <x:c r="W469" s="55" t="n">
        <x:v>7184</x:v>
      </x:c>
      <x:c r="X469" s="55" t="n">
        <x:v>3232</x:v>
      </x:c>
      <x:c r="Y469" s="55" t="n">
        <x:v>2731</x:v>
      </x:c>
      <x:c r="Z469" s="55" t="n">
        <x:v>4013</x:v>
      </x:c>
      <x:c r="AA469" s="55" t="n">
        <x:v>3238</x:v>
      </x:c>
      <x:c r="AB469" s="55" t="n">
        <x:v>1345</x:v>
      </x:c>
      <x:c r="AC469" s="55" t="n">
        <x:v>8756</x:v>
      </x:c>
      <x:c r="AD469" s="55" t="n">
        <x:v>3574</x:v>
      </x:c>
      <x:c r="AE469" s="55" t="n">
        <x:v>10607</x:v>
      </x:c>
      <x:c r="AF469" s="55" t="n">
        <x:v>10416</x:v>
      </x:c>
      <x:c r="AG469" s="55" t="n">
        <x:v>191</x:v>
      </x:c>
      <x:c r="AH469" s="55" t="n">
        <x:v>311</x:v>
      </x:c>
      <x:c r="AI469" s="55" t="n">
        <x:v>10105</x:v>
      </x:c>
      <x:c r="AJ469" s="55" t="n">
        <x:v>320</x:v>
      </x:c>
      <x:c r="AK469" s="55" t="n">
        <x:v>1250</x:v>
      </x:c>
      <x:c r="AL469" s="55" t="n">
        <x:v>1674</x:v>
      </x:c>
      <x:c r="AM469" s="55" t="n">
        <x:v>4807</x:v>
      </x:c>
      <x:c r="AN469" s="55" t="n">
        <x:v>2303</x:v>
      </x:c>
      <x:c r="AO469" s="55" t="n">
        <x:v>62</x:v>
      </x:c>
      <x:c r="AP469" s="55" t="n">
        <x:v>2245</x:v>
      </x:c>
      <x:c r="AQ469" s="55" t="n">
        <x:v>975</x:v>
      </x:c>
    </x:row>
    <x:row r="470">
      <x:c r="A470" s="54" t="str">
        <x:v>T2_CONCORDANT_DOMAIN</x:v>
      </x:c>
      <x:c r="B470" s="54" t="n">
        <x:v>464</x:v>
      </x:c>
      <x:c r="C470" s="54" t="str">
        <x:v>NYC-V2-R01</x:v>
      </x:c>
      <x:c r="D470" s="54" t="str">
        <x:v>V2</x:v>
      </x:c>
      <x:c r="E470" s="54" t="str">
        <x:v>ADMITTED</x:v>
      </x:c>
      <x:c r="F470" s="55" t="n">
        <x:v>30741</x:v>
      </x:c>
      <x:c r="G470" s="55" t="n">
        <x:v>7856</x:v>
      </x:c>
      <x:c r="H470" s="55" t="n">
        <x:v>2986</x:v>
      </x:c>
      <x:c r="I470" s="55" t="n">
        <x:v>1073</x:v>
      </x:c>
      <x:c r="J470" s="55" t="n">
        <x:v>215</x:v>
      </x:c>
      <x:c r="K470" s="55" t="n">
        <x:v>30741</x:v>
      </x:c>
      <x:c r="L470" s="55" t="n">
        <x:v>6015</x:v>
      </x:c>
      <x:c r="M470" s="55" t="n">
        <x:v>1801</x:v>
      </x:c>
      <x:c r="N470" s="55" t="n">
        <x:v>2423</x:v>
      </x:c>
      <x:c r="O470" s="55" t="n">
        <x:v>1791</x:v>
      </x:c>
      <x:c r="P470" s="55" t="n">
        <x:v>721</x:v>
      </x:c>
      <x:c r="Q470" s="55" t="n">
        <x:v>2835</x:v>
      </x:c>
      <x:c r="R470" s="55" t="n">
        <x:v>2022</x:v>
      </x:c>
      <x:c r="S470" s="55" t="n">
        <x:v>3221</x:v>
      </x:c>
      <x:c r="T470" s="55" t="n">
        <x:v>1400</x:v>
      </x:c>
      <x:c r="U470" s="55" t="n">
        <x:v>2347</x:v>
      </x:c>
      <x:c r="V470" s="55" t="n">
        <x:v>10501</x:v>
      </x:c>
      <x:c r="W470" s="55" t="n">
        <x:v>7856</x:v>
      </x:c>
      <x:c r="X470" s="55" t="n">
        <x:v>2645</x:v>
      </x:c>
      <x:c r="Y470" s="55" t="n">
        <x:v>2419</x:v>
      </x:c>
      <x:c r="Z470" s="55" t="n">
        <x:v>3894</x:v>
      </x:c>
      <x:c r="AA470" s="55" t="n">
        <x:v>2726</x:v>
      </x:c>
      <x:c r="AB470" s="55" t="n">
        <x:v>1091</x:v>
      </x:c>
      <x:c r="AC470" s="55" t="n">
        <x:v>7963</x:v>
      </x:c>
      <x:c r="AD470" s="55" t="n">
        <x:v>2865</x:v>
      </x:c>
      <x:c r="AE470" s="55" t="n">
        <x:v>10614</x:v>
      </x:c>
      <x:c r="AF470" s="55" t="n">
        <x:v>10501</x:v>
      </x:c>
      <x:c r="AG470" s="55" t="n">
        <x:v>113</x:v>
      </x:c>
      <x:c r="AH470" s="55" t="n">
        <x:v>556</x:v>
      </x:c>
      <x:c r="AI470" s="55" t="n">
        <x:v>9945</x:v>
      </x:c>
      <x:c r="AJ470" s="55" t="n">
        <x:v>467</x:v>
      </x:c>
      <x:c r="AK470" s="55" t="n">
        <x:v>1111</x:v>
      </x:c>
      <x:c r="AL470" s="55" t="n">
        <x:v>1481</x:v>
      </x:c>
      <x:c r="AM470" s="55" t="n">
        <x:v>4481</x:v>
      </x:c>
      <x:c r="AN470" s="55" t="n">
        <x:v>2952</x:v>
      </x:c>
      <x:c r="AO470" s="55" t="n">
        <x:v>9</x:v>
      </x:c>
      <x:c r="AP470" s="55" t="n">
        <x:v>2351</x:v>
      </x:c>
      <x:c r="AQ470" s="55" t="n">
        <x:v>939</x:v>
      </x:c>
    </x:row>
    <x:row r="471">
      <x:c r="A471" s="54" t="str">
        <x:v>T2_CONCORDANT_DOMAIN</x:v>
      </x:c>
      <x:c r="B471" s="54" t="n">
        <x:v>465</x:v>
      </x:c>
      <x:c r="C471" s="54" t="str">
        <x:v>NYC-V2-R01</x:v>
      </x:c>
      <x:c r="D471" s="54" t="str">
        <x:v>V2</x:v>
      </x:c>
      <x:c r="E471" s="54" t="str">
        <x:v>ADMITTED</x:v>
      </x:c>
      <x:c r="F471" s="55" t="n">
        <x:v>33305</x:v>
      </x:c>
      <x:c r="G471" s="55" t="n">
        <x:v>8618</x:v>
      </x:c>
      <x:c r="H471" s="55" t="n">
        <x:v>3811</x:v>
      </x:c>
      <x:c r="I471" s="55" t="n">
        <x:v>1313</x:v>
      </x:c>
      <x:c r="J471" s="55" t="n">
        <x:v>343</x:v>
      </x:c>
      <x:c r="K471" s="55" t="n">
        <x:v>28576</x:v>
      </x:c>
      <x:c r="L471" s="55" t="n">
        <x:v>5279</x:v>
      </x:c>
      <x:c r="M471" s="55" t="n">
        <x:v>1006</x:v>
      </x:c>
      <x:c r="N471" s="55" t="n">
        <x:v>2564</x:v>
      </x:c>
      <x:c r="O471" s="55" t="n">
        <x:v>1709</x:v>
      </x:c>
      <x:c r="P471" s="55" t="n">
        <x:v>453</x:v>
      </x:c>
      <x:c r="Q471" s="55" t="n">
        <x:v>2334</x:v>
      </x:c>
      <x:c r="R471" s="55" t="n">
        <x:v>2080</x:v>
      </x:c>
      <x:c r="S471" s="55" t="n">
        <x:v>2502</x:v>
      </x:c>
      <x:c r="T471" s="55" t="n">
        <x:v>865</x:v>
      </x:c>
      <x:c r="U471" s="55" t="n">
        <x:v>2342</x:v>
      </x:c>
      <x:c r="V471" s="55" t="n">
        <x:v>10595</x:v>
      </x:c>
      <x:c r="W471" s="55" t="n">
        <x:v>7435</x:v>
      </x:c>
      <x:c r="X471" s="55" t="n">
        <x:v>3160</x:v>
      </x:c>
      <x:c r="Y471" s="55" t="n">
        <x:v>2897</x:v>
      </x:c>
      <x:c r="Z471" s="55" t="n">
        <x:v>3632</x:v>
      </x:c>
      <x:c r="AA471" s="55" t="n">
        <x:v>3185</x:v>
      </x:c>
      <x:c r="AB471" s="55" t="n">
        <x:v>1179</x:v>
      </x:c>
      <x:c r="AC471" s="55" t="n">
        <x:v>7902</x:v>
      </x:c>
      <x:c r="AD471" s="55" t="n">
        <x:v>2527</x:v>
      </x:c>
      <x:c r="AE471" s="55" t="n">
        <x:v>10674</x:v>
      </x:c>
      <x:c r="AF471" s="55" t="n">
        <x:v>10595</x:v>
      </x:c>
      <x:c r="AG471" s="55" t="n">
        <x:v>79</x:v>
      </x:c>
      <x:c r="AH471" s="55" t="n">
        <x:v>186</x:v>
      </x:c>
      <x:c r="AI471" s="55" t="n">
        <x:v>10409</x:v>
      </x:c>
      <x:c r="AJ471" s="55" t="n">
        <x:v>206</x:v>
      </x:c>
      <x:c r="AK471" s="55" t="n">
        <x:v>950</x:v>
      </x:c>
      <x:c r="AL471" s="55" t="n">
        <x:v>1791</x:v>
      </x:c>
      <x:c r="AM471" s="55" t="n">
        <x:v>5215</x:v>
      </x:c>
      <x:c r="AN471" s="55" t="n">
        <x:v>2433</x:v>
      </x:c>
      <x:c r="AO471" s="55" t="n">
        <x:v>0</x:v>
      </x:c>
      <x:c r="AP471" s="55" t="n">
        <x:v>2111</x:v>
      </x:c>
      <x:c r="AQ471" s="55" t="n">
        <x:v>958</x:v>
      </x:c>
    </x:row>
    <x:row r="472">
      <x:c r="A472" s="54" t="str">
        <x:v>T2_CONCORDANT_DOMAIN</x:v>
      </x:c>
      <x:c r="B472" s="54" t="n">
        <x:v>466</x:v>
      </x:c>
      <x:c r="C472" s="54" t="str">
        <x:v>NYC-V2-R01</x:v>
      </x:c>
      <x:c r="D472" s="54" t="str">
        <x:v>V2</x:v>
      </x:c>
      <x:c r="E472" s="54" t="str">
        <x:v>ADMITTED</x:v>
      </x:c>
      <x:c r="F472" s="55" t="n">
        <x:v>30416</x:v>
      </x:c>
      <x:c r="G472" s="55" t="n">
        <x:v>7930</x:v>
      </x:c>
      <x:c r="H472" s="55" t="n">
        <x:v>3168</x:v>
      </x:c>
      <x:c r="I472" s="55" t="n">
        <x:v>1163</x:v>
      </x:c>
      <x:c r="J472" s="55" t="n">
        <x:v>154</x:v>
      </x:c>
      <x:c r="K472" s="55" t="n">
        <x:v>30416</x:v>
      </x:c>
      <x:c r="L472" s="55" t="n">
        <x:v>6394</x:v>
      </x:c>
      <x:c r="M472" s="55" t="n">
        <x:v>1324</x:v>
      </x:c>
      <x:c r="N472" s="55" t="n">
        <x:v>2724</x:v>
      </x:c>
      <x:c r="O472" s="55" t="n">
        <x:v>2346</x:v>
      </x:c>
      <x:c r="P472" s="55" t="n">
        <x:v>700</x:v>
      </x:c>
      <x:c r="Q472" s="55" t="n">
        <x:v>2734</x:v>
      </x:c>
      <x:c r="R472" s="55" t="n">
        <x:v>1919</x:v>
      </x:c>
      <x:c r="S472" s="55" t="n">
        <x:v>2803</x:v>
      </x:c>
      <x:c r="T472" s="55" t="n">
        <x:v>1274</x:v>
      </x:c>
      <x:c r="U472" s="55" t="n">
        <x:v>2539</x:v>
      </x:c>
      <x:c r="V472" s="55" t="n">
        <x:v>10657</x:v>
      </x:c>
      <x:c r="W472" s="55" t="n">
        <x:v>7433</x:v>
      </x:c>
      <x:c r="X472" s="55" t="n">
        <x:v>3224</x:v>
      </x:c>
      <x:c r="Y472" s="55" t="n">
        <x:v>2869</x:v>
      </x:c>
      <x:c r="Z472" s="55" t="n">
        <x:v>3900</x:v>
      </x:c>
      <x:c r="AA472" s="55" t="n">
        <x:v>2571</x:v>
      </x:c>
      <x:c r="AB472" s="55" t="n">
        <x:v>771</x:v>
      </x:c>
      <x:c r="AC472" s="55" t="n">
        <x:v>8359</x:v>
      </x:c>
      <x:c r="AD472" s="55" t="n">
        <x:v>2605</x:v>
      </x:c>
      <x:c r="AE472" s="55" t="n">
        <x:v>10717</x:v>
      </x:c>
      <x:c r="AF472" s="55" t="n">
        <x:v>10657</x:v>
      </x:c>
      <x:c r="AG472" s="55" t="n">
        <x:v>60</x:v>
      </x:c>
      <x:c r="AH472" s="55" t="n">
        <x:v>417</x:v>
      </x:c>
      <x:c r="AI472" s="55" t="n">
        <x:v>10240</x:v>
      </x:c>
      <x:c r="AJ472" s="55" t="n">
        <x:v>290</x:v>
      </x:c>
      <x:c r="AK472" s="55" t="n">
        <x:v>767</x:v>
      </x:c>
      <x:c r="AL472" s="55" t="n">
        <x:v>1620</x:v>
      </x:c>
      <x:c r="AM472" s="55" t="n">
        <x:v>5329</x:v>
      </x:c>
      <x:c r="AN472" s="55" t="n">
        <x:v>2619</x:v>
      </x:c>
      <x:c r="AO472" s="55" t="n">
        <x:v>32</x:v>
      </x:c>
      <x:c r="AP472" s="55" t="n">
        <x:v>2220</x:v>
      </x:c>
      <x:c r="AQ472" s="55" t="n">
        <x:v>977</x:v>
      </x:c>
    </x:row>
    <x:row r="473">
      <x:c r="A473" s="54" t="str">
        <x:v>T2_CONCORDANT_DOMAIN</x:v>
      </x:c>
      <x:c r="B473" s="54" t="n">
        <x:v>467</x:v>
      </x:c>
      <x:c r="C473" s="54" t="str">
        <x:v>NYC-V2-R01</x:v>
      </x:c>
      <x:c r="D473" s="54" t="str">
        <x:v>V2</x:v>
      </x:c>
      <x:c r="E473" s="54" t="str">
        <x:v>ADMITTED</x:v>
      </x:c>
      <x:c r="F473" s="55" t="n">
        <x:v>28620</x:v>
      </x:c>
      <x:c r="G473" s="55" t="n">
        <x:v>6967</x:v>
      </x:c>
      <x:c r="H473" s="55" t="n">
        <x:v>2893</x:v>
      </x:c>
      <x:c r="I473" s="55" t="n">
        <x:v>999</x:v>
      </x:c>
      <x:c r="J473" s="55" t="n">
        <x:v>53</x:v>
      </x:c>
      <x:c r="K473" s="55" t="n">
        <x:v>27655</x:v>
      </x:c>
      <x:c r="L473" s="55" t="n">
        <x:v>3906</x:v>
      </x:c>
      <x:c r="M473" s="55" t="n">
        <x:v>595</x:v>
      </x:c>
      <x:c r="N473" s="55" t="n">
        <x:v>1975</x:v>
      </x:c>
      <x:c r="O473" s="55" t="n">
        <x:v>1336</x:v>
      </x:c>
      <x:c r="P473" s="55" t="n">
        <x:v>559</x:v>
      </x:c>
      <x:c r="Q473" s="55" t="n">
        <x:v>644</x:v>
      </x:c>
      <x:c r="R473" s="55" t="n">
        <x:v>1879</x:v>
      </x:c>
      <x:c r="S473" s="55" t="n">
        <x:v>2453</x:v>
      </x:c>
      <x:c r="T473" s="55" t="n">
        <x:v>1088</x:v>
      </x:c>
      <x:c r="U473" s="55" t="n">
        <x:v>1939</x:v>
      </x:c>
      <x:c r="V473" s="55" t="n">
        <x:v>10427</x:v>
      </x:c>
      <x:c r="W473" s="55" t="n">
        <x:v>7321</x:v>
      </x:c>
      <x:c r="X473" s="55" t="n">
        <x:v>3106</x:v>
      </x:c>
      <x:c r="Y473" s="55" t="n">
        <x:v>2740</x:v>
      </x:c>
      <x:c r="Z473" s="55" t="n">
        <x:v>3876</x:v>
      </x:c>
      <x:c r="AA473" s="55" t="n">
        <x:v>2782</x:v>
      </x:c>
      <x:c r="AB473" s="55" t="n">
        <x:v>1060</x:v>
      </x:c>
      <x:c r="AC473" s="55" t="n">
        <x:v>7577</x:v>
      </x:c>
      <x:c r="AD473" s="55" t="n">
        <x:v>2778</x:v>
      </x:c>
      <x:c r="AE473" s="55" t="n">
        <x:v>10427</x:v>
      </x:c>
      <x:c r="AF473" s="55" t="n">
        <x:v>10427</x:v>
      </x:c>
      <x:c r="AG473" s="55" t="n">
        <x:v>0</x:v>
      </x:c>
      <x:c r="AH473" s="55" t="n">
        <x:v>555</x:v>
      </x:c>
      <x:c r="AI473" s="55" t="n">
        <x:v>9872</x:v>
      </x:c>
      <x:c r="AJ473" s="55" t="n">
        <x:v>252</x:v>
      </x:c>
      <x:c r="AK473" s="55" t="n">
        <x:v>858</x:v>
      </x:c>
      <x:c r="AL473" s="55" t="n">
        <x:v>1479</x:v>
      </x:c>
      <x:c r="AM473" s="55" t="n">
        <x:v>4901</x:v>
      </x:c>
      <x:c r="AN473" s="55" t="n">
        <x:v>2937</x:v>
      </x:c>
      <x:c r="AO473" s="55" t="n">
        <x:v>0</x:v>
      </x:c>
      <x:c r="AP473" s="55" t="n">
        <x:v>2298</x:v>
      </x:c>
      <x:c r="AQ473" s="55" t="n">
        <x:v>913</x:v>
      </x:c>
    </x:row>
    <x:row r="474">
      <x:c r="A474" s="54" t="str">
        <x:v>T2_CONCORDANT_DOMAIN</x:v>
      </x:c>
      <x:c r="B474" s="54" t="n">
        <x:v>468</x:v>
      </x:c>
      <x:c r="C474" s="54" t="str">
        <x:v>NYC-V2-R01</x:v>
      </x:c>
      <x:c r="D474" s="54" t="str">
        <x:v>V2</x:v>
      </x:c>
      <x:c r="E474" s="54" t="str">
        <x:v>ADMITTED</x:v>
      </x:c>
      <x:c r="F474" s="55" t="n">
        <x:v>30609</x:v>
      </x:c>
      <x:c r="G474" s="55" t="n">
        <x:v>7295</x:v>
      </x:c>
      <x:c r="H474" s="55" t="n">
        <x:v>3064</x:v>
      </x:c>
      <x:c r="I474" s="55" t="n">
        <x:v>988</x:v>
      </x:c>
      <x:c r="J474" s="55" t="n">
        <x:v>205</x:v>
      </x:c>
      <x:c r="K474" s="55" t="n">
        <x:v>30609</x:v>
      </x:c>
      <x:c r="L474" s="55" t="n">
        <x:v>5952</x:v>
      </x:c>
      <x:c r="M474" s="55" t="n">
        <x:v>1538</x:v>
      </x:c>
      <x:c r="N474" s="55" t="n">
        <x:v>2963</x:v>
      </x:c>
      <x:c r="O474" s="55" t="n">
        <x:v>1451</x:v>
      </x:c>
      <x:c r="P474" s="55" t="n">
        <x:v>524</x:v>
      </x:c>
      <x:c r="Q474" s="55" t="n">
        <x:v>1110</x:v>
      </x:c>
      <x:c r="R474" s="55" t="n">
        <x:v>1443</x:v>
      </x:c>
      <x:c r="S474" s="55" t="n">
        <x:v>2767</x:v>
      </x:c>
      <x:c r="T474" s="55" t="n">
        <x:v>951</x:v>
      </x:c>
      <x:c r="U474" s="55" t="n">
        <x:v>1946</x:v>
      </x:c>
      <x:c r="V474" s="55" t="n">
        <x:v>10181</x:v>
      </x:c>
      <x:c r="W474" s="55" t="n">
        <x:v>7270</x:v>
      </x:c>
      <x:c r="X474" s="55" t="n">
        <x:v>2911</x:v>
      </x:c>
      <x:c r="Y474" s="55" t="n">
        <x:v>2550</x:v>
      </x:c>
      <x:c r="Z474" s="55" t="n">
        <x:v>3647</x:v>
      </x:c>
      <x:c r="AA474" s="55" t="n">
        <x:v>3064</x:v>
      </x:c>
      <x:c r="AB474" s="55" t="n">
        <x:v>926</x:v>
      </x:c>
      <x:c r="AC474" s="55" t="n">
        <x:v>8039</x:v>
      </x:c>
      <x:c r="AD474" s="55" t="n">
        <x:v>2649</x:v>
      </x:c>
      <x:c r="AE474" s="55" t="n">
        <x:v>10273</x:v>
      </x:c>
      <x:c r="AF474" s="55" t="n">
        <x:v>10181</x:v>
      </x:c>
      <x:c r="AG474" s="55" t="n">
        <x:v>92</x:v>
      </x:c>
      <x:c r="AH474" s="55" t="n">
        <x:v>440</x:v>
      </x:c>
      <x:c r="AI474" s="55" t="n">
        <x:v>9741</x:v>
      </x:c>
      <x:c r="AJ474" s="55" t="n">
        <x:v>173</x:v>
      </x:c>
      <x:c r="AK474" s="55" t="n">
        <x:v>860</x:v>
      </x:c>
      <x:c r="AL474" s="55" t="n">
        <x:v>1504</x:v>
      </x:c>
      <x:c r="AM474" s="55" t="n">
        <x:v>4899</x:v>
      </x:c>
      <x:c r="AN474" s="55" t="n">
        <x:v>2745</x:v>
      </x:c>
      <x:c r="AO474" s="55" t="n">
        <x:v>0</x:v>
      </x:c>
      <x:c r="AP474" s="55" t="n">
        <x:v>2443</x:v>
      </x:c>
      <x:c r="AQ474" s="55" t="n">
        <x:v>922</x:v>
      </x:c>
    </x:row>
    <x:row r="475">
      <x:c r="A475" s="54" t="str">
        <x:v>T2_CONCORDANT_DOMAIN</x:v>
      </x:c>
      <x:c r="B475" s="54" t="n">
        <x:v>469</x:v>
      </x:c>
      <x:c r="C475" s="54" t="str">
        <x:v>NYC-V2-R01</x:v>
      </x:c>
      <x:c r="D475" s="54" t="str">
        <x:v>V2</x:v>
      </x:c>
      <x:c r="E475" s="54" t="str">
        <x:v>ADMITTED</x:v>
      </x:c>
      <x:c r="F475" s="55" t="n">
        <x:v>35118</x:v>
      </x:c>
      <x:c r="G475" s="55" t="n">
        <x:v>10150</x:v>
      </x:c>
      <x:c r="H475" s="55" t="n">
        <x:v>3668</x:v>
      </x:c>
      <x:c r="I475" s="55" t="n">
        <x:v>1985</x:v>
      </x:c>
      <x:c r="J475" s="55" t="n">
        <x:v>314</x:v>
      </x:c>
      <x:c r="K475" s="55" t="n">
        <x:v>32955</x:v>
      </x:c>
      <x:c r="L475" s="55" t="n">
        <x:v>7372</x:v>
      </x:c>
      <x:c r="M475" s="55" t="n">
        <x:v>2495</x:v>
      </x:c>
      <x:c r="N475" s="55" t="n">
        <x:v>3107</x:v>
      </x:c>
      <x:c r="O475" s="55" t="n">
        <x:v>1770</x:v>
      </x:c>
      <x:c r="P475" s="55" t="n">
        <x:v>1133</x:v>
      </x:c>
      <x:c r="Q475" s="55" t="n">
        <x:v>2631</x:v>
      </x:c>
      <x:c r="R475" s="55" t="n">
        <x:v>2594</x:v>
      </x:c>
      <x:c r="S475" s="55" t="n">
        <x:v>3293</x:v>
      </x:c>
      <x:c r="T475" s="55" t="n">
        <x:v>1272</x:v>
      </x:c>
      <x:c r="U475" s="55" t="n">
        <x:v>2363</x:v>
      </x:c>
      <x:c r="V475" s="55" t="n">
        <x:v>11217</x:v>
      </x:c>
      <x:c r="W475" s="55" t="n">
        <x:v>8060</x:v>
      </x:c>
      <x:c r="X475" s="55" t="n">
        <x:v>3157</x:v>
      </x:c>
      <x:c r="Y475" s="55" t="n">
        <x:v>2785</x:v>
      </x:c>
      <x:c r="Z475" s="55" t="n">
        <x:v>3686</x:v>
      </x:c>
      <x:c r="AA475" s="55" t="n">
        <x:v>3026</x:v>
      </x:c>
      <x:c r="AB475" s="55" t="n">
        <x:v>1379</x:v>
      </x:c>
      <x:c r="AC475" s="55" t="n">
        <x:v>8322</x:v>
      </x:c>
      <x:c r="AD475" s="55" t="n">
        <x:v>3153</x:v>
      </x:c>
      <x:c r="AE475" s="55" t="n">
        <x:v>11322</x:v>
      </x:c>
      <x:c r="AF475" s="55" t="n">
        <x:v>11217</x:v>
      </x:c>
      <x:c r="AG475" s="55" t="n">
        <x:v>105</x:v>
      </x:c>
      <x:c r="AH475" s="55" t="n">
        <x:v>609</x:v>
      </x:c>
      <x:c r="AI475" s="55" t="n">
        <x:v>10608</x:v>
      </x:c>
      <x:c r="AJ475" s="55" t="n">
        <x:v>355</x:v>
      </x:c>
      <x:c r="AK475" s="55" t="n">
        <x:v>1379</x:v>
      </x:c>
      <x:c r="AL475" s="55" t="n">
        <x:v>2132</x:v>
      </x:c>
      <x:c r="AM475" s="55" t="n">
        <x:v>4755</x:v>
      </x:c>
      <x:c r="AN475" s="55" t="n">
        <x:v>2560</x:v>
      </x:c>
      <x:c r="AO475" s="55" t="n">
        <x:v>36</x:v>
      </x:c>
      <x:c r="AP475" s="55" t="n">
        <x:v>2825</x:v>
      </x:c>
      <x:c r="AQ475" s="55" t="n">
        <x:v>1027</x:v>
      </x:c>
    </x:row>
    <x:row r="476">
      <x:c r="A476" s="54" t="str">
        <x:v>T2_CONCORDANT_DOMAIN</x:v>
      </x:c>
      <x:c r="B476" s="54" t="n">
        <x:v>470</x:v>
      </x:c>
      <x:c r="C476" s="54" t="str">
        <x:v>NYC-V2-R01</x:v>
      </x:c>
      <x:c r="D476" s="54" t="str">
        <x:v>V2</x:v>
      </x:c>
      <x:c r="E476" s="54" t="str">
        <x:v>ADMITTED</x:v>
      </x:c>
      <x:c r="F476" s="55" t="n">
        <x:v>30527</x:v>
      </x:c>
      <x:c r="G476" s="55" t="n">
        <x:v>6380</x:v>
      </x:c>
      <x:c r="H476" s="55" t="n">
        <x:v>2632</x:v>
      </x:c>
      <x:c r="I476" s="55" t="n">
        <x:v>1044</x:v>
      </x:c>
      <x:c r="J476" s="55" t="n">
        <x:v>146</x:v>
      </x:c>
      <x:c r="K476" s="55" t="n">
        <x:v>30527</x:v>
      </x:c>
      <x:c r="L476" s="55" t="n">
        <x:v>5784</x:v>
      </x:c>
      <x:c r="M476" s="55" t="n">
        <x:v>2283</x:v>
      </x:c>
      <x:c r="N476" s="55" t="n">
        <x:v>2235</x:v>
      </x:c>
      <x:c r="O476" s="55" t="n">
        <x:v>1266</x:v>
      </x:c>
      <x:c r="P476" s="55" t="n">
        <x:v>616</x:v>
      </x:c>
      <x:c r="Q476" s="55" t="n">
        <x:v>1992</x:v>
      </x:c>
      <x:c r="R476" s="55" t="n">
        <x:v>2042</x:v>
      </x:c>
      <x:c r="S476" s="55" t="n">
        <x:v>2450</x:v>
      </x:c>
      <x:c r="T476" s="55" t="n">
        <x:v>1174</x:v>
      </x:c>
      <x:c r="U476" s="55" t="n">
        <x:v>2353</x:v>
      </x:c>
      <x:c r="V476" s="55" t="n">
        <x:v>9922</x:v>
      </x:c>
      <x:c r="W476" s="55" t="n">
        <x:v>7081</x:v>
      </x:c>
      <x:c r="X476" s="55" t="n">
        <x:v>2841</x:v>
      </x:c>
      <x:c r="Y476" s="55" t="n">
        <x:v>2473</x:v>
      </x:c>
      <x:c r="Z476" s="55" t="n">
        <x:v>3323</x:v>
      </x:c>
      <x:c r="AA476" s="55" t="n">
        <x:v>2479</x:v>
      </x:c>
      <x:c r="AB476" s="55" t="n">
        <x:v>677</x:v>
      </x:c>
      <x:c r="AC476" s="55" t="n">
        <x:v>7949</x:v>
      </x:c>
      <x:c r="AD476" s="55" t="n">
        <x:v>2447</x:v>
      </x:c>
      <x:c r="AE476" s="55" t="n">
        <x:v>9948</x:v>
      </x:c>
      <x:c r="AF476" s="55" t="n">
        <x:v>9922</x:v>
      </x:c>
      <x:c r="AG476" s="55" t="n">
        <x:v>26</x:v>
      </x:c>
      <x:c r="AH476" s="55" t="n">
        <x:v>377</x:v>
      </x:c>
      <x:c r="AI476" s="55" t="n">
        <x:v>9545</x:v>
      </x:c>
      <x:c r="AJ476" s="55" t="n">
        <x:v>269</x:v>
      </x:c>
      <x:c r="AK476" s="55" t="n">
        <x:v>1158</x:v>
      </x:c>
      <x:c r="AL476" s="55" t="n">
        <x:v>1355</x:v>
      </x:c>
      <x:c r="AM476" s="55" t="n">
        <x:v>4677</x:v>
      </x:c>
      <x:c r="AN476" s="55" t="n">
        <x:v>2462</x:v>
      </x:c>
      <x:c r="AO476" s="55" t="n">
        <x:v>1</x:v>
      </x:c>
      <x:c r="AP476" s="55" t="n">
        <x:v>2002</x:v>
      </x:c>
      <x:c r="AQ476" s="55" t="n">
        <x:v>911</x:v>
      </x:c>
    </x:row>
    <x:row r="477">
      <x:c r="A477" s="54" t="str">
        <x:v>T2_CONCORDANT_DOMAIN</x:v>
      </x:c>
      <x:c r="B477" s="54" t="n">
        <x:v>471</x:v>
      </x:c>
      <x:c r="C477" s="54" t="str">
        <x:v>NYC-V2-R01</x:v>
      </x:c>
      <x:c r="D477" s="54" t="str">
        <x:v>V2</x:v>
      </x:c>
      <x:c r="E477" s="54" t="str">
        <x:v>ADMITTED</x:v>
      </x:c>
      <x:c r="F477" s="55" t="n">
        <x:v>32713</x:v>
      </x:c>
      <x:c r="G477" s="55" t="n">
        <x:v>9322</x:v>
      </x:c>
      <x:c r="H477" s="55" t="n">
        <x:v>3569</x:v>
      </x:c>
      <x:c r="I477" s="55" t="n">
        <x:v>1480</x:v>
      </x:c>
      <x:c r="J477" s="55" t="n">
        <x:v>316</x:v>
      </x:c>
      <x:c r="K477" s="55" t="n">
        <x:v>30578</x:v>
      </x:c>
      <x:c r="L477" s="55" t="n">
        <x:v>6481</x:v>
      </x:c>
      <x:c r="M477" s="55" t="n">
        <x:v>2246</x:v>
      </x:c>
      <x:c r="N477" s="55" t="n">
        <x:v>2475</x:v>
      </x:c>
      <x:c r="O477" s="55" t="n">
        <x:v>1760</x:v>
      </x:c>
      <x:c r="P477" s="55" t="n">
        <x:v>1053</x:v>
      </x:c>
      <x:c r="Q477" s="55" t="n">
        <x:v>2744</x:v>
      </x:c>
      <x:c r="R477" s="55" t="n">
        <x:v>1971</x:v>
      </x:c>
      <x:c r="S477" s="55" t="n">
        <x:v>3378</x:v>
      </x:c>
      <x:c r="T477" s="55" t="n">
        <x:v>1590</x:v>
      </x:c>
      <x:c r="U477" s="55" t="n">
        <x:v>2339</x:v>
      </x:c>
      <x:c r="V477" s="55" t="n">
        <x:v>10749</x:v>
      </x:c>
      <x:c r="W477" s="55" t="n">
        <x:v>7374</x:v>
      </x:c>
      <x:c r="X477" s="55" t="n">
        <x:v>3375</x:v>
      </x:c>
      <x:c r="Y477" s="55" t="n">
        <x:v>2954</x:v>
      </x:c>
      <x:c r="Z477" s="55" t="n">
        <x:v>3930</x:v>
      </x:c>
      <x:c r="AA477" s="55" t="n">
        <x:v>3422</x:v>
      </x:c>
      <x:c r="AB477" s="55" t="n">
        <x:v>1194</x:v>
      </x:c>
      <x:c r="AC477" s="55" t="n">
        <x:v>8585</x:v>
      </x:c>
      <x:c r="AD477" s="55" t="n">
        <x:v>3037</x:v>
      </x:c>
      <x:c r="AE477" s="55" t="n">
        <x:v>10873</x:v>
      </x:c>
      <x:c r="AF477" s="55" t="n">
        <x:v>10749</x:v>
      </x:c>
      <x:c r="AG477" s="55" t="n">
        <x:v>124</x:v>
      </x:c>
      <x:c r="AH477" s="55" t="n">
        <x:v>451</x:v>
      </x:c>
      <x:c r="AI477" s="55" t="n">
        <x:v>10298</x:v>
      </x:c>
      <x:c r="AJ477" s="55" t="n">
        <x:v>369</x:v>
      </x:c>
      <x:c r="AK477" s="55" t="n">
        <x:v>1044</x:v>
      </x:c>
      <x:c r="AL477" s="55" t="n">
        <x:v>1293</x:v>
      </x:c>
      <x:c r="AM477" s="55" t="n">
        <x:v>5433</x:v>
      </x:c>
      <x:c r="AN477" s="55" t="n">
        <x:v>2535</x:v>
      </x:c>
      <x:c r="AO477" s="55" t="n">
        <x:v>75</x:v>
      </x:c>
      <x:c r="AP477" s="55" t="n">
        <x:v>2529</x:v>
      </x:c>
      <x:c r="AQ477" s="55" t="n">
        <x:v>1041</x:v>
      </x:c>
    </x:row>
    <x:row r="478">
      <x:c r="A478" s="54" t="str">
        <x:v>T2_CONCORDANT_DOMAIN</x:v>
      </x:c>
      <x:c r="B478" s="54" t="n">
        <x:v>472</x:v>
      </x:c>
      <x:c r="C478" s="54" t="str">
        <x:v>NYC-V2-R01</x:v>
      </x:c>
      <x:c r="D478" s="54" t="str">
        <x:v>V2</x:v>
      </x:c>
      <x:c r="E478" s="54" t="str">
        <x:v>ADMITTED</x:v>
      </x:c>
      <x:c r="F478" s="55" t="n">
        <x:v>30708</x:v>
      </x:c>
      <x:c r="G478" s="55" t="n">
        <x:v>6943</x:v>
      </x:c>
      <x:c r="H478" s="55" t="n">
        <x:v>3234</x:v>
      </x:c>
      <x:c r="I478" s="55" t="n">
        <x:v>1296</x:v>
      </x:c>
      <x:c r="J478" s="55" t="n">
        <x:v>252</x:v>
      </x:c>
      <x:c r="K478" s="55" t="n">
        <x:v>30708</x:v>
      </x:c>
      <x:c r="L478" s="55" t="n">
        <x:v>5859</x:v>
      </x:c>
      <x:c r="M478" s="55" t="n">
        <x:v>1223</x:v>
      </x:c>
      <x:c r="N478" s="55" t="n">
        <x:v>2802</x:v>
      </x:c>
      <x:c r="O478" s="55" t="n">
        <x:v>1834</x:v>
      </x:c>
      <x:c r="P478" s="55" t="n">
        <x:v>797</x:v>
      </x:c>
      <x:c r="Q478" s="55" t="n">
        <x:v>2052</x:v>
      </x:c>
      <x:c r="R478" s="55" t="n">
        <x:v>1577</x:v>
      </x:c>
      <x:c r="S478" s="55" t="n">
        <x:v>3029</x:v>
      </x:c>
      <x:c r="T478" s="55" t="n">
        <x:v>1319</x:v>
      </x:c>
      <x:c r="U478" s="55" t="n">
        <x:v>2064</x:v>
      </x:c>
      <x:c r="V478" s="55" t="n">
        <x:v>10078</x:v>
      </x:c>
      <x:c r="W478" s="55" t="n">
        <x:v>7248</x:v>
      </x:c>
      <x:c r="X478" s="55" t="n">
        <x:v>2830</x:v>
      </x:c>
      <x:c r="Y478" s="55" t="n">
        <x:v>2437</x:v>
      </x:c>
      <x:c r="Z478" s="55" t="n">
        <x:v>3154</x:v>
      </x:c>
      <x:c r="AA478" s="55" t="n">
        <x:v>3234</x:v>
      </x:c>
      <x:c r="AB478" s="55" t="n">
        <x:v>1023</x:v>
      </x:c>
      <x:c r="AC478" s="55" t="n">
        <x:v>7598</x:v>
      </x:c>
      <x:c r="AD478" s="55" t="n">
        <x:v>3364</x:v>
      </x:c>
      <x:c r="AE478" s="55" t="n">
        <x:v>10139</x:v>
      </x:c>
      <x:c r="AF478" s="55" t="n">
        <x:v>10078</x:v>
      </x:c>
      <x:c r="AG478" s="55" t="n">
        <x:v>61</x:v>
      </x:c>
      <x:c r="AH478" s="55" t="n">
        <x:v>291</x:v>
      </x:c>
      <x:c r="AI478" s="55" t="n">
        <x:v>9787</x:v>
      </x:c>
      <x:c r="AJ478" s="55" t="n">
        <x:v>242</x:v>
      </x:c>
      <x:c r="AK478" s="55" t="n">
        <x:v>1047</x:v>
      </x:c>
      <x:c r="AL478" s="55" t="n">
        <x:v>1775</x:v>
      </x:c>
      <x:c r="AM478" s="55" t="n">
        <x:v>4879</x:v>
      </x:c>
      <x:c r="AN478" s="55" t="n">
        <x:v>2102</x:v>
      </x:c>
      <x:c r="AO478" s="55" t="n">
        <x:v>33</x:v>
      </x:c>
      <x:c r="AP478" s="55" t="n">
        <x:v>2230</x:v>
      </x:c>
      <x:c r="AQ478" s="55" t="n">
        <x:v>960</x:v>
      </x:c>
    </x:row>
    <x:row r="479">
      <x:c r="A479" s="54" t="str">
        <x:v>T2_CONCORDANT_DOMAIN</x:v>
      </x:c>
      <x:c r="B479" s="54" t="n">
        <x:v>473</x:v>
      </x:c>
      <x:c r="C479" s="54" t="str">
        <x:v>NYC-V2-R01</x:v>
      </x:c>
      <x:c r="D479" s="54" t="str">
        <x:v>V2</x:v>
      </x:c>
      <x:c r="E479" s="54" t="str">
        <x:v>ADMITTED</x:v>
      </x:c>
      <x:c r="F479" s="55" t="n">
        <x:v>31431</x:v>
      </x:c>
      <x:c r="G479" s="55" t="n">
        <x:v>8400</x:v>
      </x:c>
      <x:c r="H479" s="55" t="n">
        <x:v>3596</x:v>
      </x:c>
      <x:c r="I479" s="55" t="n">
        <x:v>1413</x:v>
      </x:c>
      <x:c r="J479" s="55" t="n">
        <x:v>339</x:v>
      </x:c>
      <x:c r="K479" s="55" t="n">
        <x:v>31363</x:v>
      </x:c>
      <x:c r="L479" s="55" t="n">
        <x:v>6244</x:v>
      </x:c>
      <x:c r="M479" s="55" t="n">
        <x:v>1796</x:v>
      </x:c>
      <x:c r="N479" s="55" t="n">
        <x:v>2698</x:v>
      </x:c>
      <x:c r="O479" s="55" t="n">
        <x:v>1750</x:v>
      </x:c>
      <x:c r="P479" s="55" t="n">
        <x:v>1009</x:v>
      </x:c>
      <x:c r="Q479" s="55" t="n">
        <x:v>2933</x:v>
      </x:c>
      <x:c r="R479" s="55" t="n">
        <x:v>2238</x:v>
      </x:c>
      <x:c r="S479" s="55" t="n">
        <x:v>2507</x:v>
      </x:c>
      <x:c r="T479" s="55" t="n">
        <x:v>1697</x:v>
      </x:c>
      <x:c r="U479" s="55" t="n">
        <x:v>2038</x:v>
      </x:c>
      <x:c r="V479" s="55" t="n">
        <x:v>11298</x:v>
      </x:c>
      <x:c r="W479" s="55" t="n">
        <x:v>8410</x:v>
      </x:c>
      <x:c r="X479" s="55" t="n">
        <x:v>2888</x:v>
      </x:c>
      <x:c r="Y479" s="55" t="n">
        <x:v>2538</x:v>
      </x:c>
      <x:c r="Z479" s="55" t="n">
        <x:v>4149</x:v>
      </x:c>
      <x:c r="AA479" s="55" t="n">
        <x:v>2551</x:v>
      </x:c>
      <x:c r="AB479" s="55" t="n">
        <x:v>782</x:v>
      </x:c>
      <x:c r="AC479" s="55" t="n">
        <x:v>8082</x:v>
      </x:c>
      <x:c r="AD479" s="55" t="n">
        <x:v>3049</x:v>
      </x:c>
      <x:c r="AE479" s="55" t="n">
        <x:v>11389</x:v>
      </x:c>
      <x:c r="AF479" s="55" t="n">
        <x:v>11298</x:v>
      </x:c>
      <x:c r="AG479" s="55" t="n">
        <x:v>91</x:v>
      </x:c>
      <x:c r="AH479" s="55" t="n">
        <x:v>542</x:v>
      </x:c>
      <x:c r="AI479" s="55" t="n">
        <x:v>10756</x:v>
      </x:c>
      <x:c r="AJ479" s="55" t="n">
        <x:v>367</x:v>
      </x:c>
      <x:c r="AK479" s="55" t="n">
        <x:v>1198</x:v>
      </x:c>
      <x:c r="AL479" s="55" t="n">
        <x:v>1452</x:v>
      </x:c>
      <x:c r="AM479" s="55" t="n">
        <x:v>5188</x:v>
      </x:c>
      <x:c r="AN479" s="55" t="n">
        <x:v>3052</x:v>
      </x:c>
      <x:c r="AO479" s="55" t="n">
        <x:v>41</x:v>
      </x:c>
      <x:c r="AP479" s="55" t="n">
        <x:v>2531</x:v>
      </x:c>
      <x:c r="AQ479" s="55" t="n">
        <x:v>993</x:v>
      </x:c>
    </x:row>
    <x:row r="480">
      <x:c r="A480" s="54" t="str">
        <x:v>T2_CONCORDANT_DOMAIN</x:v>
      </x:c>
      <x:c r="B480" s="54" t="n">
        <x:v>474</x:v>
      </x:c>
      <x:c r="C480" s="54" t="str">
        <x:v>NYC-V2-R01</x:v>
      </x:c>
      <x:c r="D480" s="54" t="str">
        <x:v>V2</x:v>
      </x:c>
      <x:c r="E480" s="54" t="str">
        <x:v>ADMITTED</x:v>
      </x:c>
      <x:c r="F480" s="55" t="n">
        <x:v>32695</x:v>
      </x:c>
      <x:c r="G480" s="55" t="n">
        <x:v>7644</x:v>
      </x:c>
      <x:c r="H480" s="55" t="n">
        <x:v>3479</x:v>
      </x:c>
      <x:c r="I480" s="55" t="n">
        <x:v>1304</x:v>
      </x:c>
      <x:c r="J480" s="55" t="n">
        <x:v>281</x:v>
      </x:c>
      <x:c r="K480" s="55" t="n">
        <x:v>32695</x:v>
      </x:c>
      <x:c r="L480" s="55" t="n">
        <x:v>6072</x:v>
      </x:c>
      <x:c r="M480" s="55" t="n">
        <x:v>1199</x:v>
      </x:c>
      <x:c r="N480" s="55" t="n">
        <x:v>3244</x:v>
      </x:c>
      <x:c r="O480" s="55" t="n">
        <x:v>1629</x:v>
      </x:c>
      <x:c r="P480" s="55" t="n">
        <x:v>1013</x:v>
      </x:c>
      <x:c r="Q480" s="55" t="n">
        <x:v>2201</x:v>
      </x:c>
      <x:c r="R480" s="55" t="n">
        <x:v>1588</x:v>
      </x:c>
      <x:c r="S480" s="55" t="n">
        <x:v>2410</x:v>
      </x:c>
      <x:c r="T480" s="55" t="n">
        <x:v>1173</x:v>
      </x:c>
      <x:c r="U480" s="55" t="n">
        <x:v>2399</x:v>
      </x:c>
      <x:c r="V480" s="55" t="n">
        <x:v>10531</x:v>
      </x:c>
      <x:c r="W480" s="55" t="n">
        <x:v>7461</x:v>
      </x:c>
      <x:c r="X480" s="55" t="n">
        <x:v>3070</x:v>
      </x:c>
      <x:c r="Y480" s="55" t="n">
        <x:v>2578</x:v>
      </x:c>
      <x:c r="Z480" s="55" t="n">
        <x:v>3667</x:v>
      </x:c>
      <x:c r="AA480" s="55" t="n">
        <x:v>3479</x:v>
      </x:c>
      <x:c r="AB480" s="55" t="n">
        <x:v>1147</x:v>
      </x:c>
      <x:c r="AC480" s="55" t="n">
        <x:v>7968</x:v>
      </x:c>
      <x:c r="AD480" s="55" t="n">
        <x:v>2779</x:v>
      </x:c>
      <x:c r="AE480" s="55" t="n">
        <x:v>10659</x:v>
      </x:c>
      <x:c r="AF480" s="55" t="n">
        <x:v>10531</x:v>
      </x:c>
      <x:c r="AG480" s="55" t="n">
        <x:v>128</x:v>
      </x:c>
      <x:c r="AH480" s="55" t="n">
        <x:v>519</x:v>
      </x:c>
      <x:c r="AI480" s="55" t="n">
        <x:v>10012</x:v>
      </x:c>
      <x:c r="AJ480" s="55" t="n">
        <x:v>345</x:v>
      </x:c>
      <x:c r="AK480" s="55" t="n">
        <x:v>853</x:v>
      </x:c>
      <x:c r="AL480" s="55" t="n">
        <x:v>1581</x:v>
      </x:c>
      <x:c r="AM480" s="55" t="n">
        <x:v>5066</x:v>
      </x:c>
      <x:c r="AN480" s="55" t="n">
        <x:v>2642</x:v>
      </x:c>
      <x:c r="AO480" s="55" t="n">
        <x:v>44</x:v>
      </x:c>
      <x:c r="AP480" s="55" t="n">
        <x:v>2023</x:v>
      </x:c>
      <x:c r="AQ480" s="55" t="n">
        <x:v>961</x:v>
      </x:c>
    </x:row>
    <x:row r="481">
      <x:c r="A481" s="54" t="str">
        <x:v>T2_CONCORDANT_DOMAIN</x:v>
      </x:c>
      <x:c r="B481" s="54" t="n">
        <x:v>475</x:v>
      </x:c>
      <x:c r="C481" s="54" t="str">
        <x:v>NYC-V2-R01</x:v>
      </x:c>
      <x:c r="D481" s="54" t="str">
        <x:v>V2</x:v>
      </x:c>
      <x:c r="E481" s="54" t="str">
        <x:v>ADMITTED</x:v>
      </x:c>
      <x:c r="F481" s="55" t="n">
        <x:v>31970</x:v>
      </x:c>
      <x:c r="G481" s="55" t="n">
        <x:v>7584</x:v>
      </x:c>
      <x:c r="H481" s="55" t="n">
        <x:v>3255</x:v>
      </x:c>
      <x:c r="I481" s="55" t="n">
        <x:v>928</x:v>
      </x:c>
      <x:c r="J481" s="55" t="n">
        <x:v>127</x:v>
      </x:c>
      <x:c r="K481" s="55" t="n">
        <x:v>31970</x:v>
      </x:c>
      <x:c r="L481" s="55" t="n">
        <x:v>5940</x:v>
      </x:c>
      <x:c r="M481" s="55" t="n">
        <x:v>1742</x:v>
      </x:c>
      <x:c r="N481" s="55" t="n">
        <x:v>2450</x:v>
      </x:c>
      <x:c r="O481" s="55" t="n">
        <x:v>1748</x:v>
      </x:c>
      <x:c r="P481" s="55" t="n">
        <x:v>1164</x:v>
      </x:c>
      <x:c r="Q481" s="55" t="n">
        <x:v>2257</x:v>
      </x:c>
      <x:c r="R481" s="55" t="n">
        <x:v>2025</x:v>
      </x:c>
      <x:c r="S481" s="55" t="n">
        <x:v>2486</x:v>
      </x:c>
      <x:c r="T481" s="55" t="n">
        <x:v>1519</x:v>
      </x:c>
      <x:c r="U481" s="55" t="n">
        <x:v>1890</x:v>
      </x:c>
      <x:c r="V481" s="55" t="n">
        <x:v>10384</x:v>
      </x:c>
      <x:c r="W481" s="55" t="n">
        <x:v>7189</x:v>
      </x:c>
      <x:c r="X481" s="55" t="n">
        <x:v>3195</x:v>
      </x:c>
      <x:c r="Y481" s="55" t="n">
        <x:v>2674</x:v>
      </x:c>
      <x:c r="Z481" s="55" t="n">
        <x:v>3668</x:v>
      </x:c>
      <x:c r="AA481" s="55" t="n">
        <x:v>3255</x:v>
      </x:c>
      <x:c r="AB481" s="55" t="n">
        <x:v>1127</x:v>
      </x:c>
      <x:c r="AC481" s="55" t="n">
        <x:v>7793</x:v>
      </x:c>
      <x:c r="AD481" s="55" t="n">
        <x:v>2724</x:v>
      </x:c>
      <x:c r="AE481" s="55" t="n">
        <x:v>10456</x:v>
      </x:c>
      <x:c r="AF481" s="55" t="n">
        <x:v>10384</x:v>
      </x:c>
      <x:c r="AG481" s="55" t="n">
        <x:v>72</x:v>
      </x:c>
      <x:c r="AH481" s="55" t="n">
        <x:v>341</x:v>
      </x:c>
      <x:c r="AI481" s="55" t="n">
        <x:v>10043</x:v>
      </x:c>
      <x:c r="AJ481" s="55" t="n">
        <x:v>386</x:v>
      </x:c>
      <x:c r="AK481" s="55" t="n">
        <x:v>871</x:v>
      </x:c>
      <x:c r="AL481" s="55" t="n">
        <x:v>1602</x:v>
      </x:c>
      <x:c r="AM481" s="55" t="n">
        <x:v>4776</x:v>
      </x:c>
      <x:c r="AN481" s="55" t="n">
        <x:v>2693</x:v>
      </x:c>
      <x:c r="AO481" s="55" t="n">
        <x:v>56</x:v>
      </x:c>
      <x:c r="AP481" s="55" t="n">
        <x:v>2186</x:v>
      </x:c>
      <x:c r="AQ481" s="55" t="n">
        <x:v>930</x:v>
      </x:c>
    </x:row>
    <x:row r="482">
      <x:c r="A482" s="54" t="str">
        <x:v>T2_CONCORDANT_DOMAIN</x:v>
      </x:c>
      <x:c r="B482" s="54" t="n">
        <x:v>476</x:v>
      </x:c>
      <x:c r="C482" s="54" t="str">
        <x:v>NYC-V2-R01</x:v>
      </x:c>
      <x:c r="D482" s="54" t="str">
        <x:v>V2</x:v>
      </x:c>
      <x:c r="E482" s="54" t="str">
        <x:v>ADMITTED</x:v>
      </x:c>
      <x:c r="F482" s="55" t="n">
        <x:v>32336</x:v>
      </x:c>
      <x:c r="G482" s="55" t="n">
        <x:v>8691</x:v>
      </x:c>
      <x:c r="H482" s="55" t="n">
        <x:v>3137</x:v>
      </x:c>
      <x:c r="I482" s="55" t="n">
        <x:v>601</x:v>
      </x:c>
      <x:c r="J482" s="55" t="n">
        <x:v>0</x:v>
      </x:c>
      <x:c r="K482" s="55" t="n">
        <x:v>30350</x:v>
      </x:c>
      <x:c r="L482" s="55" t="n">
        <x:v>5842</x:v>
      </x:c>
      <x:c r="M482" s="55" t="n">
        <x:v>1132</x:v>
      </x:c>
      <x:c r="N482" s="55" t="n">
        <x:v>2959</x:v>
      </x:c>
      <x:c r="O482" s="55" t="n">
        <x:v>1751</x:v>
      </x:c>
      <x:c r="P482" s="55" t="n">
        <x:v>678</x:v>
      </x:c>
      <x:c r="Q482" s="55" t="n">
        <x:v>1742</x:v>
      </x:c>
      <x:c r="R482" s="55" t="n">
        <x:v>1661</x:v>
      </x:c>
      <x:c r="S482" s="55" t="n">
        <x:v>2517</x:v>
      </x:c>
      <x:c r="T482" s="55" t="n">
        <x:v>905</x:v>
      </x:c>
      <x:c r="U482" s="55" t="n">
        <x:v>2040</x:v>
      </x:c>
      <x:c r="V482" s="55" t="n">
        <x:v>10032</x:v>
      </x:c>
      <x:c r="W482" s="55" t="n">
        <x:v>6994</x:v>
      </x:c>
      <x:c r="X482" s="55" t="n">
        <x:v>3038</x:v>
      </x:c>
      <x:c r="Y482" s="55" t="n">
        <x:v>2635</x:v>
      </x:c>
      <x:c r="Z482" s="55" t="n">
        <x:v>3909</x:v>
      </x:c>
      <x:c r="AA482" s="55" t="n">
        <x:v>3137</x:v>
      </x:c>
      <x:c r="AB482" s="55" t="n">
        <x:v>1145</x:v>
      </x:c>
      <x:c r="AC482" s="55" t="n">
        <x:v>7885</x:v>
      </x:c>
      <x:c r="AD482" s="55" t="n">
        <x:v>3041</x:v>
      </x:c>
      <x:c r="AE482" s="55" t="n">
        <x:v>10087</x:v>
      </x:c>
      <x:c r="AF482" s="55" t="n">
        <x:v>10032</x:v>
      </x:c>
      <x:c r="AG482" s="55" t="n">
        <x:v>55</x:v>
      </x:c>
      <x:c r="AH482" s="55" t="n">
        <x:v>349</x:v>
      </x:c>
      <x:c r="AI482" s="55" t="n">
        <x:v>9683</x:v>
      </x:c>
      <x:c r="AJ482" s="55" t="n">
        <x:v>334</x:v>
      </x:c>
      <x:c r="AK482" s="55" t="n">
        <x:v>922</x:v>
      </x:c>
      <x:c r="AL482" s="55" t="n">
        <x:v>1121</x:v>
      </x:c>
      <x:c r="AM482" s="55" t="n">
        <x:v>5122</x:v>
      </x:c>
      <x:c r="AN482" s="55" t="n">
        <x:v>2533</x:v>
      </x:c>
      <x:c r="AO482" s="55" t="n">
        <x:v>0</x:v>
      </x:c>
      <x:c r="AP482" s="55" t="n">
        <x:v>2371</x:v>
      </x:c>
      <x:c r="AQ482" s="55" t="n">
        <x:v>893</x:v>
      </x:c>
    </x:row>
    <x:row r="483">
      <x:c r="A483" s="54" t="str">
        <x:v>T2_CONCORDANT_DOMAIN</x:v>
      </x:c>
      <x:c r="B483" s="54" t="n">
        <x:v>477</x:v>
      </x:c>
      <x:c r="C483" s="54" t="str">
        <x:v>NYC-V2-R01</x:v>
      </x:c>
      <x:c r="D483" s="54" t="str">
        <x:v>V2</x:v>
      </x:c>
      <x:c r="E483" s="54" t="str">
        <x:v>ADMITTED</x:v>
      </x:c>
      <x:c r="F483" s="55" t="n">
        <x:v>32809</x:v>
      </x:c>
      <x:c r="G483" s="55" t="n">
        <x:v>7242</x:v>
      </x:c>
      <x:c r="H483" s="55" t="n">
        <x:v>3881</x:v>
      </x:c>
      <x:c r="I483" s="55" t="n">
        <x:v>1702</x:v>
      </x:c>
      <x:c r="J483" s="55" t="n">
        <x:v>340</x:v>
      </x:c>
      <x:c r="K483" s="55" t="n">
        <x:v>32809</x:v>
      </x:c>
      <x:c r="L483" s="55" t="n">
        <x:v>5139</x:v>
      </x:c>
      <x:c r="M483" s="55" t="n">
        <x:v>571</x:v>
      </x:c>
      <x:c r="N483" s="55" t="n">
        <x:v>2659</x:v>
      </x:c>
      <x:c r="O483" s="55" t="n">
        <x:v>1909</x:v>
      </x:c>
      <x:c r="P483" s="55" t="n">
        <x:v>414</x:v>
      </x:c>
      <x:c r="Q483" s="55" t="n">
        <x:v>1399</x:v>
      </x:c>
      <x:c r="R483" s="55" t="n">
        <x:v>1995</x:v>
      </x:c>
      <x:c r="S483" s="55" t="n">
        <x:v>2351</x:v>
      </x:c>
      <x:c r="T483" s="55" t="n">
        <x:v>958</x:v>
      </x:c>
      <x:c r="U483" s="55" t="n">
        <x:v>1805</x:v>
      </x:c>
      <x:c r="V483" s="55" t="n">
        <x:v>11475</x:v>
      </x:c>
      <x:c r="W483" s="55" t="n">
        <x:v>8103</x:v>
      </x:c>
      <x:c r="X483" s="55" t="n">
        <x:v>3372</x:v>
      </x:c>
      <x:c r="Y483" s="55" t="n">
        <x:v>3015</x:v>
      </x:c>
      <x:c r="Z483" s="55" t="n">
        <x:v>4277</x:v>
      </x:c>
      <x:c r="AA483" s="55" t="n">
        <x:v>3284</x:v>
      </x:c>
      <x:c r="AB483" s="55" t="n">
        <x:v>1262</x:v>
      </x:c>
      <x:c r="AC483" s="55" t="n">
        <x:v>8235</x:v>
      </x:c>
      <x:c r="AD483" s="55" t="n">
        <x:v>3434</x:v>
      </x:c>
      <x:c r="AE483" s="55" t="n">
        <x:v>11581</x:v>
      </x:c>
      <x:c r="AF483" s="55" t="n">
        <x:v>11475</x:v>
      </x:c>
      <x:c r="AG483" s="55" t="n">
        <x:v>106</x:v>
      </x:c>
      <x:c r="AH483" s="55" t="n">
        <x:v>669</x:v>
      </x:c>
      <x:c r="AI483" s="55" t="n">
        <x:v>10806</x:v>
      </x:c>
      <x:c r="AJ483" s="55" t="n">
        <x:v>397</x:v>
      </x:c>
      <x:c r="AK483" s="55" t="n">
        <x:v>963</x:v>
      </x:c>
      <x:c r="AL483" s="55" t="n">
        <x:v>1806</x:v>
      </x:c>
      <x:c r="AM483" s="55" t="n">
        <x:v>5662</x:v>
      </x:c>
      <x:c r="AN483" s="55" t="n">
        <x:v>2605</x:v>
      </x:c>
      <x:c r="AO483" s="55" t="n">
        <x:v>42</x:v>
      </x:c>
      <x:c r="AP483" s="55" t="n">
        <x:v>2292</x:v>
      </x:c>
      <x:c r="AQ483" s="55" t="n">
        <x:v>978</x:v>
      </x:c>
    </x:row>
    <x:row r="484">
      <x:c r="A484" s="54" t="str">
        <x:v>T2_CONCORDANT_DOMAIN</x:v>
      </x:c>
      <x:c r="B484" s="54" t="n">
        <x:v>478</x:v>
      </x:c>
      <x:c r="C484" s="54" t="str">
        <x:v>NYC-V2-R01</x:v>
      </x:c>
      <x:c r="D484" s="54" t="str">
        <x:v>V2</x:v>
      </x:c>
      <x:c r="E484" s="54" t="str">
        <x:v>ADMITTED</x:v>
      </x:c>
      <x:c r="F484" s="55" t="n">
        <x:v>30268</x:v>
      </x:c>
      <x:c r="G484" s="55" t="n">
        <x:v>7731</x:v>
      </x:c>
      <x:c r="H484" s="55" t="n">
        <x:v>3604</x:v>
      </x:c>
      <x:c r="I484" s="55" t="n">
        <x:v>1183</x:v>
      </x:c>
      <x:c r="J484" s="55" t="n">
        <x:v>154</x:v>
      </x:c>
      <x:c r="K484" s="55" t="n">
        <x:v>28444</x:v>
      </x:c>
      <x:c r="L484" s="55" t="n">
        <x:v>4348</x:v>
      </x:c>
      <x:c r="M484" s="55" t="n">
        <x:v>0</x:v>
      </x:c>
      <x:c r="N484" s="55" t="n">
        <x:v>2848</x:v>
      </x:c>
      <x:c r="O484" s="55" t="n">
        <x:v>1500</x:v>
      </x:c>
      <x:c r="P484" s="55" t="n">
        <x:v>1010</x:v>
      </x:c>
      <x:c r="Q484" s="55" t="n">
        <x:v>1979</x:v>
      </x:c>
      <x:c r="R484" s="55" t="n">
        <x:v>1745</x:v>
      </x:c>
      <x:c r="S484" s="55" t="n">
        <x:v>2182</x:v>
      </x:c>
      <x:c r="T484" s="55" t="n">
        <x:v>638</x:v>
      </x:c>
      <x:c r="U484" s="55" t="n">
        <x:v>1455</x:v>
      </x:c>
      <x:c r="V484" s="55" t="n">
        <x:v>10848</x:v>
      </x:c>
      <x:c r="W484" s="55" t="n">
        <x:v>7959</x:v>
      </x:c>
      <x:c r="X484" s="55" t="n">
        <x:v>2889</x:v>
      </x:c>
      <x:c r="Y484" s="55" t="n">
        <x:v>2492</x:v>
      </x:c>
      <x:c r="Z484" s="55" t="n">
        <x:v>3674</x:v>
      </x:c>
      <x:c r="AA484" s="55" t="n">
        <x:v>3604</x:v>
      </x:c>
      <x:c r="AB484" s="55" t="n">
        <x:v>1322</x:v>
      </x:c>
      <x:c r="AC484" s="55" t="n">
        <x:v>8592</x:v>
      </x:c>
      <x:c r="AD484" s="55" t="n">
        <x:v>3022</x:v>
      </x:c>
      <x:c r="AE484" s="55" t="n">
        <x:v>10939</x:v>
      </x:c>
      <x:c r="AF484" s="55" t="n">
        <x:v>10848</x:v>
      </x:c>
      <x:c r="AG484" s="55" t="n">
        <x:v>91</x:v>
      </x:c>
      <x:c r="AH484" s="55" t="n">
        <x:v>438</x:v>
      </x:c>
      <x:c r="AI484" s="55" t="n">
        <x:v>10410</x:v>
      </x:c>
      <x:c r="AJ484" s="55" t="n">
        <x:v>363</x:v>
      </x:c>
      <x:c r="AK484" s="55" t="n">
        <x:v>1084</x:v>
      </x:c>
      <x:c r="AL484" s="55" t="n">
        <x:v>1947</x:v>
      </x:c>
      <x:c r="AM484" s="55" t="n">
        <x:v>4966</x:v>
      </x:c>
      <x:c r="AN484" s="55" t="n">
        <x:v>2473</x:v>
      </x:c>
      <x:c r="AO484" s="55" t="n">
        <x:v>15</x:v>
      </x:c>
      <x:c r="AP484" s="55" t="n">
        <x:v>2355</x:v>
      </x:c>
      <x:c r="AQ484" s="55" t="n">
        <x:v>966</x:v>
      </x:c>
    </x:row>
    <x:row r="485">
      <x:c r="A485" s="54" t="str">
        <x:v>T2_CONCORDANT_DOMAIN</x:v>
      </x:c>
      <x:c r="B485" s="54" t="n">
        <x:v>479</x:v>
      </x:c>
      <x:c r="C485" s="54" t="str">
        <x:v>NYC-V2-R01</x:v>
      </x:c>
      <x:c r="D485" s="54" t="str">
        <x:v>V2</x:v>
      </x:c>
      <x:c r="E485" s="54" t="str">
        <x:v>ADMITTED</x:v>
      </x:c>
      <x:c r="F485" s="55" t="n">
        <x:v>29218</x:v>
      </x:c>
      <x:c r="G485" s="55" t="n">
        <x:v>6988</x:v>
      </x:c>
      <x:c r="H485" s="55" t="n">
        <x:v>2891</x:v>
      </x:c>
      <x:c r="I485" s="55" t="n">
        <x:v>1115</x:v>
      </x:c>
      <x:c r="J485" s="55" t="n">
        <x:v>105</x:v>
      </x:c>
      <x:c r="K485" s="55" t="n">
        <x:v>27707</x:v>
      </x:c>
      <x:c r="L485" s="55" t="n">
        <x:v>4201</x:v>
      </x:c>
      <x:c r="M485" s="55" t="n">
        <x:v>271</x:v>
      </x:c>
      <x:c r="N485" s="55" t="n">
        <x:v>2298</x:v>
      </x:c>
      <x:c r="O485" s="55" t="n">
        <x:v>1632</x:v>
      </x:c>
      <x:c r="P485" s="55" t="n">
        <x:v>303</x:v>
      </x:c>
      <x:c r="Q485" s="55" t="n">
        <x:v>1503</x:v>
      </x:c>
      <x:c r="R485" s="55" t="n">
        <x:v>1464</x:v>
      </x:c>
      <x:c r="S485" s="55" t="n">
        <x:v>2491</x:v>
      </x:c>
      <x:c r="T485" s="55" t="n">
        <x:v>1145</x:v>
      </x:c>
      <x:c r="U485" s="55" t="n">
        <x:v>1309</x:v>
      </x:c>
      <x:c r="V485" s="55" t="n">
        <x:v>9977</x:v>
      </x:c>
      <x:c r="W485" s="55" t="n">
        <x:v>7337</x:v>
      </x:c>
      <x:c r="X485" s="55" t="n">
        <x:v>2640</x:v>
      </x:c>
      <x:c r="Y485" s="55" t="n">
        <x:v>2225</x:v>
      </x:c>
      <x:c r="Z485" s="55" t="n">
        <x:v>4099</x:v>
      </x:c>
      <x:c r="AA485" s="55" t="n">
        <x:v>2851</x:v>
      </x:c>
      <x:c r="AB485" s="55" t="n">
        <x:v>1062</x:v>
      </x:c>
      <x:c r="AC485" s="55" t="n">
        <x:v>7698</x:v>
      </x:c>
      <x:c r="AD485" s="55" t="n">
        <x:v>2759</x:v>
      </x:c>
      <x:c r="AE485" s="55" t="n">
        <x:v>10023</x:v>
      </x:c>
      <x:c r="AF485" s="55" t="n">
        <x:v>9977</x:v>
      </x:c>
      <x:c r="AG485" s="55" t="n">
        <x:v>46</x:v>
      </x:c>
      <x:c r="AH485" s="55" t="n">
        <x:v>169</x:v>
      </x:c>
      <x:c r="AI485" s="55" t="n">
        <x:v>9808</x:v>
      </x:c>
      <x:c r="AJ485" s="55" t="n">
        <x:v>254</x:v>
      </x:c>
      <x:c r="AK485" s="55" t="n">
        <x:v>791</x:v>
      </x:c>
      <x:c r="AL485" s="55" t="n">
        <x:v>1468</x:v>
      </x:c>
      <x:c r="AM485" s="55" t="n">
        <x:v>4645</x:v>
      </x:c>
      <x:c r="AN485" s="55" t="n">
        <x:v>2819</x:v>
      </x:c>
      <x:c r="AO485" s="55" t="n">
        <x:v>0</x:v>
      </x:c>
      <x:c r="AP485" s="55" t="n">
        <x:v>2101</x:v>
      </x:c>
      <x:c r="AQ485" s="55" t="n">
        <x:v>923</x:v>
      </x:c>
    </x:row>
    <x:row r="486">
      <x:c r="A486" s="54" t="str">
        <x:v>T2_CONCORDANT_DOMAIN</x:v>
      </x:c>
      <x:c r="B486" s="54" t="n">
        <x:v>480</x:v>
      </x:c>
      <x:c r="C486" s="54" t="str">
        <x:v>NYC-V2-R01</x:v>
      </x:c>
      <x:c r="D486" s="54" t="str">
        <x:v>V2</x:v>
      </x:c>
      <x:c r="E486" s="54" t="str">
        <x:v>ADMITTED</x:v>
      </x:c>
      <x:c r="F486" s="55" t="n">
        <x:v>28841</x:v>
      </x:c>
      <x:c r="G486" s="55" t="n">
        <x:v>6796</x:v>
      </x:c>
      <x:c r="H486" s="55" t="n">
        <x:v>3234</x:v>
      </x:c>
      <x:c r="I486" s="55" t="n">
        <x:v>1339</x:v>
      </x:c>
      <x:c r="J486" s="55" t="n">
        <x:v>259</x:v>
      </x:c>
      <x:c r="K486" s="55" t="n">
        <x:v>27900</x:v>
      </x:c>
      <x:c r="L486" s="55" t="n">
        <x:v>5513</x:v>
      </x:c>
      <x:c r="M486" s="55" t="n">
        <x:v>1046</x:v>
      </x:c>
      <x:c r="N486" s="55" t="n">
        <x:v>2818</x:v>
      </x:c>
      <x:c r="O486" s="55" t="n">
        <x:v>1649</x:v>
      </x:c>
      <x:c r="P486" s="55" t="n">
        <x:v>860</x:v>
      </x:c>
      <x:c r="Q486" s="55" t="n">
        <x:v>2683</x:v>
      </x:c>
      <x:c r="R486" s="55" t="n">
        <x:v>1559</x:v>
      </x:c>
      <x:c r="S486" s="55" t="n">
        <x:v>2717</x:v>
      </x:c>
      <x:c r="T486" s="55" t="n">
        <x:v>1606</x:v>
      </x:c>
      <x:c r="U486" s="55" t="n">
        <x:v>2316</x:v>
      </x:c>
      <x:c r="V486" s="55" t="n">
        <x:v>10310</x:v>
      </x:c>
      <x:c r="W486" s="55" t="n">
        <x:v>7462</x:v>
      </x:c>
      <x:c r="X486" s="55" t="n">
        <x:v>2848</x:v>
      </x:c>
      <x:c r="Y486" s="55" t="n">
        <x:v>2452</x:v>
      </x:c>
      <x:c r="Z486" s="55" t="n">
        <x:v>3813</x:v>
      </x:c>
      <x:c r="AA486" s="55" t="n">
        <x:v>2741</x:v>
      </x:c>
      <x:c r="AB486" s="55" t="n">
        <x:v>1036</x:v>
      </x:c>
      <x:c r="AC486" s="55" t="n">
        <x:v>8118</x:v>
      </x:c>
      <x:c r="AD486" s="55" t="n">
        <x:v>2718</x:v>
      </x:c>
      <x:c r="AE486" s="55" t="n">
        <x:v>10398</x:v>
      </x:c>
      <x:c r="AF486" s="55" t="n">
        <x:v>10310</x:v>
      </x:c>
      <x:c r="AG486" s="55" t="n">
        <x:v>88</x:v>
      </x:c>
      <x:c r="AH486" s="55" t="n">
        <x:v>371</x:v>
      </x:c>
      <x:c r="AI486" s="55" t="n">
        <x:v>9939</x:v>
      </x:c>
      <x:c r="AJ486" s="55" t="n">
        <x:v>194</x:v>
      </x:c>
      <x:c r="AK486" s="55" t="n">
        <x:v>884</x:v>
      </x:c>
      <x:c r="AL486" s="55" t="n">
        <x:v>1369</x:v>
      </x:c>
      <x:c r="AM486" s="55" t="n">
        <x:v>5033</x:v>
      </x:c>
      <x:c r="AN486" s="55" t="n">
        <x:v>2830</x:v>
      </x:c>
      <x:c r="AO486" s="55" t="n">
        <x:v>0</x:v>
      </x:c>
      <x:c r="AP486" s="55" t="n">
        <x:v>2048</x:v>
      </x:c>
      <x:c r="AQ486" s="55" t="n">
        <x:v>956</x:v>
      </x:c>
    </x:row>
    <x:row r="487">
      <x:c r="A487" s="54" t="str">
        <x:v>T2_CONCORDANT_DOMAIN</x:v>
      </x:c>
      <x:c r="B487" s="54" t="n">
        <x:v>481</x:v>
      </x:c>
      <x:c r="C487" s="54" t="str">
        <x:v>NYC-V2-R01</x:v>
      </x:c>
      <x:c r="D487" s="54" t="str">
        <x:v>V2</x:v>
      </x:c>
      <x:c r="E487" s="54" t="str">
        <x:v>ADMITTED</x:v>
      </x:c>
      <x:c r="F487" s="55" t="n">
        <x:v>33152</x:v>
      </x:c>
      <x:c r="G487" s="55" t="n">
        <x:v>9253</x:v>
      </x:c>
      <x:c r="H487" s="55" t="n">
        <x:v>3505</x:v>
      </x:c>
      <x:c r="I487" s="55" t="n">
        <x:v>1767</x:v>
      </x:c>
      <x:c r="J487" s="55" t="n">
        <x:v>285</x:v>
      </x:c>
      <x:c r="K487" s="55" t="n">
        <x:v>29928</x:v>
      </x:c>
      <x:c r="L487" s="55" t="n">
        <x:v>5345</x:v>
      </x:c>
      <x:c r="M487" s="55" t="n">
        <x:v>812</x:v>
      </x:c>
      <x:c r="N487" s="55" t="n">
        <x:v>2771</x:v>
      </x:c>
      <x:c r="O487" s="55" t="n">
        <x:v>1762</x:v>
      </x:c>
      <x:c r="P487" s="55" t="n">
        <x:v>1279</x:v>
      </x:c>
      <x:c r="Q487" s="55" t="n">
        <x:v>2476</x:v>
      </x:c>
      <x:c r="R487" s="55" t="n">
        <x:v>2473</x:v>
      </x:c>
      <x:c r="S487" s="55" t="n">
        <x:v>3087</x:v>
      </x:c>
      <x:c r="T487" s="55" t="n">
        <x:v>1346</x:v>
      </x:c>
      <x:c r="U487" s="55" t="n">
        <x:v>2197</x:v>
      </x:c>
      <x:c r="V487" s="55" t="n">
        <x:v>10429</x:v>
      </x:c>
      <x:c r="W487" s="55" t="n">
        <x:v>6841</x:v>
      </x:c>
      <x:c r="X487" s="55" t="n">
        <x:v>3588</x:v>
      </x:c>
      <x:c r="Y487" s="55" t="n">
        <x:v>3137</x:v>
      </x:c>
      <x:c r="Z487" s="55" t="n">
        <x:v>3829</x:v>
      </x:c>
      <x:c r="AA487" s="55" t="n">
        <x:v>3075</x:v>
      </x:c>
      <x:c r="AB487" s="55" t="n">
        <x:v>1187</x:v>
      </x:c>
      <x:c r="AC487" s="55" t="n">
        <x:v>7924</x:v>
      </x:c>
      <x:c r="AD487" s="55" t="n">
        <x:v>3463</x:v>
      </x:c>
      <x:c r="AE487" s="55" t="n">
        <x:v>10525</x:v>
      </x:c>
      <x:c r="AF487" s="55" t="n">
        <x:v>10429</x:v>
      </x:c>
      <x:c r="AG487" s="55" t="n">
        <x:v>96</x:v>
      </x:c>
      <x:c r="AH487" s="55" t="n">
        <x:v>527</x:v>
      </x:c>
      <x:c r="AI487" s="55" t="n">
        <x:v>9902</x:v>
      </x:c>
      <x:c r="AJ487" s="55" t="n">
        <x:v>331</x:v>
      </x:c>
      <x:c r="AK487" s="55" t="n">
        <x:v>977</x:v>
      </x:c>
      <x:c r="AL487" s="55" t="n">
        <x:v>1625</x:v>
      </x:c>
      <x:c r="AM487" s="55" t="n">
        <x:v>4663</x:v>
      </x:c>
      <x:c r="AN487" s="55" t="n">
        <x:v>2818</x:v>
      </x:c>
      <x:c r="AO487" s="55" t="n">
        <x:v>15</x:v>
      </x:c>
      <x:c r="AP487" s="55" t="n">
        <x:v>2176</x:v>
      </x:c>
      <x:c r="AQ487" s="55" t="n">
        <x:v>996</x:v>
      </x:c>
    </x:row>
    <x:row r="488">
      <x:c r="A488" s="54" t="str">
        <x:v>T2_CONCORDANT_DOMAIN</x:v>
      </x:c>
      <x:c r="B488" s="54" t="n">
        <x:v>482</x:v>
      </x:c>
      <x:c r="C488" s="54" t="str">
        <x:v>NYC-V2-R01</x:v>
      </x:c>
      <x:c r="D488" s="54" t="str">
        <x:v>V2</x:v>
      </x:c>
      <x:c r="E488" s="54" t="str">
        <x:v>ADMITTED</x:v>
      </x:c>
      <x:c r="F488" s="55" t="n">
        <x:v>31458</x:v>
      </x:c>
      <x:c r="G488" s="55" t="n">
        <x:v>7189</x:v>
      </x:c>
      <x:c r="H488" s="55" t="n">
        <x:v>3611</x:v>
      </x:c>
      <x:c r="I488" s="55" t="n">
        <x:v>1792</x:v>
      </x:c>
      <x:c r="J488" s="55" t="n">
        <x:v>321</x:v>
      </x:c>
      <x:c r="K488" s="55" t="n">
        <x:v>31458</x:v>
      </x:c>
      <x:c r="L488" s="55" t="n">
        <x:v>5957</x:v>
      </x:c>
      <x:c r="M488" s="55" t="n">
        <x:v>1577</x:v>
      </x:c>
      <x:c r="N488" s="55" t="n">
        <x:v>2878</x:v>
      </x:c>
      <x:c r="O488" s="55" t="n">
        <x:v>1502</x:v>
      </x:c>
      <x:c r="P488" s="55" t="n">
        <x:v>720</x:v>
      </x:c>
      <x:c r="Q488" s="55" t="n">
        <x:v>2691</x:v>
      </x:c>
      <x:c r="R488" s="55" t="n">
        <x:v>1522</x:v>
      </x:c>
      <x:c r="S488" s="55" t="n">
        <x:v>3009</x:v>
      </x:c>
      <x:c r="T488" s="55" t="n">
        <x:v>1316</x:v>
      </x:c>
      <x:c r="U488" s="55" t="n">
        <x:v>1930</x:v>
      </x:c>
      <x:c r="V488" s="55" t="n">
        <x:v>10402</x:v>
      </x:c>
      <x:c r="W488" s="55" t="n">
        <x:v>7246</x:v>
      </x:c>
      <x:c r="X488" s="55" t="n">
        <x:v>3156</x:v>
      </x:c>
      <x:c r="Y488" s="55" t="n">
        <x:v>2539</x:v>
      </x:c>
      <x:c r="Z488" s="55" t="n">
        <x:v>3540</x:v>
      </x:c>
      <x:c r="AA488" s="55" t="n">
        <x:v>2987</x:v>
      </x:c>
      <x:c r="AB488" s="55" t="n">
        <x:v>776</x:v>
      </x:c>
      <x:c r="AC488" s="55" t="n">
        <x:v>7877</x:v>
      </x:c>
      <x:c r="AD488" s="55" t="n">
        <x:v>2675</x:v>
      </x:c>
      <x:c r="AE488" s="55" t="n">
        <x:v>10438</x:v>
      </x:c>
      <x:c r="AF488" s="55" t="n">
        <x:v>10402</x:v>
      </x:c>
      <x:c r="AG488" s="55" t="n">
        <x:v>36</x:v>
      </x:c>
      <x:c r="AH488" s="55" t="n">
        <x:v>361</x:v>
      </x:c>
      <x:c r="AI488" s="55" t="n">
        <x:v>10041</x:v>
      </x:c>
      <x:c r="AJ488" s="55" t="n">
        <x:v>351</x:v>
      </x:c>
      <x:c r="AK488" s="55" t="n">
        <x:v>865</x:v>
      </x:c>
      <x:c r="AL488" s="55" t="n">
        <x:v>1879</x:v>
      </x:c>
      <x:c r="AM488" s="55" t="n">
        <x:v>5126</x:v>
      </x:c>
      <x:c r="AN488" s="55" t="n">
        <x:v>2181</x:v>
      </x:c>
      <x:c r="AO488" s="55" t="n">
        <x:v>0</x:v>
      </x:c>
      <x:c r="AP488" s="55" t="n">
        <x:v>2209</x:v>
      </x:c>
      <x:c r="AQ488" s="55" t="n">
        <x:v>934</x:v>
      </x:c>
    </x:row>
    <x:row r="489">
      <x:c r="A489" s="54" t="str">
        <x:v>T2_CONCORDANT_DOMAIN</x:v>
      </x:c>
      <x:c r="B489" s="54" t="n">
        <x:v>483</x:v>
      </x:c>
      <x:c r="C489" s="54" t="str">
        <x:v>NYC-V2-R01</x:v>
      </x:c>
      <x:c r="D489" s="54" t="str">
        <x:v>V2</x:v>
      </x:c>
      <x:c r="E489" s="54" t="str">
        <x:v>ADMITTED</x:v>
      </x:c>
      <x:c r="F489" s="55" t="n">
        <x:v>33534</x:v>
      </x:c>
      <x:c r="G489" s="55" t="n">
        <x:v>9392</x:v>
      </x:c>
      <x:c r="H489" s="55" t="n">
        <x:v>3530</x:v>
      </x:c>
      <x:c r="I489" s="55" t="n">
        <x:v>1310</x:v>
      </x:c>
      <x:c r="J489" s="55" t="n">
        <x:v>216</x:v>
      </x:c>
      <x:c r="K489" s="55" t="n">
        <x:v>29285</x:v>
      </x:c>
      <x:c r="L489" s="55" t="n">
        <x:v>5159</x:v>
      </x:c>
      <x:c r="M489" s="55" t="n">
        <x:v>1020</x:v>
      </x:c>
      <x:c r="N489" s="55" t="n">
        <x:v>2522</x:v>
      </x:c>
      <x:c r="O489" s="55" t="n">
        <x:v>1617</x:v>
      </x:c>
      <x:c r="P489" s="55" t="n">
        <x:v>779</x:v>
      </x:c>
      <x:c r="Q489" s="55" t="n">
        <x:v>2351</x:v>
      </x:c>
      <x:c r="R489" s="55" t="n">
        <x:v>1749</x:v>
      </x:c>
      <x:c r="S489" s="55" t="n">
        <x:v>2990</x:v>
      </x:c>
      <x:c r="T489" s="55" t="n">
        <x:v>1268</x:v>
      </x:c>
      <x:c r="U489" s="55" t="n">
        <x:v>2343</x:v>
      </x:c>
      <x:c r="V489" s="55" t="n">
        <x:v>10623</x:v>
      </x:c>
      <x:c r="W489" s="55" t="n">
        <x:v>7296</x:v>
      </x:c>
      <x:c r="X489" s="55" t="n">
        <x:v>3327</x:v>
      </x:c>
      <x:c r="Y489" s="55" t="n">
        <x:v>2955</x:v>
      </x:c>
      <x:c r="Z489" s="55" t="n">
        <x:v>3908</x:v>
      </x:c>
      <x:c r="AA489" s="55" t="n">
        <x:v>3530</x:v>
      </x:c>
      <x:c r="AB489" s="55" t="n">
        <x:v>1488</x:v>
      </x:c>
      <x:c r="AC489" s="55" t="n">
        <x:v>8827</x:v>
      </x:c>
      <x:c r="AD489" s="55" t="n">
        <x:v>3534</x:v>
      </x:c>
      <x:c r="AE489" s="55" t="n">
        <x:v>10709</x:v>
      </x:c>
      <x:c r="AF489" s="55" t="n">
        <x:v>10623</x:v>
      </x:c>
      <x:c r="AG489" s="55" t="n">
        <x:v>86</x:v>
      </x:c>
      <x:c r="AH489" s="55" t="n">
        <x:v>380</x:v>
      </x:c>
      <x:c r="AI489" s="55" t="n">
        <x:v>10243</x:v>
      </x:c>
      <x:c r="AJ489" s="55" t="n">
        <x:v>559</x:v>
      </x:c>
      <x:c r="AK489" s="55" t="n">
        <x:v>915</x:v>
      </x:c>
      <x:c r="AL489" s="55" t="n">
        <x:v>1499</x:v>
      </x:c>
      <x:c r="AM489" s="55" t="n">
        <x:v>5093</x:v>
      </x:c>
      <x:c r="AN489" s="55" t="n">
        <x:v>2555</x:v>
      </x:c>
      <x:c r="AO489" s="55" t="n">
        <x:v>2</x:v>
      </x:c>
      <x:c r="AP489" s="55" t="n">
        <x:v>1875</x:v>
      </x:c>
      <x:c r="AQ489" s="55" t="n">
        <x:v>932</x:v>
      </x:c>
    </x:row>
    <x:row r="490">
      <x:c r="A490" s="54" t="str">
        <x:v>T2_CONCORDANT_DOMAIN</x:v>
      </x:c>
      <x:c r="B490" s="54" t="n">
        <x:v>484</x:v>
      </x:c>
      <x:c r="C490" s="54" t="str">
        <x:v>NYC-V2-R01</x:v>
      </x:c>
      <x:c r="D490" s="54" t="str">
        <x:v>V2</x:v>
      </x:c>
      <x:c r="E490" s="54" t="str">
        <x:v>ADMITTED</x:v>
      </x:c>
      <x:c r="F490" s="55" t="n">
        <x:v>29225</x:v>
      </x:c>
      <x:c r="G490" s="55" t="n">
        <x:v>7579</x:v>
      </x:c>
      <x:c r="H490" s="55" t="n">
        <x:v>3384</x:v>
      </x:c>
      <x:c r="I490" s="55" t="n">
        <x:v>766</x:v>
      </x:c>
      <x:c r="J490" s="55" t="n">
        <x:v>0</x:v>
      </x:c>
      <x:c r="K490" s="55" t="n">
        <x:v>28453</x:v>
      </x:c>
      <x:c r="L490" s="55" t="n">
        <x:v>4438</x:v>
      </x:c>
      <x:c r="M490" s="55" t="n">
        <x:v>1037</x:v>
      </x:c>
      <x:c r="N490" s="55" t="n">
        <x:v>2231</x:v>
      </x:c>
      <x:c r="O490" s="55" t="n">
        <x:v>1170</x:v>
      </x:c>
      <x:c r="P490" s="55" t="n">
        <x:v>280</x:v>
      </x:c>
      <x:c r="Q490" s="55" t="n">
        <x:v>2007</x:v>
      </x:c>
      <x:c r="R490" s="55" t="n">
        <x:v>1623</x:v>
      </x:c>
      <x:c r="S490" s="55" t="n">
        <x:v>2206</x:v>
      </x:c>
      <x:c r="T490" s="55" t="n">
        <x:v>1126</x:v>
      </x:c>
      <x:c r="U490" s="55" t="n">
        <x:v>1669</x:v>
      </x:c>
      <x:c r="V490" s="55" t="n">
        <x:v>10022</x:v>
      </x:c>
      <x:c r="W490" s="55" t="n">
        <x:v>6898</x:v>
      </x:c>
      <x:c r="X490" s="55" t="n">
        <x:v>3124</x:v>
      </x:c>
      <x:c r="Y490" s="55" t="n">
        <x:v>2759</x:v>
      </x:c>
      <x:c r="Z490" s="55" t="n">
        <x:v>3365</x:v>
      </x:c>
      <x:c r="AA490" s="55" t="n">
        <x:v>3384</x:v>
      </x:c>
      <x:c r="AB490" s="55" t="n">
        <x:v>1464</x:v>
      </x:c>
      <x:c r="AC490" s="55" t="n">
        <x:v>7919</x:v>
      </x:c>
      <x:c r="AD490" s="55" t="n">
        <x:v>2547</x:v>
      </x:c>
      <x:c r="AE490" s="55" t="n">
        <x:v>10095</x:v>
      </x:c>
      <x:c r="AF490" s="55" t="n">
        <x:v>10022</x:v>
      </x:c>
      <x:c r="AG490" s="55" t="n">
        <x:v>73</x:v>
      </x:c>
      <x:c r="AH490" s="55" t="n">
        <x:v>357</x:v>
      </x:c>
      <x:c r="AI490" s="55" t="n">
        <x:v>9665</x:v>
      </x:c>
      <x:c r="AJ490" s="55" t="n">
        <x:v>311</x:v>
      </x:c>
      <x:c r="AK490" s="55" t="n">
        <x:v>938</x:v>
      </x:c>
      <x:c r="AL490" s="55" t="n">
        <x:v>1273</x:v>
      </x:c>
      <x:c r="AM490" s="55" t="n">
        <x:v>4523</x:v>
      </x:c>
      <x:c r="AN490" s="55" t="n">
        <x:v>2973</x:v>
      </x:c>
      <x:c r="AO490" s="55" t="n">
        <x:v>4</x:v>
      </x:c>
      <x:c r="AP490" s="55" t="n">
        <x:v>2529</x:v>
      </x:c>
      <x:c r="AQ490" s="55" t="n">
        <x:v>931</x:v>
      </x:c>
    </x:row>
    <x:row r="491">
      <x:c r="A491" s="54" t="str">
        <x:v>T2_CONCORDANT_DOMAIN</x:v>
      </x:c>
      <x:c r="B491" s="54" t="n">
        <x:v>485</x:v>
      </x:c>
      <x:c r="C491" s="54" t="str">
        <x:v>NYC-V2-R01</x:v>
      </x:c>
      <x:c r="D491" s="54" t="str">
        <x:v>V2</x:v>
      </x:c>
      <x:c r="E491" s="54" t="str">
        <x:v>ADMITTED</x:v>
      </x:c>
      <x:c r="F491" s="55" t="n">
        <x:v>27669</x:v>
      </x:c>
      <x:c r="G491" s="55" t="n">
        <x:v>6455</x:v>
      </x:c>
      <x:c r="H491" s="55" t="n">
        <x:v>2808</x:v>
      </x:c>
      <x:c r="I491" s="55" t="n">
        <x:v>1040</x:v>
      </x:c>
      <x:c r="J491" s="55" t="n">
        <x:v>96</x:v>
      </x:c>
      <x:c r="K491" s="55" t="n">
        <x:v>27669</x:v>
      </x:c>
      <x:c r="L491" s="55" t="n">
        <x:v>4399</x:v>
      </x:c>
      <x:c r="M491" s="55" t="n">
        <x:v>46</x:v>
      </x:c>
      <x:c r="N491" s="55" t="n">
        <x:v>2732</x:v>
      </x:c>
      <x:c r="O491" s="55" t="n">
        <x:v>1621</x:v>
      </x:c>
      <x:c r="P491" s="55" t="n">
        <x:v>1255</x:v>
      </x:c>
      <x:c r="Q491" s="55" t="n">
        <x:v>2781</x:v>
      </x:c>
      <x:c r="R491" s="55" t="n">
        <x:v>2317</x:v>
      </x:c>
      <x:c r="S491" s="55" t="n">
        <x:v>2572</x:v>
      </x:c>
      <x:c r="T491" s="55" t="n">
        <x:v>1135</x:v>
      </x:c>
      <x:c r="U491" s="55" t="n">
        <x:v>1935</x:v>
      </x:c>
      <x:c r="V491" s="55" t="n">
        <x:v>9648</x:v>
      </x:c>
      <x:c r="W491" s="55" t="n">
        <x:v>6679</x:v>
      </x:c>
      <x:c r="X491" s="55" t="n">
        <x:v>2969</x:v>
      </x:c>
      <x:c r="Y491" s="55" t="n">
        <x:v>2447</x:v>
      </x:c>
      <x:c r="Z491" s="55" t="n">
        <x:v>3721</x:v>
      </x:c>
      <x:c r="AA491" s="55" t="n">
        <x:v>2792</x:v>
      </x:c>
      <x:c r="AB491" s="55" t="n">
        <x:v>911</x:v>
      </x:c>
      <x:c r="AC491" s="55" t="n">
        <x:v>7901</x:v>
      </x:c>
      <x:c r="AD491" s="55" t="n">
        <x:v>2844</x:v>
      </x:c>
      <x:c r="AE491" s="55" t="n">
        <x:v>9732</x:v>
      </x:c>
      <x:c r="AF491" s="55" t="n">
        <x:v>9648</x:v>
      </x:c>
      <x:c r="AG491" s="55" t="n">
        <x:v>84</x:v>
      </x:c>
      <x:c r="AH491" s="55" t="n">
        <x:v>168</x:v>
      </x:c>
      <x:c r="AI491" s="55" t="n">
        <x:v>9480</x:v>
      </x:c>
      <x:c r="AJ491" s="55" t="n">
        <x:v>129</x:v>
      </x:c>
      <x:c r="AK491" s="55" t="n">
        <x:v>821</x:v>
      </x:c>
      <x:c r="AL491" s="55" t="n">
        <x:v>1219</x:v>
      </x:c>
      <x:c r="AM491" s="55" t="n">
        <x:v>4972</x:v>
      </x:c>
      <x:c r="AN491" s="55" t="n">
        <x:v>2507</x:v>
      </x:c>
      <x:c r="AO491" s="55" t="n">
        <x:v>0</x:v>
      </x:c>
      <x:c r="AP491" s="55" t="n">
        <x:v>2243</x:v>
      </x:c>
      <x:c r="AQ491" s="55" t="n">
        <x:v>969</x:v>
      </x:c>
    </x:row>
    <x:row r="492">
      <x:c r="A492" s="54" t="str">
        <x:v>T2_CONCORDANT_DOMAIN</x:v>
      </x:c>
      <x:c r="B492" s="54" t="n">
        <x:v>486</x:v>
      </x:c>
      <x:c r="C492" s="54" t="str">
        <x:v>NYC-V2-R01</x:v>
      </x:c>
      <x:c r="D492" s="54" t="str">
        <x:v>V2</x:v>
      </x:c>
      <x:c r="E492" s="54" t="str">
        <x:v>ADMITTED</x:v>
      </x:c>
      <x:c r="F492" s="55" t="n">
        <x:v>32500</x:v>
      </x:c>
      <x:c r="G492" s="55" t="n">
        <x:v>8057</x:v>
      </x:c>
      <x:c r="H492" s="55" t="n">
        <x:v>3889</x:v>
      </x:c>
      <x:c r="I492" s="55" t="n">
        <x:v>1758</x:v>
      </x:c>
      <x:c r="J492" s="55" t="n">
        <x:v>468</x:v>
      </x:c>
      <x:c r="K492" s="55" t="n">
        <x:v>32500</x:v>
      </x:c>
      <x:c r="L492" s="55" t="n">
        <x:v>8043</x:v>
      </x:c>
      <x:c r="M492" s="55" t="n">
        <x:v>2809</x:v>
      </x:c>
      <x:c r="N492" s="55" t="n">
        <x:v>3076</x:v>
      </x:c>
      <x:c r="O492" s="55" t="n">
        <x:v>2158</x:v>
      </x:c>
      <x:c r="P492" s="55" t="n">
        <x:v>1161</x:v>
      </x:c>
      <x:c r="Q492" s="55" t="n">
        <x:v>3009</x:v>
      </x:c>
      <x:c r="R492" s="55" t="n">
        <x:v>2098</x:v>
      </x:c>
      <x:c r="S492" s="55" t="n">
        <x:v>3430</x:v>
      </x:c>
      <x:c r="T492" s="55" t="n">
        <x:v>1550</x:v>
      </x:c>
      <x:c r="U492" s="55" t="n">
        <x:v>2723</x:v>
      </x:c>
      <x:c r="V492" s="55" t="n">
        <x:v>10318</x:v>
      </x:c>
      <x:c r="W492" s="55" t="n">
        <x:v>6897</x:v>
      </x:c>
      <x:c r="X492" s="55" t="n">
        <x:v>3421</x:v>
      </x:c>
      <x:c r="Y492" s="55" t="n">
        <x:v>2793</x:v>
      </x:c>
      <x:c r="Z492" s="55" t="n">
        <x:v>4119</x:v>
      </x:c>
      <x:c r="AA492" s="55" t="n">
        <x:v>2738</x:v>
      </x:c>
      <x:c r="AB492" s="55" t="n">
        <x:v>1431</x:v>
      </x:c>
      <x:c r="AC492" s="55" t="n">
        <x:v>8527</x:v>
      </x:c>
      <x:c r="AD492" s="55" t="n">
        <x:v>2810</x:v>
      </x:c>
      <x:c r="AE492" s="55" t="n">
        <x:v>10466</x:v>
      </x:c>
      <x:c r="AF492" s="55" t="n">
        <x:v>10318</x:v>
      </x:c>
      <x:c r="AG492" s="55" t="n">
        <x:v>148</x:v>
      </x:c>
      <x:c r="AH492" s="55" t="n">
        <x:v>736</x:v>
      </x:c>
      <x:c r="AI492" s="55" t="n">
        <x:v>9582</x:v>
      </x:c>
      <x:c r="AJ492" s="55" t="n">
        <x:v>507</x:v>
      </x:c>
      <x:c r="AK492" s="55" t="n">
        <x:v>1049</x:v>
      </x:c>
      <x:c r="AL492" s="55" t="n">
        <x:v>1639</x:v>
      </x:c>
      <x:c r="AM492" s="55" t="n">
        <x:v>4344</x:v>
      </x:c>
      <x:c r="AN492" s="55" t="n">
        <x:v>2737</x:v>
      </x:c>
      <x:c r="AO492" s="55" t="n">
        <x:v>42</x:v>
      </x:c>
      <x:c r="AP492" s="55" t="n">
        <x:v>2679</x:v>
      </x:c>
      <x:c r="AQ492" s="55" t="n">
        <x:v>993</x:v>
      </x:c>
    </x:row>
    <x:row r="493">
      <x:c r="A493" s="54" t="str">
        <x:v>T2_CONCORDANT_DOMAIN</x:v>
      </x:c>
      <x:c r="B493" s="54" t="n">
        <x:v>487</x:v>
      </x:c>
      <x:c r="C493" s="54" t="str">
        <x:v>NYC-V2-R01</x:v>
      </x:c>
      <x:c r="D493" s="54" t="str">
        <x:v>V2</x:v>
      </x:c>
      <x:c r="E493" s="54" t="str">
        <x:v>ADMITTED</x:v>
      </x:c>
      <x:c r="F493" s="55" t="n">
        <x:v>28734</x:v>
      </x:c>
      <x:c r="G493" s="55" t="n">
        <x:v>5983</x:v>
      </x:c>
      <x:c r="H493" s="55" t="n">
        <x:v>3166</x:v>
      </x:c>
      <x:c r="I493" s="55" t="n">
        <x:v>1081</x:v>
      </x:c>
      <x:c r="J493" s="55" t="n">
        <x:v>177</x:v>
      </x:c>
      <x:c r="K493" s="55" t="n">
        <x:v>28734</x:v>
      </x:c>
      <x:c r="L493" s="55" t="n">
        <x:v>4999</x:v>
      </x:c>
      <x:c r="M493" s="55" t="n">
        <x:v>609</x:v>
      </x:c>
      <x:c r="N493" s="55" t="n">
        <x:v>2762</x:v>
      </x:c>
      <x:c r="O493" s="55" t="n">
        <x:v>1628</x:v>
      </x:c>
      <x:c r="P493" s="55" t="n">
        <x:v>521</x:v>
      </x:c>
      <x:c r="Q493" s="55" t="n">
        <x:v>2021</x:v>
      </x:c>
      <x:c r="R493" s="55" t="n">
        <x:v>1863</x:v>
      </x:c>
      <x:c r="S493" s="55" t="n">
        <x:v>1969</x:v>
      </x:c>
      <x:c r="T493" s="55" t="n">
        <x:v>769</x:v>
      </x:c>
      <x:c r="U493" s="55" t="n">
        <x:v>1505</x:v>
      </x:c>
      <x:c r="V493" s="55" t="n">
        <x:v>10703</x:v>
      </x:c>
      <x:c r="W493" s="55" t="n">
        <x:v>7935</x:v>
      </x:c>
      <x:c r="X493" s="55" t="n">
        <x:v>2768</x:v>
      </x:c>
      <x:c r="Y493" s="55" t="n">
        <x:v>2315</x:v>
      </x:c>
      <x:c r="Z493" s="55" t="n">
        <x:v>3301</x:v>
      </x:c>
      <x:c r="AA493" s="55" t="n">
        <x:v>2650</x:v>
      </x:c>
      <x:c r="AB493" s="55" t="n">
        <x:v>846</x:v>
      </x:c>
      <x:c r="AC493" s="55" t="n">
        <x:v>7929</x:v>
      </x:c>
      <x:c r="AD493" s="55" t="n">
        <x:v>2309</x:v>
      </x:c>
      <x:c r="AE493" s="55" t="n">
        <x:v>10813</x:v>
      </x:c>
      <x:c r="AF493" s="55" t="n">
        <x:v>10703</x:v>
      </x:c>
      <x:c r="AG493" s="55" t="n">
        <x:v>110</x:v>
      </x:c>
      <x:c r="AH493" s="55" t="n">
        <x:v>485</x:v>
      </x:c>
      <x:c r="AI493" s="55" t="n">
        <x:v>10218</x:v>
      </x:c>
      <x:c r="AJ493" s="55" t="n">
        <x:v>235</x:v>
      </x:c>
      <x:c r="AK493" s="55" t="n">
        <x:v>1282</x:v>
      </x:c>
      <x:c r="AL493" s="55" t="n">
        <x:v>1423</x:v>
      </x:c>
      <x:c r="AM493" s="55" t="n">
        <x:v>4917</x:v>
      </x:c>
      <x:c r="AN493" s="55" t="n">
        <x:v>2835</x:v>
      </x:c>
      <x:c r="AO493" s="55" t="n">
        <x:v>11</x:v>
      </x:c>
      <x:c r="AP493" s="55" t="n">
        <x:v>2511</x:v>
      </x:c>
      <x:c r="AQ493" s="55" t="n">
        <x:v>940</x:v>
      </x:c>
    </x:row>
    <x:row r="494">
      <x:c r="A494" s="54" t="str">
        <x:v>T2_CONCORDANT_DOMAIN</x:v>
      </x:c>
      <x:c r="B494" s="54" t="n">
        <x:v>488</x:v>
      </x:c>
      <x:c r="C494" s="54" t="str">
        <x:v>NYC-V2-R01</x:v>
      </x:c>
      <x:c r="D494" s="54" t="str">
        <x:v>V2</x:v>
      </x:c>
      <x:c r="E494" s="54" t="str">
        <x:v>ADMITTED</x:v>
      </x:c>
      <x:c r="F494" s="55" t="n">
        <x:v>32868</x:v>
      </x:c>
      <x:c r="G494" s="55" t="n">
        <x:v>8384</x:v>
      </x:c>
      <x:c r="H494" s="55" t="n">
        <x:v>3116</x:v>
      </x:c>
      <x:c r="I494" s="55" t="n">
        <x:v>1072</x:v>
      </x:c>
      <x:c r="J494" s="55" t="n">
        <x:v>203</x:v>
      </x:c>
      <x:c r="K494" s="55" t="n">
        <x:v>30528</x:v>
      </x:c>
      <x:c r="L494" s="55" t="n">
        <x:v>5164</x:v>
      </x:c>
      <x:c r="M494" s="55" t="n">
        <x:v>1275</x:v>
      </x:c>
      <x:c r="N494" s="55" t="n">
        <x:v>2267</x:v>
      </x:c>
      <x:c r="O494" s="55" t="n">
        <x:v>1622</x:v>
      </x:c>
      <x:c r="P494" s="55" t="n">
        <x:v>785</x:v>
      </x:c>
      <x:c r="Q494" s="55" t="n">
        <x:v>2476</x:v>
      </x:c>
      <x:c r="R494" s="55" t="n">
        <x:v>1542</x:v>
      </x:c>
      <x:c r="S494" s="55" t="n">
        <x:v>2587</x:v>
      </x:c>
      <x:c r="T494" s="55" t="n">
        <x:v>1296</x:v>
      </x:c>
      <x:c r="U494" s="55" t="n">
        <x:v>2295</x:v>
      </x:c>
      <x:c r="V494" s="55" t="n">
        <x:v>10276</x:v>
      </x:c>
      <x:c r="W494" s="55" t="n">
        <x:v>7090</x:v>
      </x:c>
      <x:c r="X494" s="55" t="n">
        <x:v>3186</x:v>
      </x:c>
      <x:c r="Y494" s="55" t="n">
        <x:v>2734</x:v>
      </x:c>
      <x:c r="Z494" s="55" t="n">
        <x:v>3263</x:v>
      </x:c>
      <x:c r="AA494" s="55" t="n">
        <x:v>3116</x:v>
      </x:c>
      <x:c r="AB494" s="55" t="n">
        <x:v>1032</x:v>
      </x:c>
      <x:c r="AC494" s="55" t="n">
        <x:v>7904</x:v>
      </x:c>
      <x:c r="AD494" s="55" t="n">
        <x:v>3036</x:v>
      </x:c>
      <x:c r="AE494" s="55" t="n">
        <x:v>10373</x:v>
      </x:c>
      <x:c r="AF494" s="55" t="n">
        <x:v>10276</x:v>
      </x:c>
      <x:c r="AG494" s="55" t="n">
        <x:v>97</x:v>
      </x:c>
      <x:c r="AH494" s="55" t="n">
        <x:v>429</x:v>
      </x:c>
      <x:c r="AI494" s="55" t="n">
        <x:v>9847</x:v>
      </x:c>
      <x:c r="AJ494" s="55" t="n">
        <x:v>320</x:v>
      </x:c>
      <x:c r="AK494" s="55" t="n">
        <x:v>976</x:v>
      </x:c>
      <x:c r="AL494" s="55" t="n">
        <x:v>1425</x:v>
      </x:c>
      <x:c r="AM494" s="55" t="n">
        <x:v>4950</x:v>
      </x:c>
      <x:c r="AN494" s="55" t="n">
        <x:v>2568</x:v>
      </x:c>
      <x:c r="AO494" s="55" t="n">
        <x:v>37</x:v>
      </x:c>
      <x:c r="AP494" s="55" t="n">
        <x:v>2599</x:v>
      </x:c>
      <x:c r="AQ494" s="55" t="n">
        <x:v>955</x:v>
      </x:c>
    </x:row>
    <x:row r="495">
      <x:c r="A495" s="54" t="str">
        <x:v>T2_CONCORDANT_DOMAIN</x:v>
      </x:c>
      <x:c r="B495" s="54" t="n">
        <x:v>489</x:v>
      </x:c>
      <x:c r="C495" s="54" t="str">
        <x:v>NYC-V2-R01</x:v>
      </x:c>
      <x:c r="D495" s="54" t="str">
        <x:v>V2</x:v>
      </x:c>
      <x:c r="E495" s="54" t="str">
        <x:v>ADMITTED</x:v>
      </x:c>
      <x:c r="F495" s="55" t="n">
        <x:v>29164</x:v>
      </x:c>
      <x:c r="G495" s="55" t="n">
        <x:v>7875</x:v>
      </x:c>
      <x:c r="H495" s="55" t="n">
        <x:v>2974</x:v>
      </x:c>
      <x:c r="I495" s="55" t="n">
        <x:v>1137</x:v>
      </x:c>
      <x:c r="J495" s="55" t="n">
        <x:v>216</x:v>
      </x:c>
      <x:c r="K495" s="55" t="n">
        <x:v>28923</x:v>
      </x:c>
      <x:c r="L495" s="55" t="n">
        <x:v>4536</x:v>
      </x:c>
      <x:c r="M495" s="55" t="n">
        <x:v>900</x:v>
      </x:c>
      <x:c r="N495" s="55" t="n">
        <x:v>2091</x:v>
      </x:c>
      <x:c r="O495" s="55" t="n">
        <x:v>1545</x:v>
      </x:c>
      <x:c r="P495" s="55" t="n">
        <x:v>667</x:v>
      </x:c>
      <x:c r="Q495" s="55" t="n">
        <x:v>1190</x:v>
      </x:c>
      <x:c r="R495" s="55" t="n">
        <x:v>1367</x:v>
      </x:c>
      <x:c r="S495" s="55" t="n">
        <x:v>2551</x:v>
      </x:c>
      <x:c r="T495" s="55" t="n">
        <x:v>976</x:v>
      </x:c>
      <x:c r="U495" s="55" t="n">
        <x:v>1474</x:v>
      </x:c>
      <x:c r="V495" s="55" t="n">
        <x:v>9874</x:v>
      </x:c>
      <x:c r="W495" s="55" t="n">
        <x:v>6512</x:v>
      </x:c>
      <x:c r="X495" s="55" t="n">
        <x:v>3362</x:v>
      </x:c>
      <x:c r="Y495" s="55" t="n">
        <x:v>2895</x:v>
      </x:c>
      <x:c r="Z495" s="55" t="n">
        <x:v>3292</x:v>
      </x:c>
      <x:c r="AA495" s="55" t="n">
        <x:v>2863</x:v>
      </x:c>
      <x:c r="AB495" s="55" t="n">
        <x:v>880</x:v>
      </x:c>
      <x:c r="AC495" s="55" t="n">
        <x:v>7318</x:v>
      </x:c>
      <x:c r="AD495" s="55" t="n">
        <x:v>2929</x:v>
      </x:c>
      <x:c r="AE495" s="55" t="n">
        <x:v>9949</x:v>
      </x:c>
      <x:c r="AF495" s="55" t="n">
        <x:v>9874</x:v>
      </x:c>
      <x:c r="AG495" s="55" t="n">
        <x:v>75</x:v>
      </x:c>
      <x:c r="AH495" s="55" t="n">
        <x:v>313</x:v>
      </x:c>
      <x:c r="AI495" s="55" t="n">
        <x:v>9561</x:v>
      </x:c>
      <x:c r="AJ495" s="55" t="n">
        <x:v>325</x:v>
      </x:c>
      <x:c r="AK495" s="55" t="n">
        <x:v>1035</x:v>
      </x:c>
      <x:c r="AL495" s="55" t="n">
        <x:v>1318</x:v>
      </x:c>
      <x:c r="AM495" s="55" t="n">
        <x:v>4415</x:v>
      </x:c>
      <x:c r="AN495" s="55" t="n">
        <x:v>2770</x:v>
      </x:c>
      <x:c r="AO495" s="55" t="n">
        <x:v>11</x:v>
      </x:c>
      <x:c r="AP495" s="55" t="n">
        <x:v>2182</x:v>
      </x:c>
      <x:c r="AQ495" s="55" t="n">
        <x:v>909</x:v>
      </x:c>
    </x:row>
    <x:row r="496">
      <x:c r="A496" s="54" t="str">
        <x:v>T2_CONCORDANT_DOMAIN</x:v>
      </x:c>
      <x:c r="B496" s="54" t="n">
        <x:v>490</x:v>
      </x:c>
      <x:c r="C496" s="54" t="str">
        <x:v>NYC-V2-R01</x:v>
      </x:c>
      <x:c r="D496" s="54" t="str">
        <x:v>V2</x:v>
      </x:c>
      <x:c r="E496" s="54" t="str">
        <x:v>ADMITTED</x:v>
      </x:c>
      <x:c r="F496" s="55" t="n">
        <x:v>31963</x:v>
      </x:c>
      <x:c r="G496" s="55" t="n">
        <x:v>7376</x:v>
      </x:c>
      <x:c r="H496" s="55" t="n">
        <x:v>3849</x:v>
      </x:c>
      <x:c r="I496" s="55" t="n">
        <x:v>1685</x:v>
      </x:c>
      <x:c r="J496" s="55" t="n">
        <x:v>293</x:v>
      </x:c>
      <x:c r="K496" s="55" t="n">
        <x:v>30305</x:v>
      </x:c>
      <x:c r="L496" s="55" t="n">
        <x:v>5816</x:v>
      </x:c>
      <x:c r="M496" s="55" t="n">
        <x:v>1374</x:v>
      </x:c>
      <x:c r="N496" s="55" t="n">
        <x:v>2627</x:v>
      </x:c>
      <x:c r="O496" s="55" t="n">
        <x:v>1815</x:v>
      </x:c>
      <x:c r="P496" s="55" t="n">
        <x:v>492</x:v>
      </x:c>
      <x:c r="Q496" s="55" t="n">
        <x:v>2342</x:v>
      </x:c>
      <x:c r="R496" s="55" t="n">
        <x:v>1945</x:v>
      </x:c>
      <x:c r="S496" s="55" t="n">
        <x:v>2521</x:v>
      </x:c>
      <x:c r="T496" s="55" t="n">
        <x:v>1454</x:v>
      </x:c>
      <x:c r="U496" s="55" t="n">
        <x:v>2175</x:v>
      </x:c>
      <x:c r="V496" s="55" t="n">
        <x:v>10302</x:v>
      </x:c>
      <x:c r="W496" s="55" t="n">
        <x:v>7428</x:v>
      </x:c>
      <x:c r="X496" s="55" t="n">
        <x:v>2874</x:v>
      </x:c>
      <x:c r="Y496" s="55" t="n">
        <x:v>2482</x:v>
      </x:c>
      <x:c r="Z496" s="55" t="n">
        <x:v>3533</x:v>
      </x:c>
      <x:c r="AA496" s="55" t="n">
        <x:v>3030</x:v>
      </x:c>
      <x:c r="AB496" s="55" t="n">
        <x:v>1107</x:v>
      </x:c>
      <x:c r="AC496" s="55" t="n">
        <x:v>7302</x:v>
      </x:c>
      <x:c r="AD496" s="55" t="n">
        <x:v>2757</x:v>
      </x:c>
      <x:c r="AE496" s="55" t="n">
        <x:v>10395</x:v>
      </x:c>
      <x:c r="AF496" s="55" t="n">
        <x:v>10302</x:v>
      </x:c>
      <x:c r="AG496" s="55" t="n">
        <x:v>93</x:v>
      </x:c>
      <x:c r="AH496" s="55" t="n">
        <x:v>369</x:v>
      </x:c>
      <x:c r="AI496" s="55" t="n">
        <x:v>9933</x:v>
      </x:c>
      <x:c r="AJ496" s="55" t="n">
        <x:v>478</x:v>
      </x:c>
      <x:c r="AK496" s="55" t="n">
        <x:v>908</x:v>
      </x:c>
      <x:c r="AL496" s="55" t="n">
        <x:v>1313</x:v>
      </x:c>
      <x:c r="AM496" s="55" t="n">
        <x:v>5027</x:v>
      </x:c>
      <x:c r="AN496" s="55" t="n">
        <x:v>2576</x:v>
      </x:c>
      <x:c r="AO496" s="55" t="n">
        <x:v>0</x:v>
      </x:c>
      <x:c r="AP496" s="55" t="n">
        <x:v>2274</x:v>
      </x:c>
      <x:c r="AQ496" s="55" t="n">
        <x:v>926</x:v>
      </x:c>
    </x:row>
    <x:row r="497">
      <x:c r="A497" s="54" t="str">
        <x:v>T2_CONCORDANT_DOMAIN</x:v>
      </x:c>
      <x:c r="B497" s="54" t="n">
        <x:v>491</x:v>
      </x:c>
      <x:c r="C497" s="54" t="str">
        <x:v>NYC-V2-R01</x:v>
      </x:c>
      <x:c r="D497" s="54" t="str">
        <x:v>V2</x:v>
      </x:c>
      <x:c r="E497" s="54" t="str">
        <x:v>ADMITTED</x:v>
      </x:c>
      <x:c r="F497" s="55" t="n">
        <x:v>30671</x:v>
      </x:c>
      <x:c r="G497" s="55" t="n">
        <x:v>7194</x:v>
      </x:c>
      <x:c r="H497" s="55" t="n">
        <x:v>3045</x:v>
      </x:c>
      <x:c r="I497" s="55" t="n">
        <x:v>1038</x:v>
      </x:c>
      <x:c r="J497" s="55" t="n">
        <x:v>119</x:v>
      </x:c>
      <x:c r="K497" s="55" t="n">
        <x:v>30671</x:v>
      </x:c>
      <x:c r="L497" s="55" t="n">
        <x:v>5574</x:v>
      </x:c>
      <x:c r="M497" s="55" t="n">
        <x:v>1086</x:v>
      </x:c>
      <x:c r="N497" s="55" t="n">
        <x:v>2669</x:v>
      </x:c>
      <x:c r="O497" s="55" t="n">
        <x:v>1819</x:v>
      </x:c>
      <x:c r="P497" s="55" t="n">
        <x:v>839</x:v>
      </x:c>
      <x:c r="Q497" s="55" t="n">
        <x:v>1904</x:v>
      </x:c>
      <x:c r="R497" s="55" t="n">
        <x:v>1556</x:v>
      </x:c>
      <x:c r="S497" s="55" t="n">
        <x:v>2144</x:v>
      </x:c>
      <x:c r="T497" s="55" t="n">
        <x:v>1008</x:v>
      </x:c>
      <x:c r="U497" s="55" t="n">
        <x:v>1956</x:v>
      </x:c>
      <x:c r="V497" s="55" t="n">
        <x:v>10785</x:v>
      </x:c>
      <x:c r="W497" s="55" t="n">
        <x:v>7443</x:v>
      </x:c>
      <x:c r="X497" s="55" t="n">
        <x:v>3342</x:v>
      </x:c>
      <x:c r="Y497" s="55" t="n">
        <x:v>3001</x:v>
      </x:c>
      <x:c r="Z497" s="55" t="n">
        <x:v>4217</x:v>
      </x:c>
      <x:c r="AA497" s="55" t="n">
        <x:v>3014</x:v>
      </x:c>
      <x:c r="AB497" s="55" t="n">
        <x:v>1097</x:v>
      </x:c>
      <x:c r="AC497" s="55" t="n">
        <x:v>7712</x:v>
      </x:c>
      <x:c r="AD497" s="55" t="n">
        <x:v>3482</x:v>
      </x:c>
      <x:c r="AE497" s="55" t="n">
        <x:v>10868</x:v>
      </x:c>
      <x:c r="AF497" s="55" t="n">
        <x:v>10785</x:v>
      </x:c>
      <x:c r="AG497" s="55" t="n">
        <x:v>83</x:v>
      </x:c>
      <x:c r="AH497" s="55" t="n">
        <x:v>578</x:v>
      </x:c>
      <x:c r="AI497" s="55" t="n">
        <x:v>10207</x:v>
      </x:c>
      <x:c r="AJ497" s="55" t="n">
        <x:v>445</x:v>
      </x:c>
      <x:c r="AK497" s="55" t="n">
        <x:v>885</x:v>
      </x:c>
      <x:c r="AL497" s="55" t="n">
        <x:v>1530</x:v>
      </x:c>
      <x:c r="AM497" s="55" t="n">
        <x:v>5084</x:v>
      </x:c>
      <x:c r="AN497" s="55" t="n">
        <x:v>2796</x:v>
      </x:c>
      <x:c r="AO497" s="55" t="n">
        <x:v>45</x:v>
      </x:c>
      <x:c r="AP497" s="55" t="n">
        <x:v>2175</x:v>
      </x:c>
      <x:c r="AQ497" s="55" t="n">
        <x:v>963</x:v>
      </x:c>
    </x:row>
    <x:row r="498">
      <x:c r="A498" s="54" t="str">
        <x:v>T2_CONCORDANT_DOMAIN</x:v>
      </x:c>
      <x:c r="B498" s="54" t="n">
        <x:v>492</x:v>
      </x:c>
      <x:c r="C498" s="54" t="str">
        <x:v>NYC-V2-R01</x:v>
      </x:c>
      <x:c r="D498" s="54" t="str">
        <x:v>V2</x:v>
      </x:c>
      <x:c r="E498" s="54" t="str">
        <x:v>ADMITTED</x:v>
      </x:c>
      <x:c r="F498" s="55" t="n">
        <x:v>29715</x:v>
      </x:c>
      <x:c r="G498" s="55" t="n">
        <x:v>7064</x:v>
      </x:c>
      <x:c r="H498" s="55" t="n">
        <x:v>3249</x:v>
      </x:c>
      <x:c r="I498" s="55" t="n">
        <x:v>1377</x:v>
      </x:c>
      <x:c r="J498" s="55" t="n">
        <x:v>302</x:v>
      </x:c>
      <x:c r="K498" s="55" t="n">
        <x:v>28439</x:v>
      </x:c>
      <x:c r="L498" s="55" t="n">
        <x:v>3702</x:v>
      </x:c>
      <x:c r="M498" s="55" t="n">
        <x:v>345</x:v>
      </x:c>
      <x:c r="N498" s="55" t="n">
        <x:v>2096</x:v>
      </x:c>
      <x:c r="O498" s="55" t="n">
        <x:v>1261</x:v>
      </x:c>
      <x:c r="P498" s="55" t="n">
        <x:v>855</x:v>
      </x:c>
      <x:c r="Q498" s="55" t="n">
        <x:v>2353</x:v>
      </x:c>
      <x:c r="R498" s="55" t="n">
        <x:v>1564</x:v>
      </x:c>
      <x:c r="S498" s="55" t="n">
        <x:v>1970</x:v>
      </x:c>
      <x:c r="T498" s="55" t="n">
        <x:v>967</x:v>
      </x:c>
      <x:c r="U498" s="55" t="n">
        <x:v>2073</x:v>
      </x:c>
      <x:c r="V498" s="55" t="n">
        <x:v>10238</x:v>
      </x:c>
      <x:c r="W498" s="55" t="n">
        <x:v>7485</x:v>
      </x:c>
      <x:c r="X498" s="55" t="n">
        <x:v>2753</x:v>
      </x:c>
      <x:c r="Y498" s="55" t="n">
        <x:v>2488</x:v>
      </x:c>
      <x:c r="Z498" s="55" t="n">
        <x:v>3478</x:v>
      </x:c>
      <x:c r="AA498" s="55" t="n">
        <x:v>3249</x:v>
      </x:c>
      <x:c r="AB498" s="55" t="n">
        <x:v>1262</x:v>
      </x:c>
      <x:c r="AC498" s="55" t="n">
        <x:v>7589</x:v>
      </x:c>
      <x:c r="AD498" s="55" t="n">
        <x:v>2424</x:v>
      </x:c>
      <x:c r="AE498" s="55" t="n">
        <x:v>10274</x:v>
      </x:c>
      <x:c r="AF498" s="55" t="n">
        <x:v>10238</x:v>
      </x:c>
      <x:c r="AG498" s="55" t="n">
        <x:v>36</x:v>
      </x:c>
      <x:c r="AH498" s="55" t="n">
        <x:v>412</x:v>
      </x:c>
      <x:c r="AI498" s="55" t="n">
        <x:v>9826</x:v>
      </x:c>
      <x:c r="AJ498" s="55" t="n">
        <x:v>412</x:v>
      </x:c>
      <x:c r="AK498" s="55" t="n">
        <x:v>1125</x:v>
      </x:c>
      <x:c r="AL498" s="55" t="n">
        <x:v>1519</x:v>
      </x:c>
      <x:c r="AM498" s="55" t="n">
        <x:v>4709</x:v>
      </x:c>
      <x:c r="AN498" s="55" t="n">
        <x:v>2473</x:v>
      </x:c>
      <x:c r="AO498" s="55" t="n">
        <x:v>0</x:v>
      </x:c>
      <x:c r="AP498" s="55" t="n">
        <x:v>2080</x:v>
      </x:c>
      <x:c r="AQ498" s="55" t="n">
        <x:v>958</x:v>
      </x:c>
    </x:row>
    <x:row r="499">
      <x:c r="A499" s="54" t="str">
        <x:v>T2_CONCORDANT_DOMAIN</x:v>
      </x:c>
      <x:c r="B499" s="54" t="n">
        <x:v>493</x:v>
      </x:c>
      <x:c r="C499" s="54" t="str">
        <x:v>NYC-V2-R01</x:v>
      </x:c>
      <x:c r="D499" s="54" t="str">
        <x:v>V2</x:v>
      </x:c>
      <x:c r="E499" s="54" t="str">
        <x:v>ADMITTED</x:v>
      </x:c>
      <x:c r="F499" s="55" t="n">
        <x:v>29222</x:v>
      </x:c>
      <x:c r="G499" s="55" t="n">
        <x:v>7332</x:v>
      </x:c>
      <x:c r="H499" s="55" t="n">
        <x:v>3313</x:v>
      </x:c>
      <x:c r="I499" s="55" t="n">
        <x:v>1417</x:v>
      </x:c>
      <x:c r="J499" s="55" t="n">
        <x:v>131</x:v>
      </x:c>
      <x:c r="K499" s="55" t="n">
        <x:v>26682</x:v>
      </x:c>
      <x:c r="L499" s="55" t="n">
        <x:v>4290</x:v>
      </x:c>
      <x:c r="M499" s="55" t="n">
        <x:v>520</x:v>
      </x:c>
      <x:c r="N499" s="55" t="n">
        <x:v>2554</x:v>
      </x:c>
      <x:c r="O499" s="55" t="n">
        <x:v>1216</x:v>
      </x:c>
      <x:c r="P499" s="55" t="n">
        <x:v>353</x:v>
      </x:c>
      <x:c r="Q499" s="55" t="n">
        <x:v>2218</x:v>
      </x:c>
      <x:c r="R499" s="55" t="n">
        <x:v>1378</x:v>
      </x:c>
      <x:c r="S499" s="55" t="n">
        <x:v>2842</x:v>
      </x:c>
      <x:c r="T499" s="55" t="n">
        <x:v>875</x:v>
      </x:c>
      <x:c r="U499" s="55" t="n">
        <x:v>1672</x:v>
      </x:c>
      <x:c r="V499" s="55" t="n">
        <x:v>10532</x:v>
      </x:c>
      <x:c r="W499" s="55" t="n">
        <x:v>7628</x:v>
      </x:c>
      <x:c r="X499" s="55" t="n">
        <x:v>2904</x:v>
      </x:c>
      <x:c r="Y499" s="55" t="n">
        <x:v>2576</x:v>
      </x:c>
      <x:c r="Z499" s="55" t="n">
        <x:v>3778</x:v>
      </x:c>
      <x:c r="AA499" s="55" t="n">
        <x:v>3218</x:v>
      </x:c>
      <x:c r="AB499" s="55" t="n">
        <x:v>1386</x:v>
      </x:c>
      <x:c r="AC499" s="55" t="n">
        <x:v>7842</x:v>
      </x:c>
      <x:c r="AD499" s="55" t="n">
        <x:v>3555</x:v>
      </x:c>
      <x:c r="AE499" s="55" t="n">
        <x:v>10620</x:v>
      </x:c>
      <x:c r="AF499" s="55" t="n">
        <x:v>10532</x:v>
      </x:c>
      <x:c r="AG499" s="55" t="n">
        <x:v>88</x:v>
      </x:c>
      <x:c r="AH499" s="55" t="n">
        <x:v>610</x:v>
      </x:c>
      <x:c r="AI499" s="55" t="n">
        <x:v>9922</x:v>
      </x:c>
      <x:c r="AJ499" s="55" t="n">
        <x:v>221</x:v>
      </x:c>
      <x:c r="AK499" s="55" t="n">
        <x:v>880</x:v>
      </x:c>
      <x:c r="AL499" s="55" t="n">
        <x:v>1435</x:v>
      </x:c>
      <x:c r="AM499" s="55" t="n">
        <x:v>4970</x:v>
      </x:c>
      <x:c r="AN499" s="55" t="n">
        <x:v>3026</x:v>
      </x:c>
      <x:c r="AO499" s="55" t="n">
        <x:v>0</x:v>
      </x:c>
      <x:c r="AP499" s="55" t="n">
        <x:v>2037</x:v>
      </x:c>
      <x:c r="AQ499" s="55" t="n">
        <x:v>984</x:v>
      </x:c>
    </x:row>
    <x:row r="500">
      <x:c r="A500" s="54" t="str">
        <x:v>T2_CONCORDANT_DOMAIN</x:v>
      </x:c>
      <x:c r="B500" s="54" t="n">
        <x:v>494</x:v>
      </x:c>
      <x:c r="C500" s="54" t="str">
        <x:v>NYC-V2-R01</x:v>
      </x:c>
      <x:c r="D500" s="54" t="str">
        <x:v>V2</x:v>
      </x:c>
      <x:c r="E500" s="54" t="str">
        <x:v>ADMITTED</x:v>
      </x:c>
      <x:c r="F500" s="55" t="n">
        <x:v>31215</x:v>
      </x:c>
      <x:c r="G500" s="55" t="n">
        <x:v>8042</x:v>
      </x:c>
      <x:c r="H500" s="55" t="n">
        <x:v>3186</x:v>
      </x:c>
      <x:c r="I500" s="55" t="n">
        <x:v>1049</x:v>
      </x:c>
      <x:c r="J500" s="55" t="n">
        <x:v>213</x:v>
      </x:c>
      <x:c r="K500" s="55" t="n">
        <x:v>29481</x:v>
      </x:c>
      <x:c r="L500" s="55" t="n">
        <x:v>5678</x:v>
      </x:c>
      <x:c r="M500" s="55" t="n">
        <x:v>1194</x:v>
      </x:c>
      <x:c r="N500" s="55" t="n">
        <x:v>2611</x:v>
      </x:c>
      <x:c r="O500" s="55" t="n">
        <x:v>1873</x:v>
      </x:c>
      <x:c r="P500" s="55" t="n">
        <x:v>453</x:v>
      </x:c>
      <x:c r="Q500" s="55" t="n">
        <x:v>2468</x:v>
      </x:c>
      <x:c r="R500" s="55" t="n">
        <x:v>1871</x:v>
      </x:c>
      <x:c r="S500" s="55" t="n">
        <x:v>2902</x:v>
      </x:c>
      <x:c r="T500" s="55" t="n">
        <x:v>935</x:v>
      </x:c>
      <x:c r="U500" s="55" t="n">
        <x:v>2442</x:v>
      </x:c>
      <x:c r="V500" s="55" t="n">
        <x:v>11607</x:v>
      </x:c>
      <x:c r="W500" s="55" t="n">
        <x:v>8843</x:v>
      </x:c>
      <x:c r="X500" s="55" t="n">
        <x:v>2764</x:v>
      </x:c>
      <x:c r="Y500" s="55" t="n">
        <x:v>2338</x:v>
      </x:c>
      <x:c r="Z500" s="55" t="n">
        <x:v>3099</x:v>
      </x:c>
      <x:c r="AA500" s="55" t="n">
        <x:v>2562</x:v>
      </x:c>
      <x:c r="AB500" s="55" t="n">
        <x:v>1110</x:v>
      </x:c>
      <x:c r="AC500" s="55" t="n">
        <x:v>7678</x:v>
      </x:c>
      <x:c r="AD500" s="55" t="n">
        <x:v>2947</x:v>
      </x:c>
      <x:c r="AE500" s="55" t="n">
        <x:v>11662</x:v>
      </x:c>
      <x:c r="AF500" s="55" t="n">
        <x:v>11607</x:v>
      </x:c>
      <x:c r="AG500" s="55" t="n">
        <x:v>55</x:v>
      </x:c>
      <x:c r="AH500" s="55" t="n">
        <x:v>658</x:v>
      </x:c>
      <x:c r="AI500" s="55" t="n">
        <x:v>10949</x:v>
      </x:c>
      <x:c r="AJ500" s="55" t="n">
        <x:v>363</x:v>
      </x:c>
      <x:c r="AK500" s="55" t="n">
        <x:v>846</x:v>
      </x:c>
      <x:c r="AL500" s="55" t="n">
        <x:v>1901</x:v>
      </x:c>
      <x:c r="AM500" s="55" t="n">
        <x:v>5225</x:v>
      </x:c>
      <x:c r="AN500" s="55" t="n">
        <x:v>3203</x:v>
      </x:c>
      <x:c r="AO500" s="55" t="n">
        <x:v>69</x:v>
      </x:c>
      <x:c r="AP500" s="55" t="n">
        <x:v>2819</x:v>
      </x:c>
      <x:c r="AQ500" s="55" t="n">
        <x:v>957</x:v>
      </x:c>
    </x:row>
    <x:row r="501">
      <x:c r="A501" s="54" t="str">
        <x:v>T2_CONCORDANT_DOMAIN</x:v>
      </x:c>
      <x:c r="B501" s="54" t="n">
        <x:v>495</x:v>
      </x:c>
      <x:c r="C501" s="54" t="str">
        <x:v>NYC-V2-R01</x:v>
      </x:c>
      <x:c r="D501" s="54" t="str">
        <x:v>V2</x:v>
      </x:c>
      <x:c r="E501" s="54" t="str">
        <x:v>ADMITTED</x:v>
      </x:c>
      <x:c r="F501" s="55" t="n">
        <x:v>30972</x:v>
      </x:c>
      <x:c r="G501" s="55" t="n">
        <x:v>7811</x:v>
      </x:c>
      <x:c r="H501" s="55" t="n">
        <x:v>3237</x:v>
      </x:c>
      <x:c r="I501" s="55" t="n">
        <x:v>1310</x:v>
      </x:c>
      <x:c r="J501" s="55" t="n">
        <x:v>54</x:v>
      </x:c>
      <x:c r="K501" s="55" t="n">
        <x:v>29737</x:v>
      </x:c>
      <x:c r="L501" s="55" t="n">
        <x:v>4980</x:v>
      </x:c>
      <x:c r="M501" s="55" t="n">
        <x:v>1096</x:v>
      </x:c>
      <x:c r="N501" s="55" t="n">
        <x:v>2108</x:v>
      </x:c>
      <x:c r="O501" s="55" t="n">
        <x:v>1776</x:v>
      </x:c>
      <x:c r="P501" s="55" t="n">
        <x:v>638</x:v>
      </x:c>
      <x:c r="Q501" s="55" t="n">
        <x:v>2340</x:v>
      </x:c>
      <x:c r="R501" s="55" t="n">
        <x:v>1525</x:v>
      </x:c>
      <x:c r="S501" s="55" t="n">
        <x:v>2722</x:v>
      </x:c>
      <x:c r="T501" s="55" t="n">
        <x:v>1251</x:v>
      </x:c>
      <x:c r="U501" s="55" t="n">
        <x:v>1916</x:v>
      </x:c>
      <x:c r="V501" s="55" t="n">
        <x:v>10180</x:v>
      </x:c>
      <x:c r="W501" s="55" t="n">
        <x:v>7561</x:v>
      </x:c>
      <x:c r="X501" s="55" t="n">
        <x:v>2619</x:v>
      </x:c>
      <x:c r="Y501" s="55" t="n">
        <x:v>2358</x:v>
      </x:c>
      <x:c r="Z501" s="55" t="n">
        <x:v>4355</x:v>
      </x:c>
      <x:c r="AA501" s="55" t="n">
        <x:v>2639</x:v>
      </x:c>
      <x:c r="AB501" s="55" t="n">
        <x:v>729</x:v>
      </x:c>
      <x:c r="AC501" s="55" t="n">
        <x:v>7745</x:v>
      </x:c>
      <x:c r="AD501" s="55" t="n">
        <x:v>3109</x:v>
      </x:c>
      <x:c r="AE501" s="55" t="n">
        <x:v>10267</x:v>
      </x:c>
      <x:c r="AF501" s="55" t="n">
        <x:v>10180</x:v>
      </x:c>
      <x:c r="AG501" s="55" t="n">
        <x:v>87</x:v>
      </x:c>
      <x:c r="AH501" s="55" t="n">
        <x:v>568</x:v>
      </x:c>
      <x:c r="AI501" s="55" t="n">
        <x:v>9612</x:v>
      </x:c>
      <x:c r="AJ501" s="55" t="n">
        <x:v>344</x:v>
      </x:c>
      <x:c r="AK501" s="55" t="n">
        <x:v>790</x:v>
      </x:c>
      <x:c r="AL501" s="55" t="n">
        <x:v>1285</x:v>
      </x:c>
      <x:c r="AM501" s="55" t="n">
        <x:v>4819</x:v>
      </x:c>
      <x:c r="AN501" s="55" t="n">
        <x:v>2935</x:v>
      </x:c>
      <x:c r="AO501" s="55" t="n">
        <x:v>7</x:v>
      </x:c>
      <x:c r="AP501" s="55" t="n">
        <x:v>2454</x:v>
      </x:c>
      <x:c r="AQ501" s="55" t="n">
        <x:v>955</x:v>
      </x:c>
    </x:row>
    <x:row r="502">
      <x:c r="A502" s="54" t="str">
        <x:v>T2_CONCORDANT_DOMAIN</x:v>
      </x:c>
      <x:c r="B502" s="54" t="n">
        <x:v>496</x:v>
      </x:c>
      <x:c r="C502" s="54" t="str">
        <x:v>NYC-V2-R01</x:v>
      </x:c>
      <x:c r="D502" s="54" t="str">
        <x:v>V2</x:v>
      </x:c>
      <x:c r="E502" s="54" t="str">
        <x:v>ADMITTED</x:v>
      </x:c>
      <x:c r="F502" s="55" t="n">
        <x:v>32895</x:v>
      </x:c>
      <x:c r="G502" s="55" t="n">
        <x:v>8381</x:v>
      </x:c>
      <x:c r="H502" s="55" t="n">
        <x:v>3711</x:v>
      </x:c>
      <x:c r="I502" s="55" t="n">
        <x:v>1529</x:v>
      </x:c>
      <x:c r="J502" s="55" t="n">
        <x:v>274</x:v>
      </x:c>
      <x:c r="K502" s="55" t="n">
        <x:v>32895</x:v>
      </x:c>
      <x:c r="L502" s="55" t="n">
        <x:v>7471</x:v>
      </x:c>
      <x:c r="M502" s="55" t="n">
        <x:v>2442</x:v>
      </x:c>
      <x:c r="N502" s="55" t="n">
        <x:v>3292</x:v>
      </x:c>
      <x:c r="O502" s="55" t="n">
        <x:v>1737</x:v>
      </x:c>
      <x:c r="P502" s="55" t="n">
        <x:v>882</x:v>
      </x:c>
      <x:c r="Q502" s="55" t="n">
        <x:v>2048</x:v>
      </x:c>
      <x:c r="R502" s="55" t="n">
        <x:v>1531</x:v>
      </x:c>
      <x:c r="S502" s="55" t="n">
        <x:v>3312</x:v>
      </x:c>
      <x:c r="T502" s="55" t="n">
        <x:v>1090</x:v>
      </x:c>
      <x:c r="U502" s="55" t="n">
        <x:v>2391</x:v>
      </x:c>
      <x:c r="V502" s="55" t="n">
        <x:v>10979</x:v>
      </x:c>
      <x:c r="W502" s="55" t="n">
        <x:v>7523</x:v>
      </x:c>
      <x:c r="X502" s="55" t="n">
        <x:v>3456</x:v>
      </x:c>
      <x:c r="Y502" s="55" t="n">
        <x:v>3121</x:v>
      </x:c>
      <x:c r="Z502" s="55" t="n">
        <x:v>4238</x:v>
      </x:c>
      <x:c r="AA502" s="55" t="n">
        <x:v>3299</x:v>
      </x:c>
      <x:c r="AB502" s="55" t="n">
        <x:v>1236</x:v>
      </x:c>
      <x:c r="AC502" s="55" t="n">
        <x:v>8688</x:v>
      </x:c>
      <x:c r="AD502" s="55" t="n">
        <x:v>3303</x:v>
      </x:c>
      <x:c r="AE502" s="55" t="n">
        <x:v>11021</x:v>
      </x:c>
      <x:c r="AF502" s="55" t="n">
        <x:v>10979</x:v>
      </x:c>
      <x:c r="AG502" s="55" t="n">
        <x:v>42</x:v>
      </x:c>
      <x:c r="AH502" s="55" t="n">
        <x:v>482</x:v>
      </x:c>
      <x:c r="AI502" s="55" t="n">
        <x:v>10497</x:v>
      </x:c>
      <x:c r="AJ502" s="55" t="n">
        <x:v>314</x:v>
      </x:c>
      <x:c r="AK502" s="55" t="n">
        <x:v>740</x:v>
      </x:c>
      <x:c r="AL502" s="55" t="n">
        <x:v>1270</x:v>
      </x:c>
      <x:c r="AM502" s="55" t="n">
        <x:v>5530</x:v>
      </x:c>
      <x:c r="AN502" s="55" t="n">
        <x:v>3125</x:v>
      </x:c>
      <x:c r="AO502" s="55" t="n">
        <x:v>0</x:v>
      </x:c>
      <x:c r="AP502" s="55" t="n">
        <x:v>2219</x:v>
      </x:c>
      <x:c r="AQ502" s="55" t="n">
        <x:v>1001</x:v>
      </x:c>
    </x:row>
    <x:row r="503">
      <x:c r="A503" s="54" t="str">
        <x:v>T2_CONCORDANT_DOMAIN</x:v>
      </x:c>
      <x:c r="B503" s="54" t="n">
        <x:v>497</x:v>
      </x:c>
      <x:c r="C503" s="54" t="str">
        <x:v>NYC-V2-R01</x:v>
      </x:c>
      <x:c r="D503" s="54" t="str">
        <x:v>V2</x:v>
      </x:c>
      <x:c r="E503" s="54" t="str">
        <x:v>ADMITTED</x:v>
      </x:c>
      <x:c r="F503" s="55" t="n">
        <x:v>33616</x:v>
      </x:c>
      <x:c r="G503" s="55" t="n">
        <x:v>9016</x:v>
      </x:c>
      <x:c r="H503" s="55" t="n">
        <x:v>3467</x:v>
      </x:c>
      <x:c r="I503" s="55" t="n">
        <x:v>1282</x:v>
      </x:c>
      <x:c r="J503" s="55" t="n">
        <x:v>372</x:v>
      </x:c>
      <x:c r="K503" s="55" t="n">
        <x:v>29902</x:v>
      </x:c>
      <x:c r="L503" s="55" t="n">
        <x:v>5794</x:v>
      </x:c>
      <x:c r="M503" s="55" t="n">
        <x:v>1654</x:v>
      </x:c>
      <x:c r="N503" s="55" t="n">
        <x:v>2718</x:v>
      </x:c>
      <x:c r="O503" s="55" t="n">
        <x:v>1422</x:v>
      </x:c>
      <x:c r="P503" s="55" t="n">
        <x:v>740</x:v>
      </x:c>
      <x:c r="Q503" s="55" t="n">
        <x:v>1876</x:v>
      </x:c>
      <x:c r="R503" s="55" t="n">
        <x:v>1512</x:v>
      </x:c>
      <x:c r="S503" s="55" t="n">
        <x:v>2659</x:v>
      </x:c>
      <x:c r="T503" s="55" t="n">
        <x:v>541</x:v>
      </x:c>
      <x:c r="U503" s="55" t="n">
        <x:v>2177</x:v>
      </x:c>
      <x:c r="V503" s="55" t="n">
        <x:v>9323</x:v>
      </x:c>
      <x:c r="W503" s="55" t="n">
        <x:v>6649</x:v>
      </x:c>
      <x:c r="X503" s="55" t="n">
        <x:v>2674</x:v>
      </x:c>
      <x:c r="Y503" s="55" t="n">
        <x:v>2312</x:v>
      </x:c>
      <x:c r="Z503" s="55" t="n">
        <x:v>3318</x:v>
      </x:c>
      <x:c r="AA503" s="55" t="n">
        <x:v>2872</x:v>
      </x:c>
      <x:c r="AB503" s="55" t="n">
        <x:v>1019</x:v>
      </x:c>
      <x:c r="AC503" s="55" t="n">
        <x:v>7517</x:v>
      </x:c>
      <x:c r="AD503" s="55" t="n">
        <x:v>2915</x:v>
      </x:c>
      <x:c r="AE503" s="55" t="n">
        <x:v>9422</x:v>
      </x:c>
      <x:c r="AF503" s="55" t="n">
        <x:v>9323</x:v>
      </x:c>
      <x:c r="AG503" s="55" t="n">
        <x:v>99</x:v>
      </x:c>
      <x:c r="AH503" s="55" t="n">
        <x:v>255</x:v>
      </x:c>
      <x:c r="AI503" s="55" t="n">
        <x:v>9068</x:v>
      </x:c>
      <x:c r="AJ503" s="55" t="n">
        <x:v>193</x:v>
      </x:c>
      <x:c r="AK503" s="55" t="n">
        <x:v>874</x:v>
      </x:c>
      <x:c r="AL503" s="55" t="n">
        <x:v>1739</x:v>
      </x:c>
      <x:c r="AM503" s="55" t="n">
        <x:v>4063</x:v>
      </x:c>
      <x:c r="AN503" s="55" t="n">
        <x:v>2454</x:v>
      </x:c>
      <x:c r="AO503" s="55" t="n">
        <x:v>0</x:v>
      </x:c>
      <x:c r="AP503" s="55" t="n">
        <x:v>1911</x:v>
      </x:c>
      <x:c r="AQ503" s="55" t="n">
        <x:v>931</x:v>
      </x:c>
    </x:row>
    <x:row r="504">
      <x:c r="A504" s="54" t="str">
        <x:v>T2_CONCORDANT_DOMAIN</x:v>
      </x:c>
      <x:c r="B504" s="54" t="n">
        <x:v>498</x:v>
      </x:c>
      <x:c r="C504" s="54" t="str">
        <x:v>NYC-V2-R01</x:v>
      </x:c>
      <x:c r="D504" s="54" t="str">
        <x:v>V2</x:v>
      </x:c>
      <x:c r="E504" s="54" t="str">
        <x:v>ADMITTED</x:v>
      </x:c>
      <x:c r="F504" s="55" t="n">
        <x:v>32845</x:v>
      </x:c>
      <x:c r="G504" s="55" t="n">
        <x:v>7883</x:v>
      </x:c>
      <x:c r="H504" s="55" t="n">
        <x:v>3482</x:v>
      </x:c>
      <x:c r="I504" s="55" t="n">
        <x:v>1240</x:v>
      </x:c>
      <x:c r="J504" s="55" t="n">
        <x:v>319</x:v>
      </x:c>
      <x:c r="K504" s="55" t="n">
        <x:v>32417</x:v>
      </x:c>
      <x:c r="L504" s="55" t="n">
        <x:v>6260</x:v>
      </x:c>
      <x:c r="M504" s="55" t="n">
        <x:v>1558</x:v>
      </x:c>
      <x:c r="N504" s="55" t="n">
        <x:v>2888</x:v>
      </x:c>
      <x:c r="O504" s="55" t="n">
        <x:v>1814</x:v>
      </x:c>
      <x:c r="P504" s="55" t="n">
        <x:v>966</x:v>
      </x:c>
      <x:c r="Q504" s="55" t="n">
        <x:v>2542</x:v>
      </x:c>
      <x:c r="R504" s="55" t="n">
        <x:v>2049</x:v>
      </x:c>
      <x:c r="S504" s="55" t="n">
        <x:v>3070</x:v>
      </x:c>
      <x:c r="T504" s="55" t="n">
        <x:v>1345</x:v>
      </x:c>
      <x:c r="U504" s="55" t="n">
        <x:v>1932</x:v>
      </x:c>
      <x:c r="V504" s="55" t="n">
        <x:v>10243</x:v>
      </x:c>
      <x:c r="W504" s="55" t="n">
        <x:v>6876</x:v>
      </x:c>
      <x:c r="X504" s="55" t="n">
        <x:v>3367</x:v>
      </x:c>
      <x:c r="Y504" s="55" t="n">
        <x:v>2949</x:v>
      </x:c>
      <x:c r="Z504" s="55" t="n">
        <x:v>3687</x:v>
      </x:c>
      <x:c r="AA504" s="55" t="n">
        <x:v>3482</x:v>
      </x:c>
      <x:c r="AB504" s="55" t="n">
        <x:v>1112</x:v>
      </x:c>
      <x:c r="AC504" s="55" t="n">
        <x:v>8281</x:v>
      </x:c>
      <x:c r="AD504" s="55" t="n">
        <x:v>3203</x:v>
      </x:c>
      <x:c r="AE504" s="55" t="n">
        <x:v>10337</x:v>
      </x:c>
      <x:c r="AF504" s="55" t="n">
        <x:v>10243</x:v>
      </x:c>
      <x:c r="AG504" s="55" t="n">
        <x:v>94</x:v>
      </x:c>
      <x:c r="AH504" s="55" t="n">
        <x:v>350</x:v>
      </x:c>
      <x:c r="AI504" s="55" t="n">
        <x:v>9893</x:v>
      </x:c>
      <x:c r="AJ504" s="55" t="n">
        <x:v>315</x:v>
      </x:c>
      <x:c r="AK504" s="55" t="n">
        <x:v>1109</x:v>
      </x:c>
      <x:c r="AL504" s="55" t="n">
        <x:v>1517</x:v>
      </x:c>
      <x:c r="AM504" s="55" t="n">
        <x:v>4379</x:v>
      </x:c>
      <x:c r="AN504" s="55" t="n">
        <x:v>2923</x:v>
      </x:c>
      <x:c r="AO504" s="55" t="n">
        <x:v>0</x:v>
      </x:c>
      <x:c r="AP504" s="55" t="n">
        <x:v>2254</x:v>
      </x:c>
      <x:c r="AQ504" s="55" t="n">
        <x:v>946</x:v>
      </x:c>
    </x:row>
    <x:row r="505">
      <x:c r="A505" s="54" t="str">
        <x:v>T2_CONCORDANT_DOMAIN</x:v>
      </x:c>
      <x:c r="B505" s="54" t="n">
        <x:v>499</x:v>
      </x:c>
      <x:c r="C505" s="54" t="str">
        <x:v>NYC-V2-R01</x:v>
      </x:c>
      <x:c r="D505" s="54" t="str">
        <x:v>V2</x:v>
      </x:c>
      <x:c r="E505" s="54" t="str">
        <x:v>ADMITTED</x:v>
      </x:c>
      <x:c r="F505" s="55" t="n">
        <x:v>30026</x:v>
      </x:c>
      <x:c r="G505" s="55" t="n">
        <x:v>6470</x:v>
      </x:c>
      <x:c r="H505" s="55" t="n">
        <x:v>3721</x:v>
      </x:c>
      <x:c r="I505" s="55" t="n">
        <x:v>1130</x:v>
      </x:c>
      <x:c r="J505" s="55" t="n">
        <x:v>252</x:v>
      </x:c>
      <x:c r="K505" s="55" t="n">
        <x:v>30026</x:v>
      </x:c>
      <x:c r="L505" s="55" t="n">
        <x:v>4967</x:v>
      </x:c>
      <x:c r="M505" s="55" t="n">
        <x:v>855</x:v>
      </x:c>
      <x:c r="N505" s="55" t="n">
        <x:v>2780</x:v>
      </x:c>
      <x:c r="O505" s="55" t="n">
        <x:v>1332</x:v>
      </x:c>
      <x:c r="P505" s="55" t="n">
        <x:v>125</x:v>
      </x:c>
      <x:c r="Q505" s="55" t="n">
        <x:v>1832</x:v>
      </x:c>
      <x:c r="R505" s="55" t="n">
        <x:v>1820</x:v>
      </x:c>
      <x:c r="S505" s="55" t="n">
        <x:v>2278</x:v>
      </x:c>
      <x:c r="T505" s="55" t="n">
        <x:v>711</x:v>
      </x:c>
      <x:c r="U505" s="55" t="n">
        <x:v>1631</x:v>
      </x:c>
      <x:c r="V505" s="55" t="n">
        <x:v>10369</x:v>
      </x:c>
      <x:c r="W505" s="55" t="n">
        <x:v>7331</x:v>
      </x:c>
      <x:c r="X505" s="55" t="n">
        <x:v>3038</x:v>
      </x:c>
      <x:c r="Y505" s="55" t="n">
        <x:v>2802</x:v>
      </x:c>
      <x:c r="Z505" s="55" t="n">
        <x:v>3848</x:v>
      </x:c>
      <x:c r="AA505" s="55" t="n">
        <x:v>3360</x:v>
      </x:c>
      <x:c r="AB505" s="55" t="n">
        <x:v>1154</x:v>
      </x:c>
      <x:c r="AC505" s="55" t="n">
        <x:v>7636</x:v>
      </x:c>
      <x:c r="AD505" s="55" t="n">
        <x:v>2688</x:v>
      </x:c>
      <x:c r="AE505" s="55" t="n">
        <x:v>10442</x:v>
      </x:c>
      <x:c r="AF505" s="55" t="n">
        <x:v>10369</x:v>
      </x:c>
      <x:c r="AG505" s="55" t="n">
        <x:v>73</x:v>
      </x:c>
      <x:c r="AH505" s="55" t="n">
        <x:v>195</x:v>
      </x:c>
      <x:c r="AI505" s="55" t="n">
        <x:v>10174</x:v>
      </x:c>
      <x:c r="AJ505" s="55" t="n">
        <x:v>293</x:v>
      </x:c>
      <x:c r="AK505" s="55" t="n">
        <x:v>960</x:v>
      </x:c>
      <x:c r="AL505" s="55" t="n">
        <x:v>1246</x:v>
      </x:c>
      <x:c r="AM505" s="55" t="n">
        <x:v>4739</x:v>
      </x:c>
      <x:c r="AN505" s="55" t="n">
        <x:v>3131</x:v>
      </x:c>
      <x:c r="AO505" s="55" t="n">
        <x:v>0</x:v>
      </x:c>
      <x:c r="AP505" s="55" t="n">
        <x:v>2230</x:v>
      </x:c>
      <x:c r="AQ505" s="55" t="n">
        <x:v>941</x:v>
      </x:c>
    </x:row>
    <x:row r="506">
      <x:c r="A506" s="54" t="str">
        <x:v>T2_CONCORDANT_DOMAIN</x:v>
      </x:c>
      <x:c r="B506" s="54" t="n">
        <x:v>500</x:v>
      </x:c>
      <x:c r="C506" s="54" t="str">
        <x:v>NYC-V2-R01</x:v>
      </x:c>
      <x:c r="D506" s="54" t="str">
        <x:v>V2</x:v>
      </x:c>
      <x:c r="E506" s="54" t="str">
        <x:v>ADMITTED</x:v>
      </x:c>
      <x:c r="F506" s="55" t="n">
        <x:v>30194</x:v>
      </x:c>
      <x:c r="G506" s="55" t="n">
        <x:v>6554</x:v>
      </x:c>
      <x:c r="H506" s="55" t="n">
        <x:v>2822</x:v>
      </x:c>
      <x:c r="I506" s="55" t="n">
        <x:v>667</x:v>
      </x:c>
      <x:c r="J506" s="55" t="n">
        <x:v>0</x:v>
      </x:c>
      <x:c r="K506" s="55" t="n">
        <x:v>26686</x:v>
      </x:c>
      <x:c r="L506" s="55" t="n">
        <x:v>3651</x:v>
      </x:c>
      <x:c r="M506" s="55" t="n">
        <x:v>0</x:v>
      </x:c>
      <x:c r="N506" s="55" t="n">
        <x:v>2521</x:v>
      </x:c>
      <x:c r="O506" s="55" t="n">
        <x:v>1130</x:v>
      </x:c>
      <x:c r="P506" s="55" t="n">
        <x:v>868</x:v>
      </x:c>
      <x:c r="Q506" s="55" t="n">
        <x:v>1213</x:v>
      </x:c>
      <x:c r="R506" s="55" t="n">
        <x:v>948</x:v>
      </x:c>
      <x:c r="S506" s="55" t="n">
        <x:v>1857</x:v>
      </x:c>
      <x:c r="T506" s="55" t="n">
        <x:v>826</x:v>
      </x:c>
      <x:c r="U506" s="55" t="n">
        <x:v>1492</x:v>
      </x:c>
      <x:c r="V506" s="55" t="n">
        <x:v>9920</x:v>
      </x:c>
      <x:c r="W506" s="55" t="n">
        <x:v>7393</x:v>
      </x:c>
      <x:c r="X506" s="55" t="n">
        <x:v>2527</x:v>
      </x:c>
      <x:c r="Y506" s="55" t="n">
        <x:v>2233</x:v>
      </x:c>
      <x:c r="Z506" s="55" t="n">
        <x:v>2771</x:v>
      </x:c>
      <x:c r="AA506" s="55" t="n">
        <x:v>2822</x:v>
      </x:c>
      <x:c r="AB506" s="55" t="n">
        <x:v>572</x:v>
      </x:c>
      <x:c r="AC506" s="55" t="n">
        <x:v>7231</x:v>
      </x:c>
      <x:c r="AD506" s="55" t="n">
        <x:v>2373</x:v>
      </x:c>
      <x:c r="AE506" s="55" t="n">
        <x:v>9934</x:v>
      </x:c>
      <x:c r="AF506" s="55" t="n">
        <x:v>9920</x:v>
      </x:c>
      <x:c r="AG506" s="55" t="n">
        <x:v>14</x:v>
      </x:c>
      <x:c r="AH506" s="55" t="n">
        <x:v>183</x:v>
      </x:c>
      <x:c r="AI506" s="55" t="n">
        <x:v>9737</x:v>
      </x:c>
      <x:c r="AJ506" s="55" t="n">
        <x:v>181</x:v>
      </x:c>
      <x:c r="AK506" s="55" t="n">
        <x:v>706</x:v>
      </x:c>
      <x:c r="AL506" s="55" t="n">
        <x:v>1197</x:v>
      </x:c>
      <x:c r="AM506" s="55" t="n">
        <x:v>4981</x:v>
      </x:c>
      <x:c r="AN506" s="55" t="n">
        <x:v>2855</x:v>
      </x:c>
      <x:c r="AO506" s="55" t="n">
        <x:v>0</x:v>
      </x:c>
      <x:c r="AP506" s="55" t="n">
        <x:v>2657</x:v>
      </x:c>
      <x:c r="AQ506" s="55" t="n">
        <x:v>916</x:v>
      </x:c>
    </x:row>
    <x:row r="507">
      <x:c r="A507" s="54" t="str">
        <x:v>T2_CONCORDANT_DOMAIN</x:v>
      </x:c>
      <x:c r="B507" s="54" t="n">
        <x:v>501</x:v>
      </x:c>
      <x:c r="C507" s="54" t="str">
        <x:v>NYC-V2-R01</x:v>
      </x:c>
      <x:c r="D507" s="54" t="str">
        <x:v>V2</x:v>
      </x:c>
      <x:c r="E507" s="54" t="str">
        <x:v>ADMITTED</x:v>
      </x:c>
      <x:c r="F507" s="55" t="n">
        <x:v>29131</x:v>
      </x:c>
      <x:c r="G507" s="55" t="n">
        <x:v>6712</x:v>
      </x:c>
      <x:c r="H507" s="55" t="n">
        <x:v>3093</x:v>
      </x:c>
      <x:c r="I507" s="55" t="n">
        <x:v>928</x:v>
      </x:c>
      <x:c r="J507" s="55" t="n">
        <x:v>110</x:v>
      </x:c>
      <x:c r="K507" s="55" t="n">
        <x:v>28702</x:v>
      </x:c>
      <x:c r="L507" s="55" t="n">
        <x:v>5062</x:v>
      </x:c>
      <x:c r="M507" s="55" t="n">
        <x:v>238</x:v>
      </x:c>
      <x:c r="N507" s="55" t="n">
        <x:v>3091</x:v>
      </x:c>
      <x:c r="O507" s="55" t="n">
        <x:v>1733</x:v>
      </x:c>
      <x:c r="P507" s="55" t="n">
        <x:v>816</x:v>
      </x:c>
      <x:c r="Q507" s="55" t="n">
        <x:v>2350</x:v>
      </x:c>
      <x:c r="R507" s="55" t="n">
        <x:v>1499</x:v>
      </x:c>
      <x:c r="S507" s="55" t="n">
        <x:v>2570</x:v>
      </x:c>
      <x:c r="T507" s="55" t="n">
        <x:v>742</x:v>
      </x:c>
      <x:c r="U507" s="55" t="n">
        <x:v>1496</x:v>
      </x:c>
      <x:c r="V507" s="55" t="n">
        <x:v>10503</x:v>
      </x:c>
      <x:c r="W507" s="55" t="n">
        <x:v>7337</x:v>
      </x:c>
      <x:c r="X507" s="55" t="n">
        <x:v>3166</x:v>
      </x:c>
      <x:c r="Y507" s="55" t="n">
        <x:v>2642</x:v>
      </x:c>
      <x:c r="Z507" s="55" t="n">
        <x:v>4114</x:v>
      </x:c>
      <x:c r="AA507" s="55" t="n">
        <x:v>3073</x:v>
      </x:c>
      <x:c r="AB507" s="55" t="n">
        <x:v>1047</x:v>
      </x:c>
      <x:c r="AC507" s="55" t="n">
        <x:v>7650</x:v>
      </x:c>
      <x:c r="AD507" s="55" t="n">
        <x:v>3147</x:v>
      </x:c>
      <x:c r="AE507" s="55" t="n">
        <x:v>10587</x:v>
      </x:c>
      <x:c r="AF507" s="55" t="n">
        <x:v>10503</x:v>
      </x:c>
      <x:c r="AG507" s="55" t="n">
        <x:v>84</x:v>
      </x:c>
      <x:c r="AH507" s="55" t="n">
        <x:v>257</x:v>
      </x:c>
      <x:c r="AI507" s="55" t="n">
        <x:v>10246</x:v>
      </x:c>
      <x:c r="AJ507" s="55" t="n">
        <x:v>338</x:v>
      </x:c>
      <x:c r="AK507" s="55" t="n">
        <x:v>710</x:v>
      </x:c>
      <x:c r="AL507" s="55" t="n">
        <x:v>1528</x:v>
      </x:c>
      <x:c r="AM507" s="55" t="n">
        <x:v>4915</x:v>
      </x:c>
      <x:c r="AN507" s="55" t="n">
        <x:v>3012</x:v>
      </x:c>
      <x:c r="AO507" s="55" t="n">
        <x:v>0</x:v>
      </x:c>
      <x:c r="AP507" s="55" t="n">
        <x:v>2642</x:v>
      </x:c>
      <x:c r="AQ507" s="55" t="n">
        <x:v>980</x:v>
      </x:c>
    </x:row>
    <x:row r="508">
      <x:c r="A508" s="54" t="str">
        <x:v>T2_CONCORDANT_DOMAIN</x:v>
      </x:c>
      <x:c r="B508" s="54" t="n">
        <x:v>502</x:v>
      </x:c>
      <x:c r="C508" s="54" t="str">
        <x:v>NYC-V2-R01</x:v>
      </x:c>
      <x:c r="D508" s="54" t="str">
        <x:v>V2</x:v>
      </x:c>
      <x:c r="E508" s="54" t="str">
        <x:v>ADMITTED</x:v>
      </x:c>
      <x:c r="F508" s="55" t="n">
        <x:v>29296</x:v>
      </x:c>
      <x:c r="G508" s="55" t="n">
        <x:v>7308</x:v>
      </x:c>
      <x:c r="H508" s="55" t="n">
        <x:v>2792</x:v>
      </x:c>
      <x:c r="I508" s="55" t="n">
        <x:v>952</x:v>
      </x:c>
      <x:c r="J508" s="55" t="n">
        <x:v>0</x:v>
      </x:c>
      <x:c r="K508" s="55" t="n">
        <x:v>28801</x:v>
      </x:c>
      <x:c r="L508" s="55" t="n">
        <x:v>4829</x:v>
      </x:c>
      <x:c r="M508" s="55" t="n">
        <x:v>128</x:v>
      </x:c>
      <x:c r="N508" s="55" t="n">
        <x:v>2751</x:v>
      </x:c>
      <x:c r="O508" s="55" t="n">
        <x:v>1950</x:v>
      </x:c>
      <x:c r="P508" s="55" t="n">
        <x:v>911</x:v>
      </x:c>
      <x:c r="Q508" s="55" t="n">
        <x:v>2261</x:v>
      </x:c>
      <x:c r="R508" s="55" t="n">
        <x:v>1600</x:v>
      </x:c>
      <x:c r="S508" s="55" t="n">
        <x:v>2537</x:v>
      </x:c>
      <x:c r="T508" s="55" t="n">
        <x:v>732</x:v>
      </x:c>
      <x:c r="U508" s="55" t="n">
        <x:v>1744</x:v>
      </x:c>
      <x:c r="V508" s="55" t="n">
        <x:v>10509</x:v>
      </x:c>
      <x:c r="W508" s="55" t="n">
        <x:v>7091</x:v>
      </x:c>
      <x:c r="X508" s="55" t="n">
        <x:v>3418</x:v>
      </x:c>
      <x:c r="Y508" s="55" t="n">
        <x:v>3150</x:v>
      </x:c>
      <x:c r="Z508" s="55" t="n">
        <x:v>3471</x:v>
      </x:c>
      <x:c r="AA508" s="55" t="n">
        <x:v>2792</x:v>
      </x:c>
      <x:c r="AB508" s="55" t="n">
        <x:v>726</x:v>
      </x:c>
      <x:c r="AC508" s="55" t="n">
        <x:v>8418</x:v>
      </x:c>
      <x:c r="AD508" s="55" t="n">
        <x:v>2077</x:v>
      </x:c>
      <x:c r="AE508" s="55" t="n">
        <x:v>10509</x:v>
      </x:c>
      <x:c r="AF508" s="55" t="n">
        <x:v>10509</x:v>
      </x:c>
      <x:c r="AG508" s="55" t="n">
        <x:v>0</x:v>
      </x:c>
      <x:c r="AH508" s="55" t="n">
        <x:v>335</x:v>
      </x:c>
      <x:c r="AI508" s="55" t="n">
        <x:v>10174</x:v>
      </x:c>
      <x:c r="AJ508" s="55" t="n">
        <x:v>269</x:v>
      </x:c>
      <x:c r="AK508" s="55" t="n">
        <x:v>1002</x:v>
      </x:c>
      <x:c r="AL508" s="55" t="n">
        <x:v>1584</x:v>
      </x:c>
      <x:c r="AM508" s="55" t="n">
        <x:v>4889</x:v>
      </x:c>
      <x:c r="AN508" s="55" t="n">
        <x:v>2765</x:v>
      </x:c>
      <x:c r="AO508" s="55" t="n">
        <x:v>0</x:v>
      </x:c>
      <x:c r="AP508" s="55" t="n">
        <x:v>1980</x:v>
      </x:c>
      <x:c r="AQ508" s="55" t="n">
        <x:v>935</x:v>
      </x:c>
    </x:row>
    <x:row r="509">
      <x:c r="A509" s="54" t="str">
        <x:v>T2_CONCORDANT_DOMAIN</x:v>
      </x:c>
      <x:c r="B509" s="54" t="n">
        <x:v>503</x:v>
      </x:c>
      <x:c r="C509" s="54" t="str">
        <x:v>NYC-V2-R01</x:v>
      </x:c>
      <x:c r="D509" s="54" t="str">
        <x:v>V2</x:v>
      </x:c>
      <x:c r="E509" s="54" t="str">
        <x:v>ADMITTED</x:v>
      </x:c>
      <x:c r="F509" s="55" t="n">
        <x:v>31075</x:v>
      </x:c>
      <x:c r="G509" s="55" t="n">
        <x:v>6135</x:v>
      </x:c>
      <x:c r="H509" s="55" t="n">
        <x:v>2839</x:v>
      </x:c>
      <x:c r="I509" s="55" t="n">
        <x:v>977</x:v>
      </x:c>
      <x:c r="J509" s="55" t="n">
        <x:v>191</x:v>
      </x:c>
      <x:c r="K509" s="55" t="n">
        <x:v>31075</x:v>
      </x:c>
      <x:c r="L509" s="55" t="n">
        <x:v>5514</x:v>
      </x:c>
      <x:c r="M509" s="55" t="n">
        <x:v>1243</x:v>
      </x:c>
      <x:c r="N509" s="55" t="n">
        <x:v>2457</x:v>
      </x:c>
      <x:c r="O509" s="55" t="n">
        <x:v>1814</x:v>
      </x:c>
      <x:c r="P509" s="55" t="n">
        <x:v>554</x:v>
      </x:c>
      <x:c r="Q509" s="55" t="n">
        <x:v>2471</x:v>
      </x:c>
      <x:c r="R509" s="55" t="n">
        <x:v>2075</x:v>
      </x:c>
      <x:c r="S509" s="55" t="n">
        <x:v>2929</x:v>
      </x:c>
      <x:c r="T509" s="55" t="n">
        <x:v>1205</x:v>
      </x:c>
      <x:c r="U509" s="55" t="n">
        <x:v>2013</x:v>
      </x:c>
      <x:c r="V509" s="55" t="n">
        <x:v>10653</x:v>
      </x:c>
      <x:c r="W509" s="55" t="n">
        <x:v>7846</x:v>
      </x:c>
      <x:c r="X509" s="55" t="n">
        <x:v>2807</x:v>
      </x:c>
      <x:c r="Y509" s="55" t="n">
        <x:v>2520</x:v>
      </x:c>
      <x:c r="Z509" s="55" t="n">
        <x:v>3205</x:v>
      </x:c>
      <x:c r="AA509" s="55" t="n">
        <x:v>2688</x:v>
      </x:c>
      <x:c r="AB509" s="55" t="n">
        <x:v>1139</x:v>
      </x:c>
      <x:c r="AC509" s="55" t="n">
        <x:v>7281</x:v>
      </x:c>
      <x:c r="AD509" s="55" t="n">
        <x:v>2652</x:v>
      </x:c>
      <x:c r="AE509" s="55" t="n">
        <x:v>10680</x:v>
      </x:c>
      <x:c r="AF509" s="55" t="n">
        <x:v>10653</x:v>
      </x:c>
      <x:c r="AG509" s="55" t="n">
        <x:v>27</x:v>
      </x:c>
      <x:c r="AH509" s="55" t="n">
        <x:v>321</x:v>
      </x:c>
      <x:c r="AI509" s="55" t="n">
        <x:v>10332</x:v>
      </x:c>
      <x:c r="AJ509" s="55" t="n">
        <x:v>276</x:v>
      </x:c>
      <x:c r="AK509" s="55" t="n">
        <x:v>1302</x:v>
      </x:c>
      <x:c r="AL509" s="55" t="n">
        <x:v>1468</x:v>
      </x:c>
      <x:c r="AM509" s="55" t="n">
        <x:v>4898</x:v>
      </x:c>
      <x:c r="AN509" s="55" t="n">
        <x:v>2709</x:v>
      </x:c>
      <x:c r="AO509" s="55" t="n">
        <x:v>0</x:v>
      </x:c>
      <x:c r="AP509" s="55" t="n">
        <x:v>2197</x:v>
      </x:c>
      <x:c r="AQ509" s="55" t="n">
        <x:v>928</x:v>
      </x:c>
    </x:row>
    <x:row r="510">
      <x:c r="A510" s="54" t="str">
        <x:v>T2_CONCORDANT_DOMAIN</x:v>
      </x:c>
      <x:c r="B510" s="54" t="n">
        <x:v>504</x:v>
      </x:c>
      <x:c r="C510" s="54" t="str">
        <x:v>NYC-V2-R01</x:v>
      </x:c>
      <x:c r="D510" s="54" t="str">
        <x:v>V2</x:v>
      </x:c>
      <x:c r="E510" s="54" t="str">
        <x:v>ADMITTED</x:v>
      </x:c>
      <x:c r="F510" s="55" t="n">
        <x:v>32727</x:v>
      </x:c>
      <x:c r="G510" s="55" t="n">
        <x:v>8852</x:v>
      </x:c>
      <x:c r="H510" s="55" t="n">
        <x:v>3660</x:v>
      </x:c>
      <x:c r="I510" s="55" t="n">
        <x:v>1723</x:v>
      </x:c>
      <x:c r="J510" s="55" t="n">
        <x:v>379</x:v>
      </x:c>
      <x:c r="K510" s="55" t="n">
        <x:v>31791</x:v>
      </x:c>
      <x:c r="L510" s="55" t="n">
        <x:v>5713</x:v>
      </x:c>
      <x:c r="M510" s="55" t="n">
        <x:v>1321</x:v>
      </x:c>
      <x:c r="N510" s="55" t="n">
        <x:v>2627</x:v>
      </x:c>
      <x:c r="O510" s="55" t="n">
        <x:v>1765</x:v>
      </x:c>
      <x:c r="P510" s="55" t="n">
        <x:v>842</x:v>
      </x:c>
      <x:c r="Q510" s="55" t="n">
        <x:v>2362</x:v>
      </x:c>
      <x:c r="R510" s="55" t="n">
        <x:v>2051</x:v>
      </x:c>
      <x:c r="S510" s="55" t="n">
        <x:v>2868</x:v>
      </x:c>
      <x:c r="T510" s="55" t="n">
        <x:v>1578</x:v>
      </x:c>
      <x:c r="U510" s="55" t="n">
        <x:v>1879</x:v>
      </x:c>
      <x:c r="V510" s="55" t="n">
        <x:v>10686</x:v>
      </x:c>
      <x:c r="W510" s="55" t="n">
        <x:v>7929</x:v>
      </x:c>
      <x:c r="X510" s="55" t="n">
        <x:v>2757</x:v>
      </x:c>
      <x:c r="Y510" s="55" t="n">
        <x:v>2417</x:v>
      </x:c>
      <x:c r="Z510" s="55" t="n">
        <x:v>3744</x:v>
      </x:c>
      <x:c r="AA510" s="55" t="n">
        <x:v>2834</x:v>
      </x:c>
      <x:c r="AB510" s="55" t="n">
        <x:v>948</x:v>
      </x:c>
      <x:c r="AC510" s="55" t="n">
        <x:v>8190</x:v>
      </x:c>
      <x:c r="AD510" s="55" t="n">
        <x:v>2865</x:v>
      </x:c>
      <x:c r="AE510" s="55" t="n">
        <x:v>10839</x:v>
      </x:c>
      <x:c r="AF510" s="55" t="n">
        <x:v>10686</x:v>
      </x:c>
      <x:c r="AG510" s="55" t="n">
        <x:v>153</x:v>
      </x:c>
      <x:c r="AH510" s="55" t="n">
        <x:v>426</x:v>
      </x:c>
      <x:c r="AI510" s="55" t="n">
        <x:v>10260</x:v>
      </x:c>
      <x:c r="AJ510" s="55" t="n">
        <x:v>235</x:v>
      </x:c>
      <x:c r="AK510" s="55" t="n">
        <x:v>1362</x:v>
      </x:c>
      <x:c r="AL510" s="55" t="n">
        <x:v>1837</x:v>
      </x:c>
      <x:c r="AM510" s="55" t="n">
        <x:v>4865</x:v>
      </x:c>
      <x:c r="AN510" s="55" t="n">
        <x:v>2356</x:v>
      </x:c>
      <x:c r="AO510" s="55" t="n">
        <x:v>31</x:v>
      </x:c>
      <x:c r="AP510" s="55" t="n">
        <x:v>2606</x:v>
      </x:c>
      <x:c r="AQ510" s="55" t="n">
        <x:v>985</x:v>
      </x:c>
    </x:row>
    <x:row r="511">
      <x:c r="A511" s="54" t="str">
        <x:v>T2_CONCORDANT_DOMAIN</x:v>
      </x:c>
      <x:c r="B511" s="54" t="n">
        <x:v>505</x:v>
      </x:c>
      <x:c r="C511" s="54" t="str">
        <x:v>NYC-V2-R01</x:v>
      </x:c>
      <x:c r="D511" s="54" t="str">
        <x:v>V2</x:v>
      </x:c>
      <x:c r="E511" s="54" t="str">
        <x:v>ADMITTED</x:v>
      </x:c>
      <x:c r="F511" s="55" t="n">
        <x:v>31276</x:v>
      </x:c>
      <x:c r="G511" s="55" t="n">
        <x:v>7728</x:v>
      </x:c>
      <x:c r="H511" s="55" t="n">
        <x:v>3065</x:v>
      </x:c>
      <x:c r="I511" s="55" t="n">
        <x:v>1049</x:v>
      </x:c>
      <x:c r="J511" s="55" t="n">
        <x:v>102</x:v>
      </x:c>
      <x:c r="K511" s="55" t="n">
        <x:v>30606</x:v>
      </x:c>
      <x:c r="L511" s="55" t="n">
        <x:v>5663</x:v>
      </x:c>
      <x:c r="M511" s="55" t="n">
        <x:v>1655</x:v>
      </x:c>
      <x:c r="N511" s="55" t="n">
        <x:v>2302</x:v>
      </x:c>
      <x:c r="O511" s="55" t="n">
        <x:v>1706</x:v>
      </x:c>
      <x:c r="P511" s="55" t="n">
        <x:v>712</x:v>
      </x:c>
      <x:c r="Q511" s="55" t="n">
        <x:v>2210</x:v>
      </x:c>
      <x:c r="R511" s="55" t="n">
        <x:v>1810</x:v>
      </x:c>
      <x:c r="S511" s="55" t="n">
        <x:v>2563</x:v>
      </x:c>
      <x:c r="T511" s="55" t="n">
        <x:v>1624</x:v>
      </x:c>
      <x:c r="U511" s="55" t="n">
        <x:v>1917</x:v>
      </x:c>
      <x:c r="V511" s="55" t="n">
        <x:v>9754</x:v>
      </x:c>
      <x:c r="W511" s="55" t="n">
        <x:v>7107</x:v>
      </x:c>
      <x:c r="X511" s="55" t="n">
        <x:v>2647</x:v>
      </x:c>
      <x:c r="Y511" s="55" t="n">
        <x:v>2236</x:v>
      </x:c>
      <x:c r="Z511" s="55" t="n">
        <x:v>3251</x:v>
      </x:c>
      <x:c r="AA511" s="55" t="n">
        <x:v>3031</x:v>
      </x:c>
      <x:c r="AB511" s="55" t="n">
        <x:v>728</x:v>
      </x:c>
      <x:c r="AC511" s="55" t="n">
        <x:v>7738</x:v>
      </x:c>
      <x:c r="AD511" s="55" t="n">
        <x:v>3057</x:v>
      </x:c>
      <x:c r="AE511" s="55" t="n">
        <x:v>9826</x:v>
      </x:c>
      <x:c r="AF511" s="55" t="n">
        <x:v>9754</x:v>
      </x:c>
      <x:c r="AG511" s="55" t="n">
        <x:v>72</x:v>
      </x:c>
      <x:c r="AH511" s="55" t="n">
        <x:v>359</x:v>
      </x:c>
      <x:c r="AI511" s="55" t="n">
        <x:v>9395</x:v>
      </x:c>
      <x:c r="AJ511" s="55" t="n">
        <x:v>189</x:v>
      </x:c>
      <x:c r="AK511" s="55" t="n">
        <x:v>946</x:v>
      </x:c>
      <x:c r="AL511" s="55" t="n">
        <x:v>1457</x:v>
      </x:c>
      <x:c r="AM511" s="55" t="n">
        <x:v>5054</x:v>
      </x:c>
      <x:c r="AN511" s="55" t="n">
        <x:v>2108</x:v>
      </x:c>
      <x:c r="AO511" s="55" t="n">
        <x:v>0</x:v>
      </x:c>
      <x:c r="AP511" s="55" t="n">
        <x:v>2352</x:v>
      </x:c>
      <x:c r="AQ511" s="55" t="n">
        <x:v>945</x:v>
      </x:c>
    </x:row>
    <x:row r="512">
      <x:c r="A512" s="54" t="str">
        <x:v>T2_CONCORDANT_DOMAIN</x:v>
      </x:c>
      <x:c r="B512" s="54" t="n">
        <x:v>506</x:v>
      </x:c>
      <x:c r="C512" s="54" t="str">
        <x:v>NYC-V2-R01</x:v>
      </x:c>
      <x:c r="D512" s="54" t="str">
        <x:v>V2</x:v>
      </x:c>
      <x:c r="E512" s="54" t="str">
        <x:v>ADMITTED</x:v>
      </x:c>
      <x:c r="F512" s="55" t="n">
        <x:v>29459</x:v>
      </x:c>
      <x:c r="G512" s="55" t="n">
        <x:v>6518</x:v>
      </x:c>
      <x:c r="H512" s="55" t="n">
        <x:v>3196</x:v>
      </x:c>
      <x:c r="I512" s="55" t="n">
        <x:v>972</x:v>
      </x:c>
      <x:c r="J512" s="55" t="n">
        <x:v>206</x:v>
      </x:c>
      <x:c r="K512" s="55" t="n">
        <x:v>28119</x:v>
      </x:c>
      <x:c r="L512" s="55" t="n">
        <x:v>4854</x:v>
      </x:c>
      <x:c r="M512" s="55" t="n">
        <x:v>678</x:v>
      </x:c>
      <x:c r="N512" s="55" t="n">
        <x:v>2275</x:v>
      </x:c>
      <x:c r="O512" s="55" t="n">
        <x:v>1901</x:v>
      </x:c>
      <x:c r="P512" s="55" t="n">
        <x:v>748</x:v>
      </x:c>
      <x:c r="Q512" s="55" t="n">
        <x:v>1878</x:v>
      </x:c>
      <x:c r="R512" s="55" t="n">
        <x:v>1394</x:v>
      </x:c>
      <x:c r="S512" s="55" t="n">
        <x:v>2964</x:v>
      </x:c>
      <x:c r="T512" s="55" t="n">
        <x:v>1116</x:v>
      </x:c>
      <x:c r="U512" s="55" t="n">
        <x:v>1701</x:v>
      </x:c>
      <x:c r="V512" s="55" t="n">
        <x:v>10276</x:v>
      </x:c>
      <x:c r="W512" s="55" t="n">
        <x:v>7220</x:v>
      </x:c>
      <x:c r="X512" s="55" t="n">
        <x:v>3056</x:v>
      </x:c>
      <x:c r="Y512" s="55" t="n">
        <x:v>2646</x:v>
      </x:c>
      <x:c r="Z512" s="55" t="n">
        <x:v>3939</x:v>
      </x:c>
      <x:c r="AA512" s="55" t="n">
        <x:v>3043</x:v>
      </x:c>
      <x:c r="AB512" s="55" t="n">
        <x:v>1091</x:v>
      </x:c>
      <x:c r="AC512" s="55" t="n">
        <x:v>7598</x:v>
      </x:c>
      <x:c r="AD512" s="55" t="n">
        <x:v>2690</x:v>
      </x:c>
      <x:c r="AE512" s="55" t="n">
        <x:v>10317</x:v>
      </x:c>
      <x:c r="AF512" s="55" t="n">
        <x:v>10276</x:v>
      </x:c>
      <x:c r="AG512" s="55" t="n">
        <x:v>41</x:v>
      </x:c>
      <x:c r="AH512" s="55" t="n">
        <x:v>431</x:v>
      </x:c>
      <x:c r="AI512" s="55" t="n">
        <x:v>9845</x:v>
      </x:c>
      <x:c r="AJ512" s="55" t="n">
        <x:v>524</x:v>
      </x:c>
      <x:c r="AK512" s="55" t="n">
        <x:v>853</x:v>
      </x:c>
      <x:c r="AL512" s="55" t="n">
        <x:v>1735</x:v>
      </x:c>
      <x:c r="AM512" s="55" t="n">
        <x:v>4946</x:v>
      </x:c>
      <x:c r="AN512" s="55" t="n">
        <x:v>2218</x:v>
      </x:c>
      <x:c r="AO512" s="55" t="n">
        <x:v>0</x:v>
      </x:c>
      <x:c r="AP512" s="55" t="n">
        <x:v>1778</x:v>
      </x:c>
      <x:c r="AQ512" s="55" t="n">
        <x:v>941</x:v>
      </x:c>
    </x:row>
    <x:row r="513">
      <x:c r="A513" s="54" t="str">
        <x:v>T2_CONCORDANT_DOMAIN</x:v>
      </x:c>
      <x:c r="B513" s="54" t="n">
        <x:v>507</x:v>
      </x:c>
      <x:c r="C513" s="54" t="str">
        <x:v>NYC-V2-R01</x:v>
      </x:c>
      <x:c r="D513" s="54" t="str">
        <x:v>V2</x:v>
      </x:c>
      <x:c r="E513" s="54" t="str">
        <x:v>ADMITTED</x:v>
      </x:c>
      <x:c r="F513" s="55" t="n">
        <x:v>32715</x:v>
      </x:c>
      <x:c r="G513" s="55" t="n">
        <x:v>7506</x:v>
      </x:c>
      <x:c r="H513" s="55" t="n">
        <x:v>3454</x:v>
      </x:c>
      <x:c r="I513" s="55" t="n">
        <x:v>1343</x:v>
      </x:c>
      <x:c r="J513" s="55" t="n">
        <x:v>424</x:v>
      </x:c>
      <x:c r="K513" s="55" t="n">
        <x:v>32715</x:v>
      </x:c>
      <x:c r="L513" s="55" t="n">
        <x:v>6082</x:v>
      </x:c>
      <x:c r="M513" s="55" t="n">
        <x:v>1824</x:v>
      </x:c>
      <x:c r="N513" s="55" t="n">
        <x:v>2645</x:v>
      </x:c>
      <x:c r="O513" s="55" t="n">
        <x:v>1613</x:v>
      </x:c>
      <x:c r="P513" s="55" t="n">
        <x:v>895</x:v>
      </x:c>
      <x:c r="Q513" s="55" t="n">
        <x:v>2416</x:v>
      </x:c>
      <x:c r="R513" s="55" t="n">
        <x:v>1735</x:v>
      </x:c>
      <x:c r="S513" s="55" t="n">
        <x:v>3096</x:v>
      </x:c>
      <x:c r="T513" s="55" t="n">
        <x:v>1279</x:v>
      </x:c>
      <x:c r="U513" s="55" t="n">
        <x:v>2072</x:v>
      </x:c>
      <x:c r="V513" s="55" t="n">
        <x:v>10560</x:v>
      </x:c>
      <x:c r="W513" s="55" t="n">
        <x:v>7651</x:v>
      </x:c>
      <x:c r="X513" s="55" t="n">
        <x:v>2909</x:v>
      </x:c>
      <x:c r="Y513" s="55" t="n">
        <x:v>2483</x:v>
      </x:c>
      <x:c r="Z513" s="55" t="n">
        <x:v>3570</x:v>
      </x:c>
      <x:c r="AA513" s="55" t="n">
        <x:v>2158</x:v>
      </x:c>
      <x:c r="AB513" s="55" t="n">
        <x:v>692</x:v>
      </x:c>
      <x:c r="AC513" s="55" t="n">
        <x:v>7956</x:v>
      </x:c>
      <x:c r="AD513" s="55" t="n">
        <x:v>2822</x:v>
      </x:c>
      <x:c r="AE513" s="55" t="n">
        <x:v>10646</x:v>
      </x:c>
      <x:c r="AF513" s="55" t="n">
        <x:v>10560</x:v>
      </x:c>
      <x:c r="AG513" s="55" t="n">
        <x:v>86</x:v>
      </x:c>
      <x:c r="AH513" s="55" t="n">
        <x:v>617</x:v>
      </x:c>
      <x:c r="AI513" s="55" t="n">
        <x:v>9943</x:v>
      </x:c>
      <x:c r="AJ513" s="55" t="n">
        <x:v>404</x:v>
      </x:c>
      <x:c r="AK513" s="55" t="n">
        <x:v>1138</x:v>
      </x:c>
      <x:c r="AL513" s="55" t="n">
        <x:v>1387</x:v>
      </x:c>
      <x:c r="AM513" s="55" t="n">
        <x:v>4880</x:v>
      </x:c>
      <x:c r="AN513" s="55" t="n">
        <x:v>2699</x:v>
      </x:c>
      <x:c r="AO513" s="55" t="n">
        <x:v>52</x:v>
      </x:c>
      <x:c r="AP513" s="55" t="n">
        <x:v>2499</x:v>
      </x:c>
      <x:c r="AQ513" s="55" t="n">
        <x:v>997</x:v>
      </x:c>
    </x:row>
    <x:row r="514">
      <x:c r="A514" s="54" t="str">
        <x:v>T2_CONCORDANT_DOMAIN</x:v>
      </x:c>
      <x:c r="B514" s="54" t="n">
        <x:v>508</x:v>
      </x:c>
      <x:c r="C514" s="54" t="str">
        <x:v>NYC-V2-R01</x:v>
      </x:c>
      <x:c r="D514" s="54" t="str">
        <x:v>V2</x:v>
      </x:c>
      <x:c r="E514" s="54" t="str">
        <x:v>ADMITTED</x:v>
      </x:c>
      <x:c r="F514" s="55" t="n">
        <x:v>31175</x:v>
      </x:c>
      <x:c r="G514" s="55" t="n">
        <x:v>7746</x:v>
      </x:c>
      <x:c r="H514" s="55" t="n">
        <x:v>3408</x:v>
      </x:c>
      <x:c r="I514" s="55" t="n">
        <x:v>1859</x:v>
      </x:c>
      <x:c r="J514" s="55" t="n">
        <x:v>435</x:v>
      </x:c>
      <x:c r="K514" s="55" t="n">
        <x:v>29759</x:v>
      </x:c>
      <x:c r="L514" s="55" t="n">
        <x:v>5796</x:v>
      </x:c>
      <x:c r="M514" s="55" t="n">
        <x:v>1486</x:v>
      </x:c>
      <x:c r="N514" s="55" t="n">
        <x:v>2746</x:v>
      </x:c>
      <x:c r="O514" s="55" t="n">
        <x:v>1564</x:v>
      </x:c>
      <x:c r="P514" s="55" t="n">
        <x:v>660</x:v>
      </x:c>
      <x:c r="Q514" s="55" t="n">
        <x:v>2066</x:v>
      </x:c>
      <x:c r="R514" s="55" t="n">
        <x:v>1776</x:v>
      </x:c>
      <x:c r="S514" s="55" t="n">
        <x:v>2498</x:v>
      </x:c>
      <x:c r="T514" s="55" t="n">
        <x:v>1312</x:v>
      </x:c>
      <x:c r="U514" s="55" t="n">
        <x:v>2027</x:v>
      </x:c>
      <x:c r="V514" s="55" t="n">
        <x:v>10849</x:v>
      </x:c>
      <x:c r="W514" s="55" t="n">
        <x:v>7601</x:v>
      </x:c>
      <x:c r="X514" s="55" t="n">
        <x:v>3248</x:v>
      </x:c>
      <x:c r="Y514" s="55" t="n">
        <x:v>2818</x:v>
      </x:c>
      <x:c r="Z514" s="55" t="n">
        <x:v>3472</x:v>
      </x:c>
      <x:c r="AA514" s="55" t="n">
        <x:v>3115</x:v>
      </x:c>
      <x:c r="AB514" s="55" t="n">
        <x:v>1029</x:v>
      </x:c>
      <x:c r="AC514" s="55" t="n">
        <x:v>8198</x:v>
      </x:c>
      <x:c r="AD514" s="55" t="n">
        <x:v>3294</x:v>
      </x:c>
      <x:c r="AE514" s="55" t="n">
        <x:v>10991</x:v>
      </x:c>
      <x:c r="AF514" s="55" t="n">
        <x:v>10849</x:v>
      </x:c>
      <x:c r="AG514" s="55" t="n">
        <x:v>142</x:v>
      </x:c>
      <x:c r="AH514" s="55" t="n">
        <x:v>777</x:v>
      </x:c>
      <x:c r="AI514" s="55" t="n">
        <x:v>10072</x:v>
      </x:c>
      <x:c r="AJ514" s="55" t="n">
        <x:v>305</x:v>
      </x:c>
      <x:c r="AK514" s="55" t="n">
        <x:v>969</x:v>
      </x:c>
      <x:c r="AL514" s="55" t="n">
        <x:v>1646</x:v>
      </x:c>
      <x:c r="AM514" s="55" t="n">
        <x:v>5255</x:v>
      </x:c>
      <x:c r="AN514" s="55" t="n">
        <x:v>2630</x:v>
      </x:c>
      <x:c r="AO514" s="55" t="n">
        <x:v>44</x:v>
      </x:c>
      <x:c r="AP514" s="55" t="n">
        <x:v>2380</x:v>
      </x:c>
      <x:c r="AQ514" s="55" t="n">
        <x:v>988</x:v>
      </x:c>
    </x:row>
    <x:row r="515">
      <x:c r="A515" s="54" t="str">
        <x:v>T2_CONCORDANT_DOMAIN</x:v>
      </x:c>
      <x:c r="B515" s="54" t="n">
        <x:v>509</x:v>
      </x:c>
      <x:c r="C515" s="54" t="str">
        <x:v>NYC-V2-R01</x:v>
      </x:c>
      <x:c r="D515" s="54" t="str">
        <x:v>V2</x:v>
      </x:c>
      <x:c r="E515" s="54" t="str">
        <x:v>ADMITTED</x:v>
      </x:c>
      <x:c r="F515" s="55" t="n">
        <x:v>32954</x:v>
      </x:c>
      <x:c r="G515" s="55" t="n">
        <x:v>8378</x:v>
      </x:c>
      <x:c r="H515" s="55" t="n">
        <x:v>3521</x:v>
      </x:c>
      <x:c r="I515" s="55" t="n">
        <x:v>1229</x:v>
      </x:c>
      <x:c r="J515" s="55" t="n">
        <x:v>299</x:v>
      </x:c>
      <x:c r="K515" s="55" t="n">
        <x:v>30214</x:v>
      </x:c>
      <x:c r="L515" s="55" t="n">
        <x:v>4963</x:v>
      </x:c>
      <x:c r="M515" s="55" t="n">
        <x:v>1439</x:v>
      </x:c>
      <x:c r="N515" s="55" t="n">
        <x:v>2524</x:v>
      </x:c>
      <x:c r="O515" s="55" t="n">
        <x:v>1000</x:v>
      </x:c>
      <x:c r="P515" s="55" t="n">
        <x:v>996</x:v>
      </x:c>
      <x:c r="Q515" s="55" t="n">
        <x:v>2469</x:v>
      </x:c>
      <x:c r="R515" s="55" t="n">
        <x:v>2142</x:v>
      </x:c>
      <x:c r="S515" s="55" t="n">
        <x:v>2575</x:v>
      </x:c>
      <x:c r="T515" s="55" t="n">
        <x:v>1247</x:v>
      </x:c>
      <x:c r="U515" s="55" t="n">
        <x:v>1776</x:v>
      </x:c>
      <x:c r="V515" s="55" t="n">
        <x:v>10526</x:v>
      </x:c>
      <x:c r="W515" s="55" t="n">
        <x:v>7837</x:v>
      </x:c>
      <x:c r="X515" s="55" t="n">
        <x:v>2689</x:v>
      </x:c>
      <x:c r="Y515" s="55" t="n">
        <x:v>2319</x:v>
      </x:c>
      <x:c r="Z515" s="55" t="n">
        <x:v>4079</x:v>
      </x:c>
      <x:c r="AA515" s="55" t="n">
        <x:v>2701</x:v>
      </x:c>
      <x:c r="AB515" s="55" t="n">
        <x:v>721</x:v>
      </x:c>
      <x:c r="AC515" s="55" t="n">
        <x:v>8122</x:v>
      </x:c>
      <x:c r="AD515" s="55" t="n">
        <x:v>2674</x:v>
      </x:c>
      <x:c r="AE515" s="55" t="n">
        <x:v>10549</x:v>
      </x:c>
      <x:c r="AF515" s="55" t="n">
        <x:v>10526</x:v>
      </x:c>
      <x:c r="AG515" s="55" t="n">
        <x:v>23</x:v>
      </x:c>
      <x:c r="AH515" s="55" t="n">
        <x:v>246</x:v>
      </x:c>
      <x:c r="AI515" s="55" t="n">
        <x:v>10280</x:v>
      </x:c>
      <x:c r="AJ515" s="55" t="n">
        <x:v>274</x:v>
      </x:c>
      <x:c r="AK515" s="55" t="n">
        <x:v>1142</x:v>
      </x:c>
      <x:c r="AL515" s="55" t="n">
        <x:v>1610</x:v>
      </x:c>
      <x:c r="AM515" s="55" t="n">
        <x:v>4661</x:v>
      </x:c>
      <x:c r="AN515" s="55" t="n">
        <x:v>2823</x:v>
      </x:c>
      <x:c r="AO515" s="55" t="n">
        <x:v>16</x:v>
      </x:c>
      <x:c r="AP515" s="55" t="n">
        <x:v>2202</x:v>
      </x:c>
      <x:c r="AQ515" s="55" t="n">
        <x:v>937</x:v>
      </x:c>
    </x:row>
    <x:row r="516">
      <x:c r="A516" s="54" t="str">
        <x:v>T2_CONCORDANT_DOMAIN</x:v>
      </x:c>
      <x:c r="B516" s="54" t="n">
        <x:v>510</x:v>
      </x:c>
      <x:c r="C516" s="54" t="str">
        <x:v>NYC-V2-R01</x:v>
      </x:c>
      <x:c r="D516" s="54" t="str">
        <x:v>V2</x:v>
      </x:c>
      <x:c r="E516" s="54" t="str">
        <x:v>ADMITTED</x:v>
      </x:c>
      <x:c r="F516" s="55" t="n">
        <x:v>32119</x:v>
      </x:c>
      <x:c r="G516" s="55" t="n">
        <x:v>7051</x:v>
      </x:c>
      <x:c r="H516" s="55" t="n">
        <x:v>3395</x:v>
      </x:c>
      <x:c r="I516" s="55" t="n">
        <x:v>1285</x:v>
      </x:c>
      <x:c r="J516" s="55" t="n">
        <x:v>272</x:v>
      </x:c>
      <x:c r="K516" s="55" t="n">
        <x:v>32119</x:v>
      </x:c>
      <x:c r="L516" s="55" t="n">
        <x:v>6694</x:v>
      </x:c>
      <x:c r="M516" s="55" t="n">
        <x:v>2211</x:v>
      </x:c>
      <x:c r="N516" s="55" t="n">
        <x:v>2861</x:v>
      </x:c>
      <x:c r="O516" s="55" t="n">
        <x:v>1622</x:v>
      </x:c>
      <x:c r="P516" s="55" t="n">
        <x:v>757</x:v>
      </x:c>
      <x:c r="Q516" s="55" t="n">
        <x:v>2024</x:v>
      </x:c>
      <x:c r="R516" s="55" t="n">
        <x:v>2224</x:v>
      </x:c>
      <x:c r="S516" s="55" t="n">
        <x:v>2641</x:v>
      </x:c>
      <x:c r="T516" s="55" t="n">
        <x:v>1018</x:v>
      </x:c>
      <x:c r="U516" s="55" t="n">
        <x:v>1910</x:v>
      </x:c>
      <x:c r="V516" s="55" t="n">
        <x:v>10714</x:v>
      </x:c>
      <x:c r="W516" s="55" t="n">
        <x:v>7197</x:v>
      </x:c>
      <x:c r="X516" s="55" t="n">
        <x:v>3517</x:v>
      </x:c>
      <x:c r="Y516" s="55" t="n">
        <x:v>3179</x:v>
      </x:c>
      <x:c r="Z516" s="55" t="n">
        <x:v>3802</x:v>
      </x:c>
      <x:c r="AA516" s="55" t="n">
        <x:v>2729</x:v>
      </x:c>
      <x:c r="AB516" s="55" t="n">
        <x:v>1084</x:v>
      </x:c>
      <x:c r="AC516" s="55" t="n">
        <x:v>7467</x:v>
      </x:c>
      <x:c r="AD516" s="55" t="n">
        <x:v>3020</x:v>
      </x:c>
      <x:c r="AE516" s="55" t="n">
        <x:v>10816</x:v>
      </x:c>
      <x:c r="AF516" s="55" t="n">
        <x:v>10714</x:v>
      </x:c>
      <x:c r="AG516" s="55" t="n">
        <x:v>102</x:v>
      </x:c>
      <x:c r="AH516" s="55" t="n">
        <x:v>398</x:v>
      </x:c>
      <x:c r="AI516" s="55" t="n">
        <x:v>10316</x:v>
      </x:c>
      <x:c r="AJ516" s="55" t="n">
        <x:v>467</x:v>
      </x:c>
      <x:c r="AK516" s="55" t="n">
        <x:v>877</x:v>
      </x:c>
      <x:c r="AL516" s="55" t="n">
        <x:v>1779</x:v>
      </x:c>
      <x:c r="AM516" s="55" t="n">
        <x:v>4667</x:v>
      </x:c>
      <x:c r="AN516" s="55" t="n">
        <x:v>2847</x:v>
      </x:c>
      <x:c r="AO516" s="55" t="n">
        <x:v>77</x:v>
      </x:c>
      <x:c r="AP516" s="55" t="n">
        <x:v>2704</x:v>
      </x:c>
      <x:c r="AQ516" s="55" t="n">
        <x:v>963</x:v>
      </x:c>
    </x:row>
    <x:row r="517">
      <x:c r="A517" s="54" t="str">
        <x:v>T2_CONCORDANT_DOMAIN</x:v>
      </x:c>
      <x:c r="B517" s="54" t="n">
        <x:v>511</x:v>
      </x:c>
      <x:c r="C517" s="54" t="str">
        <x:v>NYC-V2-R01</x:v>
      </x:c>
      <x:c r="D517" s="54" t="str">
        <x:v>V2</x:v>
      </x:c>
      <x:c r="E517" s="54" t="str">
        <x:v>ADMITTED</x:v>
      </x:c>
      <x:c r="F517" s="55" t="n">
        <x:v>32601</x:v>
      </x:c>
      <x:c r="G517" s="55" t="n">
        <x:v>8400</x:v>
      </x:c>
      <x:c r="H517" s="55" t="n">
        <x:v>3815</x:v>
      </x:c>
      <x:c r="I517" s="55" t="n">
        <x:v>1598</x:v>
      </x:c>
      <x:c r="J517" s="55" t="n">
        <x:v>345</x:v>
      </x:c>
      <x:c r="K517" s="55" t="n">
        <x:v>31105</x:v>
      </x:c>
      <x:c r="L517" s="55" t="n">
        <x:v>6298</x:v>
      </x:c>
      <x:c r="M517" s="55" t="n">
        <x:v>1854</x:v>
      </x:c>
      <x:c r="N517" s="55" t="n">
        <x:v>2372</x:v>
      </x:c>
      <x:c r="O517" s="55" t="n">
        <x:v>2072</x:v>
      </x:c>
      <x:c r="P517" s="55" t="n">
        <x:v>868</x:v>
      </x:c>
      <x:c r="Q517" s="55" t="n">
        <x:v>2869</x:v>
      </x:c>
      <x:c r="R517" s="55" t="n">
        <x:v>1792</x:v>
      </x:c>
      <x:c r="S517" s="55" t="n">
        <x:v>3161</x:v>
      </x:c>
      <x:c r="T517" s="55" t="n">
        <x:v>1283</x:v>
      </x:c>
      <x:c r="U517" s="55" t="n">
        <x:v>2524</x:v>
      </x:c>
      <x:c r="V517" s="55" t="n">
        <x:v>11211</x:v>
      </x:c>
      <x:c r="W517" s="55" t="n">
        <x:v>8075</x:v>
      </x:c>
      <x:c r="X517" s="55" t="n">
        <x:v>3136</x:v>
      </x:c>
      <x:c r="Y517" s="55" t="n">
        <x:v>2612</x:v>
      </x:c>
      <x:c r="Z517" s="55" t="n">
        <x:v>3753</x:v>
      </x:c>
      <x:c r="AA517" s="55" t="n">
        <x:v>3306</x:v>
      </x:c>
      <x:c r="AB517" s="55" t="n">
        <x:v>1059</x:v>
      </x:c>
      <x:c r="AC517" s="55" t="n">
        <x:v>8316</x:v>
      </x:c>
      <x:c r="AD517" s="55" t="n">
        <x:v>3213</x:v>
      </x:c>
      <x:c r="AE517" s="55" t="n">
        <x:v>11365</x:v>
      </x:c>
      <x:c r="AF517" s="55" t="n">
        <x:v>11211</x:v>
      </x:c>
      <x:c r="AG517" s="55" t="n">
        <x:v>154</x:v>
      </x:c>
      <x:c r="AH517" s="55" t="n">
        <x:v>586</x:v>
      </x:c>
      <x:c r="AI517" s="55" t="n">
        <x:v>10625</x:v>
      </x:c>
      <x:c r="AJ517" s="55" t="n">
        <x:v>456</x:v>
      </x:c>
      <x:c r="AK517" s="55" t="n">
        <x:v>1380</x:v>
      </x:c>
      <x:c r="AL517" s="55" t="n">
        <x:v>1605</x:v>
      </x:c>
      <x:c r="AM517" s="55" t="n">
        <x:v>4980</x:v>
      </x:c>
      <x:c r="AN517" s="55" t="n">
        <x:v>2732</x:v>
      </x:c>
      <x:c r="AO517" s="55" t="n">
        <x:v>58</x:v>
      </x:c>
      <x:c r="AP517" s="55" t="n">
        <x:v>2356</x:v>
      </x:c>
      <x:c r="AQ517" s="55" t="n">
        <x:v>994</x:v>
      </x:c>
    </x:row>
    <x:row r="518">
      <x:c r="A518" s="54" t="str">
        <x:v>T2_CONCORDANT_DOMAIN</x:v>
      </x:c>
      <x:c r="B518" s="54" t="n">
        <x:v>512</x:v>
      </x:c>
      <x:c r="C518" s="54" t="str">
        <x:v>NYC-V2-R01</x:v>
      </x:c>
      <x:c r="D518" s="54" t="str">
        <x:v>V2</x:v>
      </x:c>
      <x:c r="E518" s="54" t="str">
        <x:v>ADMITTED</x:v>
      </x:c>
      <x:c r="F518" s="55" t="n">
        <x:v>31397</x:v>
      </x:c>
      <x:c r="G518" s="55" t="n">
        <x:v>7601</x:v>
      </x:c>
      <x:c r="H518" s="55" t="n">
        <x:v>3229</x:v>
      </x:c>
      <x:c r="I518" s="55" t="n">
        <x:v>1382</x:v>
      </x:c>
      <x:c r="J518" s="55" t="n">
        <x:v>264</x:v>
      </x:c>
      <x:c r="K518" s="55" t="n">
        <x:v>29376</x:v>
      </x:c>
      <x:c r="L518" s="55" t="n">
        <x:v>5856</x:v>
      </x:c>
      <x:c r="M518" s="55" t="n">
        <x:v>1083</x:v>
      </x:c>
      <x:c r="N518" s="55" t="n">
        <x:v>2637</x:v>
      </x:c>
      <x:c r="O518" s="55" t="n">
        <x:v>2136</x:v>
      </x:c>
      <x:c r="P518" s="55" t="n">
        <x:v>865</x:v>
      </x:c>
      <x:c r="Q518" s="55" t="n">
        <x:v>3049</x:v>
      </x:c>
      <x:c r="R518" s="55" t="n">
        <x:v>2232</x:v>
      </x:c>
      <x:c r="S518" s="55" t="n">
        <x:v>3012</x:v>
      </x:c>
      <x:c r="T518" s="55" t="n">
        <x:v>712</x:v>
      </x:c>
      <x:c r="U518" s="55" t="n">
        <x:v>2306</x:v>
      </x:c>
      <x:c r="V518" s="55" t="n">
        <x:v>10661</x:v>
      </x:c>
      <x:c r="W518" s="55" t="n">
        <x:v>7540</x:v>
      </x:c>
      <x:c r="X518" s="55" t="n">
        <x:v>3121</x:v>
      </x:c>
      <x:c r="Y518" s="55" t="n">
        <x:v>2830</x:v>
      </x:c>
      <x:c r="Z518" s="55" t="n">
        <x:v>3704</x:v>
      </x:c>
      <x:c r="AA518" s="55" t="n">
        <x:v>2895</x:v>
      </x:c>
      <x:c r="AB518" s="55" t="n">
        <x:v>1442</x:v>
      </x:c>
      <x:c r="AC518" s="55" t="n">
        <x:v>8117</x:v>
      </x:c>
      <x:c r="AD518" s="55" t="n">
        <x:v>2903</x:v>
      </x:c>
      <x:c r="AE518" s="55" t="n">
        <x:v>10821</x:v>
      </x:c>
      <x:c r="AF518" s="55" t="n">
        <x:v>10661</x:v>
      </x:c>
      <x:c r="AG518" s="55" t="n">
        <x:v>160</x:v>
      </x:c>
      <x:c r="AH518" s="55" t="n">
        <x:v>535</x:v>
      </x:c>
      <x:c r="AI518" s="55" t="n">
        <x:v>10126</x:v>
      </x:c>
      <x:c r="AJ518" s="55" t="n">
        <x:v>383</x:v>
      </x:c>
      <x:c r="AK518" s="55" t="n">
        <x:v>724</x:v>
      </x:c>
      <x:c r="AL518" s="55" t="n">
        <x:v>1531</x:v>
      </x:c>
      <x:c r="AM518" s="55" t="n">
        <x:v>5215</x:v>
      </x:c>
      <x:c r="AN518" s="55" t="n">
        <x:v>2718</x:v>
      </x:c>
      <x:c r="AO518" s="55" t="n">
        <x:v>90</x:v>
      </x:c>
      <x:c r="AP518" s="55" t="n">
        <x:v>2275</x:v>
      </x:c>
      <x:c r="AQ518" s="55" t="n">
        <x:v>986</x:v>
      </x:c>
    </x:row>
    <x:row r="519">
      <x:c r="A519" s="54" t="str">
        <x:v>T2_CONCORDANT_DOMAIN</x:v>
      </x:c>
      <x:c r="B519" s="54" t="n">
        <x:v>513</x:v>
      </x:c>
      <x:c r="C519" s="54" t="str">
        <x:v>NYC-V2-R01</x:v>
      </x:c>
      <x:c r="D519" s="54" t="str">
        <x:v>V2</x:v>
      </x:c>
      <x:c r="E519" s="54" t="str">
        <x:v>ADMITTED</x:v>
      </x:c>
      <x:c r="F519" s="55" t="n">
        <x:v>30849</x:v>
      </x:c>
      <x:c r="G519" s="55" t="n">
        <x:v>8293</x:v>
      </x:c>
      <x:c r="H519" s="55" t="n">
        <x:v>3378</x:v>
      </x:c>
      <x:c r="I519" s="55" t="n">
        <x:v>1445</x:v>
      </x:c>
      <x:c r="J519" s="55" t="n">
        <x:v>260</x:v>
      </x:c>
      <x:c r="K519" s="55" t="n">
        <x:v>30849</x:v>
      </x:c>
      <x:c r="L519" s="55" t="n">
        <x:v>6049</x:v>
      </x:c>
      <x:c r="M519" s="55" t="n">
        <x:v>1303</x:v>
      </x:c>
      <x:c r="N519" s="55" t="n">
        <x:v>2929</x:v>
      </x:c>
      <x:c r="O519" s="55" t="n">
        <x:v>1817</x:v>
      </x:c>
      <x:c r="P519" s="55" t="n">
        <x:v>866</x:v>
      </x:c>
      <x:c r="Q519" s="55" t="n">
        <x:v>2377</x:v>
      </x:c>
      <x:c r="R519" s="55" t="n">
        <x:v>1758</x:v>
      </x:c>
      <x:c r="S519" s="55" t="n">
        <x:v>3418</x:v>
      </x:c>
      <x:c r="T519" s="55" t="n">
        <x:v>1525</x:v>
      </x:c>
      <x:c r="U519" s="55" t="n">
        <x:v>2161</x:v>
      </x:c>
      <x:c r="V519" s="55" t="n">
        <x:v>11071</x:v>
      </x:c>
      <x:c r="W519" s="55" t="n">
        <x:v>8032</x:v>
      </x:c>
      <x:c r="X519" s="55" t="n">
        <x:v>3039</x:v>
      </x:c>
      <x:c r="Y519" s="55" t="n">
        <x:v>2742</x:v>
      </x:c>
      <x:c r="Z519" s="55" t="n">
        <x:v>3916</x:v>
      </x:c>
      <x:c r="AA519" s="55" t="n">
        <x:v>2999</x:v>
      </x:c>
      <x:c r="AB519" s="55" t="n">
        <x:v>1199</x:v>
      </x:c>
      <x:c r="AC519" s="55" t="n">
        <x:v>8031</x:v>
      </x:c>
      <x:c r="AD519" s="55" t="n">
        <x:v>3245</x:v>
      </x:c>
      <x:c r="AE519" s="55" t="n">
        <x:v>11142</x:v>
      </x:c>
      <x:c r="AF519" s="55" t="n">
        <x:v>11071</x:v>
      </x:c>
      <x:c r="AG519" s="55" t="n">
        <x:v>71</x:v>
      </x:c>
      <x:c r="AH519" s="55" t="n">
        <x:v>598</x:v>
      </x:c>
      <x:c r="AI519" s="55" t="n">
        <x:v>10473</x:v>
      </x:c>
      <x:c r="AJ519" s="55" t="n">
        <x:v>338</x:v>
      </x:c>
      <x:c r="AK519" s="55" t="n">
        <x:v>939</x:v>
      </x:c>
      <x:c r="AL519" s="55" t="n">
        <x:v>2008</x:v>
      </x:c>
      <x:c r="AM519" s="55" t="n">
        <x:v>5449</x:v>
      </x:c>
      <x:c r="AN519" s="55" t="n">
        <x:v>2303</x:v>
      </x:c>
      <x:c r="AO519" s="55" t="n">
        <x:v>34</x:v>
      </x:c>
      <x:c r="AP519" s="55" t="n">
        <x:v>2473</x:v>
      </x:c>
      <x:c r="AQ519" s="55" t="n">
        <x:v>1013</x:v>
      </x:c>
    </x:row>
    <x:row r="520">
      <x:c r="A520" s="54" t="str">
        <x:v>T2_CONCORDANT_DOMAIN</x:v>
      </x:c>
      <x:c r="B520" s="54" t="n">
        <x:v>514</x:v>
      </x:c>
      <x:c r="C520" s="54" t="str">
        <x:v>NYC-V2-R01</x:v>
      </x:c>
      <x:c r="D520" s="54" t="str">
        <x:v>V2</x:v>
      </x:c>
      <x:c r="E520" s="54" t="str">
        <x:v>ADMITTED</x:v>
      </x:c>
      <x:c r="F520" s="55" t="n">
        <x:v>29991</x:v>
      </x:c>
      <x:c r="G520" s="55" t="n">
        <x:v>7465</x:v>
      </x:c>
      <x:c r="H520" s="55" t="n">
        <x:v>2929</x:v>
      </x:c>
      <x:c r="I520" s="55" t="n">
        <x:v>1080</x:v>
      </x:c>
      <x:c r="J520" s="55" t="n">
        <x:v>117</x:v>
      </x:c>
      <x:c r="K520" s="55" t="n">
        <x:v>29991</x:v>
      </x:c>
      <x:c r="L520" s="55" t="n">
        <x:v>5362</x:v>
      </x:c>
      <x:c r="M520" s="55" t="n">
        <x:v>1341</x:v>
      </x:c>
      <x:c r="N520" s="55" t="n">
        <x:v>2558</x:v>
      </x:c>
      <x:c r="O520" s="55" t="n">
        <x:v>1463</x:v>
      </x:c>
      <x:c r="P520" s="55" t="n">
        <x:v>791</x:v>
      </x:c>
      <x:c r="Q520" s="55" t="n">
        <x:v>1951</x:v>
      </x:c>
      <x:c r="R520" s="55" t="n">
        <x:v>2077</x:v>
      </x:c>
      <x:c r="S520" s="55" t="n">
        <x:v>2594</x:v>
      </x:c>
      <x:c r="T520" s="55" t="n">
        <x:v>1114</x:v>
      </x:c>
      <x:c r="U520" s="55" t="n">
        <x:v>1410</x:v>
      </x:c>
      <x:c r="V520" s="55" t="n">
        <x:v>10366</x:v>
      </x:c>
      <x:c r="W520" s="55" t="n">
        <x:v>7374</x:v>
      </x:c>
      <x:c r="X520" s="55" t="n">
        <x:v>2992</x:v>
      </x:c>
      <x:c r="Y520" s="55" t="n">
        <x:v>2527</x:v>
      </x:c>
      <x:c r="Z520" s="55" t="n">
        <x:v>3738</x:v>
      </x:c>
      <x:c r="AA520" s="55" t="n">
        <x:v>2869</x:v>
      </x:c>
      <x:c r="AB520" s="55" t="n">
        <x:v>1183</x:v>
      </x:c>
      <x:c r="AC520" s="55" t="n">
        <x:v>8065</x:v>
      </x:c>
      <x:c r="AD520" s="55" t="n">
        <x:v>2320</x:v>
      </x:c>
      <x:c r="AE520" s="55" t="n">
        <x:v>10436</x:v>
      </x:c>
      <x:c r="AF520" s="55" t="n">
        <x:v>10366</x:v>
      </x:c>
      <x:c r="AG520" s="55" t="n">
        <x:v>70</x:v>
      </x:c>
      <x:c r="AH520" s="55" t="n">
        <x:v>325</x:v>
      </x:c>
      <x:c r="AI520" s="55" t="n">
        <x:v>10041</x:v>
      </x:c>
      <x:c r="AJ520" s="55" t="n">
        <x:v>159</x:v>
      </x:c>
      <x:c r="AK520" s="55" t="n">
        <x:v>1115</x:v>
      </x:c>
      <x:c r="AL520" s="55" t="n">
        <x:v>1361</x:v>
      </x:c>
      <x:c r="AM520" s="55" t="n">
        <x:v>5481</x:v>
      </x:c>
      <x:c r="AN520" s="55" t="n">
        <x:v>2242</x:v>
      </x:c>
      <x:c r="AO520" s="55" t="n">
        <x:v>8</x:v>
      </x:c>
      <x:c r="AP520" s="55" t="n">
        <x:v>2129</x:v>
      </x:c>
      <x:c r="AQ520" s="55" t="n">
        <x:v>967</x:v>
      </x:c>
    </x:row>
    <x:row r="521">
      <x:c r="A521" s="54" t="str">
        <x:v>T2_CONCORDANT_DOMAIN</x:v>
      </x:c>
      <x:c r="B521" s="54" t="n">
        <x:v>515</x:v>
      </x:c>
      <x:c r="C521" s="54" t="str">
        <x:v>NYC-V2-R01</x:v>
      </x:c>
      <x:c r="D521" s="54" t="str">
        <x:v>V2</x:v>
      </x:c>
      <x:c r="E521" s="54" t="str">
        <x:v>ADMITTED</x:v>
      </x:c>
      <x:c r="F521" s="55" t="n">
        <x:v>31857</x:v>
      </x:c>
      <x:c r="G521" s="55" t="n">
        <x:v>8134</x:v>
      </x:c>
      <x:c r="H521" s="55" t="n">
        <x:v>3553</x:v>
      </x:c>
      <x:c r="I521" s="55" t="n">
        <x:v>1210</x:v>
      </x:c>
      <x:c r="J521" s="55" t="n">
        <x:v>158</x:v>
      </x:c>
      <x:c r="K521" s="55" t="n">
        <x:v>30250</x:v>
      </x:c>
      <x:c r="L521" s="55" t="n">
        <x:v>6172</x:v>
      </x:c>
      <x:c r="M521" s="55" t="n">
        <x:v>2076</x:v>
      </x:c>
      <x:c r="N521" s="55" t="n">
        <x:v>2763</x:v>
      </x:c>
      <x:c r="O521" s="55" t="n">
        <x:v>1333</x:v>
      </x:c>
      <x:c r="P521" s="55" t="n">
        <x:v>342</x:v>
      </x:c>
      <x:c r="Q521" s="55" t="n">
        <x:v>3016</x:v>
      </x:c>
      <x:c r="R521" s="55" t="n">
        <x:v>1853</x:v>
      </x:c>
      <x:c r="S521" s="55" t="n">
        <x:v>2431</x:v>
      </x:c>
      <x:c r="T521" s="55" t="n">
        <x:v>1305</x:v>
      </x:c>
      <x:c r="U521" s="55" t="n">
        <x:v>2154</x:v>
      </x:c>
      <x:c r="V521" s="55" t="n">
        <x:v>10558</x:v>
      </x:c>
      <x:c r="W521" s="55" t="n">
        <x:v>7309</x:v>
      </x:c>
      <x:c r="X521" s="55" t="n">
        <x:v>3249</x:v>
      </x:c>
      <x:c r="Y521" s="55" t="n">
        <x:v>2852</x:v>
      </x:c>
      <x:c r="Z521" s="55" t="n">
        <x:v>4024</x:v>
      </x:c>
      <x:c r="AA521" s="55" t="n">
        <x:v>3553</x:v>
      </x:c>
      <x:c r="AB521" s="55" t="n">
        <x:v>1242</x:v>
      </x:c>
      <x:c r="AC521" s="55" t="n">
        <x:v>8517</x:v>
      </x:c>
      <x:c r="AD521" s="55" t="n">
        <x:v>2606</x:v>
      </x:c>
      <x:c r="AE521" s="55" t="n">
        <x:v>10747</x:v>
      </x:c>
      <x:c r="AF521" s="55" t="n">
        <x:v>10558</x:v>
      </x:c>
      <x:c r="AG521" s="55" t="n">
        <x:v>189</x:v>
      </x:c>
      <x:c r="AH521" s="55" t="n">
        <x:v>293</x:v>
      </x:c>
      <x:c r="AI521" s="55" t="n">
        <x:v>10265</x:v>
      </x:c>
      <x:c r="AJ521" s="55" t="n">
        <x:v>236</x:v>
      </x:c>
      <x:c r="AK521" s="55" t="n">
        <x:v>1097</x:v>
      </x:c>
      <x:c r="AL521" s="55" t="n">
        <x:v>1456</x:v>
      </x:c>
      <x:c r="AM521" s="55" t="n">
        <x:v>4892</x:v>
      </x:c>
      <x:c r="AN521" s="55" t="n">
        <x:v>2877</x:v>
      </x:c>
      <x:c r="AO521" s="55" t="n">
        <x:v>0</x:v>
      </x:c>
      <x:c r="AP521" s="55" t="n">
        <x:v>2443</x:v>
      </x:c>
      <x:c r="AQ521" s="55" t="n">
        <x:v>940</x:v>
      </x:c>
    </x:row>
    <x:row r="522">
      <x:c r="A522" s="54" t="str">
        <x:v>T2_CONCORDANT_DOMAIN</x:v>
      </x:c>
      <x:c r="B522" s="54" t="n">
        <x:v>516</x:v>
      </x:c>
      <x:c r="C522" s="54" t="str">
        <x:v>NYC-V2-R01</x:v>
      </x:c>
      <x:c r="D522" s="54" t="str">
        <x:v>V2</x:v>
      </x:c>
      <x:c r="E522" s="54" t="str">
        <x:v>ADMITTED</x:v>
      </x:c>
      <x:c r="F522" s="55" t="n">
        <x:v>33486</x:v>
      </x:c>
      <x:c r="G522" s="55" t="n">
        <x:v>7303</x:v>
      </x:c>
      <x:c r="H522" s="55" t="n">
        <x:v>3778</x:v>
      </x:c>
      <x:c r="I522" s="55" t="n">
        <x:v>1257</x:v>
      </x:c>
      <x:c r="J522" s="55" t="n">
        <x:v>185</x:v>
      </x:c>
      <x:c r="K522" s="55" t="n">
        <x:v>33486</x:v>
      </x:c>
      <x:c r="L522" s="55" t="n">
        <x:v>7170</x:v>
      </x:c>
      <x:c r="M522" s="55" t="n">
        <x:v>2881</x:v>
      </x:c>
      <x:c r="N522" s="55" t="n">
        <x:v>2452</x:v>
      </x:c>
      <x:c r="O522" s="55" t="n">
        <x:v>1837</x:v>
      </x:c>
      <x:c r="P522" s="55" t="n">
        <x:v>1086</x:v>
      </x:c>
      <x:c r="Q522" s="55" t="n">
        <x:v>2543</x:v>
      </x:c>
      <x:c r="R522" s="55" t="n">
        <x:v>2292</x:v>
      </x:c>
      <x:c r="S522" s="55" t="n">
        <x:v>2851</x:v>
      </x:c>
      <x:c r="T522" s="55" t="n">
        <x:v>1345</x:v>
      </x:c>
      <x:c r="U522" s="55" t="n">
        <x:v>2713</x:v>
      </x:c>
      <x:c r="V522" s="55" t="n">
        <x:v>10754</x:v>
      </x:c>
      <x:c r="W522" s="55" t="n">
        <x:v>7331</x:v>
      </x:c>
      <x:c r="X522" s="55" t="n">
        <x:v>3423</x:v>
      </x:c>
      <x:c r="Y522" s="55" t="n">
        <x:v>2854</x:v>
      </x:c>
      <x:c r="Z522" s="55" t="n">
        <x:v>4001</x:v>
      </x:c>
      <x:c r="AA522" s="55" t="n">
        <x:v>3778</x:v>
      </x:c>
      <x:c r="AB522" s="55" t="n">
        <x:v>1100</x:v>
      </x:c>
      <x:c r="AC522" s="55" t="n">
        <x:v>8210</x:v>
      </x:c>
      <x:c r="AD522" s="55" t="n">
        <x:v>3249</x:v>
      </x:c>
      <x:c r="AE522" s="55" t="n">
        <x:v>10865</x:v>
      </x:c>
      <x:c r="AF522" s="55" t="n">
        <x:v>10754</x:v>
      </x:c>
      <x:c r="AG522" s="55" t="n">
        <x:v>111</x:v>
      </x:c>
      <x:c r="AH522" s="55" t="n">
        <x:v>311</x:v>
      </x:c>
      <x:c r="AI522" s="55" t="n">
        <x:v>10443</x:v>
      </x:c>
      <x:c r="AJ522" s="55" t="n">
        <x:v>335</x:v>
      </x:c>
      <x:c r="AK522" s="55" t="n">
        <x:v>897</x:v>
      </x:c>
      <x:c r="AL522" s="55" t="n">
        <x:v>1558</x:v>
      </x:c>
      <x:c r="AM522" s="55" t="n">
        <x:v>5048</x:v>
      </x:c>
      <x:c r="AN522" s="55" t="n">
        <x:v>2916</x:v>
      </x:c>
      <x:c r="AO522" s="55" t="n">
        <x:v>0</x:v>
      </x:c>
      <x:c r="AP522" s="55" t="n">
        <x:v>2735</x:v>
      </x:c>
      <x:c r="AQ522" s="55" t="n">
        <x:v>939</x:v>
      </x:c>
    </x:row>
    <x:row r="523">
      <x:c r="A523" s="54" t="str">
        <x:v>T2_CONCORDANT_DOMAIN</x:v>
      </x:c>
      <x:c r="B523" s="54" t="n">
        <x:v>517</x:v>
      </x:c>
      <x:c r="C523" s="54" t="str">
        <x:v>NYC-V2-R01</x:v>
      </x:c>
      <x:c r="D523" s="54" t="str">
        <x:v>V2</x:v>
      </x:c>
      <x:c r="E523" s="54" t="str">
        <x:v>ADMITTED</x:v>
      </x:c>
      <x:c r="F523" s="55" t="n">
        <x:v>32854</x:v>
      </x:c>
      <x:c r="G523" s="55" t="n">
        <x:v>8893</x:v>
      </x:c>
      <x:c r="H523" s="55" t="n">
        <x:v>3364</x:v>
      </x:c>
      <x:c r="I523" s="55" t="n">
        <x:v>1389</x:v>
      </x:c>
      <x:c r="J523" s="55" t="n">
        <x:v>397</x:v>
      </x:c>
      <x:c r="K523" s="55" t="n">
        <x:v>32854</x:v>
      </x:c>
      <x:c r="L523" s="55" t="n">
        <x:v>6668</x:v>
      </x:c>
      <x:c r="M523" s="55" t="n">
        <x:v>1584</x:v>
      </x:c>
      <x:c r="N523" s="55" t="n">
        <x:v>2978</x:v>
      </x:c>
      <x:c r="O523" s="55" t="n">
        <x:v>2106</x:v>
      </x:c>
      <x:c r="P523" s="55" t="n">
        <x:v>920</x:v>
      </x:c>
      <x:c r="Q523" s="55" t="n">
        <x:v>2930</x:v>
      </x:c>
      <x:c r="R523" s="55" t="n">
        <x:v>1841</x:v>
      </x:c>
      <x:c r="S523" s="55" t="n">
        <x:v>2814</x:v>
      </x:c>
      <x:c r="T523" s="55" t="n">
        <x:v>1666</x:v>
      </x:c>
      <x:c r="U523" s="55" t="n">
        <x:v>1853</x:v>
      </x:c>
      <x:c r="V523" s="55" t="n">
        <x:v>10644</x:v>
      </x:c>
      <x:c r="W523" s="55" t="n">
        <x:v>7403</x:v>
      </x:c>
      <x:c r="X523" s="55" t="n">
        <x:v>3241</x:v>
      </x:c>
      <x:c r="Y523" s="55" t="n">
        <x:v>3035</x:v>
      </x:c>
      <x:c r="Z523" s="55" t="n">
        <x:v>4222</x:v>
      </x:c>
      <x:c r="AA523" s="55" t="n">
        <x:v>2940</x:v>
      </x:c>
      <x:c r="AB523" s="55" t="n">
        <x:v>947</x:v>
      </x:c>
      <x:c r="AC523" s="55" t="n">
        <x:v>8754</x:v>
      </x:c>
      <x:c r="AD523" s="55" t="n">
        <x:v>3164</x:v>
      </x:c>
      <x:c r="AE523" s="55" t="n">
        <x:v>10738</x:v>
      </x:c>
      <x:c r="AF523" s="55" t="n">
        <x:v>10644</x:v>
      </x:c>
      <x:c r="AG523" s="55" t="n">
        <x:v>94</x:v>
      </x:c>
      <x:c r="AH523" s="55" t="n">
        <x:v>711</x:v>
      </x:c>
      <x:c r="AI523" s="55" t="n">
        <x:v>9933</x:v>
      </x:c>
      <x:c r="AJ523" s="55" t="n">
        <x:v>477</x:v>
      </x:c>
      <x:c r="AK523" s="55" t="n">
        <x:v>1027</x:v>
      </x:c>
      <x:c r="AL523" s="55" t="n">
        <x:v>1770</x:v>
      </x:c>
      <x:c r="AM523" s="55" t="n">
        <x:v>4808</x:v>
      </x:c>
      <x:c r="AN523" s="55" t="n">
        <x:v>2508</x:v>
      </x:c>
      <x:c r="AO523" s="55" t="n">
        <x:v>54</x:v>
      </x:c>
      <x:c r="AP523" s="55" t="n">
        <x:v>2626</x:v>
      </x:c>
      <x:c r="AQ523" s="55" t="n">
        <x:v>962</x:v>
      </x:c>
    </x:row>
    <x:row r="524">
      <x:c r="A524" s="54" t="str">
        <x:v>T2_CONCORDANT_DOMAIN</x:v>
      </x:c>
      <x:c r="B524" s="54" t="n">
        <x:v>518</x:v>
      </x:c>
      <x:c r="C524" s="54" t="str">
        <x:v>NYC-V2-R01</x:v>
      </x:c>
      <x:c r="D524" s="54" t="str">
        <x:v>V2</x:v>
      </x:c>
      <x:c r="E524" s="54" t="str">
        <x:v>ADMITTED</x:v>
      </x:c>
      <x:c r="F524" s="55" t="n">
        <x:v>30911</x:v>
      </x:c>
      <x:c r="G524" s="55" t="n">
        <x:v>6770</x:v>
      </x:c>
      <x:c r="H524" s="55" t="n">
        <x:v>3130</x:v>
      </x:c>
      <x:c r="I524" s="55" t="n">
        <x:v>1469</x:v>
      </x:c>
      <x:c r="J524" s="55" t="n">
        <x:v>288</x:v>
      </x:c>
      <x:c r="K524" s="55" t="n">
        <x:v>30911</x:v>
      </x:c>
      <x:c r="L524" s="55" t="n">
        <x:v>5347</x:v>
      </x:c>
      <x:c r="M524" s="55" t="n">
        <x:v>816</x:v>
      </x:c>
      <x:c r="N524" s="55" t="n">
        <x:v>2965</x:v>
      </x:c>
      <x:c r="O524" s="55" t="n">
        <x:v>1566</x:v>
      </x:c>
      <x:c r="P524" s="55" t="n">
        <x:v>756</x:v>
      </x:c>
      <x:c r="Q524" s="55" t="n">
        <x:v>2809</x:v>
      </x:c>
      <x:c r="R524" s="55" t="n">
        <x:v>1670</x:v>
      </x:c>
      <x:c r="S524" s="55" t="n">
        <x:v>2309</x:v>
      </x:c>
      <x:c r="T524" s="55" t="n">
        <x:v>782</x:v>
      </x:c>
      <x:c r="U524" s="55" t="n">
        <x:v>1980</x:v>
      </x:c>
      <x:c r="V524" s="55" t="n">
        <x:v>10280</x:v>
      </x:c>
      <x:c r="W524" s="55" t="n">
        <x:v>7279</x:v>
      </x:c>
      <x:c r="X524" s="55" t="n">
        <x:v>3001</x:v>
      </x:c>
      <x:c r="Y524" s="55" t="n">
        <x:v>2788</x:v>
      </x:c>
      <x:c r="Z524" s="55" t="n">
        <x:v>3695</x:v>
      </x:c>
      <x:c r="AA524" s="55" t="n">
        <x:v>3041</x:v>
      </x:c>
      <x:c r="AB524" s="55" t="n">
        <x:v>1185</x:v>
      </x:c>
      <x:c r="AC524" s="55" t="n">
        <x:v>8069</x:v>
      </x:c>
      <x:c r="AD524" s="55" t="n">
        <x:v>2230</x:v>
      </x:c>
      <x:c r="AE524" s="55" t="n">
        <x:v>10347</x:v>
      </x:c>
      <x:c r="AF524" s="55" t="n">
        <x:v>10280</x:v>
      </x:c>
      <x:c r="AG524" s="55" t="n">
        <x:v>67</x:v>
      </x:c>
      <x:c r="AH524" s="55" t="n">
        <x:v>443</x:v>
      </x:c>
      <x:c r="AI524" s="55" t="n">
        <x:v>9837</x:v>
      </x:c>
      <x:c r="AJ524" s="55" t="n">
        <x:v>339</x:v>
      </x:c>
      <x:c r="AK524" s="55" t="n">
        <x:v>853</x:v>
      </x:c>
      <x:c r="AL524" s="55" t="n">
        <x:v>1589</x:v>
      </x:c>
      <x:c r="AM524" s="55" t="n">
        <x:v>5074</x:v>
      </x:c>
      <x:c r="AN524" s="55" t="n">
        <x:v>2425</x:v>
      </x:c>
      <x:c r="AO524" s="55" t="n">
        <x:v>0</x:v>
      </x:c>
      <x:c r="AP524" s="55" t="n">
        <x:v>1888</x:v>
      </x:c>
      <x:c r="AQ524" s="55" t="n">
        <x:v>976</x:v>
      </x:c>
    </x:row>
    <x:row r="525">
      <x:c r="A525" s="54" t="str">
        <x:v>T2_CONCORDANT_DOMAIN</x:v>
      </x:c>
      <x:c r="B525" s="54" t="n">
        <x:v>519</x:v>
      </x:c>
      <x:c r="C525" s="54" t="str">
        <x:v>NYC-V2-R01</x:v>
      </x:c>
      <x:c r="D525" s="54" t="str">
        <x:v>V2</x:v>
      </x:c>
      <x:c r="E525" s="54" t="str">
        <x:v>ADMITTED</x:v>
      </x:c>
      <x:c r="F525" s="55" t="n">
        <x:v>28815</x:v>
      </x:c>
      <x:c r="G525" s="55" t="n">
        <x:v>6663</x:v>
      </x:c>
      <x:c r="H525" s="55" t="n">
        <x:v>2772</x:v>
      </x:c>
      <x:c r="I525" s="55" t="n">
        <x:v>1118</x:v>
      </x:c>
      <x:c r="J525" s="55" t="n">
        <x:v>171</x:v>
      </x:c>
      <x:c r="K525" s="55" t="n">
        <x:v>28710</x:v>
      </x:c>
      <x:c r="L525" s="55" t="n">
        <x:v>4697</x:v>
      </x:c>
      <x:c r="M525" s="55" t="n">
        <x:v>856</x:v>
      </x:c>
      <x:c r="N525" s="55" t="n">
        <x:v>2345</x:v>
      </x:c>
      <x:c r="O525" s="55" t="n">
        <x:v>1496</x:v>
      </x:c>
      <x:c r="P525" s="55" t="n">
        <x:v>511</x:v>
      </x:c>
      <x:c r="Q525" s="55" t="n">
        <x:v>1376</x:v>
      </x:c>
      <x:c r="R525" s="55" t="n">
        <x:v>1494</x:v>
      </x:c>
      <x:c r="S525" s="55" t="n">
        <x:v>1928</x:v>
      </x:c>
      <x:c r="T525" s="55" t="n">
        <x:v>1194</x:v>
      </x:c>
      <x:c r="U525" s="55" t="n">
        <x:v>1779</x:v>
      </x:c>
      <x:c r="V525" s="55" t="n">
        <x:v>10028</x:v>
      </x:c>
      <x:c r="W525" s="55" t="n">
        <x:v>7074</x:v>
      </x:c>
      <x:c r="X525" s="55" t="n">
        <x:v>2954</x:v>
      </x:c>
      <x:c r="Y525" s="55" t="n">
        <x:v>2611</x:v>
      </x:c>
      <x:c r="Z525" s="55" t="n">
        <x:v>3738</x:v>
      </x:c>
      <x:c r="AA525" s="55" t="n">
        <x:v>2772</x:v>
      </x:c>
      <x:c r="AB525" s="55" t="n">
        <x:v>1084</x:v>
      </x:c>
      <x:c r="AC525" s="55" t="n">
        <x:v>7623</x:v>
      </x:c>
      <x:c r="AD525" s="55" t="n">
        <x:v>2822</x:v>
      </x:c>
      <x:c r="AE525" s="55" t="n">
        <x:v>10028</x:v>
      </x:c>
      <x:c r="AF525" s="55" t="n">
        <x:v>10028</x:v>
      </x:c>
      <x:c r="AG525" s="55" t="n">
        <x:v>0</x:v>
      </x:c>
      <x:c r="AH525" s="55" t="n">
        <x:v>440</x:v>
      </x:c>
      <x:c r="AI525" s="55" t="n">
        <x:v>9588</x:v>
      </x:c>
      <x:c r="AJ525" s="55" t="n">
        <x:v>414</x:v>
      </x:c>
      <x:c r="AK525" s="55" t="n">
        <x:v>1054</x:v>
      </x:c>
      <x:c r="AL525" s="55" t="n">
        <x:v>1301</x:v>
      </x:c>
      <x:c r="AM525" s="55" t="n">
        <x:v>4986</x:v>
      </x:c>
      <x:c r="AN525" s="55" t="n">
        <x:v>2241</x:v>
      </x:c>
      <x:c r="AO525" s="55" t="n">
        <x:v>32</x:v>
      </x:c>
      <x:c r="AP525" s="55" t="n">
        <x:v>1660</x:v>
      </x:c>
      <x:c r="AQ525" s="55" t="n">
        <x:v>957</x:v>
      </x:c>
    </x:row>
    <x:row r="526">
      <x:c r="A526" s="54" t="str">
        <x:v>T2_CONCORDANT_DOMAIN</x:v>
      </x:c>
      <x:c r="B526" s="54" t="n">
        <x:v>520</x:v>
      </x:c>
      <x:c r="C526" s="54" t="str">
        <x:v>NYC-V2-R01</x:v>
      </x:c>
      <x:c r="D526" s="54" t="str">
        <x:v>V2</x:v>
      </x:c>
      <x:c r="E526" s="54" t="str">
        <x:v>ADMITTED</x:v>
      </x:c>
      <x:c r="F526" s="55" t="n">
        <x:v>28657</x:v>
      </x:c>
      <x:c r="G526" s="55" t="n">
        <x:v>6464</x:v>
      </x:c>
      <x:c r="H526" s="55" t="n">
        <x:v>3093</x:v>
      </x:c>
      <x:c r="I526" s="55" t="n">
        <x:v>479</x:v>
      </x:c>
      <x:c r="J526" s="55" t="n">
        <x:v>0</x:v>
      </x:c>
      <x:c r="K526" s="55" t="n">
        <x:v>28657</x:v>
      </x:c>
      <x:c r="L526" s="55" t="n">
        <x:v>4477</x:v>
      </x:c>
      <x:c r="M526" s="55" t="n">
        <x:v>976</x:v>
      </x:c>
      <x:c r="N526" s="55" t="n">
        <x:v>2275</x:v>
      </x:c>
      <x:c r="O526" s="55" t="n">
        <x:v>1226</x:v>
      </x:c>
      <x:c r="P526" s="55" t="n">
        <x:v>662</x:v>
      </x:c>
      <x:c r="Q526" s="55" t="n">
        <x:v>2136</x:v>
      </x:c>
      <x:c r="R526" s="55" t="n">
        <x:v>1860</x:v>
      </x:c>
      <x:c r="S526" s="55" t="n">
        <x:v>2328</x:v>
      </x:c>
      <x:c r="T526" s="55" t="n">
        <x:v>1198</x:v>
      </x:c>
      <x:c r="U526" s="55" t="n">
        <x:v>1311</x:v>
      </x:c>
      <x:c r="V526" s="55" t="n">
        <x:v>9769</x:v>
      </x:c>
      <x:c r="W526" s="55" t="n">
        <x:v>7203</x:v>
      </x:c>
      <x:c r="X526" s="55" t="n">
        <x:v>2566</x:v>
      </x:c>
      <x:c r="Y526" s="55" t="n">
        <x:v>2122</x:v>
      </x:c>
      <x:c r="Z526" s="55" t="n">
        <x:v>3077</x:v>
      </x:c>
      <x:c r="AA526" s="55" t="n">
        <x:v>3093</x:v>
      </x:c>
      <x:c r="AB526" s="55" t="n">
        <x:v>1023</x:v>
      </x:c>
      <x:c r="AC526" s="55" t="n">
        <x:v>7610</x:v>
      </x:c>
      <x:c r="AD526" s="55" t="n">
        <x:v>2882</x:v>
      </x:c>
      <x:c r="AE526" s="55" t="n">
        <x:v>9780</x:v>
      </x:c>
      <x:c r="AF526" s="55" t="n">
        <x:v>9769</x:v>
      </x:c>
      <x:c r="AG526" s="55" t="n">
        <x:v>11</x:v>
      </x:c>
      <x:c r="AH526" s="55" t="n">
        <x:v>238</x:v>
      </x:c>
      <x:c r="AI526" s="55" t="n">
        <x:v>9531</x:v>
      </x:c>
      <x:c r="AJ526" s="55" t="n">
        <x:v>235</x:v>
      </x:c>
      <x:c r="AK526" s="55" t="n">
        <x:v>889</x:v>
      </x:c>
      <x:c r="AL526" s="55" t="n">
        <x:v>1402</x:v>
      </x:c>
      <x:c r="AM526" s="55" t="n">
        <x:v>5164</x:v>
      </x:c>
      <x:c r="AN526" s="55" t="n">
        <x:v>2079</x:v>
      </x:c>
      <x:c r="AO526" s="55" t="n">
        <x:v>0</x:v>
      </x:c>
      <x:c r="AP526" s="55" t="n">
        <x:v>1795</x:v>
      </x:c>
      <x:c r="AQ526" s="55" t="n">
        <x:v>920</x:v>
      </x:c>
    </x:row>
    <x:row r="527">
      <x:c r="A527" s="54" t="str">
        <x:v>T2_CONCORDANT_DOMAIN</x:v>
      </x:c>
      <x:c r="B527" s="54" t="n">
        <x:v>521</x:v>
      </x:c>
      <x:c r="C527" s="54" t="str">
        <x:v>NYC-V2-R01</x:v>
      </x:c>
      <x:c r="D527" s="54" t="str">
        <x:v>V2</x:v>
      </x:c>
      <x:c r="E527" s="54" t="str">
        <x:v>ADMITTED</x:v>
      </x:c>
      <x:c r="F527" s="55" t="n">
        <x:v>31792</x:v>
      </x:c>
      <x:c r="G527" s="55" t="n">
        <x:v>7925</x:v>
      </x:c>
      <x:c r="H527" s="55" t="n">
        <x:v>3954</x:v>
      </x:c>
      <x:c r="I527" s="55" t="n">
        <x:v>1930</x:v>
      </x:c>
      <x:c r="J527" s="55" t="n">
        <x:v>258</x:v>
      </x:c>
      <x:c r="K527" s="55" t="n">
        <x:v>31792</x:v>
      </x:c>
      <x:c r="L527" s="55" t="n">
        <x:v>6891</x:v>
      </x:c>
      <x:c r="M527" s="55" t="n">
        <x:v>1872</x:v>
      </x:c>
      <x:c r="N527" s="55" t="n">
        <x:v>2712</x:v>
      </x:c>
      <x:c r="O527" s="55" t="n">
        <x:v>2307</x:v>
      </x:c>
      <x:c r="P527" s="55" t="n">
        <x:v>1108</x:v>
      </x:c>
      <x:c r="Q527" s="55" t="n">
        <x:v>2639</x:v>
      </x:c>
      <x:c r="R527" s="55" t="n">
        <x:v>2244</x:v>
      </x:c>
      <x:c r="S527" s="55" t="n">
        <x:v>3532</x:v>
      </x:c>
      <x:c r="T527" s="55" t="n">
        <x:v>1384</x:v>
      </x:c>
      <x:c r="U527" s="55" t="n">
        <x:v>2531</x:v>
      </x:c>
      <x:c r="V527" s="55" t="n">
        <x:v>10663</x:v>
      </x:c>
      <x:c r="W527" s="55" t="n">
        <x:v>7349</x:v>
      </x:c>
      <x:c r="X527" s="55" t="n">
        <x:v>3314</x:v>
      </x:c>
      <x:c r="Y527" s="55" t="n">
        <x:v>3019</x:v>
      </x:c>
      <x:c r="Z527" s="55" t="n">
        <x:v>4126</x:v>
      </x:c>
      <x:c r="AA527" s="55" t="n">
        <x:v>3954</x:v>
      </x:c>
      <x:c r="AB527" s="55" t="n">
        <x:v>1305</x:v>
      </x:c>
      <x:c r="AC527" s="55" t="n">
        <x:v>8339</x:v>
      </x:c>
      <x:c r="AD527" s="55" t="n">
        <x:v>3378</x:v>
      </x:c>
      <x:c r="AE527" s="55" t="n">
        <x:v>10787</x:v>
      </x:c>
      <x:c r="AF527" s="55" t="n">
        <x:v>10663</x:v>
      </x:c>
      <x:c r="AG527" s="55" t="n">
        <x:v>124</x:v>
      </x:c>
      <x:c r="AH527" s="55" t="n">
        <x:v>388</x:v>
      </x:c>
      <x:c r="AI527" s="55" t="n">
        <x:v>10275</x:v>
      </x:c>
      <x:c r="AJ527" s="55" t="n">
        <x:v>292</x:v>
      </x:c>
      <x:c r="AK527" s="55" t="n">
        <x:v>839</x:v>
      </x:c>
      <x:c r="AL527" s="55" t="n">
        <x:v>2083</x:v>
      </x:c>
      <x:c r="AM527" s="55" t="n">
        <x:v>4875</x:v>
      </x:c>
      <x:c r="AN527" s="55" t="n">
        <x:v>2567</x:v>
      </x:c>
      <x:c r="AO527" s="55" t="n">
        <x:v>7</x:v>
      </x:c>
      <x:c r="AP527" s="55" t="n">
        <x:v>2326</x:v>
      </x:c>
      <x:c r="AQ527" s="55" t="n">
        <x:v>973</x:v>
      </x:c>
    </x:row>
    <x:row r="528">
      <x:c r="A528" s="54" t="str">
        <x:v>T2_CONCORDANT_DOMAIN</x:v>
      </x:c>
      <x:c r="B528" s="54" t="n">
        <x:v>522</x:v>
      </x:c>
      <x:c r="C528" s="54" t="str">
        <x:v>NYC-V2-R01</x:v>
      </x:c>
      <x:c r="D528" s="54" t="str">
        <x:v>V2</x:v>
      </x:c>
      <x:c r="E528" s="54" t="str">
        <x:v>ADMITTED</x:v>
      </x:c>
      <x:c r="F528" s="55" t="n">
        <x:v>31111</x:v>
      </x:c>
      <x:c r="G528" s="55" t="n">
        <x:v>8264</x:v>
      </x:c>
      <x:c r="H528" s="55" t="n">
        <x:v>3197</x:v>
      </x:c>
      <x:c r="I528" s="55" t="n">
        <x:v>1261</x:v>
      </x:c>
      <x:c r="J528" s="55" t="n">
        <x:v>219</x:v>
      </x:c>
      <x:c r="K528" s="55" t="n">
        <x:v>30070</x:v>
      </x:c>
      <x:c r="L528" s="55" t="n">
        <x:v>5809</x:v>
      </x:c>
      <x:c r="M528" s="55" t="n">
        <x:v>893</x:v>
      </x:c>
      <x:c r="N528" s="55" t="n">
        <x:v>2732</x:v>
      </x:c>
      <x:c r="O528" s="55" t="n">
        <x:v>2184</x:v>
      </x:c>
      <x:c r="P528" s="55" t="n">
        <x:v>805</x:v>
      </x:c>
      <x:c r="Q528" s="55" t="n">
        <x:v>1720</x:v>
      </x:c>
      <x:c r="R528" s="55" t="n">
        <x:v>1327</x:v>
      </x:c>
      <x:c r="S528" s="55" t="n">
        <x:v>3024</x:v>
      </x:c>
      <x:c r="T528" s="55" t="n">
        <x:v>1048</x:v>
      </x:c>
      <x:c r="U528" s="55" t="n">
        <x:v>2070</x:v>
      </x:c>
      <x:c r="V528" s="55" t="n">
        <x:v>10379</x:v>
      </x:c>
      <x:c r="W528" s="55" t="n">
        <x:v>7827</x:v>
      </x:c>
      <x:c r="X528" s="55" t="n">
        <x:v>2552</x:v>
      </x:c>
      <x:c r="Y528" s="55" t="n">
        <x:v>2341</x:v>
      </x:c>
      <x:c r="Z528" s="55" t="n">
        <x:v>3970</x:v>
      </x:c>
      <x:c r="AA528" s="55" t="n">
        <x:v>3197</x:v>
      </x:c>
      <x:c r="AB528" s="55" t="n">
        <x:v>1044</x:v>
      </x:c>
      <x:c r="AC528" s="55" t="n">
        <x:v>7862</x:v>
      </x:c>
      <x:c r="AD528" s="55" t="n">
        <x:v>3084</x:v>
      </x:c>
      <x:c r="AE528" s="55" t="n">
        <x:v>10449</x:v>
      </x:c>
      <x:c r="AF528" s="55" t="n">
        <x:v>10379</x:v>
      </x:c>
      <x:c r="AG528" s="55" t="n">
        <x:v>70</x:v>
      </x:c>
      <x:c r="AH528" s="55" t="n">
        <x:v>307</x:v>
      </x:c>
      <x:c r="AI528" s="55" t="n">
        <x:v>10072</x:v>
      </x:c>
      <x:c r="AJ528" s="55" t="n">
        <x:v>280</x:v>
      </x:c>
      <x:c r="AK528" s="55" t="n">
        <x:v>785</x:v>
      </x:c>
      <x:c r="AL528" s="55" t="n">
        <x:v>1823</x:v>
      </x:c>
      <x:c r="AM528" s="55" t="n">
        <x:v>5000</x:v>
      </x:c>
      <x:c r="AN528" s="55" t="n">
        <x:v>2442</x:v>
      </x:c>
      <x:c r="AO528" s="55" t="n">
        <x:v>49</x:v>
      </x:c>
      <x:c r="AP528" s="55" t="n">
        <x:v>2294</x:v>
      </x:c>
      <x:c r="AQ528" s="55" t="n">
        <x:v>988</x:v>
      </x:c>
    </x:row>
    <x:row r="529">
      <x:c r="A529" s="54" t="str">
        <x:v>T2_CONCORDANT_DOMAIN</x:v>
      </x:c>
      <x:c r="B529" s="54" t="n">
        <x:v>523</x:v>
      </x:c>
      <x:c r="C529" s="54" t="str">
        <x:v>NYC-V2-R01</x:v>
      </x:c>
      <x:c r="D529" s="54" t="str">
        <x:v>V2</x:v>
      </x:c>
      <x:c r="E529" s="54" t="str">
        <x:v>ADMITTED</x:v>
      </x:c>
      <x:c r="F529" s="55" t="n">
        <x:v>32764</x:v>
      </x:c>
      <x:c r="G529" s="55" t="n">
        <x:v>8863</x:v>
      </x:c>
      <x:c r="H529" s="55" t="n">
        <x:v>3316</x:v>
      </x:c>
      <x:c r="I529" s="55" t="n">
        <x:v>1221</x:v>
      </x:c>
      <x:c r="J529" s="55" t="n">
        <x:v>267</x:v>
      </x:c>
      <x:c r="K529" s="55" t="n">
        <x:v>30417</x:v>
      </x:c>
      <x:c r="L529" s="55" t="n">
        <x:v>5773</x:v>
      </x:c>
      <x:c r="M529" s="55" t="n">
        <x:v>1688</x:v>
      </x:c>
      <x:c r="N529" s="55" t="n">
        <x:v>2847</x:v>
      </x:c>
      <x:c r="O529" s="55" t="n">
        <x:v>1238</x:v>
      </x:c>
      <x:c r="P529" s="55" t="n">
        <x:v>625</x:v>
      </x:c>
      <x:c r="Q529" s="55" t="n">
        <x:v>2354</x:v>
      </x:c>
      <x:c r="R529" s="55" t="n">
        <x:v>1454</x:v>
      </x:c>
      <x:c r="S529" s="55" t="n">
        <x:v>2486</x:v>
      </x:c>
      <x:c r="T529" s="55" t="n">
        <x:v>817</x:v>
      </x:c>
      <x:c r="U529" s="55" t="n">
        <x:v>1909</x:v>
      </x:c>
      <x:c r="V529" s="55" t="n">
        <x:v>9744</x:v>
      </x:c>
      <x:c r="W529" s="55" t="n">
        <x:v>6850</x:v>
      </x:c>
      <x:c r="X529" s="55" t="n">
        <x:v>2894</x:v>
      </x:c>
      <x:c r="Y529" s="55" t="n">
        <x:v>2425</x:v>
      </x:c>
      <x:c r="Z529" s="55" t="n">
        <x:v>3298</x:v>
      </x:c>
      <x:c r="AA529" s="55" t="n">
        <x:v>2910</x:v>
      </x:c>
      <x:c r="AB529" s="55" t="n">
        <x:v>855</x:v>
      </x:c>
      <x:c r="AC529" s="55" t="n">
        <x:v>8275</x:v>
      </x:c>
      <x:c r="AD529" s="55" t="n">
        <x:v>2615</x:v>
      </x:c>
      <x:c r="AE529" s="55" t="n">
        <x:v>9781</x:v>
      </x:c>
      <x:c r="AF529" s="55" t="n">
        <x:v>9744</x:v>
      </x:c>
      <x:c r="AG529" s="55" t="n">
        <x:v>37</x:v>
      </x:c>
      <x:c r="AH529" s="55" t="n">
        <x:v>330</x:v>
      </x:c>
      <x:c r="AI529" s="55" t="n">
        <x:v>9414</x:v>
      </x:c>
      <x:c r="AJ529" s="55" t="n">
        <x:v>242</x:v>
      </x:c>
      <x:c r="AK529" s="55" t="n">
        <x:v>767</x:v>
      </x:c>
      <x:c r="AL529" s="55" t="n">
        <x:v>1573</x:v>
      </x:c>
      <x:c r="AM529" s="55" t="n">
        <x:v>5192</x:v>
      </x:c>
      <x:c r="AN529" s="55" t="n">
        <x:v>1970</x:v>
      </x:c>
      <x:c r="AO529" s="55" t="n">
        <x:v>0</x:v>
      </x:c>
      <x:c r="AP529" s="55" t="n">
        <x:v>2318</x:v>
      </x:c>
      <x:c r="AQ529" s="55" t="n">
        <x:v>1010</x:v>
      </x:c>
    </x:row>
    <x:row r="530">
      <x:c r="A530" s="54" t="str">
        <x:v>T2_CONCORDANT_DOMAIN</x:v>
      </x:c>
      <x:c r="B530" s="54" t="n">
        <x:v>524</x:v>
      </x:c>
      <x:c r="C530" s="54" t="str">
        <x:v>NYC-V2-R01</x:v>
      </x:c>
      <x:c r="D530" s="54" t="str">
        <x:v>V2</x:v>
      </x:c>
      <x:c r="E530" s="54" t="str">
        <x:v>ADMITTED</x:v>
      </x:c>
      <x:c r="F530" s="55" t="n">
        <x:v>32507</x:v>
      </x:c>
      <x:c r="G530" s="55" t="n">
        <x:v>7153</x:v>
      </x:c>
      <x:c r="H530" s="55" t="n">
        <x:v>3241</x:v>
      </x:c>
      <x:c r="I530" s="55" t="n">
        <x:v>1395</x:v>
      </x:c>
      <x:c r="J530" s="55" t="n">
        <x:v>245</x:v>
      </x:c>
      <x:c r="K530" s="55" t="n">
        <x:v>32507</x:v>
      </x:c>
      <x:c r="L530" s="55" t="n">
        <x:v>8373</x:v>
      </x:c>
      <x:c r="M530" s="55" t="n">
        <x:v>2784</x:v>
      </x:c>
      <x:c r="N530" s="55" t="n">
        <x:v>3565</x:v>
      </x:c>
      <x:c r="O530" s="55" t="n">
        <x:v>2024</x:v>
      </x:c>
      <x:c r="P530" s="55" t="n">
        <x:v>778</x:v>
      </x:c>
      <x:c r="Q530" s="55" t="n">
        <x:v>2779</x:v>
      </x:c>
      <x:c r="R530" s="55" t="n">
        <x:v>1819</x:v>
      </x:c>
      <x:c r="S530" s="55" t="n">
        <x:v>3402</x:v>
      </x:c>
      <x:c r="T530" s="55" t="n">
        <x:v>1238</x:v>
      </x:c>
      <x:c r="U530" s="55" t="n">
        <x:v>2425</x:v>
      </x:c>
      <x:c r="V530" s="55" t="n">
        <x:v>10972</x:v>
      </x:c>
      <x:c r="W530" s="55" t="n">
        <x:v>7798</x:v>
      </x:c>
      <x:c r="X530" s="55" t="n">
        <x:v>3174</x:v>
      </x:c>
      <x:c r="Y530" s="55" t="n">
        <x:v>2865</x:v>
      </x:c>
      <x:c r="Z530" s="55" t="n">
        <x:v>3920</x:v>
      </x:c>
      <x:c r="AA530" s="55" t="n">
        <x:v>3241</x:v>
      </x:c>
      <x:c r="AB530" s="55" t="n">
        <x:v>1331</x:v>
      </x:c>
      <x:c r="AC530" s="55" t="n">
        <x:v>8314</x:v>
      </x:c>
      <x:c r="AD530" s="55" t="n">
        <x:v>2877</x:v>
      </x:c>
      <x:c r="AE530" s="55" t="n">
        <x:v>11072</x:v>
      </x:c>
      <x:c r="AF530" s="55" t="n">
        <x:v>10972</x:v>
      </x:c>
      <x:c r="AG530" s="55" t="n">
        <x:v>100</x:v>
      </x:c>
      <x:c r="AH530" s="55" t="n">
        <x:v>361</x:v>
      </x:c>
      <x:c r="AI530" s="55" t="n">
        <x:v>10611</x:v>
      </x:c>
      <x:c r="AJ530" s="55" t="n">
        <x:v>512</x:v>
      </x:c>
      <x:c r="AK530" s="55" t="n">
        <x:v>956</x:v>
      </x:c>
      <x:c r="AL530" s="55" t="n">
        <x:v>1631</x:v>
      </x:c>
      <x:c r="AM530" s="55" t="n">
        <x:v>4799</x:v>
      </x:c>
      <x:c r="AN530" s="55" t="n">
        <x:v>2947</x:v>
      </x:c>
      <x:c r="AO530" s="55" t="n">
        <x:v>127</x:v>
      </x:c>
      <x:c r="AP530" s="55" t="n">
        <x:v>2646</x:v>
      </x:c>
      <x:c r="AQ530" s="55" t="n">
        <x:v>987</x:v>
      </x:c>
    </x:row>
    <x:row r="531">
      <x:c r="A531" s="54" t="str">
        <x:v>T2_CONCORDANT_DOMAIN</x:v>
      </x:c>
      <x:c r="B531" s="54" t="n">
        <x:v>525</x:v>
      </x:c>
      <x:c r="C531" s="54" t="str">
        <x:v>NYC-V2-R01</x:v>
      </x:c>
      <x:c r="D531" s="54" t="str">
        <x:v>V2</x:v>
      </x:c>
      <x:c r="E531" s="54" t="str">
        <x:v>ADMITTED</x:v>
      </x:c>
      <x:c r="F531" s="55" t="n">
        <x:v>29393</x:v>
      </x:c>
      <x:c r="G531" s="55" t="n">
        <x:v>6094</x:v>
      </x:c>
      <x:c r="H531" s="55" t="n">
        <x:v>3485</x:v>
      </x:c>
      <x:c r="I531" s="55" t="n">
        <x:v>1827</x:v>
      </x:c>
      <x:c r="J531" s="55" t="n">
        <x:v>146</x:v>
      </x:c>
      <x:c r="K531" s="55" t="n">
        <x:v>29393</x:v>
      </x:c>
      <x:c r="L531" s="55" t="n">
        <x:v>5091</x:v>
      </x:c>
      <x:c r="M531" s="55" t="n">
        <x:v>1186</x:v>
      </x:c>
      <x:c r="N531" s="55" t="n">
        <x:v>2526</x:v>
      </x:c>
      <x:c r="O531" s="55" t="n">
        <x:v>1379</x:v>
      </x:c>
      <x:c r="P531" s="55" t="n">
        <x:v>568</x:v>
      </x:c>
      <x:c r="Q531" s="55" t="n">
        <x:v>2891</x:v>
      </x:c>
      <x:c r="R531" s="55" t="n">
        <x:v>1963</x:v>
      </x:c>
      <x:c r="S531" s="55" t="n">
        <x:v>2760</x:v>
      </x:c>
      <x:c r="T531" s="55" t="n">
        <x:v>1222</x:v>
      </x:c>
      <x:c r="U531" s="55" t="n">
        <x:v>1910</x:v>
      </x:c>
      <x:c r="V531" s="55" t="n">
        <x:v>10433</x:v>
      </x:c>
      <x:c r="W531" s="55" t="n">
        <x:v>7456</x:v>
      </x:c>
      <x:c r="X531" s="55" t="n">
        <x:v>2977</x:v>
      </x:c>
      <x:c r="Y531" s="55" t="n">
        <x:v>2570</x:v>
      </x:c>
      <x:c r="Z531" s="55" t="n">
        <x:v>3597</x:v>
      </x:c>
      <x:c r="AA531" s="55" t="n">
        <x:v>2862</x:v>
      </x:c>
      <x:c r="AB531" s="55" t="n">
        <x:v>1035</x:v>
      </x:c>
      <x:c r="AC531" s="55" t="n">
        <x:v>7765</x:v>
      </x:c>
      <x:c r="AD531" s="55" t="n">
        <x:v>2642</x:v>
      </x:c>
      <x:c r="AE531" s="55" t="n">
        <x:v>10473</x:v>
      </x:c>
      <x:c r="AF531" s="55" t="n">
        <x:v>10433</x:v>
      </x:c>
      <x:c r="AG531" s="55" t="n">
        <x:v>40</x:v>
      </x:c>
      <x:c r="AH531" s="55" t="n">
        <x:v>515</x:v>
      </x:c>
      <x:c r="AI531" s="55" t="n">
        <x:v>9918</x:v>
      </x:c>
      <x:c r="AJ531" s="55" t="n">
        <x:v>306</x:v>
      </x:c>
      <x:c r="AK531" s="55" t="n">
        <x:v>875</x:v>
      </x:c>
      <x:c r="AL531" s="55" t="n">
        <x:v>1737</x:v>
      </x:c>
      <x:c r="AM531" s="55" t="n">
        <x:v>5011</x:v>
      </x:c>
      <x:c r="AN531" s="55" t="n">
        <x:v>2475</x:v>
      </x:c>
      <x:c r="AO531" s="55" t="n">
        <x:v>29</x:v>
      </x:c>
      <x:c r="AP531" s="55" t="n">
        <x:v>2167</x:v>
      </x:c>
      <x:c r="AQ531" s="55" t="n">
        <x:v>923</x:v>
      </x:c>
    </x:row>
    <x:row r="532">
      <x:c r="A532" s="54" t="str">
        <x:v>T2_CONCORDANT_DOMAIN</x:v>
      </x:c>
      <x:c r="B532" s="54" t="n">
        <x:v>526</x:v>
      </x:c>
      <x:c r="C532" s="54" t="str">
        <x:v>NYC-V2-R01</x:v>
      </x:c>
      <x:c r="D532" s="54" t="str">
        <x:v>V2</x:v>
      </x:c>
      <x:c r="E532" s="54" t="str">
        <x:v>ADMITTED</x:v>
      </x:c>
      <x:c r="F532" s="55" t="n">
        <x:v>31779</x:v>
      </x:c>
      <x:c r="G532" s="55" t="n">
        <x:v>7508</x:v>
      </x:c>
      <x:c r="H532" s="55" t="n">
        <x:v>2900</x:v>
      </x:c>
      <x:c r="I532" s="55" t="n">
        <x:v>967</x:v>
      </x:c>
      <x:c r="J532" s="55" t="n">
        <x:v>100</x:v>
      </x:c>
      <x:c r="K532" s="55" t="n">
        <x:v>31779</x:v>
      </x:c>
      <x:c r="L532" s="55" t="n">
        <x:v>5808</x:v>
      </x:c>
      <x:c r="M532" s="55" t="n">
        <x:v>1677</x:v>
      </x:c>
      <x:c r="N532" s="55" t="n">
        <x:v>2484</x:v>
      </x:c>
      <x:c r="O532" s="55" t="n">
        <x:v>1647</x:v>
      </x:c>
      <x:c r="P532" s="55" t="n">
        <x:v>695</x:v>
      </x:c>
      <x:c r="Q532" s="55" t="n">
        <x:v>2541</x:v>
      </x:c>
      <x:c r="R532" s="55" t="n">
        <x:v>1820</x:v>
      </x:c>
      <x:c r="S532" s="55" t="n">
        <x:v>3111</x:v>
      </x:c>
      <x:c r="T532" s="55" t="n">
        <x:v>1123</x:v>
      </x:c>
      <x:c r="U532" s="55" t="n">
        <x:v>1894</x:v>
      </x:c>
      <x:c r="V532" s="55" t="n">
        <x:v>10009</x:v>
      </x:c>
      <x:c r="W532" s="55" t="n">
        <x:v>7122</x:v>
      </x:c>
      <x:c r="X532" s="55" t="n">
        <x:v>2887</x:v>
      </x:c>
      <x:c r="Y532" s="55" t="n">
        <x:v>2321</x:v>
      </x:c>
      <x:c r="Z532" s="55" t="n">
        <x:v>2997</x:v>
      </x:c>
      <x:c r="AA532" s="55" t="n">
        <x:v>2878</x:v>
      </x:c>
      <x:c r="AB532" s="55" t="n">
        <x:v>876</x:v>
      </x:c>
      <x:c r="AC532" s="55" t="n">
        <x:v>7906</x:v>
      </x:c>
      <x:c r="AD532" s="55" t="n">
        <x:v>3137</x:v>
      </x:c>
      <x:c r="AE532" s="55" t="n">
        <x:v>10037</x:v>
      </x:c>
      <x:c r="AF532" s="55" t="n">
        <x:v>10009</x:v>
      </x:c>
      <x:c r="AG532" s="55" t="n">
        <x:v>28</x:v>
      </x:c>
      <x:c r="AH532" s="55" t="n">
        <x:v>445</x:v>
      </x:c>
      <x:c r="AI532" s="55" t="n">
        <x:v>9564</x:v>
      </x:c>
      <x:c r="AJ532" s="55" t="n">
        <x:v>330</x:v>
      </x:c>
      <x:c r="AK532" s="55" t="n">
        <x:v>969</x:v>
      </x:c>
      <x:c r="AL532" s="55" t="n">
        <x:v>1704</x:v>
      </x:c>
      <x:c r="AM532" s="55" t="n">
        <x:v>4354</x:v>
      </x:c>
      <x:c r="AN532" s="55" t="n">
        <x:v>2652</x:v>
      </x:c>
      <x:c r="AO532" s="55" t="n">
        <x:v>0</x:v>
      </x:c>
      <x:c r="AP532" s="55" t="n">
        <x:v>1708</x:v>
      </x:c>
      <x:c r="AQ532" s="55" t="n">
        <x:v>934</x:v>
      </x:c>
    </x:row>
    <x:row r="533">
      <x:c r="A533" s="54" t="str">
        <x:v>T2_CONCORDANT_DOMAIN</x:v>
      </x:c>
      <x:c r="B533" s="54" t="n">
        <x:v>527</x:v>
      </x:c>
      <x:c r="C533" s="54" t="str">
        <x:v>NYC-V2-R01</x:v>
      </x:c>
      <x:c r="D533" s="54" t="str">
        <x:v>V2</x:v>
      </x:c>
      <x:c r="E533" s="54" t="str">
        <x:v>ADMITTED</x:v>
      </x:c>
      <x:c r="F533" s="55" t="n">
        <x:v>31306</x:v>
      </x:c>
      <x:c r="G533" s="55" t="n">
        <x:v>8356</x:v>
      </x:c>
      <x:c r="H533" s="55" t="n">
        <x:v>3416</x:v>
      </x:c>
      <x:c r="I533" s="55" t="n">
        <x:v>1277</x:v>
      </x:c>
      <x:c r="J533" s="55" t="n">
        <x:v>262</x:v>
      </x:c>
      <x:c r="K533" s="55" t="n">
        <x:v>31306</x:v>
      </x:c>
      <x:c r="L533" s="55" t="n">
        <x:v>6632</x:v>
      </x:c>
      <x:c r="M533" s="55" t="n">
        <x:v>1695</x:v>
      </x:c>
      <x:c r="N533" s="55" t="n">
        <x:v>3041</x:v>
      </x:c>
      <x:c r="O533" s="55" t="n">
        <x:v>1896</x:v>
      </x:c>
      <x:c r="P533" s="55" t="n">
        <x:v>838</x:v>
      </x:c>
      <x:c r="Q533" s="55" t="n">
        <x:v>1974</x:v>
      </x:c>
      <x:c r="R533" s="55" t="n">
        <x:v>2420</x:v>
      </x:c>
      <x:c r="S533" s="55" t="n">
        <x:v>2886</x:v>
      </x:c>
      <x:c r="T533" s="55" t="n">
        <x:v>1275</x:v>
      </x:c>
      <x:c r="U533" s="55" t="n">
        <x:v>1998</x:v>
      </x:c>
      <x:c r="V533" s="55" t="n">
        <x:v>10174</x:v>
      </x:c>
      <x:c r="W533" s="55" t="n">
        <x:v>7103</x:v>
      </x:c>
      <x:c r="X533" s="55" t="n">
        <x:v>3071</x:v>
      </x:c>
      <x:c r="Y533" s="55" t="n">
        <x:v>2638</x:v>
      </x:c>
      <x:c r="Z533" s="55" t="n">
        <x:v>3563</x:v>
      </x:c>
      <x:c r="AA533" s="55" t="n">
        <x:v>3237</x:v>
      </x:c>
      <x:c r="AB533" s="55" t="n">
        <x:v>1231</x:v>
      </x:c>
      <x:c r="AC533" s="55" t="n">
        <x:v>8439</x:v>
      </x:c>
      <x:c r="AD533" s="55" t="n">
        <x:v>2668</x:v>
      </x:c>
      <x:c r="AE533" s="55" t="n">
        <x:v>10276</x:v>
      </x:c>
      <x:c r="AF533" s="55" t="n">
        <x:v>10174</x:v>
      </x:c>
      <x:c r="AG533" s="55" t="n">
        <x:v>102</x:v>
      </x:c>
      <x:c r="AH533" s="55" t="n">
        <x:v>657</x:v>
      </x:c>
      <x:c r="AI533" s="55" t="n">
        <x:v>9517</x:v>
      </x:c>
      <x:c r="AJ533" s="55" t="n">
        <x:v>410</x:v>
      </x:c>
      <x:c r="AK533" s="55" t="n">
        <x:v>1083</x:v>
      </x:c>
      <x:c r="AL533" s="55" t="n">
        <x:v>1339</x:v>
      </x:c>
      <x:c r="AM533" s="55" t="n">
        <x:v>4424</x:v>
      </x:c>
      <x:c r="AN533" s="55" t="n">
        <x:v>2866</x:v>
      </x:c>
      <x:c r="AO533" s="55" t="n">
        <x:v>52</x:v>
      </x:c>
      <x:c r="AP533" s="55" t="n">
        <x:v>2334</x:v>
      </x:c>
      <x:c r="AQ533" s="55" t="n">
        <x:v>971</x:v>
      </x:c>
    </x:row>
    <x:row r="534">
      <x:c r="A534" s="54" t="str">
        <x:v>T2_CONCORDANT_DOMAIN</x:v>
      </x:c>
      <x:c r="B534" s="54" t="n">
        <x:v>528</x:v>
      </x:c>
      <x:c r="C534" s="54" t="str">
        <x:v>NYC-V2-R01</x:v>
      </x:c>
      <x:c r="D534" s="54" t="str">
        <x:v>V2</x:v>
      </x:c>
      <x:c r="E534" s="54" t="str">
        <x:v>ADMITTED</x:v>
      </x:c>
      <x:c r="F534" s="55" t="n">
        <x:v>31936</x:v>
      </x:c>
      <x:c r="G534" s="55" t="n">
        <x:v>7540</x:v>
      </x:c>
      <x:c r="H534" s="55" t="n">
        <x:v>2997</x:v>
      </x:c>
      <x:c r="I534" s="55" t="n">
        <x:v>1172</x:v>
      </x:c>
      <x:c r="J534" s="55" t="n">
        <x:v>311</x:v>
      </x:c>
      <x:c r="K534" s="55" t="n">
        <x:v>29207</x:v>
      </x:c>
      <x:c r="L534" s="55" t="n">
        <x:v>5168</x:v>
      </x:c>
      <x:c r="M534" s="55" t="n">
        <x:v>772</x:v>
      </x:c>
      <x:c r="N534" s="55" t="n">
        <x:v>2510</x:v>
      </x:c>
      <x:c r="O534" s="55" t="n">
        <x:v>1886</x:v>
      </x:c>
      <x:c r="P534" s="55" t="n">
        <x:v>456</x:v>
      </x:c>
      <x:c r="Q534" s="55" t="n">
        <x:v>1779</x:v>
      </x:c>
      <x:c r="R534" s="55" t="n">
        <x:v>2149</x:v>
      </x:c>
      <x:c r="S534" s="55" t="n">
        <x:v>2958</x:v>
      </x:c>
      <x:c r="T534" s="55" t="n">
        <x:v>998</x:v>
      </x:c>
      <x:c r="U534" s="55" t="n">
        <x:v>1832</x:v>
      </x:c>
      <x:c r="V534" s="55" t="n">
        <x:v>10416</x:v>
      </x:c>
      <x:c r="W534" s="55" t="n">
        <x:v>7598</x:v>
      </x:c>
      <x:c r="X534" s="55" t="n">
        <x:v>2818</x:v>
      </x:c>
      <x:c r="Y534" s="55" t="n">
        <x:v>2409</x:v>
      </x:c>
      <x:c r="Z534" s="55" t="n">
        <x:v>4159</x:v>
      </x:c>
      <x:c r="AA534" s="55" t="n">
        <x:v>2689</x:v>
      </x:c>
      <x:c r="AB534" s="55" t="n">
        <x:v>1117</x:v>
      </x:c>
      <x:c r="AC534" s="55" t="n">
        <x:v>8324</x:v>
      </x:c>
      <x:c r="AD534" s="55" t="n">
        <x:v>2652</x:v>
      </x:c>
      <x:c r="AE534" s="55" t="n">
        <x:v>10522</x:v>
      </x:c>
      <x:c r="AF534" s="55" t="n">
        <x:v>10416</x:v>
      </x:c>
      <x:c r="AG534" s="55" t="n">
        <x:v>106</x:v>
      </x:c>
      <x:c r="AH534" s="55" t="n">
        <x:v>440</x:v>
      </x:c>
      <x:c r="AI534" s="55" t="n">
        <x:v>9976</x:v>
      </x:c>
      <x:c r="AJ534" s="55" t="n">
        <x:v>368</x:v>
      </x:c>
      <x:c r="AK534" s="55" t="n">
        <x:v>1060</x:v>
      </x:c>
      <x:c r="AL534" s="55" t="n">
        <x:v>1202</x:v>
      </x:c>
      <x:c r="AM534" s="55" t="n">
        <x:v>4999</x:v>
      </x:c>
      <x:c r="AN534" s="55" t="n">
        <x:v>2750</x:v>
      </x:c>
      <x:c r="AO534" s="55" t="n">
        <x:v>37</x:v>
      </x:c>
      <x:c r="AP534" s="55" t="n">
        <x:v>2498</x:v>
      </x:c>
      <x:c r="AQ534" s="55" t="n">
        <x:v>985</x:v>
      </x:c>
    </x:row>
    <x:row r="535">
      <x:c r="A535" s="54" t="str">
        <x:v>T2_CONCORDANT_DOMAIN</x:v>
      </x:c>
      <x:c r="B535" s="54" t="n">
        <x:v>529</x:v>
      </x:c>
      <x:c r="C535" s="54" t="str">
        <x:v>NYC-V2-R01</x:v>
      </x:c>
      <x:c r="D535" s="54" t="str">
        <x:v>V2</x:v>
      </x:c>
      <x:c r="E535" s="54" t="str">
        <x:v>ADMITTED</x:v>
      </x:c>
      <x:c r="F535" s="55" t="n">
        <x:v>30661</x:v>
      </x:c>
      <x:c r="G535" s="55" t="n">
        <x:v>7714</x:v>
      </x:c>
      <x:c r="H535" s="55" t="n">
        <x:v>3205</x:v>
      </x:c>
      <x:c r="I535" s="55" t="n">
        <x:v>1043</x:v>
      </x:c>
      <x:c r="J535" s="55" t="n">
        <x:v>124</x:v>
      </x:c>
      <x:c r="K535" s="55" t="n">
        <x:v>29230</x:v>
      </x:c>
      <x:c r="L535" s="55" t="n">
        <x:v>4868</x:v>
      </x:c>
      <x:c r="M535" s="55" t="n">
        <x:v>121</x:v>
      </x:c>
      <x:c r="N535" s="55" t="n">
        <x:v>2966</x:v>
      </x:c>
      <x:c r="O535" s="55" t="n">
        <x:v>1781</x:v>
      </x:c>
      <x:c r="P535" s="55" t="n">
        <x:v>871</x:v>
      </x:c>
      <x:c r="Q535" s="55" t="n">
        <x:v>2847</x:v>
      </x:c>
      <x:c r="R535" s="55" t="n">
        <x:v>1719</x:v>
      </x:c>
      <x:c r="S535" s="55" t="n">
        <x:v>1884</x:v>
      </x:c>
      <x:c r="T535" s="55" t="n">
        <x:v>1367</x:v>
      </x:c>
      <x:c r="U535" s="55" t="n">
        <x:v>2300</x:v>
      </x:c>
      <x:c r="V535" s="55" t="n">
        <x:v>10806</x:v>
      </x:c>
      <x:c r="W535" s="55" t="n">
        <x:v>7581</x:v>
      </x:c>
      <x:c r="X535" s="55" t="n">
        <x:v>3225</x:v>
      </x:c>
      <x:c r="Y535" s="55" t="n">
        <x:v>2758</x:v>
      </x:c>
      <x:c r="Z535" s="55" t="n">
        <x:v>3504</x:v>
      </x:c>
      <x:c r="AA535" s="55" t="n">
        <x:v>3205</x:v>
      </x:c>
      <x:c r="AB535" s="55" t="n">
        <x:v>1100</x:v>
      </x:c>
      <x:c r="AC535" s="55" t="n">
        <x:v>8528</x:v>
      </x:c>
      <x:c r="AD535" s="55" t="n">
        <x:v>3329</x:v>
      </x:c>
      <x:c r="AE535" s="55" t="n">
        <x:v>10921</x:v>
      </x:c>
      <x:c r="AF535" s="55" t="n">
        <x:v>10806</x:v>
      </x:c>
      <x:c r="AG535" s="55" t="n">
        <x:v>115</x:v>
      </x:c>
      <x:c r="AH535" s="55" t="n">
        <x:v>473</x:v>
      </x:c>
      <x:c r="AI535" s="55" t="n">
        <x:v>10333</x:v>
      </x:c>
      <x:c r="AJ535" s="55" t="n">
        <x:v>189</x:v>
      </x:c>
      <x:c r="AK535" s="55" t="n">
        <x:v>1071</x:v>
      </x:c>
      <x:c r="AL535" s="55" t="n">
        <x:v>1473</x:v>
      </x:c>
      <x:c r="AM535" s="55" t="n">
        <x:v>5154</x:v>
      </x:c>
      <x:c r="AN535" s="55" t="n">
        <x:v>2841</x:v>
      </x:c>
      <x:c r="AO535" s="55" t="n">
        <x:v>78</x:v>
      </x:c>
      <x:c r="AP535" s="55" t="n">
        <x:v>2499</x:v>
      </x:c>
      <x:c r="AQ535" s="55" t="n">
        <x:v>957</x:v>
      </x:c>
    </x:row>
    <x:row r="536">
      <x:c r="A536" s="54" t="str">
        <x:v>T2_CONCORDANT_DOMAIN</x:v>
      </x:c>
      <x:c r="B536" s="54" t="n">
        <x:v>530</x:v>
      </x:c>
      <x:c r="C536" s="54" t="str">
        <x:v>NYC-V2-R01</x:v>
      </x:c>
      <x:c r="D536" s="54" t="str">
        <x:v>V2</x:v>
      </x:c>
      <x:c r="E536" s="54" t="str">
        <x:v>ADMITTED</x:v>
      </x:c>
      <x:c r="F536" s="55" t="n">
        <x:v>32691</x:v>
      </x:c>
      <x:c r="G536" s="55" t="n">
        <x:v>7467</x:v>
      </x:c>
      <x:c r="H536" s="55" t="n">
        <x:v>3325</x:v>
      </x:c>
      <x:c r="I536" s="55" t="n">
        <x:v>1468</x:v>
      </x:c>
      <x:c r="J536" s="55" t="n">
        <x:v>134</x:v>
      </x:c>
      <x:c r="K536" s="55" t="n">
        <x:v>32691</x:v>
      </x:c>
      <x:c r="L536" s="55" t="n">
        <x:v>6347</x:v>
      </x:c>
      <x:c r="M536" s="55" t="n">
        <x:v>1525</x:v>
      </x:c>
      <x:c r="N536" s="55" t="n">
        <x:v>2888</x:v>
      </x:c>
      <x:c r="O536" s="55" t="n">
        <x:v>1934</x:v>
      </x:c>
      <x:c r="P536" s="55" t="n">
        <x:v>843</x:v>
      </x:c>
      <x:c r="Q536" s="55" t="n">
        <x:v>2419</x:v>
      </x:c>
      <x:c r="R536" s="55" t="n">
        <x:v>2111</x:v>
      </x:c>
      <x:c r="S536" s="55" t="n">
        <x:v>2699</x:v>
      </x:c>
      <x:c r="T536" s="55" t="n">
        <x:v>1440</x:v>
      </x:c>
      <x:c r="U536" s="55" t="n">
        <x:v>2584</x:v>
      </x:c>
      <x:c r="V536" s="55" t="n">
        <x:v>10273</x:v>
      </x:c>
      <x:c r="W536" s="55" t="n">
        <x:v>7388</x:v>
      </x:c>
      <x:c r="X536" s="55" t="n">
        <x:v>2885</x:v>
      </x:c>
      <x:c r="Y536" s="55" t="n">
        <x:v>2551</x:v>
      </x:c>
      <x:c r="Z536" s="55" t="n">
        <x:v>3595</x:v>
      </x:c>
      <x:c r="AA536" s="55" t="n">
        <x:v>2776</x:v>
      </x:c>
      <x:c r="AB536" s="55" t="n">
        <x:v>1228</x:v>
      </x:c>
      <x:c r="AC536" s="55" t="n">
        <x:v>8145</x:v>
      </x:c>
      <x:c r="AD536" s="55" t="n">
        <x:v>2679</x:v>
      </x:c>
      <x:c r="AE536" s="55" t="n">
        <x:v>10358</x:v>
      </x:c>
      <x:c r="AF536" s="55" t="n">
        <x:v>10273</x:v>
      </x:c>
      <x:c r="AG536" s="55" t="n">
        <x:v>85</x:v>
      </x:c>
      <x:c r="AH536" s="55" t="n">
        <x:v>401</x:v>
      </x:c>
      <x:c r="AI536" s="55" t="n">
        <x:v>9872</x:v>
      </x:c>
      <x:c r="AJ536" s="55" t="n">
        <x:v>410</x:v>
      </x:c>
      <x:c r="AK536" s="55" t="n">
        <x:v>585</x:v>
      </x:c>
      <x:c r="AL536" s="55" t="n">
        <x:v>1761</x:v>
      </x:c>
      <x:c r="AM536" s="55" t="n">
        <x:v>4697</x:v>
      </x:c>
      <x:c r="AN536" s="55" t="n">
        <x:v>2820</x:v>
      </x:c>
      <x:c r="AO536" s="55" t="n">
        <x:v>0</x:v>
      </x:c>
      <x:c r="AP536" s="55" t="n">
        <x:v>2649</x:v>
      </x:c>
      <x:c r="AQ536" s="55" t="n">
        <x:v>935</x:v>
      </x:c>
    </x:row>
    <x:row r="537">
      <x:c r="A537" s="54" t="str">
        <x:v>T2_CONCORDANT_DOMAIN</x:v>
      </x:c>
      <x:c r="B537" s="54" t="n">
        <x:v>531</x:v>
      </x:c>
      <x:c r="C537" s="54" t="str">
        <x:v>NYC-V2-R01</x:v>
      </x:c>
      <x:c r="D537" s="54" t="str">
        <x:v>V2</x:v>
      </x:c>
      <x:c r="E537" s="54" t="str">
        <x:v>ADMITTED</x:v>
      </x:c>
      <x:c r="F537" s="55" t="n">
        <x:v>33299</x:v>
      </x:c>
      <x:c r="G537" s="55" t="n">
        <x:v>8065</x:v>
      </x:c>
      <x:c r="H537" s="55" t="n">
        <x:v>3282</x:v>
      </x:c>
      <x:c r="I537" s="55" t="n">
        <x:v>1437</x:v>
      </x:c>
      <x:c r="J537" s="55" t="n">
        <x:v>257</x:v>
      </x:c>
      <x:c r="K537" s="55" t="n">
        <x:v>33299</x:v>
      </x:c>
      <x:c r="L537" s="55" t="n">
        <x:v>7006</x:v>
      </x:c>
      <x:c r="M537" s="55" t="n">
        <x:v>1780</x:v>
      </x:c>
      <x:c r="N537" s="55" t="n">
        <x:v>2939</x:v>
      </x:c>
      <x:c r="O537" s="55" t="n">
        <x:v>2287</x:v>
      </x:c>
      <x:c r="P537" s="55" t="n">
        <x:v>1032</x:v>
      </x:c>
      <x:c r="Q537" s="55" t="n">
        <x:v>2988</x:v>
      </x:c>
      <x:c r="R537" s="55" t="n">
        <x:v>2560</x:v>
      </x:c>
      <x:c r="S537" s="55" t="n">
        <x:v>3299</x:v>
      </x:c>
      <x:c r="T537" s="55" t="n">
        <x:v>1158</x:v>
      </x:c>
      <x:c r="U537" s="55" t="n">
        <x:v>2534</x:v>
      </x:c>
      <x:c r="V537" s="55" t="n">
        <x:v>10566</x:v>
      </x:c>
      <x:c r="W537" s="55" t="n">
        <x:v>7246</x:v>
      </x:c>
      <x:c r="X537" s="55" t="n">
        <x:v>3320</x:v>
      </x:c>
      <x:c r="Y537" s="55" t="n">
        <x:v>2925</x:v>
      </x:c>
      <x:c r="Z537" s="55" t="n">
        <x:v>4109</x:v>
      </x:c>
      <x:c r="AA537" s="55" t="n">
        <x:v>3237</x:v>
      </x:c>
      <x:c r="AB537" s="55" t="n">
        <x:v>1134</x:v>
      </x:c>
      <x:c r="AC537" s="55" t="n">
        <x:v>8368</x:v>
      </x:c>
      <x:c r="AD537" s="55" t="n">
        <x:v>2798</x:v>
      </x:c>
      <x:c r="AE537" s="55" t="n">
        <x:v>10728</x:v>
      </x:c>
      <x:c r="AF537" s="55" t="n">
        <x:v>10566</x:v>
      </x:c>
      <x:c r="AG537" s="55" t="n">
        <x:v>162</x:v>
      </x:c>
      <x:c r="AH537" s="55" t="n">
        <x:v>630</x:v>
      </x:c>
      <x:c r="AI537" s="55" t="n">
        <x:v>9936</x:v>
      </x:c>
      <x:c r="AJ537" s="55" t="n">
        <x:v>314</x:v>
      </x:c>
      <x:c r="AK537" s="55" t="n">
        <x:v>1137</x:v>
      </x:c>
      <x:c r="AL537" s="55" t="n">
        <x:v>1722</x:v>
      </x:c>
      <x:c r="AM537" s="55" t="n">
        <x:v>5075</x:v>
      </x:c>
      <x:c r="AN537" s="55" t="n">
        <x:v>2224</x:v>
      </x:c>
      <x:c r="AO537" s="55" t="n">
        <x:v>94</x:v>
      </x:c>
      <x:c r="AP537" s="55" t="n">
        <x:v>2296</x:v>
      </x:c>
      <x:c r="AQ537" s="55" t="n">
        <x:v>930</x:v>
      </x:c>
    </x:row>
    <x:row r="538">
      <x:c r="A538" s="54" t="str">
        <x:v>T2_CONCORDANT_DOMAIN</x:v>
      </x:c>
      <x:c r="B538" s="54" t="n">
        <x:v>532</x:v>
      </x:c>
      <x:c r="C538" s="54" t="str">
        <x:v>NYC-V2-R01</x:v>
      </x:c>
      <x:c r="D538" s="54" t="str">
        <x:v>V2</x:v>
      </x:c>
      <x:c r="E538" s="54" t="str">
        <x:v>ADMITTED</x:v>
      </x:c>
      <x:c r="F538" s="55" t="n">
        <x:v>30599</x:v>
      </x:c>
      <x:c r="G538" s="55" t="n">
        <x:v>7440</x:v>
      </x:c>
      <x:c r="H538" s="55" t="n">
        <x:v>3034</x:v>
      </x:c>
      <x:c r="I538" s="55" t="n">
        <x:v>1046</x:v>
      </x:c>
      <x:c r="J538" s="55" t="n">
        <x:v>108</x:v>
      </x:c>
      <x:c r="K538" s="55" t="n">
        <x:v>29671</x:v>
      </x:c>
      <x:c r="L538" s="55" t="n">
        <x:v>4087</x:v>
      </x:c>
      <x:c r="M538" s="55" t="n">
        <x:v>160</x:v>
      </x:c>
      <x:c r="N538" s="55" t="n">
        <x:v>2358</x:v>
      </x:c>
      <x:c r="O538" s="55" t="n">
        <x:v>1569</x:v>
      </x:c>
      <x:c r="P538" s="55" t="n">
        <x:v>473</x:v>
      </x:c>
      <x:c r="Q538" s="55" t="n">
        <x:v>1713</x:v>
      </x:c>
      <x:c r="R538" s="55" t="n">
        <x:v>1185</x:v>
      </x:c>
      <x:c r="S538" s="55" t="n">
        <x:v>2470</x:v>
      </x:c>
      <x:c r="T538" s="55" t="n">
        <x:v>1104</x:v>
      </x:c>
      <x:c r="U538" s="55" t="n">
        <x:v>1726</x:v>
      </x:c>
      <x:c r="V538" s="55" t="n">
        <x:v>10334</x:v>
      </x:c>
      <x:c r="W538" s="55" t="n">
        <x:v>7309</x:v>
      </x:c>
      <x:c r="X538" s="55" t="n">
        <x:v>3025</x:v>
      </x:c>
      <x:c r="Y538" s="55" t="n">
        <x:v>2471</x:v>
      </x:c>
      <x:c r="Z538" s="55" t="n">
        <x:v>3467</x:v>
      </x:c>
      <x:c r="AA538" s="55" t="n">
        <x:v>2862</x:v>
      </x:c>
      <x:c r="AB538" s="55" t="n">
        <x:v>802</x:v>
      </x:c>
      <x:c r="AC538" s="55" t="n">
        <x:v>7539</x:v>
      </x:c>
      <x:c r="AD538" s="55" t="n">
        <x:v>2603</x:v>
      </x:c>
      <x:c r="AE538" s="55" t="n">
        <x:v>10439</x:v>
      </x:c>
      <x:c r="AF538" s="55" t="n">
        <x:v>10334</x:v>
      </x:c>
      <x:c r="AG538" s="55" t="n">
        <x:v>105</x:v>
      </x:c>
      <x:c r="AH538" s="55" t="n">
        <x:v>182</x:v>
      </x:c>
      <x:c r="AI538" s="55" t="n">
        <x:v>10152</x:v>
      </x:c>
      <x:c r="AJ538" s="55" t="n">
        <x:v>264</x:v>
      </x:c>
      <x:c r="AK538" s="55" t="n">
        <x:v>789</x:v>
      </x:c>
      <x:c r="AL538" s="55" t="n">
        <x:v>1525</x:v>
      </x:c>
      <x:c r="AM538" s="55" t="n">
        <x:v>5172</x:v>
      </x:c>
      <x:c r="AN538" s="55" t="n">
        <x:v>2566</x:v>
      </x:c>
      <x:c r="AO538" s="55" t="n">
        <x:v>18</x:v>
      </x:c>
      <x:c r="AP538" s="55" t="n">
        <x:v>2309</x:v>
      </x:c>
      <x:c r="AQ538" s="55" t="n">
        <x:v>904</x:v>
      </x:c>
    </x:row>
    <x:row r="539">
      <x:c r="A539" s="54" t="str">
        <x:v>T2_CONCORDANT_DOMAIN</x:v>
      </x:c>
      <x:c r="B539" s="54" t="n">
        <x:v>533</x:v>
      </x:c>
      <x:c r="C539" s="54" t="str">
        <x:v>NYC-V2-R01</x:v>
      </x:c>
      <x:c r="D539" s="54" t="str">
        <x:v>V2</x:v>
      </x:c>
      <x:c r="E539" s="54" t="str">
        <x:v>ADMITTED</x:v>
      </x:c>
      <x:c r="F539" s="55" t="n">
        <x:v>28532</x:v>
      </x:c>
      <x:c r="G539" s="55" t="n">
        <x:v>7258</x:v>
      </x:c>
      <x:c r="H539" s="55" t="n">
        <x:v>2656</x:v>
      </x:c>
      <x:c r="I539" s="55" t="n">
        <x:v>851</x:v>
      </x:c>
      <x:c r="J539" s="55" t="n">
        <x:v>7</x:v>
      </x:c>
      <x:c r="K539" s="55" t="n">
        <x:v>28532</x:v>
      </x:c>
      <x:c r="L539" s="55" t="n">
        <x:v>4693</x:v>
      </x:c>
      <x:c r="M539" s="55" t="n">
        <x:v>561</x:v>
      </x:c>
      <x:c r="N539" s="55" t="n">
        <x:v>2533</x:v>
      </x:c>
      <x:c r="O539" s="55" t="n">
        <x:v>1599</x:v>
      </x:c>
      <x:c r="P539" s="55" t="n">
        <x:v>344</x:v>
      </x:c>
      <x:c r="Q539" s="55" t="n">
        <x:v>1315</x:v>
      </x:c>
      <x:c r="R539" s="55" t="n">
        <x:v>1221</x:v>
      </x:c>
      <x:c r="S539" s="55" t="n">
        <x:v>1912</x:v>
      </x:c>
      <x:c r="T539" s="55" t="n">
        <x:v>741</x:v>
      </x:c>
      <x:c r="U539" s="55" t="n">
        <x:v>1374</x:v>
      </x:c>
      <x:c r="V539" s="55" t="n">
        <x:v>10212</x:v>
      </x:c>
      <x:c r="W539" s="55" t="n">
        <x:v>7619</x:v>
      </x:c>
      <x:c r="X539" s="55" t="n">
        <x:v>2593</x:v>
      </x:c>
      <x:c r="Y539" s="55" t="n">
        <x:v>2209</x:v>
      </x:c>
      <x:c r="Z539" s="55" t="n">
        <x:v>3647</x:v>
      </x:c>
      <x:c r="AA539" s="55" t="n">
        <x:v>2656</x:v>
      </x:c>
      <x:c r="AB539" s="55" t="n">
        <x:v>812</x:v>
      </x:c>
      <x:c r="AC539" s="55" t="n">
        <x:v>7250</x:v>
      </x:c>
      <x:c r="AD539" s="55" t="n">
        <x:v>2052</x:v>
      </x:c>
      <x:c r="AE539" s="55" t="n">
        <x:v>10212</x:v>
      </x:c>
      <x:c r="AF539" s="55" t="n">
        <x:v>10212</x:v>
      </x:c>
      <x:c r="AG539" s="55" t="n">
        <x:v>0</x:v>
      </x:c>
      <x:c r="AH539" s="55" t="n">
        <x:v>285</x:v>
      </x:c>
      <x:c r="AI539" s="55" t="n">
        <x:v>9927</x:v>
      </x:c>
      <x:c r="AJ539" s="55" t="n">
        <x:v>357</x:v>
      </x:c>
      <x:c r="AK539" s="55" t="n">
        <x:v>1130</x:v>
      </x:c>
      <x:c r="AL539" s="55" t="n">
        <x:v>1616</x:v>
      </x:c>
      <x:c r="AM539" s="55" t="n">
        <x:v>4506</x:v>
      </x:c>
      <x:c r="AN539" s="55" t="n">
        <x:v>2603</x:v>
      </x:c>
      <x:c r="AO539" s="55" t="n">
        <x:v>0</x:v>
      </x:c>
      <x:c r="AP539" s="55" t="n">
        <x:v>1926</x:v>
      </x:c>
      <x:c r="AQ539" s="55" t="n">
        <x:v>923</x:v>
      </x:c>
    </x:row>
    <x:row r="540">
      <x:c r="A540" s="54" t="str">
        <x:v>T2_CONCORDANT_DOMAIN</x:v>
      </x:c>
      <x:c r="B540" s="54" t="n">
        <x:v>534</x:v>
      </x:c>
      <x:c r="C540" s="54" t="str">
        <x:v>NYC-V2-R01</x:v>
      </x:c>
      <x:c r="D540" s="54" t="str">
        <x:v>V2</x:v>
      </x:c>
      <x:c r="E540" s="54" t="str">
        <x:v>ADMITTED</x:v>
      </x:c>
      <x:c r="F540" s="55" t="n">
        <x:v>33696</x:v>
      </x:c>
      <x:c r="G540" s="55" t="n">
        <x:v>7964</x:v>
      </x:c>
      <x:c r="H540" s="55" t="n">
        <x:v>3621</x:v>
      </x:c>
      <x:c r="I540" s="55" t="n">
        <x:v>1920</x:v>
      </x:c>
      <x:c r="J540" s="55" t="n">
        <x:v>313</x:v>
      </x:c>
      <x:c r="K540" s="55" t="n">
        <x:v>33696</x:v>
      </x:c>
      <x:c r="L540" s="55" t="n">
        <x:v>7704</x:v>
      </x:c>
      <x:c r="M540" s="55" t="n">
        <x:v>2184</x:v>
      </x:c>
      <x:c r="N540" s="55" t="n">
        <x:v>3108</x:v>
      </x:c>
      <x:c r="O540" s="55" t="n">
        <x:v>2412</x:v>
      </x:c>
      <x:c r="P540" s="55" t="n">
        <x:v>1296</x:v>
      </x:c>
      <x:c r="Q540" s="55" t="n">
        <x:v>3293</x:v>
      </x:c>
      <x:c r="R540" s="55" t="n">
        <x:v>2285</x:v>
      </x:c>
      <x:c r="S540" s="55" t="n">
        <x:v>3189</x:v>
      </x:c>
      <x:c r="T540" s="55" t="n">
        <x:v>1541</x:v>
      </x:c>
      <x:c r="U540" s="55" t="n">
        <x:v>2478</x:v>
      </x:c>
      <x:c r="V540" s="55" t="n">
        <x:v>11261</x:v>
      </x:c>
      <x:c r="W540" s="55" t="n">
        <x:v>7970</x:v>
      </x:c>
      <x:c r="X540" s="55" t="n">
        <x:v>3291</x:v>
      </x:c>
      <x:c r="Y540" s="55" t="n">
        <x:v>2763</x:v>
      </x:c>
      <x:c r="Z540" s="55" t="n">
        <x:v>3525</x:v>
      </x:c>
      <x:c r="AA540" s="55" t="n">
        <x:v>2914</x:v>
      </x:c>
      <x:c r="AB540" s="55" t="n">
        <x:v>1299</x:v>
      </x:c>
      <x:c r="AC540" s="55" t="n">
        <x:v>8194</x:v>
      </x:c>
      <x:c r="AD540" s="55" t="n">
        <x:v>3530</x:v>
      </x:c>
      <x:c r="AE540" s="55" t="n">
        <x:v>11298</x:v>
      </x:c>
      <x:c r="AF540" s="55" t="n">
        <x:v>11261</x:v>
      </x:c>
      <x:c r="AG540" s="55" t="n">
        <x:v>37</x:v>
      </x:c>
      <x:c r="AH540" s="55" t="n">
        <x:v>590</x:v>
      </x:c>
      <x:c r="AI540" s="55" t="n">
        <x:v>10671</x:v>
      </x:c>
      <x:c r="AJ540" s="55" t="n">
        <x:v>389</x:v>
      </x:c>
      <x:c r="AK540" s="55" t="n">
        <x:v>781</x:v>
      </x:c>
      <x:c r="AL540" s="55" t="n">
        <x:v>1622</x:v>
      </x:c>
      <x:c r="AM540" s="55" t="n">
        <x:v>5565</x:v>
      </x:c>
      <x:c r="AN540" s="55" t="n">
        <x:v>2900</x:v>
      </x:c>
      <x:c r="AO540" s="55" t="n">
        <x:v>4</x:v>
      </x:c>
      <x:c r="AP540" s="55" t="n">
        <x:v>2472</x:v>
      </x:c>
      <x:c r="AQ540" s="55" t="n">
        <x:v>940</x:v>
      </x:c>
    </x:row>
    <x:row r="541">
      <x:c r="A541" s="54" t="str">
        <x:v>T2_CONCORDANT_DOMAIN</x:v>
      </x:c>
      <x:c r="B541" s="54" t="n">
        <x:v>535</x:v>
      </x:c>
      <x:c r="C541" s="54" t="str">
        <x:v>NYC-V2-R01</x:v>
      </x:c>
      <x:c r="D541" s="54" t="str">
        <x:v>V2</x:v>
      </x:c>
      <x:c r="E541" s="54" t="str">
        <x:v>ADMITTED</x:v>
      </x:c>
      <x:c r="F541" s="55" t="n">
        <x:v>31751</x:v>
      </x:c>
      <x:c r="G541" s="55" t="n">
        <x:v>8119</x:v>
      </x:c>
      <x:c r="H541" s="55" t="n">
        <x:v>3552</x:v>
      </x:c>
      <x:c r="I541" s="55" t="n">
        <x:v>1457</x:v>
      </x:c>
      <x:c r="J541" s="55" t="n">
        <x:v>162</x:v>
      </x:c>
      <x:c r="K541" s="55" t="n">
        <x:v>31751</x:v>
      </x:c>
      <x:c r="L541" s="55" t="n">
        <x:v>6194</x:v>
      </x:c>
      <x:c r="M541" s="55" t="n">
        <x:v>1231</x:v>
      </x:c>
      <x:c r="N541" s="55" t="n">
        <x:v>2731</x:v>
      </x:c>
      <x:c r="O541" s="55" t="n">
        <x:v>2232</x:v>
      </x:c>
      <x:c r="P541" s="55" t="n">
        <x:v>1018</x:v>
      </x:c>
      <x:c r="Q541" s="55" t="n">
        <x:v>2662</x:v>
      </x:c>
      <x:c r="R541" s="55" t="n">
        <x:v>1798</x:v>
      </x:c>
      <x:c r="S541" s="55" t="n">
        <x:v>2744</x:v>
      </x:c>
      <x:c r="T541" s="55" t="n">
        <x:v>1400</x:v>
      </x:c>
      <x:c r="U541" s="55" t="n">
        <x:v>2426</x:v>
      </x:c>
      <x:c r="V541" s="55" t="n">
        <x:v>10680</x:v>
      </x:c>
      <x:c r="W541" s="55" t="n">
        <x:v>7501</x:v>
      </x:c>
      <x:c r="X541" s="55" t="n">
        <x:v>3179</x:v>
      </x:c>
      <x:c r="Y541" s="55" t="n">
        <x:v>2809</x:v>
      </x:c>
      <x:c r="Z541" s="55" t="n">
        <x:v>4109</x:v>
      </x:c>
      <x:c r="AA541" s="55" t="n">
        <x:v>3552</x:v>
      </x:c>
      <x:c r="AB541" s="55" t="n">
        <x:v>1457</x:v>
      </x:c>
      <x:c r="AC541" s="55" t="n">
        <x:v>7991</x:v>
      </x:c>
      <x:c r="AD541" s="55" t="n">
        <x:v>3531</x:v>
      </x:c>
      <x:c r="AE541" s="55" t="n">
        <x:v>10799</x:v>
      </x:c>
      <x:c r="AF541" s="55" t="n">
        <x:v>10680</x:v>
      </x:c>
      <x:c r="AG541" s="55" t="n">
        <x:v>119</x:v>
      </x:c>
      <x:c r="AH541" s="55" t="n">
        <x:v>691</x:v>
      </x:c>
      <x:c r="AI541" s="55" t="n">
        <x:v>9989</x:v>
      </x:c>
      <x:c r="AJ541" s="55" t="n">
        <x:v>348</x:v>
      </x:c>
      <x:c r="AK541" s="55" t="n">
        <x:v>1054</x:v>
      </x:c>
      <x:c r="AL541" s="55" t="n">
        <x:v>1813</x:v>
      </x:c>
      <x:c r="AM541" s="55" t="n">
        <x:v>4981</x:v>
      </x:c>
      <x:c r="AN541" s="55" t="n">
        <x:v>2408</x:v>
      </x:c>
      <x:c r="AO541" s="55" t="n">
        <x:v>76</x:v>
      </x:c>
      <x:c r="AP541" s="55" t="n">
        <x:v>1971</x:v>
      </x:c>
      <x:c r="AQ541" s="55" t="n">
        <x:v>962</x:v>
      </x:c>
    </x:row>
    <x:row r="542">
      <x:c r="A542" s="54" t="str">
        <x:v>T2_CONCORDANT_DOMAIN</x:v>
      </x:c>
      <x:c r="B542" s="54" t="n">
        <x:v>536</x:v>
      </x:c>
      <x:c r="C542" s="54" t="str">
        <x:v>NYC-V2-R01</x:v>
      </x:c>
      <x:c r="D542" s="54" t="str">
        <x:v>V2</x:v>
      </x:c>
      <x:c r="E542" s="54" t="str">
        <x:v>ADMITTED</x:v>
      </x:c>
      <x:c r="F542" s="55" t="n">
        <x:v>31467</x:v>
      </x:c>
      <x:c r="G542" s="55" t="n">
        <x:v>8349</x:v>
      </x:c>
      <x:c r="H542" s="55" t="n">
        <x:v>3301</x:v>
      </x:c>
      <x:c r="I542" s="55" t="n">
        <x:v>1357</x:v>
      </x:c>
      <x:c r="J542" s="55" t="n">
        <x:v>208</x:v>
      </x:c>
      <x:c r="K542" s="55" t="n">
        <x:v>28135</x:v>
      </x:c>
      <x:c r="L542" s="55" t="n">
        <x:v>4372</x:v>
      </x:c>
      <x:c r="M542" s="55" t="n">
        <x:v>420</x:v>
      </x:c>
      <x:c r="N542" s="55" t="n">
        <x:v>2187</x:v>
      </x:c>
      <x:c r="O542" s="55" t="n">
        <x:v>1765</x:v>
      </x:c>
      <x:c r="P542" s="55" t="n">
        <x:v>513</x:v>
      </x:c>
      <x:c r="Q542" s="55" t="n">
        <x:v>1491</x:v>
      </x:c>
      <x:c r="R542" s="55" t="n">
        <x:v>1637</x:v>
      </x:c>
      <x:c r="S542" s="55" t="n">
        <x:v>2371</x:v>
      </x:c>
      <x:c r="T542" s="55" t="n">
        <x:v>983</x:v>
      </x:c>
      <x:c r="U542" s="55" t="n">
        <x:v>1555</x:v>
      </x:c>
      <x:c r="V542" s="55" t="n">
        <x:v>10511</x:v>
      </x:c>
      <x:c r="W542" s="55" t="n">
        <x:v>7622</x:v>
      </x:c>
      <x:c r="X542" s="55" t="n">
        <x:v>2889</x:v>
      </x:c>
      <x:c r="Y542" s="55" t="n">
        <x:v>2225</x:v>
      </x:c>
      <x:c r="Z542" s="55" t="n">
        <x:v>3866</x:v>
      </x:c>
      <x:c r="AA542" s="55" t="n">
        <x:v>3301</x:v>
      </x:c>
      <x:c r="AB542" s="55" t="n">
        <x:v>1202</x:v>
      </x:c>
      <x:c r="AC542" s="55" t="n">
        <x:v>7663</x:v>
      </x:c>
      <x:c r="AD542" s="55" t="n">
        <x:v>3184</x:v>
      </x:c>
      <x:c r="AE542" s="55" t="n">
        <x:v>10517</x:v>
      </x:c>
      <x:c r="AF542" s="55" t="n">
        <x:v>10511</x:v>
      </x:c>
      <x:c r="AG542" s="55" t="n">
        <x:v>6</x:v>
      </x:c>
      <x:c r="AH542" s="55" t="n">
        <x:v>98</x:v>
      </x:c>
      <x:c r="AI542" s="55" t="n">
        <x:v>10413</x:v>
      </x:c>
      <x:c r="AJ542" s="55" t="n">
        <x:v>307</x:v>
      </x:c>
      <x:c r="AK542" s="55" t="n">
        <x:v>1351</x:v>
      </x:c>
      <x:c r="AL542" s="55" t="n">
        <x:v>1265</x:v>
      </x:c>
      <x:c r="AM542" s="55" t="n">
        <x:v>5041</x:v>
      </x:c>
      <x:c r="AN542" s="55" t="n">
        <x:v>2546</x:v>
      </x:c>
      <x:c r="AO542" s="55" t="n">
        <x:v>1</x:v>
      </x:c>
      <x:c r="AP542" s="55" t="n">
        <x:v>2576</x:v>
      </x:c>
      <x:c r="AQ542" s="55" t="n">
        <x:v>961</x:v>
      </x:c>
    </x:row>
    <x:row r="543">
      <x:c r="A543" s="54" t="str">
        <x:v>T2_CONCORDANT_DOMAIN</x:v>
      </x:c>
      <x:c r="B543" s="54" t="n">
        <x:v>537</x:v>
      </x:c>
      <x:c r="C543" s="54" t="str">
        <x:v>NYC-V2-R01</x:v>
      </x:c>
      <x:c r="D543" s="54" t="str">
        <x:v>V2</x:v>
      </x:c>
      <x:c r="E543" s="54" t="str">
        <x:v>ADMITTED</x:v>
      </x:c>
      <x:c r="F543" s="55" t="n">
        <x:v>32930</x:v>
      </x:c>
      <x:c r="G543" s="55" t="n">
        <x:v>6186</x:v>
      </x:c>
      <x:c r="H543" s="55" t="n">
        <x:v>3110</x:v>
      </x:c>
      <x:c r="I543" s="55" t="n">
        <x:v>1201</x:v>
      </x:c>
      <x:c r="J543" s="55" t="n">
        <x:v>120</x:v>
      </x:c>
      <x:c r="K543" s="55" t="n">
        <x:v>32930</x:v>
      </x:c>
      <x:c r="L543" s="55" t="n">
        <x:v>7900</x:v>
      </x:c>
      <x:c r="M543" s="55" t="n">
        <x:v>2388</x:v>
      </x:c>
      <x:c r="N543" s="55" t="n">
        <x:v>3341</x:v>
      </x:c>
      <x:c r="O543" s="55" t="n">
        <x:v>2171</x:v>
      </x:c>
      <x:c r="P543" s="55" t="n">
        <x:v>925</x:v>
      </x:c>
      <x:c r="Q543" s="55" t="n">
        <x:v>3856</x:v>
      </x:c>
      <x:c r="R543" s="55" t="n">
        <x:v>2143</x:v>
      </x:c>
      <x:c r="S543" s="55" t="n">
        <x:v>3165</x:v>
      </x:c>
      <x:c r="T543" s="55" t="n">
        <x:v>1350</x:v>
      </x:c>
      <x:c r="U543" s="55" t="n">
        <x:v>2120</x:v>
      </x:c>
      <x:c r="V543" s="55" t="n">
        <x:v>11648</x:v>
      </x:c>
      <x:c r="W543" s="55" t="n">
        <x:v>8110</x:v>
      </x:c>
      <x:c r="X543" s="55" t="n">
        <x:v>3538</x:v>
      </x:c>
      <x:c r="Y543" s="55" t="n">
        <x:v>3055</x:v>
      </x:c>
      <x:c r="Z543" s="55" t="n">
        <x:v>4135</x:v>
      </x:c>
      <x:c r="AA543" s="55" t="n">
        <x:v>3016</x:v>
      </x:c>
      <x:c r="AB543" s="55" t="n">
        <x:v>1114</x:v>
      </x:c>
      <x:c r="AC543" s="55" t="n">
        <x:v>8120</x:v>
      </x:c>
      <x:c r="AD543" s="55" t="n">
        <x:v>2990</x:v>
      </x:c>
      <x:c r="AE543" s="55" t="n">
        <x:v>11775</x:v>
      </x:c>
      <x:c r="AF543" s="55" t="n">
        <x:v>11648</x:v>
      </x:c>
      <x:c r="AG543" s="55" t="n">
        <x:v>127</x:v>
      </x:c>
      <x:c r="AH543" s="55" t="n">
        <x:v>593</x:v>
      </x:c>
      <x:c r="AI543" s="55" t="n">
        <x:v>11055</x:v>
      </x:c>
      <x:c r="AJ543" s="55" t="n">
        <x:v>509</x:v>
      </x:c>
      <x:c r="AK543" s="55" t="n">
        <x:v>1083</x:v>
      </x:c>
      <x:c r="AL543" s="55" t="n">
        <x:v>1474</x:v>
      </x:c>
      <x:c r="AM543" s="55" t="n">
        <x:v>5654</x:v>
      </x:c>
      <x:c r="AN543" s="55" t="n">
        <x:v>2859</x:v>
      </x:c>
      <x:c r="AO543" s="55" t="n">
        <x:v>69</x:v>
      </x:c>
      <x:c r="AP543" s="55" t="n">
        <x:v>2675</x:v>
      </x:c>
      <x:c r="AQ543" s="55" t="n">
        <x:v>961</x:v>
      </x:c>
    </x:row>
    <x:row r="544">
      <x:c r="A544" s="54" t="str">
        <x:v>T2_CONCORDANT_DOMAIN</x:v>
      </x:c>
      <x:c r="B544" s="54" t="n">
        <x:v>538</x:v>
      </x:c>
      <x:c r="C544" s="54" t="str">
        <x:v>NYC-V2-R01</x:v>
      </x:c>
      <x:c r="D544" s="54" t="str">
        <x:v>V2</x:v>
      </x:c>
      <x:c r="E544" s="54" t="str">
        <x:v>ADMITTED</x:v>
      </x:c>
      <x:c r="F544" s="55" t="n">
        <x:v>33280</x:v>
      </x:c>
      <x:c r="G544" s="55" t="n">
        <x:v>9068</x:v>
      </x:c>
      <x:c r="H544" s="55" t="n">
        <x:v>3438</x:v>
      </x:c>
      <x:c r="I544" s="55" t="n">
        <x:v>1647</x:v>
      </x:c>
      <x:c r="J544" s="55" t="n">
        <x:v>411</x:v>
      </x:c>
      <x:c r="K544" s="55" t="n">
        <x:v>31553</x:v>
      </x:c>
      <x:c r="L544" s="55" t="n">
        <x:v>6166</x:v>
      </x:c>
      <x:c r="M544" s="55" t="n">
        <x:v>1574</x:v>
      </x:c>
      <x:c r="N544" s="55" t="n">
        <x:v>2732</x:v>
      </x:c>
      <x:c r="O544" s="55" t="n">
        <x:v>1860</x:v>
      </x:c>
      <x:c r="P544" s="55" t="n">
        <x:v>1171</x:v>
      </x:c>
      <x:c r="Q544" s="55" t="n">
        <x:v>2314</x:v>
      </x:c>
      <x:c r="R544" s="55" t="n">
        <x:v>2096</x:v>
      </x:c>
      <x:c r="S544" s="55" t="n">
        <x:v>2561</x:v>
      </x:c>
      <x:c r="T544" s="55" t="n">
        <x:v>1086</x:v>
      </x:c>
      <x:c r="U544" s="55" t="n">
        <x:v>1794</x:v>
      </x:c>
      <x:c r="V544" s="55" t="n">
        <x:v>10294</x:v>
      </x:c>
      <x:c r="W544" s="55" t="n">
        <x:v>6941</x:v>
      </x:c>
      <x:c r="X544" s="55" t="n">
        <x:v>3353</x:v>
      </x:c>
      <x:c r="Y544" s="55" t="n">
        <x:v>2984</x:v>
      </x:c>
      <x:c r="Z544" s="55" t="n">
        <x:v>3821</x:v>
      </x:c>
      <x:c r="AA544" s="55" t="n">
        <x:v>3438</x:v>
      </x:c>
      <x:c r="AB544" s="55" t="n">
        <x:v>1440</x:v>
      </x:c>
      <x:c r="AC544" s="55" t="n">
        <x:v>8421</x:v>
      </x:c>
      <x:c r="AD544" s="55" t="n">
        <x:v>3532</x:v>
      </x:c>
      <x:c r="AE544" s="55" t="n">
        <x:v>10420</x:v>
      </x:c>
      <x:c r="AF544" s="55" t="n">
        <x:v>10294</x:v>
      </x:c>
      <x:c r="AG544" s="55" t="n">
        <x:v>126</x:v>
      </x:c>
      <x:c r="AH544" s="55" t="n">
        <x:v>279</x:v>
      </x:c>
      <x:c r="AI544" s="55" t="n">
        <x:v>10015</x:v>
      </x:c>
      <x:c r="AJ544" s="55" t="n">
        <x:v>379</x:v>
      </x:c>
      <x:c r="AK544" s="55" t="n">
        <x:v>1430</x:v>
      </x:c>
      <x:c r="AL544" s="55" t="n">
        <x:v>1345</x:v>
      </x:c>
      <x:c r="AM544" s="55" t="n">
        <x:v>4733</x:v>
      </x:c>
      <x:c r="AN544" s="55" t="n">
        <x:v>2363</x:v>
      </x:c>
      <x:c r="AO544" s="55" t="n">
        <x:v>44</x:v>
      </x:c>
      <x:c r="AP544" s="55" t="n">
        <x:v>2380</x:v>
      </x:c>
      <x:c r="AQ544" s="55" t="n">
        <x:v>967</x:v>
      </x:c>
    </x:row>
    <x:row r="545">
      <x:c r="A545" s="54" t="str">
        <x:v>T2_CONCORDANT_DOMAIN</x:v>
      </x:c>
      <x:c r="B545" s="54" t="n">
        <x:v>539</x:v>
      </x:c>
      <x:c r="C545" s="54" t="str">
        <x:v>NYC-V2-R01</x:v>
      </x:c>
      <x:c r="D545" s="54" t="str">
        <x:v>V2</x:v>
      </x:c>
      <x:c r="E545" s="54" t="str">
        <x:v>ADMITTED</x:v>
      </x:c>
      <x:c r="F545" s="55" t="n">
        <x:v>30641</x:v>
      </x:c>
      <x:c r="G545" s="55" t="n">
        <x:v>7430</x:v>
      </x:c>
      <x:c r="H545" s="55" t="n">
        <x:v>3468</x:v>
      </x:c>
      <x:c r="I545" s="55" t="n">
        <x:v>1229</x:v>
      </x:c>
      <x:c r="J545" s="55" t="n">
        <x:v>120</x:v>
      </x:c>
      <x:c r="K545" s="55" t="n">
        <x:v>29164</x:v>
      </x:c>
      <x:c r="L545" s="55" t="n">
        <x:v>5462</x:v>
      </x:c>
      <x:c r="M545" s="55" t="n">
        <x:v>470</x:v>
      </x:c>
      <x:c r="N545" s="55" t="n">
        <x:v>3012</x:v>
      </x:c>
      <x:c r="O545" s="55" t="n">
        <x:v>1980</x:v>
      </x:c>
      <x:c r="P545" s="55" t="n">
        <x:v>667</x:v>
      </x:c>
      <x:c r="Q545" s="55" t="n">
        <x:v>1949</x:v>
      </x:c>
      <x:c r="R545" s="55" t="n">
        <x:v>1815</x:v>
      </x:c>
      <x:c r="S545" s="55" t="n">
        <x:v>2513</x:v>
      </x:c>
      <x:c r="T545" s="55" t="n">
        <x:v>1214</x:v>
      </x:c>
      <x:c r="U545" s="55" t="n">
        <x:v>2618</x:v>
      </x:c>
      <x:c r="V545" s="55" t="n">
        <x:v>10957</x:v>
      </x:c>
      <x:c r="W545" s="55" t="n">
        <x:v>7834</x:v>
      </x:c>
      <x:c r="X545" s="55" t="n">
        <x:v>3123</x:v>
      </x:c>
      <x:c r="Y545" s="55" t="n">
        <x:v>2566</x:v>
      </x:c>
      <x:c r="Z545" s="55" t="n">
        <x:v>3632</x:v>
      </x:c>
      <x:c r="AA545" s="55" t="n">
        <x:v>3468</x:v>
      </x:c>
      <x:c r="AB545" s="55" t="n">
        <x:v>1218</x:v>
      </x:c>
      <x:c r="AC545" s="55" t="n">
        <x:v>7056</x:v>
      </x:c>
      <x:c r="AD545" s="55" t="n">
        <x:v>2139</x:v>
      </x:c>
      <x:c r="AE545" s="55" t="n">
        <x:v>11087</x:v>
      </x:c>
      <x:c r="AF545" s="55" t="n">
        <x:v>10957</x:v>
      </x:c>
      <x:c r="AG545" s="55" t="n">
        <x:v>130</x:v>
      </x:c>
      <x:c r="AH545" s="55" t="n">
        <x:v>581</x:v>
      </x:c>
      <x:c r="AI545" s="55" t="n">
        <x:v>10376</x:v>
      </x:c>
      <x:c r="AJ545" s="55" t="n">
        <x:v>478</x:v>
      </x:c>
      <x:c r="AK545" s="55" t="n">
        <x:v>1339</x:v>
      </x:c>
      <x:c r="AL545" s="55" t="n">
        <x:v>1662</x:v>
      </x:c>
      <x:c r="AM545" s="55" t="n">
        <x:v>4794</x:v>
      </x:c>
      <x:c r="AN545" s="55" t="n">
        <x:v>2610</x:v>
      </x:c>
      <x:c r="AO545" s="55" t="n">
        <x:v>74</x:v>
      </x:c>
      <x:c r="AP545" s="55" t="n">
        <x:v>2662</x:v>
      </x:c>
      <x:c r="AQ545" s="55" t="n">
        <x:v>918</x:v>
      </x:c>
    </x:row>
    <x:row r="546">
      <x:c r="A546" s="54" t="str">
        <x:v>T2_CONCORDANT_DOMAIN</x:v>
      </x:c>
      <x:c r="B546" s="54" t="n">
        <x:v>540</x:v>
      </x:c>
      <x:c r="C546" s="54" t="str">
        <x:v>NYC-V2-R01</x:v>
      </x:c>
      <x:c r="D546" s="54" t="str">
        <x:v>V2</x:v>
      </x:c>
      <x:c r="E546" s="54" t="str">
        <x:v>ADMITTED</x:v>
      </x:c>
      <x:c r="F546" s="55" t="n">
        <x:v>32807</x:v>
      </x:c>
      <x:c r="G546" s="55" t="n">
        <x:v>6955</x:v>
      </x:c>
      <x:c r="H546" s="55" t="n">
        <x:v>3725</x:v>
      </x:c>
      <x:c r="I546" s="55" t="n">
        <x:v>1626</x:v>
      </x:c>
      <x:c r="J546" s="55" t="n">
        <x:v>392</x:v>
      </x:c>
      <x:c r="K546" s="55" t="n">
        <x:v>32807</x:v>
      </x:c>
      <x:c r="L546" s="55" t="n">
        <x:v>6682</x:v>
      </x:c>
      <x:c r="M546" s="55" t="n">
        <x:v>2242</x:v>
      </x:c>
      <x:c r="N546" s="55" t="n">
        <x:v>2646</x:v>
      </x:c>
      <x:c r="O546" s="55" t="n">
        <x:v>1794</x:v>
      </x:c>
      <x:c r="P546" s="55" t="n">
        <x:v>727</x:v>
      </x:c>
      <x:c r="Q546" s="55" t="n">
        <x:v>2836</x:v>
      </x:c>
      <x:c r="R546" s="55" t="n">
        <x:v>2155</x:v>
      </x:c>
      <x:c r="S546" s="55" t="n">
        <x:v>3114</x:v>
      </x:c>
      <x:c r="T546" s="55" t="n">
        <x:v>1207</x:v>
      </x:c>
      <x:c r="U546" s="55" t="n">
        <x:v>1927</x:v>
      </x:c>
      <x:c r="V546" s="55" t="n">
        <x:v>10302</x:v>
      </x:c>
      <x:c r="W546" s="55" t="n">
        <x:v>7005</x:v>
      </x:c>
      <x:c r="X546" s="55" t="n">
        <x:v>3297</x:v>
      </x:c>
      <x:c r="Y546" s="55" t="n">
        <x:v>2886</x:v>
      </x:c>
      <x:c r="Z546" s="55" t="n">
        <x:v>3478</x:v>
      </x:c>
      <x:c r="AA546" s="55" t="n">
        <x:v>2759</x:v>
      </x:c>
      <x:c r="AB546" s="55" t="n">
        <x:v>1138</x:v>
      </x:c>
      <x:c r="AC546" s="55" t="n">
        <x:v>8164</x:v>
      </x:c>
      <x:c r="AD546" s="55" t="n">
        <x:v>3070</x:v>
      </x:c>
      <x:c r="AE546" s="55" t="n">
        <x:v>10418</x:v>
      </x:c>
      <x:c r="AF546" s="55" t="n">
        <x:v>10302</x:v>
      </x:c>
      <x:c r="AG546" s="55" t="n">
        <x:v>116</x:v>
      </x:c>
      <x:c r="AH546" s="55" t="n">
        <x:v>476</x:v>
      </x:c>
      <x:c r="AI546" s="55" t="n">
        <x:v>9826</x:v>
      </x:c>
      <x:c r="AJ546" s="55" t="n">
        <x:v>395</x:v>
      </x:c>
      <x:c r="AK546" s="55" t="n">
        <x:v>635</x:v>
      </x:c>
      <x:c r="AL546" s="55" t="n">
        <x:v>1586</x:v>
      </x:c>
      <x:c r="AM546" s="55" t="n">
        <x:v>5025</x:v>
      </x:c>
      <x:c r="AN546" s="55" t="n">
        <x:v>2661</x:v>
      </x:c>
      <x:c r="AO546" s="55" t="n">
        <x:v>0</x:v>
      </x:c>
      <x:c r="AP546" s="55" t="n">
        <x:v>2395</x:v>
      </x:c>
      <x:c r="AQ546" s="55" t="n">
        <x:v>968</x:v>
      </x:c>
    </x:row>
    <x:row r="547">
      <x:c r="A547" s="54" t="str">
        <x:v>T2_CONCORDANT_DOMAIN</x:v>
      </x:c>
      <x:c r="B547" s="54" t="n">
        <x:v>541</x:v>
      </x:c>
      <x:c r="C547" s="54" t="str">
        <x:v>NYC-V2-R01</x:v>
      </x:c>
      <x:c r="D547" s="54" t="str">
        <x:v>V2</x:v>
      </x:c>
      <x:c r="E547" s="54" t="str">
        <x:v>ADMITTED</x:v>
      </x:c>
      <x:c r="F547" s="55" t="n">
        <x:v>34543</x:v>
      </x:c>
      <x:c r="G547" s="55" t="n">
        <x:v>7934</x:v>
      </x:c>
      <x:c r="H547" s="55" t="n">
        <x:v>3723</x:v>
      </x:c>
      <x:c r="I547" s="55" t="n">
        <x:v>1468</x:v>
      </x:c>
      <x:c r="J547" s="55" t="n">
        <x:v>292</x:v>
      </x:c>
      <x:c r="K547" s="55" t="n">
        <x:v>34543</x:v>
      </x:c>
      <x:c r="L547" s="55" t="n">
        <x:v>7125</x:v>
      </x:c>
      <x:c r="M547" s="55" t="n">
        <x:v>2382</x:v>
      </x:c>
      <x:c r="N547" s="55" t="n">
        <x:v>3111</x:v>
      </x:c>
      <x:c r="O547" s="55" t="n">
        <x:v>1632</x:v>
      </x:c>
      <x:c r="P547" s="55" t="n">
        <x:v>756</x:v>
      </x:c>
      <x:c r="Q547" s="55" t="n">
        <x:v>2351</x:v>
      </x:c>
      <x:c r="R547" s="55" t="n">
        <x:v>2162</x:v>
      </x:c>
      <x:c r="S547" s="55" t="n">
        <x:v>2776</x:v>
      </x:c>
      <x:c r="T547" s="55" t="n">
        <x:v>1421</x:v>
      </x:c>
      <x:c r="U547" s="55" t="n">
        <x:v>1702</x:v>
      </x:c>
      <x:c r="V547" s="55" t="n">
        <x:v>10369</x:v>
      </x:c>
      <x:c r="W547" s="55" t="n">
        <x:v>7005</x:v>
      </x:c>
      <x:c r="X547" s="55" t="n">
        <x:v>3364</x:v>
      </x:c>
      <x:c r="Y547" s="55" t="n">
        <x:v>2982</x:v>
      </x:c>
      <x:c r="Z547" s="55" t="n">
        <x:v>4063</x:v>
      </x:c>
      <x:c r="AA547" s="55" t="n">
        <x:v>3336</x:v>
      </x:c>
      <x:c r="AB547" s="55" t="n">
        <x:v>1283</x:v>
      </x:c>
      <x:c r="AC547" s="55" t="n">
        <x:v>8756</x:v>
      </x:c>
      <x:c r="AD547" s="55" t="n">
        <x:v>2886</x:v>
      </x:c>
      <x:c r="AE547" s="55" t="n">
        <x:v>10468</x:v>
      </x:c>
      <x:c r="AF547" s="55" t="n">
        <x:v>10369</x:v>
      </x:c>
      <x:c r="AG547" s="55" t="n">
        <x:v>99</x:v>
      </x:c>
      <x:c r="AH547" s="55" t="n">
        <x:v>462</x:v>
      </x:c>
      <x:c r="AI547" s="55" t="n">
        <x:v>9907</x:v>
      </x:c>
      <x:c r="AJ547" s="55" t="n">
        <x:v>325</x:v>
      </x:c>
      <x:c r="AK547" s="55" t="n">
        <x:v>1171</x:v>
      </x:c>
      <x:c r="AL547" s="55" t="n">
        <x:v>1215</x:v>
      </x:c>
      <x:c r="AM547" s="55" t="n">
        <x:v>4618</x:v>
      </x:c>
      <x:c r="AN547" s="55" t="n">
        <x:v>3040</x:v>
      </x:c>
      <x:c r="AO547" s="55" t="n">
        <x:v>0</x:v>
      </x:c>
      <x:c r="AP547" s="55" t="n">
        <x:v>2379</x:v>
      </x:c>
      <x:c r="AQ547" s="55" t="n">
        <x:v>921</x:v>
      </x:c>
    </x:row>
    <x:row r="548">
      <x:c r="A548" s="54" t="str">
        <x:v>T2_CONCORDANT_DOMAIN</x:v>
      </x:c>
      <x:c r="B548" s="54" t="n">
        <x:v>542</x:v>
      </x:c>
      <x:c r="C548" s="54" t="str">
        <x:v>NYC-V2-R01</x:v>
      </x:c>
      <x:c r="D548" s="54" t="str">
        <x:v>V2</x:v>
      </x:c>
      <x:c r="E548" s="54" t="str">
        <x:v>ADMITTED</x:v>
      </x:c>
      <x:c r="F548" s="55" t="n">
        <x:v>30958</x:v>
      </x:c>
      <x:c r="G548" s="55" t="n">
        <x:v>7814</x:v>
      </x:c>
      <x:c r="H548" s="55" t="n">
        <x:v>3264</x:v>
      </x:c>
      <x:c r="I548" s="55" t="n">
        <x:v>1540</x:v>
      </x:c>
      <x:c r="J548" s="55" t="n">
        <x:v>244</x:v>
      </x:c>
      <x:c r="K548" s="55" t="n">
        <x:v>30697</x:v>
      </x:c>
      <x:c r="L548" s="55" t="n">
        <x:v>5982</x:v>
      </x:c>
      <x:c r="M548" s="55" t="n">
        <x:v>1352</x:v>
      </x:c>
      <x:c r="N548" s="55" t="n">
        <x:v>2758</x:v>
      </x:c>
      <x:c r="O548" s="55" t="n">
        <x:v>1872</x:v>
      </x:c>
      <x:c r="P548" s="55" t="n">
        <x:v>634</x:v>
      </x:c>
      <x:c r="Q548" s="55" t="n">
        <x:v>2815</x:v>
      </x:c>
      <x:c r="R548" s="55" t="n">
        <x:v>1843</x:v>
      </x:c>
      <x:c r="S548" s="55" t="n">
        <x:v>2655</x:v>
      </x:c>
      <x:c r="T548" s="55" t="n">
        <x:v>895</x:v>
      </x:c>
      <x:c r="U548" s="55" t="n">
        <x:v>1734</x:v>
      </x:c>
      <x:c r="V548" s="55" t="n">
        <x:v>10495</x:v>
      </x:c>
      <x:c r="W548" s="55" t="n">
        <x:v>7312</x:v>
      </x:c>
      <x:c r="X548" s="55" t="n">
        <x:v>3183</x:v>
      </x:c>
      <x:c r="Y548" s="55" t="n">
        <x:v>2826</x:v>
      </x:c>
      <x:c r="Z548" s="55" t="n">
        <x:v>4070</x:v>
      </x:c>
      <x:c r="AA548" s="55" t="n">
        <x:v>3239</x:v>
      </x:c>
      <x:c r="AB548" s="55" t="n">
        <x:v>1077</x:v>
      </x:c>
      <x:c r="AC548" s="55" t="n">
        <x:v>8565</x:v>
      </x:c>
      <x:c r="AD548" s="55" t="n">
        <x:v>2493</x:v>
      </x:c>
      <x:c r="AE548" s="55" t="n">
        <x:v>10606</x:v>
      </x:c>
      <x:c r="AF548" s="55" t="n">
        <x:v>10495</x:v>
      </x:c>
      <x:c r="AG548" s="55" t="n">
        <x:v>111</x:v>
      </x:c>
      <x:c r="AH548" s="55" t="n">
        <x:v>519</x:v>
      </x:c>
      <x:c r="AI548" s="55" t="n">
        <x:v>9976</x:v>
      </x:c>
      <x:c r="AJ548" s="55" t="n">
        <x:v>634</x:v>
      </x:c>
      <x:c r="AK548" s="55" t="n">
        <x:v>1096</x:v>
      </x:c>
      <x:c r="AL548" s="55" t="n">
        <x:v>1434</x:v>
      </x:c>
      <x:c r="AM548" s="55" t="n">
        <x:v>4849</x:v>
      </x:c>
      <x:c r="AN548" s="55" t="n">
        <x:v>2368</x:v>
      </x:c>
      <x:c r="AO548" s="55" t="n">
        <x:v>114</x:v>
      </x:c>
      <x:c r="AP548" s="55" t="n">
        <x:v>2373</x:v>
      </x:c>
      <x:c r="AQ548" s="55" t="n">
        <x:v>981</x:v>
      </x:c>
    </x:row>
    <x:row r="549">
      <x:c r="A549" s="54" t="str">
        <x:v>T2_CONCORDANT_DOMAIN</x:v>
      </x:c>
      <x:c r="B549" s="54" t="n">
        <x:v>543</x:v>
      </x:c>
      <x:c r="C549" s="54" t="str">
        <x:v>NYC-V2-R01</x:v>
      </x:c>
      <x:c r="D549" s="54" t="str">
        <x:v>V2</x:v>
      </x:c>
      <x:c r="E549" s="54" t="str">
        <x:v>ADMITTED</x:v>
      </x:c>
      <x:c r="F549" s="55" t="n">
        <x:v>30926</x:v>
      </x:c>
      <x:c r="G549" s="55" t="n">
        <x:v>7092</x:v>
      </x:c>
      <x:c r="H549" s="55" t="n">
        <x:v>3880</x:v>
      </x:c>
      <x:c r="I549" s="55" t="n">
        <x:v>1448</x:v>
      </x:c>
      <x:c r="J549" s="55" t="n">
        <x:v>374</x:v>
      </x:c>
      <x:c r="K549" s="55" t="n">
        <x:v>28836</x:v>
      </x:c>
      <x:c r="L549" s="55" t="n">
        <x:v>5201</x:v>
      </x:c>
      <x:c r="M549" s="55" t="n">
        <x:v>0</x:v>
      </x:c>
      <x:c r="N549" s="55" t="n">
        <x:v>3172</x:v>
      </x:c>
      <x:c r="O549" s="55" t="n">
        <x:v>2029</x:v>
      </x:c>
      <x:c r="P549" s="55" t="n">
        <x:v>724</x:v>
      </x:c>
      <x:c r="Q549" s="55" t="n">
        <x:v>3078</x:v>
      </x:c>
      <x:c r="R549" s="55" t="n">
        <x:v>1905</x:v>
      </x:c>
      <x:c r="S549" s="55" t="n">
        <x:v>3485</x:v>
      </x:c>
      <x:c r="T549" s="55" t="n">
        <x:v>1477</x:v>
      </x:c>
      <x:c r="U549" s="55" t="n">
        <x:v>2708</x:v>
      </x:c>
      <x:c r="V549" s="55" t="n">
        <x:v>10676</x:v>
      </x:c>
      <x:c r="W549" s="55" t="n">
        <x:v>7238</x:v>
      </x:c>
      <x:c r="X549" s="55" t="n">
        <x:v>3438</x:v>
      </x:c>
      <x:c r="Y549" s="55" t="n">
        <x:v>2893</x:v>
      </x:c>
      <x:c r="Z549" s="55" t="n">
        <x:v>3785</x:v>
      </x:c>
      <x:c r="AA549" s="55" t="n">
        <x:v>3050</x:v>
      </x:c>
      <x:c r="AB549" s="55" t="n">
        <x:v>1095</x:v>
      </x:c>
      <x:c r="AC549" s="55" t="n">
        <x:v>8217</x:v>
      </x:c>
      <x:c r="AD549" s="55" t="n">
        <x:v>3369</x:v>
      </x:c>
      <x:c r="AE549" s="55" t="n">
        <x:v>10799</x:v>
      </x:c>
      <x:c r="AF549" s="55" t="n">
        <x:v>10676</x:v>
      </x:c>
      <x:c r="AG549" s="55" t="n">
        <x:v>123</x:v>
      </x:c>
      <x:c r="AH549" s="55" t="n">
        <x:v>207</x:v>
      </x:c>
      <x:c r="AI549" s="55" t="n">
        <x:v>10469</x:v>
      </x:c>
      <x:c r="AJ549" s="55" t="n">
        <x:v>307</x:v>
      </x:c>
      <x:c r="AK549" s="55" t="n">
        <x:v>1159</x:v>
      </x:c>
      <x:c r="AL549" s="55" t="n">
        <x:v>1627</x:v>
      </x:c>
      <x:c r="AM549" s="55" t="n">
        <x:v>4846</x:v>
      </x:c>
      <x:c r="AN549" s="55" t="n">
        <x:v>2699</x:v>
      </x:c>
      <x:c r="AO549" s="55" t="n">
        <x:v>38</x:v>
      </x:c>
      <x:c r="AP549" s="55" t="n">
        <x:v>2524</x:v>
      </x:c>
      <x:c r="AQ549" s="55" t="n">
        <x:v>936</x:v>
      </x:c>
    </x:row>
    <x:row r="550">
      <x:c r="A550" s="54" t="str">
        <x:v>T2_CONCORDANT_DOMAIN</x:v>
      </x:c>
      <x:c r="B550" s="54" t="n">
        <x:v>544</x:v>
      </x:c>
      <x:c r="C550" s="54" t="str">
        <x:v>NYC-V2-R01</x:v>
      </x:c>
      <x:c r="D550" s="54" t="str">
        <x:v>V2</x:v>
      </x:c>
      <x:c r="E550" s="54" t="str">
        <x:v>ADMITTED</x:v>
      </x:c>
      <x:c r="F550" s="55" t="n">
        <x:v>30580</x:v>
      </x:c>
      <x:c r="G550" s="55" t="n">
        <x:v>7696</x:v>
      </x:c>
      <x:c r="H550" s="55" t="n">
        <x:v>3148</x:v>
      </x:c>
      <x:c r="I550" s="55" t="n">
        <x:v>1131</x:v>
      </x:c>
      <x:c r="J550" s="55" t="n">
        <x:v>135</x:v>
      </x:c>
      <x:c r="K550" s="55" t="n">
        <x:v>30036</x:v>
      </x:c>
      <x:c r="L550" s="55" t="n">
        <x:v>4563</x:v>
      </x:c>
      <x:c r="M550" s="55" t="n">
        <x:v>463</x:v>
      </x:c>
      <x:c r="N550" s="55" t="n">
        <x:v>2414</x:v>
      </x:c>
      <x:c r="O550" s="55" t="n">
        <x:v>1686</x:v>
      </x:c>
      <x:c r="P550" s="55" t="n">
        <x:v>799</x:v>
      </x:c>
      <x:c r="Q550" s="55" t="n">
        <x:v>2707</x:v>
      </x:c>
      <x:c r="R550" s="55" t="n">
        <x:v>1813</x:v>
      </x:c>
      <x:c r="S550" s="55" t="n">
        <x:v>2329</x:v>
      </x:c>
      <x:c r="T550" s="55" t="n">
        <x:v>1421</x:v>
      </x:c>
      <x:c r="U550" s="55" t="n">
        <x:v>1976</x:v>
      </x:c>
      <x:c r="V550" s="55" t="n">
        <x:v>10031</x:v>
      </x:c>
      <x:c r="W550" s="55" t="n">
        <x:v>6994</x:v>
      </x:c>
      <x:c r="X550" s="55" t="n">
        <x:v>3037</x:v>
      </x:c>
      <x:c r="Y550" s="55" t="n">
        <x:v>2613</x:v>
      </x:c>
      <x:c r="Z550" s="55" t="n">
        <x:v>3389</x:v>
      </x:c>
      <x:c r="AA550" s="55" t="n">
        <x:v>2627</x:v>
      </x:c>
      <x:c r="AB550" s="55" t="n">
        <x:v>1036</x:v>
      </x:c>
      <x:c r="AC550" s="55" t="n">
        <x:v>7758</x:v>
      </x:c>
      <x:c r="AD550" s="55" t="n">
        <x:v>2158</x:v>
      </x:c>
      <x:c r="AE550" s="55" t="n">
        <x:v>10057</x:v>
      </x:c>
      <x:c r="AF550" s="55" t="n">
        <x:v>10031</x:v>
      </x:c>
      <x:c r="AG550" s="55" t="n">
        <x:v>26</x:v>
      </x:c>
      <x:c r="AH550" s="55" t="n">
        <x:v>395</x:v>
      </x:c>
      <x:c r="AI550" s="55" t="n">
        <x:v>9636</x:v>
      </x:c>
      <x:c r="AJ550" s="55" t="n">
        <x:v>141</x:v>
      </x:c>
      <x:c r="AK550" s="55" t="n">
        <x:v>987</x:v>
      </x:c>
      <x:c r="AL550" s="55" t="n">
        <x:v>1373</x:v>
      </x:c>
      <x:c r="AM550" s="55" t="n">
        <x:v>4819</x:v>
      </x:c>
      <x:c r="AN550" s="55" t="n">
        <x:v>2711</x:v>
      </x:c>
      <x:c r="AO550" s="55" t="n">
        <x:v>0</x:v>
      </x:c>
      <x:c r="AP550" s="55" t="n">
        <x:v>1935</x:v>
      </x:c>
      <x:c r="AQ550" s="55" t="n">
        <x:v>954</x:v>
      </x:c>
    </x:row>
    <x:row r="551">
      <x:c r="A551" s="54" t="str">
        <x:v>T2_CONCORDANT_DOMAIN</x:v>
      </x:c>
      <x:c r="B551" s="54" t="n">
        <x:v>545</x:v>
      </x:c>
      <x:c r="C551" s="54" t="str">
        <x:v>NYC-V2-R01</x:v>
      </x:c>
      <x:c r="D551" s="54" t="str">
        <x:v>V2</x:v>
      </x:c>
      <x:c r="E551" s="54" t="str">
        <x:v>ADMITTED</x:v>
      </x:c>
      <x:c r="F551" s="55" t="n">
        <x:v>31332</x:v>
      </x:c>
      <x:c r="G551" s="55" t="n">
        <x:v>8415</x:v>
      </x:c>
      <x:c r="H551" s="55" t="n">
        <x:v>2849</x:v>
      </x:c>
      <x:c r="I551" s="55" t="n">
        <x:v>996</x:v>
      </x:c>
      <x:c r="J551" s="55" t="n">
        <x:v>66</x:v>
      </x:c>
      <x:c r="K551" s="55" t="n">
        <x:v>28791</x:v>
      </x:c>
      <x:c r="L551" s="55" t="n">
        <x:v>4933</x:v>
      </x:c>
      <x:c r="M551" s="55" t="n">
        <x:v>944</x:v>
      </x:c>
      <x:c r="N551" s="55" t="n">
        <x:v>2518</x:v>
      </x:c>
      <x:c r="O551" s="55" t="n">
        <x:v>1471</x:v>
      </x:c>
      <x:c r="P551" s="55" t="n">
        <x:v>284</x:v>
      </x:c>
      <x:c r="Q551" s="55" t="n">
        <x:v>1483</x:v>
      </x:c>
      <x:c r="R551" s="55" t="n">
        <x:v>1300</x:v>
      </x:c>
      <x:c r="S551" s="55" t="n">
        <x:v>1837</x:v>
      </x:c>
      <x:c r="T551" s="55" t="n">
        <x:v>997</x:v>
      </x:c>
      <x:c r="U551" s="55" t="n">
        <x:v>1453</x:v>
      </x:c>
      <x:c r="V551" s="55" t="n">
        <x:v>10047</x:v>
      </x:c>
      <x:c r="W551" s="55" t="n">
        <x:v>7211</x:v>
      </x:c>
      <x:c r="X551" s="55" t="n">
        <x:v>2836</x:v>
      </x:c>
      <x:c r="Y551" s="55" t="n">
        <x:v>2547</x:v>
      </x:c>
      <x:c r="Z551" s="55" t="n">
        <x:v>3740</x:v>
      </x:c>
      <x:c r="AA551" s="55" t="n">
        <x:v>2766</x:v>
      </x:c>
      <x:c r="AB551" s="55" t="n">
        <x:v>1117</x:v>
      </x:c>
      <x:c r="AC551" s="55" t="n">
        <x:v>7968</x:v>
      </x:c>
      <x:c r="AD551" s="55" t="n">
        <x:v>2434</x:v>
      </x:c>
      <x:c r="AE551" s="55" t="n">
        <x:v>10114</x:v>
      </x:c>
      <x:c r="AF551" s="55" t="n">
        <x:v>10047</x:v>
      </x:c>
      <x:c r="AG551" s="55" t="n">
        <x:v>67</x:v>
      </x:c>
      <x:c r="AH551" s="55" t="n">
        <x:v>243</x:v>
      </x:c>
      <x:c r="AI551" s="55" t="n">
        <x:v>9804</x:v>
      </x:c>
      <x:c r="AJ551" s="55" t="n">
        <x:v>167</x:v>
      </x:c>
      <x:c r="AK551" s="55" t="n">
        <x:v>1155</x:v>
      </x:c>
      <x:c r="AL551" s="55" t="n">
        <x:v>1618</x:v>
      </x:c>
      <x:c r="AM551" s="55" t="n">
        <x:v>4826</x:v>
      </x:c>
      <x:c r="AN551" s="55" t="n">
        <x:v>2281</x:v>
      </x:c>
      <x:c r="AO551" s="55" t="n">
        <x:v>0</x:v>
      </x:c>
      <x:c r="AP551" s="55" t="n">
        <x:v>2318</x:v>
      </x:c>
      <x:c r="AQ551" s="55" t="n">
        <x:v>945</x:v>
      </x:c>
    </x:row>
    <x:row r="552">
      <x:c r="A552" s="54" t="str">
        <x:v>T2_CONCORDANT_DOMAIN</x:v>
      </x:c>
      <x:c r="B552" s="54" t="n">
        <x:v>546</x:v>
      </x:c>
      <x:c r="C552" s="54" t="str">
        <x:v>NYC-V2-R01</x:v>
      </x:c>
      <x:c r="D552" s="54" t="str">
        <x:v>V2</x:v>
      </x:c>
      <x:c r="E552" s="54" t="str">
        <x:v>ADMITTED</x:v>
      </x:c>
      <x:c r="F552" s="55" t="n">
        <x:v>31631</x:v>
      </x:c>
      <x:c r="G552" s="55" t="n">
        <x:v>8725</x:v>
      </x:c>
      <x:c r="H552" s="55" t="n">
        <x:v>3203</x:v>
      </x:c>
      <x:c r="I552" s="55" t="n">
        <x:v>1194</x:v>
      </x:c>
      <x:c r="J552" s="55" t="n">
        <x:v>268</x:v>
      </x:c>
      <x:c r="K552" s="55" t="n">
        <x:v>30484</x:v>
      </x:c>
      <x:c r="L552" s="55" t="n">
        <x:v>7097</x:v>
      </x:c>
      <x:c r="M552" s="55" t="n">
        <x:v>1447</x:v>
      </x:c>
      <x:c r="N552" s="55" t="n">
        <x:v>3584</x:v>
      </x:c>
      <x:c r="O552" s="55" t="n">
        <x:v>2066</x:v>
      </x:c>
      <x:c r="P552" s="55" t="n">
        <x:v>635</x:v>
      </x:c>
      <x:c r="Q552" s="55" t="n">
        <x:v>3242</x:v>
      </x:c>
      <x:c r="R552" s="55" t="n">
        <x:v>2267</x:v>
      </x:c>
      <x:c r="S552" s="55" t="n">
        <x:v>2827</x:v>
      </x:c>
      <x:c r="T552" s="55" t="n">
        <x:v>1827</x:v>
      </x:c>
      <x:c r="U552" s="55" t="n">
        <x:v>2016</x:v>
      </x:c>
      <x:c r="V552" s="55" t="n">
        <x:v>10975</x:v>
      </x:c>
      <x:c r="W552" s="55" t="n">
        <x:v>7593</x:v>
      </x:c>
      <x:c r="X552" s="55" t="n">
        <x:v>3382</x:v>
      </x:c>
      <x:c r="Y552" s="55" t="n">
        <x:v>3096</x:v>
      </x:c>
      <x:c r="Z552" s="55" t="n">
        <x:v>4368</x:v>
      </x:c>
      <x:c r="AA552" s="55" t="n">
        <x:v>3203</x:v>
      </x:c>
      <x:c r="AB552" s="55" t="n">
        <x:v>1199</x:v>
      </x:c>
      <x:c r="AC552" s="55" t="n">
        <x:v>8482</x:v>
      </x:c>
      <x:c r="AD552" s="55" t="n">
        <x:v>2848</x:v>
      </x:c>
      <x:c r="AE552" s="55" t="n">
        <x:v>11072</x:v>
      </x:c>
      <x:c r="AF552" s="55" t="n">
        <x:v>10975</x:v>
      </x:c>
      <x:c r="AG552" s="55" t="n">
        <x:v>97</x:v>
      </x:c>
      <x:c r="AH552" s="55" t="n">
        <x:v>621</x:v>
      </x:c>
      <x:c r="AI552" s="55" t="n">
        <x:v>10354</x:v>
      </x:c>
      <x:c r="AJ552" s="55" t="n">
        <x:v>330</x:v>
      </x:c>
      <x:c r="AK552" s="55" t="n">
        <x:v>923</x:v>
      </x:c>
      <x:c r="AL552" s="55" t="n">
        <x:v>1813</x:v>
      </x:c>
      <x:c r="AM552" s="55" t="n">
        <x:v>4956</x:v>
      </x:c>
      <x:c r="AN552" s="55" t="n">
        <x:v>2830</x:v>
      </x:c>
      <x:c r="AO552" s="55" t="n">
        <x:v>123</x:v>
      </x:c>
      <x:c r="AP552" s="55" t="n">
        <x:v>2550</x:v>
      </x:c>
      <x:c r="AQ552" s="55" t="n">
        <x:v>951</x:v>
      </x:c>
    </x:row>
    <x:row r="553">
      <x:c r="A553" s="54" t="str">
        <x:v>T2_CONCORDANT_DOMAIN</x:v>
      </x:c>
      <x:c r="B553" s="54" t="n">
        <x:v>547</x:v>
      </x:c>
      <x:c r="C553" s="54" t="str">
        <x:v>NYC-V2-R01</x:v>
      </x:c>
      <x:c r="D553" s="54" t="str">
        <x:v>V2</x:v>
      </x:c>
      <x:c r="E553" s="54" t="str">
        <x:v>ADMITTED</x:v>
      </x:c>
      <x:c r="F553" s="55" t="n">
        <x:v>34492</x:v>
      </x:c>
      <x:c r="G553" s="55" t="n">
        <x:v>9596</x:v>
      </x:c>
      <x:c r="H553" s="55" t="n">
        <x:v>3543</x:v>
      </x:c>
      <x:c r="I553" s="55" t="n">
        <x:v>1199</x:v>
      </x:c>
      <x:c r="J553" s="55" t="n">
        <x:v>254</x:v>
      </x:c>
      <x:c r="K553" s="55" t="n">
        <x:v>30922</x:v>
      </x:c>
      <x:c r="L553" s="55" t="n">
        <x:v>6237</x:v>
      </x:c>
      <x:c r="M553" s="55" t="n">
        <x:v>1701</x:v>
      </x:c>
      <x:c r="N553" s="55" t="n">
        <x:v>2865</x:v>
      </x:c>
      <x:c r="O553" s="55" t="n">
        <x:v>1671</x:v>
      </x:c>
      <x:c r="P553" s="55" t="n">
        <x:v>590</x:v>
      </x:c>
      <x:c r="Q553" s="55" t="n">
        <x:v>2746</x:v>
      </x:c>
      <x:c r="R553" s="55" t="n">
        <x:v>1866</x:v>
      </x:c>
      <x:c r="S553" s="55" t="n">
        <x:v>3258</x:v>
      </x:c>
      <x:c r="T553" s="55" t="n">
        <x:v>1211</x:v>
      </x:c>
      <x:c r="U553" s="55" t="n">
        <x:v>2002</x:v>
      </x:c>
      <x:c r="V553" s="55" t="n">
        <x:v>10449</x:v>
      </x:c>
      <x:c r="W553" s="55" t="n">
        <x:v>7821</x:v>
      </x:c>
      <x:c r="X553" s="55" t="n">
        <x:v>2628</x:v>
      </x:c>
      <x:c r="Y553" s="55" t="n">
        <x:v>2063</x:v>
      </x:c>
      <x:c r="Z553" s="55" t="n">
        <x:v>4069</x:v>
      </x:c>
      <x:c r="AA553" s="55" t="n">
        <x:v>3467</x:v>
      </x:c>
      <x:c r="AB553" s="55" t="n">
        <x:v>1137</x:v>
      </x:c>
      <x:c r="AC553" s="55" t="n">
        <x:v>7660</x:v>
      </x:c>
      <x:c r="AD553" s="55" t="n">
        <x:v>2791</x:v>
      </x:c>
      <x:c r="AE553" s="55" t="n">
        <x:v>10592</x:v>
      </x:c>
      <x:c r="AF553" s="55" t="n">
        <x:v>10449</x:v>
      </x:c>
      <x:c r="AG553" s="55" t="n">
        <x:v>143</x:v>
      </x:c>
      <x:c r="AH553" s="55" t="n">
        <x:v>399</x:v>
      </x:c>
      <x:c r="AI553" s="55" t="n">
        <x:v>10050</x:v>
      </x:c>
      <x:c r="AJ553" s="55" t="n">
        <x:v>401</x:v>
      </x:c>
      <x:c r="AK553" s="55" t="n">
        <x:v>1206</x:v>
      </x:c>
      <x:c r="AL553" s="55" t="n">
        <x:v>1540</x:v>
      </x:c>
      <x:c r="AM553" s="55" t="n">
        <x:v>4782</x:v>
      </x:c>
      <x:c r="AN553" s="55" t="n">
        <x:v>2520</x:v>
      </x:c>
      <x:c r="AO553" s="55" t="n">
        <x:v>0</x:v>
      </x:c>
      <x:c r="AP553" s="55" t="n">
        <x:v>2549</x:v>
      </x:c>
      <x:c r="AQ553" s="55" t="n">
        <x:v>942</x:v>
      </x:c>
    </x:row>
    <x:row r="554">
      <x:c r="A554" s="54" t="str">
        <x:v>T2_CONCORDANT_DOMAIN</x:v>
      </x:c>
      <x:c r="B554" s="54" t="n">
        <x:v>548</x:v>
      </x:c>
      <x:c r="C554" s="54" t="str">
        <x:v>NYC-V2-R01</x:v>
      </x:c>
      <x:c r="D554" s="54" t="str">
        <x:v>V2</x:v>
      </x:c>
      <x:c r="E554" s="54" t="str">
        <x:v>ADMITTED</x:v>
      </x:c>
      <x:c r="F554" s="55" t="n">
        <x:v>32129</x:v>
      </x:c>
      <x:c r="G554" s="55" t="n">
        <x:v>8545</x:v>
      </x:c>
      <x:c r="H554" s="55" t="n">
        <x:v>3542</x:v>
      </x:c>
      <x:c r="I554" s="55" t="n">
        <x:v>1319</x:v>
      </x:c>
      <x:c r="J554" s="55" t="n">
        <x:v>208</x:v>
      </x:c>
      <x:c r="K554" s="55" t="n">
        <x:v>32129</x:v>
      </x:c>
      <x:c r="L554" s="55" t="n">
        <x:v>6789</x:v>
      </x:c>
      <x:c r="M554" s="55" t="n">
        <x:v>2293</x:v>
      </x:c>
      <x:c r="N554" s="55" t="n">
        <x:v>3154</x:v>
      </x:c>
      <x:c r="O554" s="55" t="n">
        <x:v>1342</x:v>
      </x:c>
      <x:c r="P554" s="55" t="n">
        <x:v>1157</x:v>
      </x:c>
      <x:c r="Q554" s="55" t="n">
        <x:v>2118</x:v>
      </x:c>
      <x:c r="R554" s="55" t="n">
        <x:v>1944</x:v>
      </x:c>
      <x:c r="S554" s="55" t="n">
        <x:v>2885</x:v>
      </x:c>
      <x:c r="T554" s="55" t="n">
        <x:v>1237</x:v>
      </x:c>
      <x:c r="U554" s="55" t="n">
        <x:v>1961</x:v>
      </x:c>
      <x:c r="V554" s="55" t="n">
        <x:v>10540</x:v>
      </x:c>
      <x:c r="W554" s="55" t="n">
        <x:v>7802</x:v>
      </x:c>
      <x:c r="X554" s="55" t="n">
        <x:v>2738</x:v>
      </x:c>
      <x:c r="Y554" s="55" t="n">
        <x:v>2219</x:v>
      </x:c>
      <x:c r="Z554" s="55" t="n">
        <x:v>3623</x:v>
      </x:c>
      <x:c r="AA554" s="55" t="n">
        <x:v>3387</x:v>
      </x:c>
      <x:c r="AB554" s="55" t="n">
        <x:v>1399</x:v>
      </x:c>
      <x:c r="AC554" s="55" t="n">
        <x:v>8412</x:v>
      </x:c>
      <x:c r="AD554" s="55" t="n">
        <x:v>3026</x:v>
      </x:c>
      <x:c r="AE554" s="55" t="n">
        <x:v>10650</x:v>
      </x:c>
      <x:c r="AF554" s="55" t="n">
        <x:v>10540</x:v>
      </x:c>
      <x:c r="AG554" s="55" t="n">
        <x:v>110</x:v>
      </x:c>
      <x:c r="AH554" s="55" t="n">
        <x:v>666</x:v>
      </x:c>
      <x:c r="AI554" s="55" t="n">
        <x:v>9874</x:v>
      </x:c>
      <x:c r="AJ554" s="55" t="n">
        <x:v>373</x:v>
      </x:c>
      <x:c r="AK554" s="55" t="n">
        <x:v>947</x:v>
      </x:c>
      <x:c r="AL554" s="55" t="n">
        <x:v>1500</x:v>
      </x:c>
      <x:c r="AM554" s="55" t="n">
        <x:v>4752</x:v>
      </x:c>
      <x:c r="AN554" s="55" t="n">
        <x:v>2968</x:v>
      </x:c>
      <x:c r="AO554" s="55" t="n">
        <x:v>0</x:v>
      </x:c>
      <x:c r="AP554" s="55" t="n">
        <x:v>2789</x:v>
      </x:c>
      <x:c r="AQ554" s="55" t="n">
        <x:v>951</x:v>
      </x:c>
    </x:row>
    <x:row r="555">
      <x:c r="A555" s="54" t="str">
        <x:v>T2_CONCORDANT_DOMAIN</x:v>
      </x:c>
      <x:c r="B555" s="54" t="n">
        <x:v>549</x:v>
      </x:c>
      <x:c r="C555" s="54" t="str">
        <x:v>NYC-V2-R01</x:v>
      </x:c>
      <x:c r="D555" s="54" t="str">
        <x:v>V2</x:v>
      </x:c>
      <x:c r="E555" s="54" t="str">
        <x:v>ADMITTED</x:v>
      </x:c>
      <x:c r="F555" s="55" t="n">
        <x:v>30291</x:v>
      </x:c>
      <x:c r="G555" s="55" t="n">
        <x:v>7496</x:v>
      </x:c>
      <x:c r="H555" s="55" t="n">
        <x:v>2823</x:v>
      </x:c>
      <x:c r="I555" s="55" t="n">
        <x:v>1103</x:v>
      </x:c>
      <x:c r="J555" s="55" t="n">
        <x:v>104</x:v>
      </x:c>
      <x:c r="K555" s="55" t="n">
        <x:v>30291</x:v>
      </x:c>
      <x:c r="L555" s="55" t="n">
        <x:v>5184</x:v>
      </x:c>
      <x:c r="M555" s="55" t="n">
        <x:v>1242</x:v>
      </x:c>
      <x:c r="N555" s="55" t="n">
        <x:v>2595</x:v>
      </x:c>
      <x:c r="O555" s="55" t="n">
        <x:v>1347</x:v>
      </x:c>
      <x:c r="P555" s="55" t="n">
        <x:v>755</x:v>
      </x:c>
      <x:c r="Q555" s="55" t="n">
        <x:v>2130</x:v>
      </x:c>
      <x:c r="R555" s="55" t="n">
        <x:v>1542</x:v>
      </x:c>
      <x:c r="S555" s="55" t="n">
        <x:v>2806</x:v>
      </x:c>
      <x:c r="T555" s="55" t="n">
        <x:v>1311</x:v>
      </x:c>
      <x:c r="U555" s="55" t="n">
        <x:v>1349</x:v>
      </x:c>
      <x:c r="V555" s="55" t="n">
        <x:v>10418</x:v>
      </x:c>
      <x:c r="W555" s="55" t="n">
        <x:v>7599</x:v>
      </x:c>
      <x:c r="X555" s="55" t="n">
        <x:v>2819</x:v>
      </x:c>
      <x:c r="Y555" s="55" t="n">
        <x:v>2441</x:v>
      </x:c>
      <x:c r="Z555" s="55" t="n">
        <x:v>3200</x:v>
      </x:c>
      <x:c r="AA555" s="55" t="n">
        <x:v>2352</x:v>
      </x:c>
      <x:c r="AB555" s="55" t="n">
        <x:v>656</x:v>
      </x:c>
      <x:c r="AC555" s="55" t="n">
        <x:v>8157</x:v>
      </x:c>
      <x:c r="AD555" s="55" t="n">
        <x:v>2943</x:v>
      </x:c>
      <x:c r="AE555" s="55" t="n">
        <x:v>10441</x:v>
      </x:c>
      <x:c r="AF555" s="55" t="n">
        <x:v>10418</x:v>
      </x:c>
      <x:c r="AG555" s="55" t="n">
        <x:v>23</x:v>
      </x:c>
      <x:c r="AH555" s="55" t="n">
        <x:v>632</x:v>
      </x:c>
      <x:c r="AI555" s="55" t="n">
        <x:v>9786</x:v>
      </x:c>
      <x:c r="AJ555" s="55" t="n">
        <x:v>410</x:v>
      </x:c>
      <x:c r="AK555" s="55" t="n">
        <x:v>1164</x:v>
      </x:c>
      <x:c r="AL555" s="55" t="n">
        <x:v>1703</x:v>
      </x:c>
      <x:c r="AM555" s="55" t="n">
        <x:v>4508</x:v>
      </x:c>
      <x:c r="AN555" s="55" t="n">
        <x:v>2633</x:v>
      </x:c>
      <x:c r="AO555" s="55" t="n">
        <x:v>0</x:v>
      </x:c>
      <x:c r="AP555" s="55" t="n">
        <x:v>1920</x:v>
      </x:c>
      <x:c r="AQ555" s="55" t="n">
        <x:v>953</x:v>
      </x:c>
    </x:row>
    <x:row r="556">
      <x:c r="A556" s="54" t="str">
        <x:v>T2_CONCORDANT_DOMAIN</x:v>
      </x:c>
      <x:c r="B556" s="54" t="n">
        <x:v>550</x:v>
      </x:c>
      <x:c r="C556" s="54" t="str">
        <x:v>NYC-V2-R01</x:v>
      </x:c>
      <x:c r="D556" s="54" t="str">
        <x:v>V2</x:v>
      </x:c>
      <x:c r="E556" s="54" t="str">
        <x:v>ADMITTED</x:v>
      </x:c>
      <x:c r="F556" s="55" t="n">
        <x:v>31782</x:v>
      </x:c>
      <x:c r="G556" s="55" t="n">
        <x:v>7901</x:v>
      </x:c>
      <x:c r="H556" s="55" t="n">
        <x:v>3854</x:v>
      </x:c>
      <x:c r="I556" s="55" t="n">
        <x:v>1730</x:v>
      </x:c>
      <x:c r="J556" s="55" t="n">
        <x:v>427</x:v>
      </x:c>
      <x:c r="K556" s="55" t="n">
        <x:v>31782</x:v>
      </x:c>
      <x:c r="L556" s="55" t="n">
        <x:v>7264</x:v>
      </x:c>
      <x:c r="M556" s="55" t="n">
        <x:v>1930</x:v>
      </x:c>
      <x:c r="N556" s="55" t="n">
        <x:v>2994</x:v>
      </x:c>
      <x:c r="O556" s="55" t="n">
        <x:v>2340</x:v>
      </x:c>
      <x:c r="P556" s="55" t="n">
        <x:v>874</x:v>
      </x:c>
      <x:c r="Q556" s="55" t="n">
        <x:v>2768</x:v>
      </x:c>
      <x:c r="R556" s="55" t="n">
        <x:v>2126</x:v>
      </x:c>
      <x:c r="S556" s="55" t="n">
        <x:v>2954</x:v>
      </x:c>
      <x:c r="T556" s="55" t="n">
        <x:v>1416</x:v>
      </x:c>
      <x:c r="U556" s="55" t="n">
        <x:v>2110</x:v>
      </x:c>
      <x:c r="V556" s="55" t="n">
        <x:v>11482</x:v>
      </x:c>
      <x:c r="W556" s="55" t="n">
        <x:v>8440</x:v>
      </x:c>
      <x:c r="X556" s="55" t="n">
        <x:v>3042</x:v>
      </x:c>
      <x:c r="Y556" s="55" t="n">
        <x:v>2610</x:v>
      </x:c>
      <x:c r="Z556" s="55" t="n">
        <x:v>3996</x:v>
      </x:c>
      <x:c r="AA556" s="55" t="n">
        <x:v>2928</x:v>
      </x:c>
      <x:c r="AB556" s="55" t="n">
        <x:v>1087</x:v>
      </x:c>
      <x:c r="AC556" s="55" t="n">
        <x:v>7925</x:v>
      </x:c>
      <x:c r="AD556" s="55" t="n">
        <x:v>3263</x:v>
      </x:c>
      <x:c r="AE556" s="55" t="n">
        <x:v>11592</x:v>
      </x:c>
      <x:c r="AF556" s="55" t="n">
        <x:v>11482</x:v>
      </x:c>
      <x:c r="AG556" s="55" t="n">
        <x:v>110</x:v>
      </x:c>
      <x:c r="AH556" s="55" t="n">
        <x:v>691</x:v>
      </x:c>
      <x:c r="AI556" s="55" t="n">
        <x:v>10791</x:v>
      </x:c>
      <x:c r="AJ556" s="55" t="n">
        <x:v>384</x:v>
      </x:c>
      <x:c r="AK556" s="55" t="n">
        <x:v>1215</x:v>
      </x:c>
      <x:c r="AL556" s="55" t="n">
        <x:v>2078</x:v>
      </x:c>
      <x:c r="AM556" s="55" t="n">
        <x:v>5369</x:v>
      </x:c>
      <x:c r="AN556" s="55" t="n">
        <x:v>2387</x:v>
      </x:c>
      <x:c r="AO556" s="55" t="n">
        <x:v>49</x:v>
      </x:c>
      <x:c r="AP556" s="55" t="n">
        <x:v>2799</x:v>
      </x:c>
      <x:c r="AQ556" s="55" t="n">
        <x:v>967</x:v>
      </x:c>
    </x:row>
    <x:row r="557">
      <x:c r="A557" s="54" t="str">
        <x:v>T2_CONCORDANT_DOMAIN</x:v>
      </x:c>
      <x:c r="B557" s="54" t="n">
        <x:v>551</x:v>
      </x:c>
      <x:c r="C557" s="54" t="str">
        <x:v>NYC-V2-R01</x:v>
      </x:c>
      <x:c r="D557" s="54" t="str">
        <x:v>V2</x:v>
      </x:c>
      <x:c r="E557" s="54" t="str">
        <x:v>ADMITTED</x:v>
      </x:c>
      <x:c r="F557" s="55" t="n">
        <x:v>31859</x:v>
      </x:c>
      <x:c r="G557" s="55" t="n">
        <x:v>8933</x:v>
      </x:c>
      <x:c r="H557" s="55" t="n">
        <x:v>3522</x:v>
      </x:c>
      <x:c r="I557" s="55" t="n">
        <x:v>1672</x:v>
      </x:c>
      <x:c r="J557" s="55" t="n">
        <x:v>300</x:v>
      </x:c>
      <x:c r="K557" s="55" t="n">
        <x:v>31528</x:v>
      </x:c>
      <x:c r="L557" s="55" t="n">
        <x:v>5099</x:v>
      </x:c>
      <x:c r="M557" s="55" t="n">
        <x:v>907</x:v>
      </x:c>
      <x:c r="N557" s="55" t="n">
        <x:v>2637</x:v>
      </x:c>
      <x:c r="O557" s="55" t="n">
        <x:v>1555</x:v>
      </x:c>
      <x:c r="P557" s="55" t="n">
        <x:v>1042</x:v>
      </x:c>
      <x:c r="Q557" s="55" t="n">
        <x:v>2928</x:v>
      </x:c>
      <x:c r="R557" s="55" t="n">
        <x:v>2415</x:v>
      </x:c>
      <x:c r="S557" s="55" t="n">
        <x:v>2639</x:v>
      </x:c>
      <x:c r="T557" s="55" t="n">
        <x:v>1325</x:v>
      </x:c>
      <x:c r="U557" s="55" t="n">
        <x:v>1936</x:v>
      </x:c>
      <x:c r="V557" s="55" t="n">
        <x:v>10458</x:v>
      </x:c>
      <x:c r="W557" s="55" t="n">
        <x:v>7745</x:v>
      </x:c>
      <x:c r="X557" s="55" t="n">
        <x:v>2713</x:v>
      </x:c>
      <x:c r="Y557" s="55" t="n">
        <x:v>2188</x:v>
      </x:c>
      <x:c r="Z557" s="55" t="n">
        <x:v>3757</x:v>
      </x:c>
      <x:c r="AA557" s="55" t="n">
        <x:v>2862</x:v>
      </x:c>
      <x:c r="AB557" s="55" t="n">
        <x:v>1174</x:v>
      </x:c>
      <x:c r="AC557" s="55" t="n">
        <x:v>8066</x:v>
      </x:c>
      <x:c r="AD557" s="55" t="n">
        <x:v>3083</x:v>
      </x:c>
      <x:c r="AE557" s="55" t="n">
        <x:v>10651</x:v>
      </x:c>
      <x:c r="AF557" s="55" t="n">
        <x:v>10458</x:v>
      </x:c>
      <x:c r="AG557" s="55" t="n">
        <x:v>193</x:v>
      </x:c>
      <x:c r="AH557" s="55" t="n">
        <x:v>605</x:v>
      </x:c>
      <x:c r="AI557" s="55" t="n">
        <x:v>9853</x:v>
      </x:c>
      <x:c r="AJ557" s="55" t="n">
        <x:v>355</x:v>
      </x:c>
      <x:c r="AK557" s="55" t="n">
        <x:v>1277</x:v>
      </x:c>
      <x:c r="AL557" s="55" t="n">
        <x:v>1845</x:v>
      </x:c>
      <x:c r="AM557" s="55" t="n">
        <x:v>4309</x:v>
      </x:c>
      <x:c r="AN557" s="55" t="n">
        <x:v>2672</x:v>
      </x:c>
      <x:c r="AO557" s="55" t="n">
        <x:v>0</x:v>
      </x:c>
      <x:c r="AP557" s="55" t="n">
        <x:v>2511</x:v>
      </x:c>
      <x:c r="AQ557" s="55" t="n">
        <x:v>952</x:v>
      </x:c>
    </x:row>
    <x:row r="558">
      <x:c r="A558" s="54" t="str">
        <x:v>T2_CONCORDANT_DOMAIN</x:v>
      </x:c>
      <x:c r="B558" s="54" t="n">
        <x:v>552</x:v>
      </x:c>
      <x:c r="C558" s="54" t="str">
        <x:v>NYC-V2-R01</x:v>
      </x:c>
      <x:c r="D558" s="54" t="str">
        <x:v>V2</x:v>
      </x:c>
      <x:c r="E558" s="54" t="str">
        <x:v>ADMITTED</x:v>
      </x:c>
      <x:c r="F558" s="55" t="n">
        <x:v>29815</x:v>
      </x:c>
      <x:c r="G558" s="55" t="n">
        <x:v>7086</x:v>
      </x:c>
      <x:c r="H558" s="55" t="n">
        <x:v>3143</x:v>
      </x:c>
      <x:c r="I558" s="55" t="n">
        <x:v>1476</x:v>
      </x:c>
      <x:c r="J558" s="55" t="n">
        <x:v>148</x:v>
      </x:c>
      <x:c r="K558" s="55" t="n">
        <x:v>29815</x:v>
      </x:c>
      <x:c r="L558" s="55" t="n">
        <x:v>4496</x:v>
      </x:c>
      <x:c r="M558" s="55" t="n">
        <x:v>711</x:v>
      </x:c>
      <x:c r="N558" s="55" t="n">
        <x:v>2001</x:v>
      </x:c>
      <x:c r="O558" s="55" t="n">
        <x:v>1784</x:v>
      </x:c>
      <x:c r="P558" s="55" t="n">
        <x:v>728</x:v>
      </x:c>
      <x:c r="Q558" s="55" t="n">
        <x:v>1202</x:v>
      </x:c>
      <x:c r="R558" s="55" t="n">
        <x:v>2135</x:v>
      </x:c>
      <x:c r="S558" s="55" t="n">
        <x:v>2225</x:v>
      </x:c>
      <x:c r="T558" s="55" t="n">
        <x:v>1173</x:v>
      </x:c>
      <x:c r="U558" s="55" t="n">
        <x:v>1412</x:v>
      </x:c>
      <x:c r="V558" s="55" t="n">
        <x:v>9555</x:v>
      </x:c>
      <x:c r="W558" s="55" t="n">
        <x:v>6776</x:v>
      </x:c>
      <x:c r="X558" s="55" t="n">
        <x:v>2779</x:v>
      </x:c>
      <x:c r="Y558" s="55" t="n">
        <x:v>2465</x:v>
      </x:c>
      <x:c r="Z558" s="55" t="n">
        <x:v>3224</x:v>
      </x:c>
      <x:c r="AA558" s="55" t="n">
        <x:v>3138</x:v>
      </x:c>
      <x:c r="AB558" s="55" t="n">
        <x:v>891</x:v>
      </x:c>
      <x:c r="AC558" s="55" t="n">
        <x:v>7963</x:v>
      </x:c>
      <x:c r="AD558" s="55" t="n">
        <x:v>2600</x:v>
      </x:c>
      <x:c r="AE558" s="55" t="n">
        <x:v>9641</x:v>
      </x:c>
      <x:c r="AF558" s="55" t="n">
        <x:v>9555</x:v>
      </x:c>
      <x:c r="AG558" s="55" t="n">
        <x:v>86</x:v>
      </x:c>
      <x:c r="AH558" s="55" t="n">
        <x:v>205</x:v>
      </x:c>
      <x:c r="AI558" s="55" t="n">
        <x:v>9350</x:v>
      </x:c>
      <x:c r="AJ558" s="55" t="n">
        <x:v>321</x:v>
      </x:c>
      <x:c r="AK558" s="55" t="n">
        <x:v>705</x:v>
      </x:c>
      <x:c r="AL558" s="55" t="n">
        <x:v>1546</x:v>
      </x:c>
      <x:c r="AM558" s="55" t="n">
        <x:v>4250</x:v>
      </x:c>
      <x:c r="AN558" s="55" t="n">
        <x:v>2733</x:v>
      </x:c>
      <x:c r="AO558" s="55" t="n">
        <x:v>0</x:v>
      </x:c>
      <x:c r="AP558" s="55" t="n">
        <x:v>2039</x:v>
      </x:c>
      <x:c r="AQ558" s="55" t="n">
        <x:v>907</x:v>
      </x:c>
    </x:row>
    <x:row r="559">
      <x:c r="A559" s="54" t="str">
        <x:v>T2_CONCORDANT_DOMAIN</x:v>
      </x:c>
      <x:c r="B559" s="54" t="n">
        <x:v>553</x:v>
      </x:c>
      <x:c r="C559" s="54" t="str">
        <x:v>NYC-V2-R01</x:v>
      </x:c>
      <x:c r="D559" s="54" t="str">
        <x:v>V2</x:v>
      </x:c>
      <x:c r="E559" s="54" t="str">
        <x:v>ADMITTED</x:v>
      </x:c>
      <x:c r="F559" s="55" t="n">
        <x:v>32048</x:v>
      </x:c>
      <x:c r="G559" s="55" t="n">
        <x:v>9074</x:v>
      </x:c>
      <x:c r="H559" s="55" t="n">
        <x:v>3265</x:v>
      </x:c>
      <x:c r="I559" s="55" t="n">
        <x:v>1048</x:v>
      </x:c>
      <x:c r="J559" s="55" t="n">
        <x:v>302</x:v>
      </x:c>
      <x:c r="K559" s="55" t="n">
        <x:v>31518</x:v>
      </x:c>
      <x:c r="L559" s="55" t="n">
        <x:v>6093</x:v>
      </x:c>
      <x:c r="M559" s="55" t="n">
        <x:v>1618</x:v>
      </x:c>
      <x:c r="N559" s="55" t="n">
        <x:v>2775</x:v>
      </x:c>
      <x:c r="O559" s="55" t="n">
        <x:v>1700</x:v>
      </x:c>
      <x:c r="P559" s="55" t="n">
        <x:v>1121</x:v>
      </x:c>
      <x:c r="Q559" s="55" t="n">
        <x:v>2708</x:v>
      </x:c>
      <x:c r="R559" s="55" t="n">
        <x:v>1913</x:v>
      </x:c>
      <x:c r="S559" s="55" t="n">
        <x:v>3039</x:v>
      </x:c>
      <x:c r="T559" s="55" t="n">
        <x:v>1349</x:v>
      </x:c>
      <x:c r="U559" s="55" t="n">
        <x:v>2377</x:v>
      </x:c>
      <x:c r="V559" s="55" t="n">
        <x:v>10267</x:v>
      </x:c>
      <x:c r="W559" s="55" t="n">
        <x:v>7103</x:v>
      </x:c>
      <x:c r="X559" s="55" t="n">
        <x:v>3164</x:v>
      </x:c>
      <x:c r="Y559" s="55" t="n">
        <x:v>2826</x:v>
      </x:c>
      <x:c r="Z559" s="55" t="n">
        <x:v>3728</x:v>
      </x:c>
      <x:c r="AA559" s="55" t="n">
        <x:v>3265</x:v>
      </x:c>
      <x:c r="AB559" s="55" t="n">
        <x:v>1503</x:v>
      </x:c>
      <x:c r="AC559" s="55" t="n">
        <x:v>8433</x:v>
      </x:c>
      <x:c r="AD559" s="55" t="n">
        <x:v>3293</x:v>
      </x:c>
      <x:c r="AE559" s="55" t="n">
        <x:v>10308</x:v>
      </x:c>
      <x:c r="AF559" s="55" t="n">
        <x:v>10267</x:v>
      </x:c>
      <x:c r="AG559" s="55" t="n">
        <x:v>41</x:v>
      </x:c>
      <x:c r="AH559" s="55" t="n">
        <x:v>419</x:v>
      </x:c>
      <x:c r="AI559" s="55" t="n">
        <x:v>9848</x:v>
      </x:c>
      <x:c r="AJ559" s="55" t="n">
        <x:v>433</x:v>
      </x:c>
      <x:c r="AK559" s="55" t="n">
        <x:v>655</x:v>
      </x:c>
      <x:c r="AL559" s="55" t="n">
        <x:v>1769</x:v>
      </x:c>
      <x:c r="AM559" s="55" t="n">
        <x:v>4484</x:v>
      </x:c>
      <x:c r="AN559" s="55" t="n">
        <x:v>2926</x:v>
      </x:c>
      <x:c r="AO559" s="55" t="n">
        <x:v>0</x:v>
      </x:c>
      <x:c r="AP559" s="55" t="n">
        <x:v>2135</x:v>
      </x:c>
      <x:c r="AQ559" s="55" t="n">
        <x:v>967</x:v>
      </x:c>
    </x:row>
    <x:row r="560">
      <x:c r="A560" s="54" t="str">
        <x:v>T2_CONCORDANT_DOMAIN</x:v>
      </x:c>
      <x:c r="B560" s="54" t="n">
        <x:v>554</x:v>
      </x:c>
      <x:c r="C560" s="54" t="str">
        <x:v>NYC-V2-R01</x:v>
      </x:c>
      <x:c r="D560" s="54" t="str">
        <x:v>V2</x:v>
      </x:c>
      <x:c r="E560" s="54" t="str">
        <x:v>ADMITTED</x:v>
      </x:c>
      <x:c r="F560" s="55" t="n">
        <x:v>34081</x:v>
      </x:c>
      <x:c r="G560" s="55" t="n">
        <x:v>8536</x:v>
      </x:c>
      <x:c r="H560" s="55" t="n">
        <x:v>3521</x:v>
      </x:c>
      <x:c r="I560" s="55" t="n">
        <x:v>1276</x:v>
      </x:c>
      <x:c r="J560" s="55" t="n">
        <x:v>290</x:v>
      </x:c>
      <x:c r="K560" s="55" t="n">
        <x:v>29027</x:v>
      </x:c>
      <x:c r="L560" s="55" t="n">
        <x:v>4955</x:v>
      </x:c>
      <x:c r="M560" s="55" t="n">
        <x:v>1279</x:v>
      </x:c>
      <x:c r="N560" s="55" t="n">
        <x:v>2339</x:v>
      </x:c>
      <x:c r="O560" s="55" t="n">
        <x:v>1337</x:v>
      </x:c>
      <x:c r="P560" s="55" t="n">
        <x:v>855</x:v>
      </x:c>
      <x:c r="Q560" s="55" t="n">
        <x:v>1381</x:v>
      </x:c>
      <x:c r="R560" s="55" t="n">
        <x:v>1523</x:v>
      </x:c>
      <x:c r="S560" s="55" t="n">
        <x:v>1801</x:v>
      </x:c>
      <x:c r="T560" s="55" t="n">
        <x:v>1550</x:v>
      </x:c>
      <x:c r="U560" s="55" t="n">
        <x:v>1307</x:v>
      </x:c>
      <x:c r="V560" s="55" t="n">
        <x:v>10608</x:v>
      </x:c>
      <x:c r="W560" s="55" t="n">
        <x:v>7660</x:v>
      </x:c>
      <x:c r="X560" s="55" t="n">
        <x:v>2948</x:v>
      </x:c>
      <x:c r="Y560" s="55" t="n">
        <x:v>2755</x:v>
      </x:c>
      <x:c r="Z560" s="55" t="n">
        <x:v>4047</x:v>
      </x:c>
      <x:c r="AA560" s="55" t="n">
        <x:v>3521</x:v>
      </x:c>
      <x:c r="AB560" s="55" t="n">
        <x:v>1329</x:v>
      </x:c>
      <x:c r="AC560" s="55" t="n">
        <x:v>8050</x:v>
      </x:c>
      <x:c r="AD560" s="55" t="n">
        <x:v>2884</x:v>
      </x:c>
      <x:c r="AE560" s="55" t="n">
        <x:v>10686</x:v>
      </x:c>
      <x:c r="AF560" s="55" t="n">
        <x:v>10608</x:v>
      </x:c>
      <x:c r="AG560" s="55" t="n">
        <x:v>78</x:v>
      </x:c>
      <x:c r="AH560" s="55" t="n">
        <x:v>434</x:v>
      </x:c>
      <x:c r="AI560" s="55" t="n">
        <x:v>10174</x:v>
      </x:c>
      <x:c r="AJ560" s="55" t="n">
        <x:v>397</x:v>
      </x:c>
      <x:c r="AK560" s="55" t="n">
        <x:v>1053</x:v>
      </x:c>
      <x:c r="AL560" s="55" t="n">
        <x:v>1735</x:v>
      </x:c>
      <x:c r="AM560" s="55" t="n">
        <x:v>4619</x:v>
      </x:c>
      <x:c r="AN560" s="55" t="n">
        <x:v>2804</x:v>
      </x:c>
      <x:c r="AO560" s="55" t="n">
        <x:v>0</x:v>
      </x:c>
      <x:c r="AP560" s="55" t="n">
        <x:v>2506</x:v>
      </x:c>
      <x:c r="AQ560" s="55" t="n">
        <x:v>966</x:v>
      </x:c>
    </x:row>
    <x:row r="561">
      <x:c r="A561" s="54" t="str">
        <x:v>T2_CONCORDANT_DOMAIN</x:v>
      </x:c>
      <x:c r="B561" s="54" t="n">
        <x:v>555</x:v>
      </x:c>
      <x:c r="C561" s="54" t="str">
        <x:v>NYC-V2-R01</x:v>
      </x:c>
      <x:c r="D561" s="54" t="str">
        <x:v>V2</x:v>
      </x:c>
      <x:c r="E561" s="54" t="str">
        <x:v>ADMITTED</x:v>
      </x:c>
      <x:c r="F561" s="55" t="n">
        <x:v>31741</x:v>
      </x:c>
      <x:c r="G561" s="55" t="n">
        <x:v>8080</x:v>
      </x:c>
      <x:c r="H561" s="55" t="n">
        <x:v>3512</x:v>
      </x:c>
      <x:c r="I561" s="55" t="n">
        <x:v>1432</x:v>
      </x:c>
      <x:c r="J561" s="55" t="n">
        <x:v>192</x:v>
      </x:c>
      <x:c r="K561" s="55" t="n">
        <x:v>31741</x:v>
      </x:c>
      <x:c r="L561" s="55" t="n">
        <x:v>6447</x:v>
      </x:c>
      <x:c r="M561" s="55" t="n">
        <x:v>1979</x:v>
      </x:c>
      <x:c r="N561" s="55" t="n">
        <x:v>2619</x:v>
      </x:c>
      <x:c r="O561" s="55" t="n">
        <x:v>1849</x:v>
      </x:c>
      <x:c r="P561" s="55" t="n">
        <x:v>993</x:v>
      </x:c>
      <x:c r="Q561" s="55" t="n">
        <x:v>2760</x:v>
      </x:c>
      <x:c r="R561" s="55" t="n">
        <x:v>1788</x:v>
      </x:c>
      <x:c r="S561" s="55" t="n">
        <x:v>3159</x:v>
      </x:c>
      <x:c r="T561" s="55" t="n">
        <x:v>1380</x:v>
      </x:c>
      <x:c r="U561" s="55" t="n">
        <x:v>2238</x:v>
      </x:c>
      <x:c r="V561" s="55" t="n">
        <x:v>10776</x:v>
      </x:c>
      <x:c r="W561" s="55" t="n">
        <x:v>7651</x:v>
      </x:c>
      <x:c r="X561" s="55" t="n">
        <x:v>3125</x:v>
      </x:c>
      <x:c r="Y561" s="55" t="n">
        <x:v>2802</x:v>
      </x:c>
      <x:c r="Z561" s="55" t="n">
        <x:v>3720</x:v>
      </x:c>
      <x:c r="AA561" s="55" t="n">
        <x:v>2990</x:v>
      </x:c>
      <x:c r="AB561" s="55" t="n">
        <x:v>1029</x:v>
      </x:c>
      <x:c r="AC561" s="55" t="n">
        <x:v>8037</x:v>
      </x:c>
      <x:c r="AD561" s="55" t="n">
        <x:v>2507</x:v>
      </x:c>
      <x:c r="AE561" s="55" t="n">
        <x:v>10816</x:v>
      </x:c>
      <x:c r="AF561" s="55" t="n">
        <x:v>10776</x:v>
      </x:c>
      <x:c r="AG561" s="55" t="n">
        <x:v>40</x:v>
      </x:c>
      <x:c r="AH561" s="55" t="n">
        <x:v>449</x:v>
      </x:c>
      <x:c r="AI561" s="55" t="n">
        <x:v>10327</x:v>
      </x:c>
      <x:c r="AJ561" s="55" t="n">
        <x:v>216</x:v>
      </x:c>
      <x:c r="AK561" s="55" t="n">
        <x:v>1137</x:v>
      </x:c>
      <x:c r="AL561" s="55" t="n">
        <x:v>1731</x:v>
      </x:c>
      <x:c r="AM561" s="55" t="n">
        <x:v>4886</x:v>
      </x:c>
      <x:c r="AN561" s="55" t="n">
        <x:v>2806</x:v>
      </x:c>
      <x:c r="AO561" s="55" t="n">
        <x:v>0</x:v>
      </x:c>
      <x:c r="AP561" s="55" t="n">
        <x:v>2571</x:v>
      </x:c>
      <x:c r="AQ561" s="55" t="n">
        <x:v>985</x:v>
      </x:c>
    </x:row>
    <x:row r="562">
      <x:c r="A562" s="54" t="str">
        <x:v>T2_CONCORDANT_DOMAIN</x:v>
      </x:c>
      <x:c r="B562" s="54" t="n">
        <x:v>556</x:v>
      </x:c>
      <x:c r="C562" s="54" t="str">
        <x:v>NYC-V2-R01</x:v>
      </x:c>
      <x:c r="D562" s="54" t="str">
        <x:v>V2</x:v>
      </x:c>
      <x:c r="E562" s="54" t="str">
        <x:v>ADMITTED</x:v>
      </x:c>
      <x:c r="F562" s="55" t="n">
        <x:v>32340</x:v>
      </x:c>
      <x:c r="G562" s="55" t="n">
        <x:v>6640</x:v>
      </x:c>
      <x:c r="H562" s="55" t="n">
        <x:v>3244</x:v>
      </x:c>
      <x:c r="I562" s="55" t="n">
        <x:v>1164</x:v>
      </x:c>
      <x:c r="J562" s="55" t="n">
        <x:v>165</x:v>
      </x:c>
      <x:c r="K562" s="55" t="n">
        <x:v>32340</x:v>
      </x:c>
      <x:c r="L562" s="55" t="n">
        <x:v>5214</x:v>
      </x:c>
      <x:c r="M562" s="55" t="n">
        <x:v>1023</x:v>
      </x:c>
      <x:c r="N562" s="55" t="n">
        <x:v>2150</x:v>
      </x:c>
      <x:c r="O562" s="55" t="n">
        <x:v>2041</x:v>
      </x:c>
      <x:c r="P562" s="55" t="n">
        <x:v>443</x:v>
      </x:c>
      <x:c r="Q562" s="55" t="n">
        <x:v>1354</x:v>
      </x:c>
      <x:c r="R562" s="55" t="n">
        <x:v>1815</x:v>
      </x:c>
      <x:c r="S562" s="55" t="n">
        <x:v>2603</x:v>
      </x:c>
      <x:c r="T562" s="55" t="n">
        <x:v>1218</x:v>
      </x:c>
      <x:c r="U562" s="55" t="n">
        <x:v>1670</x:v>
      </x:c>
      <x:c r="V562" s="55" t="n">
        <x:v>10138</x:v>
      </x:c>
      <x:c r="W562" s="55" t="n">
        <x:v>6887</x:v>
      </x:c>
      <x:c r="X562" s="55" t="n">
        <x:v>3251</x:v>
      </x:c>
      <x:c r="Y562" s="55" t="n">
        <x:v>2641</x:v>
      </x:c>
      <x:c r="Z562" s="55" t="n">
        <x:v>3497</x:v>
      </x:c>
      <x:c r="AA562" s="55" t="n">
        <x:v>3244</x:v>
      </x:c>
      <x:c r="AB562" s="55" t="n">
        <x:v>760</x:v>
      </x:c>
      <x:c r="AC562" s="55" t="n">
        <x:v>7924</x:v>
      </x:c>
      <x:c r="AD562" s="55" t="n">
        <x:v>2961</x:v>
      </x:c>
      <x:c r="AE562" s="55" t="n">
        <x:v>10198</x:v>
      </x:c>
      <x:c r="AF562" s="55" t="n">
        <x:v>10138</x:v>
      </x:c>
      <x:c r="AG562" s="55" t="n">
        <x:v>60</x:v>
      </x:c>
      <x:c r="AH562" s="55" t="n">
        <x:v>123</x:v>
      </x:c>
      <x:c r="AI562" s="55" t="n">
        <x:v>10015</x:v>
      </x:c>
      <x:c r="AJ562" s="55" t="n">
        <x:v>341</x:v>
      </x:c>
      <x:c r="AK562" s="55" t="n">
        <x:v>761</x:v>
      </x:c>
      <x:c r="AL562" s="55" t="n">
        <x:v>1211</x:v>
      </x:c>
      <x:c r="AM562" s="55" t="n">
        <x:v>5215</x:v>
      </x:c>
      <x:c r="AN562" s="55" t="n">
        <x:v>2594</x:v>
      </x:c>
      <x:c r="AO562" s="55" t="n">
        <x:v>16</x:v>
      </x:c>
      <x:c r="AP562" s="55" t="n">
        <x:v>2337</x:v>
      </x:c>
      <x:c r="AQ562" s="55" t="n">
        <x:v>944</x:v>
      </x:c>
    </x:row>
    <x:row r="563">
      <x:c r="A563" s="54" t="str">
        <x:v>T2_CONCORDANT_DOMAIN</x:v>
      </x:c>
      <x:c r="B563" s="54" t="n">
        <x:v>557</x:v>
      </x:c>
      <x:c r="C563" s="54" t="str">
        <x:v>NYC-V2-R01</x:v>
      </x:c>
      <x:c r="D563" s="54" t="str">
        <x:v>V2</x:v>
      </x:c>
      <x:c r="E563" s="54" t="str">
        <x:v>ADMITTED</x:v>
      </x:c>
      <x:c r="F563" s="55" t="n">
        <x:v>31335</x:v>
      </x:c>
      <x:c r="G563" s="55" t="n">
        <x:v>8430</x:v>
      </x:c>
      <x:c r="H563" s="55" t="n">
        <x:v>3247</x:v>
      </x:c>
      <x:c r="I563" s="55" t="n">
        <x:v>1132</x:v>
      </x:c>
      <x:c r="J563" s="55" t="n">
        <x:v>148</x:v>
      </x:c>
      <x:c r="K563" s="55" t="n">
        <x:v>30558</x:v>
      </x:c>
      <x:c r="L563" s="55" t="n">
        <x:v>6782</x:v>
      </x:c>
      <x:c r="M563" s="55" t="n">
        <x:v>2022</x:v>
      </x:c>
      <x:c r="N563" s="55" t="n">
        <x:v>2713</x:v>
      </x:c>
      <x:c r="O563" s="55" t="n">
        <x:v>2047</x:v>
      </x:c>
      <x:c r="P563" s="55" t="n">
        <x:v>1213</x:v>
      </x:c>
      <x:c r="Q563" s="55" t="n">
        <x:v>3094</x:v>
      </x:c>
      <x:c r="R563" s="55" t="n">
        <x:v>2107</x:v>
      </x:c>
      <x:c r="S563" s="55" t="n">
        <x:v>2447</x:v>
      </x:c>
      <x:c r="T563" s="55" t="n">
        <x:v>1383</x:v>
      </x:c>
      <x:c r="U563" s="55" t="n">
        <x:v>2412</x:v>
      </x:c>
      <x:c r="V563" s="55" t="n">
        <x:v>10903</x:v>
      </x:c>
      <x:c r="W563" s="55" t="n">
        <x:v>7873</x:v>
      </x:c>
      <x:c r="X563" s="55" t="n">
        <x:v>3030</x:v>
      </x:c>
      <x:c r="Y563" s="55" t="n">
        <x:v>2678</x:v>
      </x:c>
      <x:c r="Z563" s="55" t="n">
        <x:v>3471</x:v>
      </x:c>
      <x:c r="AA563" s="55" t="n">
        <x:v>2962</x:v>
      </x:c>
      <x:c r="AB563" s="55" t="n">
        <x:v>1014</x:v>
      </x:c>
      <x:c r="AC563" s="55" t="n">
        <x:v>8135</x:v>
      </x:c>
      <x:c r="AD563" s="55" t="n">
        <x:v>3275</x:v>
      </x:c>
      <x:c r="AE563" s="55" t="n">
        <x:v>11073</x:v>
      </x:c>
      <x:c r="AF563" s="55" t="n">
        <x:v>10903</x:v>
      </x:c>
      <x:c r="AG563" s="55" t="n">
        <x:v>170</x:v>
      </x:c>
      <x:c r="AH563" s="55" t="n">
        <x:v>601</x:v>
      </x:c>
      <x:c r="AI563" s="55" t="n">
        <x:v>10302</x:v>
      </x:c>
      <x:c r="AJ563" s="55" t="n">
        <x:v>468</x:v>
      </x:c>
      <x:c r="AK563" s="55" t="n">
        <x:v>1206</x:v>
      </x:c>
      <x:c r="AL563" s="55" t="n">
        <x:v>1551</x:v>
      </x:c>
      <x:c r="AM563" s="55" t="n">
        <x:v>4850</x:v>
      </x:c>
      <x:c r="AN563" s="55" t="n">
        <x:v>2753</x:v>
      </x:c>
      <x:c r="AO563" s="55" t="n">
        <x:v>75</x:v>
      </x:c>
      <x:c r="AP563" s="55" t="n">
        <x:v>2699</x:v>
      </x:c>
      <x:c r="AQ563" s="55" t="n">
        <x:v>980</x:v>
      </x:c>
    </x:row>
    <x:row r="564">
      <x:c r="A564" s="54" t="str">
        <x:v>T2_CONCORDANT_DOMAIN</x:v>
      </x:c>
      <x:c r="B564" s="54" t="n">
        <x:v>558</x:v>
      </x:c>
      <x:c r="C564" s="54" t="str">
        <x:v>NYC-V2-R01</x:v>
      </x:c>
      <x:c r="D564" s="54" t="str">
        <x:v>V2</x:v>
      </x:c>
      <x:c r="E564" s="54" t="str">
        <x:v>ADMITTED</x:v>
      </x:c>
      <x:c r="F564" s="55" t="n">
        <x:v>31881</x:v>
      </x:c>
      <x:c r="G564" s="55" t="n">
        <x:v>7326</x:v>
      </x:c>
      <x:c r="H564" s="55" t="n">
        <x:v>3274</x:v>
      </x:c>
      <x:c r="I564" s="55" t="n">
        <x:v>1348</x:v>
      </x:c>
      <x:c r="J564" s="55" t="n">
        <x:v>162</x:v>
      </x:c>
      <x:c r="K564" s="55" t="n">
        <x:v>31881</x:v>
      </x:c>
      <x:c r="L564" s="55" t="n">
        <x:v>6655</x:v>
      </x:c>
      <x:c r="M564" s="55" t="n">
        <x:v>1441</x:v>
      </x:c>
      <x:c r="N564" s="55" t="n">
        <x:v>3299</x:v>
      </x:c>
      <x:c r="O564" s="55" t="n">
        <x:v>1915</x:v>
      </x:c>
      <x:c r="P564" s="55" t="n">
        <x:v>696</x:v>
      </x:c>
      <x:c r="Q564" s="55" t="n">
        <x:v>2128</x:v>
      </x:c>
      <x:c r="R564" s="55" t="n">
        <x:v>1612</x:v>
      </x:c>
      <x:c r="S564" s="55" t="n">
        <x:v>2676</x:v>
      </x:c>
      <x:c r="T564" s="55" t="n">
        <x:v>1574</x:v>
      </x:c>
      <x:c r="U564" s="55" t="n">
        <x:v>1784</x:v>
      </x:c>
      <x:c r="V564" s="55" t="n">
        <x:v>10340</x:v>
      </x:c>
      <x:c r="W564" s="55" t="n">
        <x:v>7340</x:v>
      </x:c>
      <x:c r="X564" s="55" t="n">
        <x:v>3000</x:v>
      </x:c>
      <x:c r="Y564" s="55" t="n">
        <x:v>2598</x:v>
      </x:c>
      <x:c r="Z564" s="55" t="n">
        <x:v>3659</x:v>
      </x:c>
      <x:c r="AA564" s="55" t="n">
        <x:v>3252</x:v>
      </x:c>
      <x:c r="AB564" s="55" t="n">
        <x:v>1087</x:v>
      </x:c>
      <x:c r="AC564" s="55" t="n">
        <x:v>8615</x:v>
      </x:c>
      <x:c r="AD564" s="55" t="n">
        <x:v>3168</x:v>
      </x:c>
      <x:c r="AE564" s="55" t="n">
        <x:v>10410</x:v>
      </x:c>
      <x:c r="AF564" s="55" t="n">
        <x:v>10340</x:v>
      </x:c>
      <x:c r="AG564" s="55" t="n">
        <x:v>70</x:v>
      </x:c>
      <x:c r="AH564" s="55" t="n">
        <x:v>485</x:v>
      </x:c>
      <x:c r="AI564" s="55" t="n">
        <x:v>9855</x:v>
      </x:c>
      <x:c r="AJ564" s="55" t="n">
        <x:v>386</x:v>
      </x:c>
      <x:c r="AK564" s="55" t="n">
        <x:v>809</x:v>
      </x:c>
      <x:c r="AL564" s="55" t="n">
        <x:v>1331</x:v>
      </x:c>
      <x:c r="AM564" s="55" t="n">
        <x:v>5131</x:v>
      </x:c>
      <x:c r="AN564" s="55" t="n">
        <x:v>2612</x:v>
      </x:c>
      <x:c r="AO564" s="55" t="n">
        <x:v>71</x:v>
      </x:c>
      <x:c r="AP564" s="55" t="n">
        <x:v>2815</x:v>
      </x:c>
      <x:c r="AQ564" s="55" t="n">
        <x:v>979</x:v>
      </x:c>
    </x:row>
    <x:row r="565">
      <x:c r="A565" s="54" t="str">
        <x:v>T2_CONCORDANT_DOMAIN</x:v>
      </x:c>
      <x:c r="B565" s="54" t="n">
        <x:v>559</x:v>
      </x:c>
      <x:c r="C565" s="54" t="str">
        <x:v>NYC-V2-R01</x:v>
      </x:c>
      <x:c r="D565" s="54" t="str">
        <x:v>V2</x:v>
      </x:c>
      <x:c r="E565" s="54" t="str">
        <x:v>ADMITTED</x:v>
      </x:c>
      <x:c r="F565" s="55" t="n">
        <x:v>32224</x:v>
      </x:c>
      <x:c r="G565" s="55" t="n">
        <x:v>7383</x:v>
      </x:c>
      <x:c r="H565" s="55" t="n">
        <x:v>3799</x:v>
      </x:c>
      <x:c r="I565" s="55" t="n">
        <x:v>1296</x:v>
      </x:c>
      <x:c r="J565" s="55" t="n">
        <x:v>273</x:v>
      </x:c>
      <x:c r="K565" s="55" t="n">
        <x:v>32224</x:v>
      </x:c>
      <x:c r="L565" s="55" t="n">
        <x:v>5993</x:v>
      </x:c>
      <x:c r="M565" s="55" t="n">
        <x:v>1108</x:v>
      </x:c>
      <x:c r="N565" s="55" t="n">
        <x:v>3007</x:v>
      </x:c>
      <x:c r="O565" s="55" t="n">
        <x:v>1878</x:v>
      </x:c>
      <x:c r="P565" s="55" t="n">
        <x:v>1060</x:v>
      </x:c>
      <x:c r="Q565" s="55" t="n">
        <x:v>2573</x:v>
      </x:c>
      <x:c r="R565" s="55" t="n">
        <x:v>1898</x:v>
      </x:c>
      <x:c r="S565" s="55" t="n">
        <x:v>2494</x:v>
      </x:c>
      <x:c r="T565" s="55" t="n">
        <x:v>1143</x:v>
      </x:c>
      <x:c r="U565" s="55" t="n">
        <x:v>2152</x:v>
      </x:c>
      <x:c r="V565" s="55" t="n">
        <x:v>10734</x:v>
      </x:c>
      <x:c r="W565" s="55" t="n">
        <x:v>7980</x:v>
      </x:c>
      <x:c r="X565" s="55" t="n">
        <x:v>2754</x:v>
      </x:c>
      <x:c r="Y565" s="55" t="n">
        <x:v>2462</x:v>
      </x:c>
      <x:c r="Z565" s="55" t="n">
        <x:v>4050</x:v>
      </x:c>
      <x:c r="AA565" s="55" t="n">
        <x:v>3799</x:v>
      </x:c>
      <x:c r="AB565" s="55" t="n">
        <x:v>1229</x:v>
      </x:c>
      <x:c r="AC565" s="55" t="n">
        <x:v>8622</x:v>
      </x:c>
      <x:c r="AD565" s="55" t="n">
        <x:v>2919</x:v>
      </x:c>
      <x:c r="AE565" s="55" t="n">
        <x:v>10887</x:v>
      </x:c>
      <x:c r="AF565" s="55" t="n">
        <x:v>10734</x:v>
      </x:c>
      <x:c r="AG565" s="55" t="n">
        <x:v>153</x:v>
      </x:c>
      <x:c r="AH565" s="55" t="n">
        <x:v>521</x:v>
      </x:c>
      <x:c r="AI565" s="55" t="n">
        <x:v>10213</x:v>
      </x:c>
      <x:c r="AJ565" s="55" t="n">
        <x:v>352</x:v>
      </x:c>
      <x:c r="AK565" s="55" t="n">
        <x:v>1014</x:v>
      </x:c>
      <x:c r="AL565" s="55" t="n">
        <x:v>1960</x:v>
      </x:c>
      <x:c r="AM565" s="55" t="n">
        <x:v>5130</x:v>
      </x:c>
      <x:c r="AN565" s="55" t="n">
        <x:v>2207</x:v>
      </x:c>
      <x:c r="AO565" s="55" t="n">
        <x:v>71</x:v>
      </x:c>
      <x:c r="AP565" s="55" t="n">
        <x:v>2454</x:v>
      </x:c>
      <x:c r="AQ565" s="55" t="n">
        <x:v>1003</x:v>
      </x:c>
    </x:row>
    <x:row r="566">
      <x:c r="A566" s="54" t="str">
        <x:v>T2_CONCORDANT_DOMAIN</x:v>
      </x:c>
      <x:c r="B566" s="54" t="n">
        <x:v>560</x:v>
      </x:c>
      <x:c r="C566" s="54" t="str">
        <x:v>NYC-V2-R01</x:v>
      </x:c>
      <x:c r="D566" s="54" t="str">
        <x:v>V2</x:v>
      </x:c>
      <x:c r="E566" s="54" t="str">
        <x:v>ADMITTED</x:v>
      </x:c>
      <x:c r="F566" s="55" t="n">
        <x:v>30830</x:v>
      </x:c>
      <x:c r="G566" s="55" t="n">
        <x:v>7434</x:v>
      </x:c>
      <x:c r="H566" s="55" t="n">
        <x:v>3322</x:v>
      </x:c>
      <x:c r="I566" s="55" t="n">
        <x:v>1062</x:v>
      </x:c>
      <x:c r="J566" s="55" t="n">
        <x:v>111</x:v>
      </x:c>
      <x:c r="K566" s="55" t="n">
        <x:v>28846</x:v>
      </x:c>
      <x:c r="L566" s="55" t="n">
        <x:v>4512</x:v>
      </x:c>
      <x:c r="M566" s="55" t="n">
        <x:v>319</x:v>
      </x:c>
      <x:c r="N566" s="55" t="n">
        <x:v>2662</x:v>
      </x:c>
      <x:c r="O566" s="55" t="n">
        <x:v>1531</x:v>
      </x:c>
      <x:c r="P566" s="55" t="n">
        <x:v>699</x:v>
      </x:c>
      <x:c r="Q566" s="55" t="n">
        <x:v>1956</x:v>
      </x:c>
      <x:c r="R566" s="55" t="n">
        <x:v>1835</x:v>
      </x:c>
      <x:c r="S566" s="55" t="n">
        <x:v>2348</x:v>
      </x:c>
      <x:c r="T566" s="55" t="n">
        <x:v>1135</x:v>
      </x:c>
      <x:c r="U566" s="55" t="n">
        <x:v>2188</x:v>
      </x:c>
      <x:c r="V566" s="55" t="n">
        <x:v>10721</x:v>
      </x:c>
      <x:c r="W566" s="55" t="n">
        <x:v>7279</x:v>
      </x:c>
      <x:c r="X566" s="55" t="n">
        <x:v>3442</x:v>
      </x:c>
      <x:c r="Y566" s="55" t="n">
        <x:v>2992</x:v>
      </x:c>
      <x:c r="Z566" s="55" t="n">
        <x:v>3406</x:v>
      </x:c>
      <x:c r="AA566" s="55" t="n">
        <x:v>2792</x:v>
      </x:c>
      <x:c r="AB566" s="55" t="n">
        <x:v>950</x:v>
      </x:c>
      <x:c r="AC566" s="55" t="n">
        <x:v>7459</x:v>
      </x:c>
      <x:c r="AD566" s="55" t="n">
        <x:v>2715</x:v>
      </x:c>
      <x:c r="AE566" s="55" t="n">
        <x:v>10761</x:v>
      </x:c>
      <x:c r="AF566" s="55" t="n">
        <x:v>10721</x:v>
      </x:c>
      <x:c r="AG566" s="55" t="n">
        <x:v>40</x:v>
      </x:c>
      <x:c r="AH566" s="55" t="n">
        <x:v>512</x:v>
      </x:c>
      <x:c r="AI566" s="55" t="n">
        <x:v>10209</x:v>
      </x:c>
      <x:c r="AJ566" s="55" t="n">
        <x:v>376</x:v>
      </x:c>
      <x:c r="AK566" s="55" t="n">
        <x:v>1161</x:v>
      </x:c>
      <x:c r="AL566" s="55" t="n">
        <x:v>1394</x:v>
      </x:c>
      <x:c r="AM566" s="55" t="n">
        <x:v>5052</x:v>
      </x:c>
      <x:c r="AN566" s="55" t="n">
        <x:v>2738</x:v>
      </x:c>
      <x:c r="AO566" s="55" t="n">
        <x:v>0</x:v>
      </x:c>
      <x:c r="AP566" s="55" t="n">
        <x:v>2717</x:v>
      </x:c>
      <x:c r="AQ566" s="55" t="n">
        <x:v>939</x:v>
      </x:c>
    </x:row>
    <x:row r="567">
      <x:c r="A567" s="54" t="str">
        <x:v>T2_CONCORDANT_DOMAIN</x:v>
      </x:c>
      <x:c r="B567" s="54" t="n">
        <x:v>561</x:v>
      </x:c>
      <x:c r="C567" s="54" t="str">
        <x:v>NYC-V2-R01</x:v>
      </x:c>
      <x:c r="D567" s="54" t="str">
        <x:v>V2</x:v>
      </x:c>
      <x:c r="E567" s="54" t="str">
        <x:v>ADMITTED</x:v>
      </x:c>
      <x:c r="F567" s="55" t="n">
        <x:v>32272</x:v>
      </x:c>
      <x:c r="G567" s="55" t="n">
        <x:v>8688</x:v>
      </x:c>
      <x:c r="H567" s="55" t="n">
        <x:v>3326</x:v>
      </x:c>
      <x:c r="I567" s="55" t="n">
        <x:v>1480</x:v>
      </x:c>
      <x:c r="J567" s="55" t="n">
        <x:v>534</x:v>
      </x:c>
      <x:c r="K567" s="55" t="n">
        <x:v>28327</x:v>
      </x:c>
      <x:c r="L567" s="55" t="n">
        <x:v>5247</x:v>
      </x:c>
      <x:c r="M567" s="55" t="n">
        <x:v>1973</x:v>
      </x:c>
      <x:c r="N567" s="55" t="n">
        <x:v>1999</x:v>
      </x:c>
      <x:c r="O567" s="55" t="n">
        <x:v>1275</x:v>
      </x:c>
      <x:c r="P567" s="55" t="n">
        <x:v>815</x:v>
      </x:c>
      <x:c r="Q567" s="55" t="n">
        <x:v>1867</x:v>
      </x:c>
      <x:c r="R567" s="55" t="n">
        <x:v>1286</x:v>
      </x:c>
      <x:c r="S567" s="55" t="n">
        <x:v>2089</x:v>
      </x:c>
      <x:c r="T567" s="55" t="n">
        <x:v>742</x:v>
      </x:c>
      <x:c r="U567" s="55" t="n">
        <x:v>1661</x:v>
      </x:c>
      <x:c r="V567" s="55" t="n">
        <x:v>10139</x:v>
      </x:c>
      <x:c r="W567" s="55" t="n">
        <x:v>6947</x:v>
      </x:c>
      <x:c r="X567" s="55" t="n">
        <x:v>3192</x:v>
      </x:c>
      <x:c r="Y567" s="55" t="n">
        <x:v>2767</x:v>
      </x:c>
      <x:c r="Z567" s="55" t="n">
        <x:v>3447</x:v>
      </x:c>
      <x:c r="AA567" s="55" t="n">
        <x:v>3164</x:v>
      </x:c>
      <x:c r="AB567" s="55" t="n">
        <x:v>1010</x:v>
      </x:c>
      <x:c r="AC567" s="55" t="n">
        <x:v>8105</x:v>
      </x:c>
      <x:c r="AD567" s="55" t="n">
        <x:v>2391</x:v>
      </x:c>
      <x:c r="AE567" s="55" t="n">
        <x:v>10206</x:v>
      </x:c>
      <x:c r="AF567" s="55" t="n">
        <x:v>10139</x:v>
      </x:c>
      <x:c r="AG567" s="55" t="n">
        <x:v>67</x:v>
      </x:c>
      <x:c r="AH567" s="55" t="n">
        <x:v>284</x:v>
      </x:c>
      <x:c r="AI567" s="55" t="n">
        <x:v>9855</x:v>
      </x:c>
      <x:c r="AJ567" s="55" t="n">
        <x:v>470</x:v>
      </x:c>
      <x:c r="AK567" s="55" t="n">
        <x:v>715</x:v>
      </x:c>
      <x:c r="AL567" s="55" t="n">
        <x:v>1458</x:v>
      </x:c>
      <x:c r="AM567" s="55" t="n">
        <x:v>5035</x:v>
      </x:c>
      <x:c r="AN567" s="55" t="n">
        <x:v>2461</x:v>
      </x:c>
      <x:c r="AO567" s="55" t="n">
        <x:v>0</x:v>
      </x:c>
      <x:c r="AP567" s="55" t="n">
        <x:v>2185</x:v>
      </x:c>
      <x:c r="AQ567" s="55" t="n">
        <x:v>1012</x:v>
      </x:c>
    </x:row>
    <x:row r="568">
      <x:c r="A568" s="54" t="str">
        <x:v>T2_CONCORDANT_DOMAIN</x:v>
      </x:c>
      <x:c r="B568" s="54" t="n">
        <x:v>562</x:v>
      </x:c>
      <x:c r="C568" s="54" t="str">
        <x:v>NYC-V2-R01</x:v>
      </x:c>
      <x:c r="D568" s="54" t="str">
        <x:v>V2</x:v>
      </x:c>
      <x:c r="E568" s="54" t="str">
        <x:v>ADMITTED</x:v>
      </x:c>
      <x:c r="F568" s="55" t="n">
        <x:v>32436</x:v>
      </x:c>
      <x:c r="G568" s="55" t="n">
        <x:v>7422</x:v>
      </x:c>
      <x:c r="H568" s="55" t="n">
        <x:v>3221</x:v>
      </x:c>
      <x:c r="I568" s="55" t="n">
        <x:v>1552</x:v>
      </x:c>
      <x:c r="J568" s="55" t="n">
        <x:v>303</x:v>
      </x:c>
      <x:c r="K568" s="55" t="n">
        <x:v>32436</x:v>
      </x:c>
      <x:c r="L568" s="55" t="n">
        <x:v>6325</x:v>
      </x:c>
      <x:c r="M568" s="55" t="n">
        <x:v>2237</x:v>
      </x:c>
      <x:c r="N568" s="55" t="n">
        <x:v>2409</x:v>
      </x:c>
      <x:c r="O568" s="55" t="n">
        <x:v>1679</x:v>
      </x:c>
      <x:c r="P568" s="55" t="n">
        <x:v>1363</x:v>
      </x:c>
      <x:c r="Q568" s="55" t="n">
        <x:v>2523</x:v>
      </x:c>
      <x:c r="R568" s="55" t="n">
        <x:v>2008</x:v>
      </x:c>
      <x:c r="S568" s="55" t="n">
        <x:v>2958</x:v>
      </x:c>
      <x:c r="T568" s="55" t="n">
        <x:v>1205</x:v>
      </x:c>
      <x:c r="U568" s="55" t="n">
        <x:v>2473</x:v>
      </x:c>
      <x:c r="V568" s="55" t="n">
        <x:v>10860</x:v>
      </x:c>
      <x:c r="W568" s="55" t="n">
        <x:v>8179</x:v>
      </x:c>
      <x:c r="X568" s="55" t="n">
        <x:v>2681</x:v>
      </x:c>
      <x:c r="Y568" s="55" t="n">
        <x:v>2352</x:v>
      </x:c>
      <x:c r="Z568" s="55" t="n">
        <x:v>3934</x:v>
      </x:c>
      <x:c r="AA568" s="55" t="n">
        <x:v>3221</x:v>
      </x:c>
      <x:c r="AB568" s="55" t="n">
        <x:v>1064</x:v>
      </x:c>
      <x:c r="AC568" s="55" t="n">
        <x:v>7911</x:v>
      </x:c>
      <x:c r="AD568" s="55" t="n">
        <x:v>3058</x:v>
      </x:c>
      <x:c r="AE568" s="55" t="n">
        <x:v>10946</x:v>
      </x:c>
      <x:c r="AF568" s="55" t="n">
        <x:v>10860</x:v>
      </x:c>
      <x:c r="AG568" s="55" t="n">
        <x:v>86</x:v>
      </x:c>
      <x:c r="AH568" s="55" t="n">
        <x:v>442</x:v>
      </x:c>
      <x:c r="AI568" s="55" t="n">
        <x:v>10418</x:v>
      </x:c>
      <x:c r="AJ568" s="55" t="n">
        <x:v>411</x:v>
      </x:c>
      <x:c r="AK568" s="55" t="n">
        <x:v>1285</x:v>
      </x:c>
      <x:c r="AL568" s="55" t="n">
        <x:v>1429</x:v>
      </x:c>
      <x:c r="AM568" s="55" t="n">
        <x:v>4985</x:v>
      </x:c>
      <x:c r="AN568" s="55" t="n">
        <x:v>2726</x:v>
      </x:c>
      <x:c r="AO568" s="55" t="n">
        <x:v>24</x:v>
      </x:c>
      <x:c r="AP568" s="55" t="n">
        <x:v>2643</x:v>
      </x:c>
      <x:c r="AQ568" s="55" t="n">
        <x:v>969</x:v>
      </x:c>
    </x:row>
    <x:row r="569">
      <x:c r="A569" s="54" t="str">
        <x:v>T2_CONCORDANT_DOMAIN</x:v>
      </x:c>
      <x:c r="B569" s="54" t="n">
        <x:v>563</x:v>
      </x:c>
      <x:c r="C569" s="54" t="str">
        <x:v>NYC-V2-R01</x:v>
      </x:c>
      <x:c r="D569" s="54" t="str">
        <x:v>V2</x:v>
      </x:c>
      <x:c r="E569" s="54" t="str">
        <x:v>ADMITTED</x:v>
      </x:c>
      <x:c r="F569" s="55" t="n">
        <x:v>32382</x:v>
      </x:c>
      <x:c r="G569" s="55" t="n">
        <x:v>8890</x:v>
      </x:c>
      <x:c r="H569" s="55" t="n">
        <x:v>2976</x:v>
      </x:c>
      <x:c r="I569" s="55" t="n">
        <x:v>644</x:v>
      </x:c>
      <x:c r="J569" s="55" t="n">
        <x:v>44</x:v>
      </x:c>
      <x:c r="K569" s="55" t="n">
        <x:v>31581</x:v>
      </x:c>
      <x:c r="L569" s="55" t="n">
        <x:v>5316</x:v>
      </x:c>
      <x:c r="M569" s="55" t="n">
        <x:v>1151</x:v>
      </x:c>
      <x:c r="N569" s="55" t="n">
        <x:v>2421</x:v>
      </x:c>
      <x:c r="O569" s="55" t="n">
        <x:v>1744</x:v>
      </x:c>
      <x:c r="P569" s="55" t="n">
        <x:v>712</x:v>
      </x:c>
      <x:c r="Q569" s="55" t="n">
        <x:v>2111</x:v>
      </x:c>
      <x:c r="R569" s="55" t="n">
        <x:v>2317</x:v>
      </x:c>
      <x:c r="S569" s="55" t="n">
        <x:v>3053</x:v>
      </x:c>
      <x:c r="T569" s="55" t="n">
        <x:v>969</x:v>
      </x:c>
      <x:c r="U569" s="55" t="n">
        <x:v>1833</x:v>
      </x:c>
      <x:c r="V569" s="55" t="n">
        <x:v>9807</x:v>
      </x:c>
      <x:c r="W569" s="55" t="n">
        <x:v>6875</x:v>
      </x:c>
      <x:c r="X569" s="55" t="n">
        <x:v>2932</x:v>
      </x:c>
      <x:c r="Y569" s="55" t="n">
        <x:v>2623</x:v>
      </x:c>
      <x:c r="Z569" s="55" t="n">
        <x:v>3603</x:v>
      </x:c>
      <x:c r="AA569" s="55" t="n">
        <x:v>2976</x:v>
      </x:c>
      <x:c r="AB569" s="55" t="n">
        <x:v>1000</x:v>
      </x:c>
      <x:c r="AC569" s="55" t="n">
        <x:v>7975</x:v>
      </x:c>
      <x:c r="AD569" s="55" t="n">
        <x:v>3150</x:v>
      </x:c>
      <x:c r="AE569" s="55" t="n">
        <x:v>9848</x:v>
      </x:c>
      <x:c r="AF569" s="55" t="n">
        <x:v>9807</x:v>
      </x:c>
      <x:c r="AG569" s="55" t="n">
        <x:v>41</x:v>
      </x:c>
      <x:c r="AH569" s="55" t="n">
        <x:v>402</x:v>
      </x:c>
      <x:c r="AI569" s="55" t="n">
        <x:v>9405</x:v>
      </x:c>
      <x:c r="AJ569" s="55" t="n">
        <x:v>256</x:v>
      </x:c>
      <x:c r="AK569" s="55" t="n">
        <x:v>792</x:v>
      </x:c>
      <x:c r="AL569" s="55" t="n">
        <x:v>1541</x:v>
      </x:c>
      <x:c r="AM569" s="55" t="n">
        <x:v>4506</x:v>
      </x:c>
      <x:c r="AN569" s="55" t="n">
        <x:v>2712</x:v>
      </x:c>
      <x:c r="AO569" s="55" t="n">
        <x:v>0</x:v>
      </x:c>
      <x:c r="AP569" s="55" t="n">
        <x:v>2180</x:v>
      </x:c>
      <x:c r="AQ569" s="55" t="n">
        <x:v>1003</x:v>
      </x:c>
    </x:row>
    <x:row r="570">
      <x:c r="A570" s="54" t="str">
        <x:v>T2_CONCORDANT_DOMAIN</x:v>
      </x:c>
      <x:c r="B570" s="54" t="n">
        <x:v>564</x:v>
      </x:c>
      <x:c r="C570" s="54" t="str">
        <x:v>NYC-V2-R01</x:v>
      </x:c>
      <x:c r="D570" s="54" t="str">
        <x:v>V2</x:v>
      </x:c>
      <x:c r="E570" s="54" t="str">
        <x:v>ADMITTED</x:v>
      </x:c>
      <x:c r="F570" s="55" t="n">
        <x:v>28927</x:v>
      </x:c>
      <x:c r="G570" s="55" t="n">
        <x:v>6797</x:v>
      </x:c>
      <x:c r="H570" s="55" t="n">
        <x:v>3101</x:v>
      </x:c>
      <x:c r="I570" s="55" t="n">
        <x:v>1315</x:v>
      </x:c>
      <x:c r="J570" s="55" t="n">
        <x:v>129</x:v>
      </x:c>
      <x:c r="K570" s="55" t="n">
        <x:v>27225</x:v>
      </x:c>
      <x:c r="L570" s="55" t="n">
        <x:v>3880</x:v>
      </x:c>
      <x:c r="M570" s="55" t="n">
        <x:v>0</x:v>
      </x:c>
      <x:c r="N570" s="55" t="n">
        <x:v>2467</x:v>
      </x:c>
      <x:c r="O570" s="55" t="n">
        <x:v>1413</x:v>
      </x:c>
      <x:c r="P570" s="55" t="n">
        <x:v>411</x:v>
      </x:c>
      <x:c r="Q570" s="55" t="n">
        <x:v>1275</x:v>
      </x:c>
      <x:c r="R570" s="55" t="n">
        <x:v>1562</x:v>
      </x:c>
      <x:c r="S570" s="55" t="n">
        <x:v>2444</x:v>
      </x:c>
      <x:c r="T570" s="55" t="n">
        <x:v>1260</x:v>
      </x:c>
      <x:c r="U570" s="55" t="n">
        <x:v>1935</x:v>
      </x:c>
      <x:c r="V570" s="55" t="n">
        <x:v>10614</x:v>
      </x:c>
      <x:c r="W570" s="55" t="n">
        <x:v>7893</x:v>
      </x:c>
      <x:c r="X570" s="55" t="n">
        <x:v>2721</x:v>
      </x:c>
      <x:c r="Y570" s="55" t="n">
        <x:v>2281</x:v>
      </x:c>
      <x:c r="Z570" s="55" t="n">
        <x:v>3482</x:v>
      </x:c>
      <x:c r="AA570" s="55" t="n">
        <x:v>2452</x:v>
      </x:c>
      <x:c r="AB570" s="55" t="n">
        <x:v>833</x:v>
      </x:c>
      <x:c r="AC570" s="55" t="n">
        <x:v>7387</x:v>
      </x:c>
      <x:c r="AD570" s="55" t="n">
        <x:v>2331</x:v>
      </x:c>
      <x:c r="AE570" s="55" t="n">
        <x:v>10614</x:v>
      </x:c>
      <x:c r="AF570" s="55" t="n">
        <x:v>10614</x:v>
      </x:c>
      <x:c r="AG570" s="55" t="n">
        <x:v>0</x:v>
      </x:c>
      <x:c r="AH570" s="55" t="n">
        <x:v>266</x:v>
      </x:c>
      <x:c r="AI570" s="55" t="n">
        <x:v>10348</x:v>
      </x:c>
      <x:c r="AJ570" s="55" t="n">
        <x:v>264</x:v>
      </x:c>
      <x:c r="AK570" s="55" t="n">
        <x:v>1012</x:v>
      </x:c>
      <x:c r="AL570" s="55" t="n">
        <x:v>1179</x:v>
      </x:c>
      <x:c r="AM570" s="55" t="n">
        <x:v>5098</x:v>
      </x:c>
      <x:c r="AN570" s="55" t="n">
        <x:v>3024</x:v>
      </x:c>
      <x:c r="AO570" s="55" t="n">
        <x:v>37</x:v>
      </x:c>
      <x:c r="AP570" s="55" t="n">
        <x:v>1824</x:v>
      </x:c>
      <x:c r="AQ570" s="55" t="n">
        <x:v>927</x:v>
      </x:c>
    </x:row>
    <x:row r="571">
      <x:c r="A571" s="54" t="str">
        <x:v>T2_CONCORDANT_DOMAIN</x:v>
      </x:c>
      <x:c r="B571" s="54" t="n">
        <x:v>565</x:v>
      </x:c>
      <x:c r="C571" s="54" t="str">
        <x:v>NYC-V2-R01</x:v>
      </x:c>
      <x:c r="D571" s="54" t="str">
        <x:v>V2</x:v>
      </x:c>
      <x:c r="E571" s="54" t="str">
        <x:v>ADMITTED</x:v>
      </x:c>
      <x:c r="F571" s="55" t="n">
        <x:v>29838</x:v>
      </x:c>
      <x:c r="G571" s="55" t="n">
        <x:v>6014</x:v>
      </x:c>
      <x:c r="H571" s="55" t="n">
        <x:v>2846</x:v>
      </x:c>
      <x:c r="I571" s="55" t="n">
        <x:v>919</x:v>
      </x:c>
      <x:c r="J571" s="55" t="n">
        <x:v>87</x:v>
      </x:c>
      <x:c r="K571" s="55" t="n">
        <x:v>29838</x:v>
      </x:c>
      <x:c r="L571" s="55" t="n">
        <x:v>4535</x:v>
      </x:c>
      <x:c r="M571" s="55" t="n">
        <x:v>1150</x:v>
      </x:c>
      <x:c r="N571" s="55" t="n">
        <x:v>2078</x:v>
      </x:c>
      <x:c r="O571" s="55" t="n">
        <x:v>1307</x:v>
      </x:c>
      <x:c r="P571" s="55" t="n">
        <x:v>668</x:v>
      </x:c>
      <x:c r="Q571" s="55" t="n">
        <x:v>1836</x:v>
      </x:c>
      <x:c r="R571" s="55" t="n">
        <x:v>1674</x:v>
      </x:c>
      <x:c r="S571" s="55" t="n">
        <x:v>2514</x:v>
      </x:c>
      <x:c r="T571" s="55" t="n">
        <x:v>1146</x:v>
      </x:c>
      <x:c r="U571" s="55" t="n">
        <x:v>2058</x:v>
      </x:c>
      <x:c r="V571" s="55" t="n">
        <x:v>10128</x:v>
      </x:c>
      <x:c r="W571" s="55" t="n">
        <x:v>7231</x:v>
      </x:c>
      <x:c r="X571" s="55" t="n">
        <x:v>2897</x:v>
      </x:c>
      <x:c r="Y571" s="55" t="n">
        <x:v>2608</x:v>
      </x:c>
      <x:c r="Z571" s="55" t="n">
        <x:v>3614</x:v>
      </x:c>
      <x:c r="AA571" s="55" t="n">
        <x:v>2846</x:v>
      </x:c>
      <x:c r="AB571" s="55" t="n">
        <x:v>877</x:v>
      </x:c>
      <x:c r="AC571" s="55" t="n">
        <x:v>7957</x:v>
      </x:c>
      <x:c r="AD571" s="55" t="n">
        <x:v>2732</x:v>
      </x:c>
      <x:c r="AE571" s="55" t="n">
        <x:v>10193</x:v>
      </x:c>
      <x:c r="AF571" s="55" t="n">
        <x:v>10128</x:v>
      </x:c>
      <x:c r="AG571" s="55" t="n">
        <x:v>65</x:v>
      </x:c>
      <x:c r="AH571" s="55" t="n">
        <x:v>320</x:v>
      </x:c>
      <x:c r="AI571" s="55" t="n">
        <x:v>9808</x:v>
      </x:c>
      <x:c r="AJ571" s="55" t="n">
        <x:v>139</x:v>
      </x:c>
      <x:c r="AK571" s="55" t="n">
        <x:v>842</x:v>
      </x:c>
      <x:c r="AL571" s="55" t="n">
        <x:v>1516</x:v>
      </x:c>
      <x:c r="AM571" s="55" t="n">
        <x:v>5083</x:v>
      </x:c>
      <x:c r="AN571" s="55" t="n">
        <x:v>2548</x:v>
      </x:c>
      <x:c r="AO571" s="55" t="n">
        <x:v>0</x:v>
      </x:c>
      <x:c r="AP571" s="55" t="n">
        <x:v>2217</x:v>
      </x:c>
      <x:c r="AQ571" s="55" t="n">
        <x:v>929</x:v>
      </x:c>
    </x:row>
    <x:row r="572">
      <x:c r="A572" s="54" t="str">
        <x:v>T2_CONCORDANT_DOMAIN</x:v>
      </x:c>
      <x:c r="B572" s="54" t="n">
        <x:v>566</x:v>
      </x:c>
      <x:c r="C572" s="54" t="str">
        <x:v>NYC-V2-R01</x:v>
      </x:c>
      <x:c r="D572" s="54" t="str">
        <x:v>V2</x:v>
      </x:c>
      <x:c r="E572" s="54" t="str">
        <x:v>ADMITTED</x:v>
      </x:c>
      <x:c r="F572" s="55" t="n">
        <x:v>30958</x:v>
      </x:c>
      <x:c r="G572" s="55" t="n">
        <x:v>8160</x:v>
      </x:c>
      <x:c r="H572" s="55" t="n">
        <x:v>3466</x:v>
      </x:c>
      <x:c r="I572" s="55" t="n">
        <x:v>1647</x:v>
      </x:c>
      <x:c r="J572" s="55" t="n">
        <x:v>222</x:v>
      </x:c>
      <x:c r="K572" s="55" t="n">
        <x:v>30198</x:v>
      </x:c>
      <x:c r="L572" s="55" t="n">
        <x:v>6549</x:v>
      </x:c>
      <x:c r="M572" s="55" t="n">
        <x:v>2213</x:v>
      </x:c>
      <x:c r="N572" s="55" t="n">
        <x:v>2549</x:v>
      </x:c>
      <x:c r="O572" s="55" t="n">
        <x:v>1787</x:v>
      </x:c>
      <x:c r="P572" s="55" t="n">
        <x:v>489</x:v>
      </x:c>
      <x:c r="Q572" s="55" t="n">
        <x:v>2421</x:v>
      </x:c>
      <x:c r="R572" s="55" t="n">
        <x:v>1834</x:v>
      </x:c>
      <x:c r="S572" s="55" t="n">
        <x:v>2591</x:v>
      </x:c>
      <x:c r="T572" s="55" t="n">
        <x:v>1361</x:v>
      </x:c>
      <x:c r="U572" s="55" t="n">
        <x:v>1731</x:v>
      </x:c>
      <x:c r="V572" s="55" t="n">
        <x:v>10112</x:v>
      </x:c>
      <x:c r="W572" s="55" t="n">
        <x:v>7203</x:v>
      </x:c>
      <x:c r="X572" s="55" t="n">
        <x:v>2909</x:v>
      </x:c>
      <x:c r="Y572" s="55" t="n">
        <x:v>2372</x:v>
      </x:c>
      <x:c r="Z572" s="55" t="n">
        <x:v>3315</x:v>
      </x:c>
      <x:c r="AA572" s="55" t="n">
        <x:v>2615</x:v>
      </x:c>
      <x:c r="AB572" s="55" t="n">
        <x:v>1027</x:v>
      </x:c>
      <x:c r="AC572" s="55" t="n">
        <x:v>7899</x:v>
      </x:c>
      <x:c r="AD572" s="55" t="n">
        <x:v>2582</x:v>
      </x:c>
      <x:c r="AE572" s="55" t="n">
        <x:v>10190</x:v>
      </x:c>
      <x:c r="AF572" s="55" t="n">
        <x:v>10112</x:v>
      </x:c>
      <x:c r="AG572" s="55" t="n">
        <x:v>78</x:v>
      </x:c>
      <x:c r="AH572" s="55" t="n">
        <x:v>290</x:v>
      </x:c>
      <x:c r="AI572" s="55" t="n">
        <x:v>9822</x:v>
      </x:c>
      <x:c r="AJ572" s="55" t="n">
        <x:v>358</x:v>
      </x:c>
      <x:c r="AK572" s="55" t="n">
        <x:v>977</x:v>
      </x:c>
      <x:c r="AL572" s="55" t="n">
        <x:v>1550</x:v>
      </x:c>
      <x:c r="AM572" s="55" t="n">
        <x:v>4960</x:v>
      </x:c>
      <x:c r="AN572" s="55" t="n">
        <x:v>2267</x:v>
      </x:c>
      <x:c r="AO572" s="55" t="n">
        <x:v>0</x:v>
      </x:c>
      <x:c r="AP572" s="55" t="n">
        <x:v>2221</x:v>
      </x:c>
      <x:c r="AQ572" s="55" t="n">
        <x:v>971</x:v>
      </x:c>
    </x:row>
    <x:row r="573">
      <x:c r="A573" s="54" t="str">
        <x:v>T2_CONCORDANT_DOMAIN</x:v>
      </x:c>
      <x:c r="B573" s="54" t="n">
        <x:v>567</x:v>
      </x:c>
      <x:c r="C573" s="54" t="str">
        <x:v>NYC-V2-R01</x:v>
      </x:c>
      <x:c r="D573" s="54" t="str">
        <x:v>V2</x:v>
      </x:c>
      <x:c r="E573" s="54" t="str">
        <x:v>ADMITTED</x:v>
      </x:c>
      <x:c r="F573" s="55" t="n">
        <x:v>30370</x:v>
      </x:c>
      <x:c r="G573" s="55" t="n">
        <x:v>8217</x:v>
      </x:c>
      <x:c r="H573" s="55" t="n">
        <x:v>3132</x:v>
      </x:c>
      <x:c r="I573" s="55" t="n">
        <x:v>1336</x:v>
      </x:c>
      <x:c r="J573" s="55" t="n">
        <x:v>228</x:v>
      </x:c>
      <x:c r="K573" s="55" t="n">
        <x:v>29649</x:v>
      </x:c>
      <x:c r="L573" s="55" t="n">
        <x:v>6642</x:v>
      </x:c>
      <x:c r="M573" s="55" t="n">
        <x:v>2064</x:v>
      </x:c>
      <x:c r="N573" s="55" t="n">
        <x:v>3070</x:v>
      </x:c>
      <x:c r="O573" s="55" t="n">
        <x:v>1508</x:v>
      </x:c>
      <x:c r="P573" s="55" t="n">
        <x:v>749</x:v>
      </x:c>
      <x:c r="Q573" s="55" t="n">
        <x:v>3338</x:v>
      </x:c>
      <x:c r="R573" s="55" t="n">
        <x:v>2190</x:v>
      </x:c>
      <x:c r="S573" s="55" t="n">
        <x:v>3402</x:v>
      </x:c>
      <x:c r="T573" s="55" t="n">
        <x:v>1375</x:v>
      </x:c>
      <x:c r="U573" s="55" t="n">
        <x:v>1644</x:v>
      </x:c>
      <x:c r="V573" s="55" t="n">
        <x:v>10555</x:v>
      </x:c>
      <x:c r="W573" s="55" t="n">
        <x:v>7648</x:v>
      </x:c>
      <x:c r="X573" s="55" t="n">
        <x:v>2907</x:v>
      </x:c>
      <x:c r="Y573" s="55" t="n">
        <x:v>2509</x:v>
      </x:c>
      <x:c r="Z573" s="55" t="n">
        <x:v>3573</x:v>
      </x:c>
      <x:c r="AA573" s="55" t="n">
        <x:v>2906</x:v>
      </x:c>
      <x:c r="AB573" s="55" t="n">
        <x:v>972</x:v>
      </x:c>
      <x:c r="AC573" s="55" t="n">
        <x:v>7821</x:v>
      </x:c>
      <x:c r="AD573" s="55" t="n">
        <x:v>2558</x:v>
      </x:c>
      <x:c r="AE573" s="55" t="n">
        <x:v>10660</x:v>
      </x:c>
      <x:c r="AF573" s="55" t="n">
        <x:v>10555</x:v>
      </x:c>
      <x:c r="AG573" s="55" t="n">
        <x:v>105</x:v>
      </x:c>
      <x:c r="AH573" s="55" t="n">
        <x:v>381</x:v>
      </x:c>
      <x:c r="AI573" s="55" t="n">
        <x:v>10174</x:v>
      </x:c>
      <x:c r="AJ573" s="55" t="n">
        <x:v>261</x:v>
      </x:c>
      <x:c r="AK573" s="55" t="n">
        <x:v>939</x:v>
      </x:c>
      <x:c r="AL573" s="55" t="n">
        <x:v>1380</x:v>
      </x:c>
      <x:c r="AM573" s="55" t="n">
        <x:v>4892</x:v>
      </x:c>
      <x:c r="AN573" s="55" t="n">
        <x:v>3083</x:v>
      </x:c>
      <x:c r="AO573" s="55" t="n">
        <x:v>0</x:v>
      </x:c>
      <x:c r="AP573" s="55" t="n">
        <x:v>2411</x:v>
      </x:c>
      <x:c r="AQ573" s="55" t="n">
        <x:v>970</x:v>
      </x:c>
    </x:row>
    <x:row r="574">
      <x:c r="A574" s="54" t="str">
        <x:v>T2_CONCORDANT_DOMAIN</x:v>
      </x:c>
      <x:c r="B574" s="54" t="n">
        <x:v>568</x:v>
      </x:c>
      <x:c r="C574" s="54" t="str">
        <x:v>NYC-V2-R01</x:v>
      </x:c>
      <x:c r="D574" s="54" t="str">
        <x:v>V2</x:v>
      </x:c>
      <x:c r="E574" s="54" t="str">
        <x:v>ADMITTED</x:v>
      </x:c>
      <x:c r="F574" s="55" t="n">
        <x:v>32281</x:v>
      </x:c>
      <x:c r="G574" s="55" t="n">
        <x:v>7990</x:v>
      </x:c>
      <x:c r="H574" s="55" t="n">
        <x:v>3251</x:v>
      </x:c>
      <x:c r="I574" s="55" t="n">
        <x:v>1196</x:v>
      </x:c>
      <x:c r="J574" s="55" t="n">
        <x:v>221</x:v>
      </x:c>
      <x:c r="K574" s="55" t="n">
        <x:v>32281</x:v>
      </x:c>
      <x:c r="L574" s="55" t="n">
        <x:v>6008</x:v>
      </x:c>
      <x:c r="M574" s="55" t="n">
        <x:v>1218</x:v>
      </x:c>
      <x:c r="N574" s="55" t="n">
        <x:v>3134</x:v>
      </x:c>
      <x:c r="O574" s="55" t="n">
        <x:v>1656</x:v>
      </x:c>
      <x:c r="P574" s="55" t="n">
        <x:v>875</x:v>
      </x:c>
      <x:c r="Q574" s="55" t="n">
        <x:v>2600</x:v>
      </x:c>
      <x:c r="R574" s="55" t="n">
        <x:v>1902</x:v>
      </x:c>
      <x:c r="S574" s="55" t="n">
        <x:v>2552</x:v>
      </x:c>
      <x:c r="T574" s="55" t="n">
        <x:v>710</x:v>
      </x:c>
      <x:c r="U574" s="55" t="n">
        <x:v>2054</x:v>
      </x:c>
      <x:c r="V574" s="55" t="n">
        <x:v>10234</x:v>
      </x:c>
      <x:c r="W574" s="55" t="n">
        <x:v>7066</x:v>
      </x:c>
      <x:c r="X574" s="55" t="n">
        <x:v>3168</x:v>
      </x:c>
      <x:c r="Y574" s="55" t="n">
        <x:v>2793</x:v>
      </x:c>
      <x:c r="Z574" s="55" t="n">
        <x:v>3426</x:v>
      </x:c>
      <x:c r="AA574" s="55" t="n">
        <x:v>3141</x:v>
      </x:c>
      <x:c r="AB574" s="55" t="n">
        <x:v>940</x:v>
      </x:c>
      <x:c r="AC574" s="55" t="n">
        <x:v>8268</x:v>
      </x:c>
      <x:c r="AD574" s="55" t="n">
        <x:v>3117</x:v>
      </x:c>
      <x:c r="AE574" s="55" t="n">
        <x:v>10349</x:v>
      </x:c>
      <x:c r="AF574" s="55" t="n">
        <x:v>10234</x:v>
      </x:c>
      <x:c r="AG574" s="55" t="n">
        <x:v>115</x:v>
      </x:c>
      <x:c r="AH574" s="55" t="n">
        <x:v>392</x:v>
      </x:c>
      <x:c r="AI574" s="55" t="n">
        <x:v>9842</x:v>
      </x:c>
      <x:c r="AJ574" s="55" t="n">
        <x:v>436</x:v>
      </x:c>
      <x:c r="AK574" s="55" t="n">
        <x:v>779</x:v>
      </x:c>
      <x:c r="AL574" s="55" t="n">
        <x:v>1485</x:v>
      </x:c>
      <x:c r="AM574" s="55" t="n">
        <x:v>5035</x:v>
      </x:c>
      <x:c r="AN574" s="55" t="n">
        <x:v>2441</x:v>
      </x:c>
      <x:c r="AO574" s="55" t="n">
        <x:v>58</x:v>
      </x:c>
      <x:c r="AP574" s="55" t="n">
        <x:v>2249</x:v>
      </x:c>
      <x:c r="AQ574" s="55" t="n">
        <x:v>968</x:v>
      </x:c>
    </x:row>
    <x:row r="575">
      <x:c r="A575" s="54" t="str">
        <x:v>T2_CONCORDANT_DOMAIN</x:v>
      </x:c>
      <x:c r="B575" s="54" t="n">
        <x:v>569</x:v>
      </x:c>
      <x:c r="C575" s="54" t="str">
        <x:v>NYC-V2-R01</x:v>
      </x:c>
      <x:c r="D575" s="54" t="str">
        <x:v>V2</x:v>
      </x:c>
      <x:c r="E575" s="54" t="str">
        <x:v>ADMITTED</x:v>
      </x:c>
      <x:c r="F575" s="55" t="n">
        <x:v>31392</x:v>
      </x:c>
      <x:c r="G575" s="55" t="n">
        <x:v>7336</x:v>
      </x:c>
      <x:c r="H575" s="55" t="n">
        <x:v>3049</x:v>
      </x:c>
      <x:c r="I575" s="55" t="n">
        <x:v>1013</x:v>
      </x:c>
      <x:c r="J575" s="55" t="n">
        <x:v>258</x:v>
      </x:c>
      <x:c r="K575" s="55" t="n">
        <x:v>31392</x:v>
      </x:c>
      <x:c r="L575" s="55" t="n">
        <x:v>5875</x:v>
      </x:c>
      <x:c r="M575" s="55" t="n">
        <x:v>1501</x:v>
      </x:c>
      <x:c r="N575" s="55" t="n">
        <x:v>2709</x:v>
      </x:c>
      <x:c r="O575" s="55" t="n">
        <x:v>1665</x:v>
      </x:c>
      <x:c r="P575" s="55" t="n">
        <x:v>739</x:v>
      </x:c>
      <x:c r="Q575" s="55" t="n">
        <x:v>2482</x:v>
      </x:c>
      <x:c r="R575" s="55" t="n">
        <x:v>1555</x:v>
      </x:c>
      <x:c r="S575" s="55" t="n">
        <x:v>2313</x:v>
      </x:c>
      <x:c r="T575" s="55" t="n">
        <x:v>1153</x:v>
      </x:c>
      <x:c r="U575" s="55" t="n">
        <x:v>1944</x:v>
      </x:c>
      <x:c r="V575" s="55" t="n">
        <x:v>10469</x:v>
      </x:c>
      <x:c r="W575" s="55" t="n">
        <x:v>7350</x:v>
      </x:c>
      <x:c r="X575" s="55" t="n">
        <x:v>3119</x:v>
      </x:c>
      <x:c r="Y575" s="55" t="n">
        <x:v>2625</x:v>
      </x:c>
      <x:c r="Z575" s="55" t="n">
        <x:v>3690</x:v>
      </x:c>
      <x:c r="AA575" s="55" t="n">
        <x:v>3049</x:v>
      </x:c>
      <x:c r="AB575" s="55" t="n">
        <x:v>1264</x:v>
      </x:c>
      <x:c r="AC575" s="55" t="n">
        <x:v>8036</x:v>
      </x:c>
      <x:c r="AD575" s="55" t="n">
        <x:v>3328</x:v>
      </x:c>
      <x:c r="AE575" s="55" t="n">
        <x:v>10589</x:v>
      </x:c>
      <x:c r="AF575" s="55" t="n">
        <x:v>10469</x:v>
      </x:c>
      <x:c r="AG575" s="55" t="n">
        <x:v>120</x:v>
      </x:c>
      <x:c r="AH575" s="55" t="n">
        <x:v>332</x:v>
      </x:c>
      <x:c r="AI575" s="55" t="n">
        <x:v>10137</x:v>
      </x:c>
      <x:c r="AJ575" s="55" t="n">
        <x:v>420</x:v>
      </x:c>
      <x:c r="AK575" s="55" t="n">
        <x:v>1136</x:v>
      </x:c>
      <x:c r="AL575" s="55" t="n">
        <x:v>1405</x:v>
      </x:c>
      <x:c r="AM575" s="55" t="n">
        <x:v>4520</x:v>
      </x:c>
      <x:c r="AN575" s="55" t="n">
        <x:v>2972</x:v>
      </x:c>
      <x:c r="AO575" s="55" t="n">
        <x:v>16</x:v>
      </x:c>
      <x:c r="AP575" s="55" t="n">
        <x:v>2098</x:v>
      </x:c>
      <x:c r="AQ575" s="55" t="n">
        <x:v>978</x:v>
      </x:c>
    </x:row>
    <x:row r="576">
      <x:c r="A576" s="54" t="str">
        <x:v>T2_CONCORDANT_DOMAIN</x:v>
      </x:c>
      <x:c r="B576" s="54" t="n">
        <x:v>570</x:v>
      </x:c>
      <x:c r="C576" s="54" t="str">
        <x:v>NYC-V2-R01</x:v>
      </x:c>
      <x:c r="D576" s="54" t="str">
        <x:v>V2</x:v>
      </x:c>
      <x:c r="E576" s="54" t="str">
        <x:v>ADMITTED</x:v>
      </x:c>
      <x:c r="F576" s="55" t="n">
        <x:v>30536</x:v>
      </x:c>
      <x:c r="G576" s="55" t="n">
        <x:v>7344</x:v>
      </x:c>
      <x:c r="H576" s="55" t="n">
        <x:v>2780</x:v>
      </x:c>
      <x:c r="I576" s="55" t="n">
        <x:v>1219</x:v>
      </x:c>
      <x:c r="J576" s="55" t="n">
        <x:v>248</x:v>
      </x:c>
      <x:c r="K576" s="55" t="n">
        <x:v>30536</x:v>
      </x:c>
      <x:c r="L576" s="55" t="n">
        <x:v>6085</x:v>
      </x:c>
      <x:c r="M576" s="55" t="n">
        <x:v>1343</x:v>
      </x:c>
      <x:c r="N576" s="55" t="n">
        <x:v>3149</x:v>
      </x:c>
      <x:c r="O576" s="55" t="n">
        <x:v>1593</x:v>
      </x:c>
      <x:c r="P576" s="55" t="n">
        <x:v>911</x:v>
      </x:c>
      <x:c r="Q576" s="55" t="n">
        <x:v>2405</x:v>
      </x:c>
      <x:c r="R576" s="55" t="n">
        <x:v>2112</x:v>
      </x:c>
      <x:c r="S576" s="55" t="n">
        <x:v>3063</x:v>
      </x:c>
      <x:c r="T576" s="55" t="n">
        <x:v>1539</x:v>
      </x:c>
      <x:c r="U576" s="55" t="n">
        <x:v>1834</x:v>
      </x:c>
      <x:c r="V576" s="55" t="n">
        <x:v>10856</x:v>
      </x:c>
      <x:c r="W576" s="55" t="n">
        <x:v>7975</x:v>
      </x:c>
      <x:c r="X576" s="55" t="n">
        <x:v>2881</x:v>
      </x:c>
      <x:c r="Y576" s="55" t="n">
        <x:v>2314</x:v>
      </x:c>
      <x:c r="Z576" s="55" t="n">
        <x:v>3747</x:v>
      </x:c>
      <x:c r="AA576" s="55" t="n">
        <x:v>2780</x:v>
      </x:c>
      <x:c r="AB576" s="55" t="n">
        <x:v>779</x:v>
      </x:c>
      <x:c r="AC576" s="55" t="n">
        <x:v>7361</x:v>
      </x:c>
      <x:c r="AD576" s="55" t="n">
        <x:v>2689</x:v>
      </x:c>
      <x:c r="AE576" s="55" t="n">
        <x:v>10908</x:v>
      </x:c>
      <x:c r="AF576" s="55" t="n">
        <x:v>10856</x:v>
      </x:c>
      <x:c r="AG576" s="55" t="n">
        <x:v>52</x:v>
      </x:c>
      <x:c r="AH576" s="55" t="n">
        <x:v>431</x:v>
      </x:c>
      <x:c r="AI576" s="55" t="n">
        <x:v>10425</x:v>
      </x:c>
      <x:c r="AJ576" s="55" t="n">
        <x:v>329</x:v>
      </x:c>
      <x:c r="AK576" s="55" t="n">
        <x:v>798</x:v>
      </x:c>
      <x:c r="AL576" s="55" t="n">
        <x:v>1569</x:v>
      </x:c>
      <x:c r="AM576" s="55" t="n">
        <x:v>5036</x:v>
      </x:c>
      <x:c r="AN576" s="55" t="n">
        <x:v>3124</x:v>
      </x:c>
      <x:c r="AO576" s="55" t="n">
        <x:v>0</x:v>
      </x:c>
      <x:c r="AP576" s="55" t="n">
        <x:v>2019</x:v>
      </x:c>
      <x:c r="AQ576" s="55" t="n">
        <x:v>940</x:v>
      </x:c>
    </x:row>
    <x:row r="577">
      <x:c r="A577" s="54" t="str">
        <x:v>T2_CONCORDANT_DOMAIN</x:v>
      </x:c>
      <x:c r="B577" s="54" t="n">
        <x:v>571</x:v>
      </x:c>
      <x:c r="C577" s="54" t="str">
        <x:v>NYC-V2-R01</x:v>
      </x:c>
      <x:c r="D577" s="54" t="str">
        <x:v>V2</x:v>
      </x:c>
      <x:c r="E577" s="54" t="str">
        <x:v>ADMITTED</x:v>
      </x:c>
      <x:c r="F577" s="55" t="n">
        <x:v>30779</x:v>
      </x:c>
      <x:c r="G577" s="55" t="n">
        <x:v>7852</x:v>
      </x:c>
      <x:c r="H577" s="55" t="n">
        <x:v>3105</x:v>
      </x:c>
      <x:c r="I577" s="55" t="n">
        <x:v>1023</x:v>
      </x:c>
      <x:c r="J577" s="55" t="n">
        <x:v>175</x:v>
      </x:c>
      <x:c r="K577" s="55" t="n">
        <x:v>30779</x:v>
      </x:c>
      <x:c r="L577" s="55" t="n">
        <x:v>5138</x:v>
      </x:c>
      <x:c r="M577" s="55" t="n">
        <x:v>1169</x:v>
      </x:c>
      <x:c r="N577" s="55" t="n">
        <x:v>2227</x:v>
      </x:c>
      <x:c r="O577" s="55" t="n">
        <x:v>1742</x:v>
      </x:c>
      <x:c r="P577" s="55" t="n">
        <x:v>704</x:v>
      </x:c>
      <x:c r="Q577" s="55" t="n">
        <x:v>2135</x:v>
      </x:c>
      <x:c r="R577" s="55" t="n">
        <x:v>1627</x:v>
      </x:c>
      <x:c r="S577" s="55" t="n">
        <x:v>3206</x:v>
      </x:c>
      <x:c r="T577" s="55" t="n">
        <x:v>1419</x:v>
      </x:c>
      <x:c r="U577" s="55" t="n">
        <x:v>1850</x:v>
      </x:c>
      <x:c r="V577" s="55" t="n">
        <x:v>10687</x:v>
      </x:c>
      <x:c r="W577" s="55" t="n">
        <x:v>7845</x:v>
      </x:c>
      <x:c r="X577" s="55" t="n">
        <x:v>2842</x:v>
      </x:c>
      <x:c r="Y577" s="55" t="n">
        <x:v>2466</x:v>
      </x:c>
      <x:c r="Z577" s="55" t="n">
        <x:v>3340</x:v>
      </x:c>
      <x:c r="AA577" s="55" t="n">
        <x:v>3088</x:v>
      </x:c>
      <x:c r="AB577" s="55" t="n">
        <x:v>1030</x:v>
      </x:c>
      <x:c r="AC577" s="55" t="n">
        <x:v>7513</x:v>
      </x:c>
      <x:c r="AD577" s="55" t="n">
        <x:v>2222</x:v>
      </x:c>
      <x:c r="AE577" s="55" t="n">
        <x:v>10733</x:v>
      </x:c>
      <x:c r="AF577" s="55" t="n">
        <x:v>10687</x:v>
      </x:c>
      <x:c r="AG577" s="55" t="n">
        <x:v>46</x:v>
      </x:c>
      <x:c r="AH577" s="55" t="n">
        <x:v>471</x:v>
      </x:c>
      <x:c r="AI577" s="55" t="n">
        <x:v>10216</x:v>
      </x:c>
      <x:c r="AJ577" s="55" t="n">
        <x:v>303</x:v>
      </x:c>
      <x:c r="AK577" s="55" t="n">
        <x:v>966</x:v>
      </x:c>
      <x:c r="AL577" s="55" t="n">
        <x:v>1582</x:v>
      </x:c>
      <x:c r="AM577" s="55" t="n">
        <x:v>5054</x:v>
      </x:c>
      <x:c r="AN577" s="55" t="n">
        <x:v>2782</x:v>
      </x:c>
      <x:c r="AO577" s="55" t="n">
        <x:v>0</x:v>
      </x:c>
      <x:c r="AP577" s="55" t="n">
        <x:v>2259</x:v>
      </x:c>
      <x:c r="AQ577" s="55" t="n">
        <x:v>942</x:v>
      </x:c>
    </x:row>
    <x:row r="578">
      <x:c r="A578" s="54" t="str">
        <x:v>T2_CONCORDANT_DOMAIN</x:v>
      </x:c>
      <x:c r="B578" s="54" t="n">
        <x:v>572</x:v>
      </x:c>
      <x:c r="C578" s="54" t="str">
        <x:v>NYC-V2-R01</x:v>
      </x:c>
      <x:c r="D578" s="54" t="str">
        <x:v>V2</x:v>
      </x:c>
      <x:c r="E578" s="54" t="str">
        <x:v>ADMITTED</x:v>
      </x:c>
      <x:c r="F578" s="55" t="n">
        <x:v>31376</x:v>
      </x:c>
      <x:c r="G578" s="55" t="n">
        <x:v>7677</x:v>
      </x:c>
      <x:c r="H578" s="55" t="n">
        <x:v>3337</x:v>
      </x:c>
      <x:c r="I578" s="55" t="n">
        <x:v>1582</x:v>
      </x:c>
      <x:c r="J578" s="55" t="n">
        <x:v>234</x:v>
      </x:c>
      <x:c r="K578" s="55" t="n">
        <x:v>29614</x:v>
      </x:c>
      <x:c r="L578" s="55" t="n">
        <x:v>5625</x:v>
      </x:c>
      <x:c r="M578" s="55" t="n">
        <x:v>1083</x:v>
      </x:c>
      <x:c r="N578" s="55" t="n">
        <x:v>2479</x:v>
      </x:c>
      <x:c r="O578" s="55" t="n">
        <x:v>2063</x:v>
      </x:c>
      <x:c r="P578" s="55" t="n">
        <x:v>507</x:v>
      </x:c>
      <x:c r="Q578" s="55" t="n">
        <x:v>1192</x:v>
      </x:c>
      <x:c r="R578" s="55" t="n">
        <x:v>1716</x:v>
      </x:c>
      <x:c r="S578" s="55" t="n">
        <x:v>3295</x:v>
      </x:c>
      <x:c r="T578" s="55" t="n">
        <x:v>991</x:v>
      </x:c>
      <x:c r="U578" s="55" t="n">
        <x:v>1876</x:v>
      </x:c>
      <x:c r="V578" s="55" t="n">
        <x:v>9909</x:v>
      </x:c>
      <x:c r="W578" s="55" t="n">
        <x:v>6945</x:v>
      </x:c>
      <x:c r="X578" s="55" t="n">
        <x:v>2964</x:v>
      </x:c>
      <x:c r="Y578" s="55" t="n">
        <x:v>2637</x:v>
      </x:c>
      <x:c r="Z578" s="55" t="n">
        <x:v>3202</x:v>
      </x:c>
      <x:c r="AA578" s="55" t="n">
        <x:v>2795</x:v>
      </x:c>
      <x:c r="AB578" s="55" t="n">
        <x:v>1050</x:v>
      </x:c>
      <x:c r="AC578" s="55" t="n">
        <x:v>8015</x:v>
      </x:c>
      <x:c r="AD578" s="55" t="n">
        <x:v>2309</x:v>
      </x:c>
      <x:c r="AE578" s="55" t="n">
        <x:v>10019</x:v>
      </x:c>
      <x:c r="AF578" s="55" t="n">
        <x:v>9909</x:v>
      </x:c>
      <x:c r="AG578" s="55" t="n">
        <x:v>110</x:v>
      </x:c>
      <x:c r="AH578" s="55" t="n">
        <x:v>271</x:v>
      </x:c>
      <x:c r="AI578" s="55" t="n">
        <x:v>9638</x:v>
      </x:c>
      <x:c r="AJ578" s="55" t="n">
        <x:v>281</x:v>
      </x:c>
      <x:c r="AK578" s="55" t="n">
        <x:v>1073</x:v>
      </x:c>
      <x:c r="AL578" s="55" t="n">
        <x:v>1512</x:v>
      </x:c>
      <x:c r="AM578" s="55" t="n">
        <x:v>4392</x:v>
      </x:c>
      <x:c r="AN578" s="55" t="n">
        <x:v>2651</x:v>
      </x:c>
      <x:c r="AO578" s="55" t="n">
        <x:v>0</x:v>
      </x:c>
      <x:c r="AP578" s="55" t="n">
        <x:v>1987</x:v>
      </x:c>
      <x:c r="AQ578" s="55" t="n">
        <x:v>945</x:v>
      </x:c>
    </x:row>
    <x:row r="579">
      <x:c r="A579" s="54" t="str">
        <x:v>T2_CONCORDANT_DOMAIN</x:v>
      </x:c>
      <x:c r="B579" s="54" t="n">
        <x:v>573</x:v>
      </x:c>
      <x:c r="C579" s="54" t="str">
        <x:v>NYC-V2-R01</x:v>
      </x:c>
      <x:c r="D579" s="54" t="str">
        <x:v>V2</x:v>
      </x:c>
      <x:c r="E579" s="54" t="str">
        <x:v>ADMITTED</x:v>
      </x:c>
      <x:c r="F579" s="55" t="n">
        <x:v>30948</x:v>
      </x:c>
      <x:c r="G579" s="55" t="n">
        <x:v>5854</x:v>
      </x:c>
      <x:c r="H579" s="55" t="n">
        <x:v>3042</x:v>
      </x:c>
      <x:c r="I579" s="55" t="n">
        <x:v>1431</x:v>
      </x:c>
      <x:c r="J579" s="55" t="n">
        <x:v>75</x:v>
      </x:c>
      <x:c r="K579" s="55" t="n">
        <x:v>30948</x:v>
      </x:c>
      <x:c r="L579" s="55" t="n">
        <x:v>5786</x:v>
      </x:c>
      <x:c r="M579" s="55" t="n">
        <x:v>556</x:v>
      </x:c>
      <x:c r="N579" s="55" t="n">
        <x:v>3099</x:v>
      </x:c>
      <x:c r="O579" s="55" t="n">
        <x:v>2131</x:v>
      </x:c>
      <x:c r="P579" s="55" t="n">
        <x:v>878</x:v>
      </x:c>
      <x:c r="Q579" s="55" t="n">
        <x:v>2666</x:v>
      </x:c>
      <x:c r="R579" s="55" t="n">
        <x:v>2592</x:v>
      </x:c>
      <x:c r="S579" s="55" t="n">
        <x:v>3254</x:v>
      </x:c>
      <x:c r="T579" s="55" t="n">
        <x:v>1602</x:v>
      </x:c>
      <x:c r="U579" s="55" t="n">
        <x:v>2041</x:v>
      </x:c>
      <x:c r="V579" s="55" t="n">
        <x:v>10828</x:v>
      </x:c>
      <x:c r="W579" s="55" t="n">
        <x:v>7715</x:v>
      </x:c>
      <x:c r="X579" s="55" t="n">
        <x:v>3113</x:v>
      </x:c>
      <x:c r="Y579" s="55" t="n">
        <x:v>2865</x:v>
      </x:c>
      <x:c r="Z579" s="55" t="n">
        <x:v>3494</x:v>
      </x:c>
      <x:c r="AA579" s="55" t="n">
        <x:v>2893</x:v>
      </x:c>
      <x:c r="AB579" s="55" t="n">
        <x:v>1083</x:v>
      </x:c>
      <x:c r="AC579" s="55" t="n">
        <x:v>8131</x:v>
      </x:c>
      <x:c r="AD579" s="55" t="n">
        <x:v>3053</x:v>
      </x:c>
      <x:c r="AE579" s="55" t="n">
        <x:v>10924</x:v>
      </x:c>
      <x:c r="AF579" s="55" t="n">
        <x:v>10828</x:v>
      </x:c>
      <x:c r="AG579" s="55" t="n">
        <x:v>96</x:v>
      </x:c>
      <x:c r="AH579" s="55" t="n">
        <x:v>457</x:v>
      </x:c>
      <x:c r="AI579" s="55" t="n">
        <x:v>10371</x:v>
      </x:c>
      <x:c r="AJ579" s="55" t="n">
        <x:v>318</x:v>
      </x:c>
      <x:c r="AK579" s="55" t="n">
        <x:v>941</x:v>
      </x:c>
      <x:c r="AL579" s="55" t="n">
        <x:v>1801</x:v>
      </x:c>
      <x:c r="AM579" s="55" t="n">
        <x:v>4978</x:v>
      </x:c>
      <x:c r="AN579" s="55" t="n">
        <x:v>2790</x:v>
      </x:c>
      <x:c r="AO579" s="55" t="n">
        <x:v>0</x:v>
      </x:c>
      <x:c r="AP579" s="55" t="n">
        <x:v>2308</x:v>
      </x:c>
      <x:c r="AQ579" s="55" t="n">
        <x:v>968</x:v>
      </x:c>
    </x:row>
    <x:row r="580">
      <x:c r="A580" s="54" t="str">
        <x:v>T2_CONCORDANT_DOMAIN</x:v>
      </x:c>
      <x:c r="B580" s="54" t="n">
        <x:v>574</x:v>
      </x:c>
      <x:c r="C580" s="54" t="str">
        <x:v>NYC-V2-R01</x:v>
      </x:c>
      <x:c r="D580" s="54" t="str">
        <x:v>V2</x:v>
      </x:c>
      <x:c r="E580" s="54" t="str">
        <x:v>ADMITTED</x:v>
      </x:c>
      <x:c r="F580" s="55" t="n">
        <x:v>30970</x:v>
      </x:c>
      <x:c r="G580" s="55" t="n">
        <x:v>7625</x:v>
      </x:c>
      <x:c r="H580" s="55" t="n">
        <x:v>3251</x:v>
      </x:c>
      <x:c r="I580" s="55" t="n">
        <x:v>1137</x:v>
      </x:c>
      <x:c r="J580" s="55" t="n">
        <x:v>162</x:v>
      </x:c>
      <x:c r="K580" s="55" t="n">
        <x:v>27661</x:v>
      </x:c>
      <x:c r="L580" s="55" t="n">
        <x:v>5750</x:v>
      </x:c>
      <x:c r="M580" s="55" t="n">
        <x:v>1332</x:v>
      </x:c>
      <x:c r="N580" s="55" t="n">
        <x:v>2580</x:v>
      </x:c>
      <x:c r="O580" s="55" t="n">
        <x:v>1838</x:v>
      </x:c>
      <x:c r="P580" s="55" t="n">
        <x:v>778</x:v>
      </x:c>
      <x:c r="Q580" s="55" t="n">
        <x:v>1973</x:v>
      </x:c>
      <x:c r="R580" s="55" t="n">
        <x:v>1511</x:v>
      </x:c>
      <x:c r="S580" s="55" t="n">
        <x:v>3020</x:v>
      </x:c>
      <x:c r="T580" s="55" t="n">
        <x:v>1458</x:v>
      </x:c>
      <x:c r="U580" s="55" t="n">
        <x:v>1856</x:v>
      </x:c>
      <x:c r="V580" s="55" t="n">
        <x:v>10787</x:v>
      </x:c>
      <x:c r="W580" s="55" t="n">
        <x:v>7931</x:v>
      </x:c>
      <x:c r="X580" s="55" t="n">
        <x:v>2856</x:v>
      </x:c>
      <x:c r="Y580" s="55" t="n">
        <x:v>2509</x:v>
      </x:c>
      <x:c r="Z580" s="55" t="n">
        <x:v>3445</x:v>
      </x:c>
      <x:c r="AA580" s="55" t="n">
        <x:v>2991</x:v>
      </x:c>
      <x:c r="AB580" s="55" t="n">
        <x:v>1186</x:v>
      </x:c>
      <x:c r="AC580" s="55" t="n">
        <x:v>7763</x:v>
      </x:c>
      <x:c r="AD580" s="55" t="n">
        <x:v>2900</x:v>
      </x:c>
      <x:c r="AE580" s="55" t="n">
        <x:v>10842</x:v>
      </x:c>
      <x:c r="AF580" s="55" t="n">
        <x:v>10787</x:v>
      </x:c>
      <x:c r="AG580" s="55" t="n">
        <x:v>55</x:v>
      </x:c>
      <x:c r="AH580" s="55" t="n">
        <x:v>339</x:v>
      </x:c>
      <x:c r="AI580" s="55" t="n">
        <x:v>10448</x:v>
      </x:c>
      <x:c r="AJ580" s="55" t="n">
        <x:v>261</x:v>
      </x:c>
      <x:c r="AK580" s="55" t="n">
        <x:v>862</x:v>
      </x:c>
      <x:c r="AL580" s="55" t="n">
        <x:v>1419</x:v>
      </x:c>
      <x:c r="AM580" s="55" t="n">
        <x:v>4863</x:v>
      </x:c>
      <x:c r="AN580" s="55" t="n">
        <x:v>3334</x:v>
      </x:c>
      <x:c r="AO580" s="55" t="n">
        <x:v>48</x:v>
      </x:c>
      <x:c r="AP580" s="55" t="n">
        <x:v>2106</x:v>
      </x:c>
      <x:c r="AQ580" s="55" t="n">
        <x:v>960</x:v>
      </x:c>
    </x:row>
    <x:row r="581">
      <x:c r="A581" s="54" t="str">
        <x:v>T2_CONCORDANT_DOMAIN</x:v>
      </x:c>
      <x:c r="B581" s="54" t="n">
        <x:v>575</x:v>
      </x:c>
      <x:c r="C581" s="54" t="str">
        <x:v>NYC-V2-R01</x:v>
      </x:c>
      <x:c r="D581" s="54" t="str">
        <x:v>V2</x:v>
      </x:c>
      <x:c r="E581" s="54" t="str">
        <x:v>ADMITTED</x:v>
      </x:c>
      <x:c r="F581" s="55" t="n">
        <x:v>30639</x:v>
      </x:c>
      <x:c r="G581" s="55" t="n">
        <x:v>7229</x:v>
      </x:c>
      <x:c r="H581" s="55" t="n">
        <x:v>3615</x:v>
      </x:c>
      <x:c r="I581" s="55" t="n">
        <x:v>1180</x:v>
      </x:c>
      <x:c r="J581" s="55" t="n">
        <x:v>228</x:v>
      </x:c>
      <x:c r="K581" s="55" t="n">
        <x:v>30639</x:v>
      </x:c>
      <x:c r="L581" s="55" t="n">
        <x:v>4759</x:v>
      </x:c>
      <x:c r="M581" s="55" t="n">
        <x:v>1235</x:v>
      </x:c>
      <x:c r="N581" s="55" t="n">
        <x:v>2058</x:v>
      </x:c>
      <x:c r="O581" s="55" t="n">
        <x:v>1466</x:v>
      </x:c>
      <x:c r="P581" s="55" t="n">
        <x:v>855</x:v>
      </x:c>
      <x:c r="Q581" s="55" t="n">
        <x:v>1568</x:v>
      </x:c>
      <x:c r="R581" s="55" t="n">
        <x:v>1662</x:v>
      </x:c>
      <x:c r="S581" s="55" t="n">
        <x:v>2770</x:v>
      </x:c>
      <x:c r="T581" s="55" t="n">
        <x:v>685</x:v>
      </x:c>
      <x:c r="U581" s="55" t="n">
        <x:v>1904</x:v>
      </x:c>
      <x:c r="V581" s="55" t="n">
        <x:v>10041</x:v>
      </x:c>
      <x:c r="W581" s="55" t="n">
        <x:v>6859</x:v>
      </x:c>
      <x:c r="X581" s="55" t="n">
        <x:v>3182</x:v>
      </x:c>
      <x:c r="Y581" s="55" t="n">
        <x:v>2710</x:v>
      </x:c>
      <x:c r="Z581" s="55" t="n">
        <x:v>3647</x:v>
      </x:c>
      <x:c r="AA581" s="55" t="n">
        <x:v>3615</x:v>
      </x:c>
      <x:c r="AB581" s="55" t="n">
        <x:v>1446</x:v>
      </x:c>
      <x:c r="AC581" s="55" t="n">
        <x:v>8420</x:v>
      </x:c>
      <x:c r="AD581" s="55" t="n">
        <x:v>3001</x:v>
      </x:c>
      <x:c r="AE581" s="55" t="n">
        <x:v>10114</x:v>
      </x:c>
      <x:c r="AF581" s="55" t="n">
        <x:v>10041</x:v>
      </x:c>
      <x:c r="AG581" s="55" t="n">
        <x:v>73</x:v>
      </x:c>
      <x:c r="AH581" s="55" t="n">
        <x:v>503</x:v>
      </x:c>
      <x:c r="AI581" s="55" t="n">
        <x:v>9538</x:v>
      </x:c>
      <x:c r="AJ581" s="55" t="n">
        <x:v>253</x:v>
      </x:c>
      <x:c r="AK581" s="55" t="n">
        <x:v>1111</x:v>
      </x:c>
      <x:c r="AL581" s="55" t="n">
        <x:v>1752</x:v>
      </x:c>
      <x:c r="AM581" s="55" t="n">
        <x:v>4956</x:v>
      </x:c>
      <x:c r="AN581" s="55" t="n">
        <x:v>1969</x:v>
      </x:c>
      <x:c r="AO581" s="55" t="n">
        <x:v>0</x:v>
      </x:c>
      <x:c r="AP581" s="55" t="n">
        <x:v>2344</x:v>
      </x:c>
      <x:c r="AQ581" s="55" t="n">
        <x:v>938</x:v>
      </x:c>
    </x:row>
    <x:row r="582">
      <x:c r="A582" s="54" t="str">
        <x:v>T2_CONCORDANT_DOMAIN</x:v>
      </x:c>
      <x:c r="B582" s="54" t="n">
        <x:v>576</x:v>
      </x:c>
      <x:c r="C582" s="54" t="str">
        <x:v>NYC-V2-R01</x:v>
      </x:c>
      <x:c r="D582" s="54" t="str">
        <x:v>V2</x:v>
      </x:c>
      <x:c r="E582" s="54" t="str">
        <x:v>ADMITTED</x:v>
      </x:c>
      <x:c r="F582" s="55" t="n">
        <x:v>31675</x:v>
      </x:c>
      <x:c r="G582" s="55" t="n">
        <x:v>7548</x:v>
      </x:c>
      <x:c r="H582" s="55" t="n">
        <x:v>3622</x:v>
      </x:c>
      <x:c r="I582" s="55" t="n">
        <x:v>1480</x:v>
      </x:c>
      <x:c r="J582" s="55" t="n">
        <x:v>318</x:v>
      </x:c>
      <x:c r="K582" s="55" t="n">
        <x:v>31675</x:v>
      </x:c>
      <x:c r="L582" s="55" t="n">
        <x:v>6732</x:v>
      </x:c>
      <x:c r="M582" s="55" t="n">
        <x:v>1497</x:v>
      </x:c>
      <x:c r="N582" s="55" t="n">
        <x:v>2699</x:v>
      </x:c>
      <x:c r="O582" s="55" t="n">
        <x:v>2536</x:v>
      </x:c>
      <x:c r="P582" s="55" t="n">
        <x:v>1013</x:v>
      </x:c>
      <x:c r="Q582" s="55" t="n">
        <x:v>2489</x:v>
      </x:c>
      <x:c r="R582" s="55" t="n">
        <x:v>2058</x:v>
      </x:c>
      <x:c r="S582" s="55" t="n">
        <x:v>2734</x:v>
      </x:c>
      <x:c r="T582" s="55" t="n">
        <x:v>1582</x:v>
      </x:c>
      <x:c r="U582" s="55" t="n">
        <x:v>1911</x:v>
      </x:c>
      <x:c r="V582" s="55" t="n">
        <x:v>9984</x:v>
      </x:c>
      <x:c r="W582" s="55" t="n">
        <x:v>7378</x:v>
      </x:c>
      <x:c r="X582" s="55" t="n">
        <x:v>2606</x:v>
      </x:c>
      <x:c r="Y582" s="55" t="n">
        <x:v>2467</x:v>
      </x:c>
      <x:c r="Z582" s="55" t="n">
        <x:v>3705</x:v>
      </x:c>
      <x:c r="AA582" s="55" t="n">
        <x:v>3178</x:v>
      </x:c>
      <x:c r="AB582" s="55" t="n">
        <x:v>578</x:v>
      </x:c>
      <x:c r="AC582" s="55" t="n">
        <x:v>8393</x:v>
      </x:c>
      <x:c r="AD582" s="55" t="n">
        <x:v>2960</x:v>
      </x:c>
      <x:c r="AE582" s="55" t="n">
        <x:v>10076</x:v>
      </x:c>
      <x:c r="AF582" s="55" t="n">
        <x:v>9984</x:v>
      </x:c>
      <x:c r="AG582" s="55" t="n">
        <x:v>92</x:v>
      </x:c>
      <x:c r="AH582" s="55" t="n">
        <x:v>398</x:v>
      </x:c>
      <x:c r="AI582" s="55" t="n">
        <x:v>9586</x:v>
      </x:c>
      <x:c r="AJ582" s="55" t="n">
        <x:v>242</x:v>
      </x:c>
      <x:c r="AK582" s="55" t="n">
        <x:v>1002</x:v>
      </x:c>
      <x:c r="AL582" s="55" t="n">
        <x:v>1315</x:v>
      </x:c>
      <x:c r="AM582" s="55" t="n">
        <x:v>4572</x:v>
      </x:c>
      <x:c r="AN582" s="55" t="n">
        <x:v>2833</x:v>
      </x:c>
      <x:c r="AO582" s="55" t="n">
        <x:v>20</x:v>
      </x:c>
      <x:c r="AP582" s="55" t="n">
        <x:v>2551</x:v>
      </x:c>
      <x:c r="AQ582" s="55" t="n">
        <x:v>961</x:v>
      </x:c>
    </x:row>
    <x:row r="583">
      <x:c r="A583" s="54" t="str">
        <x:v>T2_CONCORDANT_DOMAIN</x:v>
      </x:c>
      <x:c r="B583" s="54" t="n">
        <x:v>577</x:v>
      </x:c>
      <x:c r="C583" s="54" t="str">
        <x:v>NYC-V2-R01</x:v>
      </x:c>
      <x:c r="D583" s="54" t="str">
        <x:v>V2</x:v>
      </x:c>
      <x:c r="E583" s="54" t="str">
        <x:v>ADMITTED</x:v>
      </x:c>
      <x:c r="F583" s="55" t="n">
        <x:v>34083</x:v>
      </x:c>
      <x:c r="G583" s="55" t="n">
        <x:v>8758</x:v>
      </x:c>
      <x:c r="H583" s="55" t="n">
        <x:v>3992</x:v>
      </x:c>
      <x:c r="I583" s="55" t="n">
        <x:v>1371</x:v>
      </x:c>
      <x:c r="J583" s="55" t="n">
        <x:v>325</x:v>
      </x:c>
      <x:c r="K583" s="55" t="n">
        <x:v>34083</x:v>
      </x:c>
      <x:c r="L583" s="55" t="n">
        <x:v>7808</x:v>
      </x:c>
      <x:c r="M583" s="55" t="n">
        <x:v>2495</x:v>
      </x:c>
      <x:c r="N583" s="55" t="n">
        <x:v>3128</x:v>
      </x:c>
      <x:c r="O583" s="55" t="n">
        <x:v>2185</x:v>
      </x:c>
      <x:c r="P583" s="55" t="n">
        <x:v>1064</x:v>
      </x:c>
      <x:c r="Q583" s="55" t="n">
        <x:v>3280</x:v>
      </x:c>
      <x:c r="R583" s="55" t="n">
        <x:v>2053</x:v>
      </x:c>
      <x:c r="S583" s="55" t="n">
        <x:v>3368</x:v>
      </x:c>
      <x:c r="T583" s="55" t="n">
        <x:v>1472</x:v>
      </x:c>
      <x:c r="U583" s="55" t="n">
        <x:v>2474</x:v>
      </x:c>
      <x:c r="V583" s="55" t="n">
        <x:v>10436</x:v>
      </x:c>
      <x:c r="W583" s="55" t="n">
        <x:v>7175</x:v>
      </x:c>
      <x:c r="X583" s="55" t="n">
        <x:v>3261</x:v>
      </x:c>
      <x:c r="Y583" s="55" t="n">
        <x:v>2830</x:v>
      </x:c>
      <x:c r="Z583" s="55" t="n">
        <x:v>3838</x:v>
      </x:c>
      <x:c r="AA583" s="55" t="n">
        <x:v>3992</x:v>
      </x:c>
      <x:c r="AB583" s="55" t="n">
        <x:v>1511</x:v>
      </x:c>
      <x:c r="AC583" s="55" t="n">
        <x:v>8244</x:v>
      </x:c>
      <x:c r="AD583" s="55" t="n">
        <x:v>3203</x:v>
      </x:c>
      <x:c r="AE583" s="55" t="n">
        <x:v>10572</x:v>
      </x:c>
      <x:c r="AF583" s="55" t="n">
        <x:v>10436</x:v>
      </x:c>
      <x:c r="AG583" s="55" t="n">
        <x:v>136</x:v>
      </x:c>
      <x:c r="AH583" s="55" t="n">
        <x:v>597</x:v>
      </x:c>
      <x:c r="AI583" s="55" t="n">
        <x:v>9839</x:v>
      </x:c>
      <x:c r="AJ583" s="55" t="n">
        <x:v>336</x:v>
      </x:c>
      <x:c r="AK583" s="55" t="n">
        <x:v>846</x:v>
      </x:c>
      <x:c r="AL583" s="55" t="n">
        <x:v>1760</x:v>
      </x:c>
      <x:c r="AM583" s="55" t="n">
        <x:v>4938</x:v>
      </x:c>
      <x:c r="AN583" s="55" t="n">
        <x:v>2517</x:v>
      </x:c>
      <x:c r="AO583" s="55" t="n">
        <x:v>39</x:v>
      </x:c>
      <x:c r="AP583" s="55" t="n">
        <x:v>2701</x:v>
      </x:c>
      <x:c r="AQ583" s="55" t="n">
        <x:v>1028</x:v>
      </x:c>
    </x:row>
    <x:row r="584">
      <x:c r="A584" s="54" t="str">
        <x:v>T2_CONCORDANT_DOMAIN</x:v>
      </x:c>
      <x:c r="B584" s="54" t="n">
        <x:v>578</x:v>
      </x:c>
      <x:c r="C584" s="54" t="str">
        <x:v>NYC-V2-R01</x:v>
      </x:c>
      <x:c r="D584" s="54" t="str">
        <x:v>V2</x:v>
      </x:c>
      <x:c r="E584" s="54" t="str">
        <x:v>ADMITTED</x:v>
      </x:c>
      <x:c r="F584" s="55" t="n">
        <x:v>29981</x:v>
      </x:c>
      <x:c r="G584" s="55" t="n">
        <x:v>7018</x:v>
      </x:c>
      <x:c r="H584" s="55" t="n">
        <x:v>2986</x:v>
      </x:c>
      <x:c r="I584" s="55" t="n">
        <x:v>1092</x:v>
      </x:c>
      <x:c r="J584" s="55" t="n">
        <x:v>211</x:v>
      </x:c>
      <x:c r="K584" s="55" t="n">
        <x:v>29148</x:v>
      </x:c>
      <x:c r="L584" s="55" t="n">
        <x:v>4555</x:v>
      </x:c>
      <x:c r="M584" s="55" t="n">
        <x:v>980</x:v>
      </x:c>
      <x:c r="N584" s="55" t="n">
        <x:v>2338</x:v>
      </x:c>
      <x:c r="O584" s="55" t="n">
        <x:v>1237</x:v>
      </x:c>
      <x:c r="P584" s="55" t="n">
        <x:v>386</x:v>
      </x:c>
      <x:c r="Q584" s="55" t="n">
        <x:v>1875</x:v>
      </x:c>
      <x:c r="R584" s="55" t="n">
        <x:v>1628</x:v>
      </x:c>
      <x:c r="S584" s="55" t="n">
        <x:v>2782</x:v>
      </x:c>
      <x:c r="T584" s="55" t="n">
        <x:v>615</x:v>
      </x:c>
      <x:c r="U584" s="55" t="n">
        <x:v>1641</x:v>
      </x:c>
      <x:c r="V584" s="55" t="n">
        <x:v>10525</x:v>
      </x:c>
      <x:c r="W584" s="55" t="n">
        <x:v>7584</x:v>
      </x:c>
      <x:c r="X584" s="55" t="n">
        <x:v>2941</x:v>
      </x:c>
      <x:c r="Y584" s="55" t="n">
        <x:v>2503</x:v>
      </x:c>
      <x:c r="Z584" s="55" t="n">
        <x:v>3704</x:v>
      </x:c>
      <x:c r="AA584" s="55" t="n">
        <x:v>2986</x:v>
      </x:c>
      <x:c r="AB584" s="55" t="n">
        <x:v>864</x:v>
      </x:c>
      <x:c r="AC584" s="55" t="n">
        <x:v>7793</x:v>
      </x:c>
      <x:c r="AD584" s="55" t="n">
        <x:v>2707</x:v>
      </x:c>
      <x:c r="AE584" s="55" t="n">
        <x:v>10525</x:v>
      </x:c>
      <x:c r="AF584" s="55" t="n">
        <x:v>10525</x:v>
      </x:c>
      <x:c r="AG584" s="55" t="n">
        <x:v>0</x:v>
      </x:c>
      <x:c r="AH584" s="55" t="n">
        <x:v>340</x:v>
      </x:c>
      <x:c r="AI584" s="55" t="n">
        <x:v>10185</x:v>
      </x:c>
      <x:c r="AJ584" s="55" t="n">
        <x:v>294</x:v>
      </x:c>
      <x:c r="AK584" s="55" t="n">
        <x:v>1059</x:v>
      </x:c>
      <x:c r="AL584" s="55" t="n">
        <x:v>1477</x:v>
      </x:c>
      <x:c r="AM584" s="55" t="n">
        <x:v>5219</x:v>
      </x:c>
      <x:c r="AN584" s="55" t="n">
        <x:v>2476</x:v>
      </x:c>
      <x:c r="AO584" s="55" t="n">
        <x:v>0</x:v>
      </x:c>
      <x:c r="AP584" s="55" t="n">
        <x:v>2504</x:v>
      </x:c>
      <x:c r="AQ584" s="55" t="n">
        <x:v>948</x:v>
      </x:c>
    </x:row>
    <x:row r="585">
      <x:c r="A585" s="54" t="str">
        <x:v>T2_CONCORDANT_DOMAIN</x:v>
      </x:c>
      <x:c r="B585" s="54" t="n">
        <x:v>579</x:v>
      </x:c>
      <x:c r="C585" s="54" t="str">
        <x:v>NYC-V2-R01</x:v>
      </x:c>
      <x:c r="D585" s="54" t="str">
        <x:v>V2</x:v>
      </x:c>
      <x:c r="E585" s="54" t="str">
        <x:v>ADMITTED</x:v>
      </x:c>
      <x:c r="F585" s="55" t="n">
        <x:v>27810</x:v>
      </x:c>
      <x:c r="G585" s="55" t="n">
        <x:v>6186</x:v>
      </x:c>
      <x:c r="H585" s="55" t="n">
        <x:v>2817</x:v>
      </x:c>
      <x:c r="I585" s="55" t="n">
        <x:v>896</x:v>
      </x:c>
      <x:c r="J585" s="55" t="n">
        <x:v>128</x:v>
      </x:c>
      <x:c r="K585" s="55" t="n">
        <x:v>27285</x:v>
      </x:c>
      <x:c r="L585" s="55" t="n">
        <x:v>3475</x:v>
      </x:c>
      <x:c r="M585" s="55" t="n">
        <x:v>0</x:v>
      </x:c>
      <x:c r="N585" s="55" t="n">
        <x:v>2425</x:v>
      </x:c>
      <x:c r="O585" s="55" t="n">
        <x:v>1050</x:v>
      </x:c>
      <x:c r="P585" s="55" t="n">
        <x:v>136</x:v>
      </x:c>
      <x:c r="Q585" s="55" t="n">
        <x:v>1153</x:v>
      </x:c>
      <x:c r="R585" s="55" t="n">
        <x:v>952</x:v>
      </x:c>
      <x:c r="S585" s="55" t="n">
        <x:v>1755</x:v>
      </x:c>
      <x:c r="T585" s="55" t="n">
        <x:v>829</x:v>
      </x:c>
      <x:c r="U585" s="55" t="n">
        <x:v>1632</x:v>
      </x:c>
      <x:c r="V585" s="55" t="n">
        <x:v>9667</x:v>
      </x:c>
      <x:c r="W585" s="55" t="n">
        <x:v>6954</x:v>
      </x:c>
      <x:c r="X585" s="55" t="n">
        <x:v>2713</x:v>
      </x:c>
      <x:c r="Y585" s="55" t="n">
        <x:v>2444</x:v>
      </x:c>
      <x:c r="Z585" s="55" t="n">
        <x:v>2996</x:v>
      </x:c>
      <x:c r="AA585" s="55" t="n">
        <x:v>2817</x:v>
      </x:c>
      <x:c r="AB585" s="55" t="n">
        <x:v>871</x:v>
      </x:c>
      <x:c r="AC585" s="55" t="n">
        <x:v>7326</x:v>
      </x:c>
      <x:c r="AD585" s="55" t="n">
        <x:v>2278</x:v>
      </x:c>
      <x:c r="AE585" s="55" t="n">
        <x:v>9669</x:v>
      </x:c>
      <x:c r="AF585" s="55" t="n">
        <x:v>9667</x:v>
      </x:c>
      <x:c r="AG585" s="55" t="n">
        <x:v>2</x:v>
      </x:c>
      <x:c r="AH585" s="55" t="n">
        <x:v>189</x:v>
      </x:c>
      <x:c r="AI585" s="55" t="n">
        <x:v>9478</x:v>
      </x:c>
      <x:c r="AJ585" s="55" t="n">
        <x:v>203</x:v>
      </x:c>
      <x:c r="AK585" s="55" t="n">
        <x:v>1112</x:v>
      </x:c>
      <x:c r="AL585" s="55" t="n">
        <x:v>1372</x:v>
      </x:c>
      <x:c r="AM585" s="55" t="n">
        <x:v>4746</x:v>
      </x:c>
      <x:c r="AN585" s="55" t="n">
        <x:v>2234</x:v>
      </x:c>
      <x:c r="AO585" s="55" t="n">
        <x:v>0</x:v>
      </x:c>
      <x:c r="AP585" s="55" t="n">
        <x:v>1904</x:v>
      </x:c>
      <x:c r="AQ585" s="55" t="n">
        <x:v>947</x:v>
      </x:c>
    </x:row>
    <x:row r="586">
      <x:c r="A586" s="54" t="str">
        <x:v>T2_CONCORDANT_DOMAIN</x:v>
      </x:c>
      <x:c r="B586" s="54" t="n">
        <x:v>580</x:v>
      </x:c>
      <x:c r="C586" s="54" t="str">
        <x:v>NYC-V2-R01</x:v>
      </x:c>
      <x:c r="D586" s="54" t="str">
        <x:v>V2</x:v>
      </x:c>
      <x:c r="E586" s="54" t="str">
        <x:v>ADMITTED</x:v>
      </x:c>
      <x:c r="F586" s="55" t="n">
        <x:v>32563</x:v>
      </x:c>
      <x:c r="G586" s="55" t="n">
        <x:v>8957</x:v>
      </x:c>
      <x:c r="H586" s="55" t="n">
        <x:v>3836</x:v>
      </x:c>
      <x:c r="I586" s="55" t="n">
        <x:v>1579</x:v>
      </x:c>
      <x:c r="J586" s="55" t="n">
        <x:v>528</x:v>
      </x:c>
      <x:c r="K586" s="55" t="n">
        <x:v>30941</x:v>
      </x:c>
      <x:c r="L586" s="55" t="n">
        <x:v>6837</x:v>
      </x:c>
      <x:c r="M586" s="55" t="n">
        <x:v>1495</x:v>
      </x:c>
      <x:c r="N586" s="55" t="n">
        <x:v>3363</x:v>
      </x:c>
      <x:c r="O586" s="55" t="n">
        <x:v>1979</x:v>
      </x:c>
      <x:c r="P586" s="55" t="n">
        <x:v>966</x:v>
      </x:c>
      <x:c r="Q586" s="55" t="n">
        <x:v>3394</x:v>
      </x:c>
      <x:c r="R586" s="55" t="n">
        <x:v>1754</x:v>
      </x:c>
      <x:c r="S586" s="55" t="n">
        <x:v>3099</x:v>
      </x:c>
      <x:c r="T586" s="55" t="n">
        <x:v>1652</x:v>
      </x:c>
      <x:c r="U586" s="55" t="n">
        <x:v>2286</x:v>
      </x:c>
      <x:c r="V586" s="55" t="n">
        <x:v>10489</x:v>
      </x:c>
      <x:c r="W586" s="55" t="n">
        <x:v>6825</x:v>
      </x:c>
      <x:c r="X586" s="55" t="n">
        <x:v>3664</x:v>
      </x:c>
      <x:c r="Y586" s="55" t="n">
        <x:v>3319</x:v>
      </x:c>
      <x:c r="Z586" s="55" t="n">
        <x:v>4092</x:v>
      </x:c>
      <x:c r="AA586" s="55" t="n">
        <x:v>3836</x:v>
      </x:c>
      <x:c r="AB586" s="55" t="n">
        <x:v>1599</x:v>
      </x:c>
      <x:c r="AC586" s="55" t="n">
        <x:v>8723</x:v>
      </x:c>
      <x:c r="AD586" s="55" t="n">
        <x:v>3668</x:v>
      </x:c>
      <x:c r="AE586" s="55" t="n">
        <x:v>10667</x:v>
      </x:c>
      <x:c r="AF586" s="55" t="n">
        <x:v>10489</x:v>
      </x:c>
      <x:c r="AG586" s="55" t="n">
        <x:v>178</x:v>
      </x:c>
      <x:c r="AH586" s="55" t="n">
        <x:v>509</x:v>
      </x:c>
      <x:c r="AI586" s="55" t="n">
        <x:v>9980</x:v>
      </x:c>
      <x:c r="AJ586" s="55" t="n">
        <x:v>296</x:v>
      </x:c>
      <x:c r="AK586" s="55" t="n">
        <x:v>1181</x:v>
      </x:c>
      <x:c r="AL586" s="55" t="n">
        <x:v>1580</x:v>
      </x:c>
      <x:c r="AM586" s="55" t="n">
        <x:v>4654</x:v>
      </x:c>
      <x:c r="AN586" s="55" t="n">
        <x:v>2716</x:v>
      </x:c>
      <x:c r="AO586" s="55" t="n">
        <x:v>62</x:v>
      </x:c>
      <x:c r="AP586" s="55" t="n">
        <x:v>2797</x:v>
      </x:c>
      <x:c r="AQ586" s="55" t="n">
        <x:v>981</x:v>
      </x:c>
    </x:row>
    <x:row r="587">
      <x:c r="A587" s="54" t="str">
        <x:v>T2_CONCORDANT_DOMAIN</x:v>
      </x:c>
      <x:c r="B587" s="54" t="n">
        <x:v>581</x:v>
      </x:c>
      <x:c r="C587" s="54" t="str">
        <x:v>NYC-V2-R01</x:v>
      </x:c>
      <x:c r="D587" s="54" t="str">
        <x:v>V2</x:v>
      </x:c>
      <x:c r="E587" s="54" t="str">
        <x:v>ADMITTED</x:v>
      </x:c>
      <x:c r="F587" s="55" t="n">
        <x:v>30587</x:v>
      </x:c>
      <x:c r="G587" s="55" t="n">
        <x:v>7903</x:v>
      </x:c>
      <x:c r="H587" s="55" t="n">
        <x:v>2721</x:v>
      </x:c>
      <x:c r="I587" s="55" t="n">
        <x:v>913</x:v>
      </x:c>
      <x:c r="J587" s="55" t="n">
        <x:v>118</x:v>
      </x:c>
      <x:c r="K587" s="55" t="n">
        <x:v>29527</x:v>
      </x:c>
      <x:c r="L587" s="55" t="n">
        <x:v>4841</x:v>
      </x:c>
      <x:c r="M587" s="55" t="n">
        <x:v>1129</x:v>
      </x:c>
      <x:c r="N587" s="55" t="n">
        <x:v>2251</x:v>
      </x:c>
      <x:c r="O587" s="55" t="n">
        <x:v>1461</x:v>
      </x:c>
      <x:c r="P587" s="55" t="n">
        <x:v>549</x:v>
      </x:c>
      <x:c r="Q587" s="55" t="n">
        <x:v>1989</x:v>
      </x:c>
      <x:c r="R587" s="55" t="n">
        <x:v>1529</x:v>
      </x:c>
      <x:c r="S587" s="55" t="n">
        <x:v>2466</x:v>
      </x:c>
      <x:c r="T587" s="55" t="n">
        <x:v>1490</x:v>
      </x:c>
      <x:c r="U587" s="55" t="n">
        <x:v>1927</x:v>
      </x:c>
      <x:c r="V587" s="55" t="n">
        <x:v>9664</x:v>
      </x:c>
      <x:c r="W587" s="55" t="n">
        <x:v>6391</x:v>
      </x:c>
      <x:c r="X587" s="55" t="n">
        <x:v>3273</x:v>
      </x:c>
      <x:c r="Y587" s="55" t="n">
        <x:v>2899</x:v>
      </x:c>
      <x:c r="Z587" s="55" t="n">
        <x:v>3220</x:v>
      </x:c>
      <x:c r="AA587" s="55" t="n">
        <x:v>2583</x:v>
      </x:c>
      <x:c r="AB587" s="55" t="n">
        <x:v>846</x:v>
      </x:c>
      <x:c r="AC587" s="55" t="n">
        <x:v>7760</x:v>
      </x:c>
      <x:c r="AD587" s="55" t="n">
        <x:v>2921</x:v>
      </x:c>
      <x:c r="AE587" s="55" t="n">
        <x:v>9775</x:v>
      </x:c>
      <x:c r="AF587" s="55" t="n">
        <x:v>9664</x:v>
      </x:c>
      <x:c r="AG587" s="55" t="n">
        <x:v>111</x:v>
      </x:c>
      <x:c r="AH587" s="55" t="n">
        <x:v>122</x:v>
      </x:c>
      <x:c r="AI587" s="55" t="n">
        <x:v>9542</x:v>
      </x:c>
      <x:c r="AJ587" s="55" t="n">
        <x:v>358</x:v>
      </x:c>
      <x:c r="AK587" s="55" t="n">
        <x:v>738</x:v>
      </x:c>
      <x:c r="AL587" s="55" t="n">
        <x:v>1408</x:v>
      </x:c>
      <x:c r="AM587" s="55" t="n">
        <x:v>4549</x:v>
      </x:c>
      <x:c r="AN587" s="55" t="n">
        <x:v>2611</x:v>
      </x:c>
      <x:c r="AO587" s="55" t="n">
        <x:v>0</x:v>
      </x:c>
      <x:c r="AP587" s="55" t="n">
        <x:v>1855</x:v>
      </x:c>
      <x:c r="AQ587" s="55" t="n">
        <x:v>925</x:v>
      </x:c>
    </x:row>
    <x:row r="588">
      <x:c r="A588" s="54" t="str">
        <x:v>T2_CONCORDANT_DOMAIN</x:v>
      </x:c>
      <x:c r="B588" s="54" t="n">
        <x:v>582</x:v>
      </x:c>
      <x:c r="C588" s="54" t="str">
        <x:v>NYC-V2-R01</x:v>
      </x:c>
      <x:c r="D588" s="54" t="str">
        <x:v>V2</x:v>
      </x:c>
      <x:c r="E588" s="54" t="str">
        <x:v>ADMITTED</x:v>
      </x:c>
      <x:c r="F588" s="55" t="n">
        <x:v>30908</x:v>
      </x:c>
      <x:c r="G588" s="55" t="n">
        <x:v>8594</x:v>
      </x:c>
      <x:c r="H588" s="55" t="n">
        <x:v>3523</x:v>
      </x:c>
      <x:c r="I588" s="55" t="n">
        <x:v>1814</x:v>
      </x:c>
      <x:c r="J588" s="55" t="n">
        <x:v>402</x:v>
      </x:c>
      <x:c r="K588" s="55" t="n">
        <x:v>30908</x:v>
      </x:c>
      <x:c r="L588" s="55" t="n">
        <x:v>6227</x:v>
      </x:c>
      <x:c r="M588" s="55" t="n">
        <x:v>1532</x:v>
      </x:c>
      <x:c r="N588" s="55" t="n">
        <x:v>2932</x:v>
      </x:c>
      <x:c r="O588" s="55" t="n">
        <x:v>1763</x:v>
      </x:c>
      <x:c r="P588" s="55" t="n">
        <x:v>728</x:v>
      </x:c>
      <x:c r="Q588" s="55" t="n">
        <x:v>2678</x:v>
      </x:c>
      <x:c r="R588" s="55" t="n">
        <x:v>2297</x:v>
      </x:c>
      <x:c r="S588" s="55" t="n">
        <x:v>3337</x:v>
      </x:c>
      <x:c r="T588" s="55" t="n">
        <x:v>1086</x:v>
      </x:c>
      <x:c r="U588" s="55" t="n">
        <x:v>2576</x:v>
      </x:c>
      <x:c r="V588" s="55" t="n">
        <x:v>10524</x:v>
      </x:c>
      <x:c r="W588" s="55" t="n">
        <x:v>7424</x:v>
      </x:c>
      <x:c r="X588" s="55" t="n">
        <x:v>3100</x:v>
      </x:c>
      <x:c r="Y588" s="55" t="n">
        <x:v>2698</x:v>
      </x:c>
      <x:c r="Z588" s="55" t="n">
        <x:v>3753</x:v>
      </x:c>
      <x:c r="AA588" s="55" t="n">
        <x:v>3257</x:v>
      </x:c>
      <x:c r="AB588" s="55" t="n">
        <x:v>1269</x:v>
      </x:c>
      <x:c r="AC588" s="55" t="n">
        <x:v>8031</x:v>
      </x:c>
      <x:c r="AD588" s="55" t="n">
        <x:v>2909</x:v>
      </x:c>
      <x:c r="AE588" s="55" t="n">
        <x:v>10613</x:v>
      </x:c>
      <x:c r="AF588" s="55" t="n">
        <x:v>10524</x:v>
      </x:c>
      <x:c r="AG588" s="55" t="n">
        <x:v>89</x:v>
      </x:c>
      <x:c r="AH588" s="55" t="n">
        <x:v>552</x:v>
      </x:c>
      <x:c r="AI588" s="55" t="n">
        <x:v>9972</x:v>
      </x:c>
      <x:c r="AJ588" s="55" t="n">
        <x:v>226</x:v>
      </x:c>
      <x:c r="AK588" s="55" t="n">
        <x:v>1076</x:v>
      </x:c>
      <x:c r="AL588" s="55" t="n">
        <x:v>1527</x:v>
      </x:c>
      <x:c r="AM588" s="55" t="n">
        <x:v>4645</x:v>
      </x:c>
      <x:c r="AN588" s="55" t="n">
        <x:v>2952</x:v>
      </x:c>
      <x:c r="AO588" s="55" t="n">
        <x:v>98</x:v>
      </x:c>
      <x:c r="AP588" s="55" t="n">
        <x:v>2153</x:v>
      </x:c>
      <x:c r="AQ588" s="55" t="n">
        <x:v>957</x:v>
      </x:c>
    </x:row>
    <x:row r="589">
      <x:c r="A589" s="54" t="str">
        <x:v>T2_CONCORDANT_DOMAIN</x:v>
      </x:c>
      <x:c r="B589" s="54" t="n">
        <x:v>583</x:v>
      </x:c>
      <x:c r="C589" s="54" t="str">
        <x:v>NYC-V2-R01</x:v>
      </x:c>
      <x:c r="D589" s="54" t="str">
        <x:v>V2</x:v>
      </x:c>
      <x:c r="E589" s="54" t="str">
        <x:v>ADMITTED</x:v>
      </x:c>
      <x:c r="F589" s="55" t="n">
        <x:v>30999</x:v>
      </x:c>
      <x:c r="G589" s="55" t="n">
        <x:v>7074</x:v>
      </x:c>
      <x:c r="H589" s="55" t="n">
        <x:v>3612</x:v>
      </x:c>
      <x:c r="I589" s="55" t="n">
        <x:v>1385</x:v>
      </x:c>
      <x:c r="J589" s="55" t="n">
        <x:v>304</x:v>
      </x:c>
      <x:c r="K589" s="55" t="n">
        <x:v>30999</x:v>
      </x:c>
      <x:c r="L589" s="55" t="n">
        <x:v>5752</x:v>
      </x:c>
      <x:c r="M589" s="55" t="n">
        <x:v>1614</x:v>
      </x:c>
      <x:c r="N589" s="55" t="n">
        <x:v>2377</x:v>
      </x:c>
      <x:c r="O589" s="55" t="n">
        <x:v>1761</x:v>
      </x:c>
      <x:c r="P589" s="55" t="n">
        <x:v>1142</x:v>
      </x:c>
      <x:c r="Q589" s="55" t="n">
        <x:v>1569</x:v>
      </x:c>
      <x:c r="R589" s="55" t="n">
        <x:v>1864</x:v>
      </x:c>
      <x:c r="S589" s="55" t="n">
        <x:v>3001</x:v>
      </x:c>
      <x:c r="T589" s="55" t="n">
        <x:v>1511</x:v>
      </x:c>
      <x:c r="U589" s="55" t="n">
        <x:v>2086</x:v>
      </x:c>
      <x:c r="V589" s="55" t="n">
        <x:v>10686</x:v>
      </x:c>
      <x:c r="W589" s="55" t="n">
        <x:v>7694</x:v>
      </x:c>
      <x:c r="X589" s="55" t="n">
        <x:v>2992</x:v>
      </x:c>
      <x:c r="Y589" s="55" t="n">
        <x:v>2468</x:v>
      </x:c>
      <x:c r="Z589" s="55" t="n">
        <x:v>4338</x:v>
      </x:c>
      <x:c r="AA589" s="55" t="n">
        <x:v>3612</x:v>
      </x:c>
      <x:c r="AB589" s="55" t="n">
        <x:v>1457</x:v>
      </x:c>
      <x:c r="AC589" s="55" t="n">
        <x:v>7488</x:v>
      </x:c>
      <x:c r="AD589" s="55" t="n">
        <x:v>2570</x:v>
      </x:c>
      <x:c r="AE589" s="55" t="n">
        <x:v>10741</x:v>
      </x:c>
      <x:c r="AF589" s="55" t="n">
        <x:v>10686</x:v>
      </x:c>
      <x:c r="AG589" s="55" t="n">
        <x:v>55</x:v>
      </x:c>
      <x:c r="AH589" s="55" t="n">
        <x:v>537</x:v>
      </x:c>
      <x:c r="AI589" s="55" t="n">
        <x:v>10149</x:v>
      </x:c>
      <x:c r="AJ589" s="55" t="n">
        <x:v>395</x:v>
      </x:c>
      <x:c r="AK589" s="55" t="n">
        <x:v>1184</x:v>
      </x:c>
      <x:c r="AL589" s="55" t="n">
        <x:v>1424</x:v>
      </x:c>
      <x:c r="AM589" s="55" t="n">
        <x:v>5084</x:v>
      </x:c>
      <x:c r="AN589" s="55" t="n">
        <x:v>2551</x:v>
      </x:c>
      <x:c r="AO589" s="55" t="n">
        <x:v>48</x:v>
      </x:c>
      <x:c r="AP589" s="55" t="n">
        <x:v>2293</x:v>
      </x:c>
      <x:c r="AQ589" s="55" t="n">
        <x:v>974</x:v>
      </x:c>
    </x:row>
    <x:row r="590">
      <x:c r="A590" s="54" t="str">
        <x:v>T2_CONCORDANT_DOMAIN</x:v>
      </x:c>
      <x:c r="B590" s="54" t="n">
        <x:v>584</x:v>
      </x:c>
      <x:c r="C590" s="54" t="str">
        <x:v>NYC-V2-R01</x:v>
      </x:c>
      <x:c r="D590" s="54" t="str">
        <x:v>V2</x:v>
      </x:c>
      <x:c r="E590" s="54" t="str">
        <x:v>ADMITTED</x:v>
      </x:c>
      <x:c r="F590" s="55" t="n">
        <x:v>29868</x:v>
      </x:c>
      <x:c r="G590" s="55" t="n">
        <x:v>7452</x:v>
      </x:c>
      <x:c r="H590" s="55" t="n">
        <x:v>3318</x:v>
      </x:c>
      <x:c r="I590" s="55" t="n">
        <x:v>1703</x:v>
      </x:c>
      <x:c r="J590" s="55" t="n">
        <x:v>349</x:v>
      </x:c>
      <x:c r="K590" s="55" t="n">
        <x:v>29868</x:v>
      </x:c>
      <x:c r="L590" s="55" t="n">
        <x:v>6683</x:v>
      </x:c>
      <x:c r="M590" s="55" t="n">
        <x:v>1373</x:v>
      </x:c>
      <x:c r="N590" s="55" t="n">
        <x:v>3371</x:v>
      </x:c>
      <x:c r="O590" s="55" t="n">
        <x:v>1939</x:v>
      </x:c>
      <x:c r="P590" s="55" t="n">
        <x:v>1089</x:v>
      </x:c>
      <x:c r="Q590" s="55" t="n">
        <x:v>1839</x:v>
      </x:c>
      <x:c r="R590" s="55" t="n">
        <x:v>2290</x:v>
      </x:c>
      <x:c r="S590" s="55" t="n">
        <x:v>3186</x:v>
      </x:c>
      <x:c r="T590" s="55" t="n">
        <x:v>873</x:v>
      </x:c>
      <x:c r="U590" s="55" t="n">
        <x:v>2237</x:v>
      </x:c>
      <x:c r="V590" s="55" t="n">
        <x:v>10128</x:v>
      </x:c>
      <x:c r="W590" s="55" t="n">
        <x:v>7310</x:v>
      </x:c>
      <x:c r="X590" s="55" t="n">
        <x:v>2818</x:v>
      </x:c>
      <x:c r="Y590" s="55" t="n">
        <x:v>2087</x:v>
      </x:c>
      <x:c r="Z590" s="55" t="n">
        <x:v>3700</x:v>
      </x:c>
      <x:c r="AA590" s="55" t="n">
        <x:v>2895</x:v>
      </x:c>
      <x:c r="AB590" s="55" t="n">
        <x:v>1138</x:v>
      </x:c>
      <x:c r="AC590" s="55" t="n">
        <x:v>7443</x:v>
      </x:c>
      <x:c r="AD590" s="55" t="n">
        <x:v>2620</x:v>
      </x:c>
      <x:c r="AE590" s="55" t="n">
        <x:v>10214</x:v>
      </x:c>
      <x:c r="AF590" s="55" t="n">
        <x:v>10128</x:v>
      </x:c>
      <x:c r="AG590" s="55" t="n">
        <x:v>86</x:v>
      </x:c>
      <x:c r="AH590" s="55" t="n">
        <x:v>229</x:v>
      </x:c>
      <x:c r="AI590" s="55" t="n">
        <x:v>9899</x:v>
      </x:c>
      <x:c r="AJ590" s="55" t="n">
        <x:v>271</x:v>
      </x:c>
      <x:c r="AK590" s="55" t="n">
        <x:v>810</x:v>
      </x:c>
      <x:c r="AL590" s="55" t="n">
        <x:v>1375</x:v>
      </x:c>
      <x:c r="AM590" s="55" t="n">
        <x:v>5116</x:v>
      </x:c>
      <x:c r="AN590" s="55" t="n">
        <x:v>2556</x:v>
      </x:c>
      <x:c r="AO590" s="55" t="n">
        <x:v>0</x:v>
      </x:c>
      <x:c r="AP590" s="55" t="n">
        <x:v>2098</x:v>
      </x:c>
      <x:c r="AQ590" s="55" t="n">
        <x:v>929</x:v>
      </x:c>
    </x:row>
    <x:row r="591">
      <x:c r="A591" s="54" t="str">
        <x:v>T2_CONCORDANT_DOMAIN</x:v>
      </x:c>
      <x:c r="B591" s="54" t="n">
        <x:v>585</x:v>
      </x:c>
      <x:c r="C591" s="54" t="str">
        <x:v>NYC-V2-R01</x:v>
      </x:c>
      <x:c r="D591" s="54" t="str">
        <x:v>V2</x:v>
      </x:c>
      <x:c r="E591" s="54" t="str">
        <x:v>ADMITTED</x:v>
      </x:c>
      <x:c r="F591" s="55" t="n">
        <x:v>31800</x:v>
      </x:c>
      <x:c r="G591" s="55" t="n">
        <x:v>8943</x:v>
      </x:c>
      <x:c r="H591" s="55" t="n">
        <x:v>3482</x:v>
      </x:c>
      <x:c r="I591" s="55" t="n">
        <x:v>1300</x:v>
      </x:c>
      <x:c r="J591" s="55" t="n">
        <x:v>319</x:v>
      </x:c>
      <x:c r="K591" s="55" t="n">
        <x:v>30141</x:v>
      </x:c>
      <x:c r="L591" s="55" t="n">
        <x:v>4904</x:v>
      </x:c>
      <x:c r="M591" s="55" t="n">
        <x:v>774</x:v>
      </x:c>
      <x:c r="N591" s="55" t="n">
        <x:v>2072</x:v>
      </x:c>
      <x:c r="O591" s="55" t="n">
        <x:v>2058</x:v>
      </x:c>
      <x:c r="P591" s="55" t="n">
        <x:v>568</x:v>
      </x:c>
      <x:c r="Q591" s="55" t="n">
        <x:v>1779</x:v>
      </x:c>
      <x:c r="R591" s="55" t="n">
        <x:v>2268</x:v>
      </x:c>
      <x:c r="S591" s="55" t="n">
        <x:v>2235</x:v>
      </x:c>
      <x:c r="T591" s="55" t="n">
        <x:v>1508</x:v>
      </x:c>
      <x:c r="U591" s="55" t="n">
        <x:v>2490</x:v>
      </x:c>
      <x:c r="V591" s="55" t="n">
        <x:v>11318</x:v>
      </x:c>
      <x:c r="W591" s="55" t="n">
        <x:v>8571</x:v>
      </x:c>
      <x:c r="X591" s="55" t="n">
        <x:v>2747</x:v>
      </x:c>
      <x:c r="Y591" s="55" t="n">
        <x:v>2300</x:v>
      </x:c>
      <x:c r="Z591" s="55" t="n">
        <x:v>4301</x:v>
      </x:c>
      <x:c r="AA591" s="55" t="n">
        <x:v>3422</x:v>
      </x:c>
      <x:c r="AB591" s="55" t="n">
        <x:v>1217</x:v>
      </x:c>
      <x:c r="AC591" s="55" t="n">
        <x:v>7889</x:v>
      </x:c>
      <x:c r="AD591" s="55" t="n">
        <x:v>3646</x:v>
      </x:c>
      <x:c r="AE591" s="55" t="n">
        <x:v>11459</x:v>
      </x:c>
      <x:c r="AF591" s="55" t="n">
        <x:v>11318</x:v>
      </x:c>
      <x:c r="AG591" s="55" t="n">
        <x:v>141</x:v>
      </x:c>
      <x:c r="AH591" s="55" t="n">
        <x:v>646</x:v>
      </x:c>
      <x:c r="AI591" s="55" t="n">
        <x:v>10672</x:v>
      </x:c>
      <x:c r="AJ591" s="55" t="n">
        <x:v>467</x:v>
      </x:c>
      <x:c r="AK591" s="55" t="n">
        <x:v>945</x:v>
      </x:c>
      <x:c r="AL591" s="55" t="n">
        <x:v>1990</x:v>
      </x:c>
      <x:c r="AM591" s="55" t="n">
        <x:v>5085</x:v>
      </x:c>
      <x:c r="AN591" s="55" t="n">
        <x:v>2718</x:v>
      </x:c>
      <x:c r="AO591" s="55" t="n">
        <x:v>113</x:v>
      </x:c>
      <x:c r="AP591" s="55" t="n">
        <x:v>2586</x:v>
      </x:c>
      <x:c r="AQ591" s="55" t="n">
        <x:v>978</x:v>
      </x:c>
    </x:row>
    <x:row r="592">
      <x:c r="A592" s="54" t="str">
        <x:v>T2_CONCORDANT_DOMAIN</x:v>
      </x:c>
      <x:c r="B592" s="54" t="n">
        <x:v>586</x:v>
      </x:c>
      <x:c r="C592" s="54" t="str">
        <x:v>NYC-V2-R01</x:v>
      </x:c>
      <x:c r="D592" s="54" t="str">
        <x:v>V2</x:v>
      </x:c>
      <x:c r="E592" s="54" t="str">
        <x:v>ADMITTED</x:v>
      </x:c>
      <x:c r="F592" s="55" t="n">
        <x:v>31444</x:v>
      </x:c>
      <x:c r="G592" s="55" t="n">
        <x:v>8695</x:v>
      </x:c>
      <x:c r="H592" s="55" t="n">
        <x:v>3722</x:v>
      </x:c>
      <x:c r="I592" s="55" t="n">
        <x:v>1177</x:v>
      </x:c>
      <x:c r="J592" s="55" t="n">
        <x:v>140</x:v>
      </x:c>
      <x:c r="K592" s="55" t="n">
        <x:v>31297</x:v>
      </x:c>
      <x:c r="L592" s="55" t="n">
        <x:v>6860</x:v>
      </x:c>
      <x:c r="M592" s="55" t="n">
        <x:v>2001</x:v>
      </x:c>
      <x:c r="N592" s="55" t="n">
        <x:v>3027</x:v>
      </x:c>
      <x:c r="O592" s="55" t="n">
        <x:v>1832</x:v>
      </x:c>
      <x:c r="P592" s="55" t="n">
        <x:v>1194</x:v>
      </x:c>
      <x:c r="Q592" s="55" t="n">
        <x:v>2846</x:v>
      </x:c>
      <x:c r="R592" s="55" t="n">
        <x:v>1731</x:v>
      </x:c>
      <x:c r="S592" s="55" t="n">
        <x:v>3163</x:v>
      </x:c>
      <x:c r="T592" s="55" t="n">
        <x:v>1188</x:v>
      </x:c>
      <x:c r="U592" s="55" t="n">
        <x:v>2338</x:v>
      </x:c>
      <x:c r="V592" s="55" t="n">
        <x:v>10397</x:v>
      </x:c>
      <x:c r="W592" s="55" t="n">
        <x:v>6777</x:v>
      </x:c>
      <x:c r="X592" s="55" t="n">
        <x:v>3620</x:v>
      </x:c>
      <x:c r="Y592" s="55" t="n">
        <x:v>3135</x:v>
      </x:c>
      <x:c r="Z592" s="55" t="n">
        <x:v>4208</x:v>
      </x:c>
      <x:c r="AA592" s="55" t="n">
        <x:v>3722</x:v>
      </x:c>
      <x:c r="AB592" s="55" t="n">
        <x:v>1583</x:v>
      </x:c>
      <x:c r="AC592" s="55" t="n">
        <x:v>8007</x:v>
      </x:c>
      <x:c r="AD592" s="55" t="n">
        <x:v>2817</x:v>
      </x:c>
      <x:c r="AE592" s="55" t="n">
        <x:v>10479</x:v>
      </x:c>
      <x:c r="AF592" s="55" t="n">
        <x:v>10397</x:v>
      </x:c>
      <x:c r="AG592" s="55" t="n">
        <x:v>82</x:v>
      </x:c>
      <x:c r="AH592" s="55" t="n">
        <x:v>464</x:v>
      </x:c>
      <x:c r="AI592" s="55" t="n">
        <x:v>9933</x:v>
      </x:c>
      <x:c r="AJ592" s="55" t="n">
        <x:v>274</x:v>
      </x:c>
      <x:c r="AK592" s="55" t="n">
        <x:v>979</x:v>
      </x:c>
      <x:c r="AL592" s="55" t="n">
        <x:v>1668</x:v>
      </x:c>
      <x:c r="AM592" s="55" t="n">
        <x:v>4802</x:v>
      </x:c>
      <x:c r="AN592" s="55" t="n">
        <x:v>2671</x:v>
      </x:c>
      <x:c r="AO592" s="55" t="n">
        <x:v>3</x:v>
      </x:c>
      <x:c r="AP592" s="55" t="n">
        <x:v>2341</x:v>
      </x:c>
      <x:c r="AQ592" s="55" t="n">
        <x:v>968</x:v>
      </x:c>
    </x:row>
    <x:row r="593">
      <x:c r="A593" s="54" t="str">
        <x:v>T2_CONCORDANT_DOMAIN</x:v>
      </x:c>
      <x:c r="B593" s="54" t="n">
        <x:v>587</x:v>
      </x:c>
      <x:c r="C593" s="54" t="str">
        <x:v>NYC-V2-R01</x:v>
      </x:c>
      <x:c r="D593" s="54" t="str">
        <x:v>V2</x:v>
      </x:c>
      <x:c r="E593" s="54" t="str">
        <x:v>ADMITTED</x:v>
      </x:c>
      <x:c r="F593" s="55" t="n">
        <x:v>30377</x:v>
      </x:c>
      <x:c r="G593" s="55" t="n">
        <x:v>7060</x:v>
      </x:c>
      <x:c r="H593" s="55" t="n">
        <x:v>3611</x:v>
      </x:c>
      <x:c r="I593" s="55" t="n">
        <x:v>1695</x:v>
      </x:c>
      <x:c r="J593" s="55" t="n">
        <x:v>120</x:v>
      </x:c>
      <x:c r="K593" s="55" t="n">
        <x:v>30377</x:v>
      </x:c>
      <x:c r="L593" s="55" t="n">
        <x:v>5236</x:v>
      </x:c>
      <x:c r="M593" s="55" t="n">
        <x:v>1393</x:v>
      </x:c>
      <x:c r="N593" s="55" t="n">
        <x:v>1915</x:v>
      </x:c>
      <x:c r="O593" s="55" t="n">
        <x:v>1928</x:v>
      </x:c>
      <x:c r="P593" s="55" t="n">
        <x:v>455</x:v>
      </x:c>
      <x:c r="Q593" s="55" t="n">
        <x:v>1658</x:v>
      </x:c>
      <x:c r="R593" s="55" t="n">
        <x:v>1781</x:v>
      </x:c>
      <x:c r="S593" s="55" t="n">
        <x:v>1817</x:v>
      </x:c>
      <x:c r="T593" s="55" t="n">
        <x:v>1148</x:v>
      </x:c>
      <x:c r="U593" s="55" t="n">
        <x:v>2122</x:v>
      </x:c>
      <x:c r="V593" s="55" t="n">
        <x:v>9956</x:v>
      </x:c>
      <x:c r="W593" s="55" t="n">
        <x:v>7057</x:v>
      </x:c>
      <x:c r="X593" s="55" t="n">
        <x:v>2899</x:v>
      </x:c>
      <x:c r="Y593" s="55" t="n">
        <x:v>2548</x:v>
      </x:c>
      <x:c r="Z593" s="55" t="n">
        <x:v>4009</x:v>
      </x:c>
      <x:c r="AA593" s="55" t="n">
        <x:v>2835</x:v>
      </x:c>
      <x:c r="AB593" s="55" t="n">
        <x:v>1198</x:v>
      </x:c>
      <x:c r="AC593" s="55" t="n">
        <x:v>7824</x:v>
      </x:c>
      <x:c r="AD593" s="55" t="n">
        <x:v>2439</x:v>
      </x:c>
      <x:c r="AE593" s="55" t="n">
        <x:v>10004</x:v>
      </x:c>
      <x:c r="AF593" s="55" t="n">
        <x:v>9956</x:v>
      </x:c>
      <x:c r="AG593" s="55" t="n">
        <x:v>48</x:v>
      </x:c>
      <x:c r="AH593" s="55" t="n">
        <x:v>419</x:v>
      </x:c>
      <x:c r="AI593" s="55" t="n">
        <x:v>9537</x:v>
      </x:c>
      <x:c r="AJ593" s="55" t="n">
        <x:v>341</x:v>
      </x:c>
      <x:c r="AK593" s="55" t="n">
        <x:v>726</x:v>
      </x:c>
      <x:c r="AL593" s="55" t="n">
        <x:v>1555</x:v>
      </x:c>
      <x:c r="AM593" s="55" t="n">
        <x:v>4649</x:v>
      </x:c>
      <x:c r="AN593" s="55" t="n">
        <x:v>2663</x:v>
      </x:c>
      <x:c r="AO593" s="55" t="n">
        <x:v>22</x:v>
      </x:c>
      <x:c r="AP593" s="55" t="n">
        <x:v>2412</x:v>
      </x:c>
      <x:c r="AQ593" s="55" t="n">
        <x:v>944</x:v>
      </x:c>
    </x:row>
    <x:row r="594">
      <x:c r="A594" s="54" t="str">
        <x:v>T2_CONCORDANT_DOMAIN</x:v>
      </x:c>
      <x:c r="B594" s="54" t="n">
        <x:v>588</x:v>
      </x:c>
      <x:c r="C594" s="54" t="str">
        <x:v>NYC-V2-R01</x:v>
      </x:c>
      <x:c r="D594" s="54" t="str">
        <x:v>V2</x:v>
      </x:c>
      <x:c r="E594" s="54" t="str">
        <x:v>ADMITTED</x:v>
      </x:c>
      <x:c r="F594" s="55" t="n">
        <x:v>29755</x:v>
      </x:c>
      <x:c r="G594" s="55" t="n">
        <x:v>6892</x:v>
      </x:c>
      <x:c r="H594" s="55" t="n">
        <x:v>2644</x:v>
      </x:c>
      <x:c r="I594" s="55" t="n">
        <x:v>884</x:v>
      </x:c>
      <x:c r="J594" s="55" t="n">
        <x:v>20</x:v>
      </x:c>
      <x:c r="K594" s="55" t="n">
        <x:v>28950</x:v>
      </x:c>
      <x:c r="L594" s="55" t="n">
        <x:v>3826</x:v>
      </x:c>
      <x:c r="M594" s="55" t="n">
        <x:v>197</x:v>
      </x:c>
      <x:c r="N594" s="55" t="n">
        <x:v>1819</x:v>
      </x:c>
      <x:c r="O594" s="55" t="n">
        <x:v>1810</x:v>
      </x:c>
      <x:c r="P594" s="55" t="n">
        <x:v>348</x:v>
      </x:c>
      <x:c r="Q594" s="55" t="n">
        <x:v>1712</x:v>
      </x:c>
      <x:c r="R594" s="55" t="n">
        <x:v>1405</x:v>
      </x:c>
      <x:c r="S594" s="55" t="n">
        <x:v>2262</x:v>
      </x:c>
      <x:c r="T594" s="55" t="n">
        <x:v>780</x:v>
      </x:c>
      <x:c r="U594" s="55" t="n">
        <x:v>1653</x:v>
      </x:c>
      <x:c r="V594" s="55" t="n">
        <x:v>10262</x:v>
      </x:c>
      <x:c r="W594" s="55" t="n">
        <x:v>7197</x:v>
      </x:c>
      <x:c r="X594" s="55" t="n">
        <x:v>3065</x:v>
      </x:c>
      <x:c r="Y594" s="55" t="n">
        <x:v>2758</x:v>
      </x:c>
      <x:c r="Z594" s="55" t="n">
        <x:v>3604</x:v>
      </x:c>
      <x:c r="AA594" s="55" t="n">
        <x:v>2644</x:v>
      </x:c>
      <x:c r="AB594" s="55" t="n">
        <x:v>1016</x:v>
      </x:c>
      <x:c r="AC594" s="55" t="n">
        <x:v>8138</x:v>
      </x:c>
      <x:c r="AD594" s="55" t="n">
        <x:v>3331</x:v>
      </x:c>
      <x:c r="AE594" s="55" t="n">
        <x:v>10313</x:v>
      </x:c>
      <x:c r="AF594" s="55" t="n">
        <x:v>10262</x:v>
      </x:c>
      <x:c r="AG594" s="55" t="n">
        <x:v>51</x:v>
      </x:c>
      <x:c r="AH594" s="55" t="n">
        <x:v>396</x:v>
      </x:c>
      <x:c r="AI594" s="55" t="n">
        <x:v>9866</x:v>
      </x:c>
      <x:c r="AJ594" s="55" t="n">
        <x:v>330</x:v>
      </x:c>
      <x:c r="AK594" s="55" t="n">
        <x:v>829</x:v>
      </x:c>
      <x:c r="AL594" s="55" t="n">
        <x:v>1221</x:v>
      </x:c>
      <x:c r="AM594" s="55" t="n">
        <x:v>4701</x:v>
      </x:c>
      <x:c r="AN594" s="55" t="n">
        <x:v>3181</x:v>
      </x:c>
      <x:c r="AO594" s="55" t="n">
        <x:v>0</x:v>
      </x:c>
      <x:c r="AP594" s="55" t="n">
        <x:v>1903</x:v>
      </x:c>
      <x:c r="AQ594" s="55" t="n">
        <x:v>928</x:v>
      </x:c>
    </x:row>
    <x:row r="595">
      <x:c r="A595" s="54" t="str">
        <x:v>T2_CONCORDANT_DOMAIN</x:v>
      </x:c>
      <x:c r="B595" s="54" t="n">
        <x:v>589</x:v>
      </x:c>
      <x:c r="C595" s="54" t="str">
        <x:v>NYC-V2-R01</x:v>
      </x:c>
      <x:c r="D595" s="54" t="str">
        <x:v>V2</x:v>
      </x:c>
      <x:c r="E595" s="54" t="str">
        <x:v>ADMITTED</x:v>
      </x:c>
      <x:c r="F595" s="55" t="n">
        <x:v>31274</x:v>
      </x:c>
      <x:c r="G595" s="55" t="n">
        <x:v>6584</x:v>
      </x:c>
      <x:c r="H595" s="55" t="n">
        <x:v>3485</x:v>
      </x:c>
      <x:c r="I595" s="55" t="n">
        <x:v>1356</x:v>
      </x:c>
      <x:c r="J595" s="55" t="n">
        <x:v>145</x:v>
      </x:c>
      <x:c r="K595" s="55" t="n">
        <x:v>31274</x:v>
      </x:c>
      <x:c r="L595" s="55" t="n">
        <x:v>5374</x:v>
      </x:c>
      <x:c r="M595" s="55" t="n">
        <x:v>1538</x:v>
      </x:c>
      <x:c r="N595" s="55" t="n">
        <x:v>2295</x:v>
      </x:c>
      <x:c r="O595" s="55" t="n">
        <x:v>1541</x:v>
      </x:c>
      <x:c r="P595" s="55" t="n">
        <x:v>756</x:v>
      </x:c>
      <x:c r="Q595" s="55" t="n">
        <x:v>2234</x:v>
      </x:c>
      <x:c r="R595" s="55" t="n">
        <x:v>1662</x:v>
      </x:c>
      <x:c r="S595" s="55" t="n">
        <x:v>2470</x:v>
      </x:c>
      <x:c r="T595" s="55" t="n">
        <x:v>1260</x:v>
      </x:c>
      <x:c r="U595" s="55" t="n">
        <x:v>1527</x:v>
      </x:c>
      <x:c r="V595" s="55" t="n">
        <x:v>9975</x:v>
      </x:c>
      <x:c r="W595" s="55" t="n">
        <x:v>6959</x:v>
      </x:c>
      <x:c r="X595" s="55" t="n">
        <x:v>3016</x:v>
      </x:c>
      <x:c r="Y595" s="55" t="n">
        <x:v>2790</x:v>
      </x:c>
      <x:c r="Z595" s="55" t="n">
        <x:v>4191</x:v>
      </x:c>
      <x:c r="AA595" s="55" t="n">
        <x:v>3485</x:v>
      </x:c>
      <x:c r="AB595" s="55" t="n">
        <x:v>1321</x:v>
      </x:c>
      <x:c r="AC595" s="55" t="n">
        <x:v>7318</x:v>
      </x:c>
      <x:c r="AD595" s="55" t="n">
        <x:v>3322</x:v>
      </x:c>
      <x:c r="AE595" s="55" t="n">
        <x:v>10092</x:v>
      </x:c>
      <x:c r="AF595" s="55" t="n">
        <x:v>9975</x:v>
      </x:c>
      <x:c r="AG595" s="55" t="n">
        <x:v>117</x:v>
      </x:c>
      <x:c r="AH595" s="55" t="n">
        <x:v>371</x:v>
      </x:c>
      <x:c r="AI595" s="55" t="n">
        <x:v>9604</x:v>
      </x:c>
      <x:c r="AJ595" s="55" t="n">
        <x:v>419</x:v>
      </x:c>
      <x:c r="AK595" s="55" t="n">
        <x:v>766</x:v>
      </x:c>
      <x:c r="AL595" s="55" t="n">
        <x:v>1321</x:v>
      </x:c>
      <x:c r="AM595" s="55" t="n">
        <x:v>4961</x:v>
      </x:c>
      <x:c r="AN595" s="55" t="n">
        <x:v>2484</x:v>
      </x:c>
      <x:c r="AO595" s="55" t="n">
        <x:v>24</x:v>
      </x:c>
      <x:c r="AP595" s="55" t="n">
        <x:v>2265</x:v>
      </x:c>
      <x:c r="AQ595" s="55" t="n">
        <x:v>961</x:v>
      </x:c>
    </x:row>
    <x:row r="596">
      <x:c r="A596" s="54" t="str">
        <x:v>T2_CONCORDANT_DOMAIN</x:v>
      </x:c>
      <x:c r="B596" s="54" t="n">
        <x:v>590</x:v>
      </x:c>
      <x:c r="C596" s="54" t="str">
        <x:v>NYC-V2-R01</x:v>
      </x:c>
      <x:c r="D596" s="54" t="str">
        <x:v>V2</x:v>
      </x:c>
      <x:c r="E596" s="54" t="str">
        <x:v>ADMITTED</x:v>
      </x:c>
      <x:c r="F596" s="55" t="n">
        <x:v>32080</x:v>
      </x:c>
      <x:c r="G596" s="55" t="n">
        <x:v>8064</x:v>
      </x:c>
      <x:c r="H596" s="55" t="n">
        <x:v>3380</x:v>
      </x:c>
      <x:c r="I596" s="55" t="n">
        <x:v>1310</x:v>
      </x:c>
      <x:c r="J596" s="55" t="n">
        <x:v>259</x:v>
      </x:c>
      <x:c r="K596" s="55" t="n">
        <x:v>29291</x:v>
      </x:c>
      <x:c r="L596" s="55" t="n">
        <x:v>5787</x:v>
      </x:c>
      <x:c r="M596" s="55" t="n">
        <x:v>1667</x:v>
      </x:c>
      <x:c r="N596" s="55" t="n">
        <x:v>2741</x:v>
      </x:c>
      <x:c r="O596" s="55" t="n">
        <x:v>1379</x:v>
      </x:c>
      <x:c r="P596" s="55" t="n">
        <x:v>562</x:v>
      </x:c>
      <x:c r="Q596" s="55" t="n">
        <x:v>2718</x:v>
      </x:c>
      <x:c r="R596" s="55" t="n">
        <x:v>2084</x:v>
      </x:c>
      <x:c r="S596" s="55" t="n">
        <x:v>3287</x:v>
      </x:c>
      <x:c r="T596" s="55" t="n">
        <x:v>1187</x:v>
      </x:c>
      <x:c r="U596" s="55" t="n">
        <x:v>2591</x:v>
      </x:c>
      <x:c r="V596" s="55" t="n">
        <x:v>10522</x:v>
      </x:c>
      <x:c r="W596" s="55" t="n">
        <x:v>7436</x:v>
      </x:c>
      <x:c r="X596" s="55" t="n">
        <x:v>3086</x:v>
      </x:c>
      <x:c r="Y596" s="55" t="n">
        <x:v>2713</x:v>
      </x:c>
      <x:c r="Z596" s="55" t="n">
        <x:v>3777</x:v>
      </x:c>
      <x:c r="AA596" s="55" t="n">
        <x:v>3380</x:v>
      </x:c>
      <x:c r="AB596" s="55" t="n">
        <x:v>1078</x:v>
      </x:c>
      <x:c r="AC596" s="55" t="n">
        <x:v>7920</x:v>
      </x:c>
      <x:c r="AD596" s="55" t="n">
        <x:v>2591</x:v>
      </x:c>
      <x:c r="AE596" s="55" t="n">
        <x:v>10632</x:v>
      </x:c>
      <x:c r="AF596" s="55" t="n">
        <x:v>10522</x:v>
      </x:c>
      <x:c r="AG596" s="55" t="n">
        <x:v>110</x:v>
      </x:c>
      <x:c r="AH596" s="55" t="n">
        <x:v>551</x:v>
      </x:c>
      <x:c r="AI596" s="55" t="n">
        <x:v>9971</x:v>
      </x:c>
      <x:c r="AJ596" s="55" t="n">
        <x:v>416</x:v>
      </x:c>
      <x:c r="AK596" s="55" t="n">
        <x:v>839</x:v>
      </x:c>
      <x:c r="AL596" s="55" t="n">
        <x:v>1585</x:v>
      </x:c>
      <x:c r="AM596" s="55" t="n">
        <x:v>5027</x:v>
      </x:c>
      <x:c r="AN596" s="55" t="n">
        <x:v>2628</x:v>
      </x:c>
      <x:c r="AO596" s="55" t="n">
        <x:v>27</x:v>
      </x:c>
      <x:c r="AP596" s="55" t="n">
        <x:v>2385</x:v>
      </x:c>
      <x:c r="AQ596" s="55" t="n">
        <x:v>935</x:v>
      </x:c>
    </x:row>
    <x:row r="597">
      <x:c r="A597" s="54" t="str">
        <x:v>T2_CONCORDANT_DOMAIN</x:v>
      </x:c>
      <x:c r="B597" s="54" t="n">
        <x:v>591</x:v>
      </x:c>
      <x:c r="C597" s="54" t="str">
        <x:v>NYC-V2-R01</x:v>
      </x:c>
      <x:c r="D597" s="54" t="str">
        <x:v>V2</x:v>
      </x:c>
      <x:c r="E597" s="54" t="str">
        <x:v>ADMITTED</x:v>
      </x:c>
      <x:c r="F597" s="55" t="n">
        <x:v>30137</x:v>
      </x:c>
      <x:c r="G597" s="55" t="n">
        <x:v>7659</x:v>
      </x:c>
      <x:c r="H597" s="55" t="n">
        <x:v>3144</x:v>
      </x:c>
      <x:c r="I597" s="55" t="n">
        <x:v>1073</x:v>
      </x:c>
      <x:c r="J597" s="55" t="n">
        <x:v>136</x:v>
      </x:c>
      <x:c r="K597" s="55" t="n">
        <x:v>29056</x:v>
      </x:c>
      <x:c r="L597" s="55" t="n">
        <x:v>4022</x:v>
      </x:c>
      <x:c r="M597" s="55" t="n">
        <x:v>566</x:v>
      </x:c>
      <x:c r="N597" s="55" t="n">
        <x:v>2026</x:v>
      </x:c>
      <x:c r="O597" s="55" t="n">
        <x:v>1430</x:v>
      </x:c>
      <x:c r="P597" s="55" t="n">
        <x:v>552</x:v>
      </x:c>
      <x:c r="Q597" s="55" t="n">
        <x:v>1392</x:v>
      </x:c>
      <x:c r="R597" s="55" t="n">
        <x:v>1699</x:v>
      </x:c>
      <x:c r="S597" s="55" t="n">
        <x:v>2966</x:v>
      </x:c>
      <x:c r="T597" s="55" t="n">
        <x:v>1050</x:v>
      </x:c>
      <x:c r="U597" s="55" t="n">
        <x:v>1446</x:v>
      </x:c>
      <x:c r="V597" s="55" t="n">
        <x:v>10207</x:v>
      </x:c>
      <x:c r="W597" s="55" t="n">
        <x:v>7048</x:v>
      </x:c>
      <x:c r="X597" s="55" t="n">
        <x:v>3159</x:v>
      </x:c>
      <x:c r="Y597" s="55" t="n">
        <x:v>2709</x:v>
      </x:c>
      <x:c r="Z597" s="55" t="n">
        <x:v>3573</x:v>
      </x:c>
      <x:c r="AA597" s="55" t="n">
        <x:v>3144</x:v>
      </x:c>
      <x:c r="AB597" s="55" t="n">
        <x:v>1040</x:v>
      </x:c>
      <x:c r="AC597" s="55" t="n">
        <x:v>7789</x:v>
      </x:c>
      <x:c r="AD597" s="55" t="n">
        <x:v>2702</x:v>
      </x:c>
      <x:c r="AE597" s="55" t="n">
        <x:v>10286</x:v>
      </x:c>
      <x:c r="AF597" s="55" t="n">
        <x:v>10207</x:v>
      </x:c>
      <x:c r="AG597" s="55" t="n">
        <x:v>79</x:v>
      </x:c>
      <x:c r="AH597" s="55" t="n">
        <x:v>308</x:v>
      </x:c>
      <x:c r="AI597" s="55" t="n">
        <x:v>9899</x:v>
      </x:c>
      <x:c r="AJ597" s="55" t="n">
        <x:v>318</x:v>
      </x:c>
      <x:c r="AK597" s="55" t="n">
        <x:v>845</x:v>
      </x:c>
      <x:c r="AL597" s="55" t="n">
        <x:v>1456</x:v>
      </x:c>
      <x:c r="AM597" s="55" t="n">
        <x:v>5226</x:v>
      </x:c>
      <x:c r="AN597" s="55" t="n">
        <x:v>2341</x:v>
      </x:c>
      <x:c r="AO597" s="55" t="n">
        <x:v>21</x:v>
      </x:c>
      <x:c r="AP597" s="55" t="n">
        <x:v>2374</x:v>
      </x:c>
      <x:c r="AQ597" s="55" t="n">
        <x:v>951</x:v>
      </x:c>
    </x:row>
    <x:row r="598">
      <x:c r="A598" s="54" t="str">
        <x:v>T2_CONCORDANT_DOMAIN</x:v>
      </x:c>
      <x:c r="B598" s="54" t="n">
        <x:v>592</x:v>
      </x:c>
      <x:c r="C598" s="54" t="str">
        <x:v>NYC-V2-R01</x:v>
      </x:c>
      <x:c r="D598" s="54" t="str">
        <x:v>V2</x:v>
      </x:c>
      <x:c r="E598" s="54" t="str">
        <x:v>ADMITTED</x:v>
      </x:c>
      <x:c r="F598" s="55" t="n">
        <x:v>31926</x:v>
      </x:c>
      <x:c r="G598" s="55" t="n">
        <x:v>7759</x:v>
      </x:c>
      <x:c r="H598" s="55" t="n">
        <x:v>3167</x:v>
      </x:c>
      <x:c r="I598" s="55" t="n">
        <x:v>1153</x:v>
      </x:c>
      <x:c r="J598" s="55" t="n">
        <x:v>39</x:v>
      </x:c>
      <x:c r="K598" s="55" t="n">
        <x:v>31926</x:v>
      </x:c>
      <x:c r="L598" s="55" t="n">
        <x:v>7042</x:v>
      </x:c>
      <x:c r="M598" s="55" t="n">
        <x:v>2330</x:v>
      </x:c>
      <x:c r="N598" s="55" t="n">
        <x:v>2999</x:v>
      </x:c>
      <x:c r="O598" s="55" t="n">
        <x:v>1713</x:v>
      </x:c>
      <x:c r="P598" s="55" t="n">
        <x:v>980</x:v>
      </x:c>
      <x:c r="Q598" s="55" t="n">
        <x:v>2246</x:v>
      </x:c>
      <x:c r="R598" s="55" t="n">
        <x:v>1613</x:v>
      </x:c>
      <x:c r="S598" s="55" t="n">
        <x:v>2715</x:v>
      </x:c>
      <x:c r="T598" s="55" t="n">
        <x:v>1052</x:v>
      </x:c>
      <x:c r="U598" s="55" t="n">
        <x:v>1831</x:v>
      </x:c>
      <x:c r="V598" s="55" t="n">
        <x:v>10749</x:v>
      </x:c>
      <x:c r="W598" s="55" t="n">
        <x:v>8000</x:v>
      </x:c>
      <x:c r="X598" s="55" t="n">
        <x:v>2749</x:v>
      </x:c>
      <x:c r="Y598" s="55" t="n">
        <x:v>2347</x:v>
      </x:c>
      <x:c r="Z598" s="55" t="n">
        <x:v>4014</x:v>
      </x:c>
      <x:c r="AA598" s="55" t="n">
        <x:v>3167</x:v>
      </x:c>
      <x:c r="AB598" s="55" t="n">
        <x:v>1091</x:v>
      </x:c>
      <x:c r="AC598" s="55" t="n">
        <x:v>8317</x:v>
      </x:c>
      <x:c r="AD598" s="55" t="n">
        <x:v>3280</x:v>
      </x:c>
      <x:c r="AE598" s="55" t="n">
        <x:v>10891</x:v>
      </x:c>
      <x:c r="AF598" s="55" t="n">
        <x:v>10749</x:v>
      </x:c>
      <x:c r="AG598" s="55" t="n">
        <x:v>142</x:v>
      </x:c>
      <x:c r="AH598" s="55" t="n">
        <x:v>489</x:v>
      </x:c>
      <x:c r="AI598" s="55" t="n">
        <x:v>10260</x:v>
      </x:c>
      <x:c r="AJ598" s="55" t="n">
        <x:v>336</x:v>
      </x:c>
      <x:c r="AK598" s="55" t="n">
        <x:v>1000</x:v>
      </x:c>
      <x:c r="AL598" s="55" t="n">
        <x:v>1720</x:v>
      </x:c>
      <x:c r="AM598" s="55" t="n">
        <x:v>5143</x:v>
      </x:c>
      <x:c r="AN598" s="55" t="n">
        <x:v>2550</x:v>
      </x:c>
      <x:c r="AO598" s="55" t="n">
        <x:v>0</x:v>
      </x:c>
      <x:c r="AP598" s="55" t="n">
        <x:v>2217</x:v>
      </x:c>
      <x:c r="AQ598" s="55" t="n">
        <x:v>982</x:v>
      </x:c>
    </x:row>
    <x:row r="599">
      <x:c r="A599" s="54" t="str">
        <x:v>T2_CONCORDANT_DOMAIN</x:v>
      </x:c>
      <x:c r="B599" s="54" t="n">
        <x:v>593</x:v>
      </x:c>
      <x:c r="C599" s="54" t="str">
        <x:v>NYC-V2-R01</x:v>
      </x:c>
      <x:c r="D599" s="54" t="str">
        <x:v>V2</x:v>
      </x:c>
      <x:c r="E599" s="54" t="str">
        <x:v>ADMITTED</x:v>
      </x:c>
      <x:c r="F599" s="55" t="n">
        <x:v>33282</x:v>
      </x:c>
      <x:c r="G599" s="55" t="n">
        <x:v>7934</x:v>
      </x:c>
      <x:c r="H599" s="55" t="n">
        <x:v>4084</x:v>
      </x:c>
      <x:c r="I599" s="55" t="n">
        <x:v>2039</x:v>
      </x:c>
      <x:c r="J599" s="55" t="n">
        <x:v>276</x:v>
      </x:c>
      <x:c r="K599" s="55" t="n">
        <x:v>30234</x:v>
      </x:c>
      <x:c r="L599" s="55" t="n">
        <x:v>6591</x:v>
      </x:c>
      <x:c r="M599" s="55" t="n">
        <x:v>1940</x:v>
      </x:c>
      <x:c r="N599" s="55" t="n">
        <x:v>2794</x:v>
      </x:c>
      <x:c r="O599" s="55" t="n">
        <x:v>1857</x:v>
      </x:c>
      <x:c r="P599" s="55" t="n">
        <x:v>975</x:v>
      </x:c>
      <x:c r="Q599" s="55" t="n">
        <x:v>2668</x:v>
      </x:c>
      <x:c r="R599" s="55" t="n">
        <x:v>2153</x:v>
      </x:c>
      <x:c r="S599" s="55" t="n">
        <x:v>2863</x:v>
      </x:c>
      <x:c r="T599" s="55" t="n">
        <x:v>1657</x:v>
      </x:c>
      <x:c r="U599" s="55" t="n">
        <x:v>2495</x:v>
      </x:c>
      <x:c r="V599" s="55" t="n">
        <x:v>10946</x:v>
      </x:c>
      <x:c r="W599" s="55" t="n">
        <x:v>7880</x:v>
      </x:c>
      <x:c r="X599" s="55" t="n">
        <x:v>3066</x:v>
      </x:c>
      <x:c r="Y599" s="55" t="n">
        <x:v>2642</x:v>
      </x:c>
      <x:c r="Z599" s="55" t="n">
        <x:v>3906</x:v>
      </x:c>
      <x:c r="AA599" s="55" t="n">
        <x:v>3673</x:v>
      </x:c>
      <x:c r="AB599" s="55" t="n">
        <x:v>1399</x:v>
      </x:c>
      <x:c r="AC599" s="55" t="n">
        <x:v>8580</x:v>
      </x:c>
      <x:c r="AD599" s="55" t="n">
        <x:v>3246</x:v>
      </x:c>
      <x:c r="AE599" s="55" t="n">
        <x:v>11004</x:v>
      </x:c>
      <x:c r="AF599" s="55" t="n">
        <x:v>10946</x:v>
      </x:c>
      <x:c r="AG599" s="55" t="n">
        <x:v>58</x:v>
      </x:c>
      <x:c r="AH599" s="55" t="n">
        <x:v>641</x:v>
      </x:c>
      <x:c r="AI599" s="55" t="n">
        <x:v>10305</x:v>
      </x:c>
      <x:c r="AJ599" s="55" t="n">
        <x:v>451</x:v>
      </x:c>
      <x:c r="AK599" s="55" t="n">
        <x:v>1112</x:v>
      </x:c>
      <x:c r="AL599" s="55" t="n">
        <x:v>1662</x:v>
      </x:c>
      <x:c r="AM599" s="55" t="n">
        <x:v>4783</x:v>
      </x:c>
      <x:c r="AN599" s="55" t="n">
        <x:v>2874</x:v>
      </x:c>
      <x:c r="AO599" s="55" t="n">
        <x:v>64</x:v>
      </x:c>
      <x:c r="AP599" s="55" t="n">
        <x:v>2377</x:v>
      </x:c>
      <x:c r="AQ599" s="55" t="n">
        <x:v>963</x:v>
      </x:c>
    </x:row>
    <x:row r="600">
      <x:c r="A600" s="54" t="str">
        <x:v>T2_CONCORDANT_DOMAIN</x:v>
      </x:c>
      <x:c r="B600" s="54" t="n">
        <x:v>594</x:v>
      </x:c>
      <x:c r="C600" s="54" t="str">
        <x:v>NYC-V2-R01</x:v>
      </x:c>
      <x:c r="D600" s="54" t="str">
        <x:v>V2</x:v>
      </x:c>
      <x:c r="E600" s="54" t="str">
        <x:v>ADMITTED</x:v>
      </x:c>
      <x:c r="F600" s="55" t="n">
        <x:v>30817</x:v>
      </x:c>
      <x:c r="G600" s="55" t="n">
        <x:v>7052</x:v>
      </x:c>
      <x:c r="H600" s="55" t="n">
        <x:v>3231</x:v>
      </x:c>
      <x:c r="I600" s="55" t="n">
        <x:v>1025</x:v>
      </x:c>
      <x:c r="J600" s="55" t="n">
        <x:v>281</x:v>
      </x:c>
      <x:c r="K600" s="55" t="n">
        <x:v>30817</x:v>
      </x:c>
      <x:c r="L600" s="55" t="n">
        <x:v>5772</x:v>
      </x:c>
      <x:c r="M600" s="55" t="n">
        <x:v>786</x:v>
      </x:c>
      <x:c r="N600" s="55" t="n">
        <x:v>3029</x:v>
      </x:c>
      <x:c r="O600" s="55" t="n">
        <x:v>1957</x:v>
      </x:c>
      <x:c r="P600" s="55" t="n">
        <x:v>649</x:v>
      </x:c>
      <x:c r="Q600" s="55" t="n">
        <x:v>3061</x:v>
      </x:c>
      <x:c r="R600" s="55" t="n">
        <x:v>1835</x:v>
      </x:c>
      <x:c r="S600" s="55" t="n">
        <x:v>2715</x:v>
      </x:c>
      <x:c r="T600" s="55" t="n">
        <x:v>1298</x:v>
      </x:c>
      <x:c r="U600" s="55" t="n">
        <x:v>1938</x:v>
      </x:c>
      <x:c r="V600" s="55" t="n">
        <x:v>10498</x:v>
      </x:c>
      <x:c r="W600" s="55" t="n">
        <x:v>7355</x:v>
      </x:c>
      <x:c r="X600" s="55" t="n">
        <x:v>3143</x:v>
      </x:c>
      <x:c r="Y600" s="55" t="n">
        <x:v>2612</x:v>
      </x:c>
      <x:c r="Z600" s="55" t="n">
        <x:v>3514</x:v>
      </x:c>
      <x:c r="AA600" s="55" t="n">
        <x:v>3231</x:v>
      </x:c>
      <x:c r="AB600" s="55" t="n">
        <x:v>1117</x:v>
      </x:c>
      <x:c r="AC600" s="55" t="n">
        <x:v>8199</x:v>
      </x:c>
      <x:c r="AD600" s="55" t="n">
        <x:v>2726</x:v>
      </x:c>
      <x:c r="AE600" s="55" t="n">
        <x:v>10595</x:v>
      </x:c>
      <x:c r="AF600" s="55" t="n">
        <x:v>10498</x:v>
      </x:c>
      <x:c r="AG600" s="55" t="n">
        <x:v>97</x:v>
      </x:c>
      <x:c r="AH600" s="55" t="n">
        <x:v>355</x:v>
      </x:c>
      <x:c r="AI600" s="55" t="n">
        <x:v>10143</x:v>
      </x:c>
      <x:c r="AJ600" s="55" t="n">
        <x:v>347</x:v>
      </x:c>
      <x:c r="AK600" s="55" t="n">
        <x:v>760</x:v>
      </x:c>
      <x:c r="AL600" s="55" t="n">
        <x:v>1834</x:v>
      </x:c>
      <x:c r="AM600" s="55" t="n">
        <x:v>4878</x:v>
      </x:c>
      <x:c r="AN600" s="55" t="n">
        <x:v>2679</x:v>
      </x:c>
      <x:c r="AO600" s="55" t="n">
        <x:v>0</x:v>
      </x:c>
      <x:c r="AP600" s="55" t="n">
        <x:v>2244</x:v>
      </x:c>
      <x:c r="AQ600" s="55" t="n">
        <x:v>970</x:v>
      </x:c>
    </x:row>
    <x:row r="601">
      <x:c r="A601" s="54" t="str">
        <x:v>T2_CONCORDANT_DOMAIN</x:v>
      </x:c>
      <x:c r="B601" s="54" t="n">
        <x:v>595</x:v>
      </x:c>
      <x:c r="C601" s="54" t="str">
        <x:v>NYC-V2-R01</x:v>
      </x:c>
      <x:c r="D601" s="54" t="str">
        <x:v>V2</x:v>
      </x:c>
      <x:c r="E601" s="54" t="str">
        <x:v>ADMITTED</x:v>
      </x:c>
      <x:c r="F601" s="55" t="n">
        <x:v>31052</x:v>
      </x:c>
      <x:c r="G601" s="55" t="n">
        <x:v>8054</x:v>
      </x:c>
      <x:c r="H601" s="55" t="n">
        <x:v>3367</x:v>
      </x:c>
      <x:c r="I601" s="55" t="n">
        <x:v>1253</x:v>
      </x:c>
      <x:c r="J601" s="55" t="n">
        <x:v>289</x:v>
      </x:c>
      <x:c r="K601" s="55" t="n">
        <x:v>30011</x:v>
      </x:c>
      <x:c r="L601" s="55" t="n">
        <x:v>4908</x:v>
      </x:c>
      <x:c r="M601" s="55" t="n">
        <x:v>819</x:v>
      </x:c>
      <x:c r="N601" s="55" t="n">
        <x:v>2379</x:v>
      </x:c>
      <x:c r="O601" s="55" t="n">
        <x:v>1710</x:v>
      </x:c>
      <x:c r="P601" s="55" t="n">
        <x:v>1104</x:v>
      </x:c>
      <x:c r="Q601" s="55" t="n">
        <x:v>2119</x:v>
      </x:c>
      <x:c r="R601" s="55" t="n">
        <x:v>1662</x:v>
      </x:c>
      <x:c r="S601" s="55" t="n">
        <x:v>2148</x:v>
      </x:c>
      <x:c r="T601" s="55" t="n">
        <x:v>1280</x:v>
      </x:c>
      <x:c r="U601" s="55" t="n">
        <x:v>2247</x:v>
      </x:c>
      <x:c r="V601" s="55" t="n">
        <x:v>10390</x:v>
      </x:c>
      <x:c r="W601" s="55" t="n">
        <x:v>7014</x:v>
      </x:c>
      <x:c r="X601" s="55" t="n">
        <x:v>3376</x:v>
      </x:c>
      <x:c r="Y601" s="55" t="n">
        <x:v>2826</x:v>
      </x:c>
      <x:c r="Z601" s="55" t="n">
        <x:v>3775</x:v>
      </x:c>
      <x:c r="AA601" s="55" t="n">
        <x:v>3251</x:v>
      </x:c>
      <x:c r="AB601" s="55" t="n">
        <x:v>1129</x:v>
      </x:c>
      <x:c r="AC601" s="55" t="n">
        <x:v>8319</x:v>
      </x:c>
      <x:c r="AD601" s="55" t="n">
        <x:v>3105</x:v>
      </x:c>
      <x:c r="AE601" s="55" t="n">
        <x:v>10463</x:v>
      </x:c>
      <x:c r="AF601" s="55" t="n">
        <x:v>10390</x:v>
      </x:c>
      <x:c r="AG601" s="55" t="n">
        <x:v>73</x:v>
      </x:c>
      <x:c r="AH601" s="55" t="n">
        <x:v>533</x:v>
      </x:c>
      <x:c r="AI601" s="55" t="n">
        <x:v>9857</x:v>
      </x:c>
      <x:c r="AJ601" s="55" t="n">
        <x:v>317</x:v>
      </x:c>
      <x:c r="AK601" s="55" t="n">
        <x:v>1007</x:v>
      </x:c>
      <x:c r="AL601" s="55" t="n">
        <x:v>1537</x:v>
      </x:c>
      <x:c r="AM601" s="55" t="n">
        <x:v>5098</x:v>
      </x:c>
      <x:c r="AN601" s="55" t="n">
        <x:v>2431</x:v>
      </x:c>
      <x:c r="AO601" s="55" t="n">
        <x:v>0</x:v>
      </x:c>
      <x:c r="AP601" s="55" t="n">
        <x:v>2234</x:v>
      </x:c>
      <x:c r="AQ601" s="55" t="n">
        <x:v>936</x:v>
      </x:c>
    </x:row>
    <x:row r="602">
      <x:c r="A602" s="54" t="str">
        <x:v>T2_CONCORDANT_DOMAIN</x:v>
      </x:c>
      <x:c r="B602" s="54" t="n">
        <x:v>596</x:v>
      </x:c>
      <x:c r="C602" s="54" t="str">
        <x:v>NYC-V2-R01</x:v>
      </x:c>
      <x:c r="D602" s="54" t="str">
        <x:v>V2</x:v>
      </x:c>
      <x:c r="E602" s="54" t="str">
        <x:v>ADMITTED</x:v>
      </x:c>
      <x:c r="F602" s="55" t="n">
        <x:v>31911</x:v>
      </x:c>
      <x:c r="G602" s="55" t="n">
        <x:v>7620</x:v>
      </x:c>
      <x:c r="H602" s="55" t="n">
        <x:v>3450</x:v>
      </x:c>
      <x:c r="I602" s="55" t="n">
        <x:v>1546</x:v>
      </x:c>
      <x:c r="J602" s="55" t="n">
        <x:v>264</x:v>
      </x:c>
      <x:c r="K602" s="55" t="n">
        <x:v>29776</x:v>
      </x:c>
      <x:c r="L602" s="55" t="n">
        <x:v>5722</x:v>
      </x:c>
      <x:c r="M602" s="55" t="n">
        <x:v>1038</x:v>
      </x:c>
      <x:c r="N602" s="55" t="n">
        <x:v>3178</x:v>
      </x:c>
      <x:c r="O602" s="55" t="n">
        <x:v>1506</x:v>
      </x:c>
      <x:c r="P602" s="55" t="n">
        <x:v>688</x:v>
      </x:c>
      <x:c r="Q602" s="55" t="n">
        <x:v>2496</x:v>
      </x:c>
      <x:c r="R602" s="55" t="n">
        <x:v>2246</x:v>
      </x:c>
      <x:c r="S602" s="55" t="n">
        <x:v>2821</x:v>
      </x:c>
      <x:c r="T602" s="55" t="n">
        <x:v>1440</x:v>
      </x:c>
      <x:c r="U602" s="55" t="n">
        <x:v>1860</x:v>
      </x:c>
      <x:c r="V602" s="55" t="n">
        <x:v>10707</x:v>
      </x:c>
      <x:c r="W602" s="55" t="n">
        <x:v>7323</x:v>
      </x:c>
      <x:c r="X602" s="55" t="n">
        <x:v>3384</x:v>
      </x:c>
      <x:c r="Y602" s="55" t="n">
        <x:v>3125</x:v>
      </x:c>
      <x:c r="Z602" s="55" t="n">
        <x:v>3907</x:v>
      </x:c>
      <x:c r="AA602" s="55" t="n">
        <x:v>3353</x:v>
      </x:c>
      <x:c r="AB602" s="55" t="n">
        <x:v>1253</x:v>
      </x:c>
      <x:c r="AC602" s="55" t="n">
        <x:v>8280</x:v>
      </x:c>
      <x:c r="AD602" s="55" t="n">
        <x:v>2653</x:v>
      </x:c>
      <x:c r="AE602" s="55" t="n">
        <x:v>10816</x:v>
      </x:c>
      <x:c r="AF602" s="55" t="n">
        <x:v>10707</x:v>
      </x:c>
      <x:c r="AG602" s="55" t="n">
        <x:v>109</x:v>
      </x:c>
      <x:c r="AH602" s="55" t="n">
        <x:v>541</x:v>
      </x:c>
      <x:c r="AI602" s="55" t="n">
        <x:v>10166</x:v>
      </x:c>
      <x:c r="AJ602" s="55" t="n">
        <x:v>522</x:v>
      </x:c>
      <x:c r="AK602" s="55" t="n">
        <x:v>1361</x:v>
      </x:c>
      <x:c r="AL602" s="55" t="n">
        <x:v>1543</x:v>
      </x:c>
      <x:c r="AM602" s="55" t="n">
        <x:v>4536</x:v>
      </x:c>
      <x:c r="AN602" s="55" t="n">
        <x:v>2675</x:v>
      </x:c>
      <x:c r="AO602" s="55" t="n">
        <x:v>70</x:v>
      </x:c>
      <x:c r="AP602" s="55" t="n">
        <x:v>2846</x:v>
      </x:c>
      <x:c r="AQ602" s="55" t="n">
        <x:v>999</x:v>
      </x:c>
    </x:row>
    <x:row r="603">
      <x:c r="A603" s="54" t="str">
        <x:v>T2_CONCORDANT_DOMAIN</x:v>
      </x:c>
      <x:c r="B603" s="54" t="n">
        <x:v>597</x:v>
      </x:c>
      <x:c r="C603" s="54" t="str">
        <x:v>NYC-V2-R01</x:v>
      </x:c>
      <x:c r="D603" s="54" t="str">
        <x:v>V2</x:v>
      </x:c>
      <x:c r="E603" s="54" t="str">
        <x:v>ADMITTED</x:v>
      </x:c>
      <x:c r="F603" s="55" t="n">
        <x:v>32676</x:v>
      </x:c>
      <x:c r="G603" s="55" t="n">
        <x:v>9146</x:v>
      </x:c>
      <x:c r="H603" s="55" t="n">
        <x:v>3012</x:v>
      </x:c>
      <x:c r="I603" s="55" t="n">
        <x:v>1304</x:v>
      </x:c>
      <x:c r="J603" s="55" t="n">
        <x:v>200</x:v>
      </x:c>
      <x:c r="K603" s="55" t="n">
        <x:v>27068</x:v>
      </x:c>
      <x:c r="L603" s="55" t="n">
        <x:v>5362</x:v>
      </x:c>
      <x:c r="M603" s="55" t="n">
        <x:v>1280</x:v>
      </x:c>
      <x:c r="N603" s="55" t="n">
        <x:v>2527</x:v>
      </x:c>
      <x:c r="O603" s="55" t="n">
        <x:v>1555</x:v>
      </x:c>
      <x:c r="P603" s="55" t="n">
        <x:v>502</x:v>
      </x:c>
      <x:c r="Q603" s="55" t="n">
        <x:v>2211</x:v>
      </x:c>
      <x:c r="R603" s="55" t="n">
        <x:v>2237</x:v>
      </x:c>
      <x:c r="S603" s="55" t="n">
        <x:v>2819</x:v>
      </x:c>
      <x:c r="T603" s="55" t="n">
        <x:v>1137</x:v>
      </x:c>
      <x:c r="U603" s="55" t="n">
        <x:v>2200</x:v>
      </x:c>
      <x:c r="V603" s="55" t="n">
        <x:v>10527</x:v>
      </x:c>
      <x:c r="W603" s="55" t="n">
        <x:v>7708</x:v>
      </x:c>
      <x:c r="X603" s="55" t="n">
        <x:v>2819</x:v>
      </x:c>
      <x:c r="Y603" s="55" t="n">
        <x:v>2457</x:v>
      </x:c>
      <x:c r="Z603" s="55" t="n">
        <x:v>4049</x:v>
      </x:c>
      <x:c r="AA603" s="55" t="n">
        <x:v>3012</x:v>
      </x:c>
      <x:c r="AB603" s="55" t="n">
        <x:v>924</x:v>
      </x:c>
      <x:c r="AC603" s="55" t="n">
        <x:v>7499</x:v>
      </x:c>
      <x:c r="AD603" s="55" t="n">
        <x:v>2348</x:v>
      </x:c>
      <x:c r="AE603" s="55" t="n">
        <x:v>10693</x:v>
      </x:c>
      <x:c r="AF603" s="55" t="n">
        <x:v>10527</x:v>
      </x:c>
      <x:c r="AG603" s="55" t="n">
        <x:v>166</x:v>
      </x:c>
      <x:c r="AH603" s="55" t="n">
        <x:v>453</x:v>
      </x:c>
      <x:c r="AI603" s="55" t="n">
        <x:v>10074</x:v>
      </x:c>
      <x:c r="AJ603" s="55" t="n">
        <x:v>248</x:v>
      </x:c>
      <x:c r="AK603" s="55" t="n">
        <x:v>817</x:v>
      </x:c>
      <x:c r="AL603" s="55" t="n">
        <x:v>2155</x:v>
      </x:c>
      <x:c r="AM603" s="55" t="n">
        <x:v>4417</x:v>
      </x:c>
      <x:c r="AN603" s="55" t="n">
        <x:v>2890</x:v>
      </x:c>
      <x:c r="AO603" s="55" t="n">
        <x:v>0</x:v>
      </x:c>
      <x:c r="AP603" s="55" t="n">
        <x:v>2293</x:v>
      </x:c>
      <x:c r="AQ603" s="55" t="n">
        <x:v>914</x:v>
      </x:c>
    </x:row>
    <x:row r="604">
      <x:c r="A604" s="54" t="str">
        <x:v>T2_CONCORDANT_DOMAIN</x:v>
      </x:c>
      <x:c r="B604" s="54" t="n">
        <x:v>598</x:v>
      </x:c>
      <x:c r="C604" s="54" t="str">
        <x:v>NYC-V2-R01</x:v>
      </x:c>
      <x:c r="D604" s="54" t="str">
        <x:v>V2</x:v>
      </x:c>
      <x:c r="E604" s="54" t="str">
        <x:v>ADMITTED</x:v>
      </x:c>
      <x:c r="F604" s="55" t="n">
        <x:v>32352</x:v>
      </x:c>
      <x:c r="G604" s="55" t="n">
        <x:v>8230</x:v>
      </x:c>
      <x:c r="H604" s="55" t="n">
        <x:v>3165</x:v>
      </x:c>
      <x:c r="I604" s="55" t="n">
        <x:v>1253</x:v>
      </x:c>
      <x:c r="J604" s="55" t="n">
        <x:v>165</x:v>
      </x:c>
      <x:c r="K604" s="55" t="n">
        <x:v>32352</x:v>
      </x:c>
      <x:c r="L604" s="55" t="n">
        <x:v>6401</x:v>
      </x:c>
      <x:c r="M604" s="55" t="n">
        <x:v>1257</x:v>
      </x:c>
      <x:c r="N604" s="55" t="n">
        <x:v>3013</x:v>
      </x:c>
      <x:c r="O604" s="55" t="n">
        <x:v>2131</x:v>
      </x:c>
      <x:c r="P604" s="55" t="n">
        <x:v>837</x:v>
      </x:c>
      <x:c r="Q604" s="55" t="n">
        <x:v>1787</x:v>
      </x:c>
      <x:c r="R604" s="55" t="n">
        <x:v>2244</x:v>
      </x:c>
      <x:c r="S604" s="55" t="n">
        <x:v>3121</x:v>
      </x:c>
      <x:c r="T604" s="55" t="n">
        <x:v>949</x:v>
      </x:c>
      <x:c r="U604" s="55" t="n">
        <x:v>2268</x:v>
      </x:c>
      <x:c r="V604" s="55" t="n">
        <x:v>11239</x:v>
      </x:c>
      <x:c r="W604" s="55" t="n">
        <x:v>8138</x:v>
      </x:c>
      <x:c r="X604" s="55" t="n">
        <x:v>3101</x:v>
      </x:c>
      <x:c r="Y604" s="55" t="n">
        <x:v>2719</x:v>
      </x:c>
      <x:c r="Z604" s="55" t="n">
        <x:v>3908</x:v>
      </x:c>
      <x:c r="AA604" s="55" t="n">
        <x:v>2815</x:v>
      </x:c>
      <x:c r="AB604" s="55" t="n">
        <x:v>1011</x:v>
      </x:c>
      <x:c r="AC604" s="55" t="n">
        <x:v>7802</x:v>
      </x:c>
      <x:c r="AD604" s="55" t="n">
        <x:v>3329</x:v>
      </x:c>
      <x:c r="AE604" s="55" t="n">
        <x:v>11379</x:v>
      </x:c>
      <x:c r="AF604" s="55" t="n">
        <x:v>11239</x:v>
      </x:c>
      <x:c r="AG604" s="55" t="n">
        <x:v>140</x:v>
      </x:c>
      <x:c r="AH604" s="55" t="n">
        <x:v>552</x:v>
      </x:c>
      <x:c r="AI604" s="55" t="n">
        <x:v>10687</x:v>
      </x:c>
      <x:c r="AJ604" s="55" t="n">
        <x:v>472</x:v>
      </x:c>
      <x:c r="AK604" s="55" t="n">
        <x:v>1338</x:v>
      </x:c>
      <x:c r="AL604" s="55" t="n">
        <x:v>1334</x:v>
      </x:c>
      <x:c r="AM604" s="55" t="n">
        <x:v>5213</x:v>
      </x:c>
      <x:c r="AN604" s="55" t="n">
        <x:v>2848</x:v>
      </x:c>
      <x:c r="AO604" s="55" t="n">
        <x:v>34</x:v>
      </x:c>
      <x:c r="AP604" s="55" t="n">
        <x:v>2513</x:v>
      </x:c>
      <x:c r="AQ604" s="55" t="n">
        <x:v>958</x:v>
      </x:c>
    </x:row>
    <x:row r="605">
      <x:c r="A605" s="54" t="str">
        <x:v>T2_CONCORDANT_DOMAIN</x:v>
      </x:c>
      <x:c r="B605" s="54" t="n">
        <x:v>599</x:v>
      </x:c>
      <x:c r="C605" s="54" t="str">
        <x:v>NYC-V2-R01</x:v>
      </x:c>
      <x:c r="D605" s="54" t="str">
        <x:v>V2</x:v>
      </x:c>
      <x:c r="E605" s="54" t="str">
        <x:v>ADMITTED</x:v>
      </x:c>
      <x:c r="F605" s="55" t="n">
        <x:v>33712</x:v>
      </x:c>
      <x:c r="G605" s="55" t="n">
        <x:v>8569</x:v>
      </x:c>
      <x:c r="H605" s="55" t="n">
        <x:v>3409</x:v>
      </x:c>
      <x:c r="I605" s="55" t="n">
        <x:v>1402</x:v>
      </x:c>
      <x:c r="J605" s="55" t="n">
        <x:v>222</x:v>
      </x:c>
      <x:c r="K605" s="55" t="n">
        <x:v>29642</x:v>
      </x:c>
      <x:c r="L605" s="55" t="n">
        <x:v>5456</x:v>
      </x:c>
      <x:c r="M605" s="55" t="n">
        <x:v>1182</x:v>
      </x:c>
      <x:c r="N605" s="55" t="n">
        <x:v>2668</x:v>
      </x:c>
      <x:c r="O605" s="55" t="n">
        <x:v>1606</x:v>
      </x:c>
      <x:c r="P605" s="55" t="n">
        <x:v>613</x:v>
      </x:c>
      <x:c r="Q605" s="55" t="n">
        <x:v>2491</x:v>
      </x:c>
      <x:c r="R605" s="55" t="n">
        <x:v>1956</x:v>
      </x:c>
      <x:c r="S605" s="55" t="n">
        <x:v>2110</x:v>
      </x:c>
      <x:c r="T605" s="55" t="n">
        <x:v>1287</x:v>
      </x:c>
      <x:c r="U605" s="55" t="n">
        <x:v>2535</x:v>
      </x:c>
      <x:c r="V605" s="55" t="n">
        <x:v>11021</x:v>
      </x:c>
      <x:c r="W605" s="55" t="n">
        <x:v>8126</x:v>
      </x:c>
      <x:c r="X605" s="55" t="n">
        <x:v>2895</x:v>
      </x:c>
      <x:c r="Y605" s="55" t="n">
        <x:v>2445</x:v>
      </x:c>
      <x:c r="Z605" s="55" t="n">
        <x:v>3608</x:v>
      </x:c>
      <x:c r="AA605" s="55" t="n">
        <x:v>3242</x:v>
      </x:c>
      <x:c r="AB605" s="55" t="n">
        <x:v>1192</x:v>
      </x:c>
      <x:c r="AC605" s="55" t="n">
        <x:v>7735</x:v>
      </x:c>
      <x:c r="AD605" s="55" t="n">
        <x:v>2355</x:v>
      </x:c>
      <x:c r="AE605" s="55" t="n">
        <x:v>11134</x:v>
      </x:c>
      <x:c r="AF605" s="55" t="n">
        <x:v>11021</x:v>
      </x:c>
      <x:c r="AG605" s="55" t="n">
        <x:v>113</x:v>
      </x:c>
      <x:c r="AH605" s="55" t="n">
        <x:v>639</x:v>
      </x:c>
      <x:c r="AI605" s="55" t="n">
        <x:v>10382</x:v>
      </x:c>
      <x:c r="AJ605" s="55" t="n">
        <x:v>450</x:v>
      </x:c>
      <x:c r="AK605" s="55" t="n">
        <x:v>1011</x:v>
      </x:c>
      <x:c r="AL605" s="55" t="n">
        <x:v>1400</x:v>
      </x:c>
      <x:c r="AM605" s="55" t="n">
        <x:v>5101</x:v>
      </x:c>
      <x:c r="AN605" s="55" t="n">
        <x:v>3049</x:v>
      </x:c>
      <x:c r="AO605" s="55" t="n">
        <x:v>10</x:v>
      </x:c>
      <x:c r="AP605" s="55" t="n">
        <x:v>2545</x:v>
      </x:c>
      <x:c r="AQ605" s="55" t="n">
        <x:v>986</x:v>
      </x:c>
    </x:row>
    <x:row r="606">
      <x:c r="A606" s="54" t="str">
        <x:v>T2_CONCORDANT_DOMAIN</x:v>
      </x:c>
      <x:c r="B606" s="54" t="n">
        <x:v>600</x:v>
      </x:c>
      <x:c r="C606" s="54" t="str">
        <x:v>NYC-V2-R01</x:v>
      </x:c>
      <x:c r="D606" s="54" t="str">
        <x:v>V2</x:v>
      </x:c>
      <x:c r="E606" s="54" t="str">
        <x:v>ADMITTED</x:v>
      </x:c>
      <x:c r="F606" s="55" t="n">
        <x:v>31568</x:v>
      </x:c>
      <x:c r="G606" s="55" t="n">
        <x:v>7001</x:v>
      </x:c>
      <x:c r="H606" s="55" t="n">
        <x:v>3378</x:v>
      </x:c>
      <x:c r="I606" s="55" t="n">
        <x:v>1437</x:v>
      </x:c>
      <x:c r="J606" s="55" t="n">
        <x:v>249</x:v>
      </x:c>
      <x:c r="K606" s="55" t="n">
        <x:v>27728</x:v>
      </x:c>
      <x:c r="L606" s="55" t="n">
        <x:v>4798</x:v>
      </x:c>
      <x:c r="M606" s="55" t="n">
        <x:v>714</x:v>
      </x:c>
      <x:c r="N606" s="55" t="n">
        <x:v>2676</x:v>
      </x:c>
      <x:c r="O606" s="55" t="n">
        <x:v>1408</x:v>
      </x:c>
      <x:c r="P606" s="55" t="n">
        <x:v>870</x:v>
      </x:c>
      <x:c r="Q606" s="55" t="n">
        <x:v>2411</x:v>
      </x:c>
      <x:c r="R606" s="55" t="n">
        <x:v>1897</x:v>
      </x:c>
      <x:c r="S606" s="55" t="n">
        <x:v>2574</x:v>
      </x:c>
      <x:c r="T606" s="55" t="n">
        <x:v>1369</x:v>
      </x:c>
      <x:c r="U606" s="55" t="n">
        <x:v>1496</x:v>
      </x:c>
      <x:c r="V606" s="55" t="n">
        <x:v>10233</x:v>
      </x:c>
      <x:c r="W606" s="55" t="n">
        <x:v>6958</x:v>
      </x:c>
      <x:c r="X606" s="55" t="n">
        <x:v>3275</x:v>
      </x:c>
      <x:c r="Y606" s="55" t="n">
        <x:v>2750</x:v>
      </x:c>
      <x:c r="Z606" s="55" t="n">
        <x:v>4086</x:v>
      </x:c>
      <x:c r="AA606" s="55" t="n">
        <x:v>3090</x:v>
      </x:c>
      <x:c r="AB606" s="55" t="n">
        <x:v>1212</x:v>
      </x:c>
      <x:c r="AC606" s="55" t="n">
        <x:v>8166</x:v>
      </x:c>
      <x:c r="AD606" s="55" t="n">
        <x:v>3228</x:v>
      </x:c>
      <x:c r="AE606" s="55" t="n">
        <x:v>10314</x:v>
      </x:c>
      <x:c r="AF606" s="55" t="n">
        <x:v>10233</x:v>
      </x:c>
      <x:c r="AG606" s="55" t="n">
        <x:v>81</x:v>
      </x:c>
      <x:c r="AH606" s="55" t="n">
        <x:v>402</x:v>
      </x:c>
      <x:c r="AI606" s="55" t="n">
        <x:v>9831</x:v>
      </x:c>
      <x:c r="AJ606" s="55" t="n">
        <x:v>394</x:v>
      </x:c>
      <x:c r="AK606" s="55" t="n">
        <x:v>988</x:v>
      </x:c>
      <x:c r="AL606" s="55" t="n">
        <x:v>1622</x:v>
      </x:c>
      <x:c r="AM606" s="55" t="n">
        <x:v>4625</x:v>
      </x:c>
      <x:c r="AN606" s="55" t="n">
        <x:v>2604</x:v>
      </x:c>
      <x:c r="AO606" s="55" t="n">
        <x:v>0</x:v>
      </x:c>
      <x:c r="AP606" s="55" t="n">
        <x:v>2271</x:v>
      </x:c>
      <x:c r="AQ606" s="55" t="n">
        <x:v>935</x:v>
      </x:c>
    </x:row>
    <x:row r="607">
      <x:c r="A607" s="54" t="str">
        <x:v>T2_CONCORDANT_DOMAIN</x:v>
      </x:c>
      <x:c r="B607" s="54" t="n">
        <x:v>601</x:v>
      </x:c>
      <x:c r="C607" s="54" t="str">
        <x:v>NYC-V2-R01</x:v>
      </x:c>
      <x:c r="D607" s="54" t="str">
        <x:v>V2</x:v>
      </x:c>
      <x:c r="E607" s="54" t="str">
        <x:v>ADMITTED</x:v>
      </x:c>
      <x:c r="F607" s="55" t="n">
        <x:v>33520</x:v>
      </x:c>
      <x:c r="G607" s="55" t="n">
        <x:v>9180</x:v>
      </x:c>
      <x:c r="H607" s="55" t="n">
        <x:v>3618</x:v>
      </x:c>
      <x:c r="I607" s="55" t="n">
        <x:v>1268</x:v>
      </x:c>
      <x:c r="J607" s="55" t="n">
        <x:v>226</x:v>
      </x:c>
      <x:c r="K607" s="55" t="n">
        <x:v>33520</x:v>
      </x:c>
      <x:c r="L607" s="55" t="n">
        <x:v>7960</x:v>
      </x:c>
      <x:c r="M607" s="55" t="n">
        <x:v>2940</x:v>
      </x:c>
      <x:c r="N607" s="55" t="n">
        <x:v>3044</x:v>
      </x:c>
      <x:c r="O607" s="55" t="n">
        <x:v>1976</x:v>
      </x:c>
      <x:c r="P607" s="55" t="n">
        <x:v>1357</x:v>
      </x:c>
      <x:c r="Q607" s="55" t="n">
        <x:v>4224</x:v>
      </x:c>
      <x:c r="R607" s="55" t="n">
        <x:v>2717</x:v>
      </x:c>
      <x:c r="S607" s="55" t="n">
        <x:v>2722</x:v>
      </x:c>
      <x:c r="T607" s="55" t="n">
        <x:v>1504</x:v>
      </x:c>
      <x:c r="U607" s="55" t="n">
        <x:v>2130</x:v>
      </x:c>
      <x:c r="V607" s="55" t="n">
        <x:v>10246</x:v>
      </x:c>
      <x:c r="W607" s="55" t="n">
        <x:v>6793</x:v>
      </x:c>
      <x:c r="X607" s="55" t="n">
        <x:v>3453</x:v>
      </x:c>
      <x:c r="Y607" s="55" t="n">
        <x:v>2853</x:v>
      </x:c>
      <x:c r="Z607" s="55" t="n">
        <x:v>3668</x:v>
      </x:c>
      <x:c r="AA607" s="55" t="n">
        <x:v>3618</x:v>
      </x:c>
      <x:c r="AB607" s="55" t="n">
        <x:v>1354</x:v>
      </x:c>
      <x:c r="AC607" s="55" t="n">
        <x:v>8385</x:v>
      </x:c>
      <x:c r="AD607" s="55" t="n">
        <x:v>3064</x:v>
      </x:c>
      <x:c r="AE607" s="55" t="n">
        <x:v>10350</x:v>
      </x:c>
      <x:c r="AF607" s="55" t="n">
        <x:v>10246</x:v>
      </x:c>
      <x:c r="AG607" s="55" t="n">
        <x:v>104</x:v>
      </x:c>
      <x:c r="AH607" s="55" t="n">
        <x:v>301</x:v>
      </x:c>
      <x:c r="AI607" s="55" t="n">
        <x:v>9945</x:v>
      </x:c>
      <x:c r="AJ607" s="55" t="n">
        <x:v>389</x:v>
      </x:c>
      <x:c r="AK607" s="55" t="n">
        <x:v>667</x:v>
      </x:c>
      <x:c r="AL607" s="55" t="n">
        <x:v>1593</x:v>
      </x:c>
      <x:c r="AM607" s="55" t="n">
        <x:v>4501</x:v>
      </x:c>
      <x:c r="AN607" s="55" t="n">
        <x:v>3034</x:v>
      </x:c>
      <x:c r="AO607" s="55" t="n">
        <x:v>62</x:v>
      </x:c>
      <x:c r="AP607" s="55" t="n">
        <x:v>2339</x:v>
      </x:c>
      <x:c r="AQ607" s="55" t="n">
        <x:v>989</x:v>
      </x:c>
    </x:row>
    <x:row r="608">
      <x:c r="A608" s="54" t="str">
        <x:v>T2_CONCORDANT_DOMAIN</x:v>
      </x:c>
      <x:c r="B608" s="54" t="n">
        <x:v>602</x:v>
      </x:c>
      <x:c r="C608" s="54" t="str">
        <x:v>NYC-V2-R01</x:v>
      </x:c>
      <x:c r="D608" s="54" t="str">
        <x:v>V2</x:v>
      </x:c>
      <x:c r="E608" s="54" t="str">
        <x:v>ADMITTED</x:v>
      </x:c>
      <x:c r="F608" s="55" t="n">
        <x:v>32871</x:v>
      </x:c>
      <x:c r="G608" s="55" t="n">
        <x:v>9527</x:v>
      </x:c>
      <x:c r="H608" s="55" t="n">
        <x:v>3353</x:v>
      </x:c>
      <x:c r="I608" s="55" t="n">
        <x:v>1411</x:v>
      </x:c>
      <x:c r="J608" s="55" t="n">
        <x:v>443</x:v>
      </x:c>
      <x:c r="K608" s="55" t="n">
        <x:v>31956</x:v>
      </x:c>
      <x:c r="L608" s="55" t="n">
        <x:v>6767</x:v>
      </x:c>
      <x:c r="M608" s="55" t="n">
        <x:v>2045</x:v>
      </x:c>
      <x:c r="N608" s="55" t="n">
        <x:v>2850</x:v>
      </x:c>
      <x:c r="O608" s="55" t="n">
        <x:v>1872</x:v>
      </x:c>
      <x:c r="P608" s="55" t="n">
        <x:v>1275</x:v>
      </x:c>
      <x:c r="Q608" s="55" t="n">
        <x:v>2994</x:v>
      </x:c>
      <x:c r="R608" s="55" t="n">
        <x:v>1967</x:v>
      </x:c>
      <x:c r="S608" s="55" t="n">
        <x:v>2800</x:v>
      </x:c>
      <x:c r="T608" s="55" t="n">
        <x:v>1316</x:v>
      </x:c>
      <x:c r="U608" s="55" t="n">
        <x:v>2275</x:v>
      </x:c>
      <x:c r="V608" s="55" t="n">
        <x:v>10675</x:v>
      </x:c>
      <x:c r="W608" s="55" t="n">
        <x:v>7876</x:v>
      </x:c>
      <x:c r="X608" s="55" t="n">
        <x:v>2799</x:v>
      </x:c>
      <x:c r="Y608" s="55" t="n">
        <x:v>2555</x:v>
      </x:c>
      <x:c r="Z608" s="55" t="n">
        <x:v>3665</x:v>
      </x:c>
      <x:c r="AA608" s="55" t="n">
        <x:v>3147</x:v>
      </x:c>
      <x:c r="AB608" s="55" t="n">
        <x:v>1012</x:v>
      </x:c>
      <x:c r="AC608" s="55" t="n">
        <x:v>8154</x:v>
      </x:c>
      <x:c r="AD608" s="55" t="n">
        <x:v>3657</x:v>
      </x:c>
      <x:c r="AE608" s="55" t="n">
        <x:v>10758</x:v>
      </x:c>
      <x:c r="AF608" s="55" t="n">
        <x:v>10675</x:v>
      </x:c>
      <x:c r="AG608" s="55" t="n">
        <x:v>83</x:v>
      </x:c>
      <x:c r="AH608" s="55" t="n">
        <x:v>538</x:v>
      </x:c>
      <x:c r="AI608" s="55" t="n">
        <x:v>10137</x:v>
      </x:c>
      <x:c r="AJ608" s="55" t="n">
        <x:v>428</x:v>
      </x:c>
      <x:c r="AK608" s="55" t="n">
        <x:v>1160</x:v>
      </x:c>
      <x:c r="AL608" s="55" t="n">
        <x:v>1743</x:v>
      </x:c>
      <x:c r="AM608" s="55" t="n">
        <x:v>5181</x:v>
      </x:c>
      <x:c r="AN608" s="55" t="n">
        <x:v>2146</x:v>
      </x:c>
      <x:c r="AO608" s="55" t="n">
        <x:v>17</x:v>
      </x:c>
      <x:c r="AP608" s="55" t="n">
        <x:v>2423</x:v>
      </x:c>
      <x:c r="AQ608" s="55" t="n">
        <x:v>978</x:v>
      </x:c>
    </x:row>
    <x:row r="609">
      <x:c r="A609" s="54" t="str">
        <x:v>T2_CONCORDANT_DOMAIN</x:v>
      </x:c>
      <x:c r="B609" s="54" t="n">
        <x:v>603</x:v>
      </x:c>
      <x:c r="C609" s="54" t="str">
        <x:v>NYC-V2-R01</x:v>
      </x:c>
      <x:c r="D609" s="54" t="str">
        <x:v>V2</x:v>
      </x:c>
      <x:c r="E609" s="54" t="str">
        <x:v>ADMITTED</x:v>
      </x:c>
      <x:c r="F609" s="55" t="n">
        <x:v>32824</x:v>
      </x:c>
      <x:c r="G609" s="55" t="n">
        <x:v>8915</x:v>
      </x:c>
      <x:c r="H609" s="55" t="n">
        <x:v>3623</x:v>
      </x:c>
      <x:c r="I609" s="55" t="n">
        <x:v>1591</x:v>
      </x:c>
      <x:c r="J609" s="55" t="n">
        <x:v>292</x:v>
      </x:c>
      <x:c r="K609" s="55" t="n">
        <x:v>30862</x:v>
      </x:c>
      <x:c r="L609" s="55" t="n">
        <x:v>6592</x:v>
      </x:c>
      <x:c r="M609" s="55" t="n">
        <x:v>1298</x:v>
      </x:c>
      <x:c r="N609" s="55" t="n">
        <x:v>3051</x:v>
      </x:c>
      <x:c r="O609" s="55" t="n">
        <x:v>2243</x:v>
      </x:c>
      <x:c r="P609" s="55" t="n">
        <x:v>1269</x:v>
      </x:c>
      <x:c r="Q609" s="55" t="n">
        <x:v>2813</x:v>
      </x:c>
      <x:c r="R609" s="55" t="n">
        <x:v>2203</x:v>
      </x:c>
      <x:c r="S609" s="55" t="n">
        <x:v>2904</x:v>
      </x:c>
      <x:c r="T609" s="55" t="n">
        <x:v>1606</x:v>
      </x:c>
      <x:c r="U609" s="55" t="n">
        <x:v>2202</x:v>
      </x:c>
      <x:c r="V609" s="55" t="n">
        <x:v>10630</x:v>
      </x:c>
      <x:c r="W609" s="55" t="n">
        <x:v>7232</x:v>
      </x:c>
      <x:c r="X609" s="55" t="n">
        <x:v>3398</x:v>
      </x:c>
      <x:c r="Y609" s="55" t="n">
        <x:v>2964</x:v>
      </x:c>
      <x:c r="Z609" s="55" t="n">
        <x:v>4115</x:v>
      </x:c>
      <x:c r="AA609" s="55" t="n">
        <x:v>2942</x:v>
      </x:c>
      <x:c r="AB609" s="55" t="n">
        <x:v>1247</x:v>
      </x:c>
      <x:c r="AC609" s="55" t="n">
        <x:v>8570</x:v>
      </x:c>
      <x:c r="AD609" s="55" t="n">
        <x:v>3598</x:v>
      </x:c>
      <x:c r="AE609" s="55" t="n">
        <x:v>10710</x:v>
      </x:c>
      <x:c r="AF609" s="55" t="n">
        <x:v>10630</x:v>
      </x:c>
      <x:c r="AG609" s="55" t="n">
        <x:v>80</x:v>
      </x:c>
      <x:c r="AH609" s="55" t="n">
        <x:v>460</x:v>
      </x:c>
      <x:c r="AI609" s="55" t="n">
        <x:v>10170</x:v>
      </x:c>
      <x:c r="AJ609" s="55" t="n">
        <x:v>405</x:v>
      </x:c>
      <x:c r="AK609" s="55" t="n">
        <x:v>729</x:v>
      </x:c>
      <x:c r="AL609" s="55" t="n">
        <x:v>1618</x:v>
      </x:c>
      <x:c r="AM609" s="55" t="n">
        <x:v>4933</x:v>
      </x:c>
      <x:c r="AN609" s="55" t="n">
        <x:v>2945</x:v>
      </x:c>
      <x:c r="AO609" s="55" t="n">
        <x:v>0</x:v>
      </x:c>
      <x:c r="AP609" s="55" t="n">
        <x:v>2500</x:v>
      </x:c>
      <x:c r="AQ609" s="55" t="n">
        <x:v>998</x:v>
      </x:c>
    </x:row>
    <x:row r="610">
      <x:c r="A610" s="54" t="str">
        <x:v>T2_CONCORDANT_DOMAIN</x:v>
      </x:c>
      <x:c r="B610" s="54" t="n">
        <x:v>604</x:v>
      </x:c>
      <x:c r="C610" s="54" t="str">
        <x:v>NYC-V2-R01</x:v>
      </x:c>
      <x:c r="D610" s="54" t="str">
        <x:v>V2</x:v>
      </x:c>
      <x:c r="E610" s="54" t="str">
        <x:v>ADMITTED</x:v>
      </x:c>
      <x:c r="F610" s="55" t="n">
        <x:v>32060</x:v>
      </x:c>
      <x:c r="G610" s="55" t="n">
        <x:v>9267</x:v>
      </x:c>
      <x:c r="H610" s="55" t="n">
        <x:v>3298</x:v>
      </x:c>
      <x:c r="I610" s="55" t="n">
        <x:v>1451</x:v>
      </x:c>
      <x:c r="J610" s="55" t="n">
        <x:v>300</x:v>
      </x:c>
      <x:c r="K610" s="55" t="n">
        <x:v>27663</x:v>
      </x:c>
      <x:c r="L610" s="55" t="n">
        <x:v>4986</x:v>
      </x:c>
      <x:c r="M610" s="55" t="n">
        <x:v>696</x:v>
      </x:c>
      <x:c r="N610" s="55" t="n">
        <x:v>2716</x:v>
      </x:c>
      <x:c r="O610" s="55" t="n">
        <x:v>1574</x:v>
      </x:c>
      <x:c r="P610" s="55" t="n">
        <x:v>828</x:v>
      </x:c>
      <x:c r="Q610" s="55" t="n">
        <x:v>2864</x:v>
      </x:c>
      <x:c r="R610" s="55" t="n">
        <x:v>1883</x:v>
      </x:c>
      <x:c r="S610" s="55" t="n">
        <x:v>2863</x:v>
      </x:c>
      <x:c r="T610" s="55" t="n">
        <x:v>1760</x:v>
      </x:c>
      <x:c r="U610" s="55" t="n">
        <x:v>2133</x:v>
      </x:c>
      <x:c r="V610" s="55" t="n">
        <x:v>10384</x:v>
      </x:c>
      <x:c r="W610" s="55" t="n">
        <x:v>7621</x:v>
      </x:c>
      <x:c r="X610" s="55" t="n">
        <x:v>2763</x:v>
      </x:c>
      <x:c r="Y610" s="55" t="n">
        <x:v>2383</x:v>
      </x:c>
      <x:c r="Z610" s="55" t="n">
        <x:v>3648</x:v>
      </x:c>
      <x:c r="AA610" s="55" t="n">
        <x:v>2986</x:v>
      </x:c>
      <x:c r="AB610" s="55" t="n">
        <x:v>1193</x:v>
      </x:c>
      <x:c r="AC610" s="55" t="n">
        <x:v>7809</x:v>
      </x:c>
      <x:c r="AD610" s="55" t="n">
        <x:v>2567</x:v>
      </x:c>
      <x:c r="AE610" s="55" t="n">
        <x:v>10475</x:v>
      </x:c>
      <x:c r="AF610" s="55" t="n">
        <x:v>10384</x:v>
      </x:c>
      <x:c r="AG610" s="55" t="n">
        <x:v>91</x:v>
      </x:c>
      <x:c r="AH610" s="55" t="n">
        <x:v>489</x:v>
      </x:c>
      <x:c r="AI610" s="55" t="n">
        <x:v>9895</x:v>
      </x:c>
      <x:c r="AJ610" s="55" t="n">
        <x:v>448</x:v>
      </x:c>
      <x:c r="AK610" s="55" t="n">
        <x:v>1049</x:v>
      </x:c>
      <x:c r="AL610" s="55" t="n">
        <x:v>1677</x:v>
      </x:c>
      <x:c r="AM610" s="55" t="n">
        <x:v>4940</x:v>
      </x:c>
      <x:c r="AN610" s="55" t="n">
        <x:v>2224</x:v>
      </x:c>
      <x:c r="AO610" s="55" t="n">
        <x:v>46</x:v>
      </x:c>
      <x:c r="AP610" s="55" t="n">
        <x:v>2507</x:v>
      </x:c>
      <x:c r="AQ610" s="55" t="n">
        <x:v>961</x:v>
      </x:c>
    </x:row>
    <x:row r="611">
      <x:c r="A611" s="54" t="str">
        <x:v>T2_CONCORDANT_DOMAIN</x:v>
      </x:c>
      <x:c r="B611" s="54" t="n">
        <x:v>605</x:v>
      </x:c>
      <x:c r="C611" s="54" t="str">
        <x:v>NYC-V2-R01</x:v>
      </x:c>
      <x:c r="D611" s="54" t="str">
        <x:v>V2</x:v>
      </x:c>
      <x:c r="E611" s="54" t="str">
        <x:v>ADMITTED</x:v>
      </x:c>
      <x:c r="F611" s="55" t="n">
        <x:v>31471</x:v>
      </x:c>
      <x:c r="G611" s="55" t="n">
        <x:v>6787</x:v>
      </x:c>
      <x:c r="H611" s="55" t="n">
        <x:v>2895</x:v>
      </x:c>
      <x:c r="I611" s="55" t="n">
        <x:v>919</x:v>
      </x:c>
      <x:c r="J611" s="55" t="n">
        <x:v>0</x:v>
      </x:c>
      <x:c r="K611" s="55" t="n">
        <x:v>31471</x:v>
      </x:c>
      <x:c r="L611" s="55" t="n">
        <x:v>5562</x:v>
      </x:c>
      <x:c r="M611" s="55" t="n">
        <x:v>899</x:v>
      </x:c>
      <x:c r="N611" s="55" t="n">
        <x:v>2819</x:v>
      </x:c>
      <x:c r="O611" s="55" t="n">
        <x:v>1844</x:v>
      </x:c>
      <x:c r="P611" s="55" t="n">
        <x:v>837</x:v>
      </x:c>
      <x:c r="Q611" s="55" t="n">
        <x:v>2356</x:v>
      </x:c>
      <x:c r="R611" s="55" t="n">
        <x:v>1744</x:v>
      </x:c>
      <x:c r="S611" s="55" t="n">
        <x:v>2863</x:v>
      </x:c>
      <x:c r="T611" s="55" t="n">
        <x:v>1000</x:v>
      </x:c>
      <x:c r="U611" s="55" t="n">
        <x:v>1862</x:v>
      </x:c>
      <x:c r="V611" s="55" t="n">
        <x:v>9542</x:v>
      </x:c>
      <x:c r="W611" s="55" t="n">
        <x:v>6625</x:v>
      </x:c>
      <x:c r="X611" s="55" t="n">
        <x:v>2917</x:v>
      </x:c>
      <x:c r="Y611" s="55" t="n">
        <x:v>2582</x:v>
      </x:c>
      <x:c r="Z611" s="55" t="n">
        <x:v>3944</x:v>
      </x:c>
      <x:c r="AA611" s="55" t="n">
        <x:v>2895</x:v>
      </x:c>
      <x:c r="AB611" s="55" t="n">
        <x:v>905</x:v>
      </x:c>
      <x:c r="AC611" s="55" t="n">
        <x:v>7841</x:v>
      </x:c>
      <x:c r="AD611" s="55" t="n">
        <x:v>3095</x:v>
      </x:c>
      <x:c r="AE611" s="55" t="n">
        <x:v>9548</x:v>
      </x:c>
      <x:c r="AF611" s="55" t="n">
        <x:v>9542</x:v>
      </x:c>
      <x:c r="AG611" s="55" t="n">
        <x:v>6</x:v>
      </x:c>
      <x:c r="AH611" s="55" t="n">
        <x:v>423</x:v>
      </x:c>
      <x:c r="AI611" s="55" t="n">
        <x:v>9119</x:v>
      </x:c>
      <x:c r="AJ611" s="55" t="n">
        <x:v>104</x:v>
      </x:c>
      <x:c r="AK611" s="55" t="n">
        <x:v>843</x:v>
      </x:c>
      <x:c r="AL611" s="55" t="n">
        <x:v>1176</x:v>
      </x:c>
      <x:c r="AM611" s="55" t="n">
        <x:v>5148</x:v>
      </x:c>
      <x:c r="AN611" s="55" t="n">
        <x:v>2271</x:v>
      </x:c>
      <x:c r="AO611" s="55" t="n">
        <x:v>0</x:v>
      </x:c>
      <x:c r="AP611" s="55" t="n">
        <x:v>1645</x:v>
      </x:c>
      <x:c r="AQ611" s="55" t="n">
        <x:v>903</x:v>
      </x:c>
    </x:row>
    <x:row r="612">
      <x:c r="A612" s="54" t="str">
        <x:v>T2_CONCORDANT_DOMAIN</x:v>
      </x:c>
      <x:c r="B612" s="54" t="n">
        <x:v>606</x:v>
      </x:c>
      <x:c r="C612" s="54" t="str">
        <x:v>NYC-V2-R01</x:v>
      </x:c>
      <x:c r="D612" s="54" t="str">
        <x:v>V2</x:v>
      </x:c>
      <x:c r="E612" s="54" t="str">
        <x:v>ADMITTED</x:v>
      </x:c>
      <x:c r="F612" s="55" t="n">
        <x:v>32029</x:v>
      </x:c>
      <x:c r="G612" s="55" t="n">
        <x:v>7408</x:v>
      </x:c>
      <x:c r="H612" s="55" t="n">
        <x:v>3295</x:v>
      </x:c>
      <x:c r="I612" s="55" t="n">
        <x:v>1229</x:v>
      </x:c>
      <x:c r="J612" s="55" t="n">
        <x:v>119</x:v>
      </x:c>
      <x:c r="K612" s="55" t="n">
        <x:v>32029</x:v>
      </x:c>
      <x:c r="L612" s="55" t="n">
        <x:v>6855</x:v>
      </x:c>
      <x:c r="M612" s="55" t="n">
        <x:v>2213</x:v>
      </x:c>
      <x:c r="N612" s="55" t="n">
        <x:v>2682</x:v>
      </x:c>
      <x:c r="O612" s="55" t="n">
        <x:v>1960</x:v>
      </x:c>
      <x:c r="P612" s="55" t="n">
        <x:v>893</x:v>
      </x:c>
      <x:c r="Q612" s="55" t="n">
        <x:v>2828</x:v>
      </x:c>
      <x:c r="R612" s="55" t="n">
        <x:v>1944</x:v>
      </x:c>
      <x:c r="S612" s="55" t="n">
        <x:v>2901</x:v>
      </x:c>
      <x:c r="T612" s="55" t="n">
        <x:v>1446</x:v>
      </x:c>
      <x:c r="U612" s="55" t="n">
        <x:v>1930</x:v>
      </x:c>
      <x:c r="V612" s="55" t="n">
        <x:v>10245</x:v>
      </x:c>
      <x:c r="W612" s="55" t="n">
        <x:v>7132</x:v>
      </x:c>
      <x:c r="X612" s="55" t="n">
        <x:v>3113</x:v>
      </x:c>
      <x:c r="Y612" s="55" t="n">
        <x:v>2651</x:v>
      </x:c>
      <x:c r="Z612" s="55" t="n">
        <x:v>3601</x:v>
      </x:c>
      <x:c r="AA612" s="55" t="n">
        <x:v>3295</x:v>
      </x:c>
      <x:c r="AB612" s="55" t="n">
        <x:v>1032</x:v>
      </x:c>
      <x:c r="AC612" s="55" t="n">
        <x:v>8039</x:v>
      </x:c>
      <x:c r="AD612" s="55" t="n">
        <x:v>3282</x:v>
      </x:c>
      <x:c r="AE612" s="55" t="n">
        <x:v>10295</x:v>
      </x:c>
      <x:c r="AF612" s="55" t="n">
        <x:v>10245</x:v>
      </x:c>
      <x:c r="AG612" s="55" t="n">
        <x:v>50</x:v>
      </x:c>
      <x:c r="AH612" s="55" t="n">
        <x:v>401</x:v>
      </x:c>
      <x:c r="AI612" s="55" t="n">
        <x:v>9844</x:v>
      </x:c>
      <x:c r="AJ612" s="55" t="n">
        <x:v>332</x:v>
      </x:c>
      <x:c r="AK612" s="55" t="n">
        <x:v>934</x:v>
      </x:c>
      <x:c r="AL612" s="55" t="n">
        <x:v>1566</x:v>
      </x:c>
      <x:c r="AM612" s="55" t="n">
        <x:v>4540</x:v>
      </x:c>
      <x:c r="AN612" s="55" t="n">
        <x:v>2873</x:v>
      </x:c>
      <x:c r="AO612" s="55" t="n">
        <x:v>0</x:v>
      </x:c>
      <x:c r="AP612" s="55" t="n">
        <x:v>1891</x:v>
      </x:c>
      <x:c r="AQ612" s="55" t="n">
        <x:v>967</x:v>
      </x:c>
    </x:row>
    <x:row r="613">
      <x:c r="A613" s="54" t="str">
        <x:v>T2_CONCORDANT_DOMAIN</x:v>
      </x:c>
      <x:c r="B613" s="54" t="n">
        <x:v>607</x:v>
      </x:c>
      <x:c r="C613" s="54" t="str">
        <x:v>NYC-V2-R01</x:v>
      </x:c>
      <x:c r="D613" s="54" t="str">
        <x:v>V2</x:v>
      </x:c>
      <x:c r="E613" s="54" t="str">
        <x:v>ADMITTED</x:v>
      </x:c>
      <x:c r="F613" s="55" t="n">
        <x:v>28508</x:v>
      </x:c>
      <x:c r="G613" s="55" t="n">
        <x:v>6507</x:v>
      </x:c>
      <x:c r="H613" s="55" t="n">
        <x:v>2520</x:v>
      </x:c>
      <x:c r="I613" s="55" t="n">
        <x:v>733</x:v>
      </x:c>
      <x:c r="J613" s="55" t="n">
        <x:v>163</x:v>
      </x:c>
      <x:c r="K613" s="55" t="n">
        <x:v>28508</x:v>
      </x:c>
      <x:c r="L613" s="55" t="n">
        <x:v>4392</x:v>
      </x:c>
      <x:c r="M613" s="55" t="n">
        <x:v>779</x:v>
      </x:c>
      <x:c r="N613" s="55" t="n">
        <x:v>2170</x:v>
      </x:c>
      <x:c r="O613" s="55" t="n">
        <x:v>1443</x:v>
      </x:c>
      <x:c r="P613" s="55" t="n">
        <x:v>1254</x:v>
      </x:c>
      <x:c r="Q613" s="55" t="n">
        <x:v>977</x:v>
      </x:c>
      <x:c r="R613" s="55" t="n">
        <x:v>1212</x:v>
      </x:c>
      <x:c r="S613" s="55" t="n">
        <x:v>2330</x:v>
      </x:c>
      <x:c r="T613" s="55" t="n">
        <x:v>1062</x:v>
      </x:c>
      <x:c r="U613" s="55" t="n">
        <x:v>2220</x:v>
      </x:c>
      <x:c r="V613" s="55" t="n">
        <x:v>10350</x:v>
      </x:c>
      <x:c r="W613" s="55" t="n">
        <x:v>7660</x:v>
      </x:c>
      <x:c r="X613" s="55" t="n">
        <x:v>2690</x:v>
      </x:c>
      <x:c r="Y613" s="55" t="n">
        <x:v>2291</x:v>
      </x:c>
      <x:c r="Z613" s="55" t="n">
        <x:v>3250</x:v>
      </x:c>
      <x:c r="AA613" s="55" t="n">
        <x:v>2520</x:v>
      </x:c>
      <x:c r="AB613" s="55" t="n">
        <x:v>715</x:v>
      </x:c>
      <x:c r="AC613" s="55" t="n">
        <x:v>7934</x:v>
      </x:c>
      <x:c r="AD613" s="55" t="n">
        <x:v>2085</x:v>
      </x:c>
      <x:c r="AE613" s="55" t="n">
        <x:v>10389</x:v>
      </x:c>
      <x:c r="AF613" s="55" t="n">
        <x:v>10350</x:v>
      </x:c>
      <x:c r="AG613" s="55" t="n">
        <x:v>39</x:v>
      </x:c>
      <x:c r="AH613" s="55" t="n">
        <x:v>405</x:v>
      </x:c>
      <x:c r="AI613" s="55" t="n">
        <x:v>9945</x:v>
      </x:c>
      <x:c r="AJ613" s="55" t="n">
        <x:v>391</x:v>
      </x:c>
      <x:c r="AK613" s="55" t="n">
        <x:v>814</x:v>
      </x:c>
      <x:c r="AL613" s="55" t="n">
        <x:v>1755</x:v>
      </x:c>
      <x:c r="AM613" s="55" t="n">
        <x:v>4679</x:v>
      </x:c>
      <x:c r="AN613" s="55" t="n">
        <x:v>2668</x:v>
      </x:c>
      <x:c r="AO613" s="55" t="n">
        <x:v>43</x:v>
      </x:c>
      <x:c r="AP613" s="55" t="n">
        <x:v>2307</x:v>
      </x:c>
      <x:c r="AQ613" s="55" t="n">
        <x:v>922</x:v>
      </x:c>
    </x:row>
    <x:row r="614">
      <x:c r="A614" s="54" t="str">
        <x:v>T2_CONCORDANT_DOMAIN</x:v>
      </x:c>
      <x:c r="B614" s="54" t="n">
        <x:v>608</x:v>
      </x:c>
      <x:c r="C614" s="54" t="str">
        <x:v>NYC-V2-R01</x:v>
      </x:c>
      <x:c r="D614" s="54" t="str">
        <x:v>V2</x:v>
      </x:c>
      <x:c r="E614" s="54" t="str">
        <x:v>ADMITTED</x:v>
      </x:c>
      <x:c r="F614" s="55" t="n">
        <x:v>31287</x:v>
      </x:c>
      <x:c r="G614" s="55" t="n">
        <x:v>7036</x:v>
      </x:c>
      <x:c r="H614" s="55" t="n">
        <x:v>3217</x:v>
      </x:c>
      <x:c r="I614" s="55" t="n">
        <x:v>770</x:v>
      </x:c>
      <x:c r="J614" s="55" t="n">
        <x:v>112</x:v>
      </x:c>
      <x:c r="K614" s="55" t="n">
        <x:v>31287</x:v>
      </x:c>
      <x:c r="L614" s="55" t="n">
        <x:v>6121</x:v>
      </x:c>
      <x:c r="M614" s="55" t="n">
        <x:v>1233</x:v>
      </x:c>
      <x:c r="N614" s="55" t="n">
        <x:v>2926</x:v>
      </x:c>
      <x:c r="O614" s="55" t="n">
        <x:v>1962</x:v>
      </x:c>
      <x:c r="P614" s="55" t="n">
        <x:v>1073</x:v>
      </x:c>
      <x:c r="Q614" s="55" t="n">
        <x:v>2110</x:v>
      </x:c>
      <x:c r="R614" s="55" t="n">
        <x:v>1900</x:v>
      </x:c>
      <x:c r="S614" s="55" t="n">
        <x:v>2354</x:v>
      </x:c>
      <x:c r="T614" s="55" t="n">
        <x:v>984</x:v>
      </x:c>
      <x:c r="U614" s="55" t="n">
        <x:v>2492</x:v>
      </x:c>
      <x:c r="V614" s="55" t="n">
        <x:v>10699</x:v>
      </x:c>
      <x:c r="W614" s="55" t="n">
        <x:v>7841</x:v>
      </x:c>
      <x:c r="X614" s="55" t="n">
        <x:v>2858</x:v>
      </x:c>
      <x:c r="Y614" s="55" t="n">
        <x:v>2507</x:v>
      </x:c>
      <x:c r="Z614" s="55" t="n">
        <x:v>3590</x:v>
      </x:c>
      <x:c r="AA614" s="55" t="n">
        <x:v>3217</x:v>
      </x:c>
      <x:c r="AB614" s="55" t="n">
        <x:v>1133</x:v>
      </x:c>
      <x:c r="AC614" s="55" t="n">
        <x:v>7926</x:v>
      </x:c>
      <x:c r="AD614" s="55" t="n">
        <x:v>3101</x:v>
      </x:c>
      <x:c r="AE614" s="55" t="n">
        <x:v>10796</x:v>
      </x:c>
      <x:c r="AF614" s="55" t="n">
        <x:v>10699</x:v>
      </x:c>
      <x:c r="AG614" s="55" t="n">
        <x:v>97</x:v>
      </x:c>
      <x:c r="AH614" s="55" t="n">
        <x:v>381</x:v>
      </x:c>
      <x:c r="AI614" s="55" t="n">
        <x:v>10318</x:v>
      </x:c>
      <x:c r="AJ614" s="55" t="n">
        <x:v>371</x:v>
      </x:c>
      <x:c r="AK614" s="55" t="n">
        <x:v>1075</x:v>
      </x:c>
      <x:c r="AL614" s="55" t="n">
        <x:v>1459</x:v>
      </x:c>
      <x:c r="AM614" s="55" t="n">
        <x:v>4978</x:v>
      </x:c>
      <x:c r="AN614" s="55" t="n">
        <x:v>2711</x:v>
      </x:c>
      <x:c r="AO614" s="55" t="n">
        <x:v>105</x:v>
      </x:c>
      <x:c r="AP614" s="55" t="n">
        <x:v>2993</x:v>
      </x:c>
      <x:c r="AQ614" s="55" t="n">
        <x:v>966</x:v>
      </x:c>
    </x:row>
    <x:row r="615">
      <x:c r="A615" s="54" t="str">
        <x:v>T2_CONCORDANT_DOMAIN</x:v>
      </x:c>
      <x:c r="B615" s="54" t="n">
        <x:v>609</x:v>
      </x:c>
      <x:c r="C615" s="54" t="str">
        <x:v>NYC-V2-R01</x:v>
      </x:c>
      <x:c r="D615" s="54" t="str">
        <x:v>V2</x:v>
      </x:c>
      <x:c r="E615" s="54" t="str">
        <x:v>ADMITTED</x:v>
      </x:c>
      <x:c r="F615" s="55" t="n">
        <x:v>31165</x:v>
      </x:c>
      <x:c r="G615" s="55" t="n">
        <x:v>8753</x:v>
      </x:c>
      <x:c r="H615" s="55" t="n">
        <x:v>3263</x:v>
      </x:c>
      <x:c r="I615" s="55" t="n">
        <x:v>1215</x:v>
      </x:c>
      <x:c r="J615" s="55" t="n">
        <x:v>267</x:v>
      </x:c>
      <x:c r="K615" s="55" t="n">
        <x:v>31165</x:v>
      </x:c>
      <x:c r="L615" s="55" t="n">
        <x:v>6683</x:v>
      </x:c>
      <x:c r="M615" s="55" t="n">
        <x:v>1867</x:v>
      </x:c>
      <x:c r="N615" s="55" t="n">
        <x:v>2854</x:v>
      </x:c>
      <x:c r="O615" s="55" t="n">
        <x:v>1962</x:v>
      </x:c>
      <x:c r="P615" s="55" t="n">
        <x:v>754</x:v>
      </x:c>
      <x:c r="Q615" s="55" t="n">
        <x:v>3122</x:v>
      </x:c>
      <x:c r="R615" s="55" t="n">
        <x:v>2351</x:v>
      </x:c>
      <x:c r="S615" s="55" t="n">
        <x:v>2246</x:v>
      </x:c>
      <x:c r="T615" s="55" t="n">
        <x:v>1307</x:v>
      </x:c>
      <x:c r="U615" s="55" t="n">
        <x:v>2260</x:v>
      </x:c>
      <x:c r="V615" s="55" t="n">
        <x:v>10373</x:v>
      </x:c>
      <x:c r="W615" s="55" t="n">
        <x:v>7383</x:v>
      </x:c>
      <x:c r="X615" s="55" t="n">
        <x:v>2990</x:v>
      </x:c>
      <x:c r="Y615" s="55" t="n">
        <x:v>2647</x:v>
      </x:c>
      <x:c r="Z615" s="55" t="n">
        <x:v>3983</x:v>
      </x:c>
      <x:c r="AA615" s="55" t="n">
        <x:v>3263</x:v>
      </x:c>
      <x:c r="AB615" s="55" t="n">
        <x:v>1265</x:v>
      </x:c>
      <x:c r="AC615" s="55" t="n">
        <x:v>8068</x:v>
      </x:c>
      <x:c r="AD615" s="55" t="n">
        <x:v>3194</x:v>
      </x:c>
      <x:c r="AE615" s="55" t="n">
        <x:v>10505</x:v>
      </x:c>
      <x:c r="AF615" s="55" t="n">
        <x:v>10373</x:v>
      </x:c>
      <x:c r="AG615" s="55" t="n">
        <x:v>132</x:v>
      </x:c>
      <x:c r="AH615" s="55" t="n">
        <x:v>577</x:v>
      </x:c>
      <x:c r="AI615" s="55" t="n">
        <x:v>9796</x:v>
      </x:c>
      <x:c r="AJ615" s="55" t="n">
        <x:v>330</x:v>
      </x:c>
      <x:c r="AK615" s="55" t="n">
        <x:v>771</x:v>
      </x:c>
      <x:c r="AL615" s="55" t="n">
        <x:v>1244</x:v>
      </x:c>
      <x:c r="AM615" s="55" t="n">
        <x:v>5078</x:v>
      </x:c>
      <x:c r="AN615" s="55" t="n">
        <x:v>2950</x:v>
      </x:c>
      <x:c r="AO615" s="55" t="n">
        <x:v>0</x:v>
      </x:c>
      <x:c r="AP615" s="55" t="n">
        <x:v>2254</x:v>
      </x:c>
      <x:c r="AQ615" s="55" t="n">
        <x:v>973</x:v>
      </x:c>
    </x:row>
    <x:row r="616">
      <x:c r="A616" s="54" t="str">
        <x:v>T2_CONCORDANT_DOMAIN</x:v>
      </x:c>
      <x:c r="B616" s="54" t="n">
        <x:v>610</x:v>
      </x:c>
      <x:c r="C616" s="54" t="str">
        <x:v>NYC-V2-R01</x:v>
      </x:c>
      <x:c r="D616" s="54" t="str">
        <x:v>V2</x:v>
      </x:c>
      <x:c r="E616" s="54" t="str">
        <x:v>ADMITTED</x:v>
      </x:c>
      <x:c r="F616" s="55" t="n">
        <x:v>29665</x:v>
      </x:c>
      <x:c r="G616" s="55" t="n">
        <x:v>7071</x:v>
      </x:c>
      <x:c r="H616" s="55" t="n">
        <x:v>3061</x:v>
      </x:c>
      <x:c r="I616" s="55" t="n">
        <x:v>1248</x:v>
      </x:c>
      <x:c r="J616" s="55" t="n">
        <x:v>13</x:v>
      </x:c>
      <x:c r="K616" s="55" t="n">
        <x:v>27899</x:v>
      </x:c>
      <x:c r="L616" s="55" t="n">
        <x:v>4353</x:v>
      </x:c>
      <x:c r="M616" s="55" t="n">
        <x:v>0</x:v>
      </x:c>
      <x:c r="N616" s="55" t="n">
        <x:v>2331</x:v>
      </x:c>
      <x:c r="O616" s="55" t="n">
        <x:v>2022</x:v>
      </x:c>
      <x:c r="P616" s="55" t="n">
        <x:v>546</x:v>
      </x:c>
      <x:c r="Q616" s="55" t="n">
        <x:v>2160</x:v>
      </x:c>
      <x:c r="R616" s="55" t="n">
        <x:v>1778</x:v>
      </x:c>
      <x:c r="S616" s="55" t="n">
        <x:v>2416</x:v>
      </x:c>
      <x:c r="T616" s="55" t="n">
        <x:v>1146</x:v>
      </x:c>
      <x:c r="U616" s="55" t="n">
        <x:v>1880</x:v>
      </x:c>
      <x:c r="V616" s="55" t="n">
        <x:v>10374</x:v>
      </x:c>
      <x:c r="W616" s="55" t="n">
        <x:v>7457</x:v>
      </x:c>
      <x:c r="X616" s="55" t="n">
        <x:v>2917</x:v>
      </x:c>
      <x:c r="Y616" s="55" t="n">
        <x:v>2357</x:v>
      </x:c>
      <x:c r="Z616" s="55" t="n">
        <x:v>3818</x:v>
      </x:c>
      <x:c r="AA616" s="55" t="n">
        <x:v>3061</x:v>
      </x:c>
      <x:c r="AB616" s="55" t="n">
        <x:v>1184</x:v>
      </x:c>
      <x:c r="AC616" s="55" t="n">
        <x:v>8352</x:v>
      </x:c>
      <x:c r="AD616" s="55" t="n">
        <x:v>3013</x:v>
      </x:c>
      <x:c r="AE616" s="55" t="n">
        <x:v>10459</x:v>
      </x:c>
      <x:c r="AF616" s="55" t="n">
        <x:v>10374</x:v>
      </x:c>
      <x:c r="AG616" s="55" t="n">
        <x:v>85</x:v>
      </x:c>
      <x:c r="AH616" s="55" t="n">
        <x:v>260</x:v>
      </x:c>
      <x:c r="AI616" s="55" t="n">
        <x:v>10114</x:v>
      </x:c>
      <x:c r="AJ616" s="55" t="n">
        <x:v>306</x:v>
      </x:c>
      <x:c r="AK616" s="55" t="n">
        <x:v>1164</x:v>
      </x:c>
      <x:c r="AL616" s="55" t="n">
        <x:v>1486</x:v>
      </x:c>
      <x:c r="AM616" s="55" t="n">
        <x:v>4781</x:v>
      </x:c>
      <x:c r="AN616" s="55" t="n">
        <x:v>2621</x:v>
      </x:c>
      <x:c r="AO616" s="55" t="n">
        <x:v>16</x:v>
      </x:c>
      <x:c r="AP616" s="55" t="n">
        <x:v>2349</x:v>
      </x:c>
      <x:c r="AQ616" s="55" t="n">
        <x:v>953</x:v>
      </x:c>
    </x:row>
    <x:row r="617">
      <x:c r="A617" s="54" t="str">
        <x:v>T2_CONCORDANT_DOMAIN</x:v>
      </x:c>
      <x:c r="B617" s="54" t="n">
        <x:v>611</x:v>
      </x:c>
      <x:c r="C617" s="54" t="str">
        <x:v>NYC-V2-R01</x:v>
      </x:c>
      <x:c r="D617" s="54" t="str">
        <x:v>V2</x:v>
      </x:c>
      <x:c r="E617" s="54" t="str">
        <x:v>ADMITTED</x:v>
      </x:c>
      <x:c r="F617" s="55" t="n">
        <x:v>31367</x:v>
      </x:c>
      <x:c r="G617" s="55" t="n">
        <x:v>7113</x:v>
      </x:c>
      <x:c r="H617" s="55" t="n">
        <x:v>3242</x:v>
      </x:c>
      <x:c r="I617" s="55" t="n">
        <x:v>1241</x:v>
      </x:c>
      <x:c r="J617" s="55" t="n">
        <x:v>147</x:v>
      </x:c>
      <x:c r="K617" s="55" t="n">
        <x:v>31367</x:v>
      </x:c>
      <x:c r="L617" s="55" t="n">
        <x:v>5372</x:v>
      </x:c>
      <x:c r="M617" s="55" t="n">
        <x:v>1260</x:v>
      </x:c>
      <x:c r="N617" s="55" t="n">
        <x:v>2656</x:v>
      </x:c>
      <x:c r="O617" s="55" t="n">
        <x:v>1456</x:v>
      </x:c>
      <x:c r="P617" s="55" t="n">
        <x:v>995</x:v>
      </x:c>
      <x:c r="Q617" s="55" t="n">
        <x:v>3268</x:v>
      </x:c>
      <x:c r="R617" s="55" t="n">
        <x:v>1548</x:v>
      </x:c>
      <x:c r="S617" s="55" t="n">
        <x:v>2581</x:v>
      </x:c>
      <x:c r="T617" s="55" t="n">
        <x:v>1241</x:v>
      </x:c>
      <x:c r="U617" s="55" t="n">
        <x:v>2032</x:v>
      </x:c>
      <x:c r="V617" s="55" t="n">
        <x:v>10557</x:v>
      </x:c>
      <x:c r="W617" s="55" t="n">
        <x:v>7543</x:v>
      </x:c>
      <x:c r="X617" s="55" t="n">
        <x:v>3014</x:v>
      </x:c>
      <x:c r="Y617" s="55" t="n">
        <x:v>2576</x:v>
      </x:c>
      <x:c r="Z617" s="55" t="n">
        <x:v>3751</x:v>
      </x:c>
      <x:c r="AA617" s="55" t="n">
        <x:v>2493</x:v>
      </x:c>
      <x:c r="AB617" s="55" t="n">
        <x:v>1056</x:v>
      </x:c>
      <x:c r="AC617" s="55" t="n">
        <x:v>7714</x:v>
      </x:c>
      <x:c r="AD617" s="55" t="n">
        <x:v>2283</x:v>
      </x:c>
      <x:c r="AE617" s="55" t="n">
        <x:v>10560</x:v>
      </x:c>
      <x:c r="AF617" s="55" t="n">
        <x:v>10557</x:v>
      </x:c>
      <x:c r="AG617" s="55" t="n">
        <x:v>3</x:v>
      </x:c>
      <x:c r="AH617" s="55" t="n">
        <x:v>473</x:v>
      </x:c>
      <x:c r="AI617" s="55" t="n">
        <x:v>10084</x:v>
      </x:c>
      <x:c r="AJ617" s="55" t="n">
        <x:v>230</x:v>
      </x:c>
      <x:c r="AK617" s="55" t="n">
        <x:v>770</x:v>
      </x:c>
      <x:c r="AL617" s="55" t="n">
        <x:v>1281</x:v>
      </x:c>
      <x:c r="AM617" s="55" t="n">
        <x:v>5000</x:v>
      </x:c>
      <x:c r="AN617" s="55" t="n">
        <x:v>3233</x:v>
      </x:c>
      <x:c r="AO617" s="55" t="n">
        <x:v>43</x:v>
      </x:c>
      <x:c r="AP617" s="55" t="n">
        <x:v>2162</x:v>
      </x:c>
      <x:c r="AQ617" s="55" t="n">
        <x:v>916</x:v>
      </x:c>
    </x:row>
    <x:row r="618">
      <x:c r="A618" s="54" t="str">
        <x:v>T2_CONCORDANT_DOMAIN</x:v>
      </x:c>
      <x:c r="B618" s="54" t="n">
        <x:v>612</x:v>
      </x:c>
      <x:c r="C618" s="54" t="str">
        <x:v>NYC-V2-R01</x:v>
      </x:c>
      <x:c r="D618" s="54" t="str">
        <x:v>V2</x:v>
      </x:c>
      <x:c r="E618" s="54" t="str">
        <x:v>ADMITTED</x:v>
      </x:c>
      <x:c r="F618" s="55" t="n">
        <x:v>31632</x:v>
      </x:c>
      <x:c r="G618" s="55" t="n">
        <x:v>8741</x:v>
      </x:c>
      <x:c r="H618" s="55" t="n">
        <x:v>3119</x:v>
      </x:c>
      <x:c r="I618" s="55" t="n">
        <x:v>915</x:v>
      </x:c>
      <x:c r="J618" s="55" t="n">
        <x:v>262</x:v>
      </x:c>
      <x:c r="K618" s="55" t="n">
        <x:v>30882</x:v>
      </x:c>
      <x:c r="L618" s="55" t="n">
        <x:v>5273</x:v>
      </x:c>
      <x:c r="M618" s="55" t="n">
        <x:v>1508</x:v>
      </x:c>
      <x:c r="N618" s="55" t="n">
        <x:v>2426</x:v>
      </x:c>
      <x:c r="O618" s="55" t="n">
        <x:v>1339</x:v>
      </x:c>
      <x:c r="P618" s="55" t="n">
        <x:v>781</x:v>
      </x:c>
      <x:c r="Q618" s="55" t="n">
        <x:v>2483</x:v>
      </x:c>
      <x:c r="R618" s="55" t="n">
        <x:v>1806</x:v>
      </x:c>
      <x:c r="S618" s="55" t="n">
        <x:v>1888</x:v>
      </x:c>
      <x:c r="T618" s="55" t="n">
        <x:v>1076</x:v>
      </x:c>
      <x:c r="U618" s="55" t="n">
        <x:v>1858</x:v>
      </x:c>
      <x:c r="V618" s="55" t="n">
        <x:v>10466</x:v>
      </x:c>
      <x:c r="W618" s="55" t="n">
        <x:v>7559</x:v>
      </x:c>
      <x:c r="X618" s="55" t="n">
        <x:v>2907</x:v>
      </x:c>
      <x:c r="Y618" s="55" t="n">
        <x:v>2588</x:v>
      </x:c>
      <x:c r="Z618" s="55" t="n">
        <x:v>3823</x:v>
      </x:c>
      <x:c r="AA618" s="55" t="n">
        <x:v>3119</x:v>
      </x:c>
      <x:c r="AB618" s="55" t="n">
        <x:v>1351</x:v>
      </x:c>
      <x:c r="AC618" s="55" t="n">
        <x:v>7812</x:v>
      </x:c>
      <x:c r="AD618" s="55" t="n">
        <x:v>2457</x:v>
      </x:c>
      <x:c r="AE618" s="55" t="n">
        <x:v>10529</x:v>
      </x:c>
      <x:c r="AF618" s="55" t="n">
        <x:v>10466</x:v>
      </x:c>
      <x:c r="AG618" s="55" t="n">
        <x:v>63</x:v>
      </x:c>
      <x:c r="AH618" s="55" t="n">
        <x:v>367</x:v>
      </x:c>
      <x:c r="AI618" s="55" t="n">
        <x:v>10099</x:v>
      </x:c>
      <x:c r="AJ618" s="55" t="n">
        <x:v>230</x:v>
      </x:c>
      <x:c r="AK618" s="55" t="n">
        <x:v>1003</x:v>
      </x:c>
      <x:c r="AL618" s="55" t="n">
        <x:v>1571</x:v>
      </x:c>
      <x:c r="AM618" s="55" t="n">
        <x:v>4584</x:v>
      </x:c>
      <x:c r="AN618" s="55" t="n">
        <x:v>3078</x:v>
      </x:c>
      <x:c r="AO618" s="55" t="n">
        <x:v>0</x:v>
      </x:c>
      <x:c r="AP618" s="55" t="n">
        <x:v>2261</x:v>
      </x:c>
      <x:c r="AQ618" s="55" t="n">
        <x:v>942</x:v>
      </x:c>
    </x:row>
    <x:row r="619">
      <x:c r="A619" s="54" t="str">
        <x:v>T2_CONCORDANT_DOMAIN</x:v>
      </x:c>
      <x:c r="B619" s="54" t="n">
        <x:v>613</x:v>
      </x:c>
      <x:c r="C619" s="54" t="str">
        <x:v>NYC-V2-R01</x:v>
      </x:c>
      <x:c r="D619" s="54" t="str">
        <x:v>V2</x:v>
      </x:c>
      <x:c r="E619" s="54" t="str">
        <x:v>ADMITTED</x:v>
      </x:c>
      <x:c r="F619" s="55" t="n">
        <x:v>30400</x:v>
      </x:c>
      <x:c r="G619" s="55" t="n">
        <x:v>7374</x:v>
      </x:c>
      <x:c r="H619" s="55" t="n">
        <x:v>3420</x:v>
      </x:c>
      <x:c r="I619" s="55" t="n">
        <x:v>1470</x:v>
      </x:c>
      <x:c r="J619" s="55" t="n">
        <x:v>218</x:v>
      </x:c>
      <x:c r="K619" s="55" t="n">
        <x:v>30164</x:v>
      </x:c>
      <x:c r="L619" s="55" t="n">
        <x:v>5013</x:v>
      </x:c>
      <x:c r="M619" s="55" t="n">
        <x:v>977</x:v>
      </x:c>
      <x:c r="N619" s="55" t="n">
        <x:v>2589</x:v>
      </x:c>
      <x:c r="O619" s="55" t="n">
        <x:v>1447</x:v>
      </x:c>
      <x:c r="P619" s="55" t="n">
        <x:v>816</x:v>
      </x:c>
      <x:c r="Q619" s="55" t="n">
        <x:v>749</x:v>
      </x:c>
      <x:c r="R619" s="55" t="n">
        <x:v>1666</x:v>
      </x:c>
      <x:c r="S619" s="55" t="n">
        <x:v>2695</x:v>
      </x:c>
      <x:c r="T619" s="55" t="n">
        <x:v>1422</x:v>
      </x:c>
      <x:c r="U619" s="55" t="n">
        <x:v>1642</x:v>
      </x:c>
      <x:c r="V619" s="55" t="n">
        <x:v>10049</x:v>
      </x:c>
      <x:c r="W619" s="55" t="n">
        <x:v>7047</x:v>
      </x:c>
      <x:c r="X619" s="55" t="n">
        <x:v>3002</x:v>
      </x:c>
      <x:c r="Y619" s="55" t="n">
        <x:v>2604</x:v>
      </x:c>
      <x:c r="Z619" s="55" t="n">
        <x:v>3364</x:v>
      </x:c>
      <x:c r="AA619" s="55" t="n">
        <x:v>2754</x:v>
      </x:c>
      <x:c r="AB619" s="55" t="n">
        <x:v>892</x:v>
      </x:c>
      <x:c r="AC619" s="55" t="n">
        <x:v>8053</x:v>
      </x:c>
      <x:c r="AD619" s="55" t="n">
        <x:v>2904</x:v>
      </x:c>
      <x:c r="AE619" s="55" t="n">
        <x:v>10050</x:v>
      </x:c>
      <x:c r="AF619" s="55" t="n">
        <x:v>10049</x:v>
      </x:c>
      <x:c r="AG619" s="55" t="n">
        <x:v>1</x:v>
      </x:c>
      <x:c r="AH619" s="55" t="n">
        <x:v>264</x:v>
      </x:c>
      <x:c r="AI619" s="55" t="n">
        <x:v>9785</x:v>
      </x:c>
      <x:c r="AJ619" s="55" t="n">
        <x:v>251</x:v>
      </x:c>
      <x:c r="AK619" s="55" t="n">
        <x:v>900</x:v>
      </x:c>
      <x:c r="AL619" s="55" t="n">
        <x:v>1757</x:v>
      </x:c>
      <x:c r="AM619" s="55" t="n">
        <x:v>4462</x:v>
      </x:c>
      <x:c r="AN619" s="55" t="n">
        <x:v>2679</x:v>
      </x:c>
      <x:c r="AO619" s="55" t="n">
        <x:v>0</x:v>
      </x:c>
      <x:c r="AP619" s="55" t="n">
        <x:v>2082</x:v>
      </x:c>
      <x:c r="AQ619" s="55" t="n">
        <x:v>941</x:v>
      </x:c>
    </x:row>
    <x:row r="620">
      <x:c r="A620" s="54" t="str">
        <x:v>T2_CONCORDANT_DOMAIN</x:v>
      </x:c>
      <x:c r="B620" s="54" t="n">
        <x:v>614</x:v>
      </x:c>
      <x:c r="C620" s="54" t="str">
        <x:v>NYC-V2-R01</x:v>
      </x:c>
      <x:c r="D620" s="54" t="str">
        <x:v>V2</x:v>
      </x:c>
      <x:c r="E620" s="54" t="str">
        <x:v>ADMITTED</x:v>
      </x:c>
      <x:c r="F620" s="55" t="n">
        <x:v>31082</x:v>
      </x:c>
      <x:c r="G620" s="55" t="n">
        <x:v>8194</x:v>
      </x:c>
      <x:c r="H620" s="55" t="n">
        <x:v>3282</x:v>
      </x:c>
      <x:c r="I620" s="55" t="n">
        <x:v>1492</x:v>
      </x:c>
      <x:c r="J620" s="55" t="n">
        <x:v>165</x:v>
      </x:c>
      <x:c r="K620" s="55" t="n">
        <x:v>29931</x:v>
      </x:c>
      <x:c r="L620" s="55" t="n">
        <x:v>6140</x:v>
      </x:c>
      <x:c r="M620" s="55" t="n">
        <x:v>1749</x:v>
      </x:c>
      <x:c r="N620" s="55" t="n">
        <x:v>2716</x:v>
      </x:c>
      <x:c r="O620" s="55" t="n">
        <x:v>1675</x:v>
      </x:c>
      <x:c r="P620" s="55" t="n">
        <x:v>687</x:v>
      </x:c>
      <x:c r="Q620" s="55" t="n">
        <x:v>2363</x:v>
      </x:c>
      <x:c r="R620" s="55" t="n">
        <x:v>2125</x:v>
      </x:c>
      <x:c r="S620" s="55" t="n">
        <x:v>3108</x:v>
      </x:c>
      <x:c r="T620" s="55" t="n">
        <x:v>1196</x:v>
      </x:c>
      <x:c r="U620" s="55" t="n">
        <x:v>2314</x:v>
      </x:c>
      <x:c r="V620" s="55" t="n">
        <x:v>10375</x:v>
      </x:c>
      <x:c r="W620" s="55" t="n">
        <x:v>7300</x:v>
      </x:c>
      <x:c r="X620" s="55" t="n">
        <x:v>3075</x:v>
      </x:c>
      <x:c r="Y620" s="55" t="n">
        <x:v>2753</x:v>
      </x:c>
      <x:c r="Z620" s="55" t="n">
        <x:v>3948</x:v>
      </x:c>
      <x:c r="AA620" s="55" t="n">
        <x:v>3282</x:v>
      </x:c>
      <x:c r="AB620" s="55" t="n">
        <x:v>1393</x:v>
      </x:c>
      <x:c r="AC620" s="55" t="n">
        <x:v>7960</x:v>
      </x:c>
      <x:c r="AD620" s="55" t="n">
        <x:v>2623</x:v>
      </x:c>
      <x:c r="AE620" s="55" t="n">
        <x:v>10421</x:v>
      </x:c>
      <x:c r="AF620" s="55" t="n">
        <x:v>10375</x:v>
      </x:c>
      <x:c r="AG620" s="55" t="n">
        <x:v>46</x:v>
      </x:c>
      <x:c r="AH620" s="55" t="n">
        <x:v>558</x:v>
      </x:c>
      <x:c r="AI620" s="55" t="n">
        <x:v>9817</x:v>
      </x:c>
      <x:c r="AJ620" s="55" t="n">
        <x:v>431</x:v>
      </x:c>
      <x:c r="AK620" s="55" t="n">
        <x:v>1104</x:v>
      </x:c>
      <x:c r="AL620" s="55" t="n">
        <x:v>1791</x:v>
      </x:c>
      <x:c r="AM620" s="55" t="n">
        <x:v>4713</x:v>
      </x:c>
      <x:c r="AN620" s="55" t="n">
        <x:v>2336</x:v>
      </x:c>
      <x:c r="AO620" s="55" t="n">
        <x:v>0</x:v>
      </x:c>
      <x:c r="AP620" s="55" t="n">
        <x:v>2837</x:v>
      </x:c>
      <x:c r="AQ620" s="55" t="n">
        <x:v>952</x:v>
      </x:c>
    </x:row>
    <x:row r="621">
      <x:c r="A621" s="54" t="str">
        <x:v>T2_CONCORDANT_DOMAIN</x:v>
      </x:c>
      <x:c r="B621" s="54" t="n">
        <x:v>615</x:v>
      </x:c>
      <x:c r="C621" s="54" t="str">
        <x:v>NYC-V2-R01</x:v>
      </x:c>
      <x:c r="D621" s="54" t="str">
        <x:v>V2</x:v>
      </x:c>
      <x:c r="E621" s="54" t="str">
        <x:v>ADMITTED</x:v>
      </x:c>
      <x:c r="F621" s="55" t="n">
        <x:v>30223</x:v>
      </x:c>
      <x:c r="G621" s="55" t="n">
        <x:v>7943</x:v>
      </x:c>
      <x:c r="H621" s="55" t="n">
        <x:v>3754</x:v>
      </x:c>
      <x:c r="I621" s="55" t="n">
        <x:v>1086</x:v>
      </x:c>
      <x:c r="J621" s="55" t="n">
        <x:v>164</x:v>
      </x:c>
      <x:c r="K621" s="55" t="n">
        <x:v>30223</x:v>
      </x:c>
      <x:c r="L621" s="55" t="n">
        <x:v>5607</x:v>
      </x:c>
      <x:c r="M621" s="55" t="n">
        <x:v>1975</x:v>
      </x:c>
      <x:c r="N621" s="55" t="n">
        <x:v>1868</x:v>
      </x:c>
      <x:c r="O621" s="55" t="n">
        <x:v>1764</x:v>
      </x:c>
      <x:c r="P621" s="55" t="n">
        <x:v>797</x:v>
      </x:c>
      <x:c r="Q621" s="55" t="n">
        <x:v>2953</x:v>
      </x:c>
      <x:c r="R621" s="55" t="n">
        <x:v>1840</x:v>
      </x:c>
      <x:c r="S621" s="55" t="n">
        <x:v>2817</x:v>
      </x:c>
      <x:c r="T621" s="55" t="n">
        <x:v>1296</x:v>
      </x:c>
      <x:c r="U621" s="55" t="n">
        <x:v>1677</x:v>
      </x:c>
      <x:c r="V621" s="55" t="n">
        <x:v>10286</x:v>
      </x:c>
      <x:c r="W621" s="55" t="n">
        <x:v>6683</x:v>
      </x:c>
      <x:c r="X621" s="55" t="n">
        <x:v>3603</x:v>
      </x:c>
      <x:c r="Y621" s="55" t="n">
        <x:v>3001</x:v>
      </x:c>
      <x:c r="Z621" s="55" t="n">
        <x:v>3795</x:v>
      </x:c>
      <x:c r="AA621" s="55" t="n">
        <x:v>3754</x:v>
      </x:c>
      <x:c r="AB621" s="55" t="n">
        <x:v>1186</x:v>
      </x:c>
      <x:c r="AC621" s="55" t="n">
        <x:v>8522</x:v>
      </x:c>
      <x:c r="AD621" s="55" t="n">
        <x:v>3197</x:v>
      </x:c>
      <x:c r="AE621" s="55" t="n">
        <x:v>10330</x:v>
      </x:c>
      <x:c r="AF621" s="55" t="n">
        <x:v>10286</x:v>
      </x:c>
      <x:c r="AG621" s="55" t="n">
        <x:v>44</x:v>
      </x:c>
      <x:c r="AH621" s="55" t="n">
        <x:v>355</x:v>
      </x:c>
      <x:c r="AI621" s="55" t="n">
        <x:v>9931</x:v>
      </x:c>
      <x:c r="AJ621" s="55" t="n">
        <x:v>444</x:v>
      </x:c>
      <x:c r="AK621" s="55" t="n">
        <x:v>783</x:v>
      </x:c>
      <x:c r="AL621" s="55" t="n">
        <x:v>1720</x:v>
      </x:c>
      <x:c r="AM621" s="55" t="n">
        <x:v>4496</x:v>
      </x:c>
      <x:c r="AN621" s="55" t="n">
        <x:v>2811</x:v>
      </x:c>
      <x:c r="AO621" s="55" t="n">
        <x:v>32</x:v>
      </x:c>
      <x:c r="AP621" s="55" t="n">
        <x:v>1938</x:v>
      </x:c>
      <x:c r="AQ621" s="55" t="n">
        <x:v>958</x:v>
      </x:c>
    </x:row>
    <x:row r="622">
      <x:c r="A622" s="54" t="str">
        <x:v>T2_CONCORDANT_DOMAIN</x:v>
      </x:c>
      <x:c r="B622" s="54" t="n">
        <x:v>616</x:v>
      </x:c>
      <x:c r="C622" s="54" t="str">
        <x:v>NYC-V2-R01</x:v>
      </x:c>
      <x:c r="D622" s="54" t="str">
        <x:v>V2</x:v>
      </x:c>
      <x:c r="E622" s="54" t="str">
        <x:v>ADMITTED</x:v>
      </x:c>
      <x:c r="F622" s="55" t="n">
        <x:v>29966</x:v>
      </x:c>
      <x:c r="G622" s="55" t="n">
        <x:v>7233</x:v>
      </x:c>
      <x:c r="H622" s="55" t="n">
        <x:v>3328</x:v>
      </x:c>
      <x:c r="I622" s="55" t="n">
        <x:v>1310</x:v>
      </x:c>
      <x:c r="J622" s="55" t="n">
        <x:v>238</x:v>
      </x:c>
      <x:c r="K622" s="55" t="n">
        <x:v>26827</x:v>
      </x:c>
      <x:c r="L622" s="55" t="n">
        <x:v>4035</x:v>
      </x:c>
      <x:c r="M622" s="55" t="n">
        <x:v>0</x:v>
      </x:c>
      <x:c r="N622" s="55" t="n">
        <x:v>2377</x:v>
      </x:c>
      <x:c r="O622" s="55" t="n">
        <x:v>1658</x:v>
      </x:c>
      <x:c r="P622" s="55" t="n">
        <x:v>1033</x:v>
      </x:c>
      <x:c r="Q622" s="55" t="n">
        <x:v>1825</x:v>
      </x:c>
      <x:c r="R622" s="55" t="n">
        <x:v>1847</x:v>
      </x:c>
      <x:c r="S622" s="55" t="n">
        <x:v>2473</x:v>
      </x:c>
      <x:c r="T622" s="55" t="n">
        <x:v>721</x:v>
      </x:c>
      <x:c r="U622" s="55" t="n">
        <x:v>1710</x:v>
      </x:c>
      <x:c r="V622" s="55" t="n">
        <x:v>10029</x:v>
      </x:c>
      <x:c r="W622" s="55" t="n">
        <x:v>7217</x:v>
      </x:c>
      <x:c r="X622" s="55" t="n">
        <x:v>2812</x:v>
      </x:c>
      <x:c r="Y622" s="55" t="n">
        <x:v>2354</x:v>
      </x:c>
      <x:c r="Z622" s="55" t="n">
        <x:v>3346</x:v>
      </x:c>
      <x:c r="AA622" s="55" t="n">
        <x:v>2630</x:v>
      </x:c>
      <x:c r="AB622" s="55" t="n">
        <x:v>831</x:v>
      </x:c>
      <x:c r="AC622" s="55" t="n">
        <x:v>8130</x:v>
      </x:c>
      <x:c r="AD622" s="55" t="n">
        <x:v>2888</x:v>
      </x:c>
      <x:c r="AE622" s="55" t="n">
        <x:v>10029</x:v>
      </x:c>
      <x:c r="AF622" s="55" t="n">
        <x:v>10029</x:v>
      </x:c>
      <x:c r="AG622" s="55" t="n">
        <x:v>0</x:v>
      </x:c>
      <x:c r="AH622" s="55" t="n">
        <x:v>209</x:v>
      </x:c>
      <x:c r="AI622" s="55" t="n">
        <x:v>9820</x:v>
      </x:c>
      <x:c r="AJ622" s="55" t="n">
        <x:v>191</x:v>
      </x:c>
      <x:c r="AK622" s="55" t="n">
        <x:v>811</x:v>
      </x:c>
      <x:c r="AL622" s="55" t="n">
        <x:v>1159</x:v>
      </x:c>
      <x:c r="AM622" s="55" t="n">
        <x:v>5170</x:v>
      </x:c>
      <x:c r="AN622" s="55" t="n">
        <x:v>2698</x:v>
      </x:c>
      <x:c r="AO622" s="55" t="n">
        <x:v>0</x:v>
      </x:c>
      <x:c r="AP622" s="55" t="n">
        <x:v>2222</x:v>
      </x:c>
      <x:c r="AQ622" s="55" t="n">
        <x:v>947</x:v>
      </x:c>
    </x:row>
    <x:row r="623">
      <x:c r="A623" s="54" t="str">
        <x:v>T2_CONCORDANT_DOMAIN</x:v>
      </x:c>
      <x:c r="B623" s="54" t="n">
        <x:v>617</x:v>
      </x:c>
      <x:c r="C623" s="54" t="str">
        <x:v>NYC-V2-R01</x:v>
      </x:c>
      <x:c r="D623" s="54" t="str">
        <x:v>V2</x:v>
      </x:c>
      <x:c r="E623" s="54" t="str">
        <x:v>ADMITTED</x:v>
      </x:c>
      <x:c r="F623" s="55" t="n">
        <x:v>30472</x:v>
      </x:c>
      <x:c r="G623" s="55" t="n">
        <x:v>8351</x:v>
      </x:c>
      <x:c r="H623" s="55" t="n">
        <x:v>3604</x:v>
      </x:c>
      <x:c r="I623" s="55" t="n">
        <x:v>1212</x:v>
      </x:c>
      <x:c r="J623" s="55" t="n">
        <x:v>94</x:v>
      </x:c>
      <x:c r="K623" s="55" t="n">
        <x:v>30472</x:v>
      </x:c>
      <x:c r="L623" s="55" t="n">
        <x:v>5661</x:v>
      </x:c>
      <x:c r="M623" s="55" t="n">
        <x:v>1595</x:v>
      </x:c>
      <x:c r="N623" s="55" t="n">
        <x:v>2627</x:v>
      </x:c>
      <x:c r="O623" s="55" t="n">
        <x:v>1439</x:v>
      </x:c>
      <x:c r="P623" s="55" t="n">
        <x:v>529</x:v>
      </x:c>
      <x:c r="Q623" s="55" t="n">
        <x:v>2027</x:v>
      </x:c>
      <x:c r="R623" s="55" t="n">
        <x:v>1331</x:v>
      </x:c>
      <x:c r="S623" s="55" t="n">
        <x:v>2175</x:v>
      </x:c>
      <x:c r="T623" s="55" t="n">
        <x:v>1246</x:v>
      </x:c>
      <x:c r="U623" s="55" t="n">
        <x:v>1944</x:v>
      </x:c>
      <x:c r="V623" s="55" t="n">
        <x:v>10456</x:v>
      </x:c>
      <x:c r="W623" s="55" t="n">
        <x:v>7248</x:v>
      </x:c>
      <x:c r="X623" s="55" t="n">
        <x:v>3208</x:v>
      </x:c>
      <x:c r="Y623" s="55" t="n">
        <x:v>2824</x:v>
      </x:c>
      <x:c r="Z623" s="55" t="n">
        <x:v>3918</x:v>
      </x:c>
      <x:c r="AA623" s="55" t="n">
        <x:v>3604</x:v>
      </x:c>
      <x:c r="AB623" s="55" t="n">
        <x:v>1275</x:v>
      </x:c>
      <x:c r="AC623" s="55" t="n">
        <x:v>7738</x:v>
      </x:c>
      <x:c r="AD623" s="55" t="n">
        <x:v>2809</x:v>
      </x:c>
      <x:c r="AE623" s="55" t="n">
        <x:v>10534</x:v>
      </x:c>
      <x:c r="AF623" s="55" t="n">
        <x:v>10456</x:v>
      </x:c>
      <x:c r="AG623" s="55" t="n">
        <x:v>78</x:v>
      </x:c>
      <x:c r="AH623" s="55" t="n">
        <x:v>325</x:v>
      </x:c>
      <x:c r="AI623" s="55" t="n">
        <x:v>10131</x:v>
      </x:c>
      <x:c r="AJ623" s="55" t="n">
        <x:v>445</x:v>
      </x:c>
      <x:c r="AK623" s="55" t="n">
        <x:v>1475</x:v>
      </x:c>
      <x:c r="AL623" s="55" t="n">
        <x:v>1606</x:v>
      </x:c>
      <x:c r="AM623" s="55" t="n">
        <x:v>4959</x:v>
      </x:c>
      <x:c r="AN623" s="55" t="n">
        <x:v>1971</x:v>
      </x:c>
      <x:c r="AO623" s="55" t="n">
        <x:v>0</x:v>
      </x:c>
      <x:c r="AP623" s="55" t="n">
        <x:v>2586</x:v>
      </x:c>
      <x:c r="AQ623" s="55" t="n">
        <x:v>976</x:v>
      </x:c>
    </x:row>
    <x:row r="624">
      <x:c r="A624" s="54" t="str">
        <x:v>T2_CONCORDANT_DOMAIN</x:v>
      </x:c>
      <x:c r="B624" s="54" t="n">
        <x:v>618</x:v>
      </x:c>
      <x:c r="C624" s="54" t="str">
        <x:v>NYC-V2-R01</x:v>
      </x:c>
      <x:c r="D624" s="54" t="str">
        <x:v>V2</x:v>
      </x:c>
      <x:c r="E624" s="54" t="str">
        <x:v>ADMITTED</x:v>
      </x:c>
      <x:c r="F624" s="55" t="n">
        <x:v>32273</x:v>
      </x:c>
      <x:c r="G624" s="55" t="n">
        <x:v>7609</x:v>
      </x:c>
      <x:c r="H624" s="55" t="n">
        <x:v>3546</x:v>
      </x:c>
      <x:c r="I624" s="55" t="n">
        <x:v>1551</x:v>
      </x:c>
      <x:c r="J624" s="55" t="n">
        <x:v>323</x:v>
      </x:c>
      <x:c r="K624" s="55" t="n">
        <x:v>32151</x:v>
      </x:c>
      <x:c r="L624" s="55" t="n">
        <x:v>7438</x:v>
      </x:c>
      <x:c r="M624" s="55" t="n">
        <x:v>1920</x:v>
      </x:c>
      <x:c r="N624" s="55" t="n">
        <x:v>3499</x:v>
      </x:c>
      <x:c r="O624" s="55" t="n">
        <x:v>2019</x:v>
      </x:c>
      <x:c r="P624" s="55" t="n">
        <x:v>1212</x:v>
      </x:c>
      <x:c r="Q624" s="55" t="n">
        <x:v>3088</x:v>
      </x:c>
      <x:c r="R624" s="55" t="n">
        <x:v>2476</x:v>
      </x:c>
      <x:c r="S624" s="55" t="n">
        <x:v>3887</x:v>
      </x:c>
      <x:c r="T624" s="55" t="n">
        <x:v>1531</x:v>
      </x:c>
      <x:c r="U624" s="55" t="n">
        <x:v>2518</x:v>
      </x:c>
      <x:c r="V624" s="55" t="n">
        <x:v>10828</x:v>
      </x:c>
      <x:c r="W624" s="55" t="n">
        <x:v>7337</x:v>
      </x:c>
      <x:c r="X624" s="55" t="n">
        <x:v>3491</x:v>
      </x:c>
      <x:c r="Y624" s="55" t="n">
        <x:v>3091</x:v>
      </x:c>
      <x:c r="Z624" s="55" t="n">
        <x:v>4092</x:v>
      </x:c>
      <x:c r="AA624" s="55" t="n">
        <x:v>3455</x:v>
      </x:c>
      <x:c r="AB624" s="55" t="n">
        <x:v>1346</x:v>
      </x:c>
      <x:c r="AC624" s="55" t="n">
        <x:v>8432</x:v>
      </x:c>
      <x:c r="AD624" s="55" t="n">
        <x:v>3262</x:v>
      </x:c>
      <x:c r="AE624" s="55" t="n">
        <x:v>10972</x:v>
      </x:c>
      <x:c r="AF624" s="55" t="n">
        <x:v>10828</x:v>
      </x:c>
      <x:c r="AG624" s="55" t="n">
        <x:v>144</x:v>
      </x:c>
      <x:c r="AH624" s="55" t="n">
        <x:v>527</x:v>
      </x:c>
      <x:c r="AI624" s="55" t="n">
        <x:v>10301</x:v>
      </x:c>
      <x:c r="AJ624" s="55" t="n">
        <x:v>480</x:v>
      </x:c>
      <x:c r="AK624" s="55" t="n">
        <x:v>1261</x:v>
      </x:c>
      <x:c r="AL624" s="55" t="n">
        <x:v>1540</x:v>
      </x:c>
      <x:c r="AM624" s="55" t="n">
        <x:v>4954</x:v>
      </x:c>
      <x:c r="AN624" s="55" t="n">
        <x:v>2517</x:v>
      </x:c>
      <x:c r="AO624" s="55" t="n">
        <x:v>76</x:v>
      </x:c>
      <x:c r="AP624" s="55" t="n">
        <x:v>3055</x:v>
      </x:c>
      <x:c r="AQ624" s="55" t="n">
        <x:v>952</x:v>
      </x:c>
    </x:row>
    <x:row r="625">
      <x:c r="A625" s="54" t="str">
        <x:v>T2_CONCORDANT_DOMAIN</x:v>
      </x:c>
      <x:c r="B625" s="54" t="n">
        <x:v>619</x:v>
      </x:c>
      <x:c r="C625" s="54" t="str">
        <x:v>NYC-V2-R01</x:v>
      </x:c>
      <x:c r="D625" s="54" t="str">
        <x:v>V2</x:v>
      </x:c>
      <x:c r="E625" s="54" t="str">
        <x:v>ADMITTED</x:v>
      </x:c>
      <x:c r="F625" s="55" t="n">
        <x:v>30451</x:v>
      </x:c>
      <x:c r="G625" s="55" t="n">
        <x:v>8324</x:v>
      </x:c>
      <x:c r="H625" s="55" t="n">
        <x:v>2709</x:v>
      </x:c>
      <x:c r="I625" s="55" t="n">
        <x:v>664</x:v>
      </x:c>
      <x:c r="J625" s="55" t="n">
        <x:v>69</x:v>
      </x:c>
      <x:c r="K625" s="55" t="n">
        <x:v>30184</x:v>
      </x:c>
      <x:c r="L625" s="55" t="n">
        <x:v>6548</x:v>
      </x:c>
      <x:c r="M625" s="55" t="n">
        <x:v>1664</x:v>
      </x:c>
      <x:c r="N625" s="55" t="n">
        <x:v>2987</x:v>
      </x:c>
      <x:c r="O625" s="55" t="n">
        <x:v>1897</x:v>
      </x:c>
      <x:c r="P625" s="55" t="n">
        <x:v>776</x:v>
      </x:c>
      <x:c r="Q625" s="55" t="n">
        <x:v>1730</x:v>
      </x:c>
      <x:c r="R625" s="55" t="n">
        <x:v>1814</x:v>
      </x:c>
      <x:c r="S625" s="55" t="n">
        <x:v>3689</x:v>
      </x:c>
      <x:c r="T625" s="55" t="n">
        <x:v>988</x:v>
      </x:c>
      <x:c r="U625" s="55" t="n">
        <x:v>2033</x:v>
      </x:c>
      <x:c r="V625" s="55" t="n">
        <x:v>10013</x:v>
      </x:c>
      <x:c r="W625" s="55" t="n">
        <x:v>7020</x:v>
      </x:c>
      <x:c r="X625" s="55" t="n">
        <x:v>2993</x:v>
      </x:c>
      <x:c r="Y625" s="55" t="n">
        <x:v>2488</x:v>
      </x:c>
      <x:c r="Z625" s="55" t="n">
        <x:v>3324</x:v>
      </x:c>
      <x:c r="AA625" s="55" t="n">
        <x:v>2709</x:v>
      </x:c>
      <x:c r="AB625" s="55" t="n">
        <x:v>956</x:v>
      </x:c>
      <x:c r="AC625" s="55" t="n">
        <x:v>8105</x:v>
      </x:c>
      <x:c r="AD625" s="55" t="n">
        <x:v>2633</x:v>
      </x:c>
      <x:c r="AE625" s="55" t="n">
        <x:v>10080</x:v>
      </x:c>
      <x:c r="AF625" s="55" t="n">
        <x:v>10013</x:v>
      </x:c>
      <x:c r="AG625" s="55" t="n">
        <x:v>67</x:v>
      </x:c>
      <x:c r="AH625" s="55" t="n">
        <x:v>536</x:v>
      </x:c>
      <x:c r="AI625" s="55" t="n">
        <x:v>9477</x:v>
      </x:c>
      <x:c r="AJ625" s="55" t="n">
        <x:v>220</x:v>
      </x:c>
      <x:c r="AK625" s="55" t="n">
        <x:v>1050</x:v>
      </x:c>
      <x:c r="AL625" s="55" t="n">
        <x:v>1460</x:v>
      </x:c>
      <x:c r="AM625" s="55" t="n">
        <x:v>4719</x:v>
      </x:c>
      <x:c r="AN625" s="55" t="n">
        <x:v>2518</x:v>
      </x:c>
      <x:c r="AO625" s="55" t="n">
        <x:v>46</x:v>
      </x:c>
      <x:c r="AP625" s="55" t="n">
        <x:v>2189</x:v>
      </x:c>
      <x:c r="AQ625" s="55" t="n">
        <x:v>958</x:v>
      </x:c>
    </x:row>
    <x:row r="626">
      <x:c r="A626" s="54" t="str">
        <x:v>T2_CONCORDANT_DOMAIN</x:v>
      </x:c>
      <x:c r="B626" s="54" t="n">
        <x:v>620</x:v>
      </x:c>
      <x:c r="C626" s="54" t="str">
        <x:v>NYC-V2-R01</x:v>
      </x:c>
      <x:c r="D626" s="54" t="str">
        <x:v>V2</x:v>
      </x:c>
      <x:c r="E626" s="54" t="str">
        <x:v>ADMITTED</x:v>
      </x:c>
      <x:c r="F626" s="55" t="n">
        <x:v>33302</x:v>
      </x:c>
      <x:c r="G626" s="55" t="n">
        <x:v>7493</x:v>
      </x:c>
      <x:c r="H626" s="55" t="n">
        <x:v>3552</x:v>
      </x:c>
      <x:c r="I626" s="55" t="n">
        <x:v>1731</x:v>
      </x:c>
      <x:c r="J626" s="55" t="n">
        <x:v>221</x:v>
      </x:c>
      <x:c r="K626" s="55" t="n">
        <x:v>33302</x:v>
      </x:c>
      <x:c r="L626" s="55" t="n">
        <x:v>6536</x:v>
      </x:c>
      <x:c r="M626" s="55" t="n">
        <x:v>1870</x:v>
      </x:c>
      <x:c r="N626" s="55" t="n">
        <x:v>2735</x:v>
      </x:c>
      <x:c r="O626" s="55" t="n">
        <x:v>1931</x:v>
      </x:c>
      <x:c r="P626" s="55" t="n">
        <x:v>895</x:v>
      </x:c>
      <x:c r="Q626" s="55" t="n">
        <x:v>2317</x:v>
      </x:c>
      <x:c r="R626" s="55" t="n">
        <x:v>2012</x:v>
      </x:c>
      <x:c r="S626" s="55" t="n">
        <x:v>3314</x:v>
      </x:c>
      <x:c r="T626" s="55" t="n">
        <x:v>1449</x:v>
      </x:c>
      <x:c r="U626" s="55" t="n">
        <x:v>2324</x:v>
      </x:c>
      <x:c r="V626" s="55" t="n">
        <x:v>10644</x:v>
      </x:c>
      <x:c r="W626" s="55" t="n">
        <x:v>7202</x:v>
      </x:c>
      <x:c r="X626" s="55" t="n">
        <x:v>3442</x:v>
      </x:c>
      <x:c r="Y626" s="55" t="n">
        <x:v>3049</x:v>
      </x:c>
      <x:c r="Z626" s="55" t="n">
        <x:v>3543</x:v>
      </x:c>
      <x:c r="AA626" s="55" t="n">
        <x:v>3259</x:v>
      </x:c>
      <x:c r="AB626" s="55" t="n">
        <x:v>1190</x:v>
      </x:c>
      <x:c r="AC626" s="55" t="n">
        <x:v>8440</x:v>
      </x:c>
      <x:c r="AD626" s="55" t="n">
        <x:v>3394</x:v>
      </x:c>
      <x:c r="AE626" s="55" t="n">
        <x:v>10720</x:v>
      </x:c>
      <x:c r="AF626" s="55" t="n">
        <x:v>10644</x:v>
      </x:c>
      <x:c r="AG626" s="55" t="n">
        <x:v>76</x:v>
      </x:c>
      <x:c r="AH626" s="55" t="n">
        <x:v>432</x:v>
      </x:c>
      <x:c r="AI626" s="55" t="n">
        <x:v>10212</x:v>
      </x:c>
      <x:c r="AJ626" s="55" t="n">
        <x:v>225</x:v>
      </x:c>
      <x:c r="AK626" s="55" t="n">
        <x:v>1043</x:v>
      </x:c>
      <x:c r="AL626" s="55" t="n">
        <x:v>1468</x:v>
      </x:c>
      <x:c r="AM626" s="55" t="n">
        <x:v>5052</x:v>
      </x:c>
      <x:c r="AN626" s="55" t="n">
        <x:v>2761</x:v>
      </x:c>
      <x:c r="AO626" s="55" t="n">
        <x:v>95</x:v>
      </x:c>
      <x:c r="AP626" s="55" t="n">
        <x:v>1937</x:v>
      </x:c>
      <x:c r="AQ626" s="55" t="n">
        <x:v>958</x:v>
      </x:c>
    </x:row>
    <x:row r="627">
      <x:c r="A627" s="54" t="str">
        <x:v>T2_CONCORDANT_DOMAIN</x:v>
      </x:c>
      <x:c r="B627" s="54" t="n">
        <x:v>621</x:v>
      </x:c>
      <x:c r="C627" s="54" t="str">
        <x:v>NYC-V2-R01</x:v>
      </x:c>
      <x:c r="D627" s="54" t="str">
        <x:v>V2</x:v>
      </x:c>
      <x:c r="E627" s="54" t="str">
        <x:v>ADMITTED</x:v>
      </x:c>
      <x:c r="F627" s="55" t="n">
        <x:v>30611</x:v>
      </x:c>
      <x:c r="G627" s="55" t="n">
        <x:v>7607</x:v>
      </x:c>
      <x:c r="H627" s="55" t="n">
        <x:v>3047</x:v>
      </x:c>
      <x:c r="I627" s="55" t="n">
        <x:v>809</x:v>
      </x:c>
      <x:c r="J627" s="55" t="n">
        <x:v>40</x:v>
      </x:c>
      <x:c r="K627" s="55" t="n">
        <x:v>28649</x:v>
      </x:c>
      <x:c r="L627" s="55" t="n">
        <x:v>4481</x:v>
      </x:c>
      <x:c r="M627" s="55" t="n">
        <x:v>863</x:v>
      </x:c>
      <x:c r="N627" s="55" t="n">
        <x:v>2067</x:v>
      </x:c>
      <x:c r="O627" s="55" t="n">
        <x:v>1551</x:v>
      </x:c>
      <x:c r="P627" s="55" t="n">
        <x:v>777</x:v>
      </x:c>
      <x:c r="Q627" s="55" t="n">
        <x:v>2409</x:v>
      </x:c>
      <x:c r="R627" s="55" t="n">
        <x:v>1695</x:v>
      </x:c>
      <x:c r="S627" s="55" t="n">
        <x:v>1370</x:v>
      </x:c>
      <x:c r="T627" s="55" t="n">
        <x:v>872</x:v>
      </x:c>
      <x:c r="U627" s="55" t="n">
        <x:v>1552</x:v>
      </x:c>
      <x:c r="V627" s="55" t="n">
        <x:v>10365</x:v>
      </x:c>
      <x:c r="W627" s="55" t="n">
        <x:v>7198</x:v>
      </x:c>
      <x:c r="X627" s="55" t="n">
        <x:v>3167</x:v>
      </x:c>
      <x:c r="Y627" s="55" t="n">
        <x:v>2710</x:v>
      </x:c>
      <x:c r="Z627" s="55" t="n">
        <x:v>3659</x:v>
      </x:c>
      <x:c r="AA627" s="55" t="n">
        <x:v>2653</x:v>
      </x:c>
      <x:c r="AB627" s="55" t="n">
        <x:v>818</x:v>
      </x:c>
      <x:c r="AC627" s="55" t="n">
        <x:v>7779</x:v>
      </x:c>
      <x:c r="AD627" s="55" t="n">
        <x:v>3221</x:v>
      </x:c>
      <x:c r="AE627" s="55" t="n">
        <x:v>10451</x:v>
      </x:c>
      <x:c r="AF627" s="55" t="n">
        <x:v>10365</x:v>
      </x:c>
      <x:c r="AG627" s="55" t="n">
        <x:v>86</x:v>
      </x:c>
      <x:c r="AH627" s="55" t="n">
        <x:v>418</x:v>
      </x:c>
      <x:c r="AI627" s="55" t="n">
        <x:v>9947</x:v>
      </x:c>
      <x:c r="AJ627" s="55" t="n">
        <x:v>386</x:v>
      </x:c>
      <x:c r="AK627" s="55" t="n">
        <x:v>966</x:v>
      </x:c>
      <x:c r="AL627" s="55" t="n">
        <x:v>1693</x:v>
      </x:c>
      <x:c r="AM627" s="55" t="n">
        <x:v>4775</x:v>
      </x:c>
      <x:c r="AN627" s="55" t="n">
        <x:v>2501</x:v>
      </x:c>
      <x:c r="AO627" s="55" t="n">
        <x:v>44</x:v>
      </x:c>
      <x:c r="AP627" s="55" t="n">
        <x:v>2117</x:v>
      </x:c>
      <x:c r="AQ627" s="55" t="n">
        <x:v>921</x:v>
      </x:c>
    </x:row>
    <x:row r="628">
      <x:c r="A628" s="54" t="str">
        <x:v>T2_CONCORDANT_DOMAIN</x:v>
      </x:c>
      <x:c r="B628" s="54" t="n">
        <x:v>622</x:v>
      </x:c>
      <x:c r="C628" s="54" t="str">
        <x:v>NYC-V2-R01</x:v>
      </x:c>
      <x:c r="D628" s="54" t="str">
        <x:v>V2</x:v>
      </x:c>
      <x:c r="E628" s="54" t="str">
        <x:v>ADMITTED</x:v>
      </x:c>
      <x:c r="F628" s="55" t="n">
        <x:v>32006</x:v>
      </x:c>
      <x:c r="G628" s="55" t="n">
        <x:v>8016</x:v>
      </x:c>
      <x:c r="H628" s="55" t="n">
        <x:v>3505</x:v>
      </x:c>
      <x:c r="I628" s="55" t="n">
        <x:v>1565</x:v>
      </x:c>
      <x:c r="J628" s="55" t="n">
        <x:v>374</x:v>
      </x:c>
      <x:c r="K628" s="55" t="n">
        <x:v>30876</x:v>
      </x:c>
      <x:c r="L628" s="55" t="n">
        <x:v>6330</x:v>
      </x:c>
      <x:c r="M628" s="55" t="n">
        <x:v>2199</x:v>
      </x:c>
      <x:c r="N628" s="55" t="n">
        <x:v>2431</x:v>
      </x:c>
      <x:c r="O628" s="55" t="n">
        <x:v>1700</x:v>
      </x:c>
      <x:c r="P628" s="55" t="n">
        <x:v>885</x:v>
      </x:c>
      <x:c r="Q628" s="55" t="n">
        <x:v>1791</x:v>
      </x:c>
      <x:c r="R628" s="55" t="n">
        <x:v>2113</x:v>
      </x:c>
      <x:c r="S628" s="55" t="n">
        <x:v>2657</x:v>
      </x:c>
      <x:c r="T628" s="55" t="n">
        <x:v>1302</x:v>
      </x:c>
      <x:c r="U628" s="55" t="n">
        <x:v>1869</x:v>
      </x:c>
      <x:c r="V628" s="55" t="n">
        <x:v>10220</x:v>
      </x:c>
      <x:c r="W628" s="55" t="n">
        <x:v>7447</x:v>
      </x:c>
      <x:c r="X628" s="55" t="n">
        <x:v>2773</x:v>
      </x:c>
      <x:c r="Y628" s="55" t="n">
        <x:v>2290</x:v>
      </x:c>
      <x:c r="Z628" s="55" t="n">
        <x:v>3443</x:v>
      </x:c>
      <x:c r="AA628" s="55" t="n">
        <x:v>2765</x:v>
      </x:c>
      <x:c r="AB628" s="55" t="n">
        <x:v>1035</x:v>
      </x:c>
      <x:c r="AC628" s="55" t="n">
        <x:v>7817</x:v>
      </x:c>
      <x:c r="AD628" s="55" t="n">
        <x:v>2373</x:v>
      </x:c>
      <x:c r="AE628" s="55" t="n">
        <x:v>10255</x:v>
      </x:c>
      <x:c r="AF628" s="55" t="n">
        <x:v>10220</x:v>
      </x:c>
      <x:c r="AG628" s="55" t="n">
        <x:v>35</x:v>
      </x:c>
      <x:c r="AH628" s="55" t="n">
        <x:v>350</x:v>
      </x:c>
      <x:c r="AI628" s="55" t="n">
        <x:v>9870</x:v>
      </x:c>
      <x:c r="AJ628" s="55" t="n">
        <x:v>183</x:v>
      </x:c>
      <x:c r="AK628" s="55" t="n">
        <x:v>664</x:v>
      </x:c>
      <x:c r="AL628" s="55" t="n">
        <x:v>1438</x:v>
      </x:c>
      <x:c r="AM628" s="55" t="n">
        <x:v>5332</x:v>
      </x:c>
      <x:c r="AN628" s="55" t="n">
        <x:v>2571</x:v>
      </x:c>
      <x:c r="AO628" s="55" t="n">
        <x:v>32</x:v>
      </x:c>
      <x:c r="AP628" s="55" t="n">
        <x:v>2165</x:v>
      </x:c>
      <x:c r="AQ628" s="55" t="n">
        <x:v>980</x:v>
      </x:c>
    </x:row>
    <x:row r="629">
      <x:c r="A629" s="54" t="str">
        <x:v>T2_CONCORDANT_DOMAIN</x:v>
      </x:c>
      <x:c r="B629" s="54" t="n">
        <x:v>623</x:v>
      </x:c>
      <x:c r="C629" s="54" t="str">
        <x:v>NYC-V2-R01</x:v>
      </x:c>
      <x:c r="D629" s="54" t="str">
        <x:v>V2</x:v>
      </x:c>
      <x:c r="E629" s="54" t="str">
        <x:v>ADMITTED</x:v>
      </x:c>
      <x:c r="F629" s="55" t="n">
        <x:v>32042</x:v>
      </x:c>
      <x:c r="G629" s="55" t="n">
        <x:v>8001</x:v>
      </x:c>
      <x:c r="H629" s="55" t="n">
        <x:v>3548</x:v>
      </x:c>
      <x:c r="I629" s="55" t="n">
        <x:v>1594</x:v>
      </x:c>
      <x:c r="J629" s="55" t="n">
        <x:v>342</x:v>
      </x:c>
      <x:c r="K629" s="55" t="n">
        <x:v>32042</x:v>
      </x:c>
      <x:c r="L629" s="55" t="n">
        <x:v>6665</x:v>
      </x:c>
      <x:c r="M629" s="55" t="n">
        <x:v>1795</x:v>
      </x:c>
      <x:c r="N629" s="55" t="n">
        <x:v>3022</x:v>
      </x:c>
      <x:c r="O629" s="55" t="n">
        <x:v>1848</x:v>
      </x:c>
      <x:c r="P629" s="55" t="n">
        <x:v>581</x:v>
      </x:c>
      <x:c r="Q629" s="55" t="n">
        <x:v>3861</x:v>
      </x:c>
      <x:c r="R629" s="55" t="n">
        <x:v>2168</x:v>
      </x:c>
      <x:c r="S629" s="55" t="n">
        <x:v>3325</x:v>
      </x:c>
      <x:c r="T629" s="55" t="n">
        <x:v>1100</x:v>
      </x:c>
      <x:c r="U629" s="55" t="n">
        <x:v>2577</x:v>
      </x:c>
      <x:c r="V629" s="55" t="n">
        <x:v>10597</x:v>
      </x:c>
      <x:c r="W629" s="55" t="n">
        <x:v>7505</x:v>
      </x:c>
      <x:c r="X629" s="55" t="n">
        <x:v>3092</x:v>
      </x:c>
      <x:c r="Y629" s="55" t="n">
        <x:v>2745</x:v>
      </x:c>
      <x:c r="Z629" s="55" t="n">
        <x:v>3309</x:v>
      </x:c>
      <x:c r="AA629" s="55" t="n">
        <x:v>3109</x:v>
      </x:c>
      <x:c r="AB629" s="55" t="n">
        <x:v>1131</x:v>
      </x:c>
      <x:c r="AC629" s="55" t="n">
        <x:v>8218</x:v>
      </x:c>
      <x:c r="AD629" s="55" t="n">
        <x:v>2948</x:v>
      </x:c>
      <x:c r="AE629" s="55" t="n">
        <x:v>10698</x:v>
      </x:c>
      <x:c r="AF629" s="55" t="n">
        <x:v>10597</x:v>
      </x:c>
      <x:c r="AG629" s="55" t="n">
        <x:v>101</x:v>
      </x:c>
      <x:c r="AH629" s="55" t="n">
        <x:v>353</x:v>
      </x:c>
      <x:c r="AI629" s="55" t="n">
        <x:v>10244</x:v>
      </x:c>
      <x:c r="AJ629" s="55" t="n">
        <x:v>435</x:v>
      </x:c>
      <x:c r="AK629" s="55" t="n">
        <x:v>1121</x:v>
      </x:c>
      <x:c r="AL629" s="55" t="n">
        <x:v>1649</x:v>
      </x:c>
      <x:c r="AM629" s="55" t="n">
        <x:v>4975</x:v>
      </x:c>
      <x:c r="AN629" s="55" t="n">
        <x:v>2351</x:v>
      </x:c>
      <x:c r="AO629" s="55" t="n">
        <x:v>66</x:v>
      </x:c>
      <x:c r="AP629" s="55" t="n">
        <x:v>2435</x:v>
      </x:c>
      <x:c r="AQ629" s="55" t="n">
        <x:v>975</x:v>
      </x:c>
    </x:row>
    <x:row r="630">
      <x:c r="A630" s="54" t="str">
        <x:v>T2_CONCORDANT_DOMAIN</x:v>
      </x:c>
      <x:c r="B630" s="54" t="n">
        <x:v>624</x:v>
      </x:c>
      <x:c r="C630" s="54" t="str">
        <x:v>NYC-V2-R01</x:v>
      </x:c>
      <x:c r="D630" s="54" t="str">
        <x:v>V2</x:v>
      </x:c>
      <x:c r="E630" s="54" t="str">
        <x:v>ADMITTED</x:v>
      </x:c>
      <x:c r="F630" s="55" t="n">
        <x:v>32300</x:v>
      </x:c>
      <x:c r="G630" s="55" t="n">
        <x:v>8287</x:v>
      </x:c>
      <x:c r="H630" s="55" t="n">
        <x:v>3411</x:v>
      </x:c>
      <x:c r="I630" s="55" t="n">
        <x:v>1551</x:v>
      </x:c>
      <x:c r="J630" s="55" t="n">
        <x:v>145</x:v>
      </x:c>
      <x:c r="K630" s="55" t="n">
        <x:v>32300</x:v>
      </x:c>
      <x:c r="L630" s="55" t="n">
        <x:v>6493</x:v>
      </x:c>
      <x:c r="M630" s="55" t="n">
        <x:v>2439</x:v>
      </x:c>
      <x:c r="N630" s="55" t="n">
        <x:v>2544</x:v>
      </x:c>
      <x:c r="O630" s="55" t="n">
        <x:v>1510</x:v>
      </x:c>
      <x:c r="P630" s="55" t="n">
        <x:v>811</x:v>
      </x:c>
      <x:c r="Q630" s="55" t="n">
        <x:v>2495</x:v>
      </x:c>
      <x:c r="R630" s="55" t="n">
        <x:v>1756</x:v>
      </x:c>
      <x:c r="S630" s="55" t="n">
        <x:v>2729</x:v>
      </x:c>
      <x:c r="T630" s="55" t="n">
        <x:v>1195</x:v>
      </x:c>
      <x:c r="U630" s="55" t="n">
        <x:v>1731</x:v>
      </x:c>
      <x:c r="V630" s="55" t="n">
        <x:v>10845</x:v>
      </x:c>
      <x:c r="W630" s="55" t="n">
        <x:v>8237</x:v>
      </x:c>
      <x:c r="X630" s="55" t="n">
        <x:v>2608</x:v>
      </x:c>
      <x:c r="Y630" s="55" t="n">
        <x:v>2291</x:v>
      </x:c>
      <x:c r="Z630" s="55" t="n">
        <x:v>3611</x:v>
      </x:c>
      <x:c r="AA630" s="55" t="n">
        <x:v>2716</x:v>
      </x:c>
      <x:c r="AB630" s="55" t="n">
        <x:v>940</x:v>
      </x:c>
      <x:c r="AC630" s="55" t="n">
        <x:v>7829</x:v>
      </x:c>
      <x:c r="AD630" s="55" t="n">
        <x:v>2666</x:v>
      </x:c>
      <x:c r="AE630" s="55" t="n">
        <x:v>10990</x:v>
      </x:c>
      <x:c r="AF630" s="55" t="n">
        <x:v>10845</x:v>
      </x:c>
      <x:c r="AG630" s="55" t="n">
        <x:v>145</x:v>
      </x:c>
      <x:c r="AH630" s="55" t="n">
        <x:v>587</x:v>
      </x:c>
      <x:c r="AI630" s="55" t="n">
        <x:v>10258</x:v>
      </x:c>
      <x:c r="AJ630" s="55" t="n">
        <x:v>566</x:v>
      </x:c>
      <x:c r="AK630" s="55" t="n">
        <x:v>1349</x:v>
      </x:c>
      <x:c r="AL630" s="55" t="n">
        <x:v>1729</x:v>
      </x:c>
      <x:c r="AM630" s="55" t="n">
        <x:v>4716</x:v>
      </x:c>
      <x:c r="AN630" s="55" t="n">
        <x:v>2432</x:v>
      </x:c>
      <x:c r="AO630" s="55" t="n">
        <x:v>53</x:v>
      </x:c>
      <x:c r="AP630" s="55" t="n">
        <x:v>2453</x:v>
      </x:c>
      <x:c r="AQ630" s="55" t="n">
        <x:v>976</x:v>
      </x:c>
    </x:row>
    <x:row r="631">
      <x:c r="A631" s="54" t="str">
        <x:v>T2_CONCORDANT_DOMAIN</x:v>
      </x:c>
      <x:c r="B631" s="54" t="n">
        <x:v>625</x:v>
      </x:c>
      <x:c r="C631" s="54" t="str">
        <x:v>NYC-V2-R01</x:v>
      </x:c>
      <x:c r="D631" s="54" t="str">
        <x:v>V2</x:v>
      </x:c>
      <x:c r="E631" s="54" t="str">
        <x:v>ADMITTED</x:v>
      </x:c>
      <x:c r="F631" s="55" t="n">
        <x:v>31024</x:v>
      </x:c>
      <x:c r="G631" s="55" t="n">
        <x:v>8227</x:v>
      </x:c>
      <x:c r="H631" s="55" t="n">
        <x:v>3401</x:v>
      </x:c>
      <x:c r="I631" s="55" t="n">
        <x:v>1370</x:v>
      </x:c>
      <x:c r="J631" s="55" t="n">
        <x:v>348</x:v>
      </x:c>
      <x:c r="K631" s="55" t="n">
        <x:v>30823</x:v>
      </x:c>
      <x:c r="L631" s="55" t="n">
        <x:v>6158</x:v>
      </x:c>
      <x:c r="M631" s="55" t="n">
        <x:v>1532</x:v>
      </x:c>
      <x:c r="N631" s="55" t="n">
        <x:v>2641</x:v>
      </x:c>
      <x:c r="O631" s="55" t="n">
        <x:v>1985</x:v>
      </x:c>
      <x:c r="P631" s="55" t="n">
        <x:v>1083</x:v>
      </x:c>
      <x:c r="Q631" s="55" t="n">
        <x:v>2616</x:v>
      </x:c>
      <x:c r="R631" s="55" t="n">
        <x:v>2175</x:v>
      </x:c>
      <x:c r="S631" s="55" t="n">
        <x:v>2746</x:v>
      </x:c>
      <x:c r="T631" s="55" t="n">
        <x:v>1407</x:v>
      </x:c>
      <x:c r="U631" s="55" t="n">
        <x:v>2194</x:v>
      </x:c>
      <x:c r="V631" s="55" t="n">
        <x:v>10253</x:v>
      </x:c>
      <x:c r="W631" s="55" t="n">
        <x:v>6796</x:v>
      </x:c>
      <x:c r="X631" s="55" t="n">
        <x:v>3457</x:v>
      </x:c>
      <x:c r="Y631" s="55" t="n">
        <x:v>2872</x:v>
      </x:c>
      <x:c r="Z631" s="55" t="n">
        <x:v>4158</x:v>
      </x:c>
      <x:c r="AA631" s="55" t="n">
        <x:v>3235</x:v>
      </x:c>
      <x:c r="AB631" s="55" t="n">
        <x:v>1020</x:v>
      </x:c>
      <x:c r="AC631" s="55" t="n">
        <x:v>8387</x:v>
      </x:c>
      <x:c r="AD631" s="55" t="n">
        <x:v>3407</x:v>
      </x:c>
      <x:c r="AE631" s="55" t="n">
        <x:v>10323</x:v>
      </x:c>
      <x:c r="AF631" s="55" t="n">
        <x:v>10253</x:v>
      </x:c>
      <x:c r="AG631" s="55" t="n">
        <x:v>70</x:v>
      </x:c>
      <x:c r="AH631" s="55" t="n">
        <x:v>517</x:v>
      </x:c>
      <x:c r="AI631" s="55" t="n">
        <x:v>9736</x:v>
      </x:c>
      <x:c r="AJ631" s="55" t="n">
        <x:v>230</x:v>
      </x:c>
      <x:c r="AK631" s="55" t="n">
        <x:v>970</x:v>
      </x:c>
      <x:c r="AL631" s="55" t="n">
        <x:v>1494</x:v>
      </x:c>
      <x:c r="AM631" s="55" t="n">
        <x:v>5122</x:v>
      </x:c>
      <x:c r="AN631" s="55" t="n">
        <x:v>2437</x:v>
      </x:c>
      <x:c r="AO631" s="55" t="n">
        <x:v>0</x:v>
      </x:c>
      <x:c r="AP631" s="55" t="n">
        <x:v>2701</x:v>
      </x:c>
      <x:c r="AQ631" s="55" t="n">
        <x:v>948</x:v>
      </x:c>
    </x:row>
    <x:row r="632">
      <x:c r="A632" s="54" t="str">
        <x:v>T2_CONCORDANT_DOMAIN</x:v>
      </x:c>
      <x:c r="B632" s="54" t="n">
        <x:v>626</x:v>
      </x:c>
      <x:c r="C632" s="54" t="str">
        <x:v>NYC-V2-R01</x:v>
      </x:c>
      <x:c r="D632" s="54" t="str">
        <x:v>V2</x:v>
      </x:c>
      <x:c r="E632" s="54" t="str">
        <x:v>ADMITTED</x:v>
      </x:c>
      <x:c r="F632" s="55" t="n">
        <x:v>31470</x:v>
      </x:c>
      <x:c r="G632" s="55" t="n">
        <x:v>8058</x:v>
      </x:c>
      <x:c r="H632" s="55" t="n">
        <x:v>3055</x:v>
      </x:c>
      <x:c r="I632" s="55" t="n">
        <x:v>1089</x:v>
      </x:c>
      <x:c r="J632" s="55" t="n">
        <x:v>37</x:v>
      </x:c>
      <x:c r="K632" s="55" t="n">
        <x:v>29318</x:v>
      </x:c>
      <x:c r="L632" s="55" t="n">
        <x:v>6253</x:v>
      </x:c>
      <x:c r="M632" s="55" t="n">
        <x:v>1499</x:v>
      </x:c>
      <x:c r="N632" s="55" t="n">
        <x:v>2988</x:v>
      </x:c>
      <x:c r="O632" s="55" t="n">
        <x:v>1766</x:v>
      </x:c>
      <x:c r="P632" s="55" t="n">
        <x:v>808</x:v>
      </x:c>
      <x:c r="Q632" s="55" t="n">
        <x:v>2045</x:v>
      </x:c>
      <x:c r="R632" s="55" t="n">
        <x:v>2277</x:v>
      </x:c>
      <x:c r="S632" s="55" t="n">
        <x:v>2676</x:v>
      </x:c>
      <x:c r="T632" s="55" t="n">
        <x:v>1370</x:v>
      </x:c>
      <x:c r="U632" s="55" t="n">
        <x:v>1959</x:v>
      </x:c>
      <x:c r="V632" s="55" t="n">
        <x:v>10385</x:v>
      </x:c>
      <x:c r="W632" s="55" t="n">
        <x:v>7177</x:v>
      </x:c>
      <x:c r="X632" s="55" t="n">
        <x:v>3208</x:v>
      </x:c>
      <x:c r="Y632" s="55" t="n">
        <x:v>2821</x:v>
      </x:c>
      <x:c r="Z632" s="55" t="n">
        <x:v>3814</x:v>
      </x:c>
      <x:c r="AA632" s="55" t="n">
        <x:v>2920</x:v>
      </x:c>
      <x:c r="AB632" s="55" t="n">
        <x:v>1409</x:v>
      </x:c>
      <x:c r="AC632" s="55" t="n">
        <x:v>7578</x:v>
      </x:c>
      <x:c r="AD632" s="55" t="n">
        <x:v>2722</x:v>
      </x:c>
      <x:c r="AE632" s="55" t="n">
        <x:v>10537</x:v>
      </x:c>
      <x:c r="AF632" s="55" t="n">
        <x:v>10385</x:v>
      </x:c>
      <x:c r="AG632" s="55" t="n">
        <x:v>152</x:v>
      </x:c>
      <x:c r="AH632" s="55" t="n">
        <x:v>405</x:v>
      </x:c>
      <x:c r="AI632" s="55" t="n">
        <x:v>9980</x:v>
      </x:c>
      <x:c r="AJ632" s="55" t="n">
        <x:v>204</x:v>
      </x:c>
      <x:c r="AK632" s="55" t="n">
        <x:v>998</x:v>
      </x:c>
      <x:c r="AL632" s="55" t="n">
        <x:v>1447</x:v>
      </x:c>
      <x:c r="AM632" s="55" t="n">
        <x:v>5176</x:v>
      </x:c>
      <x:c r="AN632" s="55" t="n">
        <x:v>2512</x:v>
      </x:c>
      <x:c r="AO632" s="55" t="n">
        <x:v>48</x:v>
      </x:c>
      <x:c r="AP632" s="55" t="n">
        <x:v>2375</x:v>
      </x:c>
      <x:c r="AQ632" s="55" t="n">
        <x:v>936</x:v>
      </x:c>
    </x:row>
    <x:row r="633">
      <x:c r="A633" s="54" t="str">
        <x:v>T2_CONCORDANT_DOMAIN</x:v>
      </x:c>
      <x:c r="B633" s="54" t="n">
        <x:v>627</x:v>
      </x:c>
      <x:c r="C633" s="54" t="str">
        <x:v>NYC-V2-R01</x:v>
      </x:c>
      <x:c r="D633" s="54" t="str">
        <x:v>V2</x:v>
      </x:c>
      <x:c r="E633" s="54" t="str">
        <x:v>ADMITTED</x:v>
      </x:c>
      <x:c r="F633" s="55" t="n">
        <x:v>30769</x:v>
      </x:c>
      <x:c r="G633" s="55" t="n">
        <x:v>7671</x:v>
      </x:c>
      <x:c r="H633" s="55" t="n">
        <x:v>3693</x:v>
      </x:c>
      <x:c r="I633" s="55" t="n">
        <x:v>1167</x:v>
      </x:c>
      <x:c r="J633" s="55" t="n">
        <x:v>119</x:v>
      </x:c>
      <x:c r="K633" s="55" t="n">
        <x:v>29933</x:v>
      </x:c>
      <x:c r="L633" s="55" t="n">
        <x:v>4140</x:v>
      </x:c>
      <x:c r="M633" s="55" t="n">
        <x:v>0</x:v>
      </x:c>
      <x:c r="N633" s="55" t="n">
        <x:v>2486</x:v>
      </x:c>
      <x:c r="O633" s="55" t="n">
        <x:v>1654</x:v>
      </x:c>
      <x:c r="P633" s="55" t="n">
        <x:v>816</x:v>
      </x:c>
      <x:c r="Q633" s="55" t="n">
        <x:v>2432</x:v>
      </x:c>
      <x:c r="R633" s="55" t="n">
        <x:v>1640</x:v>
      </x:c>
      <x:c r="S633" s="55" t="n">
        <x:v>2518</x:v>
      </x:c>
      <x:c r="T633" s="55" t="n">
        <x:v>1720</x:v>
      </x:c>
      <x:c r="U633" s="55" t="n">
        <x:v>1811</x:v>
      </x:c>
      <x:c r="V633" s="55" t="n">
        <x:v>10192</x:v>
      </x:c>
      <x:c r="W633" s="55" t="n">
        <x:v>6993</x:v>
      </x:c>
      <x:c r="X633" s="55" t="n">
        <x:v>3199</x:v>
      </x:c>
      <x:c r="Y633" s="55" t="n">
        <x:v>2823</x:v>
      </x:c>
      <x:c r="Z633" s="55" t="n">
        <x:v>3857</x:v>
      </x:c>
      <x:c r="AA633" s="55" t="n">
        <x:v>3693</x:v>
      </x:c>
      <x:c r="AB633" s="55" t="n">
        <x:v>1423</x:v>
      </x:c>
      <x:c r="AC633" s="55" t="n">
        <x:v>7943</x:v>
      </x:c>
      <x:c r="AD633" s="55" t="n">
        <x:v>3107</x:v>
      </x:c>
      <x:c r="AE633" s="55" t="n">
        <x:v>10235</x:v>
      </x:c>
      <x:c r="AF633" s="55" t="n">
        <x:v>10192</x:v>
      </x:c>
      <x:c r="AG633" s="55" t="n">
        <x:v>43</x:v>
      </x:c>
      <x:c r="AH633" s="55" t="n">
        <x:v>374</x:v>
      </x:c>
      <x:c r="AI633" s="55" t="n">
        <x:v>9818</x:v>
      </x:c>
      <x:c r="AJ633" s="55" t="n">
        <x:v>374</x:v>
      </x:c>
      <x:c r="AK633" s="55" t="n">
        <x:v>1102</x:v>
      </x:c>
      <x:c r="AL633" s="55" t="n">
        <x:v>1415</x:v>
      </x:c>
      <x:c r="AM633" s="55" t="n">
        <x:v>4653</x:v>
      </x:c>
      <x:c r="AN633" s="55" t="n">
        <x:v>2648</x:v>
      </x:c>
      <x:c r="AO633" s="55" t="n">
        <x:v>0</x:v>
      </x:c>
      <x:c r="AP633" s="55" t="n">
        <x:v>2640</x:v>
      </x:c>
      <x:c r="AQ633" s="55" t="n">
        <x:v>900</x:v>
      </x:c>
    </x:row>
    <x:row r="634">
      <x:c r="A634" s="54" t="str">
        <x:v>T2_CONCORDANT_DOMAIN</x:v>
      </x:c>
      <x:c r="B634" s="54" t="n">
        <x:v>628</x:v>
      </x:c>
      <x:c r="C634" s="54" t="str">
        <x:v>NYC-V2-R01</x:v>
      </x:c>
      <x:c r="D634" s="54" t="str">
        <x:v>V2</x:v>
      </x:c>
      <x:c r="E634" s="54" t="str">
        <x:v>ADMITTED</x:v>
      </x:c>
      <x:c r="F634" s="55" t="n">
        <x:v>30818</x:v>
      </x:c>
      <x:c r="G634" s="55" t="n">
        <x:v>7583</x:v>
      </x:c>
      <x:c r="H634" s="55" t="n">
        <x:v>3648</x:v>
      </x:c>
      <x:c r="I634" s="55" t="n">
        <x:v>1410</x:v>
      </x:c>
      <x:c r="J634" s="55" t="n">
        <x:v>441</x:v>
      </x:c>
      <x:c r="K634" s="55" t="n">
        <x:v>29315</x:v>
      </x:c>
      <x:c r="L634" s="55" t="n">
        <x:v>5076</x:v>
      </x:c>
      <x:c r="M634" s="55" t="n">
        <x:v>679</x:v>
      </x:c>
      <x:c r="N634" s="55" t="n">
        <x:v>2724</x:v>
      </x:c>
      <x:c r="O634" s="55" t="n">
        <x:v>1673</x:v>
      </x:c>
      <x:c r="P634" s="55" t="n">
        <x:v>915</x:v>
      </x:c>
      <x:c r="Q634" s="55" t="n">
        <x:v>2546</x:v>
      </x:c>
      <x:c r="R634" s="55" t="n">
        <x:v>2030</x:v>
      </x:c>
      <x:c r="S634" s="55" t="n">
        <x:v>3644</x:v>
      </x:c>
      <x:c r="T634" s="55" t="n">
        <x:v>1333</x:v>
      </x:c>
      <x:c r="U634" s="55" t="n">
        <x:v>2488</x:v>
      </x:c>
      <x:c r="V634" s="55" t="n">
        <x:v>10697</x:v>
      </x:c>
      <x:c r="W634" s="55" t="n">
        <x:v>7171</x:v>
      </x:c>
      <x:c r="X634" s="55" t="n">
        <x:v>3526</x:v>
      </x:c>
      <x:c r="Y634" s="55" t="n">
        <x:v>3007</x:v>
      </x:c>
      <x:c r="Z634" s="55" t="n">
        <x:v>3230</x:v>
      </x:c>
      <x:c r="AA634" s="55" t="n">
        <x:v>3252</x:v>
      </x:c>
      <x:c r="AB634" s="55" t="n">
        <x:v>753</x:v>
      </x:c>
      <x:c r="AC634" s="55" t="n">
        <x:v>8021</x:v>
      </x:c>
      <x:c r="AD634" s="55" t="n">
        <x:v>3494</x:v>
      </x:c>
      <x:c r="AE634" s="55" t="n">
        <x:v>10855</x:v>
      </x:c>
      <x:c r="AF634" s="55" t="n">
        <x:v>10697</x:v>
      </x:c>
      <x:c r="AG634" s="55" t="n">
        <x:v>158</x:v>
      </x:c>
      <x:c r="AH634" s="55" t="n">
        <x:v>506</x:v>
      </x:c>
      <x:c r="AI634" s="55" t="n">
        <x:v>10191</x:v>
      </x:c>
      <x:c r="AJ634" s="55" t="n">
        <x:v>292</x:v>
      </x:c>
      <x:c r="AK634" s="55" t="n">
        <x:v>1220</x:v>
      </x:c>
      <x:c r="AL634" s="55" t="n">
        <x:v>1048</x:v>
      </x:c>
      <x:c r="AM634" s="55" t="n">
        <x:v>5084</x:v>
      </x:c>
      <x:c r="AN634" s="55" t="n">
        <x:v>3053</x:v>
      </x:c>
      <x:c r="AO634" s="55" t="n">
        <x:v>0</x:v>
      </x:c>
      <x:c r="AP634" s="55" t="n">
        <x:v>2710</x:v>
      </x:c>
      <x:c r="AQ634" s="55" t="n">
        <x:v>937</x:v>
      </x:c>
    </x:row>
    <x:row r="635">
      <x:c r="A635" s="54" t="str">
        <x:v>T2_CONCORDANT_DOMAIN</x:v>
      </x:c>
      <x:c r="B635" s="54" t="n">
        <x:v>629</x:v>
      </x:c>
      <x:c r="C635" s="54" t="str">
        <x:v>NYC-V2-R01</x:v>
      </x:c>
      <x:c r="D635" s="54" t="str">
        <x:v>V2</x:v>
      </x:c>
      <x:c r="E635" s="54" t="str">
        <x:v>ADMITTED</x:v>
      </x:c>
      <x:c r="F635" s="55" t="n">
        <x:v>31337</x:v>
      </x:c>
      <x:c r="G635" s="55" t="n">
        <x:v>8102</x:v>
      </x:c>
      <x:c r="H635" s="55" t="n">
        <x:v>3666</x:v>
      </x:c>
      <x:c r="I635" s="55" t="n">
        <x:v>1362</x:v>
      </x:c>
      <x:c r="J635" s="55" t="n">
        <x:v>366</x:v>
      </x:c>
      <x:c r="K635" s="55" t="n">
        <x:v>31273</x:v>
      </x:c>
      <x:c r="L635" s="55" t="n">
        <x:v>5161</x:v>
      </x:c>
      <x:c r="M635" s="55" t="n">
        <x:v>1101</x:v>
      </x:c>
      <x:c r="N635" s="55" t="n">
        <x:v>2290</x:v>
      </x:c>
      <x:c r="O635" s="55" t="n">
        <x:v>1770</x:v>
      </x:c>
      <x:c r="P635" s="55" t="n">
        <x:v>666</x:v>
      </x:c>
      <x:c r="Q635" s="55" t="n">
        <x:v>2588</x:v>
      </x:c>
      <x:c r="R635" s="55" t="n">
        <x:v>1824</x:v>
      </x:c>
      <x:c r="S635" s="55" t="n">
        <x:v>2806</x:v>
      </x:c>
      <x:c r="T635" s="55" t="n">
        <x:v>1269</x:v>
      </x:c>
      <x:c r="U635" s="55" t="n">
        <x:v>2021</x:v>
      </x:c>
      <x:c r="V635" s="55" t="n">
        <x:v>11057</x:v>
      </x:c>
      <x:c r="W635" s="55" t="n">
        <x:v>8292</x:v>
      </x:c>
      <x:c r="X635" s="55" t="n">
        <x:v>2765</x:v>
      </x:c>
      <x:c r="Y635" s="55" t="n">
        <x:v>2402</x:v>
      </x:c>
      <x:c r="Z635" s="55" t="n">
        <x:v>3421</x:v>
      </x:c>
      <x:c r="AA635" s="55" t="n">
        <x:v>2799</x:v>
      </x:c>
      <x:c r="AB635" s="55" t="n">
        <x:v>966</x:v>
      </x:c>
      <x:c r="AC635" s="55" t="n">
        <x:v>8032</x:v>
      </x:c>
      <x:c r="AD635" s="55" t="n">
        <x:v>2839</x:v>
      </x:c>
      <x:c r="AE635" s="55" t="n">
        <x:v>11158</x:v>
      </x:c>
      <x:c r="AF635" s="55" t="n">
        <x:v>11057</x:v>
      </x:c>
      <x:c r="AG635" s="55" t="n">
        <x:v>101</x:v>
      </x:c>
      <x:c r="AH635" s="55" t="n">
        <x:v>490</x:v>
      </x:c>
      <x:c r="AI635" s="55" t="n">
        <x:v>10567</x:v>
      </x:c>
      <x:c r="AJ635" s="55" t="n">
        <x:v>375</x:v>
      </x:c>
      <x:c r="AK635" s="55" t="n">
        <x:v>1219</x:v>
      </x:c>
      <x:c r="AL635" s="55" t="n">
        <x:v>1711</x:v>
      </x:c>
      <x:c r="AM635" s="55" t="n">
        <x:v>5077</x:v>
      </x:c>
      <x:c r="AN635" s="55" t="n">
        <x:v>2675</x:v>
      </x:c>
      <x:c r="AO635" s="55" t="n">
        <x:v>0</x:v>
      </x:c>
      <x:c r="AP635" s="55" t="n">
        <x:v>2315</x:v>
      </x:c>
      <x:c r="AQ635" s="55" t="n">
        <x:v>992</x:v>
      </x:c>
    </x:row>
    <x:row r="636">
      <x:c r="A636" s="54" t="str">
        <x:v>T2_CONCORDANT_DOMAIN</x:v>
      </x:c>
      <x:c r="B636" s="54" t="n">
        <x:v>630</x:v>
      </x:c>
      <x:c r="C636" s="54" t="str">
        <x:v>NYC-V2-R01</x:v>
      </x:c>
      <x:c r="D636" s="54" t="str">
        <x:v>V2</x:v>
      </x:c>
      <x:c r="E636" s="54" t="str">
        <x:v>ADMITTED</x:v>
      </x:c>
      <x:c r="F636" s="55" t="n">
        <x:v>30084</x:v>
      </x:c>
      <x:c r="G636" s="55" t="n">
        <x:v>7233</x:v>
      </x:c>
      <x:c r="H636" s="55" t="n">
        <x:v>3134</x:v>
      </x:c>
      <x:c r="I636" s="55" t="n">
        <x:v>1267</x:v>
      </x:c>
      <x:c r="J636" s="55" t="n">
        <x:v>81</x:v>
      </x:c>
      <x:c r="K636" s="55" t="n">
        <x:v>30084</x:v>
      </x:c>
      <x:c r="L636" s="55" t="n">
        <x:v>6436</x:v>
      </x:c>
      <x:c r="M636" s="55" t="n">
        <x:v>2211</x:v>
      </x:c>
      <x:c r="N636" s="55" t="n">
        <x:v>2286</x:v>
      </x:c>
      <x:c r="O636" s="55" t="n">
        <x:v>1939</x:v>
      </x:c>
      <x:c r="P636" s="55" t="n">
        <x:v>882</x:v>
      </x:c>
      <x:c r="Q636" s="55" t="n">
        <x:v>2730</x:v>
      </x:c>
      <x:c r="R636" s="55" t="n">
        <x:v>2069</x:v>
      </x:c>
      <x:c r="S636" s="55" t="n">
        <x:v>2917</x:v>
      </x:c>
      <x:c r="T636" s="55" t="n">
        <x:v>937</x:v>
      </x:c>
      <x:c r="U636" s="55" t="n">
        <x:v>2193</x:v>
      </x:c>
      <x:c r="V636" s="55" t="n">
        <x:v>9964</x:v>
      </x:c>
      <x:c r="W636" s="55" t="n">
        <x:v>6801</x:v>
      </x:c>
      <x:c r="X636" s="55" t="n">
        <x:v>3163</x:v>
      </x:c>
      <x:c r="Y636" s="55" t="n">
        <x:v>2830</x:v>
      </x:c>
      <x:c r="Z636" s="55" t="n">
        <x:v>3480</x:v>
      </x:c>
      <x:c r="AA636" s="55" t="n">
        <x:v>2568</x:v>
      </x:c>
      <x:c r="AB636" s="55" t="n">
        <x:v>712</x:v>
      </x:c>
      <x:c r="AC636" s="55" t="n">
        <x:v>8083</x:v>
      </x:c>
      <x:c r="AD636" s="55" t="n">
        <x:v>2884</x:v>
      </x:c>
      <x:c r="AE636" s="55" t="n">
        <x:v>10040</x:v>
      </x:c>
      <x:c r="AF636" s="55" t="n">
        <x:v>9964</x:v>
      </x:c>
      <x:c r="AG636" s="55" t="n">
        <x:v>76</x:v>
      </x:c>
      <x:c r="AH636" s="55" t="n">
        <x:v>283</x:v>
      </x:c>
      <x:c r="AI636" s="55" t="n">
        <x:v>9681</x:v>
      </x:c>
      <x:c r="AJ636" s="55" t="n">
        <x:v>468</x:v>
      </x:c>
      <x:c r="AK636" s="55" t="n">
        <x:v>776</x:v>
      </x:c>
      <x:c r="AL636" s="55" t="n">
        <x:v>1599</x:v>
      </x:c>
      <x:c r="AM636" s="55" t="n">
        <x:v>4237</x:v>
      </x:c>
      <x:c r="AN636" s="55" t="n">
        <x:v>2884</x:v>
      </x:c>
      <x:c r="AO636" s="55" t="n">
        <x:v>0</x:v>
      </x:c>
      <x:c r="AP636" s="55" t="n">
        <x:v>2305</x:v>
      </x:c>
      <x:c r="AQ636" s="55" t="n">
        <x:v>932</x:v>
      </x:c>
    </x:row>
    <x:row r="637">
      <x:c r="A637" s="54" t="str">
        <x:v>T2_CONCORDANT_DOMAIN</x:v>
      </x:c>
      <x:c r="B637" s="54" t="n">
        <x:v>631</x:v>
      </x:c>
      <x:c r="C637" s="54" t="str">
        <x:v>NYC-V2-R01</x:v>
      </x:c>
      <x:c r="D637" s="54" t="str">
        <x:v>V2</x:v>
      </x:c>
      <x:c r="E637" s="54" t="str">
        <x:v>ADMITTED</x:v>
      </x:c>
      <x:c r="F637" s="55" t="n">
        <x:v>30955</x:v>
      </x:c>
      <x:c r="G637" s="55" t="n">
        <x:v>7688</x:v>
      </x:c>
      <x:c r="H637" s="55" t="n">
        <x:v>2873</x:v>
      </x:c>
      <x:c r="I637" s="55" t="n">
        <x:v>1225</x:v>
      </x:c>
      <x:c r="J637" s="55" t="n">
        <x:v>250</x:v>
      </x:c>
      <x:c r="K637" s="55" t="n">
        <x:v>30106</x:v>
      </x:c>
      <x:c r="L637" s="55" t="n">
        <x:v>4634</x:v>
      </x:c>
      <x:c r="M637" s="55" t="n">
        <x:v>717</x:v>
      </x:c>
      <x:c r="N637" s="55" t="n">
        <x:v>2311</x:v>
      </x:c>
      <x:c r="O637" s="55" t="n">
        <x:v>1606</x:v>
      </x:c>
      <x:c r="P637" s="55" t="n">
        <x:v>1009</x:v>
      </x:c>
      <x:c r="Q637" s="55" t="n">
        <x:v>2281</x:v>
      </x:c>
      <x:c r="R637" s="55" t="n">
        <x:v>2018</x:v>
      </x:c>
      <x:c r="S637" s="55" t="n">
        <x:v>3100</x:v>
      </x:c>
      <x:c r="T637" s="55" t="n">
        <x:v>891</x:v>
      </x:c>
      <x:c r="U637" s="55" t="n">
        <x:v>1774</x:v>
      </x:c>
      <x:c r="V637" s="55" t="n">
        <x:v>10270</x:v>
      </x:c>
      <x:c r="W637" s="55" t="n">
        <x:v>7326</x:v>
      </x:c>
      <x:c r="X637" s="55" t="n">
        <x:v>2944</x:v>
      </x:c>
      <x:c r="Y637" s="55" t="n">
        <x:v>2520</x:v>
      </x:c>
      <x:c r="Z637" s="55" t="n">
        <x:v>3657</x:v>
      </x:c>
      <x:c r="AA637" s="55" t="n">
        <x:v>2834</x:v>
      </x:c>
      <x:c r="AB637" s="55" t="n">
        <x:v>959</x:v>
      </x:c>
      <x:c r="AC637" s="55" t="n">
        <x:v>7605</x:v>
      </x:c>
      <x:c r="AD637" s="55" t="n">
        <x:v>3319</x:v>
      </x:c>
      <x:c r="AE637" s="55" t="n">
        <x:v>10458</x:v>
      </x:c>
      <x:c r="AF637" s="55" t="n">
        <x:v>10270</x:v>
      </x:c>
      <x:c r="AG637" s="55" t="n">
        <x:v>188</x:v>
      </x:c>
      <x:c r="AH637" s="55" t="n">
        <x:v>419</x:v>
      </x:c>
      <x:c r="AI637" s="55" t="n">
        <x:v>9851</x:v>
      </x:c>
      <x:c r="AJ637" s="55" t="n">
        <x:v>296</x:v>
      </x:c>
      <x:c r="AK637" s="55" t="n">
        <x:v>959</x:v>
      </x:c>
      <x:c r="AL637" s="55" t="n">
        <x:v>1949</x:v>
      </x:c>
      <x:c r="AM637" s="55" t="n">
        <x:v>4711</x:v>
      </x:c>
      <x:c r="AN637" s="55" t="n">
        <x:v>2326</x:v>
      </x:c>
      <x:c r="AO637" s="55" t="n">
        <x:v>29</x:v>
      </x:c>
      <x:c r="AP637" s="55" t="n">
        <x:v>2509</x:v>
      </x:c>
      <x:c r="AQ637" s="55" t="n">
        <x:v>951</x:v>
      </x:c>
    </x:row>
    <x:row r="638">
      <x:c r="A638" s="54" t="str">
        <x:v>T2_CONCORDANT_DOMAIN</x:v>
      </x:c>
      <x:c r="B638" s="54" t="n">
        <x:v>632</x:v>
      </x:c>
      <x:c r="C638" s="54" t="str">
        <x:v>NYC-V2-R01</x:v>
      </x:c>
      <x:c r="D638" s="54" t="str">
        <x:v>V2</x:v>
      </x:c>
      <x:c r="E638" s="54" t="str">
        <x:v>ADMITTED</x:v>
      </x:c>
      <x:c r="F638" s="55" t="n">
        <x:v>30550</x:v>
      </x:c>
      <x:c r="G638" s="55" t="n">
        <x:v>6781</x:v>
      </x:c>
      <x:c r="H638" s="55" t="n">
        <x:v>2865</x:v>
      </x:c>
      <x:c r="I638" s="55" t="n">
        <x:v>1067</x:v>
      </x:c>
      <x:c r="J638" s="55" t="n">
        <x:v>132</x:v>
      </x:c>
      <x:c r="K638" s="55" t="n">
        <x:v>30550</x:v>
      </x:c>
      <x:c r="L638" s="55" t="n">
        <x:v>4771</x:v>
      </x:c>
      <x:c r="M638" s="55" t="n">
        <x:v>385</x:v>
      </x:c>
      <x:c r="N638" s="55" t="n">
        <x:v>2512</x:v>
      </x:c>
      <x:c r="O638" s="55" t="n">
        <x:v>1874</x:v>
      </x:c>
      <x:c r="P638" s="55" t="n">
        <x:v>577</x:v>
      </x:c>
      <x:c r="Q638" s="55" t="n">
        <x:v>2282</x:v>
      </x:c>
      <x:c r="R638" s="55" t="n">
        <x:v>1754</x:v>
      </x:c>
      <x:c r="S638" s="55" t="n">
        <x:v>2813</x:v>
      </x:c>
      <x:c r="T638" s="55" t="n">
        <x:v>1154</x:v>
      </x:c>
      <x:c r="U638" s="55" t="n">
        <x:v>1201</x:v>
      </x:c>
      <x:c r="V638" s="55" t="n">
        <x:v>10033</x:v>
      </x:c>
      <x:c r="W638" s="55" t="n">
        <x:v>7012</x:v>
      </x:c>
      <x:c r="X638" s="55" t="n">
        <x:v>3021</x:v>
      </x:c>
      <x:c r="Y638" s="55" t="n">
        <x:v>2631</x:v>
      </x:c>
      <x:c r="Z638" s="55" t="n">
        <x:v>3889</x:v>
      </x:c>
      <x:c r="AA638" s="55" t="n">
        <x:v>2486</x:v>
      </x:c>
      <x:c r="AB638" s="55" t="n">
        <x:v>647</x:v>
      </x:c>
      <x:c r="AC638" s="55" t="n">
        <x:v>7734</x:v>
      </x:c>
      <x:c r="AD638" s="55" t="n">
        <x:v>3266</x:v>
      </x:c>
      <x:c r="AE638" s="55" t="n">
        <x:v>10062</x:v>
      </x:c>
      <x:c r="AF638" s="55" t="n">
        <x:v>10033</x:v>
      </x:c>
      <x:c r="AG638" s="55" t="n">
        <x:v>29</x:v>
      </x:c>
      <x:c r="AH638" s="55" t="n">
        <x:v>388</x:v>
      </x:c>
      <x:c r="AI638" s="55" t="n">
        <x:v>9645</x:v>
      </x:c>
      <x:c r="AJ638" s="55" t="n">
        <x:v>302</x:v>
      </x:c>
      <x:c r="AK638" s="55" t="n">
        <x:v>1248</x:v>
      </x:c>
      <x:c r="AL638" s="55" t="n">
        <x:v>1250</x:v>
      </x:c>
      <x:c r="AM638" s="55" t="n">
        <x:v>4862</x:v>
      </x:c>
      <x:c r="AN638" s="55" t="n">
        <x:v>2371</x:v>
      </x:c>
      <x:c r="AO638" s="55" t="n">
        <x:v>0</x:v>
      </x:c>
      <x:c r="AP638" s="55" t="n">
        <x:v>2521</x:v>
      </x:c>
      <x:c r="AQ638" s="55" t="n">
        <x:v>942</x:v>
      </x:c>
    </x:row>
    <x:row r="639">
      <x:c r="A639" s="54" t="str">
        <x:v>T2_CONCORDANT_DOMAIN</x:v>
      </x:c>
      <x:c r="B639" s="54" t="n">
        <x:v>633</x:v>
      </x:c>
      <x:c r="C639" s="54" t="str">
        <x:v>NYC-V2-R01</x:v>
      </x:c>
      <x:c r="D639" s="54" t="str">
        <x:v>V2</x:v>
      </x:c>
      <x:c r="E639" s="54" t="str">
        <x:v>ADMITTED</x:v>
      </x:c>
      <x:c r="F639" s="55" t="n">
        <x:v>32094</x:v>
      </x:c>
      <x:c r="G639" s="55" t="n">
        <x:v>8319</x:v>
      </x:c>
      <x:c r="H639" s="55" t="n">
        <x:v>3447</x:v>
      </x:c>
      <x:c r="I639" s="55" t="n">
        <x:v>1661</x:v>
      </x:c>
      <x:c r="J639" s="55" t="n">
        <x:v>309</x:v>
      </x:c>
      <x:c r="K639" s="55" t="n">
        <x:v>30135</x:v>
      </x:c>
      <x:c r="L639" s="55" t="n">
        <x:v>4895</x:v>
      </x:c>
      <x:c r="M639" s="55" t="n">
        <x:v>714</x:v>
      </x:c>
      <x:c r="N639" s="55" t="n">
        <x:v>2490</x:v>
      </x:c>
      <x:c r="O639" s="55" t="n">
        <x:v>1691</x:v>
      </x:c>
      <x:c r="P639" s="55" t="n">
        <x:v>649</x:v>
      </x:c>
      <x:c r="Q639" s="55" t="n">
        <x:v>1952</x:v>
      </x:c>
      <x:c r="R639" s="55" t="n">
        <x:v>2051</x:v>
      </x:c>
      <x:c r="S639" s="55" t="n">
        <x:v>2656</x:v>
      </x:c>
      <x:c r="T639" s="55" t="n">
        <x:v>1242</x:v>
      </x:c>
      <x:c r="U639" s="55" t="n">
        <x:v>1641</x:v>
      </x:c>
      <x:c r="V639" s="55" t="n">
        <x:v>10104</x:v>
      </x:c>
      <x:c r="W639" s="55" t="n">
        <x:v>6752</x:v>
      </x:c>
      <x:c r="X639" s="55" t="n">
        <x:v>3352</x:v>
      </x:c>
      <x:c r="Y639" s="55" t="n">
        <x:v>2830</x:v>
      </x:c>
      <x:c r="Z639" s="55" t="n">
        <x:v>3792</x:v>
      </x:c>
      <x:c r="AA639" s="55" t="n">
        <x:v>3327</x:v>
      </x:c>
      <x:c r="AB639" s="55" t="n">
        <x:v>1077</x:v>
      </x:c>
      <x:c r="AC639" s="55" t="n">
        <x:v>7747</x:v>
      </x:c>
      <x:c r="AD639" s="55" t="n">
        <x:v>3353</x:v>
      </x:c>
      <x:c r="AE639" s="55" t="n">
        <x:v>10233</x:v>
      </x:c>
      <x:c r="AF639" s="55" t="n">
        <x:v>10104</x:v>
      </x:c>
      <x:c r="AG639" s="55" t="n">
        <x:v>129</x:v>
      </x:c>
      <x:c r="AH639" s="55" t="n">
        <x:v>203</x:v>
      </x:c>
      <x:c r="AI639" s="55" t="n">
        <x:v>9901</x:v>
      </x:c>
      <x:c r="AJ639" s="55" t="n">
        <x:v>381</x:v>
      </x:c>
      <x:c r="AK639" s="55" t="n">
        <x:v>1210</x:v>
      </x:c>
      <x:c r="AL639" s="55" t="n">
        <x:v>1519</x:v>
      </x:c>
      <x:c r="AM639" s="55" t="n">
        <x:v>4645</x:v>
      </x:c>
      <x:c r="AN639" s="55" t="n">
        <x:v>2346</x:v>
      </x:c>
      <x:c r="AO639" s="55" t="n">
        <x:v>3</x:v>
      </x:c>
      <x:c r="AP639" s="55" t="n">
        <x:v>2833</x:v>
      </x:c>
      <x:c r="AQ639" s="55" t="n">
        <x:v>967</x:v>
      </x:c>
    </x:row>
    <x:row r="640">
      <x:c r="A640" s="54" t="str">
        <x:v>T2_CONCORDANT_DOMAIN</x:v>
      </x:c>
      <x:c r="B640" s="54" t="n">
        <x:v>634</x:v>
      </x:c>
      <x:c r="C640" s="54" t="str">
        <x:v>NYC-V2-R01</x:v>
      </x:c>
      <x:c r="D640" s="54" t="str">
        <x:v>V2</x:v>
      </x:c>
      <x:c r="E640" s="54" t="str">
        <x:v>ADMITTED</x:v>
      </x:c>
      <x:c r="F640" s="55" t="n">
        <x:v>32568</x:v>
      </x:c>
      <x:c r="G640" s="55" t="n">
        <x:v>8363</x:v>
      </x:c>
      <x:c r="H640" s="55" t="n">
        <x:v>3556</x:v>
      </x:c>
      <x:c r="I640" s="55" t="n">
        <x:v>1608</x:v>
      </x:c>
      <x:c r="J640" s="55" t="n">
        <x:v>496</x:v>
      </x:c>
      <x:c r="K640" s="55" t="n">
        <x:v>32568</x:v>
      </x:c>
      <x:c r="L640" s="55" t="n">
        <x:v>7270</x:v>
      </x:c>
      <x:c r="M640" s="55" t="n">
        <x:v>1711</x:v>
      </x:c>
      <x:c r="N640" s="55" t="n">
        <x:v>3067</x:v>
      </x:c>
      <x:c r="O640" s="55" t="n">
        <x:v>2492</x:v>
      </x:c>
      <x:c r="P640" s="55" t="n">
        <x:v>768</x:v>
      </x:c>
      <x:c r="Q640" s="55" t="n">
        <x:v>2316</x:v>
      </x:c>
      <x:c r="R640" s="55" t="n">
        <x:v>2216</x:v>
      </x:c>
      <x:c r="S640" s="55" t="n">
        <x:v>3058</x:v>
      </x:c>
      <x:c r="T640" s="55" t="n">
        <x:v>1017</x:v>
      </x:c>
      <x:c r="U640" s="55" t="n">
        <x:v>2330</x:v>
      </x:c>
      <x:c r="V640" s="55" t="n">
        <x:v>10388</x:v>
      </x:c>
      <x:c r="W640" s="55" t="n">
        <x:v>6948</x:v>
      </x:c>
      <x:c r="X640" s="55" t="n">
        <x:v>3440</x:v>
      </x:c>
      <x:c r="Y640" s="55" t="n">
        <x:v>3117</x:v>
      </x:c>
      <x:c r="Z640" s="55" t="n">
        <x:v>3443</x:v>
      </x:c>
      <x:c r="AA640" s="55" t="n">
        <x:v>3018</x:v>
      </x:c>
      <x:c r="AB640" s="55" t="n">
        <x:v>1293</x:v>
      </x:c>
      <x:c r="AC640" s="55" t="n">
        <x:v>8449</x:v>
      </x:c>
      <x:c r="AD640" s="55" t="n">
        <x:v>2901</x:v>
      </x:c>
      <x:c r="AE640" s="55" t="n">
        <x:v>10528</x:v>
      </x:c>
      <x:c r="AF640" s="55" t="n">
        <x:v>10388</x:v>
      </x:c>
      <x:c r="AG640" s="55" t="n">
        <x:v>140</x:v>
      </x:c>
      <x:c r="AH640" s="55" t="n">
        <x:v>505</x:v>
      </x:c>
      <x:c r="AI640" s="55" t="n">
        <x:v>9883</x:v>
      </x:c>
      <x:c r="AJ640" s="55" t="n">
        <x:v>175</x:v>
      </x:c>
      <x:c r="AK640" s="55" t="n">
        <x:v>893</x:v>
      </x:c>
      <x:c r="AL640" s="55" t="n">
        <x:v>1506</x:v>
      </x:c>
      <x:c r="AM640" s="55" t="n">
        <x:v>4994</x:v>
      </x:c>
      <x:c r="AN640" s="55" t="n">
        <x:v>2763</x:v>
      </x:c>
      <x:c r="AO640" s="55" t="n">
        <x:v>57</x:v>
      </x:c>
      <x:c r="AP640" s="55" t="n">
        <x:v>2039</x:v>
      </x:c>
      <x:c r="AQ640" s="55" t="n">
        <x:v>970</x:v>
      </x:c>
    </x:row>
    <x:row r="641">
      <x:c r="A641" s="54" t="str">
        <x:v>T2_CONCORDANT_DOMAIN</x:v>
      </x:c>
      <x:c r="B641" s="54" t="n">
        <x:v>635</x:v>
      </x:c>
      <x:c r="C641" s="54" t="str">
        <x:v>NYC-V2-R01</x:v>
      </x:c>
      <x:c r="D641" s="54" t="str">
        <x:v>V2</x:v>
      </x:c>
      <x:c r="E641" s="54" t="str">
        <x:v>ADMITTED</x:v>
      </x:c>
      <x:c r="F641" s="55" t="n">
        <x:v>27575</x:v>
      </x:c>
      <x:c r="G641" s="55" t="n">
        <x:v>5348</x:v>
      </x:c>
      <x:c r="H641" s="55" t="n">
        <x:v>2644</x:v>
      </x:c>
      <x:c r="I641" s="55" t="n">
        <x:v>839</x:v>
      </x:c>
      <x:c r="J641" s="55" t="n">
        <x:v>19</x:v>
      </x:c>
      <x:c r="K641" s="55" t="n">
        <x:v>27575</x:v>
      </x:c>
      <x:c r="L641" s="55" t="n">
        <x:v>3114</x:v>
      </x:c>
      <x:c r="M641" s="55" t="n">
        <x:v>0</x:v>
      </x:c>
      <x:c r="N641" s="55" t="n">
        <x:v>1991</x:v>
      </x:c>
      <x:c r="O641" s="55" t="n">
        <x:v>1123</x:v>
      </x:c>
      <x:c r="P641" s="55" t="n">
        <x:v>630</x:v>
      </x:c>
      <x:c r="Q641" s="55" t="n">
        <x:v>1826</x:v>
      </x:c>
      <x:c r="R641" s="55" t="n">
        <x:v>1649</x:v>
      </x:c>
      <x:c r="S641" s="55" t="n">
        <x:v>2583</x:v>
      </x:c>
      <x:c r="T641" s="55" t="n">
        <x:v>999</x:v>
      </x:c>
      <x:c r="U641" s="55" t="n">
        <x:v>1483</x:v>
      </x:c>
      <x:c r="V641" s="55" t="n">
        <x:v>9412</x:v>
      </x:c>
      <x:c r="W641" s="55" t="n">
        <x:v>7111</x:v>
      </x:c>
      <x:c r="X641" s="55" t="n">
        <x:v>2301</x:v>
      </x:c>
      <x:c r="Y641" s="55" t="n">
        <x:v>1765</x:v>
      </x:c>
      <x:c r="Z641" s="55" t="n">
        <x:v>2630</x:v>
      </x:c>
      <x:c r="AA641" s="55" t="n">
        <x:v>2057</x:v>
      </x:c>
      <x:c r="AB641" s="55" t="n">
        <x:v>786</x:v>
      </x:c>
      <x:c r="AC641" s="55" t="n">
        <x:v>7307</x:v>
      </x:c>
      <x:c r="AD641" s="55" t="n">
        <x:v>1831</x:v>
      </x:c>
      <x:c r="AE641" s="55" t="n">
        <x:v>9412</x:v>
      </x:c>
      <x:c r="AF641" s="55" t="n">
        <x:v>9412</x:v>
      </x:c>
      <x:c r="AG641" s="55" t="n">
        <x:v>0</x:v>
      </x:c>
      <x:c r="AH641" s="55" t="n">
        <x:v>89</x:v>
      </x:c>
      <x:c r="AI641" s="55" t="n">
        <x:v>9323</x:v>
      </x:c>
      <x:c r="AJ641" s="55" t="n">
        <x:v>89</x:v>
      </x:c>
      <x:c r="AK641" s="55" t="n">
        <x:v>411</x:v>
      </x:c>
      <x:c r="AL641" s="55" t="n">
        <x:v>1450</x:v>
      </x:c>
      <x:c r="AM641" s="55" t="n">
        <x:v>4957</x:v>
      </x:c>
      <x:c r="AN641" s="55" t="n">
        <x:v>2505</x:v>
      </x:c>
      <x:c r="AO641" s="55" t="n">
        <x:v>0</x:v>
      </x:c>
      <x:c r="AP641" s="55" t="n">
        <x:v>1826</x:v>
      </x:c>
      <x:c r="AQ641" s="55" t="n">
        <x:v>919</x:v>
      </x:c>
    </x:row>
    <x:row r="642">
      <x:c r="A642" s="54" t="str">
        <x:v>T2_CONCORDANT_DOMAIN</x:v>
      </x:c>
      <x:c r="B642" s="54" t="n">
        <x:v>636</x:v>
      </x:c>
      <x:c r="C642" s="54" t="str">
        <x:v>NYC-V2-R01</x:v>
      </x:c>
      <x:c r="D642" s="54" t="str">
        <x:v>V2</x:v>
      </x:c>
      <x:c r="E642" s="54" t="str">
        <x:v>ADMITTED</x:v>
      </x:c>
      <x:c r="F642" s="55" t="n">
        <x:v>29031</x:v>
      </x:c>
      <x:c r="G642" s="55" t="n">
        <x:v>7325</x:v>
      </x:c>
      <x:c r="H642" s="55" t="n">
        <x:v>3229</x:v>
      </x:c>
      <x:c r="I642" s="55" t="n">
        <x:v>1316</x:v>
      </x:c>
      <x:c r="J642" s="55" t="n">
        <x:v>165</x:v>
      </x:c>
      <x:c r="K642" s="55" t="n">
        <x:v>28997</x:v>
      </x:c>
      <x:c r="L642" s="55" t="n">
        <x:v>5658</x:v>
      </x:c>
      <x:c r="M642" s="55" t="n">
        <x:v>877</x:v>
      </x:c>
      <x:c r="N642" s="55" t="n">
        <x:v>3164</x:v>
      </x:c>
      <x:c r="O642" s="55" t="n">
        <x:v>1617</x:v>
      </x:c>
      <x:c r="P642" s="55" t="n">
        <x:v>732</x:v>
      </x:c>
      <x:c r="Q642" s="55" t="n">
        <x:v>2523</x:v>
      </x:c>
      <x:c r="R642" s="55" t="n">
        <x:v>1862</x:v>
      </x:c>
      <x:c r="S642" s="55" t="n">
        <x:v>2536</x:v>
      </x:c>
      <x:c r="T642" s="55" t="n">
        <x:v>1003</x:v>
      </x:c>
      <x:c r="U642" s="55" t="n">
        <x:v>2126</x:v>
      </x:c>
      <x:c r="V642" s="55" t="n">
        <x:v>10050</x:v>
      </x:c>
      <x:c r="W642" s="55" t="n">
        <x:v>7052</x:v>
      </x:c>
      <x:c r="X642" s="55" t="n">
        <x:v>2998</x:v>
      </x:c>
      <x:c r="Y642" s="55" t="n">
        <x:v>2589</x:v>
      </x:c>
      <x:c r="Z642" s="55" t="n">
        <x:v>3398</x:v>
      </x:c>
      <x:c r="AA642" s="55" t="n">
        <x:v>3229</x:v>
      </x:c>
      <x:c r="AB642" s="55" t="n">
        <x:v>1260</x:v>
      </x:c>
      <x:c r="AC642" s="55" t="n">
        <x:v>8191</x:v>
      </x:c>
      <x:c r="AD642" s="55" t="n">
        <x:v>2925</x:v>
      </x:c>
      <x:c r="AE642" s="55" t="n">
        <x:v>10162</x:v>
      </x:c>
      <x:c r="AF642" s="55" t="n">
        <x:v>10050</x:v>
      </x:c>
      <x:c r="AG642" s="55" t="n">
        <x:v>112</x:v>
      </x:c>
      <x:c r="AH642" s="55" t="n">
        <x:v>352</x:v>
      </x:c>
      <x:c r="AI642" s="55" t="n">
        <x:v>9698</x:v>
      </x:c>
      <x:c r="AJ642" s="55" t="n">
        <x:v>345</x:v>
      </x:c>
      <x:c r="AK642" s="55" t="n">
        <x:v>707</x:v>
      </x:c>
      <x:c r="AL642" s="55" t="n">
        <x:v>1585</x:v>
      </x:c>
      <x:c r="AM642" s="55" t="n">
        <x:v>4582</x:v>
      </x:c>
      <x:c r="AN642" s="55" t="n">
        <x:v>2783</x:v>
      </x:c>
      <x:c r="AO642" s="55" t="n">
        <x:v>48</x:v>
      </x:c>
      <x:c r="AP642" s="55" t="n">
        <x:v>1848</x:v>
      </x:c>
      <x:c r="AQ642" s="55" t="n">
        <x:v>983</x:v>
      </x:c>
    </x:row>
    <x:row r="643">
      <x:c r="A643" s="54" t="str">
        <x:v>T2_CONCORDANT_DOMAIN</x:v>
      </x:c>
      <x:c r="B643" s="54" t="n">
        <x:v>637</x:v>
      </x:c>
      <x:c r="C643" s="54" t="str">
        <x:v>NYC-V2-R01</x:v>
      </x:c>
      <x:c r="D643" s="54" t="str">
        <x:v>V2</x:v>
      </x:c>
      <x:c r="E643" s="54" t="str">
        <x:v>ADMITTED</x:v>
      </x:c>
      <x:c r="F643" s="55" t="n">
        <x:v>32322</x:v>
      </x:c>
      <x:c r="G643" s="55" t="n">
        <x:v>8295</x:v>
      </x:c>
      <x:c r="H643" s="55" t="n">
        <x:v>3563</x:v>
      </x:c>
      <x:c r="I643" s="55" t="n">
        <x:v>1521</x:v>
      </x:c>
      <x:c r="J643" s="55" t="n">
        <x:v>260</x:v>
      </x:c>
      <x:c r="K643" s="55" t="n">
        <x:v>30578</x:v>
      </x:c>
      <x:c r="L643" s="55" t="n">
        <x:v>6726</x:v>
      </x:c>
      <x:c r="M643" s="55" t="n">
        <x:v>1894</x:v>
      </x:c>
      <x:c r="N643" s="55" t="n">
        <x:v>2972</x:v>
      </x:c>
      <x:c r="O643" s="55" t="n">
        <x:v>1860</x:v>
      </x:c>
      <x:c r="P643" s="55" t="n">
        <x:v>1149</x:v>
      </x:c>
      <x:c r="Q643" s="55" t="n">
        <x:v>2376</x:v>
      </x:c>
      <x:c r="R643" s="55" t="n">
        <x:v>1841</x:v>
      </x:c>
      <x:c r="S643" s="55" t="n">
        <x:v>2569</x:v>
      </x:c>
      <x:c r="T643" s="55" t="n">
        <x:v>1430</x:v>
      </x:c>
      <x:c r="U643" s="55" t="n">
        <x:v>1915</x:v>
      </x:c>
      <x:c r="V643" s="55" t="n">
        <x:v>10472</x:v>
      </x:c>
      <x:c r="W643" s="55" t="n">
        <x:v>7155</x:v>
      </x:c>
      <x:c r="X643" s="55" t="n">
        <x:v>3317</x:v>
      </x:c>
      <x:c r="Y643" s="55" t="n">
        <x:v>2855</x:v>
      </x:c>
      <x:c r="Z643" s="55" t="n">
        <x:v>3484</x:v>
      </x:c>
      <x:c r="AA643" s="55" t="n">
        <x:v>2907</x:v>
      </x:c>
      <x:c r="AB643" s="55" t="n">
        <x:v>1079</x:v>
      </x:c>
      <x:c r="AC643" s="55" t="n">
        <x:v>8712</x:v>
      </x:c>
      <x:c r="AD643" s="55" t="n">
        <x:v>3158</x:v>
      </x:c>
      <x:c r="AE643" s="55" t="n">
        <x:v>10592</x:v>
      </x:c>
      <x:c r="AF643" s="55" t="n">
        <x:v>10472</x:v>
      </x:c>
      <x:c r="AG643" s="55" t="n">
        <x:v>120</x:v>
      </x:c>
      <x:c r="AH643" s="55" t="n">
        <x:v>571</x:v>
      </x:c>
      <x:c r="AI643" s="55" t="n">
        <x:v>9901</x:v>
      </x:c>
      <x:c r="AJ643" s="55" t="n">
        <x:v>351</x:v>
      </x:c>
      <x:c r="AK643" s="55" t="n">
        <x:v>1013</x:v>
      </x:c>
      <x:c r="AL643" s="55" t="n">
        <x:v>1452</x:v>
      </x:c>
      <x:c r="AM643" s="55" t="n">
        <x:v>4270</x:v>
      </x:c>
      <x:c r="AN643" s="55" t="n">
        <x:v>3310</x:v>
      </x:c>
      <x:c r="AO643" s="55" t="n">
        <x:v>76</x:v>
      </x:c>
      <x:c r="AP643" s="55" t="n">
        <x:v>2398</x:v>
      </x:c>
      <x:c r="AQ643" s="55" t="n">
        <x:v>963</x:v>
      </x:c>
    </x:row>
    <x:row r="644">
      <x:c r="A644" s="54" t="str">
        <x:v>T2_CONCORDANT_DOMAIN</x:v>
      </x:c>
      <x:c r="B644" s="54" t="n">
        <x:v>638</x:v>
      </x:c>
      <x:c r="C644" s="54" t="str">
        <x:v>NYC-V2-R01</x:v>
      </x:c>
      <x:c r="D644" s="54" t="str">
        <x:v>V2</x:v>
      </x:c>
      <x:c r="E644" s="54" t="str">
        <x:v>ADMITTED</x:v>
      </x:c>
      <x:c r="F644" s="55" t="n">
        <x:v>31676</x:v>
      </x:c>
      <x:c r="G644" s="55" t="n">
        <x:v>7201</x:v>
      </x:c>
      <x:c r="H644" s="55" t="n">
        <x:v>3051</x:v>
      </x:c>
      <x:c r="I644" s="55" t="n">
        <x:v>851</x:v>
      </x:c>
      <x:c r="J644" s="55" t="n">
        <x:v>69</x:v>
      </x:c>
      <x:c r="K644" s="55" t="n">
        <x:v>31676</x:v>
      </x:c>
      <x:c r="L644" s="55" t="n">
        <x:v>6216</x:v>
      </x:c>
      <x:c r="M644" s="55" t="n">
        <x:v>1481</x:v>
      </x:c>
      <x:c r="N644" s="55" t="n">
        <x:v>2526</x:v>
      </x:c>
      <x:c r="O644" s="55" t="n">
        <x:v>2209</x:v>
      </x:c>
      <x:c r="P644" s="55" t="n">
        <x:v>992</x:v>
      </x:c>
      <x:c r="Q644" s="55" t="n">
        <x:v>2504</x:v>
      </x:c>
      <x:c r="R644" s="55" t="n">
        <x:v>1590</x:v>
      </x:c>
      <x:c r="S644" s="55" t="n">
        <x:v>3352</x:v>
      </x:c>
      <x:c r="T644" s="55" t="n">
        <x:v>1034</x:v>
      </x:c>
      <x:c r="U644" s="55" t="n">
        <x:v>1857</x:v>
      </x:c>
      <x:c r="V644" s="55" t="n">
        <x:v>11384</x:v>
      </x:c>
      <x:c r="W644" s="55" t="n">
        <x:v>8022</x:v>
      </x:c>
      <x:c r="X644" s="55" t="n">
        <x:v>3362</x:v>
      </x:c>
      <x:c r="Y644" s="55" t="n">
        <x:v>2874</x:v>
      </x:c>
      <x:c r="Z644" s="55" t="n">
        <x:v>3450</x:v>
      </x:c>
      <x:c r="AA644" s="55" t="n">
        <x:v>3051</x:v>
      </x:c>
      <x:c r="AB644" s="55" t="n">
        <x:v>1168</x:v>
      </x:c>
      <x:c r="AC644" s="55" t="n">
        <x:v>8224</x:v>
      </x:c>
      <x:c r="AD644" s="55" t="n">
        <x:v>2457</x:v>
      </x:c>
      <x:c r="AE644" s="55" t="n">
        <x:v>11473</x:v>
      </x:c>
      <x:c r="AF644" s="55" t="n">
        <x:v>11384</x:v>
      </x:c>
      <x:c r="AG644" s="55" t="n">
        <x:v>89</x:v>
      </x:c>
      <x:c r="AH644" s="55" t="n">
        <x:v>689</x:v>
      </x:c>
      <x:c r="AI644" s="55" t="n">
        <x:v>10695</x:v>
      </x:c>
      <x:c r="AJ644" s="55" t="n">
        <x:v>354</x:v>
      </x:c>
      <x:c r="AK644" s="55" t="n">
        <x:v>929</x:v>
      </x:c>
      <x:c r="AL644" s="55" t="n">
        <x:v>1615</x:v>
      </x:c>
      <x:c r="AM644" s="55" t="n">
        <x:v>5258</x:v>
      </x:c>
      <x:c r="AN644" s="55" t="n">
        <x:v>3152</x:v>
      </x:c>
      <x:c r="AO644" s="55" t="n">
        <x:v>76</x:v>
      </x:c>
      <x:c r="AP644" s="55" t="n">
        <x:v>2533</x:v>
      </x:c>
      <x:c r="AQ644" s="55" t="n">
        <x:v>969</x:v>
      </x:c>
    </x:row>
    <x:row r="645">
      <x:c r="A645" s="54" t="str">
        <x:v>T2_CONCORDANT_DOMAIN</x:v>
      </x:c>
      <x:c r="B645" s="54" t="n">
        <x:v>639</x:v>
      </x:c>
      <x:c r="C645" s="54" t="str">
        <x:v>NYC-V2-R01</x:v>
      </x:c>
      <x:c r="D645" s="54" t="str">
        <x:v>V2</x:v>
      </x:c>
      <x:c r="E645" s="54" t="str">
        <x:v>ADMITTED</x:v>
      </x:c>
      <x:c r="F645" s="55" t="n">
        <x:v>30387</x:v>
      </x:c>
      <x:c r="G645" s="55" t="n">
        <x:v>7224</x:v>
      </x:c>
      <x:c r="H645" s="55" t="n">
        <x:v>3292</x:v>
      </x:c>
      <x:c r="I645" s="55" t="n">
        <x:v>1252</x:v>
      </x:c>
      <x:c r="J645" s="55" t="n">
        <x:v>305</x:v>
      </x:c>
      <x:c r="K645" s="55" t="n">
        <x:v>27321</x:v>
      </x:c>
      <x:c r="L645" s="55" t="n">
        <x:v>4760</x:v>
      </x:c>
      <x:c r="M645" s="55" t="n">
        <x:v>862</x:v>
      </x:c>
      <x:c r="N645" s="55" t="n">
        <x:v>2644</x:v>
      </x:c>
      <x:c r="O645" s="55" t="n">
        <x:v>1254</x:v>
      </x:c>
      <x:c r="P645" s="55" t="n">
        <x:v>313</x:v>
      </x:c>
      <x:c r="Q645" s="55" t="n">
        <x:v>2200</x:v>
      </x:c>
      <x:c r="R645" s="55" t="n">
        <x:v>2044</x:v>
      </x:c>
      <x:c r="S645" s="55" t="n">
        <x:v>2194</x:v>
      </x:c>
      <x:c r="T645" s="55" t="n">
        <x:v>1295</x:v>
      </x:c>
      <x:c r="U645" s="55" t="n">
        <x:v>1427</x:v>
      </x:c>
      <x:c r="V645" s="55" t="n">
        <x:v>10138</x:v>
      </x:c>
      <x:c r="W645" s="55" t="n">
        <x:v>7425</x:v>
      </x:c>
      <x:c r="X645" s="55" t="n">
        <x:v>2713</x:v>
      </x:c>
      <x:c r="Y645" s="55" t="n">
        <x:v>2388</x:v>
      </x:c>
      <x:c r="Z645" s="55" t="n">
        <x:v>3922</x:v>
      </x:c>
      <x:c r="AA645" s="55" t="n">
        <x:v>2789</x:v>
      </x:c>
      <x:c r="AB645" s="55" t="n">
        <x:v>836</x:v>
      </x:c>
      <x:c r="AC645" s="55" t="n">
        <x:v>7664</x:v>
      </x:c>
      <x:c r="AD645" s="55" t="n">
        <x:v>2781</x:v>
      </x:c>
      <x:c r="AE645" s="55" t="n">
        <x:v>10213</x:v>
      </x:c>
      <x:c r="AF645" s="55" t="n">
        <x:v>10138</x:v>
      </x:c>
      <x:c r="AG645" s="55" t="n">
        <x:v>75</x:v>
      </x:c>
      <x:c r="AH645" s="55" t="n">
        <x:v>401</x:v>
      </x:c>
      <x:c r="AI645" s="55" t="n">
        <x:v>9737</x:v>
      </x:c>
      <x:c r="AJ645" s="55" t="n">
        <x:v>347</x:v>
      </x:c>
      <x:c r="AK645" s="55" t="n">
        <x:v>820</x:v>
      </x:c>
      <x:c r="AL645" s="55" t="n">
        <x:v>1575</x:v>
      </x:c>
      <x:c r="AM645" s="55" t="n">
        <x:v>5078</x:v>
      </x:c>
      <x:c r="AN645" s="55" t="n">
        <x:v>2289</x:v>
      </x:c>
      <x:c r="AO645" s="55" t="n">
        <x:v>29</x:v>
      </x:c>
      <x:c r="AP645" s="55" t="n">
        <x:v>2286</x:v>
      </x:c>
      <x:c r="AQ645" s="55" t="n">
        <x:v>959</x:v>
      </x:c>
    </x:row>
    <x:row r="646">
      <x:c r="A646" s="54" t="str">
        <x:v>T2_CONCORDANT_DOMAIN</x:v>
      </x:c>
      <x:c r="B646" s="54" t="n">
        <x:v>640</x:v>
      </x:c>
      <x:c r="C646" s="54" t="str">
        <x:v>NYC-V2-R01</x:v>
      </x:c>
      <x:c r="D646" s="54" t="str">
        <x:v>V2</x:v>
      </x:c>
      <x:c r="E646" s="54" t="str">
        <x:v>ADMITTED</x:v>
      </x:c>
      <x:c r="F646" s="55" t="n">
        <x:v>31565</x:v>
      </x:c>
      <x:c r="G646" s="55" t="n">
        <x:v>7305</x:v>
      </x:c>
      <x:c r="H646" s="55" t="n">
        <x:v>3902</x:v>
      </x:c>
      <x:c r="I646" s="55" t="n">
        <x:v>1919</x:v>
      </x:c>
      <x:c r="J646" s="55" t="n">
        <x:v>268</x:v>
      </x:c>
      <x:c r="K646" s="55" t="n">
        <x:v>31565</x:v>
      </x:c>
      <x:c r="L646" s="55" t="n">
        <x:v>5522</x:v>
      </x:c>
      <x:c r="M646" s="55" t="n">
        <x:v>902</x:v>
      </x:c>
      <x:c r="N646" s="55" t="n">
        <x:v>2979</x:v>
      </x:c>
      <x:c r="O646" s="55" t="n">
        <x:v>1641</x:v>
      </x:c>
      <x:c r="P646" s="55" t="n">
        <x:v>1127</x:v>
      </x:c>
      <x:c r="Q646" s="55" t="n">
        <x:v>2159</x:v>
      </x:c>
      <x:c r="R646" s="55" t="n">
        <x:v>2000</x:v>
      </x:c>
      <x:c r="S646" s="55" t="n">
        <x:v>2959</x:v>
      </x:c>
      <x:c r="T646" s="55" t="n">
        <x:v>1427</x:v>
      </x:c>
      <x:c r="U646" s="55" t="n">
        <x:v>2329</x:v>
      </x:c>
      <x:c r="V646" s="55" t="n">
        <x:v>10335</x:v>
      </x:c>
      <x:c r="W646" s="55" t="n">
        <x:v>6836</x:v>
      </x:c>
      <x:c r="X646" s="55" t="n">
        <x:v>3499</x:v>
      </x:c>
      <x:c r="Y646" s="55" t="n">
        <x:v>3097</x:v>
      </x:c>
      <x:c r="Z646" s="55" t="n">
        <x:v>3888</x:v>
      </x:c>
      <x:c r="AA646" s="55" t="n">
        <x:v>2677</x:v>
      </x:c>
      <x:c r="AB646" s="55" t="n">
        <x:v>1017</x:v>
      </x:c>
      <x:c r="AC646" s="55" t="n">
        <x:v>8597</x:v>
      </x:c>
      <x:c r="AD646" s="55" t="n">
        <x:v>3118</x:v>
      </x:c>
      <x:c r="AE646" s="55" t="n">
        <x:v>10471</x:v>
      </x:c>
      <x:c r="AF646" s="55" t="n">
        <x:v>10335</x:v>
      </x:c>
      <x:c r="AG646" s="55" t="n">
        <x:v>136</x:v>
      </x:c>
      <x:c r="AH646" s="55" t="n">
        <x:v>657</x:v>
      </x:c>
      <x:c r="AI646" s="55" t="n">
        <x:v>9678</x:v>
      </x:c>
      <x:c r="AJ646" s="55" t="n">
        <x:v>476</x:v>
      </x:c>
      <x:c r="AK646" s="55" t="n">
        <x:v>1106</x:v>
      </x:c>
      <x:c r="AL646" s="55" t="n">
        <x:v>1303</x:v>
      </x:c>
      <x:c r="AM646" s="55" t="n">
        <x:v>5089</x:v>
      </x:c>
      <x:c r="AN646" s="55" t="n">
        <x:v>2307</x:v>
      </x:c>
      <x:c r="AO646" s="55" t="n">
        <x:v>54</x:v>
      </x:c>
      <x:c r="AP646" s="55" t="n">
        <x:v>2588</x:v>
      </x:c>
      <x:c r="AQ646" s="55" t="n">
        <x:v>1007</x:v>
      </x:c>
    </x:row>
    <x:row r="647">
      <x:c r="A647" s="54" t="str">
        <x:v>T2_CONCORDANT_DOMAIN</x:v>
      </x:c>
      <x:c r="B647" s="54" t="n">
        <x:v>641</x:v>
      </x:c>
      <x:c r="C647" s="54" t="str">
        <x:v>NYC-V2-R01</x:v>
      </x:c>
      <x:c r="D647" s="54" t="str">
        <x:v>V2</x:v>
      </x:c>
      <x:c r="E647" s="54" t="str">
        <x:v>ADMITTED</x:v>
      </x:c>
      <x:c r="F647" s="55" t="n">
        <x:v>31720</x:v>
      </x:c>
      <x:c r="G647" s="55" t="n">
        <x:v>7765</x:v>
      </x:c>
      <x:c r="H647" s="55" t="n">
        <x:v>3334</x:v>
      </x:c>
      <x:c r="I647" s="55" t="n">
        <x:v>1439</x:v>
      </x:c>
      <x:c r="J647" s="55" t="n">
        <x:v>356</x:v>
      </x:c>
      <x:c r="K647" s="55" t="n">
        <x:v>29110</x:v>
      </x:c>
      <x:c r="L647" s="55" t="n">
        <x:v>5662</x:v>
      </x:c>
      <x:c r="M647" s="55" t="n">
        <x:v>1284</x:v>
      </x:c>
      <x:c r="N647" s="55" t="n">
        <x:v>2451</x:v>
      </x:c>
      <x:c r="O647" s="55" t="n">
        <x:v>1927</x:v>
      </x:c>
      <x:c r="P647" s="55" t="n">
        <x:v>572</x:v>
      </x:c>
      <x:c r="Q647" s="55" t="n">
        <x:v>1783</x:v>
      </x:c>
      <x:c r="R647" s="55" t="n">
        <x:v>1937</x:v>
      </x:c>
      <x:c r="S647" s="55" t="n">
        <x:v>2426</x:v>
      </x:c>
      <x:c r="T647" s="55" t="n">
        <x:v>927</x:v>
      </x:c>
      <x:c r="U647" s="55" t="n">
        <x:v>1873</x:v>
      </x:c>
      <x:c r="V647" s="55" t="n">
        <x:v>10484</x:v>
      </x:c>
      <x:c r="W647" s="55" t="n">
        <x:v>7325</x:v>
      </x:c>
      <x:c r="X647" s="55" t="n">
        <x:v>3159</x:v>
      </x:c>
      <x:c r="Y647" s="55" t="n">
        <x:v>2711</x:v>
      </x:c>
      <x:c r="Z647" s="55" t="n">
        <x:v>3342</x:v>
      </x:c>
      <x:c r="AA647" s="55" t="n">
        <x:v>3257</x:v>
      </x:c>
      <x:c r="AB647" s="55" t="n">
        <x:v>896</x:v>
      </x:c>
      <x:c r="AC647" s="55" t="n">
        <x:v>7143</x:v>
      </x:c>
      <x:c r="AD647" s="55" t="n">
        <x:v>2575</x:v>
      </x:c>
      <x:c r="AE647" s="55" t="n">
        <x:v>10518</x:v>
      </x:c>
      <x:c r="AF647" s="55" t="n">
        <x:v>10484</x:v>
      </x:c>
      <x:c r="AG647" s="55" t="n">
        <x:v>34</x:v>
      </x:c>
      <x:c r="AH647" s="55" t="n">
        <x:v>596</x:v>
      </x:c>
      <x:c r="AI647" s="55" t="n">
        <x:v>9888</x:v>
      </x:c>
      <x:c r="AJ647" s="55" t="n">
        <x:v>308</x:v>
      </x:c>
      <x:c r="AK647" s="55" t="n">
        <x:v>1001</x:v>
      </x:c>
      <x:c r="AL647" s="55" t="n">
        <x:v>1387</x:v>
      </x:c>
      <x:c r="AM647" s="55" t="n">
        <x:v>5223</x:v>
      </x:c>
      <x:c r="AN647" s="55" t="n">
        <x:v>2565</x:v>
      </x:c>
      <x:c r="AO647" s="55" t="n">
        <x:v>0</x:v>
      </x:c>
      <x:c r="AP647" s="55" t="n">
        <x:v>2117</x:v>
      </x:c>
      <x:c r="AQ647" s="55" t="n">
        <x:v>966</x:v>
      </x:c>
    </x:row>
    <x:row r="648">
      <x:c r="A648" s="54" t="str">
        <x:v>T2_CONCORDANT_DOMAIN</x:v>
      </x:c>
      <x:c r="B648" s="54" t="n">
        <x:v>642</x:v>
      </x:c>
      <x:c r="C648" s="54" t="str">
        <x:v>NYC-V2-R01</x:v>
      </x:c>
      <x:c r="D648" s="54" t="str">
        <x:v>V2</x:v>
      </x:c>
      <x:c r="E648" s="54" t="str">
        <x:v>ADMITTED</x:v>
      </x:c>
      <x:c r="F648" s="55" t="n">
        <x:v>30045</x:v>
      </x:c>
      <x:c r="G648" s="55" t="n">
        <x:v>7495</x:v>
      </x:c>
      <x:c r="H648" s="55" t="n">
        <x:v>2680</x:v>
      </x:c>
      <x:c r="I648" s="55" t="n">
        <x:v>1048</x:v>
      </x:c>
      <x:c r="J648" s="55" t="n">
        <x:v>0</x:v>
      </x:c>
      <x:c r="K648" s="55" t="n">
        <x:v>29337</x:v>
      </x:c>
      <x:c r="L648" s="55" t="n">
        <x:v>3270</x:v>
      </x:c>
      <x:c r="M648" s="55" t="n">
        <x:v>87</x:v>
      </x:c>
      <x:c r="N648" s="55" t="n">
        <x:v>1904</x:v>
      </x:c>
      <x:c r="O648" s="55" t="n">
        <x:v>1279</x:v>
      </x:c>
      <x:c r="P648" s="55" t="n">
        <x:v>458</x:v>
      </x:c>
      <x:c r="Q648" s="55" t="n">
        <x:v>929</x:v>
      </x:c>
      <x:c r="R648" s="55" t="n">
        <x:v>1123</x:v>
      </x:c>
      <x:c r="S648" s="55" t="n">
        <x:v>2342</x:v>
      </x:c>
      <x:c r="T648" s="55" t="n">
        <x:v>591</x:v>
      </x:c>
      <x:c r="U648" s="55" t="n">
        <x:v>1348</x:v>
      </x:c>
      <x:c r="V648" s="55" t="n">
        <x:v>10370</x:v>
      </x:c>
      <x:c r="W648" s="55" t="n">
        <x:v>8069</x:v>
      </x:c>
      <x:c r="X648" s="55" t="n">
        <x:v>2301</x:v>
      </x:c>
      <x:c r="Y648" s="55" t="n">
        <x:v>2116</x:v>
      </x:c>
      <x:c r="Z648" s="55" t="n">
        <x:v>3548</x:v>
      </x:c>
      <x:c r="AA648" s="55" t="n">
        <x:v>2038</x:v>
      </x:c>
      <x:c r="AB648" s="55" t="n">
        <x:v>333</x:v>
      </x:c>
      <x:c r="AC648" s="55" t="n">
        <x:v>6997</x:v>
      </x:c>
      <x:c r="AD648" s="55" t="n">
        <x:v>2643</x:v>
      </x:c>
      <x:c r="AE648" s="55" t="n">
        <x:v>10376</x:v>
      </x:c>
      <x:c r="AF648" s="55" t="n">
        <x:v>10370</x:v>
      </x:c>
      <x:c r="AG648" s="55" t="n">
        <x:v>6</x:v>
      </x:c>
      <x:c r="AH648" s="55" t="n">
        <x:v>251</x:v>
      </x:c>
      <x:c r="AI648" s="55" t="n">
        <x:v>10119</x:v>
      </x:c>
      <x:c r="AJ648" s="55" t="n">
        <x:v>223</x:v>
      </x:c>
      <x:c r="AK648" s="55" t="n">
        <x:v>1048</x:v>
      </x:c>
      <x:c r="AL648" s="55" t="n">
        <x:v>1393</x:v>
      </x:c>
      <x:c r="AM648" s="55" t="n">
        <x:v>5027</x:v>
      </x:c>
      <x:c r="AN648" s="55" t="n">
        <x:v>2679</x:v>
      </x:c>
      <x:c r="AO648" s="55" t="n">
        <x:v>0</x:v>
      </x:c>
      <x:c r="AP648" s="55" t="n">
        <x:v>2135</x:v>
      </x:c>
      <x:c r="AQ648" s="55" t="n">
        <x:v>957</x:v>
      </x:c>
    </x:row>
    <x:row r="649">
      <x:c r="A649" s="54" t="str">
        <x:v>T2_CONCORDANT_DOMAIN</x:v>
      </x:c>
      <x:c r="B649" s="54" t="n">
        <x:v>643</x:v>
      </x:c>
      <x:c r="C649" s="54" t="str">
        <x:v>NYC-V2-R01</x:v>
      </x:c>
      <x:c r="D649" s="54" t="str">
        <x:v>V2</x:v>
      </x:c>
      <x:c r="E649" s="54" t="str">
        <x:v>ADMITTED</x:v>
      </x:c>
      <x:c r="F649" s="55" t="n">
        <x:v>32444</x:v>
      </x:c>
      <x:c r="G649" s="55" t="n">
        <x:v>8251</x:v>
      </x:c>
      <x:c r="H649" s="55" t="n">
        <x:v>3027</x:v>
      </x:c>
      <x:c r="I649" s="55" t="n">
        <x:v>1225</x:v>
      </x:c>
      <x:c r="J649" s="55" t="n">
        <x:v>134</x:v>
      </x:c>
      <x:c r="K649" s="55" t="n">
        <x:v>32444</x:v>
      </x:c>
      <x:c r="L649" s="55" t="n">
        <x:v>6970</x:v>
      </x:c>
      <x:c r="M649" s="55" t="n">
        <x:v>2120</x:v>
      </x:c>
      <x:c r="N649" s="55" t="n">
        <x:v>3120</x:v>
      </x:c>
      <x:c r="O649" s="55" t="n">
        <x:v>1730</x:v>
      </x:c>
      <x:c r="P649" s="55" t="n">
        <x:v>537</x:v>
      </x:c>
      <x:c r="Q649" s="55" t="n">
        <x:v>1865</x:v>
      </x:c>
      <x:c r="R649" s="55" t="n">
        <x:v>1807</x:v>
      </x:c>
      <x:c r="S649" s="55" t="n">
        <x:v>2846</x:v>
      </x:c>
      <x:c r="T649" s="55" t="n">
        <x:v>1128</x:v>
      </x:c>
      <x:c r="U649" s="55" t="n">
        <x:v>2369</x:v>
      </x:c>
      <x:c r="V649" s="55" t="n">
        <x:v>10715</x:v>
      </x:c>
      <x:c r="W649" s="55" t="n">
        <x:v>7811</x:v>
      </x:c>
      <x:c r="X649" s="55" t="n">
        <x:v>2904</x:v>
      </x:c>
      <x:c r="Y649" s="55" t="n">
        <x:v>2551</x:v>
      </x:c>
      <x:c r="Z649" s="55" t="n">
        <x:v>3566</x:v>
      </x:c>
      <x:c r="AA649" s="55" t="n">
        <x:v>2705</x:v>
      </x:c>
      <x:c r="AB649" s="55" t="n">
        <x:v>730</x:v>
      </x:c>
      <x:c r="AC649" s="55" t="n">
        <x:v>7420</x:v>
      </x:c>
      <x:c r="AD649" s="55" t="n">
        <x:v>2923</x:v>
      </x:c>
      <x:c r="AE649" s="55" t="n">
        <x:v>10797</x:v>
      </x:c>
      <x:c r="AF649" s="55" t="n">
        <x:v>10715</x:v>
      </x:c>
      <x:c r="AG649" s="55" t="n">
        <x:v>82</x:v>
      </x:c>
      <x:c r="AH649" s="55" t="n">
        <x:v>349</x:v>
      </x:c>
      <x:c r="AI649" s="55" t="n">
        <x:v>10366</x:v>
      </x:c>
      <x:c r="AJ649" s="55" t="n">
        <x:v>315</x:v>
      </x:c>
      <x:c r="AK649" s="55" t="n">
        <x:v>949</x:v>
      </x:c>
      <x:c r="AL649" s="55" t="n">
        <x:v>1895</x:v>
      </x:c>
      <x:c r="AM649" s="55" t="n">
        <x:v>4935</x:v>
      </x:c>
      <x:c r="AN649" s="55" t="n">
        <x:v>2582</x:v>
      </x:c>
      <x:c r="AO649" s="55" t="n">
        <x:v>39</x:v>
      </x:c>
      <x:c r="AP649" s="55" t="n">
        <x:v>2705</x:v>
      </x:c>
      <x:c r="AQ649" s="55" t="n">
        <x:v>972</x:v>
      </x:c>
    </x:row>
    <x:row r="650">
      <x:c r="A650" s="54" t="str">
        <x:v>T2_CONCORDANT_DOMAIN</x:v>
      </x:c>
      <x:c r="B650" s="54" t="n">
        <x:v>644</x:v>
      </x:c>
      <x:c r="C650" s="54" t="str">
        <x:v>NYC-V2-R01</x:v>
      </x:c>
      <x:c r="D650" s="54" t="str">
        <x:v>V2</x:v>
      </x:c>
      <x:c r="E650" s="54" t="str">
        <x:v>ADMITTED</x:v>
      </x:c>
      <x:c r="F650" s="55" t="n">
        <x:v>30388</x:v>
      </x:c>
      <x:c r="G650" s="55" t="n">
        <x:v>7392</x:v>
      </x:c>
      <x:c r="H650" s="55" t="n">
        <x:v>3279</x:v>
      </x:c>
      <x:c r="I650" s="55" t="n">
        <x:v>1066</x:v>
      </x:c>
      <x:c r="J650" s="55" t="n">
        <x:v>218</x:v>
      </x:c>
      <x:c r="K650" s="55" t="n">
        <x:v>28661</x:v>
      </x:c>
      <x:c r="L650" s="55" t="n">
        <x:v>4727</x:v>
      </x:c>
      <x:c r="M650" s="55" t="n">
        <x:v>900</x:v>
      </x:c>
      <x:c r="N650" s="55" t="n">
        <x:v>2059</x:v>
      </x:c>
      <x:c r="O650" s="55" t="n">
        <x:v>1768</x:v>
      </x:c>
      <x:c r="P650" s="55" t="n">
        <x:v>859</x:v>
      </x:c>
      <x:c r="Q650" s="55" t="n">
        <x:v>1962</x:v>
      </x:c>
      <x:c r="R650" s="55" t="n">
        <x:v>1867</x:v>
      </x:c>
      <x:c r="S650" s="55" t="n">
        <x:v>2294</x:v>
      </x:c>
      <x:c r="T650" s="55" t="n">
        <x:v>812</x:v>
      </x:c>
      <x:c r="U650" s="55" t="n">
        <x:v>1623</x:v>
      </x:c>
      <x:c r="V650" s="55" t="n">
        <x:v>10580</x:v>
      </x:c>
      <x:c r="W650" s="55" t="n">
        <x:v>7656</x:v>
      </x:c>
      <x:c r="X650" s="55" t="n">
        <x:v>2924</x:v>
      </x:c>
      <x:c r="Y650" s="55" t="n">
        <x:v>2642</x:v>
      </x:c>
      <x:c r="Z650" s="55" t="n">
        <x:v>3493</x:v>
      </x:c>
      <x:c r="AA650" s="55" t="n">
        <x:v>3140</x:v>
      </x:c>
      <x:c r="AB650" s="55" t="n">
        <x:v>996</x:v>
      </x:c>
      <x:c r="AC650" s="55" t="n">
        <x:v>7422</x:v>
      </x:c>
      <x:c r="AD650" s="55" t="n">
        <x:v>2747</x:v>
      </x:c>
      <x:c r="AE650" s="55" t="n">
        <x:v>10580</x:v>
      </x:c>
      <x:c r="AF650" s="55" t="n">
        <x:v>10580</x:v>
      </x:c>
      <x:c r="AG650" s="55" t="n">
        <x:v>0</x:v>
      </x:c>
      <x:c r="AH650" s="55" t="n">
        <x:v>393</x:v>
      </x:c>
      <x:c r="AI650" s="55" t="n">
        <x:v>10187</x:v>
      </x:c>
      <x:c r="AJ650" s="55" t="n">
        <x:v>149</x:v>
      </x:c>
      <x:c r="AK650" s="55" t="n">
        <x:v>903</x:v>
      </x:c>
      <x:c r="AL650" s="55" t="n">
        <x:v>1683</x:v>
      </x:c>
      <x:c r="AM650" s="55" t="n">
        <x:v>5404</x:v>
      </x:c>
      <x:c r="AN650" s="55" t="n">
        <x:v>2412</x:v>
      </x:c>
      <x:c r="AO650" s="55" t="n">
        <x:v>29</x:v>
      </x:c>
      <x:c r="AP650" s="55" t="n">
        <x:v>2116</x:v>
      </x:c>
      <x:c r="AQ650" s="55" t="n">
        <x:v>909</x:v>
      </x:c>
    </x:row>
    <x:row r="651">
      <x:c r="A651" s="54" t="str">
        <x:v>T2_CONCORDANT_DOMAIN</x:v>
      </x:c>
      <x:c r="B651" s="54" t="n">
        <x:v>645</x:v>
      </x:c>
      <x:c r="C651" s="54" t="str">
        <x:v>NYC-V2-R01</x:v>
      </x:c>
      <x:c r="D651" s="54" t="str">
        <x:v>V2</x:v>
      </x:c>
      <x:c r="E651" s="54" t="str">
        <x:v>ADMITTED</x:v>
      </x:c>
      <x:c r="F651" s="55" t="n">
        <x:v>33272</x:v>
      </x:c>
      <x:c r="G651" s="55" t="n">
        <x:v>9147</x:v>
      </x:c>
      <x:c r="H651" s="55" t="n">
        <x:v>3423</x:v>
      </x:c>
      <x:c r="I651" s="55" t="n">
        <x:v>1269</x:v>
      </x:c>
      <x:c r="J651" s="55" t="n">
        <x:v>313</x:v>
      </x:c>
      <x:c r="K651" s="55" t="n">
        <x:v>32714</x:v>
      </x:c>
      <x:c r="L651" s="55" t="n">
        <x:v>6757</x:v>
      </x:c>
      <x:c r="M651" s="55" t="n">
        <x:v>1975</x:v>
      </x:c>
      <x:c r="N651" s="55" t="n">
        <x:v>2916</x:v>
      </x:c>
      <x:c r="O651" s="55" t="n">
        <x:v>1866</x:v>
      </x:c>
      <x:c r="P651" s="55" t="n">
        <x:v>1082</x:v>
      </x:c>
      <x:c r="Q651" s="55" t="n">
        <x:v>2524</x:v>
      </x:c>
      <x:c r="R651" s="55" t="n">
        <x:v>2390</x:v>
      </x:c>
      <x:c r="S651" s="55" t="n">
        <x:v>3474</x:v>
      </x:c>
      <x:c r="T651" s="55" t="n">
        <x:v>1241</x:v>
      </x:c>
      <x:c r="U651" s="55" t="n">
        <x:v>2159</x:v>
      </x:c>
      <x:c r="V651" s="55" t="n">
        <x:v>10648</x:v>
      </x:c>
      <x:c r="W651" s="55" t="n">
        <x:v>7774</x:v>
      </x:c>
      <x:c r="X651" s="55" t="n">
        <x:v>2874</x:v>
      </x:c>
      <x:c r="Y651" s="55" t="n">
        <x:v>2596</x:v>
      </x:c>
      <x:c r="Z651" s="55" t="n">
        <x:v>3637</x:v>
      </x:c>
      <x:c r="AA651" s="55" t="n">
        <x:v>2997</x:v>
      </x:c>
      <x:c r="AB651" s="55" t="n">
        <x:v>1145</x:v>
      </x:c>
      <x:c r="AC651" s="55" t="n">
        <x:v>8215</x:v>
      </x:c>
      <x:c r="AD651" s="55" t="n">
        <x:v>2910</x:v>
      </x:c>
      <x:c r="AE651" s="55" t="n">
        <x:v>10749</x:v>
      </x:c>
      <x:c r="AF651" s="55" t="n">
        <x:v>10648</x:v>
      </x:c>
      <x:c r="AG651" s="55" t="n">
        <x:v>101</x:v>
      </x:c>
      <x:c r="AH651" s="55" t="n">
        <x:v>622</x:v>
      </x:c>
      <x:c r="AI651" s="55" t="n">
        <x:v>10026</x:v>
      </x:c>
      <x:c r="AJ651" s="55" t="n">
        <x:v>390</x:v>
      </x:c>
      <x:c r="AK651" s="55" t="n">
        <x:v>933</x:v>
      </x:c>
      <x:c r="AL651" s="55" t="n">
        <x:v>1471</x:v>
      </x:c>
      <x:c r="AM651" s="55" t="n">
        <x:v>5138</x:v>
      </x:c>
      <x:c r="AN651" s="55" t="n">
        <x:v>2716</x:v>
      </x:c>
      <x:c r="AO651" s="55" t="n">
        <x:v>0</x:v>
      </x:c>
      <x:c r="AP651" s="55" t="n">
        <x:v>2404</x:v>
      </x:c>
      <x:c r="AQ651" s="55" t="n">
        <x:v>999</x:v>
      </x:c>
    </x:row>
    <x:row r="652">
      <x:c r="A652" s="54" t="str">
        <x:v>T2_CONCORDANT_DOMAIN</x:v>
      </x:c>
      <x:c r="B652" s="54" t="n">
        <x:v>646</x:v>
      </x:c>
      <x:c r="C652" s="54" t="str">
        <x:v>NYC-V2-R01</x:v>
      </x:c>
      <x:c r="D652" s="54" t="str">
        <x:v>V2</x:v>
      </x:c>
      <x:c r="E652" s="54" t="str">
        <x:v>ADMITTED</x:v>
      </x:c>
      <x:c r="F652" s="55" t="n">
        <x:v>30675</x:v>
      </x:c>
      <x:c r="G652" s="55" t="n">
        <x:v>8286</x:v>
      </x:c>
      <x:c r="H652" s="55" t="n">
        <x:v>3265</x:v>
      </x:c>
      <x:c r="I652" s="55" t="n">
        <x:v>942</x:v>
      </x:c>
      <x:c r="J652" s="55" t="n">
        <x:v>165</x:v>
      </x:c>
      <x:c r="K652" s="55" t="n">
        <x:v>28804</x:v>
      </x:c>
      <x:c r="L652" s="55" t="n">
        <x:v>4589</x:v>
      </x:c>
      <x:c r="M652" s="55" t="n">
        <x:v>359</x:v>
      </x:c>
      <x:c r="N652" s="55" t="n">
        <x:v>2720</x:v>
      </x:c>
      <x:c r="O652" s="55" t="n">
        <x:v>1510</x:v>
      </x:c>
      <x:c r="P652" s="55" t="n">
        <x:v>1186</x:v>
      </x:c>
      <x:c r="Q652" s="55" t="n">
        <x:v>1790</x:v>
      </x:c>
      <x:c r="R652" s="55" t="n">
        <x:v>1231</x:v>
      </x:c>
      <x:c r="S652" s="55" t="n">
        <x:v>2681</x:v>
      </x:c>
      <x:c r="T652" s="55" t="n">
        <x:v>869</x:v>
      </x:c>
      <x:c r="U652" s="55" t="n">
        <x:v>2075</x:v>
      </x:c>
      <x:c r="V652" s="55" t="n">
        <x:v>10327</x:v>
      </x:c>
      <x:c r="W652" s="55" t="n">
        <x:v>7443</x:v>
      </x:c>
      <x:c r="X652" s="55" t="n">
        <x:v>2884</x:v>
      </x:c>
      <x:c r="Y652" s="55" t="n">
        <x:v>2568</x:v>
      </x:c>
      <x:c r="Z652" s="55" t="n">
        <x:v>2868</x:v>
      </x:c>
      <x:c r="AA652" s="55" t="n">
        <x:v>3265</x:v>
      </x:c>
      <x:c r="AB652" s="55" t="n">
        <x:v>1200</x:v>
      </x:c>
      <x:c r="AC652" s="55" t="n">
        <x:v>7844</x:v>
      </x:c>
      <x:c r="AD652" s="55" t="n">
        <x:v>2615</x:v>
      </x:c>
      <x:c r="AE652" s="55" t="n">
        <x:v>10366</x:v>
      </x:c>
      <x:c r="AF652" s="55" t="n">
        <x:v>10327</x:v>
      </x:c>
      <x:c r="AG652" s="55" t="n">
        <x:v>39</x:v>
      </x:c>
      <x:c r="AH652" s="55" t="n">
        <x:v>318</x:v>
      </x:c>
      <x:c r="AI652" s="55" t="n">
        <x:v>10009</x:v>
      </x:c>
      <x:c r="AJ652" s="55" t="n">
        <x:v>348</x:v>
      </x:c>
      <x:c r="AK652" s="55" t="n">
        <x:v>707</x:v>
      </x:c>
      <x:c r="AL652" s="55" t="n">
        <x:v>1651</x:v>
      </x:c>
      <x:c r="AM652" s="55" t="n">
        <x:v>4877</x:v>
      </x:c>
      <x:c r="AN652" s="55" t="n">
        <x:v>2744</x:v>
      </x:c>
      <x:c r="AO652" s="55" t="n">
        <x:v>0</x:v>
      </x:c>
      <x:c r="AP652" s="55" t="n">
        <x:v>1931</x:v>
      </x:c>
      <x:c r="AQ652" s="55" t="n">
        <x:v>998</x:v>
      </x:c>
    </x:row>
    <x:row r="653">
      <x:c r="A653" s="54" t="str">
        <x:v>T2_CONCORDANT_DOMAIN</x:v>
      </x:c>
      <x:c r="B653" s="54" t="n">
        <x:v>647</x:v>
      </x:c>
      <x:c r="C653" s="54" t="str">
        <x:v>NYC-V2-R01</x:v>
      </x:c>
      <x:c r="D653" s="54" t="str">
        <x:v>V2</x:v>
      </x:c>
      <x:c r="E653" s="54" t="str">
        <x:v>ADMITTED</x:v>
      </x:c>
      <x:c r="F653" s="55" t="n">
        <x:v>30698</x:v>
      </x:c>
      <x:c r="G653" s="55" t="n">
        <x:v>7056</x:v>
      </x:c>
      <x:c r="H653" s="55" t="n">
        <x:v>3011</x:v>
      </x:c>
      <x:c r="I653" s="55" t="n">
        <x:v>883</x:v>
      </x:c>
      <x:c r="J653" s="55" t="n">
        <x:v>0</x:v>
      </x:c>
      <x:c r="K653" s="55" t="n">
        <x:v>30698</x:v>
      </x:c>
      <x:c r="L653" s="55" t="n">
        <x:v>5598</x:v>
      </x:c>
      <x:c r="M653" s="55" t="n">
        <x:v>929</x:v>
      </x:c>
      <x:c r="N653" s="55" t="n">
        <x:v>2955</x:v>
      </x:c>
      <x:c r="O653" s="55" t="n">
        <x:v>1714</x:v>
      </x:c>
      <x:c r="P653" s="55" t="n">
        <x:v>641</x:v>
      </x:c>
      <x:c r="Q653" s="55" t="n">
        <x:v>2132</x:v>
      </x:c>
      <x:c r="R653" s="55" t="n">
        <x:v>1858</x:v>
      </x:c>
      <x:c r="S653" s="55" t="n">
        <x:v>3304</x:v>
      </x:c>
      <x:c r="T653" s="55" t="n">
        <x:v>1118</x:v>
      </x:c>
      <x:c r="U653" s="55" t="n">
        <x:v>2071</x:v>
      </x:c>
      <x:c r="V653" s="55" t="n">
        <x:v>11098</x:v>
      </x:c>
      <x:c r="W653" s="55" t="n">
        <x:v>8652</x:v>
      </x:c>
      <x:c r="X653" s="55" t="n">
        <x:v>2446</x:v>
      </x:c>
      <x:c r="Y653" s="55" t="n">
        <x:v>1967</x:v>
      </x:c>
      <x:c r="Z653" s="55" t="n">
        <x:v>3627</x:v>
      </x:c>
      <x:c r="AA653" s="55" t="n">
        <x:v>2911</x:v>
      </x:c>
      <x:c r="AB653" s="55" t="n">
        <x:v>1028</x:v>
      </x:c>
      <x:c r="AC653" s="55" t="n">
        <x:v>7928</x:v>
      </x:c>
      <x:c r="AD653" s="55" t="n">
        <x:v>2433</x:v>
      </x:c>
      <x:c r="AE653" s="55" t="n">
        <x:v>11214</x:v>
      </x:c>
      <x:c r="AF653" s="55" t="n">
        <x:v>11098</x:v>
      </x:c>
      <x:c r="AG653" s="55" t="n">
        <x:v>116</x:v>
      </x:c>
      <x:c r="AH653" s="55" t="n">
        <x:v>401</x:v>
      </x:c>
      <x:c r="AI653" s="55" t="n">
        <x:v>10697</x:v>
      </x:c>
      <x:c r="AJ653" s="55" t="n">
        <x:v>286</x:v>
      </x:c>
      <x:c r="AK653" s="55" t="n">
        <x:v>1030</x:v>
      </x:c>
      <x:c r="AL653" s="55" t="n">
        <x:v>1802</x:v>
      </x:c>
      <x:c r="AM653" s="55" t="n">
        <x:v>5172</x:v>
      </x:c>
      <x:c r="AN653" s="55" t="n">
        <x:v>2726</x:v>
      </x:c>
      <x:c r="AO653" s="55" t="n">
        <x:v>82</x:v>
      </x:c>
      <x:c r="AP653" s="55" t="n">
        <x:v>2426</x:v>
      </x:c>
      <x:c r="AQ653" s="55" t="n">
        <x:v>950</x:v>
      </x:c>
    </x:row>
    <x:row r="654">
      <x:c r="A654" s="54" t="str">
        <x:v>T2_CONCORDANT_DOMAIN</x:v>
      </x:c>
      <x:c r="B654" s="54" t="n">
        <x:v>648</x:v>
      </x:c>
      <x:c r="C654" s="54" t="str">
        <x:v>NYC-V2-R01</x:v>
      </x:c>
      <x:c r="D654" s="54" t="str">
        <x:v>V2</x:v>
      </x:c>
      <x:c r="E654" s="54" t="str">
        <x:v>ADMITTED</x:v>
      </x:c>
      <x:c r="F654" s="55" t="n">
        <x:v>31110</x:v>
      </x:c>
      <x:c r="G654" s="55" t="n">
        <x:v>6421</x:v>
      </x:c>
      <x:c r="H654" s="55" t="n">
        <x:v>2958</x:v>
      </x:c>
      <x:c r="I654" s="55" t="n">
        <x:v>1401</x:v>
      </x:c>
      <x:c r="J654" s="55" t="n">
        <x:v>141</x:v>
      </x:c>
      <x:c r="K654" s="55" t="n">
        <x:v>31110</x:v>
      </x:c>
      <x:c r="L654" s="55" t="n">
        <x:v>5895</x:v>
      </x:c>
      <x:c r="M654" s="55" t="n">
        <x:v>995</x:v>
      </x:c>
      <x:c r="N654" s="55" t="n">
        <x:v>2681</x:v>
      </x:c>
      <x:c r="O654" s="55" t="n">
        <x:v>2219</x:v>
      </x:c>
      <x:c r="P654" s="55" t="n">
        <x:v>674</x:v>
      </x:c>
      <x:c r="Q654" s="55" t="n">
        <x:v>2449</x:v>
      </x:c>
      <x:c r="R654" s="55" t="n">
        <x:v>1788</x:v>
      </x:c>
      <x:c r="S654" s="55" t="n">
        <x:v>2360</x:v>
      </x:c>
      <x:c r="T654" s="55" t="n">
        <x:v>1114</x:v>
      </x:c>
      <x:c r="U654" s="55" t="n">
        <x:v>2280</x:v>
      </x:c>
      <x:c r="V654" s="55" t="n">
        <x:v>10636</x:v>
      </x:c>
      <x:c r="W654" s="55" t="n">
        <x:v>8028</x:v>
      </x:c>
      <x:c r="X654" s="55" t="n">
        <x:v>2608</x:v>
      </x:c>
      <x:c r="Y654" s="55" t="n">
        <x:v>2276</x:v>
      </x:c>
      <x:c r="Z654" s="55" t="n">
        <x:v>3237</x:v>
      </x:c>
      <x:c r="AA654" s="55" t="n">
        <x:v>2895</x:v>
      </x:c>
      <x:c r="AB654" s="55" t="n">
        <x:v>872</x:v>
      </x:c>
      <x:c r="AC654" s="55" t="n">
        <x:v>7675</x:v>
      </x:c>
      <x:c r="AD654" s="55" t="n">
        <x:v>2337</x:v>
      </x:c>
      <x:c r="AE654" s="55" t="n">
        <x:v>10696</x:v>
      </x:c>
      <x:c r="AF654" s="55" t="n">
        <x:v>10636</x:v>
      </x:c>
      <x:c r="AG654" s="55" t="n">
        <x:v>60</x:v>
      </x:c>
      <x:c r="AH654" s="55" t="n">
        <x:v>401</x:v>
      </x:c>
      <x:c r="AI654" s="55" t="n">
        <x:v>10235</x:v>
      </x:c>
      <x:c r="AJ654" s="55" t="n">
        <x:v>394</x:v>
      </x:c>
      <x:c r="AK654" s="55" t="n">
        <x:v>1081</x:v>
      </x:c>
      <x:c r="AL654" s="55" t="n">
        <x:v>1226</x:v>
      </x:c>
      <x:c r="AM654" s="55" t="n">
        <x:v>5132</x:v>
      </x:c>
      <x:c r="AN654" s="55" t="n">
        <x:v>2803</x:v>
      </x:c>
      <x:c r="AO654" s="55" t="n">
        <x:v>0</x:v>
      </x:c>
      <x:c r="AP654" s="55" t="n">
        <x:v>2606</x:v>
      </x:c>
      <x:c r="AQ654" s="55" t="n">
        <x:v>928</x:v>
      </x:c>
    </x:row>
    <x:row r="655">
      <x:c r="A655" s="54" t="str">
        <x:v>T2_CONCORDANT_DOMAIN</x:v>
      </x:c>
      <x:c r="B655" s="54" t="n">
        <x:v>649</x:v>
      </x:c>
      <x:c r="C655" s="54" t="str">
        <x:v>NYC-V2-R01</x:v>
      </x:c>
      <x:c r="D655" s="54" t="str">
        <x:v>V2</x:v>
      </x:c>
      <x:c r="E655" s="54" t="str">
        <x:v>ADMITTED</x:v>
      </x:c>
      <x:c r="F655" s="55" t="n">
        <x:v>31922</x:v>
      </x:c>
      <x:c r="G655" s="55" t="n">
        <x:v>7375</x:v>
      </x:c>
      <x:c r="H655" s="55" t="n">
        <x:v>3134</x:v>
      </x:c>
      <x:c r="I655" s="55" t="n">
        <x:v>1326</x:v>
      </x:c>
      <x:c r="J655" s="55" t="n">
        <x:v>291</x:v>
      </x:c>
      <x:c r="K655" s="55" t="n">
        <x:v>29813</x:v>
      </x:c>
      <x:c r="L655" s="55" t="n">
        <x:v>5429</x:v>
      </x:c>
      <x:c r="M655" s="55" t="n">
        <x:v>520</x:v>
      </x:c>
      <x:c r="N655" s="55" t="n">
        <x:v>2876</x:v>
      </x:c>
      <x:c r="O655" s="55" t="n">
        <x:v>2033</x:v>
      </x:c>
      <x:c r="P655" s="55" t="n">
        <x:v>686</x:v>
      </x:c>
      <x:c r="Q655" s="55" t="n">
        <x:v>2539</x:v>
      </x:c>
      <x:c r="R655" s="55" t="n">
        <x:v>2357</x:v>
      </x:c>
      <x:c r="S655" s="55" t="n">
        <x:v>3223</x:v>
      </x:c>
      <x:c r="T655" s="55" t="n">
        <x:v>1230</x:v>
      </x:c>
      <x:c r="U655" s="55" t="n">
        <x:v>2433</x:v>
      </x:c>
      <x:c r="V655" s="55" t="n">
        <x:v>10346</x:v>
      </x:c>
      <x:c r="W655" s="55" t="n">
        <x:v>7002</x:v>
      </x:c>
      <x:c r="X655" s="55" t="n">
        <x:v>3344</x:v>
      </x:c>
      <x:c r="Y655" s="55" t="n">
        <x:v>2820</x:v>
      </x:c>
      <x:c r="Z655" s="55" t="n">
        <x:v>3568</x:v>
      </x:c>
      <x:c r="AA655" s="55" t="n">
        <x:v>2351</x:v>
      </x:c>
      <x:c r="AB655" s="55" t="n">
        <x:v>567</x:v>
      </x:c>
      <x:c r="AC655" s="55" t="n">
        <x:v>8072</x:v>
      </x:c>
      <x:c r="AD655" s="55" t="n">
        <x:v>2765</x:v>
      </x:c>
      <x:c r="AE655" s="55" t="n">
        <x:v>10421</x:v>
      </x:c>
      <x:c r="AF655" s="55" t="n">
        <x:v>10346</x:v>
      </x:c>
      <x:c r="AG655" s="55" t="n">
        <x:v>75</x:v>
      </x:c>
      <x:c r="AH655" s="55" t="n">
        <x:v>389</x:v>
      </x:c>
      <x:c r="AI655" s="55" t="n">
        <x:v>9957</x:v>
      </x:c>
      <x:c r="AJ655" s="55" t="n">
        <x:v>418</x:v>
      </x:c>
      <x:c r="AK655" s="55" t="n">
        <x:v>927</x:v>
      </x:c>
      <x:c r="AL655" s="55" t="n">
        <x:v>1188</x:v>
      </x:c>
      <x:c r="AM655" s="55" t="n">
        <x:v>4857</x:v>
      </x:c>
      <x:c r="AN655" s="55" t="n">
        <x:v>2864</x:v>
      </x:c>
      <x:c r="AO655" s="55" t="n">
        <x:v>92</x:v>
      </x:c>
      <x:c r="AP655" s="55" t="n">
        <x:v>1993</x:v>
      </x:c>
      <x:c r="AQ655" s="55" t="n">
        <x:v>922</x:v>
      </x:c>
    </x:row>
    <x:row r="656">
      <x:c r="A656" s="54" t="str">
        <x:v>T2_CONCORDANT_DOMAIN</x:v>
      </x:c>
      <x:c r="B656" s="54" t="n">
        <x:v>650</x:v>
      </x:c>
      <x:c r="C656" s="54" t="str">
        <x:v>NYC-V2-R01</x:v>
      </x:c>
      <x:c r="D656" s="54" t="str">
        <x:v>V2</x:v>
      </x:c>
      <x:c r="E656" s="54" t="str">
        <x:v>ADMITTED</x:v>
      </x:c>
      <x:c r="F656" s="55" t="n">
        <x:v>30240</x:v>
      </x:c>
      <x:c r="G656" s="55" t="n">
        <x:v>5917</x:v>
      </x:c>
      <x:c r="H656" s="55" t="n">
        <x:v>3252</x:v>
      </x:c>
      <x:c r="I656" s="55" t="n">
        <x:v>1348</x:v>
      </x:c>
      <x:c r="J656" s="55" t="n">
        <x:v>110</x:v>
      </x:c>
      <x:c r="K656" s="55" t="n">
        <x:v>30240</x:v>
      </x:c>
      <x:c r="L656" s="55" t="n">
        <x:v>6010</x:v>
      </x:c>
      <x:c r="M656" s="55" t="n">
        <x:v>1226</x:v>
      </x:c>
      <x:c r="N656" s="55" t="n">
        <x:v>3128</x:v>
      </x:c>
      <x:c r="O656" s="55" t="n">
        <x:v>1656</x:v>
      </x:c>
      <x:c r="P656" s="55" t="n">
        <x:v>818</x:v>
      </x:c>
      <x:c r="Q656" s="55" t="n">
        <x:v>2040</x:v>
      </x:c>
      <x:c r="R656" s="55" t="n">
        <x:v>1935</x:v>
      </x:c>
      <x:c r="S656" s="55" t="n">
        <x:v>2334</x:v>
      </x:c>
      <x:c r="T656" s="55" t="n">
        <x:v>1303</x:v>
      </x:c>
      <x:c r="U656" s="55" t="n">
        <x:v>1805</x:v>
      </x:c>
      <x:c r="V656" s="55" t="n">
        <x:v>10284</x:v>
      </x:c>
      <x:c r="W656" s="55" t="n">
        <x:v>7122</x:v>
      </x:c>
      <x:c r="X656" s="55" t="n">
        <x:v>3162</x:v>
      </x:c>
      <x:c r="Y656" s="55" t="n">
        <x:v>2776</x:v>
      </x:c>
      <x:c r="Z656" s="55" t="n">
        <x:v>3807</x:v>
      </x:c>
      <x:c r="AA656" s="55" t="n">
        <x:v>2983</x:v>
      </x:c>
      <x:c r="AB656" s="55" t="n">
        <x:v>964</x:v>
      </x:c>
      <x:c r="AC656" s="55" t="n">
        <x:v>7669</x:v>
      </x:c>
      <x:c r="AD656" s="55" t="n">
        <x:v>3271</x:v>
      </x:c>
      <x:c r="AE656" s="55" t="n">
        <x:v>10360</x:v>
      </x:c>
      <x:c r="AF656" s="55" t="n">
        <x:v>10284</x:v>
      </x:c>
      <x:c r="AG656" s="55" t="n">
        <x:v>76</x:v>
      </x:c>
      <x:c r="AH656" s="55" t="n">
        <x:v>526</x:v>
      </x:c>
      <x:c r="AI656" s="55" t="n">
        <x:v>9758</x:v>
      </x:c>
      <x:c r="AJ656" s="55" t="n">
        <x:v>123</x:v>
      </x:c>
      <x:c r="AK656" s="55" t="n">
        <x:v>1030</x:v>
      </x:c>
      <x:c r="AL656" s="55" t="n">
        <x:v>1374</x:v>
      </x:c>
      <x:c r="AM656" s="55" t="n">
        <x:v>4994</x:v>
      </x:c>
      <x:c r="AN656" s="55" t="n">
        <x:v>2749</x:v>
      </x:c>
      <x:c r="AO656" s="55" t="n">
        <x:v>14</x:v>
      </x:c>
      <x:c r="AP656" s="55" t="n">
        <x:v>2388</x:v>
      </x:c>
      <x:c r="AQ656" s="55" t="n">
        <x:v>939</x:v>
      </x:c>
    </x:row>
    <x:row r="657">
      <x:c r="A657" s="54" t="str">
        <x:v>T2_CONCORDANT_DOMAIN</x:v>
      </x:c>
      <x:c r="B657" s="54" t="n">
        <x:v>651</x:v>
      </x:c>
      <x:c r="C657" s="54" t="str">
        <x:v>NYC-V2-R01</x:v>
      </x:c>
      <x:c r="D657" s="54" t="str">
        <x:v>V2</x:v>
      </x:c>
      <x:c r="E657" s="54" t="str">
        <x:v>ADMITTED</x:v>
      </x:c>
      <x:c r="F657" s="55" t="n">
        <x:v>31596</x:v>
      </x:c>
      <x:c r="G657" s="55" t="n">
        <x:v>7634</x:v>
      </x:c>
      <x:c r="H657" s="55" t="n">
        <x:v>3179</x:v>
      </x:c>
      <x:c r="I657" s="55" t="n">
        <x:v>1109</x:v>
      </x:c>
      <x:c r="J657" s="55" t="n">
        <x:v>115</x:v>
      </x:c>
      <x:c r="K657" s="55" t="n">
        <x:v>27818</x:v>
      </x:c>
      <x:c r="L657" s="55" t="n">
        <x:v>4673</x:v>
      </x:c>
      <x:c r="M657" s="55" t="n">
        <x:v>959</x:v>
      </x:c>
      <x:c r="N657" s="55" t="n">
        <x:v>2537</x:v>
      </x:c>
      <x:c r="O657" s="55" t="n">
        <x:v>1177</x:v>
      </x:c>
      <x:c r="P657" s="55" t="n">
        <x:v>622</x:v>
      </x:c>
      <x:c r="Q657" s="55" t="n">
        <x:v>1659</x:v>
      </x:c>
      <x:c r="R657" s="55" t="n">
        <x:v>1682</x:v>
      </x:c>
      <x:c r="S657" s="55" t="n">
        <x:v>3088</x:v>
      </x:c>
      <x:c r="T657" s="55" t="n">
        <x:v>942</x:v>
      </x:c>
      <x:c r="U657" s="55" t="n">
        <x:v>1251</x:v>
      </x:c>
      <x:c r="V657" s="55" t="n">
        <x:v>10820</x:v>
      </x:c>
      <x:c r="W657" s="55" t="n">
        <x:v>8163</x:v>
      </x:c>
      <x:c r="X657" s="55" t="n">
        <x:v>2657</x:v>
      </x:c>
      <x:c r="Y657" s="55" t="n">
        <x:v>2282</x:v>
      </x:c>
      <x:c r="Z657" s="55" t="n">
        <x:v>3886</x:v>
      </x:c>
      <x:c r="AA657" s="55" t="n">
        <x:v>3004</x:v>
      </x:c>
      <x:c r="AB657" s="55" t="n">
        <x:v>1149</x:v>
      </x:c>
      <x:c r="AC657" s="55" t="n">
        <x:v>8071</x:v>
      </x:c>
      <x:c r="AD657" s="55" t="n">
        <x:v>2548</x:v>
      </x:c>
      <x:c r="AE657" s="55" t="n">
        <x:v>10907</x:v>
      </x:c>
      <x:c r="AF657" s="55" t="n">
        <x:v>10820</x:v>
      </x:c>
      <x:c r="AG657" s="55" t="n">
        <x:v>87</x:v>
      </x:c>
      <x:c r="AH657" s="55" t="n">
        <x:v>343</x:v>
      </x:c>
      <x:c r="AI657" s="55" t="n">
        <x:v>10477</x:v>
      </x:c>
      <x:c r="AJ657" s="55" t="n">
        <x:v>443</x:v>
      </x:c>
      <x:c r="AK657" s="55" t="n">
        <x:v>742</x:v>
      </x:c>
      <x:c r="AL657" s="55" t="n">
        <x:v>1774</x:v>
      </x:c>
      <x:c r="AM657" s="55" t="n">
        <x:v>4836</x:v>
      </x:c>
      <x:c r="AN657" s="55" t="n">
        <x:v>2974</x:v>
      </x:c>
      <x:c r="AO657" s="55" t="n">
        <x:v>51</x:v>
      </x:c>
      <x:c r="AP657" s="55" t="n">
        <x:v>2117</x:v>
      </x:c>
      <x:c r="AQ657" s="55" t="n">
        <x:v>972</x:v>
      </x:c>
    </x:row>
    <x:row r="658">
      <x:c r="A658" s="54" t="str">
        <x:v>T2_CONCORDANT_DOMAIN</x:v>
      </x:c>
      <x:c r="B658" s="54" t="n">
        <x:v>652</x:v>
      </x:c>
      <x:c r="C658" s="54" t="str">
        <x:v>NYC-V2-R01</x:v>
      </x:c>
      <x:c r="D658" s="54" t="str">
        <x:v>V2</x:v>
      </x:c>
      <x:c r="E658" s="54" t="str">
        <x:v>ADMITTED</x:v>
      </x:c>
      <x:c r="F658" s="55" t="n">
        <x:v>30264</x:v>
      </x:c>
      <x:c r="G658" s="55" t="n">
        <x:v>7087</x:v>
      </x:c>
      <x:c r="H658" s="55" t="n">
        <x:v>3370</x:v>
      </x:c>
      <x:c r="I658" s="55" t="n">
        <x:v>1407</x:v>
      </x:c>
      <x:c r="J658" s="55" t="n">
        <x:v>201</x:v>
      </x:c>
      <x:c r="K658" s="55" t="n">
        <x:v>28375</x:v>
      </x:c>
      <x:c r="L658" s="55" t="n">
        <x:v>3952</x:v>
      </x:c>
      <x:c r="M658" s="55" t="n">
        <x:v>555</x:v>
      </x:c>
      <x:c r="N658" s="55" t="n">
        <x:v>1985</x:v>
      </x:c>
      <x:c r="O658" s="55" t="n">
        <x:v>1412</x:v>
      </x:c>
      <x:c r="P658" s="55" t="n">
        <x:v>505</x:v>
      </x:c>
      <x:c r="Q658" s="55" t="n">
        <x:v>1531</x:v>
      </x:c>
      <x:c r="R658" s="55" t="n">
        <x:v>1622</x:v>
      </x:c>
      <x:c r="S658" s="55" t="n">
        <x:v>2127</x:v>
      </x:c>
      <x:c r="T658" s="55" t="n">
        <x:v>576</x:v>
      </x:c>
      <x:c r="U658" s="55" t="n">
        <x:v>1439</x:v>
      </x:c>
      <x:c r="V658" s="55" t="n">
        <x:v>10036</x:v>
      </x:c>
      <x:c r="W658" s="55" t="n">
        <x:v>6976</x:v>
      </x:c>
      <x:c r="X658" s="55" t="n">
        <x:v>3060</x:v>
      </x:c>
      <x:c r="Y658" s="55" t="n">
        <x:v>2614</x:v>
      </x:c>
      <x:c r="Z658" s="55" t="n">
        <x:v>3896</x:v>
      </x:c>
      <x:c r="AA658" s="55" t="n">
        <x:v>3253</x:v>
      </x:c>
      <x:c r="AB658" s="55" t="n">
        <x:v>1161</x:v>
      </x:c>
      <x:c r="AC658" s="55" t="n">
        <x:v>8301</x:v>
      </x:c>
      <x:c r="AD658" s="55" t="n">
        <x:v>2265</x:v>
      </x:c>
      <x:c r="AE658" s="55" t="n">
        <x:v>10085</x:v>
      </x:c>
      <x:c r="AF658" s="55" t="n">
        <x:v>10036</x:v>
      </x:c>
      <x:c r="AG658" s="55" t="n">
        <x:v>49</x:v>
      </x:c>
      <x:c r="AH658" s="55" t="n">
        <x:v>439</x:v>
      </x:c>
      <x:c r="AI658" s="55" t="n">
        <x:v>9597</x:v>
      </x:c>
      <x:c r="AJ658" s="55" t="n">
        <x:v>246</x:v>
      </x:c>
      <x:c r="AK658" s="55" t="n">
        <x:v>1268</x:v>
      </x:c>
      <x:c r="AL658" s="55" t="n">
        <x:v>1299</x:v>
      </x:c>
      <x:c r="AM658" s="55" t="n">
        <x:v>4429</x:v>
      </x:c>
      <x:c r="AN658" s="55" t="n">
        <x:v>2794</x:v>
      </x:c>
      <x:c r="AO658" s="55" t="n">
        <x:v>0</x:v>
      </x:c>
      <x:c r="AP658" s="55" t="n">
        <x:v>2277</x:v>
      </x:c>
      <x:c r="AQ658" s="55" t="n">
        <x:v>883</x:v>
      </x:c>
    </x:row>
    <x:row r="659">
      <x:c r="A659" s="54" t="str">
        <x:v>T2_CONCORDANT_DOMAIN</x:v>
      </x:c>
      <x:c r="B659" s="54" t="n">
        <x:v>653</x:v>
      </x:c>
      <x:c r="C659" s="54" t="str">
        <x:v>NYC-V2-R01</x:v>
      </x:c>
      <x:c r="D659" s="54" t="str">
        <x:v>V2</x:v>
      </x:c>
      <x:c r="E659" s="54" t="str">
        <x:v>ADMITTED</x:v>
      </x:c>
      <x:c r="F659" s="55" t="n">
        <x:v>31274</x:v>
      </x:c>
      <x:c r="G659" s="55" t="n">
        <x:v>7183</x:v>
      </x:c>
      <x:c r="H659" s="55" t="n">
        <x:v>3616</x:v>
      </x:c>
      <x:c r="I659" s="55" t="n">
        <x:v>1269</x:v>
      </x:c>
      <x:c r="J659" s="55" t="n">
        <x:v>122</x:v>
      </x:c>
      <x:c r="K659" s="55" t="n">
        <x:v>28459</x:v>
      </x:c>
      <x:c r="L659" s="55" t="n">
        <x:v>4641</x:v>
      </x:c>
      <x:c r="M659" s="55" t="n">
        <x:v>505</x:v>
      </x:c>
      <x:c r="N659" s="55" t="n">
        <x:v>2739</x:v>
      </x:c>
      <x:c r="O659" s="55" t="n">
        <x:v>1397</x:v>
      </x:c>
      <x:c r="P659" s="55" t="n">
        <x:v>927</x:v>
      </x:c>
      <x:c r="Q659" s="55" t="n">
        <x:v>2331</x:v>
      </x:c>
      <x:c r="R659" s="55" t="n">
        <x:v>1308</x:v>
      </x:c>
      <x:c r="S659" s="55" t="n">
        <x:v>2242</x:v>
      </x:c>
      <x:c r="T659" s="55" t="n">
        <x:v>927</x:v>
      </x:c>
      <x:c r="U659" s="55" t="n">
        <x:v>1873</x:v>
      </x:c>
      <x:c r="V659" s="55" t="n">
        <x:v>10691</x:v>
      </x:c>
      <x:c r="W659" s="55" t="n">
        <x:v>8228</x:v>
      </x:c>
      <x:c r="X659" s="55" t="n">
        <x:v>2463</x:v>
      </x:c>
      <x:c r="Y659" s="55" t="n">
        <x:v>2264</x:v>
      </x:c>
      <x:c r="Z659" s="55" t="n">
        <x:v>3279</x:v>
      </x:c>
      <x:c r="AA659" s="55" t="n">
        <x:v>2968</x:v>
      </x:c>
      <x:c r="AB659" s="55" t="n">
        <x:v>980</x:v>
      </x:c>
      <x:c r="AC659" s="55" t="n">
        <x:v>7385</x:v>
      </x:c>
      <x:c r="AD659" s="55" t="n">
        <x:v>2458</x:v>
      </x:c>
      <x:c r="AE659" s="55" t="n">
        <x:v>10784</x:v>
      </x:c>
      <x:c r="AF659" s="55" t="n">
        <x:v>10691</x:v>
      </x:c>
      <x:c r="AG659" s="55" t="n">
        <x:v>93</x:v>
      </x:c>
      <x:c r="AH659" s="55" t="n">
        <x:v>580</x:v>
      </x:c>
      <x:c r="AI659" s="55" t="n">
        <x:v>10111</x:v>
      </x:c>
      <x:c r="AJ659" s="55" t="n">
        <x:v>255</x:v>
      </x:c>
      <x:c r="AK659" s="55" t="n">
        <x:v>1124</x:v>
      </x:c>
      <x:c r="AL659" s="55" t="n">
        <x:v>1494</x:v>
      </x:c>
      <x:c r="AM659" s="55" t="n">
        <x:v>4758</x:v>
      </x:c>
      <x:c r="AN659" s="55" t="n">
        <x:v>3060</x:v>
      </x:c>
      <x:c r="AO659" s="55" t="n">
        <x:v>0</x:v>
      </x:c>
      <x:c r="AP659" s="55" t="n">
        <x:v>2808</x:v>
      </x:c>
      <x:c r="AQ659" s="55" t="n">
        <x:v>921</x:v>
      </x:c>
    </x:row>
    <x:row r="660">
      <x:c r="A660" s="54" t="str">
        <x:v>T2_CONCORDANT_DOMAIN</x:v>
      </x:c>
      <x:c r="B660" s="54" t="n">
        <x:v>654</x:v>
      </x:c>
      <x:c r="C660" s="54" t="str">
        <x:v>NYC-V2-R01</x:v>
      </x:c>
      <x:c r="D660" s="54" t="str">
        <x:v>V2</x:v>
      </x:c>
      <x:c r="E660" s="54" t="str">
        <x:v>ADMITTED</x:v>
      </x:c>
      <x:c r="F660" s="55" t="n">
        <x:v>33531</x:v>
      </x:c>
      <x:c r="G660" s="55" t="n">
        <x:v>8093</x:v>
      </x:c>
      <x:c r="H660" s="55" t="n">
        <x:v>3712</x:v>
      </x:c>
      <x:c r="I660" s="55" t="n">
        <x:v>1625</x:v>
      </x:c>
      <x:c r="J660" s="55" t="n">
        <x:v>259</x:v>
      </x:c>
      <x:c r="K660" s="55" t="n">
        <x:v>33531</x:v>
      </x:c>
      <x:c r="L660" s="55" t="n">
        <x:v>6430</x:v>
      </x:c>
      <x:c r="M660" s="55" t="n">
        <x:v>1279</x:v>
      </x:c>
      <x:c r="N660" s="55" t="n">
        <x:v>3088</x:v>
      </x:c>
      <x:c r="O660" s="55" t="n">
        <x:v>2063</x:v>
      </x:c>
      <x:c r="P660" s="55" t="n">
        <x:v>687</x:v>
      </x:c>
      <x:c r="Q660" s="55" t="n">
        <x:v>2437</x:v>
      </x:c>
      <x:c r="R660" s="55" t="n">
        <x:v>1609</x:v>
      </x:c>
      <x:c r="S660" s="55" t="n">
        <x:v>2762</x:v>
      </x:c>
      <x:c r="T660" s="55" t="n">
        <x:v>1020</x:v>
      </x:c>
      <x:c r="U660" s="55" t="n">
        <x:v>2346</x:v>
      </x:c>
      <x:c r="V660" s="55" t="n">
        <x:v>10434</x:v>
      </x:c>
      <x:c r="W660" s="55" t="n">
        <x:v>7373</x:v>
      </x:c>
      <x:c r="X660" s="55" t="n">
        <x:v>3061</x:v>
      </x:c>
      <x:c r="Y660" s="55" t="n">
        <x:v>2617</x:v>
      </x:c>
      <x:c r="Z660" s="55" t="n">
        <x:v>3712</x:v>
      </x:c>
      <x:c r="AA660" s="55" t="n">
        <x:v>3415</x:v>
      </x:c>
      <x:c r="AB660" s="55" t="n">
        <x:v>1293</x:v>
      </x:c>
      <x:c r="AC660" s="55" t="n">
        <x:v>8412</x:v>
      </x:c>
      <x:c r="AD660" s="55" t="n">
        <x:v>3623</x:v>
      </x:c>
      <x:c r="AE660" s="55" t="n">
        <x:v>10593</x:v>
      </x:c>
      <x:c r="AF660" s="55" t="n">
        <x:v>10434</x:v>
      </x:c>
      <x:c r="AG660" s="55" t="n">
        <x:v>159</x:v>
      </x:c>
      <x:c r="AH660" s="55" t="n">
        <x:v>394</x:v>
      </x:c>
      <x:c r="AI660" s="55" t="n">
        <x:v>10040</x:v>
      </x:c>
      <x:c r="AJ660" s="55" t="n">
        <x:v>349</x:v>
      </x:c>
      <x:c r="AK660" s="55" t="n">
        <x:v>848</x:v>
      </x:c>
      <x:c r="AL660" s="55" t="n">
        <x:v>1242</x:v>
      </x:c>
      <x:c r="AM660" s="55" t="n">
        <x:v>5378</x:v>
      </x:c>
      <x:c r="AN660" s="55" t="n">
        <x:v>2575</x:v>
      </x:c>
      <x:c r="AO660" s="55" t="n">
        <x:v>42</x:v>
      </x:c>
      <x:c r="AP660" s="55" t="n">
        <x:v>2546</x:v>
      </x:c>
      <x:c r="AQ660" s="55" t="n">
        <x:v>982</x:v>
      </x:c>
    </x:row>
    <x:row r="661">
      <x:c r="A661" s="54" t="str">
        <x:v>T2_CONCORDANT_DOMAIN</x:v>
      </x:c>
      <x:c r="B661" s="54" t="n">
        <x:v>655</x:v>
      </x:c>
      <x:c r="C661" s="54" t="str">
        <x:v>NYC-V2-R01</x:v>
      </x:c>
      <x:c r="D661" s="54" t="str">
        <x:v>V2</x:v>
      </x:c>
      <x:c r="E661" s="54" t="str">
        <x:v>ADMITTED</x:v>
      </x:c>
      <x:c r="F661" s="55" t="n">
        <x:v>31473</x:v>
      </x:c>
      <x:c r="G661" s="55" t="n">
        <x:v>7282</x:v>
      </x:c>
      <x:c r="H661" s="55" t="n">
        <x:v>3266</x:v>
      </x:c>
      <x:c r="I661" s="55" t="n">
        <x:v>1005</x:v>
      </x:c>
      <x:c r="J661" s="55" t="n">
        <x:v>229</x:v>
      </x:c>
      <x:c r="K661" s="55" t="n">
        <x:v>29557</x:v>
      </x:c>
      <x:c r="L661" s="55" t="n">
        <x:v>4849</x:v>
      </x:c>
      <x:c r="M661" s="55" t="n">
        <x:v>1315</x:v>
      </x:c>
      <x:c r="N661" s="55" t="n">
        <x:v>1941</x:v>
      </x:c>
      <x:c r="O661" s="55" t="n">
        <x:v>1593</x:v>
      </x:c>
      <x:c r="P661" s="55" t="n">
        <x:v>923</x:v>
      </x:c>
      <x:c r="Q661" s="55" t="n">
        <x:v>1739</x:v>
      </x:c>
      <x:c r="R661" s="55" t="n">
        <x:v>1386</x:v>
      </x:c>
      <x:c r="S661" s="55" t="n">
        <x:v>2657</x:v>
      </x:c>
      <x:c r="T661" s="55" t="n">
        <x:v>1076</x:v>
      </x:c>
      <x:c r="U661" s="55" t="n">
        <x:v>1911</x:v>
      </x:c>
      <x:c r="V661" s="55" t="n">
        <x:v>10836</x:v>
      </x:c>
      <x:c r="W661" s="55" t="n">
        <x:v>8057</x:v>
      </x:c>
      <x:c r="X661" s="55" t="n">
        <x:v>2779</x:v>
      </x:c>
      <x:c r="Y661" s="55" t="n">
        <x:v>2459</x:v>
      </x:c>
      <x:c r="Z661" s="55" t="n">
        <x:v>3280</x:v>
      </x:c>
      <x:c r="AA661" s="55" t="n">
        <x:v>2763</x:v>
      </x:c>
      <x:c r="AB661" s="55" t="n">
        <x:v>925</x:v>
      </x:c>
      <x:c r="AC661" s="55" t="n">
        <x:v>7890</x:v>
      </x:c>
      <x:c r="AD661" s="55" t="n">
        <x:v>2866</x:v>
      </x:c>
      <x:c r="AE661" s="55" t="n">
        <x:v>10954</x:v>
      </x:c>
      <x:c r="AF661" s="55" t="n">
        <x:v>10836</x:v>
      </x:c>
      <x:c r="AG661" s="55" t="n">
        <x:v>118</x:v>
      </x:c>
      <x:c r="AH661" s="55" t="n">
        <x:v>430</x:v>
      </x:c>
      <x:c r="AI661" s="55" t="n">
        <x:v>10406</x:v>
      </x:c>
      <x:c r="AJ661" s="55" t="n">
        <x:v>353</x:v>
      </x:c>
      <x:c r="AK661" s="55" t="n">
        <x:v>1125</x:v>
      </x:c>
      <x:c r="AL661" s="55" t="n">
        <x:v>1936</x:v>
      </x:c>
      <x:c r="AM661" s="55" t="n">
        <x:v>4928</x:v>
      </x:c>
      <x:c r="AN661" s="55" t="n">
        <x:v>2494</x:v>
      </x:c>
      <x:c r="AO661" s="55" t="n">
        <x:v>0</x:v>
      </x:c>
      <x:c r="AP661" s="55" t="n">
        <x:v>2334</x:v>
      </x:c>
      <x:c r="AQ661" s="55" t="n">
        <x:v>960</x:v>
      </x:c>
    </x:row>
    <x:row r="662">
      <x:c r="A662" s="54" t="str">
        <x:v>T2_CONCORDANT_DOMAIN</x:v>
      </x:c>
      <x:c r="B662" s="54" t="n">
        <x:v>656</x:v>
      </x:c>
      <x:c r="C662" s="54" t="str">
        <x:v>NYC-V2-R01</x:v>
      </x:c>
      <x:c r="D662" s="54" t="str">
        <x:v>V2</x:v>
      </x:c>
      <x:c r="E662" s="54" t="str">
        <x:v>ADMITTED</x:v>
      </x:c>
      <x:c r="F662" s="55" t="n">
        <x:v>31240</x:v>
      </x:c>
      <x:c r="G662" s="55" t="n">
        <x:v>7112</x:v>
      </x:c>
      <x:c r="H662" s="55" t="n">
        <x:v>3073</x:v>
      </x:c>
      <x:c r="I662" s="55" t="n">
        <x:v>912</x:v>
      </x:c>
      <x:c r="J662" s="55" t="n">
        <x:v>0</x:v>
      </x:c>
      <x:c r="K662" s="55" t="n">
        <x:v>31240</x:v>
      </x:c>
      <x:c r="L662" s="55" t="n">
        <x:v>6975</x:v>
      </x:c>
      <x:c r="M662" s="55" t="n">
        <x:v>3064</x:v>
      </x:c>
      <x:c r="N662" s="55" t="n">
        <x:v>2505</x:v>
      </x:c>
      <x:c r="O662" s="55" t="n">
        <x:v>1406</x:v>
      </x:c>
      <x:c r="P662" s="55" t="n">
        <x:v>838</x:v>
      </x:c>
      <x:c r="Q662" s="55" t="n">
        <x:v>2756</x:v>
      </x:c>
      <x:c r="R662" s="55" t="n">
        <x:v>1865</x:v>
      </x:c>
      <x:c r="S662" s="55" t="n">
        <x:v>2285</x:v>
      </x:c>
      <x:c r="T662" s="55" t="n">
        <x:v>1210</x:v>
      </x:c>
      <x:c r="U662" s="55" t="n">
        <x:v>2368</x:v>
      </x:c>
      <x:c r="V662" s="55" t="n">
        <x:v>9820</x:v>
      </x:c>
      <x:c r="W662" s="55" t="n">
        <x:v>6997</x:v>
      </x:c>
      <x:c r="X662" s="55" t="n">
        <x:v>2823</x:v>
      </x:c>
      <x:c r="Y662" s="55" t="n">
        <x:v>2231</x:v>
      </x:c>
      <x:c r="Z662" s="55" t="n">
        <x:v>3162</x:v>
      </x:c>
      <x:c r="AA662" s="55" t="n">
        <x:v>3073</x:v>
      </x:c>
      <x:c r="AB662" s="55" t="n">
        <x:v>985</x:v>
      </x:c>
      <x:c r="AC662" s="55" t="n">
        <x:v>8071</x:v>
      </x:c>
      <x:c r="AD662" s="55" t="n">
        <x:v>3143</x:v>
      </x:c>
      <x:c r="AE662" s="55" t="n">
        <x:v>9881</x:v>
      </x:c>
      <x:c r="AF662" s="55" t="n">
        <x:v>9820</x:v>
      </x:c>
      <x:c r="AG662" s="55" t="n">
        <x:v>61</x:v>
      </x:c>
      <x:c r="AH662" s="55" t="n">
        <x:v>273</x:v>
      </x:c>
      <x:c r="AI662" s="55" t="n">
        <x:v>9547</x:v>
      </x:c>
      <x:c r="AJ662" s="55" t="n">
        <x:v>122</x:v>
      </x:c>
      <x:c r="AK662" s="55" t="n">
        <x:v>729</x:v>
      </x:c>
      <x:c r="AL662" s="55" t="n">
        <x:v>1646</x:v>
      </x:c>
      <x:c r="AM662" s="55" t="n">
        <x:v>4986</x:v>
      </x:c>
      <x:c r="AN662" s="55" t="n">
        <x:v>2309</x:v>
      </x:c>
      <x:c r="AO662" s="55" t="n">
        <x:v>28</x:v>
      </x:c>
      <x:c r="AP662" s="55" t="n">
        <x:v>2134</x:v>
      </x:c>
      <x:c r="AQ662" s="55" t="n">
        <x:v>929</x:v>
      </x:c>
    </x:row>
    <x:row r="663">
      <x:c r="A663" s="54" t="str">
        <x:v>T2_CONCORDANT_DOMAIN</x:v>
      </x:c>
      <x:c r="B663" s="54" t="n">
        <x:v>657</x:v>
      </x:c>
      <x:c r="C663" s="54" t="str">
        <x:v>NYC-V2-R01</x:v>
      </x:c>
      <x:c r="D663" s="54" t="str">
        <x:v>V2</x:v>
      </x:c>
      <x:c r="E663" s="54" t="str">
        <x:v>ADMITTED</x:v>
      </x:c>
      <x:c r="F663" s="55" t="n">
        <x:v>30054</x:v>
      </x:c>
      <x:c r="G663" s="55" t="n">
        <x:v>6494</x:v>
      </x:c>
      <x:c r="H663" s="55" t="n">
        <x:v>3478</x:v>
      </x:c>
      <x:c r="I663" s="55" t="n">
        <x:v>1251</x:v>
      </x:c>
      <x:c r="J663" s="55" t="n">
        <x:v>233</x:v>
      </x:c>
      <x:c r="K663" s="55" t="n">
        <x:v>30054</x:v>
      </x:c>
      <x:c r="L663" s="55" t="n">
        <x:v>5038</x:v>
      </x:c>
      <x:c r="M663" s="55" t="n">
        <x:v>1100</x:v>
      </x:c>
      <x:c r="N663" s="55" t="n">
        <x:v>2303</x:v>
      </x:c>
      <x:c r="O663" s="55" t="n">
        <x:v>1635</x:v>
      </x:c>
      <x:c r="P663" s="55" t="n">
        <x:v>636</x:v>
      </x:c>
      <x:c r="Q663" s="55" t="n">
        <x:v>2692</x:v>
      </x:c>
      <x:c r="R663" s="55" t="n">
        <x:v>1889</x:v>
      </x:c>
      <x:c r="S663" s="55" t="n">
        <x:v>2765</x:v>
      </x:c>
      <x:c r="T663" s="55" t="n">
        <x:v>1429</x:v>
      </x:c>
      <x:c r="U663" s="55" t="n">
        <x:v>1177</x:v>
      </x:c>
      <x:c r="V663" s="55" t="n">
        <x:v>10145</x:v>
      </x:c>
      <x:c r="W663" s="55" t="n">
        <x:v>7629</x:v>
      </x:c>
      <x:c r="X663" s="55" t="n">
        <x:v>2516</x:v>
      </x:c>
      <x:c r="Y663" s="55" t="n">
        <x:v>2331</x:v>
      </x:c>
      <x:c r="Z663" s="55" t="n">
        <x:v>3444</x:v>
      </x:c>
      <x:c r="AA663" s="55" t="n">
        <x:v>2842</x:v>
      </x:c>
      <x:c r="AB663" s="55" t="n">
        <x:v>851</x:v>
      </x:c>
      <x:c r="AC663" s="55" t="n">
        <x:v>7534</x:v>
      </x:c>
      <x:c r="AD663" s="55" t="n">
        <x:v>2563</x:v>
      </x:c>
      <x:c r="AE663" s="55" t="n">
        <x:v>10190</x:v>
      </x:c>
      <x:c r="AF663" s="55" t="n">
        <x:v>10145</x:v>
      </x:c>
      <x:c r="AG663" s="55" t="n">
        <x:v>45</x:v>
      </x:c>
      <x:c r="AH663" s="55" t="n">
        <x:v>370</x:v>
      </x:c>
      <x:c r="AI663" s="55" t="n">
        <x:v>9775</x:v>
      </x:c>
      <x:c r="AJ663" s="55" t="n">
        <x:v>453</x:v>
      </x:c>
      <x:c r="AK663" s="55" t="n">
        <x:v>1260</x:v>
      </x:c>
      <x:c r="AL663" s="55" t="n">
        <x:v>1507</x:v>
      </x:c>
      <x:c r="AM663" s="55" t="n">
        <x:v>4282</x:v>
      </x:c>
      <x:c r="AN663" s="55" t="n">
        <x:v>2597</x:v>
      </x:c>
      <x:c r="AO663" s="55" t="n">
        <x:v>46</x:v>
      </x:c>
      <x:c r="AP663" s="55" t="n">
        <x:v>2226</x:v>
      </x:c>
      <x:c r="AQ663" s="55" t="n">
        <x:v>944</x:v>
      </x:c>
    </x:row>
    <x:row r="664">
      <x:c r="A664" s="54" t="str">
        <x:v>T2_CONCORDANT_DOMAIN</x:v>
      </x:c>
      <x:c r="B664" s="54" t="n">
        <x:v>658</x:v>
      </x:c>
      <x:c r="C664" s="54" t="str">
        <x:v>NYC-V2-R01</x:v>
      </x:c>
      <x:c r="D664" s="54" t="str">
        <x:v>V2</x:v>
      </x:c>
      <x:c r="E664" s="54" t="str">
        <x:v>ADMITTED</x:v>
      </x:c>
      <x:c r="F664" s="55" t="n">
        <x:v>30200</x:v>
      </x:c>
      <x:c r="G664" s="55" t="n">
        <x:v>7939</x:v>
      </x:c>
      <x:c r="H664" s="55" t="n">
        <x:v>2976</x:v>
      </x:c>
      <x:c r="I664" s="55" t="n">
        <x:v>1110</x:v>
      </x:c>
      <x:c r="J664" s="55" t="n">
        <x:v>79</x:v>
      </x:c>
      <x:c r="K664" s="55" t="n">
        <x:v>28943</x:v>
      </x:c>
      <x:c r="L664" s="55" t="n">
        <x:v>4811</x:v>
      </x:c>
      <x:c r="M664" s="55" t="n">
        <x:v>501</x:v>
      </x:c>
      <x:c r="N664" s="55" t="n">
        <x:v>2821</x:v>
      </x:c>
      <x:c r="O664" s="55" t="n">
        <x:v>1489</x:v>
      </x:c>
      <x:c r="P664" s="55" t="n">
        <x:v>945</x:v>
      </x:c>
      <x:c r="Q664" s="55" t="n">
        <x:v>1959</x:v>
      </x:c>
      <x:c r="R664" s="55" t="n">
        <x:v>2114</x:v>
      </x:c>
      <x:c r="S664" s="55" t="n">
        <x:v>2498</x:v>
      </x:c>
      <x:c r="T664" s="55" t="n">
        <x:v>763</x:v>
      </x:c>
      <x:c r="U664" s="55" t="n">
        <x:v>1845</x:v>
      </x:c>
      <x:c r="V664" s="55" t="n">
        <x:v>10440</x:v>
      </x:c>
      <x:c r="W664" s="55" t="n">
        <x:v>7046</x:v>
      </x:c>
      <x:c r="X664" s="55" t="n">
        <x:v>3394</x:v>
      </x:c>
      <x:c r="Y664" s="55" t="n">
        <x:v>3040</x:v>
      </x:c>
      <x:c r="Z664" s="55" t="n">
        <x:v>4134</x:v>
      </x:c>
      <x:c r="AA664" s="55" t="n">
        <x:v>2832</x:v>
      </x:c>
      <x:c r="AB664" s="55" t="n">
        <x:v>1177</x:v>
      </x:c>
      <x:c r="AC664" s="55" t="n">
        <x:v>8989</x:v>
      </x:c>
      <x:c r="AD664" s="55" t="n">
        <x:v>3242</x:v>
      </x:c>
      <x:c r="AE664" s="55" t="n">
        <x:v>10546</x:v>
      </x:c>
      <x:c r="AF664" s="55" t="n">
        <x:v>10440</x:v>
      </x:c>
      <x:c r="AG664" s="55" t="n">
        <x:v>106</x:v>
      </x:c>
      <x:c r="AH664" s="55" t="n">
        <x:v>368</x:v>
      </x:c>
      <x:c r="AI664" s="55" t="n">
        <x:v>10072</x:v>
      </x:c>
      <x:c r="AJ664" s="55" t="n">
        <x:v>328</x:v>
      </x:c>
      <x:c r="AK664" s="55" t="n">
        <x:v>1221</x:v>
      </x:c>
      <x:c r="AL664" s="55" t="n">
        <x:v>1262</x:v>
      </x:c>
      <x:c r="AM664" s="55" t="n">
        <x:v>5032</x:v>
      </x:c>
      <x:c r="AN664" s="55" t="n">
        <x:v>2551</x:v>
      </x:c>
      <x:c r="AO664" s="55" t="n">
        <x:v>46</x:v>
      </x:c>
      <x:c r="AP664" s="55" t="n">
        <x:v>2165</x:v>
      </x:c>
      <x:c r="AQ664" s="55" t="n">
        <x:v>967</x:v>
      </x:c>
    </x:row>
    <x:row r="665">
      <x:c r="A665" s="54" t="str">
        <x:v>T2_CONCORDANT_DOMAIN</x:v>
      </x:c>
      <x:c r="B665" s="54" t="n">
        <x:v>659</x:v>
      </x:c>
      <x:c r="C665" s="54" t="str">
        <x:v>NYC-V2-R01</x:v>
      </x:c>
      <x:c r="D665" s="54" t="str">
        <x:v>V2</x:v>
      </x:c>
      <x:c r="E665" s="54" t="str">
        <x:v>ADMITTED</x:v>
      </x:c>
      <x:c r="F665" s="55" t="n">
        <x:v>29627</x:v>
      </x:c>
      <x:c r="G665" s="55" t="n">
        <x:v>7575</x:v>
      </x:c>
      <x:c r="H665" s="55" t="n">
        <x:v>3404</x:v>
      </x:c>
      <x:c r="I665" s="55" t="n">
        <x:v>1366</x:v>
      </x:c>
      <x:c r="J665" s="55" t="n">
        <x:v>307</x:v>
      </x:c>
      <x:c r="K665" s="55" t="n">
        <x:v>29113</x:v>
      </x:c>
      <x:c r="L665" s="55" t="n">
        <x:v>5194</x:v>
      </x:c>
      <x:c r="M665" s="55" t="n">
        <x:v>922</x:v>
      </x:c>
      <x:c r="N665" s="55" t="n">
        <x:v>2012</x:v>
      </x:c>
      <x:c r="O665" s="55" t="n">
        <x:v>2260</x:v>
      </x:c>
      <x:c r="P665" s="55" t="n">
        <x:v>1156</x:v>
      </x:c>
      <x:c r="Q665" s="55" t="n">
        <x:v>2963</x:v>
      </x:c>
      <x:c r="R665" s="55" t="n">
        <x:v>1540</x:v>
      </x:c>
      <x:c r="S665" s="55" t="n">
        <x:v>2820</x:v>
      </x:c>
      <x:c r="T665" s="55" t="n">
        <x:v>1078</x:v>
      </x:c>
      <x:c r="U665" s="55" t="n">
        <x:v>1983</x:v>
      </x:c>
      <x:c r="V665" s="55" t="n">
        <x:v>10236</x:v>
      </x:c>
      <x:c r="W665" s="55" t="n">
        <x:v>7381</x:v>
      </x:c>
      <x:c r="X665" s="55" t="n">
        <x:v>2855</x:v>
      </x:c>
      <x:c r="Y665" s="55" t="n">
        <x:v>2570</x:v>
      </x:c>
      <x:c r="Z665" s="55" t="n">
        <x:v>3696</x:v>
      </x:c>
      <x:c r="AA665" s="55" t="n">
        <x:v>3242</x:v>
      </x:c>
      <x:c r="AB665" s="55" t="n">
        <x:v>1418</x:v>
      </x:c>
      <x:c r="AC665" s="55" t="n">
        <x:v>8438</x:v>
      </x:c>
      <x:c r="AD665" s="55" t="n">
        <x:v>3167</x:v>
      </x:c>
      <x:c r="AE665" s="55" t="n">
        <x:v>10326</x:v>
      </x:c>
      <x:c r="AF665" s="55" t="n">
        <x:v>10236</x:v>
      </x:c>
      <x:c r="AG665" s="55" t="n">
        <x:v>90</x:v>
      </x:c>
      <x:c r="AH665" s="55" t="n">
        <x:v>301</x:v>
      </x:c>
      <x:c r="AI665" s="55" t="n">
        <x:v>9935</x:v>
      </x:c>
      <x:c r="AJ665" s="55" t="n">
        <x:v>360</x:v>
      </x:c>
      <x:c r="AK665" s="55" t="n">
        <x:v>924</x:v>
      </x:c>
      <x:c r="AL665" s="55" t="n">
        <x:v>1838</x:v>
      </x:c>
      <x:c r="AM665" s="55" t="n">
        <x:v>4661</x:v>
      </x:c>
      <x:c r="AN665" s="55" t="n">
        <x:v>2433</x:v>
      </x:c>
      <x:c r="AO665" s="55" t="n">
        <x:v>20</x:v>
      </x:c>
      <x:c r="AP665" s="55" t="n">
        <x:v>2318</x:v>
      </x:c>
      <x:c r="AQ665" s="55" t="n">
        <x:v>969</x:v>
      </x:c>
    </x:row>
    <x:row r="666">
      <x:c r="A666" s="54" t="str">
        <x:v>T2_CONCORDANT_DOMAIN</x:v>
      </x:c>
      <x:c r="B666" s="54" t="n">
        <x:v>660</x:v>
      </x:c>
      <x:c r="C666" s="54" t="str">
        <x:v>NYC-V2-R01</x:v>
      </x:c>
      <x:c r="D666" s="54" t="str">
        <x:v>V2</x:v>
      </x:c>
      <x:c r="E666" s="54" t="str">
        <x:v>ADMITTED</x:v>
      </x:c>
      <x:c r="F666" s="55" t="n">
        <x:v>31244</x:v>
      </x:c>
      <x:c r="G666" s="55" t="n">
        <x:v>7193</x:v>
      </x:c>
      <x:c r="H666" s="55" t="n">
        <x:v>3711</x:v>
      </x:c>
      <x:c r="I666" s="55" t="n">
        <x:v>1648</x:v>
      </x:c>
      <x:c r="J666" s="55" t="n">
        <x:v>406</x:v>
      </x:c>
      <x:c r="K666" s="55" t="n">
        <x:v>31244</x:v>
      </x:c>
      <x:c r="L666" s="55" t="n">
        <x:v>5655</x:v>
      </x:c>
      <x:c r="M666" s="55" t="n">
        <x:v>1207</x:v>
      </x:c>
      <x:c r="N666" s="55" t="n">
        <x:v>2829</x:v>
      </x:c>
      <x:c r="O666" s="55" t="n">
        <x:v>1619</x:v>
      </x:c>
      <x:c r="P666" s="55" t="n">
        <x:v>647</x:v>
      </x:c>
      <x:c r="Q666" s="55" t="n">
        <x:v>1731</x:v>
      </x:c>
      <x:c r="R666" s="55" t="n">
        <x:v>1841</x:v>
      </x:c>
      <x:c r="S666" s="55" t="n">
        <x:v>2464</x:v>
      </x:c>
      <x:c r="T666" s="55" t="n">
        <x:v>897</x:v>
      </x:c>
      <x:c r="U666" s="55" t="n">
        <x:v>1671</x:v>
      </x:c>
      <x:c r="V666" s="55" t="n">
        <x:v>10564</x:v>
      </x:c>
      <x:c r="W666" s="55" t="n">
        <x:v>7566</x:v>
      </x:c>
      <x:c r="X666" s="55" t="n">
        <x:v>2998</x:v>
      </x:c>
      <x:c r="Y666" s="55" t="n">
        <x:v>2417</x:v>
      </x:c>
      <x:c r="Z666" s="55" t="n">
        <x:v>3676</x:v>
      </x:c>
      <x:c r="AA666" s="55" t="n">
        <x:v>2523</x:v>
      </x:c>
      <x:c r="AB666" s="55" t="n">
        <x:v>750</x:v>
      </x:c>
      <x:c r="AC666" s="55" t="n">
        <x:v>7870</x:v>
      </x:c>
      <x:c r="AD666" s="55" t="n">
        <x:v>2388</x:v>
      </x:c>
      <x:c r="AE666" s="55" t="n">
        <x:v>10691</x:v>
      </x:c>
      <x:c r="AF666" s="55" t="n">
        <x:v>10564</x:v>
      </x:c>
      <x:c r="AG666" s="55" t="n">
        <x:v>127</x:v>
      </x:c>
      <x:c r="AH666" s="55" t="n">
        <x:v>477</x:v>
      </x:c>
      <x:c r="AI666" s="55" t="n">
        <x:v>10087</x:v>
      </x:c>
      <x:c r="AJ666" s="55" t="n">
        <x:v>374</x:v>
      </x:c>
      <x:c r="AK666" s="55" t="n">
        <x:v>855</x:v>
      </x:c>
      <x:c r="AL666" s="55" t="n">
        <x:v>1823</x:v>
      </x:c>
      <x:c r="AM666" s="55" t="n">
        <x:v>4967</x:v>
      </x:c>
      <x:c r="AN666" s="55" t="n">
        <x:v>2545</x:v>
      </x:c>
      <x:c r="AO666" s="55" t="n">
        <x:v>0</x:v>
      </x:c>
      <x:c r="AP666" s="55" t="n">
        <x:v>2712</x:v>
      </x:c>
      <x:c r="AQ666" s="55" t="n">
        <x:v>957</x:v>
      </x:c>
    </x:row>
    <x:row r="667">
      <x:c r="A667" s="54" t="str">
        <x:v>T2_CONCORDANT_DOMAIN</x:v>
      </x:c>
      <x:c r="B667" s="54" t="n">
        <x:v>661</x:v>
      </x:c>
      <x:c r="C667" s="54" t="str">
        <x:v>NYC-V2-R01</x:v>
      </x:c>
      <x:c r="D667" s="54" t="str">
        <x:v>V2</x:v>
      </x:c>
      <x:c r="E667" s="54" t="str">
        <x:v>ADMITTED</x:v>
      </x:c>
      <x:c r="F667" s="55" t="n">
        <x:v>29874</x:v>
      </x:c>
      <x:c r="G667" s="55" t="n">
        <x:v>7101</x:v>
      </x:c>
      <x:c r="H667" s="55" t="n">
        <x:v>3240</x:v>
      </x:c>
      <x:c r="I667" s="55" t="n">
        <x:v>1092</x:v>
      </x:c>
      <x:c r="J667" s="55" t="n">
        <x:v>147</x:v>
      </x:c>
      <x:c r="K667" s="55" t="n">
        <x:v>29874</x:v>
      </x:c>
      <x:c r="L667" s="55" t="n">
        <x:v>5767</x:v>
      </x:c>
      <x:c r="M667" s="55" t="n">
        <x:v>2041</x:v>
      </x:c>
      <x:c r="N667" s="55" t="n">
        <x:v>2253</x:v>
      </x:c>
      <x:c r="O667" s="55" t="n">
        <x:v>1473</x:v>
      </x:c>
      <x:c r="P667" s="55" t="n">
        <x:v>919</x:v>
      </x:c>
      <x:c r="Q667" s="55" t="n">
        <x:v>2364</x:v>
      </x:c>
      <x:c r="R667" s="55" t="n">
        <x:v>1992</x:v>
      </x:c>
      <x:c r="S667" s="55" t="n">
        <x:v>3019</x:v>
      </x:c>
      <x:c r="T667" s="55" t="n">
        <x:v>1182</x:v>
      </x:c>
      <x:c r="U667" s="55" t="n">
        <x:v>2521</x:v>
      </x:c>
      <x:c r="V667" s="55" t="n">
        <x:v>10817</x:v>
      </x:c>
      <x:c r="W667" s="55" t="n">
        <x:v>7875</x:v>
      </x:c>
      <x:c r="X667" s="55" t="n">
        <x:v>2942</x:v>
      </x:c>
      <x:c r="Y667" s="55" t="n">
        <x:v>2729</x:v>
      </x:c>
      <x:c r="Z667" s="55" t="n">
        <x:v>3893</x:v>
      </x:c>
      <x:c r="AA667" s="55" t="n">
        <x:v>2928</x:v>
      </x:c>
      <x:c r="AB667" s="55" t="n">
        <x:v>1195</x:v>
      </x:c>
      <x:c r="AC667" s="55" t="n">
        <x:v>7955</x:v>
      </x:c>
      <x:c r="AD667" s="55" t="n">
        <x:v>2941</x:v>
      </x:c>
      <x:c r="AE667" s="55" t="n">
        <x:v>10905</x:v>
      </x:c>
      <x:c r="AF667" s="55" t="n">
        <x:v>10817</x:v>
      </x:c>
      <x:c r="AG667" s="55" t="n">
        <x:v>88</x:v>
      </x:c>
      <x:c r="AH667" s="55" t="n">
        <x:v>533</x:v>
      </x:c>
      <x:c r="AI667" s="55" t="n">
        <x:v>10284</x:v>
      </x:c>
      <x:c r="AJ667" s="55" t="n">
        <x:v>496</x:v>
      </x:c>
      <x:c r="AK667" s="55" t="n">
        <x:v>1087</x:v>
      </x:c>
      <x:c r="AL667" s="55" t="n">
        <x:v>1502</x:v>
      </x:c>
      <x:c r="AM667" s="55" t="n">
        <x:v>4642</x:v>
      </x:c>
      <x:c r="AN667" s="55" t="n">
        <x:v>3064</x:v>
      </x:c>
      <x:c r="AO667" s="55" t="n">
        <x:v>26</x:v>
      </x:c>
      <x:c r="AP667" s="55" t="n">
        <x:v>2905</x:v>
      </x:c>
      <x:c r="AQ667" s="55" t="n">
        <x:v>987</x:v>
      </x:c>
    </x:row>
    <x:row r="668">
      <x:c r="A668" s="54" t="str">
        <x:v>T2_CONCORDANT_DOMAIN</x:v>
      </x:c>
      <x:c r="B668" s="54" t="n">
        <x:v>662</x:v>
      </x:c>
      <x:c r="C668" s="54" t="str">
        <x:v>NYC-V2-R01</x:v>
      </x:c>
      <x:c r="D668" s="54" t="str">
        <x:v>V2</x:v>
      </x:c>
      <x:c r="E668" s="54" t="str">
        <x:v>ADMITTED</x:v>
      </x:c>
      <x:c r="F668" s="55" t="n">
        <x:v>28452</x:v>
      </x:c>
      <x:c r="G668" s="55" t="n">
        <x:v>6547</x:v>
      </x:c>
      <x:c r="H668" s="55" t="n">
        <x:v>2662</x:v>
      </x:c>
      <x:c r="I668" s="55" t="n">
        <x:v>658</x:v>
      </x:c>
      <x:c r="J668" s="55" t="n">
        <x:v>20</x:v>
      </x:c>
      <x:c r="K668" s="55" t="n">
        <x:v>28452</x:v>
      </x:c>
      <x:c r="L668" s="55" t="n">
        <x:v>3458</x:v>
      </x:c>
      <x:c r="M668" s="55" t="n">
        <x:v>413</x:v>
      </x:c>
      <x:c r="N668" s="55" t="n">
        <x:v>1686</x:v>
      </x:c>
      <x:c r="O668" s="55" t="n">
        <x:v>1359</x:v>
      </x:c>
      <x:c r="P668" s="55" t="n">
        <x:v>535</x:v>
      </x:c>
      <x:c r="Q668" s="55" t="n">
        <x:v>747</x:v>
      </x:c>
      <x:c r="R668" s="55" t="n">
        <x:v>1451</x:v>
      </x:c>
      <x:c r="S668" s="55" t="n">
        <x:v>2047</x:v>
      </x:c>
      <x:c r="T668" s="55" t="n">
        <x:v>1018</x:v>
      </x:c>
      <x:c r="U668" s="55" t="n">
        <x:v>1845</x:v>
      </x:c>
      <x:c r="V668" s="55" t="n">
        <x:v>10174</x:v>
      </x:c>
      <x:c r="W668" s="55" t="n">
        <x:v>7423</x:v>
      </x:c>
      <x:c r="X668" s="55" t="n">
        <x:v>2751</x:v>
      </x:c>
      <x:c r="Y668" s="55" t="n">
        <x:v>2360</x:v>
      </x:c>
      <x:c r="Z668" s="55" t="n">
        <x:v>3656</x:v>
      </x:c>
      <x:c r="AA668" s="55" t="n">
        <x:v>2497</x:v>
      </x:c>
      <x:c r="AB668" s="55" t="n">
        <x:v>699</x:v>
      </x:c>
      <x:c r="AC668" s="55" t="n">
        <x:v>7508</x:v>
      </x:c>
      <x:c r="AD668" s="55" t="n">
        <x:v>2244</x:v>
      </x:c>
      <x:c r="AE668" s="55" t="n">
        <x:v>10237</x:v>
      </x:c>
      <x:c r="AF668" s="55" t="n">
        <x:v>10174</x:v>
      </x:c>
      <x:c r="AG668" s="55" t="n">
        <x:v>63</x:v>
      </x:c>
      <x:c r="AH668" s="55" t="n">
        <x:v>482</x:v>
      </x:c>
      <x:c r="AI668" s="55" t="n">
        <x:v>9692</x:v>
      </x:c>
      <x:c r="AJ668" s="55" t="n">
        <x:v>296</x:v>
      </x:c>
      <x:c r="AK668" s="55" t="n">
        <x:v>876</x:v>
      </x:c>
      <x:c r="AL668" s="55" t="n">
        <x:v>1461</x:v>
      </x:c>
      <x:c r="AM668" s="55" t="n">
        <x:v>4922</x:v>
      </x:c>
      <x:c r="AN668" s="55" t="n">
        <x:v>2619</x:v>
      </x:c>
      <x:c r="AO668" s="55" t="n">
        <x:v>0</x:v>
      </x:c>
      <x:c r="AP668" s="55" t="n">
        <x:v>2178</x:v>
      </x:c>
      <x:c r="AQ668" s="55" t="n">
        <x:v>921</x:v>
      </x:c>
    </x:row>
    <x:row r="669">
      <x:c r="A669" s="54" t="str">
        <x:v>T2_CONCORDANT_DOMAIN</x:v>
      </x:c>
      <x:c r="B669" s="54" t="n">
        <x:v>663</x:v>
      </x:c>
      <x:c r="C669" s="54" t="str">
        <x:v>NYC-V2-R01</x:v>
      </x:c>
      <x:c r="D669" s="54" t="str">
        <x:v>V2</x:v>
      </x:c>
      <x:c r="E669" s="54" t="str">
        <x:v>ADMITTED</x:v>
      </x:c>
      <x:c r="F669" s="55" t="n">
        <x:v>32245</x:v>
      </x:c>
      <x:c r="G669" s="55" t="n">
        <x:v>8486</x:v>
      </x:c>
      <x:c r="H669" s="55" t="n">
        <x:v>3201</x:v>
      </x:c>
      <x:c r="I669" s="55" t="n">
        <x:v>1123</x:v>
      </x:c>
      <x:c r="J669" s="55" t="n">
        <x:v>329</x:v>
      </x:c>
      <x:c r="K669" s="55" t="n">
        <x:v>32245</x:v>
      </x:c>
      <x:c r="L669" s="55" t="n">
        <x:v>5713</x:v>
      </x:c>
      <x:c r="M669" s="55" t="n">
        <x:v>1061</x:v>
      </x:c>
      <x:c r="N669" s="55" t="n">
        <x:v>2712</x:v>
      </x:c>
      <x:c r="O669" s="55" t="n">
        <x:v>1940</x:v>
      </x:c>
      <x:c r="P669" s="55" t="n">
        <x:v>968</x:v>
      </x:c>
      <x:c r="Q669" s="55" t="n">
        <x:v>1892</x:v>
      </x:c>
      <x:c r="R669" s="55" t="n">
        <x:v>2338</x:v>
      </x:c>
      <x:c r="S669" s="55" t="n">
        <x:v>3024</x:v>
      </x:c>
      <x:c r="T669" s="55" t="n">
        <x:v>1367</x:v>
      </x:c>
      <x:c r="U669" s="55" t="n">
        <x:v>2079</x:v>
      </x:c>
      <x:c r="V669" s="55" t="n">
        <x:v>11096</x:v>
      </x:c>
      <x:c r="W669" s="55" t="n">
        <x:v>8185</x:v>
      </x:c>
      <x:c r="X669" s="55" t="n">
        <x:v>2911</x:v>
      </x:c>
      <x:c r="Y669" s="55" t="n">
        <x:v>2498</x:v>
      </x:c>
      <x:c r="Z669" s="55" t="n">
        <x:v>4004</x:v>
      </x:c>
      <x:c r="AA669" s="55" t="n">
        <x:v>3201</x:v>
      </x:c>
      <x:c r="AB669" s="55" t="n">
        <x:v>1048</x:v>
      </x:c>
      <x:c r="AC669" s="55" t="n">
        <x:v>8008</x:v>
      </x:c>
      <x:c r="AD669" s="55" t="n">
        <x:v>3293</x:v>
      </x:c>
      <x:c r="AE669" s="55" t="n">
        <x:v>11218</x:v>
      </x:c>
      <x:c r="AF669" s="55" t="n">
        <x:v>11096</x:v>
      </x:c>
      <x:c r="AG669" s="55" t="n">
        <x:v>122</x:v>
      </x:c>
      <x:c r="AH669" s="55" t="n">
        <x:v>352</x:v>
      </x:c>
      <x:c r="AI669" s="55" t="n">
        <x:v>10744</x:v>
      </x:c>
      <x:c r="AJ669" s="55" t="n">
        <x:v>338</x:v>
      </x:c>
      <x:c r="AK669" s="55" t="n">
        <x:v>1166</x:v>
      </x:c>
      <x:c r="AL669" s="55" t="n">
        <x:v>1559</x:v>
      </x:c>
      <x:c r="AM669" s="55" t="n">
        <x:v>4944</x:v>
      </x:c>
      <x:c r="AN669" s="55" t="n">
        <x:v>3044</x:v>
      </x:c>
      <x:c r="AO669" s="55" t="n">
        <x:v>45</x:v>
      </x:c>
      <x:c r="AP669" s="55" t="n">
        <x:v>2211</x:v>
      </x:c>
      <x:c r="AQ669" s="55" t="n">
        <x:v>968</x:v>
      </x:c>
    </x:row>
    <x:row r="670">
      <x:c r="A670" s="54" t="str">
        <x:v>T2_CONCORDANT_DOMAIN</x:v>
      </x:c>
      <x:c r="B670" s="54" t="n">
        <x:v>664</x:v>
      </x:c>
      <x:c r="C670" s="54" t="str">
        <x:v>NYC-V2-R01</x:v>
      </x:c>
      <x:c r="D670" s="54" t="str">
        <x:v>V2</x:v>
      </x:c>
      <x:c r="E670" s="54" t="str">
        <x:v>ADMITTED</x:v>
      </x:c>
      <x:c r="F670" s="55" t="n">
        <x:v>31571</x:v>
      </x:c>
      <x:c r="G670" s="55" t="n">
        <x:v>8314</x:v>
      </x:c>
      <x:c r="H670" s="55" t="n">
        <x:v>3392</x:v>
      </x:c>
      <x:c r="I670" s="55" t="n">
        <x:v>1376</x:v>
      </x:c>
      <x:c r="J670" s="55" t="n">
        <x:v>310</x:v>
      </x:c>
      <x:c r="K670" s="55" t="n">
        <x:v>31571</x:v>
      </x:c>
      <x:c r="L670" s="55" t="n">
        <x:v>6635</x:v>
      </x:c>
      <x:c r="M670" s="55" t="n">
        <x:v>1040</x:v>
      </x:c>
      <x:c r="N670" s="55" t="n">
        <x:v>3414</x:v>
      </x:c>
      <x:c r="O670" s="55" t="n">
        <x:v>2181</x:v>
      </x:c>
      <x:c r="P670" s="55" t="n">
        <x:v>571</x:v>
      </x:c>
      <x:c r="Q670" s="55" t="n">
        <x:v>2616</x:v>
      </x:c>
      <x:c r="R670" s="55" t="n">
        <x:v>2101</x:v>
      </x:c>
      <x:c r="S670" s="55" t="n">
        <x:v>2515</x:v>
      </x:c>
      <x:c r="T670" s="55" t="n">
        <x:v>1711</x:v>
      </x:c>
      <x:c r="U670" s="55" t="n">
        <x:v>2654</x:v>
      </x:c>
      <x:c r="V670" s="55" t="n">
        <x:v>10253</x:v>
      </x:c>
      <x:c r="W670" s="55" t="n">
        <x:v>7352</x:v>
      </x:c>
      <x:c r="X670" s="55" t="n">
        <x:v>2901</x:v>
      </x:c>
      <x:c r="Y670" s="55" t="n">
        <x:v>2527</x:v>
      </x:c>
      <x:c r="Z670" s="55" t="n">
        <x:v>3711</x:v>
      </x:c>
      <x:c r="AA670" s="55" t="n">
        <x:v>3140</x:v>
      </x:c>
      <x:c r="AB670" s="55" t="n">
        <x:v>1027</x:v>
      </x:c>
      <x:c r="AC670" s="55" t="n">
        <x:v>8325</x:v>
      </x:c>
      <x:c r="AD670" s="55" t="n">
        <x:v>2851</x:v>
      </x:c>
      <x:c r="AE670" s="55" t="n">
        <x:v>10344</x:v>
      </x:c>
      <x:c r="AF670" s="55" t="n">
        <x:v>10253</x:v>
      </x:c>
      <x:c r="AG670" s="55" t="n">
        <x:v>91</x:v>
      </x:c>
      <x:c r="AH670" s="55" t="n">
        <x:v>410</x:v>
      </x:c>
      <x:c r="AI670" s="55" t="n">
        <x:v>9843</x:v>
      </x:c>
      <x:c r="AJ670" s="55" t="n">
        <x:v>306</x:v>
      </x:c>
      <x:c r="AK670" s="55" t="n">
        <x:v>1215</x:v>
      </x:c>
      <x:c r="AL670" s="55" t="n">
        <x:v>1530</x:v>
      </x:c>
      <x:c r="AM670" s="55" t="n">
        <x:v>4385</x:v>
      </x:c>
      <x:c r="AN670" s="55" t="n">
        <x:v>2817</x:v>
      </x:c>
      <x:c r="AO670" s="55" t="n">
        <x:v>0</x:v>
      </x:c>
      <x:c r="AP670" s="55" t="n">
        <x:v>2441</x:v>
      </x:c>
      <x:c r="AQ670" s="55" t="n">
        <x:v>941</x:v>
      </x:c>
    </x:row>
    <x:row r="671">
      <x:c r="A671" s="54" t="str">
        <x:v>T2_CONCORDANT_DOMAIN</x:v>
      </x:c>
      <x:c r="B671" s="54" t="n">
        <x:v>665</x:v>
      </x:c>
      <x:c r="C671" s="54" t="str">
        <x:v>NYC-V2-R01</x:v>
      </x:c>
      <x:c r="D671" s="54" t="str">
        <x:v>V2</x:v>
      </x:c>
      <x:c r="E671" s="54" t="str">
        <x:v>ADMITTED</x:v>
      </x:c>
      <x:c r="F671" s="55" t="n">
        <x:v>33815</x:v>
      </x:c>
      <x:c r="G671" s="55" t="n">
        <x:v>8112</x:v>
      </x:c>
      <x:c r="H671" s="55" t="n">
        <x:v>3574</x:v>
      </x:c>
      <x:c r="I671" s="55" t="n">
        <x:v>1753</x:v>
      </x:c>
      <x:c r="J671" s="55" t="n">
        <x:v>394</x:v>
      </x:c>
      <x:c r="K671" s="55" t="n">
        <x:v>33815</x:v>
      </x:c>
      <x:c r="L671" s="55" t="n">
        <x:v>7972</x:v>
      </x:c>
      <x:c r="M671" s="55" t="n">
        <x:v>1965</x:v>
      </x:c>
      <x:c r="N671" s="55" t="n">
        <x:v>3607</x:v>
      </x:c>
      <x:c r="O671" s="55" t="n">
        <x:v>2400</x:v>
      </x:c>
      <x:c r="P671" s="55" t="n">
        <x:v>985</x:v>
      </x:c>
      <x:c r="Q671" s="55" t="n">
        <x:v>3371</x:v>
      </x:c>
      <x:c r="R671" s="55" t="n">
        <x:v>2312</x:v>
      </x:c>
      <x:c r="S671" s="55" t="n">
        <x:v>2838</x:v>
      </x:c>
      <x:c r="T671" s="55" t="n">
        <x:v>1590</x:v>
      </x:c>
      <x:c r="U671" s="55" t="n">
        <x:v>2110</x:v>
      </x:c>
      <x:c r="V671" s="55" t="n">
        <x:v>11160</x:v>
      </x:c>
      <x:c r="W671" s="55" t="n">
        <x:v>7942</x:v>
      </x:c>
      <x:c r="X671" s="55" t="n">
        <x:v>3218</x:v>
      </x:c>
      <x:c r="Y671" s="55" t="n">
        <x:v>2844</x:v>
      </x:c>
      <x:c r="Z671" s="55" t="n">
        <x:v>3976</x:v>
      </x:c>
      <x:c r="AA671" s="55" t="n">
        <x:v>3107</x:v>
      </x:c>
      <x:c r="AB671" s="55" t="n">
        <x:v>1142</x:v>
      </x:c>
      <x:c r="AC671" s="55" t="n">
        <x:v>8346</x:v>
      </x:c>
      <x:c r="AD671" s="55" t="n">
        <x:v>3004</x:v>
      </x:c>
      <x:c r="AE671" s="55" t="n">
        <x:v>11334</x:v>
      </x:c>
      <x:c r="AF671" s="55" t="n">
        <x:v>11160</x:v>
      </x:c>
      <x:c r="AG671" s="55" t="n">
        <x:v>174</x:v>
      </x:c>
      <x:c r="AH671" s="55" t="n">
        <x:v>589</x:v>
      </x:c>
      <x:c r="AI671" s="55" t="n">
        <x:v>10571</x:v>
      </x:c>
      <x:c r="AJ671" s="55" t="n">
        <x:v>519</x:v>
      </x:c>
      <x:c r="AK671" s="55" t="n">
        <x:v>899</x:v>
      </x:c>
      <x:c r="AL671" s="55" t="n">
        <x:v>1842</x:v>
      </x:c>
      <x:c r="AM671" s="55" t="n">
        <x:v>5369</x:v>
      </x:c>
      <x:c r="AN671" s="55" t="n">
        <x:v>2447</x:v>
      </x:c>
      <x:c r="AO671" s="55" t="n">
        <x:v>84</x:v>
      </x:c>
      <x:c r="AP671" s="55" t="n">
        <x:v>3128</x:v>
      </x:c>
      <x:c r="AQ671" s="55" t="n">
        <x:v>1009</x:v>
      </x:c>
    </x:row>
    <x:row r="672">
      <x:c r="A672" s="54" t="str">
        <x:v>T2_CONCORDANT_DOMAIN</x:v>
      </x:c>
      <x:c r="B672" s="54" t="n">
        <x:v>666</x:v>
      </x:c>
      <x:c r="C672" s="54" t="str">
        <x:v>NYC-V2-R01</x:v>
      </x:c>
      <x:c r="D672" s="54" t="str">
        <x:v>V2</x:v>
      </x:c>
      <x:c r="E672" s="54" t="str">
        <x:v>ADMITTED</x:v>
      </x:c>
      <x:c r="F672" s="55" t="n">
        <x:v>30897</x:v>
      </x:c>
      <x:c r="G672" s="55" t="n">
        <x:v>8447</x:v>
      </x:c>
      <x:c r="H672" s="55" t="n">
        <x:v>2938</x:v>
      </x:c>
      <x:c r="I672" s="55" t="n">
        <x:v>1121</x:v>
      </x:c>
      <x:c r="J672" s="55" t="n">
        <x:v>49</x:v>
      </x:c>
      <x:c r="K672" s="55" t="n">
        <x:v>28915</x:v>
      </x:c>
      <x:c r="L672" s="55" t="n">
        <x:v>4795</x:v>
      </x:c>
      <x:c r="M672" s="55" t="n">
        <x:v>895</x:v>
      </x:c>
      <x:c r="N672" s="55" t="n">
        <x:v>2224</x:v>
      </x:c>
      <x:c r="O672" s="55" t="n">
        <x:v>1676</x:v>
      </x:c>
      <x:c r="P672" s="55" t="n">
        <x:v>319</x:v>
      </x:c>
      <x:c r="Q672" s="55" t="n">
        <x:v>2848</x:v>
      </x:c>
      <x:c r="R672" s="55" t="n">
        <x:v>1540</x:v>
      </x:c>
      <x:c r="S672" s="55" t="n">
        <x:v>2621</x:v>
      </x:c>
      <x:c r="T672" s="55" t="n">
        <x:v>1285</x:v>
      </x:c>
      <x:c r="U672" s="55" t="n">
        <x:v>1538</x:v>
      </x:c>
      <x:c r="V672" s="55" t="n">
        <x:v>9767</x:v>
      </x:c>
      <x:c r="W672" s="55" t="n">
        <x:v>7407</x:v>
      </x:c>
      <x:c r="X672" s="55" t="n">
        <x:v>2360</x:v>
      </x:c>
      <x:c r="Y672" s="55" t="n">
        <x:v>2110</x:v>
      </x:c>
      <x:c r="Z672" s="55" t="n">
        <x:v>3483</x:v>
      </x:c>
      <x:c r="AA672" s="55" t="n">
        <x:v>2677</x:v>
      </x:c>
      <x:c r="AB672" s="55" t="n">
        <x:v>1084</x:v>
      </x:c>
      <x:c r="AC672" s="55" t="n">
        <x:v>8088</x:v>
      </x:c>
      <x:c r="AD672" s="55" t="n">
        <x:v>3413</x:v>
      </x:c>
      <x:c r="AE672" s="55" t="n">
        <x:v>9786</x:v>
      </x:c>
      <x:c r="AF672" s="55" t="n">
        <x:v>9767</x:v>
      </x:c>
      <x:c r="AG672" s="55" t="n">
        <x:v>19</x:v>
      </x:c>
      <x:c r="AH672" s="55" t="n">
        <x:v>194</x:v>
      </x:c>
      <x:c r="AI672" s="55" t="n">
        <x:v>9573</x:v>
      </x:c>
      <x:c r="AJ672" s="55" t="n">
        <x:v>264</x:v>
      </x:c>
      <x:c r="AK672" s="55" t="n">
        <x:v>808</x:v>
      </x:c>
      <x:c r="AL672" s="55" t="n">
        <x:v>1326</x:v>
      </x:c>
      <x:c r="AM672" s="55" t="n">
        <x:v>4623</x:v>
      </x:c>
      <x:c r="AN672" s="55" t="n">
        <x:v>2746</x:v>
      </x:c>
      <x:c r="AO672" s="55" t="n">
        <x:v>0</x:v>
      </x:c>
      <x:c r="AP672" s="55" t="n">
        <x:v>2107</x:v>
      </x:c>
      <x:c r="AQ672" s="55" t="n">
        <x:v>909</x:v>
      </x:c>
    </x:row>
    <x:row r="673">
      <x:c r="A673" s="54" t="str">
        <x:v>T2_CONCORDANT_DOMAIN</x:v>
      </x:c>
      <x:c r="B673" s="54" t="n">
        <x:v>667</x:v>
      </x:c>
      <x:c r="C673" s="54" t="str">
        <x:v>NYC-V2-R01</x:v>
      </x:c>
      <x:c r="D673" s="54" t="str">
        <x:v>V2</x:v>
      </x:c>
      <x:c r="E673" s="54" t="str">
        <x:v>ADMITTED</x:v>
      </x:c>
      <x:c r="F673" s="55" t="n">
        <x:v>32098</x:v>
      </x:c>
      <x:c r="G673" s="55" t="n">
        <x:v>8511</x:v>
      </x:c>
      <x:c r="H673" s="55" t="n">
        <x:v>3322</x:v>
      </x:c>
      <x:c r="I673" s="55" t="n">
        <x:v>1245</x:v>
      </x:c>
      <x:c r="J673" s="55" t="n">
        <x:v>224</x:v>
      </x:c>
      <x:c r="K673" s="55" t="n">
        <x:v>31927</x:v>
      </x:c>
      <x:c r="L673" s="55" t="n">
        <x:v>6767</x:v>
      </x:c>
      <x:c r="M673" s="55" t="n">
        <x:v>2140</x:v>
      </x:c>
      <x:c r="N673" s="55" t="n">
        <x:v>2886</x:v>
      </x:c>
      <x:c r="O673" s="55" t="n">
        <x:v>1741</x:v>
      </x:c>
      <x:c r="P673" s="55" t="n">
        <x:v>985</x:v>
      </x:c>
      <x:c r="Q673" s="55" t="n">
        <x:v>3117</x:v>
      </x:c>
      <x:c r="R673" s="55" t="n">
        <x:v>1667</x:v>
      </x:c>
      <x:c r="S673" s="55" t="n">
        <x:v>2831</x:v>
      </x:c>
      <x:c r="T673" s="55" t="n">
        <x:v>1260</x:v>
      </x:c>
      <x:c r="U673" s="55" t="n">
        <x:v>2689</x:v>
      </x:c>
      <x:c r="V673" s="55" t="n">
        <x:v>11159</x:v>
      </x:c>
      <x:c r="W673" s="55" t="n">
        <x:v>7851</x:v>
      </x:c>
      <x:c r="X673" s="55" t="n">
        <x:v>3308</x:v>
      </x:c>
      <x:c r="Y673" s="55" t="n">
        <x:v>3102</x:v>
      </x:c>
      <x:c r="Z673" s="55" t="n">
        <x:v>4224</x:v>
      </x:c>
      <x:c r="AA673" s="55" t="n">
        <x:v>3322</x:v>
      </x:c>
      <x:c r="AB673" s="55" t="n">
        <x:v>1249</x:v>
      </x:c>
      <x:c r="AC673" s="55" t="n">
        <x:v>8190</x:v>
      </x:c>
      <x:c r="AD673" s="55" t="n">
        <x:v>3160</x:v>
      </x:c>
      <x:c r="AE673" s="55" t="n">
        <x:v>11330</x:v>
      </x:c>
      <x:c r="AF673" s="55" t="n">
        <x:v>11159</x:v>
      </x:c>
      <x:c r="AG673" s="55" t="n">
        <x:v>171</x:v>
      </x:c>
      <x:c r="AH673" s="55" t="n">
        <x:v>617</x:v>
      </x:c>
      <x:c r="AI673" s="55" t="n">
        <x:v>10542</x:v>
      </x:c>
      <x:c r="AJ673" s="55" t="n">
        <x:v>290</x:v>
      </x:c>
      <x:c r="AK673" s="55" t="n">
        <x:v>1516</x:v>
      </x:c>
      <x:c r="AL673" s="55" t="n">
        <x:v>1768</x:v>
      </x:c>
      <x:c r="AM673" s="55" t="n">
        <x:v>4969</x:v>
      </x:c>
      <x:c r="AN673" s="55" t="n">
        <x:v>2549</x:v>
      </x:c>
      <x:c r="AO673" s="55" t="n">
        <x:v>67</x:v>
      </x:c>
      <x:c r="AP673" s="55" t="n">
        <x:v>2551</x:v>
      </x:c>
      <x:c r="AQ673" s="55" t="n">
        <x:v>962</x:v>
      </x:c>
    </x:row>
    <x:row r="674">
      <x:c r="A674" s="54" t="str">
        <x:v>T2_CONCORDANT_DOMAIN</x:v>
      </x:c>
      <x:c r="B674" s="54" t="n">
        <x:v>668</x:v>
      </x:c>
      <x:c r="C674" s="54" t="str">
        <x:v>NYC-V2-R01</x:v>
      </x:c>
      <x:c r="D674" s="54" t="str">
        <x:v>V2</x:v>
      </x:c>
      <x:c r="E674" s="54" t="str">
        <x:v>ADMITTED</x:v>
      </x:c>
      <x:c r="F674" s="55" t="n">
        <x:v>33330</x:v>
      </x:c>
      <x:c r="G674" s="55" t="n">
        <x:v>7161</x:v>
      </x:c>
      <x:c r="H674" s="55" t="n">
        <x:v>3187</x:v>
      </x:c>
      <x:c r="I674" s="55" t="n">
        <x:v>909</x:v>
      </x:c>
      <x:c r="J674" s="55" t="n">
        <x:v>52</x:v>
      </x:c>
      <x:c r="K674" s="55" t="n">
        <x:v>33330</x:v>
      </x:c>
      <x:c r="L674" s="55" t="n">
        <x:v>6534</x:v>
      </x:c>
      <x:c r="M674" s="55" t="n">
        <x:v>2013</x:v>
      </x:c>
      <x:c r="N674" s="55" t="n">
        <x:v>2744</x:v>
      </x:c>
      <x:c r="O674" s="55" t="n">
        <x:v>1777</x:v>
      </x:c>
      <x:c r="P674" s="55" t="n">
        <x:v>1244</x:v>
      </x:c>
      <x:c r="Q674" s="55" t="n">
        <x:v>2871</x:v>
      </x:c>
      <x:c r="R674" s="55" t="n">
        <x:v>1988</x:v>
      </x:c>
      <x:c r="S674" s="55" t="n">
        <x:v>3181</x:v>
      </x:c>
      <x:c r="T674" s="55" t="n">
        <x:v>1440</x:v>
      </x:c>
      <x:c r="U674" s="55" t="n">
        <x:v>2180</x:v>
      </x:c>
      <x:c r="V674" s="55" t="n">
        <x:v>10185</x:v>
      </x:c>
      <x:c r="W674" s="55" t="n">
        <x:v>6882</x:v>
      </x:c>
      <x:c r="X674" s="55" t="n">
        <x:v>3303</x:v>
      </x:c>
      <x:c r="Y674" s="55" t="n">
        <x:v>2808</x:v>
      </x:c>
      <x:c r="Z674" s="55" t="n">
        <x:v>3802</x:v>
      </x:c>
      <x:c r="AA674" s="55" t="n">
        <x:v>3187</x:v>
      </x:c>
      <x:c r="AB674" s="55" t="n">
        <x:v>1234</x:v>
      </x:c>
      <x:c r="AC674" s="55" t="n">
        <x:v>7765</x:v>
      </x:c>
      <x:c r="AD674" s="55" t="n">
        <x:v>2617</x:v>
      </x:c>
      <x:c r="AE674" s="55" t="n">
        <x:v>10255</x:v>
      </x:c>
      <x:c r="AF674" s="55" t="n">
        <x:v>10185</x:v>
      </x:c>
      <x:c r="AG674" s="55" t="n">
        <x:v>70</x:v>
      </x:c>
      <x:c r="AH674" s="55" t="n">
        <x:v>379</x:v>
      </x:c>
      <x:c r="AI674" s="55" t="n">
        <x:v>9806</x:v>
      </x:c>
      <x:c r="AJ674" s="55" t="n">
        <x:v>247</x:v>
      </x:c>
      <x:c r="AK674" s="55" t="n">
        <x:v>867</x:v>
      </x:c>
      <x:c r="AL674" s="55" t="n">
        <x:v>1633</x:v>
      </x:c>
      <x:c r="AM674" s="55" t="n">
        <x:v>5303</x:v>
      </x:c>
      <x:c r="AN674" s="55" t="n">
        <x:v>2123</x:v>
      </x:c>
      <x:c r="AO674" s="55" t="n">
        <x:v>12</x:v>
      </x:c>
      <x:c r="AP674" s="55" t="n">
        <x:v>2141</x:v>
      </x:c>
      <x:c r="AQ674" s="55" t="n">
        <x:v>953</x:v>
      </x:c>
    </x:row>
    <x:row r="675">
      <x:c r="A675" s="54" t="str">
        <x:v>T2_CONCORDANT_DOMAIN</x:v>
      </x:c>
      <x:c r="B675" s="54" t="n">
        <x:v>669</x:v>
      </x:c>
      <x:c r="C675" s="54" t="str">
        <x:v>NYC-V2-R01</x:v>
      </x:c>
      <x:c r="D675" s="54" t="str">
        <x:v>V2</x:v>
      </x:c>
      <x:c r="E675" s="54" t="str">
        <x:v>ADMITTED</x:v>
      </x:c>
      <x:c r="F675" s="55" t="n">
        <x:v>31294</x:v>
      </x:c>
      <x:c r="G675" s="55" t="n">
        <x:v>8038</x:v>
      </x:c>
      <x:c r="H675" s="55" t="n">
        <x:v>3574</x:v>
      </x:c>
      <x:c r="I675" s="55" t="n">
        <x:v>1608</x:v>
      </x:c>
      <x:c r="J675" s="55" t="n">
        <x:v>276</x:v>
      </x:c>
      <x:c r="K675" s="55" t="n">
        <x:v>31294</x:v>
      </x:c>
      <x:c r="L675" s="55" t="n">
        <x:v>6493</x:v>
      </x:c>
      <x:c r="M675" s="55" t="n">
        <x:v>1885</x:v>
      </x:c>
      <x:c r="N675" s="55" t="n">
        <x:v>2896</x:v>
      </x:c>
      <x:c r="O675" s="55" t="n">
        <x:v>1712</x:v>
      </x:c>
      <x:c r="P675" s="55" t="n">
        <x:v>1082</x:v>
      </x:c>
      <x:c r="Q675" s="55" t="n">
        <x:v>2841</x:v>
      </x:c>
      <x:c r="R675" s="55" t="n">
        <x:v>2016</x:v>
      </x:c>
      <x:c r="S675" s="55" t="n">
        <x:v>3183</x:v>
      </x:c>
      <x:c r="T675" s="55" t="n">
        <x:v>1499</x:v>
      </x:c>
      <x:c r="U675" s="55" t="n">
        <x:v>2316</x:v>
      </x:c>
      <x:c r="V675" s="55" t="n">
        <x:v>10835</x:v>
      </x:c>
      <x:c r="W675" s="55" t="n">
        <x:v>7547</x:v>
      </x:c>
      <x:c r="X675" s="55" t="n">
        <x:v>3288</x:v>
      </x:c>
      <x:c r="Y675" s="55" t="n">
        <x:v>2821</x:v>
      </x:c>
      <x:c r="Z675" s="55" t="n">
        <x:v>4539</x:v>
      </x:c>
      <x:c r="AA675" s="55" t="n">
        <x:v>3112</x:v>
      </x:c>
      <x:c r="AB675" s="55" t="n">
        <x:v>1515</x:v>
      </x:c>
      <x:c r="AC675" s="55" t="n">
        <x:v>8056</x:v>
      </x:c>
      <x:c r="AD675" s="55" t="n">
        <x:v>2734</x:v>
      </x:c>
      <x:c r="AE675" s="55" t="n">
        <x:v>10884</x:v>
      </x:c>
      <x:c r="AF675" s="55" t="n">
        <x:v>10835</x:v>
      </x:c>
      <x:c r="AG675" s="55" t="n">
        <x:v>49</x:v>
      </x:c>
      <x:c r="AH675" s="55" t="n">
        <x:v>628</x:v>
      </x:c>
      <x:c r="AI675" s="55" t="n">
        <x:v>10207</x:v>
      </x:c>
      <x:c r="AJ675" s="55" t="n">
        <x:v>359</x:v>
      </x:c>
      <x:c r="AK675" s="55" t="n">
        <x:v>1087</x:v>
      </x:c>
      <x:c r="AL675" s="55" t="n">
        <x:v>1572</x:v>
      </x:c>
      <x:c r="AM675" s="55" t="n">
        <x:v>4947</x:v>
      </x:c>
      <x:c r="AN675" s="55" t="n">
        <x:v>2853</x:v>
      </x:c>
      <x:c r="AO675" s="55" t="n">
        <x:v>17</x:v>
      </x:c>
      <x:c r="AP675" s="55" t="n">
        <x:v>2647</x:v>
      </x:c>
      <x:c r="AQ675" s="55" t="n">
        <x:v>999</x:v>
      </x:c>
    </x:row>
    <x:row r="676">
      <x:c r="A676" s="54" t="str">
        <x:v>T2_CONCORDANT_DOMAIN</x:v>
      </x:c>
      <x:c r="B676" s="54" t="n">
        <x:v>670</x:v>
      </x:c>
      <x:c r="C676" s="54" t="str">
        <x:v>NYC-V2-R01</x:v>
      </x:c>
      <x:c r="D676" s="54" t="str">
        <x:v>V2</x:v>
      </x:c>
      <x:c r="E676" s="54" t="str">
        <x:v>ADMITTED</x:v>
      </x:c>
      <x:c r="F676" s="55" t="n">
        <x:v>30689</x:v>
      </x:c>
      <x:c r="G676" s="55" t="n">
        <x:v>7792</x:v>
      </x:c>
      <x:c r="H676" s="55" t="n">
        <x:v>3499</x:v>
      </x:c>
      <x:c r="I676" s="55" t="n">
        <x:v>1219</x:v>
      </x:c>
      <x:c r="J676" s="55" t="n">
        <x:v>287</x:v>
      </x:c>
      <x:c r="K676" s="55" t="n">
        <x:v>30689</x:v>
      </x:c>
      <x:c r="L676" s="55" t="n">
        <x:v>5695</x:v>
      </x:c>
      <x:c r="M676" s="55" t="n">
        <x:v>929</x:v>
      </x:c>
      <x:c r="N676" s="55" t="n">
        <x:v>2755</x:v>
      </x:c>
      <x:c r="O676" s="55" t="n">
        <x:v>2011</x:v>
      </x:c>
      <x:c r="P676" s="55" t="n">
        <x:v>939</x:v>
      </x:c>
      <x:c r="Q676" s="55" t="n">
        <x:v>2772</x:v>
      </x:c>
      <x:c r="R676" s="55" t="n">
        <x:v>2114</x:v>
      </x:c>
      <x:c r="S676" s="55" t="n">
        <x:v>3296</x:v>
      </x:c>
      <x:c r="T676" s="55" t="n">
        <x:v>1359</x:v>
      </x:c>
      <x:c r="U676" s="55" t="n">
        <x:v>2034</x:v>
      </x:c>
      <x:c r="V676" s="55" t="n">
        <x:v>10489</x:v>
      </x:c>
      <x:c r="W676" s="55" t="n">
        <x:v>7568</x:v>
      </x:c>
      <x:c r="X676" s="55" t="n">
        <x:v>2921</x:v>
      </x:c>
      <x:c r="Y676" s="55" t="n">
        <x:v>2379</x:v>
      </x:c>
      <x:c r="Z676" s="55" t="n">
        <x:v>3184</x:v>
      </x:c>
      <x:c r="AA676" s="55" t="n">
        <x:v>2520</x:v>
      </x:c>
      <x:c r="AB676" s="55" t="n">
        <x:v>994</x:v>
      </x:c>
      <x:c r="AC676" s="55" t="n">
        <x:v>7574</x:v>
      </x:c>
      <x:c r="AD676" s="55" t="n">
        <x:v>2387</x:v>
      </x:c>
      <x:c r="AE676" s="55" t="n">
        <x:v>10527</x:v>
      </x:c>
      <x:c r="AF676" s="55" t="n">
        <x:v>10489</x:v>
      </x:c>
      <x:c r="AG676" s="55" t="n">
        <x:v>38</x:v>
      </x:c>
      <x:c r="AH676" s="55" t="n">
        <x:v>261</x:v>
      </x:c>
      <x:c r="AI676" s="55" t="n">
        <x:v>10228</x:v>
      </x:c>
      <x:c r="AJ676" s="55" t="n">
        <x:v>196</x:v>
      </x:c>
      <x:c r="AK676" s="55" t="n">
        <x:v>808</x:v>
      </x:c>
      <x:c r="AL676" s="55" t="n">
        <x:v>1375</x:v>
      </x:c>
      <x:c r="AM676" s="55" t="n">
        <x:v>5528</x:v>
      </x:c>
      <x:c r="AN676" s="55" t="n">
        <x:v>2577</x:v>
      </x:c>
      <x:c r="AO676" s="55" t="n">
        <x:v>5</x:v>
      </x:c>
      <x:c r="AP676" s="55" t="n">
        <x:v>2724</x:v>
      </x:c>
      <x:c r="AQ676" s="55" t="n">
        <x:v>947</x:v>
      </x:c>
    </x:row>
    <x:row r="677">
      <x:c r="A677" s="54" t="str">
        <x:v>T2_CONCORDANT_DOMAIN</x:v>
      </x:c>
      <x:c r="B677" s="54" t="n">
        <x:v>671</x:v>
      </x:c>
      <x:c r="C677" s="54" t="str">
        <x:v>NYC-V2-R01</x:v>
      </x:c>
      <x:c r="D677" s="54" t="str">
        <x:v>V2</x:v>
      </x:c>
      <x:c r="E677" s="54" t="str">
        <x:v>ADMITTED</x:v>
      </x:c>
      <x:c r="F677" s="55" t="n">
        <x:v>31511</x:v>
      </x:c>
      <x:c r="G677" s="55" t="n">
        <x:v>8107</x:v>
      </x:c>
      <x:c r="H677" s="55" t="n">
        <x:v>3689</x:v>
      </x:c>
      <x:c r="I677" s="55" t="n">
        <x:v>1486</x:v>
      </x:c>
      <x:c r="J677" s="55" t="n">
        <x:v>203</x:v>
      </x:c>
      <x:c r="K677" s="55" t="n">
        <x:v>30579</x:v>
      </x:c>
      <x:c r="L677" s="55" t="n">
        <x:v>5779</x:v>
      </x:c>
      <x:c r="M677" s="55" t="n">
        <x:v>1024</x:v>
      </x:c>
      <x:c r="N677" s="55" t="n">
        <x:v>2939</x:v>
      </x:c>
      <x:c r="O677" s="55" t="n">
        <x:v>1816</x:v>
      </x:c>
      <x:c r="P677" s="55" t="n">
        <x:v>421</x:v>
      </x:c>
      <x:c r="Q677" s="55" t="n">
        <x:v>2627</x:v>
      </x:c>
      <x:c r="R677" s="55" t="n">
        <x:v>1895</x:v>
      </x:c>
      <x:c r="S677" s="55" t="n">
        <x:v>3335</x:v>
      </x:c>
      <x:c r="T677" s="55" t="n">
        <x:v>1135</x:v>
      </x:c>
      <x:c r="U677" s="55" t="n">
        <x:v>2174</x:v>
      </x:c>
      <x:c r="V677" s="55" t="n">
        <x:v>11071</x:v>
      </x:c>
      <x:c r="W677" s="55" t="n">
        <x:v>7924</x:v>
      </x:c>
      <x:c r="X677" s="55" t="n">
        <x:v>3147</x:v>
      </x:c>
      <x:c r="Y677" s="55" t="n">
        <x:v>2687</x:v>
      </x:c>
      <x:c r="Z677" s="55" t="n">
        <x:v>3852</x:v>
      </x:c>
      <x:c r="AA677" s="55" t="n">
        <x:v>3320</x:v>
      </x:c>
      <x:c r="AB677" s="55" t="n">
        <x:v>1200</x:v>
      </x:c>
      <x:c r="AC677" s="55" t="n">
        <x:v>8130</x:v>
      </x:c>
      <x:c r="AD677" s="55" t="n">
        <x:v>3333</x:v>
      </x:c>
      <x:c r="AE677" s="55" t="n">
        <x:v>11151</x:v>
      </x:c>
      <x:c r="AF677" s="55" t="n">
        <x:v>11071</x:v>
      </x:c>
      <x:c r="AG677" s="55" t="n">
        <x:v>80</x:v>
      </x:c>
      <x:c r="AH677" s="55" t="n">
        <x:v>552</x:v>
      </x:c>
      <x:c r="AI677" s="55" t="n">
        <x:v>10519</x:v>
      </x:c>
      <x:c r="AJ677" s="55" t="n">
        <x:v>219</x:v>
      </x:c>
      <x:c r="AK677" s="55" t="n">
        <x:v>1131</x:v>
      </x:c>
      <x:c r="AL677" s="55" t="n">
        <x:v>1499</x:v>
      </x:c>
      <x:c r="AM677" s="55" t="n">
        <x:v>5246</x:v>
      </x:c>
      <x:c r="AN677" s="55" t="n">
        <x:v>2976</x:v>
      </x:c>
      <x:c r="AO677" s="55" t="n">
        <x:v>0</x:v>
      </x:c>
      <x:c r="AP677" s="55" t="n">
        <x:v>2504</x:v>
      </x:c>
      <x:c r="AQ677" s="55" t="n">
        <x:v>954</x:v>
      </x:c>
    </x:row>
    <x:row r="678">
      <x:c r="A678" s="54" t="str">
        <x:v>T2_CONCORDANT_DOMAIN</x:v>
      </x:c>
      <x:c r="B678" s="54" t="n">
        <x:v>672</x:v>
      </x:c>
      <x:c r="C678" s="54" t="str">
        <x:v>NYC-V2-R01</x:v>
      </x:c>
      <x:c r="D678" s="54" t="str">
        <x:v>V2</x:v>
      </x:c>
      <x:c r="E678" s="54" t="str">
        <x:v>ADMITTED</x:v>
      </x:c>
      <x:c r="F678" s="55" t="n">
        <x:v>31463</x:v>
      </x:c>
      <x:c r="G678" s="55" t="n">
        <x:v>8289</x:v>
      </x:c>
      <x:c r="H678" s="55" t="n">
        <x:v>3200</x:v>
      </x:c>
      <x:c r="I678" s="55" t="n">
        <x:v>1311</x:v>
      </x:c>
      <x:c r="J678" s="55" t="n">
        <x:v>88</x:v>
      </x:c>
      <x:c r="K678" s="55" t="n">
        <x:v>29329</x:v>
      </x:c>
      <x:c r="L678" s="55" t="n">
        <x:v>6079</x:v>
      </x:c>
      <x:c r="M678" s="55" t="n">
        <x:v>1813</x:v>
      </x:c>
      <x:c r="N678" s="55" t="n">
        <x:v>2836</x:v>
      </x:c>
      <x:c r="O678" s="55" t="n">
        <x:v>1430</x:v>
      </x:c>
      <x:c r="P678" s="55" t="n">
        <x:v>556</x:v>
      </x:c>
      <x:c r="Q678" s="55" t="n">
        <x:v>2472</x:v>
      </x:c>
      <x:c r="R678" s="55" t="n">
        <x:v>1712</x:v>
      </x:c>
      <x:c r="S678" s="55" t="n">
        <x:v>2745</x:v>
      </x:c>
      <x:c r="T678" s="55" t="n">
        <x:v>1131</x:v>
      </x:c>
      <x:c r="U678" s="55" t="n">
        <x:v>2133</x:v>
      </x:c>
      <x:c r="V678" s="55" t="n">
        <x:v>10654</x:v>
      </x:c>
      <x:c r="W678" s="55" t="n">
        <x:v>7295</x:v>
      </x:c>
      <x:c r="X678" s="55" t="n">
        <x:v>3359</x:v>
      </x:c>
      <x:c r="Y678" s="55" t="n">
        <x:v>2850</x:v>
      </x:c>
      <x:c r="Z678" s="55" t="n">
        <x:v>4258</x:v>
      </x:c>
      <x:c r="AA678" s="55" t="n">
        <x:v>3200</x:v>
      </x:c>
      <x:c r="AB678" s="55" t="n">
        <x:v>1317</x:v>
      </x:c>
      <x:c r="AC678" s="55" t="n">
        <x:v>8051</x:v>
      </x:c>
      <x:c r="AD678" s="55" t="n">
        <x:v>3042</x:v>
      </x:c>
      <x:c r="AE678" s="55" t="n">
        <x:v>10756</x:v>
      </x:c>
      <x:c r="AF678" s="55" t="n">
        <x:v>10654</x:v>
      </x:c>
      <x:c r="AG678" s="55" t="n">
        <x:v>102</x:v>
      </x:c>
      <x:c r="AH678" s="55" t="n">
        <x:v>531</x:v>
      </x:c>
      <x:c r="AI678" s="55" t="n">
        <x:v>10123</x:v>
      </x:c>
      <x:c r="AJ678" s="55" t="n">
        <x:v>463</x:v>
      </x:c>
      <x:c r="AK678" s="55" t="n">
        <x:v>1095</x:v>
      </x:c>
      <x:c r="AL678" s="55" t="n">
        <x:v>1500</x:v>
      </x:c>
      <x:c r="AM678" s="55" t="n">
        <x:v>5075</x:v>
      </x:c>
      <x:c r="AN678" s="55" t="n">
        <x:v>2458</x:v>
      </x:c>
      <x:c r="AO678" s="55" t="n">
        <x:v>63</x:v>
      </x:c>
      <x:c r="AP678" s="55" t="n">
        <x:v>2072</x:v>
      </x:c>
      <x:c r="AQ678" s="55" t="n">
        <x:v>1022</x:v>
      </x:c>
    </x:row>
    <x:row r="679">
      <x:c r="A679" s="54" t="str">
        <x:v>T2_CONCORDANT_DOMAIN</x:v>
      </x:c>
      <x:c r="B679" s="54" t="n">
        <x:v>673</x:v>
      </x:c>
      <x:c r="C679" s="54" t="str">
        <x:v>NYC-V2-R01</x:v>
      </x:c>
      <x:c r="D679" s="54" t="str">
        <x:v>V2</x:v>
      </x:c>
      <x:c r="E679" s="54" t="str">
        <x:v>ADMITTED</x:v>
      </x:c>
      <x:c r="F679" s="55" t="n">
        <x:v>30239</x:v>
      </x:c>
      <x:c r="G679" s="55" t="n">
        <x:v>6865</x:v>
      </x:c>
      <x:c r="H679" s="55" t="n">
        <x:v>3363</x:v>
      </x:c>
      <x:c r="I679" s="55" t="n">
        <x:v>1204</x:v>
      </x:c>
      <x:c r="J679" s="55" t="n">
        <x:v>140</x:v>
      </x:c>
      <x:c r="K679" s="55" t="n">
        <x:v>30239</x:v>
      </x:c>
      <x:c r="L679" s="55" t="n">
        <x:v>5930</x:v>
      </x:c>
      <x:c r="M679" s="55" t="n">
        <x:v>1923</x:v>
      </x:c>
      <x:c r="N679" s="55" t="n">
        <x:v>2523</x:v>
      </x:c>
      <x:c r="O679" s="55" t="n">
        <x:v>1484</x:v>
      </x:c>
      <x:c r="P679" s="55" t="n">
        <x:v>611</x:v>
      </x:c>
      <x:c r="Q679" s="55" t="n">
        <x:v>2406</x:v>
      </x:c>
      <x:c r="R679" s="55" t="n">
        <x:v>2249</x:v>
      </x:c>
      <x:c r="S679" s="55" t="n">
        <x:v>2766</x:v>
      </x:c>
      <x:c r="T679" s="55" t="n">
        <x:v>1641</x:v>
      </x:c>
      <x:c r="U679" s="55" t="n">
        <x:v>2591</x:v>
      </x:c>
      <x:c r="V679" s="55" t="n">
        <x:v>10956</x:v>
      </x:c>
      <x:c r="W679" s="55" t="n">
        <x:v>7865</x:v>
      </x:c>
      <x:c r="X679" s="55" t="n">
        <x:v>3091</x:v>
      </x:c>
      <x:c r="Y679" s="55" t="n">
        <x:v>2737</x:v>
      </x:c>
      <x:c r="Z679" s="55" t="n">
        <x:v>4265</x:v>
      </x:c>
      <x:c r="AA679" s="55" t="n">
        <x:v>3363</x:v>
      </x:c>
      <x:c r="AB679" s="55" t="n">
        <x:v>1254</x:v>
      </x:c>
      <x:c r="AC679" s="55" t="n">
        <x:v>7261</x:v>
      </x:c>
      <x:c r="AD679" s="55" t="n">
        <x:v>2922</x:v>
      </x:c>
      <x:c r="AE679" s="55" t="n">
        <x:v>11023</x:v>
      </x:c>
      <x:c r="AF679" s="55" t="n">
        <x:v>10956</x:v>
      </x:c>
      <x:c r="AG679" s="55" t="n">
        <x:v>67</x:v>
      </x:c>
      <x:c r="AH679" s="55" t="n">
        <x:v>558</x:v>
      </x:c>
      <x:c r="AI679" s="55" t="n">
        <x:v>10398</x:v>
      </x:c>
      <x:c r="AJ679" s="55" t="n">
        <x:v>319</x:v>
      </x:c>
      <x:c r="AK679" s="55" t="n">
        <x:v>1082</x:v>
      </x:c>
      <x:c r="AL679" s="55" t="n">
        <x:v>1757</x:v>
      </x:c>
      <x:c r="AM679" s="55" t="n">
        <x:v>5133</x:v>
      </x:c>
      <x:c r="AN679" s="55" t="n">
        <x:v>2665</x:v>
      </x:c>
      <x:c r="AO679" s="55" t="n">
        <x:v>0</x:v>
      </x:c>
      <x:c r="AP679" s="55" t="n">
        <x:v>2161</x:v>
      </x:c>
      <x:c r="AQ679" s="55" t="n">
        <x:v>933</x:v>
      </x:c>
    </x:row>
    <x:row r="680">
      <x:c r="A680" s="54" t="str">
        <x:v>T2_CONCORDANT_DOMAIN</x:v>
      </x:c>
      <x:c r="B680" s="54" t="n">
        <x:v>674</x:v>
      </x:c>
      <x:c r="C680" s="54" t="str">
        <x:v>NYC-V2-R01</x:v>
      </x:c>
      <x:c r="D680" s="54" t="str">
        <x:v>V2</x:v>
      </x:c>
      <x:c r="E680" s="54" t="str">
        <x:v>ADMITTED</x:v>
      </x:c>
      <x:c r="F680" s="55" t="n">
        <x:v>34728</x:v>
      </x:c>
      <x:c r="G680" s="55" t="n">
        <x:v>9828</x:v>
      </x:c>
      <x:c r="H680" s="55" t="n">
        <x:v>3366</x:v>
      </x:c>
      <x:c r="I680" s="55" t="n">
        <x:v>1268</x:v>
      </x:c>
      <x:c r="J680" s="55" t="n">
        <x:v>247</x:v>
      </x:c>
      <x:c r="K680" s="55" t="n">
        <x:v>30811</x:v>
      </x:c>
      <x:c r="L680" s="55" t="n">
        <x:v>6166</x:v>
      </x:c>
      <x:c r="M680" s="55" t="n">
        <x:v>1687</x:v>
      </x:c>
      <x:c r="N680" s="55" t="n">
        <x:v>2800</x:v>
      </x:c>
      <x:c r="O680" s="55" t="n">
        <x:v>1679</x:v>
      </x:c>
      <x:c r="P680" s="55" t="n">
        <x:v>1261</x:v>
      </x:c>
      <x:c r="Q680" s="55" t="n">
        <x:v>3194</x:v>
      </x:c>
      <x:c r="R680" s="55" t="n">
        <x:v>2135</x:v>
      </x:c>
      <x:c r="S680" s="55" t="n">
        <x:v>3201</x:v>
      </x:c>
      <x:c r="T680" s="55" t="n">
        <x:v>1535</x:v>
      </x:c>
      <x:c r="U680" s="55" t="n">
        <x:v>2252</x:v>
      </x:c>
      <x:c r="V680" s="55" t="n">
        <x:v>11052</x:v>
      </x:c>
      <x:c r="W680" s="55" t="n">
        <x:v>7846</x:v>
      </x:c>
      <x:c r="X680" s="55" t="n">
        <x:v>3206</x:v>
      </x:c>
      <x:c r="Y680" s="55" t="n">
        <x:v>2893</x:v>
      </x:c>
      <x:c r="Z680" s="55" t="n">
        <x:v>3968</x:v>
      </x:c>
      <x:c r="AA680" s="55" t="n">
        <x:v>3366</x:v>
      </x:c>
      <x:c r="AB680" s="55" t="n">
        <x:v>1079</x:v>
      </x:c>
      <x:c r="AC680" s="55" t="n">
        <x:v>8623</x:v>
      </x:c>
      <x:c r="AD680" s="55" t="n">
        <x:v>3746</x:v>
      </x:c>
      <x:c r="AE680" s="55" t="n">
        <x:v>11135</x:v>
      </x:c>
      <x:c r="AF680" s="55" t="n">
        <x:v>11052</x:v>
      </x:c>
      <x:c r="AG680" s="55" t="n">
        <x:v>83</x:v>
      </x:c>
      <x:c r="AH680" s="55" t="n">
        <x:v>615</x:v>
      </x:c>
      <x:c r="AI680" s="55" t="n">
        <x:v>10437</x:v>
      </x:c>
      <x:c r="AJ680" s="55" t="n">
        <x:v>329</x:v>
      </x:c>
      <x:c r="AK680" s="55" t="n">
        <x:v>1249</x:v>
      </x:c>
      <x:c r="AL680" s="55" t="n">
        <x:v>1749</x:v>
      </x:c>
      <x:c r="AM680" s="55" t="n">
        <x:v>5145</x:v>
      </x:c>
      <x:c r="AN680" s="55" t="n">
        <x:v>2519</x:v>
      </x:c>
      <x:c r="AO680" s="55" t="n">
        <x:v>61</x:v>
      </x:c>
      <x:c r="AP680" s="55" t="n">
        <x:v>2362</x:v>
      </x:c>
      <x:c r="AQ680" s="55" t="n">
        <x:v>978</x:v>
      </x:c>
    </x:row>
    <x:row r="681">
      <x:c r="A681" s="54" t="str">
        <x:v>T2_CONCORDANT_DOMAIN</x:v>
      </x:c>
      <x:c r="B681" s="54" t="n">
        <x:v>675</x:v>
      </x:c>
      <x:c r="C681" s="54" t="str">
        <x:v>NYC-V2-R01</x:v>
      </x:c>
      <x:c r="D681" s="54" t="str">
        <x:v>V2</x:v>
      </x:c>
      <x:c r="E681" s="54" t="str">
        <x:v>ADMITTED</x:v>
      </x:c>
      <x:c r="F681" s="55" t="n">
        <x:v>29716</x:v>
      </x:c>
      <x:c r="G681" s="55" t="n">
        <x:v>6521</x:v>
      </x:c>
      <x:c r="H681" s="55" t="n">
        <x:v>3498</x:v>
      </x:c>
      <x:c r="I681" s="55" t="n">
        <x:v>1322</x:v>
      </x:c>
      <x:c r="J681" s="55" t="n">
        <x:v>205</x:v>
      </x:c>
      <x:c r="K681" s="55" t="n">
        <x:v>29716</x:v>
      </x:c>
      <x:c r="L681" s="55" t="n">
        <x:v>5862</x:v>
      </x:c>
      <x:c r="M681" s="55" t="n">
        <x:v>1535</x:v>
      </x:c>
      <x:c r="N681" s="55" t="n">
        <x:v>2718</x:v>
      </x:c>
      <x:c r="O681" s="55" t="n">
        <x:v>1609</x:v>
      </x:c>
      <x:c r="P681" s="55" t="n">
        <x:v>684</x:v>
      </x:c>
      <x:c r="Q681" s="55" t="n">
        <x:v>2830</x:v>
      </x:c>
      <x:c r="R681" s="55" t="n">
        <x:v>1989</x:v>
      </x:c>
      <x:c r="S681" s="55" t="n">
        <x:v>2442</x:v>
      </x:c>
      <x:c r="T681" s="55" t="n">
        <x:v>1297</x:v>
      </x:c>
      <x:c r="U681" s="55" t="n">
        <x:v>2269</x:v>
      </x:c>
      <x:c r="V681" s="55" t="n">
        <x:v>10308</x:v>
      </x:c>
      <x:c r="W681" s="55" t="n">
        <x:v>7536</x:v>
      </x:c>
      <x:c r="X681" s="55" t="n">
        <x:v>2772</x:v>
      </x:c>
      <x:c r="Y681" s="55" t="n">
        <x:v>2382</x:v>
      </x:c>
      <x:c r="Z681" s="55" t="n">
        <x:v>3704</x:v>
      </x:c>
      <x:c r="AA681" s="55" t="n">
        <x:v>2994</x:v>
      </x:c>
      <x:c r="AB681" s="55" t="n">
        <x:v>1040</x:v>
      </x:c>
      <x:c r="AC681" s="55" t="n">
        <x:v>7917</x:v>
      </x:c>
      <x:c r="AD681" s="55" t="n">
        <x:v>2796</x:v>
      </x:c>
      <x:c r="AE681" s="55" t="n">
        <x:v>10394</x:v>
      </x:c>
      <x:c r="AF681" s="55" t="n">
        <x:v>10308</x:v>
      </x:c>
      <x:c r="AG681" s="55" t="n">
        <x:v>86</x:v>
      </x:c>
      <x:c r="AH681" s="55" t="n">
        <x:v>554</x:v>
      </x:c>
      <x:c r="AI681" s="55" t="n">
        <x:v>9754</x:v>
      </x:c>
      <x:c r="AJ681" s="55" t="n">
        <x:v>339</x:v>
      </x:c>
      <x:c r="AK681" s="55" t="n">
        <x:v>997</x:v>
      </x:c>
      <x:c r="AL681" s="55" t="n">
        <x:v>1588</x:v>
      </x:c>
      <x:c r="AM681" s="55" t="n">
        <x:v>5147</x:v>
      </x:c>
      <x:c r="AN681" s="55" t="n">
        <x:v>2218</x:v>
      </x:c>
      <x:c r="AO681" s="55" t="n">
        <x:v>19</x:v>
      </x:c>
      <x:c r="AP681" s="55" t="n">
        <x:v>2247</x:v>
      </x:c>
      <x:c r="AQ681" s="55" t="n">
        <x:v>979</x:v>
      </x:c>
    </x:row>
    <x:row r="682">
      <x:c r="A682" s="54" t="str">
        <x:v>T2_CONCORDANT_DOMAIN</x:v>
      </x:c>
      <x:c r="B682" s="54" t="n">
        <x:v>676</x:v>
      </x:c>
      <x:c r="C682" s="54" t="str">
        <x:v>NYC-V2-R01</x:v>
      </x:c>
      <x:c r="D682" s="54" t="str">
        <x:v>V2</x:v>
      </x:c>
      <x:c r="E682" s="54" t="str">
        <x:v>ADMITTED</x:v>
      </x:c>
      <x:c r="F682" s="55" t="n">
        <x:v>34417</x:v>
      </x:c>
      <x:c r="G682" s="55" t="n">
        <x:v>9384</x:v>
      </x:c>
      <x:c r="H682" s="55" t="n">
        <x:v>3497</x:v>
      </x:c>
      <x:c r="I682" s="55" t="n">
        <x:v>1629</x:v>
      </x:c>
      <x:c r="J682" s="55" t="n">
        <x:v>259</x:v>
      </x:c>
      <x:c r="K682" s="55" t="n">
        <x:v>32067</x:v>
      </x:c>
      <x:c r="L682" s="55" t="n">
        <x:v>6593</x:v>
      </x:c>
      <x:c r="M682" s="55" t="n">
        <x:v>1716</x:v>
      </x:c>
      <x:c r="N682" s="55" t="n">
        <x:v>2845</x:v>
      </x:c>
      <x:c r="O682" s="55" t="n">
        <x:v>2032</x:v>
      </x:c>
      <x:c r="P682" s="55" t="n">
        <x:v>849</x:v>
      </x:c>
      <x:c r="Q682" s="55" t="n">
        <x:v>3404</x:v>
      </x:c>
      <x:c r="R682" s="55" t="n">
        <x:v>2156</x:v>
      </x:c>
      <x:c r="S682" s="55" t="n">
        <x:v>3294</x:v>
      </x:c>
      <x:c r="T682" s="55" t="n">
        <x:v>1122</x:v>
      </x:c>
      <x:c r="U682" s="55" t="n">
        <x:v>1922</x:v>
      </x:c>
      <x:c r="V682" s="55" t="n">
        <x:v>11152</x:v>
      </x:c>
      <x:c r="W682" s="55" t="n">
        <x:v>8110</x:v>
      </x:c>
      <x:c r="X682" s="55" t="n">
        <x:v>3042</x:v>
      </x:c>
      <x:c r="Y682" s="55" t="n">
        <x:v>2564</x:v>
      </x:c>
      <x:c r="Z682" s="55" t="n">
        <x:v>3846</x:v>
      </x:c>
      <x:c r="AA682" s="55" t="n">
        <x:v>3112</x:v>
      </x:c>
      <x:c r="AB682" s="55" t="n">
        <x:v>1240</x:v>
      </x:c>
      <x:c r="AC682" s="55" t="n">
        <x:v>7969</x:v>
      </x:c>
      <x:c r="AD682" s="55" t="n">
        <x:v>3424</x:v>
      </x:c>
      <x:c r="AE682" s="55" t="n">
        <x:v>11301</x:v>
      </x:c>
      <x:c r="AF682" s="55" t="n">
        <x:v>11152</x:v>
      </x:c>
      <x:c r="AG682" s="55" t="n">
        <x:v>149</x:v>
      </x:c>
      <x:c r="AH682" s="55" t="n">
        <x:v>774</x:v>
      </x:c>
      <x:c r="AI682" s="55" t="n">
        <x:v>10378</x:v>
      </x:c>
      <x:c r="AJ682" s="55" t="n">
        <x:v>531</x:v>
      </x:c>
      <x:c r="AK682" s="55" t="n">
        <x:v>1230</x:v>
      </x:c>
      <x:c r="AL682" s="55" t="n">
        <x:v>1695</x:v>
      </x:c>
      <x:c r="AM682" s="55" t="n">
        <x:v>4720</x:v>
      </x:c>
      <x:c r="AN682" s="55" t="n">
        <x:v>2952</x:v>
      </x:c>
      <x:c r="AO682" s="55" t="n">
        <x:v>24</x:v>
      </x:c>
      <x:c r="AP682" s="55" t="n">
        <x:v>2788</x:v>
      </x:c>
      <x:c r="AQ682" s="55" t="n">
        <x:v>1007</x:v>
      </x:c>
    </x:row>
    <x:row r="683">
      <x:c r="A683" s="54" t="str">
        <x:v>T2_CONCORDANT_DOMAIN</x:v>
      </x:c>
      <x:c r="B683" s="54" t="n">
        <x:v>677</x:v>
      </x:c>
      <x:c r="C683" s="54" t="str">
        <x:v>NYC-V2-R01</x:v>
      </x:c>
      <x:c r="D683" s="54" t="str">
        <x:v>V2</x:v>
      </x:c>
      <x:c r="E683" s="54" t="str">
        <x:v>ADMITTED</x:v>
      </x:c>
      <x:c r="F683" s="55" t="n">
        <x:v>31073</x:v>
      </x:c>
      <x:c r="G683" s="55" t="n">
        <x:v>8260</x:v>
      </x:c>
      <x:c r="H683" s="55" t="n">
        <x:v>3425</x:v>
      </x:c>
      <x:c r="I683" s="55" t="n">
        <x:v>1323</x:v>
      </x:c>
      <x:c r="J683" s="55" t="n">
        <x:v>68</x:v>
      </x:c>
      <x:c r="K683" s="55" t="n">
        <x:v>30425</x:v>
      </x:c>
      <x:c r="L683" s="55" t="n">
        <x:v>6660</x:v>
      </x:c>
      <x:c r="M683" s="55" t="n">
        <x:v>1144</x:v>
      </x:c>
      <x:c r="N683" s="55" t="n">
        <x:v>3370</x:v>
      </x:c>
      <x:c r="O683" s="55" t="n">
        <x:v>2146</x:v>
      </x:c>
      <x:c r="P683" s="55" t="n">
        <x:v>1183</x:v>
      </x:c>
      <x:c r="Q683" s="55" t="n">
        <x:v>3319</x:v>
      </x:c>
      <x:c r="R683" s="55" t="n">
        <x:v>1722</x:v>
      </x:c>
      <x:c r="S683" s="55" t="n">
        <x:v>3352</x:v>
      </x:c>
      <x:c r="T683" s="55" t="n">
        <x:v>1597</x:v>
      </x:c>
      <x:c r="U683" s="55" t="n">
        <x:v>2293</x:v>
      </x:c>
      <x:c r="V683" s="55" t="n">
        <x:v>10890</x:v>
      </x:c>
      <x:c r="W683" s="55" t="n">
        <x:v>7436</x:v>
      </x:c>
      <x:c r="X683" s="55" t="n">
        <x:v>3454</x:v>
      </x:c>
      <x:c r="Y683" s="55" t="n">
        <x:v>2947</x:v>
      </x:c>
      <x:c r="Z683" s="55" t="n">
        <x:v>4138</x:v>
      </x:c>
      <x:c r="AA683" s="55" t="n">
        <x:v>3144</x:v>
      </x:c>
      <x:c r="AB683" s="55" t="n">
        <x:v>1368</x:v>
      </x:c>
      <x:c r="AC683" s="55" t="n">
        <x:v>8440</x:v>
      </x:c>
      <x:c r="AD683" s="55" t="n">
        <x:v>3705</x:v>
      </x:c>
      <x:c r="AE683" s="55" t="n">
        <x:v>11044</x:v>
      </x:c>
      <x:c r="AF683" s="55" t="n">
        <x:v>10890</x:v>
      </x:c>
      <x:c r="AG683" s="55" t="n">
        <x:v>154</x:v>
      </x:c>
      <x:c r="AH683" s="55" t="n">
        <x:v>582</x:v>
      </x:c>
      <x:c r="AI683" s="55" t="n">
        <x:v>10308</x:v>
      </x:c>
      <x:c r="AJ683" s="55" t="n">
        <x:v>433</x:v>
      </x:c>
      <x:c r="AK683" s="55" t="n">
        <x:v>1027</x:v>
      </x:c>
      <x:c r="AL683" s="55" t="n">
        <x:v>2048</x:v>
      </x:c>
      <x:c r="AM683" s="55" t="n">
        <x:v>4673</x:v>
      </x:c>
      <x:c r="AN683" s="55" t="n">
        <x:v>2690</x:v>
      </x:c>
      <x:c r="AO683" s="55" t="n">
        <x:v>19</x:v>
      </x:c>
      <x:c r="AP683" s="55" t="n">
        <x:v>2451</x:v>
      </x:c>
      <x:c r="AQ683" s="55" t="n">
        <x:v>992</x:v>
      </x:c>
    </x:row>
    <x:row r="684">
      <x:c r="A684" s="54" t="str">
        <x:v>T2_CONCORDANT_DOMAIN</x:v>
      </x:c>
      <x:c r="B684" s="54" t="n">
        <x:v>678</x:v>
      </x:c>
      <x:c r="C684" s="54" t="str">
        <x:v>NYC-V2-R01</x:v>
      </x:c>
      <x:c r="D684" s="54" t="str">
        <x:v>V2</x:v>
      </x:c>
      <x:c r="E684" s="54" t="str">
        <x:v>ADMITTED</x:v>
      </x:c>
      <x:c r="F684" s="55" t="n">
        <x:v>33667</x:v>
      </x:c>
      <x:c r="G684" s="55" t="n">
        <x:v>8567</x:v>
      </x:c>
      <x:c r="H684" s="55" t="n">
        <x:v>3684</x:v>
      </x:c>
      <x:c r="I684" s="55" t="n">
        <x:v>1451</x:v>
      </x:c>
      <x:c r="J684" s="55" t="n">
        <x:v>410</x:v>
      </x:c>
      <x:c r="K684" s="55" t="n">
        <x:v>33667</x:v>
      </x:c>
      <x:c r="L684" s="55" t="n">
        <x:v>7420</x:v>
      </x:c>
      <x:c r="M684" s="55" t="n">
        <x:v>1997</x:v>
      </x:c>
      <x:c r="N684" s="55" t="n">
        <x:v>2852</x:v>
      </x:c>
      <x:c r="O684" s="55" t="n">
        <x:v>2571</x:v>
      </x:c>
      <x:c r="P684" s="55" t="n">
        <x:v>1210</x:v>
      </x:c>
      <x:c r="Q684" s="55" t="n">
        <x:v>2712</x:v>
      </x:c>
      <x:c r="R684" s="55" t="n">
        <x:v>2332</x:v>
      </x:c>
      <x:c r="S684" s="55" t="n">
        <x:v>3508</x:v>
      </x:c>
      <x:c r="T684" s="55" t="n">
        <x:v>1472</x:v>
      </x:c>
      <x:c r="U684" s="55" t="n">
        <x:v>3221</x:v>
      </x:c>
      <x:c r="V684" s="55" t="n">
        <x:v>11054</x:v>
      </x:c>
      <x:c r="W684" s="55" t="n">
        <x:v>7379</x:v>
      </x:c>
      <x:c r="X684" s="55" t="n">
        <x:v>3675</x:v>
      </x:c>
      <x:c r="Y684" s="55" t="n">
        <x:v>3240</x:v>
      </x:c>
      <x:c r="Z684" s="55" t="n">
        <x:v>4167</x:v>
      </x:c>
      <x:c r="AA684" s="55" t="n">
        <x:v>3684</x:v>
      </x:c>
      <x:c r="AB684" s="55" t="n">
        <x:v>1437</x:v>
      </x:c>
      <x:c r="AC684" s="55" t="n">
        <x:v>8722</x:v>
      </x:c>
      <x:c r="AD684" s="55" t="n">
        <x:v>3842</x:v>
      </x:c>
      <x:c r="AE684" s="55" t="n">
        <x:v>11220</x:v>
      </x:c>
      <x:c r="AF684" s="55" t="n">
        <x:v>11054</x:v>
      </x:c>
      <x:c r="AG684" s="55" t="n">
        <x:v>166</x:v>
      </x:c>
      <x:c r="AH684" s="55" t="n">
        <x:v>572</x:v>
      </x:c>
      <x:c r="AI684" s="55" t="n">
        <x:v>10482</x:v>
      </x:c>
      <x:c r="AJ684" s="55" t="n">
        <x:v>440</x:v>
      </x:c>
      <x:c r="AK684" s="55" t="n">
        <x:v>811</x:v>
      </x:c>
      <x:c r="AL684" s="55" t="n">
        <x:v>1713</x:v>
      </x:c>
      <x:c r="AM684" s="55" t="n">
        <x:v>5033</x:v>
      </x:c>
      <x:c r="AN684" s="55" t="n">
        <x:v>3057</x:v>
      </x:c>
      <x:c r="AO684" s="55" t="n">
        <x:v>0</x:v>
      </x:c>
      <x:c r="AP684" s="55" t="n">
        <x:v>2625</x:v>
      </x:c>
      <x:c r="AQ684" s="55" t="n">
        <x:v>956</x:v>
      </x:c>
    </x:row>
    <x:row r="685">
      <x:c r="A685" s="54" t="str">
        <x:v>T2_CONCORDANT_DOMAIN</x:v>
      </x:c>
      <x:c r="B685" s="54" t="n">
        <x:v>679</x:v>
      </x:c>
      <x:c r="C685" s="54" t="str">
        <x:v>NYC-V2-R01</x:v>
      </x:c>
      <x:c r="D685" s="54" t="str">
        <x:v>V2</x:v>
      </x:c>
      <x:c r="E685" s="54" t="str">
        <x:v>ADMITTED</x:v>
      </x:c>
      <x:c r="F685" s="55" t="n">
        <x:v>30588</x:v>
      </x:c>
      <x:c r="G685" s="55" t="n">
        <x:v>7587</x:v>
      </x:c>
      <x:c r="H685" s="55" t="n">
        <x:v>3334</x:v>
      </x:c>
      <x:c r="I685" s="55" t="n">
        <x:v>1181</x:v>
      </x:c>
      <x:c r="J685" s="55" t="n">
        <x:v>65</x:v>
      </x:c>
      <x:c r="K685" s="55" t="n">
        <x:v>29341</x:v>
      </x:c>
      <x:c r="L685" s="55" t="n">
        <x:v>4829</x:v>
      </x:c>
      <x:c r="M685" s="55" t="n">
        <x:v>590</x:v>
      </x:c>
      <x:c r="N685" s="55" t="n">
        <x:v>2805</x:v>
      </x:c>
      <x:c r="O685" s="55" t="n">
        <x:v>1434</x:v>
      </x:c>
      <x:c r="P685" s="55" t="n">
        <x:v>714</x:v>
      </x:c>
      <x:c r="Q685" s="55" t="n">
        <x:v>1975</x:v>
      </x:c>
      <x:c r="R685" s="55" t="n">
        <x:v>1698</x:v>
      </x:c>
      <x:c r="S685" s="55" t="n">
        <x:v>2236</x:v>
      </x:c>
      <x:c r="T685" s="55" t="n">
        <x:v>990</x:v>
      </x:c>
      <x:c r="U685" s="55" t="n">
        <x:v>1328</x:v>
      </x:c>
      <x:c r="V685" s="55" t="n">
        <x:v>10284</x:v>
      </x:c>
      <x:c r="W685" s="55" t="n">
        <x:v>7548</x:v>
      </x:c>
      <x:c r="X685" s="55" t="n">
        <x:v>2736</x:v>
      </x:c>
      <x:c r="Y685" s="55" t="n">
        <x:v>2334</x:v>
      </x:c>
      <x:c r="Z685" s="55" t="n">
        <x:v>3538</x:v>
      </x:c>
      <x:c r="AA685" s="55" t="n">
        <x:v>3334</x:v>
      </x:c>
      <x:c r="AB685" s="55" t="n">
        <x:v>920</x:v>
      </x:c>
      <x:c r="AC685" s="55" t="n">
        <x:v>7850</x:v>
      </x:c>
      <x:c r="AD685" s="55" t="n">
        <x:v>2791</x:v>
      </x:c>
      <x:c r="AE685" s="55" t="n">
        <x:v>10329</x:v>
      </x:c>
      <x:c r="AF685" s="55" t="n">
        <x:v>10284</x:v>
      </x:c>
      <x:c r="AG685" s="55" t="n">
        <x:v>45</x:v>
      </x:c>
      <x:c r="AH685" s="55" t="n">
        <x:v>280</x:v>
      </x:c>
      <x:c r="AI685" s="55" t="n">
        <x:v>10004</x:v>
      </x:c>
      <x:c r="AJ685" s="55" t="n">
        <x:v>175</x:v>
      </x:c>
      <x:c r="AK685" s="55" t="n">
        <x:v>849</x:v>
      </x:c>
      <x:c r="AL685" s="55" t="n">
        <x:v>1440</x:v>
      </x:c>
      <x:c r="AM685" s="55" t="n">
        <x:v>5080</x:v>
      </x:c>
      <x:c r="AN685" s="55" t="n">
        <x:v>2740</x:v>
      </x:c>
      <x:c r="AO685" s="55" t="n">
        <x:v>0</x:v>
      </x:c>
      <x:c r="AP685" s="55" t="n">
        <x:v>2254</x:v>
      </x:c>
      <x:c r="AQ685" s="55" t="n">
        <x:v>939</x:v>
      </x:c>
    </x:row>
    <x:row r="686">
      <x:c r="A686" s="54" t="str">
        <x:v>T2_CONCORDANT_DOMAIN</x:v>
      </x:c>
      <x:c r="B686" s="54" t="n">
        <x:v>680</x:v>
      </x:c>
      <x:c r="C686" s="54" t="str">
        <x:v>NYC-V2-R01</x:v>
      </x:c>
      <x:c r="D686" s="54" t="str">
        <x:v>V2</x:v>
      </x:c>
      <x:c r="E686" s="54" t="str">
        <x:v>ADMITTED</x:v>
      </x:c>
      <x:c r="F686" s="55" t="n">
        <x:v>32758</x:v>
      </x:c>
      <x:c r="G686" s="55" t="n">
        <x:v>9274</x:v>
      </x:c>
      <x:c r="H686" s="55" t="n">
        <x:v>3789</x:v>
      </x:c>
      <x:c r="I686" s="55" t="n">
        <x:v>1487</x:v>
      </x:c>
      <x:c r="J686" s="55" t="n">
        <x:v>322</x:v>
      </x:c>
      <x:c r="K686" s="55" t="n">
        <x:v>32758</x:v>
      </x:c>
      <x:c r="L686" s="55" t="n">
        <x:v>7052</x:v>
      </x:c>
      <x:c r="M686" s="55" t="n">
        <x:v>2017</x:v>
      </x:c>
      <x:c r="N686" s="55" t="n">
        <x:v>3243</x:v>
      </x:c>
      <x:c r="O686" s="55" t="n">
        <x:v>1792</x:v>
      </x:c>
      <x:c r="P686" s="55" t="n">
        <x:v>976</x:v>
      </x:c>
      <x:c r="Q686" s="55" t="n">
        <x:v>2194</x:v>
      </x:c>
      <x:c r="R686" s="55" t="n">
        <x:v>2506</x:v>
      </x:c>
      <x:c r="S686" s="55" t="n">
        <x:v>3693</x:v>
      </x:c>
      <x:c r="T686" s="55" t="n">
        <x:v>1361</x:v>
      </x:c>
      <x:c r="U686" s="55" t="n">
        <x:v>2500</x:v>
      </x:c>
      <x:c r="V686" s="55" t="n">
        <x:v>10589</x:v>
      </x:c>
      <x:c r="W686" s="55" t="n">
        <x:v>7253</x:v>
      </x:c>
      <x:c r="X686" s="55" t="n">
        <x:v>3336</x:v>
      </x:c>
      <x:c r="Y686" s="55" t="n">
        <x:v>2972</x:v>
      </x:c>
      <x:c r="Z686" s="55" t="n">
        <x:v>4105</x:v>
      </x:c>
      <x:c r="AA686" s="55" t="n">
        <x:v>3789</x:v>
      </x:c>
      <x:c r="AB686" s="55" t="n">
        <x:v>1586</x:v>
      </x:c>
      <x:c r="AC686" s="55" t="n">
        <x:v>9004</x:v>
      </x:c>
      <x:c r="AD686" s="55" t="n">
        <x:v>3580</x:v>
      </x:c>
      <x:c r="AE686" s="55" t="n">
        <x:v>10724</x:v>
      </x:c>
      <x:c r="AF686" s="55" t="n">
        <x:v>10589</x:v>
      </x:c>
      <x:c r="AG686" s="55" t="n">
        <x:v>135</x:v>
      </x:c>
      <x:c r="AH686" s="55" t="n">
        <x:v>356</x:v>
      </x:c>
      <x:c r="AI686" s="55" t="n">
        <x:v>10233</x:v>
      </x:c>
      <x:c r="AJ686" s="55" t="n">
        <x:v>290</x:v>
      </x:c>
      <x:c r="AK686" s="55" t="n">
        <x:v>1006</x:v>
      </x:c>
      <x:c r="AL686" s="55" t="n">
        <x:v>1382</x:v>
      </x:c>
      <x:c r="AM686" s="55" t="n">
        <x:v>5173</x:v>
      </x:c>
      <x:c r="AN686" s="55" t="n">
        <x:v>2738</x:v>
      </x:c>
      <x:c r="AO686" s="55" t="n">
        <x:v>0</x:v>
      </x:c>
      <x:c r="AP686" s="55" t="n">
        <x:v>2625</x:v>
      </x:c>
      <x:c r="AQ686" s="55" t="n">
        <x:v>946</x:v>
      </x:c>
    </x:row>
    <x:row r="687">
      <x:c r="A687" s="54" t="str">
        <x:v>T2_CONCORDANT_DOMAIN</x:v>
      </x:c>
      <x:c r="B687" s="54" t="n">
        <x:v>681</x:v>
      </x:c>
      <x:c r="C687" s="54" t="str">
        <x:v>NYC-V2-R01</x:v>
      </x:c>
      <x:c r="D687" s="54" t="str">
        <x:v>V2</x:v>
      </x:c>
      <x:c r="E687" s="54" t="str">
        <x:v>ADMITTED</x:v>
      </x:c>
      <x:c r="F687" s="55" t="n">
        <x:v>30787</x:v>
      </x:c>
      <x:c r="G687" s="55" t="n">
        <x:v>6563</x:v>
      </x:c>
      <x:c r="H687" s="55" t="n">
        <x:v>3920</x:v>
      </x:c>
      <x:c r="I687" s="55" t="n">
        <x:v>1655</x:v>
      </x:c>
      <x:c r="J687" s="55" t="n">
        <x:v>292</x:v>
      </x:c>
      <x:c r="K687" s="55" t="n">
        <x:v>30787</x:v>
      </x:c>
      <x:c r="L687" s="55" t="n">
        <x:v>4650</x:v>
      </x:c>
      <x:c r="M687" s="55" t="n">
        <x:v>1079</x:v>
      </x:c>
      <x:c r="N687" s="55" t="n">
        <x:v>2203</x:v>
      </x:c>
      <x:c r="O687" s="55" t="n">
        <x:v>1368</x:v>
      </x:c>
      <x:c r="P687" s="55" t="n">
        <x:v>821</x:v>
      </x:c>
      <x:c r="Q687" s="55" t="n">
        <x:v>2510</x:v>
      </x:c>
      <x:c r="R687" s="55" t="n">
        <x:v>1965</x:v>
      </x:c>
      <x:c r="S687" s="55" t="n">
        <x:v>2230</x:v>
      </x:c>
      <x:c r="T687" s="55" t="n">
        <x:v>1190</x:v>
      </x:c>
      <x:c r="U687" s="55" t="n">
        <x:v>2179</x:v>
      </x:c>
      <x:c r="V687" s="55" t="n">
        <x:v>10139</x:v>
      </x:c>
      <x:c r="W687" s="55" t="n">
        <x:v>7332</x:v>
      </x:c>
      <x:c r="X687" s="55" t="n">
        <x:v>2807</x:v>
      </x:c>
      <x:c r="Y687" s="55" t="n">
        <x:v>2500</x:v>
      </x:c>
      <x:c r="Z687" s="55" t="n">
        <x:v>3817</x:v>
      </x:c>
      <x:c r="AA687" s="55" t="n">
        <x:v>2871</x:v>
      </x:c>
      <x:c r="AB687" s="55" t="n">
        <x:v>1012</x:v>
      </x:c>
      <x:c r="AC687" s="55" t="n">
        <x:v>8277</x:v>
      </x:c>
      <x:c r="AD687" s="55" t="n">
        <x:v>2749</x:v>
      </x:c>
      <x:c r="AE687" s="55" t="n">
        <x:v>10246</x:v>
      </x:c>
      <x:c r="AF687" s="55" t="n">
        <x:v>10139</x:v>
      </x:c>
      <x:c r="AG687" s="55" t="n">
        <x:v>107</x:v>
      </x:c>
      <x:c r="AH687" s="55" t="n">
        <x:v>394</x:v>
      </x:c>
      <x:c r="AI687" s="55" t="n">
        <x:v>9745</x:v>
      </x:c>
      <x:c r="AJ687" s="55" t="n">
        <x:v>56</x:v>
      </x:c>
      <x:c r="AK687" s="55" t="n">
        <x:v>905</x:v>
      </x:c>
      <x:c r="AL687" s="55" t="n">
        <x:v>1776</x:v>
      </x:c>
      <x:c r="AM687" s="55" t="n">
        <x:v>5047</x:v>
      </x:c>
      <x:c r="AN687" s="55" t="n">
        <x:v>2355</x:v>
      </x:c>
      <x:c r="AO687" s="55" t="n">
        <x:v>0</x:v>
      </x:c>
      <x:c r="AP687" s="55" t="n">
        <x:v>2017</x:v>
      </x:c>
      <x:c r="AQ687" s="55" t="n">
        <x:v>1000</x:v>
      </x:c>
    </x:row>
    <x:row r="688">
      <x:c r="A688" s="54" t="str">
        <x:v>T2_CONCORDANT_DOMAIN</x:v>
      </x:c>
      <x:c r="B688" s="54" t="n">
        <x:v>682</x:v>
      </x:c>
      <x:c r="C688" s="54" t="str">
        <x:v>NYC-V2-R01</x:v>
      </x:c>
      <x:c r="D688" s="54" t="str">
        <x:v>V2</x:v>
      </x:c>
      <x:c r="E688" s="54" t="str">
        <x:v>ADMITTED</x:v>
      </x:c>
      <x:c r="F688" s="55" t="n">
        <x:v>33612</x:v>
      </x:c>
      <x:c r="G688" s="55" t="n">
        <x:v>7988</x:v>
      </x:c>
      <x:c r="H688" s="55" t="n">
        <x:v>3842</x:v>
      </x:c>
      <x:c r="I688" s="55" t="n">
        <x:v>1855</x:v>
      </x:c>
      <x:c r="J688" s="55" t="n">
        <x:v>332</x:v>
      </x:c>
      <x:c r="K688" s="55" t="n">
        <x:v>30292</x:v>
      </x:c>
      <x:c r="L688" s="55" t="n">
        <x:v>6173</x:v>
      </x:c>
      <x:c r="M688" s="55" t="n">
        <x:v>2085</x:v>
      </x:c>
      <x:c r="N688" s="55" t="n">
        <x:v>2558</x:v>
      </x:c>
      <x:c r="O688" s="55" t="n">
        <x:v>1530</x:v>
      </x:c>
      <x:c r="P688" s="55" t="n">
        <x:v>1088</x:v>
      </x:c>
      <x:c r="Q688" s="55" t="n">
        <x:v>2460</x:v>
      </x:c>
      <x:c r="R688" s="55" t="n">
        <x:v>1901</x:v>
      </x:c>
      <x:c r="S688" s="55" t="n">
        <x:v>2630</x:v>
      </x:c>
      <x:c r="T688" s="55" t="n">
        <x:v>1594</x:v>
      </x:c>
      <x:c r="U688" s="55" t="n">
        <x:v>2536</x:v>
      </x:c>
      <x:c r="V688" s="55" t="n">
        <x:v>10606</x:v>
      </x:c>
      <x:c r="W688" s="55" t="n">
        <x:v>7146</x:v>
      </x:c>
      <x:c r="X688" s="55" t="n">
        <x:v>3460</x:v>
      </x:c>
      <x:c r="Y688" s="55" t="n">
        <x:v>3032</x:v>
      </x:c>
      <x:c r="Z688" s="55" t="n">
        <x:v>4004</x:v>
      </x:c>
      <x:c r="AA688" s="55" t="n">
        <x:v>3300</x:v>
      </x:c>
      <x:c r="AB688" s="55" t="n">
        <x:v>1516</x:v>
      </x:c>
      <x:c r="AC688" s="55" t="n">
        <x:v>7764</x:v>
      </x:c>
      <x:c r="AD688" s="55" t="n">
        <x:v>3483</x:v>
      </x:c>
      <x:c r="AE688" s="55" t="n">
        <x:v>10699</x:v>
      </x:c>
      <x:c r="AF688" s="55" t="n">
        <x:v>10606</x:v>
      </x:c>
      <x:c r="AG688" s="55" t="n">
        <x:v>93</x:v>
      </x:c>
      <x:c r="AH688" s="55" t="n">
        <x:v>427</x:v>
      </x:c>
      <x:c r="AI688" s="55" t="n">
        <x:v>10179</x:v>
      </x:c>
      <x:c r="AJ688" s="55" t="n">
        <x:v>298</x:v>
      </x:c>
      <x:c r="AK688" s="55" t="n">
        <x:v>1195</x:v>
      </x:c>
      <x:c r="AL688" s="55" t="n">
        <x:v>1583</x:v>
      </x:c>
      <x:c r="AM688" s="55" t="n">
        <x:v>4718</x:v>
      </x:c>
      <x:c r="AN688" s="55" t="n">
        <x:v>2738</x:v>
      </x:c>
      <x:c r="AO688" s="55" t="n">
        <x:v>74</x:v>
      </x:c>
      <x:c r="AP688" s="55" t="n">
        <x:v>2644</x:v>
      </x:c>
      <x:c r="AQ688" s="55" t="n">
        <x:v>963</x:v>
      </x:c>
    </x:row>
    <x:row r="689">
      <x:c r="A689" s="54" t="str">
        <x:v>T2_CONCORDANT_DOMAIN</x:v>
      </x:c>
      <x:c r="B689" s="54" t="n">
        <x:v>683</x:v>
      </x:c>
      <x:c r="C689" s="54" t="str">
        <x:v>NYC-V2-R01</x:v>
      </x:c>
      <x:c r="D689" s="54" t="str">
        <x:v>V2</x:v>
      </x:c>
      <x:c r="E689" s="54" t="str">
        <x:v>ADMITTED</x:v>
      </x:c>
      <x:c r="F689" s="55" t="n">
        <x:v>31947</x:v>
      </x:c>
      <x:c r="G689" s="55" t="n">
        <x:v>8671</x:v>
      </x:c>
      <x:c r="H689" s="55" t="n">
        <x:v>3258</x:v>
      </x:c>
      <x:c r="I689" s="55" t="n">
        <x:v>1300</x:v>
      </x:c>
      <x:c r="J689" s="55" t="n">
        <x:v>158</x:v>
      </x:c>
      <x:c r="K689" s="55" t="n">
        <x:v>31789</x:v>
      </x:c>
      <x:c r="L689" s="55" t="n">
        <x:v>6422</x:v>
      </x:c>
      <x:c r="M689" s="55" t="n">
        <x:v>1724</x:v>
      </x:c>
      <x:c r="N689" s="55" t="n">
        <x:v>2686</x:v>
      </x:c>
      <x:c r="O689" s="55" t="n">
        <x:v>2012</x:v>
      </x:c>
      <x:c r="P689" s="55" t="n">
        <x:v>905</x:v>
      </x:c>
      <x:c r="Q689" s="55" t="n">
        <x:v>2665</x:v>
      </x:c>
      <x:c r="R689" s="55" t="n">
        <x:v>1700</x:v>
      </x:c>
      <x:c r="S689" s="55" t="n">
        <x:v>2913</x:v>
      </x:c>
      <x:c r="T689" s="55" t="n">
        <x:v>1384</x:v>
      </x:c>
      <x:c r="U689" s="55" t="n">
        <x:v>2239</x:v>
      </x:c>
      <x:c r="V689" s="55" t="n">
        <x:v>10799</x:v>
      </x:c>
      <x:c r="W689" s="55" t="n">
        <x:v>7705</x:v>
      </x:c>
      <x:c r="X689" s="55" t="n">
        <x:v>3094</x:v>
      </x:c>
      <x:c r="Y689" s="55" t="n">
        <x:v>2677</x:v>
      </x:c>
      <x:c r="Z689" s="55" t="n">
        <x:v>4057</x:v>
      </x:c>
      <x:c r="AA689" s="55" t="n">
        <x:v>3075</x:v>
      </x:c>
      <x:c r="AB689" s="55" t="n">
        <x:v>1457</x:v>
      </x:c>
      <x:c r="AC689" s="55" t="n">
        <x:v>7904</x:v>
      </x:c>
      <x:c r="AD689" s="55" t="n">
        <x:v>3394</x:v>
      </x:c>
      <x:c r="AE689" s="55" t="n">
        <x:v>10874</x:v>
      </x:c>
      <x:c r="AF689" s="55" t="n">
        <x:v>10799</x:v>
      </x:c>
      <x:c r="AG689" s="55" t="n">
        <x:v>75</x:v>
      </x:c>
      <x:c r="AH689" s="55" t="n">
        <x:v>503</x:v>
      </x:c>
      <x:c r="AI689" s="55" t="n">
        <x:v>10296</x:v>
      </x:c>
      <x:c r="AJ689" s="55" t="n">
        <x:v>205</x:v>
      </x:c>
      <x:c r="AK689" s="55" t="n">
        <x:v>1184</x:v>
      </x:c>
      <x:c r="AL689" s="55" t="n">
        <x:v>1809</x:v>
      </x:c>
      <x:c r="AM689" s="55" t="n">
        <x:v>4753</x:v>
      </x:c>
      <x:c r="AN689" s="55" t="n">
        <x:v>2790</x:v>
      </x:c>
      <x:c r="AO689" s="55" t="n">
        <x:v>58</x:v>
      </x:c>
      <x:c r="AP689" s="55" t="n">
        <x:v>2431</x:v>
      </x:c>
      <x:c r="AQ689" s="55" t="n">
        <x:v>960</x:v>
      </x:c>
    </x:row>
    <x:row r="690">
      <x:c r="A690" s="54" t="str">
        <x:v>T2_CONCORDANT_DOMAIN</x:v>
      </x:c>
      <x:c r="B690" s="54" t="n">
        <x:v>684</x:v>
      </x:c>
      <x:c r="C690" s="54" t="str">
        <x:v>NYC-V2-R01</x:v>
      </x:c>
      <x:c r="D690" s="54" t="str">
        <x:v>V2</x:v>
      </x:c>
      <x:c r="E690" s="54" t="str">
        <x:v>ADMITTED</x:v>
      </x:c>
      <x:c r="F690" s="55" t="n">
        <x:v>29678</x:v>
      </x:c>
      <x:c r="G690" s="55" t="n">
        <x:v>7397</x:v>
      </x:c>
      <x:c r="H690" s="55" t="n">
        <x:v>3005</x:v>
      </x:c>
      <x:c r="I690" s="55" t="n">
        <x:v>1280</x:v>
      </x:c>
      <x:c r="J690" s="55" t="n">
        <x:v>89</x:v>
      </x:c>
      <x:c r="K690" s="55" t="n">
        <x:v>29678</x:v>
      </x:c>
      <x:c r="L690" s="55" t="n">
        <x:v>5345</x:v>
      </x:c>
      <x:c r="M690" s="55" t="n">
        <x:v>944</x:v>
      </x:c>
      <x:c r="N690" s="55" t="n">
        <x:v>2117</x:v>
      </x:c>
      <x:c r="O690" s="55" t="n">
        <x:v>2284</x:v>
      </x:c>
      <x:c r="P690" s="55" t="n">
        <x:v>832</x:v>
      </x:c>
      <x:c r="Q690" s="55" t="n">
        <x:v>2621</x:v>
      </x:c>
      <x:c r="R690" s="55" t="n">
        <x:v>2032</x:v>
      </x:c>
      <x:c r="S690" s="55" t="n">
        <x:v>2894</x:v>
      </x:c>
      <x:c r="T690" s="55" t="n">
        <x:v>1227</x:v>
      </x:c>
      <x:c r="U690" s="55" t="n">
        <x:v>2095</x:v>
      </x:c>
      <x:c r="V690" s="55" t="n">
        <x:v>10513</x:v>
      </x:c>
      <x:c r="W690" s="55" t="n">
        <x:v>7791</x:v>
      </x:c>
      <x:c r="X690" s="55" t="n">
        <x:v>2722</x:v>
      </x:c>
      <x:c r="Y690" s="55" t="n">
        <x:v>2301</x:v>
      </x:c>
      <x:c r="Z690" s="55" t="n">
        <x:v>3719</x:v>
      </x:c>
      <x:c r="AA690" s="55" t="n">
        <x:v>2589</x:v>
      </x:c>
      <x:c r="AB690" s="55" t="n">
        <x:v>777</x:v>
      </x:c>
      <x:c r="AC690" s="55" t="n">
        <x:v>7823</x:v>
      </x:c>
      <x:c r="AD690" s="55" t="n">
        <x:v>2523</x:v>
      </x:c>
      <x:c r="AE690" s="55" t="n">
        <x:v>10641</x:v>
      </x:c>
      <x:c r="AF690" s="55" t="n">
        <x:v>10513</x:v>
      </x:c>
      <x:c r="AG690" s="55" t="n">
        <x:v>128</x:v>
      </x:c>
      <x:c r="AH690" s="55" t="n">
        <x:v>371</x:v>
      </x:c>
      <x:c r="AI690" s="55" t="n">
        <x:v>10142</x:v>
      </x:c>
      <x:c r="AJ690" s="55" t="n">
        <x:v>277</x:v>
      </x:c>
      <x:c r="AK690" s="55" t="n">
        <x:v>1204</x:v>
      </x:c>
      <x:c r="AL690" s="55" t="n">
        <x:v>1541</x:v>
      </x:c>
      <x:c r="AM690" s="55" t="n">
        <x:v>4754</x:v>
      </x:c>
      <x:c r="AN690" s="55" t="n">
        <x:v>2658</x:v>
      </x:c>
      <x:c r="AO690" s="55" t="n">
        <x:v>79</x:v>
      </x:c>
      <x:c r="AP690" s="55" t="n">
        <x:v>2590</x:v>
      </x:c>
      <x:c r="AQ690" s="55" t="n">
        <x:v>963</x:v>
      </x:c>
    </x:row>
    <x:row r="691">
      <x:c r="A691" s="54" t="str">
        <x:v>T2_CONCORDANT_DOMAIN</x:v>
      </x:c>
      <x:c r="B691" s="54" t="n">
        <x:v>685</x:v>
      </x:c>
      <x:c r="C691" s="54" t="str">
        <x:v>NYC-V2-R01</x:v>
      </x:c>
      <x:c r="D691" s="54" t="str">
        <x:v>V2</x:v>
      </x:c>
      <x:c r="E691" s="54" t="str">
        <x:v>ADMITTED</x:v>
      </x:c>
      <x:c r="F691" s="55" t="n">
        <x:v>30314</x:v>
      </x:c>
      <x:c r="G691" s="55" t="n">
        <x:v>6830</x:v>
      </x:c>
      <x:c r="H691" s="55" t="n">
        <x:v>2954</x:v>
      </x:c>
      <x:c r="I691" s="55" t="n">
        <x:v>1157</x:v>
      </x:c>
      <x:c r="J691" s="55" t="n">
        <x:v>349</x:v>
      </x:c>
      <x:c r="K691" s="55" t="n">
        <x:v>30314</x:v>
      </x:c>
      <x:c r="L691" s="55" t="n">
        <x:v>4934</x:v>
      </x:c>
      <x:c r="M691" s="55" t="n">
        <x:v>523</x:v>
      </x:c>
      <x:c r="N691" s="55" t="n">
        <x:v>2592</x:v>
      </x:c>
      <x:c r="O691" s="55" t="n">
        <x:v>1819</x:v>
      </x:c>
      <x:c r="P691" s="55" t="n">
        <x:v>884</x:v>
      </x:c>
      <x:c r="Q691" s="55" t="n">
        <x:v>2272</x:v>
      </x:c>
      <x:c r="R691" s="55" t="n">
        <x:v>1769</x:v>
      </x:c>
      <x:c r="S691" s="55" t="n">
        <x:v>2612</x:v>
      </x:c>
      <x:c r="T691" s="55" t="n">
        <x:v>943</x:v>
      </x:c>
      <x:c r="U691" s="55" t="n">
        <x:v>2230</x:v>
      </x:c>
      <x:c r="V691" s="55" t="n">
        <x:v>10211</x:v>
      </x:c>
      <x:c r="W691" s="55" t="n">
        <x:v>7227</x:v>
      </x:c>
      <x:c r="X691" s="55" t="n">
        <x:v>2984</x:v>
      </x:c>
      <x:c r="Y691" s="55" t="n">
        <x:v>2638</x:v>
      </x:c>
      <x:c r="Z691" s="55" t="n">
        <x:v>3892</x:v>
      </x:c>
      <x:c r="AA691" s="55" t="n">
        <x:v>2873</x:v>
      </x:c>
      <x:c r="AB691" s="55" t="n">
        <x:v>1084</x:v>
      </x:c>
      <x:c r="AC691" s="55" t="n">
        <x:v>7893</x:v>
      </x:c>
      <x:c r="AD691" s="55" t="n">
        <x:v>2644</x:v>
      </x:c>
      <x:c r="AE691" s="55" t="n">
        <x:v>10237</x:v>
      </x:c>
      <x:c r="AF691" s="55" t="n">
        <x:v>10211</x:v>
      </x:c>
      <x:c r="AG691" s="55" t="n">
        <x:v>26</x:v>
      </x:c>
      <x:c r="AH691" s="55" t="n">
        <x:v>230</x:v>
      </x:c>
      <x:c r="AI691" s="55" t="n">
        <x:v>9981</x:v>
      </x:c>
      <x:c r="AJ691" s="55" t="n">
        <x:v>143</x:v>
      </x:c>
      <x:c r="AK691" s="55" t="n">
        <x:v>1246</x:v>
      </x:c>
      <x:c r="AL691" s="55" t="n">
        <x:v>1159</x:v>
      </x:c>
      <x:c r="AM691" s="55" t="n">
        <x:v>4872</x:v>
      </x:c>
      <x:c r="AN691" s="55" t="n">
        <x:v>2791</x:v>
      </x:c>
      <x:c r="AO691" s="55" t="n">
        <x:v>0</x:v>
      </x:c>
      <x:c r="AP691" s="55" t="n">
        <x:v>1905</x:v>
      </x:c>
      <x:c r="AQ691" s="55" t="n">
        <x:v>987</x:v>
      </x:c>
    </x:row>
    <x:row r="692">
      <x:c r="A692" s="54" t="str">
        <x:v>T2_CONCORDANT_DOMAIN</x:v>
      </x:c>
      <x:c r="B692" s="54" t="n">
        <x:v>686</x:v>
      </x:c>
      <x:c r="C692" s="54" t="str">
        <x:v>NYC-V2-R01</x:v>
      </x:c>
      <x:c r="D692" s="54" t="str">
        <x:v>V2</x:v>
      </x:c>
      <x:c r="E692" s="54" t="str">
        <x:v>ADMITTED</x:v>
      </x:c>
      <x:c r="F692" s="55" t="n">
        <x:v>30534</x:v>
      </x:c>
      <x:c r="G692" s="55" t="n">
        <x:v>8026</x:v>
      </x:c>
      <x:c r="H692" s="55" t="n">
        <x:v>3405</x:v>
      </x:c>
      <x:c r="I692" s="55" t="n">
        <x:v>1446</x:v>
      </x:c>
      <x:c r="J692" s="55" t="n">
        <x:v>155</x:v>
      </x:c>
      <x:c r="K692" s="55" t="n">
        <x:v>27927</x:v>
      </x:c>
      <x:c r="L692" s="55" t="n">
        <x:v>4335</x:v>
      </x:c>
      <x:c r="M692" s="55" t="n">
        <x:v>0</x:v>
      </x:c>
      <x:c r="N692" s="55" t="n">
        <x:v>2673</x:v>
      </x:c>
      <x:c r="O692" s="55" t="n">
        <x:v>1662</x:v>
      </x:c>
      <x:c r="P692" s="55" t="n">
        <x:v>738</x:v>
      </x:c>
      <x:c r="Q692" s="55" t="n">
        <x:v>2136</x:v>
      </x:c>
      <x:c r="R692" s="55" t="n">
        <x:v>1347</x:v>
      </x:c>
      <x:c r="S692" s="55" t="n">
        <x:v>3175</x:v>
      </x:c>
      <x:c r="T692" s="55" t="n">
        <x:v>988</x:v>
      </x:c>
      <x:c r="U692" s="55" t="n">
        <x:v>1306</x:v>
      </x:c>
      <x:c r="V692" s="55" t="n">
        <x:v>10004</x:v>
      </x:c>
      <x:c r="W692" s="55" t="n">
        <x:v>6844</x:v>
      </x:c>
      <x:c r="X692" s="55" t="n">
        <x:v>3160</x:v>
      </x:c>
      <x:c r="Y692" s="55" t="n">
        <x:v>2699</x:v>
      </x:c>
      <x:c r="Z692" s="55" t="n">
        <x:v>3368</x:v>
      </x:c>
      <x:c r="AA692" s="55" t="n">
        <x:v>2464</x:v>
      </x:c>
      <x:c r="AB692" s="55" t="n">
        <x:v>964</x:v>
      </x:c>
      <x:c r="AC692" s="55" t="n">
        <x:v>7495</x:v>
      </x:c>
      <x:c r="AD692" s="55" t="n">
        <x:v>2416</x:v>
      </x:c>
      <x:c r="AE692" s="55" t="n">
        <x:v>10092</x:v>
      </x:c>
      <x:c r="AF692" s="55" t="n">
        <x:v>10004</x:v>
      </x:c>
      <x:c r="AG692" s="55" t="n">
        <x:v>88</x:v>
      </x:c>
      <x:c r="AH692" s="55" t="n">
        <x:v>309</x:v>
      </x:c>
      <x:c r="AI692" s="55" t="n">
        <x:v>9695</x:v>
      </x:c>
      <x:c r="AJ692" s="55" t="n">
        <x:v>195</x:v>
      </x:c>
      <x:c r="AK692" s="55" t="n">
        <x:v>682</x:v>
      </x:c>
      <x:c r="AL692" s="55" t="n">
        <x:v>1452</x:v>
      </x:c>
      <x:c r="AM692" s="55" t="n">
        <x:v>4919</x:v>
      </x:c>
      <x:c r="AN692" s="55" t="n">
        <x:v>2756</x:v>
      </x:c>
      <x:c r="AO692" s="55" t="n">
        <x:v>0</x:v>
      </x:c>
      <x:c r="AP692" s="55" t="n">
        <x:v>1861</x:v>
      </x:c>
      <x:c r="AQ692" s="55" t="n">
        <x:v>943</x:v>
      </x:c>
    </x:row>
    <x:row r="693">
      <x:c r="A693" s="54" t="str">
        <x:v>T2_CONCORDANT_DOMAIN</x:v>
      </x:c>
      <x:c r="B693" s="54" t="n">
        <x:v>687</x:v>
      </x:c>
      <x:c r="C693" s="54" t="str">
        <x:v>NYC-V2-R01</x:v>
      </x:c>
      <x:c r="D693" s="54" t="str">
        <x:v>V2</x:v>
      </x:c>
      <x:c r="E693" s="54" t="str">
        <x:v>ADMITTED</x:v>
      </x:c>
      <x:c r="F693" s="55" t="n">
        <x:v>32568</x:v>
      </x:c>
      <x:c r="G693" s="55" t="n">
        <x:v>9114</x:v>
      </x:c>
      <x:c r="H693" s="55" t="n">
        <x:v>3219</x:v>
      </x:c>
      <x:c r="I693" s="55" t="n">
        <x:v>1491</x:v>
      </x:c>
      <x:c r="J693" s="55" t="n">
        <x:v>238</x:v>
      </x:c>
      <x:c r="K693" s="55" t="n">
        <x:v>31769</x:v>
      </x:c>
      <x:c r="L693" s="55" t="n">
        <x:v>5470</x:v>
      </x:c>
      <x:c r="M693" s="55" t="n">
        <x:v>1234</x:v>
      </x:c>
      <x:c r="N693" s="55" t="n">
        <x:v>2347</x:v>
      </x:c>
      <x:c r="O693" s="55" t="n">
        <x:v>1889</x:v>
      </x:c>
      <x:c r="P693" s="55" t="n">
        <x:v>924</x:v>
      </x:c>
      <x:c r="Q693" s="55" t="n">
        <x:v>2560</x:v>
      </x:c>
      <x:c r="R693" s="55" t="n">
        <x:v>1843</x:v>
      </x:c>
      <x:c r="S693" s="55" t="n">
        <x:v>2773</x:v>
      </x:c>
      <x:c r="T693" s="55" t="n">
        <x:v>540</x:v>
      </x:c>
      <x:c r="U693" s="55" t="n">
        <x:v>1626</x:v>
      </x:c>
      <x:c r="V693" s="55" t="n">
        <x:v>10387</x:v>
      </x:c>
      <x:c r="W693" s="55" t="n">
        <x:v>7385</x:v>
      </x:c>
      <x:c r="X693" s="55" t="n">
        <x:v>3002</x:v>
      </x:c>
      <x:c r="Y693" s="55" t="n">
        <x:v>2449</x:v>
      </x:c>
      <x:c r="Z693" s="55" t="n">
        <x:v>3825</x:v>
      </x:c>
      <x:c r="AA693" s="55" t="n">
        <x:v>3052</x:v>
      </x:c>
      <x:c r="AB693" s="55" t="n">
        <x:v>828</x:v>
      </x:c>
      <x:c r="AC693" s="55" t="n">
        <x:v>8403</x:v>
      </x:c>
      <x:c r="AD693" s="55" t="n">
        <x:v>3253</x:v>
      </x:c>
      <x:c r="AE693" s="55" t="n">
        <x:v>10420</x:v>
      </x:c>
      <x:c r="AF693" s="55" t="n">
        <x:v>10387</x:v>
      </x:c>
      <x:c r="AG693" s="55" t="n">
        <x:v>33</x:v>
      </x:c>
      <x:c r="AH693" s="55" t="n">
        <x:v>448</x:v>
      </x:c>
      <x:c r="AI693" s="55" t="n">
        <x:v>9939</x:v>
      </x:c>
      <x:c r="AJ693" s="55" t="n">
        <x:v>248</x:v>
      </x:c>
      <x:c r="AK693" s="55" t="n">
        <x:v>850</x:v>
      </x:c>
      <x:c r="AL693" s="55" t="n">
        <x:v>1164</x:v>
      </x:c>
      <x:c r="AM693" s="55" t="n">
        <x:v>5185</x:v>
      </x:c>
      <x:c r="AN693" s="55" t="n">
        <x:v>2907</x:v>
      </x:c>
      <x:c r="AO693" s="55" t="n">
        <x:v>33</x:v>
      </x:c>
      <x:c r="AP693" s="55" t="n">
        <x:v>2316</x:v>
      </x:c>
      <x:c r="AQ693" s="55" t="n">
        <x:v>1004</x:v>
      </x:c>
    </x:row>
    <x:row r="694">
      <x:c r="A694" s="54" t="str">
        <x:v>T2_CONCORDANT_DOMAIN</x:v>
      </x:c>
      <x:c r="B694" s="54" t="n">
        <x:v>688</x:v>
      </x:c>
      <x:c r="C694" s="54" t="str">
        <x:v>NYC-V2-R01</x:v>
      </x:c>
      <x:c r="D694" s="54" t="str">
        <x:v>V2</x:v>
      </x:c>
      <x:c r="E694" s="54" t="str">
        <x:v>ADMITTED</x:v>
      </x:c>
      <x:c r="F694" s="55" t="n">
        <x:v>31773</x:v>
      </x:c>
      <x:c r="G694" s="55" t="n">
        <x:v>7741</x:v>
      </x:c>
      <x:c r="H694" s="55" t="n">
        <x:v>3033</x:v>
      </x:c>
      <x:c r="I694" s="55" t="n">
        <x:v>1348</x:v>
      </x:c>
      <x:c r="J694" s="55" t="n">
        <x:v>160</x:v>
      </x:c>
      <x:c r="K694" s="55" t="n">
        <x:v>31773</x:v>
      </x:c>
      <x:c r="L694" s="55" t="n">
        <x:v>5984</x:v>
      </x:c>
      <x:c r="M694" s="55" t="n">
        <x:v>1478</x:v>
      </x:c>
      <x:c r="N694" s="55" t="n">
        <x:v>2601</x:v>
      </x:c>
      <x:c r="O694" s="55" t="n">
        <x:v>1905</x:v>
      </x:c>
      <x:c r="P694" s="55" t="n">
        <x:v>778</x:v>
      </x:c>
      <x:c r="Q694" s="55" t="n">
        <x:v>3124</x:v>
      </x:c>
      <x:c r="R694" s="55" t="n">
        <x:v>1693</x:v>
      </x:c>
      <x:c r="S694" s="55" t="n">
        <x:v>3060</x:v>
      </x:c>
      <x:c r="T694" s="55" t="n">
        <x:v>1595</x:v>
      </x:c>
      <x:c r="U694" s="55" t="n">
        <x:v>1596</x:v>
      </x:c>
      <x:c r="V694" s="55" t="n">
        <x:v>10617</x:v>
      </x:c>
      <x:c r="W694" s="55" t="n">
        <x:v>7860</x:v>
      </x:c>
      <x:c r="X694" s="55" t="n">
        <x:v>2757</x:v>
      </x:c>
      <x:c r="Y694" s="55" t="n">
        <x:v>2177</x:v>
      </x:c>
      <x:c r="Z694" s="55" t="n">
        <x:v>3881</x:v>
      </x:c>
      <x:c r="AA694" s="55" t="n">
        <x:v>2906</x:v>
      </x:c>
      <x:c r="AB694" s="55" t="n">
        <x:v>958</x:v>
      </x:c>
      <x:c r="AC694" s="55" t="n">
        <x:v>8053</x:v>
      </x:c>
      <x:c r="AD694" s="55" t="n">
        <x:v>2855</x:v>
      </x:c>
      <x:c r="AE694" s="55" t="n">
        <x:v>10728</x:v>
      </x:c>
      <x:c r="AF694" s="55" t="n">
        <x:v>10617</x:v>
      </x:c>
      <x:c r="AG694" s="55" t="n">
        <x:v>111</x:v>
      </x:c>
      <x:c r="AH694" s="55" t="n">
        <x:v>568</x:v>
      </x:c>
      <x:c r="AI694" s="55" t="n">
        <x:v>10049</x:v>
      </x:c>
      <x:c r="AJ694" s="55" t="n">
        <x:v>270</x:v>
      </x:c>
      <x:c r="AK694" s="55" t="n">
        <x:v>820</x:v>
      </x:c>
      <x:c r="AL694" s="55" t="n">
        <x:v>1553</x:v>
      </x:c>
      <x:c r="AM694" s="55" t="n">
        <x:v>5211</x:v>
      </x:c>
      <x:c r="AN694" s="55" t="n">
        <x:v>2746</x:v>
      </x:c>
      <x:c r="AO694" s="55" t="n">
        <x:v>17</x:v>
      </x:c>
      <x:c r="AP694" s="55" t="n">
        <x:v>2302</x:v>
      </x:c>
      <x:c r="AQ694" s="55" t="n">
        <x:v>951</x:v>
      </x:c>
    </x:row>
    <x:row r="695">
      <x:c r="A695" s="54" t="str">
        <x:v>T2_CONCORDANT_DOMAIN</x:v>
      </x:c>
      <x:c r="B695" s="54" t="n">
        <x:v>689</x:v>
      </x:c>
      <x:c r="C695" s="54" t="str">
        <x:v>NYC-V2-R01</x:v>
      </x:c>
      <x:c r="D695" s="54" t="str">
        <x:v>V2</x:v>
      </x:c>
      <x:c r="E695" s="54" t="str">
        <x:v>ADMITTED</x:v>
      </x:c>
      <x:c r="F695" s="55" t="n">
        <x:v>29762</x:v>
      </x:c>
      <x:c r="G695" s="55" t="n">
        <x:v>6232</x:v>
      </x:c>
      <x:c r="H695" s="55" t="n">
        <x:v>2837</x:v>
      </x:c>
      <x:c r="I695" s="55" t="n">
        <x:v>805</x:v>
      </x:c>
      <x:c r="J695" s="55" t="n">
        <x:v>21</x:v>
      </x:c>
      <x:c r="K695" s="55" t="n">
        <x:v>29762</x:v>
      </x:c>
      <x:c r="L695" s="55" t="n">
        <x:v>4444</x:v>
      </x:c>
      <x:c r="M695" s="55" t="n">
        <x:v>506</x:v>
      </x:c>
      <x:c r="N695" s="55" t="n">
        <x:v>2826</x:v>
      </x:c>
      <x:c r="O695" s="55" t="n">
        <x:v>1112</x:v>
      </x:c>
      <x:c r="P695" s="55" t="n">
        <x:v>456</x:v>
      </x:c>
      <x:c r="Q695" s="55" t="n">
        <x:v>1074</x:v>
      </x:c>
      <x:c r="R695" s="55" t="n">
        <x:v>1326</x:v>
      </x:c>
      <x:c r="S695" s="55" t="n">
        <x:v>2112</x:v>
      </x:c>
      <x:c r="T695" s="55" t="n">
        <x:v>814</x:v>
      </x:c>
      <x:c r="U695" s="55" t="n">
        <x:v>1486</x:v>
      </x:c>
      <x:c r="V695" s="55" t="n">
        <x:v>10442</x:v>
      </x:c>
      <x:c r="W695" s="55" t="n">
        <x:v>7612</x:v>
      </x:c>
      <x:c r="X695" s="55" t="n">
        <x:v>2830</x:v>
      </x:c>
      <x:c r="Y695" s="55" t="n">
        <x:v>2446</x:v>
      </x:c>
      <x:c r="Z695" s="55" t="n">
        <x:v>3631</x:v>
      </x:c>
      <x:c r="AA695" s="55" t="n">
        <x:v>2837</x:v>
      </x:c>
      <x:c r="AB695" s="55" t="n">
        <x:v>1174</x:v>
      </x:c>
      <x:c r="AC695" s="55" t="n">
        <x:v>7601</x:v>
      </x:c>
      <x:c r="AD695" s="55" t="n">
        <x:v>2631</x:v>
      </x:c>
      <x:c r="AE695" s="55" t="n">
        <x:v>10442</x:v>
      </x:c>
      <x:c r="AF695" s="55" t="n">
        <x:v>10442</x:v>
      </x:c>
      <x:c r="AG695" s="55" t="n">
        <x:v>0</x:v>
      </x:c>
      <x:c r="AH695" s="55" t="n">
        <x:v>147</x:v>
      </x:c>
      <x:c r="AI695" s="55" t="n">
        <x:v>10295</x:v>
      </x:c>
      <x:c r="AJ695" s="55" t="n">
        <x:v>182</x:v>
      </x:c>
      <x:c r="AK695" s="55" t="n">
        <x:v>901</x:v>
      </x:c>
      <x:c r="AL695" s="55" t="n">
        <x:v>1890</x:v>
      </x:c>
      <x:c r="AM695" s="55" t="n">
        <x:v>4950</x:v>
      </x:c>
      <x:c r="AN695" s="55" t="n">
        <x:v>2515</x:v>
      </x:c>
      <x:c r="AO695" s="55" t="n">
        <x:v>4</x:v>
      </x:c>
      <x:c r="AP695" s="55" t="n">
        <x:v>2296</x:v>
      </x:c>
      <x:c r="AQ695" s="55" t="n">
        <x:v>878</x:v>
      </x:c>
    </x:row>
    <x:row r="696">
      <x:c r="A696" s="54" t="str">
        <x:v>T2_CONCORDANT_DOMAIN</x:v>
      </x:c>
      <x:c r="B696" s="54" t="n">
        <x:v>690</x:v>
      </x:c>
      <x:c r="C696" s="54" t="str">
        <x:v>NYC-V2-R01</x:v>
      </x:c>
      <x:c r="D696" s="54" t="str">
        <x:v>V2</x:v>
      </x:c>
      <x:c r="E696" s="54" t="str">
        <x:v>ADMITTED</x:v>
      </x:c>
      <x:c r="F696" s="55" t="n">
        <x:v>35017</x:v>
      </x:c>
      <x:c r="G696" s="55" t="n">
        <x:v>9915</x:v>
      </x:c>
      <x:c r="H696" s="55" t="n">
        <x:v>3789</x:v>
      </x:c>
      <x:c r="I696" s="55" t="n">
        <x:v>1589</x:v>
      </x:c>
      <x:c r="J696" s="55" t="n">
        <x:v>461</x:v>
      </x:c>
      <x:c r="K696" s="55" t="n">
        <x:v>31617</x:v>
      </x:c>
      <x:c r="L696" s="55" t="n">
        <x:v>6781</x:v>
      </x:c>
      <x:c r="M696" s="55" t="n">
        <x:v>2480</x:v>
      </x:c>
      <x:c r="N696" s="55" t="n">
        <x:v>2581</x:v>
      </x:c>
      <x:c r="O696" s="55" t="n">
        <x:v>1720</x:v>
      </x:c>
      <x:c r="P696" s="55" t="n">
        <x:v>1339</x:v>
      </x:c>
      <x:c r="Q696" s="55" t="n">
        <x:v>3095</x:v>
      </x:c>
      <x:c r="R696" s="55" t="n">
        <x:v>2288</x:v>
      </x:c>
      <x:c r="S696" s="55" t="n">
        <x:v>3393</x:v>
      </x:c>
      <x:c r="T696" s="55" t="n">
        <x:v>1517</x:v>
      </x:c>
      <x:c r="U696" s="55" t="n">
        <x:v>2604</x:v>
      </x:c>
      <x:c r="V696" s="55" t="n">
        <x:v>10171</x:v>
      </x:c>
      <x:c r="W696" s="55" t="n">
        <x:v>7043</x:v>
      </x:c>
      <x:c r="X696" s="55" t="n">
        <x:v>3128</x:v>
      </x:c>
      <x:c r="Y696" s="55" t="n">
        <x:v>2751</x:v>
      </x:c>
      <x:c r="Z696" s="55" t="n">
        <x:v>3723</x:v>
      </x:c>
      <x:c r="AA696" s="55" t="n">
        <x:v>3577</x:v>
      </x:c>
      <x:c r="AB696" s="55" t="n">
        <x:v>1274</x:v>
      </x:c>
      <x:c r="AC696" s="55" t="n">
        <x:v>8223</x:v>
      </x:c>
      <x:c r="AD696" s="55" t="n">
        <x:v>3565</x:v>
      </x:c>
      <x:c r="AE696" s="55" t="n">
        <x:v>10236</x:v>
      </x:c>
      <x:c r="AF696" s="55" t="n">
        <x:v>10171</x:v>
      </x:c>
      <x:c r="AG696" s="55" t="n">
        <x:v>65</x:v>
      </x:c>
      <x:c r="AH696" s="55" t="n">
        <x:v>543</x:v>
      </x:c>
      <x:c r="AI696" s="55" t="n">
        <x:v>9628</x:v>
      </x:c>
      <x:c r="AJ696" s="55" t="n">
        <x:v>399</x:v>
      </x:c>
      <x:c r="AK696" s="55" t="n">
        <x:v>977</x:v>
      </x:c>
      <x:c r="AL696" s="55" t="n">
        <x:v>1325</x:v>
      </x:c>
      <x:c r="AM696" s="55" t="n">
        <x:v>5259</x:v>
      </x:c>
      <x:c r="AN696" s="55" t="n">
        <x:v>2211</x:v>
      </x:c>
      <x:c r="AO696" s="55" t="n">
        <x:v>0</x:v>
      </x:c>
      <x:c r="AP696" s="55" t="n">
        <x:v>2549</x:v>
      </x:c>
      <x:c r="AQ696" s="55" t="n">
        <x:v>992</x:v>
      </x:c>
    </x:row>
    <x:row r="697">
      <x:c r="A697" s="54" t="str">
        <x:v>T2_CONCORDANT_DOMAIN</x:v>
      </x:c>
      <x:c r="B697" s="54" t="n">
        <x:v>691</x:v>
      </x:c>
      <x:c r="C697" s="54" t="str">
        <x:v>NYC-V2-R01</x:v>
      </x:c>
      <x:c r="D697" s="54" t="str">
        <x:v>V2</x:v>
      </x:c>
      <x:c r="E697" s="54" t="str">
        <x:v>ADMITTED</x:v>
      </x:c>
      <x:c r="F697" s="55" t="n">
        <x:v>31104</x:v>
      </x:c>
      <x:c r="G697" s="55" t="n">
        <x:v>8909</x:v>
      </x:c>
      <x:c r="H697" s="55" t="n">
        <x:v>3407</x:v>
      </x:c>
      <x:c r="I697" s="55" t="n">
        <x:v>1528</x:v>
      </x:c>
      <x:c r="J697" s="55" t="n">
        <x:v>382</x:v>
      </x:c>
      <x:c r="K697" s="55" t="n">
        <x:v>28786</x:v>
      </x:c>
      <x:c r="L697" s="55" t="n">
        <x:v>5820</x:v>
      </x:c>
      <x:c r="M697" s="55" t="n">
        <x:v>1100</x:v>
      </x:c>
      <x:c r="N697" s="55" t="n">
        <x:v>2757</x:v>
      </x:c>
      <x:c r="O697" s="55" t="n">
        <x:v>1963</x:v>
      </x:c>
      <x:c r="P697" s="55" t="n">
        <x:v>482</x:v>
      </x:c>
      <x:c r="Q697" s="55" t="n">
        <x:v>3308</x:v>
      </x:c>
      <x:c r="R697" s="55" t="n">
        <x:v>2035</x:v>
      </x:c>
      <x:c r="S697" s="55" t="n">
        <x:v>2927</x:v>
      </x:c>
      <x:c r="T697" s="55" t="n">
        <x:v>1557</x:v>
      </x:c>
      <x:c r="U697" s="55" t="n">
        <x:v>1969</x:v>
      </x:c>
      <x:c r="V697" s="55" t="n">
        <x:v>10841</x:v>
      </x:c>
      <x:c r="W697" s="55" t="n">
        <x:v>7342</x:v>
      </x:c>
      <x:c r="X697" s="55" t="n">
        <x:v>3499</x:v>
      </x:c>
      <x:c r="Y697" s="55" t="n">
        <x:v>2891</x:v>
      </x:c>
      <x:c r="Z697" s="55" t="n">
        <x:v>3648</x:v>
      </x:c>
      <x:c r="AA697" s="55" t="n">
        <x:v>3126</x:v>
      </x:c>
      <x:c r="AB697" s="55" t="n">
        <x:v>1149</x:v>
      </x:c>
      <x:c r="AC697" s="55" t="n">
        <x:v>7662</x:v>
      </x:c>
      <x:c r="AD697" s="55" t="n">
        <x:v>2859</x:v>
      </x:c>
      <x:c r="AE697" s="55" t="n">
        <x:v>10935</x:v>
      </x:c>
      <x:c r="AF697" s="55" t="n">
        <x:v>10841</x:v>
      </x:c>
      <x:c r="AG697" s="55" t="n">
        <x:v>94</x:v>
      </x:c>
      <x:c r="AH697" s="55" t="n">
        <x:v>465</x:v>
      </x:c>
      <x:c r="AI697" s="55" t="n">
        <x:v>10376</x:v>
      </x:c>
      <x:c r="AJ697" s="55" t="n">
        <x:v>401</x:v>
      </x:c>
      <x:c r="AK697" s="55" t="n">
        <x:v>996</x:v>
      </x:c>
      <x:c r="AL697" s="55" t="n">
        <x:v>1886</x:v>
      </x:c>
      <x:c r="AM697" s="55" t="n">
        <x:v>5115</x:v>
      </x:c>
      <x:c r="AN697" s="55" t="n">
        <x:v>2430</x:v>
      </x:c>
      <x:c r="AO697" s="55" t="n">
        <x:v>13</x:v>
      </x:c>
      <x:c r="AP697" s="55" t="n">
        <x:v>2526</x:v>
      </x:c>
      <x:c r="AQ697" s="55" t="n">
        <x:v>996</x:v>
      </x:c>
    </x:row>
    <x:row r="698">
      <x:c r="A698" s="54" t="str">
        <x:v>T2_CONCORDANT_DOMAIN</x:v>
      </x:c>
      <x:c r="B698" s="54" t="n">
        <x:v>692</x:v>
      </x:c>
      <x:c r="C698" s="54" t="str">
        <x:v>NYC-V2-R01</x:v>
      </x:c>
      <x:c r="D698" s="54" t="str">
        <x:v>V2</x:v>
      </x:c>
      <x:c r="E698" s="54" t="str">
        <x:v>ADMITTED</x:v>
      </x:c>
      <x:c r="F698" s="55" t="n">
        <x:v>30223</x:v>
      </x:c>
      <x:c r="G698" s="55" t="n">
        <x:v>6836</x:v>
      </x:c>
      <x:c r="H698" s="55" t="n">
        <x:v>2956</x:v>
      </x:c>
      <x:c r="I698" s="55" t="n">
        <x:v>1057</x:v>
      </x:c>
      <x:c r="J698" s="55" t="n">
        <x:v>343</x:v>
      </x:c>
      <x:c r="K698" s="55" t="n">
        <x:v>30223</x:v>
      </x:c>
      <x:c r="L698" s="55" t="n">
        <x:v>5001</x:v>
      </x:c>
      <x:c r="M698" s="55" t="n">
        <x:v>674</x:v>
      </x:c>
      <x:c r="N698" s="55" t="n">
        <x:v>2991</x:v>
      </x:c>
      <x:c r="O698" s="55" t="n">
        <x:v>1336</x:v>
      </x:c>
      <x:c r="P698" s="55" t="n">
        <x:v>305</x:v>
      </x:c>
      <x:c r="Q698" s="55" t="n">
        <x:v>1824</x:v>
      </x:c>
      <x:c r="R698" s="55" t="n">
        <x:v>1808</x:v>
      </x:c>
      <x:c r="S698" s="55" t="n">
        <x:v>2471</x:v>
      </x:c>
      <x:c r="T698" s="55" t="n">
        <x:v>1141</x:v>
      </x:c>
      <x:c r="U698" s="55" t="n">
        <x:v>1992</x:v>
      </x:c>
      <x:c r="V698" s="55" t="n">
        <x:v>10407</x:v>
      </x:c>
      <x:c r="W698" s="55" t="n">
        <x:v>7514</x:v>
      </x:c>
      <x:c r="X698" s="55" t="n">
        <x:v>2893</x:v>
      </x:c>
      <x:c r="Y698" s="55" t="n">
        <x:v>2476</x:v>
      </x:c>
      <x:c r="Z698" s="55" t="n">
        <x:v>3192</x:v>
      </x:c>
      <x:c r="AA698" s="55" t="n">
        <x:v>2787</x:v>
      </x:c>
      <x:c r="AB698" s="55" t="n">
        <x:v>994</x:v>
      </x:c>
      <x:c r="AC698" s="55" t="n">
        <x:v>7763</x:v>
      </x:c>
      <x:c r="AD698" s="55" t="n">
        <x:v>3022</x:v>
      </x:c>
      <x:c r="AE698" s="55" t="n">
        <x:v>10442</x:v>
      </x:c>
      <x:c r="AF698" s="55" t="n">
        <x:v>10407</x:v>
      </x:c>
      <x:c r="AG698" s="55" t="n">
        <x:v>35</x:v>
      </x:c>
      <x:c r="AH698" s="55" t="n">
        <x:v>412</x:v>
      </x:c>
      <x:c r="AI698" s="55" t="n">
        <x:v>9995</x:v>
      </x:c>
      <x:c r="AJ698" s="55" t="n">
        <x:v>273</x:v>
      </x:c>
      <x:c r="AK698" s="55" t="n">
        <x:v>933</x:v>
      </x:c>
      <x:c r="AL698" s="55" t="n">
        <x:v>1643</x:v>
      </x:c>
      <x:c r="AM698" s="55" t="n">
        <x:v>5120</x:v>
      </x:c>
      <x:c r="AN698" s="55" t="n">
        <x:v>2438</x:v>
      </x:c>
      <x:c r="AO698" s="55" t="n">
        <x:v>0</x:v>
      </x:c>
      <x:c r="AP698" s="55" t="n">
        <x:v>2346</x:v>
      </x:c>
      <x:c r="AQ698" s="55" t="n">
        <x:v>944</x:v>
      </x:c>
    </x:row>
    <x:row r="699">
      <x:c r="A699" s="54" t="str">
        <x:v>T2_CONCORDANT_DOMAIN</x:v>
      </x:c>
      <x:c r="B699" s="54" t="n">
        <x:v>693</x:v>
      </x:c>
      <x:c r="C699" s="54" t="str">
        <x:v>NYC-V2-R01</x:v>
      </x:c>
      <x:c r="D699" s="54" t="str">
        <x:v>V2</x:v>
      </x:c>
      <x:c r="E699" s="54" t="str">
        <x:v>ADMITTED</x:v>
      </x:c>
      <x:c r="F699" s="55" t="n">
        <x:v>31949</x:v>
      </x:c>
      <x:c r="G699" s="55" t="n">
        <x:v>9268</x:v>
      </x:c>
      <x:c r="H699" s="55" t="n">
        <x:v>3342</x:v>
      </x:c>
      <x:c r="I699" s="55" t="n">
        <x:v>1257</x:v>
      </x:c>
      <x:c r="J699" s="55" t="n">
        <x:v>221</x:v>
      </x:c>
      <x:c r="K699" s="55" t="n">
        <x:v>31949</x:v>
      </x:c>
      <x:c r="L699" s="55" t="n">
        <x:v>7537</x:v>
      </x:c>
      <x:c r="M699" s="55" t="n">
        <x:v>2361</x:v>
      </x:c>
      <x:c r="N699" s="55" t="n">
        <x:v>3303</x:v>
      </x:c>
      <x:c r="O699" s="55" t="n">
        <x:v>1873</x:v>
      </x:c>
      <x:c r="P699" s="55" t="n">
        <x:v>1179</x:v>
      </x:c>
      <x:c r="Q699" s="55" t="n">
        <x:v>3070</x:v>
      </x:c>
      <x:c r="R699" s="55" t="n">
        <x:v>2451</x:v>
      </x:c>
      <x:c r="S699" s="55" t="n">
        <x:v>3491</x:v>
      </x:c>
      <x:c r="T699" s="55" t="n">
        <x:v>1417</x:v>
      </x:c>
      <x:c r="U699" s="55" t="n">
        <x:v>2765</x:v>
      </x:c>
      <x:c r="V699" s="55" t="n">
        <x:v>11163</x:v>
      </x:c>
      <x:c r="W699" s="55" t="n">
        <x:v>8082</x:v>
      </x:c>
      <x:c r="X699" s="55" t="n">
        <x:v>3081</x:v>
      </x:c>
      <x:c r="Y699" s="55" t="n">
        <x:v>2773</x:v>
      </x:c>
      <x:c r="Z699" s="55" t="n">
        <x:v>4035</x:v>
      </x:c>
      <x:c r="AA699" s="55" t="n">
        <x:v>3342</x:v>
      </x:c>
      <x:c r="AB699" s="55" t="n">
        <x:v>1312</x:v>
      </x:c>
      <x:c r="AC699" s="55" t="n">
        <x:v>8083</x:v>
      </x:c>
      <x:c r="AD699" s="55" t="n">
        <x:v>3500</x:v>
      </x:c>
      <x:c r="AE699" s="55" t="n">
        <x:v>11229</x:v>
      </x:c>
      <x:c r="AF699" s="55" t="n">
        <x:v>11163</x:v>
      </x:c>
      <x:c r="AG699" s="55" t="n">
        <x:v>66</x:v>
      </x:c>
      <x:c r="AH699" s="55" t="n">
        <x:v>636</x:v>
      </x:c>
      <x:c r="AI699" s="55" t="n">
        <x:v>10527</x:v>
      </x:c>
      <x:c r="AJ699" s="55" t="n">
        <x:v>358</x:v>
      </x:c>
      <x:c r="AK699" s="55" t="n">
        <x:v>1336</x:v>
      </x:c>
      <x:c r="AL699" s="55" t="n">
        <x:v>1317</x:v>
      </x:c>
      <x:c r="AM699" s="55" t="n">
        <x:v>5146</x:v>
      </x:c>
      <x:c r="AN699" s="55" t="n">
        <x:v>2952</x:v>
      </x:c>
      <x:c r="AO699" s="55" t="n">
        <x:v>54</x:v>
      </x:c>
      <x:c r="AP699" s="55" t="n">
        <x:v>2517</x:v>
      </x:c>
      <x:c r="AQ699" s="55" t="n">
        <x:v>991</x:v>
      </x:c>
    </x:row>
    <x:row r="700">
      <x:c r="A700" s="54" t="str">
        <x:v>T2_CONCORDANT_DOMAIN</x:v>
      </x:c>
      <x:c r="B700" s="54" t="n">
        <x:v>694</x:v>
      </x:c>
      <x:c r="C700" s="54" t="str">
        <x:v>NYC-V2-R01</x:v>
      </x:c>
      <x:c r="D700" s="54" t="str">
        <x:v>V2</x:v>
      </x:c>
      <x:c r="E700" s="54" t="str">
        <x:v>ADMITTED</x:v>
      </x:c>
      <x:c r="F700" s="55" t="n">
        <x:v>33442</x:v>
      </x:c>
      <x:c r="G700" s="55" t="n">
        <x:v>8437</x:v>
      </x:c>
      <x:c r="H700" s="55" t="n">
        <x:v>3336</x:v>
      </x:c>
      <x:c r="I700" s="55" t="n">
        <x:v>1209</x:v>
      </x:c>
      <x:c r="J700" s="55" t="n">
        <x:v>353</x:v>
      </x:c>
      <x:c r="K700" s="55" t="n">
        <x:v>33442</x:v>
      </x:c>
      <x:c r="L700" s="55" t="n">
        <x:v>7395</x:v>
      </x:c>
      <x:c r="M700" s="55" t="n">
        <x:v>2381</x:v>
      </x:c>
      <x:c r="N700" s="55" t="n">
        <x:v>3058</x:v>
      </x:c>
      <x:c r="O700" s="55" t="n">
        <x:v>1956</x:v>
      </x:c>
      <x:c r="P700" s="55" t="n">
        <x:v>846</x:v>
      </x:c>
      <x:c r="Q700" s="55" t="n">
        <x:v>3095</x:v>
      </x:c>
      <x:c r="R700" s="55" t="n">
        <x:v>1980</x:v>
      </x:c>
      <x:c r="S700" s="55" t="n">
        <x:v>2589</x:v>
      </x:c>
      <x:c r="T700" s="55" t="n">
        <x:v>908</x:v>
      </x:c>
      <x:c r="U700" s="55" t="n">
        <x:v>2157</x:v>
      </x:c>
      <x:c r="V700" s="55" t="n">
        <x:v>10221</x:v>
      </x:c>
      <x:c r="W700" s="55" t="n">
        <x:v>6700</x:v>
      </x:c>
      <x:c r="X700" s="55" t="n">
        <x:v>3521</x:v>
      </x:c>
      <x:c r="Y700" s="55" t="n">
        <x:v>3035</x:v>
      </x:c>
      <x:c r="Z700" s="55" t="n">
        <x:v>3654</x:v>
      </x:c>
      <x:c r="AA700" s="55" t="n">
        <x:v>2971</x:v>
      </x:c>
      <x:c r="AB700" s="55" t="n">
        <x:v>1076</x:v>
      </x:c>
      <x:c r="AC700" s="55" t="n">
        <x:v>8305</x:v>
      </x:c>
      <x:c r="AD700" s="55" t="n">
        <x:v>3110</x:v>
      </x:c>
      <x:c r="AE700" s="55" t="n">
        <x:v>10275</x:v>
      </x:c>
      <x:c r="AF700" s="55" t="n">
        <x:v>10221</x:v>
      </x:c>
      <x:c r="AG700" s="55" t="n">
        <x:v>54</x:v>
      </x:c>
      <x:c r="AH700" s="55" t="n">
        <x:v>470</x:v>
      </x:c>
      <x:c r="AI700" s="55" t="n">
        <x:v>9751</x:v>
      </x:c>
      <x:c r="AJ700" s="55" t="n">
        <x:v>352</x:v>
      </x:c>
      <x:c r="AK700" s="55" t="n">
        <x:v>976</x:v>
      </x:c>
      <x:c r="AL700" s="55" t="n">
        <x:v>1935</x:v>
      </x:c>
      <x:c r="AM700" s="55" t="n">
        <x:v>4716</x:v>
      </x:c>
      <x:c r="AN700" s="55" t="n">
        <x:v>2225</x:v>
      </x:c>
      <x:c r="AO700" s="55" t="n">
        <x:v>17</x:v>
      </x:c>
      <x:c r="AP700" s="55" t="n">
        <x:v>1965</x:v>
      </x:c>
      <x:c r="AQ700" s="55" t="n">
        <x:v>998</x:v>
      </x:c>
    </x:row>
    <x:row r="701">
      <x:c r="A701" s="54" t="str">
        <x:v>T2_CONCORDANT_DOMAIN</x:v>
      </x:c>
      <x:c r="B701" s="54" t="n">
        <x:v>695</x:v>
      </x:c>
      <x:c r="C701" s="54" t="str">
        <x:v>NYC-V2-R01</x:v>
      </x:c>
      <x:c r="D701" s="54" t="str">
        <x:v>V2</x:v>
      </x:c>
      <x:c r="E701" s="54" t="str">
        <x:v>ADMITTED</x:v>
      </x:c>
      <x:c r="F701" s="55" t="n">
        <x:v>32048</x:v>
      </x:c>
      <x:c r="G701" s="55" t="n">
        <x:v>6574</x:v>
      </x:c>
      <x:c r="H701" s="55" t="n">
        <x:v>3521</x:v>
      </x:c>
      <x:c r="I701" s="55" t="n">
        <x:v>1316</x:v>
      </x:c>
      <x:c r="J701" s="55" t="n">
        <x:v>377</x:v>
      </x:c>
      <x:c r="K701" s="55" t="n">
        <x:v>32048</x:v>
      </x:c>
      <x:c r="L701" s="55" t="n">
        <x:v>6896</x:v>
      </x:c>
      <x:c r="M701" s="55" t="n">
        <x:v>2294</x:v>
      </x:c>
      <x:c r="N701" s="55" t="n">
        <x:v>2741</x:v>
      </x:c>
      <x:c r="O701" s="55" t="n">
        <x:v>1861</x:v>
      </x:c>
      <x:c r="P701" s="55" t="n">
        <x:v>595</x:v>
      </x:c>
      <x:c r="Q701" s="55" t="n">
        <x:v>2300</x:v>
      </x:c>
      <x:c r="R701" s="55" t="n">
        <x:v>1632</x:v>
      </x:c>
      <x:c r="S701" s="55" t="n">
        <x:v>2789</x:v>
      </x:c>
      <x:c r="T701" s="55" t="n">
        <x:v>1293</x:v>
      </x:c>
      <x:c r="U701" s="55" t="n">
        <x:v>2070</x:v>
      </x:c>
      <x:c r="V701" s="55" t="n">
        <x:v>10454</x:v>
      </x:c>
      <x:c r="W701" s="55" t="n">
        <x:v>7423</x:v>
      </x:c>
      <x:c r="X701" s="55" t="n">
        <x:v>3031</x:v>
      </x:c>
      <x:c r="Y701" s="55" t="n">
        <x:v>2504</x:v>
      </x:c>
      <x:c r="Z701" s="55" t="n">
        <x:v>3721</x:v>
      </x:c>
      <x:c r="AA701" s="55" t="n">
        <x:v>3521</x:v>
      </x:c>
      <x:c r="AB701" s="55" t="n">
        <x:v>1338</x:v>
      </x:c>
      <x:c r="AC701" s="55" t="n">
        <x:v>8307</x:v>
      </x:c>
      <x:c r="AD701" s="55" t="n">
        <x:v>3228</x:v>
      </x:c>
      <x:c r="AE701" s="55" t="n">
        <x:v>10549</x:v>
      </x:c>
      <x:c r="AF701" s="55" t="n">
        <x:v>10454</x:v>
      </x:c>
      <x:c r="AG701" s="55" t="n">
        <x:v>95</x:v>
      </x:c>
      <x:c r="AH701" s="55" t="n">
        <x:v>410</x:v>
      </x:c>
      <x:c r="AI701" s="55" t="n">
        <x:v>10044</x:v>
      </x:c>
      <x:c r="AJ701" s="55" t="n">
        <x:v>264</x:v>
      </x:c>
      <x:c r="AK701" s="55" t="n">
        <x:v>938</x:v>
      </x:c>
      <x:c r="AL701" s="55" t="n">
        <x:v>1343</x:v>
      </x:c>
      <x:c r="AM701" s="55" t="n">
        <x:v>5249</x:v>
      </x:c>
      <x:c r="AN701" s="55" t="n">
        <x:v>2660</x:v>
      </x:c>
      <x:c r="AO701" s="55" t="n">
        <x:v>0</x:v>
      </x:c>
      <x:c r="AP701" s="55" t="n">
        <x:v>2051</x:v>
      </x:c>
      <x:c r="AQ701" s="55" t="n">
        <x:v>956</x:v>
      </x:c>
    </x:row>
    <x:row r="702">
      <x:c r="A702" s="54" t="str">
        <x:v>T2_CONCORDANT_DOMAIN</x:v>
      </x:c>
      <x:c r="B702" s="54" t="n">
        <x:v>696</x:v>
      </x:c>
      <x:c r="C702" s="54" t="str">
        <x:v>NYC-V2-R01</x:v>
      </x:c>
      <x:c r="D702" s="54" t="str">
        <x:v>V2</x:v>
      </x:c>
      <x:c r="E702" s="54" t="str">
        <x:v>ADMITTED</x:v>
      </x:c>
      <x:c r="F702" s="55" t="n">
        <x:v>30656</x:v>
      </x:c>
      <x:c r="G702" s="55" t="n">
        <x:v>8012</x:v>
      </x:c>
      <x:c r="H702" s="55" t="n">
        <x:v>3399</x:v>
      </x:c>
      <x:c r="I702" s="55" t="n">
        <x:v>1122</x:v>
      </x:c>
      <x:c r="J702" s="55" t="n">
        <x:v>240</x:v>
      </x:c>
      <x:c r="K702" s="55" t="n">
        <x:v>30656</x:v>
      </x:c>
      <x:c r="L702" s="55" t="n">
        <x:v>6077</x:v>
      </x:c>
      <x:c r="M702" s="55" t="n">
        <x:v>1247</x:v>
      </x:c>
      <x:c r="N702" s="55" t="n">
        <x:v>2828</x:v>
      </x:c>
      <x:c r="O702" s="55" t="n">
        <x:v>2002</x:v>
      </x:c>
      <x:c r="P702" s="55" t="n">
        <x:v>1087</x:v>
      </x:c>
      <x:c r="Q702" s="55" t="n">
        <x:v>2716</x:v>
      </x:c>
      <x:c r="R702" s="55" t="n">
        <x:v>1864</x:v>
      </x:c>
      <x:c r="S702" s="55" t="n">
        <x:v>3130</x:v>
      </x:c>
      <x:c r="T702" s="55" t="n">
        <x:v>2008</x:v>
      </x:c>
      <x:c r="U702" s="55" t="n">
        <x:v>2500</x:v>
      </x:c>
      <x:c r="V702" s="55" t="n">
        <x:v>10163</x:v>
      </x:c>
      <x:c r="W702" s="55" t="n">
        <x:v>7370</x:v>
      </x:c>
      <x:c r="X702" s="55" t="n">
        <x:v>2793</x:v>
      </x:c>
      <x:c r="Y702" s="55" t="n">
        <x:v>2262</x:v>
      </x:c>
      <x:c r="Z702" s="55" t="n">
        <x:v>3376</x:v>
      </x:c>
      <x:c r="AA702" s="55" t="n">
        <x:v>3399</x:v>
      </x:c>
      <x:c r="AB702" s="55" t="n">
        <x:v>1190</x:v>
      </x:c>
      <x:c r="AC702" s="55" t="n">
        <x:v>7882</x:v>
      </x:c>
      <x:c r="AD702" s="55" t="n">
        <x:v>3224</x:v>
      </x:c>
      <x:c r="AE702" s="55" t="n">
        <x:v>10225</x:v>
      </x:c>
      <x:c r="AF702" s="55" t="n">
        <x:v>10163</x:v>
      </x:c>
      <x:c r="AG702" s="55" t="n">
        <x:v>62</x:v>
      </x:c>
      <x:c r="AH702" s="55" t="n">
        <x:v>240</x:v>
      </x:c>
      <x:c r="AI702" s="55" t="n">
        <x:v>9923</x:v>
      </x:c>
      <x:c r="AJ702" s="55" t="n">
        <x:v>409</x:v>
      </x:c>
      <x:c r="AK702" s="55" t="n">
        <x:v>731</x:v>
      </x:c>
      <x:c r="AL702" s="55" t="n">
        <x:v>1652</x:v>
      </x:c>
      <x:c r="AM702" s="55" t="n">
        <x:v>4942</x:v>
      </x:c>
      <x:c r="AN702" s="55" t="n">
        <x:v>2415</x:v>
      </x:c>
      <x:c r="AO702" s="55" t="n">
        <x:v>14</x:v>
      </x:c>
      <x:c r="AP702" s="55" t="n">
        <x:v>2588</x:v>
      </x:c>
      <x:c r="AQ702" s="55" t="n">
        <x:v>938</x:v>
      </x:c>
    </x:row>
    <x:row r="703">
      <x:c r="A703" s="54" t="str">
        <x:v>T2_CONCORDANT_DOMAIN</x:v>
      </x:c>
      <x:c r="B703" s="54" t="n">
        <x:v>697</x:v>
      </x:c>
      <x:c r="C703" s="54" t="str">
        <x:v>NYC-V2-R01</x:v>
      </x:c>
      <x:c r="D703" s="54" t="str">
        <x:v>V2</x:v>
      </x:c>
      <x:c r="E703" s="54" t="str">
        <x:v>ADMITTED</x:v>
      </x:c>
      <x:c r="F703" s="55" t="n">
        <x:v>30433</x:v>
      </x:c>
      <x:c r="G703" s="55" t="n">
        <x:v>6765</x:v>
      </x:c>
      <x:c r="H703" s="55" t="n">
        <x:v>2964</x:v>
      </x:c>
      <x:c r="I703" s="55" t="n">
        <x:v>1177</x:v>
      </x:c>
      <x:c r="J703" s="55" t="n">
        <x:v>107</x:v>
      </x:c>
      <x:c r="K703" s="55" t="n">
        <x:v>30433</x:v>
      </x:c>
      <x:c r="L703" s="55" t="n">
        <x:v>4776</x:v>
      </x:c>
      <x:c r="M703" s="55" t="n">
        <x:v>758</x:v>
      </x:c>
      <x:c r="N703" s="55" t="n">
        <x:v>2390</x:v>
      </x:c>
      <x:c r="O703" s="55" t="n">
        <x:v>1628</x:v>
      </x:c>
      <x:c r="P703" s="55" t="n">
        <x:v>507</x:v>
      </x:c>
      <x:c r="Q703" s="55" t="n">
        <x:v>2433</x:v>
      </x:c>
      <x:c r="R703" s="55" t="n">
        <x:v>1881</x:v>
      </x:c>
      <x:c r="S703" s="55" t="n">
        <x:v>2539</x:v>
      </x:c>
      <x:c r="T703" s="55" t="n">
        <x:v>1150</x:v>
      </x:c>
      <x:c r="U703" s="55" t="n">
        <x:v>1942</x:v>
      </x:c>
      <x:c r="V703" s="55" t="n">
        <x:v>10458</x:v>
      </x:c>
      <x:c r="W703" s="55" t="n">
        <x:v>7436</x:v>
      </x:c>
      <x:c r="X703" s="55" t="n">
        <x:v>3022</x:v>
      </x:c>
      <x:c r="Y703" s="55" t="n">
        <x:v>2510</x:v>
      </x:c>
      <x:c r="Z703" s="55" t="n">
        <x:v>3227</x:v>
      </x:c>
      <x:c r="AA703" s="55" t="n">
        <x:v>2964</x:v>
      </x:c>
      <x:c r="AB703" s="55" t="n">
        <x:v>1139</x:v>
      </x:c>
      <x:c r="AC703" s="55" t="n">
        <x:v>8071</x:v>
      </x:c>
      <x:c r="AD703" s="55" t="n">
        <x:v>2802</x:v>
      </x:c>
      <x:c r="AE703" s="55" t="n">
        <x:v>10541</x:v>
      </x:c>
      <x:c r="AF703" s="55" t="n">
        <x:v>10458</x:v>
      </x:c>
      <x:c r="AG703" s="55" t="n">
        <x:v>83</x:v>
      </x:c>
      <x:c r="AH703" s="55" t="n">
        <x:v>388</x:v>
      </x:c>
      <x:c r="AI703" s="55" t="n">
        <x:v>10070</x:v>
      </x:c>
      <x:c r="AJ703" s="55" t="n">
        <x:v>354</x:v>
      </x:c>
      <x:c r="AK703" s="55" t="n">
        <x:v>794</x:v>
      </x:c>
      <x:c r="AL703" s="55" t="n">
        <x:v>1269</x:v>
      </x:c>
      <x:c r="AM703" s="55" t="n">
        <x:v>5060</x:v>
      </x:c>
      <x:c r="AN703" s="55" t="n">
        <x:v>2981</x:v>
      </x:c>
      <x:c r="AO703" s="55" t="n">
        <x:v>0</x:v>
      </x:c>
      <x:c r="AP703" s="55" t="n">
        <x:v>2082</x:v>
      </x:c>
      <x:c r="AQ703" s="55" t="n">
        <x:v>942</x:v>
      </x:c>
    </x:row>
    <x:row r="704">
      <x:c r="A704" s="54" t="str">
        <x:v>T2_CONCORDANT_DOMAIN</x:v>
      </x:c>
      <x:c r="B704" s="54" t="n">
        <x:v>698</x:v>
      </x:c>
      <x:c r="C704" s="54" t="str">
        <x:v>NYC-V2-R01</x:v>
      </x:c>
      <x:c r="D704" s="54" t="str">
        <x:v>V2</x:v>
      </x:c>
      <x:c r="E704" s="54" t="str">
        <x:v>ADMITTED</x:v>
      </x:c>
      <x:c r="F704" s="55" t="n">
        <x:v>30741</x:v>
      </x:c>
      <x:c r="G704" s="55" t="n">
        <x:v>7341</x:v>
      </x:c>
      <x:c r="H704" s="55" t="n">
        <x:v>3137</x:v>
      </x:c>
      <x:c r="I704" s="55" t="n">
        <x:v>1318</x:v>
      </x:c>
      <x:c r="J704" s="55" t="n">
        <x:v>74</x:v>
      </x:c>
      <x:c r="K704" s="55" t="n">
        <x:v>30741</x:v>
      </x:c>
      <x:c r="L704" s="55" t="n">
        <x:v>5352</x:v>
      </x:c>
      <x:c r="M704" s="55" t="n">
        <x:v>932</x:v>
      </x:c>
      <x:c r="N704" s="55" t="n">
        <x:v>2696</x:v>
      </x:c>
      <x:c r="O704" s="55" t="n">
        <x:v>1724</x:v>
      </x:c>
      <x:c r="P704" s="55" t="n">
        <x:v>988</x:v>
      </x:c>
      <x:c r="Q704" s="55" t="n">
        <x:v>2018</x:v>
      </x:c>
      <x:c r="R704" s="55" t="n">
        <x:v>2220</x:v>
      </x:c>
      <x:c r="S704" s="55" t="n">
        <x:v>3409</x:v>
      </x:c>
      <x:c r="T704" s="55" t="n">
        <x:v>1266</x:v>
      </x:c>
      <x:c r="U704" s="55" t="n">
        <x:v>2236</x:v>
      </x:c>
      <x:c r="V704" s="55" t="n">
        <x:v>9989</x:v>
      </x:c>
      <x:c r="W704" s="55" t="n">
        <x:v>6637</x:v>
      </x:c>
      <x:c r="X704" s="55" t="n">
        <x:v>3352</x:v>
      </x:c>
      <x:c r="Y704" s="55" t="n">
        <x:v>2975</x:v>
      </x:c>
      <x:c r="Z704" s="55" t="n">
        <x:v>4193</x:v>
      </x:c>
      <x:c r="AA704" s="55" t="n">
        <x:v>2690</x:v>
      </x:c>
      <x:c r="AB704" s="55" t="n">
        <x:v>980</x:v>
      </x:c>
      <x:c r="AC704" s="55" t="n">
        <x:v>8245</x:v>
      </x:c>
      <x:c r="AD704" s="55" t="n">
        <x:v>3052</x:v>
      </x:c>
      <x:c r="AE704" s="55" t="n">
        <x:v>10130</x:v>
      </x:c>
      <x:c r="AF704" s="55" t="n">
        <x:v>9989</x:v>
      </x:c>
      <x:c r="AG704" s="55" t="n">
        <x:v>141</x:v>
      </x:c>
      <x:c r="AH704" s="55" t="n">
        <x:v>267</x:v>
      </x:c>
      <x:c r="AI704" s="55" t="n">
        <x:v>9722</x:v>
      </x:c>
      <x:c r="AJ704" s="55" t="n">
        <x:v>289</x:v>
      </x:c>
      <x:c r="AK704" s="55" t="n">
        <x:v>994</x:v>
      </x:c>
      <x:c r="AL704" s="55" t="n">
        <x:v>1327</x:v>
      </x:c>
      <x:c r="AM704" s="55" t="n">
        <x:v>4776</x:v>
      </x:c>
      <x:c r="AN704" s="55" t="n">
        <x:v>2566</x:v>
      </x:c>
      <x:c r="AO704" s="55" t="n">
        <x:v>37</x:v>
      </x:c>
      <x:c r="AP704" s="55" t="n">
        <x:v>2351</x:v>
      </x:c>
      <x:c r="AQ704" s="55" t="n">
        <x:v>957</x:v>
      </x:c>
    </x:row>
    <x:row r="705">
      <x:c r="A705" s="54" t="str">
        <x:v>T2_CONCORDANT_DOMAIN</x:v>
      </x:c>
      <x:c r="B705" s="54" t="n">
        <x:v>699</x:v>
      </x:c>
      <x:c r="C705" s="54" t="str">
        <x:v>NYC-V2-R01</x:v>
      </x:c>
      <x:c r="D705" s="54" t="str">
        <x:v>V2</x:v>
      </x:c>
      <x:c r="E705" s="54" t="str">
        <x:v>ADMITTED</x:v>
      </x:c>
      <x:c r="F705" s="55" t="n">
        <x:v>32728</x:v>
      </x:c>
      <x:c r="G705" s="55" t="n">
        <x:v>8254</x:v>
      </x:c>
      <x:c r="H705" s="55" t="n">
        <x:v>3581</x:v>
      </x:c>
      <x:c r="I705" s="55" t="n">
        <x:v>1772</x:v>
      </x:c>
      <x:c r="J705" s="55" t="n">
        <x:v>394</x:v>
      </x:c>
      <x:c r="K705" s="55" t="n">
        <x:v>30962</x:v>
      </x:c>
      <x:c r="L705" s="55" t="n">
        <x:v>6985</x:v>
      </x:c>
      <x:c r="M705" s="55" t="n">
        <x:v>1747</x:v>
      </x:c>
      <x:c r="N705" s="55" t="n">
        <x:v>3432</x:v>
      </x:c>
      <x:c r="O705" s="55" t="n">
        <x:v>1806</x:v>
      </x:c>
      <x:c r="P705" s="55" t="n">
        <x:v>814</x:v>
      </x:c>
      <x:c r="Q705" s="55" t="n">
        <x:v>2373</x:v>
      </x:c>
      <x:c r="R705" s="55" t="n">
        <x:v>1975</x:v>
      </x:c>
      <x:c r="S705" s="55" t="n">
        <x:v>2950</x:v>
      </x:c>
      <x:c r="T705" s="55" t="n">
        <x:v>1345</x:v>
      </x:c>
      <x:c r="U705" s="55" t="n">
        <x:v>2289</x:v>
      </x:c>
      <x:c r="V705" s="55" t="n">
        <x:v>10867</x:v>
      </x:c>
      <x:c r="W705" s="55" t="n">
        <x:v>7367</x:v>
      </x:c>
      <x:c r="X705" s="55" t="n">
        <x:v>3500</x:v>
      </x:c>
      <x:c r="Y705" s="55" t="n">
        <x:v>3146</x:v>
      </x:c>
      <x:c r="Z705" s="55" t="n">
        <x:v>4239</x:v>
      </x:c>
      <x:c r="AA705" s="55" t="n">
        <x:v>3003</x:v>
      </x:c>
      <x:c r="AB705" s="55" t="n">
        <x:v>886</x:v>
      </x:c>
      <x:c r="AC705" s="55" t="n">
        <x:v>7725</x:v>
      </x:c>
      <x:c r="AD705" s="55" t="n">
        <x:v>2210</x:v>
      </x:c>
      <x:c r="AE705" s="55" t="n">
        <x:v>10929</x:v>
      </x:c>
      <x:c r="AF705" s="55" t="n">
        <x:v>10867</x:v>
      </x:c>
      <x:c r="AG705" s="55" t="n">
        <x:v>62</x:v>
      </x:c>
      <x:c r="AH705" s="55" t="n">
        <x:v>693</x:v>
      </x:c>
      <x:c r="AI705" s="55" t="n">
        <x:v>10174</x:v>
      </x:c>
      <x:c r="AJ705" s="55" t="n">
        <x:v>284</x:v>
      </x:c>
      <x:c r="AK705" s="55" t="n">
        <x:v>1036</x:v>
      </x:c>
      <x:c r="AL705" s="55" t="n">
        <x:v>1727</x:v>
      </x:c>
      <x:c r="AM705" s="55" t="n">
        <x:v>5044</x:v>
      </x:c>
      <x:c r="AN705" s="55" t="n">
        <x:v>2761</x:v>
      </x:c>
      <x:c r="AO705" s="55" t="n">
        <x:v>15</x:v>
      </x:c>
      <x:c r="AP705" s="55" t="n">
        <x:v>2668</x:v>
      </x:c>
      <x:c r="AQ705" s="55" t="n">
        <x:v>1003</x:v>
      </x:c>
    </x:row>
    <x:row r="706">
      <x:c r="A706" s="54" t="str">
        <x:v>T2_CONCORDANT_DOMAIN</x:v>
      </x:c>
      <x:c r="B706" s="54" t="n">
        <x:v>700</x:v>
      </x:c>
      <x:c r="C706" s="54" t="str">
        <x:v>NYC-V2-R01</x:v>
      </x:c>
      <x:c r="D706" s="54" t="str">
        <x:v>V2</x:v>
      </x:c>
      <x:c r="E706" s="54" t="str">
        <x:v>ADMITTED</x:v>
      </x:c>
      <x:c r="F706" s="55" t="n">
        <x:v>29660</x:v>
      </x:c>
      <x:c r="G706" s="55" t="n">
        <x:v>6698</x:v>
      </x:c>
      <x:c r="H706" s="55" t="n">
        <x:v>2893</x:v>
      </x:c>
      <x:c r="I706" s="55" t="n">
        <x:v>1001</x:v>
      </x:c>
      <x:c r="J706" s="55" t="n">
        <x:v>299</x:v>
      </x:c>
      <x:c r="K706" s="55" t="n">
        <x:v>29660</x:v>
      </x:c>
      <x:c r="L706" s="55" t="n">
        <x:v>4824</x:v>
      </x:c>
      <x:c r="M706" s="55" t="n">
        <x:v>1631</x:v>
      </x:c>
      <x:c r="N706" s="55" t="n">
        <x:v>2032</x:v>
      </x:c>
      <x:c r="O706" s="55" t="n">
        <x:v>1161</x:v>
      </x:c>
      <x:c r="P706" s="55" t="n">
        <x:v>707</x:v>
      </x:c>
      <x:c r="Q706" s="55" t="n">
        <x:v>1678</x:v>
      </x:c>
      <x:c r="R706" s="55" t="n">
        <x:v>1496</x:v>
      </x:c>
      <x:c r="S706" s="55" t="n">
        <x:v>2162</x:v>
      </x:c>
      <x:c r="T706" s="55" t="n">
        <x:v>931</x:v>
      </x:c>
      <x:c r="U706" s="55" t="n">
        <x:v>1523</x:v>
      </x:c>
      <x:c r="V706" s="55" t="n">
        <x:v>9888</x:v>
      </x:c>
      <x:c r="W706" s="55" t="n">
        <x:v>7036</x:v>
      </x:c>
      <x:c r="X706" s="55" t="n">
        <x:v>2852</x:v>
      </x:c>
      <x:c r="Y706" s="55" t="n">
        <x:v>2391</x:v>
      </x:c>
      <x:c r="Z706" s="55" t="n">
        <x:v>2929</x:v>
      </x:c>
      <x:c r="AA706" s="55" t="n">
        <x:v>2612</x:v>
      </x:c>
      <x:c r="AB706" s="55" t="n">
        <x:v>824</x:v>
      </x:c>
      <x:c r="AC706" s="55" t="n">
        <x:v>7832</x:v>
      </x:c>
      <x:c r="AD706" s="55" t="n">
        <x:v>2907</x:v>
      </x:c>
      <x:c r="AE706" s="55" t="n">
        <x:v>9956</x:v>
      </x:c>
      <x:c r="AF706" s="55" t="n">
        <x:v>9888</x:v>
      </x:c>
      <x:c r="AG706" s="55" t="n">
        <x:v>68</x:v>
      </x:c>
      <x:c r="AH706" s="55" t="n">
        <x:v>293</x:v>
      </x:c>
      <x:c r="AI706" s="55" t="n">
        <x:v>9595</x:v>
      </x:c>
      <x:c r="AJ706" s="55" t="n">
        <x:v>174</x:v>
      </x:c>
      <x:c r="AK706" s="55" t="n">
        <x:v>1057</x:v>
      </x:c>
      <x:c r="AL706" s="55" t="n">
        <x:v>1429</x:v>
      </x:c>
      <x:c r="AM706" s="55" t="n">
        <x:v>4408</x:v>
      </x:c>
      <x:c r="AN706" s="55" t="n">
        <x:v>2820</x:v>
      </x:c>
      <x:c r="AO706" s="55" t="n">
        <x:v>0</x:v>
      </x:c>
      <x:c r="AP706" s="55" t="n">
        <x:v>2019</x:v>
      </x:c>
      <x:c r="AQ706" s="55" t="n">
        <x:v>934</x:v>
      </x:c>
    </x:row>
    <x:row r="707">
      <x:c r="A707" s="54" t="str">
        <x:v>T2_CONCORDANT_DOMAIN</x:v>
      </x:c>
      <x:c r="B707" s="54" t="n">
        <x:v>701</x:v>
      </x:c>
      <x:c r="C707" s="54" t="str">
        <x:v>NYC-V2-R01</x:v>
      </x:c>
      <x:c r="D707" s="54" t="str">
        <x:v>V2</x:v>
      </x:c>
      <x:c r="E707" s="54" t="str">
        <x:v>ADMITTED</x:v>
      </x:c>
      <x:c r="F707" s="55" t="n">
        <x:v>33029</x:v>
      </x:c>
      <x:c r="G707" s="55" t="n">
        <x:v>9134</x:v>
      </x:c>
      <x:c r="H707" s="55" t="n">
        <x:v>3452</x:v>
      </x:c>
      <x:c r="I707" s="55" t="n">
        <x:v>1390</x:v>
      </x:c>
      <x:c r="J707" s="55" t="n">
        <x:v>225</x:v>
      </x:c>
      <x:c r="K707" s="55" t="n">
        <x:v>32624</x:v>
      </x:c>
      <x:c r="L707" s="55" t="n">
        <x:v>6711</x:v>
      </x:c>
      <x:c r="M707" s="55" t="n">
        <x:v>1525</x:v>
      </x:c>
      <x:c r="N707" s="55" t="n">
        <x:v>3129</x:v>
      </x:c>
      <x:c r="O707" s="55" t="n">
        <x:v>2057</x:v>
      </x:c>
      <x:c r="P707" s="55" t="n">
        <x:v>1129</x:v>
      </x:c>
      <x:c r="Q707" s="55" t="n">
        <x:v>3345</x:v>
      </x:c>
      <x:c r="R707" s="55" t="n">
        <x:v>2304</x:v>
      </x:c>
      <x:c r="S707" s="55" t="n">
        <x:v>3580</x:v>
      </x:c>
      <x:c r="T707" s="55" t="n">
        <x:v>1724</x:v>
      </x:c>
      <x:c r="U707" s="55" t="n">
        <x:v>2420</x:v>
      </x:c>
      <x:c r="V707" s="55" t="n">
        <x:v>10800</x:v>
      </x:c>
      <x:c r="W707" s="55" t="n">
        <x:v>7683</x:v>
      </x:c>
      <x:c r="X707" s="55" t="n">
        <x:v>3117</x:v>
      </x:c>
      <x:c r="Y707" s="55" t="n">
        <x:v>2770</x:v>
      </x:c>
      <x:c r="Z707" s="55" t="n">
        <x:v>3801</x:v>
      </x:c>
      <x:c r="AA707" s="55" t="n">
        <x:v>2951</x:v>
      </x:c>
      <x:c r="AB707" s="55" t="n">
        <x:v>1120</x:v>
      </x:c>
      <x:c r="AC707" s="55" t="n">
        <x:v>8833</x:v>
      </x:c>
      <x:c r="AD707" s="55" t="n">
        <x:v>3313</x:v>
      </x:c>
      <x:c r="AE707" s="55" t="n">
        <x:v>10924</x:v>
      </x:c>
      <x:c r="AF707" s="55" t="n">
        <x:v>10800</x:v>
      </x:c>
      <x:c r="AG707" s="55" t="n">
        <x:v>124</x:v>
      </x:c>
      <x:c r="AH707" s="55" t="n">
        <x:v>541</x:v>
      </x:c>
      <x:c r="AI707" s="55" t="n">
        <x:v>10259</x:v>
      </x:c>
      <x:c r="AJ707" s="55" t="n">
        <x:v>381</x:v>
      </x:c>
      <x:c r="AK707" s="55" t="n">
        <x:v>1290</x:v>
      </x:c>
      <x:c r="AL707" s="55" t="n">
        <x:v>1744</x:v>
      </x:c>
      <x:c r="AM707" s="55" t="n">
        <x:v>4667</x:v>
      </x:c>
      <x:c r="AN707" s="55" t="n">
        <x:v>2659</x:v>
      </x:c>
      <x:c r="AO707" s="55" t="n">
        <x:v>59</x:v>
      </x:c>
      <x:c r="AP707" s="55" t="n">
        <x:v>2665</x:v>
      </x:c>
      <x:c r="AQ707" s="55" t="n">
        <x:v>997</x:v>
      </x:c>
    </x:row>
    <x:row r="708">
      <x:c r="A708" s="54" t="str">
        <x:v>T2_CONCORDANT_DOMAIN</x:v>
      </x:c>
      <x:c r="B708" s="54" t="n">
        <x:v>702</x:v>
      </x:c>
      <x:c r="C708" s="54" t="str">
        <x:v>NYC-V2-R01</x:v>
      </x:c>
      <x:c r="D708" s="54" t="str">
        <x:v>V2</x:v>
      </x:c>
      <x:c r="E708" s="54" t="str">
        <x:v>ADMITTED</x:v>
      </x:c>
      <x:c r="F708" s="55" t="n">
        <x:v>30181</x:v>
      </x:c>
      <x:c r="G708" s="55" t="n">
        <x:v>7359</x:v>
      </x:c>
      <x:c r="H708" s="55" t="n">
        <x:v>3624</x:v>
      </x:c>
      <x:c r="I708" s="55" t="n">
        <x:v>1453</x:v>
      </x:c>
      <x:c r="J708" s="55" t="n">
        <x:v>327</x:v>
      </x:c>
      <x:c r="K708" s="55" t="n">
        <x:v>27851</x:v>
      </x:c>
      <x:c r="L708" s="55" t="n">
        <x:v>5062</x:v>
      </x:c>
      <x:c r="M708" s="55" t="n">
        <x:v>980</x:v>
      </x:c>
      <x:c r="N708" s="55" t="n">
        <x:v>2516</x:v>
      </x:c>
      <x:c r="O708" s="55" t="n">
        <x:v>1566</x:v>
      </x:c>
      <x:c r="P708" s="55" t="n">
        <x:v>783</x:v>
      </x:c>
      <x:c r="Q708" s="55" t="n">
        <x:v>2359</x:v>
      </x:c>
      <x:c r="R708" s="55" t="n">
        <x:v>1721</x:v>
      </x:c>
      <x:c r="S708" s="55" t="n">
        <x:v>2597</x:v>
      </x:c>
      <x:c r="T708" s="55" t="n">
        <x:v>1377</x:v>
      </x:c>
      <x:c r="U708" s="55" t="n">
        <x:v>1768</x:v>
      </x:c>
      <x:c r="V708" s="55" t="n">
        <x:v>10694</x:v>
      </x:c>
      <x:c r="W708" s="55" t="n">
        <x:v>7876</x:v>
      </x:c>
      <x:c r="X708" s="55" t="n">
        <x:v>2818</x:v>
      </x:c>
      <x:c r="Y708" s="55" t="n">
        <x:v>2394</x:v>
      </x:c>
      <x:c r="Z708" s="55" t="n">
        <x:v>3628</x:v>
      </x:c>
      <x:c r="AA708" s="55" t="n">
        <x:v>3624</x:v>
      </x:c>
      <x:c r="AB708" s="55" t="n">
        <x:v>1795</x:v>
      </x:c>
      <x:c r="AC708" s="55" t="n">
        <x:v>7996</x:v>
      </x:c>
      <x:c r="AD708" s="55" t="n">
        <x:v>3168</x:v>
      </x:c>
      <x:c r="AE708" s="55" t="n">
        <x:v>10715</x:v>
      </x:c>
      <x:c r="AF708" s="55" t="n">
        <x:v>10694</x:v>
      </x:c>
      <x:c r="AG708" s="55" t="n">
        <x:v>21</x:v>
      </x:c>
      <x:c r="AH708" s="55" t="n">
        <x:v>444</x:v>
      </x:c>
      <x:c r="AI708" s="55" t="n">
        <x:v>10250</x:v>
      </x:c>
      <x:c r="AJ708" s="55" t="n">
        <x:v>478</x:v>
      </x:c>
      <x:c r="AK708" s="55" t="n">
        <x:v>816</x:v>
      </x:c>
      <x:c r="AL708" s="55" t="n">
        <x:v>1953</x:v>
      </x:c>
      <x:c r="AM708" s="55" t="n">
        <x:v>4633</x:v>
      </x:c>
      <x:c r="AN708" s="55" t="n">
        <x:v>2769</x:v>
      </x:c>
      <x:c r="AO708" s="55" t="n">
        <x:v>45</x:v>
      </x:c>
      <x:c r="AP708" s="55" t="n">
        <x:v>2553</x:v>
      </x:c>
      <x:c r="AQ708" s="55" t="n">
        <x:v>957</x:v>
      </x:c>
    </x:row>
    <x:row r="709">
      <x:c r="A709" s="54" t="str">
        <x:v>T2_CONCORDANT_DOMAIN</x:v>
      </x:c>
      <x:c r="B709" s="54" t="n">
        <x:v>703</x:v>
      </x:c>
      <x:c r="C709" s="54" t="str">
        <x:v>NYC-V2-R01</x:v>
      </x:c>
      <x:c r="D709" s="54" t="str">
        <x:v>V2</x:v>
      </x:c>
      <x:c r="E709" s="54" t="str">
        <x:v>ADMITTED</x:v>
      </x:c>
      <x:c r="F709" s="55" t="n">
        <x:v>32135</x:v>
      </x:c>
      <x:c r="G709" s="55" t="n">
        <x:v>8455</x:v>
      </x:c>
      <x:c r="H709" s="55" t="n">
        <x:v>3413</x:v>
      </x:c>
      <x:c r="I709" s="55" t="n">
        <x:v>1506</x:v>
      </x:c>
      <x:c r="J709" s="55" t="n">
        <x:v>467</x:v>
      </x:c>
      <x:c r="K709" s="55" t="n">
        <x:v>31452</x:v>
      </x:c>
      <x:c r="L709" s="55" t="n">
        <x:v>5741</x:v>
      </x:c>
      <x:c r="M709" s="55" t="n">
        <x:v>1304</x:v>
      </x:c>
      <x:c r="N709" s="55" t="n">
        <x:v>2402</x:v>
      </x:c>
      <x:c r="O709" s="55" t="n">
        <x:v>2035</x:v>
      </x:c>
      <x:c r="P709" s="55" t="n">
        <x:v>1033</x:v>
      </x:c>
      <x:c r="Q709" s="55" t="n">
        <x:v>3086</x:v>
      </x:c>
      <x:c r="R709" s="55" t="n">
        <x:v>2173</x:v>
      </x:c>
      <x:c r="S709" s="55" t="n">
        <x:v>3124</x:v>
      </x:c>
      <x:c r="T709" s="55" t="n">
        <x:v>1420</x:v>
      </x:c>
      <x:c r="U709" s="55" t="n">
        <x:v>1670</x:v>
      </x:c>
      <x:c r="V709" s="55" t="n">
        <x:v>10223</x:v>
      </x:c>
      <x:c r="W709" s="55" t="n">
        <x:v>7166</x:v>
      </x:c>
      <x:c r="X709" s="55" t="n">
        <x:v>3057</x:v>
      </x:c>
      <x:c r="Y709" s="55" t="n">
        <x:v>2664</x:v>
      </x:c>
      <x:c r="Z709" s="55" t="n">
        <x:v>3449</x:v>
      </x:c>
      <x:c r="AA709" s="55" t="n">
        <x:v>2908</x:v>
      </x:c>
      <x:c r="AB709" s="55" t="n">
        <x:v>1074</x:v>
      </x:c>
      <x:c r="AC709" s="55" t="n">
        <x:v>8324</x:v>
      </x:c>
      <x:c r="AD709" s="55" t="n">
        <x:v>2871</x:v>
      </x:c>
      <x:c r="AE709" s="55" t="n">
        <x:v>10317</x:v>
      </x:c>
      <x:c r="AF709" s="55" t="n">
        <x:v>10223</x:v>
      </x:c>
      <x:c r="AG709" s="55" t="n">
        <x:v>94</x:v>
      </x:c>
      <x:c r="AH709" s="55" t="n">
        <x:v>325</x:v>
      </x:c>
      <x:c r="AI709" s="55" t="n">
        <x:v>9898</x:v>
      </x:c>
      <x:c r="AJ709" s="55" t="n">
        <x:v>351</x:v>
      </x:c>
      <x:c r="AK709" s="55" t="n">
        <x:v>1008</x:v>
      </x:c>
      <x:c r="AL709" s="55" t="n">
        <x:v>1228</x:v>
      </x:c>
      <x:c r="AM709" s="55" t="n">
        <x:v>4923</x:v>
      </x:c>
      <x:c r="AN709" s="55" t="n">
        <x:v>2633</x:v>
      </x:c>
      <x:c r="AO709" s="55" t="n">
        <x:v>80</x:v>
      </x:c>
      <x:c r="AP709" s="55" t="n">
        <x:v>2455</x:v>
      </x:c>
      <x:c r="AQ709" s="55" t="n">
        <x:v>952</x:v>
      </x:c>
    </x:row>
    <x:row r="710">
      <x:c r="A710" s="54" t="str">
        <x:v>T2_CONCORDANT_DOMAIN</x:v>
      </x:c>
      <x:c r="B710" s="54" t="n">
        <x:v>704</x:v>
      </x:c>
      <x:c r="C710" s="54" t="str">
        <x:v>NYC-V2-R01</x:v>
      </x:c>
      <x:c r="D710" s="54" t="str">
        <x:v>V2</x:v>
      </x:c>
      <x:c r="E710" s="54" t="str">
        <x:v>ADMITTED</x:v>
      </x:c>
      <x:c r="F710" s="55" t="n">
        <x:v>32466</x:v>
      </x:c>
      <x:c r="G710" s="55" t="n">
        <x:v>7740</x:v>
      </x:c>
      <x:c r="H710" s="55" t="n">
        <x:v>3109</x:v>
      </x:c>
      <x:c r="I710" s="55" t="n">
        <x:v>427</x:v>
      </x:c>
      <x:c r="J710" s="55" t="n">
        <x:v>0</x:v>
      </x:c>
      <x:c r="K710" s="55" t="n">
        <x:v>32466</x:v>
      </x:c>
      <x:c r="L710" s="55" t="n">
        <x:v>5436</x:v>
      </x:c>
      <x:c r="M710" s="55" t="n">
        <x:v>956</x:v>
      </x:c>
      <x:c r="N710" s="55" t="n">
        <x:v>2436</x:v>
      </x:c>
      <x:c r="O710" s="55" t="n">
        <x:v>2044</x:v>
      </x:c>
      <x:c r="P710" s="55" t="n">
        <x:v>548</x:v>
      </x:c>
      <x:c r="Q710" s="55" t="n">
        <x:v>1551</x:v>
      </x:c>
      <x:c r="R710" s="55" t="n">
        <x:v>1563</x:v>
      </x:c>
      <x:c r="S710" s="55" t="n">
        <x:v>2927</x:v>
      </x:c>
      <x:c r="T710" s="55" t="n">
        <x:v>987</x:v>
      </x:c>
      <x:c r="U710" s="55" t="n">
        <x:v>2124</x:v>
      </x:c>
      <x:c r="V710" s="55" t="n">
        <x:v>10384</x:v>
      </x:c>
      <x:c r="W710" s="55" t="n">
        <x:v>7656</x:v>
      </x:c>
      <x:c r="X710" s="55" t="n">
        <x:v>2728</x:v>
      </x:c>
      <x:c r="Y710" s="55" t="n">
        <x:v>2264</x:v>
      </x:c>
      <x:c r="Z710" s="55" t="n">
        <x:v>3616</x:v>
      </x:c>
      <x:c r="AA710" s="55" t="n">
        <x:v>3109</x:v>
      </x:c>
      <x:c r="AB710" s="55" t="n">
        <x:v>1176</x:v>
      </x:c>
      <x:c r="AC710" s="55" t="n">
        <x:v>8128</x:v>
      </x:c>
      <x:c r="AD710" s="55" t="n">
        <x:v>2538</x:v>
      </x:c>
      <x:c r="AE710" s="55" t="n">
        <x:v>10500</x:v>
      </x:c>
      <x:c r="AF710" s="55" t="n">
        <x:v>10384</x:v>
      </x:c>
      <x:c r="AG710" s="55" t="n">
        <x:v>116</x:v>
      </x:c>
      <x:c r="AH710" s="55" t="n">
        <x:v>433</x:v>
      </x:c>
      <x:c r="AI710" s="55" t="n">
        <x:v>9951</x:v>
      </x:c>
      <x:c r="AJ710" s="55" t="n">
        <x:v>302</x:v>
      </x:c>
      <x:c r="AK710" s="55" t="n">
        <x:v>868</x:v>
      </x:c>
      <x:c r="AL710" s="55" t="n">
        <x:v>1587</x:v>
      </x:c>
      <x:c r="AM710" s="55" t="n">
        <x:v>5063</x:v>
      </x:c>
      <x:c r="AN710" s="55" t="n">
        <x:v>2558</x:v>
      </x:c>
      <x:c r="AO710" s="55" t="n">
        <x:v>6</x:v>
      </x:c>
      <x:c r="AP710" s="55" t="n">
        <x:v>2229</x:v>
      </x:c>
      <x:c r="AQ710" s="55" t="n">
        <x:v>932</x:v>
      </x:c>
    </x:row>
    <x:row r="711">
      <x:c r="A711" s="54" t="str">
        <x:v>T2_CONCORDANT_DOMAIN</x:v>
      </x:c>
      <x:c r="B711" s="54" t="n">
        <x:v>705</x:v>
      </x:c>
      <x:c r="C711" s="54" t="str">
        <x:v>NYC-V2-R01</x:v>
      </x:c>
      <x:c r="D711" s="54" t="str">
        <x:v>V2</x:v>
      </x:c>
      <x:c r="E711" s="54" t="str">
        <x:v>ADMITTED</x:v>
      </x:c>
      <x:c r="F711" s="55" t="n">
        <x:v>31663</x:v>
      </x:c>
      <x:c r="G711" s="55" t="n">
        <x:v>7002</x:v>
      </x:c>
      <x:c r="H711" s="55" t="n">
        <x:v>3235</x:v>
      </x:c>
      <x:c r="I711" s="55" t="n">
        <x:v>1086</x:v>
      </x:c>
      <x:c r="J711" s="55" t="n">
        <x:v>212</x:v>
      </x:c>
      <x:c r="K711" s="55" t="n">
        <x:v>31663</x:v>
      </x:c>
      <x:c r="L711" s="55" t="n">
        <x:v>5576</x:v>
      </x:c>
      <x:c r="M711" s="55" t="n">
        <x:v>1085</x:v>
      </x:c>
      <x:c r="N711" s="55" t="n">
        <x:v>2740</x:v>
      </x:c>
      <x:c r="O711" s="55" t="n">
        <x:v>1751</x:v>
      </x:c>
      <x:c r="P711" s="55" t="n">
        <x:v>779</x:v>
      </x:c>
      <x:c r="Q711" s="55" t="n">
        <x:v>2645</x:v>
      </x:c>
      <x:c r="R711" s="55" t="n">
        <x:v>1961</x:v>
      </x:c>
      <x:c r="S711" s="55" t="n">
        <x:v>3143</x:v>
      </x:c>
      <x:c r="T711" s="55" t="n">
        <x:v>1031</x:v>
      </x:c>
      <x:c r="U711" s="55" t="n">
        <x:v>2110</x:v>
      </x:c>
      <x:c r="V711" s="55" t="n">
        <x:v>10862</x:v>
      </x:c>
      <x:c r="W711" s="55" t="n">
        <x:v>7765</x:v>
      </x:c>
      <x:c r="X711" s="55" t="n">
        <x:v>3097</x:v>
      </x:c>
      <x:c r="Y711" s="55" t="n">
        <x:v>2544</x:v>
      </x:c>
      <x:c r="Z711" s="55" t="n">
        <x:v>3971</x:v>
      </x:c>
      <x:c r="AA711" s="55" t="n">
        <x:v>3235</x:v>
      </x:c>
      <x:c r="AB711" s="55" t="n">
        <x:v>1330</x:v>
      </x:c>
      <x:c r="AC711" s="55" t="n">
        <x:v>8109</x:v>
      </x:c>
      <x:c r="AD711" s="55" t="n">
        <x:v>3471</x:v>
      </x:c>
      <x:c r="AE711" s="55" t="n">
        <x:v>10938</x:v>
      </x:c>
      <x:c r="AF711" s="55" t="n">
        <x:v>10862</x:v>
      </x:c>
      <x:c r="AG711" s="55" t="n">
        <x:v>76</x:v>
      </x:c>
      <x:c r="AH711" s="55" t="n">
        <x:v>482</x:v>
      </x:c>
      <x:c r="AI711" s="55" t="n">
        <x:v>10380</x:v>
      </x:c>
      <x:c r="AJ711" s="55" t="n">
        <x:v>409</x:v>
      </x:c>
      <x:c r="AK711" s="55" t="n">
        <x:v>1065</x:v>
      </x:c>
      <x:c r="AL711" s="55" t="n">
        <x:v>1339</x:v>
      </x:c>
      <x:c r="AM711" s="55" t="n">
        <x:v>4843</x:v>
      </x:c>
      <x:c r="AN711" s="55" t="n">
        <x:v>3128</x:v>
      </x:c>
      <x:c r="AO711" s="55" t="n">
        <x:v>78</x:v>
      </x:c>
      <x:c r="AP711" s="55" t="n">
        <x:v>2403</x:v>
      </x:c>
      <x:c r="AQ711" s="55" t="n">
        <x:v>917</x:v>
      </x:c>
    </x:row>
    <x:row r="712">
      <x:c r="A712" s="54" t="str">
        <x:v>T2_CONCORDANT_DOMAIN</x:v>
      </x:c>
      <x:c r="B712" s="54" t="n">
        <x:v>706</x:v>
      </x:c>
      <x:c r="C712" s="54" t="str">
        <x:v>NYC-V2-R01</x:v>
      </x:c>
      <x:c r="D712" s="54" t="str">
        <x:v>V2</x:v>
      </x:c>
      <x:c r="E712" s="54" t="str">
        <x:v>ADMITTED</x:v>
      </x:c>
      <x:c r="F712" s="55" t="n">
        <x:v>33436</x:v>
      </x:c>
      <x:c r="G712" s="55" t="n">
        <x:v>8896</x:v>
      </x:c>
      <x:c r="H712" s="55" t="n">
        <x:v>3791</x:v>
      </x:c>
      <x:c r="I712" s="55" t="n">
        <x:v>1737</x:v>
      </x:c>
      <x:c r="J712" s="55" t="n">
        <x:v>422</x:v>
      </x:c>
      <x:c r="K712" s="55" t="n">
        <x:v>32023</x:v>
      </x:c>
      <x:c r="L712" s="55" t="n">
        <x:v>5366</x:v>
      </x:c>
      <x:c r="M712" s="55" t="n">
        <x:v>1584</x:v>
      </x:c>
      <x:c r="N712" s="55" t="n">
        <x:v>2411</x:v>
      </x:c>
      <x:c r="O712" s="55" t="n">
        <x:v>1371</x:v>
      </x:c>
      <x:c r="P712" s="55" t="n">
        <x:v>827</x:v>
      </x:c>
      <x:c r="Q712" s="55" t="n">
        <x:v>2525</x:v>
      </x:c>
      <x:c r="R712" s="55" t="n">
        <x:v>1640</x:v>
      </x:c>
      <x:c r="S712" s="55" t="n">
        <x:v>2911</x:v>
      </x:c>
      <x:c r="T712" s="55" t="n">
        <x:v>1364</x:v>
      </x:c>
      <x:c r="U712" s="55" t="n">
        <x:v>2906</x:v>
      </x:c>
      <x:c r="V712" s="55" t="n">
        <x:v>10864</x:v>
      </x:c>
      <x:c r="W712" s="55" t="n">
        <x:v>7659</x:v>
      </x:c>
      <x:c r="X712" s="55" t="n">
        <x:v>3205</x:v>
      </x:c>
      <x:c r="Y712" s="55" t="n">
        <x:v>2839</x:v>
      </x:c>
      <x:c r="Z712" s="55" t="n">
        <x:v>3740</x:v>
      </x:c>
      <x:c r="AA712" s="55" t="n">
        <x:v>2831</x:v>
      </x:c>
      <x:c r="AB712" s="55" t="n">
        <x:v>870</x:v>
      </x:c>
      <x:c r="AC712" s="55" t="n">
        <x:v>7898</x:v>
      </x:c>
      <x:c r="AD712" s="55" t="n">
        <x:v>2934</x:v>
      </x:c>
      <x:c r="AE712" s="55" t="n">
        <x:v>10964</x:v>
      </x:c>
      <x:c r="AF712" s="55" t="n">
        <x:v>10864</x:v>
      </x:c>
      <x:c r="AG712" s="55" t="n">
        <x:v>100</x:v>
      </x:c>
      <x:c r="AH712" s="55" t="n">
        <x:v>646</x:v>
      </x:c>
      <x:c r="AI712" s="55" t="n">
        <x:v>10218</x:v>
      </x:c>
      <x:c r="AJ712" s="55" t="n">
        <x:v>519</x:v>
      </x:c>
      <x:c r="AK712" s="55" t="n">
        <x:v>1265</x:v>
      </x:c>
      <x:c r="AL712" s="55" t="n">
        <x:v>1525</x:v>
      </x:c>
      <x:c r="AM712" s="55" t="n">
        <x:v>4626</x:v>
      </x:c>
      <x:c r="AN712" s="55" t="n">
        <x:v>2871</x:v>
      </x:c>
      <x:c r="AO712" s="55" t="n">
        <x:v>58</x:v>
      </x:c>
      <x:c r="AP712" s="55" t="n">
        <x:v>2337</x:v>
      </x:c>
      <x:c r="AQ712" s="55" t="n">
        <x:v>986</x:v>
      </x:c>
    </x:row>
    <x:row r="713">
      <x:c r="A713" s="54" t="str">
        <x:v>T2_CONCORDANT_DOMAIN</x:v>
      </x:c>
      <x:c r="B713" s="54" t="n">
        <x:v>707</x:v>
      </x:c>
      <x:c r="C713" s="54" t="str">
        <x:v>NYC-V2-R01</x:v>
      </x:c>
      <x:c r="D713" s="54" t="str">
        <x:v>V2</x:v>
      </x:c>
      <x:c r="E713" s="54" t="str">
        <x:v>ADMITTED</x:v>
      </x:c>
      <x:c r="F713" s="55" t="n">
        <x:v>33083</x:v>
      </x:c>
      <x:c r="G713" s="55" t="n">
        <x:v>7803</x:v>
      </x:c>
      <x:c r="H713" s="55" t="n">
        <x:v>3322</x:v>
      </x:c>
      <x:c r="I713" s="55" t="n">
        <x:v>1404</x:v>
      </x:c>
      <x:c r="J713" s="55" t="n">
        <x:v>286</x:v>
      </x:c>
      <x:c r="K713" s="55" t="n">
        <x:v>33083</x:v>
      </x:c>
      <x:c r="L713" s="55" t="n">
        <x:v>6937</x:v>
      </x:c>
      <x:c r="M713" s="55" t="n">
        <x:v>2004</x:v>
      </x:c>
      <x:c r="N713" s="55" t="n">
        <x:v>2864</x:v>
      </x:c>
      <x:c r="O713" s="55" t="n">
        <x:v>2069</x:v>
      </x:c>
      <x:c r="P713" s="55" t="n">
        <x:v>747</x:v>
      </x:c>
      <x:c r="Q713" s="55" t="n">
        <x:v>3258</x:v>
      </x:c>
      <x:c r="R713" s="55" t="n">
        <x:v>2458</x:v>
      </x:c>
      <x:c r="S713" s="55" t="n">
        <x:v>3551</x:v>
      </x:c>
      <x:c r="T713" s="55" t="n">
        <x:v>1050</x:v>
      </x:c>
      <x:c r="U713" s="55" t="n">
        <x:v>2190</x:v>
      </x:c>
      <x:c r="V713" s="55" t="n">
        <x:v>10026</x:v>
      </x:c>
      <x:c r="W713" s="55" t="n">
        <x:v>6727</x:v>
      </x:c>
      <x:c r="X713" s="55" t="n">
        <x:v>3299</x:v>
      </x:c>
      <x:c r="Y713" s="55" t="n">
        <x:v>2955</x:v>
      </x:c>
      <x:c r="Z713" s="55" t="n">
        <x:v>3431</x:v>
      </x:c>
      <x:c r="AA713" s="55" t="n">
        <x:v>3322</x:v>
      </x:c>
      <x:c r="AB713" s="55" t="n">
        <x:v>1066</x:v>
      </x:c>
      <x:c r="AC713" s="55" t="n">
        <x:v>8062</x:v>
      </x:c>
      <x:c r="AD713" s="55" t="n">
        <x:v>2732</x:v>
      </x:c>
      <x:c r="AE713" s="55" t="n">
        <x:v>10113</x:v>
      </x:c>
      <x:c r="AF713" s="55" t="n">
        <x:v>10026</x:v>
      </x:c>
      <x:c r="AG713" s="55" t="n">
        <x:v>87</x:v>
      </x:c>
      <x:c r="AH713" s="55" t="n">
        <x:v>195</x:v>
      </x:c>
      <x:c r="AI713" s="55" t="n">
        <x:v>9831</x:v>
      </x:c>
      <x:c r="AJ713" s="55" t="n">
        <x:v>362</x:v>
      </x:c>
      <x:c r="AK713" s="55" t="n">
        <x:v>1049</x:v>
      </x:c>
      <x:c r="AL713" s="55" t="n">
        <x:v>1355</x:v>
      </x:c>
      <x:c r="AM713" s="55" t="n">
        <x:v>4469</x:v>
      </x:c>
      <x:c r="AN713" s="55" t="n">
        <x:v>2725</x:v>
      </x:c>
      <x:c r="AO713" s="55" t="n">
        <x:v>66</x:v>
      </x:c>
      <x:c r="AP713" s="55" t="n">
        <x:v>2276</x:v>
      </x:c>
      <x:c r="AQ713" s="55" t="n">
        <x:v>967</x:v>
      </x:c>
    </x:row>
    <x:row r="714">
      <x:c r="A714" s="54" t="str">
        <x:v>T2_CONCORDANT_DOMAIN</x:v>
      </x:c>
      <x:c r="B714" s="54" t="n">
        <x:v>708</x:v>
      </x:c>
      <x:c r="C714" s="54" t="str">
        <x:v>NYC-V2-R01</x:v>
      </x:c>
      <x:c r="D714" s="54" t="str">
        <x:v>V2</x:v>
      </x:c>
      <x:c r="E714" s="54" t="str">
        <x:v>ADMITTED</x:v>
      </x:c>
      <x:c r="F714" s="55" t="n">
        <x:v>31689</x:v>
      </x:c>
      <x:c r="G714" s="55" t="n">
        <x:v>6243</x:v>
      </x:c>
      <x:c r="H714" s="55" t="n">
        <x:v>3216</x:v>
      </x:c>
      <x:c r="I714" s="55" t="n">
        <x:v>952</x:v>
      </x:c>
      <x:c r="J714" s="55" t="n">
        <x:v>66</x:v>
      </x:c>
      <x:c r="K714" s="55" t="n">
        <x:v>31689</x:v>
      </x:c>
      <x:c r="L714" s="55" t="n">
        <x:v>6060</x:v>
      </x:c>
      <x:c r="M714" s="55" t="n">
        <x:v>1061</x:v>
      </x:c>
      <x:c r="N714" s="55" t="n">
        <x:v>2997</x:v>
      </x:c>
      <x:c r="O714" s="55" t="n">
        <x:v>2002</x:v>
      </x:c>
      <x:c r="P714" s="55" t="n">
        <x:v>703</x:v>
      </x:c>
      <x:c r="Q714" s="55" t="n">
        <x:v>2613</x:v>
      </x:c>
      <x:c r="R714" s="55" t="n">
        <x:v>1739</x:v>
      </x:c>
      <x:c r="S714" s="55" t="n">
        <x:v>2564</x:v>
      </x:c>
      <x:c r="T714" s="55" t="n">
        <x:v>1474</x:v>
      </x:c>
      <x:c r="U714" s="55" t="n">
        <x:v>1433</x:v>
      </x:c>
      <x:c r="V714" s="55" t="n">
        <x:v>10523</x:v>
      </x:c>
      <x:c r="W714" s="55" t="n">
        <x:v>7482</x:v>
      </x:c>
      <x:c r="X714" s="55" t="n">
        <x:v>3041</x:v>
      </x:c>
      <x:c r="Y714" s="55" t="n">
        <x:v>2638</x:v>
      </x:c>
      <x:c r="Z714" s="55" t="n">
        <x:v>3881</x:v>
      </x:c>
      <x:c r="AA714" s="55" t="n">
        <x:v>3052</x:v>
      </x:c>
      <x:c r="AB714" s="55" t="n">
        <x:v>975</x:v>
      </x:c>
      <x:c r="AC714" s="55" t="n">
        <x:v>8138</x:v>
      </x:c>
      <x:c r="AD714" s="55" t="n">
        <x:v>2941</x:v>
      </x:c>
      <x:c r="AE714" s="55" t="n">
        <x:v>10587</x:v>
      </x:c>
      <x:c r="AF714" s="55" t="n">
        <x:v>10523</x:v>
      </x:c>
      <x:c r="AG714" s="55" t="n">
        <x:v>64</x:v>
      </x:c>
      <x:c r="AH714" s="55" t="n">
        <x:v>458</x:v>
      </x:c>
      <x:c r="AI714" s="55" t="n">
        <x:v>10065</x:v>
      </x:c>
      <x:c r="AJ714" s="55" t="n">
        <x:v>308</x:v>
      </x:c>
      <x:c r="AK714" s="55" t="n">
        <x:v>984</x:v>
      </x:c>
      <x:c r="AL714" s="55" t="n">
        <x:v>1501</x:v>
      </x:c>
      <x:c r="AM714" s="55" t="n">
        <x:v>4704</x:v>
      </x:c>
      <x:c r="AN714" s="55" t="n">
        <x:v>3012</x:v>
      </x:c>
      <x:c r="AO714" s="55" t="n">
        <x:v>14</x:v>
      </x:c>
      <x:c r="AP714" s="55" t="n">
        <x:v>2613</x:v>
      </x:c>
      <x:c r="AQ714" s="55" t="n">
        <x:v>930</x:v>
      </x:c>
    </x:row>
    <x:row r="715">
      <x:c r="A715" s="54" t="str">
        <x:v>T2_CONCORDANT_DOMAIN</x:v>
      </x:c>
      <x:c r="B715" s="54" t="n">
        <x:v>709</x:v>
      </x:c>
      <x:c r="C715" s="54" t="str">
        <x:v>NYC-V2-R01</x:v>
      </x:c>
      <x:c r="D715" s="54" t="str">
        <x:v>V2</x:v>
      </x:c>
      <x:c r="E715" s="54" t="str">
        <x:v>ADMITTED</x:v>
      </x:c>
      <x:c r="F715" s="55" t="n">
        <x:v>31057</x:v>
      </x:c>
      <x:c r="G715" s="55" t="n">
        <x:v>7813</x:v>
      </x:c>
      <x:c r="H715" s="55" t="n">
        <x:v>3563</x:v>
      </x:c>
      <x:c r="I715" s="55" t="n">
        <x:v>1689</x:v>
      </x:c>
      <x:c r="J715" s="55" t="n">
        <x:v>501</x:v>
      </x:c>
      <x:c r="K715" s="55" t="n">
        <x:v>30748</x:v>
      </x:c>
      <x:c r="L715" s="55" t="n">
        <x:v>6320</x:v>
      </x:c>
      <x:c r="M715" s="55" t="n">
        <x:v>1447</x:v>
      </x:c>
      <x:c r="N715" s="55" t="n">
        <x:v>2792</x:v>
      </x:c>
      <x:c r="O715" s="55" t="n">
        <x:v>2081</x:v>
      </x:c>
      <x:c r="P715" s="55" t="n">
        <x:v>693</x:v>
      </x:c>
      <x:c r="Q715" s="55" t="n">
        <x:v>2475</x:v>
      </x:c>
      <x:c r="R715" s="55" t="n">
        <x:v>1926</x:v>
      </x:c>
      <x:c r="S715" s="55" t="n">
        <x:v>2989</x:v>
      </x:c>
      <x:c r="T715" s="55" t="n">
        <x:v>1429</x:v>
      </x:c>
      <x:c r="U715" s="55" t="n">
        <x:v>2087</x:v>
      </x:c>
      <x:c r="V715" s="55" t="n">
        <x:v>11113</x:v>
      </x:c>
      <x:c r="W715" s="55" t="n">
        <x:v>8181</x:v>
      </x:c>
      <x:c r="X715" s="55" t="n">
        <x:v>2932</x:v>
      </x:c>
      <x:c r="Y715" s="55" t="n">
        <x:v>2766</x:v>
      </x:c>
      <x:c r="Z715" s="55" t="n">
        <x:v>3951</x:v>
      </x:c>
      <x:c r="AA715" s="55" t="n">
        <x:v>3426</x:v>
      </x:c>
      <x:c r="AB715" s="55" t="n">
        <x:v>1292</x:v>
      </x:c>
      <x:c r="AC715" s="55" t="n">
        <x:v>8374</x:v>
      </x:c>
      <x:c r="AD715" s="55" t="n">
        <x:v>3006</x:v>
      </x:c>
      <x:c r="AE715" s="55" t="n">
        <x:v>11253</x:v>
      </x:c>
      <x:c r="AF715" s="55" t="n">
        <x:v>11113</x:v>
      </x:c>
      <x:c r="AG715" s="55" t="n">
        <x:v>140</x:v>
      </x:c>
      <x:c r="AH715" s="55" t="n">
        <x:v>553</x:v>
      </x:c>
      <x:c r="AI715" s="55" t="n">
        <x:v>10560</x:v>
      </x:c>
      <x:c r="AJ715" s="55" t="n">
        <x:v>271</x:v>
      </x:c>
      <x:c r="AK715" s="55" t="n">
        <x:v>1058</x:v>
      </x:c>
      <x:c r="AL715" s="55" t="n">
        <x:v>1601</x:v>
      </x:c>
      <x:c r="AM715" s="55" t="n">
        <x:v>5398</x:v>
      </x:c>
      <x:c r="AN715" s="55" t="n">
        <x:v>2760</x:v>
      </x:c>
      <x:c r="AO715" s="55" t="n">
        <x:v>25</x:v>
      </x:c>
      <x:c r="AP715" s="55" t="n">
        <x:v>2274</x:v>
      </x:c>
      <x:c r="AQ715" s="55" t="n">
        <x:v>950</x:v>
      </x:c>
    </x:row>
    <x:row r="716">
      <x:c r="A716" s="54" t="str">
        <x:v>T2_CONCORDANT_DOMAIN</x:v>
      </x:c>
      <x:c r="B716" s="54" t="n">
        <x:v>710</x:v>
      </x:c>
      <x:c r="C716" s="54" t="str">
        <x:v>NYC-V2-R01</x:v>
      </x:c>
      <x:c r="D716" s="54" t="str">
        <x:v>V2</x:v>
      </x:c>
      <x:c r="E716" s="54" t="str">
        <x:v>ADMITTED</x:v>
      </x:c>
      <x:c r="F716" s="55" t="n">
        <x:v>31663</x:v>
      </x:c>
      <x:c r="G716" s="55" t="n">
        <x:v>7443</x:v>
      </x:c>
      <x:c r="H716" s="55" t="n">
        <x:v>3112</x:v>
      </x:c>
      <x:c r="I716" s="55" t="n">
        <x:v>1398</x:v>
      </x:c>
      <x:c r="J716" s="55" t="n">
        <x:v>307</x:v>
      </x:c>
      <x:c r="K716" s="55" t="n">
        <x:v>31663</x:v>
      </x:c>
      <x:c r="L716" s="55" t="n">
        <x:v>7083</x:v>
      </x:c>
      <x:c r="M716" s="55" t="n">
        <x:v>1692</x:v>
      </x:c>
      <x:c r="N716" s="55" t="n">
        <x:v>3150</x:v>
      </x:c>
      <x:c r="O716" s="55" t="n">
        <x:v>2241</x:v>
      </x:c>
      <x:c r="P716" s="55" t="n">
        <x:v>1018</x:v>
      </x:c>
      <x:c r="Q716" s="55" t="n">
        <x:v>2583</x:v>
      </x:c>
      <x:c r="R716" s="55" t="n">
        <x:v>1851</x:v>
      </x:c>
      <x:c r="S716" s="55" t="n">
        <x:v>3191</x:v>
      </x:c>
      <x:c r="T716" s="55" t="n">
        <x:v>1460</x:v>
      </x:c>
      <x:c r="U716" s="55" t="n">
        <x:v>2684</x:v>
      </x:c>
      <x:c r="V716" s="55" t="n">
        <x:v>10302</x:v>
      </x:c>
      <x:c r="W716" s="55" t="n">
        <x:v>7351</x:v>
      </x:c>
      <x:c r="X716" s="55" t="n">
        <x:v>2951</x:v>
      </x:c>
      <x:c r="Y716" s="55" t="n">
        <x:v>2512</x:v>
      </x:c>
      <x:c r="Z716" s="55" t="n">
        <x:v>3227</x:v>
      </x:c>
      <x:c r="AA716" s="55" t="n">
        <x:v>3077</x:v>
      </x:c>
      <x:c r="AB716" s="55" t="n">
        <x:v>974</x:v>
      </x:c>
      <x:c r="AC716" s="55" t="n">
        <x:v>7721</x:v>
      </x:c>
      <x:c r="AD716" s="55" t="n">
        <x:v>2805</x:v>
      </x:c>
      <x:c r="AE716" s="55" t="n">
        <x:v>10408</x:v>
      </x:c>
      <x:c r="AF716" s="55" t="n">
        <x:v>10302</x:v>
      </x:c>
      <x:c r="AG716" s="55" t="n">
        <x:v>106</x:v>
      </x:c>
      <x:c r="AH716" s="55" t="n">
        <x:v>512</x:v>
      </x:c>
      <x:c r="AI716" s="55" t="n">
        <x:v>9790</x:v>
      </x:c>
      <x:c r="AJ716" s="55" t="n">
        <x:v>431</x:v>
      </x:c>
      <x:c r="AK716" s="55" t="n">
        <x:v>1053</x:v>
      </x:c>
      <x:c r="AL716" s="55" t="n">
        <x:v>1327</x:v>
      </x:c>
      <x:c r="AM716" s="55" t="n">
        <x:v>4736</x:v>
      </x:c>
      <x:c r="AN716" s="55" t="n">
        <x:v>2744</x:v>
      </x:c>
      <x:c r="AO716" s="55" t="n">
        <x:v>11</x:v>
      </x:c>
      <x:c r="AP716" s="55" t="n">
        <x:v>2758</x:v>
      </x:c>
      <x:c r="AQ716" s="55" t="n">
        <x:v>1057</x:v>
      </x:c>
    </x:row>
    <x:row r="717">
      <x:c r="A717" s="54" t="str">
        <x:v>T2_CONCORDANT_DOMAIN</x:v>
      </x:c>
      <x:c r="B717" s="54" t="n">
        <x:v>711</x:v>
      </x:c>
      <x:c r="C717" s="54" t="str">
        <x:v>NYC-V2-R01</x:v>
      </x:c>
      <x:c r="D717" s="54" t="str">
        <x:v>V2</x:v>
      </x:c>
      <x:c r="E717" s="54" t="str">
        <x:v>ADMITTED</x:v>
      </x:c>
      <x:c r="F717" s="55" t="n">
        <x:v>31739</x:v>
      </x:c>
      <x:c r="G717" s="55" t="n">
        <x:v>6181</x:v>
      </x:c>
      <x:c r="H717" s="55" t="n">
        <x:v>3395</x:v>
      </x:c>
      <x:c r="I717" s="55" t="n">
        <x:v>1171</x:v>
      </x:c>
      <x:c r="J717" s="55" t="n">
        <x:v>250</x:v>
      </x:c>
      <x:c r="K717" s="55" t="n">
        <x:v>31739</x:v>
      </x:c>
      <x:c r="L717" s="55" t="n">
        <x:v>5508</x:v>
      </x:c>
      <x:c r="M717" s="55" t="n">
        <x:v>1026</x:v>
      </x:c>
      <x:c r="N717" s="55" t="n">
        <x:v>2701</x:v>
      </x:c>
      <x:c r="O717" s="55" t="n">
        <x:v>1781</x:v>
      </x:c>
      <x:c r="P717" s="55" t="n">
        <x:v>387</x:v>
      </x:c>
      <x:c r="Q717" s="55" t="n">
        <x:v>2620</x:v>
      </x:c>
      <x:c r="R717" s="55" t="n">
        <x:v>1877</x:v>
      </x:c>
      <x:c r="S717" s="55" t="n">
        <x:v>2779</x:v>
      </x:c>
      <x:c r="T717" s="55" t="n">
        <x:v>1131</x:v>
      </x:c>
      <x:c r="U717" s="55" t="n">
        <x:v>1698</x:v>
      </x:c>
      <x:c r="V717" s="55" t="n">
        <x:v>10319</x:v>
      </x:c>
      <x:c r="W717" s="55" t="n">
        <x:v>7090</x:v>
      </x:c>
      <x:c r="X717" s="55" t="n">
        <x:v>3229</x:v>
      </x:c>
      <x:c r="Y717" s="55" t="n">
        <x:v>2814</x:v>
      </x:c>
      <x:c r="Z717" s="55" t="n">
        <x:v>3609</x:v>
      </x:c>
      <x:c r="AA717" s="55" t="n">
        <x:v>2857</x:v>
      </x:c>
      <x:c r="AB717" s="55" t="n">
        <x:v>964</x:v>
      </x:c>
      <x:c r="AC717" s="55" t="n">
        <x:v>7858</x:v>
      </x:c>
      <x:c r="AD717" s="55" t="n">
        <x:v>2586</x:v>
      </x:c>
      <x:c r="AE717" s="55" t="n">
        <x:v>10395</x:v>
      </x:c>
      <x:c r="AF717" s="55" t="n">
        <x:v>10319</x:v>
      </x:c>
      <x:c r="AG717" s="55" t="n">
        <x:v>76</x:v>
      </x:c>
      <x:c r="AH717" s="55" t="n">
        <x:v>325</x:v>
      </x:c>
      <x:c r="AI717" s="55" t="n">
        <x:v>9994</x:v>
      </x:c>
      <x:c r="AJ717" s="55" t="n">
        <x:v>300</x:v>
      </x:c>
      <x:c r="AK717" s="55" t="n">
        <x:v>700</x:v>
      </x:c>
      <x:c r="AL717" s="55" t="n">
        <x:v>1808</x:v>
      </x:c>
      <x:c r="AM717" s="55" t="n">
        <x:v>5182</x:v>
      </x:c>
      <x:c r="AN717" s="55" t="n">
        <x:v>2329</x:v>
      </x:c>
      <x:c r="AO717" s="55" t="n">
        <x:v>0</x:v>
      </x:c>
      <x:c r="AP717" s="55" t="n">
        <x:v>2155</x:v>
      </x:c>
      <x:c r="AQ717" s="55" t="n">
        <x:v>952</x:v>
      </x:c>
    </x:row>
    <x:row r="718">
      <x:c r="A718" s="54" t="str">
        <x:v>T2_CONCORDANT_DOMAIN</x:v>
      </x:c>
      <x:c r="B718" s="54" t="n">
        <x:v>712</x:v>
      </x:c>
      <x:c r="C718" s="54" t="str">
        <x:v>NYC-V2-R01</x:v>
      </x:c>
      <x:c r="D718" s="54" t="str">
        <x:v>V2</x:v>
      </x:c>
      <x:c r="E718" s="54" t="str">
        <x:v>ADMITTED</x:v>
      </x:c>
      <x:c r="F718" s="55" t="n">
        <x:v>29309</x:v>
      </x:c>
      <x:c r="G718" s="55" t="n">
        <x:v>7294</x:v>
      </x:c>
      <x:c r="H718" s="55" t="n">
        <x:v>2997</x:v>
      </x:c>
      <x:c r="I718" s="55" t="n">
        <x:v>843</x:v>
      </x:c>
      <x:c r="J718" s="55" t="n">
        <x:v>0</x:v>
      </x:c>
      <x:c r="K718" s="55" t="n">
        <x:v>29152</x:v>
      </x:c>
      <x:c r="L718" s="55" t="n">
        <x:v>4896</x:v>
      </x:c>
      <x:c r="M718" s="55" t="n">
        <x:v>736</x:v>
      </x:c>
      <x:c r="N718" s="55" t="n">
        <x:v>2503</x:v>
      </x:c>
      <x:c r="O718" s="55" t="n">
        <x:v>1657</x:v>
      </x:c>
      <x:c r="P718" s="55" t="n">
        <x:v>519</x:v>
      </x:c>
      <x:c r="Q718" s="55" t="n">
        <x:v>2420</x:v>
      </x:c>
      <x:c r="R718" s="55" t="n">
        <x:v>1933</x:v>
      </x:c>
      <x:c r="S718" s="55" t="n">
        <x:v>3036</x:v>
      </x:c>
      <x:c r="T718" s="55" t="n">
        <x:v>1192</x:v>
      </x:c>
      <x:c r="U718" s="55" t="n">
        <x:v>2073</x:v>
      </x:c>
      <x:c r="V718" s="55" t="n">
        <x:v>10523</x:v>
      </x:c>
      <x:c r="W718" s="55" t="n">
        <x:v>7662</x:v>
      </x:c>
      <x:c r="X718" s="55" t="n">
        <x:v>2861</x:v>
      </x:c>
      <x:c r="Y718" s="55" t="n">
        <x:v>2596</x:v>
      </x:c>
      <x:c r="Z718" s="55" t="n">
        <x:v>3889</x:v>
      </x:c>
      <x:c r="AA718" s="55" t="n">
        <x:v>2997</x:v>
      </x:c>
      <x:c r="AB718" s="55" t="n">
        <x:v>769</x:v>
      </x:c>
      <x:c r="AC718" s="55" t="n">
        <x:v>7593</x:v>
      </x:c>
      <x:c r="AD718" s="55" t="n">
        <x:v>2540</x:v>
      </x:c>
      <x:c r="AE718" s="55" t="n">
        <x:v>10538</x:v>
      </x:c>
      <x:c r="AF718" s="55" t="n">
        <x:v>10523</x:v>
      </x:c>
      <x:c r="AG718" s="55" t="n">
        <x:v>15</x:v>
      </x:c>
      <x:c r="AH718" s="55" t="n">
        <x:v>195</x:v>
      </x:c>
      <x:c r="AI718" s="55" t="n">
        <x:v>10328</x:v>
      </x:c>
      <x:c r="AJ718" s="55" t="n">
        <x:v>238</x:v>
      </x:c>
      <x:c r="AK718" s="55" t="n">
        <x:v>1207</x:v>
      </x:c>
      <x:c r="AL718" s="55" t="n">
        <x:v>1484</x:v>
      </x:c>
      <x:c r="AM718" s="55" t="n">
        <x:v>5144</x:v>
      </x:c>
      <x:c r="AN718" s="55" t="n">
        <x:v>2450</x:v>
      </x:c>
      <x:c r="AO718" s="55" t="n">
        <x:v>0</x:v>
      </x:c>
      <x:c r="AP718" s="55" t="n">
        <x:v>1880</x:v>
      </x:c>
      <x:c r="AQ718" s="55" t="n">
        <x:v>912</x:v>
      </x:c>
    </x:row>
    <x:row r="719">
      <x:c r="A719" s="54" t="str">
        <x:v>T2_CONCORDANT_DOMAIN</x:v>
      </x:c>
      <x:c r="B719" s="54" t="n">
        <x:v>713</x:v>
      </x:c>
      <x:c r="C719" s="54" t="str">
        <x:v>NYC-V2-R01</x:v>
      </x:c>
      <x:c r="D719" s="54" t="str">
        <x:v>V2</x:v>
      </x:c>
      <x:c r="E719" s="54" t="str">
        <x:v>ADMITTED</x:v>
      </x:c>
      <x:c r="F719" s="55" t="n">
        <x:v>30702</x:v>
      </x:c>
      <x:c r="G719" s="55" t="n">
        <x:v>7210</x:v>
      </x:c>
      <x:c r="H719" s="55" t="n">
        <x:v>3616</x:v>
      </x:c>
      <x:c r="I719" s="55" t="n">
        <x:v>1602</x:v>
      </x:c>
      <x:c r="J719" s="55" t="n">
        <x:v>484</x:v>
      </x:c>
      <x:c r="K719" s="55" t="n">
        <x:v>29740</x:v>
      </x:c>
      <x:c r="L719" s="55" t="n">
        <x:v>5096</x:v>
      </x:c>
      <x:c r="M719" s="55" t="n">
        <x:v>1061</x:v>
      </x:c>
      <x:c r="N719" s="55" t="n">
        <x:v>2332</x:v>
      </x:c>
      <x:c r="O719" s="55" t="n">
        <x:v>1703</x:v>
      </x:c>
      <x:c r="P719" s="55" t="n">
        <x:v>849</x:v>
      </x:c>
      <x:c r="Q719" s="55" t="n">
        <x:v>1295</x:v>
      </x:c>
      <x:c r="R719" s="55" t="n">
        <x:v>1737</x:v>
      </x:c>
      <x:c r="S719" s="55" t="n">
        <x:v>2848</x:v>
      </x:c>
      <x:c r="T719" s="55" t="n">
        <x:v>1018</x:v>
      </x:c>
      <x:c r="U719" s="55" t="n">
        <x:v>2007</x:v>
      </x:c>
      <x:c r="V719" s="55" t="n">
        <x:v>10725</x:v>
      </x:c>
      <x:c r="W719" s="55" t="n">
        <x:v>7556</x:v>
      </x:c>
      <x:c r="X719" s="55" t="n">
        <x:v>3169</x:v>
      </x:c>
      <x:c r="Y719" s="55" t="n">
        <x:v>2884</x:v>
      </x:c>
      <x:c r="Z719" s="55" t="n">
        <x:v>4183</x:v>
      </x:c>
      <x:c r="AA719" s="55" t="n">
        <x:v>3360</x:v>
      </x:c>
      <x:c r="AB719" s="55" t="n">
        <x:v>1290</x:v>
      </x:c>
      <x:c r="AC719" s="55" t="n">
        <x:v>7872</x:v>
      </x:c>
      <x:c r="AD719" s="55" t="n">
        <x:v>3346</x:v>
      </x:c>
      <x:c r="AE719" s="55" t="n">
        <x:v>10811</x:v>
      </x:c>
      <x:c r="AF719" s="55" t="n">
        <x:v>10725</x:v>
      </x:c>
      <x:c r="AG719" s="55" t="n">
        <x:v>86</x:v>
      </x:c>
      <x:c r="AH719" s="55" t="n">
        <x:v>530</x:v>
      </x:c>
      <x:c r="AI719" s="55" t="n">
        <x:v>10195</x:v>
      </x:c>
      <x:c r="AJ719" s="55" t="n">
        <x:v>347</x:v>
      </x:c>
      <x:c r="AK719" s="55" t="n">
        <x:v>1126</x:v>
      </x:c>
      <x:c r="AL719" s="55" t="n">
        <x:v>2000</x:v>
      </x:c>
      <x:c r="AM719" s="55" t="n">
        <x:v>4687</x:v>
      </x:c>
      <x:c r="AN719" s="55" t="n">
        <x:v>2543</x:v>
      </x:c>
      <x:c r="AO719" s="55" t="n">
        <x:v>22</x:v>
      </x:c>
      <x:c r="AP719" s="55" t="n">
        <x:v>1863</x:v>
      </x:c>
      <x:c r="AQ719" s="55" t="n">
        <x:v>966</x:v>
      </x:c>
    </x:row>
    <x:row r="720">
      <x:c r="A720" s="54" t="str">
        <x:v>T2_CONCORDANT_DOMAIN</x:v>
      </x:c>
      <x:c r="B720" s="54" t="n">
        <x:v>714</x:v>
      </x:c>
      <x:c r="C720" s="54" t="str">
        <x:v>NYC-V2-R01</x:v>
      </x:c>
      <x:c r="D720" s="54" t="str">
        <x:v>V2</x:v>
      </x:c>
      <x:c r="E720" s="54" t="str">
        <x:v>ADMITTED</x:v>
      </x:c>
      <x:c r="F720" s="55" t="n">
        <x:v>33758</x:v>
      </x:c>
      <x:c r="G720" s="55" t="n">
        <x:v>8580</x:v>
      </x:c>
      <x:c r="H720" s="55" t="n">
        <x:v>3866</x:v>
      </x:c>
      <x:c r="I720" s="55" t="n">
        <x:v>1830</x:v>
      </x:c>
      <x:c r="J720" s="55" t="n">
        <x:v>414</x:v>
      </x:c>
      <x:c r="K720" s="55" t="n">
        <x:v>33279</x:v>
      </x:c>
      <x:c r="L720" s="55" t="n">
        <x:v>6765</x:v>
      </x:c>
      <x:c r="M720" s="55" t="n">
        <x:v>1880</x:v>
      </x:c>
      <x:c r="N720" s="55" t="n">
        <x:v>2766</x:v>
      </x:c>
      <x:c r="O720" s="55" t="n">
        <x:v>2119</x:v>
      </x:c>
      <x:c r="P720" s="55" t="n">
        <x:v>1012</x:v>
      </x:c>
      <x:c r="Q720" s="55" t="n">
        <x:v>2370</x:v>
      </x:c>
      <x:c r="R720" s="55" t="n">
        <x:v>2222</x:v>
      </x:c>
      <x:c r="S720" s="55" t="n">
        <x:v>2869</x:v>
      </x:c>
      <x:c r="T720" s="55" t="n">
        <x:v>1547</x:v>
      </x:c>
      <x:c r="U720" s="55" t="n">
        <x:v>2628</x:v>
      </x:c>
      <x:c r="V720" s="55" t="n">
        <x:v>10659</x:v>
      </x:c>
      <x:c r="W720" s="55" t="n">
        <x:v>7568</x:v>
      </x:c>
      <x:c r="X720" s="55" t="n">
        <x:v>3091</x:v>
      </x:c>
      <x:c r="Y720" s="55" t="n">
        <x:v>2681</x:v>
      </x:c>
      <x:c r="Z720" s="55" t="n">
        <x:v>3866</x:v>
      </x:c>
      <x:c r="AA720" s="55" t="n">
        <x:v>3866</x:v>
      </x:c>
      <x:c r="AB720" s="55" t="n">
        <x:v>1567</x:v>
      </x:c>
      <x:c r="AC720" s="55" t="n">
        <x:v>7962</x:v>
      </x:c>
      <x:c r="AD720" s="55" t="n">
        <x:v>2739</x:v>
      </x:c>
      <x:c r="AE720" s="55" t="n">
        <x:v>10780</x:v>
      </x:c>
      <x:c r="AF720" s="55" t="n">
        <x:v>10659</x:v>
      </x:c>
      <x:c r="AG720" s="55" t="n">
        <x:v>121</x:v>
      </x:c>
      <x:c r="AH720" s="55" t="n">
        <x:v>344</x:v>
      </x:c>
      <x:c r="AI720" s="55" t="n">
        <x:v>10315</x:v>
      </x:c>
      <x:c r="AJ720" s="55" t="n">
        <x:v>378</x:v>
      </x:c>
      <x:c r="AK720" s="55" t="n">
        <x:v>964</x:v>
      </x:c>
      <x:c r="AL720" s="55" t="n">
        <x:v>1748</x:v>
      </x:c>
      <x:c r="AM720" s="55" t="n">
        <x:v>4818</x:v>
      </x:c>
      <x:c r="AN720" s="55" t="n">
        <x:v>2714</x:v>
      </x:c>
      <x:c r="AO720" s="55" t="n">
        <x:v>37</x:v>
      </x:c>
      <x:c r="AP720" s="55" t="n">
        <x:v>2216</x:v>
      </x:c>
      <x:c r="AQ720" s="55" t="n">
        <x:v>980</x:v>
      </x:c>
    </x:row>
    <x:row r="721">
      <x:c r="A721" s="54" t="str">
        <x:v>T2_CONCORDANT_DOMAIN</x:v>
      </x:c>
      <x:c r="B721" s="54" t="n">
        <x:v>715</x:v>
      </x:c>
      <x:c r="C721" s="54" t="str">
        <x:v>NYC-V2-R01</x:v>
      </x:c>
      <x:c r="D721" s="54" t="str">
        <x:v>V2</x:v>
      </x:c>
      <x:c r="E721" s="54" t="str">
        <x:v>ADMITTED</x:v>
      </x:c>
      <x:c r="F721" s="55" t="n">
        <x:v>31524</x:v>
      </x:c>
      <x:c r="G721" s="55" t="n">
        <x:v>8050</x:v>
      </x:c>
      <x:c r="H721" s="55" t="n">
        <x:v>3013</x:v>
      </x:c>
      <x:c r="I721" s="55" t="n">
        <x:v>921</x:v>
      </x:c>
      <x:c r="J721" s="55" t="n">
        <x:v>238</x:v>
      </x:c>
      <x:c r="K721" s="55" t="n">
        <x:v>29141</x:v>
      </x:c>
      <x:c r="L721" s="55" t="n">
        <x:v>6198</x:v>
      </x:c>
      <x:c r="M721" s="55" t="n">
        <x:v>1793</x:v>
      </x:c>
      <x:c r="N721" s="55" t="n">
        <x:v>3160</x:v>
      </x:c>
      <x:c r="O721" s="55" t="n">
        <x:v>1245</x:v>
      </x:c>
      <x:c r="P721" s="55" t="n">
        <x:v>1263</x:v>
      </x:c>
      <x:c r="Q721" s="55" t="n">
        <x:v>2668</x:v>
      </x:c>
      <x:c r="R721" s="55" t="n">
        <x:v>2132</x:v>
      </x:c>
      <x:c r="S721" s="55" t="n">
        <x:v>2614</x:v>
      </x:c>
      <x:c r="T721" s="55" t="n">
        <x:v>911</x:v>
      </x:c>
      <x:c r="U721" s="55" t="n">
        <x:v>2211</x:v>
      </x:c>
      <x:c r="V721" s="55" t="n">
        <x:v>10182</x:v>
      </x:c>
      <x:c r="W721" s="55" t="n">
        <x:v>6695</x:v>
      </x:c>
      <x:c r="X721" s="55" t="n">
        <x:v>3487</x:v>
      </x:c>
      <x:c r="Y721" s="55" t="n">
        <x:v>2996</x:v>
      </x:c>
      <x:c r="Z721" s="55" t="n">
        <x:v>3458</x:v>
      </x:c>
      <x:c r="AA721" s="55" t="n">
        <x:v>3013</x:v>
      </x:c>
      <x:c r="AB721" s="55" t="n">
        <x:v>840</x:v>
      </x:c>
      <x:c r="AC721" s="55" t="n">
        <x:v>8478</x:v>
      </x:c>
      <x:c r="AD721" s="55" t="n">
        <x:v>2684</x:v>
      </x:c>
      <x:c r="AE721" s="55" t="n">
        <x:v>10326</x:v>
      </x:c>
      <x:c r="AF721" s="55" t="n">
        <x:v>10182</x:v>
      </x:c>
      <x:c r="AG721" s="55" t="n">
        <x:v>144</x:v>
      </x:c>
      <x:c r="AH721" s="55" t="n">
        <x:v>348</x:v>
      </x:c>
      <x:c r="AI721" s="55" t="n">
        <x:v>9834</x:v>
      </x:c>
      <x:c r="AJ721" s="55" t="n">
        <x:v>350</x:v>
      </x:c>
      <x:c r="AK721" s="55" t="n">
        <x:v>663</x:v>
      </x:c>
      <x:c r="AL721" s="55" t="n">
        <x:v>1563</x:v>
      </x:c>
      <x:c r="AM721" s="55" t="n">
        <x:v>5014</x:v>
      </x:c>
      <x:c r="AN721" s="55" t="n">
        <x:v>2592</x:v>
      </x:c>
      <x:c r="AO721" s="55" t="n">
        <x:v>0</x:v>
      </x:c>
      <x:c r="AP721" s="55" t="n">
        <x:v>2390</x:v>
      </x:c>
      <x:c r="AQ721" s="55" t="n">
        <x:v>970</x:v>
      </x:c>
    </x:row>
    <x:row r="722">
      <x:c r="A722" s="54" t="str">
        <x:v>T2_CONCORDANT_DOMAIN</x:v>
      </x:c>
      <x:c r="B722" s="54" t="n">
        <x:v>716</x:v>
      </x:c>
      <x:c r="C722" s="54" t="str">
        <x:v>NYC-V2-R01</x:v>
      </x:c>
      <x:c r="D722" s="54" t="str">
        <x:v>V2</x:v>
      </x:c>
      <x:c r="E722" s="54" t="str">
        <x:v>ADMITTED</x:v>
      </x:c>
      <x:c r="F722" s="55" t="n">
        <x:v>30257</x:v>
      </x:c>
      <x:c r="G722" s="55" t="n">
        <x:v>7880</x:v>
      </x:c>
      <x:c r="H722" s="55" t="n">
        <x:v>2790</x:v>
      </x:c>
      <x:c r="I722" s="55" t="n">
        <x:v>1135</x:v>
      </x:c>
      <x:c r="J722" s="55" t="n">
        <x:v>147</x:v>
      </x:c>
      <x:c r="K722" s="55" t="n">
        <x:v>30257</x:v>
      </x:c>
      <x:c r="L722" s="55" t="n">
        <x:v>5341</x:v>
      </x:c>
      <x:c r="M722" s="55" t="n">
        <x:v>1113</x:v>
      </x:c>
      <x:c r="N722" s="55" t="n">
        <x:v>2400</x:v>
      </x:c>
      <x:c r="O722" s="55" t="n">
        <x:v>1828</x:v>
      </x:c>
      <x:c r="P722" s="55" t="n">
        <x:v>809</x:v>
      </x:c>
      <x:c r="Q722" s="55" t="n">
        <x:v>1350</x:v>
      </x:c>
      <x:c r="R722" s="55" t="n">
        <x:v>1458</x:v>
      </x:c>
      <x:c r="S722" s="55" t="n">
        <x:v>2319</x:v>
      </x:c>
      <x:c r="T722" s="55" t="n">
        <x:v>1194</x:v>
      </x:c>
      <x:c r="U722" s="55" t="n">
        <x:v>2242</x:v>
      </x:c>
      <x:c r="V722" s="55" t="n">
        <x:v>10321</x:v>
      </x:c>
      <x:c r="W722" s="55" t="n">
        <x:v>7475</x:v>
      </x:c>
      <x:c r="X722" s="55" t="n">
        <x:v>2846</x:v>
      </x:c>
      <x:c r="Y722" s="55" t="n">
        <x:v>2347</x:v>
      </x:c>
      <x:c r="Z722" s="55" t="n">
        <x:v>3152</x:v>
      </x:c>
      <x:c r="AA722" s="55" t="n">
        <x:v>2549</x:v>
      </x:c>
      <x:c r="AB722" s="55" t="n">
        <x:v>813</x:v>
      </x:c>
      <x:c r="AC722" s="55" t="n">
        <x:v>8088</x:v>
      </x:c>
      <x:c r="AD722" s="55" t="n">
        <x:v>2579</x:v>
      </x:c>
      <x:c r="AE722" s="55" t="n">
        <x:v>10430</x:v>
      </x:c>
      <x:c r="AF722" s="55" t="n">
        <x:v>10321</x:v>
      </x:c>
      <x:c r="AG722" s="55" t="n">
        <x:v>109</x:v>
      </x:c>
      <x:c r="AH722" s="55" t="n">
        <x:v>535</x:v>
      </x:c>
      <x:c r="AI722" s="55" t="n">
        <x:v>9786</x:v>
      </x:c>
      <x:c r="AJ722" s="55" t="n">
        <x:v>265</x:v>
      </x:c>
      <x:c r="AK722" s="55" t="n">
        <x:v>1001</x:v>
      </x:c>
      <x:c r="AL722" s="55" t="n">
        <x:v>1630</x:v>
      </x:c>
      <x:c r="AM722" s="55" t="n">
        <x:v>4688</x:v>
      </x:c>
      <x:c r="AN722" s="55" t="n">
        <x:v>2668</x:v>
      </x:c>
      <x:c r="AO722" s="55" t="n">
        <x:v>69</x:v>
      </x:c>
      <x:c r="AP722" s="55" t="n">
        <x:v>2360</x:v>
      </x:c>
      <x:c r="AQ722" s="55" t="n">
        <x:v>972</x:v>
      </x:c>
    </x:row>
    <x:row r="723">
      <x:c r="A723" s="54" t="str">
        <x:v>T2_CONCORDANT_DOMAIN</x:v>
      </x:c>
      <x:c r="B723" s="54" t="n">
        <x:v>717</x:v>
      </x:c>
      <x:c r="C723" s="54" t="str">
        <x:v>NYC-V2-R01</x:v>
      </x:c>
      <x:c r="D723" s="54" t="str">
        <x:v>V2</x:v>
      </x:c>
      <x:c r="E723" s="54" t="str">
        <x:v>ADMITTED</x:v>
      </x:c>
      <x:c r="F723" s="55" t="n">
        <x:v>33040</x:v>
      </x:c>
      <x:c r="G723" s="55" t="n">
        <x:v>9351</x:v>
      </x:c>
      <x:c r="H723" s="55" t="n">
        <x:v>3337</x:v>
      </x:c>
      <x:c r="I723" s="55" t="n">
        <x:v>1076</x:v>
      </x:c>
      <x:c r="J723" s="55" t="n">
        <x:v>218</x:v>
      </x:c>
      <x:c r="K723" s="55" t="n">
        <x:v>32292</x:v>
      </x:c>
      <x:c r="L723" s="55" t="n">
        <x:v>6533</x:v>
      </x:c>
      <x:c r="M723" s="55" t="n">
        <x:v>1554</x:v>
      </x:c>
      <x:c r="N723" s="55" t="n">
        <x:v>3377</x:v>
      </x:c>
      <x:c r="O723" s="55" t="n">
        <x:v>1602</x:v>
      </x:c>
      <x:c r="P723" s="55" t="n">
        <x:v>974</x:v>
      </x:c>
      <x:c r="Q723" s="55" t="n">
        <x:v>2414</x:v>
      </x:c>
      <x:c r="R723" s="55" t="n">
        <x:v>1989</x:v>
      </x:c>
      <x:c r="S723" s="55" t="n">
        <x:v>3154</x:v>
      </x:c>
      <x:c r="T723" s="55" t="n">
        <x:v>1639</x:v>
      </x:c>
      <x:c r="U723" s="55" t="n">
        <x:v>2126</x:v>
      </x:c>
      <x:c r="V723" s="55" t="n">
        <x:v>10916</x:v>
      </x:c>
      <x:c r="W723" s="55" t="n">
        <x:v>7489</x:v>
      </x:c>
      <x:c r="X723" s="55" t="n">
        <x:v>3427</x:v>
      </x:c>
      <x:c r="Y723" s="55" t="n">
        <x:v>3153</x:v>
      </x:c>
      <x:c r="Z723" s="55" t="n">
        <x:v>3783</x:v>
      </x:c>
      <x:c r="AA723" s="55" t="n">
        <x:v>3337</x:v>
      </x:c>
      <x:c r="AB723" s="55" t="n">
        <x:v>1170</x:v>
      </x:c>
      <x:c r="AC723" s="55" t="n">
        <x:v>7934</x:v>
      </x:c>
      <x:c r="AD723" s="55" t="n">
        <x:v>2951</x:v>
      </x:c>
      <x:c r="AE723" s="55" t="n">
        <x:v>10993</x:v>
      </x:c>
      <x:c r="AF723" s="55" t="n">
        <x:v>10916</x:v>
      </x:c>
      <x:c r="AG723" s="55" t="n">
        <x:v>77</x:v>
      </x:c>
      <x:c r="AH723" s="55" t="n">
        <x:v>517</x:v>
      </x:c>
      <x:c r="AI723" s="55" t="n">
        <x:v>10399</x:v>
      </x:c>
      <x:c r="AJ723" s="55" t="n">
        <x:v>315</x:v>
      </x:c>
      <x:c r="AK723" s="55" t="n">
        <x:v>1194</x:v>
      </x:c>
      <x:c r="AL723" s="55" t="n">
        <x:v>1741</x:v>
      </x:c>
      <x:c r="AM723" s="55" t="n">
        <x:v>4871</x:v>
      </x:c>
      <x:c r="AN723" s="55" t="n">
        <x:v>2745</x:v>
      </x:c>
      <x:c r="AO723" s="55" t="n">
        <x:v>50</x:v>
      </x:c>
      <x:c r="AP723" s="55" t="n">
        <x:v>2394</x:v>
      </x:c>
      <x:c r="AQ723" s="55" t="n">
        <x:v>987</x:v>
      </x:c>
    </x:row>
    <x:row r="724">
      <x:c r="A724" s="54" t="str">
        <x:v>T2_CONCORDANT_DOMAIN</x:v>
      </x:c>
      <x:c r="B724" s="54" t="n">
        <x:v>718</x:v>
      </x:c>
      <x:c r="C724" s="54" t="str">
        <x:v>NYC-V2-R01</x:v>
      </x:c>
      <x:c r="D724" s="54" t="str">
        <x:v>V2</x:v>
      </x:c>
      <x:c r="E724" s="54" t="str">
        <x:v>ADMITTED</x:v>
      </x:c>
      <x:c r="F724" s="55" t="n">
        <x:v>31893</x:v>
      </x:c>
      <x:c r="G724" s="55" t="n">
        <x:v>7759</x:v>
      </x:c>
      <x:c r="H724" s="55" t="n">
        <x:v>3617</x:v>
      </x:c>
      <x:c r="I724" s="55" t="n">
        <x:v>1671</x:v>
      </x:c>
      <x:c r="J724" s="55" t="n">
        <x:v>257</x:v>
      </x:c>
      <x:c r="K724" s="55" t="n">
        <x:v>31893</x:v>
      </x:c>
      <x:c r="L724" s="55" t="n">
        <x:v>5079</x:v>
      </x:c>
      <x:c r="M724" s="55" t="n">
        <x:v>753</x:v>
      </x:c>
      <x:c r="N724" s="55" t="n">
        <x:v>2680</x:v>
      </x:c>
      <x:c r="O724" s="55" t="n">
        <x:v>1646</x:v>
      </x:c>
      <x:c r="P724" s="55" t="n">
        <x:v>665</x:v>
      </x:c>
      <x:c r="Q724" s="55" t="n">
        <x:v>1678</x:v>
      </x:c>
      <x:c r="R724" s="55" t="n">
        <x:v>1907</x:v>
      </x:c>
      <x:c r="S724" s="55" t="n">
        <x:v>2272</x:v>
      </x:c>
      <x:c r="T724" s="55" t="n">
        <x:v>1046</x:v>
      </x:c>
      <x:c r="U724" s="55" t="n">
        <x:v>2293</x:v>
      </x:c>
      <x:c r="V724" s="55" t="n">
        <x:v>11136</x:v>
      </x:c>
      <x:c r="W724" s="55" t="n">
        <x:v>8198</x:v>
      </x:c>
      <x:c r="X724" s="55" t="n">
        <x:v>2938</x:v>
      </x:c>
      <x:c r="Y724" s="55" t="n">
        <x:v>2525</x:v>
      </x:c>
      <x:c r="Z724" s="55" t="n">
        <x:v>3976</x:v>
      </x:c>
      <x:c r="AA724" s="55" t="n">
        <x:v>3319</x:v>
      </x:c>
      <x:c r="AB724" s="55" t="n">
        <x:v>1330</x:v>
      </x:c>
      <x:c r="AC724" s="55" t="n">
        <x:v>8625</x:v>
      </x:c>
      <x:c r="AD724" s="55" t="n">
        <x:v>3016</x:v>
      </x:c>
      <x:c r="AE724" s="55" t="n">
        <x:v>11247</x:v>
      </x:c>
      <x:c r="AF724" s="55" t="n">
        <x:v>11136</x:v>
      </x:c>
      <x:c r="AG724" s="55" t="n">
        <x:v>111</x:v>
      </x:c>
      <x:c r="AH724" s="55" t="n">
        <x:v>559</x:v>
      </x:c>
      <x:c r="AI724" s="55" t="n">
        <x:v>10577</x:v>
      </x:c>
      <x:c r="AJ724" s="55" t="n">
        <x:v>247</x:v>
      </x:c>
      <x:c r="AK724" s="55" t="n">
        <x:v>1135</x:v>
      </x:c>
      <x:c r="AL724" s="55" t="n">
        <x:v>1432</x:v>
      </x:c>
      <x:c r="AM724" s="55" t="n">
        <x:v>4966</x:v>
      </x:c>
      <x:c r="AN724" s="55" t="n">
        <x:v>3299</x:v>
      </x:c>
      <x:c r="AO724" s="55" t="n">
        <x:v>57</x:v>
      </x:c>
      <x:c r="AP724" s="55" t="n">
        <x:v>2778</x:v>
      </x:c>
      <x:c r="AQ724" s="55" t="n">
        <x:v>970</x:v>
      </x:c>
    </x:row>
    <x:row r="725">
      <x:c r="A725" s="54" t="str">
        <x:v>T2_CONCORDANT_DOMAIN</x:v>
      </x:c>
      <x:c r="B725" s="54" t="n">
        <x:v>719</x:v>
      </x:c>
      <x:c r="C725" s="54" t="str">
        <x:v>NYC-V2-R01</x:v>
      </x:c>
      <x:c r="D725" s="54" t="str">
        <x:v>V2</x:v>
      </x:c>
      <x:c r="E725" s="54" t="str">
        <x:v>ADMITTED</x:v>
      </x:c>
      <x:c r="F725" s="55" t="n">
        <x:v>29832</x:v>
      </x:c>
      <x:c r="G725" s="55" t="n">
        <x:v>6989</x:v>
      </x:c>
      <x:c r="H725" s="55" t="n">
        <x:v>3077</x:v>
      </x:c>
      <x:c r="I725" s="55" t="n">
        <x:v>827</x:v>
      </x:c>
      <x:c r="J725" s="55" t="n">
        <x:v>170</x:v>
      </x:c>
      <x:c r="K725" s="55" t="n">
        <x:v>28182</x:v>
      </x:c>
      <x:c r="L725" s="55" t="n">
        <x:v>3312</x:v>
      </x:c>
      <x:c r="M725" s="55" t="n">
        <x:v>0</x:v>
      </x:c>
      <x:c r="N725" s="55" t="n">
        <x:v>2065</x:v>
      </x:c>
      <x:c r="O725" s="55" t="n">
        <x:v>1247</x:v>
      </x:c>
      <x:c r="P725" s="55" t="n">
        <x:v>513</x:v>
      </x:c>
      <x:c r="Q725" s="55" t="n">
        <x:v>1803</x:v>
      </x:c>
      <x:c r="R725" s="55" t="n">
        <x:v>1818</x:v>
      </x:c>
      <x:c r="S725" s="55" t="n">
        <x:v>2657</x:v>
      </x:c>
      <x:c r="T725" s="55" t="n">
        <x:v>893</x:v>
      </x:c>
      <x:c r="U725" s="55" t="n">
        <x:v>1586</x:v>
      </x:c>
      <x:c r="V725" s="55" t="n">
        <x:v>10401</x:v>
      </x:c>
      <x:c r="W725" s="55" t="n">
        <x:v>7706</x:v>
      </x:c>
      <x:c r="X725" s="55" t="n">
        <x:v>2695</x:v>
      </x:c>
      <x:c r="Y725" s="55" t="n">
        <x:v>2512</x:v>
      </x:c>
      <x:c r="Z725" s="55" t="n">
        <x:v>3444</x:v>
      </x:c>
      <x:c r="AA725" s="55" t="n">
        <x:v>3046</x:v>
      </x:c>
      <x:c r="AB725" s="55" t="n">
        <x:v>864</x:v>
      </x:c>
      <x:c r="AC725" s="55" t="n">
        <x:v>8118</x:v>
      </x:c>
      <x:c r="AD725" s="55" t="n">
        <x:v>2599</x:v>
      </x:c>
      <x:c r="AE725" s="55" t="n">
        <x:v>10412</x:v>
      </x:c>
      <x:c r="AF725" s="55" t="n">
        <x:v>10401</x:v>
      </x:c>
      <x:c r="AG725" s="55" t="n">
        <x:v>11</x:v>
      </x:c>
      <x:c r="AH725" s="55" t="n">
        <x:v>203</x:v>
      </x:c>
      <x:c r="AI725" s="55" t="n">
        <x:v>10198</x:v>
      </x:c>
      <x:c r="AJ725" s="55" t="n">
        <x:v>319</x:v>
      </x:c>
      <x:c r="AK725" s="55" t="n">
        <x:v>857</x:v>
      </x:c>
      <x:c r="AL725" s="55" t="n">
        <x:v>1513</x:v>
      </x:c>
      <x:c r="AM725" s="55" t="n">
        <x:v>4836</x:v>
      </x:c>
      <x:c r="AN725" s="55" t="n">
        <x:v>2876</x:v>
      </x:c>
      <x:c r="AO725" s="55" t="n">
        <x:v>0</x:v>
      </x:c>
      <x:c r="AP725" s="55" t="n">
        <x:v>1743</x:v>
      </x:c>
      <x:c r="AQ725" s="55" t="n">
        <x:v>933</x:v>
      </x:c>
    </x:row>
    <x:row r="726">
      <x:c r="A726" s="54" t="str">
        <x:v>T2_CONCORDANT_DOMAIN</x:v>
      </x:c>
      <x:c r="B726" s="54" t="n">
        <x:v>720</x:v>
      </x:c>
      <x:c r="C726" s="54" t="str">
        <x:v>NYC-V2-R01</x:v>
      </x:c>
      <x:c r="D726" s="54" t="str">
        <x:v>V2</x:v>
      </x:c>
      <x:c r="E726" s="54" t="str">
        <x:v>ADMITTED</x:v>
      </x:c>
      <x:c r="F726" s="55" t="n">
        <x:v>32521</x:v>
      </x:c>
      <x:c r="G726" s="55" t="n">
        <x:v>7410</x:v>
      </x:c>
      <x:c r="H726" s="55" t="n">
        <x:v>3420</x:v>
      </x:c>
      <x:c r="I726" s="55" t="n">
        <x:v>989</x:v>
      </x:c>
      <x:c r="J726" s="55" t="n">
        <x:v>157</x:v>
      </x:c>
      <x:c r="K726" s="55" t="n">
        <x:v>32521</x:v>
      </x:c>
      <x:c r="L726" s="55" t="n">
        <x:v>6016</x:v>
      </x:c>
      <x:c r="M726" s="55" t="n">
        <x:v>1841</x:v>
      </x:c>
      <x:c r="N726" s="55" t="n">
        <x:v>2395</x:v>
      </x:c>
      <x:c r="O726" s="55" t="n">
        <x:v>1780</x:v>
      </x:c>
      <x:c r="P726" s="55" t="n">
        <x:v>755</x:v>
      </x:c>
      <x:c r="Q726" s="55" t="n">
        <x:v>1407</x:v>
      </x:c>
      <x:c r="R726" s="55" t="n">
        <x:v>1634</x:v>
      </x:c>
      <x:c r="S726" s="55" t="n">
        <x:v>3006</x:v>
      </x:c>
      <x:c r="T726" s="55" t="n">
        <x:v>1059</x:v>
      </x:c>
      <x:c r="U726" s="55" t="n">
        <x:v>1704</x:v>
      </x:c>
      <x:c r="V726" s="55" t="n">
        <x:v>10419</x:v>
      </x:c>
      <x:c r="W726" s="55" t="n">
        <x:v>7538</x:v>
      </x:c>
      <x:c r="X726" s="55" t="n">
        <x:v>2881</x:v>
      </x:c>
      <x:c r="Y726" s="55" t="n">
        <x:v>2342</x:v>
      </x:c>
      <x:c r="Z726" s="55" t="n">
        <x:v>3647</x:v>
      </x:c>
      <x:c r="AA726" s="55" t="n">
        <x:v>3420</x:v>
      </x:c>
      <x:c r="AB726" s="55" t="n">
        <x:v>1314</x:v>
      </x:c>
      <x:c r="AC726" s="55" t="n">
        <x:v>8175</x:v>
      </x:c>
      <x:c r="AD726" s="55" t="n">
        <x:v>2519</x:v>
      </x:c>
      <x:c r="AE726" s="55" t="n">
        <x:v>10425</x:v>
      </x:c>
      <x:c r="AF726" s="55" t="n">
        <x:v>10419</x:v>
      </x:c>
      <x:c r="AG726" s="55" t="n">
        <x:v>6</x:v>
      </x:c>
      <x:c r="AH726" s="55" t="n">
        <x:v>552</x:v>
      </x:c>
      <x:c r="AI726" s="55" t="n">
        <x:v>9867</x:v>
      </x:c>
      <x:c r="AJ726" s="55" t="n">
        <x:v>290</x:v>
      </x:c>
      <x:c r="AK726" s="55" t="n">
        <x:v>1110</x:v>
      </x:c>
      <x:c r="AL726" s="55" t="n">
        <x:v>1697</x:v>
      </x:c>
      <x:c r="AM726" s="55" t="n">
        <x:v>4700</x:v>
      </x:c>
      <x:c r="AN726" s="55" t="n">
        <x:v>2576</x:v>
      </x:c>
      <x:c r="AO726" s="55" t="n">
        <x:v>46</x:v>
      </x:c>
      <x:c r="AP726" s="55" t="n">
        <x:v>2598</x:v>
      </x:c>
      <x:c r="AQ726" s="55" t="n">
        <x:v>937</x:v>
      </x:c>
    </x:row>
    <x:row r="727">
      <x:c r="A727" s="54" t="str">
        <x:v>T2_CONCORDANT_DOMAIN</x:v>
      </x:c>
      <x:c r="B727" s="54" t="n">
        <x:v>721</x:v>
      </x:c>
      <x:c r="C727" s="54" t="str">
        <x:v>NYC-V2-R01</x:v>
      </x:c>
      <x:c r="D727" s="54" t="str">
        <x:v>V2</x:v>
      </x:c>
      <x:c r="E727" s="54" t="str">
        <x:v>ADMITTED</x:v>
      </x:c>
      <x:c r="F727" s="55" t="n">
        <x:v>27856</x:v>
      </x:c>
      <x:c r="G727" s="55" t="n">
        <x:v>6338</x:v>
      </x:c>
      <x:c r="H727" s="55" t="n">
        <x:v>2968</x:v>
      </x:c>
      <x:c r="I727" s="55" t="n">
        <x:v>1210</x:v>
      </x:c>
      <x:c r="J727" s="55" t="n">
        <x:v>222</x:v>
      </x:c>
      <x:c r="K727" s="55" t="n">
        <x:v>27856</x:v>
      </x:c>
      <x:c r="L727" s="55" t="n">
        <x:v>3825</x:v>
      </x:c>
      <x:c r="M727" s="55" t="n">
        <x:v>0</x:v>
      </x:c>
      <x:c r="N727" s="55" t="n">
        <x:v>2517</x:v>
      </x:c>
      <x:c r="O727" s="55" t="n">
        <x:v>1308</x:v>
      </x:c>
      <x:c r="P727" s="55" t="n">
        <x:v>716</x:v>
      </x:c>
      <x:c r="Q727" s="55" t="n">
        <x:v>1431</x:v>
      </x:c>
      <x:c r="R727" s="55" t="n">
        <x:v>1336</x:v>
      </x:c>
      <x:c r="S727" s="55" t="n">
        <x:v>2208</x:v>
      </x:c>
      <x:c r="T727" s="55" t="n">
        <x:v>1041</x:v>
      </x:c>
      <x:c r="U727" s="55" t="n">
        <x:v>1590</x:v>
      </x:c>
      <x:c r="V727" s="55" t="n">
        <x:v>9849</x:v>
      </x:c>
      <x:c r="W727" s="55" t="n">
        <x:v>7141</x:v>
      </x:c>
      <x:c r="X727" s="55" t="n">
        <x:v>2708</x:v>
      </x:c>
      <x:c r="Y727" s="55" t="n">
        <x:v>2281</x:v>
      </x:c>
      <x:c r="Z727" s="55" t="n">
        <x:v>3502</x:v>
      </x:c>
      <x:c r="AA727" s="55" t="n">
        <x:v>2589</x:v>
      </x:c>
      <x:c r="AB727" s="55" t="n">
        <x:v>682</x:v>
      </x:c>
      <x:c r="AC727" s="55" t="n">
        <x:v>7635</x:v>
      </x:c>
      <x:c r="AD727" s="55" t="n">
        <x:v>2752</x:v>
      </x:c>
      <x:c r="AE727" s="55" t="n">
        <x:v>9849</x:v>
      </x:c>
      <x:c r="AF727" s="55" t="n">
        <x:v>9849</x:v>
      </x:c>
      <x:c r="AG727" s="55" t="n">
        <x:v>0</x:v>
      </x:c>
      <x:c r="AH727" s="55" t="n">
        <x:v>260</x:v>
      </x:c>
      <x:c r="AI727" s="55" t="n">
        <x:v>9589</x:v>
      </x:c>
      <x:c r="AJ727" s="55" t="n">
        <x:v>216</x:v>
      </x:c>
      <x:c r="AK727" s="55" t="n">
        <x:v>1003</x:v>
      </x:c>
      <x:c r="AL727" s="55" t="n">
        <x:v>1404</x:v>
      </x:c>
      <x:c r="AM727" s="55" t="n">
        <x:v>4639</x:v>
      </x:c>
      <x:c r="AN727" s="55" t="n">
        <x:v>2587</x:v>
      </x:c>
      <x:c r="AO727" s="55" t="n">
        <x:v>0</x:v>
      </x:c>
      <x:c r="AP727" s="55" t="n">
        <x:v>1722</x:v>
      </x:c>
      <x:c r="AQ727" s="55" t="n">
        <x:v>911</x:v>
      </x:c>
    </x:row>
    <x:row r="728">
      <x:c r="A728" s="54" t="str">
        <x:v>T2_CONCORDANT_DOMAIN</x:v>
      </x:c>
      <x:c r="B728" s="54" t="n">
        <x:v>722</x:v>
      </x:c>
      <x:c r="C728" s="54" t="str">
        <x:v>NYC-V2-R01</x:v>
      </x:c>
      <x:c r="D728" s="54" t="str">
        <x:v>V2</x:v>
      </x:c>
      <x:c r="E728" s="54" t="str">
        <x:v>ADMITTED</x:v>
      </x:c>
      <x:c r="F728" s="55" t="n">
        <x:v>32055</x:v>
      </x:c>
      <x:c r="G728" s="55" t="n">
        <x:v>9189</x:v>
      </x:c>
      <x:c r="H728" s="55" t="n">
        <x:v>3160</x:v>
      </x:c>
      <x:c r="I728" s="55" t="n">
        <x:v>1221</x:v>
      </x:c>
      <x:c r="J728" s="55" t="n">
        <x:v>320</x:v>
      </x:c>
      <x:c r="K728" s="55" t="n">
        <x:v>30875</x:v>
      </x:c>
      <x:c r="L728" s="55" t="n">
        <x:v>6743</x:v>
      </x:c>
      <x:c r="M728" s="55" t="n">
        <x:v>2125</x:v>
      </x:c>
      <x:c r="N728" s="55" t="n">
        <x:v>2566</x:v>
      </x:c>
      <x:c r="O728" s="55" t="n">
        <x:v>2052</x:v>
      </x:c>
      <x:c r="P728" s="55" t="n">
        <x:v>996</x:v>
      </x:c>
      <x:c r="Q728" s="55" t="n">
        <x:v>3032</x:v>
      </x:c>
      <x:c r="R728" s="55" t="n">
        <x:v>1982</x:v>
      </x:c>
      <x:c r="S728" s="55" t="n">
        <x:v>2534</x:v>
      </x:c>
      <x:c r="T728" s="55" t="n">
        <x:v>1607</x:v>
      </x:c>
      <x:c r="U728" s="55" t="n">
        <x:v>2261</x:v>
      </x:c>
      <x:c r="V728" s="55" t="n">
        <x:v>10126</x:v>
      </x:c>
      <x:c r="W728" s="55" t="n">
        <x:v>7146</x:v>
      </x:c>
      <x:c r="X728" s="55" t="n">
        <x:v>2980</x:v>
      </x:c>
      <x:c r="Y728" s="55" t="n">
        <x:v>2567</x:v>
      </x:c>
      <x:c r="Z728" s="55" t="n">
        <x:v>3676</x:v>
      </x:c>
      <x:c r="AA728" s="55" t="n">
        <x:v>3160</x:v>
      </x:c>
      <x:c r="AB728" s="55" t="n">
        <x:v>1251</x:v>
      </x:c>
      <x:c r="AC728" s="55" t="n">
        <x:v>8108</x:v>
      </x:c>
      <x:c r="AD728" s="55" t="n">
        <x:v>2834</x:v>
      </x:c>
      <x:c r="AE728" s="55" t="n">
        <x:v>10200</x:v>
      </x:c>
      <x:c r="AF728" s="55" t="n">
        <x:v>10126</x:v>
      </x:c>
      <x:c r="AG728" s="55" t="n">
        <x:v>74</x:v>
      </x:c>
      <x:c r="AH728" s="55" t="n">
        <x:v>357</x:v>
      </x:c>
      <x:c r="AI728" s="55" t="n">
        <x:v>9769</x:v>
      </x:c>
      <x:c r="AJ728" s="55" t="n">
        <x:v>277</x:v>
      </x:c>
      <x:c r="AK728" s="55" t="n">
        <x:v>834</x:v>
      </x:c>
      <x:c r="AL728" s="55" t="n">
        <x:v>1538</x:v>
      </x:c>
      <x:c r="AM728" s="55" t="n">
        <x:v>4809</x:v>
      </x:c>
      <x:c r="AN728" s="55" t="n">
        <x:v>2662</x:v>
      </x:c>
      <x:c r="AO728" s="55" t="n">
        <x:v>6</x:v>
      </x:c>
      <x:c r="AP728" s="55" t="n">
        <x:v>1882</x:v>
      </x:c>
      <x:c r="AQ728" s="55" t="n">
        <x:v>1003</x:v>
      </x:c>
    </x:row>
    <x:row r="729">
      <x:c r="A729" s="54" t="str">
        <x:v>T2_CONCORDANT_DOMAIN</x:v>
      </x:c>
      <x:c r="B729" s="54" t="n">
        <x:v>723</x:v>
      </x:c>
      <x:c r="C729" s="54" t="str">
        <x:v>NYC-V2-R01</x:v>
      </x:c>
      <x:c r="D729" s="54" t="str">
        <x:v>V2</x:v>
      </x:c>
      <x:c r="E729" s="54" t="str">
        <x:v>ADMITTED</x:v>
      </x:c>
      <x:c r="F729" s="55" t="n">
        <x:v>32859</x:v>
      </x:c>
      <x:c r="G729" s="55" t="n">
        <x:v>8375</x:v>
      </x:c>
      <x:c r="H729" s="55" t="n">
        <x:v>3543</x:v>
      </x:c>
      <x:c r="I729" s="55" t="n">
        <x:v>1460</x:v>
      </x:c>
      <x:c r="J729" s="55" t="n">
        <x:v>207</x:v>
      </x:c>
      <x:c r="K729" s="55" t="n">
        <x:v>29481</x:v>
      </x:c>
      <x:c r="L729" s="55" t="n">
        <x:v>6657</x:v>
      </x:c>
      <x:c r="M729" s="55" t="n">
        <x:v>1783</x:v>
      </x:c>
      <x:c r="N729" s="55" t="n">
        <x:v>2790</x:v>
      </x:c>
      <x:c r="O729" s="55" t="n">
        <x:v>2084</x:v>
      </x:c>
      <x:c r="P729" s="55" t="n">
        <x:v>902</x:v>
      </x:c>
      <x:c r="Q729" s="55" t="n">
        <x:v>2914</x:v>
      </x:c>
      <x:c r="R729" s="55" t="n">
        <x:v>2301</x:v>
      </x:c>
      <x:c r="S729" s="55" t="n">
        <x:v>2282</x:v>
      </x:c>
      <x:c r="T729" s="55" t="n">
        <x:v>1865</x:v>
      </x:c>
      <x:c r="U729" s="55" t="n">
        <x:v>2657</x:v>
      </x:c>
      <x:c r="V729" s="55" t="n">
        <x:v>11322</x:v>
      </x:c>
      <x:c r="W729" s="55" t="n">
        <x:v>8276</x:v>
      </x:c>
      <x:c r="X729" s="55" t="n">
        <x:v>3046</x:v>
      </x:c>
      <x:c r="Y729" s="55" t="n">
        <x:v>2565</x:v>
      </x:c>
      <x:c r="Z729" s="55" t="n">
        <x:v>3571</x:v>
      </x:c>
      <x:c r="AA729" s="55" t="n">
        <x:v>3520</x:v>
      </x:c>
      <x:c r="AB729" s="55" t="n">
        <x:v>1144</x:v>
      </x:c>
      <x:c r="AC729" s="55" t="n">
        <x:v>8187</x:v>
      </x:c>
      <x:c r="AD729" s="55" t="n">
        <x:v>3489</x:v>
      </x:c>
      <x:c r="AE729" s="55" t="n">
        <x:v>11442</x:v>
      </x:c>
      <x:c r="AF729" s="55" t="n">
        <x:v>11322</x:v>
      </x:c>
      <x:c r="AG729" s="55" t="n">
        <x:v>120</x:v>
      </x:c>
      <x:c r="AH729" s="55" t="n">
        <x:v>687</x:v>
      </x:c>
      <x:c r="AI729" s="55" t="n">
        <x:v>10635</x:v>
      </x:c>
      <x:c r="AJ729" s="55" t="n">
        <x:v>304</x:v>
      </x:c>
      <x:c r="AK729" s="55" t="n">
        <x:v>1101</x:v>
      </x:c>
      <x:c r="AL729" s="55" t="n">
        <x:v>1507</x:v>
      </x:c>
      <x:c r="AM729" s="55" t="n">
        <x:v>5217</x:v>
      </x:c>
      <x:c r="AN729" s="55" t="n">
        <x:v>3121</x:v>
      </x:c>
      <x:c r="AO729" s="55" t="n">
        <x:v>72</x:v>
      </x:c>
      <x:c r="AP729" s="55" t="n">
        <x:v>2455</x:v>
      </x:c>
      <x:c r="AQ729" s="55" t="n">
        <x:v>947</x:v>
      </x:c>
    </x:row>
    <x:row r="730">
      <x:c r="A730" s="54" t="str">
        <x:v>T2_CONCORDANT_DOMAIN</x:v>
      </x:c>
      <x:c r="B730" s="54" t="n">
        <x:v>724</x:v>
      </x:c>
      <x:c r="C730" s="54" t="str">
        <x:v>NYC-V2-R01</x:v>
      </x:c>
      <x:c r="D730" s="54" t="str">
        <x:v>V2</x:v>
      </x:c>
      <x:c r="E730" s="54" t="str">
        <x:v>ADMITTED</x:v>
      </x:c>
      <x:c r="F730" s="55" t="n">
        <x:v>31268</x:v>
      </x:c>
      <x:c r="G730" s="55" t="n">
        <x:v>8146</x:v>
      </x:c>
      <x:c r="H730" s="55" t="n">
        <x:v>3522</x:v>
      </x:c>
      <x:c r="I730" s="55" t="n">
        <x:v>1671</x:v>
      </x:c>
      <x:c r="J730" s="55" t="n">
        <x:v>375</x:v>
      </x:c>
      <x:c r="K730" s="55" t="n">
        <x:v>31268</x:v>
      </x:c>
      <x:c r="L730" s="55" t="n">
        <x:v>6897</x:v>
      </x:c>
      <x:c r="M730" s="55" t="n">
        <x:v>2031</x:v>
      </x:c>
      <x:c r="N730" s="55" t="n">
        <x:v>3052</x:v>
      </x:c>
      <x:c r="O730" s="55" t="n">
        <x:v>1814</x:v>
      </x:c>
      <x:c r="P730" s="55" t="n">
        <x:v>1150</x:v>
      </x:c>
      <x:c r="Q730" s="55" t="n">
        <x:v>2792</x:v>
      </x:c>
      <x:c r="R730" s="55" t="n">
        <x:v>2332</x:v>
      </x:c>
      <x:c r="S730" s="55" t="n">
        <x:v>3141</x:v>
      </x:c>
      <x:c r="T730" s="55" t="n">
        <x:v>1218</x:v>
      </x:c>
      <x:c r="U730" s="55" t="n">
        <x:v>2606</x:v>
      </x:c>
      <x:c r="V730" s="55" t="n">
        <x:v>10268</x:v>
      </x:c>
      <x:c r="W730" s="55" t="n">
        <x:v>7138</x:v>
      </x:c>
      <x:c r="X730" s="55" t="n">
        <x:v>3130</x:v>
      </x:c>
      <x:c r="Y730" s="55" t="n">
        <x:v>2624</x:v>
      </x:c>
      <x:c r="Z730" s="55" t="n">
        <x:v>4241</x:v>
      </x:c>
      <x:c r="AA730" s="55" t="n">
        <x:v>3522</x:v>
      </x:c>
      <x:c r="AB730" s="55" t="n">
        <x:v>1405</x:v>
      </x:c>
      <x:c r="AC730" s="55" t="n">
        <x:v>8231</x:v>
      </x:c>
      <x:c r="AD730" s="55" t="n">
        <x:v>3526</x:v>
      </x:c>
      <x:c r="AE730" s="55" t="n">
        <x:v>10356</x:v>
      </x:c>
      <x:c r="AF730" s="55" t="n">
        <x:v>10268</x:v>
      </x:c>
      <x:c r="AG730" s="55" t="n">
        <x:v>88</x:v>
      </x:c>
      <x:c r="AH730" s="55" t="n">
        <x:v>374</x:v>
      </x:c>
      <x:c r="AI730" s="55" t="n">
        <x:v>9894</x:v>
      </x:c>
      <x:c r="AJ730" s="55" t="n">
        <x:v>341</x:v>
      </x:c>
      <x:c r="AK730" s="55" t="n">
        <x:v>1164</x:v>
      </x:c>
      <x:c r="AL730" s="55" t="n">
        <x:v>1594</x:v>
      </x:c>
      <x:c r="AM730" s="55" t="n">
        <x:v>4702</x:v>
      </x:c>
      <x:c r="AN730" s="55" t="n">
        <x:v>2467</x:v>
      </x:c>
      <x:c r="AO730" s="55" t="n">
        <x:v>0</x:v>
      </x:c>
      <x:c r="AP730" s="55" t="n">
        <x:v>2759</x:v>
      </x:c>
      <x:c r="AQ730" s="55" t="n">
        <x:v>972</x:v>
      </x:c>
    </x:row>
    <x:row r="731">
      <x:c r="A731" s="54" t="str">
        <x:v>T2_CONCORDANT_DOMAIN</x:v>
      </x:c>
      <x:c r="B731" s="54" t="n">
        <x:v>725</x:v>
      </x:c>
      <x:c r="C731" s="54" t="str">
        <x:v>NYC-V2-R01</x:v>
      </x:c>
      <x:c r="D731" s="54" t="str">
        <x:v>V2</x:v>
      </x:c>
      <x:c r="E731" s="54" t="str">
        <x:v>ADMITTED</x:v>
      </x:c>
      <x:c r="F731" s="55" t="n">
        <x:v>32598</x:v>
      </x:c>
      <x:c r="G731" s="55" t="n">
        <x:v>8561</x:v>
      </x:c>
      <x:c r="H731" s="55" t="n">
        <x:v>3775</x:v>
      </x:c>
      <x:c r="I731" s="55" t="n">
        <x:v>1661</x:v>
      </x:c>
      <x:c r="J731" s="55" t="n">
        <x:v>305</x:v>
      </x:c>
      <x:c r="K731" s="55" t="n">
        <x:v>31338</x:v>
      </x:c>
      <x:c r="L731" s="55" t="n">
        <x:v>6005</x:v>
      </x:c>
      <x:c r="M731" s="55" t="n">
        <x:v>803</x:v>
      </x:c>
      <x:c r="N731" s="55" t="n">
        <x:v>3051</x:v>
      </x:c>
      <x:c r="O731" s="55" t="n">
        <x:v>2151</x:v>
      </x:c>
      <x:c r="P731" s="55" t="n">
        <x:v>901</x:v>
      </x:c>
      <x:c r="Q731" s="55" t="n">
        <x:v>2381</x:v>
      </x:c>
      <x:c r="R731" s="55" t="n">
        <x:v>2075</x:v>
      </x:c>
      <x:c r="S731" s="55" t="n">
        <x:v>2916</x:v>
      </x:c>
      <x:c r="T731" s="55" t="n">
        <x:v>1196</x:v>
      </x:c>
      <x:c r="U731" s="55" t="n">
        <x:v>2077</x:v>
      </x:c>
      <x:c r="V731" s="55" t="n">
        <x:v>11136</x:v>
      </x:c>
      <x:c r="W731" s="55" t="n">
        <x:v>8028</x:v>
      </x:c>
      <x:c r="X731" s="55" t="n">
        <x:v>3108</x:v>
      </x:c>
      <x:c r="Y731" s="55" t="n">
        <x:v>2798</x:v>
      </x:c>
      <x:c r="Z731" s="55" t="n">
        <x:v>4040</x:v>
      </x:c>
      <x:c r="AA731" s="55" t="n">
        <x:v>3122</x:v>
      </x:c>
      <x:c r="AB731" s="55" t="n">
        <x:v>1259</x:v>
      </x:c>
      <x:c r="AC731" s="55" t="n">
        <x:v>8172</x:v>
      </x:c>
      <x:c r="AD731" s="55" t="n">
        <x:v>3145</x:v>
      </x:c>
      <x:c r="AE731" s="55" t="n">
        <x:v>11241</x:v>
      </x:c>
      <x:c r="AF731" s="55" t="n">
        <x:v>11136</x:v>
      </x:c>
      <x:c r="AG731" s="55" t="n">
        <x:v>105</x:v>
      </x:c>
      <x:c r="AH731" s="55" t="n">
        <x:v>719</x:v>
      </x:c>
      <x:c r="AI731" s="55" t="n">
        <x:v>10417</x:v>
      </x:c>
      <x:c r="AJ731" s="55" t="n">
        <x:v>381</x:v>
      </x:c>
      <x:c r="AK731" s="55" t="n">
        <x:v>794</x:v>
      </x:c>
      <x:c r="AL731" s="55" t="n">
        <x:v>1891</x:v>
      </x:c>
      <x:c r="AM731" s="55" t="n">
        <x:v>5289</x:v>
      </x:c>
      <x:c r="AN731" s="55" t="n">
        <x:v>2679</x:v>
      </x:c>
      <x:c r="AO731" s="55" t="n">
        <x:v>102</x:v>
      </x:c>
      <x:c r="AP731" s="55" t="n">
        <x:v>2784</x:v>
      </x:c>
      <x:c r="AQ731" s="55" t="n">
        <x:v>949</x:v>
      </x:c>
    </x:row>
    <x:row r="732">
      <x:c r="A732" s="54" t="str">
        <x:v>T2_CONCORDANT_DOMAIN</x:v>
      </x:c>
      <x:c r="B732" s="54" t="n">
        <x:v>726</x:v>
      </x:c>
      <x:c r="C732" s="54" t="str">
        <x:v>NYC-V2-R01</x:v>
      </x:c>
      <x:c r="D732" s="54" t="str">
        <x:v>V2</x:v>
      </x:c>
      <x:c r="E732" s="54" t="str">
        <x:v>ADMITTED</x:v>
      </x:c>
      <x:c r="F732" s="55" t="n">
        <x:v>32018</x:v>
      </x:c>
      <x:c r="G732" s="55" t="n">
        <x:v>7860</x:v>
      </x:c>
      <x:c r="H732" s="55" t="n">
        <x:v>3324</x:v>
      </x:c>
      <x:c r="I732" s="55" t="n">
        <x:v>1300</x:v>
      </x:c>
      <x:c r="J732" s="55" t="n">
        <x:v>412</x:v>
      </x:c>
      <x:c r="K732" s="55" t="n">
        <x:v>27887</x:v>
      </x:c>
      <x:c r="L732" s="55" t="n">
        <x:v>4954</x:v>
      </x:c>
      <x:c r="M732" s="55" t="n">
        <x:v>1226</x:v>
      </x:c>
      <x:c r="N732" s="55" t="n">
        <x:v>2229</x:v>
      </x:c>
      <x:c r="O732" s="55" t="n">
        <x:v>1499</x:v>
      </x:c>
      <x:c r="P732" s="55" t="n">
        <x:v>651</x:v>
      </x:c>
      <x:c r="Q732" s="55" t="n">
        <x:v>2913</x:v>
      </x:c>
      <x:c r="R732" s="55" t="n">
        <x:v>2049</x:v>
      </x:c>
      <x:c r="S732" s="55" t="n">
        <x:v>2474</x:v>
      </x:c>
      <x:c r="T732" s="55" t="n">
        <x:v>1092</x:v>
      </x:c>
      <x:c r="U732" s="55" t="n">
        <x:v>1827</x:v>
      </x:c>
      <x:c r="V732" s="55" t="n">
        <x:v>10342</x:v>
      </x:c>
      <x:c r="W732" s="55" t="n">
        <x:v>7165</x:v>
      </x:c>
      <x:c r="X732" s="55" t="n">
        <x:v>3177</x:v>
      </x:c>
      <x:c r="Y732" s="55" t="n">
        <x:v>2675</x:v>
      </x:c>
      <x:c r="Z732" s="55" t="n">
        <x:v>4000</x:v>
      </x:c>
      <x:c r="AA732" s="55" t="n">
        <x:v>2778</x:v>
      </x:c>
      <x:c r="AB732" s="55" t="n">
        <x:v>1016</x:v>
      </x:c>
      <x:c r="AC732" s="55" t="n">
        <x:v>7591</x:v>
      </x:c>
      <x:c r="AD732" s="55" t="n">
        <x:v>3018</x:v>
      </x:c>
      <x:c r="AE732" s="55" t="n">
        <x:v>10457</x:v>
      </x:c>
      <x:c r="AF732" s="55" t="n">
        <x:v>10342</x:v>
      </x:c>
      <x:c r="AG732" s="55" t="n">
        <x:v>115</x:v>
      </x:c>
      <x:c r="AH732" s="55" t="n">
        <x:v>395</x:v>
      </x:c>
      <x:c r="AI732" s="55" t="n">
        <x:v>9947</x:v>
      </x:c>
      <x:c r="AJ732" s="55" t="n">
        <x:v>458</x:v>
      </x:c>
      <x:c r="AK732" s="55" t="n">
        <x:v>1039</x:v>
      </x:c>
      <x:c r="AL732" s="55" t="n">
        <x:v>1546</x:v>
      </x:c>
      <x:c r="AM732" s="55" t="n">
        <x:v>5004</x:v>
      </x:c>
      <x:c r="AN732" s="55" t="n">
        <x:v>2256</x:v>
      </x:c>
      <x:c r="AO732" s="55" t="n">
        <x:v>39</x:v>
      </x:c>
      <x:c r="AP732" s="55" t="n">
        <x:v>2179</x:v>
      </x:c>
      <x:c r="AQ732" s="55" t="n">
        <x:v>963</x:v>
      </x:c>
    </x:row>
    <x:row r="733">
      <x:c r="A733" s="54" t="str">
        <x:v>T2_CONCORDANT_DOMAIN</x:v>
      </x:c>
      <x:c r="B733" s="54" t="n">
        <x:v>727</x:v>
      </x:c>
      <x:c r="C733" s="54" t="str">
        <x:v>NYC-V2-R01</x:v>
      </x:c>
      <x:c r="D733" s="54" t="str">
        <x:v>V2</x:v>
      </x:c>
      <x:c r="E733" s="54" t="str">
        <x:v>ADMITTED</x:v>
      </x:c>
      <x:c r="F733" s="55" t="n">
        <x:v>29773</x:v>
      </x:c>
      <x:c r="G733" s="55" t="n">
        <x:v>6832</x:v>
      </x:c>
      <x:c r="H733" s="55" t="n">
        <x:v>3167</x:v>
      </x:c>
      <x:c r="I733" s="55" t="n">
        <x:v>973</x:v>
      </x:c>
      <x:c r="J733" s="55" t="n">
        <x:v>323</x:v>
      </x:c>
      <x:c r="K733" s="55" t="n">
        <x:v>29041</x:v>
      </x:c>
      <x:c r="L733" s="55" t="n">
        <x:v>4171</x:v>
      </x:c>
      <x:c r="M733" s="55" t="n">
        <x:v>186</x:v>
      </x:c>
      <x:c r="N733" s="55" t="n">
        <x:v>2433</x:v>
      </x:c>
      <x:c r="O733" s="55" t="n">
        <x:v>1552</x:v>
      </x:c>
      <x:c r="P733" s="55" t="n">
        <x:v>783</x:v>
      </x:c>
      <x:c r="Q733" s="55" t="n">
        <x:v>2362</x:v>
      </x:c>
      <x:c r="R733" s="55" t="n">
        <x:v>1689</x:v>
      </x:c>
      <x:c r="S733" s="55" t="n">
        <x:v>2460</x:v>
      </x:c>
      <x:c r="T733" s="55" t="n">
        <x:v>1390</x:v>
      </x:c>
      <x:c r="U733" s="55" t="n">
        <x:v>1578</x:v>
      </x:c>
      <x:c r="V733" s="55" t="n">
        <x:v>9962</x:v>
      </x:c>
      <x:c r="W733" s="55" t="n">
        <x:v>7042</x:v>
      </x:c>
      <x:c r="X733" s="55" t="n">
        <x:v>2920</x:v>
      </x:c>
      <x:c r="Y733" s="55" t="n">
        <x:v>2580</x:v>
      </x:c>
      <x:c r="Z733" s="55" t="n">
        <x:v>3675</x:v>
      </x:c>
      <x:c r="AA733" s="55" t="n">
        <x:v>3156</x:v>
      </x:c>
      <x:c r="AB733" s="55" t="n">
        <x:v>1071</x:v>
      </x:c>
      <x:c r="AC733" s="55" t="n">
        <x:v>8124</x:v>
      </x:c>
      <x:c r="AD733" s="55" t="n">
        <x:v>2607</x:v>
      </x:c>
      <x:c r="AE733" s="55" t="n">
        <x:v>10076</x:v>
      </x:c>
      <x:c r="AF733" s="55" t="n">
        <x:v>9962</x:v>
      </x:c>
      <x:c r="AG733" s="55" t="n">
        <x:v>114</x:v>
      </x:c>
      <x:c r="AH733" s="55" t="n">
        <x:v>397</x:v>
      </x:c>
      <x:c r="AI733" s="55" t="n">
        <x:v>9565</x:v>
      </x:c>
      <x:c r="AJ733" s="55" t="n">
        <x:v>116</x:v>
      </x:c>
      <x:c r="AK733" s="55" t="n">
        <x:v>964</x:v>
      </x:c>
      <x:c r="AL733" s="55" t="n">
        <x:v>1631</x:v>
      </x:c>
      <x:c r="AM733" s="55" t="n">
        <x:v>4775</x:v>
      </x:c>
      <x:c r="AN733" s="55" t="n">
        <x:v>2440</x:v>
      </x:c>
      <x:c r="AO733" s="55" t="n">
        <x:v>36</x:v>
      </x:c>
      <x:c r="AP733" s="55" t="n">
        <x:v>2024</x:v>
      </x:c>
      <x:c r="AQ733" s="55" t="n">
        <x:v>929</x:v>
      </x:c>
    </x:row>
    <x:row r="734">
      <x:c r="A734" s="54" t="str">
        <x:v>T2_CONCORDANT_DOMAIN</x:v>
      </x:c>
      <x:c r="B734" s="54" t="n">
        <x:v>728</x:v>
      </x:c>
      <x:c r="C734" s="54" t="str">
        <x:v>NYC-V2-R01</x:v>
      </x:c>
      <x:c r="D734" s="54" t="str">
        <x:v>V2</x:v>
      </x:c>
      <x:c r="E734" s="54" t="str">
        <x:v>ADMITTED</x:v>
      </x:c>
      <x:c r="F734" s="55" t="n">
        <x:v>33232</x:v>
      </x:c>
      <x:c r="G734" s="55" t="n">
        <x:v>8576</x:v>
      </x:c>
      <x:c r="H734" s="55" t="n">
        <x:v>3702</x:v>
      </x:c>
      <x:c r="I734" s="55" t="n">
        <x:v>2109</x:v>
      </x:c>
      <x:c r="J734" s="55" t="n">
        <x:v>252</x:v>
      </x:c>
      <x:c r="K734" s="55" t="n">
        <x:v>33232</x:v>
      </x:c>
      <x:c r="L734" s="55" t="n">
        <x:v>7553</x:v>
      </x:c>
      <x:c r="M734" s="55" t="n">
        <x:v>2293</x:v>
      </x:c>
      <x:c r="N734" s="55" t="n">
        <x:v>3236</x:v>
      </x:c>
      <x:c r="O734" s="55" t="n">
        <x:v>2024</x:v>
      </x:c>
      <x:c r="P734" s="55" t="n">
        <x:v>866</x:v>
      </x:c>
      <x:c r="Q734" s="55" t="n">
        <x:v>2470</x:v>
      </x:c>
      <x:c r="R734" s="55" t="n">
        <x:v>1948</x:v>
      </x:c>
      <x:c r="S734" s="55" t="n">
        <x:v>3085</x:v>
      </x:c>
      <x:c r="T734" s="55" t="n">
        <x:v>1634</x:v>
      </x:c>
      <x:c r="U734" s="55" t="n">
        <x:v>2513</x:v>
      </x:c>
      <x:c r="V734" s="55" t="n">
        <x:v>10771</x:v>
      </x:c>
      <x:c r="W734" s="55" t="n">
        <x:v>7638</x:v>
      </x:c>
      <x:c r="X734" s="55" t="n">
        <x:v>3133</x:v>
      </x:c>
      <x:c r="Y734" s="55" t="n">
        <x:v>2741</x:v>
      </x:c>
      <x:c r="Z734" s="55" t="n">
        <x:v>3885</x:v>
      </x:c>
      <x:c r="AA734" s="55" t="n">
        <x:v>3688</x:v>
      </x:c>
      <x:c r="AB734" s="55" t="n">
        <x:v>1229</x:v>
      </x:c>
      <x:c r="AC734" s="55" t="n">
        <x:v>8166</x:v>
      </x:c>
      <x:c r="AD734" s="55" t="n">
        <x:v>3545</x:v>
      </x:c>
      <x:c r="AE734" s="55" t="n">
        <x:v>10908</x:v>
      </x:c>
      <x:c r="AF734" s="55" t="n">
        <x:v>10771</x:v>
      </x:c>
      <x:c r="AG734" s="55" t="n">
        <x:v>137</x:v>
      </x:c>
      <x:c r="AH734" s="55" t="n">
        <x:v>520</x:v>
      </x:c>
      <x:c r="AI734" s="55" t="n">
        <x:v>10251</x:v>
      </x:c>
      <x:c r="AJ734" s="55" t="n">
        <x:v>388</x:v>
      </x:c>
      <x:c r="AK734" s="55" t="n">
        <x:v>1300</x:v>
      </x:c>
      <x:c r="AL734" s="55" t="n">
        <x:v>1875</x:v>
      </x:c>
      <x:c r="AM734" s="55" t="n">
        <x:v>4580</x:v>
      </x:c>
      <x:c r="AN734" s="55" t="n">
        <x:v>2571</x:v>
      </x:c>
      <x:c r="AO734" s="55" t="n">
        <x:v>57</x:v>
      </x:c>
      <x:c r="AP734" s="55" t="n">
        <x:v>2654</x:v>
      </x:c>
      <x:c r="AQ734" s="55" t="n">
        <x:v>1025</x:v>
      </x:c>
    </x:row>
    <x:row r="735">
      <x:c r="A735" s="54" t="str">
        <x:v>T2_CONCORDANT_DOMAIN</x:v>
      </x:c>
      <x:c r="B735" s="54" t="n">
        <x:v>729</x:v>
      </x:c>
      <x:c r="C735" s="54" t="str">
        <x:v>NYC-V2-R01</x:v>
      </x:c>
      <x:c r="D735" s="54" t="str">
        <x:v>V2</x:v>
      </x:c>
      <x:c r="E735" s="54" t="str">
        <x:v>ADMITTED</x:v>
      </x:c>
      <x:c r="F735" s="55" t="n">
        <x:v>31413</x:v>
      </x:c>
      <x:c r="G735" s="55" t="n">
        <x:v>7832</x:v>
      </x:c>
      <x:c r="H735" s="55" t="n">
        <x:v>3350</x:v>
      </x:c>
      <x:c r="I735" s="55" t="n">
        <x:v>1504</x:v>
      </x:c>
      <x:c r="J735" s="55" t="n">
        <x:v>235</x:v>
      </x:c>
      <x:c r="K735" s="55" t="n">
        <x:v>28183</x:v>
      </x:c>
      <x:c r="L735" s="55" t="n">
        <x:v>5545</x:v>
      </x:c>
      <x:c r="M735" s="55" t="n">
        <x:v>726</x:v>
      </x:c>
      <x:c r="N735" s="55" t="n">
        <x:v>2684</x:v>
      </x:c>
      <x:c r="O735" s="55" t="n">
        <x:v>2135</x:v>
      </x:c>
      <x:c r="P735" s="55" t="n">
        <x:v>1046</x:v>
      </x:c>
      <x:c r="Q735" s="55" t="n">
        <x:v>3250</x:v>
      </x:c>
      <x:c r="R735" s="55" t="n">
        <x:v>1848</x:v>
      </x:c>
      <x:c r="S735" s="55" t="n">
        <x:v>2947</x:v>
      </x:c>
      <x:c r="T735" s="55" t="n">
        <x:v>1570</x:v>
      </x:c>
      <x:c r="U735" s="55" t="n">
        <x:v>1811</x:v>
      </x:c>
      <x:c r="V735" s="55" t="n">
        <x:v>10611</x:v>
      </x:c>
      <x:c r="W735" s="55" t="n">
        <x:v>7519</x:v>
      </x:c>
      <x:c r="X735" s="55" t="n">
        <x:v>3092</x:v>
      </x:c>
      <x:c r="Y735" s="55" t="n">
        <x:v>2634</x:v>
      </x:c>
      <x:c r="Z735" s="55" t="n">
        <x:v>3761</x:v>
      </x:c>
      <x:c r="AA735" s="55" t="n">
        <x:v>3111</x:v>
      </x:c>
      <x:c r="AB735" s="55" t="n">
        <x:v>1179</x:v>
      </x:c>
      <x:c r="AC735" s="55" t="n">
        <x:v>8344</x:v>
      </x:c>
      <x:c r="AD735" s="55" t="n">
        <x:v>3529</x:v>
      </x:c>
      <x:c r="AE735" s="55" t="n">
        <x:v>10702</x:v>
      </x:c>
      <x:c r="AF735" s="55" t="n">
        <x:v>10611</x:v>
      </x:c>
      <x:c r="AG735" s="55" t="n">
        <x:v>91</x:v>
      </x:c>
      <x:c r="AH735" s="55" t="n">
        <x:v>456</x:v>
      </x:c>
      <x:c r="AI735" s="55" t="n">
        <x:v>10155</x:v>
      </x:c>
      <x:c r="AJ735" s="55" t="n">
        <x:v>126</x:v>
      </x:c>
      <x:c r="AK735" s="55" t="n">
        <x:v>1370</x:v>
      </x:c>
      <x:c r="AL735" s="55" t="n">
        <x:v>1851</x:v>
      </x:c>
      <x:c r="AM735" s="55" t="n">
        <x:v>4695</x:v>
      </x:c>
      <x:c r="AN735" s="55" t="n">
        <x:v>2537</x:v>
      </x:c>
      <x:c r="AO735" s="55" t="n">
        <x:v>32</x:v>
      </x:c>
      <x:c r="AP735" s="55" t="n">
        <x:v>2235</x:v>
      </x:c>
      <x:c r="AQ735" s="55" t="n">
        <x:v>986</x:v>
      </x:c>
    </x:row>
    <x:row r="736">
      <x:c r="A736" s="54" t="str">
        <x:v>T2_CONCORDANT_DOMAIN</x:v>
      </x:c>
      <x:c r="B736" s="54" t="n">
        <x:v>730</x:v>
      </x:c>
      <x:c r="C736" s="54" t="str">
        <x:v>NYC-V2-R01</x:v>
      </x:c>
      <x:c r="D736" s="54" t="str">
        <x:v>V2</x:v>
      </x:c>
      <x:c r="E736" s="54" t="str">
        <x:v>ADMITTED</x:v>
      </x:c>
      <x:c r="F736" s="55" t="n">
        <x:v>31591</x:v>
      </x:c>
      <x:c r="G736" s="55" t="n">
        <x:v>8121</x:v>
      </x:c>
      <x:c r="H736" s="55" t="n">
        <x:v>3289</x:v>
      </x:c>
      <x:c r="I736" s="55" t="n">
        <x:v>1600</x:v>
      </x:c>
      <x:c r="J736" s="55" t="n">
        <x:v>293</x:v>
      </x:c>
      <x:c r="K736" s="55" t="n">
        <x:v>30105</x:v>
      </x:c>
      <x:c r="L736" s="55" t="n">
        <x:v>5024</x:v>
      </x:c>
      <x:c r="M736" s="55" t="n">
        <x:v>599</x:v>
      </x:c>
      <x:c r="N736" s="55" t="n">
        <x:v>2893</x:v>
      </x:c>
      <x:c r="O736" s="55" t="n">
        <x:v>1532</x:v>
      </x:c>
      <x:c r="P736" s="55" t="n">
        <x:v>323</x:v>
      </x:c>
      <x:c r="Q736" s="55" t="n">
        <x:v>1911</x:v>
      </x:c>
      <x:c r="R736" s="55" t="n">
        <x:v>1984</x:v>
      </x:c>
      <x:c r="S736" s="55" t="n">
        <x:v>2954</x:v>
      </x:c>
      <x:c r="T736" s="55" t="n">
        <x:v>1301</x:v>
      </x:c>
      <x:c r="U736" s="55" t="n">
        <x:v>1514</x:v>
      </x:c>
      <x:c r="V736" s="55" t="n">
        <x:v>10756</x:v>
      </x:c>
      <x:c r="W736" s="55" t="n">
        <x:v>7665</x:v>
      </x:c>
      <x:c r="X736" s="55" t="n">
        <x:v>3091</x:v>
      </x:c>
      <x:c r="Y736" s="55" t="n">
        <x:v>2617</x:v>
      </x:c>
      <x:c r="Z736" s="55" t="n">
        <x:v>3871</x:v>
      </x:c>
      <x:c r="AA736" s="55" t="n">
        <x:v>3191</x:v>
      </x:c>
      <x:c r="AB736" s="55" t="n">
        <x:v>1322</x:v>
      </x:c>
      <x:c r="AC736" s="55" t="n">
        <x:v>8120</x:v>
      </x:c>
      <x:c r="AD736" s="55" t="n">
        <x:v>2513</x:v>
      </x:c>
      <x:c r="AE736" s="55" t="n">
        <x:v>10814</x:v>
      </x:c>
      <x:c r="AF736" s="55" t="n">
        <x:v>10756</x:v>
      </x:c>
      <x:c r="AG736" s="55" t="n">
        <x:v>58</x:v>
      </x:c>
      <x:c r="AH736" s="55" t="n">
        <x:v>368</x:v>
      </x:c>
      <x:c r="AI736" s="55" t="n">
        <x:v>10388</x:v>
      </x:c>
      <x:c r="AJ736" s="55" t="n">
        <x:v>501</x:v>
      </x:c>
      <x:c r="AK736" s="55" t="n">
        <x:v>823</x:v>
      </x:c>
      <x:c r="AL736" s="55" t="n">
        <x:v>1555</x:v>
      </x:c>
      <x:c r="AM736" s="55" t="n">
        <x:v>4982</x:v>
      </x:c>
      <x:c r="AN736" s="55" t="n">
        <x:v>2895</x:v>
      </x:c>
      <x:c r="AO736" s="55" t="n">
        <x:v>0</x:v>
      </x:c>
      <x:c r="AP736" s="55" t="n">
        <x:v>2231</x:v>
      </x:c>
      <x:c r="AQ736" s="55" t="n">
        <x:v>971</x:v>
      </x:c>
    </x:row>
    <x:row r="737">
      <x:c r="A737" s="54" t="str">
        <x:v>T2_CONCORDANT_DOMAIN</x:v>
      </x:c>
      <x:c r="B737" s="54" t="n">
        <x:v>731</x:v>
      </x:c>
      <x:c r="C737" s="54" t="str">
        <x:v>NYC-V2-R01</x:v>
      </x:c>
      <x:c r="D737" s="54" t="str">
        <x:v>V2</x:v>
      </x:c>
      <x:c r="E737" s="54" t="str">
        <x:v>ADMITTED</x:v>
      </x:c>
      <x:c r="F737" s="55" t="n">
        <x:v>34306</x:v>
      </x:c>
      <x:c r="G737" s="55" t="n">
        <x:v>8618</x:v>
      </x:c>
      <x:c r="H737" s="55" t="n">
        <x:v>3819</x:v>
      </x:c>
      <x:c r="I737" s="55" t="n">
        <x:v>1740</x:v>
      </x:c>
      <x:c r="J737" s="55" t="n">
        <x:v>483</x:v>
      </x:c>
      <x:c r="K737" s="55" t="n">
        <x:v>34306</x:v>
      </x:c>
      <x:c r="L737" s="55" t="n">
        <x:v>7299</x:v>
      </x:c>
      <x:c r="M737" s="55" t="n">
        <x:v>2119</x:v>
      </x:c>
      <x:c r="N737" s="55" t="n">
        <x:v>2882</x:v>
      </x:c>
      <x:c r="O737" s="55" t="n">
        <x:v>2298</x:v>
      </x:c>
      <x:c r="P737" s="55" t="n">
        <x:v>1144</x:v>
      </x:c>
      <x:c r="Q737" s="55" t="n">
        <x:v>2713</x:v>
      </x:c>
      <x:c r="R737" s="55" t="n">
        <x:v>1953</x:v>
      </x:c>
      <x:c r="S737" s="55" t="n">
        <x:v>3173</x:v>
      </x:c>
      <x:c r="T737" s="55" t="n">
        <x:v>1331</x:v>
      </x:c>
      <x:c r="U737" s="55" t="n">
        <x:v>2213</x:v>
      </x:c>
      <x:c r="V737" s="55" t="n">
        <x:v>11364</x:v>
      </x:c>
      <x:c r="W737" s="55" t="n">
        <x:v>7837</x:v>
      </x:c>
      <x:c r="X737" s="55" t="n">
        <x:v>3527</x:v>
      </x:c>
      <x:c r="Y737" s="55" t="n">
        <x:v>3190</x:v>
      </x:c>
      <x:c r="Z737" s="55" t="n">
        <x:v>4226</x:v>
      </x:c>
      <x:c r="AA737" s="55" t="n">
        <x:v>3769</x:v>
      </x:c>
      <x:c r="AB737" s="55" t="n">
        <x:v>1312</x:v>
      </x:c>
      <x:c r="AC737" s="55" t="n">
        <x:v>8890</x:v>
      </x:c>
      <x:c r="AD737" s="55" t="n">
        <x:v>3921</x:v>
      </x:c>
      <x:c r="AE737" s="55" t="n">
        <x:v>11501</x:v>
      </x:c>
      <x:c r="AF737" s="55" t="n">
        <x:v>11364</x:v>
      </x:c>
      <x:c r="AG737" s="55" t="n">
        <x:v>137</x:v>
      </x:c>
      <x:c r="AH737" s="55" t="n">
        <x:v>661</x:v>
      </x:c>
      <x:c r="AI737" s="55" t="n">
        <x:v>10703</x:v>
      </x:c>
      <x:c r="AJ737" s="55" t="n">
        <x:v>439</x:v>
      </x:c>
      <x:c r="AK737" s="55" t="n">
        <x:v>1094</x:v>
      </x:c>
      <x:c r="AL737" s="55" t="n">
        <x:v>1719</x:v>
      </x:c>
      <x:c r="AM737" s="55" t="n">
        <x:v>5271</x:v>
      </x:c>
      <x:c r="AN737" s="55" t="n">
        <x:v>2792</x:v>
      </x:c>
      <x:c r="AO737" s="55" t="n">
        <x:v>49</x:v>
      </x:c>
      <x:c r="AP737" s="55" t="n">
        <x:v>2811</x:v>
      </x:c>
      <x:c r="AQ737" s="55" t="n">
        <x:v>988</x:v>
      </x:c>
    </x:row>
    <x:row r="738">
      <x:c r="A738" s="54" t="str">
        <x:v>T2_CONCORDANT_DOMAIN</x:v>
      </x:c>
      <x:c r="B738" s="54" t="n">
        <x:v>732</x:v>
      </x:c>
      <x:c r="C738" s="54" t="str">
        <x:v>NYC-V2-R01</x:v>
      </x:c>
      <x:c r="D738" s="54" t="str">
        <x:v>V2</x:v>
      </x:c>
      <x:c r="E738" s="54" t="str">
        <x:v>ADMITTED</x:v>
      </x:c>
      <x:c r="F738" s="55" t="n">
        <x:v>29693</x:v>
      </x:c>
      <x:c r="G738" s="55" t="n">
        <x:v>7519</x:v>
      </x:c>
      <x:c r="H738" s="55" t="n">
        <x:v>3061</x:v>
      </x:c>
      <x:c r="I738" s="55" t="n">
        <x:v>1163</x:v>
      </x:c>
      <x:c r="J738" s="55" t="n">
        <x:v>269</x:v>
      </x:c>
      <x:c r="K738" s="55" t="n">
        <x:v>29189</x:v>
      </x:c>
      <x:c r="L738" s="55" t="n">
        <x:v>4867</x:v>
      </x:c>
      <x:c r="M738" s="55" t="n">
        <x:v>492</x:v>
      </x:c>
      <x:c r="N738" s="55" t="n">
        <x:v>2695</x:v>
      </x:c>
      <x:c r="O738" s="55" t="n">
        <x:v>1680</x:v>
      </x:c>
      <x:c r="P738" s="55" t="n">
        <x:v>923</x:v>
      </x:c>
      <x:c r="Q738" s="55" t="n">
        <x:v>2228</x:v>
      </x:c>
      <x:c r="R738" s="55" t="n">
        <x:v>1536</x:v>
      </x:c>
      <x:c r="S738" s="55" t="n">
        <x:v>2437</x:v>
      </x:c>
      <x:c r="T738" s="55" t="n">
        <x:v>1356</x:v>
      </x:c>
      <x:c r="U738" s="55" t="n">
        <x:v>1654</x:v>
      </x:c>
      <x:c r="V738" s="55" t="n">
        <x:v>9858</x:v>
      </x:c>
      <x:c r="W738" s="55" t="n">
        <x:v>6648</x:v>
      </x:c>
      <x:c r="X738" s="55" t="n">
        <x:v>3210</x:v>
      </x:c>
      <x:c r="Y738" s="55" t="n">
        <x:v>2850</x:v>
      </x:c>
      <x:c r="Z738" s="55" t="n">
        <x:v>3626</x:v>
      </x:c>
      <x:c r="AA738" s="55" t="n">
        <x:v>3061</x:v>
      </x:c>
      <x:c r="AB738" s="55" t="n">
        <x:v>962</x:v>
      </x:c>
      <x:c r="AC738" s="55" t="n">
        <x:v>7820</x:v>
      </x:c>
      <x:c r="AD738" s="55" t="n">
        <x:v>3010</x:v>
      </x:c>
      <x:c r="AE738" s="55" t="n">
        <x:v>9902</x:v>
      </x:c>
      <x:c r="AF738" s="55" t="n">
        <x:v>9858</x:v>
      </x:c>
      <x:c r="AG738" s="55" t="n">
        <x:v>44</x:v>
      </x:c>
      <x:c r="AH738" s="55" t="n">
        <x:v>344</x:v>
      </x:c>
      <x:c r="AI738" s="55" t="n">
        <x:v>9514</x:v>
      </x:c>
      <x:c r="AJ738" s="55" t="n">
        <x:v>373</x:v>
      </x:c>
      <x:c r="AK738" s="55" t="n">
        <x:v>868</x:v>
      </x:c>
      <x:c r="AL738" s="55" t="n">
        <x:v>1428</x:v>
      </x:c>
      <x:c r="AM738" s="55" t="n">
        <x:v>4819</x:v>
      </x:c>
      <x:c r="AN738" s="55" t="n">
        <x:v>2321</x:v>
      </x:c>
      <x:c r="AO738" s="55" t="n">
        <x:v>49</x:v>
      </x:c>
      <x:c r="AP738" s="55" t="n">
        <x:v>1741</x:v>
      </x:c>
      <x:c r="AQ738" s="55" t="n">
        <x:v>966</x:v>
      </x:c>
    </x:row>
    <x:row r="739">
      <x:c r="A739" s="54" t="str">
        <x:v>T2_CONCORDANT_DOMAIN</x:v>
      </x:c>
      <x:c r="B739" s="54" t="n">
        <x:v>733</x:v>
      </x:c>
      <x:c r="C739" s="54" t="str">
        <x:v>NYC-V2-R01</x:v>
      </x:c>
      <x:c r="D739" s="54" t="str">
        <x:v>V2</x:v>
      </x:c>
      <x:c r="E739" s="54" t="str">
        <x:v>ADMITTED</x:v>
      </x:c>
      <x:c r="F739" s="55" t="n">
        <x:v>30237</x:v>
      </x:c>
      <x:c r="G739" s="55" t="n">
        <x:v>7758</x:v>
      </x:c>
      <x:c r="H739" s="55" t="n">
        <x:v>3247</x:v>
      </x:c>
      <x:c r="I739" s="55" t="n">
        <x:v>1338</x:v>
      </x:c>
      <x:c r="J739" s="55" t="n">
        <x:v>113</x:v>
      </x:c>
      <x:c r="K739" s="55" t="n">
        <x:v>29820</x:v>
      </x:c>
      <x:c r="L739" s="55" t="n">
        <x:v>5247</x:v>
      </x:c>
      <x:c r="M739" s="55" t="n">
        <x:v>361</x:v>
      </x:c>
      <x:c r="N739" s="55" t="n">
        <x:v>2840</x:v>
      </x:c>
      <x:c r="O739" s="55" t="n">
        <x:v>2046</x:v>
      </x:c>
      <x:c r="P739" s="55" t="n">
        <x:v>469</x:v>
      </x:c>
      <x:c r="Q739" s="55" t="n">
        <x:v>2429</x:v>
      </x:c>
      <x:c r="R739" s="55" t="n">
        <x:v>1912</x:v>
      </x:c>
      <x:c r="S739" s="55" t="n">
        <x:v>3059</x:v>
      </x:c>
      <x:c r="T739" s="55" t="n">
        <x:v>772</x:v>
      </x:c>
      <x:c r="U739" s="55" t="n">
        <x:v>2055</x:v>
      </x:c>
      <x:c r="V739" s="55" t="n">
        <x:v>11232</x:v>
      </x:c>
      <x:c r="W739" s="55" t="n">
        <x:v>8149</x:v>
      </x:c>
      <x:c r="X739" s="55" t="n">
        <x:v>3083</x:v>
      </x:c>
      <x:c r="Y739" s="55" t="n">
        <x:v>2632</x:v>
      </x:c>
      <x:c r="Z739" s="55" t="n">
        <x:v>4086</x:v>
      </x:c>
      <x:c r="AA739" s="55" t="n">
        <x:v>3247</x:v>
      </x:c>
      <x:c r="AB739" s="55" t="n">
        <x:v>801</x:v>
      </x:c>
      <x:c r="AC739" s="55" t="n">
        <x:v>8307</x:v>
      </x:c>
      <x:c r="AD739" s="55" t="n">
        <x:v>3389</x:v>
      </x:c>
      <x:c r="AE739" s="55" t="n">
        <x:v>11294</x:v>
      </x:c>
      <x:c r="AF739" s="55" t="n">
        <x:v>11232</x:v>
      </x:c>
      <x:c r="AG739" s="55" t="n">
        <x:v>62</x:v>
      </x:c>
      <x:c r="AH739" s="55" t="n">
        <x:v>642</x:v>
      </x:c>
      <x:c r="AI739" s="55" t="n">
        <x:v>10590</x:v>
      </x:c>
      <x:c r="AJ739" s="55" t="n">
        <x:v>375</x:v>
      </x:c>
      <x:c r="AK739" s="55" t="n">
        <x:v>1400</x:v>
      </x:c>
      <x:c r="AL739" s="55" t="n">
        <x:v>1713</x:v>
      </x:c>
      <x:c r="AM739" s="55" t="n">
        <x:v>5002</x:v>
      </x:c>
      <x:c r="AN739" s="55" t="n">
        <x:v>2705</x:v>
      </x:c>
      <x:c r="AO739" s="55" t="n">
        <x:v>37</x:v>
      </x:c>
      <x:c r="AP739" s="55" t="n">
        <x:v>2402</x:v>
      </x:c>
      <x:c r="AQ739" s="55" t="n">
        <x:v>1010</x:v>
      </x:c>
    </x:row>
    <x:row r="740">
      <x:c r="A740" s="54" t="str">
        <x:v>T2_CONCORDANT_DOMAIN</x:v>
      </x:c>
      <x:c r="B740" s="54" t="n">
        <x:v>734</x:v>
      </x:c>
      <x:c r="C740" s="54" t="str">
        <x:v>NYC-V2-R01</x:v>
      </x:c>
      <x:c r="D740" s="54" t="str">
        <x:v>V2</x:v>
      </x:c>
      <x:c r="E740" s="54" t="str">
        <x:v>ADMITTED</x:v>
      </x:c>
      <x:c r="F740" s="55" t="n">
        <x:v>33824</x:v>
      </x:c>
      <x:c r="G740" s="55" t="n">
        <x:v>7729</x:v>
      </x:c>
      <x:c r="H740" s="55" t="n">
        <x:v>3989</x:v>
      </x:c>
      <x:c r="I740" s="55" t="n">
        <x:v>1928</x:v>
      </x:c>
      <x:c r="J740" s="55" t="n">
        <x:v>323</x:v>
      </x:c>
      <x:c r="K740" s="55" t="n">
        <x:v>33824</x:v>
      </x:c>
      <x:c r="L740" s="55" t="n">
        <x:v>7310</x:v>
      </x:c>
      <x:c r="M740" s="55" t="n">
        <x:v>2259</x:v>
      </x:c>
      <x:c r="N740" s="55" t="n">
        <x:v>2800</x:v>
      </x:c>
      <x:c r="O740" s="55" t="n">
        <x:v>2251</x:v>
      </x:c>
      <x:c r="P740" s="55" t="n">
        <x:v>990</x:v>
      </x:c>
      <x:c r="Q740" s="55" t="n">
        <x:v>2653</x:v>
      </x:c>
      <x:c r="R740" s="55" t="n">
        <x:v>2241</x:v>
      </x:c>
      <x:c r="S740" s="55" t="n">
        <x:v>3388</x:v>
      </x:c>
      <x:c r="T740" s="55" t="n">
        <x:v>1226</x:v>
      </x:c>
      <x:c r="U740" s="55" t="n">
        <x:v>2436</x:v>
      </x:c>
      <x:c r="V740" s="55" t="n">
        <x:v>10458</x:v>
      </x:c>
      <x:c r="W740" s="55" t="n">
        <x:v>6911</x:v>
      </x:c>
      <x:c r="X740" s="55" t="n">
        <x:v>3547</x:v>
      </x:c>
      <x:c r="Y740" s="55" t="n">
        <x:v>3191</x:v>
      </x:c>
      <x:c r="Z740" s="55" t="n">
        <x:v>3372</x:v>
      </x:c>
      <x:c r="AA740" s="55" t="n">
        <x:v>3132</x:v>
      </x:c>
      <x:c r="AB740" s="55" t="n">
        <x:v>1066</x:v>
      </x:c>
      <x:c r="AC740" s="55" t="n">
        <x:v>8731</x:v>
      </x:c>
      <x:c r="AD740" s="55" t="n">
        <x:v>3096</x:v>
      </x:c>
      <x:c r="AE740" s="55" t="n">
        <x:v>10563</x:v>
      </x:c>
      <x:c r="AF740" s="55" t="n">
        <x:v>10458</x:v>
      </x:c>
      <x:c r="AG740" s="55" t="n">
        <x:v>105</x:v>
      </x:c>
      <x:c r="AH740" s="55" t="n">
        <x:v>413</x:v>
      </x:c>
      <x:c r="AI740" s="55" t="n">
        <x:v>10045</x:v>
      </x:c>
      <x:c r="AJ740" s="55" t="n">
        <x:v>319</x:v>
      </x:c>
      <x:c r="AK740" s="55" t="n">
        <x:v>835</x:v>
      </x:c>
      <x:c r="AL740" s="55" t="n">
        <x:v>2005</x:v>
      </x:c>
      <x:c r="AM740" s="55" t="n">
        <x:v>4705</x:v>
      </x:c>
      <x:c r="AN740" s="55" t="n">
        <x:v>2504</x:v>
      </x:c>
      <x:c r="AO740" s="55" t="n">
        <x:v>90</x:v>
      </x:c>
      <x:c r="AP740" s="55" t="n">
        <x:v>2258</x:v>
      </x:c>
      <x:c r="AQ740" s="55" t="n">
        <x:v>972</x:v>
      </x:c>
    </x:row>
    <x:row r="741">
      <x:c r="A741" s="54" t="str">
        <x:v>T2_CONCORDANT_DOMAIN</x:v>
      </x:c>
      <x:c r="B741" s="54" t="n">
        <x:v>735</x:v>
      </x:c>
      <x:c r="C741" s="54" t="str">
        <x:v>NYC-V2-R01</x:v>
      </x:c>
      <x:c r="D741" s="54" t="str">
        <x:v>V2</x:v>
      </x:c>
      <x:c r="E741" s="54" t="str">
        <x:v>ADMITTED</x:v>
      </x:c>
      <x:c r="F741" s="55" t="n">
        <x:v>31953</x:v>
      </x:c>
      <x:c r="G741" s="55" t="n">
        <x:v>8813</x:v>
      </x:c>
      <x:c r="H741" s="55" t="n">
        <x:v>3383</x:v>
      </x:c>
      <x:c r="I741" s="55" t="n">
        <x:v>1571</x:v>
      </x:c>
      <x:c r="J741" s="55" t="n">
        <x:v>200</x:v>
      </x:c>
      <x:c r="K741" s="55" t="n">
        <x:v>31261</x:v>
      </x:c>
      <x:c r="L741" s="55" t="n">
        <x:v>6302</x:v>
      </x:c>
      <x:c r="M741" s="55" t="n">
        <x:v>1464</x:v>
      </x:c>
      <x:c r="N741" s="55" t="n">
        <x:v>2643</x:v>
      </x:c>
      <x:c r="O741" s="55" t="n">
        <x:v>2195</x:v>
      </x:c>
      <x:c r="P741" s="55" t="n">
        <x:v>1241</x:v>
      </x:c>
      <x:c r="Q741" s="55" t="n">
        <x:v>2359</x:v>
      </x:c>
      <x:c r="R741" s="55" t="n">
        <x:v>2195</x:v>
      </x:c>
      <x:c r="S741" s="55" t="n">
        <x:v>3320</x:v>
      </x:c>
      <x:c r="T741" s="55" t="n">
        <x:v>1500</x:v>
      </x:c>
      <x:c r="U741" s="55" t="n">
        <x:v>2582</x:v>
      </x:c>
      <x:c r="V741" s="55" t="n">
        <x:v>11065</x:v>
      </x:c>
      <x:c r="W741" s="55" t="n">
        <x:v>7922</x:v>
      </x:c>
      <x:c r="X741" s="55" t="n">
        <x:v>3143</x:v>
      </x:c>
      <x:c r="Y741" s="55" t="n">
        <x:v>2808</x:v>
      </x:c>
      <x:c r="Z741" s="55" t="n">
        <x:v>3774</x:v>
      </x:c>
      <x:c r="AA741" s="55" t="n">
        <x:v>2942</x:v>
      </x:c>
      <x:c r="AB741" s="55" t="n">
        <x:v>1250</x:v>
      </x:c>
      <x:c r="AC741" s="55" t="n">
        <x:v>8725</x:v>
      </x:c>
      <x:c r="AD741" s="55" t="n">
        <x:v>3513</x:v>
      </x:c>
      <x:c r="AE741" s="55" t="n">
        <x:v>11123</x:v>
      </x:c>
      <x:c r="AF741" s="55" t="n">
        <x:v>11065</x:v>
      </x:c>
      <x:c r="AG741" s="55" t="n">
        <x:v>58</x:v>
      </x:c>
      <x:c r="AH741" s="55" t="n">
        <x:v>443</x:v>
      </x:c>
      <x:c r="AI741" s="55" t="n">
        <x:v>10622</x:v>
      </x:c>
      <x:c r="AJ741" s="55" t="n">
        <x:v>307</x:v>
      </x:c>
      <x:c r="AK741" s="55" t="n">
        <x:v>1030</x:v>
      </x:c>
      <x:c r="AL741" s="55" t="n">
        <x:v>1853</x:v>
      </x:c>
      <x:c r="AM741" s="55" t="n">
        <x:v>4914</x:v>
      </x:c>
      <x:c r="AN741" s="55" t="n">
        <x:v>2925</x:v>
      </x:c>
      <x:c r="AO741" s="55" t="n">
        <x:v>36</x:v>
      </x:c>
      <x:c r="AP741" s="55" t="n">
        <x:v>2517</x:v>
      </x:c>
      <x:c r="AQ741" s="55" t="n">
        <x:v>1041</x:v>
      </x:c>
    </x:row>
    <x:row r="742">
      <x:c r="A742" s="54" t="str">
        <x:v>T2_CONCORDANT_DOMAIN</x:v>
      </x:c>
      <x:c r="B742" s="54" t="n">
        <x:v>736</x:v>
      </x:c>
      <x:c r="C742" s="54" t="str">
        <x:v>NYC-V2-R01</x:v>
      </x:c>
      <x:c r="D742" s="54" t="str">
        <x:v>V2</x:v>
      </x:c>
      <x:c r="E742" s="54" t="str">
        <x:v>ADMITTED</x:v>
      </x:c>
      <x:c r="F742" s="55" t="n">
        <x:v>32488</x:v>
      </x:c>
      <x:c r="G742" s="55" t="n">
        <x:v>6605</x:v>
      </x:c>
      <x:c r="H742" s="55" t="n">
        <x:v>3423</x:v>
      </x:c>
      <x:c r="I742" s="55" t="n">
        <x:v>1388</x:v>
      </x:c>
      <x:c r="J742" s="55" t="n">
        <x:v>168</x:v>
      </x:c>
      <x:c r="K742" s="55" t="n">
        <x:v>32488</x:v>
      </x:c>
      <x:c r="L742" s="55" t="n">
        <x:v>6544</x:v>
      </x:c>
      <x:c r="M742" s="55" t="n">
        <x:v>2181</x:v>
      </x:c>
      <x:c r="N742" s="55" t="n">
        <x:v>2587</x:v>
      </x:c>
      <x:c r="O742" s="55" t="n">
        <x:v>1776</x:v>
      </x:c>
      <x:c r="P742" s="55" t="n">
        <x:v>1121</x:v>
      </x:c>
      <x:c r="Q742" s="55" t="n">
        <x:v>3044</x:v>
      </x:c>
      <x:c r="R742" s="55" t="n">
        <x:v>2186</x:v>
      </x:c>
      <x:c r="S742" s="55" t="n">
        <x:v>3121</x:v>
      </x:c>
      <x:c r="T742" s="55" t="n">
        <x:v>1352</x:v>
      </x:c>
      <x:c r="U742" s="55" t="n">
        <x:v>1956</x:v>
      </x:c>
      <x:c r="V742" s="55" t="n">
        <x:v>10545</x:v>
      </x:c>
      <x:c r="W742" s="55" t="n">
        <x:v>7068</x:v>
      </x:c>
      <x:c r="X742" s="55" t="n">
        <x:v>3477</x:v>
      </x:c>
      <x:c r="Y742" s="55" t="n">
        <x:v>3064</x:v>
      </x:c>
      <x:c r="Z742" s="55" t="n">
        <x:v>3965</x:v>
      </x:c>
      <x:c r="AA742" s="55" t="n">
        <x:v>3423</x:v>
      </x:c>
      <x:c r="AB742" s="55" t="n">
        <x:v>1091</x:v>
      </x:c>
      <x:c r="AC742" s="55" t="n">
        <x:v>8082</x:v>
      </x:c>
      <x:c r="AD742" s="55" t="n">
        <x:v>3031</x:v>
      </x:c>
      <x:c r="AE742" s="55" t="n">
        <x:v>10558</x:v>
      </x:c>
      <x:c r="AF742" s="55" t="n">
        <x:v>10545</x:v>
      </x:c>
      <x:c r="AG742" s="55" t="n">
        <x:v>13</x:v>
      </x:c>
      <x:c r="AH742" s="55" t="n">
        <x:v>530</x:v>
      </x:c>
      <x:c r="AI742" s="55" t="n">
        <x:v>10015</x:v>
      </x:c>
      <x:c r="AJ742" s="55" t="n">
        <x:v>277</x:v>
      </x:c>
      <x:c r="AK742" s="55" t="n">
        <x:v>1113</x:v>
      </x:c>
      <x:c r="AL742" s="55" t="n">
        <x:v>1986</x:v>
      </x:c>
      <x:c r="AM742" s="55" t="n">
        <x:v>4554</x:v>
      </x:c>
      <x:c r="AN742" s="55" t="n">
        <x:v>2615</x:v>
      </x:c>
      <x:c r="AO742" s="55" t="n">
        <x:v>0</x:v>
      </x:c>
      <x:c r="AP742" s="55" t="n">
        <x:v>2243</x:v>
      </x:c>
      <x:c r="AQ742" s="55" t="n">
        <x:v>907</x:v>
      </x:c>
    </x:row>
    <x:row r="743">
      <x:c r="A743" s="54" t="str">
        <x:v>T2_CONCORDANT_DOMAIN</x:v>
      </x:c>
      <x:c r="B743" s="54" t="n">
        <x:v>737</x:v>
      </x:c>
      <x:c r="C743" s="54" t="str">
        <x:v>NYC-V2-R01</x:v>
      </x:c>
      <x:c r="D743" s="54" t="str">
        <x:v>V2</x:v>
      </x:c>
      <x:c r="E743" s="54" t="str">
        <x:v>ADMITTED</x:v>
      </x:c>
      <x:c r="F743" s="55" t="n">
        <x:v>30861</x:v>
      </x:c>
      <x:c r="G743" s="55" t="n">
        <x:v>7875</x:v>
      </x:c>
      <x:c r="H743" s="55" t="n">
        <x:v>3120</x:v>
      </x:c>
      <x:c r="I743" s="55" t="n">
        <x:v>1013</x:v>
      </x:c>
      <x:c r="J743" s="55" t="n">
        <x:v>198</x:v>
      </x:c>
      <x:c r="K743" s="55" t="n">
        <x:v>29535</x:v>
      </x:c>
      <x:c r="L743" s="55" t="n">
        <x:v>4828</x:v>
      </x:c>
      <x:c r="M743" s="55" t="n">
        <x:v>543</x:v>
      </x:c>
      <x:c r="N743" s="55" t="n">
        <x:v>2677</x:v>
      </x:c>
      <x:c r="O743" s="55" t="n">
        <x:v>1608</x:v>
      </x:c>
      <x:c r="P743" s="55" t="n">
        <x:v>765</x:v>
      </x:c>
      <x:c r="Q743" s="55" t="n">
        <x:v>2851</x:v>
      </x:c>
      <x:c r="R743" s="55" t="n">
        <x:v>1856</x:v>
      </x:c>
      <x:c r="S743" s="55" t="n">
        <x:v>3362</x:v>
      </x:c>
      <x:c r="T743" s="55" t="n">
        <x:v>1096</x:v>
      </x:c>
      <x:c r="U743" s="55" t="n">
        <x:v>2359</x:v>
      </x:c>
      <x:c r="V743" s="55" t="n">
        <x:v>10459</x:v>
      </x:c>
      <x:c r="W743" s="55" t="n">
        <x:v>7836</x:v>
      </x:c>
      <x:c r="X743" s="55" t="n">
        <x:v>2623</x:v>
      </x:c>
      <x:c r="Y743" s="55" t="n">
        <x:v>2246</x:v>
      </x:c>
      <x:c r="Z743" s="55" t="n">
        <x:v>3395</x:v>
      </x:c>
      <x:c r="AA743" s="55" t="n">
        <x:v>3074</x:v>
      </x:c>
      <x:c r="AB743" s="55" t="n">
        <x:v>945</x:v>
      </x:c>
      <x:c r="AC743" s="55" t="n">
        <x:v>7291</x:v>
      </x:c>
      <x:c r="AD743" s="55" t="n">
        <x:v>2469</x:v>
      </x:c>
      <x:c r="AE743" s="55" t="n">
        <x:v>10531</x:v>
      </x:c>
      <x:c r="AF743" s="55" t="n">
        <x:v>10459</x:v>
      </x:c>
      <x:c r="AG743" s="55" t="n">
        <x:v>72</x:v>
      </x:c>
      <x:c r="AH743" s="55" t="n">
        <x:v>449</x:v>
      </x:c>
      <x:c r="AI743" s="55" t="n">
        <x:v>10010</x:v>
      </x:c>
      <x:c r="AJ743" s="55" t="n">
        <x:v>332</x:v>
      </x:c>
      <x:c r="AK743" s="55" t="n">
        <x:v>913</x:v>
      </x:c>
      <x:c r="AL743" s="55" t="n">
        <x:v>2075</x:v>
      </x:c>
      <x:c r="AM743" s="55" t="n">
        <x:v>4702</x:v>
      </x:c>
      <x:c r="AN743" s="55" t="n">
        <x:v>2437</x:v>
      </x:c>
      <x:c r="AO743" s="55" t="n">
        <x:v>0</x:v>
      </x:c>
      <x:c r="AP743" s="55" t="n">
        <x:v>2358</x:v>
      </x:c>
      <x:c r="AQ743" s="55" t="n">
        <x:v>971</x:v>
      </x:c>
    </x:row>
    <x:row r="744">
      <x:c r="A744" s="54" t="str">
        <x:v>T2_CONCORDANT_DOMAIN</x:v>
      </x:c>
      <x:c r="B744" s="54" t="n">
        <x:v>738</x:v>
      </x:c>
      <x:c r="C744" s="54" t="str">
        <x:v>NYC-V2-R01</x:v>
      </x:c>
      <x:c r="D744" s="54" t="str">
        <x:v>V2</x:v>
      </x:c>
      <x:c r="E744" s="54" t="str">
        <x:v>ADMITTED</x:v>
      </x:c>
      <x:c r="F744" s="55" t="n">
        <x:v>29853</x:v>
      </x:c>
      <x:c r="G744" s="55" t="n">
        <x:v>8302</x:v>
      </x:c>
      <x:c r="H744" s="55" t="n">
        <x:v>3031</x:v>
      </x:c>
      <x:c r="I744" s="55" t="n">
        <x:v>561</x:v>
      </x:c>
      <x:c r="J744" s="55" t="n">
        <x:v>94</x:v>
      </x:c>
      <x:c r="K744" s="55" t="n">
        <x:v>28641</x:v>
      </x:c>
      <x:c r="L744" s="55" t="n">
        <x:v>4085</x:v>
      </x:c>
      <x:c r="M744" s="55" t="n">
        <x:v>64</x:v>
      </x:c>
      <x:c r="N744" s="55" t="n">
        <x:v>2016</x:v>
      </x:c>
      <x:c r="O744" s="55" t="n">
        <x:v>2005</x:v>
      </x:c>
      <x:c r="P744" s="55" t="n">
        <x:v>729</x:v>
      </x:c>
      <x:c r="Q744" s="55" t="n">
        <x:v>2911</x:v>
      </x:c>
      <x:c r="R744" s="55" t="n">
        <x:v>1819</x:v>
      </x:c>
      <x:c r="S744" s="55" t="n">
        <x:v>2048</x:v>
      </x:c>
      <x:c r="T744" s="55" t="n">
        <x:v>770</x:v>
      </x:c>
      <x:c r="U744" s="55" t="n">
        <x:v>1974</x:v>
      </x:c>
      <x:c r="V744" s="55" t="n">
        <x:v>9746</x:v>
      </x:c>
      <x:c r="W744" s="55" t="n">
        <x:v>7025</x:v>
      </x:c>
      <x:c r="X744" s="55" t="n">
        <x:v>2721</x:v>
      </x:c>
      <x:c r="Y744" s="55" t="n">
        <x:v>2347</x:v>
      </x:c>
      <x:c r="Z744" s="55" t="n">
        <x:v>3296</x:v>
      </x:c>
      <x:c r="AA744" s="55" t="n">
        <x:v>3031</x:v>
      </x:c>
      <x:c r="AB744" s="55" t="n">
        <x:v>856</x:v>
      </x:c>
      <x:c r="AC744" s="55" t="n">
        <x:v>7720</x:v>
      </x:c>
      <x:c r="AD744" s="55" t="n">
        <x:v>2500</x:v>
      </x:c>
      <x:c r="AE744" s="55" t="n">
        <x:v>9868</x:v>
      </x:c>
      <x:c r="AF744" s="55" t="n">
        <x:v>9746</x:v>
      </x:c>
      <x:c r="AG744" s="55" t="n">
        <x:v>122</x:v>
      </x:c>
      <x:c r="AH744" s="55" t="n">
        <x:v>184</x:v>
      </x:c>
      <x:c r="AI744" s="55" t="n">
        <x:v>9562</x:v>
      </x:c>
      <x:c r="AJ744" s="55" t="n">
        <x:v>163</x:v>
      </x:c>
      <x:c r="AK744" s="55" t="n">
        <x:v>817</x:v>
      </x:c>
      <x:c r="AL744" s="55" t="n">
        <x:v>1766</x:v>
      </x:c>
      <x:c r="AM744" s="55" t="n">
        <x:v>4560</x:v>
      </x:c>
      <x:c r="AN744" s="55" t="n">
        <x:v>2440</x:v>
      </x:c>
      <x:c r="AO744" s="55" t="n">
        <x:v>0</x:v>
      </x:c>
      <x:c r="AP744" s="55" t="n">
        <x:v>2199</x:v>
      </x:c>
      <x:c r="AQ744" s="55" t="n">
        <x:v>943</x:v>
      </x:c>
    </x:row>
    <x:row r="745">
      <x:c r="A745" s="54" t="str">
        <x:v>T2_CONCORDANT_DOMAIN</x:v>
      </x:c>
      <x:c r="B745" s="54" t="n">
        <x:v>739</x:v>
      </x:c>
      <x:c r="C745" s="54" t="str">
        <x:v>NYC-V2-R01</x:v>
      </x:c>
      <x:c r="D745" s="54" t="str">
        <x:v>V2</x:v>
      </x:c>
      <x:c r="E745" s="54" t="str">
        <x:v>ADMITTED</x:v>
      </x:c>
      <x:c r="F745" s="55" t="n">
        <x:v>28902</x:v>
      </x:c>
      <x:c r="G745" s="55" t="n">
        <x:v>5581</x:v>
      </x:c>
      <x:c r="H745" s="55" t="n">
        <x:v>3141</x:v>
      </x:c>
      <x:c r="I745" s="55" t="n">
        <x:v>919</x:v>
      </x:c>
      <x:c r="J745" s="55" t="n">
        <x:v>43</x:v>
      </x:c>
      <x:c r="K745" s="55" t="n">
        <x:v>28902</x:v>
      </x:c>
      <x:c r="L745" s="55" t="n">
        <x:v>4392</x:v>
      </x:c>
      <x:c r="M745" s="55" t="n">
        <x:v>1081</x:v>
      </x:c>
      <x:c r="N745" s="55" t="n">
        <x:v>2132</x:v>
      </x:c>
      <x:c r="O745" s="55" t="n">
        <x:v>1179</x:v>
      </x:c>
      <x:c r="P745" s="55" t="n">
        <x:v>526</x:v>
      </x:c>
      <x:c r="Q745" s="55" t="n">
        <x:v>1151</x:v>
      </x:c>
      <x:c r="R745" s="55" t="n">
        <x:v>1601</x:v>
      </x:c>
      <x:c r="S745" s="55" t="n">
        <x:v>1863</x:v>
      </x:c>
      <x:c r="T745" s="55" t="n">
        <x:v>713</x:v>
      </x:c>
      <x:c r="U745" s="55" t="n">
        <x:v>1357</x:v>
      </x:c>
      <x:c r="V745" s="55" t="n">
        <x:v>9813</x:v>
      </x:c>
      <x:c r="W745" s="55" t="n">
        <x:v>6847</x:v>
      </x:c>
      <x:c r="X745" s="55" t="n">
        <x:v>2966</x:v>
      </x:c>
      <x:c r="Y745" s="55" t="n">
        <x:v>2452</x:v>
      </x:c>
      <x:c r="Z745" s="55" t="n">
        <x:v>3419</x:v>
      </x:c>
      <x:c r="AA745" s="55" t="n">
        <x:v>2792</x:v>
      </x:c>
      <x:c r="AB745" s="55" t="n">
        <x:v>970</x:v>
      </x:c>
      <x:c r="AC745" s="55" t="n">
        <x:v>8072</x:v>
      </x:c>
      <x:c r="AD745" s="55" t="n">
        <x:v>2310</x:v>
      </x:c>
      <x:c r="AE745" s="55" t="n">
        <x:v>9824</x:v>
      </x:c>
      <x:c r="AF745" s="55" t="n">
        <x:v>9813</x:v>
      </x:c>
      <x:c r="AG745" s="55" t="n">
        <x:v>11</x:v>
      </x:c>
      <x:c r="AH745" s="55" t="n">
        <x:v>255</x:v>
      </x:c>
      <x:c r="AI745" s="55" t="n">
        <x:v>9558</x:v>
      </x:c>
      <x:c r="AJ745" s="55" t="n">
        <x:v>206</x:v>
      </x:c>
      <x:c r="AK745" s="55" t="n">
        <x:v>966</x:v>
      </x:c>
      <x:c r="AL745" s="55" t="n">
        <x:v>1229</x:v>
      </x:c>
      <x:c r="AM745" s="55" t="n">
        <x:v>4677</x:v>
      </x:c>
      <x:c r="AN745" s="55" t="n">
        <x:v>2735</x:v>
      </x:c>
      <x:c r="AO745" s="55" t="n">
        <x:v>0</x:v>
      </x:c>
      <x:c r="AP745" s="55" t="n">
        <x:v>2116</x:v>
      </x:c>
      <x:c r="AQ745" s="55" t="n">
        <x:v>895</x:v>
      </x:c>
    </x:row>
    <x:row r="746">
      <x:c r="A746" s="54" t="str">
        <x:v>T2_CONCORDANT_DOMAIN</x:v>
      </x:c>
      <x:c r="B746" s="54" t="n">
        <x:v>740</x:v>
      </x:c>
      <x:c r="C746" s="54" t="str">
        <x:v>NYC-V2-R01</x:v>
      </x:c>
      <x:c r="D746" s="54" t="str">
        <x:v>V2</x:v>
      </x:c>
      <x:c r="E746" s="54" t="str">
        <x:v>ADMITTED</x:v>
      </x:c>
      <x:c r="F746" s="55" t="n">
        <x:v>32146</x:v>
      </x:c>
      <x:c r="G746" s="55" t="n">
        <x:v>8475</x:v>
      </x:c>
      <x:c r="H746" s="55" t="n">
        <x:v>3631</x:v>
      </x:c>
      <x:c r="I746" s="55" t="n">
        <x:v>1196</x:v>
      </x:c>
      <x:c r="J746" s="55" t="n">
        <x:v>344</x:v>
      </x:c>
      <x:c r="K746" s="55" t="n">
        <x:v>30123</x:v>
      </x:c>
      <x:c r="L746" s="55" t="n">
        <x:v>5457</x:v>
      </x:c>
      <x:c r="M746" s="55" t="n">
        <x:v>789</x:v>
      </x:c>
      <x:c r="N746" s="55" t="n">
        <x:v>2705</x:v>
      </x:c>
      <x:c r="O746" s="55" t="n">
        <x:v>1963</x:v>
      </x:c>
      <x:c r="P746" s="55" t="n">
        <x:v>571</x:v>
      </x:c>
      <x:c r="Q746" s="55" t="n">
        <x:v>2289</x:v>
      </x:c>
      <x:c r="R746" s="55" t="n">
        <x:v>1721</x:v>
      </x:c>
      <x:c r="S746" s="55" t="n">
        <x:v>2920</x:v>
      </x:c>
      <x:c r="T746" s="55" t="n">
        <x:v>1252</x:v>
      </x:c>
      <x:c r="U746" s="55" t="n">
        <x:v>1722</x:v>
      </x:c>
      <x:c r="V746" s="55" t="n">
        <x:v>10275</x:v>
      </x:c>
      <x:c r="W746" s="55" t="n">
        <x:v>7413</x:v>
      </x:c>
      <x:c r="X746" s="55" t="n">
        <x:v>2862</x:v>
      </x:c>
      <x:c r="Y746" s="55" t="n">
        <x:v>2535</x:v>
      </x:c>
      <x:c r="Z746" s="55" t="n">
        <x:v>4103</x:v>
      </x:c>
      <x:c r="AA746" s="55" t="n">
        <x:v>2991</x:v>
      </x:c>
      <x:c r="AB746" s="55" t="n">
        <x:v>891</x:v>
      </x:c>
      <x:c r="AC746" s="55" t="n">
        <x:v>8302</x:v>
      </x:c>
      <x:c r="AD746" s="55" t="n">
        <x:v>3172</x:v>
      </x:c>
      <x:c r="AE746" s="55" t="n">
        <x:v>10358</x:v>
      </x:c>
      <x:c r="AF746" s="55" t="n">
        <x:v>10275</x:v>
      </x:c>
      <x:c r="AG746" s="55" t="n">
        <x:v>83</x:v>
      </x:c>
      <x:c r="AH746" s="55" t="n">
        <x:v>482</x:v>
      </x:c>
      <x:c r="AI746" s="55" t="n">
        <x:v>9793</x:v>
      </x:c>
      <x:c r="AJ746" s="55" t="n">
        <x:v>459</x:v>
      </x:c>
      <x:c r="AK746" s="55" t="n">
        <x:v>656</x:v>
      </x:c>
      <x:c r="AL746" s="55" t="n">
        <x:v>1505</x:v>
      </x:c>
      <x:c r="AM746" s="55" t="n">
        <x:v>4846</x:v>
      </x:c>
      <x:c r="AN746" s="55" t="n">
        <x:v>2751</x:v>
      </x:c>
      <x:c r="AO746" s="55" t="n">
        <x:v>58</x:v>
      </x:c>
      <x:c r="AP746" s="55" t="n">
        <x:v>2432</x:v>
      </x:c>
      <x:c r="AQ746" s="55" t="n">
        <x:v>971</x:v>
      </x:c>
    </x:row>
    <x:row r="747">
      <x:c r="A747" s="54" t="str">
        <x:v>T2_CONCORDANT_DOMAIN</x:v>
      </x:c>
      <x:c r="B747" s="54" t="n">
        <x:v>741</x:v>
      </x:c>
      <x:c r="C747" s="54" t="str">
        <x:v>NYC-V2-R01</x:v>
      </x:c>
      <x:c r="D747" s="54" t="str">
        <x:v>V2</x:v>
      </x:c>
      <x:c r="E747" s="54" t="str">
        <x:v>ADMITTED</x:v>
      </x:c>
      <x:c r="F747" s="55" t="n">
        <x:v>30915</x:v>
      </x:c>
      <x:c r="G747" s="55" t="n">
        <x:v>6675</x:v>
      </x:c>
      <x:c r="H747" s="55" t="n">
        <x:v>3754</x:v>
      </x:c>
      <x:c r="I747" s="55" t="n">
        <x:v>1397</x:v>
      </x:c>
      <x:c r="J747" s="55" t="n">
        <x:v>110</x:v>
      </x:c>
      <x:c r="K747" s="55" t="n">
        <x:v>30915</x:v>
      </x:c>
      <x:c r="L747" s="55" t="n">
        <x:v>6200</x:v>
      </x:c>
      <x:c r="M747" s="55" t="n">
        <x:v>1472</x:v>
      </x:c>
      <x:c r="N747" s="55" t="n">
        <x:v>2480</x:v>
      </x:c>
      <x:c r="O747" s="55" t="n">
        <x:v>2248</x:v>
      </x:c>
      <x:c r="P747" s="55" t="n">
        <x:v>1109</x:v>
      </x:c>
      <x:c r="Q747" s="55" t="n">
        <x:v>3480</x:v>
      </x:c>
      <x:c r="R747" s="55" t="n">
        <x:v>2138</x:v>
      </x:c>
      <x:c r="S747" s="55" t="n">
        <x:v>2423</x:v>
      </x:c>
      <x:c r="T747" s="55" t="n">
        <x:v>1731</x:v>
      </x:c>
      <x:c r="U747" s="55" t="n">
        <x:v>1955</x:v>
      </x:c>
      <x:c r="V747" s="55" t="n">
        <x:v>10536</x:v>
      </x:c>
      <x:c r="W747" s="55" t="n">
        <x:v>7143</x:v>
      </x:c>
      <x:c r="X747" s="55" t="n">
        <x:v>3393</x:v>
      </x:c>
      <x:c r="Y747" s="55" t="n">
        <x:v>2960</x:v>
      </x:c>
      <x:c r="Z747" s="55" t="n">
        <x:v>3836</x:v>
      </x:c>
      <x:c r="AA747" s="55" t="n">
        <x:v>3754</x:v>
      </x:c>
      <x:c r="AB747" s="55" t="n">
        <x:v>1169</x:v>
      </x:c>
      <x:c r="AC747" s="55" t="n">
        <x:v>8556</x:v>
      </x:c>
      <x:c r="AD747" s="55" t="n">
        <x:v>2946</x:v>
      </x:c>
      <x:c r="AE747" s="55" t="n">
        <x:v>10659</x:v>
      </x:c>
      <x:c r="AF747" s="55" t="n">
        <x:v>10536</x:v>
      </x:c>
      <x:c r="AG747" s="55" t="n">
        <x:v>123</x:v>
      </x:c>
      <x:c r="AH747" s="55" t="n">
        <x:v>639</x:v>
      </x:c>
      <x:c r="AI747" s="55" t="n">
        <x:v>9897</x:v>
      </x:c>
      <x:c r="AJ747" s="55" t="n">
        <x:v>392</x:v>
      </x:c>
      <x:c r="AK747" s="55" t="n">
        <x:v>957</x:v>
      </x:c>
      <x:c r="AL747" s="55" t="n">
        <x:v>1383</x:v>
      </x:c>
      <x:c r="AM747" s="55" t="n">
        <x:v>4996</x:v>
      </x:c>
      <x:c r="AN747" s="55" t="n">
        <x:v>2694</x:v>
      </x:c>
      <x:c r="AO747" s="55" t="n">
        <x:v>114</x:v>
      </x:c>
      <x:c r="AP747" s="55" t="n">
        <x:v>2406</x:v>
      </x:c>
      <x:c r="AQ747" s="55" t="n">
        <x:v>1030</x:v>
      </x:c>
    </x:row>
    <x:row r="748">
      <x:c r="A748" s="54" t="str">
        <x:v>T2_CONCORDANT_DOMAIN</x:v>
      </x:c>
      <x:c r="B748" s="54" t="n">
        <x:v>742</x:v>
      </x:c>
      <x:c r="C748" s="54" t="str">
        <x:v>NYC-V2-R01</x:v>
      </x:c>
      <x:c r="D748" s="54" t="str">
        <x:v>V2</x:v>
      </x:c>
      <x:c r="E748" s="54" t="str">
        <x:v>ADMITTED</x:v>
      </x:c>
      <x:c r="F748" s="55" t="n">
        <x:v>30626</x:v>
      </x:c>
      <x:c r="G748" s="55" t="n">
        <x:v>6701</x:v>
      </x:c>
      <x:c r="H748" s="55" t="n">
        <x:v>3156</x:v>
      </x:c>
      <x:c r="I748" s="55" t="n">
        <x:v>1108</x:v>
      </x:c>
      <x:c r="J748" s="55" t="n">
        <x:v>133</x:v>
      </x:c>
      <x:c r="K748" s="55" t="n">
        <x:v>30626</x:v>
      </x:c>
      <x:c r="L748" s="55" t="n">
        <x:v>5873</x:v>
      </x:c>
      <x:c r="M748" s="55" t="n">
        <x:v>1472</x:v>
      </x:c>
      <x:c r="N748" s="55" t="n">
        <x:v>2786</x:v>
      </x:c>
      <x:c r="O748" s="55" t="n">
        <x:v>1615</x:v>
      </x:c>
      <x:c r="P748" s="55" t="n">
        <x:v>478</x:v>
      </x:c>
      <x:c r="Q748" s="55" t="n">
        <x:v>2522</x:v>
      </x:c>
      <x:c r="R748" s="55" t="n">
        <x:v>2007</x:v>
      </x:c>
      <x:c r="S748" s="55" t="n">
        <x:v>2469</x:v>
      </x:c>
      <x:c r="T748" s="55" t="n">
        <x:v>1249</x:v>
      </x:c>
      <x:c r="U748" s="55" t="n">
        <x:v>1860</x:v>
      </x:c>
      <x:c r="V748" s="55" t="n">
        <x:v>10541</x:v>
      </x:c>
      <x:c r="W748" s="55" t="n">
        <x:v>7474</x:v>
      </x:c>
      <x:c r="X748" s="55" t="n">
        <x:v>3067</x:v>
      </x:c>
      <x:c r="Y748" s="55" t="n">
        <x:v>2623</x:v>
      </x:c>
      <x:c r="Z748" s="55" t="n">
        <x:v>3588</x:v>
      </x:c>
      <x:c r="AA748" s="55" t="n">
        <x:v>3027</x:v>
      </x:c>
      <x:c r="AB748" s="55" t="n">
        <x:v>1217</x:v>
      </x:c>
      <x:c r="AC748" s="55" t="n">
        <x:v>8465</x:v>
      </x:c>
      <x:c r="AD748" s="55" t="n">
        <x:v>2753</x:v>
      </x:c>
      <x:c r="AE748" s="55" t="n">
        <x:v>10690</x:v>
      </x:c>
      <x:c r="AF748" s="55" t="n">
        <x:v>10541</x:v>
      </x:c>
      <x:c r="AG748" s="55" t="n">
        <x:v>149</x:v>
      </x:c>
      <x:c r="AH748" s="55" t="n">
        <x:v>240</x:v>
      </x:c>
      <x:c r="AI748" s="55" t="n">
        <x:v>10301</x:v>
      </x:c>
      <x:c r="AJ748" s="55" t="n">
        <x:v>419</x:v>
      </x:c>
      <x:c r="AK748" s="55" t="n">
        <x:v>757</x:v>
      </x:c>
      <x:c r="AL748" s="55" t="n">
        <x:v>1645</x:v>
      </x:c>
      <x:c r="AM748" s="55" t="n">
        <x:v>5249</x:v>
      </x:c>
      <x:c r="AN748" s="55" t="n">
        <x:v>2342</x:v>
      </x:c>
      <x:c r="AO748" s="55" t="n">
        <x:v>129</x:v>
      </x:c>
      <x:c r="AP748" s="55" t="n">
        <x:v>2463</x:v>
      </x:c>
      <x:c r="AQ748" s="55" t="n">
        <x:v>940</x:v>
      </x:c>
    </x:row>
    <x:row r="749">
      <x:c r="A749" s="54" t="str">
        <x:v>T2_CONCORDANT_DOMAIN</x:v>
      </x:c>
      <x:c r="B749" s="54" t="n">
        <x:v>743</x:v>
      </x:c>
      <x:c r="C749" s="54" t="str">
        <x:v>NYC-V2-R01</x:v>
      </x:c>
      <x:c r="D749" s="54" t="str">
        <x:v>V2</x:v>
      </x:c>
      <x:c r="E749" s="54" t="str">
        <x:v>ADMITTED</x:v>
      </x:c>
      <x:c r="F749" s="55" t="n">
        <x:v>30370</x:v>
      </x:c>
      <x:c r="G749" s="55" t="n">
        <x:v>6328</x:v>
      </x:c>
      <x:c r="H749" s="55" t="n">
        <x:v>2917</x:v>
      </x:c>
      <x:c r="I749" s="55" t="n">
        <x:v>909</x:v>
      </x:c>
      <x:c r="J749" s="55" t="n">
        <x:v>270</x:v>
      </x:c>
      <x:c r="K749" s="55" t="n">
        <x:v>25682</x:v>
      </x:c>
      <x:c r="L749" s="55" t="n">
        <x:v>2538</x:v>
      </x:c>
      <x:c r="M749" s="55" t="n">
        <x:v>0</x:v>
      </x:c>
      <x:c r="N749" s="55" t="n">
        <x:v>1617</x:v>
      </x:c>
      <x:c r="O749" s="55" t="n">
        <x:v>921</x:v>
      </x:c>
      <x:c r="P749" s="55" t="n">
        <x:v>485</x:v>
      </x:c>
      <x:c r="Q749" s="55" t="n">
        <x:v>1636</x:v>
      </x:c>
      <x:c r="R749" s="55" t="n">
        <x:v>1412</x:v>
      </x:c>
      <x:c r="S749" s="55" t="n">
        <x:v>1817</x:v>
      </x:c>
      <x:c r="T749" s="55" t="n">
        <x:v>896</x:v>
      </x:c>
      <x:c r="U749" s="55" t="n">
        <x:v>1363</x:v>
      </x:c>
      <x:c r="V749" s="55" t="n">
        <x:v>9789</x:v>
      </x:c>
      <x:c r="W749" s="55" t="n">
        <x:v>6985</x:v>
      </x:c>
      <x:c r="X749" s="55" t="n">
        <x:v>2804</x:v>
      </x:c>
      <x:c r="Y749" s="55" t="n">
        <x:v>2421</x:v>
      </x:c>
      <x:c r="Z749" s="55" t="n">
        <x:v>3315</x:v>
      </x:c>
      <x:c r="AA749" s="55" t="n">
        <x:v>2662</x:v>
      </x:c>
      <x:c r="AB749" s="55" t="n">
        <x:v>721</x:v>
      </x:c>
      <x:c r="AC749" s="55" t="n">
        <x:v>7205</x:v>
      </x:c>
      <x:c r="AD749" s="55" t="n">
        <x:v>2453</x:v>
      </x:c>
      <x:c r="AE749" s="55" t="n">
        <x:v>9789</x:v>
      </x:c>
      <x:c r="AF749" s="55" t="n">
        <x:v>9789</x:v>
      </x:c>
      <x:c r="AG749" s="55" t="n">
        <x:v>0</x:v>
      </x:c>
      <x:c r="AH749" s="55" t="n">
        <x:v>2</x:v>
      </x:c>
      <x:c r="AI749" s="55" t="n">
        <x:v>9787</x:v>
      </x:c>
      <x:c r="AJ749" s="55" t="n">
        <x:v>108</x:v>
      </x:c>
      <x:c r="AK749" s="55" t="n">
        <x:v>842</x:v>
      </x:c>
      <x:c r="AL749" s="55" t="n">
        <x:v>1613</x:v>
      </x:c>
      <x:c r="AM749" s="55" t="n">
        <x:v>4871</x:v>
      </x:c>
      <x:c r="AN749" s="55" t="n">
        <x:v>2355</x:v>
      </x:c>
      <x:c r="AO749" s="55" t="n">
        <x:v>0</x:v>
      </x:c>
      <x:c r="AP749" s="55" t="n">
        <x:v>2000</x:v>
      </x:c>
      <x:c r="AQ749" s="55" t="n">
        <x:v>949</x:v>
      </x:c>
    </x:row>
    <x:row r="750">
      <x:c r="A750" s="54" t="str">
        <x:v>T2_CONCORDANT_DOMAIN</x:v>
      </x:c>
      <x:c r="B750" s="54" t="n">
        <x:v>744</x:v>
      </x:c>
      <x:c r="C750" s="54" t="str">
        <x:v>NYC-V2-R01</x:v>
      </x:c>
      <x:c r="D750" s="54" t="str">
        <x:v>V2</x:v>
      </x:c>
      <x:c r="E750" s="54" t="str">
        <x:v>ADMITTED</x:v>
      </x:c>
      <x:c r="F750" s="55" t="n">
        <x:v>32243</x:v>
      </x:c>
      <x:c r="G750" s="55" t="n">
        <x:v>8229</x:v>
      </x:c>
      <x:c r="H750" s="55" t="n">
        <x:v>3057</x:v>
      </x:c>
      <x:c r="I750" s="55" t="n">
        <x:v>923</x:v>
      </x:c>
      <x:c r="J750" s="55" t="n">
        <x:v>211</x:v>
      </x:c>
      <x:c r="K750" s="55" t="n">
        <x:v>32243</x:v>
      </x:c>
      <x:c r="L750" s="55" t="n">
        <x:v>6662</x:v>
      </x:c>
      <x:c r="M750" s="55" t="n">
        <x:v>1690</x:v>
      </x:c>
      <x:c r="N750" s="55" t="n">
        <x:v>2937</x:v>
      </x:c>
      <x:c r="O750" s="55" t="n">
        <x:v>2035</x:v>
      </x:c>
      <x:c r="P750" s="55" t="n">
        <x:v>597</x:v>
      </x:c>
      <x:c r="Q750" s="55" t="n">
        <x:v>2965</x:v>
      </x:c>
      <x:c r="R750" s="55" t="n">
        <x:v>2341</x:v>
      </x:c>
      <x:c r="S750" s="55" t="n">
        <x:v>2715</x:v>
      </x:c>
      <x:c r="T750" s="55" t="n">
        <x:v>1396</x:v>
      </x:c>
      <x:c r="U750" s="55" t="n">
        <x:v>2362</x:v>
      </x:c>
      <x:c r="V750" s="55" t="n">
        <x:v>10125</x:v>
      </x:c>
      <x:c r="W750" s="55" t="n">
        <x:v>7341</x:v>
      </x:c>
      <x:c r="X750" s="55" t="n">
        <x:v>2784</x:v>
      </x:c>
      <x:c r="Y750" s="55" t="n">
        <x:v>2535</x:v>
      </x:c>
      <x:c r="Z750" s="55" t="n">
        <x:v>3319</x:v>
      </x:c>
      <x:c r="AA750" s="55" t="n">
        <x:v>3057</x:v>
      </x:c>
      <x:c r="AB750" s="55" t="n">
        <x:v>1147</x:v>
      </x:c>
      <x:c r="AC750" s="55" t="n">
        <x:v>7645</x:v>
      </x:c>
      <x:c r="AD750" s="55" t="n">
        <x:v>2913</x:v>
      </x:c>
      <x:c r="AE750" s="55" t="n">
        <x:v>10148</x:v>
      </x:c>
      <x:c r="AF750" s="55" t="n">
        <x:v>10125</x:v>
      </x:c>
      <x:c r="AG750" s="55" t="n">
        <x:v>23</x:v>
      </x:c>
      <x:c r="AH750" s="55" t="n">
        <x:v>400</x:v>
      </x:c>
      <x:c r="AI750" s="55" t="n">
        <x:v>9725</x:v>
      </x:c>
      <x:c r="AJ750" s="55" t="n">
        <x:v>180</x:v>
      </x:c>
      <x:c r="AK750" s="55" t="n">
        <x:v>795</x:v>
      </x:c>
      <x:c r="AL750" s="55" t="n">
        <x:v>1189</x:v>
      </x:c>
      <x:c r="AM750" s="55" t="n">
        <x:v>5031</x:v>
      </x:c>
      <x:c r="AN750" s="55" t="n">
        <x:v>2930</x:v>
      </x:c>
      <x:c r="AO750" s="55" t="n">
        <x:v>0</x:v>
      </x:c>
      <x:c r="AP750" s="55" t="n">
        <x:v>2560</x:v>
      </x:c>
      <x:c r="AQ750" s="55" t="n">
        <x:v>956</x:v>
      </x:c>
    </x:row>
    <x:row r="751">
      <x:c r="A751" s="54" t="str">
        <x:v>T2_CONCORDANT_DOMAIN</x:v>
      </x:c>
      <x:c r="B751" s="54" t="n">
        <x:v>745</x:v>
      </x:c>
      <x:c r="C751" s="54" t="str">
        <x:v>NYC-V2-R01</x:v>
      </x:c>
      <x:c r="D751" s="54" t="str">
        <x:v>V2</x:v>
      </x:c>
      <x:c r="E751" s="54" t="str">
        <x:v>ADMITTED</x:v>
      </x:c>
      <x:c r="F751" s="55" t="n">
        <x:v>30887</x:v>
      </x:c>
      <x:c r="G751" s="55" t="n">
        <x:v>7896</x:v>
      </x:c>
      <x:c r="H751" s="55" t="n">
        <x:v>3305</x:v>
      </x:c>
      <x:c r="I751" s="55" t="n">
        <x:v>1252</x:v>
      </x:c>
      <x:c r="J751" s="55" t="n">
        <x:v>184</x:v>
      </x:c>
      <x:c r="K751" s="55" t="n">
        <x:v>30887</x:v>
      </x:c>
      <x:c r="L751" s="55" t="n">
        <x:v>6961</x:v>
      </x:c>
      <x:c r="M751" s="55" t="n">
        <x:v>2156</x:v>
      </x:c>
      <x:c r="N751" s="55" t="n">
        <x:v>3018</x:v>
      </x:c>
      <x:c r="O751" s="55" t="n">
        <x:v>1787</x:v>
      </x:c>
      <x:c r="P751" s="55" t="n">
        <x:v>979</x:v>
      </x:c>
      <x:c r="Q751" s="55" t="n">
        <x:v>3006</x:v>
      </x:c>
      <x:c r="R751" s="55" t="n">
        <x:v>2283</x:v>
      </x:c>
      <x:c r="S751" s="55" t="n">
        <x:v>2830</x:v>
      </x:c>
      <x:c r="T751" s="55" t="n">
        <x:v>1300</x:v>
      </x:c>
      <x:c r="U751" s="55" t="n">
        <x:v>2110</x:v>
      </x:c>
      <x:c r="V751" s="55" t="n">
        <x:v>10820</x:v>
      </x:c>
      <x:c r="W751" s="55" t="n">
        <x:v>7919</x:v>
      </x:c>
      <x:c r="X751" s="55" t="n">
        <x:v>2901</x:v>
      </x:c>
      <x:c r="Y751" s="55" t="n">
        <x:v>2507</x:v>
      </x:c>
      <x:c r="Z751" s="55" t="n">
        <x:v>3602</x:v>
      </x:c>
      <x:c r="AA751" s="55" t="n">
        <x:v>3305</x:v>
      </x:c>
      <x:c r="AB751" s="55" t="n">
        <x:v>967</x:v>
      </x:c>
      <x:c r="AC751" s="55" t="n">
        <x:v>8329</x:v>
      </x:c>
      <x:c r="AD751" s="55" t="n">
        <x:v>2275</x:v>
      </x:c>
      <x:c r="AE751" s="55" t="n">
        <x:v>10957</x:v>
      </x:c>
      <x:c r="AF751" s="55" t="n">
        <x:v>10820</x:v>
      </x:c>
      <x:c r="AG751" s="55" t="n">
        <x:v>137</x:v>
      </x:c>
      <x:c r="AH751" s="55" t="n">
        <x:v>643</x:v>
      </x:c>
      <x:c r="AI751" s="55" t="n">
        <x:v>10177</x:v>
      </x:c>
      <x:c r="AJ751" s="55" t="n">
        <x:v>482</x:v>
      </x:c>
      <x:c r="AK751" s="55" t="n">
        <x:v>855</x:v>
      </x:c>
      <x:c r="AL751" s="55" t="n">
        <x:v>1705</x:v>
      </x:c>
      <x:c r="AM751" s="55" t="n">
        <x:v>5129</x:v>
      </x:c>
      <x:c r="AN751" s="55" t="n">
        <x:v>2620</x:v>
      </x:c>
      <x:c r="AO751" s="55" t="n">
        <x:v>29</x:v>
      </x:c>
      <x:c r="AP751" s="55" t="n">
        <x:v>2323</x:v>
      </x:c>
      <x:c r="AQ751" s="55" t="n">
        <x:v>916</x:v>
      </x:c>
    </x:row>
    <x:row r="752">
      <x:c r="A752" s="54" t="str">
        <x:v>T2_CONCORDANT_DOMAIN</x:v>
      </x:c>
      <x:c r="B752" s="54" t="n">
        <x:v>746</x:v>
      </x:c>
      <x:c r="C752" s="54" t="str">
        <x:v>NYC-V2-R01</x:v>
      </x:c>
      <x:c r="D752" s="54" t="str">
        <x:v>V2</x:v>
      </x:c>
      <x:c r="E752" s="54" t="str">
        <x:v>ADMITTED</x:v>
      </x:c>
      <x:c r="F752" s="55" t="n">
        <x:v>30944</x:v>
      </x:c>
      <x:c r="G752" s="55" t="n">
        <x:v>6865</x:v>
      </x:c>
      <x:c r="H752" s="55" t="n">
        <x:v>2998</x:v>
      </x:c>
      <x:c r="I752" s="55" t="n">
        <x:v>595</x:v>
      </x:c>
      <x:c r="J752" s="55" t="n">
        <x:v>0</x:v>
      </x:c>
      <x:c r="K752" s="55" t="n">
        <x:v>30944</x:v>
      </x:c>
      <x:c r="L752" s="55" t="n">
        <x:v>4821</x:v>
      </x:c>
      <x:c r="M752" s="55" t="n">
        <x:v>603</x:v>
      </x:c>
      <x:c r="N752" s="55" t="n">
        <x:v>2490</x:v>
      </x:c>
      <x:c r="O752" s="55" t="n">
        <x:v>1728</x:v>
      </x:c>
      <x:c r="P752" s="55" t="n">
        <x:v>567</x:v>
      </x:c>
      <x:c r="Q752" s="55" t="n">
        <x:v>1686</x:v>
      </x:c>
      <x:c r="R752" s="55" t="n">
        <x:v>1392</x:v>
      </x:c>
      <x:c r="S752" s="55" t="n">
        <x:v>2513</x:v>
      </x:c>
      <x:c r="T752" s="55" t="n">
        <x:v>1228</x:v>
      </x:c>
      <x:c r="U752" s="55" t="n">
        <x:v>2055</x:v>
      </x:c>
      <x:c r="V752" s="55" t="n">
        <x:v>10270</x:v>
      </x:c>
      <x:c r="W752" s="55" t="n">
        <x:v>7044</x:v>
      </x:c>
      <x:c r="X752" s="55" t="n">
        <x:v>3226</x:v>
      </x:c>
      <x:c r="Y752" s="55" t="n">
        <x:v>2949</x:v>
      </x:c>
      <x:c r="Z752" s="55" t="n">
        <x:v>3236</x:v>
      </x:c>
      <x:c r="AA752" s="55" t="n">
        <x:v>2998</x:v>
      </x:c>
      <x:c r="AB752" s="55" t="n">
        <x:v>750</x:v>
      </x:c>
      <x:c r="AC752" s="55" t="n">
        <x:v>7620</x:v>
      </x:c>
      <x:c r="AD752" s="55" t="n">
        <x:v>2905</x:v>
      </x:c>
      <x:c r="AE752" s="55" t="n">
        <x:v>10367</x:v>
      </x:c>
      <x:c r="AF752" s="55" t="n">
        <x:v>10270</x:v>
      </x:c>
      <x:c r="AG752" s="55" t="n">
        <x:v>97</x:v>
      </x:c>
      <x:c r="AH752" s="55" t="n">
        <x:v>355</x:v>
      </x:c>
      <x:c r="AI752" s="55" t="n">
        <x:v>9915</x:v>
      </x:c>
      <x:c r="AJ752" s="55" t="n">
        <x:v>365</x:v>
      </x:c>
      <x:c r="AK752" s="55" t="n">
        <x:v>697</x:v>
      </x:c>
      <x:c r="AL752" s="55" t="n">
        <x:v>1370</x:v>
      </x:c>
      <x:c r="AM752" s="55" t="n">
        <x:v>5507</x:v>
      </x:c>
      <x:c r="AN752" s="55" t="n">
        <x:v>2331</x:v>
      </x:c>
      <x:c r="AO752" s="55" t="n">
        <x:v>0</x:v>
      </x:c>
      <x:c r="AP752" s="55" t="n">
        <x:v>2235</x:v>
      </x:c>
      <x:c r="AQ752" s="55" t="n">
        <x:v>922</x:v>
      </x:c>
    </x:row>
    <x:row r="753">
      <x:c r="A753" s="54" t="str">
        <x:v>T2_CONCORDANT_DOMAIN</x:v>
      </x:c>
      <x:c r="B753" s="54" t="n">
        <x:v>747</x:v>
      </x:c>
      <x:c r="C753" s="54" t="str">
        <x:v>NYC-V2-R01</x:v>
      </x:c>
      <x:c r="D753" s="54" t="str">
        <x:v>V2</x:v>
      </x:c>
      <x:c r="E753" s="54" t="str">
        <x:v>ADMITTED</x:v>
      </x:c>
      <x:c r="F753" s="55" t="n">
        <x:v>32111</x:v>
      </x:c>
      <x:c r="G753" s="55" t="n">
        <x:v>7195</x:v>
      </x:c>
      <x:c r="H753" s="55" t="n">
        <x:v>3183</x:v>
      </x:c>
      <x:c r="I753" s="55" t="n">
        <x:v>1535</x:v>
      </x:c>
      <x:c r="J753" s="55" t="n">
        <x:v>274</x:v>
      </x:c>
      <x:c r="K753" s="55" t="n">
        <x:v>32111</x:v>
      </x:c>
      <x:c r="L753" s="55" t="n">
        <x:v>5955</x:v>
      </x:c>
      <x:c r="M753" s="55" t="n">
        <x:v>1296</x:v>
      </x:c>
      <x:c r="N753" s="55" t="n">
        <x:v>2914</x:v>
      </x:c>
      <x:c r="O753" s="55" t="n">
        <x:v>1745</x:v>
      </x:c>
      <x:c r="P753" s="55" t="n">
        <x:v>1134</x:v>
      </x:c>
      <x:c r="Q753" s="55" t="n">
        <x:v>2423</x:v>
      </x:c>
      <x:c r="R753" s="55" t="n">
        <x:v>2244</x:v>
      </x:c>
      <x:c r="S753" s="55" t="n">
        <x:v>3016</x:v>
      </x:c>
      <x:c r="T753" s="55" t="n">
        <x:v>1018</x:v>
      </x:c>
      <x:c r="U753" s="55" t="n">
        <x:v>2453</x:v>
      </x:c>
      <x:c r="V753" s="55" t="n">
        <x:v>10535</x:v>
      </x:c>
      <x:c r="W753" s="55" t="n">
        <x:v>7260</x:v>
      </x:c>
      <x:c r="X753" s="55" t="n">
        <x:v>3275</x:v>
      </x:c>
      <x:c r="Y753" s="55" t="n">
        <x:v>2797</x:v>
      </x:c>
      <x:c r="Z753" s="55" t="n">
        <x:v>4202</x:v>
      </x:c>
      <x:c r="AA753" s="55" t="n">
        <x:v>3123</x:v>
      </x:c>
      <x:c r="AB753" s="55" t="n">
        <x:v>1251</x:v>
      </x:c>
      <x:c r="AC753" s="55" t="n">
        <x:v>8880</x:v>
      </x:c>
      <x:c r="AD753" s="55" t="n">
        <x:v>3323</x:v>
      </x:c>
      <x:c r="AE753" s="55" t="n">
        <x:v>10706</x:v>
      </x:c>
      <x:c r="AF753" s="55" t="n">
        <x:v>10535</x:v>
      </x:c>
      <x:c r="AG753" s="55" t="n">
        <x:v>171</x:v>
      </x:c>
      <x:c r="AH753" s="55" t="n">
        <x:v>513</x:v>
      </x:c>
      <x:c r="AI753" s="55" t="n">
        <x:v>10022</x:v>
      </x:c>
      <x:c r="AJ753" s="55" t="n">
        <x:v>488</x:v>
      </x:c>
      <x:c r="AK753" s="55" t="n">
        <x:v>1108</x:v>
      </x:c>
      <x:c r="AL753" s="55" t="n">
        <x:v>1681</x:v>
      </x:c>
      <x:c r="AM753" s="55" t="n">
        <x:v>4455</x:v>
      </x:c>
      <x:c r="AN753" s="55" t="n">
        <x:v>2746</x:v>
      </x:c>
      <x:c r="AO753" s="55" t="n">
        <x:v>57</x:v>
      </x:c>
      <x:c r="AP753" s="55" t="n">
        <x:v>2611</x:v>
      </x:c>
      <x:c r="AQ753" s="55" t="n">
        <x:v>966</x:v>
      </x:c>
    </x:row>
    <x:row r="754">
      <x:c r="A754" s="54" t="str">
        <x:v>T2_CONCORDANT_DOMAIN</x:v>
      </x:c>
      <x:c r="B754" s="54" t="n">
        <x:v>748</x:v>
      </x:c>
      <x:c r="C754" s="54" t="str">
        <x:v>NYC-V2-R01</x:v>
      </x:c>
      <x:c r="D754" s="54" t="str">
        <x:v>V2</x:v>
      </x:c>
      <x:c r="E754" s="54" t="str">
        <x:v>ADMITTED</x:v>
      </x:c>
      <x:c r="F754" s="55" t="n">
        <x:v>31972</x:v>
      </x:c>
      <x:c r="G754" s="55" t="n">
        <x:v>8132</x:v>
      </x:c>
      <x:c r="H754" s="55" t="n">
        <x:v>2861</x:v>
      </x:c>
      <x:c r="I754" s="55" t="n">
        <x:v>1061</x:v>
      </x:c>
      <x:c r="J754" s="55" t="n">
        <x:v>110</x:v>
      </x:c>
      <x:c r="K754" s="55" t="n">
        <x:v>30301</x:v>
      </x:c>
      <x:c r="L754" s="55" t="n">
        <x:v>4499</x:v>
      </x:c>
      <x:c r="M754" s="55" t="n">
        <x:v>1246</x:v>
      </x:c>
      <x:c r="N754" s="55" t="n">
        <x:v>1991</x:v>
      </x:c>
      <x:c r="O754" s="55" t="n">
        <x:v>1262</x:v>
      </x:c>
      <x:c r="P754" s="55" t="n">
        <x:v>633</x:v>
      </x:c>
      <x:c r="Q754" s="55" t="n">
        <x:v>2535</x:v>
      </x:c>
      <x:c r="R754" s="55" t="n">
        <x:v>1715</x:v>
      </x:c>
      <x:c r="S754" s="55" t="n">
        <x:v>2143</x:v>
      </x:c>
      <x:c r="T754" s="55" t="n">
        <x:v>1087</x:v>
      </x:c>
      <x:c r="U754" s="55" t="n">
        <x:v>1642</x:v>
      </x:c>
      <x:c r="V754" s="55" t="n">
        <x:v>10328</x:v>
      </x:c>
      <x:c r="W754" s="55" t="n">
        <x:v>7068</x:v>
      </x:c>
      <x:c r="X754" s="55" t="n">
        <x:v>3260</x:v>
      </x:c>
      <x:c r="Y754" s="55" t="n">
        <x:v>2878</x:v>
      </x:c>
      <x:c r="Z754" s="55" t="n">
        <x:v>3746</x:v>
      </x:c>
      <x:c r="AA754" s="55" t="n">
        <x:v>2599</x:v>
      </x:c>
      <x:c r="AB754" s="55" t="n">
        <x:v>841</x:v>
      </x:c>
      <x:c r="AC754" s="55" t="n">
        <x:v>7964</x:v>
      </x:c>
      <x:c r="AD754" s="55" t="n">
        <x:v>2926</x:v>
      </x:c>
      <x:c r="AE754" s="55" t="n">
        <x:v>10401</x:v>
      </x:c>
      <x:c r="AF754" s="55" t="n">
        <x:v>10328</x:v>
      </x:c>
      <x:c r="AG754" s="55" t="n">
        <x:v>73</x:v>
      </x:c>
      <x:c r="AH754" s="55" t="n">
        <x:v>566</x:v>
      </x:c>
      <x:c r="AI754" s="55" t="n">
        <x:v>9762</x:v>
      </x:c>
      <x:c r="AJ754" s="55" t="n">
        <x:v>554</x:v>
      </x:c>
      <x:c r="AK754" s="55" t="n">
        <x:v>955</x:v>
      </x:c>
      <x:c r="AL754" s="55" t="n">
        <x:v>1318</x:v>
      </x:c>
      <x:c r="AM754" s="55" t="n">
        <x:v>5166</x:v>
      </x:c>
      <x:c r="AN754" s="55" t="n">
        <x:v>2300</x:v>
      </x:c>
      <x:c r="AO754" s="55" t="n">
        <x:v>35</x:v>
      </x:c>
      <x:c r="AP754" s="55" t="n">
        <x:v>2259</x:v>
      </x:c>
      <x:c r="AQ754" s="55" t="n">
        <x:v>931</x:v>
      </x:c>
    </x:row>
    <x:row r="755">
      <x:c r="A755" s="54" t="str">
        <x:v>T2_CONCORDANT_DOMAIN</x:v>
      </x:c>
      <x:c r="B755" s="54" t="n">
        <x:v>749</x:v>
      </x:c>
      <x:c r="C755" s="54" t="str">
        <x:v>NYC-V2-R01</x:v>
      </x:c>
      <x:c r="D755" s="54" t="str">
        <x:v>V2</x:v>
      </x:c>
      <x:c r="E755" s="54" t="str">
        <x:v>ADMITTED</x:v>
      </x:c>
      <x:c r="F755" s="55" t="n">
        <x:v>30832</x:v>
      </x:c>
      <x:c r="G755" s="55" t="n">
        <x:v>7990</x:v>
      </x:c>
      <x:c r="H755" s="55" t="n">
        <x:v>2973</x:v>
      </x:c>
      <x:c r="I755" s="55" t="n">
        <x:v>1311</x:v>
      </x:c>
      <x:c r="J755" s="55" t="n">
        <x:v>143</x:v>
      </x:c>
      <x:c r="K755" s="55" t="n">
        <x:v>30115</x:v>
      </x:c>
      <x:c r="L755" s="55" t="n">
        <x:v>4811</x:v>
      </x:c>
      <x:c r="M755" s="55" t="n">
        <x:v>1149</x:v>
      </x:c>
      <x:c r="N755" s="55" t="n">
        <x:v>2190</x:v>
      </x:c>
      <x:c r="O755" s="55" t="n">
        <x:v>1472</x:v>
      </x:c>
      <x:c r="P755" s="55" t="n">
        <x:v>813</x:v>
      </x:c>
      <x:c r="Q755" s="55" t="n">
        <x:v>2150</x:v>
      </x:c>
      <x:c r="R755" s="55" t="n">
        <x:v>1585</x:v>
      </x:c>
      <x:c r="S755" s="55" t="n">
        <x:v>2489</x:v>
      </x:c>
      <x:c r="T755" s="55" t="n">
        <x:v>1017</x:v>
      </x:c>
      <x:c r="U755" s="55" t="n">
        <x:v>1948</x:v>
      </x:c>
      <x:c r="V755" s="55" t="n">
        <x:v>9859</x:v>
      </x:c>
      <x:c r="W755" s="55" t="n">
        <x:v>7131</x:v>
      </x:c>
      <x:c r="X755" s="55" t="n">
        <x:v>2728</x:v>
      </x:c>
      <x:c r="Y755" s="55" t="n">
        <x:v>2293</x:v>
      </x:c>
      <x:c r="Z755" s="55" t="n">
        <x:v>3570</x:v>
      </x:c>
      <x:c r="AA755" s="55" t="n">
        <x:v>2794</x:v>
      </x:c>
      <x:c r="AB755" s="55" t="n">
        <x:v>872</x:v>
      </x:c>
      <x:c r="AC755" s="55" t="n">
        <x:v>7962</x:v>
      </x:c>
      <x:c r="AD755" s="55" t="n">
        <x:v>2770</x:v>
      </x:c>
      <x:c r="AE755" s="55" t="n">
        <x:v>9992</x:v>
      </x:c>
      <x:c r="AF755" s="55" t="n">
        <x:v>9859</x:v>
      </x:c>
      <x:c r="AG755" s="55" t="n">
        <x:v>133</x:v>
      </x:c>
      <x:c r="AH755" s="55" t="n">
        <x:v>185</x:v>
      </x:c>
      <x:c r="AI755" s="55" t="n">
        <x:v>9674</x:v>
      </x:c>
      <x:c r="AJ755" s="55" t="n">
        <x:v>371</x:v>
      </x:c>
      <x:c r="AK755" s="55" t="n">
        <x:v>950</x:v>
      </x:c>
      <x:c r="AL755" s="55" t="n">
        <x:v>1278</x:v>
      </x:c>
      <x:c r="AM755" s="55" t="n">
        <x:v>4541</x:v>
      </x:c>
      <x:c r="AN755" s="55" t="n">
        <x:v>2719</x:v>
      </x:c>
      <x:c r="AO755" s="55" t="n">
        <x:v>0</x:v>
      </x:c>
      <x:c r="AP755" s="55" t="n">
        <x:v>2304</x:v>
      </x:c>
      <x:c r="AQ755" s="55" t="n">
        <x:v>956</x:v>
      </x:c>
    </x:row>
    <x:row r="756">
      <x:c r="A756" s="54" t="str">
        <x:v>T2_CONCORDANT_DOMAIN</x:v>
      </x:c>
      <x:c r="B756" s="54" t="n">
        <x:v>750</x:v>
      </x:c>
      <x:c r="C756" s="54" t="str">
        <x:v>NYC-V2-R01</x:v>
      </x:c>
      <x:c r="D756" s="54" t="str">
        <x:v>V2</x:v>
      </x:c>
      <x:c r="E756" s="54" t="str">
        <x:v>ADMITTED</x:v>
      </x:c>
      <x:c r="F756" s="55" t="n">
        <x:v>30553</x:v>
      </x:c>
      <x:c r="G756" s="55" t="n">
        <x:v>7386</x:v>
      </x:c>
      <x:c r="H756" s="55" t="n">
        <x:v>3556</x:v>
      </x:c>
      <x:c r="I756" s="55" t="n">
        <x:v>1557</x:v>
      </x:c>
      <x:c r="J756" s="55" t="n">
        <x:v>254</x:v>
      </x:c>
      <x:c r="K756" s="55" t="n">
        <x:v>30025</x:v>
      </x:c>
      <x:c r="L756" s="55" t="n">
        <x:v>6178</x:v>
      </x:c>
      <x:c r="M756" s="55" t="n">
        <x:v>1164</x:v>
      </x:c>
      <x:c r="N756" s="55" t="n">
        <x:v>2862</x:v>
      </x:c>
      <x:c r="O756" s="55" t="n">
        <x:v>2152</x:v>
      </x:c>
      <x:c r="P756" s="55" t="n">
        <x:v>1218</x:v>
      </x:c>
      <x:c r="Q756" s="55" t="n">
        <x:v>2522</x:v>
      </x:c>
      <x:c r="R756" s="55" t="n">
        <x:v>2259</x:v>
      </x:c>
      <x:c r="S756" s="55" t="n">
        <x:v>3314</x:v>
      </x:c>
      <x:c r="T756" s="55" t="n">
        <x:v>1459</x:v>
      </x:c>
      <x:c r="U756" s="55" t="n">
        <x:v>2162</x:v>
      </x:c>
      <x:c r="V756" s="55" t="n">
        <x:v>10886</x:v>
      </x:c>
      <x:c r="W756" s="55" t="n">
        <x:v>7583</x:v>
      </x:c>
      <x:c r="X756" s="55" t="n">
        <x:v>3303</x:v>
      </x:c>
      <x:c r="Y756" s="55" t="n">
        <x:v>2751</x:v>
      </x:c>
      <x:c r="Z756" s="55" t="n">
        <x:v>3899</x:v>
      </x:c>
      <x:c r="AA756" s="55" t="n">
        <x:v>3556</x:v>
      </x:c>
      <x:c r="AB756" s="55" t="n">
        <x:v>1184</x:v>
      </x:c>
      <x:c r="AC756" s="55" t="n">
        <x:v>8741</x:v>
      </x:c>
      <x:c r="AD756" s="55" t="n">
        <x:v>3300</x:v>
      </x:c>
      <x:c r="AE756" s="55" t="n">
        <x:v>11018</x:v>
      </x:c>
      <x:c r="AF756" s="55" t="n">
        <x:v>10886</x:v>
      </x:c>
      <x:c r="AG756" s="55" t="n">
        <x:v>132</x:v>
      </x:c>
      <x:c r="AH756" s="55" t="n">
        <x:v>631</x:v>
      </x:c>
      <x:c r="AI756" s="55" t="n">
        <x:v>10255</x:v>
      </x:c>
      <x:c r="AJ756" s="55" t="n">
        <x:v>276</x:v>
      </x:c>
      <x:c r="AK756" s="55" t="n">
        <x:v>1082</x:v>
      </x:c>
      <x:c r="AL756" s="55" t="n">
        <x:v>1611</x:v>
      </x:c>
      <x:c r="AM756" s="55" t="n">
        <x:v>5262</x:v>
      </x:c>
      <x:c r="AN756" s="55" t="n">
        <x:v>2620</x:v>
      </x:c>
      <x:c r="AO756" s="55" t="n">
        <x:v>35</x:v>
      </x:c>
      <x:c r="AP756" s="55" t="n">
        <x:v>2577</x:v>
      </x:c>
      <x:c r="AQ756" s="55" t="n">
        <x:v>976</x:v>
      </x:c>
    </x:row>
    <x:row r="757">
      <x:c r="A757" s="54" t="str">
        <x:v>T2_CONCORDANT_DOMAIN</x:v>
      </x:c>
      <x:c r="B757" s="54" t="n">
        <x:v>751</x:v>
      </x:c>
      <x:c r="C757" s="54" t="str">
        <x:v>NYC-V2-R01</x:v>
      </x:c>
      <x:c r="D757" s="54" t="str">
        <x:v>V2</x:v>
      </x:c>
      <x:c r="E757" s="54" t="str">
        <x:v>ADMITTED</x:v>
      </x:c>
      <x:c r="F757" s="55" t="n">
        <x:v>33602</x:v>
      </x:c>
      <x:c r="G757" s="55" t="n">
        <x:v>8058</x:v>
      </x:c>
      <x:c r="H757" s="55" t="n">
        <x:v>3378</x:v>
      </x:c>
      <x:c r="I757" s="55" t="n">
        <x:v>1435</x:v>
      </x:c>
      <x:c r="J757" s="55" t="n">
        <x:v>171</x:v>
      </x:c>
      <x:c r="K757" s="55" t="n">
        <x:v>33602</x:v>
      </x:c>
      <x:c r="L757" s="55" t="n">
        <x:v>6794</x:v>
      </x:c>
      <x:c r="M757" s="55" t="n">
        <x:v>1939</x:v>
      </x:c>
      <x:c r="N757" s="55" t="n">
        <x:v>2629</x:v>
      </x:c>
      <x:c r="O757" s="55" t="n">
        <x:v>2226</x:v>
      </x:c>
      <x:c r="P757" s="55" t="n">
        <x:v>840</x:v>
      </x:c>
      <x:c r="Q757" s="55" t="n">
        <x:v>2397</x:v>
      </x:c>
      <x:c r="R757" s="55" t="n">
        <x:v>1837</x:v>
      </x:c>
      <x:c r="S757" s="55" t="n">
        <x:v>2615</x:v>
      </x:c>
      <x:c r="T757" s="55" t="n">
        <x:v>1570</x:v>
      </x:c>
      <x:c r="U757" s="55" t="n">
        <x:v>2047</x:v>
      </x:c>
      <x:c r="V757" s="55" t="n">
        <x:v>10715</x:v>
      </x:c>
      <x:c r="W757" s="55" t="n">
        <x:v>7805</x:v>
      </x:c>
      <x:c r="X757" s="55" t="n">
        <x:v>2910</x:v>
      </x:c>
      <x:c r="Y757" s="55" t="n">
        <x:v>2778</x:v>
      </x:c>
      <x:c r="Z757" s="55" t="n">
        <x:v>3919</x:v>
      </x:c>
      <x:c r="AA757" s="55" t="n">
        <x:v>3378</x:v>
      </x:c>
      <x:c r="AB757" s="55" t="n">
        <x:v>1201</x:v>
      </x:c>
      <x:c r="AC757" s="55" t="n">
        <x:v>8313</x:v>
      </x:c>
      <x:c r="AD757" s="55" t="n">
        <x:v>3165</x:v>
      </x:c>
      <x:c r="AE757" s="55" t="n">
        <x:v>10835</x:v>
      </x:c>
      <x:c r="AF757" s="55" t="n">
        <x:v>10715</x:v>
      </x:c>
      <x:c r="AG757" s="55" t="n">
        <x:v>120</x:v>
      </x:c>
      <x:c r="AH757" s="55" t="n">
        <x:v>467</x:v>
      </x:c>
      <x:c r="AI757" s="55" t="n">
        <x:v>10248</x:v>
      </x:c>
      <x:c r="AJ757" s="55" t="n">
        <x:v>378</x:v>
      </x:c>
      <x:c r="AK757" s="55" t="n">
        <x:v>881</x:v>
      </x:c>
      <x:c r="AL757" s="55" t="n">
        <x:v>1616</x:v>
      </x:c>
      <x:c r="AM757" s="55" t="n">
        <x:v>5201</x:v>
      </x:c>
      <x:c r="AN757" s="55" t="n">
        <x:v>2606</x:v>
      </x:c>
      <x:c r="AO757" s="55" t="n">
        <x:v>33</x:v>
      </x:c>
      <x:c r="AP757" s="55" t="n">
        <x:v>2581</x:v>
      </x:c>
      <x:c r="AQ757" s="55" t="n">
        <x:v>954</x:v>
      </x:c>
    </x:row>
    <x:row r="758">
      <x:c r="A758" s="54" t="str">
        <x:v>T2_CONCORDANT_DOMAIN</x:v>
      </x:c>
      <x:c r="B758" s="54" t="n">
        <x:v>752</x:v>
      </x:c>
      <x:c r="C758" s="54" t="str">
        <x:v>NYC-V2-R01</x:v>
      </x:c>
      <x:c r="D758" s="54" t="str">
        <x:v>V2</x:v>
      </x:c>
      <x:c r="E758" s="54" t="str">
        <x:v>ADMITTED</x:v>
      </x:c>
      <x:c r="F758" s="55" t="n">
        <x:v>31346</x:v>
      </x:c>
      <x:c r="G758" s="55" t="n">
        <x:v>8380</x:v>
      </x:c>
      <x:c r="H758" s="55" t="n">
        <x:v>3299</x:v>
      </x:c>
      <x:c r="I758" s="55" t="n">
        <x:v>1144</x:v>
      </x:c>
      <x:c r="J758" s="55" t="n">
        <x:v>60</x:v>
      </x:c>
      <x:c r="K758" s="55" t="n">
        <x:v>29638</x:v>
      </x:c>
      <x:c r="L758" s="55" t="n">
        <x:v>5342</x:v>
      </x:c>
      <x:c r="M758" s="55" t="n">
        <x:v>1029</x:v>
      </x:c>
      <x:c r="N758" s="55" t="n">
        <x:v>2538</x:v>
      </x:c>
      <x:c r="O758" s="55" t="n">
        <x:v>1775</x:v>
      </x:c>
      <x:c r="P758" s="55" t="n">
        <x:v>642</x:v>
      </x:c>
      <x:c r="Q758" s="55" t="n">
        <x:v>2451</x:v>
      </x:c>
      <x:c r="R758" s="55" t="n">
        <x:v>1780</x:v>
      </x:c>
      <x:c r="S758" s="55" t="n">
        <x:v>2735</x:v>
      </x:c>
      <x:c r="T758" s="55" t="n">
        <x:v>971</x:v>
      </x:c>
      <x:c r="U758" s="55" t="n">
        <x:v>2004</x:v>
      </x:c>
      <x:c r="V758" s="55" t="n">
        <x:v>10903</x:v>
      </x:c>
      <x:c r="W758" s="55" t="n">
        <x:v>8022</x:v>
      </x:c>
      <x:c r="X758" s="55" t="n">
        <x:v>2881</x:v>
      </x:c>
      <x:c r="Y758" s="55" t="n">
        <x:v>2432</x:v>
      </x:c>
      <x:c r="Z758" s="55" t="n">
        <x:v>3709</x:v>
      </x:c>
      <x:c r="AA758" s="55" t="n">
        <x:v>3299</x:v>
      </x:c>
      <x:c r="AB758" s="55" t="n">
        <x:v>1008</x:v>
      </x:c>
      <x:c r="AC758" s="55" t="n">
        <x:v>8252</x:v>
      </x:c>
      <x:c r="AD758" s="55" t="n">
        <x:v>2656</x:v>
      </x:c>
      <x:c r="AE758" s="55" t="n">
        <x:v>10975</x:v>
      </x:c>
      <x:c r="AF758" s="55" t="n">
        <x:v>10903</x:v>
      </x:c>
      <x:c r="AG758" s="55" t="n">
        <x:v>72</x:v>
      </x:c>
      <x:c r="AH758" s="55" t="n">
        <x:v>258</x:v>
      </x:c>
      <x:c r="AI758" s="55" t="n">
        <x:v>10645</x:v>
      </x:c>
      <x:c r="AJ758" s="55" t="n">
        <x:v>395</x:v>
      </x:c>
      <x:c r="AK758" s="55" t="n">
        <x:v>635</x:v>
      </x:c>
      <x:c r="AL758" s="55" t="n">
        <x:v>1899</x:v>
      </x:c>
      <x:c r="AM758" s="55" t="n">
        <x:v>4628</x:v>
      </x:c>
      <x:c r="AN758" s="55" t="n">
        <x:v>3322</x:v>
      </x:c>
      <x:c r="AO758" s="55" t="n">
        <x:v>24</x:v>
      </x:c>
      <x:c r="AP758" s="55" t="n">
        <x:v>1933</x:v>
      </x:c>
      <x:c r="AQ758" s="55" t="n">
        <x:v>979</x:v>
      </x:c>
    </x:row>
    <x:row r="759">
      <x:c r="A759" s="54" t="str">
        <x:v>T2_CONCORDANT_DOMAIN</x:v>
      </x:c>
      <x:c r="B759" s="54" t="n">
        <x:v>753</x:v>
      </x:c>
      <x:c r="C759" s="54" t="str">
        <x:v>NYC-V2-R01</x:v>
      </x:c>
      <x:c r="D759" s="54" t="str">
        <x:v>V2</x:v>
      </x:c>
      <x:c r="E759" s="54" t="str">
        <x:v>ADMITTED</x:v>
      </x:c>
      <x:c r="F759" s="55" t="n">
        <x:v>32160</x:v>
      </x:c>
      <x:c r="G759" s="55" t="n">
        <x:v>8219</x:v>
      </x:c>
      <x:c r="H759" s="55" t="n">
        <x:v>3081</x:v>
      </x:c>
      <x:c r="I759" s="55" t="n">
        <x:v>928</x:v>
      </x:c>
      <x:c r="J759" s="55" t="n">
        <x:v>36</x:v>
      </x:c>
      <x:c r="K759" s="55" t="n">
        <x:v>32160</x:v>
      </x:c>
      <x:c r="L759" s="55" t="n">
        <x:v>6682</x:v>
      </x:c>
      <x:c r="M759" s="55" t="n">
        <x:v>1488</x:v>
      </x:c>
      <x:c r="N759" s="55" t="n">
        <x:v>3319</x:v>
      </x:c>
      <x:c r="O759" s="55" t="n">
        <x:v>1875</x:v>
      </x:c>
      <x:c r="P759" s="55" t="n">
        <x:v>806</x:v>
      </x:c>
      <x:c r="Q759" s="55" t="n">
        <x:v>2669</x:v>
      </x:c>
      <x:c r="R759" s="55" t="n">
        <x:v>1703</x:v>
      </x:c>
      <x:c r="S759" s="55" t="n">
        <x:v>2838</x:v>
      </x:c>
      <x:c r="T759" s="55" t="n">
        <x:v>1370</x:v>
      </x:c>
      <x:c r="U759" s="55" t="n">
        <x:v>2628</x:v>
      </x:c>
      <x:c r="V759" s="55" t="n">
        <x:v>9991</x:v>
      </x:c>
      <x:c r="W759" s="55" t="n">
        <x:v>7100</x:v>
      </x:c>
      <x:c r="X759" s="55" t="n">
        <x:v>2891</x:v>
      </x:c>
      <x:c r="Y759" s="55" t="n">
        <x:v>2342</x:v>
      </x:c>
      <x:c r="Z759" s="55" t="n">
        <x:v>3734</x:v>
      </x:c>
      <x:c r="AA759" s="55" t="n">
        <x:v>2844</x:v>
      </x:c>
      <x:c r="AB759" s="55" t="n">
        <x:v>1047</x:v>
      </x:c>
      <x:c r="AC759" s="55" t="n">
        <x:v>7345</x:v>
      </x:c>
      <x:c r="AD759" s="55" t="n">
        <x:v>2758</x:v>
      </x:c>
      <x:c r="AE759" s="55" t="n">
        <x:v>10123</x:v>
      </x:c>
      <x:c r="AF759" s="55" t="n">
        <x:v>9991</x:v>
      </x:c>
      <x:c r="AG759" s="55" t="n">
        <x:v>132</x:v>
      </x:c>
      <x:c r="AH759" s="55" t="n">
        <x:v>449</x:v>
      </x:c>
      <x:c r="AI759" s="55" t="n">
        <x:v>9542</x:v>
      </x:c>
      <x:c r="AJ759" s="55" t="n">
        <x:v>305</x:v>
      </x:c>
      <x:c r="AK759" s="55" t="n">
        <x:v>987</x:v>
      </x:c>
      <x:c r="AL759" s="55" t="n">
        <x:v>1608</x:v>
      </x:c>
      <x:c r="AM759" s="55" t="n">
        <x:v>4736</x:v>
      </x:c>
      <x:c r="AN759" s="55" t="n">
        <x:v>2355</x:v>
      </x:c>
      <x:c r="AO759" s="55" t="n">
        <x:v>0</x:v>
      </x:c>
      <x:c r="AP759" s="55" t="n">
        <x:v>2115</x:v>
      </x:c>
      <x:c r="AQ759" s="55" t="n">
        <x:v>957</x:v>
      </x:c>
    </x:row>
    <x:row r="760">
      <x:c r="A760" s="54" t="str">
        <x:v>T2_CONCORDANT_DOMAIN</x:v>
      </x:c>
      <x:c r="B760" s="54" t="n">
        <x:v>754</x:v>
      </x:c>
      <x:c r="C760" s="54" t="str">
        <x:v>NYC-V2-R01</x:v>
      </x:c>
      <x:c r="D760" s="54" t="str">
        <x:v>V2</x:v>
      </x:c>
      <x:c r="E760" s="54" t="str">
        <x:v>ADMITTED</x:v>
      </x:c>
      <x:c r="F760" s="55" t="n">
        <x:v>33784</x:v>
      </x:c>
      <x:c r="G760" s="55" t="n">
        <x:v>9560</x:v>
      </x:c>
      <x:c r="H760" s="55" t="n">
        <x:v>3589</x:v>
      </x:c>
      <x:c r="I760" s="55" t="n">
        <x:v>1561</x:v>
      </x:c>
      <x:c r="J760" s="55" t="n">
        <x:v>358</x:v>
      </x:c>
      <x:c r="K760" s="55" t="n">
        <x:v>30427</x:v>
      </x:c>
      <x:c r="L760" s="55" t="n">
        <x:v>6131</x:v>
      </x:c>
      <x:c r="M760" s="55" t="n">
        <x:v>1346</x:v>
      </x:c>
      <x:c r="N760" s="55" t="n">
        <x:v>2922</x:v>
      </x:c>
      <x:c r="O760" s="55" t="n">
        <x:v>1863</x:v>
      </x:c>
      <x:c r="P760" s="55" t="n">
        <x:v>832</x:v>
      </x:c>
      <x:c r="Q760" s="55" t="n">
        <x:v>1966</x:v>
      </x:c>
      <x:c r="R760" s="55" t="n">
        <x:v>1929</x:v>
      </x:c>
      <x:c r="S760" s="55" t="n">
        <x:v>2869</x:v>
      </x:c>
      <x:c r="T760" s="55" t="n">
        <x:v>1379</x:v>
      </x:c>
      <x:c r="U760" s="55" t="n">
        <x:v>2284</x:v>
      </x:c>
      <x:c r="V760" s="55" t="n">
        <x:v>10806</x:v>
      </x:c>
      <x:c r="W760" s="55" t="n">
        <x:v>7307</x:v>
      </x:c>
      <x:c r="X760" s="55" t="n">
        <x:v>3499</x:v>
      </x:c>
      <x:c r="Y760" s="55" t="n">
        <x:v>3009</x:v>
      </x:c>
      <x:c r="Z760" s="55" t="n">
        <x:v>3547</x:v>
      </x:c>
      <x:c r="AA760" s="55" t="n">
        <x:v>2667</x:v>
      </x:c>
      <x:c r="AB760" s="55" t="n">
        <x:v>880</x:v>
      </x:c>
      <x:c r="AC760" s="55" t="n">
        <x:v>7790</x:v>
      </x:c>
      <x:c r="AD760" s="55" t="n">
        <x:v>2602</x:v>
      </x:c>
      <x:c r="AE760" s="55" t="n">
        <x:v>10917</x:v>
      </x:c>
      <x:c r="AF760" s="55" t="n">
        <x:v>10806</x:v>
      </x:c>
      <x:c r="AG760" s="55" t="n">
        <x:v>111</x:v>
      </x:c>
      <x:c r="AH760" s="55" t="n">
        <x:v>526</x:v>
      </x:c>
      <x:c r="AI760" s="55" t="n">
        <x:v>10280</x:v>
      </x:c>
      <x:c r="AJ760" s="55" t="n">
        <x:v>337</x:v>
      </x:c>
      <x:c r="AK760" s="55" t="n">
        <x:v>1113</x:v>
      </x:c>
      <x:c r="AL760" s="55" t="n">
        <x:v>1717</x:v>
      </x:c>
      <x:c r="AM760" s="55" t="n">
        <x:v>5022</x:v>
      </x:c>
      <x:c r="AN760" s="55" t="n">
        <x:v>2603</x:v>
      </x:c>
      <x:c r="AO760" s="55" t="n">
        <x:v>14</x:v>
      </x:c>
      <x:c r="AP760" s="55" t="n">
        <x:v>2616</x:v>
      </x:c>
      <x:c r="AQ760" s="55" t="n">
        <x:v>961</x:v>
      </x:c>
    </x:row>
    <x:row r="761">
      <x:c r="A761" s="54" t="str">
        <x:v>T2_CONCORDANT_DOMAIN</x:v>
      </x:c>
      <x:c r="B761" s="54" t="n">
        <x:v>755</x:v>
      </x:c>
      <x:c r="C761" s="54" t="str">
        <x:v>NYC-V2-R01</x:v>
      </x:c>
      <x:c r="D761" s="54" t="str">
        <x:v>V2</x:v>
      </x:c>
      <x:c r="E761" s="54" t="str">
        <x:v>ADMITTED</x:v>
      </x:c>
      <x:c r="F761" s="55" t="n">
        <x:v>30738</x:v>
      </x:c>
      <x:c r="G761" s="55" t="n">
        <x:v>7248</x:v>
      </x:c>
      <x:c r="H761" s="55" t="n">
        <x:v>3136</x:v>
      </x:c>
      <x:c r="I761" s="55" t="n">
        <x:v>880</x:v>
      </x:c>
      <x:c r="J761" s="55" t="n">
        <x:v>125</x:v>
      </x:c>
      <x:c r="K761" s="55" t="n">
        <x:v>28449</x:v>
      </x:c>
      <x:c r="L761" s="55" t="n">
        <x:v>3823</x:v>
      </x:c>
      <x:c r="M761" s="55" t="n">
        <x:v>334</x:v>
      </x:c>
      <x:c r="N761" s="55" t="n">
        <x:v>2388</x:v>
      </x:c>
      <x:c r="O761" s="55" t="n">
        <x:v>1101</x:v>
      </x:c>
      <x:c r="P761" s="55" t="n">
        <x:v>460</x:v>
      </x:c>
      <x:c r="Q761" s="55" t="n">
        <x:v>1118</x:v>
      </x:c>
      <x:c r="R761" s="55" t="n">
        <x:v>1773</x:v>
      </x:c>
      <x:c r="S761" s="55" t="n">
        <x:v>2134</x:v>
      </x:c>
      <x:c r="T761" s="55" t="n">
        <x:v>690</x:v>
      </x:c>
      <x:c r="U761" s="55" t="n">
        <x:v>1586</x:v>
      </x:c>
      <x:c r="V761" s="55" t="n">
        <x:v>10332</x:v>
      </x:c>
      <x:c r="W761" s="55" t="n">
        <x:v>7382</x:v>
      </x:c>
      <x:c r="X761" s="55" t="n">
        <x:v>2950</x:v>
      </x:c>
      <x:c r="Y761" s="55" t="n">
        <x:v>2491</x:v>
      </x:c>
      <x:c r="Z761" s="55" t="n">
        <x:v>3289</x:v>
      </x:c>
      <x:c r="AA761" s="55" t="n">
        <x:v>2678</x:v>
      </x:c>
      <x:c r="AB761" s="55" t="n">
        <x:v>821</x:v>
      </x:c>
      <x:c r="AC761" s="55" t="n">
        <x:v>7805</x:v>
      </x:c>
      <x:c r="AD761" s="55" t="n">
        <x:v>2492</x:v>
      </x:c>
      <x:c r="AE761" s="55" t="n">
        <x:v>10355</x:v>
      </x:c>
      <x:c r="AF761" s="55" t="n">
        <x:v>10332</x:v>
      </x:c>
      <x:c r="AG761" s="55" t="n">
        <x:v>23</x:v>
      </x:c>
      <x:c r="AH761" s="55" t="n">
        <x:v>222</x:v>
      </x:c>
      <x:c r="AI761" s="55" t="n">
        <x:v>10110</x:v>
      </x:c>
      <x:c r="AJ761" s="55" t="n">
        <x:v>412</x:v>
      </x:c>
      <x:c r="AK761" s="55" t="n">
        <x:v>1001</x:v>
      </x:c>
      <x:c r="AL761" s="55" t="n">
        <x:v>1452</x:v>
      </x:c>
      <x:c r="AM761" s="55" t="n">
        <x:v>5104</x:v>
      </x:c>
      <x:c r="AN761" s="55" t="n">
        <x:v>2363</x:v>
      </x:c>
      <x:c r="AO761" s="55" t="n">
        <x:v>0</x:v>
      </x:c>
      <x:c r="AP761" s="55" t="n">
        <x:v>2255</x:v>
      </x:c>
      <x:c r="AQ761" s="55" t="n">
        <x:v>890</x:v>
      </x:c>
    </x:row>
    <x:row r="762">
      <x:c r="A762" s="54" t="str">
        <x:v>T2_CONCORDANT_DOMAIN</x:v>
      </x:c>
      <x:c r="B762" s="54" t="n">
        <x:v>756</x:v>
      </x:c>
      <x:c r="C762" s="54" t="str">
        <x:v>NYC-V2-R01</x:v>
      </x:c>
      <x:c r="D762" s="54" t="str">
        <x:v>V2</x:v>
      </x:c>
      <x:c r="E762" s="54" t="str">
        <x:v>ADMITTED</x:v>
      </x:c>
      <x:c r="F762" s="55" t="n">
        <x:v>30564</x:v>
      </x:c>
      <x:c r="G762" s="55" t="n">
        <x:v>6716</x:v>
      </x:c>
      <x:c r="H762" s="55" t="n">
        <x:v>3691</x:v>
      </x:c>
      <x:c r="I762" s="55" t="n">
        <x:v>1356</x:v>
      </x:c>
      <x:c r="J762" s="55" t="n">
        <x:v>421</x:v>
      </x:c>
      <x:c r="K762" s="55" t="n">
        <x:v>29978</x:v>
      </x:c>
      <x:c r="L762" s="55" t="n">
        <x:v>6027</x:v>
      </x:c>
      <x:c r="M762" s="55" t="n">
        <x:v>977</x:v>
      </x:c>
      <x:c r="N762" s="55" t="n">
        <x:v>3194</x:v>
      </x:c>
      <x:c r="O762" s="55" t="n">
        <x:v>1856</x:v>
      </x:c>
      <x:c r="P762" s="55" t="n">
        <x:v>945</x:v>
      </x:c>
      <x:c r="Q762" s="55" t="n">
        <x:v>2417</x:v>
      </x:c>
      <x:c r="R762" s="55" t="n">
        <x:v>1894</x:v>
      </x:c>
      <x:c r="S762" s="55" t="n">
        <x:v>3422</x:v>
      </x:c>
      <x:c r="T762" s="55" t="n">
        <x:v>1640</x:v>
      </x:c>
      <x:c r="U762" s="55" t="n">
        <x:v>2715</x:v>
      </x:c>
      <x:c r="V762" s="55" t="n">
        <x:v>10584</x:v>
      </x:c>
      <x:c r="W762" s="55" t="n">
        <x:v>7309</x:v>
      </x:c>
      <x:c r="X762" s="55" t="n">
        <x:v>3275</x:v>
      </x:c>
      <x:c r="Y762" s="55" t="n">
        <x:v>2839</x:v>
      </x:c>
      <x:c r="Z762" s="55" t="n">
        <x:v>3935</x:v>
      </x:c>
      <x:c r="AA762" s="55" t="n">
        <x:v>3053</x:v>
      </x:c>
      <x:c r="AB762" s="55" t="n">
        <x:v>1352</x:v>
      </x:c>
      <x:c r="AC762" s="55" t="n">
        <x:v>8369</x:v>
      </x:c>
      <x:c r="AD762" s="55" t="n">
        <x:v>3482</x:v>
      </x:c>
      <x:c r="AE762" s="55" t="n">
        <x:v>10714</x:v>
      </x:c>
      <x:c r="AF762" s="55" t="n">
        <x:v>10584</x:v>
      </x:c>
      <x:c r="AG762" s="55" t="n">
        <x:v>130</x:v>
      </x:c>
      <x:c r="AH762" s="55" t="n">
        <x:v>320</x:v>
      </x:c>
      <x:c r="AI762" s="55" t="n">
        <x:v>10264</x:v>
      </x:c>
      <x:c r="AJ762" s="55" t="n">
        <x:v>461</x:v>
      </x:c>
      <x:c r="AK762" s="55" t="n">
        <x:v>967</x:v>
      </x:c>
      <x:c r="AL762" s="55" t="n">
        <x:v>1247</x:v>
      </x:c>
      <x:c r="AM762" s="55" t="n">
        <x:v>4774</x:v>
      </x:c>
      <x:c r="AN762" s="55" t="n">
        <x:v>3080</x:v>
      </x:c>
      <x:c r="AO762" s="55" t="n">
        <x:v>55</x:v>
      </x:c>
      <x:c r="AP762" s="55" t="n">
        <x:v>2779</x:v>
      </x:c>
      <x:c r="AQ762" s="55" t="n">
        <x:v>990</x:v>
      </x:c>
    </x:row>
    <x:row r="763">
      <x:c r="A763" s="54" t="str">
        <x:v>T2_CONCORDANT_DOMAIN</x:v>
      </x:c>
      <x:c r="B763" s="54" t="n">
        <x:v>757</x:v>
      </x:c>
      <x:c r="C763" s="54" t="str">
        <x:v>NYC-V2-R01</x:v>
      </x:c>
      <x:c r="D763" s="54" t="str">
        <x:v>V2</x:v>
      </x:c>
      <x:c r="E763" s="54" t="str">
        <x:v>ADMITTED</x:v>
      </x:c>
      <x:c r="F763" s="55" t="n">
        <x:v>31802</x:v>
      </x:c>
      <x:c r="G763" s="55" t="n">
        <x:v>7386</x:v>
      </x:c>
      <x:c r="H763" s="55" t="n">
        <x:v>3527</x:v>
      </x:c>
      <x:c r="I763" s="55" t="n">
        <x:v>1250</x:v>
      </x:c>
      <x:c r="J763" s="55" t="n">
        <x:v>233</x:v>
      </x:c>
      <x:c r="K763" s="55" t="n">
        <x:v>31802</x:v>
      </x:c>
      <x:c r="L763" s="55" t="n">
        <x:v>5709</x:v>
      </x:c>
      <x:c r="M763" s="55" t="n">
        <x:v>1033</x:v>
      </x:c>
      <x:c r="N763" s="55" t="n">
        <x:v>2558</x:v>
      </x:c>
      <x:c r="O763" s="55" t="n">
        <x:v>2118</x:v>
      </x:c>
      <x:c r="P763" s="55" t="n">
        <x:v>971</x:v>
      </x:c>
      <x:c r="Q763" s="55" t="n">
        <x:v>2123</x:v>
      </x:c>
      <x:c r="R763" s="55" t="n">
        <x:v>1791</x:v>
      </x:c>
      <x:c r="S763" s="55" t="n">
        <x:v>2173</x:v>
      </x:c>
      <x:c r="T763" s="55" t="n">
        <x:v>1027</x:v>
      </x:c>
      <x:c r="U763" s="55" t="n">
        <x:v>1592</x:v>
      </x:c>
      <x:c r="V763" s="55" t="n">
        <x:v>10292</x:v>
      </x:c>
      <x:c r="W763" s="55" t="n">
        <x:v>7471</x:v>
      </x:c>
      <x:c r="X763" s="55" t="n">
        <x:v>2821</x:v>
      </x:c>
      <x:c r="Y763" s="55" t="n">
        <x:v>2267</x:v>
      </x:c>
      <x:c r="Z763" s="55" t="n">
        <x:v>3600</x:v>
      </x:c>
      <x:c r="AA763" s="55" t="n">
        <x:v>2951</x:v>
      </x:c>
      <x:c r="AB763" s="55" t="n">
        <x:v>1069</x:v>
      </x:c>
      <x:c r="AC763" s="55" t="n">
        <x:v>7697</x:v>
      </x:c>
      <x:c r="AD763" s="55" t="n">
        <x:v>2982</x:v>
      </x:c>
      <x:c r="AE763" s="55" t="n">
        <x:v>10344</x:v>
      </x:c>
      <x:c r="AF763" s="55" t="n">
        <x:v>10292</x:v>
      </x:c>
      <x:c r="AG763" s="55" t="n">
        <x:v>52</x:v>
      </x:c>
      <x:c r="AH763" s="55" t="n">
        <x:v>459</x:v>
      </x:c>
      <x:c r="AI763" s="55" t="n">
        <x:v>9833</x:v>
      </x:c>
      <x:c r="AJ763" s="55" t="n">
        <x:v>280</x:v>
      </x:c>
      <x:c r="AK763" s="55" t="n">
        <x:v>1015</x:v>
      </x:c>
      <x:c r="AL763" s="55" t="n">
        <x:v>1314</x:v>
      </x:c>
      <x:c r="AM763" s="55" t="n">
        <x:v>4931</x:v>
      </x:c>
      <x:c r="AN763" s="55" t="n">
        <x:v>2752</x:v>
      </x:c>
      <x:c r="AO763" s="55" t="n">
        <x:v>0</x:v>
      </x:c>
      <x:c r="AP763" s="55" t="n">
        <x:v>2162</x:v>
      </x:c>
      <x:c r="AQ763" s="55" t="n">
        <x:v>946</x:v>
      </x:c>
    </x:row>
    <x:row r="764">
      <x:c r="A764" s="54" t="str">
        <x:v>T2_CONCORDANT_DOMAIN</x:v>
      </x:c>
      <x:c r="B764" s="54" t="n">
        <x:v>758</x:v>
      </x:c>
      <x:c r="C764" s="54" t="str">
        <x:v>NYC-V2-R01</x:v>
      </x:c>
      <x:c r="D764" s="54" t="str">
        <x:v>V2</x:v>
      </x:c>
      <x:c r="E764" s="54" t="str">
        <x:v>ADMITTED</x:v>
      </x:c>
      <x:c r="F764" s="55" t="n">
        <x:v>28913</x:v>
      </x:c>
      <x:c r="G764" s="55" t="n">
        <x:v>6800</x:v>
      </x:c>
      <x:c r="H764" s="55" t="n">
        <x:v>2603</x:v>
      </x:c>
      <x:c r="I764" s="55" t="n">
        <x:v>1123</x:v>
      </x:c>
      <x:c r="J764" s="55" t="n">
        <x:v>114</x:v>
      </x:c>
      <x:c r="K764" s="55" t="n">
        <x:v>28913</x:v>
      </x:c>
      <x:c r="L764" s="55" t="n">
        <x:v>4145</x:v>
      </x:c>
      <x:c r="M764" s="55" t="n">
        <x:v>521</x:v>
      </x:c>
      <x:c r="N764" s="55" t="n">
        <x:v>1855</x:v>
      </x:c>
      <x:c r="O764" s="55" t="n">
        <x:v>1769</x:v>
      </x:c>
      <x:c r="P764" s="55" t="n">
        <x:v>717</x:v>
      </x:c>
      <x:c r="Q764" s="55" t="n">
        <x:v>1482</x:v>
      </x:c>
      <x:c r="R764" s="55" t="n">
        <x:v>2079</x:v>
      </x:c>
      <x:c r="S764" s="55" t="n">
        <x:v>2515</x:v>
      </x:c>
      <x:c r="T764" s="55" t="n">
        <x:v>828</x:v>
      </x:c>
      <x:c r="U764" s="55" t="n">
        <x:v>1669</x:v>
      </x:c>
      <x:c r="V764" s="55" t="n">
        <x:v>10752</x:v>
      </x:c>
      <x:c r="W764" s="55" t="n">
        <x:v>7640</x:v>
      </x:c>
      <x:c r="X764" s="55" t="n">
        <x:v>3112</x:v>
      </x:c>
      <x:c r="Y764" s="55" t="n">
        <x:v>2631</x:v>
      </x:c>
      <x:c r="Z764" s="55" t="n">
        <x:v>3366</x:v>
      </x:c>
      <x:c r="AA764" s="55" t="n">
        <x:v>2596</x:v>
      </x:c>
      <x:c r="AB764" s="55" t="n">
        <x:v>951</x:v>
      </x:c>
      <x:c r="AC764" s="55" t="n">
        <x:v>7613</x:v>
      </x:c>
      <x:c r="AD764" s="55" t="n">
        <x:v>2842</x:v>
      </x:c>
      <x:c r="AE764" s="55" t="n">
        <x:v>10841</x:v>
      </x:c>
      <x:c r="AF764" s="55" t="n">
        <x:v>10752</x:v>
      </x:c>
      <x:c r="AG764" s="55" t="n">
        <x:v>89</x:v>
      </x:c>
      <x:c r="AH764" s="55" t="n">
        <x:v>512</x:v>
      </x:c>
      <x:c r="AI764" s="55" t="n">
        <x:v>10240</x:v>
      </x:c>
      <x:c r="AJ764" s="55" t="n">
        <x:v>380</x:v>
      </x:c>
      <x:c r="AK764" s="55" t="n">
        <x:v>1064</x:v>
      </x:c>
      <x:c r="AL764" s="55" t="n">
        <x:v>1948</x:v>
      </x:c>
      <x:c r="AM764" s="55" t="n">
        <x:v>4554</x:v>
      </x:c>
      <x:c r="AN764" s="55" t="n">
        <x:v>2780</x:v>
      </x:c>
      <x:c r="AO764" s="55" t="n">
        <x:v>26</x:v>
      </x:c>
      <x:c r="AP764" s="55" t="n">
        <x:v>2324</x:v>
      </x:c>
      <x:c r="AQ764" s="55" t="n">
        <x:v>930</x:v>
      </x:c>
    </x:row>
    <x:row r="765">
      <x:c r="A765" s="54" t="str">
        <x:v>T2_CONCORDANT_DOMAIN</x:v>
      </x:c>
      <x:c r="B765" s="54" t="n">
        <x:v>759</x:v>
      </x:c>
      <x:c r="C765" s="54" t="str">
        <x:v>NYC-V2-R01</x:v>
      </x:c>
      <x:c r="D765" s="54" t="str">
        <x:v>V2</x:v>
      </x:c>
      <x:c r="E765" s="54" t="str">
        <x:v>ADMITTED</x:v>
      </x:c>
      <x:c r="F765" s="55" t="n">
        <x:v>32729</x:v>
      </x:c>
      <x:c r="G765" s="55" t="n">
        <x:v>8542</x:v>
      </x:c>
      <x:c r="H765" s="55" t="n">
        <x:v>3743</x:v>
      </x:c>
      <x:c r="I765" s="55" t="n">
        <x:v>1592</x:v>
      </x:c>
      <x:c r="J765" s="55" t="n">
        <x:v>413</x:v>
      </x:c>
      <x:c r="K765" s="55" t="n">
        <x:v>30261</x:v>
      </x:c>
      <x:c r="L765" s="55" t="n">
        <x:v>6896</x:v>
      </x:c>
      <x:c r="M765" s="55" t="n">
        <x:v>1958</x:v>
      </x:c>
      <x:c r="N765" s="55" t="n">
        <x:v>3278</x:v>
      </x:c>
      <x:c r="O765" s="55" t="n">
        <x:v>1660</x:v>
      </x:c>
      <x:c r="P765" s="55" t="n">
        <x:v>897</x:v>
      </x:c>
      <x:c r="Q765" s="55" t="n">
        <x:v>2697</x:v>
      </x:c>
      <x:c r="R765" s="55" t="n">
        <x:v>1644</x:v>
      </x:c>
      <x:c r="S765" s="55" t="n">
        <x:v>2546</x:v>
      </x:c>
      <x:c r="T765" s="55" t="n">
        <x:v>1482</x:v>
      </x:c>
      <x:c r="U765" s="55" t="n">
        <x:v>2597</x:v>
      </x:c>
      <x:c r="V765" s="55" t="n">
        <x:v>11083</x:v>
      </x:c>
      <x:c r="W765" s="55" t="n">
        <x:v>7801</x:v>
      </x:c>
      <x:c r="X765" s="55" t="n">
        <x:v>3282</x:v>
      </x:c>
      <x:c r="Y765" s="55" t="n">
        <x:v>3034</x:v>
      </x:c>
      <x:c r="Z765" s="55" t="n">
        <x:v>4103</x:v>
      </x:c>
      <x:c r="AA765" s="55" t="n">
        <x:v>3098</x:v>
      </x:c>
      <x:c r="AB765" s="55" t="n">
        <x:v>1149</x:v>
      </x:c>
      <x:c r="AC765" s="55" t="n">
        <x:v>8191</x:v>
      </x:c>
      <x:c r="AD765" s="55" t="n">
        <x:v>2993</x:v>
      </x:c>
      <x:c r="AE765" s="55" t="n">
        <x:v>11189</x:v>
      </x:c>
      <x:c r="AF765" s="55" t="n">
        <x:v>11083</x:v>
      </x:c>
      <x:c r="AG765" s="55" t="n">
        <x:v>106</x:v>
      </x:c>
      <x:c r="AH765" s="55" t="n">
        <x:v>479</x:v>
      </x:c>
      <x:c r="AI765" s="55" t="n">
        <x:v>10604</x:v>
      </x:c>
      <x:c r="AJ765" s="55" t="n">
        <x:v>531</x:v>
      </x:c>
      <x:c r="AK765" s="55" t="n">
        <x:v>1154</x:v>
      </x:c>
      <x:c r="AL765" s="55" t="n">
        <x:v>1455</x:v>
      </x:c>
      <x:c r="AM765" s="55" t="n">
        <x:v>5439</x:v>
      </x:c>
      <x:c r="AN765" s="55" t="n">
        <x:v>2448</x:v>
      </x:c>
      <x:c r="AO765" s="55" t="n">
        <x:v>56</x:v>
      </x:c>
      <x:c r="AP765" s="55" t="n">
        <x:v>2623</x:v>
      </x:c>
      <x:c r="AQ765" s="55" t="n">
        <x:v>960</x:v>
      </x:c>
    </x:row>
    <x:row r="766">
      <x:c r="A766" s="54" t="str">
        <x:v>T2_CONCORDANT_DOMAIN</x:v>
      </x:c>
      <x:c r="B766" s="54" t="n">
        <x:v>760</x:v>
      </x:c>
      <x:c r="C766" s="54" t="str">
        <x:v>NYC-V2-R01</x:v>
      </x:c>
      <x:c r="D766" s="54" t="str">
        <x:v>V2</x:v>
      </x:c>
      <x:c r="E766" s="54" t="str">
        <x:v>ADMITTED</x:v>
      </x:c>
      <x:c r="F766" s="55" t="n">
        <x:v>32947</x:v>
      </x:c>
      <x:c r="G766" s="55" t="n">
        <x:v>7971</x:v>
      </x:c>
      <x:c r="H766" s="55" t="n">
        <x:v>3385</x:v>
      </x:c>
      <x:c r="I766" s="55" t="n">
        <x:v>1448</x:v>
      </x:c>
      <x:c r="J766" s="55" t="n">
        <x:v>269</x:v>
      </x:c>
      <x:c r="K766" s="55" t="n">
        <x:v>31022</x:v>
      </x:c>
      <x:c r="L766" s="55" t="n">
        <x:v>6374</x:v>
      </x:c>
      <x:c r="M766" s="55" t="n">
        <x:v>1665</x:v>
      </x:c>
      <x:c r="N766" s="55" t="n">
        <x:v>2799</x:v>
      </x:c>
      <x:c r="O766" s="55" t="n">
        <x:v>1910</x:v>
      </x:c>
      <x:c r="P766" s="55" t="n">
        <x:v>768</x:v>
      </x:c>
      <x:c r="Q766" s="55" t="n">
        <x:v>2261</x:v>
      </x:c>
      <x:c r="R766" s="55" t="n">
        <x:v>2104</x:v>
      </x:c>
      <x:c r="S766" s="55" t="n">
        <x:v>3017</x:v>
      </x:c>
      <x:c r="T766" s="55" t="n">
        <x:v>1269</x:v>
      </x:c>
      <x:c r="U766" s="55" t="n">
        <x:v>2127</x:v>
      </x:c>
      <x:c r="V766" s="55" t="n">
        <x:v>10584</x:v>
      </x:c>
      <x:c r="W766" s="55" t="n">
        <x:v>7377</x:v>
      </x:c>
      <x:c r="X766" s="55" t="n">
        <x:v>3207</x:v>
      </x:c>
      <x:c r="Y766" s="55" t="n">
        <x:v>2646</x:v>
      </x:c>
      <x:c r="Z766" s="55" t="n">
        <x:v>3812</x:v>
      </x:c>
      <x:c r="AA766" s="55" t="n">
        <x:v>3238</x:v>
      </x:c>
      <x:c r="AB766" s="55" t="n">
        <x:v>1026</x:v>
      </x:c>
      <x:c r="AC766" s="55" t="n">
        <x:v>8139</x:v>
      </x:c>
      <x:c r="AD766" s="55" t="n">
        <x:v>3052</x:v>
      </x:c>
      <x:c r="AE766" s="55" t="n">
        <x:v>10645</x:v>
      </x:c>
      <x:c r="AF766" s="55" t="n">
        <x:v>10584</x:v>
      </x:c>
      <x:c r="AG766" s="55" t="n">
        <x:v>61</x:v>
      </x:c>
      <x:c r="AH766" s="55" t="n">
        <x:v>712</x:v>
      </x:c>
      <x:c r="AI766" s="55" t="n">
        <x:v>9872</x:v>
      </x:c>
      <x:c r="AJ766" s="55" t="n">
        <x:v>211</x:v>
      </x:c>
      <x:c r="AK766" s="55" t="n">
        <x:v>1119</x:v>
      </x:c>
      <x:c r="AL766" s="55" t="n">
        <x:v>1468</x:v>
      </x:c>
      <x:c r="AM766" s="55" t="n">
        <x:v>4629</x:v>
      </x:c>
      <x:c r="AN766" s="55" t="n">
        <x:v>3147</x:v>
      </x:c>
      <x:c r="AO766" s="55" t="n">
        <x:v>10</x:v>
      </x:c>
      <x:c r="AP766" s="55" t="n">
        <x:v>2392</x:v>
      </x:c>
      <x:c r="AQ766" s="55" t="n">
        <x:v>964</x:v>
      </x:c>
    </x:row>
    <x:row r="767">
      <x:c r="A767" s="54" t="str">
        <x:v>T2_CONCORDANT_DOMAIN</x:v>
      </x:c>
      <x:c r="B767" s="54" t="n">
        <x:v>761</x:v>
      </x:c>
      <x:c r="C767" s="54" t="str">
        <x:v>NYC-V2-R01</x:v>
      </x:c>
      <x:c r="D767" s="54" t="str">
        <x:v>V2</x:v>
      </x:c>
      <x:c r="E767" s="54" t="str">
        <x:v>ADMITTED</x:v>
      </x:c>
      <x:c r="F767" s="55" t="n">
        <x:v>30714</x:v>
      </x:c>
      <x:c r="G767" s="55" t="n">
        <x:v>8007</x:v>
      </x:c>
      <x:c r="H767" s="55" t="n">
        <x:v>3343</x:v>
      </x:c>
      <x:c r="I767" s="55" t="n">
        <x:v>1283</x:v>
      </x:c>
      <x:c r="J767" s="55" t="n">
        <x:v>284</x:v>
      </x:c>
      <x:c r="K767" s="55" t="n">
        <x:v>30207</x:v>
      </x:c>
      <x:c r="L767" s="55" t="n">
        <x:v>6414</x:v>
      </x:c>
      <x:c r="M767" s="55" t="n">
        <x:v>953</x:v>
      </x:c>
      <x:c r="N767" s="55" t="n">
        <x:v>3333</x:v>
      </x:c>
      <x:c r="O767" s="55" t="n">
        <x:v>2128</x:v>
      </x:c>
      <x:c r="P767" s="55" t="n">
        <x:v>863</x:v>
      </x:c>
      <x:c r="Q767" s="55" t="n">
        <x:v>2187</x:v>
      </x:c>
      <x:c r="R767" s="55" t="n">
        <x:v>2002</x:v>
      </x:c>
      <x:c r="S767" s="55" t="n">
        <x:v>3112</x:v>
      </x:c>
      <x:c r="T767" s="55" t="n">
        <x:v>1140</x:v>
      </x:c>
      <x:c r="U767" s="55" t="n">
        <x:v>1964</x:v>
      </x:c>
      <x:c r="V767" s="55" t="n">
        <x:v>10680</x:v>
      </x:c>
      <x:c r="W767" s="55" t="n">
        <x:v>7799</x:v>
      </x:c>
      <x:c r="X767" s="55" t="n">
        <x:v>2881</x:v>
      </x:c>
      <x:c r="Y767" s="55" t="n">
        <x:v>2508</x:v>
      </x:c>
      <x:c r="Z767" s="55" t="n">
        <x:v>3512</x:v>
      </x:c>
      <x:c r="AA767" s="55" t="n">
        <x:v>3343</x:v>
      </x:c>
      <x:c r="AB767" s="55" t="n">
        <x:v>935</x:v>
      </x:c>
      <x:c r="AC767" s="55" t="n">
        <x:v>8803</x:v>
      </x:c>
      <x:c r="AD767" s="55" t="n">
        <x:v>2455</x:v>
      </x:c>
      <x:c r="AE767" s="55" t="n">
        <x:v>10717</x:v>
      </x:c>
      <x:c r="AF767" s="55" t="n">
        <x:v>10680</x:v>
      </x:c>
      <x:c r="AG767" s="55" t="n">
        <x:v>37</x:v>
      </x:c>
      <x:c r="AH767" s="55" t="n">
        <x:v>614</x:v>
      </x:c>
      <x:c r="AI767" s="55" t="n">
        <x:v>10066</x:v>
      </x:c>
      <x:c r="AJ767" s="55" t="n">
        <x:v>295</x:v>
      </x:c>
      <x:c r="AK767" s="55" t="n">
        <x:v>1151</x:v>
      </x:c>
      <x:c r="AL767" s="55" t="n">
        <x:v>1605</x:v>
      </x:c>
      <x:c r="AM767" s="55" t="n">
        <x:v>5304</x:v>
      </x:c>
      <x:c r="AN767" s="55" t="n">
        <x:v>2319</x:v>
      </x:c>
      <x:c r="AO767" s="55" t="n">
        <x:v>6</x:v>
      </x:c>
      <x:c r="AP767" s="55" t="n">
        <x:v>2593</x:v>
      </x:c>
      <x:c r="AQ767" s="55" t="n">
        <x:v>934</x:v>
      </x:c>
    </x:row>
    <x:row r="768">
      <x:c r="A768" s="54" t="str">
        <x:v>T2_CONCORDANT_DOMAIN</x:v>
      </x:c>
      <x:c r="B768" s="54" t="n">
        <x:v>762</x:v>
      </x:c>
      <x:c r="C768" s="54" t="str">
        <x:v>NYC-V2-R01</x:v>
      </x:c>
      <x:c r="D768" s="54" t="str">
        <x:v>V2</x:v>
      </x:c>
      <x:c r="E768" s="54" t="str">
        <x:v>ADMITTED</x:v>
      </x:c>
      <x:c r="F768" s="55" t="n">
        <x:v>31597</x:v>
      </x:c>
      <x:c r="G768" s="55" t="n">
        <x:v>7093</x:v>
      </x:c>
      <x:c r="H768" s="55" t="n">
        <x:v>3544</x:v>
      </x:c>
      <x:c r="I768" s="55" t="n">
        <x:v>1730</x:v>
      </x:c>
      <x:c r="J768" s="55" t="n">
        <x:v>365</x:v>
      </x:c>
      <x:c r="K768" s="55" t="n">
        <x:v>31597</x:v>
      </x:c>
      <x:c r="L768" s="55" t="n">
        <x:v>5623</x:v>
      </x:c>
      <x:c r="M768" s="55" t="n">
        <x:v>863</x:v>
      </x:c>
      <x:c r="N768" s="55" t="n">
        <x:v>2890</x:v>
      </x:c>
      <x:c r="O768" s="55" t="n">
        <x:v>1870</x:v>
      </x:c>
      <x:c r="P768" s="55" t="n">
        <x:v>761</x:v>
      </x:c>
      <x:c r="Q768" s="55" t="n">
        <x:v>2254</x:v>
      </x:c>
      <x:c r="R768" s="55" t="n">
        <x:v>2188</x:v>
      </x:c>
      <x:c r="S768" s="55" t="n">
        <x:v>3057</x:v>
      </x:c>
      <x:c r="T768" s="55" t="n">
        <x:v>1022</x:v>
      </x:c>
      <x:c r="U768" s="55" t="n">
        <x:v>2243</x:v>
      </x:c>
      <x:c r="V768" s="55" t="n">
        <x:v>10621</x:v>
      </x:c>
      <x:c r="W768" s="55" t="n">
        <x:v>7499</x:v>
      </x:c>
      <x:c r="X768" s="55" t="n">
        <x:v>3122</x:v>
      </x:c>
      <x:c r="Y768" s="55" t="n">
        <x:v>2687</x:v>
      </x:c>
      <x:c r="Z768" s="55" t="n">
        <x:v>3654</x:v>
      </x:c>
      <x:c r="AA768" s="55" t="n">
        <x:v>2513</x:v>
      </x:c>
      <x:c r="AB768" s="55" t="n">
        <x:v>692</x:v>
      </x:c>
      <x:c r="AC768" s="55" t="n">
        <x:v>7548</x:v>
      </x:c>
      <x:c r="AD768" s="55" t="n">
        <x:v>2247</x:v>
      </x:c>
      <x:c r="AE768" s="55" t="n">
        <x:v>10767</x:v>
      </x:c>
      <x:c r="AF768" s="55" t="n">
        <x:v>10621</x:v>
      </x:c>
      <x:c r="AG768" s="55" t="n">
        <x:v>146</x:v>
      </x:c>
      <x:c r="AH768" s="55" t="n">
        <x:v>411</x:v>
      </x:c>
      <x:c r="AI768" s="55" t="n">
        <x:v>10210</x:v>
      </x:c>
      <x:c r="AJ768" s="55" t="n">
        <x:v>258</x:v>
      </x:c>
      <x:c r="AK768" s="55" t="n">
        <x:v>1174</x:v>
      </x:c>
      <x:c r="AL768" s="55" t="n">
        <x:v>1619</x:v>
      </x:c>
      <x:c r="AM768" s="55" t="n">
        <x:v>4574</x:v>
      </x:c>
      <x:c r="AN768" s="55" t="n">
        <x:v>2906</x:v>
      </x:c>
      <x:c r="AO768" s="55" t="n">
        <x:v>90</x:v>
      </x:c>
      <x:c r="AP768" s="55" t="n">
        <x:v>2341</x:v>
      </x:c>
      <x:c r="AQ768" s="55" t="n">
        <x:v>994</x:v>
      </x:c>
    </x:row>
    <x:row r="769">
      <x:c r="A769" s="54" t="str">
        <x:v>T2_CONCORDANT_DOMAIN</x:v>
      </x:c>
      <x:c r="B769" s="54" t="n">
        <x:v>763</x:v>
      </x:c>
      <x:c r="C769" s="54" t="str">
        <x:v>NYC-V2-R01</x:v>
      </x:c>
      <x:c r="D769" s="54" t="str">
        <x:v>V2</x:v>
      </x:c>
      <x:c r="E769" s="54" t="str">
        <x:v>ADMITTED</x:v>
      </x:c>
      <x:c r="F769" s="55" t="n">
        <x:v>31818</x:v>
      </x:c>
      <x:c r="G769" s="55" t="n">
        <x:v>8922</x:v>
      </x:c>
      <x:c r="H769" s="55" t="n">
        <x:v>2656</x:v>
      </x:c>
      <x:c r="I769" s="55" t="n">
        <x:v>930</x:v>
      </x:c>
      <x:c r="J769" s="55" t="n">
        <x:v>0</x:v>
      </x:c>
      <x:c r="K769" s="55" t="n">
        <x:v>31319</x:v>
      </x:c>
      <x:c r="L769" s="55" t="n">
        <x:v>5252</x:v>
      </x:c>
      <x:c r="M769" s="55" t="n">
        <x:v>1457</x:v>
      </x:c>
      <x:c r="N769" s="55" t="n">
        <x:v>2383</x:v>
      </x:c>
      <x:c r="O769" s="55" t="n">
        <x:v>1412</x:v>
      </x:c>
      <x:c r="P769" s="55" t="n">
        <x:v>712</x:v>
      </x:c>
      <x:c r="Q769" s="55" t="n">
        <x:v>924</x:v>
      </x:c>
      <x:c r="R769" s="55" t="n">
        <x:v>1710</x:v>
      </x:c>
      <x:c r="S769" s="55" t="n">
        <x:v>2523</x:v>
      </x:c>
      <x:c r="T769" s="55" t="n">
        <x:v>1332</x:v>
      </x:c>
      <x:c r="U769" s="55" t="n">
        <x:v>2409</x:v>
      </x:c>
      <x:c r="V769" s="55" t="n">
        <x:v>10642</x:v>
      </x:c>
      <x:c r="W769" s="55" t="n">
        <x:v>8158</x:v>
      </x:c>
      <x:c r="X769" s="55" t="n">
        <x:v>2484</x:v>
      </x:c>
      <x:c r="Y769" s="55" t="n">
        <x:v>2117</x:v>
      </x:c>
      <x:c r="Z769" s="55" t="n">
        <x:v>2820</x:v>
      </x:c>
      <x:c r="AA769" s="55" t="n">
        <x:v>2656</x:v>
      </x:c>
      <x:c r="AB769" s="55" t="n">
        <x:v>859</x:v>
      </x:c>
      <x:c r="AC769" s="55" t="n">
        <x:v>7981</x:v>
      </x:c>
      <x:c r="AD769" s="55" t="n">
        <x:v>2425</x:v>
      </x:c>
      <x:c r="AE769" s="55" t="n">
        <x:v>10668</x:v>
      </x:c>
      <x:c r="AF769" s="55" t="n">
        <x:v>10642</x:v>
      </x:c>
      <x:c r="AG769" s="55" t="n">
        <x:v>26</x:v>
      </x:c>
      <x:c r="AH769" s="55" t="n">
        <x:v>299</x:v>
      </x:c>
      <x:c r="AI769" s="55" t="n">
        <x:v>10343</x:v>
      </x:c>
      <x:c r="AJ769" s="55" t="n">
        <x:v>376</x:v>
      </x:c>
      <x:c r="AK769" s="55" t="n">
        <x:v>1200</x:v>
      </x:c>
      <x:c r="AL769" s="55" t="n">
        <x:v>1339</x:v>
      </x:c>
      <x:c r="AM769" s="55" t="n">
        <x:v>5221</x:v>
      </x:c>
      <x:c r="AN769" s="55" t="n">
        <x:v>2506</x:v>
      </x:c>
      <x:c r="AO769" s="55" t="n">
        <x:v>0</x:v>
      </x:c>
      <x:c r="AP769" s="55" t="n">
        <x:v>2204</x:v>
      </x:c>
      <x:c r="AQ769" s="55" t="n">
        <x:v>949</x:v>
      </x:c>
    </x:row>
    <x:row r="770">
      <x:c r="A770" s="54" t="str">
        <x:v>T2_CONCORDANT_DOMAIN</x:v>
      </x:c>
      <x:c r="B770" s="54" t="n">
        <x:v>764</x:v>
      </x:c>
      <x:c r="C770" s="54" t="str">
        <x:v>NYC-V2-R01</x:v>
      </x:c>
      <x:c r="D770" s="54" t="str">
        <x:v>V2</x:v>
      </x:c>
      <x:c r="E770" s="54" t="str">
        <x:v>ADMITTED</x:v>
      </x:c>
      <x:c r="F770" s="55" t="n">
        <x:v>29794</x:v>
      </x:c>
      <x:c r="G770" s="55" t="n">
        <x:v>7471</x:v>
      </x:c>
      <x:c r="H770" s="55" t="n">
        <x:v>3150</x:v>
      </x:c>
      <x:c r="I770" s="55" t="n">
        <x:v>665</x:v>
      </x:c>
      <x:c r="J770" s="55" t="n">
        <x:v>118</x:v>
      </x:c>
      <x:c r="K770" s="55" t="n">
        <x:v>28836</x:v>
      </x:c>
      <x:c r="L770" s="55" t="n">
        <x:v>3338</x:v>
      </x:c>
      <x:c r="M770" s="55" t="n">
        <x:v>191</x:v>
      </x:c>
      <x:c r="N770" s="55" t="n">
        <x:v>2286</x:v>
      </x:c>
      <x:c r="O770" s="55" t="n">
        <x:v>861</x:v>
      </x:c>
      <x:c r="P770" s="55" t="n">
        <x:v>412</x:v>
      </x:c>
      <x:c r="Q770" s="55" t="n">
        <x:v>1488</x:v>
      </x:c>
      <x:c r="R770" s="55" t="n">
        <x:v>1578</x:v>
      </x:c>
      <x:c r="S770" s="55" t="n">
        <x:v>2866</x:v>
      </x:c>
      <x:c r="T770" s="55" t="n">
        <x:v>910</x:v>
      </x:c>
      <x:c r="U770" s="55" t="n">
        <x:v>1558</x:v>
      </x:c>
      <x:c r="V770" s="55" t="n">
        <x:v>10143</x:v>
      </x:c>
      <x:c r="W770" s="55" t="n">
        <x:v>6915</x:v>
      </x:c>
      <x:c r="X770" s="55" t="n">
        <x:v>3228</x:v>
      </x:c>
      <x:c r="Y770" s="55" t="n">
        <x:v>2539</x:v>
      </x:c>
      <x:c r="Z770" s="55" t="n">
        <x:v>3249</x:v>
      </x:c>
      <x:c r="AA770" s="55" t="n">
        <x:v>2823</x:v>
      </x:c>
      <x:c r="AB770" s="55" t="n">
        <x:v>1045</x:v>
      </x:c>
      <x:c r="AC770" s="55" t="n">
        <x:v>7818</x:v>
      </x:c>
      <x:c r="AD770" s="55" t="n">
        <x:v>2510</x:v>
      </x:c>
      <x:c r="AE770" s="55" t="n">
        <x:v>10164</x:v>
      </x:c>
      <x:c r="AF770" s="55" t="n">
        <x:v>10143</x:v>
      </x:c>
      <x:c r="AG770" s="55" t="n">
        <x:v>21</x:v>
      </x:c>
      <x:c r="AH770" s="55" t="n">
        <x:v>256</x:v>
      </x:c>
      <x:c r="AI770" s="55" t="n">
        <x:v>9887</x:v>
      </x:c>
      <x:c r="AJ770" s="55" t="n">
        <x:v>215</x:v>
      </x:c>
      <x:c r="AK770" s="55" t="n">
        <x:v>878</x:v>
      </x:c>
      <x:c r="AL770" s="55" t="n">
        <x:v>1850</x:v>
      </x:c>
      <x:c r="AM770" s="55" t="n">
        <x:v>4290</x:v>
      </x:c>
      <x:c r="AN770" s="55" t="n">
        <x:v>2910</x:v>
      </x:c>
      <x:c r="AO770" s="55" t="n">
        <x:v>0</x:v>
      </x:c>
      <x:c r="AP770" s="55" t="n">
        <x:v>2003</x:v>
      </x:c>
      <x:c r="AQ770" s="55" t="n">
        <x:v>977</x:v>
      </x:c>
    </x:row>
    <x:row r="771">
      <x:c r="A771" s="54" t="str">
        <x:v>T2_CONCORDANT_DOMAIN</x:v>
      </x:c>
      <x:c r="B771" s="54" t="n">
        <x:v>765</x:v>
      </x:c>
      <x:c r="C771" s="54" t="str">
        <x:v>NYC-V2-R01</x:v>
      </x:c>
      <x:c r="D771" s="54" t="str">
        <x:v>V2</x:v>
      </x:c>
      <x:c r="E771" s="54" t="str">
        <x:v>ADMITTED</x:v>
      </x:c>
      <x:c r="F771" s="55" t="n">
        <x:v>30466</x:v>
      </x:c>
      <x:c r="G771" s="55" t="n">
        <x:v>7089</x:v>
      </x:c>
      <x:c r="H771" s="55" t="n">
        <x:v>3083</x:v>
      </x:c>
      <x:c r="I771" s="55" t="n">
        <x:v>1411</x:v>
      </x:c>
      <x:c r="J771" s="55" t="n">
        <x:v>169</x:v>
      </x:c>
      <x:c r="K771" s="55" t="n">
        <x:v>30466</x:v>
      </x:c>
      <x:c r="L771" s="55" t="n">
        <x:v>6818</x:v>
      </x:c>
      <x:c r="M771" s="55" t="n">
        <x:v>1999</x:v>
      </x:c>
      <x:c r="N771" s="55" t="n">
        <x:v>3164</x:v>
      </x:c>
      <x:c r="O771" s="55" t="n">
        <x:v>1655</x:v>
      </x:c>
      <x:c r="P771" s="55" t="n">
        <x:v>681</x:v>
      </x:c>
      <x:c r="Q771" s="55" t="n">
        <x:v>2229</x:v>
      </x:c>
      <x:c r="R771" s="55" t="n">
        <x:v>2422</x:v>
      </x:c>
      <x:c r="S771" s="55" t="n">
        <x:v>3567</x:v>
      </x:c>
      <x:c r="T771" s="55" t="n">
        <x:v>1512</x:v>
      </x:c>
      <x:c r="U771" s="55" t="n">
        <x:v>2125</x:v>
      </x:c>
      <x:c r="V771" s="55" t="n">
        <x:v>10144</x:v>
      </x:c>
      <x:c r="W771" s="55" t="n">
        <x:v>7424</x:v>
      </x:c>
      <x:c r="X771" s="55" t="n">
        <x:v>2720</x:v>
      </x:c>
      <x:c r="Y771" s="55" t="n">
        <x:v>2147</x:v>
      </x:c>
      <x:c r="Z771" s="55" t="n">
        <x:v>3807</x:v>
      </x:c>
      <x:c r="AA771" s="55" t="n">
        <x:v>3080</x:v>
      </x:c>
      <x:c r="AB771" s="55" t="n">
        <x:v>1322</x:v>
      </x:c>
      <x:c r="AC771" s="55" t="n">
        <x:v>8385</x:v>
      </x:c>
      <x:c r="AD771" s="55" t="n">
        <x:v>2860</x:v>
      </x:c>
      <x:c r="AE771" s="55" t="n">
        <x:v>10184</x:v>
      </x:c>
      <x:c r="AF771" s="55" t="n">
        <x:v>10144</x:v>
      </x:c>
      <x:c r="AG771" s="55" t="n">
        <x:v>40</x:v>
      </x:c>
      <x:c r="AH771" s="55" t="n">
        <x:v>342</x:v>
      </x:c>
      <x:c r="AI771" s="55" t="n">
        <x:v>9802</x:v>
      </x:c>
      <x:c r="AJ771" s="55" t="n">
        <x:v>280</x:v>
      </x:c>
      <x:c r="AK771" s="55" t="n">
        <x:v>922</x:v>
      </x:c>
      <x:c r="AL771" s="55" t="n">
        <x:v>1967</x:v>
      </x:c>
      <x:c r="AM771" s="55" t="n">
        <x:v>4540</x:v>
      </x:c>
      <x:c r="AN771" s="55" t="n">
        <x:v>2435</x:v>
      </x:c>
      <x:c r="AO771" s="55" t="n">
        <x:v>0</x:v>
      </x:c>
      <x:c r="AP771" s="55" t="n">
        <x:v>2566</x:v>
      </x:c>
      <x:c r="AQ771" s="55" t="n">
        <x:v>990</x:v>
      </x:c>
    </x:row>
    <x:row r="772">
      <x:c r="A772" s="54" t="str">
        <x:v>T2_CONCORDANT_DOMAIN</x:v>
      </x:c>
      <x:c r="B772" s="54" t="n">
        <x:v>766</x:v>
      </x:c>
      <x:c r="C772" s="54" t="str">
        <x:v>NYC-V2-R01</x:v>
      </x:c>
      <x:c r="D772" s="54" t="str">
        <x:v>V2</x:v>
      </x:c>
      <x:c r="E772" s="54" t="str">
        <x:v>ADMITTED</x:v>
      </x:c>
      <x:c r="F772" s="55" t="n">
        <x:v>31257</x:v>
      </x:c>
      <x:c r="G772" s="55" t="n">
        <x:v>8185</x:v>
      </x:c>
      <x:c r="H772" s="55" t="n">
        <x:v>3275</x:v>
      </x:c>
      <x:c r="I772" s="55" t="n">
        <x:v>1307</x:v>
      </x:c>
      <x:c r="J772" s="55" t="n">
        <x:v>271</x:v>
      </x:c>
      <x:c r="K772" s="55" t="n">
        <x:v>31084</x:v>
      </x:c>
      <x:c r="L772" s="55" t="n">
        <x:v>5805</x:v>
      </x:c>
      <x:c r="M772" s="55" t="n">
        <x:v>1556</x:v>
      </x:c>
      <x:c r="N772" s="55" t="n">
        <x:v>2864</x:v>
      </x:c>
      <x:c r="O772" s="55" t="n">
        <x:v>1385</x:v>
      </x:c>
      <x:c r="P772" s="55" t="n">
        <x:v>1098</x:v>
      </x:c>
      <x:c r="Q772" s="55" t="n">
        <x:v>2854</x:v>
      </x:c>
      <x:c r="R772" s="55" t="n">
        <x:v>1486</x:v>
      </x:c>
      <x:c r="S772" s="55" t="n">
        <x:v>2451</x:v>
      </x:c>
      <x:c r="T772" s="55" t="n">
        <x:v>1145</x:v>
      </x:c>
      <x:c r="U772" s="55" t="n">
        <x:v>1758</x:v>
      </x:c>
      <x:c r="V772" s="55" t="n">
        <x:v>10165</x:v>
      </x:c>
      <x:c r="W772" s="55" t="n">
        <x:v>7125</x:v>
      </x:c>
      <x:c r="X772" s="55" t="n">
        <x:v>3040</x:v>
      </x:c>
      <x:c r="Y772" s="55" t="n">
        <x:v>2472</x:v>
      </x:c>
      <x:c r="Z772" s="55" t="n">
        <x:v>4258</x:v>
      </x:c>
      <x:c r="AA772" s="55" t="n">
        <x:v>2840</x:v>
      </x:c>
      <x:c r="AB772" s="55" t="n">
        <x:v>1082</x:v>
      </x:c>
      <x:c r="AC772" s="55" t="n">
        <x:v>8404</x:v>
      </x:c>
      <x:c r="AD772" s="55" t="n">
        <x:v>2634</x:v>
      </x:c>
      <x:c r="AE772" s="55" t="n">
        <x:v>10272</x:v>
      </x:c>
      <x:c r="AF772" s="55" t="n">
        <x:v>10165</x:v>
      </x:c>
      <x:c r="AG772" s="55" t="n">
        <x:v>107</x:v>
      </x:c>
      <x:c r="AH772" s="55" t="n">
        <x:v>392</x:v>
      </x:c>
      <x:c r="AI772" s="55" t="n">
        <x:v>9773</x:v>
      </x:c>
      <x:c r="AJ772" s="55" t="n">
        <x:v>365</x:v>
      </x:c>
      <x:c r="AK772" s="55" t="n">
        <x:v>1095</x:v>
      </x:c>
      <x:c r="AL772" s="55" t="n">
        <x:v>1764</x:v>
      </x:c>
      <x:c r="AM772" s="55" t="n">
        <x:v>4316</x:v>
      </x:c>
      <x:c r="AN772" s="55" t="n">
        <x:v>2615</x:v>
      </x:c>
      <x:c r="AO772" s="55" t="n">
        <x:v>10</x:v>
      </x:c>
      <x:c r="AP772" s="55" t="n">
        <x:v>2685</x:v>
      </x:c>
      <x:c r="AQ772" s="55" t="n">
        <x:v>966</x:v>
      </x:c>
    </x:row>
    <x:row r="773">
      <x:c r="A773" s="54" t="str">
        <x:v>T2_CONCORDANT_DOMAIN</x:v>
      </x:c>
      <x:c r="B773" s="54" t="n">
        <x:v>767</x:v>
      </x:c>
      <x:c r="C773" s="54" t="str">
        <x:v>NYC-V2-R01</x:v>
      </x:c>
      <x:c r="D773" s="54" t="str">
        <x:v>V2</x:v>
      </x:c>
      <x:c r="E773" s="54" t="str">
        <x:v>ADMITTED</x:v>
      </x:c>
      <x:c r="F773" s="55" t="n">
        <x:v>33099</x:v>
      </x:c>
      <x:c r="G773" s="55" t="n">
        <x:v>7074</x:v>
      </x:c>
      <x:c r="H773" s="55" t="n">
        <x:v>3478</x:v>
      </x:c>
      <x:c r="I773" s="55" t="n">
        <x:v>1538</x:v>
      </x:c>
      <x:c r="J773" s="55" t="n">
        <x:v>249</x:v>
      </x:c>
      <x:c r="K773" s="55" t="n">
        <x:v>33099</x:v>
      </x:c>
      <x:c r="L773" s="55" t="n">
        <x:v>5687</x:v>
      </x:c>
      <x:c r="M773" s="55" t="n">
        <x:v>1051</x:v>
      </x:c>
      <x:c r="N773" s="55" t="n">
        <x:v>2810</x:v>
      </x:c>
      <x:c r="O773" s="55" t="n">
        <x:v>1826</x:v>
      </x:c>
      <x:c r="P773" s="55" t="n">
        <x:v>913</x:v>
      </x:c>
      <x:c r="Q773" s="55" t="n">
        <x:v>1770</x:v>
      </x:c>
      <x:c r="R773" s="55" t="n">
        <x:v>1990</x:v>
      </x:c>
      <x:c r="S773" s="55" t="n">
        <x:v>3219</x:v>
      </x:c>
      <x:c r="T773" s="55" t="n">
        <x:v>1031</x:v>
      </x:c>
      <x:c r="U773" s="55" t="n">
        <x:v>2118</x:v>
      </x:c>
      <x:c r="V773" s="55" t="n">
        <x:v>10553</x:v>
      </x:c>
      <x:c r="W773" s="55" t="n">
        <x:v>7714</x:v>
      </x:c>
      <x:c r="X773" s="55" t="n">
        <x:v>2839</x:v>
      </x:c>
      <x:c r="Y773" s="55" t="n">
        <x:v>2391</x:v>
      </x:c>
      <x:c r="Z773" s="55" t="n">
        <x:v>3972</x:v>
      </x:c>
      <x:c r="AA773" s="55" t="n">
        <x:v>3098</x:v>
      </x:c>
      <x:c r="AB773" s="55" t="n">
        <x:v>1039</x:v>
      </x:c>
      <x:c r="AC773" s="55" t="n">
        <x:v>8152</x:v>
      </x:c>
      <x:c r="AD773" s="55" t="n">
        <x:v>2673</x:v>
      </x:c>
      <x:c r="AE773" s="55" t="n">
        <x:v>10631</x:v>
      </x:c>
      <x:c r="AF773" s="55" t="n">
        <x:v>10553</x:v>
      </x:c>
      <x:c r="AG773" s="55" t="n">
        <x:v>78</x:v>
      </x:c>
      <x:c r="AH773" s="55" t="n">
        <x:v>413</x:v>
      </x:c>
      <x:c r="AI773" s="55" t="n">
        <x:v>10140</x:v>
      </x:c>
      <x:c r="AJ773" s="55" t="n">
        <x:v>312</x:v>
      </x:c>
      <x:c r="AK773" s="55" t="n">
        <x:v>1227</x:v>
      </x:c>
      <x:c r="AL773" s="55" t="n">
        <x:v>1469</x:v>
      </x:c>
      <x:c r="AM773" s="55" t="n">
        <x:v>4981</x:v>
      </x:c>
      <x:c r="AN773" s="55" t="n">
        <x:v>2556</x:v>
      </x:c>
      <x:c r="AO773" s="55" t="n">
        <x:v>8</x:v>
      </x:c>
      <x:c r="AP773" s="55" t="n">
        <x:v>2463</x:v>
      </x:c>
      <x:c r="AQ773" s="55" t="n">
        <x:v>969</x:v>
      </x:c>
    </x:row>
    <x:row r="774">
      <x:c r="A774" s="54" t="str">
        <x:v>T2_CONCORDANT_DOMAIN</x:v>
      </x:c>
      <x:c r="B774" s="54" t="n">
        <x:v>768</x:v>
      </x:c>
      <x:c r="C774" s="54" t="str">
        <x:v>NYC-V2-R01</x:v>
      </x:c>
      <x:c r="D774" s="54" t="str">
        <x:v>V2</x:v>
      </x:c>
      <x:c r="E774" s="54" t="str">
        <x:v>ADMITTED</x:v>
      </x:c>
      <x:c r="F774" s="55" t="n">
        <x:v>30821</x:v>
      </x:c>
      <x:c r="G774" s="55" t="n">
        <x:v>7612</x:v>
      </x:c>
      <x:c r="H774" s="55" t="n">
        <x:v>3113</x:v>
      </x:c>
      <x:c r="I774" s="55" t="n">
        <x:v>1247</x:v>
      </x:c>
      <x:c r="J774" s="55" t="n">
        <x:v>195</x:v>
      </x:c>
      <x:c r="K774" s="55" t="n">
        <x:v>28505</x:v>
      </x:c>
      <x:c r="L774" s="55" t="n">
        <x:v>5761</x:v>
      </x:c>
      <x:c r="M774" s="55" t="n">
        <x:v>979</x:v>
      </x:c>
      <x:c r="N774" s="55" t="n">
        <x:v>2596</x:v>
      </x:c>
      <x:c r="O774" s="55" t="n">
        <x:v>2186</x:v>
      </x:c>
      <x:c r="P774" s="55" t="n">
        <x:v>895</x:v>
      </x:c>
      <x:c r="Q774" s="55" t="n">
        <x:v>2095</x:v>
      </x:c>
      <x:c r="R774" s="55" t="n">
        <x:v>1803</x:v>
      </x:c>
      <x:c r="S774" s="55" t="n">
        <x:v>2790</x:v>
      </x:c>
      <x:c r="T774" s="55" t="n">
        <x:v>1385</x:v>
      </x:c>
      <x:c r="U774" s="55" t="n">
        <x:v>2125</x:v>
      </x:c>
      <x:c r="V774" s="55" t="n">
        <x:v>10276</x:v>
      </x:c>
      <x:c r="W774" s="55" t="n">
        <x:v>6747</x:v>
      </x:c>
      <x:c r="X774" s="55" t="n">
        <x:v>3529</x:v>
      </x:c>
      <x:c r="Y774" s="55" t="n">
        <x:v>3035</x:v>
      </x:c>
      <x:c r="Z774" s="55" t="n">
        <x:v>4375</x:v>
      </x:c>
      <x:c r="AA774" s="55" t="n">
        <x:v>3113</x:v>
      </x:c>
      <x:c r="AB774" s="55" t="n">
        <x:v>922</x:v>
      </x:c>
      <x:c r="AC774" s="55" t="n">
        <x:v>8481</x:v>
      </x:c>
      <x:c r="AD774" s="55" t="n">
        <x:v>2681</x:v>
      </x:c>
      <x:c r="AE774" s="55" t="n">
        <x:v>10403</x:v>
      </x:c>
      <x:c r="AF774" s="55" t="n">
        <x:v>10276</x:v>
      </x:c>
      <x:c r="AG774" s="55" t="n">
        <x:v>127</x:v>
      </x:c>
      <x:c r="AH774" s="55" t="n">
        <x:v>440</x:v>
      </x:c>
      <x:c r="AI774" s="55" t="n">
        <x:v>9836</x:v>
      </x:c>
      <x:c r="AJ774" s="55" t="n">
        <x:v>470</x:v>
      </x:c>
      <x:c r="AK774" s="55" t="n">
        <x:v>1018</x:v>
      </x:c>
      <x:c r="AL774" s="55" t="n">
        <x:v>1364</x:v>
      </x:c>
      <x:c r="AM774" s="55" t="n">
        <x:v>4871</x:v>
      </x:c>
      <x:c r="AN774" s="55" t="n">
        <x:v>2531</x:v>
      </x:c>
      <x:c r="AO774" s="55" t="n">
        <x:v>22</x:v>
      </x:c>
      <x:c r="AP774" s="55" t="n">
        <x:v>2368</x:v>
      </x:c>
      <x:c r="AQ774" s="55" t="n">
        <x:v>968</x:v>
      </x:c>
    </x:row>
    <x:row r="775">
      <x:c r="A775" s="54" t="str">
        <x:v>T2_CONCORDANT_DOMAIN</x:v>
      </x:c>
      <x:c r="B775" s="54" t="n">
        <x:v>769</x:v>
      </x:c>
      <x:c r="C775" s="54" t="str">
        <x:v>NYC-V2-R01</x:v>
      </x:c>
      <x:c r="D775" s="54" t="str">
        <x:v>V2</x:v>
      </x:c>
      <x:c r="E775" s="54" t="str">
        <x:v>ADMITTED</x:v>
      </x:c>
      <x:c r="F775" s="55" t="n">
        <x:v>32591</x:v>
      </x:c>
      <x:c r="G775" s="55" t="n">
        <x:v>6645</x:v>
      </x:c>
      <x:c r="H775" s="55" t="n">
        <x:v>3487</x:v>
      </x:c>
      <x:c r="I775" s="55" t="n">
        <x:v>1110</x:v>
      </x:c>
      <x:c r="J775" s="55" t="n">
        <x:v>99</x:v>
      </x:c>
      <x:c r="K775" s="55" t="n">
        <x:v>32591</x:v>
      </x:c>
      <x:c r="L775" s="55" t="n">
        <x:v>5579</x:v>
      </x:c>
      <x:c r="M775" s="55" t="n">
        <x:v>387</x:v>
      </x:c>
      <x:c r="N775" s="55" t="n">
        <x:v>3024</x:v>
      </x:c>
      <x:c r="O775" s="55" t="n">
        <x:v>2168</x:v>
      </x:c>
      <x:c r="P775" s="55" t="n">
        <x:v>968</x:v>
      </x:c>
      <x:c r="Q775" s="55" t="n">
        <x:v>2478</x:v>
      </x:c>
      <x:c r="R775" s="55" t="n">
        <x:v>2215</x:v>
      </x:c>
      <x:c r="S775" s="55" t="n">
        <x:v>2894</x:v>
      </x:c>
      <x:c r="T775" s="55" t="n">
        <x:v>1709</x:v>
      </x:c>
      <x:c r="U775" s="55" t="n">
        <x:v>1941</x:v>
      </x:c>
      <x:c r="V775" s="55" t="n">
        <x:v>9809</x:v>
      </x:c>
      <x:c r="W775" s="55" t="n">
        <x:v>6347</x:v>
      </x:c>
      <x:c r="X775" s="55" t="n">
        <x:v>3462</x:v>
      </x:c>
      <x:c r="Y775" s="55" t="n">
        <x:v>3010</x:v>
      </x:c>
      <x:c r="Z775" s="55" t="n">
        <x:v>3593</x:v>
      </x:c>
      <x:c r="AA775" s="55" t="n">
        <x:v>3487</x:v>
      </x:c>
      <x:c r="AB775" s="55" t="n">
        <x:v>925</x:v>
      </x:c>
      <x:c r="AC775" s="55" t="n">
        <x:v>7797</x:v>
      </x:c>
      <x:c r="AD775" s="55" t="n">
        <x:v>3064</x:v>
      </x:c>
      <x:c r="AE775" s="55" t="n">
        <x:v>9876</x:v>
      </x:c>
      <x:c r="AF775" s="55" t="n">
        <x:v>9809</x:v>
      </x:c>
      <x:c r="AG775" s="55" t="n">
        <x:v>67</x:v>
      </x:c>
      <x:c r="AH775" s="55" t="n">
        <x:v>349</x:v>
      </x:c>
      <x:c r="AI775" s="55" t="n">
        <x:v>9460</x:v>
      </x:c>
      <x:c r="AJ775" s="55" t="n">
        <x:v>226</x:v>
      </x:c>
      <x:c r="AK775" s="55" t="n">
        <x:v>840</x:v>
      </x:c>
      <x:c r="AL775" s="55" t="n">
        <x:v>2047</x:v>
      </x:c>
      <x:c r="AM775" s="55" t="n">
        <x:v>4122</x:v>
      </x:c>
      <x:c r="AN775" s="55" t="n">
        <x:v>2574</x:v>
      </x:c>
      <x:c r="AO775" s="55" t="n">
        <x:v>0</x:v>
      </x:c>
      <x:c r="AP775" s="55" t="n">
        <x:v>1822</x:v>
      </x:c>
      <x:c r="AQ775" s="55" t="n">
        <x:v>952</x:v>
      </x:c>
    </x:row>
    <x:row r="776">
      <x:c r="A776" s="54" t="str">
        <x:v>T2_CONCORDANT_DOMAIN</x:v>
      </x:c>
      <x:c r="B776" s="54" t="n">
        <x:v>770</x:v>
      </x:c>
      <x:c r="C776" s="54" t="str">
        <x:v>NYC-V2-R01</x:v>
      </x:c>
      <x:c r="D776" s="54" t="str">
        <x:v>V2</x:v>
      </x:c>
      <x:c r="E776" s="54" t="str">
        <x:v>ADMITTED</x:v>
      </x:c>
      <x:c r="F776" s="55" t="n">
        <x:v>31381</x:v>
      </x:c>
      <x:c r="G776" s="55" t="n">
        <x:v>7233</x:v>
      </x:c>
      <x:c r="H776" s="55" t="n">
        <x:v>3269</x:v>
      </x:c>
      <x:c r="I776" s="55" t="n">
        <x:v>1650</x:v>
      </x:c>
      <x:c r="J776" s="55" t="n">
        <x:v>323</x:v>
      </x:c>
      <x:c r="K776" s="55" t="n">
        <x:v>31381</x:v>
      </x:c>
      <x:c r="L776" s="55" t="n">
        <x:v>6546</x:v>
      </x:c>
      <x:c r="M776" s="55" t="n">
        <x:v>1547</x:v>
      </x:c>
      <x:c r="N776" s="55" t="n">
        <x:v>2908</x:v>
      </x:c>
      <x:c r="O776" s="55" t="n">
        <x:v>2091</x:v>
      </x:c>
      <x:c r="P776" s="55" t="n">
        <x:v>1022</x:v>
      </x:c>
      <x:c r="Q776" s="55" t="n">
        <x:v>3205</x:v>
      </x:c>
      <x:c r="R776" s="55" t="n">
        <x:v>2006</x:v>
      </x:c>
      <x:c r="S776" s="55" t="n">
        <x:v>3340</x:v>
      </x:c>
      <x:c r="T776" s="55" t="n">
        <x:v>1350</x:v>
      </x:c>
      <x:c r="U776" s="55" t="n">
        <x:v>2013</x:v>
      </x:c>
      <x:c r="V776" s="55" t="n">
        <x:v>10474</x:v>
      </x:c>
      <x:c r="W776" s="55" t="n">
        <x:v>7320</x:v>
      </x:c>
      <x:c r="X776" s="55" t="n">
        <x:v>3154</x:v>
      </x:c>
      <x:c r="Y776" s="55" t="n">
        <x:v>2729</x:v>
      </x:c>
      <x:c r="Z776" s="55" t="n">
        <x:v>4048</x:v>
      </x:c>
      <x:c r="AA776" s="55" t="n">
        <x:v>2915</x:v>
      </x:c>
      <x:c r="AB776" s="55" t="n">
        <x:v>1083</x:v>
      </x:c>
      <x:c r="AC776" s="55" t="n">
        <x:v>7635</x:v>
      </x:c>
      <x:c r="AD776" s="55" t="n">
        <x:v>3171</x:v>
      </x:c>
      <x:c r="AE776" s="55" t="n">
        <x:v>10602</x:v>
      </x:c>
      <x:c r="AF776" s="55" t="n">
        <x:v>10474</x:v>
      </x:c>
      <x:c r="AG776" s="55" t="n">
        <x:v>128</x:v>
      </x:c>
      <x:c r="AH776" s="55" t="n">
        <x:v>370</x:v>
      </x:c>
      <x:c r="AI776" s="55" t="n">
        <x:v>10104</x:v>
      </x:c>
      <x:c r="AJ776" s="55" t="n">
        <x:v>403</x:v>
      </x:c>
      <x:c r="AK776" s="55" t="n">
        <x:v>948</x:v>
      </x:c>
      <x:c r="AL776" s="55" t="n">
        <x:v>1629</x:v>
      </x:c>
      <x:c r="AM776" s="55" t="n">
        <x:v>4932</x:v>
      </x:c>
      <x:c r="AN776" s="55" t="n">
        <x:v>2562</x:v>
      </x:c>
      <x:c r="AO776" s="55" t="n">
        <x:v>0</x:v>
      </x:c>
      <x:c r="AP776" s="55" t="n">
        <x:v>2429</x:v>
      </x:c>
      <x:c r="AQ776" s="55" t="n">
        <x:v>952</x:v>
      </x:c>
    </x:row>
    <x:row r="777">
      <x:c r="A777" s="54" t="str">
        <x:v>T2_CONCORDANT_DOMAIN</x:v>
      </x:c>
      <x:c r="B777" s="54" t="n">
        <x:v>771</x:v>
      </x:c>
      <x:c r="C777" s="54" t="str">
        <x:v>NYC-V2-R01</x:v>
      </x:c>
      <x:c r="D777" s="54" t="str">
        <x:v>V2</x:v>
      </x:c>
      <x:c r="E777" s="54" t="str">
        <x:v>ADMITTED</x:v>
      </x:c>
      <x:c r="F777" s="55" t="n">
        <x:v>30624</x:v>
      </x:c>
      <x:c r="G777" s="55" t="n">
        <x:v>8128</x:v>
      </x:c>
      <x:c r="H777" s="55" t="n">
        <x:v>2829</x:v>
      </x:c>
      <x:c r="I777" s="55" t="n">
        <x:v>718</x:v>
      </x:c>
      <x:c r="J777" s="55" t="n">
        <x:v>160</x:v>
      </x:c>
      <x:c r="K777" s="55" t="n">
        <x:v>30159</x:v>
      </x:c>
      <x:c r="L777" s="55" t="n">
        <x:v>5084</x:v>
      </x:c>
      <x:c r="M777" s="55" t="n">
        <x:v>527</x:v>
      </x:c>
      <x:c r="N777" s="55" t="n">
        <x:v>2595</x:v>
      </x:c>
      <x:c r="O777" s="55" t="n">
        <x:v>1962</x:v>
      </x:c>
      <x:c r="P777" s="55" t="n">
        <x:v>687</x:v>
      </x:c>
      <x:c r="Q777" s="55" t="n">
        <x:v>2254</x:v>
      </x:c>
      <x:c r="R777" s="55" t="n">
        <x:v>1847</x:v>
      </x:c>
      <x:c r="S777" s="55" t="n">
        <x:v>2373</x:v>
      </x:c>
      <x:c r="T777" s="55" t="n">
        <x:v>1185</x:v>
      </x:c>
      <x:c r="U777" s="55" t="n">
        <x:v>1897</x:v>
      </x:c>
      <x:c r="V777" s="55" t="n">
        <x:v>10219</x:v>
      </x:c>
      <x:c r="W777" s="55" t="n">
        <x:v>7330</x:v>
      </x:c>
      <x:c r="X777" s="55" t="n">
        <x:v>2889</x:v>
      </x:c>
      <x:c r="Y777" s="55" t="n">
        <x:v>2446</x:v>
      </x:c>
      <x:c r="Z777" s="55" t="n">
        <x:v>3780</x:v>
      </x:c>
      <x:c r="AA777" s="55" t="n">
        <x:v>2762</x:v>
      </x:c>
      <x:c r="AB777" s="55" t="n">
        <x:v>849</x:v>
      </x:c>
      <x:c r="AC777" s="55" t="n">
        <x:v>8697</x:v>
      </x:c>
      <x:c r="AD777" s="55" t="n">
        <x:v>2440</x:v>
      </x:c>
      <x:c r="AE777" s="55" t="n">
        <x:v>10325</x:v>
      </x:c>
      <x:c r="AF777" s="55" t="n">
        <x:v>10219</x:v>
      </x:c>
      <x:c r="AG777" s="55" t="n">
        <x:v>106</x:v>
      </x:c>
      <x:c r="AH777" s="55" t="n">
        <x:v>419</x:v>
      </x:c>
      <x:c r="AI777" s="55" t="n">
        <x:v>9800</x:v>
      </x:c>
      <x:c r="AJ777" s="55" t="n">
        <x:v>362</x:v>
      </x:c>
      <x:c r="AK777" s="55" t="n">
        <x:v>813</x:v>
      </x:c>
      <x:c r="AL777" s="55" t="n">
        <x:v>1619</x:v>
      </x:c>
      <x:c r="AM777" s="55" t="n">
        <x:v>4744</x:v>
      </x:c>
      <x:c r="AN777" s="55" t="n">
        <x:v>2681</x:v>
      </x:c>
      <x:c r="AO777" s="55" t="n">
        <x:v>0</x:v>
      </x:c>
      <x:c r="AP777" s="55" t="n">
        <x:v>2273</x:v>
      </x:c>
      <x:c r="AQ777" s="55" t="n">
        <x:v>969</x:v>
      </x:c>
    </x:row>
    <x:row r="778">
      <x:c r="A778" s="54" t="str">
        <x:v>T2_CONCORDANT_DOMAIN</x:v>
      </x:c>
      <x:c r="B778" s="54" t="n">
        <x:v>772</x:v>
      </x:c>
      <x:c r="C778" s="54" t="str">
        <x:v>NYC-V2-R01</x:v>
      </x:c>
      <x:c r="D778" s="54" t="str">
        <x:v>V2</x:v>
      </x:c>
      <x:c r="E778" s="54" t="str">
        <x:v>ADMITTED</x:v>
      </x:c>
      <x:c r="F778" s="55" t="n">
        <x:v>29316</x:v>
      </x:c>
      <x:c r="G778" s="55" t="n">
        <x:v>7297</x:v>
      </x:c>
      <x:c r="H778" s="55" t="n">
        <x:v>3506</x:v>
      </x:c>
      <x:c r="I778" s="55" t="n">
        <x:v>854</x:v>
      </x:c>
      <x:c r="J778" s="55" t="n">
        <x:v>30</x:v>
      </x:c>
      <x:c r="K778" s="55" t="n">
        <x:v>29032</x:v>
      </x:c>
      <x:c r="L778" s="55" t="n">
        <x:v>4511</x:v>
      </x:c>
      <x:c r="M778" s="55" t="n">
        <x:v>559</x:v>
      </x:c>
      <x:c r="N778" s="55" t="n">
        <x:v>2228</x:v>
      </x:c>
      <x:c r="O778" s="55" t="n">
        <x:v>1724</x:v>
      </x:c>
      <x:c r="P778" s="55" t="n">
        <x:v>401</x:v>
      </x:c>
      <x:c r="Q778" s="55" t="n">
        <x:v>2157</x:v>
      </x:c>
      <x:c r="R778" s="55" t="n">
        <x:v>1684</x:v>
      </x:c>
      <x:c r="S778" s="55" t="n">
        <x:v>2836</x:v>
      </x:c>
      <x:c r="T778" s="55" t="n">
        <x:v>1079</x:v>
      </x:c>
      <x:c r="U778" s="55" t="n">
        <x:v>1754</x:v>
      </x:c>
      <x:c r="V778" s="55" t="n">
        <x:v>10456</x:v>
      </x:c>
      <x:c r="W778" s="55" t="n">
        <x:v>7321</x:v>
      </x:c>
      <x:c r="X778" s="55" t="n">
        <x:v>3135</x:v>
      </x:c>
      <x:c r="Y778" s="55" t="n">
        <x:v>2712</x:v>
      </x:c>
      <x:c r="Z778" s="55" t="n">
        <x:v>3661</x:v>
      </x:c>
      <x:c r="AA778" s="55" t="n">
        <x:v>3506</x:v>
      </x:c>
      <x:c r="AB778" s="55" t="n">
        <x:v>1245</x:v>
      </x:c>
      <x:c r="AC778" s="55" t="n">
        <x:v>8381</x:v>
      </x:c>
      <x:c r="AD778" s="55" t="n">
        <x:v>2700</x:v>
      </x:c>
      <x:c r="AE778" s="55" t="n">
        <x:v>10521</x:v>
      </x:c>
      <x:c r="AF778" s="55" t="n">
        <x:v>10456</x:v>
      </x:c>
      <x:c r="AG778" s="55" t="n">
        <x:v>65</x:v>
      </x:c>
      <x:c r="AH778" s="55" t="n">
        <x:v>421</x:v>
      </x:c>
      <x:c r="AI778" s="55" t="n">
        <x:v>10035</x:v>
      </x:c>
      <x:c r="AJ778" s="55" t="n">
        <x:v>372</x:v>
      </x:c>
      <x:c r="AK778" s="55" t="n">
        <x:v>1027</x:v>
      </x:c>
      <x:c r="AL778" s="55" t="n">
        <x:v>1397</x:v>
      </x:c>
      <x:c r="AM778" s="55" t="n">
        <x:v>5112</x:v>
      </x:c>
      <x:c r="AN778" s="55" t="n">
        <x:v>2509</x:v>
      </x:c>
      <x:c r="AO778" s="55" t="n">
        <x:v>39</x:v>
      </x:c>
      <x:c r="AP778" s="55" t="n">
        <x:v>2253</x:v>
      </x:c>
      <x:c r="AQ778" s="55" t="n">
        <x:v>954</x:v>
      </x:c>
    </x:row>
    <x:row r="779">
      <x:c r="A779" s="54" t="str">
        <x:v>T2_CONCORDANT_DOMAIN</x:v>
      </x:c>
      <x:c r="B779" s="54" t="n">
        <x:v>773</x:v>
      </x:c>
      <x:c r="C779" s="54" t="str">
        <x:v>NYC-V2-R01</x:v>
      </x:c>
      <x:c r="D779" s="54" t="str">
        <x:v>V2</x:v>
      </x:c>
      <x:c r="E779" s="54" t="str">
        <x:v>ADMITTED</x:v>
      </x:c>
      <x:c r="F779" s="55" t="n">
        <x:v>32717</x:v>
      </x:c>
      <x:c r="G779" s="55" t="n">
        <x:v>7368</x:v>
      </x:c>
      <x:c r="H779" s="55" t="n">
        <x:v>3228</x:v>
      </x:c>
      <x:c r="I779" s="55" t="n">
        <x:v>1151</x:v>
      </x:c>
      <x:c r="J779" s="55" t="n">
        <x:v>173</x:v>
      </x:c>
      <x:c r="K779" s="55" t="n">
        <x:v>32717</x:v>
      </x:c>
      <x:c r="L779" s="55" t="n">
        <x:v>6970</x:v>
      </x:c>
      <x:c r="M779" s="55" t="n">
        <x:v>1673</x:v>
      </x:c>
      <x:c r="N779" s="55" t="n">
        <x:v>3289</x:v>
      </x:c>
      <x:c r="O779" s="55" t="n">
        <x:v>2008</x:v>
      </x:c>
      <x:c r="P779" s="55" t="n">
        <x:v>892</x:v>
      </x:c>
      <x:c r="Q779" s="55" t="n">
        <x:v>2479</x:v>
      </x:c>
      <x:c r="R779" s="55" t="n">
        <x:v>1802</x:v>
      </x:c>
      <x:c r="S779" s="55" t="n">
        <x:v>2112</x:v>
      </x:c>
      <x:c r="T779" s="55" t="n">
        <x:v>1427</x:v>
      </x:c>
      <x:c r="U779" s="55" t="n">
        <x:v>1811</x:v>
      </x:c>
      <x:c r="V779" s="55" t="n">
        <x:v>10236</x:v>
      </x:c>
      <x:c r="W779" s="55" t="n">
        <x:v>7309</x:v>
      </x:c>
      <x:c r="X779" s="55" t="n">
        <x:v>2927</x:v>
      </x:c>
      <x:c r="Y779" s="55" t="n">
        <x:v>2466</x:v>
      </x:c>
      <x:c r="Z779" s="55" t="n">
        <x:v>3734</x:v>
      </x:c>
      <x:c r="AA779" s="55" t="n">
        <x:v>2998</x:v>
      </x:c>
      <x:c r="AB779" s="55" t="n">
        <x:v>1106</x:v>
      </x:c>
      <x:c r="AC779" s="55" t="n">
        <x:v>7985</x:v>
      </x:c>
      <x:c r="AD779" s="55" t="n">
        <x:v>3015</x:v>
      </x:c>
      <x:c r="AE779" s="55" t="n">
        <x:v>10333</x:v>
      </x:c>
      <x:c r="AF779" s="55" t="n">
        <x:v>10236</x:v>
      </x:c>
      <x:c r="AG779" s="55" t="n">
        <x:v>97</x:v>
      </x:c>
      <x:c r="AH779" s="55" t="n">
        <x:v>312</x:v>
      </x:c>
      <x:c r="AI779" s="55" t="n">
        <x:v>9924</x:v>
      </x:c>
      <x:c r="AJ779" s="55" t="n">
        <x:v>457</x:v>
      </x:c>
      <x:c r="AK779" s="55" t="n">
        <x:v>1083</x:v>
      </x:c>
      <x:c r="AL779" s="55" t="n">
        <x:v>1541</x:v>
      </x:c>
      <x:c r="AM779" s="55" t="n">
        <x:v>4569</x:v>
      </x:c>
      <x:c r="AN779" s="55" t="n">
        <x:v>2586</x:v>
      </x:c>
      <x:c r="AO779" s="55" t="n">
        <x:v>0</x:v>
      </x:c>
      <x:c r="AP779" s="55" t="n">
        <x:v>1972</x:v>
      </x:c>
      <x:c r="AQ779" s="55" t="n">
        <x:v>968</x:v>
      </x:c>
    </x:row>
    <x:row r="780">
      <x:c r="A780" s="54" t="str">
        <x:v>T2_CONCORDANT_DOMAIN</x:v>
      </x:c>
      <x:c r="B780" s="54" t="n">
        <x:v>774</x:v>
      </x:c>
      <x:c r="C780" s="54" t="str">
        <x:v>NYC-V2-R01</x:v>
      </x:c>
      <x:c r="D780" s="54" t="str">
        <x:v>V2</x:v>
      </x:c>
      <x:c r="E780" s="54" t="str">
        <x:v>ADMITTED</x:v>
      </x:c>
      <x:c r="F780" s="55" t="n">
        <x:v>31900</x:v>
      </x:c>
      <x:c r="G780" s="55" t="n">
        <x:v>9247</x:v>
      </x:c>
      <x:c r="H780" s="55" t="n">
        <x:v>3740</x:v>
      </x:c>
      <x:c r="I780" s="55" t="n">
        <x:v>1600</x:v>
      </x:c>
      <x:c r="J780" s="55" t="n">
        <x:v>511</x:v>
      </x:c>
      <x:c r="K780" s="55" t="n">
        <x:v>30510</x:v>
      </x:c>
      <x:c r="L780" s="55" t="n">
        <x:v>5625</x:v>
      </x:c>
      <x:c r="M780" s="55" t="n">
        <x:v>1181</x:v>
      </x:c>
      <x:c r="N780" s="55" t="n">
        <x:v>2813</x:v>
      </x:c>
      <x:c r="O780" s="55" t="n">
        <x:v>1631</x:v>
      </x:c>
      <x:c r="P780" s="55" t="n">
        <x:v>1179</x:v>
      </x:c>
      <x:c r="Q780" s="55" t="n">
        <x:v>3108</x:v>
      </x:c>
      <x:c r="R780" s="55" t="n">
        <x:v>2563</x:v>
      </x:c>
      <x:c r="S780" s="55" t="n">
        <x:v>2677</x:v>
      </x:c>
      <x:c r="T780" s="55" t="n">
        <x:v>834</x:v>
      </x:c>
      <x:c r="U780" s="55" t="n">
        <x:v>2003</x:v>
      </x:c>
      <x:c r="V780" s="55" t="n">
        <x:v>10598</x:v>
      </x:c>
      <x:c r="W780" s="55" t="n">
        <x:v>8004</x:v>
      </x:c>
      <x:c r="X780" s="55" t="n">
        <x:v>2594</x:v>
      </x:c>
      <x:c r="Y780" s="55" t="n">
        <x:v>2238</x:v>
      </x:c>
      <x:c r="Z780" s="55" t="n">
        <x:v>3737</x:v>
      </x:c>
      <x:c r="AA780" s="55" t="n">
        <x:v>2944</x:v>
      </x:c>
      <x:c r="AB780" s="55" t="n">
        <x:v>1291</x:v>
      </x:c>
      <x:c r="AC780" s="55" t="n">
        <x:v>7935</x:v>
      </x:c>
      <x:c r="AD780" s="55" t="n">
        <x:v>2797</x:v>
      </x:c>
      <x:c r="AE780" s="55" t="n">
        <x:v>10699</x:v>
      </x:c>
      <x:c r="AF780" s="55" t="n">
        <x:v>10598</x:v>
      </x:c>
      <x:c r="AG780" s="55" t="n">
        <x:v>101</x:v>
      </x:c>
      <x:c r="AH780" s="55" t="n">
        <x:v>370</x:v>
      </x:c>
      <x:c r="AI780" s="55" t="n">
        <x:v>10228</x:v>
      </x:c>
      <x:c r="AJ780" s="55" t="n">
        <x:v>318</x:v>
      </x:c>
      <x:c r="AK780" s="55" t="n">
        <x:v>1165</x:v>
      </x:c>
      <x:c r="AL780" s="55" t="n">
        <x:v>1690</x:v>
      </x:c>
      <x:c r="AM780" s="55" t="n">
        <x:v>5340</x:v>
      </x:c>
      <x:c r="AN780" s="55" t="n">
        <x:v>2059</x:v>
      </x:c>
      <x:c r="AO780" s="55" t="n">
        <x:v>26</x:v>
      </x:c>
      <x:c r="AP780" s="55" t="n">
        <x:v>2179</x:v>
      </x:c>
      <x:c r="AQ780" s="55" t="n">
        <x:v>1000</x:v>
      </x:c>
    </x:row>
    <x:row r="781">
      <x:c r="A781" s="54" t="str">
        <x:v>T2_CONCORDANT_DOMAIN</x:v>
      </x:c>
      <x:c r="B781" s="54" t="n">
        <x:v>775</x:v>
      </x:c>
      <x:c r="C781" s="54" t="str">
        <x:v>NYC-V2-R01</x:v>
      </x:c>
      <x:c r="D781" s="54" t="str">
        <x:v>V2</x:v>
      </x:c>
      <x:c r="E781" s="54" t="str">
        <x:v>ADMITTED</x:v>
      </x:c>
      <x:c r="F781" s="55" t="n">
        <x:v>27946</x:v>
      </x:c>
      <x:c r="G781" s="55" t="n">
        <x:v>6421</x:v>
      </x:c>
      <x:c r="H781" s="55" t="n">
        <x:v>2962</x:v>
      </x:c>
      <x:c r="I781" s="55" t="n">
        <x:v>983</x:v>
      </x:c>
      <x:c r="J781" s="55" t="n">
        <x:v>14</x:v>
      </x:c>
      <x:c r="K781" s="55" t="n">
        <x:v>27711</x:v>
      </x:c>
      <x:c r="L781" s="55" t="n">
        <x:v>3912</x:v>
      </x:c>
      <x:c r="M781" s="55" t="n">
        <x:v>0</x:v>
      </x:c>
      <x:c r="N781" s="55" t="n">
        <x:v>2558</x:v>
      </x:c>
      <x:c r="O781" s="55" t="n">
        <x:v>1354</x:v>
      </x:c>
      <x:c r="P781" s="55" t="n">
        <x:v>497</x:v>
      </x:c>
      <x:c r="Q781" s="55" t="n">
        <x:v>2198</x:v>
      </x:c>
      <x:c r="R781" s="55" t="n">
        <x:v>1864</x:v>
      </x:c>
      <x:c r="S781" s="55" t="n">
        <x:v>2047</x:v>
      </x:c>
      <x:c r="T781" s="55" t="n">
        <x:v>1151</x:v>
      </x:c>
      <x:c r="U781" s="55" t="n">
        <x:v>2270</x:v>
      </x:c>
      <x:c r="V781" s="55" t="n">
        <x:v>10039</x:v>
      </x:c>
      <x:c r="W781" s="55" t="n">
        <x:v>7313</x:v>
      </x:c>
      <x:c r="X781" s="55" t="n">
        <x:v>2726</x:v>
      </x:c>
      <x:c r="Y781" s="55" t="n">
        <x:v>2228</x:v>
      </x:c>
      <x:c r="Z781" s="55" t="n">
        <x:v>3794</x:v>
      </x:c>
      <x:c r="AA781" s="55" t="n">
        <x:v>2171</x:v>
      </x:c>
      <x:c r="AB781" s="55" t="n">
        <x:v>671</x:v>
      </x:c>
      <x:c r="AC781" s="55" t="n">
        <x:v>8044</x:v>
      </x:c>
      <x:c r="AD781" s="55" t="n">
        <x:v>2504</x:v>
      </x:c>
      <x:c r="AE781" s="55" t="n">
        <x:v>10095</x:v>
      </x:c>
      <x:c r="AF781" s="55" t="n">
        <x:v>10039</x:v>
      </x:c>
      <x:c r="AG781" s="55" t="n">
        <x:v>56</x:v>
      </x:c>
      <x:c r="AH781" s="55" t="n">
        <x:v>401</x:v>
      </x:c>
      <x:c r="AI781" s="55" t="n">
        <x:v>9638</x:v>
      </x:c>
      <x:c r="AJ781" s="55" t="n">
        <x:v>261</x:v>
      </x:c>
      <x:c r="AK781" s="55" t="n">
        <x:v>700</x:v>
      </x:c>
      <x:c r="AL781" s="55" t="n">
        <x:v>1703</x:v>
      </x:c>
      <x:c r="AM781" s="55" t="n">
        <x:v>4902</x:v>
      </x:c>
      <x:c r="AN781" s="55" t="n">
        <x:v>2473</x:v>
      </x:c>
      <x:c r="AO781" s="55" t="n">
        <x:v>0</x:v>
      </x:c>
      <x:c r="AP781" s="55" t="n">
        <x:v>2208</x:v>
      </x:c>
      <x:c r="AQ781" s="55" t="n">
        <x:v>919</x:v>
      </x:c>
    </x:row>
    <x:row r="782">
      <x:c r="A782" s="54" t="str">
        <x:v>T2_CONCORDANT_DOMAIN</x:v>
      </x:c>
      <x:c r="B782" s="54" t="n">
        <x:v>776</x:v>
      </x:c>
      <x:c r="C782" s="54" t="str">
        <x:v>NYC-V2-R01</x:v>
      </x:c>
      <x:c r="D782" s="54" t="str">
        <x:v>V2</x:v>
      </x:c>
      <x:c r="E782" s="54" t="str">
        <x:v>ADMITTED</x:v>
      </x:c>
      <x:c r="F782" s="55" t="n">
        <x:v>32934</x:v>
      </x:c>
      <x:c r="G782" s="55" t="n">
        <x:v>9373</x:v>
      </x:c>
      <x:c r="H782" s="55" t="n">
        <x:v>3381</x:v>
      </x:c>
      <x:c r="I782" s="55" t="n">
        <x:v>1445</x:v>
      </x:c>
      <x:c r="J782" s="55" t="n">
        <x:v>375</x:v>
      </x:c>
      <x:c r="K782" s="55" t="n">
        <x:v>30912</x:v>
      </x:c>
      <x:c r="L782" s="55" t="n">
        <x:v>6358</x:v>
      </x:c>
      <x:c r="M782" s="55" t="n">
        <x:v>1496</x:v>
      </x:c>
      <x:c r="N782" s="55" t="n">
        <x:v>3026</x:v>
      </x:c>
      <x:c r="O782" s="55" t="n">
        <x:v>1836</x:v>
      </x:c>
      <x:c r="P782" s="55" t="n">
        <x:v>899</x:v>
      </x:c>
      <x:c r="Q782" s="55" t="n">
        <x:v>2641</x:v>
      </x:c>
      <x:c r="R782" s="55" t="n">
        <x:v>1690</x:v>
      </x:c>
      <x:c r="S782" s="55" t="n">
        <x:v>2934</x:v>
      </x:c>
      <x:c r="T782" s="55" t="n">
        <x:v>1449</x:v>
      </x:c>
      <x:c r="U782" s="55" t="n">
        <x:v>2306</x:v>
      </x:c>
      <x:c r="V782" s="55" t="n">
        <x:v>10813</x:v>
      </x:c>
      <x:c r="W782" s="55" t="n">
        <x:v>7855</x:v>
      </x:c>
      <x:c r="X782" s="55" t="n">
        <x:v>2958</x:v>
      </x:c>
      <x:c r="Y782" s="55" t="n">
        <x:v>2580</x:v>
      </x:c>
      <x:c r="Z782" s="55" t="n">
        <x:v>4113</x:v>
      </x:c>
      <x:c r="AA782" s="55" t="n">
        <x:v>3341</x:v>
      </x:c>
      <x:c r="AB782" s="55" t="n">
        <x:v>1413</x:v>
      </x:c>
      <x:c r="AC782" s="55" t="n">
        <x:v>8732</x:v>
      </x:c>
      <x:c r="AD782" s="55" t="n">
        <x:v>3078</x:v>
      </x:c>
      <x:c r="AE782" s="55" t="n">
        <x:v>10890</x:v>
      </x:c>
      <x:c r="AF782" s="55" t="n">
        <x:v>10813</x:v>
      </x:c>
      <x:c r="AG782" s="55" t="n">
        <x:v>77</x:v>
      </x:c>
      <x:c r="AH782" s="55" t="n">
        <x:v>439</x:v>
      </x:c>
      <x:c r="AI782" s="55" t="n">
        <x:v>10374</x:v>
      </x:c>
      <x:c r="AJ782" s="55" t="n">
        <x:v>363</x:v>
      </x:c>
      <x:c r="AK782" s="55" t="n">
        <x:v>1012</x:v>
      </x:c>
      <x:c r="AL782" s="55" t="n">
        <x:v>1837</x:v>
      </x:c>
      <x:c r="AM782" s="55" t="n">
        <x:v>4995</x:v>
      </x:c>
      <x:c r="AN782" s="55" t="n">
        <x:v>2577</x:v>
      </x:c>
      <x:c r="AO782" s="55" t="n">
        <x:v>29</x:v>
      </x:c>
      <x:c r="AP782" s="55" t="n">
        <x:v>2398</x:v>
      </x:c>
      <x:c r="AQ782" s="55" t="n">
        <x:v>1010</x:v>
      </x:c>
    </x:row>
    <x:row r="783">
      <x:c r="A783" s="54" t="str">
        <x:v>T2_CONCORDANT_DOMAIN</x:v>
      </x:c>
      <x:c r="B783" s="54" t="n">
        <x:v>777</x:v>
      </x:c>
      <x:c r="C783" s="54" t="str">
        <x:v>NYC-V2-R01</x:v>
      </x:c>
      <x:c r="D783" s="54" t="str">
        <x:v>V2</x:v>
      </x:c>
      <x:c r="E783" s="54" t="str">
        <x:v>ADMITTED</x:v>
      </x:c>
      <x:c r="F783" s="55" t="n">
        <x:v>31712</x:v>
      </x:c>
      <x:c r="G783" s="55" t="n">
        <x:v>6310</x:v>
      </x:c>
      <x:c r="H783" s="55" t="n">
        <x:v>2971</x:v>
      </x:c>
      <x:c r="I783" s="55" t="n">
        <x:v>1358</x:v>
      </x:c>
      <x:c r="J783" s="55" t="n">
        <x:v>101</x:v>
      </x:c>
      <x:c r="K783" s="55" t="n">
        <x:v>31712</x:v>
      </x:c>
      <x:c r="L783" s="55" t="n">
        <x:v>7169</x:v>
      </x:c>
      <x:c r="M783" s="55" t="n">
        <x:v>2190</x:v>
      </x:c>
      <x:c r="N783" s="55" t="n">
        <x:v>2938</x:v>
      </x:c>
      <x:c r="O783" s="55" t="n">
        <x:v>2041</x:v>
      </x:c>
      <x:c r="P783" s="55" t="n">
        <x:v>847</x:v>
      </x:c>
      <x:c r="Q783" s="55" t="n">
        <x:v>3687</x:v>
      </x:c>
      <x:c r="R783" s="55" t="n">
        <x:v>1919</x:v>
      </x:c>
      <x:c r="S783" s="55" t="n">
        <x:v>2838</x:v>
      </x:c>
      <x:c r="T783" s="55" t="n">
        <x:v>1351</x:v>
      </x:c>
      <x:c r="U783" s="55" t="n">
        <x:v>1806</x:v>
      </x:c>
      <x:c r="V783" s="55" t="n">
        <x:v>10885</x:v>
      </x:c>
      <x:c r="W783" s="55" t="n">
        <x:v>7926</x:v>
      </x:c>
      <x:c r="X783" s="55" t="n">
        <x:v>2959</x:v>
      </x:c>
      <x:c r="Y783" s="55" t="n">
        <x:v>2632</x:v>
      </x:c>
      <x:c r="Z783" s="55" t="n">
        <x:v>3787</x:v>
      </x:c>
      <x:c r="AA783" s="55" t="n">
        <x:v>2697</x:v>
      </x:c>
      <x:c r="AB783" s="55" t="n">
        <x:v>932</x:v>
      </x:c>
      <x:c r="AC783" s="55" t="n">
        <x:v>8335</x:v>
      </x:c>
      <x:c r="AD783" s="55" t="n">
        <x:v>2868</x:v>
      </x:c>
      <x:c r="AE783" s="55" t="n">
        <x:v>10944</x:v>
      </x:c>
      <x:c r="AF783" s="55" t="n">
        <x:v>10885</x:v>
      </x:c>
      <x:c r="AG783" s="55" t="n">
        <x:v>59</x:v>
      </x:c>
      <x:c r="AH783" s="55" t="n">
        <x:v>585</x:v>
      </x:c>
      <x:c r="AI783" s="55" t="n">
        <x:v>10300</x:v>
      </x:c>
      <x:c r="AJ783" s="55" t="n">
        <x:v>402</x:v>
      </x:c>
      <x:c r="AK783" s="55" t="n">
        <x:v>1133</x:v>
      </x:c>
      <x:c r="AL783" s="55" t="n">
        <x:v>1715</x:v>
      </x:c>
      <x:c r="AM783" s="55" t="n">
        <x:v>4997</x:v>
      </x:c>
      <x:c r="AN783" s="55" t="n">
        <x:v>2620</x:v>
      </x:c>
      <x:c r="AO783" s="55" t="n">
        <x:v>18</x:v>
      </x:c>
      <x:c r="AP783" s="55" t="n">
        <x:v>1898</x:v>
      </x:c>
      <x:c r="AQ783" s="55" t="n">
        <x:v>949</x:v>
      </x:c>
    </x:row>
    <x:row r="784">
      <x:c r="A784" s="54" t="str">
        <x:v>T2_CONCORDANT_DOMAIN</x:v>
      </x:c>
      <x:c r="B784" s="54" t="n">
        <x:v>778</x:v>
      </x:c>
      <x:c r="C784" s="54" t="str">
        <x:v>NYC-V2-R01</x:v>
      </x:c>
      <x:c r="D784" s="54" t="str">
        <x:v>V2</x:v>
      </x:c>
      <x:c r="E784" s="54" t="str">
        <x:v>ADMITTED</x:v>
      </x:c>
      <x:c r="F784" s="55" t="n">
        <x:v>30062</x:v>
      </x:c>
      <x:c r="G784" s="55" t="n">
        <x:v>6710</x:v>
      </x:c>
      <x:c r="H784" s="55" t="n">
        <x:v>2869</x:v>
      </x:c>
      <x:c r="I784" s="55" t="n">
        <x:v>1050</x:v>
      </x:c>
      <x:c r="J784" s="55" t="n">
        <x:v>328</x:v>
      </x:c>
      <x:c r="K784" s="55" t="n">
        <x:v>27063</x:v>
      </x:c>
      <x:c r="L784" s="55" t="n">
        <x:v>3644</x:v>
      </x:c>
      <x:c r="M784" s="55" t="n">
        <x:v>640</x:v>
      </x:c>
      <x:c r="N784" s="55" t="n">
        <x:v>2131</x:v>
      </x:c>
      <x:c r="O784" s="55" t="n">
        <x:v>873</x:v>
      </x:c>
      <x:c r="P784" s="55" t="n">
        <x:v>337</x:v>
      </x:c>
      <x:c r="Q784" s="55" t="n">
        <x:v>1180</x:v>
      </x:c>
      <x:c r="R784" s="55" t="n">
        <x:v>1522</x:v>
      </x:c>
      <x:c r="S784" s="55" t="n">
        <x:v>2182</x:v>
      </x:c>
      <x:c r="T784" s="55" t="n">
        <x:v>1038</x:v>
      </x:c>
      <x:c r="U784" s="55" t="n">
        <x:v>1622</x:v>
      </x:c>
      <x:c r="V784" s="55" t="n">
        <x:v>10276</x:v>
      </x:c>
      <x:c r="W784" s="55" t="n">
        <x:v>7529</x:v>
      </x:c>
      <x:c r="X784" s="55" t="n">
        <x:v>2747</x:v>
      </x:c>
      <x:c r="Y784" s="55" t="n">
        <x:v>2274</x:v>
      </x:c>
      <x:c r="Z784" s="55" t="n">
        <x:v>3223</x:v>
      </x:c>
      <x:c r="AA784" s="55" t="n">
        <x:v>2549</x:v>
      </x:c>
      <x:c r="AB784" s="55" t="n">
        <x:v>715</x:v>
      </x:c>
      <x:c r="AC784" s="55" t="n">
        <x:v>7881</x:v>
      </x:c>
      <x:c r="AD784" s="55" t="n">
        <x:v>3127</x:v>
      </x:c>
      <x:c r="AE784" s="55" t="n">
        <x:v>10302</x:v>
      </x:c>
      <x:c r="AF784" s="55" t="n">
        <x:v>10276</x:v>
      </x:c>
      <x:c r="AG784" s="55" t="n">
        <x:v>26</x:v>
      </x:c>
      <x:c r="AH784" s="55" t="n">
        <x:v>487</x:v>
      </x:c>
      <x:c r="AI784" s="55" t="n">
        <x:v>9789</x:v>
      </x:c>
      <x:c r="AJ784" s="55" t="n">
        <x:v>165</x:v>
      </x:c>
      <x:c r="AK784" s="55" t="n">
        <x:v>973</x:v>
      </x:c>
      <x:c r="AL784" s="55" t="n">
        <x:v>1848</x:v>
      </x:c>
      <x:c r="AM784" s="55" t="n">
        <x:v>4354</x:v>
      </x:c>
      <x:c r="AN784" s="55" t="n">
        <x:v>2936</x:v>
      </x:c>
      <x:c r="AO784" s="55" t="n">
        <x:v>0</x:v>
      </x:c>
      <x:c r="AP784" s="55" t="n">
        <x:v>2520</x:v>
      </x:c>
      <x:c r="AQ784" s="55" t="n">
        <x:v>921</x:v>
      </x:c>
    </x:row>
    <x:row r="785">
      <x:c r="A785" s="54" t="str">
        <x:v>T2_CONCORDANT_DOMAIN</x:v>
      </x:c>
      <x:c r="B785" s="54" t="n">
        <x:v>779</x:v>
      </x:c>
      <x:c r="C785" s="54" t="str">
        <x:v>NYC-V2-R01</x:v>
      </x:c>
      <x:c r="D785" s="54" t="str">
        <x:v>V2</x:v>
      </x:c>
      <x:c r="E785" s="54" t="str">
        <x:v>ADMITTED</x:v>
      </x:c>
      <x:c r="F785" s="55" t="n">
        <x:v>31368</x:v>
      </x:c>
      <x:c r="G785" s="55" t="n">
        <x:v>8458</x:v>
      </x:c>
      <x:c r="H785" s="55" t="n">
        <x:v>2930</x:v>
      </x:c>
      <x:c r="I785" s="55" t="n">
        <x:v>1247</x:v>
      </x:c>
      <x:c r="J785" s="55" t="n">
        <x:v>166</x:v>
      </x:c>
      <x:c r="K785" s="55" t="n">
        <x:v>29346</x:v>
      </x:c>
      <x:c r="L785" s="55" t="n">
        <x:v>5157</x:v>
      </x:c>
      <x:c r="M785" s="55" t="n">
        <x:v>1002</x:v>
      </x:c>
      <x:c r="N785" s="55" t="n">
        <x:v>2527</x:v>
      </x:c>
      <x:c r="O785" s="55" t="n">
        <x:v>1628</x:v>
      </x:c>
      <x:c r="P785" s="55" t="n">
        <x:v>588</x:v>
      </x:c>
      <x:c r="Q785" s="55" t="n">
        <x:v>2876</x:v>
      </x:c>
      <x:c r="R785" s="55" t="n">
        <x:v>2010</x:v>
      </x:c>
      <x:c r="S785" s="55" t="n">
        <x:v>2795</x:v>
      </x:c>
      <x:c r="T785" s="55" t="n">
        <x:v>1341</x:v>
      </x:c>
      <x:c r="U785" s="55" t="n">
        <x:v>1773</x:v>
      </x:c>
      <x:c r="V785" s="55" t="n">
        <x:v>10327</x:v>
      </x:c>
      <x:c r="W785" s="55" t="n">
        <x:v>7204</x:v>
      </x:c>
      <x:c r="X785" s="55" t="n">
        <x:v>3123</x:v>
      </x:c>
      <x:c r="Y785" s="55" t="n">
        <x:v>2587</x:v>
      </x:c>
      <x:c r="Z785" s="55" t="n">
        <x:v>3729</x:v>
      </x:c>
      <x:c r="AA785" s="55" t="n">
        <x:v>2930</x:v>
      </x:c>
      <x:c r="AB785" s="55" t="n">
        <x:v>1034</x:v>
      </x:c>
      <x:c r="AC785" s="55" t="n">
        <x:v>7966</x:v>
      </x:c>
      <x:c r="AD785" s="55" t="n">
        <x:v>2704</x:v>
      </x:c>
      <x:c r="AE785" s="55" t="n">
        <x:v>10379</x:v>
      </x:c>
      <x:c r="AF785" s="55" t="n">
        <x:v>10327</x:v>
      </x:c>
      <x:c r="AG785" s="55" t="n">
        <x:v>52</x:v>
      </x:c>
      <x:c r="AH785" s="55" t="n">
        <x:v>592</x:v>
      </x:c>
      <x:c r="AI785" s="55" t="n">
        <x:v>9735</x:v>
      </x:c>
      <x:c r="AJ785" s="55" t="n">
        <x:v>362</x:v>
      </x:c>
      <x:c r="AK785" s="55" t="n">
        <x:v>1036</x:v>
      </x:c>
      <x:c r="AL785" s="55" t="n">
        <x:v>1520</x:v>
      </x:c>
      <x:c r="AM785" s="55" t="n">
        <x:v>4928</x:v>
      </x:c>
      <x:c r="AN785" s="55" t="n">
        <x:v>2481</x:v>
      </x:c>
      <x:c r="AO785" s="55" t="n">
        <x:v>0</x:v>
      </x:c>
      <x:c r="AP785" s="55" t="n">
        <x:v>2209</x:v>
      </x:c>
      <x:c r="AQ785" s="55" t="n">
        <x:v>934</x:v>
      </x:c>
    </x:row>
    <x:row r="786">
      <x:c r="A786" s="54" t="str">
        <x:v>T2_CONCORDANT_DOMAIN</x:v>
      </x:c>
      <x:c r="B786" s="54" t="n">
        <x:v>780</x:v>
      </x:c>
      <x:c r="C786" s="54" t="str">
        <x:v>NYC-V2-R01</x:v>
      </x:c>
      <x:c r="D786" s="54" t="str">
        <x:v>V2</x:v>
      </x:c>
      <x:c r="E786" s="54" t="str">
        <x:v>ADMITTED</x:v>
      </x:c>
      <x:c r="F786" s="55" t="n">
        <x:v>33003</x:v>
      </x:c>
      <x:c r="G786" s="55" t="n">
        <x:v>8516</x:v>
      </x:c>
      <x:c r="H786" s="55" t="n">
        <x:v>3664</x:v>
      </x:c>
      <x:c r="I786" s="55" t="n">
        <x:v>1637</x:v>
      </x:c>
      <x:c r="J786" s="55" t="n">
        <x:v>376</x:v>
      </x:c>
      <x:c r="K786" s="55" t="n">
        <x:v>33003</x:v>
      </x:c>
      <x:c r="L786" s="55" t="n">
        <x:v>7057</x:v>
      </x:c>
      <x:c r="M786" s="55" t="n">
        <x:v>1902</x:v>
      </x:c>
      <x:c r="N786" s="55" t="n">
        <x:v>2993</x:v>
      </x:c>
      <x:c r="O786" s="55" t="n">
        <x:v>2162</x:v>
      </x:c>
      <x:c r="P786" s="55" t="n">
        <x:v>1224</x:v>
      </x:c>
      <x:c r="Q786" s="55" t="n">
        <x:v>3011</x:v>
      </x:c>
      <x:c r="R786" s="55" t="n">
        <x:v>2398</x:v>
      </x:c>
      <x:c r="S786" s="55" t="n">
        <x:v>3411</x:v>
      </x:c>
      <x:c r="T786" s="55" t="n">
        <x:v>1437</x:v>
      </x:c>
      <x:c r="U786" s="55" t="n">
        <x:v>2534</x:v>
      </x:c>
      <x:c r="V786" s="55" t="n">
        <x:v>10969</x:v>
      </x:c>
      <x:c r="W786" s="55" t="n">
        <x:v>7841</x:v>
      </x:c>
      <x:c r="X786" s="55" t="n">
        <x:v>3128</x:v>
      </x:c>
      <x:c r="Y786" s="55" t="n">
        <x:v>2774</x:v>
      </x:c>
      <x:c r="Z786" s="55" t="n">
        <x:v>3590</x:v>
      </x:c>
      <x:c r="AA786" s="55" t="n">
        <x:v>3610</x:v>
      </x:c>
      <x:c r="AB786" s="55" t="n">
        <x:v>1372</x:v>
      </x:c>
      <x:c r="AC786" s="55" t="n">
        <x:v>8083</x:v>
      </x:c>
      <x:c r="AD786" s="55" t="n">
        <x:v>2735</x:v>
      </x:c>
      <x:c r="AE786" s="55" t="n">
        <x:v>11053</x:v>
      </x:c>
      <x:c r="AF786" s="55" t="n">
        <x:v>10969</x:v>
      </x:c>
      <x:c r="AG786" s="55" t="n">
        <x:v>84</x:v>
      </x:c>
      <x:c r="AH786" s="55" t="n">
        <x:v>719</x:v>
      </x:c>
      <x:c r="AI786" s="55" t="n">
        <x:v>10250</x:v>
      </x:c>
      <x:c r="AJ786" s="55" t="n">
        <x:v>251</x:v>
      </x:c>
      <x:c r="AK786" s="55" t="n">
        <x:v>1019</x:v>
      </x:c>
      <x:c r="AL786" s="55" t="n">
        <x:v>1678</x:v>
      </x:c>
      <x:c r="AM786" s="55" t="n">
        <x:v>5507</x:v>
      </x:c>
      <x:c r="AN786" s="55" t="n">
        <x:v>2514</x:v>
      </x:c>
      <x:c r="AO786" s="55" t="n">
        <x:v>0</x:v>
      </x:c>
      <x:c r="AP786" s="55" t="n">
        <x:v>2800</x:v>
      </x:c>
      <x:c r="AQ786" s="55" t="n">
        <x:v>1026</x:v>
      </x:c>
    </x:row>
    <x:row r="787">
      <x:c r="A787" s="54" t="str">
        <x:v>T2_CONCORDANT_DOMAIN</x:v>
      </x:c>
      <x:c r="B787" s="54" t="n">
        <x:v>781</x:v>
      </x:c>
      <x:c r="C787" s="54" t="str">
        <x:v>NYC-V2-R01</x:v>
      </x:c>
      <x:c r="D787" s="54" t="str">
        <x:v>V2</x:v>
      </x:c>
      <x:c r="E787" s="54" t="str">
        <x:v>ADMITTED</x:v>
      </x:c>
      <x:c r="F787" s="55" t="n">
        <x:v>31588</x:v>
      </x:c>
      <x:c r="G787" s="55" t="n">
        <x:v>6073</x:v>
      </x:c>
      <x:c r="H787" s="55" t="n">
        <x:v>3046</x:v>
      </x:c>
      <x:c r="I787" s="55" t="n">
        <x:v>1199</x:v>
      </x:c>
      <x:c r="J787" s="55" t="n">
        <x:v>114</x:v>
      </x:c>
      <x:c r="K787" s="55" t="n">
        <x:v>31588</x:v>
      </x:c>
      <x:c r="L787" s="55" t="n">
        <x:v>6486</x:v>
      </x:c>
      <x:c r="M787" s="55" t="n">
        <x:v>1639</x:v>
      </x:c>
      <x:c r="N787" s="55" t="n">
        <x:v>2983</x:v>
      </x:c>
      <x:c r="O787" s="55" t="n">
        <x:v>1864</x:v>
      </x:c>
      <x:c r="P787" s="55" t="n">
        <x:v>927</x:v>
      </x:c>
      <x:c r="Q787" s="55" t="n">
        <x:v>1791</x:v>
      </x:c>
      <x:c r="R787" s="55" t="n">
        <x:v>1468</x:v>
      </x:c>
      <x:c r="S787" s="55" t="n">
        <x:v>2734</x:v>
      </x:c>
      <x:c r="T787" s="55" t="n">
        <x:v>1163</x:v>
      </x:c>
      <x:c r="U787" s="55" t="n">
        <x:v>1745</x:v>
      </x:c>
      <x:c r="V787" s="55" t="n">
        <x:v>10714</x:v>
      </x:c>
      <x:c r="W787" s="55" t="n">
        <x:v>7912</x:v>
      </x:c>
      <x:c r="X787" s="55" t="n">
        <x:v>2802</x:v>
      </x:c>
      <x:c r="Y787" s="55" t="n">
        <x:v>2320</x:v>
      </x:c>
      <x:c r="Z787" s="55" t="n">
        <x:v>3520</x:v>
      </x:c>
      <x:c r="AA787" s="55" t="n">
        <x:v>3046</x:v>
      </x:c>
      <x:c r="AB787" s="55" t="n">
        <x:v>1071</x:v>
      </x:c>
      <x:c r="AC787" s="55" t="n">
        <x:v>7639</x:v>
      </x:c>
      <x:c r="AD787" s="55" t="n">
        <x:v>2381</x:v>
      </x:c>
      <x:c r="AE787" s="55" t="n">
        <x:v>10728</x:v>
      </x:c>
      <x:c r="AF787" s="55" t="n">
        <x:v>10714</x:v>
      </x:c>
      <x:c r="AG787" s="55" t="n">
        <x:v>14</x:v>
      </x:c>
      <x:c r="AH787" s="55" t="n">
        <x:v>503</x:v>
      </x:c>
      <x:c r="AI787" s="55" t="n">
        <x:v>10211</x:v>
      </x:c>
      <x:c r="AJ787" s="55" t="n">
        <x:v>255</x:v>
      </x:c>
      <x:c r="AK787" s="55" t="n">
        <x:v>1057</x:v>
      </x:c>
      <x:c r="AL787" s="55" t="n">
        <x:v>1683</x:v>
      </x:c>
      <x:c r="AM787" s="55" t="n">
        <x:v>4781</x:v>
      </x:c>
      <x:c r="AN787" s="55" t="n">
        <x:v>2938</x:v>
      </x:c>
      <x:c r="AO787" s="55" t="n">
        <x:v>0</x:v>
      </x:c>
      <x:c r="AP787" s="55" t="n">
        <x:v>2425</x:v>
      </x:c>
      <x:c r="AQ787" s="55" t="n">
        <x:v>919</x:v>
      </x:c>
    </x:row>
    <x:row r="788">
      <x:c r="A788" s="54" t="str">
        <x:v>T2_CONCORDANT_DOMAIN</x:v>
      </x:c>
      <x:c r="B788" s="54" t="n">
        <x:v>782</x:v>
      </x:c>
      <x:c r="C788" s="54" t="str">
        <x:v>NYC-V2-R01</x:v>
      </x:c>
      <x:c r="D788" s="54" t="str">
        <x:v>V2</x:v>
      </x:c>
      <x:c r="E788" s="54" t="str">
        <x:v>ADMITTED</x:v>
      </x:c>
      <x:c r="F788" s="55" t="n">
        <x:v>31614</x:v>
      </x:c>
      <x:c r="G788" s="55" t="n">
        <x:v>8603</x:v>
      </x:c>
      <x:c r="H788" s="55" t="n">
        <x:v>3691</x:v>
      </x:c>
      <x:c r="I788" s="55" t="n">
        <x:v>1459</x:v>
      </x:c>
      <x:c r="J788" s="55" t="n">
        <x:v>192</x:v>
      </x:c>
      <x:c r="K788" s="55" t="n">
        <x:v>30831</x:v>
      </x:c>
      <x:c r="L788" s="55" t="n">
        <x:v>7837</x:v>
      </x:c>
      <x:c r="M788" s="55" t="n">
        <x:v>2506</x:v>
      </x:c>
      <x:c r="N788" s="55" t="n">
        <x:v>3493</x:v>
      </x:c>
      <x:c r="O788" s="55" t="n">
        <x:v>1838</x:v>
      </x:c>
      <x:c r="P788" s="55" t="n">
        <x:v>1007</x:v>
      </x:c>
      <x:c r="Q788" s="55" t="n">
        <x:v>2807</x:v>
      </x:c>
      <x:c r="R788" s="55" t="n">
        <x:v>2342</x:v>
      </x:c>
      <x:c r="S788" s="55" t="n">
        <x:v>3086</x:v>
      </x:c>
      <x:c r="T788" s="55" t="n">
        <x:v>1350</x:v>
      </x:c>
      <x:c r="U788" s="55" t="n">
        <x:v>2325</x:v>
      </x:c>
      <x:c r="V788" s="55" t="n">
        <x:v>10256</x:v>
      </x:c>
      <x:c r="W788" s="55" t="n">
        <x:v>7089</x:v>
      </x:c>
      <x:c r="X788" s="55" t="n">
        <x:v>3167</x:v>
      </x:c>
      <x:c r="Y788" s="55" t="n">
        <x:v>2701</x:v>
      </x:c>
      <x:c r="Z788" s="55" t="n">
        <x:v>3807</x:v>
      </x:c>
      <x:c r="AA788" s="55" t="n">
        <x:v>3446</x:v>
      </x:c>
      <x:c r="AB788" s="55" t="n">
        <x:v>1438</x:v>
      </x:c>
      <x:c r="AC788" s="55" t="n">
        <x:v>8344</x:v>
      </x:c>
      <x:c r="AD788" s="55" t="n">
        <x:v>3150</x:v>
      </x:c>
      <x:c r="AE788" s="55" t="n">
        <x:v>10349</x:v>
      </x:c>
      <x:c r="AF788" s="55" t="n">
        <x:v>10256</x:v>
      </x:c>
      <x:c r="AG788" s="55" t="n">
        <x:v>93</x:v>
      </x:c>
      <x:c r="AH788" s="55" t="n">
        <x:v>355</x:v>
      </x:c>
      <x:c r="AI788" s="55" t="n">
        <x:v>9901</x:v>
      </x:c>
      <x:c r="AJ788" s="55" t="n">
        <x:v>452</x:v>
      </x:c>
      <x:c r="AK788" s="55" t="n">
        <x:v>914</x:v>
      </x:c>
      <x:c r="AL788" s="55" t="n">
        <x:v>1397</x:v>
      </x:c>
      <x:c r="AM788" s="55" t="n">
        <x:v>4880</x:v>
      </x:c>
      <x:c r="AN788" s="55" t="n">
        <x:v>2565</x:v>
      </x:c>
      <x:c r="AO788" s="55" t="n">
        <x:v>48</x:v>
      </x:c>
      <x:c r="AP788" s="55" t="n">
        <x:v>2660</x:v>
      </x:c>
      <x:c r="AQ788" s="55" t="n">
        <x:v>973</x:v>
      </x:c>
    </x:row>
    <x:row r="789">
      <x:c r="A789" s="54" t="str">
        <x:v>T2_CONCORDANT_DOMAIN</x:v>
      </x:c>
      <x:c r="B789" s="54" t="n">
        <x:v>783</x:v>
      </x:c>
      <x:c r="C789" s="54" t="str">
        <x:v>NYC-V2-R01</x:v>
      </x:c>
      <x:c r="D789" s="54" t="str">
        <x:v>V2</x:v>
      </x:c>
      <x:c r="E789" s="54" t="str">
        <x:v>ADMITTED</x:v>
      </x:c>
      <x:c r="F789" s="55" t="n">
        <x:v>29683</x:v>
      </x:c>
      <x:c r="G789" s="55" t="n">
        <x:v>6611</x:v>
      </x:c>
      <x:c r="H789" s="55" t="n">
        <x:v>3140</x:v>
      </x:c>
      <x:c r="I789" s="55" t="n">
        <x:v>1281</x:v>
      </x:c>
      <x:c r="J789" s="55" t="n">
        <x:v>159</x:v>
      </x:c>
      <x:c r="K789" s="55" t="n">
        <x:v>27857</x:v>
      </x:c>
      <x:c r="L789" s="55" t="n">
        <x:v>5160</x:v>
      </x:c>
      <x:c r="M789" s="55" t="n">
        <x:v>779</x:v>
      </x:c>
      <x:c r="N789" s="55" t="n">
        <x:v>2597</x:v>
      </x:c>
      <x:c r="O789" s="55" t="n">
        <x:v>1784</x:v>
      </x:c>
      <x:c r="P789" s="55" t="n">
        <x:v>663</x:v>
      </x:c>
      <x:c r="Q789" s="55" t="n">
        <x:v>2055</x:v>
      </x:c>
      <x:c r="R789" s="55" t="n">
        <x:v>1669</x:v>
      </x:c>
      <x:c r="S789" s="55" t="n">
        <x:v>2090</x:v>
      </x:c>
      <x:c r="T789" s="55" t="n">
        <x:v>950</x:v>
      </x:c>
      <x:c r="U789" s="55" t="n">
        <x:v>2288</x:v>
      </x:c>
      <x:c r="V789" s="55" t="n">
        <x:v>10568</x:v>
      </x:c>
      <x:c r="W789" s="55" t="n">
        <x:v>7374</x:v>
      </x:c>
      <x:c r="X789" s="55" t="n">
        <x:v>3194</x:v>
      </x:c>
      <x:c r="Y789" s="55" t="n">
        <x:v>2666</x:v>
      </x:c>
      <x:c r="Z789" s="55" t="n">
        <x:v>3289</x:v>
      </x:c>
      <x:c r="AA789" s="55" t="n">
        <x:v>3096</x:v>
      </x:c>
      <x:c r="AB789" s="55" t="n">
        <x:v>1124</x:v>
      </x:c>
      <x:c r="AC789" s="55" t="n">
        <x:v>7473</x:v>
      </x:c>
      <x:c r="AD789" s="55" t="n">
        <x:v>3002</x:v>
      </x:c>
      <x:c r="AE789" s="55" t="n">
        <x:v>10708</x:v>
      </x:c>
      <x:c r="AF789" s="55" t="n">
        <x:v>10568</x:v>
      </x:c>
      <x:c r="AG789" s="55" t="n">
        <x:v>140</x:v>
      </x:c>
      <x:c r="AH789" s="55" t="n">
        <x:v>301</x:v>
      </x:c>
      <x:c r="AI789" s="55" t="n">
        <x:v>10267</x:v>
      </x:c>
      <x:c r="AJ789" s="55" t="n">
        <x:v>474</x:v>
      </x:c>
      <x:c r="AK789" s="55" t="n">
        <x:v>1135</x:v>
      </x:c>
      <x:c r="AL789" s="55" t="n">
        <x:v>1293</x:v>
      </x:c>
      <x:c r="AM789" s="55" t="n">
        <x:v>4777</x:v>
      </x:c>
      <x:c r="AN789" s="55" t="n">
        <x:v>2889</x:v>
      </x:c>
      <x:c r="AO789" s="55" t="n">
        <x:v>0</x:v>
      </x:c>
      <x:c r="AP789" s="55" t="n">
        <x:v>2487</x:v>
      </x:c>
      <x:c r="AQ789" s="55" t="n">
        <x:v>926</x:v>
      </x:c>
    </x:row>
    <x:row r="790">
      <x:c r="A790" s="54" t="str">
        <x:v>T2_CONCORDANT_DOMAIN</x:v>
      </x:c>
      <x:c r="B790" s="54" t="n">
        <x:v>784</x:v>
      </x:c>
      <x:c r="C790" s="54" t="str">
        <x:v>NYC-V2-R01</x:v>
      </x:c>
      <x:c r="D790" s="54" t="str">
        <x:v>V2</x:v>
      </x:c>
      <x:c r="E790" s="54" t="str">
        <x:v>ADMITTED</x:v>
      </x:c>
      <x:c r="F790" s="55" t="n">
        <x:v>30946</x:v>
      </x:c>
      <x:c r="G790" s="55" t="n">
        <x:v>7176</x:v>
      </x:c>
      <x:c r="H790" s="55" t="n">
        <x:v>3193</x:v>
      </x:c>
      <x:c r="I790" s="55" t="n">
        <x:v>954</x:v>
      </x:c>
      <x:c r="J790" s="55" t="n">
        <x:v>170</x:v>
      </x:c>
      <x:c r="K790" s="55" t="n">
        <x:v>30946</x:v>
      </x:c>
      <x:c r="L790" s="55" t="n">
        <x:v>6852</x:v>
      </x:c>
      <x:c r="M790" s="55" t="n">
        <x:v>1901</x:v>
      </x:c>
      <x:c r="N790" s="55" t="n">
        <x:v>3039</x:v>
      </x:c>
      <x:c r="O790" s="55" t="n">
        <x:v>1912</x:v>
      </x:c>
      <x:c r="P790" s="55" t="n">
        <x:v>779</x:v>
      </x:c>
      <x:c r="Q790" s="55" t="n">
        <x:v>1766</x:v>
      </x:c>
      <x:c r="R790" s="55" t="n">
        <x:v>2358</x:v>
      </x:c>
      <x:c r="S790" s="55" t="n">
        <x:v>2893</x:v>
      </x:c>
      <x:c r="T790" s="55" t="n">
        <x:v>1176</x:v>
      </x:c>
      <x:c r="U790" s="55" t="n">
        <x:v>2167</x:v>
      </x:c>
      <x:c r="V790" s="55" t="n">
        <x:v>10221</x:v>
      </x:c>
      <x:c r="W790" s="55" t="n">
        <x:v>7250</x:v>
      </x:c>
      <x:c r="X790" s="55" t="n">
        <x:v>2971</x:v>
      </x:c>
      <x:c r="Y790" s="55" t="n">
        <x:v>2336</x:v>
      </x:c>
      <x:c r="Z790" s="55" t="n">
        <x:v>3826</x:v>
      </x:c>
      <x:c r="AA790" s="55" t="n">
        <x:v>3193</x:v>
      </x:c>
      <x:c r="AB790" s="55" t="n">
        <x:v>1299</x:v>
      </x:c>
      <x:c r="AC790" s="55" t="n">
        <x:v>8319</x:v>
      </x:c>
      <x:c r="AD790" s="55" t="n">
        <x:v>2985</x:v>
      </x:c>
      <x:c r="AE790" s="55" t="n">
        <x:v>10265</x:v>
      </x:c>
      <x:c r="AF790" s="55" t="n">
        <x:v>10221</x:v>
      </x:c>
      <x:c r="AG790" s="55" t="n">
        <x:v>44</x:v>
      </x:c>
      <x:c r="AH790" s="55" t="n">
        <x:v>441</x:v>
      </x:c>
      <x:c r="AI790" s="55" t="n">
        <x:v>9780</x:v>
      </x:c>
      <x:c r="AJ790" s="55" t="n">
        <x:v>254</x:v>
      </x:c>
      <x:c r="AK790" s="55" t="n">
        <x:v>997</x:v>
      </x:c>
      <x:c r="AL790" s="55" t="n">
        <x:v>1548</x:v>
      </x:c>
      <x:c r="AM790" s="55" t="n">
        <x:v>4924</x:v>
      </x:c>
      <x:c r="AN790" s="55" t="n">
        <x:v>2498</x:v>
      </x:c>
      <x:c r="AO790" s="55" t="n">
        <x:v>0</x:v>
      </x:c>
      <x:c r="AP790" s="55" t="n">
        <x:v>2132</x:v>
      </x:c>
      <x:c r="AQ790" s="55" t="n">
        <x:v>916</x:v>
      </x:c>
    </x:row>
    <x:row r="791">
      <x:c r="A791" s="54" t="str">
        <x:v>T2_CONCORDANT_DOMAIN</x:v>
      </x:c>
      <x:c r="B791" s="54" t="n">
        <x:v>785</x:v>
      </x:c>
      <x:c r="C791" s="54" t="str">
        <x:v>NYC-V2-R01</x:v>
      </x:c>
      <x:c r="D791" s="54" t="str">
        <x:v>V2</x:v>
      </x:c>
      <x:c r="E791" s="54" t="str">
        <x:v>ADMITTED</x:v>
      </x:c>
      <x:c r="F791" s="55" t="n">
        <x:v>32344</x:v>
      </x:c>
      <x:c r="G791" s="55" t="n">
        <x:v>8390</x:v>
      </x:c>
      <x:c r="H791" s="55" t="n">
        <x:v>3439</x:v>
      </x:c>
      <x:c r="I791" s="55" t="n">
        <x:v>1502</x:v>
      </x:c>
      <x:c r="J791" s="55" t="n">
        <x:v>200</x:v>
      </x:c>
      <x:c r="K791" s="55" t="n">
        <x:v>30616</x:v>
      </x:c>
      <x:c r="L791" s="55" t="n">
        <x:v>5585</x:v>
      </x:c>
      <x:c r="M791" s="55" t="n">
        <x:v>1275</x:v>
      </x:c>
      <x:c r="N791" s="55" t="n">
        <x:v>2647</x:v>
      </x:c>
      <x:c r="O791" s="55" t="n">
        <x:v>1663</x:v>
      </x:c>
      <x:c r="P791" s="55" t="n">
        <x:v>1055</x:v>
      </x:c>
      <x:c r="Q791" s="55" t="n">
        <x:v>2549</x:v>
      </x:c>
      <x:c r="R791" s="55" t="n">
        <x:v>2335</x:v>
      </x:c>
      <x:c r="S791" s="55" t="n">
        <x:v>3219</x:v>
      </x:c>
      <x:c r="T791" s="55" t="n">
        <x:v>1172</x:v>
      </x:c>
      <x:c r="U791" s="55" t="n">
        <x:v>2049</x:v>
      </x:c>
      <x:c r="V791" s="55" t="n">
        <x:v>10657</x:v>
      </x:c>
      <x:c r="W791" s="55" t="n">
        <x:v>7653</x:v>
      </x:c>
      <x:c r="X791" s="55" t="n">
        <x:v>3004</x:v>
      </x:c>
      <x:c r="Y791" s="55" t="n">
        <x:v>2605</x:v>
      </x:c>
      <x:c r="Z791" s="55" t="n">
        <x:v>3701</x:v>
      </x:c>
      <x:c r="AA791" s="55" t="n">
        <x:v>3112</x:v>
      </x:c>
      <x:c r="AB791" s="55" t="n">
        <x:v>1202</x:v>
      </x:c>
      <x:c r="AC791" s="55" t="n">
        <x:v>7633</x:v>
      </x:c>
      <x:c r="AD791" s="55" t="n">
        <x:v>2759</x:v>
      </x:c>
      <x:c r="AE791" s="55" t="n">
        <x:v>10750</x:v>
      </x:c>
      <x:c r="AF791" s="55" t="n">
        <x:v>10657</x:v>
      </x:c>
      <x:c r="AG791" s="55" t="n">
        <x:v>93</x:v>
      </x:c>
      <x:c r="AH791" s="55" t="n">
        <x:v>455</x:v>
      </x:c>
      <x:c r="AI791" s="55" t="n">
        <x:v>10202</x:v>
      </x:c>
      <x:c r="AJ791" s="55" t="n">
        <x:v>440</x:v>
      </x:c>
      <x:c r="AK791" s="55" t="n">
        <x:v>919</x:v>
      </x:c>
      <x:c r="AL791" s="55" t="n">
        <x:v>1987</x:v>
      </x:c>
      <x:c r="AM791" s="55" t="n">
        <x:v>4191</x:v>
      </x:c>
      <x:c r="AN791" s="55" t="n">
        <x:v>3029</x:v>
      </x:c>
      <x:c r="AO791" s="55" t="n">
        <x:v>91</x:v>
      </x:c>
      <x:c r="AP791" s="55" t="n">
        <x:v>2187</x:v>
      </x:c>
      <x:c r="AQ791" s="55" t="n">
        <x:v>1000</x:v>
      </x:c>
    </x:row>
    <x:row r="792">
      <x:c r="A792" s="54" t="str">
        <x:v>T2_CONCORDANT_DOMAIN</x:v>
      </x:c>
      <x:c r="B792" s="54" t="n">
        <x:v>786</x:v>
      </x:c>
      <x:c r="C792" s="54" t="str">
        <x:v>NYC-V2-R01</x:v>
      </x:c>
      <x:c r="D792" s="54" t="str">
        <x:v>V2</x:v>
      </x:c>
      <x:c r="E792" s="54" t="str">
        <x:v>ADMITTED</x:v>
      </x:c>
      <x:c r="F792" s="55" t="n">
        <x:v>31715</x:v>
      </x:c>
      <x:c r="G792" s="55" t="n">
        <x:v>7810</x:v>
      </x:c>
      <x:c r="H792" s="55" t="n">
        <x:v>3360</x:v>
      </x:c>
      <x:c r="I792" s="55" t="n">
        <x:v>1340</x:v>
      </x:c>
      <x:c r="J792" s="55" t="n">
        <x:v>300</x:v>
      </x:c>
      <x:c r="K792" s="55" t="n">
        <x:v>31715</x:v>
      </x:c>
      <x:c r="L792" s="55" t="n">
        <x:v>7069</x:v>
      </x:c>
      <x:c r="M792" s="55" t="n">
        <x:v>1613</x:v>
      </x:c>
      <x:c r="N792" s="55" t="n">
        <x:v>3507</x:v>
      </x:c>
      <x:c r="O792" s="55" t="n">
        <x:v>1949</x:v>
      </x:c>
      <x:c r="P792" s="55" t="n">
        <x:v>828</x:v>
      </x:c>
      <x:c r="Q792" s="55" t="n">
        <x:v>2622</x:v>
      </x:c>
      <x:c r="R792" s="55" t="n">
        <x:v>1883</x:v>
      </x:c>
      <x:c r="S792" s="55" t="n">
        <x:v>2332</x:v>
      </x:c>
      <x:c r="T792" s="55" t="n">
        <x:v>1201</x:v>
      </x:c>
      <x:c r="U792" s="55" t="n">
        <x:v>2483</x:v>
      </x:c>
      <x:c r="V792" s="55" t="n">
        <x:v>11011</x:v>
      </x:c>
      <x:c r="W792" s="55" t="n">
        <x:v>7640</x:v>
      </x:c>
      <x:c r="X792" s="55" t="n">
        <x:v>3371</x:v>
      </x:c>
      <x:c r="Y792" s="55" t="n">
        <x:v>2890</x:v>
      </x:c>
      <x:c r="Z792" s="55" t="n">
        <x:v>4201</x:v>
      </x:c>
      <x:c r="AA792" s="55" t="n">
        <x:v>3055</x:v>
      </x:c>
      <x:c r="AB792" s="55" t="n">
        <x:v>1255</x:v>
      </x:c>
      <x:c r="AC792" s="55" t="n">
        <x:v>7896</x:v>
      </x:c>
      <x:c r="AD792" s="55" t="n">
        <x:v>3261</x:v>
      </x:c>
      <x:c r="AE792" s="55" t="n">
        <x:v>11091</x:v>
      </x:c>
      <x:c r="AF792" s="55" t="n">
        <x:v>11011</x:v>
      </x:c>
      <x:c r="AG792" s="55" t="n">
        <x:v>80</x:v>
      </x:c>
      <x:c r="AH792" s="55" t="n">
        <x:v>397</x:v>
      </x:c>
      <x:c r="AI792" s="55" t="n">
        <x:v>10614</x:v>
      </x:c>
      <x:c r="AJ792" s="55" t="n">
        <x:v>401</x:v>
      </x:c>
      <x:c r="AK792" s="55" t="n">
        <x:v>1177</x:v>
      </x:c>
      <x:c r="AL792" s="55" t="n">
        <x:v>1592</x:v>
      </x:c>
      <x:c r="AM792" s="55" t="n">
        <x:v>5527</x:v>
      </x:c>
      <x:c r="AN792" s="55" t="n">
        <x:v>2277</x:v>
      </x:c>
      <x:c r="AO792" s="55" t="n">
        <x:v>37</x:v>
      </x:c>
      <x:c r="AP792" s="55" t="n">
        <x:v>2059</x:v>
      </x:c>
      <x:c r="AQ792" s="55" t="n">
        <x:v>980</x:v>
      </x:c>
    </x:row>
    <x:row r="793">
      <x:c r="A793" s="54" t="str">
        <x:v>T2_CONCORDANT_DOMAIN</x:v>
      </x:c>
      <x:c r="B793" s="54" t="n">
        <x:v>787</x:v>
      </x:c>
      <x:c r="C793" s="54" t="str">
        <x:v>NYC-V2-R01</x:v>
      </x:c>
      <x:c r="D793" s="54" t="str">
        <x:v>V2</x:v>
      </x:c>
      <x:c r="E793" s="54" t="str">
        <x:v>ADMITTED</x:v>
      </x:c>
      <x:c r="F793" s="55" t="n">
        <x:v>28486</x:v>
      </x:c>
      <x:c r="G793" s="55" t="n">
        <x:v>6884</x:v>
      </x:c>
      <x:c r="H793" s="55" t="n">
        <x:v>2737</x:v>
      </x:c>
      <x:c r="I793" s="55" t="n">
        <x:v>896</x:v>
      </x:c>
      <x:c r="J793" s="55" t="n">
        <x:v>0</x:v>
      </x:c>
      <x:c r="K793" s="55" t="n">
        <x:v>27790</x:v>
      </x:c>
      <x:c r="L793" s="55" t="n">
        <x:v>3818</x:v>
      </x:c>
      <x:c r="M793" s="55" t="n">
        <x:v>491</x:v>
      </x:c>
      <x:c r="N793" s="55" t="n">
        <x:v>1912</x:v>
      </x:c>
      <x:c r="O793" s="55" t="n">
        <x:v>1415</x:v>
      </x:c>
      <x:c r="P793" s="55" t="n">
        <x:v>767</x:v>
      </x:c>
      <x:c r="Q793" s="55" t="n">
        <x:v>1830</x:v>
      </x:c>
      <x:c r="R793" s="55" t="n">
        <x:v>2251</x:v>
      </x:c>
      <x:c r="S793" s="55" t="n">
        <x:v>2534</x:v>
      </x:c>
      <x:c r="T793" s="55" t="n">
        <x:v>976</x:v>
      </x:c>
      <x:c r="U793" s="55" t="n">
        <x:v>1600</x:v>
      </x:c>
      <x:c r="V793" s="55" t="n">
        <x:v>10065</x:v>
      </x:c>
      <x:c r="W793" s="55" t="n">
        <x:v>6927</x:v>
      </x:c>
      <x:c r="X793" s="55" t="n">
        <x:v>3138</x:v>
      </x:c>
      <x:c r="Y793" s="55" t="n">
        <x:v>2757</x:v>
      </x:c>
      <x:c r="Z793" s="55" t="n">
        <x:v>3840</x:v>
      </x:c>
      <x:c r="AA793" s="55" t="n">
        <x:v>2737</x:v>
      </x:c>
      <x:c r="AB793" s="55" t="n">
        <x:v>1046</x:v>
      </x:c>
      <x:c r="AC793" s="55" t="n">
        <x:v>7783</x:v>
      </x:c>
      <x:c r="AD793" s="55" t="n">
        <x:v>2585</x:v>
      </x:c>
      <x:c r="AE793" s="55" t="n">
        <x:v>10157</x:v>
      </x:c>
      <x:c r="AF793" s="55" t="n">
        <x:v>10065</x:v>
      </x:c>
      <x:c r="AG793" s="55" t="n">
        <x:v>92</x:v>
      </x:c>
      <x:c r="AH793" s="55" t="n">
        <x:v>165</x:v>
      </x:c>
      <x:c r="AI793" s="55" t="n">
        <x:v>9900</x:v>
      </x:c>
      <x:c r="AJ793" s="55" t="n">
        <x:v>374</x:v>
      </x:c>
      <x:c r="AK793" s="55" t="n">
        <x:v>1012</x:v>
      </x:c>
      <x:c r="AL793" s="55" t="n">
        <x:v>1671</x:v>
      </x:c>
      <x:c r="AM793" s="55" t="n">
        <x:v>4323</x:v>
      </x:c>
      <x:c r="AN793" s="55" t="n">
        <x:v>2685</x:v>
      </x:c>
      <x:c r="AO793" s="55" t="n">
        <x:v>0</x:v>
      </x:c>
      <x:c r="AP793" s="55" t="n">
        <x:v>2365</x:v>
      </x:c>
      <x:c r="AQ793" s="55" t="n">
        <x:v>920</x:v>
      </x:c>
    </x:row>
    <x:row r="794">
      <x:c r="A794" s="54" t="str">
        <x:v>T2_CONCORDANT_DOMAIN</x:v>
      </x:c>
      <x:c r="B794" s="54" t="n">
        <x:v>788</x:v>
      </x:c>
      <x:c r="C794" s="54" t="str">
        <x:v>NYC-V2-R01</x:v>
      </x:c>
      <x:c r="D794" s="54" t="str">
        <x:v>V2</x:v>
      </x:c>
      <x:c r="E794" s="54" t="str">
        <x:v>ADMITTED</x:v>
      </x:c>
      <x:c r="F794" s="55" t="n">
        <x:v>32459</x:v>
      </x:c>
      <x:c r="G794" s="55" t="n">
        <x:v>8513</x:v>
      </x:c>
      <x:c r="H794" s="55" t="n">
        <x:v>3335</x:v>
      </x:c>
      <x:c r="I794" s="55" t="n">
        <x:v>1311</x:v>
      </x:c>
      <x:c r="J794" s="55" t="n">
        <x:v>204</x:v>
      </x:c>
      <x:c r="K794" s="55" t="n">
        <x:v>30766</x:v>
      </x:c>
      <x:c r="L794" s="55" t="n">
        <x:v>4963</x:v>
      </x:c>
      <x:c r="M794" s="55" t="n">
        <x:v>1215</x:v>
      </x:c>
      <x:c r="N794" s="55" t="n">
        <x:v>2647</x:v>
      </x:c>
      <x:c r="O794" s="55" t="n">
        <x:v>1101</x:v>
      </x:c>
      <x:c r="P794" s="55" t="n">
        <x:v>647</x:v>
      </x:c>
      <x:c r="Q794" s="55" t="n">
        <x:v>2592</x:v>
      </x:c>
      <x:c r="R794" s="55" t="n">
        <x:v>1849</x:v>
      </x:c>
      <x:c r="S794" s="55" t="n">
        <x:v>3475</x:v>
      </x:c>
      <x:c r="T794" s="55" t="n">
        <x:v>1013</x:v>
      </x:c>
      <x:c r="U794" s="55" t="n">
        <x:v>1676</x:v>
      </x:c>
      <x:c r="V794" s="55" t="n">
        <x:v>10438</x:v>
      </x:c>
      <x:c r="W794" s="55" t="n">
        <x:v>7979</x:v>
      </x:c>
      <x:c r="X794" s="55" t="n">
        <x:v>2459</x:v>
      </x:c>
      <x:c r="Y794" s="55" t="n">
        <x:v>2117</x:v>
      </x:c>
      <x:c r="Z794" s="55" t="n">
        <x:v>3057</x:v>
      </x:c>
      <x:c r="AA794" s="55" t="n">
        <x:v>2894</x:v>
      </x:c>
      <x:c r="AB794" s="55" t="n">
        <x:v>920</x:v>
      </x:c>
      <x:c r="AC794" s="55" t="n">
        <x:v>7614</x:v>
      </x:c>
      <x:c r="AD794" s="55" t="n">
        <x:v>2695</x:v>
      </x:c>
      <x:c r="AE794" s="55" t="n">
        <x:v>10611</x:v>
      </x:c>
      <x:c r="AF794" s="55" t="n">
        <x:v>10438</x:v>
      </x:c>
      <x:c r="AG794" s="55" t="n">
        <x:v>173</x:v>
      </x:c>
      <x:c r="AH794" s="55" t="n">
        <x:v>355</x:v>
      </x:c>
      <x:c r="AI794" s="55" t="n">
        <x:v>10083</x:v>
      </x:c>
      <x:c r="AJ794" s="55" t="n">
        <x:v>276</x:v>
      </x:c>
      <x:c r="AK794" s="55" t="n">
        <x:v>1003</x:v>
      </x:c>
      <x:c r="AL794" s="55" t="n">
        <x:v>1825</x:v>
      </x:c>
      <x:c r="AM794" s="55" t="n">
        <x:v>4772</x:v>
      </x:c>
      <x:c r="AN794" s="55" t="n">
        <x:v>2550</x:v>
      </x:c>
      <x:c r="AO794" s="55" t="n">
        <x:v>12</x:v>
      </x:c>
      <x:c r="AP794" s="55" t="n">
        <x:v>2677</x:v>
      </x:c>
      <x:c r="AQ794" s="55" t="n">
        <x:v>975</x:v>
      </x:c>
    </x:row>
    <x:row r="795">
      <x:c r="A795" s="54" t="str">
        <x:v>T2_CONCORDANT_DOMAIN</x:v>
      </x:c>
      <x:c r="B795" s="54" t="n">
        <x:v>789</x:v>
      </x:c>
      <x:c r="C795" s="54" t="str">
        <x:v>NYC-V2-R01</x:v>
      </x:c>
      <x:c r="D795" s="54" t="str">
        <x:v>V2</x:v>
      </x:c>
      <x:c r="E795" s="54" t="str">
        <x:v>ADMITTED</x:v>
      </x:c>
      <x:c r="F795" s="55" t="n">
        <x:v>33191</x:v>
      </x:c>
      <x:c r="G795" s="55" t="n">
        <x:v>8550</x:v>
      </x:c>
      <x:c r="H795" s="55" t="n">
        <x:v>3857</x:v>
      </x:c>
      <x:c r="I795" s="55" t="n">
        <x:v>1756</x:v>
      </x:c>
      <x:c r="J795" s="55" t="n">
        <x:v>457</x:v>
      </x:c>
      <x:c r="K795" s="55" t="n">
        <x:v>31842</x:v>
      </x:c>
      <x:c r="L795" s="55" t="n">
        <x:v>6773</x:v>
      </x:c>
      <x:c r="M795" s="55" t="n">
        <x:v>2490</x:v>
      </x:c>
      <x:c r="N795" s="55" t="n">
        <x:v>2580</x:v>
      </x:c>
      <x:c r="O795" s="55" t="n">
        <x:v>1703</x:v>
      </x:c>
      <x:c r="P795" s="55" t="n">
        <x:v>685</x:v>
      </x:c>
      <x:c r="Q795" s="55" t="n">
        <x:v>2842</x:v>
      </x:c>
      <x:c r="R795" s="55" t="n">
        <x:v>1643</x:v>
      </x:c>
      <x:c r="S795" s="55" t="n">
        <x:v>2544</x:v>
      </x:c>
      <x:c r="T795" s="55" t="n">
        <x:v>1396</x:v>
      </x:c>
      <x:c r="U795" s="55" t="n">
        <x:v>2192</x:v>
      </x:c>
      <x:c r="V795" s="55" t="n">
        <x:v>10742</x:v>
      </x:c>
      <x:c r="W795" s="55" t="n">
        <x:v>7306</x:v>
      </x:c>
      <x:c r="X795" s="55" t="n">
        <x:v>3436</x:v>
      </x:c>
      <x:c r="Y795" s="55" t="n">
        <x:v>3055</x:v>
      </x:c>
      <x:c r="Z795" s="55" t="n">
        <x:v>4014</x:v>
      </x:c>
      <x:c r="AA795" s="55" t="n">
        <x:v>3148</x:v>
      </x:c>
      <x:c r="AB795" s="55" t="n">
        <x:v>917</x:v>
      </x:c>
      <x:c r="AC795" s="55" t="n">
        <x:v>7948</x:v>
      </x:c>
      <x:c r="AD795" s="55" t="n">
        <x:v>2922</x:v>
      </x:c>
      <x:c r="AE795" s="55" t="n">
        <x:v>10880</x:v>
      </x:c>
      <x:c r="AF795" s="55" t="n">
        <x:v>10742</x:v>
      </x:c>
      <x:c r="AG795" s="55" t="n">
        <x:v>138</x:v>
      </x:c>
      <x:c r="AH795" s="55" t="n">
        <x:v>497</x:v>
      </x:c>
      <x:c r="AI795" s="55" t="n">
        <x:v>10245</x:v>
      </x:c>
      <x:c r="AJ795" s="55" t="n">
        <x:v>313</x:v>
      </x:c>
      <x:c r="AK795" s="55" t="n">
        <x:v>858</x:v>
      </x:c>
      <x:c r="AL795" s="55" t="n">
        <x:v>1191</x:v>
      </x:c>
      <x:c r="AM795" s="55" t="n">
        <x:v>5392</x:v>
      </x:c>
      <x:c r="AN795" s="55" t="n">
        <x:v>2988</x:v>
      </x:c>
      <x:c r="AO795" s="55" t="n">
        <x:v>0</x:v>
      </x:c>
      <x:c r="AP795" s="55" t="n">
        <x:v>2699</x:v>
      </x:c>
      <x:c r="AQ795" s="55" t="n">
        <x:v>988</x:v>
      </x:c>
    </x:row>
    <x:row r="796">
      <x:c r="A796" s="54" t="str">
        <x:v>T2_CONCORDANT_DOMAIN</x:v>
      </x:c>
      <x:c r="B796" s="54" t="n">
        <x:v>790</x:v>
      </x:c>
      <x:c r="C796" s="54" t="str">
        <x:v>NYC-V2-R01</x:v>
      </x:c>
      <x:c r="D796" s="54" t="str">
        <x:v>V2</x:v>
      </x:c>
      <x:c r="E796" s="54" t="str">
        <x:v>ADMITTED</x:v>
      </x:c>
      <x:c r="F796" s="55" t="n">
        <x:v>30900</x:v>
      </x:c>
      <x:c r="G796" s="55" t="n">
        <x:v>7635</x:v>
      </x:c>
      <x:c r="H796" s="55" t="n">
        <x:v>3430</x:v>
      </x:c>
      <x:c r="I796" s="55" t="n">
        <x:v>1228</x:v>
      </x:c>
      <x:c r="J796" s="55" t="n">
        <x:v>190</x:v>
      </x:c>
      <x:c r="K796" s="55" t="n">
        <x:v>30900</x:v>
      </x:c>
      <x:c r="L796" s="55" t="n">
        <x:v>5825</x:v>
      </x:c>
      <x:c r="M796" s="55" t="n">
        <x:v>1877</x:v>
      </x:c>
      <x:c r="N796" s="55" t="n">
        <x:v>2426</x:v>
      </x:c>
      <x:c r="O796" s="55" t="n">
        <x:v>1522</x:v>
      </x:c>
      <x:c r="P796" s="55" t="n">
        <x:v>541</x:v>
      </x:c>
      <x:c r="Q796" s="55" t="n">
        <x:v>2487</x:v>
      </x:c>
      <x:c r="R796" s="55" t="n">
        <x:v>1828</x:v>
      </x:c>
      <x:c r="S796" s="55" t="n">
        <x:v>2575</x:v>
      </x:c>
      <x:c r="T796" s="55" t="n">
        <x:v>1327</x:v>
      </x:c>
      <x:c r="U796" s="55" t="n">
        <x:v>2140</x:v>
      </x:c>
      <x:c r="V796" s="55" t="n">
        <x:v>10480</x:v>
      </x:c>
      <x:c r="W796" s="55" t="n">
        <x:v>7710</x:v>
      </x:c>
      <x:c r="X796" s="55" t="n">
        <x:v>2770</x:v>
      </x:c>
      <x:c r="Y796" s="55" t="n">
        <x:v>2231</x:v>
      </x:c>
      <x:c r="Z796" s="55" t="n">
        <x:v>3903</x:v>
      </x:c>
      <x:c r="AA796" s="55" t="n">
        <x:v>3430</x:v>
      </x:c>
      <x:c r="AB796" s="55" t="n">
        <x:v>1099</x:v>
      </x:c>
      <x:c r="AC796" s="55" t="n">
        <x:v>7821</x:v>
      </x:c>
      <x:c r="AD796" s="55" t="n">
        <x:v>2202</x:v>
      </x:c>
      <x:c r="AE796" s="55" t="n">
        <x:v>10585</x:v>
      </x:c>
      <x:c r="AF796" s="55" t="n">
        <x:v>10480</x:v>
      </x:c>
      <x:c r="AG796" s="55" t="n">
        <x:v>105</x:v>
      </x:c>
      <x:c r="AH796" s="55" t="n">
        <x:v>381</x:v>
      </x:c>
      <x:c r="AI796" s="55" t="n">
        <x:v>10099</x:v>
      </x:c>
      <x:c r="AJ796" s="55" t="n">
        <x:v>305</x:v>
      </x:c>
      <x:c r="AK796" s="55" t="n">
        <x:v>989</x:v>
      </x:c>
      <x:c r="AL796" s="55" t="n">
        <x:v>1592</x:v>
      </x:c>
      <x:c r="AM796" s="55" t="n">
        <x:v>4732</x:v>
      </x:c>
      <x:c r="AN796" s="55" t="n">
        <x:v>2787</x:v>
      </x:c>
      <x:c r="AO796" s="55" t="n">
        <x:v>75</x:v>
      </x:c>
      <x:c r="AP796" s="55" t="n">
        <x:v>2758</x:v>
      </x:c>
      <x:c r="AQ796" s="55" t="n">
        <x:v>983</x:v>
      </x:c>
    </x:row>
    <x:row r="797">
      <x:c r="A797" s="54" t="str">
        <x:v>T2_CONCORDANT_DOMAIN</x:v>
      </x:c>
      <x:c r="B797" s="54" t="n">
        <x:v>791</x:v>
      </x:c>
      <x:c r="C797" s="54" t="str">
        <x:v>NYC-V2-R01</x:v>
      </x:c>
      <x:c r="D797" s="54" t="str">
        <x:v>V2</x:v>
      </x:c>
      <x:c r="E797" s="54" t="str">
        <x:v>ADMITTED</x:v>
      </x:c>
      <x:c r="F797" s="55" t="n">
        <x:v>33226</x:v>
      </x:c>
      <x:c r="G797" s="55" t="n">
        <x:v>7948</x:v>
      </x:c>
      <x:c r="H797" s="55" t="n">
        <x:v>3729</x:v>
      </x:c>
      <x:c r="I797" s="55" t="n">
        <x:v>1718</x:v>
      </x:c>
      <x:c r="J797" s="55" t="n">
        <x:v>373</x:v>
      </x:c>
      <x:c r="K797" s="55" t="n">
        <x:v>28964</x:v>
      </x:c>
      <x:c r="L797" s="55" t="n">
        <x:v>4949</x:v>
      </x:c>
      <x:c r="M797" s="55" t="n">
        <x:v>1000</x:v>
      </x:c>
      <x:c r="N797" s="55" t="n">
        <x:v>2541</x:v>
      </x:c>
      <x:c r="O797" s="55" t="n">
        <x:v>1408</x:v>
      </x:c>
      <x:c r="P797" s="55" t="n">
        <x:v>1117</x:v>
      </x:c>
      <x:c r="Q797" s="55" t="n">
        <x:v>2516</x:v>
      </x:c>
      <x:c r="R797" s="55" t="n">
        <x:v>1403</x:v>
      </x:c>
      <x:c r="S797" s="55" t="n">
        <x:v>2904</x:v>
      </x:c>
      <x:c r="T797" s="55" t="n">
        <x:v>1119</x:v>
      </x:c>
      <x:c r="U797" s="55" t="n">
        <x:v>1977</x:v>
      </x:c>
      <x:c r="V797" s="55" t="n">
        <x:v>10403</x:v>
      </x:c>
      <x:c r="W797" s="55" t="n">
        <x:v>7192</x:v>
      </x:c>
      <x:c r="X797" s="55" t="n">
        <x:v>3211</x:v>
      </x:c>
      <x:c r="Y797" s="55" t="n">
        <x:v>2911</x:v>
      </x:c>
      <x:c r="Z797" s="55" t="n">
        <x:v>3913</x:v>
      </x:c>
      <x:c r="AA797" s="55" t="n">
        <x:v>3145</x:v>
      </x:c>
      <x:c r="AB797" s="55" t="n">
        <x:v>1008</x:v>
      </x:c>
      <x:c r="AC797" s="55" t="n">
        <x:v>8085</x:v>
      </x:c>
      <x:c r="AD797" s="55" t="n">
        <x:v>3160</x:v>
      </x:c>
      <x:c r="AE797" s="55" t="n">
        <x:v>10455</x:v>
      </x:c>
      <x:c r="AF797" s="55" t="n">
        <x:v>10403</x:v>
      </x:c>
      <x:c r="AG797" s="55" t="n">
        <x:v>52</x:v>
      </x:c>
      <x:c r="AH797" s="55" t="n">
        <x:v>577</x:v>
      </x:c>
      <x:c r="AI797" s="55" t="n">
        <x:v>9826</x:v>
      </x:c>
      <x:c r="AJ797" s="55" t="n">
        <x:v>364</x:v>
      </x:c>
      <x:c r="AK797" s="55" t="n">
        <x:v>1128</x:v>
      </x:c>
      <x:c r="AL797" s="55" t="n">
        <x:v>1275</x:v>
      </x:c>
      <x:c r="AM797" s="55" t="n">
        <x:v>5037</x:v>
      </x:c>
      <x:c r="AN797" s="55" t="n">
        <x:v>2561</x:v>
      </x:c>
      <x:c r="AO797" s="55" t="n">
        <x:v>38</x:v>
      </x:c>
      <x:c r="AP797" s="55" t="n">
        <x:v>2751</x:v>
      </x:c>
      <x:c r="AQ797" s="55" t="n">
        <x:v>925</x:v>
      </x:c>
    </x:row>
    <x:row r="798">
      <x:c r="A798" s="54" t="str">
        <x:v>T2_CONCORDANT_DOMAIN</x:v>
      </x:c>
      <x:c r="B798" s="54" t="n">
        <x:v>792</x:v>
      </x:c>
      <x:c r="C798" s="54" t="str">
        <x:v>NYC-V2-R01</x:v>
      </x:c>
      <x:c r="D798" s="54" t="str">
        <x:v>V2</x:v>
      </x:c>
      <x:c r="E798" s="54" t="str">
        <x:v>ADMITTED</x:v>
      </x:c>
      <x:c r="F798" s="55" t="n">
        <x:v>29986</x:v>
      </x:c>
      <x:c r="G798" s="55" t="n">
        <x:v>7479</x:v>
      </x:c>
      <x:c r="H798" s="55" t="n">
        <x:v>3065</x:v>
      </x:c>
      <x:c r="I798" s="55" t="n">
        <x:v>1278</x:v>
      </x:c>
      <x:c r="J798" s="55" t="n">
        <x:v>311</x:v>
      </x:c>
      <x:c r="K798" s="55" t="n">
        <x:v>29688</x:v>
      </x:c>
      <x:c r="L798" s="55" t="n">
        <x:v>6059</x:v>
      </x:c>
      <x:c r="M798" s="55" t="n">
        <x:v>1390</x:v>
      </x:c>
      <x:c r="N798" s="55" t="n">
        <x:v>2778</x:v>
      </x:c>
      <x:c r="O798" s="55" t="n">
        <x:v>1891</x:v>
      </x:c>
      <x:c r="P798" s="55" t="n">
        <x:v>732</x:v>
      </x:c>
      <x:c r="Q798" s="55" t="n">
        <x:v>2532</x:v>
      </x:c>
      <x:c r="R798" s="55" t="n">
        <x:v>1665</x:v>
      </x:c>
      <x:c r="S798" s="55" t="n">
        <x:v>2412</x:v>
      </x:c>
      <x:c r="T798" s="55" t="n">
        <x:v>1095</x:v>
      </x:c>
      <x:c r="U798" s="55" t="n">
        <x:v>2293</x:v>
      </x:c>
      <x:c r="V798" s="55" t="n">
        <x:v>10630</x:v>
      </x:c>
      <x:c r="W798" s="55" t="n">
        <x:v>7517</x:v>
      </x:c>
      <x:c r="X798" s="55" t="n">
        <x:v>3113</x:v>
      </x:c>
      <x:c r="Y798" s="55" t="n">
        <x:v>2756</x:v>
      </x:c>
      <x:c r="Z798" s="55" t="n">
        <x:v>3422</x:v>
      </x:c>
      <x:c r="AA798" s="55" t="n">
        <x:v>3016</x:v>
      </x:c>
      <x:c r="AB798" s="55" t="n">
        <x:v>1010</x:v>
      </x:c>
      <x:c r="AC798" s="55" t="n">
        <x:v>8511</x:v>
      </x:c>
      <x:c r="AD798" s="55" t="n">
        <x:v>2971</x:v>
      </x:c>
      <x:c r="AE798" s="55" t="n">
        <x:v>10714</x:v>
      </x:c>
      <x:c r="AF798" s="55" t="n">
        <x:v>10630</x:v>
      </x:c>
      <x:c r="AG798" s="55" t="n">
        <x:v>84</x:v>
      </x:c>
      <x:c r="AH798" s="55" t="n">
        <x:v>426</x:v>
      </x:c>
      <x:c r="AI798" s="55" t="n">
        <x:v>10204</x:v>
      </x:c>
      <x:c r="AJ798" s="55" t="n">
        <x:v>343</x:v>
      </x:c>
      <x:c r="AK798" s="55" t="n">
        <x:v>1179</x:v>
      </x:c>
      <x:c r="AL798" s="55" t="n">
        <x:v>1476</x:v>
      </x:c>
      <x:c r="AM798" s="55" t="n">
        <x:v>4672</x:v>
      </x:c>
      <x:c r="AN798" s="55" t="n">
        <x:v>2960</x:v>
      </x:c>
      <x:c r="AO798" s="55" t="n">
        <x:v>0</x:v>
      </x:c>
      <x:c r="AP798" s="55" t="n">
        <x:v>2028</x:v>
      </x:c>
      <x:c r="AQ798" s="55" t="n">
        <x:v>960</x:v>
      </x:c>
    </x:row>
    <x:row r="799">
      <x:c r="A799" s="54" t="str">
        <x:v>T2_CONCORDANT_DOMAIN</x:v>
      </x:c>
      <x:c r="B799" s="54" t="n">
        <x:v>793</x:v>
      </x:c>
      <x:c r="C799" s="54" t="str">
        <x:v>NYC-V2-R01</x:v>
      </x:c>
      <x:c r="D799" s="54" t="str">
        <x:v>V2</x:v>
      </x:c>
      <x:c r="E799" s="54" t="str">
        <x:v>ADMITTED</x:v>
      </x:c>
      <x:c r="F799" s="55" t="n">
        <x:v>29991</x:v>
      </x:c>
      <x:c r="G799" s="55" t="n">
        <x:v>7093</x:v>
      </x:c>
      <x:c r="H799" s="55" t="n">
        <x:v>3415</x:v>
      </x:c>
      <x:c r="I799" s="55" t="n">
        <x:v>1374</x:v>
      </x:c>
      <x:c r="J799" s="55" t="n">
        <x:v>154</x:v>
      </x:c>
      <x:c r="K799" s="55" t="n">
        <x:v>28303</x:v>
      </x:c>
      <x:c r="L799" s="55" t="n">
        <x:v>4873</x:v>
      </x:c>
      <x:c r="M799" s="55" t="n">
        <x:v>1509</x:v>
      </x:c>
      <x:c r="N799" s="55" t="n">
        <x:v>2326</x:v>
      </x:c>
      <x:c r="O799" s="55" t="n">
        <x:v>1038</x:v>
      </x:c>
      <x:c r="P799" s="55" t="n">
        <x:v>640</x:v>
      </x:c>
      <x:c r="Q799" s="55" t="n">
        <x:v>1741</x:v>
      </x:c>
      <x:c r="R799" s="55" t="n">
        <x:v>1713</x:v>
      </x:c>
      <x:c r="S799" s="55" t="n">
        <x:v>2125</x:v>
      </x:c>
      <x:c r="T799" s="55" t="n">
        <x:v>1016</x:v>
      </x:c>
      <x:c r="U799" s="55" t="n">
        <x:v>2479</x:v>
      </x:c>
      <x:c r="V799" s="55" t="n">
        <x:v>10496</x:v>
      </x:c>
      <x:c r="W799" s="55" t="n">
        <x:v>7648</x:v>
      </x:c>
      <x:c r="X799" s="55" t="n">
        <x:v>2848</x:v>
      </x:c>
      <x:c r="Y799" s="55" t="n">
        <x:v>2394</x:v>
      </x:c>
      <x:c r="Z799" s="55" t="n">
        <x:v>3559</x:v>
      </x:c>
      <x:c r="AA799" s="55" t="n">
        <x:v>2857</x:v>
      </x:c>
      <x:c r="AB799" s="55" t="n">
        <x:v>707</x:v>
      </x:c>
      <x:c r="AC799" s="55" t="n">
        <x:v>7955</x:v>
      </x:c>
      <x:c r="AD799" s="55" t="n">
        <x:v>2671</x:v>
      </x:c>
      <x:c r="AE799" s="55" t="n">
        <x:v>10535</x:v>
      </x:c>
      <x:c r="AF799" s="55" t="n">
        <x:v>10496</x:v>
      </x:c>
      <x:c r="AG799" s="55" t="n">
        <x:v>39</x:v>
      </x:c>
      <x:c r="AH799" s="55" t="n">
        <x:v>419</x:v>
      </x:c>
      <x:c r="AI799" s="55" t="n">
        <x:v>10077</x:v>
      </x:c>
      <x:c r="AJ799" s="55" t="n">
        <x:v>311</x:v>
      </x:c>
      <x:c r="AK799" s="55" t="n">
        <x:v>752</x:v>
      </x:c>
      <x:c r="AL799" s="55" t="n">
        <x:v>1279</x:v>
      </x:c>
      <x:c r="AM799" s="55" t="n">
        <x:v>5337</x:v>
      </x:c>
      <x:c r="AN799" s="55" t="n">
        <x:v>2796</x:v>
      </x:c>
      <x:c r="AO799" s="55" t="n">
        <x:v>21</x:v>
      </x:c>
      <x:c r="AP799" s="55" t="n">
        <x:v>1970</x:v>
      </x:c>
      <x:c r="AQ799" s="55" t="n">
        <x:v>915</x:v>
      </x:c>
    </x:row>
    <x:row r="800">
      <x:c r="A800" s="54" t="str">
        <x:v>T2_CONCORDANT_DOMAIN</x:v>
      </x:c>
      <x:c r="B800" s="54" t="n">
        <x:v>794</x:v>
      </x:c>
      <x:c r="C800" s="54" t="str">
        <x:v>NYC-V2-R01</x:v>
      </x:c>
      <x:c r="D800" s="54" t="str">
        <x:v>V2</x:v>
      </x:c>
      <x:c r="E800" s="54" t="str">
        <x:v>ADMITTED</x:v>
      </x:c>
      <x:c r="F800" s="55" t="n">
        <x:v>29039</x:v>
      </x:c>
      <x:c r="G800" s="55" t="n">
        <x:v>7049</x:v>
      </x:c>
      <x:c r="H800" s="55" t="n">
        <x:v>3043</x:v>
      </x:c>
      <x:c r="I800" s="55" t="n">
        <x:v>1351</x:v>
      </x:c>
      <x:c r="J800" s="55" t="n">
        <x:v>163</x:v>
      </x:c>
      <x:c r="K800" s="55" t="n">
        <x:v>28722</x:v>
      </x:c>
      <x:c r="L800" s="55" t="n">
        <x:v>3983</x:v>
      </x:c>
      <x:c r="M800" s="55" t="n">
        <x:v>370</x:v>
      </x:c>
      <x:c r="N800" s="55" t="n">
        <x:v>2036</x:v>
      </x:c>
      <x:c r="O800" s="55" t="n">
        <x:v>1577</x:v>
      </x:c>
      <x:c r="P800" s="55" t="n">
        <x:v>675</x:v>
      </x:c>
      <x:c r="Q800" s="55" t="n">
        <x:v>1920</x:v>
      </x:c>
      <x:c r="R800" s="55" t="n">
        <x:v>1704</x:v>
      </x:c>
      <x:c r="S800" s="55" t="n">
        <x:v>1733</x:v>
      </x:c>
      <x:c r="T800" s="55" t="n">
        <x:v>778</x:v>
      </x:c>
      <x:c r="U800" s="55" t="n">
        <x:v>1367</x:v>
      </x:c>
      <x:c r="V800" s="55" t="n">
        <x:v>10044</x:v>
      </x:c>
      <x:c r="W800" s="55" t="n">
        <x:v>7261</x:v>
      </x:c>
      <x:c r="X800" s="55" t="n">
        <x:v>2783</x:v>
      </x:c>
      <x:c r="Y800" s="55" t="n">
        <x:v>2394</x:v>
      </x:c>
      <x:c r="Z800" s="55" t="n">
        <x:v>3085</x:v>
      </x:c>
      <x:c r="AA800" s="55" t="n">
        <x:v>2525</x:v>
      </x:c>
      <x:c r="AB800" s="55" t="n">
        <x:v>586</x:v>
      </x:c>
      <x:c r="AC800" s="55" t="n">
        <x:v>7889</x:v>
      </x:c>
      <x:c r="AD800" s="55" t="n">
        <x:v>2760</x:v>
      </x:c>
      <x:c r="AE800" s="55" t="n">
        <x:v>10044</x:v>
      </x:c>
      <x:c r="AF800" s="55" t="n">
        <x:v>10044</x:v>
      </x:c>
      <x:c r="AG800" s="55" t="n">
        <x:v>0</x:v>
      </x:c>
      <x:c r="AH800" s="55" t="n">
        <x:v>382</x:v>
      </x:c>
      <x:c r="AI800" s="55" t="n">
        <x:v>9662</x:v>
      </x:c>
      <x:c r="AJ800" s="55" t="n">
        <x:v>155</x:v>
      </x:c>
      <x:c r="AK800" s="55" t="n">
        <x:v>725</x:v>
      </x:c>
      <x:c r="AL800" s="55" t="n">
        <x:v>1746</x:v>
      </x:c>
      <x:c r="AM800" s="55" t="n">
        <x:v>4713</x:v>
      </x:c>
      <x:c r="AN800" s="55" t="n">
        <x:v>2705</x:v>
      </x:c>
      <x:c r="AO800" s="55" t="n">
        <x:v>0</x:v>
      </x:c>
      <x:c r="AP800" s="55" t="n">
        <x:v>1836</x:v>
      </x:c>
      <x:c r="AQ800" s="55" t="n">
        <x:v>921</x:v>
      </x:c>
    </x:row>
    <x:row r="801">
      <x:c r="A801" s="54" t="str">
        <x:v>T2_CONCORDANT_DOMAIN</x:v>
      </x:c>
      <x:c r="B801" s="54" t="n">
        <x:v>795</x:v>
      </x:c>
      <x:c r="C801" s="54" t="str">
        <x:v>NYC-V2-R01</x:v>
      </x:c>
      <x:c r="D801" s="54" t="str">
        <x:v>V2</x:v>
      </x:c>
      <x:c r="E801" s="54" t="str">
        <x:v>ADMITTED</x:v>
      </x:c>
      <x:c r="F801" s="55" t="n">
        <x:v>33634</x:v>
      </x:c>
      <x:c r="G801" s="55" t="n">
        <x:v>6493</x:v>
      </x:c>
      <x:c r="H801" s="55" t="n">
        <x:v>3551</x:v>
      </x:c>
      <x:c r="I801" s="55" t="n">
        <x:v>1476</x:v>
      </x:c>
      <x:c r="J801" s="55" t="n">
        <x:v>407</x:v>
      </x:c>
      <x:c r="K801" s="55" t="n">
        <x:v>33634</x:v>
      </x:c>
      <x:c r="L801" s="55" t="n">
        <x:v>6485</x:v>
      </x:c>
      <x:c r="M801" s="55" t="n">
        <x:v>2109</x:v>
      </x:c>
      <x:c r="N801" s="55" t="n">
        <x:v>2628</x:v>
      </x:c>
      <x:c r="O801" s="55" t="n">
        <x:v>1748</x:v>
      </x:c>
      <x:c r="P801" s="55" t="n">
        <x:v>1265</x:v>
      </x:c>
      <x:c r="Q801" s="55" t="n">
        <x:v>1990</x:v>
      </x:c>
      <x:c r="R801" s="55" t="n">
        <x:v>2332</x:v>
      </x:c>
      <x:c r="S801" s="55" t="n">
        <x:v>2752</x:v>
      </x:c>
      <x:c r="T801" s="55" t="n">
        <x:v>1628</x:v>
      </x:c>
      <x:c r="U801" s="55" t="n">
        <x:v>2485</x:v>
      </x:c>
      <x:c r="V801" s="55" t="n">
        <x:v>9740</x:v>
      </x:c>
      <x:c r="W801" s="55" t="n">
        <x:v>6887</x:v>
      </x:c>
      <x:c r="X801" s="55" t="n">
        <x:v>2853</x:v>
      </x:c>
      <x:c r="Y801" s="55" t="n">
        <x:v>2388</x:v>
      </x:c>
      <x:c r="Z801" s="55" t="n">
        <x:v>3636</x:v>
      </x:c>
      <x:c r="AA801" s="55" t="n">
        <x:v>3150</x:v>
      </x:c>
      <x:c r="AB801" s="55" t="n">
        <x:v>916</x:v>
      </x:c>
      <x:c r="AC801" s="55" t="n">
        <x:v>8135</x:v>
      </x:c>
      <x:c r="AD801" s="55" t="n">
        <x:v>2923</x:v>
      </x:c>
      <x:c r="AE801" s="55" t="n">
        <x:v>9849</x:v>
      </x:c>
      <x:c r="AF801" s="55" t="n">
        <x:v>9740</x:v>
      </x:c>
      <x:c r="AG801" s="55" t="n">
        <x:v>109</x:v>
      </x:c>
      <x:c r="AH801" s="55" t="n">
        <x:v>526</x:v>
      </x:c>
      <x:c r="AI801" s="55" t="n">
        <x:v>9214</x:v>
      </x:c>
      <x:c r="AJ801" s="55" t="n">
        <x:v>357</x:v>
      </x:c>
      <x:c r="AK801" s="55" t="n">
        <x:v>680</x:v>
      </x:c>
      <x:c r="AL801" s="55" t="n">
        <x:v>1447</x:v>
      </x:c>
      <x:c r="AM801" s="55" t="n">
        <x:v>4701</x:v>
      </x:c>
      <x:c r="AN801" s="55" t="n">
        <x:v>2555</x:v>
      </x:c>
      <x:c r="AO801" s="55" t="n">
        <x:v>0</x:v>
      </x:c>
      <x:c r="AP801" s="55" t="n">
        <x:v>1892</x:v>
      </x:c>
      <x:c r="AQ801" s="55" t="n">
        <x:v>943</x:v>
      </x:c>
    </x:row>
    <x:row r="802">
      <x:c r="A802" s="54" t="str">
        <x:v>T2_CONCORDANT_DOMAIN</x:v>
      </x:c>
      <x:c r="B802" s="54" t="n">
        <x:v>796</x:v>
      </x:c>
      <x:c r="C802" s="54" t="str">
        <x:v>NYC-V2-R01</x:v>
      </x:c>
      <x:c r="D802" s="54" t="str">
        <x:v>V2</x:v>
      </x:c>
      <x:c r="E802" s="54" t="str">
        <x:v>ADMITTED</x:v>
      </x:c>
      <x:c r="F802" s="55" t="n">
        <x:v>33026</x:v>
      </x:c>
      <x:c r="G802" s="55" t="n">
        <x:v>8393</x:v>
      </x:c>
      <x:c r="H802" s="55" t="n">
        <x:v>3262</x:v>
      </x:c>
      <x:c r="I802" s="55" t="n">
        <x:v>1185</x:v>
      </x:c>
      <x:c r="J802" s="55" t="n">
        <x:v>153</x:v>
      </x:c>
      <x:c r="K802" s="55" t="n">
        <x:v>32773</x:v>
      </x:c>
      <x:c r="L802" s="55" t="n">
        <x:v>6223</x:v>
      </x:c>
      <x:c r="M802" s="55" t="n">
        <x:v>1611</x:v>
      </x:c>
      <x:c r="N802" s="55" t="n">
        <x:v>2947</x:v>
      </x:c>
      <x:c r="O802" s="55" t="n">
        <x:v>1665</x:v>
      </x:c>
      <x:c r="P802" s="55" t="n">
        <x:v>471</x:v>
      </x:c>
      <x:c r="Q802" s="55" t="n">
        <x:v>1933</x:v>
      </x:c>
      <x:c r="R802" s="55" t="n">
        <x:v>1617</x:v>
      </x:c>
      <x:c r="S802" s="55" t="n">
        <x:v>2486</x:v>
      </x:c>
      <x:c r="T802" s="55" t="n">
        <x:v>1336</x:v>
      </x:c>
      <x:c r="U802" s="55" t="n">
        <x:v>2287</x:v>
      </x:c>
      <x:c r="V802" s="55" t="n">
        <x:v>10651</x:v>
      </x:c>
      <x:c r="W802" s="55" t="n">
        <x:v>7817</x:v>
      </x:c>
      <x:c r="X802" s="55" t="n">
        <x:v>2834</x:v>
      </x:c>
      <x:c r="Y802" s="55" t="n">
        <x:v>2431</x:v>
      </x:c>
      <x:c r="Z802" s="55" t="n">
        <x:v>3534</x:v>
      </x:c>
      <x:c r="AA802" s="55" t="n">
        <x:v>2936</x:v>
      </x:c>
      <x:c r="AB802" s="55" t="n">
        <x:v>824</x:v>
      </x:c>
      <x:c r="AC802" s="55" t="n">
        <x:v>7860</x:v>
      </x:c>
      <x:c r="AD802" s="55" t="n">
        <x:v>2583</x:v>
      </x:c>
      <x:c r="AE802" s="55" t="n">
        <x:v>10760</x:v>
      </x:c>
      <x:c r="AF802" s="55" t="n">
        <x:v>10651</x:v>
      </x:c>
      <x:c r="AG802" s="55" t="n">
        <x:v>109</x:v>
      </x:c>
      <x:c r="AH802" s="55" t="n">
        <x:v>406</x:v>
      </x:c>
      <x:c r="AI802" s="55" t="n">
        <x:v>10245</x:v>
      </x:c>
      <x:c r="AJ802" s="55" t="n">
        <x:v>256</x:v>
      </x:c>
      <x:c r="AK802" s="55" t="n">
        <x:v>1006</x:v>
      </x:c>
      <x:c r="AL802" s="55" t="n">
        <x:v>1598</x:v>
      </x:c>
      <x:c r="AM802" s="55" t="n">
        <x:v>5033</x:v>
      </x:c>
      <x:c r="AN802" s="55" t="n">
        <x:v>2666</x:v>
      </x:c>
      <x:c r="AO802" s="55" t="n">
        <x:v>92</x:v>
      </x:c>
      <x:c r="AP802" s="55" t="n">
        <x:v>2428</x:v>
      </x:c>
      <x:c r="AQ802" s="55" t="n">
        <x:v>929</x:v>
      </x:c>
    </x:row>
    <x:row r="803">
      <x:c r="A803" s="54" t="str">
        <x:v>T2_CONCORDANT_DOMAIN</x:v>
      </x:c>
      <x:c r="B803" s="54" t="n">
        <x:v>797</x:v>
      </x:c>
      <x:c r="C803" s="54" t="str">
        <x:v>NYC-V2-R01</x:v>
      </x:c>
      <x:c r="D803" s="54" t="str">
        <x:v>V2</x:v>
      </x:c>
      <x:c r="E803" s="54" t="str">
        <x:v>ADMITTED</x:v>
      </x:c>
      <x:c r="F803" s="55" t="n">
        <x:v>32821</x:v>
      </x:c>
      <x:c r="G803" s="55" t="n">
        <x:v>9121</x:v>
      </x:c>
      <x:c r="H803" s="55" t="n">
        <x:v>3065</x:v>
      </x:c>
      <x:c r="I803" s="55" t="n">
        <x:v>1252</x:v>
      </x:c>
      <x:c r="J803" s="55" t="n">
        <x:v>113</x:v>
      </x:c>
      <x:c r="K803" s="55" t="n">
        <x:v>28760</x:v>
      </x:c>
      <x:c r="L803" s="55" t="n">
        <x:v>6110</x:v>
      </x:c>
      <x:c r="M803" s="55" t="n">
        <x:v>1548</x:v>
      </x:c>
      <x:c r="N803" s="55" t="n">
        <x:v>2713</x:v>
      </x:c>
      <x:c r="O803" s="55" t="n">
        <x:v>1849</x:v>
      </x:c>
      <x:c r="P803" s="55" t="n">
        <x:v>1001</x:v>
      </x:c>
      <x:c r="Q803" s="55" t="n">
        <x:v>2372</x:v>
      </x:c>
      <x:c r="R803" s="55" t="n">
        <x:v>2203</x:v>
      </x:c>
      <x:c r="S803" s="55" t="n">
        <x:v>2811</x:v>
      </x:c>
      <x:c r="T803" s="55" t="n">
        <x:v>1147</x:v>
      </x:c>
      <x:c r="U803" s="55" t="n">
        <x:v>2753</x:v>
      </x:c>
      <x:c r="V803" s="55" t="n">
        <x:v>10615</x:v>
      </x:c>
      <x:c r="W803" s="55" t="n">
        <x:v>7364</x:v>
      </x:c>
      <x:c r="X803" s="55" t="n">
        <x:v>3251</x:v>
      </x:c>
      <x:c r="Y803" s="55" t="n">
        <x:v>2789</x:v>
      </x:c>
      <x:c r="Z803" s="55" t="n">
        <x:v>3943</x:v>
      </x:c>
      <x:c r="AA803" s="55" t="n">
        <x:v>3065</x:v>
      </x:c>
      <x:c r="AB803" s="55" t="n">
        <x:v>1022</x:v>
      </x:c>
      <x:c r="AC803" s="55" t="n">
        <x:v>8804</x:v>
      </x:c>
      <x:c r="AD803" s="55" t="n">
        <x:v>2824</x:v>
      </x:c>
      <x:c r="AE803" s="55" t="n">
        <x:v>10697</x:v>
      </x:c>
      <x:c r="AF803" s="55" t="n">
        <x:v>10615</x:v>
      </x:c>
      <x:c r="AG803" s="55" t="n">
        <x:v>82</x:v>
      </x:c>
      <x:c r="AH803" s="55" t="n">
        <x:v>453</x:v>
      </x:c>
      <x:c r="AI803" s="55" t="n">
        <x:v>10162</x:v>
      </x:c>
      <x:c r="AJ803" s="55" t="n">
        <x:v>358</x:v>
      </x:c>
      <x:c r="AK803" s="55" t="n">
        <x:v>881</x:v>
      </x:c>
      <x:c r="AL803" s="55" t="n">
        <x:v>1556</x:v>
      </x:c>
      <x:c r="AM803" s="55" t="n">
        <x:v>5140</x:v>
      </x:c>
      <x:c r="AN803" s="55" t="n">
        <x:v>2680</x:v>
      </x:c>
      <x:c r="AO803" s="55" t="n">
        <x:v>0</x:v>
      </x:c>
      <x:c r="AP803" s="55" t="n">
        <x:v>2482</x:v>
      </x:c>
      <x:c r="AQ803" s="55" t="n">
        <x:v>960</x:v>
      </x:c>
    </x:row>
    <x:row r="804">
      <x:c r="A804" s="54" t="str">
        <x:v>T2_CONCORDANT_DOMAIN</x:v>
      </x:c>
      <x:c r="B804" s="54" t="n">
        <x:v>798</x:v>
      </x:c>
      <x:c r="C804" s="54" t="str">
        <x:v>NYC-V2-R01</x:v>
      </x:c>
      <x:c r="D804" s="54" t="str">
        <x:v>V2</x:v>
      </x:c>
      <x:c r="E804" s="54" t="str">
        <x:v>ADMITTED</x:v>
      </x:c>
      <x:c r="F804" s="55" t="n">
        <x:v>30114</x:v>
      </x:c>
      <x:c r="G804" s="55" t="n">
        <x:v>7772</x:v>
      </x:c>
      <x:c r="H804" s="55" t="n">
        <x:v>3200</x:v>
      </x:c>
      <x:c r="I804" s="55" t="n">
        <x:v>1226</x:v>
      </x:c>
      <x:c r="J804" s="55" t="n">
        <x:v>255</x:v>
      </x:c>
      <x:c r="K804" s="55" t="n">
        <x:v>30114</x:v>
      </x:c>
      <x:c r="L804" s="55" t="n">
        <x:v>5345</x:v>
      </x:c>
      <x:c r="M804" s="55" t="n">
        <x:v>657</x:v>
      </x:c>
      <x:c r="N804" s="55" t="n">
        <x:v>2483</x:v>
      </x:c>
      <x:c r="O804" s="55" t="n">
        <x:v>2205</x:v>
      </x:c>
      <x:c r="P804" s="55" t="n">
        <x:v>810</x:v>
      </x:c>
      <x:c r="Q804" s="55" t="n">
        <x:v>2896</x:v>
      </x:c>
      <x:c r="R804" s="55" t="n">
        <x:v>1897</x:v>
      </x:c>
      <x:c r="S804" s="55" t="n">
        <x:v>2410</x:v>
      </x:c>
      <x:c r="T804" s="55" t="n">
        <x:v>1120</x:v>
      </x:c>
      <x:c r="U804" s="55" t="n">
        <x:v>2215</x:v>
      </x:c>
      <x:c r="V804" s="55" t="n">
        <x:v>10426</x:v>
      </x:c>
      <x:c r="W804" s="55" t="n">
        <x:v>7430</x:v>
      </x:c>
      <x:c r="X804" s="55" t="n">
        <x:v>2996</x:v>
      </x:c>
      <x:c r="Y804" s="55" t="n">
        <x:v>2723</x:v>
      </x:c>
      <x:c r="Z804" s="55" t="n">
        <x:v>3697</x:v>
      </x:c>
      <x:c r="AA804" s="55" t="n">
        <x:v>3200</x:v>
      </x:c>
      <x:c r="AB804" s="55" t="n">
        <x:v>1378</x:v>
      </x:c>
      <x:c r="AC804" s="55" t="n">
        <x:v>7949</x:v>
      </x:c>
      <x:c r="AD804" s="55" t="n">
        <x:v>2585</x:v>
      </x:c>
      <x:c r="AE804" s="55" t="n">
        <x:v>10569</x:v>
      </x:c>
      <x:c r="AF804" s="55" t="n">
        <x:v>10426</x:v>
      </x:c>
      <x:c r="AG804" s="55" t="n">
        <x:v>143</x:v>
      </x:c>
      <x:c r="AH804" s="55" t="n">
        <x:v>437</x:v>
      </x:c>
      <x:c r="AI804" s="55" t="n">
        <x:v>9989</x:v>
      </x:c>
      <x:c r="AJ804" s="55" t="n">
        <x:v>303</x:v>
      </x:c>
      <x:c r="AK804" s="55" t="n">
        <x:v>957</x:v>
      </x:c>
      <x:c r="AL804" s="55" t="n">
        <x:v>1887</x:v>
      </x:c>
      <x:c r="AM804" s="55" t="n">
        <x:v>4812</x:v>
      </x:c>
      <x:c r="AN804" s="55" t="n">
        <x:v>2467</x:v>
      </x:c>
      <x:c r="AO804" s="55" t="n">
        <x:v>0</x:v>
      </x:c>
      <x:c r="AP804" s="55" t="n">
        <x:v>2861</x:v>
      </x:c>
      <x:c r="AQ804" s="55" t="n">
        <x:v>968</x:v>
      </x:c>
    </x:row>
    <x:row r="805">
      <x:c r="A805" s="54" t="str">
        <x:v>T2_CONCORDANT_DOMAIN</x:v>
      </x:c>
      <x:c r="B805" s="54" t="n">
        <x:v>799</x:v>
      </x:c>
      <x:c r="C805" s="54" t="str">
        <x:v>NYC-V2-R01</x:v>
      </x:c>
      <x:c r="D805" s="54" t="str">
        <x:v>V2</x:v>
      </x:c>
      <x:c r="E805" s="54" t="str">
        <x:v>ADMITTED</x:v>
      </x:c>
      <x:c r="F805" s="55" t="n">
        <x:v>32734</x:v>
      </x:c>
      <x:c r="G805" s="55" t="n">
        <x:v>7064</x:v>
      </x:c>
      <x:c r="H805" s="55" t="n">
        <x:v>3051</x:v>
      </x:c>
      <x:c r="I805" s="55" t="n">
        <x:v>861</x:v>
      </x:c>
      <x:c r="J805" s="55" t="n">
        <x:v>137</x:v>
      </x:c>
      <x:c r="K805" s="55" t="n">
        <x:v>32734</x:v>
      </x:c>
      <x:c r="L805" s="55" t="n">
        <x:v>6636</x:v>
      </x:c>
      <x:c r="M805" s="55" t="n">
        <x:v>2089</x:v>
      </x:c>
      <x:c r="N805" s="55" t="n">
        <x:v>2634</x:v>
      </x:c>
      <x:c r="O805" s="55" t="n">
        <x:v>1913</x:v>
      </x:c>
      <x:c r="P805" s="55" t="n">
        <x:v>750</x:v>
      </x:c>
      <x:c r="Q805" s="55" t="n">
        <x:v>3488</x:v>
      </x:c>
      <x:c r="R805" s="55" t="n">
        <x:v>1901</x:v>
      </x:c>
      <x:c r="S805" s="55" t="n">
        <x:v>2471</x:v>
      </x:c>
      <x:c r="T805" s="55" t="n">
        <x:v>1335</x:v>
      </x:c>
      <x:c r="U805" s="55" t="n">
        <x:v>2361</x:v>
      </x:c>
      <x:c r="V805" s="55" t="n">
        <x:v>10463</x:v>
      </x:c>
      <x:c r="W805" s="55" t="n">
        <x:v>7472</x:v>
      </x:c>
      <x:c r="X805" s="55" t="n">
        <x:v>2991</x:v>
      </x:c>
      <x:c r="Y805" s="55" t="n">
        <x:v>2609</x:v>
      </x:c>
      <x:c r="Z805" s="55" t="n">
        <x:v>3260</x:v>
      </x:c>
      <x:c r="AA805" s="55" t="n">
        <x:v>3051</x:v>
      </x:c>
      <x:c r="AB805" s="55" t="n">
        <x:v>1023</x:v>
      </x:c>
      <x:c r="AC805" s="55" t="n">
        <x:v>8443</x:v>
      </x:c>
      <x:c r="AD805" s="55" t="n">
        <x:v>2299</x:v>
      </x:c>
      <x:c r="AE805" s="55" t="n">
        <x:v>10594</x:v>
      </x:c>
      <x:c r="AF805" s="55" t="n">
        <x:v>10463</x:v>
      </x:c>
      <x:c r="AG805" s="55" t="n">
        <x:v>131</x:v>
      </x:c>
      <x:c r="AH805" s="55" t="n">
        <x:v>484</x:v>
      </x:c>
      <x:c r="AI805" s="55" t="n">
        <x:v>9979</x:v>
      </x:c>
      <x:c r="AJ805" s="55" t="n">
        <x:v>168</x:v>
      </x:c>
      <x:c r="AK805" s="55" t="n">
        <x:v>954</x:v>
      </x:c>
      <x:c r="AL805" s="55" t="n">
        <x:v>1438</x:v>
      </x:c>
      <x:c r="AM805" s="55" t="n">
        <x:v>4884</x:v>
      </x:c>
      <x:c r="AN805" s="55" t="n">
        <x:v>3019</x:v>
      </x:c>
      <x:c r="AO805" s="55" t="n">
        <x:v>0</x:v>
      </x:c>
      <x:c r="AP805" s="55" t="n">
        <x:v>2489</x:v>
      </x:c>
      <x:c r="AQ805" s="55" t="n">
        <x:v>922</x:v>
      </x:c>
    </x:row>
    <x:row r="806">
      <x:c r="A806" s="54" t="str">
        <x:v>T2_CONCORDANT_DOMAIN</x:v>
      </x:c>
      <x:c r="B806" s="54" t="n">
        <x:v>800</x:v>
      </x:c>
      <x:c r="C806" s="54" t="str">
        <x:v>NYC-V2-R01</x:v>
      </x:c>
      <x:c r="D806" s="54" t="str">
        <x:v>V2</x:v>
      </x:c>
      <x:c r="E806" s="54" t="str">
        <x:v>ADMITTED</x:v>
      </x:c>
      <x:c r="F806" s="55" t="n">
        <x:v>32768</x:v>
      </x:c>
      <x:c r="G806" s="55" t="n">
        <x:v>8717</x:v>
      </x:c>
      <x:c r="H806" s="55" t="n">
        <x:v>3896</x:v>
      </x:c>
      <x:c r="I806" s="55" t="n">
        <x:v>2154</x:v>
      </x:c>
      <x:c r="J806" s="55" t="n">
        <x:v>391</x:v>
      </x:c>
      <x:c r="K806" s="55" t="n">
        <x:v>32768</x:v>
      </x:c>
      <x:c r="L806" s="55" t="n">
        <x:v>7356</x:v>
      </x:c>
      <x:c r="M806" s="55" t="n">
        <x:v>2221</x:v>
      </x:c>
      <x:c r="N806" s="55" t="n">
        <x:v>2909</x:v>
      </x:c>
      <x:c r="O806" s="55" t="n">
        <x:v>2226</x:v>
      </x:c>
      <x:c r="P806" s="55" t="n">
        <x:v>1195</x:v>
      </x:c>
      <x:c r="Q806" s="55" t="n">
        <x:v>3285</x:v>
      </x:c>
      <x:c r="R806" s="55" t="n">
        <x:v>2909</x:v>
      </x:c>
      <x:c r="S806" s="55" t="n">
        <x:v>3154</x:v>
      </x:c>
      <x:c r="T806" s="55" t="n">
        <x:v>1529</x:v>
      </x:c>
      <x:c r="U806" s="55" t="n">
        <x:v>3262</x:v>
      </x:c>
      <x:c r="V806" s="55" t="n">
        <x:v>11274</x:v>
      </x:c>
      <x:c r="W806" s="55" t="n">
        <x:v>7535</x:v>
      </x:c>
      <x:c r="X806" s="55" t="n">
        <x:v>3739</x:v>
      </x:c>
      <x:c r="Y806" s="55" t="n">
        <x:v>3412</x:v>
      </x:c>
      <x:c r="Z806" s="55" t="n">
        <x:v>4492</x:v>
      </x:c>
      <x:c r="AA806" s="55" t="n">
        <x:v>3689</x:v>
      </x:c>
      <x:c r="AB806" s="55" t="n">
        <x:v>1394</x:v>
      </x:c>
      <x:c r="AC806" s="55" t="n">
        <x:v>8721</x:v>
      </x:c>
      <x:c r="AD806" s="55" t="n">
        <x:v>3298</x:v>
      </x:c>
      <x:c r="AE806" s="55" t="n">
        <x:v>11424</x:v>
      </x:c>
      <x:c r="AF806" s="55" t="n">
        <x:v>11274</x:v>
      </x:c>
      <x:c r="AG806" s="55" t="n">
        <x:v>150</x:v>
      </x:c>
      <x:c r="AH806" s="55" t="n">
        <x:v>828</x:v>
      </x:c>
      <x:c r="AI806" s="55" t="n">
        <x:v>10446</x:v>
      </x:c>
      <x:c r="AJ806" s="55" t="n">
        <x:v>577</x:v>
      </x:c>
      <x:c r="AK806" s="55" t="n">
        <x:v>1136</x:v>
      </x:c>
      <x:c r="AL806" s="55" t="n">
        <x:v>1578</x:v>
      </x:c>
      <x:c r="AM806" s="55" t="n">
        <x:v>5076</x:v>
      </x:c>
      <x:c r="AN806" s="55" t="n">
        <x:v>2843</x:v>
      </x:c>
      <x:c r="AO806" s="55" t="n">
        <x:v>64</x:v>
      </x:c>
      <x:c r="AP806" s="55" t="n">
        <x:v>2350</x:v>
      </x:c>
      <x:c r="AQ806" s="55" t="n">
        <x:v>1000</x:v>
      </x:c>
    </x:row>
    <x:row r="807">
      <x:c r="A807" s="54" t="str">
        <x:v>T2_CONCORDANT_DOMAIN</x:v>
      </x:c>
      <x:c r="B807" s="54" t="n">
        <x:v>801</x:v>
      </x:c>
      <x:c r="C807" s="54" t="str">
        <x:v>NYC-V2-R01</x:v>
      </x:c>
      <x:c r="D807" s="54" t="str">
        <x:v>V2</x:v>
      </x:c>
      <x:c r="E807" s="54" t="str">
        <x:v>ADMITTED</x:v>
      </x:c>
      <x:c r="F807" s="55" t="n">
        <x:v>30859</x:v>
      </x:c>
      <x:c r="G807" s="55" t="n">
        <x:v>8178</x:v>
      </x:c>
      <x:c r="H807" s="55" t="n">
        <x:v>3494</x:v>
      </x:c>
      <x:c r="I807" s="55" t="n">
        <x:v>1062</x:v>
      </x:c>
      <x:c r="J807" s="55" t="n">
        <x:v>258</x:v>
      </x:c>
      <x:c r="K807" s="55" t="n">
        <x:v>29638</x:v>
      </x:c>
      <x:c r="L807" s="55" t="n">
        <x:v>5289</x:v>
      </x:c>
      <x:c r="M807" s="55" t="n">
        <x:v>697</x:v>
      </x:c>
      <x:c r="N807" s="55" t="n">
        <x:v>2544</x:v>
      </x:c>
      <x:c r="O807" s="55" t="n">
        <x:v>2048</x:v>
      </x:c>
      <x:c r="P807" s="55" t="n">
        <x:v>668</x:v>
      </x:c>
      <x:c r="Q807" s="55" t="n">
        <x:v>3127</x:v>
      </x:c>
      <x:c r="R807" s="55" t="n">
        <x:v>2025</x:v>
      </x:c>
      <x:c r="S807" s="55" t="n">
        <x:v>3296</x:v>
      </x:c>
      <x:c r="T807" s="55" t="n">
        <x:v>1440</x:v>
      </x:c>
      <x:c r="U807" s="55" t="n">
        <x:v>2025</x:v>
      </x:c>
      <x:c r="V807" s="55" t="n">
        <x:v>11492</x:v>
      </x:c>
      <x:c r="W807" s="55" t="n">
        <x:v>8204</x:v>
      </x:c>
      <x:c r="X807" s="55" t="n">
        <x:v>3288</x:v>
      </x:c>
      <x:c r="Y807" s="55" t="n">
        <x:v>2912</x:v>
      </x:c>
      <x:c r="Z807" s="55" t="n">
        <x:v>3999</x:v>
      </x:c>
      <x:c r="AA807" s="55" t="n">
        <x:v>3494</x:v>
      </x:c>
      <x:c r="AB807" s="55" t="n">
        <x:v>1342</x:v>
      </x:c>
      <x:c r="AC807" s="55" t="n">
        <x:v>7963</x:v>
      </x:c>
      <x:c r="AD807" s="55" t="n">
        <x:v>3283</x:v>
      </x:c>
      <x:c r="AE807" s="55" t="n">
        <x:v>11624</x:v>
      </x:c>
      <x:c r="AF807" s="55" t="n">
        <x:v>11492</x:v>
      </x:c>
      <x:c r="AG807" s="55" t="n">
        <x:v>132</x:v>
      </x:c>
      <x:c r="AH807" s="55" t="n">
        <x:v>581</x:v>
      </x:c>
      <x:c r="AI807" s="55" t="n">
        <x:v>10911</x:v>
      </x:c>
      <x:c r="AJ807" s="55" t="n">
        <x:v>430</x:v>
      </x:c>
      <x:c r="AK807" s="55" t="n">
        <x:v>1059</x:v>
      </x:c>
      <x:c r="AL807" s="55" t="n">
        <x:v>1888</x:v>
      </x:c>
      <x:c r="AM807" s="55" t="n">
        <x:v>5339</x:v>
      </x:c>
      <x:c r="AN807" s="55" t="n">
        <x:v>2657</x:v>
      </x:c>
      <x:c r="AO807" s="55" t="n">
        <x:v>119</x:v>
      </x:c>
      <x:c r="AP807" s="55" t="n">
        <x:v>2809</x:v>
      </x:c>
      <x:c r="AQ807" s="55" t="n">
        <x:v>967</x:v>
      </x:c>
    </x:row>
    <x:row r="808">
      <x:c r="A808" s="54" t="str">
        <x:v>T2_CONCORDANT_DOMAIN</x:v>
      </x:c>
      <x:c r="B808" s="54" t="n">
        <x:v>802</x:v>
      </x:c>
      <x:c r="C808" s="54" t="str">
        <x:v>NYC-V2-R01</x:v>
      </x:c>
      <x:c r="D808" s="54" t="str">
        <x:v>V2</x:v>
      </x:c>
      <x:c r="E808" s="54" t="str">
        <x:v>ADMITTED</x:v>
      </x:c>
      <x:c r="F808" s="55" t="n">
        <x:v>33009</x:v>
      </x:c>
      <x:c r="G808" s="55" t="n">
        <x:v>8863</x:v>
      </x:c>
      <x:c r="H808" s="55" t="n">
        <x:v>3289</x:v>
      </x:c>
      <x:c r="I808" s="55" t="n">
        <x:v>1312</x:v>
      </x:c>
      <x:c r="J808" s="55" t="n">
        <x:v>311</x:v>
      </x:c>
      <x:c r="K808" s="55" t="n">
        <x:v>30950</x:v>
      </x:c>
      <x:c r="L808" s="55" t="n">
        <x:v>5585</x:v>
      </x:c>
      <x:c r="M808" s="55" t="n">
        <x:v>1067</x:v>
      </x:c>
      <x:c r="N808" s="55" t="n">
        <x:v>2715</x:v>
      </x:c>
      <x:c r="O808" s="55" t="n">
        <x:v>1803</x:v>
      </x:c>
      <x:c r="P808" s="55" t="n">
        <x:v>814</x:v>
      </x:c>
      <x:c r="Q808" s="55" t="n">
        <x:v>3254</x:v>
      </x:c>
      <x:c r="R808" s="55" t="n">
        <x:v>2465</x:v>
      </x:c>
      <x:c r="S808" s="55" t="n">
        <x:v>3428</x:v>
      </x:c>
      <x:c r="T808" s="55" t="n">
        <x:v>982</x:v>
      </x:c>
      <x:c r="U808" s="55" t="n">
        <x:v>2116</x:v>
      </x:c>
      <x:c r="V808" s="55" t="n">
        <x:v>10505</x:v>
      </x:c>
      <x:c r="W808" s="55" t="n">
        <x:v>7878</x:v>
      </x:c>
      <x:c r="X808" s="55" t="n">
        <x:v>2627</x:v>
      </x:c>
      <x:c r="Y808" s="55" t="n">
        <x:v>2210</x:v>
      </x:c>
      <x:c r="Z808" s="55" t="n">
        <x:v>3329</x:v>
      </x:c>
      <x:c r="AA808" s="55" t="n">
        <x:v>3289</x:v>
      </x:c>
      <x:c r="AB808" s="55" t="n">
        <x:v>1206</x:v>
      </x:c>
      <x:c r="AC808" s="55" t="n">
        <x:v>7488</x:v>
      </x:c>
      <x:c r="AD808" s="55" t="n">
        <x:v>2905</x:v>
      </x:c>
      <x:c r="AE808" s="55" t="n">
        <x:v>10564</x:v>
      </x:c>
      <x:c r="AF808" s="55" t="n">
        <x:v>10505</x:v>
      </x:c>
      <x:c r="AG808" s="55" t="n">
        <x:v>59</x:v>
      </x:c>
      <x:c r="AH808" s="55" t="n">
        <x:v>523</x:v>
      </x:c>
      <x:c r="AI808" s="55" t="n">
        <x:v>9982</x:v>
      </x:c>
      <x:c r="AJ808" s="55" t="n">
        <x:v>317</x:v>
      </x:c>
      <x:c r="AK808" s="55" t="n">
        <x:v>1139</x:v>
      </x:c>
      <x:c r="AL808" s="55" t="n">
        <x:v>1432</x:v>
      </x:c>
      <x:c r="AM808" s="55" t="n">
        <x:v>4991</x:v>
      </x:c>
      <x:c r="AN808" s="55" t="n">
        <x:v>2608</x:v>
      </x:c>
      <x:c r="AO808" s="55" t="n">
        <x:v>18</x:v>
      </x:c>
      <x:c r="AP808" s="55" t="n">
        <x:v>2372</x:v>
      </x:c>
      <x:c r="AQ808" s="55" t="n">
        <x:v>955</x:v>
      </x:c>
    </x:row>
    <x:row r="809">
      <x:c r="A809" s="54" t="str">
        <x:v>T2_CONCORDANT_DOMAIN</x:v>
      </x:c>
      <x:c r="B809" s="54" t="n">
        <x:v>803</x:v>
      </x:c>
      <x:c r="C809" s="54" t="str">
        <x:v>NYC-V2-R01</x:v>
      </x:c>
      <x:c r="D809" s="54" t="str">
        <x:v>V2</x:v>
      </x:c>
      <x:c r="E809" s="54" t="str">
        <x:v>ADMITTED</x:v>
      </x:c>
      <x:c r="F809" s="55" t="n">
        <x:v>29005</x:v>
      </x:c>
      <x:c r="G809" s="55" t="n">
        <x:v>7183</x:v>
      </x:c>
      <x:c r="H809" s="55" t="n">
        <x:v>2928</x:v>
      </x:c>
      <x:c r="I809" s="55" t="n">
        <x:v>1232</x:v>
      </x:c>
      <x:c r="J809" s="55" t="n">
        <x:v>168</x:v>
      </x:c>
      <x:c r="K809" s="55" t="n">
        <x:v>29005</x:v>
      </x:c>
      <x:c r="L809" s="55" t="n">
        <x:v>4829</x:v>
      </x:c>
      <x:c r="M809" s="55" t="n">
        <x:v>185</x:v>
      </x:c>
      <x:c r="N809" s="55" t="n">
        <x:v>2766</x:v>
      </x:c>
      <x:c r="O809" s="55" t="n">
        <x:v>1878</x:v>
      </x:c>
      <x:c r="P809" s="55" t="n">
        <x:v>671</x:v>
      </x:c>
      <x:c r="Q809" s="55" t="n">
        <x:v>2825</x:v>
      </x:c>
      <x:c r="R809" s="55" t="n">
        <x:v>1593</x:v>
      </x:c>
      <x:c r="S809" s="55" t="n">
        <x:v>2781</x:v>
      </x:c>
      <x:c r="T809" s="55" t="n">
        <x:v>1066</x:v>
      </x:c>
      <x:c r="U809" s="55" t="n">
        <x:v>2348</x:v>
      </x:c>
      <x:c r="V809" s="55" t="n">
        <x:v>10255</x:v>
      </x:c>
      <x:c r="W809" s="55" t="n">
        <x:v>7373</x:v>
      </x:c>
      <x:c r="X809" s="55" t="n">
        <x:v>2882</x:v>
      </x:c>
      <x:c r="Y809" s="55" t="n">
        <x:v>2347</x:v>
      </x:c>
      <x:c r="Z809" s="55" t="n">
        <x:v>3737</x:v>
      </x:c>
      <x:c r="AA809" s="55" t="n">
        <x:v>2928</x:v>
      </x:c>
      <x:c r="AB809" s="55" t="n">
        <x:v>798</x:v>
      </x:c>
      <x:c r="AC809" s="55" t="n">
        <x:v>7964</x:v>
      </x:c>
      <x:c r="AD809" s="55" t="n">
        <x:v>3518</x:v>
      </x:c>
      <x:c r="AE809" s="55" t="n">
        <x:v>10341</x:v>
      </x:c>
      <x:c r="AF809" s="55" t="n">
        <x:v>10255</x:v>
      </x:c>
      <x:c r="AG809" s="55" t="n">
        <x:v>86</x:v>
      </x:c>
      <x:c r="AH809" s="55" t="n">
        <x:v>332</x:v>
      </x:c>
      <x:c r="AI809" s="55" t="n">
        <x:v>9923</x:v>
      </x:c>
      <x:c r="AJ809" s="55" t="n">
        <x:v>201</x:v>
      </x:c>
      <x:c r="AK809" s="55" t="n">
        <x:v>1022</x:v>
      </x:c>
      <x:c r="AL809" s="55" t="n">
        <x:v>1529</x:v>
      </x:c>
      <x:c r="AM809" s="55" t="n">
        <x:v>4923</x:v>
      </x:c>
      <x:c r="AN809" s="55" t="n">
        <x:v>2545</x:v>
      </x:c>
      <x:c r="AO809" s="55" t="n">
        <x:v>35</x:v>
      </x:c>
      <x:c r="AP809" s="55" t="n">
        <x:v>2258</x:v>
      </x:c>
      <x:c r="AQ809" s="55" t="n">
        <x:v>933</x:v>
      </x:c>
    </x:row>
    <x:row r="810">
      <x:c r="A810" s="54" t="str">
        <x:v>T2_CONCORDANT_DOMAIN</x:v>
      </x:c>
      <x:c r="B810" s="54" t="n">
        <x:v>804</x:v>
      </x:c>
      <x:c r="C810" s="54" t="str">
        <x:v>NYC-V2-R01</x:v>
      </x:c>
      <x:c r="D810" s="54" t="str">
        <x:v>V2</x:v>
      </x:c>
      <x:c r="E810" s="54" t="str">
        <x:v>ADMITTED</x:v>
      </x:c>
      <x:c r="F810" s="55" t="n">
        <x:v>32220</x:v>
      </x:c>
      <x:c r="G810" s="55" t="n">
        <x:v>7778</x:v>
      </x:c>
      <x:c r="H810" s="55" t="n">
        <x:v>3381</x:v>
      </x:c>
      <x:c r="I810" s="55" t="n">
        <x:v>1190</x:v>
      </x:c>
      <x:c r="J810" s="55" t="n">
        <x:v>209</x:v>
      </x:c>
      <x:c r="K810" s="55" t="n">
        <x:v>32220</x:v>
      </x:c>
      <x:c r="L810" s="55" t="n">
        <x:v>7377</x:v>
      </x:c>
      <x:c r="M810" s="55" t="n">
        <x:v>2386</x:v>
      </x:c>
      <x:c r="N810" s="55" t="n">
        <x:v>3130</x:v>
      </x:c>
      <x:c r="O810" s="55" t="n">
        <x:v>1861</x:v>
      </x:c>
      <x:c r="P810" s="55" t="n">
        <x:v>885</x:v>
      </x:c>
      <x:c r="Q810" s="55" t="n">
        <x:v>2640</x:v>
      </x:c>
      <x:c r="R810" s="55" t="n">
        <x:v>1975</x:v>
      </x:c>
      <x:c r="S810" s="55" t="n">
        <x:v>3091</x:v>
      </x:c>
      <x:c r="T810" s="55" t="n">
        <x:v>1220</x:v>
      </x:c>
      <x:c r="U810" s="55" t="n">
        <x:v>2542</x:v>
      </x:c>
      <x:c r="V810" s="55" t="n">
        <x:v>10533</x:v>
      </x:c>
      <x:c r="W810" s="55" t="n">
        <x:v>7054</x:v>
      </x:c>
      <x:c r="X810" s="55" t="n">
        <x:v>3479</x:v>
      </x:c>
      <x:c r="Y810" s="55" t="n">
        <x:v>3001</x:v>
      </x:c>
      <x:c r="Z810" s="55" t="n">
        <x:v>3367</x:v>
      </x:c>
      <x:c r="AA810" s="55" t="n">
        <x:v>3381</x:v>
      </x:c>
      <x:c r="AB810" s="55" t="n">
        <x:v>947</x:v>
      </x:c>
      <x:c r="AC810" s="55" t="n">
        <x:v>7875</x:v>
      </x:c>
      <x:c r="AD810" s="55" t="n">
        <x:v>2573</x:v>
      </x:c>
      <x:c r="AE810" s="55" t="n">
        <x:v>10602</x:v>
      </x:c>
      <x:c r="AF810" s="55" t="n">
        <x:v>10533</x:v>
      </x:c>
      <x:c r="AG810" s="55" t="n">
        <x:v>69</x:v>
      </x:c>
      <x:c r="AH810" s="55" t="n">
        <x:v>533</x:v>
      </x:c>
      <x:c r="AI810" s="55" t="n">
        <x:v>10000</x:v>
      </x:c>
      <x:c r="AJ810" s="55" t="n">
        <x:v>338</x:v>
      </x:c>
      <x:c r="AK810" s="55" t="n">
        <x:v>1153</x:v>
      </x:c>
      <x:c r="AL810" s="55" t="n">
        <x:v>1439</x:v>
      </x:c>
      <x:c r="AM810" s="55" t="n">
        <x:v>5031</x:v>
      </x:c>
      <x:c r="AN810" s="55" t="n">
        <x:v>2494</x:v>
      </x:c>
      <x:c r="AO810" s="55" t="n">
        <x:v>78</x:v>
      </x:c>
      <x:c r="AP810" s="55" t="n">
        <x:v>2390</x:v>
      </x:c>
      <x:c r="AQ810" s="55" t="n">
        <x:v>963</x:v>
      </x:c>
    </x:row>
    <x:row r="811">
      <x:c r="A811" s="54" t="str">
        <x:v>T2_CONCORDANT_DOMAIN</x:v>
      </x:c>
      <x:c r="B811" s="54" t="n">
        <x:v>805</x:v>
      </x:c>
      <x:c r="C811" s="54" t="str">
        <x:v>NYC-V2-R01</x:v>
      </x:c>
      <x:c r="D811" s="54" t="str">
        <x:v>V2</x:v>
      </x:c>
      <x:c r="E811" s="54" t="str">
        <x:v>ADMITTED</x:v>
      </x:c>
      <x:c r="F811" s="55" t="n">
        <x:v>31024</x:v>
      </x:c>
      <x:c r="G811" s="55" t="n">
        <x:v>8355</x:v>
      </x:c>
      <x:c r="H811" s="55" t="n">
        <x:v>3427</x:v>
      </x:c>
      <x:c r="I811" s="55" t="n">
        <x:v>1128</x:v>
      </x:c>
      <x:c r="J811" s="55" t="n">
        <x:v>108</x:v>
      </x:c>
      <x:c r="K811" s="55" t="n">
        <x:v>30609</x:v>
      </x:c>
      <x:c r="L811" s="55" t="n">
        <x:v>6104</x:v>
      </x:c>
      <x:c r="M811" s="55" t="n">
        <x:v>1682</x:v>
      </x:c>
      <x:c r="N811" s="55" t="n">
        <x:v>2787</x:v>
      </x:c>
      <x:c r="O811" s="55" t="n">
        <x:v>1635</x:v>
      </x:c>
      <x:c r="P811" s="55" t="n">
        <x:v>1099</x:v>
      </x:c>
      <x:c r="Q811" s="55" t="n">
        <x:v>3480</x:v>
      </x:c>
      <x:c r="R811" s="55" t="n">
        <x:v>2148</x:v>
      </x:c>
      <x:c r="S811" s="55" t="n">
        <x:v>3045</x:v>
      </x:c>
      <x:c r="T811" s="55" t="n">
        <x:v>1390</x:v>
      </x:c>
      <x:c r="U811" s="55" t="n">
        <x:v>2588</x:v>
      </x:c>
      <x:c r="V811" s="55" t="n">
        <x:v>10565</x:v>
      </x:c>
      <x:c r="W811" s="55" t="n">
        <x:v>7763</x:v>
      </x:c>
      <x:c r="X811" s="55" t="n">
        <x:v>2802</x:v>
      </x:c>
      <x:c r="Y811" s="55" t="n">
        <x:v>2361</x:v>
      </x:c>
      <x:c r="Z811" s="55" t="n">
        <x:v>3915</x:v>
      </x:c>
      <x:c r="AA811" s="55" t="n">
        <x:v>3427</x:v>
      </x:c>
      <x:c r="AB811" s="55" t="n">
        <x:v>1366</x:v>
      </x:c>
      <x:c r="AC811" s="55" t="n">
        <x:v>8995</x:v>
      </x:c>
      <x:c r="AD811" s="55" t="n">
        <x:v>2890</x:v>
      </x:c>
      <x:c r="AE811" s="55" t="n">
        <x:v>10738</x:v>
      </x:c>
      <x:c r="AF811" s="55" t="n">
        <x:v>10565</x:v>
      </x:c>
      <x:c r="AG811" s="55" t="n">
        <x:v>173</x:v>
      </x:c>
      <x:c r="AH811" s="55" t="n">
        <x:v>342</x:v>
      </x:c>
      <x:c r="AI811" s="55" t="n">
        <x:v>10223</x:v>
      </x:c>
      <x:c r="AJ811" s="55" t="n">
        <x:v>259</x:v>
      </x:c>
      <x:c r="AK811" s="55" t="n">
        <x:v>907</x:v>
      </x:c>
      <x:c r="AL811" s="55" t="n">
        <x:v>1588</x:v>
      </x:c>
      <x:c r="AM811" s="55" t="n">
        <x:v>4946</x:v>
      </x:c>
      <x:c r="AN811" s="55" t="n">
        <x:v>2791</x:v>
      </x:c>
      <x:c r="AO811" s="55" t="n">
        <x:v>74</x:v>
      </x:c>
      <x:c r="AP811" s="55" t="n">
        <x:v>2393</x:v>
      </x:c>
      <x:c r="AQ811" s="55" t="n">
        <x:v>985</x:v>
      </x:c>
    </x:row>
    <x:row r="812">
      <x:c r="A812" s="54" t="str">
        <x:v>T2_CONCORDANT_DOMAIN</x:v>
      </x:c>
      <x:c r="B812" s="54" t="n">
        <x:v>806</x:v>
      </x:c>
      <x:c r="C812" s="54" t="str">
        <x:v>NYC-V2-R01</x:v>
      </x:c>
      <x:c r="D812" s="54" t="str">
        <x:v>V2</x:v>
      </x:c>
      <x:c r="E812" s="54" t="str">
        <x:v>ADMITTED</x:v>
      </x:c>
      <x:c r="F812" s="55" t="n">
        <x:v>32605</x:v>
      </x:c>
      <x:c r="G812" s="55" t="n">
        <x:v>9038</x:v>
      </x:c>
      <x:c r="H812" s="55" t="n">
        <x:v>3041</x:v>
      </x:c>
      <x:c r="I812" s="55" t="n">
        <x:v>1289</x:v>
      </x:c>
      <x:c r="J812" s="55" t="n">
        <x:v>266</x:v>
      </x:c>
      <x:c r="K812" s="55" t="n">
        <x:v>29891</x:v>
      </x:c>
      <x:c r="L812" s="55" t="n">
        <x:v>5138</x:v>
      </x:c>
      <x:c r="M812" s="55" t="n">
        <x:v>1315</x:v>
      </x:c>
      <x:c r="N812" s="55" t="n">
        <x:v>2284</x:v>
      </x:c>
      <x:c r="O812" s="55" t="n">
        <x:v>1539</x:v>
      </x:c>
      <x:c r="P812" s="55" t="n">
        <x:v>702</x:v>
      </x:c>
      <x:c r="Q812" s="55" t="n">
        <x:v>3226</x:v>
      </x:c>
      <x:c r="R812" s="55" t="n">
        <x:v>1278</x:v>
      </x:c>
      <x:c r="S812" s="55" t="n">
        <x:v>2671</x:v>
      </x:c>
      <x:c r="T812" s="55" t="n">
        <x:v>1365</x:v>
      </x:c>
      <x:c r="U812" s="55" t="n">
        <x:v>1894</x:v>
      </x:c>
      <x:c r="V812" s="55" t="n">
        <x:v>9935</x:v>
      </x:c>
      <x:c r="W812" s="55" t="n">
        <x:v>6998</x:v>
      </x:c>
      <x:c r="X812" s="55" t="n">
        <x:v>2937</x:v>
      </x:c>
      <x:c r="Y812" s="55" t="n">
        <x:v>2404</x:v>
      </x:c>
      <x:c r="Z812" s="55" t="n">
        <x:v>3749</x:v>
      </x:c>
      <x:c r="AA812" s="55" t="n">
        <x:v>3041</x:v>
      </x:c>
      <x:c r="AB812" s="55" t="n">
        <x:v>885</x:v>
      </x:c>
      <x:c r="AC812" s="55" t="n">
        <x:v>7605</x:v>
      </x:c>
      <x:c r="AD812" s="55" t="n">
        <x:v>2301</x:v>
      </x:c>
      <x:c r="AE812" s="55" t="n">
        <x:v>9957</x:v>
      </x:c>
      <x:c r="AF812" s="55" t="n">
        <x:v>9935</x:v>
      </x:c>
      <x:c r="AG812" s="55" t="n">
        <x:v>22</x:v>
      </x:c>
      <x:c r="AH812" s="55" t="n">
        <x:v>295</x:v>
      </x:c>
      <x:c r="AI812" s="55" t="n">
        <x:v>9640</x:v>
      </x:c>
      <x:c r="AJ812" s="55" t="n">
        <x:v>447</x:v>
      </x:c>
      <x:c r="AK812" s="55" t="n">
        <x:v>735</x:v>
      </x:c>
      <x:c r="AL812" s="55" t="n">
        <x:v>1209</x:v>
      </x:c>
      <x:c r="AM812" s="55" t="n">
        <x:v>5067</x:v>
      </x:c>
      <x:c r="AN812" s="55" t="n">
        <x:v>2452</x:v>
      </x:c>
      <x:c r="AO812" s="55" t="n">
        <x:v>25</x:v>
      </x:c>
      <x:c r="AP812" s="55" t="n">
        <x:v>2167</x:v>
      </x:c>
      <x:c r="AQ812" s="55" t="n">
        <x:v>992</x:v>
      </x:c>
    </x:row>
    <x:row r="813">
      <x:c r="A813" s="54" t="str">
        <x:v>T2_CONCORDANT_DOMAIN</x:v>
      </x:c>
      <x:c r="B813" s="54" t="n">
        <x:v>807</x:v>
      </x:c>
      <x:c r="C813" s="54" t="str">
        <x:v>NYC-V2-R01</x:v>
      </x:c>
      <x:c r="D813" s="54" t="str">
        <x:v>V2</x:v>
      </x:c>
      <x:c r="E813" s="54" t="str">
        <x:v>ADMITTED</x:v>
      </x:c>
      <x:c r="F813" s="55" t="n">
        <x:v>29853</x:v>
      </x:c>
      <x:c r="G813" s="55" t="n">
        <x:v>7705</x:v>
      </x:c>
      <x:c r="H813" s="55" t="n">
        <x:v>3510</x:v>
      </x:c>
      <x:c r="I813" s="55" t="n">
        <x:v>1199</x:v>
      </x:c>
      <x:c r="J813" s="55" t="n">
        <x:v>210</x:v>
      </x:c>
      <x:c r="K813" s="55" t="n">
        <x:v>29846</x:v>
      </x:c>
      <x:c r="L813" s="55" t="n">
        <x:v>4385</x:v>
      </x:c>
      <x:c r="M813" s="55" t="n">
        <x:v>515</x:v>
      </x:c>
      <x:c r="N813" s="55" t="n">
        <x:v>2223</x:v>
      </x:c>
      <x:c r="O813" s="55" t="n">
        <x:v>1647</x:v>
      </x:c>
      <x:c r="P813" s="55" t="n">
        <x:v>849</x:v>
      </x:c>
      <x:c r="Q813" s="55" t="n">
        <x:v>2534</x:v>
      </x:c>
      <x:c r="R813" s="55" t="n">
        <x:v>2059</x:v>
      </x:c>
      <x:c r="S813" s="55" t="n">
        <x:v>2858</x:v>
      </x:c>
      <x:c r="T813" s="55" t="n">
        <x:v>734</x:v>
      </x:c>
      <x:c r="U813" s="55" t="n">
        <x:v>2231</x:v>
      </x:c>
      <x:c r="V813" s="55" t="n">
        <x:v>10967</x:v>
      </x:c>
      <x:c r="W813" s="55" t="n">
        <x:v>7713</x:v>
      </x:c>
      <x:c r="X813" s="55" t="n">
        <x:v>3254</x:v>
      </x:c>
      <x:c r="Y813" s="55" t="n">
        <x:v>2783</x:v>
      </x:c>
      <x:c r="Z813" s="55" t="n">
        <x:v>4270</x:v>
      </x:c>
      <x:c r="AA813" s="55" t="n">
        <x:v>3404</x:v>
      </x:c>
      <x:c r="AB813" s="55" t="n">
        <x:v>1300</x:v>
      </x:c>
      <x:c r="AC813" s="55" t="n">
        <x:v>8023</x:v>
      </x:c>
      <x:c r="AD813" s="55" t="n">
        <x:v>2744</x:v>
      </x:c>
      <x:c r="AE813" s="55" t="n">
        <x:v>11067</x:v>
      </x:c>
      <x:c r="AF813" s="55" t="n">
        <x:v>10967</x:v>
      </x:c>
      <x:c r="AG813" s="55" t="n">
        <x:v>100</x:v>
      </x:c>
      <x:c r="AH813" s="55" t="n">
        <x:v>576</x:v>
      </x:c>
      <x:c r="AI813" s="55" t="n">
        <x:v>10391</x:v>
      </x:c>
      <x:c r="AJ813" s="55" t="n">
        <x:v>376</x:v>
      </x:c>
      <x:c r="AK813" s="55" t="n">
        <x:v>1026</x:v>
      </x:c>
      <x:c r="AL813" s="55" t="n">
        <x:v>1907</x:v>
      </x:c>
      <x:c r="AM813" s="55" t="n">
        <x:v>5298</x:v>
      </x:c>
      <x:c r="AN813" s="55" t="n">
        <x:v>2269</x:v>
      </x:c>
      <x:c r="AO813" s="55" t="n">
        <x:v>91</x:v>
      </x:c>
      <x:c r="AP813" s="55" t="n">
        <x:v>2330</x:v>
      </x:c>
      <x:c r="AQ813" s="55" t="n">
        <x:v>975</x:v>
      </x:c>
    </x:row>
    <x:row r="814">
      <x:c r="A814" s="54" t="str">
        <x:v>T2_CONCORDANT_DOMAIN</x:v>
      </x:c>
      <x:c r="B814" s="54" t="n">
        <x:v>808</x:v>
      </x:c>
      <x:c r="C814" s="54" t="str">
        <x:v>NYC-V2-R01</x:v>
      </x:c>
      <x:c r="D814" s="54" t="str">
        <x:v>V2</x:v>
      </x:c>
      <x:c r="E814" s="54" t="str">
        <x:v>ADMITTED</x:v>
      </x:c>
      <x:c r="F814" s="55" t="n">
        <x:v>29149</x:v>
      </x:c>
      <x:c r="G814" s="55" t="n">
        <x:v>6122</x:v>
      </x:c>
      <x:c r="H814" s="55" t="n">
        <x:v>3477</x:v>
      </x:c>
      <x:c r="I814" s="55" t="n">
        <x:v>1549</x:v>
      </x:c>
      <x:c r="J814" s="55" t="n">
        <x:v>296</x:v>
      </x:c>
      <x:c r="K814" s="55" t="n">
        <x:v>29149</x:v>
      </x:c>
      <x:c r="L814" s="55" t="n">
        <x:v>4039</x:v>
      </x:c>
      <x:c r="M814" s="55" t="n">
        <x:v>88</x:v>
      </x:c>
      <x:c r="N814" s="55" t="n">
        <x:v>2323</x:v>
      </x:c>
      <x:c r="O814" s="55" t="n">
        <x:v>1628</x:v>
      </x:c>
      <x:c r="P814" s="55" t="n">
        <x:v>516</x:v>
      </x:c>
      <x:c r="Q814" s="55" t="n">
        <x:v>2227</x:v>
      </x:c>
      <x:c r="R814" s="55" t="n">
        <x:v>1262</x:v>
      </x:c>
      <x:c r="S814" s="55" t="n">
        <x:v>2577</x:v>
      </x:c>
      <x:c r="T814" s="55" t="n">
        <x:v>1303</x:v>
      </x:c>
      <x:c r="U814" s="55" t="n">
        <x:v>1980</x:v>
      </x:c>
      <x:c r="V814" s="55" t="n">
        <x:v>10361</x:v>
      </x:c>
      <x:c r="W814" s="55" t="n">
        <x:v>7053</x:v>
      </x:c>
      <x:c r="X814" s="55" t="n">
        <x:v>3308</x:v>
      </x:c>
      <x:c r="Y814" s="55" t="n">
        <x:v>2844</x:v>
      </x:c>
      <x:c r="Z814" s="55" t="n">
        <x:v>3750</x:v>
      </x:c>
      <x:c r="AA814" s="55" t="n">
        <x:v>3285</x:v>
      </x:c>
      <x:c r="AB814" s="55" t="n">
        <x:v>1220</x:v>
      </x:c>
      <x:c r="AC814" s="55" t="n">
        <x:v>7917</x:v>
      </x:c>
      <x:c r="AD814" s="55" t="n">
        <x:v>2840</x:v>
      </x:c>
      <x:c r="AE814" s="55" t="n">
        <x:v>10459</x:v>
      </x:c>
      <x:c r="AF814" s="55" t="n">
        <x:v>10361</x:v>
      </x:c>
      <x:c r="AG814" s="55" t="n">
        <x:v>98</x:v>
      </x:c>
      <x:c r="AH814" s="55" t="n">
        <x:v>605</x:v>
      </x:c>
      <x:c r="AI814" s="55" t="n">
        <x:v>9756</x:v>
      </x:c>
      <x:c r="AJ814" s="55" t="n">
        <x:v>312</x:v>
      </x:c>
      <x:c r="AK814" s="55" t="n">
        <x:v>808</x:v>
      </x:c>
      <x:c r="AL814" s="55" t="n">
        <x:v>1760</x:v>
      </x:c>
      <x:c r="AM814" s="55" t="n">
        <x:v>4702</x:v>
      </x:c>
      <x:c r="AN814" s="55" t="n">
        <x:v>2764</x:v>
      </x:c>
      <x:c r="AO814" s="55" t="n">
        <x:v>15</x:v>
      </x:c>
      <x:c r="AP814" s="55" t="n">
        <x:v>2753</x:v>
      </x:c>
      <x:c r="AQ814" s="55" t="n">
        <x:v>982</x:v>
      </x:c>
    </x:row>
    <x:row r="815">
      <x:c r="A815" s="54" t="str">
        <x:v>T2_CONCORDANT_DOMAIN</x:v>
      </x:c>
      <x:c r="B815" s="54" t="n">
        <x:v>809</x:v>
      </x:c>
      <x:c r="C815" s="54" t="str">
        <x:v>NYC-V2-R01</x:v>
      </x:c>
      <x:c r="D815" s="54" t="str">
        <x:v>V2</x:v>
      </x:c>
      <x:c r="E815" s="54" t="str">
        <x:v>ADMITTED</x:v>
      </x:c>
      <x:c r="F815" s="55" t="n">
        <x:v>32199</x:v>
      </x:c>
      <x:c r="G815" s="55" t="n">
        <x:v>7647</x:v>
      </x:c>
      <x:c r="H815" s="55" t="n">
        <x:v>3245</x:v>
      </x:c>
      <x:c r="I815" s="55" t="n">
        <x:v>1286</x:v>
      </x:c>
      <x:c r="J815" s="55" t="n">
        <x:v>69</x:v>
      </x:c>
      <x:c r="K815" s="55" t="n">
        <x:v>32199</x:v>
      </x:c>
      <x:c r="L815" s="55" t="n">
        <x:v>6464</x:v>
      </x:c>
      <x:c r="M815" s="55" t="n">
        <x:v>2118</x:v>
      </x:c>
      <x:c r="N815" s="55" t="n">
        <x:v>2662</x:v>
      </x:c>
      <x:c r="O815" s="55" t="n">
        <x:v>1684</x:v>
      </x:c>
      <x:c r="P815" s="55" t="n">
        <x:v>644</x:v>
      </x:c>
      <x:c r="Q815" s="55" t="n">
        <x:v>2741</x:v>
      </x:c>
      <x:c r="R815" s="55" t="n">
        <x:v>1862</x:v>
      </x:c>
      <x:c r="S815" s="55" t="n">
        <x:v>2943</x:v>
      </x:c>
      <x:c r="T815" s="55" t="n">
        <x:v>1271</x:v>
      </x:c>
      <x:c r="U815" s="55" t="n">
        <x:v>2219</x:v>
      </x:c>
      <x:c r="V815" s="55" t="n">
        <x:v>10678</x:v>
      </x:c>
      <x:c r="W815" s="55" t="n">
        <x:v>7273</x:v>
      </x:c>
      <x:c r="X815" s="55" t="n">
        <x:v>3405</x:v>
      </x:c>
      <x:c r="Y815" s="55" t="n">
        <x:v>2897</x:v>
      </x:c>
      <x:c r="Z815" s="55" t="n">
        <x:v>4201</x:v>
      </x:c>
      <x:c r="AA815" s="55" t="n">
        <x:v>3245</x:v>
      </x:c>
      <x:c r="AB815" s="55" t="n">
        <x:v>1272</x:v>
      </x:c>
      <x:c r="AC815" s="55" t="n">
        <x:v>7680</x:v>
      </x:c>
      <x:c r="AD815" s="55" t="n">
        <x:v>3043</x:v>
      </x:c>
      <x:c r="AE815" s="55" t="n">
        <x:v>10734</x:v>
      </x:c>
      <x:c r="AF815" s="55" t="n">
        <x:v>10678</x:v>
      </x:c>
      <x:c r="AG815" s="55" t="n">
        <x:v>56</x:v>
      </x:c>
      <x:c r="AH815" s="55" t="n">
        <x:v>517</x:v>
      </x:c>
      <x:c r="AI815" s="55" t="n">
        <x:v>10161</x:v>
      </x:c>
      <x:c r="AJ815" s="55" t="n">
        <x:v>253</x:v>
      </x:c>
      <x:c r="AK815" s="55" t="n">
        <x:v>812</x:v>
      </x:c>
      <x:c r="AL815" s="55" t="n">
        <x:v>1527</x:v>
      </x:c>
      <x:c r="AM815" s="55" t="n">
        <x:v>5306</x:v>
      </x:c>
      <x:c r="AN815" s="55" t="n">
        <x:v>2689</x:v>
      </x:c>
      <x:c r="AO815" s="55" t="n">
        <x:v>91</x:v>
      </x:c>
      <x:c r="AP815" s="55" t="n">
        <x:v>2435</x:v>
      </x:c>
      <x:c r="AQ815" s="55" t="n">
        <x:v>970</x:v>
      </x:c>
    </x:row>
    <x:row r="816">
      <x:c r="A816" s="54" t="str">
        <x:v>T2_CONCORDANT_DOMAIN</x:v>
      </x:c>
      <x:c r="B816" s="54" t="n">
        <x:v>810</x:v>
      </x:c>
      <x:c r="C816" s="54" t="str">
        <x:v>NYC-V2-R01</x:v>
      </x:c>
      <x:c r="D816" s="54" t="str">
        <x:v>V2</x:v>
      </x:c>
      <x:c r="E816" s="54" t="str">
        <x:v>ADMITTED</x:v>
      </x:c>
      <x:c r="F816" s="55" t="n">
        <x:v>32460</x:v>
      </x:c>
      <x:c r="G816" s="55" t="n">
        <x:v>7691</x:v>
      </x:c>
      <x:c r="H816" s="55" t="n">
        <x:v>3800</x:v>
      </x:c>
      <x:c r="I816" s="55" t="n">
        <x:v>1802</x:v>
      </x:c>
      <x:c r="J816" s="55" t="n">
        <x:v>411</x:v>
      </x:c>
      <x:c r="K816" s="55" t="n">
        <x:v>32460</x:v>
      </x:c>
      <x:c r="L816" s="55" t="n">
        <x:v>7396</x:v>
      </x:c>
      <x:c r="M816" s="55" t="n">
        <x:v>2111</x:v>
      </x:c>
      <x:c r="N816" s="55" t="n">
        <x:v>3333</x:v>
      </x:c>
      <x:c r="O816" s="55" t="n">
        <x:v>1952</x:v>
      </x:c>
      <x:c r="P816" s="55" t="n">
        <x:v>1046</x:v>
      </x:c>
      <x:c r="Q816" s="55" t="n">
        <x:v>2513</x:v>
      </x:c>
      <x:c r="R816" s="55" t="n">
        <x:v>2010</x:v>
      </x:c>
      <x:c r="S816" s="55" t="n">
        <x:v>3316</x:v>
      </x:c>
      <x:c r="T816" s="55" t="n">
        <x:v>1250</x:v>
      </x:c>
      <x:c r="U816" s="55" t="n">
        <x:v>2134</x:v>
      </x:c>
      <x:c r="V816" s="55" t="n">
        <x:v>10586</x:v>
      </x:c>
      <x:c r="W816" s="55" t="n">
        <x:v>7529</x:v>
      </x:c>
      <x:c r="X816" s="55" t="n">
        <x:v>3057</x:v>
      </x:c>
      <x:c r="Y816" s="55" t="n">
        <x:v>2609</x:v>
      </x:c>
      <x:c r="Z816" s="55" t="n">
        <x:v>3831</x:v>
      </x:c>
      <x:c r="AA816" s="55" t="n">
        <x:v>3310</x:v>
      </x:c>
      <x:c r="AB816" s="55" t="n">
        <x:v>1019</x:v>
      </x:c>
      <x:c r="AC816" s="55" t="n">
        <x:v>7957</x:v>
      </x:c>
      <x:c r="AD816" s="55" t="n">
        <x:v>2582</x:v>
      </x:c>
      <x:c r="AE816" s="55" t="n">
        <x:v>10694</x:v>
      </x:c>
      <x:c r="AF816" s="55" t="n">
        <x:v>10586</x:v>
      </x:c>
      <x:c r="AG816" s="55" t="n">
        <x:v>108</x:v>
      </x:c>
      <x:c r="AH816" s="55" t="n">
        <x:v>499</x:v>
      </x:c>
      <x:c r="AI816" s="55" t="n">
        <x:v>10087</x:v>
      </x:c>
      <x:c r="AJ816" s="55" t="n">
        <x:v>449</x:v>
      </x:c>
      <x:c r="AK816" s="55" t="n">
        <x:v>934</x:v>
      </x:c>
      <x:c r="AL816" s="55" t="n">
        <x:v>1733</x:v>
      </x:c>
      <x:c r="AM816" s="55" t="n">
        <x:v>4937</x:v>
      </x:c>
      <x:c r="AN816" s="55" t="n">
        <x:v>2463</x:v>
      </x:c>
      <x:c r="AO816" s="55" t="n">
        <x:v>70</x:v>
      </x:c>
      <x:c r="AP816" s="55" t="n">
        <x:v>2344</x:v>
      </x:c>
      <x:c r="AQ816" s="55" t="n">
        <x:v>986</x:v>
      </x:c>
    </x:row>
    <x:row r="817">
      <x:c r="A817" s="54" t="str">
        <x:v>T2_CONCORDANT_DOMAIN</x:v>
      </x:c>
      <x:c r="B817" s="54" t="n">
        <x:v>811</x:v>
      </x:c>
      <x:c r="C817" s="54" t="str">
        <x:v>NYC-V2-R01</x:v>
      </x:c>
      <x:c r="D817" s="54" t="str">
        <x:v>V2</x:v>
      </x:c>
      <x:c r="E817" s="54" t="str">
        <x:v>ADMITTED</x:v>
      </x:c>
      <x:c r="F817" s="55" t="n">
        <x:v>31670</x:v>
      </x:c>
      <x:c r="G817" s="55" t="n">
        <x:v>8653</x:v>
      </x:c>
      <x:c r="H817" s="55" t="n">
        <x:v>3505</x:v>
      </x:c>
      <x:c r="I817" s="55" t="n">
        <x:v>1581</x:v>
      </x:c>
      <x:c r="J817" s="55" t="n">
        <x:v>301</x:v>
      </x:c>
      <x:c r="K817" s="55" t="n">
        <x:v>31401</x:v>
      </x:c>
      <x:c r="L817" s="55" t="n">
        <x:v>5433</x:v>
      </x:c>
      <x:c r="M817" s="55" t="n">
        <x:v>1476</x:v>
      </x:c>
      <x:c r="N817" s="55" t="n">
        <x:v>2318</x:v>
      </x:c>
      <x:c r="O817" s="55" t="n">
        <x:v>1639</x:v>
      </x:c>
      <x:c r="P817" s="55" t="n">
        <x:v>545</x:v>
      </x:c>
      <x:c r="Q817" s="55" t="n">
        <x:v>2595</x:v>
      </x:c>
      <x:c r="R817" s="55" t="n">
        <x:v>1582</x:v>
      </x:c>
      <x:c r="S817" s="55" t="n">
        <x:v>2903</x:v>
      </x:c>
      <x:c r="T817" s="55" t="n">
        <x:v>1275</x:v>
      </x:c>
      <x:c r="U817" s="55" t="n">
        <x:v>1564</x:v>
      </x:c>
      <x:c r="V817" s="55" t="n">
        <x:v>10214</x:v>
      </x:c>
      <x:c r="W817" s="55" t="n">
        <x:v>7321</x:v>
      </x:c>
      <x:c r="X817" s="55" t="n">
        <x:v>2893</x:v>
      </x:c>
      <x:c r="Y817" s="55" t="n">
        <x:v>2554</x:v>
      </x:c>
      <x:c r="Z817" s="55" t="n">
        <x:v>3458</x:v>
      </x:c>
      <x:c r="AA817" s="55" t="n">
        <x:v>2794</x:v>
      </x:c>
      <x:c r="AB817" s="55" t="n">
        <x:v>1042</x:v>
      </x:c>
      <x:c r="AC817" s="55" t="n">
        <x:v>7939</x:v>
      </x:c>
      <x:c r="AD817" s="55" t="n">
        <x:v>2524</x:v>
      </x:c>
      <x:c r="AE817" s="55" t="n">
        <x:v>10335</x:v>
      </x:c>
      <x:c r="AF817" s="55" t="n">
        <x:v>10214</x:v>
      </x:c>
      <x:c r="AG817" s="55" t="n">
        <x:v>121</x:v>
      </x:c>
      <x:c r="AH817" s="55" t="n">
        <x:v>486</x:v>
      </x:c>
      <x:c r="AI817" s="55" t="n">
        <x:v>9728</x:v>
      </x:c>
      <x:c r="AJ817" s="55" t="n">
        <x:v>308</x:v>
      </x:c>
      <x:c r="AK817" s="55" t="n">
        <x:v>981</x:v>
      </x:c>
      <x:c r="AL817" s="55" t="n">
        <x:v>1266</x:v>
      </x:c>
      <x:c r="AM817" s="55" t="n">
        <x:v>5155</x:v>
      </x:c>
      <x:c r="AN817" s="55" t="n">
        <x:v>2444</x:v>
      </x:c>
      <x:c r="AO817" s="55" t="n">
        <x:v>60</x:v>
      </x:c>
      <x:c r="AP817" s="55" t="n">
        <x:v>2720</x:v>
      </x:c>
      <x:c r="AQ817" s="55" t="n">
        <x:v>955</x:v>
      </x:c>
    </x:row>
    <x:row r="818">
      <x:c r="A818" s="54" t="str">
        <x:v>T2_CONCORDANT_DOMAIN</x:v>
      </x:c>
      <x:c r="B818" s="54" t="n">
        <x:v>812</x:v>
      </x:c>
      <x:c r="C818" s="54" t="str">
        <x:v>NYC-V2-R01</x:v>
      </x:c>
      <x:c r="D818" s="54" t="str">
        <x:v>V2</x:v>
      </x:c>
      <x:c r="E818" s="54" t="str">
        <x:v>ADMITTED</x:v>
      </x:c>
      <x:c r="F818" s="55" t="n">
        <x:v>32143</x:v>
      </x:c>
      <x:c r="G818" s="55" t="n">
        <x:v>8343</x:v>
      </x:c>
      <x:c r="H818" s="55" t="n">
        <x:v>3098</x:v>
      </x:c>
      <x:c r="I818" s="55" t="n">
        <x:v>870</x:v>
      </x:c>
      <x:c r="J818" s="55" t="n">
        <x:v>162</x:v>
      </x:c>
      <x:c r="K818" s="55" t="n">
        <x:v>32143</x:v>
      </x:c>
      <x:c r="L818" s="55" t="n">
        <x:v>6345</x:v>
      </x:c>
      <x:c r="M818" s="55" t="n">
        <x:v>1378</x:v>
      </x:c>
      <x:c r="N818" s="55" t="n">
        <x:v>3064</x:v>
      </x:c>
      <x:c r="O818" s="55" t="n">
        <x:v>1903</x:v>
      </x:c>
      <x:c r="P818" s="55" t="n">
        <x:v>916</x:v>
      </x:c>
      <x:c r="Q818" s="55" t="n">
        <x:v>3033</x:v>
      </x:c>
      <x:c r="R818" s="55" t="n">
        <x:v>1712</x:v>
      </x:c>
      <x:c r="S818" s="55" t="n">
        <x:v>2924</x:v>
      </x:c>
      <x:c r="T818" s="55" t="n">
        <x:v>1466</x:v>
      </x:c>
      <x:c r="U818" s="55" t="n">
        <x:v>1737</x:v>
      </x:c>
      <x:c r="V818" s="55" t="n">
        <x:v>9602</x:v>
      </x:c>
      <x:c r="W818" s="55" t="n">
        <x:v>6230</x:v>
      </x:c>
      <x:c r="X818" s="55" t="n">
        <x:v>3372</x:v>
      </x:c>
      <x:c r="Y818" s="55" t="n">
        <x:v>2994</x:v>
      </x:c>
      <x:c r="Z818" s="55" t="n">
        <x:v>3556</x:v>
      </x:c>
      <x:c r="AA818" s="55" t="n">
        <x:v>2954</x:v>
      </x:c>
      <x:c r="AB818" s="55" t="n">
        <x:v>1065</x:v>
      </x:c>
      <x:c r="AC818" s="55" t="n">
        <x:v>8277</x:v>
      </x:c>
      <x:c r="AD818" s="55" t="n">
        <x:v>3436</x:v>
      </x:c>
      <x:c r="AE818" s="55" t="n">
        <x:v>9736</x:v>
      </x:c>
      <x:c r="AF818" s="55" t="n">
        <x:v>9602</x:v>
      </x:c>
      <x:c r="AG818" s="55" t="n">
        <x:v>134</x:v>
      </x:c>
      <x:c r="AH818" s="55" t="n">
        <x:v>187</x:v>
      </x:c>
      <x:c r="AI818" s="55" t="n">
        <x:v>9415</x:v>
      </x:c>
      <x:c r="AJ818" s="55" t="n">
        <x:v>164</x:v>
      </x:c>
      <x:c r="AK818" s="55" t="n">
        <x:v>883</x:v>
      </x:c>
      <x:c r="AL818" s="55" t="n">
        <x:v>1206</x:v>
      </x:c>
      <x:c r="AM818" s="55" t="n">
        <x:v>4929</x:v>
      </x:c>
      <x:c r="AN818" s="55" t="n">
        <x:v>2420</x:v>
      </x:c>
      <x:c r="AO818" s="55" t="n">
        <x:v>0</x:v>
      </x:c>
      <x:c r="AP818" s="55" t="n">
        <x:v>2382</x:v>
      </x:c>
      <x:c r="AQ818" s="55" t="n">
        <x:v>941</x:v>
      </x:c>
    </x:row>
    <x:row r="819">
      <x:c r="A819" s="54" t="str">
        <x:v>T2_CONCORDANT_DOMAIN</x:v>
      </x:c>
      <x:c r="B819" s="54" t="n">
        <x:v>813</x:v>
      </x:c>
      <x:c r="C819" s="54" t="str">
        <x:v>NYC-V2-R01</x:v>
      </x:c>
      <x:c r="D819" s="54" t="str">
        <x:v>V2</x:v>
      </x:c>
      <x:c r="E819" s="54" t="str">
        <x:v>ADMITTED</x:v>
      </x:c>
      <x:c r="F819" s="55" t="n">
        <x:v>33484</x:v>
      </x:c>
      <x:c r="G819" s="55" t="n">
        <x:v>9394</x:v>
      </x:c>
      <x:c r="H819" s="55" t="n">
        <x:v>3048</x:v>
      </x:c>
      <x:c r="I819" s="55" t="n">
        <x:v>1011</x:v>
      </x:c>
      <x:c r="J819" s="55" t="n">
        <x:v>60</x:v>
      </x:c>
      <x:c r="K819" s="55" t="n">
        <x:v>33484</x:v>
      </x:c>
      <x:c r="L819" s="55" t="n">
        <x:v>7333</x:v>
      </x:c>
      <x:c r="M819" s="55" t="n">
        <x:v>2360</x:v>
      </x:c>
      <x:c r="N819" s="55" t="n">
        <x:v>2771</x:v>
      </x:c>
      <x:c r="O819" s="55" t="n">
        <x:v>2202</x:v>
      </x:c>
      <x:c r="P819" s="55" t="n">
        <x:v>989</x:v>
      </x:c>
      <x:c r="Q819" s="55" t="n">
        <x:v>2642</x:v>
      </x:c>
      <x:c r="R819" s="55" t="n">
        <x:v>2557</x:v>
      </x:c>
      <x:c r="S819" s="55" t="n">
        <x:v>4096</x:v>
      </x:c>
      <x:c r="T819" s="55" t="n">
        <x:v>1411</x:v>
      </x:c>
      <x:c r="U819" s="55" t="n">
        <x:v>1834</x:v>
      </x:c>
      <x:c r="V819" s="55" t="n">
        <x:v>9590</x:v>
      </x:c>
      <x:c r="W819" s="55" t="n">
        <x:v>6624</x:v>
      </x:c>
      <x:c r="X819" s="55" t="n">
        <x:v>2966</x:v>
      </x:c>
      <x:c r="Y819" s="55" t="n">
        <x:v>2639</x:v>
      </x:c>
      <x:c r="Z819" s="55" t="n">
        <x:v>3651</x:v>
      </x:c>
      <x:c r="AA819" s="55" t="n">
        <x:v>3048</x:v>
      </x:c>
      <x:c r="AB819" s="55" t="n">
        <x:v>1003</x:v>
      </x:c>
      <x:c r="AC819" s="55" t="n">
        <x:v>7618</x:v>
      </x:c>
      <x:c r="AD819" s="55" t="n">
        <x:v>3076</x:v>
      </x:c>
      <x:c r="AE819" s="55" t="n">
        <x:v>9667</x:v>
      </x:c>
      <x:c r="AF819" s="55" t="n">
        <x:v>9590</x:v>
      </x:c>
      <x:c r="AG819" s="55" t="n">
        <x:v>77</x:v>
      </x:c>
      <x:c r="AH819" s="55" t="n">
        <x:v>361</x:v>
      </x:c>
      <x:c r="AI819" s="55" t="n">
        <x:v>9229</x:v>
      </x:c>
      <x:c r="AJ819" s="55" t="n">
        <x:v>451</x:v>
      </x:c>
      <x:c r="AK819" s="55" t="n">
        <x:v>761</x:v>
      </x:c>
      <x:c r="AL819" s="55" t="n">
        <x:v>1553</x:v>
      </x:c>
      <x:c r="AM819" s="55" t="n">
        <x:v>4802</x:v>
      </x:c>
      <x:c r="AN819" s="55" t="n">
        <x:v>1980</x:v>
      </x:c>
      <x:c r="AO819" s="55" t="n">
        <x:v>43</x:v>
      </x:c>
      <x:c r="AP819" s="55" t="n">
        <x:v>2321</x:v>
      </x:c>
      <x:c r="AQ819" s="55" t="n">
        <x:v>995</x:v>
      </x:c>
    </x:row>
    <x:row r="820">
      <x:c r="A820" s="54" t="str">
        <x:v>T2_CONCORDANT_DOMAIN</x:v>
      </x:c>
      <x:c r="B820" s="54" t="n">
        <x:v>814</x:v>
      </x:c>
      <x:c r="C820" s="54" t="str">
        <x:v>NYC-V2-R01</x:v>
      </x:c>
      <x:c r="D820" s="54" t="str">
        <x:v>V2</x:v>
      </x:c>
      <x:c r="E820" s="54" t="str">
        <x:v>ADMITTED</x:v>
      </x:c>
      <x:c r="F820" s="55" t="n">
        <x:v>31326</x:v>
      </x:c>
      <x:c r="G820" s="55" t="n">
        <x:v>7785</x:v>
      </x:c>
      <x:c r="H820" s="55" t="n">
        <x:v>2769</x:v>
      </x:c>
      <x:c r="I820" s="55" t="n">
        <x:v>1114</x:v>
      </x:c>
      <x:c r="J820" s="55" t="n">
        <x:v>108</x:v>
      </x:c>
      <x:c r="K820" s="55" t="n">
        <x:v>31326</x:v>
      </x:c>
      <x:c r="L820" s="55" t="n">
        <x:v>6455</x:v>
      </x:c>
      <x:c r="M820" s="55" t="n">
        <x:v>1788</x:v>
      </x:c>
      <x:c r="N820" s="55" t="n">
        <x:v>3153</x:v>
      </x:c>
      <x:c r="O820" s="55" t="n">
        <x:v>1514</x:v>
      </x:c>
      <x:c r="P820" s="55" t="n">
        <x:v>885</x:v>
      </x:c>
      <x:c r="Q820" s="55" t="n">
        <x:v>2471</x:v>
      </x:c>
      <x:c r="R820" s="55" t="n">
        <x:v>2357</x:v>
      </x:c>
      <x:c r="S820" s="55" t="n">
        <x:v>2737</x:v>
      </x:c>
      <x:c r="T820" s="55" t="n">
        <x:v>1508</x:v>
      </x:c>
      <x:c r="U820" s="55" t="n">
        <x:v>2206</x:v>
      </x:c>
      <x:c r="V820" s="55" t="n">
        <x:v>10824</x:v>
      </x:c>
      <x:c r="W820" s="55" t="n">
        <x:v>8475</x:v>
      </x:c>
      <x:c r="X820" s="55" t="n">
        <x:v>2349</x:v>
      </x:c>
      <x:c r="Y820" s="55" t="n">
        <x:v>1857</x:v>
      </x:c>
      <x:c r="Z820" s="55" t="n">
        <x:v>3629</x:v>
      </x:c>
      <x:c r="AA820" s="55" t="n">
        <x:v>2660</x:v>
      </x:c>
      <x:c r="AB820" s="55" t="n">
        <x:v>924</x:v>
      </x:c>
      <x:c r="AC820" s="55" t="n">
        <x:v>7217</x:v>
      </x:c>
      <x:c r="AD820" s="55" t="n">
        <x:v>3394</x:v>
      </x:c>
      <x:c r="AE820" s="55" t="n">
        <x:v>10900</x:v>
      </x:c>
      <x:c r="AF820" s="55" t="n">
        <x:v>10824</x:v>
      </x:c>
      <x:c r="AG820" s="55" t="n">
        <x:v>76</x:v>
      </x:c>
      <x:c r="AH820" s="55" t="n">
        <x:v>418</x:v>
      </x:c>
      <x:c r="AI820" s="55" t="n">
        <x:v>10406</x:v>
      </x:c>
      <x:c r="AJ820" s="55" t="n">
        <x:v>337</x:v>
      </x:c>
      <x:c r="AK820" s="55" t="n">
        <x:v>1083</x:v>
      </x:c>
      <x:c r="AL820" s="55" t="n">
        <x:v>1732</x:v>
      </x:c>
      <x:c r="AM820" s="55" t="n">
        <x:v>5060</x:v>
      </x:c>
      <x:c r="AN820" s="55" t="n">
        <x:v>2605</x:v>
      </x:c>
      <x:c r="AO820" s="55" t="n">
        <x:v>7</x:v>
      </x:c>
      <x:c r="AP820" s="55" t="n">
        <x:v>2716</x:v>
      </x:c>
      <x:c r="AQ820" s="55" t="n">
        <x:v>957</x:v>
      </x:c>
    </x:row>
    <x:row r="821">
      <x:c r="A821" s="54" t="str">
        <x:v>T2_CONCORDANT_DOMAIN</x:v>
      </x:c>
      <x:c r="B821" s="54" t="n">
        <x:v>815</x:v>
      </x:c>
      <x:c r="C821" s="54" t="str">
        <x:v>NYC-V2-R01</x:v>
      </x:c>
      <x:c r="D821" s="54" t="str">
        <x:v>V2</x:v>
      </x:c>
      <x:c r="E821" s="54" t="str">
        <x:v>ADMITTED</x:v>
      </x:c>
      <x:c r="F821" s="55" t="n">
        <x:v>32195</x:v>
      </x:c>
      <x:c r="G821" s="55" t="n">
        <x:v>6852</x:v>
      </x:c>
      <x:c r="H821" s="55" t="n">
        <x:v>3256</x:v>
      </x:c>
      <x:c r="I821" s="55" t="n">
        <x:v>1164</x:v>
      </x:c>
      <x:c r="J821" s="55" t="n">
        <x:v>137</x:v>
      </x:c>
      <x:c r="K821" s="55" t="n">
        <x:v>32195</x:v>
      </x:c>
      <x:c r="L821" s="55" t="n">
        <x:v>5940</x:v>
      </x:c>
      <x:c r="M821" s="55" t="n">
        <x:v>1133</x:v>
      </x:c>
      <x:c r="N821" s="55" t="n">
        <x:v>3258</x:v>
      </x:c>
      <x:c r="O821" s="55" t="n">
        <x:v>1549</x:v>
      </x:c>
      <x:c r="P821" s="55" t="n">
        <x:v>927</x:v>
      </x:c>
      <x:c r="Q821" s="55" t="n">
        <x:v>1740</x:v>
      </x:c>
      <x:c r="R821" s="55" t="n">
        <x:v>2038</x:v>
      </x:c>
      <x:c r="S821" s="55" t="n">
        <x:v>2884</x:v>
      </x:c>
      <x:c r="T821" s="55" t="n">
        <x:v>1407</x:v>
      </x:c>
      <x:c r="U821" s="55" t="n">
        <x:v>1927</x:v>
      </x:c>
      <x:c r="V821" s="55" t="n">
        <x:v>9645</x:v>
      </x:c>
      <x:c r="W821" s="55" t="n">
        <x:v>7070</x:v>
      </x:c>
      <x:c r="X821" s="55" t="n">
        <x:v>2575</x:v>
      </x:c>
      <x:c r="Y821" s="55" t="n">
        <x:v>2313</x:v>
      </x:c>
      <x:c r="Z821" s="55" t="n">
        <x:v>3712</x:v>
      </x:c>
      <x:c r="AA821" s="55" t="n">
        <x:v>3256</x:v>
      </x:c>
      <x:c r="AB821" s="55" t="n">
        <x:v>1453</x:v>
      </x:c>
      <x:c r="AC821" s="55" t="n">
        <x:v>8410</x:v>
      </x:c>
      <x:c r="AD821" s="55" t="n">
        <x:v>2849</x:v>
      </x:c>
      <x:c r="AE821" s="55" t="n">
        <x:v>9706</x:v>
      </x:c>
      <x:c r="AF821" s="55" t="n">
        <x:v>9645</x:v>
      </x:c>
      <x:c r="AG821" s="55" t="n">
        <x:v>61</x:v>
      </x:c>
      <x:c r="AH821" s="55" t="n">
        <x:v>123</x:v>
      </x:c>
      <x:c r="AI821" s="55" t="n">
        <x:v>9522</x:v>
      </x:c>
      <x:c r="AJ821" s="55" t="n">
        <x:v>283</x:v>
      </x:c>
      <x:c r="AK821" s="55" t="n">
        <x:v>760</x:v>
      </x:c>
      <x:c r="AL821" s="55" t="n">
        <x:v>805</x:v>
      </x:c>
      <x:c r="AM821" s="55" t="n">
        <x:v>4466</x:v>
      </x:c>
      <x:c r="AN821" s="55" t="n">
        <x:v>3331</x:v>
      </x:c>
      <x:c r="AO821" s="55" t="n">
        <x:v>0</x:v>
      </x:c>
      <x:c r="AP821" s="55" t="n">
        <x:v>1860</x:v>
      </x:c>
      <x:c r="AQ821" s="55" t="n">
        <x:v>928</x:v>
      </x:c>
    </x:row>
    <x:row r="822">
      <x:c r="A822" s="54" t="str">
        <x:v>T2_CONCORDANT_DOMAIN</x:v>
      </x:c>
      <x:c r="B822" s="54" t="n">
        <x:v>816</x:v>
      </x:c>
      <x:c r="C822" s="54" t="str">
        <x:v>NYC-V2-R01</x:v>
      </x:c>
      <x:c r="D822" s="54" t="str">
        <x:v>V2</x:v>
      </x:c>
      <x:c r="E822" s="54" t="str">
        <x:v>ADMITTED</x:v>
      </x:c>
      <x:c r="F822" s="55" t="n">
        <x:v>31321</x:v>
      </x:c>
      <x:c r="G822" s="55" t="n">
        <x:v>7931</x:v>
      </x:c>
      <x:c r="H822" s="55" t="n">
        <x:v>3652</x:v>
      </x:c>
      <x:c r="I822" s="55" t="n">
        <x:v>1428</x:v>
      </x:c>
      <x:c r="J822" s="55" t="n">
        <x:v>355</x:v>
      </x:c>
      <x:c r="K822" s="55" t="n">
        <x:v>31262</x:v>
      </x:c>
      <x:c r="L822" s="55" t="n">
        <x:v>6726</x:v>
      </x:c>
      <x:c r="M822" s="55" t="n">
        <x:v>1165</x:v>
      </x:c>
      <x:c r="N822" s="55" t="n">
        <x:v>3426</x:v>
      </x:c>
      <x:c r="O822" s="55" t="n">
        <x:v>2135</x:v>
      </x:c>
      <x:c r="P822" s="55" t="n">
        <x:v>978</x:v>
      </x:c>
      <x:c r="Q822" s="55" t="n">
        <x:v>2980</x:v>
      </x:c>
      <x:c r="R822" s="55" t="n">
        <x:v>2183</x:v>
      </x:c>
      <x:c r="S822" s="55" t="n">
        <x:v>3127</x:v>
      </x:c>
      <x:c r="T822" s="55" t="n">
        <x:v>1467</x:v>
      </x:c>
      <x:c r="U822" s="55" t="n">
        <x:v>2119</x:v>
      </x:c>
      <x:c r="V822" s="55" t="n">
        <x:v>10597</x:v>
      </x:c>
      <x:c r="W822" s="55" t="n">
        <x:v>7688</x:v>
      </x:c>
      <x:c r="X822" s="55" t="n">
        <x:v>2909</x:v>
      </x:c>
      <x:c r="Y822" s="55" t="n">
        <x:v>2567</x:v>
      </x:c>
      <x:c r="Z822" s="55" t="n">
        <x:v>3642</x:v>
      </x:c>
      <x:c r="AA822" s="55" t="n">
        <x:v>2664</x:v>
      </x:c>
      <x:c r="AB822" s="55" t="n">
        <x:v>831</x:v>
      </x:c>
      <x:c r="AC822" s="55" t="n">
        <x:v>7927</x:v>
      </x:c>
      <x:c r="AD822" s="55" t="n">
        <x:v>3209</x:v>
      </x:c>
      <x:c r="AE822" s="55" t="n">
        <x:v>10704</x:v>
      </x:c>
      <x:c r="AF822" s="55" t="n">
        <x:v>10597</x:v>
      </x:c>
      <x:c r="AG822" s="55" t="n">
        <x:v>107</x:v>
      </x:c>
      <x:c r="AH822" s="55" t="n">
        <x:v>355</x:v>
      </x:c>
      <x:c r="AI822" s="55" t="n">
        <x:v>10242</x:v>
      </x:c>
      <x:c r="AJ822" s="55" t="n">
        <x:v>218</x:v>
      </x:c>
      <x:c r="AK822" s="55" t="n">
        <x:v>875</x:v>
      </x:c>
      <x:c r="AL822" s="55" t="n">
        <x:v>1399</x:v>
      </x:c>
      <x:c r="AM822" s="55" t="n">
        <x:v>4772</x:v>
      </x:c>
      <x:c r="AN822" s="55" t="n">
        <x:v>3293</x:v>
      </x:c>
      <x:c r="AO822" s="55" t="n">
        <x:v>40</x:v>
      </x:c>
      <x:c r="AP822" s="55" t="n">
        <x:v>2261</x:v>
      </x:c>
      <x:c r="AQ822" s="55" t="n">
        <x:v>923</x:v>
      </x:c>
    </x:row>
    <x:row r="823">
      <x:c r="A823" s="54" t="str">
        <x:v>T2_CONCORDANT_DOMAIN</x:v>
      </x:c>
      <x:c r="B823" s="54" t="n">
        <x:v>817</x:v>
      </x:c>
      <x:c r="C823" s="54" t="str">
        <x:v>NYC-V2-R01</x:v>
      </x:c>
      <x:c r="D823" s="54" t="str">
        <x:v>V2</x:v>
      </x:c>
      <x:c r="E823" s="54" t="str">
        <x:v>ADMITTED</x:v>
      </x:c>
      <x:c r="F823" s="55" t="n">
        <x:v>30857</x:v>
      </x:c>
      <x:c r="G823" s="55" t="n">
        <x:v>7652</x:v>
      </x:c>
      <x:c r="H823" s="55" t="n">
        <x:v>2408</x:v>
      </x:c>
      <x:c r="I823" s="55" t="n">
        <x:v>803</x:v>
      </x:c>
      <x:c r="J823" s="55" t="n">
        <x:v>0</x:v>
      </x:c>
      <x:c r="K823" s="55" t="n">
        <x:v>30857</x:v>
      </x:c>
      <x:c r="L823" s="55" t="n">
        <x:v>4736</x:v>
      </x:c>
      <x:c r="M823" s="55" t="n">
        <x:v>589</x:v>
      </x:c>
      <x:c r="N823" s="55" t="n">
        <x:v>2308</x:v>
      </x:c>
      <x:c r="O823" s="55" t="n">
        <x:v>1839</x:v>
      </x:c>
      <x:c r="P823" s="55" t="n">
        <x:v>570</x:v>
      </x:c>
      <x:c r="Q823" s="55" t="n">
        <x:v>2027</x:v>
      </x:c>
      <x:c r="R823" s="55" t="n">
        <x:v>1592</x:v>
      </x:c>
      <x:c r="S823" s="55" t="n">
        <x:v>2941</x:v>
      </x:c>
      <x:c r="T823" s="55" t="n">
        <x:v>1383</x:v>
      </x:c>
      <x:c r="U823" s="55" t="n">
        <x:v>1784</x:v>
      </x:c>
      <x:c r="V823" s="55" t="n">
        <x:v>10011</x:v>
      </x:c>
      <x:c r="W823" s="55" t="n">
        <x:v>7220</x:v>
      </x:c>
      <x:c r="X823" s="55" t="n">
        <x:v>2791</x:v>
      </x:c>
      <x:c r="Y823" s="55" t="n">
        <x:v>2405</x:v>
      </x:c>
      <x:c r="Z823" s="55" t="n">
        <x:v>3176</x:v>
      </x:c>
      <x:c r="AA823" s="55" t="n">
        <x:v>2408</x:v>
      </x:c>
      <x:c r="AB823" s="55" t="n">
        <x:v>649</x:v>
      </x:c>
      <x:c r="AC823" s="55" t="n">
        <x:v>7608</x:v>
      </x:c>
      <x:c r="AD823" s="55" t="n">
        <x:v>2883</x:v>
      </x:c>
      <x:c r="AE823" s="55" t="n">
        <x:v>10020</x:v>
      </x:c>
      <x:c r="AF823" s="55" t="n">
        <x:v>10011</x:v>
      </x:c>
      <x:c r="AG823" s="55" t="n">
        <x:v>9</x:v>
      </x:c>
      <x:c r="AH823" s="55" t="n">
        <x:v>420</x:v>
      </x:c>
      <x:c r="AI823" s="55" t="n">
        <x:v>9591</x:v>
      </x:c>
      <x:c r="AJ823" s="55" t="n">
        <x:v>387</x:v>
      </x:c>
      <x:c r="AK823" s="55" t="n">
        <x:v>1056</x:v>
      </x:c>
      <x:c r="AL823" s="55" t="n">
        <x:v>1301</x:v>
      </x:c>
      <x:c r="AM823" s="55" t="n">
        <x:v>4835</x:v>
      </x:c>
      <x:c r="AN823" s="55" t="n">
        <x:v>2431</x:v>
      </x:c>
      <x:c r="AO823" s="55" t="n">
        <x:v>1</x:v>
      </x:c>
      <x:c r="AP823" s="55" t="n">
        <x:v>2443</x:v>
      </x:c>
      <x:c r="AQ823" s="55" t="n">
        <x:v>964</x:v>
      </x:c>
    </x:row>
    <x:row r="824">
      <x:c r="A824" s="54" t="str">
        <x:v>T2_CONCORDANT_DOMAIN</x:v>
      </x:c>
      <x:c r="B824" s="54" t="n">
        <x:v>818</x:v>
      </x:c>
      <x:c r="C824" s="54" t="str">
        <x:v>NYC-V2-R01</x:v>
      </x:c>
      <x:c r="D824" s="54" t="str">
        <x:v>V2</x:v>
      </x:c>
      <x:c r="E824" s="54" t="str">
        <x:v>ADMITTED</x:v>
      </x:c>
      <x:c r="F824" s="55" t="n">
        <x:v>32439</x:v>
      </x:c>
      <x:c r="G824" s="55" t="n">
        <x:v>6850</x:v>
      </x:c>
      <x:c r="H824" s="55" t="n">
        <x:v>3799</x:v>
      </x:c>
      <x:c r="I824" s="55" t="n">
        <x:v>1258</x:v>
      </x:c>
      <x:c r="J824" s="55" t="n">
        <x:v>321</x:v>
      </x:c>
      <x:c r="K824" s="55" t="n">
        <x:v>32439</x:v>
      </x:c>
      <x:c r="L824" s="55" t="n">
        <x:v>7234</x:v>
      </x:c>
      <x:c r="M824" s="55" t="n">
        <x:v>1892</x:v>
      </x:c>
      <x:c r="N824" s="55" t="n">
        <x:v>3446</x:v>
      </x:c>
      <x:c r="O824" s="55" t="n">
        <x:v>1896</x:v>
      </x:c>
      <x:c r="P824" s="55" t="n">
        <x:v>751</x:v>
      </x:c>
      <x:c r="Q824" s="55" t="n">
        <x:v>3048</x:v>
      </x:c>
      <x:c r="R824" s="55" t="n">
        <x:v>2311</x:v>
      </x:c>
      <x:c r="S824" s="55" t="n">
        <x:v>2964</x:v>
      </x:c>
      <x:c r="T824" s="55" t="n">
        <x:v>1314</x:v>
      </x:c>
      <x:c r="U824" s="55" t="n">
        <x:v>2551</x:v>
      </x:c>
      <x:c r="V824" s="55" t="n">
        <x:v>10911</x:v>
      </x:c>
      <x:c r="W824" s="55" t="n">
        <x:v>7637</x:v>
      </x:c>
      <x:c r="X824" s="55" t="n">
        <x:v>3274</x:v>
      </x:c>
      <x:c r="Y824" s="55" t="n">
        <x:v>2997</x:v>
      </x:c>
      <x:c r="Z824" s="55" t="n">
        <x:v>4164</x:v>
      </x:c>
      <x:c r="AA824" s="55" t="n">
        <x:v>3799</x:v>
      </x:c>
      <x:c r="AB824" s="55" t="n">
        <x:v>1291</x:v>
      </x:c>
      <x:c r="AC824" s="55" t="n">
        <x:v>8453</x:v>
      </x:c>
      <x:c r="AD824" s="55" t="n">
        <x:v>2971</x:v>
      </x:c>
      <x:c r="AE824" s="55" t="n">
        <x:v>11073</x:v>
      </x:c>
      <x:c r="AF824" s="55" t="n">
        <x:v>10911</x:v>
      </x:c>
      <x:c r="AG824" s="55" t="n">
        <x:v>162</x:v>
      </x:c>
      <x:c r="AH824" s="55" t="n">
        <x:v>623</x:v>
      </x:c>
      <x:c r="AI824" s="55" t="n">
        <x:v>10288</x:v>
      </x:c>
      <x:c r="AJ824" s="55" t="n">
        <x:v>342</x:v>
      </x:c>
      <x:c r="AK824" s="55" t="n">
        <x:v>1166</x:v>
      </x:c>
      <x:c r="AL824" s="55" t="n">
        <x:v>2131</x:v>
      </x:c>
      <x:c r="AM824" s="55" t="n">
        <x:v>4947</x:v>
      </x:c>
      <x:c r="AN824" s="55" t="n">
        <x:v>2223</x:v>
      </x:c>
      <x:c r="AO824" s="55" t="n">
        <x:v>102</x:v>
      </x:c>
      <x:c r="AP824" s="55" t="n">
        <x:v>2545</x:v>
      </x:c>
      <x:c r="AQ824" s="55" t="n">
        <x:v>960</x:v>
      </x:c>
    </x:row>
    <x:row r="825">
      <x:c r="A825" s="54" t="str">
        <x:v>T2_CONCORDANT_DOMAIN</x:v>
      </x:c>
      <x:c r="B825" s="54" t="n">
        <x:v>819</x:v>
      </x:c>
      <x:c r="C825" s="54" t="str">
        <x:v>NYC-V2-R01</x:v>
      </x:c>
      <x:c r="D825" s="54" t="str">
        <x:v>V2</x:v>
      </x:c>
      <x:c r="E825" s="54" t="str">
        <x:v>ADMITTED</x:v>
      </x:c>
      <x:c r="F825" s="55" t="n">
        <x:v>29472</x:v>
      </x:c>
      <x:c r="G825" s="55" t="n">
        <x:v>7056</x:v>
      </x:c>
      <x:c r="H825" s="55" t="n">
        <x:v>2423</x:v>
      </x:c>
      <x:c r="I825" s="55" t="n">
        <x:v>861</x:v>
      </x:c>
      <x:c r="J825" s="55" t="n">
        <x:v>0</x:v>
      </x:c>
      <x:c r="K825" s="55" t="n">
        <x:v>29472</x:v>
      </x:c>
      <x:c r="L825" s="55" t="n">
        <x:v>3663</x:v>
      </x:c>
      <x:c r="M825" s="55" t="n">
        <x:v>502</x:v>
      </x:c>
      <x:c r="N825" s="55" t="n">
        <x:v>1773</x:v>
      </x:c>
      <x:c r="O825" s="55" t="n">
        <x:v>1388</x:v>
      </x:c>
      <x:c r="P825" s="55" t="n">
        <x:v>389</x:v>
      </x:c>
      <x:c r="Q825" s="55" t="n">
        <x:v>2081</x:v>
      </x:c>
      <x:c r="R825" s="55" t="n">
        <x:v>1078</x:v>
      </x:c>
      <x:c r="S825" s="55" t="n">
        <x:v>1951</x:v>
      </x:c>
      <x:c r="T825" s="55" t="n">
        <x:v>741</x:v>
      </x:c>
      <x:c r="U825" s="55" t="n">
        <x:v>1673</x:v>
      </x:c>
      <x:c r="V825" s="55" t="n">
        <x:v>10086</x:v>
      </x:c>
      <x:c r="W825" s="55" t="n">
        <x:v>7353</x:v>
      </x:c>
      <x:c r="X825" s="55" t="n">
        <x:v>2733</x:v>
      </x:c>
      <x:c r="Y825" s="55" t="n">
        <x:v>2376</x:v>
      </x:c>
      <x:c r="Z825" s="55" t="n">
        <x:v>2944</x:v>
      </x:c>
      <x:c r="AA825" s="55" t="n">
        <x:v>2369</x:v>
      </x:c>
      <x:c r="AB825" s="55" t="n">
        <x:v>580</x:v>
      </x:c>
      <x:c r="AC825" s="55" t="n">
        <x:v>7178</x:v>
      </x:c>
      <x:c r="AD825" s="55" t="n">
        <x:v>2015</x:v>
      </x:c>
      <x:c r="AE825" s="55" t="n">
        <x:v>10086</x:v>
      </x:c>
      <x:c r="AF825" s="55" t="n">
        <x:v>10086</x:v>
      </x:c>
      <x:c r="AG825" s="55" t="n">
        <x:v>0</x:v>
      </x:c>
      <x:c r="AH825" s="55" t="n">
        <x:v>459</x:v>
      </x:c>
      <x:c r="AI825" s="55" t="n">
        <x:v>9627</x:v>
      </x:c>
      <x:c r="AJ825" s="55" t="n">
        <x:v>306</x:v>
      </x:c>
      <x:c r="AK825" s="55" t="n">
        <x:v>1021</x:v>
      </x:c>
      <x:c r="AL825" s="55" t="n">
        <x:v>1360</x:v>
      </x:c>
      <x:c r="AM825" s="55" t="n">
        <x:v>4996</x:v>
      </x:c>
      <x:c r="AN825" s="55" t="n">
        <x:v>2403</x:v>
      </x:c>
      <x:c r="AO825" s="55" t="n">
        <x:v>0</x:v>
      </x:c>
      <x:c r="AP825" s="55" t="n">
        <x:v>2079</x:v>
      </x:c>
      <x:c r="AQ825" s="55" t="n">
        <x:v>898</x:v>
      </x:c>
    </x:row>
    <x:row r="826">
      <x:c r="A826" s="54" t="str">
        <x:v>T2_CONCORDANT_DOMAIN</x:v>
      </x:c>
      <x:c r="B826" s="54" t="n">
        <x:v>820</x:v>
      </x:c>
      <x:c r="C826" s="54" t="str">
        <x:v>NYC-V2-R01</x:v>
      </x:c>
      <x:c r="D826" s="54" t="str">
        <x:v>V2</x:v>
      </x:c>
      <x:c r="E826" s="54" t="str">
        <x:v>ADMITTED</x:v>
      </x:c>
      <x:c r="F826" s="55" t="n">
        <x:v>30889</x:v>
      </x:c>
      <x:c r="G826" s="55" t="n">
        <x:v>8269</x:v>
      </x:c>
      <x:c r="H826" s="55" t="n">
        <x:v>3582</x:v>
      </x:c>
      <x:c r="I826" s="55" t="n">
        <x:v>1392</x:v>
      </x:c>
      <x:c r="J826" s="55" t="n">
        <x:v>64</x:v>
      </x:c>
      <x:c r="K826" s="55" t="n">
        <x:v>30389</x:v>
      </x:c>
      <x:c r="L826" s="55" t="n">
        <x:v>6482</x:v>
      </x:c>
      <x:c r="M826" s="55" t="n">
        <x:v>1751</x:v>
      </x:c>
      <x:c r="N826" s="55" t="n">
        <x:v>3012</x:v>
      </x:c>
      <x:c r="O826" s="55" t="n">
        <x:v>1719</x:v>
      </x:c>
      <x:c r="P826" s="55" t="n">
        <x:v>786</x:v>
      </x:c>
      <x:c r="Q826" s="55" t="n">
        <x:v>2561</x:v>
      </x:c>
      <x:c r="R826" s="55" t="n">
        <x:v>1806</x:v>
      </x:c>
      <x:c r="S826" s="55" t="n">
        <x:v>3294</x:v>
      </x:c>
      <x:c r="T826" s="55" t="n">
        <x:v>1142</x:v>
      </x:c>
      <x:c r="U826" s="55" t="n">
        <x:v>1768</x:v>
      </x:c>
      <x:c r="V826" s="55" t="n">
        <x:v>10634</x:v>
      </x:c>
      <x:c r="W826" s="55" t="n">
        <x:v>7613</x:v>
      </x:c>
      <x:c r="X826" s="55" t="n">
        <x:v>3021</x:v>
      </x:c>
      <x:c r="Y826" s="55" t="n">
        <x:v>2802</x:v>
      </x:c>
      <x:c r="Z826" s="55" t="n">
        <x:v>4439</x:v>
      </x:c>
      <x:c r="AA826" s="55" t="n">
        <x:v>3582</x:v>
      </x:c>
      <x:c r="AB826" s="55" t="n">
        <x:v>1424</x:v>
      </x:c>
      <x:c r="AC826" s="55" t="n">
        <x:v>8280</x:v>
      </x:c>
      <x:c r="AD826" s="55" t="n">
        <x:v>3290</x:v>
      </x:c>
      <x:c r="AE826" s="55" t="n">
        <x:v>10836</x:v>
      </x:c>
      <x:c r="AF826" s="55" t="n">
        <x:v>10634</x:v>
      </x:c>
      <x:c r="AG826" s="55" t="n">
        <x:v>202</x:v>
      </x:c>
      <x:c r="AH826" s="55" t="n">
        <x:v>417</x:v>
      </x:c>
      <x:c r="AI826" s="55" t="n">
        <x:v>10217</x:v>
      </x:c>
      <x:c r="AJ826" s="55" t="n">
        <x:v>493</x:v>
      </x:c>
      <x:c r="AK826" s="55" t="n">
        <x:v>1035</x:v>
      </x:c>
      <x:c r="AL826" s="55" t="n">
        <x:v>1549</x:v>
      </x:c>
      <x:c r="AM826" s="55" t="n">
        <x:v>4703</x:v>
      </x:c>
      <x:c r="AN826" s="55" t="n">
        <x:v>2822</x:v>
      </x:c>
      <x:c r="AO826" s="55" t="n">
        <x:v>32</x:v>
      </x:c>
      <x:c r="AP826" s="55" t="n">
        <x:v>2458</x:v>
      </x:c>
      <x:c r="AQ826" s="55" t="n">
        <x:v>983</x:v>
      </x:c>
    </x:row>
    <x:row r="827">
      <x:c r="A827" s="54" t="str">
        <x:v>T2_CONCORDANT_DOMAIN</x:v>
      </x:c>
      <x:c r="B827" s="54" t="n">
        <x:v>821</x:v>
      </x:c>
      <x:c r="C827" s="54" t="str">
        <x:v>NYC-V2-R01</x:v>
      </x:c>
      <x:c r="D827" s="54" t="str">
        <x:v>V2</x:v>
      </x:c>
      <x:c r="E827" s="54" t="str">
        <x:v>ADMITTED</x:v>
      </x:c>
      <x:c r="F827" s="55" t="n">
        <x:v>30995</x:v>
      </x:c>
      <x:c r="G827" s="55" t="n">
        <x:v>7937</x:v>
      </x:c>
      <x:c r="H827" s="55" t="n">
        <x:v>3190</x:v>
      </x:c>
      <x:c r="I827" s="55" t="n">
        <x:v>1151</x:v>
      </x:c>
      <x:c r="J827" s="55" t="n">
        <x:v>67</x:v>
      </x:c>
      <x:c r="K827" s="55" t="n">
        <x:v>28004</x:v>
      </x:c>
      <x:c r="L827" s="55" t="n">
        <x:v>4169</x:v>
      </x:c>
      <x:c r="M827" s="55" t="n">
        <x:v>0</x:v>
      </x:c>
      <x:c r="N827" s="55" t="n">
        <x:v>2500</x:v>
      </x:c>
      <x:c r="O827" s="55" t="n">
        <x:v>1669</x:v>
      </x:c>
      <x:c r="P827" s="55" t="n">
        <x:v>482</x:v>
      </x:c>
      <x:c r="Q827" s="55" t="n">
        <x:v>2182</x:v>
      </x:c>
      <x:c r="R827" s="55" t="n">
        <x:v>2061</x:v>
      </x:c>
      <x:c r="S827" s="55" t="n">
        <x:v>2471</x:v>
      </x:c>
      <x:c r="T827" s="55" t="n">
        <x:v>960</x:v>
      </x:c>
      <x:c r="U827" s="55" t="n">
        <x:v>2359</x:v>
      </x:c>
      <x:c r="V827" s="55" t="n">
        <x:v>9813</x:v>
      </x:c>
      <x:c r="W827" s="55" t="n">
        <x:v>6782</x:v>
      </x:c>
      <x:c r="X827" s="55" t="n">
        <x:v>3031</x:v>
      </x:c>
      <x:c r="Y827" s="55" t="n">
        <x:v>2664</x:v>
      </x:c>
      <x:c r="Z827" s="55" t="n">
        <x:v>3688</x:v>
      </x:c>
      <x:c r="AA827" s="55" t="n">
        <x:v>2998</x:v>
      </x:c>
      <x:c r="AB827" s="55" t="n">
        <x:v>892</x:v>
      </x:c>
      <x:c r="AC827" s="55" t="n">
        <x:v>7811</x:v>
      </x:c>
      <x:c r="AD827" s="55" t="n">
        <x:v>2490</x:v>
      </x:c>
      <x:c r="AE827" s="55" t="n">
        <x:v>9866</x:v>
      </x:c>
      <x:c r="AF827" s="55" t="n">
        <x:v>9813</x:v>
      </x:c>
      <x:c r="AG827" s="55" t="n">
        <x:v>53</x:v>
      </x:c>
      <x:c r="AH827" s="55" t="n">
        <x:v>274</x:v>
      </x:c>
      <x:c r="AI827" s="55" t="n">
        <x:v>9539</x:v>
      </x:c>
      <x:c r="AJ827" s="55" t="n">
        <x:v>292</x:v>
      </x:c>
      <x:c r="AK827" s="55" t="n">
        <x:v>911</x:v>
      </x:c>
      <x:c r="AL827" s="55" t="n">
        <x:v>1182</x:v>
      </x:c>
      <x:c r="AM827" s="55" t="n">
        <x:v>4965</x:v>
      </x:c>
      <x:c r="AN827" s="55" t="n">
        <x:v>2463</x:v>
      </x:c>
      <x:c r="AO827" s="55" t="n">
        <x:v>0</x:v>
      </x:c>
      <x:c r="AP827" s="55" t="n">
        <x:v>1930</x:v>
      </x:c>
      <x:c r="AQ827" s="55" t="n">
        <x:v>987</x:v>
      </x:c>
    </x:row>
    <x:row r="828">
      <x:c r="A828" s="54" t="str">
        <x:v>T2_CONCORDANT_DOMAIN</x:v>
      </x:c>
      <x:c r="B828" s="54" t="n">
        <x:v>822</x:v>
      </x:c>
      <x:c r="C828" s="54" t="str">
        <x:v>NYC-V2-R01</x:v>
      </x:c>
      <x:c r="D828" s="54" t="str">
        <x:v>V2</x:v>
      </x:c>
      <x:c r="E828" s="54" t="str">
        <x:v>ADMITTED</x:v>
      </x:c>
      <x:c r="F828" s="55" t="n">
        <x:v>33001</x:v>
      </x:c>
      <x:c r="G828" s="55" t="n">
        <x:v>9178</x:v>
      </x:c>
      <x:c r="H828" s="55" t="n">
        <x:v>3527</x:v>
      </x:c>
      <x:c r="I828" s="55" t="n">
        <x:v>1625</x:v>
      </x:c>
      <x:c r="J828" s="55" t="n">
        <x:v>452</x:v>
      </x:c>
      <x:c r="K828" s="55" t="n">
        <x:v>31614</x:v>
      </x:c>
      <x:c r="L828" s="55" t="n">
        <x:v>6973</x:v>
      </x:c>
      <x:c r="M828" s="55" t="n">
        <x:v>2080</x:v>
      </x:c>
      <x:c r="N828" s="55" t="n">
        <x:v>2776</x:v>
      </x:c>
      <x:c r="O828" s="55" t="n">
        <x:v>2117</x:v>
      </x:c>
      <x:c r="P828" s="55" t="n">
        <x:v>1006</x:v>
      </x:c>
      <x:c r="Q828" s="55" t="n">
        <x:v>2638</x:v>
      </x:c>
      <x:c r="R828" s="55" t="n">
        <x:v>1750</x:v>
      </x:c>
      <x:c r="S828" s="55" t="n">
        <x:v>3506</x:v>
      </x:c>
      <x:c r="T828" s="55" t="n">
        <x:v>1407</x:v>
      </x:c>
      <x:c r="U828" s="55" t="n">
        <x:v>2451</x:v>
      </x:c>
      <x:c r="V828" s="55" t="n">
        <x:v>11195</x:v>
      </x:c>
      <x:c r="W828" s="55" t="n">
        <x:v>7801</x:v>
      </x:c>
      <x:c r="X828" s="55" t="n">
        <x:v>3394</x:v>
      </x:c>
      <x:c r="Y828" s="55" t="n">
        <x:v>2964</x:v>
      </x:c>
      <x:c r="Z828" s="55" t="n">
        <x:v>4196</x:v>
      </x:c>
      <x:c r="AA828" s="55" t="n">
        <x:v>3527</x:v>
      </x:c>
      <x:c r="AB828" s="55" t="n">
        <x:v>1432</x:v>
      </x:c>
      <x:c r="AC828" s="55" t="n">
        <x:v>8706</x:v>
      </x:c>
      <x:c r="AD828" s="55" t="n">
        <x:v>3561</x:v>
      </x:c>
      <x:c r="AE828" s="55" t="n">
        <x:v>11367</x:v>
      </x:c>
      <x:c r="AF828" s="55" t="n">
        <x:v>11195</x:v>
      </x:c>
      <x:c r="AG828" s="55" t="n">
        <x:v>172</x:v>
      </x:c>
      <x:c r="AH828" s="55" t="n">
        <x:v>696</x:v>
      </x:c>
      <x:c r="AI828" s="55" t="n">
        <x:v>10499</x:v>
      </x:c>
      <x:c r="AJ828" s="55" t="n">
        <x:v>434</x:v>
      </x:c>
      <x:c r="AK828" s="55" t="n">
        <x:v>1422</x:v>
      </x:c>
      <x:c r="AL828" s="55" t="n">
        <x:v>1791</x:v>
      </x:c>
      <x:c r="AM828" s="55" t="n">
        <x:v>4708</x:v>
      </x:c>
      <x:c r="AN828" s="55" t="n">
        <x:v>2830</x:v>
      </x:c>
      <x:c r="AO828" s="55" t="n">
        <x:v>10</x:v>
      </x:c>
      <x:c r="AP828" s="55" t="n">
        <x:v>2390</x:v>
      </x:c>
      <x:c r="AQ828" s="55" t="n">
        <x:v>998</x:v>
      </x:c>
    </x:row>
    <x:row r="829">
      <x:c r="A829" s="54" t="str">
        <x:v>T2_CONCORDANT_DOMAIN</x:v>
      </x:c>
      <x:c r="B829" s="54" t="n">
        <x:v>823</x:v>
      </x:c>
      <x:c r="C829" s="54" t="str">
        <x:v>NYC-V2-R01</x:v>
      </x:c>
      <x:c r="D829" s="54" t="str">
        <x:v>V2</x:v>
      </x:c>
      <x:c r="E829" s="54" t="str">
        <x:v>ADMITTED</x:v>
      </x:c>
      <x:c r="F829" s="55" t="n">
        <x:v>32924</x:v>
      </x:c>
      <x:c r="G829" s="55" t="n">
        <x:v>8463</x:v>
      </x:c>
      <x:c r="H829" s="55" t="n">
        <x:v>3583</x:v>
      </x:c>
      <x:c r="I829" s="55" t="n">
        <x:v>1544</x:v>
      </x:c>
      <x:c r="J829" s="55" t="n">
        <x:v>353</x:v>
      </x:c>
      <x:c r="K829" s="55" t="n">
        <x:v>32875</x:v>
      </x:c>
      <x:c r="L829" s="55" t="n">
        <x:v>6921</x:v>
      </x:c>
      <x:c r="M829" s="55" t="n">
        <x:v>2145</x:v>
      </x:c>
      <x:c r="N829" s="55" t="n">
        <x:v>3127</x:v>
      </x:c>
      <x:c r="O829" s="55" t="n">
        <x:v>1649</x:v>
      </x:c>
      <x:c r="P829" s="55" t="n">
        <x:v>952</x:v>
      </x:c>
      <x:c r="Q829" s="55" t="n">
        <x:v>1963</x:v>
      </x:c>
      <x:c r="R829" s="55" t="n">
        <x:v>2255</x:v>
      </x:c>
      <x:c r="S829" s="55" t="n">
        <x:v>2694</x:v>
      </x:c>
      <x:c r="T829" s="55" t="n">
        <x:v>1431</x:v>
      </x:c>
      <x:c r="U829" s="55" t="n">
        <x:v>2353</x:v>
      </x:c>
      <x:c r="V829" s="55" t="n">
        <x:v>10053</x:v>
      </x:c>
      <x:c r="W829" s="55" t="n">
        <x:v>7109</x:v>
      </x:c>
      <x:c r="X829" s="55" t="n">
        <x:v>2944</x:v>
      </x:c>
      <x:c r="Y829" s="55" t="n">
        <x:v>2437</x:v>
      </x:c>
      <x:c r="Z829" s="55" t="n">
        <x:v>3452</x:v>
      </x:c>
      <x:c r="AA829" s="55" t="n">
        <x:v>2554</x:v>
      </x:c>
      <x:c r="AB829" s="55" t="n">
        <x:v>650</x:v>
      </x:c>
      <x:c r="AC829" s="55" t="n">
        <x:v>8151</x:v>
      </x:c>
      <x:c r="AD829" s="55" t="n">
        <x:v>3265</x:v>
      </x:c>
      <x:c r="AE829" s="55" t="n">
        <x:v>10128</x:v>
      </x:c>
      <x:c r="AF829" s="55" t="n">
        <x:v>10053</x:v>
      </x:c>
      <x:c r="AG829" s="55" t="n">
        <x:v>75</x:v>
      </x:c>
      <x:c r="AH829" s="55" t="n">
        <x:v>243</x:v>
      </x:c>
      <x:c r="AI829" s="55" t="n">
        <x:v>9810</x:v>
      </x:c>
      <x:c r="AJ829" s="55" t="n">
        <x:v>379</x:v>
      </x:c>
      <x:c r="AK829" s="55" t="n">
        <x:v>881</x:v>
      </x:c>
      <x:c r="AL829" s="55" t="n">
        <x:v>1330</x:v>
      </x:c>
      <x:c r="AM829" s="55" t="n">
        <x:v>4784</x:v>
      </x:c>
      <x:c r="AN829" s="55" t="n">
        <x:v>2657</x:v>
      </x:c>
      <x:c r="AO829" s="55" t="n">
        <x:v>22</x:v>
      </x:c>
      <x:c r="AP829" s="55" t="n">
        <x:v>2080</x:v>
      </x:c>
      <x:c r="AQ829" s="55" t="n">
        <x:v>979</x:v>
      </x:c>
    </x:row>
    <x:row r="830">
      <x:c r="A830" s="54" t="str">
        <x:v>T2_CONCORDANT_DOMAIN</x:v>
      </x:c>
      <x:c r="B830" s="54" t="n">
        <x:v>824</x:v>
      </x:c>
      <x:c r="C830" s="54" t="str">
        <x:v>NYC-V2-R01</x:v>
      </x:c>
      <x:c r="D830" s="54" t="str">
        <x:v>V2</x:v>
      </x:c>
      <x:c r="E830" s="54" t="str">
        <x:v>ADMITTED</x:v>
      </x:c>
      <x:c r="F830" s="55" t="n">
        <x:v>31570</x:v>
      </x:c>
      <x:c r="G830" s="55" t="n">
        <x:v>7358</x:v>
      </x:c>
      <x:c r="H830" s="55" t="n">
        <x:v>3267</x:v>
      </x:c>
      <x:c r="I830" s="55" t="n">
        <x:v>1629</x:v>
      </x:c>
      <x:c r="J830" s="55" t="n">
        <x:v>278</x:v>
      </x:c>
      <x:c r="K830" s="55" t="n">
        <x:v>31570</x:v>
      </x:c>
      <x:c r="L830" s="55" t="n">
        <x:v>6118</x:v>
      </x:c>
      <x:c r="M830" s="55" t="n">
        <x:v>1934</x:v>
      </x:c>
      <x:c r="N830" s="55" t="n">
        <x:v>2637</x:v>
      </x:c>
      <x:c r="O830" s="55" t="n">
        <x:v>1547</x:v>
      </x:c>
      <x:c r="P830" s="55" t="n">
        <x:v>765</x:v>
      </x:c>
      <x:c r="Q830" s="55" t="n">
        <x:v>2927</x:v>
      </x:c>
      <x:c r="R830" s="55" t="n">
        <x:v>1695</x:v>
      </x:c>
      <x:c r="S830" s="55" t="n">
        <x:v>2493</x:v>
      </x:c>
      <x:c r="T830" s="55" t="n">
        <x:v>998</x:v>
      </x:c>
      <x:c r="U830" s="55" t="n">
        <x:v>1902</x:v>
      </x:c>
      <x:c r="V830" s="55" t="n">
        <x:v>10182</x:v>
      </x:c>
      <x:c r="W830" s="55" t="n">
        <x:v>7080</x:v>
      </x:c>
      <x:c r="X830" s="55" t="n">
        <x:v>3102</x:v>
      </x:c>
      <x:c r="Y830" s="55" t="n">
        <x:v>2644</x:v>
      </x:c>
      <x:c r="Z830" s="55" t="n">
        <x:v>3533</x:v>
      </x:c>
      <x:c r="AA830" s="55" t="n">
        <x:v>3128</x:v>
      </x:c>
      <x:c r="AB830" s="55" t="n">
        <x:v>983</x:v>
      </x:c>
      <x:c r="AC830" s="55" t="n">
        <x:v>7728</x:v>
      </x:c>
      <x:c r="AD830" s="55" t="n">
        <x:v>2329</x:v>
      </x:c>
      <x:c r="AE830" s="55" t="n">
        <x:v>10261</x:v>
      </x:c>
      <x:c r="AF830" s="55" t="n">
        <x:v>10182</x:v>
      </x:c>
      <x:c r="AG830" s="55" t="n">
        <x:v>79</x:v>
      </x:c>
      <x:c r="AH830" s="55" t="n">
        <x:v>284</x:v>
      </x:c>
      <x:c r="AI830" s="55" t="n">
        <x:v>9898</x:v>
      </x:c>
      <x:c r="AJ830" s="55" t="n">
        <x:v>319</x:v>
      </x:c>
      <x:c r="AK830" s="55" t="n">
        <x:v>865</x:v>
      </x:c>
      <x:c r="AL830" s="55" t="n">
        <x:v>1583</x:v>
      </x:c>
      <x:c r="AM830" s="55" t="n">
        <x:v>5027</x:v>
      </x:c>
      <x:c r="AN830" s="55" t="n">
        <x:v>2388</x:v>
      </x:c>
      <x:c r="AO830" s="55" t="n">
        <x:v>0</x:v>
      </x:c>
      <x:c r="AP830" s="55" t="n">
        <x:v>2103</x:v>
      </x:c>
      <x:c r="AQ830" s="55" t="n">
        <x:v>944</x:v>
      </x:c>
    </x:row>
    <x:row r="831">
      <x:c r="A831" s="54" t="str">
        <x:v>T2_CONCORDANT_DOMAIN</x:v>
      </x:c>
      <x:c r="B831" s="54" t="n">
        <x:v>825</x:v>
      </x:c>
      <x:c r="C831" s="54" t="str">
        <x:v>NYC-V2-R01</x:v>
      </x:c>
      <x:c r="D831" s="54" t="str">
        <x:v>V2</x:v>
      </x:c>
      <x:c r="E831" s="54" t="str">
        <x:v>ADMITTED</x:v>
      </x:c>
      <x:c r="F831" s="55" t="n">
        <x:v>28449</x:v>
      </x:c>
      <x:c r="G831" s="55" t="n">
        <x:v>6559</x:v>
      </x:c>
      <x:c r="H831" s="55" t="n">
        <x:v>3238</x:v>
      </x:c>
      <x:c r="I831" s="55" t="n">
        <x:v>1091</x:v>
      </x:c>
      <x:c r="J831" s="55" t="n">
        <x:v>245</x:v>
      </x:c>
      <x:c r="K831" s="55" t="n">
        <x:v>28449</x:v>
      </x:c>
      <x:c r="L831" s="55" t="n">
        <x:v>3896</x:v>
      </x:c>
      <x:c r="M831" s="55" t="n">
        <x:v>342</x:v>
      </x:c>
      <x:c r="N831" s="55" t="n">
        <x:v>2009</x:v>
      </x:c>
      <x:c r="O831" s="55" t="n">
        <x:v>1545</x:v>
      </x:c>
      <x:c r="P831" s="55" t="n">
        <x:v>566</x:v>
      </x:c>
      <x:c r="Q831" s="55" t="n">
        <x:v>1486</x:v>
      </x:c>
      <x:c r="R831" s="55" t="n">
        <x:v>1187</x:v>
      </x:c>
      <x:c r="S831" s="55" t="n">
        <x:v>1683</x:v>
      </x:c>
      <x:c r="T831" s="55" t="n">
        <x:v>1129</x:v>
      </x:c>
      <x:c r="U831" s="55" t="n">
        <x:v>1341</x:v>
      </x:c>
      <x:c r="V831" s="55" t="n">
        <x:v>9701</x:v>
      </x:c>
      <x:c r="W831" s="55" t="n">
        <x:v>6272</x:v>
      </x:c>
      <x:c r="X831" s="55" t="n">
        <x:v>3429</x:v>
      </x:c>
      <x:c r="Y831" s="55" t="n">
        <x:v>2800</x:v>
      </x:c>
      <x:c r="Z831" s="55" t="n">
        <x:v>3501</x:v>
      </x:c>
      <x:c r="AA831" s="55" t="n">
        <x:v>3176</x:v>
      </x:c>
      <x:c r="AB831" s="55" t="n">
        <x:v>1175</x:v>
      </x:c>
      <x:c r="AC831" s="55" t="n">
        <x:v>7915</x:v>
      </x:c>
      <x:c r="AD831" s="55" t="n">
        <x:v>2643</x:v>
      </x:c>
      <x:c r="AE831" s="55" t="n">
        <x:v>9785</x:v>
      </x:c>
      <x:c r="AF831" s="55" t="n">
        <x:v>9701</x:v>
      </x:c>
      <x:c r="AG831" s="55" t="n">
        <x:v>84</x:v>
      </x:c>
      <x:c r="AH831" s="55" t="n">
        <x:v>222</x:v>
      </x:c>
      <x:c r="AI831" s="55" t="n">
        <x:v>9479</x:v>
      </x:c>
      <x:c r="AJ831" s="55" t="n">
        <x:v>227</x:v>
      </x:c>
      <x:c r="AK831" s="55" t="n">
        <x:v>835</x:v>
      </x:c>
      <x:c r="AL831" s="55" t="n">
        <x:v>1399</x:v>
      </x:c>
      <x:c r="AM831" s="55" t="n">
        <x:v>4681</x:v>
      </x:c>
      <x:c r="AN831" s="55" t="n">
        <x:v>2559</x:v>
      </x:c>
      <x:c r="AO831" s="55" t="n">
        <x:v>0</x:v>
      </x:c>
      <x:c r="AP831" s="55" t="n">
        <x:v>2155</x:v>
      </x:c>
      <x:c r="AQ831" s="55" t="n">
        <x:v>919</x:v>
      </x:c>
    </x:row>
    <x:row r="832">
      <x:c r="A832" s="54" t="str">
        <x:v>T2_CONCORDANT_DOMAIN</x:v>
      </x:c>
      <x:c r="B832" s="54" t="n">
        <x:v>826</x:v>
      </x:c>
      <x:c r="C832" s="54" t="str">
        <x:v>NYC-V2-R01</x:v>
      </x:c>
      <x:c r="D832" s="54" t="str">
        <x:v>V2</x:v>
      </x:c>
      <x:c r="E832" s="54" t="str">
        <x:v>ADMITTED</x:v>
      </x:c>
      <x:c r="F832" s="55" t="n">
        <x:v>34849</x:v>
      </x:c>
      <x:c r="G832" s="55" t="n">
        <x:v>8708</x:v>
      </x:c>
      <x:c r="H832" s="55" t="n">
        <x:v>4103</x:v>
      </x:c>
      <x:c r="I832" s="55" t="n">
        <x:v>1794</x:v>
      </x:c>
      <x:c r="J832" s="55" t="n">
        <x:v>438</x:v>
      </x:c>
      <x:c r="K832" s="55" t="n">
        <x:v>31460</x:v>
      </x:c>
      <x:c r="L832" s="55" t="n">
        <x:v>6286</x:v>
      </x:c>
      <x:c r="M832" s="55" t="n">
        <x:v>1350</x:v>
      </x:c>
      <x:c r="N832" s="55" t="n">
        <x:v>2787</x:v>
      </x:c>
      <x:c r="O832" s="55" t="n">
        <x:v>2149</x:v>
      </x:c>
      <x:c r="P832" s="55" t="n">
        <x:v>854</x:v>
      </x:c>
      <x:c r="Q832" s="55" t="n">
        <x:v>2817</x:v>
      </x:c>
      <x:c r="R832" s="55" t="n">
        <x:v>2046</x:v>
      </x:c>
      <x:c r="S832" s="55" t="n">
        <x:v>3049</x:v>
      </x:c>
      <x:c r="T832" s="55" t="n">
        <x:v>1425</x:v>
      </x:c>
      <x:c r="U832" s="55" t="n">
        <x:v>2068</x:v>
      </x:c>
      <x:c r="V832" s="55" t="n">
        <x:v>10826</x:v>
      </x:c>
      <x:c r="W832" s="55" t="n">
        <x:v>7628</x:v>
      </x:c>
      <x:c r="X832" s="55" t="n">
        <x:v>3198</x:v>
      </x:c>
      <x:c r="Y832" s="55" t="n">
        <x:v>2654</x:v>
      </x:c>
      <x:c r="Z832" s="55" t="n">
        <x:v>3982</x:v>
      </x:c>
      <x:c r="AA832" s="55" t="n">
        <x:v>3343</x:v>
      </x:c>
      <x:c r="AB832" s="55" t="n">
        <x:v>1313</x:v>
      </x:c>
      <x:c r="AC832" s="55" t="n">
        <x:v>8454</x:v>
      </x:c>
      <x:c r="AD832" s="55" t="n">
        <x:v>2954</x:v>
      </x:c>
      <x:c r="AE832" s="55" t="n">
        <x:v>10950</x:v>
      </x:c>
      <x:c r="AF832" s="55" t="n">
        <x:v>10826</x:v>
      </x:c>
      <x:c r="AG832" s="55" t="n">
        <x:v>124</x:v>
      </x:c>
      <x:c r="AH832" s="55" t="n">
        <x:v>582</x:v>
      </x:c>
      <x:c r="AI832" s="55" t="n">
        <x:v>10244</x:v>
      </x:c>
      <x:c r="AJ832" s="55" t="n">
        <x:v>421</x:v>
      </x:c>
      <x:c r="AK832" s="55" t="n">
        <x:v>1314</x:v>
      </x:c>
      <x:c r="AL832" s="55" t="n">
        <x:v>1612</x:v>
      </x:c>
      <x:c r="AM832" s="55" t="n">
        <x:v>5041</x:v>
      </x:c>
      <x:c r="AN832" s="55" t="n">
        <x:v>2394</x:v>
      </x:c>
      <x:c r="AO832" s="55" t="n">
        <x:v>44</x:v>
      </x:c>
      <x:c r="AP832" s="55" t="n">
        <x:v>2559</x:v>
      </x:c>
      <x:c r="AQ832" s="55" t="n">
        <x:v>1014</x:v>
      </x:c>
    </x:row>
    <x:row r="833">
      <x:c r="A833" s="54" t="str">
        <x:v>T2_CONCORDANT_DOMAIN</x:v>
      </x:c>
      <x:c r="B833" s="54" t="n">
        <x:v>827</x:v>
      </x:c>
      <x:c r="C833" s="54" t="str">
        <x:v>NYC-V2-R01</x:v>
      </x:c>
      <x:c r="D833" s="54" t="str">
        <x:v>V2</x:v>
      </x:c>
      <x:c r="E833" s="54" t="str">
        <x:v>ADMITTED</x:v>
      </x:c>
      <x:c r="F833" s="55" t="n">
        <x:v>29611</x:v>
      </x:c>
      <x:c r="G833" s="55" t="n">
        <x:v>5975</x:v>
      </x:c>
      <x:c r="H833" s="55" t="n">
        <x:v>3028</x:v>
      </x:c>
      <x:c r="I833" s="55" t="n">
        <x:v>1276</x:v>
      </x:c>
      <x:c r="J833" s="55" t="n">
        <x:v>60</x:v>
      </x:c>
      <x:c r="K833" s="55" t="n">
        <x:v>29611</x:v>
      </x:c>
      <x:c r="L833" s="55" t="n">
        <x:v>5381</x:v>
      </x:c>
      <x:c r="M833" s="55" t="n">
        <x:v>1645</x:v>
      </x:c>
      <x:c r="N833" s="55" t="n">
        <x:v>2438</x:v>
      </x:c>
      <x:c r="O833" s="55" t="n">
        <x:v>1298</x:v>
      </x:c>
      <x:c r="P833" s="55" t="n">
        <x:v>1019</x:v>
      </x:c>
      <x:c r="Q833" s="55" t="n">
        <x:v>2048</x:v>
      </x:c>
      <x:c r="R833" s="55" t="n">
        <x:v>1674</x:v>
      </x:c>
      <x:c r="S833" s="55" t="n">
        <x:v>1982</x:v>
      </x:c>
      <x:c r="T833" s="55" t="n">
        <x:v>790</x:v>
      </x:c>
      <x:c r="U833" s="55" t="n">
        <x:v>1639</x:v>
      </x:c>
      <x:c r="V833" s="55" t="n">
        <x:v>9599</x:v>
      </x:c>
      <x:c r="W833" s="55" t="n">
        <x:v>6312</x:v>
      </x:c>
      <x:c r="X833" s="55" t="n">
        <x:v>3287</x:v>
      </x:c>
      <x:c r="Y833" s="55" t="n">
        <x:v>2859</x:v>
      </x:c>
      <x:c r="Z833" s="55" t="n">
        <x:v>3398</x:v>
      </x:c>
      <x:c r="AA833" s="55" t="n">
        <x:v>2750</x:v>
      </x:c>
      <x:c r="AB833" s="55" t="n">
        <x:v>1240</x:v>
      </x:c>
      <x:c r="AC833" s="55" t="n">
        <x:v>7437</x:v>
      </x:c>
      <x:c r="AD833" s="55" t="n">
        <x:v>3026</x:v>
      </x:c>
      <x:c r="AE833" s="55" t="n">
        <x:v>9669</x:v>
      </x:c>
      <x:c r="AF833" s="55" t="n">
        <x:v>9599</x:v>
      </x:c>
      <x:c r="AG833" s="55" t="n">
        <x:v>70</x:v>
      </x:c>
      <x:c r="AH833" s="55" t="n">
        <x:v>65</x:v>
      </x:c>
      <x:c r="AI833" s="55" t="n">
        <x:v>9534</x:v>
      </x:c>
      <x:c r="AJ833" s="55" t="n">
        <x:v>259</x:v>
      </x:c>
      <x:c r="AK833" s="55" t="n">
        <x:v>712</x:v>
      </x:c>
      <x:c r="AL833" s="55" t="n">
        <x:v>1227</x:v>
      </x:c>
      <x:c r="AM833" s="55" t="n">
        <x:v>5129</x:v>
      </x:c>
      <x:c r="AN833" s="55" t="n">
        <x:v>2272</x:v>
      </x:c>
      <x:c r="AO833" s="55" t="n">
        <x:v>0</x:v>
      </x:c>
      <x:c r="AP833" s="55" t="n">
        <x:v>2152</x:v>
      </x:c>
      <x:c r="AQ833" s="55" t="n">
        <x:v>944</x:v>
      </x:c>
    </x:row>
    <x:row r="834">
      <x:c r="A834" s="54" t="str">
        <x:v>T2_CONCORDANT_DOMAIN</x:v>
      </x:c>
      <x:c r="B834" s="54" t="n">
        <x:v>828</x:v>
      </x:c>
      <x:c r="C834" s="54" t="str">
        <x:v>NYC-V2-R01</x:v>
      </x:c>
      <x:c r="D834" s="54" t="str">
        <x:v>V2</x:v>
      </x:c>
      <x:c r="E834" s="54" t="str">
        <x:v>ADMITTED</x:v>
      </x:c>
      <x:c r="F834" s="55" t="n">
        <x:v>29812</x:v>
      </x:c>
      <x:c r="G834" s="55" t="n">
        <x:v>6650</x:v>
      </x:c>
      <x:c r="H834" s="55" t="n">
        <x:v>3085</x:v>
      </x:c>
      <x:c r="I834" s="55" t="n">
        <x:v>877</x:v>
      </x:c>
      <x:c r="J834" s="55" t="n">
        <x:v>229</x:v>
      </x:c>
      <x:c r="K834" s="55" t="n">
        <x:v>26660</x:v>
      </x:c>
      <x:c r="L834" s="55" t="n">
        <x:v>4197</x:v>
      </x:c>
      <x:c r="M834" s="55" t="n">
        <x:v>0</x:v>
      </x:c>
      <x:c r="N834" s="55" t="n">
        <x:v>2695</x:v>
      </x:c>
      <x:c r="O834" s="55" t="n">
        <x:v>1502</x:v>
      </x:c>
      <x:c r="P834" s="55" t="n">
        <x:v>899</x:v>
      </x:c>
      <x:c r="Q834" s="55" t="n">
        <x:v>2146</x:v>
      </x:c>
      <x:c r="R834" s="55" t="n">
        <x:v>1980</x:v>
      </x:c>
      <x:c r="S834" s="55" t="n">
        <x:v>2838</x:v>
      </x:c>
      <x:c r="T834" s="55" t="n">
        <x:v>781</x:v>
      </x:c>
      <x:c r="U834" s="55" t="n">
        <x:v>1916</x:v>
      </x:c>
      <x:c r="V834" s="55" t="n">
        <x:v>10420</x:v>
      </x:c>
      <x:c r="W834" s="55" t="n">
        <x:v>7706</x:v>
      </x:c>
      <x:c r="X834" s="55" t="n">
        <x:v>2714</x:v>
      </x:c>
      <x:c r="Y834" s="55" t="n">
        <x:v>2392</x:v>
      </x:c>
      <x:c r="Z834" s="55" t="n">
        <x:v>3834</x:v>
      </x:c>
      <x:c r="AA834" s="55" t="n">
        <x:v>2828</x:v>
      </x:c>
      <x:c r="AB834" s="55" t="n">
        <x:v>1139</x:v>
      </x:c>
      <x:c r="AC834" s="55" t="n">
        <x:v>7612</x:v>
      </x:c>
      <x:c r="AD834" s="55" t="n">
        <x:v>2658</x:v>
      </x:c>
      <x:c r="AE834" s="55" t="n">
        <x:v>10420</x:v>
      </x:c>
      <x:c r="AF834" s="55" t="n">
        <x:v>10420</x:v>
      </x:c>
      <x:c r="AG834" s="55" t="n">
        <x:v>0</x:v>
      </x:c>
      <x:c r="AH834" s="55" t="n">
        <x:v>265</x:v>
      </x:c>
      <x:c r="AI834" s="55" t="n">
        <x:v>10155</x:v>
      </x:c>
      <x:c r="AJ834" s="55" t="n">
        <x:v>269</x:v>
      </x:c>
      <x:c r="AK834" s="55" t="n">
        <x:v>853</x:v>
      </x:c>
      <x:c r="AL834" s="55" t="n">
        <x:v>1427</x:v>
      </x:c>
      <x:c r="AM834" s="55" t="n">
        <x:v>4615</x:v>
      </x:c>
      <x:c r="AN834" s="55" t="n">
        <x:v>3256</x:v>
      </x:c>
      <x:c r="AO834" s="55" t="n">
        <x:v>0</x:v>
      </x:c>
      <x:c r="AP834" s="55" t="n">
        <x:v>2486</x:v>
      </x:c>
      <x:c r="AQ834" s="55" t="n">
        <x:v>929</x:v>
      </x:c>
    </x:row>
    <x:row r="835">
      <x:c r="A835" s="54" t="str">
        <x:v>T2_CONCORDANT_DOMAIN</x:v>
      </x:c>
      <x:c r="B835" s="54" t="n">
        <x:v>829</x:v>
      </x:c>
      <x:c r="C835" s="54" t="str">
        <x:v>NYC-V2-R01</x:v>
      </x:c>
      <x:c r="D835" s="54" t="str">
        <x:v>V2</x:v>
      </x:c>
      <x:c r="E835" s="54" t="str">
        <x:v>ADMITTED</x:v>
      </x:c>
      <x:c r="F835" s="55" t="n">
        <x:v>29030</x:v>
      </x:c>
      <x:c r="G835" s="55" t="n">
        <x:v>6759</x:v>
      </x:c>
      <x:c r="H835" s="55" t="n">
        <x:v>2816</x:v>
      </x:c>
      <x:c r="I835" s="55" t="n">
        <x:v>783</x:v>
      </x:c>
      <x:c r="J835" s="55" t="n">
        <x:v>0</x:v>
      </x:c>
      <x:c r="K835" s="55" t="n">
        <x:v>29030</x:v>
      </x:c>
      <x:c r="L835" s="55" t="n">
        <x:v>3902</x:v>
      </x:c>
      <x:c r="M835" s="55" t="n">
        <x:v>493</x:v>
      </x:c>
      <x:c r="N835" s="55" t="n">
        <x:v>1937</x:v>
      </x:c>
      <x:c r="O835" s="55" t="n">
        <x:v>1472</x:v>
      </x:c>
      <x:c r="P835" s="55" t="n">
        <x:v>526</x:v>
      </x:c>
      <x:c r="Q835" s="55" t="n">
        <x:v>1376</x:v>
      </x:c>
      <x:c r="R835" s="55" t="n">
        <x:v>1551</x:v>
      </x:c>
      <x:c r="S835" s="55" t="n">
        <x:v>2278</x:v>
      </x:c>
      <x:c r="T835" s="55" t="n">
        <x:v>756</x:v>
      </x:c>
      <x:c r="U835" s="55" t="n">
        <x:v>1456</x:v>
      </x:c>
      <x:c r="V835" s="55" t="n">
        <x:v>9838</x:v>
      </x:c>
      <x:c r="W835" s="55" t="n">
        <x:v>6797</x:v>
      </x:c>
      <x:c r="X835" s="55" t="n">
        <x:v>3041</x:v>
      </x:c>
      <x:c r="Y835" s="55" t="n">
        <x:v>2774</x:v>
      </x:c>
      <x:c r="Z835" s="55" t="n">
        <x:v>3346</x:v>
      </x:c>
      <x:c r="AA835" s="55" t="n">
        <x:v>2816</x:v>
      </x:c>
      <x:c r="AB835" s="55" t="n">
        <x:v>850</x:v>
      </x:c>
      <x:c r="AC835" s="55" t="n">
        <x:v>8055</x:v>
      </x:c>
      <x:c r="AD835" s="55" t="n">
        <x:v>2255</x:v>
      </x:c>
      <x:c r="AE835" s="55" t="n">
        <x:v>9863</x:v>
      </x:c>
      <x:c r="AF835" s="55" t="n">
        <x:v>9838</x:v>
      </x:c>
      <x:c r="AG835" s="55" t="n">
        <x:v>25</x:v>
      </x:c>
      <x:c r="AH835" s="55" t="n">
        <x:v>391</x:v>
      </x:c>
      <x:c r="AI835" s="55" t="n">
        <x:v>9447</x:v>
      </x:c>
      <x:c r="AJ835" s="55" t="n">
        <x:v>189</x:v>
      </x:c>
      <x:c r="AK835" s="55" t="n">
        <x:v>517</x:v>
      </x:c>
      <x:c r="AL835" s="55" t="n">
        <x:v>1360</x:v>
      </x:c>
      <x:c r="AM835" s="55" t="n">
        <x:v>5521</x:v>
      </x:c>
      <x:c r="AN835" s="55" t="n">
        <x:v>2251</x:v>
      </x:c>
      <x:c r="AO835" s="55" t="n">
        <x:v>0</x:v>
      </x:c>
      <x:c r="AP835" s="55" t="n">
        <x:v>1842</x:v>
      </x:c>
      <x:c r="AQ835" s="55" t="n">
        <x:v>960</x:v>
      </x:c>
    </x:row>
    <x:row r="836">
      <x:c r="A836" s="54" t="str">
        <x:v>T2_CONCORDANT_DOMAIN</x:v>
      </x:c>
      <x:c r="B836" s="54" t="n">
        <x:v>830</x:v>
      </x:c>
      <x:c r="C836" s="54" t="str">
        <x:v>NYC-V2-R01</x:v>
      </x:c>
      <x:c r="D836" s="54" t="str">
        <x:v>V2</x:v>
      </x:c>
      <x:c r="E836" s="54" t="str">
        <x:v>ADMITTED</x:v>
      </x:c>
      <x:c r="F836" s="55" t="n">
        <x:v>34376</x:v>
      </x:c>
      <x:c r="G836" s="55" t="n">
        <x:v>7912</x:v>
      </x:c>
      <x:c r="H836" s="55" t="n">
        <x:v>3153</x:v>
      </x:c>
      <x:c r="I836" s="55" t="n">
        <x:v>1222</x:v>
      </x:c>
      <x:c r="J836" s="55" t="n">
        <x:v>83</x:v>
      </x:c>
      <x:c r="K836" s="55" t="n">
        <x:v>34376</x:v>
      </x:c>
      <x:c r="L836" s="55" t="n">
        <x:v>7829</x:v>
      </x:c>
      <x:c r="M836" s="55" t="n">
        <x:v>2916</x:v>
      </x:c>
      <x:c r="N836" s="55" t="n">
        <x:v>3023</x:v>
      </x:c>
      <x:c r="O836" s="55" t="n">
        <x:v>1890</x:v>
      </x:c>
      <x:c r="P836" s="55" t="n">
        <x:v>770</x:v>
      </x:c>
      <x:c r="Q836" s="55" t="n">
        <x:v>2384</x:v>
      </x:c>
      <x:c r="R836" s="55" t="n">
        <x:v>2305</x:v>
      </x:c>
      <x:c r="S836" s="55" t="n">
        <x:v>2508</x:v>
      </x:c>
      <x:c r="T836" s="55" t="n">
        <x:v>1252</x:v>
      </x:c>
      <x:c r="U836" s="55" t="n">
        <x:v>2421</x:v>
      </x:c>
      <x:c r="V836" s="55" t="n">
        <x:v>10465</x:v>
      </x:c>
      <x:c r="W836" s="55" t="n">
        <x:v>7266</x:v>
      </x:c>
      <x:c r="X836" s="55" t="n">
        <x:v>3199</x:v>
      </x:c>
      <x:c r="Y836" s="55" t="n">
        <x:v>2941</x:v>
      </x:c>
      <x:c r="Z836" s="55" t="n">
        <x:v>3722</x:v>
      </x:c>
      <x:c r="AA836" s="55" t="n">
        <x:v>3153</x:v>
      </x:c>
      <x:c r="AB836" s="55" t="n">
        <x:v>1143</x:v>
      </x:c>
      <x:c r="AC836" s="55" t="n">
        <x:v>8377</x:v>
      </x:c>
      <x:c r="AD836" s="55" t="n">
        <x:v>3204</x:v>
      </x:c>
      <x:c r="AE836" s="55" t="n">
        <x:v>10538</x:v>
      </x:c>
      <x:c r="AF836" s="55" t="n">
        <x:v>10465</x:v>
      </x:c>
      <x:c r="AG836" s="55" t="n">
        <x:v>73</x:v>
      </x:c>
      <x:c r="AH836" s="55" t="n">
        <x:v>458</x:v>
      </x:c>
      <x:c r="AI836" s="55" t="n">
        <x:v>10007</x:v>
      </x:c>
      <x:c r="AJ836" s="55" t="n">
        <x:v>199</x:v>
      </x:c>
      <x:c r="AK836" s="55" t="n">
        <x:v>714</x:v>
      </x:c>
      <x:c r="AL836" s="55" t="n">
        <x:v>1671</x:v>
      </x:c>
      <x:c r="AM836" s="55" t="n">
        <x:v>4947</x:v>
      </x:c>
      <x:c r="AN836" s="55" t="n">
        <x:v>2934</x:v>
      </x:c>
      <x:c r="AO836" s="55" t="n">
        <x:v>0</x:v>
      </x:c>
      <x:c r="AP836" s="55" t="n">
        <x:v>2212</x:v>
      </x:c>
      <x:c r="AQ836" s="55" t="n">
        <x:v>913</x:v>
      </x:c>
    </x:row>
    <x:row r="837">
      <x:c r="A837" s="54" t="str">
        <x:v>T2_CONCORDANT_DOMAIN</x:v>
      </x:c>
      <x:c r="B837" s="54" t="n">
        <x:v>831</x:v>
      </x:c>
      <x:c r="C837" s="54" t="str">
        <x:v>NYC-V2-R01</x:v>
      </x:c>
      <x:c r="D837" s="54" t="str">
        <x:v>V2</x:v>
      </x:c>
      <x:c r="E837" s="54" t="str">
        <x:v>ADMITTED</x:v>
      </x:c>
      <x:c r="F837" s="55" t="n">
        <x:v>32147</x:v>
      </x:c>
      <x:c r="G837" s="55" t="n">
        <x:v>7853</x:v>
      </x:c>
      <x:c r="H837" s="55" t="n">
        <x:v>3573</x:v>
      </x:c>
      <x:c r="I837" s="55" t="n">
        <x:v>1109</x:v>
      </x:c>
      <x:c r="J837" s="55" t="n">
        <x:v>0</x:v>
      </x:c>
      <x:c r="K837" s="55" t="n">
        <x:v>32147</x:v>
      </x:c>
      <x:c r="L837" s="55" t="n">
        <x:v>4970</x:v>
      </x:c>
      <x:c r="M837" s="55" t="n">
        <x:v>1244</x:v>
      </x:c>
      <x:c r="N837" s="55" t="n">
        <x:v>2011</x:v>
      </x:c>
      <x:c r="O837" s="55" t="n">
        <x:v>1715</x:v>
      </x:c>
      <x:c r="P837" s="55" t="n">
        <x:v>1046</x:v>
      </x:c>
      <x:c r="Q837" s="55" t="n">
        <x:v>1712</x:v>
      </x:c>
      <x:c r="R837" s="55" t="n">
        <x:v>1783</x:v>
      </x:c>
      <x:c r="S837" s="55" t="n">
        <x:v>2096</x:v>
      </x:c>
      <x:c r="T837" s="55" t="n">
        <x:v>912</x:v>
      </x:c>
      <x:c r="U837" s="55" t="n">
        <x:v>1868</x:v>
      </x:c>
      <x:c r="V837" s="55" t="n">
        <x:v>10524</x:v>
      </x:c>
      <x:c r="W837" s="55" t="n">
        <x:v>7732</x:v>
      </x:c>
      <x:c r="X837" s="55" t="n">
        <x:v>2792</x:v>
      </x:c>
      <x:c r="Y837" s="55" t="n">
        <x:v>2640</x:v>
      </x:c>
      <x:c r="Z837" s="55" t="n">
        <x:v>3857</x:v>
      </x:c>
      <x:c r="AA837" s="55" t="n">
        <x:v>3573</x:v>
      </x:c>
      <x:c r="AB837" s="55" t="n">
        <x:v>1358</x:v>
      </x:c>
      <x:c r="AC837" s="55" t="n">
        <x:v>8072</x:v>
      </x:c>
      <x:c r="AD837" s="55" t="n">
        <x:v>2243</x:v>
      </x:c>
      <x:c r="AE837" s="55" t="n">
        <x:v>10584</x:v>
      </x:c>
      <x:c r="AF837" s="55" t="n">
        <x:v>10524</x:v>
      </x:c>
      <x:c r="AG837" s="55" t="n">
        <x:v>60</x:v>
      </x:c>
      <x:c r="AH837" s="55" t="n">
        <x:v>233</x:v>
      </x:c>
      <x:c r="AI837" s="55" t="n">
        <x:v>10291</x:v>
      </x:c>
      <x:c r="AJ837" s="55" t="n">
        <x:v>226</x:v>
      </x:c>
      <x:c r="AK837" s="55" t="n">
        <x:v>1105</x:v>
      </x:c>
      <x:c r="AL837" s="55" t="n">
        <x:v>1609</x:v>
      </x:c>
      <x:c r="AM837" s="55" t="n">
        <x:v>4689</x:v>
      </x:c>
      <x:c r="AN837" s="55" t="n">
        <x:v>2895</x:v>
      </x:c>
      <x:c r="AO837" s="55" t="n">
        <x:v>0</x:v>
      </x:c>
      <x:c r="AP837" s="55" t="n">
        <x:v>2069</x:v>
      </x:c>
      <x:c r="AQ837" s="55" t="n">
        <x:v>933</x:v>
      </x:c>
    </x:row>
    <x:row r="838">
      <x:c r="A838" s="54" t="str">
        <x:v>T2_CONCORDANT_DOMAIN</x:v>
      </x:c>
      <x:c r="B838" s="54" t="n">
        <x:v>832</x:v>
      </x:c>
      <x:c r="C838" s="54" t="str">
        <x:v>NYC-V2-R01</x:v>
      </x:c>
      <x:c r="D838" s="54" t="str">
        <x:v>V2</x:v>
      </x:c>
      <x:c r="E838" s="54" t="str">
        <x:v>ADMITTED</x:v>
      </x:c>
      <x:c r="F838" s="55" t="n">
        <x:v>31194</x:v>
      </x:c>
      <x:c r="G838" s="55" t="n">
        <x:v>6816</x:v>
      </x:c>
      <x:c r="H838" s="55" t="n">
        <x:v>3064</x:v>
      </x:c>
      <x:c r="I838" s="55" t="n">
        <x:v>1166</x:v>
      </x:c>
      <x:c r="J838" s="55" t="n">
        <x:v>111</x:v>
      </x:c>
      <x:c r="K838" s="55" t="n">
        <x:v>31194</x:v>
      </x:c>
      <x:c r="L838" s="55" t="n">
        <x:v>5881</x:v>
      </x:c>
      <x:c r="M838" s="55" t="n">
        <x:v>875</x:v>
      </x:c>
      <x:c r="N838" s="55" t="n">
        <x:v>3110</x:v>
      </x:c>
      <x:c r="O838" s="55" t="n">
        <x:v>1896</x:v>
      </x:c>
      <x:c r="P838" s="55" t="n">
        <x:v>709</x:v>
      </x:c>
      <x:c r="Q838" s="55" t="n">
        <x:v>2618</x:v>
      </x:c>
      <x:c r="R838" s="55" t="n">
        <x:v>1589</x:v>
      </x:c>
      <x:c r="S838" s="55" t="n">
        <x:v>2917</x:v>
      </x:c>
      <x:c r="T838" s="55" t="n">
        <x:v>951</x:v>
      </x:c>
      <x:c r="U838" s="55" t="n">
        <x:v>2163</x:v>
      </x:c>
      <x:c r="V838" s="55" t="n">
        <x:v>10307</x:v>
      </x:c>
      <x:c r="W838" s="55" t="n">
        <x:v>7599</x:v>
      </x:c>
      <x:c r="X838" s="55" t="n">
        <x:v>2708</x:v>
      </x:c>
      <x:c r="Y838" s="55" t="n">
        <x:v>2270</x:v>
      </x:c>
      <x:c r="Z838" s="55" t="n">
        <x:v>3366</x:v>
      </x:c>
      <x:c r="AA838" s="55" t="n">
        <x:v>2834</x:v>
      </x:c>
      <x:c r="AB838" s="55" t="n">
        <x:v>916</x:v>
      </x:c>
      <x:c r="AC838" s="55" t="n">
        <x:v>7525</x:v>
      </x:c>
      <x:c r="AD838" s="55" t="n">
        <x:v>2593</x:v>
      </x:c>
      <x:c r="AE838" s="55" t="n">
        <x:v>10320</x:v>
      </x:c>
      <x:c r="AF838" s="55" t="n">
        <x:v>10307</x:v>
      </x:c>
      <x:c r="AG838" s="55" t="n">
        <x:v>13</x:v>
      </x:c>
      <x:c r="AH838" s="55" t="n">
        <x:v>384</x:v>
      </x:c>
      <x:c r="AI838" s="55" t="n">
        <x:v>9923</x:v>
      </x:c>
      <x:c r="AJ838" s="55" t="n">
        <x:v>176</x:v>
      </x:c>
      <x:c r="AK838" s="55" t="n">
        <x:v>1067</x:v>
      </x:c>
      <x:c r="AL838" s="55" t="n">
        <x:v>1550</x:v>
      </x:c>
      <x:c r="AM838" s="55" t="n">
        <x:v>5251</x:v>
      </x:c>
      <x:c r="AN838" s="55" t="n">
        <x:v>2263</x:v>
      </x:c>
      <x:c r="AO838" s="55" t="n">
        <x:v>0</x:v>
      </x:c>
      <x:c r="AP838" s="55" t="n">
        <x:v>2273</x:v>
      </x:c>
      <x:c r="AQ838" s="55" t="n">
        <x:v>935</x:v>
      </x:c>
    </x:row>
    <x:row r="839">
      <x:c r="A839" s="54" t="str">
        <x:v>T2_CONCORDANT_DOMAIN</x:v>
      </x:c>
      <x:c r="B839" s="54" t="n">
        <x:v>833</x:v>
      </x:c>
      <x:c r="C839" s="54" t="str">
        <x:v>NYC-V2-R01</x:v>
      </x:c>
      <x:c r="D839" s="54" t="str">
        <x:v>V2</x:v>
      </x:c>
      <x:c r="E839" s="54" t="str">
        <x:v>ADMITTED</x:v>
      </x:c>
      <x:c r="F839" s="55" t="n">
        <x:v>32045</x:v>
      </x:c>
      <x:c r="G839" s="55" t="n">
        <x:v>7707</x:v>
      </x:c>
      <x:c r="H839" s="55" t="n">
        <x:v>3999</x:v>
      </x:c>
      <x:c r="I839" s="55" t="n">
        <x:v>1983</x:v>
      </x:c>
      <x:c r="J839" s="55" t="n">
        <x:v>469</x:v>
      </x:c>
      <x:c r="K839" s="55" t="n">
        <x:v>32045</x:v>
      </x:c>
      <x:c r="L839" s="55" t="n">
        <x:v>6874</x:v>
      </x:c>
      <x:c r="M839" s="55" t="n">
        <x:v>2139</x:v>
      </x:c>
      <x:c r="N839" s="55" t="n">
        <x:v>2822</x:v>
      </x:c>
      <x:c r="O839" s="55" t="n">
        <x:v>1913</x:v>
      </x:c>
      <x:c r="P839" s="55" t="n">
        <x:v>727</x:v>
      </x:c>
      <x:c r="Q839" s="55" t="n">
        <x:v>2686</x:v>
      </x:c>
      <x:c r="R839" s="55" t="n">
        <x:v>2175</x:v>
      </x:c>
      <x:c r="S839" s="55" t="n">
        <x:v>2800</x:v>
      </x:c>
      <x:c r="T839" s="55" t="n">
        <x:v>1365</x:v>
      </x:c>
      <x:c r="U839" s="55" t="n">
        <x:v>1925</x:v>
      </x:c>
      <x:c r="V839" s="55" t="n">
        <x:v>10705</x:v>
      </x:c>
      <x:c r="W839" s="55" t="n">
        <x:v>7468</x:v>
      </x:c>
      <x:c r="X839" s="55" t="n">
        <x:v>3237</x:v>
      </x:c>
      <x:c r="Y839" s="55" t="n">
        <x:v>2894</x:v>
      </x:c>
      <x:c r="Z839" s="55" t="n">
        <x:v>4338</x:v>
      </x:c>
      <x:c r="AA839" s="55" t="n">
        <x:v>3614</x:v>
      </x:c>
      <x:c r="AB839" s="55" t="n">
        <x:v>1525</x:v>
      </x:c>
      <x:c r="AC839" s="55" t="n">
        <x:v>9024</x:v>
      </x:c>
      <x:c r="AD839" s="55" t="n">
        <x:v>3299</x:v>
      </x:c>
      <x:c r="AE839" s="55" t="n">
        <x:v>10862</x:v>
      </x:c>
      <x:c r="AF839" s="55" t="n">
        <x:v>10705</x:v>
      </x:c>
      <x:c r="AG839" s="55" t="n">
        <x:v>157</x:v>
      </x:c>
      <x:c r="AH839" s="55" t="n">
        <x:v>658</x:v>
      </x:c>
      <x:c r="AI839" s="55" t="n">
        <x:v>10047</x:v>
      </x:c>
      <x:c r="AJ839" s="55" t="n">
        <x:v>325</x:v>
      </x:c>
      <x:c r="AK839" s="55" t="n">
        <x:v>1146</x:v>
      </x:c>
      <x:c r="AL839" s="55" t="n">
        <x:v>2068</x:v>
      </x:c>
      <x:c r="AM839" s="55" t="n">
        <x:v>4423</x:v>
      </x:c>
      <x:c r="AN839" s="55" t="n">
        <x:v>2743</x:v>
      </x:c>
      <x:c r="AO839" s="55" t="n">
        <x:v>0</x:v>
      </x:c>
      <x:c r="AP839" s="55" t="n">
        <x:v>2565</x:v>
      </x:c>
      <x:c r="AQ839" s="55" t="n">
        <x:v>1018</x:v>
      </x:c>
    </x:row>
    <x:row r="840">
      <x:c r="A840" s="54" t="str">
        <x:v>T2_CONCORDANT_DOMAIN</x:v>
      </x:c>
      <x:c r="B840" s="54" t="n">
        <x:v>834</x:v>
      </x:c>
      <x:c r="C840" s="54" t="str">
        <x:v>NYC-V2-R01</x:v>
      </x:c>
      <x:c r="D840" s="54" t="str">
        <x:v>V2</x:v>
      </x:c>
      <x:c r="E840" s="54" t="str">
        <x:v>ADMITTED</x:v>
      </x:c>
      <x:c r="F840" s="55" t="n">
        <x:v>35062</x:v>
      </x:c>
      <x:c r="G840" s="55" t="n">
        <x:v>9192</x:v>
      </x:c>
      <x:c r="H840" s="55" t="n">
        <x:v>3853</x:v>
      </x:c>
      <x:c r="I840" s="55" t="n">
        <x:v>1504</x:v>
      </x:c>
      <x:c r="J840" s="55" t="n">
        <x:v>466</x:v>
      </x:c>
      <x:c r="K840" s="55" t="n">
        <x:v>29494</x:v>
      </x:c>
      <x:c r="L840" s="55" t="n">
        <x:v>6897</x:v>
      </x:c>
      <x:c r="M840" s="55" t="n">
        <x:v>1962</x:v>
      </x:c>
      <x:c r="N840" s="55" t="n">
        <x:v>3179</x:v>
      </x:c>
      <x:c r="O840" s="55" t="n">
        <x:v>1756</x:v>
      </x:c>
      <x:c r="P840" s="55" t="n">
        <x:v>797</x:v>
      </x:c>
      <x:c r="Q840" s="55" t="n">
        <x:v>2842</x:v>
      </x:c>
      <x:c r="R840" s="55" t="n">
        <x:v>2114</x:v>
      </x:c>
      <x:c r="S840" s="55" t="n">
        <x:v>2663</x:v>
      </x:c>
      <x:c r="T840" s="55" t="n">
        <x:v>1333</x:v>
      </x:c>
      <x:c r="U840" s="55" t="n">
        <x:v>2231</x:v>
      </x:c>
      <x:c r="V840" s="55" t="n">
        <x:v>10388</x:v>
      </x:c>
      <x:c r="W840" s="55" t="n">
        <x:v>7032</x:v>
      </x:c>
      <x:c r="X840" s="55" t="n">
        <x:v>3356</x:v>
      </x:c>
      <x:c r="Y840" s="55" t="n">
        <x:v>2915</x:v>
      </x:c>
      <x:c r="Z840" s="55" t="n">
        <x:v>3267</x:v>
      </x:c>
      <x:c r="AA840" s="55" t="n">
        <x:v>3565</x:v>
      </x:c>
      <x:c r="AB840" s="55" t="n">
        <x:v>1398</x:v>
      </x:c>
      <x:c r="AC840" s="55" t="n">
        <x:v>7412</x:v>
      </x:c>
      <x:c r="AD840" s="55" t="n">
        <x:v>2365</x:v>
      </x:c>
      <x:c r="AE840" s="55" t="n">
        <x:v>10506</x:v>
      </x:c>
      <x:c r="AF840" s="55" t="n">
        <x:v>10388</x:v>
      </x:c>
      <x:c r="AG840" s="55" t="n">
        <x:v>118</x:v>
      </x:c>
      <x:c r="AH840" s="55" t="n">
        <x:v>440</x:v>
      </x:c>
      <x:c r="AI840" s="55" t="n">
        <x:v>9948</x:v>
      </x:c>
      <x:c r="AJ840" s="55" t="n">
        <x:v>445</x:v>
      </x:c>
      <x:c r="AK840" s="55" t="n">
        <x:v>896</x:v>
      </x:c>
      <x:c r="AL840" s="55" t="n">
        <x:v>1542</x:v>
      </x:c>
      <x:c r="AM840" s="55" t="n">
        <x:v>4905</x:v>
      </x:c>
      <x:c r="AN840" s="55" t="n">
        <x:v>2546</x:v>
      </x:c>
      <x:c r="AO840" s="55" t="n">
        <x:v>54</x:v>
      </x:c>
      <x:c r="AP840" s="55" t="n">
        <x:v>2472</x:v>
      </x:c>
      <x:c r="AQ840" s="55" t="n">
        <x:v>971</x:v>
      </x:c>
    </x:row>
    <x:row r="841">
      <x:c r="A841" s="54" t="str">
        <x:v>T2_CONCORDANT_DOMAIN</x:v>
      </x:c>
      <x:c r="B841" s="54" t="n">
        <x:v>835</x:v>
      </x:c>
      <x:c r="C841" s="54" t="str">
        <x:v>NYC-V2-R01</x:v>
      </x:c>
      <x:c r="D841" s="54" t="str">
        <x:v>V2</x:v>
      </x:c>
      <x:c r="E841" s="54" t="str">
        <x:v>ADMITTED</x:v>
      </x:c>
      <x:c r="F841" s="55" t="n">
        <x:v>33074</x:v>
      </x:c>
      <x:c r="G841" s="55" t="n">
        <x:v>8791</x:v>
      </x:c>
      <x:c r="H841" s="55" t="n">
        <x:v>3772</x:v>
      </x:c>
      <x:c r="I841" s="55" t="n">
        <x:v>1548</x:v>
      </x:c>
      <x:c r="J841" s="55" t="n">
        <x:v>428</x:v>
      </x:c>
      <x:c r="K841" s="55" t="n">
        <x:v>33074</x:v>
      </x:c>
      <x:c r="L841" s="55" t="n">
        <x:v>6693</x:v>
      </x:c>
      <x:c r="M841" s="55" t="n">
        <x:v>2203</x:v>
      </x:c>
      <x:c r="N841" s="55" t="n">
        <x:v>2868</x:v>
      </x:c>
      <x:c r="O841" s="55" t="n">
        <x:v>1622</x:v>
      </x:c>
      <x:c r="P841" s="55" t="n">
        <x:v>863</x:v>
      </x:c>
      <x:c r="Q841" s="55" t="n">
        <x:v>2800</x:v>
      </x:c>
      <x:c r="R841" s="55" t="n">
        <x:v>1707</x:v>
      </x:c>
      <x:c r="S841" s="55" t="n">
        <x:v>2681</x:v>
      </x:c>
      <x:c r="T841" s="55" t="n">
        <x:v>1234</x:v>
      </x:c>
      <x:c r="U841" s="55" t="n">
        <x:v>2177</x:v>
      </x:c>
      <x:c r="V841" s="55" t="n">
        <x:v>10549</x:v>
      </x:c>
      <x:c r="W841" s="55" t="n">
        <x:v>6980</x:v>
      </x:c>
      <x:c r="X841" s="55" t="n">
        <x:v>3569</x:v>
      </x:c>
      <x:c r="Y841" s="55" t="n">
        <x:v>3081</x:v>
      </x:c>
      <x:c r="Z841" s="55" t="n">
        <x:v>3461</x:v>
      </x:c>
      <x:c r="AA841" s="55" t="n">
        <x:v>3772</x:v>
      </x:c>
      <x:c r="AB841" s="55" t="n">
        <x:v>1394</x:v>
      </x:c>
      <x:c r="AC841" s="55" t="n">
        <x:v>8542</x:v>
      </x:c>
      <x:c r="AD841" s="55" t="n">
        <x:v>3540</x:v>
      </x:c>
      <x:c r="AE841" s="55" t="n">
        <x:v>10608</x:v>
      </x:c>
      <x:c r="AF841" s="55" t="n">
        <x:v>10549</x:v>
      </x:c>
      <x:c r="AG841" s="55" t="n">
        <x:v>59</x:v>
      </x:c>
      <x:c r="AH841" s="55" t="n">
        <x:v>467</x:v>
      </x:c>
      <x:c r="AI841" s="55" t="n">
        <x:v>10082</x:v>
      </x:c>
      <x:c r="AJ841" s="55" t="n">
        <x:v>360</x:v>
      </x:c>
      <x:c r="AK841" s="55" t="n">
        <x:v>1039</x:v>
      </x:c>
      <x:c r="AL841" s="55" t="n">
        <x:v>1688</x:v>
      </x:c>
      <x:c r="AM841" s="55" t="n">
        <x:v>4741</x:v>
      </x:c>
      <x:c r="AN841" s="55" t="n">
        <x:v>2672</x:v>
      </x:c>
      <x:c r="AO841" s="55" t="n">
        <x:v>49</x:v>
      </x:c>
      <x:c r="AP841" s="55" t="n">
        <x:v>2096</x:v>
      </x:c>
      <x:c r="AQ841" s="55" t="n">
        <x:v>956</x:v>
      </x:c>
    </x:row>
    <x:row r="842">
      <x:c r="A842" s="54" t="str">
        <x:v>T2_CONCORDANT_DOMAIN</x:v>
      </x:c>
      <x:c r="B842" s="54" t="n">
        <x:v>836</x:v>
      </x:c>
      <x:c r="C842" s="54" t="str">
        <x:v>NYC-V2-R01</x:v>
      </x:c>
      <x:c r="D842" s="54" t="str">
        <x:v>V2</x:v>
      </x:c>
      <x:c r="E842" s="54" t="str">
        <x:v>ADMITTED</x:v>
      </x:c>
      <x:c r="F842" s="55" t="n">
        <x:v>30817</x:v>
      </x:c>
      <x:c r="G842" s="55" t="n">
        <x:v>7203</x:v>
      </x:c>
      <x:c r="H842" s="55" t="n">
        <x:v>3407</x:v>
      </x:c>
      <x:c r="I842" s="55" t="n">
        <x:v>1354</x:v>
      </x:c>
      <x:c r="J842" s="55" t="n">
        <x:v>235</x:v>
      </x:c>
      <x:c r="K842" s="55" t="n">
        <x:v>30817</x:v>
      </x:c>
      <x:c r="L842" s="55" t="n">
        <x:v>5585</x:v>
      </x:c>
      <x:c r="M842" s="55" t="n">
        <x:v>1286</x:v>
      </x:c>
      <x:c r="N842" s="55" t="n">
        <x:v>2527</x:v>
      </x:c>
      <x:c r="O842" s="55" t="n">
        <x:v>1772</x:v>
      </x:c>
      <x:c r="P842" s="55" t="n">
        <x:v>913</x:v>
      </x:c>
      <x:c r="Q842" s="55" t="n">
        <x:v>2489</x:v>
      </x:c>
      <x:c r="R842" s="55" t="n">
        <x:v>2300</x:v>
      </x:c>
      <x:c r="S842" s="55" t="n">
        <x:v>2628</x:v>
      </x:c>
      <x:c r="T842" s="55" t="n">
        <x:v>1320</x:v>
      </x:c>
      <x:c r="U842" s="55" t="n">
        <x:v>1464</x:v>
      </x:c>
      <x:c r="V842" s="55" t="n">
        <x:v>10441</x:v>
      </x:c>
      <x:c r="W842" s="55" t="n">
        <x:v>7664</x:v>
      </x:c>
      <x:c r="X842" s="55" t="n">
        <x:v>2777</x:v>
      </x:c>
      <x:c r="Y842" s="55" t="n">
        <x:v>2442</x:v>
      </x:c>
      <x:c r="Z842" s="55" t="n">
        <x:v>3594</x:v>
      </x:c>
      <x:c r="AA842" s="55" t="n">
        <x:v>3407</x:v>
      </x:c>
      <x:c r="AB842" s="55" t="n">
        <x:v>1217</x:v>
      </x:c>
      <x:c r="AC842" s="55" t="n">
        <x:v>7846</x:v>
      </x:c>
      <x:c r="AD842" s="55" t="n">
        <x:v>2996</x:v>
      </x:c>
      <x:c r="AE842" s="55" t="n">
        <x:v>10526</x:v>
      </x:c>
      <x:c r="AF842" s="55" t="n">
        <x:v>10441</x:v>
      </x:c>
      <x:c r="AG842" s="55" t="n">
        <x:v>85</x:v>
      </x:c>
      <x:c r="AH842" s="55" t="n">
        <x:v>393</x:v>
      </x:c>
      <x:c r="AI842" s="55" t="n">
        <x:v>10048</x:v>
      </x:c>
      <x:c r="AJ842" s="55" t="n">
        <x:v>361</x:v>
      </x:c>
      <x:c r="AK842" s="55" t="n">
        <x:v>631</x:v>
      </x:c>
      <x:c r="AL842" s="55" t="n">
        <x:v>1648</x:v>
      </x:c>
      <x:c r="AM842" s="55" t="n">
        <x:v>4574</x:v>
      </x:c>
      <x:c r="AN842" s="55" t="n">
        <x:v>3225</x:v>
      </x:c>
      <x:c r="AO842" s="55" t="n">
        <x:v>2</x:v>
      </x:c>
      <x:c r="AP842" s="55" t="n">
        <x:v>2814</x:v>
      </x:c>
      <x:c r="AQ842" s="55" t="n">
        <x:v>936</x:v>
      </x:c>
    </x:row>
    <x:row r="843">
      <x:c r="A843" s="54" t="str">
        <x:v>T2_CONCORDANT_DOMAIN</x:v>
      </x:c>
      <x:c r="B843" s="54" t="n">
        <x:v>837</x:v>
      </x:c>
      <x:c r="C843" s="54" t="str">
        <x:v>NYC-V2-R01</x:v>
      </x:c>
      <x:c r="D843" s="54" t="str">
        <x:v>V2</x:v>
      </x:c>
      <x:c r="E843" s="54" t="str">
        <x:v>ADMITTED</x:v>
      </x:c>
      <x:c r="F843" s="55" t="n">
        <x:v>29146</x:v>
      </x:c>
      <x:c r="G843" s="55" t="n">
        <x:v>6934</x:v>
      </x:c>
      <x:c r="H843" s="55" t="n">
        <x:v>2974</x:v>
      </x:c>
      <x:c r="I843" s="55" t="n">
        <x:v>919</x:v>
      </x:c>
      <x:c r="J843" s="55" t="n">
        <x:v>5</x:v>
      </x:c>
      <x:c r="K843" s="55" t="n">
        <x:v>27310</x:v>
      </x:c>
      <x:c r="L843" s="55" t="n">
        <x:v>4753</x:v>
      </x:c>
      <x:c r="M843" s="55" t="n">
        <x:v>614</x:v>
      </x:c>
      <x:c r="N843" s="55" t="n">
        <x:v>2877</x:v>
      </x:c>
      <x:c r="O843" s="55" t="n">
        <x:v>1262</x:v>
      </x:c>
      <x:c r="P843" s="55" t="n">
        <x:v>549</x:v>
      </x:c>
      <x:c r="Q843" s="55" t="n">
        <x:v>1868</x:v>
      </x:c>
      <x:c r="R843" s="55" t="n">
        <x:v>1680</x:v>
      </x:c>
      <x:c r="S843" s="55" t="n">
        <x:v>2770</x:v>
      </x:c>
      <x:c r="T843" s="55" t="n">
        <x:v>983</x:v>
      </x:c>
      <x:c r="U843" s="55" t="n">
        <x:v>1841</x:v>
      </x:c>
      <x:c r="V843" s="55" t="n">
        <x:v>10213</x:v>
      </x:c>
      <x:c r="W843" s="55" t="n">
        <x:v>7337</x:v>
      </x:c>
      <x:c r="X843" s="55" t="n">
        <x:v>2876</x:v>
      </x:c>
      <x:c r="Y843" s="55" t="n">
        <x:v>2310</x:v>
      </x:c>
      <x:c r="Z843" s="55" t="n">
        <x:v>3475</x:v>
      </x:c>
      <x:c r="AA843" s="55" t="n">
        <x:v>2974</x:v>
      </x:c>
      <x:c r="AB843" s="55" t="n">
        <x:v>1031</x:v>
      </x:c>
      <x:c r="AC843" s="55" t="n">
        <x:v>8182</x:v>
      </x:c>
      <x:c r="AD843" s="55" t="n">
        <x:v>2707</x:v>
      </x:c>
      <x:c r="AE843" s="55" t="n">
        <x:v>10255</x:v>
      </x:c>
      <x:c r="AF843" s="55" t="n">
        <x:v>10213</x:v>
      </x:c>
      <x:c r="AG843" s="55" t="n">
        <x:v>42</x:v>
      </x:c>
      <x:c r="AH843" s="55" t="n">
        <x:v>382</x:v>
      </x:c>
      <x:c r="AI843" s="55" t="n">
        <x:v>9831</x:v>
      </x:c>
      <x:c r="AJ843" s="55" t="n">
        <x:v>297</x:v>
      </x:c>
      <x:c r="AK843" s="55" t="n">
        <x:v>812</x:v>
      </x:c>
      <x:c r="AL843" s="55" t="n">
        <x:v>1608</x:v>
      </x:c>
      <x:c r="AM843" s="55" t="n">
        <x:v>4985</x:v>
      </x:c>
      <x:c r="AN843" s="55" t="n">
        <x:v>2473</x:v>
      </x:c>
      <x:c r="AO843" s="55" t="n">
        <x:v>38</x:v>
      </x:c>
      <x:c r="AP843" s="55" t="n">
        <x:v>2202</x:v>
      </x:c>
      <x:c r="AQ843" s="55" t="n">
        <x:v>915</x:v>
      </x:c>
    </x:row>
    <x:row r="844">
      <x:c r="A844" s="54" t="str">
        <x:v>T2_CONCORDANT_DOMAIN</x:v>
      </x:c>
      <x:c r="B844" s="54" t="n">
        <x:v>838</x:v>
      </x:c>
      <x:c r="C844" s="54" t="str">
        <x:v>NYC-V2-R01</x:v>
      </x:c>
      <x:c r="D844" s="54" t="str">
        <x:v>V2</x:v>
      </x:c>
      <x:c r="E844" s="54" t="str">
        <x:v>ADMITTED</x:v>
      </x:c>
      <x:c r="F844" s="55" t="n">
        <x:v>34367</x:v>
      </x:c>
      <x:c r="G844" s="55" t="n">
        <x:v>6458</x:v>
      </x:c>
      <x:c r="H844" s="55" t="n">
        <x:v>3625</x:v>
      </x:c>
      <x:c r="I844" s="55" t="n">
        <x:v>1526</x:v>
      </x:c>
      <x:c r="J844" s="55" t="n">
        <x:v>230</x:v>
      </x:c>
      <x:c r="K844" s="55" t="n">
        <x:v>34367</x:v>
      </x:c>
      <x:c r="L844" s="55" t="n">
        <x:v>6201</x:v>
      </x:c>
      <x:c r="M844" s="55" t="n">
        <x:v>1372</x:v>
      </x:c>
      <x:c r="N844" s="55" t="n">
        <x:v>2992</x:v>
      </x:c>
      <x:c r="O844" s="55" t="n">
        <x:v>1837</x:v>
      </x:c>
      <x:c r="P844" s="55" t="n">
        <x:v>1167</x:v>
      </x:c>
      <x:c r="Q844" s="55" t="n">
        <x:v>2385</x:v>
      </x:c>
      <x:c r="R844" s="55" t="n">
        <x:v>1734</x:v>
      </x:c>
      <x:c r="S844" s="55" t="n">
        <x:v>2649</x:v>
      </x:c>
      <x:c r="T844" s="55" t="n">
        <x:v>1366</x:v>
      </x:c>
      <x:c r="U844" s="55" t="n">
        <x:v>2149</x:v>
      </x:c>
      <x:c r="V844" s="55" t="n">
        <x:v>10227</x:v>
      </x:c>
      <x:c r="W844" s="55" t="n">
        <x:v>7342</x:v>
      </x:c>
      <x:c r="X844" s="55" t="n">
        <x:v>2885</x:v>
      </x:c>
      <x:c r="Y844" s="55" t="n">
        <x:v>2460</x:v>
      </x:c>
      <x:c r="Z844" s="55" t="n">
        <x:v>3789</x:v>
      </x:c>
      <x:c r="AA844" s="55" t="n">
        <x:v>2757</x:v>
      </x:c>
      <x:c r="AB844" s="55" t="n">
        <x:v>895</x:v>
      </x:c>
      <x:c r="AC844" s="55" t="n">
        <x:v>7594</x:v>
      </x:c>
      <x:c r="AD844" s="55" t="n">
        <x:v>2544</x:v>
      </x:c>
      <x:c r="AE844" s="55" t="n">
        <x:v>10338</x:v>
      </x:c>
      <x:c r="AF844" s="55" t="n">
        <x:v>10227</x:v>
      </x:c>
      <x:c r="AG844" s="55" t="n">
        <x:v>111</x:v>
      </x:c>
      <x:c r="AH844" s="55" t="n">
        <x:v>353</x:v>
      </x:c>
      <x:c r="AI844" s="55" t="n">
        <x:v>9874</x:v>
      </x:c>
      <x:c r="AJ844" s="55" t="n">
        <x:v>231</x:v>
      </x:c>
      <x:c r="AK844" s="55" t="n">
        <x:v>939</x:v>
      </x:c>
      <x:c r="AL844" s="55" t="n">
        <x:v>1249</x:v>
      </x:c>
      <x:c r="AM844" s="55" t="n">
        <x:v>4784</x:v>
      </x:c>
      <x:c r="AN844" s="55" t="n">
        <x:v>3024</x:v>
      </x:c>
      <x:c r="AO844" s="55" t="n">
        <x:v>0</x:v>
      </x:c>
      <x:c r="AP844" s="55" t="n">
        <x:v>2262</x:v>
      </x:c>
      <x:c r="AQ844" s="55" t="n">
        <x:v>1001</x:v>
      </x:c>
    </x:row>
    <x:row r="845">
      <x:c r="A845" s="54" t="str">
        <x:v>T2_CONCORDANT_DOMAIN</x:v>
      </x:c>
      <x:c r="B845" s="54" t="n">
        <x:v>839</x:v>
      </x:c>
      <x:c r="C845" s="54" t="str">
        <x:v>NYC-V2-R01</x:v>
      </x:c>
      <x:c r="D845" s="54" t="str">
        <x:v>V2</x:v>
      </x:c>
      <x:c r="E845" s="54" t="str">
        <x:v>ADMITTED</x:v>
      </x:c>
      <x:c r="F845" s="55" t="n">
        <x:v>29460</x:v>
      </x:c>
      <x:c r="G845" s="55" t="n">
        <x:v>6847</x:v>
      </x:c>
      <x:c r="H845" s="55" t="n">
        <x:v>2742</x:v>
      </x:c>
      <x:c r="I845" s="55" t="n">
        <x:v>503</x:v>
      </x:c>
      <x:c r="J845" s="55" t="n">
        <x:v>1</x:v>
      </x:c>
      <x:c r="K845" s="55" t="n">
        <x:v>29460</x:v>
      </x:c>
      <x:c r="L845" s="55" t="n">
        <x:v>4478</x:v>
      </x:c>
      <x:c r="M845" s="55" t="n">
        <x:v>1108</x:v>
      </x:c>
      <x:c r="N845" s="55" t="n">
        <x:v>1983</x:v>
      </x:c>
      <x:c r="O845" s="55" t="n">
        <x:v>1387</x:v>
      </x:c>
      <x:c r="P845" s="55" t="n">
        <x:v>611</x:v>
      </x:c>
      <x:c r="Q845" s="55" t="n">
        <x:v>1899</x:v>
      </x:c>
      <x:c r="R845" s="55" t="n">
        <x:v>1205</x:v>
      </x:c>
      <x:c r="S845" s="55" t="n">
        <x:v>2420</x:v>
      </x:c>
      <x:c r="T845" s="55" t="n">
        <x:v>1011</x:v>
      </x:c>
      <x:c r="U845" s="55" t="n">
        <x:v>1790</x:v>
      </x:c>
      <x:c r="V845" s="55" t="n">
        <x:v>10299</x:v>
      </x:c>
      <x:c r="W845" s="55" t="n">
        <x:v>7660</x:v>
      </x:c>
      <x:c r="X845" s="55" t="n">
        <x:v>2639</x:v>
      </x:c>
      <x:c r="Y845" s="55" t="n">
        <x:v>2263</x:v>
      </x:c>
      <x:c r="Z845" s="55" t="n">
        <x:v>3507</x:v>
      </x:c>
      <x:c r="AA845" s="55" t="n">
        <x:v>2742</x:v>
      </x:c>
      <x:c r="AB845" s="55" t="n">
        <x:v>825</x:v>
      </x:c>
      <x:c r="AC845" s="55" t="n">
        <x:v>7643</x:v>
      </x:c>
      <x:c r="AD845" s="55" t="n">
        <x:v>2952</x:v>
      </x:c>
      <x:c r="AE845" s="55" t="n">
        <x:v>10318</x:v>
      </x:c>
      <x:c r="AF845" s="55" t="n">
        <x:v>10299</x:v>
      </x:c>
      <x:c r="AG845" s="55" t="n">
        <x:v>19</x:v>
      </x:c>
      <x:c r="AH845" s="55" t="n">
        <x:v>290</x:v>
      </x:c>
      <x:c r="AI845" s="55" t="n">
        <x:v>10009</x:v>
      </x:c>
      <x:c r="AJ845" s="55" t="n">
        <x:v>170</x:v>
      </x:c>
      <x:c r="AK845" s="55" t="n">
        <x:v>1099</x:v>
      </x:c>
      <x:c r="AL845" s="55" t="n">
        <x:v>1362</x:v>
      </x:c>
      <x:c r="AM845" s="55" t="n">
        <x:v>5198</x:v>
      </x:c>
      <x:c r="AN845" s="55" t="n">
        <x:v>2470</x:v>
      </x:c>
      <x:c r="AO845" s="55" t="n">
        <x:v>0</x:v>
      </x:c>
      <x:c r="AP845" s="55" t="n">
        <x:v>2124</x:v>
      </x:c>
      <x:c r="AQ845" s="55" t="n">
        <x:v>926</x:v>
      </x:c>
    </x:row>
    <x:row r="846">
      <x:c r="A846" s="54" t="str">
        <x:v>T2_CONCORDANT_DOMAIN</x:v>
      </x:c>
      <x:c r="B846" s="54" t="n">
        <x:v>840</x:v>
      </x:c>
      <x:c r="C846" s="54" t="str">
        <x:v>NYC-V2-R01</x:v>
      </x:c>
      <x:c r="D846" s="54" t="str">
        <x:v>V2</x:v>
      </x:c>
      <x:c r="E846" s="54" t="str">
        <x:v>ADMITTED</x:v>
      </x:c>
      <x:c r="F846" s="55" t="n">
        <x:v>30482</x:v>
      </x:c>
      <x:c r="G846" s="55" t="n">
        <x:v>7714</x:v>
      </x:c>
      <x:c r="H846" s="55" t="n">
        <x:v>3217</x:v>
      </x:c>
      <x:c r="I846" s="55" t="n">
        <x:v>1452</x:v>
      </x:c>
      <x:c r="J846" s="55" t="n">
        <x:v>368</x:v>
      </x:c>
      <x:c r="K846" s="55" t="n">
        <x:v>30482</x:v>
      </x:c>
      <x:c r="L846" s="55" t="n">
        <x:v>6523</x:v>
      </x:c>
      <x:c r="M846" s="55" t="n">
        <x:v>1938</x:v>
      </x:c>
      <x:c r="N846" s="55" t="n">
        <x:v>2816</x:v>
      </x:c>
      <x:c r="O846" s="55" t="n">
        <x:v>1769</x:v>
      </x:c>
      <x:c r="P846" s="55" t="n">
        <x:v>952</x:v>
      </x:c>
      <x:c r="Q846" s="55" t="n">
        <x:v>2798</x:v>
      </x:c>
      <x:c r="R846" s="55" t="n">
        <x:v>2107</x:v>
      </x:c>
      <x:c r="S846" s="55" t="n">
        <x:v>2889</x:v>
      </x:c>
      <x:c r="T846" s="55" t="n">
        <x:v>1569</x:v>
      </x:c>
      <x:c r="U846" s="55" t="n">
        <x:v>2674</x:v>
      </x:c>
      <x:c r="V846" s="55" t="n">
        <x:v>10966</x:v>
      </x:c>
      <x:c r="W846" s="55" t="n">
        <x:v>7384</x:v>
      </x:c>
      <x:c r="X846" s="55" t="n">
        <x:v>3582</x:v>
      </x:c>
      <x:c r="Y846" s="55" t="n">
        <x:v>3088</x:v>
      </x:c>
      <x:c r="Z846" s="55" t="n">
        <x:v>4350</x:v>
      </x:c>
      <x:c r="AA846" s="55" t="n">
        <x:v>3179</x:v>
      </x:c>
      <x:c r="AB846" s="55" t="n">
        <x:v>1294</x:v>
      </x:c>
      <x:c r="AC846" s="55" t="n">
        <x:v>8682</x:v>
      </x:c>
      <x:c r="AD846" s="55" t="n">
        <x:v>3478</x:v>
      </x:c>
      <x:c r="AE846" s="55" t="n">
        <x:v>11110</x:v>
      </x:c>
      <x:c r="AF846" s="55" t="n">
        <x:v>10966</x:v>
      </x:c>
      <x:c r="AG846" s="55" t="n">
        <x:v>144</x:v>
      </x:c>
      <x:c r="AH846" s="55" t="n">
        <x:v>624</x:v>
      </x:c>
      <x:c r="AI846" s="55" t="n">
        <x:v>10342</x:v>
      </x:c>
      <x:c r="AJ846" s="55" t="n">
        <x:v>244</x:v>
      </x:c>
      <x:c r="AK846" s="55" t="n">
        <x:v>1204</x:v>
      </x:c>
      <x:c r="AL846" s="55" t="n">
        <x:v>1378</x:v>
      </x:c>
      <x:c r="AM846" s="55" t="n">
        <x:v>5303</x:v>
      </x:c>
      <x:c r="AN846" s="55" t="n">
        <x:v>2759</x:v>
      </x:c>
      <x:c r="AO846" s="55" t="n">
        <x:v>78</x:v>
      </x:c>
      <x:c r="AP846" s="55" t="n">
        <x:v>2398</x:v>
      </x:c>
      <x:c r="AQ846" s="55" t="n">
        <x:v>993</x:v>
      </x:c>
    </x:row>
    <x:row r="847">
      <x:c r="A847" s="54" t="str">
        <x:v>T2_CONCORDANT_DOMAIN</x:v>
      </x:c>
      <x:c r="B847" s="54" t="n">
        <x:v>841</x:v>
      </x:c>
      <x:c r="C847" s="54" t="str">
        <x:v>NYC-V2-R01</x:v>
      </x:c>
      <x:c r="D847" s="54" t="str">
        <x:v>V2</x:v>
      </x:c>
      <x:c r="E847" s="54" t="str">
        <x:v>ADMITTED</x:v>
      </x:c>
      <x:c r="F847" s="55" t="n">
        <x:v>29727</x:v>
      </x:c>
      <x:c r="G847" s="55" t="n">
        <x:v>7527</x:v>
      </x:c>
      <x:c r="H847" s="55" t="n">
        <x:v>3560</x:v>
      </x:c>
      <x:c r="I847" s="55" t="n">
        <x:v>1026</x:v>
      </x:c>
      <x:c r="J847" s="55" t="n">
        <x:v>291</x:v>
      </x:c>
      <x:c r="K847" s="55" t="n">
        <x:v>29161</x:v>
      </x:c>
      <x:c r="L847" s="55" t="n">
        <x:v>5301</x:v>
      </x:c>
      <x:c r="M847" s="55" t="n">
        <x:v>1202</x:v>
      </x:c>
      <x:c r="N847" s="55" t="n">
        <x:v>2268</x:v>
      </x:c>
      <x:c r="O847" s="55" t="n">
        <x:v>1831</x:v>
      </x:c>
      <x:c r="P847" s="55" t="n">
        <x:v>526</x:v>
      </x:c>
      <x:c r="Q847" s="55" t="n">
        <x:v>2814</x:v>
      </x:c>
      <x:c r="R847" s="55" t="n">
        <x:v>1491</x:v>
      </x:c>
      <x:c r="S847" s="55" t="n">
        <x:v>2599</x:v>
      </x:c>
      <x:c r="T847" s="55" t="n">
        <x:v>856</x:v>
      </x:c>
      <x:c r="U847" s="55" t="n">
        <x:v>1785</x:v>
      </x:c>
      <x:c r="V847" s="55" t="n">
        <x:v>10189</x:v>
      </x:c>
      <x:c r="W847" s="55" t="n">
        <x:v>7089</x:v>
      </x:c>
      <x:c r="X847" s="55" t="n">
        <x:v>3100</x:v>
      </x:c>
      <x:c r="Y847" s="55" t="n">
        <x:v>2718</x:v>
      </x:c>
      <x:c r="Z847" s="55" t="n">
        <x:v>3489</x:v>
      </x:c>
      <x:c r="AA847" s="55" t="n">
        <x:v>3560</x:v>
      </x:c>
      <x:c r="AB847" s="55" t="n">
        <x:v>1427</x:v>
      </x:c>
      <x:c r="AC847" s="55" t="n">
        <x:v>7846</x:v>
      </x:c>
      <x:c r="AD847" s="55" t="n">
        <x:v>2950</x:v>
      </x:c>
      <x:c r="AE847" s="55" t="n">
        <x:v>10259</x:v>
      </x:c>
      <x:c r="AF847" s="55" t="n">
        <x:v>10189</x:v>
      </x:c>
      <x:c r="AG847" s="55" t="n">
        <x:v>70</x:v>
      </x:c>
      <x:c r="AH847" s="55" t="n">
        <x:v>338</x:v>
      </x:c>
      <x:c r="AI847" s="55" t="n">
        <x:v>9851</x:v>
      </x:c>
      <x:c r="AJ847" s="55" t="n">
        <x:v>245</x:v>
      </x:c>
      <x:c r="AK847" s="55" t="n">
        <x:v>1134</x:v>
      </x:c>
      <x:c r="AL847" s="55" t="n">
        <x:v>1912</x:v>
      </x:c>
      <x:c r="AM847" s="55" t="n">
        <x:v>4249</x:v>
      </x:c>
      <x:c r="AN847" s="55" t="n">
        <x:v>2649</x:v>
      </x:c>
      <x:c r="AO847" s="55" t="n">
        <x:v>0</x:v>
      </x:c>
      <x:c r="AP847" s="55" t="n">
        <x:v>1734</x:v>
      </x:c>
      <x:c r="AQ847" s="55" t="n">
        <x:v>939</x:v>
      </x:c>
    </x:row>
    <x:row r="848">
      <x:c r="A848" s="54" t="str">
        <x:v>T2_CONCORDANT_DOMAIN</x:v>
      </x:c>
      <x:c r="B848" s="54" t="n">
        <x:v>842</x:v>
      </x:c>
      <x:c r="C848" s="54" t="str">
        <x:v>NYC-V2-R01</x:v>
      </x:c>
      <x:c r="D848" s="54" t="str">
        <x:v>V2</x:v>
      </x:c>
      <x:c r="E848" s="54" t="str">
        <x:v>ADMITTED</x:v>
      </x:c>
      <x:c r="F848" s="55" t="n">
        <x:v>29353</x:v>
      </x:c>
      <x:c r="G848" s="55" t="n">
        <x:v>7944</x:v>
      </x:c>
      <x:c r="H848" s="55" t="n">
        <x:v>3096</x:v>
      </x:c>
      <x:c r="I848" s="55" t="n">
        <x:v>1197</x:v>
      </x:c>
      <x:c r="J848" s="55" t="n">
        <x:v>10</x:v>
      </x:c>
      <x:c r="K848" s="55" t="n">
        <x:v>28999</x:v>
      </x:c>
      <x:c r="L848" s="55" t="n">
        <x:v>3825</x:v>
      </x:c>
      <x:c r="M848" s="55" t="n">
        <x:v>0</x:v>
      </x:c>
      <x:c r="N848" s="55" t="n">
        <x:v>2425</x:v>
      </x:c>
      <x:c r="O848" s="55" t="n">
        <x:v>1400</x:v>
      </x:c>
      <x:c r="P848" s="55" t="n">
        <x:v>576</x:v>
      </x:c>
      <x:c r="Q848" s="55" t="n">
        <x:v>1434</x:v>
      </x:c>
      <x:c r="R848" s="55" t="n">
        <x:v>1543</x:v>
      </x:c>
      <x:c r="S848" s="55" t="n">
        <x:v>3126</x:v>
      </x:c>
      <x:c r="T848" s="55" t="n">
        <x:v>1331</x:v>
      </x:c>
      <x:c r="U848" s="55" t="n">
        <x:v>1909</x:v>
      </x:c>
      <x:c r="V848" s="55" t="n">
        <x:v>9919</x:v>
      </x:c>
      <x:c r="W848" s="55" t="n">
        <x:v>7494</x:v>
      </x:c>
      <x:c r="X848" s="55" t="n">
        <x:v>2425</x:v>
      </x:c>
      <x:c r="Y848" s="55" t="n">
        <x:v>2153</x:v>
      </x:c>
      <x:c r="Z848" s="55" t="n">
        <x:v>3423</x:v>
      </x:c>
      <x:c r="AA848" s="55" t="n">
        <x:v>3096</x:v>
      </x:c>
      <x:c r="AB848" s="55" t="n">
        <x:v>1079</x:v>
      </x:c>
      <x:c r="AC848" s="55" t="n">
        <x:v>7265</x:v>
      </x:c>
      <x:c r="AD848" s="55" t="n">
        <x:v>3104</x:v>
      </x:c>
      <x:c r="AE848" s="55" t="n">
        <x:v>9944</x:v>
      </x:c>
      <x:c r="AF848" s="55" t="n">
        <x:v>9919</x:v>
      </x:c>
      <x:c r="AG848" s="55" t="n">
        <x:v>25</x:v>
      </x:c>
      <x:c r="AH848" s="55" t="n">
        <x:v>243</x:v>
      </x:c>
      <x:c r="AI848" s="55" t="n">
        <x:v>9676</x:v>
      </x:c>
      <x:c r="AJ848" s="55" t="n">
        <x:v>359</x:v>
      </x:c>
      <x:c r="AK848" s="55" t="n">
        <x:v>891</x:v>
      </x:c>
      <x:c r="AL848" s="55" t="n">
        <x:v>1184</x:v>
      </x:c>
      <x:c r="AM848" s="55" t="n">
        <x:v>4748</x:v>
      </x:c>
      <x:c r="AN848" s="55" t="n">
        <x:v>2737</x:v>
      </x:c>
      <x:c r="AO848" s="55" t="n">
        <x:v>0</x:v>
      </x:c>
      <x:c r="AP848" s="55" t="n">
        <x:v>1877</x:v>
      </x:c>
      <x:c r="AQ848" s="55" t="n">
        <x:v>924</x:v>
      </x:c>
    </x:row>
    <x:row r="849">
      <x:c r="A849" s="54" t="str">
        <x:v>T2_CONCORDANT_DOMAIN</x:v>
      </x:c>
      <x:c r="B849" s="54" t="n">
        <x:v>843</x:v>
      </x:c>
      <x:c r="C849" s="54" t="str">
        <x:v>NYC-V2-R01</x:v>
      </x:c>
      <x:c r="D849" s="54" t="str">
        <x:v>V2</x:v>
      </x:c>
      <x:c r="E849" s="54" t="str">
        <x:v>ADMITTED</x:v>
      </x:c>
      <x:c r="F849" s="55" t="n">
        <x:v>30167</x:v>
      </x:c>
      <x:c r="G849" s="55" t="n">
        <x:v>7430</x:v>
      </x:c>
      <x:c r="H849" s="55" t="n">
        <x:v>2708</x:v>
      </x:c>
      <x:c r="I849" s="55" t="n">
        <x:v>746</x:v>
      </x:c>
      <x:c r="J849" s="55" t="n">
        <x:v>67</x:v>
      </x:c>
      <x:c r="K849" s="55" t="n">
        <x:v>30167</x:v>
      </x:c>
      <x:c r="L849" s="55" t="n">
        <x:v>4365</x:v>
      </x:c>
      <x:c r="M849" s="55" t="n">
        <x:v>612</x:v>
      </x:c>
      <x:c r="N849" s="55" t="n">
        <x:v>2356</x:v>
      </x:c>
      <x:c r="O849" s="55" t="n">
        <x:v>1397</x:v>
      </x:c>
      <x:c r="P849" s="55" t="n">
        <x:v>563</x:v>
      </x:c>
      <x:c r="Q849" s="55" t="n">
        <x:v>2004</x:v>
      </x:c>
      <x:c r="R849" s="55" t="n">
        <x:v>1567</x:v>
      </x:c>
      <x:c r="S849" s="55" t="n">
        <x:v>2044</x:v>
      </x:c>
      <x:c r="T849" s="55" t="n">
        <x:v>826</x:v>
      </x:c>
      <x:c r="U849" s="55" t="n">
        <x:v>1490</x:v>
      </x:c>
      <x:c r="V849" s="55" t="n">
        <x:v>10291</x:v>
      </x:c>
      <x:c r="W849" s="55" t="n">
        <x:v>7274</x:v>
      </x:c>
      <x:c r="X849" s="55" t="n">
        <x:v>3017</x:v>
      </x:c>
      <x:c r="Y849" s="55" t="n">
        <x:v>2422</x:v>
      </x:c>
      <x:c r="Z849" s="55" t="n">
        <x:v>4171</x:v>
      </x:c>
      <x:c r="AA849" s="55" t="n">
        <x:v>2616</x:v>
      </x:c>
      <x:c r="AB849" s="55" t="n">
        <x:v>963</x:v>
      </x:c>
      <x:c r="AC849" s="55" t="n">
        <x:v>8020</x:v>
      </x:c>
      <x:c r="AD849" s="55" t="n">
        <x:v>2504</x:v>
      </x:c>
      <x:c r="AE849" s="55" t="n">
        <x:v>10364</x:v>
      </x:c>
      <x:c r="AF849" s="55" t="n">
        <x:v>10291</x:v>
      </x:c>
      <x:c r="AG849" s="55" t="n">
        <x:v>73</x:v>
      </x:c>
      <x:c r="AH849" s="55" t="n">
        <x:v>321</x:v>
      </x:c>
      <x:c r="AI849" s="55" t="n">
        <x:v>9970</x:v>
      </x:c>
      <x:c r="AJ849" s="55" t="n">
        <x:v>363</x:v>
      </x:c>
      <x:c r="AK849" s="55" t="n">
        <x:v>875</x:v>
      </x:c>
      <x:c r="AL849" s="55" t="n">
        <x:v>1583</x:v>
      </x:c>
      <x:c r="AM849" s="55" t="n">
        <x:v>4596</x:v>
      </x:c>
      <x:c r="AN849" s="55" t="n">
        <x:v>2839</x:v>
      </x:c>
      <x:c r="AO849" s="55" t="n">
        <x:v>35</x:v>
      </x:c>
      <x:c r="AP849" s="55" t="n">
        <x:v>2500</x:v>
      </x:c>
      <x:c r="AQ849" s="55" t="n">
        <x:v>975</x:v>
      </x:c>
    </x:row>
    <x:row r="850">
      <x:c r="A850" s="54" t="str">
        <x:v>T2_CONCORDANT_DOMAIN</x:v>
      </x:c>
      <x:c r="B850" s="54" t="n">
        <x:v>844</x:v>
      </x:c>
      <x:c r="C850" s="54" t="str">
        <x:v>NYC-V2-R01</x:v>
      </x:c>
      <x:c r="D850" s="54" t="str">
        <x:v>V2</x:v>
      </x:c>
      <x:c r="E850" s="54" t="str">
        <x:v>ADMITTED</x:v>
      </x:c>
      <x:c r="F850" s="55" t="n">
        <x:v>30362</x:v>
      </x:c>
      <x:c r="G850" s="55" t="n">
        <x:v>6840</x:v>
      </x:c>
      <x:c r="H850" s="55" t="n">
        <x:v>3634</x:v>
      </x:c>
      <x:c r="I850" s="55" t="n">
        <x:v>1385</x:v>
      </x:c>
      <x:c r="J850" s="55" t="n">
        <x:v>215</x:v>
      </x:c>
      <x:c r="K850" s="55" t="n">
        <x:v>30362</x:v>
      </x:c>
      <x:c r="L850" s="55" t="n">
        <x:v>4724</x:v>
      </x:c>
      <x:c r="M850" s="55" t="n">
        <x:v>475</x:v>
      </x:c>
      <x:c r="N850" s="55" t="n">
        <x:v>2426</x:v>
      </x:c>
      <x:c r="O850" s="55" t="n">
        <x:v>1823</x:v>
      </x:c>
      <x:c r="P850" s="55" t="n">
        <x:v>909</x:v>
      </x:c>
      <x:c r="Q850" s="55" t="n">
        <x:v>2138</x:v>
      </x:c>
      <x:c r="R850" s="55" t="n">
        <x:v>1806</x:v>
      </x:c>
      <x:c r="S850" s="55" t="n">
        <x:v>3128</x:v>
      </x:c>
      <x:c r="T850" s="55" t="n">
        <x:v>1074</x:v>
      </x:c>
      <x:c r="U850" s="55" t="n">
        <x:v>1878</x:v>
      </x:c>
      <x:c r="V850" s="55" t="n">
        <x:v>10216</x:v>
      </x:c>
      <x:c r="W850" s="55" t="n">
        <x:v>7254</x:v>
      </x:c>
      <x:c r="X850" s="55" t="n">
        <x:v>2962</x:v>
      </x:c>
      <x:c r="Y850" s="55" t="n">
        <x:v>2545</x:v>
      </x:c>
      <x:c r="Z850" s="55" t="n">
        <x:v>3772</x:v>
      </x:c>
      <x:c r="AA850" s="55" t="n">
        <x:v>3634</x:v>
      </x:c>
      <x:c r="AB850" s="55" t="n">
        <x:v>1412</x:v>
      </x:c>
      <x:c r="AC850" s="55" t="n">
        <x:v>7933</x:v>
      </x:c>
      <x:c r="AD850" s="55" t="n">
        <x:v>2483</x:v>
      </x:c>
      <x:c r="AE850" s="55" t="n">
        <x:v>10359</x:v>
      </x:c>
      <x:c r="AF850" s="55" t="n">
        <x:v>10216</x:v>
      </x:c>
      <x:c r="AG850" s="55" t="n">
        <x:v>143</x:v>
      </x:c>
      <x:c r="AH850" s="55" t="n">
        <x:v>466</x:v>
      </x:c>
      <x:c r="AI850" s="55" t="n">
        <x:v>9750</x:v>
      </x:c>
      <x:c r="AJ850" s="55" t="n">
        <x:v>372</x:v>
      </x:c>
      <x:c r="AK850" s="55" t="n">
        <x:v>964</x:v>
      </x:c>
      <x:c r="AL850" s="55" t="n">
        <x:v>1230</x:v>
      </x:c>
      <x:c r="AM850" s="55" t="n">
        <x:v>4982</x:v>
      </x:c>
      <x:c r="AN850" s="55" t="n">
        <x:v>2666</x:v>
      </x:c>
      <x:c r="AO850" s="55" t="n">
        <x:v>2</x:v>
      </x:c>
      <x:c r="AP850" s="55" t="n">
        <x:v>2792</x:v>
      </x:c>
      <x:c r="AQ850" s="55" t="n">
        <x:v>940</x:v>
      </x:c>
    </x:row>
    <x:row r="851">
      <x:c r="A851" s="54" t="str">
        <x:v>T2_CONCORDANT_DOMAIN</x:v>
      </x:c>
      <x:c r="B851" s="54" t="n">
        <x:v>845</x:v>
      </x:c>
      <x:c r="C851" s="54" t="str">
        <x:v>NYC-V2-R01</x:v>
      </x:c>
      <x:c r="D851" s="54" t="str">
        <x:v>V2</x:v>
      </x:c>
      <x:c r="E851" s="54" t="str">
        <x:v>ADMITTED</x:v>
      </x:c>
      <x:c r="F851" s="55" t="n">
        <x:v>29801</x:v>
      </x:c>
      <x:c r="G851" s="55" t="n">
        <x:v>6897</x:v>
      </x:c>
      <x:c r="H851" s="55" t="n">
        <x:v>2739</x:v>
      </x:c>
      <x:c r="I851" s="55" t="n">
        <x:v>996</x:v>
      </x:c>
      <x:c r="J851" s="55" t="n">
        <x:v>143</x:v>
      </x:c>
      <x:c r="K851" s="55" t="n">
        <x:v>29801</x:v>
      </x:c>
      <x:c r="L851" s="55" t="n">
        <x:v>5118</x:v>
      </x:c>
      <x:c r="M851" s="55" t="n">
        <x:v>945</x:v>
      </x:c>
      <x:c r="N851" s="55" t="n">
        <x:v>2433</x:v>
      </x:c>
      <x:c r="O851" s="55" t="n">
        <x:v>1740</x:v>
      </x:c>
      <x:c r="P851" s="55" t="n">
        <x:v>542</x:v>
      </x:c>
      <x:c r="Q851" s="55" t="n">
        <x:v>1981</x:v>
      </x:c>
      <x:c r="R851" s="55" t="n">
        <x:v>2013</x:v>
      </x:c>
      <x:c r="S851" s="55" t="n">
        <x:v>3052</x:v>
      </x:c>
      <x:c r="T851" s="55" t="n">
        <x:v>1011</x:v>
      </x:c>
      <x:c r="U851" s="55" t="n">
        <x:v>1856</x:v>
      </x:c>
      <x:c r="V851" s="55" t="n">
        <x:v>9987</x:v>
      </x:c>
      <x:c r="W851" s="55" t="n">
        <x:v>6746</x:v>
      </x:c>
      <x:c r="X851" s="55" t="n">
        <x:v>3241</x:v>
      </x:c>
      <x:c r="Y851" s="55" t="n">
        <x:v>2835</x:v>
      </x:c>
      <x:c r="Z851" s="55" t="n">
        <x:v>2990</x:v>
      </x:c>
      <x:c r="AA851" s="55" t="n">
        <x:v>2499</x:v>
      </x:c>
      <x:c r="AB851" s="55" t="n">
        <x:v>684</x:v>
      </x:c>
      <x:c r="AC851" s="55" t="n">
        <x:v>7527</x:v>
      </x:c>
      <x:c r="AD851" s="55" t="n">
        <x:v>2618</x:v>
      </x:c>
      <x:c r="AE851" s="55" t="n">
        <x:v>10060</x:v>
      </x:c>
      <x:c r="AF851" s="55" t="n">
        <x:v>9987</x:v>
      </x:c>
      <x:c r="AG851" s="55" t="n">
        <x:v>73</x:v>
      </x:c>
      <x:c r="AH851" s="55" t="n">
        <x:v>391</x:v>
      </x:c>
      <x:c r="AI851" s="55" t="n">
        <x:v>9596</x:v>
      </x:c>
      <x:c r="AJ851" s="55" t="n">
        <x:v>527</x:v>
      </x:c>
      <x:c r="AK851" s="55" t="n">
        <x:v>1042</x:v>
      </x:c>
      <x:c r="AL851" s="55" t="n">
        <x:v>1495</x:v>
      </x:c>
      <x:c r="AM851" s="55" t="n">
        <x:v>4755</x:v>
      </x:c>
      <x:c r="AN851" s="55" t="n">
        <x:v>2140</x:v>
      </x:c>
      <x:c r="AO851" s="55" t="n">
        <x:v>28</x:v>
      </x:c>
      <x:c r="AP851" s="55" t="n">
        <x:v>2794</x:v>
      </x:c>
      <x:c r="AQ851" s="55" t="n">
        <x:v>931</x:v>
      </x:c>
    </x:row>
    <x:row r="852">
      <x:c r="A852" s="54" t="str">
        <x:v>T2_CONCORDANT_DOMAIN</x:v>
      </x:c>
      <x:c r="B852" s="54" t="n">
        <x:v>846</x:v>
      </x:c>
      <x:c r="C852" s="54" t="str">
        <x:v>NYC-V2-R01</x:v>
      </x:c>
      <x:c r="D852" s="54" t="str">
        <x:v>V2</x:v>
      </x:c>
      <x:c r="E852" s="54" t="str">
        <x:v>ADMITTED</x:v>
      </x:c>
      <x:c r="F852" s="55" t="n">
        <x:v>30173</x:v>
      </x:c>
      <x:c r="G852" s="55" t="n">
        <x:v>6831</x:v>
      </x:c>
      <x:c r="H852" s="55" t="n">
        <x:v>2925</x:v>
      </x:c>
      <x:c r="I852" s="55" t="n">
        <x:v>1200</x:v>
      </x:c>
      <x:c r="J852" s="55" t="n">
        <x:v>88</x:v>
      </x:c>
      <x:c r="K852" s="55" t="n">
        <x:v>28543</x:v>
      </x:c>
      <x:c r="L852" s="55" t="n">
        <x:v>3104</x:v>
      </x:c>
      <x:c r="M852" s="55" t="n">
        <x:v>0</x:v>
      </x:c>
      <x:c r="N852" s="55" t="n">
        <x:v>1990</x:v>
      </x:c>
      <x:c r="O852" s="55" t="n">
        <x:v>1114</x:v>
      </x:c>
      <x:c r="P852" s="55" t="n">
        <x:v>249</x:v>
      </x:c>
      <x:c r="Q852" s="55" t="n">
        <x:v>966</x:v>
      </x:c>
      <x:c r="R852" s="55" t="n">
        <x:v>1281</x:v>
      </x:c>
      <x:c r="S852" s="55" t="n">
        <x:v>2160</x:v>
      </x:c>
      <x:c r="T852" s="55" t="n">
        <x:v>536</x:v>
      </x:c>
      <x:c r="U852" s="55" t="n">
        <x:v>1541</x:v>
      </x:c>
      <x:c r="V852" s="55" t="n">
        <x:v>9598</x:v>
      </x:c>
      <x:c r="W852" s="55" t="n">
        <x:v>6654</x:v>
      </x:c>
      <x:c r="X852" s="55" t="n">
        <x:v>2944</x:v>
      </x:c>
      <x:c r="Y852" s="55" t="n">
        <x:v>2645</x:v>
      </x:c>
      <x:c r="Z852" s="55" t="n">
        <x:v>3595</x:v>
      </x:c>
      <x:c r="AA852" s="55" t="n">
        <x:v>2519</x:v>
      </x:c>
      <x:c r="AB852" s="55" t="n">
        <x:v>960</x:v>
      </x:c>
      <x:c r="AC852" s="55" t="n">
        <x:v>7260</x:v>
      </x:c>
      <x:c r="AD852" s="55" t="n">
        <x:v>2515</x:v>
      </x:c>
      <x:c r="AE852" s="55" t="n">
        <x:v>9598</x:v>
      </x:c>
      <x:c r="AF852" s="55" t="n">
        <x:v>9598</x:v>
      </x:c>
      <x:c r="AG852" s="55" t="n">
        <x:v>0</x:v>
      </x:c>
      <x:c r="AH852" s="55" t="n">
        <x:v>356</x:v>
      </x:c>
      <x:c r="AI852" s="55" t="n">
        <x:v>9242</x:v>
      </x:c>
      <x:c r="AJ852" s="55" t="n">
        <x:v>124</x:v>
      </x:c>
      <x:c r="AK852" s="55" t="n">
        <x:v>757</x:v>
      </x:c>
      <x:c r="AL852" s="55" t="n">
        <x:v>1235</x:v>
      </x:c>
      <x:c r="AM852" s="55" t="n">
        <x:v>4633</x:v>
      </x:c>
      <x:c r="AN852" s="55" t="n">
        <x:v>2849</x:v>
      </x:c>
      <x:c r="AO852" s="55" t="n">
        <x:v>0</x:v>
      </x:c>
      <x:c r="AP852" s="55" t="n">
        <x:v>2078</x:v>
      </x:c>
      <x:c r="AQ852" s="55" t="n">
        <x:v>927</x:v>
      </x:c>
    </x:row>
    <x:row r="853">
      <x:c r="A853" s="54" t="str">
        <x:v>T2_CONCORDANT_DOMAIN</x:v>
      </x:c>
      <x:c r="B853" s="54" t="n">
        <x:v>847</x:v>
      </x:c>
      <x:c r="C853" s="54" t="str">
        <x:v>NYC-V2-R01</x:v>
      </x:c>
      <x:c r="D853" s="54" t="str">
        <x:v>V2</x:v>
      </x:c>
      <x:c r="E853" s="54" t="str">
        <x:v>ADMITTED</x:v>
      </x:c>
      <x:c r="F853" s="55" t="n">
        <x:v>29985</x:v>
      </x:c>
      <x:c r="G853" s="55" t="n">
        <x:v>6646</x:v>
      </x:c>
      <x:c r="H853" s="55" t="n">
        <x:v>3360</x:v>
      </x:c>
      <x:c r="I853" s="55" t="n">
        <x:v>936</x:v>
      </x:c>
      <x:c r="J853" s="55" t="n">
        <x:v>160</x:v>
      </x:c>
      <x:c r="K853" s="55" t="n">
        <x:v>29985</x:v>
      </x:c>
      <x:c r="L853" s="55" t="n">
        <x:v>4862</x:v>
      </x:c>
      <x:c r="M853" s="55" t="n">
        <x:v>916</x:v>
      </x:c>
      <x:c r="N853" s="55" t="n">
        <x:v>2112</x:v>
      </x:c>
      <x:c r="O853" s="55" t="n">
        <x:v>1834</x:v>
      </x:c>
      <x:c r="P853" s="55" t="n">
        <x:v>662</x:v>
      </x:c>
      <x:c r="Q853" s="55" t="n">
        <x:v>2692</x:v>
      </x:c>
      <x:c r="R853" s="55" t="n">
        <x:v>1497</x:v>
      </x:c>
      <x:c r="S853" s="55" t="n">
        <x:v>2579</x:v>
      </x:c>
      <x:c r="T853" s="55" t="n">
        <x:v>1341</x:v>
      </x:c>
      <x:c r="U853" s="55" t="n">
        <x:v>1697</x:v>
      </x:c>
      <x:c r="V853" s="55" t="n">
        <x:v>10958</x:v>
      </x:c>
      <x:c r="W853" s="55" t="n">
        <x:v>7675</x:v>
      </x:c>
      <x:c r="X853" s="55" t="n">
        <x:v>3283</x:v>
      </x:c>
      <x:c r="Y853" s="55" t="n">
        <x:v>2902</x:v>
      </x:c>
      <x:c r="Z853" s="55" t="n">
        <x:v>3452</x:v>
      </x:c>
      <x:c r="AA853" s="55" t="n">
        <x:v>3360</x:v>
      </x:c>
      <x:c r="AB853" s="55" t="n">
        <x:v>948</x:v>
      </x:c>
      <x:c r="AC853" s="55" t="n">
        <x:v>8143</x:v>
      </x:c>
      <x:c r="AD853" s="55" t="n">
        <x:v>3649</x:v>
      </x:c>
      <x:c r="AE853" s="55" t="n">
        <x:v>11066</x:v>
      </x:c>
      <x:c r="AF853" s="55" t="n">
        <x:v>10958</x:v>
      </x:c>
      <x:c r="AG853" s="55" t="n">
        <x:v>108</x:v>
      </x:c>
      <x:c r="AH853" s="55" t="n">
        <x:v>600</x:v>
      </x:c>
      <x:c r="AI853" s="55" t="n">
        <x:v>10358</x:v>
      </x:c>
      <x:c r="AJ853" s="55" t="n">
        <x:v>312</x:v>
      </x:c>
      <x:c r="AK853" s="55" t="n">
        <x:v>1125</x:v>
      </x:c>
      <x:c r="AL853" s="55" t="n">
        <x:v>1609</x:v>
      </x:c>
      <x:c r="AM853" s="55" t="n">
        <x:v>5055</x:v>
      </x:c>
      <x:c r="AN853" s="55" t="n">
        <x:v>2838</x:v>
      </x:c>
      <x:c r="AO853" s="55" t="n">
        <x:v>19</x:v>
      </x:c>
      <x:c r="AP853" s="55" t="n">
        <x:v>2476</x:v>
      </x:c>
      <x:c r="AQ853" s="55" t="n">
        <x:v>936</x:v>
      </x:c>
    </x:row>
    <x:row r="854">
      <x:c r="A854" s="54" t="str">
        <x:v>T2_CONCORDANT_DOMAIN</x:v>
      </x:c>
      <x:c r="B854" s="54" t="n">
        <x:v>848</x:v>
      </x:c>
      <x:c r="C854" s="54" t="str">
        <x:v>NYC-V2-R01</x:v>
      </x:c>
      <x:c r="D854" s="54" t="str">
        <x:v>V2</x:v>
      </x:c>
      <x:c r="E854" s="54" t="str">
        <x:v>ADMITTED</x:v>
      </x:c>
      <x:c r="F854" s="55" t="n">
        <x:v>32015</x:v>
      </x:c>
      <x:c r="G854" s="55" t="n">
        <x:v>8634</x:v>
      </x:c>
      <x:c r="H854" s="55" t="n">
        <x:v>3359</x:v>
      </x:c>
      <x:c r="I854" s="55" t="n">
        <x:v>1226</x:v>
      </x:c>
      <x:c r="J854" s="55" t="n">
        <x:v>232</x:v>
      </x:c>
      <x:c r="K854" s="55" t="n">
        <x:v>31307</x:v>
      </x:c>
      <x:c r="L854" s="55" t="n">
        <x:v>6198</x:v>
      </x:c>
      <x:c r="M854" s="55" t="n">
        <x:v>1371</x:v>
      </x:c>
      <x:c r="N854" s="55" t="n">
        <x:v>3110</x:v>
      </x:c>
      <x:c r="O854" s="55" t="n">
        <x:v>1717</x:v>
      </x:c>
      <x:c r="P854" s="55" t="n">
        <x:v>915</x:v>
      </x:c>
      <x:c r="Q854" s="55" t="n">
        <x:v>1879</x:v>
      </x:c>
      <x:c r="R854" s="55" t="n">
        <x:v>1806</x:v>
      </x:c>
      <x:c r="S854" s="55" t="n">
        <x:v>2927</x:v>
      </x:c>
      <x:c r="T854" s="55" t="n">
        <x:v>1113</x:v>
      </x:c>
      <x:c r="U854" s="55" t="n">
        <x:v>1703</x:v>
      </x:c>
      <x:c r="V854" s="55" t="n">
        <x:v>9977</x:v>
      </x:c>
      <x:c r="W854" s="55" t="n">
        <x:v>6770</x:v>
      </x:c>
      <x:c r="X854" s="55" t="n">
        <x:v>3207</x:v>
      </x:c>
      <x:c r="Y854" s="55" t="n">
        <x:v>2788</x:v>
      </x:c>
      <x:c r="Z854" s="55" t="n">
        <x:v>3955</x:v>
      </x:c>
      <x:c r="AA854" s="55" t="n">
        <x:v>3106</x:v>
      </x:c>
      <x:c r="AB854" s="55" t="n">
        <x:v>1163</x:v>
      </x:c>
      <x:c r="AC854" s="55" t="n">
        <x:v>8605</x:v>
      </x:c>
      <x:c r="AD854" s="55" t="n">
        <x:v>3009</x:v>
      </x:c>
      <x:c r="AE854" s="55" t="n">
        <x:v>9983</x:v>
      </x:c>
      <x:c r="AF854" s="55" t="n">
        <x:v>9977</x:v>
      </x:c>
      <x:c r="AG854" s="55" t="n">
        <x:v>6</x:v>
      </x:c>
      <x:c r="AH854" s="55" t="n">
        <x:v>258</x:v>
      </x:c>
      <x:c r="AI854" s="55" t="n">
        <x:v>9719</x:v>
      </x:c>
      <x:c r="AJ854" s="55" t="n">
        <x:v>395</x:v>
      </x:c>
      <x:c r="AK854" s="55" t="n">
        <x:v>525</x:v>
      </x:c>
      <x:c r="AL854" s="55" t="n">
        <x:v>1756</x:v>
      </x:c>
      <x:c r="AM854" s="55" t="n">
        <x:v>4807</x:v>
      </x:c>
      <x:c r="AN854" s="55" t="n">
        <x:v>2494</x:v>
      </x:c>
      <x:c r="AO854" s="55" t="n">
        <x:v>0</x:v>
      </x:c>
      <x:c r="AP854" s="55" t="n">
        <x:v>2114</x:v>
      </x:c>
      <x:c r="AQ854" s="55" t="n">
        <x:v>1015</x:v>
      </x:c>
    </x:row>
    <x:row r="855">
      <x:c r="A855" s="54" t="str">
        <x:v>T2_CONCORDANT_DOMAIN</x:v>
      </x:c>
      <x:c r="B855" s="54" t="n">
        <x:v>849</x:v>
      </x:c>
      <x:c r="C855" s="54" t="str">
        <x:v>NYC-V2-R01</x:v>
      </x:c>
      <x:c r="D855" s="54" t="str">
        <x:v>V2</x:v>
      </x:c>
      <x:c r="E855" s="54" t="str">
        <x:v>ADMITTED</x:v>
      </x:c>
      <x:c r="F855" s="55" t="n">
        <x:v>33126</x:v>
      </x:c>
      <x:c r="G855" s="55" t="n">
        <x:v>7458</x:v>
      </x:c>
      <x:c r="H855" s="55" t="n">
        <x:v>3674</x:v>
      </x:c>
      <x:c r="I855" s="55" t="n">
        <x:v>1566</x:v>
      </x:c>
      <x:c r="J855" s="55" t="n">
        <x:v>275</x:v>
      </x:c>
      <x:c r="K855" s="55" t="n">
        <x:v>33126</x:v>
      </x:c>
      <x:c r="L855" s="55" t="n">
        <x:v>6969</x:v>
      </x:c>
      <x:c r="M855" s="55" t="n">
        <x:v>2260</x:v>
      </x:c>
      <x:c r="N855" s="55" t="n">
        <x:v>2702</x:v>
      </x:c>
      <x:c r="O855" s="55" t="n">
        <x:v>2007</x:v>
      </x:c>
      <x:c r="P855" s="55" t="n">
        <x:v>1236</x:v>
      </x:c>
      <x:c r="Q855" s="55" t="n">
        <x:v>2582</x:v>
      </x:c>
      <x:c r="R855" s="55" t="n">
        <x:v>2130</x:v>
      </x:c>
      <x:c r="S855" s="55" t="n">
        <x:v>3110</x:v>
      </x:c>
      <x:c r="T855" s="55" t="n">
        <x:v>1354</x:v>
      </x:c>
      <x:c r="U855" s="55" t="n">
        <x:v>2427</x:v>
      </x:c>
      <x:c r="V855" s="55" t="n">
        <x:v>11423</x:v>
      </x:c>
      <x:c r="W855" s="55" t="n">
        <x:v>8370</x:v>
      </x:c>
      <x:c r="X855" s="55" t="n">
        <x:v>3053</x:v>
      </x:c>
      <x:c r="Y855" s="55" t="n">
        <x:v>2529</x:v>
      </x:c>
      <x:c r="Z855" s="55" t="n">
        <x:v>3506</x:v>
      </x:c>
      <x:c r="AA855" s="55" t="n">
        <x:v>3269</x:v>
      </x:c>
      <x:c r="AB855" s="55" t="n">
        <x:v>1194</x:v>
      </x:c>
      <x:c r="AC855" s="55" t="n">
        <x:v>8496</x:v>
      </x:c>
      <x:c r="AD855" s="55" t="n">
        <x:v>3160</x:v>
      </x:c>
      <x:c r="AE855" s="55" t="n">
        <x:v>11569</x:v>
      </x:c>
      <x:c r="AF855" s="55" t="n">
        <x:v>11423</x:v>
      </x:c>
      <x:c r="AG855" s="55" t="n">
        <x:v>146</x:v>
      </x:c>
      <x:c r="AH855" s="55" t="n">
        <x:v>546</x:v>
      </x:c>
      <x:c r="AI855" s="55" t="n">
        <x:v>10877</x:v>
      </x:c>
      <x:c r="AJ855" s="55" t="n">
        <x:v>317</x:v>
      </x:c>
      <x:c r="AK855" s="55" t="n">
        <x:v>1337</x:v>
      </x:c>
      <x:c r="AL855" s="55" t="n">
        <x:v>1535</x:v>
      </x:c>
      <x:c r="AM855" s="55" t="n">
        <x:v>5213</x:v>
      </x:c>
      <x:c r="AN855" s="55" t="n">
        <x:v>2959</x:v>
      </x:c>
      <x:c r="AO855" s="55" t="n">
        <x:v>62</x:v>
      </x:c>
      <x:c r="AP855" s="55" t="n">
        <x:v>2635</x:v>
      </x:c>
      <x:c r="AQ855" s="55" t="n">
        <x:v>981</x:v>
      </x:c>
    </x:row>
    <x:row r="856">
      <x:c r="A856" s="54" t="str">
        <x:v>T2_CONCORDANT_DOMAIN</x:v>
      </x:c>
      <x:c r="B856" s="54" t="n">
        <x:v>850</x:v>
      </x:c>
      <x:c r="C856" s="54" t="str">
        <x:v>NYC-V2-R01</x:v>
      </x:c>
      <x:c r="D856" s="54" t="str">
        <x:v>V2</x:v>
      </x:c>
      <x:c r="E856" s="54" t="str">
        <x:v>ADMITTED</x:v>
      </x:c>
      <x:c r="F856" s="55" t="n">
        <x:v>31457</x:v>
      </x:c>
      <x:c r="G856" s="55" t="n">
        <x:v>7944</x:v>
      </x:c>
      <x:c r="H856" s="55" t="n">
        <x:v>2846</x:v>
      </x:c>
      <x:c r="I856" s="55" t="n">
        <x:v>1282</x:v>
      </x:c>
      <x:c r="J856" s="55" t="n">
        <x:v>118</x:v>
      </x:c>
      <x:c r="K856" s="55" t="n">
        <x:v>31457</x:v>
      </x:c>
      <x:c r="L856" s="55" t="n">
        <x:v>5118</x:v>
      </x:c>
      <x:c r="M856" s="55" t="n">
        <x:v>1189</x:v>
      </x:c>
      <x:c r="N856" s="55" t="n">
        <x:v>2510</x:v>
      </x:c>
      <x:c r="O856" s="55" t="n">
        <x:v>1419</x:v>
      </x:c>
      <x:c r="P856" s="55" t="n">
        <x:v>398</x:v>
      </x:c>
      <x:c r="Q856" s="55" t="n">
        <x:v>1821</x:v>
      </x:c>
      <x:c r="R856" s="55" t="n">
        <x:v>1470</x:v>
      </x:c>
      <x:c r="S856" s="55" t="n">
        <x:v>2555</x:v>
      </x:c>
      <x:c r="T856" s="55" t="n">
        <x:v>1055</x:v>
      </x:c>
      <x:c r="U856" s="55" t="n">
        <x:v>1740</x:v>
      </x:c>
      <x:c r="V856" s="55" t="n">
        <x:v>10261</x:v>
      </x:c>
      <x:c r="W856" s="55" t="n">
        <x:v>7649</x:v>
      </x:c>
      <x:c r="X856" s="55" t="n">
        <x:v>2612</x:v>
      </x:c>
      <x:c r="Y856" s="55" t="n">
        <x:v>2194</x:v>
      </x:c>
      <x:c r="Z856" s="55" t="n">
        <x:v>3275</x:v>
      </x:c>
      <x:c r="AA856" s="55" t="n">
        <x:v>2831</x:v>
      </x:c>
      <x:c r="AB856" s="55" t="n">
        <x:v>1022</x:v>
      </x:c>
      <x:c r="AC856" s="55" t="n">
        <x:v>7179</x:v>
      </x:c>
      <x:c r="AD856" s="55" t="n">
        <x:v>2415</x:v>
      </x:c>
      <x:c r="AE856" s="55" t="n">
        <x:v>10320</x:v>
      </x:c>
      <x:c r="AF856" s="55" t="n">
        <x:v>10261</x:v>
      </x:c>
      <x:c r="AG856" s="55" t="n">
        <x:v>59</x:v>
      </x:c>
      <x:c r="AH856" s="55" t="n">
        <x:v>382</x:v>
      </x:c>
      <x:c r="AI856" s="55" t="n">
        <x:v>9879</x:v>
      </x:c>
      <x:c r="AJ856" s="55" t="n">
        <x:v>299</x:v>
      </x:c>
      <x:c r="AK856" s="55" t="n">
        <x:v>856</x:v>
      </x:c>
      <x:c r="AL856" s="55" t="n">
        <x:v>1206</x:v>
      </x:c>
      <x:c r="AM856" s="55" t="n">
        <x:v>5108</x:v>
      </x:c>
      <x:c r="AN856" s="55" t="n">
        <x:v>2762</x:v>
      </x:c>
      <x:c r="AO856" s="55" t="n">
        <x:v>30</x:v>
      </x:c>
      <x:c r="AP856" s="55" t="n">
        <x:v>2044</x:v>
      </x:c>
      <x:c r="AQ856" s="55" t="n">
        <x:v>939</x:v>
      </x:c>
    </x:row>
    <x:row r="857">
      <x:c r="A857" s="54" t="str">
        <x:v>T2_CONCORDANT_DOMAIN</x:v>
      </x:c>
      <x:c r="B857" s="54" t="n">
        <x:v>851</x:v>
      </x:c>
      <x:c r="C857" s="54" t="str">
        <x:v>NYC-V2-R01</x:v>
      </x:c>
      <x:c r="D857" s="54" t="str">
        <x:v>V2</x:v>
      </x:c>
      <x:c r="E857" s="54" t="str">
        <x:v>ADMITTED</x:v>
      </x:c>
      <x:c r="F857" s="55" t="n">
        <x:v>30237</x:v>
      </x:c>
      <x:c r="G857" s="55" t="n">
        <x:v>7056</x:v>
      </x:c>
      <x:c r="H857" s="55" t="n">
        <x:v>2855</x:v>
      </x:c>
      <x:c r="I857" s="55" t="n">
        <x:v>1080</x:v>
      </x:c>
      <x:c r="J857" s="55" t="n">
        <x:v>111</x:v>
      </x:c>
      <x:c r="K857" s="55" t="n">
        <x:v>29736</x:v>
      </x:c>
      <x:c r="L857" s="55" t="n">
        <x:v>5963</x:v>
      </x:c>
      <x:c r="M857" s="55" t="n">
        <x:v>1100</x:v>
      </x:c>
      <x:c r="N857" s="55" t="n">
        <x:v>3011</x:v>
      </x:c>
      <x:c r="O857" s="55" t="n">
        <x:v>1852</x:v>
      </x:c>
      <x:c r="P857" s="55" t="n">
        <x:v>771</x:v>
      </x:c>
      <x:c r="Q857" s="55" t="n">
        <x:v>2450</x:v>
      </x:c>
      <x:c r="R857" s="55" t="n">
        <x:v>1952</x:v>
      </x:c>
      <x:c r="S857" s="55" t="n">
        <x:v>2704</x:v>
      </x:c>
      <x:c r="T857" s="55" t="n">
        <x:v>1444</x:v>
      </x:c>
      <x:c r="U857" s="55" t="n">
        <x:v>2037</x:v>
      </x:c>
      <x:c r="V857" s="55" t="n">
        <x:v>10480</x:v>
      </x:c>
      <x:c r="W857" s="55" t="n">
        <x:v>7296</x:v>
      </x:c>
      <x:c r="X857" s="55" t="n">
        <x:v>3184</x:v>
      </x:c>
      <x:c r="Y857" s="55" t="n">
        <x:v>2689</x:v>
      </x:c>
      <x:c r="Z857" s="55" t="n">
        <x:v>4089</x:v>
      </x:c>
      <x:c r="AA857" s="55" t="n">
        <x:v>2855</x:v>
      </x:c>
      <x:c r="AB857" s="55" t="n">
        <x:v>1026</x:v>
      </x:c>
      <x:c r="AC857" s="55" t="n">
        <x:v>8256</x:v>
      </x:c>
      <x:c r="AD857" s="55" t="n">
        <x:v>3327</x:v>
      </x:c>
      <x:c r="AE857" s="55" t="n">
        <x:v>10564</x:v>
      </x:c>
      <x:c r="AF857" s="55" t="n">
        <x:v>10480</x:v>
      </x:c>
      <x:c r="AG857" s="55" t="n">
        <x:v>84</x:v>
      </x:c>
      <x:c r="AH857" s="55" t="n">
        <x:v>423</x:v>
      </x:c>
      <x:c r="AI857" s="55" t="n">
        <x:v>10057</x:v>
      </x:c>
      <x:c r="AJ857" s="55" t="n">
        <x:v>326</x:v>
      </x:c>
      <x:c r="AK857" s="55" t="n">
        <x:v>922</x:v>
      </x:c>
      <x:c r="AL857" s="55" t="n">
        <x:v>1614</x:v>
      </x:c>
      <x:c r="AM857" s="55" t="n">
        <x:v>4838</x:v>
      </x:c>
      <x:c r="AN857" s="55" t="n">
        <x:v>2711</x:v>
      </x:c>
      <x:c r="AO857" s="55" t="n">
        <x:v>69</x:v>
      </x:c>
      <x:c r="AP857" s="55" t="n">
        <x:v>2270</x:v>
      </x:c>
      <x:c r="AQ857" s="55" t="n">
        <x:v>917</x:v>
      </x:c>
    </x:row>
    <x:row r="858">
      <x:c r="A858" s="54" t="str">
        <x:v>T2_CONCORDANT_DOMAIN</x:v>
      </x:c>
      <x:c r="B858" s="54" t="n">
        <x:v>852</x:v>
      </x:c>
      <x:c r="C858" s="54" t="str">
        <x:v>NYC-V2-R01</x:v>
      </x:c>
      <x:c r="D858" s="54" t="str">
        <x:v>V2</x:v>
      </x:c>
      <x:c r="E858" s="54" t="str">
        <x:v>ADMITTED</x:v>
      </x:c>
      <x:c r="F858" s="55" t="n">
        <x:v>29503</x:v>
      </x:c>
      <x:c r="G858" s="55" t="n">
        <x:v>6950</x:v>
      </x:c>
      <x:c r="H858" s="55" t="n">
        <x:v>2964</x:v>
      </x:c>
      <x:c r="I858" s="55" t="n">
        <x:v>549</x:v>
      </x:c>
      <x:c r="J858" s="55" t="n">
        <x:v>0</x:v>
      </x:c>
      <x:c r="K858" s="55" t="n">
        <x:v>28293</x:v>
      </x:c>
      <x:c r="L858" s="55" t="n">
        <x:v>4805</x:v>
      </x:c>
      <x:c r="M858" s="55" t="n">
        <x:v>468</x:v>
      </x:c>
      <x:c r="N858" s="55" t="n">
        <x:v>2645</x:v>
      </x:c>
      <x:c r="O858" s="55" t="n">
        <x:v>1692</x:v>
      </x:c>
      <x:c r="P858" s="55" t="n">
        <x:v>747</x:v>
      </x:c>
      <x:c r="Q858" s="55" t="n">
        <x:v>2396</x:v>
      </x:c>
      <x:c r="R858" s="55" t="n">
        <x:v>1242</x:v>
      </x:c>
      <x:c r="S858" s="55" t="n">
        <x:v>2605</x:v>
      </x:c>
      <x:c r="T858" s="55" t="n">
        <x:v>1120</x:v>
      </x:c>
      <x:c r="U858" s="55" t="n">
        <x:v>2154</x:v>
      </x:c>
      <x:c r="V858" s="55" t="n">
        <x:v>10134</x:v>
      </x:c>
      <x:c r="W858" s="55" t="n">
        <x:v>7127</x:v>
      </x:c>
      <x:c r="X858" s="55" t="n">
        <x:v>3007</x:v>
      </x:c>
      <x:c r="Y858" s="55" t="n">
        <x:v>2476</x:v>
      </x:c>
      <x:c r="Z858" s="55" t="n">
        <x:v>3216</x:v>
      </x:c>
      <x:c r="AA858" s="55" t="n">
        <x:v>2964</x:v>
      </x:c>
      <x:c r="AB858" s="55" t="n">
        <x:v>921</x:v>
      </x:c>
      <x:c r="AC858" s="55" t="n">
        <x:v>8172</x:v>
      </x:c>
      <x:c r="AD858" s="55" t="n">
        <x:v>2660</x:v>
      </x:c>
      <x:c r="AE858" s="55" t="n">
        <x:v>10249</x:v>
      </x:c>
      <x:c r="AF858" s="55" t="n">
        <x:v>10134</x:v>
      </x:c>
      <x:c r="AG858" s="55" t="n">
        <x:v>115</x:v>
      </x:c>
      <x:c r="AH858" s="55" t="n">
        <x:v>321</x:v>
      </x:c>
      <x:c r="AI858" s="55" t="n">
        <x:v>9813</x:v>
      </x:c>
      <x:c r="AJ858" s="55" t="n">
        <x:v>197</x:v>
      </x:c>
      <x:c r="AK858" s="55" t="n">
        <x:v>799</x:v>
      </x:c>
      <x:c r="AL858" s="55" t="n">
        <x:v>1561</x:v>
      </x:c>
      <x:c r="AM858" s="55" t="n">
        <x:v>5108</x:v>
      </x:c>
      <x:c r="AN858" s="55" t="n">
        <x:v>2469</x:v>
      </x:c>
      <x:c r="AO858" s="55" t="n">
        <x:v>0</x:v>
      </x:c>
      <x:c r="AP858" s="55" t="n">
        <x:v>1939</x:v>
      </x:c>
      <x:c r="AQ858" s="55" t="n">
        <x:v>886</x:v>
      </x:c>
    </x:row>
    <x:row r="859">
      <x:c r="A859" s="54" t="str">
        <x:v>T2_CONCORDANT_DOMAIN</x:v>
      </x:c>
      <x:c r="B859" s="54" t="n">
        <x:v>853</x:v>
      </x:c>
      <x:c r="C859" s="54" t="str">
        <x:v>NYC-V2-R01</x:v>
      </x:c>
      <x:c r="D859" s="54" t="str">
        <x:v>V2</x:v>
      </x:c>
      <x:c r="E859" s="54" t="str">
        <x:v>ADMITTED</x:v>
      </x:c>
      <x:c r="F859" s="55" t="n">
        <x:v>31790</x:v>
      </x:c>
      <x:c r="G859" s="55" t="n">
        <x:v>8580</x:v>
      </x:c>
      <x:c r="H859" s="55" t="n">
        <x:v>3395</x:v>
      </x:c>
      <x:c r="I859" s="55" t="n">
        <x:v>1229</x:v>
      </x:c>
      <x:c r="J859" s="55" t="n">
        <x:v>308</x:v>
      </x:c>
      <x:c r="K859" s="55" t="n">
        <x:v>31790</x:v>
      </x:c>
      <x:c r="L859" s="55" t="n">
        <x:v>7052</x:v>
      </x:c>
      <x:c r="M859" s="55" t="n">
        <x:v>2012</x:v>
      </x:c>
      <x:c r="N859" s="55" t="n">
        <x:v>3137</x:v>
      </x:c>
      <x:c r="O859" s="55" t="n">
        <x:v>1903</x:v>
      </x:c>
      <x:c r="P859" s="55" t="n">
        <x:v>882</x:v>
      </x:c>
      <x:c r="Q859" s="55" t="n">
        <x:v>2386</x:v>
      </x:c>
      <x:c r="R859" s="55" t="n">
        <x:v>2097</x:v>
      </x:c>
      <x:c r="S859" s="55" t="n">
        <x:v>2471</x:v>
      </x:c>
      <x:c r="T859" s="55" t="n">
        <x:v>1233</x:v>
      </x:c>
      <x:c r="U859" s="55" t="n">
        <x:v>2377</x:v>
      </x:c>
      <x:c r="V859" s="55" t="n">
        <x:v>10073</x:v>
      </x:c>
      <x:c r="W859" s="55" t="n">
        <x:v>7266</x:v>
      </x:c>
      <x:c r="X859" s="55" t="n">
        <x:v>2807</x:v>
      </x:c>
      <x:c r="Y859" s="55" t="n">
        <x:v>2212</x:v>
      </x:c>
      <x:c r="Z859" s="55" t="n">
        <x:v>3609</x:v>
      </x:c>
      <x:c r="AA859" s="55" t="n">
        <x:v>3111</x:v>
      </x:c>
      <x:c r="AB859" s="55" t="n">
        <x:v>1204</x:v>
      </x:c>
      <x:c r="AC859" s="55" t="n">
        <x:v>8549</x:v>
      </x:c>
      <x:c r="AD859" s="55" t="n">
        <x:v>3035</x:v>
      </x:c>
      <x:c r="AE859" s="55" t="n">
        <x:v>10144</x:v>
      </x:c>
      <x:c r="AF859" s="55" t="n">
        <x:v>10073</x:v>
      </x:c>
      <x:c r="AG859" s="55" t="n">
        <x:v>71</x:v>
      </x:c>
      <x:c r="AH859" s="55" t="n">
        <x:v>276</x:v>
      </x:c>
      <x:c r="AI859" s="55" t="n">
        <x:v>9797</x:v>
      </x:c>
      <x:c r="AJ859" s="55" t="n">
        <x:v>280</x:v>
      </x:c>
      <x:c r="AK859" s="55" t="n">
        <x:v>856</x:v>
      </x:c>
      <x:c r="AL859" s="55" t="n">
        <x:v>1468</x:v>
      </x:c>
      <x:c r="AM859" s="55" t="n">
        <x:v>4562</x:v>
      </x:c>
      <x:c r="AN859" s="55" t="n">
        <x:v>2907</x:v>
      </x:c>
      <x:c r="AO859" s="55" t="n">
        <x:v>0</x:v>
      </x:c>
      <x:c r="AP859" s="55" t="n">
        <x:v>2267</x:v>
      </x:c>
      <x:c r="AQ859" s="55" t="n">
        <x:v>956</x:v>
      </x:c>
    </x:row>
    <x:row r="860">
      <x:c r="A860" s="54" t="str">
        <x:v>T2_CONCORDANT_DOMAIN</x:v>
      </x:c>
      <x:c r="B860" s="54" t="n">
        <x:v>854</x:v>
      </x:c>
      <x:c r="C860" s="54" t="str">
        <x:v>NYC-V2-R01</x:v>
      </x:c>
      <x:c r="D860" s="54" t="str">
        <x:v>V2</x:v>
      </x:c>
      <x:c r="E860" s="54" t="str">
        <x:v>ADMITTED</x:v>
      </x:c>
      <x:c r="F860" s="55" t="n">
        <x:v>30316</x:v>
      </x:c>
      <x:c r="G860" s="55" t="n">
        <x:v>7460</x:v>
      </x:c>
      <x:c r="H860" s="55" t="n">
        <x:v>3373</x:v>
      </x:c>
      <x:c r="I860" s="55" t="n">
        <x:v>1285</x:v>
      </x:c>
      <x:c r="J860" s="55" t="n">
        <x:v>100</x:v>
      </x:c>
      <x:c r="K860" s="55" t="n">
        <x:v>30316</x:v>
      </x:c>
      <x:c r="L860" s="55" t="n">
        <x:v>4637</x:v>
      </x:c>
      <x:c r="M860" s="55" t="n">
        <x:v>303</x:v>
      </x:c>
      <x:c r="N860" s="55" t="n">
        <x:v>2319</x:v>
      </x:c>
      <x:c r="O860" s="55" t="n">
        <x:v>2015</x:v>
      </x:c>
      <x:c r="P860" s="55" t="n">
        <x:v>1142</x:v>
      </x:c>
      <x:c r="Q860" s="55" t="n">
        <x:v>3077</x:v>
      </x:c>
      <x:c r="R860" s="55" t="n">
        <x:v>1823</x:v>
      </x:c>
      <x:c r="S860" s="55" t="n">
        <x:v>3010</x:v>
      </x:c>
      <x:c r="T860" s="55" t="n">
        <x:v>997</x:v>
      </x:c>
      <x:c r="U860" s="55" t="n">
        <x:v>2278</x:v>
      </x:c>
      <x:c r="V860" s="55" t="n">
        <x:v>9770</x:v>
      </x:c>
      <x:c r="W860" s="55" t="n">
        <x:v>6753</x:v>
      </x:c>
      <x:c r="X860" s="55" t="n">
        <x:v>3017</x:v>
      </x:c>
      <x:c r="Y860" s="55" t="n">
        <x:v>2555</x:v>
      </x:c>
      <x:c r="Z860" s="55" t="n">
        <x:v>3723</x:v>
      </x:c>
      <x:c r="AA860" s="55" t="n">
        <x:v>3129</x:v>
      </x:c>
      <x:c r="AB860" s="55" t="n">
        <x:v>1043</x:v>
      </x:c>
      <x:c r="AC860" s="55" t="n">
        <x:v>7639</x:v>
      </x:c>
      <x:c r="AD860" s="55" t="n">
        <x:v>2458</x:v>
      </x:c>
      <x:c r="AE860" s="55" t="n">
        <x:v>9879</x:v>
      </x:c>
      <x:c r="AF860" s="55" t="n">
        <x:v>9770</x:v>
      </x:c>
      <x:c r="AG860" s="55" t="n">
        <x:v>109</x:v>
      </x:c>
      <x:c r="AH860" s="55" t="n">
        <x:v>342</x:v>
      </x:c>
      <x:c r="AI860" s="55" t="n">
        <x:v>9428</x:v>
      </x:c>
      <x:c r="AJ860" s="55" t="n">
        <x:v>228</x:v>
      </x:c>
      <x:c r="AK860" s="55" t="n">
        <x:v>1096</x:v>
      </x:c>
      <x:c r="AL860" s="55" t="n">
        <x:v>1617</x:v>
      </x:c>
      <x:c r="AM860" s="55" t="n">
        <x:v>4368</x:v>
      </x:c>
      <x:c r="AN860" s="55" t="n">
        <x:v>2437</x:v>
      </x:c>
      <x:c r="AO860" s="55" t="n">
        <x:v>24</x:v>
      </x:c>
      <x:c r="AP860" s="55" t="n">
        <x:v>2128</x:v>
      </x:c>
      <x:c r="AQ860" s="55" t="n">
        <x:v>947</x:v>
      </x:c>
    </x:row>
    <x:row r="861">
      <x:c r="A861" s="54" t="str">
        <x:v>T2_CONCORDANT_DOMAIN</x:v>
      </x:c>
      <x:c r="B861" s="54" t="n">
        <x:v>855</x:v>
      </x:c>
      <x:c r="C861" s="54" t="str">
        <x:v>NYC-V2-R01</x:v>
      </x:c>
      <x:c r="D861" s="54" t="str">
        <x:v>V2</x:v>
      </x:c>
      <x:c r="E861" s="54" t="str">
        <x:v>ADMITTED</x:v>
      </x:c>
      <x:c r="F861" s="55" t="n">
        <x:v>32699</x:v>
      </x:c>
      <x:c r="G861" s="55" t="n">
        <x:v>7767</x:v>
      </x:c>
      <x:c r="H861" s="55" t="n">
        <x:v>4062</x:v>
      </x:c>
      <x:c r="I861" s="55" t="n">
        <x:v>1779</x:v>
      </x:c>
      <x:c r="J861" s="55" t="n">
        <x:v>485</x:v>
      </x:c>
      <x:c r="K861" s="55" t="n">
        <x:v>28833</x:v>
      </x:c>
      <x:c r="L861" s="55" t="n">
        <x:v>5831</x:v>
      </x:c>
      <x:c r="M861" s="55" t="n">
        <x:v>1760</x:v>
      </x:c>
      <x:c r="N861" s="55" t="n">
        <x:v>2412</x:v>
      </x:c>
      <x:c r="O861" s="55" t="n">
        <x:v>1659</x:v>
      </x:c>
      <x:c r="P861" s="55" t="n">
        <x:v>703</x:v>
      </x:c>
      <x:c r="Q861" s="55" t="n">
        <x:v>2691</x:v>
      </x:c>
      <x:c r="R861" s="55" t="n">
        <x:v>1800</x:v>
      </x:c>
      <x:c r="S861" s="55" t="n">
        <x:v>2852</x:v>
      </x:c>
      <x:c r="T861" s="55" t="n">
        <x:v>1090</x:v>
      </x:c>
      <x:c r="U861" s="55" t="n">
        <x:v>2492</x:v>
      </x:c>
      <x:c r="V861" s="55" t="n">
        <x:v>10675</x:v>
      </x:c>
      <x:c r="W861" s="55" t="n">
        <x:v>7650</x:v>
      </x:c>
      <x:c r="X861" s="55" t="n">
        <x:v>3025</x:v>
      </x:c>
      <x:c r="Y861" s="55" t="n">
        <x:v>2710</x:v>
      </x:c>
      <x:c r="Z861" s="55" t="n">
        <x:v>3629</x:v>
      </x:c>
      <x:c r="AA861" s="55" t="n">
        <x:v>3129</x:v>
      </x:c>
      <x:c r="AB861" s="55" t="n">
        <x:v>1312</x:v>
      </x:c>
      <x:c r="AC861" s="55" t="n">
        <x:v>8127</x:v>
      </x:c>
      <x:c r="AD861" s="55" t="n">
        <x:v>2737</x:v>
      </x:c>
      <x:c r="AE861" s="55" t="n">
        <x:v>10788</x:v>
      </x:c>
      <x:c r="AF861" s="55" t="n">
        <x:v>10675</x:v>
      </x:c>
      <x:c r="AG861" s="55" t="n">
        <x:v>113</x:v>
      </x:c>
      <x:c r="AH861" s="55" t="n">
        <x:v>436</x:v>
      </x:c>
      <x:c r="AI861" s="55" t="n">
        <x:v>10239</x:v>
      </x:c>
      <x:c r="AJ861" s="55" t="n">
        <x:v>324</x:v>
      </x:c>
      <x:c r="AK861" s="55" t="n">
        <x:v>1421</x:v>
      </x:c>
      <x:c r="AL861" s="55" t="n">
        <x:v>1412</x:v>
      </x:c>
      <x:c r="AM861" s="55" t="n">
        <x:v>4339</x:v>
      </x:c>
      <x:c r="AN861" s="55" t="n">
        <x:v>3093</x:v>
      </x:c>
      <x:c r="AO861" s="55" t="n">
        <x:v>86</x:v>
      </x:c>
      <x:c r="AP861" s="55" t="n">
        <x:v>2279</x:v>
      </x:c>
      <x:c r="AQ861" s="55" t="n">
        <x:v>961</x:v>
      </x:c>
    </x:row>
    <x:row r="862">
      <x:c r="A862" s="54" t="str">
        <x:v>T2_CONCORDANT_DOMAIN</x:v>
      </x:c>
      <x:c r="B862" s="54" t="n">
        <x:v>856</x:v>
      </x:c>
      <x:c r="C862" s="54" t="str">
        <x:v>NYC-V2-R01</x:v>
      </x:c>
      <x:c r="D862" s="54" t="str">
        <x:v>V2</x:v>
      </x:c>
      <x:c r="E862" s="54" t="str">
        <x:v>ADMITTED</x:v>
      </x:c>
      <x:c r="F862" s="55" t="n">
        <x:v>30603</x:v>
      </x:c>
      <x:c r="G862" s="55" t="n">
        <x:v>7404</x:v>
      </x:c>
      <x:c r="H862" s="55" t="n">
        <x:v>3258</x:v>
      </x:c>
      <x:c r="I862" s="55" t="n">
        <x:v>1184</x:v>
      </x:c>
      <x:c r="J862" s="55" t="n">
        <x:v>198</x:v>
      </x:c>
      <x:c r="K862" s="55" t="n">
        <x:v>30603</x:v>
      </x:c>
      <x:c r="L862" s="55" t="n">
        <x:v>6171</x:v>
      </x:c>
      <x:c r="M862" s="55" t="n">
        <x:v>1916</x:v>
      </x:c>
      <x:c r="N862" s="55" t="n">
        <x:v>2298</x:v>
      </x:c>
      <x:c r="O862" s="55" t="n">
        <x:v>1957</x:v>
      </x:c>
      <x:c r="P862" s="55" t="n">
        <x:v>919</x:v>
      </x:c>
      <x:c r="Q862" s="55" t="n">
        <x:v>2573</x:v>
      </x:c>
      <x:c r="R862" s="55" t="n">
        <x:v>1486</x:v>
      </x:c>
      <x:c r="S862" s="55" t="n">
        <x:v>2448</x:v>
      </x:c>
      <x:c r="T862" s="55" t="n">
        <x:v>1480</x:v>
      </x:c>
      <x:c r="U862" s="55" t="n">
        <x:v>2380</x:v>
      </x:c>
      <x:c r="V862" s="55" t="n">
        <x:v>10377</x:v>
      </x:c>
      <x:c r="W862" s="55" t="n">
        <x:v>7575</x:v>
      </x:c>
      <x:c r="X862" s="55" t="n">
        <x:v>2802</x:v>
      </x:c>
      <x:c r="Y862" s="55" t="n">
        <x:v>2373</x:v>
      </x:c>
      <x:c r="Z862" s="55" t="n">
        <x:v>4078</x:v>
      </x:c>
      <x:c r="AA862" s="55" t="n">
        <x:v>3258</x:v>
      </x:c>
      <x:c r="AB862" s="55" t="n">
        <x:v>1624</x:v>
      </x:c>
      <x:c r="AC862" s="55" t="n">
        <x:v>8476</x:v>
      </x:c>
      <x:c r="AD862" s="55" t="n">
        <x:v>3129</x:v>
      </x:c>
      <x:c r="AE862" s="55" t="n">
        <x:v>10494</x:v>
      </x:c>
      <x:c r="AF862" s="55" t="n">
        <x:v>10377</x:v>
      </x:c>
      <x:c r="AG862" s="55" t="n">
        <x:v>117</x:v>
      </x:c>
      <x:c r="AH862" s="55" t="n">
        <x:v>411</x:v>
      </x:c>
      <x:c r="AI862" s="55" t="n">
        <x:v>9966</x:v>
      </x:c>
      <x:c r="AJ862" s="55" t="n">
        <x:v>495</x:v>
      </x:c>
      <x:c r="AK862" s="55" t="n">
        <x:v>838</x:v>
      </x:c>
      <x:c r="AL862" s="55" t="n">
        <x:v>1416</x:v>
      </x:c>
      <x:c r="AM862" s="55" t="n">
        <x:v>4579</x:v>
      </x:c>
      <x:c r="AN862" s="55" t="n">
        <x:v>3008</x:v>
      </x:c>
      <x:c r="AO862" s="55" t="n">
        <x:v>41</x:v>
      </x:c>
      <x:c r="AP862" s="55" t="n">
        <x:v>2580</x:v>
      </x:c>
      <x:c r="AQ862" s="55" t="n">
        <x:v>982</x:v>
      </x:c>
    </x:row>
    <x:row r="863">
      <x:c r="A863" s="54" t="str">
        <x:v>T2_CONCORDANT_DOMAIN</x:v>
      </x:c>
      <x:c r="B863" s="54" t="n">
        <x:v>857</x:v>
      </x:c>
      <x:c r="C863" s="54" t="str">
        <x:v>NYC-V2-R01</x:v>
      </x:c>
      <x:c r="D863" s="54" t="str">
        <x:v>V2</x:v>
      </x:c>
      <x:c r="E863" s="54" t="str">
        <x:v>ADMITTED</x:v>
      </x:c>
      <x:c r="F863" s="55" t="n">
        <x:v>30308</x:v>
      </x:c>
      <x:c r="G863" s="55" t="n">
        <x:v>8139</x:v>
      </x:c>
      <x:c r="H863" s="55" t="n">
        <x:v>2820</x:v>
      </x:c>
      <x:c r="I863" s="55" t="n">
        <x:v>790</x:v>
      </x:c>
      <x:c r="J863" s="55" t="n">
        <x:v>41</x:v>
      </x:c>
      <x:c r="K863" s="55" t="n">
        <x:v>27801</x:v>
      </x:c>
      <x:c r="L863" s="55" t="n">
        <x:v>4400</x:v>
      </x:c>
      <x:c r="M863" s="55" t="n">
        <x:v>169</x:v>
      </x:c>
      <x:c r="N863" s="55" t="n">
        <x:v>2501</x:v>
      </x:c>
      <x:c r="O863" s="55" t="n">
        <x:v>1730</x:v>
      </x:c>
      <x:c r="P863" s="55" t="n">
        <x:v>621</x:v>
      </x:c>
      <x:c r="Q863" s="55" t="n">
        <x:v>1139</x:v>
      </x:c>
      <x:c r="R863" s="55" t="n">
        <x:v>1330</x:v>
      </x:c>
      <x:c r="S863" s="55" t="n">
        <x:v>2938</x:v>
      </x:c>
      <x:c r="T863" s="55" t="n">
        <x:v>842</x:v>
      </x:c>
      <x:c r="U863" s="55" t="n">
        <x:v>1652</x:v>
      </x:c>
      <x:c r="V863" s="55" t="n">
        <x:v>9763</x:v>
      </x:c>
      <x:c r="W863" s="55" t="n">
        <x:v>6899</x:v>
      </x:c>
      <x:c r="X863" s="55" t="n">
        <x:v>2864</x:v>
      </x:c>
      <x:c r="Y863" s="55" t="n">
        <x:v>2435</x:v>
      </x:c>
      <x:c r="Z863" s="55" t="n">
        <x:v>3807</x:v>
      </x:c>
      <x:c r="AA863" s="55" t="n">
        <x:v>2764</x:v>
      </x:c>
      <x:c r="AB863" s="55" t="n">
        <x:v>811</x:v>
      </x:c>
      <x:c r="AC863" s="55" t="n">
        <x:v>7883</x:v>
      </x:c>
      <x:c r="AD863" s="55" t="n">
        <x:v>2277</x:v>
      </x:c>
      <x:c r="AE863" s="55" t="n">
        <x:v>9811</x:v>
      </x:c>
      <x:c r="AF863" s="55" t="n">
        <x:v>9763</x:v>
      </x:c>
      <x:c r="AG863" s="55" t="n">
        <x:v>48</x:v>
      </x:c>
      <x:c r="AH863" s="55" t="n">
        <x:v>245</x:v>
      </x:c>
      <x:c r="AI863" s="55" t="n">
        <x:v>9518</x:v>
      </x:c>
      <x:c r="AJ863" s="55" t="n">
        <x:v>308</x:v>
      </x:c>
      <x:c r="AK863" s="55" t="n">
        <x:v>983</x:v>
      </x:c>
      <x:c r="AL863" s="55" t="n">
        <x:v>1775</x:v>
      </x:c>
      <x:c r="AM863" s="55" t="n">
        <x:v>4108</x:v>
      </x:c>
      <x:c r="AN863" s="55" t="n">
        <x:v>2589</x:v>
      </x:c>
      <x:c r="AO863" s="55" t="n">
        <x:v>0</x:v>
      </x:c>
      <x:c r="AP863" s="55" t="n">
        <x:v>2119</x:v>
      </x:c>
      <x:c r="AQ863" s="55" t="n">
        <x:v>907</x:v>
      </x:c>
    </x:row>
    <x:row r="864">
      <x:c r="A864" s="54" t="str">
        <x:v>T2_CONCORDANT_DOMAIN</x:v>
      </x:c>
      <x:c r="B864" s="54" t="n">
        <x:v>858</x:v>
      </x:c>
      <x:c r="C864" s="54" t="str">
        <x:v>NYC-V2-R01</x:v>
      </x:c>
      <x:c r="D864" s="54" t="str">
        <x:v>V2</x:v>
      </x:c>
      <x:c r="E864" s="54" t="str">
        <x:v>ADMITTED</x:v>
      </x:c>
      <x:c r="F864" s="55" t="n">
        <x:v>32024</x:v>
      </x:c>
      <x:c r="G864" s="55" t="n">
        <x:v>9401</x:v>
      </x:c>
      <x:c r="H864" s="55" t="n">
        <x:v>2975</x:v>
      </x:c>
      <x:c r="I864" s="55" t="n">
        <x:v>1284</x:v>
      </x:c>
      <x:c r="J864" s="55" t="n">
        <x:v>264</x:v>
      </x:c>
      <x:c r="K864" s="55" t="n">
        <x:v>31831</x:v>
      </x:c>
      <x:c r="L864" s="55" t="n">
        <x:v>5953</x:v>
      </x:c>
      <x:c r="M864" s="55" t="n">
        <x:v>1580</x:v>
      </x:c>
      <x:c r="N864" s="55" t="n">
        <x:v>2547</x:v>
      </x:c>
      <x:c r="O864" s="55" t="n">
        <x:v>1826</x:v>
      </x:c>
      <x:c r="P864" s="55" t="n">
        <x:v>946</x:v>
      </x:c>
      <x:c r="Q864" s="55" t="n">
        <x:v>2670</x:v>
      </x:c>
      <x:c r="R864" s="55" t="n">
        <x:v>2089</x:v>
      </x:c>
      <x:c r="S864" s="55" t="n">
        <x:v>3168</x:v>
      </x:c>
      <x:c r="T864" s="55" t="n">
        <x:v>1078</x:v>
      </x:c>
      <x:c r="U864" s="55" t="n">
        <x:v>2252</x:v>
      </x:c>
      <x:c r="V864" s="55" t="n">
        <x:v>10740</x:v>
      </x:c>
      <x:c r="W864" s="55" t="n">
        <x:v>7534</x:v>
      </x:c>
      <x:c r="X864" s="55" t="n">
        <x:v>3206</x:v>
      </x:c>
      <x:c r="Y864" s="55" t="n">
        <x:v>2681</x:v>
      </x:c>
      <x:c r="Z864" s="55" t="n">
        <x:v>3858</x:v>
      </x:c>
      <x:c r="AA864" s="55" t="n">
        <x:v>2812</x:v>
      </x:c>
      <x:c r="AB864" s="55" t="n">
        <x:v>1146</x:v>
      </x:c>
      <x:c r="AC864" s="55" t="n">
        <x:v>8353</x:v>
      </x:c>
      <x:c r="AD864" s="55" t="n">
        <x:v>2923</x:v>
      </x:c>
      <x:c r="AE864" s="55" t="n">
        <x:v>10880</x:v>
      </x:c>
      <x:c r="AF864" s="55" t="n">
        <x:v>10740</x:v>
      </x:c>
      <x:c r="AG864" s="55" t="n">
        <x:v>140</x:v>
      </x:c>
      <x:c r="AH864" s="55" t="n">
        <x:v>585</x:v>
      </x:c>
      <x:c r="AI864" s="55" t="n">
        <x:v>10155</x:v>
      </x:c>
      <x:c r="AJ864" s="55" t="n">
        <x:v>467</x:v>
      </x:c>
      <x:c r="AK864" s="55" t="n">
        <x:v>1021</x:v>
      </x:c>
      <x:c r="AL864" s="55" t="n">
        <x:v>1873</x:v>
      </x:c>
      <x:c r="AM864" s="55" t="n">
        <x:v>4607</x:v>
      </x:c>
      <x:c r="AN864" s="55" t="n">
        <x:v>2753</x:v>
      </x:c>
      <x:c r="AO864" s="55" t="n">
        <x:v>19</x:v>
      </x:c>
      <x:c r="AP864" s="55" t="n">
        <x:v>2417</x:v>
      </x:c>
      <x:c r="AQ864" s="55" t="n">
        <x:v>969</x:v>
      </x:c>
    </x:row>
    <x:row r="865">
      <x:c r="A865" s="54" t="str">
        <x:v>T2_CONCORDANT_DOMAIN</x:v>
      </x:c>
      <x:c r="B865" s="54" t="n">
        <x:v>859</x:v>
      </x:c>
      <x:c r="C865" s="54" t="str">
        <x:v>NYC-V2-R01</x:v>
      </x:c>
      <x:c r="D865" s="54" t="str">
        <x:v>V2</x:v>
      </x:c>
      <x:c r="E865" s="54" t="str">
        <x:v>ADMITTED</x:v>
      </x:c>
      <x:c r="F865" s="55" t="n">
        <x:v>33591</x:v>
      </x:c>
      <x:c r="G865" s="55" t="n">
        <x:v>7618</x:v>
      </x:c>
      <x:c r="H865" s="55" t="n">
        <x:v>3042</x:v>
      </x:c>
      <x:c r="I865" s="55" t="n">
        <x:v>1011</x:v>
      </x:c>
      <x:c r="J865" s="55" t="n">
        <x:v>175</x:v>
      </x:c>
      <x:c r="K865" s="55" t="n">
        <x:v>33591</x:v>
      </x:c>
      <x:c r="L865" s="55" t="n">
        <x:v>5871</x:v>
      </x:c>
      <x:c r="M865" s="55" t="n">
        <x:v>1684</x:v>
      </x:c>
      <x:c r="N865" s="55" t="n">
        <x:v>2595</x:v>
      </x:c>
      <x:c r="O865" s="55" t="n">
        <x:v>1592</x:v>
      </x:c>
      <x:c r="P865" s="55" t="n">
        <x:v>634</x:v>
      </x:c>
      <x:c r="Q865" s="55" t="n">
        <x:v>2123</x:v>
      </x:c>
      <x:c r="R865" s="55" t="n">
        <x:v>1596</x:v>
      </x:c>
      <x:c r="S865" s="55" t="n">
        <x:v>2746</x:v>
      </x:c>
      <x:c r="T865" s="55" t="n">
        <x:v>1458</x:v>
      </x:c>
      <x:c r="U865" s="55" t="n">
        <x:v>2148</x:v>
      </x:c>
      <x:c r="V865" s="55" t="n">
        <x:v>10357</x:v>
      </x:c>
      <x:c r="W865" s="55" t="n">
        <x:v>7390</x:v>
      </x:c>
      <x:c r="X865" s="55" t="n">
        <x:v>2967</x:v>
      </x:c>
      <x:c r="Y865" s="55" t="n">
        <x:v>2504</x:v>
      </x:c>
      <x:c r="Z865" s="55" t="n">
        <x:v>3769</x:v>
      </x:c>
      <x:c r="AA865" s="55" t="n">
        <x:v>2586</x:v>
      </x:c>
      <x:c r="AB865" s="55" t="n">
        <x:v>838</x:v>
      </x:c>
      <x:c r="AC865" s="55" t="n">
        <x:v>7996</x:v>
      </x:c>
      <x:c r="AD865" s="55" t="n">
        <x:v>2643</x:v>
      </x:c>
      <x:c r="AE865" s="55" t="n">
        <x:v>10478</x:v>
      </x:c>
      <x:c r="AF865" s="55" t="n">
        <x:v>10357</x:v>
      </x:c>
      <x:c r="AG865" s="55" t="n">
        <x:v>121</x:v>
      </x:c>
      <x:c r="AH865" s="55" t="n">
        <x:v>494</x:v>
      </x:c>
      <x:c r="AI865" s="55" t="n">
        <x:v>9863</x:v>
      </x:c>
      <x:c r="AJ865" s="55" t="n">
        <x:v>284</x:v>
      </x:c>
      <x:c r="AK865" s="55" t="n">
        <x:v>1437</x:v>
      </x:c>
      <x:c r="AL865" s="55" t="n">
        <x:v>1154</x:v>
      </x:c>
      <x:c r="AM865" s="55" t="n">
        <x:v>5307</x:v>
      </x:c>
      <x:c r="AN865" s="55" t="n">
        <x:v>2153</x:v>
      </x:c>
      <x:c r="AO865" s="55" t="n">
        <x:v>22</x:v>
      </x:c>
      <x:c r="AP865" s="55" t="n">
        <x:v>2409</x:v>
      </x:c>
      <x:c r="AQ865" s="55" t="n">
        <x:v>943</x:v>
      </x:c>
    </x:row>
    <x:row r="866">
      <x:c r="A866" s="54" t="str">
        <x:v>T2_CONCORDANT_DOMAIN</x:v>
      </x:c>
      <x:c r="B866" s="54" t="n">
        <x:v>860</x:v>
      </x:c>
      <x:c r="C866" s="54" t="str">
        <x:v>NYC-V2-R01</x:v>
      </x:c>
      <x:c r="D866" s="54" t="str">
        <x:v>V2</x:v>
      </x:c>
      <x:c r="E866" s="54" t="str">
        <x:v>ADMITTED</x:v>
      </x:c>
      <x:c r="F866" s="55" t="n">
        <x:v>29978</x:v>
      </x:c>
      <x:c r="G866" s="55" t="n">
        <x:v>6280</x:v>
      </x:c>
      <x:c r="H866" s="55" t="n">
        <x:v>3171</x:v>
      </x:c>
      <x:c r="I866" s="55" t="n">
        <x:v>1058</x:v>
      </x:c>
      <x:c r="J866" s="55" t="n">
        <x:v>0</x:v>
      </x:c>
      <x:c r="K866" s="55" t="n">
        <x:v>29978</x:v>
      </x:c>
      <x:c r="L866" s="55" t="n">
        <x:v>5053</x:v>
      </x:c>
      <x:c r="M866" s="55" t="n">
        <x:v>1755</x:v>
      </x:c>
      <x:c r="N866" s="55" t="n">
        <x:v>1759</x:v>
      </x:c>
      <x:c r="O866" s="55" t="n">
        <x:v>1539</x:v>
      </x:c>
      <x:c r="P866" s="55" t="n">
        <x:v>821</x:v>
      </x:c>
      <x:c r="Q866" s="55" t="n">
        <x:v>2260</x:v>
      </x:c>
      <x:c r="R866" s="55" t="n">
        <x:v>1672</x:v>
      </x:c>
      <x:c r="S866" s="55" t="n">
        <x:v>2669</x:v>
      </x:c>
      <x:c r="T866" s="55" t="n">
        <x:v>1114</x:v>
      </x:c>
      <x:c r="U866" s="55" t="n">
        <x:v>1644</x:v>
      </x:c>
      <x:c r="V866" s="55" t="n">
        <x:v>9608</x:v>
      </x:c>
      <x:c r="W866" s="55" t="n">
        <x:v>6470</x:v>
      </x:c>
      <x:c r="X866" s="55" t="n">
        <x:v>3138</x:v>
      </x:c>
      <x:c r="Y866" s="55" t="n">
        <x:v>2668</x:v>
      </x:c>
      <x:c r="Z866" s="55" t="n">
        <x:v>3678</x:v>
      </x:c>
      <x:c r="AA866" s="55" t="n">
        <x:v>3171</x:v>
      </x:c>
      <x:c r="AB866" s="55" t="n">
        <x:v>1235</x:v>
      </x:c>
      <x:c r="AC866" s="55" t="n">
        <x:v>8012</x:v>
      </x:c>
      <x:c r="AD866" s="55" t="n">
        <x:v>3001</x:v>
      </x:c>
      <x:c r="AE866" s="55" t="n">
        <x:v>9665</x:v>
      </x:c>
      <x:c r="AF866" s="55" t="n">
        <x:v>9608</x:v>
      </x:c>
      <x:c r="AG866" s="55" t="n">
        <x:v>57</x:v>
      </x:c>
      <x:c r="AH866" s="55" t="n">
        <x:v>118</x:v>
      </x:c>
      <x:c r="AI866" s="55" t="n">
        <x:v>9490</x:v>
      </x:c>
      <x:c r="AJ866" s="55" t="n">
        <x:v>186</x:v>
      </x:c>
      <x:c r="AK866" s="55" t="n">
        <x:v>1077</x:v>
      </x:c>
      <x:c r="AL866" s="55" t="n">
        <x:v>1662</x:v>
      </x:c>
      <x:c r="AM866" s="55" t="n">
        <x:v>4134</x:v>
      </x:c>
      <x:c r="AN866" s="55" t="n">
        <x:v>2549</x:v>
      </x:c>
      <x:c r="AO866" s="55" t="n">
        <x:v>0</x:v>
      </x:c>
      <x:c r="AP866" s="55" t="n">
        <x:v>2031</x:v>
      </x:c>
      <x:c r="AQ866" s="55" t="n">
        <x:v>913</x:v>
      </x:c>
    </x:row>
    <x:row r="867">
      <x:c r="A867" s="54" t="str">
        <x:v>T2_CONCORDANT_DOMAIN</x:v>
      </x:c>
      <x:c r="B867" s="54" t="n">
        <x:v>861</x:v>
      </x:c>
      <x:c r="C867" s="54" t="str">
        <x:v>NYC-V2-R01</x:v>
      </x:c>
      <x:c r="D867" s="54" t="str">
        <x:v>V2</x:v>
      </x:c>
      <x:c r="E867" s="54" t="str">
        <x:v>ADMITTED</x:v>
      </x:c>
      <x:c r="F867" s="55" t="n">
        <x:v>29556</x:v>
      </x:c>
      <x:c r="G867" s="55" t="n">
        <x:v>7812</x:v>
      </x:c>
      <x:c r="H867" s="55" t="n">
        <x:v>2770</x:v>
      </x:c>
      <x:c r="I867" s="55" t="n">
        <x:v>913</x:v>
      </x:c>
      <x:c r="J867" s="55" t="n">
        <x:v>85</x:v>
      </x:c>
      <x:c r="K867" s="55" t="n">
        <x:v>25521</x:v>
      </x:c>
      <x:c r="L867" s="55" t="n">
        <x:v>3046</x:v>
      </x:c>
      <x:c r="M867" s="55" t="n">
        <x:v>179</x:v>
      </x:c>
      <x:c r="N867" s="55" t="n">
        <x:v>1649</x:v>
      </x:c>
      <x:c r="O867" s="55" t="n">
        <x:v>1218</x:v>
      </x:c>
      <x:c r="P867" s="55" t="n">
        <x:v>743</x:v>
      </x:c>
      <x:c r="Q867" s="55" t="n">
        <x:v>2138</x:v>
      </x:c>
      <x:c r="R867" s="55" t="n">
        <x:v>1273</x:v>
      </x:c>
      <x:c r="S867" s="55" t="n">
        <x:v>2647</x:v>
      </x:c>
      <x:c r="T867" s="55" t="n">
        <x:v>861</x:v>
      </x:c>
      <x:c r="U867" s="55" t="n">
        <x:v>1640</x:v>
      </x:c>
      <x:c r="V867" s="55" t="n">
        <x:v>10517</x:v>
      </x:c>
      <x:c r="W867" s="55" t="n">
        <x:v>7936</x:v>
      </x:c>
      <x:c r="X867" s="55" t="n">
        <x:v>2581</x:v>
      </x:c>
      <x:c r="Y867" s="55" t="n">
        <x:v>2199</x:v>
      </x:c>
      <x:c r="Z867" s="55" t="n">
        <x:v>3213</x:v>
      </x:c>
      <x:c r="AA867" s="55" t="n">
        <x:v>2770</x:v>
      </x:c>
      <x:c r="AB867" s="55" t="n">
        <x:v>811</x:v>
      </x:c>
      <x:c r="AC867" s="55" t="n">
        <x:v>8189</x:v>
      </x:c>
      <x:c r="AD867" s="55" t="n">
        <x:v>2588</x:v>
      </x:c>
      <x:c r="AE867" s="55" t="n">
        <x:v>10697</x:v>
      </x:c>
      <x:c r="AF867" s="55" t="n">
        <x:v>10517</x:v>
      </x:c>
      <x:c r="AG867" s="55" t="n">
        <x:v>180</x:v>
      </x:c>
      <x:c r="AH867" s="55" t="n">
        <x:v>387</x:v>
      </x:c>
      <x:c r="AI867" s="55" t="n">
        <x:v>10130</x:v>
      </x:c>
      <x:c r="AJ867" s="55" t="n">
        <x:v>243</x:v>
      </x:c>
      <x:c r="AK867" s="55" t="n">
        <x:v>1181</x:v>
      </x:c>
      <x:c r="AL867" s="55" t="n">
        <x:v>1195</x:v>
      </x:c>
      <x:c r="AM867" s="55" t="n">
        <x:v>5332</x:v>
      </x:c>
      <x:c r="AN867" s="55" t="n">
        <x:v>2566</x:v>
      </x:c>
      <x:c r="AO867" s="55" t="n">
        <x:v>0</x:v>
      </x:c>
      <x:c r="AP867" s="55" t="n">
        <x:v>2260</x:v>
      </x:c>
      <x:c r="AQ867" s="55" t="n">
        <x:v>950</x:v>
      </x:c>
    </x:row>
    <x:row r="868">
      <x:c r="A868" s="54" t="str">
        <x:v>T2_CONCORDANT_DOMAIN</x:v>
      </x:c>
      <x:c r="B868" s="54" t="n">
        <x:v>862</x:v>
      </x:c>
      <x:c r="C868" s="54" t="str">
        <x:v>NYC-V2-R01</x:v>
      </x:c>
      <x:c r="D868" s="54" t="str">
        <x:v>V2</x:v>
      </x:c>
      <x:c r="E868" s="54" t="str">
        <x:v>ADMITTED</x:v>
      </x:c>
      <x:c r="F868" s="55" t="n">
        <x:v>30729</x:v>
      </x:c>
      <x:c r="G868" s="55" t="n">
        <x:v>5877</x:v>
      </x:c>
      <x:c r="H868" s="55" t="n">
        <x:v>3331</x:v>
      </x:c>
      <x:c r="I868" s="55" t="n">
        <x:v>1398</x:v>
      </x:c>
      <x:c r="J868" s="55" t="n">
        <x:v>305</x:v>
      </x:c>
      <x:c r="K868" s="55" t="n">
        <x:v>30729</x:v>
      </x:c>
      <x:c r="L868" s="55" t="n">
        <x:v>5559</x:v>
      </x:c>
      <x:c r="M868" s="55" t="n">
        <x:v>1224</x:v>
      </x:c>
      <x:c r="N868" s="55" t="n">
        <x:v>2797</x:v>
      </x:c>
      <x:c r="O868" s="55" t="n">
        <x:v>1538</x:v>
      </x:c>
      <x:c r="P868" s="55" t="n">
        <x:v>649</x:v>
      </x:c>
      <x:c r="Q868" s="55" t="n">
        <x:v>2368</x:v>
      </x:c>
      <x:c r="R868" s="55" t="n">
        <x:v>1729</x:v>
      </x:c>
      <x:c r="S868" s="55" t="n">
        <x:v>2836</x:v>
      </x:c>
      <x:c r="T868" s="55" t="n">
        <x:v>966</x:v>
      </x:c>
      <x:c r="U868" s="55" t="n">
        <x:v>1897</x:v>
      </x:c>
      <x:c r="V868" s="55" t="n">
        <x:v>10517</x:v>
      </x:c>
      <x:c r="W868" s="55" t="n">
        <x:v>7587</x:v>
      </x:c>
      <x:c r="X868" s="55" t="n">
        <x:v>2930</x:v>
      </x:c>
      <x:c r="Y868" s="55" t="n">
        <x:v>2471</x:v>
      </x:c>
      <x:c r="Z868" s="55" t="n">
        <x:v>2892</x:v>
      </x:c>
      <x:c r="AA868" s="55" t="n">
        <x:v>2838</x:v>
      </x:c>
      <x:c r="AB868" s="55" t="n">
        <x:v>1319</x:v>
      </x:c>
      <x:c r="AC868" s="55" t="n">
        <x:v>7710</x:v>
      </x:c>
      <x:c r="AD868" s="55" t="n">
        <x:v>2786</x:v>
      </x:c>
      <x:c r="AE868" s="55" t="n">
        <x:v>10561</x:v>
      </x:c>
      <x:c r="AF868" s="55" t="n">
        <x:v>10517</x:v>
      </x:c>
      <x:c r="AG868" s="55" t="n">
        <x:v>44</x:v>
      </x:c>
      <x:c r="AH868" s="55" t="n">
        <x:v>448</x:v>
      </x:c>
      <x:c r="AI868" s="55" t="n">
        <x:v>10069</x:v>
      </x:c>
      <x:c r="AJ868" s="55" t="n">
        <x:v>366</x:v>
      </x:c>
      <x:c r="AK868" s="55" t="n">
        <x:v>1087</x:v>
      </x:c>
      <x:c r="AL868" s="55" t="n">
        <x:v>1615</x:v>
      </x:c>
      <x:c r="AM868" s="55" t="n">
        <x:v>4843</x:v>
      </x:c>
      <x:c r="AN868" s="55" t="n">
        <x:v>2591</x:v>
      </x:c>
      <x:c r="AO868" s="55" t="n">
        <x:v>15</x:v>
      </x:c>
      <x:c r="AP868" s="55" t="n">
        <x:v>2607</x:v>
      </x:c>
      <x:c r="AQ868" s="55" t="n">
        <x:v>956</x:v>
      </x:c>
    </x:row>
    <x:row r="869">
      <x:c r="A869" s="54" t="str">
        <x:v>T2_CONCORDANT_DOMAIN</x:v>
      </x:c>
      <x:c r="B869" s="54" t="n">
        <x:v>863</x:v>
      </x:c>
      <x:c r="C869" s="54" t="str">
        <x:v>NYC-V2-R01</x:v>
      </x:c>
      <x:c r="D869" s="54" t="str">
        <x:v>V2</x:v>
      </x:c>
      <x:c r="E869" s="54" t="str">
        <x:v>ADMITTED</x:v>
      </x:c>
      <x:c r="F869" s="55" t="n">
        <x:v>31077</x:v>
      </x:c>
      <x:c r="G869" s="55" t="n">
        <x:v>8436</x:v>
      </x:c>
      <x:c r="H869" s="55" t="n">
        <x:v>2822</x:v>
      </x:c>
      <x:c r="I869" s="55" t="n">
        <x:v>833</x:v>
      </x:c>
      <x:c r="J869" s="55" t="n">
        <x:v>131</x:v>
      </x:c>
      <x:c r="K869" s="55" t="n">
        <x:v>28237</x:v>
      </x:c>
      <x:c r="L869" s="55" t="n">
        <x:v>3258</x:v>
      </x:c>
      <x:c r="M869" s="55" t="n">
        <x:v>354</x:v>
      </x:c>
      <x:c r="N869" s="55" t="n">
        <x:v>1576</x:v>
      </x:c>
      <x:c r="O869" s="55" t="n">
        <x:v>1328</x:v>
      </x:c>
      <x:c r="P869" s="55" t="n">
        <x:v>611</x:v>
      </x:c>
      <x:c r="Q869" s="55" t="n">
        <x:v>1530</x:v>
      </x:c>
      <x:c r="R869" s="55" t="n">
        <x:v>1332</x:v>
      </x:c>
      <x:c r="S869" s="55" t="n">
        <x:v>2481</x:v>
      </x:c>
      <x:c r="T869" s="55" t="n">
        <x:v>819</x:v>
      </x:c>
      <x:c r="U869" s="55" t="n">
        <x:v>1828</x:v>
      </x:c>
      <x:c r="V869" s="55" t="n">
        <x:v>10059</x:v>
      </x:c>
      <x:c r="W869" s="55" t="n">
        <x:v>7491</x:v>
      </x:c>
      <x:c r="X869" s="55" t="n">
        <x:v>2568</x:v>
      </x:c>
      <x:c r="Y869" s="55" t="n">
        <x:v>2177</x:v>
      </x:c>
      <x:c r="Z869" s="55" t="n">
        <x:v>3174</x:v>
      </x:c>
      <x:c r="AA869" s="55" t="n">
        <x:v>2822</x:v>
      </x:c>
      <x:c r="AB869" s="55" t="n">
        <x:v>957</x:v>
      </x:c>
      <x:c r="AC869" s="55" t="n">
        <x:v>7502</x:v>
      </x:c>
      <x:c r="AD869" s="55" t="n">
        <x:v>2974</x:v>
      </x:c>
      <x:c r="AE869" s="55" t="n">
        <x:v>10133</x:v>
      </x:c>
      <x:c r="AF869" s="55" t="n">
        <x:v>10059</x:v>
      </x:c>
      <x:c r="AG869" s="55" t="n">
        <x:v>74</x:v>
      </x:c>
      <x:c r="AH869" s="55" t="n">
        <x:v>402</x:v>
      </x:c>
      <x:c r="AI869" s="55" t="n">
        <x:v>9657</x:v>
      </x:c>
      <x:c r="AJ869" s="55" t="n">
        <x:v>437</x:v>
      </x:c>
      <x:c r="AK869" s="55" t="n">
        <x:v>1156</x:v>
      </x:c>
      <x:c r="AL869" s="55" t="n">
        <x:v>998</x:v>
      </x:c>
      <x:c r="AM869" s="55" t="n">
        <x:v>5066</x:v>
      </x:c>
      <x:c r="AN869" s="55" t="n">
        <x:v>2402</x:v>
      </x:c>
      <x:c r="AO869" s="55" t="n">
        <x:v>0</x:v>
      </x:c>
      <x:c r="AP869" s="55" t="n">
        <x:v>2418</x:v>
      </x:c>
      <x:c r="AQ869" s="55" t="n">
        <x:v>940</x:v>
      </x:c>
    </x:row>
    <x:row r="870">
      <x:c r="A870" s="54" t="str">
        <x:v>T2_CONCORDANT_DOMAIN</x:v>
      </x:c>
      <x:c r="B870" s="54" t="n">
        <x:v>864</x:v>
      </x:c>
      <x:c r="C870" s="54" t="str">
        <x:v>NYC-V2-R01</x:v>
      </x:c>
      <x:c r="D870" s="54" t="str">
        <x:v>V2</x:v>
      </x:c>
      <x:c r="E870" s="54" t="str">
        <x:v>ADMITTED</x:v>
      </x:c>
      <x:c r="F870" s="55" t="n">
        <x:v>31178</x:v>
      </x:c>
      <x:c r="G870" s="55" t="n">
        <x:v>7533</x:v>
      </x:c>
      <x:c r="H870" s="55" t="n">
        <x:v>3806</x:v>
      </x:c>
      <x:c r="I870" s="55" t="n">
        <x:v>1452</x:v>
      </x:c>
      <x:c r="J870" s="55" t="n">
        <x:v>246</x:v>
      </x:c>
      <x:c r="K870" s="55" t="n">
        <x:v>30612</x:v>
      </x:c>
      <x:c r="L870" s="55" t="n">
        <x:v>7194</x:v>
      </x:c>
      <x:c r="M870" s="55" t="n">
        <x:v>1865</x:v>
      </x:c>
      <x:c r="N870" s="55" t="n">
        <x:v>3054</x:v>
      </x:c>
      <x:c r="O870" s="55" t="n">
        <x:v>2275</x:v>
      </x:c>
      <x:c r="P870" s="55" t="n">
        <x:v>1130</x:v>
      </x:c>
      <x:c r="Q870" s="55" t="n">
        <x:v>2591</x:v>
      </x:c>
      <x:c r="R870" s="55" t="n">
        <x:v>2298</x:v>
      </x:c>
      <x:c r="S870" s="55" t="n">
        <x:v>2667</x:v>
      </x:c>
      <x:c r="T870" s="55" t="n">
        <x:v>1197</x:v>
      </x:c>
      <x:c r="U870" s="55" t="n">
        <x:v>2499</x:v>
      </x:c>
      <x:c r="V870" s="55" t="n">
        <x:v>10848</x:v>
      </x:c>
      <x:c r="W870" s="55" t="n">
        <x:v>7465</x:v>
      </x:c>
      <x:c r="X870" s="55" t="n">
        <x:v>3383</x:v>
      </x:c>
      <x:c r="Y870" s="55" t="n">
        <x:v>3054</x:v>
      </x:c>
      <x:c r="Z870" s="55" t="n">
        <x:v>3915</x:v>
      </x:c>
      <x:c r="AA870" s="55" t="n">
        <x:v>3806</x:v>
      </x:c>
      <x:c r="AB870" s="55" t="n">
        <x:v>1523</x:v>
      </x:c>
      <x:c r="AC870" s="55" t="n">
        <x:v>8309</x:v>
      </x:c>
      <x:c r="AD870" s="55" t="n">
        <x:v>3170</x:v>
      </x:c>
      <x:c r="AE870" s="55" t="n">
        <x:v>10972</x:v>
      </x:c>
      <x:c r="AF870" s="55" t="n">
        <x:v>10848</x:v>
      </x:c>
      <x:c r="AG870" s="55" t="n">
        <x:v>124</x:v>
      </x:c>
      <x:c r="AH870" s="55" t="n">
        <x:v>542</x:v>
      </x:c>
      <x:c r="AI870" s="55" t="n">
        <x:v>10306</x:v>
      </x:c>
      <x:c r="AJ870" s="55" t="n">
        <x:v>530</x:v>
      </x:c>
      <x:c r="AK870" s="55" t="n">
        <x:v>1216</x:v>
      </x:c>
      <x:c r="AL870" s="55" t="n">
        <x:v>1829</x:v>
      </x:c>
      <x:c r="AM870" s="55" t="n">
        <x:v>4380</x:v>
      </x:c>
      <x:c r="AN870" s="55" t="n">
        <x:v>2816</x:v>
      </x:c>
      <x:c r="AO870" s="55" t="n">
        <x:v>77</x:v>
      </x:c>
      <x:c r="AP870" s="55" t="n">
        <x:v>2949</x:v>
      </x:c>
      <x:c r="AQ870" s="55" t="n">
        <x:v>987</x:v>
      </x:c>
    </x:row>
    <x:row r="871">
      <x:c r="A871" s="54" t="str">
        <x:v>T2_CONCORDANT_DOMAIN</x:v>
      </x:c>
      <x:c r="B871" s="54" t="n">
        <x:v>865</x:v>
      </x:c>
      <x:c r="C871" s="54" t="str">
        <x:v>NYC-V2-R01</x:v>
      </x:c>
      <x:c r="D871" s="54" t="str">
        <x:v>V2</x:v>
      </x:c>
      <x:c r="E871" s="54" t="str">
        <x:v>ADMITTED</x:v>
      </x:c>
      <x:c r="F871" s="55" t="n">
        <x:v>31721</x:v>
      </x:c>
      <x:c r="G871" s="55" t="n">
        <x:v>6770</x:v>
      </x:c>
      <x:c r="H871" s="55" t="n">
        <x:v>3229</x:v>
      </x:c>
      <x:c r="I871" s="55" t="n">
        <x:v>1213</x:v>
      </x:c>
      <x:c r="J871" s="55" t="n">
        <x:v>45</x:v>
      </x:c>
      <x:c r="K871" s="55" t="n">
        <x:v>31721</x:v>
      </x:c>
      <x:c r="L871" s="55" t="n">
        <x:v>6997</x:v>
      </x:c>
      <x:c r="M871" s="55" t="n">
        <x:v>2203</x:v>
      </x:c>
      <x:c r="N871" s="55" t="n">
        <x:v>2914</x:v>
      </x:c>
      <x:c r="O871" s="55" t="n">
        <x:v>1880</x:v>
      </x:c>
      <x:c r="P871" s="55" t="n">
        <x:v>1002</x:v>
      </x:c>
      <x:c r="Q871" s="55" t="n">
        <x:v>2177</x:v>
      </x:c>
      <x:c r="R871" s="55" t="n">
        <x:v>2314</x:v>
      </x:c>
      <x:c r="S871" s="55" t="n">
        <x:v>2964</x:v>
      </x:c>
      <x:c r="T871" s="55" t="n">
        <x:v>1202</x:v>
      </x:c>
      <x:c r="U871" s="55" t="n">
        <x:v>1974</x:v>
      </x:c>
      <x:c r="V871" s="55" t="n">
        <x:v>11176</x:v>
      </x:c>
      <x:c r="W871" s="55" t="n">
        <x:v>8211</x:v>
      </x:c>
      <x:c r="X871" s="55" t="n">
        <x:v>2965</x:v>
      </x:c>
      <x:c r="Y871" s="55" t="n">
        <x:v>2363</x:v>
      </x:c>
      <x:c r="Z871" s="55" t="n">
        <x:v>4099</x:v>
      </x:c>
      <x:c r="AA871" s="55" t="n">
        <x:v>2868</x:v>
      </x:c>
      <x:c r="AB871" s="55" t="n">
        <x:v>888</x:v>
      </x:c>
      <x:c r="AC871" s="55" t="n">
        <x:v>7872</x:v>
      </x:c>
      <x:c r="AD871" s="55" t="n">
        <x:v>2486</x:v>
      </x:c>
      <x:c r="AE871" s="55" t="n">
        <x:v>11206</x:v>
      </x:c>
      <x:c r="AF871" s="55" t="n">
        <x:v>11176</x:v>
      </x:c>
      <x:c r="AG871" s="55" t="n">
        <x:v>30</x:v>
      </x:c>
      <x:c r="AH871" s="55" t="n">
        <x:v>592</x:v>
      </x:c>
      <x:c r="AI871" s="55" t="n">
        <x:v>10584</x:v>
      </x:c>
      <x:c r="AJ871" s="55" t="n">
        <x:v>303</x:v>
      </x:c>
      <x:c r="AK871" s="55" t="n">
        <x:v>1153</x:v>
      </x:c>
      <x:c r="AL871" s="55" t="n">
        <x:v>1958</x:v>
      </x:c>
      <x:c r="AM871" s="55" t="n">
        <x:v>4800</x:v>
      </x:c>
      <x:c r="AN871" s="55" t="n">
        <x:v>2918</x:v>
      </x:c>
      <x:c r="AO871" s="55" t="n">
        <x:v>44</x:v>
      </x:c>
      <x:c r="AP871" s="55" t="n">
        <x:v>2397</x:v>
      </x:c>
      <x:c r="AQ871" s="55" t="n">
        <x:v>931</x:v>
      </x:c>
    </x:row>
    <x:row r="872">
      <x:c r="A872" s="54" t="str">
        <x:v>T2_CONCORDANT_DOMAIN</x:v>
      </x:c>
      <x:c r="B872" s="54" t="n">
        <x:v>866</x:v>
      </x:c>
      <x:c r="C872" s="54" t="str">
        <x:v>NYC-V2-R01</x:v>
      </x:c>
      <x:c r="D872" s="54" t="str">
        <x:v>V2</x:v>
      </x:c>
      <x:c r="E872" s="54" t="str">
        <x:v>ADMITTED</x:v>
      </x:c>
      <x:c r="F872" s="55" t="n">
        <x:v>29604</x:v>
      </x:c>
      <x:c r="G872" s="55" t="n">
        <x:v>7125</x:v>
      </x:c>
      <x:c r="H872" s="55" t="n">
        <x:v>3047</x:v>
      </x:c>
      <x:c r="I872" s="55" t="n">
        <x:v>1026</x:v>
      </x:c>
      <x:c r="J872" s="55" t="n">
        <x:v>138</x:v>
      </x:c>
      <x:c r="K872" s="55" t="n">
        <x:v>26884</x:v>
      </x:c>
      <x:c r="L872" s="55" t="n">
        <x:v>4609</x:v>
      </x:c>
      <x:c r="M872" s="55" t="n">
        <x:v>587</x:v>
      </x:c>
      <x:c r="N872" s="55" t="n">
        <x:v>2567</x:v>
      </x:c>
      <x:c r="O872" s="55" t="n">
        <x:v>1455</x:v>
      </x:c>
      <x:c r="P872" s="55" t="n">
        <x:v>691</x:v>
      </x:c>
      <x:c r="Q872" s="55" t="n">
        <x:v>2291</x:v>
      </x:c>
      <x:c r="R872" s="55" t="n">
        <x:v>2136</x:v>
      </x:c>
      <x:c r="S872" s="55" t="n">
        <x:v>3325</x:v>
      </x:c>
      <x:c r="T872" s="55" t="n">
        <x:v>1224</x:v>
      </x:c>
      <x:c r="U872" s="55" t="n">
        <x:v>1975</x:v>
      </x:c>
      <x:c r="V872" s="55" t="n">
        <x:v>10255</x:v>
      </x:c>
      <x:c r="W872" s="55" t="n">
        <x:v>7092</x:v>
      </x:c>
      <x:c r="X872" s="55" t="n">
        <x:v>3163</x:v>
      </x:c>
      <x:c r="Y872" s="55" t="n">
        <x:v>2700</x:v>
      </x:c>
      <x:c r="Z872" s="55" t="n">
        <x:v>3623</x:v>
      </x:c>
      <x:c r="AA872" s="55" t="n">
        <x:v>2760</x:v>
      </x:c>
      <x:c r="AB872" s="55" t="n">
        <x:v>940</x:v>
      </x:c>
      <x:c r="AC872" s="55" t="n">
        <x:v>7816</x:v>
      </x:c>
      <x:c r="AD872" s="55" t="n">
        <x:v>2677</x:v>
      </x:c>
      <x:c r="AE872" s="55" t="n">
        <x:v>10323</x:v>
      </x:c>
      <x:c r="AF872" s="55" t="n">
        <x:v>10255</x:v>
      </x:c>
      <x:c r="AG872" s="55" t="n">
        <x:v>68</x:v>
      </x:c>
      <x:c r="AH872" s="55" t="n">
        <x:v>223</x:v>
      </x:c>
      <x:c r="AI872" s="55" t="n">
        <x:v>10032</x:v>
      </x:c>
      <x:c r="AJ872" s="55" t="n">
        <x:v>286</x:v>
      </x:c>
      <x:c r="AK872" s="55" t="n">
        <x:v>663</x:v>
      </x:c>
      <x:c r="AL872" s="55" t="n">
        <x:v>1268</x:v>
      </x:c>
      <x:c r="AM872" s="55" t="n">
        <x:v>4633</x:v>
      </x:c>
      <x:c r="AN872" s="55" t="n">
        <x:v>3327</x:v>
      </x:c>
      <x:c r="AO872" s="55" t="n">
        <x:v>78</x:v>
      </x:c>
      <x:c r="AP872" s="55" t="n">
        <x:v>2499</x:v>
      </x:c>
      <x:c r="AQ872" s="55" t="n">
        <x:v>928</x:v>
      </x:c>
    </x:row>
    <x:row r="873">
      <x:c r="A873" s="54" t="str">
        <x:v>T2_CONCORDANT_DOMAIN</x:v>
      </x:c>
      <x:c r="B873" s="54" t="n">
        <x:v>867</x:v>
      </x:c>
      <x:c r="C873" s="54" t="str">
        <x:v>NYC-V2-R01</x:v>
      </x:c>
      <x:c r="D873" s="54" t="str">
        <x:v>V2</x:v>
      </x:c>
      <x:c r="E873" s="54" t="str">
        <x:v>ADMITTED</x:v>
      </x:c>
      <x:c r="F873" s="55" t="n">
        <x:v>31626</x:v>
      </x:c>
      <x:c r="G873" s="55" t="n">
        <x:v>7871</x:v>
      </x:c>
      <x:c r="H873" s="55" t="n">
        <x:v>3386</x:v>
      </x:c>
      <x:c r="I873" s="55" t="n">
        <x:v>1443</x:v>
      </x:c>
      <x:c r="J873" s="55" t="n">
        <x:v>220</x:v>
      </x:c>
      <x:c r="K873" s="55" t="n">
        <x:v>31626</x:v>
      </x:c>
      <x:c r="L873" s="55" t="n">
        <x:v>6320</x:v>
      </x:c>
      <x:c r="M873" s="55" t="n">
        <x:v>1886</x:v>
      </x:c>
      <x:c r="N873" s="55" t="n">
        <x:v>2692</x:v>
      </x:c>
      <x:c r="O873" s="55" t="n">
        <x:v>1742</x:v>
      </x:c>
      <x:c r="P873" s="55" t="n">
        <x:v>708</x:v>
      </x:c>
      <x:c r="Q873" s="55" t="n">
        <x:v>1595</x:v>
      </x:c>
      <x:c r="R873" s="55" t="n">
        <x:v>1676</x:v>
      </x:c>
      <x:c r="S873" s="55" t="n">
        <x:v>3017</x:v>
      </x:c>
      <x:c r="T873" s="55" t="n">
        <x:v>1152</x:v>
      </x:c>
      <x:c r="U873" s="55" t="n">
        <x:v>1805</x:v>
      </x:c>
      <x:c r="V873" s="55" t="n">
        <x:v>10241</x:v>
      </x:c>
      <x:c r="W873" s="55" t="n">
        <x:v>7224</x:v>
      </x:c>
      <x:c r="X873" s="55" t="n">
        <x:v>3017</x:v>
      </x:c>
      <x:c r="Y873" s="55" t="n">
        <x:v>2831</x:v>
      </x:c>
      <x:c r="Z873" s="55" t="n">
        <x:v>4127</x:v>
      </x:c>
      <x:c r="AA873" s="55" t="n">
        <x:v>3125</x:v>
      </x:c>
      <x:c r="AB873" s="55" t="n">
        <x:v>994</x:v>
      </x:c>
      <x:c r="AC873" s="55" t="n">
        <x:v>7897</x:v>
      </x:c>
      <x:c r="AD873" s="55" t="n">
        <x:v>2780</x:v>
      </x:c>
      <x:c r="AE873" s="55" t="n">
        <x:v>10369</x:v>
      </x:c>
      <x:c r="AF873" s="55" t="n">
        <x:v>10241</x:v>
      </x:c>
      <x:c r="AG873" s="55" t="n">
        <x:v>128</x:v>
      </x:c>
      <x:c r="AH873" s="55" t="n">
        <x:v>441</x:v>
      </x:c>
      <x:c r="AI873" s="55" t="n">
        <x:v>9800</x:v>
      </x:c>
      <x:c r="AJ873" s="55" t="n">
        <x:v>300</x:v>
      </x:c>
      <x:c r="AK873" s="55" t="n">
        <x:v>854</x:v>
      </x:c>
      <x:c r="AL873" s="55" t="n">
        <x:v>1882</x:v>
      </x:c>
      <x:c r="AM873" s="55" t="n">
        <x:v>4818</x:v>
      </x:c>
      <x:c r="AN873" s="55" t="n">
        <x:v>2387</x:v>
      </x:c>
      <x:c r="AO873" s="55" t="n">
        <x:v>0</x:v>
      </x:c>
      <x:c r="AP873" s="55" t="n">
        <x:v>2410</x:v>
      </x:c>
      <x:c r="AQ873" s="55" t="n">
        <x:v>958</x:v>
      </x:c>
    </x:row>
    <x:row r="874">
      <x:c r="A874" s="54" t="str">
        <x:v>T2_CONCORDANT_DOMAIN</x:v>
      </x:c>
      <x:c r="B874" s="54" t="n">
        <x:v>868</x:v>
      </x:c>
      <x:c r="C874" s="54" t="str">
        <x:v>NYC-V2-R01</x:v>
      </x:c>
      <x:c r="D874" s="54" t="str">
        <x:v>V2</x:v>
      </x:c>
      <x:c r="E874" s="54" t="str">
        <x:v>ADMITTED</x:v>
      </x:c>
      <x:c r="F874" s="55" t="n">
        <x:v>30597</x:v>
      </x:c>
      <x:c r="G874" s="55" t="n">
        <x:v>7688</x:v>
      </x:c>
      <x:c r="H874" s="55" t="n">
        <x:v>2957</x:v>
      </x:c>
      <x:c r="I874" s="55" t="n">
        <x:v>1074</x:v>
      </x:c>
      <x:c r="J874" s="55" t="n">
        <x:v>0</x:v>
      </x:c>
      <x:c r="K874" s="55" t="n">
        <x:v>30597</x:v>
      </x:c>
      <x:c r="L874" s="55" t="n">
        <x:v>6044</x:v>
      </x:c>
      <x:c r="M874" s="55" t="n">
        <x:v>1249</x:v>
      </x:c>
      <x:c r="N874" s="55" t="n">
        <x:v>3044</x:v>
      </x:c>
      <x:c r="O874" s="55" t="n">
        <x:v>1751</x:v>
      </x:c>
      <x:c r="P874" s="55" t="n">
        <x:v>813</x:v>
      </x:c>
      <x:c r="Q874" s="55" t="n">
        <x:v>2008</x:v>
      </x:c>
      <x:c r="R874" s="55" t="n">
        <x:v>1903</x:v>
      </x:c>
      <x:c r="S874" s="55" t="n">
        <x:v>2981</x:v>
      </x:c>
      <x:c r="T874" s="55" t="n">
        <x:v>1372</x:v>
      </x:c>
      <x:c r="U874" s="55" t="n">
        <x:v>1585</x:v>
      </x:c>
      <x:c r="V874" s="55" t="n">
        <x:v>9971</x:v>
      </x:c>
      <x:c r="W874" s="55" t="n">
        <x:v>6913</x:v>
      </x:c>
      <x:c r="X874" s="55" t="n">
        <x:v>3058</x:v>
      </x:c>
      <x:c r="Y874" s="55" t="n">
        <x:v>2760</x:v>
      </x:c>
      <x:c r="Z874" s="55" t="n">
        <x:v>3631</x:v>
      </x:c>
      <x:c r="AA874" s="55" t="n">
        <x:v>2957</x:v>
      </x:c>
      <x:c r="AB874" s="55" t="n">
        <x:v>1267</x:v>
      </x:c>
      <x:c r="AC874" s="55" t="n">
        <x:v>7658</x:v>
      </x:c>
      <x:c r="AD874" s="55" t="n">
        <x:v>2697</x:v>
      </x:c>
      <x:c r="AE874" s="55" t="n">
        <x:v>9990</x:v>
      </x:c>
      <x:c r="AF874" s="55" t="n">
        <x:v>9971</x:v>
      </x:c>
      <x:c r="AG874" s="55" t="n">
        <x:v>19</x:v>
      </x:c>
      <x:c r="AH874" s="55" t="n">
        <x:v>219</x:v>
      </x:c>
      <x:c r="AI874" s="55" t="n">
        <x:v>9752</x:v>
      </x:c>
      <x:c r="AJ874" s="55" t="n">
        <x:v>156</x:v>
      </x:c>
      <x:c r="AK874" s="55" t="n">
        <x:v>893</x:v>
      </x:c>
      <x:c r="AL874" s="55" t="n">
        <x:v>1807</x:v>
      </x:c>
      <x:c r="AM874" s="55" t="n">
        <x:v>4982</x:v>
      </x:c>
      <x:c r="AN874" s="55" t="n">
        <x:v>2110</x:v>
      </x:c>
      <x:c r="AO874" s="55" t="n">
        <x:v>23</x:v>
      </x:c>
      <x:c r="AP874" s="55" t="n">
        <x:v>2174</x:v>
      </x:c>
      <x:c r="AQ874" s="55" t="n">
        <x:v>923</x:v>
      </x:c>
    </x:row>
    <x:row r="875">
      <x:c r="A875" s="54" t="str">
        <x:v>T2_CONCORDANT_DOMAIN</x:v>
      </x:c>
      <x:c r="B875" s="54" t="n">
        <x:v>869</x:v>
      </x:c>
      <x:c r="C875" s="54" t="str">
        <x:v>NYC-V2-R01</x:v>
      </x:c>
      <x:c r="D875" s="54" t="str">
        <x:v>V2</x:v>
      </x:c>
      <x:c r="E875" s="54" t="str">
        <x:v>ADMITTED</x:v>
      </x:c>
      <x:c r="F875" s="55" t="n">
        <x:v>32998</x:v>
      </x:c>
      <x:c r="G875" s="55" t="n">
        <x:v>8659</x:v>
      </x:c>
      <x:c r="H875" s="55" t="n">
        <x:v>3707</x:v>
      </x:c>
      <x:c r="I875" s="55" t="n">
        <x:v>1820</x:v>
      </x:c>
      <x:c r="J875" s="55" t="n">
        <x:v>307</x:v>
      </x:c>
      <x:c r="K875" s="55" t="n">
        <x:v>30216</x:v>
      </x:c>
      <x:c r="L875" s="55" t="n">
        <x:v>6201</x:v>
      </x:c>
      <x:c r="M875" s="55" t="n">
        <x:v>1574</x:v>
      </x:c>
      <x:c r="N875" s="55" t="n">
        <x:v>2841</x:v>
      </x:c>
      <x:c r="O875" s="55" t="n">
        <x:v>1786</x:v>
      </x:c>
      <x:c r="P875" s="55" t="n">
        <x:v>1247</x:v>
      </x:c>
      <x:c r="Q875" s="55" t="n">
        <x:v>2727</x:v>
      </x:c>
      <x:c r="R875" s="55" t="n">
        <x:v>1781</x:v>
      </x:c>
      <x:c r="S875" s="55" t="n">
        <x:v>2943</x:v>
      </x:c>
      <x:c r="T875" s="55" t="n">
        <x:v>1399</x:v>
      </x:c>
      <x:c r="U875" s="55" t="n">
        <x:v>2218</x:v>
      </x:c>
      <x:c r="V875" s="55" t="n">
        <x:v>10898</x:v>
      </x:c>
      <x:c r="W875" s="55" t="n">
        <x:v>7386</x:v>
      </x:c>
      <x:c r="X875" s="55" t="n">
        <x:v>3512</x:v>
      </x:c>
      <x:c r="Y875" s="55" t="n">
        <x:v>2954</x:v>
      </x:c>
      <x:c r="Z875" s="55" t="n">
        <x:v>3853</x:v>
      </x:c>
      <x:c r="AA875" s="55" t="n">
        <x:v>2863</x:v>
      </x:c>
      <x:c r="AB875" s="55" t="n">
        <x:v>1080</x:v>
      </x:c>
      <x:c r="AC875" s="55" t="n">
        <x:v>8217</x:v>
      </x:c>
      <x:c r="AD875" s="55" t="n">
        <x:v>3191</x:v>
      </x:c>
      <x:c r="AE875" s="55" t="n">
        <x:v>10999</x:v>
      </x:c>
      <x:c r="AF875" s="55" t="n">
        <x:v>10898</x:v>
      </x:c>
      <x:c r="AG875" s="55" t="n">
        <x:v>101</x:v>
      </x:c>
      <x:c r="AH875" s="55" t="n">
        <x:v>555</x:v>
      </x:c>
      <x:c r="AI875" s="55" t="n">
        <x:v>10343</x:v>
      </x:c>
      <x:c r="AJ875" s="55" t="n">
        <x:v>449</x:v>
      </x:c>
      <x:c r="AK875" s="55" t="n">
        <x:v>1254</x:v>
      </x:c>
      <x:c r="AL875" s="55" t="n">
        <x:v>1366</x:v>
      </x:c>
      <x:c r="AM875" s="55" t="n">
        <x:v>5414</x:v>
      </x:c>
      <x:c r="AN875" s="55" t="n">
        <x:v>2415</x:v>
      </x:c>
      <x:c r="AO875" s="55" t="n">
        <x:v>0</x:v>
      </x:c>
      <x:c r="AP875" s="55" t="n">
        <x:v>2414</x:v>
      </x:c>
      <x:c r="AQ875" s="55" t="n">
        <x:v>970</x:v>
      </x:c>
    </x:row>
    <x:row r="876">
      <x:c r="A876" s="54" t="str">
        <x:v>T2_CONCORDANT_DOMAIN</x:v>
      </x:c>
      <x:c r="B876" s="54" t="n">
        <x:v>870</x:v>
      </x:c>
      <x:c r="C876" s="54" t="str">
        <x:v>NYC-V2-R01</x:v>
      </x:c>
      <x:c r="D876" s="54" t="str">
        <x:v>V2</x:v>
      </x:c>
      <x:c r="E876" s="54" t="str">
        <x:v>ADMITTED</x:v>
      </x:c>
      <x:c r="F876" s="55" t="n">
        <x:v>31555</x:v>
      </x:c>
      <x:c r="G876" s="55" t="n">
        <x:v>7639</x:v>
      </x:c>
      <x:c r="H876" s="55" t="n">
        <x:v>3487</x:v>
      </x:c>
      <x:c r="I876" s="55" t="n">
        <x:v>1505</x:v>
      </x:c>
      <x:c r="J876" s="55" t="n">
        <x:v>368</x:v>
      </x:c>
      <x:c r="K876" s="55" t="n">
        <x:v>31555</x:v>
      </x:c>
      <x:c r="L876" s="55" t="n">
        <x:v>6084</x:v>
      </x:c>
      <x:c r="M876" s="55" t="n">
        <x:v>977</x:v>
      </x:c>
      <x:c r="N876" s="55" t="n">
        <x:v>2838</x:v>
      </x:c>
      <x:c r="O876" s="55" t="n">
        <x:v>2269</x:v>
      </x:c>
      <x:c r="P876" s="55" t="n">
        <x:v>905</x:v>
      </x:c>
      <x:c r="Q876" s="55" t="n">
        <x:v>3017</x:v>
      </x:c>
      <x:c r="R876" s="55" t="n">
        <x:v>1958</x:v>
      </x:c>
      <x:c r="S876" s="55" t="n">
        <x:v>2943</x:v>
      </x:c>
      <x:c r="T876" s="55" t="n">
        <x:v>1496</x:v>
      </x:c>
      <x:c r="U876" s="55" t="n">
        <x:v>2501</x:v>
      </x:c>
      <x:c r="V876" s="55" t="n">
        <x:v>11208</x:v>
      </x:c>
      <x:c r="W876" s="55" t="n">
        <x:v>8084</x:v>
      </x:c>
      <x:c r="X876" s="55" t="n">
        <x:v>3124</x:v>
      </x:c>
      <x:c r="Y876" s="55" t="n">
        <x:v>2696</x:v>
      </x:c>
      <x:c r="Z876" s="55" t="n">
        <x:v>4158</x:v>
      </x:c>
      <x:c r="AA876" s="55" t="n">
        <x:v>3487</x:v>
      </x:c>
      <x:c r="AB876" s="55" t="n">
        <x:v>1161</x:v>
      </x:c>
      <x:c r="AC876" s="55" t="n">
        <x:v>8396</x:v>
      </x:c>
      <x:c r="AD876" s="55" t="n">
        <x:v>2899</x:v>
      </x:c>
      <x:c r="AE876" s="55" t="n">
        <x:v>11303</x:v>
      </x:c>
      <x:c r="AF876" s="55" t="n">
        <x:v>11208</x:v>
      </x:c>
      <x:c r="AG876" s="55" t="n">
        <x:v>95</x:v>
      </x:c>
      <x:c r="AH876" s="55" t="n">
        <x:v>491</x:v>
      </x:c>
      <x:c r="AI876" s="55" t="n">
        <x:v>10717</x:v>
      </x:c>
      <x:c r="AJ876" s="55" t="n">
        <x:v>643</x:v>
      </x:c>
      <x:c r="AK876" s="55" t="n">
        <x:v>1060</x:v>
      </x:c>
      <x:c r="AL876" s="55" t="n">
        <x:v>1946</x:v>
      </x:c>
      <x:c r="AM876" s="55" t="n">
        <x:v>4678</x:v>
      </x:c>
      <x:c r="AN876" s="55" t="n">
        <x:v>2810</x:v>
      </x:c>
      <x:c r="AO876" s="55" t="n">
        <x:v>71</x:v>
      </x:c>
      <x:c r="AP876" s="55" t="n">
        <x:v>3000</x:v>
      </x:c>
      <x:c r="AQ876" s="55" t="n">
        <x:v>974</x:v>
      </x:c>
    </x:row>
    <x:row r="877">
      <x:c r="A877" s="54" t="str">
        <x:v>T2_CONCORDANT_DOMAIN</x:v>
      </x:c>
      <x:c r="B877" s="54" t="n">
        <x:v>871</x:v>
      </x:c>
      <x:c r="C877" s="54" t="str">
        <x:v>NYC-V2-R01</x:v>
      </x:c>
      <x:c r="D877" s="54" t="str">
        <x:v>V2</x:v>
      </x:c>
      <x:c r="E877" s="54" t="str">
        <x:v>ADMITTED</x:v>
      </x:c>
      <x:c r="F877" s="55" t="n">
        <x:v>31384</x:v>
      </x:c>
      <x:c r="G877" s="55" t="n">
        <x:v>8175</x:v>
      </x:c>
      <x:c r="H877" s="55" t="n">
        <x:v>3677</x:v>
      </x:c>
      <x:c r="I877" s="55" t="n">
        <x:v>1427</x:v>
      </x:c>
      <x:c r="J877" s="55" t="n">
        <x:v>233</x:v>
      </x:c>
      <x:c r="K877" s="55" t="n">
        <x:v>31384</x:v>
      </x:c>
      <x:c r="L877" s="55" t="n">
        <x:v>8327</x:v>
      </x:c>
      <x:c r="M877" s="55" t="n">
        <x:v>2281</x:v>
      </x:c>
      <x:c r="N877" s="55" t="n">
        <x:v>3580</x:v>
      </x:c>
      <x:c r="O877" s="55" t="n">
        <x:v>2466</x:v>
      </x:c>
      <x:c r="P877" s="55" t="n">
        <x:v>752</x:v>
      </x:c>
      <x:c r="Q877" s="55" t="n">
        <x:v>3565</x:v>
      </x:c>
      <x:c r="R877" s="55" t="n">
        <x:v>2078</x:v>
      </x:c>
      <x:c r="S877" s="55" t="n">
        <x:v>3716</x:v>
      </x:c>
      <x:c r="T877" s="55" t="n">
        <x:v>1802</x:v>
      </x:c>
      <x:c r="U877" s="55" t="n">
        <x:v>2806</x:v>
      </x:c>
      <x:c r="V877" s="55" t="n">
        <x:v>10919</x:v>
      </x:c>
      <x:c r="W877" s="55" t="n">
        <x:v>7955</x:v>
      </x:c>
      <x:c r="X877" s="55" t="n">
        <x:v>2964</x:v>
      </x:c>
      <x:c r="Y877" s="55" t="n">
        <x:v>2725</x:v>
      </x:c>
      <x:c r="Z877" s="55" t="n">
        <x:v>3853</x:v>
      </x:c>
      <x:c r="AA877" s="55" t="n">
        <x:v>3360</x:v>
      </x:c>
      <x:c r="AB877" s="55" t="n">
        <x:v>767</x:v>
      </x:c>
      <x:c r="AC877" s="55" t="n">
        <x:v>8145</x:v>
      </x:c>
      <x:c r="AD877" s="55" t="n">
        <x:v>2728</x:v>
      </x:c>
      <x:c r="AE877" s="55" t="n">
        <x:v>11042</x:v>
      </x:c>
      <x:c r="AF877" s="55" t="n">
        <x:v>10919</x:v>
      </x:c>
      <x:c r="AG877" s="55" t="n">
        <x:v>123</x:v>
      </x:c>
      <x:c r="AH877" s="55" t="n">
        <x:v>494</x:v>
      </x:c>
      <x:c r="AI877" s="55" t="n">
        <x:v>10425</x:v>
      </x:c>
      <x:c r="AJ877" s="55" t="n">
        <x:v>417</x:v>
      </x:c>
      <x:c r="AK877" s="55" t="n">
        <x:v>1173</x:v>
      </x:c>
      <x:c r="AL877" s="55" t="n">
        <x:v>1345</x:v>
      </x:c>
      <x:c r="AM877" s="55" t="n">
        <x:v>4748</x:v>
      </x:c>
      <x:c r="AN877" s="55" t="n">
        <x:v>3158</x:v>
      </x:c>
      <x:c r="AO877" s="55" t="n">
        <x:v>78</x:v>
      </x:c>
      <x:c r="AP877" s="55" t="n">
        <x:v>2524</x:v>
      </x:c>
      <x:c r="AQ877" s="55" t="n">
        <x:v>969</x:v>
      </x:c>
    </x:row>
    <x:row r="878">
      <x:c r="A878" s="54" t="str">
        <x:v>T2_CONCORDANT_DOMAIN</x:v>
      </x:c>
      <x:c r="B878" s="54" t="n">
        <x:v>872</x:v>
      </x:c>
      <x:c r="C878" s="54" t="str">
        <x:v>NYC-V2-R01</x:v>
      </x:c>
      <x:c r="D878" s="54" t="str">
        <x:v>V2</x:v>
      </x:c>
      <x:c r="E878" s="54" t="str">
        <x:v>ADMITTED</x:v>
      </x:c>
      <x:c r="F878" s="55" t="n">
        <x:v>33082</x:v>
      </x:c>
      <x:c r="G878" s="55" t="n">
        <x:v>9375</x:v>
      </x:c>
      <x:c r="H878" s="55" t="n">
        <x:v>3424</x:v>
      </x:c>
      <x:c r="I878" s="55" t="n">
        <x:v>1470</x:v>
      </x:c>
      <x:c r="J878" s="55" t="n">
        <x:v>231</x:v>
      </x:c>
      <x:c r="K878" s="55" t="n">
        <x:v>28392</x:v>
      </x:c>
      <x:c r="L878" s="55" t="n">
        <x:v>5359</x:v>
      </x:c>
      <x:c r="M878" s="55" t="n">
        <x:v>779</x:v>
      </x:c>
      <x:c r="N878" s="55" t="n">
        <x:v>2609</x:v>
      </x:c>
      <x:c r="O878" s="55" t="n">
        <x:v>1971</x:v>
      </x:c>
      <x:c r="P878" s="55" t="n">
        <x:v>902</x:v>
      </x:c>
      <x:c r="Q878" s="55" t="n">
        <x:v>2706</x:v>
      </x:c>
      <x:c r="R878" s="55" t="n">
        <x:v>1641</x:v>
      </x:c>
      <x:c r="S878" s="55" t="n">
        <x:v>2787</x:v>
      </x:c>
      <x:c r="T878" s="55" t="n">
        <x:v>1246</x:v>
      </x:c>
      <x:c r="U878" s="55" t="n">
        <x:v>1757</x:v>
      </x:c>
      <x:c r="V878" s="55" t="n">
        <x:v>10105</x:v>
      </x:c>
      <x:c r="W878" s="55" t="n">
        <x:v>7094</x:v>
      </x:c>
      <x:c r="X878" s="55" t="n">
        <x:v>3011</x:v>
      </x:c>
      <x:c r="Y878" s="55" t="n">
        <x:v>2571</x:v>
      </x:c>
      <x:c r="Z878" s="55" t="n">
        <x:v>3574</x:v>
      </x:c>
      <x:c r="AA878" s="55" t="n">
        <x:v>3039</x:v>
      </x:c>
      <x:c r="AB878" s="55" t="n">
        <x:v>1033</x:v>
      </x:c>
      <x:c r="AC878" s="55" t="n">
        <x:v>7784</x:v>
      </x:c>
      <x:c r="AD878" s="55" t="n">
        <x:v>2711</x:v>
      </x:c>
      <x:c r="AE878" s="55" t="n">
        <x:v>10210</x:v>
      </x:c>
      <x:c r="AF878" s="55" t="n">
        <x:v>10105</x:v>
      </x:c>
      <x:c r="AG878" s="55" t="n">
        <x:v>105</x:v>
      </x:c>
      <x:c r="AH878" s="55" t="n">
        <x:v>448</x:v>
      </x:c>
      <x:c r="AI878" s="55" t="n">
        <x:v>9657</x:v>
      </x:c>
      <x:c r="AJ878" s="55" t="n">
        <x:v>501</x:v>
      </x:c>
      <x:c r="AK878" s="55" t="n">
        <x:v>940</x:v>
      </x:c>
      <x:c r="AL878" s="55" t="n">
        <x:v>1465</x:v>
      </x:c>
      <x:c r="AM878" s="55" t="n">
        <x:v>4719</x:v>
      </x:c>
      <x:c r="AN878" s="55" t="n">
        <x:v>2480</x:v>
      </x:c>
      <x:c r="AO878" s="55" t="n">
        <x:v>0</x:v>
      </x:c>
      <x:c r="AP878" s="55" t="n">
        <x:v>2673</x:v>
      </x:c>
      <x:c r="AQ878" s="55" t="n">
        <x:v>988</x:v>
      </x:c>
    </x:row>
    <x:row r="879">
      <x:c r="A879" s="54" t="str">
        <x:v>T2_CONCORDANT_DOMAIN</x:v>
      </x:c>
      <x:c r="B879" s="54" t="n">
        <x:v>873</x:v>
      </x:c>
      <x:c r="C879" s="54" t="str">
        <x:v>NYC-V2-R01</x:v>
      </x:c>
      <x:c r="D879" s="54" t="str">
        <x:v>V2</x:v>
      </x:c>
      <x:c r="E879" s="54" t="str">
        <x:v>ADMITTED</x:v>
      </x:c>
      <x:c r="F879" s="55" t="n">
        <x:v>29427</x:v>
      </x:c>
      <x:c r="G879" s="55" t="n">
        <x:v>7089</x:v>
      </x:c>
      <x:c r="H879" s="55" t="n">
        <x:v>3038</x:v>
      </x:c>
      <x:c r="I879" s="55" t="n">
        <x:v>1316</x:v>
      </x:c>
      <x:c r="J879" s="55" t="n">
        <x:v>226</x:v>
      </x:c>
      <x:c r="K879" s="55" t="n">
        <x:v>29198</x:v>
      </x:c>
      <x:c r="L879" s="55" t="n">
        <x:v>4691</x:v>
      </x:c>
      <x:c r="M879" s="55" t="n">
        <x:v>945</x:v>
      </x:c>
      <x:c r="N879" s="55" t="n">
        <x:v>2104</x:v>
      </x:c>
      <x:c r="O879" s="55" t="n">
        <x:v>1642</x:v>
      </x:c>
      <x:c r="P879" s="55" t="n">
        <x:v>198</x:v>
      </x:c>
      <x:c r="Q879" s="55" t="n">
        <x:v>1633</x:v>
      </x:c>
      <x:c r="R879" s="55" t="n">
        <x:v>1645</x:v>
      </x:c>
      <x:c r="S879" s="55" t="n">
        <x:v>2488</x:v>
      </x:c>
      <x:c r="T879" s="55" t="n">
        <x:v>693</x:v>
      </x:c>
      <x:c r="U879" s="55" t="n">
        <x:v>1518</x:v>
      </x:c>
      <x:c r="V879" s="55" t="n">
        <x:v>10458</x:v>
      </x:c>
      <x:c r="W879" s="55" t="n">
        <x:v>7452</x:v>
      </x:c>
      <x:c r="X879" s="55" t="n">
        <x:v>3006</x:v>
      </x:c>
      <x:c r="Y879" s="55" t="n">
        <x:v>2556</x:v>
      </x:c>
      <x:c r="Z879" s="55" t="n">
        <x:v>3598</x:v>
      </x:c>
      <x:c r="AA879" s="55" t="n">
        <x:v>2897</x:v>
      </x:c>
      <x:c r="AB879" s="55" t="n">
        <x:v>921</x:v>
      </x:c>
      <x:c r="AC879" s="55" t="n">
        <x:v>7851</x:v>
      </x:c>
      <x:c r="AD879" s="55" t="n">
        <x:v>2541</x:v>
      </x:c>
      <x:c r="AE879" s="55" t="n">
        <x:v>10496</x:v>
      </x:c>
      <x:c r="AF879" s="55" t="n">
        <x:v>10458</x:v>
      </x:c>
      <x:c r="AG879" s="55" t="n">
        <x:v>38</x:v>
      </x:c>
      <x:c r="AH879" s="55" t="n">
        <x:v>495</x:v>
      </x:c>
      <x:c r="AI879" s="55" t="n">
        <x:v>9963</x:v>
      </x:c>
      <x:c r="AJ879" s="55" t="n">
        <x:v>290</x:v>
      </x:c>
      <x:c r="AK879" s="55" t="n">
        <x:v>916</x:v>
      </x:c>
      <x:c r="AL879" s="55" t="n">
        <x:v>1865</x:v>
      </x:c>
      <x:c r="AM879" s="55" t="n">
        <x:v>4519</x:v>
      </x:c>
      <x:c r="AN879" s="55" t="n">
        <x:v>2857</x:v>
      </x:c>
      <x:c r="AO879" s="55" t="n">
        <x:v>11</x:v>
      </x:c>
      <x:c r="AP879" s="55" t="n">
        <x:v>2112</x:v>
      </x:c>
      <x:c r="AQ879" s="55" t="n">
        <x:v>931</x:v>
      </x:c>
    </x:row>
    <x:row r="880">
      <x:c r="A880" s="54" t="str">
        <x:v>T2_CONCORDANT_DOMAIN</x:v>
      </x:c>
      <x:c r="B880" s="54" t="n">
        <x:v>874</x:v>
      </x:c>
      <x:c r="C880" s="54" t="str">
        <x:v>NYC-V2-R01</x:v>
      </x:c>
      <x:c r="D880" s="54" t="str">
        <x:v>V2</x:v>
      </x:c>
      <x:c r="E880" s="54" t="str">
        <x:v>ADMITTED</x:v>
      </x:c>
      <x:c r="F880" s="55" t="n">
        <x:v>30721</x:v>
      </x:c>
      <x:c r="G880" s="55" t="n">
        <x:v>8248</x:v>
      </x:c>
      <x:c r="H880" s="55" t="n">
        <x:v>3180</x:v>
      </x:c>
      <x:c r="I880" s="55" t="n">
        <x:v>1049</x:v>
      </x:c>
      <x:c r="J880" s="55" t="n">
        <x:v>168</x:v>
      </x:c>
      <x:c r="K880" s="55" t="n">
        <x:v>29877</x:v>
      </x:c>
      <x:c r="L880" s="55" t="n">
        <x:v>4627</x:v>
      </x:c>
      <x:c r="M880" s="55" t="n">
        <x:v>785</x:v>
      </x:c>
      <x:c r="N880" s="55" t="n">
        <x:v>2125</x:v>
      </x:c>
      <x:c r="O880" s="55" t="n">
        <x:v>1717</x:v>
      </x:c>
      <x:c r="P880" s="55" t="n">
        <x:v>438</x:v>
      </x:c>
      <x:c r="Q880" s="55" t="n">
        <x:v>1463</x:v>
      </x:c>
      <x:c r="R880" s="55" t="n">
        <x:v>1097</x:v>
      </x:c>
      <x:c r="S880" s="55" t="n">
        <x:v>2139</x:v>
      </x:c>
      <x:c r="T880" s="55" t="n">
        <x:v>777</x:v>
      </x:c>
      <x:c r="U880" s="55" t="n">
        <x:v>1857</x:v>
      </x:c>
      <x:c r="V880" s="55" t="n">
        <x:v>9760</x:v>
      </x:c>
      <x:c r="W880" s="55" t="n">
        <x:v>6961</x:v>
      </x:c>
      <x:c r="X880" s="55" t="n">
        <x:v>2799</x:v>
      </x:c>
      <x:c r="Y880" s="55" t="n">
        <x:v>2384</x:v>
      </x:c>
      <x:c r="Z880" s="55" t="n">
        <x:v>3175</x:v>
      </x:c>
      <x:c r="AA880" s="55" t="n">
        <x:v>2790</x:v>
      </x:c>
      <x:c r="AB880" s="55" t="n">
        <x:v>1004</x:v>
      </x:c>
      <x:c r="AC880" s="55" t="n">
        <x:v>8113</x:v>
      </x:c>
      <x:c r="AD880" s="55" t="n">
        <x:v>2755</x:v>
      </x:c>
      <x:c r="AE880" s="55" t="n">
        <x:v>9794</x:v>
      </x:c>
      <x:c r="AF880" s="55" t="n">
        <x:v>9760</x:v>
      </x:c>
      <x:c r="AG880" s="55" t="n">
        <x:v>34</x:v>
      </x:c>
      <x:c r="AH880" s="55" t="n">
        <x:v>295</x:v>
      </x:c>
      <x:c r="AI880" s="55" t="n">
        <x:v>9465</x:v>
      </x:c>
      <x:c r="AJ880" s="55" t="n">
        <x:v>221</x:v>
      </x:c>
      <x:c r="AK880" s="55" t="n">
        <x:v>840</x:v>
      </x:c>
      <x:c r="AL880" s="55" t="n">
        <x:v>1205</x:v>
      </x:c>
      <x:c r="AM880" s="55" t="n">
        <x:v>4593</x:v>
      </x:c>
      <x:c r="AN880" s="55" t="n">
        <x:v>2901</x:v>
      </x:c>
      <x:c r="AO880" s="55" t="n">
        <x:v>0</x:v>
      </x:c>
      <x:c r="AP880" s="55" t="n">
        <x:v>1780</x:v>
      </x:c>
      <x:c r="AQ880" s="55" t="n">
        <x:v>928</x:v>
      </x:c>
    </x:row>
    <x:row r="881">
      <x:c r="A881" s="54" t="str">
        <x:v>T2_CONCORDANT_DOMAIN</x:v>
      </x:c>
      <x:c r="B881" s="54" t="n">
        <x:v>875</x:v>
      </x:c>
      <x:c r="C881" s="54" t="str">
        <x:v>NYC-V2-R01</x:v>
      </x:c>
      <x:c r="D881" s="54" t="str">
        <x:v>V2</x:v>
      </x:c>
      <x:c r="E881" s="54" t="str">
        <x:v>ADMITTED</x:v>
      </x:c>
      <x:c r="F881" s="55" t="n">
        <x:v>31251</x:v>
      </x:c>
      <x:c r="G881" s="55" t="n">
        <x:v>6237</x:v>
      </x:c>
      <x:c r="H881" s="55" t="n">
        <x:v>2995</x:v>
      </x:c>
      <x:c r="I881" s="55" t="n">
        <x:v>1259</x:v>
      </x:c>
      <x:c r="J881" s="55" t="n">
        <x:v>205</x:v>
      </x:c>
      <x:c r="K881" s="55" t="n">
        <x:v>31251</x:v>
      </x:c>
      <x:c r="L881" s="55" t="n">
        <x:v>5014</x:v>
      </x:c>
      <x:c r="M881" s="55" t="n">
        <x:v>1728</x:v>
      </x:c>
      <x:c r="N881" s="55" t="n">
        <x:v>1888</x:v>
      </x:c>
      <x:c r="O881" s="55" t="n">
        <x:v>1398</x:v>
      </x:c>
      <x:c r="P881" s="55" t="n">
        <x:v>1096</x:v>
      </x:c>
      <x:c r="Q881" s="55" t="n">
        <x:v>2331</x:v>
      </x:c>
      <x:c r="R881" s="55" t="n">
        <x:v>1556</x:v>
      </x:c>
      <x:c r="S881" s="55" t="n">
        <x:v>2567</x:v>
      </x:c>
      <x:c r="T881" s="55" t="n">
        <x:v>1331</x:v>
      </x:c>
      <x:c r="U881" s="55" t="n">
        <x:v>2038</x:v>
      </x:c>
      <x:c r="V881" s="55" t="n">
        <x:v>10412</x:v>
      </x:c>
      <x:c r="W881" s="55" t="n">
        <x:v>7513</x:v>
      </x:c>
      <x:c r="X881" s="55" t="n">
        <x:v>2899</x:v>
      </x:c>
      <x:c r="Y881" s="55" t="n">
        <x:v>2551</x:v>
      </x:c>
      <x:c r="Z881" s="55" t="n">
        <x:v>3680</x:v>
      </x:c>
      <x:c r="AA881" s="55" t="n">
        <x:v>2937</x:v>
      </x:c>
      <x:c r="AB881" s="55" t="n">
        <x:v>922</x:v>
      </x:c>
      <x:c r="AC881" s="55" t="n">
        <x:v>7611</x:v>
      </x:c>
      <x:c r="AD881" s="55" t="n">
        <x:v>2762</x:v>
      </x:c>
      <x:c r="AE881" s="55" t="n">
        <x:v>10472</x:v>
      </x:c>
      <x:c r="AF881" s="55" t="n">
        <x:v>10412</x:v>
      </x:c>
      <x:c r="AG881" s="55" t="n">
        <x:v>60</x:v>
      </x:c>
      <x:c r="AH881" s="55" t="n">
        <x:v>317</x:v>
      </x:c>
      <x:c r="AI881" s="55" t="n">
        <x:v>10095</x:v>
      </x:c>
      <x:c r="AJ881" s="55" t="n">
        <x:v>290</x:v>
      </x:c>
      <x:c r="AK881" s="55" t="n">
        <x:v>854</x:v>
      </x:c>
      <x:c r="AL881" s="55" t="n">
        <x:v>1260</x:v>
      </x:c>
      <x:c r="AM881" s="55" t="n">
        <x:v>4877</x:v>
      </x:c>
      <x:c r="AN881" s="55" t="n">
        <x:v>3098</x:v>
      </x:c>
      <x:c r="AO881" s="55" t="n">
        <x:v>33</x:v>
      </x:c>
      <x:c r="AP881" s="55" t="n">
        <x:v>1906</x:v>
      </x:c>
      <x:c r="AQ881" s="55" t="n">
        <x:v>952</x:v>
      </x:c>
    </x:row>
    <x:row r="882">
      <x:c r="A882" s="54" t="str">
        <x:v>T2_CONCORDANT_DOMAIN</x:v>
      </x:c>
      <x:c r="B882" s="54" t="n">
        <x:v>876</x:v>
      </x:c>
      <x:c r="C882" s="54" t="str">
        <x:v>NYC-V2-R01</x:v>
      </x:c>
      <x:c r="D882" s="54" t="str">
        <x:v>V2</x:v>
      </x:c>
      <x:c r="E882" s="54" t="str">
        <x:v>ADMITTED</x:v>
      </x:c>
      <x:c r="F882" s="55" t="n">
        <x:v>29292</x:v>
      </x:c>
      <x:c r="G882" s="55" t="n">
        <x:v>6589</x:v>
      </x:c>
      <x:c r="H882" s="55" t="n">
        <x:v>3128</x:v>
      </x:c>
      <x:c r="I882" s="55" t="n">
        <x:v>958</x:v>
      </x:c>
      <x:c r="J882" s="55" t="n">
        <x:v>31</x:v>
      </x:c>
      <x:c r="K882" s="55" t="n">
        <x:v>28288</x:v>
      </x:c>
      <x:c r="L882" s="55" t="n">
        <x:v>3767</x:v>
      </x:c>
      <x:c r="M882" s="55" t="n">
        <x:v>0</x:v>
      </x:c>
      <x:c r="N882" s="55" t="n">
        <x:v>2370</x:v>
      </x:c>
      <x:c r="O882" s="55" t="n">
        <x:v>1397</x:v>
      </x:c>
      <x:c r="P882" s="55" t="n">
        <x:v>725</x:v>
      </x:c>
      <x:c r="Q882" s="55" t="n">
        <x:v>1909</x:v>
      </x:c>
      <x:c r="R882" s="55" t="n">
        <x:v>1545</x:v>
      </x:c>
      <x:c r="S882" s="55" t="n">
        <x:v>2728</x:v>
      </x:c>
      <x:c r="T882" s="55" t="n">
        <x:v>537</x:v>
      </x:c>
      <x:c r="U882" s="55" t="n">
        <x:v>1835</x:v>
      </x:c>
      <x:c r="V882" s="55" t="n">
        <x:v>10064</x:v>
      </x:c>
      <x:c r="W882" s="55" t="n">
        <x:v>7252</x:v>
      </x:c>
      <x:c r="X882" s="55" t="n">
        <x:v>2812</x:v>
      </x:c>
      <x:c r="Y882" s="55" t="n">
        <x:v>2365</x:v>
      </x:c>
      <x:c r="Z882" s="55" t="n">
        <x:v>3737</x:v>
      </x:c>
      <x:c r="AA882" s="55" t="n">
        <x:v>2822</x:v>
      </x:c>
      <x:c r="AB882" s="55" t="n">
        <x:v>717</x:v>
      </x:c>
      <x:c r="AC882" s="55" t="n">
        <x:v>8098</x:v>
      </x:c>
      <x:c r="AD882" s="55" t="n">
        <x:v>2634</x:v>
      </x:c>
      <x:c r="AE882" s="55" t="n">
        <x:v>10064</x:v>
      </x:c>
      <x:c r="AF882" s="55" t="n">
        <x:v>10064</x:v>
      </x:c>
      <x:c r="AG882" s="55" t="n">
        <x:v>0</x:v>
      </x:c>
      <x:c r="AH882" s="55" t="n">
        <x:v>433</x:v>
      </x:c>
      <x:c r="AI882" s="55" t="n">
        <x:v>9631</x:v>
      </x:c>
      <x:c r="AJ882" s="55" t="n">
        <x:v>355</x:v>
      </x:c>
      <x:c r="AK882" s="55" t="n">
        <x:v>686</x:v>
      </x:c>
      <x:c r="AL882" s="55" t="n">
        <x:v>1524</x:v>
      </x:c>
      <x:c r="AM882" s="55" t="n">
        <x:v>4758</x:v>
      </x:c>
      <x:c r="AN882" s="55" t="n">
        <x:v>2741</x:v>
      </x:c>
      <x:c r="AO882" s="55" t="n">
        <x:v>0</x:v>
      </x:c>
      <x:c r="AP882" s="55" t="n">
        <x:v>2158</x:v>
      </x:c>
      <x:c r="AQ882" s="55" t="n">
        <x:v>904</x:v>
      </x:c>
    </x:row>
    <x:row r="883">
      <x:c r="A883" s="54" t="str">
        <x:v>T2_CONCORDANT_DOMAIN</x:v>
      </x:c>
      <x:c r="B883" s="54" t="n">
        <x:v>877</x:v>
      </x:c>
      <x:c r="C883" s="54" t="str">
        <x:v>NYC-V2-R01</x:v>
      </x:c>
      <x:c r="D883" s="54" t="str">
        <x:v>V2</x:v>
      </x:c>
      <x:c r="E883" s="54" t="str">
        <x:v>ADMITTED</x:v>
      </x:c>
      <x:c r="F883" s="55" t="n">
        <x:v>30642</x:v>
      </x:c>
      <x:c r="G883" s="55" t="n">
        <x:v>8091</x:v>
      </x:c>
      <x:c r="H883" s="55" t="n">
        <x:v>3389</x:v>
      </x:c>
      <x:c r="I883" s="55" t="n">
        <x:v>1572</x:v>
      </x:c>
      <x:c r="J883" s="55" t="n">
        <x:v>203</x:v>
      </x:c>
      <x:c r="K883" s="55" t="n">
        <x:v>27500</x:v>
      </x:c>
      <x:c r="L883" s="55" t="n">
        <x:v>4888</x:v>
      </x:c>
      <x:c r="M883" s="55" t="n">
        <x:v>579</x:v>
      </x:c>
      <x:c r="N883" s="55" t="n">
        <x:v>2721</x:v>
      </x:c>
      <x:c r="O883" s="55" t="n">
        <x:v>1588</x:v>
      </x:c>
      <x:c r="P883" s="55" t="n">
        <x:v>350</x:v>
      </x:c>
      <x:c r="Q883" s="55" t="n">
        <x:v>2525</x:v>
      </x:c>
      <x:c r="R883" s="55" t="n">
        <x:v>2077</x:v>
      </x:c>
      <x:c r="S883" s="55" t="n">
        <x:v>2649</x:v>
      </x:c>
      <x:c r="T883" s="55" t="n">
        <x:v>1149</x:v>
      </x:c>
      <x:c r="U883" s="55" t="n">
        <x:v>1845</x:v>
      </x:c>
      <x:c r="V883" s="55" t="n">
        <x:v>10607</x:v>
      </x:c>
      <x:c r="W883" s="55" t="n">
        <x:v>7192</x:v>
      </x:c>
      <x:c r="X883" s="55" t="n">
        <x:v>3415</x:v>
      </x:c>
      <x:c r="Y883" s="55" t="n">
        <x:v>2904</x:v>
      </x:c>
      <x:c r="Z883" s="55" t="n">
        <x:v>3517</x:v>
      </x:c>
      <x:c r="AA883" s="55" t="n">
        <x:v>3078</x:v>
      </x:c>
      <x:c r="AB883" s="55" t="n">
        <x:v>1074</x:v>
      </x:c>
      <x:c r="AC883" s="55" t="n">
        <x:v>8072</x:v>
      </x:c>
      <x:c r="AD883" s="55" t="n">
        <x:v>2858</x:v>
      </x:c>
      <x:c r="AE883" s="55" t="n">
        <x:v>10686</x:v>
      </x:c>
      <x:c r="AF883" s="55" t="n">
        <x:v>10607</x:v>
      </x:c>
      <x:c r="AG883" s="55" t="n">
        <x:v>79</x:v>
      </x:c>
      <x:c r="AH883" s="55" t="n">
        <x:v>150</x:v>
      </x:c>
      <x:c r="AI883" s="55" t="n">
        <x:v>10457</x:v>
      </x:c>
      <x:c r="AJ883" s="55" t="n">
        <x:v>330</x:v>
      </x:c>
      <x:c r="AK883" s="55" t="n">
        <x:v>897</x:v>
      </x:c>
      <x:c r="AL883" s="55" t="n">
        <x:v>1258</x:v>
      </x:c>
      <x:c r="AM883" s="55" t="n">
        <x:v>5232</x:v>
      </x:c>
      <x:c r="AN883" s="55" t="n">
        <x:v>2890</x:v>
      </x:c>
      <x:c r="AO883" s="55" t="n">
        <x:v>0</x:v>
      </x:c>
      <x:c r="AP883" s="55" t="n">
        <x:v>2180</x:v>
      </x:c>
      <x:c r="AQ883" s="55" t="n">
        <x:v>956</x:v>
      </x:c>
    </x:row>
    <x:row r="884">
      <x:c r="A884" s="54" t="str">
        <x:v>T2_CONCORDANT_DOMAIN</x:v>
      </x:c>
      <x:c r="B884" s="54" t="n">
        <x:v>878</x:v>
      </x:c>
      <x:c r="C884" s="54" t="str">
        <x:v>NYC-V2-R01</x:v>
      </x:c>
      <x:c r="D884" s="54" t="str">
        <x:v>V2</x:v>
      </x:c>
      <x:c r="E884" s="54" t="str">
        <x:v>ADMITTED</x:v>
      </x:c>
      <x:c r="F884" s="55" t="n">
        <x:v>29264</x:v>
      </x:c>
      <x:c r="G884" s="55" t="n">
        <x:v>6233</x:v>
      </x:c>
      <x:c r="H884" s="55" t="n">
        <x:v>2870</x:v>
      </x:c>
      <x:c r="I884" s="55" t="n">
        <x:v>727</x:v>
      </x:c>
      <x:c r="J884" s="55" t="n">
        <x:v>0</x:v>
      </x:c>
      <x:c r="K884" s="55" t="n">
        <x:v>29264</x:v>
      </x:c>
      <x:c r="L884" s="55" t="n">
        <x:v>5350</x:v>
      </x:c>
      <x:c r="M884" s="55" t="n">
        <x:v>448</x:v>
      </x:c>
      <x:c r="N884" s="55" t="n">
        <x:v>3104</x:v>
      </x:c>
      <x:c r="O884" s="55" t="n">
        <x:v>1798</x:v>
      </x:c>
      <x:c r="P884" s="55" t="n">
        <x:v>638</x:v>
      </x:c>
      <x:c r="Q884" s="55" t="n">
        <x:v>2336</x:v>
      </x:c>
      <x:c r="R884" s="55" t="n">
        <x:v>1306</x:v>
      </x:c>
      <x:c r="S884" s="55" t="n">
        <x:v>2787</x:v>
      </x:c>
      <x:c r="T884" s="55" t="n">
        <x:v>871</x:v>
      </x:c>
      <x:c r="U884" s="55" t="n">
        <x:v>1774</x:v>
      </x:c>
      <x:c r="V884" s="55" t="n">
        <x:v>10093</x:v>
      </x:c>
      <x:c r="W884" s="55" t="n">
        <x:v>7152</x:v>
      </x:c>
      <x:c r="X884" s="55" t="n">
        <x:v>2941</x:v>
      </x:c>
      <x:c r="Y884" s="55" t="n">
        <x:v>2469</x:v>
      </x:c>
      <x:c r="Z884" s="55" t="n">
        <x:v>3621</x:v>
      </x:c>
      <x:c r="AA884" s="55" t="n">
        <x:v>2852</x:v>
      </x:c>
      <x:c r="AB884" s="55" t="n">
        <x:v>1045</x:v>
      </x:c>
      <x:c r="AC884" s="55" t="n">
        <x:v>7879</x:v>
      </x:c>
      <x:c r="AD884" s="55" t="n">
        <x:v>2260</x:v>
      </x:c>
      <x:c r="AE884" s="55" t="n">
        <x:v>10184</x:v>
      </x:c>
      <x:c r="AF884" s="55" t="n">
        <x:v>10093</x:v>
      </x:c>
      <x:c r="AG884" s="55" t="n">
        <x:v>91</x:v>
      </x:c>
      <x:c r="AH884" s="55" t="n">
        <x:v>231</x:v>
      </x:c>
      <x:c r="AI884" s="55" t="n">
        <x:v>9862</x:v>
      </x:c>
      <x:c r="AJ884" s="55" t="n">
        <x:v>274</x:v>
      </x:c>
      <x:c r="AK884" s="55" t="n">
        <x:v>931</x:v>
      </x:c>
      <x:c r="AL884" s="55" t="n">
        <x:v>1684</x:v>
      </x:c>
      <x:c r="AM884" s="55" t="n">
        <x:v>4762</x:v>
      </x:c>
      <x:c r="AN884" s="55" t="n">
        <x:v>2431</x:v>
      </x:c>
      <x:c r="AO884" s="55" t="n">
        <x:v>11</x:v>
      </x:c>
      <x:c r="AP884" s="55" t="n">
        <x:v>2324</x:v>
      </x:c>
      <x:c r="AQ884" s="55" t="n">
        <x:v>921</x:v>
      </x:c>
    </x:row>
    <x:row r="885">
      <x:c r="A885" s="54" t="str">
        <x:v>T2_CONCORDANT_DOMAIN</x:v>
      </x:c>
      <x:c r="B885" s="54" t="n">
        <x:v>879</x:v>
      </x:c>
      <x:c r="C885" s="54" t="str">
        <x:v>NYC-V2-R01</x:v>
      </x:c>
      <x:c r="D885" s="54" t="str">
        <x:v>V2</x:v>
      </x:c>
      <x:c r="E885" s="54" t="str">
        <x:v>ADMITTED</x:v>
      </x:c>
      <x:c r="F885" s="55" t="n">
        <x:v>33409</x:v>
      </x:c>
      <x:c r="G885" s="55" t="n">
        <x:v>6646</x:v>
      </x:c>
      <x:c r="H885" s="55" t="n">
        <x:v>3472</x:v>
      </x:c>
      <x:c r="I885" s="55" t="n">
        <x:v>1523</x:v>
      </x:c>
      <x:c r="J885" s="55" t="n">
        <x:v>267</x:v>
      </x:c>
      <x:c r="K885" s="55" t="n">
        <x:v>33409</x:v>
      </x:c>
      <x:c r="L885" s="55" t="n">
        <x:v>6100</x:v>
      </x:c>
      <x:c r="M885" s="55" t="n">
        <x:v>1401</x:v>
      </x:c>
      <x:c r="N885" s="55" t="n">
        <x:v>2643</x:v>
      </x:c>
      <x:c r="O885" s="55" t="n">
        <x:v>2056</x:v>
      </x:c>
      <x:c r="P885" s="55" t="n">
        <x:v>670</x:v>
      </x:c>
      <x:c r="Q885" s="55" t="n">
        <x:v>1779</x:v>
      </x:c>
      <x:c r="R885" s="55" t="n">
        <x:v>1487</x:v>
      </x:c>
      <x:c r="S885" s="55" t="n">
        <x:v>2609</x:v>
      </x:c>
      <x:c r="T885" s="55" t="n">
        <x:v>1118</x:v>
      </x:c>
      <x:c r="U885" s="55" t="n">
        <x:v>1298</x:v>
      </x:c>
      <x:c r="V885" s="55" t="n">
        <x:v>10248</x:v>
      </x:c>
      <x:c r="W885" s="55" t="n">
        <x:v>7141</x:v>
      </x:c>
      <x:c r="X885" s="55" t="n">
        <x:v>3107</x:v>
      </x:c>
      <x:c r="Y885" s="55" t="n">
        <x:v>2641</x:v>
      </x:c>
      <x:c r="Z885" s="55" t="n">
        <x:v>3472</x:v>
      </x:c>
      <x:c r="AA885" s="55" t="n">
        <x:v>3107</x:v>
      </x:c>
      <x:c r="AB885" s="55" t="n">
        <x:v>742</x:v>
      </x:c>
      <x:c r="AC885" s="55" t="n">
        <x:v>7635</x:v>
      </x:c>
      <x:c r="AD885" s="55" t="n">
        <x:v>3111</x:v>
      </x:c>
      <x:c r="AE885" s="55" t="n">
        <x:v>10367</x:v>
      </x:c>
      <x:c r="AF885" s="55" t="n">
        <x:v>10248</x:v>
      </x:c>
      <x:c r="AG885" s="55" t="n">
        <x:v>119</x:v>
      </x:c>
      <x:c r="AH885" s="55" t="n">
        <x:v>535</x:v>
      </x:c>
      <x:c r="AI885" s="55" t="n">
        <x:v>9713</x:v>
      </x:c>
      <x:c r="AJ885" s="55" t="n">
        <x:v>326</x:v>
      </x:c>
      <x:c r="AK885" s="55" t="n">
        <x:v>1025</x:v>
      </x:c>
      <x:c r="AL885" s="55" t="n">
        <x:v>1645</x:v>
      </x:c>
      <x:c r="AM885" s="55" t="n">
        <x:v>4943</x:v>
      </x:c>
      <x:c r="AN885" s="55" t="n">
        <x:v>2309</x:v>
      </x:c>
      <x:c r="AO885" s="55" t="n">
        <x:v>0</x:v>
      </x:c>
      <x:c r="AP885" s="55" t="n">
        <x:v>2503</x:v>
      </x:c>
      <x:c r="AQ885" s="55" t="n">
        <x:v>948</x:v>
      </x:c>
    </x:row>
    <x:row r="886">
      <x:c r="A886" s="54" t="str">
        <x:v>T2_CONCORDANT_DOMAIN</x:v>
      </x:c>
      <x:c r="B886" s="54" t="n">
        <x:v>880</x:v>
      </x:c>
      <x:c r="C886" s="54" t="str">
        <x:v>NYC-V2-R01</x:v>
      </x:c>
      <x:c r="D886" s="54" t="str">
        <x:v>V2</x:v>
      </x:c>
      <x:c r="E886" s="54" t="str">
        <x:v>ADMITTED</x:v>
      </x:c>
      <x:c r="F886" s="55" t="n">
        <x:v>31979</x:v>
      </x:c>
      <x:c r="G886" s="55" t="n">
        <x:v>8123</x:v>
      </x:c>
      <x:c r="H886" s="55" t="n">
        <x:v>3117</x:v>
      </x:c>
      <x:c r="I886" s="55" t="n">
        <x:v>1246</x:v>
      </x:c>
      <x:c r="J886" s="55" t="n">
        <x:v>246</x:v>
      </x:c>
      <x:c r="K886" s="55" t="n">
        <x:v>30281</x:v>
      </x:c>
      <x:c r="L886" s="55" t="n">
        <x:v>5469</x:v>
      </x:c>
      <x:c r="M886" s="55" t="n">
        <x:v>1095</x:v>
      </x:c>
      <x:c r="N886" s="55" t="n">
        <x:v>2657</x:v>
      </x:c>
      <x:c r="O886" s="55" t="n">
        <x:v>1717</x:v>
      </x:c>
      <x:c r="P886" s="55" t="n">
        <x:v>1016</x:v>
      </x:c>
      <x:c r="Q886" s="55" t="n">
        <x:v>2144</x:v>
      </x:c>
      <x:c r="R886" s="55" t="n">
        <x:v>1826</x:v>
      </x:c>
      <x:c r="S886" s="55" t="n">
        <x:v>2795</x:v>
      </x:c>
      <x:c r="T886" s="55" t="n">
        <x:v>1569</x:v>
      </x:c>
      <x:c r="U886" s="55" t="n">
        <x:v>2345</x:v>
      </x:c>
      <x:c r="V886" s="55" t="n">
        <x:v>10331</x:v>
      </x:c>
      <x:c r="W886" s="55" t="n">
        <x:v>6969</x:v>
      </x:c>
      <x:c r="X886" s="55" t="n">
        <x:v>3362</x:v>
      </x:c>
      <x:c r="Y886" s="55" t="n">
        <x:v>2965</x:v>
      </x:c>
      <x:c r="Z886" s="55" t="n">
        <x:v>3809</x:v>
      </x:c>
      <x:c r="AA886" s="55" t="n">
        <x:v>3082</x:v>
      </x:c>
      <x:c r="AB886" s="55" t="n">
        <x:v>1145</x:v>
      </x:c>
      <x:c r="AC886" s="55" t="n">
        <x:v>7808</x:v>
      </x:c>
      <x:c r="AD886" s="55" t="n">
        <x:v>2427</x:v>
      </x:c>
      <x:c r="AE886" s="55" t="n">
        <x:v>10431</x:v>
      </x:c>
      <x:c r="AF886" s="55" t="n">
        <x:v>10331</x:v>
      </x:c>
      <x:c r="AG886" s="55" t="n">
        <x:v>100</x:v>
      </x:c>
      <x:c r="AH886" s="55" t="n">
        <x:v>365</x:v>
      </x:c>
      <x:c r="AI886" s="55" t="n">
        <x:v>9966</x:v>
      </x:c>
      <x:c r="AJ886" s="55" t="n">
        <x:v>340</x:v>
      </x:c>
      <x:c r="AK886" s="55" t="n">
        <x:v>896</x:v>
      </x:c>
      <x:c r="AL886" s="55" t="n">
        <x:v>1980</x:v>
      </x:c>
      <x:c r="AM886" s="55" t="n">
        <x:v>4263</x:v>
      </x:c>
      <x:c r="AN886" s="55" t="n">
        <x:v>2799</x:v>
      </x:c>
      <x:c r="AO886" s="55" t="n">
        <x:v>53</x:v>
      </x:c>
      <x:c r="AP886" s="55" t="n">
        <x:v>2335</x:v>
      </x:c>
      <x:c r="AQ886" s="55" t="n">
        <x:v>985</x:v>
      </x:c>
    </x:row>
    <x:row r="887">
      <x:c r="A887" s="54" t="str">
        <x:v>T2_CONCORDANT_DOMAIN</x:v>
      </x:c>
      <x:c r="B887" s="54" t="n">
        <x:v>881</x:v>
      </x:c>
      <x:c r="C887" s="54" t="str">
        <x:v>NYC-V2-R01</x:v>
      </x:c>
      <x:c r="D887" s="54" t="str">
        <x:v>V2</x:v>
      </x:c>
      <x:c r="E887" s="54" t="str">
        <x:v>ADMITTED</x:v>
      </x:c>
      <x:c r="F887" s="55" t="n">
        <x:v>32096</x:v>
      </x:c>
      <x:c r="G887" s="55" t="n">
        <x:v>8294</x:v>
      </x:c>
      <x:c r="H887" s="55" t="n">
        <x:v>3857</x:v>
      </x:c>
      <x:c r="I887" s="55" t="n">
        <x:v>1379</x:v>
      </x:c>
      <x:c r="J887" s="55" t="n">
        <x:v>272</x:v>
      </x:c>
      <x:c r="K887" s="55" t="n">
        <x:v>30551</x:v>
      </x:c>
      <x:c r="L887" s="55" t="n">
        <x:v>5392</x:v>
      </x:c>
      <x:c r="M887" s="55" t="n">
        <x:v>1795</x:v>
      </x:c>
      <x:c r="N887" s="55" t="n">
        <x:v>2085</x:v>
      </x:c>
      <x:c r="O887" s="55" t="n">
        <x:v>1512</x:v>
      </x:c>
      <x:c r="P887" s="55" t="n">
        <x:v>1034</x:v>
      </x:c>
      <x:c r="Q887" s="55" t="n">
        <x:v>2119</x:v>
      </x:c>
      <x:c r="R887" s="55" t="n">
        <x:v>2043</x:v>
      </x:c>
      <x:c r="S887" s="55" t="n">
        <x:v>2719</x:v>
      </x:c>
      <x:c r="T887" s="55" t="n">
        <x:v>1041</x:v>
      </x:c>
      <x:c r="U887" s="55" t="n">
        <x:v>2272</x:v>
      </x:c>
      <x:c r="V887" s="55" t="n">
        <x:v>10432</x:v>
      </x:c>
      <x:c r="W887" s="55" t="n">
        <x:v>7159</x:v>
      </x:c>
      <x:c r="X887" s="55" t="n">
        <x:v>3273</x:v>
      </x:c>
      <x:c r="Y887" s="55" t="n">
        <x:v>2808</x:v>
      </x:c>
      <x:c r="Z887" s="55" t="n">
        <x:v>3946</x:v>
      </x:c>
      <x:c r="AA887" s="55" t="n">
        <x:v>3329</x:v>
      </x:c>
      <x:c r="AB887" s="55" t="n">
        <x:v>1219</x:v>
      </x:c>
      <x:c r="AC887" s="55" t="n">
        <x:v>8012</x:v>
      </x:c>
      <x:c r="AD887" s="55" t="n">
        <x:v>3250</x:v>
      </x:c>
      <x:c r="AE887" s="55" t="n">
        <x:v>10509</x:v>
      </x:c>
      <x:c r="AF887" s="55" t="n">
        <x:v>10432</x:v>
      </x:c>
      <x:c r="AG887" s="55" t="n">
        <x:v>77</x:v>
      </x:c>
      <x:c r="AH887" s="55" t="n">
        <x:v>409</x:v>
      </x:c>
      <x:c r="AI887" s="55" t="n">
        <x:v>10023</x:v>
      </x:c>
      <x:c r="AJ887" s="55" t="n">
        <x:v>224</x:v>
      </x:c>
      <x:c r="AK887" s="55" t="n">
        <x:v>885</x:v>
      </x:c>
      <x:c r="AL887" s="55" t="n">
        <x:v>1502</x:v>
      </x:c>
      <x:c r="AM887" s="55" t="n">
        <x:v>4958</x:v>
      </x:c>
      <x:c r="AN887" s="55" t="n">
        <x:v>2863</x:v>
      </x:c>
      <x:c r="AO887" s="55" t="n">
        <x:v>0</x:v>
      </x:c>
      <x:c r="AP887" s="55" t="n">
        <x:v>2551</x:v>
      </x:c>
      <x:c r="AQ887" s="55" t="n">
        <x:v>941</x:v>
      </x:c>
    </x:row>
    <x:row r="888">
      <x:c r="A888" s="54" t="str">
        <x:v>T2_CONCORDANT_DOMAIN</x:v>
      </x:c>
      <x:c r="B888" s="54" t="n">
        <x:v>882</x:v>
      </x:c>
      <x:c r="C888" s="54" t="str">
        <x:v>NYC-V2-R01</x:v>
      </x:c>
      <x:c r="D888" s="54" t="str">
        <x:v>V2</x:v>
      </x:c>
      <x:c r="E888" s="54" t="str">
        <x:v>ADMITTED</x:v>
      </x:c>
      <x:c r="F888" s="55" t="n">
        <x:v>31131</x:v>
      </x:c>
      <x:c r="G888" s="55" t="n">
        <x:v>6921</x:v>
      </x:c>
      <x:c r="H888" s="55" t="n">
        <x:v>3068</x:v>
      </x:c>
      <x:c r="I888" s="55" t="n">
        <x:v>982</x:v>
      </x:c>
      <x:c r="J888" s="55" t="n">
        <x:v>0</x:v>
      </x:c>
      <x:c r="K888" s="55" t="n">
        <x:v>31131</x:v>
      </x:c>
      <x:c r="L888" s="55" t="n">
        <x:v>5661</x:v>
      </x:c>
      <x:c r="M888" s="55" t="n">
        <x:v>1170</x:v>
      </x:c>
      <x:c r="N888" s="55" t="n">
        <x:v>2849</x:v>
      </x:c>
      <x:c r="O888" s="55" t="n">
        <x:v>1642</x:v>
      </x:c>
      <x:c r="P888" s="55" t="n">
        <x:v>913</x:v>
      </x:c>
      <x:c r="Q888" s="55" t="n">
        <x:v>3185</x:v>
      </x:c>
      <x:c r="R888" s="55" t="n">
        <x:v>1868</x:v>
      </x:c>
      <x:c r="S888" s="55" t="n">
        <x:v>2529</x:v>
      </x:c>
      <x:c r="T888" s="55" t="n">
        <x:v>960</x:v>
      </x:c>
      <x:c r="U888" s="55" t="n">
        <x:v>2039</x:v>
      </x:c>
      <x:c r="V888" s="55" t="n">
        <x:v>10555</x:v>
      </x:c>
      <x:c r="W888" s="55" t="n">
        <x:v>7691</x:v>
      </x:c>
      <x:c r="X888" s="55" t="n">
        <x:v>2864</x:v>
      </x:c>
      <x:c r="Y888" s="55" t="n">
        <x:v>2435</x:v>
      </x:c>
      <x:c r="Z888" s="55" t="n">
        <x:v>3420</x:v>
      </x:c>
      <x:c r="AA888" s="55" t="n">
        <x:v>3068</x:v>
      </x:c>
      <x:c r="AB888" s="55" t="n">
        <x:v>816</x:v>
      </x:c>
      <x:c r="AC888" s="55" t="n">
        <x:v>7913</x:v>
      </x:c>
      <x:c r="AD888" s="55" t="n">
        <x:v>2733</x:v>
      </x:c>
      <x:c r="AE888" s="55" t="n">
        <x:v>10661</x:v>
      </x:c>
      <x:c r="AF888" s="55" t="n">
        <x:v>10555</x:v>
      </x:c>
      <x:c r="AG888" s="55" t="n">
        <x:v>106</x:v>
      </x:c>
      <x:c r="AH888" s="55" t="n">
        <x:v>339</x:v>
      </x:c>
      <x:c r="AI888" s="55" t="n">
        <x:v>10216</x:v>
      </x:c>
      <x:c r="AJ888" s="55" t="n">
        <x:v>430</x:v>
      </x:c>
      <x:c r="AK888" s="55" t="n">
        <x:v>1220</x:v>
      </x:c>
      <x:c r="AL888" s="55" t="n">
        <x:v>1761</x:v>
      </x:c>
      <x:c r="AM888" s="55" t="n">
        <x:v>4610</x:v>
      </x:c>
      <x:c r="AN888" s="55" t="n">
        <x:v>2534</x:v>
      </x:c>
      <x:c r="AO888" s="55" t="n">
        <x:v>0</x:v>
      </x:c>
      <x:c r="AP888" s="55" t="n">
        <x:v>2754</x:v>
      </x:c>
      <x:c r="AQ888" s="55" t="n">
        <x:v>913</x:v>
      </x:c>
    </x:row>
    <x:row r="889">
      <x:c r="A889" s="54" t="str">
        <x:v>T2_CONCORDANT_DOMAIN</x:v>
      </x:c>
      <x:c r="B889" s="54" t="n">
        <x:v>883</x:v>
      </x:c>
      <x:c r="C889" s="54" t="str">
        <x:v>NYC-V2-R01</x:v>
      </x:c>
      <x:c r="D889" s="54" t="str">
        <x:v>V2</x:v>
      </x:c>
      <x:c r="E889" s="54" t="str">
        <x:v>ADMITTED</x:v>
      </x:c>
      <x:c r="F889" s="55" t="n">
        <x:v>29922</x:v>
      </x:c>
      <x:c r="G889" s="55" t="n">
        <x:v>6100</x:v>
      </x:c>
      <x:c r="H889" s="55" t="n">
        <x:v>2954</x:v>
      </x:c>
      <x:c r="I889" s="55" t="n">
        <x:v>943</x:v>
      </x:c>
      <x:c r="J889" s="55" t="n">
        <x:v>73</x:v>
      </x:c>
      <x:c r="K889" s="55" t="n">
        <x:v>29922</x:v>
      </x:c>
      <x:c r="L889" s="55" t="n">
        <x:v>4962</x:v>
      </x:c>
      <x:c r="M889" s="55" t="n">
        <x:v>1549</x:v>
      </x:c>
      <x:c r="N889" s="55" t="n">
        <x:v>2202</x:v>
      </x:c>
      <x:c r="O889" s="55" t="n">
        <x:v>1211</x:v>
      </x:c>
      <x:c r="P889" s="55" t="n">
        <x:v>459</x:v>
      </x:c>
      <x:c r="Q889" s="55" t="n">
        <x:v>2271</x:v>
      </x:c>
      <x:c r="R889" s="55" t="n">
        <x:v>1782</x:v>
      </x:c>
      <x:c r="S889" s="55" t="n">
        <x:v>2203</x:v>
      </x:c>
      <x:c r="T889" s="55" t="n">
        <x:v>915</x:v>
      </x:c>
      <x:c r="U889" s="55" t="n">
        <x:v>2414</x:v>
      </x:c>
      <x:c r="V889" s="55" t="n">
        <x:v>8929</x:v>
      </x:c>
      <x:c r="W889" s="55" t="n">
        <x:v>6500</x:v>
      </x:c>
      <x:c r="X889" s="55" t="n">
        <x:v>2429</x:v>
      </x:c>
      <x:c r="Y889" s="55" t="n">
        <x:v>2034</x:v>
      </x:c>
      <x:c r="Z889" s="55" t="n">
        <x:v>3474</x:v>
      </x:c>
      <x:c r="AA889" s="55" t="n">
        <x:v>2662</x:v>
      </x:c>
      <x:c r="AB889" s="55" t="n">
        <x:v>927</x:v>
      </x:c>
      <x:c r="AC889" s="55" t="n">
        <x:v>7997</x:v>
      </x:c>
      <x:c r="AD889" s="55" t="n">
        <x:v>2558</x:v>
      </x:c>
      <x:c r="AE889" s="55" t="n">
        <x:v>8931</x:v>
      </x:c>
      <x:c r="AF889" s="55" t="n">
        <x:v>8929</x:v>
      </x:c>
      <x:c r="AG889" s="55" t="n">
        <x:v>2</x:v>
      </x:c>
      <x:c r="AH889" s="55" t="n">
        <x:v>188</x:v>
      </x:c>
      <x:c r="AI889" s="55" t="n">
        <x:v>8741</x:v>
      </x:c>
      <x:c r="AJ889" s="55" t="n">
        <x:v>132</x:v>
      </x:c>
      <x:c r="AK889" s="55" t="n">
        <x:v>832</x:v>
      </x:c>
      <x:c r="AL889" s="55" t="n">
        <x:v>1124</x:v>
      </x:c>
      <x:c r="AM889" s="55" t="n">
        <x:v>4274</x:v>
      </x:c>
      <x:c r="AN889" s="55" t="n">
        <x:v>2529</x:v>
      </x:c>
      <x:c r="AO889" s="55" t="n">
        <x:v>38</x:v>
      </x:c>
      <x:c r="AP889" s="55" t="n">
        <x:v>1979</x:v>
      </x:c>
      <x:c r="AQ889" s="55" t="n">
        <x:v>941</x:v>
      </x:c>
    </x:row>
    <x:row r="890">
      <x:c r="A890" s="54" t="str">
        <x:v>T2_CONCORDANT_DOMAIN</x:v>
      </x:c>
      <x:c r="B890" s="54" t="n">
        <x:v>884</x:v>
      </x:c>
      <x:c r="C890" s="54" t="str">
        <x:v>NYC-V2-R01</x:v>
      </x:c>
      <x:c r="D890" s="54" t="str">
        <x:v>V2</x:v>
      </x:c>
      <x:c r="E890" s="54" t="str">
        <x:v>ADMITTED</x:v>
      </x:c>
      <x:c r="F890" s="55" t="n">
        <x:v>32157</x:v>
      </x:c>
      <x:c r="G890" s="55" t="n">
        <x:v>6451</x:v>
      </x:c>
      <x:c r="H890" s="55" t="n">
        <x:v>3410</x:v>
      </x:c>
      <x:c r="I890" s="55" t="n">
        <x:v>1426</x:v>
      </x:c>
      <x:c r="J890" s="55" t="n">
        <x:v>274</x:v>
      </x:c>
      <x:c r="K890" s="55" t="n">
        <x:v>32157</x:v>
      </x:c>
      <x:c r="L890" s="55" t="n">
        <x:v>5971</x:v>
      </x:c>
      <x:c r="M890" s="55" t="n">
        <x:v>1400</x:v>
      </x:c>
      <x:c r="N890" s="55" t="n">
        <x:v>2690</x:v>
      </x:c>
      <x:c r="O890" s="55" t="n">
        <x:v>1881</x:v>
      </x:c>
      <x:c r="P890" s="55" t="n">
        <x:v>637</x:v>
      </x:c>
      <x:c r="Q890" s="55" t="n">
        <x:v>2288</x:v>
      </x:c>
      <x:c r="R890" s="55" t="n">
        <x:v>2029</x:v>
      </x:c>
      <x:c r="S890" s="55" t="n">
        <x:v>2611</x:v>
      </x:c>
      <x:c r="T890" s="55" t="n">
        <x:v>1474</x:v>
      </x:c>
      <x:c r="U890" s="55" t="n">
        <x:v>1990</x:v>
      </x:c>
      <x:c r="V890" s="55" t="n">
        <x:v>10920</x:v>
      </x:c>
      <x:c r="W890" s="55" t="n">
        <x:v>7968</x:v>
      </x:c>
      <x:c r="X890" s="55" t="n">
        <x:v>2952</x:v>
      </x:c>
      <x:c r="Y890" s="55" t="n">
        <x:v>2608</x:v>
      </x:c>
      <x:c r="Z890" s="55" t="n">
        <x:v>3249</x:v>
      </x:c>
      <x:c r="AA890" s="55" t="n">
        <x:v>3410</x:v>
      </x:c>
      <x:c r="AB890" s="55" t="n">
        <x:v>1196</x:v>
      </x:c>
      <x:c r="AC890" s="55" t="n">
        <x:v>7708</x:v>
      </x:c>
      <x:c r="AD890" s="55" t="n">
        <x:v>3497</x:v>
      </x:c>
      <x:c r="AE890" s="55" t="n">
        <x:v>11101</x:v>
      </x:c>
      <x:c r="AF890" s="55" t="n">
        <x:v>10920</x:v>
      </x:c>
      <x:c r="AG890" s="55" t="n">
        <x:v>181</x:v>
      </x:c>
      <x:c r="AH890" s="55" t="n">
        <x:v>527</x:v>
      </x:c>
      <x:c r="AI890" s="55" t="n">
        <x:v>10393</x:v>
      </x:c>
      <x:c r="AJ890" s="55" t="n">
        <x:v>522</x:v>
      </x:c>
      <x:c r="AK890" s="55" t="n">
        <x:v>932</x:v>
      </x:c>
      <x:c r="AL890" s="55" t="n">
        <x:v>1688</x:v>
      </x:c>
      <x:c r="AM890" s="55" t="n">
        <x:v>4894</x:v>
      </x:c>
      <x:c r="AN890" s="55" t="n">
        <x:v>2807</x:v>
      </x:c>
      <x:c r="AO890" s="55" t="n">
        <x:v>77</x:v>
      </x:c>
      <x:c r="AP890" s="55" t="n">
        <x:v>2776</x:v>
      </x:c>
      <x:c r="AQ890" s="55" t="n">
        <x:v>952</x:v>
      </x:c>
    </x:row>
    <x:row r="891">
      <x:c r="A891" s="54" t="str">
        <x:v>T2_CONCORDANT_DOMAIN</x:v>
      </x:c>
      <x:c r="B891" s="54" t="n">
        <x:v>885</x:v>
      </x:c>
      <x:c r="C891" s="54" t="str">
        <x:v>NYC-V2-R01</x:v>
      </x:c>
      <x:c r="D891" s="54" t="str">
        <x:v>V2</x:v>
      </x:c>
      <x:c r="E891" s="54" t="str">
        <x:v>ADMITTED</x:v>
      </x:c>
      <x:c r="F891" s="55" t="n">
        <x:v>31364</x:v>
      </x:c>
      <x:c r="G891" s="55" t="n">
        <x:v>8385</x:v>
      </x:c>
      <x:c r="H891" s="55" t="n">
        <x:v>3580</x:v>
      </x:c>
      <x:c r="I891" s="55" t="n">
        <x:v>1657</x:v>
      </x:c>
      <x:c r="J891" s="55" t="n">
        <x:v>333</x:v>
      </x:c>
      <x:c r="K891" s="55" t="n">
        <x:v>28063</x:v>
      </x:c>
      <x:c r="L891" s="55" t="n">
        <x:v>4176</x:v>
      </x:c>
      <x:c r="M891" s="55" t="n">
        <x:v>344</x:v>
      </x:c>
      <x:c r="N891" s="55" t="n">
        <x:v>2484</x:v>
      </x:c>
      <x:c r="O891" s="55" t="n">
        <x:v>1348</x:v>
      </x:c>
      <x:c r="P891" s="55" t="n">
        <x:v>450</x:v>
      </x:c>
      <x:c r="Q891" s="55" t="n">
        <x:v>2609</x:v>
      </x:c>
      <x:c r="R891" s="55" t="n">
        <x:v>1523</x:v>
      </x:c>
      <x:c r="S891" s="55" t="n">
        <x:v>2260</x:v>
      </x:c>
      <x:c r="T891" s="55" t="n">
        <x:v>1170</x:v>
      </x:c>
      <x:c r="U891" s="55" t="n">
        <x:v>2308</x:v>
      </x:c>
      <x:c r="V891" s="55" t="n">
        <x:v>10283</x:v>
      </x:c>
      <x:c r="W891" s="55" t="n">
        <x:v>7583</x:v>
      </x:c>
      <x:c r="X891" s="55" t="n">
        <x:v>2700</x:v>
      </x:c>
      <x:c r="Y891" s="55" t="n">
        <x:v>2251</x:v>
      </x:c>
      <x:c r="Z891" s="55" t="n">
        <x:v>3354</x:v>
      </x:c>
      <x:c r="AA891" s="55" t="n">
        <x:v>2706</x:v>
      </x:c>
      <x:c r="AB891" s="55" t="n">
        <x:v>753</x:v>
      </x:c>
      <x:c r="AC891" s="55" t="n">
        <x:v>7755</x:v>
      </x:c>
      <x:c r="AD891" s="55" t="n">
        <x:v>2777</x:v>
      </x:c>
      <x:c r="AE891" s="55" t="n">
        <x:v>10323</x:v>
      </x:c>
      <x:c r="AF891" s="55" t="n">
        <x:v>10283</x:v>
      </x:c>
      <x:c r="AG891" s="55" t="n">
        <x:v>40</x:v>
      </x:c>
      <x:c r="AH891" s="55" t="n">
        <x:v>616</x:v>
      </x:c>
      <x:c r="AI891" s="55" t="n">
        <x:v>9667</x:v>
      </x:c>
      <x:c r="AJ891" s="55" t="n">
        <x:v>300</x:v>
      </x:c>
      <x:c r="AK891" s="55" t="n">
        <x:v>854</x:v>
      </x:c>
      <x:c r="AL891" s="55" t="n">
        <x:v>1550</x:v>
      </x:c>
      <x:c r="AM891" s="55" t="n">
        <x:v>4866</x:v>
      </x:c>
      <x:c r="AN891" s="55" t="n">
        <x:v>2713</x:v>
      </x:c>
      <x:c r="AO891" s="55" t="n">
        <x:v>0</x:v>
      </x:c>
      <x:c r="AP891" s="55" t="n">
        <x:v>1768</x:v>
      </x:c>
      <x:c r="AQ891" s="55" t="n">
        <x:v>1002</x:v>
      </x:c>
    </x:row>
    <x:row r="892">
      <x:c r="A892" s="54" t="str">
        <x:v>T2_CONCORDANT_DOMAIN</x:v>
      </x:c>
      <x:c r="B892" s="54" t="n">
        <x:v>886</x:v>
      </x:c>
      <x:c r="C892" s="54" t="str">
        <x:v>NYC-V2-R01</x:v>
      </x:c>
      <x:c r="D892" s="54" t="str">
        <x:v>V2</x:v>
      </x:c>
      <x:c r="E892" s="54" t="str">
        <x:v>ADMITTED</x:v>
      </x:c>
      <x:c r="F892" s="55" t="n">
        <x:v>31760</x:v>
      </x:c>
      <x:c r="G892" s="55" t="n">
        <x:v>8246</x:v>
      </x:c>
      <x:c r="H892" s="55" t="n">
        <x:v>3803</x:v>
      </x:c>
      <x:c r="I892" s="55" t="n">
        <x:v>1547</x:v>
      </x:c>
      <x:c r="J892" s="55" t="n">
        <x:v>240</x:v>
      </x:c>
      <x:c r="K892" s="55" t="n">
        <x:v>28595</x:v>
      </x:c>
      <x:c r="L892" s="55" t="n">
        <x:v>5075</x:v>
      </x:c>
      <x:c r="M892" s="55" t="n">
        <x:v>715</x:v>
      </x:c>
      <x:c r="N892" s="55" t="n">
        <x:v>2538</x:v>
      </x:c>
      <x:c r="O892" s="55" t="n">
        <x:v>1822</x:v>
      </x:c>
      <x:c r="P892" s="55" t="n">
        <x:v>723</x:v>
      </x:c>
      <x:c r="Q892" s="55" t="n">
        <x:v>2473</x:v>
      </x:c>
      <x:c r="R892" s="55" t="n">
        <x:v>1905</x:v>
      </x:c>
      <x:c r="S892" s="55" t="n">
        <x:v>2461</x:v>
      </x:c>
      <x:c r="T892" s="55" t="n">
        <x:v>1176</x:v>
      </x:c>
      <x:c r="U892" s="55" t="n">
        <x:v>2008</x:v>
      </x:c>
      <x:c r="V892" s="55" t="n">
        <x:v>10590</x:v>
      </x:c>
      <x:c r="W892" s="55" t="n">
        <x:v>7691</x:v>
      </x:c>
      <x:c r="X892" s="55" t="n">
        <x:v>2899</x:v>
      </x:c>
      <x:c r="Y892" s="55" t="n">
        <x:v>2496</x:v>
      </x:c>
      <x:c r="Z892" s="55" t="n">
        <x:v>3956</x:v>
      </x:c>
      <x:c r="AA892" s="55" t="n">
        <x:v>3059</x:v>
      </x:c>
      <x:c r="AB892" s="55" t="n">
        <x:v>956</x:v>
      </x:c>
      <x:c r="AC892" s="55" t="n">
        <x:v>7968</x:v>
      </x:c>
      <x:c r="AD892" s="55" t="n">
        <x:v>3114</x:v>
      </x:c>
      <x:c r="AE892" s="55" t="n">
        <x:v>10729</x:v>
      </x:c>
      <x:c r="AF892" s="55" t="n">
        <x:v>10590</x:v>
      </x:c>
      <x:c r="AG892" s="55" t="n">
        <x:v>139</x:v>
      </x:c>
      <x:c r="AH892" s="55" t="n">
        <x:v>589</x:v>
      </x:c>
      <x:c r="AI892" s="55" t="n">
        <x:v>10001</x:v>
      </x:c>
      <x:c r="AJ892" s="55" t="n">
        <x:v>366</x:v>
      </x:c>
      <x:c r="AK892" s="55" t="n">
        <x:v>1064</x:v>
      </x:c>
      <x:c r="AL892" s="55" t="n">
        <x:v>1711</x:v>
      </x:c>
      <x:c r="AM892" s="55" t="n">
        <x:v>4826</x:v>
      </x:c>
      <x:c r="AN892" s="55" t="n">
        <x:v>2580</x:v>
      </x:c>
      <x:c r="AO892" s="55" t="n">
        <x:v>43</x:v>
      </x:c>
      <x:c r="AP892" s="55" t="n">
        <x:v>2550</x:v>
      </x:c>
      <x:c r="AQ892" s="55" t="n">
        <x:v>966</x:v>
      </x:c>
    </x:row>
    <x:row r="893">
      <x:c r="A893" s="54" t="str">
        <x:v>T2_CONCORDANT_DOMAIN</x:v>
      </x:c>
      <x:c r="B893" s="54" t="n">
        <x:v>887</x:v>
      </x:c>
      <x:c r="C893" s="54" t="str">
        <x:v>NYC-V2-R01</x:v>
      </x:c>
      <x:c r="D893" s="54" t="str">
        <x:v>V2</x:v>
      </x:c>
      <x:c r="E893" s="54" t="str">
        <x:v>ADMITTED</x:v>
      </x:c>
      <x:c r="F893" s="55" t="n">
        <x:v>31884</x:v>
      </x:c>
      <x:c r="G893" s="55" t="n">
        <x:v>9778</x:v>
      </x:c>
      <x:c r="H893" s="55" t="n">
        <x:v>3145</x:v>
      </x:c>
      <x:c r="I893" s="55" t="n">
        <x:v>1133</x:v>
      </x:c>
      <x:c r="J893" s="55" t="n">
        <x:v>75</x:v>
      </x:c>
      <x:c r="K893" s="55" t="n">
        <x:v>31003</x:v>
      </x:c>
      <x:c r="L893" s="55" t="n">
        <x:v>6622</x:v>
      </x:c>
      <x:c r="M893" s="55" t="n">
        <x:v>1745</x:v>
      </x:c>
      <x:c r="N893" s="55" t="n">
        <x:v>2862</x:v>
      </x:c>
      <x:c r="O893" s="55" t="n">
        <x:v>2015</x:v>
      </x:c>
      <x:c r="P893" s="55" t="n">
        <x:v>697</x:v>
      </x:c>
      <x:c r="Q893" s="55" t="n">
        <x:v>2550</x:v>
      </x:c>
      <x:c r="R893" s="55" t="n">
        <x:v>2314</x:v>
      </x:c>
      <x:c r="S893" s="55" t="n">
        <x:v>3012</x:v>
      </x:c>
      <x:c r="T893" s="55" t="n">
        <x:v>1363</x:v>
      </x:c>
      <x:c r="U893" s="55" t="n">
        <x:v>2541</x:v>
      </x:c>
      <x:c r="V893" s="55" t="n">
        <x:v>10533</x:v>
      </x:c>
      <x:c r="W893" s="55" t="n">
        <x:v>7261</x:v>
      </x:c>
      <x:c r="X893" s="55" t="n">
        <x:v>3272</x:v>
      </x:c>
      <x:c r="Y893" s="55" t="n">
        <x:v>2951</x:v>
      </x:c>
      <x:c r="Z893" s="55" t="n">
        <x:v>4069</x:v>
      </x:c>
      <x:c r="AA893" s="55" t="n">
        <x:v>3145</x:v>
      </x:c>
      <x:c r="AB893" s="55" t="n">
        <x:v>1009</x:v>
      </x:c>
      <x:c r="AC893" s="55" t="n">
        <x:v>8434</x:v>
      </x:c>
      <x:c r="AD893" s="55" t="n">
        <x:v>2968</x:v>
      </x:c>
      <x:c r="AE893" s="55" t="n">
        <x:v>10579</x:v>
      </x:c>
      <x:c r="AF893" s="55" t="n">
        <x:v>10533</x:v>
      </x:c>
      <x:c r="AG893" s="55" t="n">
        <x:v>46</x:v>
      </x:c>
      <x:c r="AH893" s="55" t="n">
        <x:v>347</x:v>
      </x:c>
      <x:c r="AI893" s="55" t="n">
        <x:v>10186</x:v>
      </x:c>
      <x:c r="AJ893" s="55" t="n">
        <x:v>131</x:v>
      </x:c>
      <x:c r="AK893" s="55" t="n">
        <x:v>1216</x:v>
      </x:c>
      <x:c r="AL893" s="55" t="n">
        <x:v>1722</x:v>
      </x:c>
      <x:c r="AM893" s="55" t="n">
        <x:v>5282</x:v>
      </x:c>
      <x:c r="AN893" s="55" t="n">
        <x:v>2182</x:v>
      </x:c>
      <x:c r="AO893" s="55" t="n">
        <x:v>0</x:v>
      </x:c>
      <x:c r="AP893" s="55" t="n">
        <x:v>2592</x:v>
      </x:c>
      <x:c r="AQ893" s="55" t="n">
        <x:v>940</x:v>
      </x:c>
    </x:row>
    <x:row r="894">
      <x:c r="A894" s="54" t="str">
        <x:v>T2_CONCORDANT_DOMAIN</x:v>
      </x:c>
      <x:c r="B894" s="54" t="n">
        <x:v>888</x:v>
      </x:c>
      <x:c r="C894" s="54" t="str">
        <x:v>NYC-V2-R01</x:v>
      </x:c>
      <x:c r="D894" s="54" t="str">
        <x:v>V2</x:v>
      </x:c>
      <x:c r="E894" s="54" t="str">
        <x:v>ADMITTED</x:v>
      </x:c>
      <x:c r="F894" s="55" t="n">
        <x:v>29482</x:v>
      </x:c>
      <x:c r="G894" s="55" t="n">
        <x:v>6797</x:v>
      </x:c>
      <x:c r="H894" s="55" t="n">
        <x:v>3120</x:v>
      </x:c>
      <x:c r="I894" s="55" t="n">
        <x:v>1201</x:v>
      </x:c>
      <x:c r="J894" s="55" t="n">
        <x:v>272</x:v>
      </x:c>
      <x:c r="K894" s="55" t="n">
        <x:v>29482</x:v>
      </x:c>
      <x:c r="L894" s="55" t="n">
        <x:v>4862</x:v>
      </x:c>
      <x:c r="M894" s="55" t="n">
        <x:v>1134</x:v>
      </x:c>
      <x:c r="N894" s="55" t="n">
        <x:v>1938</x:v>
      </x:c>
      <x:c r="O894" s="55" t="n">
        <x:v>1790</x:v>
      </x:c>
      <x:c r="P894" s="55" t="n">
        <x:v>623</x:v>
      </x:c>
      <x:c r="Q894" s="55" t="n">
        <x:v>2642</x:v>
      </x:c>
      <x:c r="R894" s="55" t="n">
        <x:v>2325</x:v>
      </x:c>
      <x:c r="S894" s="55" t="n">
        <x:v>2534</x:v>
      </x:c>
      <x:c r="T894" s="55" t="n">
        <x:v>1317</x:v>
      </x:c>
      <x:c r="U894" s="55" t="n">
        <x:v>2123</x:v>
      </x:c>
      <x:c r="V894" s="55" t="n">
        <x:v>11059</x:v>
      </x:c>
      <x:c r="W894" s="55" t="n">
        <x:v>8139</x:v>
      </x:c>
      <x:c r="X894" s="55" t="n">
        <x:v>2920</x:v>
      </x:c>
      <x:c r="Y894" s="55" t="n">
        <x:v>2301</x:v>
      </x:c>
      <x:c r="Z894" s="55" t="n">
        <x:v>3569</x:v>
      </x:c>
      <x:c r="AA894" s="55" t="n">
        <x:v>2973</x:v>
      </x:c>
      <x:c r="AB894" s="55" t="n">
        <x:v>1129</x:v>
      </x:c>
      <x:c r="AC894" s="55" t="n">
        <x:v>8000</x:v>
      </x:c>
      <x:c r="AD894" s="55" t="n">
        <x:v>1964</x:v>
      </x:c>
      <x:c r="AE894" s="55" t="n">
        <x:v>11107</x:v>
      </x:c>
      <x:c r="AF894" s="55" t="n">
        <x:v>11059</x:v>
      </x:c>
      <x:c r="AG894" s="55" t="n">
        <x:v>48</x:v>
      </x:c>
      <x:c r="AH894" s="55" t="n">
        <x:v>470</x:v>
      </x:c>
      <x:c r="AI894" s="55" t="n">
        <x:v>10589</x:v>
      </x:c>
      <x:c r="AJ894" s="55" t="n">
        <x:v>301</x:v>
      </x:c>
      <x:c r="AK894" s="55" t="n">
        <x:v>1183</x:v>
      </x:c>
      <x:c r="AL894" s="55" t="n">
        <x:v>1961</x:v>
      </x:c>
      <x:c r="AM894" s="55" t="n">
        <x:v>4720</x:v>
      </x:c>
      <x:c r="AN894" s="55" t="n">
        <x:v>2894</x:v>
      </x:c>
      <x:c r="AO894" s="55" t="n">
        <x:v>0</x:v>
      </x:c>
      <x:c r="AP894" s="55" t="n">
        <x:v>2268</x:v>
      </x:c>
      <x:c r="AQ894" s="55" t="n">
        <x:v>922</x:v>
      </x:c>
    </x:row>
    <x:row r="895">
      <x:c r="A895" s="54" t="str">
        <x:v>T2_CONCORDANT_DOMAIN</x:v>
      </x:c>
      <x:c r="B895" s="54" t="n">
        <x:v>889</x:v>
      </x:c>
      <x:c r="C895" s="54" t="str">
        <x:v>NYC-V2-R01</x:v>
      </x:c>
      <x:c r="D895" s="54" t="str">
        <x:v>V2</x:v>
      </x:c>
      <x:c r="E895" s="54" t="str">
        <x:v>ADMITTED</x:v>
      </x:c>
      <x:c r="F895" s="55" t="n">
        <x:v>32348</x:v>
      </x:c>
      <x:c r="G895" s="55" t="n">
        <x:v>7663</x:v>
      </x:c>
      <x:c r="H895" s="55" t="n">
        <x:v>3235</x:v>
      </x:c>
      <x:c r="I895" s="55" t="n">
        <x:v>1063</x:v>
      </x:c>
      <x:c r="J895" s="55" t="n">
        <x:v>204</x:v>
      </x:c>
      <x:c r="K895" s="55" t="n">
        <x:v>32348</x:v>
      </x:c>
      <x:c r="L895" s="55" t="n">
        <x:v>5705</x:v>
      </x:c>
      <x:c r="M895" s="55" t="n">
        <x:v>1245</x:v>
      </x:c>
      <x:c r="N895" s="55" t="n">
        <x:v>2737</x:v>
      </x:c>
      <x:c r="O895" s="55" t="n">
        <x:v>1723</x:v>
      </x:c>
      <x:c r="P895" s="55" t="n">
        <x:v>606</x:v>
      </x:c>
      <x:c r="Q895" s="55" t="n">
        <x:v>1938</x:v>
      </x:c>
      <x:c r="R895" s="55" t="n">
        <x:v>1734</x:v>
      </x:c>
      <x:c r="S895" s="55" t="n">
        <x:v>2282</x:v>
      </x:c>
      <x:c r="T895" s="55" t="n">
        <x:v>1303</x:v>
      </x:c>
      <x:c r="U895" s="55" t="n">
        <x:v>2179</x:v>
      </x:c>
      <x:c r="V895" s="55" t="n">
        <x:v>10394</x:v>
      </x:c>
      <x:c r="W895" s="55" t="n">
        <x:v>7268</x:v>
      </x:c>
      <x:c r="X895" s="55" t="n">
        <x:v>3126</x:v>
      </x:c>
      <x:c r="Y895" s="55" t="n">
        <x:v>2764</x:v>
      </x:c>
      <x:c r="Z895" s="55" t="n">
        <x:v>4035</x:v>
      </x:c>
      <x:c r="AA895" s="55" t="n">
        <x:v>2985</x:v>
      </x:c>
      <x:c r="AB895" s="55" t="n">
        <x:v>1294</x:v>
      </x:c>
      <x:c r="AC895" s="55" t="n">
        <x:v>8106</x:v>
      </x:c>
      <x:c r="AD895" s="55" t="n">
        <x:v>3144</x:v>
      </x:c>
      <x:c r="AE895" s="55" t="n">
        <x:v>10415</x:v>
      </x:c>
      <x:c r="AF895" s="55" t="n">
        <x:v>10394</x:v>
      </x:c>
      <x:c r="AG895" s="55" t="n">
        <x:v>21</x:v>
      </x:c>
      <x:c r="AH895" s="55" t="n">
        <x:v>495</x:v>
      </x:c>
      <x:c r="AI895" s="55" t="n">
        <x:v>9899</x:v>
      </x:c>
      <x:c r="AJ895" s="55" t="n">
        <x:v>377</x:v>
      </x:c>
      <x:c r="AK895" s="55" t="n">
        <x:v>879</x:v>
      </x:c>
      <x:c r="AL895" s="55" t="n">
        <x:v>1663</x:v>
      </x:c>
      <x:c r="AM895" s="55" t="n">
        <x:v>4520</x:v>
      </x:c>
      <x:c r="AN895" s="55" t="n">
        <x:v>2920</x:v>
      </x:c>
      <x:c r="AO895" s="55" t="n">
        <x:v>35</x:v>
      </x:c>
      <x:c r="AP895" s="55" t="n">
        <x:v>2458</x:v>
      </x:c>
      <x:c r="AQ895" s="55" t="n">
        <x:v>959</x:v>
      </x:c>
    </x:row>
    <x:row r="896">
      <x:c r="A896" s="54" t="str">
        <x:v>T2_CONCORDANT_DOMAIN</x:v>
      </x:c>
      <x:c r="B896" s="54" t="n">
        <x:v>890</x:v>
      </x:c>
      <x:c r="C896" s="54" t="str">
        <x:v>NYC-V2-R01</x:v>
      </x:c>
      <x:c r="D896" s="54" t="str">
        <x:v>V2</x:v>
      </x:c>
      <x:c r="E896" s="54" t="str">
        <x:v>ADMITTED</x:v>
      </x:c>
      <x:c r="F896" s="55" t="n">
        <x:v>31931</x:v>
      </x:c>
      <x:c r="G896" s="55" t="n">
        <x:v>8638</x:v>
      </x:c>
      <x:c r="H896" s="55" t="n">
        <x:v>3371</x:v>
      </x:c>
      <x:c r="I896" s="55" t="n">
        <x:v>1524</x:v>
      </x:c>
      <x:c r="J896" s="55" t="n">
        <x:v>442</x:v>
      </x:c>
      <x:c r="K896" s="55" t="n">
        <x:v>29266</x:v>
      </x:c>
      <x:c r="L896" s="55" t="n">
        <x:v>4889</x:v>
      </x:c>
      <x:c r="M896" s="55" t="n">
        <x:v>923</x:v>
      </x:c>
      <x:c r="N896" s="55" t="n">
        <x:v>2730</x:v>
      </x:c>
      <x:c r="O896" s="55" t="n">
        <x:v>1236</x:v>
      </x:c>
      <x:c r="P896" s="55" t="n">
        <x:v>781</x:v>
      </x:c>
      <x:c r="Q896" s="55" t="n">
        <x:v>2184</x:v>
      </x:c>
      <x:c r="R896" s="55" t="n">
        <x:v>2244</x:v>
      </x:c>
      <x:c r="S896" s="55" t="n">
        <x:v>2160</x:v>
      </x:c>
      <x:c r="T896" s="55" t="n">
        <x:v>1009</x:v>
      </x:c>
      <x:c r="U896" s="55" t="n">
        <x:v>1773</x:v>
      </x:c>
      <x:c r="V896" s="55" t="n">
        <x:v>10967</x:v>
      </x:c>
      <x:c r="W896" s="55" t="n">
        <x:v>7844</x:v>
      </x:c>
      <x:c r="X896" s="55" t="n">
        <x:v>3123</x:v>
      </x:c>
      <x:c r="Y896" s="55" t="n">
        <x:v>2691</x:v>
      </x:c>
      <x:c r="Z896" s="55" t="n">
        <x:v>3764</x:v>
      </x:c>
      <x:c r="AA896" s="55" t="n">
        <x:v>3229</x:v>
      </x:c>
      <x:c r="AB896" s="55" t="n">
        <x:v>1082</x:v>
      </x:c>
      <x:c r="AC896" s="55" t="n">
        <x:v>8384</x:v>
      </x:c>
      <x:c r="AD896" s="55" t="n">
        <x:v>3029</x:v>
      </x:c>
      <x:c r="AE896" s="55" t="n">
        <x:v>11120</x:v>
      </x:c>
      <x:c r="AF896" s="55" t="n">
        <x:v>10967</x:v>
      </x:c>
      <x:c r="AG896" s="55" t="n">
        <x:v>153</x:v>
      </x:c>
      <x:c r="AH896" s="55" t="n">
        <x:v>525</x:v>
      </x:c>
      <x:c r="AI896" s="55" t="n">
        <x:v>10442</x:v>
      </x:c>
      <x:c r="AJ896" s="55" t="n">
        <x:v>408</x:v>
      </x:c>
      <x:c r="AK896" s="55" t="n">
        <x:v>1140</x:v>
      </x:c>
      <x:c r="AL896" s="55" t="n">
        <x:v>1575</x:v>
      </x:c>
      <x:c r="AM896" s="55" t="n">
        <x:v>4954</x:v>
      </x:c>
      <x:c r="AN896" s="55" t="n">
        <x:v>2890</x:v>
      </x:c>
      <x:c r="AO896" s="55" t="n">
        <x:v>0</x:v>
      </x:c>
      <x:c r="AP896" s="55" t="n">
        <x:v>2469</x:v>
      </x:c>
      <x:c r="AQ896" s="55" t="n">
        <x:v>967</x:v>
      </x:c>
    </x:row>
    <x:row r="897">
      <x:c r="A897" s="54" t="str">
        <x:v>T2_CONCORDANT_DOMAIN</x:v>
      </x:c>
      <x:c r="B897" s="54" t="n">
        <x:v>891</x:v>
      </x:c>
      <x:c r="C897" s="54" t="str">
        <x:v>NYC-V2-R01</x:v>
      </x:c>
      <x:c r="D897" s="54" t="str">
        <x:v>V2</x:v>
      </x:c>
      <x:c r="E897" s="54" t="str">
        <x:v>ADMITTED</x:v>
      </x:c>
      <x:c r="F897" s="55" t="n">
        <x:v>32454</x:v>
      </x:c>
      <x:c r="G897" s="55" t="n">
        <x:v>8243</x:v>
      </x:c>
      <x:c r="H897" s="55" t="n">
        <x:v>3399</x:v>
      </x:c>
      <x:c r="I897" s="55" t="n">
        <x:v>1444</x:v>
      </x:c>
      <x:c r="J897" s="55" t="n">
        <x:v>225</x:v>
      </x:c>
      <x:c r="K897" s="55" t="n">
        <x:v>32454</x:v>
      </x:c>
      <x:c r="L897" s="55" t="n">
        <x:v>7924</x:v>
      </x:c>
      <x:c r="M897" s="55" t="n">
        <x:v>2833</x:v>
      </x:c>
      <x:c r="N897" s="55" t="n">
        <x:v>3047</x:v>
      </x:c>
      <x:c r="O897" s="55" t="n">
        <x:v>2044</x:v>
      </x:c>
      <x:c r="P897" s="55" t="n">
        <x:v>984</x:v>
      </x:c>
      <x:c r="Q897" s="55" t="n">
        <x:v>2760</x:v>
      </x:c>
      <x:c r="R897" s="55" t="n">
        <x:v>1957</x:v>
      </x:c>
      <x:c r="S897" s="55" t="n">
        <x:v>2437</x:v>
      </x:c>
      <x:c r="T897" s="55" t="n">
        <x:v>1477</x:v>
      </x:c>
      <x:c r="U897" s="55" t="n">
        <x:v>2104</x:v>
      </x:c>
      <x:c r="V897" s="55" t="n">
        <x:v>10711</x:v>
      </x:c>
      <x:c r="W897" s="55" t="n">
        <x:v>6933</x:v>
      </x:c>
      <x:c r="X897" s="55" t="n">
        <x:v>3778</x:v>
      </x:c>
      <x:c r="Y897" s="55" t="n">
        <x:v>3287</x:v>
      </x:c>
      <x:c r="Z897" s="55" t="n">
        <x:v>3688</x:v>
      </x:c>
      <x:c r="AA897" s="55" t="n">
        <x:v>3118</x:v>
      </x:c>
      <x:c r="AB897" s="55" t="n">
        <x:v>1380</x:v>
      </x:c>
      <x:c r="AC897" s="55" t="n">
        <x:v>8608</x:v>
      </x:c>
      <x:c r="AD897" s="55" t="n">
        <x:v>2714</x:v>
      </x:c>
      <x:c r="AE897" s="55" t="n">
        <x:v>10825</x:v>
      </x:c>
      <x:c r="AF897" s="55" t="n">
        <x:v>10711</x:v>
      </x:c>
      <x:c r="AG897" s="55" t="n">
        <x:v>114</x:v>
      </x:c>
      <x:c r="AH897" s="55" t="n">
        <x:v>506</x:v>
      </x:c>
      <x:c r="AI897" s="55" t="n">
        <x:v>10205</x:v>
      </x:c>
      <x:c r="AJ897" s="55" t="n">
        <x:v>440</x:v>
      </x:c>
      <x:c r="AK897" s="55" t="n">
        <x:v>1043</x:v>
      </x:c>
      <x:c r="AL897" s="55" t="n">
        <x:v>1615</x:v>
      </x:c>
      <x:c r="AM897" s="55" t="n">
        <x:v>5165</x:v>
      </x:c>
      <x:c r="AN897" s="55" t="n">
        <x:v>2379</x:v>
      </x:c>
      <x:c r="AO897" s="55" t="n">
        <x:v>69</x:v>
      </x:c>
      <x:c r="AP897" s="55" t="n">
        <x:v>2380</x:v>
      </x:c>
      <x:c r="AQ897" s="55" t="n">
        <x:v>937</x:v>
      </x:c>
    </x:row>
    <x:row r="898">
      <x:c r="A898" s="54" t="str">
        <x:v>T2_CONCORDANT_DOMAIN</x:v>
      </x:c>
      <x:c r="B898" s="54" t="n">
        <x:v>892</x:v>
      </x:c>
      <x:c r="C898" s="54" t="str">
        <x:v>NYC-V2-R01</x:v>
      </x:c>
      <x:c r="D898" s="54" t="str">
        <x:v>V2</x:v>
      </x:c>
      <x:c r="E898" s="54" t="str">
        <x:v>ADMITTED</x:v>
      </x:c>
      <x:c r="F898" s="55" t="n">
        <x:v>33211</x:v>
      </x:c>
      <x:c r="G898" s="55" t="n">
        <x:v>9001</x:v>
      </x:c>
      <x:c r="H898" s="55" t="n">
        <x:v>3664</x:v>
      </x:c>
      <x:c r="I898" s="55" t="n">
        <x:v>1535</x:v>
      </x:c>
      <x:c r="J898" s="55" t="n">
        <x:v>376</x:v>
      </x:c>
      <x:c r="K898" s="55" t="n">
        <x:v>33211</x:v>
      </x:c>
      <x:c r="L898" s="55" t="n">
        <x:v>6976</x:v>
      </x:c>
      <x:c r="M898" s="55" t="n">
        <x:v>1964</x:v>
      </x:c>
      <x:c r="N898" s="55" t="n">
        <x:v>2963</x:v>
      </x:c>
      <x:c r="O898" s="55" t="n">
        <x:v>2049</x:v>
      </x:c>
      <x:c r="P898" s="55" t="n">
        <x:v>1114</x:v>
      </x:c>
      <x:c r="Q898" s="55" t="n">
        <x:v>2859</x:v>
      </x:c>
      <x:c r="R898" s="55" t="n">
        <x:v>2122</x:v>
      </x:c>
      <x:c r="S898" s="55" t="n">
        <x:v>2966</x:v>
      </x:c>
      <x:c r="T898" s="55" t="n">
        <x:v>1159</x:v>
      </x:c>
      <x:c r="U898" s="55" t="n">
        <x:v>2205</x:v>
      </x:c>
      <x:c r="V898" s="55" t="n">
        <x:v>10787</x:v>
      </x:c>
      <x:c r="W898" s="55" t="n">
        <x:v>7545</x:v>
      </x:c>
      <x:c r="X898" s="55" t="n">
        <x:v>3242</x:v>
      </x:c>
      <x:c r="Y898" s="55" t="n">
        <x:v>2874</x:v>
      </x:c>
      <x:c r="Z898" s="55" t="n">
        <x:v>4236</x:v>
      </x:c>
      <x:c r="AA898" s="55" t="n">
        <x:v>3255</x:v>
      </x:c>
      <x:c r="AB898" s="55" t="n">
        <x:v>1349</x:v>
      </x:c>
      <x:c r="AC898" s="55" t="n">
        <x:v>8654</x:v>
      </x:c>
      <x:c r="AD898" s="55" t="n">
        <x:v>3062</x:v>
      </x:c>
      <x:c r="AE898" s="55" t="n">
        <x:v>10949</x:v>
      </x:c>
      <x:c r="AF898" s="55" t="n">
        <x:v>10787</x:v>
      </x:c>
      <x:c r="AG898" s="55" t="n">
        <x:v>162</x:v>
      </x:c>
      <x:c r="AH898" s="55" t="n">
        <x:v>403</x:v>
      </x:c>
      <x:c r="AI898" s="55" t="n">
        <x:v>10384</x:v>
      </x:c>
      <x:c r="AJ898" s="55" t="n">
        <x:v>511</x:v>
      </x:c>
      <x:c r="AK898" s="55" t="n">
        <x:v>1071</x:v>
      </x:c>
      <x:c r="AL898" s="55" t="n">
        <x:v>1828</x:v>
      </x:c>
      <x:c r="AM898" s="55" t="n">
        <x:v>4721</x:v>
      </x:c>
      <x:c r="AN898" s="55" t="n">
        <x:v>2618</x:v>
      </x:c>
      <x:c r="AO898" s="55" t="n">
        <x:v>38</x:v>
      </x:c>
      <x:c r="AP898" s="55" t="n">
        <x:v>2991</x:v>
      </x:c>
      <x:c r="AQ898" s="55" t="n">
        <x:v>949</x:v>
      </x:c>
    </x:row>
    <x:row r="899">
      <x:c r="A899" s="54" t="str">
        <x:v>T2_CONCORDANT_DOMAIN</x:v>
      </x:c>
      <x:c r="B899" s="54" t="n">
        <x:v>893</x:v>
      </x:c>
      <x:c r="C899" s="54" t="str">
        <x:v>NYC-V2-R01</x:v>
      </x:c>
      <x:c r="D899" s="54" t="str">
        <x:v>V2</x:v>
      </x:c>
      <x:c r="E899" s="54" t="str">
        <x:v>ADMITTED</x:v>
      </x:c>
      <x:c r="F899" s="55" t="n">
        <x:v>31533</x:v>
      </x:c>
      <x:c r="G899" s="55" t="n">
        <x:v>7537</x:v>
      </x:c>
      <x:c r="H899" s="55" t="n">
        <x:v>2864</x:v>
      </x:c>
      <x:c r="I899" s="55" t="n">
        <x:v>649</x:v>
      </x:c>
      <x:c r="J899" s="55" t="n">
        <x:v>61</x:v>
      </x:c>
      <x:c r="K899" s="55" t="n">
        <x:v>31533</x:v>
      </x:c>
      <x:c r="L899" s="55" t="n">
        <x:v>5148</x:v>
      </x:c>
      <x:c r="M899" s="55" t="n">
        <x:v>1343</x:v>
      </x:c>
      <x:c r="N899" s="55" t="n">
        <x:v>2658</x:v>
      </x:c>
      <x:c r="O899" s="55" t="n">
        <x:v>1147</x:v>
      </x:c>
      <x:c r="P899" s="55" t="n">
        <x:v>615</x:v>
      </x:c>
      <x:c r="Q899" s="55" t="n">
        <x:v>2273</x:v>
      </x:c>
      <x:c r="R899" s="55" t="n">
        <x:v>2358</x:v>
      </x:c>
      <x:c r="S899" s="55" t="n">
        <x:v>2637</x:v>
      </x:c>
      <x:c r="T899" s="55" t="n">
        <x:v>1559</x:v>
      </x:c>
      <x:c r="U899" s="55" t="n">
        <x:v>1595</x:v>
      </x:c>
      <x:c r="V899" s="55" t="n">
        <x:v>10260</x:v>
      </x:c>
      <x:c r="W899" s="55" t="n">
        <x:v>7154</x:v>
      </x:c>
      <x:c r="X899" s="55" t="n">
        <x:v>3106</x:v>
      </x:c>
      <x:c r="Y899" s="55" t="n">
        <x:v>2812</x:v>
      </x:c>
      <x:c r="Z899" s="55" t="n">
        <x:v>3241</x:v>
      </x:c>
      <x:c r="AA899" s="55" t="n">
        <x:v>2864</x:v>
      </x:c>
      <x:c r="AB899" s="55" t="n">
        <x:v>884</x:v>
      </x:c>
      <x:c r="AC899" s="55" t="n">
        <x:v>7598</x:v>
      </x:c>
      <x:c r="AD899" s="55" t="n">
        <x:v>2264</x:v>
      </x:c>
      <x:c r="AE899" s="55" t="n">
        <x:v>10332</x:v>
      </x:c>
      <x:c r="AF899" s="55" t="n">
        <x:v>10260</x:v>
      </x:c>
      <x:c r="AG899" s="55" t="n">
        <x:v>72</x:v>
      </x:c>
      <x:c r="AH899" s="55" t="n">
        <x:v>572</x:v>
      </x:c>
      <x:c r="AI899" s="55" t="n">
        <x:v>9688</x:v>
      </x:c>
      <x:c r="AJ899" s="55" t="n">
        <x:v>331</x:v>
      </x:c>
      <x:c r="AK899" s="55" t="n">
        <x:v>1120</x:v>
      </x:c>
      <x:c r="AL899" s="55" t="n">
        <x:v>1405</x:v>
      </x:c>
      <x:c r="AM899" s="55" t="n">
        <x:v>4735</x:v>
      </x:c>
      <x:c r="AN899" s="55" t="n">
        <x:v>2669</x:v>
      </x:c>
      <x:c r="AO899" s="55" t="n">
        <x:v>0</x:v>
      </x:c>
      <x:c r="AP899" s="55" t="n">
        <x:v>2496</x:v>
      </x:c>
      <x:c r="AQ899" s="55" t="n">
        <x:v>950</x:v>
      </x:c>
    </x:row>
    <x:row r="900">
      <x:c r="A900" s="54" t="str">
        <x:v>T2_CONCORDANT_DOMAIN</x:v>
      </x:c>
      <x:c r="B900" s="54" t="n">
        <x:v>894</x:v>
      </x:c>
      <x:c r="C900" s="54" t="str">
        <x:v>NYC-V2-R01</x:v>
      </x:c>
      <x:c r="D900" s="54" t="str">
        <x:v>V2</x:v>
      </x:c>
      <x:c r="E900" s="54" t="str">
        <x:v>ADMITTED</x:v>
      </x:c>
      <x:c r="F900" s="55" t="n">
        <x:v>29377</x:v>
      </x:c>
      <x:c r="G900" s="55" t="n">
        <x:v>6694</x:v>
      </x:c>
      <x:c r="H900" s="55" t="n">
        <x:v>3468</x:v>
      </x:c>
      <x:c r="I900" s="55" t="n">
        <x:v>1197</x:v>
      </x:c>
      <x:c r="J900" s="55" t="n">
        <x:v>122</x:v>
      </x:c>
      <x:c r="K900" s="55" t="n">
        <x:v>28125</x:v>
      </x:c>
      <x:c r="L900" s="55" t="n">
        <x:v>4431</x:v>
      </x:c>
      <x:c r="M900" s="55" t="n">
        <x:v>672</x:v>
      </x:c>
      <x:c r="N900" s="55" t="n">
        <x:v>2422</x:v>
      </x:c>
      <x:c r="O900" s="55" t="n">
        <x:v>1337</x:v>
      </x:c>
      <x:c r="P900" s="55" t="n">
        <x:v>754</x:v>
      </x:c>
      <x:c r="Q900" s="55" t="n">
        <x:v>2790</x:v>
      </x:c>
      <x:c r="R900" s="55" t="n">
        <x:v>1619</x:v>
      </x:c>
      <x:c r="S900" s="55" t="n">
        <x:v>3324</x:v>
      </x:c>
      <x:c r="T900" s="55" t="n">
        <x:v>1369</x:v>
      </x:c>
      <x:c r="U900" s="55" t="n">
        <x:v>1247</x:v>
      </x:c>
      <x:c r="V900" s="55" t="n">
        <x:v>10252</x:v>
      </x:c>
      <x:c r="W900" s="55" t="n">
        <x:v>6912</x:v>
      </x:c>
      <x:c r="X900" s="55" t="n">
        <x:v>3340</x:v>
      </x:c>
      <x:c r="Y900" s="55" t="n">
        <x:v>2974</x:v>
      </x:c>
      <x:c r="Z900" s="55" t="n">
        <x:v>4150</x:v>
      </x:c>
      <x:c r="AA900" s="55" t="n">
        <x:v>3468</x:v>
      </x:c>
      <x:c r="AB900" s="55" t="n">
        <x:v>967</x:v>
      </x:c>
      <x:c r="AC900" s="55" t="n">
        <x:v>8310</x:v>
      </x:c>
      <x:c r="AD900" s="55" t="n">
        <x:v>2992</x:v>
      </x:c>
      <x:c r="AE900" s="55" t="n">
        <x:v>10333</x:v>
      </x:c>
      <x:c r="AF900" s="55" t="n">
        <x:v>10252</x:v>
      </x:c>
      <x:c r="AG900" s="55" t="n">
        <x:v>81</x:v>
      </x:c>
      <x:c r="AH900" s="55" t="n">
        <x:v>446</x:v>
      </x:c>
      <x:c r="AI900" s="55" t="n">
        <x:v>9806</x:v>
      </x:c>
      <x:c r="AJ900" s="55" t="n">
        <x:v>376</x:v>
      </x:c>
      <x:c r="AK900" s="55" t="n">
        <x:v>885</x:v>
      </x:c>
      <x:c r="AL900" s="55" t="n">
        <x:v>1439</x:v>
      </x:c>
      <x:c r="AM900" s="55" t="n">
        <x:v>5006</x:v>
      </x:c>
      <x:c r="AN900" s="55" t="n">
        <x:v>2519</x:v>
      </x:c>
      <x:c r="AO900" s="55" t="n">
        <x:v>27</x:v>
      </x:c>
      <x:c r="AP900" s="55" t="n">
        <x:v>2013</x:v>
      </x:c>
      <x:c r="AQ900" s="55" t="n">
        <x:v>985</x:v>
      </x:c>
    </x:row>
    <x:row r="901">
      <x:c r="A901" s="54" t="str">
        <x:v>T2_CONCORDANT_DOMAIN</x:v>
      </x:c>
      <x:c r="B901" s="54" t="n">
        <x:v>895</x:v>
      </x:c>
      <x:c r="C901" s="54" t="str">
        <x:v>NYC-V2-R01</x:v>
      </x:c>
      <x:c r="D901" s="54" t="str">
        <x:v>V2</x:v>
      </x:c>
      <x:c r="E901" s="54" t="str">
        <x:v>ADMITTED</x:v>
      </x:c>
      <x:c r="F901" s="55" t="n">
        <x:v>31204</x:v>
      </x:c>
      <x:c r="G901" s="55" t="n">
        <x:v>8411</x:v>
      </x:c>
      <x:c r="H901" s="55" t="n">
        <x:v>3356</x:v>
      </x:c>
      <x:c r="I901" s="55" t="n">
        <x:v>1026</x:v>
      </x:c>
      <x:c r="J901" s="55" t="n">
        <x:v>199</x:v>
      </x:c>
      <x:c r="K901" s="55" t="n">
        <x:v>30101</x:v>
      </x:c>
      <x:c r="L901" s="55" t="n">
        <x:v>6776</x:v>
      </x:c>
      <x:c r="M901" s="55" t="n">
        <x:v>1228</x:v>
      </x:c>
      <x:c r="N901" s="55" t="n">
        <x:v>3362</x:v>
      </x:c>
      <x:c r="O901" s="55" t="n">
        <x:v>2186</x:v>
      </x:c>
      <x:c r="P901" s="55" t="n">
        <x:v>1029</x:v>
      </x:c>
      <x:c r="Q901" s="55" t="n">
        <x:v>2447</x:v>
      </x:c>
      <x:c r="R901" s="55" t="n">
        <x:v>2143</x:v>
      </x:c>
      <x:c r="S901" s="55" t="n">
        <x:v>3046</x:v>
      </x:c>
      <x:c r="T901" s="55" t="n">
        <x:v>1064</x:v>
      </x:c>
      <x:c r="U901" s="55" t="n">
        <x:v>2463</x:v>
      </x:c>
      <x:c r="V901" s="55" t="n">
        <x:v>10846</x:v>
      </x:c>
      <x:c r="W901" s="55" t="n">
        <x:v>7318</x:v>
      </x:c>
      <x:c r="X901" s="55" t="n">
        <x:v>3528</x:v>
      </x:c>
      <x:c r="Y901" s="55" t="n">
        <x:v>3094</x:v>
      </x:c>
      <x:c r="Z901" s="55" t="n">
        <x:v>4138</x:v>
      </x:c>
      <x:c r="AA901" s="55" t="n">
        <x:v>3356</x:v>
      </x:c>
      <x:c r="AB901" s="55" t="n">
        <x:v>1470</x:v>
      </x:c>
      <x:c r="AC901" s="55" t="n">
        <x:v>8675</x:v>
      </x:c>
      <x:c r="AD901" s="55" t="n">
        <x:v>3486</x:v>
      </x:c>
      <x:c r="AE901" s="55" t="n">
        <x:v>10950</x:v>
      </x:c>
      <x:c r="AF901" s="55" t="n">
        <x:v>10846</x:v>
      </x:c>
      <x:c r="AG901" s="55" t="n">
        <x:v>104</x:v>
      </x:c>
      <x:c r="AH901" s="55" t="n">
        <x:v>633</x:v>
      </x:c>
      <x:c r="AI901" s="55" t="n">
        <x:v>10213</x:v>
      </x:c>
      <x:c r="AJ901" s="55" t="n">
        <x:v>399</x:v>
      </x:c>
      <x:c r="AK901" s="55" t="n">
        <x:v>944</x:v>
      </x:c>
      <x:c r="AL901" s="55" t="n">
        <x:v>1501</x:v>
      </x:c>
      <x:c r="AM901" s="55" t="n">
        <x:v>4996</x:v>
      </x:c>
      <x:c r="AN901" s="55" t="n">
        <x:v>2968</x:v>
      </x:c>
      <x:c r="AO901" s="55" t="n">
        <x:v>38</x:v>
      </x:c>
      <x:c r="AP901" s="55" t="n">
        <x:v>2453</x:v>
      </x:c>
      <x:c r="AQ901" s="55" t="n">
        <x:v>941</x:v>
      </x:c>
    </x:row>
    <x:row r="902">
      <x:c r="A902" s="54" t="str">
        <x:v>T2_CONCORDANT_DOMAIN</x:v>
      </x:c>
      <x:c r="B902" s="54" t="n">
        <x:v>896</x:v>
      </x:c>
      <x:c r="C902" s="54" t="str">
        <x:v>NYC-V2-R01</x:v>
      </x:c>
      <x:c r="D902" s="54" t="str">
        <x:v>V2</x:v>
      </x:c>
      <x:c r="E902" s="54" t="str">
        <x:v>ADMITTED</x:v>
      </x:c>
      <x:c r="F902" s="55" t="n">
        <x:v>32559</x:v>
      </x:c>
      <x:c r="G902" s="55" t="n">
        <x:v>9385</x:v>
      </x:c>
      <x:c r="H902" s="55" t="n">
        <x:v>3206</x:v>
      </x:c>
      <x:c r="I902" s="55" t="n">
        <x:v>1474</x:v>
      </x:c>
      <x:c r="J902" s="55" t="n">
        <x:v>14</x:v>
      </x:c>
      <x:c r="K902" s="55" t="n">
        <x:v>30406</x:v>
      </x:c>
      <x:c r="L902" s="55" t="n">
        <x:v>4484</x:v>
      </x:c>
      <x:c r="M902" s="55" t="n">
        <x:v>795</x:v>
      </x:c>
      <x:c r="N902" s="55" t="n">
        <x:v>2112</x:v>
      </x:c>
      <x:c r="O902" s="55" t="n">
        <x:v>1577</x:v>
      </x:c>
      <x:c r="P902" s="55" t="n">
        <x:v>584</x:v>
      </x:c>
      <x:c r="Q902" s="55" t="n">
        <x:v>2808</x:v>
      </x:c>
      <x:c r="R902" s="55" t="n">
        <x:v>1641</x:v>
      </x:c>
      <x:c r="S902" s="55" t="n">
        <x:v>2997</x:v>
      </x:c>
      <x:c r="T902" s="55" t="n">
        <x:v>966</x:v>
      </x:c>
      <x:c r="U902" s="55" t="n">
        <x:v>2098</x:v>
      </x:c>
      <x:c r="V902" s="55" t="n">
        <x:v>10742</x:v>
      </x:c>
      <x:c r="W902" s="55" t="n">
        <x:v>7546</x:v>
      </x:c>
      <x:c r="X902" s="55" t="n">
        <x:v>3196</x:v>
      </x:c>
      <x:c r="Y902" s="55" t="n">
        <x:v>2649</x:v>
      </x:c>
      <x:c r="Z902" s="55" t="n">
        <x:v>3812</x:v>
      </x:c>
      <x:c r="AA902" s="55" t="n">
        <x:v>2596</x:v>
      </x:c>
      <x:c r="AB902" s="55" t="n">
        <x:v>902</x:v>
      </x:c>
      <x:c r="AC902" s="55" t="n">
        <x:v>8161</x:v>
      </x:c>
      <x:c r="AD902" s="55" t="n">
        <x:v>2614</x:v>
      </x:c>
      <x:c r="AE902" s="55" t="n">
        <x:v>10834</x:v>
      </x:c>
      <x:c r="AF902" s="55" t="n">
        <x:v>10742</x:v>
      </x:c>
      <x:c r="AG902" s="55" t="n">
        <x:v>92</x:v>
      </x:c>
      <x:c r="AH902" s="55" t="n">
        <x:v>645</x:v>
      </x:c>
      <x:c r="AI902" s="55" t="n">
        <x:v>10097</x:v>
      </x:c>
      <x:c r="AJ902" s="55" t="n">
        <x:v>225</x:v>
      </x:c>
      <x:c r="AK902" s="55" t="n">
        <x:v>1285</x:v>
      </x:c>
      <x:c r="AL902" s="55" t="n">
        <x:v>1528</x:v>
      </x:c>
      <x:c r="AM902" s="55" t="n">
        <x:v>4766</x:v>
      </x:c>
      <x:c r="AN902" s="55" t="n">
        <x:v>2873</x:v>
      </x:c>
      <x:c r="AO902" s="55" t="n">
        <x:v>65</x:v>
      </x:c>
      <x:c r="AP902" s="55" t="n">
        <x:v>2747</x:v>
      </x:c>
      <x:c r="AQ902" s="55" t="n">
        <x:v>948</x:v>
      </x:c>
    </x:row>
    <x:row r="903">
      <x:c r="A903" s="54" t="str">
        <x:v>T2_CONCORDANT_DOMAIN</x:v>
      </x:c>
      <x:c r="B903" s="54" t="n">
        <x:v>897</x:v>
      </x:c>
      <x:c r="C903" s="54" t="str">
        <x:v>NYC-V2-R01</x:v>
      </x:c>
      <x:c r="D903" s="54" t="str">
        <x:v>V2</x:v>
      </x:c>
      <x:c r="E903" s="54" t="str">
        <x:v>ADMITTED</x:v>
      </x:c>
      <x:c r="F903" s="55" t="n">
        <x:v>30553</x:v>
      </x:c>
      <x:c r="G903" s="55" t="n">
        <x:v>7713</x:v>
      </x:c>
      <x:c r="H903" s="55" t="n">
        <x:v>2803</x:v>
      </x:c>
      <x:c r="I903" s="55" t="n">
        <x:v>770</x:v>
      </x:c>
      <x:c r="J903" s="55" t="n">
        <x:v>47</x:v>
      </x:c>
      <x:c r="K903" s="55" t="n">
        <x:v>30553</x:v>
      </x:c>
      <x:c r="L903" s="55" t="n">
        <x:v>5540</x:v>
      </x:c>
      <x:c r="M903" s="55" t="n">
        <x:v>1013</x:v>
      </x:c>
      <x:c r="N903" s="55" t="n">
        <x:v>2675</x:v>
      </x:c>
      <x:c r="O903" s="55" t="n">
        <x:v>1852</x:v>
      </x:c>
      <x:c r="P903" s="55" t="n">
        <x:v>698</x:v>
      </x:c>
      <x:c r="Q903" s="55" t="n">
        <x:v>1860</x:v>
      </x:c>
      <x:c r="R903" s="55" t="n">
        <x:v>1333</x:v>
      </x:c>
      <x:c r="S903" s="55" t="n">
        <x:v>2696</x:v>
      </x:c>
      <x:c r="T903" s="55" t="n">
        <x:v>1064</x:v>
      </x:c>
      <x:c r="U903" s="55" t="n">
        <x:v>1851</x:v>
      </x:c>
      <x:c r="V903" s="55" t="n">
        <x:v>10137</x:v>
      </x:c>
      <x:c r="W903" s="55" t="n">
        <x:v>7037</x:v>
      </x:c>
      <x:c r="X903" s="55" t="n">
        <x:v>3100</x:v>
      </x:c>
      <x:c r="Y903" s="55" t="n">
        <x:v>2668</x:v>
      </x:c>
      <x:c r="Z903" s="55" t="n">
        <x:v>3290</x:v>
      </x:c>
      <x:c r="AA903" s="55" t="n">
        <x:v>2803</x:v>
      </x:c>
      <x:c r="AB903" s="55" t="n">
        <x:v>1121</x:v>
      </x:c>
      <x:c r="AC903" s="55" t="n">
        <x:v>7781</x:v>
      </x:c>
      <x:c r="AD903" s="55" t="n">
        <x:v>3165</x:v>
      </x:c>
      <x:c r="AE903" s="55" t="n">
        <x:v>10223</x:v>
      </x:c>
      <x:c r="AF903" s="55" t="n">
        <x:v>10137</x:v>
      </x:c>
      <x:c r="AG903" s="55" t="n">
        <x:v>86</x:v>
      </x:c>
      <x:c r="AH903" s="55" t="n">
        <x:v>411</x:v>
      </x:c>
      <x:c r="AI903" s="55" t="n">
        <x:v>9726</x:v>
      </x:c>
      <x:c r="AJ903" s="55" t="n">
        <x:v>373</x:v>
      </x:c>
      <x:c r="AK903" s="55" t="n">
        <x:v>1076</x:v>
      </x:c>
      <x:c r="AL903" s="55" t="n">
        <x:v>1495</x:v>
      </x:c>
      <x:c r="AM903" s="55" t="n">
        <x:v>4908</x:v>
      </x:c>
      <x:c r="AN903" s="55" t="n">
        <x:v>2235</x:v>
      </x:c>
      <x:c r="AO903" s="55" t="n">
        <x:v>50</x:v>
      </x:c>
      <x:c r="AP903" s="55" t="n">
        <x:v>1916</x:v>
      </x:c>
      <x:c r="AQ903" s="55" t="n">
        <x:v>913</x:v>
      </x:c>
    </x:row>
    <x:row r="904">
      <x:c r="A904" s="54" t="str">
        <x:v>T2_CONCORDANT_DOMAIN</x:v>
      </x:c>
      <x:c r="B904" s="54" t="n">
        <x:v>898</x:v>
      </x:c>
      <x:c r="C904" s="54" t="str">
        <x:v>NYC-V2-R01</x:v>
      </x:c>
      <x:c r="D904" s="54" t="str">
        <x:v>V2</x:v>
      </x:c>
      <x:c r="E904" s="54" t="str">
        <x:v>ADMITTED</x:v>
      </x:c>
      <x:c r="F904" s="55" t="n">
        <x:v>31593</x:v>
      </x:c>
      <x:c r="G904" s="55" t="n">
        <x:v>8116</x:v>
      </x:c>
      <x:c r="H904" s="55" t="n">
        <x:v>3369</x:v>
      </x:c>
      <x:c r="I904" s="55" t="n">
        <x:v>1544</x:v>
      </x:c>
      <x:c r="J904" s="55" t="n">
        <x:v>410</x:v>
      </x:c>
      <x:c r="K904" s="55" t="n">
        <x:v>31593</x:v>
      </x:c>
      <x:c r="L904" s="55" t="n">
        <x:v>7967</x:v>
      </x:c>
      <x:c r="M904" s="55" t="n">
        <x:v>2665</x:v>
      </x:c>
      <x:c r="N904" s="55" t="n">
        <x:v>2994</x:v>
      </x:c>
      <x:c r="O904" s="55" t="n">
        <x:v>2308</x:v>
      </x:c>
      <x:c r="P904" s="55" t="n">
        <x:v>1390</x:v>
      </x:c>
      <x:c r="Q904" s="55" t="n">
        <x:v>2769</x:v>
      </x:c>
      <x:c r="R904" s="55" t="n">
        <x:v>1574</x:v>
      </x:c>
      <x:c r="S904" s="55" t="n">
        <x:v>2984</x:v>
      </x:c>
      <x:c r="T904" s="55" t="n">
        <x:v>1647</x:v>
      </x:c>
      <x:c r="U904" s="55" t="n">
        <x:v>2269</x:v>
      </x:c>
      <x:c r="V904" s="55" t="n">
        <x:v>10769</x:v>
      </x:c>
      <x:c r="W904" s="55" t="n">
        <x:v>7790</x:v>
      </x:c>
      <x:c r="X904" s="55" t="n">
        <x:v>2979</x:v>
      </x:c>
      <x:c r="Y904" s="55" t="n">
        <x:v>2852</x:v>
      </x:c>
      <x:c r="Z904" s="55" t="n">
        <x:v>3856</x:v>
      </x:c>
      <x:c r="AA904" s="55" t="n">
        <x:v>3151</x:v>
      </x:c>
      <x:c r="AB904" s="55" t="n">
        <x:v>1433</x:v>
      </x:c>
      <x:c r="AC904" s="55" t="n">
        <x:v>8564</x:v>
      </x:c>
      <x:c r="AD904" s="55" t="n">
        <x:v>3111</x:v>
      </x:c>
      <x:c r="AE904" s="55" t="n">
        <x:v>10881</x:v>
      </x:c>
      <x:c r="AF904" s="55" t="n">
        <x:v>10769</x:v>
      </x:c>
      <x:c r="AG904" s="55" t="n">
        <x:v>112</x:v>
      </x:c>
      <x:c r="AH904" s="55" t="n">
        <x:v>583</x:v>
      </x:c>
      <x:c r="AI904" s="55" t="n">
        <x:v>10186</x:v>
      </x:c>
      <x:c r="AJ904" s="55" t="n">
        <x:v>224</x:v>
      </x:c>
      <x:c r="AK904" s="55" t="n">
        <x:v>909</x:v>
      </x:c>
      <x:c r="AL904" s="55" t="n">
        <x:v>1537</x:v>
      </x:c>
      <x:c r="AM904" s="55" t="n">
        <x:v>5434</x:v>
      </x:c>
      <x:c r="AN904" s="55" t="n">
        <x:v>2653</x:v>
      </x:c>
      <x:c r="AO904" s="55" t="n">
        <x:v>12</x:v>
      </x:c>
      <x:c r="AP904" s="55" t="n">
        <x:v>2257</x:v>
      </x:c>
      <x:c r="AQ904" s="55" t="n">
        <x:v>968</x:v>
      </x:c>
    </x:row>
    <x:row r="905">
      <x:c r="A905" s="54" t="str">
        <x:v>T2_CONCORDANT_DOMAIN</x:v>
      </x:c>
      <x:c r="B905" s="54" t="n">
        <x:v>899</x:v>
      </x:c>
      <x:c r="C905" s="54" t="str">
        <x:v>NYC-V2-R01</x:v>
      </x:c>
      <x:c r="D905" s="54" t="str">
        <x:v>V2</x:v>
      </x:c>
      <x:c r="E905" s="54" t="str">
        <x:v>ADMITTED</x:v>
      </x:c>
      <x:c r="F905" s="55" t="n">
        <x:v>30301</x:v>
      </x:c>
      <x:c r="G905" s="55" t="n">
        <x:v>6673</x:v>
      </x:c>
      <x:c r="H905" s="55" t="n">
        <x:v>3254</x:v>
      </x:c>
      <x:c r="I905" s="55" t="n">
        <x:v>1094</x:v>
      </x:c>
      <x:c r="J905" s="55" t="n">
        <x:v>288</x:v>
      </x:c>
      <x:c r="K905" s="55" t="n">
        <x:v>29620</x:v>
      </x:c>
      <x:c r="L905" s="55" t="n">
        <x:v>5036</x:v>
      </x:c>
      <x:c r="M905" s="55" t="n">
        <x:v>1795</x:v>
      </x:c>
      <x:c r="N905" s="55" t="n">
        <x:v>2168</x:v>
      </x:c>
      <x:c r="O905" s="55" t="n">
        <x:v>1073</x:v>
      </x:c>
      <x:c r="P905" s="55" t="n">
        <x:v>875</x:v>
      </x:c>
      <x:c r="Q905" s="55" t="n">
        <x:v>1886</x:v>
      </x:c>
      <x:c r="R905" s="55" t="n">
        <x:v>2276</x:v>
      </x:c>
      <x:c r="S905" s="55" t="n">
        <x:v>2381</x:v>
      </x:c>
      <x:c r="T905" s="55" t="n">
        <x:v>1074</x:v>
      </x:c>
      <x:c r="U905" s="55" t="n">
        <x:v>1426</x:v>
      </x:c>
      <x:c r="V905" s="55" t="n">
        <x:v>10584</x:v>
      </x:c>
      <x:c r="W905" s="55" t="n">
        <x:v>7397</x:v>
      </x:c>
      <x:c r="X905" s="55" t="n">
        <x:v>3187</x:v>
      </x:c>
      <x:c r="Y905" s="55" t="n">
        <x:v>2669</x:v>
      </x:c>
      <x:c r="Z905" s="55" t="n">
        <x:v>3595</x:v>
      </x:c>
      <x:c r="AA905" s="55" t="n">
        <x:v>2852</x:v>
      </x:c>
      <x:c r="AB905" s="55" t="n">
        <x:v>707</x:v>
      </x:c>
      <x:c r="AC905" s="55" t="n">
        <x:v>8244</x:v>
      </x:c>
      <x:c r="AD905" s="55" t="n">
        <x:v>2899</x:v>
      </x:c>
      <x:c r="AE905" s="55" t="n">
        <x:v>10705</x:v>
      </x:c>
      <x:c r="AF905" s="55" t="n">
        <x:v>10584</x:v>
      </x:c>
      <x:c r="AG905" s="55" t="n">
        <x:v>121</x:v>
      </x:c>
      <x:c r="AH905" s="55" t="n">
        <x:v>358</x:v>
      </x:c>
      <x:c r="AI905" s="55" t="n">
        <x:v>10226</x:v>
      </x:c>
      <x:c r="AJ905" s="55" t="n">
        <x:v>299</x:v>
      </x:c>
      <x:c r="AK905" s="55" t="n">
        <x:v>1379</x:v>
      </x:c>
      <x:c r="AL905" s="55" t="n">
        <x:v>1735</x:v>
      </x:c>
      <x:c r="AM905" s="55" t="n">
        <x:v>4858</x:v>
      </x:c>
      <x:c r="AN905" s="55" t="n">
        <x:v>2312</x:v>
      </x:c>
      <x:c r="AO905" s="55" t="n">
        <x:v>1</x:v>
      </x:c>
      <x:c r="AP905" s="55" t="n">
        <x:v>2195</x:v>
      </x:c>
      <x:c r="AQ905" s="55" t="n">
        <x:v>956</x:v>
      </x:c>
    </x:row>
    <x:row r="906">
      <x:c r="A906" s="54" t="str">
        <x:v>T2_CONCORDANT_DOMAIN</x:v>
      </x:c>
      <x:c r="B906" s="54" t="n">
        <x:v>900</x:v>
      </x:c>
      <x:c r="C906" s="54" t="str">
        <x:v>NYC-V2-R01</x:v>
      </x:c>
      <x:c r="D906" s="54" t="str">
        <x:v>V2</x:v>
      </x:c>
      <x:c r="E906" s="54" t="str">
        <x:v>ADMITTED</x:v>
      </x:c>
      <x:c r="F906" s="55" t="n">
        <x:v>30774</x:v>
      </x:c>
      <x:c r="G906" s="55" t="n">
        <x:v>7613</x:v>
      </x:c>
      <x:c r="H906" s="55" t="n">
        <x:v>3265</x:v>
      </x:c>
      <x:c r="I906" s="55" t="n">
        <x:v>1442</x:v>
      </x:c>
      <x:c r="J906" s="55" t="n">
        <x:v>233</x:v>
      </x:c>
      <x:c r="K906" s="55" t="n">
        <x:v>30154</x:v>
      </x:c>
      <x:c r="L906" s="55" t="n">
        <x:v>5711</x:v>
      </x:c>
      <x:c r="M906" s="55" t="n">
        <x:v>1080</x:v>
      </x:c>
      <x:c r="N906" s="55" t="n">
        <x:v>2667</x:v>
      </x:c>
      <x:c r="O906" s="55" t="n">
        <x:v>1964</x:v>
      </x:c>
      <x:c r="P906" s="55" t="n">
        <x:v>820</x:v>
      </x:c>
      <x:c r="Q906" s="55" t="n">
        <x:v>2120</x:v>
      </x:c>
      <x:c r="R906" s="55" t="n">
        <x:v>1934</x:v>
      </x:c>
      <x:c r="S906" s="55" t="n">
        <x:v>3011</x:v>
      </x:c>
      <x:c r="T906" s="55" t="n">
        <x:v>1363</x:v>
      </x:c>
      <x:c r="U906" s="55" t="n">
        <x:v>2120</x:v>
      </x:c>
      <x:c r="V906" s="55" t="n">
        <x:v>10798</x:v>
      </x:c>
      <x:c r="W906" s="55" t="n">
        <x:v>7767</x:v>
      </x:c>
      <x:c r="X906" s="55" t="n">
        <x:v>3031</x:v>
      </x:c>
      <x:c r="Y906" s="55" t="n">
        <x:v>2579</x:v>
      </x:c>
      <x:c r="Z906" s="55" t="n">
        <x:v>4196</x:v>
      </x:c>
      <x:c r="AA906" s="55" t="n">
        <x:v>3145</x:v>
      </x:c>
      <x:c r="AB906" s="55" t="n">
        <x:v>1123</x:v>
      </x:c>
      <x:c r="AC906" s="55" t="n">
        <x:v>8394</x:v>
      </x:c>
      <x:c r="AD906" s="55" t="n">
        <x:v>2893</x:v>
      </x:c>
      <x:c r="AE906" s="55" t="n">
        <x:v>10948</x:v>
      </x:c>
      <x:c r="AF906" s="55" t="n">
        <x:v>10798</x:v>
      </x:c>
      <x:c r="AG906" s="55" t="n">
        <x:v>150</x:v>
      </x:c>
      <x:c r="AH906" s="55" t="n">
        <x:v>581</x:v>
      </x:c>
      <x:c r="AI906" s="55" t="n">
        <x:v>10217</x:v>
      </x:c>
      <x:c r="AJ906" s="55" t="n">
        <x:v>322</x:v>
      </x:c>
      <x:c r="AK906" s="55" t="n">
        <x:v>1145</x:v>
      </x:c>
      <x:c r="AL906" s="55" t="n">
        <x:v>1553</x:v>
      </x:c>
      <x:c r="AM906" s="55" t="n">
        <x:v>4814</x:v>
      </x:c>
      <x:c r="AN906" s="55" t="n">
        <x:v>2915</x:v>
      </x:c>
      <x:c r="AO906" s="55" t="n">
        <x:v>49</x:v>
      </x:c>
      <x:c r="AP906" s="55" t="n">
        <x:v>2463</x:v>
      </x:c>
      <x:c r="AQ906" s="55" t="n">
        <x:v>972</x:v>
      </x:c>
    </x:row>
    <x:row r="907">
      <x:c r="A907" s="54" t="str">
        <x:v>T2_CONCORDANT_DOMAIN</x:v>
      </x:c>
      <x:c r="B907" s="54" t="n">
        <x:v>901</x:v>
      </x:c>
      <x:c r="C907" s="54" t="str">
        <x:v>NYC-V2-R01</x:v>
      </x:c>
      <x:c r="D907" s="54" t="str">
        <x:v>V2</x:v>
      </x:c>
      <x:c r="E907" s="54" t="str">
        <x:v>ADMITTED</x:v>
      </x:c>
      <x:c r="F907" s="55" t="n">
        <x:v>33238</x:v>
      </x:c>
      <x:c r="G907" s="55" t="n">
        <x:v>8707</x:v>
      </x:c>
      <x:c r="H907" s="55" t="n">
        <x:v>3706</x:v>
      </x:c>
      <x:c r="I907" s="55" t="n">
        <x:v>1365</x:v>
      </x:c>
      <x:c r="J907" s="55" t="n">
        <x:v>524</x:v>
      </x:c>
      <x:c r="K907" s="55" t="n">
        <x:v>33238</x:v>
      </x:c>
      <x:c r="L907" s="55" t="n">
        <x:v>8289</x:v>
      </x:c>
      <x:c r="M907" s="55" t="n">
        <x:v>2745</x:v>
      </x:c>
      <x:c r="N907" s="55" t="n">
        <x:v>3533</x:v>
      </x:c>
      <x:c r="O907" s="55" t="n">
        <x:v>2011</x:v>
      </x:c>
      <x:c r="P907" s="55" t="n">
        <x:v>888</x:v>
      </x:c>
      <x:c r="Q907" s="55" t="n">
        <x:v>2603</x:v>
      </x:c>
      <x:c r="R907" s="55" t="n">
        <x:v>2679</x:v>
      </x:c>
      <x:c r="S907" s="55" t="n">
        <x:v>3162</x:v>
      </x:c>
      <x:c r="T907" s="55" t="n">
        <x:v>1374</x:v>
      </x:c>
      <x:c r="U907" s="55" t="n">
        <x:v>2392</x:v>
      </x:c>
      <x:c r="V907" s="55" t="n">
        <x:v>11255</x:v>
      </x:c>
      <x:c r="W907" s="55" t="n">
        <x:v>8289</x:v>
      </x:c>
      <x:c r="X907" s="55" t="n">
        <x:v>2966</x:v>
      </x:c>
      <x:c r="Y907" s="55" t="n">
        <x:v>2630</x:v>
      </x:c>
      <x:c r="Z907" s="55" t="n">
        <x:v>3847</x:v>
      </x:c>
      <x:c r="AA907" s="55" t="n">
        <x:v>3205</x:v>
      </x:c>
      <x:c r="AB907" s="55" t="n">
        <x:v>1280</x:v>
      </x:c>
      <x:c r="AC907" s="55" t="n">
        <x:v>8664</x:v>
      </x:c>
      <x:c r="AD907" s="55" t="n">
        <x:v>3428</x:v>
      </x:c>
      <x:c r="AE907" s="55" t="n">
        <x:v>11358</x:v>
      </x:c>
      <x:c r="AF907" s="55" t="n">
        <x:v>11255</x:v>
      </x:c>
      <x:c r="AG907" s="55" t="n">
        <x:v>103</x:v>
      </x:c>
      <x:c r="AH907" s="55" t="n">
        <x:v>762</x:v>
      </x:c>
      <x:c r="AI907" s="55" t="n">
        <x:v>10493</x:v>
      </x:c>
      <x:c r="AJ907" s="55" t="n">
        <x:v>447</x:v>
      </x:c>
      <x:c r="AK907" s="55" t="n">
        <x:v>1123</x:v>
      </x:c>
      <x:c r="AL907" s="55" t="n">
        <x:v>1624</x:v>
      </x:c>
      <x:c r="AM907" s="55" t="n">
        <x:v>4911</x:v>
      </x:c>
      <x:c r="AN907" s="55" t="n">
        <x:v>3058</x:v>
      </x:c>
      <x:c r="AO907" s="55" t="n">
        <x:v>92</x:v>
      </x:c>
      <x:c r="AP907" s="55" t="n">
        <x:v>2496</x:v>
      </x:c>
      <x:c r="AQ907" s="55" t="n">
        <x:v>974</x:v>
      </x:c>
    </x:row>
    <x:row r="908">
      <x:c r="A908" s="54" t="str">
        <x:v>T2_CONCORDANT_DOMAIN</x:v>
      </x:c>
      <x:c r="B908" s="54" t="n">
        <x:v>902</x:v>
      </x:c>
      <x:c r="C908" s="54" t="str">
        <x:v>NYC-V2-R01</x:v>
      </x:c>
      <x:c r="D908" s="54" t="str">
        <x:v>V2</x:v>
      </x:c>
      <x:c r="E908" s="54" t="str">
        <x:v>ADMITTED</x:v>
      </x:c>
      <x:c r="F908" s="55" t="n">
        <x:v>31378</x:v>
      </x:c>
      <x:c r="G908" s="55" t="n">
        <x:v>8015</x:v>
      </x:c>
      <x:c r="H908" s="55" t="n">
        <x:v>3046</x:v>
      </x:c>
      <x:c r="I908" s="55" t="n">
        <x:v>816</x:v>
      </x:c>
      <x:c r="J908" s="55" t="n">
        <x:v>131</x:v>
      </x:c>
      <x:c r="K908" s="55" t="n">
        <x:v>28709</x:v>
      </x:c>
      <x:c r="L908" s="55" t="n">
        <x:v>5396</x:v>
      </x:c>
      <x:c r="M908" s="55" t="n">
        <x:v>1525</x:v>
      </x:c>
      <x:c r="N908" s="55" t="n">
        <x:v>2199</x:v>
      </x:c>
      <x:c r="O908" s="55" t="n">
        <x:v>1672</x:v>
      </x:c>
      <x:c r="P908" s="55" t="n">
        <x:v>758</x:v>
      </x:c>
      <x:c r="Q908" s="55" t="n">
        <x:v>1797</x:v>
      </x:c>
      <x:c r="R908" s="55" t="n">
        <x:v>1649</x:v>
      </x:c>
      <x:c r="S908" s="55" t="n">
        <x:v>2471</x:v>
      </x:c>
      <x:c r="T908" s="55" t="n">
        <x:v>1030</x:v>
      </x:c>
      <x:c r="U908" s="55" t="n">
        <x:v>1838</x:v>
      </x:c>
      <x:c r="V908" s="55" t="n">
        <x:v>9967</x:v>
      </x:c>
      <x:c r="W908" s="55" t="n">
        <x:v>7109</x:v>
      </x:c>
      <x:c r="X908" s="55" t="n">
        <x:v>2858</x:v>
      </x:c>
      <x:c r="Y908" s="55" t="n">
        <x:v>2506</x:v>
      </x:c>
      <x:c r="Z908" s="55" t="n">
        <x:v>2999</x:v>
      </x:c>
      <x:c r="AA908" s="55" t="n">
        <x:v>2955</x:v>
      </x:c>
      <x:c r="AB908" s="55" t="n">
        <x:v>950</x:v>
      </x:c>
      <x:c r="AC908" s="55" t="n">
        <x:v>7683</x:v>
      </x:c>
      <x:c r="AD908" s="55" t="n">
        <x:v>2584</x:v>
      </x:c>
      <x:c r="AE908" s="55" t="n">
        <x:v>9967</x:v>
      </x:c>
      <x:c r="AF908" s="55" t="n">
        <x:v>9967</x:v>
      </x:c>
      <x:c r="AG908" s="55" t="n">
        <x:v>0</x:v>
      </x:c>
      <x:c r="AH908" s="55" t="n">
        <x:v>360</x:v>
      </x:c>
      <x:c r="AI908" s="55" t="n">
        <x:v>9607</x:v>
      </x:c>
      <x:c r="AJ908" s="55" t="n">
        <x:v>368</x:v>
      </x:c>
      <x:c r="AK908" s="55" t="n">
        <x:v>1043</x:v>
      </x:c>
      <x:c r="AL908" s="55" t="n">
        <x:v>1623</x:v>
      </x:c>
      <x:c r="AM908" s="55" t="n">
        <x:v>4641</x:v>
      </x:c>
      <x:c r="AN908" s="55" t="n">
        <x:v>2292</x:v>
      </x:c>
      <x:c r="AO908" s="55" t="n">
        <x:v>0</x:v>
      </x:c>
      <x:c r="AP908" s="55" t="n">
        <x:v>2162</x:v>
      </x:c>
      <x:c r="AQ908" s="55" t="n">
        <x:v>988</x:v>
      </x:c>
    </x:row>
    <x:row r="909">
      <x:c r="A909" s="54" t="str">
        <x:v>T2_CONCORDANT_DOMAIN</x:v>
      </x:c>
      <x:c r="B909" s="54" t="n">
        <x:v>903</x:v>
      </x:c>
      <x:c r="C909" s="54" t="str">
        <x:v>NYC-V2-R01</x:v>
      </x:c>
      <x:c r="D909" s="54" t="str">
        <x:v>V2</x:v>
      </x:c>
      <x:c r="E909" s="54" t="str">
        <x:v>ADMITTED</x:v>
      </x:c>
      <x:c r="F909" s="55" t="n">
        <x:v>30379</x:v>
      </x:c>
      <x:c r="G909" s="55" t="n">
        <x:v>7728</x:v>
      </x:c>
      <x:c r="H909" s="55" t="n">
        <x:v>3035</x:v>
      </x:c>
      <x:c r="I909" s="55" t="n">
        <x:v>1260</x:v>
      </x:c>
      <x:c r="J909" s="55" t="n">
        <x:v>124</x:v>
      </x:c>
      <x:c r="K909" s="55" t="n">
        <x:v>29019</x:v>
      </x:c>
      <x:c r="L909" s="55" t="n">
        <x:v>3934</x:v>
      </x:c>
      <x:c r="M909" s="55" t="n">
        <x:v>588</x:v>
      </x:c>
      <x:c r="N909" s="55" t="n">
        <x:v>1983</x:v>
      </x:c>
      <x:c r="O909" s="55" t="n">
        <x:v>1363</x:v>
      </x:c>
      <x:c r="P909" s="55" t="n">
        <x:v>666</x:v>
      </x:c>
      <x:c r="Q909" s="55" t="n">
        <x:v>1781</x:v>
      </x:c>
      <x:c r="R909" s="55" t="n">
        <x:v>1660</x:v>
      </x:c>
      <x:c r="S909" s="55" t="n">
        <x:v>2615</x:v>
      </x:c>
      <x:c r="T909" s="55" t="n">
        <x:v>1060</x:v>
      </x:c>
      <x:c r="U909" s="55" t="n">
        <x:v>1919</x:v>
      </x:c>
      <x:c r="V909" s="55" t="n">
        <x:v>9456</x:v>
      </x:c>
      <x:c r="W909" s="55" t="n">
        <x:v>6352</x:v>
      </x:c>
      <x:c r="X909" s="55" t="n">
        <x:v>3104</x:v>
      </x:c>
      <x:c r="Y909" s="55" t="n">
        <x:v>2751</x:v>
      </x:c>
      <x:c r="Z909" s="55" t="n">
        <x:v>4078</x:v>
      </x:c>
      <x:c r="AA909" s="55" t="n">
        <x:v>3015</x:v>
      </x:c>
      <x:c r="AB909" s="55" t="n">
        <x:v>748</x:v>
      </x:c>
      <x:c r="AC909" s="55" t="n">
        <x:v>7240</x:v>
      </x:c>
      <x:c r="AD909" s="55" t="n">
        <x:v>2625</x:v>
      </x:c>
      <x:c r="AE909" s="55" t="n">
        <x:v>9549</x:v>
      </x:c>
      <x:c r="AF909" s="55" t="n">
        <x:v>9456</x:v>
      </x:c>
      <x:c r="AG909" s="55" t="n">
        <x:v>93</x:v>
      </x:c>
      <x:c r="AH909" s="55" t="n">
        <x:v>176</x:v>
      </x:c>
      <x:c r="AI909" s="55" t="n">
        <x:v>9280</x:v>
      </x:c>
      <x:c r="AJ909" s="55" t="n">
        <x:v>62</x:v>
      </x:c>
      <x:c r="AK909" s="55" t="n">
        <x:v>901</x:v>
      </x:c>
      <x:c r="AL909" s="55" t="n">
        <x:v>1380</x:v>
      </x:c>
      <x:c r="AM909" s="55" t="n">
        <x:v>4609</x:v>
      </x:c>
      <x:c r="AN909" s="55" t="n">
        <x:v>2504</x:v>
      </x:c>
      <x:c r="AO909" s="55" t="n">
        <x:v>0</x:v>
      </x:c>
      <x:c r="AP909" s="55" t="n">
        <x:v>2132</x:v>
      </x:c>
      <x:c r="AQ909" s="55" t="n">
        <x:v>925</x:v>
      </x:c>
    </x:row>
    <x:row r="910">
      <x:c r="A910" s="54" t="str">
        <x:v>T2_CONCORDANT_DOMAIN</x:v>
      </x:c>
      <x:c r="B910" s="54" t="n">
        <x:v>904</x:v>
      </x:c>
      <x:c r="C910" s="54" t="str">
        <x:v>NYC-V2-R01</x:v>
      </x:c>
      <x:c r="D910" s="54" t="str">
        <x:v>V2</x:v>
      </x:c>
      <x:c r="E910" s="54" t="str">
        <x:v>ADMITTED</x:v>
      </x:c>
      <x:c r="F910" s="55" t="n">
        <x:v>30968</x:v>
      </x:c>
      <x:c r="G910" s="55" t="n">
        <x:v>6994</x:v>
      </x:c>
      <x:c r="H910" s="55" t="n">
        <x:v>3339</x:v>
      </x:c>
      <x:c r="I910" s="55" t="n">
        <x:v>1117</x:v>
      </x:c>
      <x:c r="J910" s="55" t="n">
        <x:v>196</x:v>
      </x:c>
      <x:c r="K910" s="55" t="n">
        <x:v>30968</x:v>
      </x:c>
      <x:c r="L910" s="55" t="n">
        <x:v>6928</x:v>
      </x:c>
      <x:c r="M910" s="55" t="n">
        <x:v>1780</x:v>
      </x:c>
      <x:c r="N910" s="55" t="n">
        <x:v>2944</x:v>
      </x:c>
      <x:c r="O910" s="55" t="n">
        <x:v>2204</x:v>
      </x:c>
      <x:c r="P910" s="55" t="n">
        <x:v>1073</x:v>
      </x:c>
      <x:c r="Q910" s="55" t="n">
        <x:v>2837</x:v>
      </x:c>
      <x:c r="R910" s="55" t="n">
        <x:v>2010</x:v>
      </x:c>
      <x:c r="S910" s="55" t="n">
        <x:v>3095</x:v>
      </x:c>
      <x:c r="T910" s="55" t="n">
        <x:v>1372</x:v>
      </x:c>
      <x:c r="U910" s="55" t="n">
        <x:v>2407</x:v>
      </x:c>
      <x:c r="V910" s="55" t="n">
        <x:v>10119</x:v>
      </x:c>
      <x:c r="W910" s="55" t="n">
        <x:v>7181</x:v>
      </x:c>
      <x:c r="X910" s="55" t="n">
        <x:v>2938</x:v>
      </x:c>
      <x:c r="Y910" s="55" t="n">
        <x:v>2557</x:v>
      </x:c>
      <x:c r="Z910" s="55" t="n">
        <x:v>3714</x:v>
      </x:c>
      <x:c r="AA910" s="55" t="n">
        <x:v>3339</x:v>
      </x:c>
      <x:c r="AB910" s="55" t="n">
        <x:v>1179</x:v>
      </x:c>
      <x:c r="AC910" s="55" t="n">
        <x:v>8214</x:v>
      </x:c>
      <x:c r="AD910" s="55" t="n">
        <x:v>2749</x:v>
      </x:c>
      <x:c r="AE910" s="55" t="n">
        <x:v>10197</x:v>
      </x:c>
      <x:c r="AF910" s="55" t="n">
        <x:v>10119</x:v>
      </x:c>
      <x:c r="AG910" s="55" t="n">
        <x:v>78</x:v>
      </x:c>
      <x:c r="AH910" s="55" t="n">
        <x:v>492</x:v>
      </x:c>
      <x:c r="AI910" s="55" t="n">
        <x:v>9627</x:v>
      </x:c>
      <x:c r="AJ910" s="55" t="n">
        <x:v>255</x:v>
      </x:c>
      <x:c r="AK910" s="55" t="n">
        <x:v>1188</x:v>
      </x:c>
      <x:c r="AL910" s="55" t="n">
        <x:v>1454</x:v>
      </x:c>
      <x:c r="AM910" s="55" t="n">
        <x:v>4882</x:v>
      </x:c>
      <x:c r="AN910" s="55" t="n">
        <x:v>2287</x:v>
      </x:c>
      <x:c r="AO910" s="55" t="n">
        <x:v>53</x:v>
      </x:c>
      <x:c r="AP910" s="55" t="n">
        <x:v>2516</x:v>
      </x:c>
      <x:c r="AQ910" s="55" t="n">
        <x:v>1028</x:v>
      </x:c>
    </x:row>
    <x:row r="911">
      <x:c r="A911" s="54" t="str">
        <x:v>T2_CONCORDANT_DOMAIN</x:v>
      </x:c>
      <x:c r="B911" s="54" t="n">
        <x:v>905</x:v>
      </x:c>
      <x:c r="C911" s="54" t="str">
        <x:v>NYC-V2-R01</x:v>
      </x:c>
      <x:c r="D911" s="54" t="str">
        <x:v>V2</x:v>
      </x:c>
      <x:c r="E911" s="54" t="str">
        <x:v>ADMITTED</x:v>
      </x:c>
      <x:c r="F911" s="55" t="n">
        <x:v>31859</x:v>
      </x:c>
      <x:c r="G911" s="55" t="n">
        <x:v>8373</x:v>
      </x:c>
      <x:c r="H911" s="55" t="n">
        <x:v>3542</x:v>
      </x:c>
      <x:c r="I911" s="55" t="n">
        <x:v>1815</x:v>
      </x:c>
      <x:c r="J911" s="55" t="n">
        <x:v>542</x:v>
      </x:c>
      <x:c r="K911" s="55" t="n">
        <x:v>29929</x:v>
      </x:c>
      <x:c r="L911" s="55" t="n">
        <x:v>4894</x:v>
      </x:c>
      <x:c r="M911" s="55" t="n">
        <x:v>819</x:v>
      </x:c>
      <x:c r="N911" s="55" t="n">
        <x:v>2635</x:v>
      </x:c>
      <x:c r="O911" s="55" t="n">
        <x:v>1440</x:v>
      </x:c>
      <x:c r="P911" s="55" t="n">
        <x:v>1007</x:v>
      </x:c>
      <x:c r="Q911" s="55" t="n">
        <x:v>2586</x:v>
      </x:c>
      <x:c r="R911" s="55" t="n">
        <x:v>2118</x:v>
      </x:c>
      <x:c r="S911" s="55" t="n">
        <x:v>3165</x:v>
      </x:c>
      <x:c r="T911" s="55" t="n">
        <x:v>990</x:v>
      </x:c>
      <x:c r="U911" s="55" t="n">
        <x:v>2264</x:v>
      </x:c>
      <x:c r="V911" s="55" t="n">
        <x:v>10008</x:v>
      </x:c>
      <x:c r="W911" s="55" t="n">
        <x:v>6698</x:v>
      </x:c>
      <x:c r="X911" s="55" t="n">
        <x:v>3310</x:v>
      </x:c>
      <x:c r="Y911" s="55" t="n">
        <x:v>2951</x:v>
      </x:c>
      <x:c r="Z911" s="55" t="n">
        <x:v>4189</x:v>
      </x:c>
      <x:c r="AA911" s="55" t="n">
        <x:v>3531</x:v>
      </x:c>
      <x:c r="AB911" s="55" t="n">
        <x:v>1242</x:v>
      </x:c>
      <x:c r="AC911" s="55" t="n">
        <x:v>8077</x:v>
      </x:c>
      <x:c r="AD911" s="55" t="n">
        <x:v>3149</x:v>
      </x:c>
      <x:c r="AE911" s="55" t="n">
        <x:v>10143</x:v>
      </x:c>
      <x:c r="AF911" s="55" t="n">
        <x:v>10008</x:v>
      </x:c>
      <x:c r="AG911" s="55" t="n">
        <x:v>135</x:v>
      </x:c>
      <x:c r="AH911" s="55" t="n">
        <x:v>503</x:v>
      </x:c>
      <x:c r="AI911" s="55" t="n">
        <x:v>9505</x:v>
      </x:c>
      <x:c r="AJ911" s="55" t="n">
        <x:v>256</x:v>
      </x:c>
      <x:c r="AK911" s="55" t="n">
        <x:v>1111</x:v>
      </x:c>
      <x:c r="AL911" s="55" t="n">
        <x:v>1493</x:v>
      </x:c>
      <x:c r="AM911" s="55" t="n">
        <x:v>4838</x:v>
      </x:c>
      <x:c r="AN911" s="55" t="n">
        <x:v>2303</x:v>
      </x:c>
      <x:c r="AO911" s="55" t="n">
        <x:v>7</x:v>
      </x:c>
      <x:c r="AP911" s="55" t="n">
        <x:v>2589</x:v>
      </x:c>
      <x:c r="AQ911" s="55" t="n">
        <x:v>989</x:v>
      </x:c>
    </x:row>
    <x:row r="912">
      <x:c r="A912" s="54" t="str">
        <x:v>T2_CONCORDANT_DOMAIN</x:v>
      </x:c>
      <x:c r="B912" s="54" t="n">
        <x:v>906</x:v>
      </x:c>
      <x:c r="C912" s="54" t="str">
        <x:v>NYC-V2-R01</x:v>
      </x:c>
      <x:c r="D912" s="54" t="str">
        <x:v>V2</x:v>
      </x:c>
      <x:c r="E912" s="54" t="str">
        <x:v>ADMITTED</x:v>
      </x:c>
      <x:c r="F912" s="55" t="n">
        <x:v>32366</x:v>
      </x:c>
      <x:c r="G912" s="55" t="n">
        <x:v>7778</x:v>
      </x:c>
      <x:c r="H912" s="55" t="n">
        <x:v>3976</x:v>
      </x:c>
      <x:c r="I912" s="55" t="n">
        <x:v>1618</x:v>
      </x:c>
      <x:c r="J912" s="55" t="n">
        <x:v>398</x:v>
      </x:c>
      <x:c r="K912" s="55" t="n">
        <x:v>27270</x:v>
      </x:c>
      <x:c r="L912" s="55" t="n">
        <x:v>5017</x:v>
      </x:c>
      <x:c r="M912" s="55" t="n">
        <x:v>606</x:v>
      </x:c>
      <x:c r="N912" s="55" t="n">
        <x:v>2768</x:v>
      </x:c>
      <x:c r="O912" s="55" t="n">
        <x:v>1643</x:v>
      </x:c>
      <x:c r="P912" s="55" t="n">
        <x:v>605</x:v>
      </x:c>
      <x:c r="Q912" s="55" t="n">
        <x:v>1184</x:v>
      </x:c>
      <x:c r="R912" s="55" t="n">
        <x:v>1825</x:v>
      </x:c>
      <x:c r="S912" s="55" t="n">
        <x:v>2168</x:v>
      </x:c>
      <x:c r="T912" s="55" t="n">
        <x:v>694</x:v>
      </x:c>
      <x:c r="U912" s="55" t="n">
        <x:v>2438</x:v>
      </x:c>
      <x:c r="V912" s="55" t="n">
        <x:v>10181</x:v>
      </x:c>
      <x:c r="W912" s="55" t="n">
        <x:v>7024</x:v>
      </x:c>
      <x:c r="X912" s="55" t="n">
        <x:v>3157</x:v>
      </x:c>
      <x:c r="Y912" s="55" t="n">
        <x:v>2761</x:v>
      </x:c>
      <x:c r="Z912" s="55" t="n">
        <x:v>3638</x:v>
      </x:c>
      <x:c r="AA912" s="55" t="n">
        <x:v>3774</x:v>
      </x:c>
      <x:c r="AB912" s="55" t="n">
        <x:v>1229</x:v>
      </x:c>
      <x:c r="AC912" s="55" t="n">
        <x:v>8364</x:v>
      </x:c>
      <x:c r="AD912" s="55" t="n">
        <x:v>2974</x:v>
      </x:c>
      <x:c r="AE912" s="55" t="n">
        <x:v>10275</x:v>
      </x:c>
      <x:c r="AF912" s="55" t="n">
        <x:v>10181</x:v>
      </x:c>
      <x:c r="AG912" s="55" t="n">
        <x:v>94</x:v>
      </x:c>
      <x:c r="AH912" s="55" t="n">
        <x:v>218</x:v>
      </x:c>
      <x:c r="AI912" s="55" t="n">
        <x:v>9963</x:v>
      </x:c>
      <x:c r="AJ912" s="55" t="n">
        <x:v>156</x:v>
      </x:c>
      <x:c r="AK912" s="55" t="n">
        <x:v>699</x:v>
      </x:c>
      <x:c r="AL912" s="55" t="n">
        <x:v>1886</x:v>
      </x:c>
      <x:c r="AM912" s="55" t="n">
        <x:v>5048</x:v>
      </x:c>
      <x:c r="AN912" s="55" t="n">
        <x:v>2360</x:v>
      </x:c>
      <x:c r="AO912" s="55" t="n">
        <x:v>32</x:v>
      </x:c>
      <x:c r="AP912" s="55" t="n">
        <x:v>2581</x:v>
      </x:c>
      <x:c r="AQ912" s="55" t="n">
        <x:v>926</x:v>
      </x:c>
    </x:row>
    <x:row r="913">
      <x:c r="A913" s="54" t="str">
        <x:v>T2_CONCORDANT_DOMAIN</x:v>
      </x:c>
      <x:c r="B913" s="54" t="n">
        <x:v>907</x:v>
      </x:c>
      <x:c r="C913" s="54" t="str">
        <x:v>NYC-V2-R01</x:v>
      </x:c>
      <x:c r="D913" s="54" t="str">
        <x:v>V2</x:v>
      </x:c>
      <x:c r="E913" s="54" t="str">
        <x:v>ADMITTED</x:v>
      </x:c>
      <x:c r="F913" s="55" t="n">
        <x:v>31940</x:v>
      </x:c>
      <x:c r="G913" s="55" t="n">
        <x:v>8492</x:v>
      </x:c>
      <x:c r="H913" s="55" t="n">
        <x:v>3304</x:v>
      </x:c>
      <x:c r="I913" s="55" t="n">
        <x:v>757</x:v>
      </x:c>
      <x:c r="J913" s="55" t="n">
        <x:v>145</x:v>
      </x:c>
      <x:c r="K913" s="55" t="n">
        <x:v>31576</x:v>
      </x:c>
      <x:c r="L913" s="55" t="n">
        <x:v>5320</x:v>
      </x:c>
      <x:c r="M913" s="55" t="n">
        <x:v>505</x:v>
      </x:c>
      <x:c r="N913" s="55" t="n">
        <x:v>2865</x:v>
      </x:c>
      <x:c r="O913" s="55" t="n">
        <x:v>1950</x:v>
      </x:c>
      <x:c r="P913" s="55" t="n">
        <x:v>1142</x:v>
      </x:c>
      <x:c r="Q913" s="55" t="n">
        <x:v>2265</x:v>
      </x:c>
      <x:c r="R913" s="55" t="n">
        <x:v>2073</x:v>
      </x:c>
      <x:c r="S913" s="55" t="n">
        <x:v>2681</x:v>
      </x:c>
      <x:c r="T913" s="55" t="n">
        <x:v>1455</x:v>
      </x:c>
      <x:c r="U913" s="55" t="n">
        <x:v>1645</x:v>
      </x:c>
      <x:c r="V913" s="55" t="n">
        <x:v>10572</x:v>
      </x:c>
      <x:c r="W913" s="55" t="n">
        <x:v>7460</x:v>
      </x:c>
      <x:c r="X913" s="55" t="n">
        <x:v>3112</x:v>
      </x:c>
      <x:c r="Y913" s="55" t="n">
        <x:v>2612</x:v>
      </x:c>
      <x:c r="Z913" s="55" t="n">
        <x:v>4295</x:v>
      </x:c>
      <x:c r="AA913" s="55" t="n">
        <x:v>3304</x:v>
      </x:c>
      <x:c r="AB913" s="55" t="n">
        <x:v>979</x:v>
      </x:c>
      <x:c r="AC913" s="55" t="n">
        <x:v>7617</x:v>
      </x:c>
      <x:c r="AD913" s="55" t="n">
        <x:v>2650</x:v>
      </x:c>
      <x:c r="AE913" s="55" t="n">
        <x:v>10674</x:v>
      </x:c>
      <x:c r="AF913" s="55" t="n">
        <x:v>10572</x:v>
      </x:c>
      <x:c r="AG913" s="55" t="n">
        <x:v>102</x:v>
      </x:c>
      <x:c r="AH913" s="55" t="n">
        <x:v>426</x:v>
      </x:c>
      <x:c r="AI913" s="55" t="n">
        <x:v>10146</x:v>
      </x:c>
      <x:c r="AJ913" s="55" t="n">
        <x:v>293</x:v>
      </x:c>
      <x:c r="AK913" s="55" t="n">
        <x:v>1253</x:v>
      </x:c>
      <x:c r="AL913" s="55" t="n">
        <x:v>1081</x:v>
      </x:c>
      <x:c r="AM913" s="55" t="n">
        <x:v>5271</x:v>
      </x:c>
      <x:c r="AN913" s="55" t="n">
        <x:v>2645</x:v>
      </x:c>
      <x:c r="AO913" s="55" t="n">
        <x:v>29</x:v>
      </x:c>
      <x:c r="AP913" s="55" t="n">
        <x:v>2717</x:v>
      </x:c>
      <x:c r="AQ913" s="55" t="n">
        <x:v>974</x:v>
      </x:c>
    </x:row>
    <x:row r="914">
      <x:c r="A914" s="54" t="str">
        <x:v>T2_CONCORDANT_DOMAIN</x:v>
      </x:c>
      <x:c r="B914" s="54" t="n">
        <x:v>908</x:v>
      </x:c>
      <x:c r="C914" s="54" t="str">
        <x:v>NYC-V2-R01</x:v>
      </x:c>
      <x:c r="D914" s="54" t="str">
        <x:v>V2</x:v>
      </x:c>
      <x:c r="E914" s="54" t="str">
        <x:v>ADMITTED</x:v>
      </x:c>
      <x:c r="F914" s="55" t="n">
        <x:v>31185</x:v>
      </x:c>
      <x:c r="G914" s="55" t="n">
        <x:v>7184</x:v>
      </x:c>
      <x:c r="H914" s="55" t="n">
        <x:v>3373</x:v>
      </x:c>
      <x:c r="I914" s="55" t="n">
        <x:v>1191</x:v>
      </x:c>
      <x:c r="J914" s="55" t="n">
        <x:v>34</x:v>
      </x:c>
      <x:c r="K914" s="55" t="n">
        <x:v>31185</x:v>
      </x:c>
      <x:c r="L914" s="55" t="n">
        <x:v>6765</x:v>
      </x:c>
      <x:c r="M914" s="55" t="n">
        <x:v>1845</x:v>
      </x:c>
      <x:c r="N914" s="55" t="n">
        <x:v>2930</x:v>
      </x:c>
      <x:c r="O914" s="55" t="n">
        <x:v>1990</x:v>
      </x:c>
      <x:c r="P914" s="55" t="n">
        <x:v>530</x:v>
      </x:c>
      <x:c r="Q914" s="55" t="n">
        <x:v>2735</x:v>
      </x:c>
      <x:c r="R914" s="55" t="n">
        <x:v>1557</x:v>
      </x:c>
      <x:c r="S914" s="55" t="n">
        <x:v>2967</x:v>
      </x:c>
      <x:c r="T914" s="55" t="n">
        <x:v>1113</x:v>
      </x:c>
      <x:c r="U914" s="55" t="n">
        <x:v>2411</x:v>
      </x:c>
      <x:c r="V914" s="55" t="n">
        <x:v>10357</x:v>
      </x:c>
      <x:c r="W914" s="55" t="n">
        <x:v>7228</x:v>
      </x:c>
      <x:c r="X914" s="55" t="n">
        <x:v>3129</x:v>
      </x:c>
      <x:c r="Y914" s="55" t="n">
        <x:v>2719</x:v>
      </x:c>
      <x:c r="Z914" s="55" t="n">
        <x:v>4187</x:v>
      </x:c>
      <x:c r="AA914" s="55" t="n">
        <x:v>3373</x:v>
      </x:c>
      <x:c r="AB914" s="55" t="n">
        <x:v>1221</x:v>
      </x:c>
      <x:c r="AC914" s="55" t="n">
        <x:v>8750</x:v>
      </x:c>
      <x:c r="AD914" s="55" t="n">
        <x:v>3494</x:v>
      </x:c>
      <x:c r="AE914" s="55" t="n">
        <x:v>10513</x:v>
      </x:c>
      <x:c r="AF914" s="55" t="n">
        <x:v>10357</x:v>
      </x:c>
      <x:c r="AG914" s="55" t="n">
        <x:v>156</x:v>
      </x:c>
      <x:c r="AH914" s="55" t="n">
        <x:v>310</x:v>
      </x:c>
      <x:c r="AI914" s="55" t="n">
        <x:v>10047</x:v>
      </x:c>
      <x:c r="AJ914" s="55" t="n">
        <x:v>274</x:v>
      </x:c>
      <x:c r="AK914" s="55" t="n">
        <x:v>1199</x:v>
      </x:c>
      <x:c r="AL914" s="55" t="n">
        <x:v>1336</x:v>
      </x:c>
      <x:c r="AM914" s="55" t="n">
        <x:v>4602</x:v>
      </x:c>
      <x:c r="AN914" s="55" t="n">
        <x:v>2946</x:v>
      </x:c>
      <x:c r="AO914" s="55" t="n">
        <x:v>0</x:v>
      </x:c>
      <x:c r="AP914" s="55" t="n">
        <x:v>2370</x:v>
      </x:c>
      <x:c r="AQ914" s="55" t="n">
        <x:v>942</x:v>
      </x:c>
    </x:row>
    <x:row r="915">
      <x:c r="A915" s="54" t="str">
        <x:v>T2_CONCORDANT_DOMAIN</x:v>
      </x:c>
      <x:c r="B915" s="54" t="n">
        <x:v>909</x:v>
      </x:c>
      <x:c r="C915" s="54" t="str">
        <x:v>NYC-V2-R01</x:v>
      </x:c>
      <x:c r="D915" s="54" t="str">
        <x:v>V2</x:v>
      </x:c>
      <x:c r="E915" s="54" t="str">
        <x:v>ADMITTED</x:v>
      </x:c>
      <x:c r="F915" s="55" t="n">
        <x:v>30123</x:v>
      </x:c>
      <x:c r="G915" s="55" t="n">
        <x:v>6607</x:v>
      </x:c>
      <x:c r="H915" s="55" t="n">
        <x:v>3018</x:v>
      </x:c>
      <x:c r="I915" s="55" t="n">
        <x:v>892</x:v>
      </x:c>
      <x:c r="J915" s="55" t="n">
        <x:v>207</x:v>
      </x:c>
      <x:c r="K915" s="55" t="n">
        <x:v>30123</x:v>
      </x:c>
      <x:c r="L915" s="55" t="n">
        <x:v>4612</x:v>
      </x:c>
      <x:c r="M915" s="55" t="n">
        <x:v>539</x:v>
      </x:c>
      <x:c r="N915" s="55" t="n">
        <x:v>2634</x:v>
      </x:c>
      <x:c r="O915" s="55" t="n">
        <x:v>1439</x:v>
      </x:c>
      <x:c r="P915" s="55" t="n">
        <x:v>639</x:v>
      </x:c>
      <x:c r="Q915" s="55" t="n">
        <x:v>1843</x:v>
      </x:c>
      <x:c r="R915" s="55" t="n">
        <x:v>1598</x:v>
      </x:c>
      <x:c r="S915" s="55" t="n">
        <x:v>2399</x:v>
      </x:c>
      <x:c r="T915" s="55" t="n">
        <x:v>699</x:v>
      </x:c>
      <x:c r="U915" s="55" t="n">
        <x:v>1439</x:v>
      </x:c>
      <x:c r="V915" s="55" t="n">
        <x:v>9651</x:v>
      </x:c>
      <x:c r="W915" s="55" t="n">
        <x:v>6713</x:v>
      </x:c>
      <x:c r="X915" s="55" t="n">
        <x:v>2938</x:v>
      </x:c>
      <x:c r="Y915" s="55" t="n">
        <x:v>2513</x:v>
      </x:c>
      <x:c r="Z915" s="55" t="n">
        <x:v>3563</x:v>
      </x:c>
      <x:c r="AA915" s="55" t="n">
        <x:v>3018</x:v>
      </x:c>
      <x:c r="AB915" s="55" t="n">
        <x:v>844</x:v>
      </x:c>
      <x:c r="AC915" s="55" t="n">
        <x:v>7608</x:v>
      </x:c>
      <x:c r="AD915" s="55" t="n">
        <x:v>2885</x:v>
      </x:c>
      <x:c r="AE915" s="55" t="n">
        <x:v>9651</x:v>
      </x:c>
      <x:c r="AF915" s="55" t="n">
        <x:v>9651</x:v>
      </x:c>
      <x:c r="AG915" s="55" t="n">
        <x:v>0</x:v>
      </x:c>
      <x:c r="AH915" s="55" t="n">
        <x:v>171</x:v>
      </x:c>
      <x:c r="AI915" s="55" t="n">
        <x:v>9480</x:v>
      </x:c>
      <x:c r="AJ915" s="55" t="n">
        <x:v>358</x:v>
      </x:c>
      <x:c r="AK915" s="55" t="n">
        <x:v>1060</x:v>
      </x:c>
      <x:c r="AL915" s="55" t="n">
        <x:v>1557</x:v>
      </x:c>
      <x:c r="AM915" s="55" t="n">
        <x:v>4197</x:v>
      </x:c>
      <x:c r="AN915" s="55" t="n">
        <x:v>2479</x:v>
      </x:c>
      <x:c r="AO915" s="55" t="n">
        <x:v>0</x:v>
      </x:c>
      <x:c r="AP915" s="55" t="n">
        <x:v>1992</x:v>
      </x:c>
      <x:c r="AQ915" s="55" t="n">
        <x:v>952</x:v>
      </x:c>
    </x:row>
    <x:row r="916">
      <x:c r="A916" s="54" t="str">
        <x:v>T2_CONCORDANT_DOMAIN</x:v>
      </x:c>
      <x:c r="B916" s="54" t="n">
        <x:v>910</x:v>
      </x:c>
      <x:c r="C916" s="54" t="str">
        <x:v>NYC-V2-R01</x:v>
      </x:c>
      <x:c r="D916" s="54" t="str">
        <x:v>V2</x:v>
      </x:c>
      <x:c r="E916" s="54" t="str">
        <x:v>ADMITTED</x:v>
      </x:c>
      <x:c r="F916" s="55" t="n">
        <x:v>32841</x:v>
      </x:c>
      <x:c r="G916" s="55" t="n">
        <x:v>9412</x:v>
      </x:c>
      <x:c r="H916" s="55" t="n">
        <x:v>3546</x:v>
      </x:c>
      <x:c r="I916" s="55" t="n">
        <x:v>1531</x:v>
      </x:c>
      <x:c r="J916" s="55" t="n">
        <x:v>325</x:v>
      </x:c>
      <x:c r="K916" s="55" t="n">
        <x:v>31721</x:v>
      </x:c>
      <x:c r="L916" s="55" t="n">
        <x:v>6451</x:v>
      </x:c>
      <x:c r="M916" s="55" t="n">
        <x:v>1872</x:v>
      </x:c>
      <x:c r="N916" s="55" t="n">
        <x:v>2883</x:v>
      </x:c>
      <x:c r="O916" s="55" t="n">
        <x:v>1696</x:v>
      </x:c>
      <x:c r="P916" s="55" t="n">
        <x:v>1175</x:v>
      </x:c>
      <x:c r="Q916" s="55" t="n">
        <x:v>3098</x:v>
      </x:c>
      <x:c r="R916" s="55" t="n">
        <x:v>2039</x:v>
      </x:c>
      <x:c r="S916" s="55" t="n">
        <x:v>3522</x:v>
      </x:c>
      <x:c r="T916" s="55" t="n">
        <x:v>1494</x:v>
      </x:c>
      <x:c r="U916" s="55" t="n">
        <x:v>2107</x:v>
      </x:c>
      <x:c r="V916" s="55" t="n">
        <x:v>10064</x:v>
      </x:c>
      <x:c r="W916" s="55" t="n">
        <x:v>7023</x:v>
      </x:c>
      <x:c r="X916" s="55" t="n">
        <x:v>3041</x:v>
      </x:c>
      <x:c r="Y916" s="55" t="n">
        <x:v>2624</x:v>
      </x:c>
      <x:c r="Z916" s="55" t="n">
        <x:v>4339</x:v>
      </x:c>
      <x:c r="AA916" s="55" t="n">
        <x:v>3244</x:v>
      </x:c>
      <x:c r="AB916" s="55" t="n">
        <x:v>1522</x:v>
      </x:c>
      <x:c r="AC916" s="55" t="n">
        <x:v>8467</x:v>
      </x:c>
      <x:c r="AD916" s="55" t="n">
        <x:v>2801</x:v>
      </x:c>
      <x:c r="AE916" s="55" t="n">
        <x:v>10279</x:v>
      </x:c>
      <x:c r="AF916" s="55" t="n">
        <x:v>10064</x:v>
      </x:c>
      <x:c r="AG916" s="55" t="n">
        <x:v>215</x:v>
      </x:c>
      <x:c r="AH916" s="55" t="n">
        <x:v>415</x:v>
      </x:c>
      <x:c r="AI916" s="55" t="n">
        <x:v>9649</x:v>
      </x:c>
      <x:c r="AJ916" s="55" t="n">
        <x:v>230</x:v>
      </x:c>
      <x:c r="AK916" s="55" t="n">
        <x:v>1077</x:v>
      </x:c>
      <x:c r="AL916" s="55" t="n">
        <x:v>1021</x:v>
      </x:c>
      <x:c r="AM916" s="55" t="n">
        <x:v>5159</x:v>
      </x:c>
      <x:c r="AN916" s="55" t="n">
        <x:v>2555</x:v>
      </x:c>
      <x:c r="AO916" s="55" t="n">
        <x:v>22</x:v>
      </x:c>
      <x:c r="AP916" s="55" t="n">
        <x:v>2179</x:v>
      </x:c>
      <x:c r="AQ916" s="55" t="n">
        <x:v>991</x:v>
      </x:c>
    </x:row>
    <x:row r="917">
      <x:c r="A917" s="54" t="str">
        <x:v>T2_CONCORDANT_DOMAIN</x:v>
      </x:c>
      <x:c r="B917" s="54" t="n">
        <x:v>911</x:v>
      </x:c>
      <x:c r="C917" s="54" t="str">
        <x:v>NYC-V2-R01</x:v>
      </x:c>
      <x:c r="D917" s="54" t="str">
        <x:v>V2</x:v>
      </x:c>
      <x:c r="E917" s="54" t="str">
        <x:v>ADMITTED</x:v>
      </x:c>
      <x:c r="F917" s="55" t="n">
        <x:v>31641</x:v>
      </x:c>
      <x:c r="G917" s="55" t="n">
        <x:v>8385</x:v>
      </x:c>
      <x:c r="H917" s="55" t="n">
        <x:v>3389</x:v>
      </x:c>
      <x:c r="I917" s="55" t="n">
        <x:v>1171</x:v>
      </x:c>
      <x:c r="J917" s="55" t="n">
        <x:v>241</x:v>
      </x:c>
      <x:c r="K917" s="55" t="n">
        <x:v>29987</x:v>
      </x:c>
      <x:c r="L917" s="55" t="n">
        <x:v>6615</x:v>
      </x:c>
      <x:c r="M917" s="55" t="n">
        <x:v>1339</x:v>
      </x:c>
      <x:c r="N917" s="55" t="n">
        <x:v>3208</x:v>
      </x:c>
      <x:c r="O917" s="55" t="n">
        <x:v>2068</x:v>
      </x:c>
      <x:c r="P917" s="55" t="n">
        <x:v>1003</x:v>
      </x:c>
      <x:c r="Q917" s="55" t="n">
        <x:v>2504</x:v>
      </x:c>
      <x:c r="R917" s="55" t="n">
        <x:v>2024</x:v>
      </x:c>
      <x:c r="S917" s="55" t="n">
        <x:v>3088</x:v>
      </x:c>
      <x:c r="T917" s="55" t="n">
        <x:v>1543</x:v>
      </x:c>
      <x:c r="U917" s="55" t="n">
        <x:v>2473</x:v>
      </x:c>
      <x:c r="V917" s="55" t="n">
        <x:v>10724</x:v>
      </x:c>
      <x:c r="W917" s="55" t="n">
        <x:v>7345</x:v>
      </x:c>
      <x:c r="X917" s="55" t="n">
        <x:v>3379</x:v>
      </x:c>
      <x:c r="Y917" s="55" t="n">
        <x:v>2949</x:v>
      </x:c>
      <x:c r="Z917" s="55" t="n">
        <x:v>3395</x:v>
      </x:c>
      <x:c r="AA917" s="55" t="n">
        <x:v>3389</x:v>
      </x:c>
      <x:c r="AB917" s="55" t="n">
        <x:v>1176</x:v>
      </x:c>
      <x:c r="AC917" s="55" t="n">
        <x:v>8047</x:v>
      </x:c>
      <x:c r="AD917" s="55" t="n">
        <x:v>3322</x:v>
      </x:c>
      <x:c r="AE917" s="55" t="n">
        <x:v>10741</x:v>
      </x:c>
      <x:c r="AF917" s="55" t="n">
        <x:v>10724</x:v>
      </x:c>
      <x:c r="AG917" s="55" t="n">
        <x:v>17</x:v>
      </x:c>
      <x:c r="AH917" s="55" t="n">
        <x:v>512</x:v>
      </x:c>
      <x:c r="AI917" s="55" t="n">
        <x:v>10212</x:v>
      </x:c>
      <x:c r="AJ917" s="55" t="n">
        <x:v>371</x:v>
      </x:c>
      <x:c r="AK917" s="55" t="n">
        <x:v>1155</x:v>
      </x:c>
      <x:c r="AL917" s="55" t="n">
        <x:v>1884</x:v>
      </x:c>
      <x:c r="AM917" s="55" t="n">
        <x:v>4617</x:v>
      </x:c>
      <x:c r="AN917" s="55" t="n">
        <x:v>2697</x:v>
      </x:c>
      <x:c r="AO917" s="55" t="n">
        <x:v>0</x:v>
      </x:c>
      <x:c r="AP917" s="55" t="n">
        <x:v>2483</x:v>
      </x:c>
      <x:c r="AQ917" s="55" t="n">
        <x:v>948</x:v>
      </x:c>
    </x:row>
    <x:row r="918">
      <x:c r="A918" s="54" t="str">
        <x:v>T2_CONCORDANT_DOMAIN</x:v>
      </x:c>
      <x:c r="B918" s="54" t="n">
        <x:v>912</x:v>
      </x:c>
      <x:c r="C918" s="54" t="str">
        <x:v>NYC-V2-R01</x:v>
      </x:c>
      <x:c r="D918" s="54" t="str">
        <x:v>V2</x:v>
      </x:c>
      <x:c r="E918" s="54" t="str">
        <x:v>ADMITTED</x:v>
      </x:c>
      <x:c r="F918" s="55" t="n">
        <x:v>32042</x:v>
      </x:c>
      <x:c r="G918" s="55" t="n">
        <x:v>6911</x:v>
      </x:c>
      <x:c r="H918" s="55" t="n">
        <x:v>3109</x:v>
      </x:c>
      <x:c r="I918" s="55" t="n">
        <x:v>1213</x:v>
      </x:c>
      <x:c r="J918" s="55" t="n">
        <x:v>99</x:v>
      </x:c>
      <x:c r="K918" s="55" t="n">
        <x:v>32042</x:v>
      </x:c>
      <x:c r="L918" s="55" t="n">
        <x:v>6707</x:v>
      </x:c>
      <x:c r="M918" s="55" t="n">
        <x:v>2460</x:v>
      </x:c>
      <x:c r="N918" s="55" t="n">
        <x:v>2737</x:v>
      </x:c>
      <x:c r="O918" s="55" t="n">
        <x:v>1510</x:v>
      </x:c>
      <x:c r="P918" s="55" t="n">
        <x:v>910</x:v>
      </x:c>
      <x:c r="Q918" s="55" t="n">
        <x:v>3018</x:v>
      </x:c>
      <x:c r="R918" s="55" t="n">
        <x:v>2454</x:v>
      </x:c>
      <x:c r="S918" s="55" t="n">
        <x:v>3336</x:v>
      </x:c>
      <x:c r="T918" s="55" t="n">
        <x:v>1221</x:v>
      </x:c>
      <x:c r="U918" s="55" t="n">
        <x:v>2450</x:v>
      </x:c>
      <x:c r="V918" s="55" t="n">
        <x:v>10267</x:v>
      </x:c>
      <x:c r="W918" s="55" t="n">
        <x:v>7237</x:v>
      </x:c>
      <x:c r="X918" s="55" t="n">
        <x:v>3030</x:v>
      </x:c>
      <x:c r="Y918" s="55" t="n">
        <x:v>2754</x:v>
      </x:c>
      <x:c r="Z918" s="55" t="n">
        <x:v>3716</x:v>
      </x:c>
      <x:c r="AA918" s="55" t="n">
        <x:v>2573</x:v>
      </x:c>
      <x:c r="AB918" s="55" t="n">
        <x:v>953</x:v>
      </x:c>
      <x:c r="AC918" s="55" t="n">
        <x:v>8218</x:v>
      </x:c>
      <x:c r="AD918" s="55" t="n">
        <x:v>3029</x:v>
      </x:c>
      <x:c r="AE918" s="55" t="n">
        <x:v>10348</x:v>
      </x:c>
      <x:c r="AF918" s="55" t="n">
        <x:v>10267</x:v>
      </x:c>
      <x:c r="AG918" s="55" t="n">
        <x:v>81</x:v>
      </x:c>
      <x:c r="AH918" s="55" t="n">
        <x:v>206</x:v>
      </x:c>
      <x:c r="AI918" s="55" t="n">
        <x:v>10061</x:v>
      </x:c>
      <x:c r="AJ918" s="55" t="n">
        <x:v>198</x:v>
      </x:c>
      <x:c r="AK918" s="55" t="n">
        <x:v>1037</x:v>
      </x:c>
      <x:c r="AL918" s="55" t="n">
        <x:v>1677</x:v>
      </x:c>
      <x:c r="AM918" s="55" t="n">
        <x:v>5061</x:v>
      </x:c>
      <x:c r="AN918" s="55" t="n">
        <x:v>2287</x:v>
      </x:c>
      <x:c r="AO918" s="55" t="n">
        <x:v>7</x:v>
      </x:c>
      <x:c r="AP918" s="55" t="n">
        <x:v>2540</x:v>
      </x:c>
      <x:c r="AQ918" s="55" t="n">
        <x:v>911</x:v>
      </x:c>
    </x:row>
    <x:row r="919">
      <x:c r="A919" s="54" t="str">
        <x:v>T2_CONCORDANT_DOMAIN</x:v>
      </x:c>
      <x:c r="B919" s="54" t="n">
        <x:v>913</x:v>
      </x:c>
      <x:c r="C919" s="54" t="str">
        <x:v>NYC-V2-R01</x:v>
      </x:c>
      <x:c r="D919" s="54" t="str">
        <x:v>V2</x:v>
      </x:c>
      <x:c r="E919" s="54" t="str">
        <x:v>ADMITTED</x:v>
      </x:c>
      <x:c r="F919" s="55" t="n">
        <x:v>33135</x:v>
      </x:c>
      <x:c r="G919" s="55" t="n">
        <x:v>8489</x:v>
      </x:c>
      <x:c r="H919" s="55" t="n">
        <x:v>3539</x:v>
      </x:c>
      <x:c r="I919" s="55" t="n">
        <x:v>1479</x:v>
      </x:c>
      <x:c r="J919" s="55" t="n">
        <x:v>356</x:v>
      </x:c>
      <x:c r="K919" s="55" t="n">
        <x:v>33135</x:v>
      </x:c>
      <x:c r="L919" s="55" t="n">
        <x:v>6738</x:v>
      </x:c>
      <x:c r="M919" s="55" t="n">
        <x:v>1845</x:v>
      </x:c>
      <x:c r="N919" s="55" t="n">
        <x:v>2908</x:v>
      </x:c>
      <x:c r="O919" s="55" t="n">
        <x:v>1985</x:v>
      </x:c>
      <x:c r="P919" s="55" t="n">
        <x:v>985</x:v>
      </x:c>
      <x:c r="Q919" s="55" t="n">
        <x:v>3026</x:v>
      </x:c>
      <x:c r="R919" s="55" t="n">
        <x:v>2310</x:v>
      </x:c>
      <x:c r="S919" s="55" t="n">
        <x:v>2960</x:v>
      </x:c>
      <x:c r="T919" s="55" t="n">
        <x:v>1389</x:v>
      </x:c>
      <x:c r="U919" s="55" t="n">
        <x:v>2028</x:v>
      </x:c>
      <x:c r="V919" s="55" t="n">
        <x:v>10226</x:v>
      </x:c>
      <x:c r="W919" s="55" t="n">
        <x:v>6717</x:v>
      </x:c>
      <x:c r="X919" s="55" t="n">
        <x:v>3509</x:v>
      </x:c>
      <x:c r="Y919" s="55" t="n">
        <x:v>3181</x:v>
      </x:c>
      <x:c r="Z919" s="55" t="n">
        <x:v>3651</x:v>
      </x:c>
      <x:c r="AA919" s="55" t="n">
        <x:v>3539</x:v>
      </x:c>
      <x:c r="AB919" s="55" t="n">
        <x:v>1370</x:v>
      </x:c>
      <x:c r="AC919" s="55" t="n">
        <x:v>8602</x:v>
      </x:c>
      <x:c r="AD919" s="55" t="n">
        <x:v>3324</x:v>
      </x:c>
      <x:c r="AE919" s="55" t="n">
        <x:v>10401</x:v>
      </x:c>
      <x:c r="AF919" s="55" t="n">
        <x:v>10226</x:v>
      </x:c>
      <x:c r="AG919" s="55" t="n">
        <x:v>175</x:v>
      </x:c>
      <x:c r="AH919" s="55" t="n">
        <x:v>576</x:v>
      </x:c>
      <x:c r="AI919" s="55" t="n">
        <x:v>9650</x:v>
      </x:c>
      <x:c r="AJ919" s="55" t="n">
        <x:v>261</x:v>
      </x:c>
      <x:c r="AK919" s="55" t="n">
        <x:v>1023</x:v>
      </x:c>
      <x:c r="AL919" s="55" t="n">
        <x:v>1843</x:v>
      </x:c>
      <x:c r="AM919" s="55" t="n">
        <x:v>4677</x:v>
      </x:c>
      <x:c r="AN919" s="55" t="n">
        <x:v>2421</x:v>
      </x:c>
      <x:c r="AO919" s="55" t="n">
        <x:v>1</x:v>
      </x:c>
      <x:c r="AP919" s="55" t="n">
        <x:v>2931</x:v>
      </x:c>
      <x:c r="AQ919" s="55" t="n">
        <x:v>967</x:v>
      </x:c>
    </x:row>
    <x:row r="920">
      <x:c r="A920" s="54" t="str">
        <x:v>T2_CONCORDANT_DOMAIN</x:v>
      </x:c>
      <x:c r="B920" s="54" t="n">
        <x:v>914</x:v>
      </x:c>
      <x:c r="C920" s="54" t="str">
        <x:v>NYC-V2-R01</x:v>
      </x:c>
      <x:c r="D920" s="54" t="str">
        <x:v>V2</x:v>
      </x:c>
      <x:c r="E920" s="54" t="str">
        <x:v>ADMITTED</x:v>
      </x:c>
      <x:c r="F920" s="55" t="n">
        <x:v>32482</x:v>
      </x:c>
      <x:c r="G920" s="55" t="n">
        <x:v>7974</x:v>
      </x:c>
      <x:c r="H920" s="55" t="n">
        <x:v>3576</x:v>
      </x:c>
      <x:c r="I920" s="55" t="n">
        <x:v>1466</x:v>
      </x:c>
      <x:c r="J920" s="55" t="n">
        <x:v>281</x:v>
      </x:c>
      <x:c r="K920" s="55" t="n">
        <x:v>32482</x:v>
      </x:c>
      <x:c r="L920" s="55" t="n">
        <x:v>6354</x:v>
      </x:c>
      <x:c r="M920" s="55" t="n">
        <x:v>981</x:v>
      </x:c>
      <x:c r="N920" s="55" t="n">
        <x:v>3211</x:v>
      </x:c>
      <x:c r="O920" s="55" t="n">
        <x:v>2162</x:v>
      </x:c>
      <x:c r="P920" s="55" t="n">
        <x:v>819</x:v>
      </x:c>
      <x:c r="Q920" s="55" t="n">
        <x:v>2588</x:v>
      </x:c>
      <x:c r="R920" s="55" t="n">
        <x:v>1913</x:v>
      </x:c>
      <x:c r="S920" s="55" t="n">
        <x:v>2859</x:v>
      </x:c>
      <x:c r="T920" s="55" t="n">
        <x:v>843</x:v>
      </x:c>
      <x:c r="U920" s="55" t="n">
        <x:v>1826</x:v>
      </x:c>
      <x:c r="V920" s="55" t="n">
        <x:v>11300</x:v>
      </x:c>
      <x:c r="W920" s="55" t="n">
        <x:v>8155</x:v>
      </x:c>
      <x:c r="X920" s="55" t="n">
        <x:v>3145</x:v>
      </x:c>
      <x:c r="Y920" s="55" t="n">
        <x:v>2600</x:v>
      </x:c>
      <x:c r="Z920" s="55" t="n">
        <x:v>3909</x:v>
      </x:c>
      <x:c r="AA920" s="55" t="n">
        <x:v>3576</x:v>
      </x:c>
      <x:c r="AB920" s="55" t="n">
        <x:v>1360</x:v>
      </x:c>
      <x:c r="AC920" s="55" t="n">
        <x:v>8150</x:v>
      </x:c>
      <x:c r="AD920" s="55" t="n">
        <x:v>2971</x:v>
      </x:c>
      <x:c r="AE920" s="55" t="n">
        <x:v>11407</x:v>
      </x:c>
      <x:c r="AF920" s="55" t="n">
        <x:v>11300</x:v>
      </x:c>
      <x:c r="AG920" s="55" t="n">
        <x:v>107</x:v>
      </x:c>
      <x:c r="AH920" s="55" t="n">
        <x:v>694</x:v>
      </x:c>
      <x:c r="AI920" s="55" t="n">
        <x:v>10606</x:v>
      </x:c>
      <x:c r="AJ920" s="55" t="n">
        <x:v>420</x:v>
      </x:c>
      <x:c r="AK920" s="55" t="n">
        <x:v>1101</x:v>
      </x:c>
      <x:c r="AL920" s="55" t="n">
        <x:v>1668</x:v>
      </x:c>
      <x:c r="AM920" s="55" t="n">
        <x:v>4976</x:v>
      </x:c>
      <x:c r="AN920" s="55" t="n">
        <x:v>3108</x:v>
      </x:c>
      <x:c r="AO920" s="55" t="n">
        <x:v>27</x:v>
      </x:c>
      <x:c r="AP920" s="55" t="n">
        <x:v>2507</x:v>
      </x:c>
      <x:c r="AQ920" s="55" t="n">
        <x:v>922</x:v>
      </x:c>
    </x:row>
    <x:row r="921">
      <x:c r="A921" s="54" t="str">
        <x:v>T2_CONCORDANT_DOMAIN</x:v>
      </x:c>
      <x:c r="B921" s="54" t="n">
        <x:v>915</x:v>
      </x:c>
      <x:c r="C921" s="54" t="str">
        <x:v>NYC-V2-R01</x:v>
      </x:c>
      <x:c r="D921" s="54" t="str">
        <x:v>V2</x:v>
      </x:c>
      <x:c r="E921" s="54" t="str">
        <x:v>ADMITTED</x:v>
      </x:c>
      <x:c r="F921" s="55" t="n">
        <x:v>32668</x:v>
      </x:c>
      <x:c r="G921" s="55" t="n">
        <x:v>8165</x:v>
      </x:c>
      <x:c r="H921" s="55" t="n">
        <x:v>3013</x:v>
      </x:c>
      <x:c r="I921" s="55" t="n">
        <x:v>1031</x:v>
      </x:c>
      <x:c r="J921" s="55" t="n">
        <x:v>105</x:v>
      </x:c>
      <x:c r="K921" s="55" t="n">
        <x:v>25840</x:v>
      </x:c>
      <x:c r="L921" s="55" t="n">
        <x:v>4748</x:v>
      </x:c>
      <x:c r="M921" s="55" t="n">
        <x:v>664</x:v>
      </x:c>
      <x:c r="N921" s="55" t="n">
        <x:v>2257</x:v>
      </x:c>
      <x:c r="O921" s="55" t="n">
        <x:v>1827</x:v>
      </x:c>
      <x:c r="P921" s="55" t="n">
        <x:v>912</x:v>
      </x:c>
      <x:c r="Q921" s="55" t="n">
        <x:v>1494</x:v>
      </x:c>
      <x:c r="R921" s="55" t="n">
        <x:v>1717</x:v>
      </x:c>
      <x:c r="S921" s="55" t="n">
        <x:v>2349</x:v>
      </x:c>
      <x:c r="T921" s="55" t="n">
        <x:v>1242</x:v>
      </x:c>
      <x:c r="U921" s="55" t="n">
        <x:v>1809</x:v>
      </x:c>
      <x:c r="V921" s="55" t="n">
        <x:v>10514</x:v>
      </x:c>
      <x:c r="W921" s="55" t="n">
        <x:v>7712</x:v>
      </x:c>
      <x:c r="X921" s="55" t="n">
        <x:v>2802</x:v>
      </x:c>
      <x:c r="Y921" s="55" t="n">
        <x:v>2304</x:v>
      </x:c>
      <x:c r="Z921" s="55" t="n">
        <x:v>3909</x:v>
      </x:c>
      <x:c r="AA921" s="55" t="n">
        <x:v>3013</x:v>
      </x:c>
      <x:c r="AB921" s="55" t="n">
        <x:v>934</x:v>
      </x:c>
      <x:c r="AC921" s="55" t="n">
        <x:v>7535</x:v>
      </x:c>
      <x:c r="AD921" s="55" t="n">
        <x:v>3070</x:v>
      </x:c>
      <x:c r="AE921" s="55" t="n">
        <x:v>10570</x:v>
      </x:c>
      <x:c r="AF921" s="55" t="n">
        <x:v>10514</x:v>
      </x:c>
      <x:c r="AG921" s="55" t="n">
        <x:v>56</x:v>
      </x:c>
      <x:c r="AH921" s="55" t="n">
        <x:v>323</x:v>
      </x:c>
      <x:c r="AI921" s="55" t="n">
        <x:v>10191</x:v>
      </x:c>
      <x:c r="AJ921" s="55" t="n">
        <x:v>400</x:v>
      </x:c>
      <x:c r="AK921" s="55" t="n">
        <x:v>941</x:v>
      </x:c>
      <x:c r="AL921" s="55" t="n">
        <x:v>1780</x:v>
      </x:c>
      <x:c r="AM921" s="55" t="n">
        <x:v>5030</x:v>
      </x:c>
      <x:c r="AN921" s="55" t="n">
        <x:v>2363</x:v>
      </x:c>
      <x:c r="AO921" s="55" t="n">
        <x:v>0</x:v>
      </x:c>
      <x:c r="AP921" s="55" t="n">
        <x:v>2220</x:v>
      </x:c>
      <x:c r="AQ921" s="55" t="n">
        <x:v>976</x:v>
      </x:c>
    </x:row>
    <x:row r="922">
      <x:c r="A922" s="54" t="str">
        <x:v>T2_CONCORDANT_DOMAIN</x:v>
      </x:c>
      <x:c r="B922" s="54" t="n">
        <x:v>916</x:v>
      </x:c>
      <x:c r="C922" s="54" t="str">
        <x:v>NYC-V2-R01</x:v>
      </x:c>
      <x:c r="D922" s="54" t="str">
        <x:v>V2</x:v>
      </x:c>
      <x:c r="E922" s="54" t="str">
        <x:v>ADMITTED</x:v>
      </x:c>
      <x:c r="F922" s="55" t="n">
        <x:v>31798</x:v>
      </x:c>
      <x:c r="G922" s="55" t="n">
        <x:v>7668</x:v>
      </x:c>
      <x:c r="H922" s="55" t="n">
        <x:v>3379</x:v>
      </x:c>
      <x:c r="I922" s="55" t="n">
        <x:v>1629</x:v>
      </x:c>
      <x:c r="J922" s="55" t="n">
        <x:v>162</x:v>
      </x:c>
      <x:c r="K922" s="55" t="n">
        <x:v>29464</x:v>
      </x:c>
      <x:c r="L922" s="55" t="n">
        <x:v>5039</x:v>
      </x:c>
      <x:c r="M922" s="55" t="n">
        <x:v>830</x:v>
      </x:c>
      <x:c r="N922" s="55" t="n">
        <x:v>2786</x:v>
      </x:c>
      <x:c r="O922" s="55" t="n">
        <x:v>1423</x:v>
      </x:c>
      <x:c r="P922" s="55" t="n">
        <x:v>1084</x:v>
      </x:c>
      <x:c r="Q922" s="55" t="n">
        <x:v>2090</x:v>
      </x:c>
      <x:c r="R922" s="55" t="n">
        <x:v>2181</x:v>
      </x:c>
      <x:c r="S922" s="55" t="n">
        <x:v>3035</x:v>
      </x:c>
      <x:c r="T922" s="55" t="n">
        <x:v>1135</x:v>
      </x:c>
      <x:c r="U922" s="55" t="n">
        <x:v>2100</x:v>
      </x:c>
      <x:c r="V922" s="55" t="n">
        <x:v>9814</x:v>
      </x:c>
      <x:c r="W922" s="55" t="n">
        <x:v>7010</x:v>
      </x:c>
      <x:c r="X922" s="55" t="n">
        <x:v>2804</x:v>
      </x:c>
      <x:c r="Y922" s="55" t="n">
        <x:v>2360</x:v>
      </x:c>
      <x:c r="Z922" s="55" t="n">
        <x:v>3480</x:v>
      </x:c>
      <x:c r="AA922" s="55" t="n">
        <x:v>2685</x:v>
      </x:c>
      <x:c r="AB922" s="55" t="n">
        <x:v>1112</x:v>
      </x:c>
      <x:c r="AC922" s="55" t="n">
        <x:v>8247</x:v>
      </x:c>
      <x:c r="AD922" s="55" t="n">
        <x:v>3075</x:v>
      </x:c>
      <x:c r="AE922" s="55" t="n">
        <x:v>9865</x:v>
      </x:c>
      <x:c r="AF922" s="55" t="n">
        <x:v>9814</x:v>
      </x:c>
      <x:c r="AG922" s="55" t="n">
        <x:v>51</x:v>
      </x:c>
      <x:c r="AH922" s="55" t="n">
        <x:v>157</x:v>
      </x:c>
      <x:c r="AI922" s="55" t="n">
        <x:v>9657</x:v>
      </x:c>
      <x:c r="AJ922" s="55" t="n">
        <x:v>270</x:v>
      </x:c>
      <x:c r="AK922" s="55" t="n">
        <x:v>802</x:v>
      </x:c>
      <x:c r="AL922" s="55" t="n">
        <x:v>1443</x:v>
      </x:c>
      <x:c r="AM922" s="55" t="n">
        <x:v>4495</x:v>
      </x:c>
      <x:c r="AN922" s="55" t="n">
        <x:v>2804</x:v>
      </x:c>
      <x:c r="AO922" s="55" t="n">
        <x:v>0</x:v>
      </x:c>
      <x:c r="AP922" s="55" t="n">
        <x:v>1796</x:v>
      </x:c>
      <x:c r="AQ922" s="55" t="n">
        <x:v>959</x:v>
      </x:c>
    </x:row>
    <x:row r="923">
      <x:c r="A923" s="54" t="str">
        <x:v>T2_CONCORDANT_DOMAIN</x:v>
      </x:c>
      <x:c r="B923" s="54" t="n">
        <x:v>917</x:v>
      </x:c>
      <x:c r="C923" s="54" t="str">
        <x:v>NYC-V2-R01</x:v>
      </x:c>
      <x:c r="D923" s="54" t="str">
        <x:v>V2</x:v>
      </x:c>
      <x:c r="E923" s="54" t="str">
        <x:v>ADMITTED</x:v>
      </x:c>
      <x:c r="F923" s="55" t="n">
        <x:v>32484</x:v>
      </x:c>
      <x:c r="G923" s="55" t="n">
        <x:v>9115</x:v>
      </x:c>
      <x:c r="H923" s="55" t="n">
        <x:v>3278</x:v>
      </x:c>
      <x:c r="I923" s="55" t="n">
        <x:v>1036</x:v>
      </x:c>
      <x:c r="J923" s="55" t="n">
        <x:v>308</x:v>
      </x:c>
      <x:c r="K923" s="55" t="n">
        <x:v>32484</x:v>
      </x:c>
      <x:c r="L923" s="55" t="n">
        <x:v>8050</x:v>
      </x:c>
      <x:c r="M923" s="55" t="n">
        <x:v>3060</x:v>
      </x:c>
      <x:c r="N923" s="55" t="n">
        <x:v>2824</x:v>
      </x:c>
      <x:c r="O923" s="55" t="n">
        <x:v>2166</x:v>
      </x:c>
      <x:c r="P923" s="55" t="n">
        <x:v>1161</x:v>
      </x:c>
      <x:c r="Q923" s="55" t="n">
        <x:v>3504</x:v>
      </x:c>
      <x:c r="R923" s="55" t="n">
        <x:v>2515</x:v>
      </x:c>
      <x:c r="S923" s="55" t="n">
        <x:v>3151</x:v>
      </x:c>
      <x:c r="T923" s="55" t="n">
        <x:v>1530</x:v>
      </x:c>
      <x:c r="U923" s="55" t="n">
        <x:v>2879</x:v>
      </x:c>
      <x:c r="V923" s="55" t="n">
        <x:v>10918</x:v>
      </x:c>
      <x:c r="W923" s="55" t="n">
        <x:v>7884</x:v>
      </x:c>
      <x:c r="X923" s="55" t="n">
        <x:v>3034</x:v>
      </x:c>
      <x:c r="Y923" s="55" t="n">
        <x:v>2794</x:v>
      </x:c>
      <x:c r="Z923" s="55" t="n">
        <x:v>3944</x:v>
      </x:c>
      <x:c r="AA923" s="55" t="n">
        <x:v>3018</x:v>
      </x:c>
      <x:c r="AB923" s="55" t="n">
        <x:v>1348</x:v>
      </x:c>
      <x:c r="AC923" s="55" t="n">
        <x:v>8050</x:v>
      </x:c>
      <x:c r="AD923" s="55" t="n">
        <x:v>3674</x:v>
      </x:c>
      <x:c r="AE923" s="55" t="n">
        <x:v>10996</x:v>
      </x:c>
      <x:c r="AF923" s="55" t="n">
        <x:v>10918</x:v>
      </x:c>
      <x:c r="AG923" s="55" t="n">
        <x:v>78</x:v>
      </x:c>
      <x:c r="AH923" s="55" t="n">
        <x:v>456</x:v>
      </x:c>
      <x:c r="AI923" s="55" t="n">
        <x:v>10462</x:v>
      </x:c>
      <x:c r="AJ923" s="55" t="n">
        <x:v>424</x:v>
      </x:c>
      <x:c r="AK923" s="55" t="n">
        <x:v>1100</x:v>
      </x:c>
      <x:c r="AL923" s="55" t="n">
        <x:v>1563</x:v>
      </x:c>
      <x:c r="AM923" s="55" t="n">
        <x:v>4708</x:v>
      </x:c>
      <x:c r="AN923" s="55" t="n">
        <x:v>3059</x:v>
      </x:c>
      <x:c r="AO923" s="55" t="n">
        <x:v>64</x:v>
      </x:c>
      <x:c r="AP923" s="55" t="n">
        <x:v>2379</x:v>
      </x:c>
      <x:c r="AQ923" s="55" t="n">
        <x:v>1010</x:v>
      </x:c>
    </x:row>
    <x:row r="924">
      <x:c r="A924" s="54" t="str">
        <x:v>T2_CONCORDANT_DOMAIN</x:v>
      </x:c>
      <x:c r="B924" s="54" t="n">
        <x:v>918</x:v>
      </x:c>
      <x:c r="C924" s="54" t="str">
        <x:v>NYC-V2-R01</x:v>
      </x:c>
      <x:c r="D924" s="54" t="str">
        <x:v>V2</x:v>
      </x:c>
      <x:c r="E924" s="54" t="str">
        <x:v>ADMITTED</x:v>
      </x:c>
      <x:c r="F924" s="55" t="n">
        <x:v>31304</x:v>
      </x:c>
      <x:c r="G924" s="55" t="n">
        <x:v>7684</x:v>
      </x:c>
      <x:c r="H924" s="55" t="n">
        <x:v>3222</x:v>
      </x:c>
      <x:c r="I924" s="55" t="n">
        <x:v>1248</x:v>
      </x:c>
      <x:c r="J924" s="55" t="n">
        <x:v>214</x:v>
      </x:c>
      <x:c r="K924" s="55" t="n">
        <x:v>31261</x:v>
      </x:c>
      <x:c r="L924" s="55" t="n">
        <x:v>5921</x:v>
      </x:c>
      <x:c r="M924" s="55" t="n">
        <x:v>963</x:v>
      </x:c>
      <x:c r="N924" s="55" t="n">
        <x:v>2780</x:v>
      </x:c>
      <x:c r="O924" s="55" t="n">
        <x:v>2178</x:v>
      </x:c>
      <x:c r="P924" s="55" t="n">
        <x:v>1240</x:v>
      </x:c>
      <x:c r="Q924" s="55" t="n">
        <x:v>3288</x:v>
      </x:c>
      <x:c r="R924" s="55" t="n">
        <x:v>1956</x:v>
      </x:c>
      <x:c r="S924" s="55" t="n">
        <x:v>2571</x:v>
      </x:c>
      <x:c r="T924" s="55" t="n">
        <x:v>1530</x:v>
      </x:c>
      <x:c r="U924" s="55" t="n">
        <x:v>1980</x:v>
      </x:c>
      <x:c r="V924" s="55" t="n">
        <x:v>10529</x:v>
      </x:c>
      <x:c r="W924" s="55" t="n">
        <x:v>7284</x:v>
      </x:c>
      <x:c r="X924" s="55" t="n">
        <x:v>3245</x:v>
      </x:c>
      <x:c r="Y924" s="55" t="n">
        <x:v>2978</x:v>
      </x:c>
      <x:c r="Z924" s="55" t="n">
        <x:v>4096</x:v>
      </x:c>
      <x:c r="AA924" s="55" t="n">
        <x:v>2824</x:v>
      </x:c>
      <x:c r="AB924" s="55" t="n">
        <x:v>1105</x:v>
      </x:c>
      <x:c r="AC924" s="55" t="n">
        <x:v>8418</x:v>
      </x:c>
      <x:c r="AD924" s="55" t="n">
        <x:v>3579</x:v>
      </x:c>
      <x:c r="AE924" s="55" t="n">
        <x:v>10630</x:v>
      </x:c>
      <x:c r="AF924" s="55" t="n">
        <x:v>10529</x:v>
      </x:c>
      <x:c r="AG924" s="55" t="n">
        <x:v>101</x:v>
      </x:c>
      <x:c r="AH924" s="55" t="n">
        <x:v>338</x:v>
      </x:c>
      <x:c r="AI924" s="55" t="n">
        <x:v>10191</x:v>
      </x:c>
      <x:c r="AJ924" s="55" t="n">
        <x:v>452</x:v>
      </x:c>
      <x:c r="AK924" s="55" t="n">
        <x:v>825</x:v>
      </x:c>
      <x:c r="AL924" s="55" t="n">
        <x:v>1583</x:v>
      </x:c>
      <x:c r="AM924" s="55" t="n">
        <x:v>5219</x:v>
      </x:c>
      <x:c r="AN924" s="55" t="n">
        <x:v>2433</x:v>
      </x:c>
      <x:c r="AO924" s="55" t="n">
        <x:v>17</x:v>
      </x:c>
      <x:c r="AP924" s="55" t="n">
        <x:v>2307</x:v>
      </x:c>
      <x:c r="AQ924" s="55" t="n">
        <x:v>934</x:v>
      </x:c>
    </x:row>
    <x:row r="925">
      <x:c r="A925" s="54" t="str">
        <x:v>T2_CONCORDANT_DOMAIN</x:v>
      </x:c>
      <x:c r="B925" s="54" t="n">
        <x:v>919</x:v>
      </x:c>
      <x:c r="C925" s="54" t="str">
        <x:v>NYC-V2-R01</x:v>
      </x:c>
      <x:c r="D925" s="54" t="str">
        <x:v>V2</x:v>
      </x:c>
      <x:c r="E925" s="54" t="str">
        <x:v>ADMITTED</x:v>
      </x:c>
      <x:c r="F925" s="55" t="n">
        <x:v>32057</x:v>
      </x:c>
      <x:c r="G925" s="55" t="n">
        <x:v>8478</x:v>
      </x:c>
      <x:c r="H925" s="55" t="n">
        <x:v>2989</x:v>
      </x:c>
      <x:c r="I925" s="55" t="n">
        <x:v>1266</x:v>
      </x:c>
      <x:c r="J925" s="55" t="n">
        <x:v>330</x:v>
      </x:c>
      <x:c r="K925" s="55" t="n">
        <x:v>29704</x:v>
      </x:c>
      <x:c r="L925" s="55" t="n">
        <x:v>5390</x:v>
      </x:c>
      <x:c r="M925" s="55" t="n">
        <x:v>866</x:v>
      </x:c>
      <x:c r="N925" s="55" t="n">
        <x:v>2741</x:v>
      </x:c>
      <x:c r="O925" s="55" t="n">
        <x:v>1783</x:v>
      </x:c>
      <x:c r="P925" s="55" t="n">
        <x:v>855</x:v>
      </x:c>
      <x:c r="Q925" s="55" t="n">
        <x:v>2621</x:v>
      </x:c>
      <x:c r="R925" s="55" t="n">
        <x:v>1884</x:v>
      </x:c>
      <x:c r="S925" s="55" t="n">
        <x:v>2803</x:v>
      </x:c>
      <x:c r="T925" s="55" t="n">
        <x:v>1016</x:v>
      </x:c>
      <x:c r="U925" s="55" t="n">
        <x:v>1836</x:v>
      </x:c>
      <x:c r="V925" s="55" t="n">
        <x:v>10400</x:v>
      </x:c>
      <x:c r="W925" s="55" t="n">
        <x:v>7302</x:v>
      </x:c>
      <x:c r="X925" s="55" t="n">
        <x:v>3098</x:v>
      </x:c>
      <x:c r="Y925" s="55" t="n">
        <x:v>2385</x:v>
      </x:c>
      <x:c r="Z925" s="55" t="n">
        <x:v>3568</x:v>
      </x:c>
      <x:c r="AA925" s="55" t="n">
        <x:v>2989</x:v>
      </x:c>
      <x:c r="AB925" s="55" t="n">
        <x:v>1075</x:v>
      </x:c>
      <x:c r="AC925" s="55" t="n">
        <x:v>7908</x:v>
      </x:c>
      <x:c r="AD925" s="55" t="n">
        <x:v>3307</x:v>
      </x:c>
      <x:c r="AE925" s="55" t="n">
        <x:v>10496</x:v>
      </x:c>
      <x:c r="AF925" s="55" t="n">
        <x:v>10400</x:v>
      </x:c>
      <x:c r="AG925" s="55" t="n">
        <x:v>96</x:v>
      </x:c>
      <x:c r="AH925" s="55" t="n">
        <x:v>484</x:v>
      </x:c>
      <x:c r="AI925" s="55" t="n">
        <x:v>9916</x:v>
      </x:c>
      <x:c r="AJ925" s="55" t="n">
        <x:v>260</x:v>
      </x:c>
      <x:c r="AK925" s="55" t="n">
        <x:v>983</x:v>
      </x:c>
      <x:c r="AL925" s="55" t="n">
        <x:v>1670</x:v>
      </x:c>
      <x:c r="AM925" s="55" t="n">
        <x:v>4738</x:v>
      </x:c>
      <x:c r="AN925" s="55" t="n">
        <x:v>2716</x:v>
      </x:c>
      <x:c r="AO925" s="55" t="n">
        <x:v>33</x:v>
      </x:c>
      <x:c r="AP925" s="55" t="n">
        <x:v>2252</x:v>
      </x:c>
      <x:c r="AQ925" s="55" t="n">
        <x:v>936</x:v>
      </x:c>
    </x:row>
    <x:row r="926">
      <x:c r="A926" s="54" t="str">
        <x:v>T2_CONCORDANT_DOMAIN</x:v>
      </x:c>
      <x:c r="B926" s="54" t="n">
        <x:v>920</x:v>
      </x:c>
      <x:c r="C926" s="54" t="str">
        <x:v>NYC-V2-R01</x:v>
      </x:c>
      <x:c r="D926" s="54" t="str">
        <x:v>V2</x:v>
      </x:c>
      <x:c r="E926" s="54" t="str">
        <x:v>ADMITTED</x:v>
      </x:c>
      <x:c r="F926" s="55" t="n">
        <x:v>30564</x:v>
      </x:c>
      <x:c r="G926" s="55" t="n">
        <x:v>7643</x:v>
      </x:c>
      <x:c r="H926" s="55" t="n">
        <x:v>3553</x:v>
      </x:c>
      <x:c r="I926" s="55" t="n">
        <x:v>1422</x:v>
      </x:c>
      <x:c r="J926" s="55" t="n">
        <x:v>303</x:v>
      </x:c>
      <x:c r="K926" s="55" t="n">
        <x:v>29705</x:v>
      </x:c>
      <x:c r="L926" s="55" t="n">
        <x:v>5914</x:v>
      </x:c>
      <x:c r="M926" s="55" t="n">
        <x:v>1202</x:v>
      </x:c>
      <x:c r="N926" s="55" t="n">
        <x:v>2916</x:v>
      </x:c>
      <x:c r="O926" s="55" t="n">
        <x:v>1796</x:v>
      </x:c>
      <x:c r="P926" s="55" t="n">
        <x:v>1073</x:v>
      </x:c>
      <x:c r="Q926" s="55" t="n">
        <x:v>2553</x:v>
      </x:c>
      <x:c r="R926" s="55" t="n">
        <x:v>1988</x:v>
      </x:c>
      <x:c r="S926" s="55" t="n">
        <x:v>2377</x:v>
      </x:c>
      <x:c r="T926" s="55" t="n">
        <x:v>1253</x:v>
      </x:c>
      <x:c r="U926" s="55" t="n">
        <x:v>1970</x:v>
      </x:c>
      <x:c r="V926" s="55" t="n">
        <x:v>10517</x:v>
      </x:c>
      <x:c r="W926" s="55" t="n">
        <x:v>7293</x:v>
      </x:c>
      <x:c r="X926" s="55" t="n">
        <x:v>3224</x:v>
      </x:c>
      <x:c r="Y926" s="55" t="n">
        <x:v>2867</x:v>
      </x:c>
      <x:c r="Z926" s="55" t="n">
        <x:v>4151</x:v>
      </x:c>
      <x:c r="AA926" s="55" t="n">
        <x:v>2998</x:v>
      </x:c>
      <x:c r="AB926" s="55" t="n">
        <x:v>1042</x:v>
      </x:c>
      <x:c r="AC926" s="55" t="n">
        <x:v>7923</x:v>
      </x:c>
      <x:c r="AD926" s="55" t="n">
        <x:v>2321</x:v>
      </x:c>
      <x:c r="AE926" s="55" t="n">
        <x:v>10632</x:v>
      </x:c>
      <x:c r="AF926" s="55" t="n">
        <x:v>10517</x:v>
      </x:c>
      <x:c r="AG926" s="55" t="n">
        <x:v>115</x:v>
      </x:c>
      <x:c r="AH926" s="55" t="n">
        <x:v>505</x:v>
      </x:c>
      <x:c r="AI926" s="55" t="n">
        <x:v>10012</x:v>
      </x:c>
      <x:c r="AJ926" s="55" t="n">
        <x:v>310</x:v>
      </x:c>
      <x:c r="AK926" s="55" t="n">
        <x:v>943</x:v>
      </x:c>
      <x:c r="AL926" s="55" t="n">
        <x:v>1858</x:v>
      </x:c>
      <x:c r="AM926" s="55" t="n">
        <x:v>4573</x:v>
      </x:c>
      <x:c r="AN926" s="55" t="n">
        <x:v>2718</x:v>
      </x:c>
      <x:c r="AO926" s="55" t="n">
        <x:v>115</x:v>
      </x:c>
      <x:c r="AP926" s="55" t="n">
        <x:v>2581</x:v>
      </x:c>
      <x:c r="AQ926" s="55" t="n">
        <x:v>962</x:v>
      </x:c>
    </x:row>
    <x:row r="927">
      <x:c r="A927" s="54" t="str">
        <x:v>T2_CONCORDANT_DOMAIN</x:v>
      </x:c>
      <x:c r="B927" s="54" t="n">
        <x:v>921</x:v>
      </x:c>
      <x:c r="C927" s="54" t="str">
        <x:v>NYC-V2-R01</x:v>
      </x:c>
      <x:c r="D927" s="54" t="str">
        <x:v>V2</x:v>
      </x:c>
      <x:c r="E927" s="54" t="str">
        <x:v>ADMITTED</x:v>
      </x:c>
      <x:c r="F927" s="55" t="n">
        <x:v>32556</x:v>
      </x:c>
      <x:c r="G927" s="55" t="n">
        <x:v>9018</x:v>
      </x:c>
      <x:c r="H927" s="55" t="n">
        <x:v>3449</x:v>
      </x:c>
      <x:c r="I927" s="55" t="n">
        <x:v>1436</x:v>
      </x:c>
      <x:c r="J927" s="55" t="n">
        <x:v>375</x:v>
      </x:c>
      <x:c r="K927" s="55" t="n">
        <x:v>27690</x:v>
      </x:c>
      <x:c r="L927" s="55" t="n">
        <x:v>6637</x:v>
      </x:c>
      <x:c r="M927" s="55" t="n">
        <x:v>1277</x:v>
      </x:c>
      <x:c r="N927" s="55" t="n">
        <x:v>3063</x:v>
      </x:c>
      <x:c r="O927" s="55" t="n">
        <x:v>2297</x:v>
      </x:c>
      <x:c r="P927" s="55" t="n">
        <x:v>978</x:v>
      </x:c>
      <x:c r="Q927" s="55" t="n">
        <x:v>2541</x:v>
      </x:c>
      <x:c r="R927" s="55" t="n">
        <x:v>1968</x:v>
      </x:c>
      <x:c r="S927" s="55" t="n">
        <x:v>2606</x:v>
      </x:c>
      <x:c r="T927" s="55" t="n">
        <x:v>1542</x:v>
      </x:c>
      <x:c r="U927" s="55" t="n">
        <x:v>1989</x:v>
      </x:c>
      <x:c r="V927" s="55" t="n">
        <x:v>10784</x:v>
      </x:c>
      <x:c r="W927" s="55" t="n">
        <x:v>7619</x:v>
      </x:c>
      <x:c r="X927" s="55" t="n">
        <x:v>3165</x:v>
      </x:c>
      <x:c r="Y927" s="55" t="n">
        <x:v>2667</x:v>
      </x:c>
      <x:c r="Z927" s="55" t="n">
        <x:v>3330</x:v>
      </x:c>
      <x:c r="AA927" s="55" t="n">
        <x:v>3266</x:v>
      </x:c>
      <x:c r="AB927" s="55" t="n">
        <x:v>1206</x:v>
      </x:c>
      <x:c r="AC927" s="55" t="n">
        <x:v>7652</x:v>
      </x:c>
      <x:c r="AD927" s="55" t="n">
        <x:v>3062</x:v>
      </x:c>
      <x:c r="AE927" s="55" t="n">
        <x:v>10909</x:v>
      </x:c>
      <x:c r="AF927" s="55" t="n">
        <x:v>10784</x:v>
      </x:c>
      <x:c r="AG927" s="55" t="n">
        <x:v>125</x:v>
      </x:c>
      <x:c r="AH927" s="55" t="n">
        <x:v>443</x:v>
      </x:c>
      <x:c r="AI927" s="55" t="n">
        <x:v>10341</x:v>
      </x:c>
      <x:c r="AJ927" s="55" t="n">
        <x:v>366</x:v>
      </x:c>
      <x:c r="AK927" s="55" t="n">
        <x:v>1161</x:v>
      </x:c>
      <x:c r="AL927" s="55" t="n">
        <x:v>1578</x:v>
      </x:c>
      <x:c r="AM927" s="55" t="n">
        <x:v>4820</x:v>
      </x:c>
      <x:c r="AN927" s="55" t="n">
        <x:v>2857</x:v>
      </x:c>
      <x:c r="AO927" s="55" t="n">
        <x:v>2</x:v>
      </x:c>
      <x:c r="AP927" s="55" t="n">
        <x:v>2800</x:v>
      </x:c>
      <x:c r="AQ927" s="55" t="n">
        <x:v>994</x:v>
      </x:c>
    </x:row>
    <x:row r="928">
      <x:c r="A928" s="54" t="str">
        <x:v>T2_CONCORDANT_DOMAIN</x:v>
      </x:c>
      <x:c r="B928" s="54" t="n">
        <x:v>922</x:v>
      </x:c>
      <x:c r="C928" s="54" t="str">
        <x:v>NYC-V2-R01</x:v>
      </x:c>
      <x:c r="D928" s="54" t="str">
        <x:v>V2</x:v>
      </x:c>
      <x:c r="E928" s="54" t="str">
        <x:v>ADMITTED</x:v>
      </x:c>
      <x:c r="F928" s="55" t="n">
        <x:v>30258</x:v>
      </x:c>
      <x:c r="G928" s="55" t="n">
        <x:v>7797</x:v>
      </x:c>
      <x:c r="H928" s="55" t="n">
        <x:v>3053</x:v>
      </x:c>
      <x:c r="I928" s="55" t="n">
        <x:v>1110</x:v>
      </x:c>
      <x:c r="J928" s="55" t="n">
        <x:v>196</x:v>
      </x:c>
      <x:c r="K928" s="55" t="n">
        <x:v>29308</x:v>
      </x:c>
      <x:c r="L928" s="55" t="n">
        <x:v>5677</x:v>
      </x:c>
      <x:c r="M928" s="55" t="n">
        <x:v>1409</x:v>
      </x:c>
      <x:c r="N928" s="55" t="n">
        <x:v>2455</x:v>
      </x:c>
      <x:c r="O928" s="55" t="n">
        <x:v>1813</x:v>
      </x:c>
      <x:c r="P928" s="55" t="n">
        <x:v>1123</x:v>
      </x:c>
      <x:c r="Q928" s="55" t="n">
        <x:v>1997</x:v>
      </x:c>
      <x:c r="R928" s="55" t="n">
        <x:v>2290</x:v>
      </x:c>
      <x:c r="S928" s="55" t="n">
        <x:v>3220</x:v>
      </x:c>
      <x:c r="T928" s="55" t="n">
        <x:v>1702</x:v>
      </x:c>
      <x:c r="U928" s="55" t="n">
        <x:v>2550</x:v>
      </x:c>
      <x:c r="V928" s="55" t="n">
        <x:v>11060</x:v>
      </x:c>
      <x:c r="W928" s="55" t="n">
        <x:v>7892</x:v>
      </x:c>
      <x:c r="X928" s="55" t="n">
        <x:v>3168</x:v>
      </x:c>
      <x:c r="Y928" s="55" t="n">
        <x:v>2786</x:v>
      </x:c>
      <x:c r="Z928" s="55" t="n">
        <x:v>4052</x:v>
      </x:c>
      <x:c r="AA928" s="55" t="n">
        <x:v>2877</x:v>
      </x:c>
      <x:c r="AB928" s="55" t="n">
        <x:v>1217</x:v>
      </x:c>
      <x:c r="AC928" s="55" t="n">
        <x:v>8078</x:v>
      </x:c>
      <x:c r="AD928" s="55" t="n">
        <x:v>2918</x:v>
      </x:c>
      <x:c r="AE928" s="55" t="n">
        <x:v>11233</x:v>
      </x:c>
      <x:c r="AF928" s="55" t="n">
        <x:v>11060</x:v>
      </x:c>
      <x:c r="AG928" s="55" t="n">
        <x:v>173</x:v>
      </x:c>
      <x:c r="AH928" s="55" t="n">
        <x:v>633</x:v>
      </x:c>
      <x:c r="AI928" s="55" t="n">
        <x:v>10427</x:v>
      </x:c>
      <x:c r="AJ928" s="55" t="n">
        <x:v>420</x:v>
      </x:c>
      <x:c r="AK928" s="55" t="n">
        <x:v>1108</x:v>
      </x:c>
      <x:c r="AL928" s="55" t="n">
        <x:v>1751</x:v>
      </x:c>
      <x:c r="AM928" s="55" t="n">
        <x:v>5093</x:v>
      </x:c>
      <x:c r="AN928" s="55" t="n">
        <x:v>2630</x:v>
      </x:c>
      <x:c r="AO928" s="55" t="n">
        <x:v>58</x:v>
      </x:c>
      <x:c r="AP928" s="55" t="n">
        <x:v>2724</x:v>
      </x:c>
      <x:c r="AQ928" s="55" t="n">
        <x:v>939</x:v>
      </x:c>
    </x:row>
    <x:row r="929">
      <x:c r="A929" s="54" t="str">
        <x:v>T2_CONCORDANT_DOMAIN</x:v>
      </x:c>
      <x:c r="B929" s="54" t="n">
        <x:v>923</x:v>
      </x:c>
      <x:c r="C929" s="54" t="str">
        <x:v>NYC-V2-R01</x:v>
      </x:c>
      <x:c r="D929" s="54" t="str">
        <x:v>V2</x:v>
      </x:c>
      <x:c r="E929" s="54" t="str">
        <x:v>ADMITTED</x:v>
      </x:c>
      <x:c r="F929" s="55" t="n">
        <x:v>33632</x:v>
      </x:c>
      <x:c r="G929" s="55" t="n">
        <x:v>8822</x:v>
      </x:c>
      <x:c r="H929" s="55" t="n">
        <x:v>3264</x:v>
      </x:c>
      <x:c r="I929" s="55" t="n">
        <x:v>1190</x:v>
      </x:c>
      <x:c r="J929" s="55" t="n">
        <x:v>364</x:v>
      </x:c>
      <x:c r="K929" s="55" t="n">
        <x:v>31933</x:v>
      </x:c>
      <x:c r="L929" s="55" t="n">
        <x:v>6471</x:v>
      </x:c>
      <x:c r="M929" s="55" t="n">
        <x:v>2021</x:v>
      </x:c>
      <x:c r="N929" s="55" t="n">
        <x:v>2896</x:v>
      </x:c>
      <x:c r="O929" s="55" t="n">
        <x:v>1554</x:v>
      </x:c>
      <x:c r="P929" s="55" t="n">
        <x:v>482</x:v>
      </x:c>
      <x:c r="Q929" s="55" t="n">
        <x:v>2315</x:v>
      </x:c>
      <x:c r="R929" s="55" t="n">
        <x:v>1856</x:v>
      </x:c>
      <x:c r="S929" s="55" t="n">
        <x:v>3078</x:v>
      </x:c>
      <x:c r="T929" s="55" t="n">
        <x:v>1313</x:v>
      </x:c>
      <x:c r="U929" s="55" t="n">
        <x:v>1995</x:v>
      </x:c>
      <x:c r="V929" s="55" t="n">
        <x:v>10671</x:v>
      </x:c>
      <x:c r="W929" s="55" t="n">
        <x:v>7454</x:v>
      </x:c>
      <x:c r="X929" s="55" t="n">
        <x:v>3217</x:v>
      </x:c>
      <x:c r="Y929" s="55" t="n">
        <x:v>2995</x:v>
      </x:c>
      <x:c r="Z929" s="55" t="n">
        <x:v>4092</x:v>
      </x:c>
      <x:c r="AA929" s="55" t="n">
        <x:v>3113</x:v>
      </x:c>
      <x:c r="AB929" s="55" t="n">
        <x:v>985</x:v>
      </x:c>
      <x:c r="AC929" s="55" t="n">
        <x:v>8270</x:v>
      </x:c>
      <x:c r="AD929" s="55" t="n">
        <x:v>2816</x:v>
      </x:c>
      <x:c r="AE929" s="55" t="n">
        <x:v>10736</x:v>
      </x:c>
      <x:c r="AF929" s="55" t="n">
        <x:v>10671</x:v>
      </x:c>
      <x:c r="AG929" s="55" t="n">
        <x:v>65</x:v>
      </x:c>
      <x:c r="AH929" s="55" t="n">
        <x:v>476</x:v>
      </x:c>
      <x:c r="AI929" s="55" t="n">
        <x:v>10195</x:v>
      </x:c>
      <x:c r="AJ929" s="55" t="n">
        <x:v>413</x:v>
      </x:c>
      <x:c r="AK929" s="55" t="n">
        <x:v>1123</x:v>
      </x:c>
      <x:c r="AL929" s="55" t="n">
        <x:v>1720</x:v>
      </x:c>
      <x:c r="AM929" s="55" t="n">
        <x:v>4716</x:v>
      </x:c>
      <x:c r="AN929" s="55" t="n">
        <x:v>2699</x:v>
      </x:c>
      <x:c r="AO929" s="55" t="n">
        <x:v>0</x:v>
      </x:c>
      <x:c r="AP929" s="55" t="n">
        <x:v>2564</x:v>
      </x:c>
      <x:c r="AQ929" s="55" t="n">
        <x:v>969</x:v>
      </x:c>
    </x:row>
    <x:row r="930">
      <x:c r="A930" s="54" t="str">
        <x:v>T2_CONCORDANT_DOMAIN</x:v>
      </x:c>
      <x:c r="B930" s="54" t="n">
        <x:v>924</x:v>
      </x:c>
      <x:c r="C930" s="54" t="str">
        <x:v>NYC-V2-R01</x:v>
      </x:c>
      <x:c r="D930" s="54" t="str">
        <x:v>V2</x:v>
      </x:c>
      <x:c r="E930" s="54" t="str">
        <x:v>ADMITTED</x:v>
      </x:c>
      <x:c r="F930" s="55" t="n">
        <x:v>29174</x:v>
      </x:c>
      <x:c r="G930" s="55" t="n">
        <x:v>7204</x:v>
      </x:c>
      <x:c r="H930" s="55" t="n">
        <x:v>3410</x:v>
      </x:c>
      <x:c r="I930" s="55" t="n">
        <x:v>1276</x:v>
      </x:c>
      <x:c r="J930" s="55" t="n">
        <x:v>334</x:v>
      </x:c>
      <x:c r="K930" s="55" t="n">
        <x:v>27951</x:v>
      </x:c>
      <x:c r="L930" s="55" t="n">
        <x:v>5111</x:v>
      </x:c>
      <x:c r="M930" s="55" t="n">
        <x:v>789</x:v>
      </x:c>
      <x:c r="N930" s="55" t="n">
        <x:v>2371</x:v>
      </x:c>
      <x:c r="O930" s="55" t="n">
        <x:v>1951</x:v>
      </x:c>
      <x:c r="P930" s="55" t="n">
        <x:v>838</x:v>
      </x:c>
      <x:c r="Q930" s="55" t="n">
        <x:v>2543</x:v>
      </x:c>
      <x:c r="R930" s="55" t="n">
        <x:v>1653</x:v>
      </x:c>
      <x:c r="S930" s="55" t="n">
        <x:v>2644</x:v>
      </x:c>
      <x:c r="T930" s="55" t="n">
        <x:v>1356</x:v>
      </x:c>
      <x:c r="U930" s="55" t="n">
        <x:v>1891</x:v>
      </x:c>
      <x:c r="V930" s="55" t="n">
        <x:v>9815</x:v>
      </x:c>
      <x:c r="W930" s="55" t="n">
        <x:v>6932</x:v>
      </x:c>
      <x:c r="X930" s="55" t="n">
        <x:v>2883</x:v>
      </x:c>
      <x:c r="Y930" s="55" t="n">
        <x:v>2697</x:v>
      </x:c>
      <x:c r="Z930" s="55" t="n">
        <x:v>3708</x:v>
      </x:c>
      <x:c r="AA930" s="55" t="n">
        <x:v>2846</x:v>
      </x:c>
      <x:c r="AB930" s="55" t="n">
        <x:v>885</x:v>
      </x:c>
      <x:c r="AC930" s="55" t="n">
        <x:v>7263</x:v>
      </x:c>
      <x:c r="AD930" s="55" t="n">
        <x:v>2633</x:v>
      </x:c>
      <x:c r="AE930" s="55" t="n">
        <x:v>9847</x:v>
      </x:c>
      <x:c r="AF930" s="55" t="n">
        <x:v>9815</x:v>
      </x:c>
      <x:c r="AG930" s="55" t="n">
        <x:v>32</x:v>
      </x:c>
      <x:c r="AH930" s="55" t="n">
        <x:v>162</x:v>
      </x:c>
      <x:c r="AI930" s="55" t="n">
        <x:v>9653</x:v>
      </x:c>
      <x:c r="AJ930" s="55" t="n">
        <x:v>254</x:v>
      </x:c>
      <x:c r="AK930" s="55" t="n">
        <x:v>847</x:v>
      </x:c>
      <x:c r="AL930" s="55" t="n">
        <x:v>1642</x:v>
      </x:c>
      <x:c r="AM930" s="55" t="n">
        <x:v>4462</x:v>
      </x:c>
      <x:c r="AN930" s="55" t="n">
        <x:v>2610</x:v>
      </x:c>
      <x:c r="AO930" s="55" t="n">
        <x:v>0</x:v>
      </x:c>
      <x:c r="AP930" s="55" t="n">
        <x:v>2359</x:v>
      </x:c>
      <x:c r="AQ930" s="55" t="n">
        <x:v>948</x:v>
      </x:c>
    </x:row>
    <x:row r="931">
      <x:c r="A931" s="54" t="str">
        <x:v>T2_CONCORDANT_DOMAIN</x:v>
      </x:c>
      <x:c r="B931" s="54" t="n">
        <x:v>925</x:v>
      </x:c>
      <x:c r="C931" s="54" t="str">
        <x:v>NYC-V2-R01</x:v>
      </x:c>
      <x:c r="D931" s="54" t="str">
        <x:v>V2</x:v>
      </x:c>
      <x:c r="E931" s="54" t="str">
        <x:v>ADMITTED</x:v>
      </x:c>
      <x:c r="F931" s="55" t="n">
        <x:v>29314</x:v>
      </x:c>
      <x:c r="G931" s="55" t="n">
        <x:v>7238</x:v>
      </x:c>
      <x:c r="H931" s="55" t="n">
        <x:v>2946</x:v>
      </x:c>
      <x:c r="I931" s="55" t="n">
        <x:v>1100</x:v>
      </x:c>
      <x:c r="J931" s="55" t="n">
        <x:v>35</x:v>
      </x:c>
      <x:c r="K931" s="55" t="n">
        <x:v>29202</x:v>
      </x:c>
      <x:c r="L931" s="55" t="n">
        <x:v>4970</x:v>
      </x:c>
      <x:c r="M931" s="55" t="n">
        <x:v>1744</x:v>
      </x:c>
      <x:c r="N931" s="55" t="n">
        <x:v>1871</x:v>
      </x:c>
      <x:c r="O931" s="55" t="n">
        <x:v>1355</x:v>
      </x:c>
      <x:c r="P931" s="55" t="n">
        <x:v>719</x:v>
      </x:c>
      <x:c r="Q931" s="55" t="n">
        <x:v>2001</x:v>
      </x:c>
      <x:c r="R931" s="55" t="n">
        <x:v>1891</x:v>
      </x:c>
      <x:c r="S931" s="55" t="n">
        <x:v>2655</x:v>
      </x:c>
      <x:c r="T931" s="55" t="n">
        <x:v>834</x:v>
      </x:c>
      <x:c r="U931" s="55" t="n">
        <x:v>1705</x:v>
      </x:c>
      <x:c r="V931" s="55" t="n">
        <x:v>9920</x:v>
      </x:c>
      <x:c r="W931" s="55" t="n">
        <x:v>6884</x:v>
      </x:c>
      <x:c r="X931" s="55" t="n">
        <x:v>3036</x:v>
      </x:c>
      <x:c r="Y931" s="55" t="n">
        <x:v>2654</x:v>
      </x:c>
      <x:c r="Z931" s="55" t="n">
        <x:v>3441</x:v>
      </x:c>
      <x:c r="AA931" s="55" t="n">
        <x:v>2946</x:v>
      </x:c>
      <x:c r="AB931" s="55" t="n">
        <x:v>727</x:v>
      </x:c>
      <x:c r="AC931" s="55" t="n">
        <x:v>8039</x:v>
      </x:c>
      <x:c r="AD931" s="55" t="n">
        <x:v>2736</x:v>
      </x:c>
      <x:c r="AE931" s="55" t="n">
        <x:v>9988</x:v>
      </x:c>
      <x:c r="AF931" s="55" t="n">
        <x:v>9920</x:v>
      </x:c>
      <x:c r="AG931" s="55" t="n">
        <x:v>68</x:v>
      </x:c>
      <x:c r="AH931" s="55" t="n">
        <x:v>119</x:v>
      </x:c>
      <x:c r="AI931" s="55" t="n">
        <x:v>9801</x:v>
      </x:c>
      <x:c r="AJ931" s="55" t="n">
        <x:v>261</x:v>
      </x:c>
      <x:c r="AK931" s="55" t="n">
        <x:v>1023</x:v>
      </x:c>
      <x:c r="AL931" s="55" t="n">
        <x:v>1158</x:v>
      </x:c>
      <x:c r="AM931" s="55" t="n">
        <x:v>5200</x:v>
      </x:c>
      <x:c r="AN931" s="55" t="n">
        <x:v>2278</x:v>
      </x:c>
      <x:c r="AO931" s="55" t="n">
        <x:v>0</x:v>
      </x:c>
      <x:c r="AP931" s="55" t="n">
        <x:v>1939</x:v>
      </x:c>
      <x:c r="AQ931" s="55" t="n">
        <x:v>975</x:v>
      </x:c>
    </x:row>
    <x:row r="932">
      <x:c r="A932" s="54" t="str">
        <x:v>T2_CONCORDANT_DOMAIN</x:v>
      </x:c>
      <x:c r="B932" s="54" t="n">
        <x:v>926</x:v>
      </x:c>
      <x:c r="C932" s="54" t="str">
        <x:v>NYC-V2-R01</x:v>
      </x:c>
      <x:c r="D932" s="54" t="str">
        <x:v>V2</x:v>
      </x:c>
      <x:c r="E932" s="54" t="str">
        <x:v>ADMITTED</x:v>
      </x:c>
      <x:c r="F932" s="55" t="n">
        <x:v>30216</x:v>
      </x:c>
      <x:c r="G932" s="55" t="n">
        <x:v>6309</x:v>
      </x:c>
      <x:c r="H932" s="55" t="n">
        <x:v>3362</x:v>
      </x:c>
      <x:c r="I932" s="55" t="n">
        <x:v>1091</x:v>
      </x:c>
      <x:c r="J932" s="55" t="n">
        <x:v>224</x:v>
      </x:c>
      <x:c r="K932" s="55" t="n">
        <x:v>28277</x:v>
      </x:c>
      <x:c r="L932" s="55" t="n">
        <x:v>4642</x:v>
      </x:c>
      <x:c r="M932" s="55" t="n">
        <x:v>634</x:v>
      </x:c>
      <x:c r="N932" s="55" t="n">
        <x:v>2415</x:v>
      </x:c>
      <x:c r="O932" s="55" t="n">
        <x:v>1593</x:v>
      </x:c>
      <x:c r="P932" s="55" t="n">
        <x:v>1011</x:v>
      </x:c>
      <x:c r="Q932" s="55" t="n">
        <x:v>2361</x:v>
      </x:c>
      <x:c r="R932" s="55" t="n">
        <x:v>1831</x:v>
      </x:c>
      <x:c r="S932" s="55" t="n">
        <x:v>2292</x:v>
      </x:c>
      <x:c r="T932" s="55" t="n">
        <x:v>1172</x:v>
      </x:c>
      <x:c r="U932" s="55" t="n">
        <x:v>1728</x:v>
      </x:c>
      <x:c r="V932" s="55" t="n">
        <x:v>10484</x:v>
      </x:c>
      <x:c r="W932" s="55" t="n">
        <x:v>7325</x:v>
      </x:c>
      <x:c r="X932" s="55" t="n">
        <x:v>3159</x:v>
      </x:c>
      <x:c r="Y932" s="55" t="n">
        <x:v>2827</x:v>
      </x:c>
      <x:c r="Z932" s="55" t="n">
        <x:v>4110</x:v>
      </x:c>
      <x:c r="AA932" s="55" t="n">
        <x:v>3016</x:v>
      </x:c>
      <x:c r="AB932" s="55" t="n">
        <x:v>1246</x:v>
      </x:c>
      <x:c r="AC932" s="55" t="n">
        <x:v>7843</x:v>
      </x:c>
      <x:c r="AD932" s="55" t="n">
        <x:v>2467</x:v>
      </x:c>
      <x:c r="AE932" s="55" t="n">
        <x:v>10533</x:v>
      </x:c>
      <x:c r="AF932" s="55" t="n">
        <x:v>10484</x:v>
      </x:c>
      <x:c r="AG932" s="55" t="n">
        <x:v>49</x:v>
      </x:c>
      <x:c r="AH932" s="55" t="n">
        <x:v>533</x:v>
      </x:c>
      <x:c r="AI932" s="55" t="n">
        <x:v>9951</x:v>
      </x:c>
      <x:c r="AJ932" s="55" t="n">
        <x:v>187</x:v>
      </x:c>
      <x:c r="AK932" s="55" t="n">
        <x:v>1230</x:v>
      </x:c>
      <x:c r="AL932" s="55" t="n">
        <x:v>1112</x:v>
      </x:c>
      <x:c r="AM932" s="55" t="n">
        <x:v>4959</x:v>
      </x:c>
      <x:c r="AN932" s="55" t="n">
        <x:v>2984</x:v>
      </x:c>
      <x:c r="AO932" s="55" t="n">
        <x:v>12</x:v>
      </x:c>
      <x:c r="AP932" s="55" t="n">
        <x:v>2313</x:v>
      </x:c>
      <x:c r="AQ932" s="55" t="n">
        <x:v>939</x:v>
      </x:c>
    </x:row>
    <x:row r="933">
      <x:c r="A933" s="54" t="str">
        <x:v>T2_CONCORDANT_DOMAIN</x:v>
      </x:c>
      <x:c r="B933" s="54" t="n">
        <x:v>927</x:v>
      </x:c>
      <x:c r="C933" s="54" t="str">
        <x:v>NYC-V2-R01</x:v>
      </x:c>
      <x:c r="D933" s="54" t="str">
        <x:v>V2</x:v>
      </x:c>
      <x:c r="E933" s="54" t="str">
        <x:v>ADMITTED</x:v>
      </x:c>
      <x:c r="F933" s="55" t="n">
        <x:v>29375</x:v>
      </x:c>
      <x:c r="G933" s="55" t="n">
        <x:v>7184</x:v>
      </x:c>
      <x:c r="H933" s="55" t="n">
        <x:v>3248</x:v>
      </x:c>
      <x:c r="I933" s="55" t="n">
        <x:v>1417</x:v>
      </x:c>
      <x:c r="J933" s="55" t="n">
        <x:v>194</x:v>
      </x:c>
      <x:c r="K933" s="55" t="n">
        <x:v>29375</x:v>
      </x:c>
      <x:c r="L933" s="55" t="n">
        <x:v>4395</x:v>
      </x:c>
      <x:c r="M933" s="55" t="n">
        <x:v>735</x:v>
      </x:c>
      <x:c r="N933" s="55" t="n">
        <x:v>2304</x:v>
      </x:c>
      <x:c r="O933" s="55" t="n">
        <x:v>1356</x:v>
      </x:c>
      <x:c r="P933" s="55" t="n">
        <x:v>577</x:v>
      </x:c>
      <x:c r="Q933" s="55" t="n">
        <x:v>986</x:v>
      </x:c>
      <x:c r="R933" s="55" t="n">
        <x:v>1649</x:v>
      </x:c>
      <x:c r="S933" s="55" t="n">
        <x:v>2291</x:v>
      </x:c>
      <x:c r="T933" s="55" t="n">
        <x:v>867</x:v>
      </x:c>
      <x:c r="U933" s="55" t="n">
        <x:v>1809</x:v>
      </x:c>
      <x:c r="V933" s="55" t="n">
        <x:v>10261</x:v>
      </x:c>
      <x:c r="W933" s="55" t="n">
        <x:v>7202</x:v>
      </x:c>
      <x:c r="X933" s="55" t="n">
        <x:v>3059</x:v>
      </x:c>
      <x:c r="Y933" s="55" t="n">
        <x:v>2622</x:v>
      </x:c>
      <x:c r="Z933" s="55" t="n">
        <x:v>3728</x:v>
      </x:c>
      <x:c r="AA933" s="55" t="n">
        <x:v>3008</x:v>
      </x:c>
      <x:c r="AB933" s="55" t="n">
        <x:v>998</x:v>
      </x:c>
      <x:c r="AC933" s="55" t="n">
        <x:v>7900</x:v>
      </x:c>
      <x:c r="AD933" s="55" t="n">
        <x:v>3373</x:v>
      </x:c>
      <x:c r="AE933" s="55" t="n">
        <x:v>10318</x:v>
      </x:c>
      <x:c r="AF933" s="55" t="n">
        <x:v>10261</x:v>
      </x:c>
      <x:c r="AG933" s="55" t="n">
        <x:v>57</x:v>
      </x:c>
      <x:c r="AH933" s="55" t="n">
        <x:v>356</x:v>
      </x:c>
      <x:c r="AI933" s="55" t="n">
        <x:v>9905</x:v>
      </x:c>
      <x:c r="AJ933" s="55" t="n">
        <x:v>385</x:v>
      </x:c>
      <x:c r="AK933" s="55" t="n">
        <x:v>636</x:v>
      </x:c>
      <x:c r="AL933" s="55" t="n">
        <x:v>1492</x:v>
      </x:c>
      <x:c r="AM933" s="55" t="n">
        <x:v>4846</x:v>
      </x:c>
      <x:c r="AN933" s="55" t="n">
        <x:v>2901</x:v>
      </x:c>
      <x:c r="AO933" s="55" t="n">
        <x:v>1</x:v>
      </x:c>
      <x:c r="AP933" s="55" t="n">
        <x:v>2234</x:v>
      </x:c>
      <x:c r="AQ933" s="55" t="n">
        <x:v>967</x:v>
      </x:c>
    </x:row>
    <x:row r="934">
      <x:c r="A934" s="54" t="str">
        <x:v>T2_CONCORDANT_DOMAIN</x:v>
      </x:c>
      <x:c r="B934" s="54" t="n">
        <x:v>928</x:v>
      </x:c>
      <x:c r="C934" s="54" t="str">
        <x:v>NYC-V2-R01</x:v>
      </x:c>
      <x:c r="D934" s="54" t="str">
        <x:v>V2</x:v>
      </x:c>
      <x:c r="E934" s="54" t="str">
        <x:v>ADMITTED</x:v>
      </x:c>
      <x:c r="F934" s="55" t="n">
        <x:v>33443</x:v>
      </x:c>
      <x:c r="G934" s="55" t="n">
        <x:v>7186</x:v>
      </x:c>
      <x:c r="H934" s="55" t="n">
        <x:v>2963</x:v>
      </x:c>
      <x:c r="I934" s="55" t="n">
        <x:v>1324</x:v>
      </x:c>
      <x:c r="J934" s="55" t="n">
        <x:v>269</x:v>
      </x:c>
      <x:c r="K934" s="55" t="n">
        <x:v>33443</x:v>
      </x:c>
      <x:c r="L934" s="55" t="n">
        <x:v>6505</x:v>
      </x:c>
      <x:c r="M934" s="55" t="n">
        <x:v>2090</x:v>
      </x:c>
      <x:c r="N934" s="55" t="n">
        <x:v>2698</x:v>
      </x:c>
      <x:c r="O934" s="55" t="n">
        <x:v>1717</x:v>
      </x:c>
      <x:c r="P934" s="55" t="n">
        <x:v>775</x:v>
      </x:c>
      <x:c r="Q934" s="55" t="n">
        <x:v>2594</x:v>
      </x:c>
      <x:c r="R934" s="55" t="n">
        <x:v>1833</x:v>
      </x:c>
      <x:c r="S934" s="55" t="n">
        <x:v>3504</x:v>
      </x:c>
      <x:c r="T934" s="55" t="n">
        <x:v>1278</x:v>
      </x:c>
      <x:c r="U934" s="55" t="n">
        <x:v>2400</x:v>
      </x:c>
      <x:c r="V934" s="55" t="n">
        <x:v>10807</x:v>
      </x:c>
      <x:c r="W934" s="55" t="n">
        <x:v>7976</x:v>
      </x:c>
      <x:c r="X934" s="55" t="n">
        <x:v>2831</x:v>
      </x:c>
      <x:c r="Y934" s="55" t="n">
        <x:v>2514</x:v>
      </x:c>
      <x:c r="Z934" s="55" t="n">
        <x:v>3730</x:v>
      </x:c>
      <x:c r="AA934" s="55" t="n">
        <x:v>2869</x:v>
      </x:c>
      <x:c r="AB934" s="55" t="n">
        <x:v>1092</x:v>
      </x:c>
      <x:c r="AC934" s="55" t="n">
        <x:v>8211</x:v>
      </x:c>
      <x:c r="AD934" s="55" t="n">
        <x:v>2878</x:v>
      </x:c>
      <x:c r="AE934" s="55" t="n">
        <x:v>10905</x:v>
      </x:c>
      <x:c r="AF934" s="55" t="n">
        <x:v>10807</x:v>
      </x:c>
      <x:c r="AG934" s="55" t="n">
        <x:v>98</x:v>
      </x:c>
      <x:c r="AH934" s="55" t="n">
        <x:v>635</x:v>
      </x:c>
      <x:c r="AI934" s="55" t="n">
        <x:v>10172</x:v>
      </x:c>
      <x:c r="AJ934" s="55" t="n">
        <x:v>493</x:v>
      </x:c>
      <x:c r="AK934" s="55" t="n">
        <x:v>1385</x:v>
      </x:c>
      <x:c r="AL934" s="55" t="n">
        <x:v>1575</x:v>
      </x:c>
      <x:c r="AM934" s="55" t="n">
        <x:v>4711</x:v>
      </x:c>
      <x:c r="AN934" s="55" t="n">
        <x:v>2583</x:v>
      </x:c>
      <x:c r="AO934" s="55" t="n">
        <x:v>60</x:v>
      </x:c>
      <x:c r="AP934" s="55" t="n">
        <x:v>2562</x:v>
      </x:c>
      <x:c r="AQ934" s="55" t="n">
        <x:v>937</x:v>
      </x:c>
    </x:row>
    <x:row r="935">
      <x:c r="A935" s="54" t="str">
        <x:v>T2_CONCORDANT_DOMAIN</x:v>
      </x:c>
      <x:c r="B935" s="54" t="n">
        <x:v>929</x:v>
      </x:c>
      <x:c r="C935" s="54" t="str">
        <x:v>NYC-V2-R01</x:v>
      </x:c>
      <x:c r="D935" s="54" t="str">
        <x:v>V2</x:v>
      </x:c>
      <x:c r="E935" s="54" t="str">
        <x:v>ADMITTED</x:v>
      </x:c>
      <x:c r="F935" s="55" t="n">
        <x:v>32826</x:v>
      </x:c>
      <x:c r="G935" s="55" t="n">
        <x:v>8987</x:v>
      </x:c>
      <x:c r="H935" s="55" t="n">
        <x:v>3311</x:v>
      </x:c>
      <x:c r="I935" s="55" t="n">
        <x:v>1531</x:v>
      </x:c>
      <x:c r="J935" s="55" t="n">
        <x:v>194</x:v>
      </x:c>
      <x:c r="K935" s="55" t="n">
        <x:v>32826</x:v>
      </x:c>
      <x:c r="L935" s="55" t="n">
        <x:v>7349</x:v>
      </x:c>
      <x:c r="M935" s="55" t="n">
        <x:v>1882</x:v>
      </x:c>
      <x:c r="N935" s="55" t="n">
        <x:v>3352</x:v>
      </x:c>
      <x:c r="O935" s="55" t="n">
        <x:v>2115</x:v>
      </x:c>
      <x:c r="P935" s="55" t="n">
        <x:v>824</x:v>
      </x:c>
      <x:c r="Q935" s="55" t="n">
        <x:v>2828</x:v>
      </x:c>
      <x:c r="R935" s="55" t="n">
        <x:v>2099</x:v>
      </x:c>
      <x:c r="S935" s="55" t="n">
        <x:v>2953</x:v>
      </x:c>
      <x:c r="T935" s="55" t="n">
        <x:v>1237</x:v>
      </x:c>
      <x:c r="U935" s="55" t="n">
        <x:v>2312</x:v>
      </x:c>
      <x:c r="V935" s="55" t="n">
        <x:v>10601</x:v>
      </x:c>
      <x:c r="W935" s="55" t="n">
        <x:v>7761</x:v>
      </x:c>
      <x:c r="X935" s="55" t="n">
        <x:v>2840</x:v>
      </x:c>
      <x:c r="Y935" s="55" t="n">
        <x:v>2464</x:v>
      </x:c>
      <x:c r="Z935" s="55" t="n">
        <x:v>3791</x:v>
      </x:c>
      <x:c r="AA935" s="55" t="n">
        <x:v>3311</x:v>
      </x:c>
      <x:c r="AB935" s="55" t="n">
        <x:v>1267</x:v>
      </x:c>
      <x:c r="AC935" s="55" t="n">
        <x:v>8155</x:v>
      </x:c>
      <x:c r="AD935" s="55" t="n">
        <x:v>3089</x:v>
      </x:c>
      <x:c r="AE935" s="55" t="n">
        <x:v>10663</x:v>
      </x:c>
      <x:c r="AF935" s="55" t="n">
        <x:v>10601</x:v>
      </x:c>
      <x:c r="AG935" s="55" t="n">
        <x:v>62</x:v>
      </x:c>
      <x:c r="AH935" s="55" t="n">
        <x:v>449</x:v>
      </x:c>
      <x:c r="AI935" s="55" t="n">
        <x:v>10152</x:v>
      </x:c>
      <x:c r="AJ935" s="55" t="n">
        <x:v>383</x:v>
      </x:c>
      <x:c r="AK935" s="55" t="n">
        <x:v>1113</x:v>
      </x:c>
      <x:c r="AL935" s="55" t="n">
        <x:v>1260</x:v>
      </x:c>
      <x:c r="AM935" s="55" t="n">
        <x:v>5204</x:v>
      </x:c>
      <x:c r="AN935" s="55" t="n">
        <x:v>2641</x:v>
      </x:c>
      <x:c r="AO935" s="55" t="n">
        <x:v>0</x:v>
      </x:c>
      <x:c r="AP935" s="55" t="n">
        <x:v>2330</x:v>
      </x:c>
      <x:c r="AQ935" s="55" t="n">
        <x:v>986</x:v>
      </x:c>
    </x:row>
    <x:row r="936">
      <x:c r="A936" s="54" t="str">
        <x:v>T2_CONCORDANT_DOMAIN</x:v>
      </x:c>
      <x:c r="B936" s="54" t="n">
        <x:v>930</x:v>
      </x:c>
      <x:c r="C936" s="54" t="str">
        <x:v>NYC-V2-R01</x:v>
      </x:c>
      <x:c r="D936" s="54" t="str">
        <x:v>V2</x:v>
      </x:c>
      <x:c r="E936" s="54" t="str">
        <x:v>ADMITTED</x:v>
      </x:c>
      <x:c r="F936" s="55" t="n">
        <x:v>33807</x:v>
      </x:c>
      <x:c r="G936" s="55" t="n">
        <x:v>7867</x:v>
      </x:c>
      <x:c r="H936" s="55" t="n">
        <x:v>3789</x:v>
      </x:c>
      <x:c r="I936" s="55" t="n">
        <x:v>1727</x:v>
      </x:c>
      <x:c r="J936" s="55" t="n">
        <x:v>322</x:v>
      </x:c>
      <x:c r="K936" s="55" t="n">
        <x:v>33807</x:v>
      </x:c>
      <x:c r="L936" s="55" t="n">
        <x:v>6594</x:v>
      </x:c>
      <x:c r="M936" s="55" t="n">
        <x:v>1925</x:v>
      </x:c>
      <x:c r="N936" s="55" t="n">
        <x:v>2878</x:v>
      </x:c>
      <x:c r="O936" s="55" t="n">
        <x:v>1791</x:v>
      </x:c>
      <x:c r="P936" s="55" t="n">
        <x:v>836</x:v>
      </x:c>
      <x:c r="Q936" s="55" t="n">
        <x:v>1635</x:v>
      </x:c>
      <x:c r="R936" s="55" t="n">
        <x:v>2030</x:v>
      </x:c>
      <x:c r="S936" s="55" t="n">
        <x:v>3146</x:v>
      </x:c>
      <x:c r="T936" s="55" t="n">
        <x:v>1689</x:v>
      </x:c>
      <x:c r="U936" s="55" t="n">
        <x:v>1701</x:v>
      </x:c>
      <x:c r="V936" s="55" t="n">
        <x:v>10945</x:v>
      </x:c>
      <x:c r="W936" s="55" t="n">
        <x:v>7647</x:v>
      </x:c>
      <x:c r="X936" s="55" t="n">
        <x:v>3298</x:v>
      </x:c>
      <x:c r="Y936" s="55" t="n">
        <x:v>2771</x:v>
      </x:c>
      <x:c r="Z936" s="55" t="n">
        <x:v>3767</x:v>
      </x:c>
      <x:c r="AA936" s="55" t="n">
        <x:v>3789</x:v>
      </x:c>
      <x:c r="AB936" s="55" t="n">
        <x:v>1249</x:v>
      </x:c>
      <x:c r="AC936" s="55" t="n">
        <x:v>8086</x:v>
      </x:c>
      <x:c r="AD936" s="55" t="n">
        <x:v>3017</x:v>
      </x:c>
      <x:c r="AE936" s="55" t="n">
        <x:v>11107</x:v>
      </x:c>
      <x:c r="AF936" s="55" t="n">
        <x:v>10945</x:v>
      </x:c>
      <x:c r="AG936" s="55" t="n">
        <x:v>162</x:v>
      </x:c>
      <x:c r="AH936" s="55" t="n">
        <x:v>561</x:v>
      </x:c>
      <x:c r="AI936" s="55" t="n">
        <x:v>10384</x:v>
      </x:c>
      <x:c r="AJ936" s="55" t="n">
        <x:v>503</x:v>
      </x:c>
      <x:c r="AK936" s="55" t="n">
        <x:v>1066</x:v>
      </x:c>
      <x:c r="AL936" s="55" t="n">
        <x:v>1770</x:v>
      </x:c>
      <x:c r="AM936" s="55" t="n">
        <x:v>5018</x:v>
      </x:c>
      <x:c r="AN936" s="55" t="n">
        <x:v>2533</x:v>
      </x:c>
      <x:c r="AO936" s="55" t="n">
        <x:v>55</x:v>
      </x:c>
      <x:c r="AP936" s="55" t="n">
        <x:v>2987</x:v>
      </x:c>
      <x:c r="AQ936" s="55" t="n">
        <x:v>994</x:v>
      </x:c>
    </x:row>
    <x:row r="937">
      <x:c r="A937" s="54" t="str">
        <x:v>T2_CONCORDANT_DOMAIN</x:v>
      </x:c>
      <x:c r="B937" s="54" t="n">
        <x:v>931</x:v>
      </x:c>
      <x:c r="C937" s="54" t="str">
        <x:v>NYC-V2-R01</x:v>
      </x:c>
      <x:c r="D937" s="54" t="str">
        <x:v>V2</x:v>
      </x:c>
      <x:c r="E937" s="54" t="str">
        <x:v>ADMITTED</x:v>
      </x:c>
      <x:c r="F937" s="55" t="n">
        <x:v>30011</x:v>
      </x:c>
      <x:c r="G937" s="55" t="n">
        <x:v>7012</x:v>
      </x:c>
      <x:c r="H937" s="55" t="n">
        <x:v>3350</x:v>
      </x:c>
      <x:c r="I937" s="55" t="n">
        <x:v>1217</x:v>
      </x:c>
      <x:c r="J937" s="55" t="n">
        <x:v>186</x:v>
      </x:c>
      <x:c r="K937" s="55" t="n">
        <x:v>28029</x:v>
      </x:c>
      <x:c r="L937" s="55" t="n">
        <x:v>5195</x:v>
      </x:c>
      <x:c r="M937" s="55" t="n">
        <x:v>1057</x:v>
      </x:c>
      <x:c r="N937" s="55" t="n">
        <x:v>2747</x:v>
      </x:c>
      <x:c r="O937" s="55" t="n">
        <x:v>1391</x:v>
      </x:c>
      <x:c r="P937" s="55" t="n">
        <x:v>914</x:v>
      </x:c>
      <x:c r="Q937" s="55" t="n">
        <x:v>1448</x:v>
      </x:c>
      <x:c r="R937" s="55" t="n">
        <x:v>2034</x:v>
      </x:c>
      <x:c r="S937" s="55" t="n">
        <x:v>2818</x:v>
      </x:c>
      <x:c r="T937" s="55" t="n">
        <x:v>998</x:v>
      </x:c>
      <x:c r="U937" s="55" t="n">
        <x:v>1996</x:v>
      </x:c>
      <x:c r="V937" s="55" t="n">
        <x:v>10479</x:v>
      </x:c>
      <x:c r="W937" s="55" t="n">
        <x:v>7734</x:v>
      </x:c>
      <x:c r="X937" s="55" t="n">
        <x:v>2745</x:v>
      </x:c>
      <x:c r="Y937" s="55" t="n">
        <x:v>2316</x:v>
      </x:c>
      <x:c r="Z937" s="55" t="n">
        <x:v>3570</x:v>
      </x:c>
      <x:c r="AA937" s="55" t="n">
        <x:v>2896</x:v>
      </x:c>
      <x:c r="AB937" s="55" t="n">
        <x:v>1273</x:v>
      </x:c>
      <x:c r="AC937" s="55" t="n">
        <x:v>7569</x:v>
      </x:c>
      <x:c r="AD937" s="55" t="n">
        <x:v>2915</x:v>
      </x:c>
      <x:c r="AE937" s="55" t="n">
        <x:v>10501</x:v>
      </x:c>
      <x:c r="AF937" s="55" t="n">
        <x:v>10479</x:v>
      </x:c>
      <x:c r="AG937" s="55" t="n">
        <x:v>22</x:v>
      </x:c>
      <x:c r="AH937" s="55" t="n">
        <x:v>230</x:v>
      </x:c>
      <x:c r="AI937" s="55" t="n">
        <x:v>10249</x:v>
      </x:c>
      <x:c r="AJ937" s="55" t="n">
        <x:v>116</x:v>
      </x:c>
      <x:c r="AK937" s="55" t="n">
        <x:v>1089</x:v>
      </x:c>
      <x:c r="AL937" s="55" t="n">
        <x:v>1552</x:v>
      </x:c>
      <x:c r="AM937" s="55" t="n">
        <x:v>5044</x:v>
      </x:c>
      <x:c r="AN937" s="55" t="n">
        <x:v>2678</x:v>
      </x:c>
      <x:c r="AO937" s="55" t="n">
        <x:v>0</x:v>
      </x:c>
      <x:c r="AP937" s="55" t="n">
        <x:v>2295</x:v>
      </x:c>
      <x:c r="AQ937" s="55" t="n">
        <x:v>935</x:v>
      </x:c>
    </x:row>
    <x:row r="938">
      <x:c r="A938" s="54" t="str">
        <x:v>T2_CONCORDANT_DOMAIN</x:v>
      </x:c>
      <x:c r="B938" s="54" t="n">
        <x:v>932</x:v>
      </x:c>
      <x:c r="C938" s="54" t="str">
        <x:v>NYC-V2-R01</x:v>
      </x:c>
      <x:c r="D938" s="54" t="str">
        <x:v>V2</x:v>
      </x:c>
      <x:c r="E938" s="54" t="str">
        <x:v>ADMITTED</x:v>
      </x:c>
      <x:c r="F938" s="55" t="n">
        <x:v>29093</x:v>
      </x:c>
      <x:c r="G938" s="55" t="n">
        <x:v>6826</x:v>
      </x:c>
      <x:c r="H938" s="55" t="n">
        <x:v>2856</x:v>
      </x:c>
      <x:c r="I938" s="55" t="n">
        <x:v>746</x:v>
      </x:c>
      <x:c r="J938" s="55" t="n">
        <x:v>94</x:v>
      </x:c>
      <x:c r="K938" s="55" t="n">
        <x:v>28324</x:v>
      </x:c>
      <x:c r="L938" s="55" t="n">
        <x:v>4340</x:v>
      </x:c>
      <x:c r="M938" s="55" t="n">
        <x:v>323</x:v>
      </x:c>
      <x:c r="N938" s="55" t="n">
        <x:v>2465</x:v>
      </x:c>
      <x:c r="O938" s="55" t="n">
        <x:v>1552</x:v>
      </x:c>
      <x:c r="P938" s="55" t="n">
        <x:v>770</x:v>
      </x:c>
      <x:c r="Q938" s="55" t="n">
        <x:v>1689</x:v>
      </x:c>
      <x:c r="R938" s="55" t="n">
        <x:v>1681</x:v>
      </x:c>
      <x:c r="S938" s="55" t="n">
        <x:v>2740</x:v>
      </x:c>
      <x:c r="T938" s="55" t="n">
        <x:v>1345</x:v>
      </x:c>
      <x:c r="U938" s="55" t="n">
        <x:v>2008</x:v>
      </x:c>
      <x:c r="V938" s="55" t="n">
        <x:v>9886</x:v>
      </x:c>
      <x:c r="W938" s="55" t="n">
        <x:v>6701</x:v>
      </x:c>
      <x:c r="X938" s="55" t="n">
        <x:v>3185</x:v>
      </x:c>
      <x:c r="Y938" s="55" t="n">
        <x:v>2533</x:v>
      </x:c>
      <x:c r="Z938" s="55" t="n">
        <x:v>3841</x:v>
      </x:c>
      <x:c r="AA938" s="55" t="n">
        <x:v>2797</x:v>
      </x:c>
      <x:c r="AB938" s="55" t="n">
        <x:v>1195</x:v>
      </x:c>
      <x:c r="AC938" s="55" t="n">
        <x:v>7965</x:v>
      </x:c>
      <x:c r="AD938" s="55" t="n">
        <x:v>3046</x:v>
      </x:c>
      <x:c r="AE938" s="55" t="n">
        <x:v>10046</x:v>
      </x:c>
      <x:c r="AF938" s="55" t="n">
        <x:v>9886</x:v>
      </x:c>
      <x:c r="AG938" s="55" t="n">
        <x:v>160</x:v>
      </x:c>
      <x:c r="AH938" s="55" t="n">
        <x:v>432</x:v>
      </x:c>
      <x:c r="AI938" s="55" t="n">
        <x:v>9454</x:v>
      </x:c>
      <x:c r="AJ938" s="55" t="n">
        <x:v>468</x:v>
      </x:c>
      <x:c r="AK938" s="55" t="n">
        <x:v>862</x:v>
      </x:c>
      <x:c r="AL938" s="55" t="n">
        <x:v>2143</x:v>
      </x:c>
      <x:c r="AM938" s="55" t="n">
        <x:v>4316</x:v>
      </x:c>
      <x:c r="AN938" s="55" t="n">
        <x:v>2097</x:v>
      </x:c>
      <x:c r="AO938" s="55" t="n">
        <x:v>0</x:v>
      </x:c>
      <x:c r="AP938" s="55" t="n">
        <x:v>1945</x:v>
      </x:c>
      <x:c r="AQ938" s="55" t="n">
        <x:v>966</x:v>
      </x:c>
    </x:row>
    <x:row r="939">
      <x:c r="A939" s="54" t="str">
        <x:v>T2_CONCORDANT_DOMAIN</x:v>
      </x:c>
      <x:c r="B939" s="54" t="n">
        <x:v>933</x:v>
      </x:c>
      <x:c r="C939" s="54" t="str">
        <x:v>NYC-V2-R01</x:v>
      </x:c>
      <x:c r="D939" s="54" t="str">
        <x:v>V2</x:v>
      </x:c>
      <x:c r="E939" s="54" t="str">
        <x:v>ADMITTED</x:v>
      </x:c>
      <x:c r="F939" s="55" t="n">
        <x:v>30099</x:v>
      </x:c>
      <x:c r="G939" s="55" t="n">
        <x:v>6795</x:v>
      </x:c>
      <x:c r="H939" s="55" t="n">
        <x:v>3224</x:v>
      </x:c>
      <x:c r="I939" s="55" t="n">
        <x:v>1004</x:v>
      </x:c>
      <x:c r="J939" s="55" t="n">
        <x:v>92</x:v>
      </x:c>
      <x:c r="K939" s="55" t="n">
        <x:v>29526</x:v>
      </x:c>
      <x:c r="L939" s="55" t="n">
        <x:v>5345</x:v>
      </x:c>
      <x:c r="M939" s="55" t="n">
        <x:v>513</x:v>
      </x:c>
      <x:c r="N939" s="55" t="n">
        <x:v>2800</x:v>
      </x:c>
      <x:c r="O939" s="55" t="n">
        <x:v>2032</x:v>
      </x:c>
      <x:c r="P939" s="55" t="n">
        <x:v>794</x:v>
      </x:c>
      <x:c r="Q939" s="55" t="n">
        <x:v>1847</x:v>
      </x:c>
      <x:c r="R939" s="55" t="n">
        <x:v>1902</x:v>
      </x:c>
      <x:c r="S939" s="55" t="n">
        <x:v>2589</x:v>
      </x:c>
      <x:c r="T939" s="55" t="n">
        <x:v>1276</x:v>
      </x:c>
      <x:c r="U939" s="55" t="n">
        <x:v>1937</x:v>
      </x:c>
      <x:c r="V939" s="55" t="n">
        <x:v>10099</x:v>
      </x:c>
      <x:c r="W939" s="55" t="n">
        <x:v>7006</x:v>
      </x:c>
      <x:c r="X939" s="55" t="n">
        <x:v>3093</x:v>
      </x:c>
      <x:c r="Y939" s="55" t="n">
        <x:v>2696</x:v>
      </x:c>
      <x:c r="Z939" s="55" t="n">
        <x:v>3318</x:v>
      </x:c>
      <x:c r="AA939" s="55" t="n">
        <x:v>3036</x:v>
      </x:c>
      <x:c r="AB939" s="55" t="n">
        <x:v>1010</x:v>
      </x:c>
      <x:c r="AC939" s="55" t="n">
        <x:v>7552</x:v>
      </x:c>
      <x:c r="AD939" s="55" t="n">
        <x:v>2600</x:v>
      </x:c>
      <x:c r="AE939" s="55" t="n">
        <x:v>10152</x:v>
      </x:c>
      <x:c r="AF939" s="55" t="n">
        <x:v>10099</x:v>
      </x:c>
      <x:c r="AG939" s="55" t="n">
        <x:v>53</x:v>
      </x:c>
      <x:c r="AH939" s="55" t="n">
        <x:v>344</x:v>
      </x:c>
      <x:c r="AI939" s="55" t="n">
        <x:v>9755</x:v>
      </x:c>
      <x:c r="AJ939" s="55" t="n">
        <x:v>304</x:v>
      </x:c>
      <x:c r="AK939" s="55" t="n">
        <x:v>895</x:v>
      </x:c>
      <x:c r="AL939" s="55" t="n">
        <x:v>1559</x:v>
      </x:c>
      <x:c r="AM939" s="55" t="n">
        <x:v>4734</x:v>
      </x:c>
      <x:c r="AN939" s="55" t="n">
        <x:v>2530</x:v>
      </x:c>
      <x:c r="AO939" s="55" t="n">
        <x:v>77</x:v>
      </x:c>
      <x:c r="AP939" s="55" t="n">
        <x:v>1834</x:v>
      </x:c>
      <x:c r="AQ939" s="55" t="n">
        <x:v>934</x:v>
      </x:c>
    </x:row>
    <x:row r="940">
      <x:c r="A940" s="54" t="str">
        <x:v>T2_CONCORDANT_DOMAIN</x:v>
      </x:c>
      <x:c r="B940" s="54" t="n">
        <x:v>934</x:v>
      </x:c>
      <x:c r="C940" s="54" t="str">
        <x:v>NYC-V2-R01</x:v>
      </x:c>
      <x:c r="D940" s="54" t="str">
        <x:v>V2</x:v>
      </x:c>
      <x:c r="E940" s="54" t="str">
        <x:v>ADMITTED</x:v>
      </x:c>
      <x:c r="F940" s="55" t="n">
        <x:v>31414</x:v>
      </x:c>
      <x:c r="G940" s="55" t="n">
        <x:v>7440</x:v>
      </x:c>
      <x:c r="H940" s="55" t="n">
        <x:v>3114</x:v>
      </x:c>
      <x:c r="I940" s="55" t="n">
        <x:v>1314</x:v>
      </x:c>
      <x:c r="J940" s="55" t="n">
        <x:v>173</x:v>
      </x:c>
      <x:c r="K940" s="55" t="n">
        <x:v>29826</x:v>
      </x:c>
      <x:c r="L940" s="55" t="n">
        <x:v>4073</x:v>
      </x:c>
      <x:c r="M940" s="55" t="n">
        <x:v>612</x:v>
      </x:c>
      <x:c r="N940" s="55" t="n">
        <x:v>1871</x:v>
      </x:c>
      <x:c r="O940" s="55" t="n">
        <x:v>1590</x:v>
      </x:c>
      <x:c r="P940" s="55" t="n">
        <x:v>642</x:v>
      </x:c>
      <x:c r="Q940" s="55" t="n">
        <x:v>2570</x:v>
      </x:c>
      <x:c r="R940" s="55" t="n">
        <x:v>1943</x:v>
      </x:c>
      <x:c r="S940" s="55" t="n">
        <x:v>2538</x:v>
      </x:c>
      <x:c r="T940" s="55" t="n">
        <x:v>1244</x:v>
      </x:c>
      <x:c r="U940" s="55" t="n">
        <x:v>1851</x:v>
      </x:c>
      <x:c r="V940" s="55" t="n">
        <x:v>10508</x:v>
      </x:c>
      <x:c r="W940" s="55" t="n">
        <x:v>7815</x:v>
      </x:c>
      <x:c r="X940" s="55" t="n">
        <x:v>2693</x:v>
      </x:c>
      <x:c r="Y940" s="55" t="n">
        <x:v>2488</x:v>
      </x:c>
      <x:c r="Z940" s="55" t="n">
        <x:v>3446</x:v>
      </x:c>
      <x:c r="AA940" s="55" t="n">
        <x:v>3101</x:v>
      </x:c>
      <x:c r="AB940" s="55" t="n">
        <x:v>824</x:v>
      </x:c>
      <x:c r="AC940" s="55" t="n">
        <x:v>7653</x:v>
      </x:c>
      <x:c r="AD940" s="55" t="n">
        <x:v>2840</x:v>
      </x:c>
      <x:c r="AE940" s="55" t="n">
        <x:v>10660</x:v>
      </x:c>
      <x:c r="AF940" s="55" t="n">
        <x:v>10508</x:v>
      </x:c>
      <x:c r="AG940" s="55" t="n">
        <x:v>152</x:v>
      </x:c>
      <x:c r="AH940" s="55" t="n">
        <x:v>339</x:v>
      </x:c>
      <x:c r="AI940" s="55" t="n">
        <x:v>10169</x:v>
      </x:c>
      <x:c r="AJ940" s="55" t="n">
        <x:v>376</x:v>
      </x:c>
      <x:c r="AK940" s="55" t="n">
        <x:v>964</x:v>
      </x:c>
      <x:c r="AL940" s="55" t="n">
        <x:v>1537</x:v>
      </x:c>
      <x:c r="AM940" s="55" t="n">
        <x:v>4769</x:v>
      </x:c>
      <x:c r="AN940" s="55" t="n">
        <x:v>2862</x:v>
      </x:c>
      <x:c r="AO940" s="55" t="n">
        <x:v>0</x:v>
      </x:c>
      <x:c r="AP940" s="55" t="n">
        <x:v>2097</x:v>
      </x:c>
      <x:c r="AQ940" s="55" t="n">
        <x:v>908</x:v>
      </x:c>
    </x:row>
    <x:row r="941">
      <x:c r="A941" s="54" t="str">
        <x:v>T2_CONCORDANT_DOMAIN</x:v>
      </x:c>
      <x:c r="B941" s="54" t="n">
        <x:v>935</x:v>
      </x:c>
      <x:c r="C941" s="54" t="str">
        <x:v>NYC-V2-R01</x:v>
      </x:c>
      <x:c r="D941" s="54" t="str">
        <x:v>V2</x:v>
      </x:c>
      <x:c r="E941" s="54" t="str">
        <x:v>ADMITTED</x:v>
      </x:c>
      <x:c r="F941" s="55" t="n">
        <x:v>32532</x:v>
      </x:c>
      <x:c r="G941" s="55" t="n">
        <x:v>8273</x:v>
      </x:c>
      <x:c r="H941" s="55" t="n">
        <x:v>3453</x:v>
      </x:c>
      <x:c r="I941" s="55" t="n">
        <x:v>1233</x:v>
      </x:c>
      <x:c r="J941" s="55" t="n">
        <x:v>348</x:v>
      </x:c>
      <x:c r="K941" s="55" t="n">
        <x:v>32532</x:v>
      </x:c>
      <x:c r="L941" s="55" t="n">
        <x:v>7437</x:v>
      </x:c>
      <x:c r="M941" s="55" t="n">
        <x:v>1713</x:v>
      </x:c>
      <x:c r="N941" s="55" t="n">
        <x:v>3733</x:v>
      </x:c>
      <x:c r="O941" s="55" t="n">
        <x:v>1991</x:v>
      </x:c>
      <x:c r="P941" s="55" t="n">
        <x:v>1413</x:v>
      </x:c>
      <x:c r="Q941" s="55" t="n">
        <x:v>2705</x:v>
      </x:c>
      <x:c r="R941" s="55" t="n">
        <x:v>2504</x:v>
      </x:c>
      <x:c r="S941" s="55" t="n">
        <x:v>3724</x:v>
      </x:c>
      <x:c r="T941" s="55" t="n">
        <x:v>1477</x:v>
      </x:c>
      <x:c r="U941" s="55" t="n">
        <x:v>2204</x:v>
      </x:c>
      <x:c r="V941" s="55" t="n">
        <x:v>11722</x:v>
      </x:c>
      <x:c r="W941" s="55" t="n">
        <x:v>8205</x:v>
      </x:c>
      <x:c r="X941" s="55" t="n">
        <x:v>3517</x:v>
      </x:c>
      <x:c r="Y941" s="55" t="n">
        <x:v>3131</x:v>
      </x:c>
      <x:c r="Z941" s="55" t="n">
        <x:v>4336</x:v>
      </x:c>
      <x:c r="AA941" s="55" t="n">
        <x:v>3453</x:v>
      </x:c>
      <x:c r="AB941" s="55" t="n">
        <x:v>1381</x:v>
      </x:c>
      <x:c r="AC941" s="55" t="n">
        <x:v>8726</x:v>
      </x:c>
      <x:c r="AD941" s="55" t="n">
        <x:v>3253</x:v>
      </x:c>
      <x:c r="AE941" s="55" t="n">
        <x:v>11872</x:v>
      </x:c>
      <x:c r="AF941" s="55" t="n">
        <x:v>11722</x:v>
      </x:c>
      <x:c r="AG941" s="55" t="n">
        <x:v>150</x:v>
      </x:c>
      <x:c r="AH941" s="55" t="n">
        <x:v>769</x:v>
      </x:c>
      <x:c r="AI941" s="55" t="n">
        <x:v>10953</x:v>
      </x:c>
      <x:c r="AJ941" s="55" t="n">
        <x:v>679</x:v>
      </x:c>
      <x:c r="AK941" s="55" t="n">
        <x:v>1138</x:v>
      </x:c>
      <x:c r="AL941" s="55" t="n">
        <x:v>1856</x:v>
      </x:c>
      <x:c r="AM941" s="55" t="n">
        <x:v>5249</x:v>
      </x:c>
      <x:c r="AN941" s="55" t="n">
        <x:v>2758</x:v>
      </x:c>
      <x:c r="AO941" s="55" t="n">
        <x:v>42</x:v>
      </x:c>
      <x:c r="AP941" s="55" t="n">
        <x:v>2271</x:v>
      </x:c>
      <x:c r="AQ941" s="55" t="n">
        <x:v>980</x:v>
      </x:c>
    </x:row>
    <x:row r="942">
      <x:c r="A942" s="54" t="str">
        <x:v>T2_CONCORDANT_DOMAIN</x:v>
      </x:c>
      <x:c r="B942" s="54" t="n">
        <x:v>936</x:v>
      </x:c>
      <x:c r="C942" s="54" t="str">
        <x:v>NYC-V2-R01</x:v>
      </x:c>
      <x:c r="D942" s="54" t="str">
        <x:v>V2</x:v>
      </x:c>
      <x:c r="E942" s="54" t="str">
        <x:v>ADMITTED</x:v>
      </x:c>
      <x:c r="F942" s="55" t="n">
        <x:v>30237</x:v>
      </x:c>
      <x:c r="G942" s="55" t="n">
        <x:v>7686</x:v>
      </x:c>
      <x:c r="H942" s="55" t="n">
        <x:v>3383</x:v>
      </x:c>
      <x:c r="I942" s="55" t="n">
        <x:v>1258</x:v>
      </x:c>
      <x:c r="J942" s="55" t="n">
        <x:v>275</x:v>
      </x:c>
      <x:c r="K942" s="55" t="n">
        <x:v>28934</x:v>
      </x:c>
      <x:c r="L942" s="55" t="n">
        <x:v>4230</x:v>
      </x:c>
      <x:c r="M942" s="55" t="n">
        <x:v>0</x:v>
      </x:c>
      <x:c r="N942" s="55" t="n">
        <x:v>2564</x:v>
      </x:c>
      <x:c r="O942" s="55" t="n">
        <x:v>1666</x:v>
      </x:c>
      <x:c r="P942" s="55" t="n">
        <x:v>880</x:v>
      </x:c>
      <x:c r="Q942" s="55" t="n">
        <x:v>1715</x:v>
      </x:c>
      <x:c r="R942" s="55" t="n">
        <x:v>1893</x:v>
      </x:c>
      <x:c r="S942" s="55" t="n">
        <x:v>2875</x:v>
      </x:c>
      <x:c r="T942" s="55" t="n">
        <x:v>1112</x:v>
      </x:c>
      <x:c r="U942" s="55" t="n">
        <x:v>2061</x:v>
      </x:c>
      <x:c r="V942" s="55" t="n">
        <x:v>10159</x:v>
      </x:c>
      <x:c r="W942" s="55" t="n">
        <x:v>7333</x:v>
      </x:c>
      <x:c r="X942" s="55" t="n">
        <x:v>2826</x:v>
      </x:c>
      <x:c r="Y942" s="55" t="n">
        <x:v>2492</x:v>
      </x:c>
      <x:c r="Z942" s="55" t="n">
        <x:v>4172</x:v>
      </x:c>
      <x:c r="AA942" s="55" t="n">
        <x:v>3034</x:v>
      </x:c>
      <x:c r="AB942" s="55" t="n">
        <x:v>1039</x:v>
      </x:c>
      <x:c r="AC942" s="55" t="n">
        <x:v>8373</x:v>
      </x:c>
      <x:c r="AD942" s="55" t="n">
        <x:v>2951</x:v>
      </x:c>
      <x:c r="AE942" s="55" t="n">
        <x:v>10295</x:v>
      </x:c>
      <x:c r="AF942" s="55" t="n">
        <x:v>10159</x:v>
      </x:c>
      <x:c r="AG942" s="55" t="n">
        <x:v>136</x:v>
      </x:c>
      <x:c r="AH942" s="55" t="n">
        <x:v>319</x:v>
      </x:c>
      <x:c r="AI942" s="55" t="n">
        <x:v>9840</x:v>
      </x:c>
      <x:c r="AJ942" s="55" t="n">
        <x:v>329</x:v>
      </x:c>
      <x:c r="AK942" s="55" t="n">
        <x:v>1023</x:v>
      </x:c>
      <x:c r="AL942" s="55" t="n">
        <x:v>1587</x:v>
      </x:c>
      <x:c r="AM942" s="55" t="n">
        <x:v>4445</x:v>
      </x:c>
      <x:c r="AN942" s="55" t="n">
        <x:v>2775</x:v>
      </x:c>
      <x:c r="AO942" s="55" t="n">
        <x:v>0</x:v>
      </x:c>
      <x:c r="AP942" s="55" t="n">
        <x:v>2394</x:v>
      </x:c>
      <x:c r="AQ942" s="55" t="n">
        <x:v>927</x:v>
      </x:c>
    </x:row>
    <x:row r="943">
      <x:c r="A943" s="54" t="str">
        <x:v>T2_CONCORDANT_DOMAIN</x:v>
      </x:c>
      <x:c r="B943" s="54" t="n">
        <x:v>937</x:v>
      </x:c>
      <x:c r="C943" s="54" t="str">
        <x:v>NYC-V2-R01</x:v>
      </x:c>
      <x:c r="D943" s="54" t="str">
        <x:v>V2</x:v>
      </x:c>
      <x:c r="E943" s="54" t="str">
        <x:v>ADMITTED</x:v>
      </x:c>
      <x:c r="F943" s="55" t="n">
        <x:v>32167</x:v>
      </x:c>
      <x:c r="G943" s="55" t="n">
        <x:v>8806</x:v>
      </x:c>
      <x:c r="H943" s="55" t="n">
        <x:v>3389</x:v>
      </x:c>
      <x:c r="I943" s="55" t="n">
        <x:v>1117</x:v>
      </x:c>
      <x:c r="J943" s="55" t="n">
        <x:v>259</x:v>
      </x:c>
      <x:c r="K943" s="55" t="n">
        <x:v>28207</x:v>
      </x:c>
      <x:c r="L943" s="55" t="n">
        <x:v>4103</x:v>
      </x:c>
      <x:c r="M943" s="55" t="n">
        <x:v>0</x:v>
      </x:c>
      <x:c r="N943" s="55" t="n">
        <x:v>2346</x:v>
      </x:c>
      <x:c r="O943" s="55" t="n">
        <x:v>1757</x:v>
      </x:c>
      <x:c r="P943" s="55" t="n">
        <x:v>964</x:v>
      </x:c>
      <x:c r="Q943" s="55" t="n">
        <x:v>2091</x:v>
      </x:c>
      <x:c r="R943" s="55" t="n">
        <x:v>1859</x:v>
      </x:c>
      <x:c r="S943" s="55" t="n">
        <x:v>2868</x:v>
      </x:c>
      <x:c r="T943" s="55" t="n">
        <x:v>1235</x:v>
      </x:c>
      <x:c r="U943" s="55" t="n">
        <x:v>1778</x:v>
      </x:c>
      <x:c r="V943" s="55" t="n">
        <x:v>10859</x:v>
      </x:c>
      <x:c r="W943" s="55" t="n">
        <x:v>7382</x:v>
      </x:c>
      <x:c r="X943" s="55" t="n">
        <x:v>3477</x:v>
      </x:c>
      <x:c r="Y943" s="55" t="n">
        <x:v>3027</x:v>
      </x:c>
      <x:c r="Z943" s="55" t="n">
        <x:v>3720</x:v>
      </x:c>
      <x:c r="AA943" s="55" t="n">
        <x:v>3110</x:v>
      </x:c>
      <x:c r="AB943" s="55" t="n">
        <x:v>1268</x:v>
      </x:c>
      <x:c r="AC943" s="55" t="n">
        <x:v>8791</x:v>
      </x:c>
      <x:c r="AD943" s="55" t="n">
        <x:v>2658</x:v>
      </x:c>
      <x:c r="AE943" s="55" t="n">
        <x:v>10891</x:v>
      </x:c>
      <x:c r="AF943" s="55" t="n">
        <x:v>10859</x:v>
      </x:c>
      <x:c r="AG943" s="55" t="n">
        <x:v>32</x:v>
      </x:c>
      <x:c r="AH943" s="55" t="n">
        <x:v>331</x:v>
      </x:c>
      <x:c r="AI943" s="55" t="n">
        <x:v>10528</x:v>
      </x:c>
      <x:c r="AJ943" s="55" t="n">
        <x:v>381</x:v>
      </x:c>
      <x:c r="AK943" s="55" t="n">
        <x:v>850</x:v>
      </x:c>
      <x:c r="AL943" s="55" t="n">
        <x:v>1492</x:v>
      </x:c>
      <x:c r="AM943" s="55" t="n">
        <x:v>4891</x:v>
      </x:c>
      <x:c r="AN943" s="55" t="n">
        <x:v>3245</x:v>
      </x:c>
      <x:c r="AO943" s="55" t="n">
        <x:v>0</x:v>
      </x:c>
      <x:c r="AP943" s="55" t="n">
        <x:v>2540</x:v>
      </x:c>
      <x:c r="AQ943" s="55" t="n">
        <x:v>985</x:v>
      </x:c>
    </x:row>
    <x:row r="944">
      <x:c r="A944" s="54" t="str">
        <x:v>T2_CONCORDANT_DOMAIN</x:v>
      </x:c>
      <x:c r="B944" s="54" t="n">
        <x:v>938</x:v>
      </x:c>
      <x:c r="C944" s="54" t="str">
        <x:v>NYC-V2-R01</x:v>
      </x:c>
      <x:c r="D944" s="54" t="str">
        <x:v>V2</x:v>
      </x:c>
      <x:c r="E944" s="54" t="str">
        <x:v>ADMITTED</x:v>
      </x:c>
      <x:c r="F944" s="55" t="n">
        <x:v>31471</x:v>
      </x:c>
      <x:c r="G944" s="55" t="n">
        <x:v>7684</x:v>
      </x:c>
      <x:c r="H944" s="55" t="n">
        <x:v>3315</x:v>
      </x:c>
      <x:c r="I944" s="55" t="n">
        <x:v>1316</x:v>
      </x:c>
      <x:c r="J944" s="55" t="n">
        <x:v>157</x:v>
      </x:c>
      <x:c r="K944" s="55" t="n">
        <x:v>31471</x:v>
      </x:c>
      <x:c r="L944" s="55" t="n">
        <x:v>5901</x:v>
      </x:c>
      <x:c r="M944" s="55" t="n">
        <x:v>1349</x:v>
      </x:c>
      <x:c r="N944" s="55" t="n">
        <x:v>2696</x:v>
      </x:c>
      <x:c r="O944" s="55" t="n">
        <x:v>1856</x:v>
      </x:c>
      <x:c r="P944" s="55" t="n">
        <x:v>928</x:v>
      </x:c>
      <x:c r="Q944" s="55" t="n">
        <x:v>3034</x:v>
      </x:c>
      <x:c r="R944" s="55" t="n">
        <x:v>1587</x:v>
      </x:c>
      <x:c r="S944" s="55" t="n">
        <x:v>2941</x:v>
      </x:c>
      <x:c r="T944" s="55" t="n">
        <x:v>1336</x:v>
      </x:c>
      <x:c r="U944" s="55" t="n">
        <x:v>1955</x:v>
      </x:c>
      <x:c r="V944" s="55" t="n">
        <x:v>10456</x:v>
      </x:c>
      <x:c r="W944" s="55" t="n">
        <x:v>7755</x:v>
      </x:c>
      <x:c r="X944" s="55" t="n">
        <x:v>2701</x:v>
      </x:c>
      <x:c r="Y944" s="55" t="n">
        <x:v>2335</x:v>
      </x:c>
      <x:c r="Z944" s="55" t="n">
        <x:v>3503</x:v>
      </x:c>
      <x:c r="AA944" s="55" t="n">
        <x:v>3315</x:v>
      </x:c>
      <x:c r="AB944" s="55" t="n">
        <x:v>1272</x:v>
      </x:c>
      <x:c r="AC944" s="55" t="n">
        <x:v>7761</x:v>
      </x:c>
      <x:c r="AD944" s="55" t="n">
        <x:v>2505</x:v>
      </x:c>
      <x:c r="AE944" s="55" t="n">
        <x:v>10501</x:v>
      </x:c>
      <x:c r="AF944" s="55" t="n">
        <x:v>10456</x:v>
      </x:c>
      <x:c r="AG944" s="55" t="n">
        <x:v>45</x:v>
      </x:c>
      <x:c r="AH944" s="55" t="n">
        <x:v>192</x:v>
      </x:c>
      <x:c r="AI944" s="55" t="n">
        <x:v>10264</x:v>
      </x:c>
      <x:c r="AJ944" s="55" t="n">
        <x:v>246</x:v>
      </x:c>
      <x:c r="AK944" s="55" t="n">
        <x:v>1038</x:v>
      </x:c>
      <x:c r="AL944" s="55" t="n">
        <x:v>1398</x:v>
      </x:c>
      <x:c r="AM944" s="55" t="n">
        <x:v>4942</x:v>
      </x:c>
      <x:c r="AN944" s="55" t="n">
        <x:v>2832</x:v>
      </x:c>
      <x:c r="AO944" s="55" t="n">
        <x:v>0</x:v>
      </x:c>
      <x:c r="AP944" s="55" t="n">
        <x:v>2554</x:v>
      </x:c>
      <x:c r="AQ944" s="55" t="n">
        <x:v>976</x:v>
      </x:c>
    </x:row>
    <x:row r="945">
      <x:c r="A945" s="54" t="str">
        <x:v>T2_CONCORDANT_DOMAIN</x:v>
      </x:c>
      <x:c r="B945" s="54" t="n">
        <x:v>939</x:v>
      </x:c>
      <x:c r="C945" s="54" t="str">
        <x:v>NYC-V2-R01</x:v>
      </x:c>
      <x:c r="D945" s="54" t="str">
        <x:v>V2</x:v>
      </x:c>
      <x:c r="E945" s="54" t="str">
        <x:v>ADMITTED</x:v>
      </x:c>
      <x:c r="F945" s="55" t="n">
        <x:v>32724</x:v>
      </x:c>
      <x:c r="G945" s="55" t="n">
        <x:v>9045</x:v>
      </x:c>
      <x:c r="H945" s="55" t="n">
        <x:v>3688</x:v>
      </x:c>
      <x:c r="I945" s="55" t="n">
        <x:v>1338</x:v>
      </x:c>
      <x:c r="J945" s="55" t="n">
        <x:v>324</x:v>
      </x:c>
      <x:c r="K945" s="55" t="n">
        <x:v>32092</x:v>
      </x:c>
      <x:c r="L945" s="55" t="n">
        <x:v>7175</x:v>
      </x:c>
      <x:c r="M945" s="55" t="n">
        <x:v>2075</x:v>
      </x:c>
      <x:c r="N945" s="55" t="n">
        <x:v>3153</x:v>
      </x:c>
      <x:c r="O945" s="55" t="n">
        <x:v>1947</x:v>
      </x:c>
      <x:c r="P945" s="55" t="n">
        <x:v>1059</x:v>
      </x:c>
      <x:c r="Q945" s="55" t="n">
        <x:v>2817</x:v>
      </x:c>
      <x:c r="R945" s="55" t="n">
        <x:v>1863</x:v>
      </x:c>
      <x:c r="S945" s="55" t="n">
        <x:v>2720</x:v>
      </x:c>
      <x:c r="T945" s="55" t="n">
        <x:v>1381</x:v>
      </x:c>
      <x:c r="U945" s="55" t="n">
        <x:v>2047</x:v>
      </x:c>
      <x:c r="V945" s="55" t="n">
        <x:v>9657</x:v>
      </x:c>
      <x:c r="W945" s="55" t="n">
        <x:v>6170</x:v>
      </x:c>
      <x:c r="X945" s="55" t="n">
        <x:v>3487</x:v>
      </x:c>
      <x:c r="Y945" s="55" t="n">
        <x:v>3069</x:v>
      </x:c>
      <x:c r="Z945" s="55" t="n">
        <x:v>3723</x:v>
      </x:c>
      <x:c r="AA945" s="55" t="n">
        <x:v>3688</x:v>
      </x:c>
      <x:c r="AB945" s="55" t="n">
        <x:v>1585</x:v>
      </x:c>
      <x:c r="AC945" s="55" t="n">
        <x:v>8088</x:v>
      </x:c>
      <x:c r="AD945" s="55" t="n">
        <x:v>3024</x:v>
      </x:c>
      <x:c r="AE945" s="55" t="n">
        <x:v>9745</x:v>
      </x:c>
      <x:c r="AF945" s="55" t="n">
        <x:v>9657</x:v>
      </x:c>
      <x:c r="AG945" s="55" t="n">
        <x:v>88</x:v>
      </x:c>
      <x:c r="AH945" s="55" t="n">
        <x:v>214</x:v>
      </x:c>
      <x:c r="AI945" s="55" t="n">
        <x:v>9443</x:v>
      </x:c>
      <x:c r="AJ945" s="55" t="n">
        <x:v>342</x:v>
      </x:c>
      <x:c r="AK945" s="55" t="n">
        <x:v>981</x:v>
      </x:c>
      <x:c r="AL945" s="55" t="n">
        <x:v>1500</x:v>
      </x:c>
      <x:c r="AM945" s="55" t="n">
        <x:v>4630</x:v>
      </x:c>
      <x:c r="AN945" s="55" t="n">
        <x:v>2190</x:v>
      </x:c>
      <x:c r="AO945" s="55" t="n">
        <x:v>14</x:v>
      </x:c>
      <x:c r="AP945" s="55" t="n">
        <x:v>2257</x:v>
      </x:c>
      <x:c r="AQ945" s="55" t="n">
        <x:v>958</x:v>
      </x:c>
    </x:row>
    <x:row r="946">
      <x:c r="A946" s="54" t="str">
        <x:v>T2_CONCORDANT_DOMAIN</x:v>
      </x:c>
      <x:c r="B946" s="54" t="n">
        <x:v>940</x:v>
      </x:c>
      <x:c r="C946" s="54" t="str">
        <x:v>NYC-V2-R01</x:v>
      </x:c>
      <x:c r="D946" s="54" t="str">
        <x:v>V2</x:v>
      </x:c>
      <x:c r="E946" s="54" t="str">
        <x:v>ADMITTED</x:v>
      </x:c>
      <x:c r="F946" s="55" t="n">
        <x:v>30042</x:v>
      </x:c>
      <x:c r="G946" s="55" t="n">
        <x:v>6657</x:v>
      </x:c>
      <x:c r="H946" s="55" t="n">
        <x:v>2865</x:v>
      </x:c>
      <x:c r="I946" s="55" t="n">
        <x:v>1031</x:v>
      </x:c>
      <x:c r="J946" s="55" t="n">
        <x:v>217</x:v>
      </x:c>
      <x:c r="K946" s="55" t="n">
        <x:v>28568</x:v>
      </x:c>
      <x:c r="L946" s="55" t="n">
        <x:v>4115</x:v>
      </x:c>
      <x:c r="M946" s="55" t="n">
        <x:v>631</x:v>
      </x:c>
      <x:c r="N946" s="55" t="n">
        <x:v>2010</x:v>
      </x:c>
      <x:c r="O946" s="55" t="n">
        <x:v>1474</x:v>
      </x:c>
      <x:c r="P946" s="55" t="n">
        <x:v>419</x:v>
      </x:c>
      <x:c r="Q946" s="55" t="n">
        <x:v>1520</x:v>
      </x:c>
      <x:c r="R946" s="55" t="n">
        <x:v>1676</x:v>
      </x:c>
      <x:c r="S946" s="55" t="n">
        <x:v>2170</x:v>
      </x:c>
      <x:c r="T946" s="55" t="n">
        <x:v>983</x:v>
      </x:c>
      <x:c r="U946" s="55" t="n">
        <x:v>1341</x:v>
      </x:c>
      <x:c r="V946" s="55" t="n">
        <x:v>9938</x:v>
      </x:c>
      <x:c r="W946" s="55" t="n">
        <x:v>6671</x:v>
      </x:c>
      <x:c r="X946" s="55" t="n">
        <x:v>3267</x:v>
      </x:c>
      <x:c r="Y946" s="55" t="n">
        <x:v>2821</x:v>
      </x:c>
      <x:c r="Z946" s="55" t="n">
        <x:v>3131</x:v>
      </x:c>
      <x:c r="AA946" s="55" t="n">
        <x:v>2718</x:v>
      </x:c>
      <x:c r="AB946" s="55" t="n">
        <x:v>1000</x:v>
      </x:c>
      <x:c r="AC946" s="55" t="n">
        <x:v>7664</x:v>
      </x:c>
      <x:c r="AD946" s="55" t="n">
        <x:v>2459</x:v>
      </x:c>
      <x:c r="AE946" s="55" t="n">
        <x:v>10012</x:v>
      </x:c>
      <x:c r="AF946" s="55" t="n">
        <x:v>9938</x:v>
      </x:c>
      <x:c r="AG946" s="55" t="n">
        <x:v>74</x:v>
      </x:c>
      <x:c r="AH946" s="55" t="n">
        <x:v>245</x:v>
      </x:c>
      <x:c r="AI946" s="55" t="n">
        <x:v>9693</x:v>
      </x:c>
      <x:c r="AJ946" s="55" t="n">
        <x:v>240</x:v>
      </x:c>
      <x:c r="AK946" s="55" t="n">
        <x:v>761</x:v>
      </x:c>
      <x:c r="AL946" s="55" t="n">
        <x:v>1595</x:v>
      </x:c>
      <x:c r="AM946" s="55" t="n">
        <x:v>4569</x:v>
      </x:c>
      <x:c r="AN946" s="55" t="n">
        <x:v>2773</x:v>
      </x:c>
      <x:c r="AO946" s="55" t="n">
        <x:v>0</x:v>
      </x:c>
      <x:c r="AP946" s="55" t="n">
        <x:v>2273</x:v>
      </x:c>
      <x:c r="AQ946" s="55" t="n">
        <x:v>901</x:v>
      </x:c>
    </x:row>
    <x:row r="947">
      <x:c r="A947" s="54" t="str">
        <x:v>T2_CONCORDANT_DOMAIN</x:v>
      </x:c>
      <x:c r="B947" s="54" t="n">
        <x:v>941</x:v>
      </x:c>
      <x:c r="C947" s="54" t="str">
        <x:v>NYC-V2-R01</x:v>
      </x:c>
      <x:c r="D947" s="54" t="str">
        <x:v>V2</x:v>
      </x:c>
      <x:c r="E947" s="54" t="str">
        <x:v>ADMITTED</x:v>
      </x:c>
      <x:c r="F947" s="55" t="n">
        <x:v>34112</x:v>
      </x:c>
      <x:c r="G947" s="55" t="n">
        <x:v>9053</x:v>
      </x:c>
      <x:c r="H947" s="55" t="n">
        <x:v>3551</x:v>
      </x:c>
      <x:c r="I947" s="55" t="n">
        <x:v>1430</x:v>
      </x:c>
      <x:c r="J947" s="55" t="n">
        <x:v>374</x:v>
      </x:c>
      <x:c r="K947" s="55" t="n">
        <x:v>34112</x:v>
      </x:c>
      <x:c r="L947" s="55" t="n">
        <x:v>7589</x:v>
      </x:c>
      <x:c r="M947" s="55" t="n">
        <x:v>2452</x:v>
      </x:c>
      <x:c r="N947" s="55" t="n">
        <x:v>3220</x:v>
      </x:c>
      <x:c r="O947" s="55" t="n">
        <x:v>1917</x:v>
      </x:c>
      <x:c r="P947" s="55" t="n">
        <x:v>1068</x:v>
      </x:c>
      <x:c r="Q947" s="55" t="n">
        <x:v>2839</x:v>
      </x:c>
      <x:c r="R947" s="55" t="n">
        <x:v>1838</x:v>
      </x:c>
      <x:c r="S947" s="55" t="n">
        <x:v>3029</x:v>
      </x:c>
      <x:c r="T947" s="55" t="n">
        <x:v>1357</x:v>
      </x:c>
      <x:c r="U947" s="55" t="n">
        <x:v>2374</x:v>
      </x:c>
      <x:c r="V947" s="55" t="n">
        <x:v>10338</x:v>
      </x:c>
      <x:c r="W947" s="55" t="n">
        <x:v>7279</x:v>
      </x:c>
      <x:c r="X947" s="55" t="n">
        <x:v>3059</x:v>
      </x:c>
      <x:c r="Y947" s="55" t="n">
        <x:v>2650</x:v>
      </x:c>
      <x:c r="Z947" s="55" t="n">
        <x:v>3809</x:v>
      </x:c>
      <x:c r="AA947" s="55" t="n">
        <x:v>3324</x:v>
      </x:c>
      <x:c r="AB947" s="55" t="n">
        <x:v>1402</x:v>
      </x:c>
      <x:c r="AC947" s="55" t="n">
        <x:v>8058</x:v>
      </x:c>
      <x:c r="AD947" s="55" t="n">
        <x:v>3142</x:v>
      </x:c>
      <x:c r="AE947" s="55" t="n">
        <x:v>10438</x:v>
      </x:c>
      <x:c r="AF947" s="55" t="n">
        <x:v>10338</x:v>
      </x:c>
      <x:c r="AG947" s="55" t="n">
        <x:v>100</x:v>
      </x:c>
      <x:c r="AH947" s="55" t="n">
        <x:v>392</x:v>
      </x:c>
      <x:c r="AI947" s="55" t="n">
        <x:v>9946</x:v>
      </x:c>
      <x:c r="AJ947" s="55" t="n">
        <x:v>356</x:v>
      </x:c>
      <x:c r="AK947" s="55" t="n">
        <x:v>990</x:v>
      </x:c>
      <x:c r="AL947" s="55" t="n">
        <x:v>1523</x:v>
      </x:c>
      <x:c r="AM947" s="55" t="n">
        <x:v>4731</x:v>
      </x:c>
      <x:c r="AN947" s="55" t="n">
        <x:v>2736</x:v>
      </x:c>
      <x:c r="AO947" s="55" t="n">
        <x:v>2</x:v>
      </x:c>
      <x:c r="AP947" s="55" t="n">
        <x:v>2297</x:v>
      </x:c>
      <x:c r="AQ947" s="55" t="n">
        <x:v>998</x:v>
      </x:c>
    </x:row>
    <x:row r="948">
      <x:c r="A948" s="54" t="str">
        <x:v>T2_CONCORDANT_DOMAIN</x:v>
      </x:c>
      <x:c r="B948" s="54" t="n">
        <x:v>942</x:v>
      </x:c>
      <x:c r="C948" s="54" t="str">
        <x:v>NYC-V2-R01</x:v>
      </x:c>
      <x:c r="D948" s="54" t="str">
        <x:v>V2</x:v>
      </x:c>
      <x:c r="E948" s="54" t="str">
        <x:v>ADMITTED</x:v>
      </x:c>
      <x:c r="F948" s="55" t="n">
        <x:v>31450</x:v>
      </x:c>
      <x:c r="G948" s="55" t="n">
        <x:v>6216</x:v>
      </x:c>
      <x:c r="H948" s="55" t="n">
        <x:v>3431</x:v>
      </x:c>
      <x:c r="I948" s="55" t="n">
        <x:v>1660</x:v>
      </x:c>
      <x:c r="J948" s="55" t="n">
        <x:v>254</x:v>
      </x:c>
      <x:c r="K948" s="55" t="n">
        <x:v>31450</x:v>
      </x:c>
      <x:c r="L948" s="55" t="n">
        <x:v>6285</x:v>
      </x:c>
      <x:c r="M948" s="55" t="n">
        <x:v>1833</x:v>
      </x:c>
      <x:c r="N948" s="55" t="n">
        <x:v>2737</x:v>
      </x:c>
      <x:c r="O948" s="55" t="n">
        <x:v>1715</x:v>
      </x:c>
      <x:c r="P948" s="55" t="n">
        <x:v>612</x:v>
      </x:c>
      <x:c r="Q948" s="55" t="n">
        <x:v>1638</x:v>
      </x:c>
      <x:c r="R948" s="55" t="n">
        <x:v>1813</x:v>
      </x:c>
      <x:c r="S948" s="55" t="n">
        <x:v>2571</x:v>
      </x:c>
      <x:c r="T948" s="55" t="n">
        <x:v>1229</x:v>
      </x:c>
      <x:c r="U948" s="55" t="n">
        <x:v>1810</x:v>
      </x:c>
      <x:c r="V948" s="55" t="n">
        <x:v>10516</x:v>
      </x:c>
      <x:c r="W948" s="55" t="n">
        <x:v>7626</x:v>
      </x:c>
      <x:c r="X948" s="55" t="n">
        <x:v>2890</x:v>
      </x:c>
      <x:c r="Y948" s="55" t="n">
        <x:v>2489</x:v>
      </x:c>
      <x:c r="Z948" s="55" t="n">
        <x:v>3802</x:v>
      </x:c>
      <x:c r="AA948" s="55" t="n">
        <x:v>2650</x:v>
      </x:c>
      <x:c r="AB948" s="55" t="n">
        <x:v>1072</x:v>
      </x:c>
      <x:c r="AC948" s="55" t="n">
        <x:v>8182</x:v>
      </x:c>
      <x:c r="AD948" s="55" t="n">
        <x:v>2796</x:v>
      </x:c>
      <x:c r="AE948" s="55" t="n">
        <x:v>10562</x:v>
      </x:c>
      <x:c r="AF948" s="55" t="n">
        <x:v>10516</x:v>
      </x:c>
      <x:c r="AG948" s="55" t="n">
        <x:v>46</x:v>
      </x:c>
      <x:c r="AH948" s="55" t="n">
        <x:v>430</x:v>
      </x:c>
      <x:c r="AI948" s="55" t="n">
        <x:v>10086</x:v>
      </x:c>
      <x:c r="AJ948" s="55" t="n">
        <x:v>106</x:v>
      </x:c>
      <x:c r="AK948" s="55" t="n">
        <x:v>754</x:v>
      </x:c>
      <x:c r="AL948" s="55" t="n">
        <x:v>1836</x:v>
      </x:c>
      <x:c r="AM948" s="55" t="n">
        <x:v>4745</x:v>
      </x:c>
      <x:c r="AN948" s="55" t="n">
        <x:v>3075</x:v>
      </x:c>
      <x:c r="AO948" s="55" t="n">
        <x:v>0</x:v>
      </x:c>
      <x:c r="AP948" s="55" t="n">
        <x:v>2202</x:v>
      </x:c>
      <x:c r="AQ948" s="55" t="n">
        <x:v>916</x:v>
      </x:c>
    </x:row>
    <x:row r="949">
      <x:c r="A949" s="54" t="str">
        <x:v>T2_CONCORDANT_DOMAIN</x:v>
      </x:c>
      <x:c r="B949" s="54" t="n">
        <x:v>943</x:v>
      </x:c>
      <x:c r="C949" s="54" t="str">
        <x:v>NYC-V2-R01</x:v>
      </x:c>
      <x:c r="D949" s="54" t="str">
        <x:v>V2</x:v>
      </x:c>
      <x:c r="E949" s="54" t="str">
        <x:v>ADMITTED</x:v>
      </x:c>
      <x:c r="F949" s="55" t="n">
        <x:v>33816</x:v>
      </x:c>
      <x:c r="G949" s="55" t="n">
        <x:v>7835</x:v>
      </x:c>
      <x:c r="H949" s="55" t="n">
        <x:v>3531</x:v>
      </x:c>
      <x:c r="I949" s="55" t="n">
        <x:v>1517</x:v>
      </x:c>
      <x:c r="J949" s="55" t="n">
        <x:v>343</x:v>
      </x:c>
      <x:c r="K949" s="55" t="n">
        <x:v>33816</x:v>
      </x:c>
      <x:c r="L949" s="55" t="n">
        <x:v>6834</x:v>
      </x:c>
      <x:c r="M949" s="55" t="n">
        <x:v>1792</x:v>
      </x:c>
      <x:c r="N949" s="55" t="n">
        <x:v>3127</x:v>
      </x:c>
      <x:c r="O949" s="55" t="n">
        <x:v>1915</x:v>
      </x:c>
      <x:c r="P949" s="55" t="n">
        <x:v>1159</x:v>
      </x:c>
      <x:c r="Q949" s="55" t="n">
        <x:v>3750</x:v>
      </x:c>
      <x:c r="R949" s="55" t="n">
        <x:v>1777</x:v>
      </x:c>
      <x:c r="S949" s="55" t="n">
        <x:v>3534</x:v>
      </x:c>
      <x:c r="T949" s="55" t="n">
        <x:v>1161</x:v>
      </x:c>
      <x:c r="U949" s="55" t="n">
        <x:v>2590</x:v>
      </x:c>
      <x:c r="V949" s="55" t="n">
        <x:v>10538</x:v>
      </x:c>
      <x:c r="W949" s="55" t="n">
        <x:v>7247</x:v>
      </x:c>
      <x:c r="X949" s="55" t="n">
        <x:v>3291</x:v>
      </x:c>
      <x:c r="Y949" s="55" t="n">
        <x:v>2858</x:v>
      </x:c>
      <x:c r="Z949" s="55" t="n">
        <x:v>3821</x:v>
      </x:c>
      <x:c r="AA949" s="55" t="n">
        <x:v>2932</x:v>
      </x:c>
      <x:c r="AB949" s="55" t="n">
        <x:v>1372</x:v>
      </x:c>
      <x:c r="AC949" s="55" t="n">
        <x:v>8330</x:v>
      </x:c>
      <x:c r="AD949" s="55" t="n">
        <x:v>3205</x:v>
      </x:c>
      <x:c r="AE949" s="55" t="n">
        <x:v>10678</x:v>
      </x:c>
      <x:c r="AF949" s="55" t="n">
        <x:v>10538</x:v>
      </x:c>
      <x:c r="AG949" s="55" t="n">
        <x:v>140</x:v>
      </x:c>
      <x:c r="AH949" s="55" t="n">
        <x:v>454</x:v>
      </x:c>
      <x:c r="AI949" s="55" t="n">
        <x:v>10084</x:v>
      </x:c>
      <x:c r="AJ949" s="55" t="n">
        <x:v>345</x:v>
      </x:c>
      <x:c r="AK949" s="55" t="n">
        <x:v>1233</x:v>
      </x:c>
      <x:c r="AL949" s="55" t="n">
        <x:v>1393</x:v>
      </x:c>
      <x:c r="AM949" s="55" t="n">
        <x:v>4900</x:v>
      </x:c>
      <x:c r="AN949" s="55" t="n">
        <x:v>2617</x:v>
      </x:c>
      <x:c r="AO949" s="55" t="n">
        <x:v>50</x:v>
      </x:c>
      <x:c r="AP949" s="55" t="n">
        <x:v>2270</x:v>
      </x:c>
      <x:c r="AQ949" s="55" t="n">
        <x:v>985</x:v>
      </x:c>
    </x:row>
    <x:row r="950">
      <x:c r="A950" s="54" t="str">
        <x:v>T2_CONCORDANT_DOMAIN</x:v>
      </x:c>
      <x:c r="B950" s="54" t="n">
        <x:v>944</x:v>
      </x:c>
      <x:c r="C950" s="54" t="str">
        <x:v>NYC-V2-R01</x:v>
      </x:c>
      <x:c r="D950" s="54" t="str">
        <x:v>V2</x:v>
      </x:c>
      <x:c r="E950" s="54" t="str">
        <x:v>ADMITTED</x:v>
      </x:c>
      <x:c r="F950" s="55" t="n">
        <x:v>30184</x:v>
      </x:c>
      <x:c r="G950" s="55" t="n">
        <x:v>6695</x:v>
      </x:c>
      <x:c r="H950" s="55" t="n">
        <x:v>3182</x:v>
      </x:c>
      <x:c r="I950" s="55" t="n">
        <x:v>1154</x:v>
      </x:c>
      <x:c r="J950" s="55" t="n">
        <x:v>1</x:v>
      </x:c>
      <x:c r="K950" s="55" t="n">
        <x:v>30184</x:v>
      </x:c>
      <x:c r="L950" s="55" t="n">
        <x:v>6087</x:v>
      </x:c>
      <x:c r="M950" s="55" t="n">
        <x:v>1811</x:v>
      </x:c>
      <x:c r="N950" s="55" t="n">
        <x:v>2358</x:v>
      </x:c>
      <x:c r="O950" s="55" t="n">
        <x:v>1918</x:v>
      </x:c>
      <x:c r="P950" s="55" t="n">
        <x:v>858</x:v>
      </x:c>
      <x:c r="Q950" s="55" t="n">
        <x:v>2468</x:v>
      </x:c>
      <x:c r="R950" s="55" t="n">
        <x:v>1890</x:v>
      </x:c>
      <x:c r="S950" s="55" t="n">
        <x:v>2741</x:v>
      </x:c>
      <x:c r="T950" s="55" t="n">
        <x:v>1349</x:v>
      </x:c>
      <x:c r="U950" s="55" t="n">
        <x:v>1872</x:v>
      </x:c>
      <x:c r="V950" s="55" t="n">
        <x:v>10686</x:v>
      </x:c>
      <x:c r="W950" s="55" t="n">
        <x:v>7347</x:v>
      </x:c>
      <x:c r="X950" s="55" t="n">
        <x:v>3339</x:v>
      </x:c>
      <x:c r="Y950" s="55" t="n">
        <x:v>2795</x:v>
      </x:c>
      <x:c r="Z950" s="55" t="n">
        <x:v>3846</x:v>
      </x:c>
      <x:c r="AA950" s="55" t="n">
        <x:v>3182</x:v>
      </x:c>
      <x:c r="AB950" s="55" t="n">
        <x:v>1205</x:v>
      </x:c>
      <x:c r="AC950" s="55" t="n">
        <x:v>8117</x:v>
      </x:c>
      <x:c r="AD950" s="55" t="n">
        <x:v>3458</x:v>
      </x:c>
      <x:c r="AE950" s="55" t="n">
        <x:v>10808</x:v>
      </x:c>
      <x:c r="AF950" s="55" t="n">
        <x:v>10686</x:v>
      </x:c>
      <x:c r="AG950" s="55" t="n">
        <x:v>122</x:v>
      </x:c>
      <x:c r="AH950" s="55" t="n">
        <x:v>451</x:v>
      </x:c>
      <x:c r="AI950" s="55" t="n">
        <x:v>10235</x:v>
      </x:c>
      <x:c r="AJ950" s="55" t="n">
        <x:v>321</x:v>
      </x:c>
      <x:c r="AK950" s="55" t="n">
        <x:v>1341</x:v>
      </x:c>
      <x:c r="AL950" s="55" t="n">
        <x:v>1508</x:v>
      </x:c>
      <x:c r="AM950" s="55" t="n">
        <x:v>5644</x:v>
      </x:c>
      <x:c r="AN950" s="55" t="n">
        <x:v>1872</x:v>
      </x:c>
      <x:c r="AO950" s="55" t="n">
        <x:v>0</x:v>
      </x:c>
      <x:c r="AP950" s="55" t="n">
        <x:v>2251</x:v>
      </x:c>
      <x:c r="AQ950" s="55" t="n">
        <x:v>962</x:v>
      </x:c>
    </x:row>
    <x:row r="951">
      <x:c r="A951" s="54" t="str">
        <x:v>T2_CONCORDANT_DOMAIN</x:v>
      </x:c>
      <x:c r="B951" s="54" t="n">
        <x:v>945</x:v>
      </x:c>
      <x:c r="C951" s="54" t="str">
        <x:v>NYC-V2-R01</x:v>
      </x:c>
      <x:c r="D951" s="54" t="str">
        <x:v>V2</x:v>
      </x:c>
      <x:c r="E951" s="54" t="str">
        <x:v>ADMITTED</x:v>
      </x:c>
      <x:c r="F951" s="55" t="n">
        <x:v>31332</x:v>
      </x:c>
      <x:c r="G951" s="55" t="n">
        <x:v>6383</x:v>
      </x:c>
      <x:c r="H951" s="55" t="n">
        <x:v>2740</x:v>
      </x:c>
      <x:c r="I951" s="55" t="n">
        <x:v>948</x:v>
      </x:c>
      <x:c r="J951" s="55" t="n">
        <x:v>180</x:v>
      </x:c>
      <x:c r="K951" s="55" t="n">
        <x:v>31332</x:v>
      </x:c>
      <x:c r="L951" s="55" t="n">
        <x:v>4784</x:v>
      </x:c>
      <x:c r="M951" s="55" t="n">
        <x:v>965</x:v>
      </x:c>
      <x:c r="N951" s="55" t="n">
        <x:v>2567</x:v>
      </x:c>
      <x:c r="O951" s="55" t="n">
        <x:v>1252</x:v>
      </x:c>
      <x:c r="P951" s="55" t="n">
        <x:v>859</x:v>
      </x:c>
      <x:c r="Q951" s="55" t="n">
        <x:v>1994</x:v>
      </x:c>
      <x:c r="R951" s="55" t="n">
        <x:v>1633</x:v>
      </x:c>
      <x:c r="S951" s="55" t="n">
        <x:v>2419</x:v>
      </x:c>
      <x:c r="T951" s="55" t="n">
        <x:v>1388</x:v>
      </x:c>
      <x:c r="U951" s="55" t="n">
        <x:v>2237</x:v>
      </x:c>
      <x:c r="V951" s="55" t="n">
        <x:v>9696</x:v>
      </x:c>
      <x:c r="W951" s="55" t="n">
        <x:v>7134</x:v>
      </x:c>
      <x:c r="X951" s="55" t="n">
        <x:v>2562</x:v>
      </x:c>
      <x:c r="Y951" s="55" t="n">
        <x:v>1935</x:v>
      </x:c>
      <x:c r="Z951" s="55" t="n">
        <x:v>3097</x:v>
      </x:c>
      <x:c r="AA951" s="55" t="n">
        <x:v>2364</x:v>
      </x:c>
      <x:c r="AB951" s="55" t="n">
        <x:v>768</x:v>
      </x:c>
      <x:c r="AC951" s="55" t="n">
        <x:v>7980</x:v>
      </x:c>
      <x:c r="AD951" s="55" t="n">
        <x:v>2482</x:v>
      </x:c>
      <x:c r="AE951" s="55" t="n">
        <x:v>9801</x:v>
      </x:c>
      <x:c r="AF951" s="55" t="n">
        <x:v>9696</x:v>
      </x:c>
      <x:c r="AG951" s="55" t="n">
        <x:v>105</x:v>
      </x:c>
      <x:c r="AH951" s="55" t="n">
        <x:v>298</x:v>
      </x:c>
      <x:c r="AI951" s="55" t="n">
        <x:v>9398</x:v>
      </x:c>
      <x:c r="AJ951" s="55" t="n">
        <x:v>133</x:v>
      </x:c>
      <x:c r="AK951" s="55" t="n">
        <x:v>933</x:v>
      </x:c>
      <x:c r="AL951" s="55" t="n">
        <x:v>1676</x:v>
      </x:c>
      <x:c r="AM951" s="55" t="n">
        <x:v>4517</x:v>
      </x:c>
      <x:c r="AN951" s="55" t="n">
        <x:v>2426</x:v>
      </x:c>
      <x:c r="AO951" s="55" t="n">
        <x:v>11</x:v>
      </x:c>
      <x:c r="AP951" s="55" t="n">
        <x:v>1750</x:v>
      </x:c>
      <x:c r="AQ951" s="55" t="n">
        <x:v>909</x:v>
      </x:c>
    </x:row>
    <x:row r="952">
      <x:c r="A952" s="54" t="str">
        <x:v>T2_CONCORDANT_DOMAIN</x:v>
      </x:c>
      <x:c r="B952" s="54" t="n">
        <x:v>946</x:v>
      </x:c>
      <x:c r="C952" s="54" t="str">
        <x:v>NYC-V2-R01</x:v>
      </x:c>
      <x:c r="D952" s="54" t="str">
        <x:v>V2</x:v>
      </x:c>
      <x:c r="E952" s="54" t="str">
        <x:v>ADMITTED</x:v>
      </x:c>
      <x:c r="F952" s="55" t="n">
        <x:v>32517</x:v>
      </x:c>
      <x:c r="G952" s="55" t="n">
        <x:v>8660</x:v>
      </x:c>
      <x:c r="H952" s="55" t="n">
        <x:v>3825</x:v>
      </x:c>
      <x:c r="I952" s="55" t="n">
        <x:v>1306</x:v>
      </x:c>
      <x:c r="J952" s="55" t="n">
        <x:v>349</x:v>
      </x:c>
      <x:c r="K952" s="55" t="n">
        <x:v>32481</x:v>
      </x:c>
      <x:c r="L952" s="55" t="n">
        <x:v>6488</x:v>
      </x:c>
      <x:c r="M952" s="55" t="n">
        <x:v>1713</x:v>
      </x:c>
      <x:c r="N952" s="55" t="n">
        <x:v>2976</x:v>
      </x:c>
      <x:c r="O952" s="55" t="n">
        <x:v>1799</x:v>
      </x:c>
      <x:c r="P952" s="55" t="n">
        <x:v>1189</x:v>
      </x:c>
      <x:c r="Q952" s="55" t="n">
        <x:v>2377</x:v>
      </x:c>
      <x:c r="R952" s="55" t="n">
        <x:v>1780</x:v>
      </x:c>
      <x:c r="S952" s="55" t="n">
        <x:v>3113</x:v>
      </x:c>
      <x:c r="T952" s="55" t="n">
        <x:v>1426</x:v>
      </x:c>
      <x:c r="U952" s="55" t="n">
        <x:v>2019</x:v>
      </x:c>
      <x:c r="V952" s="55" t="n">
        <x:v>10817</x:v>
      </x:c>
      <x:c r="W952" s="55" t="n">
        <x:v>7614</x:v>
      </x:c>
      <x:c r="X952" s="55" t="n">
        <x:v>3203</x:v>
      </x:c>
      <x:c r="Y952" s="55" t="n">
        <x:v>2745</x:v>
      </x:c>
      <x:c r="Z952" s="55" t="n">
        <x:v>4248</x:v>
      </x:c>
      <x:c r="AA952" s="55" t="n">
        <x:v>3825</x:v>
      </x:c>
      <x:c r="AB952" s="55" t="n">
        <x:v>1386</x:v>
      </x:c>
      <x:c r="AC952" s="55" t="n">
        <x:v>8700</x:v>
      </x:c>
      <x:c r="AD952" s="55" t="n">
        <x:v>3164</x:v>
      </x:c>
      <x:c r="AE952" s="55" t="n">
        <x:v>10939</x:v>
      </x:c>
      <x:c r="AF952" s="55" t="n">
        <x:v>10817</x:v>
      </x:c>
      <x:c r="AG952" s="55" t="n">
        <x:v>122</x:v>
      </x:c>
      <x:c r="AH952" s="55" t="n">
        <x:v>507</x:v>
      </x:c>
      <x:c r="AI952" s="55" t="n">
        <x:v>10310</x:v>
      </x:c>
      <x:c r="AJ952" s="55" t="n">
        <x:v>344</x:v>
      </x:c>
      <x:c r="AK952" s="55" t="n">
        <x:v>1132</x:v>
      </x:c>
      <x:c r="AL952" s="55" t="n">
        <x:v>1698</x:v>
      </x:c>
      <x:c r="AM952" s="55" t="n">
        <x:v>4927</x:v>
      </x:c>
      <x:c r="AN952" s="55" t="n">
        <x:v>2704</x:v>
      </x:c>
      <x:c r="AO952" s="55" t="n">
        <x:v>12</x:v>
      </x:c>
      <x:c r="AP952" s="55" t="n">
        <x:v>2847</x:v>
      </x:c>
      <x:c r="AQ952" s="55" t="n">
        <x:v>971</x:v>
      </x:c>
    </x:row>
    <x:row r="953">
      <x:c r="A953" s="54" t="str">
        <x:v>T2_CONCORDANT_DOMAIN</x:v>
      </x:c>
      <x:c r="B953" s="54" t="n">
        <x:v>947</x:v>
      </x:c>
      <x:c r="C953" s="54" t="str">
        <x:v>NYC-V2-R01</x:v>
      </x:c>
      <x:c r="D953" s="54" t="str">
        <x:v>V2</x:v>
      </x:c>
      <x:c r="E953" s="54" t="str">
        <x:v>ADMITTED</x:v>
      </x:c>
      <x:c r="F953" s="55" t="n">
        <x:v>31577</x:v>
      </x:c>
      <x:c r="G953" s="55" t="n">
        <x:v>8902</x:v>
      </x:c>
      <x:c r="H953" s="55" t="n">
        <x:v>3457</x:v>
      </x:c>
      <x:c r="I953" s="55" t="n">
        <x:v>1600</x:v>
      </x:c>
      <x:c r="J953" s="55" t="n">
        <x:v>233</x:v>
      </x:c>
      <x:c r="K953" s="55" t="n">
        <x:v>29046</x:v>
      </x:c>
      <x:c r="L953" s="55" t="n">
        <x:v>5201</x:v>
      </x:c>
      <x:c r="M953" s="55" t="n">
        <x:v>1025</x:v>
      </x:c>
      <x:c r="N953" s="55" t="n">
        <x:v>2643</x:v>
      </x:c>
      <x:c r="O953" s="55" t="n">
        <x:v>1533</x:v>
      </x:c>
      <x:c r="P953" s="55" t="n">
        <x:v>848</x:v>
      </x:c>
      <x:c r="Q953" s="55" t="n">
        <x:v>2140</x:v>
      </x:c>
      <x:c r="R953" s="55" t="n">
        <x:v>1925</x:v>
      </x:c>
      <x:c r="S953" s="55" t="n">
        <x:v>2973</x:v>
      </x:c>
      <x:c r="T953" s="55" t="n">
        <x:v>1583</x:v>
      </x:c>
      <x:c r="U953" s="55" t="n">
        <x:v>2004</x:v>
      </x:c>
      <x:c r="V953" s="55" t="n">
        <x:v>9947</x:v>
      </x:c>
      <x:c r="W953" s="55" t="n">
        <x:v>6947</x:v>
      </x:c>
      <x:c r="X953" s="55" t="n">
        <x:v>3000</x:v>
      </x:c>
      <x:c r="Y953" s="55" t="n">
        <x:v>2486</x:v>
      </x:c>
      <x:c r="Z953" s="55" t="n">
        <x:v>3613</x:v>
      </x:c>
      <x:c r="AA953" s="55" t="n">
        <x:v>2883</x:v>
      </x:c>
      <x:c r="AB953" s="55" t="n">
        <x:v>1226</x:v>
      </x:c>
      <x:c r="AC953" s="55" t="n">
        <x:v>7812</x:v>
      </x:c>
      <x:c r="AD953" s="55" t="n">
        <x:v>2717</x:v>
      </x:c>
      <x:c r="AE953" s="55" t="n">
        <x:v>9954</x:v>
      </x:c>
      <x:c r="AF953" s="55" t="n">
        <x:v>9947</x:v>
      </x:c>
      <x:c r="AG953" s="55" t="n">
        <x:v>7</x:v>
      </x:c>
      <x:c r="AH953" s="55" t="n">
        <x:v>472</x:v>
      </x:c>
      <x:c r="AI953" s="55" t="n">
        <x:v>9475</x:v>
      </x:c>
      <x:c r="AJ953" s="55" t="n">
        <x:v>384</x:v>
      </x:c>
      <x:c r="AK953" s="55" t="n">
        <x:v>875</x:v>
      </x:c>
      <x:c r="AL953" s="55" t="n">
        <x:v>1606</x:v>
      </x:c>
      <x:c r="AM953" s="55" t="n">
        <x:v>4816</x:v>
      </x:c>
      <x:c r="AN953" s="55" t="n">
        <x:v>2247</x:v>
      </x:c>
      <x:c r="AO953" s="55" t="n">
        <x:v>19</x:v>
      </x:c>
      <x:c r="AP953" s="55" t="n">
        <x:v>2559</x:v>
      </x:c>
      <x:c r="AQ953" s="55" t="n">
        <x:v>981</x:v>
      </x:c>
    </x:row>
    <x:row r="954">
      <x:c r="A954" s="54" t="str">
        <x:v>T2_CONCORDANT_DOMAIN</x:v>
      </x:c>
      <x:c r="B954" s="54" t="n">
        <x:v>948</x:v>
      </x:c>
      <x:c r="C954" s="54" t="str">
        <x:v>NYC-V2-R01</x:v>
      </x:c>
      <x:c r="D954" s="54" t="str">
        <x:v>V2</x:v>
      </x:c>
      <x:c r="E954" s="54" t="str">
        <x:v>ADMITTED</x:v>
      </x:c>
      <x:c r="F954" s="55" t="n">
        <x:v>32459</x:v>
      </x:c>
      <x:c r="G954" s="55" t="n">
        <x:v>8923</x:v>
      </x:c>
      <x:c r="H954" s="55" t="n">
        <x:v>3674</x:v>
      </x:c>
      <x:c r="I954" s="55" t="n">
        <x:v>1195</x:v>
      </x:c>
      <x:c r="J954" s="55" t="n">
        <x:v>157</x:v>
      </x:c>
      <x:c r="K954" s="55" t="n">
        <x:v>30946</x:v>
      </x:c>
      <x:c r="L954" s="55" t="n">
        <x:v>6302</x:v>
      </x:c>
      <x:c r="M954" s="55" t="n">
        <x:v>1454</x:v>
      </x:c>
      <x:c r="N954" s="55" t="n">
        <x:v>2791</x:v>
      </x:c>
      <x:c r="O954" s="55" t="n">
        <x:v>2057</x:v>
      </x:c>
      <x:c r="P954" s="55" t="n">
        <x:v>891</x:v>
      </x:c>
      <x:c r="Q954" s="55" t="n">
        <x:v>3082</x:v>
      </x:c>
      <x:c r="R954" s="55" t="n">
        <x:v>1683</x:v>
      </x:c>
      <x:c r="S954" s="55" t="n">
        <x:v>3245</x:v>
      </x:c>
      <x:c r="T954" s="55" t="n">
        <x:v>1661</x:v>
      </x:c>
      <x:c r="U954" s="55" t="n">
        <x:v>2430</x:v>
      </x:c>
      <x:c r="V954" s="55" t="n">
        <x:v>10968</x:v>
      </x:c>
      <x:c r="W954" s="55" t="n">
        <x:v>7409</x:v>
      </x:c>
      <x:c r="X954" s="55" t="n">
        <x:v>3559</x:v>
      </x:c>
      <x:c r="Y954" s="55" t="n">
        <x:v>3149</x:v>
      </x:c>
      <x:c r="Z954" s="55" t="n">
        <x:v>4312</x:v>
      </x:c>
      <x:c r="AA954" s="55" t="n">
        <x:v>3674</x:v>
      </x:c>
      <x:c r="AB954" s="55" t="n">
        <x:v>1600</x:v>
      </x:c>
      <x:c r="AC954" s="55" t="n">
        <x:v>8581</x:v>
      </x:c>
      <x:c r="AD954" s="55" t="n">
        <x:v>3297</x:v>
      </x:c>
      <x:c r="AE954" s="55" t="n">
        <x:v>11068</x:v>
      </x:c>
      <x:c r="AF954" s="55" t="n">
        <x:v>10968</x:v>
      </x:c>
      <x:c r="AG954" s="55" t="n">
        <x:v>100</x:v>
      </x:c>
      <x:c r="AH954" s="55" t="n">
        <x:v>588</x:v>
      </x:c>
      <x:c r="AI954" s="55" t="n">
        <x:v>10380</x:v>
      </x:c>
      <x:c r="AJ954" s="55" t="n">
        <x:v>464</x:v>
      </x:c>
      <x:c r="AK954" s="55" t="n">
        <x:v>1052</x:v>
      </x:c>
      <x:c r="AL954" s="55" t="n">
        <x:v>1859</x:v>
      </x:c>
      <x:c r="AM954" s="55" t="n">
        <x:v>5032</x:v>
      </x:c>
      <x:c r="AN954" s="55" t="n">
        <x:v>2502</x:v>
      </x:c>
      <x:c r="AO954" s="55" t="n">
        <x:v>59</x:v>
      </x:c>
      <x:c r="AP954" s="55" t="n">
        <x:v>2662</x:v>
      </x:c>
      <x:c r="AQ954" s="55" t="n">
        <x:v>978</x:v>
      </x:c>
    </x:row>
    <x:row r="955">
      <x:c r="A955" s="54" t="str">
        <x:v>T2_CONCORDANT_DOMAIN</x:v>
      </x:c>
      <x:c r="B955" s="54" t="n">
        <x:v>949</x:v>
      </x:c>
      <x:c r="C955" s="54" t="str">
        <x:v>NYC-V2-R01</x:v>
      </x:c>
      <x:c r="D955" s="54" t="str">
        <x:v>V2</x:v>
      </x:c>
      <x:c r="E955" s="54" t="str">
        <x:v>ADMITTED</x:v>
      </x:c>
      <x:c r="F955" s="55" t="n">
        <x:v>32285</x:v>
      </x:c>
      <x:c r="G955" s="55" t="n">
        <x:v>8257</x:v>
      </x:c>
      <x:c r="H955" s="55" t="n">
        <x:v>3160</x:v>
      </x:c>
      <x:c r="I955" s="55" t="n">
        <x:v>1328</x:v>
      </x:c>
      <x:c r="J955" s="55" t="n">
        <x:v>292</x:v>
      </x:c>
      <x:c r="K955" s="55" t="n">
        <x:v>29465</x:v>
      </x:c>
      <x:c r="L955" s="55" t="n">
        <x:v>4841</x:v>
      </x:c>
      <x:c r="M955" s="55" t="n">
        <x:v>1103</x:v>
      </x:c>
      <x:c r="N955" s="55" t="n">
        <x:v>2553</x:v>
      </x:c>
      <x:c r="O955" s="55" t="n">
        <x:v>1185</x:v>
      </x:c>
      <x:c r="P955" s="55" t="n">
        <x:v>859</x:v>
      </x:c>
      <x:c r="Q955" s="55" t="n">
        <x:v>2680</x:v>
      </x:c>
      <x:c r="R955" s="55" t="n">
        <x:v>1485</x:v>
      </x:c>
      <x:c r="S955" s="55" t="n">
        <x:v>2110</x:v>
      </x:c>
      <x:c r="T955" s="55" t="n">
        <x:v>935</x:v>
      </x:c>
      <x:c r="U955" s="55" t="n">
        <x:v>1808</x:v>
      </x:c>
      <x:c r="V955" s="55" t="n">
        <x:v>10373</x:v>
      </x:c>
      <x:c r="W955" s="55" t="n">
        <x:v>7209</x:v>
      </x:c>
      <x:c r="X955" s="55" t="n">
        <x:v>3164</x:v>
      </x:c>
      <x:c r="Y955" s="55" t="n">
        <x:v>2764</x:v>
      </x:c>
      <x:c r="Z955" s="55" t="n">
        <x:v>3453</x:v>
      </x:c>
      <x:c r="AA955" s="55" t="n">
        <x:v>3125</x:v>
      </x:c>
      <x:c r="AB955" s="55" t="n">
        <x:v>876</x:v>
      </x:c>
      <x:c r="AC955" s="55" t="n">
        <x:v>8091</x:v>
      </x:c>
      <x:c r="AD955" s="55" t="n">
        <x:v>2576</x:v>
      </x:c>
      <x:c r="AE955" s="55" t="n">
        <x:v>10443</x:v>
      </x:c>
      <x:c r="AF955" s="55" t="n">
        <x:v>10373</x:v>
      </x:c>
      <x:c r="AG955" s="55" t="n">
        <x:v>70</x:v>
      </x:c>
      <x:c r="AH955" s="55" t="n">
        <x:v>336</x:v>
      </x:c>
      <x:c r="AI955" s="55" t="n">
        <x:v>10037</x:v>
      </x:c>
      <x:c r="AJ955" s="55" t="n">
        <x:v>307</x:v>
      </x:c>
      <x:c r="AK955" s="55" t="n">
        <x:v>864</x:v>
      </x:c>
      <x:c r="AL955" s="55" t="n">
        <x:v>1479</x:v>
      </x:c>
      <x:c r="AM955" s="55" t="n">
        <x:v>5053</x:v>
      </x:c>
      <x:c r="AN955" s="55" t="n">
        <x:v>2670</x:v>
      </x:c>
      <x:c r="AO955" s="55" t="n">
        <x:v>0</x:v>
      </x:c>
      <x:c r="AP955" s="55" t="n">
        <x:v>2276</x:v>
      </x:c>
      <x:c r="AQ955" s="55" t="n">
        <x:v>966</x:v>
      </x:c>
    </x:row>
    <x:row r="956">
      <x:c r="A956" s="54" t="str">
        <x:v>T2_CONCORDANT_DOMAIN</x:v>
      </x:c>
      <x:c r="B956" s="54" t="n">
        <x:v>950</x:v>
      </x:c>
      <x:c r="C956" s="54" t="str">
        <x:v>NYC-V2-R01</x:v>
      </x:c>
      <x:c r="D956" s="54" t="str">
        <x:v>V2</x:v>
      </x:c>
      <x:c r="E956" s="54" t="str">
        <x:v>ADMITTED</x:v>
      </x:c>
      <x:c r="F956" s="55" t="n">
        <x:v>29993</x:v>
      </x:c>
      <x:c r="G956" s="55" t="n">
        <x:v>7845</x:v>
      </x:c>
      <x:c r="H956" s="55" t="n">
        <x:v>3512</x:v>
      </x:c>
      <x:c r="I956" s="55" t="n">
        <x:v>1245</x:v>
      </x:c>
      <x:c r="J956" s="55" t="n">
        <x:v>301</x:v>
      </x:c>
      <x:c r="K956" s="55" t="n">
        <x:v>29993</x:v>
      </x:c>
      <x:c r="L956" s="55" t="n">
        <x:v>5723</x:v>
      </x:c>
      <x:c r="M956" s="55" t="n">
        <x:v>1338</x:v>
      </x:c>
      <x:c r="N956" s="55" t="n">
        <x:v>2672</x:v>
      </x:c>
      <x:c r="O956" s="55" t="n">
        <x:v>1713</x:v>
      </x:c>
      <x:c r="P956" s="55" t="n">
        <x:v>691</x:v>
      </x:c>
      <x:c r="Q956" s="55" t="n">
        <x:v>3058</x:v>
      </x:c>
      <x:c r="R956" s="55" t="n">
        <x:v>1670</x:v>
      </x:c>
      <x:c r="S956" s="55" t="n">
        <x:v>2902</x:v>
      </x:c>
      <x:c r="T956" s="55" t="n">
        <x:v>1246</x:v>
      </x:c>
      <x:c r="U956" s="55" t="n">
        <x:v>2566</x:v>
      </x:c>
      <x:c r="V956" s="55" t="n">
        <x:v>10177</x:v>
      </x:c>
      <x:c r="W956" s="55" t="n">
        <x:v>6778</x:v>
      </x:c>
      <x:c r="X956" s="55" t="n">
        <x:v>3399</x:v>
      </x:c>
      <x:c r="Y956" s="55" t="n">
        <x:v>2881</x:v>
      </x:c>
      <x:c r="Z956" s="55" t="n">
        <x:v>4061</x:v>
      </x:c>
      <x:c r="AA956" s="55" t="n">
        <x:v>3512</x:v>
      </x:c>
      <x:c r="AB956" s="55" t="n">
        <x:v>1263</x:v>
      </x:c>
      <x:c r="AC956" s="55" t="n">
        <x:v>8162</x:v>
      </x:c>
      <x:c r="AD956" s="55" t="n">
        <x:v>2981</x:v>
      </x:c>
      <x:c r="AE956" s="55" t="n">
        <x:v>10247</x:v>
      </x:c>
      <x:c r="AF956" s="55" t="n">
        <x:v>10177</x:v>
      </x:c>
      <x:c r="AG956" s="55" t="n">
        <x:v>70</x:v>
      </x:c>
      <x:c r="AH956" s="55" t="n">
        <x:v>471</x:v>
      </x:c>
      <x:c r="AI956" s="55" t="n">
        <x:v>9706</x:v>
      </x:c>
      <x:c r="AJ956" s="55" t="n">
        <x:v>265</x:v>
      </x:c>
      <x:c r="AK956" s="55" t="n">
        <x:v>1121</x:v>
      </x:c>
      <x:c r="AL956" s="55" t="n">
        <x:v>1681</x:v>
      </x:c>
      <x:c r="AM956" s="55" t="n">
        <x:v>4811</x:v>
      </x:c>
      <x:c r="AN956" s="55" t="n">
        <x:v>2299</x:v>
      </x:c>
      <x:c r="AO956" s="55" t="n">
        <x:v>0</x:v>
      </x:c>
      <x:c r="AP956" s="55" t="n">
        <x:v>2696</x:v>
      </x:c>
      <x:c r="AQ956" s="55" t="n">
        <x:v>979</x:v>
      </x:c>
    </x:row>
    <x:row r="957">
      <x:c r="A957" s="54" t="str">
        <x:v>T2_CONCORDANT_DOMAIN</x:v>
      </x:c>
      <x:c r="B957" s="54" t="n">
        <x:v>951</x:v>
      </x:c>
      <x:c r="C957" s="54" t="str">
        <x:v>NYC-V2-R01</x:v>
      </x:c>
      <x:c r="D957" s="54" t="str">
        <x:v>V2</x:v>
      </x:c>
      <x:c r="E957" s="54" t="str">
        <x:v>ADMITTED</x:v>
      </x:c>
      <x:c r="F957" s="55" t="n">
        <x:v>31815</x:v>
      </x:c>
      <x:c r="G957" s="55" t="n">
        <x:v>7111</x:v>
      </x:c>
      <x:c r="H957" s="55" t="n">
        <x:v>3422</x:v>
      </x:c>
      <x:c r="I957" s="55" t="n">
        <x:v>1027</x:v>
      </x:c>
      <x:c r="J957" s="55" t="n">
        <x:v>182</x:v>
      </x:c>
      <x:c r="K957" s="55" t="n">
        <x:v>31815</x:v>
      </x:c>
      <x:c r="L957" s="55" t="n">
        <x:v>5989</x:v>
      </x:c>
      <x:c r="M957" s="55" t="n">
        <x:v>1409</x:v>
      </x:c>
      <x:c r="N957" s="55" t="n">
        <x:v>2753</x:v>
      </x:c>
      <x:c r="O957" s="55" t="n">
        <x:v>1827</x:v>
      </x:c>
      <x:c r="P957" s="55" t="n">
        <x:v>527</x:v>
      </x:c>
      <x:c r="Q957" s="55" t="n">
        <x:v>3209</x:v>
      </x:c>
      <x:c r="R957" s="55" t="n">
        <x:v>2208</x:v>
      </x:c>
      <x:c r="S957" s="55" t="n">
        <x:v>3079</x:v>
      </x:c>
      <x:c r="T957" s="55" t="n">
        <x:v>1223</x:v>
      </x:c>
      <x:c r="U957" s="55" t="n">
        <x:v>1839</x:v>
      </x:c>
      <x:c r="V957" s="55" t="n">
        <x:v>10372</x:v>
      </x:c>
      <x:c r="W957" s="55" t="n">
        <x:v>7162</x:v>
      </x:c>
      <x:c r="X957" s="55" t="n">
        <x:v>3210</x:v>
      </x:c>
      <x:c r="Y957" s="55" t="n">
        <x:v>2723</x:v>
      </x:c>
      <x:c r="Z957" s="55" t="n">
        <x:v>3758</x:v>
      </x:c>
      <x:c r="AA957" s="55" t="n">
        <x:v>3422</x:v>
      </x:c>
      <x:c r="AB957" s="55" t="n">
        <x:v>1230</x:v>
      </x:c>
      <x:c r="AC957" s="55" t="n">
        <x:v>7814</x:v>
      </x:c>
      <x:c r="AD957" s="55" t="n">
        <x:v>3121</x:v>
      </x:c>
      <x:c r="AE957" s="55" t="n">
        <x:v>10462</x:v>
      </x:c>
      <x:c r="AF957" s="55" t="n">
        <x:v>10372</x:v>
      </x:c>
      <x:c r="AG957" s="55" t="n">
        <x:v>90</x:v>
      </x:c>
      <x:c r="AH957" s="55" t="n">
        <x:v>376</x:v>
      </x:c>
      <x:c r="AI957" s="55" t="n">
        <x:v>9996</x:v>
      </x:c>
      <x:c r="AJ957" s="55" t="n">
        <x:v>400</x:v>
      </x:c>
      <x:c r="AK957" s="55" t="n">
        <x:v>726</x:v>
      </x:c>
      <x:c r="AL957" s="55" t="n">
        <x:v>1234</x:v>
      </x:c>
      <x:c r="AM957" s="55" t="n">
        <x:v>5212</x:v>
      </x:c>
      <x:c r="AN957" s="55" t="n">
        <x:v>2800</x:v>
      </x:c>
      <x:c r="AO957" s="55" t="n">
        <x:v>0</x:v>
      </x:c>
      <x:c r="AP957" s="55" t="n">
        <x:v>2510</x:v>
      </x:c>
      <x:c r="AQ957" s="55" t="n">
        <x:v>948</x:v>
      </x:c>
    </x:row>
    <x:row r="958">
      <x:c r="A958" s="54" t="str">
        <x:v>T2_CONCORDANT_DOMAIN</x:v>
      </x:c>
      <x:c r="B958" s="54" t="n">
        <x:v>952</x:v>
      </x:c>
      <x:c r="C958" s="54" t="str">
        <x:v>NYC-V2-R01</x:v>
      </x:c>
      <x:c r="D958" s="54" t="str">
        <x:v>V2</x:v>
      </x:c>
      <x:c r="E958" s="54" t="str">
        <x:v>ADMITTED</x:v>
      </x:c>
      <x:c r="F958" s="55" t="n">
        <x:v>32096</x:v>
      </x:c>
      <x:c r="G958" s="55" t="n">
        <x:v>6411</x:v>
      </x:c>
      <x:c r="H958" s="55" t="n">
        <x:v>3738</x:v>
      </x:c>
      <x:c r="I958" s="55" t="n">
        <x:v>2014</x:v>
      </x:c>
      <x:c r="J958" s="55" t="n">
        <x:v>417</x:v>
      </x:c>
      <x:c r="K958" s="55" t="n">
        <x:v>32096</x:v>
      </x:c>
      <x:c r="L958" s="55" t="n">
        <x:v>5628</x:v>
      </x:c>
      <x:c r="M958" s="55" t="n">
        <x:v>1600</x:v>
      </x:c>
      <x:c r="N958" s="55" t="n">
        <x:v>2349</x:v>
      </x:c>
      <x:c r="O958" s="55" t="n">
        <x:v>1679</x:v>
      </x:c>
      <x:c r="P958" s="55" t="n">
        <x:v>915</x:v>
      </x:c>
      <x:c r="Q958" s="55" t="n">
        <x:v>3198</x:v>
      </x:c>
      <x:c r="R958" s="55" t="n">
        <x:v>1252</x:v>
      </x:c>
      <x:c r="S958" s="55" t="n">
        <x:v>3112</x:v>
      </x:c>
      <x:c r="T958" s="55" t="n">
        <x:v>1324</x:v>
      </x:c>
      <x:c r="U958" s="55" t="n">
        <x:v>1700</x:v>
      </x:c>
      <x:c r="V958" s="55" t="n">
        <x:v>10825</x:v>
      </x:c>
      <x:c r="W958" s="55" t="n">
        <x:v>7624</x:v>
      </x:c>
      <x:c r="X958" s="55" t="n">
        <x:v>3201</x:v>
      </x:c>
      <x:c r="Y958" s="55" t="n">
        <x:v>2921</x:v>
      </x:c>
      <x:c r="Z958" s="55" t="n">
        <x:v>3992</x:v>
      </x:c>
      <x:c r="AA958" s="55" t="n">
        <x:v>3294</x:v>
      </x:c>
      <x:c r="AB958" s="55" t="n">
        <x:v>1099</x:v>
      </x:c>
      <x:c r="AC958" s="55" t="n">
        <x:v>8502</x:v>
      </x:c>
      <x:c r="AD958" s="55" t="n">
        <x:v>3242</x:v>
      </x:c>
      <x:c r="AE958" s="55" t="n">
        <x:v>10944</x:v>
      </x:c>
      <x:c r="AF958" s="55" t="n">
        <x:v>10825</x:v>
      </x:c>
      <x:c r="AG958" s="55" t="n">
        <x:v>119</x:v>
      </x:c>
      <x:c r="AH958" s="55" t="n">
        <x:v>589</x:v>
      </x:c>
      <x:c r="AI958" s="55" t="n">
        <x:v>10236</x:v>
      </x:c>
      <x:c r="AJ958" s="55" t="n">
        <x:v>390</x:v>
      </x:c>
      <x:c r="AK958" s="55" t="n">
        <x:v>949</x:v>
      </x:c>
      <x:c r="AL958" s="55" t="n">
        <x:v>1372</x:v>
      </x:c>
      <x:c r="AM958" s="55" t="n">
        <x:v>5029</x:v>
      </x:c>
      <x:c r="AN958" s="55" t="n">
        <x:v>3046</x:v>
      </x:c>
      <x:c r="AO958" s="55" t="n">
        <x:v>39</x:v>
      </x:c>
      <x:c r="AP958" s="55" t="n">
        <x:v>2297</x:v>
      </x:c>
      <x:c r="AQ958" s="55" t="n">
        <x:v>1000</x:v>
      </x:c>
    </x:row>
    <x:row r="959">
      <x:c r="A959" s="54" t="str">
        <x:v>T2_CONCORDANT_DOMAIN</x:v>
      </x:c>
      <x:c r="B959" s="54" t="n">
        <x:v>953</x:v>
      </x:c>
      <x:c r="C959" s="54" t="str">
        <x:v>NYC-V2-R01</x:v>
      </x:c>
      <x:c r="D959" s="54" t="str">
        <x:v>V2</x:v>
      </x:c>
      <x:c r="E959" s="54" t="str">
        <x:v>ADMITTED</x:v>
      </x:c>
      <x:c r="F959" s="55" t="n">
        <x:v>30201</x:v>
      </x:c>
      <x:c r="G959" s="55" t="n">
        <x:v>5756</x:v>
      </x:c>
      <x:c r="H959" s="55" t="n">
        <x:v>3034</x:v>
      </x:c>
      <x:c r="I959" s="55" t="n">
        <x:v>888</x:v>
      </x:c>
      <x:c r="J959" s="55" t="n">
        <x:v>137</x:v>
      </x:c>
      <x:c r="K959" s="55" t="n">
        <x:v>30201</x:v>
      </x:c>
      <x:c r="L959" s="55" t="n">
        <x:v>4629</x:v>
      </x:c>
      <x:c r="M959" s="55" t="n">
        <x:v>1044</x:v>
      </x:c>
      <x:c r="N959" s="55" t="n">
        <x:v>2134</x:v>
      </x:c>
      <x:c r="O959" s="55" t="n">
        <x:v>1451</x:v>
      </x:c>
      <x:c r="P959" s="55" t="n">
        <x:v>668</x:v>
      </x:c>
      <x:c r="Q959" s="55" t="n">
        <x:v>2715</x:v>
      </x:c>
      <x:c r="R959" s="55" t="n">
        <x:v>1778</x:v>
      </x:c>
      <x:c r="S959" s="55" t="n">
        <x:v>2498</x:v>
      </x:c>
      <x:c r="T959" s="55" t="n">
        <x:v>1079</x:v>
      </x:c>
      <x:c r="U959" s="55" t="n">
        <x:v>1678</x:v>
      </x:c>
      <x:c r="V959" s="55" t="n">
        <x:v>10203</x:v>
      </x:c>
      <x:c r="W959" s="55" t="n">
        <x:v>7388</x:v>
      </x:c>
      <x:c r="X959" s="55" t="n">
        <x:v>2815</x:v>
      </x:c>
      <x:c r="Y959" s="55" t="n">
        <x:v>2311</x:v>
      </x:c>
      <x:c r="Z959" s="55" t="n">
        <x:v>3422</x:v>
      </x:c>
      <x:c r="AA959" s="55" t="n">
        <x:v>3034</x:v>
      </x:c>
      <x:c r="AB959" s="55" t="n">
        <x:v>982</x:v>
      </x:c>
      <x:c r="AC959" s="55" t="n">
        <x:v>7772</x:v>
      </x:c>
      <x:c r="AD959" s="55" t="n">
        <x:v>2307</x:v>
      </x:c>
      <x:c r="AE959" s="55" t="n">
        <x:v>10244</x:v>
      </x:c>
      <x:c r="AF959" s="55" t="n">
        <x:v>10203</x:v>
      </x:c>
      <x:c r="AG959" s="55" t="n">
        <x:v>41</x:v>
      </x:c>
      <x:c r="AH959" s="55" t="n">
        <x:v>276</x:v>
      </x:c>
      <x:c r="AI959" s="55" t="n">
        <x:v>9927</x:v>
      </x:c>
      <x:c r="AJ959" s="55" t="n">
        <x:v>266</x:v>
      </x:c>
      <x:c r="AK959" s="55" t="n">
        <x:v>990</x:v>
      </x:c>
      <x:c r="AL959" s="55" t="n">
        <x:v>1687</x:v>
      </x:c>
      <x:c r="AM959" s="55" t="n">
        <x:v>5174</x:v>
      </x:c>
      <x:c r="AN959" s="55" t="n">
        <x:v>2075</x:v>
      </x:c>
      <x:c r="AO959" s="55" t="n">
        <x:v>11</x:v>
      </x:c>
      <x:c r="AP959" s="55" t="n">
        <x:v>2217</x:v>
      </x:c>
      <x:c r="AQ959" s="55" t="n">
        <x:v>931</x:v>
      </x:c>
    </x:row>
    <x:row r="960">
      <x:c r="A960" s="54" t="str">
        <x:v>T2_CONCORDANT_DOMAIN</x:v>
      </x:c>
      <x:c r="B960" s="54" t="n">
        <x:v>954</x:v>
      </x:c>
      <x:c r="C960" s="54" t="str">
        <x:v>NYC-V2-R01</x:v>
      </x:c>
      <x:c r="D960" s="54" t="str">
        <x:v>V2</x:v>
      </x:c>
      <x:c r="E960" s="54" t="str">
        <x:v>ADMITTED</x:v>
      </x:c>
      <x:c r="F960" s="55" t="n">
        <x:v>30266</x:v>
      </x:c>
      <x:c r="G960" s="55" t="n">
        <x:v>6816</x:v>
      </x:c>
      <x:c r="H960" s="55" t="n">
        <x:v>2988</x:v>
      </x:c>
      <x:c r="I960" s="55" t="n">
        <x:v>1195</x:v>
      </x:c>
      <x:c r="J960" s="55" t="n">
        <x:v>175</x:v>
      </x:c>
      <x:c r="K960" s="55" t="n">
        <x:v>30266</x:v>
      </x:c>
      <x:c r="L960" s="55" t="n">
        <x:v>4761</x:v>
      </x:c>
      <x:c r="M960" s="55" t="n">
        <x:v>921</x:v>
      </x:c>
      <x:c r="N960" s="55" t="n">
        <x:v>1946</x:v>
      </x:c>
      <x:c r="O960" s="55" t="n">
        <x:v>1894</x:v>
      </x:c>
      <x:c r="P960" s="55" t="n">
        <x:v>909</x:v>
      </x:c>
      <x:c r="Q960" s="55" t="n">
        <x:v>2586</x:v>
      </x:c>
      <x:c r="R960" s="55" t="n">
        <x:v>1812</x:v>
      </x:c>
      <x:c r="S960" s="55" t="n">
        <x:v>2489</x:v>
      </x:c>
      <x:c r="T960" s="55" t="n">
        <x:v>1321</x:v>
      </x:c>
      <x:c r="U960" s="55" t="n">
        <x:v>1813</x:v>
      </x:c>
      <x:c r="V960" s="55" t="n">
        <x:v>10689</x:v>
      </x:c>
      <x:c r="W960" s="55" t="n">
        <x:v>8073</x:v>
      </x:c>
      <x:c r="X960" s="55" t="n">
        <x:v>2616</x:v>
      </x:c>
      <x:c r="Y960" s="55" t="n">
        <x:v>2098</x:v>
      </x:c>
      <x:c r="Z960" s="55" t="n">
        <x:v>3337</x:v>
      </x:c>
      <x:c r="AA960" s="55" t="n">
        <x:v>2448</x:v>
      </x:c>
      <x:c r="AB960" s="55" t="n">
        <x:v>884</x:v>
      </x:c>
      <x:c r="AC960" s="55" t="n">
        <x:v>7378</x:v>
      </x:c>
      <x:c r="AD960" s="55" t="n">
        <x:v>2447</x:v>
      </x:c>
      <x:c r="AE960" s="55" t="n">
        <x:v>10689</x:v>
      </x:c>
      <x:c r="AF960" s="55" t="n">
        <x:v>10689</x:v>
      </x:c>
      <x:c r="AG960" s="55" t="n">
        <x:v>0</x:v>
      </x:c>
      <x:c r="AH960" s="55" t="n">
        <x:v>287</x:v>
      </x:c>
      <x:c r="AI960" s="55" t="n">
        <x:v>10402</x:v>
      </x:c>
      <x:c r="AJ960" s="55" t="n">
        <x:v>260</x:v>
      </x:c>
      <x:c r="AK960" s="55" t="n">
        <x:v>1148</x:v>
      </x:c>
      <x:c r="AL960" s="55" t="n">
        <x:v>1706</x:v>
      </x:c>
      <x:c r="AM960" s="55" t="n">
        <x:v>4923</x:v>
      </x:c>
      <x:c r="AN960" s="55" t="n">
        <x:v>2652</x:v>
      </x:c>
      <x:c r="AO960" s="55" t="n">
        <x:v>0</x:v>
      </x:c>
      <x:c r="AP960" s="55" t="n">
        <x:v>1892</x:v>
      </x:c>
      <x:c r="AQ960" s="55" t="n">
        <x:v>945</x:v>
      </x:c>
    </x:row>
    <x:row r="961">
      <x:c r="A961" s="54" t="str">
        <x:v>T2_CONCORDANT_DOMAIN</x:v>
      </x:c>
      <x:c r="B961" s="54" t="n">
        <x:v>955</x:v>
      </x:c>
      <x:c r="C961" s="54" t="str">
        <x:v>NYC-V2-R01</x:v>
      </x:c>
      <x:c r="D961" s="54" t="str">
        <x:v>V2</x:v>
      </x:c>
      <x:c r="E961" s="54" t="str">
        <x:v>ADMITTED</x:v>
      </x:c>
      <x:c r="F961" s="55" t="n">
        <x:v>31671</x:v>
      </x:c>
      <x:c r="G961" s="55" t="n">
        <x:v>7145</x:v>
      </x:c>
      <x:c r="H961" s="55" t="n">
        <x:v>3359</x:v>
      </x:c>
      <x:c r="I961" s="55" t="n">
        <x:v>1174</x:v>
      </x:c>
      <x:c r="J961" s="55" t="n">
        <x:v>226</x:v>
      </x:c>
      <x:c r="K961" s="55" t="n">
        <x:v>31671</x:v>
      </x:c>
      <x:c r="L961" s="55" t="n">
        <x:v>5754</x:v>
      </x:c>
      <x:c r="M961" s="55" t="n">
        <x:v>1095</x:v>
      </x:c>
      <x:c r="N961" s="55" t="n">
        <x:v>2935</x:v>
      </x:c>
      <x:c r="O961" s="55" t="n">
        <x:v>1724</x:v>
      </x:c>
      <x:c r="P961" s="55" t="n">
        <x:v>567</x:v>
      </x:c>
      <x:c r="Q961" s="55" t="n">
        <x:v>2105</x:v>
      </x:c>
      <x:c r="R961" s="55" t="n">
        <x:v>1694</x:v>
      </x:c>
      <x:c r="S961" s="55" t="n">
        <x:v>3046</x:v>
      </x:c>
      <x:c r="T961" s="55" t="n">
        <x:v>1201</x:v>
      </x:c>
      <x:c r="U961" s="55" t="n">
        <x:v>1806</x:v>
      </x:c>
      <x:c r="V961" s="55" t="n">
        <x:v>10546</x:v>
      </x:c>
      <x:c r="W961" s="55" t="n">
        <x:v>7434</x:v>
      </x:c>
      <x:c r="X961" s="55" t="n">
        <x:v>3112</x:v>
      </x:c>
      <x:c r="Y961" s="55" t="n">
        <x:v>2736</x:v>
      </x:c>
      <x:c r="Z961" s="55" t="n">
        <x:v>3530</x:v>
      </x:c>
      <x:c r="AA961" s="55" t="n">
        <x:v>3187</x:v>
      </x:c>
      <x:c r="AB961" s="55" t="n">
        <x:v>1186</x:v>
      </x:c>
      <x:c r="AC961" s="55" t="n">
        <x:v>7688</x:v>
      </x:c>
      <x:c r="AD961" s="55" t="n">
        <x:v>2823</x:v>
      </x:c>
      <x:c r="AE961" s="55" t="n">
        <x:v>10618</x:v>
      </x:c>
      <x:c r="AF961" s="55" t="n">
        <x:v>10546</x:v>
      </x:c>
      <x:c r="AG961" s="55" t="n">
        <x:v>72</x:v>
      </x:c>
      <x:c r="AH961" s="55" t="n">
        <x:v>406</x:v>
      </x:c>
      <x:c r="AI961" s="55" t="n">
        <x:v>10140</x:v>
      </x:c>
      <x:c r="AJ961" s="55" t="n">
        <x:v>286</x:v>
      </x:c>
      <x:c r="AK961" s="55" t="n">
        <x:v>554</x:v>
      </x:c>
      <x:c r="AL961" s="55" t="n">
        <x:v>1752</x:v>
      </x:c>
      <x:c r="AM961" s="55" t="n">
        <x:v>5647</x:v>
      </x:c>
      <x:c r="AN961" s="55" t="n">
        <x:v>2307</x:v>
      </x:c>
      <x:c r="AO961" s="55" t="n">
        <x:v>0</x:v>
      </x:c>
      <x:c r="AP961" s="55" t="n">
        <x:v>2483</x:v>
      </x:c>
      <x:c r="AQ961" s="55" t="n">
        <x:v>931</x:v>
      </x:c>
    </x:row>
    <x:row r="962">
      <x:c r="A962" s="54" t="str">
        <x:v>T2_CONCORDANT_DOMAIN</x:v>
      </x:c>
      <x:c r="B962" s="54" t="n">
        <x:v>956</x:v>
      </x:c>
      <x:c r="C962" s="54" t="str">
        <x:v>NYC-V2-R01</x:v>
      </x:c>
      <x:c r="D962" s="54" t="str">
        <x:v>V2</x:v>
      </x:c>
      <x:c r="E962" s="54" t="str">
        <x:v>ADMITTED</x:v>
      </x:c>
      <x:c r="F962" s="55" t="n">
        <x:v>32838</x:v>
      </x:c>
      <x:c r="G962" s="55" t="n">
        <x:v>8849</x:v>
      </x:c>
      <x:c r="H962" s="55" t="n">
        <x:v>3514</x:v>
      </x:c>
      <x:c r="I962" s="55" t="n">
        <x:v>1253</x:v>
      </x:c>
      <x:c r="J962" s="55" t="n">
        <x:v>339</x:v>
      </x:c>
      <x:c r="K962" s="55" t="n">
        <x:v>32838</x:v>
      </x:c>
      <x:c r="L962" s="55" t="n">
        <x:v>7986</x:v>
      </x:c>
      <x:c r="M962" s="55" t="n">
        <x:v>2307</x:v>
      </x:c>
      <x:c r="N962" s="55" t="n">
        <x:v>3474</x:v>
      </x:c>
      <x:c r="O962" s="55" t="n">
        <x:v>2205</x:v>
      </x:c>
      <x:c r="P962" s="55" t="n">
        <x:v>1368</x:v>
      </x:c>
      <x:c r="Q962" s="55" t="n">
        <x:v>3965</x:v>
      </x:c>
      <x:c r="R962" s="55" t="n">
        <x:v>2200</x:v>
      </x:c>
      <x:c r="S962" s="55" t="n">
        <x:v>3005</x:v>
      </x:c>
      <x:c r="T962" s="55" t="n">
        <x:v>1689</x:v>
      </x:c>
      <x:c r="U962" s="55" t="n">
        <x:v>2585</x:v>
      </x:c>
      <x:c r="V962" s="55" t="n">
        <x:v>11225</x:v>
      </x:c>
      <x:c r="W962" s="55" t="n">
        <x:v>8058</x:v>
      </x:c>
      <x:c r="X962" s="55" t="n">
        <x:v>3167</x:v>
      </x:c>
      <x:c r="Y962" s="55" t="n">
        <x:v>2724</x:v>
      </x:c>
      <x:c r="Z962" s="55" t="n">
        <x:v>4202</x:v>
      </x:c>
      <x:c r="AA962" s="55" t="n">
        <x:v>3514</x:v>
      </x:c>
      <x:c r="AB962" s="55" t="n">
        <x:v>1156</x:v>
      </x:c>
      <x:c r="AC962" s="55" t="n">
        <x:v>8463</x:v>
      </x:c>
      <x:c r="AD962" s="55" t="n">
        <x:v>2886</x:v>
      </x:c>
      <x:c r="AE962" s="55" t="n">
        <x:v>11349</x:v>
      </x:c>
      <x:c r="AF962" s="55" t="n">
        <x:v>11225</x:v>
      </x:c>
      <x:c r="AG962" s="55" t="n">
        <x:v>124</x:v>
      </x:c>
      <x:c r="AH962" s="55" t="n">
        <x:v>488</x:v>
      </x:c>
      <x:c r="AI962" s="55" t="n">
        <x:v>10737</x:v>
      </x:c>
      <x:c r="AJ962" s="55" t="n">
        <x:v>507</x:v>
      </x:c>
      <x:c r="AK962" s="55" t="n">
        <x:v>1167</x:v>
      </x:c>
      <x:c r="AL962" s="55" t="n">
        <x:v>1938</x:v>
      </x:c>
      <x:c r="AM962" s="55" t="n">
        <x:v>5100</x:v>
      </x:c>
      <x:c r="AN962" s="55" t="n">
        <x:v>2495</x:v>
      </x:c>
      <x:c r="AO962" s="55" t="n">
        <x:v>18</x:v>
      </x:c>
      <x:c r="AP962" s="55" t="n">
        <x:v>2679</x:v>
      </x:c>
      <x:c r="AQ962" s="55" t="n">
        <x:v>1001</x:v>
      </x:c>
    </x:row>
    <x:row r="963">
      <x:c r="A963" s="54" t="str">
        <x:v>T2_CONCORDANT_DOMAIN</x:v>
      </x:c>
      <x:c r="B963" s="54" t="n">
        <x:v>957</x:v>
      </x:c>
      <x:c r="C963" s="54" t="str">
        <x:v>NYC-V2-R01</x:v>
      </x:c>
      <x:c r="D963" s="54" t="str">
        <x:v>V2</x:v>
      </x:c>
      <x:c r="E963" s="54" t="str">
        <x:v>ADMITTED</x:v>
      </x:c>
      <x:c r="F963" s="55" t="n">
        <x:v>31367</x:v>
      </x:c>
      <x:c r="G963" s="55" t="n">
        <x:v>8292</x:v>
      </x:c>
      <x:c r="H963" s="55" t="n">
        <x:v>3505</x:v>
      </x:c>
      <x:c r="I963" s="55" t="n">
        <x:v>1226</x:v>
      </x:c>
      <x:c r="J963" s="55" t="n">
        <x:v>74</x:v>
      </x:c>
      <x:c r="K963" s="55" t="n">
        <x:v>31367</x:v>
      </x:c>
      <x:c r="L963" s="55" t="n">
        <x:v>5525</x:v>
      </x:c>
      <x:c r="M963" s="55" t="n">
        <x:v>1204</x:v>
      </x:c>
      <x:c r="N963" s="55" t="n">
        <x:v>2734</x:v>
      </x:c>
      <x:c r="O963" s="55" t="n">
        <x:v>1587</x:v>
      </x:c>
      <x:c r="P963" s="55" t="n">
        <x:v>510</x:v>
      </x:c>
      <x:c r="Q963" s="55" t="n">
        <x:v>2095</x:v>
      </x:c>
      <x:c r="R963" s="55" t="n">
        <x:v>1638</x:v>
      </x:c>
      <x:c r="S963" s="55" t="n">
        <x:v>3075</x:v>
      </x:c>
      <x:c r="T963" s="55" t="n">
        <x:v>1466</x:v>
      </x:c>
      <x:c r="U963" s="55" t="n">
        <x:v>2253</x:v>
      </x:c>
      <x:c r="V963" s="55" t="n">
        <x:v>9954</x:v>
      </x:c>
      <x:c r="W963" s="55" t="n">
        <x:v>6308</x:v>
      </x:c>
      <x:c r="X963" s="55" t="n">
        <x:v>3646</x:v>
      </x:c>
      <x:c r="Y963" s="55" t="n">
        <x:v>3124</x:v>
      </x:c>
      <x:c r="Z963" s="55" t="n">
        <x:v>3804</x:v>
      </x:c>
      <x:c r="AA963" s="55" t="n">
        <x:v>3505</x:v>
      </x:c>
      <x:c r="AB963" s="55" t="n">
        <x:v>1453</x:v>
      </x:c>
      <x:c r="AC963" s="55" t="n">
        <x:v>8276</x:v>
      </x:c>
      <x:c r="AD963" s="55" t="n">
        <x:v>3266</x:v>
      </x:c>
      <x:c r="AE963" s="55" t="n">
        <x:v>10002</x:v>
      </x:c>
      <x:c r="AF963" s="55" t="n">
        <x:v>9954</x:v>
      </x:c>
      <x:c r="AG963" s="55" t="n">
        <x:v>48</x:v>
      </x:c>
      <x:c r="AH963" s="55" t="n">
        <x:v>405</x:v>
      </x:c>
      <x:c r="AI963" s="55" t="n">
        <x:v>9549</x:v>
      </x:c>
      <x:c r="AJ963" s="55" t="n">
        <x:v>292</x:v>
      </x:c>
      <x:c r="AK963" s="55" t="n">
        <x:v>891</x:v>
      </x:c>
      <x:c r="AL963" s="55" t="n">
        <x:v>1509</x:v>
      </x:c>
      <x:c r="AM963" s="55" t="n">
        <x:v>4477</x:v>
      </x:c>
      <x:c r="AN963" s="55" t="n">
        <x:v>2714</x:v>
      </x:c>
      <x:c r="AO963" s="55" t="n">
        <x:v>71</x:v>
      </x:c>
      <x:c r="AP963" s="55" t="n">
        <x:v>2069</x:v>
      </x:c>
      <x:c r="AQ963" s="55" t="n">
        <x:v>969</x:v>
      </x:c>
    </x:row>
    <x:row r="964">
      <x:c r="A964" s="54" t="str">
        <x:v>T2_CONCORDANT_DOMAIN</x:v>
      </x:c>
      <x:c r="B964" s="54" t="n">
        <x:v>958</x:v>
      </x:c>
      <x:c r="C964" s="54" t="str">
        <x:v>NYC-V2-R01</x:v>
      </x:c>
      <x:c r="D964" s="54" t="str">
        <x:v>V2</x:v>
      </x:c>
      <x:c r="E964" s="54" t="str">
        <x:v>ADMITTED</x:v>
      </x:c>
      <x:c r="F964" s="55" t="n">
        <x:v>33444</x:v>
      </x:c>
      <x:c r="G964" s="55" t="n">
        <x:v>9382</x:v>
      </x:c>
      <x:c r="H964" s="55" t="n">
        <x:v>3935</x:v>
      </x:c>
      <x:c r="I964" s="55" t="n">
        <x:v>1818</x:v>
      </x:c>
      <x:c r="J964" s="55" t="n">
        <x:v>455</x:v>
      </x:c>
      <x:c r="K964" s="55" t="n">
        <x:v>31127</x:v>
      </x:c>
      <x:c r="L964" s="55" t="n">
        <x:v>6611</x:v>
      </x:c>
      <x:c r="M964" s="55" t="n">
        <x:v>1960</x:v>
      </x:c>
      <x:c r="N964" s="55" t="n">
        <x:v>2994</x:v>
      </x:c>
      <x:c r="O964" s="55" t="n">
        <x:v>1657</x:v>
      </x:c>
      <x:c r="P964" s="55" t="n">
        <x:v>900</x:v>
      </x:c>
      <x:c r="Q964" s="55" t="n">
        <x:v>2202</x:v>
      </x:c>
      <x:c r="R964" s="55" t="n">
        <x:v>1833</x:v>
      </x:c>
      <x:c r="S964" s="55" t="n">
        <x:v>3067</x:v>
      </x:c>
      <x:c r="T964" s="55" t="n">
        <x:v>1287</x:v>
      </x:c>
      <x:c r="U964" s="55" t="n">
        <x:v>2399</x:v>
      </x:c>
      <x:c r="V964" s="55" t="n">
        <x:v>10273</x:v>
      </x:c>
      <x:c r="W964" s="55" t="n">
        <x:v>6944</x:v>
      </x:c>
      <x:c r="X964" s="55" t="n">
        <x:v>3329</x:v>
      </x:c>
      <x:c r="Y964" s="55" t="n">
        <x:v>2800</x:v>
      </x:c>
      <x:c r="Z964" s="55" t="n">
        <x:v>4048</x:v>
      </x:c>
      <x:c r="AA964" s="55" t="n">
        <x:v>3198</x:v>
      </x:c>
      <x:c r="AB964" s="55" t="n">
        <x:v>1382</x:v>
      </x:c>
      <x:c r="AC964" s="55" t="n">
        <x:v>8477</x:v>
      </x:c>
      <x:c r="AD964" s="55" t="n">
        <x:v>3025</x:v>
      </x:c>
      <x:c r="AE964" s="55" t="n">
        <x:v>10474</x:v>
      </x:c>
      <x:c r="AF964" s="55" t="n">
        <x:v>10273</x:v>
      </x:c>
      <x:c r="AG964" s="55" t="n">
        <x:v>201</x:v>
      </x:c>
      <x:c r="AH964" s="55" t="n">
        <x:v>347</x:v>
      </x:c>
      <x:c r="AI964" s="55" t="n">
        <x:v>9926</x:v>
      </x:c>
      <x:c r="AJ964" s="55" t="n">
        <x:v>424</x:v>
      </x:c>
      <x:c r="AK964" s="55" t="n">
        <x:v>899</x:v>
      </x:c>
      <x:c r="AL964" s="55" t="n">
        <x:v>1470</x:v>
      </x:c>
      <x:c r="AM964" s="55" t="n">
        <x:v>5015</x:v>
      </x:c>
      <x:c r="AN964" s="55" t="n">
        <x:v>2396</x:v>
      </x:c>
      <x:c r="AO964" s="55" t="n">
        <x:v>69</x:v>
      </x:c>
      <x:c r="AP964" s="55" t="n">
        <x:v>2656</x:v>
      </x:c>
      <x:c r="AQ964" s="55" t="n">
        <x:v>1011</x:v>
      </x:c>
    </x:row>
    <x:row r="965">
      <x:c r="A965" s="54" t="str">
        <x:v>T2_CONCORDANT_DOMAIN</x:v>
      </x:c>
      <x:c r="B965" s="54" t="n">
        <x:v>959</x:v>
      </x:c>
      <x:c r="C965" s="54" t="str">
        <x:v>NYC-V2-R01</x:v>
      </x:c>
      <x:c r="D965" s="54" t="str">
        <x:v>V2</x:v>
      </x:c>
      <x:c r="E965" s="54" t="str">
        <x:v>ADMITTED</x:v>
      </x:c>
      <x:c r="F965" s="55" t="n">
        <x:v>33254</x:v>
      </x:c>
      <x:c r="G965" s="55" t="n">
        <x:v>7352</x:v>
      </x:c>
      <x:c r="H965" s="55" t="n">
        <x:v>3753</x:v>
      </x:c>
      <x:c r="I965" s="55" t="n">
        <x:v>1520</x:v>
      </x:c>
      <x:c r="J965" s="55" t="n">
        <x:v>280</x:v>
      </x:c>
      <x:c r="K965" s="55" t="n">
        <x:v>33254</x:v>
      </x:c>
      <x:c r="L965" s="55" t="n">
        <x:v>7175</x:v>
      </x:c>
      <x:c r="M965" s="55" t="n">
        <x:v>1932</x:v>
      </x:c>
      <x:c r="N965" s="55" t="n">
        <x:v>3339</x:v>
      </x:c>
      <x:c r="O965" s="55" t="n">
        <x:v>1904</x:v>
      </x:c>
      <x:c r="P965" s="55" t="n">
        <x:v>1392</x:v>
      </x:c>
      <x:c r="Q965" s="55" t="n">
        <x:v>2553</x:v>
      </x:c>
      <x:c r="R965" s="55" t="n">
        <x:v>2523</x:v>
      </x:c>
      <x:c r="S965" s="55" t="n">
        <x:v>3149</x:v>
      </x:c>
      <x:c r="T965" s="55" t="n">
        <x:v>1270</x:v>
      </x:c>
      <x:c r="U965" s="55" t="n">
        <x:v>2432</x:v>
      </x:c>
      <x:c r="V965" s="55" t="n">
        <x:v>10444</x:v>
      </x:c>
      <x:c r="W965" s="55" t="n">
        <x:v>6919</x:v>
      </x:c>
      <x:c r="X965" s="55" t="n">
        <x:v>3525</x:v>
      </x:c>
      <x:c r="Y965" s="55" t="n">
        <x:v>3039</x:v>
      </x:c>
      <x:c r="Z965" s="55" t="n">
        <x:v>4112</x:v>
      </x:c>
      <x:c r="AA965" s="55" t="n">
        <x:v>3753</x:v>
      </x:c>
      <x:c r="AB965" s="55" t="n">
        <x:v>1332</x:v>
      </x:c>
      <x:c r="AC965" s="55" t="n">
        <x:v>8412</x:v>
      </x:c>
      <x:c r="AD965" s="55" t="n">
        <x:v>3014</x:v>
      </x:c>
      <x:c r="AE965" s="55" t="n">
        <x:v>10510</x:v>
      </x:c>
      <x:c r="AF965" s="55" t="n">
        <x:v>10444</x:v>
      </x:c>
      <x:c r="AG965" s="55" t="n">
        <x:v>66</x:v>
      </x:c>
      <x:c r="AH965" s="55" t="n">
        <x:v>477</x:v>
      </x:c>
      <x:c r="AI965" s="55" t="n">
        <x:v>9967</x:v>
      </x:c>
      <x:c r="AJ965" s="55" t="n">
        <x:v>321</x:v>
      </x:c>
      <x:c r="AK965" s="55" t="n">
        <x:v>764</x:v>
      </x:c>
      <x:c r="AL965" s="55" t="n">
        <x:v>1231</x:v>
      </x:c>
      <x:c r="AM965" s="55" t="n">
        <x:v>5045</x:v>
      </x:c>
      <x:c r="AN965" s="55" t="n">
        <x:v>3003</x:v>
      </x:c>
      <x:c r="AO965" s="55" t="n">
        <x:v>80</x:v>
      </x:c>
      <x:c r="AP965" s="55" t="n">
        <x:v>2914</x:v>
      </x:c>
      <x:c r="AQ965" s="55" t="n">
        <x:v>988</x:v>
      </x:c>
    </x:row>
    <x:row r="966">
      <x:c r="A966" s="54" t="str">
        <x:v>T2_CONCORDANT_DOMAIN</x:v>
      </x:c>
      <x:c r="B966" s="54" t="n">
        <x:v>960</x:v>
      </x:c>
      <x:c r="C966" s="54" t="str">
        <x:v>NYC-V2-R01</x:v>
      </x:c>
      <x:c r="D966" s="54" t="str">
        <x:v>V2</x:v>
      </x:c>
      <x:c r="E966" s="54" t="str">
        <x:v>ADMITTED</x:v>
      </x:c>
      <x:c r="F966" s="55" t="n">
        <x:v>28812</x:v>
      </x:c>
      <x:c r="G966" s="55" t="n">
        <x:v>5825</x:v>
      </x:c>
      <x:c r="H966" s="55" t="n">
        <x:v>2951</x:v>
      </x:c>
      <x:c r="I966" s="55" t="n">
        <x:v>593</x:v>
      </x:c>
      <x:c r="J966" s="55" t="n">
        <x:v>0</x:v>
      </x:c>
      <x:c r="K966" s="55" t="n">
        <x:v>28812</x:v>
      </x:c>
      <x:c r="L966" s="55" t="n">
        <x:v>3913</x:v>
      </x:c>
      <x:c r="M966" s="55" t="n">
        <x:v>352</x:v>
      </x:c>
      <x:c r="N966" s="55" t="n">
        <x:v>2215</x:v>
      </x:c>
      <x:c r="O966" s="55" t="n">
        <x:v>1346</x:v>
      </x:c>
      <x:c r="P966" s="55" t="n">
        <x:v>571</x:v>
      </x:c>
      <x:c r="Q966" s="55" t="n">
        <x:v>2011</x:v>
      </x:c>
      <x:c r="R966" s="55" t="n">
        <x:v>1216</x:v>
      </x:c>
      <x:c r="S966" s="55" t="n">
        <x:v>2165</x:v>
      </x:c>
      <x:c r="T966" s="55" t="n">
        <x:v>603</x:v>
      </x:c>
      <x:c r="U966" s="55" t="n">
        <x:v>1421</x:v>
      </x:c>
      <x:c r="V966" s="55" t="n">
        <x:v>10435</x:v>
      </x:c>
      <x:c r="W966" s="55" t="n">
        <x:v>7618</x:v>
      </x:c>
      <x:c r="X966" s="55" t="n">
        <x:v>2817</x:v>
      </x:c>
      <x:c r="Y966" s="55" t="n">
        <x:v>2359</x:v>
      </x:c>
      <x:c r="Z966" s="55" t="n">
        <x:v>3486</x:v>
      </x:c>
      <x:c r="AA966" s="55" t="n">
        <x:v>2951</x:v>
      </x:c>
      <x:c r="AB966" s="55" t="n">
        <x:v>1185</x:v>
      </x:c>
      <x:c r="AC966" s="55" t="n">
        <x:v>8120</x:v>
      </x:c>
      <x:c r="AD966" s="55" t="n">
        <x:v>2625</x:v>
      </x:c>
      <x:c r="AE966" s="55" t="n">
        <x:v>10517</x:v>
      </x:c>
      <x:c r="AF966" s="55" t="n">
        <x:v>10435</x:v>
      </x:c>
      <x:c r="AG966" s="55" t="n">
        <x:v>82</x:v>
      </x:c>
      <x:c r="AH966" s="55" t="n">
        <x:v>364</x:v>
      </x:c>
      <x:c r="AI966" s="55" t="n">
        <x:v>10071</x:v>
      </x:c>
      <x:c r="AJ966" s="55" t="n">
        <x:v>361</x:v>
      </x:c>
      <x:c r="AK966" s="55" t="n">
        <x:v>875</x:v>
      </x:c>
      <x:c r="AL966" s="55" t="n">
        <x:v>1523</x:v>
      </x:c>
      <x:c r="AM966" s="55" t="n">
        <x:v>4719</x:v>
      </x:c>
      <x:c r="AN966" s="55" t="n">
        <x:v>2924</x:v>
      </x:c>
      <x:c r="AO966" s="55" t="n">
        <x:v>33</x:v>
      </x:c>
      <x:c r="AP966" s="55" t="n">
        <x:v>2562</x:v>
      </x:c>
      <x:c r="AQ966" s="55" t="n">
        <x:v>896</x:v>
      </x:c>
    </x:row>
    <x:row r="967">
      <x:c r="A967" s="54" t="str">
        <x:v>T2_CONCORDANT_DOMAIN</x:v>
      </x:c>
      <x:c r="B967" s="54" t="n">
        <x:v>961</x:v>
      </x:c>
      <x:c r="C967" s="54" t="str">
        <x:v>NYC-V2-R01</x:v>
      </x:c>
      <x:c r="D967" s="54" t="str">
        <x:v>V2</x:v>
      </x:c>
      <x:c r="E967" s="54" t="str">
        <x:v>ADMITTED</x:v>
      </x:c>
      <x:c r="F967" s="55" t="n">
        <x:v>30946</x:v>
      </x:c>
      <x:c r="G967" s="55" t="n">
        <x:v>7421</x:v>
      </x:c>
      <x:c r="H967" s="55" t="n">
        <x:v>3385</x:v>
      </x:c>
      <x:c r="I967" s="55" t="n">
        <x:v>1069</x:v>
      </x:c>
      <x:c r="J967" s="55" t="n">
        <x:v>163</x:v>
      </x:c>
      <x:c r="K967" s="55" t="n">
        <x:v>30946</x:v>
      </x:c>
      <x:c r="L967" s="55" t="n">
        <x:v>5985</x:v>
      </x:c>
      <x:c r="M967" s="55" t="n">
        <x:v>911</x:v>
      </x:c>
      <x:c r="N967" s="55" t="n">
        <x:v>3291</x:v>
      </x:c>
      <x:c r="O967" s="55" t="n">
        <x:v>1783</x:v>
      </x:c>
      <x:c r="P967" s="55" t="n">
        <x:v>696</x:v>
      </x:c>
      <x:c r="Q967" s="55" t="n">
        <x:v>2662</x:v>
      </x:c>
      <x:c r="R967" s="55" t="n">
        <x:v>2247</x:v>
      </x:c>
      <x:c r="S967" s="55" t="n">
        <x:v>2642</x:v>
      </x:c>
      <x:c r="T967" s="55" t="n">
        <x:v>996</x:v>
      </x:c>
      <x:c r="U967" s="55" t="n">
        <x:v>2114</x:v>
      </x:c>
      <x:c r="V967" s="55" t="n">
        <x:v>10392</x:v>
      </x:c>
      <x:c r="W967" s="55" t="n">
        <x:v>7324</x:v>
      </x:c>
      <x:c r="X967" s="55" t="n">
        <x:v>3068</x:v>
      </x:c>
      <x:c r="Y967" s="55" t="n">
        <x:v>2706</x:v>
      </x:c>
      <x:c r="Z967" s="55" t="n">
        <x:v>3439</x:v>
      </x:c>
      <x:c r="AA967" s="55" t="n">
        <x:v>3385</x:v>
      </x:c>
      <x:c r="AB967" s="55" t="n">
        <x:v>1207</x:v>
      </x:c>
      <x:c r="AC967" s="55" t="n">
        <x:v>8148</x:v>
      </x:c>
      <x:c r="AD967" s="55" t="n">
        <x:v>3121</x:v>
      </x:c>
      <x:c r="AE967" s="55" t="n">
        <x:v>10489</x:v>
      </x:c>
      <x:c r="AF967" s="55" t="n">
        <x:v>10392</x:v>
      </x:c>
      <x:c r="AG967" s="55" t="n">
        <x:v>97</x:v>
      </x:c>
      <x:c r="AH967" s="55" t="n">
        <x:v>449</x:v>
      </x:c>
      <x:c r="AI967" s="55" t="n">
        <x:v>9943</x:v>
      </x:c>
      <x:c r="AJ967" s="55" t="n">
        <x:v>241</x:v>
      </x:c>
      <x:c r="AK967" s="55" t="n">
        <x:v>1036</x:v>
      </x:c>
      <x:c r="AL967" s="55" t="n">
        <x:v>1624</x:v>
      </x:c>
      <x:c r="AM967" s="55" t="n">
        <x:v>4658</x:v>
      </x:c>
      <x:c r="AN967" s="55" t="n">
        <x:v>2802</x:v>
      </x:c>
      <x:c r="AO967" s="55" t="n">
        <x:v>31</x:v>
      </x:c>
      <x:c r="AP967" s="55" t="n">
        <x:v>2262</x:v>
      </x:c>
      <x:c r="AQ967" s="55" t="n">
        <x:v>967</x:v>
      </x:c>
    </x:row>
    <x:row r="968">
      <x:c r="A968" s="54" t="str">
        <x:v>T2_CONCORDANT_DOMAIN</x:v>
      </x:c>
      <x:c r="B968" s="54" t="n">
        <x:v>962</x:v>
      </x:c>
      <x:c r="C968" s="54" t="str">
        <x:v>NYC-V2-R01</x:v>
      </x:c>
      <x:c r="D968" s="54" t="str">
        <x:v>V2</x:v>
      </x:c>
      <x:c r="E968" s="54" t="str">
        <x:v>ADMITTED</x:v>
      </x:c>
      <x:c r="F968" s="55" t="n">
        <x:v>32197</x:v>
      </x:c>
      <x:c r="G968" s="55" t="n">
        <x:v>8488</x:v>
      </x:c>
      <x:c r="H968" s="55" t="n">
        <x:v>3170</x:v>
      </x:c>
      <x:c r="I968" s="55" t="n">
        <x:v>1016</x:v>
      </x:c>
      <x:c r="J968" s="55" t="n">
        <x:v>99</x:v>
      </x:c>
      <x:c r="K968" s="55" t="n">
        <x:v>30771</x:v>
      </x:c>
      <x:c r="L968" s="55" t="n">
        <x:v>5801</x:v>
      </x:c>
      <x:c r="M968" s="55" t="n">
        <x:v>1208</x:v>
      </x:c>
      <x:c r="N968" s="55" t="n">
        <x:v>3102</x:v>
      </x:c>
      <x:c r="O968" s="55" t="n">
        <x:v>1491</x:v>
      </x:c>
      <x:c r="P968" s="55" t="n">
        <x:v>383</x:v>
      </x:c>
      <x:c r="Q968" s="55" t="n">
        <x:v>2421</x:v>
      </x:c>
      <x:c r="R968" s="55" t="n">
        <x:v>1604</x:v>
      </x:c>
      <x:c r="S968" s="55" t="n">
        <x:v>2225</x:v>
      </x:c>
      <x:c r="T968" s="55" t="n">
        <x:v>747</x:v>
      </x:c>
      <x:c r="U968" s="55" t="n">
        <x:v>1852</x:v>
      </x:c>
      <x:c r="V968" s="55" t="n">
        <x:v>10328</x:v>
      </x:c>
      <x:c r="W968" s="55" t="n">
        <x:v>7442</x:v>
      </x:c>
      <x:c r="X968" s="55" t="n">
        <x:v>2886</x:v>
      </x:c>
      <x:c r="Y968" s="55" t="n">
        <x:v>2429</x:v>
      </x:c>
      <x:c r="Z968" s="55" t="n">
        <x:v>3368</x:v>
      </x:c>
      <x:c r="AA968" s="55" t="n">
        <x:v>3170</x:v>
      </x:c>
      <x:c r="AB968" s="55" t="n">
        <x:v>1289</x:v>
      </x:c>
      <x:c r="AC968" s="55" t="n">
        <x:v>7746</x:v>
      </x:c>
      <x:c r="AD968" s="55" t="n">
        <x:v>2860</x:v>
      </x:c>
      <x:c r="AE968" s="55" t="n">
        <x:v>10419</x:v>
      </x:c>
      <x:c r="AF968" s="55" t="n">
        <x:v>10328</x:v>
      </x:c>
      <x:c r="AG968" s="55" t="n">
        <x:v>91</x:v>
      </x:c>
      <x:c r="AH968" s="55" t="n">
        <x:v>354</x:v>
      </x:c>
      <x:c r="AI968" s="55" t="n">
        <x:v>9974</x:v>
      </x:c>
      <x:c r="AJ968" s="55" t="n">
        <x:v>322</x:v>
      </x:c>
      <x:c r="AK968" s="55" t="n">
        <x:v>906</x:v>
      </x:c>
      <x:c r="AL968" s="55" t="n">
        <x:v>1335</x:v>
      </x:c>
      <x:c r="AM968" s="55" t="n">
        <x:v>4918</x:v>
      </x:c>
      <x:c r="AN968" s="55" t="n">
        <x:v>2823</x:v>
      </x:c>
      <x:c r="AO968" s="55" t="n">
        <x:v>24</x:v>
      </x:c>
      <x:c r="AP968" s="55" t="n">
        <x:v>2697</x:v>
      </x:c>
      <x:c r="AQ968" s="55" t="n">
        <x:v>956</x:v>
      </x:c>
    </x:row>
    <x:row r="969">
      <x:c r="A969" s="54" t="str">
        <x:v>T2_CONCORDANT_DOMAIN</x:v>
      </x:c>
      <x:c r="B969" s="54" t="n">
        <x:v>963</x:v>
      </x:c>
      <x:c r="C969" s="54" t="str">
        <x:v>NYC-V2-R01</x:v>
      </x:c>
      <x:c r="D969" s="54" t="str">
        <x:v>V2</x:v>
      </x:c>
      <x:c r="E969" s="54" t="str">
        <x:v>ADMITTED</x:v>
      </x:c>
      <x:c r="F969" s="55" t="n">
        <x:v>28226</x:v>
      </x:c>
      <x:c r="G969" s="55" t="n">
        <x:v>6920</x:v>
      </x:c>
      <x:c r="H969" s="55" t="n">
        <x:v>2988</x:v>
      </x:c>
      <x:c r="I969" s="55" t="n">
        <x:v>1358</x:v>
      </x:c>
      <x:c r="J969" s="55" t="n">
        <x:v>305</x:v>
      </x:c>
      <x:c r="K969" s="55" t="n">
        <x:v>26077</x:v>
      </x:c>
      <x:c r="L969" s="55" t="n">
        <x:v>3894</x:v>
      </x:c>
      <x:c r="M969" s="55" t="n">
        <x:v>129</x:v>
      </x:c>
      <x:c r="N969" s="55" t="n">
        <x:v>2278</x:v>
      </x:c>
      <x:c r="O969" s="55" t="n">
        <x:v>1487</x:v>
      </x:c>
      <x:c r="P969" s="55" t="n">
        <x:v>773</x:v>
      </x:c>
      <x:c r="Q969" s="55" t="n">
        <x:v>1167</x:v>
      </x:c>
      <x:c r="R969" s="55" t="n">
        <x:v>952</x:v>
      </x:c>
      <x:c r="S969" s="55" t="n">
        <x:v>1902</x:v>
      </x:c>
      <x:c r="T969" s="55" t="n">
        <x:v>709</x:v>
      </x:c>
      <x:c r="U969" s="55" t="n">
        <x:v>2242</x:v>
      </x:c>
      <x:c r="V969" s="55" t="n">
        <x:v>10506</x:v>
      </x:c>
      <x:c r="W969" s="55" t="n">
        <x:v>7400</x:v>
      </x:c>
      <x:c r="X969" s="55" t="n">
        <x:v>3106</x:v>
      </x:c>
      <x:c r="Y969" s="55" t="n">
        <x:v>2727</x:v>
      </x:c>
      <x:c r="Z969" s="55" t="n">
        <x:v>3808</x:v>
      </x:c>
      <x:c r="AA969" s="55" t="n">
        <x:v>2190</x:v>
      </x:c>
      <x:c r="AB969" s="55" t="n">
        <x:v>1126</x:v>
      </x:c>
      <x:c r="AC969" s="55" t="n">
        <x:v>8100</x:v>
      </x:c>
      <x:c r="AD969" s="55" t="n">
        <x:v>3117</x:v>
      </x:c>
      <x:c r="AE969" s="55" t="n">
        <x:v>10607</x:v>
      </x:c>
      <x:c r="AF969" s="55" t="n">
        <x:v>10506</x:v>
      </x:c>
      <x:c r="AG969" s="55" t="n">
        <x:v>101</x:v>
      </x:c>
      <x:c r="AH969" s="55" t="n">
        <x:v>456</x:v>
      </x:c>
      <x:c r="AI969" s="55" t="n">
        <x:v>10050</x:v>
      </x:c>
      <x:c r="AJ969" s="55" t="n">
        <x:v>245</x:v>
      </x:c>
      <x:c r="AK969" s="55" t="n">
        <x:v>815</x:v>
      </x:c>
      <x:c r="AL969" s="55" t="n">
        <x:v>1663</x:v>
      </x:c>
      <x:c r="AM969" s="55" t="n">
        <x:v>4978</x:v>
      </x:c>
      <x:c r="AN969" s="55" t="n">
        <x:v>2805</x:v>
      </x:c>
      <x:c r="AO969" s="55" t="n">
        <x:v>0</x:v>
      </x:c>
      <x:c r="AP969" s="55" t="n">
        <x:v>2463</x:v>
      </x:c>
      <x:c r="AQ969" s="55" t="n">
        <x:v>902</x:v>
      </x:c>
    </x:row>
    <x:row r="970">
      <x:c r="A970" s="54" t="str">
        <x:v>T2_CONCORDANT_DOMAIN</x:v>
      </x:c>
      <x:c r="B970" s="54" t="n">
        <x:v>964</x:v>
      </x:c>
      <x:c r="C970" s="54" t="str">
        <x:v>NYC-V2-R01</x:v>
      </x:c>
      <x:c r="D970" s="54" t="str">
        <x:v>V2</x:v>
      </x:c>
      <x:c r="E970" s="54" t="str">
        <x:v>ADMITTED</x:v>
      </x:c>
      <x:c r="F970" s="55" t="n">
        <x:v>30277</x:v>
      </x:c>
      <x:c r="G970" s="55" t="n">
        <x:v>6857</x:v>
      </x:c>
      <x:c r="H970" s="55" t="n">
        <x:v>3233</x:v>
      </x:c>
      <x:c r="I970" s="55" t="n">
        <x:v>1367</x:v>
      </x:c>
      <x:c r="J970" s="55" t="n">
        <x:v>198</x:v>
      </x:c>
      <x:c r="K970" s="55" t="n">
        <x:v>29574</x:v>
      </x:c>
      <x:c r="L970" s="55" t="n">
        <x:v>4571</x:v>
      </x:c>
      <x:c r="M970" s="55" t="n">
        <x:v>402</x:v>
      </x:c>
      <x:c r="N970" s="55" t="n">
        <x:v>2597</x:v>
      </x:c>
      <x:c r="O970" s="55" t="n">
        <x:v>1572</x:v>
      </x:c>
      <x:c r="P970" s="55" t="n">
        <x:v>542</x:v>
      </x:c>
      <x:c r="Q970" s="55" t="n">
        <x:v>1320</x:v>
      </x:c>
      <x:c r="R970" s="55" t="n">
        <x:v>1767</x:v>
      </x:c>
      <x:c r="S970" s="55" t="n">
        <x:v>2494</x:v>
      </x:c>
      <x:c r="T970" s="55" t="n">
        <x:v>1368</x:v>
      </x:c>
      <x:c r="U970" s="55" t="n">
        <x:v>2070</x:v>
      </x:c>
      <x:c r="V970" s="55" t="n">
        <x:v>10150</x:v>
      </x:c>
      <x:c r="W970" s="55" t="n">
        <x:v>6979</x:v>
      </x:c>
      <x:c r="X970" s="55" t="n">
        <x:v>3171</x:v>
      </x:c>
      <x:c r="Y970" s="55" t="n">
        <x:v>2768</x:v>
      </x:c>
      <x:c r="Z970" s="55" t="n">
        <x:v>4019</x:v>
      </x:c>
      <x:c r="AA970" s="55" t="n">
        <x:v>2508</x:v>
      </x:c>
      <x:c r="AB970" s="55" t="n">
        <x:v>690</x:v>
      </x:c>
      <x:c r="AC970" s="55" t="n">
        <x:v>8360</x:v>
      </x:c>
      <x:c r="AD970" s="55" t="n">
        <x:v>3743</x:v>
      </x:c>
      <x:c r="AE970" s="55" t="n">
        <x:v>10223</x:v>
      </x:c>
      <x:c r="AF970" s="55" t="n">
        <x:v>10150</x:v>
      </x:c>
      <x:c r="AG970" s="55" t="n">
        <x:v>73</x:v>
      </x:c>
      <x:c r="AH970" s="55" t="n">
        <x:v>280</x:v>
      </x:c>
      <x:c r="AI970" s="55" t="n">
        <x:v>9870</x:v>
      </x:c>
      <x:c r="AJ970" s="55" t="n">
        <x:v>200</x:v>
      </x:c>
      <x:c r="AK970" s="55" t="n">
        <x:v>916</x:v>
      </x:c>
      <x:c r="AL970" s="55" t="n">
        <x:v>1527</x:v>
      </x:c>
      <x:c r="AM970" s="55" t="n">
        <x:v>4685</x:v>
      </x:c>
      <x:c r="AN970" s="55" t="n">
        <x:v>2822</x:v>
      </x:c>
      <x:c r="AO970" s="55" t="n">
        <x:v>0</x:v>
      </x:c>
      <x:c r="AP970" s="55" t="n">
        <x:v>2553</x:v>
      </x:c>
      <x:c r="AQ970" s="55" t="n">
        <x:v>936</x:v>
      </x:c>
    </x:row>
    <x:row r="971">
      <x:c r="A971" s="54" t="str">
        <x:v>T2_CONCORDANT_DOMAIN</x:v>
      </x:c>
      <x:c r="B971" s="54" t="n">
        <x:v>965</x:v>
      </x:c>
      <x:c r="C971" s="54" t="str">
        <x:v>NYC-V2-R01</x:v>
      </x:c>
      <x:c r="D971" s="54" t="str">
        <x:v>V2</x:v>
      </x:c>
      <x:c r="E971" s="54" t="str">
        <x:v>ADMITTED</x:v>
      </x:c>
      <x:c r="F971" s="55" t="n">
        <x:v>32199</x:v>
      </x:c>
      <x:c r="G971" s="55" t="n">
        <x:v>6008</x:v>
      </x:c>
      <x:c r="H971" s="55" t="n">
        <x:v>2835</x:v>
      </x:c>
      <x:c r="I971" s="55" t="n">
        <x:v>1086</x:v>
      </x:c>
      <x:c r="J971" s="55" t="n">
        <x:v>166</x:v>
      </x:c>
      <x:c r="K971" s="55" t="n">
        <x:v>32199</x:v>
      </x:c>
      <x:c r="L971" s="55" t="n">
        <x:v>5875</x:v>
      </x:c>
      <x:c r="M971" s="55" t="n">
        <x:v>1301</x:v>
      </x:c>
      <x:c r="N971" s="55" t="n">
        <x:v>2656</x:v>
      </x:c>
      <x:c r="O971" s="55" t="n">
        <x:v>1918</x:v>
      </x:c>
      <x:c r="P971" s="55" t="n">
        <x:v>599</x:v>
      </x:c>
      <x:c r="Q971" s="55" t="n">
        <x:v>1990</x:v>
      </x:c>
      <x:c r="R971" s="55" t="n">
        <x:v>1230</x:v>
      </x:c>
      <x:c r="S971" s="55" t="n">
        <x:v>2064</x:v>
      </x:c>
      <x:c r="T971" s="55" t="n">
        <x:v>1062</x:v>
      </x:c>
      <x:c r="U971" s="55" t="n">
        <x:v>1721</x:v>
      </x:c>
      <x:c r="V971" s="55" t="n">
        <x:v>10620</x:v>
      </x:c>
      <x:c r="W971" s="55" t="n">
        <x:v>7517</x:v>
      </x:c>
      <x:c r="X971" s="55" t="n">
        <x:v>3103</x:v>
      </x:c>
      <x:c r="Y971" s="55" t="n">
        <x:v>2681</x:v>
      </x:c>
      <x:c r="Z971" s="55" t="n">
        <x:v>3374</x:v>
      </x:c>
      <x:c r="AA971" s="55" t="n">
        <x:v>2835</x:v>
      </x:c>
      <x:c r="AB971" s="55" t="n">
        <x:v>975</x:v>
      </x:c>
      <x:c r="AC971" s="55" t="n">
        <x:v>7966</x:v>
      </x:c>
      <x:c r="AD971" s="55" t="n">
        <x:v>2571</x:v>
      </x:c>
      <x:c r="AE971" s="55" t="n">
        <x:v>10747</x:v>
      </x:c>
      <x:c r="AF971" s="55" t="n">
        <x:v>10620</x:v>
      </x:c>
      <x:c r="AG971" s="55" t="n">
        <x:v>127</x:v>
      </x:c>
      <x:c r="AH971" s="55" t="n">
        <x:v>559</x:v>
      </x:c>
      <x:c r="AI971" s="55" t="n">
        <x:v>10061</x:v>
      </x:c>
      <x:c r="AJ971" s="55" t="n">
        <x:v>193</x:v>
      </x:c>
      <x:c r="AK971" s="55" t="n">
        <x:v>833</x:v>
      </x:c>
      <x:c r="AL971" s="55" t="n">
        <x:v>1427</x:v>
      </x:c>
      <x:c r="AM971" s="55" t="n">
        <x:v>5838</x:v>
      </x:c>
      <x:c r="AN971" s="55" t="n">
        <x:v>2329</x:v>
      </x:c>
      <x:c r="AO971" s="55" t="n">
        <x:v>0</x:v>
      </x:c>
      <x:c r="AP971" s="55" t="n">
        <x:v>2144</x:v>
      </x:c>
      <x:c r="AQ971" s="55" t="n">
        <x:v>973</x:v>
      </x:c>
    </x:row>
    <x:row r="972">
      <x:c r="A972" s="54" t="str">
        <x:v>T2_CONCORDANT_DOMAIN</x:v>
      </x:c>
      <x:c r="B972" s="54" t="n">
        <x:v>966</x:v>
      </x:c>
      <x:c r="C972" s="54" t="str">
        <x:v>NYC-V2-R01</x:v>
      </x:c>
      <x:c r="D972" s="54" t="str">
        <x:v>V2</x:v>
      </x:c>
      <x:c r="E972" s="54" t="str">
        <x:v>ADMITTED</x:v>
      </x:c>
      <x:c r="F972" s="55" t="n">
        <x:v>31909</x:v>
      </x:c>
      <x:c r="G972" s="55" t="n">
        <x:v>7217</x:v>
      </x:c>
      <x:c r="H972" s="55" t="n">
        <x:v>3224</x:v>
      </x:c>
      <x:c r="I972" s="55" t="n">
        <x:v>1117</x:v>
      </x:c>
      <x:c r="J972" s="55" t="n">
        <x:v>273</x:v>
      </x:c>
      <x:c r="K972" s="55" t="n">
        <x:v>31909</x:v>
      </x:c>
      <x:c r="L972" s="55" t="n">
        <x:v>5711</x:v>
      </x:c>
      <x:c r="M972" s="55" t="n">
        <x:v>1181</x:v>
      </x:c>
      <x:c r="N972" s="55" t="n">
        <x:v>2782</x:v>
      </x:c>
      <x:c r="O972" s="55" t="n">
        <x:v>1748</x:v>
      </x:c>
      <x:c r="P972" s="55" t="n">
        <x:v>997</x:v>
      </x:c>
      <x:c r="Q972" s="55" t="n">
        <x:v>2100</x:v>
      </x:c>
      <x:c r="R972" s="55" t="n">
        <x:v>1932</x:v>
      </x:c>
      <x:c r="S972" s="55" t="n">
        <x:v>3482</x:v>
      </x:c>
      <x:c r="T972" s="55" t="n">
        <x:v>886</x:v>
      </x:c>
      <x:c r="U972" s="55" t="n">
        <x:v>2559</x:v>
      </x:c>
      <x:c r="V972" s="55" t="n">
        <x:v>10173</x:v>
      </x:c>
      <x:c r="W972" s="55" t="n">
        <x:v>6825</x:v>
      </x:c>
      <x:c r="X972" s="55" t="n">
        <x:v>3348</x:v>
      </x:c>
      <x:c r="Y972" s="55" t="n">
        <x:v>2896</x:v>
      </x:c>
      <x:c r="Z972" s="55" t="n">
        <x:v>3649</x:v>
      </x:c>
      <x:c r="AA972" s="55" t="n">
        <x:v>2924</x:v>
      </x:c>
      <x:c r="AB972" s="55" t="n">
        <x:v>753</x:v>
      </x:c>
      <x:c r="AC972" s="55" t="n">
        <x:v>8132</x:v>
      </x:c>
      <x:c r="AD972" s="55" t="n">
        <x:v>2698</x:v>
      </x:c>
      <x:c r="AE972" s="55" t="n">
        <x:v>10217</x:v>
      </x:c>
      <x:c r="AF972" s="55" t="n">
        <x:v>10173</x:v>
      </x:c>
      <x:c r="AG972" s="55" t="n">
        <x:v>44</x:v>
      </x:c>
      <x:c r="AH972" s="55" t="n">
        <x:v>403</x:v>
      </x:c>
      <x:c r="AI972" s="55" t="n">
        <x:v>9770</x:v>
      </x:c>
      <x:c r="AJ972" s="55" t="n">
        <x:v>219</x:v>
      </x:c>
      <x:c r="AK972" s="55" t="n">
        <x:v>942</x:v>
      </x:c>
      <x:c r="AL972" s="55" t="n">
        <x:v>1726</x:v>
      </x:c>
      <x:c r="AM972" s="55" t="n">
        <x:v>4787</x:v>
      </x:c>
      <x:c r="AN972" s="55" t="n">
        <x:v>2499</x:v>
      </x:c>
      <x:c r="AO972" s="55" t="n">
        <x:v>0</x:v>
      </x:c>
      <x:c r="AP972" s="55" t="n">
        <x:v>1700</x:v>
      </x:c>
      <x:c r="AQ972" s="55" t="n">
        <x:v>914</x:v>
      </x:c>
    </x:row>
    <x:row r="973">
      <x:c r="A973" s="54" t="str">
        <x:v>T2_CONCORDANT_DOMAIN</x:v>
      </x:c>
      <x:c r="B973" s="54" t="n">
        <x:v>967</x:v>
      </x:c>
      <x:c r="C973" s="54" t="str">
        <x:v>NYC-V2-R01</x:v>
      </x:c>
      <x:c r="D973" s="54" t="str">
        <x:v>V2</x:v>
      </x:c>
      <x:c r="E973" s="54" t="str">
        <x:v>ADMITTED</x:v>
      </x:c>
      <x:c r="F973" s="55" t="n">
        <x:v>31167</x:v>
      </x:c>
      <x:c r="G973" s="55" t="n">
        <x:v>8019</x:v>
      </x:c>
      <x:c r="H973" s="55" t="n">
        <x:v>3223</x:v>
      </x:c>
      <x:c r="I973" s="55" t="n">
        <x:v>1089</x:v>
      </x:c>
      <x:c r="J973" s="55" t="n">
        <x:v>274</x:v>
      </x:c>
      <x:c r="K973" s="55" t="n">
        <x:v>29902</x:v>
      </x:c>
      <x:c r="L973" s="55" t="n">
        <x:v>5509</x:v>
      </x:c>
      <x:c r="M973" s="55" t="n">
        <x:v>950</x:v>
      </x:c>
      <x:c r="N973" s="55" t="n">
        <x:v>2580</x:v>
      </x:c>
      <x:c r="O973" s="55" t="n">
        <x:v>1979</x:v>
      </x:c>
      <x:c r="P973" s="55" t="n">
        <x:v>972</x:v>
      </x:c>
      <x:c r="Q973" s="55" t="n">
        <x:v>2228</x:v>
      </x:c>
      <x:c r="R973" s="55" t="n">
        <x:v>2341</x:v>
      </x:c>
      <x:c r="S973" s="55" t="n">
        <x:v>3064</x:v>
      </x:c>
      <x:c r="T973" s="55" t="n">
        <x:v>1325</x:v>
      </x:c>
      <x:c r="U973" s="55" t="n">
        <x:v>1685</x:v>
      </x:c>
      <x:c r="V973" s="55" t="n">
        <x:v>10862</x:v>
      </x:c>
      <x:c r="W973" s="55" t="n">
        <x:v>8051</x:v>
      </x:c>
      <x:c r="X973" s="55" t="n">
        <x:v>2811</x:v>
      </x:c>
      <x:c r="Y973" s="55" t="n">
        <x:v>2515</x:v>
      </x:c>
      <x:c r="Z973" s="55" t="n">
        <x:v>3666</x:v>
      </x:c>
      <x:c r="AA973" s="55" t="n">
        <x:v>2715</x:v>
      </x:c>
      <x:c r="AB973" s="55" t="n">
        <x:v>1007</x:v>
      </x:c>
      <x:c r="AC973" s="55" t="n">
        <x:v>8114</x:v>
      </x:c>
      <x:c r="AD973" s="55" t="n">
        <x:v>2147</x:v>
      </x:c>
      <x:c r="AE973" s="55" t="n">
        <x:v>10901</x:v>
      </x:c>
      <x:c r="AF973" s="55" t="n">
        <x:v>10862</x:v>
      </x:c>
      <x:c r="AG973" s="55" t="n">
        <x:v>39</x:v>
      </x:c>
      <x:c r="AH973" s="55" t="n">
        <x:v>569</x:v>
      </x:c>
      <x:c r="AI973" s="55" t="n">
        <x:v>10293</x:v>
      </x:c>
      <x:c r="AJ973" s="55" t="n">
        <x:v>454</x:v>
      </x:c>
      <x:c r="AK973" s="55" t="n">
        <x:v>1162</x:v>
      </x:c>
      <x:c r="AL973" s="55" t="n">
        <x:v>1938</x:v>
      </x:c>
      <x:c r="AM973" s="55" t="n">
        <x:v>4690</x:v>
      </x:c>
      <x:c r="AN973" s="55" t="n">
        <x:v>2618</x:v>
      </x:c>
      <x:c r="AO973" s="55" t="n">
        <x:v>0</x:v>
      </x:c>
      <x:c r="AP973" s="55" t="n">
        <x:v>2446</x:v>
      </x:c>
      <x:c r="AQ973" s="55" t="n">
        <x:v>968</x:v>
      </x:c>
    </x:row>
    <x:row r="974">
      <x:c r="A974" s="54" t="str">
        <x:v>T2_CONCORDANT_DOMAIN</x:v>
      </x:c>
      <x:c r="B974" s="54" t="n">
        <x:v>968</x:v>
      </x:c>
      <x:c r="C974" s="54" t="str">
        <x:v>NYC-V2-R01</x:v>
      </x:c>
      <x:c r="D974" s="54" t="str">
        <x:v>V2</x:v>
      </x:c>
      <x:c r="E974" s="54" t="str">
        <x:v>ADMITTED</x:v>
      </x:c>
      <x:c r="F974" s="55" t="n">
        <x:v>33494</x:v>
      </x:c>
      <x:c r="G974" s="55" t="n">
        <x:v>8235</x:v>
      </x:c>
      <x:c r="H974" s="55" t="n">
        <x:v>3683</x:v>
      </x:c>
      <x:c r="I974" s="55" t="n">
        <x:v>984</x:v>
      </x:c>
      <x:c r="J974" s="55" t="n">
        <x:v>380</x:v>
      </x:c>
      <x:c r="K974" s="55" t="n">
        <x:v>33494</x:v>
      </x:c>
      <x:c r="L974" s="55" t="n">
        <x:v>6785</x:v>
      </x:c>
      <x:c r="M974" s="55" t="n">
        <x:v>1743</x:v>
      </x:c>
      <x:c r="N974" s="55" t="n">
        <x:v>2976</x:v>
      </x:c>
      <x:c r="O974" s="55" t="n">
        <x:v>2066</x:v>
      </x:c>
      <x:c r="P974" s="55" t="n">
        <x:v>906</x:v>
      </x:c>
      <x:c r="Q974" s="55" t="n">
        <x:v>3319</x:v>
      </x:c>
      <x:c r="R974" s="55" t="n">
        <x:v>2344</x:v>
      </x:c>
      <x:c r="S974" s="55" t="n">
        <x:v>3052</x:v>
      </x:c>
      <x:c r="T974" s="55" t="n">
        <x:v>1427</x:v>
      </x:c>
      <x:c r="U974" s="55" t="n">
        <x:v>2030</x:v>
      </x:c>
      <x:c r="V974" s="55" t="n">
        <x:v>10459</x:v>
      </x:c>
      <x:c r="W974" s="55" t="n">
        <x:v>7368</x:v>
      </x:c>
      <x:c r="X974" s="55" t="n">
        <x:v>3091</x:v>
      </x:c>
      <x:c r="Y974" s="55" t="n">
        <x:v>2611</x:v>
      </x:c>
      <x:c r="Z974" s="55" t="n">
        <x:v>4048</x:v>
      </x:c>
      <x:c r="AA974" s="55" t="n">
        <x:v>3683</x:v>
      </x:c>
      <x:c r="AB974" s="55" t="n">
        <x:v>1221</x:v>
      </x:c>
      <x:c r="AC974" s="55" t="n">
        <x:v>8230</x:v>
      </x:c>
      <x:c r="AD974" s="55" t="n">
        <x:v>3065</x:v>
      </x:c>
      <x:c r="AE974" s="55" t="n">
        <x:v>10639</x:v>
      </x:c>
      <x:c r="AF974" s="55" t="n">
        <x:v>10459</x:v>
      </x:c>
      <x:c r="AG974" s="55" t="n">
        <x:v>180</x:v>
      </x:c>
      <x:c r="AH974" s="55" t="n">
        <x:v>498</x:v>
      </x:c>
      <x:c r="AI974" s="55" t="n">
        <x:v>9961</x:v>
      </x:c>
      <x:c r="AJ974" s="55" t="n">
        <x:v>351</x:v>
      </x:c>
      <x:c r="AK974" s="55" t="n">
        <x:v>1145</x:v>
      </x:c>
      <x:c r="AL974" s="55" t="n">
        <x:v>1364</x:v>
      </x:c>
      <x:c r="AM974" s="55" t="n">
        <x:v>4745</x:v>
      </x:c>
      <x:c r="AN974" s="55" t="n">
        <x:v>2790</x:v>
      </x:c>
      <x:c r="AO974" s="55" t="n">
        <x:v>64</x:v>
      </x:c>
      <x:c r="AP974" s="55" t="n">
        <x:v>2164</x:v>
      </x:c>
      <x:c r="AQ974" s="55" t="n">
        <x:v>981</x:v>
      </x:c>
    </x:row>
    <x:row r="975">
      <x:c r="A975" s="54" t="str">
        <x:v>T2_CONCORDANT_DOMAIN</x:v>
      </x:c>
      <x:c r="B975" s="54" t="n">
        <x:v>969</x:v>
      </x:c>
      <x:c r="C975" s="54" t="str">
        <x:v>NYC-V2-R01</x:v>
      </x:c>
      <x:c r="D975" s="54" t="str">
        <x:v>V2</x:v>
      </x:c>
      <x:c r="E975" s="54" t="str">
        <x:v>ADMITTED</x:v>
      </x:c>
      <x:c r="F975" s="55" t="n">
        <x:v>32021</x:v>
      </x:c>
      <x:c r="G975" s="55" t="n">
        <x:v>7327</x:v>
      </x:c>
      <x:c r="H975" s="55" t="n">
        <x:v>3450</x:v>
      </x:c>
      <x:c r="I975" s="55" t="n">
        <x:v>1276</x:v>
      </x:c>
      <x:c r="J975" s="55" t="n">
        <x:v>255</x:v>
      </x:c>
      <x:c r="K975" s="55" t="n">
        <x:v>32021</x:v>
      </x:c>
      <x:c r="L975" s="55" t="n">
        <x:v>6781</x:v>
      </x:c>
      <x:c r="M975" s="55" t="n">
        <x:v>1181</x:v>
      </x:c>
      <x:c r="N975" s="55" t="n">
        <x:v>3454</x:v>
      </x:c>
      <x:c r="O975" s="55" t="n">
        <x:v>2146</x:v>
      </x:c>
      <x:c r="P975" s="55" t="n">
        <x:v>1113</x:v>
      </x:c>
      <x:c r="Q975" s="55" t="n">
        <x:v>2189</x:v>
      </x:c>
      <x:c r="R975" s="55" t="n">
        <x:v>1977</x:v>
      </x:c>
      <x:c r="S975" s="55" t="n">
        <x:v>3248</x:v>
      </x:c>
      <x:c r="T975" s="55" t="n">
        <x:v>1417</x:v>
      </x:c>
      <x:c r="U975" s="55" t="n">
        <x:v>2169</x:v>
      </x:c>
      <x:c r="V975" s="55" t="n">
        <x:v>10344</x:v>
      </x:c>
      <x:c r="W975" s="55" t="n">
        <x:v>7369</x:v>
      </x:c>
      <x:c r="X975" s="55" t="n">
        <x:v>2975</x:v>
      </x:c>
      <x:c r="Y975" s="55" t="n">
        <x:v>2675</x:v>
      </x:c>
      <x:c r="Z975" s="55" t="n">
        <x:v>3742</x:v>
      </x:c>
      <x:c r="AA975" s="55" t="n">
        <x:v>3450</x:v>
      </x:c>
      <x:c r="AB975" s="55" t="n">
        <x:v>1086</x:v>
      </x:c>
      <x:c r="AC975" s="55" t="n">
        <x:v>8030</x:v>
      </x:c>
      <x:c r="AD975" s="55" t="n">
        <x:v>3171</x:v>
      </x:c>
      <x:c r="AE975" s="55" t="n">
        <x:v>10414</x:v>
      </x:c>
      <x:c r="AF975" s="55" t="n">
        <x:v>10344</x:v>
      </x:c>
      <x:c r="AG975" s="55" t="n">
        <x:v>70</x:v>
      </x:c>
      <x:c r="AH975" s="55" t="n">
        <x:v>340</x:v>
      </x:c>
      <x:c r="AI975" s="55" t="n">
        <x:v>10004</x:v>
      </x:c>
      <x:c r="AJ975" s="55" t="n">
        <x:v>330</x:v>
      </x:c>
      <x:c r="AK975" s="55" t="n">
        <x:v>1196</x:v>
      </x:c>
      <x:c r="AL975" s="55" t="n">
        <x:v>1523</x:v>
      </x:c>
      <x:c r="AM975" s="55" t="n">
        <x:v>4872</x:v>
      </x:c>
      <x:c r="AN975" s="55" t="n">
        <x:v>2417</x:v>
      </x:c>
      <x:c r="AO975" s="55" t="n">
        <x:v>6</x:v>
      </x:c>
      <x:c r="AP975" s="55" t="n">
        <x:v>2084</x:v>
      </x:c>
      <x:c r="AQ975" s="55" t="n">
        <x:v>976</x:v>
      </x:c>
    </x:row>
    <x:row r="976">
      <x:c r="A976" s="54" t="str">
        <x:v>T2_CONCORDANT_DOMAIN</x:v>
      </x:c>
      <x:c r="B976" s="54" t="n">
        <x:v>970</x:v>
      </x:c>
      <x:c r="C976" s="54" t="str">
        <x:v>NYC-V2-R01</x:v>
      </x:c>
      <x:c r="D976" s="54" t="str">
        <x:v>V2</x:v>
      </x:c>
      <x:c r="E976" s="54" t="str">
        <x:v>ADMITTED</x:v>
      </x:c>
      <x:c r="F976" s="55" t="n">
        <x:v>33381</x:v>
      </x:c>
      <x:c r="G976" s="55" t="n">
        <x:v>9032</x:v>
      </x:c>
      <x:c r="H976" s="55" t="n">
        <x:v>3804</x:v>
      </x:c>
      <x:c r="I976" s="55" t="n">
        <x:v>1677</x:v>
      </x:c>
      <x:c r="J976" s="55" t="n">
        <x:v>360</x:v>
      </x:c>
      <x:c r="K976" s="55" t="n">
        <x:v>31460</x:v>
      </x:c>
      <x:c r="L976" s="55" t="n">
        <x:v>6355</x:v>
      </x:c>
      <x:c r="M976" s="55" t="n">
        <x:v>1814</x:v>
      </x:c>
      <x:c r="N976" s="55" t="n">
        <x:v>2749</x:v>
      </x:c>
      <x:c r="O976" s="55" t="n">
        <x:v>1792</x:v>
      </x:c>
      <x:c r="P976" s="55" t="n">
        <x:v>1427</x:v>
      </x:c>
      <x:c r="Q976" s="55" t="n">
        <x:v>3187</x:v>
      </x:c>
      <x:c r="R976" s="55" t="n">
        <x:v>2431</x:v>
      </x:c>
      <x:c r="S976" s="55" t="n">
        <x:v>2610</x:v>
      </x:c>
      <x:c r="T976" s="55" t="n">
        <x:v>1490</x:v>
      </x:c>
      <x:c r="U976" s="55" t="n">
        <x:v>2173</x:v>
      </x:c>
      <x:c r="V976" s="55" t="n">
        <x:v>10825</x:v>
      </x:c>
      <x:c r="W976" s="55" t="n">
        <x:v>7850</x:v>
      </x:c>
      <x:c r="X976" s="55" t="n">
        <x:v>2975</x:v>
      </x:c>
      <x:c r="Y976" s="55" t="n">
        <x:v>2732</x:v>
      </x:c>
      <x:c r="Z976" s="55" t="n">
        <x:v>4056</x:v>
      </x:c>
      <x:c r="AA976" s="55" t="n">
        <x:v>3488</x:v>
      </x:c>
      <x:c r="AB976" s="55" t="n">
        <x:v>1414</x:v>
      </x:c>
      <x:c r="AC976" s="55" t="n">
        <x:v>8948</x:v>
      </x:c>
      <x:c r="AD976" s="55" t="n">
        <x:v>3452</x:v>
      </x:c>
      <x:c r="AE976" s="55" t="n">
        <x:v>10950</x:v>
      </x:c>
      <x:c r="AF976" s="55" t="n">
        <x:v>10825</x:v>
      </x:c>
      <x:c r="AG976" s="55" t="n">
        <x:v>125</x:v>
      </x:c>
      <x:c r="AH976" s="55" t="n">
        <x:v>607</x:v>
      </x:c>
      <x:c r="AI976" s="55" t="n">
        <x:v>10218</x:v>
      </x:c>
      <x:c r="AJ976" s="55" t="n">
        <x:v>515</x:v>
      </x:c>
      <x:c r="AK976" s="55" t="n">
        <x:v>1085</x:v>
      </x:c>
      <x:c r="AL976" s="55" t="n">
        <x:v>1422</x:v>
      </x:c>
      <x:c r="AM976" s="55" t="n">
        <x:v>4700</x:v>
      </x:c>
      <x:c r="AN976" s="55" t="n">
        <x:v>2988</x:v>
      </x:c>
      <x:c r="AO976" s="55" t="n">
        <x:v>115</x:v>
      </x:c>
      <x:c r="AP976" s="55" t="n">
        <x:v>2825</x:v>
      </x:c>
      <x:c r="AQ976" s="55" t="n">
        <x:v>992</x:v>
      </x:c>
    </x:row>
    <x:row r="977">
      <x:c r="A977" s="54" t="str">
        <x:v>T2_CONCORDANT_DOMAIN</x:v>
      </x:c>
      <x:c r="B977" s="54" t="n">
        <x:v>971</x:v>
      </x:c>
      <x:c r="C977" s="54" t="str">
        <x:v>NYC-V2-R01</x:v>
      </x:c>
      <x:c r="D977" s="54" t="str">
        <x:v>V2</x:v>
      </x:c>
      <x:c r="E977" s="54" t="str">
        <x:v>ADMITTED</x:v>
      </x:c>
      <x:c r="F977" s="55" t="n">
        <x:v>30330</x:v>
      </x:c>
      <x:c r="G977" s="55" t="n">
        <x:v>7131</x:v>
      </x:c>
      <x:c r="H977" s="55" t="n">
        <x:v>3333</x:v>
      </x:c>
      <x:c r="I977" s="55" t="n">
        <x:v>1584</x:v>
      </x:c>
      <x:c r="J977" s="55" t="n">
        <x:v>377</x:v>
      </x:c>
      <x:c r="K977" s="55" t="n">
        <x:v>28707</x:v>
      </x:c>
      <x:c r="L977" s="55" t="n">
        <x:v>4909</x:v>
      </x:c>
      <x:c r="M977" s="55" t="n">
        <x:v>734</x:v>
      </x:c>
      <x:c r="N977" s="55" t="n">
        <x:v>2381</x:v>
      </x:c>
      <x:c r="O977" s="55" t="n">
        <x:v>1794</x:v>
      </x:c>
      <x:c r="P977" s="55" t="n">
        <x:v>760</x:v>
      </x:c>
      <x:c r="Q977" s="55" t="n">
        <x:v>1709</x:v>
      </x:c>
      <x:c r="R977" s="55" t="n">
        <x:v>1859</x:v>
      </x:c>
      <x:c r="S977" s="55" t="n">
        <x:v>2567</x:v>
      </x:c>
      <x:c r="T977" s="55" t="n">
        <x:v>1009</x:v>
      </x:c>
      <x:c r="U977" s="55" t="n">
        <x:v>2151</x:v>
      </x:c>
      <x:c r="V977" s="55" t="n">
        <x:v>10751</x:v>
      </x:c>
      <x:c r="W977" s="55" t="n">
        <x:v>7549</x:v>
      </x:c>
      <x:c r="X977" s="55" t="n">
        <x:v>3202</x:v>
      </x:c>
      <x:c r="Y977" s="55" t="n">
        <x:v>2827</x:v>
      </x:c>
      <x:c r="Z977" s="55" t="n">
        <x:v>4027</x:v>
      </x:c>
      <x:c r="AA977" s="55" t="n">
        <x:v>3169</x:v>
      </x:c>
      <x:c r="AB977" s="55" t="n">
        <x:v>1280</x:v>
      </x:c>
      <x:c r="AC977" s="55" t="n">
        <x:v>7974</x:v>
      </x:c>
      <x:c r="AD977" s="55" t="n">
        <x:v>3249</x:v>
      </x:c>
      <x:c r="AE977" s="55" t="n">
        <x:v>10849</x:v>
      </x:c>
      <x:c r="AF977" s="55" t="n">
        <x:v>10751</x:v>
      </x:c>
      <x:c r="AG977" s="55" t="n">
        <x:v>98</x:v>
      </x:c>
      <x:c r="AH977" s="55" t="n">
        <x:v>598</x:v>
      </x:c>
      <x:c r="AI977" s="55" t="n">
        <x:v>10153</x:v>
      </x:c>
      <x:c r="AJ977" s="55" t="n">
        <x:v>385</x:v>
      </x:c>
      <x:c r="AK977" s="55" t="n">
        <x:v>1144</x:v>
      </x:c>
      <x:c r="AL977" s="55" t="n">
        <x:v>1717</x:v>
      </x:c>
      <x:c r="AM977" s="55" t="n">
        <x:v>4798</x:v>
      </x:c>
      <x:c r="AN977" s="55" t="n">
        <x:v>2679</x:v>
      </x:c>
      <x:c r="AO977" s="55" t="n">
        <x:v>28</x:v>
      </x:c>
      <x:c r="AP977" s="55" t="n">
        <x:v>2438</x:v>
      </x:c>
      <x:c r="AQ977" s="55" t="n">
        <x:v>983</x:v>
      </x:c>
    </x:row>
    <x:row r="978">
      <x:c r="A978" s="54" t="str">
        <x:v>T2_CONCORDANT_DOMAIN</x:v>
      </x:c>
      <x:c r="B978" s="54" t="n">
        <x:v>972</x:v>
      </x:c>
      <x:c r="C978" s="54" t="str">
        <x:v>NYC-V2-R01</x:v>
      </x:c>
      <x:c r="D978" s="54" t="str">
        <x:v>V2</x:v>
      </x:c>
      <x:c r="E978" s="54" t="str">
        <x:v>ADMITTED</x:v>
      </x:c>
      <x:c r="F978" s="55" t="n">
        <x:v>30117</x:v>
      </x:c>
      <x:c r="G978" s="55" t="n">
        <x:v>7588</x:v>
      </x:c>
      <x:c r="H978" s="55" t="n">
        <x:v>3101</x:v>
      </x:c>
      <x:c r="I978" s="55" t="n">
        <x:v>1165</x:v>
      </x:c>
      <x:c r="J978" s="55" t="n">
        <x:v>158</x:v>
      </x:c>
      <x:c r="K978" s="55" t="n">
        <x:v>28195</x:v>
      </x:c>
      <x:c r="L978" s="55" t="n">
        <x:v>4621</x:v>
      </x:c>
      <x:c r="M978" s="55" t="n">
        <x:v>1043</x:v>
      </x:c>
      <x:c r="N978" s="55" t="n">
        <x:v>2256</x:v>
      </x:c>
      <x:c r="O978" s="55" t="n">
        <x:v>1322</x:v>
      </x:c>
      <x:c r="P978" s="55" t="n">
        <x:v>746</x:v>
      </x:c>
      <x:c r="Q978" s="55" t="n">
        <x:v>2543</x:v>
      </x:c>
      <x:c r="R978" s="55" t="n">
        <x:v>1421</x:v>
      </x:c>
      <x:c r="S978" s="55" t="n">
        <x:v>2428</x:v>
      </x:c>
      <x:c r="T978" s="55" t="n">
        <x:v>826</x:v>
      </x:c>
      <x:c r="U978" s="55" t="n">
        <x:v>1374</x:v>
      </x:c>
      <x:c r="V978" s="55" t="n">
        <x:v>10597</x:v>
      </x:c>
      <x:c r="W978" s="55" t="n">
        <x:v>7129</x:v>
      </x:c>
      <x:c r="X978" s="55" t="n">
        <x:v>3468</x:v>
      </x:c>
      <x:c r="Y978" s="55" t="n">
        <x:v>3142</x:v>
      </x:c>
      <x:c r="Z978" s="55" t="n">
        <x:v>3579</x:v>
      </x:c>
      <x:c r="AA978" s="55" t="n">
        <x:v>2966</x:v>
      </x:c>
      <x:c r="AB978" s="55" t="n">
        <x:v>919</x:v>
      </x:c>
      <x:c r="AC978" s="55" t="n">
        <x:v>7694</x:v>
      </x:c>
      <x:c r="AD978" s="55" t="n">
        <x:v>2410</x:v>
      </x:c>
      <x:c r="AE978" s="55" t="n">
        <x:v>10597</x:v>
      </x:c>
      <x:c r="AF978" s="55" t="n">
        <x:v>10597</x:v>
      </x:c>
      <x:c r="AG978" s="55" t="n">
        <x:v>0</x:v>
      </x:c>
      <x:c r="AH978" s="55" t="n">
        <x:v>433</x:v>
      </x:c>
      <x:c r="AI978" s="55" t="n">
        <x:v>10164</x:v>
      </x:c>
      <x:c r="AJ978" s="55" t="n">
        <x:v>255</x:v>
      </x:c>
      <x:c r="AK978" s="55" t="n">
        <x:v>1065</x:v>
      </x:c>
      <x:c r="AL978" s="55" t="n">
        <x:v>1640</x:v>
      </x:c>
      <x:c r="AM978" s="55" t="n">
        <x:v>5035</x:v>
      </x:c>
      <x:c r="AN978" s="55" t="n">
        <x:v>2602</x:v>
      </x:c>
      <x:c r="AO978" s="55" t="n">
        <x:v>0</x:v>
      </x:c>
      <x:c r="AP978" s="55" t="n">
        <x:v>2179</x:v>
      </x:c>
      <x:c r="AQ978" s="55" t="n">
        <x:v>994</x:v>
      </x:c>
    </x:row>
    <x:row r="979">
      <x:c r="A979" s="54" t="str">
        <x:v>T2_CONCORDANT_DOMAIN</x:v>
      </x:c>
      <x:c r="B979" s="54" t="n">
        <x:v>973</x:v>
      </x:c>
      <x:c r="C979" s="54" t="str">
        <x:v>NYC-V2-R01</x:v>
      </x:c>
      <x:c r="D979" s="54" t="str">
        <x:v>V2</x:v>
      </x:c>
      <x:c r="E979" s="54" t="str">
        <x:v>ADMITTED</x:v>
      </x:c>
      <x:c r="F979" s="55" t="n">
        <x:v>31268</x:v>
      </x:c>
      <x:c r="G979" s="55" t="n">
        <x:v>8040</x:v>
      </x:c>
      <x:c r="H979" s="55" t="n">
        <x:v>3422</x:v>
      </x:c>
      <x:c r="I979" s="55" t="n">
        <x:v>1284</x:v>
      </x:c>
      <x:c r="J979" s="55" t="n">
        <x:v>162</x:v>
      </x:c>
      <x:c r="K979" s="55" t="n">
        <x:v>29032</x:v>
      </x:c>
      <x:c r="L979" s="55" t="n">
        <x:v>5763</x:v>
      </x:c>
      <x:c r="M979" s="55" t="n">
        <x:v>1166</x:v>
      </x:c>
      <x:c r="N979" s="55" t="n">
        <x:v>2637</x:v>
      </x:c>
      <x:c r="O979" s="55" t="n">
        <x:v>1960</x:v>
      </x:c>
      <x:c r="P979" s="55" t="n">
        <x:v>511</x:v>
      </x:c>
      <x:c r="Q979" s="55" t="n">
        <x:v>1953</x:v>
      </x:c>
      <x:c r="R979" s="55" t="n">
        <x:v>1749</x:v>
      </x:c>
      <x:c r="S979" s="55" t="n">
        <x:v>2602</x:v>
      </x:c>
      <x:c r="T979" s="55" t="n">
        <x:v>1072</x:v>
      </x:c>
      <x:c r="U979" s="55" t="n">
        <x:v>2166</x:v>
      </x:c>
      <x:c r="V979" s="55" t="n">
        <x:v>11001</x:v>
      </x:c>
      <x:c r="W979" s="55" t="n">
        <x:v>8010</x:v>
      </x:c>
      <x:c r="X979" s="55" t="n">
        <x:v>2991</x:v>
      </x:c>
      <x:c r="Y979" s="55" t="n">
        <x:v>2578</x:v>
      </x:c>
      <x:c r="Z979" s="55" t="n">
        <x:v>3760</x:v>
      </x:c>
      <x:c r="AA979" s="55" t="n">
        <x:v>3422</x:v>
      </x:c>
      <x:c r="AB979" s="55" t="n">
        <x:v>1227</x:v>
      </x:c>
      <x:c r="AC979" s="55" t="n">
        <x:v>8274</x:v>
      </x:c>
      <x:c r="AD979" s="55" t="n">
        <x:v>3057</x:v>
      </x:c>
      <x:c r="AE979" s="55" t="n">
        <x:v>11095</x:v>
      </x:c>
      <x:c r="AF979" s="55" t="n">
        <x:v>11001</x:v>
      </x:c>
      <x:c r="AG979" s="55" t="n">
        <x:v>94</x:v>
      </x:c>
      <x:c r="AH979" s="55" t="n">
        <x:v>707</x:v>
      </x:c>
      <x:c r="AI979" s="55" t="n">
        <x:v>10294</x:v>
      </x:c>
      <x:c r="AJ979" s="55" t="n">
        <x:v>257</x:v>
      </x:c>
      <x:c r="AK979" s="55" t="n">
        <x:v>1031</x:v>
      </x:c>
      <x:c r="AL979" s="55" t="n">
        <x:v>2077</x:v>
      </x:c>
      <x:c r="AM979" s="55" t="n">
        <x:v>4879</x:v>
      </x:c>
      <x:c r="AN979" s="55" t="n">
        <x:v>2705</x:v>
      </x:c>
      <x:c r="AO979" s="55" t="n">
        <x:v>52</x:v>
      </x:c>
      <x:c r="AP979" s="55" t="n">
        <x:v>3092</x:v>
      </x:c>
      <x:c r="AQ979" s="55" t="n">
        <x:v>982</x:v>
      </x:c>
    </x:row>
    <x:row r="980">
      <x:c r="A980" s="54" t="str">
        <x:v>T2_CONCORDANT_DOMAIN</x:v>
      </x:c>
      <x:c r="B980" s="54" t="n">
        <x:v>974</x:v>
      </x:c>
      <x:c r="C980" s="54" t="str">
        <x:v>NYC-V2-R01</x:v>
      </x:c>
      <x:c r="D980" s="54" t="str">
        <x:v>V2</x:v>
      </x:c>
      <x:c r="E980" s="54" t="str">
        <x:v>ADMITTED</x:v>
      </x:c>
      <x:c r="F980" s="55" t="n">
        <x:v>29551</x:v>
      </x:c>
      <x:c r="G980" s="55" t="n">
        <x:v>6890</x:v>
      </x:c>
      <x:c r="H980" s="55" t="n">
        <x:v>2902</x:v>
      </x:c>
      <x:c r="I980" s="55" t="n">
        <x:v>1087</x:v>
      </x:c>
      <x:c r="J980" s="55" t="n">
        <x:v>102</x:v>
      </x:c>
      <x:c r="K980" s="55" t="n">
        <x:v>29551</x:v>
      </x:c>
      <x:c r="L980" s="55" t="n">
        <x:v>5281</x:v>
      </x:c>
      <x:c r="M980" s="55" t="n">
        <x:v>783</x:v>
      </x:c>
      <x:c r="N980" s="55" t="n">
        <x:v>2622</x:v>
      </x:c>
      <x:c r="O980" s="55" t="n">
        <x:v>1876</x:v>
      </x:c>
      <x:c r="P980" s="55" t="n">
        <x:v>724</x:v>
      </x:c>
      <x:c r="Q980" s="55" t="n">
        <x:v>1805</x:v>
      </x:c>
      <x:c r="R980" s="55" t="n">
        <x:v>1835</x:v>
      </x:c>
      <x:c r="S980" s="55" t="n">
        <x:v>2451</x:v>
      </x:c>
      <x:c r="T980" s="55" t="n">
        <x:v>1197</x:v>
      </x:c>
      <x:c r="U980" s="55" t="n">
        <x:v>1802</x:v>
      </x:c>
      <x:c r="V980" s="55" t="n">
        <x:v>10129</x:v>
      </x:c>
      <x:c r="W980" s="55" t="n">
        <x:v>7161</x:v>
      </x:c>
      <x:c r="X980" s="55" t="n">
        <x:v>2968</x:v>
      </x:c>
      <x:c r="Y980" s="55" t="n">
        <x:v>2673</x:v>
      </x:c>
      <x:c r="Z980" s="55" t="n">
        <x:v>3100</x:v>
      </x:c>
      <x:c r="AA980" s="55" t="n">
        <x:v>2627</x:v>
      </x:c>
      <x:c r="AB980" s="55" t="n">
        <x:v>900</x:v>
      </x:c>
      <x:c r="AC980" s="55" t="n">
        <x:v>7928</x:v>
      </x:c>
      <x:c r="AD980" s="55" t="n">
        <x:v>2560</x:v>
      </x:c>
      <x:c r="AE980" s="55" t="n">
        <x:v>10129</x:v>
      </x:c>
      <x:c r="AF980" s="55" t="n">
        <x:v>10129</x:v>
      </x:c>
      <x:c r="AG980" s="55" t="n">
        <x:v>0</x:v>
      </x:c>
      <x:c r="AH980" s="55" t="n">
        <x:v>185</x:v>
      </x:c>
      <x:c r="AI980" s="55" t="n">
        <x:v>9944</x:v>
      </x:c>
      <x:c r="AJ980" s="55" t="n">
        <x:v>204</x:v>
      </x:c>
      <x:c r="AK980" s="55" t="n">
        <x:v>885</x:v>
      </x:c>
      <x:c r="AL980" s="55" t="n">
        <x:v>1687</x:v>
      </x:c>
      <x:c r="AM980" s="55" t="n">
        <x:v>4898</x:v>
      </x:c>
      <x:c r="AN980" s="55" t="n">
        <x:v>2455</x:v>
      </x:c>
      <x:c r="AO980" s="55" t="n">
        <x:v>0</x:v>
      </x:c>
      <x:c r="AP980" s="55" t="n">
        <x:v>2151</x:v>
      </x:c>
      <x:c r="AQ980" s="55" t="n">
        <x:v>930</x:v>
      </x:c>
    </x:row>
    <x:row r="981">
      <x:c r="A981" s="54" t="str">
        <x:v>T2_CONCORDANT_DOMAIN</x:v>
      </x:c>
      <x:c r="B981" s="54" t="n">
        <x:v>975</x:v>
      </x:c>
      <x:c r="C981" s="54" t="str">
        <x:v>NYC-V2-R01</x:v>
      </x:c>
      <x:c r="D981" s="54" t="str">
        <x:v>V2</x:v>
      </x:c>
      <x:c r="E981" s="54" t="str">
        <x:v>ADMITTED</x:v>
      </x:c>
      <x:c r="F981" s="55" t="n">
        <x:v>31251</x:v>
      </x:c>
      <x:c r="G981" s="55" t="n">
        <x:v>6594</x:v>
      </x:c>
      <x:c r="H981" s="55" t="n">
        <x:v>3700</x:v>
      </x:c>
      <x:c r="I981" s="55" t="n">
        <x:v>1334</x:v>
      </x:c>
      <x:c r="J981" s="55" t="n">
        <x:v>261</x:v>
      </x:c>
      <x:c r="K981" s="55" t="n">
        <x:v>31251</x:v>
      </x:c>
      <x:c r="L981" s="55" t="n">
        <x:v>7290</x:v>
      </x:c>
      <x:c r="M981" s="55" t="n">
        <x:v>2417</x:v>
      </x:c>
      <x:c r="N981" s="55" t="n">
        <x:v>3142</x:v>
      </x:c>
      <x:c r="O981" s="55" t="n">
        <x:v>1731</x:v>
      </x:c>
      <x:c r="P981" s="55" t="n">
        <x:v>408</x:v>
      </x:c>
      <x:c r="Q981" s="55" t="n">
        <x:v>2057</x:v>
      </x:c>
      <x:c r="R981" s="55" t="n">
        <x:v>1892</x:v>
      </x:c>
      <x:c r="S981" s="55" t="n">
        <x:v>2855</x:v>
      </x:c>
      <x:c r="T981" s="55" t="n">
        <x:v>1445</x:v>
      </x:c>
      <x:c r="U981" s="55" t="n">
        <x:v>2652</x:v>
      </x:c>
      <x:c r="V981" s="55" t="n">
        <x:v>10949</x:v>
      </x:c>
      <x:c r="W981" s="55" t="n">
        <x:v>7814</x:v>
      </x:c>
      <x:c r="X981" s="55" t="n">
        <x:v>3135</x:v>
      </x:c>
      <x:c r="Y981" s="55" t="n">
        <x:v>2721</x:v>
      </x:c>
      <x:c r="Z981" s="55" t="n">
        <x:v>3674</x:v>
      </x:c>
      <x:c r="AA981" s="55" t="n">
        <x:v>3392</x:v>
      </x:c>
      <x:c r="AB981" s="55" t="n">
        <x:v>1283</x:v>
      </x:c>
      <x:c r="AC981" s="55" t="n">
        <x:v>8587</x:v>
      </x:c>
      <x:c r="AD981" s="55" t="n">
        <x:v>3172</x:v>
      </x:c>
      <x:c r="AE981" s="55" t="n">
        <x:v>11089</x:v>
      </x:c>
      <x:c r="AF981" s="55" t="n">
        <x:v>10949</x:v>
      </x:c>
      <x:c r="AG981" s="55" t="n">
        <x:v>140</x:v>
      </x:c>
      <x:c r="AH981" s="55" t="n">
        <x:v>593</x:v>
      </x:c>
      <x:c r="AI981" s="55" t="n">
        <x:v>10356</x:v>
      </x:c>
      <x:c r="AJ981" s="55" t="n">
        <x:v>289</x:v>
      </x:c>
      <x:c r="AK981" s="55" t="n">
        <x:v>1068</x:v>
      </x:c>
      <x:c r="AL981" s="55" t="n">
        <x:v>1644</x:v>
      </x:c>
      <x:c r="AM981" s="55" t="n">
        <x:v>5533</x:v>
      </x:c>
      <x:c r="AN981" s="55" t="n">
        <x:v>2415</x:v>
      </x:c>
      <x:c r="AO981" s="55" t="n">
        <x:v>0</x:v>
      </x:c>
      <x:c r="AP981" s="55" t="n">
        <x:v>2203</x:v>
      </x:c>
      <x:c r="AQ981" s="55" t="n">
        <x:v>942</x:v>
      </x:c>
    </x:row>
    <x:row r="982">
      <x:c r="A982" s="54" t="str">
        <x:v>T2_CONCORDANT_DOMAIN</x:v>
      </x:c>
      <x:c r="B982" s="54" t="n">
        <x:v>976</x:v>
      </x:c>
      <x:c r="C982" s="54" t="str">
        <x:v>NYC-V2-R01</x:v>
      </x:c>
      <x:c r="D982" s="54" t="str">
        <x:v>V2</x:v>
      </x:c>
      <x:c r="E982" s="54" t="str">
        <x:v>ADMITTED</x:v>
      </x:c>
      <x:c r="F982" s="55" t="n">
        <x:v>32082</x:v>
      </x:c>
      <x:c r="G982" s="55" t="n">
        <x:v>8546</x:v>
      </x:c>
      <x:c r="H982" s="55" t="n">
        <x:v>3470</x:v>
      </x:c>
      <x:c r="I982" s="55" t="n">
        <x:v>1542</x:v>
      </x:c>
      <x:c r="J982" s="55" t="n">
        <x:v>364</x:v>
      </x:c>
      <x:c r="K982" s="55" t="n">
        <x:v>31619</x:v>
      </x:c>
      <x:c r="L982" s="55" t="n">
        <x:v>6122</x:v>
      </x:c>
      <x:c r="M982" s="55" t="n">
        <x:v>1841</x:v>
      </x:c>
      <x:c r="N982" s="55" t="n">
        <x:v>2648</x:v>
      </x:c>
      <x:c r="O982" s="55" t="n">
        <x:v>1633</x:v>
      </x:c>
      <x:c r="P982" s="55" t="n">
        <x:v>1256</x:v>
      </x:c>
      <x:c r="Q982" s="55" t="n">
        <x:v>2722</x:v>
      </x:c>
      <x:c r="R982" s="55" t="n">
        <x:v>2085</x:v>
      </x:c>
      <x:c r="S982" s="55" t="n">
        <x:v>2662</x:v>
      </x:c>
      <x:c r="T982" s="55" t="n">
        <x:v>1289</x:v>
      </x:c>
      <x:c r="U982" s="55" t="n">
        <x:v>1785</x:v>
      </x:c>
      <x:c r="V982" s="55" t="n">
        <x:v>10269</x:v>
      </x:c>
      <x:c r="W982" s="55" t="n">
        <x:v>6947</x:v>
      </x:c>
      <x:c r="X982" s="55" t="n">
        <x:v>3322</x:v>
      </x:c>
      <x:c r="Y982" s="55" t="n">
        <x:v>2797</x:v>
      </x:c>
      <x:c r="Z982" s="55" t="n">
        <x:v>4017</x:v>
      </x:c>
      <x:c r="AA982" s="55" t="n">
        <x:v>2637</x:v>
      </x:c>
      <x:c r="AB982" s="55" t="n">
        <x:v>801</x:v>
      </x:c>
      <x:c r="AC982" s="55" t="n">
        <x:v>7968</x:v>
      </x:c>
      <x:c r="AD982" s="55" t="n">
        <x:v>3393</x:v>
      </x:c>
      <x:c r="AE982" s="55" t="n">
        <x:v>10407</x:v>
      </x:c>
      <x:c r="AF982" s="55" t="n">
        <x:v>10269</x:v>
      </x:c>
      <x:c r="AG982" s="55" t="n">
        <x:v>138</x:v>
      </x:c>
      <x:c r="AH982" s="55" t="n">
        <x:v>362</x:v>
      </x:c>
      <x:c r="AI982" s="55" t="n">
        <x:v>9907</x:v>
      </x:c>
      <x:c r="AJ982" s="55" t="n">
        <x:v>364</x:v>
      </x:c>
      <x:c r="AK982" s="55" t="n">
        <x:v>845</x:v>
      </x:c>
      <x:c r="AL982" s="55" t="n">
        <x:v>1858</x:v>
      </x:c>
      <x:c r="AM982" s="55" t="n">
        <x:v>4517</x:v>
      </x:c>
      <x:c r="AN982" s="55" t="n">
        <x:v>2685</x:v>
      </x:c>
      <x:c r="AO982" s="55" t="n">
        <x:v>0</x:v>
      </x:c>
      <x:c r="AP982" s="55" t="n">
        <x:v>2029</x:v>
      </x:c>
      <x:c r="AQ982" s="55" t="n">
        <x:v>941</x:v>
      </x:c>
    </x:row>
    <x:row r="983">
      <x:c r="A983" s="54" t="str">
        <x:v>T2_CONCORDANT_DOMAIN</x:v>
      </x:c>
      <x:c r="B983" s="54" t="n">
        <x:v>977</x:v>
      </x:c>
      <x:c r="C983" s="54" t="str">
        <x:v>NYC-V2-R01</x:v>
      </x:c>
      <x:c r="D983" s="54" t="str">
        <x:v>V2</x:v>
      </x:c>
      <x:c r="E983" s="54" t="str">
        <x:v>ADMITTED</x:v>
      </x:c>
      <x:c r="F983" s="55" t="n">
        <x:v>31846</x:v>
      </x:c>
      <x:c r="G983" s="55" t="n">
        <x:v>7472</x:v>
      </x:c>
      <x:c r="H983" s="55" t="n">
        <x:v>3904</x:v>
      </x:c>
      <x:c r="I983" s="55" t="n">
        <x:v>1746</x:v>
      </x:c>
      <x:c r="J983" s="55" t="n">
        <x:v>515</x:v>
      </x:c>
      <x:c r="K983" s="55" t="n">
        <x:v>31748</x:v>
      </x:c>
      <x:c r="L983" s="55" t="n">
        <x:v>6419</x:v>
      </x:c>
      <x:c r="M983" s="55" t="n">
        <x:v>2248</x:v>
      </x:c>
      <x:c r="N983" s="55" t="n">
        <x:v>2805</x:v>
      </x:c>
      <x:c r="O983" s="55" t="n">
        <x:v>1366</x:v>
      </x:c>
      <x:c r="P983" s="55" t="n">
        <x:v>576</x:v>
      </x:c>
      <x:c r="Q983" s="55" t="n">
        <x:v>2458</x:v>
      </x:c>
      <x:c r="R983" s="55" t="n">
        <x:v>1961</x:v>
      </x:c>
      <x:c r="S983" s="55" t="n">
        <x:v>2606</x:v>
      </x:c>
      <x:c r="T983" s="55" t="n">
        <x:v>1269</x:v>
      </x:c>
      <x:c r="U983" s="55" t="n">
        <x:v>1719</x:v>
      </x:c>
      <x:c r="V983" s="55" t="n">
        <x:v>10534</x:v>
      </x:c>
      <x:c r="W983" s="55" t="n">
        <x:v>7232</x:v>
      </x:c>
      <x:c r="X983" s="55" t="n">
        <x:v>3302</x:v>
      </x:c>
      <x:c r="Y983" s="55" t="n">
        <x:v>2827</x:v>
      </x:c>
      <x:c r="Z983" s="55" t="n">
        <x:v>3977</x:v>
      </x:c>
      <x:c r="AA983" s="55" t="n">
        <x:v>3682</x:v>
      </x:c>
      <x:c r="AB983" s="55" t="n">
        <x:v>1478</x:v>
      </x:c>
      <x:c r="AC983" s="55" t="n">
        <x:v>8699</x:v>
      </x:c>
      <x:c r="AD983" s="55" t="n">
        <x:v>3485</x:v>
      </x:c>
      <x:c r="AE983" s="55" t="n">
        <x:v>10672</x:v>
      </x:c>
      <x:c r="AF983" s="55" t="n">
        <x:v>10534</x:v>
      </x:c>
      <x:c r="AG983" s="55" t="n">
        <x:v>138</x:v>
      </x:c>
      <x:c r="AH983" s="55" t="n">
        <x:v>567</x:v>
      </x:c>
      <x:c r="AI983" s="55" t="n">
        <x:v>9967</x:v>
      </x:c>
      <x:c r="AJ983" s="55" t="n">
        <x:v>346</x:v>
      </x:c>
      <x:c r="AK983" s="55" t="n">
        <x:v>1075</x:v>
      </x:c>
      <x:c r="AL983" s="55" t="n">
        <x:v>1342</x:v>
      </x:c>
      <x:c r="AM983" s="55" t="n">
        <x:v>5092</x:v>
      </x:c>
      <x:c r="AN983" s="55" t="n">
        <x:v>2623</x:v>
      </x:c>
      <x:c r="AO983" s="55" t="n">
        <x:v>56</x:v>
      </x:c>
      <x:c r="AP983" s="55" t="n">
        <x:v>2343</x:v>
      </x:c>
      <x:c r="AQ983" s="55" t="n">
        <x:v>1008</x:v>
      </x:c>
    </x:row>
    <x:row r="984">
      <x:c r="A984" s="54" t="str">
        <x:v>T2_CONCORDANT_DOMAIN</x:v>
      </x:c>
      <x:c r="B984" s="54" t="n">
        <x:v>978</x:v>
      </x:c>
      <x:c r="C984" s="54" t="str">
        <x:v>NYC-V2-R01</x:v>
      </x:c>
      <x:c r="D984" s="54" t="str">
        <x:v>V2</x:v>
      </x:c>
      <x:c r="E984" s="54" t="str">
        <x:v>ADMITTED</x:v>
      </x:c>
      <x:c r="F984" s="55" t="n">
        <x:v>32943</x:v>
      </x:c>
      <x:c r="G984" s="55" t="n">
        <x:v>7633</x:v>
      </x:c>
      <x:c r="H984" s="55" t="n">
        <x:v>3249</x:v>
      </x:c>
      <x:c r="I984" s="55" t="n">
        <x:v>1619</x:v>
      </x:c>
      <x:c r="J984" s="55" t="n">
        <x:v>294</x:v>
      </x:c>
      <x:c r="K984" s="55" t="n">
        <x:v>32943</x:v>
      </x:c>
      <x:c r="L984" s="55" t="n">
        <x:v>6066</x:v>
      </x:c>
      <x:c r="M984" s="55" t="n">
        <x:v>1359</x:v>
      </x:c>
      <x:c r="N984" s="55" t="n">
        <x:v>3092</x:v>
      </x:c>
      <x:c r="O984" s="55" t="n">
        <x:v>1615</x:v>
      </x:c>
      <x:c r="P984" s="55" t="n">
        <x:v>858</x:v>
      </x:c>
      <x:c r="Q984" s="55" t="n">
        <x:v>2336</x:v>
      </x:c>
      <x:c r="R984" s="55" t="n">
        <x:v>2089</x:v>
      </x:c>
      <x:c r="S984" s="55" t="n">
        <x:v>2244</x:v>
      </x:c>
      <x:c r="T984" s="55" t="n">
        <x:v>1583</x:v>
      </x:c>
      <x:c r="U984" s="55" t="n">
        <x:v>1911</x:v>
      </x:c>
      <x:c r="V984" s="55" t="n">
        <x:v>10868</x:v>
      </x:c>
      <x:c r="W984" s="55" t="n">
        <x:v>7528</x:v>
      </x:c>
      <x:c r="X984" s="55" t="n">
        <x:v>3340</x:v>
      </x:c>
      <x:c r="Y984" s="55" t="n">
        <x:v>2971</x:v>
      </x:c>
      <x:c r="Z984" s="55" t="n">
        <x:v>3763</x:v>
      </x:c>
      <x:c r="AA984" s="55" t="n">
        <x:v>2949</x:v>
      </x:c>
      <x:c r="AB984" s="55" t="n">
        <x:v>818</x:v>
      </x:c>
      <x:c r="AC984" s="55" t="n">
        <x:v>8058</x:v>
      </x:c>
      <x:c r="AD984" s="55" t="n">
        <x:v>2874</x:v>
      </x:c>
      <x:c r="AE984" s="55" t="n">
        <x:v>10960</x:v>
      </x:c>
      <x:c r="AF984" s="55" t="n">
        <x:v>10868</x:v>
      </x:c>
      <x:c r="AG984" s="55" t="n">
        <x:v>92</x:v>
      </x:c>
      <x:c r="AH984" s="55" t="n">
        <x:v>553</x:v>
      </x:c>
      <x:c r="AI984" s="55" t="n">
        <x:v>10315</x:v>
      </x:c>
      <x:c r="AJ984" s="55" t="n">
        <x:v>328</x:v>
      </x:c>
      <x:c r="AK984" s="55" t="n">
        <x:v>904</x:v>
      </x:c>
      <x:c r="AL984" s="55" t="n">
        <x:v>1502</x:v>
      </x:c>
      <x:c r="AM984" s="55" t="n">
        <x:v>5187</x:v>
      </x:c>
      <x:c r="AN984" s="55" t="n">
        <x:v>2858</x:v>
      </x:c>
      <x:c r="AO984" s="55" t="n">
        <x:v>89</x:v>
      </x:c>
      <x:c r="AP984" s="55" t="n">
        <x:v>2353</x:v>
      </x:c>
      <x:c r="AQ984" s="55" t="n">
        <x:v>986</x:v>
      </x:c>
    </x:row>
    <x:row r="985">
      <x:c r="A985" s="54" t="str">
        <x:v>T2_CONCORDANT_DOMAIN</x:v>
      </x:c>
      <x:c r="B985" s="54" t="n">
        <x:v>979</x:v>
      </x:c>
      <x:c r="C985" s="54" t="str">
        <x:v>NYC-V2-R01</x:v>
      </x:c>
      <x:c r="D985" s="54" t="str">
        <x:v>V2</x:v>
      </x:c>
      <x:c r="E985" s="54" t="str">
        <x:v>ADMITTED</x:v>
      </x:c>
      <x:c r="F985" s="55" t="n">
        <x:v>32021</x:v>
      </x:c>
      <x:c r="G985" s="55" t="n">
        <x:v>8157</x:v>
      </x:c>
      <x:c r="H985" s="55" t="n">
        <x:v>3765</x:v>
      </x:c>
      <x:c r="I985" s="55" t="n">
        <x:v>1466</x:v>
      </x:c>
      <x:c r="J985" s="55" t="n">
        <x:v>229</x:v>
      </x:c>
      <x:c r="K985" s="55" t="n">
        <x:v>32021</x:v>
      </x:c>
      <x:c r="L985" s="55" t="n">
        <x:v>5267</x:v>
      </x:c>
      <x:c r="M985" s="55" t="n">
        <x:v>881</x:v>
      </x:c>
      <x:c r="N985" s="55" t="n">
        <x:v>2789</x:v>
      </x:c>
      <x:c r="O985" s="55" t="n">
        <x:v>1597</x:v>
      </x:c>
      <x:c r="P985" s="55" t="n">
        <x:v>832</x:v>
      </x:c>
      <x:c r="Q985" s="55" t="n">
        <x:v>2864</x:v>
      </x:c>
      <x:c r="R985" s="55" t="n">
        <x:v>2085</x:v>
      </x:c>
      <x:c r="S985" s="55" t="n">
        <x:v>2869</x:v>
      </x:c>
      <x:c r="T985" s="55" t="n">
        <x:v>1271</x:v>
      </x:c>
      <x:c r="U985" s="55" t="n">
        <x:v>1642</x:v>
      </x:c>
      <x:c r="V985" s="55" t="n">
        <x:v>10458</x:v>
      </x:c>
      <x:c r="W985" s="55" t="n">
        <x:v>7409</x:v>
      </x:c>
      <x:c r="X985" s="55" t="n">
        <x:v>3049</x:v>
      </x:c>
      <x:c r="Y985" s="55" t="n">
        <x:v>2614</x:v>
      </x:c>
      <x:c r="Z985" s="55" t="n">
        <x:v>3705</x:v>
      </x:c>
      <x:c r="AA985" s="55" t="n">
        <x:v>3765</x:v>
      </x:c>
      <x:c r="AB985" s="55" t="n">
        <x:v>1467</x:v>
      </x:c>
      <x:c r="AC985" s="55" t="n">
        <x:v>8072</x:v>
      </x:c>
      <x:c r="AD985" s="55" t="n">
        <x:v>3148</x:v>
      </x:c>
      <x:c r="AE985" s="55" t="n">
        <x:v>10563</x:v>
      </x:c>
      <x:c r="AF985" s="55" t="n">
        <x:v>10458</x:v>
      </x:c>
      <x:c r="AG985" s="55" t="n">
        <x:v>105</x:v>
      </x:c>
      <x:c r="AH985" s="55" t="n">
        <x:v>346</x:v>
      </x:c>
      <x:c r="AI985" s="55" t="n">
        <x:v>10112</x:v>
      </x:c>
      <x:c r="AJ985" s="55" t="n">
        <x:v>276</x:v>
      </x:c>
      <x:c r="AK985" s="55" t="n">
        <x:v>1000</x:v>
      </x:c>
      <x:c r="AL985" s="55" t="n">
        <x:v>1767</x:v>
      </x:c>
      <x:c r="AM985" s="55" t="n">
        <x:v>4436</x:v>
      </x:c>
      <x:c r="AN985" s="55" t="n">
        <x:v>2979</x:v>
      </x:c>
      <x:c r="AO985" s="55" t="n">
        <x:v>0</x:v>
      </x:c>
      <x:c r="AP985" s="55" t="n">
        <x:v>2781</x:v>
      </x:c>
      <x:c r="AQ985" s="55" t="n">
        <x:v>996</x:v>
      </x:c>
    </x:row>
    <x:row r="986">
      <x:c r="A986" s="54" t="str">
        <x:v>T2_CONCORDANT_DOMAIN</x:v>
      </x:c>
      <x:c r="B986" s="54" t="n">
        <x:v>980</x:v>
      </x:c>
      <x:c r="C986" s="54" t="str">
        <x:v>NYC-V2-R01</x:v>
      </x:c>
      <x:c r="D986" s="54" t="str">
        <x:v>V2</x:v>
      </x:c>
      <x:c r="E986" s="54" t="str">
        <x:v>ADMITTED</x:v>
      </x:c>
      <x:c r="F986" s="55" t="n">
        <x:v>31248</x:v>
      </x:c>
      <x:c r="G986" s="55" t="n">
        <x:v>8023</x:v>
      </x:c>
      <x:c r="H986" s="55" t="n">
        <x:v>3136</x:v>
      </x:c>
      <x:c r="I986" s="55" t="n">
        <x:v>891</x:v>
      </x:c>
      <x:c r="J986" s="55" t="n">
        <x:v>32</x:v>
      </x:c>
      <x:c r="K986" s="55" t="n">
        <x:v>29342</x:v>
      </x:c>
      <x:c r="L986" s="55" t="n">
        <x:v>5484</x:v>
      </x:c>
      <x:c r="M986" s="55" t="n">
        <x:v>1185</x:v>
      </x:c>
      <x:c r="N986" s="55" t="n">
        <x:v>2690</x:v>
      </x:c>
      <x:c r="O986" s="55" t="n">
        <x:v>1609</x:v>
      </x:c>
      <x:c r="P986" s="55" t="n">
        <x:v>931</x:v>
      </x:c>
      <x:c r="Q986" s="55" t="n">
        <x:v>2258</x:v>
      </x:c>
      <x:c r="R986" s="55" t="n">
        <x:v>1628</x:v>
      </x:c>
      <x:c r="S986" s="55" t="n">
        <x:v>2275</x:v>
      </x:c>
      <x:c r="T986" s="55" t="n">
        <x:v>1425</x:v>
      </x:c>
      <x:c r="U986" s="55" t="n">
        <x:v>1720</x:v>
      </x:c>
      <x:c r="V986" s="55" t="n">
        <x:v>10835</x:v>
      </x:c>
      <x:c r="W986" s="55" t="n">
        <x:v>8510</x:v>
      </x:c>
      <x:c r="X986" s="55" t="n">
        <x:v>2325</x:v>
      </x:c>
      <x:c r="Y986" s="55" t="n">
        <x:v>1831</x:v>
      </x:c>
      <x:c r="Z986" s="55" t="n">
        <x:v>3498</x:v>
      </x:c>
      <x:c r="AA986" s="55" t="n">
        <x:v>2772</x:v>
      </x:c>
      <x:c r="AB986" s="55" t="n">
        <x:v>934</x:v>
      </x:c>
      <x:c r="AC986" s="55" t="n">
        <x:v>7743</x:v>
      </x:c>
      <x:c r="AD986" s="55" t="n">
        <x:v>2342</x:v>
      </x:c>
      <x:c r="AE986" s="55" t="n">
        <x:v>10875</x:v>
      </x:c>
      <x:c r="AF986" s="55" t="n">
        <x:v>10835</x:v>
      </x:c>
      <x:c r="AG986" s="55" t="n">
        <x:v>40</x:v>
      </x:c>
      <x:c r="AH986" s="55" t="n">
        <x:v>595</x:v>
      </x:c>
      <x:c r="AI986" s="55" t="n">
        <x:v>10240</x:v>
      </x:c>
      <x:c r="AJ986" s="55" t="n">
        <x:v>245</x:v>
      </x:c>
      <x:c r="AK986" s="55" t="n">
        <x:v>1005</x:v>
      </x:c>
      <x:c r="AL986" s="55" t="n">
        <x:v>1818</x:v>
      </x:c>
      <x:c r="AM986" s="55" t="n">
        <x:v>4886</x:v>
      </x:c>
      <x:c r="AN986" s="55" t="n">
        <x:v>2847</x:v>
      </x:c>
      <x:c r="AO986" s="55" t="n">
        <x:v>34</x:v>
      </x:c>
      <x:c r="AP986" s="55" t="n">
        <x:v>2775</x:v>
      </x:c>
      <x:c r="AQ986" s="55" t="n">
        <x:v>947</x:v>
      </x:c>
    </x:row>
    <x:row r="987">
      <x:c r="A987" s="54" t="str">
        <x:v>T2_CONCORDANT_DOMAIN</x:v>
      </x:c>
      <x:c r="B987" s="54" t="n">
        <x:v>981</x:v>
      </x:c>
      <x:c r="C987" s="54" t="str">
        <x:v>NYC-V2-R01</x:v>
      </x:c>
      <x:c r="D987" s="54" t="str">
        <x:v>V2</x:v>
      </x:c>
      <x:c r="E987" s="54" t="str">
        <x:v>ADMITTED</x:v>
      </x:c>
      <x:c r="F987" s="55" t="n">
        <x:v>31310</x:v>
      </x:c>
      <x:c r="G987" s="55" t="n">
        <x:v>7334</x:v>
      </x:c>
      <x:c r="H987" s="55" t="n">
        <x:v>3197</x:v>
      </x:c>
      <x:c r="I987" s="55" t="n">
        <x:v>1320</x:v>
      </x:c>
      <x:c r="J987" s="55" t="n">
        <x:v>210</x:v>
      </x:c>
      <x:c r="K987" s="55" t="n">
        <x:v>31310</x:v>
      </x:c>
      <x:c r="L987" s="55" t="n">
        <x:v>6164</x:v>
      </x:c>
      <x:c r="M987" s="55" t="n">
        <x:v>1645</x:v>
      </x:c>
      <x:c r="N987" s="55" t="n">
        <x:v>2422</x:v>
      </x:c>
      <x:c r="O987" s="55" t="n">
        <x:v>2097</x:v>
      </x:c>
      <x:c r="P987" s="55" t="n">
        <x:v>699</x:v>
      </x:c>
      <x:c r="Q987" s="55" t="n">
        <x:v>2786</x:v>
      </x:c>
      <x:c r="R987" s="55" t="n">
        <x:v>2100</x:v>
      </x:c>
      <x:c r="S987" s="55" t="n">
        <x:v>2622</x:v>
      </x:c>
      <x:c r="T987" s="55" t="n">
        <x:v>1277</x:v>
      </x:c>
      <x:c r="U987" s="55" t="n">
        <x:v>2109</x:v>
      </x:c>
      <x:c r="V987" s="55" t="n">
        <x:v>10856</x:v>
      </x:c>
      <x:c r="W987" s="55" t="n">
        <x:v>7504</x:v>
      </x:c>
      <x:c r="X987" s="55" t="n">
        <x:v>3352</x:v>
      </x:c>
      <x:c r="Y987" s="55" t="n">
        <x:v>2819</x:v>
      </x:c>
      <x:c r="Z987" s="55" t="n">
        <x:v>3844</x:v>
      </x:c>
      <x:c r="AA987" s="55" t="n">
        <x:v>3123</x:v>
      </x:c>
      <x:c r="AB987" s="55" t="n">
        <x:v>1011</x:v>
      </x:c>
      <x:c r="AC987" s="55" t="n">
        <x:v>7834</x:v>
      </x:c>
      <x:c r="AD987" s="55" t="n">
        <x:v>2716</x:v>
      </x:c>
      <x:c r="AE987" s="55" t="n">
        <x:v>11032</x:v>
      </x:c>
      <x:c r="AF987" s="55" t="n">
        <x:v>10856</x:v>
      </x:c>
      <x:c r="AG987" s="55" t="n">
        <x:v>176</x:v>
      </x:c>
      <x:c r="AH987" s="55" t="n">
        <x:v>336</x:v>
      </x:c>
      <x:c r="AI987" s="55" t="n">
        <x:v>10520</x:v>
      </x:c>
      <x:c r="AJ987" s="55" t="n">
        <x:v>416</x:v>
      </x:c>
      <x:c r="AK987" s="55" t="n">
        <x:v>1267</x:v>
      </x:c>
      <x:c r="AL987" s="55" t="n">
        <x:v>1226</x:v>
      </x:c>
      <x:c r="AM987" s="55" t="n">
        <x:v>5210</x:v>
      </x:c>
      <x:c r="AN987" s="55" t="n">
        <x:v>2661</x:v>
      </x:c>
      <x:c r="AO987" s="55" t="n">
        <x:v>76</x:v>
      </x:c>
      <x:c r="AP987" s="55" t="n">
        <x:v>2620</x:v>
      </x:c>
      <x:c r="AQ987" s="55" t="n">
        <x:v>956</x:v>
      </x:c>
    </x:row>
    <x:row r="988">
      <x:c r="A988" s="54" t="str">
        <x:v>T2_CONCORDANT_DOMAIN</x:v>
      </x:c>
      <x:c r="B988" s="54" t="n">
        <x:v>982</x:v>
      </x:c>
      <x:c r="C988" s="54" t="str">
        <x:v>NYC-V2-R01</x:v>
      </x:c>
      <x:c r="D988" s="54" t="str">
        <x:v>V2</x:v>
      </x:c>
      <x:c r="E988" s="54" t="str">
        <x:v>ADMITTED</x:v>
      </x:c>
      <x:c r="F988" s="55" t="n">
        <x:v>31179</x:v>
      </x:c>
      <x:c r="G988" s="55" t="n">
        <x:v>7364</x:v>
      </x:c>
      <x:c r="H988" s="55" t="n">
        <x:v>3648</x:v>
      </x:c>
      <x:c r="I988" s="55" t="n">
        <x:v>1602</x:v>
      </x:c>
      <x:c r="J988" s="55" t="n">
        <x:v>381</x:v>
      </x:c>
      <x:c r="K988" s="55" t="n">
        <x:v>31179</x:v>
      </x:c>
      <x:c r="L988" s="55" t="n">
        <x:v>5958</x:v>
      </x:c>
      <x:c r="M988" s="55" t="n">
        <x:v>1658</x:v>
      </x:c>
      <x:c r="N988" s="55" t="n">
        <x:v>2452</x:v>
      </x:c>
      <x:c r="O988" s="55" t="n">
        <x:v>1848</x:v>
      </x:c>
      <x:c r="P988" s="55" t="n">
        <x:v>800</x:v>
      </x:c>
      <x:c r="Q988" s="55" t="n">
        <x:v>3135</x:v>
      </x:c>
      <x:c r="R988" s="55" t="n">
        <x:v>1798</x:v>
      </x:c>
      <x:c r="S988" s="55" t="n">
        <x:v>2886</x:v>
      </x:c>
      <x:c r="T988" s="55" t="n">
        <x:v>1238</x:v>
      </x:c>
      <x:c r="U988" s="55" t="n">
        <x:v>2127</x:v>
      </x:c>
      <x:c r="V988" s="55" t="n">
        <x:v>11056</x:v>
      </x:c>
      <x:c r="W988" s="55" t="n">
        <x:v>7358</x:v>
      </x:c>
      <x:c r="X988" s="55" t="n">
        <x:v>3698</x:v>
      </x:c>
      <x:c r="Y988" s="55" t="n">
        <x:v>3110</x:v>
      </x:c>
      <x:c r="Z988" s="55" t="n">
        <x:v>3609</x:v>
      </x:c>
      <x:c r="AA988" s="55" t="n">
        <x:v>3648</x:v>
      </x:c>
      <x:c r="AB988" s="55" t="n">
        <x:v>1118</x:v>
      </x:c>
      <x:c r="AC988" s="55" t="n">
        <x:v>8894</x:v>
      </x:c>
      <x:c r="AD988" s="55" t="n">
        <x:v>3097</x:v>
      </x:c>
      <x:c r="AE988" s="55" t="n">
        <x:v>11166</x:v>
      </x:c>
      <x:c r="AF988" s="55" t="n">
        <x:v>11056</x:v>
      </x:c>
      <x:c r="AG988" s="55" t="n">
        <x:v>110</x:v>
      </x:c>
      <x:c r="AH988" s="55" t="n">
        <x:v>677</x:v>
      </x:c>
      <x:c r="AI988" s="55" t="n">
        <x:v>10379</x:v>
      </x:c>
      <x:c r="AJ988" s="55" t="n">
        <x:v>482</x:v>
      </x:c>
      <x:c r="AK988" s="55" t="n">
        <x:v>1164</x:v>
      </x:c>
      <x:c r="AL988" s="55" t="n">
        <x:v>1335</x:v>
      </x:c>
      <x:c r="AM988" s="55" t="n">
        <x:v>4949</x:v>
      </x:c>
      <x:c r="AN988" s="55" t="n">
        <x:v>3092</x:v>
      </x:c>
      <x:c r="AO988" s="55" t="n">
        <x:v>34</x:v>
      </x:c>
      <x:c r="AP988" s="55" t="n">
        <x:v>2413</x:v>
      </x:c>
      <x:c r="AQ988" s="55" t="n">
        <x:v>967</x:v>
      </x:c>
    </x:row>
    <x:row r="989">
      <x:c r="A989" s="54" t="str">
        <x:v>T2_CONCORDANT_DOMAIN</x:v>
      </x:c>
      <x:c r="B989" s="54" t="n">
        <x:v>983</x:v>
      </x:c>
      <x:c r="C989" s="54" t="str">
        <x:v>NYC-V2-R01</x:v>
      </x:c>
      <x:c r="D989" s="54" t="str">
        <x:v>V2</x:v>
      </x:c>
      <x:c r="E989" s="54" t="str">
        <x:v>ADMITTED</x:v>
      </x:c>
      <x:c r="F989" s="55" t="n">
        <x:v>31614</x:v>
      </x:c>
      <x:c r="G989" s="55" t="n">
        <x:v>8522</x:v>
      </x:c>
      <x:c r="H989" s="55" t="n">
        <x:v>3738</x:v>
      </x:c>
      <x:c r="I989" s="55" t="n">
        <x:v>1451</x:v>
      </x:c>
      <x:c r="J989" s="55" t="n">
        <x:v>343</x:v>
      </x:c>
      <x:c r="K989" s="55" t="n">
        <x:v>31614</x:v>
      </x:c>
      <x:c r="L989" s="55" t="n">
        <x:v>6099</x:v>
      </x:c>
      <x:c r="M989" s="55" t="n">
        <x:v>1475</x:v>
      </x:c>
      <x:c r="N989" s="55" t="n">
        <x:v>2574</x:v>
      </x:c>
      <x:c r="O989" s="55" t="n">
        <x:v>2050</x:v>
      </x:c>
      <x:c r="P989" s="55" t="n">
        <x:v>1141</x:v>
      </x:c>
      <x:c r="Q989" s="55" t="n">
        <x:v>2893</x:v>
      </x:c>
      <x:c r="R989" s="55" t="n">
        <x:v>2090</x:v>
      </x:c>
      <x:c r="S989" s="55" t="n">
        <x:v>2666</x:v>
      </x:c>
      <x:c r="T989" s="55" t="n">
        <x:v>1491</x:v>
      </x:c>
      <x:c r="U989" s="55" t="n">
        <x:v>2130</x:v>
      </x:c>
      <x:c r="V989" s="55" t="n">
        <x:v>11309</x:v>
      </x:c>
      <x:c r="W989" s="55" t="n">
        <x:v>7676</x:v>
      </x:c>
      <x:c r="X989" s="55" t="n">
        <x:v>3633</x:v>
      </x:c>
      <x:c r="Y989" s="55" t="n">
        <x:v>3256</x:v>
      </x:c>
      <x:c r="Z989" s="55" t="n">
        <x:v>4171</x:v>
      </x:c>
      <x:c r="AA989" s="55" t="n">
        <x:v>3738</x:v>
      </x:c>
      <x:c r="AB989" s="55" t="n">
        <x:v>1334</x:v>
      </x:c>
      <x:c r="AC989" s="55" t="n">
        <x:v>8243</x:v>
      </x:c>
      <x:c r="AD989" s="55" t="n">
        <x:v>3481</x:v>
      </x:c>
      <x:c r="AE989" s="55" t="n">
        <x:v>11418</x:v>
      </x:c>
      <x:c r="AF989" s="55" t="n">
        <x:v>11309</x:v>
      </x:c>
      <x:c r="AG989" s="55" t="n">
        <x:v>109</x:v>
      </x:c>
      <x:c r="AH989" s="55" t="n">
        <x:v>611</x:v>
      </x:c>
      <x:c r="AI989" s="55" t="n">
        <x:v>10698</x:v>
      </x:c>
      <x:c r="AJ989" s="55" t="n">
        <x:v>518</x:v>
      </x:c>
      <x:c r="AK989" s="55" t="n">
        <x:v>1402</x:v>
      </x:c>
      <x:c r="AL989" s="55" t="n">
        <x:v>1349</x:v>
      </x:c>
      <x:c r="AM989" s="55" t="n">
        <x:v>5261</x:v>
      </x:c>
      <x:c r="AN989" s="55" t="n">
        <x:v>2675</x:v>
      </x:c>
      <x:c r="AO989" s="55" t="n">
        <x:v>104</x:v>
      </x:c>
      <x:c r="AP989" s="55" t="n">
        <x:v>2447</x:v>
      </x:c>
      <x:c r="AQ989" s="55" t="n">
        <x:v>952</x:v>
      </x:c>
    </x:row>
    <x:row r="990">
      <x:c r="A990" s="54" t="str">
        <x:v>T2_CONCORDANT_DOMAIN</x:v>
      </x:c>
      <x:c r="B990" s="54" t="n">
        <x:v>984</x:v>
      </x:c>
      <x:c r="C990" s="54" t="str">
        <x:v>NYC-V2-R01</x:v>
      </x:c>
      <x:c r="D990" s="54" t="str">
        <x:v>V2</x:v>
      </x:c>
      <x:c r="E990" s="54" t="str">
        <x:v>ADMITTED</x:v>
      </x:c>
      <x:c r="F990" s="55" t="n">
        <x:v>34437</x:v>
      </x:c>
      <x:c r="G990" s="55" t="n">
        <x:v>9651</x:v>
      </x:c>
      <x:c r="H990" s="55" t="n">
        <x:v>3609</x:v>
      </x:c>
      <x:c r="I990" s="55" t="n">
        <x:v>1471</x:v>
      </x:c>
      <x:c r="J990" s="55" t="n">
        <x:v>316</x:v>
      </x:c>
      <x:c r="K990" s="55" t="n">
        <x:v>33205</x:v>
      </x:c>
      <x:c r="L990" s="55" t="n">
        <x:v>8240</x:v>
      </x:c>
      <x:c r="M990" s="55" t="n">
        <x:v>1849</x:v>
      </x:c>
      <x:c r="N990" s="55" t="n">
        <x:v>4012</x:v>
      </x:c>
      <x:c r="O990" s="55" t="n">
        <x:v>2379</x:v>
      </x:c>
      <x:c r="P990" s="55" t="n">
        <x:v>1192</x:v>
      </x:c>
      <x:c r="Q990" s="55" t="n">
        <x:v>2353</x:v>
      </x:c>
      <x:c r="R990" s="55" t="n">
        <x:v>2079</x:v>
      </x:c>
      <x:c r="S990" s="55" t="n">
        <x:v>3247</x:v>
      </x:c>
      <x:c r="T990" s="55" t="n">
        <x:v>1728</x:v>
      </x:c>
      <x:c r="U990" s="55" t="n">
        <x:v>2839</x:v>
      </x:c>
      <x:c r="V990" s="55" t="n">
        <x:v>11300</x:v>
      </x:c>
      <x:c r="W990" s="55" t="n">
        <x:v>7717</x:v>
      </x:c>
      <x:c r="X990" s="55" t="n">
        <x:v>3583</x:v>
      </x:c>
      <x:c r="Y990" s="55" t="n">
        <x:v>3374</x:v>
      </x:c>
      <x:c r="Z990" s="55" t="n">
        <x:v>3834</x:v>
      </x:c>
      <x:c r="AA990" s="55" t="n">
        <x:v>3609</x:v>
      </x:c>
      <x:c r="AB990" s="55" t="n">
        <x:v>1736</x:v>
      </x:c>
      <x:c r="AC990" s="55" t="n">
        <x:v>8513</x:v>
      </x:c>
      <x:c r="AD990" s="55" t="n">
        <x:v>3893</x:v>
      </x:c>
      <x:c r="AE990" s="55" t="n">
        <x:v>11411</x:v>
      </x:c>
      <x:c r="AF990" s="55" t="n">
        <x:v>11300</x:v>
      </x:c>
      <x:c r="AG990" s="55" t="n">
        <x:v>111</x:v>
      </x:c>
      <x:c r="AH990" s="55" t="n">
        <x:v>517</x:v>
      </x:c>
      <x:c r="AI990" s="55" t="n">
        <x:v>10783</x:v>
      </x:c>
      <x:c r="AJ990" s="55" t="n">
        <x:v>396</x:v>
      </x:c>
      <x:c r="AK990" s="55" t="n">
        <x:v>1076</x:v>
      </x:c>
      <x:c r="AL990" s="55" t="n">
        <x:v>1817</x:v>
      </x:c>
      <x:c r="AM990" s="55" t="n">
        <x:v>5293</x:v>
      </x:c>
      <x:c r="AN990" s="55" t="n">
        <x:v>2715</x:v>
      </x:c>
      <x:c r="AO990" s="55" t="n">
        <x:v>3</x:v>
      </x:c>
      <x:c r="AP990" s="55" t="n">
        <x:v>2701</x:v>
      </x:c>
      <x:c r="AQ990" s="55" t="n">
        <x:v>1016</x:v>
      </x:c>
    </x:row>
    <x:row r="991">
      <x:c r="A991" s="54" t="str">
        <x:v>T2_CONCORDANT_DOMAIN</x:v>
      </x:c>
      <x:c r="B991" s="54" t="n">
        <x:v>985</x:v>
      </x:c>
      <x:c r="C991" s="54" t="str">
        <x:v>NYC-V2-R01</x:v>
      </x:c>
      <x:c r="D991" s="54" t="str">
        <x:v>V2</x:v>
      </x:c>
      <x:c r="E991" s="54" t="str">
        <x:v>ADMITTED</x:v>
      </x:c>
      <x:c r="F991" s="55" t="n">
        <x:v>30653</x:v>
      </x:c>
      <x:c r="G991" s="55" t="n">
        <x:v>6006</x:v>
      </x:c>
      <x:c r="H991" s="55" t="n">
        <x:v>2964</x:v>
      </x:c>
      <x:c r="I991" s="55" t="n">
        <x:v>1133</x:v>
      </x:c>
      <x:c r="J991" s="55" t="n">
        <x:v>313</x:v>
      </x:c>
      <x:c r="K991" s="55" t="n">
        <x:v>30653</x:v>
      </x:c>
      <x:c r="L991" s="55" t="n">
        <x:v>5390</x:v>
      </x:c>
      <x:c r="M991" s="55" t="n">
        <x:v>1836</x:v>
      </x:c>
      <x:c r="N991" s="55" t="n">
        <x:v>2138</x:v>
      </x:c>
      <x:c r="O991" s="55" t="n">
        <x:v>1416</x:v>
      </x:c>
      <x:c r="P991" s="55" t="n">
        <x:v>832</x:v>
      </x:c>
      <x:c r="Q991" s="55" t="n">
        <x:v>3072</x:v>
      </x:c>
      <x:c r="R991" s="55" t="n">
        <x:v>1964</x:v>
      </x:c>
      <x:c r="S991" s="55" t="n">
        <x:v>2548</x:v>
      </x:c>
      <x:c r="T991" s="55" t="n">
        <x:v>1036</x:v>
      </x:c>
      <x:c r="U991" s="55" t="n">
        <x:v>1928</x:v>
      </x:c>
      <x:c r="V991" s="55" t="n">
        <x:v>9873</x:v>
      </x:c>
      <x:c r="W991" s="55" t="n">
        <x:v>6923</x:v>
      </x:c>
      <x:c r="X991" s="55" t="n">
        <x:v>2950</x:v>
      </x:c>
      <x:c r="Y991" s="55" t="n">
        <x:v>2563</x:v>
      </x:c>
      <x:c r="Z991" s="55" t="n">
        <x:v>3579</x:v>
      </x:c>
      <x:c r="AA991" s="55" t="n">
        <x:v>2884</x:v>
      </x:c>
      <x:c r="AB991" s="55" t="n">
        <x:v>982</x:v>
      </x:c>
      <x:c r="AC991" s="55" t="n">
        <x:v>7748</x:v>
      </x:c>
      <x:c r="AD991" s="55" t="n">
        <x:v>2789</x:v>
      </x:c>
      <x:c r="AE991" s="55" t="n">
        <x:v>9919</x:v>
      </x:c>
      <x:c r="AF991" s="55" t="n">
        <x:v>9873</x:v>
      </x:c>
      <x:c r="AG991" s="55" t="n">
        <x:v>46</x:v>
      </x:c>
      <x:c r="AH991" s="55" t="n">
        <x:v>437</x:v>
      </x:c>
      <x:c r="AI991" s="55" t="n">
        <x:v>9436</x:v>
      </x:c>
      <x:c r="AJ991" s="55" t="n">
        <x:v>236</x:v>
      </x:c>
      <x:c r="AK991" s="55" t="n">
        <x:v>874</x:v>
      </x:c>
      <x:c r="AL991" s="55" t="n">
        <x:v>1349</x:v>
      </x:c>
      <x:c r="AM991" s="55" t="n">
        <x:v>4954</x:v>
      </x:c>
      <x:c r="AN991" s="55" t="n">
        <x:v>2460</x:v>
      </x:c>
      <x:c r="AO991" s="55" t="n">
        <x:v>0</x:v>
      </x:c>
      <x:c r="AP991" s="55" t="n">
        <x:v>2352</x:v>
      </x:c>
      <x:c r="AQ991" s="55" t="n">
        <x:v>946</x:v>
      </x:c>
    </x:row>
    <x:row r="992">
      <x:c r="A992" s="54" t="str">
        <x:v>T2_CONCORDANT_DOMAIN</x:v>
      </x:c>
      <x:c r="B992" s="54" t="n">
        <x:v>986</x:v>
      </x:c>
      <x:c r="C992" s="54" t="str">
        <x:v>NYC-V2-R01</x:v>
      </x:c>
      <x:c r="D992" s="54" t="str">
        <x:v>V2</x:v>
      </x:c>
      <x:c r="E992" s="54" t="str">
        <x:v>ADMITTED</x:v>
      </x:c>
      <x:c r="F992" s="55" t="n">
        <x:v>31028</x:v>
      </x:c>
      <x:c r="G992" s="55" t="n">
        <x:v>7571</x:v>
      </x:c>
      <x:c r="H992" s="55" t="n">
        <x:v>3373</x:v>
      </x:c>
      <x:c r="I992" s="55" t="n">
        <x:v>926</x:v>
      </x:c>
      <x:c r="J992" s="55" t="n">
        <x:v>93</x:v>
      </x:c>
      <x:c r="K992" s="55" t="n">
        <x:v>31028</x:v>
      </x:c>
      <x:c r="L992" s="55" t="n">
        <x:v>6098</x:v>
      </x:c>
      <x:c r="M992" s="55" t="n">
        <x:v>1720</x:v>
      </x:c>
      <x:c r="N992" s="55" t="n">
        <x:v>2678</x:v>
      </x:c>
      <x:c r="O992" s="55" t="n">
        <x:v>1700</x:v>
      </x:c>
      <x:c r="P992" s="55" t="n">
        <x:v>849</x:v>
      </x:c>
      <x:c r="Q992" s="55" t="n">
        <x:v>2501</x:v>
      </x:c>
      <x:c r="R992" s="55" t="n">
        <x:v>1432</x:v>
      </x:c>
      <x:c r="S992" s="55" t="n">
        <x:v>2762</x:v>
      </x:c>
      <x:c r="T992" s="55" t="n">
        <x:v>938</x:v>
      </x:c>
      <x:c r="U992" s="55" t="n">
        <x:v>1596</x:v>
      </x:c>
      <x:c r="V992" s="55" t="n">
        <x:v>10632</x:v>
      </x:c>
      <x:c r="W992" s="55" t="n">
        <x:v>7850</x:v>
      </x:c>
      <x:c r="X992" s="55" t="n">
        <x:v>2782</x:v>
      </x:c>
      <x:c r="Y992" s="55" t="n">
        <x:v>2307</x:v>
      </x:c>
      <x:c r="Z992" s="55" t="n">
        <x:v>3294</x:v>
      </x:c>
      <x:c r="AA992" s="55" t="n">
        <x:v>3373</x:v>
      </x:c>
      <x:c r="AB992" s="55" t="n">
        <x:v>976</x:v>
      </x:c>
      <x:c r="AC992" s="55" t="n">
        <x:v>8030</x:v>
      </x:c>
      <x:c r="AD992" s="55" t="n">
        <x:v>2368</x:v>
      </x:c>
      <x:c r="AE992" s="55" t="n">
        <x:v>10758</x:v>
      </x:c>
      <x:c r="AF992" s="55" t="n">
        <x:v>10632</x:v>
      </x:c>
      <x:c r="AG992" s="55" t="n">
        <x:v>126</x:v>
      </x:c>
      <x:c r="AH992" s="55" t="n">
        <x:v>580</x:v>
      </x:c>
      <x:c r="AI992" s="55" t="n">
        <x:v>10052</x:v>
      </x:c>
      <x:c r="AJ992" s="55" t="n">
        <x:v>327</x:v>
      </x:c>
      <x:c r="AK992" s="55" t="n">
        <x:v>798</x:v>
      </x:c>
      <x:c r="AL992" s="55" t="n">
        <x:v>1699</x:v>
      </x:c>
      <x:c r="AM992" s="55" t="n">
        <x:v>5237</x:v>
      </x:c>
      <x:c r="AN992" s="55" t="n">
        <x:v>2506</x:v>
      </x:c>
      <x:c r="AO992" s="55" t="n">
        <x:v>65</x:v>
      </x:c>
      <x:c r="AP992" s="55" t="n">
        <x:v>2380</x:v>
      </x:c>
      <x:c r="AQ992" s="55" t="n">
        <x:v>910</x:v>
      </x:c>
    </x:row>
    <x:row r="993">
      <x:c r="A993" s="54" t="str">
        <x:v>T2_CONCORDANT_DOMAIN</x:v>
      </x:c>
      <x:c r="B993" s="54" t="n">
        <x:v>987</x:v>
      </x:c>
      <x:c r="C993" s="54" t="str">
        <x:v>NYC-V2-R01</x:v>
      </x:c>
      <x:c r="D993" s="54" t="str">
        <x:v>V2</x:v>
      </x:c>
      <x:c r="E993" s="54" t="str">
        <x:v>ADMITTED</x:v>
      </x:c>
      <x:c r="F993" s="55" t="n">
        <x:v>30562</x:v>
      </x:c>
      <x:c r="G993" s="55" t="n">
        <x:v>8642</x:v>
      </x:c>
      <x:c r="H993" s="55" t="n">
        <x:v>2949</x:v>
      </x:c>
      <x:c r="I993" s="55" t="n">
        <x:v>651</x:v>
      </x:c>
      <x:c r="J993" s="55" t="n">
        <x:v>0</x:v>
      </x:c>
      <x:c r="K993" s="55" t="n">
        <x:v>27956</x:v>
      </x:c>
      <x:c r="L993" s="55" t="n">
        <x:v>5134</x:v>
      </x:c>
      <x:c r="M993" s="55" t="n">
        <x:v>1144</x:v>
      </x:c>
      <x:c r="N993" s="55" t="n">
        <x:v>2805</x:v>
      </x:c>
      <x:c r="O993" s="55" t="n">
        <x:v>1185</x:v>
      </x:c>
      <x:c r="P993" s="55" t="n">
        <x:v>636</x:v>
      </x:c>
      <x:c r="Q993" s="55" t="n">
        <x:v>2093</x:v>
      </x:c>
      <x:c r="R993" s="55" t="n">
        <x:v>1958</x:v>
      </x:c>
      <x:c r="S993" s="55" t="n">
        <x:v>1746</x:v>
      </x:c>
      <x:c r="T993" s="55" t="n">
        <x:v>1129</x:v>
      </x:c>
      <x:c r="U993" s="55" t="n">
        <x:v>1924</x:v>
      </x:c>
      <x:c r="V993" s="55" t="n">
        <x:v>10665</x:v>
      </x:c>
      <x:c r="W993" s="55" t="n">
        <x:v>7533</x:v>
      </x:c>
      <x:c r="X993" s="55" t="n">
        <x:v>3132</x:v>
      </x:c>
      <x:c r="Y993" s="55" t="n">
        <x:v>2773</x:v>
      </x:c>
      <x:c r="Z993" s="55" t="n">
        <x:v>3843</x:v>
      </x:c>
      <x:c r="AA993" s="55" t="n">
        <x:v>2949</x:v>
      </x:c>
      <x:c r="AB993" s="55" t="n">
        <x:v>1073</x:v>
      </x:c>
      <x:c r="AC993" s="55" t="n">
        <x:v>7784</x:v>
      </x:c>
      <x:c r="AD993" s="55" t="n">
        <x:v>2390</x:v>
      </x:c>
      <x:c r="AE993" s="55" t="n">
        <x:v>10740</x:v>
      </x:c>
      <x:c r="AF993" s="55" t="n">
        <x:v>10665</x:v>
      </x:c>
      <x:c r="AG993" s="55" t="n">
        <x:v>75</x:v>
      </x:c>
      <x:c r="AH993" s="55" t="n">
        <x:v>371</x:v>
      </x:c>
      <x:c r="AI993" s="55" t="n">
        <x:v>10294</x:v>
      </x:c>
      <x:c r="AJ993" s="55" t="n">
        <x:v>268</x:v>
      </x:c>
      <x:c r="AK993" s="55" t="n">
        <x:v>952</x:v>
      </x:c>
      <x:c r="AL993" s="55" t="n">
        <x:v>1645</x:v>
      </x:c>
      <x:c r="AM993" s="55" t="n">
        <x:v>4800</x:v>
      </x:c>
      <x:c r="AN993" s="55" t="n">
        <x:v>3000</x:v>
      </x:c>
      <x:c r="AO993" s="55" t="n">
        <x:v>0</x:v>
      </x:c>
      <x:c r="AP993" s="55" t="n">
        <x:v>2486</x:v>
      </x:c>
      <x:c r="AQ993" s="55" t="n">
        <x:v>933</x:v>
      </x:c>
    </x:row>
    <x:row r="994">
      <x:c r="A994" s="54" t="str">
        <x:v>T2_CONCORDANT_DOMAIN</x:v>
      </x:c>
      <x:c r="B994" s="54" t="n">
        <x:v>988</x:v>
      </x:c>
      <x:c r="C994" s="54" t="str">
        <x:v>NYC-V2-R01</x:v>
      </x:c>
      <x:c r="D994" s="54" t="str">
        <x:v>V2</x:v>
      </x:c>
      <x:c r="E994" s="54" t="str">
        <x:v>ADMITTED</x:v>
      </x:c>
      <x:c r="F994" s="55" t="n">
        <x:v>30365</x:v>
      </x:c>
      <x:c r="G994" s="55" t="n">
        <x:v>6771</x:v>
      </x:c>
      <x:c r="H994" s="55" t="n">
        <x:v>3175</x:v>
      </x:c>
      <x:c r="I994" s="55" t="n">
        <x:v>1311</x:v>
      </x:c>
      <x:c r="J994" s="55" t="n">
        <x:v>243</x:v>
      </x:c>
      <x:c r="K994" s="55" t="n">
        <x:v>30365</x:v>
      </x:c>
      <x:c r="L994" s="55" t="n">
        <x:v>5578</x:v>
      </x:c>
      <x:c r="M994" s="55" t="n">
        <x:v>917</x:v>
      </x:c>
      <x:c r="N994" s="55" t="n">
        <x:v>3026</x:v>
      </x:c>
      <x:c r="O994" s="55" t="n">
        <x:v>1635</x:v>
      </x:c>
      <x:c r="P994" s="55" t="n">
        <x:v>404</x:v>
      </x:c>
      <x:c r="Q994" s="55" t="n">
        <x:v>1985</x:v>
      </x:c>
      <x:c r="R994" s="55" t="n">
        <x:v>966</x:v>
      </x:c>
      <x:c r="S994" s="55" t="n">
        <x:v>2424</x:v>
      </x:c>
      <x:c r="T994" s="55" t="n">
        <x:v>1010</x:v>
      </x:c>
      <x:c r="U994" s="55" t="n">
        <x:v>2020</x:v>
      </x:c>
      <x:c r="V994" s="55" t="n">
        <x:v>10599</x:v>
      </x:c>
      <x:c r="W994" s="55" t="n">
        <x:v>7446</x:v>
      </x:c>
      <x:c r="X994" s="55" t="n">
        <x:v>3153</x:v>
      </x:c>
      <x:c r="Y994" s="55" t="n">
        <x:v>2659</x:v>
      </x:c>
      <x:c r="Z994" s="55" t="n">
        <x:v>3310</x:v>
      </x:c>
      <x:c r="AA994" s="55" t="n">
        <x:v>2891</x:v>
      </x:c>
      <x:c r="AB994" s="55" t="n">
        <x:v>1016</x:v>
      </x:c>
      <x:c r="AC994" s="55" t="n">
        <x:v>7448</x:v>
      </x:c>
      <x:c r="AD994" s="55" t="n">
        <x:v>2678</x:v>
      </x:c>
      <x:c r="AE994" s="55" t="n">
        <x:v>10599</x:v>
      </x:c>
      <x:c r="AF994" s="55" t="n">
        <x:v>10599</x:v>
      </x:c>
      <x:c r="AG994" s="55" t="n">
        <x:v>0</x:v>
      </x:c>
      <x:c r="AH994" s="55" t="n">
        <x:v>351</x:v>
      </x:c>
      <x:c r="AI994" s="55" t="n">
        <x:v>10248</x:v>
      </x:c>
      <x:c r="AJ994" s="55" t="n">
        <x:v>376</x:v>
      </x:c>
      <x:c r="AK994" s="55" t="n">
        <x:v>844</x:v>
      </x:c>
      <x:c r="AL994" s="55" t="n">
        <x:v>1217</x:v>
      </x:c>
      <x:c r="AM994" s="55" t="n">
        <x:v>5232</x:v>
      </x:c>
      <x:c r="AN994" s="55" t="n">
        <x:v>2930</x:v>
      </x:c>
      <x:c r="AO994" s="55" t="n">
        <x:v>0</x:v>
      </x:c>
      <x:c r="AP994" s="55" t="n">
        <x:v>1971</x:v>
      </x:c>
      <x:c r="AQ994" s="55" t="n">
        <x:v>975</x:v>
      </x:c>
    </x:row>
    <x:row r="995">
      <x:c r="A995" s="54" t="str">
        <x:v>T2_CONCORDANT_DOMAIN</x:v>
      </x:c>
      <x:c r="B995" s="54" t="n">
        <x:v>989</x:v>
      </x:c>
      <x:c r="C995" s="54" t="str">
        <x:v>NYC-V2-R01</x:v>
      </x:c>
      <x:c r="D995" s="54" t="str">
        <x:v>V2</x:v>
      </x:c>
      <x:c r="E995" s="54" t="str">
        <x:v>ADMITTED</x:v>
      </x:c>
      <x:c r="F995" s="55" t="n">
        <x:v>32341</x:v>
      </x:c>
      <x:c r="G995" s="55" t="n">
        <x:v>7843</x:v>
      </x:c>
      <x:c r="H995" s="55" t="n">
        <x:v>3314</x:v>
      </x:c>
      <x:c r="I995" s="55" t="n">
        <x:v>1471</x:v>
      </x:c>
      <x:c r="J995" s="55" t="n">
        <x:v>197</x:v>
      </x:c>
      <x:c r="K995" s="55" t="n">
        <x:v>32341</x:v>
      </x:c>
      <x:c r="L995" s="55" t="n">
        <x:v>7201</x:v>
      </x:c>
      <x:c r="M995" s="55" t="n">
        <x:v>1894</x:v>
      </x:c>
      <x:c r="N995" s="55" t="n">
        <x:v>3522</x:v>
      </x:c>
      <x:c r="O995" s="55" t="n">
        <x:v>1785</x:v>
      </x:c>
      <x:c r="P995" s="55" t="n">
        <x:v>1272</x:v>
      </x:c>
      <x:c r="Q995" s="55" t="n">
        <x:v>3027</x:v>
      </x:c>
      <x:c r="R995" s="55" t="n">
        <x:v>2109</x:v>
      </x:c>
      <x:c r="S995" s="55" t="n">
        <x:v>2569</x:v>
      </x:c>
      <x:c r="T995" s="55" t="n">
        <x:v>1610</x:v>
      </x:c>
      <x:c r="U995" s="55" t="n">
        <x:v>2385</x:v>
      </x:c>
      <x:c r="V995" s="55" t="n">
        <x:v>11476</x:v>
      </x:c>
      <x:c r="W995" s="55" t="n">
        <x:v>8262</x:v>
      </x:c>
      <x:c r="X995" s="55" t="n">
        <x:v>3214</x:v>
      </x:c>
      <x:c r="Y995" s="55" t="n">
        <x:v>2662</x:v>
      </x:c>
      <x:c r="Z995" s="55" t="n">
        <x:v>4265</x:v>
      </x:c>
      <x:c r="AA995" s="55" t="n">
        <x:v>3177</x:v>
      </x:c>
      <x:c r="AB995" s="55" t="n">
        <x:v>961</x:v>
      </x:c>
      <x:c r="AC995" s="55" t="n">
        <x:v>8000</x:v>
      </x:c>
      <x:c r="AD995" s="55" t="n">
        <x:v>3178</x:v>
      </x:c>
      <x:c r="AE995" s="55" t="n">
        <x:v>11536</x:v>
      </x:c>
      <x:c r="AF995" s="55" t="n">
        <x:v>11476</x:v>
      </x:c>
      <x:c r="AG995" s="55" t="n">
        <x:v>60</x:v>
      </x:c>
      <x:c r="AH995" s="55" t="n">
        <x:v>434</x:v>
      </x:c>
      <x:c r="AI995" s="55" t="n">
        <x:v>11042</x:v>
      </x:c>
      <x:c r="AJ995" s="55" t="n">
        <x:v>297</x:v>
      </x:c>
      <x:c r="AK995" s="55" t="n">
        <x:v>1218</x:v>
      </x:c>
      <x:c r="AL995" s="55" t="n">
        <x:v>1899</x:v>
      </x:c>
      <x:c r="AM995" s="55" t="n">
        <x:v>4771</x:v>
      </x:c>
      <x:c r="AN995" s="55" t="n">
        <x:v>3235</x:v>
      </x:c>
      <x:c r="AO995" s="55" t="n">
        <x:v>56</x:v>
      </x:c>
      <x:c r="AP995" s="55" t="n">
        <x:v>2310</x:v>
      </x:c>
      <x:c r="AQ995" s="55" t="n">
        <x:v>961</x:v>
      </x:c>
    </x:row>
    <x:row r="996">
      <x:c r="A996" s="54" t="str">
        <x:v>T2_CONCORDANT_DOMAIN</x:v>
      </x:c>
      <x:c r="B996" s="54" t="n">
        <x:v>990</x:v>
      </x:c>
      <x:c r="C996" s="54" t="str">
        <x:v>NYC-V2-R01</x:v>
      </x:c>
      <x:c r="D996" s="54" t="str">
        <x:v>V2</x:v>
      </x:c>
      <x:c r="E996" s="54" t="str">
        <x:v>ADMITTED</x:v>
      </x:c>
      <x:c r="F996" s="55" t="n">
        <x:v>30421</x:v>
      </x:c>
      <x:c r="G996" s="55" t="n">
        <x:v>6786</x:v>
      </x:c>
      <x:c r="H996" s="55" t="n">
        <x:v>2987</x:v>
      </x:c>
      <x:c r="I996" s="55" t="n">
        <x:v>1304</x:v>
      </x:c>
      <x:c r="J996" s="55" t="n">
        <x:v>157</x:v>
      </x:c>
      <x:c r="K996" s="55" t="n">
        <x:v>30421</x:v>
      </x:c>
      <x:c r="L996" s="55" t="n">
        <x:v>5404</x:v>
      </x:c>
      <x:c r="M996" s="55" t="n">
        <x:v>1065</x:v>
      </x:c>
      <x:c r="N996" s="55" t="n">
        <x:v>2535</x:v>
      </x:c>
      <x:c r="O996" s="55" t="n">
        <x:v>1804</x:v>
      </x:c>
      <x:c r="P996" s="55" t="n">
        <x:v>1009</x:v>
      </x:c>
      <x:c r="Q996" s="55" t="n">
        <x:v>2308</x:v>
      </x:c>
      <x:c r="R996" s="55" t="n">
        <x:v>1526</x:v>
      </x:c>
      <x:c r="S996" s="55" t="n">
        <x:v>2178</x:v>
      </x:c>
      <x:c r="T996" s="55" t="n">
        <x:v>1179</x:v>
      </x:c>
      <x:c r="U996" s="55" t="n">
        <x:v>1016</x:v>
      </x:c>
      <x:c r="V996" s="55" t="n">
        <x:v>9967</x:v>
      </x:c>
      <x:c r="W996" s="55" t="n">
        <x:v>7103</x:v>
      </x:c>
      <x:c r="X996" s="55" t="n">
        <x:v>2864</x:v>
      </x:c>
      <x:c r="Y996" s="55" t="n">
        <x:v>2509</x:v>
      </x:c>
      <x:c r="Z996" s="55" t="n">
        <x:v>3220</x:v>
      </x:c>
      <x:c r="AA996" s="55" t="n">
        <x:v>2987</x:v>
      </x:c>
      <x:c r="AB996" s="55" t="n">
        <x:v>989</x:v>
      </x:c>
      <x:c r="AC996" s="55" t="n">
        <x:v>7741</x:v>
      </x:c>
      <x:c r="AD996" s="55" t="n">
        <x:v>2648</x:v>
      </x:c>
      <x:c r="AE996" s="55" t="n">
        <x:v>10009</x:v>
      </x:c>
      <x:c r="AF996" s="55" t="n">
        <x:v>9967</x:v>
      </x:c>
      <x:c r="AG996" s="55" t="n">
        <x:v>42</x:v>
      </x:c>
      <x:c r="AH996" s="55" t="n">
        <x:v>325</x:v>
      </x:c>
      <x:c r="AI996" s="55" t="n">
        <x:v>9642</x:v>
      </x:c>
      <x:c r="AJ996" s="55" t="n">
        <x:v>228</x:v>
      </x:c>
      <x:c r="AK996" s="55" t="n">
        <x:v>1158</x:v>
      </x:c>
      <x:c r="AL996" s="55" t="n">
        <x:v>1460</x:v>
      </x:c>
      <x:c r="AM996" s="55" t="n">
        <x:v>4451</x:v>
      </x:c>
      <x:c r="AN996" s="55" t="n">
        <x:v>2610</x:v>
      </x:c>
      <x:c r="AO996" s="55" t="n">
        <x:v>60</x:v>
      </x:c>
      <x:c r="AP996" s="55" t="n">
        <x:v>2179</x:v>
      </x:c>
      <x:c r="AQ996" s="55" t="n">
        <x:v>934</x:v>
      </x:c>
    </x:row>
    <x:row r="997">
      <x:c r="A997" s="54" t="str">
        <x:v>T2_CONCORDANT_DOMAIN</x:v>
      </x:c>
      <x:c r="B997" s="54" t="n">
        <x:v>991</x:v>
      </x:c>
      <x:c r="C997" s="54" t="str">
        <x:v>NYC-V2-R01</x:v>
      </x:c>
      <x:c r="D997" s="54" t="str">
        <x:v>V2</x:v>
      </x:c>
      <x:c r="E997" s="54" t="str">
        <x:v>ADMITTED</x:v>
      </x:c>
      <x:c r="F997" s="55" t="n">
        <x:v>34137</x:v>
      </x:c>
      <x:c r="G997" s="55" t="n">
        <x:v>9092</x:v>
      </x:c>
      <x:c r="H997" s="55" t="n">
        <x:v>3363</x:v>
      </x:c>
      <x:c r="I997" s="55" t="n">
        <x:v>1854</x:v>
      </x:c>
      <x:c r="J997" s="55" t="n">
        <x:v>365</x:v>
      </x:c>
      <x:c r="K997" s="55" t="n">
        <x:v>31524</x:v>
      </x:c>
      <x:c r="L997" s="55" t="n">
        <x:v>7207</x:v>
      </x:c>
      <x:c r="M997" s="55" t="n">
        <x:v>1743</x:v>
      </x:c>
      <x:c r="N997" s="55" t="n">
        <x:v>3427</x:v>
      </x:c>
      <x:c r="O997" s="55" t="n">
        <x:v>2037</x:v>
      </x:c>
      <x:c r="P997" s="55" t="n">
        <x:v>1003</x:v>
      </x:c>
      <x:c r="Q997" s="55" t="n">
        <x:v>2783</x:v>
      </x:c>
      <x:c r="R997" s="55" t="n">
        <x:v>2304</x:v>
      </x:c>
      <x:c r="S997" s="55" t="n">
        <x:v>2809</x:v>
      </x:c>
      <x:c r="T997" s="55" t="n">
        <x:v>1403</x:v>
      </x:c>
      <x:c r="U997" s="55" t="n">
        <x:v>2315</x:v>
      </x:c>
      <x:c r="V997" s="55" t="n">
        <x:v>11404</x:v>
      </x:c>
      <x:c r="W997" s="55" t="n">
        <x:v>8182</x:v>
      </x:c>
      <x:c r="X997" s="55" t="n">
        <x:v>3222</x:v>
      </x:c>
      <x:c r="Y997" s="55" t="n">
        <x:v>2831</x:v>
      </x:c>
      <x:c r="Z997" s="55" t="n">
        <x:v>3987</x:v>
      </x:c>
      <x:c r="AA997" s="55" t="n">
        <x:v>3009</x:v>
      </x:c>
      <x:c r="AB997" s="55" t="n">
        <x:v>1390</x:v>
      </x:c>
      <x:c r="AC997" s="55" t="n">
        <x:v>8004</x:v>
      </x:c>
      <x:c r="AD997" s="55" t="n">
        <x:v>2698</x:v>
      </x:c>
      <x:c r="AE997" s="55" t="n">
        <x:v>11537</x:v>
      </x:c>
      <x:c r="AF997" s="55" t="n">
        <x:v>11404</x:v>
      </x:c>
      <x:c r="AG997" s="55" t="n">
        <x:v>133</x:v>
      </x:c>
      <x:c r="AH997" s="55" t="n">
        <x:v>618</x:v>
      </x:c>
      <x:c r="AI997" s="55" t="n">
        <x:v>10786</x:v>
      </x:c>
      <x:c r="AJ997" s="55" t="n">
        <x:v>241</x:v>
      </x:c>
      <x:c r="AK997" s="55" t="n">
        <x:v>1371</x:v>
      </x:c>
      <x:c r="AL997" s="55" t="n">
        <x:v>1685</x:v>
      </x:c>
      <x:c r="AM997" s="55" t="n">
        <x:v>5268</x:v>
      </x:c>
      <x:c r="AN997" s="55" t="n">
        <x:v>2726</x:v>
      </x:c>
      <x:c r="AO997" s="55" t="n">
        <x:v>113</x:v>
      </x:c>
      <x:c r="AP997" s="55" t="n">
        <x:v>2665</x:v>
      </x:c>
      <x:c r="AQ997" s="55" t="n">
        <x:v>986</x:v>
      </x:c>
    </x:row>
    <x:row r="998">
      <x:c r="A998" s="54" t="str">
        <x:v>T2_CONCORDANT_DOMAIN</x:v>
      </x:c>
      <x:c r="B998" s="54" t="n">
        <x:v>992</x:v>
      </x:c>
      <x:c r="C998" s="54" t="str">
        <x:v>NYC-V2-R01</x:v>
      </x:c>
      <x:c r="D998" s="54" t="str">
        <x:v>V2</x:v>
      </x:c>
      <x:c r="E998" s="54" t="str">
        <x:v>ADMITTED</x:v>
      </x:c>
      <x:c r="F998" s="55" t="n">
        <x:v>30094</x:v>
      </x:c>
      <x:c r="G998" s="55" t="n">
        <x:v>7029</x:v>
      </x:c>
      <x:c r="H998" s="55" t="n">
        <x:v>3237</x:v>
      </x:c>
      <x:c r="I998" s="55" t="n">
        <x:v>1042</x:v>
      </x:c>
      <x:c r="J998" s="55" t="n">
        <x:v>264</x:v>
      </x:c>
      <x:c r="K998" s="55" t="n">
        <x:v>28788</x:v>
      </x:c>
      <x:c r="L998" s="55" t="n">
        <x:v>4520</x:v>
      </x:c>
      <x:c r="M998" s="55" t="n">
        <x:v>626</x:v>
      </x:c>
      <x:c r="N998" s="55" t="n">
        <x:v>2543</x:v>
      </x:c>
      <x:c r="O998" s="55" t="n">
        <x:v>1351</x:v>
      </x:c>
      <x:c r="P998" s="55" t="n">
        <x:v>496</x:v>
      </x:c>
      <x:c r="Q998" s="55" t="n">
        <x:v>1628</x:v>
      </x:c>
      <x:c r="R998" s="55" t="n">
        <x:v>1570</x:v>
      </x:c>
      <x:c r="S998" s="55" t="n">
        <x:v>2517</x:v>
      </x:c>
      <x:c r="T998" s="55" t="n">
        <x:v>1099</x:v>
      </x:c>
      <x:c r="U998" s="55" t="n">
        <x:v>1337</x:v>
      </x:c>
      <x:c r="V998" s="55" t="n">
        <x:v>11115</x:v>
      </x:c>
      <x:c r="W998" s="55" t="n">
        <x:v>8230</x:v>
      </x:c>
      <x:c r="X998" s="55" t="n">
        <x:v>2885</x:v>
      </x:c>
      <x:c r="Y998" s="55" t="n">
        <x:v>2370</x:v>
      </x:c>
      <x:c r="Z998" s="55" t="n">
        <x:v>3610</x:v>
      </x:c>
      <x:c r="AA998" s="55" t="n">
        <x:v>3237</x:v>
      </x:c>
      <x:c r="AB998" s="55" t="n">
        <x:v>1036</x:v>
      </x:c>
      <x:c r="AC998" s="55" t="n">
        <x:v>8120</x:v>
      </x:c>
      <x:c r="AD998" s="55" t="n">
        <x:v>3210</x:v>
      </x:c>
      <x:c r="AE998" s="55" t="n">
        <x:v>11131</x:v>
      </x:c>
      <x:c r="AF998" s="55" t="n">
        <x:v>11115</x:v>
      </x:c>
      <x:c r="AG998" s="55" t="n">
        <x:v>16</x:v>
      </x:c>
      <x:c r="AH998" s="55" t="n">
        <x:v>582</x:v>
      </x:c>
      <x:c r="AI998" s="55" t="n">
        <x:v>10533</x:v>
      </x:c>
      <x:c r="AJ998" s="55" t="n">
        <x:v>435</x:v>
      </x:c>
      <x:c r="AK998" s="55" t="n">
        <x:v>1138</x:v>
      </x:c>
      <x:c r="AL998" s="55" t="n">
        <x:v>1851</x:v>
      </x:c>
      <x:c r="AM998" s="55" t="n">
        <x:v>4992</x:v>
      </x:c>
      <x:c r="AN998" s="55" t="n">
        <x:v>2699</x:v>
      </x:c>
      <x:c r="AO998" s="55" t="n">
        <x:v>0</x:v>
      </x:c>
      <x:c r="AP998" s="55" t="n">
        <x:v>2374</x:v>
      </x:c>
      <x:c r="AQ998" s="55" t="n">
        <x:v>934</x:v>
      </x:c>
    </x:row>
    <x:row r="999">
      <x:c r="A999" s="54" t="str">
        <x:v>T2_CONCORDANT_DOMAIN</x:v>
      </x:c>
      <x:c r="B999" s="54" t="n">
        <x:v>993</x:v>
      </x:c>
      <x:c r="C999" s="54" t="str">
        <x:v>NYC-V2-R01</x:v>
      </x:c>
      <x:c r="D999" s="54" t="str">
        <x:v>V2</x:v>
      </x:c>
      <x:c r="E999" s="54" t="str">
        <x:v>ADMITTED</x:v>
      </x:c>
      <x:c r="F999" s="55" t="n">
        <x:v>32656</x:v>
      </x:c>
      <x:c r="G999" s="55" t="n">
        <x:v>9211</x:v>
      </x:c>
      <x:c r="H999" s="55" t="n">
        <x:v>3143</x:v>
      </x:c>
      <x:c r="I999" s="55" t="n">
        <x:v>1039</x:v>
      </x:c>
      <x:c r="J999" s="55" t="n">
        <x:v>24</x:v>
      </x:c>
      <x:c r="K999" s="55" t="n">
        <x:v>29687</x:v>
      </x:c>
      <x:c r="L999" s="55" t="n">
        <x:v>4730</x:v>
      </x:c>
      <x:c r="M999" s="55" t="n">
        <x:v>1036</x:v>
      </x:c>
      <x:c r="N999" s="55" t="n">
        <x:v>2290</x:v>
      </x:c>
      <x:c r="O999" s="55" t="n">
        <x:v>1404</x:v>
      </x:c>
      <x:c r="P999" s="55" t="n">
        <x:v>469</x:v>
      </x:c>
      <x:c r="Q999" s="55" t="n">
        <x:v>1373</x:v>
      </x:c>
      <x:c r="R999" s="55" t="n">
        <x:v>1849</x:v>
      </x:c>
      <x:c r="S999" s="55" t="n">
        <x:v>2676</x:v>
      </x:c>
      <x:c r="T999" s="55" t="n">
        <x:v>1151</x:v>
      </x:c>
      <x:c r="U999" s="55" t="n">
        <x:v>1826</x:v>
      </x:c>
      <x:c r="V999" s="55" t="n">
        <x:v>10133</x:v>
      </x:c>
      <x:c r="W999" s="55" t="n">
        <x:v>7103</x:v>
      </x:c>
      <x:c r="X999" s="55" t="n">
        <x:v>3030</x:v>
      </x:c>
      <x:c r="Y999" s="55" t="n">
        <x:v>2514</x:v>
      </x:c>
      <x:c r="Z999" s="55" t="n">
        <x:v>3446</x:v>
      </x:c>
      <x:c r="AA999" s="55" t="n">
        <x:v>3143</x:v>
      </x:c>
      <x:c r="AB999" s="55" t="n">
        <x:v>1157</x:v>
      </x:c>
      <x:c r="AC999" s="55" t="n">
        <x:v>7565</x:v>
      </x:c>
      <x:c r="AD999" s="55" t="n">
        <x:v>2232</x:v>
      </x:c>
      <x:c r="AE999" s="55" t="n">
        <x:v>10168</x:v>
      </x:c>
      <x:c r="AF999" s="55" t="n">
        <x:v>10133</x:v>
      </x:c>
      <x:c r="AG999" s="55" t="n">
        <x:v>35</x:v>
      </x:c>
      <x:c r="AH999" s="55" t="n">
        <x:v>321</x:v>
      </x:c>
      <x:c r="AI999" s="55" t="n">
        <x:v>9812</x:v>
      </x:c>
      <x:c r="AJ999" s="55" t="n">
        <x:v>240</x:v>
      </x:c>
      <x:c r="AK999" s="55" t="n">
        <x:v>835</x:v>
      </x:c>
      <x:c r="AL999" s="55" t="n">
        <x:v>2149</x:v>
      </x:c>
      <x:c r="AM999" s="55" t="n">
        <x:v>4426</x:v>
      </x:c>
      <x:c r="AN999" s="55" t="n">
        <x:v>2483</x:v>
      </x:c>
      <x:c r="AO999" s="55" t="n">
        <x:v>0</x:v>
      </x:c>
      <x:c r="AP999" s="55" t="n">
        <x:v>2027</x:v>
      </x:c>
      <x:c r="AQ999" s="55" t="n">
        <x:v>957</x:v>
      </x:c>
    </x:row>
    <x:row r="1000">
      <x:c r="A1000" s="54" t="str">
        <x:v>T2_CONCORDANT_DOMAIN</x:v>
      </x:c>
      <x:c r="B1000" s="54" t="n">
        <x:v>994</x:v>
      </x:c>
      <x:c r="C1000" s="54" t="str">
        <x:v>NYC-V2-R01</x:v>
      </x:c>
      <x:c r="D1000" s="54" t="str">
        <x:v>V2</x:v>
      </x:c>
      <x:c r="E1000" s="54" t="str">
        <x:v>ADMITTED</x:v>
      </x:c>
      <x:c r="F1000" s="55" t="n">
        <x:v>33426</x:v>
      </x:c>
      <x:c r="G1000" s="55" t="n">
        <x:v>8434</x:v>
      </x:c>
      <x:c r="H1000" s="55" t="n">
        <x:v>3266</x:v>
      </x:c>
      <x:c r="I1000" s="55" t="n">
        <x:v>1066</x:v>
      </x:c>
      <x:c r="J1000" s="55" t="n">
        <x:v>187</x:v>
      </x:c>
      <x:c r="K1000" s="55" t="n">
        <x:v>33426</x:v>
      </x:c>
      <x:c r="L1000" s="55" t="n">
        <x:v>6256</x:v>
      </x:c>
      <x:c r="M1000" s="55" t="n">
        <x:v>1600</x:v>
      </x:c>
      <x:c r="N1000" s="55" t="n">
        <x:v>2731</x:v>
      </x:c>
      <x:c r="O1000" s="55" t="n">
        <x:v>1925</x:v>
      </x:c>
      <x:c r="P1000" s="55" t="n">
        <x:v>813</x:v>
      </x:c>
      <x:c r="Q1000" s="55" t="n">
        <x:v>2339</x:v>
      </x:c>
      <x:c r="R1000" s="55" t="n">
        <x:v>1820</x:v>
      </x:c>
      <x:c r="S1000" s="55" t="n">
        <x:v>2806</x:v>
      </x:c>
      <x:c r="T1000" s="55" t="n">
        <x:v>853</x:v>
      </x:c>
      <x:c r="U1000" s="55" t="n">
        <x:v>1381</x:v>
      </x:c>
      <x:c r="V1000" s="55" t="n">
        <x:v>10484</x:v>
      </x:c>
      <x:c r="W1000" s="55" t="n">
        <x:v>7669</x:v>
      </x:c>
      <x:c r="X1000" s="55" t="n">
        <x:v>2815</x:v>
      </x:c>
      <x:c r="Y1000" s="55" t="n">
        <x:v>2399</x:v>
      </x:c>
      <x:c r="Z1000" s="55" t="n">
        <x:v>3412</x:v>
      </x:c>
      <x:c r="AA1000" s="55" t="n">
        <x:v>3266</x:v>
      </x:c>
      <x:c r="AB1000" s="55" t="n">
        <x:v>834</x:v>
      </x:c>
      <x:c r="AC1000" s="55" t="n">
        <x:v>7780</x:v>
      </x:c>
      <x:c r="AD1000" s="55" t="n">
        <x:v>3192</x:v>
      </x:c>
      <x:c r="AE1000" s="55" t="n">
        <x:v>10582</x:v>
      </x:c>
      <x:c r="AF1000" s="55" t="n">
        <x:v>10484</x:v>
      </x:c>
      <x:c r="AG1000" s="55" t="n">
        <x:v>98</x:v>
      </x:c>
      <x:c r="AH1000" s="55" t="n">
        <x:v>276</x:v>
      </x:c>
      <x:c r="AI1000" s="55" t="n">
        <x:v>10208</x:v>
      </x:c>
      <x:c r="AJ1000" s="55" t="n">
        <x:v>508</x:v>
      </x:c>
      <x:c r="AK1000" s="55" t="n">
        <x:v>789</x:v>
      </x:c>
      <x:c r="AL1000" s="55" t="n">
        <x:v>1635</x:v>
      </x:c>
      <x:c r="AM1000" s="55" t="n">
        <x:v>5067</x:v>
      </x:c>
      <x:c r="AN1000" s="55" t="n">
        <x:v>2440</x:v>
      </x:c>
      <x:c r="AO1000" s="55" t="n">
        <x:v>45</x:v>
      </x:c>
      <x:c r="AP1000" s="55" t="n">
        <x:v>2267</x:v>
      </x:c>
      <x:c r="AQ1000" s="55" t="n">
        <x:v>987</x:v>
      </x:c>
    </x:row>
    <x:row r="1001">
      <x:c r="A1001" s="54" t="str">
        <x:v>T2_CONCORDANT_DOMAIN</x:v>
      </x:c>
      <x:c r="B1001" s="54" t="n">
        <x:v>995</x:v>
      </x:c>
      <x:c r="C1001" s="54" t="str">
        <x:v>NYC-V2-R01</x:v>
      </x:c>
      <x:c r="D1001" s="54" t="str">
        <x:v>V2</x:v>
      </x:c>
      <x:c r="E1001" s="54" t="str">
        <x:v>ADMITTED</x:v>
      </x:c>
      <x:c r="F1001" s="55" t="n">
        <x:v>30277</x:v>
      </x:c>
      <x:c r="G1001" s="55" t="n">
        <x:v>7849</x:v>
      </x:c>
      <x:c r="H1001" s="55" t="n">
        <x:v>3200</x:v>
      </x:c>
      <x:c r="I1001" s="55" t="n">
        <x:v>935</x:v>
      </x:c>
      <x:c r="J1001" s="55" t="n">
        <x:v>198</x:v>
      </x:c>
      <x:c r="K1001" s="55" t="n">
        <x:v>28550</x:v>
      </x:c>
      <x:c r="L1001" s="55" t="n">
        <x:v>4116</x:v>
      </x:c>
      <x:c r="M1001" s="55" t="n">
        <x:v>419</x:v>
      </x:c>
      <x:c r="N1001" s="55" t="n">
        <x:v>2272</x:v>
      </x:c>
      <x:c r="O1001" s="55" t="n">
        <x:v>1425</x:v>
      </x:c>
      <x:c r="P1001" s="55" t="n">
        <x:v>849</x:v>
      </x:c>
      <x:c r="Q1001" s="55" t="n">
        <x:v>1998</x:v>
      </x:c>
      <x:c r="R1001" s="55" t="n">
        <x:v>1480</x:v>
      </x:c>
      <x:c r="S1001" s="55" t="n">
        <x:v>2227</x:v>
      </x:c>
      <x:c r="T1001" s="55" t="n">
        <x:v>968</x:v>
      </x:c>
      <x:c r="U1001" s="55" t="n">
        <x:v>2182</x:v>
      </x:c>
      <x:c r="V1001" s="55" t="n">
        <x:v>10258</x:v>
      </x:c>
      <x:c r="W1001" s="55" t="n">
        <x:v>7455</x:v>
      </x:c>
      <x:c r="X1001" s="55" t="n">
        <x:v>2803</x:v>
      </x:c>
      <x:c r="Y1001" s="55" t="n">
        <x:v>2530</x:v>
      </x:c>
      <x:c r="Z1001" s="55" t="n">
        <x:v>4004</x:v>
      </x:c>
      <x:c r="AA1001" s="55" t="n">
        <x:v>2862</x:v>
      </x:c>
      <x:c r="AB1001" s="55" t="n">
        <x:v>1071</x:v>
      </x:c>
      <x:c r="AC1001" s="55" t="n">
        <x:v>7939</x:v>
      </x:c>
      <x:c r="AD1001" s="55" t="n">
        <x:v>2539</x:v>
      </x:c>
      <x:c r="AE1001" s="55" t="n">
        <x:v>10303</x:v>
      </x:c>
      <x:c r="AF1001" s="55" t="n">
        <x:v>10258</x:v>
      </x:c>
      <x:c r="AG1001" s="55" t="n">
        <x:v>45</x:v>
      </x:c>
      <x:c r="AH1001" s="55" t="n">
        <x:v>424</x:v>
      </x:c>
      <x:c r="AI1001" s="55" t="n">
        <x:v>9834</x:v>
      </x:c>
      <x:c r="AJ1001" s="55" t="n">
        <x:v>170</x:v>
      </x:c>
      <x:c r="AK1001" s="55" t="n">
        <x:v>1162</x:v>
      </x:c>
      <x:c r="AL1001" s="55" t="n">
        <x:v>1754</x:v>
      </x:c>
      <x:c r="AM1001" s="55" t="n">
        <x:v>4650</x:v>
      </x:c>
      <x:c r="AN1001" s="55" t="n">
        <x:v>2426</x:v>
      </x:c>
      <x:c r="AO1001" s="55" t="n">
        <x:v>96</x:v>
      </x:c>
      <x:c r="AP1001" s="55" t="n">
        <x:v>2498</x:v>
      </x:c>
      <x:c r="AQ1001" s="55" t="n">
        <x:v>944</x:v>
      </x:c>
    </x:row>
    <x:row r="1002">
      <x:c r="A1002" s="54" t="str">
        <x:v>T2_CONCORDANT_DOMAIN</x:v>
      </x:c>
      <x:c r="B1002" s="54" t="n">
        <x:v>996</x:v>
      </x:c>
      <x:c r="C1002" s="54" t="str">
        <x:v>NYC-V2-R01</x:v>
      </x:c>
      <x:c r="D1002" s="54" t="str">
        <x:v>V2</x:v>
      </x:c>
      <x:c r="E1002" s="54" t="str">
        <x:v>ADMITTED</x:v>
      </x:c>
      <x:c r="F1002" s="55" t="n">
        <x:v>30872</x:v>
      </x:c>
      <x:c r="G1002" s="55" t="n">
        <x:v>8253</x:v>
      </x:c>
      <x:c r="H1002" s="55" t="n">
        <x:v>3611</x:v>
      </x:c>
      <x:c r="I1002" s="55" t="n">
        <x:v>892</x:v>
      </x:c>
      <x:c r="J1002" s="55" t="n">
        <x:v>157</x:v>
      </x:c>
      <x:c r="K1002" s="55" t="n">
        <x:v>30872</x:v>
      </x:c>
      <x:c r="L1002" s="55" t="n">
        <x:v>6948</x:v>
      </x:c>
      <x:c r="M1002" s="55" t="n">
        <x:v>2269</x:v>
      </x:c>
      <x:c r="N1002" s="55" t="n">
        <x:v>2895</x:v>
      </x:c>
      <x:c r="O1002" s="55" t="n">
        <x:v>1784</x:v>
      </x:c>
      <x:c r="P1002" s="55" t="n">
        <x:v>1082</x:v>
      </x:c>
      <x:c r="Q1002" s="55" t="n">
        <x:v>2866</x:v>
      </x:c>
      <x:c r="R1002" s="55" t="n">
        <x:v>2113</x:v>
      </x:c>
      <x:c r="S1002" s="55" t="n">
        <x:v>2466</x:v>
      </x:c>
      <x:c r="T1002" s="55" t="n">
        <x:v>1255</x:v>
      </x:c>
      <x:c r="U1002" s="55" t="n">
        <x:v>1861</x:v>
      </x:c>
      <x:c r="V1002" s="55" t="n">
        <x:v>11378</x:v>
      </x:c>
      <x:c r="W1002" s="55" t="n">
        <x:v>8457</x:v>
      </x:c>
      <x:c r="X1002" s="55" t="n">
        <x:v>2921</x:v>
      </x:c>
      <x:c r="Y1002" s="55" t="n">
        <x:v>2609</x:v>
      </x:c>
      <x:c r="Z1002" s="55" t="n">
        <x:v>3846</x:v>
      </x:c>
      <x:c r="AA1002" s="55" t="n">
        <x:v>3611</x:v>
      </x:c>
      <x:c r="AB1002" s="55" t="n">
        <x:v>1185</x:v>
      </x:c>
      <x:c r="AC1002" s="55" t="n">
        <x:v>8081</x:v>
      </x:c>
      <x:c r="AD1002" s="55" t="n">
        <x:v>3092</x:v>
      </x:c>
      <x:c r="AE1002" s="55" t="n">
        <x:v>11542</x:v>
      </x:c>
      <x:c r="AF1002" s="55" t="n">
        <x:v>11378</x:v>
      </x:c>
      <x:c r="AG1002" s="55" t="n">
        <x:v>164</x:v>
      </x:c>
      <x:c r="AH1002" s="55" t="n">
        <x:v>732</x:v>
      </x:c>
      <x:c r="AI1002" s="55" t="n">
        <x:v>10646</x:v>
      </x:c>
      <x:c r="AJ1002" s="55" t="n">
        <x:v>381</x:v>
      </x:c>
      <x:c r="AK1002" s="55" t="n">
        <x:v>1167</x:v>
      </x:c>
      <x:c r="AL1002" s="55" t="n">
        <x:v>1622</x:v>
      </x:c>
      <x:c r="AM1002" s="55" t="n">
        <x:v>5239</x:v>
      </x:c>
      <x:c r="AN1002" s="55" t="n">
        <x:v>2930</x:v>
      </x:c>
      <x:c r="AO1002" s="55" t="n">
        <x:v>39</x:v>
      </x:c>
      <x:c r="AP1002" s="55" t="n">
        <x:v>2805</x:v>
      </x:c>
      <x:c r="AQ1002" s="55" t="n">
        <x:v>964</x:v>
      </x:c>
    </x:row>
    <x:row r="1003">
      <x:c r="A1003" s="54" t="str">
        <x:v>T2_CONCORDANT_DOMAIN</x:v>
      </x:c>
      <x:c r="B1003" s="54" t="n">
        <x:v>997</x:v>
      </x:c>
      <x:c r="C1003" s="54" t="str">
        <x:v>NYC-V2-R01</x:v>
      </x:c>
      <x:c r="D1003" s="54" t="str">
        <x:v>V2</x:v>
      </x:c>
      <x:c r="E1003" s="54" t="str">
        <x:v>ADMITTED</x:v>
      </x:c>
      <x:c r="F1003" s="55" t="n">
        <x:v>30861</x:v>
      </x:c>
      <x:c r="G1003" s="55" t="n">
        <x:v>7327</x:v>
      </x:c>
      <x:c r="H1003" s="55" t="n">
        <x:v>2842</x:v>
      </x:c>
      <x:c r="I1003" s="55" t="n">
        <x:v>696</x:v>
      </x:c>
      <x:c r="J1003" s="55" t="n">
        <x:v>47</x:v>
      </x:c>
      <x:c r="K1003" s="55" t="n">
        <x:v>30861</x:v>
      </x:c>
      <x:c r="L1003" s="55" t="n">
        <x:v>5703</x:v>
      </x:c>
      <x:c r="M1003" s="55" t="n">
        <x:v>1535</x:v>
      </x:c>
      <x:c r="N1003" s="55" t="n">
        <x:v>2545</x:v>
      </x:c>
      <x:c r="O1003" s="55" t="n">
        <x:v>1623</x:v>
      </x:c>
      <x:c r="P1003" s="55" t="n">
        <x:v>753</x:v>
      </x:c>
      <x:c r="Q1003" s="55" t="n">
        <x:v>1409</x:v>
      </x:c>
      <x:c r="R1003" s="55" t="n">
        <x:v>2014</x:v>
      </x:c>
      <x:c r="S1003" s="55" t="n">
        <x:v>2515</x:v>
      </x:c>
      <x:c r="T1003" s="55" t="n">
        <x:v>1653</x:v>
      </x:c>
      <x:c r="U1003" s="55" t="n">
        <x:v>2143</x:v>
      </x:c>
      <x:c r="V1003" s="55" t="n">
        <x:v>10511</x:v>
      </x:c>
      <x:c r="W1003" s="55" t="n">
        <x:v>7723</x:v>
      </x:c>
      <x:c r="X1003" s="55" t="n">
        <x:v>2788</x:v>
      </x:c>
      <x:c r="Y1003" s="55" t="n">
        <x:v>2430</x:v>
      </x:c>
      <x:c r="Z1003" s="55" t="n">
        <x:v>3566</x:v>
      </x:c>
      <x:c r="AA1003" s="55" t="n">
        <x:v>2842</x:v>
      </x:c>
      <x:c r="AB1003" s="55" t="n">
        <x:v>862</x:v>
      </x:c>
      <x:c r="AC1003" s="55" t="n">
        <x:v>8041</x:v>
      </x:c>
      <x:c r="AD1003" s="55" t="n">
        <x:v>2530</x:v>
      </x:c>
      <x:c r="AE1003" s="55" t="n">
        <x:v>10521</x:v>
      </x:c>
      <x:c r="AF1003" s="55" t="n">
        <x:v>10511</x:v>
      </x:c>
      <x:c r="AG1003" s="55" t="n">
        <x:v>10</x:v>
      </x:c>
      <x:c r="AH1003" s="55" t="n">
        <x:v>227</x:v>
      </x:c>
      <x:c r="AI1003" s="55" t="n">
        <x:v>10284</x:v>
      </x:c>
      <x:c r="AJ1003" s="55" t="n">
        <x:v>368</x:v>
      </x:c>
      <x:c r="AK1003" s="55" t="n">
        <x:v>876</x:v>
      </x:c>
      <x:c r="AL1003" s="55" t="n">
        <x:v>1564</x:v>
      </x:c>
      <x:c r="AM1003" s="55" t="n">
        <x:v>5167</x:v>
      </x:c>
      <x:c r="AN1003" s="55" t="n">
        <x:v>2517</x:v>
      </x:c>
      <x:c r="AO1003" s="55" t="n">
        <x:v>19</x:v>
      </x:c>
      <x:c r="AP1003" s="55" t="n">
        <x:v>2719</x:v>
      </x:c>
      <x:c r="AQ1003" s="55" t="n">
        <x:v>945</x:v>
      </x:c>
    </x:row>
    <x:row r="1004">
      <x:c r="A1004" s="54" t="str">
        <x:v>T2_CONCORDANT_DOMAIN</x:v>
      </x:c>
      <x:c r="B1004" s="54" t="n">
        <x:v>998</x:v>
      </x:c>
      <x:c r="C1004" s="54" t="str">
        <x:v>NYC-V2-R01</x:v>
      </x:c>
      <x:c r="D1004" s="54" t="str">
        <x:v>V2</x:v>
      </x:c>
      <x:c r="E1004" s="54" t="str">
        <x:v>ADMITTED</x:v>
      </x:c>
      <x:c r="F1004" s="55" t="n">
        <x:v>34537</x:v>
      </x:c>
      <x:c r="G1004" s="55" t="n">
        <x:v>8930</x:v>
      </x:c>
      <x:c r="H1004" s="55" t="n">
        <x:v>4023</x:v>
      </x:c>
      <x:c r="I1004" s="55" t="n">
        <x:v>1574</x:v>
      </x:c>
      <x:c r="J1004" s="55" t="n">
        <x:v>514</x:v>
      </x:c>
      <x:c r="K1004" s="55" t="n">
        <x:v>31918</x:v>
      </x:c>
      <x:c r="L1004" s="55" t="n">
        <x:v>6538</x:v>
      </x:c>
      <x:c r="M1004" s="55" t="n">
        <x:v>1856</x:v>
      </x:c>
      <x:c r="N1004" s="55" t="n">
        <x:v>2977</x:v>
      </x:c>
      <x:c r="O1004" s="55" t="n">
        <x:v>1705</x:v>
      </x:c>
      <x:c r="P1004" s="55" t="n">
        <x:v>1256</x:v>
      </x:c>
      <x:c r="Q1004" s="55" t="n">
        <x:v>2203</x:v>
      </x:c>
      <x:c r="R1004" s="55" t="n">
        <x:v>1969</x:v>
      </x:c>
      <x:c r="S1004" s="55" t="n">
        <x:v>2989</x:v>
      </x:c>
      <x:c r="T1004" s="55" t="n">
        <x:v>1159</x:v>
      </x:c>
      <x:c r="U1004" s="55" t="n">
        <x:v>1958</x:v>
      </x:c>
      <x:c r="V1004" s="55" t="n">
        <x:v>10912</x:v>
      </x:c>
      <x:c r="W1004" s="55" t="n">
        <x:v>7894</x:v>
      </x:c>
      <x:c r="X1004" s="55" t="n">
        <x:v>3018</x:v>
      </x:c>
      <x:c r="Y1004" s="55" t="n">
        <x:v>2699</x:v>
      </x:c>
      <x:c r="Z1004" s="55" t="n">
        <x:v>4222</x:v>
      </x:c>
      <x:c r="AA1004" s="55" t="n">
        <x:v>2822</x:v>
      </x:c>
      <x:c r="AB1004" s="55" t="n">
        <x:v>1063</x:v>
      </x:c>
      <x:c r="AC1004" s="55" t="n">
        <x:v>8914</x:v>
      </x:c>
      <x:c r="AD1004" s="55" t="n">
        <x:v>2585</x:v>
      </x:c>
      <x:c r="AE1004" s="55" t="n">
        <x:v>10990</x:v>
      </x:c>
      <x:c r="AF1004" s="55" t="n">
        <x:v>10912</x:v>
      </x:c>
      <x:c r="AG1004" s="55" t="n">
        <x:v>78</x:v>
      </x:c>
      <x:c r="AH1004" s="55" t="n">
        <x:v>477</x:v>
      </x:c>
      <x:c r="AI1004" s="55" t="n">
        <x:v>10435</x:v>
      </x:c>
      <x:c r="AJ1004" s="55" t="n">
        <x:v>412</x:v>
      </x:c>
      <x:c r="AK1004" s="55" t="n">
        <x:v>1099</x:v>
      </x:c>
      <x:c r="AL1004" s="55" t="n">
        <x:v>1252</x:v>
      </x:c>
      <x:c r="AM1004" s="55" t="n">
        <x:v>5156</x:v>
      </x:c>
      <x:c r="AN1004" s="55" t="n">
        <x:v>2931</x:v>
      </x:c>
      <x:c r="AO1004" s="55" t="n">
        <x:v>62</x:v>
      </x:c>
      <x:c r="AP1004" s="55" t="n">
        <x:v>2294</x:v>
      </x:c>
      <x:c r="AQ1004" s="55" t="n">
        <x:v>1022</x:v>
      </x:c>
    </x:row>
    <x:row r="1005">
      <x:c r="A1005" s="54" t="str">
        <x:v>T2_CONCORDANT_DOMAIN</x:v>
      </x:c>
      <x:c r="B1005" s="54" t="n">
        <x:v>999</x:v>
      </x:c>
      <x:c r="C1005" s="54" t="str">
        <x:v>NYC-V2-R01</x:v>
      </x:c>
      <x:c r="D1005" s="54" t="str">
        <x:v>V2</x:v>
      </x:c>
      <x:c r="E1005" s="54" t="str">
        <x:v>ADMITTED</x:v>
      </x:c>
      <x:c r="F1005" s="55" t="n">
        <x:v>30775</x:v>
      </x:c>
      <x:c r="G1005" s="55" t="n">
        <x:v>7928</x:v>
      </x:c>
      <x:c r="H1005" s="55" t="n">
        <x:v>3180</x:v>
      </x:c>
      <x:c r="I1005" s="55" t="n">
        <x:v>1024</x:v>
      </x:c>
      <x:c r="J1005" s="55" t="n">
        <x:v>273</x:v>
      </x:c>
      <x:c r="K1005" s="55" t="n">
        <x:v>30775</x:v>
      </x:c>
      <x:c r="L1005" s="55" t="n">
        <x:v>4939</x:v>
      </x:c>
      <x:c r="M1005" s="55" t="n">
        <x:v>119</x:v>
      </x:c>
      <x:c r="N1005" s="55" t="n">
        <x:v>2908</x:v>
      </x:c>
      <x:c r="O1005" s="55" t="n">
        <x:v>1912</x:v>
      </x:c>
      <x:c r="P1005" s="55" t="n">
        <x:v>558</x:v>
      </x:c>
      <x:c r="Q1005" s="55" t="n">
        <x:v>1937</x:v>
      </x:c>
      <x:c r="R1005" s="55" t="n">
        <x:v>1592</x:v>
      </x:c>
      <x:c r="S1005" s="55" t="n">
        <x:v>2318</x:v>
      </x:c>
      <x:c r="T1005" s="55" t="n">
        <x:v>1461</x:v>
      </x:c>
      <x:c r="U1005" s="55" t="n">
        <x:v>1637</x:v>
      </x:c>
      <x:c r="V1005" s="55" t="n">
        <x:v>10584</x:v>
      </x:c>
      <x:c r="W1005" s="55" t="n">
        <x:v>7613</x:v>
      </x:c>
      <x:c r="X1005" s="55" t="n">
        <x:v>2971</x:v>
      </x:c>
      <x:c r="Y1005" s="55" t="n">
        <x:v>2582</x:v>
      </x:c>
      <x:c r="Z1005" s="55" t="n">
        <x:v>3694</x:v>
      </x:c>
      <x:c r="AA1005" s="55" t="n">
        <x:v>2789</x:v>
      </x:c>
      <x:c r="AB1005" s="55" t="n">
        <x:v>1138</x:v>
      </x:c>
      <x:c r="AC1005" s="55" t="n">
        <x:v>7925</x:v>
      </x:c>
      <x:c r="AD1005" s="55" t="n">
        <x:v>2973</x:v>
      </x:c>
      <x:c r="AE1005" s="55" t="n">
        <x:v>10671</x:v>
      </x:c>
      <x:c r="AF1005" s="55" t="n">
        <x:v>10584</x:v>
      </x:c>
      <x:c r="AG1005" s="55" t="n">
        <x:v>87</x:v>
      </x:c>
      <x:c r="AH1005" s="55" t="n">
        <x:v>387</x:v>
      </x:c>
      <x:c r="AI1005" s="55" t="n">
        <x:v>10197</x:v>
      </x:c>
      <x:c r="AJ1005" s="55" t="n">
        <x:v>173</x:v>
      </x:c>
      <x:c r="AK1005" s="55" t="n">
        <x:v>466</x:v>
      </x:c>
      <x:c r="AL1005" s="55" t="n">
        <x:v>1492</x:v>
      </x:c>
      <x:c r="AM1005" s="55" t="n">
        <x:v>5005</x:v>
      </x:c>
      <x:c r="AN1005" s="55" t="n">
        <x:v>3448</x:v>
      </x:c>
      <x:c r="AO1005" s="55" t="n">
        <x:v>0</x:v>
      </x:c>
      <x:c r="AP1005" s="55" t="n">
        <x:v>2566</x:v>
      </x:c>
      <x:c r="AQ1005" s="55" t="n">
        <x:v>930</x:v>
      </x:c>
    </x:row>
    <x:row r="1006">
      <x:c r="A1006" s="56" t="str">
        <x:v>T2_CONCORDANT_DOMAIN</x:v>
      </x:c>
      <x:c r="B1006" s="56" t="n">
        <x:v>1000</x:v>
      </x:c>
      <x:c r="C1006" s="56" t="str">
        <x:v>NYC-V2-R01</x:v>
      </x:c>
      <x:c r="D1006" s="56" t="str">
        <x:v>V2</x:v>
      </x:c>
      <x:c r="E1006" s="56" t="str">
        <x:v>ADMITTED</x:v>
      </x:c>
      <x:c r="F1006" s="57" t="n">
        <x:v>30787</x:v>
      </x:c>
      <x:c r="G1006" s="57" t="n">
        <x:v>8070</x:v>
      </x:c>
      <x:c r="H1006" s="57" t="n">
        <x:v>3265</x:v>
      </x:c>
      <x:c r="I1006" s="57" t="n">
        <x:v>1210</x:v>
      </x:c>
      <x:c r="J1006" s="57" t="n">
        <x:v>237</x:v>
      </x:c>
      <x:c r="K1006" s="57" t="n">
        <x:v>29103</x:v>
      </x:c>
      <x:c r="L1006" s="57" t="n">
        <x:v>5622</x:v>
      </x:c>
      <x:c r="M1006" s="57" t="n">
        <x:v>938</x:v>
      </x:c>
      <x:c r="N1006" s="57" t="n">
        <x:v>2826</x:v>
      </x:c>
      <x:c r="O1006" s="57" t="n">
        <x:v>1858</x:v>
      </x:c>
      <x:c r="P1006" s="57" t="n">
        <x:v>886</x:v>
      </x:c>
      <x:c r="Q1006" s="57" t="n">
        <x:v>2396</x:v>
      </x:c>
      <x:c r="R1006" s="57" t="n">
        <x:v>1994</x:v>
      </x:c>
      <x:c r="S1006" s="57" t="n">
        <x:v>2985</x:v>
      </x:c>
      <x:c r="T1006" s="57" t="n">
        <x:v>830</x:v>
      </x:c>
      <x:c r="U1006" s="57" t="n">
        <x:v>2340</x:v>
      </x:c>
      <x:c r="V1006" s="57" t="n">
        <x:v>10520</x:v>
      </x:c>
      <x:c r="W1006" s="57" t="n">
        <x:v>7433</x:v>
      </x:c>
      <x:c r="X1006" s="57" t="n">
        <x:v>3087</x:v>
      </x:c>
      <x:c r="Y1006" s="57" t="n">
        <x:v>2578</x:v>
      </x:c>
      <x:c r="Z1006" s="57" t="n">
        <x:v>3767</x:v>
      </x:c>
      <x:c r="AA1006" s="57" t="n">
        <x:v>3089</x:v>
      </x:c>
      <x:c r="AB1006" s="57" t="n">
        <x:v>1139</x:v>
      </x:c>
      <x:c r="AC1006" s="57" t="n">
        <x:v>8429</x:v>
      </x:c>
      <x:c r="AD1006" s="57" t="n">
        <x:v>3086</x:v>
      </x:c>
      <x:c r="AE1006" s="57" t="n">
        <x:v>10645</x:v>
      </x:c>
      <x:c r="AF1006" s="57" t="n">
        <x:v>10520</x:v>
      </x:c>
      <x:c r="AG1006" s="57" t="n">
        <x:v>125</x:v>
      </x:c>
      <x:c r="AH1006" s="57" t="n">
        <x:v>413</x:v>
      </x:c>
      <x:c r="AI1006" s="57" t="n">
        <x:v>10107</x:v>
      </x:c>
      <x:c r="AJ1006" s="57" t="n">
        <x:v>196</x:v>
      </x:c>
      <x:c r="AK1006" s="57" t="n">
        <x:v>773</x:v>
      </x:c>
      <x:c r="AL1006" s="57" t="n">
        <x:v>1803</x:v>
      </x:c>
      <x:c r="AM1006" s="57" t="n">
        <x:v>4649</x:v>
      </x:c>
      <x:c r="AN1006" s="57" t="n">
        <x:v>3099</x:v>
      </x:c>
      <x:c r="AO1006" s="57" t="n">
        <x:v>0</x:v>
      </x:c>
      <x:c r="AP1006" s="57" t="n">
        <x:v>2488</x:v>
      </x:c>
      <x:c r="AQ1006" s="57" t="n">
        <x:v>969</x:v>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54" hidden="0" customWidth="1"/>
  </x:cols>
  <x:sheetData>
    <x:row r="1">
      <x:c r="A1" s="1" t="str">
        <x:v>Empty Outputs</x:v>
      </x:c>
      <x:c r="B1" s="28"/>
      <x:c r="C1" s="28"/>
    </x:row>
    <x:row r="2">
      <x:c r="A2" s="2" t="str">
        <x:v>Downstream compiler and campaign objects remain unpopulated because no target ensemble is admitted</x:v>
      </x:c>
      <x:c r="B2" s="28"/>
      <x:c r="C2" s="28"/>
    </x:row>
    <x:row r="3">
      <x:c r="A3" s="28"/>
      <x:c r="B3" s="28"/>
      <x:c r="C3" s="28"/>
    </x:row>
    <x:row r="4">
      <x:c r="A4" s="29"/>
      <x:c r="B4" s="29"/>
      <x:c r="C4" s="29"/>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28"/>
      <x:c r="B5" s="28"/>
      <x:c r="C5" s="28"/>
    </x:row>
    <x:row r="6" ht="34" customHeight="1">
      <x:c r="A6" s="16" t="str">
        <x:v>Output</x:v>
      </x:c>
      <x:c r="B6" s="16" t="str">
        <x:v>Rows</x:v>
      </x:c>
      <x:c r="C6" s="16" t="str">
        <x:v>Reason</x:v>
      </x:c>
    </x:row>
    <x:row r="7">
      <x:c r="A7" s="19" t="str">
        <x:v>admitted target members</x:v>
      </x:c>
      <x:c r="B7" s="25" t="n">
        <x:v>0</x:v>
      </x:c>
      <x:c r="C7" s="19" t="str">
        <x:v>target ceiling failed</x:v>
      </x:c>
    </x:row>
    <x:row r="8">
      <x:c r="A8" s="20" t="str">
        <x:v>continuous donor weights</x:v>
      </x:c>
      <x:c r="B8" s="26" t="n">
        <x:v>0</x:v>
      </x:c>
      <x:c r="C8" s="20" t="str">
        <x:v>donor fit not executed</x:v>
      </x:c>
    </x:row>
    <x:row r="9">
      <x:c r="A9" s="20" t="str">
        <x:v>integer donor-class counts</x:v>
      </x:c>
      <x:c r="B9" s="26" t="n">
        <x:v>0</x:v>
      </x:c>
      <x:c r="C9" s="20" t="str">
        <x:v>integerization not executed</x:v>
      </x:c>
    </x:row>
    <x:row r="10">
      <x:c r="A10" s="20" t="str">
        <x:v>synthetic households</x:v>
      </x:c>
      <x:c r="B10" s="26" t="n">
        <x:v>0</x:v>
      </x:c>
      <x:c r="C10" s="20" t="str">
        <x:v>compiler not executed</x:v>
      </x:c>
    </x:row>
    <x:row r="11">
      <x:c r="A11" s="20" t="str">
        <x:v>synthetic persons</x:v>
      </x:c>
      <x:c r="B11" s="26" t="n">
        <x:v>0</x:v>
      </x:c>
      <x:c r="C11" s="20" t="str">
        <x:v>compiler not executed</x:v>
      </x:c>
    </x:row>
    <x:row r="12">
      <x:c r="A12" s="20" t="str">
        <x:v>synthetic group quarters</x:v>
      </x:c>
      <x:c r="B12" s="26" t="n">
        <x:v>0</x:v>
      </x:c>
      <x:c r="C12" s="20" t="str">
        <x:v>separate path not executed</x:v>
      </x:c>
    </x:row>
    <x:row r="13">
      <x:c r="A13" s="20" t="str">
        <x:v>public building-class assignments</x:v>
      </x:c>
      <x:c r="B13" s="26" t="n">
        <x:v>0</x:v>
      </x:c>
      <x:c r="C13" s="20" t="str">
        <x:v>compiler not executed</x:v>
      </x:c>
    </x:row>
    <x:row r="14">
      <x:c r="A14" s="20" t="str">
        <x:v>operational building states</x:v>
      </x:c>
      <x:c r="B14" s="26" t="n">
        <x:v>0</x:v>
      </x:c>
      <x:c r="C14" s="20" t="str">
        <x:v>evidence absent</x:v>
      </x:c>
    </x:row>
    <x:row r="15">
      <x:c r="A15" s="20" t="str">
        <x:v>architecture outcomes</x:v>
      </x:c>
      <x:c r="B15" s="26" t="n">
        <x:v>0</x:v>
      </x:c>
      <x:c r="C15" s="20" t="str">
        <x:v>sealed</x:v>
      </x:c>
    </x:row>
    <x:row r="16">
      <x:c r="A16" s="21" t="str">
        <x:v>campaign aggregates</x:v>
      </x:c>
      <x:c r="B16" s="27" t="n">
        <x:v>0</x:v>
      </x:c>
      <x:c r="C16" s="21" t="str">
        <x:v>sealed</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8" hidden="0" customWidth="1"/>
    <x:col min="2" max="2" width="74" hidden="0" customWidth="1"/>
    <x:col min="3" max="3" width="18" hidden="0" customWidth="1"/>
    <x:col min="4" max="4" width="16" hidden="0" customWidth="1"/>
  </x:cols>
  <x:sheetData>
    <x:row r="1">
      <x:c r="A1" s="1" t="str">
        <x:v>Integrity</x:v>
      </x:c>
      <x:c r="B1" s="28"/>
      <x:c r="C1" s="28"/>
      <x:c r="D1" s="28"/>
    </x:row>
    <x:row r="2">
      <x:c r="A2" s="2" t="str">
        <x:v>Cryptographic commitments and formula-backed structural controls</x:v>
      </x:c>
      <x:c r="B2" s="28"/>
      <x:c r="C2" s="28"/>
      <x:c r="D2" s="28"/>
    </x:row>
    <x:row r="3">
      <x:c r="A3" s="28"/>
      <x:c r="B3" s="28"/>
      <x:c r="C3" s="28"/>
      <x:c r="D3" s="28"/>
    </x:row>
    <x:row r="4">
      <x:c r="A4" s="29"/>
      <x:c r="B4" s="29"/>
      <x:c r="C4" s="29"/>
      <x:c r="D4" s="29"/>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row>
    <x:row r="5">
      <x:c r="A5" s="6" t="str">
        <x:v>Commitments</x:v>
      </x:c>
      <x:c r="B5" s="7"/>
      <x:c r="C5" s="7"/>
      <x:c r="D5" s="8"/>
    </x:row>
    <x:row r="6" ht="34" customHeight="1">
      <x:c r="A6" s="16" t="str">
        <x:v>Object</x:v>
      </x:c>
      <x:c r="B6" s="16" t="str">
        <x:v>SHA-256</x:v>
      </x:c>
      <x:c r="C6" s="16" t="str">
        <x:v>Length check</x:v>
      </x:c>
      <x:c r="D6" s="28"/>
    </x:row>
    <x:row r="7">
      <x:c r="A7" s="19" t="str">
        <x:v>source_manifest</x:v>
      </x:c>
      <x:c r="B7" s="19" t="str">
        <x:v>93a128851b3d0e6a7ebd3b826cebd74087317aa587a1b01ffef6f13c17b00d84</x:v>
      </x:c>
      <x:c r="C7" s="19" t="str">
        <x:f>IF(LEN(B7)=64,"Met","Not met")</x:f>
        <x:v>Met</x:v>
      </x:c>
      <x:c r="D7" s="28"/>
    </x:row>
    <x:row r="8">
      <x:c r="A8" s="20" t="str">
        <x:v>source_validation</x:v>
      </x:c>
      <x:c r="B8" s="20" t="str">
        <x:v>8991c965d1b59757fb248d142d401890ee5434744357fc25d8ff33cd13ee3a96</x:v>
      </x:c>
      <x:c r="C8" s="20" t="str">
        <x:f>IF(LEN(B8)=64,"Met","Not met")</x:f>
        <x:v>Met</x:v>
      </x:c>
      <x:c r="D8" s="28"/>
    </x:row>
    <x:row r="9">
      <x:c r="A9" s="20" t="str">
        <x:v>design_validation</x:v>
      </x:c>
      <x:c r="B9" s="20" t="str">
        <x:v>e1e9fd483bda51c119cb4d33e152e0126fdc01d9a737085455ac69288ec8ba96</x:v>
      </x:c>
      <x:c r="C9" s="20" t="str">
        <x:f>IF(LEN(B9)=64,"Met","Not met")</x:f>
        <x:v>Met</x:v>
      </x:c>
      <x:c r="D9" s="28"/>
    </x:row>
    <x:row r="10">
      <x:c r="A10" s="20" t="str">
        <x:v>constraints</x:v>
      </x:c>
      <x:c r="B10" s="20" t="str">
        <x:v>1f1d9c3fec5b252f22156ad4bc4d1e706099840b4aa187012ea42196f49f9579</x:v>
      </x:c>
      <x:c r="C10" s="20" t="str">
        <x:f>IF(LEN(B10)=64,"Met","Not met")</x:f>
        <x:v>Met</x:v>
      </x:c>
      <x:c r="D10" s="28"/>
    </x:row>
    <x:row r="11">
      <x:c r="A11" s="20" t="str">
        <x:v>cases</x:v>
      </x:c>
      <x:c r="B11" s="20" t="str">
        <x:v>b6310588d50538c19c1188345891240b7f4833d0f11d3fc31ae2fd3d836eb4ec</x:v>
      </x:c>
      <x:c r="C11" s="20" t="str">
        <x:f>IF(LEN(B11)=64,"Met","Not met")</x:f>
        <x:v>Met</x:v>
      </x:c>
      <x:c r="D11" s="28"/>
    </x:row>
    <x:row r="12">
      <x:c r="A12" s="20" t="str">
        <x:v>projection_diagnostics</x:v>
      </x:c>
      <x:c r="B12" s="20" t="str">
        <x:v>8b843bbd0dfbfed0f02dbfa02f9bd483321b9611c24aba733abe1dd399dc04de</x:v>
      </x:c>
      <x:c r="C12" s="20" t="str">
        <x:f>IF(LEN(B12)=64,"Met","Not met")</x:f>
        <x:v>Met</x:v>
      </x:c>
      <x:c r="D12" s="28"/>
    </x:row>
    <x:row r="13">
      <x:c r="A13" s="20" t="str">
        <x:v>convergence</x:v>
      </x:c>
      <x:c r="B13" s="20" t="str">
        <x:v>58b2c66cb51cc118aed626795be55e4f7981daaef18dd2d9ed4611a248901e5a</x:v>
      </x:c>
      <x:c r="C13" s="20" t="str">
        <x:f>IF(LEN(B13)=64,"Met","Not met")</x:f>
        <x:v>Met</x:v>
      </x:c>
      <x:c r="D13" s="28"/>
    </x:row>
    <x:row r="14">
      <x:c r="A14" s="20" t="str">
        <x:v>distributions</x:v>
      </x:c>
      <x:c r="B14" s="20" t="str">
        <x:v>7e138c19124e82e18b740b86cd05ead3390cf61bc347270c9fadd585b2ef8f30</x:v>
      </x:c>
      <x:c r="C14" s="20" t="str">
        <x:f>IF(LEN(B14)=64,"Met","Not met")</x:f>
        <x:v>Met</x:v>
      </x:c>
      <x:c r="D14" s="28"/>
    </x:row>
    <x:row r="15">
      <x:c r="A15" s="20" t="str">
        <x:v>injections</x:v>
      </x:c>
      <x:c r="B15" s="20" t="str">
        <x:v>43abe10603f5d67a54a35cf9ab515da6724ffe4b9a199f82515e1db48695e0b2</x:v>
      </x:c>
      <x:c r="C15" s="20" t="str">
        <x:f>IF(LEN(B15)=64,"Met","Not met")</x:f>
        <x:v>Met</x:v>
      </x:c>
      <x:c r="D15" s="28"/>
    </x:row>
    <x:row r="16">
      <x:c r="A16" s="20" t="str">
        <x:v>targets_T0_TABLE_BLOCK</x:v>
      </x:c>
      <x:c r="B16" s="20" t="str">
        <x:v>74ca6005c9740db438cb62f107e47b861b9858a0641d6f9add0667070e16a675</x:v>
      </x:c>
      <x:c r="C16" s="20" t="str">
        <x:f>IF(LEN(B16)=64,"Met","Not met")</x:f>
        <x:v>Met</x:v>
      </x:c>
      <x:c r="D16" s="28"/>
    </x:row>
    <x:row r="17">
      <x:c r="A17" s="20" t="str">
        <x:v>targets_T1_SHARED_CATCHMENT</x:v>
      </x:c>
      <x:c r="B17" s="20" t="str">
        <x:v>021260c2a52053a3c38fa900547ab6520496d6a13eb6c48fb6de25ba199aefbc</x:v>
      </x:c>
      <x:c r="C17" s="20" t="str">
        <x:f>IF(LEN(B17)=64,"Met","Not met")</x:f>
        <x:v>Met</x:v>
      </x:c>
      <x:c r="D17" s="28"/>
    </x:row>
    <x:row r="18">
      <x:c r="A18" s="20" t="str">
        <x:v>targets_T2_CONCORDANT_DOMAIN</x:v>
      </x:c>
      <x:c r="B18" s="20" t="str">
        <x:v>31575a1b1ce30f29e277fb40dd0befb3a96e635ff59e9e30e93c130678b2aabf</x:v>
      </x:c>
      <x:c r="C18" s="20" t="str">
        <x:f>IF(LEN(B18)=64,"Met","Not met")</x:f>
        <x:v>Met</x:v>
      </x:c>
      <x:c r="D18" s="28"/>
    </x:row>
    <x:row r="19">
      <x:c r="A19" s="20" t="str">
        <x:v>registration</x:v>
      </x:c>
      <x:c r="B19" s="20" t="str">
        <x:v>7779b4f0dcffe3882451103fdde7a5ddb76026370eff7879834d19923fc10c4c</x:v>
      </x:c>
      <x:c r="C19" s="20" t="str">
        <x:f>IF(LEN(B19)=64,"Met","Not met")</x:f>
        <x:v>Met</x:v>
      </x:c>
      <x:c r="D19" s="28"/>
    </x:row>
    <x:row r="20">
      <x:c r="A20" s="21" t="str">
        <x:v>target_integrity</x:v>
      </x:c>
      <x:c r="B20" s="21" t="str">
        <x:v>8d44f8a1237b66a6b000dec2355ab19a21fa659478a70fcfed4b5f6e3cad1d90</x:v>
      </x:c>
      <x:c r="C20" s="21" t="str">
        <x:f>IF(LEN(B20)=64,"Met","Not met")</x:f>
        <x:v>Met</x:v>
      </x:c>
      <x:c r="D20" s="28"/>
    </x:row>
    <x:row r="21">
      <x:c r="A21" s="28"/>
      <x:c r="B21" s="28"/>
      <x:c r="C21" s="28"/>
      <x:c r="D21" s="28"/>
    </x:row>
    <x:row r="22">
      <x:c r="A22" s="28"/>
      <x:c r="B22" s="28"/>
      <x:c r="C22" s="28"/>
      <x:c r="D22" s="28"/>
    </x:row>
    <x:row r="23">
      <x:c r="A23" s="6" t="str">
        <x:v>Structural controls</x:v>
      </x:c>
      <x:c r="B23" s="7"/>
      <x:c r="C23" s="7"/>
      <x:c r="D23" s="8"/>
    </x:row>
    <x:row r="24" ht="34" customHeight="1">
      <x:c r="A24" s="16" t="str">
        <x:v>Control</x:v>
      </x:c>
      <x:c r="B24" s="16" t="str">
        <x:v>Formula result</x:v>
      </x:c>
      <x:c r="C24" s="16" t="str">
        <x:v>Required</x:v>
      </x:c>
      <x:c r="D24" s="28"/>
    </x:row>
    <x:row r="25">
      <x:c r="A25" s="19" t="str">
        <x:v>264 VRE reconstructions exact</x:v>
      </x:c>
      <x:c r="B25" s="19" t="str">
        <x:f>IF(COUNTIF('04 Source Validation'!F7:G270,"Mismatch")=0,"Met","Not met")</x:f>
        <x:v>Met</x:v>
      </x:c>
      <x:c r="C25" s="19" t="str">
        <x:v>Met</x:v>
      </x:c>
      <x:c r="D25" s="28"/>
    </x:row>
    <x:row r="26">
      <x:c r="A26" s="20" t="str">
        <x:v>Nested design exact at four K values</x:v>
      </x:c>
      <x:c r="B26" s="20" t="str">
        <x:v>Met</x:v>
      </x:c>
      <x:c r="C26" s="20" t="str">
        <x:v>Met</x:v>
      </x:c>
      <x:c r="D26" s="28"/>
    </x:row>
    <x:row r="27">
      <x:c r="A27" s="20" t="str">
        <x:v>38 target definitions</x:v>
      </x:c>
      <x:c r="B27" s="20" t="str">
        <x:f>IF(COUNTA('05 Target Definitions'!A7:A44)=38,"Met","Not met")</x:f>
        <x:v>Met</x:v>
      </x:c>
      <x:c r="C27" s="20" t="str">
        <x:v>Met</x:v>
      </x:c>
      <x:c r="D27" s="28"/>
    </x:row>
    <x:row r="28">
      <x:c r="A28" s="20" t="str">
        <x:v>33 hard constraints</x:v>
      </x:c>
      <x:c r="B28" s="20" t="str">
        <x:f>IF(COUNTA('07 Constraints'!A7:A39)=33,"Met","Not met")</x:f>
        <x:v>Met</x:v>
      </x:c>
      <x:c r="C28" s="20" t="str">
        <x:v>Met</x:v>
      </x:c>
      <x:c r="D28" s="28"/>
    </x:row>
    <x:row r="29">
      <x:c r="A29" s="20" t="str">
        <x:v>36,000 candidate rows audited</x:v>
      </x:c>
      <x:c r="B29" s="20" t="str">
        <x:f>IF(SUM('13 Target Integrity'!B7:B9)=36000,"Met","Not met")</x:f>
        <x:v>Met</x:v>
      </x:c>
      <x:c r="C29" s="20" t="str">
        <x:v>Met</x:v>
      </x:c>
      <x:c r="D29" s="28"/>
    </x:row>
    <x:row r="30">
      <x:c r="A30" s="20" t="str">
        <x:v>3,000 focal diagnostic rows exposed</x:v>
      </x:c>
      <x:c r="B30" s="20" t="str">
        <x:f>IF(COUNTA('14 Candidate T0'!A7:A1006)+COUNTA('15 Candidate T1'!A7:A1006)+COUNTA('16 Candidate T2'!A7:A1006)=3000,"Met","Not met")</x:f>
        <x:v>Met</x:v>
      </x:c>
      <x:c r="C30" s="20" t="str">
        <x:v>Met</x:v>
      </x:c>
      <x:c r="D30" s="28"/>
    </x:row>
    <x:row r="31">
      <x:c r="A31" s="20" t="str">
        <x:v>No negative or noninteger cells</x:v>
      </x:c>
      <x:c r="B31" s="20" t="str">
        <x:f>IF(SUM('13 Target Integrity'!C7:D9)=0,"Met","Not met")</x:f>
        <x:v>Met</x:v>
      </x:c>
      <x:c r="C31" s="20" t="str">
        <x:v>Met</x:v>
      </x:c>
      <x:c r="D31" s="28"/>
    </x:row>
    <x:row r="32">
      <x:c r="A32" s="20" t="str">
        <x:v>No hard-constraint violations</x:v>
      </x:c>
      <x:c r="B32" s="20" t="str">
        <x:f>IF(SUM('13 Target Integrity'!E7:F9)=0,"Met","Not met")</x:f>
        <x:v>Met</x:v>
      </x:c>
      <x:c r="C32" s="20" t="str">
        <x:v>Met</x:v>
      </x:c>
      <x:c r="D32" s="28"/>
    </x:row>
    <x:row r="33">
      <x:c r="A33" s="20" t="str">
        <x:v>13 rejected candidate rows disclosed</x:v>
      </x:c>
      <x:c r="B33" s="20" t="str">
        <x:f>IF(SUM('13 Target Integrity'!G7:G9)=13,"Met","Not met")</x:f>
        <x:v>Met</x:v>
      </x:c>
      <x:c r="C33" s="20" t="str">
        <x:v>Met</x:v>
      </x:c>
      <x:c r="D33" s="28"/>
    </x:row>
    <x:row r="34">
      <x:c r="A34" s="20" t="str">
        <x:v>No case admitted at K=1,000</x:v>
      </x:c>
      <x:c r="B34" s="20" t="str">
        <x:f>IF(COUNTIFS('08 Convergence'!B7:B18,1000,'08 Convergence'!I7:I18,"Met")=0,"Met","Not met")</x:f>
        <x:v>Met</x:v>
      </x:c>
      <x:c r="C34" s="20" t="str">
        <x:v>Met</x:v>
      </x:c>
      <x:c r="D34" s="28"/>
    </x:row>
    <x:row r="35">
      <x:c r="A35" s="20" t="str">
        <x:v>Ten injected contradictions rejected</x:v>
      </x:c>
      <x:c r="B35" s="20" t="str">
        <x:f>IF(COUNTIF('12 Failure Injections'!G7:G16,"Rejected")=10,"Met","Not met")</x:f>
        <x:v>Met</x:v>
      </x:c>
      <x:c r="C35" s="20" t="str">
        <x:v>Met</x:v>
      </x:c>
      <x:c r="D35" s="28"/>
    </x:row>
    <x:row r="36">
      <x:c r="A36" s="21" t="str">
        <x:v>All downstream outputs remain zero</x:v>
      </x:c>
      <x:c r="B36" s="21" t="str">
        <x:f>IF(SUM('17 Empty Outputs'!B7:B16)=0,"Met","Not met")</x:f>
        <x:v>Met</x:v>
      </x:c>
      <x:c r="C36" s="21" t="str">
        <x:v>Met</x:v>
      </x:c>
      <x:c r="D36" s="28"/>
    </x:row>
    <x:row r="37">
      <x:c r="A37" s="28"/>
      <x:c r="B37" s="28"/>
      <x:c r="C37" s="28"/>
      <x:c r="D37" s="28"/>
    </x:row>
  </x:sheetData>
  <x:pageMargins left="0.7" right="0.7" top="0.75" bottom="0.75" header="0.3" footer="0.3"/>
</x:worksheet>
</file>